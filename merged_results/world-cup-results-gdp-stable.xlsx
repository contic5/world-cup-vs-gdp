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cjconti/Documents/Python_Files/world-cup-vs-gdp/merged_results/"/>
    </mc:Choice>
  </mc:AlternateContent>
  <xr:revisionPtr revIDLastSave="0" documentId="13_ncr:1_{271DA945-B512-1D4E-ACF3-6E8B11A10CD0}" xr6:coauthVersionLast="47" xr6:coauthVersionMax="47" xr10:uidLastSave="{00000000-0000-0000-0000-000000000000}"/>
  <bookViews>
    <workbookView xWindow="6020" yWindow="940" windowWidth="23260" windowHeight="17860" activeTab="5" xr2:uid="{00000000-000D-0000-FFFF-FFFF00000000}"/>
  </bookViews>
  <sheets>
    <sheet name="Data" sheetId="1" r:id="rId1"/>
    <sheet name="DataPivot" sheetId="9" r:id="rId2"/>
    <sheet name="Summary (2)" sheetId="11" r:id="rId3"/>
    <sheet name="DecadeSummary" sheetId="3" r:id="rId4"/>
    <sheet name="SignificantlyPivot" sheetId="4" r:id="rId5"/>
    <sheet name="SignificantlyPivot2" sheetId="6" r:id="rId6"/>
    <sheet name="Works Cited" sheetId="5" r:id="rId7"/>
  </sheets>
  <calcPr calcId="191029"/>
  <pivotCaches>
    <pivotCache cacheId="69" r:id="rId8"/>
    <pivotCache cacheId="8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11" i="1" l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F8" i="3"/>
  <c r="B8" i="3"/>
  <c r="F7" i="3"/>
  <c r="C7" i="3"/>
  <c r="B7" i="3"/>
  <c r="G6" i="3"/>
  <c r="F6" i="3"/>
  <c r="B6" i="3"/>
  <c r="G5" i="3"/>
  <c r="F5" i="3"/>
  <c r="B5" i="3"/>
  <c r="F4" i="3"/>
  <c r="C4" i="3"/>
  <c r="B4" i="3"/>
  <c r="F3" i="3"/>
  <c r="B3" i="3"/>
  <c r="F2" i="3"/>
  <c r="B2" i="3"/>
  <c r="J57" i="11"/>
  <c r="I57" i="11"/>
  <c r="H57" i="11"/>
  <c r="G57" i="11"/>
  <c r="F57" i="11"/>
  <c r="E57" i="11"/>
  <c r="D57" i="11"/>
  <c r="C57" i="11"/>
  <c r="B57" i="11"/>
  <c r="J56" i="11"/>
  <c r="H56" i="11"/>
  <c r="G56" i="11"/>
  <c r="E56" i="11"/>
  <c r="D56" i="11"/>
  <c r="C56" i="11"/>
  <c r="B56" i="11"/>
  <c r="H55" i="11"/>
  <c r="G55" i="11"/>
  <c r="F55" i="11"/>
  <c r="C55" i="11"/>
  <c r="B55" i="11"/>
  <c r="I54" i="11"/>
  <c r="H54" i="11"/>
  <c r="G54" i="11"/>
  <c r="E54" i="11"/>
  <c r="D54" i="11"/>
  <c r="C54" i="11"/>
  <c r="B54" i="11"/>
  <c r="I53" i="11"/>
  <c r="H53" i="11"/>
  <c r="G53" i="11"/>
  <c r="C53" i="11"/>
  <c r="B53" i="11"/>
  <c r="H52" i="11"/>
  <c r="G52" i="11"/>
  <c r="D52" i="11"/>
  <c r="C52" i="11"/>
  <c r="B52" i="11"/>
  <c r="I51" i="11"/>
  <c r="H51" i="11"/>
  <c r="G51" i="11"/>
  <c r="C51" i="11"/>
  <c r="B51" i="11"/>
  <c r="H50" i="11"/>
  <c r="G50" i="11"/>
  <c r="E50" i="11"/>
  <c r="D50" i="11"/>
  <c r="C50" i="11"/>
  <c r="B50" i="11"/>
  <c r="I49" i="11"/>
  <c r="H49" i="11"/>
  <c r="G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H46" i="11"/>
  <c r="G46" i="11"/>
  <c r="F46" i="11"/>
  <c r="E46" i="11"/>
  <c r="D46" i="11"/>
  <c r="C46" i="11"/>
  <c r="B46" i="11"/>
  <c r="G45" i="11"/>
  <c r="C45" i="11"/>
  <c r="B45" i="11"/>
  <c r="G44" i="11"/>
  <c r="F44" i="11"/>
  <c r="E44" i="11"/>
  <c r="D44" i="11"/>
  <c r="C44" i="11"/>
  <c r="B44" i="11"/>
  <c r="J43" i="11"/>
  <c r="I43" i="11"/>
  <c r="H43" i="11"/>
  <c r="G43" i="11"/>
  <c r="F43" i="11"/>
  <c r="E43" i="11"/>
  <c r="D43" i="11"/>
  <c r="C43" i="11"/>
  <c r="B43" i="11"/>
  <c r="J42" i="11"/>
  <c r="I42" i="11"/>
  <c r="H42" i="11"/>
  <c r="G42" i="11"/>
  <c r="F42" i="11"/>
  <c r="E42" i="11"/>
  <c r="D42" i="11"/>
  <c r="C42" i="11"/>
  <c r="B42" i="11"/>
  <c r="J41" i="11"/>
  <c r="I41" i="11"/>
  <c r="H41" i="11"/>
  <c r="G41" i="11"/>
  <c r="F41" i="11"/>
  <c r="E41" i="11"/>
  <c r="D41" i="11"/>
  <c r="C41" i="11"/>
  <c r="B41" i="11"/>
  <c r="J40" i="11"/>
  <c r="I40" i="11"/>
  <c r="H40" i="11"/>
  <c r="G40" i="11"/>
  <c r="F40" i="11"/>
  <c r="E40" i="11"/>
  <c r="D40" i="11"/>
  <c r="C40" i="11"/>
  <c r="B40" i="11"/>
  <c r="J39" i="11"/>
  <c r="I39" i="11"/>
  <c r="H39" i="11"/>
  <c r="G39" i="11"/>
  <c r="E39" i="11"/>
  <c r="D39" i="11"/>
  <c r="C39" i="11"/>
  <c r="B39" i="11"/>
  <c r="J38" i="11"/>
  <c r="I38" i="11"/>
  <c r="H38" i="11"/>
  <c r="G38" i="11"/>
  <c r="F38" i="11"/>
  <c r="E38" i="11"/>
  <c r="D38" i="11"/>
  <c r="C38" i="11"/>
  <c r="B38" i="11"/>
  <c r="J37" i="11"/>
  <c r="I37" i="11"/>
  <c r="H37" i="11"/>
  <c r="G37" i="11"/>
  <c r="F37" i="11"/>
  <c r="E37" i="11"/>
  <c r="D37" i="11"/>
  <c r="C37" i="11"/>
  <c r="B37" i="11"/>
  <c r="J36" i="11"/>
  <c r="I36" i="11"/>
  <c r="H36" i="11"/>
  <c r="G36" i="11"/>
  <c r="F36" i="11"/>
  <c r="E36" i="11"/>
  <c r="D36" i="11"/>
  <c r="C36" i="11"/>
  <c r="B36" i="11"/>
  <c r="J35" i="11"/>
  <c r="I35" i="11"/>
  <c r="H35" i="11"/>
  <c r="G35" i="11"/>
  <c r="F35" i="11"/>
  <c r="E35" i="11"/>
  <c r="D35" i="11"/>
  <c r="C35" i="11"/>
  <c r="B35" i="11"/>
  <c r="J34" i="11"/>
  <c r="I34" i="11"/>
  <c r="H34" i="11"/>
  <c r="G34" i="11"/>
  <c r="F34" i="11"/>
  <c r="E34" i="11"/>
  <c r="D34" i="11"/>
  <c r="C34" i="11"/>
  <c r="B34" i="11"/>
  <c r="J33" i="11"/>
  <c r="I33" i="11"/>
  <c r="H33" i="11"/>
  <c r="G33" i="11"/>
  <c r="E33" i="11"/>
  <c r="D33" i="11"/>
  <c r="C33" i="11"/>
  <c r="B33" i="11"/>
  <c r="J32" i="11"/>
  <c r="I32" i="11"/>
  <c r="H32" i="11"/>
  <c r="G32" i="11"/>
  <c r="E32" i="11"/>
  <c r="D32" i="11"/>
  <c r="C32" i="11"/>
  <c r="B32" i="11"/>
  <c r="J31" i="11"/>
  <c r="I31" i="11"/>
  <c r="H31" i="11"/>
  <c r="G31" i="11"/>
  <c r="E31" i="11"/>
  <c r="D31" i="11"/>
  <c r="C31" i="11"/>
  <c r="B31" i="11"/>
  <c r="J30" i="11"/>
  <c r="I30" i="11"/>
  <c r="H30" i="11"/>
  <c r="G30" i="11"/>
  <c r="E30" i="11"/>
  <c r="D30" i="11"/>
  <c r="C30" i="11"/>
  <c r="B30" i="11"/>
  <c r="J29" i="11"/>
  <c r="I29" i="11"/>
  <c r="H29" i="11"/>
  <c r="G29" i="11"/>
  <c r="E29" i="11"/>
  <c r="D29" i="11"/>
  <c r="C29" i="11"/>
  <c r="B29" i="11"/>
  <c r="J28" i="11"/>
  <c r="I28" i="11"/>
  <c r="H28" i="11"/>
  <c r="G28" i="11"/>
  <c r="E28" i="11"/>
  <c r="D28" i="11"/>
  <c r="C28" i="11"/>
  <c r="B28" i="11"/>
  <c r="J27" i="11"/>
  <c r="I27" i="11"/>
  <c r="H27" i="11"/>
  <c r="G27" i="11"/>
  <c r="E27" i="11"/>
  <c r="D27" i="11"/>
  <c r="C27" i="11"/>
  <c r="B27" i="11"/>
  <c r="J26" i="11"/>
  <c r="I26" i="11"/>
  <c r="H26" i="11"/>
  <c r="G26" i="11"/>
  <c r="E26" i="11"/>
  <c r="D26" i="11"/>
  <c r="C26" i="11"/>
  <c r="B26" i="11"/>
  <c r="J25" i="11"/>
  <c r="I25" i="11"/>
  <c r="H25" i="11"/>
  <c r="G25" i="11"/>
  <c r="E25" i="11"/>
  <c r="D25" i="11"/>
  <c r="C25" i="11"/>
  <c r="B25" i="11"/>
  <c r="J24" i="11"/>
  <c r="I24" i="11"/>
  <c r="H24" i="11"/>
  <c r="G24" i="11"/>
  <c r="D24" i="11"/>
  <c r="C24" i="11"/>
  <c r="B24" i="11"/>
  <c r="J23" i="11"/>
  <c r="I23" i="11"/>
  <c r="H23" i="11"/>
  <c r="G23" i="11"/>
  <c r="E23" i="11"/>
  <c r="D23" i="11"/>
  <c r="C23" i="11"/>
  <c r="B23" i="11"/>
  <c r="J22" i="11"/>
  <c r="I22" i="11"/>
  <c r="H22" i="11"/>
  <c r="G22" i="11"/>
  <c r="E22" i="11"/>
  <c r="D22" i="11"/>
  <c r="C22" i="11"/>
  <c r="B22" i="11"/>
  <c r="J21" i="11"/>
  <c r="I21" i="11"/>
  <c r="H21" i="11"/>
  <c r="G21" i="11"/>
  <c r="F21" i="11"/>
  <c r="E21" i="11"/>
  <c r="D21" i="11"/>
  <c r="C21" i="11"/>
  <c r="B21" i="11"/>
  <c r="J20" i="11"/>
  <c r="I20" i="11"/>
  <c r="H20" i="11"/>
  <c r="G20" i="11"/>
  <c r="F20" i="11"/>
  <c r="E20" i="11"/>
  <c r="D20" i="11"/>
  <c r="C20" i="11"/>
  <c r="B20" i="11"/>
  <c r="J19" i="11"/>
  <c r="I19" i="11"/>
  <c r="H19" i="11"/>
  <c r="G19" i="11"/>
  <c r="F19" i="11"/>
  <c r="E19" i="11"/>
  <c r="D19" i="11"/>
  <c r="C19" i="11"/>
  <c r="B19" i="11"/>
  <c r="J18" i="11"/>
  <c r="I18" i="11"/>
  <c r="H18" i="11"/>
  <c r="G18" i="11"/>
  <c r="F18" i="11"/>
  <c r="E18" i="11"/>
  <c r="D18" i="11"/>
  <c r="C18" i="11"/>
  <c r="B18" i="11"/>
  <c r="J17" i="11"/>
  <c r="I17" i="11"/>
  <c r="H17" i="11"/>
  <c r="G17" i="11"/>
  <c r="F17" i="11"/>
  <c r="E17" i="11"/>
  <c r="D17" i="11"/>
  <c r="C17" i="11"/>
  <c r="B17" i="11"/>
  <c r="J16" i="11"/>
  <c r="I16" i="11"/>
  <c r="H16" i="11"/>
  <c r="G16" i="11"/>
  <c r="F16" i="11"/>
  <c r="E16" i="11"/>
  <c r="D16" i="11"/>
  <c r="C16" i="11"/>
  <c r="B16" i="11"/>
  <c r="J15" i="11"/>
  <c r="I15" i="11"/>
  <c r="H15" i="11"/>
  <c r="G15" i="11"/>
  <c r="F15" i="11"/>
  <c r="E15" i="11"/>
  <c r="D15" i="11"/>
  <c r="C15" i="11"/>
  <c r="B15" i="11"/>
  <c r="J14" i="11"/>
  <c r="I14" i="11"/>
  <c r="H14" i="11"/>
  <c r="G14" i="11"/>
  <c r="F14" i="11"/>
  <c r="E14" i="11"/>
  <c r="D14" i="11"/>
  <c r="C14" i="11"/>
  <c r="B14" i="11"/>
  <c r="J13" i="11"/>
  <c r="I13" i="11"/>
  <c r="H13" i="11"/>
  <c r="G13" i="11"/>
  <c r="F13" i="11"/>
  <c r="E13" i="11"/>
  <c r="D13" i="11"/>
  <c r="C13" i="11"/>
  <c r="B13" i="11"/>
  <c r="J12" i="11"/>
  <c r="I12" i="11"/>
  <c r="H12" i="11"/>
  <c r="G12" i="11"/>
  <c r="F12" i="11"/>
  <c r="E12" i="11"/>
  <c r="D12" i="11"/>
  <c r="C12" i="11"/>
  <c r="B12" i="11"/>
  <c r="I11" i="11"/>
  <c r="H11" i="11"/>
  <c r="G11" i="11"/>
  <c r="D11" i="11"/>
  <c r="C11" i="11"/>
  <c r="B11" i="11"/>
  <c r="J10" i="11"/>
  <c r="I10" i="11"/>
  <c r="H10" i="11"/>
  <c r="G10" i="11"/>
  <c r="F10" i="11"/>
  <c r="E10" i="11"/>
  <c r="D10" i="11"/>
  <c r="C10" i="11"/>
  <c r="B10" i="11"/>
  <c r="J9" i="11"/>
  <c r="I9" i="11"/>
  <c r="H9" i="11"/>
  <c r="G9" i="11"/>
  <c r="F9" i="11"/>
  <c r="E9" i="11"/>
  <c r="D9" i="11"/>
  <c r="C9" i="11"/>
  <c r="B9" i="11"/>
  <c r="J8" i="11"/>
  <c r="I8" i="11"/>
  <c r="H8" i="11"/>
  <c r="G8" i="11"/>
  <c r="F8" i="11"/>
  <c r="E8" i="11"/>
  <c r="D8" i="11"/>
  <c r="C8" i="11"/>
  <c r="B8" i="11"/>
  <c r="J7" i="11"/>
  <c r="I7" i="11"/>
  <c r="H7" i="11"/>
  <c r="G7" i="11"/>
  <c r="F7" i="11"/>
  <c r="E7" i="11"/>
  <c r="D7" i="11"/>
  <c r="C7" i="11"/>
  <c r="B7" i="11"/>
  <c r="J6" i="11"/>
  <c r="I6" i="11"/>
  <c r="H6" i="11"/>
  <c r="G6" i="11"/>
  <c r="F6" i="11"/>
  <c r="E6" i="11"/>
  <c r="D6" i="11"/>
  <c r="C6" i="11"/>
  <c r="B6" i="11"/>
  <c r="I5" i="11"/>
  <c r="H5" i="11"/>
  <c r="G5" i="11"/>
  <c r="D5" i="11"/>
  <c r="C5" i="11"/>
  <c r="B5" i="11"/>
  <c r="H4" i="11"/>
  <c r="G4" i="11"/>
  <c r="D4" i="11"/>
  <c r="C4" i="11"/>
  <c r="B4" i="11"/>
  <c r="J3" i="11"/>
  <c r="I3" i="11"/>
  <c r="H3" i="11"/>
  <c r="G3" i="11"/>
  <c r="F3" i="11"/>
  <c r="E3" i="11"/>
  <c r="D3" i="11"/>
  <c r="C3" i="11"/>
  <c r="B3" i="11"/>
  <c r="J2" i="11"/>
  <c r="I2" i="11"/>
  <c r="H2" i="11"/>
  <c r="G2" i="11"/>
  <c r="F2" i="11"/>
  <c r="E2" i="11"/>
  <c r="C2" i="11"/>
  <c r="B2" i="11"/>
  <c r="Q2" i="1" a="1"/>
  <c r="Q3" i="1" a="1"/>
  <c r="Q4" i="1" a="1"/>
  <c r="Q4" i="1"/>
  <c r="Q5" i="1" a="1"/>
  <c r="Q5" i="1"/>
  <c r="Q6" i="1" a="1"/>
  <c r="Q6" i="1"/>
  <c r="Q7" i="1" a="1"/>
  <c r="Q7" i="1"/>
  <c r="Q8" i="1" a="1"/>
  <c r="Q9" i="1" a="1"/>
  <c r="Q10" i="1" a="1"/>
  <c r="Q11" i="1" a="1"/>
  <c r="Q12" i="1" a="1"/>
  <c r="Q13" i="1" a="1"/>
  <c r="Q14" i="1" a="1"/>
  <c r="Q15" i="1" a="1"/>
  <c r="Q16" i="1" a="1"/>
  <c r="Q17" i="1" a="1"/>
  <c r="Q18" i="1" a="1"/>
  <c r="Q19" i="1" a="1"/>
  <c r="Q20" i="1" a="1"/>
  <c r="Q21" i="1" a="1"/>
  <c r="Q22" i="1" a="1"/>
  <c r="Q23" i="1" a="1"/>
  <c r="Q24" i="1" a="1"/>
  <c r="Q25" i="1" a="1"/>
  <c r="Q26" i="1" a="1"/>
  <c r="Q27" i="1" a="1"/>
  <c r="Q28" i="1" a="1"/>
  <c r="Q29" i="1" a="1"/>
  <c r="Q30" i="1" a="1"/>
  <c r="Q31" i="1" a="1"/>
  <c r="Q32" i="1" a="1"/>
  <c r="Q32" i="1"/>
  <c r="Q33" i="1" a="1"/>
  <c r="Q34" i="1" a="1"/>
  <c r="Q34" i="1"/>
  <c r="Q35" i="1" a="1"/>
  <c r="Q36" i="1" a="1"/>
  <c r="Q37" i="1" a="1"/>
  <c r="Q38" i="1" a="1"/>
  <c r="Q39" i="1" a="1"/>
  <c r="Q40" i="1" a="1"/>
  <c r="Q41" i="1" a="1"/>
  <c r="Q42" i="1" a="1"/>
  <c r="Q43" i="1" a="1"/>
  <c r="Q44" i="1" a="1"/>
  <c r="Q45" i="1" a="1"/>
  <c r="Q46" i="1" a="1"/>
  <c r="Q47" i="1" a="1"/>
  <c r="Q48" i="1" a="1"/>
  <c r="Q49" i="1" a="1"/>
  <c r="Q50" i="1" a="1"/>
  <c r="Q51" i="1" a="1"/>
  <c r="Q52" i="1" a="1"/>
  <c r="Q53" i="1" a="1"/>
  <c r="Q54" i="1" a="1"/>
  <c r="Q55" i="1" a="1"/>
  <c r="Q56" i="1" a="1"/>
  <c r="Q57" i="1" a="1"/>
  <c r="Q58" i="1" a="1"/>
  <c r="Q59" i="1" a="1"/>
  <c r="Q60" i="1" a="1"/>
  <c r="Q61" i="1" a="1"/>
  <c r="Q62" i="1" a="1"/>
  <c r="Q63" i="1" a="1"/>
  <c r="Q64" i="1" a="1"/>
  <c r="Q65" i="1" a="1"/>
  <c r="Q66" i="1" a="1"/>
  <c r="Q67" i="1" a="1"/>
  <c r="Q68" i="1" a="1"/>
  <c r="Q69" i="1" a="1"/>
  <c r="Q70" i="1" a="1"/>
  <c r="Q71" i="1" a="1"/>
  <c r="Q72" i="1" a="1"/>
  <c r="Q73" i="1" a="1"/>
  <c r="Q74" i="1" a="1"/>
  <c r="Q75" i="1" a="1"/>
  <c r="Q76" i="1" a="1"/>
  <c r="Q76" i="1"/>
  <c r="Q77" i="1" a="1"/>
  <c r="Q78" i="1" a="1"/>
  <c r="Q79" i="1" a="1"/>
  <c r="Q80" i="1" a="1"/>
  <c r="Q81" i="1" a="1"/>
  <c r="Q82" i="1" a="1"/>
  <c r="Q83" i="1" a="1"/>
  <c r="Q84" i="1" a="1"/>
  <c r="Q85" i="1" a="1"/>
  <c r="Q86" i="1" a="1"/>
  <c r="Q87" i="1" a="1"/>
  <c r="Q88" i="1" a="1"/>
  <c r="Q89" i="1" a="1"/>
  <c r="Q90" i="1" a="1"/>
  <c r="Q91" i="1" a="1"/>
  <c r="Q92" i="1" a="1"/>
  <c r="Q93" i="1" a="1"/>
  <c r="Q94" i="1" a="1"/>
  <c r="Q95" i="1" a="1"/>
  <c r="Q96" i="1" a="1"/>
  <c r="Q97" i="1" a="1"/>
  <c r="Q98" i="1" a="1"/>
  <c r="Q99" i="1" a="1"/>
  <c r="Q100" i="1" a="1"/>
  <c r="Q101" i="1" a="1"/>
  <c r="Q102" i="1" a="1"/>
  <c r="Q102" i="1"/>
  <c r="Q103" i="1" a="1"/>
  <c r="Q104" i="1" a="1"/>
  <c r="Q105" i="1" a="1"/>
  <c r="Q106" i="1" a="1"/>
  <c r="Q107" i="1" a="1"/>
  <c r="Q108" i="1" a="1"/>
  <c r="Q109" i="1" a="1"/>
  <c r="Q110" i="1" a="1"/>
  <c r="Q111" i="1" a="1"/>
  <c r="Q112" i="1" a="1"/>
  <c r="Q113" i="1" a="1"/>
  <c r="Q114" i="1" a="1"/>
  <c r="Q115" i="1" a="1"/>
  <c r="Q116" i="1" a="1"/>
  <c r="Q117" i="1" a="1"/>
  <c r="Q118" i="1" a="1"/>
  <c r="Q119" i="1" a="1"/>
  <c r="Q120" i="1" a="1"/>
  <c r="Q121" i="1" a="1"/>
  <c r="Q122" i="1" a="1"/>
  <c r="Q123" i="1" a="1"/>
  <c r="Q124" i="1" a="1"/>
  <c r="Q125" i="1" a="1"/>
  <c r="Q126" i="1" a="1"/>
  <c r="Q127" i="1" a="1"/>
  <c r="Q128" i="1" a="1"/>
  <c r="Q129" i="1" a="1"/>
  <c r="Q130" i="1" a="1"/>
  <c r="Q131" i="1" a="1"/>
  <c r="Q132" i="1" a="1"/>
  <c r="Q133" i="1" a="1"/>
  <c r="Q134" i="1" a="1"/>
  <c r="Q135" i="1" a="1"/>
  <c r="Q136" i="1" a="1"/>
  <c r="Q137" i="1" a="1"/>
  <c r="Q138" i="1" a="1"/>
  <c r="Q139" i="1" a="1"/>
  <c r="Q140" i="1" a="1"/>
  <c r="Q141" i="1" a="1"/>
  <c r="Q141" i="1"/>
  <c r="Q142" i="1" a="1"/>
  <c r="Q142" i="1"/>
  <c r="Q143" i="1" a="1"/>
  <c r="Q144" i="1" a="1"/>
  <c r="Q145" i="1" a="1"/>
  <c r="Q146" i="1" a="1"/>
  <c r="Q147" i="1" a="1"/>
  <c r="Q148" i="1" a="1"/>
  <c r="Q149" i="1" a="1"/>
  <c r="Q150" i="1" a="1"/>
  <c r="Q151" i="1" a="1"/>
  <c r="Q152" i="1" a="1"/>
  <c r="Q153" i="1" a="1"/>
  <c r="Q154" i="1" a="1"/>
  <c r="Q155" i="1" a="1"/>
  <c r="Q156" i="1" a="1"/>
  <c r="Q157" i="1" a="1"/>
  <c r="Q158" i="1" a="1"/>
  <c r="Q159" i="1" a="1"/>
  <c r="Q160" i="1" a="1"/>
  <c r="Q161" i="1" a="1"/>
  <c r="Q162" i="1" a="1"/>
  <c r="Q163" i="1" a="1"/>
  <c r="Q164" i="1" a="1"/>
  <c r="Q165" i="1" a="1"/>
  <c r="Q166" i="1" a="1"/>
  <c r="Q167" i="1" a="1"/>
  <c r="Q168" i="1" a="1"/>
  <c r="Q169" i="1" a="1"/>
  <c r="Q170" i="1" a="1"/>
  <c r="Q171" i="1" a="1"/>
  <c r="Q172" i="1" a="1"/>
  <c r="Q172" i="1"/>
  <c r="Q173" i="1" a="1"/>
  <c r="Q174" i="1" a="1"/>
  <c r="Q174" i="1"/>
  <c r="Q175" i="1" a="1"/>
  <c r="Q176" i="1" a="1"/>
  <c r="Q177" i="1" a="1"/>
  <c r="Q178" i="1" a="1"/>
  <c r="Q179" i="1" a="1"/>
  <c r="Q180" i="1" a="1"/>
  <c r="Q181" i="1" a="1"/>
  <c r="Q182" i="1" a="1"/>
  <c r="Q183" i="1" a="1"/>
  <c r="Q184" i="1" a="1"/>
  <c r="Q185" i="1" a="1"/>
  <c r="Q186" i="1" a="1"/>
  <c r="Q187" i="1" a="1"/>
  <c r="Q188" i="1" a="1"/>
  <c r="Q189" i="1" a="1"/>
  <c r="Q190" i="1" a="1"/>
  <c r="Q191" i="1" a="1"/>
  <c r="Q192" i="1" a="1"/>
  <c r="Q193" i="1" a="1"/>
  <c r="Q194" i="1" a="1"/>
  <c r="Q195" i="1" a="1"/>
  <c r="Q196" i="1" a="1"/>
  <c r="Q197" i="1" a="1"/>
  <c r="Q198" i="1" a="1"/>
  <c r="Q199" i="1" a="1"/>
  <c r="Q200" i="1" a="1"/>
  <c r="Q201" i="1" a="1"/>
  <c r="Q202" i="1" a="1"/>
  <c r="Q203" i="1" a="1"/>
  <c r="Q204" i="1" a="1"/>
  <c r="Q205" i="1" a="1"/>
  <c r="Q206" i="1" a="1"/>
  <c r="Q207" i="1" a="1"/>
  <c r="Q208" i="1" a="1"/>
  <c r="Q209" i="1" a="1"/>
  <c r="Q210" i="1" a="1"/>
  <c r="Q211" i="1" a="1"/>
  <c r="Q212" i="1" a="1"/>
  <c r="Q213" i="1" a="1"/>
  <c r="Q214" i="1" a="1"/>
  <c r="Q215" i="1" a="1"/>
  <c r="Q216" i="1" a="1"/>
  <c r="Q217" i="1" a="1"/>
  <c r="Q218" i="1" a="1"/>
  <c r="Q219" i="1" a="1"/>
  <c r="Q220" i="1" a="1"/>
  <c r="Q221" i="1" a="1"/>
  <c r="Q222" i="1" a="1"/>
  <c r="Q223" i="1" a="1"/>
  <c r="Q224" i="1" a="1"/>
  <c r="Q225" i="1" a="1"/>
  <c r="Q226" i="1" a="1"/>
  <c r="Q227" i="1" a="1"/>
  <c r="Q228" i="1" a="1"/>
  <c r="Q229" i="1" a="1"/>
  <c r="Q230" i="1" a="1"/>
  <c r="Q231" i="1" a="1"/>
  <c r="Q232" i="1" a="1"/>
  <c r="Q233" i="1" a="1"/>
  <c r="Q234" i="1" a="1"/>
  <c r="Q235" i="1" a="1"/>
  <c r="Q236" i="1" a="1"/>
  <c r="Q237" i="1" a="1"/>
  <c r="Q238" i="1" a="1"/>
  <c r="Q239" i="1" a="1"/>
  <c r="Q240" i="1" a="1"/>
  <c r="Q241" i="1" a="1"/>
  <c r="Q242" i="1" a="1"/>
  <c r="Q243" i="1" a="1"/>
  <c r="Q244" i="1" a="1"/>
  <c r="Q245" i="1" a="1"/>
  <c r="Q246" i="1" a="1"/>
  <c r="Q247" i="1" a="1"/>
  <c r="Q248" i="1" a="1"/>
  <c r="Q249" i="1" a="1"/>
  <c r="Q250" i="1" a="1"/>
  <c r="Q251" i="1" a="1"/>
  <c r="Q252" i="1" a="1"/>
  <c r="Q253" i="1" a="1"/>
  <c r="Q254" i="1" a="1"/>
  <c r="Q255" i="1" a="1"/>
  <c r="Q256" i="1" a="1"/>
  <c r="Q257" i="1" a="1"/>
  <c r="Q258" i="1" a="1"/>
  <c r="Q259" i="1" a="1"/>
  <c r="Q260" i="1" a="1"/>
  <c r="Q261" i="1" a="1"/>
  <c r="Q262" i="1" a="1"/>
  <c r="Q263" i="1" a="1"/>
  <c r="Q264" i="1" a="1"/>
  <c r="Q265" i="1" a="1"/>
  <c r="Q266" i="1" a="1"/>
  <c r="Q267" i="1" a="1"/>
  <c r="Q268" i="1" a="1"/>
  <c r="Q269" i="1" a="1"/>
  <c r="Q270" i="1" a="1"/>
  <c r="Q271" i="1" a="1"/>
  <c r="Q272" i="1" a="1"/>
  <c r="Q273" i="1" a="1"/>
  <c r="Q274" i="1" a="1"/>
  <c r="Q275" i="1" a="1"/>
  <c r="Q276" i="1" a="1"/>
  <c r="Q277" i="1" a="1"/>
  <c r="Q278" i="1" a="1"/>
  <c r="Q279" i="1" a="1"/>
  <c r="Q280" i="1" a="1"/>
  <c r="Q281" i="1" a="1"/>
  <c r="Q282" i="1" a="1"/>
  <c r="Q283" i="1" a="1"/>
  <c r="Q284" i="1" a="1"/>
  <c r="Q285" i="1" a="1"/>
  <c r="Q285" i="1"/>
  <c r="Q286" i="1" a="1"/>
  <c r="Q287" i="1" a="1"/>
  <c r="Q287" i="1"/>
  <c r="Q288" i="1" a="1"/>
  <c r="Q289" i="1" a="1"/>
  <c r="Q289" i="1"/>
  <c r="Q290" i="1" a="1"/>
  <c r="Q291" i="1" a="1"/>
  <c r="Q292" i="1" a="1"/>
  <c r="Q293" i="1" a="1"/>
  <c r="Q294" i="1" a="1"/>
  <c r="Q295" i="1" a="1"/>
  <c r="Q296" i="1" a="1"/>
  <c r="Q297" i="1" a="1"/>
  <c r="Q298" i="1" a="1"/>
  <c r="Q299" i="1" a="1"/>
  <c r="Q300" i="1" a="1"/>
  <c r="Q301" i="1" a="1"/>
  <c r="Q302" i="1" a="1"/>
  <c r="Q303" i="1" a="1"/>
  <c r="Q304" i="1" a="1"/>
  <c r="Q305" i="1" a="1"/>
  <c r="Q306" i="1" a="1"/>
  <c r="Q307" i="1" a="1"/>
  <c r="Q308" i="1" a="1"/>
  <c r="Q309" i="1" a="1"/>
  <c r="Q310" i="1" a="1"/>
  <c r="Q311" i="1" a="1"/>
  <c r="Q312" i="1" a="1"/>
  <c r="Q313" i="1" a="1"/>
  <c r="Q314" i="1" a="1"/>
  <c r="Q315" i="1" a="1"/>
  <c r="Q316" i="1" a="1"/>
  <c r="Q317" i="1" a="1"/>
  <c r="Q318" i="1" a="1"/>
  <c r="Q319" i="1" a="1"/>
  <c r="Q320" i="1" a="1"/>
  <c r="Q321" i="1" a="1"/>
  <c r="Q322" i="1" a="1"/>
  <c r="Q322" i="1"/>
  <c r="Q323" i="1" a="1"/>
  <c r="Q324" i="1" a="1"/>
  <c r="Q325" i="1" a="1"/>
  <c r="Q326" i="1" a="1"/>
  <c r="Q327" i="1" a="1"/>
  <c r="Q328" i="1" a="1"/>
  <c r="Q329" i="1" a="1"/>
  <c r="Q330" i="1" a="1"/>
  <c r="Q331" i="1" a="1"/>
  <c r="Q332" i="1" a="1"/>
  <c r="Q333" i="1" a="1"/>
  <c r="Q333" i="1"/>
  <c r="Q334" i="1" a="1"/>
  <c r="Q335" i="1" a="1"/>
  <c r="Q336" i="1" a="1"/>
  <c r="Q337" i="1" a="1"/>
  <c r="Q338" i="1" a="1"/>
  <c r="Q339" i="1" a="1"/>
  <c r="Q340" i="1" a="1"/>
  <c r="Q341" i="1" a="1"/>
  <c r="Q342" i="1" a="1"/>
  <c r="Q343" i="1" a="1"/>
  <c r="Q344" i="1" a="1"/>
  <c r="Q345" i="1" a="1"/>
  <c r="Q346" i="1" a="1"/>
  <c r="Q347" i="1" a="1"/>
  <c r="Q348" i="1" a="1"/>
  <c r="Q349" i="1" a="1"/>
  <c r="Q350" i="1" a="1"/>
  <c r="Q351" i="1" a="1"/>
  <c r="Q352" i="1" a="1"/>
  <c r="Q353" i="1" a="1"/>
  <c r="Q354" i="1" a="1"/>
  <c r="Q355" i="1" a="1"/>
  <c r="Q356" i="1" a="1"/>
  <c r="Q357" i="1" a="1"/>
  <c r="Q358" i="1" a="1"/>
  <c r="Q359" i="1" a="1"/>
  <c r="Q360" i="1" a="1"/>
  <c r="Q361" i="1" a="1"/>
  <c r="Q361" i="1"/>
  <c r="Q362" i="1" a="1"/>
  <c r="Q363" i="1" a="1"/>
  <c r="Q364" i="1" a="1"/>
  <c r="Q365" i="1" a="1"/>
  <c r="Q366" i="1" a="1"/>
  <c r="Q367" i="1" a="1"/>
  <c r="Q368" i="1" a="1"/>
  <c r="Q369" i="1" a="1"/>
  <c r="Q370" i="1" a="1"/>
  <c r="Q371" i="1" a="1"/>
  <c r="Q372" i="1" a="1"/>
  <c r="Q373" i="1" a="1"/>
  <c r="Q374" i="1" a="1"/>
  <c r="Q375" i="1" a="1"/>
  <c r="Q376" i="1" a="1"/>
  <c r="Q377" i="1" a="1"/>
  <c r="Q378" i="1" a="1"/>
  <c r="Q379" i="1" a="1"/>
  <c r="Q380" i="1" a="1"/>
  <c r="Q381" i="1" a="1"/>
  <c r="Q382" i="1" a="1"/>
  <c r="Q383" i="1" a="1"/>
  <c r="Q384" i="1" a="1"/>
  <c r="Q384" i="1"/>
  <c r="Q385" i="1" a="1"/>
  <c r="Q386" i="1" a="1"/>
  <c r="Q387" i="1" a="1"/>
  <c r="Q388" i="1" a="1"/>
  <c r="Q389" i="1" a="1"/>
  <c r="Q389" i="1"/>
  <c r="Q390" i="1" a="1"/>
  <c r="Q391" i="1" a="1"/>
  <c r="Q392" i="1" a="1"/>
  <c r="Q393" i="1" a="1"/>
  <c r="Q394" i="1" a="1"/>
  <c r="Q395" i="1" a="1"/>
  <c r="Q396" i="1" a="1"/>
  <c r="Q397" i="1" a="1"/>
  <c r="Q398" i="1" a="1"/>
  <c r="Q399" i="1" a="1"/>
  <c r="Q400" i="1" a="1"/>
  <c r="Q401" i="1" a="1"/>
  <c r="Q401" i="1"/>
  <c r="Q402" i="1" a="1"/>
  <c r="Q403" i="1" a="1"/>
  <c r="Q404" i="1" a="1"/>
  <c r="Q405" i="1" a="1"/>
  <c r="Q406" i="1" a="1"/>
  <c r="Q407" i="1" a="1"/>
  <c r="Q408" i="1" a="1"/>
  <c r="Q409" i="1" a="1"/>
  <c r="Q410" i="1" a="1"/>
  <c r="Q411" i="1" a="1"/>
  <c r="Q412" i="1" a="1"/>
  <c r="Q413" i="1" a="1"/>
  <c r="Q414" i="1" a="1"/>
  <c r="Q415" i="1" a="1"/>
  <c r="Q416" i="1" a="1"/>
  <c r="Q417" i="1" a="1"/>
  <c r="Q418" i="1" a="1"/>
  <c r="Q419" i="1" a="1"/>
  <c r="Q420" i="1" a="1"/>
  <c r="Q420" i="1"/>
  <c r="Q421" i="1" a="1"/>
  <c r="Q422" i="1" a="1"/>
  <c r="Q423" i="1" a="1"/>
  <c r="Q424" i="1" a="1"/>
  <c r="Q425" i="1" a="1"/>
  <c r="Q426" i="1" a="1"/>
  <c r="Q427" i="1" a="1"/>
  <c r="Q428" i="1" a="1"/>
  <c r="Q429" i="1" a="1"/>
  <c r="Q430" i="1" a="1"/>
  <c r="Q430" i="1"/>
  <c r="Q431" i="1" a="1"/>
  <c r="Q432" i="1" a="1"/>
  <c r="Q433" i="1" a="1"/>
  <c r="Q434" i="1" a="1"/>
  <c r="Q435" i="1" a="1"/>
  <c r="Q436" i="1" a="1"/>
  <c r="Q437" i="1" a="1"/>
  <c r="Q437" i="1"/>
  <c r="Q438" i="1" a="1"/>
  <c r="Q439" i="1" a="1"/>
  <c r="Q440" i="1" a="1"/>
  <c r="Q440" i="1"/>
  <c r="Q441" i="1" a="1"/>
  <c r="Q442" i="1" a="1"/>
  <c r="Q443" i="1" a="1"/>
  <c r="Q444" i="1" a="1"/>
  <c r="Q445" i="1" a="1"/>
  <c r="Q445" i="1"/>
  <c r="Q446" i="1" a="1"/>
  <c r="Q447" i="1" a="1"/>
  <c r="Q448" i="1" a="1"/>
  <c r="Q449" i="1" a="1"/>
  <c r="Q450" i="1" a="1"/>
  <c r="Q451" i="1" a="1"/>
  <c r="Q452" i="1" a="1"/>
  <c r="Q453" i="1" a="1"/>
  <c r="Q454" i="1" a="1"/>
  <c r="Q455" i="1" a="1"/>
  <c r="Q456" i="1" a="1"/>
  <c r="Q457" i="1" a="1"/>
  <c r="Q458" i="1" a="1"/>
  <c r="Q459" i="1" a="1"/>
  <c r="Q460" i="1" a="1"/>
  <c r="Q461" i="1" a="1"/>
  <c r="Q462" i="1" a="1"/>
  <c r="Q463" i="1" a="1"/>
  <c r="Q464" i="1" a="1"/>
  <c r="Q465" i="1" a="1"/>
  <c r="Q466" i="1" a="1"/>
  <c r="Q467" i="1" a="1"/>
  <c r="Q468" i="1" a="1"/>
  <c r="Q469" i="1" a="1"/>
  <c r="Q470" i="1" a="1"/>
  <c r="Q471" i="1" a="1"/>
  <c r="Q471" i="1"/>
  <c r="Q472" i="1" a="1"/>
  <c r="Q473" i="1" a="1"/>
  <c r="Q474" i="1" a="1"/>
  <c r="Q475" i="1" a="1"/>
  <c r="Q476" i="1" a="1"/>
  <c r="Q477" i="1" a="1"/>
  <c r="Q478" i="1" a="1"/>
  <c r="Q479" i="1" a="1"/>
  <c r="Q480" i="1" a="1"/>
  <c r="Q481" i="1" a="1"/>
  <c r="Q482" i="1" a="1"/>
  <c r="Q483" i="1" a="1"/>
  <c r="Q484" i="1" a="1"/>
  <c r="Q485" i="1" a="1"/>
  <c r="Q486" i="1" a="1"/>
  <c r="Q487" i="1" a="1"/>
  <c r="Q488" i="1" a="1"/>
  <c r="Q489" i="1" a="1"/>
  <c r="Q490" i="1" a="1"/>
  <c r="Q491" i="1" a="1"/>
  <c r="Q492" i="1" a="1"/>
  <c r="Q493" i="1" a="1"/>
  <c r="Q494" i="1" a="1"/>
  <c r="Q495" i="1" a="1"/>
  <c r="Q496" i="1" a="1"/>
  <c r="Q497" i="1" a="1"/>
  <c r="Q498" i="1" a="1"/>
  <c r="Q499" i="1" a="1"/>
  <c r="Q499" i="1"/>
  <c r="Q500" i="1" a="1"/>
  <c r="Q501" i="1" a="1"/>
  <c r="Q502" i="1" a="1"/>
  <c r="Q503" i="1" a="1"/>
  <c r="Q504" i="1" a="1"/>
  <c r="Q505" i="1" a="1"/>
  <c r="Q505" i="1"/>
  <c r="Q506" i="1" a="1"/>
  <c r="Q507" i="1" a="1"/>
  <c r="Q508" i="1" a="1"/>
  <c r="Q509" i="1" a="1"/>
  <c r="Q510" i="1" a="1"/>
  <c r="Q511" i="1" a="1"/>
  <c r="Q512" i="1" a="1"/>
  <c r="Q512" i="1"/>
  <c r="Q513" i="1" a="1"/>
  <c r="Q514" i="1" a="1"/>
  <c r="Q515" i="1" a="1"/>
  <c r="Q516" i="1" a="1"/>
  <c r="Q517" i="1" a="1"/>
  <c r="Q518" i="1" a="1"/>
  <c r="Q519" i="1" a="1"/>
  <c r="Q520" i="1" a="1"/>
  <c r="Q521" i="1" a="1"/>
  <c r="Q522" i="1" a="1"/>
  <c r="Q523" i="1" a="1"/>
  <c r="Q524" i="1" a="1"/>
  <c r="Q525" i="1" a="1"/>
  <c r="Q526" i="1" a="1"/>
  <c r="Q527" i="1" a="1"/>
  <c r="Q528" i="1" a="1"/>
  <c r="Q529" i="1" a="1"/>
  <c r="Q530" i="1" a="1"/>
  <c r="Q531" i="1" a="1"/>
  <c r="Q531" i="1"/>
  <c r="Q532" i="1" a="1"/>
  <c r="Q533" i="1" a="1"/>
  <c r="Q534" i="1" a="1"/>
  <c r="Q535" i="1" a="1"/>
  <c r="Q536" i="1" a="1"/>
  <c r="Q537" i="1" a="1"/>
  <c r="Q538" i="1" a="1"/>
  <c r="Q539" i="1" a="1"/>
  <c r="Q540" i="1" a="1"/>
  <c r="Q540" i="1"/>
  <c r="Q541" i="1" a="1"/>
  <c r="Q542" i="1" a="1"/>
  <c r="Q543" i="1" a="1"/>
  <c r="Q544" i="1" a="1"/>
  <c r="Q545" i="1" a="1"/>
  <c r="Q546" i="1" a="1"/>
  <c r="Q547" i="1" a="1"/>
  <c r="Q548" i="1" a="1"/>
  <c r="Q549" i="1" a="1"/>
  <c r="Q550" i="1" a="1"/>
  <c r="Q551" i="1" a="1"/>
  <c r="Q552" i="1" a="1"/>
  <c r="Q553" i="1" a="1"/>
  <c r="Q554" i="1" a="1"/>
  <c r="Q555" i="1" a="1"/>
  <c r="Q556" i="1" a="1"/>
  <c r="Q557" i="1" a="1"/>
  <c r="Q558" i="1" a="1"/>
  <c r="Q559" i="1" a="1"/>
  <c r="Q560" i="1" a="1"/>
  <c r="Q561" i="1" a="1"/>
  <c r="Q562" i="1" a="1"/>
  <c r="Q563" i="1" a="1"/>
  <c r="Q564" i="1" a="1"/>
  <c r="Q565" i="1" a="1"/>
  <c r="Q566" i="1" a="1"/>
  <c r="Q567" i="1" a="1"/>
  <c r="Q568" i="1" a="1"/>
  <c r="Q569" i="1" a="1"/>
  <c r="Q570" i="1" a="1"/>
  <c r="Q571" i="1" a="1"/>
  <c r="Q572" i="1" a="1"/>
  <c r="Q573" i="1" a="1"/>
  <c r="Q574" i="1" a="1"/>
  <c r="Q574" i="1"/>
  <c r="Q575" i="1" a="1"/>
  <c r="Q576" i="1" a="1"/>
  <c r="Q577" i="1" a="1"/>
  <c r="Q578" i="1" a="1"/>
  <c r="Q579" i="1" a="1"/>
  <c r="Q580" i="1" a="1"/>
  <c r="Q581" i="1" a="1"/>
  <c r="Q582" i="1" a="1"/>
  <c r="Q583" i="1" a="1"/>
  <c r="Q584" i="1" a="1"/>
  <c r="Q585" i="1" a="1"/>
  <c r="Q586" i="1" a="1"/>
  <c r="Q587" i="1" a="1"/>
  <c r="Q588" i="1" a="1"/>
  <c r="Q589" i="1" a="1"/>
  <c r="Q590" i="1" a="1"/>
  <c r="Q591" i="1" a="1"/>
  <c r="Q592" i="1" a="1"/>
  <c r="Q593" i="1" a="1"/>
  <c r="Q594" i="1" a="1"/>
  <c r="Q595" i="1" a="1"/>
  <c r="Q596" i="1" a="1"/>
  <c r="Q597" i="1" a="1"/>
  <c r="Q598" i="1" a="1"/>
  <c r="Q599" i="1" a="1"/>
  <c r="Q600" i="1" a="1"/>
  <c r="Q600" i="1"/>
  <c r="Q601" i="1" a="1"/>
  <c r="Q602" i="1" a="1"/>
  <c r="Q603" i="1" a="1"/>
  <c r="Q604" i="1" a="1"/>
  <c r="Q605" i="1" a="1"/>
  <c r="Q606" i="1" a="1"/>
  <c r="Q607" i="1" a="1"/>
  <c r="Q608" i="1" a="1"/>
  <c r="Q609" i="1" a="1"/>
  <c r="Q610" i="1" a="1"/>
  <c r="Q611" i="1" a="1"/>
  <c r="Q612" i="1" a="1"/>
  <c r="Q613" i="1" a="1"/>
  <c r="Q614" i="1" a="1"/>
  <c r="Q615" i="1" a="1"/>
  <c r="Q616" i="1" a="1"/>
  <c r="Q617" i="1" a="1"/>
  <c r="Q618" i="1" a="1"/>
  <c r="Q619" i="1" a="1"/>
  <c r="Q620" i="1" a="1"/>
  <c r="Q621" i="1" a="1"/>
  <c r="Q622" i="1" a="1"/>
  <c r="Q623" i="1" a="1"/>
  <c r="Q624" i="1" a="1"/>
  <c r="Q625" i="1" a="1"/>
  <c r="Q626" i="1" a="1"/>
  <c r="Q627" i="1" a="1"/>
  <c r="Q628" i="1" a="1"/>
  <c r="Q629" i="1" a="1"/>
  <c r="Q630" i="1" a="1"/>
  <c r="Q631" i="1" a="1"/>
  <c r="Q632" i="1" a="1"/>
  <c r="Q633" i="1" a="1"/>
  <c r="Q634" i="1" a="1"/>
  <c r="Q635" i="1" a="1"/>
  <c r="Q636" i="1" a="1"/>
  <c r="Q637" i="1" a="1"/>
  <c r="Q638" i="1" a="1"/>
  <c r="Q639" i="1" a="1"/>
  <c r="Q640" i="1" a="1"/>
  <c r="Q640" i="1"/>
  <c r="Q641" i="1" a="1"/>
  <c r="Q642" i="1" a="1"/>
  <c r="Q642" i="1"/>
  <c r="Q643" i="1" a="1"/>
  <c r="Q644" i="1" a="1"/>
  <c r="Q645" i="1" a="1"/>
  <c r="Q646" i="1" a="1"/>
  <c r="Q647" i="1" a="1"/>
  <c r="Q648" i="1" a="1"/>
  <c r="Q649" i="1" a="1"/>
  <c r="Q650" i="1" a="1"/>
  <c r="Q651" i="1" a="1"/>
  <c r="Q652" i="1" a="1"/>
  <c r="Q653" i="1" a="1"/>
  <c r="Q654" i="1" a="1"/>
  <c r="Q655" i="1" a="1"/>
  <c r="Q656" i="1" a="1"/>
  <c r="Q657" i="1" a="1"/>
  <c r="Q658" i="1" a="1"/>
  <c r="Q659" i="1" a="1"/>
  <c r="Q660" i="1" a="1"/>
  <c r="Q661" i="1" a="1"/>
  <c r="Q662" i="1" a="1"/>
  <c r="Q663" i="1" a="1"/>
  <c r="Q664" i="1" a="1"/>
  <c r="Q665" i="1" a="1"/>
  <c r="Q666" i="1" a="1"/>
  <c r="Q667" i="1" a="1"/>
  <c r="Q668" i="1" a="1"/>
  <c r="Q669" i="1" a="1"/>
  <c r="Q670" i="1" a="1"/>
  <c r="Q671" i="1" a="1"/>
  <c r="Q672" i="1" a="1"/>
  <c r="Q673" i="1" a="1"/>
  <c r="Q674" i="1" a="1"/>
  <c r="Q675" i="1" a="1"/>
  <c r="Q676" i="1" a="1"/>
  <c r="Q677" i="1" a="1"/>
  <c r="Q678" i="1" a="1"/>
  <c r="Q679" i="1" a="1"/>
  <c r="Q680" i="1" a="1"/>
  <c r="Q681" i="1" a="1"/>
  <c r="Q682" i="1" a="1"/>
  <c r="Q683" i="1" a="1"/>
  <c r="Q684" i="1" a="1"/>
  <c r="Q685" i="1" a="1"/>
  <c r="Q686" i="1" a="1"/>
  <c r="Q686" i="1"/>
  <c r="Q687" i="1" a="1"/>
  <c r="Q688" i="1" a="1"/>
  <c r="Q689" i="1" a="1"/>
  <c r="Q690" i="1" a="1"/>
  <c r="Q691" i="1" a="1"/>
  <c r="Q692" i="1" a="1"/>
  <c r="Q693" i="1" a="1"/>
  <c r="Q693" i="1"/>
  <c r="Q694" i="1" a="1"/>
  <c r="Q695" i="1" a="1"/>
  <c r="Q696" i="1" a="1"/>
  <c r="Q697" i="1" a="1"/>
  <c r="Q698" i="1" a="1"/>
  <c r="Q699" i="1" a="1"/>
  <c r="Q700" i="1" a="1"/>
  <c r="Q701" i="1" a="1"/>
  <c r="Q702" i="1" a="1"/>
  <c r="Q703" i="1" a="1"/>
  <c r="Q704" i="1" a="1"/>
  <c r="Q705" i="1" a="1"/>
  <c r="Q706" i="1" a="1"/>
  <c r="Q707" i="1" a="1"/>
  <c r="Q708" i="1" a="1"/>
  <c r="Q709" i="1" a="1"/>
  <c r="Q710" i="1" a="1"/>
  <c r="Q711" i="1" a="1"/>
  <c r="Q712" i="1" a="1"/>
  <c r="Q713" i="1" a="1"/>
  <c r="Q714" i="1" a="1"/>
  <c r="Q715" i="1" a="1"/>
  <c r="Q716" i="1" a="1"/>
  <c r="Q717" i="1" a="1"/>
  <c r="Q718" i="1" a="1"/>
  <c r="Q719" i="1" a="1"/>
  <c r="Q720" i="1" a="1"/>
  <c r="Q721" i="1" a="1"/>
  <c r="Q722" i="1" a="1"/>
  <c r="Q723" i="1" a="1"/>
  <c r="Q724" i="1" a="1"/>
  <c r="Q725" i="1" a="1"/>
  <c r="Q726" i="1" a="1"/>
  <c r="Q727" i="1" a="1"/>
  <c r="Q728" i="1" a="1"/>
  <c r="Q729" i="1" a="1"/>
  <c r="Q730" i="1" a="1"/>
  <c r="Q730" i="1"/>
  <c r="Q731" i="1" a="1"/>
  <c r="Q732" i="1" a="1"/>
  <c r="Q733" i="1" a="1"/>
  <c r="Q734" i="1" a="1"/>
  <c r="Q735" i="1" a="1"/>
  <c r="Q736" i="1" a="1"/>
  <c r="Q737" i="1" a="1"/>
  <c r="Q738" i="1" a="1"/>
  <c r="Q739" i="1" a="1"/>
  <c r="Q740" i="1" a="1"/>
  <c r="Q740" i="1"/>
  <c r="Q741" i="1" a="1"/>
  <c r="Q742" i="1" a="1"/>
  <c r="Q743" i="1" a="1"/>
  <c r="Q744" i="1" a="1"/>
  <c r="Q745" i="1" a="1"/>
  <c r="Q746" i="1" a="1"/>
  <c r="Q747" i="1" a="1"/>
  <c r="Q748" i="1" a="1"/>
  <c r="Q749" i="1" a="1"/>
  <c r="Q750" i="1" a="1"/>
  <c r="Q751" i="1" a="1"/>
  <c r="Q752" i="1" a="1"/>
  <c r="Q753" i="1" a="1"/>
  <c r="Q754" i="1" a="1"/>
  <c r="Q755" i="1" a="1"/>
  <c r="Q756" i="1" a="1"/>
  <c r="Q757" i="1" a="1"/>
  <c r="Q757" i="1"/>
  <c r="Q758" i="1" a="1"/>
  <c r="Q759" i="1" a="1"/>
  <c r="Q760" i="1" a="1"/>
  <c r="Q761" i="1" a="1"/>
  <c r="Q762" i="1" a="1"/>
  <c r="Q763" i="1" a="1"/>
  <c r="Q764" i="1" a="1"/>
  <c r="Q764" i="1"/>
  <c r="Q765" i="1" a="1"/>
  <c r="Q766" i="1" a="1"/>
  <c r="Q767" i="1" a="1"/>
  <c r="Q767" i="1"/>
  <c r="Q768" i="1" a="1"/>
  <c r="Q769" i="1" a="1"/>
  <c r="Q770" i="1" a="1"/>
  <c r="Q771" i="1" a="1"/>
  <c r="Q772" i="1" a="1"/>
  <c r="Q773" i="1" a="1"/>
  <c r="Q774" i="1" a="1"/>
  <c r="Q775" i="1" a="1"/>
  <c r="Q776" i="1" a="1"/>
  <c r="Q777" i="1" a="1"/>
  <c r="Q778" i="1" a="1"/>
  <c r="Q779" i="1" a="1"/>
  <c r="Q780" i="1" a="1"/>
  <c r="Q781" i="1" a="1"/>
  <c r="Q781" i="1"/>
  <c r="Q782" i="1" a="1"/>
  <c r="Q783" i="1" a="1"/>
  <c r="Q784" i="1" a="1"/>
  <c r="Q784" i="1"/>
  <c r="Q785" i="1" a="1"/>
  <c r="Q786" i="1" a="1"/>
  <c r="Q787" i="1" a="1"/>
  <c r="Q788" i="1" a="1"/>
  <c r="Q789" i="1" a="1"/>
  <c r="Q790" i="1" a="1"/>
  <c r="Q791" i="1" a="1"/>
  <c r="Q792" i="1" a="1"/>
  <c r="Q793" i="1" a="1"/>
  <c r="Q794" i="1" a="1"/>
  <c r="Q795" i="1" a="1"/>
  <c r="Q796" i="1" a="1"/>
  <c r="Q797" i="1" a="1"/>
  <c r="Q798" i="1" a="1"/>
  <c r="Q799" i="1" a="1"/>
  <c r="Q800" i="1" a="1"/>
  <c r="Q801" i="1" a="1"/>
  <c r="Q802" i="1" a="1"/>
  <c r="Q803" i="1" a="1"/>
  <c r="Q804" i="1" a="1"/>
  <c r="Q805" i="1" a="1"/>
  <c r="Q806" i="1" a="1"/>
  <c r="Q807" i="1" a="1"/>
  <c r="Q808" i="1" a="1"/>
  <c r="Q809" i="1" a="1"/>
  <c r="Q810" i="1" a="1"/>
  <c r="Q811" i="1" a="1"/>
  <c r="Q812" i="1" a="1"/>
  <c r="Q813" i="1" a="1"/>
  <c r="Q814" i="1" a="1"/>
  <c r="Q815" i="1" a="1"/>
  <c r="Q816" i="1" a="1"/>
  <c r="Q817" i="1" a="1"/>
  <c r="Q818" i="1" a="1"/>
  <c r="Q819" i="1" a="1"/>
  <c r="Q820" i="1" a="1"/>
  <c r="Q821" i="1" a="1"/>
  <c r="Q822" i="1" a="1"/>
  <c r="Q823" i="1" a="1"/>
  <c r="Q824" i="1" a="1"/>
  <c r="Q825" i="1" a="1"/>
  <c r="Q826" i="1" a="1"/>
  <c r="Q827" i="1" a="1"/>
  <c r="Q828" i="1" a="1"/>
  <c r="Q829" i="1" a="1"/>
  <c r="Q830" i="1" a="1"/>
  <c r="Q831" i="1" a="1"/>
  <c r="Q832" i="1" a="1"/>
  <c r="Q833" i="1" a="1"/>
  <c r="Q834" i="1" a="1"/>
  <c r="Q835" i="1" a="1"/>
  <c r="Q836" i="1" a="1"/>
  <c r="Q837" i="1" a="1"/>
  <c r="Q837" i="1"/>
  <c r="Q838" i="1" a="1"/>
  <c r="Q839" i="1" a="1"/>
  <c r="Q840" i="1" a="1"/>
  <c r="Q841" i="1" a="1"/>
  <c r="Q842" i="1" a="1"/>
  <c r="Q843" i="1" a="1"/>
  <c r="Q844" i="1" a="1"/>
  <c r="Q845" i="1" a="1"/>
  <c r="Q846" i="1" a="1"/>
  <c r="Q847" i="1" a="1"/>
  <c r="Q848" i="1" a="1"/>
  <c r="Q848" i="1"/>
  <c r="Q849" i="1" a="1"/>
  <c r="Q850" i="1" a="1"/>
  <c r="Q850" i="1"/>
  <c r="Q851" i="1" a="1"/>
  <c r="Q852" i="1" a="1"/>
  <c r="Q853" i="1" a="1"/>
  <c r="Q854" i="1" a="1"/>
  <c r="Q855" i="1" a="1"/>
  <c r="Q856" i="1" a="1"/>
  <c r="Q857" i="1" a="1"/>
  <c r="Q858" i="1" a="1"/>
  <c r="Q859" i="1" a="1"/>
  <c r="Q860" i="1" a="1"/>
  <c r="Q861" i="1" a="1"/>
  <c r="Q862" i="1" a="1"/>
  <c r="Q863" i="1" a="1"/>
  <c r="Q864" i="1" a="1"/>
  <c r="Q865" i="1" a="1"/>
  <c r="Q866" i="1" a="1"/>
  <c r="Q867" i="1" a="1"/>
  <c r="Q868" i="1" a="1"/>
  <c r="Q869" i="1" a="1"/>
  <c r="Q870" i="1" a="1"/>
  <c r="Q871" i="1" a="1"/>
  <c r="Q872" i="1" a="1"/>
  <c r="Q873" i="1" a="1"/>
  <c r="Q874" i="1" a="1"/>
  <c r="Q875" i="1" a="1"/>
  <c r="Q876" i="1" a="1"/>
  <c r="Q877" i="1" a="1"/>
  <c r="Q878" i="1" a="1"/>
  <c r="Q879" i="1" a="1"/>
  <c r="Q880" i="1" a="1"/>
  <c r="Q881" i="1" a="1"/>
  <c r="Q882" i="1" a="1"/>
  <c r="Q883" i="1" a="1"/>
  <c r="Q884" i="1" a="1"/>
  <c r="Q885" i="1" a="1"/>
  <c r="Q885" i="1"/>
  <c r="Q886" i="1" a="1"/>
  <c r="Q887" i="1" a="1"/>
  <c r="Q888" i="1" a="1"/>
  <c r="Q889" i="1" a="1"/>
  <c r="Q890" i="1" a="1"/>
  <c r="Q891" i="1" a="1"/>
  <c r="Q892" i="1" a="1"/>
  <c r="Q893" i="1" a="1"/>
  <c r="Q894" i="1" a="1"/>
  <c r="Q895" i="1" a="1"/>
  <c r="Q896" i="1" a="1"/>
  <c r="Q897" i="1" a="1"/>
  <c r="Q898" i="1" a="1"/>
  <c r="Q899" i="1" a="1"/>
  <c r="Q900" i="1" a="1"/>
  <c r="Q901" i="1" a="1"/>
  <c r="Q902" i="1" a="1"/>
  <c r="Q903" i="1" a="1"/>
  <c r="Q904" i="1" a="1"/>
  <c r="Q905" i="1" a="1"/>
  <c r="Q906" i="1" a="1"/>
  <c r="Q907" i="1" a="1"/>
  <c r="Q908" i="1" a="1"/>
  <c r="Q909" i="1" a="1"/>
  <c r="Q910" i="1" a="1"/>
  <c r="Q911" i="1" a="1"/>
  <c r="Q912" i="1" a="1"/>
  <c r="Q913" i="1" a="1"/>
  <c r="Q914" i="1" a="1"/>
  <c r="Q915" i="1" a="1"/>
  <c r="Q916" i="1" a="1"/>
  <c r="Q917" i="1" a="1"/>
  <c r="Q917" i="1"/>
  <c r="Q918" i="1" a="1"/>
  <c r="Q918" i="1"/>
  <c r="Q919" i="1" a="1"/>
  <c r="Q920" i="1" a="1"/>
  <c r="Q920" i="1"/>
  <c r="Q921" i="1" a="1"/>
  <c r="Q922" i="1" a="1"/>
  <c r="Q923" i="1" a="1"/>
  <c r="Q924" i="1" a="1"/>
  <c r="Q925" i="1" a="1"/>
  <c r="Q926" i="1" a="1"/>
  <c r="Q927" i="1" a="1"/>
  <c r="Q928" i="1" a="1"/>
  <c r="Q929" i="1" a="1"/>
  <c r="Q930" i="1" a="1"/>
  <c r="Q931" i="1" a="1"/>
  <c r="Q932" i="1" a="1"/>
  <c r="Q933" i="1" a="1"/>
  <c r="Q933" i="1"/>
  <c r="Q934" i="1" a="1"/>
  <c r="Q935" i="1" a="1"/>
  <c r="Q936" i="1" a="1"/>
  <c r="Q937" i="1" a="1"/>
  <c r="Q938" i="1" a="1"/>
  <c r="Q939" i="1" a="1"/>
  <c r="Q940" i="1" a="1"/>
  <c r="Q941" i="1" a="1"/>
  <c r="Q942" i="1" a="1"/>
  <c r="Q943" i="1" a="1"/>
  <c r="Q944" i="1" a="1"/>
  <c r="Q945" i="1" a="1"/>
  <c r="Q946" i="1" a="1"/>
  <c r="Q947" i="1" a="1"/>
  <c r="Q948" i="1" a="1"/>
  <c r="Q949" i="1" a="1"/>
  <c r="Q950" i="1" a="1"/>
  <c r="Q951" i="1" a="1"/>
  <c r="Q952" i="1" a="1"/>
  <c r="Q952" i="1"/>
  <c r="Q953" i="1" a="1"/>
  <c r="Q954" i="1" a="1"/>
  <c r="Q955" i="1" a="1"/>
  <c r="Q956" i="1" a="1"/>
  <c r="Q956" i="1"/>
  <c r="Q957" i="1" a="1"/>
  <c r="Q958" i="1" a="1"/>
  <c r="Q959" i="1" a="1"/>
  <c r="Q960" i="1" a="1"/>
  <c r="Q961" i="1" a="1"/>
  <c r="Q962" i="1" a="1"/>
  <c r="Q963" i="1" a="1"/>
  <c r="Q964" i="1" a="1"/>
  <c r="Q965" i="1" a="1"/>
  <c r="Q965" i="1"/>
  <c r="Q966" i="1" a="1"/>
  <c r="Q967" i="1" a="1"/>
  <c r="Q968" i="1" a="1"/>
  <c r="Q968" i="1"/>
  <c r="Q969" i="1" a="1"/>
  <c r="Q969" i="1"/>
  <c r="Q970" i="1" a="1"/>
  <c r="Q970" i="1"/>
  <c r="Q971" i="1" a="1"/>
  <c r="Q971" i="1"/>
  <c r="Q972" i="1" a="1"/>
  <c r="Q972" i="1"/>
  <c r="Q973" i="1" a="1"/>
  <c r="Q973" i="1"/>
  <c r="Q974" i="1" a="1"/>
  <c r="Q974" i="1"/>
  <c r="Q975" i="1" a="1"/>
  <c r="Q975" i="1"/>
  <c r="Q976" i="1" a="1"/>
  <c r="Q976" i="1"/>
  <c r="Q977" i="1" a="1"/>
  <c r="Q977" i="1"/>
  <c r="Q978" i="1" a="1"/>
  <c r="Q978" i="1"/>
  <c r="Q979" i="1" a="1"/>
  <c r="Q979" i="1"/>
  <c r="Q980" i="1" a="1"/>
  <c r="Q980" i="1"/>
  <c r="Q981" i="1" a="1"/>
  <c r="Q981" i="1"/>
  <c r="Q982" i="1" a="1"/>
  <c r="Q982" i="1"/>
  <c r="Q983" i="1" a="1"/>
  <c r="Q983" i="1"/>
  <c r="Q984" i="1" a="1"/>
  <c r="Q984" i="1"/>
  <c r="Q985" i="1" a="1"/>
  <c r="Q985" i="1"/>
  <c r="Q986" i="1" a="1"/>
  <c r="Q986" i="1"/>
  <c r="Q987" i="1" a="1"/>
  <c r="Q987" i="1"/>
  <c r="Q988" i="1" a="1"/>
  <c r="Q988" i="1"/>
  <c r="Q989" i="1" a="1"/>
  <c r="Q989" i="1"/>
  <c r="Q990" i="1" a="1"/>
  <c r="Q990" i="1"/>
  <c r="Q991" i="1" a="1"/>
  <c r="Q991" i="1"/>
  <c r="Q992" i="1" a="1"/>
  <c r="Q992" i="1"/>
  <c r="Q993" i="1" a="1"/>
  <c r="Q993" i="1"/>
  <c r="Q994" i="1" a="1"/>
  <c r="Q994" i="1"/>
  <c r="Q995" i="1" a="1"/>
  <c r="Q995" i="1"/>
  <c r="Q996" i="1" a="1"/>
  <c r="Q996" i="1"/>
  <c r="Q997" i="1" a="1"/>
  <c r="Q997" i="1"/>
  <c r="Q998" i="1" a="1"/>
  <c r="Q998" i="1"/>
  <c r="Q999" i="1" a="1"/>
  <c r="Q999" i="1"/>
  <c r="Q1000" i="1" a="1"/>
  <c r="Q1000" i="1"/>
  <c r="Q1001" i="1" a="1"/>
  <c r="Q1001" i="1"/>
  <c r="Q1002" i="1" a="1"/>
  <c r="Q1002" i="1"/>
  <c r="Q1003" i="1" a="1"/>
  <c r="Q1003" i="1"/>
  <c r="Q1004" i="1" a="1"/>
  <c r="Q1004" i="1"/>
  <c r="Q1005" i="1" a="1"/>
  <c r="Q1005" i="1"/>
  <c r="Q1006" i="1" a="1"/>
  <c r="Q1006" i="1"/>
  <c r="Q1007" i="1" a="1"/>
  <c r="Q1007" i="1"/>
  <c r="Q1008" i="1" a="1"/>
  <c r="Q1008" i="1"/>
  <c r="Q1009" i="1" a="1"/>
  <c r="Q1009" i="1"/>
  <c r="Q1010" i="1" a="1"/>
  <c r="Q1010" i="1"/>
  <c r="Q1011" i="1" a="1"/>
  <c r="Q1011" i="1"/>
  <c r="Q1012" i="1" a="1"/>
  <c r="Q1012" i="1"/>
  <c r="Q1013" i="1" a="1"/>
  <c r="Q1013" i="1"/>
  <c r="Q1014" i="1" a="1"/>
  <c r="Q1014" i="1"/>
  <c r="Q1015" i="1" a="1"/>
  <c r="Q1015" i="1"/>
  <c r="Q1016" i="1" a="1"/>
  <c r="Q1016" i="1"/>
  <c r="Q1017" i="1" a="1"/>
  <c r="Q1017" i="1"/>
  <c r="Q1018" i="1" a="1"/>
  <c r="Q1018" i="1"/>
  <c r="Q1019" i="1" a="1"/>
  <c r="Q1019" i="1"/>
  <c r="Q1020" i="1" a="1"/>
  <c r="Q1020" i="1"/>
  <c r="Q1021" i="1" a="1"/>
  <c r="Q1021" i="1"/>
  <c r="Q1022" i="1" a="1"/>
  <c r="Q1022" i="1"/>
  <c r="Q1023" i="1" a="1"/>
  <c r="Q1023" i="1"/>
  <c r="Q1024" i="1" a="1"/>
  <c r="Q1024" i="1"/>
  <c r="Q1025" i="1" a="1"/>
  <c r="Q1025" i="1"/>
  <c r="Q1026" i="1" a="1"/>
  <c r="Q1026" i="1"/>
  <c r="Q1027" i="1" a="1"/>
  <c r="Q1027" i="1"/>
  <c r="Q1028" i="1" a="1"/>
  <c r="Q1028" i="1"/>
  <c r="Q1029" i="1" a="1"/>
  <c r="Q1029" i="1"/>
  <c r="Q1030" i="1" a="1"/>
  <c r="Q1030" i="1"/>
  <c r="Q1031" i="1" a="1"/>
  <c r="Q1031" i="1"/>
  <c r="Q1032" i="1" a="1"/>
  <c r="Q1032" i="1"/>
  <c r="Q1033" i="1" a="1"/>
  <c r="Q1033" i="1"/>
  <c r="Q1034" i="1" a="1"/>
  <c r="Q1034" i="1"/>
  <c r="Q1035" i="1" a="1"/>
  <c r="Q1035" i="1"/>
  <c r="Q1036" i="1" a="1"/>
  <c r="Q1036" i="1"/>
  <c r="Q1037" i="1" a="1"/>
  <c r="Q1037" i="1"/>
  <c r="Q1038" i="1" a="1"/>
  <c r="Q1038" i="1"/>
  <c r="Q1039" i="1" a="1"/>
  <c r="Q1039" i="1"/>
  <c r="Q1040" i="1" a="1"/>
  <c r="Q1040" i="1"/>
  <c r="Q1041" i="1" a="1"/>
  <c r="Q1041" i="1"/>
  <c r="Q1042" i="1" a="1"/>
  <c r="Q1042" i="1"/>
  <c r="Q1043" i="1" a="1"/>
  <c r="Q1043" i="1"/>
  <c r="Q1044" i="1" a="1"/>
  <c r="Q1044" i="1"/>
  <c r="Q1045" i="1" a="1"/>
  <c r="Q1045" i="1"/>
  <c r="Q1046" i="1" a="1"/>
  <c r="Q1046" i="1"/>
  <c r="Q1047" i="1" a="1"/>
  <c r="Q1047" i="1"/>
  <c r="Q1048" i="1" a="1"/>
  <c r="Q1048" i="1"/>
  <c r="Q1049" i="1" a="1"/>
  <c r="Q1049" i="1"/>
  <c r="Q1050" i="1" a="1"/>
  <c r="Q1050" i="1"/>
  <c r="Q1051" i="1" a="1"/>
  <c r="Q1051" i="1"/>
  <c r="Q1052" i="1" a="1"/>
  <c r="Q1052" i="1"/>
  <c r="Q1053" i="1" a="1"/>
  <c r="Q1053" i="1"/>
  <c r="Q1054" i="1" a="1"/>
  <c r="Q1054" i="1"/>
  <c r="Q1055" i="1" a="1"/>
  <c r="Q1055" i="1"/>
  <c r="Q1056" i="1" a="1"/>
  <c r="Q1056" i="1"/>
  <c r="Q1057" i="1" a="1"/>
  <c r="Q1057" i="1"/>
  <c r="Q1058" i="1" a="1"/>
  <c r="Q1058" i="1"/>
  <c r="Q1059" i="1" a="1"/>
  <c r="Q1059" i="1"/>
  <c r="Q1060" i="1" a="1"/>
  <c r="Q1060" i="1"/>
  <c r="Q1061" i="1" a="1"/>
  <c r="Q1061" i="1"/>
  <c r="Q1062" i="1" a="1"/>
  <c r="Q1062" i="1"/>
  <c r="Q1063" i="1" a="1"/>
  <c r="Q1063" i="1"/>
  <c r="Q1064" i="1" a="1"/>
  <c r="Q1064" i="1"/>
  <c r="Q1065" i="1" a="1"/>
  <c r="Q1065" i="1"/>
  <c r="Q1066" i="1" a="1"/>
  <c r="Q1066" i="1"/>
  <c r="Q1067" i="1" a="1"/>
  <c r="Q1067" i="1"/>
  <c r="Q1068" i="1" a="1"/>
  <c r="Q1068" i="1"/>
  <c r="Q1069" i="1" a="1"/>
  <c r="Q1069" i="1"/>
  <c r="Q1070" i="1" a="1"/>
  <c r="Q1070" i="1"/>
  <c r="Q1071" i="1" a="1"/>
  <c r="Q1071" i="1"/>
  <c r="Q1072" i="1" a="1"/>
  <c r="Q1072" i="1"/>
  <c r="Q1073" i="1" a="1"/>
  <c r="Q1073" i="1"/>
  <c r="Q1074" i="1" a="1"/>
  <c r="Q1074" i="1"/>
  <c r="Q1075" i="1" a="1"/>
  <c r="Q1075" i="1"/>
  <c r="Q1076" i="1" a="1"/>
  <c r="Q1076" i="1"/>
  <c r="Q1077" i="1" a="1"/>
  <c r="Q1077" i="1"/>
  <c r="Q1078" i="1" a="1"/>
  <c r="Q1078" i="1"/>
  <c r="Q1079" i="1" a="1"/>
  <c r="Q1079" i="1"/>
  <c r="Q1080" i="1" a="1"/>
  <c r="Q1080" i="1"/>
  <c r="Q1081" i="1" a="1"/>
  <c r="Q1081" i="1"/>
  <c r="Q1082" i="1" a="1"/>
  <c r="Q1082" i="1"/>
  <c r="Q1083" i="1" a="1"/>
  <c r="Q1083" i="1"/>
  <c r="Q1084" i="1" a="1"/>
  <c r="Q1084" i="1"/>
  <c r="Q1085" i="1" a="1"/>
  <c r="Q1085" i="1"/>
  <c r="Q1086" i="1" a="1"/>
  <c r="Q1086" i="1"/>
  <c r="Q1087" i="1" a="1"/>
  <c r="Q1087" i="1"/>
  <c r="Q1088" i="1" a="1"/>
  <c r="Q1088" i="1"/>
  <c r="Q1089" i="1" a="1"/>
  <c r="Q1089" i="1"/>
  <c r="Q1090" i="1" a="1"/>
  <c r="Q1090" i="1"/>
  <c r="Q1091" i="1" a="1"/>
  <c r="Q1091" i="1"/>
  <c r="Q1092" i="1" a="1"/>
  <c r="Q1092" i="1"/>
  <c r="Q1093" i="1" a="1"/>
  <c r="Q1093" i="1"/>
  <c r="Q1094" i="1" a="1"/>
  <c r="Q1094" i="1"/>
  <c r="Q1095" i="1" a="1"/>
  <c r="Q1095" i="1"/>
  <c r="Q1096" i="1" a="1"/>
  <c r="Q1096" i="1"/>
  <c r="Q1097" i="1" a="1"/>
  <c r="Q1097" i="1"/>
  <c r="Q1098" i="1" a="1"/>
  <c r="Q1098" i="1"/>
  <c r="Q1099" i="1" a="1"/>
  <c r="Q1099" i="1"/>
  <c r="Q1100" i="1" a="1"/>
  <c r="Q1100" i="1"/>
  <c r="Q1101" i="1" a="1"/>
  <c r="Q1101" i="1"/>
  <c r="Q1102" i="1" a="1"/>
  <c r="Q1102" i="1"/>
  <c r="Q1103" i="1" a="1"/>
  <c r="Q1103" i="1"/>
  <c r="Q1104" i="1" a="1"/>
  <c r="Q1104" i="1"/>
  <c r="Q1105" i="1" a="1"/>
  <c r="Q1105" i="1"/>
  <c r="Q1106" i="1" a="1"/>
  <c r="Q1106" i="1"/>
  <c r="Q1107" i="1" a="1"/>
  <c r="Q1107" i="1"/>
  <c r="Q1108" i="1" a="1"/>
  <c r="Q1108" i="1"/>
  <c r="Q1109" i="1" a="1"/>
  <c r="Q1109" i="1"/>
  <c r="Q1110" i="1" a="1"/>
  <c r="Q1110" i="1"/>
  <c r="Q1111" i="1" a="1"/>
  <c r="Q1111" i="1"/>
  <c r="Q1112" i="1" a="1"/>
  <c r="Q1112" i="1"/>
  <c r="Q1113" i="1" a="1"/>
  <c r="Q1113" i="1"/>
  <c r="Q1114" i="1" a="1"/>
  <c r="Q1114" i="1"/>
  <c r="Q1115" i="1" a="1"/>
  <c r="Q1115" i="1"/>
  <c r="Q1116" i="1" a="1"/>
  <c r="Q1116" i="1"/>
  <c r="Q1117" i="1" a="1"/>
  <c r="Q1117" i="1"/>
  <c r="Q1118" i="1" a="1"/>
  <c r="Q1118" i="1"/>
  <c r="Q1119" i="1" a="1"/>
  <c r="Q1119" i="1"/>
  <c r="Q1120" i="1" a="1"/>
  <c r="Q1120" i="1"/>
  <c r="Q1121" i="1" a="1"/>
  <c r="Q1121" i="1"/>
  <c r="Q1122" i="1" a="1"/>
  <c r="Q1122" i="1"/>
  <c r="Q1123" i="1" a="1"/>
  <c r="Q1123" i="1"/>
  <c r="Q1124" i="1" a="1"/>
  <c r="Q1124" i="1"/>
  <c r="Q1125" i="1" a="1"/>
  <c r="Q1125" i="1"/>
  <c r="Q1126" i="1" a="1"/>
  <c r="Q1126" i="1"/>
  <c r="Q1127" i="1" a="1"/>
  <c r="Q1127" i="1"/>
  <c r="Q1128" i="1" a="1"/>
  <c r="Q1128" i="1"/>
  <c r="Q1129" i="1" a="1"/>
  <c r="Q1129" i="1"/>
  <c r="Q1130" i="1" a="1"/>
  <c r="Q1130" i="1"/>
  <c r="Q1131" i="1" a="1"/>
  <c r="Q1131" i="1"/>
  <c r="Q1132" i="1" a="1"/>
  <c r="Q1132" i="1"/>
  <c r="Q1133" i="1" a="1"/>
  <c r="Q1133" i="1"/>
  <c r="Q1134" i="1" a="1"/>
  <c r="Q1134" i="1"/>
  <c r="Q1135" i="1" a="1"/>
  <c r="Q1135" i="1"/>
  <c r="Q1136" i="1" a="1"/>
  <c r="Q1136" i="1"/>
  <c r="Q1137" i="1" a="1"/>
  <c r="Q1137" i="1"/>
  <c r="Q1138" i="1" a="1"/>
  <c r="Q1138" i="1"/>
  <c r="Q1139" i="1" a="1"/>
  <c r="Q1139" i="1"/>
  <c r="Q1140" i="1" a="1"/>
  <c r="Q1140" i="1"/>
  <c r="Q1141" i="1" a="1"/>
  <c r="Q1141" i="1"/>
  <c r="Q1142" i="1" a="1"/>
  <c r="Q1142" i="1"/>
  <c r="Q1143" i="1" a="1"/>
  <c r="Q1143" i="1"/>
  <c r="Q1144" i="1" a="1"/>
  <c r="Q1144" i="1"/>
  <c r="Q1145" i="1" a="1"/>
  <c r="Q1145" i="1"/>
  <c r="Q1146" i="1" a="1"/>
  <c r="Q1146" i="1"/>
  <c r="Q1147" i="1" a="1"/>
  <c r="Q1147" i="1"/>
  <c r="Q1148" i="1" a="1"/>
  <c r="Q1148" i="1"/>
  <c r="Q1149" i="1" a="1"/>
  <c r="Q1149" i="1"/>
  <c r="Q1150" i="1" a="1"/>
  <c r="Q1150" i="1"/>
  <c r="Q1151" i="1" a="1"/>
  <c r="Q1151" i="1"/>
  <c r="Q1152" i="1" a="1"/>
  <c r="Q1152" i="1"/>
  <c r="Q1153" i="1" a="1"/>
  <c r="Q1153" i="1"/>
  <c r="Q1154" i="1" a="1"/>
  <c r="Q1154" i="1"/>
  <c r="Q1155" i="1" a="1"/>
  <c r="Q1155" i="1"/>
  <c r="Q1156" i="1" a="1"/>
  <c r="Q1156" i="1"/>
  <c r="Q1157" i="1" a="1"/>
  <c r="Q1157" i="1"/>
  <c r="Q1158" i="1" a="1"/>
  <c r="Q1158" i="1"/>
  <c r="Q1159" i="1" a="1"/>
  <c r="Q1159" i="1"/>
  <c r="Q1160" i="1" a="1"/>
  <c r="Q1160" i="1"/>
  <c r="Q1161" i="1" a="1"/>
  <c r="Q1161" i="1"/>
  <c r="Q1162" i="1" a="1"/>
  <c r="Q1162" i="1"/>
  <c r="Q1163" i="1" a="1"/>
  <c r="Q1163" i="1"/>
  <c r="Q1164" i="1" a="1"/>
  <c r="Q1164" i="1"/>
  <c r="Q1165" i="1" a="1"/>
  <c r="Q1165" i="1"/>
  <c r="Q1166" i="1" a="1"/>
  <c r="Q1166" i="1"/>
  <c r="Q1167" i="1" a="1"/>
  <c r="Q1167" i="1"/>
  <c r="Q1168" i="1" a="1"/>
  <c r="Q1168" i="1"/>
  <c r="Q1169" i="1" a="1"/>
  <c r="Q1169" i="1"/>
  <c r="Q1170" i="1" a="1"/>
  <c r="Q1170" i="1"/>
  <c r="Q1171" i="1" a="1"/>
  <c r="Q1171" i="1"/>
  <c r="Q1172" i="1" a="1"/>
  <c r="Q1172" i="1"/>
  <c r="Q1173" i="1" a="1"/>
  <c r="Q1173" i="1"/>
  <c r="Q1174" i="1" a="1"/>
  <c r="Q1174" i="1"/>
  <c r="Q1175" i="1" a="1"/>
  <c r="Q1175" i="1"/>
  <c r="Q1176" i="1" a="1"/>
  <c r="Q1176" i="1"/>
  <c r="Q1177" i="1" a="1"/>
  <c r="Q1177" i="1"/>
  <c r="Q1178" i="1" a="1"/>
  <c r="Q1178" i="1"/>
  <c r="Q1179" i="1" a="1"/>
  <c r="Q1179" i="1"/>
  <c r="Q1180" i="1" a="1"/>
  <c r="Q1180" i="1"/>
  <c r="Q1181" i="1" a="1"/>
  <c r="Q1181" i="1"/>
  <c r="Q1182" i="1" a="1"/>
  <c r="Q1182" i="1"/>
  <c r="Q1183" i="1" a="1"/>
  <c r="Q1183" i="1"/>
  <c r="Q1184" i="1" a="1"/>
  <c r="Q1184" i="1"/>
  <c r="Q1185" i="1" a="1"/>
  <c r="Q1185" i="1"/>
  <c r="Q1186" i="1" a="1"/>
  <c r="Q1186" i="1"/>
  <c r="Q1187" i="1" a="1"/>
  <c r="Q1187" i="1"/>
  <c r="Q1188" i="1" a="1"/>
  <c r="Q1188" i="1"/>
  <c r="Q1189" i="1" a="1"/>
  <c r="Q1189" i="1"/>
  <c r="Q1190" i="1" a="1"/>
  <c r="Q1190" i="1"/>
  <c r="Q1191" i="1" a="1"/>
  <c r="Q1191" i="1"/>
  <c r="Q1192" i="1" a="1"/>
  <c r="Q1192" i="1"/>
  <c r="Q1193" i="1" a="1"/>
  <c r="Q1193" i="1"/>
  <c r="Q1194" i="1" a="1"/>
  <c r="Q1194" i="1"/>
  <c r="Q1195" i="1" a="1"/>
  <c r="Q1195" i="1"/>
  <c r="Q1196" i="1" a="1"/>
  <c r="Q1196" i="1"/>
  <c r="Q1197" i="1" a="1"/>
  <c r="Q1197" i="1"/>
  <c r="Q1198" i="1" a="1"/>
  <c r="Q1198" i="1"/>
  <c r="Q1199" i="1" a="1"/>
  <c r="Q1199" i="1"/>
  <c r="Q1200" i="1" a="1"/>
  <c r="Q1200" i="1"/>
  <c r="Q1201" i="1" a="1"/>
  <c r="Q1201" i="1"/>
  <c r="Q1202" i="1" a="1"/>
  <c r="Q1202" i="1"/>
  <c r="Q1203" i="1" a="1"/>
  <c r="Q1203" i="1"/>
  <c r="Q1204" i="1" a="1"/>
  <c r="Q1204" i="1"/>
  <c r="Q1205" i="1" a="1"/>
  <c r="Q1205" i="1"/>
  <c r="Q1206" i="1" a="1"/>
  <c r="Q1206" i="1"/>
  <c r="Q1207" i="1" a="1"/>
  <c r="Q1207" i="1"/>
  <c r="Q1208" i="1" a="1"/>
  <c r="Q1208" i="1"/>
  <c r="Q1209" i="1" a="1"/>
  <c r="Q1209" i="1"/>
  <c r="Q1210" i="1" a="1"/>
  <c r="Q1210" i="1"/>
  <c r="Q1211" i="1" a="1"/>
  <c r="Q1211" i="1"/>
  <c r="Q1212" i="1" a="1"/>
  <c r="Q1212" i="1"/>
  <c r="Q1213" i="1" a="1"/>
  <c r="Q1213" i="1"/>
  <c r="Q1214" i="1" a="1"/>
  <c r="Q1214" i="1"/>
  <c r="Q1215" i="1" a="1"/>
  <c r="Q1215" i="1"/>
  <c r="Q1216" i="1" a="1"/>
  <c r="Q1216" i="1"/>
  <c r="Q1217" i="1" a="1"/>
  <c r="Q1217" i="1"/>
  <c r="Q1218" i="1" a="1"/>
  <c r="Q1218" i="1"/>
  <c r="Q1219" i="1" a="1"/>
  <c r="Q1219" i="1"/>
  <c r="Q1220" i="1" a="1"/>
  <c r="Q1220" i="1"/>
  <c r="Q1221" i="1" a="1"/>
  <c r="Q1221" i="1"/>
  <c r="Q1222" i="1" a="1"/>
  <c r="Q1222" i="1"/>
  <c r="Q1223" i="1" a="1"/>
  <c r="Q1223" i="1"/>
  <c r="Q1224" i="1" a="1"/>
  <c r="Q1224" i="1"/>
  <c r="Q1225" i="1" a="1"/>
  <c r="Q1225" i="1"/>
  <c r="Q1226" i="1" a="1"/>
  <c r="Q1226" i="1"/>
  <c r="Q1227" i="1" a="1"/>
  <c r="Q1227" i="1"/>
  <c r="Q1228" i="1" a="1"/>
  <c r="Q1228" i="1"/>
  <c r="Q1229" i="1" a="1"/>
  <c r="Q1229" i="1"/>
  <c r="Q1230" i="1" a="1"/>
  <c r="Q1230" i="1"/>
  <c r="Q1231" i="1" a="1"/>
  <c r="Q1231" i="1"/>
  <c r="Q1232" i="1" a="1"/>
  <c r="Q1232" i="1"/>
  <c r="Q1233" i="1" a="1"/>
  <c r="Q1233" i="1"/>
  <c r="Q1234" i="1" a="1"/>
  <c r="Q1234" i="1"/>
  <c r="Q1235" i="1" a="1"/>
  <c r="Q1235" i="1"/>
  <c r="Q1236" i="1" a="1"/>
  <c r="Q1236" i="1"/>
  <c r="Q1237" i="1" a="1"/>
  <c r="Q1237" i="1"/>
  <c r="Q1238" i="1" a="1"/>
  <c r="Q1238" i="1"/>
  <c r="Q1239" i="1" a="1"/>
  <c r="Q1239" i="1"/>
  <c r="Q1240" i="1" a="1"/>
  <c r="Q1240" i="1"/>
  <c r="Q1241" i="1" a="1"/>
  <c r="Q1241" i="1"/>
  <c r="Q1242" i="1" a="1"/>
  <c r="Q1242" i="1"/>
  <c r="Q1243" i="1" a="1"/>
  <c r="Q1243" i="1"/>
  <c r="Q1244" i="1" a="1"/>
  <c r="Q1244" i="1"/>
  <c r="Q1245" i="1" a="1"/>
  <c r="Q1245" i="1"/>
  <c r="Q1246" i="1" a="1"/>
  <c r="Q1246" i="1"/>
  <c r="Q1247" i="1" a="1"/>
  <c r="Q1247" i="1"/>
  <c r="Q1248" i="1" a="1"/>
  <c r="Q1248" i="1"/>
  <c r="Q1249" i="1" a="1"/>
  <c r="Q1249" i="1"/>
  <c r="Q1250" i="1" a="1"/>
  <c r="Q1250" i="1"/>
  <c r="Q1251" i="1" a="1"/>
  <c r="Q1251" i="1"/>
  <c r="Q1252" i="1" a="1"/>
  <c r="Q1252" i="1"/>
  <c r="Q1253" i="1" a="1"/>
  <c r="Q1253" i="1"/>
  <c r="Q1254" i="1" a="1"/>
  <c r="Q1254" i="1"/>
  <c r="Q1255" i="1" a="1"/>
  <c r="Q1255" i="1"/>
  <c r="Q1256" i="1" a="1"/>
  <c r="Q1256" i="1"/>
  <c r="Q1257" i="1" a="1"/>
  <c r="Q1257" i="1"/>
  <c r="Q1258" i="1" a="1"/>
  <c r="Q1258" i="1"/>
  <c r="Q1259" i="1" a="1"/>
  <c r="Q1259" i="1"/>
  <c r="Q1260" i="1" a="1"/>
  <c r="Q1260" i="1"/>
  <c r="Q1261" i="1" a="1"/>
  <c r="Q1261" i="1"/>
  <c r="Q1262" i="1" a="1"/>
  <c r="Q1262" i="1"/>
  <c r="Q1263" i="1" a="1"/>
  <c r="Q1263" i="1"/>
  <c r="Q1264" i="1" a="1"/>
  <c r="Q1264" i="1"/>
  <c r="Q1265" i="1" a="1"/>
  <c r="Q1265" i="1"/>
  <c r="Q1266" i="1" a="1"/>
  <c r="Q1266" i="1"/>
  <c r="Q1267" i="1" a="1"/>
  <c r="Q1267" i="1"/>
  <c r="Q1268" i="1" a="1"/>
  <c r="Q1268" i="1"/>
  <c r="Q1269" i="1" a="1"/>
  <c r="Q1269" i="1"/>
  <c r="Q1270" i="1" a="1"/>
  <c r="Q1270" i="1"/>
  <c r="Q1271" i="1" a="1"/>
  <c r="Q1271" i="1"/>
  <c r="Q1272" i="1" a="1"/>
  <c r="Q1272" i="1"/>
  <c r="Q1273" i="1" a="1"/>
  <c r="Q1273" i="1"/>
  <c r="Q1274" i="1" a="1"/>
  <c r="Q1274" i="1"/>
  <c r="Q1275" i="1" a="1"/>
  <c r="Q1275" i="1"/>
  <c r="Q1276" i="1" a="1"/>
  <c r="Q1276" i="1"/>
  <c r="Q1277" i="1" a="1"/>
  <c r="Q1277" i="1"/>
  <c r="Q1278" i="1" a="1"/>
  <c r="Q1278" i="1"/>
  <c r="Q1279" i="1" a="1"/>
  <c r="Q1279" i="1"/>
  <c r="Q1280" i="1" a="1"/>
  <c r="Q1280" i="1"/>
  <c r="Q1281" i="1" a="1"/>
  <c r="Q1281" i="1"/>
  <c r="Q1282" i="1" a="1"/>
  <c r="Q1282" i="1"/>
  <c r="Q1283" i="1" a="1"/>
  <c r="Q1283" i="1"/>
  <c r="Q1284" i="1" a="1"/>
  <c r="Q1284" i="1"/>
  <c r="Q1285" i="1" a="1"/>
  <c r="Q1285" i="1"/>
  <c r="Q1286" i="1" a="1"/>
  <c r="Q1286" i="1"/>
  <c r="Q1287" i="1" a="1"/>
  <c r="Q1287" i="1"/>
  <c r="Q1288" i="1" a="1"/>
  <c r="Q1288" i="1"/>
  <c r="Q1289" i="1" a="1"/>
  <c r="Q1289" i="1"/>
  <c r="Q1290" i="1" a="1"/>
  <c r="Q1290" i="1"/>
  <c r="Q1291" i="1" a="1"/>
  <c r="Q1291" i="1"/>
  <c r="Q1292" i="1" a="1"/>
  <c r="Q1292" i="1"/>
  <c r="Q1293" i="1" a="1"/>
  <c r="Q1293" i="1"/>
  <c r="Q1294" i="1" a="1"/>
  <c r="Q1294" i="1"/>
  <c r="Q1295" i="1" a="1"/>
  <c r="Q1295" i="1"/>
  <c r="Q1296" i="1" a="1"/>
  <c r="Q1296" i="1"/>
  <c r="Q1297" i="1" a="1"/>
  <c r="Q1297" i="1"/>
  <c r="Q1298" i="1" a="1"/>
  <c r="Q1298" i="1"/>
  <c r="Q1299" i="1" a="1"/>
  <c r="Q1299" i="1"/>
  <c r="Q1300" i="1" a="1"/>
  <c r="Q1300" i="1"/>
  <c r="Q1301" i="1" a="1"/>
  <c r="Q1301" i="1"/>
  <c r="Q1302" i="1" a="1"/>
  <c r="Q1302" i="1"/>
  <c r="Q1303" i="1" a="1"/>
  <c r="Q1303" i="1"/>
  <c r="Q1304" i="1" a="1"/>
  <c r="Q1304" i="1"/>
  <c r="Q1305" i="1" a="1"/>
  <c r="Q1305" i="1"/>
  <c r="Q1306" i="1" a="1"/>
  <c r="Q1306" i="1"/>
  <c r="Q1307" i="1" a="1"/>
  <c r="Q1307" i="1"/>
  <c r="Q1308" i="1" a="1"/>
  <c r="Q1308" i="1"/>
  <c r="Q1309" i="1" a="1"/>
  <c r="Q1309" i="1"/>
  <c r="Q1310" i="1" a="1"/>
  <c r="Q1310" i="1"/>
  <c r="Q1311" i="1" a="1"/>
  <c r="Q1311" i="1"/>
  <c r="Q1312" i="1" a="1"/>
  <c r="Q1312" i="1"/>
  <c r="Q1313" i="1" a="1"/>
  <c r="Q1313" i="1"/>
  <c r="Q1314" i="1" a="1"/>
  <c r="Q1314" i="1"/>
  <c r="Q1315" i="1" a="1"/>
  <c r="Q1315" i="1"/>
  <c r="Q1316" i="1" a="1"/>
  <c r="Q1316" i="1"/>
  <c r="Q1317" i="1" a="1"/>
  <c r="Q1317" i="1"/>
  <c r="Q1318" i="1" a="1"/>
  <c r="Q1318" i="1"/>
  <c r="Q1319" i="1" a="1"/>
  <c r="Q1319" i="1"/>
  <c r="Q1320" i="1" a="1"/>
  <c r="Q1320" i="1"/>
  <c r="Q1321" i="1" a="1"/>
  <c r="Q1321" i="1"/>
  <c r="Q1322" i="1" a="1"/>
  <c r="Q1322" i="1"/>
  <c r="Q1323" i="1" a="1"/>
  <c r="Q1323" i="1"/>
  <c r="Q1324" i="1" a="1"/>
  <c r="Q1324" i="1"/>
  <c r="Q1325" i="1" a="1"/>
  <c r="Q1325" i="1"/>
  <c r="Q1326" i="1" a="1"/>
  <c r="Q1326" i="1"/>
  <c r="Q1327" i="1" a="1"/>
  <c r="Q1327" i="1"/>
  <c r="Q1328" i="1" a="1"/>
  <c r="Q1328" i="1"/>
  <c r="Q1329" i="1" a="1"/>
  <c r="Q1329" i="1"/>
  <c r="Q1330" i="1" a="1"/>
  <c r="Q1330" i="1"/>
  <c r="Q1331" i="1" a="1"/>
  <c r="Q1331" i="1"/>
  <c r="Q1332" i="1" a="1"/>
  <c r="Q1332" i="1"/>
  <c r="Q1333" i="1" a="1"/>
  <c r="Q1333" i="1"/>
  <c r="Q1334" i="1" a="1"/>
  <c r="Q1334" i="1"/>
  <c r="Q1335" i="1" a="1"/>
  <c r="Q1335" i="1"/>
  <c r="Q1336" i="1" a="1"/>
  <c r="Q1336" i="1"/>
  <c r="Q1337" i="1" a="1"/>
  <c r="Q1337" i="1"/>
  <c r="Q1338" i="1" a="1"/>
  <c r="Q1338" i="1"/>
  <c r="Q1339" i="1" a="1"/>
  <c r="Q1339" i="1"/>
  <c r="Q1340" i="1" a="1"/>
  <c r="Q1340" i="1"/>
  <c r="Q1341" i="1" a="1"/>
  <c r="Q1341" i="1"/>
  <c r="Q1342" i="1" a="1"/>
  <c r="Q1342" i="1"/>
  <c r="Q1343" i="1" a="1"/>
  <c r="Q1343" i="1"/>
  <c r="Q1344" i="1" a="1"/>
  <c r="Q1344" i="1"/>
  <c r="Q1345" i="1" a="1"/>
  <c r="Q1345" i="1"/>
  <c r="Q1346" i="1" a="1"/>
  <c r="Q1346" i="1"/>
  <c r="Q1347" i="1" a="1"/>
  <c r="Q1347" i="1"/>
  <c r="Q1348" i="1" a="1"/>
  <c r="Q1348" i="1"/>
  <c r="Q1349" i="1" a="1"/>
  <c r="Q1349" i="1"/>
  <c r="Q1350" i="1" a="1"/>
  <c r="Q1350" i="1"/>
  <c r="Q1351" i="1" a="1"/>
  <c r="Q1351" i="1"/>
  <c r="Q1352" i="1" a="1"/>
  <c r="Q1352" i="1"/>
  <c r="Q1353" i="1" a="1"/>
  <c r="Q1353" i="1"/>
  <c r="Q1354" i="1" a="1"/>
  <c r="Q1354" i="1"/>
  <c r="Q1355" i="1" a="1"/>
  <c r="Q1355" i="1"/>
  <c r="Q1356" i="1" a="1"/>
  <c r="Q1356" i="1"/>
  <c r="Q1357" i="1" a="1"/>
  <c r="Q1357" i="1"/>
  <c r="Q1358" i="1" a="1"/>
  <c r="Q1358" i="1"/>
  <c r="Q1359" i="1" a="1"/>
  <c r="Q1359" i="1"/>
  <c r="Q1360" i="1" a="1"/>
  <c r="Q1360" i="1"/>
  <c r="Q1361" i="1" a="1"/>
  <c r="Q1361" i="1"/>
  <c r="Q1362" i="1" a="1"/>
  <c r="Q1362" i="1"/>
  <c r="Q1363" i="1" a="1"/>
  <c r="Q1363" i="1"/>
  <c r="Q1364" i="1" a="1"/>
  <c r="Q1364" i="1"/>
  <c r="Q1365" i="1" a="1"/>
  <c r="Q1365" i="1"/>
  <c r="Q1366" i="1" a="1"/>
  <c r="Q1366" i="1"/>
  <c r="Q1367" i="1" a="1"/>
  <c r="Q1367" i="1"/>
  <c r="Q1368" i="1" a="1"/>
  <c r="Q1368" i="1"/>
  <c r="Q1369" i="1" a="1"/>
  <c r="Q1369" i="1"/>
  <c r="Q1370" i="1" a="1"/>
  <c r="Q1370" i="1"/>
  <c r="Q1371" i="1" a="1"/>
  <c r="Q1371" i="1"/>
  <c r="Q1372" i="1" a="1"/>
  <c r="Q1372" i="1"/>
  <c r="Q1373" i="1" a="1"/>
  <c r="Q1373" i="1"/>
  <c r="Q1374" i="1" a="1"/>
  <c r="Q1374" i="1"/>
  <c r="Q1375" i="1" a="1"/>
  <c r="Q1375" i="1"/>
  <c r="Q1376" i="1" a="1"/>
  <c r="Q1376" i="1"/>
  <c r="Q1377" i="1" a="1"/>
  <c r="Q1377" i="1"/>
  <c r="Q1378" i="1" a="1"/>
  <c r="Q1378" i="1"/>
  <c r="Q1379" i="1" a="1"/>
  <c r="Q1379" i="1"/>
  <c r="Q1380" i="1" a="1"/>
  <c r="Q1380" i="1"/>
  <c r="Q1381" i="1" a="1"/>
  <c r="Q1381" i="1"/>
  <c r="Q1382" i="1" a="1"/>
  <c r="Q1382" i="1"/>
  <c r="Q1383" i="1" a="1"/>
  <c r="Q1383" i="1"/>
  <c r="Q1384" i="1" a="1"/>
  <c r="Q1384" i="1"/>
  <c r="Q1385" i="1" a="1"/>
  <c r="Q1385" i="1"/>
  <c r="Q1386" i="1" a="1"/>
  <c r="Q1386" i="1"/>
  <c r="Q1387" i="1" a="1"/>
  <c r="Q1387" i="1"/>
  <c r="Q1388" i="1" a="1"/>
  <c r="Q1388" i="1"/>
  <c r="Q1389" i="1" a="1"/>
  <c r="Q1389" i="1"/>
  <c r="Q1390" i="1" a="1"/>
  <c r="Q1390" i="1"/>
  <c r="Q1391" i="1" a="1"/>
  <c r="Q1391" i="1"/>
  <c r="Q1392" i="1" a="1"/>
  <c r="Q1392" i="1"/>
  <c r="Q1393" i="1" a="1"/>
  <c r="Q1393" i="1"/>
  <c r="Q1394" i="1" a="1"/>
  <c r="Q1394" i="1"/>
  <c r="Q1395" i="1" a="1"/>
  <c r="Q1395" i="1"/>
  <c r="Q1396" i="1" a="1"/>
  <c r="Q1396" i="1"/>
  <c r="Q1397" i="1" a="1"/>
  <c r="Q1397" i="1"/>
  <c r="Q1398" i="1" a="1"/>
  <c r="Q1398" i="1"/>
  <c r="Q1399" i="1" a="1"/>
  <c r="Q1399" i="1"/>
  <c r="Q1400" i="1" a="1"/>
  <c r="Q1400" i="1"/>
  <c r="Q1401" i="1" a="1"/>
  <c r="Q1401" i="1"/>
  <c r="Q1402" i="1" a="1"/>
  <c r="Q1402" i="1"/>
  <c r="Q1403" i="1" a="1"/>
  <c r="Q1403" i="1"/>
  <c r="Q1404" i="1" a="1"/>
  <c r="Q1404" i="1"/>
  <c r="Q1405" i="1" a="1"/>
  <c r="Q1405" i="1"/>
  <c r="Q1406" i="1" a="1"/>
  <c r="Q1406" i="1"/>
  <c r="Q1407" i="1" a="1"/>
  <c r="Q1407" i="1"/>
  <c r="Q1408" i="1" a="1"/>
  <c r="Q1408" i="1"/>
  <c r="Q1409" i="1" a="1"/>
  <c r="Q1409" i="1"/>
  <c r="Q1410" i="1" a="1"/>
  <c r="Q1410" i="1"/>
  <c r="Q1411" i="1" a="1"/>
  <c r="Q1411" i="1"/>
  <c r="Q1412" i="1" a="1"/>
  <c r="Q1412" i="1"/>
  <c r="Q1413" i="1" a="1"/>
  <c r="Q1413" i="1"/>
  <c r="Q1414" i="1" a="1"/>
  <c r="Q1414" i="1"/>
  <c r="Q1415" i="1" a="1"/>
  <c r="Q1415" i="1"/>
  <c r="Q1416" i="1" a="1"/>
  <c r="Q1416" i="1"/>
  <c r="Q1417" i="1" a="1"/>
  <c r="Q1417" i="1"/>
  <c r="Q1418" i="1" a="1"/>
  <c r="Q1418" i="1"/>
  <c r="Q1419" i="1" a="1"/>
  <c r="Q1419" i="1"/>
  <c r="Q1420" i="1" a="1"/>
  <c r="Q1420" i="1"/>
  <c r="Q1421" i="1" a="1"/>
  <c r="Q1421" i="1"/>
  <c r="Q1422" i="1" a="1"/>
  <c r="Q1422" i="1"/>
  <c r="Q1423" i="1" a="1"/>
  <c r="Q1423" i="1"/>
  <c r="Q1424" i="1" a="1"/>
  <c r="Q1424" i="1"/>
  <c r="Q1425" i="1" a="1"/>
  <c r="Q1425" i="1"/>
  <c r="Q1426" i="1" a="1"/>
  <c r="Q1426" i="1"/>
  <c r="Q1427" i="1" a="1"/>
  <c r="Q1427" i="1"/>
  <c r="Q1428" i="1" a="1"/>
  <c r="Q1428" i="1"/>
  <c r="Q1429" i="1" a="1"/>
  <c r="Q1429" i="1"/>
  <c r="Q1430" i="1" a="1"/>
  <c r="Q1430" i="1"/>
  <c r="Q1431" i="1" a="1"/>
  <c r="Q1431" i="1"/>
  <c r="Q1432" i="1" a="1"/>
  <c r="Q1432" i="1"/>
  <c r="Q1433" i="1" a="1"/>
  <c r="Q1433" i="1"/>
  <c r="Q1434" i="1" a="1"/>
  <c r="Q1434" i="1"/>
  <c r="Q1435" i="1" a="1"/>
  <c r="Q1435" i="1"/>
  <c r="Q1436" i="1" a="1"/>
  <c r="Q1436" i="1"/>
  <c r="Q1437" i="1" a="1"/>
  <c r="Q1437" i="1"/>
  <c r="Q1438" i="1" a="1"/>
  <c r="Q1438" i="1"/>
  <c r="Q1439" i="1" a="1"/>
  <c r="Q1439" i="1"/>
  <c r="Q1440" i="1" a="1"/>
  <c r="Q1440" i="1"/>
  <c r="Q1441" i="1" a="1"/>
  <c r="Q1441" i="1"/>
  <c r="Q1442" i="1" a="1"/>
  <c r="Q1442" i="1"/>
  <c r="Q1443" i="1" a="1"/>
  <c r="Q1443" i="1"/>
  <c r="Q1444" i="1" a="1"/>
  <c r="Q1444" i="1"/>
  <c r="Q1445" i="1" a="1"/>
  <c r="Q1445" i="1"/>
  <c r="Q1446" i="1" a="1"/>
  <c r="Q1446" i="1"/>
  <c r="Q1447" i="1" a="1"/>
  <c r="Q1447" i="1"/>
  <c r="Q1448" i="1" a="1"/>
  <c r="Q1448" i="1"/>
  <c r="Q1449" i="1" a="1"/>
  <c r="Q1449" i="1"/>
  <c r="Q1450" i="1" a="1"/>
  <c r="Q1450" i="1"/>
  <c r="Q1451" i="1" a="1"/>
  <c r="Q1451" i="1"/>
  <c r="Q1452" i="1" a="1"/>
  <c r="Q1452" i="1"/>
  <c r="Q1453" i="1" a="1"/>
  <c r="Q1453" i="1"/>
  <c r="Q1454" i="1" a="1"/>
  <c r="Q1454" i="1"/>
  <c r="Q1455" i="1" a="1"/>
  <c r="Q1455" i="1"/>
  <c r="Q1456" i="1" a="1"/>
  <c r="Q1456" i="1"/>
  <c r="Q1457" i="1" a="1"/>
  <c r="Q1457" i="1"/>
  <c r="Q1458" i="1" a="1"/>
  <c r="Q1458" i="1"/>
  <c r="Q1459" i="1" a="1"/>
  <c r="Q1459" i="1"/>
  <c r="Q1460" i="1" a="1"/>
  <c r="Q1460" i="1"/>
  <c r="Q1461" i="1" a="1"/>
  <c r="Q1461" i="1"/>
  <c r="Q1462" i="1" a="1"/>
  <c r="Q1462" i="1"/>
  <c r="Q1463" i="1" a="1"/>
  <c r="Q1463" i="1"/>
  <c r="Q1464" i="1" a="1"/>
  <c r="Q1464" i="1"/>
  <c r="Q1465" i="1" a="1"/>
  <c r="Q1465" i="1"/>
  <c r="Q1466" i="1" a="1"/>
  <c r="Q1466" i="1"/>
  <c r="Q1467" i="1" a="1"/>
  <c r="Q1467" i="1"/>
  <c r="Q1468" i="1" a="1"/>
  <c r="Q1468" i="1"/>
  <c r="Q1469" i="1" a="1"/>
  <c r="Q1469" i="1"/>
  <c r="Q1470" i="1" a="1"/>
  <c r="Q1470" i="1"/>
  <c r="Q1471" i="1" a="1"/>
  <c r="Q1471" i="1"/>
  <c r="Q1472" i="1" a="1"/>
  <c r="Q1472" i="1"/>
  <c r="Q1473" i="1" a="1"/>
  <c r="Q1473" i="1"/>
  <c r="Q1474" i="1" a="1"/>
  <c r="Q1474" i="1"/>
  <c r="Q1475" i="1" a="1"/>
  <c r="Q1475" i="1"/>
  <c r="Q1476" i="1" a="1"/>
  <c r="Q1476" i="1"/>
  <c r="Q1477" i="1" a="1"/>
  <c r="Q1477" i="1"/>
  <c r="Q1478" i="1" a="1"/>
  <c r="Q1478" i="1"/>
  <c r="Q1479" i="1" a="1"/>
  <c r="Q1479" i="1"/>
  <c r="Q1480" i="1" a="1"/>
  <c r="Q1480" i="1"/>
  <c r="Q1481" i="1" a="1"/>
  <c r="Q1481" i="1"/>
  <c r="Q1482" i="1" a="1"/>
  <c r="Q1482" i="1"/>
  <c r="Q1483" i="1" a="1"/>
  <c r="Q1483" i="1"/>
  <c r="Q1484" i="1" a="1"/>
  <c r="Q1484" i="1"/>
  <c r="Q1485" i="1" a="1"/>
  <c r="Q1486" i="1" a="1"/>
  <c r="Q1487" i="1" a="1"/>
  <c r="Q1488" i="1" a="1"/>
  <c r="Q1489" i="1" a="1"/>
  <c r="Q1490" i="1" a="1"/>
  <c r="Q1491" i="1" a="1"/>
  <c r="Q1492" i="1" a="1"/>
  <c r="Q1493" i="1" a="1"/>
  <c r="Q1494" i="1" a="1"/>
  <c r="Q1495" i="1" a="1"/>
  <c r="Q1496" i="1" a="1"/>
  <c r="Q1497" i="1" a="1"/>
  <c r="Q1498" i="1" a="1"/>
  <c r="Q1499" i="1" a="1"/>
  <c r="Q1500" i="1" a="1"/>
  <c r="Q1501" i="1" a="1"/>
  <c r="Q1502" i="1" a="1"/>
  <c r="Q1503" i="1" a="1"/>
  <c r="Q1504" i="1" a="1"/>
  <c r="Q1505" i="1" a="1"/>
  <c r="Q1506" i="1" a="1"/>
  <c r="Q1507" i="1" a="1"/>
  <c r="Q1508" i="1" a="1"/>
  <c r="Q1509" i="1" a="1"/>
  <c r="Q1510" i="1" a="1"/>
  <c r="Q1511" i="1" a="1"/>
  <c r="Q1512" i="1" a="1"/>
  <c r="Q1513" i="1" a="1"/>
  <c r="Q1514" i="1" a="1"/>
  <c r="Q1515" i="1" a="1"/>
  <c r="Q1516" i="1" a="1"/>
  <c r="Q1517" i="1" a="1"/>
  <c r="Q1517" i="1"/>
  <c r="Q1518" i="1" a="1"/>
  <c r="Q1519" i="1" a="1"/>
  <c r="Q1520" i="1" a="1"/>
  <c r="Q1521" i="1" a="1"/>
  <c r="Q1522" i="1" a="1"/>
  <c r="Q1523" i="1" a="1"/>
  <c r="Q1524" i="1" a="1"/>
  <c r="Q1525" i="1" a="1"/>
  <c r="Q1526" i="1" a="1"/>
  <c r="Q1527" i="1" a="1"/>
  <c r="Q1528" i="1" a="1"/>
  <c r="Q1529" i="1" a="1"/>
  <c r="Q1530" i="1" a="1"/>
  <c r="Q1531" i="1" a="1"/>
  <c r="Q1532" i="1" a="1"/>
  <c r="Q1533" i="1" a="1"/>
  <c r="Q1534" i="1" a="1"/>
  <c r="Q1535" i="1" a="1"/>
  <c r="Q1536" i="1" a="1"/>
  <c r="Q1537" i="1" a="1"/>
  <c r="Q1538" i="1" a="1"/>
  <c r="Q1539" i="1" a="1"/>
  <c r="Q1540" i="1" a="1"/>
  <c r="Q1541" i="1" a="1"/>
  <c r="Q1542" i="1" a="1"/>
  <c r="Q1543" i="1" a="1"/>
  <c r="Q1544" i="1" a="1"/>
  <c r="Q1545" i="1" a="1"/>
  <c r="Q1546" i="1" a="1"/>
  <c r="Q1547" i="1" a="1"/>
  <c r="Q1548" i="1" a="1"/>
  <c r="Q1549" i="1" a="1"/>
  <c r="Q1550" i="1" a="1"/>
  <c r="Q1551" i="1" a="1"/>
  <c r="Q1552" i="1" a="1"/>
  <c r="Q1553" i="1" a="1"/>
  <c r="Q1554" i="1" a="1"/>
  <c r="Q1555" i="1" a="1"/>
  <c r="Q1556" i="1" a="1"/>
  <c r="Q1557" i="1" a="1"/>
  <c r="Q1558" i="1" a="1"/>
  <c r="Q1559" i="1" a="1"/>
  <c r="Q1559" i="1"/>
  <c r="Q1560" i="1" a="1"/>
  <c r="Q1561" i="1" a="1"/>
  <c r="Q1562" i="1" a="1"/>
  <c r="Q1563" i="1" a="1"/>
  <c r="Q1564" i="1" a="1"/>
  <c r="Q1565" i="1" a="1"/>
  <c r="Q1566" i="1" a="1"/>
  <c r="Q1567" i="1" a="1"/>
  <c r="Q1568" i="1" a="1"/>
  <c r="Q1569" i="1" a="1"/>
  <c r="Q1570" i="1" a="1"/>
  <c r="Q1571" i="1" a="1"/>
  <c r="Q1572" i="1" a="1"/>
  <c r="Q1573" i="1" a="1"/>
  <c r="Q1574" i="1" a="1"/>
  <c r="Q1575" i="1" a="1"/>
  <c r="Q1576" i="1" a="1"/>
  <c r="Q1577" i="1" a="1"/>
  <c r="Q1578" i="1" a="1"/>
  <c r="Q1579" i="1" a="1"/>
  <c r="Q1580" i="1" a="1"/>
  <c r="Q1581" i="1" a="1"/>
  <c r="Q1582" i="1" a="1"/>
  <c r="Q1583" i="1" a="1"/>
  <c r="Q1584" i="1" a="1"/>
  <c r="Q1585" i="1" a="1"/>
  <c r="Q1586" i="1" a="1"/>
  <c r="Q1587" i="1" a="1"/>
  <c r="Q1588" i="1" a="1"/>
  <c r="Q1589" i="1" a="1"/>
  <c r="Q1590" i="1" a="1"/>
  <c r="Q1591" i="1" a="1"/>
  <c r="Q1592" i="1" a="1"/>
  <c r="Q1593" i="1" a="1"/>
  <c r="Q1594" i="1" a="1"/>
  <c r="Q1595" i="1" a="1"/>
  <c r="Q1596" i="1" a="1"/>
  <c r="Q1597" i="1" a="1"/>
  <c r="Q1598" i="1" a="1"/>
  <c r="Q1599" i="1" a="1"/>
  <c r="Q1600" i="1" a="1"/>
  <c r="Q1601" i="1" a="1"/>
  <c r="Q1602" i="1" a="1"/>
  <c r="Q1603" i="1" a="1"/>
  <c r="Q1604" i="1" a="1"/>
  <c r="Q1605" i="1" a="1"/>
  <c r="Q1606" i="1" a="1"/>
  <c r="Q1607" i="1" a="1"/>
  <c r="Q1608" i="1" a="1"/>
  <c r="Q1609" i="1" a="1"/>
  <c r="Q1610" i="1" a="1"/>
  <c r="Q1611" i="1" a="1"/>
  <c r="Q1612" i="1" a="1"/>
  <c r="Q1613" i="1" a="1"/>
  <c r="Q1614" i="1" a="1"/>
  <c r="Q1615" i="1" a="1"/>
  <c r="Q1616" i="1" a="1"/>
  <c r="Q1617" i="1" a="1"/>
  <c r="Q1618" i="1" a="1"/>
  <c r="Q1619" i="1" a="1"/>
  <c r="Q1620" i="1" a="1"/>
  <c r="Q1621" i="1" a="1"/>
  <c r="Q1622" i="1" a="1"/>
  <c r="Q1623" i="1" a="1"/>
  <c r="Q1624" i="1" a="1"/>
  <c r="Q1625" i="1" a="1"/>
  <c r="Q1626" i="1" a="1"/>
  <c r="Q1627" i="1" a="1"/>
  <c r="Q1628" i="1" a="1"/>
  <c r="Q1629" i="1" a="1"/>
  <c r="Q1630" i="1" a="1"/>
  <c r="Q1631" i="1" a="1"/>
  <c r="Q1632" i="1" a="1"/>
  <c r="Q1633" i="1" a="1"/>
  <c r="Q1634" i="1" a="1"/>
  <c r="Q1635" i="1" a="1"/>
  <c r="Q1636" i="1" a="1"/>
  <c r="Q1637" i="1" a="1"/>
  <c r="Q1638" i="1" a="1"/>
  <c r="Q1639" i="1" a="1"/>
  <c r="Q1640" i="1" a="1"/>
  <c r="Q1641" i="1" a="1"/>
  <c r="Q1642" i="1" a="1"/>
  <c r="Q1643" i="1" a="1"/>
  <c r="Q1644" i="1" a="1"/>
  <c r="Q1645" i="1" a="1"/>
  <c r="Q1646" i="1" a="1"/>
  <c r="Q1647" i="1" a="1"/>
  <c r="Q1648" i="1" a="1"/>
  <c r="Q1649" i="1" a="1"/>
  <c r="Q1650" i="1" a="1"/>
  <c r="Q1650" i="1"/>
  <c r="Q1651" i="1" a="1"/>
  <c r="Q1652" i="1" a="1"/>
  <c r="Q1653" i="1" a="1"/>
  <c r="Q1654" i="1" a="1"/>
  <c r="Q1655" i="1" a="1"/>
  <c r="Q1656" i="1" a="1"/>
  <c r="Q1657" i="1" a="1"/>
  <c r="Q1658" i="1" a="1"/>
  <c r="Q1659" i="1" a="1"/>
  <c r="Q1660" i="1" a="1"/>
  <c r="Q1661" i="1" a="1"/>
  <c r="Q1662" i="1" a="1"/>
  <c r="Q1663" i="1" a="1"/>
  <c r="Q1664" i="1" a="1"/>
  <c r="Q1665" i="1" a="1"/>
  <c r="Q1666" i="1" a="1"/>
  <c r="Q1667" i="1" a="1"/>
  <c r="Q1668" i="1" a="1"/>
  <c r="Q1669" i="1" a="1"/>
  <c r="Q1670" i="1" a="1"/>
  <c r="Q1671" i="1" a="1"/>
  <c r="Q1672" i="1" a="1"/>
  <c r="Q1673" i="1" a="1"/>
  <c r="Q1674" i="1" a="1"/>
  <c r="Q1675" i="1" a="1"/>
  <c r="Q1676" i="1" a="1"/>
  <c r="Q1677" i="1" a="1"/>
  <c r="Q1678" i="1" a="1"/>
  <c r="Q1679" i="1" a="1"/>
  <c r="Q1680" i="1" a="1"/>
  <c r="Q1681" i="1" a="1"/>
  <c r="Q1682" i="1" a="1"/>
  <c r="Q1683" i="1" a="1"/>
  <c r="Q1684" i="1" a="1"/>
  <c r="Q1685" i="1" a="1"/>
  <c r="Q1686" i="1" a="1"/>
  <c r="Q1687" i="1" a="1"/>
  <c r="Q1688" i="1" a="1"/>
  <c r="Q1689" i="1" a="1"/>
  <c r="Q1690" i="1" a="1"/>
  <c r="Q1691" i="1" a="1"/>
  <c r="Q1692" i="1" a="1"/>
  <c r="Q1693" i="1" a="1"/>
  <c r="Q1694" i="1" a="1"/>
  <c r="Q1695" i="1" a="1"/>
  <c r="Q1696" i="1" a="1"/>
  <c r="Q1697" i="1" a="1"/>
  <c r="Q1698" i="1" a="1"/>
  <c r="Q1699" i="1" a="1"/>
  <c r="Q1700" i="1" a="1"/>
  <c r="Q1701" i="1" a="1"/>
  <c r="Q1702" i="1" a="1"/>
  <c r="Q1703" i="1" a="1"/>
  <c r="Q1704" i="1" a="1"/>
  <c r="Q1705" i="1" a="1"/>
  <c r="Q1706" i="1" a="1"/>
  <c r="Q1707" i="1" a="1"/>
  <c r="Q1708" i="1" a="1"/>
  <c r="Q1709" i="1" a="1"/>
  <c r="Q1710" i="1" a="1"/>
  <c r="Q1711" i="1" a="1"/>
  <c r="Q1712" i="1" a="1"/>
  <c r="Q1713" i="1" a="1"/>
  <c r="Q1714" i="1" a="1"/>
  <c r="Q1715" i="1" a="1"/>
  <c r="Q1716" i="1" a="1"/>
  <c r="Q1717" i="1" a="1"/>
  <c r="Q1718" i="1" a="1"/>
  <c r="Q1719" i="1" a="1"/>
  <c r="Q1720" i="1" a="1"/>
  <c r="Q1721" i="1" a="1"/>
  <c r="Q1722" i="1" a="1"/>
  <c r="Q1723" i="1" a="1"/>
  <c r="Q1724" i="1" a="1"/>
  <c r="Q1725" i="1" a="1"/>
  <c r="Q1726" i="1" a="1"/>
  <c r="Q1727" i="1" a="1"/>
  <c r="Q1728" i="1" a="1"/>
  <c r="Q1729" i="1" a="1"/>
  <c r="Q1730" i="1" a="1"/>
  <c r="Q1731" i="1" a="1"/>
  <c r="Q1732" i="1" a="1"/>
  <c r="Q1733" i="1" a="1"/>
  <c r="Q1734" i="1" a="1"/>
  <c r="Q1735" i="1" a="1"/>
  <c r="Q1736" i="1" a="1"/>
  <c r="Q1737" i="1" a="1"/>
  <c r="Q1738" i="1" a="1"/>
  <c r="Q1739" i="1" a="1"/>
  <c r="Q1740" i="1" a="1"/>
  <c r="Q1741" i="1" a="1"/>
  <c r="Q1742" i="1" a="1"/>
  <c r="Q1743" i="1" a="1"/>
  <c r="Q1744" i="1" a="1"/>
  <c r="Q1745" i="1" a="1"/>
  <c r="Q1746" i="1" a="1"/>
  <c r="Q1747" i="1" a="1"/>
  <c r="Q1748" i="1" a="1"/>
  <c r="Q1749" i="1" a="1"/>
  <c r="Q1750" i="1" a="1"/>
  <c r="Q1751" i="1" a="1"/>
  <c r="Q1752" i="1" a="1"/>
  <c r="Q1753" i="1" a="1"/>
  <c r="Q1754" i="1" a="1"/>
  <c r="Q1755" i="1" a="1"/>
  <c r="Q1756" i="1" a="1"/>
  <c r="Q1757" i="1" a="1"/>
  <c r="Q1758" i="1" a="1"/>
  <c r="Q1759" i="1" a="1"/>
  <c r="Q1760" i="1" a="1"/>
  <c r="Q1761" i="1" a="1"/>
  <c r="Q1762" i="1" a="1"/>
  <c r="Q1763" i="1" a="1"/>
  <c r="Q1764" i="1" a="1"/>
  <c r="Q1765" i="1" a="1"/>
  <c r="Q1766" i="1" a="1"/>
  <c r="Q1767" i="1" a="1"/>
  <c r="Q1768" i="1" a="1"/>
  <c r="Q1769" i="1" a="1"/>
  <c r="Q1770" i="1" a="1"/>
  <c r="Q1771" i="1" a="1"/>
  <c r="Q1772" i="1" a="1"/>
  <c r="Q1773" i="1" a="1"/>
  <c r="Q1774" i="1" a="1"/>
  <c r="Q1775" i="1" a="1"/>
  <c r="Q1776" i="1" a="1"/>
  <c r="Q1777" i="1" a="1"/>
  <c r="Q1778" i="1" a="1"/>
  <c r="Q1779" i="1" a="1"/>
  <c r="Q1780" i="1" a="1"/>
  <c r="Q1781" i="1" a="1"/>
  <c r="Q1781" i="1"/>
  <c r="Q1782" i="1" a="1"/>
  <c r="Q1783" i="1" a="1"/>
  <c r="Q1784" i="1" a="1"/>
  <c r="Q1785" i="1" a="1"/>
  <c r="Q1786" i="1" a="1"/>
  <c r="Q1787" i="1" a="1"/>
  <c r="Q1788" i="1" a="1"/>
  <c r="Q1789" i="1" a="1"/>
  <c r="Q1790" i="1" a="1"/>
  <c r="Q1791" i="1" a="1"/>
  <c r="Q1792" i="1" a="1"/>
  <c r="Q1793" i="1" a="1"/>
  <c r="Q1794" i="1" a="1"/>
  <c r="Q1795" i="1" a="1"/>
  <c r="Q1796" i="1" a="1"/>
  <c r="Q1797" i="1" a="1"/>
  <c r="Q1798" i="1" a="1"/>
  <c r="Q1799" i="1" a="1"/>
  <c r="Q1800" i="1" a="1"/>
  <c r="Q1801" i="1" a="1"/>
  <c r="Q1802" i="1" a="1"/>
  <c r="Q1803" i="1" a="1"/>
  <c r="Q1804" i="1" a="1"/>
  <c r="Q1805" i="1" a="1"/>
  <c r="Q1806" i="1" a="1"/>
  <c r="Q1807" i="1" a="1"/>
  <c r="Q1808" i="1" a="1"/>
  <c r="Q1809" i="1" a="1"/>
  <c r="Q1810" i="1" a="1"/>
  <c r="Q1811" i="1" a="1"/>
  <c r="Q1812" i="1" a="1"/>
  <c r="Q1813" i="1" a="1"/>
  <c r="Q1814" i="1" a="1"/>
  <c r="Q1815" i="1" a="1"/>
  <c r="Q1816" i="1" a="1"/>
  <c r="Q1817" i="1" a="1"/>
  <c r="Q1818" i="1" a="1"/>
  <c r="Q1819" i="1" a="1"/>
  <c r="Q1820" i="1" a="1"/>
  <c r="Q1821" i="1" a="1"/>
  <c r="Q1822" i="1" a="1"/>
  <c r="Q1823" i="1" a="1"/>
  <c r="Q1824" i="1" a="1"/>
  <c r="Q1825" i="1" a="1"/>
  <c r="Q1826" i="1" a="1"/>
  <c r="Q1827" i="1" a="1"/>
  <c r="Q1828" i="1" a="1"/>
  <c r="Q1829" i="1" a="1"/>
  <c r="Q1830" i="1" a="1"/>
  <c r="Q1830" i="1"/>
  <c r="Q1831" i="1" a="1"/>
  <c r="Q1832" i="1" a="1"/>
  <c r="Q1833" i="1" a="1"/>
  <c r="Q1834" i="1" a="1"/>
  <c r="Q1835" i="1" a="1"/>
  <c r="Q1836" i="1" a="1"/>
  <c r="Q1837" i="1" a="1"/>
  <c r="Q1838" i="1" a="1"/>
  <c r="Q1839" i="1" a="1"/>
  <c r="Q1840" i="1" a="1"/>
  <c r="Q1841" i="1" a="1"/>
  <c r="Q1842" i="1" a="1"/>
  <c r="Q1843" i="1" a="1"/>
  <c r="Q1844" i="1" a="1"/>
  <c r="Q1845" i="1" a="1"/>
  <c r="Q1846" i="1" a="1"/>
  <c r="Q1847" i="1" a="1"/>
  <c r="Q1848" i="1" a="1"/>
  <c r="Q1849" i="1" a="1"/>
  <c r="Q1850" i="1" a="1"/>
  <c r="Q1851" i="1" a="1"/>
  <c r="Q1852" i="1" a="1"/>
  <c r="Q1853" i="1" a="1"/>
  <c r="Q1854" i="1" a="1"/>
  <c r="Q1855" i="1" a="1"/>
  <c r="Q1856" i="1" a="1"/>
  <c r="Q1857" i="1" a="1"/>
  <c r="Q1858" i="1" a="1"/>
  <c r="Q1859" i="1" a="1"/>
  <c r="Q1860" i="1" a="1"/>
  <c r="Q1861" i="1" a="1"/>
  <c r="Q1862" i="1" a="1"/>
  <c r="Q1863" i="1" a="1"/>
  <c r="Q1864" i="1" a="1"/>
  <c r="Q1865" i="1" a="1"/>
  <c r="Q1866" i="1" a="1"/>
  <c r="Q1867" i="1" a="1"/>
  <c r="Q1868" i="1" a="1"/>
  <c r="Q1869" i="1" a="1"/>
  <c r="Q1870" i="1" a="1"/>
  <c r="Q1871" i="1" a="1"/>
  <c r="Q1872" i="1" a="1"/>
  <c r="Q1873" i="1" a="1"/>
  <c r="Q1874" i="1" a="1"/>
  <c r="Q1875" i="1" a="1"/>
  <c r="Q1876" i="1" a="1"/>
  <c r="Q1877" i="1" a="1"/>
  <c r="Q1878" i="1" a="1"/>
  <c r="Q1879" i="1" a="1"/>
  <c r="Q1880" i="1" a="1"/>
  <c r="Q1881" i="1" a="1"/>
  <c r="Q1882" i="1" a="1"/>
  <c r="Q1883" i="1" a="1"/>
  <c r="Q1884" i="1" a="1"/>
  <c r="Q1885" i="1" a="1"/>
  <c r="Q1886" i="1" a="1"/>
  <c r="Q1887" i="1" a="1"/>
  <c r="Q1888" i="1" a="1"/>
  <c r="Q1889" i="1" a="1"/>
  <c r="Q1890" i="1" a="1"/>
  <c r="Q1891" i="1" a="1"/>
  <c r="Q1892" i="1" a="1"/>
  <c r="Q1893" i="1" a="1"/>
  <c r="Q1894" i="1" a="1"/>
  <c r="Q1895" i="1" a="1"/>
  <c r="Q1896" i="1" a="1"/>
  <c r="Q1897" i="1" a="1"/>
  <c r="Q1898" i="1" a="1"/>
  <c r="Q1899" i="1" a="1"/>
  <c r="Q1900" i="1" a="1"/>
  <c r="Q1901" i="1" a="1"/>
  <c r="Q1902" i="1" a="1"/>
  <c r="Q1903" i="1" a="1"/>
  <c r="Q1904" i="1" a="1"/>
  <c r="Q1905" i="1" a="1"/>
  <c r="Q1906" i="1" a="1"/>
  <c r="Q1907" i="1" a="1"/>
  <c r="Q1908" i="1" a="1"/>
  <c r="Q1909" i="1" a="1"/>
  <c r="Q1910" i="1" a="1"/>
  <c r="Q1911" i="1" a="1"/>
  <c r="Q1912" i="1" a="1"/>
  <c r="Q1913" i="1" a="1"/>
  <c r="Q1914" i="1" a="1"/>
  <c r="Q1915" i="1" a="1"/>
  <c r="Q1916" i="1" a="1"/>
  <c r="Q1917" i="1" a="1"/>
  <c r="Q1918" i="1" a="1"/>
  <c r="Q1919" i="1" a="1"/>
  <c r="Q1920" i="1" a="1"/>
  <c r="Q1921" i="1" a="1"/>
  <c r="Q1922" i="1" a="1"/>
  <c r="Q1923" i="1" a="1"/>
  <c r="Q1924" i="1" a="1"/>
  <c r="Q1925" i="1" a="1"/>
  <c r="Q1926" i="1" a="1"/>
  <c r="Q1927" i="1" a="1"/>
  <c r="Q1928" i="1" a="1"/>
  <c r="Q1929" i="1" a="1"/>
  <c r="Q1930" i="1" a="1"/>
  <c r="Q1931" i="1" a="1"/>
  <c r="Q1932" i="1" a="1"/>
  <c r="Q1933" i="1" a="1"/>
  <c r="Q1934" i="1" a="1"/>
  <c r="Q1934" i="1"/>
  <c r="Q1935" i="1" a="1"/>
  <c r="Q1935" i="1"/>
  <c r="Q1936" i="1" a="1"/>
  <c r="Q1936" i="1"/>
  <c r="Q1937" i="1" a="1"/>
  <c r="Q1937" i="1"/>
  <c r="Q1938" i="1" a="1"/>
  <c r="Q1938" i="1"/>
  <c r="Q1939" i="1" a="1"/>
  <c r="Q1939" i="1"/>
  <c r="Q1940" i="1" a="1"/>
  <c r="Q1940" i="1"/>
  <c r="Q1941" i="1" a="1"/>
  <c r="Q1941" i="1"/>
  <c r="Q1942" i="1" a="1"/>
  <c r="Q1942" i="1"/>
  <c r="Q1943" i="1" a="1"/>
  <c r="Q1943" i="1"/>
  <c r="Q1944" i="1" a="1"/>
  <c r="Q1944" i="1"/>
  <c r="Q1945" i="1" a="1"/>
  <c r="Q1945" i="1"/>
  <c r="Q1946" i="1" a="1"/>
  <c r="Q1946" i="1"/>
  <c r="Q1947" i="1" a="1"/>
  <c r="Q1947" i="1"/>
  <c r="Q1948" i="1" a="1"/>
  <c r="Q1948" i="1"/>
  <c r="Q1949" i="1" a="1"/>
  <c r="Q1949" i="1"/>
  <c r="Q1950" i="1" a="1"/>
  <c r="Q1950" i="1"/>
  <c r="Q1951" i="1" a="1"/>
  <c r="Q1951" i="1"/>
  <c r="Q1952" i="1" a="1"/>
  <c r="Q1952" i="1"/>
  <c r="Q1953" i="1" a="1"/>
  <c r="Q1953" i="1"/>
  <c r="Q1954" i="1" a="1"/>
  <c r="Q1954" i="1"/>
  <c r="Q1955" i="1" a="1"/>
  <c r="Q1955" i="1"/>
  <c r="Q1956" i="1" a="1"/>
  <c r="Q1956" i="1"/>
  <c r="Q1957" i="1" a="1"/>
  <c r="Q1957" i="1"/>
  <c r="Q1958" i="1" a="1"/>
  <c r="Q1958" i="1"/>
  <c r="Q1959" i="1" a="1"/>
  <c r="Q1959" i="1"/>
  <c r="Q1960" i="1" a="1"/>
  <c r="Q1960" i="1"/>
  <c r="Q1961" i="1" a="1"/>
  <c r="Q1961" i="1"/>
  <c r="Q1962" i="1" a="1"/>
  <c r="Q1962" i="1"/>
  <c r="Q1963" i="1" a="1"/>
  <c r="Q1963" i="1"/>
  <c r="Q1964" i="1" a="1"/>
  <c r="Q1964" i="1"/>
  <c r="Q1965" i="1" a="1"/>
  <c r="Q1965" i="1"/>
  <c r="Q1966" i="1" a="1"/>
  <c r="Q1966" i="1"/>
  <c r="Q1967" i="1" a="1"/>
  <c r="Q1967" i="1"/>
  <c r="Q1968" i="1" a="1"/>
  <c r="Q1968" i="1"/>
  <c r="Q1969" i="1" a="1"/>
  <c r="Q1969" i="1"/>
  <c r="Q1970" i="1" a="1"/>
  <c r="Q1970" i="1"/>
  <c r="Q1971" i="1" a="1"/>
  <c r="Q1971" i="1"/>
  <c r="Q1972" i="1" a="1"/>
  <c r="Q1972" i="1"/>
  <c r="Q1973" i="1" a="1"/>
  <c r="Q1973" i="1"/>
  <c r="Q1974" i="1" a="1"/>
  <c r="Q1974" i="1"/>
  <c r="Q1975" i="1" a="1"/>
  <c r="Q1975" i="1"/>
  <c r="Q1976" i="1" a="1"/>
  <c r="Q1976" i="1"/>
  <c r="Q1977" i="1" a="1"/>
  <c r="Q1977" i="1"/>
  <c r="Q1978" i="1" a="1"/>
  <c r="Q1978" i="1"/>
  <c r="Q1979" i="1" a="1"/>
  <c r="Q1979" i="1"/>
  <c r="Q1980" i="1" a="1"/>
  <c r="Q1980" i="1"/>
  <c r="Q1981" i="1" a="1"/>
  <c r="Q1981" i="1"/>
  <c r="Q1982" i="1" a="1"/>
  <c r="Q1982" i="1"/>
  <c r="Q1983" i="1" a="1"/>
  <c r="Q1983" i="1"/>
  <c r="Q1984" i="1" a="1"/>
  <c r="Q1984" i="1"/>
  <c r="Q1985" i="1" a="1"/>
  <c r="Q1985" i="1"/>
  <c r="Q1986" i="1" a="1"/>
  <c r="Q1986" i="1"/>
  <c r="Q1987" i="1" a="1"/>
  <c r="Q1987" i="1"/>
  <c r="Q1988" i="1" a="1"/>
  <c r="Q1988" i="1"/>
  <c r="Q1989" i="1" a="1"/>
  <c r="Q1989" i="1"/>
  <c r="Q1990" i="1" a="1"/>
  <c r="Q1990" i="1"/>
  <c r="Q1991" i="1" a="1"/>
  <c r="Q1991" i="1"/>
  <c r="Q1992" i="1" a="1"/>
  <c r="Q1992" i="1"/>
  <c r="Q1993" i="1" a="1"/>
  <c r="Q1993" i="1"/>
  <c r="Q1994" i="1" a="1"/>
  <c r="Q1994" i="1"/>
  <c r="Q1995" i="1" a="1"/>
  <c r="Q1995" i="1"/>
  <c r="Q1996" i="1" a="1"/>
  <c r="Q1996" i="1"/>
  <c r="Q1997" i="1" a="1"/>
  <c r="Q1997" i="1"/>
  <c r="Q1998" i="1" a="1"/>
  <c r="Q1998" i="1"/>
  <c r="Q1999" i="1" a="1"/>
  <c r="Q1999" i="1"/>
  <c r="Q2000" i="1" a="1"/>
  <c r="Q2000" i="1"/>
  <c r="Q2001" i="1" a="1"/>
  <c r="Q2001" i="1"/>
  <c r="Q2002" i="1" a="1"/>
  <c r="Q2002" i="1"/>
  <c r="Q2003" i="1" a="1"/>
  <c r="Q2003" i="1"/>
  <c r="Q2004" i="1" a="1"/>
  <c r="Q2004" i="1"/>
  <c r="Q2005" i="1" a="1"/>
  <c r="Q2005" i="1"/>
  <c r="Q2006" i="1" a="1"/>
  <c r="Q2006" i="1"/>
  <c r="Q2007" i="1" a="1"/>
  <c r="Q2007" i="1"/>
  <c r="Q2008" i="1" a="1"/>
  <c r="Q2008" i="1"/>
  <c r="Q2009" i="1" a="1"/>
  <c r="Q2009" i="1"/>
  <c r="Q2010" i="1" a="1"/>
  <c r="Q2010" i="1"/>
  <c r="Q2011" i="1" a="1"/>
  <c r="Q2011" i="1"/>
  <c r="Q2012" i="1" a="1"/>
  <c r="Q2012" i="1"/>
  <c r="Q2013" i="1" a="1"/>
  <c r="Q2013" i="1"/>
  <c r="Q2014" i="1" a="1"/>
  <c r="Q2014" i="1"/>
  <c r="Q2015" i="1" a="1"/>
  <c r="Q2015" i="1"/>
  <c r="Q2016" i="1" a="1"/>
  <c r="Q2016" i="1"/>
  <c r="Q2017" i="1" a="1"/>
  <c r="Q2017" i="1"/>
  <c r="Q2018" i="1" a="1"/>
  <c r="Q2018" i="1"/>
  <c r="Q2019" i="1" a="1"/>
  <c r="Q2019" i="1"/>
  <c r="Q2020" i="1" a="1"/>
  <c r="Q2020" i="1"/>
  <c r="Q2021" i="1" a="1"/>
  <c r="Q2021" i="1"/>
  <c r="Q2022" i="1" a="1"/>
  <c r="Q2022" i="1"/>
  <c r="Q2023" i="1" a="1"/>
  <c r="Q2023" i="1"/>
  <c r="Q2024" i="1" a="1"/>
  <c r="Q2024" i="1"/>
  <c r="Q2025" i="1" a="1"/>
  <c r="Q2025" i="1"/>
  <c r="Q2026" i="1" a="1"/>
  <c r="Q2026" i="1"/>
  <c r="Q2027" i="1" a="1"/>
  <c r="Q2027" i="1"/>
  <c r="Q2028" i="1" a="1"/>
  <c r="Q2028" i="1"/>
  <c r="Q2029" i="1" a="1"/>
  <c r="Q2029" i="1"/>
  <c r="Q2030" i="1" a="1"/>
  <c r="Q2030" i="1"/>
  <c r="Q2031" i="1" a="1"/>
  <c r="Q2031" i="1"/>
  <c r="Q2032" i="1" a="1"/>
  <c r="Q2032" i="1"/>
  <c r="Q2033" i="1" a="1"/>
  <c r="Q2033" i="1"/>
  <c r="Q2034" i="1" a="1"/>
  <c r="Q2034" i="1"/>
  <c r="Q2035" i="1" a="1"/>
  <c r="Q2035" i="1"/>
  <c r="Q2036" i="1" a="1"/>
  <c r="Q2036" i="1"/>
  <c r="Q2037" i="1" a="1"/>
  <c r="Q2037" i="1"/>
  <c r="Q2038" i="1" a="1"/>
  <c r="Q2038" i="1"/>
  <c r="Q2039" i="1" a="1"/>
  <c r="Q2039" i="1"/>
  <c r="Q2040" i="1" a="1"/>
  <c r="Q2040" i="1"/>
  <c r="Q2041" i="1" a="1"/>
  <c r="Q2041" i="1"/>
  <c r="Q2042" i="1" a="1"/>
  <c r="Q2042" i="1"/>
  <c r="Q2043" i="1" a="1"/>
  <c r="Q2043" i="1"/>
  <c r="Q2044" i="1" a="1"/>
  <c r="Q2044" i="1"/>
  <c r="Q2045" i="1" a="1"/>
  <c r="Q2045" i="1"/>
  <c r="Q2046" i="1" a="1"/>
  <c r="Q2046" i="1"/>
  <c r="Q2047" i="1" a="1"/>
  <c r="Q2047" i="1"/>
  <c r="Q2048" i="1" a="1"/>
  <c r="Q2048" i="1"/>
  <c r="Q2049" i="1" a="1"/>
  <c r="Q2049" i="1"/>
  <c r="Q2050" i="1" a="1"/>
  <c r="Q2050" i="1"/>
  <c r="Q2051" i="1" a="1"/>
  <c r="Q2051" i="1"/>
  <c r="Q2052" i="1" a="1"/>
  <c r="Q2052" i="1"/>
  <c r="Q2053" i="1" a="1"/>
  <c r="Q2053" i="1"/>
  <c r="Q2054" i="1" a="1"/>
  <c r="Q2054" i="1"/>
  <c r="Q2055" i="1" a="1"/>
  <c r="Q2055" i="1"/>
  <c r="Q2056" i="1" a="1"/>
  <c r="Q2056" i="1"/>
  <c r="Q2057" i="1" a="1"/>
  <c r="Q2057" i="1"/>
  <c r="Q2058" i="1" a="1"/>
  <c r="Q2058" i="1"/>
  <c r="Q2059" i="1" a="1"/>
  <c r="Q2059" i="1"/>
  <c r="Q2060" i="1" a="1"/>
  <c r="Q2060" i="1"/>
  <c r="Q2061" i="1" a="1"/>
  <c r="Q2061" i="1"/>
  <c r="Q2062" i="1" a="1"/>
  <c r="Q2062" i="1"/>
  <c r="Q2063" i="1" a="1"/>
  <c r="Q2063" i="1"/>
  <c r="Q2064" i="1" a="1"/>
  <c r="Q2064" i="1"/>
  <c r="Q2065" i="1" a="1"/>
  <c r="Q2065" i="1"/>
  <c r="Q2066" i="1" a="1"/>
  <c r="Q2066" i="1"/>
  <c r="Q2067" i="1" a="1"/>
  <c r="Q2067" i="1"/>
  <c r="Q2068" i="1" a="1"/>
  <c r="Q2068" i="1"/>
  <c r="Q2069" i="1" a="1"/>
  <c r="Q2069" i="1"/>
  <c r="Q2070" i="1" a="1"/>
  <c r="Q2070" i="1"/>
  <c r="Q2071" i="1" a="1"/>
  <c r="Q2071" i="1"/>
  <c r="Q2072" i="1" a="1"/>
  <c r="Q2072" i="1"/>
  <c r="Q2073" i="1" a="1"/>
  <c r="Q2073" i="1"/>
  <c r="Q2074" i="1" a="1"/>
  <c r="Q2074" i="1"/>
  <c r="Q2075" i="1" a="1"/>
  <c r="Q2075" i="1"/>
  <c r="Q2076" i="1" a="1"/>
  <c r="Q2076" i="1"/>
  <c r="Q2077" i="1" a="1"/>
  <c r="Q2077" i="1"/>
  <c r="Q2078" i="1" a="1"/>
  <c r="Q2078" i="1"/>
  <c r="Q2079" i="1" a="1"/>
  <c r="Q2079" i="1"/>
  <c r="Q2080" i="1" a="1"/>
  <c r="Q2080" i="1"/>
  <c r="Q2081" i="1" a="1"/>
  <c r="Q2081" i="1"/>
  <c r="Q2082" i="1" a="1"/>
  <c r="Q2082" i="1"/>
  <c r="Q2083" i="1" a="1"/>
  <c r="Q2083" i="1"/>
  <c r="Q2084" i="1" a="1"/>
  <c r="Q2084" i="1"/>
  <c r="Q2085" i="1" a="1"/>
  <c r="Q2085" i="1"/>
  <c r="Q2086" i="1" a="1"/>
  <c r="Q2086" i="1"/>
  <c r="Q2087" i="1" a="1"/>
  <c r="Q2087" i="1"/>
  <c r="Q2088" i="1" a="1"/>
  <c r="Q2088" i="1"/>
  <c r="Q2089" i="1" a="1"/>
  <c r="Q2089" i="1"/>
  <c r="Q2090" i="1" a="1"/>
  <c r="Q2090" i="1"/>
  <c r="Q2091" i="1" a="1"/>
  <c r="Q2091" i="1"/>
  <c r="Q2092" i="1" a="1"/>
  <c r="Q2092" i="1"/>
  <c r="Q2093" i="1" a="1"/>
  <c r="Q2093" i="1"/>
  <c r="Q2094" i="1" a="1"/>
  <c r="Q2094" i="1"/>
  <c r="Q2095" i="1" a="1"/>
  <c r="Q2095" i="1"/>
  <c r="Q2096" i="1" a="1"/>
  <c r="Q2096" i="1"/>
  <c r="Q2097" i="1" a="1"/>
  <c r="Q2097" i="1"/>
  <c r="Q2098" i="1" a="1"/>
  <c r="Q2098" i="1"/>
  <c r="Q2099" i="1" a="1"/>
  <c r="Q2099" i="1"/>
  <c r="Q2100" i="1" a="1"/>
  <c r="Q2100" i="1"/>
  <c r="Q2101" i="1" a="1"/>
  <c r="Q2101" i="1"/>
  <c r="Q2102" i="1" a="1"/>
  <c r="Q2102" i="1"/>
  <c r="Q2103" i="1" a="1"/>
  <c r="Q2103" i="1"/>
  <c r="Q2104" i="1" a="1"/>
  <c r="Q2104" i="1"/>
  <c r="Q2105" i="1" a="1"/>
  <c r="Q2105" i="1"/>
  <c r="Q2106" i="1" a="1"/>
  <c r="Q2106" i="1"/>
  <c r="Q2107" i="1" a="1"/>
  <c r="Q2107" i="1"/>
  <c r="Q2108" i="1" a="1"/>
  <c r="Q2108" i="1"/>
  <c r="Q2109" i="1" a="1"/>
  <c r="Q2109" i="1"/>
  <c r="Q2110" i="1" a="1"/>
  <c r="Q2110" i="1"/>
  <c r="Q2111" i="1" a="1"/>
  <c r="Q2111" i="1"/>
  <c r="Q2112" i="1" a="1"/>
  <c r="Q2112" i="1"/>
  <c r="Q2113" i="1" a="1"/>
  <c r="Q2113" i="1"/>
  <c r="Q2114" i="1" a="1"/>
  <c r="Q2114" i="1"/>
  <c r="Q2115" i="1" a="1"/>
  <c r="Q2115" i="1"/>
  <c r="Q2116" i="1" a="1"/>
  <c r="Q2116" i="1"/>
  <c r="Q2117" i="1" a="1"/>
  <c r="Q2117" i="1"/>
  <c r="Q2118" i="1" a="1"/>
  <c r="Q2118" i="1"/>
  <c r="Q2119" i="1" a="1"/>
  <c r="Q2119" i="1"/>
  <c r="Q2120" i="1" a="1"/>
  <c r="Q2120" i="1"/>
  <c r="Q2121" i="1" a="1"/>
  <c r="Q2121" i="1"/>
  <c r="Q2122" i="1" a="1"/>
  <c r="Q2122" i="1"/>
  <c r="Q2123" i="1" a="1"/>
  <c r="Q2123" i="1"/>
  <c r="Q2124" i="1" a="1"/>
  <c r="Q2124" i="1"/>
  <c r="Q2125" i="1" a="1"/>
  <c r="Q2125" i="1"/>
  <c r="Q2126" i="1" a="1"/>
  <c r="Q2126" i="1"/>
  <c r="Q2127" i="1" a="1"/>
  <c r="Q2127" i="1"/>
  <c r="Q2128" i="1" a="1"/>
  <c r="Q2128" i="1"/>
  <c r="Q2129" i="1" a="1"/>
  <c r="Q2129" i="1"/>
  <c r="Q2130" i="1" a="1"/>
  <c r="Q2130" i="1"/>
  <c r="Q2131" i="1" a="1"/>
  <c r="Q2131" i="1"/>
  <c r="Q2132" i="1" a="1"/>
  <c r="Q2132" i="1"/>
  <c r="Q2133" i="1" a="1"/>
  <c r="Q2133" i="1"/>
  <c r="Q2134" i="1" a="1"/>
  <c r="Q2134" i="1"/>
  <c r="Q2135" i="1" a="1"/>
  <c r="Q2135" i="1"/>
  <c r="Q2136" i="1" a="1"/>
  <c r="Q2136" i="1"/>
  <c r="Q2137" i="1" a="1"/>
  <c r="Q2137" i="1"/>
  <c r="Q2138" i="1" a="1"/>
  <c r="Q2138" i="1"/>
  <c r="Q2139" i="1" a="1"/>
  <c r="Q2139" i="1"/>
  <c r="Q2140" i="1" a="1"/>
  <c r="Q2140" i="1"/>
  <c r="Q2141" i="1" a="1"/>
  <c r="Q2141" i="1"/>
  <c r="Q2142" i="1" a="1"/>
  <c r="Q2142" i="1"/>
  <c r="Q2143" i="1" a="1"/>
  <c r="Q2143" i="1"/>
  <c r="Q2144" i="1" a="1"/>
  <c r="Q2144" i="1"/>
  <c r="Q2145" i="1" a="1"/>
  <c r="Q2145" i="1"/>
  <c r="Q2146" i="1" a="1"/>
  <c r="Q2146" i="1"/>
  <c r="Q2147" i="1" a="1"/>
  <c r="Q2147" i="1"/>
  <c r="Q2148" i="1" a="1"/>
  <c r="Q2148" i="1"/>
  <c r="Q2149" i="1" a="1"/>
  <c r="Q2149" i="1"/>
  <c r="Q2150" i="1" a="1"/>
  <c r="Q2150" i="1"/>
  <c r="Q2151" i="1" a="1"/>
  <c r="Q2151" i="1"/>
  <c r="Q2152" i="1" a="1"/>
  <c r="Q2152" i="1"/>
  <c r="Q2153" i="1" a="1"/>
  <c r="Q2153" i="1"/>
  <c r="Q2154" i="1" a="1"/>
  <c r="Q2154" i="1"/>
  <c r="Q2155" i="1" a="1"/>
  <c r="Q2155" i="1"/>
  <c r="Q2156" i="1" a="1"/>
  <c r="Q2156" i="1"/>
  <c r="Q2157" i="1" a="1"/>
  <c r="Q2157" i="1"/>
  <c r="Q2158" i="1" a="1"/>
  <c r="Q2158" i="1"/>
  <c r="Q2159" i="1" a="1"/>
  <c r="Q2159" i="1"/>
  <c r="Q2160" i="1" a="1"/>
  <c r="Q2160" i="1"/>
  <c r="Q2161" i="1" a="1"/>
  <c r="Q2161" i="1"/>
  <c r="Q2162" i="1" a="1"/>
  <c r="Q2162" i="1"/>
  <c r="Q2163" i="1" a="1"/>
  <c r="Q2163" i="1"/>
  <c r="Q2164" i="1" a="1"/>
  <c r="Q2164" i="1"/>
  <c r="Q2165" i="1" a="1"/>
  <c r="Q2165" i="1"/>
  <c r="Q2166" i="1" a="1"/>
  <c r="Q2166" i="1"/>
  <c r="Q2167" i="1" a="1"/>
  <c r="Q2167" i="1"/>
  <c r="Q2168" i="1" a="1"/>
  <c r="Q2168" i="1"/>
  <c r="Q2169" i="1" a="1"/>
  <c r="Q2169" i="1"/>
  <c r="Q2170" i="1" a="1"/>
  <c r="Q2170" i="1"/>
  <c r="Q2171" i="1" a="1"/>
  <c r="Q2171" i="1"/>
  <c r="Q2172" i="1" a="1"/>
  <c r="Q2172" i="1"/>
  <c r="Q2173" i="1" a="1"/>
  <c r="Q2173" i="1"/>
  <c r="Q2174" i="1" a="1"/>
  <c r="Q2174" i="1"/>
  <c r="Q2175" i="1" a="1"/>
  <c r="Q2175" i="1"/>
  <c r="Q2176" i="1" a="1"/>
  <c r="Q2176" i="1"/>
  <c r="Q2177" i="1" a="1"/>
  <c r="Q2177" i="1"/>
  <c r="Q2178" i="1" a="1"/>
  <c r="Q2178" i="1"/>
  <c r="Q2179" i="1" a="1"/>
  <c r="Q2179" i="1"/>
  <c r="Q2180" i="1" a="1"/>
  <c r="Q2180" i="1"/>
  <c r="Q2181" i="1" a="1"/>
  <c r="Q2181" i="1"/>
  <c r="Q2182" i="1" a="1"/>
  <c r="Q2182" i="1"/>
  <c r="Q2183" i="1" a="1"/>
  <c r="Q2183" i="1"/>
  <c r="Q2184" i="1" a="1"/>
  <c r="Q2184" i="1"/>
  <c r="Q2185" i="1" a="1"/>
  <c r="Q2185" i="1"/>
  <c r="Q2186" i="1" a="1"/>
  <c r="Q2186" i="1"/>
  <c r="Q2187" i="1" a="1"/>
  <c r="Q2187" i="1"/>
  <c r="Q2188" i="1" a="1"/>
  <c r="Q2188" i="1"/>
  <c r="Q2189" i="1" a="1"/>
  <c r="Q2189" i="1"/>
  <c r="Q2190" i="1" a="1"/>
  <c r="Q2190" i="1"/>
  <c r="Q2191" i="1" a="1"/>
  <c r="Q2191" i="1"/>
  <c r="Q2192" i="1" a="1"/>
  <c r="Q2192" i="1"/>
  <c r="Q2193" i="1" a="1"/>
  <c r="Q2193" i="1"/>
  <c r="Q2194" i="1" a="1"/>
  <c r="Q2194" i="1"/>
  <c r="Q2195" i="1" a="1"/>
  <c r="Q2195" i="1"/>
  <c r="Q2196" i="1" a="1"/>
  <c r="Q2196" i="1"/>
  <c r="Q2197" i="1" a="1"/>
  <c r="Q2197" i="1"/>
  <c r="Q2198" i="1" a="1"/>
  <c r="Q2198" i="1"/>
  <c r="Q2199" i="1" a="1"/>
  <c r="Q2199" i="1"/>
  <c r="Q2200" i="1" a="1"/>
  <c r="Q2200" i="1"/>
  <c r="Q2201" i="1" a="1"/>
  <c r="Q2201" i="1"/>
  <c r="Q2202" i="1" a="1"/>
  <c r="Q2202" i="1"/>
  <c r="Q2203" i="1" a="1"/>
  <c r="Q2203" i="1"/>
  <c r="Q2204" i="1" a="1"/>
  <c r="Q2204" i="1"/>
  <c r="Q2205" i="1" a="1"/>
  <c r="Q2205" i="1"/>
  <c r="Q2206" i="1" a="1"/>
  <c r="Q2206" i="1"/>
  <c r="Q2207" i="1" a="1"/>
  <c r="Q2207" i="1"/>
  <c r="Q2208" i="1" a="1"/>
  <c r="Q2208" i="1"/>
  <c r="Q2209" i="1" a="1"/>
  <c r="Q2209" i="1"/>
  <c r="Q2210" i="1" a="1"/>
  <c r="Q2210" i="1"/>
  <c r="Q2211" i="1" a="1"/>
  <c r="Q2211" i="1"/>
  <c r="Q2212" i="1" a="1"/>
  <c r="Q2212" i="1"/>
  <c r="Q2213" i="1" a="1"/>
  <c r="Q2213" i="1"/>
  <c r="Q2214" i="1" a="1"/>
  <c r="Q2214" i="1"/>
  <c r="Q2215" i="1" a="1"/>
  <c r="Q2215" i="1"/>
  <c r="Q2216" i="1" a="1"/>
  <c r="Q2216" i="1"/>
  <c r="Q2217" i="1" a="1"/>
  <c r="Q2217" i="1"/>
  <c r="Q2218" i="1" a="1"/>
  <c r="Q2218" i="1"/>
  <c r="Q2219" i="1" a="1"/>
  <c r="Q2219" i="1"/>
  <c r="Q2220" i="1" a="1"/>
  <c r="Q2220" i="1"/>
  <c r="Q2221" i="1" a="1"/>
  <c r="Q2221" i="1"/>
  <c r="Q2222" i="1" a="1"/>
  <c r="Q2222" i="1"/>
  <c r="Q2223" i="1" a="1"/>
  <c r="Q2223" i="1"/>
  <c r="Q2224" i="1" a="1"/>
  <c r="Q2224" i="1"/>
  <c r="Q2225" i="1" a="1"/>
  <c r="Q2225" i="1"/>
  <c r="Q2226" i="1" a="1"/>
  <c r="Q2226" i="1"/>
  <c r="Q2227" i="1" a="1"/>
  <c r="Q2227" i="1"/>
  <c r="Q2228" i="1" a="1"/>
  <c r="Q2228" i="1"/>
  <c r="Q2229" i="1" a="1"/>
  <c r="Q2229" i="1"/>
  <c r="Q2230" i="1" a="1"/>
  <c r="Q2230" i="1"/>
  <c r="Q2231" i="1" a="1"/>
  <c r="Q2231" i="1"/>
  <c r="Q2232" i="1" a="1"/>
  <c r="Q2232" i="1"/>
  <c r="Q2233" i="1" a="1"/>
  <c r="Q2233" i="1"/>
  <c r="Q2234" i="1" a="1"/>
  <c r="Q2234" i="1"/>
  <c r="Q2235" i="1" a="1"/>
  <c r="Q2235" i="1"/>
  <c r="Q2236" i="1" a="1"/>
  <c r="Q2236" i="1"/>
  <c r="Q2237" i="1" a="1"/>
  <c r="Q2237" i="1"/>
  <c r="Q2238" i="1" a="1"/>
  <c r="Q2238" i="1"/>
  <c r="Q2239" i="1" a="1"/>
  <c r="Q2239" i="1"/>
  <c r="Q2240" i="1" a="1"/>
  <c r="Q2240" i="1"/>
  <c r="Q2241" i="1" a="1"/>
  <c r="Q2241" i="1"/>
  <c r="Q2242" i="1" a="1"/>
  <c r="Q2242" i="1"/>
  <c r="Q2243" i="1" a="1"/>
  <c r="Q2243" i="1"/>
  <c r="Q2244" i="1" a="1"/>
  <c r="Q2244" i="1"/>
  <c r="Q2245" i="1" a="1"/>
  <c r="Q2245" i="1"/>
  <c r="Q2246" i="1" a="1"/>
  <c r="Q2246" i="1"/>
  <c r="Q2247" i="1" a="1"/>
  <c r="Q2247" i="1"/>
  <c r="Q2248" i="1" a="1"/>
  <c r="Q2248" i="1"/>
  <c r="Q2249" i="1" a="1"/>
  <c r="Q2249" i="1"/>
  <c r="Q2250" i="1" a="1"/>
  <c r="Q2250" i="1"/>
  <c r="Q2251" i="1" a="1"/>
  <c r="Q2251" i="1"/>
  <c r="Q2252" i="1" a="1"/>
  <c r="Q2252" i="1"/>
  <c r="Q2253" i="1" a="1"/>
  <c r="Q2253" i="1"/>
  <c r="Q2254" i="1" a="1"/>
  <c r="Q2254" i="1"/>
  <c r="Q2255" i="1" a="1"/>
  <c r="Q2255" i="1"/>
  <c r="Q2256" i="1" a="1"/>
  <c r="Q2256" i="1"/>
  <c r="Q2257" i="1" a="1"/>
  <c r="Q2257" i="1"/>
  <c r="Q2258" i="1" a="1"/>
  <c r="Q2258" i="1"/>
  <c r="Q2259" i="1" a="1"/>
  <c r="Q2259" i="1"/>
  <c r="Q2260" i="1" a="1"/>
  <c r="Q2260" i="1"/>
  <c r="Q2261" i="1" a="1"/>
  <c r="Q2261" i="1"/>
  <c r="Q2262" i="1" a="1"/>
  <c r="Q2262" i="1"/>
  <c r="Q2263" i="1" a="1"/>
  <c r="Q2263" i="1"/>
  <c r="Q2264" i="1" a="1"/>
  <c r="Q2264" i="1"/>
  <c r="Q2265" i="1" a="1"/>
  <c r="Q2265" i="1"/>
  <c r="Q2266" i="1" a="1"/>
  <c r="Q2266" i="1"/>
  <c r="Q2267" i="1" a="1"/>
  <c r="Q2267" i="1"/>
  <c r="Q2268" i="1" a="1"/>
  <c r="Q2268" i="1"/>
  <c r="Q2269" i="1" a="1"/>
  <c r="Q2269" i="1"/>
  <c r="Q2270" i="1" a="1"/>
  <c r="Q2270" i="1"/>
  <c r="Q2271" i="1" a="1"/>
  <c r="Q2271" i="1"/>
  <c r="Q2272" i="1" a="1"/>
  <c r="Q2272" i="1"/>
  <c r="Q2273" i="1" a="1"/>
  <c r="Q2273" i="1"/>
  <c r="Q2274" i="1" a="1"/>
  <c r="Q2274" i="1"/>
  <c r="Q2275" i="1" a="1"/>
  <c r="Q2275" i="1"/>
  <c r="Q2276" i="1" a="1"/>
  <c r="Q2276" i="1"/>
  <c r="Q2277" i="1" a="1"/>
  <c r="Q2277" i="1"/>
  <c r="Q2278" i="1" a="1"/>
  <c r="Q2278" i="1"/>
  <c r="Q2279" i="1" a="1"/>
  <c r="Q2279" i="1"/>
  <c r="Q2280" i="1" a="1"/>
  <c r="Q2280" i="1"/>
  <c r="Q2281" i="1" a="1"/>
  <c r="Q2281" i="1"/>
  <c r="Q2282" i="1" a="1"/>
  <c r="Q2282" i="1"/>
  <c r="Q2283" i="1" a="1"/>
  <c r="Q2283" i="1"/>
  <c r="Q2284" i="1" a="1"/>
  <c r="Q2284" i="1"/>
  <c r="Q2285" i="1" a="1"/>
  <c r="Q2285" i="1"/>
  <c r="Q2286" i="1" a="1"/>
  <c r="Q2286" i="1"/>
  <c r="Q2287" i="1" a="1"/>
  <c r="Q2287" i="1"/>
  <c r="Q2288" i="1" a="1"/>
  <c r="Q2288" i="1"/>
  <c r="Q2289" i="1" a="1"/>
  <c r="Q2289" i="1"/>
  <c r="Q2290" i="1" a="1"/>
  <c r="Q2290" i="1"/>
  <c r="Q2291" i="1" a="1"/>
  <c r="Q2291" i="1"/>
  <c r="Q2292" i="1" a="1"/>
  <c r="Q2292" i="1"/>
  <c r="Q2293" i="1" a="1"/>
  <c r="Q2293" i="1"/>
  <c r="Q2294" i="1" a="1"/>
  <c r="Q2294" i="1"/>
  <c r="Q2295" i="1" a="1"/>
  <c r="Q2295" i="1"/>
  <c r="Q2296" i="1" a="1"/>
  <c r="Q2296" i="1"/>
  <c r="Q2297" i="1" a="1"/>
  <c r="Q2297" i="1"/>
  <c r="Q2298" i="1" a="1"/>
  <c r="Q2298" i="1"/>
  <c r="Q2299" i="1" a="1"/>
  <c r="Q2299" i="1"/>
  <c r="Q2300" i="1" a="1"/>
  <c r="Q2300" i="1"/>
  <c r="Q2301" i="1" a="1"/>
  <c r="Q2301" i="1"/>
  <c r="Q2302" i="1" a="1"/>
  <c r="Q2302" i="1"/>
  <c r="Q2303" i="1" a="1"/>
  <c r="Q2303" i="1"/>
  <c r="Q2304" i="1" a="1"/>
  <c r="Q2304" i="1"/>
  <c r="Q2305" i="1" a="1"/>
  <c r="Q2305" i="1"/>
  <c r="Q2306" i="1" a="1"/>
  <c r="Q2306" i="1"/>
  <c r="Q2307" i="1" a="1"/>
  <c r="Q2307" i="1"/>
  <c r="Q2308" i="1" a="1"/>
  <c r="Q2308" i="1"/>
  <c r="Q2309" i="1" a="1"/>
  <c r="Q2309" i="1"/>
  <c r="Q2310" i="1" a="1"/>
  <c r="Q2310" i="1"/>
  <c r="Q2311" i="1" a="1"/>
  <c r="Q2311" i="1"/>
  <c r="Q2312" i="1" a="1"/>
  <c r="Q2312" i="1"/>
  <c r="Q2313" i="1" a="1"/>
  <c r="Q2313" i="1"/>
  <c r="Q2314" i="1" a="1"/>
  <c r="Q2314" i="1"/>
  <c r="Q2315" i="1" a="1"/>
  <c r="Q2315" i="1"/>
  <c r="Q2316" i="1" a="1"/>
  <c r="Q2316" i="1"/>
  <c r="Q2317" i="1" a="1"/>
  <c r="Q2317" i="1"/>
  <c r="Q2318" i="1" a="1"/>
  <c r="Q2318" i="1"/>
  <c r="Q2319" i="1" a="1"/>
  <c r="Q2319" i="1"/>
  <c r="Q2320" i="1" a="1"/>
  <c r="Q2320" i="1"/>
  <c r="Q2321" i="1" a="1"/>
  <c r="Q2321" i="1"/>
  <c r="Q2322" i="1" a="1"/>
  <c r="Q2322" i="1"/>
  <c r="Q2323" i="1" a="1"/>
  <c r="Q2323" i="1"/>
  <c r="Q2324" i="1" a="1"/>
  <c r="Q2324" i="1"/>
  <c r="Q2325" i="1" a="1"/>
  <c r="Q2325" i="1"/>
  <c r="Q2326" i="1" a="1"/>
  <c r="Q2326" i="1"/>
  <c r="Q2327" i="1" a="1"/>
  <c r="Q2327" i="1"/>
  <c r="Q2328" i="1" a="1"/>
  <c r="Q2328" i="1"/>
  <c r="Q2329" i="1" a="1"/>
  <c r="Q2329" i="1"/>
  <c r="Q2330" i="1" a="1"/>
  <c r="Q2330" i="1"/>
  <c r="Q2331" i="1" a="1"/>
  <c r="Q2331" i="1"/>
  <c r="Q2332" i="1" a="1"/>
  <c r="Q2332" i="1"/>
  <c r="Q2333" i="1" a="1"/>
  <c r="Q2333" i="1"/>
  <c r="Q2334" i="1" a="1"/>
  <c r="Q2334" i="1"/>
  <c r="Q2335" i="1" a="1"/>
  <c r="Q2335" i="1"/>
  <c r="Q2336" i="1" a="1"/>
  <c r="Q2336" i="1"/>
  <c r="Q2337" i="1" a="1"/>
  <c r="Q2337" i="1"/>
  <c r="Q2338" i="1" a="1"/>
  <c r="Q2338" i="1"/>
  <c r="Q2339" i="1" a="1"/>
  <c r="Q2339" i="1"/>
  <c r="Q2340" i="1" a="1"/>
  <c r="Q2340" i="1"/>
  <c r="Q2341" i="1" a="1"/>
  <c r="Q2341" i="1"/>
  <c r="Q2342" i="1" a="1"/>
  <c r="Q2342" i="1"/>
  <c r="Q2343" i="1" a="1"/>
  <c r="Q2343" i="1"/>
  <c r="Q2344" i="1" a="1"/>
  <c r="Q2344" i="1"/>
  <c r="Q2345" i="1" a="1"/>
  <c r="Q2345" i="1"/>
  <c r="Q2346" i="1" a="1"/>
  <c r="Q2346" i="1"/>
  <c r="Q2347" i="1" a="1"/>
  <c r="Q2347" i="1"/>
  <c r="Q2348" i="1" a="1"/>
  <c r="Q2348" i="1"/>
  <c r="Q2349" i="1" a="1"/>
  <c r="Q2349" i="1"/>
  <c r="Q2350" i="1" a="1"/>
  <c r="Q2350" i="1"/>
  <c r="Q2351" i="1" a="1"/>
  <c r="Q2351" i="1"/>
  <c r="Q2352" i="1" a="1"/>
  <c r="Q2352" i="1"/>
  <c r="Q2353" i="1" a="1"/>
  <c r="Q2353" i="1"/>
  <c r="Q2354" i="1" a="1"/>
  <c r="Q2354" i="1"/>
  <c r="Q2355" i="1" a="1"/>
  <c r="Q2355" i="1"/>
  <c r="Q2356" i="1" a="1"/>
  <c r="Q2356" i="1"/>
  <c r="Q2357" i="1" a="1"/>
  <c r="Q2357" i="1"/>
  <c r="Q2358" i="1" a="1"/>
  <c r="Q2358" i="1"/>
  <c r="Q2359" i="1" a="1"/>
  <c r="Q2359" i="1"/>
  <c r="Q2360" i="1" a="1"/>
  <c r="Q2360" i="1"/>
  <c r="Q2361" i="1" a="1"/>
  <c r="Q2361" i="1"/>
  <c r="Q2362" i="1" a="1"/>
  <c r="Q2362" i="1"/>
  <c r="Q2363" i="1" a="1"/>
  <c r="Q2363" i="1"/>
  <c r="Q2364" i="1" a="1"/>
  <c r="Q2364" i="1"/>
  <c r="Q2365" i="1" a="1"/>
  <c r="Q2365" i="1"/>
  <c r="Q2366" i="1" a="1"/>
  <c r="Q2366" i="1"/>
  <c r="Q2367" i="1" a="1"/>
  <c r="Q2367" i="1"/>
  <c r="Q2368" i="1" a="1"/>
  <c r="Q2368" i="1"/>
  <c r="Q2369" i="1" a="1"/>
  <c r="Q2369" i="1"/>
  <c r="Q2370" i="1" a="1"/>
  <c r="Q2370" i="1"/>
  <c r="Q2371" i="1" a="1"/>
  <c r="Q2371" i="1"/>
  <c r="Q2372" i="1" a="1"/>
  <c r="Q2372" i="1"/>
  <c r="Q2373" i="1" a="1"/>
  <c r="Q2373" i="1"/>
  <c r="Q2374" i="1" a="1"/>
  <c r="Q2374" i="1"/>
  <c r="Q2375" i="1" a="1"/>
  <c r="Q2375" i="1"/>
  <c r="Q2376" i="1" a="1"/>
  <c r="Q2376" i="1"/>
  <c r="Q2377" i="1" a="1"/>
  <c r="Q2377" i="1"/>
  <c r="Q2378" i="1" a="1"/>
  <c r="Q2378" i="1"/>
  <c r="Q2379" i="1" a="1"/>
  <c r="Q2379" i="1"/>
  <c r="Q2380" i="1" a="1"/>
  <c r="Q2380" i="1"/>
  <c r="Q2381" i="1" a="1"/>
  <c r="Q2381" i="1"/>
  <c r="Q2382" i="1" a="1"/>
  <c r="Q2382" i="1"/>
  <c r="Q2383" i="1" a="1"/>
  <c r="Q2383" i="1"/>
  <c r="Q2384" i="1" a="1"/>
  <c r="Q2384" i="1"/>
  <c r="Q2385" i="1" a="1"/>
  <c r="Q2385" i="1"/>
  <c r="Q2386" i="1" a="1"/>
  <c r="Q2386" i="1"/>
  <c r="Q2387" i="1" a="1"/>
  <c r="Q2387" i="1"/>
  <c r="Q2388" i="1" a="1"/>
  <c r="Q2388" i="1"/>
  <c r="Q2389" i="1" a="1"/>
  <c r="Q2389" i="1"/>
  <c r="Q2390" i="1" a="1"/>
  <c r="Q2390" i="1"/>
  <c r="Q2391" i="1" a="1"/>
  <c r="Q2391" i="1"/>
  <c r="Q2392" i="1" a="1"/>
  <c r="Q2392" i="1"/>
  <c r="Q2393" i="1" a="1"/>
  <c r="Q2393" i="1"/>
  <c r="Q2394" i="1" a="1"/>
  <c r="Q2394" i="1"/>
  <c r="Q2395" i="1" a="1"/>
  <c r="Q2395" i="1"/>
  <c r="Q2396" i="1" a="1"/>
  <c r="Q2396" i="1"/>
  <c r="Q2397" i="1" a="1"/>
  <c r="Q2397" i="1"/>
  <c r="Q2398" i="1" a="1"/>
  <c r="Q2398" i="1"/>
  <c r="Q2399" i="1" a="1"/>
  <c r="Q2399" i="1"/>
  <c r="Q2400" i="1" a="1"/>
  <c r="Q2400" i="1"/>
  <c r="Q2401" i="1" a="1"/>
  <c r="Q2401" i="1"/>
  <c r="Q2402" i="1" a="1"/>
  <c r="Q2402" i="1"/>
  <c r="Q2403" i="1" a="1"/>
  <c r="Q2403" i="1"/>
  <c r="Q2404" i="1" a="1"/>
  <c r="Q2404" i="1"/>
  <c r="Q2405" i="1" a="1"/>
  <c r="Q2405" i="1"/>
  <c r="Q2406" i="1" a="1"/>
  <c r="Q2406" i="1"/>
  <c r="Q2407" i="1" a="1"/>
  <c r="Q2407" i="1"/>
  <c r="Q2408" i="1" a="1"/>
  <c r="Q2408" i="1"/>
  <c r="Q2409" i="1" a="1"/>
  <c r="Q2409" i="1"/>
  <c r="Q2410" i="1" a="1"/>
  <c r="Q2410" i="1"/>
  <c r="Q2411" i="1" a="1"/>
  <c r="Q2411" i="1"/>
  <c r="Q2412" i="1" a="1"/>
  <c r="Q2412" i="1"/>
  <c r="Q2413" i="1" a="1"/>
  <c r="Q2413" i="1"/>
  <c r="Q2414" i="1" a="1"/>
  <c r="Q2414" i="1"/>
  <c r="Q2415" i="1" a="1"/>
  <c r="Q2415" i="1"/>
  <c r="Q2416" i="1" a="1"/>
  <c r="Q2416" i="1"/>
  <c r="Q2417" i="1" a="1"/>
  <c r="Q2417" i="1"/>
  <c r="Q2418" i="1" a="1"/>
  <c r="Q2418" i="1"/>
  <c r="Q2419" i="1" a="1"/>
  <c r="Q2419" i="1"/>
  <c r="Q2420" i="1" a="1"/>
  <c r="Q2420" i="1"/>
  <c r="Q2421" i="1" a="1"/>
  <c r="Q2421" i="1"/>
  <c r="Q2422" i="1" a="1"/>
  <c r="Q2422" i="1"/>
  <c r="Q2423" i="1" a="1"/>
  <c r="Q2423" i="1"/>
  <c r="Q2424" i="1" a="1"/>
  <c r="Q2424" i="1"/>
  <c r="Q2425" i="1" a="1"/>
  <c r="Q2425" i="1"/>
  <c r="Q2426" i="1" a="1"/>
  <c r="Q2426" i="1"/>
  <c r="Q2427" i="1" a="1"/>
  <c r="Q2427" i="1"/>
  <c r="Q2428" i="1" a="1"/>
  <c r="Q2428" i="1"/>
  <c r="Q2429" i="1" a="1"/>
  <c r="Q2429" i="1"/>
  <c r="Q2430" i="1" a="1"/>
  <c r="Q2430" i="1"/>
  <c r="Q2431" i="1" a="1"/>
  <c r="Q2431" i="1"/>
  <c r="Q2432" i="1" a="1"/>
  <c r="Q2432" i="1"/>
  <c r="Q2433" i="1" a="1"/>
  <c r="Q2433" i="1"/>
  <c r="Q2434" i="1" a="1"/>
  <c r="Q2434" i="1"/>
  <c r="Q2435" i="1" a="1"/>
  <c r="Q2435" i="1"/>
  <c r="Q2436" i="1" a="1"/>
  <c r="Q2436" i="1"/>
  <c r="Q2437" i="1" a="1"/>
  <c r="Q2437" i="1"/>
  <c r="Q2438" i="1" a="1"/>
  <c r="Q2438" i="1"/>
  <c r="Q2439" i="1" a="1"/>
  <c r="Q2439" i="1"/>
  <c r="Q2440" i="1" a="1"/>
  <c r="Q2440" i="1"/>
  <c r="Q2441" i="1" a="1"/>
  <c r="Q2441" i="1"/>
  <c r="Q2442" i="1" a="1"/>
  <c r="Q2442" i="1"/>
  <c r="Q2443" i="1" a="1"/>
  <c r="Q2443" i="1"/>
  <c r="Q2444" i="1" a="1"/>
  <c r="Q2444" i="1"/>
  <c r="Q2445" i="1" a="1"/>
  <c r="Q2445" i="1"/>
  <c r="Q2446" i="1" a="1"/>
  <c r="Q2446" i="1"/>
  <c r="Q2447" i="1" a="1"/>
  <c r="Q2447" i="1"/>
  <c r="Q2448" i="1" a="1"/>
  <c r="Q2448" i="1"/>
  <c r="Q2449" i="1" a="1"/>
  <c r="Q2449" i="1"/>
  <c r="Q2450" i="1" a="1"/>
  <c r="Q2450" i="1"/>
  <c r="Q2451" i="1" a="1"/>
  <c r="Q2451" i="1"/>
  <c r="Q2452" i="1" a="1"/>
  <c r="Q2452" i="1"/>
  <c r="Q2453" i="1" a="1"/>
  <c r="Q2453" i="1"/>
  <c r="Q2454" i="1" a="1"/>
  <c r="Q2454" i="1"/>
  <c r="Q2455" i="1" a="1"/>
  <c r="Q2455" i="1"/>
  <c r="Q2456" i="1" a="1"/>
  <c r="Q2456" i="1"/>
  <c r="Q2457" i="1" a="1"/>
  <c r="Q2457" i="1"/>
  <c r="Q2458" i="1" a="1"/>
  <c r="Q2458" i="1"/>
  <c r="Q2459" i="1" a="1"/>
  <c r="Q2459" i="1"/>
  <c r="Q2460" i="1" a="1"/>
  <c r="Q2460" i="1"/>
  <c r="Q2461" i="1" a="1"/>
  <c r="Q2461" i="1"/>
  <c r="Q2462" i="1" a="1"/>
  <c r="Q2462" i="1"/>
  <c r="Q2463" i="1" a="1"/>
  <c r="Q2463" i="1"/>
  <c r="Q2464" i="1" a="1"/>
  <c r="Q2464" i="1"/>
  <c r="Q2465" i="1" a="1"/>
  <c r="Q2465" i="1"/>
  <c r="Q2466" i="1" a="1"/>
  <c r="Q2466" i="1"/>
  <c r="Q2467" i="1" a="1"/>
  <c r="Q2467" i="1"/>
  <c r="Q2468" i="1" a="1"/>
  <c r="Q2468" i="1"/>
  <c r="Q2469" i="1" a="1"/>
  <c r="Q2469" i="1"/>
  <c r="Q2470" i="1" a="1"/>
  <c r="Q2470" i="1"/>
  <c r="Q2471" i="1" a="1"/>
  <c r="Q2471" i="1"/>
  <c r="Q2472" i="1" a="1"/>
  <c r="Q2472" i="1"/>
  <c r="Q2473" i="1" a="1"/>
  <c r="Q2473" i="1"/>
  <c r="Q2474" i="1" a="1"/>
  <c r="Q2474" i="1"/>
  <c r="Q2475" i="1" a="1"/>
  <c r="Q2475" i="1"/>
  <c r="Q2476" i="1" a="1"/>
  <c r="Q2476" i="1"/>
  <c r="Q2477" i="1" a="1"/>
  <c r="Q2477" i="1"/>
  <c r="Q2478" i="1" a="1"/>
  <c r="Q2478" i="1"/>
  <c r="Q2479" i="1" a="1"/>
  <c r="Q2479" i="1"/>
  <c r="Q2480" i="1" a="1"/>
  <c r="Q2480" i="1"/>
  <c r="Q2481" i="1" a="1"/>
  <c r="Q2481" i="1"/>
  <c r="Q2482" i="1" a="1"/>
  <c r="Q2482" i="1"/>
  <c r="Q2483" i="1" a="1"/>
  <c r="Q2483" i="1"/>
  <c r="Q2484" i="1" a="1"/>
  <c r="Q2484" i="1"/>
  <c r="Q2485" i="1" a="1"/>
  <c r="Q2485" i="1"/>
  <c r="Q2486" i="1" a="1"/>
  <c r="Q2486" i="1"/>
  <c r="Q2487" i="1" a="1"/>
  <c r="Q2487" i="1"/>
  <c r="Q2488" i="1" a="1"/>
  <c r="Q2488" i="1"/>
  <c r="Q2489" i="1" a="1"/>
  <c r="Q2489" i="1"/>
  <c r="Q2490" i="1" a="1"/>
  <c r="Q2490" i="1"/>
  <c r="Q2491" i="1" a="1"/>
  <c r="Q2491" i="1"/>
  <c r="Q2492" i="1" a="1"/>
  <c r="Q2492" i="1"/>
  <c r="Q2493" i="1" a="1"/>
  <c r="Q2493" i="1"/>
  <c r="Q2494" i="1" a="1"/>
  <c r="Q2494" i="1"/>
  <c r="Q2495" i="1" a="1"/>
  <c r="Q2495" i="1"/>
  <c r="Q2496" i="1" a="1"/>
  <c r="Q2496" i="1"/>
  <c r="Q2497" i="1" a="1"/>
  <c r="Q2497" i="1"/>
  <c r="Q2498" i="1" a="1"/>
  <c r="Q2498" i="1"/>
  <c r="Q2499" i="1" a="1"/>
  <c r="Q2499" i="1"/>
  <c r="Q2500" i="1" a="1"/>
  <c r="Q2500" i="1"/>
  <c r="Q2501" i="1" a="1"/>
  <c r="Q2501" i="1"/>
  <c r="Q2502" i="1" a="1"/>
  <c r="Q2502" i="1"/>
  <c r="Q2503" i="1" a="1"/>
  <c r="Q2503" i="1"/>
  <c r="Q2504" i="1" a="1"/>
  <c r="Q2504" i="1"/>
  <c r="Q2505" i="1" a="1"/>
  <c r="Q2505" i="1"/>
  <c r="Q2506" i="1" a="1"/>
  <c r="Q2506" i="1"/>
  <c r="Q2507" i="1" a="1"/>
  <c r="Q2507" i="1"/>
  <c r="Q2508" i="1" a="1"/>
  <c r="Q2508" i="1"/>
  <c r="Q2509" i="1" a="1"/>
  <c r="Q2509" i="1"/>
  <c r="Q2510" i="1" a="1"/>
  <c r="Q2510" i="1"/>
  <c r="Q2511" i="1" a="1"/>
  <c r="Q2511" i="1"/>
  <c r="Q2512" i="1" a="1"/>
  <c r="Q2512" i="1"/>
  <c r="Q2513" i="1" a="1"/>
  <c r="Q2513" i="1"/>
  <c r="Q2514" i="1" a="1"/>
  <c r="Q2514" i="1"/>
  <c r="Q2515" i="1" a="1"/>
  <c r="Q2515" i="1"/>
  <c r="Q2516" i="1" a="1"/>
  <c r="Q2516" i="1"/>
  <c r="Q2517" i="1" a="1"/>
  <c r="Q2517" i="1"/>
  <c r="Q2518" i="1" a="1"/>
  <c r="Q2518" i="1"/>
  <c r="Q2519" i="1" a="1"/>
  <c r="Q2519" i="1"/>
  <c r="Q2520" i="1" a="1"/>
  <c r="Q2520" i="1"/>
  <c r="Q2521" i="1" a="1"/>
  <c r="Q2521" i="1"/>
  <c r="Q2522" i="1" a="1"/>
  <c r="Q2522" i="1"/>
  <c r="Q2523" i="1" a="1"/>
  <c r="Q2523" i="1"/>
  <c r="Q2524" i="1" a="1"/>
  <c r="Q2524" i="1"/>
  <c r="Q2525" i="1" a="1"/>
  <c r="Q2525" i="1"/>
  <c r="Q2526" i="1" a="1"/>
  <c r="Q2526" i="1"/>
  <c r="Q2527" i="1" a="1"/>
  <c r="Q2527" i="1"/>
  <c r="Q2528" i="1" a="1"/>
  <c r="Q2528" i="1"/>
  <c r="Q2529" i="1" a="1"/>
  <c r="Q2529" i="1"/>
  <c r="Q2530" i="1" a="1"/>
  <c r="Q2530" i="1"/>
  <c r="Q2531" i="1" a="1"/>
  <c r="Q2531" i="1"/>
  <c r="Q2532" i="1" a="1"/>
  <c r="Q2532" i="1"/>
  <c r="Q2533" i="1" a="1"/>
  <c r="Q2533" i="1"/>
  <c r="Q2534" i="1" a="1"/>
  <c r="Q2534" i="1"/>
  <c r="Q2535" i="1" a="1"/>
  <c r="Q2535" i="1"/>
  <c r="Q2536" i="1" a="1"/>
  <c r="Q2536" i="1"/>
  <c r="Q2537" i="1" a="1"/>
  <c r="Q2538" i="1" a="1"/>
  <c r="Q2539" i="1" a="1"/>
  <c r="Q2540" i="1" a="1"/>
  <c r="Q2541" i="1" a="1"/>
  <c r="Q2542" i="1" a="1"/>
  <c r="Q2543" i="1" a="1"/>
  <c r="Q2544" i="1" a="1"/>
  <c r="Q2545" i="1" a="1"/>
  <c r="Q2546" i="1" a="1"/>
  <c r="Q2547" i="1" a="1"/>
  <c r="Q2548" i="1" a="1"/>
  <c r="Q2549" i="1" a="1"/>
  <c r="Q2550" i="1" a="1"/>
  <c r="Q2551" i="1" a="1"/>
  <c r="Q2552" i="1" a="1"/>
  <c r="Q2553" i="1" a="1"/>
  <c r="Q2554" i="1" a="1"/>
  <c r="Q2555" i="1" a="1"/>
  <c r="Q2556" i="1" a="1"/>
  <c r="Q2557" i="1" a="1"/>
  <c r="Q2558" i="1" a="1"/>
  <c r="Q2559" i="1" a="1"/>
  <c r="Q2560" i="1" a="1"/>
  <c r="Q2561" i="1" a="1"/>
  <c r="Q2562" i="1" a="1"/>
  <c r="Q2563" i="1" a="1"/>
  <c r="Q2564" i="1" a="1"/>
  <c r="Q2565" i="1" a="1"/>
  <c r="Q2566" i="1" a="1"/>
  <c r="Q2567" i="1" a="1"/>
  <c r="Q2568" i="1" a="1"/>
  <c r="Q2569" i="1" a="1"/>
  <c r="Q2570" i="1" a="1"/>
  <c r="Q2571" i="1" a="1"/>
  <c r="Q2572" i="1" a="1"/>
  <c r="Q2573" i="1" a="1"/>
  <c r="Q2574" i="1" a="1"/>
  <c r="Q2575" i="1" a="1"/>
  <c r="Q2576" i="1" a="1"/>
  <c r="Q2577" i="1" a="1"/>
  <c r="Q2578" i="1" a="1"/>
  <c r="Q2579" i="1" a="1"/>
  <c r="Q2580" i="1" a="1"/>
  <c r="Q2581" i="1" a="1"/>
  <c r="Q2582" i="1" a="1"/>
  <c r="Q2583" i="1" a="1"/>
  <c r="Q2584" i="1" a="1"/>
  <c r="Q2585" i="1" a="1"/>
  <c r="Q2586" i="1" a="1"/>
  <c r="Q2587" i="1" a="1"/>
  <c r="Q2588" i="1" a="1"/>
  <c r="Q2589" i="1" a="1"/>
  <c r="Q2590" i="1" a="1"/>
  <c r="Q2591" i="1" a="1"/>
  <c r="Q2592" i="1" a="1"/>
  <c r="Q2593" i="1" a="1"/>
  <c r="Q2594" i="1" a="1"/>
  <c r="Q2595" i="1" a="1"/>
  <c r="Q2596" i="1" a="1"/>
  <c r="Q2597" i="1" a="1"/>
  <c r="Q2598" i="1" a="1"/>
  <c r="Q2599" i="1" a="1"/>
  <c r="Q2600" i="1" a="1"/>
  <c r="Q2601" i="1" a="1"/>
  <c r="Q2602" i="1" a="1"/>
  <c r="Q2603" i="1" a="1"/>
  <c r="Q2604" i="1" a="1"/>
  <c r="Q2605" i="1" a="1"/>
  <c r="Q2606" i="1" a="1"/>
  <c r="Q2607" i="1" a="1"/>
  <c r="Q2608" i="1" a="1"/>
  <c r="Q2609" i="1" a="1"/>
  <c r="Q2610" i="1" a="1"/>
  <c r="Q2611" i="1" a="1"/>
  <c r="Q2612" i="1" a="1"/>
  <c r="Q2613" i="1" a="1"/>
  <c r="Q2614" i="1" a="1"/>
  <c r="Q2615" i="1" a="1"/>
  <c r="Q2616" i="1" a="1"/>
  <c r="Q2617" i="1" a="1"/>
  <c r="Q2618" i="1" a="1"/>
  <c r="Q2619" i="1" a="1"/>
  <c r="Q2620" i="1" a="1"/>
  <c r="Q2621" i="1" a="1"/>
  <c r="Q2622" i="1" a="1"/>
  <c r="Q2623" i="1" a="1"/>
  <c r="Q2624" i="1" a="1"/>
  <c r="Q2625" i="1" a="1"/>
  <c r="Q2626" i="1" a="1"/>
  <c r="Q2627" i="1" a="1"/>
  <c r="Q2628" i="1" a="1"/>
  <c r="Q2629" i="1" a="1"/>
  <c r="Q2630" i="1" a="1"/>
  <c r="Q2631" i="1" a="1"/>
  <c r="Q2632" i="1" a="1"/>
  <c r="Q2633" i="1" a="1"/>
  <c r="Q2634" i="1" a="1"/>
  <c r="Q2635" i="1" a="1"/>
  <c r="Q2636" i="1" a="1"/>
  <c r="Q2637" i="1" a="1"/>
  <c r="Q2638" i="1" a="1"/>
  <c r="Q2639" i="1" a="1"/>
  <c r="Q2640" i="1" a="1"/>
  <c r="Q2641" i="1" a="1"/>
  <c r="Q2642" i="1" a="1"/>
  <c r="Q2643" i="1" a="1"/>
  <c r="Q2644" i="1" a="1"/>
  <c r="Q2645" i="1" a="1"/>
  <c r="Q2646" i="1" a="1"/>
  <c r="Q2647" i="1" a="1"/>
  <c r="Q2648" i="1" a="1"/>
  <c r="Q2649" i="1" a="1"/>
  <c r="Q2650" i="1" a="1"/>
  <c r="Q2651" i="1" a="1"/>
  <c r="Q2652" i="1" a="1"/>
  <c r="Q2653" i="1" a="1"/>
  <c r="Q2654" i="1" a="1"/>
  <c r="Q2655" i="1" a="1"/>
  <c r="Q2656" i="1" a="1"/>
  <c r="Q2657" i="1" a="1"/>
  <c r="Q2658" i="1" a="1"/>
  <c r="Q2659" i="1" a="1"/>
  <c r="Q2660" i="1" a="1"/>
  <c r="Q2661" i="1" a="1"/>
  <c r="Q2662" i="1" a="1"/>
  <c r="Q2663" i="1" a="1"/>
  <c r="Q2664" i="1" a="1"/>
  <c r="Q2665" i="1" a="1"/>
  <c r="Q2666" i="1" a="1"/>
  <c r="Q2667" i="1" a="1"/>
  <c r="Q2668" i="1" a="1"/>
  <c r="Q2669" i="1" a="1"/>
  <c r="Q2670" i="1" a="1"/>
  <c r="Q2671" i="1" a="1"/>
  <c r="Q2672" i="1" a="1"/>
  <c r="Q2673" i="1" a="1"/>
  <c r="Q2674" i="1" a="1"/>
  <c r="Q2675" i="1" a="1"/>
  <c r="Q2676" i="1" a="1"/>
  <c r="Q2677" i="1" a="1"/>
  <c r="Q2678" i="1" a="1"/>
  <c r="Q2679" i="1" a="1"/>
  <c r="Q2680" i="1" a="1"/>
  <c r="Q2681" i="1" a="1"/>
  <c r="Q2682" i="1" a="1"/>
  <c r="Q2683" i="1" a="1"/>
  <c r="Q2684" i="1" a="1"/>
  <c r="Q2685" i="1" a="1"/>
  <c r="Q2686" i="1" a="1"/>
  <c r="Q2687" i="1" a="1"/>
  <c r="Q2688" i="1" a="1"/>
  <c r="Q2689" i="1" a="1"/>
  <c r="Q2690" i="1" a="1"/>
  <c r="Q2691" i="1" a="1"/>
  <c r="Q2692" i="1" a="1"/>
  <c r="Q2693" i="1" a="1"/>
  <c r="Q2694" i="1" a="1"/>
  <c r="Q2695" i="1" a="1"/>
  <c r="Q2696" i="1" a="1"/>
  <c r="Q2697" i="1" a="1"/>
  <c r="Q2698" i="1" a="1"/>
  <c r="Q2699" i="1" a="1"/>
  <c r="Q2700" i="1" a="1"/>
  <c r="Q2701" i="1" a="1"/>
  <c r="Q2702" i="1" a="1"/>
  <c r="Q2703" i="1" a="1"/>
  <c r="Q2704" i="1" a="1"/>
  <c r="Q2705" i="1" a="1"/>
  <c r="Q2706" i="1" a="1"/>
  <c r="Q2707" i="1" a="1"/>
  <c r="Q2708" i="1" a="1"/>
  <c r="Q2709" i="1" a="1"/>
  <c r="Q2710" i="1" a="1"/>
  <c r="Q2711" i="1" a="1"/>
  <c r="Q2712" i="1" a="1"/>
  <c r="Q2713" i="1" a="1"/>
  <c r="Q2714" i="1" a="1"/>
  <c r="Q2715" i="1" a="1"/>
  <c r="Q2716" i="1" a="1"/>
  <c r="Q2717" i="1" a="1"/>
  <c r="Q2718" i="1" a="1"/>
  <c r="Q2719" i="1" a="1"/>
  <c r="Q2720" i="1" a="1"/>
  <c r="Q2721" i="1" a="1"/>
  <c r="Q2722" i="1" a="1"/>
  <c r="Q2723" i="1" a="1"/>
  <c r="Q2724" i="1" a="1"/>
  <c r="Q2725" i="1" a="1"/>
  <c r="Q2726" i="1" a="1"/>
  <c r="Q2727" i="1" a="1"/>
  <c r="Q2728" i="1" a="1"/>
  <c r="Q2729" i="1" a="1"/>
  <c r="Q2730" i="1" a="1"/>
  <c r="Q2731" i="1" a="1"/>
  <c r="Q2732" i="1" a="1"/>
  <c r="Q2733" i="1" a="1"/>
  <c r="Q2734" i="1" a="1"/>
  <c r="Q2735" i="1" a="1"/>
  <c r="Q2736" i="1" a="1"/>
  <c r="Q2737" i="1" a="1"/>
  <c r="Q2738" i="1" a="1"/>
  <c r="Q2739" i="1" a="1"/>
  <c r="Q2740" i="1" a="1"/>
  <c r="Q2741" i="1" a="1"/>
  <c r="Q2742" i="1" a="1"/>
  <c r="Q2743" i="1" a="1"/>
  <c r="Q2744" i="1" a="1"/>
  <c r="Q2745" i="1" a="1"/>
  <c r="Q2746" i="1" a="1"/>
  <c r="Q2747" i="1" a="1"/>
  <c r="Q2748" i="1" a="1"/>
  <c r="Q2749" i="1" a="1"/>
  <c r="Q2750" i="1" a="1"/>
  <c r="Q2751" i="1" a="1"/>
  <c r="Q2752" i="1" a="1"/>
  <c r="Q2753" i="1" a="1"/>
  <c r="Q2754" i="1" a="1"/>
  <c r="Q2755" i="1" a="1"/>
  <c r="Q2756" i="1" a="1"/>
  <c r="Q2757" i="1" a="1"/>
  <c r="Q2758" i="1" a="1"/>
  <c r="Q2759" i="1" a="1"/>
  <c r="Q2760" i="1" a="1"/>
  <c r="Q2761" i="1" a="1"/>
  <c r="Q2762" i="1" a="1"/>
  <c r="Q2763" i="1" a="1"/>
  <c r="Q2764" i="1" a="1"/>
  <c r="Q2765" i="1" a="1"/>
  <c r="Q2766" i="1" a="1"/>
  <c r="Q2767" i="1" a="1"/>
  <c r="Q2768" i="1" a="1"/>
  <c r="Q2769" i="1" a="1"/>
  <c r="Q2769" i="1"/>
  <c r="Q2770" i="1" a="1"/>
  <c r="Q2771" i="1" a="1"/>
  <c r="Q2772" i="1" a="1"/>
  <c r="Q2773" i="1" a="1"/>
  <c r="Q2774" i="1" a="1"/>
  <c r="Q2775" i="1" a="1"/>
  <c r="Q2776" i="1" a="1"/>
  <c r="Q2777" i="1" a="1"/>
  <c r="Q2778" i="1" a="1"/>
  <c r="Q2779" i="1" a="1"/>
  <c r="Q2780" i="1" a="1"/>
  <c r="Q2781" i="1" a="1"/>
  <c r="Q2782" i="1" a="1"/>
  <c r="Q2783" i="1" a="1"/>
  <c r="Q2784" i="1" a="1"/>
  <c r="Q2785" i="1" a="1"/>
  <c r="Q2786" i="1" a="1"/>
  <c r="Q2787" i="1" a="1"/>
  <c r="Q2788" i="1" a="1"/>
  <c r="Q2789" i="1" a="1"/>
  <c r="Q2790" i="1" a="1"/>
  <c r="Q2791" i="1" a="1"/>
  <c r="Q2792" i="1" a="1"/>
  <c r="Q2793" i="1" a="1"/>
  <c r="Q2794" i="1" a="1"/>
  <c r="Q2795" i="1" a="1"/>
  <c r="Q2796" i="1" a="1"/>
  <c r="Q2797" i="1" a="1"/>
  <c r="Q2798" i="1" a="1"/>
  <c r="Q2799" i="1" a="1"/>
  <c r="Q2800" i="1" a="1"/>
  <c r="Q2801" i="1" a="1"/>
  <c r="Q2802" i="1" a="1"/>
  <c r="Q2803" i="1" a="1"/>
  <c r="Q2804" i="1" a="1"/>
  <c r="Q2805" i="1" a="1"/>
  <c r="Q2806" i="1" a="1"/>
  <c r="Q2807" i="1" a="1"/>
  <c r="Q2808" i="1" a="1"/>
  <c r="Q2808" i="1"/>
  <c r="Q2809" i="1" a="1"/>
  <c r="Q2810" i="1" a="1"/>
  <c r="Q2811" i="1" a="1"/>
  <c r="Q2812" i="1" a="1"/>
  <c r="Q2813" i="1" a="1"/>
  <c r="Q2814" i="1" a="1"/>
  <c r="Q2815" i="1" a="1"/>
  <c r="Q2816" i="1" a="1"/>
  <c r="Q2817" i="1" a="1"/>
  <c r="Q2818" i="1" a="1"/>
  <c r="Q2819" i="1" a="1"/>
  <c r="Q2820" i="1" a="1"/>
  <c r="Q2821" i="1" a="1"/>
  <c r="Q2822" i="1" a="1"/>
  <c r="Q2823" i="1" a="1"/>
  <c r="Q2824" i="1" a="1"/>
  <c r="Q2825" i="1" a="1"/>
  <c r="Q2826" i="1" a="1"/>
  <c r="Q2827" i="1" a="1"/>
  <c r="Q2828" i="1" a="1"/>
  <c r="Q2829" i="1" a="1"/>
  <c r="Q2830" i="1" a="1"/>
  <c r="Q2831" i="1" a="1"/>
  <c r="Q2832" i="1" a="1"/>
  <c r="Q2833" i="1" a="1"/>
  <c r="Q2834" i="1" a="1"/>
  <c r="Q2835" i="1" a="1"/>
  <c r="Q2836" i="1" a="1"/>
  <c r="Q2837" i="1" a="1"/>
  <c r="Q2838" i="1" a="1"/>
  <c r="Q2839" i="1" a="1"/>
  <c r="Q2840" i="1" a="1"/>
  <c r="Q2841" i="1" a="1"/>
  <c r="Q2842" i="1" a="1"/>
  <c r="Q2843" i="1" a="1"/>
  <c r="Q2844" i="1" a="1"/>
  <c r="Q2845" i="1" a="1"/>
  <c r="Q2846" i="1" a="1"/>
  <c r="Q2847" i="1" a="1"/>
  <c r="Q2848" i="1" a="1"/>
  <c r="Q2849" i="1" a="1"/>
  <c r="Q2850" i="1" a="1"/>
  <c r="Q2851" i="1" a="1"/>
  <c r="Q2852" i="1" a="1"/>
  <c r="Q2853" i="1" a="1"/>
  <c r="Q2854" i="1" a="1"/>
  <c r="Q2855" i="1" a="1"/>
  <c r="Q2856" i="1" a="1"/>
  <c r="Q2857" i="1" a="1"/>
  <c r="Q2858" i="1" a="1"/>
  <c r="Q2859" i="1" a="1"/>
  <c r="Q2860" i="1" a="1"/>
  <c r="Q2861" i="1" a="1"/>
  <c r="Q2862" i="1" a="1"/>
  <c r="Q2863" i="1" a="1"/>
  <c r="Q2864" i="1" a="1"/>
  <c r="Q2865" i="1" a="1"/>
  <c r="Q2866" i="1" a="1"/>
  <c r="Q2867" i="1" a="1"/>
  <c r="Q2868" i="1" a="1"/>
  <c r="Q2869" i="1" a="1"/>
  <c r="Q2870" i="1" a="1"/>
  <c r="Q2871" i="1" a="1"/>
  <c r="Q2872" i="1" a="1"/>
  <c r="Q2872" i="1"/>
  <c r="Q2873" i="1" a="1"/>
  <c r="Q2874" i="1" a="1"/>
  <c r="Q2875" i="1" a="1"/>
  <c r="Q2876" i="1" a="1"/>
  <c r="Q2877" i="1" a="1"/>
  <c r="Q2878" i="1" a="1"/>
  <c r="Q2879" i="1" a="1"/>
  <c r="Q2880" i="1" a="1"/>
  <c r="Q2881" i="1" a="1"/>
  <c r="Q2882" i="1" a="1"/>
  <c r="Q2883" i="1" a="1"/>
  <c r="Q2884" i="1" a="1"/>
  <c r="Q2885" i="1" a="1"/>
  <c r="Q2886" i="1" a="1"/>
  <c r="Q2887" i="1" a="1"/>
  <c r="Q2888" i="1" a="1"/>
  <c r="Q2889" i="1" a="1"/>
  <c r="Q2890" i="1" a="1"/>
  <c r="Q2891" i="1" a="1"/>
  <c r="Q2892" i="1" a="1"/>
  <c r="Q2893" i="1" a="1"/>
  <c r="Q2894" i="1" a="1"/>
  <c r="Q2895" i="1" a="1"/>
  <c r="Q2896" i="1" a="1"/>
  <c r="Q2897" i="1" a="1"/>
  <c r="Q2898" i="1" a="1"/>
  <c r="Q2899" i="1" a="1"/>
  <c r="Q2899" i="1"/>
  <c r="Q2900" i="1" a="1"/>
  <c r="Q2900" i="1"/>
  <c r="Q2901" i="1" a="1"/>
  <c r="Q2901" i="1"/>
  <c r="Q2902" i="1" a="1"/>
  <c r="Q2902" i="1"/>
  <c r="Q2903" i="1" a="1"/>
  <c r="Q2903" i="1"/>
  <c r="Q2904" i="1" a="1"/>
  <c r="Q2904" i="1"/>
  <c r="Q2905" i="1" a="1"/>
  <c r="Q2905" i="1"/>
  <c r="Q2906" i="1" a="1"/>
  <c r="Q2906" i="1"/>
  <c r="Q2907" i="1" a="1"/>
  <c r="Q2907" i="1"/>
  <c r="Q2908" i="1" a="1"/>
  <c r="Q2908" i="1"/>
  <c r="Q2909" i="1" a="1"/>
  <c r="Q2909" i="1"/>
  <c r="Q2910" i="1" a="1"/>
  <c r="Q2910" i="1"/>
  <c r="Q2911" i="1" a="1"/>
  <c r="Q2911" i="1"/>
  <c r="Q2912" i="1" a="1"/>
  <c r="Q2912" i="1"/>
  <c r="Q2913" i="1" a="1"/>
  <c r="Q2913" i="1"/>
  <c r="Q2914" i="1" a="1"/>
  <c r="Q2914" i="1"/>
  <c r="Q2915" i="1" a="1"/>
  <c r="Q2915" i="1"/>
  <c r="Q2916" i="1" a="1"/>
  <c r="Q2916" i="1"/>
  <c r="Q2917" i="1" a="1"/>
  <c r="Q2917" i="1"/>
  <c r="Q2918" i="1" a="1"/>
  <c r="Q2918" i="1"/>
  <c r="Q2919" i="1" a="1"/>
  <c r="Q2919" i="1"/>
  <c r="Q2920" i="1" a="1"/>
  <c r="Q2920" i="1"/>
  <c r="Q2921" i="1" a="1"/>
  <c r="Q2921" i="1"/>
  <c r="Q2922" i="1" a="1"/>
  <c r="Q2922" i="1"/>
  <c r="Q2923" i="1" a="1"/>
  <c r="Q2923" i="1"/>
  <c r="Q2924" i="1" a="1"/>
  <c r="Q2924" i="1"/>
  <c r="Q2925" i="1" a="1"/>
  <c r="Q2925" i="1"/>
  <c r="Q2926" i="1" a="1"/>
  <c r="Q2926" i="1"/>
  <c r="Q2927" i="1" a="1"/>
  <c r="Q2927" i="1"/>
  <c r="Q2928" i="1" a="1"/>
  <c r="Q2928" i="1"/>
  <c r="Q2929" i="1" a="1"/>
  <c r="Q2929" i="1"/>
  <c r="Q2930" i="1" a="1"/>
  <c r="Q2930" i="1"/>
  <c r="Q2931" i="1" a="1"/>
  <c r="Q2931" i="1"/>
  <c r="Q2932" i="1" a="1"/>
  <c r="Q2932" i="1"/>
  <c r="Q2933" i="1" a="1"/>
  <c r="Q2933" i="1"/>
  <c r="Q2934" i="1" a="1"/>
  <c r="Q2934" i="1"/>
  <c r="Q2935" i="1" a="1"/>
  <c r="Q2935" i="1"/>
  <c r="Q2936" i="1" a="1"/>
  <c r="Q2936" i="1"/>
  <c r="Q2937" i="1" a="1"/>
  <c r="Q2937" i="1"/>
  <c r="Q2938" i="1" a="1"/>
  <c r="Q2938" i="1"/>
  <c r="Q2939" i="1" a="1"/>
  <c r="Q2939" i="1"/>
  <c r="Q2940" i="1" a="1"/>
  <c r="Q2940" i="1"/>
  <c r="Q2941" i="1" a="1"/>
  <c r="Q2941" i="1"/>
  <c r="Q2942" i="1" a="1"/>
  <c r="Q2942" i="1"/>
  <c r="Q2943" i="1" a="1"/>
  <c r="Q2943" i="1"/>
  <c r="Q2944" i="1" a="1"/>
  <c r="Q2944" i="1"/>
  <c r="Q2945" i="1" a="1"/>
  <c r="Q2945" i="1"/>
  <c r="Q2946" i="1" a="1"/>
  <c r="Q2946" i="1"/>
  <c r="Q2947" i="1" a="1"/>
  <c r="Q2947" i="1"/>
  <c r="Q2948" i="1" a="1"/>
  <c r="Q2948" i="1"/>
  <c r="Q2949" i="1" a="1"/>
  <c r="Q2949" i="1"/>
  <c r="Q2950" i="1" a="1"/>
  <c r="Q2950" i="1"/>
  <c r="Q2951" i="1" a="1"/>
  <c r="Q2951" i="1"/>
  <c r="Q2952" i="1" a="1"/>
  <c r="Q2952" i="1"/>
  <c r="Q2953" i="1" a="1"/>
  <c r="Q2953" i="1"/>
  <c r="Q2954" i="1" a="1"/>
  <c r="Q2954" i="1"/>
  <c r="Q2955" i="1" a="1"/>
  <c r="Q2955" i="1"/>
  <c r="Q2956" i="1" a="1"/>
  <c r="Q2956" i="1"/>
  <c r="Q2957" i="1" a="1"/>
  <c r="Q2957" i="1"/>
  <c r="Q2958" i="1" a="1"/>
  <c r="Q2958" i="1"/>
  <c r="Q2959" i="1" a="1"/>
  <c r="Q2959" i="1"/>
  <c r="Q2960" i="1" a="1"/>
  <c r="Q2960" i="1"/>
  <c r="Q2961" i="1" a="1"/>
  <c r="Q2961" i="1"/>
  <c r="Q2962" i="1" a="1"/>
  <c r="Q2962" i="1"/>
  <c r="Q2963" i="1" a="1"/>
  <c r="Q2963" i="1"/>
  <c r="Q2964" i="1" a="1"/>
  <c r="Q2964" i="1"/>
  <c r="Q2965" i="1" a="1"/>
  <c r="Q2965" i="1"/>
  <c r="Q2966" i="1" a="1"/>
  <c r="Q2966" i="1"/>
  <c r="Q2967" i="1" a="1"/>
  <c r="Q2967" i="1"/>
  <c r="Q2968" i="1" a="1"/>
  <c r="Q2968" i="1"/>
  <c r="Q2969" i="1" a="1"/>
  <c r="Q2969" i="1"/>
  <c r="Q2970" i="1" a="1"/>
  <c r="Q2970" i="1"/>
  <c r="Q2971" i="1" a="1"/>
  <c r="Q2971" i="1"/>
  <c r="Q2972" i="1" a="1"/>
  <c r="Q2972" i="1"/>
  <c r="Q2973" i="1" a="1"/>
  <c r="Q2973" i="1"/>
  <c r="Q2974" i="1" a="1"/>
  <c r="Q2974" i="1"/>
  <c r="Q2975" i="1" a="1"/>
  <c r="Q2975" i="1"/>
  <c r="Q2976" i="1" a="1"/>
  <c r="Q2976" i="1"/>
  <c r="Q2977" i="1" a="1"/>
  <c r="Q2977" i="1"/>
  <c r="Q2978" i="1" a="1"/>
  <c r="Q2978" i="1"/>
  <c r="Q2979" i="1" a="1"/>
  <c r="Q2979" i="1"/>
  <c r="Q2980" i="1" a="1"/>
  <c r="Q2980" i="1"/>
  <c r="Q2981" i="1" a="1"/>
  <c r="Q2981" i="1"/>
  <c r="Q2982" i="1" a="1"/>
  <c r="Q2982" i="1"/>
  <c r="Q2983" i="1" a="1"/>
  <c r="Q2983" i="1"/>
  <c r="Q2984" i="1" a="1"/>
  <c r="Q2984" i="1"/>
  <c r="Q2985" i="1" a="1"/>
  <c r="Q2985" i="1"/>
  <c r="Q2986" i="1" a="1"/>
  <c r="Q2986" i="1"/>
  <c r="Q2987" i="1" a="1"/>
  <c r="Q2987" i="1"/>
  <c r="Q2988" i="1" a="1"/>
  <c r="Q2988" i="1"/>
  <c r="Q2989" i="1" a="1"/>
  <c r="Q2989" i="1"/>
  <c r="Q2990" i="1" a="1"/>
  <c r="Q2990" i="1"/>
  <c r="Q2991" i="1" a="1"/>
  <c r="Q2991" i="1"/>
  <c r="Q2992" i="1" a="1"/>
  <c r="Q2992" i="1"/>
  <c r="Q2993" i="1" a="1"/>
  <c r="Q2993" i="1"/>
  <c r="Q2994" i="1" a="1"/>
  <c r="Q2994" i="1"/>
  <c r="Q2995" i="1" a="1"/>
  <c r="Q2995" i="1"/>
  <c r="Q2996" i="1" a="1"/>
  <c r="Q2996" i="1"/>
  <c r="Q2997" i="1" a="1"/>
  <c r="Q2997" i="1"/>
  <c r="Q2998" i="1" a="1"/>
  <c r="Q2998" i="1"/>
  <c r="Q2999" i="1" a="1"/>
  <c r="Q2999" i="1"/>
  <c r="Q3000" i="1" a="1"/>
  <c r="Q3000" i="1"/>
  <c r="Q3001" i="1" a="1"/>
  <c r="Q3001" i="1"/>
  <c r="Q3002" i="1" a="1"/>
  <c r="Q3002" i="1"/>
  <c r="Q3003" i="1" a="1"/>
  <c r="Q3003" i="1"/>
  <c r="Q3004" i="1" a="1"/>
  <c r="Q3004" i="1"/>
  <c r="Q3005" i="1" a="1"/>
  <c r="Q3005" i="1"/>
  <c r="Q3006" i="1" a="1"/>
  <c r="Q3006" i="1"/>
  <c r="Q3007" i="1" a="1"/>
  <c r="Q3007" i="1"/>
  <c r="Q3008" i="1" a="1"/>
  <c r="Q3008" i="1"/>
  <c r="Q3009" i="1" a="1"/>
  <c r="Q3009" i="1"/>
  <c r="Q3010" i="1" a="1"/>
  <c r="Q3010" i="1"/>
  <c r="Q3011" i="1" a="1"/>
  <c r="Q3011" i="1"/>
  <c r="Q3012" i="1" a="1"/>
  <c r="Q3012" i="1"/>
  <c r="Q3013" i="1" a="1"/>
  <c r="Q3013" i="1"/>
  <c r="Q3014" i="1" a="1"/>
  <c r="Q3014" i="1"/>
  <c r="Q3015" i="1" a="1"/>
  <c r="Q3015" i="1"/>
  <c r="Q3016" i="1" a="1"/>
  <c r="Q3016" i="1"/>
  <c r="Q3017" i="1" a="1"/>
  <c r="Q3017" i="1"/>
  <c r="Q3018" i="1" a="1"/>
  <c r="Q3018" i="1"/>
  <c r="Q3019" i="1" a="1"/>
  <c r="Q3019" i="1"/>
  <c r="Q3020" i="1" a="1"/>
  <c r="Q3020" i="1"/>
  <c r="Q3021" i="1" a="1"/>
  <c r="Q3021" i="1"/>
  <c r="Q3022" i="1" a="1"/>
  <c r="Q3022" i="1"/>
  <c r="Q3023" i="1" a="1"/>
  <c r="Q3023" i="1"/>
  <c r="Q3024" i="1" a="1"/>
  <c r="Q3024" i="1"/>
  <c r="Q3025" i="1" a="1"/>
  <c r="Q3025" i="1"/>
  <c r="Q3026" i="1" a="1"/>
  <c r="Q3026" i="1"/>
  <c r="Q3027" i="1" a="1"/>
  <c r="Q3027" i="1"/>
  <c r="Q3028" i="1" a="1"/>
  <c r="Q3028" i="1"/>
  <c r="Q3029" i="1" a="1"/>
  <c r="Q3029" i="1"/>
  <c r="Q3030" i="1" a="1"/>
  <c r="Q3030" i="1"/>
  <c r="Q3031" i="1" a="1"/>
  <c r="Q3031" i="1"/>
  <c r="Q3032" i="1" a="1"/>
  <c r="Q3032" i="1"/>
  <c r="Q3033" i="1" a="1"/>
  <c r="Q3033" i="1"/>
  <c r="Q3034" i="1" a="1"/>
  <c r="Q3034" i="1"/>
  <c r="Q3035" i="1" a="1"/>
  <c r="Q3035" i="1"/>
  <c r="Q3036" i="1" a="1"/>
  <c r="Q3036" i="1"/>
  <c r="Q3037" i="1" a="1"/>
  <c r="Q3037" i="1"/>
  <c r="Q3038" i="1" a="1"/>
  <c r="Q3038" i="1"/>
  <c r="Q3039" i="1" a="1"/>
  <c r="Q3039" i="1"/>
  <c r="Q3040" i="1" a="1"/>
  <c r="Q3040" i="1"/>
  <c r="Q3041" i="1" a="1"/>
  <c r="Q3041" i="1"/>
  <c r="Q3042" i="1" a="1"/>
  <c r="Q3042" i="1"/>
  <c r="Q3043" i="1" a="1"/>
  <c r="Q3043" i="1"/>
  <c r="Q3044" i="1" a="1"/>
  <c r="Q3044" i="1"/>
  <c r="Q3045" i="1" a="1"/>
  <c r="Q3045" i="1"/>
  <c r="Q3046" i="1" a="1"/>
  <c r="Q3046" i="1"/>
  <c r="Q3047" i="1" a="1"/>
  <c r="Q3047" i="1"/>
  <c r="Q3048" i="1" a="1"/>
  <c r="Q3048" i="1"/>
  <c r="Q3049" i="1" a="1"/>
  <c r="Q3049" i="1"/>
  <c r="Q3050" i="1" a="1"/>
  <c r="Q3050" i="1"/>
  <c r="Q3051" i="1" a="1"/>
  <c r="Q3051" i="1"/>
  <c r="Q3052" i="1" a="1"/>
  <c r="Q3052" i="1"/>
  <c r="Q3053" i="1" a="1"/>
  <c r="Q3053" i="1"/>
  <c r="Q3054" i="1" a="1"/>
  <c r="Q3054" i="1"/>
  <c r="Q3055" i="1" a="1"/>
  <c r="Q3055" i="1"/>
  <c r="Q3056" i="1" a="1"/>
  <c r="Q3056" i="1"/>
  <c r="Q3057" i="1" a="1"/>
  <c r="Q3057" i="1"/>
  <c r="Q3058" i="1" a="1"/>
  <c r="Q3058" i="1"/>
  <c r="Q3059" i="1" a="1"/>
  <c r="Q3059" i="1"/>
  <c r="Q3060" i="1" a="1"/>
  <c r="Q3060" i="1"/>
  <c r="Q3061" i="1" a="1"/>
  <c r="Q3061" i="1"/>
  <c r="Q3062" i="1" a="1"/>
  <c r="Q3062" i="1"/>
  <c r="Q3063" i="1" a="1"/>
  <c r="Q3063" i="1"/>
  <c r="Q3064" i="1" a="1"/>
  <c r="Q3064" i="1"/>
  <c r="Q3065" i="1" a="1"/>
  <c r="Q3065" i="1"/>
  <c r="Q3066" i="1" a="1"/>
  <c r="Q3066" i="1"/>
  <c r="Q3067" i="1" a="1"/>
  <c r="Q3067" i="1"/>
  <c r="Q3068" i="1" a="1"/>
  <c r="Q3068" i="1"/>
  <c r="Q3069" i="1" a="1"/>
  <c r="Q3069" i="1"/>
  <c r="Q3070" i="1" a="1"/>
  <c r="Q3070" i="1"/>
  <c r="Q3071" i="1" a="1"/>
  <c r="Q3071" i="1"/>
  <c r="Q3072" i="1" a="1"/>
  <c r="Q3072" i="1"/>
  <c r="Q3073" i="1" a="1"/>
  <c r="Q3073" i="1"/>
  <c r="Q3074" i="1" a="1"/>
  <c r="Q3074" i="1"/>
  <c r="Q3075" i="1" a="1"/>
  <c r="Q3075" i="1"/>
  <c r="Q3076" i="1" a="1"/>
  <c r="Q3076" i="1"/>
  <c r="Q3077" i="1" a="1"/>
  <c r="Q3077" i="1"/>
  <c r="Q3078" i="1" a="1"/>
  <c r="Q3078" i="1"/>
  <c r="Q3079" i="1" a="1"/>
  <c r="Q3079" i="1"/>
  <c r="Q3080" i="1" a="1"/>
  <c r="Q3080" i="1"/>
  <c r="Q3081" i="1" a="1"/>
  <c r="Q3081" i="1"/>
  <c r="Q3082" i="1" a="1"/>
  <c r="Q3082" i="1"/>
  <c r="Q3083" i="1" a="1"/>
  <c r="Q3083" i="1"/>
  <c r="Q3084" i="1" a="1"/>
  <c r="Q3084" i="1"/>
  <c r="Q3085" i="1" a="1"/>
  <c r="Q3085" i="1"/>
  <c r="Q3086" i="1" a="1"/>
  <c r="Q3086" i="1"/>
  <c r="Q3087" i="1" a="1"/>
  <c r="Q3087" i="1"/>
  <c r="Q3088" i="1" a="1"/>
  <c r="Q3088" i="1"/>
  <c r="Q3089" i="1" a="1"/>
  <c r="Q3089" i="1"/>
  <c r="Q3090" i="1" a="1"/>
  <c r="Q3090" i="1"/>
  <c r="Q3091" i="1" a="1"/>
  <c r="Q3091" i="1"/>
  <c r="Q3092" i="1" a="1"/>
  <c r="Q3092" i="1"/>
  <c r="Q3093" i="1" a="1"/>
  <c r="Q3093" i="1"/>
  <c r="Q3094" i="1" a="1"/>
  <c r="Q3094" i="1"/>
  <c r="Q3095" i="1" a="1"/>
  <c r="Q3095" i="1"/>
  <c r="Q3096" i="1" a="1"/>
  <c r="Q3096" i="1"/>
  <c r="Q3097" i="1" a="1"/>
  <c r="Q3097" i="1"/>
  <c r="Q3098" i="1" a="1"/>
  <c r="Q3098" i="1"/>
  <c r="Q3099" i="1" a="1"/>
  <c r="Q3099" i="1"/>
  <c r="Q3100" i="1" a="1"/>
  <c r="Q3100" i="1"/>
  <c r="Q3101" i="1" a="1"/>
  <c r="Q3101" i="1"/>
  <c r="Q3102" i="1" a="1"/>
  <c r="Q3102" i="1"/>
  <c r="Q3103" i="1" a="1"/>
  <c r="Q3103" i="1"/>
  <c r="Q3104" i="1" a="1"/>
  <c r="Q3104" i="1"/>
  <c r="Q3105" i="1" a="1"/>
  <c r="Q3105" i="1"/>
  <c r="Q3106" i="1" a="1"/>
  <c r="Q3106" i="1"/>
  <c r="Q3107" i="1" a="1"/>
  <c r="Q3107" i="1"/>
  <c r="Q3108" i="1" a="1"/>
  <c r="Q3108" i="1"/>
  <c r="Q3109" i="1" a="1"/>
  <c r="Q3109" i="1"/>
  <c r="Q3110" i="1" a="1"/>
  <c r="Q3110" i="1"/>
  <c r="Q3111" i="1" a="1"/>
  <c r="Q3111" i="1"/>
  <c r="Q3112" i="1" a="1"/>
  <c r="Q3112" i="1"/>
  <c r="Q3113" i="1" a="1"/>
  <c r="Q3113" i="1"/>
  <c r="Q3114" i="1" a="1"/>
  <c r="Q3114" i="1"/>
  <c r="Q3115" i="1" a="1"/>
  <c r="Q3115" i="1"/>
  <c r="Q3116" i="1" a="1"/>
  <c r="Q3116" i="1"/>
  <c r="Q3117" i="1" a="1"/>
  <c r="Q3117" i="1"/>
  <c r="Q3118" i="1" a="1"/>
  <c r="Q3118" i="1"/>
  <c r="Q3119" i="1" a="1"/>
  <c r="Q3119" i="1"/>
  <c r="Q3120" i="1" a="1"/>
  <c r="Q3120" i="1"/>
  <c r="Q3121" i="1" a="1"/>
  <c r="Q3121" i="1"/>
  <c r="Q3122" i="1" a="1"/>
  <c r="Q3122" i="1"/>
  <c r="Q3123" i="1" a="1"/>
  <c r="Q3123" i="1"/>
  <c r="Q3124" i="1" a="1"/>
  <c r="Q3124" i="1"/>
  <c r="Q3125" i="1" a="1"/>
  <c r="Q3125" i="1"/>
  <c r="Q3126" i="1" a="1"/>
  <c r="Q3126" i="1"/>
  <c r="Q3127" i="1" a="1"/>
  <c r="Q3127" i="1"/>
  <c r="Q3128" i="1" a="1"/>
  <c r="Q3128" i="1"/>
  <c r="Q3129" i="1" a="1"/>
  <c r="Q3129" i="1"/>
  <c r="Q3130" i="1" a="1"/>
  <c r="Q3130" i="1"/>
  <c r="Q3131" i="1" a="1"/>
  <c r="Q3131" i="1"/>
  <c r="Q3132" i="1" a="1"/>
  <c r="Q3132" i="1"/>
  <c r="Q3133" i="1" a="1"/>
  <c r="Q3133" i="1"/>
  <c r="Q3134" i="1" a="1"/>
  <c r="Q3134" i="1"/>
  <c r="Q3135" i="1" a="1"/>
  <c r="Q3135" i="1"/>
  <c r="Q3136" i="1" a="1"/>
  <c r="Q3136" i="1"/>
  <c r="Q3137" i="1" a="1"/>
  <c r="Q3137" i="1"/>
  <c r="Q3138" i="1" a="1"/>
  <c r="Q3138" i="1"/>
  <c r="Q3139" i="1" a="1"/>
  <c r="Q3139" i="1"/>
  <c r="Q3140" i="1" a="1"/>
  <c r="Q3140" i="1"/>
  <c r="Q3141" i="1" a="1"/>
  <c r="Q3141" i="1"/>
  <c r="Q3142" i="1" a="1"/>
  <c r="Q3142" i="1"/>
  <c r="Q3143" i="1" a="1"/>
  <c r="Q3143" i="1"/>
  <c r="Q3144" i="1" a="1"/>
  <c r="Q3144" i="1"/>
  <c r="Q3145" i="1" a="1"/>
  <c r="Q3145" i="1"/>
  <c r="Q3146" i="1" a="1"/>
  <c r="Q3146" i="1"/>
  <c r="Q3147" i="1" a="1"/>
  <c r="Q3147" i="1"/>
  <c r="Q3148" i="1" a="1"/>
  <c r="Q3148" i="1"/>
  <c r="Q3149" i="1" a="1"/>
  <c r="Q3149" i="1"/>
  <c r="Q3150" i="1" a="1"/>
  <c r="Q3150" i="1"/>
  <c r="Q3151" i="1" a="1"/>
  <c r="Q3151" i="1"/>
  <c r="Q3152" i="1" a="1"/>
  <c r="Q3152" i="1"/>
  <c r="Q3153" i="1" a="1"/>
  <c r="Q3153" i="1"/>
  <c r="Q3154" i="1" a="1"/>
  <c r="Q3154" i="1"/>
  <c r="Q3155" i="1" a="1"/>
  <c r="Q3155" i="1"/>
  <c r="Q3156" i="1" a="1"/>
  <c r="Q3156" i="1"/>
  <c r="Q3157" i="1" a="1"/>
  <c r="Q3157" i="1"/>
  <c r="Q3158" i="1" a="1"/>
  <c r="Q3158" i="1"/>
  <c r="Q3159" i="1" a="1"/>
  <c r="Q3159" i="1"/>
  <c r="Q3160" i="1" a="1"/>
  <c r="Q3160" i="1"/>
  <c r="Q3161" i="1" a="1"/>
  <c r="Q3161" i="1"/>
  <c r="Q3162" i="1" a="1"/>
  <c r="Q3162" i="1"/>
  <c r="Q3163" i="1" a="1"/>
  <c r="Q3163" i="1"/>
  <c r="Q3164" i="1" a="1"/>
  <c r="Q3164" i="1"/>
  <c r="Q3165" i="1" a="1"/>
  <c r="Q3165" i="1"/>
  <c r="Q3166" i="1" a="1"/>
  <c r="Q3166" i="1"/>
  <c r="Q3167" i="1" a="1"/>
  <c r="Q3167" i="1"/>
  <c r="Q3168" i="1" a="1"/>
  <c r="Q3168" i="1"/>
  <c r="Q3169" i="1" a="1"/>
  <c r="Q3169" i="1"/>
  <c r="Q3170" i="1" a="1"/>
  <c r="Q3170" i="1"/>
  <c r="Q3171" i="1" a="1"/>
  <c r="Q3171" i="1"/>
  <c r="Q3172" i="1" a="1"/>
  <c r="Q3172" i="1"/>
  <c r="Q3173" i="1" a="1"/>
  <c r="Q3173" i="1"/>
  <c r="Q3174" i="1" a="1"/>
  <c r="Q3174" i="1"/>
  <c r="Q3175" i="1" a="1"/>
  <c r="Q3175" i="1"/>
  <c r="Q3176" i="1" a="1"/>
  <c r="Q3176" i="1"/>
  <c r="Q3177" i="1" a="1"/>
  <c r="Q3177" i="1"/>
  <c r="Q3178" i="1" a="1"/>
  <c r="Q3178" i="1"/>
  <c r="Q3179" i="1" a="1"/>
  <c r="Q3179" i="1"/>
  <c r="Q3180" i="1" a="1"/>
  <c r="Q3180" i="1"/>
  <c r="Q3181" i="1" a="1"/>
  <c r="Q3181" i="1"/>
  <c r="Q3182" i="1" a="1"/>
  <c r="Q3182" i="1"/>
  <c r="Q3183" i="1" a="1"/>
  <c r="Q3183" i="1"/>
  <c r="Q3184" i="1" a="1"/>
  <c r="Q3184" i="1"/>
  <c r="Q3185" i="1" a="1"/>
  <c r="Q3185" i="1"/>
  <c r="Q3186" i="1" a="1"/>
  <c r="Q3186" i="1"/>
  <c r="Q3187" i="1" a="1"/>
  <c r="Q3187" i="1"/>
  <c r="Q3188" i="1" a="1"/>
  <c r="Q3188" i="1"/>
  <c r="Q3189" i="1" a="1"/>
  <c r="Q3189" i="1"/>
  <c r="Q3190" i="1" a="1"/>
  <c r="Q3190" i="1"/>
  <c r="Q3191" i="1" a="1"/>
  <c r="Q3191" i="1"/>
  <c r="Q3192" i="1" a="1"/>
  <c r="Q3192" i="1"/>
  <c r="Q3193" i="1" a="1"/>
  <c r="Q3193" i="1"/>
  <c r="Q3194" i="1" a="1"/>
  <c r="Q3194" i="1"/>
  <c r="Q3195" i="1" a="1"/>
  <c r="Q3195" i="1"/>
  <c r="Q3196" i="1" a="1"/>
  <c r="Q3196" i="1"/>
  <c r="Q3197" i="1" a="1"/>
  <c r="Q3197" i="1"/>
  <c r="Q3198" i="1" a="1"/>
  <c r="Q3198" i="1"/>
  <c r="Q3199" i="1" a="1"/>
  <c r="Q3199" i="1"/>
  <c r="Q3200" i="1" a="1"/>
  <c r="Q3200" i="1"/>
  <c r="Q3201" i="1" a="1"/>
  <c r="Q3201" i="1"/>
  <c r="Q3202" i="1" a="1"/>
  <c r="Q3202" i="1"/>
  <c r="Q3203" i="1" a="1"/>
  <c r="Q3203" i="1"/>
  <c r="Q3204" i="1" a="1"/>
  <c r="Q3204" i="1"/>
  <c r="Q3205" i="1" a="1"/>
  <c r="Q3205" i="1"/>
  <c r="Q3206" i="1" a="1"/>
  <c r="Q3206" i="1"/>
  <c r="Q3207" i="1" a="1"/>
  <c r="Q3207" i="1"/>
  <c r="Q3208" i="1" a="1"/>
  <c r="Q3208" i="1"/>
  <c r="Q3209" i="1" a="1"/>
  <c r="Q3209" i="1"/>
  <c r="Q3210" i="1" a="1"/>
  <c r="Q3210" i="1"/>
  <c r="Q3211" i="1" a="1"/>
  <c r="Q3211" i="1"/>
  <c r="Q3212" i="1" a="1"/>
  <c r="Q3212" i="1"/>
  <c r="Q3213" i="1" a="1"/>
  <c r="Q3213" i="1"/>
  <c r="Q3214" i="1" a="1"/>
  <c r="Q3214" i="1"/>
  <c r="Q3215" i="1" a="1"/>
  <c r="Q3215" i="1"/>
  <c r="Q3216" i="1" a="1"/>
  <c r="Q3216" i="1"/>
  <c r="Q3217" i="1" a="1"/>
  <c r="Q3217" i="1"/>
  <c r="Q3218" i="1" a="1"/>
  <c r="Q3218" i="1"/>
  <c r="Q3219" i="1" a="1"/>
  <c r="Q3219" i="1"/>
  <c r="Q3220" i="1" a="1"/>
  <c r="Q3220" i="1"/>
  <c r="Q3221" i="1" a="1"/>
  <c r="Q3221" i="1"/>
  <c r="Q3222" i="1" a="1"/>
  <c r="Q3222" i="1"/>
  <c r="Q3223" i="1" a="1"/>
  <c r="Q3223" i="1"/>
  <c r="Q3224" i="1" a="1"/>
  <c r="Q3224" i="1"/>
  <c r="Q3225" i="1" a="1"/>
  <c r="Q3225" i="1"/>
  <c r="Q3226" i="1" a="1"/>
  <c r="Q3226" i="1"/>
  <c r="Q3227" i="1" a="1"/>
  <c r="Q3227" i="1"/>
  <c r="Q3228" i="1" a="1"/>
  <c r="Q3228" i="1"/>
  <c r="Q3229" i="1" a="1"/>
  <c r="Q3229" i="1"/>
  <c r="Q3230" i="1" a="1"/>
  <c r="Q3230" i="1"/>
  <c r="Q3231" i="1" a="1"/>
  <c r="Q3231" i="1"/>
  <c r="Q3232" i="1" a="1"/>
  <c r="Q3232" i="1"/>
  <c r="Q3233" i="1" a="1"/>
  <c r="Q3233" i="1"/>
  <c r="Q3234" i="1" a="1"/>
  <c r="Q3234" i="1"/>
  <c r="Q3235" i="1" a="1"/>
  <c r="Q3235" i="1"/>
  <c r="Q3236" i="1" a="1"/>
  <c r="Q3236" i="1"/>
  <c r="Q3237" i="1" a="1"/>
  <c r="Q3237" i="1"/>
  <c r="Q3238" i="1" a="1"/>
  <c r="Q3238" i="1"/>
  <c r="Q3239" i="1" a="1"/>
  <c r="Q3239" i="1"/>
  <c r="Q3240" i="1" a="1"/>
  <c r="Q3240" i="1"/>
  <c r="Q3241" i="1" a="1"/>
  <c r="Q3241" i="1"/>
  <c r="Q3242" i="1" a="1"/>
  <c r="Q3242" i="1"/>
  <c r="Q3243" i="1" a="1"/>
  <c r="Q3243" i="1"/>
  <c r="Q3244" i="1" a="1"/>
  <c r="Q3244" i="1"/>
  <c r="Q3245" i="1" a="1"/>
  <c r="Q3245" i="1"/>
  <c r="Q3246" i="1" a="1"/>
  <c r="Q3246" i="1"/>
  <c r="Q3247" i="1" a="1"/>
  <c r="Q3247" i="1"/>
  <c r="Q3248" i="1" a="1"/>
  <c r="Q3248" i="1"/>
  <c r="Q3249" i="1" a="1"/>
  <c r="Q3249" i="1"/>
  <c r="Q3250" i="1" a="1"/>
  <c r="Q3250" i="1"/>
  <c r="Q3251" i="1" a="1"/>
  <c r="Q3251" i="1"/>
  <c r="Q3252" i="1" a="1"/>
  <c r="Q3252" i="1"/>
  <c r="Q3253" i="1" a="1"/>
  <c r="Q3253" i="1"/>
  <c r="Q3254" i="1" a="1"/>
  <c r="Q3254" i="1"/>
  <c r="Q3255" i="1" a="1"/>
  <c r="Q3255" i="1"/>
  <c r="Q3256" i="1" a="1"/>
  <c r="Q3256" i="1"/>
  <c r="Q3257" i="1" a="1"/>
  <c r="Q3257" i="1"/>
  <c r="Q3258" i="1" a="1"/>
  <c r="Q3258" i="1"/>
  <c r="Q3259" i="1" a="1"/>
  <c r="Q3259" i="1"/>
  <c r="Q3260" i="1" a="1"/>
  <c r="Q3260" i="1"/>
  <c r="Q3261" i="1" a="1"/>
  <c r="Q3261" i="1"/>
  <c r="Q3262" i="1" a="1"/>
  <c r="Q3262" i="1"/>
  <c r="Q3263" i="1" a="1"/>
  <c r="Q3263" i="1"/>
  <c r="Q3264" i="1" a="1"/>
  <c r="Q3264" i="1"/>
  <c r="Q3265" i="1" a="1"/>
  <c r="Q3265" i="1"/>
  <c r="Q3266" i="1" a="1"/>
  <c r="Q3266" i="1"/>
  <c r="Q3267" i="1" a="1"/>
  <c r="Q3267" i="1"/>
  <c r="Q3268" i="1" a="1"/>
  <c r="Q3268" i="1"/>
  <c r="Q3269" i="1" a="1"/>
  <c r="Q3269" i="1"/>
  <c r="Q3270" i="1" a="1"/>
  <c r="Q3270" i="1"/>
  <c r="Q3271" i="1" a="1"/>
  <c r="Q3271" i="1"/>
  <c r="Q3272" i="1" a="1"/>
  <c r="Q3272" i="1"/>
  <c r="Q3273" i="1" a="1"/>
  <c r="Q3273" i="1"/>
  <c r="Q3274" i="1" a="1"/>
  <c r="Q3274" i="1"/>
  <c r="Q3275" i="1" a="1"/>
  <c r="Q3275" i="1"/>
  <c r="Q3276" i="1" a="1"/>
  <c r="Q3276" i="1"/>
  <c r="Q3277" i="1" a="1"/>
  <c r="Q3277" i="1"/>
  <c r="Q3278" i="1" a="1"/>
  <c r="Q3278" i="1"/>
  <c r="Q3279" i="1" a="1"/>
  <c r="Q3279" i="1"/>
  <c r="Q3280" i="1" a="1"/>
  <c r="Q3280" i="1"/>
  <c r="Q3281" i="1" a="1"/>
  <c r="Q3281" i="1"/>
  <c r="Q3282" i="1" a="1"/>
  <c r="Q3282" i="1"/>
  <c r="Q3283" i="1" a="1"/>
  <c r="Q3283" i="1"/>
  <c r="Q3284" i="1" a="1"/>
  <c r="Q3284" i="1"/>
  <c r="Q3285" i="1" a="1"/>
  <c r="Q3285" i="1"/>
  <c r="Q3286" i="1" a="1"/>
  <c r="Q3286" i="1"/>
  <c r="Q3287" i="1" a="1"/>
  <c r="Q3287" i="1"/>
  <c r="Q3288" i="1" a="1"/>
  <c r="Q3288" i="1"/>
  <c r="Q3289" i="1" a="1"/>
  <c r="Q3289" i="1"/>
  <c r="Q3290" i="1" a="1"/>
  <c r="Q3290" i="1"/>
  <c r="Q3291" i="1" a="1"/>
  <c r="Q3291" i="1"/>
  <c r="Q3292" i="1" a="1"/>
  <c r="Q3292" i="1"/>
  <c r="Q3293" i="1" a="1"/>
  <c r="Q3293" i="1"/>
  <c r="Q3294" i="1" a="1"/>
  <c r="Q3294" i="1"/>
  <c r="Q3295" i="1" a="1"/>
  <c r="Q3295" i="1"/>
  <c r="Q3296" i="1" a="1"/>
  <c r="Q3296" i="1"/>
  <c r="Q3297" i="1" a="1"/>
  <c r="Q3297" i="1"/>
  <c r="Q3298" i="1" a="1"/>
  <c r="Q3298" i="1"/>
  <c r="Q3299" i="1" a="1"/>
  <c r="Q3299" i="1"/>
  <c r="Q3300" i="1" a="1"/>
  <c r="Q3300" i="1"/>
  <c r="Q3301" i="1" a="1"/>
  <c r="Q3301" i="1"/>
  <c r="Q3302" i="1" a="1"/>
  <c r="Q3302" i="1"/>
  <c r="Q3303" i="1" a="1"/>
  <c r="Q3303" i="1"/>
  <c r="Q3304" i="1" a="1"/>
  <c r="Q3304" i="1"/>
  <c r="Q3305" i="1" a="1"/>
  <c r="Q3305" i="1"/>
  <c r="Q3306" i="1" a="1"/>
  <c r="Q3306" i="1"/>
  <c r="Q3307" i="1" a="1"/>
  <c r="Q3307" i="1"/>
  <c r="Q3308" i="1" a="1"/>
  <c r="Q3308" i="1"/>
  <c r="Q3309" i="1" a="1"/>
  <c r="Q3309" i="1"/>
  <c r="Q3310" i="1" a="1"/>
  <c r="Q3310" i="1"/>
  <c r="Q3311" i="1" a="1"/>
  <c r="Q3311" i="1"/>
  <c r="Q3312" i="1" a="1"/>
  <c r="Q3312" i="1"/>
  <c r="Q3313" i="1" a="1"/>
  <c r="Q3313" i="1"/>
  <c r="Q3314" i="1" a="1"/>
  <c r="Q3314" i="1"/>
  <c r="Q3315" i="1" a="1"/>
  <c r="Q3315" i="1"/>
  <c r="Q3316" i="1" a="1"/>
  <c r="Q3316" i="1"/>
  <c r="Q3317" i="1" a="1"/>
  <c r="Q3317" i="1"/>
  <c r="Q3318" i="1" a="1"/>
  <c r="Q3318" i="1"/>
  <c r="Q3319" i="1" a="1"/>
  <c r="Q3319" i="1"/>
  <c r="Q3320" i="1" a="1"/>
  <c r="Q3320" i="1"/>
  <c r="Q3321" i="1" a="1"/>
  <c r="Q3321" i="1"/>
  <c r="Q3322" i="1" a="1"/>
  <c r="Q3322" i="1"/>
  <c r="Q3323" i="1" a="1"/>
  <c r="Q3323" i="1"/>
  <c r="Q3324" i="1" a="1"/>
  <c r="Q3324" i="1"/>
  <c r="Q3325" i="1" a="1"/>
  <c r="Q3325" i="1"/>
  <c r="Q3326" i="1" a="1"/>
  <c r="Q3326" i="1"/>
  <c r="Q3327" i="1" a="1"/>
  <c r="Q3327" i="1"/>
  <c r="Q3328" i="1" a="1"/>
  <c r="Q3328" i="1"/>
  <c r="Q3329" i="1" a="1"/>
  <c r="Q3329" i="1"/>
  <c r="Q3330" i="1" a="1"/>
  <c r="Q3330" i="1"/>
  <c r="Q3331" i="1" a="1"/>
  <c r="Q3331" i="1"/>
  <c r="Q3332" i="1" a="1"/>
  <c r="Q3332" i="1"/>
  <c r="Q3333" i="1" a="1"/>
  <c r="Q3333" i="1"/>
  <c r="Q3334" i="1" a="1"/>
  <c r="Q3334" i="1"/>
  <c r="Q3335" i="1" a="1"/>
  <c r="Q3335" i="1"/>
  <c r="Q3336" i="1" a="1"/>
  <c r="Q3336" i="1"/>
  <c r="Q3337" i="1" a="1"/>
  <c r="Q3337" i="1"/>
  <c r="Q3338" i="1" a="1"/>
  <c r="Q3338" i="1"/>
  <c r="Q3339" i="1" a="1"/>
  <c r="Q3339" i="1"/>
  <c r="Q3340" i="1" a="1"/>
  <c r="Q3340" i="1"/>
  <c r="Q3341" i="1" a="1"/>
  <c r="Q3341" i="1"/>
  <c r="Q3342" i="1" a="1"/>
  <c r="Q3342" i="1"/>
  <c r="Q3343" i="1" a="1"/>
  <c r="Q3343" i="1"/>
  <c r="Q3344" i="1" a="1"/>
  <c r="Q3344" i="1"/>
  <c r="Q3345" i="1" a="1"/>
  <c r="Q3345" i="1"/>
  <c r="Q3346" i="1" a="1"/>
  <c r="Q3346" i="1"/>
  <c r="Q3347" i="1" a="1"/>
  <c r="Q3347" i="1"/>
  <c r="Q3348" i="1" a="1"/>
  <c r="Q3348" i="1"/>
  <c r="Q3349" i="1" a="1"/>
  <c r="Q3349" i="1"/>
  <c r="Q3350" i="1" a="1"/>
  <c r="Q3350" i="1"/>
  <c r="Q3351" i="1" a="1"/>
  <c r="Q3351" i="1"/>
  <c r="Q3352" i="1" a="1"/>
  <c r="Q3352" i="1"/>
  <c r="Q3353" i="1" a="1"/>
  <c r="Q3353" i="1"/>
  <c r="Q3354" i="1" a="1"/>
  <c r="Q3354" i="1"/>
  <c r="Q3355" i="1" a="1"/>
  <c r="Q3355" i="1"/>
  <c r="Q3356" i="1" a="1"/>
  <c r="Q3356" i="1"/>
  <c r="Q3357" i="1" a="1"/>
  <c r="Q3357" i="1"/>
  <c r="Q3358" i="1" a="1"/>
  <c r="Q3358" i="1"/>
  <c r="Q3359" i="1" a="1"/>
  <c r="Q3359" i="1"/>
  <c r="Q3360" i="1" a="1"/>
  <c r="Q3360" i="1"/>
  <c r="Q3361" i="1" a="1"/>
  <c r="Q3361" i="1"/>
  <c r="Q3362" i="1" a="1"/>
  <c r="Q3362" i="1"/>
  <c r="Q3363" i="1" a="1"/>
  <c r="Q3363" i="1"/>
  <c r="Q3364" i="1" a="1"/>
  <c r="Q3364" i="1"/>
  <c r="Q3365" i="1" a="1"/>
  <c r="Q3365" i="1"/>
  <c r="Q3366" i="1" a="1"/>
  <c r="Q3366" i="1"/>
  <c r="Q3367" i="1" a="1"/>
  <c r="Q3367" i="1"/>
  <c r="Q3368" i="1" a="1"/>
  <c r="Q3368" i="1"/>
  <c r="Q3369" i="1" a="1"/>
  <c r="Q3369" i="1"/>
  <c r="Q3370" i="1" a="1"/>
  <c r="Q3370" i="1"/>
  <c r="Q3371" i="1" a="1"/>
  <c r="Q3371" i="1"/>
  <c r="Q3372" i="1" a="1"/>
  <c r="Q3372" i="1"/>
  <c r="Q3373" i="1" a="1"/>
  <c r="Q3373" i="1"/>
  <c r="Q3374" i="1" a="1"/>
  <c r="Q3374" i="1"/>
  <c r="Q3375" i="1" a="1"/>
  <c r="Q3375" i="1"/>
  <c r="Q3376" i="1" a="1"/>
  <c r="Q3376" i="1"/>
  <c r="Q3377" i="1" a="1"/>
  <c r="Q3377" i="1"/>
  <c r="Q3378" i="1" a="1"/>
  <c r="Q3378" i="1"/>
  <c r="Q3379" i="1" a="1"/>
  <c r="Q3379" i="1"/>
  <c r="Q3380" i="1" a="1"/>
  <c r="Q3380" i="1"/>
  <c r="Q3381" i="1" a="1"/>
  <c r="Q3381" i="1"/>
  <c r="Q3382" i="1" a="1"/>
  <c r="Q3382" i="1"/>
  <c r="Q3383" i="1" a="1"/>
  <c r="Q3383" i="1"/>
  <c r="Q3384" i="1" a="1"/>
  <c r="Q3384" i="1"/>
  <c r="Q3385" i="1" a="1"/>
  <c r="Q3385" i="1"/>
  <c r="Q3386" i="1" a="1"/>
  <c r="Q3386" i="1"/>
  <c r="Q3387" i="1" a="1"/>
  <c r="Q3387" i="1"/>
  <c r="Q3388" i="1" a="1"/>
  <c r="Q3388" i="1"/>
  <c r="Q3389" i="1" a="1"/>
  <c r="Q3389" i="1"/>
  <c r="Q3390" i="1" a="1"/>
  <c r="Q3390" i="1"/>
  <c r="Q3391" i="1" a="1"/>
  <c r="Q3391" i="1"/>
  <c r="Q3392" i="1" a="1"/>
  <c r="Q3392" i="1"/>
  <c r="Q3393" i="1" a="1"/>
  <c r="Q3393" i="1"/>
  <c r="Q3394" i="1" a="1"/>
  <c r="Q3394" i="1"/>
  <c r="Q3395" i="1" a="1"/>
  <c r="Q3395" i="1"/>
  <c r="Q3396" i="1" a="1"/>
  <c r="Q3396" i="1"/>
  <c r="Q3397" i="1" a="1"/>
  <c r="Q3397" i="1"/>
  <c r="Q3398" i="1" a="1"/>
  <c r="Q3398" i="1"/>
  <c r="Q3399" i="1" a="1"/>
  <c r="Q3399" i="1"/>
  <c r="Q3400" i="1" a="1"/>
  <c r="Q3400" i="1"/>
  <c r="Q3401" i="1" a="1"/>
  <c r="Q3401" i="1"/>
  <c r="Q3402" i="1" a="1"/>
  <c r="Q3402" i="1"/>
  <c r="Q3403" i="1" a="1"/>
  <c r="Q3403" i="1"/>
  <c r="Q3404" i="1" a="1"/>
  <c r="Q3404" i="1"/>
  <c r="Q3405" i="1" a="1"/>
  <c r="Q3405" i="1"/>
  <c r="Q3406" i="1" a="1"/>
  <c r="Q3406" i="1"/>
  <c r="Q3407" i="1" a="1"/>
  <c r="Q3407" i="1"/>
  <c r="Q3408" i="1" a="1"/>
  <c r="Q3408" i="1"/>
  <c r="Q3409" i="1" a="1"/>
  <c r="Q3409" i="1"/>
  <c r="Q3410" i="1" a="1"/>
  <c r="Q3410" i="1"/>
  <c r="Q3411" i="1" a="1"/>
  <c r="Q3411" i="1"/>
  <c r="Q3412" i="1" a="1"/>
  <c r="Q3412" i="1"/>
  <c r="Q3413" i="1" a="1"/>
  <c r="Q3413" i="1"/>
  <c r="Q3414" i="1" a="1"/>
  <c r="Q3414" i="1"/>
  <c r="Q3415" i="1" a="1"/>
  <c r="Q3415" i="1"/>
  <c r="Q3416" i="1" a="1"/>
  <c r="Q3416" i="1"/>
  <c r="Q3417" i="1" a="1"/>
  <c r="Q3417" i="1"/>
  <c r="Q3418" i="1" a="1"/>
  <c r="Q3418" i="1"/>
  <c r="Q3419" i="1" a="1"/>
  <c r="Q3419" i="1"/>
  <c r="Q3420" i="1" a="1"/>
  <c r="Q3420" i="1"/>
  <c r="Q3421" i="1" a="1"/>
  <c r="Q3421" i="1"/>
  <c r="Q3422" i="1" a="1"/>
  <c r="Q3422" i="1"/>
  <c r="Q3423" i="1" a="1"/>
  <c r="Q3423" i="1"/>
  <c r="Q3424" i="1" a="1"/>
  <c r="Q3424" i="1"/>
  <c r="Q3425" i="1" a="1"/>
  <c r="Q3425" i="1"/>
  <c r="Q3426" i="1" a="1"/>
  <c r="Q3426" i="1"/>
  <c r="Q3427" i="1" a="1"/>
  <c r="Q3427" i="1"/>
  <c r="Q3428" i="1" a="1"/>
  <c r="Q3428" i="1"/>
  <c r="Q3429" i="1" a="1"/>
  <c r="Q3429" i="1"/>
  <c r="Q3430" i="1" a="1"/>
  <c r="Q3430" i="1"/>
  <c r="Q3431" i="1" a="1"/>
  <c r="Q3431" i="1"/>
  <c r="Q3432" i="1" a="1"/>
  <c r="Q3432" i="1"/>
  <c r="Q3433" i="1" a="1"/>
  <c r="Q3433" i="1"/>
  <c r="Q3434" i="1" a="1"/>
  <c r="Q3434" i="1"/>
  <c r="Q3435" i="1" a="1"/>
  <c r="Q3435" i="1"/>
  <c r="Q3436" i="1" a="1"/>
  <c r="Q3436" i="1"/>
  <c r="Q3437" i="1" a="1"/>
  <c r="Q3437" i="1"/>
  <c r="Q3438" i="1" a="1"/>
  <c r="Q3438" i="1"/>
  <c r="Q3439" i="1" a="1"/>
  <c r="Q3439" i="1"/>
  <c r="Q3440" i="1" a="1"/>
  <c r="Q3440" i="1"/>
  <c r="Q3441" i="1" a="1"/>
  <c r="Q3441" i="1"/>
  <c r="Q3442" i="1" a="1"/>
  <c r="Q3442" i="1"/>
  <c r="Q3443" i="1" a="1"/>
  <c r="Q3443" i="1"/>
  <c r="Q3444" i="1" a="1"/>
  <c r="Q3444" i="1"/>
  <c r="Q3445" i="1" a="1"/>
  <c r="Q3445" i="1"/>
  <c r="Q3446" i="1" a="1"/>
  <c r="Q3446" i="1"/>
  <c r="Q3447" i="1" a="1"/>
  <c r="Q3447" i="1"/>
  <c r="Q3448" i="1" a="1"/>
  <c r="Q3448" i="1"/>
  <c r="Q3449" i="1" a="1"/>
  <c r="Q3449" i="1"/>
  <c r="Q3450" i="1" a="1"/>
  <c r="Q3450" i="1"/>
  <c r="Q3451" i="1" a="1"/>
  <c r="Q3451" i="1"/>
  <c r="Q3452" i="1" a="1"/>
  <c r="Q3452" i="1"/>
  <c r="Q3453" i="1" a="1"/>
  <c r="Q3453" i="1"/>
  <c r="Q3454" i="1" a="1"/>
  <c r="Q3454" i="1"/>
  <c r="Q3455" i="1" a="1"/>
  <c r="Q3455" i="1"/>
  <c r="Q3456" i="1" a="1"/>
  <c r="Q3456" i="1"/>
  <c r="Q3457" i="1" a="1"/>
  <c r="Q3457" i="1"/>
  <c r="Q3458" i="1" a="1"/>
  <c r="Q3458" i="1"/>
  <c r="Q3459" i="1" a="1"/>
  <c r="Q3459" i="1"/>
  <c r="Q3460" i="1" a="1"/>
  <c r="Q3460" i="1"/>
  <c r="Q3461" i="1" a="1"/>
  <c r="Q3461" i="1"/>
  <c r="Q3462" i="1" a="1"/>
  <c r="Q3462" i="1"/>
  <c r="Q3463" i="1" a="1"/>
  <c r="Q3463" i="1"/>
  <c r="Q3464" i="1" a="1"/>
  <c r="Q3464" i="1"/>
  <c r="Q3465" i="1" a="1"/>
  <c r="Q3465" i="1"/>
  <c r="Q3466" i="1" a="1"/>
  <c r="Q3466" i="1"/>
  <c r="Q3467" i="1" a="1"/>
  <c r="Q3467" i="1"/>
  <c r="Q3468" i="1" a="1"/>
  <c r="Q3468" i="1"/>
  <c r="Q3469" i="1" a="1"/>
  <c r="Q3469" i="1"/>
  <c r="Q3470" i="1" a="1"/>
  <c r="Q3470" i="1"/>
  <c r="Q3471" i="1" a="1"/>
  <c r="Q3471" i="1"/>
  <c r="Q3472" i="1" a="1"/>
  <c r="Q3472" i="1"/>
  <c r="Q3473" i="1" a="1"/>
  <c r="Q3473" i="1"/>
  <c r="Q3474" i="1" a="1"/>
  <c r="Q3474" i="1"/>
  <c r="Q3475" i="1" a="1"/>
  <c r="Q3475" i="1"/>
  <c r="Q3476" i="1" a="1"/>
  <c r="Q3476" i="1"/>
  <c r="Q3477" i="1" a="1"/>
  <c r="Q3477" i="1"/>
  <c r="Q3478" i="1" a="1"/>
  <c r="Q3478" i="1"/>
  <c r="Q3479" i="1" a="1"/>
  <c r="Q3479" i="1"/>
  <c r="Q3480" i="1" a="1"/>
  <c r="Q3480" i="1"/>
  <c r="Q3481" i="1" a="1"/>
  <c r="Q3481" i="1"/>
  <c r="Q3482" i="1" a="1"/>
  <c r="Q3482" i="1"/>
  <c r="Q3483" i="1" a="1"/>
  <c r="Q3483" i="1"/>
  <c r="Q3484" i="1" a="1"/>
  <c r="Q3484" i="1"/>
  <c r="Q3485" i="1" a="1"/>
  <c r="Q3485" i="1"/>
  <c r="Q3486" i="1" a="1"/>
  <c r="Q3486" i="1"/>
  <c r="Q3487" i="1" a="1"/>
  <c r="Q3487" i="1"/>
  <c r="Q3488" i="1" a="1"/>
  <c r="Q3488" i="1"/>
  <c r="Q3489" i="1" a="1"/>
  <c r="Q3489" i="1"/>
  <c r="Q3490" i="1" a="1"/>
  <c r="Q3490" i="1"/>
  <c r="Q3491" i="1" a="1"/>
  <c r="Q3491" i="1"/>
  <c r="Q3492" i="1" a="1"/>
  <c r="Q3492" i="1"/>
  <c r="Q3493" i="1" a="1"/>
  <c r="Q3493" i="1"/>
  <c r="Q3494" i="1" a="1"/>
  <c r="Q3494" i="1"/>
  <c r="Q3495" i="1" a="1"/>
  <c r="Q3495" i="1"/>
  <c r="Q3496" i="1" a="1"/>
  <c r="Q3496" i="1"/>
  <c r="Q3497" i="1" a="1"/>
  <c r="Q3497" i="1"/>
  <c r="Q3498" i="1" a="1"/>
  <c r="Q3498" i="1"/>
  <c r="Q3499" i="1" a="1"/>
  <c r="Q3499" i="1"/>
  <c r="Q3500" i="1" a="1"/>
  <c r="Q3500" i="1"/>
  <c r="Q3501" i="1" a="1"/>
  <c r="Q3501" i="1"/>
  <c r="Q3502" i="1" a="1"/>
  <c r="Q3502" i="1"/>
  <c r="Q3503" i="1" a="1"/>
  <c r="Q3503" i="1"/>
  <c r="Q3504" i="1" a="1"/>
  <c r="Q3504" i="1"/>
  <c r="Q3505" i="1" a="1"/>
  <c r="Q3505" i="1"/>
  <c r="Q3506" i="1" a="1"/>
  <c r="Q3506" i="1"/>
  <c r="Q3507" i="1" a="1"/>
  <c r="Q3507" i="1"/>
  <c r="Q3508" i="1" a="1"/>
  <c r="Q3508" i="1"/>
  <c r="Q3509" i="1" a="1"/>
  <c r="Q3509" i="1"/>
  <c r="Q3510" i="1" a="1"/>
  <c r="Q3510" i="1"/>
  <c r="Q3511" i="1" a="1"/>
  <c r="Q3511" i="1"/>
  <c r="Q3512" i="1" a="1"/>
  <c r="Q3512" i="1"/>
  <c r="Q3513" i="1" a="1"/>
  <c r="Q3513" i="1"/>
  <c r="Q3514" i="1" a="1"/>
  <c r="Q3514" i="1"/>
  <c r="Q3515" i="1" a="1"/>
  <c r="Q3515" i="1"/>
  <c r="Q3516" i="1" a="1"/>
  <c r="Q3516" i="1"/>
  <c r="Q3517" i="1" a="1"/>
  <c r="Q3517" i="1"/>
  <c r="Q3518" i="1" a="1"/>
  <c r="Q3518" i="1"/>
  <c r="Q3519" i="1" a="1"/>
  <c r="Q3519" i="1"/>
  <c r="Q3520" i="1" a="1"/>
  <c r="Q3520" i="1"/>
  <c r="Q3521" i="1" a="1"/>
  <c r="Q3521" i="1"/>
  <c r="Q3522" i="1" a="1"/>
  <c r="Q3522" i="1"/>
  <c r="Q3523" i="1" a="1"/>
  <c r="Q3523" i="1"/>
  <c r="Q3524" i="1" a="1"/>
  <c r="Q3524" i="1"/>
  <c r="Q3525" i="1" a="1"/>
  <c r="Q3525" i="1"/>
  <c r="Q3526" i="1" a="1"/>
  <c r="Q3526" i="1"/>
  <c r="Q3527" i="1" a="1"/>
  <c r="Q3527" i="1"/>
  <c r="Q3528" i="1" a="1"/>
  <c r="Q3528" i="1"/>
  <c r="Q3529" i="1" a="1"/>
  <c r="Q3529" i="1"/>
  <c r="Q3530" i="1" a="1"/>
  <c r="Q3530" i="1"/>
  <c r="Q3531" i="1" a="1"/>
  <c r="Q3531" i="1"/>
  <c r="Q3532" i="1" a="1"/>
  <c r="Q3532" i="1"/>
  <c r="Q3533" i="1" a="1"/>
  <c r="Q3533" i="1"/>
  <c r="Q3534" i="1" a="1"/>
  <c r="Q3534" i="1"/>
  <c r="Q3535" i="1" a="1"/>
  <c r="Q3535" i="1"/>
  <c r="Q3536" i="1" a="1"/>
  <c r="Q3536" i="1"/>
  <c r="Q3537" i="1" a="1"/>
  <c r="Q3537" i="1"/>
  <c r="Q3538" i="1" a="1"/>
  <c r="Q3538" i="1"/>
  <c r="Q3539" i="1" a="1"/>
  <c r="Q3539" i="1"/>
  <c r="Q3540" i="1" a="1"/>
  <c r="Q3540" i="1"/>
  <c r="Q3541" i="1" a="1"/>
  <c r="Q3541" i="1"/>
  <c r="Q3542" i="1" a="1"/>
  <c r="Q3542" i="1"/>
  <c r="Q3543" i="1" a="1"/>
  <c r="Q3543" i="1"/>
  <c r="Q3544" i="1" a="1"/>
  <c r="Q3544" i="1"/>
  <c r="Q3545" i="1" a="1"/>
  <c r="Q3545" i="1"/>
  <c r="Q3546" i="1" a="1"/>
  <c r="Q3546" i="1"/>
  <c r="Q3547" i="1" a="1"/>
  <c r="Q3547" i="1"/>
  <c r="Q3548" i="1" a="1"/>
  <c r="Q3548" i="1"/>
  <c r="Q3549" i="1" a="1"/>
  <c r="Q3549" i="1"/>
  <c r="Q3550" i="1" a="1"/>
  <c r="Q3550" i="1"/>
  <c r="Q3551" i="1" a="1"/>
  <c r="Q3551" i="1"/>
  <c r="Q3552" i="1" a="1"/>
  <c r="Q3552" i="1"/>
  <c r="Q3553" i="1" a="1"/>
  <c r="Q3553" i="1"/>
  <c r="Q3554" i="1" a="1"/>
  <c r="Q3554" i="1"/>
  <c r="Q3555" i="1" a="1"/>
  <c r="Q3555" i="1"/>
  <c r="Q3556" i="1" a="1"/>
  <c r="Q3556" i="1"/>
  <c r="Q3557" i="1" a="1"/>
  <c r="Q3557" i="1"/>
  <c r="Q3558" i="1" a="1"/>
  <c r="Q3558" i="1"/>
  <c r="Q3559" i="1" a="1"/>
  <c r="Q3559" i="1"/>
  <c r="Q3560" i="1" a="1"/>
  <c r="Q3560" i="1"/>
  <c r="Q3561" i="1" a="1"/>
  <c r="Q3561" i="1"/>
  <c r="Q3562" i="1" a="1"/>
  <c r="Q3562" i="1"/>
  <c r="Q3563" i="1" a="1"/>
  <c r="Q3563" i="1"/>
  <c r="Q3564" i="1" a="1"/>
  <c r="Q3564" i="1"/>
  <c r="Q3565" i="1" a="1"/>
  <c r="Q3565" i="1"/>
  <c r="Q3566" i="1" a="1"/>
  <c r="Q3566" i="1"/>
  <c r="Q3567" i="1" a="1"/>
  <c r="Q3567" i="1"/>
  <c r="Q3568" i="1" a="1"/>
  <c r="Q3568" i="1"/>
  <c r="Q3569" i="1" a="1"/>
  <c r="Q3569" i="1"/>
  <c r="Q3570" i="1" a="1"/>
  <c r="Q3570" i="1"/>
  <c r="Q3571" i="1" a="1"/>
  <c r="Q3571" i="1"/>
  <c r="Q3572" i="1" a="1"/>
  <c r="Q3572" i="1"/>
  <c r="Q3573" i="1" a="1"/>
  <c r="Q3573" i="1"/>
  <c r="Q3574" i="1" a="1"/>
  <c r="Q3574" i="1"/>
  <c r="Q3575" i="1" a="1"/>
  <c r="Q3575" i="1"/>
  <c r="Q3576" i="1" a="1"/>
  <c r="Q3576" i="1"/>
  <c r="Q3577" i="1" a="1"/>
  <c r="Q3577" i="1"/>
  <c r="Q3578" i="1" a="1"/>
  <c r="Q3578" i="1"/>
  <c r="Q3579" i="1" a="1"/>
  <c r="Q3579" i="1"/>
  <c r="Q3580" i="1" a="1"/>
  <c r="Q3580" i="1"/>
  <c r="Q3581" i="1" a="1"/>
  <c r="Q3581" i="1"/>
  <c r="Q3582" i="1" a="1"/>
  <c r="Q3582" i="1"/>
  <c r="Q3583" i="1" a="1"/>
  <c r="Q3583" i="1"/>
  <c r="Q3584" i="1" a="1"/>
  <c r="Q3584" i="1"/>
  <c r="Q3585" i="1" a="1"/>
  <c r="Q3585" i="1"/>
  <c r="Q3586" i="1" a="1"/>
  <c r="Q3586" i="1"/>
  <c r="Q3587" i="1" a="1"/>
  <c r="Q3587" i="1"/>
  <c r="Q3588" i="1" a="1"/>
  <c r="Q3588" i="1"/>
  <c r="Q3589" i="1" a="1"/>
  <c r="Q3589" i="1"/>
  <c r="Q3590" i="1" a="1"/>
  <c r="Q3590" i="1"/>
  <c r="Q3591" i="1" a="1"/>
  <c r="Q3591" i="1"/>
  <c r="Q3592" i="1" a="1"/>
  <c r="Q3592" i="1"/>
  <c r="Q3593" i="1" a="1"/>
  <c r="Q3593" i="1"/>
  <c r="Q3594" i="1" a="1"/>
  <c r="Q3594" i="1"/>
  <c r="Q3595" i="1" a="1"/>
  <c r="Q3595" i="1"/>
  <c r="Q3596" i="1" a="1"/>
  <c r="Q3596" i="1"/>
  <c r="Q3597" i="1" a="1"/>
  <c r="Q3597" i="1"/>
  <c r="Q3598" i="1" a="1"/>
  <c r="Q3598" i="1"/>
  <c r="Q3599" i="1" a="1"/>
  <c r="Q3599" i="1"/>
  <c r="Q3600" i="1" a="1"/>
  <c r="Q3600" i="1"/>
  <c r="Q3601" i="1" a="1"/>
  <c r="Q3601" i="1"/>
  <c r="Q3602" i="1" a="1"/>
  <c r="Q3602" i="1"/>
  <c r="Q3603" i="1" a="1"/>
  <c r="Q3603" i="1"/>
  <c r="Q3604" i="1" a="1"/>
  <c r="Q3604" i="1"/>
  <c r="Q3605" i="1" a="1"/>
  <c r="Q3605" i="1"/>
  <c r="Q3606" i="1" a="1"/>
  <c r="Q3606" i="1"/>
  <c r="Q3607" i="1" a="1"/>
  <c r="Q3607" i="1"/>
  <c r="Q3608" i="1" a="1"/>
  <c r="Q3608" i="1"/>
  <c r="Q3609" i="1" a="1"/>
  <c r="Q3610" i="1" a="1"/>
  <c r="Q3611" i="1" a="1"/>
  <c r="Q3612" i="1" a="1"/>
  <c r="Q3613" i="1" a="1"/>
  <c r="Q3614" i="1" a="1"/>
  <c r="Q3615" i="1" a="1"/>
  <c r="Q3616" i="1" a="1"/>
  <c r="Q3617" i="1" a="1"/>
  <c r="Q3618" i="1" a="1"/>
  <c r="Q3619" i="1" a="1"/>
  <c r="Q3620" i="1" a="1"/>
  <c r="Q3621" i="1" a="1"/>
  <c r="Q3622" i="1" a="1"/>
  <c r="Q3623" i="1" a="1"/>
  <c r="Q3624" i="1" a="1"/>
  <c r="Q3625" i="1" a="1"/>
  <c r="Q3626" i="1" a="1"/>
  <c r="Q3627" i="1" a="1"/>
  <c r="Q3628" i="1" a="1"/>
  <c r="Q3629" i="1" a="1"/>
  <c r="Q3630" i="1" a="1"/>
  <c r="Q3631" i="1" a="1"/>
  <c r="Q3632" i="1" a="1"/>
  <c r="Q3633" i="1" a="1"/>
  <c r="Q3634" i="1" a="1"/>
  <c r="Q3635" i="1" a="1"/>
  <c r="Q3636" i="1" a="1"/>
  <c r="Q3637" i="1" a="1"/>
  <c r="Q3638" i="1" a="1"/>
  <c r="Q3639" i="1" a="1"/>
  <c r="Q3640" i="1" a="1"/>
  <c r="Q3641" i="1" a="1"/>
  <c r="Q3642" i="1" a="1"/>
  <c r="Q3643" i="1" a="1"/>
  <c r="Q3644" i="1" a="1"/>
  <c r="Q3645" i="1" a="1"/>
  <c r="Q3646" i="1" a="1"/>
  <c r="Q3647" i="1" a="1"/>
  <c r="Q3648" i="1" a="1"/>
  <c r="Q3649" i="1" a="1"/>
  <c r="Q3650" i="1" a="1"/>
  <c r="Q3651" i="1" a="1"/>
  <c r="Q3652" i="1" a="1"/>
  <c r="Q3653" i="1" a="1"/>
  <c r="Q3654" i="1" a="1"/>
  <c r="Q3655" i="1" a="1"/>
  <c r="Q3656" i="1" a="1"/>
  <c r="Q3657" i="1" a="1"/>
  <c r="Q3658" i="1" a="1"/>
  <c r="Q3659" i="1" a="1"/>
  <c r="Q3660" i="1" a="1"/>
  <c r="Q3661" i="1" a="1"/>
  <c r="Q3662" i="1" a="1"/>
  <c r="Q3663" i="1" a="1"/>
  <c r="Q3664" i="1" a="1"/>
  <c r="Q3665" i="1" a="1"/>
  <c r="Q3666" i="1" a="1"/>
  <c r="Q3667" i="1" a="1"/>
  <c r="Q3668" i="1" a="1"/>
  <c r="Q3669" i="1" a="1"/>
  <c r="Q3670" i="1" a="1"/>
  <c r="Q3671" i="1" a="1"/>
  <c r="Q3672" i="1" a="1"/>
  <c r="Q3673" i="1" a="1"/>
  <c r="Q3674" i="1" a="1"/>
  <c r="Q3675" i="1" a="1"/>
  <c r="Q3676" i="1" a="1"/>
  <c r="Q3677" i="1" a="1"/>
  <c r="Q3678" i="1" a="1"/>
  <c r="Q3679" i="1" a="1"/>
  <c r="Q3680" i="1" a="1"/>
  <c r="Q3681" i="1" a="1"/>
  <c r="Q3682" i="1" a="1"/>
  <c r="Q3683" i="1" a="1"/>
  <c r="Q3684" i="1" a="1"/>
  <c r="Q3685" i="1" a="1"/>
  <c r="Q3686" i="1" a="1"/>
  <c r="Q3687" i="1" a="1"/>
  <c r="Q3688" i="1" a="1"/>
  <c r="Q3689" i="1" a="1"/>
  <c r="Q3690" i="1" a="1"/>
  <c r="Q3691" i="1" a="1"/>
  <c r="Q3692" i="1" a="1"/>
  <c r="Q3693" i="1" a="1"/>
  <c r="Q3694" i="1" a="1"/>
  <c r="Q3695" i="1" a="1"/>
  <c r="Q3696" i="1" a="1"/>
  <c r="Q3697" i="1" a="1"/>
  <c r="Q3698" i="1" a="1"/>
  <c r="Q3699" i="1" a="1"/>
  <c r="Q3700" i="1" a="1"/>
  <c r="Q3701" i="1" a="1"/>
  <c r="Q3702" i="1" a="1"/>
  <c r="Q3703" i="1" a="1"/>
  <c r="Q3704" i="1" a="1"/>
  <c r="Q3705" i="1" a="1"/>
  <c r="Q3706" i="1" a="1"/>
  <c r="Q3707" i="1" a="1"/>
  <c r="Q3708" i="1" a="1"/>
  <c r="Q3709" i="1" a="1"/>
  <c r="Q3710" i="1" a="1"/>
  <c r="Q3711" i="1" a="1"/>
  <c r="Q3712" i="1" a="1"/>
  <c r="Q3713" i="1" a="1"/>
  <c r="Q3714" i="1" a="1"/>
  <c r="Q3715" i="1" a="1"/>
  <c r="Q3716" i="1" a="1"/>
  <c r="Q3717" i="1" a="1"/>
  <c r="Q3718" i="1" a="1"/>
  <c r="Q3719" i="1" a="1"/>
  <c r="Q3720" i="1" a="1"/>
  <c r="Q3721" i="1" a="1"/>
  <c r="Q3722" i="1" a="1"/>
  <c r="Q3723" i="1" a="1"/>
  <c r="Q3724" i="1" a="1"/>
  <c r="Q3725" i="1" a="1"/>
  <c r="Q3726" i="1" a="1"/>
  <c r="Q3727" i="1" a="1"/>
  <c r="Q3728" i="1" a="1"/>
  <c r="Q3729" i="1" a="1"/>
  <c r="Q3730" i="1" a="1"/>
  <c r="Q3731" i="1" a="1"/>
  <c r="Q3732" i="1" a="1"/>
  <c r="Q3733" i="1" a="1"/>
  <c r="Q3734" i="1" a="1"/>
  <c r="Q3735" i="1" a="1"/>
  <c r="Q3736" i="1" a="1"/>
  <c r="Q3737" i="1" a="1"/>
  <c r="Q3738" i="1" a="1"/>
  <c r="Q3739" i="1" a="1"/>
  <c r="Q3740" i="1" a="1"/>
  <c r="Q3741" i="1" a="1"/>
  <c r="Q3742" i="1" a="1"/>
  <c r="Q3743" i="1" a="1"/>
  <c r="Q3744" i="1" a="1"/>
  <c r="Q3745" i="1" a="1"/>
  <c r="Q3746" i="1" a="1"/>
  <c r="Q3747" i="1" a="1"/>
  <c r="Q3748" i="1" a="1"/>
  <c r="Q3749" i="1" a="1"/>
  <c r="Q3750" i="1" a="1"/>
  <c r="Q3751" i="1" a="1"/>
  <c r="Q3752" i="1" a="1"/>
  <c r="Q3753" i="1" a="1"/>
  <c r="Q3754" i="1" a="1"/>
  <c r="Q3755" i="1" a="1"/>
  <c r="Q3756" i="1" a="1"/>
  <c r="Q3757" i="1" a="1"/>
  <c r="Q3758" i="1" a="1"/>
  <c r="Q3759" i="1" a="1"/>
  <c r="Q3760" i="1" a="1"/>
  <c r="Q3761" i="1" a="1"/>
  <c r="Q3762" i="1" a="1"/>
  <c r="Q3763" i="1" a="1"/>
  <c r="Q3764" i="1" a="1"/>
  <c r="Q3765" i="1" a="1"/>
  <c r="Q3766" i="1" a="1"/>
  <c r="Q3767" i="1" a="1"/>
  <c r="Q3768" i="1" a="1"/>
  <c r="Q3769" i="1" a="1"/>
  <c r="Q3770" i="1" a="1"/>
  <c r="Q3771" i="1" a="1"/>
  <c r="Q3772" i="1" a="1"/>
  <c r="Q3773" i="1" a="1"/>
  <c r="Q3774" i="1" a="1"/>
  <c r="Q3775" i="1" a="1"/>
  <c r="Q3776" i="1" a="1"/>
  <c r="Q3777" i="1" a="1"/>
  <c r="Q3778" i="1" a="1"/>
  <c r="Q3779" i="1" a="1"/>
  <c r="Q3780" i="1" a="1"/>
  <c r="Q3781" i="1" a="1"/>
  <c r="Q3782" i="1" a="1"/>
  <c r="Q3783" i="1" a="1"/>
  <c r="Q3784" i="1" a="1"/>
  <c r="Q3785" i="1" a="1"/>
  <c r="Q3786" i="1" a="1"/>
  <c r="Q3787" i="1" a="1"/>
  <c r="Q3788" i="1" a="1"/>
  <c r="Q3789" i="1" a="1"/>
  <c r="Q3790" i="1" a="1"/>
  <c r="Q3791" i="1" a="1"/>
  <c r="Q3792" i="1" a="1"/>
  <c r="Q3793" i="1" a="1"/>
  <c r="Q3794" i="1" a="1"/>
  <c r="Q3795" i="1" a="1"/>
  <c r="Q3796" i="1" a="1"/>
  <c r="Q3797" i="1" a="1"/>
  <c r="Q3798" i="1" a="1"/>
  <c r="Q3799" i="1" a="1"/>
  <c r="Q3800" i="1" a="1"/>
  <c r="Q3801" i="1" a="1"/>
  <c r="Q3802" i="1" a="1"/>
  <c r="Q3803" i="1" a="1"/>
  <c r="Q3804" i="1" a="1"/>
  <c r="Q3805" i="1" a="1"/>
  <c r="Q3806" i="1" a="1"/>
  <c r="Q3807" i="1" a="1"/>
  <c r="Q3808" i="1" a="1"/>
  <c r="Q3809" i="1" a="1"/>
  <c r="Q3810" i="1" a="1"/>
  <c r="Q3811" i="1" a="1"/>
  <c r="Q3812" i="1" a="1"/>
  <c r="Q3813" i="1" a="1"/>
  <c r="Q3814" i="1" a="1"/>
  <c r="Q3815" i="1" a="1"/>
  <c r="Q3816" i="1" a="1"/>
  <c r="Q3817" i="1" a="1"/>
  <c r="Q3818" i="1" a="1"/>
  <c r="Q3819" i="1" a="1"/>
  <c r="Q3820" i="1" a="1"/>
  <c r="Q3821" i="1" a="1"/>
  <c r="Q3822" i="1" a="1"/>
  <c r="Q3823" i="1" a="1"/>
  <c r="Q3824" i="1" a="1"/>
  <c r="Q3825" i="1" a="1"/>
  <c r="Q3826" i="1" a="1"/>
  <c r="Q3827" i="1" a="1"/>
  <c r="Q3828" i="1" a="1"/>
  <c r="Q3829" i="1" a="1"/>
  <c r="Q3830" i="1" a="1"/>
  <c r="Q3831" i="1" a="1"/>
  <c r="Q3832" i="1" a="1"/>
  <c r="Q3833" i="1" a="1"/>
  <c r="Q3834" i="1" a="1"/>
  <c r="Q3835" i="1" a="1"/>
  <c r="Q3836" i="1" a="1"/>
  <c r="Q3837" i="1" a="1"/>
  <c r="Q3838" i="1" a="1"/>
  <c r="Q3839" i="1" a="1"/>
  <c r="Q3840" i="1" a="1"/>
  <c r="Q3841" i="1" a="1"/>
  <c r="Q3842" i="1" a="1"/>
  <c r="Q3843" i="1" a="1"/>
  <c r="Q3844" i="1" a="1"/>
  <c r="Q3845" i="1" a="1"/>
  <c r="Q3846" i="1" a="1"/>
  <c r="Q3847" i="1" a="1"/>
  <c r="Q3848" i="1" a="1"/>
  <c r="Q3849" i="1" a="1"/>
  <c r="Q3850" i="1" a="1"/>
  <c r="Q3851" i="1" a="1"/>
  <c r="Q3852" i="1" a="1"/>
  <c r="Q3853" i="1" a="1"/>
  <c r="Q3854" i="1" a="1"/>
  <c r="Q3855" i="1" a="1"/>
  <c r="Q3856" i="1" a="1"/>
  <c r="Q3857" i="1" a="1"/>
  <c r="Q3858" i="1" a="1"/>
  <c r="Q3859" i="1" a="1"/>
  <c r="Q3860" i="1" a="1"/>
  <c r="Q3861" i="1" a="1"/>
  <c r="Q3862" i="1" a="1"/>
  <c r="Q3863" i="1" a="1"/>
  <c r="Q3864" i="1" a="1"/>
  <c r="Q3865" i="1" a="1"/>
  <c r="Q3865" i="1"/>
  <c r="Q3866" i="1" a="1"/>
  <c r="Q3866" i="1"/>
  <c r="Q3867" i="1" a="1"/>
  <c r="Q3867" i="1"/>
  <c r="Q3868" i="1" a="1"/>
  <c r="Q3868" i="1"/>
  <c r="Q3869" i="1" a="1"/>
  <c r="Q3869" i="1"/>
  <c r="Q3870" i="1" a="1"/>
  <c r="Q3870" i="1"/>
  <c r="Q3871" i="1" a="1"/>
  <c r="Q3871" i="1"/>
  <c r="Q3872" i="1" a="1"/>
  <c r="Q3872" i="1"/>
  <c r="Q3873" i="1" a="1"/>
  <c r="Q3873" i="1"/>
  <c r="Q3874" i="1" a="1"/>
  <c r="Q3874" i="1"/>
  <c r="Q3875" i="1" a="1"/>
  <c r="Q3875" i="1"/>
  <c r="Q3876" i="1" a="1"/>
  <c r="Q3876" i="1"/>
  <c r="Q3877" i="1" a="1"/>
  <c r="Q3877" i="1"/>
  <c r="Q3878" i="1" a="1"/>
  <c r="Q3878" i="1"/>
  <c r="Q3879" i="1" a="1"/>
  <c r="Q3879" i="1"/>
  <c r="Q3880" i="1" a="1"/>
  <c r="Q3880" i="1"/>
  <c r="Q3881" i="1" a="1"/>
  <c r="Q3881" i="1"/>
  <c r="Q3882" i="1" a="1"/>
  <c r="Q3882" i="1"/>
  <c r="Q3883" i="1" a="1"/>
  <c r="Q3883" i="1"/>
  <c r="Q3884" i="1" a="1"/>
  <c r="Q3884" i="1"/>
  <c r="Q3885" i="1" a="1"/>
  <c r="Q3885" i="1"/>
  <c r="Q3886" i="1" a="1"/>
  <c r="Q3886" i="1"/>
  <c r="Q3887" i="1" a="1"/>
  <c r="Q3887" i="1"/>
  <c r="Q3888" i="1" a="1"/>
  <c r="Q3888" i="1"/>
  <c r="Q3889" i="1" a="1"/>
  <c r="Q3889" i="1"/>
  <c r="Q3890" i="1" a="1"/>
  <c r="Q3890" i="1"/>
  <c r="Q3891" i="1" a="1"/>
  <c r="Q3891" i="1"/>
  <c r="Q3892" i="1" a="1"/>
  <c r="Q3892" i="1"/>
  <c r="Q3893" i="1" a="1"/>
  <c r="Q3893" i="1"/>
  <c r="Q3894" i="1" a="1"/>
  <c r="Q3894" i="1"/>
  <c r="Q3895" i="1" a="1"/>
  <c r="Q3895" i="1"/>
  <c r="Q3896" i="1" a="1"/>
  <c r="Q3896" i="1"/>
  <c r="Q3897" i="1" a="1"/>
  <c r="Q3897" i="1"/>
  <c r="Q3898" i="1" a="1"/>
  <c r="Q3898" i="1"/>
  <c r="Q3899" i="1" a="1"/>
  <c r="Q3899" i="1"/>
  <c r="Q3900" i="1" a="1"/>
  <c r="Q3900" i="1"/>
  <c r="Q3901" i="1" a="1"/>
  <c r="Q3901" i="1"/>
  <c r="Q3902" i="1" a="1"/>
  <c r="Q3902" i="1"/>
  <c r="Q3903" i="1" a="1"/>
  <c r="Q3903" i="1"/>
  <c r="Q3904" i="1" a="1"/>
  <c r="Q3904" i="1"/>
  <c r="Q3905" i="1" a="1"/>
  <c r="Q3905" i="1"/>
  <c r="Q3906" i="1" a="1"/>
  <c r="Q3906" i="1"/>
  <c r="Q3907" i="1" a="1"/>
  <c r="Q3907" i="1"/>
  <c r="Q3908" i="1" a="1"/>
  <c r="Q3908" i="1"/>
  <c r="Q3909" i="1" a="1"/>
  <c r="Q3909" i="1"/>
  <c r="Q3910" i="1" a="1"/>
  <c r="Q3910" i="1"/>
  <c r="Q3911" i="1" a="1"/>
  <c r="Q3911" i="1"/>
  <c r="Q3912" i="1" a="1"/>
  <c r="Q3912" i="1"/>
  <c r="Q3913" i="1" a="1"/>
  <c r="Q3913" i="1"/>
  <c r="Q3914" i="1" a="1"/>
  <c r="Q3914" i="1"/>
  <c r="Q3915" i="1" a="1"/>
  <c r="Q3915" i="1"/>
  <c r="Q3916" i="1" a="1"/>
  <c r="Q3916" i="1"/>
  <c r="Q3917" i="1" a="1"/>
  <c r="Q3917" i="1"/>
  <c r="Q3918" i="1" a="1"/>
  <c r="Q3918" i="1"/>
  <c r="Q3919" i="1" a="1"/>
  <c r="Q3919" i="1"/>
  <c r="Q3920" i="1" a="1"/>
  <c r="Q3920" i="1"/>
  <c r="Q3921" i="1" a="1"/>
  <c r="Q3921" i="1"/>
  <c r="Q3922" i="1" a="1"/>
  <c r="Q3922" i="1"/>
  <c r="Q3923" i="1" a="1"/>
  <c r="Q3923" i="1"/>
  <c r="Q3924" i="1" a="1"/>
  <c r="Q3924" i="1"/>
  <c r="Q3925" i="1" a="1"/>
  <c r="Q3925" i="1"/>
  <c r="Q3926" i="1" a="1"/>
  <c r="Q3926" i="1"/>
  <c r="Q3927" i="1" a="1"/>
  <c r="Q3927" i="1"/>
  <c r="Q3928" i="1" a="1"/>
  <c r="Q3928" i="1"/>
  <c r="Q3929" i="1" a="1"/>
  <c r="Q3929" i="1"/>
  <c r="Q3930" i="1" a="1"/>
  <c r="Q3930" i="1"/>
  <c r="Q3931" i="1" a="1"/>
  <c r="Q3931" i="1"/>
  <c r="Q3932" i="1" a="1"/>
  <c r="Q3932" i="1"/>
  <c r="Q3933" i="1" a="1"/>
  <c r="Q3933" i="1"/>
  <c r="Q3934" i="1" a="1"/>
  <c r="Q3934" i="1"/>
  <c r="Q3935" i="1" a="1"/>
  <c r="Q3935" i="1"/>
  <c r="Q3936" i="1" a="1"/>
  <c r="Q3936" i="1"/>
  <c r="Q3937" i="1" a="1"/>
  <c r="Q3937" i="1"/>
  <c r="Q3938" i="1" a="1"/>
  <c r="Q3938" i="1"/>
  <c r="Q3939" i="1" a="1"/>
  <c r="Q3939" i="1"/>
  <c r="Q3940" i="1" a="1"/>
  <c r="Q3940" i="1"/>
  <c r="Q3941" i="1" a="1"/>
  <c r="Q3941" i="1"/>
  <c r="Q3942" i="1" a="1"/>
  <c r="Q3942" i="1"/>
  <c r="Q3943" i="1" a="1"/>
  <c r="Q3943" i="1"/>
  <c r="Q3944" i="1" a="1"/>
  <c r="Q3944" i="1"/>
  <c r="Q3945" i="1" a="1"/>
  <c r="Q3945" i="1"/>
  <c r="Q3946" i="1" a="1"/>
  <c r="Q3946" i="1"/>
  <c r="Q3947" i="1" a="1"/>
  <c r="Q3947" i="1"/>
  <c r="Q3948" i="1" a="1"/>
  <c r="Q3948" i="1"/>
  <c r="Q3949" i="1" a="1"/>
  <c r="Q3949" i="1"/>
  <c r="Q3950" i="1" a="1"/>
  <c r="Q3950" i="1"/>
  <c r="Q3951" i="1" a="1"/>
  <c r="Q3951" i="1"/>
  <c r="Q3952" i="1" a="1"/>
  <c r="Q3952" i="1"/>
  <c r="Q3953" i="1" a="1"/>
  <c r="Q3953" i="1"/>
  <c r="Q3954" i="1" a="1"/>
  <c r="Q3954" i="1"/>
  <c r="Q3955" i="1" a="1"/>
  <c r="Q3955" i="1"/>
  <c r="Q3956" i="1" a="1"/>
  <c r="Q3956" i="1"/>
  <c r="Q3957" i="1" a="1"/>
  <c r="Q3957" i="1"/>
  <c r="Q3958" i="1" a="1"/>
  <c r="Q3958" i="1"/>
  <c r="Q3959" i="1" a="1"/>
  <c r="Q3959" i="1"/>
  <c r="Q3960" i="1" a="1"/>
  <c r="Q3960" i="1"/>
  <c r="Q3961" i="1" a="1"/>
  <c r="Q3961" i="1"/>
  <c r="Q3962" i="1" a="1"/>
  <c r="Q3962" i="1"/>
  <c r="Q3963" i="1" a="1"/>
  <c r="Q3963" i="1"/>
  <c r="Q3964" i="1" a="1"/>
  <c r="Q3964" i="1"/>
  <c r="Q3965" i="1" a="1"/>
  <c r="Q3965" i="1"/>
  <c r="Q3966" i="1" a="1"/>
  <c r="Q3966" i="1"/>
  <c r="Q3967" i="1" a="1"/>
  <c r="Q3967" i="1"/>
  <c r="Q3968" i="1" a="1"/>
  <c r="Q3968" i="1"/>
  <c r="Q3969" i="1" a="1"/>
  <c r="Q3969" i="1"/>
  <c r="Q3970" i="1" a="1"/>
  <c r="Q3970" i="1"/>
  <c r="Q3971" i="1" a="1"/>
  <c r="Q3971" i="1"/>
  <c r="Q3972" i="1" a="1"/>
  <c r="Q3972" i="1"/>
  <c r="Q3973" i="1" a="1"/>
  <c r="Q3973" i="1"/>
  <c r="Q3974" i="1" a="1"/>
  <c r="Q3974" i="1"/>
  <c r="Q3975" i="1" a="1"/>
  <c r="Q3975" i="1"/>
  <c r="Q3976" i="1" a="1"/>
  <c r="Q3976" i="1"/>
  <c r="Q3977" i="1" a="1"/>
  <c r="Q3977" i="1"/>
  <c r="Q3978" i="1" a="1"/>
  <c r="Q3978" i="1"/>
  <c r="Q3979" i="1" a="1"/>
  <c r="Q3979" i="1"/>
  <c r="Q3980" i="1" a="1"/>
  <c r="Q3980" i="1"/>
  <c r="Q3981" i="1" a="1"/>
  <c r="Q3981" i="1"/>
  <c r="Q3982" i="1" a="1"/>
  <c r="Q3982" i="1"/>
  <c r="Q3983" i="1" a="1"/>
  <c r="Q3983" i="1"/>
  <c r="Q3984" i="1" a="1"/>
  <c r="Q3984" i="1"/>
  <c r="Q3985" i="1" a="1"/>
  <c r="Q3985" i="1"/>
  <c r="Q3986" i="1" a="1"/>
  <c r="Q3986" i="1"/>
  <c r="Q3987" i="1" a="1"/>
  <c r="Q3987" i="1"/>
  <c r="Q3988" i="1" a="1"/>
  <c r="Q3988" i="1"/>
  <c r="Q3989" i="1" a="1"/>
  <c r="Q3989" i="1"/>
  <c r="Q3990" i="1" a="1"/>
  <c r="Q3990" i="1"/>
  <c r="Q3991" i="1" a="1"/>
  <c r="Q3991" i="1"/>
  <c r="Q3992" i="1" a="1"/>
  <c r="Q3992" i="1"/>
  <c r="Q3993" i="1" a="1"/>
  <c r="Q3993" i="1"/>
  <c r="Q3994" i="1" a="1"/>
  <c r="Q3994" i="1"/>
  <c r="Q3995" i="1" a="1"/>
  <c r="Q3995" i="1"/>
  <c r="Q3996" i="1" a="1"/>
  <c r="Q3996" i="1"/>
  <c r="Q3997" i="1" a="1"/>
  <c r="Q3997" i="1"/>
  <c r="Q3998" i="1" a="1"/>
  <c r="Q3998" i="1"/>
  <c r="Q3999" i="1" a="1"/>
  <c r="Q3999" i="1"/>
  <c r="Q4000" i="1" a="1"/>
  <c r="Q4000" i="1"/>
  <c r="Q4001" i="1" a="1"/>
  <c r="Q4001" i="1"/>
  <c r="Q4002" i="1" a="1"/>
  <c r="Q4002" i="1"/>
  <c r="Q4003" i="1" a="1"/>
  <c r="Q4003" i="1"/>
  <c r="Q4004" i="1" a="1"/>
  <c r="Q4004" i="1"/>
  <c r="Q4005" i="1" a="1"/>
  <c r="Q4005" i="1"/>
  <c r="Q4006" i="1" a="1"/>
  <c r="Q4006" i="1"/>
  <c r="Q4007" i="1" a="1"/>
  <c r="Q4007" i="1"/>
  <c r="Q4008" i="1" a="1"/>
  <c r="Q4008" i="1"/>
  <c r="Q4009" i="1" a="1"/>
  <c r="Q4009" i="1"/>
  <c r="Q4010" i="1" a="1"/>
  <c r="Q4010" i="1"/>
  <c r="Q4011" i="1" a="1"/>
  <c r="Q4011" i="1"/>
  <c r="Q4012" i="1" a="1"/>
  <c r="Q4012" i="1"/>
  <c r="Q4013" i="1" a="1"/>
  <c r="Q4013" i="1"/>
  <c r="Q4014" i="1" a="1"/>
  <c r="Q4014" i="1"/>
  <c r="Q4015" i="1" a="1"/>
  <c r="Q4015" i="1"/>
  <c r="Q4016" i="1" a="1"/>
  <c r="Q4016" i="1"/>
  <c r="Q4017" i="1" a="1"/>
  <c r="Q4017" i="1"/>
  <c r="Q4018" i="1" a="1"/>
  <c r="Q4018" i="1"/>
  <c r="Q4019" i="1" a="1"/>
  <c r="Q4019" i="1"/>
  <c r="Q4020" i="1" a="1"/>
  <c r="Q4020" i="1"/>
  <c r="Q4021" i="1" a="1"/>
  <c r="Q4021" i="1"/>
  <c r="Q4022" i="1" a="1"/>
  <c r="Q4022" i="1"/>
  <c r="Q4023" i="1" a="1"/>
  <c r="Q4023" i="1"/>
  <c r="Q4024" i="1" a="1"/>
  <c r="Q4024" i="1"/>
  <c r="Q4025" i="1" a="1"/>
  <c r="Q4025" i="1"/>
  <c r="Q4026" i="1" a="1"/>
  <c r="Q4026" i="1"/>
  <c r="Q4027" i="1" a="1"/>
  <c r="Q4027" i="1"/>
  <c r="Q4028" i="1" a="1"/>
  <c r="Q4028" i="1"/>
  <c r="Q4029" i="1" a="1"/>
  <c r="Q4029" i="1"/>
  <c r="Q4030" i="1" a="1"/>
  <c r="Q4030" i="1"/>
  <c r="Q4031" i="1" a="1"/>
  <c r="Q4031" i="1"/>
  <c r="Q4032" i="1" a="1"/>
  <c r="Q4032" i="1"/>
  <c r="Q4033" i="1" a="1"/>
  <c r="Q4033" i="1"/>
  <c r="Q4034" i="1" a="1"/>
  <c r="Q4034" i="1"/>
  <c r="Q4035" i="1" a="1"/>
  <c r="Q4035" i="1"/>
  <c r="Q4036" i="1" a="1"/>
  <c r="Q4036" i="1"/>
  <c r="Q4037" i="1" a="1"/>
  <c r="Q4037" i="1"/>
  <c r="Q4038" i="1" a="1"/>
  <c r="Q4038" i="1"/>
  <c r="Q4039" i="1" a="1"/>
  <c r="Q4039" i="1"/>
  <c r="Q4040" i="1" a="1"/>
  <c r="Q4040" i="1"/>
  <c r="Q4041" i="1" a="1"/>
  <c r="Q4041" i="1"/>
  <c r="Q4042" i="1" a="1"/>
  <c r="Q4042" i="1"/>
  <c r="Q4043" i="1" a="1"/>
  <c r="Q4043" i="1"/>
  <c r="Q4044" i="1" a="1"/>
  <c r="Q4044" i="1"/>
  <c r="Q4045" i="1" a="1"/>
  <c r="Q4045" i="1"/>
  <c r="Q4046" i="1" a="1"/>
  <c r="Q4046" i="1"/>
  <c r="Q4047" i="1" a="1"/>
  <c r="Q4047" i="1"/>
  <c r="Q4048" i="1" a="1"/>
  <c r="Q4048" i="1"/>
  <c r="Q4049" i="1" a="1"/>
  <c r="Q4049" i="1"/>
  <c r="Q4050" i="1" a="1"/>
  <c r="Q4050" i="1"/>
  <c r="Q4051" i="1" a="1"/>
  <c r="Q4051" i="1"/>
  <c r="Q4052" i="1" a="1"/>
  <c r="Q4052" i="1"/>
  <c r="Q4053" i="1" a="1"/>
  <c r="Q4053" i="1"/>
  <c r="Q4054" i="1" a="1"/>
  <c r="Q4054" i="1"/>
  <c r="Q4055" i="1" a="1"/>
  <c r="Q4055" i="1"/>
  <c r="Q4056" i="1" a="1"/>
  <c r="Q4056" i="1"/>
  <c r="Q4057" i="1" a="1"/>
  <c r="Q4057" i="1"/>
  <c r="Q4058" i="1" a="1"/>
  <c r="Q4058" i="1"/>
  <c r="Q4059" i="1" a="1"/>
  <c r="Q4059" i="1"/>
  <c r="Q4060" i="1" a="1"/>
  <c r="Q4060" i="1"/>
  <c r="Q4061" i="1" a="1"/>
  <c r="Q4061" i="1"/>
  <c r="Q4062" i="1" a="1"/>
  <c r="Q4062" i="1"/>
  <c r="Q4063" i="1" a="1"/>
  <c r="Q4063" i="1"/>
  <c r="Q4064" i="1" a="1"/>
  <c r="Q4064" i="1"/>
  <c r="Q4065" i="1" a="1"/>
  <c r="Q4065" i="1"/>
  <c r="Q4066" i="1" a="1"/>
  <c r="Q4066" i="1"/>
  <c r="Q4067" i="1" a="1"/>
  <c r="Q4067" i="1"/>
  <c r="Q4068" i="1" a="1"/>
  <c r="Q4068" i="1"/>
  <c r="Q4069" i="1" a="1"/>
  <c r="Q4069" i="1"/>
  <c r="Q4070" i="1" a="1"/>
  <c r="Q4070" i="1"/>
  <c r="Q4071" i="1" a="1"/>
  <c r="Q4071" i="1"/>
  <c r="Q4072" i="1" a="1"/>
  <c r="Q4072" i="1"/>
  <c r="Q4073" i="1" a="1"/>
  <c r="Q4073" i="1"/>
  <c r="Q4074" i="1" a="1"/>
  <c r="Q4074" i="1"/>
  <c r="Q4075" i="1" a="1"/>
  <c r="Q4075" i="1"/>
  <c r="Q4076" i="1" a="1"/>
  <c r="Q4076" i="1"/>
  <c r="Q4077" i="1" a="1"/>
  <c r="Q4077" i="1"/>
  <c r="Q4078" i="1" a="1"/>
  <c r="Q4078" i="1"/>
  <c r="Q4079" i="1" a="1"/>
  <c r="Q4079" i="1"/>
  <c r="Q4080" i="1" a="1"/>
  <c r="Q4080" i="1"/>
  <c r="Q4081" i="1" a="1"/>
  <c r="Q4081" i="1"/>
  <c r="Q4082" i="1" a="1"/>
  <c r="Q4082" i="1"/>
  <c r="Q4083" i="1" a="1"/>
  <c r="Q4083" i="1"/>
  <c r="Q4084" i="1" a="1"/>
  <c r="Q4084" i="1"/>
  <c r="Q4085" i="1" a="1"/>
  <c r="Q4085" i="1"/>
  <c r="Q4086" i="1" a="1"/>
  <c r="Q4086" i="1"/>
  <c r="Q4087" i="1" a="1"/>
  <c r="Q4087" i="1"/>
  <c r="Q4088" i="1" a="1"/>
  <c r="Q4088" i="1"/>
  <c r="Q4089" i="1" a="1"/>
  <c r="Q4089" i="1"/>
  <c r="Q4090" i="1" a="1"/>
  <c r="Q4090" i="1"/>
  <c r="Q4091" i="1" a="1"/>
  <c r="Q4091" i="1"/>
  <c r="Q4092" i="1" a="1"/>
  <c r="Q4092" i="1"/>
  <c r="Q4093" i="1" a="1"/>
  <c r="Q4093" i="1"/>
  <c r="Q4094" i="1" a="1"/>
  <c r="Q4094" i="1"/>
  <c r="Q4095" i="1" a="1"/>
  <c r="Q4095" i="1"/>
  <c r="Q4096" i="1" a="1"/>
  <c r="Q4096" i="1"/>
  <c r="Q4097" i="1" a="1"/>
  <c r="Q4097" i="1"/>
  <c r="Q4098" i="1" a="1"/>
  <c r="Q4098" i="1"/>
  <c r="Q4099" i="1" a="1"/>
  <c r="Q4099" i="1"/>
  <c r="Q4100" i="1" a="1"/>
  <c r="Q4100" i="1"/>
  <c r="Q4101" i="1" a="1"/>
  <c r="Q4101" i="1"/>
  <c r="Q4102" i="1" a="1"/>
  <c r="Q4102" i="1"/>
  <c r="Q4103" i="1" a="1"/>
  <c r="Q4103" i="1"/>
  <c r="Q4104" i="1" a="1"/>
  <c r="Q4104" i="1"/>
  <c r="Q4105" i="1" a="1"/>
  <c r="Q4105" i="1"/>
  <c r="Q4106" i="1" a="1"/>
  <c r="Q4106" i="1"/>
  <c r="Q4107" i="1" a="1"/>
  <c r="Q4107" i="1"/>
  <c r="Q4108" i="1" a="1"/>
  <c r="Q4108" i="1"/>
  <c r="Q4109" i="1" a="1"/>
  <c r="Q4109" i="1"/>
  <c r="Q4110" i="1" a="1"/>
  <c r="Q4110" i="1"/>
  <c r="Q4111" i="1" a="1"/>
  <c r="Q4111" i="1"/>
  <c r="Q4112" i="1" a="1"/>
  <c r="Q4112" i="1"/>
  <c r="Q4113" i="1" a="1"/>
  <c r="Q4113" i="1"/>
  <c r="Q4114" i="1" a="1"/>
  <c r="Q4114" i="1"/>
  <c r="Q4115" i="1" a="1"/>
  <c r="Q4115" i="1"/>
  <c r="Q4116" i="1" a="1"/>
  <c r="Q4116" i="1"/>
  <c r="Q4117" i="1" a="1"/>
  <c r="Q4117" i="1"/>
  <c r="Q4118" i="1" a="1"/>
  <c r="Q4118" i="1"/>
  <c r="Q4119" i="1" a="1"/>
  <c r="Q4119" i="1"/>
  <c r="Q4120" i="1" a="1"/>
  <c r="Q4120" i="1"/>
  <c r="Q4121" i="1" a="1"/>
  <c r="Q4121" i="1"/>
  <c r="Q4122" i="1" a="1"/>
  <c r="Q4122" i="1"/>
  <c r="Q4123" i="1" a="1"/>
  <c r="Q4123" i="1"/>
  <c r="Q4124" i="1" a="1"/>
  <c r="Q4124" i="1"/>
  <c r="Q4125" i="1" a="1"/>
  <c r="Q4125" i="1"/>
  <c r="Q4126" i="1" a="1"/>
  <c r="Q4126" i="1"/>
  <c r="Q4127" i="1" a="1"/>
  <c r="Q4127" i="1"/>
  <c r="Q4128" i="1" a="1"/>
  <c r="Q4128" i="1"/>
  <c r="Q4129" i="1" a="1"/>
  <c r="Q4129" i="1"/>
  <c r="Q4130" i="1" a="1"/>
  <c r="Q4130" i="1"/>
  <c r="Q4131" i="1" a="1"/>
  <c r="Q4131" i="1"/>
  <c r="Q4132" i="1" a="1"/>
  <c r="Q4132" i="1"/>
  <c r="Q4133" i="1" a="1"/>
  <c r="Q4133" i="1"/>
  <c r="Q4134" i="1" a="1"/>
  <c r="Q4134" i="1"/>
  <c r="Q4135" i="1" a="1"/>
  <c r="Q4135" i="1"/>
  <c r="Q4136" i="1" a="1"/>
  <c r="Q4136" i="1"/>
  <c r="Q4137" i="1" a="1"/>
  <c r="Q4137" i="1"/>
  <c r="Q4138" i="1" a="1"/>
  <c r="Q4138" i="1"/>
  <c r="Q4139" i="1" a="1"/>
  <c r="Q4139" i="1"/>
  <c r="Q4140" i="1" a="1"/>
  <c r="Q4140" i="1"/>
  <c r="Q4141" i="1" a="1"/>
  <c r="Q4141" i="1"/>
  <c r="Q4142" i="1" a="1"/>
  <c r="Q4142" i="1"/>
  <c r="Q4143" i="1" a="1"/>
  <c r="Q4143" i="1"/>
  <c r="Q4144" i="1" a="1"/>
  <c r="Q4144" i="1"/>
  <c r="Q4145" i="1" a="1"/>
  <c r="Q4145" i="1"/>
  <c r="Q4146" i="1" a="1"/>
  <c r="Q4146" i="1"/>
  <c r="Q4147" i="1" a="1"/>
  <c r="Q4147" i="1"/>
  <c r="Q4148" i="1" a="1"/>
  <c r="Q4148" i="1"/>
  <c r="Q4149" i="1" a="1"/>
  <c r="Q4149" i="1"/>
  <c r="Q4150" i="1" a="1"/>
  <c r="Q4150" i="1"/>
  <c r="Q4151" i="1" a="1"/>
  <c r="Q4151" i="1"/>
  <c r="Q4152" i="1" a="1"/>
  <c r="Q4152" i="1"/>
  <c r="Q4153" i="1" a="1"/>
  <c r="Q4153" i="1"/>
  <c r="Q4154" i="1" a="1"/>
  <c r="Q4154" i="1"/>
  <c r="Q4155" i="1" a="1"/>
  <c r="Q4155" i="1"/>
  <c r="Q4156" i="1" a="1"/>
  <c r="Q4156" i="1"/>
  <c r="Q4157" i="1" a="1"/>
  <c r="Q4157" i="1"/>
  <c r="Q4158" i="1" a="1"/>
  <c r="Q4158" i="1"/>
  <c r="Q4159" i="1" a="1"/>
  <c r="Q4159" i="1"/>
  <c r="Q4160" i="1" a="1"/>
  <c r="Q4160" i="1"/>
  <c r="Q4161" i="1" a="1"/>
  <c r="Q4161" i="1"/>
  <c r="Q4162" i="1" a="1"/>
  <c r="Q4162" i="1"/>
  <c r="Q4163" i="1" a="1"/>
  <c r="Q4163" i="1"/>
  <c r="Q4164" i="1" a="1"/>
  <c r="Q4164" i="1"/>
  <c r="Q4165" i="1" a="1"/>
  <c r="Q4165" i="1"/>
  <c r="Q4166" i="1" a="1"/>
  <c r="Q4166" i="1"/>
  <c r="Q4167" i="1" a="1"/>
  <c r="Q4167" i="1"/>
  <c r="Q4168" i="1" a="1"/>
  <c r="Q4168" i="1"/>
  <c r="Q4169" i="1" a="1"/>
  <c r="Q4169" i="1"/>
  <c r="Q4170" i="1" a="1"/>
  <c r="Q4170" i="1"/>
  <c r="Q4171" i="1" a="1"/>
  <c r="Q4171" i="1"/>
  <c r="Q4172" i="1" a="1"/>
  <c r="Q4172" i="1"/>
  <c r="Q4173" i="1" a="1"/>
  <c r="Q4173" i="1"/>
  <c r="Q4174" i="1" a="1"/>
  <c r="Q4174" i="1"/>
  <c r="Q4175" i="1" a="1"/>
  <c r="Q4175" i="1"/>
  <c r="Q4176" i="1" a="1"/>
  <c r="Q4176" i="1"/>
  <c r="Q4177" i="1" a="1"/>
  <c r="Q4177" i="1"/>
  <c r="Q4178" i="1" a="1"/>
  <c r="Q4178" i="1"/>
  <c r="Q4179" i="1" a="1"/>
  <c r="Q4179" i="1"/>
  <c r="Q4180" i="1" a="1"/>
  <c r="Q4180" i="1"/>
  <c r="Q4181" i="1" a="1"/>
  <c r="Q4181" i="1"/>
  <c r="Q4182" i="1" a="1"/>
  <c r="Q4182" i="1"/>
  <c r="Q4183" i="1" a="1"/>
  <c r="Q4183" i="1"/>
  <c r="Q4184" i="1" a="1"/>
  <c r="Q4184" i="1"/>
  <c r="Q4185" i="1" a="1"/>
  <c r="Q4185" i="1"/>
  <c r="Q4186" i="1" a="1"/>
  <c r="Q4186" i="1"/>
  <c r="Q4187" i="1" a="1"/>
  <c r="Q4187" i="1"/>
  <c r="Q4188" i="1" a="1"/>
  <c r="Q4188" i="1"/>
  <c r="Q4189" i="1" a="1"/>
  <c r="Q4189" i="1"/>
  <c r="Q4190" i="1" a="1"/>
  <c r="Q4190" i="1"/>
  <c r="Q4191" i="1" a="1"/>
  <c r="Q4191" i="1"/>
  <c r="Q4192" i="1" a="1"/>
  <c r="Q4192" i="1"/>
  <c r="Q4193" i="1" a="1"/>
  <c r="Q4193" i="1"/>
  <c r="Q4194" i="1" a="1"/>
  <c r="Q4194" i="1"/>
  <c r="Q4195" i="1" a="1"/>
  <c r="Q4195" i="1"/>
  <c r="Q4196" i="1" a="1"/>
  <c r="Q4196" i="1"/>
  <c r="Q4197" i="1" a="1"/>
  <c r="Q4197" i="1"/>
  <c r="Q4198" i="1" a="1"/>
  <c r="Q4198" i="1"/>
  <c r="Q4199" i="1" a="1"/>
  <c r="Q4199" i="1"/>
  <c r="Q4200" i="1" a="1"/>
  <c r="Q4200" i="1"/>
  <c r="Q4201" i="1" a="1"/>
  <c r="Q4201" i="1"/>
  <c r="Q4202" i="1" a="1"/>
  <c r="Q4202" i="1"/>
  <c r="Q4203" i="1" a="1"/>
  <c r="Q4203" i="1"/>
  <c r="Q4204" i="1" a="1"/>
  <c r="Q4204" i="1"/>
  <c r="Q4205" i="1" a="1"/>
  <c r="Q4205" i="1"/>
  <c r="Q4206" i="1" a="1"/>
  <c r="Q4206" i="1"/>
  <c r="Q4207" i="1" a="1"/>
  <c r="Q4207" i="1"/>
  <c r="Q4208" i="1" a="1"/>
  <c r="Q4208" i="1"/>
  <c r="Q4209" i="1" a="1"/>
  <c r="Q4209" i="1"/>
  <c r="Q4210" i="1" a="1"/>
  <c r="Q4210" i="1"/>
  <c r="Q4211" i="1" a="1"/>
  <c r="Q4211" i="1"/>
  <c r="Q4212" i="1" a="1"/>
  <c r="Q4212" i="1"/>
  <c r="Q4213" i="1" a="1"/>
  <c r="Q4213" i="1"/>
  <c r="Q4214" i="1" a="1"/>
  <c r="Q4214" i="1"/>
  <c r="Q4215" i="1" a="1"/>
  <c r="Q4215" i="1"/>
  <c r="Q4216" i="1" a="1"/>
  <c r="Q4216" i="1"/>
  <c r="Q4217" i="1" a="1"/>
  <c r="Q4217" i="1"/>
  <c r="Q4218" i="1" a="1"/>
  <c r="Q4218" i="1"/>
  <c r="Q4219" i="1" a="1"/>
  <c r="Q4219" i="1"/>
  <c r="Q4220" i="1" a="1"/>
  <c r="Q4220" i="1"/>
  <c r="Q4221" i="1" a="1"/>
  <c r="Q4221" i="1"/>
  <c r="Q4222" i="1" a="1"/>
  <c r="Q4222" i="1"/>
  <c r="Q4223" i="1" a="1"/>
  <c r="Q4223" i="1"/>
  <c r="Q4224" i="1" a="1"/>
  <c r="Q4224" i="1"/>
  <c r="Q4225" i="1" a="1"/>
  <c r="Q4225" i="1"/>
  <c r="Q4226" i="1" a="1"/>
  <c r="Q4226" i="1"/>
  <c r="Q4227" i="1" a="1"/>
  <c r="Q4227" i="1"/>
  <c r="Q4228" i="1" a="1"/>
  <c r="Q4228" i="1"/>
  <c r="Q4229" i="1" a="1"/>
  <c r="Q4229" i="1"/>
  <c r="Q4230" i="1" a="1"/>
  <c r="Q4230" i="1"/>
  <c r="Q4231" i="1" a="1"/>
  <c r="Q4231" i="1"/>
  <c r="Q4232" i="1" a="1"/>
  <c r="Q4232" i="1"/>
  <c r="Q4233" i="1" a="1"/>
  <c r="Q4233" i="1"/>
  <c r="Q4234" i="1" a="1"/>
  <c r="Q4234" i="1"/>
  <c r="Q4235" i="1" a="1"/>
  <c r="Q4235" i="1"/>
  <c r="Q4236" i="1" a="1"/>
  <c r="Q4236" i="1"/>
  <c r="Q4237" i="1" a="1"/>
  <c r="Q4237" i="1"/>
  <c r="Q4238" i="1" a="1"/>
  <c r="Q4238" i="1"/>
  <c r="Q4239" i="1" a="1"/>
  <c r="Q4239" i="1"/>
  <c r="Q4240" i="1" a="1"/>
  <c r="Q4240" i="1"/>
  <c r="Q4241" i="1" a="1"/>
  <c r="Q4241" i="1"/>
  <c r="Q4242" i="1" a="1"/>
  <c r="Q4242" i="1"/>
  <c r="Q4243" i="1" a="1"/>
  <c r="Q4243" i="1"/>
  <c r="Q4244" i="1" a="1"/>
  <c r="Q4244" i="1"/>
  <c r="Q4245" i="1" a="1"/>
  <c r="Q4245" i="1"/>
  <c r="Q4246" i="1" a="1"/>
  <c r="Q4246" i="1"/>
  <c r="Q4247" i="1" a="1"/>
  <c r="Q4247" i="1"/>
  <c r="Q4248" i="1" a="1"/>
  <c r="Q4248" i="1"/>
  <c r="Q4249" i="1" a="1"/>
  <c r="Q4249" i="1"/>
  <c r="Q4250" i="1" a="1"/>
  <c r="Q4250" i="1"/>
  <c r="Q4251" i="1" a="1"/>
  <c r="Q4251" i="1"/>
  <c r="Q4252" i="1" a="1"/>
  <c r="Q4252" i="1"/>
  <c r="Q4253" i="1" a="1"/>
  <c r="Q4253" i="1"/>
  <c r="Q4254" i="1" a="1"/>
  <c r="Q4254" i="1"/>
  <c r="Q4255" i="1" a="1"/>
  <c r="Q4255" i="1"/>
  <c r="Q4256" i="1" a="1"/>
  <c r="Q4256" i="1"/>
  <c r="Q4257" i="1" a="1"/>
  <c r="Q4257" i="1"/>
  <c r="Q4258" i="1" a="1"/>
  <c r="Q4258" i="1"/>
  <c r="Q4259" i="1" a="1"/>
  <c r="Q4259" i="1"/>
  <c r="Q4260" i="1" a="1"/>
  <c r="Q4260" i="1"/>
  <c r="Q4261" i="1" a="1"/>
  <c r="Q4261" i="1"/>
  <c r="Q4262" i="1" a="1"/>
  <c r="Q4262" i="1"/>
  <c r="Q4263" i="1" a="1"/>
  <c r="Q4263" i="1"/>
  <c r="Q4264" i="1" a="1"/>
  <c r="Q4264" i="1"/>
  <c r="Q4265" i="1" a="1"/>
  <c r="Q4265" i="1"/>
  <c r="Q4266" i="1" a="1"/>
  <c r="Q4266" i="1"/>
  <c r="Q4267" i="1" a="1"/>
  <c r="Q4267" i="1"/>
  <c r="Q4268" i="1" a="1"/>
  <c r="Q4268" i="1"/>
  <c r="Q4269" i="1" a="1"/>
  <c r="Q4269" i="1"/>
  <c r="Q4270" i="1" a="1"/>
  <c r="Q4270" i="1"/>
  <c r="Q4271" i="1" a="1"/>
  <c r="Q4271" i="1"/>
  <c r="Q4272" i="1" a="1"/>
  <c r="Q4272" i="1"/>
  <c r="Q4273" i="1" a="1"/>
  <c r="Q4273" i="1"/>
  <c r="Q4274" i="1" a="1"/>
  <c r="Q4274" i="1"/>
  <c r="Q4275" i="1" a="1"/>
  <c r="Q4275" i="1"/>
  <c r="Q4276" i="1" a="1"/>
  <c r="Q4276" i="1"/>
  <c r="Q4277" i="1" a="1"/>
  <c r="Q4277" i="1"/>
  <c r="Q4278" i="1" a="1"/>
  <c r="Q4278" i="1"/>
  <c r="Q4279" i="1" a="1"/>
  <c r="Q4279" i="1"/>
  <c r="Q4280" i="1" a="1"/>
  <c r="Q4280" i="1"/>
  <c r="Q4281" i="1" a="1"/>
  <c r="Q4281" i="1"/>
  <c r="Q4282" i="1" a="1"/>
  <c r="Q4282" i="1"/>
  <c r="Q4283" i="1" a="1"/>
  <c r="Q4283" i="1"/>
  <c r="Q4284" i="1" a="1"/>
  <c r="Q4284" i="1"/>
  <c r="Q4285" i="1" a="1"/>
  <c r="Q4285" i="1"/>
  <c r="Q4286" i="1" a="1"/>
  <c r="Q4286" i="1"/>
  <c r="Q4287" i="1" a="1"/>
  <c r="Q4287" i="1"/>
  <c r="Q4288" i="1" a="1"/>
  <c r="Q4288" i="1"/>
  <c r="Q4289" i="1" a="1"/>
  <c r="Q4289" i="1"/>
  <c r="Q4290" i="1" a="1"/>
  <c r="Q4290" i="1"/>
  <c r="Q4291" i="1" a="1"/>
  <c r="Q4291" i="1"/>
  <c r="Q4292" i="1" a="1"/>
  <c r="Q4292" i="1"/>
  <c r="Q4293" i="1" a="1"/>
  <c r="Q4293" i="1"/>
  <c r="Q4294" i="1" a="1"/>
  <c r="Q4294" i="1"/>
  <c r="Q4295" i="1" a="1"/>
  <c r="Q4295" i="1"/>
  <c r="Q4296" i="1" a="1"/>
  <c r="Q4296" i="1"/>
  <c r="Q4297" i="1" a="1"/>
  <c r="Q4297" i="1"/>
  <c r="Q4298" i="1" a="1"/>
  <c r="Q4298" i="1"/>
  <c r="Q4299" i="1" a="1"/>
  <c r="Q4299" i="1"/>
  <c r="Q4300" i="1" a="1"/>
  <c r="Q4300" i="1"/>
  <c r="Q4301" i="1" a="1"/>
  <c r="Q4301" i="1"/>
  <c r="Q4302" i="1" a="1"/>
  <c r="Q4302" i="1"/>
  <c r="Q4303" i="1" a="1"/>
  <c r="Q4303" i="1"/>
  <c r="Q4304" i="1" a="1"/>
  <c r="Q4304" i="1"/>
  <c r="Q4305" i="1" a="1"/>
  <c r="Q4305" i="1"/>
  <c r="Q4306" i="1" a="1"/>
  <c r="Q4306" i="1"/>
  <c r="Q4307" i="1" a="1"/>
  <c r="Q4307" i="1"/>
  <c r="Q4308" i="1" a="1"/>
  <c r="Q4308" i="1"/>
  <c r="Q4309" i="1" a="1"/>
  <c r="Q4309" i="1"/>
  <c r="Q4310" i="1" a="1"/>
  <c r="Q4310" i="1"/>
  <c r="Q4311" i="1" a="1"/>
  <c r="Q4311" i="1"/>
  <c r="Q4312" i="1" a="1"/>
  <c r="Q4312" i="1"/>
  <c r="Q4313" i="1" a="1"/>
  <c r="Q4313" i="1"/>
  <c r="Q4314" i="1" a="1"/>
  <c r="Q4314" i="1"/>
  <c r="Q4315" i="1" a="1"/>
  <c r="Q4315" i="1"/>
  <c r="Q4316" i="1" a="1"/>
  <c r="Q4316" i="1"/>
  <c r="Q4317" i="1" a="1"/>
  <c r="Q4317" i="1"/>
  <c r="Q4318" i="1" a="1"/>
  <c r="Q4318" i="1"/>
  <c r="Q4319" i="1" a="1"/>
  <c r="Q4319" i="1"/>
  <c r="Q4320" i="1" a="1"/>
  <c r="Q4320" i="1"/>
  <c r="Q4321" i="1" a="1"/>
  <c r="Q4321" i="1"/>
  <c r="Q4322" i="1" a="1"/>
  <c r="Q4322" i="1"/>
  <c r="Q4323" i="1" a="1"/>
  <c r="Q4323" i="1"/>
  <c r="Q4324" i="1" a="1"/>
  <c r="Q4324" i="1"/>
  <c r="Q4325" i="1" a="1"/>
  <c r="Q4325" i="1"/>
  <c r="Q4326" i="1" a="1"/>
  <c r="Q4326" i="1"/>
  <c r="Q4327" i="1" a="1"/>
  <c r="Q4327" i="1"/>
  <c r="Q4328" i="1" a="1"/>
  <c r="Q4328" i="1"/>
  <c r="Q4329" i="1" a="1"/>
  <c r="Q4329" i="1"/>
  <c r="Q4330" i="1" a="1"/>
  <c r="Q4330" i="1"/>
  <c r="Q4331" i="1" a="1"/>
  <c r="Q4331" i="1"/>
  <c r="Q4332" i="1" a="1"/>
  <c r="Q4332" i="1"/>
  <c r="Q4333" i="1" a="1"/>
  <c r="Q4333" i="1"/>
  <c r="Q4334" i="1" a="1"/>
  <c r="Q4334" i="1"/>
  <c r="Q4335" i="1" a="1"/>
  <c r="Q4335" i="1"/>
  <c r="Q4336" i="1" a="1"/>
  <c r="Q4336" i="1"/>
  <c r="Q4337" i="1" a="1"/>
  <c r="Q4337" i="1"/>
  <c r="Q4338" i="1" a="1"/>
  <c r="Q4338" i="1"/>
  <c r="Q4339" i="1" a="1"/>
  <c r="Q4339" i="1"/>
  <c r="Q4340" i="1" a="1"/>
  <c r="Q4340" i="1"/>
  <c r="Q4341" i="1" a="1"/>
  <c r="Q4341" i="1"/>
  <c r="Q4342" i="1" a="1"/>
  <c r="Q4342" i="1"/>
  <c r="Q4343" i="1" a="1"/>
  <c r="Q4343" i="1"/>
  <c r="Q4344" i="1" a="1"/>
  <c r="Q4344" i="1"/>
  <c r="Q4345" i="1" a="1"/>
  <c r="Q4345" i="1"/>
  <c r="Q4346" i="1" a="1"/>
  <c r="Q4346" i="1"/>
  <c r="Q4347" i="1" a="1"/>
  <c r="Q4347" i="1"/>
  <c r="Q4348" i="1" a="1"/>
  <c r="Q4348" i="1"/>
  <c r="Q4349" i="1" a="1"/>
  <c r="Q4349" i="1"/>
  <c r="Q4350" i="1" a="1"/>
  <c r="Q4350" i="1"/>
  <c r="Q4351" i="1" a="1"/>
  <c r="Q4351" i="1"/>
  <c r="Q4352" i="1" a="1"/>
  <c r="Q4352" i="1"/>
  <c r="Q4353" i="1" a="1"/>
  <c r="Q4353" i="1"/>
  <c r="Q4354" i="1" a="1"/>
  <c r="Q4354" i="1"/>
  <c r="Q4355" i="1" a="1"/>
  <c r="Q4355" i="1"/>
  <c r="Q4356" i="1" a="1"/>
  <c r="Q4356" i="1"/>
  <c r="Q4357" i="1" a="1"/>
  <c r="Q4357" i="1"/>
  <c r="Q4358" i="1" a="1"/>
  <c r="Q4358" i="1"/>
  <c r="Q4359" i="1" a="1"/>
  <c r="Q4359" i="1"/>
  <c r="Q4360" i="1" a="1"/>
  <c r="Q4360" i="1"/>
  <c r="Q4361" i="1" a="1"/>
  <c r="Q4361" i="1"/>
  <c r="Q4362" i="1" a="1"/>
  <c r="Q4362" i="1"/>
  <c r="Q4363" i="1" a="1"/>
  <c r="Q4363" i="1"/>
  <c r="Q4364" i="1" a="1"/>
  <c r="Q4364" i="1"/>
  <c r="Q4365" i="1" a="1"/>
  <c r="Q4365" i="1"/>
  <c r="Q4366" i="1" a="1"/>
  <c r="Q4366" i="1"/>
  <c r="Q4367" i="1" a="1"/>
  <c r="Q4367" i="1"/>
  <c r="Q4368" i="1" a="1"/>
  <c r="Q4368" i="1"/>
  <c r="Q4369" i="1" a="1"/>
  <c r="Q4369" i="1"/>
  <c r="Q4370" i="1" a="1"/>
  <c r="Q4370" i="1"/>
  <c r="Q4371" i="1" a="1"/>
  <c r="Q4371" i="1"/>
  <c r="Q4372" i="1" a="1"/>
  <c r="Q4372" i="1"/>
  <c r="Q4373" i="1" a="1"/>
  <c r="Q4373" i="1"/>
  <c r="Q4374" i="1" a="1"/>
  <c r="Q4374" i="1"/>
  <c r="Q4375" i="1" a="1"/>
  <c r="Q4375" i="1"/>
  <c r="Q4376" i="1" a="1"/>
  <c r="Q4376" i="1"/>
  <c r="Q4377" i="1" a="1"/>
  <c r="Q4377" i="1"/>
  <c r="Q4378" i="1" a="1"/>
  <c r="Q4378" i="1"/>
  <c r="Q4379" i="1" a="1"/>
  <c r="Q4379" i="1"/>
  <c r="Q4380" i="1" a="1"/>
  <c r="Q4380" i="1"/>
  <c r="Q4381" i="1" a="1"/>
  <c r="Q4381" i="1"/>
  <c r="Q4382" i="1" a="1"/>
  <c r="Q4382" i="1"/>
  <c r="Q4383" i="1" a="1"/>
  <c r="Q4383" i="1"/>
  <c r="Q4384" i="1" a="1"/>
  <c r="Q4384" i="1"/>
  <c r="Q4385" i="1" a="1"/>
  <c r="Q4385" i="1"/>
  <c r="Q4386" i="1" a="1"/>
  <c r="Q4386" i="1"/>
  <c r="Q4387" i="1" a="1"/>
  <c r="Q4387" i="1"/>
  <c r="Q4388" i="1" a="1"/>
  <c r="Q4388" i="1"/>
  <c r="Q4389" i="1" a="1"/>
  <c r="Q4389" i="1"/>
  <c r="Q4390" i="1" a="1"/>
  <c r="Q4390" i="1"/>
  <c r="Q4391" i="1" a="1"/>
  <c r="Q4391" i="1"/>
  <c r="Q4392" i="1" a="1"/>
  <c r="Q4392" i="1"/>
  <c r="Q4393" i="1" a="1"/>
  <c r="Q4393" i="1"/>
  <c r="Q4394" i="1" a="1"/>
  <c r="Q4394" i="1"/>
  <c r="Q4395" i="1" a="1"/>
  <c r="Q4395" i="1"/>
  <c r="Q4396" i="1" a="1"/>
  <c r="Q4396" i="1"/>
  <c r="Q4397" i="1" a="1"/>
  <c r="Q4397" i="1"/>
  <c r="Q4398" i="1" a="1"/>
  <c r="Q4398" i="1"/>
  <c r="Q4399" i="1" a="1"/>
  <c r="Q4399" i="1"/>
  <c r="Q4400" i="1" a="1"/>
  <c r="Q4400" i="1"/>
  <c r="Q4401" i="1" a="1"/>
  <c r="Q4401" i="1"/>
  <c r="Q4402" i="1" a="1"/>
  <c r="Q4402" i="1"/>
  <c r="Q4403" i="1" a="1"/>
  <c r="Q4403" i="1"/>
  <c r="Q4404" i="1" a="1"/>
  <c r="Q4404" i="1"/>
  <c r="Q4405" i="1" a="1"/>
  <c r="Q4405" i="1"/>
  <c r="Q4406" i="1" a="1"/>
  <c r="Q4406" i="1"/>
  <c r="Q4407" i="1" a="1"/>
  <c r="Q4407" i="1"/>
  <c r="Q4408" i="1" a="1"/>
  <c r="Q4408" i="1"/>
  <c r="Q4409" i="1" a="1"/>
  <c r="Q4409" i="1"/>
  <c r="Q4410" i="1" a="1"/>
  <c r="Q4410" i="1"/>
  <c r="Q4411" i="1" a="1"/>
  <c r="Q4411" i="1"/>
  <c r="Q4412" i="1" a="1"/>
  <c r="Q4412" i="1"/>
  <c r="Q4413" i="1" a="1"/>
  <c r="Q4413" i="1"/>
  <c r="Q4414" i="1" a="1"/>
  <c r="Q4414" i="1"/>
  <c r="Q4415" i="1" a="1"/>
  <c r="Q4415" i="1"/>
  <c r="Q4416" i="1" a="1"/>
  <c r="Q4416" i="1"/>
  <c r="Q4417" i="1" a="1"/>
  <c r="Q4417" i="1"/>
  <c r="Q4418" i="1" a="1"/>
  <c r="Q4418" i="1"/>
  <c r="Q4419" i="1" a="1"/>
  <c r="Q4419" i="1"/>
  <c r="Q4420" i="1" a="1"/>
  <c r="Q4420" i="1"/>
  <c r="Q4421" i="1" a="1"/>
  <c r="Q4421" i="1"/>
  <c r="Q4422" i="1" a="1"/>
  <c r="Q4422" i="1"/>
  <c r="Q4423" i="1" a="1"/>
  <c r="Q4423" i="1"/>
  <c r="Q4424" i="1" a="1"/>
  <c r="Q4424" i="1"/>
  <c r="Q4425" i="1" a="1"/>
  <c r="Q4425" i="1"/>
  <c r="Q4426" i="1" a="1"/>
  <c r="Q4426" i="1"/>
  <c r="Q4427" i="1" a="1"/>
  <c r="Q4427" i="1"/>
  <c r="Q4428" i="1" a="1"/>
  <c r="Q4428" i="1"/>
  <c r="Q4429" i="1" a="1"/>
  <c r="Q4429" i="1"/>
  <c r="Q4430" i="1" a="1"/>
  <c r="Q4430" i="1"/>
  <c r="Q4431" i="1" a="1"/>
  <c r="Q4431" i="1"/>
  <c r="Q4432" i="1" a="1"/>
  <c r="Q4432" i="1"/>
  <c r="Q4433" i="1" a="1"/>
  <c r="Q4433" i="1"/>
  <c r="Q4434" i="1" a="1"/>
  <c r="Q4434" i="1"/>
  <c r="Q4435" i="1" a="1"/>
  <c r="Q4435" i="1"/>
  <c r="Q4436" i="1" a="1"/>
  <c r="Q4436" i="1"/>
  <c r="Q4437" i="1" a="1"/>
  <c r="Q4437" i="1"/>
  <c r="Q4438" i="1" a="1"/>
  <c r="Q4438" i="1"/>
  <c r="Q4439" i="1" a="1"/>
  <c r="Q4439" i="1"/>
  <c r="Q4440" i="1" a="1"/>
  <c r="Q4440" i="1"/>
  <c r="Q4441" i="1" a="1"/>
  <c r="Q4441" i="1"/>
  <c r="Q4442" i="1" a="1"/>
  <c r="Q4442" i="1"/>
  <c r="Q4443" i="1" a="1"/>
  <c r="Q4443" i="1"/>
  <c r="Q4444" i="1" a="1"/>
  <c r="Q4444" i="1"/>
  <c r="Q4445" i="1" a="1"/>
  <c r="Q4445" i="1"/>
  <c r="Q4446" i="1" a="1"/>
  <c r="Q4446" i="1"/>
  <c r="Q4447" i="1" a="1"/>
  <c r="Q4447" i="1"/>
  <c r="Q4448" i="1" a="1"/>
  <c r="Q4448" i="1"/>
  <c r="Q4449" i="1" a="1"/>
  <c r="Q4449" i="1"/>
  <c r="Q4450" i="1" a="1"/>
  <c r="Q4450" i="1"/>
  <c r="Q4451" i="1" a="1"/>
  <c r="Q4451" i="1"/>
  <c r="Q4452" i="1" a="1"/>
  <c r="Q4452" i="1"/>
  <c r="Q4453" i="1" a="1"/>
  <c r="Q4453" i="1"/>
  <c r="Q4454" i="1" a="1"/>
  <c r="Q4454" i="1"/>
  <c r="Q4455" i="1" a="1"/>
  <c r="Q4455" i="1"/>
  <c r="Q4456" i="1" a="1"/>
  <c r="Q4456" i="1"/>
  <c r="Q4457" i="1" a="1"/>
  <c r="Q4457" i="1"/>
  <c r="Q4458" i="1" a="1"/>
  <c r="Q4458" i="1"/>
  <c r="Q4459" i="1" a="1"/>
  <c r="Q4459" i="1"/>
  <c r="Q4460" i="1" a="1"/>
  <c r="Q4460" i="1"/>
  <c r="Q4461" i="1" a="1"/>
  <c r="Q4461" i="1"/>
  <c r="Q4462" i="1" a="1"/>
  <c r="Q4462" i="1"/>
  <c r="Q4463" i="1" a="1"/>
  <c r="Q4463" i="1"/>
  <c r="Q4464" i="1" a="1"/>
  <c r="Q4464" i="1"/>
  <c r="Q4465" i="1" a="1"/>
  <c r="Q4465" i="1"/>
  <c r="Q4466" i="1" a="1"/>
  <c r="Q4466" i="1"/>
  <c r="Q4467" i="1" a="1"/>
  <c r="Q4467" i="1"/>
  <c r="Q4468" i="1" a="1"/>
  <c r="Q4468" i="1"/>
  <c r="Q4469" i="1" a="1"/>
  <c r="Q4469" i="1"/>
  <c r="Q4470" i="1" a="1"/>
  <c r="Q4470" i="1"/>
  <c r="Q4471" i="1" a="1"/>
  <c r="Q4471" i="1"/>
  <c r="Q4472" i="1" a="1"/>
  <c r="Q4472" i="1"/>
  <c r="Q4473" i="1" a="1"/>
  <c r="Q4473" i="1"/>
  <c r="Q4474" i="1" a="1"/>
  <c r="Q4474" i="1"/>
  <c r="Q4475" i="1" a="1"/>
  <c r="Q4475" i="1"/>
  <c r="Q4476" i="1" a="1"/>
  <c r="Q4476" i="1"/>
  <c r="Q4477" i="1" a="1"/>
  <c r="Q4477" i="1"/>
  <c r="Q4478" i="1" a="1"/>
  <c r="Q4478" i="1"/>
  <c r="Q4479" i="1" a="1"/>
  <c r="Q4479" i="1"/>
  <c r="Q4480" i="1" a="1"/>
  <c r="Q4480" i="1"/>
  <c r="Q4481" i="1" a="1"/>
  <c r="Q4481" i="1"/>
  <c r="Q4482" i="1" a="1"/>
  <c r="Q4482" i="1"/>
  <c r="Q4483" i="1" a="1"/>
  <c r="Q4483" i="1"/>
  <c r="Q4484" i="1" a="1"/>
  <c r="Q4484" i="1"/>
  <c r="Q4485" i="1" a="1"/>
  <c r="Q4485" i="1"/>
  <c r="Q4486" i="1" a="1"/>
  <c r="Q4486" i="1"/>
  <c r="Q4487" i="1" a="1"/>
  <c r="Q4487" i="1"/>
  <c r="Q4488" i="1" a="1"/>
  <c r="Q4488" i="1"/>
  <c r="Q4489" i="1" a="1"/>
  <c r="Q4489" i="1"/>
  <c r="Q4490" i="1" a="1"/>
  <c r="Q4490" i="1"/>
  <c r="Q4491" i="1" a="1"/>
  <c r="Q4491" i="1"/>
  <c r="Q4492" i="1" a="1"/>
  <c r="Q4492" i="1"/>
  <c r="Q4493" i="1" a="1"/>
  <c r="Q4493" i="1"/>
  <c r="Q4494" i="1" a="1"/>
  <c r="Q4494" i="1"/>
  <c r="Q4495" i="1" a="1"/>
  <c r="Q4495" i="1"/>
  <c r="Q4496" i="1" a="1"/>
  <c r="Q4496" i="1"/>
  <c r="Q4497" i="1" a="1"/>
  <c r="Q4497" i="1"/>
  <c r="Q4498" i="1" a="1"/>
  <c r="Q4498" i="1"/>
  <c r="Q4499" i="1" a="1"/>
  <c r="Q4499" i="1"/>
  <c r="Q4500" i="1" a="1"/>
  <c r="Q4500" i="1"/>
  <c r="Q4501" i="1" a="1"/>
  <c r="Q4501" i="1"/>
  <c r="Q4502" i="1" a="1"/>
  <c r="Q4502" i="1"/>
  <c r="Q4503" i="1" a="1"/>
  <c r="Q4504" i="1" a="1"/>
  <c r="Q4505" i="1" a="1"/>
  <c r="Q4506" i="1" a="1"/>
  <c r="Q4507" i="1" a="1"/>
  <c r="Q4508" i="1" a="1"/>
  <c r="Q4509" i="1" a="1"/>
  <c r="Q4510" i="1" a="1"/>
  <c r="Q4511" i="1" a="1"/>
  <c r="Q4512" i="1" a="1"/>
  <c r="Q4513" i="1" a="1"/>
  <c r="Q4514" i="1" a="1"/>
  <c r="Q4515" i="1" a="1"/>
  <c r="Q4516" i="1" a="1"/>
  <c r="Q4517" i="1" a="1"/>
  <c r="Q4518" i="1" a="1"/>
  <c r="Q4519" i="1" a="1"/>
  <c r="Q4520" i="1" a="1"/>
  <c r="Q4521" i="1" a="1"/>
  <c r="Q4522" i="1" a="1"/>
  <c r="Q4523" i="1" a="1"/>
  <c r="Q4524" i="1" a="1"/>
  <c r="Q4525" i="1" a="1"/>
  <c r="Q4526" i="1" a="1"/>
  <c r="Q4527" i="1" a="1"/>
  <c r="Q4528" i="1" a="1"/>
  <c r="Q4529" i="1" a="1"/>
  <c r="Q4530" i="1" a="1"/>
  <c r="Q4531" i="1" a="1"/>
  <c r="Q4532" i="1" a="1"/>
  <c r="Q4533" i="1" a="1"/>
  <c r="Q4534" i="1" a="1"/>
  <c r="Q4535" i="1" a="1"/>
  <c r="Q4536" i="1" a="1"/>
  <c r="Q4537" i="1" a="1"/>
  <c r="Q4538" i="1" a="1"/>
  <c r="Q4539" i="1" a="1"/>
  <c r="Q4540" i="1" a="1"/>
  <c r="Q4541" i="1" a="1"/>
  <c r="Q4542" i="1" a="1"/>
  <c r="Q4543" i="1" a="1"/>
  <c r="Q4544" i="1" a="1"/>
  <c r="Q4544" i="1"/>
  <c r="Q4545" i="1" a="1"/>
  <c r="Q4546" i="1" a="1"/>
  <c r="Q4547" i="1" a="1"/>
  <c r="Q4548" i="1" a="1"/>
  <c r="Q4549" i="1" a="1"/>
  <c r="Q4550" i="1" a="1"/>
  <c r="Q4551" i="1" a="1"/>
  <c r="Q4552" i="1" a="1"/>
  <c r="Q4553" i="1" a="1"/>
  <c r="Q4554" i="1" a="1"/>
  <c r="Q4555" i="1" a="1"/>
  <c r="Q4556" i="1" a="1"/>
  <c r="Q4557" i="1" a="1"/>
  <c r="Q4558" i="1" a="1"/>
  <c r="Q4559" i="1" a="1"/>
  <c r="Q4560" i="1" a="1"/>
  <c r="Q4561" i="1" a="1"/>
  <c r="Q4562" i="1" a="1"/>
  <c r="Q4563" i="1" a="1"/>
  <c r="Q4564" i="1" a="1"/>
  <c r="Q4565" i="1" a="1"/>
  <c r="Q4566" i="1" a="1"/>
  <c r="Q4567" i="1" a="1"/>
  <c r="Q4568" i="1" a="1"/>
  <c r="Q4569" i="1" a="1"/>
  <c r="Q4570" i="1" a="1"/>
  <c r="Q4571" i="1" a="1"/>
  <c r="Q4572" i="1" a="1"/>
  <c r="Q4573" i="1" a="1"/>
  <c r="Q4574" i="1" a="1"/>
  <c r="Q4575" i="1" a="1"/>
  <c r="Q4576" i="1" a="1"/>
  <c r="Q4577" i="1" a="1"/>
  <c r="Q4578" i="1" a="1"/>
  <c r="Q4579" i="1" a="1"/>
  <c r="Q4580" i="1" a="1"/>
  <c r="Q4581" i="1" a="1"/>
  <c r="Q4582" i="1" a="1"/>
  <c r="Q4583" i="1" a="1"/>
  <c r="Q4584" i="1" a="1"/>
  <c r="Q4585" i="1" a="1"/>
  <c r="Q4586" i="1" a="1"/>
  <c r="Q4587" i="1" a="1"/>
  <c r="Q4588" i="1" a="1"/>
  <c r="Q4589" i="1" a="1"/>
  <c r="Q4590" i="1" a="1"/>
  <c r="Q4591" i="1" a="1"/>
  <c r="Q4592" i="1" a="1"/>
  <c r="Q4593" i="1" a="1"/>
  <c r="Q4594" i="1" a="1"/>
  <c r="Q4595" i="1" a="1"/>
  <c r="Q4596" i="1" a="1"/>
  <c r="Q4597" i="1" a="1"/>
  <c r="Q4598" i="1" a="1"/>
  <c r="Q4599" i="1" a="1"/>
  <c r="Q4600" i="1" a="1"/>
  <c r="Q4601" i="1" a="1"/>
  <c r="Q4602" i="1" a="1"/>
  <c r="Q4603" i="1" a="1"/>
  <c r="Q4604" i="1" a="1"/>
  <c r="Q4605" i="1" a="1"/>
  <c r="Q4606" i="1" a="1"/>
  <c r="Q4607" i="1" a="1"/>
  <c r="Q4608" i="1" a="1"/>
  <c r="Q4609" i="1" a="1"/>
  <c r="Q4610" i="1" a="1"/>
  <c r="Q4611" i="1" a="1"/>
  <c r="Q4612" i="1" a="1"/>
  <c r="Q4613" i="1" a="1"/>
  <c r="Q4614" i="1" a="1"/>
  <c r="Q4615" i="1" a="1"/>
  <c r="Q4616" i="1" a="1"/>
  <c r="Q4617" i="1" a="1"/>
  <c r="Q4618" i="1" a="1"/>
  <c r="Q4619" i="1" a="1"/>
  <c r="Q4620" i="1" a="1"/>
  <c r="Q4621" i="1" a="1"/>
  <c r="Q4622" i="1" a="1"/>
  <c r="Q4623" i="1" a="1"/>
  <c r="Q4624" i="1" a="1"/>
  <c r="Q4625" i="1" a="1"/>
  <c r="Q4626" i="1" a="1"/>
  <c r="Q4627" i="1" a="1"/>
  <c r="Q4628" i="1" a="1"/>
  <c r="Q4629" i="1" a="1"/>
  <c r="Q4630" i="1" a="1"/>
  <c r="Q4631" i="1" a="1"/>
  <c r="Q4632" i="1" a="1"/>
  <c r="Q4633" i="1" a="1"/>
  <c r="Q4634" i="1" a="1"/>
  <c r="Q4635" i="1" a="1"/>
  <c r="Q4636" i="1" a="1"/>
  <c r="Q4637" i="1" a="1"/>
  <c r="Q4638" i="1" a="1"/>
  <c r="Q4639" i="1" a="1"/>
  <c r="Q4640" i="1" a="1"/>
  <c r="Q4641" i="1" a="1"/>
  <c r="Q4642" i="1" a="1"/>
  <c r="Q4643" i="1" a="1"/>
  <c r="Q4644" i="1" a="1"/>
  <c r="Q4645" i="1" a="1"/>
  <c r="Q4646" i="1" a="1"/>
  <c r="Q4647" i="1" a="1"/>
  <c r="Q4648" i="1" a="1"/>
  <c r="Q4649" i="1" a="1"/>
  <c r="Q4650" i="1" a="1"/>
  <c r="Q4651" i="1" a="1"/>
  <c r="Q4652" i="1" a="1"/>
  <c r="Q4653" i="1" a="1"/>
  <c r="Q4654" i="1" a="1"/>
  <c r="Q4655" i="1" a="1"/>
  <c r="Q4656" i="1" a="1"/>
  <c r="Q4657" i="1" a="1"/>
  <c r="Q4658" i="1" a="1"/>
  <c r="Q4659" i="1" a="1"/>
  <c r="Q4660" i="1" a="1"/>
  <c r="Q4661" i="1" a="1"/>
  <c r="Q4662" i="1" a="1"/>
  <c r="Q4663" i="1" a="1"/>
  <c r="Q4664" i="1" a="1"/>
  <c r="Q4665" i="1" a="1"/>
  <c r="Q4666" i="1" a="1"/>
  <c r="Q4667" i="1" a="1"/>
  <c r="Q4668" i="1" a="1"/>
  <c r="Q4669" i="1" a="1"/>
  <c r="Q4670" i="1" a="1"/>
  <c r="Q4671" i="1" a="1"/>
  <c r="Q4672" i="1" a="1"/>
  <c r="Q4673" i="1" a="1"/>
  <c r="Q4674" i="1" a="1"/>
  <c r="Q4675" i="1" a="1"/>
  <c r="Q4676" i="1" a="1"/>
  <c r="Q4677" i="1" a="1"/>
  <c r="Q4678" i="1" a="1"/>
  <c r="Q4679" i="1" a="1"/>
  <c r="Q4680" i="1" a="1"/>
  <c r="Q4681" i="1" a="1"/>
  <c r="Q4682" i="1" a="1"/>
  <c r="Q4683" i="1" a="1"/>
  <c r="Q4684" i="1" a="1"/>
  <c r="Q4685" i="1" a="1"/>
  <c r="Q4686" i="1" a="1"/>
  <c r="Q4687" i="1" a="1"/>
  <c r="Q4688" i="1" a="1"/>
  <c r="Q4689" i="1" a="1"/>
  <c r="Q4690" i="1" a="1"/>
  <c r="Q4691" i="1" a="1"/>
  <c r="Q4692" i="1" a="1"/>
  <c r="Q4693" i="1" a="1"/>
  <c r="Q4694" i="1" a="1"/>
  <c r="Q4695" i="1" a="1"/>
  <c r="Q4696" i="1" a="1"/>
  <c r="Q4697" i="1" a="1"/>
  <c r="Q4698" i="1" a="1"/>
  <c r="Q4699" i="1" a="1"/>
  <c r="Q4700" i="1" a="1"/>
  <c r="Q4701" i="1" a="1"/>
  <c r="Q4702" i="1" a="1"/>
  <c r="Q4703" i="1" a="1"/>
  <c r="Q4704" i="1" a="1"/>
  <c r="Q4705" i="1" a="1"/>
  <c r="Q4706" i="1" a="1"/>
  <c r="Q4707" i="1" a="1"/>
  <c r="Q4708" i="1" a="1"/>
  <c r="Q4709" i="1" a="1"/>
  <c r="Q4710" i="1" a="1"/>
  <c r="Q4711" i="1" a="1"/>
  <c r="Q4712" i="1" a="1"/>
  <c r="Q4713" i="1" a="1"/>
  <c r="Q4714" i="1" a="1"/>
  <c r="Q4715" i="1" a="1"/>
  <c r="Q4716" i="1" a="1"/>
  <c r="Q4717" i="1" a="1"/>
  <c r="Q4718" i="1" a="1"/>
  <c r="Q4719" i="1" a="1"/>
  <c r="Q4720" i="1" a="1"/>
  <c r="Q4721" i="1" a="1"/>
  <c r="Q4722" i="1" a="1"/>
  <c r="Q4723" i="1" a="1"/>
  <c r="Q4724" i="1" a="1"/>
  <c r="Q4725" i="1" a="1"/>
  <c r="Q4726" i="1" a="1"/>
  <c r="Q4727" i="1" a="1"/>
  <c r="Q4728" i="1" a="1"/>
  <c r="Q4729" i="1" a="1"/>
  <c r="Q4730" i="1" a="1"/>
  <c r="Q4731" i="1" a="1"/>
  <c r="Q4732" i="1" a="1"/>
  <c r="Q4733" i="1" a="1"/>
  <c r="Q4734" i="1" a="1"/>
  <c r="Q4735" i="1" a="1"/>
  <c r="Q4736" i="1" a="1"/>
  <c r="Q4737" i="1" a="1"/>
  <c r="Q4738" i="1" a="1"/>
  <c r="Q4739" i="1" a="1"/>
  <c r="Q4740" i="1" a="1"/>
  <c r="Q4741" i="1" a="1"/>
  <c r="Q4742" i="1" a="1"/>
  <c r="Q4743" i="1" a="1"/>
  <c r="Q4744" i="1" a="1"/>
  <c r="Q4745" i="1" a="1"/>
  <c r="Q4746" i="1" a="1"/>
  <c r="Q4747" i="1" a="1"/>
  <c r="Q4748" i="1" a="1"/>
  <c r="Q4749" i="1" a="1"/>
  <c r="Q4750" i="1" a="1"/>
  <c r="Q4751" i="1" a="1"/>
  <c r="Q4752" i="1" a="1"/>
  <c r="Q4753" i="1" a="1"/>
  <c r="Q4754" i="1" a="1"/>
  <c r="Q4755" i="1" a="1"/>
  <c r="Q4756" i="1" a="1"/>
  <c r="Q4757" i="1" a="1"/>
  <c r="Q4758" i="1" a="1"/>
  <c r="Q4759" i="1" a="1"/>
  <c r="Q4760" i="1" a="1"/>
  <c r="Q4761" i="1" a="1"/>
  <c r="Q4762" i="1" a="1"/>
  <c r="Q4763" i="1" a="1"/>
  <c r="Q4764" i="1" a="1"/>
  <c r="Q4765" i="1" a="1"/>
  <c r="Q4766" i="1" a="1"/>
  <c r="Q4767" i="1" a="1"/>
  <c r="Q4768" i="1" a="1"/>
  <c r="Q4769" i="1" a="1"/>
  <c r="Q4770" i="1" a="1"/>
  <c r="Q4771" i="1" a="1"/>
  <c r="Q4772" i="1" a="1"/>
  <c r="Q4773" i="1" a="1"/>
  <c r="Q4774" i="1" a="1"/>
  <c r="Q4775" i="1" a="1"/>
  <c r="Q4776" i="1" a="1"/>
  <c r="Q4777" i="1" a="1"/>
  <c r="Q4778" i="1" a="1"/>
  <c r="Q4779" i="1" a="1"/>
  <c r="Q4780" i="1" a="1"/>
  <c r="Q4781" i="1" a="1"/>
  <c r="Q4782" i="1" a="1"/>
  <c r="Q4783" i="1" a="1"/>
  <c r="Q4784" i="1" a="1"/>
  <c r="Q4785" i="1" a="1"/>
  <c r="Q4786" i="1" a="1"/>
  <c r="Q4787" i="1" a="1"/>
  <c r="Q4788" i="1" a="1"/>
  <c r="Q4789" i="1" a="1"/>
  <c r="Q4790" i="1" a="1"/>
  <c r="Q4791" i="1" a="1"/>
  <c r="Q4792" i="1" a="1"/>
  <c r="Q4793" i="1" a="1"/>
  <c r="Q4794" i="1" a="1"/>
  <c r="Q4795" i="1" a="1"/>
  <c r="Q4796" i="1" a="1"/>
  <c r="Q4797" i="1" a="1"/>
  <c r="Q4798" i="1" a="1"/>
  <c r="Q4799" i="1" a="1"/>
  <c r="Q4800" i="1" a="1"/>
  <c r="Q4801" i="1" a="1"/>
  <c r="Q4802" i="1" a="1"/>
  <c r="Q4803" i="1" a="1"/>
  <c r="Q4804" i="1" a="1"/>
  <c r="Q4805" i="1" a="1"/>
  <c r="Q4806" i="1" a="1"/>
  <c r="Q4807" i="1" a="1"/>
  <c r="Q4808" i="1" a="1"/>
  <c r="Q4809" i="1" a="1"/>
  <c r="Q4810" i="1" a="1"/>
  <c r="Q4811" i="1" a="1"/>
  <c r="Q4812" i="1" a="1"/>
  <c r="Q4813" i="1" a="1"/>
  <c r="Q4814" i="1" a="1"/>
  <c r="Q4815" i="1" a="1"/>
  <c r="Q4816" i="1" a="1"/>
  <c r="Q4817" i="1" a="1"/>
  <c r="Q4818" i="1" a="1"/>
  <c r="Q4819" i="1" a="1"/>
  <c r="Q4820" i="1" a="1"/>
  <c r="Q4821" i="1" a="1"/>
  <c r="Q4822" i="1" a="1"/>
  <c r="Q4823" i="1" a="1"/>
  <c r="Q4824" i="1" a="1"/>
  <c r="Q4825" i="1" a="1"/>
  <c r="Q4826" i="1" a="1"/>
  <c r="Q4827" i="1" a="1"/>
  <c r="Q4828" i="1" a="1"/>
  <c r="Q4829" i="1" a="1"/>
  <c r="Q4830" i="1" a="1"/>
  <c r="Q4831" i="1" a="1"/>
  <c r="Q4831" i="1"/>
  <c r="Q4832" i="1" a="1"/>
  <c r="Q4832" i="1"/>
  <c r="Q4833" i="1" a="1"/>
  <c r="Q4833" i="1"/>
  <c r="Q4834" i="1" a="1"/>
  <c r="Q4834" i="1"/>
  <c r="Q4835" i="1" a="1"/>
  <c r="Q4835" i="1"/>
  <c r="Q4836" i="1" a="1"/>
  <c r="Q4836" i="1"/>
  <c r="Q4837" i="1" a="1"/>
  <c r="Q4837" i="1"/>
  <c r="Q4838" i="1" a="1"/>
  <c r="Q4838" i="1"/>
  <c r="Q4839" i="1" a="1"/>
  <c r="Q4839" i="1"/>
  <c r="Q4840" i="1" a="1"/>
  <c r="Q4840" i="1"/>
  <c r="Q4841" i="1" a="1"/>
  <c r="Q4841" i="1"/>
  <c r="Q4842" i="1" a="1"/>
  <c r="Q4842" i="1"/>
  <c r="Q4843" i="1" a="1"/>
  <c r="Q4843" i="1"/>
  <c r="Q4844" i="1" a="1"/>
  <c r="Q4844" i="1"/>
  <c r="Q4845" i="1" a="1"/>
  <c r="Q4845" i="1"/>
  <c r="Q4846" i="1" a="1"/>
  <c r="Q4846" i="1"/>
  <c r="Q4847" i="1" a="1"/>
  <c r="Q4847" i="1"/>
  <c r="Q4848" i="1" a="1"/>
  <c r="Q4848" i="1"/>
  <c r="Q4849" i="1" a="1"/>
  <c r="Q4849" i="1"/>
  <c r="Q4850" i="1" a="1"/>
  <c r="Q4850" i="1"/>
  <c r="Q4851" i="1" a="1"/>
  <c r="Q4851" i="1"/>
  <c r="Q4852" i="1" a="1"/>
  <c r="Q4852" i="1"/>
  <c r="Q4853" i="1" a="1"/>
  <c r="Q4853" i="1"/>
  <c r="Q4854" i="1" a="1"/>
  <c r="Q4854" i="1"/>
  <c r="Q4855" i="1" a="1"/>
  <c r="Q4855" i="1"/>
  <c r="Q4856" i="1" a="1"/>
  <c r="Q4856" i="1"/>
  <c r="Q4857" i="1" a="1"/>
  <c r="Q4857" i="1"/>
  <c r="Q4858" i="1" a="1"/>
  <c r="Q4858" i="1"/>
  <c r="Q4859" i="1" a="1"/>
  <c r="Q4859" i="1"/>
  <c r="Q4860" i="1" a="1"/>
  <c r="Q4860" i="1"/>
  <c r="Q4861" i="1" a="1"/>
  <c r="Q4861" i="1"/>
  <c r="Q4862" i="1" a="1"/>
  <c r="Q4862" i="1"/>
  <c r="Q4863" i="1" a="1"/>
  <c r="Q4863" i="1"/>
  <c r="Q4864" i="1" a="1"/>
  <c r="Q4864" i="1"/>
  <c r="Q4865" i="1" a="1"/>
  <c r="Q4865" i="1"/>
  <c r="Q4866" i="1" a="1"/>
  <c r="Q4866" i="1"/>
  <c r="Q4867" i="1" a="1"/>
  <c r="Q4867" i="1"/>
  <c r="Q4868" i="1" a="1"/>
  <c r="Q4868" i="1"/>
  <c r="Q4869" i="1" a="1"/>
  <c r="Q4869" i="1"/>
  <c r="Q4870" i="1" a="1"/>
  <c r="Q4870" i="1"/>
  <c r="Q4871" i="1" a="1"/>
  <c r="Q4871" i="1"/>
  <c r="Q4872" i="1" a="1"/>
  <c r="Q4872" i="1"/>
  <c r="Q4873" i="1" a="1"/>
  <c r="Q4873" i="1"/>
  <c r="Q4874" i="1" a="1"/>
  <c r="Q4874" i="1"/>
  <c r="Q4875" i="1" a="1"/>
  <c r="Q4875" i="1"/>
  <c r="Q4876" i="1" a="1"/>
  <c r="Q4876" i="1"/>
  <c r="Q4877" i="1" a="1"/>
  <c r="Q4877" i="1"/>
  <c r="Q4878" i="1" a="1"/>
  <c r="Q4878" i="1"/>
  <c r="Q4879" i="1" a="1"/>
  <c r="Q4879" i="1"/>
  <c r="Q4880" i="1" a="1"/>
  <c r="Q4880" i="1"/>
  <c r="Q4881" i="1" a="1"/>
  <c r="Q4881" i="1"/>
  <c r="Q4882" i="1" a="1"/>
  <c r="Q4882" i="1"/>
  <c r="Q4883" i="1" a="1"/>
  <c r="Q4883" i="1"/>
  <c r="Q4884" i="1" a="1"/>
  <c r="Q4884" i="1"/>
  <c r="Q4885" i="1" a="1"/>
  <c r="Q4885" i="1"/>
  <c r="Q4886" i="1" a="1"/>
  <c r="Q4886" i="1"/>
  <c r="Q4887" i="1" a="1"/>
  <c r="Q4887" i="1"/>
  <c r="Q4888" i="1" a="1"/>
  <c r="Q4888" i="1"/>
  <c r="Q4889" i="1" a="1"/>
  <c r="Q4889" i="1"/>
  <c r="Q4890" i="1" a="1"/>
  <c r="Q4890" i="1"/>
  <c r="Q4891" i="1" a="1"/>
  <c r="Q4891" i="1"/>
  <c r="Q4892" i="1" a="1"/>
  <c r="Q4892" i="1"/>
  <c r="Q4893" i="1" a="1"/>
  <c r="Q4893" i="1"/>
  <c r="Q4894" i="1" a="1"/>
  <c r="Q4894" i="1"/>
  <c r="Q4895" i="1" a="1"/>
  <c r="Q4895" i="1"/>
  <c r="Q4896" i="1" a="1"/>
  <c r="Q4896" i="1"/>
  <c r="Q4897" i="1" a="1"/>
  <c r="Q4897" i="1"/>
  <c r="Q4898" i="1" a="1"/>
  <c r="Q4898" i="1"/>
  <c r="Q4899" i="1" a="1"/>
  <c r="Q4899" i="1"/>
  <c r="Q4900" i="1" a="1"/>
  <c r="Q4900" i="1"/>
  <c r="Q4901" i="1" a="1"/>
  <c r="Q4901" i="1"/>
  <c r="Q4902" i="1" a="1"/>
  <c r="Q4902" i="1"/>
  <c r="Q4903" i="1" a="1"/>
  <c r="Q4903" i="1"/>
  <c r="Q4904" i="1" a="1"/>
  <c r="Q4904" i="1"/>
  <c r="Q4905" i="1" a="1"/>
  <c r="Q4905" i="1"/>
  <c r="Q4906" i="1" a="1"/>
  <c r="Q4906" i="1"/>
  <c r="Q4907" i="1" a="1"/>
  <c r="Q4907" i="1"/>
  <c r="Q4908" i="1" a="1"/>
  <c r="Q4908" i="1"/>
  <c r="Q4909" i="1" a="1"/>
  <c r="Q4909" i="1"/>
  <c r="Q4910" i="1" a="1"/>
  <c r="Q4910" i="1"/>
  <c r="Q4911" i="1" a="1"/>
  <c r="Q4911" i="1"/>
  <c r="Q4912" i="1" a="1"/>
  <c r="Q4912" i="1"/>
  <c r="Q4913" i="1" a="1"/>
  <c r="Q4913" i="1"/>
  <c r="Q4914" i="1" a="1"/>
  <c r="Q4914" i="1"/>
  <c r="Q4915" i="1" a="1"/>
  <c r="Q4915" i="1"/>
  <c r="Q4916" i="1" a="1"/>
  <c r="Q4916" i="1"/>
  <c r="Q4917" i="1" a="1"/>
  <c r="Q4917" i="1"/>
  <c r="Q4918" i="1" a="1"/>
  <c r="Q4918" i="1"/>
  <c r="Q4919" i="1" a="1"/>
  <c r="Q4919" i="1"/>
  <c r="Q4920" i="1" a="1"/>
  <c r="Q4920" i="1"/>
  <c r="Q4921" i="1" a="1"/>
  <c r="Q4921" i="1"/>
  <c r="Q4922" i="1" a="1"/>
  <c r="Q4922" i="1"/>
  <c r="Q4923" i="1" a="1"/>
  <c r="Q4923" i="1"/>
  <c r="Q4924" i="1" a="1"/>
  <c r="Q4924" i="1"/>
  <c r="Q4925" i="1" a="1"/>
  <c r="Q4925" i="1"/>
  <c r="Q4926" i="1" a="1"/>
  <c r="Q4926" i="1"/>
  <c r="Q4927" i="1" a="1"/>
  <c r="Q4927" i="1"/>
  <c r="Q4928" i="1" a="1"/>
  <c r="Q4928" i="1"/>
  <c r="Q4929" i="1" a="1"/>
  <c r="Q4929" i="1"/>
  <c r="Q4930" i="1" a="1"/>
  <c r="Q4930" i="1"/>
  <c r="Q4931" i="1" a="1"/>
  <c r="Q4931" i="1"/>
  <c r="Q4932" i="1" a="1"/>
  <c r="Q4932" i="1"/>
  <c r="Q4933" i="1" a="1"/>
  <c r="Q4933" i="1"/>
  <c r="Q4934" i="1" a="1"/>
  <c r="Q4934" i="1"/>
  <c r="Q4935" i="1" a="1"/>
  <c r="Q4935" i="1"/>
  <c r="Q4936" i="1" a="1"/>
  <c r="Q4936" i="1"/>
  <c r="Q4937" i="1" a="1"/>
  <c r="Q4937" i="1"/>
  <c r="Q4938" i="1" a="1"/>
  <c r="Q4938" i="1"/>
  <c r="Q4939" i="1" a="1"/>
  <c r="Q4939" i="1"/>
  <c r="Q4940" i="1" a="1"/>
  <c r="Q4940" i="1"/>
  <c r="Q4941" i="1" a="1"/>
  <c r="Q4941" i="1"/>
  <c r="Q4942" i="1" a="1"/>
  <c r="Q4942" i="1"/>
  <c r="Q4943" i="1" a="1"/>
  <c r="Q4943" i="1"/>
  <c r="Q4944" i="1" a="1"/>
  <c r="Q4944" i="1"/>
  <c r="Q4945" i="1" a="1"/>
  <c r="Q4945" i="1"/>
  <c r="Q4946" i="1" a="1"/>
  <c r="Q4946" i="1"/>
  <c r="Q4947" i="1" a="1"/>
  <c r="Q4947" i="1"/>
  <c r="Q4948" i="1" a="1"/>
  <c r="Q4948" i="1"/>
  <c r="Q4949" i="1" a="1"/>
  <c r="Q4949" i="1"/>
  <c r="Q4950" i="1" a="1"/>
  <c r="Q4950" i="1"/>
  <c r="Q4951" i="1" a="1"/>
  <c r="Q4951" i="1"/>
  <c r="Q4952" i="1" a="1"/>
  <c r="Q4952" i="1"/>
  <c r="Q4953" i="1" a="1"/>
  <c r="Q4953" i="1"/>
  <c r="Q4954" i="1" a="1"/>
  <c r="Q4954" i="1"/>
  <c r="Q4955" i="1" a="1"/>
  <c r="Q4955" i="1"/>
  <c r="Q4956" i="1" a="1"/>
  <c r="Q4956" i="1"/>
  <c r="Q4957" i="1" a="1"/>
  <c r="Q4957" i="1"/>
  <c r="Q4958" i="1" a="1"/>
  <c r="Q4958" i="1"/>
  <c r="Q4959" i="1" a="1"/>
  <c r="Q4959" i="1"/>
  <c r="Q4960" i="1" a="1"/>
  <c r="Q4960" i="1"/>
  <c r="Q4961" i="1" a="1"/>
  <c r="Q4961" i="1"/>
  <c r="Q4962" i="1" a="1"/>
  <c r="Q4962" i="1"/>
  <c r="Q4963" i="1" a="1"/>
  <c r="Q4963" i="1"/>
  <c r="Q4964" i="1" a="1"/>
  <c r="Q4964" i="1"/>
  <c r="Q4965" i="1" a="1"/>
  <c r="Q4965" i="1"/>
  <c r="Q4966" i="1" a="1"/>
  <c r="Q4966" i="1"/>
  <c r="Q4967" i="1" a="1"/>
  <c r="Q4967" i="1"/>
  <c r="Q4968" i="1" a="1"/>
  <c r="Q4968" i="1"/>
  <c r="Q4969" i="1" a="1"/>
  <c r="Q4969" i="1"/>
  <c r="Q4970" i="1" a="1"/>
  <c r="Q4970" i="1"/>
  <c r="Q4971" i="1" a="1"/>
  <c r="Q4971" i="1"/>
  <c r="Q4972" i="1" a="1"/>
  <c r="Q4972" i="1"/>
  <c r="Q4973" i="1" a="1"/>
  <c r="Q4973" i="1"/>
  <c r="Q4974" i="1" a="1"/>
  <c r="Q4974" i="1"/>
  <c r="Q4975" i="1" a="1"/>
  <c r="Q4975" i="1"/>
  <c r="Q4976" i="1" a="1"/>
  <c r="Q4976" i="1"/>
  <c r="Q4977" i="1" a="1"/>
  <c r="Q4977" i="1"/>
  <c r="Q4978" i="1" a="1"/>
  <c r="Q4978" i="1"/>
  <c r="Q4979" i="1" a="1"/>
  <c r="Q4979" i="1"/>
  <c r="Q4980" i="1" a="1"/>
  <c r="Q4980" i="1"/>
  <c r="Q4981" i="1" a="1"/>
  <c r="Q4981" i="1"/>
  <c r="Q4982" i="1" a="1"/>
  <c r="Q4982" i="1"/>
  <c r="Q4983" i="1" a="1"/>
  <c r="Q4983" i="1"/>
  <c r="Q4984" i="1" a="1"/>
  <c r="Q4984" i="1"/>
  <c r="Q4985" i="1" a="1"/>
  <c r="Q4985" i="1"/>
  <c r="Q4986" i="1" a="1"/>
  <c r="Q4986" i="1"/>
  <c r="Q4987" i="1" a="1"/>
  <c r="Q4987" i="1"/>
  <c r="Q4988" i="1" a="1"/>
  <c r="Q4988" i="1"/>
  <c r="Q4989" i="1" a="1"/>
  <c r="Q4989" i="1"/>
  <c r="Q4990" i="1" a="1"/>
  <c r="Q4990" i="1"/>
  <c r="Q4991" i="1" a="1"/>
  <c r="Q4991" i="1"/>
  <c r="Q4992" i="1" a="1"/>
  <c r="Q4992" i="1"/>
  <c r="Q4993" i="1" a="1"/>
  <c r="Q4993" i="1"/>
  <c r="Q4994" i="1" a="1"/>
  <c r="Q4994" i="1"/>
  <c r="Q4995" i="1" a="1"/>
  <c r="Q4995" i="1"/>
  <c r="Q4996" i="1" a="1"/>
  <c r="Q4996" i="1"/>
  <c r="Q4997" i="1" a="1"/>
  <c r="Q4997" i="1"/>
  <c r="Q4998" i="1" a="1"/>
  <c r="Q4998" i="1"/>
  <c r="Q4999" i="1" a="1"/>
  <c r="Q4999" i="1"/>
  <c r="Q5000" i="1" a="1"/>
  <c r="Q5000" i="1"/>
  <c r="Q5001" i="1" a="1"/>
  <c r="Q5001" i="1"/>
  <c r="Q5002" i="1" a="1"/>
  <c r="Q5002" i="1"/>
  <c r="Q5003" i="1" a="1"/>
  <c r="Q5003" i="1"/>
  <c r="Q5004" i="1" a="1"/>
  <c r="Q5004" i="1"/>
  <c r="Q5005" i="1" a="1"/>
  <c r="Q5005" i="1"/>
  <c r="Q5006" i="1" a="1"/>
  <c r="Q5006" i="1"/>
  <c r="Q5007" i="1" a="1"/>
  <c r="Q5007" i="1"/>
  <c r="Q5008" i="1" a="1"/>
  <c r="Q5008" i="1"/>
  <c r="Q5009" i="1" a="1"/>
  <c r="Q5009" i="1"/>
  <c r="Q5010" i="1" a="1"/>
  <c r="Q5010" i="1"/>
  <c r="Q5011" i="1" a="1"/>
  <c r="Q5011" i="1"/>
  <c r="Q5012" i="1" a="1"/>
  <c r="Q5012" i="1"/>
  <c r="Q5013" i="1" a="1"/>
  <c r="Q5013" i="1"/>
  <c r="Q5014" i="1" a="1"/>
  <c r="Q5014" i="1"/>
  <c r="Q5015" i="1" a="1"/>
  <c r="Q5015" i="1"/>
  <c r="Q5016" i="1" a="1"/>
  <c r="Q5016" i="1"/>
  <c r="Q5017" i="1" a="1"/>
  <c r="Q5017" i="1"/>
  <c r="Q5018" i="1" a="1"/>
  <c r="Q5018" i="1"/>
  <c r="Q5019" i="1" a="1"/>
  <c r="Q5019" i="1"/>
  <c r="Q5020" i="1" a="1"/>
  <c r="Q5020" i="1"/>
  <c r="Q5021" i="1" a="1"/>
  <c r="Q5021" i="1"/>
  <c r="Q5022" i="1" a="1"/>
  <c r="Q5022" i="1"/>
  <c r="Q5023" i="1" a="1"/>
  <c r="Q5023" i="1"/>
  <c r="Q5024" i="1" a="1"/>
  <c r="Q5024" i="1"/>
  <c r="Q5025" i="1" a="1"/>
  <c r="Q5025" i="1"/>
  <c r="Q5026" i="1" a="1"/>
  <c r="Q5026" i="1"/>
  <c r="Q5027" i="1" a="1"/>
  <c r="Q5027" i="1"/>
  <c r="Q5028" i="1" a="1"/>
  <c r="Q5028" i="1"/>
  <c r="Q5029" i="1" a="1"/>
  <c r="Q5029" i="1"/>
  <c r="Q5030" i="1" a="1"/>
  <c r="Q5030" i="1"/>
  <c r="Q5031" i="1" a="1"/>
  <c r="Q5031" i="1"/>
  <c r="Q5032" i="1" a="1"/>
  <c r="Q5032" i="1"/>
  <c r="Q5033" i="1" a="1"/>
  <c r="Q5033" i="1"/>
  <c r="Q5034" i="1" a="1"/>
  <c r="Q5034" i="1"/>
  <c r="Q5035" i="1" a="1"/>
  <c r="Q5035" i="1"/>
  <c r="Q5036" i="1" a="1"/>
  <c r="Q5036" i="1"/>
  <c r="Q5037" i="1" a="1"/>
  <c r="Q5037" i="1"/>
  <c r="Q5038" i="1" a="1"/>
  <c r="Q5038" i="1"/>
  <c r="Q5039" i="1" a="1"/>
  <c r="Q5039" i="1"/>
  <c r="Q5040" i="1" a="1"/>
  <c r="Q5040" i="1"/>
  <c r="Q5041" i="1" a="1"/>
  <c r="Q5041" i="1"/>
  <c r="Q5042" i="1" a="1"/>
  <c r="Q5042" i="1"/>
  <c r="Q5043" i="1" a="1"/>
  <c r="Q5043" i="1"/>
  <c r="Q5044" i="1" a="1"/>
  <c r="Q5044" i="1"/>
  <c r="Q5045" i="1" a="1"/>
  <c r="Q5045" i="1"/>
  <c r="Q5046" i="1" a="1"/>
  <c r="Q5046" i="1"/>
  <c r="Q5047" i="1" a="1"/>
  <c r="Q5047" i="1"/>
  <c r="Q5048" i="1" a="1"/>
  <c r="Q5048" i="1"/>
  <c r="Q5049" i="1" a="1"/>
  <c r="Q5049" i="1"/>
  <c r="Q5050" i="1" a="1"/>
  <c r="Q5050" i="1"/>
  <c r="Q5051" i="1" a="1"/>
  <c r="Q5051" i="1"/>
  <c r="Q5052" i="1" a="1"/>
  <c r="Q5052" i="1"/>
  <c r="Q5053" i="1" a="1"/>
  <c r="Q5053" i="1"/>
  <c r="Q5054" i="1" a="1"/>
  <c r="Q5054" i="1"/>
  <c r="Q5055" i="1" a="1"/>
  <c r="Q5055" i="1"/>
  <c r="Q5056" i="1" a="1"/>
  <c r="Q5056" i="1"/>
  <c r="Q5057" i="1" a="1"/>
  <c r="Q5057" i="1"/>
  <c r="Q5058" i="1" a="1"/>
  <c r="Q5058" i="1"/>
  <c r="Q5059" i="1" a="1"/>
  <c r="Q5059" i="1"/>
  <c r="Q5060" i="1" a="1"/>
  <c r="Q5060" i="1"/>
  <c r="Q5061" i="1" a="1"/>
  <c r="Q5061" i="1"/>
  <c r="Q5062" i="1" a="1"/>
  <c r="Q5062" i="1"/>
  <c r="Q5063" i="1" a="1"/>
  <c r="Q5063" i="1"/>
  <c r="Q5064" i="1" a="1"/>
  <c r="Q5064" i="1"/>
  <c r="Q5065" i="1" a="1"/>
  <c r="Q5065" i="1"/>
  <c r="Q5066" i="1" a="1"/>
  <c r="Q5066" i="1"/>
  <c r="Q5067" i="1" a="1"/>
  <c r="Q5067" i="1"/>
  <c r="Q5068" i="1" a="1"/>
  <c r="Q5068" i="1"/>
  <c r="Q5069" i="1" a="1"/>
  <c r="Q5069" i="1"/>
  <c r="Q5070" i="1" a="1"/>
  <c r="Q5070" i="1"/>
  <c r="Q5071" i="1" a="1"/>
  <c r="Q5071" i="1"/>
  <c r="Q5072" i="1" a="1"/>
  <c r="Q5072" i="1"/>
  <c r="Q5073" i="1" a="1"/>
  <c r="Q5073" i="1"/>
  <c r="Q5074" i="1" a="1"/>
  <c r="Q5074" i="1"/>
  <c r="Q5075" i="1" a="1"/>
  <c r="Q5075" i="1"/>
  <c r="Q5076" i="1" a="1"/>
  <c r="Q5076" i="1"/>
  <c r="Q5077" i="1" a="1"/>
  <c r="Q5077" i="1"/>
  <c r="Q5078" i="1" a="1"/>
  <c r="Q5078" i="1"/>
  <c r="Q5079" i="1" a="1"/>
  <c r="Q5079" i="1"/>
  <c r="Q5080" i="1" a="1"/>
  <c r="Q5080" i="1"/>
  <c r="Q5081" i="1" a="1"/>
  <c r="Q5081" i="1"/>
  <c r="Q5082" i="1" a="1"/>
  <c r="Q5082" i="1"/>
  <c r="Q5083" i="1" a="1"/>
  <c r="Q5083" i="1"/>
  <c r="Q5084" i="1" a="1"/>
  <c r="Q5084" i="1"/>
  <c r="Q5085" i="1" a="1"/>
  <c r="Q5085" i="1"/>
  <c r="Q5086" i="1" a="1"/>
  <c r="Q5086" i="1"/>
  <c r="Q5087" i="1" a="1"/>
  <c r="Q5087" i="1"/>
  <c r="Q5088" i="1" a="1"/>
  <c r="Q5088" i="1"/>
  <c r="Q5089" i="1" a="1"/>
  <c r="Q5089" i="1"/>
  <c r="Q5090" i="1" a="1"/>
  <c r="Q5090" i="1"/>
  <c r="Q5091" i="1" a="1"/>
  <c r="Q5091" i="1"/>
  <c r="Q5092" i="1" a="1"/>
  <c r="Q5092" i="1"/>
  <c r="Q5093" i="1" a="1"/>
  <c r="Q5093" i="1"/>
  <c r="Q5094" i="1" a="1"/>
  <c r="Q5094" i="1"/>
  <c r="Q5095" i="1" a="1"/>
  <c r="Q5095" i="1"/>
  <c r="Q5096" i="1" a="1"/>
  <c r="Q5096" i="1"/>
  <c r="Q5097" i="1" a="1"/>
  <c r="Q5097" i="1"/>
  <c r="Q5098" i="1" a="1"/>
  <c r="Q5098" i="1"/>
  <c r="Q5099" i="1" a="1"/>
  <c r="Q5099" i="1"/>
  <c r="Q5100" i="1" a="1"/>
  <c r="Q5100" i="1"/>
  <c r="Q5101" i="1" a="1"/>
  <c r="Q5101" i="1"/>
  <c r="Q5102" i="1" a="1"/>
  <c r="Q5102" i="1"/>
  <c r="Q5103" i="1" a="1"/>
  <c r="Q5103" i="1"/>
  <c r="Q5104" i="1" a="1"/>
  <c r="Q5104" i="1"/>
  <c r="Q5105" i="1" a="1"/>
  <c r="Q5105" i="1"/>
  <c r="Q5106" i="1" a="1"/>
  <c r="Q5106" i="1"/>
  <c r="Q5107" i="1" a="1"/>
  <c r="Q5107" i="1"/>
  <c r="Q5108" i="1" a="1"/>
  <c r="Q5108" i="1"/>
  <c r="Q5109" i="1" a="1"/>
  <c r="Q5109" i="1"/>
  <c r="Q5110" i="1" a="1"/>
  <c r="Q5110" i="1"/>
  <c r="Q5111" i="1" a="1"/>
  <c r="Q5111" i="1"/>
  <c r="Q5112" i="1" a="1"/>
  <c r="Q5112" i="1"/>
  <c r="Q5113" i="1" a="1"/>
  <c r="Q5113" i="1"/>
  <c r="Q5114" i="1" a="1"/>
  <c r="Q5114" i="1"/>
  <c r="Q5115" i="1" a="1"/>
  <c r="Q5115" i="1"/>
  <c r="Q5116" i="1" a="1"/>
  <c r="Q5116" i="1"/>
  <c r="Q5117" i="1" a="1"/>
  <c r="Q5117" i="1"/>
  <c r="Q5118" i="1" a="1"/>
  <c r="Q5118" i="1"/>
  <c r="Q5119" i="1" a="1"/>
  <c r="Q5119" i="1"/>
  <c r="Q5120" i="1" a="1"/>
  <c r="Q5120" i="1"/>
  <c r="Q5121" i="1" a="1"/>
  <c r="Q5121" i="1"/>
  <c r="Q5122" i="1" a="1"/>
  <c r="Q5122" i="1"/>
  <c r="Q5123" i="1" a="1"/>
  <c r="Q5123" i="1"/>
  <c r="Q5124" i="1" a="1"/>
  <c r="Q5124" i="1"/>
  <c r="Q5125" i="1" a="1"/>
  <c r="Q5125" i="1"/>
  <c r="Q5126" i="1" a="1"/>
  <c r="Q5126" i="1"/>
  <c r="Q5127" i="1" a="1"/>
  <c r="Q5127" i="1"/>
  <c r="Q5128" i="1" a="1"/>
  <c r="Q5128" i="1"/>
  <c r="Q5129" i="1" a="1"/>
  <c r="Q5129" i="1"/>
  <c r="Q5130" i="1" a="1"/>
  <c r="Q5130" i="1"/>
  <c r="Q5131" i="1" a="1"/>
  <c r="Q5131" i="1"/>
  <c r="Q5132" i="1" a="1"/>
  <c r="Q5132" i="1"/>
  <c r="Q5133" i="1" a="1"/>
  <c r="Q5133" i="1"/>
  <c r="Q5134" i="1" a="1"/>
  <c r="Q5134" i="1"/>
  <c r="Q5135" i="1" a="1"/>
  <c r="Q5135" i="1"/>
  <c r="Q5136" i="1" a="1"/>
  <c r="Q5136" i="1"/>
  <c r="Q5137" i="1" a="1"/>
  <c r="Q5137" i="1"/>
  <c r="Q5138" i="1" a="1"/>
  <c r="Q5138" i="1"/>
  <c r="Q5139" i="1" a="1"/>
  <c r="Q5139" i="1"/>
  <c r="Q5140" i="1" a="1"/>
  <c r="Q5140" i="1"/>
  <c r="Q5141" i="1" a="1"/>
  <c r="Q5141" i="1"/>
  <c r="Q5142" i="1" a="1"/>
  <c r="Q5142" i="1"/>
  <c r="Q5143" i="1" a="1"/>
  <c r="Q5143" i="1"/>
  <c r="Q5144" i="1" a="1"/>
  <c r="Q5144" i="1"/>
  <c r="Q5145" i="1" a="1"/>
  <c r="Q5145" i="1"/>
  <c r="Q5146" i="1" a="1"/>
  <c r="Q5146" i="1"/>
  <c r="Q5147" i="1" a="1"/>
  <c r="Q5147" i="1"/>
  <c r="Q5148" i="1" a="1"/>
  <c r="Q5148" i="1"/>
  <c r="Q5149" i="1" a="1"/>
  <c r="Q5149" i="1"/>
  <c r="Q5150" i="1" a="1"/>
  <c r="Q5150" i="1"/>
  <c r="Q5151" i="1" a="1"/>
  <c r="Q5151" i="1"/>
  <c r="Q5152" i="1" a="1"/>
  <c r="Q5152" i="1"/>
  <c r="Q5153" i="1" a="1"/>
  <c r="Q5153" i="1"/>
  <c r="Q5154" i="1" a="1"/>
  <c r="Q5154" i="1"/>
  <c r="Q5155" i="1" a="1"/>
  <c r="Q5155" i="1"/>
  <c r="Q5156" i="1" a="1"/>
  <c r="Q5156" i="1"/>
  <c r="Q5157" i="1" a="1"/>
  <c r="Q5157" i="1"/>
  <c r="Q5158" i="1" a="1"/>
  <c r="Q5158" i="1"/>
  <c r="Q5159" i="1" a="1"/>
  <c r="Q5159" i="1"/>
  <c r="Q5160" i="1" a="1"/>
  <c r="Q5160" i="1"/>
  <c r="Q5161" i="1" a="1"/>
  <c r="Q5161" i="1"/>
  <c r="Q5162" i="1" a="1"/>
  <c r="Q5162" i="1"/>
  <c r="Q5163" i="1" a="1"/>
  <c r="Q5163" i="1"/>
  <c r="Q5164" i="1" a="1"/>
  <c r="Q5164" i="1"/>
  <c r="Q5165" i="1" a="1"/>
  <c r="Q5165" i="1"/>
  <c r="Q5166" i="1" a="1"/>
  <c r="Q5166" i="1"/>
  <c r="Q5167" i="1" a="1"/>
  <c r="Q5167" i="1"/>
  <c r="Q5168" i="1" a="1"/>
  <c r="Q5168" i="1"/>
  <c r="Q5169" i="1" a="1"/>
  <c r="Q5169" i="1"/>
  <c r="Q5170" i="1" a="1"/>
  <c r="Q5170" i="1"/>
  <c r="Q5171" i="1" a="1"/>
  <c r="Q5171" i="1"/>
  <c r="Q5172" i="1" a="1"/>
  <c r="Q5172" i="1"/>
  <c r="Q5173" i="1" a="1"/>
  <c r="Q5173" i="1"/>
  <c r="Q5174" i="1" a="1"/>
  <c r="Q5174" i="1"/>
  <c r="Q5175" i="1" a="1"/>
  <c r="Q5175" i="1"/>
  <c r="Q5176" i="1" a="1"/>
  <c r="Q5176" i="1"/>
  <c r="Q5177" i="1" a="1"/>
  <c r="Q5177" i="1"/>
  <c r="Q5178" i="1" a="1"/>
  <c r="Q5178" i="1"/>
  <c r="Q5179" i="1" a="1"/>
  <c r="Q5179" i="1"/>
  <c r="Q5180" i="1" a="1"/>
  <c r="Q5180" i="1"/>
  <c r="Q5181" i="1" a="1"/>
  <c r="Q5181" i="1"/>
  <c r="Q5182" i="1" a="1"/>
  <c r="Q5182" i="1"/>
  <c r="Q5183" i="1" a="1"/>
  <c r="Q5183" i="1"/>
  <c r="Q5184" i="1" a="1"/>
  <c r="Q5184" i="1"/>
  <c r="Q5185" i="1" a="1"/>
  <c r="Q5185" i="1"/>
  <c r="Q5186" i="1" a="1"/>
  <c r="Q5186" i="1"/>
  <c r="Q5187" i="1" a="1"/>
  <c r="Q5187" i="1"/>
  <c r="Q5188" i="1" a="1"/>
  <c r="Q5188" i="1"/>
  <c r="Q5189" i="1" a="1"/>
  <c r="Q5189" i="1"/>
  <c r="Q5190" i="1" a="1"/>
  <c r="Q5190" i="1"/>
  <c r="Q5191" i="1" a="1"/>
  <c r="Q5191" i="1"/>
  <c r="Q5192" i="1" a="1"/>
  <c r="Q5192" i="1"/>
  <c r="Q5193" i="1" a="1"/>
  <c r="Q5193" i="1"/>
  <c r="Q5194" i="1" a="1"/>
  <c r="Q5194" i="1"/>
  <c r="Q5195" i="1" a="1"/>
  <c r="Q5195" i="1"/>
  <c r="Q5196" i="1" a="1"/>
  <c r="Q5196" i="1"/>
  <c r="Q5197" i="1" a="1"/>
  <c r="Q5197" i="1"/>
  <c r="Q5198" i="1" a="1"/>
  <c r="Q5198" i="1"/>
  <c r="Q5199" i="1" a="1"/>
  <c r="Q5199" i="1"/>
  <c r="Q5200" i="1" a="1"/>
  <c r="Q5200" i="1"/>
  <c r="Q5201" i="1" a="1"/>
  <c r="Q5201" i="1"/>
  <c r="Q5202" i="1" a="1"/>
  <c r="Q5202" i="1"/>
  <c r="Q5203" i="1" a="1"/>
  <c r="Q5203" i="1"/>
  <c r="Q5204" i="1" a="1"/>
  <c r="Q5204" i="1"/>
  <c r="Q5205" i="1" a="1"/>
  <c r="Q5205" i="1"/>
  <c r="Q5206" i="1" a="1"/>
  <c r="Q5206" i="1"/>
  <c r="Q5207" i="1" a="1"/>
  <c r="Q5207" i="1"/>
  <c r="Q5208" i="1" a="1"/>
  <c r="Q5208" i="1"/>
  <c r="Q5209" i="1" a="1"/>
  <c r="Q5209" i="1"/>
  <c r="Q5210" i="1" a="1"/>
  <c r="Q5210" i="1"/>
  <c r="Q5211" i="1" a="1"/>
  <c r="Q5211" i="1"/>
  <c r="Q5212" i="1" a="1"/>
  <c r="Q5212" i="1"/>
  <c r="Q5213" i="1" a="1"/>
  <c r="Q5213" i="1"/>
  <c r="Q5214" i="1" a="1"/>
  <c r="Q5214" i="1"/>
  <c r="Q5215" i="1" a="1"/>
  <c r="Q5215" i="1"/>
  <c r="Q5216" i="1" a="1"/>
  <c r="Q5216" i="1"/>
  <c r="Q5217" i="1" a="1"/>
  <c r="Q5217" i="1"/>
  <c r="Q5218" i="1" a="1"/>
  <c r="Q5218" i="1"/>
  <c r="Q5219" i="1" a="1"/>
  <c r="Q5219" i="1"/>
  <c r="Q5220" i="1" a="1"/>
  <c r="Q5220" i="1"/>
  <c r="Q5221" i="1" a="1"/>
  <c r="Q5221" i="1"/>
  <c r="Q5222" i="1" a="1"/>
  <c r="Q5222" i="1"/>
  <c r="Q5223" i="1" a="1"/>
  <c r="Q5223" i="1"/>
  <c r="Q5224" i="1" a="1"/>
  <c r="Q5224" i="1"/>
  <c r="Q5225" i="1" a="1"/>
  <c r="Q5225" i="1"/>
  <c r="Q5226" i="1" a="1"/>
  <c r="Q5226" i="1"/>
  <c r="Q5227" i="1" a="1"/>
  <c r="Q5227" i="1"/>
  <c r="Q5228" i="1" a="1"/>
  <c r="Q5228" i="1"/>
  <c r="Q5229" i="1" a="1"/>
  <c r="Q5229" i="1"/>
  <c r="Q5230" i="1" a="1"/>
  <c r="Q5230" i="1"/>
  <c r="Q5231" i="1" a="1"/>
  <c r="Q5231" i="1"/>
  <c r="Q5232" i="1" a="1"/>
  <c r="Q5232" i="1"/>
  <c r="Q5233" i="1" a="1"/>
  <c r="Q5233" i="1"/>
  <c r="Q5234" i="1" a="1"/>
  <c r="Q5234" i="1"/>
  <c r="Q5235" i="1" a="1"/>
  <c r="Q5235" i="1"/>
  <c r="Q5236" i="1" a="1"/>
  <c r="Q5236" i="1"/>
  <c r="Q5237" i="1" a="1"/>
  <c r="Q5237" i="1"/>
  <c r="Q5238" i="1" a="1"/>
  <c r="Q5238" i="1"/>
  <c r="Q5239" i="1" a="1"/>
  <c r="Q5239" i="1"/>
  <c r="Q5240" i="1" a="1"/>
  <c r="Q5240" i="1"/>
  <c r="Q5241" i="1" a="1"/>
  <c r="Q5241" i="1"/>
  <c r="Q5242" i="1" a="1"/>
  <c r="Q5242" i="1"/>
  <c r="Q5243" i="1" a="1"/>
  <c r="Q5243" i="1"/>
  <c r="Q5244" i="1" a="1"/>
  <c r="Q5244" i="1"/>
  <c r="Q5245" i="1" a="1"/>
  <c r="Q5245" i="1"/>
  <c r="Q5246" i="1" a="1"/>
  <c r="Q5246" i="1"/>
  <c r="Q5247" i="1" a="1"/>
  <c r="Q5247" i="1"/>
  <c r="Q5248" i="1" a="1"/>
  <c r="Q5248" i="1"/>
  <c r="Q5249" i="1" a="1"/>
  <c r="Q5249" i="1"/>
  <c r="Q5250" i="1" a="1"/>
  <c r="Q5250" i="1"/>
  <c r="Q5251" i="1" a="1"/>
  <c r="Q5251" i="1"/>
  <c r="Q5252" i="1" a="1"/>
  <c r="Q5252" i="1"/>
  <c r="Q5253" i="1" a="1"/>
  <c r="Q5253" i="1"/>
  <c r="Q5254" i="1" a="1"/>
  <c r="Q5254" i="1"/>
  <c r="Q5255" i="1" a="1"/>
  <c r="Q5255" i="1"/>
  <c r="Q5256" i="1" a="1"/>
  <c r="Q5256" i="1"/>
  <c r="Q5257" i="1" a="1"/>
  <c r="Q5257" i="1"/>
  <c r="Q5258" i="1" a="1"/>
  <c r="Q5258" i="1"/>
  <c r="Q5259" i="1" a="1"/>
  <c r="Q5259" i="1"/>
  <c r="Q5260" i="1" a="1"/>
  <c r="Q5260" i="1"/>
  <c r="Q5261" i="1" a="1"/>
  <c r="Q5261" i="1"/>
  <c r="Q5262" i="1" a="1"/>
  <c r="Q5262" i="1"/>
  <c r="Q5263" i="1" a="1"/>
  <c r="Q5263" i="1"/>
  <c r="Q5264" i="1" a="1"/>
  <c r="Q5264" i="1"/>
  <c r="Q5265" i="1" a="1"/>
  <c r="Q5265" i="1"/>
  <c r="Q5266" i="1" a="1"/>
  <c r="Q5266" i="1"/>
  <c r="Q5267" i="1" a="1"/>
  <c r="Q5267" i="1"/>
  <c r="Q5268" i="1" a="1"/>
  <c r="Q5268" i="1"/>
  <c r="Q5269" i="1" a="1"/>
  <c r="Q5269" i="1"/>
  <c r="Q5270" i="1" a="1"/>
  <c r="Q5270" i="1"/>
  <c r="Q5271" i="1" a="1"/>
  <c r="Q5271" i="1"/>
  <c r="Q5272" i="1" a="1"/>
  <c r="Q5272" i="1"/>
  <c r="Q5273" i="1" a="1"/>
  <c r="Q5273" i="1"/>
  <c r="Q5274" i="1" a="1"/>
  <c r="Q5274" i="1"/>
  <c r="Q5275" i="1" a="1"/>
  <c r="Q5275" i="1"/>
  <c r="Q5276" i="1" a="1"/>
  <c r="Q5276" i="1"/>
  <c r="Q5277" i="1" a="1"/>
  <c r="Q5277" i="1"/>
  <c r="Q5278" i="1" a="1"/>
  <c r="Q5278" i="1"/>
  <c r="Q5279" i="1" a="1"/>
  <c r="Q5279" i="1"/>
  <c r="Q5280" i="1" a="1"/>
  <c r="Q5280" i="1"/>
  <c r="Q5281" i="1" a="1"/>
  <c r="Q5281" i="1"/>
  <c r="Q5282" i="1" a="1"/>
  <c r="Q5282" i="1"/>
  <c r="Q5283" i="1" a="1"/>
  <c r="Q5283" i="1"/>
  <c r="Q5284" i="1" a="1"/>
  <c r="Q5284" i="1"/>
  <c r="Q5285" i="1" a="1"/>
  <c r="Q5285" i="1"/>
  <c r="Q5286" i="1" a="1"/>
  <c r="Q5286" i="1"/>
  <c r="Q5287" i="1" a="1"/>
  <c r="Q5287" i="1"/>
  <c r="Q5288" i="1" a="1"/>
  <c r="Q5288" i="1"/>
  <c r="Q5289" i="1" a="1"/>
  <c r="Q5289" i="1"/>
  <c r="Q5290" i="1" a="1"/>
  <c r="Q5290" i="1"/>
  <c r="Q5291" i="1" a="1"/>
  <c r="Q5291" i="1"/>
  <c r="Q5292" i="1" a="1"/>
  <c r="Q5292" i="1"/>
  <c r="Q5293" i="1" a="1"/>
  <c r="Q5293" i="1"/>
  <c r="Q5294" i="1" a="1"/>
  <c r="Q5294" i="1"/>
  <c r="Q5295" i="1" a="1"/>
  <c r="Q5295" i="1"/>
  <c r="Q5296" i="1" a="1"/>
  <c r="Q5296" i="1"/>
  <c r="Q5297" i="1" a="1"/>
  <c r="Q5297" i="1"/>
  <c r="Q5298" i="1" a="1"/>
  <c r="Q5298" i="1"/>
  <c r="Q5299" i="1" a="1"/>
  <c r="Q5299" i="1"/>
  <c r="Q5300" i="1" a="1"/>
  <c r="Q5300" i="1"/>
  <c r="Q5301" i="1" a="1"/>
  <c r="Q5301" i="1"/>
  <c r="Q5302" i="1" a="1"/>
  <c r="Q5302" i="1"/>
  <c r="Q5303" i="1" a="1"/>
  <c r="Q5303" i="1"/>
  <c r="Q5304" i="1" a="1"/>
  <c r="Q5304" i="1"/>
  <c r="Q5305" i="1" a="1"/>
  <c r="Q5305" i="1"/>
  <c r="Q5306" i="1" a="1"/>
  <c r="Q5306" i="1"/>
  <c r="Q5307" i="1" a="1"/>
  <c r="Q5307" i="1"/>
  <c r="Q5308" i="1" a="1"/>
  <c r="Q5308" i="1"/>
  <c r="Q5309" i="1" a="1"/>
  <c r="Q5309" i="1"/>
  <c r="Q5310" i="1" a="1"/>
  <c r="Q5310" i="1"/>
  <c r="Q5311" i="1" a="1"/>
  <c r="Q5311" i="1"/>
  <c r="Q5312" i="1" a="1"/>
  <c r="Q5312" i="1"/>
  <c r="Q5313" i="1" a="1"/>
  <c r="Q5313" i="1"/>
  <c r="Q5314" i="1" a="1"/>
  <c r="Q5314" i="1"/>
  <c r="Q5315" i="1" a="1"/>
  <c r="Q5315" i="1"/>
  <c r="Q5316" i="1" a="1"/>
  <c r="Q5316" i="1"/>
  <c r="Q5317" i="1" a="1"/>
  <c r="Q5317" i="1"/>
  <c r="Q5318" i="1" a="1"/>
  <c r="Q5318" i="1"/>
  <c r="Q5319" i="1" a="1"/>
  <c r="Q5319" i="1"/>
  <c r="Q5320" i="1" a="1"/>
  <c r="Q5320" i="1"/>
  <c r="Q5321" i="1" a="1"/>
  <c r="Q5321" i="1"/>
  <c r="Q5322" i="1" a="1"/>
  <c r="Q5322" i="1"/>
  <c r="Q5323" i="1" a="1"/>
  <c r="Q5323" i="1"/>
  <c r="Q5324" i="1" a="1"/>
  <c r="Q5324" i="1"/>
  <c r="Q5325" i="1" a="1"/>
  <c r="Q5325" i="1"/>
  <c r="Q5326" i="1" a="1"/>
  <c r="Q5326" i="1"/>
  <c r="Q5327" i="1" a="1"/>
  <c r="Q5327" i="1"/>
  <c r="Q5328" i="1" a="1"/>
  <c r="Q5328" i="1"/>
  <c r="Q5329" i="1" a="1"/>
  <c r="Q5329" i="1"/>
  <c r="Q5330" i="1" a="1"/>
  <c r="Q5330" i="1"/>
  <c r="Q5331" i="1" a="1"/>
  <c r="Q5331" i="1"/>
  <c r="Q5332" i="1" a="1"/>
  <c r="Q5332" i="1"/>
  <c r="Q5333" i="1" a="1"/>
  <c r="Q5333" i="1"/>
  <c r="Q5334" i="1" a="1"/>
  <c r="Q5334" i="1"/>
  <c r="Q5335" i="1" a="1"/>
  <c r="Q5335" i="1"/>
  <c r="Q5336" i="1" a="1"/>
  <c r="Q5336" i="1"/>
  <c r="Q5337" i="1" a="1"/>
  <c r="Q5337" i="1"/>
  <c r="Q5338" i="1" a="1"/>
  <c r="Q5338" i="1"/>
  <c r="Q5339" i="1" a="1"/>
  <c r="Q5339" i="1"/>
  <c r="Q5340" i="1" a="1"/>
  <c r="Q5340" i="1"/>
  <c r="Q5341" i="1" a="1"/>
  <c r="Q5341" i="1"/>
  <c r="Q5342" i="1" a="1"/>
  <c r="Q5342" i="1"/>
  <c r="Q5343" i="1" a="1"/>
  <c r="Q5343" i="1"/>
  <c r="Q5344" i="1" a="1"/>
  <c r="Q5344" i="1"/>
  <c r="Q5345" i="1" a="1"/>
  <c r="Q5345" i="1"/>
  <c r="Q5346" i="1" a="1"/>
  <c r="Q5346" i="1"/>
  <c r="Q5347" i="1" a="1"/>
  <c r="Q5347" i="1"/>
  <c r="Q5348" i="1" a="1"/>
  <c r="Q5348" i="1"/>
  <c r="Q5349" i="1" a="1"/>
  <c r="Q5349" i="1"/>
  <c r="Q5350" i="1" a="1"/>
  <c r="Q5350" i="1"/>
  <c r="Q5351" i="1" a="1"/>
  <c r="Q5351" i="1"/>
  <c r="Q5352" i="1" a="1"/>
  <c r="Q5352" i="1"/>
  <c r="Q5353" i="1" a="1"/>
  <c r="Q5353" i="1"/>
  <c r="Q5354" i="1" a="1"/>
  <c r="Q5354" i="1"/>
  <c r="Q5355" i="1" a="1"/>
  <c r="Q5355" i="1"/>
  <c r="Q5356" i="1" a="1"/>
  <c r="Q5356" i="1"/>
  <c r="Q5357" i="1" a="1"/>
  <c r="Q5357" i="1"/>
  <c r="Q5358" i="1" a="1"/>
  <c r="Q5358" i="1"/>
  <c r="Q5359" i="1" a="1"/>
  <c r="Q5359" i="1"/>
  <c r="Q5360" i="1" a="1"/>
  <c r="Q5360" i="1"/>
  <c r="Q5361" i="1" a="1"/>
  <c r="Q5361" i="1"/>
  <c r="Q5362" i="1" a="1"/>
  <c r="Q5362" i="1"/>
  <c r="Q5363" i="1" a="1"/>
  <c r="Q5363" i="1"/>
  <c r="Q5364" i="1" a="1"/>
  <c r="Q5364" i="1"/>
  <c r="Q5365" i="1" a="1"/>
  <c r="Q5365" i="1"/>
  <c r="Q5366" i="1" a="1"/>
  <c r="Q5366" i="1"/>
  <c r="Q5367" i="1" a="1"/>
  <c r="Q5367" i="1"/>
  <c r="Q5368" i="1" a="1"/>
  <c r="Q5368" i="1"/>
  <c r="Q5369" i="1" a="1"/>
  <c r="Q5369" i="1"/>
  <c r="Q5370" i="1" a="1"/>
  <c r="Q5370" i="1"/>
  <c r="Q5371" i="1" a="1"/>
  <c r="Q5371" i="1"/>
  <c r="Q5372" i="1" a="1"/>
  <c r="Q5372" i="1"/>
  <c r="Q5373" i="1" a="1"/>
  <c r="Q5373" i="1"/>
  <c r="Q5374" i="1" a="1"/>
  <c r="Q5374" i="1"/>
  <c r="Q5375" i="1" a="1"/>
  <c r="Q5375" i="1"/>
  <c r="Q5376" i="1" a="1"/>
  <c r="Q5376" i="1"/>
  <c r="Q5377" i="1" a="1"/>
  <c r="Q5377" i="1"/>
  <c r="Q5378" i="1" a="1"/>
  <c r="Q5378" i="1"/>
  <c r="Q5379" i="1" a="1"/>
  <c r="Q5379" i="1"/>
  <c r="Q5380" i="1" a="1"/>
  <c r="Q5380" i="1"/>
  <c r="Q5381" i="1" a="1"/>
  <c r="Q5381" i="1"/>
  <c r="Q5382" i="1" a="1"/>
  <c r="Q5382" i="1"/>
  <c r="Q5383" i="1" a="1"/>
  <c r="Q5383" i="1"/>
  <c r="Q5384" i="1" a="1"/>
  <c r="Q5384" i="1"/>
  <c r="Q5385" i="1" a="1"/>
  <c r="Q5385" i="1"/>
  <c r="Q5386" i="1" a="1"/>
  <c r="Q5386" i="1"/>
  <c r="Q5387" i="1" a="1"/>
  <c r="Q5387" i="1"/>
  <c r="Q5388" i="1" a="1"/>
  <c r="Q5388" i="1"/>
  <c r="Q5389" i="1" a="1"/>
  <c r="Q5389" i="1"/>
  <c r="Q5390" i="1" a="1"/>
  <c r="Q5390" i="1"/>
  <c r="Q5391" i="1" a="1"/>
  <c r="Q5391" i="1"/>
  <c r="Q5392" i="1" a="1"/>
  <c r="Q5392" i="1"/>
  <c r="Q5393" i="1" a="1"/>
  <c r="Q5393" i="1"/>
  <c r="Q5394" i="1" a="1"/>
  <c r="Q5394" i="1"/>
  <c r="Q5395" i="1" a="1"/>
  <c r="Q5395" i="1"/>
  <c r="Q5396" i="1" a="1"/>
  <c r="Q5396" i="1"/>
  <c r="Q5397" i="1" a="1"/>
  <c r="Q5397" i="1"/>
  <c r="Q5398" i="1" a="1"/>
  <c r="Q5398" i="1"/>
  <c r="Q5399" i="1" a="1"/>
  <c r="Q5399" i="1"/>
  <c r="Q5400" i="1" a="1"/>
  <c r="Q5400" i="1"/>
  <c r="Q5401" i="1" a="1"/>
  <c r="Q5401" i="1"/>
  <c r="Q5402" i="1" a="1"/>
  <c r="Q5402" i="1"/>
  <c r="Q5403" i="1" a="1"/>
  <c r="Q5403" i="1"/>
  <c r="Q5404" i="1" a="1"/>
  <c r="Q5404" i="1"/>
  <c r="Q5405" i="1" a="1"/>
  <c r="Q5405" i="1"/>
  <c r="Q5406" i="1" a="1"/>
  <c r="Q5406" i="1"/>
  <c r="Q5407" i="1" a="1"/>
  <c r="Q5407" i="1"/>
  <c r="Q5408" i="1" a="1"/>
  <c r="Q5408" i="1"/>
  <c r="Q5409" i="1" a="1"/>
  <c r="Q5409" i="1"/>
  <c r="Q5410" i="1" a="1"/>
  <c r="Q5410" i="1"/>
  <c r="Q5411" i="1" a="1"/>
  <c r="Q5411" i="1"/>
  <c r="Q5412" i="1" a="1"/>
  <c r="Q5412" i="1"/>
  <c r="Q5413" i="1" a="1"/>
  <c r="Q5413" i="1"/>
  <c r="Q5414" i="1" a="1"/>
  <c r="Q5414" i="1"/>
  <c r="Q5415" i="1" a="1"/>
  <c r="Q5415" i="1"/>
  <c r="Q5416" i="1" a="1"/>
  <c r="Q5416" i="1"/>
  <c r="Q5417" i="1" a="1"/>
  <c r="Q5417" i="1"/>
  <c r="Q5418" i="1" a="1"/>
  <c r="Q5418" i="1"/>
  <c r="Q5419" i="1" a="1"/>
  <c r="Q5419" i="1"/>
  <c r="Q5420" i="1" a="1"/>
  <c r="Q5420" i="1"/>
  <c r="Q5421" i="1" a="1"/>
  <c r="Q5421" i="1"/>
  <c r="Q5422" i="1" a="1"/>
  <c r="Q5422" i="1"/>
  <c r="Q5423" i="1" a="1"/>
  <c r="Q5423" i="1"/>
  <c r="Q5424" i="1" a="1"/>
  <c r="Q5424" i="1"/>
  <c r="Q5425" i="1" a="1"/>
  <c r="Q5425" i="1"/>
  <c r="Q5426" i="1" a="1"/>
  <c r="Q5426" i="1"/>
  <c r="Q5427" i="1" a="1"/>
  <c r="Q5427" i="1"/>
  <c r="Q5428" i="1" a="1"/>
  <c r="Q5428" i="1"/>
  <c r="Q5429" i="1" a="1"/>
  <c r="Q5429" i="1"/>
  <c r="Q5430" i="1" a="1"/>
  <c r="Q5430" i="1"/>
  <c r="Q5431" i="1" a="1"/>
  <c r="Q5431" i="1"/>
  <c r="Q5432" i="1" a="1"/>
  <c r="Q5432" i="1"/>
  <c r="Q5433" i="1" a="1"/>
  <c r="Q5433" i="1"/>
  <c r="Q5434" i="1" a="1"/>
  <c r="Q5434" i="1"/>
  <c r="Q5435" i="1" a="1"/>
  <c r="Q5435" i="1"/>
  <c r="Q5436" i="1" a="1"/>
  <c r="Q5436" i="1"/>
  <c r="Q5437" i="1" a="1"/>
  <c r="Q5437" i="1"/>
  <c r="Q5438" i="1" a="1"/>
  <c r="Q5438" i="1"/>
  <c r="Q5439" i="1" a="1"/>
  <c r="Q5439" i="1"/>
  <c r="Q5440" i="1" a="1"/>
  <c r="Q5440" i="1"/>
  <c r="Q5441" i="1" a="1"/>
  <c r="Q5441" i="1"/>
  <c r="Q5442" i="1" a="1"/>
  <c r="Q5442" i="1"/>
  <c r="Q5443" i="1" a="1"/>
  <c r="Q5443" i="1"/>
  <c r="Q5444" i="1" a="1"/>
  <c r="Q5444" i="1"/>
  <c r="Q5445" i="1" a="1"/>
  <c r="Q5445" i="1"/>
  <c r="Q5446" i="1" a="1"/>
  <c r="Q5446" i="1"/>
  <c r="Q5447" i="1" a="1"/>
  <c r="Q5447" i="1"/>
  <c r="Q5448" i="1" a="1"/>
  <c r="Q5448" i="1"/>
  <c r="Q5449" i="1" a="1"/>
  <c r="Q5449" i="1"/>
  <c r="Q5450" i="1" a="1"/>
  <c r="Q5450" i="1"/>
  <c r="Q5451" i="1" a="1"/>
  <c r="Q5451" i="1"/>
  <c r="Q5452" i="1" a="1"/>
  <c r="Q5452" i="1"/>
  <c r="Q5453" i="1" a="1"/>
  <c r="Q5453" i="1"/>
  <c r="Q5454" i="1" a="1"/>
  <c r="Q5454" i="1"/>
  <c r="Q5455" i="1" a="1"/>
  <c r="Q5455" i="1"/>
  <c r="Q5456" i="1" a="1"/>
  <c r="Q5456" i="1"/>
  <c r="Q5457" i="1" a="1"/>
  <c r="Q5457" i="1"/>
  <c r="Q5458" i="1" a="1"/>
  <c r="Q5458" i="1"/>
  <c r="Q5459" i="1" a="1"/>
  <c r="Q5459" i="1"/>
  <c r="Q5460" i="1" a="1"/>
  <c r="Q5460" i="1"/>
  <c r="Q5461" i="1" a="1"/>
  <c r="Q5461" i="1"/>
  <c r="Q5462" i="1" a="1"/>
  <c r="Q5462" i="1"/>
  <c r="Q5463" i="1" a="1"/>
  <c r="Q5463" i="1"/>
  <c r="Q5464" i="1" a="1"/>
  <c r="Q5464" i="1"/>
  <c r="Q5465" i="1" a="1"/>
  <c r="Q5465" i="1"/>
  <c r="Q5466" i="1" a="1"/>
  <c r="Q5466" i="1"/>
  <c r="Q5467" i="1" a="1"/>
  <c r="Q5467" i="1"/>
  <c r="Q5468" i="1" a="1"/>
  <c r="Q5468" i="1"/>
  <c r="Q5469" i="1" a="1"/>
  <c r="Q5469" i="1"/>
  <c r="Q5470" i="1" a="1"/>
  <c r="Q5470" i="1"/>
  <c r="Q5471" i="1" a="1"/>
  <c r="Q5471" i="1"/>
  <c r="Q5472" i="1" a="1"/>
  <c r="Q5472" i="1"/>
  <c r="Q5473" i="1" a="1"/>
  <c r="Q5473" i="1"/>
  <c r="Q5474" i="1" a="1"/>
  <c r="Q5474" i="1"/>
  <c r="Q5475" i="1" a="1"/>
  <c r="Q5475" i="1"/>
  <c r="Q5476" i="1" a="1"/>
  <c r="Q5476" i="1"/>
  <c r="Q5477" i="1" a="1"/>
  <c r="Q5477" i="1"/>
  <c r="Q5478" i="1" a="1"/>
  <c r="Q5478" i="1"/>
  <c r="Q5479" i="1" a="1"/>
  <c r="Q5479" i="1"/>
  <c r="Q5480" i="1" a="1"/>
  <c r="Q5480" i="1"/>
  <c r="Q5481" i="1" a="1"/>
  <c r="Q5481" i="1"/>
  <c r="Q5482" i="1" a="1"/>
  <c r="Q5482" i="1"/>
  <c r="Q5483" i="1" a="1"/>
  <c r="Q5483" i="1"/>
  <c r="Q5484" i="1" a="1"/>
  <c r="Q5484" i="1"/>
  <c r="Q5485" i="1" a="1"/>
  <c r="Q5485" i="1"/>
  <c r="Q5486" i="1" a="1"/>
  <c r="Q5486" i="1"/>
  <c r="Q5487" i="1" a="1"/>
  <c r="Q5487" i="1"/>
  <c r="Q5488" i="1" a="1"/>
  <c r="Q5488" i="1"/>
  <c r="Q5489" i="1" a="1"/>
  <c r="Q5489" i="1"/>
  <c r="Q5490" i="1" a="1"/>
  <c r="Q5490" i="1"/>
  <c r="Q5491" i="1" a="1"/>
  <c r="Q5491" i="1"/>
  <c r="Q5492" i="1" a="1"/>
  <c r="Q5492" i="1"/>
  <c r="Q5493" i="1" a="1"/>
  <c r="Q5493" i="1"/>
  <c r="Q5494" i="1" a="1"/>
  <c r="Q5494" i="1"/>
  <c r="Q5495" i="1" a="1"/>
  <c r="Q5495" i="1"/>
  <c r="Q5496" i="1" a="1"/>
  <c r="Q5496" i="1"/>
  <c r="Q5497" i="1" a="1"/>
  <c r="Q5497" i="1"/>
  <c r="Q5498" i="1" a="1"/>
  <c r="Q5498" i="1"/>
  <c r="Q5499" i="1" a="1"/>
  <c r="Q5499" i="1"/>
  <c r="Q5500" i="1" a="1"/>
  <c r="Q5500" i="1"/>
  <c r="Q5501" i="1" a="1"/>
  <c r="Q5501" i="1"/>
  <c r="Q5502" i="1" a="1"/>
  <c r="Q5502" i="1"/>
  <c r="Q5503" i="1" a="1"/>
  <c r="Q5503" i="1"/>
  <c r="Q5504" i="1" a="1"/>
  <c r="Q5504" i="1"/>
  <c r="Q5505" i="1" a="1"/>
  <c r="Q5505" i="1"/>
  <c r="Q5506" i="1" a="1"/>
  <c r="Q5506" i="1"/>
  <c r="Q5507" i="1" a="1"/>
  <c r="Q5507" i="1"/>
  <c r="Q5508" i="1" a="1"/>
  <c r="Q5508" i="1"/>
  <c r="Q5509" i="1" a="1"/>
  <c r="Q5509" i="1"/>
  <c r="Q5510" i="1" a="1"/>
  <c r="Q5510" i="1"/>
  <c r="Q5511" i="1" a="1"/>
  <c r="Q5511" i="1"/>
  <c r="Q5512" i="1" a="1"/>
  <c r="Q5512" i="1"/>
  <c r="Q5513" i="1" a="1"/>
  <c r="Q5513" i="1"/>
  <c r="Q5514" i="1" a="1"/>
  <c r="Q5514" i="1"/>
  <c r="Q5515" i="1" a="1"/>
  <c r="Q5515" i="1"/>
  <c r="Q5516" i="1" a="1"/>
  <c r="Q5516" i="1"/>
  <c r="Q5517" i="1" a="1"/>
  <c r="Q5517" i="1"/>
  <c r="Q5518" i="1" a="1"/>
  <c r="Q5518" i="1"/>
  <c r="Q5519" i="1" a="1"/>
  <c r="Q5519" i="1"/>
  <c r="Q5520" i="1" a="1"/>
  <c r="Q5520" i="1"/>
  <c r="Q5521" i="1" a="1"/>
  <c r="Q5521" i="1"/>
  <c r="Q5522" i="1" a="1"/>
  <c r="Q5522" i="1"/>
  <c r="Q5523" i="1" a="1"/>
  <c r="Q5523" i="1"/>
  <c r="Q5524" i="1" a="1"/>
  <c r="Q5524" i="1"/>
  <c r="Q5525" i="1" a="1"/>
  <c r="Q5525" i="1"/>
  <c r="Q5526" i="1" a="1"/>
  <c r="Q5526" i="1"/>
  <c r="Q5527" i="1" a="1"/>
  <c r="Q5527" i="1"/>
  <c r="Q5528" i="1" a="1"/>
  <c r="Q5528" i="1"/>
  <c r="Q5529" i="1" a="1"/>
  <c r="Q5529" i="1"/>
  <c r="Q5530" i="1" a="1"/>
  <c r="Q5530" i="1"/>
  <c r="Q5531" i="1" a="1"/>
  <c r="Q5531" i="1"/>
  <c r="Q5532" i="1" a="1"/>
  <c r="Q5532" i="1"/>
  <c r="Q5533" i="1" a="1"/>
  <c r="Q5533" i="1"/>
  <c r="Q5534" i="1" a="1"/>
  <c r="Q5534" i="1"/>
  <c r="Q5535" i="1" a="1"/>
  <c r="Q5535" i="1"/>
  <c r="Q5536" i="1" a="1"/>
  <c r="Q5536" i="1"/>
  <c r="Q5537" i="1" a="1"/>
  <c r="Q5537" i="1"/>
  <c r="Q5538" i="1" a="1"/>
  <c r="Q5538" i="1"/>
  <c r="Q5539" i="1" a="1"/>
  <c r="Q5539" i="1"/>
  <c r="Q5540" i="1" a="1"/>
  <c r="Q5540" i="1"/>
  <c r="Q5541" i="1" a="1"/>
  <c r="Q5541" i="1"/>
  <c r="Q5542" i="1" a="1"/>
  <c r="Q5542" i="1"/>
  <c r="Q5543" i="1" a="1"/>
  <c r="Q5543" i="1"/>
  <c r="Q5544" i="1" a="1"/>
  <c r="Q5544" i="1"/>
  <c r="Q5545" i="1" a="1"/>
  <c r="Q5545" i="1"/>
  <c r="Q5546" i="1" a="1"/>
  <c r="Q5546" i="1"/>
  <c r="Q5547" i="1" a="1"/>
  <c r="Q5547" i="1"/>
  <c r="Q5548" i="1" a="1"/>
  <c r="Q5548" i="1"/>
  <c r="Q5549" i="1" a="1"/>
  <c r="Q5549" i="1"/>
  <c r="Q5550" i="1" a="1"/>
  <c r="Q5550" i="1"/>
  <c r="Q5551" i="1" a="1"/>
  <c r="Q5551" i="1"/>
  <c r="Q5552" i="1" a="1"/>
  <c r="Q5552" i="1"/>
  <c r="Q5553" i="1" a="1"/>
  <c r="Q5553" i="1"/>
  <c r="Q5554" i="1" a="1"/>
  <c r="Q5554" i="1"/>
  <c r="Q5555" i="1" a="1"/>
  <c r="Q5555" i="1"/>
  <c r="Q5556" i="1" a="1"/>
  <c r="Q5556" i="1"/>
  <c r="Q5557" i="1" a="1"/>
  <c r="Q5557" i="1"/>
  <c r="Q5558" i="1" a="1"/>
  <c r="Q5558" i="1"/>
  <c r="Q5559" i="1" a="1"/>
  <c r="Q5559" i="1"/>
  <c r="Q5560" i="1" a="1"/>
  <c r="Q5560" i="1"/>
  <c r="Q5561" i="1" a="1"/>
  <c r="Q5561" i="1"/>
  <c r="Q5562" i="1" a="1"/>
  <c r="Q5562" i="1"/>
  <c r="Q5563" i="1" a="1"/>
  <c r="Q5563" i="1"/>
  <c r="Q5564" i="1" a="1"/>
  <c r="Q5564" i="1"/>
  <c r="Q5565" i="1" a="1"/>
  <c r="Q5565" i="1"/>
  <c r="Q5566" i="1" a="1"/>
  <c r="Q5566" i="1"/>
  <c r="Q5567" i="1" a="1"/>
  <c r="Q5567" i="1"/>
  <c r="Q5568" i="1" a="1"/>
  <c r="Q5568" i="1"/>
  <c r="Q5569" i="1" a="1"/>
  <c r="Q5569" i="1"/>
  <c r="Q5570" i="1" a="1"/>
  <c r="Q5570" i="1"/>
  <c r="Q5571" i="1" a="1"/>
  <c r="Q5571" i="1"/>
  <c r="Q5572" i="1" a="1"/>
  <c r="Q5572" i="1"/>
  <c r="Q5573" i="1" a="1"/>
  <c r="Q5573" i="1"/>
  <c r="Q5574" i="1" a="1"/>
  <c r="Q5574" i="1"/>
  <c r="Q5575" i="1" a="1"/>
  <c r="Q5575" i="1"/>
  <c r="Q5576" i="1" a="1"/>
  <c r="Q5576" i="1"/>
  <c r="Q5577" i="1" a="1"/>
  <c r="Q5577" i="1"/>
  <c r="Q5578" i="1" a="1"/>
  <c r="Q5578" i="1"/>
  <c r="Q5579" i="1" a="1"/>
  <c r="Q5579" i="1"/>
  <c r="Q5580" i="1" a="1"/>
  <c r="Q5580" i="1"/>
  <c r="Q5581" i="1" a="1"/>
  <c r="Q5581" i="1"/>
  <c r="Q5582" i="1" a="1"/>
  <c r="Q5582" i="1"/>
  <c r="Q5583" i="1" a="1"/>
  <c r="Q5583" i="1"/>
  <c r="Q5584" i="1" a="1"/>
  <c r="Q5584" i="1"/>
  <c r="Q5585" i="1" a="1"/>
  <c r="Q5585" i="1"/>
  <c r="Q5586" i="1" a="1"/>
  <c r="Q5586" i="1"/>
  <c r="Q5587" i="1" a="1"/>
  <c r="Q5587" i="1"/>
  <c r="Q5588" i="1" a="1"/>
  <c r="Q5588" i="1"/>
  <c r="Q5589" i="1" a="1"/>
  <c r="Q5589" i="1"/>
  <c r="Q5590" i="1" a="1"/>
  <c r="Q5590" i="1"/>
  <c r="Q5591" i="1" a="1"/>
  <c r="Q5591" i="1"/>
  <c r="Q5592" i="1" a="1"/>
  <c r="Q5592" i="1"/>
  <c r="Q5593" i="1" a="1"/>
  <c r="Q5593" i="1"/>
  <c r="Q5594" i="1" a="1"/>
  <c r="Q5594" i="1"/>
  <c r="Q5595" i="1" a="1"/>
  <c r="Q5595" i="1"/>
  <c r="Q5596" i="1" a="1"/>
  <c r="Q5596" i="1"/>
  <c r="Q5597" i="1" a="1"/>
  <c r="Q5597" i="1"/>
  <c r="Q5598" i="1" a="1"/>
  <c r="Q5598" i="1"/>
  <c r="Q5599" i="1" a="1"/>
  <c r="Q5599" i="1"/>
  <c r="Q5600" i="1" a="1"/>
  <c r="Q5600" i="1"/>
  <c r="Q5601" i="1" a="1"/>
  <c r="Q5601" i="1"/>
  <c r="Q5602" i="1" a="1"/>
  <c r="Q5602" i="1"/>
  <c r="Q5603" i="1" a="1"/>
  <c r="Q5603" i="1"/>
  <c r="Q5604" i="1" a="1"/>
  <c r="Q5604" i="1"/>
  <c r="Q5605" i="1" a="1"/>
  <c r="Q5605" i="1"/>
  <c r="Q5606" i="1" a="1"/>
  <c r="Q5606" i="1"/>
  <c r="Q5607" i="1" a="1"/>
  <c r="Q5607" i="1"/>
  <c r="Q5608" i="1" a="1"/>
  <c r="Q5608" i="1"/>
  <c r="Q5609" i="1" a="1"/>
  <c r="Q5609" i="1"/>
  <c r="Q5610" i="1" a="1"/>
  <c r="Q5610" i="1"/>
  <c r="Q5611" i="1" a="1"/>
  <c r="Q5611" i="1"/>
  <c r="Q5612" i="1" a="1"/>
  <c r="Q5612" i="1"/>
  <c r="Q5613" i="1" a="1"/>
  <c r="Q5613" i="1"/>
  <c r="Q5614" i="1" a="1"/>
  <c r="Q5614" i="1"/>
  <c r="Q5615" i="1" a="1"/>
  <c r="Q5615" i="1"/>
  <c r="Q5616" i="1" a="1"/>
  <c r="Q5616" i="1"/>
  <c r="Q5617" i="1" a="1"/>
  <c r="Q5617" i="1"/>
  <c r="Q5618" i="1" a="1"/>
  <c r="Q5618" i="1"/>
  <c r="Q5619" i="1" a="1"/>
  <c r="Q5619" i="1"/>
  <c r="Q5620" i="1" a="1"/>
  <c r="Q5620" i="1"/>
  <c r="Q5621" i="1" a="1"/>
  <c r="Q5621" i="1"/>
  <c r="Q5622" i="1" a="1"/>
  <c r="Q5622" i="1"/>
  <c r="Q5623" i="1" a="1"/>
  <c r="Q5623" i="1"/>
  <c r="Q5624" i="1" a="1"/>
  <c r="Q5624" i="1"/>
  <c r="Q5625" i="1" a="1"/>
  <c r="Q5625" i="1"/>
  <c r="Q5626" i="1" a="1"/>
  <c r="Q5626" i="1"/>
  <c r="Q5627" i="1" a="1"/>
  <c r="Q5627" i="1"/>
  <c r="Q5628" i="1" a="1"/>
  <c r="Q5628" i="1"/>
  <c r="Q5629" i="1" a="1"/>
  <c r="Q5629" i="1"/>
  <c r="Q5630" i="1" a="1"/>
  <c r="Q5630" i="1"/>
  <c r="Q5631" i="1" a="1"/>
  <c r="Q5631" i="1"/>
  <c r="Q5632" i="1" a="1"/>
  <c r="Q5632" i="1"/>
  <c r="Q5633" i="1" a="1"/>
  <c r="Q5633" i="1"/>
  <c r="Q5634" i="1" a="1"/>
  <c r="Q5634" i="1"/>
  <c r="Q5635" i="1" a="1"/>
  <c r="Q5635" i="1"/>
  <c r="Q5636" i="1" a="1"/>
  <c r="Q5636" i="1"/>
  <c r="Q5637" i="1" a="1"/>
  <c r="Q5637" i="1"/>
  <c r="Q5638" i="1" a="1"/>
  <c r="Q5638" i="1"/>
  <c r="Q5639" i="1" a="1"/>
  <c r="Q5639" i="1"/>
  <c r="Q5640" i="1" a="1"/>
  <c r="Q5640" i="1"/>
  <c r="Q5641" i="1" a="1"/>
  <c r="Q5641" i="1"/>
  <c r="Q5642" i="1" a="1"/>
  <c r="Q5642" i="1"/>
  <c r="Q5643" i="1" a="1"/>
  <c r="Q5643" i="1"/>
  <c r="Q5644" i="1" a="1"/>
  <c r="Q5644" i="1"/>
  <c r="Q5645" i="1" a="1"/>
  <c r="Q5645" i="1"/>
  <c r="Q5646" i="1" a="1"/>
  <c r="Q5646" i="1"/>
  <c r="Q5647" i="1" a="1"/>
  <c r="Q5647" i="1"/>
  <c r="Q5648" i="1" a="1"/>
  <c r="Q5648" i="1"/>
  <c r="Q5649" i="1" a="1"/>
  <c r="Q5649" i="1"/>
  <c r="Q5650" i="1" a="1"/>
  <c r="Q5650" i="1"/>
  <c r="Q5651" i="1" a="1"/>
  <c r="Q5651" i="1"/>
  <c r="Q5652" i="1" a="1"/>
  <c r="Q5652" i="1"/>
  <c r="Q5653" i="1" a="1"/>
  <c r="Q5653" i="1"/>
  <c r="Q5654" i="1" a="1"/>
  <c r="Q5654" i="1"/>
  <c r="Q5655" i="1" a="1"/>
  <c r="Q5655" i="1"/>
  <c r="Q5656" i="1" a="1"/>
  <c r="Q5656" i="1"/>
  <c r="Q5657" i="1" a="1"/>
  <c r="Q5657" i="1"/>
  <c r="Q5658" i="1" a="1"/>
  <c r="Q5658" i="1"/>
  <c r="Q5659" i="1" a="1"/>
  <c r="Q5659" i="1"/>
  <c r="Q5660" i="1" a="1"/>
  <c r="Q5660" i="1"/>
  <c r="Q5661" i="1" a="1"/>
  <c r="Q5661" i="1"/>
  <c r="Q5662" i="1" a="1"/>
  <c r="Q5662" i="1"/>
  <c r="Q5663" i="1" a="1"/>
  <c r="Q5663" i="1"/>
  <c r="Q5664" i="1" a="1"/>
  <c r="Q5664" i="1"/>
  <c r="Q5665" i="1" a="1"/>
  <c r="Q5665" i="1"/>
  <c r="Q5666" i="1" a="1"/>
  <c r="Q5666" i="1"/>
  <c r="Q5667" i="1" a="1"/>
  <c r="Q5667" i="1"/>
  <c r="Q5668" i="1" a="1"/>
  <c r="Q5668" i="1"/>
  <c r="Q5669" i="1" a="1"/>
  <c r="Q5669" i="1"/>
  <c r="Q5670" i="1" a="1"/>
  <c r="Q5671" i="1" a="1"/>
  <c r="Q5672" i="1" a="1"/>
  <c r="Q5673" i="1" a="1"/>
  <c r="Q5674" i="1" a="1"/>
  <c r="Q5675" i="1" a="1"/>
  <c r="Q5676" i="1" a="1"/>
  <c r="Q5677" i="1" a="1"/>
  <c r="Q5678" i="1" a="1"/>
  <c r="Q5679" i="1" a="1"/>
  <c r="Q5680" i="1" a="1"/>
  <c r="Q5681" i="1" a="1"/>
  <c r="Q5682" i="1" a="1"/>
  <c r="Q5683" i="1" a="1"/>
  <c r="Q5684" i="1" a="1"/>
  <c r="Q5685" i="1" a="1"/>
  <c r="Q5686" i="1" a="1"/>
  <c r="Q5687" i="1" a="1"/>
  <c r="Q5688" i="1" a="1"/>
  <c r="Q5689" i="1" a="1"/>
  <c r="Q5690" i="1" a="1"/>
  <c r="Q5691" i="1" a="1"/>
  <c r="Q5692" i="1" a="1"/>
  <c r="Q5693" i="1" a="1"/>
  <c r="Q5694" i="1" a="1"/>
  <c r="Q5695" i="1" a="1"/>
  <c r="Q5696" i="1" a="1"/>
  <c r="Q5697" i="1" a="1"/>
  <c r="Q5698" i="1" a="1"/>
  <c r="Q5699" i="1" a="1"/>
  <c r="Q5700" i="1" a="1"/>
  <c r="Q5701" i="1" a="1"/>
  <c r="Q5702" i="1" a="1"/>
  <c r="Q5703" i="1" a="1"/>
  <c r="Q5704" i="1" a="1"/>
  <c r="Q5705" i="1" a="1"/>
  <c r="Q5706" i="1" a="1"/>
  <c r="Q5707" i="1" a="1"/>
  <c r="Q5708" i="1" a="1"/>
  <c r="Q5709" i="1" a="1"/>
  <c r="Q5710" i="1" a="1"/>
  <c r="Q5711" i="1" a="1"/>
  <c r="Q5712" i="1" a="1"/>
  <c r="Q5713" i="1" a="1"/>
  <c r="Q5714" i="1" a="1"/>
  <c r="Q5715" i="1" a="1"/>
  <c r="Q5716" i="1" a="1"/>
  <c r="Q5717" i="1" a="1"/>
  <c r="Q5718" i="1" a="1"/>
  <c r="Q5719" i="1" a="1"/>
  <c r="Q5720" i="1" a="1"/>
  <c r="Q5721" i="1" a="1"/>
  <c r="Q5722" i="1" a="1"/>
  <c r="Q5723" i="1" a="1"/>
  <c r="Q5724" i="1" a="1"/>
  <c r="Q5725" i="1" a="1"/>
  <c r="Q5726" i="1" a="1"/>
  <c r="Q5727" i="1" a="1"/>
  <c r="Q5728" i="1" a="1"/>
  <c r="Q5729" i="1" a="1"/>
  <c r="Q5730" i="1" a="1"/>
  <c r="Q5731" i="1" a="1"/>
  <c r="Q5732" i="1" a="1"/>
  <c r="Q5733" i="1" a="1"/>
  <c r="Q5734" i="1" a="1"/>
  <c r="Q5735" i="1" a="1"/>
  <c r="Q5736" i="1" a="1"/>
  <c r="Q5737" i="1" a="1"/>
  <c r="Q5738" i="1" a="1"/>
  <c r="Q5739" i="1" a="1"/>
  <c r="Q5740" i="1" a="1"/>
  <c r="Q5741" i="1" a="1"/>
  <c r="Q5742" i="1" a="1"/>
  <c r="Q5743" i="1" a="1"/>
  <c r="Q5744" i="1" a="1"/>
  <c r="Q5745" i="1" a="1"/>
  <c r="Q5746" i="1" a="1"/>
  <c r="Q5747" i="1" a="1"/>
  <c r="Q5748" i="1" a="1"/>
  <c r="Q5749" i="1" a="1"/>
  <c r="Q5750" i="1" a="1"/>
  <c r="Q5751" i="1" a="1"/>
  <c r="Q5752" i="1" a="1"/>
  <c r="Q5753" i="1" a="1"/>
  <c r="Q5754" i="1" a="1"/>
  <c r="Q5755" i="1" a="1"/>
  <c r="Q5756" i="1" a="1"/>
  <c r="Q5757" i="1" a="1"/>
  <c r="Q5758" i="1" a="1"/>
  <c r="Q5759" i="1" a="1"/>
  <c r="Q5760" i="1" a="1"/>
  <c r="Q5761" i="1" a="1"/>
  <c r="Q5762" i="1" a="1"/>
  <c r="Q5763" i="1" a="1"/>
  <c r="Q5764" i="1" a="1"/>
  <c r="Q5765" i="1" a="1"/>
  <c r="Q5766" i="1" a="1"/>
  <c r="Q5767" i="1" a="1"/>
  <c r="Q5768" i="1" a="1"/>
  <c r="Q5769" i="1" a="1"/>
  <c r="Q5770" i="1" a="1"/>
  <c r="Q5771" i="1" a="1"/>
  <c r="Q5772" i="1" a="1"/>
  <c r="Q5773" i="1" a="1"/>
  <c r="Q5774" i="1" a="1"/>
  <c r="Q5775" i="1" a="1"/>
  <c r="Q5776" i="1" a="1"/>
  <c r="Q5777" i="1" a="1"/>
  <c r="Q5778" i="1" a="1"/>
  <c r="Q5779" i="1" a="1"/>
  <c r="Q5780" i="1" a="1"/>
  <c r="Q5781" i="1" a="1"/>
  <c r="Q5782" i="1" a="1"/>
  <c r="Q5783" i="1" a="1"/>
  <c r="Q5784" i="1" a="1"/>
  <c r="Q5785" i="1" a="1"/>
  <c r="Q5786" i="1" a="1"/>
  <c r="Q5787" i="1" a="1"/>
  <c r="Q5788" i="1" a="1"/>
  <c r="Q5789" i="1" a="1"/>
  <c r="Q5790" i="1" a="1"/>
  <c r="Q5791" i="1" a="1"/>
  <c r="Q5792" i="1" a="1"/>
  <c r="Q5793" i="1" a="1"/>
  <c r="Q5794" i="1" a="1"/>
  <c r="Q5795" i="1" a="1"/>
  <c r="Q5796" i="1" a="1"/>
  <c r="Q5797" i="1" a="1"/>
  <c r="Q5797" i="1"/>
  <c r="Q5798" i="1" a="1"/>
  <c r="Q5798" i="1"/>
  <c r="Q5799" i="1" a="1"/>
  <c r="Q5799" i="1"/>
  <c r="Q5800" i="1" a="1"/>
  <c r="Q5800" i="1"/>
  <c r="Q5801" i="1" a="1"/>
  <c r="Q5801" i="1"/>
  <c r="Q5802" i="1" a="1"/>
  <c r="Q5802" i="1"/>
  <c r="Q5803" i="1" a="1"/>
  <c r="Q5803" i="1"/>
  <c r="Q5804" i="1" a="1"/>
  <c r="Q5804" i="1"/>
  <c r="Q5805" i="1" a="1"/>
  <c r="Q5805" i="1"/>
  <c r="Q5806" i="1" a="1"/>
  <c r="Q5806" i="1"/>
  <c r="Q5807" i="1" a="1"/>
  <c r="Q5807" i="1"/>
  <c r="Q5808" i="1" a="1"/>
  <c r="Q5808" i="1"/>
  <c r="Q5809" i="1" a="1"/>
  <c r="Q5809" i="1"/>
  <c r="Q5810" i="1" a="1"/>
  <c r="Q5810" i="1"/>
  <c r="Q5811" i="1" a="1"/>
  <c r="Q5811" i="1"/>
  <c r="Q5812" i="1" a="1"/>
  <c r="Q5812" i="1"/>
  <c r="Q5813" i="1" a="1"/>
  <c r="Q5813" i="1"/>
  <c r="Q5814" i="1" a="1"/>
  <c r="Q5814" i="1"/>
  <c r="Q5815" i="1" a="1"/>
  <c r="Q5815" i="1"/>
  <c r="Q5816" i="1" a="1"/>
  <c r="Q5816" i="1"/>
  <c r="Q5817" i="1" a="1"/>
  <c r="Q5817" i="1"/>
  <c r="Q5818" i="1" a="1"/>
  <c r="Q5818" i="1"/>
  <c r="Q5819" i="1" a="1"/>
  <c r="Q5819" i="1"/>
  <c r="Q5820" i="1" a="1"/>
  <c r="Q5820" i="1"/>
  <c r="Q5821" i="1" a="1"/>
  <c r="Q5821" i="1"/>
  <c r="Q5822" i="1" a="1"/>
  <c r="Q5822" i="1"/>
  <c r="Q5823" i="1" a="1"/>
  <c r="Q5823" i="1"/>
  <c r="Q5824" i="1" a="1"/>
  <c r="Q5824" i="1"/>
  <c r="Q5825" i="1" a="1"/>
  <c r="Q5825" i="1"/>
  <c r="Q5826" i="1" a="1"/>
  <c r="Q5826" i="1"/>
  <c r="Q5827" i="1" a="1"/>
  <c r="Q5827" i="1"/>
  <c r="Q5828" i="1" a="1"/>
  <c r="Q5828" i="1"/>
  <c r="Q5829" i="1" a="1"/>
  <c r="Q5829" i="1"/>
  <c r="Q5830" i="1" a="1"/>
  <c r="Q5830" i="1"/>
  <c r="Q5831" i="1" a="1"/>
  <c r="Q5831" i="1"/>
  <c r="Q5832" i="1" a="1"/>
  <c r="Q5832" i="1"/>
  <c r="Q5833" i="1" a="1"/>
  <c r="Q5833" i="1"/>
  <c r="Q5834" i="1" a="1"/>
  <c r="Q5834" i="1"/>
  <c r="Q5835" i="1" a="1"/>
  <c r="Q5835" i="1"/>
  <c r="Q5836" i="1" a="1"/>
  <c r="Q5836" i="1"/>
  <c r="Q5837" i="1" a="1"/>
  <c r="Q5837" i="1"/>
  <c r="Q5838" i="1" a="1"/>
  <c r="Q5838" i="1"/>
  <c r="Q5839" i="1" a="1"/>
  <c r="Q5839" i="1"/>
  <c r="Q5840" i="1" a="1"/>
  <c r="Q5840" i="1"/>
  <c r="Q5841" i="1" a="1"/>
  <c r="Q5841" i="1"/>
  <c r="Q5842" i="1" a="1"/>
  <c r="Q5842" i="1"/>
  <c r="Q5843" i="1" a="1"/>
  <c r="Q5843" i="1"/>
  <c r="Q5844" i="1" a="1"/>
  <c r="Q5844" i="1"/>
  <c r="Q5845" i="1" a="1"/>
  <c r="Q5845" i="1"/>
  <c r="Q5846" i="1" a="1"/>
  <c r="Q5846" i="1"/>
  <c r="Q5847" i="1" a="1"/>
  <c r="Q5847" i="1"/>
  <c r="Q5848" i="1" a="1"/>
  <c r="Q5848" i="1"/>
  <c r="Q5849" i="1" a="1"/>
  <c r="Q5849" i="1"/>
  <c r="Q5850" i="1" a="1"/>
  <c r="Q5850" i="1"/>
  <c r="Q5851" i="1" a="1"/>
  <c r="Q5851" i="1"/>
  <c r="Q5852" i="1" a="1"/>
  <c r="Q5852" i="1"/>
  <c r="Q5853" i="1" a="1"/>
  <c r="Q5853" i="1"/>
  <c r="Q5854" i="1" a="1"/>
  <c r="Q5854" i="1"/>
  <c r="Q5855" i="1" a="1"/>
  <c r="Q5855" i="1"/>
  <c r="Q5856" i="1" a="1"/>
  <c r="Q5856" i="1"/>
  <c r="Q5857" i="1" a="1"/>
  <c r="Q5857" i="1"/>
  <c r="Q5858" i="1" a="1"/>
  <c r="Q5858" i="1"/>
  <c r="Q5859" i="1" a="1"/>
  <c r="Q5859" i="1"/>
  <c r="Q5860" i="1" a="1"/>
  <c r="Q5860" i="1"/>
  <c r="Q5861" i="1" a="1"/>
  <c r="Q5861" i="1"/>
  <c r="Q5862" i="1" a="1"/>
  <c r="Q5862" i="1"/>
  <c r="Q5863" i="1" a="1"/>
  <c r="Q5863" i="1"/>
  <c r="Q5864" i="1" a="1"/>
  <c r="Q5864" i="1"/>
  <c r="Q5865" i="1" a="1"/>
  <c r="Q5865" i="1"/>
  <c r="Q5866" i="1" a="1"/>
  <c r="Q5866" i="1"/>
  <c r="Q5867" i="1" a="1"/>
  <c r="Q5867" i="1"/>
  <c r="Q5868" i="1" a="1"/>
  <c r="Q5868" i="1"/>
  <c r="Q5869" i="1" a="1"/>
  <c r="Q5869" i="1"/>
  <c r="Q5870" i="1" a="1"/>
  <c r="Q5870" i="1"/>
  <c r="Q5871" i="1" a="1"/>
  <c r="Q5871" i="1"/>
  <c r="Q5872" i="1" a="1"/>
  <c r="Q5872" i="1"/>
  <c r="Q5873" i="1" a="1"/>
  <c r="Q5873" i="1"/>
  <c r="Q5874" i="1" a="1"/>
  <c r="Q5874" i="1"/>
  <c r="Q5875" i="1" a="1"/>
  <c r="Q5875" i="1"/>
  <c r="Q5876" i="1" a="1"/>
  <c r="Q5876" i="1"/>
  <c r="Q5877" i="1" a="1"/>
  <c r="Q5877" i="1"/>
  <c r="Q5878" i="1" a="1"/>
  <c r="Q5878" i="1"/>
  <c r="Q5879" i="1" a="1"/>
  <c r="Q5879" i="1"/>
  <c r="Q5880" i="1" a="1"/>
  <c r="Q5880" i="1"/>
  <c r="Q5881" i="1" a="1"/>
  <c r="Q5881" i="1"/>
  <c r="Q5882" i="1" a="1"/>
  <c r="Q5882" i="1"/>
  <c r="Q5883" i="1" a="1"/>
  <c r="Q5883" i="1"/>
  <c r="Q5884" i="1" a="1"/>
  <c r="Q5884" i="1"/>
  <c r="Q5885" i="1" a="1"/>
  <c r="Q5885" i="1"/>
  <c r="Q5886" i="1" a="1"/>
  <c r="Q5886" i="1"/>
  <c r="Q5887" i="1" a="1"/>
  <c r="Q5887" i="1"/>
  <c r="Q5888" i="1" a="1"/>
  <c r="Q5888" i="1"/>
  <c r="Q5889" i="1" a="1"/>
  <c r="Q5889" i="1"/>
  <c r="Q5890" i="1" a="1"/>
  <c r="Q5890" i="1"/>
  <c r="Q5891" i="1" a="1"/>
  <c r="Q5891" i="1"/>
  <c r="Q5892" i="1" a="1"/>
  <c r="Q5892" i="1"/>
  <c r="Q5893" i="1" a="1"/>
  <c r="Q5893" i="1"/>
  <c r="Q5894" i="1" a="1"/>
  <c r="Q5894" i="1"/>
  <c r="Q5895" i="1" a="1"/>
  <c r="Q5895" i="1"/>
  <c r="Q5896" i="1" a="1"/>
  <c r="Q5896" i="1"/>
  <c r="Q5897" i="1" a="1"/>
  <c r="Q5897" i="1"/>
  <c r="Q5898" i="1" a="1"/>
  <c r="Q5898" i="1"/>
  <c r="Q5899" i="1" a="1"/>
  <c r="Q5899" i="1"/>
  <c r="Q5900" i="1" a="1"/>
  <c r="Q5900" i="1"/>
  <c r="Q5901" i="1" a="1"/>
  <c r="Q5901" i="1"/>
  <c r="Q5902" i="1" a="1"/>
  <c r="Q5902" i="1"/>
  <c r="Q5903" i="1" a="1"/>
  <c r="Q5903" i="1"/>
  <c r="Q5904" i="1" a="1"/>
  <c r="Q5904" i="1"/>
  <c r="Q5905" i="1" a="1"/>
  <c r="Q5905" i="1"/>
  <c r="Q5906" i="1" a="1"/>
  <c r="Q5906" i="1"/>
  <c r="Q5907" i="1" a="1"/>
  <c r="Q5907" i="1"/>
  <c r="Q5908" i="1" a="1"/>
  <c r="Q5908" i="1"/>
  <c r="Q5909" i="1" a="1"/>
  <c r="Q5909" i="1"/>
  <c r="Q5910" i="1" a="1"/>
  <c r="Q5910" i="1"/>
  <c r="Q5911" i="1" a="1"/>
  <c r="Q5911" i="1"/>
  <c r="Q5912" i="1" a="1"/>
  <c r="Q5912" i="1"/>
  <c r="Q5913" i="1" a="1"/>
  <c r="Q5913" i="1"/>
  <c r="Q5914" i="1" a="1"/>
  <c r="Q5914" i="1"/>
  <c r="Q5915" i="1" a="1"/>
  <c r="Q5915" i="1"/>
  <c r="Q5916" i="1" a="1"/>
  <c r="Q5916" i="1"/>
  <c r="Q5917" i="1" a="1"/>
  <c r="Q5917" i="1"/>
  <c r="Q5918" i="1" a="1"/>
  <c r="Q5918" i="1"/>
  <c r="Q5919" i="1" a="1"/>
  <c r="Q5919" i="1"/>
  <c r="Q5920" i="1" a="1"/>
  <c r="Q5920" i="1"/>
  <c r="Q5921" i="1" a="1"/>
  <c r="Q5921" i="1"/>
  <c r="Q5922" i="1" a="1"/>
  <c r="Q5922" i="1"/>
  <c r="Q5923" i="1" a="1"/>
  <c r="Q5923" i="1"/>
  <c r="Q5924" i="1" a="1"/>
  <c r="Q5924" i="1"/>
  <c r="Q5925" i="1" a="1"/>
  <c r="Q5925" i="1"/>
  <c r="Q5926" i="1" a="1"/>
  <c r="Q5926" i="1"/>
  <c r="Q5927" i="1" a="1"/>
  <c r="Q5927" i="1"/>
  <c r="Q5928" i="1" a="1"/>
  <c r="Q5928" i="1"/>
  <c r="Q5929" i="1" a="1"/>
  <c r="Q5929" i="1"/>
  <c r="Q5930" i="1" a="1"/>
  <c r="Q5930" i="1"/>
  <c r="Q5931" i="1" a="1"/>
  <c r="Q5931" i="1"/>
  <c r="Q5932" i="1" a="1"/>
  <c r="Q5932" i="1"/>
  <c r="Q5933" i="1" a="1"/>
  <c r="Q5933" i="1"/>
  <c r="Q5934" i="1" a="1"/>
  <c r="Q5934" i="1"/>
  <c r="Q5935" i="1" a="1"/>
  <c r="Q5935" i="1"/>
  <c r="Q5936" i="1" a="1"/>
  <c r="Q5936" i="1"/>
  <c r="Q5937" i="1" a="1"/>
  <c r="Q5937" i="1"/>
  <c r="Q5938" i="1" a="1"/>
  <c r="Q5938" i="1"/>
  <c r="Q5939" i="1" a="1"/>
  <c r="Q5939" i="1"/>
  <c r="Q5940" i="1" a="1"/>
  <c r="Q5940" i="1"/>
  <c r="Q5941" i="1" a="1"/>
  <c r="Q5941" i="1"/>
  <c r="Q5942" i="1" a="1"/>
  <c r="Q5942" i="1"/>
  <c r="Q5943" i="1" a="1"/>
  <c r="Q5943" i="1"/>
  <c r="Q5944" i="1" a="1"/>
  <c r="Q5944" i="1"/>
  <c r="Q5945" i="1" a="1"/>
  <c r="Q5945" i="1"/>
  <c r="Q5946" i="1" a="1"/>
  <c r="Q5946" i="1"/>
  <c r="Q5947" i="1" a="1"/>
  <c r="Q5947" i="1"/>
  <c r="Q5948" i="1" a="1"/>
  <c r="Q5948" i="1"/>
  <c r="Q5949" i="1" a="1"/>
  <c r="Q5949" i="1"/>
  <c r="Q5950" i="1" a="1"/>
  <c r="Q5950" i="1"/>
  <c r="Q5951" i="1" a="1"/>
  <c r="Q5951" i="1"/>
  <c r="Q5952" i="1" a="1"/>
  <c r="Q5952" i="1"/>
  <c r="Q5953" i="1" a="1"/>
  <c r="Q5953" i="1"/>
  <c r="Q5954" i="1" a="1"/>
  <c r="Q5954" i="1"/>
  <c r="Q5955" i="1" a="1"/>
  <c r="Q5955" i="1"/>
  <c r="Q5956" i="1" a="1"/>
  <c r="Q5956" i="1"/>
  <c r="Q5957" i="1" a="1"/>
  <c r="Q5957" i="1"/>
  <c r="Q5958" i="1" a="1"/>
  <c r="Q5958" i="1"/>
  <c r="Q5959" i="1" a="1"/>
  <c r="Q5959" i="1"/>
  <c r="Q5960" i="1" a="1"/>
  <c r="Q5960" i="1"/>
  <c r="Q5961" i="1" a="1"/>
  <c r="Q5961" i="1"/>
  <c r="Q5962" i="1" a="1"/>
  <c r="Q5962" i="1"/>
  <c r="Q5963" i="1" a="1"/>
  <c r="Q5963" i="1"/>
  <c r="Q5964" i="1" a="1"/>
  <c r="Q5964" i="1"/>
  <c r="Q5965" i="1" a="1"/>
  <c r="Q5965" i="1"/>
  <c r="Q5966" i="1" a="1"/>
  <c r="Q5966" i="1"/>
  <c r="Q5967" i="1" a="1"/>
  <c r="Q5967" i="1"/>
  <c r="Q5968" i="1" a="1"/>
  <c r="Q5968" i="1"/>
  <c r="Q5969" i="1" a="1"/>
  <c r="Q5969" i="1"/>
  <c r="Q5970" i="1" a="1"/>
  <c r="Q5970" i="1"/>
  <c r="Q5971" i="1" a="1"/>
  <c r="Q5971" i="1"/>
  <c r="Q5972" i="1" a="1"/>
  <c r="Q5972" i="1"/>
  <c r="Q5973" i="1" a="1"/>
  <c r="Q5973" i="1"/>
  <c r="Q5974" i="1" a="1"/>
  <c r="Q5974" i="1"/>
  <c r="Q5975" i="1" a="1"/>
  <c r="Q5975" i="1"/>
  <c r="Q5976" i="1" a="1"/>
  <c r="Q5976" i="1"/>
  <c r="Q5977" i="1" a="1"/>
  <c r="Q5977" i="1"/>
  <c r="Q5978" i="1" a="1"/>
  <c r="Q5978" i="1"/>
  <c r="Q5979" i="1" a="1"/>
  <c r="Q5979" i="1"/>
  <c r="Q5980" i="1" a="1"/>
  <c r="Q5980" i="1"/>
  <c r="Q5981" i="1" a="1"/>
  <c r="Q5981" i="1"/>
  <c r="Q5982" i="1" a="1"/>
  <c r="Q5982" i="1"/>
  <c r="Q5983" i="1" a="1"/>
  <c r="Q5983" i="1"/>
  <c r="Q5984" i="1" a="1"/>
  <c r="Q5984" i="1"/>
  <c r="Q5985" i="1" a="1"/>
  <c r="Q5985" i="1"/>
  <c r="Q5986" i="1" a="1"/>
  <c r="Q5986" i="1"/>
  <c r="Q5987" i="1" a="1"/>
  <c r="Q5987" i="1"/>
  <c r="Q5988" i="1" a="1"/>
  <c r="Q5988" i="1"/>
  <c r="Q5989" i="1" a="1"/>
  <c r="Q5989" i="1"/>
  <c r="Q5990" i="1" a="1"/>
  <c r="Q5990" i="1"/>
  <c r="Q5991" i="1" a="1"/>
  <c r="Q5991" i="1"/>
  <c r="Q5992" i="1" a="1"/>
  <c r="Q5992" i="1"/>
  <c r="Q5993" i="1" a="1"/>
  <c r="Q5993" i="1"/>
  <c r="Q5994" i="1" a="1"/>
  <c r="Q5994" i="1"/>
  <c r="Q5995" i="1" a="1"/>
  <c r="Q5995" i="1"/>
  <c r="Q5996" i="1" a="1"/>
  <c r="Q5996" i="1"/>
  <c r="Q5997" i="1" a="1"/>
  <c r="Q5997" i="1"/>
  <c r="Q5998" i="1" a="1"/>
  <c r="Q5998" i="1"/>
  <c r="Q5999" i="1" a="1"/>
  <c r="Q5999" i="1"/>
  <c r="Q6000" i="1" a="1"/>
  <c r="Q6000" i="1"/>
  <c r="Q6001" i="1" a="1"/>
  <c r="Q6001" i="1"/>
  <c r="Q6002" i="1" a="1"/>
  <c r="Q6002" i="1"/>
  <c r="Q6003" i="1" a="1"/>
  <c r="Q6003" i="1"/>
  <c r="Q6004" i="1" a="1"/>
  <c r="Q6004" i="1"/>
  <c r="Q6005" i="1" a="1"/>
  <c r="Q6005" i="1"/>
  <c r="Q6006" i="1" a="1"/>
  <c r="Q6006" i="1"/>
  <c r="Q6007" i="1" a="1"/>
  <c r="Q6007" i="1"/>
  <c r="Q6008" i="1" a="1"/>
  <c r="Q6008" i="1"/>
  <c r="Q6009" i="1" a="1"/>
  <c r="Q6009" i="1"/>
  <c r="Q6010" i="1" a="1"/>
  <c r="Q6010" i="1"/>
  <c r="Q6011" i="1" a="1"/>
  <c r="Q6011" i="1"/>
  <c r="Q6012" i="1" a="1"/>
  <c r="Q6012" i="1"/>
  <c r="Q6013" i="1" a="1"/>
  <c r="Q6013" i="1"/>
  <c r="Q6014" i="1" a="1"/>
  <c r="Q6014" i="1"/>
  <c r="Q6015" i="1" a="1"/>
  <c r="Q6015" i="1"/>
  <c r="Q6016" i="1" a="1"/>
  <c r="Q6016" i="1"/>
  <c r="Q6017" i="1" a="1"/>
  <c r="Q6017" i="1"/>
  <c r="Q6018" i="1" a="1"/>
  <c r="Q6018" i="1"/>
  <c r="Q6019" i="1" a="1"/>
  <c r="Q6019" i="1"/>
  <c r="Q6020" i="1" a="1"/>
  <c r="Q6020" i="1"/>
  <c r="Q6021" i="1" a="1"/>
  <c r="Q6021" i="1"/>
  <c r="Q6022" i="1" a="1"/>
  <c r="Q6022" i="1"/>
  <c r="Q6023" i="1" a="1"/>
  <c r="Q6023" i="1"/>
  <c r="Q6024" i="1" a="1"/>
  <c r="Q6024" i="1"/>
  <c r="Q6025" i="1" a="1"/>
  <c r="Q6025" i="1"/>
  <c r="Q6026" i="1" a="1"/>
  <c r="Q6026" i="1"/>
  <c r="Q6027" i="1" a="1"/>
  <c r="Q6027" i="1"/>
  <c r="Q6028" i="1" a="1"/>
  <c r="Q6028" i="1"/>
  <c r="Q6029" i="1" a="1"/>
  <c r="Q6029" i="1"/>
  <c r="Q6030" i="1" a="1"/>
  <c r="Q6030" i="1"/>
  <c r="Q6031" i="1" a="1"/>
  <c r="Q6031" i="1"/>
  <c r="Q6032" i="1" a="1"/>
  <c r="Q6032" i="1"/>
  <c r="Q6033" i="1" a="1"/>
  <c r="Q6033" i="1"/>
  <c r="Q6034" i="1" a="1"/>
  <c r="Q6034" i="1"/>
  <c r="Q6035" i="1" a="1"/>
  <c r="Q6035" i="1"/>
  <c r="Q6036" i="1" a="1"/>
  <c r="Q6036" i="1"/>
  <c r="Q6037" i="1" a="1"/>
  <c r="Q6037" i="1"/>
  <c r="Q6038" i="1" a="1"/>
  <c r="Q6038" i="1"/>
  <c r="Q6039" i="1" a="1"/>
  <c r="Q6039" i="1"/>
  <c r="Q6040" i="1" a="1"/>
  <c r="Q6040" i="1"/>
  <c r="Q6041" i="1" a="1"/>
  <c r="Q6041" i="1"/>
  <c r="Q6042" i="1" a="1"/>
  <c r="Q6042" i="1"/>
  <c r="Q6043" i="1" a="1"/>
  <c r="Q6043" i="1"/>
  <c r="Q6044" i="1" a="1"/>
  <c r="Q6044" i="1"/>
  <c r="Q6045" i="1" a="1"/>
  <c r="Q6045" i="1"/>
  <c r="Q6046" i="1" a="1"/>
  <c r="Q6046" i="1"/>
  <c r="Q6047" i="1" a="1"/>
  <c r="Q6047" i="1"/>
  <c r="Q6048" i="1" a="1"/>
  <c r="Q6048" i="1"/>
  <c r="Q6049" i="1" a="1"/>
  <c r="Q6049" i="1"/>
  <c r="Q6050" i="1" a="1"/>
  <c r="Q6050" i="1"/>
  <c r="Q6051" i="1" a="1"/>
  <c r="Q6051" i="1"/>
  <c r="Q6052" i="1" a="1"/>
  <c r="Q6052" i="1"/>
  <c r="Q6053" i="1" a="1"/>
  <c r="Q6053" i="1"/>
  <c r="Q6054" i="1" a="1"/>
  <c r="Q6054" i="1"/>
  <c r="Q6055" i="1" a="1"/>
  <c r="Q6055" i="1"/>
  <c r="Q6056" i="1" a="1"/>
  <c r="Q6056" i="1"/>
  <c r="Q6057" i="1" a="1"/>
  <c r="Q6057" i="1"/>
  <c r="Q6058" i="1" a="1"/>
  <c r="Q6058" i="1"/>
  <c r="Q6059" i="1" a="1"/>
  <c r="Q6059" i="1"/>
  <c r="Q6060" i="1" a="1"/>
  <c r="Q6060" i="1"/>
  <c r="Q6061" i="1" a="1"/>
  <c r="Q6061" i="1"/>
  <c r="Q6062" i="1" a="1"/>
  <c r="Q6062" i="1"/>
  <c r="Q6063" i="1" a="1"/>
  <c r="Q6063" i="1"/>
  <c r="Q6064" i="1" a="1"/>
  <c r="Q6064" i="1"/>
  <c r="Q6065" i="1" a="1"/>
  <c r="Q6065" i="1"/>
  <c r="Q6066" i="1" a="1"/>
  <c r="Q6066" i="1"/>
  <c r="Q6067" i="1" a="1"/>
  <c r="Q6067" i="1"/>
  <c r="Q6068" i="1" a="1"/>
  <c r="Q6068" i="1"/>
  <c r="Q6069" i="1" a="1"/>
  <c r="Q6069" i="1"/>
  <c r="Q6070" i="1" a="1"/>
  <c r="Q6070" i="1"/>
  <c r="Q6071" i="1" a="1"/>
  <c r="Q6071" i="1"/>
  <c r="Q6072" i="1" a="1"/>
  <c r="Q6072" i="1"/>
  <c r="Q6073" i="1" a="1"/>
  <c r="Q6073" i="1"/>
  <c r="Q6074" i="1" a="1"/>
  <c r="Q6074" i="1"/>
  <c r="Q6075" i="1" a="1"/>
  <c r="Q6075" i="1"/>
  <c r="Q6076" i="1" a="1"/>
  <c r="Q6076" i="1"/>
  <c r="Q6077" i="1" a="1"/>
  <c r="Q6077" i="1"/>
  <c r="Q6078" i="1" a="1"/>
  <c r="Q6078" i="1"/>
  <c r="Q6079" i="1" a="1"/>
  <c r="Q6079" i="1"/>
  <c r="Q6080" i="1" a="1"/>
  <c r="Q6080" i="1"/>
  <c r="Q6081" i="1" a="1"/>
  <c r="Q6081" i="1"/>
  <c r="Q6082" i="1" a="1"/>
  <c r="Q6082" i="1"/>
  <c r="Q6083" i="1" a="1"/>
  <c r="Q6083" i="1"/>
  <c r="Q6084" i="1" a="1"/>
  <c r="Q6084" i="1"/>
  <c r="Q6085" i="1" a="1"/>
  <c r="Q6085" i="1"/>
  <c r="Q6086" i="1" a="1"/>
  <c r="Q6086" i="1"/>
  <c r="Q6087" i="1" a="1"/>
  <c r="Q6087" i="1"/>
  <c r="Q6088" i="1" a="1"/>
  <c r="Q6088" i="1"/>
  <c r="Q6089" i="1" a="1"/>
  <c r="Q6089" i="1"/>
  <c r="Q6090" i="1" a="1"/>
  <c r="Q6090" i="1"/>
  <c r="Q6091" i="1" a="1"/>
  <c r="Q6091" i="1"/>
  <c r="Q6092" i="1" a="1"/>
  <c r="Q6092" i="1"/>
  <c r="Q6093" i="1" a="1"/>
  <c r="Q6093" i="1"/>
  <c r="Q6094" i="1" a="1"/>
  <c r="Q6094" i="1"/>
  <c r="Q6095" i="1" a="1"/>
  <c r="Q6095" i="1"/>
  <c r="Q6096" i="1" a="1"/>
  <c r="Q6096" i="1"/>
  <c r="Q6097" i="1" a="1"/>
  <c r="Q6097" i="1"/>
  <c r="Q6098" i="1" a="1"/>
  <c r="Q6098" i="1"/>
  <c r="Q6099" i="1" a="1"/>
  <c r="Q6099" i="1"/>
  <c r="Q6100" i="1" a="1"/>
  <c r="Q6100" i="1"/>
  <c r="Q6101" i="1" a="1"/>
  <c r="Q6101" i="1"/>
  <c r="Q6102" i="1" a="1"/>
  <c r="Q6102" i="1"/>
  <c r="Q6103" i="1" a="1"/>
  <c r="Q6103" i="1"/>
  <c r="Q6104" i="1" a="1"/>
  <c r="Q6104" i="1"/>
  <c r="Q6105" i="1" a="1"/>
  <c r="Q6105" i="1"/>
  <c r="Q6106" i="1" a="1"/>
  <c r="Q6106" i="1"/>
  <c r="Q6107" i="1" a="1"/>
  <c r="Q6107" i="1"/>
  <c r="Q6108" i="1" a="1"/>
  <c r="Q6108" i="1"/>
  <c r="Q6109" i="1" a="1"/>
  <c r="Q6109" i="1"/>
  <c r="Q6110" i="1" a="1"/>
  <c r="Q6110" i="1"/>
  <c r="Q6111" i="1" a="1"/>
  <c r="Q6111" i="1"/>
  <c r="Q6112" i="1" a="1"/>
  <c r="Q6112" i="1"/>
  <c r="Q6113" i="1" a="1"/>
  <c r="Q6113" i="1"/>
  <c r="Q6114" i="1" a="1"/>
  <c r="Q6114" i="1"/>
  <c r="Q6115" i="1" a="1"/>
  <c r="Q6115" i="1"/>
  <c r="Q6116" i="1" a="1"/>
  <c r="Q6116" i="1"/>
  <c r="Q6117" i="1" a="1"/>
  <c r="Q6117" i="1"/>
  <c r="Q6118" i="1" a="1"/>
  <c r="Q6118" i="1"/>
  <c r="Q6119" i="1" a="1"/>
  <c r="Q6119" i="1"/>
  <c r="Q6120" i="1" a="1"/>
  <c r="Q6120" i="1"/>
  <c r="Q6121" i="1" a="1"/>
  <c r="Q6121" i="1"/>
  <c r="Q6122" i="1" a="1"/>
  <c r="Q6122" i="1"/>
  <c r="Q6123" i="1" a="1"/>
  <c r="Q6123" i="1"/>
  <c r="Q6124" i="1" a="1"/>
  <c r="Q6124" i="1"/>
  <c r="Q6125" i="1" a="1"/>
  <c r="Q6125" i="1"/>
  <c r="Q6126" i="1" a="1"/>
  <c r="Q6126" i="1"/>
  <c r="Q6127" i="1" a="1"/>
  <c r="Q6127" i="1"/>
  <c r="Q6128" i="1" a="1"/>
  <c r="Q6128" i="1"/>
  <c r="Q6129" i="1" a="1"/>
  <c r="Q6129" i="1"/>
  <c r="Q6130" i="1" a="1"/>
  <c r="Q6130" i="1"/>
  <c r="Q6131" i="1" a="1"/>
  <c r="Q6131" i="1"/>
  <c r="Q6132" i="1" a="1"/>
  <c r="Q6132" i="1"/>
  <c r="Q6133" i="1" a="1"/>
  <c r="Q6133" i="1"/>
  <c r="Q6134" i="1" a="1"/>
  <c r="Q6134" i="1"/>
  <c r="Q6135" i="1" a="1"/>
  <c r="Q6135" i="1"/>
  <c r="Q6136" i="1" a="1"/>
  <c r="Q6136" i="1"/>
  <c r="Q6137" i="1" a="1"/>
  <c r="Q6137" i="1"/>
  <c r="Q6138" i="1" a="1"/>
  <c r="Q6138" i="1"/>
  <c r="Q6139" i="1" a="1"/>
  <c r="Q6139" i="1"/>
  <c r="Q6140" i="1" a="1"/>
  <c r="Q6140" i="1"/>
  <c r="Q6141" i="1" a="1"/>
  <c r="Q6141" i="1"/>
  <c r="Q6142" i="1" a="1"/>
  <c r="Q6142" i="1"/>
  <c r="Q6143" i="1" a="1"/>
  <c r="Q6143" i="1"/>
  <c r="Q6144" i="1" a="1"/>
  <c r="Q6144" i="1"/>
  <c r="Q6145" i="1" a="1"/>
  <c r="Q6145" i="1"/>
  <c r="Q6146" i="1" a="1"/>
  <c r="Q6146" i="1"/>
  <c r="Q6147" i="1" a="1"/>
  <c r="Q6147" i="1"/>
  <c r="Q6148" i="1" a="1"/>
  <c r="Q6148" i="1"/>
  <c r="Q6149" i="1" a="1"/>
  <c r="Q6149" i="1"/>
  <c r="Q6150" i="1" a="1"/>
  <c r="Q6150" i="1"/>
  <c r="Q6151" i="1" a="1"/>
  <c r="Q6151" i="1"/>
  <c r="Q6152" i="1" a="1"/>
  <c r="Q6152" i="1"/>
  <c r="Q6153" i="1" a="1"/>
  <c r="Q6153" i="1"/>
  <c r="Q6154" i="1" a="1"/>
  <c r="Q6154" i="1"/>
  <c r="Q6155" i="1" a="1"/>
  <c r="Q6155" i="1"/>
  <c r="Q6156" i="1" a="1"/>
  <c r="Q6156" i="1"/>
  <c r="Q6157" i="1" a="1"/>
  <c r="Q6157" i="1"/>
  <c r="Q6158" i="1" a="1"/>
  <c r="Q6158" i="1"/>
  <c r="Q6159" i="1" a="1"/>
  <c r="Q6159" i="1"/>
  <c r="Q6160" i="1" a="1"/>
  <c r="Q6160" i="1"/>
  <c r="Q6161" i="1" a="1"/>
  <c r="Q6161" i="1"/>
  <c r="Q6162" i="1" a="1"/>
  <c r="Q6162" i="1"/>
  <c r="Q6163" i="1" a="1"/>
  <c r="Q6163" i="1"/>
  <c r="Q6164" i="1" a="1"/>
  <c r="Q6164" i="1"/>
  <c r="Q6165" i="1" a="1"/>
  <c r="Q6165" i="1"/>
  <c r="Q6166" i="1" a="1"/>
  <c r="Q6166" i="1"/>
  <c r="Q6167" i="1" a="1"/>
  <c r="Q6167" i="1"/>
  <c r="Q6168" i="1" a="1"/>
  <c r="Q6168" i="1"/>
  <c r="Q6169" i="1" a="1"/>
  <c r="Q6169" i="1"/>
  <c r="Q6170" i="1" a="1"/>
  <c r="Q6170" i="1"/>
  <c r="Q6171" i="1" a="1"/>
  <c r="Q6171" i="1"/>
  <c r="Q6172" i="1" a="1"/>
  <c r="Q6172" i="1"/>
  <c r="Q6173" i="1" a="1"/>
  <c r="Q6173" i="1"/>
  <c r="Q6174" i="1" a="1"/>
  <c r="Q6174" i="1"/>
  <c r="Q6175" i="1" a="1"/>
  <c r="Q6175" i="1"/>
  <c r="Q6176" i="1" a="1"/>
  <c r="Q6176" i="1"/>
  <c r="Q6177" i="1" a="1"/>
  <c r="Q6177" i="1"/>
  <c r="Q6178" i="1" a="1"/>
  <c r="Q6178" i="1"/>
  <c r="Q6179" i="1" a="1"/>
  <c r="Q6179" i="1"/>
  <c r="Q6180" i="1" a="1"/>
  <c r="Q6180" i="1"/>
  <c r="Q6181" i="1" a="1"/>
  <c r="Q6181" i="1"/>
  <c r="Q6182" i="1" a="1"/>
  <c r="Q6182" i="1"/>
  <c r="Q6183" i="1" a="1"/>
  <c r="Q6183" i="1"/>
  <c r="Q6184" i="1" a="1"/>
  <c r="Q6184" i="1"/>
  <c r="Q6185" i="1" a="1"/>
  <c r="Q6185" i="1"/>
  <c r="Q6186" i="1" a="1"/>
  <c r="Q6186" i="1"/>
  <c r="Q6187" i="1" a="1"/>
  <c r="Q6187" i="1"/>
  <c r="Q6188" i="1" a="1"/>
  <c r="Q6188" i="1"/>
  <c r="Q6189" i="1" a="1"/>
  <c r="Q6189" i="1"/>
  <c r="Q6190" i="1" a="1"/>
  <c r="Q6190" i="1"/>
  <c r="Q6191" i="1" a="1"/>
  <c r="Q6191" i="1"/>
  <c r="Q6192" i="1" a="1"/>
  <c r="Q6192" i="1"/>
  <c r="Q6193" i="1" a="1"/>
  <c r="Q6193" i="1"/>
  <c r="Q6194" i="1" a="1"/>
  <c r="Q6194" i="1"/>
  <c r="Q6195" i="1" a="1"/>
  <c r="Q6195" i="1"/>
  <c r="Q6196" i="1" a="1"/>
  <c r="Q6196" i="1"/>
  <c r="Q6197" i="1" a="1"/>
  <c r="Q6197" i="1"/>
  <c r="Q6198" i="1" a="1"/>
  <c r="Q6198" i="1"/>
  <c r="Q6199" i="1" a="1"/>
  <c r="Q6199" i="1"/>
  <c r="Q6200" i="1" a="1"/>
  <c r="Q6200" i="1"/>
  <c r="Q6201" i="1" a="1"/>
  <c r="Q6201" i="1"/>
  <c r="Q6202" i="1" a="1"/>
  <c r="Q6202" i="1"/>
  <c r="Q6203" i="1" a="1"/>
  <c r="Q6203" i="1"/>
  <c r="Q6204" i="1" a="1"/>
  <c r="Q6204" i="1"/>
  <c r="Q6205" i="1" a="1"/>
  <c r="Q6205" i="1"/>
  <c r="Q6206" i="1" a="1"/>
  <c r="Q6206" i="1"/>
  <c r="Q6207" i="1" a="1"/>
  <c r="Q6207" i="1"/>
  <c r="Q6208" i="1" a="1"/>
  <c r="Q6208" i="1"/>
  <c r="Q6209" i="1" a="1"/>
  <c r="Q6209" i="1"/>
  <c r="Q6210" i="1" a="1"/>
  <c r="Q6210" i="1"/>
  <c r="Q6211" i="1" a="1"/>
  <c r="Q6211" i="1"/>
  <c r="Q6212" i="1" a="1"/>
  <c r="Q6212" i="1"/>
  <c r="Q6213" i="1" a="1"/>
  <c r="Q6213" i="1"/>
  <c r="Q6214" i="1" a="1"/>
  <c r="Q6214" i="1"/>
  <c r="Q6215" i="1" a="1"/>
  <c r="Q6215" i="1"/>
  <c r="Q6216" i="1" a="1"/>
  <c r="Q6216" i="1"/>
  <c r="Q6217" i="1" a="1"/>
  <c r="Q6217" i="1"/>
  <c r="Q6218" i="1" a="1"/>
  <c r="Q6218" i="1"/>
  <c r="Q6219" i="1" a="1"/>
  <c r="Q6219" i="1"/>
  <c r="Q6220" i="1" a="1"/>
  <c r="Q6220" i="1"/>
  <c r="Q6221" i="1" a="1"/>
  <c r="Q6221" i="1"/>
  <c r="Q6222" i="1" a="1"/>
  <c r="Q6222" i="1"/>
  <c r="Q6223" i="1" a="1"/>
  <c r="Q6223" i="1"/>
  <c r="Q6224" i="1" a="1"/>
  <c r="Q6224" i="1"/>
  <c r="Q6225" i="1" a="1"/>
  <c r="Q6225" i="1"/>
  <c r="Q6226" i="1" a="1"/>
  <c r="Q6226" i="1"/>
  <c r="Q6227" i="1" a="1"/>
  <c r="Q6227" i="1"/>
  <c r="Q6228" i="1" a="1"/>
  <c r="Q6228" i="1"/>
  <c r="Q6229" i="1" a="1"/>
  <c r="Q6229" i="1"/>
  <c r="Q6230" i="1" a="1"/>
  <c r="Q6230" i="1"/>
  <c r="Q6231" i="1" a="1"/>
  <c r="Q6231" i="1"/>
  <c r="Q6232" i="1" a="1"/>
  <c r="Q6232" i="1"/>
  <c r="Q6233" i="1" a="1"/>
  <c r="Q6233" i="1"/>
  <c r="Q6234" i="1" a="1"/>
  <c r="Q6234" i="1"/>
  <c r="Q6235" i="1" a="1"/>
  <c r="Q6235" i="1"/>
  <c r="Q6236" i="1" a="1"/>
  <c r="Q6236" i="1"/>
  <c r="Q6237" i="1" a="1"/>
  <c r="Q6237" i="1"/>
  <c r="Q6238" i="1" a="1"/>
  <c r="Q6238" i="1"/>
  <c r="Q6239" i="1" a="1"/>
  <c r="Q6239" i="1"/>
  <c r="Q6240" i="1" a="1"/>
  <c r="Q6240" i="1"/>
  <c r="Q6241" i="1" a="1"/>
  <c r="Q6241" i="1"/>
  <c r="Q6242" i="1" a="1"/>
  <c r="Q6242" i="1"/>
  <c r="Q6243" i="1" a="1"/>
  <c r="Q6243" i="1"/>
  <c r="Q6244" i="1" a="1"/>
  <c r="Q6244" i="1"/>
  <c r="Q6245" i="1" a="1"/>
  <c r="Q6245" i="1"/>
  <c r="Q6246" i="1" a="1"/>
  <c r="Q6246" i="1"/>
  <c r="Q6247" i="1" a="1"/>
  <c r="Q6247" i="1"/>
  <c r="Q6248" i="1" a="1"/>
  <c r="Q6248" i="1"/>
  <c r="Q6249" i="1" a="1"/>
  <c r="Q6249" i="1"/>
  <c r="Q6250" i="1" a="1"/>
  <c r="Q6250" i="1"/>
  <c r="Q6251" i="1" a="1"/>
  <c r="Q6251" i="1"/>
  <c r="Q6252" i="1" a="1"/>
  <c r="Q6252" i="1"/>
  <c r="Q6253" i="1" a="1"/>
  <c r="Q6253" i="1"/>
  <c r="Q6254" i="1" a="1"/>
  <c r="Q6254" i="1"/>
  <c r="Q6255" i="1" a="1"/>
  <c r="Q6255" i="1"/>
  <c r="Q6256" i="1" a="1"/>
  <c r="Q6256" i="1"/>
  <c r="Q6257" i="1" a="1"/>
  <c r="Q6257" i="1"/>
  <c r="Q6258" i="1" a="1"/>
  <c r="Q6258" i="1"/>
  <c r="Q6259" i="1" a="1"/>
  <c r="Q6259" i="1"/>
  <c r="Q6260" i="1" a="1"/>
  <c r="Q6260" i="1"/>
  <c r="Q6261" i="1" a="1"/>
  <c r="Q6261" i="1"/>
  <c r="Q6262" i="1" a="1"/>
  <c r="Q6262" i="1"/>
  <c r="Q6263" i="1" a="1"/>
  <c r="Q6263" i="1"/>
  <c r="Q6264" i="1" a="1"/>
  <c r="Q6264" i="1"/>
  <c r="Q6265" i="1" a="1"/>
  <c r="Q6265" i="1"/>
  <c r="Q6266" i="1" a="1"/>
  <c r="Q6266" i="1"/>
  <c r="Q6267" i="1" a="1"/>
  <c r="Q6267" i="1"/>
  <c r="Q6268" i="1" a="1"/>
  <c r="Q6268" i="1"/>
  <c r="Q6269" i="1" a="1"/>
  <c r="Q6269" i="1"/>
  <c r="Q6270" i="1" a="1"/>
  <c r="Q6270" i="1"/>
  <c r="Q6271" i="1" a="1"/>
  <c r="Q6271" i="1"/>
  <c r="Q6272" i="1" a="1"/>
  <c r="Q6272" i="1"/>
  <c r="Q6273" i="1" a="1"/>
  <c r="Q6273" i="1"/>
  <c r="Q6274" i="1" a="1"/>
  <c r="Q6274" i="1"/>
  <c r="Q6275" i="1" a="1"/>
  <c r="Q6275" i="1"/>
  <c r="Q6276" i="1" a="1"/>
  <c r="Q6276" i="1"/>
  <c r="Q6277" i="1" a="1"/>
  <c r="Q6277" i="1"/>
  <c r="Q6278" i="1" a="1"/>
  <c r="Q6278" i="1"/>
  <c r="Q6279" i="1" a="1"/>
  <c r="Q6279" i="1"/>
  <c r="Q6280" i="1" a="1"/>
  <c r="Q6280" i="1"/>
  <c r="Q6281" i="1" a="1"/>
  <c r="Q6281" i="1"/>
  <c r="Q6282" i="1" a="1"/>
  <c r="Q6282" i="1"/>
  <c r="Q6283" i="1" a="1"/>
  <c r="Q6283" i="1"/>
  <c r="Q6284" i="1" a="1"/>
  <c r="Q6284" i="1"/>
  <c r="Q6285" i="1" a="1"/>
  <c r="Q6285" i="1"/>
  <c r="Q6286" i="1" a="1"/>
  <c r="Q6286" i="1"/>
  <c r="Q6287" i="1" a="1"/>
  <c r="Q6287" i="1"/>
  <c r="Q6288" i="1" a="1"/>
  <c r="Q6288" i="1"/>
  <c r="Q6289" i="1" a="1"/>
  <c r="Q6289" i="1"/>
  <c r="Q6290" i="1" a="1"/>
  <c r="Q6290" i="1"/>
  <c r="Q6291" i="1" a="1"/>
  <c r="Q6291" i="1"/>
  <c r="Q6292" i="1" a="1"/>
  <c r="Q6292" i="1"/>
  <c r="Q6293" i="1" a="1"/>
  <c r="Q6293" i="1"/>
  <c r="Q6294" i="1" a="1"/>
  <c r="Q6294" i="1"/>
  <c r="Q6295" i="1" a="1"/>
  <c r="Q6295" i="1"/>
  <c r="Q6296" i="1" a="1"/>
  <c r="Q6296" i="1"/>
  <c r="Q6297" i="1" a="1"/>
  <c r="Q6297" i="1"/>
  <c r="Q6298" i="1" a="1"/>
  <c r="Q6298" i="1"/>
  <c r="Q6299" i="1" a="1"/>
  <c r="Q6299" i="1"/>
  <c r="Q6300" i="1" a="1"/>
  <c r="Q6300" i="1"/>
  <c r="Q6301" i="1" a="1"/>
  <c r="Q6301" i="1"/>
  <c r="Q6302" i="1" a="1"/>
  <c r="Q6302" i="1"/>
  <c r="Q6303" i="1" a="1"/>
  <c r="Q6303" i="1"/>
  <c r="Q6304" i="1" a="1"/>
  <c r="Q6304" i="1"/>
  <c r="Q6305" i="1" a="1"/>
  <c r="Q6305" i="1"/>
  <c r="Q6306" i="1" a="1"/>
  <c r="Q6306" i="1"/>
  <c r="Q6307" i="1" a="1"/>
  <c r="Q6307" i="1"/>
  <c r="Q6308" i="1" a="1"/>
  <c r="Q6308" i="1"/>
  <c r="Q6309" i="1" a="1"/>
  <c r="Q6309" i="1"/>
  <c r="Q6310" i="1" a="1"/>
  <c r="Q6310" i="1"/>
  <c r="Q6311" i="1" a="1"/>
  <c r="Q6311" i="1"/>
  <c r="Q6312" i="1" a="1"/>
  <c r="Q6312" i="1"/>
  <c r="Q6313" i="1" a="1"/>
  <c r="Q6313" i="1"/>
  <c r="Q6314" i="1" a="1"/>
  <c r="Q6314" i="1"/>
  <c r="Q6315" i="1" a="1"/>
  <c r="Q6315" i="1"/>
  <c r="Q6316" i="1" a="1"/>
  <c r="Q6316" i="1"/>
  <c r="Q6317" i="1" a="1"/>
  <c r="Q6317" i="1"/>
  <c r="Q6318" i="1" a="1"/>
  <c r="Q6318" i="1"/>
  <c r="Q6319" i="1" a="1"/>
  <c r="Q6319" i="1"/>
  <c r="Q6320" i="1" a="1"/>
  <c r="Q6320" i="1"/>
  <c r="Q6321" i="1" a="1"/>
  <c r="Q6321" i="1"/>
  <c r="Q6322" i="1" a="1"/>
  <c r="Q6322" i="1"/>
  <c r="Q6323" i="1" a="1"/>
  <c r="Q6323" i="1"/>
  <c r="Q6324" i="1" a="1"/>
  <c r="Q6324" i="1"/>
  <c r="Q6325" i="1" a="1"/>
  <c r="Q6325" i="1"/>
  <c r="Q6326" i="1" a="1"/>
  <c r="Q6326" i="1"/>
  <c r="Q6327" i="1" a="1"/>
  <c r="Q6327" i="1"/>
  <c r="Q6328" i="1" a="1"/>
  <c r="Q6328" i="1"/>
  <c r="Q6329" i="1" a="1"/>
  <c r="Q6329" i="1"/>
  <c r="Q6330" i="1" a="1"/>
  <c r="Q6330" i="1"/>
  <c r="Q6331" i="1" a="1"/>
  <c r="Q6331" i="1"/>
  <c r="Q6332" i="1" a="1"/>
  <c r="Q6332" i="1"/>
  <c r="Q6333" i="1" a="1"/>
  <c r="Q6333" i="1"/>
  <c r="Q6334" i="1" a="1"/>
  <c r="Q6334" i="1"/>
  <c r="Q6335" i="1" a="1"/>
  <c r="Q6335" i="1"/>
  <c r="Q6336" i="1" a="1"/>
  <c r="Q6336" i="1"/>
  <c r="Q6337" i="1" a="1"/>
  <c r="Q6337" i="1"/>
  <c r="Q6338" i="1" a="1"/>
  <c r="Q6338" i="1"/>
  <c r="Q6339" i="1" a="1"/>
  <c r="Q6339" i="1"/>
  <c r="Q6340" i="1" a="1"/>
  <c r="Q6340" i="1"/>
  <c r="Q6341" i="1" a="1"/>
  <c r="Q6341" i="1"/>
  <c r="Q6342" i="1" a="1"/>
  <c r="Q6342" i="1"/>
  <c r="Q6343" i="1" a="1"/>
  <c r="Q6343" i="1"/>
  <c r="Q6344" i="1" a="1"/>
  <c r="Q6344" i="1"/>
  <c r="Q6345" i="1" a="1"/>
  <c r="Q6345" i="1"/>
  <c r="Q6346" i="1" a="1"/>
  <c r="Q6346" i="1"/>
  <c r="Q6347" i="1" a="1"/>
  <c r="Q6347" i="1"/>
  <c r="Q6348" i="1" a="1"/>
  <c r="Q6348" i="1"/>
  <c r="Q6349" i="1" a="1"/>
  <c r="Q6349" i="1"/>
  <c r="Q6350" i="1" a="1"/>
  <c r="Q6350" i="1"/>
  <c r="Q6351" i="1" a="1"/>
  <c r="Q6351" i="1"/>
  <c r="Q6352" i="1" a="1"/>
  <c r="Q6352" i="1"/>
  <c r="Q6353" i="1" a="1"/>
  <c r="Q6353" i="1"/>
  <c r="Q6354" i="1" a="1"/>
  <c r="Q6354" i="1"/>
  <c r="Q6355" i="1" a="1"/>
  <c r="Q6355" i="1"/>
  <c r="Q6356" i="1" a="1"/>
  <c r="Q6356" i="1"/>
  <c r="Q6357" i="1" a="1"/>
  <c r="Q6357" i="1"/>
  <c r="Q6358" i="1" a="1"/>
  <c r="Q6358" i="1"/>
  <c r="Q6359" i="1" a="1"/>
  <c r="Q6359" i="1"/>
  <c r="Q6360" i="1" a="1"/>
  <c r="Q6360" i="1"/>
  <c r="Q6361" i="1" a="1"/>
  <c r="Q6361" i="1"/>
  <c r="Q6362" i="1" a="1"/>
  <c r="Q6362" i="1"/>
  <c r="Q6363" i="1" a="1"/>
  <c r="Q6363" i="1"/>
  <c r="Q6364" i="1" a="1"/>
  <c r="Q6364" i="1"/>
  <c r="Q6365" i="1" a="1"/>
  <c r="Q6365" i="1"/>
  <c r="Q6366" i="1" a="1"/>
  <c r="Q6366" i="1"/>
  <c r="Q6367" i="1" a="1"/>
  <c r="Q6367" i="1"/>
  <c r="Q6368" i="1" a="1"/>
  <c r="Q6368" i="1"/>
  <c r="Q6369" i="1" a="1"/>
  <c r="Q6369" i="1"/>
  <c r="Q6370" i="1" a="1"/>
  <c r="Q6370" i="1"/>
  <c r="Q6371" i="1" a="1"/>
  <c r="Q6371" i="1"/>
  <c r="Q6372" i="1" a="1"/>
  <c r="Q6372" i="1"/>
  <c r="Q6373" i="1" a="1"/>
  <c r="Q6373" i="1"/>
  <c r="Q6374" i="1" a="1"/>
  <c r="Q6374" i="1"/>
  <c r="Q6375" i="1" a="1"/>
  <c r="Q6375" i="1"/>
  <c r="Q6376" i="1" a="1"/>
  <c r="Q6376" i="1"/>
  <c r="Q6377" i="1" a="1"/>
  <c r="Q6377" i="1"/>
  <c r="Q6378" i="1" a="1"/>
  <c r="Q6378" i="1"/>
  <c r="Q6379" i="1" a="1"/>
  <c r="Q6379" i="1"/>
  <c r="Q6380" i="1" a="1"/>
  <c r="Q6380" i="1"/>
  <c r="Q6381" i="1" a="1"/>
  <c r="Q6381" i="1"/>
  <c r="Q6382" i="1" a="1"/>
  <c r="Q6382" i="1"/>
  <c r="Q6383" i="1" a="1"/>
  <c r="Q6383" i="1"/>
  <c r="Q6384" i="1" a="1"/>
  <c r="Q6384" i="1"/>
  <c r="Q6385" i="1" a="1"/>
  <c r="Q6385" i="1"/>
  <c r="Q6386" i="1" a="1"/>
  <c r="Q6386" i="1"/>
  <c r="Q6387" i="1" a="1"/>
  <c r="Q6387" i="1"/>
  <c r="Q6388" i="1" a="1"/>
  <c r="Q6388" i="1"/>
  <c r="Q6389" i="1" a="1"/>
  <c r="Q6389" i="1"/>
  <c r="Q6390" i="1" a="1"/>
  <c r="Q6390" i="1"/>
  <c r="Q6391" i="1" a="1"/>
  <c r="Q6391" i="1"/>
  <c r="Q6392" i="1" a="1"/>
  <c r="Q6392" i="1"/>
  <c r="Q6393" i="1" a="1"/>
  <c r="Q6393" i="1"/>
  <c r="Q6394" i="1" a="1"/>
  <c r="Q6394" i="1"/>
  <c r="Q6395" i="1" a="1"/>
  <c r="Q6395" i="1"/>
  <c r="Q6396" i="1" a="1"/>
  <c r="Q6396" i="1"/>
  <c r="Q6397" i="1" a="1"/>
  <c r="Q6397" i="1"/>
  <c r="Q6398" i="1" a="1"/>
  <c r="Q6398" i="1"/>
  <c r="Q6399" i="1" a="1"/>
  <c r="Q6399" i="1"/>
  <c r="Q6400" i="1" a="1"/>
  <c r="Q6400" i="1"/>
  <c r="Q6401" i="1" a="1"/>
  <c r="Q6401" i="1"/>
  <c r="Q6402" i="1" a="1"/>
  <c r="Q6402" i="1"/>
  <c r="Q6403" i="1" a="1"/>
  <c r="Q6403" i="1"/>
  <c r="Q6404" i="1" a="1"/>
  <c r="Q6404" i="1"/>
  <c r="Q6405" i="1" a="1"/>
  <c r="Q6405" i="1"/>
  <c r="Q6406" i="1" a="1"/>
  <c r="Q6406" i="1"/>
  <c r="Q6407" i="1" a="1"/>
  <c r="Q6407" i="1"/>
  <c r="Q6408" i="1" a="1"/>
  <c r="Q6408" i="1"/>
  <c r="Q6409" i="1" a="1"/>
  <c r="Q6409" i="1"/>
  <c r="Q6410" i="1" a="1"/>
  <c r="Q6410" i="1"/>
  <c r="Q6411" i="1" a="1"/>
  <c r="Q6411" i="1"/>
  <c r="D6" i="3" l="1"/>
  <c r="C2" i="3"/>
  <c r="H2" i="3"/>
  <c r="I2" i="3"/>
  <c r="G2" i="3"/>
  <c r="D2" i="3"/>
  <c r="C6" i="3"/>
  <c r="G3" i="3"/>
  <c r="H8" i="3"/>
  <c r="H6" i="3"/>
  <c r="G8" i="3"/>
  <c r="I5" i="3"/>
  <c r="H4" i="3"/>
  <c r="I3" i="3"/>
  <c r="G7" i="3"/>
  <c r="D8" i="3"/>
  <c r="H3" i="3"/>
  <c r="C8" i="3"/>
  <c r="E8" i="3"/>
  <c r="I6" i="3"/>
  <c r="H5" i="3"/>
  <c r="E2" i="3"/>
  <c r="D7" i="3"/>
  <c r="I8" i="3"/>
  <c r="E6" i="3"/>
  <c r="G4" i="3"/>
  <c r="D4" i="3"/>
  <c r="C5" i="3"/>
  <c r="D5" i="3"/>
  <c r="I4" i="3"/>
  <c r="E4" i="3"/>
  <c r="C3" i="3"/>
  <c r="H7" i="3"/>
  <c r="E3" i="3"/>
  <c r="I7" i="3"/>
  <c r="E5" i="3"/>
  <c r="D3" i="3"/>
  <c r="E7" i="3"/>
  <c r="J52" i="11"/>
  <c r="E52" i="11"/>
  <c r="F50" i="11"/>
  <c r="J48" i="11"/>
  <c r="I46" i="11"/>
  <c r="J45" i="11"/>
  <c r="F39" i="11"/>
  <c r="E45" i="11"/>
  <c r="J55" i="11"/>
  <c r="F53" i="11"/>
  <c r="I52" i="11"/>
  <c r="F51" i="11"/>
  <c r="I50" i="11"/>
  <c r="F49" i="11"/>
  <c r="H48" i="11"/>
  <c r="I47" i="11"/>
  <c r="J46" i="11"/>
  <c r="H44" i="11"/>
  <c r="J11" i="11"/>
  <c r="F11" i="11"/>
  <c r="E5" i="11"/>
  <c r="E4" i="11"/>
  <c r="D2" i="11"/>
  <c r="J54" i="11"/>
  <c r="J53" i="11"/>
  <c r="E53" i="11"/>
  <c r="J51" i="11"/>
  <c r="E51" i="11"/>
  <c r="J49" i="11"/>
  <c r="E49" i="11"/>
  <c r="H47" i="11"/>
  <c r="F45" i="11"/>
  <c r="F24" i="11"/>
  <c r="F23" i="11"/>
  <c r="F22" i="11"/>
  <c r="I4" i="11"/>
  <c r="F33" i="11"/>
  <c r="F32" i="11"/>
  <c r="D55" i="11"/>
  <c r="D53" i="11"/>
  <c r="D51" i="11"/>
  <c r="I48" i="11"/>
  <c r="J47" i="11"/>
  <c r="H45" i="11"/>
  <c r="I44" i="11"/>
  <c r="F31" i="11"/>
  <c r="F30" i="11"/>
  <c r="F29" i="11"/>
  <c r="J5" i="11"/>
  <c r="F5" i="11"/>
  <c r="F4" i="11"/>
  <c r="F56" i="11"/>
  <c r="F52" i="11"/>
  <c r="J50" i="11"/>
  <c r="I45" i="11"/>
  <c r="J44" i="11"/>
  <c r="F26" i="11"/>
  <c r="F25" i="11"/>
  <c r="E24" i="11"/>
  <c r="E11" i="11"/>
  <c r="J4" i="11"/>
  <c r="I56" i="11"/>
  <c r="I55" i="11"/>
  <c r="E55" i="11"/>
  <c r="F54" i="11"/>
  <c r="D45" i="11"/>
  <c r="F28" i="11"/>
  <c r="F27" i="11"/>
  <c r="Q3" i="1"/>
  <c r="Q9" i="1"/>
  <c r="Q11" i="1"/>
  <c r="Q13" i="1"/>
  <c r="Q15" i="1"/>
  <c r="Q17" i="1"/>
  <c r="Q19" i="1"/>
  <c r="Q21" i="1"/>
  <c r="Q23" i="1"/>
  <c r="Q25" i="1"/>
  <c r="Q27" i="1"/>
  <c r="Q29" i="1"/>
  <c r="Q31" i="1"/>
  <c r="Q33" i="1"/>
  <c r="Q36" i="1"/>
  <c r="Q38" i="1"/>
  <c r="Q40" i="1"/>
  <c r="Q42" i="1"/>
  <c r="Q44" i="1"/>
  <c r="Q46" i="1"/>
  <c r="Q48" i="1"/>
  <c r="Q50" i="1"/>
  <c r="Q52" i="1"/>
  <c r="Q54" i="1"/>
  <c r="Q56" i="1"/>
  <c r="Q58" i="1"/>
  <c r="Q60" i="1"/>
  <c r="Q62" i="1"/>
  <c r="Q64" i="1"/>
  <c r="Q66" i="1"/>
  <c r="Q68" i="1"/>
  <c r="Q70" i="1"/>
  <c r="Q72" i="1"/>
  <c r="Q74" i="1"/>
  <c r="Q78" i="1"/>
  <c r="Q80" i="1"/>
  <c r="Q82" i="1"/>
  <c r="Q84" i="1"/>
  <c r="Q86" i="1"/>
  <c r="Q88" i="1"/>
  <c r="Q90" i="1"/>
  <c r="Q92" i="1"/>
  <c r="Q94" i="1"/>
  <c r="Q96" i="1"/>
  <c r="Q98" i="1"/>
  <c r="Q100" i="1"/>
  <c r="Q103" i="1"/>
  <c r="Q105" i="1"/>
  <c r="Q107" i="1"/>
  <c r="Q109" i="1"/>
  <c r="Q111" i="1"/>
  <c r="Q113" i="1"/>
  <c r="Q115" i="1"/>
  <c r="Q117" i="1"/>
  <c r="Q119" i="1"/>
  <c r="Q121" i="1"/>
  <c r="Q123" i="1"/>
  <c r="Q125" i="1"/>
  <c r="Q127" i="1"/>
  <c r="Q129" i="1"/>
  <c r="Q131" i="1"/>
  <c r="Q133" i="1"/>
  <c r="Q135" i="1"/>
  <c r="Q137" i="1"/>
  <c r="Q139" i="1"/>
  <c r="Q143" i="1"/>
  <c r="Q145" i="1"/>
  <c r="Q147" i="1"/>
  <c r="Q149" i="1"/>
  <c r="Q151" i="1"/>
  <c r="Q153" i="1"/>
  <c r="Q155" i="1"/>
  <c r="Q157" i="1"/>
  <c r="Q159" i="1"/>
  <c r="Q161" i="1"/>
  <c r="Q163" i="1"/>
  <c r="Q165" i="1"/>
  <c r="Q167" i="1"/>
  <c r="Q169" i="1"/>
  <c r="Q171" i="1"/>
  <c r="Q175" i="1"/>
  <c r="Q177" i="1"/>
  <c r="Q179" i="1"/>
  <c r="Q181" i="1"/>
  <c r="Q183" i="1"/>
  <c r="Q185" i="1"/>
  <c r="Q187" i="1"/>
  <c r="Q189" i="1"/>
  <c r="Q191" i="1"/>
  <c r="Q193" i="1"/>
  <c r="Q195" i="1"/>
  <c r="Q197" i="1"/>
  <c r="Q199" i="1"/>
  <c r="Q201" i="1"/>
  <c r="Q203" i="1"/>
  <c r="Q205" i="1"/>
  <c r="Q207" i="1"/>
  <c r="Q209" i="1"/>
  <c r="Q211" i="1"/>
  <c r="Q213" i="1"/>
  <c r="Q215" i="1"/>
  <c r="Q217" i="1"/>
  <c r="Q219" i="1"/>
  <c r="Q221" i="1"/>
  <c r="Q223" i="1"/>
  <c r="Q225" i="1"/>
  <c r="Q227" i="1"/>
  <c r="Q229" i="1"/>
  <c r="Q231" i="1"/>
  <c r="Q233" i="1"/>
  <c r="Q235" i="1"/>
  <c r="Q237" i="1"/>
  <c r="Q239" i="1"/>
  <c r="Q241" i="1"/>
  <c r="Q243" i="1"/>
  <c r="Q245" i="1"/>
  <c r="Q247" i="1"/>
  <c r="Q249" i="1"/>
  <c r="Q251" i="1"/>
  <c r="Q253" i="1"/>
  <c r="Q255" i="1"/>
  <c r="Q257" i="1"/>
  <c r="Q259" i="1"/>
  <c r="Q261" i="1"/>
  <c r="Q263" i="1"/>
  <c r="Q265" i="1"/>
  <c r="Q267" i="1"/>
  <c r="Q269" i="1"/>
  <c r="Q271" i="1"/>
  <c r="Q273" i="1"/>
  <c r="Q275" i="1"/>
  <c r="Q277" i="1"/>
  <c r="Q279" i="1"/>
  <c r="Q281" i="1"/>
  <c r="Q283" i="1"/>
  <c r="Q286" i="1"/>
  <c r="Q290" i="1"/>
  <c r="Q292" i="1"/>
  <c r="Q294" i="1"/>
  <c r="Q296" i="1"/>
  <c r="Q298" i="1"/>
  <c r="Q300" i="1"/>
  <c r="Q302" i="1"/>
  <c r="Q304" i="1"/>
  <c r="Q306" i="1"/>
  <c r="Q308" i="1"/>
  <c r="Q310" i="1"/>
  <c r="Q314" i="1"/>
  <c r="Q316" i="1"/>
  <c r="Q318" i="1"/>
  <c r="Q320" i="1"/>
  <c r="Q323" i="1"/>
  <c r="Q325" i="1"/>
  <c r="Q327" i="1"/>
  <c r="Q329" i="1"/>
  <c r="Q331" i="1"/>
  <c r="Q334" i="1"/>
  <c r="Q336" i="1"/>
  <c r="Q338" i="1"/>
  <c r="Q340" i="1"/>
  <c r="Q342" i="1"/>
  <c r="Q344" i="1"/>
  <c r="Q346" i="1"/>
  <c r="Q348" i="1"/>
  <c r="Q350" i="1"/>
  <c r="Q352" i="1"/>
  <c r="Q354" i="1"/>
  <c r="Q356" i="1"/>
  <c r="Q358" i="1"/>
  <c r="Q360" i="1"/>
  <c r="Q363" i="1"/>
  <c r="Q365" i="1"/>
  <c r="Q367" i="1"/>
  <c r="Q369" i="1"/>
  <c r="Q371" i="1"/>
  <c r="Q373" i="1"/>
  <c r="Q375" i="1"/>
  <c r="Q377" i="1"/>
  <c r="Q379" i="1"/>
  <c r="Q381" i="1"/>
  <c r="Q383" i="1"/>
  <c r="Q386" i="1"/>
  <c r="Q388" i="1"/>
  <c r="Q391" i="1"/>
  <c r="Q393" i="1"/>
  <c r="Q395" i="1"/>
  <c r="Q397" i="1"/>
  <c r="Q399" i="1"/>
  <c r="Q402" i="1"/>
  <c r="Q404" i="1"/>
  <c r="Q408" i="1"/>
  <c r="Q410" i="1"/>
  <c r="Q414" i="1"/>
  <c r="Q416" i="1"/>
  <c r="Q418" i="1"/>
  <c r="Q422" i="1"/>
  <c r="Q424" i="1"/>
  <c r="Q426" i="1"/>
  <c r="Q428" i="1"/>
  <c r="Q433" i="1"/>
  <c r="Q435" i="1"/>
  <c r="Q438" i="1"/>
  <c r="Q443" i="1"/>
  <c r="Q446" i="1"/>
  <c r="Q448" i="1"/>
  <c r="Q451" i="1"/>
  <c r="Q453" i="1"/>
  <c r="Q455" i="1"/>
  <c r="Q457" i="1"/>
  <c r="Q460" i="1"/>
  <c r="Q462" i="1"/>
  <c r="Q464" i="1"/>
  <c r="Q466" i="1"/>
  <c r="Q469" i="1"/>
  <c r="Q472" i="1"/>
  <c r="Q474" i="1"/>
  <c r="Q476" i="1"/>
  <c r="Q479" i="1"/>
  <c r="Q481" i="1"/>
  <c r="Q483" i="1"/>
  <c r="Q488" i="1"/>
  <c r="Q490" i="1"/>
  <c r="Q492" i="1"/>
  <c r="Q494" i="1"/>
  <c r="Q497" i="1"/>
  <c r="Q500" i="1"/>
  <c r="Q502" i="1"/>
  <c r="Q504" i="1"/>
  <c r="Q508" i="1"/>
  <c r="Q510" i="1"/>
  <c r="Q513" i="1"/>
  <c r="Q518" i="1"/>
  <c r="Q520" i="1"/>
  <c r="Q522" i="1"/>
  <c r="Q524" i="1"/>
  <c r="Q527" i="1"/>
  <c r="Q529" i="1"/>
  <c r="Q532" i="1"/>
  <c r="Q534" i="1"/>
  <c r="Q537" i="1"/>
  <c r="Q539" i="1"/>
  <c r="Q542" i="1"/>
  <c r="Q545" i="1"/>
  <c r="Q547" i="1"/>
  <c r="Q549" i="1"/>
  <c r="Q551" i="1"/>
  <c r="Q554" i="1"/>
  <c r="Q556" i="1"/>
  <c r="Q558" i="1"/>
  <c r="Q560" i="1"/>
  <c r="Q563" i="1"/>
  <c r="Q565" i="1"/>
  <c r="Q567" i="1"/>
  <c r="Q569" i="1"/>
  <c r="Q572" i="1"/>
  <c r="Q575" i="1"/>
  <c r="Q577" i="1"/>
  <c r="Q580" i="1"/>
  <c r="Q582" i="1"/>
  <c r="Q584" i="1"/>
  <c r="Q586" i="1"/>
  <c r="Q589" i="1"/>
  <c r="Q591" i="1"/>
  <c r="Q593" i="1"/>
  <c r="Q595" i="1"/>
  <c r="Q598" i="1"/>
  <c r="Q601" i="1"/>
  <c r="Q603" i="1"/>
  <c r="Q605" i="1"/>
  <c r="Q608" i="1"/>
  <c r="Q610" i="1"/>
  <c r="Q612" i="1"/>
  <c r="Q614" i="1"/>
  <c r="Q618" i="1"/>
  <c r="Q620" i="1"/>
  <c r="Q622" i="1"/>
  <c r="Q624" i="1"/>
  <c r="Q627" i="1"/>
  <c r="Q629" i="1"/>
  <c r="Q631" i="1"/>
  <c r="Q633" i="1"/>
  <c r="Q636" i="1"/>
  <c r="Q638" i="1"/>
  <c r="Q641" i="1"/>
  <c r="Q645" i="1"/>
  <c r="Q647" i="1"/>
  <c r="Q649" i="1"/>
  <c r="Q651" i="1"/>
  <c r="Q654" i="1"/>
  <c r="Q656" i="1"/>
  <c r="Q658" i="1"/>
  <c r="Q661" i="1"/>
  <c r="Q663" i="1"/>
  <c r="Q665" i="1"/>
  <c r="Q667" i="1"/>
  <c r="Q671" i="1"/>
  <c r="Q673" i="1"/>
  <c r="Q675" i="1"/>
  <c r="Q678" i="1"/>
  <c r="Q680" i="1"/>
  <c r="Q682" i="1"/>
  <c r="Q684" i="1"/>
  <c r="Q689" i="1"/>
  <c r="Q691" i="1"/>
  <c r="Q694" i="1"/>
  <c r="Q696" i="1"/>
  <c r="Q699" i="1"/>
  <c r="Q701" i="1"/>
  <c r="Q703" i="1"/>
  <c r="Q705" i="1"/>
  <c r="Q708" i="1"/>
  <c r="Q710" i="1"/>
  <c r="Q712" i="1"/>
  <c r="Q714" i="1"/>
  <c r="Q717" i="1"/>
  <c r="Q719" i="1"/>
  <c r="Q721" i="1"/>
  <c r="Q723" i="1"/>
  <c r="Q726" i="1"/>
  <c r="Q728" i="1"/>
  <c r="Q731" i="1"/>
  <c r="Q736" i="1"/>
  <c r="Q738" i="1"/>
  <c r="Q741" i="1"/>
  <c r="Q744" i="1"/>
  <c r="Q746" i="1"/>
  <c r="Q748" i="1"/>
  <c r="Q750" i="1"/>
  <c r="Q753" i="1"/>
  <c r="Q755" i="1"/>
  <c r="Q758" i="1"/>
  <c r="Q760" i="1"/>
  <c r="Q763" i="1"/>
  <c r="Q766" i="1"/>
  <c r="Q770" i="1"/>
  <c r="Q772" i="1"/>
  <c r="Q774" i="1"/>
  <c r="Q776" i="1"/>
  <c r="Q779" i="1"/>
  <c r="Q782" i="1"/>
  <c r="Q785" i="1"/>
  <c r="Q788" i="1"/>
  <c r="Q790" i="1"/>
  <c r="Q792" i="1"/>
  <c r="Q794" i="1"/>
  <c r="Q797" i="1"/>
  <c r="Q799" i="1"/>
  <c r="Q801" i="1"/>
  <c r="Q803" i="1"/>
  <c r="Q805" i="1"/>
  <c r="Q807" i="1"/>
  <c r="Q809" i="1"/>
  <c r="Q811" i="1"/>
  <c r="Q813" i="1"/>
  <c r="Q816" i="1"/>
  <c r="Q818" i="1"/>
  <c r="Q820" i="1"/>
  <c r="Q822" i="1"/>
  <c r="Q825" i="1"/>
  <c r="Q827" i="1"/>
  <c r="Q829" i="1"/>
  <c r="Q831" i="1"/>
  <c r="Q833" i="1"/>
  <c r="Q835" i="1"/>
  <c r="Q838" i="1"/>
  <c r="Q840" i="1"/>
  <c r="Q842" i="1"/>
  <c r="Q844" i="1"/>
  <c r="Q847" i="1"/>
  <c r="Q851" i="1"/>
  <c r="Q853" i="1"/>
  <c r="Q856" i="1"/>
  <c r="Q858" i="1"/>
  <c r="Q860" i="1"/>
  <c r="Q862" i="1"/>
  <c r="Q865" i="1"/>
  <c r="Q867" i="1"/>
  <c r="Q869" i="1"/>
  <c r="Q871" i="1"/>
  <c r="Q875" i="1"/>
  <c r="Q877" i="1"/>
  <c r="Q879" i="1"/>
  <c r="Q881" i="1"/>
  <c r="Q883" i="1"/>
  <c r="Q886" i="1"/>
  <c r="Q888" i="1"/>
  <c r="Q890" i="1"/>
  <c r="Q893" i="1"/>
  <c r="Q895" i="1"/>
  <c r="Q897" i="1"/>
  <c r="Q899" i="1"/>
  <c r="Q902" i="1"/>
  <c r="Q904" i="1"/>
  <c r="Q906" i="1"/>
  <c r="Q908" i="1"/>
  <c r="Q911" i="1"/>
  <c r="Q913" i="1"/>
  <c r="Q915" i="1"/>
  <c r="Q923" i="1"/>
  <c r="Q925" i="1"/>
  <c r="Q927" i="1"/>
  <c r="Q929" i="1"/>
  <c r="Q932" i="1"/>
  <c r="Q935" i="1"/>
  <c r="Q937" i="1"/>
  <c r="Q939" i="1"/>
  <c r="Q942" i="1"/>
  <c r="Q944" i="1"/>
  <c r="Q946" i="1"/>
  <c r="Q948" i="1"/>
  <c r="Q951" i="1"/>
  <c r="Q954" i="1"/>
  <c r="Q957" i="1"/>
  <c r="Q959" i="1"/>
  <c r="Q961" i="1"/>
  <c r="Q963" i="1"/>
  <c r="Q966" i="1"/>
  <c r="Q1492" i="1"/>
  <c r="Q1496" i="1"/>
  <c r="Q1499" i="1"/>
  <c r="Q1502" i="1"/>
  <c r="Q1505" i="1"/>
  <c r="Q1508" i="1"/>
  <c r="Q1511" i="1"/>
  <c r="Q1514" i="1"/>
  <c r="Q1518" i="1"/>
  <c r="Q1520" i="1"/>
  <c r="Q1524" i="1"/>
  <c r="Q1527" i="1"/>
  <c r="Q1530" i="1"/>
  <c r="Q1534" i="1"/>
  <c r="Q1537" i="1"/>
  <c r="Q1540" i="1"/>
  <c r="Q1543" i="1"/>
  <c r="Q1548" i="1"/>
  <c r="Q1551" i="1"/>
  <c r="Q1553" i="1"/>
  <c r="Q1556" i="1"/>
  <c r="Q1562" i="1"/>
  <c r="Q1565" i="1"/>
  <c r="Q1568" i="1"/>
  <c r="Q1571" i="1"/>
  <c r="Q1575" i="1"/>
  <c r="Q1578" i="1"/>
  <c r="Q1581" i="1"/>
  <c r="Q1584" i="1"/>
  <c r="Q1589" i="1"/>
  <c r="Q1592" i="1"/>
  <c r="Q1595" i="1"/>
  <c r="Q1598" i="1"/>
  <c r="Q1604" i="1"/>
  <c r="Q1608" i="1"/>
  <c r="Q1611" i="1"/>
  <c r="Q1614" i="1"/>
  <c r="Q1617" i="1"/>
  <c r="Q1621" i="1"/>
  <c r="Q1624" i="1"/>
  <c r="Q1627" i="1"/>
  <c r="Q1630" i="1"/>
  <c r="Q1637" i="1"/>
  <c r="Q1640" i="1"/>
  <c r="Q1643" i="1"/>
  <c r="Q1646" i="1"/>
  <c r="Q1652" i="1"/>
  <c r="Q1655" i="1"/>
  <c r="Q1657" i="1"/>
  <c r="Q1660" i="1"/>
  <c r="Q1663" i="1"/>
  <c r="Q1666" i="1"/>
  <c r="Q1670" i="1"/>
  <c r="Q1673" i="1"/>
  <c r="Q1676" i="1"/>
  <c r="Q1679" i="1"/>
  <c r="Q1682" i="1"/>
  <c r="Q1686" i="1"/>
  <c r="Q1689" i="1"/>
  <c r="Q1692" i="1"/>
  <c r="Q1697" i="1"/>
  <c r="Q1700" i="1"/>
  <c r="Q1703" i="1"/>
  <c r="Q1706" i="1"/>
  <c r="Q1709" i="1"/>
  <c r="Q1712" i="1"/>
  <c r="Q1716" i="1"/>
  <c r="Q1719" i="1"/>
  <c r="Q1724" i="1"/>
  <c r="Q1726" i="1"/>
  <c r="Q1730" i="1"/>
  <c r="Q1733" i="1"/>
  <c r="Q1736" i="1"/>
  <c r="Q1740" i="1"/>
  <c r="Q1743" i="1"/>
  <c r="Q1746" i="1"/>
  <c r="Q1749" i="1"/>
  <c r="Q1753" i="1"/>
  <c r="Q1755" i="1"/>
  <c r="Q1757" i="1"/>
  <c r="Q1760" i="1"/>
  <c r="Q1763" i="1"/>
  <c r="Q1767" i="1"/>
  <c r="Q1769" i="1"/>
  <c r="Q1772" i="1"/>
  <c r="Q1778" i="1"/>
  <c r="Q1782" i="1"/>
  <c r="Q1785" i="1"/>
  <c r="Q1789" i="1"/>
  <c r="Q1792" i="1"/>
  <c r="Q1796" i="1"/>
  <c r="Q1799" i="1"/>
  <c r="Q1806" i="1"/>
  <c r="Q1809" i="1"/>
  <c r="Q1812" i="1"/>
  <c r="Q1815" i="1"/>
  <c r="Q1819" i="1"/>
  <c r="Q1821" i="1"/>
  <c r="Q1824" i="1"/>
  <c r="Q1829" i="1"/>
  <c r="Q1832" i="1"/>
  <c r="Q1834" i="1"/>
  <c r="Q1837" i="1"/>
  <c r="Q1840" i="1"/>
  <c r="Q1846" i="1"/>
  <c r="Q1849" i="1"/>
  <c r="Q1852" i="1"/>
  <c r="Q1855" i="1"/>
  <c r="Q1858" i="1"/>
  <c r="Q1862" i="1"/>
  <c r="Q1865" i="1"/>
  <c r="Q1868" i="1"/>
  <c r="Q1871" i="1"/>
  <c r="Q1875" i="1"/>
  <c r="Q1879" i="1"/>
  <c r="Q1882" i="1"/>
  <c r="Q1885" i="1"/>
  <c r="Q1888" i="1"/>
  <c r="Q1892" i="1"/>
  <c r="Q1895" i="1"/>
  <c r="Q1898" i="1"/>
  <c r="Q1901" i="1"/>
  <c r="Q1905" i="1"/>
  <c r="Q1908" i="1"/>
  <c r="Q1911" i="1"/>
  <c r="Q1914" i="1"/>
  <c r="Q1921" i="1"/>
  <c r="Q1924" i="1"/>
  <c r="Q1927" i="1"/>
  <c r="Q1930" i="1"/>
  <c r="Q2537" i="1"/>
  <c r="Q2541" i="1"/>
  <c r="Q2546" i="1"/>
  <c r="Q2550" i="1"/>
  <c r="Q2553" i="1"/>
  <c r="Q2557" i="1"/>
  <c r="Q2562" i="1"/>
  <c r="Q2566" i="1"/>
  <c r="Q2570" i="1"/>
  <c r="Q2579" i="1"/>
  <c r="Q2585" i="1"/>
  <c r="Q2589" i="1"/>
  <c r="Q2593" i="1"/>
  <c r="Q2597" i="1"/>
  <c r="Q2602" i="1"/>
  <c r="Q2606" i="1"/>
  <c r="Q2611" i="1"/>
  <c r="Q2615" i="1"/>
  <c r="Q2619" i="1"/>
  <c r="Q2622" i="1"/>
  <c r="Q2623" i="1"/>
  <c r="Q2627" i="1"/>
  <c r="Q2631" i="1"/>
  <c r="Q2635" i="1"/>
  <c r="Q2640" i="1"/>
  <c r="Q2645" i="1"/>
  <c r="Q2649" i="1"/>
  <c r="Q2653" i="1"/>
  <c r="Q2659" i="1"/>
  <c r="Q2663" i="1"/>
  <c r="Q2667" i="1"/>
  <c r="Q2671" i="1"/>
  <c r="Q2676" i="1"/>
  <c r="Q2679" i="1"/>
  <c r="Q2684" i="1"/>
  <c r="Q2687" i="1"/>
  <c r="Q2692" i="1"/>
  <c r="Q2693" i="1"/>
  <c r="Q2697" i="1"/>
  <c r="Q2700" i="1"/>
  <c r="Q2705" i="1"/>
  <c r="Q2709" i="1"/>
  <c r="Q2714" i="1"/>
  <c r="Q2718" i="1"/>
  <c r="Q2723" i="1"/>
  <c r="Q2735" i="1"/>
  <c r="Q2740" i="1"/>
  <c r="Q2744" i="1"/>
  <c r="Q2752" i="1"/>
  <c r="Q2757" i="1"/>
  <c r="Q2761" i="1"/>
  <c r="Q2765" i="1"/>
  <c r="Q2771" i="1"/>
  <c r="Q2772" i="1"/>
  <c r="Q2778" i="1"/>
  <c r="Q2780" i="1"/>
  <c r="Q2785" i="1"/>
  <c r="Q2794" i="1"/>
  <c r="Q2799" i="1"/>
  <c r="Q2804" i="1"/>
  <c r="Q2811" i="1"/>
  <c r="Q2818" i="1"/>
  <c r="Q2823" i="1"/>
  <c r="Q2828" i="1"/>
  <c r="Q2830" i="1"/>
  <c r="Q2835" i="1"/>
  <c r="Q2840" i="1"/>
  <c r="Q2844" i="1"/>
  <c r="Q2850" i="1"/>
  <c r="Q2855" i="1"/>
  <c r="Q2857" i="1"/>
  <c r="Q2862" i="1"/>
  <c r="Q2870" i="1"/>
  <c r="Q2874" i="1"/>
  <c r="Q2879" i="1"/>
  <c r="Q2883" i="1"/>
  <c r="Q2891" i="1"/>
  <c r="Q2895" i="1"/>
  <c r="Q2898" i="1"/>
  <c r="Q3609" i="1"/>
  <c r="Q3615" i="1"/>
  <c r="Q3620" i="1"/>
  <c r="Q3621" i="1"/>
  <c r="Q3627" i="1"/>
  <c r="Q3633" i="1"/>
  <c r="Q3645" i="1"/>
  <c r="Q3649" i="1"/>
  <c r="Q3653" i="1"/>
  <c r="Q3667" i="1"/>
  <c r="Q3672" i="1"/>
  <c r="Q3677" i="1"/>
  <c r="Q3683" i="1"/>
  <c r="Q3689" i="1"/>
  <c r="Q3695" i="1"/>
  <c r="Q3701" i="1"/>
  <c r="Q3707" i="1"/>
  <c r="Q3713" i="1"/>
  <c r="Q3720" i="1"/>
  <c r="Q3725" i="1"/>
  <c r="Q3732" i="1"/>
  <c r="Q3737" i="1"/>
  <c r="Q3743" i="1"/>
  <c r="Q3748" i="1"/>
  <c r="Q3757" i="1"/>
  <c r="Q3763" i="1"/>
  <c r="Q3769" i="1"/>
  <c r="Q3772" i="1"/>
  <c r="Q3773" i="1"/>
  <c r="Q3779" i="1"/>
  <c r="Q3785" i="1"/>
  <c r="Q3790" i="1"/>
  <c r="Q3795" i="1"/>
  <c r="Q3801" i="1"/>
  <c r="Q3808" i="1"/>
  <c r="Q3812" i="1"/>
  <c r="Q3817" i="1"/>
  <c r="Q3823" i="1"/>
  <c r="Q3828" i="1"/>
  <c r="Q3835" i="1"/>
  <c r="Q3841" i="1"/>
  <c r="Q3846" i="1"/>
  <c r="Q3853" i="1"/>
  <c r="Q3858" i="1"/>
  <c r="Q3864" i="1"/>
  <c r="Q4506" i="1"/>
  <c r="Q4508" i="1"/>
  <c r="Q4511" i="1"/>
  <c r="Q4517" i="1"/>
  <c r="Q4524" i="1"/>
  <c r="Q4525" i="1"/>
  <c r="Q4529" i="1"/>
  <c r="Q4535" i="1"/>
  <c r="Q4543" i="1"/>
  <c r="Q4562" i="1"/>
  <c r="Q4567" i="1"/>
  <c r="Q4572" i="1"/>
  <c r="Q4580" i="1"/>
  <c r="Q4588" i="1"/>
  <c r="Q4594" i="1"/>
  <c r="Q4603" i="1"/>
  <c r="Q4609" i="1"/>
  <c r="Q4614" i="1"/>
  <c r="Q4622" i="1"/>
  <c r="Q4635" i="1"/>
  <c r="Q4641" i="1"/>
  <c r="Q4642" i="1"/>
  <c r="Q4651" i="1"/>
  <c r="Q4657" i="1"/>
  <c r="Q4670" i="1"/>
  <c r="Q4684" i="1"/>
  <c r="Q4697" i="1"/>
  <c r="Q4703" i="1"/>
  <c r="Q4709" i="1"/>
  <c r="Q4715" i="1"/>
  <c r="Q4723" i="1"/>
  <c r="Q4726" i="1"/>
  <c r="Q4736" i="1"/>
  <c r="Q4739" i="1"/>
  <c r="Q4745" i="1"/>
  <c r="Q4752" i="1"/>
  <c r="Q4757" i="1"/>
  <c r="Q4772" i="1"/>
  <c r="Q4780" i="1"/>
  <c r="Q4788" i="1"/>
  <c r="Q4799" i="1"/>
  <c r="Q4813" i="1"/>
  <c r="Q4820" i="1"/>
  <c r="Q4825" i="1"/>
  <c r="Q4829" i="1"/>
  <c r="Q5678" i="1"/>
  <c r="Q5692" i="1"/>
  <c r="Q5705" i="1"/>
  <c r="Q5715" i="1"/>
  <c r="Q5725" i="1"/>
  <c r="Q5740" i="1"/>
  <c r="Q5766" i="1"/>
  <c r="Q5773" i="1"/>
  <c r="Q5778" i="1"/>
  <c r="Q5781" i="1"/>
  <c r="Q5795" i="1"/>
  <c r="Q967" i="1"/>
  <c r="Q1486" i="1"/>
  <c r="Q1488" i="1"/>
  <c r="Q1489" i="1"/>
  <c r="Q1491" i="1"/>
  <c r="Q1495" i="1"/>
  <c r="Q1498" i="1"/>
  <c r="Q1501" i="1"/>
  <c r="Q1504" i="1"/>
  <c r="Q1509" i="1"/>
  <c r="Q1512" i="1"/>
  <c r="Q1515" i="1"/>
  <c r="Q1519" i="1"/>
  <c r="Q1522" i="1"/>
  <c r="Q1525" i="1"/>
  <c r="Q1528" i="1"/>
  <c r="Q1531" i="1"/>
  <c r="Q1536" i="1"/>
  <c r="Q1539" i="1"/>
  <c r="Q1542" i="1"/>
  <c r="Q1545" i="1"/>
  <c r="Q1549" i="1"/>
  <c r="Q1552" i="1"/>
  <c r="Q1555" i="1"/>
  <c r="Q1558" i="1"/>
  <c r="Q1561" i="1"/>
  <c r="Q1564" i="1"/>
  <c r="Q1567" i="1"/>
  <c r="Q1570" i="1"/>
  <c r="Q1574" i="1"/>
  <c r="Q1577" i="1"/>
  <c r="Q1580" i="1"/>
  <c r="Q1583" i="1"/>
  <c r="Q1586" i="1"/>
  <c r="Q1590" i="1"/>
  <c r="Q1593" i="1"/>
  <c r="Q1596" i="1"/>
  <c r="Q1599" i="1"/>
  <c r="Q1602" i="1"/>
  <c r="Q1606" i="1"/>
  <c r="Q1609" i="1"/>
  <c r="Q1612" i="1"/>
  <c r="Q1615" i="1"/>
  <c r="Q1618" i="1"/>
  <c r="Q1622" i="1"/>
  <c r="Q1625" i="1"/>
  <c r="Q1628" i="1"/>
  <c r="Q1631" i="1"/>
  <c r="Q1638" i="1"/>
  <c r="Q1641" i="1"/>
  <c r="Q1644" i="1"/>
  <c r="Q1647" i="1"/>
  <c r="Q1653" i="1"/>
  <c r="Q1656" i="1"/>
  <c r="Q1659" i="1"/>
  <c r="Q1662" i="1"/>
  <c r="Q1665" i="1"/>
  <c r="Q1672" i="1"/>
  <c r="Q1675" i="1"/>
  <c r="Q1678" i="1"/>
  <c r="Q1681" i="1"/>
  <c r="Q1685" i="1"/>
  <c r="Q1688" i="1"/>
  <c r="Q1691" i="1"/>
  <c r="Q1695" i="1"/>
  <c r="Q1699" i="1"/>
  <c r="Q1702" i="1"/>
  <c r="Q1705" i="1"/>
  <c r="Q1710" i="1"/>
  <c r="Q1714" i="1"/>
  <c r="Q1717" i="1"/>
  <c r="Q1720" i="1"/>
  <c r="Q1723" i="1"/>
  <c r="Q1727" i="1"/>
  <c r="Q1729" i="1"/>
  <c r="Q1732" i="1"/>
  <c r="Q1739" i="1"/>
  <c r="Q1742" i="1"/>
  <c r="Q1745" i="1"/>
  <c r="Q1748" i="1"/>
  <c r="Q1752" i="1"/>
  <c r="Q1756" i="1"/>
  <c r="Q1758" i="1"/>
  <c r="Q1761" i="1"/>
  <c r="Q1765" i="1"/>
  <c r="Q1770" i="1"/>
  <c r="Q1773" i="1"/>
  <c r="Q1777" i="1"/>
  <c r="Q1779" i="1"/>
  <c r="Q1783" i="1"/>
  <c r="Q1786" i="1"/>
  <c r="Q1790" i="1"/>
  <c r="Q1793" i="1"/>
  <c r="Q1795" i="1"/>
  <c r="Q1798" i="1"/>
  <c r="Q1801" i="1"/>
  <c r="Q1805" i="1"/>
  <c r="Q1808" i="1"/>
  <c r="Q1811" i="1"/>
  <c r="Q1814" i="1"/>
  <c r="Q1818" i="1"/>
  <c r="Q1822" i="1"/>
  <c r="Q1825" i="1"/>
  <c r="Q1827" i="1"/>
  <c r="Q1828" i="1"/>
  <c r="Q1835" i="1"/>
  <c r="Q1838" i="1"/>
  <c r="Q1841" i="1"/>
  <c r="Q1845" i="1"/>
  <c r="Q1848" i="1"/>
  <c r="Q1851" i="1"/>
  <c r="Q1854" i="1"/>
  <c r="Q1857" i="1"/>
  <c r="Q1863" i="1"/>
  <c r="Q1866" i="1"/>
  <c r="Q1869" i="1"/>
  <c r="Q1872" i="1"/>
  <c r="Q1876" i="1"/>
  <c r="Q1878" i="1"/>
  <c r="Q1881" i="1"/>
  <c r="Q1884" i="1"/>
  <c r="Q1887" i="1"/>
  <c r="Q1891" i="1"/>
  <c r="Q1894" i="1"/>
  <c r="Q1897" i="1"/>
  <c r="Q1900" i="1"/>
  <c r="Q1904" i="1"/>
  <c r="Q1907" i="1"/>
  <c r="Q1910" i="1"/>
  <c r="Q1913" i="1"/>
  <c r="Q1916" i="1"/>
  <c r="Q1919" i="1"/>
  <c r="Q1922" i="1"/>
  <c r="Q1925" i="1"/>
  <c r="Q1928" i="1"/>
  <c r="Q1931" i="1"/>
  <c r="Q2538" i="1"/>
  <c r="Q2542" i="1"/>
  <c r="Q2547" i="1"/>
  <c r="Q2551" i="1"/>
  <c r="Q2555" i="1"/>
  <c r="Q2560" i="1"/>
  <c r="Q2565" i="1"/>
  <c r="Q2568" i="1"/>
  <c r="Q2572" i="1"/>
  <c r="Q2575" i="1"/>
  <c r="Q2576" i="1"/>
  <c r="Q2580" i="1"/>
  <c r="Q2584" i="1"/>
  <c r="Q2588" i="1"/>
  <c r="Q2592" i="1"/>
  <c r="Q2596" i="1"/>
  <c r="Q2600" i="1"/>
  <c r="Q2604" i="1"/>
  <c r="Q2608" i="1"/>
  <c r="Q2612" i="1"/>
  <c r="Q2620" i="1"/>
  <c r="Q2626" i="1"/>
  <c r="Q2630" i="1"/>
  <c r="Q2634" i="1"/>
  <c r="Q2637" i="1"/>
  <c r="Q2641" i="1"/>
  <c r="Q2644" i="1"/>
  <c r="Q2648" i="1"/>
  <c r="Q2657" i="1"/>
  <c r="Q2658" i="1"/>
  <c r="Q2662" i="1"/>
  <c r="Q2666" i="1"/>
  <c r="Q2670" i="1"/>
  <c r="Q2675" i="1"/>
  <c r="Q2681" i="1"/>
  <c r="Q2685" i="1"/>
  <c r="Q2689" i="1"/>
  <c r="Q2694" i="1"/>
  <c r="Q2704" i="1"/>
  <c r="Q2710" i="1"/>
  <c r="Q2721" i="1"/>
  <c r="Q2725" i="1"/>
  <c r="Q2728" i="1"/>
  <c r="Q2732" i="1"/>
  <c r="Q2737" i="1"/>
  <c r="Q2743" i="1"/>
  <c r="Q2748" i="1"/>
  <c r="Q2751" i="1"/>
  <c r="Q2756" i="1"/>
  <c r="Q2760" i="1"/>
  <c r="Q2764" i="1"/>
  <c r="Q2775" i="1"/>
  <c r="Q2788" i="1"/>
  <c r="Q2790" i="1"/>
  <c r="Q2795" i="1"/>
  <c r="Q2797" i="1"/>
  <c r="Q2805" i="1"/>
  <c r="Q2812" i="1"/>
  <c r="Q2816" i="1"/>
  <c r="Q2822" i="1"/>
  <c r="Q2832" i="1"/>
  <c r="Q2838" i="1"/>
  <c r="Q2845" i="1"/>
  <c r="Q2849" i="1"/>
  <c r="Q2853" i="1"/>
  <c r="Q2864" i="1"/>
  <c r="Q2869" i="1"/>
  <c r="Q2873" i="1"/>
  <c r="Q2875" i="1"/>
  <c r="Q2881" i="1"/>
  <c r="Q2884" i="1"/>
  <c r="Q2889" i="1"/>
  <c r="Q2893" i="1"/>
  <c r="Q3614" i="1"/>
  <c r="Q3619" i="1"/>
  <c r="Q3623" i="1"/>
  <c r="Q3629" i="1"/>
  <c r="Q3634" i="1"/>
  <c r="Q3647" i="1"/>
  <c r="Q3654" i="1"/>
  <c r="Q3659" i="1"/>
  <c r="Q3665" i="1"/>
  <c r="Q3669" i="1"/>
  <c r="Q3681" i="1"/>
  <c r="Q3682" i="1"/>
  <c r="Q3687" i="1"/>
  <c r="Q3688" i="1"/>
  <c r="Q3693" i="1"/>
  <c r="Q3704" i="1"/>
  <c r="Q3709" i="1"/>
  <c r="Q3716" i="1"/>
  <c r="Q3721" i="1"/>
  <c r="Q3726" i="1"/>
  <c r="Q3731" i="1"/>
  <c r="Q3733" i="1"/>
  <c r="Q3740" i="1"/>
  <c r="Q3745" i="1"/>
  <c r="Q3750" i="1"/>
  <c r="Q3754" i="1"/>
  <c r="Q3760" i="1"/>
  <c r="Q3761" i="1"/>
  <c r="Q3768" i="1"/>
  <c r="Q3776" i="1"/>
  <c r="Q3784" i="1"/>
  <c r="Q3789" i="1"/>
  <c r="Q3799" i="1"/>
  <c r="Q3804" i="1"/>
  <c r="Q3811" i="1"/>
  <c r="Q3818" i="1"/>
  <c r="Q3824" i="1"/>
  <c r="Q3829" i="1"/>
  <c r="Q3834" i="1"/>
  <c r="Q3840" i="1"/>
  <c r="Q3847" i="1"/>
  <c r="Q3851" i="1"/>
  <c r="Q3855" i="1"/>
  <c r="Q3860" i="1"/>
  <c r="Q4507" i="1"/>
  <c r="Q4514" i="1"/>
  <c r="Q4519" i="1"/>
  <c r="Q4530" i="1"/>
  <c r="Q4536" i="1"/>
  <c r="Q4540" i="1"/>
  <c r="Q4541" i="1"/>
  <c r="Q4546" i="1"/>
  <c r="Q4553" i="1"/>
  <c r="Q4555" i="1"/>
  <c r="Q4561" i="1"/>
  <c r="Q4566" i="1"/>
  <c r="Q4584" i="1"/>
  <c r="Q4591" i="1"/>
  <c r="Q4597" i="1"/>
  <c r="Q4602" i="1"/>
  <c r="Q4608" i="1"/>
  <c r="Q4629" i="1"/>
  <c r="Q4644" i="1"/>
  <c r="Q4650" i="1"/>
  <c r="Q4666" i="1"/>
  <c r="Q4672" i="1"/>
  <c r="Q4679" i="1"/>
  <c r="Q4691" i="1"/>
  <c r="Q4698" i="1"/>
  <c r="Q4704" i="1"/>
  <c r="Q4705" i="1"/>
  <c r="Q4711" i="1"/>
  <c r="Q4724" i="1"/>
  <c r="Q4730" i="1"/>
  <c r="Q4738" i="1"/>
  <c r="Q4744" i="1"/>
  <c r="Q4750" i="1"/>
  <c r="Q4754" i="1"/>
  <c r="Q4765" i="1"/>
  <c r="Q4774" i="1"/>
  <c r="Q4775" i="1"/>
  <c r="Q4781" i="1"/>
  <c r="Q4803" i="1"/>
  <c r="Q4806" i="1"/>
  <c r="Q4814" i="1"/>
  <c r="Q4821" i="1"/>
  <c r="Q5677" i="1"/>
  <c r="Q5691" i="1"/>
  <c r="Q5710" i="1"/>
  <c r="Q5724" i="1"/>
  <c r="Q5728" i="1"/>
  <c r="Q5730" i="1"/>
  <c r="Q5748" i="1"/>
  <c r="Q5756" i="1"/>
  <c r="Q5759" i="1"/>
  <c r="Q5761" i="1"/>
  <c r="Q5767" i="1"/>
  <c r="Q5770" i="1"/>
  <c r="Q5783" i="1"/>
  <c r="Q5789" i="1"/>
  <c r="Q5791" i="1"/>
  <c r="Q5794" i="1"/>
  <c r="Q1933" i="1"/>
  <c r="Q2540" i="1"/>
  <c r="Q2545" i="1"/>
  <c r="Q2549" i="1"/>
  <c r="Q2554" i="1"/>
  <c r="Q2563" i="1"/>
  <c r="Q2564" i="1"/>
  <c r="Q2569" i="1"/>
  <c r="Q2573" i="1"/>
  <c r="Q2577" i="1"/>
  <c r="Q2582" i="1"/>
  <c r="Q2587" i="1"/>
  <c r="Q2591" i="1"/>
  <c r="Q2595" i="1"/>
  <c r="Q2601" i="1"/>
  <c r="Q2605" i="1"/>
  <c r="Q2609" i="1"/>
  <c r="Q2613" i="1"/>
  <c r="Q2618" i="1"/>
  <c r="Q2625" i="1"/>
  <c r="Q2629" i="1"/>
  <c r="Q2638" i="1"/>
  <c r="Q2642" i="1"/>
  <c r="Q2646" i="1"/>
  <c r="Q2651" i="1"/>
  <c r="Q2660" i="1"/>
  <c r="Q2664" i="1"/>
  <c r="Q2669" i="1"/>
  <c r="Q2674" i="1"/>
  <c r="Q2678" i="1"/>
  <c r="Q2682" i="1"/>
  <c r="Q2688" i="1"/>
  <c r="Q2695" i="1"/>
  <c r="Q2698" i="1"/>
  <c r="Q2701" i="1"/>
  <c r="Q2707" i="1"/>
  <c r="Q2712" i="1"/>
  <c r="Q2719" i="1"/>
  <c r="Q2724" i="1"/>
  <c r="Q2730" i="1"/>
  <c r="Q2734" i="1"/>
  <c r="Q2739" i="1"/>
  <c r="Q2746" i="1"/>
  <c r="Q2750" i="1"/>
  <c r="Q2755" i="1"/>
  <c r="Q2759" i="1"/>
  <c r="Q2763" i="1"/>
  <c r="Q2773" i="1"/>
  <c r="Q2782" i="1"/>
  <c r="Q2786" i="1"/>
  <c r="Q2791" i="1"/>
  <c r="Q2796" i="1"/>
  <c r="Q2800" i="1"/>
  <c r="Q2806" i="1"/>
  <c r="Q2817" i="1"/>
  <c r="Q2821" i="1"/>
  <c r="Q2834" i="1"/>
  <c r="Q2839" i="1"/>
  <c r="Q2846" i="1"/>
  <c r="Q2851" i="1"/>
  <c r="Q2856" i="1"/>
  <c r="Q2860" i="1"/>
  <c r="Q2865" i="1"/>
  <c r="Q2868" i="1"/>
  <c r="Q2876" i="1"/>
  <c r="Q2880" i="1"/>
  <c r="Q2885" i="1"/>
  <c r="Q2888" i="1"/>
  <c r="Q2896" i="1"/>
  <c r="Q3611" i="1"/>
  <c r="Q3624" i="1"/>
  <c r="Q3636" i="1"/>
  <c r="Q3643" i="1"/>
  <c r="Q3651" i="1"/>
  <c r="Q3660" i="1"/>
  <c r="Q3668" i="1"/>
  <c r="Q3674" i="1"/>
  <c r="Q3675" i="1"/>
  <c r="Q3686" i="1"/>
  <c r="Q3692" i="1"/>
  <c r="Q3710" i="1"/>
  <c r="Q3715" i="1"/>
  <c r="Q3722" i="1"/>
  <c r="Q3728" i="1"/>
  <c r="Q3738" i="1"/>
  <c r="Q3749" i="1"/>
  <c r="Q3753" i="1"/>
  <c r="Q3759" i="1"/>
  <c r="Q3765" i="1"/>
  <c r="Q3770" i="1"/>
  <c r="Q3771" i="1"/>
  <c r="Q3777" i="1"/>
  <c r="Q3783" i="1"/>
  <c r="Q3794" i="1"/>
  <c r="Q3800" i="1"/>
  <c r="Q3806" i="1"/>
  <c r="Q3814" i="1"/>
  <c r="Q3819" i="1"/>
  <c r="Q3825" i="1"/>
  <c r="Q3831" i="1"/>
  <c r="Q3838" i="1"/>
  <c r="Q3844" i="1"/>
  <c r="Q3850" i="1"/>
  <c r="Q3856" i="1"/>
  <c r="Q3863" i="1"/>
  <c r="Q4512" i="1"/>
  <c r="Q4521" i="1"/>
  <c r="Q4527" i="1"/>
  <c r="Q4537" i="1"/>
  <c r="Q4554" i="1"/>
  <c r="Q4559" i="1"/>
  <c r="Q4569" i="1"/>
  <c r="Q4573" i="1"/>
  <c r="Q4578" i="1"/>
  <c r="Q4581" i="1"/>
  <c r="Q4587" i="1"/>
  <c r="Q4592" i="1"/>
  <c r="Q4595" i="1"/>
  <c r="Q4604" i="1"/>
  <c r="Q4610" i="1"/>
  <c r="Q4617" i="1"/>
  <c r="Q4621" i="1"/>
  <c r="Q4640" i="1"/>
  <c r="Q4658" i="1"/>
  <c r="Q4664" i="1"/>
  <c r="Q4665" i="1"/>
  <c r="Q4673" i="1"/>
  <c r="Q4678" i="1"/>
  <c r="Q4680" i="1"/>
  <c r="Q4688" i="1"/>
  <c r="Q4699" i="1"/>
  <c r="Q4706" i="1"/>
  <c r="Q4712" i="1"/>
  <c r="Q4719" i="1"/>
  <c r="Q4720" i="1"/>
  <c r="Q4725" i="1"/>
  <c r="Q4732" i="1"/>
  <c r="Q4746" i="1"/>
  <c r="Q4753" i="1"/>
  <c r="Q4758" i="1"/>
  <c r="Q4763" i="1"/>
  <c r="Q4768" i="1"/>
  <c r="Q4769" i="1"/>
  <c r="Q4773" i="1"/>
  <c r="Q4779" i="1"/>
  <c r="Q4787" i="1"/>
  <c r="Q4790" i="1"/>
  <c r="Q4800" i="1"/>
  <c r="Q4808" i="1"/>
  <c r="Q4809" i="1"/>
  <c r="Q4816" i="1"/>
  <c r="Q5694" i="1"/>
  <c r="Q5709" i="1"/>
  <c r="Q5723" i="1"/>
  <c r="Q5729" i="1"/>
  <c r="Q5731" i="1"/>
  <c r="Q5732" i="1"/>
  <c r="Q5738" i="1"/>
  <c r="Q5758" i="1"/>
  <c r="Q5768" i="1"/>
  <c r="Q5772" i="1"/>
  <c r="Q5788" i="1"/>
  <c r="Q5793" i="1"/>
  <c r="Q3618" i="1"/>
  <c r="Q3626" i="1"/>
  <c r="Q3632" i="1"/>
  <c r="Q3641" i="1"/>
  <c r="Q3642" i="1"/>
  <c r="Q3650" i="1"/>
  <c r="Q3656" i="1"/>
  <c r="Q3657" i="1"/>
  <c r="Q3661" i="1"/>
  <c r="Q3662" i="1"/>
  <c r="Q3664" i="1"/>
  <c r="Q3670" i="1"/>
  <c r="Q3678" i="1"/>
  <c r="Q3691" i="1"/>
  <c r="Q3697" i="1"/>
  <c r="Q3698" i="1"/>
  <c r="Q3699" i="1"/>
  <c r="Q3700" i="1"/>
  <c r="Q3706" i="1"/>
  <c r="Q3717" i="1"/>
  <c r="Q3723" i="1"/>
  <c r="Q3729" i="1"/>
  <c r="Q3735" i="1"/>
  <c r="Q3741" i="1"/>
  <c r="Q3746" i="1"/>
  <c r="Q3747" i="1"/>
  <c r="Q3755" i="1"/>
  <c r="Q3766" i="1"/>
  <c r="Q3775" i="1"/>
  <c r="Q3781" i="1"/>
  <c r="Q3786" i="1"/>
  <c r="Q3792" i="1"/>
  <c r="Q3798" i="1"/>
  <c r="Q3803" i="1"/>
  <c r="Q3805" i="1"/>
  <c r="Q3810" i="1"/>
  <c r="Q3816" i="1"/>
  <c r="Q3822" i="1"/>
  <c r="Q3830" i="1"/>
  <c r="Q3836" i="1"/>
  <c r="Q3843" i="1"/>
  <c r="Q3849" i="1"/>
  <c r="Q3852" i="1"/>
  <c r="Q3859" i="1"/>
  <c r="Q4503" i="1"/>
  <c r="Q4520" i="1"/>
  <c r="Q4526" i="1"/>
  <c r="Q4532" i="1"/>
  <c r="Q4542" i="1"/>
  <c r="Q4548" i="1"/>
  <c r="Q4558" i="1"/>
  <c r="Q4565" i="1"/>
  <c r="Q4571" i="1"/>
  <c r="Q4575" i="1"/>
  <c r="Q4576" i="1"/>
  <c r="Q4583" i="1"/>
  <c r="Q4596" i="1"/>
  <c r="Q4598" i="1"/>
  <c r="Q4605" i="1"/>
  <c r="Q4613" i="1"/>
  <c r="Q4619" i="1"/>
  <c r="Q4631" i="1"/>
  <c r="Q4636" i="1"/>
  <c r="Q4647" i="1"/>
  <c r="Q4652" i="1"/>
  <c r="Q4655" i="1"/>
  <c r="Q4668" i="1"/>
  <c r="Q4669" i="1"/>
  <c r="Q4675" i="1"/>
  <c r="Q4676" i="1"/>
  <c r="Q4687" i="1"/>
  <c r="Q4694" i="1"/>
  <c r="Q4700" i="1"/>
  <c r="Q4701" i="1"/>
  <c r="Q4707" i="1"/>
  <c r="Q4716" i="1"/>
  <c r="Q4721" i="1"/>
  <c r="Q4735" i="1"/>
  <c r="Q4741" i="1"/>
  <c r="Q4747" i="1"/>
  <c r="Q4755" i="1"/>
  <c r="Q4762" i="1"/>
  <c r="Q4776" i="1"/>
  <c r="Q4778" i="1"/>
  <c r="Q4786" i="1"/>
  <c r="Q4802" i="1"/>
  <c r="Q4830" i="1"/>
  <c r="Q5671" i="1"/>
  <c r="Q5672" i="1"/>
  <c r="Q5676" i="1"/>
  <c r="Q5683" i="1"/>
  <c r="Q5688" i="1"/>
  <c r="Q5700" i="1"/>
  <c r="Q5701" i="1"/>
  <c r="Q5719" i="1"/>
  <c r="Q5733" i="1"/>
  <c r="Q5745" i="1"/>
  <c r="Q5749" i="1"/>
  <c r="Q5754" i="1"/>
  <c r="Q5774" i="1"/>
  <c r="Q5786" i="1"/>
  <c r="Q4504" i="1"/>
  <c r="Q4505" i="1"/>
  <c r="Q4510" i="1"/>
  <c r="Q4523" i="1"/>
  <c r="Q4531" i="1"/>
  <c r="Q4534" i="1"/>
  <c r="Q4538" i="1"/>
  <c r="Q4539" i="1"/>
  <c r="Q4547" i="1"/>
  <c r="Q4552" i="1"/>
  <c r="Q4557" i="1"/>
  <c r="Q4563" i="1"/>
  <c r="Q4570" i="1"/>
  <c r="Q4582" i="1"/>
  <c r="Q4589" i="1"/>
  <c r="Q4590" i="1"/>
  <c r="Q4599" i="1"/>
  <c r="Q4612" i="1"/>
  <c r="Q4615" i="1"/>
  <c r="Q4616" i="1"/>
  <c r="Q4620" i="1"/>
  <c r="Q4627" i="1"/>
  <c r="Q4628" i="1"/>
  <c r="Q4630" i="1"/>
  <c r="Q4637" i="1"/>
  <c r="Q4643" i="1"/>
  <c r="Q4646" i="1"/>
  <c r="Q4659" i="1"/>
  <c r="Q4660" i="1"/>
  <c r="Q4661" i="1"/>
  <c r="Q4682" i="1"/>
  <c r="Q4685" i="1"/>
  <c r="Q4693" i="1"/>
  <c r="Q4702" i="1"/>
  <c r="Q4710" i="1"/>
  <c r="Q4717" i="1"/>
  <c r="Q4728" i="1"/>
  <c r="Q4729" i="1"/>
  <c r="Q4734" i="1"/>
  <c r="Q4742" i="1"/>
  <c r="Q4743" i="1"/>
  <c r="Q4759" i="1"/>
  <c r="Q4770" i="1"/>
  <c r="Q4785" i="1"/>
  <c r="Q4791" i="1"/>
  <c r="Q4804" i="1"/>
  <c r="Q4805" i="1"/>
  <c r="Q4811" i="1"/>
  <c r="Q4817" i="1"/>
  <c r="Q4824" i="1"/>
  <c r="Q4826" i="1"/>
  <c r="Q4828" i="1"/>
  <c r="Q5670" i="1"/>
  <c r="Q5681" i="1"/>
  <c r="Q5686" i="1"/>
  <c r="Q5687" i="1"/>
  <c r="Q5695" i="1"/>
  <c r="Q5699" i="1"/>
  <c r="Q5704" i="1"/>
  <c r="Q5717" i="1"/>
  <c r="Q5720" i="1"/>
  <c r="Q5727" i="1"/>
  <c r="Q5737" i="1"/>
  <c r="Q5739" i="1"/>
  <c r="Q5743" i="1"/>
  <c r="Q5747" i="1"/>
  <c r="Q5752" i="1"/>
  <c r="Q5765" i="1"/>
  <c r="Q5777" i="1"/>
  <c r="Q5784" i="1"/>
  <c r="Q5673" i="1"/>
  <c r="Q5684" i="1"/>
  <c r="Q5689" i="1"/>
  <c r="Q5696" i="1"/>
  <c r="Q5698" i="1"/>
  <c r="Q5703" i="1"/>
  <c r="Q5714" i="1"/>
  <c r="Q5716" i="1"/>
  <c r="Q5718" i="1"/>
  <c r="Q5726" i="1"/>
  <c r="Q5735" i="1"/>
  <c r="Q5741" i="1"/>
  <c r="Q5744" i="1"/>
  <c r="Q5755" i="1"/>
  <c r="Q5771" i="1"/>
  <c r="Q5776" i="1"/>
  <c r="Q5785" i="1"/>
  <c r="Q5796" i="1"/>
  <c r="Q2680" i="1"/>
  <c r="Q2691" i="1"/>
  <c r="Q2708" i="1"/>
  <c r="Q2713" i="1"/>
  <c r="Q2717" i="1"/>
  <c r="Q2722" i="1"/>
  <c r="Q2727" i="1"/>
  <c r="Q2731" i="1"/>
  <c r="Q2736" i="1"/>
  <c r="Q2742" i="1"/>
  <c r="Q2747" i="1"/>
  <c r="Q2768" i="1"/>
  <c r="Q2777" i="1"/>
  <c r="Q2783" i="1"/>
  <c r="Q2784" i="1"/>
  <c r="Q2789" i="1"/>
  <c r="Q2798" i="1"/>
  <c r="Q2803" i="1"/>
  <c r="Q2809" i="1"/>
  <c r="Q2814" i="1"/>
  <c r="Q2815" i="1"/>
  <c r="Q2820" i="1"/>
  <c r="Q2825" i="1"/>
  <c r="Q2831" i="1"/>
  <c r="Q2836" i="1"/>
  <c r="Q2841" i="1"/>
  <c r="Q2842" i="1"/>
  <c r="Q2847" i="1"/>
  <c r="Q2852" i="1"/>
  <c r="Q2861" i="1"/>
  <c r="Q2866" i="1"/>
  <c r="Q2867" i="1"/>
  <c r="Q2877" i="1"/>
  <c r="Q2882" i="1"/>
  <c r="Q2887" i="1"/>
  <c r="Q2892" i="1"/>
  <c r="Q3610" i="1"/>
  <c r="Q3616" i="1"/>
  <c r="Q3625" i="1"/>
  <c r="Q3631" i="1"/>
  <c r="Q3637" i="1"/>
  <c r="Q3638" i="1"/>
  <c r="Q3639" i="1"/>
  <c r="Q3640" i="1"/>
  <c r="Q3646" i="1"/>
  <c r="Q3655" i="1"/>
  <c r="Q3663" i="1"/>
  <c r="Q3666" i="1"/>
  <c r="Q3673" i="1"/>
  <c r="Q3679" i="1"/>
  <c r="Q3684" i="1"/>
  <c r="Q3685" i="1"/>
  <c r="Q3690" i="1"/>
  <c r="Q3696" i="1"/>
  <c r="Q3705" i="1"/>
  <c r="Q3711" i="1"/>
  <c r="Q3712" i="1"/>
  <c r="Q3718" i="1"/>
  <c r="Q3724" i="1"/>
  <c r="Q3730" i="1"/>
  <c r="Q3736" i="1"/>
  <c r="Q3742" i="1"/>
  <c r="Q3752" i="1"/>
  <c r="Q3758" i="1"/>
  <c r="Q3764" i="1"/>
  <c r="Q3774" i="1"/>
  <c r="Q3780" i="1"/>
  <c r="Q3787" i="1"/>
  <c r="Q3791" i="1"/>
  <c r="Q3797" i="1"/>
  <c r="Q3809" i="1"/>
  <c r="Q3815" i="1"/>
  <c r="Q3821" i="1"/>
  <c r="Q3827" i="1"/>
  <c r="Q3833" i="1"/>
  <c r="Q3839" i="1"/>
  <c r="Q3845" i="1"/>
  <c r="Q3857" i="1"/>
  <c r="Q3862" i="1"/>
  <c r="Q4515" i="1"/>
  <c r="Q4516" i="1"/>
  <c r="Q4522" i="1"/>
  <c r="Q4528" i="1"/>
  <c r="Q4533" i="1"/>
  <c r="Q4549" i="1"/>
  <c r="Q4551" i="1"/>
  <c r="Q4564" i="1"/>
  <c r="Q4574" i="1"/>
  <c r="Q4579" i="1"/>
  <c r="Q4586" i="1"/>
  <c r="Q4593" i="1"/>
  <c r="Q4600" i="1"/>
  <c r="Q4606" i="1"/>
  <c r="Q4607" i="1"/>
  <c r="Q4618" i="1"/>
  <c r="Q4625" i="1"/>
  <c r="Q4632" i="1"/>
  <c r="Q4633" i="1"/>
  <c r="Q4634" i="1"/>
  <c r="Q4638" i="1"/>
  <c r="Q4639" i="1"/>
  <c r="Q4645" i="1"/>
  <c r="Q4648" i="1"/>
  <c r="Q4656" i="1"/>
  <c r="Q4662" i="1"/>
  <c r="Q4667" i="1"/>
  <c r="Q4674" i="1"/>
  <c r="Q4683" i="1"/>
  <c r="Q4695" i="1"/>
  <c r="Q4708" i="1"/>
  <c r="Q4714" i="1"/>
  <c r="Q4722" i="1"/>
  <c r="Q4727" i="1"/>
  <c r="Q4749" i="1"/>
  <c r="Q4751" i="1"/>
  <c r="Q4760" i="1"/>
  <c r="Q4761" i="1"/>
  <c r="Q4771" i="1"/>
  <c r="Q4777" i="1"/>
  <c r="Q4784" i="1"/>
  <c r="Q4792" i="1"/>
  <c r="Q4797" i="1"/>
  <c r="Q4798" i="1"/>
  <c r="Q4810" i="1"/>
  <c r="Q4812" i="1"/>
  <c r="Q4818" i="1"/>
  <c r="Q4819" i="1"/>
  <c r="Q4827" i="1"/>
  <c r="Q5674" i="1"/>
  <c r="Q5682" i="1"/>
  <c r="Q5697" i="1"/>
  <c r="Q5702" i="1"/>
  <c r="Q5707" i="1"/>
  <c r="Q5721" i="1"/>
  <c r="Q5746" i="1"/>
  <c r="Q5753" i="1"/>
  <c r="Q5757" i="1"/>
  <c r="Q5775" i="1"/>
  <c r="Q5780" i="1"/>
  <c r="Q5787" i="1"/>
  <c r="Q5792" i="1"/>
  <c r="Q312" i="1"/>
  <c r="Q330" i="1"/>
  <c r="Q396" i="1"/>
  <c r="Q406" i="1"/>
  <c r="Q412" i="1"/>
  <c r="Q421" i="1"/>
  <c r="Q431" i="1"/>
  <c r="Q432" i="1"/>
  <c r="Q441" i="1"/>
  <c r="Q442" i="1"/>
  <c r="Q450" i="1"/>
  <c r="Q459" i="1"/>
  <c r="Q468" i="1"/>
  <c r="Q477" i="1"/>
  <c r="Q485" i="1"/>
  <c r="Q486" i="1"/>
  <c r="Q496" i="1"/>
  <c r="Q507" i="1"/>
  <c r="Q515" i="1"/>
  <c r="Q516" i="1"/>
  <c r="Q517" i="1"/>
  <c r="Q526" i="1"/>
  <c r="Q535" i="1"/>
  <c r="Q543" i="1"/>
  <c r="Q552" i="1"/>
  <c r="Q562" i="1"/>
  <c r="Q571" i="1"/>
  <c r="Q579" i="1"/>
  <c r="Q588" i="1"/>
  <c r="Q597" i="1"/>
  <c r="Q606" i="1"/>
  <c r="Q616" i="1"/>
  <c r="Q626" i="1"/>
  <c r="Q635" i="1"/>
  <c r="Q644" i="1"/>
  <c r="Q660" i="1"/>
  <c r="Q669" i="1"/>
  <c r="Q677" i="1"/>
  <c r="Q688" i="1"/>
  <c r="Q697" i="1"/>
  <c r="Q706" i="1"/>
  <c r="Q715" i="1"/>
  <c r="Q724" i="1"/>
  <c r="Q733" i="1"/>
  <c r="Q734" i="1"/>
  <c r="Q742" i="1"/>
  <c r="Q752" i="1"/>
  <c r="Q761" i="1"/>
  <c r="Q768" i="1"/>
  <c r="Q778" i="1"/>
  <c r="Q786" i="1"/>
  <c r="Q795" i="1"/>
  <c r="Q804" i="1"/>
  <c r="Q814" i="1"/>
  <c r="Q823" i="1"/>
  <c r="Q834" i="1"/>
  <c r="Q843" i="1"/>
  <c r="Q845" i="1"/>
  <c r="Q854" i="1"/>
  <c r="Q864" i="1"/>
  <c r="Q873" i="1"/>
  <c r="Q882" i="1"/>
  <c r="Q891" i="1"/>
  <c r="Q892" i="1"/>
  <c r="Q900" i="1"/>
  <c r="Q910" i="1"/>
  <c r="Q916" i="1"/>
  <c r="Q921" i="1"/>
  <c r="Q930" i="1"/>
  <c r="Q949" i="1"/>
  <c r="Q960" i="1"/>
  <c r="Q1493" i="1"/>
  <c r="Q1507" i="1"/>
  <c r="Q1533" i="1"/>
  <c r="Q1546" i="1"/>
  <c r="Q1572" i="1"/>
  <c r="Q1587" i="1"/>
  <c r="Q1601" i="1"/>
  <c r="Q1603" i="1"/>
  <c r="Q1605" i="1"/>
  <c r="Q1619" i="1"/>
  <c r="Q1633" i="1"/>
  <c r="Q1634" i="1"/>
  <c r="Q1635" i="1"/>
  <c r="Q1649" i="1"/>
  <c r="Q1667" i="1"/>
  <c r="Q1668" i="1"/>
  <c r="Q1669" i="1"/>
  <c r="Q1683" i="1"/>
  <c r="Q1696" i="1"/>
  <c r="Q1707" i="1"/>
  <c r="Q1708" i="1"/>
  <c r="Q1721" i="1"/>
  <c r="Q1735" i="1"/>
  <c r="Q1737" i="1"/>
  <c r="Q1738" i="1"/>
  <c r="Q1751" i="1"/>
  <c r="Q1754" i="1"/>
  <c r="Q1762" i="1"/>
  <c r="Q1774" i="1"/>
  <c r="Q1787" i="1"/>
  <c r="Q1802" i="1"/>
  <c r="Q1804" i="1"/>
  <c r="Q1817" i="1"/>
  <c r="Q1843" i="1"/>
  <c r="Q1844" i="1"/>
  <c r="Q1859" i="1"/>
  <c r="Q1874" i="1"/>
  <c r="Q1889" i="1"/>
  <c r="Q1902" i="1"/>
  <c r="Q1917" i="1"/>
  <c r="Q1918" i="1"/>
  <c r="Q1932" i="1"/>
  <c r="Q2543" i="1"/>
  <c r="Q2544" i="1"/>
  <c r="Q2561" i="1"/>
  <c r="Q2581" i="1"/>
  <c r="Q2598" i="1"/>
  <c r="Q2616" i="1"/>
  <c r="Q2617" i="1"/>
  <c r="Q2633" i="1"/>
  <c r="Q2652" i="1"/>
  <c r="Q2655" i="1"/>
  <c r="Q2656" i="1"/>
  <c r="Q2672" i="1"/>
  <c r="Q2690" i="1"/>
  <c r="Q2702" i="1"/>
  <c r="Q2703" i="1"/>
  <c r="Q2715" i="1"/>
  <c r="Q2716" i="1"/>
  <c r="Q2729" i="1"/>
  <c r="Q2741" i="1"/>
  <c r="Q2753" i="1"/>
  <c r="Q2767" i="1"/>
  <c r="Q2776" i="1"/>
  <c r="Q2801" i="1"/>
  <c r="Q2802" i="1"/>
  <c r="Q2826" i="1"/>
  <c r="Q4686" i="1"/>
  <c r="Q4689" i="1"/>
  <c r="Q4690" i="1"/>
  <c r="Q4692" i="1"/>
  <c r="Q4718" i="1"/>
  <c r="Q4733" i="1"/>
  <c r="Q4748" i="1"/>
  <c r="Q4782" i="1"/>
  <c r="Q4793" i="1"/>
  <c r="Q4794" i="1"/>
  <c r="Q4795" i="1"/>
  <c r="Q4796" i="1"/>
  <c r="Q4807" i="1"/>
  <c r="Q4823" i="1"/>
  <c r="Q5679" i="1"/>
  <c r="Q5680" i="1"/>
  <c r="Q5693" i="1"/>
  <c r="Q5712" i="1"/>
  <c r="Q5734" i="1"/>
  <c r="Q5736" i="1"/>
  <c r="Q5742" i="1"/>
  <c r="Q5750" i="1"/>
  <c r="Q5751" i="1"/>
  <c r="Q5762" i="1"/>
  <c r="Q5763" i="1"/>
  <c r="Q5764" i="1"/>
  <c r="Q5782" i="1"/>
  <c r="Q5790" i="1"/>
  <c r="Q2" i="1"/>
  <c r="Q8" i="1"/>
  <c r="Q10" i="1"/>
  <c r="Q12" i="1"/>
  <c r="Q14" i="1"/>
  <c r="Q16" i="1"/>
  <c r="Q18" i="1"/>
  <c r="Q20" i="1"/>
  <c r="Q22" i="1"/>
  <c r="Q24" i="1"/>
  <c r="Q26" i="1"/>
  <c r="Q28" i="1"/>
  <c r="Q30" i="1"/>
  <c r="Q35" i="1"/>
  <c r="Q37" i="1"/>
  <c r="Q39" i="1"/>
  <c r="Q41" i="1"/>
  <c r="Q43" i="1"/>
  <c r="Q45" i="1"/>
  <c r="Q47" i="1"/>
  <c r="Q49" i="1"/>
  <c r="Q51" i="1"/>
  <c r="Q53" i="1"/>
  <c r="Q55" i="1"/>
  <c r="Q57" i="1"/>
  <c r="Q59" i="1"/>
  <c r="Q61" i="1"/>
  <c r="Q63" i="1"/>
  <c r="Q65" i="1"/>
  <c r="Q67" i="1"/>
  <c r="Q69" i="1"/>
  <c r="Q71" i="1"/>
  <c r="Q73" i="1"/>
  <c r="Q75" i="1"/>
  <c r="Q77" i="1"/>
  <c r="Q79" i="1"/>
  <c r="Q81" i="1"/>
  <c r="Q83" i="1"/>
  <c r="Q85" i="1"/>
  <c r="Q87" i="1"/>
  <c r="Q89" i="1"/>
  <c r="Q91" i="1"/>
  <c r="Q93" i="1"/>
  <c r="Q95" i="1"/>
  <c r="Q97" i="1"/>
  <c r="Q99" i="1"/>
  <c r="Q101" i="1"/>
  <c r="Q104" i="1"/>
  <c r="Q106" i="1"/>
  <c r="Q108" i="1"/>
  <c r="Q110" i="1"/>
  <c r="Q112" i="1"/>
  <c r="Q114" i="1"/>
  <c r="Q116" i="1"/>
  <c r="Q118" i="1"/>
  <c r="Q120" i="1"/>
  <c r="Q122" i="1"/>
  <c r="Q124" i="1"/>
  <c r="Q126" i="1"/>
  <c r="Q128" i="1"/>
  <c r="Q130" i="1"/>
  <c r="Q132" i="1"/>
  <c r="Q134" i="1"/>
  <c r="Q136" i="1"/>
  <c r="Q138" i="1"/>
  <c r="Q140" i="1"/>
  <c r="Q144" i="1"/>
  <c r="Q146" i="1"/>
  <c r="Q148" i="1"/>
  <c r="Q150" i="1"/>
  <c r="Q152" i="1"/>
  <c r="Q154" i="1"/>
  <c r="Q156" i="1"/>
  <c r="Q158" i="1"/>
  <c r="Q160" i="1"/>
  <c r="Q162" i="1"/>
  <c r="Q164" i="1"/>
  <c r="Q166" i="1"/>
  <c r="Q168" i="1"/>
  <c r="Q170" i="1"/>
  <c r="Q173" i="1"/>
  <c r="Q176" i="1"/>
  <c r="Q178" i="1"/>
  <c r="Q180" i="1"/>
  <c r="Q182" i="1"/>
  <c r="Q184" i="1"/>
  <c r="Q186" i="1"/>
  <c r="Q188" i="1"/>
  <c r="Q190" i="1"/>
  <c r="Q192" i="1"/>
  <c r="Q194" i="1"/>
  <c r="Q196" i="1"/>
  <c r="Q198" i="1"/>
  <c r="Q200" i="1"/>
  <c r="Q202" i="1"/>
  <c r="Q204" i="1"/>
  <c r="Q206" i="1"/>
  <c r="Q208" i="1"/>
  <c r="Q210" i="1"/>
  <c r="Q212" i="1"/>
  <c r="Q214" i="1"/>
  <c r="Q216" i="1"/>
  <c r="Q218" i="1"/>
  <c r="Q220" i="1"/>
  <c r="Q222" i="1"/>
  <c r="Q224" i="1"/>
  <c r="Q226" i="1"/>
  <c r="Q228" i="1"/>
  <c r="Q230" i="1"/>
  <c r="Q232" i="1"/>
  <c r="Q234" i="1"/>
  <c r="Q236" i="1"/>
  <c r="Q238" i="1"/>
  <c r="Q240" i="1"/>
  <c r="Q242" i="1"/>
  <c r="Q244" i="1"/>
  <c r="Q246" i="1"/>
  <c r="Q248" i="1"/>
  <c r="Q250" i="1"/>
  <c r="Q252" i="1"/>
  <c r="Q254" i="1"/>
  <c r="Q256" i="1"/>
  <c r="Q258" i="1"/>
  <c r="Q260" i="1"/>
  <c r="Q262" i="1"/>
  <c r="Q264" i="1"/>
  <c r="Q266" i="1"/>
  <c r="Q268" i="1"/>
  <c r="Q270" i="1"/>
  <c r="Q272" i="1"/>
  <c r="Q274" i="1"/>
  <c r="Q276" i="1"/>
  <c r="Q278" i="1"/>
  <c r="Q280" i="1"/>
  <c r="Q282" i="1"/>
  <c r="Q284" i="1"/>
  <c r="Q288" i="1"/>
  <c r="Q291" i="1"/>
  <c r="Q293" i="1"/>
  <c r="Q295" i="1"/>
  <c r="Q297" i="1"/>
  <c r="Q299" i="1"/>
  <c r="Q301" i="1"/>
  <c r="Q303" i="1"/>
  <c r="Q305" i="1"/>
  <c r="Q307" i="1"/>
  <c r="Q309" i="1"/>
  <c r="Q311" i="1"/>
  <c r="Q313" i="1"/>
  <c r="Q315" i="1"/>
  <c r="Q317" i="1"/>
  <c r="Q319" i="1"/>
  <c r="Q321" i="1"/>
  <c r="Q324" i="1"/>
  <c r="Q326" i="1"/>
  <c r="Q328" i="1"/>
  <c r="Q332" i="1"/>
  <c r="Q335" i="1"/>
  <c r="Q337" i="1"/>
  <c r="Q339" i="1"/>
  <c r="Q341" i="1"/>
  <c r="Q343" i="1"/>
  <c r="Q345" i="1"/>
  <c r="Q347" i="1"/>
  <c r="Q349" i="1"/>
  <c r="Q351" i="1"/>
  <c r="Q353" i="1"/>
  <c r="Q355" i="1"/>
  <c r="Q357" i="1"/>
  <c r="Q359" i="1"/>
  <c r="Q362" i="1"/>
  <c r="Q364" i="1"/>
  <c r="Q366" i="1"/>
  <c r="Q368" i="1"/>
  <c r="Q370" i="1"/>
  <c r="Q372" i="1"/>
  <c r="Q374" i="1"/>
  <c r="Q376" i="1"/>
  <c r="Q378" i="1"/>
  <c r="Q380" i="1"/>
  <c r="Q382" i="1"/>
  <c r="Q385" i="1"/>
  <c r="Q387" i="1"/>
  <c r="Q390" i="1"/>
  <c r="Q392" i="1"/>
  <c r="Q394" i="1"/>
  <c r="Q398" i="1"/>
  <c r="Q400" i="1"/>
  <c r="Q403" i="1"/>
  <c r="Q405" i="1"/>
  <c r="Q407" i="1"/>
  <c r="Q409" i="1"/>
  <c r="Q411" i="1"/>
  <c r="Q413" i="1"/>
  <c r="Q415" i="1"/>
  <c r="Q417" i="1"/>
  <c r="Q419" i="1"/>
  <c r="Q423" i="1"/>
  <c r="Q425" i="1"/>
  <c r="Q427" i="1"/>
  <c r="Q429" i="1"/>
  <c r="Q434" i="1"/>
  <c r="Q436" i="1"/>
  <c r="Q439" i="1"/>
  <c r="Q444" i="1"/>
  <c r="Q447" i="1"/>
  <c r="Q449" i="1"/>
  <c r="Q452" i="1"/>
  <c r="Q454" i="1"/>
  <c r="Q456" i="1"/>
  <c r="Q458" i="1"/>
  <c r="Q461" i="1"/>
  <c r="Q463" i="1"/>
  <c r="Q465" i="1"/>
  <c r="Q467" i="1"/>
  <c r="Q470" i="1"/>
  <c r="Q473" i="1"/>
  <c r="Q475" i="1"/>
  <c r="Q478" i="1"/>
  <c r="Q480" i="1"/>
  <c r="Q482" i="1"/>
  <c r="Q484" i="1"/>
  <c r="Q487" i="1"/>
  <c r="Q489" i="1"/>
  <c r="Q491" i="1"/>
  <c r="Q493" i="1"/>
  <c r="Q495" i="1"/>
  <c r="Q498" i="1"/>
  <c r="Q501" i="1"/>
  <c r="Q503" i="1"/>
  <c r="Q506" i="1"/>
  <c r="Q509" i="1"/>
  <c r="Q511" i="1"/>
  <c r="Q514" i="1"/>
  <c r="Q519" i="1"/>
  <c r="Q521" i="1"/>
  <c r="Q523" i="1"/>
  <c r="Q525" i="1"/>
  <c r="Q528" i="1"/>
  <c r="Q530" i="1"/>
  <c r="Q533" i="1"/>
  <c r="Q536" i="1"/>
  <c r="Q538" i="1"/>
  <c r="Q541" i="1"/>
  <c r="Q544" i="1"/>
  <c r="Q546" i="1"/>
  <c r="Q548" i="1"/>
  <c r="Q550" i="1"/>
  <c r="Q553" i="1"/>
  <c r="Q555" i="1"/>
  <c r="Q557" i="1"/>
  <c r="Q559" i="1"/>
  <c r="Q561" i="1"/>
  <c r="Q564" i="1"/>
  <c r="Q566" i="1"/>
  <c r="Q568" i="1"/>
  <c r="Q570" i="1"/>
  <c r="Q573" i="1"/>
  <c r="Q576" i="1"/>
  <c r="Q578" i="1"/>
  <c r="Q581" i="1"/>
  <c r="Q583" i="1"/>
  <c r="Q585" i="1"/>
  <c r="Q587" i="1"/>
  <c r="Q590" i="1"/>
  <c r="Q592" i="1"/>
  <c r="Q594" i="1"/>
  <c r="Q596" i="1"/>
  <c r="Q599" i="1"/>
  <c r="Q602" i="1"/>
  <c r="Q604" i="1"/>
  <c r="Q607" i="1"/>
  <c r="Q609" i="1"/>
  <c r="Q611" i="1"/>
  <c r="Q613" i="1"/>
  <c r="Q615" i="1"/>
  <c r="Q617" i="1"/>
  <c r="Q619" i="1"/>
  <c r="Q621" i="1"/>
  <c r="Q623" i="1"/>
  <c r="Q625" i="1"/>
  <c r="Q628" i="1"/>
  <c r="Q630" i="1"/>
  <c r="Q632" i="1"/>
  <c r="Q634" i="1"/>
  <c r="Q637" i="1"/>
  <c r="Q639" i="1"/>
  <c r="Q643" i="1"/>
  <c r="Q646" i="1"/>
  <c r="Q648" i="1"/>
  <c r="Q650" i="1"/>
  <c r="Q652" i="1"/>
  <c r="Q653" i="1"/>
  <c r="Q655" i="1"/>
  <c r="Q657" i="1"/>
  <c r="Q659" i="1"/>
  <c r="Q662" i="1"/>
  <c r="Q664" i="1"/>
  <c r="Q666" i="1"/>
  <c r="Q668" i="1"/>
  <c r="Q670" i="1"/>
  <c r="Q672" i="1"/>
  <c r="Q674" i="1"/>
  <c r="Q676" i="1"/>
  <c r="Q679" i="1"/>
  <c r="Q681" i="1"/>
  <c r="Q683" i="1"/>
  <c r="Q685" i="1"/>
  <c r="Q687" i="1"/>
  <c r="Q690" i="1"/>
  <c r="Q692" i="1"/>
  <c r="Q695" i="1"/>
  <c r="Q698" i="1"/>
  <c r="Q700" i="1"/>
  <c r="Q702" i="1"/>
  <c r="Q704" i="1"/>
  <c r="Q707" i="1"/>
  <c r="Q709" i="1"/>
  <c r="Q711" i="1"/>
  <c r="Q713" i="1"/>
  <c r="Q716" i="1"/>
  <c r="Q718" i="1"/>
  <c r="Q720" i="1"/>
  <c r="Q722" i="1"/>
  <c r="Q725" i="1"/>
  <c r="Q727" i="1"/>
  <c r="Q729" i="1"/>
  <c r="Q732" i="1"/>
  <c r="Q735" i="1"/>
  <c r="Q737" i="1"/>
  <c r="Q739" i="1"/>
  <c r="Q743" i="1"/>
  <c r="Q745" i="1"/>
  <c r="Q747" i="1"/>
  <c r="Q749" i="1"/>
  <c r="Q751" i="1"/>
  <c r="Q754" i="1"/>
  <c r="Q756" i="1"/>
  <c r="Q759" i="1"/>
  <c r="Q762" i="1"/>
  <c r="Q765" i="1"/>
  <c r="Q769" i="1"/>
  <c r="Q771" i="1"/>
  <c r="Q773" i="1"/>
  <c r="Q775" i="1"/>
  <c r="Q777" i="1"/>
  <c r="Q780" i="1"/>
  <c r="Q783" i="1"/>
  <c r="Q787" i="1"/>
  <c r="Q789" i="1"/>
  <c r="Q791" i="1"/>
  <c r="Q793" i="1"/>
  <c r="Q796" i="1"/>
  <c r="Q798" i="1"/>
  <c r="Q800" i="1"/>
  <c r="Q802" i="1"/>
  <c r="Q806" i="1"/>
  <c r="Q808" i="1"/>
  <c r="Q810" i="1"/>
  <c r="Q812" i="1"/>
  <c r="Q815" i="1"/>
  <c r="Q817" i="1"/>
  <c r="Q819" i="1"/>
  <c r="Q821" i="1"/>
  <c r="Q824" i="1"/>
  <c r="Q826" i="1"/>
  <c r="Q828" i="1"/>
  <c r="Q830" i="1"/>
  <c r="Q832" i="1"/>
  <c r="Q836" i="1"/>
  <c r="Q839" i="1"/>
  <c r="Q841" i="1"/>
  <c r="Q846" i="1"/>
  <c r="Q849" i="1"/>
  <c r="Q852" i="1"/>
  <c r="Q855" i="1"/>
  <c r="Q857" i="1"/>
  <c r="Q859" i="1"/>
  <c r="Q861" i="1"/>
  <c r="Q863" i="1"/>
  <c r="Q866" i="1"/>
  <c r="Q868" i="1"/>
  <c r="Q870" i="1"/>
  <c r="Q872" i="1"/>
  <c r="Q874" i="1"/>
  <c r="Q876" i="1"/>
  <c r="Q878" i="1"/>
  <c r="Q880" i="1"/>
  <c r="Q884" i="1"/>
  <c r="Q887" i="1"/>
  <c r="Q889" i="1"/>
  <c r="Q894" i="1"/>
  <c r="Q896" i="1"/>
  <c r="Q898" i="1"/>
  <c r="Q901" i="1"/>
  <c r="Q903" i="1"/>
  <c r="Q905" i="1"/>
  <c r="Q907" i="1"/>
  <c r="Q909" i="1"/>
  <c r="Q912" i="1"/>
  <c r="Q914" i="1"/>
  <c r="Q919" i="1"/>
  <c r="Q922" i="1"/>
  <c r="Q924" i="1"/>
  <c r="Q926" i="1"/>
  <c r="Q928" i="1"/>
  <c r="Q931" i="1"/>
  <c r="Q934" i="1"/>
  <c r="Q936" i="1"/>
  <c r="Q938" i="1"/>
  <c r="Q940" i="1"/>
  <c r="Q941" i="1"/>
  <c r="Q943" i="1"/>
  <c r="Q945" i="1"/>
  <c r="Q947" i="1"/>
  <c r="Q950" i="1"/>
  <c r="Q953" i="1"/>
  <c r="Q955" i="1"/>
  <c r="Q958" i="1"/>
  <c r="Q962" i="1"/>
  <c r="Q964" i="1"/>
  <c r="Q1485" i="1"/>
  <c r="Q1487" i="1"/>
  <c r="Q1490" i="1"/>
  <c r="Q1494" i="1"/>
  <c r="Q1497" i="1"/>
  <c r="Q1500" i="1"/>
  <c r="Q1503" i="1"/>
  <c r="Q1506" i="1"/>
  <c r="Q1510" i="1"/>
  <c r="Q1513" i="1"/>
  <c r="Q1516" i="1"/>
  <c r="Q1521" i="1"/>
  <c r="Q1523" i="1"/>
  <c r="Q1526" i="1"/>
  <c r="Q1529" i="1"/>
  <c r="Q1532" i="1"/>
  <c r="Q1535" i="1"/>
  <c r="Q1538" i="1"/>
  <c r="Q1541" i="1"/>
  <c r="Q1544" i="1"/>
  <c r="Q1547" i="1"/>
  <c r="Q1550" i="1"/>
  <c r="Q1554" i="1"/>
  <c r="Q1557" i="1"/>
  <c r="Q1560" i="1"/>
  <c r="Q1563" i="1"/>
  <c r="Q1566" i="1"/>
  <c r="Q1569" i="1"/>
  <c r="Q1573" i="1"/>
  <c r="Q1576" i="1"/>
  <c r="Q1579" i="1"/>
  <c r="Q1582" i="1"/>
  <c r="Q1585" i="1"/>
  <c r="Q1588" i="1"/>
  <c r="Q1591" i="1"/>
  <c r="Q1594" i="1"/>
  <c r="Q1597" i="1"/>
  <c r="Q1600" i="1"/>
  <c r="Q1607" i="1"/>
  <c r="Q1610" i="1"/>
  <c r="Q1613" i="1"/>
  <c r="Q1616" i="1"/>
  <c r="Q1620" i="1"/>
  <c r="Q1623" i="1"/>
  <c r="Q1626" i="1"/>
  <c r="Q1629" i="1"/>
  <c r="Q1632" i="1"/>
  <c r="Q1636" i="1"/>
  <c r="Q1639" i="1"/>
  <c r="Q1642" i="1"/>
  <c r="Q1645" i="1"/>
  <c r="Q1648" i="1"/>
  <c r="Q1651" i="1"/>
  <c r="Q1654" i="1"/>
  <c r="Q1658" i="1"/>
  <c r="Q1661" i="1"/>
  <c r="Q1664" i="1"/>
  <c r="Q1671" i="1"/>
  <c r="Q1674" i="1"/>
  <c r="Q1677" i="1"/>
  <c r="Q1680" i="1"/>
  <c r="Q1684" i="1"/>
  <c r="Q1687" i="1"/>
  <c r="Q1690" i="1"/>
  <c r="Q1693" i="1"/>
  <c r="Q1694" i="1"/>
  <c r="Q1698" i="1"/>
  <c r="Q1701" i="1"/>
  <c r="Q1704" i="1"/>
  <c r="Q1711" i="1"/>
  <c r="Q1713" i="1"/>
  <c r="Q1715" i="1"/>
  <c r="Q1718" i="1"/>
  <c r="Q1722" i="1"/>
  <c r="Q1725" i="1"/>
  <c r="Q1728" i="1"/>
  <c r="Q1731" i="1"/>
  <c r="Q1734" i="1"/>
  <c r="Q1741" i="1"/>
  <c r="Q1744" i="1"/>
  <c r="Q1747" i="1"/>
  <c r="Q1750" i="1"/>
  <c r="Q1759" i="1"/>
  <c r="Q1764" i="1"/>
  <c r="Q1766" i="1"/>
  <c r="Q1768" i="1"/>
  <c r="Q1771" i="1"/>
  <c r="Q1775" i="1"/>
  <c r="Q1776" i="1"/>
  <c r="Q1780" i="1"/>
  <c r="Q1784" i="1"/>
  <c r="Q1788" i="1"/>
  <c r="Q1791" i="1"/>
  <c r="Q1794" i="1"/>
  <c r="Q1797" i="1"/>
  <c r="Q1800" i="1"/>
  <c r="Q1803" i="1"/>
  <c r="Q1807" i="1"/>
  <c r="Q1810" i="1"/>
  <c r="Q1813" i="1"/>
  <c r="Q1816" i="1"/>
  <c r="Q1820" i="1"/>
  <c r="Q1823" i="1"/>
  <c r="Q1826" i="1"/>
  <c r="Q1831" i="1"/>
  <c r="Q1833" i="1"/>
  <c r="Q1836" i="1"/>
  <c r="Q1839" i="1"/>
  <c r="Q1842" i="1"/>
  <c r="Q1847" i="1"/>
  <c r="Q1850" i="1"/>
  <c r="Q1853" i="1"/>
  <c r="Q1856" i="1"/>
  <c r="Q1860" i="1"/>
  <c r="Q1861" i="1"/>
  <c r="Q1864" i="1"/>
  <c r="Q1867" i="1"/>
  <c r="Q1870" i="1"/>
  <c r="Q1873" i="1"/>
  <c r="Q1877" i="1"/>
  <c r="Q1880" i="1"/>
  <c r="Q1883" i="1"/>
  <c r="Q1886" i="1"/>
  <c r="Q1890" i="1"/>
  <c r="Q1893" i="1"/>
  <c r="Q1896" i="1"/>
  <c r="Q1899" i="1"/>
  <c r="Q1903" i="1"/>
  <c r="Q1906" i="1"/>
  <c r="Q1909" i="1"/>
  <c r="Q1912" i="1"/>
  <c r="Q1915" i="1"/>
  <c r="Q1920" i="1"/>
  <c r="Q1923" i="1"/>
  <c r="Q1926" i="1"/>
  <c r="Q1929" i="1"/>
  <c r="Q2539" i="1"/>
  <c r="Q2548" i="1"/>
  <c r="Q2552" i="1"/>
  <c r="Q2556" i="1"/>
  <c r="Q2558" i="1"/>
  <c r="Q2559" i="1"/>
  <c r="Q2567" i="1"/>
  <c r="Q2571" i="1"/>
  <c r="Q2574" i="1"/>
  <c r="Q2578" i="1"/>
  <c r="Q2583" i="1"/>
  <c r="Q2586" i="1"/>
  <c r="Q2590" i="1"/>
  <c r="Q2594" i="1"/>
  <c r="Q2599" i="1"/>
  <c r="Q2603" i="1"/>
  <c r="Q2607" i="1"/>
  <c r="Q2610" i="1"/>
  <c r="Q2614" i="1"/>
  <c r="Q2621" i="1"/>
  <c r="Q2624" i="1"/>
  <c r="Q2628" i="1"/>
  <c r="Q2632" i="1"/>
  <c r="Q2636" i="1"/>
  <c r="Q2639" i="1"/>
  <c r="Q2643" i="1"/>
  <c r="Q2647" i="1"/>
  <c r="Q2650" i="1"/>
  <c r="Q2654" i="1"/>
  <c r="Q2661" i="1"/>
  <c r="Q2665" i="1"/>
  <c r="Q2668" i="1"/>
  <c r="Q2673" i="1"/>
  <c r="Q2677" i="1"/>
  <c r="Q2683" i="1"/>
  <c r="Q2686" i="1"/>
  <c r="Q2696" i="1"/>
  <c r="Q2699" i="1"/>
  <c r="Q2706" i="1"/>
  <c r="Q2711" i="1"/>
  <c r="Q2720" i="1"/>
  <c r="Q2726" i="1"/>
  <c r="Q2733" i="1"/>
  <c r="Q2738" i="1"/>
  <c r="Q2745" i="1"/>
  <c r="Q2749" i="1"/>
  <c r="Q2754" i="1"/>
  <c r="Q2758" i="1"/>
  <c r="Q2762" i="1"/>
  <c r="Q2766" i="1"/>
  <c r="Q2770" i="1"/>
  <c r="Q2774" i="1"/>
  <c r="Q2779" i="1"/>
  <c r="Q2781" i="1"/>
  <c r="Q2787" i="1"/>
  <c r="Q2792" i="1"/>
  <c r="Q2793" i="1"/>
  <c r="Q2807" i="1"/>
  <c r="Q2810" i="1"/>
  <c r="Q2813" i="1"/>
  <c r="Q2819" i="1"/>
  <c r="Q2824" i="1"/>
  <c r="Q2827" i="1"/>
  <c r="Q2829" i="1"/>
  <c r="Q2833" i="1"/>
  <c r="Q2837" i="1"/>
  <c r="Q2843" i="1"/>
  <c r="Q2848" i="1"/>
  <c r="Q2854" i="1"/>
  <c r="Q2858" i="1"/>
  <c r="Q2859" i="1"/>
  <c r="Q2863" i="1"/>
  <c r="Q2871" i="1"/>
  <c r="Q2878" i="1"/>
  <c r="Q2886" i="1"/>
  <c r="Q2890" i="1"/>
  <c r="Q2894" i="1"/>
  <c r="Q2897" i="1"/>
  <c r="Q3612" i="1"/>
  <c r="Q3613" i="1"/>
  <c r="Q3617" i="1"/>
  <c r="Q3622" i="1"/>
  <c r="Q3628" i="1"/>
  <c r="Q3630" i="1"/>
  <c r="Q3635" i="1"/>
  <c r="Q3644" i="1"/>
  <c r="Q3648" i="1"/>
  <c r="Q3652" i="1"/>
  <c r="Q3658" i="1"/>
  <c r="Q3671" i="1"/>
  <c r="Q3676" i="1"/>
  <c r="Q3680" i="1"/>
  <c r="Q3694" i="1"/>
  <c r="Q3702" i="1"/>
  <c r="Q3703" i="1"/>
  <c r="Q3708" i="1"/>
  <c r="Q3714" i="1"/>
  <c r="Q3719" i="1"/>
  <c r="Q3727" i="1"/>
  <c r="Q3734" i="1"/>
  <c r="Q3739" i="1"/>
  <c r="Q3744" i="1"/>
  <c r="Q3751" i="1"/>
  <c r="Q3756" i="1"/>
  <c r="Q3762" i="1"/>
  <c r="Q3767" i="1"/>
  <c r="Q3778" i="1"/>
  <c r="Q3782" i="1"/>
  <c r="Q3788" i="1"/>
  <c r="Q3793" i="1"/>
  <c r="Q3796" i="1"/>
  <c r="Q3802" i="1"/>
  <c r="Q3807" i="1"/>
  <c r="Q3813" i="1"/>
  <c r="Q3820" i="1"/>
  <c r="Q3826" i="1"/>
  <c r="Q3832" i="1"/>
  <c r="Q3837" i="1"/>
  <c r="Q3842" i="1"/>
  <c r="Q3848" i="1"/>
  <c r="Q3854" i="1"/>
  <c r="Q3861" i="1"/>
  <c r="Q4509" i="1"/>
  <c r="Q4513" i="1"/>
  <c r="Q4518" i="1"/>
  <c r="Q4545" i="1"/>
  <c r="Q4550" i="1"/>
  <c r="Q4556" i="1"/>
  <c r="Q4560" i="1"/>
  <c r="Q4568" i="1"/>
  <c r="Q4577" i="1"/>
  <c r="Q4585" i="1"/>
  <c r="Q4601" i="1"/>
  <c r="Q4611" i="1"/>
  <c r="Q4623" i="1"/>
  <c r="Q4624" i="1"/>
  <c r="Q4626" i="1"/>
  <c r="Q4649" i="1"/>
  <c r="Q4653" i="1"/>
  <c r="Q4654" i="1"/>
  <c r="Q4663" i="1"/>
  <c r="Q4671" i="1"/>
  <c r="Q4677" i="1"/>
  <c r="Q4681" i="1"/>
  <c r="Q4696" i="1"/>
  <c r="Q4713" i="1"/>
  <c r="Q4731" i="1"/>
  <c r="Q4737" i="1"/>
  <c r="Q4740" i="1"/>
  <c r="Q4756" i="1"/>
  <c r="Q4764" i="1"/>
  <c r="Q4766" i="1"/>
  <c r="Q4767" i="1"/>
  <c r="Q4783" i="1"/>
  <c r="Q4789" i="1"/>
  <c r="Q4801" i="1"/>
  <c r="Q4815" i="1"/>
  <c r="Q4822" i="1"/>
  <c r="Q5675" i="1"/>
  <c r="Q5685" i="1"/>
  <c r="Q5690" i="1"/>
  <c r="Q5706" i="1"/>
  <c r="Q5708" i="1"/>
  <c r="Q5711" i="1"/>
  <c r="Q5713" i="1"/>
  <c r="Q5722" i="1"/>
  <c r="Q5760" i="1"/>
  <c r="Q5769" i="1"/>
  <c r="Q57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<sst xmlns="http://schemas.openxmlformats.org/spreadsheetml/2006/main" count="32106" uniqueCount="897">
  <si>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</si>
  <si>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</si>
  <si>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</si>
  <si>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</si>
  <si>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</si>
  <si>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</si>
  <si>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</si>
  <si>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</si>
  <si>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</si>
  <si>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year</t>
  </si>
  <si>
    <t>Home_GDP</t>
  </si>
  <si>
    <t>Away_GDP</t>
  </si>
  <si>
    <t>Wealthier_Winner</t>
  </si>
  <si>
    <t>Brazil</t>
  </si>
  <si>
    <t>Chile</t>
  </si>
  <si>
    <t>Colombia</t>
  </si>
  <si>
    <t>Germany</t>
  </si>
  <si>
    <t>Mexico</t>
  </si>
  <si>
    <t>Italy</t>
  </si>
  <si>
    <t>Argentina</t>
  </si>
  <si>
    <t>France</t>
  </si>
  <si>
    <t>Spain</t>
  </si>
  <si>
    <t>Israel</t>
  </si>
  <si>
    <t>Belgium</t>
  </si>
  <si>
    <t>Morocco</t>
  </si>
  <si>
    <t>Sweden</t>
  </si>
  <si>
    <t>Uruguay</t>
  </si>
  <si>
    <t>Netherlands</t>
  </si>
  <si>
    <t>Australia</t>
  </si>
  <si>
    <t>Austria</t>
  </si>
  <si>
    <t>Hungary</t>
  </si>
  <si>
    <t>Peru</t>
  </si>
  <si>
    <t>Algeria</t>
  </si>
  <si>
    <t>Bulgaria</t>
  </si>
  <si>
    <t>Canada</t>
  </si>
  <si>
    <t>Paraguay</t>
  </si>
  <si>
    <t>Denmark</t>
  </si>
  <si>
    <t>Iraq</t>
  </si>
  <si>
    <t>Portugal</t>
  </si>
  <si>
    <t>United Arab Emirates</t>
  </si>
  <si>
    <t>Cameroon</t>
  </si>
  <si>
    <t>United States</t>
  </si>
  <si>
    <t>Norway</t>
  </si>
  <si>
    <t>Nigeria</t>
  </si>
  <si>
    <t>Romania</t>
  </si>
  <si>
    <t>Saudi Arabia</t>
  </si>
  <si>
    <t>Switzerland</t>
  </si>
  <si>
    <t>Bolivia</t>
  </si>
  <si>
    <t>Greece</t>
  </si>
  <si>
    <t>Jamaica</t>
  </si>
  <si>
    <t>South Africa</t>
  </si>
  <si>
    <t>Japan</t>
  </si>
  <si>
    <t>Croatia</t>
  </si>
  <si>
    <t>Tunisia</t>
  </si>
  <si>
    <t>Senegal</t>
  </si>
  <si>
    <t>Slovenia</t>
  </si>
  <si>
    <t>Costa Rica</t>
  </si>
  <si>
    <t>Ecuador</t>
  </si>
  <si>
    <t>Poland</t>
  </si>
  <si>
    <t>Trinidad and Tobago</t>
  </si>
  <si>
    <t>Angola</t>
  </si>
  <si>
    <t>Serbia</t>
  </si>
  <si>
    <t>Togo</t>
  </si>
  <si>
    <t>Ghana</t>
  </si>
  <si>
    <t>Ukraine</t>
  </si>
  <si>
    <t>Honduras</t>
  </si>
  <si>
    <t>Iceland</t>
  </si>
  <si>
    <t>Panama</t>
  </si>
  <si>
    <t>Qatar</t>
  </si>
  <si>
    <t>El Salvador</t>
  </si>
  <si>
    <t>Haiti</t>
  </si>
  <si>
    <t>Kuwait</t>
  </si>
  <si>
    <t>New Zealand</t>
  </si>
  <si>
    <t>Bosnia and Herzegovina</t>
  </si>
  <si>
    <t>FIFA World Cup</t>
  </si>
  <si>
    <t>Santiago</t>
  </si>
  <si>
    <t>Arica</t>
  </si>
  <si>
    <t>Sheffield</t>
  </si>
  <si>
    <t>Birmingham</t>
  </si>
  <si>
    <t>Sunderland</t>
  </si>
  <si>
    <t>London</t>
  </si>
  <si>
    <t>Liverpool</t>
  </si>
  <si>
    <t>Puebla</t>
  </si>
  <si>
    <t>Mexico City</t>
  </si>
  <si>
    <t>Toluca</t>
  </si>
  <si>
    <t>Guadalajara</t>
  </si>
  <si>
    <t>Berlin</t>
  </si>
  <si>
    <t>Munich</t>
  </si>
  <si>
    <t>Hanover</t>
  </si>
  <si>
    <t>Hamburg</t>
  </si>
  <si>
    <t>Stuttgart</t>
  </si>
  <si>
    <t>Dortmund</t>
  </si>
  <si>
    <t>Gelsenkirchen</t>
  </si>
  <si>
    <t>Buenos Aires</t>
  </si>
  <si>
    <t>Mar del Plata</t>
  </si>
  <si>
    <t>Rosario</t>
  </si>
  <si>
    <t>Mendoza</t>
  </si>
  <si>
    <t>Barcelona</t>
  </si>
  <si>
    <t>Elche</t>
  </si>
  <si>
    <t>Valencia</t>
  </si>
  <si>
    <t>Oviedo</t>
  </si>
  <si>
    <t>Alicante</t>
  </si>
  <si>
    <t>Vigo</t>
  </si>
  <si>
    <t>Valladolid</t>
  </si>
  <si>
    <t>Seville</t>
  </si>
  <si>
    <t>Madrid</t>
  </si>
  <si>
    <t>Irapuato</t>
  </si>
  <si>
    <t>Monterrey</t>
  </si>
  <si>
    <t>Milan</t>
  </si>
  <si>
    <t>Rome</t>
  </si>
  <si>
    <t>Bologna</t>
  </si>
  <si>
    <t>Turin</t>
  </si>
  <si>
    <t>Udine</t>
  </si>
  <si>
    <t>Bari</t>
  </si>
  <si>
    <t>Verona</t>
  </si>
  <si>
    <t>Naples</t>
  </si>
  <si>
    <t>Florence</t>
  </si>
  <si>
    <t>Genoa</t>
  </si>
  <si>
    <t>Chicago</t>
  </si>
  <si>
    <t>Pasadena</t>
  </si>
  <si>
    <t>Pontiac</t>
  </si>
  <si>
    <t>Orlando</t>
  </si>
  <si>
    <t>Washington, D.C.</t>
  </si>
  <si>
    <t>Foxborough</t>
  </si>
  <si>
    <t>Dallas</t>
  </si>
  <si>
    <t>East Rutherford</t>
  </si>
  <si>
    <t>Palo Alto</t>
  </si>
  <si>
    <t>Montpellier</t>
  </si>
  <si>
    <t>Toulouse</t>
  </si>
  <si>
    <t>Bordeaux</t>
  </si>
  <si>
    <t>Marseille</t>
  </si>
  <si>
    <t>Lens</t>
  </si>
  <si>
    <t>Saint-Denis</t>
  </si>
  <si>
    <t>Nantes</t>
  </si>
  <si>
    <t>Paris</t>
  </si>
  <si>
    <t>Lyon</t>
  </si>
  <si>
    <t>Seoul</t>
  </si>
  <si>
    <t>Sapporo</t>
  </si>
  <si>
    <t>Ulsan</t>
  </si>
  <si>
    <t>Kashima</t>
  </si>
  <si>
    <t>Busan</t>
  </si>
  <si>
    <t>Gwangju</t>
  </si>
  <si>
    <t>Niigata</t>
  </si>
  <si>
    <t>Saitama</t>
  </si>
  <si>
    <t>Suwon</t>
  </si>
  <si>
    <t>Daegu</t>
  </si>
  <si>
    <t>Jeonju</t>
  </si>
  <si>
    <t>Kobe</t>
  </si>
  <si>
    <t>Rifu</t>
  </si>
  <si>
    <t>Fukuroi</t>
  </si>
  <si>
    <t>Incheon</t>
  </si>
  <si>
    <t>Seogwipo</t>
  </si>
  <si>
    <t>Daejeon</t>
  </si>
  <si>
    <t>Yokohama</t>
  </si>
  <si>
    <t>Osaka</t>
  </si>
  <si>
    <t>Cologne</t>
  </si>
  <si>
    <t>Leipzig</t>
  </si>
  <si>
    <t>Kaiserslautern</t>
  </si>
  <si>
    <t>Nuremberg</t>
  </si>
  <si>
    <t>Frankfurt am Main</t>
  </si>
  <si>
    <t>Johannesburg</t>
  </si>
  <si>
    <t>Cape Town</t>
  </si>
  <si>
    <t>Polokwane</t>
  </si>
  <si>
    <t>Durban</t>
  </si>
  <si>
    <t>Pretoria</t>
  </si>
  <si>
    <t>Bloemfontein</t>
  </si>
  <si>
    <t>Nelspruit</t>
  </si>
  <si>
    <t>Port Elizabeth</t>
  </si>
  <si>
    <t>Rustenburg</t>
  </si>
  <si>
    <t>Natal</t>
  </si>
  <si>
    <t>Salvador</t>
  </si>
  <si>
    <t>Belo Horizonte</t>
  </si>
  <si>
    <t>Fortaleza</t>
  </si>
  <si>
    <t>Rio de Janeiro</t>
  </si>
  <si>
    <t>Porto Alegre</t>
  </si>
  <si>
    <t>Curitiba</t>
  </si>
  <si>
    <t>Manaus</t>
  </si>
  <si>
    <t>Recife</t>
  </si>
  <si>
    <t>Sochi</t>
  </si>
  <si>
    <t>Kazan</t>
  </si>
  <si>
    <t>Moscow</t>
  </si>
  <si>
    <t>Saransk</t>
  </si>
  <si>
    <t>Kaliningrad</t>
  </si>
  <si>
    <t>Samara</t>
  </si>
  <si>
    <t>Rostov-on-Don</t>
  </si>
  <si>
    <t>Ekaterinburg</t>
  </si>
  <si>
    <t>Nizhny Novgorod</t>
  </si>
  <si>
    <t>Saint Petersburg</t>
  </si>
  <si>
    <t>Volgograd</t>
  </si>
  <si>
    <t>Al Khor</t>
  </si>
  <si>
    <t>Doha</t>
  </si>
  <si>
    <t>Lusail</t>
  </si>
  <si>
    <t>Al Rayyan</t>
  </si>
  <si>
    <t>Al Wakrah</t>
  </si>
  <si>
    <t>England</t>
  </si>
  <si>
    <t>South Korea</t>
  </si>
  <si>
    <t>Russia</t>
  </si>
  <si>
    <t>ID</t>
  </si>
  <si>
    <t>Row Labels</t>
  </si>
  <si>
    <t>Grand Total</t>
  </si>
  <si>
    <t>decade</t>
  </si>
  <si>
    <t>Year</t>
  </si>
  <si>
    <t>Count</t>
  </si>
  <si>
    <t>Wealthier_Win_Percent</t>
  </si>
  <si>
    <t>Wealthier_Tie_Percent</t>
  </si>
  <si>
    <t>Wealthier_Lose_Percent</t>
  </si>
  <si>
    <t>https://data.worldbank.org/indicator/NY.GDP.MKTP.CD</t>
  </si>
  <si>
    <t>https://www.kaggle.com/datasets/martj42/international-football-results-from-1872-to-2017?select=results.csv</t>
  </si>
  <si>
    <t>Decade</t>
  </si>
  <si>
    <t>Rancagua</t>
  </si>
  <si>
    <t>Iran</t>
  </si>
  <si>
    <t>Bilbao</t>
  </si>
  <si>
    <t>Egypt</t>
  </si>
  <si>
    <t>Palermo</t>
  </si>
  <si>
    <t>Cagliari</t>
  </si>
  <si>
    <t>Significantly_Wealthier</t>
  </si>
  <si>
    <t>Significantly_Wealthier_Win_Percent</t>
  </si>
  <si>
    <t>Significantly_Wealthier_Tie_Percent</t>
  </si>
  <si>
    <t>Significantly_Wealthier_Lose_Percent</t>
  </si>
  <si>
    <t>Significantly_Wealthier_Count</t>
  </si>
  <si>
    <t>Average of Significantly_Wealthier_Lose_Percent</t>
  </si>
  <si>
    <t>Average of Significantly_Wealthier_Win_Percent</t>
  </si>
  <si>
    <t>Average of Significantly_Wealthier_Tie_Percent</t>
  </si>
  <si>
    <t>Guatemala</t>
  </si>
  <si>
    <t>FIFA World Cup qualification</t>
  </si>
  <si>
    <t>San Jos√©</t>
  </si>
  <si>
    <t>Accra</t>
  </si>
  <si>
    <t>Guatemala City</t>
  </si>
  <si>
    <t>Tegucigalpa</t>
  </si>
  <si>
    <t>Lagos</t>
  </si>
  <si>
    <t>Finland</t>
  </si>
  <si>
    <t>Helsinki</t>
  </si>
  <si>
    <t>Luxembourg</t>
  </si>
  <si>
    <t>Solna</t>
  </si>
  <si>
    <t>Los Angeles</t>
  </si>
  <si>
    <t>Brussels</t>
  </si>
  <si>
    <t>Athens</t>
  </si>
  <si>
    <t>Guayaquil</t>
  </si>
  <si>
    <t>Ethiopia</t>
  </si>
  <si>
    <t>Ramat Gan</t>
  </si>
  <si>
    <t>Oeiras</t>
  </si>
  <si>
    <t>Bogot√°</t>
  </si>
  <si>
    <t>Lima</t>
  </si>
  <si>
    <t>Lausanne</t>
  </si>
  <si>
    <t>Casablanca</t>
  </si>
  <si>
    <t>Tokyo</t>
  </si>
  <si>
    <t>La Paz</t>
  </si>
  <si>
    <t>Montevideo</t>
  </si>
  <si>
    <t>Augsburg</t>
  </si>
  <si>
    <t>Bern</t>
  </si>
  <si>
    <t>Asunci√≥n</t>
  </si>
  <si>
    <t>Vi√±a del Mar</t>
  </si>
  <si>
    <t>Suriname</t>
  </si>
  <si>
    <t>Port of Spain</t>
  </si>
  <si>
    <t>San Pedro Sula</t>
  </si>
  <si>
    <t>Paramaribo</t>
  </si>
  <si>
    <t>Dutch Guyana</t>
  </si>
  <si>
    <t>Kingston</t>
  </si>
  <si>
    <t>Venezuela</t>
  </si>
  <si>
    <t>Trondheim</t>
  </si>
  <si>
    <t>Caracas</t>
  </si>
  <si>
    <t>Barranquilla</t>
  </si>
  <si>
    <t>Oslo</t>
  </si>
  <si>
    <t>Amsterdam</t>
  </si>
  <si>
    <t>Copenhagen</t>
  </si>
  <si>
    <t>Rotterdam</t>
  </si>
  <si>
    <t>Bermuda</t>
  </si>
  <si>
    <t>Toronto</t>
  </si>
  <si>
    <t>Waregem</t>
  </si>
  <si>
    <t>Basel</t>
  </si>
  <si>
    <t>Vienna</t>
  </si>
  <si>
    <t>Hamilton</t>
  </si>
  <si>
    <t>Atlanta</t>
  </si>
  <si>
    <t>Zambia</t>
  </si>
  <si>
    <t>Sudan</t>
  </si>
  <si>
    <t>Ndola</t>
  </si>
  <si>
    <t>Kansas City</t>
  </si>
  <si>
    <t>Strasbourg</t>
  </si>
  <si>
    <t>Khartoum</t>
  </si>
  <si>
    <t>Algiers</t>
  </si>
  <si>
    <t>Port-au-Prince</t>
  </si>
  <si>
    <t>San Salvador</t>
  </si>
  <si>
    <t>Piraeus</t>
  </si>
  <si>
    <t>Douala</t>
  </si>
  <si>
    <t>Tunis</t>
  </si>
  <si>
    <t>Dakar</t>
  </si>
  <si>
    <t>Libya</t>
  </si>
  <si>
    <t>Tripoli</t>
  </si>
  <si>
    <t>Addis Ababa</t>
  </si>
  <si>
    <t>Las Palmas</t>
  </si>
  <si>
    <t>Li√®ge</t>
  </si>
  <si>
    <t>Lisbon</t>
  </si>
  <si>
    <t>Porto</t>
  </si>
  <si>
    <t>Ibadan</t>
  </si>
  <si>
    <t>San Diego</t>
  </si>
  <si>
    <t>Salonica</t>
  </si>
  <si>
    <t>La L√≠nea de la Concepci√≥n</t>
  </si>
  <si>
    <t>Budapest</t>
  </si>
  <si>
    <t>Zimbabwe</t>
  </si>
  <si>
    <t>Maputo</t>
  </si>
  <si>
    <t>Mozambique</t>
  </si>
  <si>
    <t>Sydney</t>
  </si>
  <si>
    <t>Le√≥n</t>
  </si>
  <si>
    <t>Malta</t>
  </si>
  <si>
    <t>G≈ºira</t>
  </si>
  <si>
    <t>Guinea</t>
  </si>
  <si>
    <t>Conakry</t>
  </si>
  <si>
    <t>Lesotho</t>
  </si>
  <si>
    <t>Maseru</t>
  </si>
  <si>
    <t>Bruges</t>
  </si>
  <si>
    <t>Benin</t>
  </si>
  <si>
    <t>Cotonou</t>
  </si>
  <si>
    <t>Dahomey</t>
  </si>
  <si>
    <t>Kumasi</t>
  </si>
  <si>
    <t>Kenya</t>
  </si>
  <si>
    <t>Nairobi</t>
  </si>
  <si>
    <t>Stavanger</t>
  </si>
  <si>
    <t>Gothenburg</t>
  </si>
  <si>
    <t>Antwerp</t>
  </si>
  <si>
    <t>Rabat</t>
  </si>
  <si>
    <t>Tanzania</t>
  </si>
  <si>
    <t>Dar es Salaam</t>
  </si>
  <si>
    <t>Cairo</t>
  </si>
  <si>
    <t>Mauritius</t>
  </si>
  <si>
    <t>Curepipe</t>
  </si>
  <si>
    <t>M√°laga</t>
  </si>
  <si>
    <t>T√©touan</t>
  </si>
  <si>
    <t>Auckland</t>
  </si>
  <si>
    <t>Indonesia</t>
  </si>
  <si>
    <t>Melbourne</t>
  </si>
  <si>
    <t>Lusaka</t>
  </si>
  <si>
    <t>Syria</t>
  </si>
  <si>
    <t>Tehran</t>
  </si>
  <si>
    <t>Malaysia</t>
  </si>
  <si>
    <t>Thailand</t>
  </si>
  <si>
    <t>Quito</t>
  </si>
  <si>
    <t>Reykjav√≠k</t>
  </si>
  <si>
    <t>Deventer</t>
  </si>
  <si>
    <t>Lucerne</t>
  </si>
  <si>
    <t>So Kon Po</t>
  </si>
  <si>
    <t>Hong Kong</t>
  </si>
  <si>
    <t>D√ºsseldorf</t>
  </si>
  <si>
    <t>Sierra Leone</t>
  </si>
  <si>
    <t>Niger</t>
  </si>
  <si>
    <t>Freetown</t>
  </si>
  <si>
    <t>Burkina Faso</t>
  </si>
  <si>
    <t>Mauritania</t>
  </si>
  <si>
    <t>Ouagadougou</t>
  </si>
  <si>
    <t>Upper Volta</t>
  </si>
  <si>
    <t>Niamey</t>
  </si>
  <si>
    <t>Nouakchott</t>
  </si>
  <si>
    <t>Cyprus</t>
  </si>
  <si>
    <t>Limassol</t>
  </si>
  <si>
    <t>Lom√©</t>
  </si>
  <si>
    <t>Jeddah</t>
  </si>
  <si>
    <t>Damascus</t>
  </si>
  <si>
    <t>Riyadh</t>
  </si>
  <si>
    <t>Uganda</t>
  </si>
  <si>
    <t>Kampala</t>
  </si>
  <si>
    <t>Singapore</t>
  </si>
  <si>
    <t>Kallang</t>
  </si>
  <si>
    <t>Bahrain</t>
  </si>
  <si>
    <t>Shiraz</t>
  </si>
  <si>
    <t>Salzburg</t>
  </si>
  <si>
    <t>Cali</t>
  </si>
  <si>
    <t>Nijmegen</t>
  </si>
  <si>
    <t>Kuwait City</t>
  </si>
  <si>
    <t>Faro</t>
  </si>
  <si>
    <t>C√≥rdoba</t>
  </si>
  <si>
    <t>Oran</t>
  </si>
  <si>
    <t>Malawi</t>
  </si>
  <si>
    <t>Yaound√©</t>
  </si>
  <si>
    <t>Blantyre</t>
  </si>
  <si>
    <t>Albania</t>
  </si>
  <si>
    <t>Tirana</t>
  </si>
  <si>
    <t>Sofia</t>
  </si>
  <si>
    <t>Fez</t>
  </si>
  <si>
    <t>Harare</t>
  </si>
  <si>
    <t>Liberia</t>
  </si>
  <si>
    <t>Monrovia</t>
  </si>
  <si>
    <t>Constantine</t>
  </si>
  <si>
    <t>Nicosia</t>
  </si>
  <si>
    <t>Groningen</t>
  </si>
  <si>
    <t>Goi√¢nia</t>
  </si>
  <si>
    <t>Fiji</t>
  </si>
  <si>
    <t>Suva</t>
  </si>
  <si>
    <t>Jakarta</t>
  </si>
  <si>
    <t>Lahti</t>
  </si>
  <si>
    <t>Linz</t>
  </si>
  <si>
    <t>Surabaya</t>
  </si>
  <si>
    <t>Kotka</t>
  </si>
  <si>
    <t>Bochum</t>
  </si>
  <si>
    <t>Kenitra</t>
  </si>
  <si>
    <t>La Coru√±a</t>
  </si>
  <si>
    <t>Gij√≥n</t>
  </si>
  <si>
    <t>Norrk√∂ping</t>
  </si>
  <si>
    <t>Luanda</t>
  </si>
  <si>
    <t>Lilongwe</t>
  </si>
  <si>
    <t>Mwanza</t>
  </si>
  <si>
    <t>Attard</t>
  </si>
  <si>
    <t>Nepal</t>
  </si>
  <si>
    <t>Kathmandu</t>
  </si>
  <si>
    <t>Kuala Lumpur</t>
  </si>
  <si>
    <t>Jordan</t>
  </si>
  <si>
    <t>Amman</t>
  </si>
  <si>
    <t>Bangladesh</t>
  </si>
  <si>
    <t>India</t>
  </si>
  <si>
    <t>Bangkok</t>
  </si>
  <si>
    <t>Saarbr√ºcken</t>
  </si>
  <si>
    <t>Dhaka</t>
  </si>
  <si>
    <t>Madagascar</t>
  </si>
  <si>
    <t>Calcutta</t>
  </si>
  <si>
    <t>Dubai</t>
  </si>
  <si>
    <t>Antananarivo</t>
  </si>
  <si>
    <t>Graz</t>
  </si>
  <si>
    <t>Santa Cruz</t>
  </si>
  <si>
    <t>San Crist√≥bal</t>
  </si>
  <si>
    <t>S√£o Paulo</t>
  </si>
  <si>
    <t>Bin Ghashir</t>
  </si>
  <si>
    <t>Riffa</t>
  </si>
  <si>
    <t>Taif</t>
  </si>
  <si>
    <t>Quer√©taro</t>
  </si>
  <si>
    <t>Nezahualc√≥yotl</t>
  </si>
  <si>
    <t>Kyiv</t>
  </si>
  <si>
    <t>Soviet Union</t>
  </si>
  <si>
    <t>Bucharest</t>
  </si>
  <si>
    <t>Nadi</t>
  </si>
  <si>
    <t>Speers Point</t>
  </si>
  <si>
    <t>Annaba</t>
  </si>
  <si>
    <t>Oman</t>
  </si>
  <si>
    <t>Muscat</t>
  </si>
  <si>
    <t>Pakistan</t>
  </si>
  <si>
    <t>Islamabad</t>
  </si>
  <si>
    <t>Gabon</t>
  </si>
  <si>
    <t>Enugu</t>
  </si>
  <si>
    <t>Sharjah</t>
  </si>
  <si>
    <t>Libreville</t>
  </si>
  <si>
    <t>Baghdad</t>
  </si>
  <si>
    <t>Latakia</t>
  </si>
  <si>
    <t>Lille</t>
  </si>
  <si>
    <t>Neuch√¢tel</t>
  </si>
  <si>
    <t>Varna</t>
  </si>
  <si>
    <t>St. Gallen</t>
  </si>
  <si>
    <t>Barbados</t>
  </si>
  <si>
    <t>Bridgetown</t>
  </si>
  <si>
    <t>Guyana</t>
  </si>
  <si>
    <t>Georgetown</t>
  </si>
  <si>
    <t>Faroe Islands</t>
  </si>
  <si>
    <t>Toftir</t>
  </si>
  <si>
    <t>Antigua and Barbuda</t>
  </si>
  <si>
    <t>St. John's</t>
  </si>
  <si>
    <t>Vanuatu</t>
  </si>
  <si>
    <t>Port Vila</t>
  </si>
  <si>
    <t>Nicaragua</t>
  </si>
  <si>
    <t>Managua</t>
  </si>
  <si>
    <t>Panama City</t>
  </si>
  <si>
    <t>Solomon Islands</t>
  </si>
  <si>
    <t>Honiara</t>
  </si>
  <si>
    <t>Nausori</t>
  </si>
  <si>
    <t>Newcastle</t>
  </si>
  <si>
    <t>Burundi</t>
  </si>
  <si>
    <t>Tlemcen</t>
  </si>
  <si>
    <t>Namibia</t>
  </si>
  <si>
    <t>Eswatini</t>
  </si>
  <si>
    <t>Bujumbura</t>
  </si>
  <si>
    <t>Windhoek</t>
  </si>
  <si>
    <t>Zanzibar</t>
  </si>
  <si>
    <t>Burnaby</t>
  </si>
  <si>
    <t>Larnaca</t>
  </si>
  <si>
    <t>Botswana</t>
  </si>
  <si>
    <t>Gaborone</t>
  </si>
  <si>
    <t>Mbabane</t>
  </si>
  <si>
    <t>Swaziland</t>
  </si>
  <si>
    <t>Sri Lanka</t>
  </si>
  <si>
    <t>Kyoto</t>
  </si>
  <si>
    <t>Vietnam</t>
  </si>
  <si>
    <t>Estonia</t>
  </si>
  <si>
    <t>Trieste</t>
  </si>
  <si>
    <t>Al Ain</t>
  </si>
  <si>
    <t>Lebanon</t>
  </si>
  <si>
    <t>Beirut</t>
  </si>
  <si>
    <t>Tallinn</t>
  </si>
  <si>
    <t>Turku</t>
  </si>
  <si>
    <t>Irbid</t>
  </si>
  <si>
    <t>Chorz√≥w</t>
  </si>
  <si>
    <t>Chengdu</t>
  </si>
  <si>
    <t>China PR</t>
  </si>
  <si>
    <t>Puerto Ordaz</t>
  </si>
  <si>
    <t>Edmonton</t>
  </si>
  <si>
    <t>Abidjan</t>
  </si>
  <si>
    <t>Ivory Coast</t>
  </si>
  <si>
    <t>Tampere</t>
  </si>
  <si>
    <t>Pozna≈Ñ</t>
  </si>
  <si>
    <t>Z√ºrich</t>
  </si>
  <si>
    <t>Dominica</t>
  </si>
  <si>
    <t>Roseau</t>
  </si>
  <si>
    <t>Dominican Republic</t>
  </si>
  <si>
    <t>Aruba</t>
  </si>
  <si>
    <t>Santo Domingo</t>
  </si>
  <si>
    <t>Grenada</t>
  </si>
  <si>
    <t>Oranjestad</t>
  </si>
  <si>
    <t>St. George's</t>
  </si>
  <si>
    <t>North Macedonia</t>
  </si>
  <si>
    <t>Liechtenstein</t>
  </si>
  <si>
    <t>Skopje</t>
  </si>
  <si>
    <t>Belgrade</t>
  </si>
  <si>
    <t>FR Yugoslavia</t>
  </si>
  <si>
    <t>Diriamba</t>
  </si>
  <si>
    <t>Guinea-Bissau</t>
  </si>
  <si>
    <t>Bissau</t>
  </si>
  <si>
    <t>Belarus</t>
  </si>
  <si>
    <t>Belize</t>
  </si>
  <si>
    <t>Belize City</t>
  </si>
  <si>
    <t>Azerbaijan</t>
  </si>
  <si>
    <t>Rwanda</t>
  </si>
  <si>
    <t>Kigali</t>
  </si>
  <si>
    <t>Barinas</t>
  </si>
  <si>
    <t>Cuba</t>
  </si>
  <si>
    <t>Cap-Ha√Øtien</t>
  </si>
  <si>
    <t>Armenia</t>
  </si>
  <si>
    <t>Yerevan</t>
  </si>
  <si>
    <t>Baku</t>
  </si>
  <si>
    <t>Minsk</t>
  </si>
  <si>
    <t>Lithuania</t>
  </si>
  <si>
    <t>Kalam√°ta</t>
  </si>
  <si>
    <t>Latvia</t>
  </si>
  <si>
    <t>Riga</t>
  </si>
  <si>
    <t>Moldova</t>
  </si>
  <si>
    <t>Chi»ôinƒÉu</t>
  </si>
  <si>
    <t>Ljubljana</t>
  </si>
  <si>
    <t>Papua New Guinea</t>
  </si>
  <si>
    <t>Lae</t>
  </si>
  <si>
    <t>Philippines</t>
  </si>
  <si>
    <t>Vilnius</t>
  </si>
  <si>
    <t>Georgia</t>
  </si>
  <si>
    <t>Perugia</t>
  </si>
  <si>
    <t>Tbilisi</t>
  </si>
  <si>
    <t>Eschen</t>
  </si>
  <si>
    <t>Zagreb</t>
  </si>
  <si>
    <t>Katowice</t>
  </si>
  <si>
    <t>Richmond</t>
  </si>
  <si>
    <t>Tonga</t>
  </si>
  <si>
    <t>Samoa</t>
  </si>
  <si>
    <t>Nuku'alofa</t>
  </si>
  <si>
    <t>Cartago</t>
  </si>
  <si>
    <t>M√©rida</t>
  </si>
  <si>
    <t>Granada</t>
  </si>
  <si>
    <t>Split</t>
  </si>
  <si>
    <t>Paral√≠mni</t>
  </si>
  <si>
    <t>San Marino</t>
  </si>
  <si>
    <t>Sarajevo</t>
  </si>
  <si>
    <t>Cambodia</t>
  </si>
  <si>
    <t>Manama</t>
  </si>
  <si>
    <t>Phnom Penh</t>
  </si>
  <si>
    <t>Bremen</t>
  </si>
  <si>
    <t>Serravalle</t>
  </si>
  <si>
    <t>Tajikistan</t>
  </si>
  <si>
    <t>Dushanbe</t>
  </si>
  <si>
    <t>Kazakhstan</t>
  </si>
  <si>
    <t>Almaty</t>
  </si>
  <si>
    <t>Turkmenistan</t>
  </si>
  <si>
    <t>Ashgabat</t>
  </si>
  <si>
    <t>Lahore</t>
  </si>
  <si>
    <t>Uzbekistan</t>
  </si>
  <si>
    <t>Tashkent</t>
  </si>
  <si>
    <t>Port Moresby</t>
  </si>
  <si>
    <t>Ho Chi Minh City</t>
  </si>
  <si>
    <t>Maldives</t>
  </si>
  <si>
    <t>Ba</t>
  </si>
  <si>
    <t>Batumi</t>
  </si>
  <si>
    <t>Burgas</t>
  </si>
  <si>
    <t>Valera</t>
  </si>
  <si>
    <t>Maracaibo</t>
  </si>
  <si>
    <t>Obuasi</t>
  </si>
  <si>
    <t>Set√∫bal</t>
  </si>
  <si>
    <t>Portland</t>
  </si>
  <si>
    <t>Abu Dhabi</t>
  </si>
  <si>
    <t>Johor Bahru</t>
  </si>
  <si>
    <t>Maldonado</t>
  </si>
  <si>
    <t>Saint-√âtienne</t>
  </si>
  <si>
    <t>Havana</t>
  </si>
  <si>
    <t>Central African Republic</t>
  </si>
  <si>
    <t>Bangui</t>
  </si>
  <si>
    <t>Seychelles</t>
  </si>
  <si>
    <t>Victoria</t>
  </si>
  <si>
    <t>Arusha</t>
  </si>
  <si>
    <t>Chad</t>
  </si>
  <si>
    <t>N'Djamena</t>
  </si>
  <si>
    <t>Eritrea</t>
  </si>
  <si>
    <t>Asmara</t>
  </si>
  <si>
    <t>Mali</t>
  </si>
  <si>
    <t>Omdurman</t>
  </si>
  <si>
    <t>Lobamba</t>
  </si>
  <si>
    <t>Orange Walk</t>
  </si>
  <si>
    <t>Alexandria</t>
  </si>
  <si>
    <t>Paynesville</t>
  </si>
  <si>
    <t>Bamako</t>
  </si>
  <si>
    <t>Winnipeg</t>
  </si>
  <si>
    <t>Mazatenango</t>
  </si>
  <si>
    <t>Quetzaltenango</t>
  </si>
  <si>
    <t>Alajuela</t>
  </si>
  <si>
    <t>Andorra</t>
  </si>
  <si>
    <t>Sant Juli√† de L√≤ria</t>
  </si>
  <si>
    <t>Vaduz</t>
  </si>
  <si>
    <t>Kaunas</t>
  </si>
  <si>
    <t>≈Å√≥d≈∫</t>
  </si>
  <si>
    <t>Ancona</t>
  </si>
  <si>
    <t>Columbus</t>
  </si>
  <si>
    <t>Tabriz</t>
  </si>
  <si>
    <t>Miami</t>
  </si>
  <si>
    <t>Port Harcourt</t>
  </si>
  <si>
    <t>Mongolia</t>
  </si>
  <si>
    <t>Dammam</t>
  </si>
  <si>
    <t>Benghazi</t>
  </si>
  <si>
    <t>Bobo Dioulasso</t>
  </si>
  <si>
    <t>Funchal</t>
  </si>
  <si>
    <t>Chingola</t>
  </si>
  <si>
    <t>Osijek</t>
  </si>
  <si>
    <t>Leverkusen</t>
  </si>
  <si>
    <t>Warsaw</t>
  </si>
  <si>
    <t>Mal√©</t>
  </si>
  <si>
    <t>Coffs Harbour</t>
  </si>
  <si>
    <t>Bangalore</t>
  </si>
  <si>
    <t>Innsbruck</t>
  </si>
  <si>
    <t>Eindhoven</t>
  </si>
  <si>
    <t>Aleppo</t>
  </si>
  <si>
    <t>Vara≈ædin</t>
  </si>
  <si>
    <t>Heraklion</t>
  </si>
  <si>
    <t>North Shore</t>
  </si>
  <si>
    <t>Wellington</t>
  </si>
  <si>
    <t>Lleida</t>
  </si>
  <si>
    <t>T√≥rshavn</t>
  </si>
  <si>
    <t>Lviv</t>
  </si>
  <si>
    <t>Manchester</t>
  </si>
  <si>
    <t>Parma</t>
  </si>
  <si>
    <t>Arnhem</t>
  </si>
  <si>
    <t>Zenica</t>
  </si>
  <si>
    <t>S√£o Lu√≠s</t>
  </si>
  <si>
    <t>≈åita</t>
  </si>
  <si>
    <t>Equatorial Guinea</t>
  </si>
  <si>
    <t>Bata</t>
  </si>
  <si>
    <t>Afghanistan</t>
  </si>
  <si>
    <t>Kabul</t>
  </si>
  <si>
    <t>Ulaanbaatar</t>
  </si>
  <si>
    <t>Muharraq</t>
  </si>
  <si>
    <t>Turks and Caicos Islands</t>
  </si>
  <si>
    <t>Margao</t>
  </si>
  <si>
    <t>Hanoi</t>
  </si>
  <si>
    <t>Hialeah</t>
  </si>
  <si>
    <t>Blairmont</t>
  </si>
  <si>
    <t>Kochi</t>
  </si>
  <si>
    <t>Kuantan</t>
  </si>
  <si>
    <t>Colombo</t>
  </si>
  <si>
    <t>Nam ƒê·ªãnh</t>
  </si>
  <si>
    <t>Apia</t>
  </si>
  <si>
    <t>American Samoa</t>
  </si>
  <si>
    <t>New Caledonia</t>
  </si>
  <si>
    <t>Abuja</t>
  </si>
  <si>
    <t>Rad√®s</t>
  </si>
  <si>
    <t>Homs</t>
  </si>
  <si>
    <t>Misrata</t>
  </si>
  <si>
    <t>San Antonio</t>
  </si>
  <si>
    <t>San Fernando</t>
  </si>
  <si>
    <t>Aguascalientes</t>
  </si>
  <si>
    <t>Charleroi</t>
  </si>
  <si>
    <t>Craiova</t>
  </si>
  <si>
    <t>Celje</t>
  </si>
  <si>
    <t>Leiria</t>
  </si>
  <si>
    <t>Santander</t>
  </si>
  <si>
    <t>Macei√≥</t>
  </si>
  <si>
    <t>Serbia and Montenegro</t>
  </si>
  <si>
    <t>Krasnodar</t>
  </si>
  <si>
    <t>Almer√≠a</t>
  </si>
  <si>
    <t>Salt Lake City</t>
  </si>
  <si>
    <t>S√©gou</t>
  </si>
  <si>
    <t>Constan≈£a</t>
  </si>
  <si>
    <t>Kano</t>
  </si>
  <si>
    <t>Chililabombwe</t>
  </si>
  <si>
    <t>Hartford</t>
  </si>
  <si>
    <t>Bras√≠lia</t>
  </si>
  <si>
    <t>Port-Gentil</t>
  </si>
  <si>
    <t>San Luis Potos√≠</t>
  </si>
  <si>
    <t>Aveiro</t>
  </si>
  <si>
    <t>Dnipropetrovs'k</t>
  </si>
  <si>
    <t>Bel√©m</t>
  </si>
  <si>
    <t>Lecce</t>
  </si>
  <si>
    <t>Tacna</t>
  </si>
  <si>
    <t>Sidon</t>
  </si>
  <si>
    <t>Comoros</t>
  </si>
  <si>
    <t>Shah Alam</t>
  </si>
  <si>
    <t>Moroni</t>
  </si>
  <si>
    <t>Cayman Islands</t>
  </si>
  <si>
    <t>United States Virgin Islands</t>
  </si>
  <si>
    <t>George Town</t>
  </si>
  <si>
    <t>Djibouti</t>
  </si>
  <si>
    <t>Brisbane</t>
  </si>
  <si>
    <t>Malabo</t>
  </si>
  <si>
    <t>Blida</t>
  </si>
  <si>
    <t>Houston</t>
  </si>
  <si>
    <t>Macoya</t>
  </si>
  <si>
    <t>Carson</t>
  </si>
  <si>
    <t>Puerto la Cruz</t>
  </si>
  <si>
    <t>Atteridgeville</t>
  </si>
  <si>
    <t>Providence</t>
  </si>
  <si>
    <t>Tiraspol</t>
  </si>
  <si>
    <t>Montenegro</t>
  </si>
  <si>
    <t>Podgorica</t>
  </si>
  <si>
    <t>Wroc≈Çaw</t>
  </si>
  <si>
    <t>Cluj</t>
  </si>
  <si>
    <t>Murcia</t>
  </si>
  <si>
    <t>Montreal</t>
  </si>
  <si>
    <t>Marijampolƒó</t>
  </si>
  <si>
    <t>Tuxtla Guti√©rrez</t>
  </si>
  <si>
    <t>Albacete</t>
  </si>
  <si>
    <t>Bridgeview</t>
  </si>
  <si>
    <t>Sekondi</t>
  </si>
  <si>
    <t>Kharkiv</t>
  </si>
  <si>
    <t>Braga</t>
  </si>
  <si>
    <t>Commerce City</t>
  </si>
  <si>
    <t>Genk</t>
  </si>
  <si>
    <t>Klagenfurt</t>
  </si>
  <si>
    <t>Kielce</t>
  </si>
  <si>
    <t>Geneva</t>
  </si>
  <si>
    <t>Nashville</t>
  </si>
  <si>
    <t>Hrodna</t>
  </si>
  <si>
    <t>Scarborough</t>
  </si>
  <si>
    <t>Medell√≠n</t>
  </si>
  <si>
    <t>Maribor</t>
  </si>
  <si>
    <t>L…ônk…ôran</t>
  </si>
  <si>
    <t>Sandy City</t>
  </si>
  <si>
    <t>Brest</t>
  </si>
  <si>
    <t>Guingamp</t>
  </si>
  <si>
    <t>Campo Grande</t>
  </si>
  <si>
    <t>Astana</t>
  </si>
  <si>
    <t>Guimar√£es</t>
  </si>
  <si>
    <t>Piatra Neam≈£</t>
  </si>
  <si>
    <t>Donetsk</t>
  </si>
  <si>
    <t>Myanmar</t>
  </si>
  <si>
    <t>Timor-Leste</t>
  </si>
  <si>
    <t>Yangon</t>
  </si>
  <si>
    <t>Manila</t>
  </si>
  <si>
    <t>Hawalli</t>
  </si>
  <si>
    <t>New Delhi</t>
  </si>
  <si>
    <t>Tursunzoda</t>
  </si>
  <si>
    <t>Erbil</t>
  </si>
  <si>
    <t>Goyang</t>
  </si>
  <si>
    <t>Belmopan</t>
  </si>
  <si>
    <t>Frederiksted</t>
  </si>
  <si>
    <t>Mitsamiouli</t>
  </si>
  <si>
    <t>Toyota</t>
  </si>
  <si>
    <t>Monastir</t>
  </si>
  <si>
    <t>Calabar</t>
  </si>
  <si>
    <t>Tampa</t>
  </si>
  <si>
    <t>Sfax</t>
  </si>
  <si>
    <t>Noum√©a</t>
  </si>
  <si>
    <t>Modena</t>
  </si>
  <si>
    <t>Malm√∂</t>
  </si>
  <si>
    <t>Torre√≥n</t>
  </si>
  <si>
    <t>Dunedin</t>
  </si>
  <si>
    <t>Odessa</t>
  </si>
  <si>
    <t>Lobatse</t>
  </si>
  <si>
    <t>Marrakech</t>
  </si>
  <si>
    <t>Porto-Novo</t>
  </si>
  <si>
    <t>Homel</t>
  </si>
  <si>
    <t>Seattle</t>
  </si>
  <si>
    <t>Franceville</t>
  </si>
  <si>
    <t>Sandy</t>
  </si>
  <si>
    <t>Lubango</t>
  </si>
  <si>
    <t>Brazzaville</t>
  </si>
  <si>
    <t>Congo</t>
  </si>
  <si>
    <t>el-Gouna</t>
  </si>
  <si>
    <t>Palma de Mallorca</t>
  </si>
  <si>
    <t>Coimbra</t>
  </si>
  <si>
    <t>Jagodina</t>
  </si>
  <si>
    <t>Cuiab√°</t>
  </si>
  <si>
    <t>Dili</t>
  </si>
  <si>
    <t>Guwahati</t>
  </si>
  <si>
    <t>Bhutan</t>
  </si>
  <si>
    <t>Thimphu</t>
  </si>
  <si>
    <t>Ulan Bator</t>
  </si>
  <si>
    <t>Charlotte Amalie</t>
  </si>
  <si>
    <t>Mashhad</t>
  </si>
  <si>
    <t>Guam</t>
  </si>
  <si>
    <t>Dededo</t>
  </si>
  <si>
    <t>Bocaue</t>
  </si>
  <si>
    <t>Devonshire Parish</t>
  </si>
  <si>
    <t>Da≈üoguz</t>
  </si>
  <si>
    <t>‚ÄòAtele</t>
  </si>
  <si>
    <t>Perth</t>
  </si>
  <si>
    <t>Seeb</t>
  </si>
  <si>
    <t>North Sound</t>
  </si>
  <si>
    <t>Mapou</t>
  </si>
  <si>
    <t>Roche Caiman</t>
  </si>
  <si>
    <t>South Sudan</t>
  </si>
  <si>
    <t>Juba</t>
  </si>
  <si>
    <t>Ciudad Guayana</t>
  </si>
  <si>
    <t>Agadir</t>
  </si>
  <si>
    <t>Benguela</t>
  </si>
  <si>
    <t>Vancouver</t>
  </si>
  <si>
    <t>Francistown</t>
  </si>
  <si>
    <t>Adelaide</t>
  </si>
  <si>
    <t>Ansan</t>
  </si>
  <si>
    <t>Shkod√´r</t>
  </si>
  <si>
    <t>Kosovo</t>
  </si>
  <si>
    <t>Haifa</t>
  </si>
  <si>
    <t>Barysaw</t>
  </si>
  <si>
    <t>Paroi</t>
  </si>
  <si>
    <t>Jacksonville</t>
  </si>
  <si>
    <t>Tamale</t>
  </si>
  <si>
    <t>Jerusalem</t>
  </si>
  <si>
    <t>Krak√≥w</t>
  </si>
  <si>
    <t>Matur√≠n</t>
  </si>
  <si>
    <t>Elbasan</t>
  </si>
  <si>
    <t>Limb√©</t>
  </si>
  <si>
    <t>Uyo</t>
  </si>
  <si>
    <t>San Juan</t>
  </si>
  <si>
    <t>Kon√©</t>
  </si>
  <si>
    <t>Paya Rumput</t>
  </si>
  <si>
    <t>San Jose</t>
  </si>
  <si>
    <t>Lautoka</t>
  </si>
  <si>
    <t>Couva</t>
  </si>
  <si>
    <t>Harrison</t>
  </si>
  <si>
    <t>Reggio Emilia</t>
  </si>
  <si>
    <t>Strumica</t>
  </si>
  <si>
    <t>Ploie»ôti</t>
  </si>
  <si>
    <t>Rijeka</t>
  </si>
  <si>
    <t>Bahir Dar</t>
  </si>
  <si>
    <t>Belle Vue Maurel</t>
  </si>
  <si>
    <t>Bacolod</t>
  </si>
  <si>
    <t>Pathum Thani</t>
  </si>
  <si>
    <t>Manzini</t>
  </si>
  <si>
    <t>Canberra</t>
  </si>
  <si>
    <t>Buraidah</t>
  </si>
  <si>
    <t>Hwaseong</t>
  </si>
  <si>
    <t>Kolkota</t>
  </si>
  <si>
    <t>Gianyar</t>
  </si>
  <si>
    <t>Mandalay</t>
  </si>
  <si>
    <t>Ta' Qali</t>
  </si>
  <si>
    <t>Stockholm</t>
  </si>
  <si>
    <t>Tel Aviv</t>
  </si>
  <si>
    <t>Andorra la Vella</t>
  </si>
  <si>
    <t>Duisburg</t>
  </si>
  <si>
    <t>Saint Croix</t>
  </si>
  <si>
    <t>Bradenton</t>
  </si>
  <si>
    <t>Pristina</t>
  </si>
  <si>
    <t>Nur-Sultan</t>
  </si>
  <si>
    <t>Herning</t>
  </si>
  <si>
    <t>Leuven</t>
  </si>
  <si>
    <t>Chiba</t>
  </si>
  <si>
    <t>Thessaloniki</t>
  </si>
  <si>
    <t>Santiago del Estero</t>
  </si>
  <si>
    <t>Providenciales</t>
  </si>
  <si>
    <t>Arad</t>
  </si>
  <si>
    <t>Suita</t>
  </si>
  <si>
    <t>Isa Town</t>
  </si>
  <si>
    <t>Suzhou</t>
  </si>
  <si>
    <t>Benina</t>
  </si>
  <si>
    <t>Thi√®s</t>
  </si>
  <si>
    <t>Cape Coast</t>
  </si>
  <si>
    <t>Badajoz</t>
  </si>
  <si>
    <t>Entebbe</t>
  </si>
  <si>
    <t>Austin</t>
  </si>
  <si>
    <t>Tangier</t>
  </si>
  <si>
    <t>Faro-Loul√©</t>
  </si>
  <si>
    <t>Beer Sheva</t>
  </si>
  <si>
    <t>Wolfsburg</t>
  </si>
  <si>
    <t>Cincinnati</t>
  </si>
  <si>
    <t>Netanya</t>
  </si>
  <si>
    <t>Calama</t>
  </si>
  <si>
    <t>Saint Paul</t>
  </si>
  <si>
    <t>Ciudad del Este</t>
  </si>
  <si>
    <t>Diamniadio</t>
  </si>
  <si>
    <t>Guayana</t>
  </si>
  <si>
    <t>El Jadida</t>
  </si>
  <si>
    <t>Butare</t>
  </si>
  <si>
    <t>Basra</t>
  </si>
  <si>
    <t>Al Hofuf</t>
  </si>
  <si>
    <t>Mbombela</t>
  </si>
  <si>
    <t>Berkane</t>
  </si>
  <si>
    <t>Oujda</t>
  </si>
  <si>
    <t>Bhubaneswar</t>
  </si>
  <si>
    <t>Saint Pierre</t>
  </si>
  <si>
    <t>Al Farwaniyah</t>
  </si>
  <si>
    <t>Piggotts</t>
  </si>
  <si>
    <t>Kira</t>
  </si>
  <si>
    <t>El Alto</t>
  </si>
  <si>
    <t>Robina</t>
  </si>
  <si>
    <t>Yongin</t>
  </si>
  <si>
    <t>TRUE</t>
  </si>
  <si>
    <t>Wealthier_Winner_Written</t>
  </si>
  <si>
    <t>Tie</t>
  </si>
  <si>
    <t>Count of ID</t>
  </si>
  <si>
    <t>Wealthier Nation Wins</t>
  </si>
  <si>
    <t>Wealthier Nation Loses</t>
  </si>
  <si>
    <t>Significantly Wealthier Nation Wins</t>
  </si>
  <si>
    <t>Significantly Wealthier Nation Loses</t>
  </si>
  <si>
    <t>Count of decade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</si>
</sst>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9" fontId="0" fillId="0" borderId="0" xfId="1" applyFont="1"/>
    <xf numFmtId="0" fontId="0" fillId="0" borderId="0" xfId="0" applyAlignment="1">
      <alignment horizontal="left"/>
    </xf>
    <xf numFmtId="9" fontId="0" fillId="0" borderId="0" xfId="0" applyNumberFormat="1"/>
    <xf numFmtId="1" fontId="0" fillId="0" borderId="0" xfId="0" applyNumberFormat="1"/>
    <xf numFmtId="0" fontId="0" fillId="0" borderId="0" xfId="0" applyNumberFormat="1"/>
    <xf numFmtId="0" fontId="1" fillId="0" borderId="2" xfId="0" applyFont="1" applyBorder="1" applyAlignment="1">
      <alignment horizontal="center" vertical="top"/>
    </xf>
    <xf numFmtId="10" fontId="0" fillId="0" borderId="0" xfId="0" applyNumberFormat="1"/>
    <xf numFmtId="9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23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[world-cup-results-gdp-stable.xlsx]DataPivot!PivotTable2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Significantly</a:t>
            </a:r>
            <a:r>
              <a:rPr lang="en-US" baseline="0"/>
              <a:t> Wealthier Nation Result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DataPivot!$B$3</c:f>
              <c:strCache>
                <c:ptCount val="1"/>
                <c:pt idx="0">
                  <c:v>Count of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DataPivot!$A$4:$A$7</c:f>
              <c:strCache>
                <c:ptCount val="3"/>
                <c:pt idx="0">
                  <c:v>Wealthier Nation Wins</c:v>
                </c:pt>
                <c:pt idx="1">
                  <c:v>Wealthier Nation Loses</c:v>
                </c:pt>
                <c:pt idx="2">
                  <c:v>Tie</c:v>
                </c:pt>
              </c:strCache>
            </c:strRef>
          </c:cat>
          <c:val>
            <c:numRef>
              <c:f>DataPivot!$B$4:$B$7</c:f>
              <c:numCache>
                <c:formatCode>General</c:formatCode>
                <c:ptCount val="3"/>
                <c:pt idx="0">
                  <c:v>2873</c:v>
                </c:pt>
                <c:pt idx="1">
                  <c:v>1065</c:v>
                </c:pt>
                <c:pt idx="2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5-364D-90AD-3EEF96D29C4C}"/>
            </c:ext>
          </c:extLst>
        </c:ser>
        <c:ser>
          <c:idx val="1"/>
          <c:order val="1"/>
          <c:tx>
            <c:strRef>
              <c:f>DataPivot!$C$3</c:f>
              <c:strCache>
                <c:ptCount val="1"/>
                <c:pt idx="0">
                  <c:v>Count of decade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DataPivot!$A$4:$A$7</c:f>
              <c:strCache>
                <c:ptCount val="3"/>
                <c:pt idx="0">
                  <c:v>Wealthier Nation Wins</c:v>
                </c:pt>
                <c:pt idx="1">
                  <c:v>Wealthier Nation Loses</c:v>
                </c:pt>
                <c:pt idx="2">
                  <c:v>Tie</c:v>
                </c:pt>
              </c:strCache>
            </c:strRef>
          </c:cat>
          <c:val>
            <c:numRef>
              <c:f>DataPivot!$C$4:$C$7</c:f>
              <c:numCache>
                <c:formatCode>0.00%</c:formatCode>
                <c:ptCount val="3"/>
                <c:pt idx="0">
                  <c:v>0.57529034841810167</c:v>
                </c:pt>
                <c:pt idx="1">
                  <c:v>0.2132559070885062</c:v>
                </c:pt>
                <c:pt idx="2">
                  <c:v>0.21145374449339208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C5-364D-90AD-3EEF96D29C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[world-cup-results-gdp-stable.xlsx]SignificantlyPivot!PivotTable2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Significantly Wealthier Nation Results by Decade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SignificantlyPivot!$B$3</c:f>
              <c:strCache>
                <c:ptCount val="1"/>
                <c:pt idx="0">
                  <c:v>Significantly Wealthier Nation Wins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SignificantlyPivot!$A$4:$A$11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SignificantlyPivot!$B$4:$B$11</c:f>
              <c:numCache>
                <c:formatCode>0%</c:formatCode>
                <c:ptCount val="7"/>
                <c:pt idx="0">
                  <c:v>0.25139664804469275</c:v>
                </c:pt>
                <c:pt idx="1">
                  <c:v>0.19354838709677419</c:v>
                </c:pt>
                <c:pt idx="2">
                  <c:v>0.21889400921658986</c:v>
                </c:pt>
                <c:pt idx="3">
                  <c:v>0.24</c:v>
                </c:pt>
                <c:pt idx="4">
                  <c:v>0.20675944333996024</c:v>
                </c:pt>
                <c:pt idx="5">
                  <c:v>0.22018348623853212</c:v>
                </c:pt>
                <c:pt idx="6">
                  <c:v>0.1776798825256975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1-9847-87E6-6FADFA2905A8}"/>
            </c:ext>
          </c:extLst>
        </c:ser>
        <c:ser>
          <c:idx val="1"/>
          <c:order val="1"/>
          <c:tx>
            <c:strRef>
              <c:f>SignificantlyPivot!$C$3</c:f>
              <c:strCache>
                <c:ptCount val="1"/>
                <c:pt idx="0">
                  <c:v>Significantly Wealthier Nation Loses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SignificantlyPivot!$A$4:$A$11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SignificantlyPivot!$C$4:$C$11</c:f>
              <c:numCache>
                <c:formatCode>0%</c:formatCode>
                <c:ptCount val="7"/>
                <c:pt idx="0">
                  <c:v>0.52513966480446927</c:v>
                </c:pt>
                <c:pt idx="1">
                  <c:v>0.57603686635944695</c:v>
                </c:pt>
                <c:pt idx="2">
                  <c:v>0.55990783410138245</c:v>
                </c:pt>
                <c:pt idx="3">
                  <c:v>0.56774193548387097</c:v>
                </c:pt>
                <c:pt idx="4">
                  <c:v>0.57322730284956924</c:v>
                </c:pt>
                <c:pt idx="5">
                  <c:v>0.58131776480400332</c:v>
                </c:pt>
                <c:pt idx="6">
                  <c:v>0.60058737151248165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11-9847-87E6-6FADFA2905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7220623"/>
        <c:axId val="1337221583"/>
      </c:lineChart>
      <c:catAx>
        <c:axId val="133722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21583"/>
        <c:crosses val="autoZero"/>
        <c:auto val="1"/>
        <c:lblAlgn val="ctr"/>
        <c:lblOffset val="100"/>
        <c:noMultiLvlLbl val="0"/>
      </c:catAx>
      <c:valAx>
        <c:axId val="13372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2062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[world-cup-results-gdp-stable.xlsx]SignificantlyPivot2!PivotTable2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D05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SignificantlyPivot2!$B$3</c:f>
              <c:strCache>
                <c:ptCount val="1"/>
                <c:pt idx="0">
                  <c:v>Average of Significantly_Wealthier_Lose_Percent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SignificantlyPivot2!$A$4:$A$11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SignificantlyPivot2!$B$4:$B$11</c:f>
              <c:numCache>
                <c:formatCode>0%</c:formatCode>
                <c:ptCount val="7"/>
                <c:pt idx="0">
                  <c:v>0.25139664804469275</c:v>
                </c:pt>
                <c:pt idx="1">
                  <c:v>0.19354838709677419</c:v>
                </c:pt>
                <c:pt idx="2">
                  <c:v>0.21889400921658986</c:v>
                </c:pt>
                <c:pt idx="3">
                  <c:v>0.24</c:v>
                </c:pt>
                <c:pt idx="4">
                  <c:v>0.20675944333996024</c:v>
                </c:pt>
                <c:pt idx="5">
                  <c:v>0.22018348623853212</c:v>
                </c:pt>
                <c:pt idx="6">
                  <c:v>0.1776798825256975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F-E748-8BD1-9F200C616DDB}"/>
            </c:ext>
          </c:extLst>
        </c:ser>
        <c:ser>
          <c:idx val="1"/>
          <c:order val="1"/>
          <c:tx>
            <c:strRef>
              <c:f>SignificantlyPivot2!$C$3</c:f>
              <c:strCache>
                <c:ptCount val="1"/>
                <c:pt idx="0">
                  <c:v>Average of Significantly_Wealthier_Tie_Percent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SignificantlyPivot2!$A$4:$A$11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SignificantlyPivot2!$C$4:$C$11</c:f>
              <c:numCache>
                <c:formatCode>0%</c:formatCode>
                <c:ptCount val="7"/>
                <c:pt idx="0">
                  <c:v>0.22346368715083798</c:v>
                </c:pt>
                <c:pt idx="1">
                  <c:v>0.2304147465437788</c:v>
                </c:pt>
                <c:pt idx="2">
                  <c:v>0.22119815668202766</c:v>
                </c:pt>
                <c:pt idx="3">
                  <c:v>0.19225806451612903</c:v>
                </c:pt>
                <c:pt idx="4">
                  <c:v>0.22001325381047052</c:v>
                </c:pt>
                <c:pt idx="5">
                  <c:v>0.19849874895746455</c:v>
                </c:pt>
                <c:pt idx="6">
                  <c:v>0.22173274596182085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5F-E748-8BD1-9F200C616DDB}"/>
            </c:ext>
          </c:extLst>
        </c:ser>
        <c:ser>
          <c:idx val="2"/>
          <c:order val="2"/>
          <c:tx>
            <c:strRef>
              <c:f>SignificantlyPivot2!$D$3</c:f>
              <c:strCache>
                <c:ptCount val="1"/>
                <c:pt idx="0">
                  <c:v>Average of Significantly_Wealthier_Win_Percent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SignificantlyPivot2!$A$4:$A$11</c:f>
              <c:strCache>
                <c:ptCount val="7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</c:strCache>
            </c:strRef>
          </c:cat>
          <c:val>
            <c:numRef>
              <c:f>SignificantlyPivot2!$D$4:$D$11</c:f>
              <c:numCache>
                <c:formatCode>0%</c:formatCode>
                <c:ptCount val="7"/>
                <c:pt idx="0">
                  <c:v>0.52513966480446927</c:v>
                </c:pt>
                <c:pt idx="1">
                  <c:v>0.57603686635944695</c:v>
                </c:pt>
                <c:pt idx="2">
                  <c:v>0.55990783410138245</c:v>
                </c:pt>
                <c:pt idx="3">
                  <c:v>0.56774193548387097</c:v>
                </c:pt>
                <c:pt idx="4">
                  <c:v>0.57322730284956924</c:v>
                </c:pt>
                <c:pt idx="5">
                  <c:v>0.58131776480400332</c:v>
                </c:pt>
                <c:pt idx="6">
                  <c:v>0.60058737151248165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5F-E748-8BD1-9F200C616D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37220623"/>
        <c:axId val="1337221583"/>
      </c:barChart>
      <c:catAx>
        <c:axId val="133722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21583"/>
        <c:crosses val="autoZero"/>
        <c:auto val="1"/>
        <c:lblAlgn val="ctr"/>
        <c:lblOffset val="100"/>
        <c:noMultiLvlLbl val="0"/>
      </c:catAx>
      <c:valAx>
        <c:axId val="13372215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2062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774700</xdr:colOff>
      <xdr:row>7</xdr:row>
      <xdr:rowOff>38100</xdr:rowOff>
    </xdr:from>
    <xdr:to>
      <xdr:col>13</xdr:col>
      <xdr:colOff>203200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1F8A7-002F-1F0C-7D95-664D7CCF2AF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4</xdr:row>
      <xdr:rowOff>125730</xdr:rowOff>
    </xdr:from>
    <xdr:to>
      <xdr:col>13</xdr:col>
      <xdr:colOff>535940</xdr:colOff>
      <xdr:row>26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5FD2E-61AA-8B8E-2D37-409C2E423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15</xdr:row>
      <xdr:rowOff>11430</xdr:rowOff>
    </xdr:from>
    <xdr:to>
      <xdr:col>3</xdr:col>
      <xdr:colOff>1447800</xdr:colOff>
      <xdr:row>36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2F0F9-7BFB-47FE-BCF3-CC1989069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J Conti" refreshedDate="46179.568562152781" createdVersion="8" refreshedVersion="8" minRefreshableVersion="3" recordCount="6410" xr:uid="{7C78E8CD-4B70-D04C-8F14-BD1D68EF84E5}">
  <cacheSource type="worksheet">
    <worksheetSource name="Table1"/>
  </cacheSource>
  <cacheFields count="17">
    <cacheField name="ID" numFmtId="0">
      <sharedItems containsSemiMixedTypes="0" containsString="0" containsNumber="1" containsInteger="1" minValue="347" maxValue="9225" count="6410">
        <n v="347"/>
        <n v="348"/>
        <n v="349"/>
        <n v="350"/>
        <n v="351"/>
        <n v="352"/>
        <n v="353"/>
        <n v="354"/>
        <n v="356"/>
        <n v="357"/>
        <n v="360"/>
        <n v="361"/>
        <n v="362"/>
        <n v="365"/>
        <n v="366"/>
        <n v="369"/>
        <n v="371"/>
        <n v="372"/>
        <n v="373"/>
        <n v="374"/>
        <n v="375"/>
        <n v="376"/>
        <n v="377"/>
        <n v="379"/>
        <n v="381"/>
        <n v="385"/>
        <n v="390"/>
        <n v="395"/>
        <n v="397"/>
        <n v="398"/>
        <n v="399"/>
        <n v="402"/>
        <n v="407"/>
        <n v="408"/>
        <n v="411"/>
        <n v="412"/>
        <n v="414"/>
        <n v="416"/>
        <n v="418"/>
        <n v="420"/>
        <n v="422"/>
        <n v="425"/>
        <n v="426"/>
        <n v="428"/>
        <n v="429"/>
        <n v="431"/>
        <n v="432"/>
        <n v="434"/>
        <n v="439"/>
        <n v="440"/>
        <n v="441"/>
        <n v="444"/>
        <n v="446"/>
        <n v="448"/>
        <n v="452"/>
        <n v="453"/>
        <n v="455"/>
        <n v="456"/>
        <n v="461"/>
        <n v="462"/>
        <n v="466"/>
        <n v="472"/>
        <n v="477"/>
        <n v="478"/>
        <n v="479"/>
        <n v="480"/>
        <n v="482"/>
        <n v="491"/>
        <n v="492"/>
        <n v="493"/>
        <n v="494"/>
        <n v="495"/>
        <n v="496"/>
        <n v="497"/>
        <n v="498"/>
        <n v="499"/>
        <n v="500"/>
        <n v="501"/>
        <n v="504"/>
        <n v="512"/>
        <n v="516"/>
        <n v="519"/>
        <n v="521"/>
        <n v="522"/>
        <n v="523"/>
        <n v="524"/>
        <n v="525"/>
        <n v="529"/>
        <n v="531"/>
        <n v="534"/>
        <n v="535"/>
        <n v="536"/>
        <n v="539"/>
        <n v="542"/>
        <n v="544"/>
        <n v="545"/>
        <n v="546"/>
        <n v="547"/>
        <n v="548"/>
        <n v="549"/>
        <n v="550"/>
        <n v="551"/>
        <n v="552"/>
        <n v="553"/>
        <n v="554"/>
        <n v="555"/>
        <n v="557"/>
        <n v="561"/>
        <n v="567"/>
        <n v="570"/>
        <n v="574"/>
        <n v="580"/>
        <n v="585"/>
        <n v="587"/>
        <n v="597"/>
        <n v="599"/>
        <n v="601"/>
        <n v="602"/>
        <n v="603"/>
        <n v="607"/>
        <n v="608"/>
        <n v="609"/>
        <n v="611"/>
        <n v="613"/>
        <n v="614"/>
        <n v="616"/>
        <n v="619"/>
        <n v="620"/>
        <n v="621"/>
        <n v="622"/>
        <n v="626"/>
        <n v="628"/>
        <n v="630"/>
        <n v="631"/>
        <n v="634"/>
        <n v="635"/>
        <n v="636"/>
        <n v="637"/>
        <n v="638"/>
        <n v="639"/>
        <n v="641"/>
        <n v="645"/>
        <n v="649"/>
        <n v="650"/>
        <n v="651"/>
        <n v="652"/>
        <n v="654"/>
        <n v="655"/>
        <n v="656"/>
        <n v="657"/>
        <n v="658"/>
        <n v="660"/>
        <n v="663"/>
        <n v="664"/>
        <n v="665"/>
        <n v="666"/>
        <n v="668"/>
        <n v="669"/>
        <n v="670"/>
        <n v="671"/>
        <n v="673"/>
        <n v="674"/>
        <n v="678"/>
        <n v="679"/>
        <n v="680"/>
        <n v="681"/>
        <n v="682"/>
        <n v="683"/>
        <n v="684"/>
        <n v="685"/>
        <n v="686"/>
        <n v="687"/>
        <n v="688"/>
        <n v="689"/>
        <n v="693"/>
        <n v="696"/>
        <n v="699"/>
        <n v="701"/>
        <n v="703"/>
        <n v="705"/>
        <n v="706"/>
        <n v="707"/>
        <n v="708"/>
        <n v="711"/>
        <n v="712"/>
        <n v="717"/>
        <n v="719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2"/>
        <n v="753"/>
        <n v="755"/>
        <n v="756"/>
        <n v="757"/>
        <n v="758"/>
        <n v="759"/>
        <n v="760"/>
        <n v="762"/>
        <n v="763"/>
        <n v="764"/>
        <n v="766"/>
        <n v="768"/>
        <n v="769"/>
        <n v="772"/>
        <n v="773"/>
        <n v="774"/>
        <n v="775"/>
        <n v="777"/>
        <n v="779"/>
        <n v="783"/>
        <n v="784"/>
        <n v="785"/>
        <n v="789"/>
        <n v="794"/>
        <n v="795"/>
        <n v="796"/>
        <n v="798"/>
        <n v="800"/>
        <n v="804"/>
        <n v="805"/>
        <n v="807"/>
        <n v="808"/>
        <n v="811"/>
        <n v="812"/>
        <n v="813"/>
        <n v="815"/>
        <n v="816"/>
        <n v="819"/>
        <n v="820"/>
        <n v="823"/>
        <n v="824"/>
        <n v="825"/>
        <n v="826"/>
        <n v="827"/>
        <n v="829"/>
        <n v="830"/>
        <n v="831"/>
        <n v="832"/>
        <n v="833"/>
        <n v="834"/>
        <n v="835"/>
        <n v="837"/>
        <n v="838"/>
        <n v="839"/>
        <n v="841"/>
        <n v="842"/>
        <n v="843"/>
        <n v="844"/>
        <n v="846"/>
        <n v="847"/>
        <n v="850"/>
        <n v="851"/>
        <n v="852"/>
        <n v="853"/>
        <n v="857"/>
        <n v="859"/>
        <n v="861"/>
        <n v="863"/>
        <n v="868"/>
        <n v="872"/>
        <n v="877"/>
        <n v="879"/>
        <n v="880"/>
        <n v="881"/>
        <n v="882"/>
        <n v="883"/>
        <n v="884"/>
        <n v="885"/>
        <n v="886"/>
        <n v="888"/>
        <n v="889"/>
        <n v="891"/>
        <n v="894"/>
        <n v="895"/>
        <n v="898"/>
        <n v="900"/>
        <n v="902"/>
        <n v="905"/>
        <n v="906"/>
        <n v="907"/>
        <n v="908"/>
        <n v="909"/>
        <n v="910"/>
        <n v="911"/>
        <n v="912"/>
        <n v="913"/>
        <n v="914"/>
        <n v="915"/>
        <n v="916"/>
        <n v="919"/>
        <n v="920"/>
        <n v="922"/>
        <n v="923"/>
        <n v="924"/>
        <n v="925"/>
        <n v="929"/>
        <n v="931"/>
        <n v="933"/>
        <n v="938"/>
        <n v="939"/>
        <n v="940"/>
        <n v="943"/>
        <n v="945"/>
        <n v="949"/>
        <n v="950"/>
        <n v="953"/>
        <n v="954"/>
        <n v="956"/>
        <n v="957"/>
        <n v="958"/>
        <n v="960"/>
        <n v="964"/>
        <n v="969"/>
        <n v="970"/>
        <n v="971"/>
        <n v="972"/>
        <n v="973"/>
        <n v="974"/>
        <n v="975"/>
        <n v="976"/>
        <n v="977"/>
        <n v="979"/>
        <n v="980"/>
        <n v="982"/>
        <n v="983"/>
        <n v="984"/>
        <n v="985"/>
        <n v="986"/>
        <n v="987"/>
        <n v="988"/>
        <n v="989"/>
        <n v="990"/>
        <n v="996"/>
        <n v="997"/>
        <n v="998"/>
        <n v="1004"/>
        <n v="1006"/>
        <n v="1007"/>
        <n v="1008"/>
        <n v="1010"/>
        <n v="1011"/>
        <n v="1013"/>
        <n v="1017"/>
        <n v="1020"/>
        <n v="1021"/>
        <n v="1028"/>
        <n v="1029"/>
        <n v="1032"/>
        <n v="1034"/>
        <n v="1037"/>
        <n v="1040"/>
        <n v="1041"/>
        <n v="1045"/>
        <n v="1048"/>
        <n v="1051"/>
        <n v="1053"/>
        <n v="1055"/>
        <n v="1059"/>
        <n v="1062"/>
        <n v="1063"/>
        <n v="1064"/>
        <n v="1065"/>
        <n v="1066"/>
        <n v="1067"/>
        <n v="1068"/>
        <n v="1070"/>
        <n v="1072"/>
        <n v="1073"/>
        <n v="1075"/>
        <n v="1076"/>
        <n v="1077"/>
        <n v="1078"/>
        <n v="1081"/>
        <n v="1082"/>
        <n v="1083"/>
        <n v="1086"/>
        <n v="1088"/>
        <n v="1090"/>
        <n v="1092"/>
        <n v="1093"/>
        <n v="1094"/>
        <n v="1095"/>
        <n v="1097"/>
        <n v="1099"/>
        <n v="1102"/>
        <n v="1103"/>
        <n v="1106"/>
        <n v="1107"/>
        <n v="1109"/>
        <n v="1110"/>
        <n v="1111"/>
        <n v="1112"/>
        <n v="1113"/>
        <n v="1114"/>
        <n v="1115"/>
        <n v="1116"/>
        <n v="1117"/>
        <n v="1118"/>
        <n v="1119"/>
        <n v="1121"/>
        <n v="1122"/>
        <n v="1123"/>
        <n v="1124"/>
        <n v="1125"/>
        <n v="1126"/>
        <n v="1128"/>
        <n v="1129"/>
        <n v="1130"/>
        <n v="1131"/>
        <n v="1132"/>
        <n v="1133"/>
        <n v="1134"/>
        <n v="1136"/>
        <n v="1138"/>
        <n v="1140"/>
        <n v="1141"/>
        <n v="1142"/>
        <n v="1143"/>
        <n v="1144"/>
        <n v="1145"/>
        <n v="1147"/>
        <n v="1148"/>
        <n v="1149"/>
        <n v="1150"/>
        <n v="1151"/>
        <n v="1154"/>
        <n v="1155"/>
        <n v="1156"/>
        <n v="1157"/>
        <n v="1159"/>
        <n v="1160"/>
        <n v="1161"/>
        <n v="1162"/>
        <n v="1163"/>
        <n v="1164"/>
        <n v="1166"/>
        <n v="1168"/>
        <n v="1169"/>
        <n v="1170"/>
        <n v="1171"/>
        <n v="1172"/>
        <n v="1173"/>
        <n v="1175"/>
        <n v="1178"/>
        <n v="1181"/>
        <n v="1183"/>
        <n v="1190"/>
        <n v="1191"/>
        <n v="1193"/>
        <n v="1194"/>
        <n v="1195"/>
        <n v="1198"/>
        <n v="1200"/>
        <n v="1203"/>
        <n v="1204"/>
        <n v="1205"/>
        <n v="1206"/>
        <n v="1208"/>
        <n v="1209"/>
        <n v="1210"/>
        <n v="1211"/>
        <n v="1212"/>
        <n v="1213"/>
        <n v="1218"/>
        <n v="1220"/>
        <n v="1221"/>
        <n v="1222"/>
        <n v="1225"/>
        <n v="1228"/>
        <n v="1229"/>
        <n v="1230"/>
        <n v="1231"/>
        <n v="1232"/>
        <n v="1234"/>
        <n v="1236"/>
        <n v="1239"/>
        <n v="1241"/>
        <n v="1242"/>
        <n v="1244"/>
        <n v="1247"/>
        <n v="1250"/>
        <n v="1253"/>
        <n v="1254"/>
        <n v="1255"/>
        <n v="1257"/>
        <n v="1259"/>
        <n v="1260"/>
        <n v="1262"/>
        <n v="1264"/>
        <n v="1265"/>
        <n v="1266"/>
        <n v="1267"/>
        <n v="1268"/>
        <n v="1269"/>
        <n v="1271"/>
        <n v="1272"/>
        <n v="1273"/>
        <n v="1275"/>
        <n v="1276"/>
        <n v="1278"/>
        <n v="1279"/>
        <n v="1280"/>
        <n v="1281"/>
        <n v="1283"/>
        <n v="1284"/>
        <n v="1286"/>
        <n v="1288"/>
        <n v="1289"/>
        <n v="1290"/>
        <n v="1291"/>
        <n v="1292"/>
        <n v="1293"/>
        <n v="1295"/>
        <n v="1296"/>
        <n v="1298"/>
        <n v="1299"/>
        <n v="1300"/>
        <n v="1304"/>
        <n v="1305"/>
        <n v="1306"/>
        <n v="1308"/>
        <n v="1309"/>
        <n v="1310"/>
        <n v="1311"/>
        <n v="1312"/>
        <n v="1313"/>
        <n v="1314"/>
        <n v="1315"/>
        <n v="1317"/>
        <n v="1318"/>
        <n v="1319"/>
        <n v="1322"/>
        <n v="1323"/>
        <n v="1326"/>
        <n v="1328"/>
        <n v="1332"/>
        <n v="1336"/>
        <n v="1337"/>
        <n v="1338"/>
        <n v="1339"/>
        <n v="1346"/>
        <n v="1348"/>
        <n v="1349"/>
        <n v="1350"/>
        <n v="1351"/>
        <n v="1354"/>
        <n v="1355"/>
        <n v="1356"/>
        <n v="1357"/>
        <n v="1358"/>
        <n v="1362"/>
        <n v="1363"/>
        <n v="1365"/>
        <n v="1366"/>
        <n v="1367"/>
        <n v="1368"/>
        <n v="1370"/>
        <n v="1371"/>
        <n v="1372"/>
        <n v="1373"/>
        <n v="1375"/>
        <n v="1376"/>
        <n v="1379"/>
        <n v="1386"/>
        <n v="1387"/>
        <n v="1391"/>
        <n v="1392"/>
        <n v="1393"/>
        <n v="1394"/>
        <n v="1395"/>
        <n v="1396"/>
        <n v="1398"/>
        <n v="1399"/>
        <n v="1400"/>
        <n v="1401"/>
        <n v="1402"/>
        <n v="1403"/>
        <n v="1404"/>
        <n v="1405"/>
        <n v="1407"/>
        <n v="1408"/>
        <n v="1411"/>
        <n v="1412"/>
        <n v="1413"/>
        <n v="1414"/>
        <n v="1415"/>
        <n v="1416"/>
        <n v="1419"/>
        <n v="1421"/>
        <n v="1422"/>
        <n v="1423"/>
        <n v="1424"/>
        <n v="1425"/>
        <n v="1426"/>
        <n v="1428"/>
        <n v="1429"/>
        <n v="1431"/>
        <n v="1432"/>
        <n v="1434"/>
        <n v="1435"/>
        <n v="1436"/>
        <n v="1439"/>
        <n v="1440"/>
        <n v="1442"/>
        <n v="1444"/>
        <n v="1445"/>
        <n v="1446"/>
        <n v="1448"/>
        <n v="1449"/>
        <n v="1450"/>
        <n v="1451"/>
        <n v="1452"/>
        <n v="1453"/>
        <n v="1454"/>
        <n v="1456"/>
        <n v="1458"/>
        <n v="1460"/>
        <n v="1461"/>
        <n v="1462"/>
        <n v="1463"/>
        <n v="1467"/>
        <n v="1468"/>
        <n v="1470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93"/>
        <n v="1495"/>
        <n v="1496"/>
        <n v="1504"/>
        <n v="1505"/>
        <n v="1507"/>
        <n v="1508"/>
        <n v="1509"/>
        <n v="1510"/>
        <n v="1512"/>
        <n v="1514"/>
        <n v="1518"/>
        <n v="1520"/>
        <n v="1521"/>
        <n v="1522"/>
        <n v="1523"/>
        <n v="1527"/>
        <n v="1528"/>
        <n v="1530"/>
        <n v="1531"/>
        <n v="1532"/>
        <n v="1538"/>
        <n v="1539"/>
        <n v="1540"/>
        <n v="1544"/>
        <n v="1545"/>
        <n v="1546"/>
        <n v="1547"/>
        <n v="1548"/>
        <n v="1550"/>
        <n v="1553"/>
        <n v="1554"/>
        <n v="1556"/>
        <n v="1557"/>
        <n v="1558"/>
        <n v="1559"/>
        <n v="1562"/>
        <n v="1564"/>
        <n v="1565"/>
        <n v="1569"/>
        <n v="1571"/>
        <n v="1572"/>
        <n v="1574"/>
        <n v="1577"/>
        <n v="1578"/>
        <n v="1579"/>
        <n v="1580"/>
        <n v="1583"/>
        <n v="1584"/>
        <n v="1586"/>
        <n v="1588"/>
        <n v="1589"/>
        <n v="1592"/>
        <n v="1593"/>
        <n v="1596"/>
        <n v="1597"/>
        <n v="1598"/>
        <n v="1601"/>
        <n v="1602"/>
        <n v="1603"/>
        <n v="1605"/>
        <n v="1606"/>
        <n v="1607"/>
        <n v="1608"/>
        <n v="1609"/>
        <n v="1610"/>
        <n v="1611"/>
        <n v="1612"/>
        <n v="1613"/>
        <n v="1617"/>
        <n v="1618"/>
        <n v="1619"/>
        <n v="1620"/>
        <n v="1622"/>
        <n v="1624"/>
        <n v="1625"/>
        <n v="1626"/>
        <n v="1628"/>
        <n v="1629"/>
        <n v="1630"/>
        <n v="1631"/>
        <n v="1636"/>
        <n v="1638"/>
        <n v="1640"/>
        <n v="1641"/>
        <n v="1642"/>
        <n v="1647"/>
        <n v="1648"/>
        <n v="1649"/>
        <n v="1652"/>
        <n v="1656"/>
        <n v="1658"/>
        <n v="1659"/>
        <n v="1661"/>
        <n v="1662"/>
        <n v="1663"/>
        <n v="1664"/>
        <n v="1666"/>
        <n v="1667"/>
        <n v="1671"/>
        <n v="1673"/>
        <n v="1674"/>
        <n v="1675"/>
        <n v="1677"/>
        <n v="1678"/>
        <n v="1682"/>
        <n v="1683"/>
        <n v="1684"/>
        <n v="1685"/>
        <n v="1686"/>
        <n v="1687"/>
        <n v="1688"/>
        <n v="1689"/>
        <n v="1690"/>
        <n v="1691"/>
        <n v="1692"/>
        <n v="1694"/>
        <n v="1695"/>
        <n v="1696"/>
        <n v="1697"/>
        <n v="1698"/>
        <n v="1699"/>
        <n v="1702"/>
        <n v="1703"/>
        <n v="1706"/>
        <n v="1707"/>
        <n v="1708"/>
        <n v="1709"/>
        <n v="1710"/>
        <n v="1711"/>
        <n v="1714"/>
        <n v="1715"/>
        <n v="1717"/>
        <n v="1720"/>
        <n v="1721"/>
        <n v="1722"/>
        <n v="1724"/>
        <n v="1725"/>
        <n v="1726"/>
        <n v="1727"/>
        <n v="1729"/>
        <n v="1730"/>
        <n v="1731"/>
        <n v="1732"/>
        <n v="1734"/>
        <n v="1736"/>
        <n v="1737"/>
        <n v="1739"/>
        <n v="1740"/>
        <n v="1741"/>
        <n v="1743"/>
        <n v="1744"/>
        <n v="1754"/>
        <n v="1757"/>
        <n v="1760"/>
        <n v="1761"/>
        <n v="1763"/>
        <n v="1765"/>
        <n v="1768"/>
        <n v="1769"/>
        <n v="1771"/>
        <n v="1772"/>
        <n v="1773"/>
        <n v="1777"/>
        <n v="1778"/>
        <n v="1780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10"/>
        <n v="1818"/>
        <n v="1819"/>
        <n v="1820"/>
        <n v="1824"/>
        <n v="1826"/>
        <n v="1827"/>
        <n v="1828"/>
        <n v="1831"/>
        <n v="1832"/>
        <n v="1833"/>
        <n v="1834"/>
        <n v="1836"/>
        <n v="1837"/>
        <n v="1840"/>
        <n v="1841"/>
        <n v="1844"/>
        <n v="1845"/>
        <n v="1846"/>
        <n v="1848"/>
        <n v="1849"/>
        <n v="1851"/>
        <n v="1852"/>
        <n v="1853"/>
        <n v="1854"/>
        <n v="1856"/>
        <n v="1857"/>
        <n v="1858"/>
        <n v="1859"/>
        <n v="1861"/>
        <n v="1862"/>
        <n v="1865"/>
        <n v="1867"/>
        <n v="1869"/>
        <n v="1871"/>
        <n v="1872"/>
        <n v="1874"/>
        <n v="1876"/>
        <n v="1877"/>
        <n v="1878"/>
        <n v="1879"/>
        <n v="1883"/>
        <n v="1884"/>
        <n v="1885"/>
        <n v="1887"/>
        <n v="1889"/>
        <n v="1890"/>
        <n v="1891"/>
        <n v="1892"/>
        <n v="1893"/>
        <n v="1894"/>
        <n v="1897"/>
        <n v="1899"/>
        <n v="1900"/>
        <n v="1902"/>
        <n v="1903"/>
        <n v="1905"/>
        <n v="1906"/>
        <n v="1907"/>
        <n v="1908"/>
        <n v="1910"/>
        <n v="1912"/>
        <n v="1914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9"/>
        <n v="1930"/>
        <n v="1931"/>
        <n v="1932"/>
        <n v="1933"/>
        <n v="1934"/>
        <n v="1935"/>
        <n v="1936"/>
        <n v="1937"/>
        <n v="1938"/>
        <n v="1939"/>
        <n v="1943"/>
        <n v="1944"/>
        <n v="1947"/>
        <n v="1948"/>
        <n v="1949"/>
        <n v="1951"/>
        <n v="1952"/>
        <n v="1955"/>
        <n v="1958"/>
        <n v="1960"/>
        <n v="1961"/>
        <n v="1962"/>
        <n v="1963"/>
        <n v="1964"/>
        <n v="1966"/>
        <n v="1969"/>
        <n v="1971"/>
        <n v="1972"/>
        <n v="1977"/>
        <n v="1978"/>
        <n v="1979"/>
        <n v="1980"/>
        <n v="1981"/>
        <n v="1982"/>
        <n v="1983"/>
        <n v="1984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2"/>
        <n v="2003"/>
        <n v="2004"/>
        <n v="2005"/>
        <n v="2006"/>
        <n v="2007"/>
        <n v="2010"/>
        <n v="2011"/>
        <n v="2012"/>
        <n v="2013"/>
        <n v="2014"/>
        <n v="2016"/>
        <n v="2017"/>
        <n v="2020"/>
        <n v="2021"/>
        <n v="2022"/>
        <n v="2026"/>
        <n v="2027"/>
        <n v="2028"/>
        <n v="2029"/>
        <n v="2031"/>
        <n v="2033"/>
        <n v="2034"/>
        <n v="2036"/>
        <n v="2038"/>
        <n v="2039"/>
        <n v="2040"/>
        <n v="2041"/>
        <n v="2042"/>
        <n v="2045"/>
        <n v="2046"/>
        <n v="2054"/>
        <n v="2055"/>
        <n v="2058"/>
        <n v="2060"/>
        <n v="2061"/>
        <n v="2062"/>
        <n v="2063"/>
        <n v="2065"/>
        <n v="2066"/>
        <n v="2067"/>
        <n v="2069"/>
        <n v="2070"/>
        <n v="2071"/>
        <n v="2073"/>
        <n v="2075"/>
        <n v="2076"/>
        <n v="2080"/>
        <n v="2081"/>
        <n v="2082"/>
        <n v="2083"/>
        <n v="2085"/>
        <n v="2086"/>
        <n v="2087"/>
        <n v="2090"/>
        <n v="2091"/>
        <n v="2092"/>
        <n v="2093"/>
        <n v="2096"/>
        <n v="2097"/>
        <n v="2098"/>
        <n v="2101"/>
        <n v="2103"/>
        <n v="2104"/>
        <n v="2110"/>
        <n v="2111"/>
        <n v="2112"/>
        <n v="2113"/>
        <n v="2114"/>
        <n v="2115"/>
        <n v="2116"/>
        <n v="2119"/>
        <n v="2120"/>
        <n v="2121"/>
        <n v="2122"/>
        <n v="2123"/>
        <n v="2125"/>
        <n v="2126"/>
        <n v="2127"/>
        <n v="2128"/>
        <n v="2129"/>
        <n v="2131"/>
        <n v="2132"/>
        <n v="2133"/>
        <n v="2134"/>
        <n v="2135"/>
        <n v="2136"/>
        <n v="2137"/>
        <n v="2138"/>
        <n v="2139"/>
        <n v="2143"/>
        <n v="2145"/>
        <n v="2146"/>
        <n v="2147"/>
        <n v="2148"/>
        <n v="2150"/>
        <n v="2151"/>
        <n v="2152"/>
        <n v="2153"/>
        <n v="2155"/>
        <n v="2156"/>
        <n v="2158"/>
        <n v="2159"/>
        <n v="2160"/>
        <n v="2162"/>
        <n v="2164"/>
        <n v="2166"/>
        <n v="2171"/>
        <n v="2172"/>
        <n v="2174"/>
        <n v="2178"/>
        <n v="2180"/>
        <n v="2181"/>
        <n v="2184"/>
        <n v="2189"/>
        <n v="2190"/>
        <n v="2194"/>
        <n v="2196"/>
        <n v="2198"/>
        <n v="2201"/>
        <n v="2202"/>
        <n v="2203"/>
        <n v="2204"/>
        <n v="2205"/>
        <n v="2206"/>
        <n v="2207"/>
        <n v="2208"/>
        <n v="2209"/>
        <n v="2210"/>
        <n v="2215"/>
        <n v="2216"/>
        <n v="2217"/>
        <n v="2218"/>
        <n v="2219"/>
        <n v="2220"/>
        <n v="2223"/>
        <n v="2224"/>
        <n v="2225"/>
        <n v="2227"/>
        <n v="2229"/>
        <n v="2230"/>
        <n v="2231"/>
        <n v="2232"/>
        <n v="2233"/>
        <n v="2237"/>
        <n v="2238"/>
        <n v="2239"/>
        <n v="2241"/>
        <n v="2242"/>
        <n v="2244"/>
        <n v="2245"/>
        <n v="2247"/>
        <n v="2248"/>
        <n v="2252"/>
        <n v="2254"/>
        <n v="2255"/>
        <n v="2256"/>
        <n v="2257"/>
        <n v="2262"/>
        <n v="2264"/>
        <n v="2265"/>
        <n v="2266"/>
        <n v="2268"/>
        <n v="2270"/>
        <n v="2271"/>
        <n v="2272"/>
        <n v="2275"/>
        <n v="2276"/>
        <n v="2279"/>
        <n v="2281"/>
        <n v="2282"/>
        <n v="2283"/>
        <n v="2284"/>
        <n v="2285"/>
        <n v="2286"/>
        <n v="2287"/>
        <n v="2288"/>
        <n v="2289"/>
        <n v="2291"/>
        <n v="2292"/>
        <n v="2293"/>
        <n v="2294"/>
        <n v="2297"/>
        <n v="2299"/>
        <n v="2300"/>
        <n v="2304"/>
        <n v="2305"/>
        <n v="2306"/>
        <n v="2308"/>
        <n v="2314"/>
        <n v="2319"/>
        <n v="2321"/>
        <n v="2322"/>
        <n v="2323"/>
        <n v="2325"/>
        <n v="2326"/>
        <n v="2328"/>
        <n v="2329"/>
        <n v="2332"/>
        <n v="2333"/>
        <n v="2334"/>
        <n v="2335"/>
        <n v="2336"/>
        <n v="2337"/>
        <n v="2338"/>
        <n v="2341"/>
        <n v="2342"/>
        <n v="2343"/>
        <n v="2344"/>
        <n v="2346"/>
        <n v="2348"/>
        <n v="2349"/>
        <n v="2350"/>
        <n v="2352"/>
        <n v="2353"/>
        <n v="2354"/>
        <n v="2355"/>
        <n v="2356"/>
        <n v="2358"/>
        <n v="2359"/>
        <n v="2362"/>
        <n v="2363"/>
        <n v="2364"/>
        <n v="2366"/>
        <n v="2368"/>
        <n v="2369"/>
        <n v="2371"/>
        <n v="2372"/>
        <n v="2373"/>
        <n v="2375"/>
        <n v="2376"/>
        <n v="2377"/>
        <n v="2380"/>
        <n v="2381"/>
        <n v="2387"/>
        <n v="2389"/>
        <n v="2390"/>
        <n v="2392"/>
        <n v="2393"/>
        <n v="2394"/>
        <n v="2395"/>
        <n v="2397"/>
        <n v="2398"/>
        <n v="2400"/>
        <n v="2403"/>
        <n v="2404"/>
        <n v="2405"/>
        <n v="2406"/>
        <n v="2408"/>
        <n v="2409"/>
        <n v="2410"/>
        <n v="2411"/>
        <n v="2412"/>
        <n v="2413"/>
        <n v="2414"/>
        <n v="2416"/>
        <n v="2417"/>
        <n v="2418"/>
        <n v="2420"/>
        <n v="2421"/>
        <n v="2422"/>
        <n v="2423"/>
        <n v="2424"/>
        <n v="2425"/>
        <n v="2426"/>
        <n v="2427"/>
        <n v="2428"/>
        <n v="2429"/>
        <n v="2431"/>
        <n v="2432"/>
        <n v="2434"/>
        <n v="2435"/>
        <n v="2436"/>
        <n v="2437"/>
        <n v="2440"/>
        <n v="2441"/>
        <n v="2444"/>
        <n v="2446"/>
        <n v="2447"/>
        <n v="2449"/>
        <n v="2450"/>
        <n v="2451"/>
        <n v="2452"/>
        <n v="2453"/>
        <n v="2454"/>
        <n v="2458"/>
        <n v="2460"/>
        <n v="2461"/>
        <n v="2462"/>
        <n v="2464"/>
        <n v="2467"/>
        <n v="2468"/>
        <n v="2469"/>
        <n v="2470"/>
        <n v="2472"/>
        <n v="2473"/>
        <n v="2474"/>
        <n v="2476"/>
        <n v="2477"/>
        <n v="2478"/>
        <n v="2480"/>
        <n v="2481"/>
        <n v="2482"/>
        <n v="2483"/>
        <n v="2485"/>
        <n v="2487"/>
        <n v="2488"/>
        <n v="2489"/>
        <n v="2490"/>
        <n v="2491"/>
        <n v="2493"/>
        <n v="2494"/>
        <n v="2495"/>
        <n v="2496"/>
        <n v="2497"/>
        <n v="2498"/>
        <n v="2499"/>
        <n v="2500"/>
        <n v="2501"/>
        <n v="2503"/>
        <n v="2504"/>
        <n v="2506"/>
        <n v="2507"/>
        <n v="2508"/>
        <n v="2510"/>
        <n v="2511"/>
        <n v="2513"/>
        <n v="2514"/>
        <n v="2520"/>
        <n v="2521"/>
        <n v="2523"/>
        <n v="2524"/>
        <n v="2525"/>
        <n v="2526"/>
        <n v="2527"/>
        <n v="2528"/>
        <n v="2530"/>
        <n v="2531"/>
        <n v="2532"/>
        <n v="2533"/>
        <n v="2534"/>
        <n v="2537"/>
        <n v="2539"/>
        <n v="2540"/>
        <n v="2541"/>
        <n v="2542"/>
        <n v="2543"/>
        <n v="2545"/>
        <n v="2546"/>
        <n v="2548"/>
        <n v="2549"/>
        <n v="2550"/>
        <n v="2551"/>
        <n v="2552"/>
        <n v="2555"/>
        <n v="2556"/>
        <n v="2557"/>
        <n v="2558"/>
        <n v="2559"/>
        <n v="2560"/>
        <n v="2561"/>
        <n v="2563"/>
        <n v="2567"/>
        <n v="2569"/>
        <n v="2572"/>
        <n v="2573"/>
        <n v="2574"/>
        <n v="2577"/>
        <n v="2578"/>
        <n v="2584"/>
        <n v="2586"/>
        <n v="2588"/>
        <n v="2589"/>
        <n v="2591"/>
        <n v="2592"/>
        <n v="2595"/>
        <n v="2597"/>
        <n v="2598"/>
        <n v="2600"/>
        <n v="2602"/>
        <n v="2603"/>
        <n v="2605"/>
        <n v="2607"/>
        <n v="2609"/>
        <n v="2613"/>
        <n v="2614"/>
        <n v="2618"/>
        <n v="2619"/>
        <n v="2623"/>
        <n v="2624"/>
        <n v="2626"/>
        <n v="2628"/>
        <n v="2630"/>
        <n v="2631"/>
        <n v="2633"/>
        <n v="2635"/>
        <n v="2637"/>
        <n v="2638"/>
        <n v="2639"/>
        <n v="2640"/>
        <n v="2642"/>
        <n v="2643"/>
        <n v="2644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91"/>
        <n v="2692"/>
        <n v="2693"/>
        <n v="2694"/>
        <n v="2695"/>
        <n v="2696"/>
        <n v="2697"/>
        <n v="2700"/>
        <n v="2701"/>
        <n v="2702"/>
        <n v="2703"/>
        <n v="2704"/>
        <n v="2705"/>
        <n v="2706"/>
        <n v="2708"/>
        <n v="2711"/>
        <n v="2712"/>
        <n v="2713"/>
        <n v="2714"/>
        <n v="2715"/>
        <n v="2718"/>
        <n v="2719"/>
        <n v="2720"/>
        <n v="2722"/>
        <n v="2724"/>
        <n v="2725"/>
        <n v="2726"/>
        <n v="2728"/>
        <n v="2730"/>
        <n v="2731"/>
        <n v="2733"/>
        <n v="2735"/>
        <n v="2736"/>
        <n v="2737"/>
        <n v="2738"/>
        <n v="2739"/>
        <n v="2741"/>
        <n v="2743"/>
        <n v="2744"/>
        <n v="2745"/>
        <n v="2748"/>
        <n v="2750"/>
        <n v="2751"/>
        <n v="2753"/>
        <n v="2754"/>
        <n v="2755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2"/>
        <n v="2773"/>
        <n v="2774"/>
        <n v="2775"/>
        <n v="2776"/>
        <n v="2777"/>
        <n v="2778"/>
        <n v="2779"/>
        <n v="2780"/>
        <n v="2781"/>
        <n v="2783"/>
        <n v="2784"/>
        <n v="2785"/>
        <n v="2786"/>
        <n v="2787"/>
        <n v="2788"/>
        <n v="2789"/>
        <n v="2790"/>
        <n v="2791"/>
        <n v="2792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2"/>
        <n v="2824"/>
        <n v="2828"/>
        <n v="2830"/>
        <n v="2831"/>
        <n v="2832"/>
        <n v="2834"/>
        <n v="2836"/>
        <n v="2837"/>
        <n v="2838"/>
        <n v="2839"/>
        <n v="2840"/>
        <n v="2841"/>
        <n v="2842"/>
        <n v="2843"/>
        <n v="2844"/>
        <n v="2846"/>
        <n v="2847"/>
        <n v="2848"/>
        <n v="2850"/>
        <n v="2851"/>
        <n v="2852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8"/>
        <n v="2869"/>
        <n v="2871"/>
        <n v="2872"/>
        <n v="2873"/>
        <n v="2874"/>
        <n v="2875"/>
        <n v="2876"/>
        <n v="2877"/>
        <n v="2878"/>
        <n v="2881"/>
        <n v="2882"/>
        <n v="2883"/>
        <n v="2885"/>
        <n v="2886"/>
        <n v="2887"/>
        <n v="2888"/>
        <n v="2889"/>
        <n v="2890"/>
        <n v="2892"/>
        <n v="2893"/>
        <n v="2898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5"/>
        <n v="2916"/>
        <n v="2918"/>
        <n v="2919"/>
        <n v="2920"/>
        <n v="2921"/>
        <n v="2922"/>
        <n v="2923"/>
        <n v="2926"/>
        <n v="2927"/>
        <n v="2928"/>
        <n v="2929"/>
        <n v="2930"/>
        <n v="2932"/>
        <n v="2933"/>
        <n v="2935"/>
        <n v="2937"/>
        <n v="2938"/>
        <n v="2939"/>
        <n v="2940"/>
        <n v="2941"/>
        <n v="2942"/>
        <n v="2943"/>
        <n v="2944"/>
        <n v="2945"/>
        <n v="2946"/>
        <n v="2948"/>
        <n v="2949"/>
        <n v="2950"/>
        <n v="2951"/>
        <n v="2953"/>
        <n v="2954"/>
        <n v="2955"/>
        <n v="2956"/>
        <n v="2957"/>
        <n v="2959"/>
        <n v="2960"/>
        <n v="2961"/>
        <n v="2963"/>
        <n v="2964"/>
        <n v="2966"/>
        <n v="2967"/>
        <n v="2969"/>
        <n v="2970"/>
        <n v="2971"/>
        <n v="2972"/>
        <n v="2973"/>
        <n v="2974"/>
        <n v="2975"/>
        <n v="2977"/>
        <n v="2978"/>
        <n v="2980"/>
        <n v="2981"/>
        <n v="2983"/>
        <n v="2985"/>
        <n v="2986"/>
        <n v="2987"/>
        <n v="2989"/>
        <n v="2990"/>
        <n v="2991"/>
        <n v="2992"/>
        <n v="2993"/>
        <n v="2995"/>
        <n v="2996"/>
        <n v="2997"/>
        <n v="2998"/>
        <n v="2999"/>
        <n v="3002"/>
        <n v="3003"/>
        <n v="3004"/>
        <n v="3006"/>
        <n v="3008"/>
        <n v="3011"/>
        <n v="3013"/>
        <n v="3014"/>
        <n v="3015"/>
        <n v="3016"/>
        <n v="3017"/>
        <n v="3018"/>
        <n v="3019"/>
        <n v="3020"/>
        <n v="3021"/>
        <n v="3023"/>
        <n v="3024"/>
        <n v="3025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4"/>
        <n v="3045"/>
        <n v="3046"/>
        <n v="3047"/>
        <n v="3048"/>
        <n v="3049"/>
        <n v="3050"/>
        <n v="3051"/>
        <n v="3053"/>
        <n v="3054"/>
        <n v="3055"/>
        <n v="3056"/>
        <n v="3057"/>
        <n v="3058"/>
        <n v="3060"/>
        <n v="3061"/>
        <n v="3062"/>
        <n v="3063"/>
        <n v="3066"/>
        <n v="3067"/>
        <n v="3068"/>
        <n v="3070"/>
        <n v="3071"/>
        <n v="3073"/>
        <n v="3075"/>
        <n v="3077"/>
        <n v="3078"/>
        <n v="3080"/>
        <n v="3082"/>
        <n v="3083"/>
        <n v="3084"/>
        <n v="3085"/>
        <n v="3086"/>
        <n v="3088"/>
        <n v="3089"/>
        <n v="3093"/>
        <n v="3094"/>
        <n v="3097"/>
        <n v="3098"/>
        <n v="3099"/>
        <n v="3100"/>
        <n v="3101"/>
        <n v="3102"/>
        <n v="3104"/>
        <n v="3106"/>
        <n v="3107"/>
        <n v="3108"/>
        <n v="3112"/>
        <n v="3113"/>
        <n v="3114"/>
        <n v="3115"/>
        <n v="3116"/>
        <n v="3117"/>
        <n v="3119"/>
        <n v="3120"/>
        <n v="3121"/>
        <n v="3122"/>
        <n v="3123"/>
        <n v="3124"/>
        <n v="3126"/>
        <n v="3128"/>
        <n v="3129"/>
        <n v="3130"/>
        <n v="3131"/>
        <n v="3133"/>
        <n v="3134"/>
        <n v="3135"/>
        <n v="3136"/>
        <n v="3137"/>
        <n v="3138"/>
        <n v="3139"/>
        <n v="3140"/>
        <n v="3141"/>
        <n v="3142"/>
        <n v="3144"/>
        <n v="3145"/>
        <n v="3146"/>
        <n v="3148"/>
        <n v="3149"/>
        <n v="3150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6"/>
        <n v="3167"/>
        <n v="3168"/>
        <n v="3170"/>
        <n v="3172"/>
        <n v="3173"/>
        <n v="3175"/>
        <n v="3176"/>
        <n v="3178"/>
        <n v="3179"/>
        <n v="3181"/>
        <n v="3183"/>
        <n v="3184"/>
        <n v="3186"/>
        <n v="3187"/>
        <n v="3188"/>
        <n v="3189"/>
        <n v="3192"/>
        <n v="3193"/>
        <n v="3194"/>
        <n v="3196"/>
        <n v="3197"/>
        <n v="3198"/>
        <n v="3199"/>
        <n v="3201"/>
        <n v="3202"/>
        <n v="3203"/>
        <n v="3205"/>
        <n v="3206"/>
        <n v="3207"/>
        <n v="3208"/>
        <n v="3209"/>
        <n v="3210"/>
        <n v="3211"/>
        <n v="3212"/>
        <n v="3213"/>
        <n v="3214"/>
        <n v="3215"/>
        <n v="3217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3"/>
        <n v="3235"/>
        <n v="3236"/>
        <n v="3237"/>
        <n v="3238"/>
        <n v="3240"/>
        <n v="3241"/>
        <n v="3242"/>
        <n v="3243"/>
        <n v="3245"/>
        <n v="3246"/>
        <n v="3248"/>
        <n v="3251"/>
        <n v="3252"/>
        <n v="3254"/>
        <n v="3255"/>
        <n v="3257"/>
        <n v="3258"/>
        <n v="3259"/>
        <n v="3263"/>
        <n v="3264"/>
        <n v="3265"/>
        <n v="3266"/>
        <n v="3268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9"/>
        <n v="3290"/>
        <n v="3291"/>
        <n v="3292"/>
        <n v="3293"/>
        <n v="3294"/>
        <n v="3295"/>
        <n v="3296"/>
        <n v="3297"/>
        <n v="3299"/>
        <n v="3300"/>
        <n v="3301"/>
        <n v="3302"/>
        <n v="3304"/>
        <n v="3306"/>
        <n v="3307"/>
        <n v="3309"/>
        <n v="3310"/>
        <n v="3311"/>
        <n v="3314"/>
        <n v="3315"/>
        <n v="3316"/>
        <n v="3317"/>
        <n v="3319"/>
        <n v="3321"/>
        <n v="3322"/>
        <n v="3323"/>
        <n v="3324"/>
        <n v="3325"/>
        <n v="3326"/>
        <n v="3327"/>
        <n v="3328"/>
        <n v="3329"/>
        <n v="3330"/>
        <n v="3332"/>
        <n v="3334"/>
        <n v="3335"/>
        <n v="3336"/>
        <n v="3337"/>
        <n v="3338"/>
        <n v="3339"/>
        <n v="3340"/>
        <n v="3341"/>
        <n v="3342"/>
        <n v="3343"/>
        <n v="3345"/>
        <n v="3346"/>
        <n v="3347"/>
        <n v="3348"/>
        <n v="3351"/>
        <n v="3352"/>
        <n v="3353"/>
        <n v="3355"/>
        <n v="3356"/>
        <n v="3357"/>
        <n v="3358"/>
        <n v="3359"/>
        <n v="3360"/>
        <n v="3361"/>
        <n v="3363"/>
        <n v="3365"/>
        <n v="3367"/>
        <n v="3368"/>
        <n v="3370"/>
        <n v="3371"/>
        <n v="3372"/>
        <n v="3373"/>
        <n v="3374"/>
        <n v="3375"/>
        <n v="3377"/>
        <n v="3378"/>
        <n v="3380"/>
        <n v="3382"/>
        <n v="3383"/>
        <n v="3384"/>
        <n v="3385"/>
        <n v="3386"/>
        <n v="3388"/>
        <n v="3389"/>
        <n v="3390"/>
        <n v="3391"/>
        <n v="3394"/>
        <n v="3395"/>
        <n v="3397"/>
        <n v="3398"/>
        <n v="3399"/>
        <n v="3400"/>
        <n v="3401"/>
        <n v="3402"/>
        <n v="3403"/>
        <n v="3404"/>
        <n v="3405"/>
        <n v="3406"/>
        <n v="3408"/>
        <n v="3409"/>
        <n v="3410"/>
        <n v="3411"/>
        <n v="3412"/>
        <n v="3413"/>
        <n v="3414"/>
        <n v="3415"/>
        <n v="3416"/>
        <n v="3418"/>
        <n v="3420"/>
        <n v="3421"/>
        <n v="3422"/>
        <n v="3423"/>
        <n v="3425"/>
        <n v="3426"/>
        <n v="3427"/>
        <n v="3428"/>
        <n v="3429"/>
        <n v="3430"/>
        <n v="3432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4"/>
        <n v="3518"/>
        <n v="3522"/>
        <n v="3524"/>
        <n v="3528"/>
        <n v="3531"/>
        <n v="3533"/>
        <n v="3537"/>
        <n v="3538"/>
        <n v="3539"/>
        <n v="3540"/>
        <n v="3541"/>
        <n v="3542"/>
        <n v="3544"/>
        <n v="3545"/>
        <n v="3546"/>
        <n v="3547"/>
        <n v="3549"/>
        <n v="3550"/>
        <n v="3551"/>
        <n v="3552"/>
        <n v="3553"/>
        <n v="3554"/>
        <n v="3556"/>
        <n v="3557"/>
        <n v="3558"/>
        <n v="3559"/>
        <n v="3561"/>
        <n v="3563"/>
        <n v="3564"/>
        <n v="3566"/>
        <n v="3567"/>
        <n v="3569"/>
        <n v="3570"/>
        <n v="3571"/>
        <n v="3572"/>
        <n v="3574"/>
        <n v="3575"/>
        <n v="3576"/>
        <n v="3577"/>
        <n v="3579"/>
        <n v="3582"/>
        <n v="3583"/>
        <n v="3585"/>
        <n v="3586"/>
        <n v="3588"/>
        <n v="3590"/>
        <n v="3591"/>
        <n v="3592"/>
        <n v="3593"/>
        <n v="3594"/>
        <n v="3598"/>
        <n v="3599"/>
        <n v="3600"/>
        <n v="3602"/>
        <n v="3603"/>
        <n v="3604"/>
        <n v="3605"/>
        <n v="3606"/>
        <n v="3607"/>
        <n v="3608"/>
        <n v="3609"/>
        <n v="3610"/>
        <n v="3611"/>
        <n v="3612"/>
        <n v="3614"/>
        <n v="3615"/>
        <n v="3616"/>
        <n v="3617"/>
        <n v="3618"/>
        <n v="3619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5"/>
        <n v="3636"/>
        <n v="3637"/>
        <n v="3638"/>
        <n v="3639"/>
        <n v="3641"/>
        <n v="3642"/>
        <n v="3643"/>
        <n v="3644"/>
        <n v="3645"/>
        <n v="3646"/>
        <n v="3647"/>
        <n v="3648"/>
        <n v="3649"/>
        <n v="3650"/>
        <n v="3652"/>
        <n v="3653"/>
        <n v="3654"/>
        <n v="3655"/>
        <n v="3656"/>
        <n v="3658"/>
        <n v="3659"/>
        <n v="3660"/>
        <n v="3661"/>
        <n v="3662"/>
        <n v="3663"/>
        <n v="3664"/>
        <n v="3665"/>
        <n v="3666"/>
        <n v="3667"/>
        <n v="3668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4"/>
        <n v="3685"/>
        <n v="3686"/>
        <n v="3687"/>
        <n v="3688"/>
        <n v="3689"/>
        <n v="3690"/>
        <n v="3691"/>
        <n v="3692"/>
        <n v="3694"/>
        <n v="3695"/>
        <n v="3697"/>
        <n v="3698"/>
        <n v="3699"/>
        <n v="3700"/>
        <n v="3701"/>
        <n v="3704"/>
        <n v="3705"/>
        <n v="3706"/>
        <n v="3708"/>
        <n v="3711"/>
        <n v="3712"/>
        <n v="3713"/>
        <n v="3714"/>
        <n v="3715"/>
        <n v="3716"/>
        <n v="3717"/>
        <n v="3718"/>
        <n v="3719"/>
        <n v="3720"/>
        <n v="3722"/>
        <n v="3723"/>
        <n v="3724"/>
        <n v="3725"/>
        <n v="3726"/>
        <n v="3727"/>
        <n v="3728"/>
        <n v="3729"/>
        <n v="3730"/>
        <n v="3732"/>
        <n v="3733"/>
        <n v="3734"/>
        <n v="3735"/>
        <n v="3736"/>
        <n v="3737"/>
        <n v="3738"/>
        <n v="3741"/>
        <n v="3744"/>
        <n v="3746"/>
        <n v="3749"/>
        <n v="3750"/>
        <n v="3751"/>
        <n v="3752"/>
        <n v="3753"/>
        <n v="3754"/>
        <n v="3755"/>
        <n v="3756"/>
        <n v="3757"/>
        <n v="3758"/>
        <n v="3760"/>
        <n v="3762"/>
        <n v="3763"/>
        <n v="3766"/>
        <n v="3767"/>
        <n v="3768"/>
        <n v="3770"/>
        <n v="3771"/>
        <n v="3772"/>
        <n v="3774"/>
        <n v="3776"/>
        <n v="3777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3"/>
        <n v="3794"/>
        <n v="3795"/>
        <n v="3796"/>
        <n v="3797"/>
        <n v="3798"/>
        <n v="3800"/>
        <n v="3801"/>
        <n v="3803"/>
        <n v="3804"/>
        <n v="3807"/>
        <n v="3808"/>
        <n v="3809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4"/>
        <n v="3825"/>
        <n v="3826"/>
        <n v="3828"/>
        <n v="3829"/>
        <n v="3830"/>
        <n v="3831"/>
        <n v="3832"/>
        <n v="3833"/>
        <n v="3835"/>
        <n v="3837"/>
        <n v="3838"/>
        <n v="3839"/>
        <n v="3840"/>
        <n v="3841"/>
        <n v="3843"/>
        <n v="3847"/>
        <n v="3848"/>
        <n v="3849"/>
        <n v="3850"/>
        <n v="3851"/>
        <n v="3854"/>
        <n v="3855"/>
        <n v="3857"/>
        <n v="3860"/>
        <n v="3862"/>
        <n v="3863"/>
        <n v="3864"/>
        <n v="3865"/>
        <n v="3867"/>
        <n v="3868"/>
        <n v="3869"/>
        <n v="3870"/>
        <n v="3871"/>
        <n v="3873"/>
        <n v="3874"/>
        <n v="3875"/>
        <n v="3877"/>
        <n v="3878"/>
        <n v="3879"/>
        <n v="3881"/>
        <n v="3882"/>
        <n v="3884"/>
        <n v="3886"/>
        <n v="3887"/>
        <n v="3888"/>
        <n v="3890"/>
        <n v="3891"/>
        <n v="3892"/>
        <n v="3894"/>
        <n v="3896"/>
        <n v="3897"/>
        <n v="3898"/>
        <n v="3899"/>
        <n v="3900"/>
        <n v="3901"/>
        <n v="3903"/>
        <n v="3904"/>
        <n v="3905"/>
        <n v="3906"/>
        <n v="3909"/>
        <n v="3910"/>
        <n v="3911"/>
        <n v="3913"/>
        <n v="3916"/>
        <n v="3917"/>
        <n v="3918"/>
        <n v="3920"/>
        <n v="3922"/>
        <n v="3924"/>
        <n v="3926"/>
        <n v="3928"/>
        <n v="3930"/>
        <n v="3932"/>
        <n v="3933"/>
        <n v="3935"/>
        <n v="3936"/>
        <n v="3937"/>
        <n v="3939"/>
        <n v="3940"/>
        <n v="3941"/>
        <n v="3942"/>
        <n v="3943"/>
        <n v="3946"/>
        <n v="3948"/>
        <n v="3949"/>
        <n v="3951"/>
        <n v="3953"/>
        <n v="3954"/>
        <n v="3955"/>
        <n v="3956"/>
        <n v="3957"/>
        <n v="3958"/>
        <n v="3960"/>
        <n v="3961"/>
        <n v="3962"/>
        <n v="3964"/>
        <n v="3965"/>
        <n v="3966"/>
        <n v="3967"/>
        <n v="3968"/>
        <n v="3969"/>
        <n v="3971"/>
        <n v="3972"/>
        <n v="3977"/>
        <n v="3979"/>
        <n v="3981"/>
        <n v="3982"/>
        <n v="3984"/>
        <n v="3987"/>
        <n v="3988"/>
        <n v="3989"/>
        <n v="3990"/>
        <n v="3991"/>
        <n v="3993"/>
        <n v="3996"/>
        <n v="3997"/>
        <n v="3998"/>
        <n v="3999"/>
        <n v="4000"/>
        <n v="4003"/>
        <n v="4008"/>
        <n v="4009"/>
        <n v="4010"/>
        <n v="4011"/>
        <n v="4012"/>
        <n v="4013"/>
        <n v="4014"/>
        <n v="4020"/>
        <n v="4021"/>
        <n v="4023"/>
        <n v="4025"/>
        <n v="4026"/>
        <n v="4027"/>
        <n v="4028"/>
        <n v="4029"/>
        <n v="4030"/>
        <n v="4031"/>
        <n v="4033"/>
        <n v="4034"/>
        <n v="4035"/>
        <n v="4036"/>
        <n v="4037"/>
        <n v="4038"/>
        <n v="4040"/>
        <n v="4041"/>
        <n v="4043"/>
        <n v="4044"/>
        <n v="4045"/>
        <n v="4046"/>
        <n v="4047"/>
        <n v="4048"/>
        <n v="4051"/>
        <n v="4053"/>
        <n v="4054"/>
        <n v="4057"/>
        <n v="4058"/>
        <n v="4062"/>
        <n v="4064"/>
        <n v="4065"/>
        <n v="4066"/>
        <n v="4067"/>
        <n v="4068"/>
        <n v="4069"/>
        <n v="4070"/>
        <n v="4071"/>
        <n v="4073"/>
        <n v="4074"/>
        <n v="4075"/>
        <n v="4076"/>
        <n v="4077"/>
        <n v="4081"/>
        <n v="4083"/>
        <n v="4084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2"/>
        <n v="4103"/>
        <n v="4104"/>
        <n v="4106"/>
        <n v="4107"/>
        <n v="4108"/>
        <n v="4109"/>
        <n v="4110"/>
        <n v="4111"/>
        <n v="4114"/>
        <n v="4115"/>
        <n v="4116"/>
        <n v="4117"/>
        <n v="4118"/>
        <n v="4119"/>
        <n v="4120"/>
        <n v="4121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40"/>
        <n v="4142"/>
        <n v="4143"/>
        <n v="4144"/>
        <n v="4145"/>
        <n v="4146"/>
        <n v="4147"/>
        <n v="4149"/>
        <n v="4150"/>
        <n v="4151"/>
        <n v="4154"/>
        <n v="4155"/>
        <n v="4156"/>
        <n v="4157"/>
        <n v="4158"/>
        <n v="4161"/>
        <n v="4162"/>
        <n v="4163"/>
        <n v="4164"/>
        <n v="4165"/>
        <n v="4166"/>
        <n v="4168"/>
        <n v="4169"/>
        <n v="4170"/>
        <n v="4171"/>
        <n v="4172"/>
        <n v="4173"/>
        <n v="4174"/>
        <n v="4176"/>
        <n v="4177"/>
        <n v="4178"/>
        <n v="4179"/>
        <n v="4181"/>
        <n v="4182"/>
        <n v="4183"/>
        <n v="4184"/>
        <n v="4185"/>
        <n v="4186"/>
        <n v="4187"/>
        <n v="4188"/>
        <n v="4189"/>
        <n v="4190"/>
        <n v="4193"/>
        <n v="4194"/>
        <n v="4195"/>
        <n v="4198"/>
        <n v="4199"/>
        <n v="4200"/>
        <n v="4202"/>
        <n v="4203"/>
        <n v="4204"/>
        <n v="4206"/>
        <n v="4207"/>
        <n v="4208"/>
        <n v="4209"/>
        <n v="4210"/>
        <n v="4212"/>
        <n v="4213"/>
        <n v="4214"/>
        <n v="4215"/>
        <n v="4216"/>
        <n v="4217"/>
        <n v="4218"/>
        <n v="4219"/>
        <n v="4220"/>
        <n v="4222"/>
        <n v="4223"/>
        <n v="4224"/>
        <n v="4226"/>
        <n v="4229"/>
        <n v="4230"/>
        <n v="4231"/>
        <n v="4232"/>
        <n v="4233"/>
        <n v="4235"/>
        <n v="4236"/>
        <n v="4237"/>
        <n v="4239"/>
        <n v="4240"/>
        <n v="4242"/>
        <n v="4243"/>
        <n v="4245"/>
        <n v="4246"/>
        <n v="4247"/>
        <n v="4248"/>
        <n v="4249"/>
        <n v="4251"/>
        <n v="4252"/>
        <n v="4253"/>
        <n v="4255"/>
        <n v="4256"/>
        <n v="4257"/>
        <n v="4258"/>
        <n v="4259"/>
        <n v="4260"/>
        <n v="4261"/>
        <n v="4262"/>
        <n v="4263"/>
        <n v="4264"/>
        <n v="4268"/>
        <n v="4269"/>
        <n v="4270"/>
        <n v="4271"/>
        <n v="4272"/>
        <n v="4273"/>
        <n v="4274"/>
        <n v="4276"/>
        <n v="4277"/>
        <n v="4278"/>
        <n v="4279"/>
        <n v="4281"/>
        <n v="4283"/>
        <n v="4284"/>
        <n v="4285"/>
        <n v="4286"/>
        <n v="4288"/>
        <n v="4289"/>
        <n v="4290"/>
        <n v="4291"/>
        <n v="4292"/>
        <n v="4294"/>
        <n v="4295"/>
        <n v="4297"/>
        <n v="4298"/>
        <n v="4300"/>
        <n v="4301"/>
        <n v="4302"/>
        <n v="4303"/>
        <n v="4304"/>
        <n v="4305"/>
        <n v="4306"/>
        <n v="4307"/>
        <n v="4309"/>
        <n v="4310"/>
        <n v="4312"/>
        <n v="4313"/>
        <n v="4314"/>
        <n v="4315"/>
        <n v="4316"/>
        <n v="4317"/>
        <n v="4318"/>
        <n v="4320"/>
        <n v="4321"/>
        <n v="4322"/>
        <n v="4323"/>
        <n v="4324"/>
        <n v="4325"/>
        <n v="4326"/>
        <n v="4327"/>
        <n v="4329"/>
        <n v="4330"/>
        <n v="4331"/>
        <n v="4332"/>
        <n v="4333"/>
        <n v="4334"/>
        <n v="4336"/>
        <n v="4337"/>
        <n v="4338"/>
        <n v="4340"/>
        <n v="4341"/>
        <n v="4342"/>
        <n v="4343"/>
        <n v="4345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5"/>
        <n v="4366"/>
        <n v="4367"/>
        <n v="4368"/>
        <n v="4369"/>
        <n v="4370"/>
        <n v="4372"/>
        <n v="4374"/>
        <n v="4375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3"/>
        <n v="4395"/>
        <n v="4398"/>
        <n v="4399"/>
        <n v="4400"/>
        <n v="4402"/>
        <n v="4403"/>
        <n v="4404"/>
        <n v="4405"/>
        <n v="4406"/>
        <n v="4407"/>
        <n v="4409"/>
        <n v="4410"/>
        <n v="4412"/>
        <n v="4415"/>
        <n v="4417"/>
        <n v="4419"/>
        <n v="4422"/>
        <n v="4424"/>
        <n v="4425"/>
        <n v="4426"/>
        <n v="4427"/>
        <n v="4429"/>
        <n v="4433"/>
        <n v="4434"/>
        <n v="4435"/>
        <n v="4436"/>
        <n v="4437"/>
        <n v="4440"/>
        <n v="4443"/>
        <n v="4444"/>
        <n v="4446"/>
        <n v="4452"/>
        <n v="4455"/>
        <n v="4456"/>
        <n v="4459"/>
        <n v="4460"/>
        <n v="4464"/>
        <n v="4465"/>
        <n v="4467"/>
        <n v="4468"/>
        <n v="4469"/>
        <n v="4470"/>
        <n v="4472"/>
        <n v="4473"/>
        <n v="4474"/>
        <n v="4475"/>
        <n v="4478"/>
        <n v="4479"/>
        <n v="4480"/>
        <n v="4482"/>
        <n v="4483"/>
        <n v="4486"/>
        <n v="4487"/>
        <n v="4488"/>
        <n v="4490"/>
        <n v="4492"/>
        <n v="4494"/>
        <n v="4495"/>
        <n v="4496"/>
        <n v="4498"/>
        <n v="4499"/>
        <n v="4500"/>
        <n v="4501"/>
        <n v="4502"/>
        <n v="4503"/>
        <n v="4504"/>
        <n v="4505"/>
        <n v="4506"/>
        <n v="4507"/>
        <n v="4508"/>
        <n v="4511"/>
        <n v="4512"/>
        <n v="4513"/>
        <n v="4514"/>
        <n v="4515"/>
        <n v="4516"/>
        <n v="4518"/>
        <n v="4519"/>
        <n v="4520"/>
        <n v="4524"/>
        <n v="4525"/>
        <n v="4527"/>
        <n v="4528"/>
        <n v="4530"/>
        <n v="4531"/>
        <n v="4533"/>
        <n v="4537"/>
        <n v="4538"/>
        <n v="4540"/>
        <n v="4541"/>
        <n v="4543"/>
        <n v="4544"/>
        <n v="4545"/>
        <n v="4547"/>
        <n v="4549"/>
        <n v="4550"/>
        <n v="4551"/>
        <n v="4553"/>
        <n v="4555"/>
        <n v="4556"/>
        <n v="4558"/>
        <n v="4559"/>
        <n v="4560"/>
        <n v="4563"/>
        <n v="4565"/>
        <n v="4566"/>
        <n v="4567"/>
        <n v="4568"/>
        <n v="4569"/>
        <n v="4571"/>
        <n v="4572"/>
        <n v="4573"/>
        <n v="4575"/>
        <n v="4576"/>
        <n v="4578"/>
        <n v="4579"/>
        <n v="4580"/>
        <n v="4581"/>
        <n v="4582"/>
        <n v="4583"/>
        <n v="4584"/>
        <n v="4585"/>
        <n v="4586"/>
        <n v="4588"/>
        <n v="4590"/>
        <n v="4591"/>
        <n v="4592"/>
        <n v="4593"/>
        <n v="4594"/>
        <n v="4595"/>
        <n v="4597"/>
        <n v="4599"/>
        <n v="4600"/>
        <n v="4601"/>
        <n v="4603"/>
        <n v="4604"/>
        <n v="4605"/>
        <n v="4606"/>
        <n v="4607"/>
        <n v="4608"/>
        <n v="4609"/>
        <n v="4610"/>
        <n v="4611"/>
        <n v="4613"/>
        <n v="4614"/>
        <n v="4615"/>
        <n v="4616"/>
        <n v="4617"/>
        <n v="4618"/>
        <n v="4620"/>
        <n v="4621"/>
        <n v="4623"/>
        <n v="4624"/>
        <n v="4626"/>
        <n v="4628"/>
        <n v="4629"/>
        <n v="4630"/>
        <n v="4631"/>
        <n v="4632"/>
        <n v="4633"/>
        <n v="4635"/>
        <n v="4637"/>
        <n v="4638"/>
        <n v="4640"/>
        <n v="4641"/>
        <n v="4643"/>
        <n v="4644"/>
        <n v="4645"/>
        <n v="4646"/>
        <n v="4647"/>
        <n v="4648"/>
        <n v="4649"/>
        <n v="4650"/>
        <n v="4651"/>
        <n v="4652"/>
        <n v="4654"/>
        <n v="4656"/>
        <n v="4657"/>
        <n v="4658"/>
        <n v="4659"/>
        <n v="4660"/>
        <n v="4664"/>
        <n v="4665"/>
        <n v="4667"/>
        <n v="4668"/>
        <n v="4670"/>
        <n v="4672"/>
        <n v="4673"/>
        <n v="4674"/>
        <n v="4676"/>
        <n v="4678"/>
        <n v="4679"/>
        <n v="4681"/>
        <n v="4682"/>
        <n v="4683"/>
        <n v="4684"/>
        <n v="4690"/>
        <n v="4691"/>
        <n v="4692"/>
        <n v="4693"/>
        <n v="4695"/>
        <n v="4696"/>
        <n v="4697"/>
        <n v="4698"/>
        <n v="4700"/>
        <n v="4701"/>
        <n v="4702"/>
        <n v="4703"/>
        <n v="4705"/>
        <n v="4707"/>
        <n v="4709"/>
        <n v="4710"/>
        <n v="4711"/>
        <n v="4712"/>
        <n v="4713"/>
        <n v="4714"/>
        <n v="4715"/>
        <n v="4716"/>
        <n v="4717"/>
        <n v="4718"/>
        <n v="4721"/>
        <n v="4722"/>
        <n v="4723"/>
        <n v="4724"/>
        <n v="4725"/>
        <n v="4727"/>
        <n v="4728"/>
        <n v="4729"/>
        <n v="4732"/>
        <n v="4734"/>
        <n v="4735"/>
        <n v="4736"/>
        <n v="4738"/>
        <n v="4740"/>
        <n v="4741"/>
        <n v="4742"/>
        <n v="4744"/>
        <n v="4745"/>
        <n v="4746"/>
        <n v="4747"/>
        <n v="4748"/>
        <n v="4749"/>
        <n v="4751"/>
        <n v="4753"/>
        <n v="4754"/>
        <n v="4756"/>
        <n v="4757"/>
        <n v="4758"/>
        <n v="4762"/>
        <n v="4763"/>
        <n v="4764"/>
        <n v="4765"/>
        <n v="4766"/>
        <n v="4767"/>
        <n v="4769"/>
        <n v="4771"/>
        <n v="4772"/>
        <n v="4773"/>
        <n v="4774"/>
        <n v="4775"/>
        <n v="4776"/>
        <n v="4777"/>
        <n v="4779"/>
        <n v="4781"/>
        <n v="4782"/>
        <n v="4783"/>
        <n v="4785"/>
        <n v="4789"/>
        <n v="4790"/>
        <n v="4791"/>
        <n v="4792"/>
        <n v="4793"/>
        <n v="4795"/>
        <n v="4796"/>
        <n v="4797"/>
        <n v="4798"/>
        <n v="4799"/>
        <n v="4800"/>
        <n v="4801"/>
        <n v="4802"/>
        <n v="4804"/>
        <n v="4805"/>
        <n v="4806"/>
        <n v="4807"/>
        <n v="4808"/>
        <n v="4809"/>
        <n v="4810"/>
        <n v="4812"/>
        <n v="4814"/>
        <n v="4815"/>
        <n v="4816"/>
        <n v="4817"/>
        <n v="4818"/>
        <n v="4819"/>
        <n v="4820"/>
        <n v="4825"/>
        <n v="4826"/>
        <n v="4829"/>
        <n v="4830"/>
        <n v="4831"/>
        <n v="4832"/>
        <n v="4834"/>
        <n v="4835"/>
        <n v="4836"/>
        <n v="4837"/>
        <n v="4838"/>
        <n v="4839"/>
        <n v="4840"/>
        <n v="4841"/>
        <n v="4843"/>
        <n v="4844"/>
        <n v="4845"/>
        <n v="4846"/>
        <n v="4847"/>
        <n v="4848"/>
        <n v="4850"/>
        <n v="4851"/>
        <n v="4852"/>
        <n v="4854"/>
        <n v="4857"/>
        <n v="4858"/>
        <n v="4859"/>
        <n v="4862"/>
        <n v="4863"/>
        <n v="4864"/>
        <n v="4865"/>
        <n v="4866"/>
        <n v="4867"/>
        <n v="4868"/>
        <n v="4869"/>
        <n v="4870"/>
        <n v="4872"/>
        <n v="4875"/>
        <n v="4876"/>
        <n v="4877"/>
        <n v="4879"/>
        <n v="4880"/>
        <n v="4882"/>
        <n v="4883"/>
        <n v="4884"/>
        <n v="4885"/>
        <n v="4887"/>
        <n v="4889"/>
        <n v="4890"/>
        <n v="4891"/>
        <n v="4892"/>
        <n v="4894"/>
        <n v="4895"/>
        <n v="4896"/>
        <n v="4897"/>
        <n v="4899"/>
        <n v="4900"/>
        <n v="4901"/>
        <n v="4902"/>
        <n v="4903"/>
        <n v="4904"/>
        <n v="4905"/>
        <n v="4906"/>
        <n v="4907"/>
        <n v="4909"/>
        <n v="4910"/>
        <n v="4912"/>
        <n v="4913"/>
        <n v="4914"/>
        <n v="4915"/>
        <n v="4916"/>
        <n v="4917"/>
        <n v="4918"/>
        <n v="4921"/>
        <n v="4922"/>
        <n v="4923"/>
        <n v="4924"/>
        <n v="4925"/>
        <n v="4926"/>
        <n v="4927"/>
        <n v="4928"/>
        <n v="4929"/>
        <n v="4931"/>
        <n v="4932"/>
        <n v="4934"/>
        <n v="4935"/>
        <n v="4936"/>
        <n v="4937"/>
        <n v="4938"/>
        <n v="4940"/>
        <n v="4941"/>
        <n v="4942"/>
        <n v="4944"/>
        <n v="4945"/>
        <n v="4947"/>
        <n v="4948"/>
        <n v="4949"/>
        <n v="4950"/>
        <n v="4952"/>
        <n v="4953"/>
        <n v="4954"/>
        <n v="4955"/>
        <n v="4956"/>
        <n v="4959"/>
        <n v="4960"/>
        <n v="4961"/>
        <n v="4962"/>
        <n v="4963"/>
        <n v="4964"/>
        <n v="4965"/>
        <n v="4966"/>
        <n v="4967"/>
        <n v="4969"/>
        <n v="4970"/>
        <n v="4971"/>
        <n v="4973"/>
        <n v="4974"/>
        <n v="4976"/>
        <n v="4977"/>
        <n v="4978"/>
        <n v="4979"/>
        <n v="4982"/>
        <n v="4983"/>
        <n v="4985"/>
        <n v="4986"/>
        <n v="4987"/>
        <n v="4988"/>
        <n v="4989"/>
        <n v="4990"/>
        <n v="4991"/>
        <n v="4993"/>
        <n v="4994"/>
        <n v="4995"/>
        <n v="4996"/>
        <n v="4997"/>
        <n v="4998"/>
        <n v="5000"/>
        <n v="5001"/>
        <n v="5002"/>
        <n v="5006"/>
        <n v="5007"/>
        <n v="5008"/>
        <n v="5009"/>
        <n v="5010"/>
        <n v="5011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5"/>
        <n v="5036"/>
        <n v="5038"/>
        <n v="5039"/>
        <n v="5040"/>
        <n v="5041"/>
        <n v="5043"/>
        <n v="5045"/>
        <n v="5046"/>
        <n v="5047"/>
        <n v="5048"/>
        <n v="5049"/>
        <n v="5051"/>
        <n v="5052"/>
        <n v="5054"/>
        <n v="5055"/>
        <n v="5056"/>
        <n v="5057"/>
        <n v="5059"/>
        <n v="5060"/>
        <n v="5061"/>
        <n v="5063"/>
        <n v="5064"/>
        <n v="5065"/>
        <n v="5066"/>
        <n v="5067"/>
        <n v="5068"/>
        <n v="5069"/>
        <n v="5070"/>
        <n v="5071"/>
        <n v="5072"/>
        <n v="5074"/>
        <n v="5075"/>
        <n v="5076"/>
        <n v="5077"/>
        <n v="5078"/>
        <n v="5080"/>
        <n v="5082"/>
        <n v="5083"/>
        <n v="5084"/>
        <n v="5085"/>
        <n v="5086"/>
        <n v="5087"/>
        <n v="5091"/>
        <n v="5092"/>
        <n v="5094"/>
        <n v="5095"/>
        <n v="5096"/>
        <n v="5097"/>
        <n v="5098"/>
        <n v="5099"/>
        <n v="5101"/>
        <n v="5103"/>
        <n v="5104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20"/>
        <n v="5121"/>
        <n v="5122"/>
        <n v="5123"/>
        <n v="5124"/>
        <n v="5126"/>
        <n v="5130"/>
        <n v="5131"/>
        <n v="5132"/>
        <n v="5133"/>
        <n v="5134"/>
        <n v="5135"/>
        <n v="5136"/>
        <n v="5137"/>
        <n v="5138"/>
        <n v="5140"/>
        <n v="5142"/>
        <n v="5143"/>
        <n v="5144"/>
        <n v="5145"/>
        <n v="5146"/>
        <n v="5148"/>
        <n v="5149"/>
        <n v="5150"/>
        <n v="5151"/>
        <n v="5153"/>
        <n v="5154"/>
        <n v="5155"/>
        <n v="5156"/>
        <n v="5157"/>
        <n v="5158"/>
        <n v="5159"/>
        <n v="5160"/>
        <n v="5161"/>
        <n v="5162"/>
        <n v="5163"/>
        <n v="5166"/>
        <n v="5167"/>
        <n v="5168"/>
        <n v="5169"/>
        <n v="5174"/>
        <n v="5175"/>
        <n v="5176"/>
        <n v="5177"/>
        <n v="5181"/>
        <n v="5182"/>
        <n v="5184"/>
        <n v="5185"/>
        <n v="5186"/>
        <n v="5187"/>
        <n v="5188"/>
        <n v="5189"/>
        <n v="5190"/>
        <n v="5192"/>
        <n v="5193"/>
        <n v="5194"/>
        <n v="5195"/>
        <n v="5196"/>
        <n v="5197"/>
        <n v="5198"/>
        <n v="5199"/>
        <n v="5200"/>
        <n v="5201"/>
        <n v="5202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9"/>
        <n v="5220"/>
        <n v="5221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9"/>
        <n v="5251"/>
        <n v="5253"/>
        <n v="5254"/>
        <n v="5255"/>
        <n v="5256"/>
        <n v="5257"/>
        <n v="5259"/>
        <n v="5260"/>
        <n v="5262"/>
        <n v="5263"/>
        <n v="5264"/>
        <n v="5265"/>
        <n v="5266"/>
        <n v="5267"/>
        <n v="5269"/>
        <n v="5273"/>
        <n v="5274"/>
        <n v="5275"/>
        <n v="5278"/>
        <n v="5281"/>
        <n v="5283"/>
        <n v="5284"/>
        <n v="5285"/>
        <n v="5286"/>
        <n v="5287"/>
        <n v="5289"/>
        <n v="5290"/>
        <n v="5291"/>
        <n v="5295"/>
        <n v="5296"/>
        <n v="5297"/>
        <n v="5298"/>
        <n v="5299"/>
        <n v="5300"/>
        <n v="5301"/>
        <n v="5302"/>
        <n v="5305"/>
        <n v="5306"/>
        <n v="5307"/>
        <n v="5308"/>
        <n v="5309"/>
        <n v="5310"/>
        <n v="5311"/>
        <n v="5312"/>
        <n v="5313"/>
        <n v="5315"/>
        <n v="5317"/>
        <n v="5319"/>
        <n v="5321"/>
        <n v="5322"/>
        <n v="5324"/>
        <n v="5325"/>
        <n v="5327"/>
        <n v="5329"/>
        <n v="5331"/>
        <n v="5332"/>
        <n v="5335"/>
        <n v="5337"/>
        <n v="5340"/>
        <n v="5341"/>
        <n v="5344"/>
        <n v="5345"/>
        <n v="5346"/>
        <n v="5347"/>
        <n v="5349"/>
        <n v="5350"/>
        <n v="5352"/>
        <n v="5353"/>
        <n v="5354"/>
        <n v="5355"/>
        <n v="5356"/>
        <n v="5357"/>
        <n v="5358"/>
        <n v="5359"/>
        <n v="5360"/>
        <n v="5361"/>
        <n v="5362"/>
        <n v="5364"/>
        <n v="5365"/>
        <n v="5366"/>
        <n v="5370"/>
        <n v="5371"/>
        <n v="5372"/>
        <n v="5373"/>
        <n v="5375"/>
        <n v="5376"/>
        <n v="5377"/>
        <n v="5378"/>
        <n v="5381"/>
        <n v="5382"/>
        <n v="5383"/>
        <n v="5384"/>
        <n v="5386"/>
        <n v="5388"/>
        <n v="5389"/>
        <n v="5390"/>
        <n v="5392"/>
        <n v="5393"/>
        <n v="5394"/>
        <n v="5395"/>
        <n v="5396"/>
        <n v="5397"/>
        <n v="5398"/>
        <n v="5399"/>
        <n v="5400"/>
        <n v="5401"/>
        <n v="5405"/>
        <n v="5406"/>
        <n v="5408"/>
        <n v="5409"/>
        <n v="5410"/>
        <n v="5411"/>
        <n v="5412"/>
        <n v="5414"/>
        <n v="5418"/>
        <n v="5420"/>
        <n v="5422"/>
        <n v="5424"/>
        <n v="5425"/>
        <n v="5426"/>
        <n v="5427"/>
        <n v="5428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51"/>
        <n v="5452"/>
        <n v="5453"/>
        <n v="5455"/>
        <n v="5456"/>
        <n v="5457"/>
        <n v="5458"/>
        <n v="5459"/>
        <n v="5461"/>
        <n v="5462"/>
        <n v="5463"/>
        <n v="5464"/>
        <n v="5466"/>
        <n v="5467"/>
        <n v="5470"/>
        <n v="5471"/>
        <n v="5472"/>
        <n v="5473"/>
        <n v="5474"/>
        <n v="5475"/>
        <n v="5476"/>
        <n v="5477"/>
        <n v="5478"/>
        <n v="5480"/>
        <n v="5481"/>
        <n v="5483"/>
        <n v="5484"/>
        <n v="5485"/>
        <n v="5489"/>
        <n v="5491"/>
        <n v="5492"/>
        <n v="5493"/>
        <n v="5494"/>
        <n v="5495"/>
        <n v="5496"/>
        <n v="5497"/>
        <n v="5499"/>
        <n v="5500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5"/>
        <n v="5526"/>
        <n v="5527"/>
        <n v="5528"/>
        <n v="5530"/>
        <n v="5531"/>
        <n v="5532"/>
        <n v="5533"/>
        <n v="5534"/>
        <n v="5537"/>
        <n v="5538"/>
        <n v="5539"/>
        <n v="5540"/>
        <n v="5541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8"/>
        <n v="5559"/>
        <n v="5560"/>
        <n v="5561"/>
        <n v="5562"/>
        <n v="5565"/>
        <n v="5566"/>
        <n v="5567"/>
        <n v="5568"/>
        <n v="5569"/>
        <n v="5570"/>
        <n v="5573"/>
        <n v="5574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4"/>
        <n v="5595"/>
        <n v="5597"/>
        <n v="5598"/>
        <n v="5599"/>
        <n v="5600"/>
        <n v="5601"/>
        <n v="5604"/>
        <n v="5605"/>
        <n v="5606"/>
        <n v="5608"/>
        <n v="5610"/>
        <n v="5611"/>
        <n v="5612"/>
        <n v="5613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3"/>
        <n v="5644"/>
        <n v="5645"/>
        <n v="5647"/>
        <n v="5648"/>
        <n v="5649"/>
        <n v="5650"/>
        <n v="5651"/>
        <n v="5653"/>
        <n v="5657"/>
        <n v="5660"/>
        <n v="5661"/>
        <n v="5662"/>
        <n v="5664"/>
        <n v="5665"/>
        <n v="5667"/>
        <n v="5668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90"/>
        <n v="5692"/>
        <n v="5694"/>
        <n v="5695"/>
        <n v="5698"/>
        <n v="5699"/>
        <n v="5700"/>
        <n v="5701"/>
        <n v="5702"/>
        <n v="5703"/>
        <n v="5704"/>
        <n v="5705"/>
        <n v="5707"/>
        <n v="5708"/>
        <n v="5709"/>
        <n v="5710"/>
        <n v="5712"/>
        <n v="5713"/>
        <n v="5714"/>
        <n v="5715"/>
        <n v="5716"/>
        <n v="5717"/>
        <n v="5718"/>
        <n v="5720"/>
        <n v="5721"/>
        <n v="5722"/>
        <n v="5723"/>
        <n v="5724"/>
        <n v="5725"/>
        <n v="5726"/>
        <n v="5727"/>
        <n v="5729"/>
        <n v="5731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6"/>
        <n v="5747"/>
        <n v="5748"/>
        <n v="5750"/>
        <n v="5751"/>
        <n v="5752"/>
        <n v="5753"/>
        <n v="5754"/>
        <n v="5755"/>
        <n v="5756"/>
        <n v="5759"/>
        <n v="5760"/>
        <n v="5761"/>
        <n v="5762"/>
        <n v="5765"/>
        <n v="5766"/>
        <n v="5767"/>
        <n v="5768"/>
        <n v="5769"/>
        <n v="5771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6"/>
        <n v="5787"/>
        <n v="5788"/>
        <n v="5789"/>
        <n v="5790"/>
        <n v="5791"/>
        <n v="5792"/>
        <n v="5793"/>
        <n v="5795"/>
        <n v="5797"/>
        <n v="5798"/>
        <n v="5799"/>
        <n v="5801"/>
        <n v="5802"/>
        <n v="5804"/>
        <n v="5806"/>
        <n v="5808"/>
        <n v="5809"/>
        <n v="5810"/>
        <n v="5811"/>
        <n v="5812"/>
        <n v="5813"/>
        <n v="5814"/>
        <n v="5816"/>
        <n v="5817"/>
        <n v="5819"/>
        <n v="5820"/>
        <n v="5821"/>
        <n v="5822"/>
        <n v="5823"/>
        <n v="5824"/>
        <n v="5825"/>
        <n v="5827"/>
        <n v="5828"/>
        <n v="5829"/>
        <n v="5830"/>
        <n v="5831"/>
        <n v="5832"/>
        <n v="5834"/>
        <n v="5835"/>
        <n v="5836"/>
        <n v="5837"/>
        <n v="5838"/>
        <n v="5839"/>
        <n v="5840"/>
        <n v="5841"/>
        <n v="5842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9"/>
        <n v="5900"/>
        <n v="5901"/>
        <n v="5902"/>
        <n v="5903"/>
        <n v="5904"/>
        <n v="5905"/>
        <n v="5906"/>
        <n v="5908"/>
        <n v="5909"/>
        <n v="5910"/>
        <n v="5911"/>
        <n v="5913"/>
        <n v="5914"/>
        <n v="5917"/>
        <n v="5918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4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50"/>
        <n v="5951"/>
        <n v="5952"/>
        <n v="5954"/>
        <n v="5955"/>
        <n v="5956"/>
        <n v="5957"/>
        <n v="5959"/>
        <n v="5960"/>
        <n v="5961"/>
        <n v="5962"/>
        <n v="5963"/>
        <n v="5964"/>
        <n v="5965"/>
        <n v="5966"/>
        <n v="5967"/>
        <n v="5969"/>
        <n v="5970"/>
        <n v="5971"/>
        <n v="5972"/>
        <n v="5974"/>
        <n v="5975"/>
        <n v="5976"/>
        <n v="5978"/>
        <n v="5979"/>
        <n v="5980"/>
        <n v="5981"/>
        <n v="5983"/>
        <n v="5984"/>
        <n v="5985"/>
        <n v="5987"/>
        <n v="5988"/>
        <n v="5989"/>
        <n v="5990"/>
        <n v="5991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10"/>
        <n v="6011"/>
        <n v="6012"/>
        <n v="6013"/>
        <n v="6014"/>
        <n v="6015"/>
        <n v="6016"/>
        <n v="6018"/>
        <n v="6019"/>
        <n v="6020"/>
        <n v="6022"/>
        <n v="6023"/>
        <n v="6024"/>
        <n v="6026"/>
        <n v="6027"/>
        <n v="6028"/>
        <n v="6029"/>
        <n v="6030"/>
        <n v="6031"/>
        <n v="6033"/>
        <n v="6034"/>
        <n v="6035"/>
        <n v="6036"/>
        <n v="6037"/>
        <n v="6038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4"/>
        <n v="6086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1"/>
        <n v="6103"/>
        <n v="6104"/>
        <n v="6105"/>
        <n v="6106"/>
        <n v="6107"/>
        <n v="6108"/>
        <n v="6109"/>
        <n v="6111"/>
        <n v="6112"/>
        <n v="6113"/>
        <n v="6114"/>
        <n v="6115"/>
        <n v="6116"/>
        <n v="6117"/>
        <n v="6118"/>
        <n v="6119"/>
        <n v="6120"/>
        <n v="6123"/>
        <n v="6126"/>
        <n v="6127"/>
        <n v="6128"/>
        <n v="6130"/>
        <n v="6132"/>
        <n v="6135"/>
        <n v="6137"/>
        <n v="6148"/>
        <n v="6150"/>
        <n v="6151"/>
        <n v="6152"/>
        <n v="6153"/>
        <n v="6154"/>
        <n v="6156"/>
        <n v="6157"/>
        <n v="6159"/>
        <n v="6160"/>
        <n v="6162"/>
        <n v="6163"/>
        <n v="6165"/>
        <n v="6166"/>
        <n v="6169"/>
        <n v="6170"/>
        <n v="6171"/>
        <n v="6173"/>
        <n v="6174"/>
        <n v="6175"/>
        <n v="6178"/>
        <n v="6179"/>
        <n v="6182"/>
        <n v="6183"/>
        <n v="6184"/>
        <n v="6185"/>
        <n v="6186"/>
        <n v="6187"/>
        <n v="6188"/>
        <n v="6190"/>
        <n v="6191"/>
        <n v="6193"/>
        <n v="6194"/>
        <n v="6195"/>
        <n v="6196"/>
        <n v="6198"/>
        <n v="6199"/>
        <n v="6200"/>
        <n v="6202"/>
        <n v="6203"/>
        <n v="6204"/>
        <n v="6207"/>
        <n v="6208"/>
        <n v="6209"/>
        <n v="6211"/>
        <n v="6212"/>
        <n v="6213"/>
        <n v="6215"/>
        <n v="6216"/>
        <n v="6217"/>
        <n v="6219"/>
        <n v="6220"/>
        <n v="6221"/>
        <n v="6222"/>
        <n v="6223"/>
        <n v="6225"/>
        <n v="6226"/>
        <n v="6227"/>
        <n v="6228"/>
        <n v="6231"/>
        <n v="6232"/>
        <n v="6234"/>
        <n v="6235"/>
        <n v="6236"/>
        <n v="6237"/>
        <n v="6239"/>
        <n v="6241"/>
        <n v="6242"/>
        <n v="6244"/>
        <n v="6245"/>
        <n v="6246"/>
        <n v="6248"/>
        <n v="6249"/>
        <n v="6250"/>
        <n v="6251"/>
        <n v="6252"/>
        <n v="6254"/>
        <n v="6255"/>
        <n v="6256"/>
        <n v="6257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4"/>
        <n v="6275"/>
        <n v="6276"/>
        <n v="6277"/>
        <n v="6278"/>
        <n v="6279"/>
        <n v="6281"/>
        <n v="6283"/>
        <n v="6284"/>
        <n v="6286"/>
        <n v="6288"/>
        <n v="6289"/>
        <n v="6290"/>
        <n v="6295"/>
        <n v="6296"/>
        <n v="6298"/>
        <n v="6300"/>
        <n v="6301"/>
        <n v="6305"/>
        <n v="6306"/>
        <n v="6307"/>
        <n v="6308"/>
        <n v="6309"/>
        <n v="6310"/>
        <n v="6311"/>
        <n v="6313"/>
        <n v="6314"/>
        <n v="6315"/>
        <n v="6316"/>
        <n v="6317"/>
        <n v="6318"/>
        <n v="6319"/>
        <n v="6320"/>
        <n v="6321"/>
        <n v="6323"/>
        <n v="6324"/>
        <n v="6325"/>
        <n v="6326"/>
        <n v="6327"/>
        <n v="6328"/>
        <n v="6331"/>
        <n v="6334"/>
        <n v="6335"/>
        <n v="6337"/>
        <n v="6338"/>
        <n v="6340"/>
        <n v="6341"/>
        <n v="6342"/>
        <n v="6343"/>
        <n v="6344"/>
        <n v="6346"/>
        <n v="6347"/>
        <n v="6348"/>
        <n v="6349"/>
        <n v="6350"/>
        <n v="6351"/>
        <n v="6354"/>
        <n v="6357"/>
        <n v="6358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9"/>
        <n v="6390"/>
        <n v="6391"/>
        <n v="6393"/>
        <n v="6394"/>
        <n v="6395"/>
        <n v="6396"/>
        <n v="6398"/>
        <n v="6399"/>
        <n v="6400"/>
        <n v="6401"/>
        <n v="6402"/>
        <n v="6403"/>
        <n v="6404"/>
        <n v="6405"/>
        <n v="6406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9"/>
        <n v="6440"/>
        <n v="6442"/>
        <n v="6443"/>
        <n v="6444"/>
        <n v="6445"/>
        <n v="6447"/>
        <n v="6448"/>
        <n v="6450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7"/>
        <n v="6478"/>
        <n v="6479"/>
        <n v="6480"/>
        <n v="6481"/>
        <n v="6482"/>
        <n v="6483"/>
        <n v="6484"/>
        <n v="6488"/>
        <n v="6489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5"/>
        <n v="6506"/>
        <n v="6507"/>
        <n v="6508"/>
        <n v="6509"/>
        <n v="6510"/>
        <n v="6511"/>
        <n v="6512"/>
        <n v="6513"/>
        <n v="6515"/>
        <n v="6516"/>
        <n v="6517"/>
        <n v="6518"/>
        <n v="6519"/>
        <n v="6520"/>
        <n v="6521"/>
        <n v="6522"/>
        <n v="6523"/>
        <n v="6525"/>
        <n v="6526"/>
        <n v="6527"/>
        <n v="6531"/>
        <n v="6532"/>
        <n v="6533"/>
        <n v="6534"/>
        <n v="6536"/>
        <n v="6537"/>
        <n v="6538"/>
        <n v="6539"/>
        <n v="6541"/>
        <n v="6542"/>
        <n v="6545"/>
        <n v="6546"/>
        <n v="6548"/>
        <n v="6549"/>
        <n v="6550"/>
        <n v="6551"/>
        <n v="6552"/>
        <n v="6553"/>
        <n v="6554"/>
        <n v="6555"/>
        <n v="6556"/>
        <n v="6557"/>
        <n v="6559"/>
        <n v="6560"/>
        <n v="6562"/>
        <n v="6563"/>
        <n v="6564"/>
        <n v="6565"/>
        <n v="6567"/>
        <n v="6568"/>
        <n v="6569"/>
        <n v="6570"/>
        <n v="6571"/>
        <n v="6572"/>
        <n v="6573"/>
        <n v="6574"/>
        <n v="6576"/>
        <n v="6577"/>
        <n v="6578"/>
        <n v="6579"/>
        <n v="6580"/>
        <n v="6582"/>
        <n v="6583"/>
        <n v="6584"/>
        <n v="6585"/>
        <n v="6586"/>
        <n v="6587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7"/>
        <n v="6608"/>
        <n v="6611"/>
        <n v="6612"/>
        <n v="6613"/>
        <n v="6614"/>
        <n v="6616"/>
        <n v="6618"/>
        <n v="6619"/>
        <n v="6620"/>
        <n v="6621"/>
        <n v="6622"/>
        <n v="6625"/>
        <n v="6626"/>
        <n v="6627"/>
        <n v="6628"/>
        <n v="6629"/>
        <n v="6630"/>
        <n v="6631"/>
        <n v="6632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7"/>
        <n v="6648"/>
        <n v="6649"/>
        <n v="6650"/>
        <n v="6651"/>
        <n v="6652"/>
        <n v="6655"/>
        <n v="6656"/>
        <n v="6658"/>
        <n v="6660"/>
        <n v="6661"/>
        <n v="6662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81"/>
        <n v="6682"/>
        <n v="6684"/>
        <n v="6685"/>
        <n v="6688"/>
        <n v="6689"/>
        <n v="6690"/>
        <n v="6691"/>
        <n v="6692"/>
        <n v="6693"/>
        <n v="6694"/>
        <n v="6695"/>
        <n v="6696"/>
        <n v="6697"/>
        <n v="6699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3"/>
        <n v="6735"/>
        <n v="6736"/>
        <n v="6738"/>
        <n v="6739"/>
        <n v="6740"/>
        <n v="6741"/>
        <n v="6742"/>
        <n v="6743"/>
        <n v="6744"/>
        <n v="6745"/>
        <n v="6747"/>
        <n v="6748"/>
        <n v="6749"/>
        <n v="6750"/>
        <n v="6751"/>
        <n v="6752"/>
        <n v="6755"/>
        <n v="6756"/>
        <n v="6757"/>
        <n v="6759"/>
        <n v="6760"/>
        <n v="6761"/>
        <n v="6762"/>
        <n v="6763"/>
        <n v="6764"/>
        <n v="6766"/>
        <n v="6767"/>
        <n v="6768"/>
        <n v="6769"/>
        <n v="6770"/>
        <n v="6772"/>
        <n v="6773"/>
        <n v="6775"/>
        <n v="6776"/>
        <n v="6777"/>
        <n v="6778"/>
        <n v="6779"/>
        <n v="6780"/>
        <n v="6781"/>
        <n v="6783"/>
        <n v="6784"/>
        <n v="6785"/>
        <n v="6787"/>
        <n v="6788"/>
        <n v="6789"/>
        <n v="6790"/>
        <n v="6792"/>
        <n v="6795"/>
        <n v="6796"/>
        <n v="6797"/>
        <n v="6798"/>
        <n v="6800"/>
        <n v="6801"/>
        <n v="6802"/>
        <n v="6803"/>
        <n v="6805"/>
        <n v="6806"/>
        <n v="6807"/>
        <n v="6808"/>
        <n v="6810"/>
        <n v="6811"/>
        <n v="6812"/>
        <n v="6813"/>
        <n v="6814"/>
        <n v="6815"/>
        <n v="6816"/>
        <n v="6817"/>
        <n v="6818"/>
        <n v="6819"/>
        <n v="6821"/>
        <n v="6822"/>
        <n v="6823"/>
        <n v="6826"/>
        <n v="6827"/>
        <n v="6828"/>
        <n v="6830"/>
        <n v="6831"/>
        <n v="6833"/>
        <n v="6834"/>
        <n v="6835"/>
        <n v="6836"/>
        <n v="6837"/>
        <n v="6839"/>
        <n v="6840"/>
        <n v="6841"/>
        <n v="6842"/>
        <n v="6844"/>
        <n v="6845"/>
        <n v="6846"/>
        <n v="6847"/>
        <n v="6848"/>
        <n v="6849"/>
        <n v="6851"/>
        <n v="6854"/>
        <n v="6855"/>
        <n v="6856"/>
        <n v="6857"/>
        <n v="6859"/>
        <n v="6860"/>
        <n v="6861"/>
        <n v="6862"/>
        <n v="6863"/>
        <n v="6864"/>
        <n v="6865"/>
        <n v="6866"/>
        <n v="6867"/>
        <n v="6868"/>
        <n v="6870"/>
        <n v="6872"/>
        <n v="6873"/>
        <n v="6874"/>
        <n v="6877"/>
        <n v="6878"/>
        <n v="6879"/>
        <n v="6880"/>
        <n v="6881"/>
        <n v="6882"/>
        <n v="6883"/>
        <n v="6884"/>
        <n v="6885"/>
        <n v="6886"/>
        <n v="6889"/>
        <n v="6890"/>
        <n v="6892"/>
        <n v="6893"/>
        <n v="6894"/>
        <n v="6895"/>
        <n v="6896"/>
        <n v="6897"/>
        <n v="6898"/>
        <n v="6899"/>
        <n v="6900"/>
        <n v="6902"/>
        <n v="6903"/>
        <n v="6904"/>
        <n v="6905"/>
        <n v="6907"/>
        <n v="6908"/>
        <n v="6909"/>
        <n v="6910"/>
        <n v="6911"/>
        <n v="6912"/>
        <n v="6913"/>
        <n v="6914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90"/>
        <n v="6991"/>
        <n v="6992"/>
        <n v="6995"/>
        <n v="6998"/>
        <n v="6999"/>
        <n v="7000"/>
        <n v="7005"/>
        <n v="7012"/>
        <n v="7014"/>
        <n v="7015"/>
        <n v="7018"/>
        <n v="7020"/>
        <n v="7022"/>
        <n v="7023"/>
        <n v="7024"/>
        <n v="7026"/>
        <n v="7028"/>
        <n v="7029"/>
        <n v="7030"/>
        <n v="7031"/>
        <n v="7033"/>
        <n v="7035"/>
        <n v="7038"/>
        <n v="7039"/>
        <n v="7041"/>
        <n v="7044"/>
        <n v="7045"/>
        <n v="7047"/>
        <n v="7048"/>
        <n v="7049"/>
        <n v="7051"/>
        <n v="7053"/>
        <n v="7058"/>
        <n v="7059"/>
        <n v="7061"/>
        <n v="7064"/>
        <n v="7067"/>
        <n v="7068"/>
        <n v="7071"/>
        <n v="7073"/>
        <n v="7076"/>
        <n v="7077"/>
        <n v="7078"/>
        <n v="7079"/>
        <n v="7080"/>
        <n v="7081"/>
        <n v="7085"/>
        <n v="7086"/>
        <n v="7087"/>
        <n v="7088"/>
        <n v="7089"/>
        <n v="7091"/>
        <n v="7092"/>
        <n v="7093"/>
        <n v="7096"/>
        <n v="7098"/>
        <n v="7100"/>
        <n v="7101"/>
        <n v="7103"/>
        <n v="7104"/>
        <n v="7105"/>
        <n v="7108"/>
        <n v="7109"/>
        <n v="7110"/>
        <n v="7111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6"/>
        <n v="7128"/>
        <n v="7130"/>
        <n v="7131"/>
        <n v="7134"/>
        <n v="7135"/>
        <n v="7136"/>
        <n v="7137"/>
        <n v="7138"/>
        <n v="7139"/>
        <n v="7140"/>
        <n v="7143"/>
        <n v="7145"/>
        <n v="7147"/>
        <n v="7148"/>
        <n v="7149"/>
        <n v="7152"/>
        <n v="7154"/>
        <n v="7155"/>
        <n v="7156"/>
        <n v="7157"/>
        <n v="7158"/>
        <n v="7160"/>
        <n v="7162"/>
        <n v="7163"/>
        <n v="7164"/>
        <n v="7167"/>
        <n v="7168"/>
        <n v="7169"/>
        <n v="7170"/>
        <n v="7171"/>
        <n v="7172"/>
        <n v="7173"/>
        <n v="7174"/>
        <n v="7175"/>
        <n v="7176"/>
        <n v="7177"/>
        <n v="7179"/>
        <n v="7180"/>
        <n v="7181"/>
        <n v="7183"/>
        <n v="7184"/>
        <n v="7186"/>
        <n v="7188"/>
        <n v="7189"/>
        <n v="7190"/>
        <n v="7191"/>
        <n v="7194"/>
        <n v="7195"/>
        <n v="7198"/>
        <n v="7199"/>
        <n v="7201"/>
        <n v="7202"/>
        <n v="7204"/>
        <n v="7205"/>
        <n v="7206"/>
        <n v="7207"/>
        <n v="7210"/>
        <n v="7211"/>
        <n v="7212"/>
        <n v="7213"/>
        <n v="7214"/>
        <n v="7215"/>
        <n v="7216"/>
        <n v="7217"/>
        <n v="7218"/>
        <n v="7219"/>
        <n v="7221"/>
        <n v="7222"/>
        <n v="7224"/>
        <n v="7225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40"/>
        <n v="7242"/>
        <n v="7243"/>
        <n v="7244"/>
        <n v="7245"/>
        <n v="7246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5"/>
        <n v="7266"/>
        <n v="7269"/>
        <n v="7271"/>
        <n v="7272"/>
        <n v="7274"/>
        <n v="7275"/>
        <n v="7276"/>
        <n v="7277"/>
        <n v="7278"/>
        <n v="7279"/>
        <n v="7280"/>
        <n v="7281"/>
        <n v="7283"/>
        <n v="7284"/>
        <n v="7286"/>
        <n v="7288"/>
        <n v="7289"/>
        <n v="7290"/>
        <n v="7291"/>
        <n v="7292"/>
        <n v="7293"/>
        <n v="7295"/>
        <n v="7296"/>
        <n v="7297"/>
        <n v="7299"/>
        <n v="7300"/>
        <n v="7301"/>
        <n v="7302"/>
        <n v="7303"/>
        <n v="7304"/>
        <n v="7305"/>
        <n v="7306"/>
        <n v="7307"/>
        <n v="7308"/>
        <n v="7310"/>
        <n v="7311"/>
        <n v="7314"/>
        <n v="7315"/>
        <n v="7316"/>
        <n v="7317"/>
        <n v="7318"/>
        <n v="7320"/>
        <n v="7321"/>
        <n v="7322"/>
        <n v="7323"/>
        <n v="7324"/>
        <n v="7325"/>
        <n v="7326"/>
        <n v="7328"/>
        <n v="7329"/>
        <n v="7330"/>
        <n v="7331"/>
        <n v="7332"/>
        <n v="7333"/>
        <n v="7334"/>
        <n v="7336"/>
        <n v="7338"/>
        <n v="7339"/>
        <n v="7340"/>
        <n v="7342"/>
        <n v="7343"/>
        <n v="7344"/>
        <n v="7346"/>
        <n v="7348"/>
        <n v="7349"/>
        <n v="7350"/>
        <n v="7352"/>
        <n v="7353"/>
        <n v="7355"/>
        <n v="7356"/>
        <n v="7357"/>
        <n v="7358"/>
        <n v="7359"/>
        <n v="7360"/>
        <n v="7361"/>
        <n v="7363"/>
        <n v="7364"/>
        <n v="7365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2"/>
        <n v="7384"/>
        <n v="7385"/>
        <n v="7387"/>
        <n v="7388"/>
        <n v="7389"/>
        <n v="7390"/>
        <n v="7391"/>
        <n v="7392"/>
        <n v="7393"/>
        <n v="7394"/>
        <n v="7395"/>
        <n v="7396"/>
        <n v="7398"/>
        <n v="7399"/>
        <n v="7400"/>
        <n v="7401"/>
        <n v="7403"/>
        <n v="7404"/>
        <n v="7405"/>
        <n v="7406"/>
        <n v="7407"/>
        <n v="7408"/>
        <n v="7409"/>
        <n v="7410"/>
        <n v="7411"/>
        <n v="7412"/>
        <n v="7413"/>
        <n v="7415"/>
        <n v="7416"/>
        <n v="7419"/>
        <n v="7421"/>
        <n v="7425"/>
        <n v="7426"/>
        <n v="7428"/>
        <n v="7430"/>
        <n v="7431"/>
        <n v="7433"/>
        <n v="7434"/>
        <n v="7435"/>
        <n v="7437"/>
        <n v="7438"/>
        <n v="7439"/>
        <n v="7440"/>
        <n v="7441"/>
        <n v="7442"/>
        <n v="7444"/>
        <n v="7445"/>
        <n v="7446"/>
        <n v="7447"/>
        <n v="7448"/>
        <n v="7449"/>
        <n v="7450"/>
        <n v="7451"/>
        <n v="7453"/>
        <n v="7455"/>
        <n v="7456"/>
        <n v="7457"/>
        <n v="7458"/>
        <n v="7459"/>
        <n v="7460"/>
        <n v="7461"/>
        <n v="7462"/>
        <n v="7464"/>
        <n v="7466"/>
        <n v="7468"/>
        <n v="7469"/>
        <n v="7470"/>
        <n v="7471"/>
        <n v="7472"/>
        <n v="7473"/>
        <n v="7475"/>
        <n v="7477"/>
        <n v="7478"/>
        <n v="7479"/>
        <n v="7480"/>
        <n v="7482"/>
        <n v="7483"/>
        <n v="7485"/>
        <n v="7486"/>
        <n v="7487"/>
        <n v="7489"/>
        <n v="7491"/>
        <n v="7492"/>
        <n v="7493"/>
        <n v="7494"/>
        <n v="7496"/>
        <n v="7497"/>
        <n v="7498"/>
        <n v="7501"/>
        <n v="7503"/>
        <n v="7504"/>
        <n v="7506"/>
        <n v="7507"/>
        <n v="7509"/>
        <n v="7510"/>
        <n v="7511"/>
        <n v="7513"/>
        <n v="7514"/>
        <n v="7515"/>
        <n v="7516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1"/>
        <n v="7532"/>
        <n v="7534"/>
        <n v="7535"/>
        <n v="7536"/>
        <n v="7537"/>
        <n v="7538"/>
        <n v="7539"/>
        <n v="7540"/>
        <n v="7541"/>
        <n v="7542"/>
        <n v="7543"/>
        <n v="7545"/>
        <n v="7546"/>
        <n v="7547"/>
        <n v="7548"/>
        <n v="7549"/>
        <n v="7550"/>
        <n v="7552"/>
        <n v="7553"/>
        <n v="7554"/>
        <n v="7556"/>
        <n v="7557"/>
        <n v="7558"/>
        <n v="7559"/>
        <n v="7560"/>
        <n v="7561"/>
        <n v="7562"/>
        <n v="7563"/>
        <n v="7564"/>
        <n v="7565"/>
        <n v="7567"/>
        <n v="7569"/>
        <n v="7572"/>
        <n v="7573"/>
        <n v="7574"/>
        <n v="7575"/>
        <n v="7576"/>
        <n v="7577"/>
        <n v="7579"/>
        <n v="7580"/>
        <n v="7581"/>
        <n v="7582"/>
        <n v="7583"/>
        <n v="7584"/>
        <n v="7585"/>
        <n v="7586"/>
        <n v="7588"/>
        <n v="7589"/>
        <n v="7590"/>
        <n v="7591"/>
        <n v="7592"/>
        <n v="7593"/>
        <n v="7594"/>
        <n v="7595"/>
        <n v="7596"/>
        <n v="7597"/>
        <n v="7599"/>
        <n v="7600"/>
        <n v="7601"/>
        <n v="7602"/>
        <n v="7604"/>
        <n v="7605"/>
        <n v="7607"/>
        <n v="7609"/>
        <n v="7611"/>
        <n v="7612"/>
        <n v="7613"/>
        <n v="7615"/>
        <n v="7616"/>
        <n v="7618"/>
        <n v="7619"/>
        <n v="7620"/>
        <n v="7621"/>
        <n v="7623"/>
        <n v="7624"/>
        <n v="7625"/>
        <n v="7626"/>
        <n v="7627"/>
        <n v="7628"/>
        <n v="7630"/>
        <n v="7631"/>
        <n v="7633"/>
        <n v="7634"/>
        <n v="7635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5"/>
        <n v="7657"/>
        <n v="7659"/>
        <n v="7660"/>
        <n v="7661"/>
        <n v="7662"/>
        <n v="7663"/>
        <n v="7664"/>
        <n v="7665"/>
        <n v="7668"/>
        <n v="7670"/>
        <n v="7671"/>
        <n v="7672"/>
        <n v="7673"/>
        <n v="7676"/>
        <n v="7677"/>
        <n v="7678"/>
        <n v="7679"/>
        <n v="7682"/>
        <n v="7683"/>
        <n v="7684"/>
        <n v="7685"/>
        <n v="7686"/>
        <n v="7688"/>
        <n v="7689"/>
        <n v="7690"/>
        <n v="7691"/>
        <n v="7692"/>
        <n v="7693"/>
        <n v="7694"/>
        <n v="7696"/>
        <n v="7697"/>
        <n v="7698"/>
        <n v="7700"/>
        <n v="7702"/>
        <n v="7703"/>
        <n v="7704"/>
        <n v="7705"/>
        <n v="7706"/>
        <n v="7707"/>
        <n v="7708"/>
        <n v="7709"/>
        <n v="7712"/>
        <n v="7713"/>
        <n v="7714"/>
        <n v="7715"/>
        <n v="7716"/>
        <n v="7717"/>
        <n v="7718"/>
        <n v="7720"/>
        <n v="7722"/>
        <n v="7723"/>
        <n v="7724"/>
        <n v="7725"/>
        <n v="7727"/>
        <n v="7728"/>
        <n v="7730"/>
        <n v="7731"/>
        <n v="7734"/>
        <n v="7735"/>
        <n v="7736"/>
        <n v="7738"/>
        <n v="7739"/>
        <n v="7740"/>
        <n v="7741"/>
        <n v="7742"/>
        <n v="7743"/>
        <n v="7745"/>
        <n v="7746"/>
        <n v="7748"/>
        <n v="7749"/>
        <n v="7750"/>
        <n v="7751"/>
        <n v="7754"/>
        <n v="7755"/>
        <n v="7756"/>
        <n v="7758"/>
        <n v="7759"/>
        <n v="7761"/>
        <n v="7762"/>
        <n v="7763"/>
        <n v="7764"/>
        <n v="7765"/>
        <n v="7766"/>
        <n v="7768"/>
        <n v="7769"/>
        <n v="7770"/>
        <n v="7772"/>
        <n v="7774"/>
        <n v="7775"/>
        <n v="7776"/>
        <n v="7777"/>
        <n v="7778"/>
        <n v="7779"/>
        <n v="7781"/>
        <n v="7783"/>
        <n v="7784"/>
        <n v="7785"/>
        <n v="7787"/>
        <n v="7790"/>
        <n v="7792"/>
        <n v="7793"/>
        <n v="7794"/>
        <n v="7795"/>
        <n v="7796"/>
        <n v="7797"/>
        <n v="7799"/>
        <n v="7800"/>
        <n v="7801"/>
        <n v="7802"/>
        <n v="7803"/>
        <n v="7804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9"/>
        <n v="7820"/>
        <n v="7821"/>
        <n v="7822"/>
        <n v="7825"/>
        <n v="7827"/>
        <n v="7828"/>
        <n v="7829"/>
        <n v="7831"/>
        <n v="7832"/>
        <n v="7834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9"/>
        <n v="7912"/>
        <n v="7913"/>
        <n v="7915"/>
        <n v="7916"/>
        <n v="7917"/>
        <n v="7919"/>
        <n v="7920"/>
        <n v="7921"/>
        <n v="7924"/>
        <n v="7925"/>
        <n v="7927"/>
        <n v="7929"/>
        <n v="7932"/>
        <n v="7933"/>
        <n v="7934"/>
        <n v="7936"/>
        <n v="7937"/>
        <n v="7939"/>
        <n v="7940"/>
        <n v="7941"/>
        <n v="7943"/>
        <n v="7945"/>
        <n v="7947"/>
        <n v="7948"/>
        <n v="7949"/>
        <n v="7950"/>
        <n v="7952"/>
        <n v="7954"/>
        <n v="7958"/>
        <n v="7959"/>
        <n v="7960"/>
        <n v="7961"/>
        <n v="7962"/>
        <n v="7963"/>
        <n v="7964"/>
        <n v="7968"/>
        <n v="7969"/>
        <n v="7971"/>
        <n v="7972"/>
        <n v="7973"/>
        <n v="7974"/>
        <n v="7976"/>
        <n v="7978"/>
        <n v="7979"/>
        <n v="7980"/>
        <n v="7983"/>
        <n v="7984"/>
        <n v="7985"/>
        <n v="7986"/>
        <n v="7988"/>
        <n v="7989"/>
        <n v="7990"/>
        <n v="7991"/>
        <n v="7992"/>
        <n v="7994"/>
        <n v="7996"/>
        <n v="7997"/>
        <n v="7999"/>
        <n v="8000"/>
        <n v="8001"/>
        <n v="8003"/>
        <n v="8004"/>
        <n v="8005"/>
        <n v="8007"/>
        <n v="8008"/>
        <n v="8010"/>
        <n v="8012"/>
        <n v="8014"/>
        <n v="8016"/>
        <n v="8017"/>
        <n v="8018"/>
        <n v="8020"/>
        <n v="8021"/>
        <n v="8022"/>
        <n v="8024"/>
        <n v="8025"/>
        <n v="8026"/>
        <n v="8028"/>
        <n v="8032"/>
        <n v="8033"/>
        <n v="8034"/>
        <n v="8036"/>
        <n v="8037"/>
        <n v="8038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2"/>
        <n v="8064"/>
        <n v="8066"/>
        <n v="8068"/>
        <n v="8069"/>
        <n v="8074"/>
        <n v="8075"/>
        <n v="8076"/>
        <n v="8078"/>
        <n v="8079"/>
        <n v="8081"/>
        <n v="8082"/>
        <n v="8083"/>
        <n v="8084"/>
        <n v="8085"/>
        <n v="8086"/>
        <n v="8088"/>
        <n v="8090"/>
        <n v="8091"/>
        <n v="8092"/>
        <n v="8093"/>
        <n v="8094"/>
        <n v="8095"/>
        <n v="8096"/>
        <n v="8097"/>
        <n v="8098"/>
        <n v="8099"/>
        <n v="8102"/>
        <n v="8105"/>
        <n v="8106"/>
        <n v="8109"/>
        <n v="8111"/>
        <n v="8112"/>
        <n v="8116"/>
        <n v="8118"/>
        <n v="8119"/>
        <n v="8120"/>
        <n v="8121"/>
        <n v="8122"/>
        <n v="8123"/>
        <n v="8124"/>
        <n v="8125"/>
        <n v="8127"/>
        <n v="8128"/>
        <n v="8129"/>
        <n v="8130"/>
        <n v="8131"/>
        <n v="8132"/>
        <n v="8133"/>
        <n v="8134"/>
        <n v="8135"/>
        <n v="8138"/>
        <n v="8140"/>
        <n v="8141"/>
        <n v="8143"/>
        <n v="8145"/>
        <n v="8147"/>
        <n v="8148"/>
        <n v="8151"/>
        <n v="8152"/>
        <n v="8153"/>
        <n v="8155"/>
        <n v="8156"/>
        <n v="8157"/>
        <n v="8159"/>
        <n v="8160"/>
        <n v="8161"/>
        <n v="8162"/>
        <n v="8163"/>
        <n v="8164"/>
        <n v="8165"/>
        <n v="8166"/>
        <n v="8167"/>
        <n v="8170"/>
        <n v="8176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1"/>
        <n v="8192"/>
        <n v="8194"/>
        <n v="8196"/>
        <n v="8197"/>
        <n v="8198"/>
        <n v="8199"/>
        <n v="8202"/>
        <n v="8204"/>
        <n v="8206"/>
        <n v="8208"/>
        <n v="8209"/>
        <n v="8210"/>
        <n v="8212"/>
        <n v="8213"/>
        <n v="8214"/>
        <n v="8215"/>
        <n v="8216"/>
        <n v="8218"/>
        <n v="8219"/>
        <n v="8220"/>
        <n v="8223"/>
        <n v="8224"/>
        <n v="8225"/>
        <n v="8228"/>
        <n v="8229"/>
        <n v="8230"/>
        <n v="8231"/>
        <n v="8232"/>
        <n v="8233"/>
        <n v="8234"/>
        <n v="8235"/>
        <n v="8237"/>
        <n v="8238"/>
        <n v="8239"/>
        <n v="8242"/>
        <n v="8244"/>
        <n v="8245"/>
        <n v="8246"/>
        <n v="8247"/>
        <n v="8250"/>
        <n v="8251"/>
        <n v="8253"/>
        <n v="8255"/>
        <n v="8257"/>
        <n v="8258"/>
        <n v="8259"/>
        <n v="8260"/>
        <n v="8262"/>
        <n v="8263"/>
        <n v="8264"/>
        <n v="8269"/>
        <n v="8270"/>
        <n v="8271"/>
        <n v="8272"/>
        <n v="8273"/>
        <n v="8275"/>
        <n v="8276"/>
        <n v="8277"/>
        <n v="8278"/>
        <n v="8280"/>
        <n v="8281"/>
        <n v="8284"/>
        <n v="8286"/>
        <n v="8287"/>
        <n v="8288"/>
        <n v="8289"/>
        <n v="8291"/>
        <n v="8293"/>
        <n v="8294"/>
        <n v="8295"/>
        <n v="8296"/>
        <n v="8297"/>
        <n v="8299"/>
        <n v="8300"/>
        <n v="8301"/>
        <n v="8302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5"/>
        <n v="8326"/>
        <n v="8327"/>
        <n v="8329"/>
        <n v="8330"/>
        <n v="8331"/>
        <n v="8332"/>
        <n v="8334"/>
        <n v="8335"/>
        <n v="8337"/>
        <n v="8338"/>
        <n v="8339"/>
        <n v="8341"/>
        <n v="8342"/>
        <n v="8343"/>
        <n v="8344"/>
        <n v="8345"/>
        <n v="8346"/>
        <n v="8347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7"/>
        <n v="8368"/>
        <n v="8370"/>
        <n v="8371"/>
        <n v="8372"/>
        <n v="8374"/>
        <n v="8375"/>
        <n v="8376"/>
        <n v="8378"/>
        <n v="8379"/>
        <n v="8380"/>
        <n v="8381"/>
        <n v="8382"/>
        <n v="8384"/>
        <n v="8385"/>
        <n v="8387"/>
        <n v="8388"/>
        <n v="8389"/>
        <n v="8390"/>
        <n v="8392"/>
        <n v="8393"/>
        <n v="8396"/>
        <n v="8398"/>
        <n v="8399"/>
        <n v="8400"/>
        <n v="8402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7"/>
        <n v="8428"/>
        <n v="8429"/>
        <n v="8430"/>
        <n v="8431"/>
        <n v="8432"/>
        <n v="8433"/>
        <n v="8435"/>
        <n v="8436"/>
        <n v="8437"/>
        <n v="8439"/>
        <n v="8440"/>
        <n v="8441"/>
        <n v="8442"/>
        <n v="8443"/>
        <n v="8444"/>
        <n v="8446"/>
        <n v="8448"/>
        <n v="8450"/>
        <n v="8451"/>
        <n v="8453"/>
        <n v="8454"/>
        <n v="8455"/>
        <n v="8456"/>
        <n v="8457"/>
        <n v="8459"/>
        <n v="8460"/>
        <n v="8461"/>
        <n v="8463"/>
        <n v="8464"/>
        <n v="8465"/>
        <n v="8466"/>
        <n v="8468"/>
        <n v="8469"/>
        <n v="8471"/>
        <n v="8472"/>
        <n v="8473"/>
        <n v="8474"/>
        <n v="8475"/>
        <n v="8476"/>
        <n v="8477"/>
        <n v="8479"/>
        <n v="8480"/>
        <n v="8481"/>
        <n v="8482"/>
        <n v="8483"/>
        <n v="8484"/>
        <n v="8485"/>
        <n v="8486"/>
        <n v="8487"/>
        <n v="8488"/>
        <n v="8490"/>
        <n v="8491"/>
        <n v="8492"/>
        <n v="8494"/>
        <n v="8495"/>
        <n v="8496"/>
        <n v="8497"/>
        <n v="8498"/>
        <n v="8502"/>
        <n v="8504"/>
        <n v="8506"/>
        <n v="8507"/>
        <n v="8508"/>
        <n v="8509"/>
        <n v="8510"/>
        <n v="8511"/>
        <n v="8513"/>
        <n v="8514"/>
        <n v="8515"/>
        <n v="8516"/>
        <n v="8517"/>
        <n v="8518"/>
        <n v="8519"/>
        <n v="8521"/>
        <n v="8522"/>
        <n v="8523"/>
        <n v="8524"/>
        <n v="8526"/>
        <n v="8527"/>
        <n v="8528"/>
        <n v="8530"/>
        <n v="8531"/>
        <n v="8532"/>
        <n v="8533"/>
        <n v="8534"/>
        <n v="8535"/>
        <n v="8536"/>
        <n v="8537"/>
        <n v="8538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5"/>
        <n v="8557"/>
        <n v="8558"/>
        <n v="8559"/>
        <n v="8560"/>
        <n v="8562"/>
        <n v="8563"/>
        <n v="8565"/>
        <n v="8566"/>
        <n v="8567"/>
        <n v="8568"/>
        <n v="8569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9"/>
        <n v="8591"/>
        <n v="8592"/>
        <n v="8593"/>
        <n v="8594"/>
        <n v="8595"/>
        <n v="8596"/>
        <n v="8597"/>
        <n v="8598"/>
        <n v="8600"/>
        <n v="8601"/>
        <n v="8603"/>
        <n v="8604"/>
        <n v="8606"/>
        <n v="8607"/>
        <n v="8609"/>
        <n v="8610"/>
        <n v="8611"/>
        <n v="8612"/>
        <n v="8615"/>
        <n v="8616"/>
        <n v="8618"/>
        <n v="8619"/>
        <n v="8620"/>
        <n v="8622"/>
        <n v="8623"/>
        <n v="8624"/>
        <n v="8625"/>
        <n v="8626"/>
        <n v="8627"/>
        <n v="8628"/>
        <n v="8629"/>
        <n v="8631"/>
        <n v="8633"/>
        <n v="8634"/>
        <n v="8635"/>
        <n v="8636"/>
        <n v="8637"/>
        <n v="8638"/>
        <n v="8639"/>
        <n v="8640"/>
        <n v="8641"/>
        <n v="8643"/>
        <n v="8645"/>
        <n v="8646"/>
        <n v="8647"/>
        <n v="8648"/>
        <n v="8649"/>
        <n v="8650"/>
        <n v="8652"/>
        <n v="8653"/>
        <n v="8654"/>
        <n v="8655"/>
        <n v="8656"/>
        <n v="8657"/>
        <n v="8658"/>
        <n v="8659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3"/>
        <n v="8694"/>
        <n v="8695"/>
        <n v="8696"/>
        <n v="8697"/>
        <n v="8698"/>
        <n v="8699"/>
        <n v="8700"/>
        <n v="8701"/>
        <n v="8702"/>
        <n v="8703"/>
        <n v="8705"/>
        <n v="8706"/>
        <n v="8707"/>
        <n v="8708"/>
        <n v="8709"/>
        <n v="8710"/>
        <n v="8711"/>
        <n v="8712"/>
        <n v="8713"/>
        <n v="8714"/>
        <n v="8715"/>
        <n v="8717"/>
        <n v="8718"/>
        <n v="8720"/>
        <n v="8721"/>
        <n v="8722"/>
        <n v="8723"/>
        <n v="8724"/>
        <n v="8725"/>
        <n v="8726"/>
        <n v="8730"/>
        <n v="8732"/>
        <n v="8733"/>
        <n v="8734"/>
        <n v="8735"/>
        <n v="8736"/>
        <n v="8737"/>
        <n v="8738"/>
        <n v="8739"/>
        <n v="8741"/>
        <n v="8742"/>
        <n v="8744"/>
        <n v="8745"/>
        <n v="8746"/>
        <n v="8747"/>
        <n v="8748"/>
        <n v="8749"/>
        <n v="8750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7"/>
        <n v="8768"/>
        <n v="8769"/>
        <n v="8770"/>
        <n v="8771"/>
        <n v="8772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4"/>
        <n v="8859"/>
        <n v="8860"/>
        <n v="8861"/>
        <n v="8862"/>
        <n v="8863"/>
        <n v="8864"/>
        <n v="8870"/>
        <n v="8871"/>
        <n v="8874"/>
        <n v="8876"/>
        <n v="8877"/>
        <n v="8878"/>
        <n v="8879"/>
        <n v="8880"/>
        <n v="8881"/>
        <n v="8882"/>
        <n v="8883"/>
        <n v="8884"/>
        <n v="8885"/>
        <n v="8888"/>
        <n v="8892"/>
        <n v="8893"/>
        <n v="8894"/>
        <n v="8895"/>
        <n v="8896"/>
        <n v="8897"/>
        <n v="8900"/>
        <n v="8901"/>
        <n v="8902"/>
        <n v="8903"/>
        <n v="8906"/>
        <n v="8907"/>
        <n v="8909"/>
        <n v="8910"/>
        <n v="8911"/>
        <n v="8914"/>
        <n v="8915"/>
        <n v="8917"/>
        <n v="8918"/>
        <n v="8919"/>
        <n v="8921"/>
        <n v="8922"/>
        <n v="8923"/>
        <n v="8925"/>
        <n v="8926"/>
        <n v="8927"/>
        <n v="8928"/>
        <n v="8930"/>
        <n v="8931"/>
        <n v="8932"/>
        <n v="8933"/>
        <n v="8934"/>
        <n v="8935"/>
        <n v="8936"/>
        <n v="8937"/>
        <n v="8938"/>
        <n v="8939"/>
        <n v="8940"/>
        <n v="8944"/>
        <n v="8947"/>
        <n v="8949"/>
        <n v="8950"/>
        <n v="8951"/>
        <n v="8952"/>
        <n v="8953"/>
        <n v="8956"/>
        <n v="8957"/>
        <n v="8959"/>
        <n v="8960"/>
        <n v="8961"/>
        <n v="8963"/>
        <n v="8964"/>
        <n v="8965"/>
        <n v="8966"/>
        <n v="8968"/>
        <n v="8969"/>
        <n v="8971"/>
        <n v="8972"/>
        <n v="8976"/>
        <n v="8979"/>
        <n v="8980"/>
        <n v="8982"/>
        <n v="8983"/>
        <n v="8984"/>
        <n v="8985"/>
        <n v="8986"/>
        <n v="8993"/>
        <n v="8995"/>
        <n v="8998"/>
        <n v="9000"/>
        <n v="9001"/>
        <n v="9002"/>
        <n v="9003"/>
        <n v="9004"/>
        <n v="9005"/>
        <n v="9011"/>
        <n v="9013"/>
        <n v="9014"/>
        <n v="9015"/>
        <n v="9016"/>
        <n v="9017"/>
        <n v="9020"/>
        <n v="9022"/>
        <n v="9023"/>
        <n v="9024"/>
        <n v="9026"/>
        <n v="9027"/>
        <n v="9028"/>
        <n v="9030"/>
        <n v="9032"/>
        <n v="9033"/>
        <n v="9036"/>
        <n v="9039"/>
        <n v="9041"/>
        <n v="9042"/>
        <n v="9043"/>
        <n v="9044"/>
        <n v="9045"/>
        <n v="9047"/>
        <n v="9052"/>
        <n v="9053"/>
        <n v="9055"/>
        <n v="9056"/>
        <n v="9057"/>
        <n v="9058"/>
        <n v="9059"/>
        <n v="9062"/>
        <n v="9063"/>
        <n v="9069"/>
        <n v="9072"/>
        <n v="9073"/>
        <n v="9076"/>
        <n v="9077"/>
        <n v="9078"/>
        <n v="9079"/>
        <n v="9081"/>
        <n v="9083"/>
        <n v="9084"/>
        <n v="9085"/>
        <n v="9087"/>
        <n v="9088"/>
        <n v="9089"/>
        <n v="9090"/>
        <n v="9092"/>
        <n v="9093"/>
        <n v="9095"/>
        <n v="9096"/>
        <n v="9097"/>
        <n v="9101"/>
        <n v="9102"/>
        <n v="9103"/>
        <n v="9105"/>
        <n v="9108"/>
        <n v="9113"/>
        <n v="9114"/>
        <n v="9115"/>
        <n v="9116"/>
        <n v="9117"/>
        <n v="9118"/>
        <n v="9125"/>
        <n v="9128"/>
        <n v="9129"/>
        <n v="9130"/>
        <n v="9133"/>
        <n v="9135"/>
        <n v="9137"/>
        <n v="9138"/>
        <n v="9141"/>
        <n v="9142"/>
        <n v="9143"/>
        <n v="9145"/>
        <n v="9146"/>
        <n v="9147"/>
        <n v="9148"/>
        <n v="9149"/>
        <n v="9152"/>
        <n v="9153"/>
        <n v="9154"/>
        <n v="9156"/>
        <n v="9157"/>
        <n v="9159"/>
        <n v="9160"/>
        <n v="9161"/>
        <n v="9162"/>
        <n v="9163"/>
        <n v="9164"/>
        <n v="9166"/>
        <n v="9168"/>
        <n v="9169"/>
        <n v="9171"/>
        <n v="9173"/>
        <n v="9174"/>
        <n v="9176"/>
        <n v="9177"/>
        <n v="9178"/>
        <n v="9179"/>
        <n v="9180"/>
        <n v="9181"/>
        <n v="9182"/>
        <n v="9183"/>
        <n v="9185"/>
        <n v="9187"/>
        <n v="9188"/>
        <n v="9190"/>
        <n v="9191"/>
        <n v="9192"/>
        <n v="9193"/>
        <n v="9194"/>
        <n v="9195"/>
        <n v="9197"/>
        <n v="9199"/>
        <n v="9200"/>
        <n v="9203"/>
        <n v="9204"/>
        <n v="9205"/>
        <n v="9207"/>
        <n v="9208"/>
        <n v="9209"/>
        <n v="9210"/>
        <n v="9212"/>
        <n v="9213"/>
        <n v="9214"/>
        <n v="9215"/>
        <n v="9216"/>
        <n v="9217"/>
        <n v="9220"/>
        <n v="9222"/>
        <n v="9223"/>
        <n v="9224"/>
        <n v="9225"/>
      </sharedItems>
    </cacheField>
    <cacheField name="date" numFmtId="164">
      <sharedItems containsSemiMixedTypes="0" containsNonDate="0" containsDate="1" containsString="0" minDate="1960-08-21T00:00:00" maxDate="2024-11-20T00:00:00" count="1856">
        <d v="1960-08-21T00:00:00"/>
        <d v="1960-08-28T00:00:00"/>
        <d v="1960-09-04T00:00:00"/>
        <d v="1960-09-10T00:00:00"/>
        <d v="1960-09-11T00:00:00"/>
        <d v="1960-09-25T00:00:00"/>
        <d v="1960-10-19T00:00:00"/>
        <d v="1960-11-03T00:00:00"/>
        <d v="1960-11-06T00:00:00"/>
        <d v="1960-11-20T00:00:00"/>
        <d v="1960-12-04T00:00:00"/>
        <d v="1960-12-17T00:00:00"/>
        <d v="1961-01-14T00:00:00"/>
        <d v="1961-01-22T00:00:00"/>
        <d v="1961-03-14T00:00:00"/>
        <d v="1961-03-19T00:00:00"/>
        <d v="1961-03-22T00:00:00"/>
        <d v="1961-04-02T00:00:00"/>
        <d v="1961-04-12T00:00:00"/>
        <d v="1961-04-30T00:00:00"/>
        <d v="1961-05-07T00:00:00"/>
        <d v="1961-05-20T00:00:00"/>
        <d v="1961-05-21T00:00:00"/>
        <d v="1961-05-28T00:00:00"/>
        <d v="1961-06-11T00:00:00"/>
        <d v="1961-07-15T00:00:00"/>
        <d v="1961-07-30T00:00:00"/>
        <d v="1961-09-28T00:00:00"/>
        <d v="1961-10-04T00:00:00"/>
        <d v="1961-10-08T00:00:00"/>
        <d v="1961-10-15T00:00:00"/>
        <d v="1961-10-22T00:00:00"/>
        <d v="1961-10-25T00:00:00"/>
        <d v="1961-10-29T00:00:00"/>
        <d v="1961-11-04T00:00:00"/>
        <d v="1961-11-05T00:00:00"/>
        <d v="1961-11-12T00:00:00"/>
        <d v="1961-11-23T00:00:00"/>
        <d v="1962-05-30T00:00:00"/>
        <d v="1962-05-31T00:00:00"/>
        <d v="1962-06-02T00:00:00"/>
        <d v="1962-06-03T00:00:00"/>
        <d v="1962-06-06T00:00:00"/>
        <d v="1962-06-07T00:00:00"/>
        <d v="1962-06-10T00:00:00"/>
        <d v="1962-06-13T00:00:00"/>
        <d v="1964-10-04T00:00:00"/>
        <d v="1964-11-04T00:00:00"/>
        <d v="1964-11-08T00:00:00"/>
        <d v="1964-11-11T00:00:00"/>
        <d v="1964-11-29T00:00:00"/>
        <d v="1965-02-07T00:00:00"/>
        <d v="1965-02-12T00:00:00"/>
        <d v="1965-02-21T00:00:00"/>
        <d v="1965-02-28T00:00:00"/>
        <d v="1965-03-04T00:00:00"/>
        <d v="1965-03-07T00:00:00"/>
        <d v="1965-03-12T00:00:00"/>
        <d v="1965-03-14T00:00:00"/>
        <d v="1965-03-17T00:00:00"/>
        <d v="1965-03-21T00:00:00"/>
        <d v="1965-04-25T00:00:00"/>
        <d v="1965-05-03T00:00:00"/>
        <d v="1965-05-07T00:00:00"/>
        <d v="1965-05-09T00:00:00"/>
        <d v="1965-05-11T00:00:00"/>
        <d v="1965-05-16T00:00:00"/>
        <d v="1965-05-22T00:00:00"/>
        <d v="1965-05-23T00:00:00"/>
        <d v="1965-05-27T00:00:00"/>
        <d v="1965-05-30T00:00:00"/>
        <d v="1965-06-02T00:00:00"/>
        <d v="1965-06-06T00:00:00"/>
        <d v="1965-06-13T00:00:00"/>
        <d v="1965-06-23T00:00:00"/>
        <d v="1965-07-20T00:00:00"/>
        <d v="1965-07-25T00:00:00"/>
        <d v="1965-08-01T00:00:00"/>
        <d v="1965-08-07T00:00:00"/>
        <d v="1965-08-08T00:00:00"/>
        <d v="1965-08-15T00:00:00"/>
        <d v="1965-08-17T00:00:00"/>
        <d v="1965-08-22T00:00:00"/>
        <d v="1965-08-29T00:00:00"/>
        <d v="1965-09-15T00:00:00"/>
        <d v="1965-09-26T00:00:00"/>
        <d v="1965-10-12T00:00:00"/>
        <d v="1965-10-17T00:00:00"/>
        <d v="1965-10-27T00:00:00"/>
        <d v="1965-11-06T00:00:00"/>
        <d v="1965-11-10T00:00:00"/>
        <d v="1965-11-14T00:00:00"/>
        <d v="1966-07-11T00:00:00"/>
        <d v="1966-07-12T00:00:00"/>
        <d v="1966-07-13T00:00:00"/>
        <d v="1966-07-15T00:00:00"/>
        <d v="1966-07-16T00:00:00"/>
        <d v="1966-07-19T00:00:00"/>
        <d v="1966-07-20T00:00:00"/>
        <d v="1966-07-23T00:00:00"/>
        <d v="1966-07-26T00:00:00"/>
        <d v="1966-07-30T00:00:00"/>
        <d v="1968-06-19T00:00:00"/>
        <d v="1968-09-04T00:00:00"/>
        <d v="1968-10-06T00:00:00"/>
        <d v="1968-10-09T00:00:00"/>
        <d v="1968-10-12T00:00:00"/>
        <d v="1968-10-13T00:00:00"/>
        <d v="1968-10-20T00:00:00"/>
        <d v="1968-10-26T00:00:00"/>
        <d v="1968-10-27T00:00:00"/>
        <d v="1968-11-02T00:00:00"/>
        <d v="1968-11-03T00:00:00"/>
        <d v="1968-11-06T00:00:00"/>
        <d v="1968-11-08T00:00:00"/>
        <d v="1968-11-11T00:00:00"/>
        <d v="1968-11-17T00:00:00"/>
        <d v="1968-11-20T00:00:00"/>
        <d v="1968-11-23T00:00:00"/>
        <d v="1968-11-25T00:00:00"/>
        <d v="1968-11-27T00:00:00"/>
        <d v="1968-12-01T00:00:00"/>
        <d v="1968-12-05T00:00:00"/>
        <d v="1968-12-07T00:00:00"/>
        <d v="1968-12-08T00:00:00"/>
        <d v="1968-12-11T00:00:00"/>
        <d v="1968-12-22T00:00:00"/>
        <d v="1968-12-29T00:00:00"/>
        <d v="1969-01-05T00:00:00"/>
        <d v="1969-01-26T00:00:00"/>
        <d v="1969-02-09T00:00:00"/>
        <d v="1969-02-13T00:00:00"/>
        <d v="1969-02-23T00:00:00"/>
        <d v="1969-03-26T00:00:00"/>
        <d v="1969-04-16T00:00:00"/>
        <d v="1969-04-20T00:00:00"/>
        <d v="1969-04-27T00:00:00"/>
        <d v="1969-05-04T00:00:00"/>
        <d v="1969-05-10T00:00:00"/>
        <d v="1969-05-11T00:00:00"/>
        <d v="1969-05-18T00:00:00"/>
        <d v="1969-06-08T00:00:00"/>
        <d v="1969-06-13T00:00:00"/>
        <d v="1969-06-15T00:00:00"/>
        <d v="1969-06-19T00:00:00"/>
        <d v="1969-06-25T00:00:00"/>
        <d v="1969-06-27T00:00:00"/>
        <d v="1969-07-06T00:00:00"/>
        <d v="1969-07-13T00:00:00"/>
        <d v="1969-07-20T00:00:00"/>
        <d v="1969-07-27T00:00:00"/>
        <d v="1969-08-02T00:00:00"/>
        <d v="1969-08-03T00:00:00"/>
        <d v="1969-08-06T00:00:00"/>
        <d v="1969-08-10T00:00:00"/>
        <d v="1969-08-17T00:00:00"/>
        <d v="1969-08-21T00:00:00"/>
        <d v="1969-08-24T00:00:00"/>
        <d v="1969-08-31T00:00:00"/>
        <d v="1969-09-10T00:00:00"/>
        <d v="1969-09-13T00:00:00"/>
        <d v="1969-09-21T00:00:00"/>
        <d v="1969-09-28T00:00:00"/>
        <d v="1969-10-01T00:00:00"/>
        <d v="1969-10-03T00:00:00"/>
        <d v="1969-10-08T00:00:00"/>
        <d v="1969-10-10T00:00:00"/>
        <d v="1969-10-12T00:00:00"/>
        <d v="1969-10-14T00:00:00"/>
        <d v="1969-10-15T00:00:00"/>
        <d v="1969-10-16T00:00:00"/>
        <d v="1969-10-18T00:00:00"/>
        <d v="1969-10-20T00:00:00"/>
        <d v="1969-10-22T00:00:00"/>
        <d v="1969-10-26T00:00:00"/>
        <d v="1969-11-01T00:00:00"/>
        <d v="1969-11-02T00:00:00"/>
        <d v="1969-11-08T00:00:00"/>
        <d v="1969-11-23T00:00:00"/>
        <d v="1969-11-27T00:00:00"/>
        <d v="1969-11-29T00:00:00"/>
        <d v="1969-12-04T00:00:00"/>
        <d v="1969-12-14T00:00:00"/>
        <d v="1970-06-02T00:00:00"/>
        <d v="1970-06-03T00:00:00"/>
        <d v="1970-06-06T00:00:00"/>
        <d v="1970-06-07T00:00:00"/>
        <d v="1970-06-10T00:00:00"/>
        <d v="1970-06-11T00:00:00"/>
        <d v="1970-06-14T00:00:00"/>
        <d v="1970-06-17T00:00:00"/>
        <d v="1970-06-20T00:00:00"/>
        <d v="1970-06-21T00:00:00"/>
        <d v="1971-11-14T00:00:00"/>
        <d v="1972-03-02T00:00:00"/>
        <d v="1972-03-12T00:00:00"/>
        <d v="1972-04-30T00:00:00"/>
        <d v="1972-05-06T00:00:00"/>
        <d v="1972-05-18T00:00:00"/>
        <d v="1972-05-22T00:00:00"/>
        <d v="1972-05-25T00:00:00"/>
        <d v="1972-06-04T00:00:00"/>
        <d v="1972-06-10T00:00:00"/>
        <d v="1972-06-18T00:00:00"/>
        <d v="1972-07-02T00:00:00"/>
        <d v="1972-07-16T00:00:00"/>
        <d v="1972-07-23T00:00:00"/>
        <d v="1972-08-03T00:00:00"/>
        <d v="1972-10-04T00:00:00"/>
        <d v="1972-10-07T00:00:00"/>
        <d v="1972-10-15T00:00:00"/>
        <d v="1972-10-21T00:00:00"/>
        <d v="1972-11-01T00:00:00"/>
        <d v="1972-11-19T00:00:00"/>
        <d v="1972-11-25T00:00:00"/>
        <d v="1972-12-03T00:00:00"/>
        <d v="1972-12-08T00:00:00"/>
        <d v="1972-12-10T00:00:00"/>
        <d v="1972-12-17T00:00:00"/>
        <d v="1973-01-17T00:00:00"/>
        <d v="1973-02-10T00:00:00"/>
        <d v="1973-02-11T00:00:00"/>
        <d v="1973-02-21T00:00:00"/>
        <d v="1973-02-25T00:00:00"/>
        <d v="1973-03-04T00:00:00"/>
        <d v="1973-03-11T00:00:00"/>
        <d v="1973-03-13T00:00:00"/>
        <d v="1973-03-16T00:00:00"/>
        <d v="1973-03-18T00:00:00"/>
        <d v="1973-03-21T00:00:00"/>
        <d v="1973-03-24T00:00:00"/>
        <d v="1973-03-31T00:00:00"/>
        <d v="1973-04-01T00:00:00"/>
        <d v="1973-04-08T00:00:00"/>
        <d v="1973-04-15T00:00:00"/>
        <d v="1973-04-29T00:00:00"/>
        <d v="1973-05-04T00:00:00"/>
        <d v="1973-05-06T00:00:00"/>
        <d v="1973-05-08T00:00:00"/>
        <d v="1973-05-11T00:00:00"/>
        <d v="1973-05-13T00:00:00"/>
        <d v="1973-05-15T00:00:00"/>
        <d v="1973-05-16T00:00:00"/>
        <d v="1973-05-19T00:00:00"/>
        <d v="1973-05-21T00:00:00"/>
        <d v="1973-05-23T00:00:00"/>
        <d v="1973-05-26T00:00:00"/>
        <d v="1973-05-28T00:00:00"/>
        <d v="1973-06-13T00:00:00"/>
        <d v="1973-06-21T00:00:00"/>
        <d v="1973-06-24T00:00:00"/>
        <d v="1973-06-28T00:00:00"/>
        <d v="1973-07-01T00:00:00"/>
        <d v="1973-07-05T00:00:00"/>
        <d v="1973-07-08T00:00:00"/>
        <d v="1973-08-02T00:00:00"/>
        <d v="1973-08-05T00:00:00"/>
        <d v="1973-08-12T00:00:00"/>
        <d v="1973-08-18T00:00:00"/>
        <d v="1973-08-19T00:00:00"/>
        <d v="1973-08-22T00:00:00"/>
        <d v="1973-08-24T00:00:00"/>
        <d v="1973-08-29T00:00:00"/>
        <d v="1973-09-02T00:00:00"/>
        <d v="1973-09-09T00:00:00"/>
        <d v="1973-09-12T00:00:00"/>
        <d v="1973-09-16T00:00:00"/>
        <d v="1973-09-23T00:00:00"/>
        <d v="1973-09-26T00:00:00"/>
        <d v="1973-09-30T00:00:00"/>
        <d v="1973-10-07T00:00:00"/>
        <d v="1973-10-20T00:00:00"/>
        <d v="1973-10-21T00:00:00"/>
        <d v="1973-10-28T00:00:00"/>
        <d v="1973-10-31T00:00:00"/>
        <d v="1973-11-10T00:00:00"/>
        <d v="1973-11-11T00:00:00"/>
        <d v="1973-11-13T00:00:00"/>
        <d v="1973-11-18T00:00:00"/>
        <d v="1973-11-25T00:00:00"/>
        <d v="1973-11-27T00:00:00"/>
        <d v="1974-06-14T00:00:00"/>
        <d v="1974-06-15T00:00:00"/>
        <d v="1974-06-18T00:00:00"/>
        <d v="1974-06-19T00:00:00"/>
        <d v="1974-06-22T00:00:00"/>
        <d v="1974-06-23T00:00:00"/>
        <d v="1974-06-26T00:00:00"/>
        <d v="1974-06-30T00:00:00"/>
        <d v="1974-07-03T00:00:00"/>
        <d v="1974-07-07T00:00:00"/>
        <d v="1976-03-07T00:00:00"/>
        <d v="1976-03-13T00:00:00"/>
        <d v="1976-03-21T00:00:00"/>
        <d v="1976-03-28T00:00:00"/>
        <d v="1976-04-01T00:00:00"/>
        <d v="1976-04-16T00:00:00"/>
        <d v="1976-05-23T00:00:00"/>
        <d v="1976-06-13T00:00:00"/>
        <d v="1976-06-16T00:00:00"/>
        <d v="1976-09-05T00:00:00"/>
        <d v="1976-09-08T00:00:00"/>
        <d v="1976-09-22T00:00:00"/>
        <d v="1976-10-09T00:00:00"/>
        <d v="1976-10-10T00:00:00"/>
        <d v="1976-10-13T00:00:00"/>
        <d v="1976-10-16T00:00:00"/>
        <d v="1976-10-17T00:00:00"/>
        <d v="1976-10-27T00:00:00"/>
        <d v="1976-10-29T00:00:00"/>
        <d v="1976-10-30T00:00:00"/>
        <d v="1976-10-31T00:00:00"/>
        <d v="1976-11-12T00:00:00"/>
        <d v="1976-11-14T00:00:00"/>
        <d v="1976-11-17T00:00:00"/>
        <d v="1976-11-26T00:00:00"/>
        <d v="1976-12-05T00:00:00"/>
        <d v="1976-12-12T00:00:00"/>
        <d v="1977-01-07T00:00:00"/>
        <d v="1977-01-09T00:00:00"/>
        <d v="1977-01-16T00:00:00"/>
        <d v="1977-01-28T00:00:00"/>
        <d v="1977-02-06T00:00:00"/>
        <d v="1977-02-09T00:00:00"/>
        <d v="1977-02-13T00:00:00"/>
        <d v="1977-02-20T00:00:00"/>
        <d v="1977-02-24T00:00:00"/>
        <d v="1977-02-27T00:00:00"/>
        <d v="1977-02-28T00:00:00"/>
        <d v="1977-03-01T00:00:00"/>
        <d v="1977-03-03T00:00:00"/>
        <d v="1977-03-06T00:00:00"/>
        <d v="1977-03-07T00:00:00"/>
        <d v="1977-03-09T00:00:00"/>
        <d v="1977-03-10T00:00:00"/>
        <d v="1977-03-11T00:00:00"/>
        <d v="1977-03-12T00:00:00"/>
        <d v="1977-03-13T00:00:00"/>
        <d v="1977-03-15T00:00:00"/>
        <d v="1977-03-17T00:00:00"/>
        <d v="1977-03-19T00:00:00"/>
        <d v="1977-03-20T00:00:00"/>
        <d v="1977-03-21T00:00:00"/>
        <d v="1977-03-26T00:00:00"/>
        <d v="1977-03-27T00:00:00"/>
        <d v="1977-03-30T00:00:00"/>
        <d v="1977-04-03T00:00:00"/>
        <d v="1977-04-22T00:00:00"/>
        <d v="1977-04-30T00:00:00"/>
        <d v="1977-05-26T00:00:00"/>
        <d v="1977-05-28T00:00:00"/>
        <d v="1977-06-05T00:00:00"/>
        <d v="1977-06-08T00:00:00"/>
        <d v="1977-06-19T00:00:00"/>
        <d v="1977-07-03T00:00:00"/>
        <d v="1977-07-10T00:00:00"/>
        <d v="1977-07-14T00:00:00"/>
        <d v="1977-07-15T00:00:00"/>
        <d v="1977-07-17T00:00:00"/>
        <d v="1977-07-31T00:00:00"/>
        <d v="1977-08-14T00:00:00"/>
        <d v="1977-08-27T00:00:00"/>
        <d v="1977-08-31T00:00:00"/>
        <d v="1977-09-03T00:00:00"/>
        <d v="1977-09-07T00:00:00"/>
        <d v="1977-09-25T00:00:00"/>
        <d v="1977-10-08T00:00:00"/>
        <d v="1977-10-09T00:00:00"/>
        <d v="1977-10-12T00:00:00"/>
        <d v="1977-10-15T00:00:00"/>
        <d v="1977-10-16T00:00:00"/>
        <d v="1977-10-21T00:00:00"/>
        <d v="1977-10-23T00:00:00"/>
        <d v="1977-10-26T00:00:00"/>
        <d v="1977-10-28T00:00:00"/>
        <d v="1977-10-29T00:00:00"/>
        <d v="1977-10-30T00:00:00"/>
        <d v="1977-11-05T00:00:00"/>
        <d v="1977-11-11T00:00:00"/>
        <d v="1977-11-12T00:00:00"/>
        <d v="1977-11-16T00:00:00"/>
        <d v="1977-11-19T00:00:00"/>
        <d v="1977-11-25T00:00:00"/>
        <d v="1977-11-30T00:00:00"/>
        <d v="1977-12-03T00:00:00"/>
        <d v="1977-12-11T00:00:00"/>
        <d v="1978-06-02T00:00:00"/>
        <d v="1978-06-03T00:00:00"/>
        <d v="1978-06-06T00:00:00"/>
        <d v="1978-06-07T00:00:00"/>
        <d v="1978-06-10T00:00:00"/>
        <d v="1978-06-11T00:00:00"/>
        <d v="1978-06-14T00:00:00"/>
        <d v="1978-06-18T00:00:00"/>
        <d v="1978-06-21T00:00:00"/>
        <d v="1978-06-24T00:00:00"/>
        <d v="1978-06-25T00:00:00"/>
        <d v="1980-05-18T00:00:00"/>
        <d v="1980-05-31T00:00:00"/>
        <d v="1980-06-01T00:00:00"/>
        <d v="1980-06-04T00:00:00"/>
        <d v="1980-06-13T00:00:00"/>
        <d v="1980-06-18T00:00:00"/>
        <d v="1980-06-22T00:00:00"/>
        <d v="1980-06-29T00:00:00"/>
        <d v="1980-07-05T00:00:00"/>
        <d v="1980-07-06T00:00:00"/>
        <d v="1980-07-12T00:00:00"/>
        <d v="1980-07-19T00:00:00"/>
        <d v="1980-07-20T00:00:00"/>
        <d v="1980-09-03T00:00:00"/>
        <d v="1980-09-10T00:00:00"/>
        <d v="1980-09-24T00:00:00"/>
        <d v="1980-10-11T00:00:00"/>
        <d v="1980-10-12T00:00:00"/>
        <d v="1980-10-15T00:00:00"/>
        <d v="1980-10-19T00:00:00"/>
        <d v="1980-10-29T00:00:00"/>
        <d v="1980-11-01T00:00:00"/>
        <d v="1980-11-12T00:00:00"/>
        <d v="1980-11-15T00:00:00"/>
        <d v="1980-11-16T00:00:00"/>
        <d v="1980-11-19T00:00:00"/>
        <d v="1980-11-30T00:00:00"/>
        <d v="1980-12-03T00:00:00"/>
        <d v="1980-12-06T00:00:00"/>
        <d v="1980-12-07T00:00:00"/>
        <d v="1980-12-12T00:00:00"/>
        <d v="1980-12-14T00:00:00"/>
        <d v="1980-12-17T00:00:00"/>
        <d v="1980-12-20T00:00:00"/>
        <d v="1980-12-21T00:00:00"/>
        <d v="1980-12-22T00:00:00"/>
        <d v="1980-12-28T00:00:00"/>
        <d v="1981-01-28T00:00:00"/>
        <d v="1981-02-08T00:00:00"/>
        <d v="1981-02-15T00:00:00"/>
        <d v="1981-02-18T00:00:00"/>
        <d v="1981-02-22T00:00:00"/>
        <d v="1981-03-11T00:00:00"/>
        <d v="1981-03-15T00:00:00"/>
        <d v="1981-03-18T00:00:00"/>
        <d v="1981-03-19T00:00:00"/>
        <d v="1981-03-21T00:00:00"/>
        <d v="1981-03-22T00:00:00"/>
        <d v="1981-03-24T00:00:00"/>
        <d v="1981-03-25T00:00:00"/>
        <d v="1981-03-27T00:00:00"/>
        <d v="1981-03-28T00:00:00"/>
        <d v="1981-03-29T00:00:00"/>
        <d v="1981-03-30T00:00:00"/>
        <d v="1981-03-31T00:00:00"/>
        <d v="1981-04-01T00:00:00"/>
        <d v="1981-04-12T00:00:00"/>
        <d v="1981-04-15T00:00:00"/>
        <d v="1981-04-21T00:00:00"/>
        <d v="1981-04-22T00:00:00"/>
        <d v="1981-04-24T00:00:00"/>
        <d v="1981-04-25T00:00:00"/>
        <d v="1981-04-26T00:00:00"/>
        <d v="1981-04-27T00:00:00"/>
        <d v="1981-04-28T00:00:00"/>
        <d v="1981-04-29T00:00:00"/>
        <d v="1981-05-01T00:00:00"/>
        <d v="1981-05-03T00:00:00"/>
        <d v="1981-05-08T00:00:00"/>
        <d v="1981-05-11T00:00:00"/>
        <d v="1981-05-13T00:00:00"/>
        <d v="1981-05-16T00:00:00"/>
        <d v="1981-05-17T00:00:00"/>
        <d v="1981-05-20T00:00:00"/>
        <d v="1981-05-23T00:00:00"/>
        <d v="1981-05-24T00:00:00"/>
        <d v="1981-05-28T00:00:00"/>
        <d v="1981-05-30T00:00:00"/>
        <d v="1981-05-31T00:00:00"/>
        <d v="1981-06-03T00:00:00"/>
        <d v="1981-06-06T00:00:00"/>
        <d v="1981-06-07T00:00:00"/>
        <d v="1981-06-14T00:00:00"/>
        <d v="1981-06-17T00:00:00"/>
        <d v="1981-06-21T00:00:00"/>
        <d v="1981-06-24T00:00:00"/>
        <d v="1981-07-26T00:00:00"/>
        <d v="1981-08-09T00:00:00"/>
        <d v="1981-08-10T00:00:00"/>
        <d v="1981-08-14T00:00:00"/>
        <d v="1981-08-16T00:00:00"/>
        <d v="1981-08-23T00:00:00"/>
        <d v="1981-08-30T00:00:00"/>
        <d v="1981-09-02T00:00:00"/>
        <d v="1981-09-06T00:00:00"/>
        <d v="1981-09-09T00:00:00"/>
        <d v="1981-09-13T00:00:00"/>
        <d v="1981-09-23T00:00:00"/>
        <d v="1981-10-10T00:00:00"/>
        <d v="1981-10-14T00:00:00"/>
        <d v="1981-10-28T00:00:00"/>
        <d v="1981-10-30T00:00:00"/>
        <d v="1981-10-31T00:00:00"/>
        <d v="1981-11-04T00:00:00"/>
        <d v="1981-11-11T00:00:00"/>
        <d v="1981-11-14T00:00:00"/>
        <d v="1981-11-15T00:00:00"/>
        <d v="1981-11-18T00:00:00"/>
        <d v="1981-11-22T00:00:00"/>
        <d v="1981-11-28T00:00:00"/>
        <d v="1981-11-29T00:00:00"/>
        <d v="1981-12-05T00:00:00"/>
        <d v="1981-12-07T00:00:00"/>
        <d v="1981-12-14T00:00:00"/>
        <d v="1981-12-19T00:00:00"/>
        <d v="1982-06-13T00:00:00"/>
        <d v="1982-06-15T00:00:00"/>
        <d v="1982-06-16T00:00:00"/>
        <d v="1982-06-17T00:00:00"/>
        <d v="1982-06-18T00:00:00"/>
        <d v="1982-06-19T00:00:00"/>
        <d v="1982-06-20T00:00:00"/>
        <d v="1982-06-21T00:00:00"/>
        <d v="1982-06-22T00:00:00"/>
        <d v="1982-06-23T00:00:00"/>
        <d v="1982-06-24T00:00:00"/>
        <d v="1982-06-25T00:00:00"/>
        <d v="1982-06-28T00:00:00"/>
        <d v="1982-06-29T00:00:00"/>
        <d v="1982-07-02T00:00:00"/>
        <d v="1982-07-05T00:00:00"/>
        <d v="1982-07-08T00:00:00"/>
        <d v="1982-07-11T00:00:00"/>
        <d v="1984-05-02T00:00:00"/>
        <d v="1984-05-23T00:00:00"/>
        <d v="1984-06-30T00:00:00"/>
        <d v="1984-07-01T00:00:00"/>
        <d v="1984-07-15T00:00:00"/>
        <d v="1984-07-28T00:00:00"/>
        <d v="1984-07-29T00:00:00"/>
        <d v="1984-08-25T00:00:00"/>
        <d v="1984-08-28T00:00:00"/>
        <d v="1984-09-12T00:00:00"/>
        <d v="1984-09-26T00:00:00"/>
        <d v="1984-09-30T00:00:00"/>
        <d v="1984-10-13T00:00:00"/>
        <d v="1984-10-17T00:00:00"/>
        <d v="1984-10-20T00:00:00"/>
        <d v="1984-10-27T00:00:00"/>
        <d v="1984-10-28T00:00:00"/>
        <d v="1984-11-04T00:00:00"/>
        <d v="1984-11-13T00:00:00"/>
        <d v="1984-11-14T00:00:00"/>
        <d v="1984-11-17T00:00:00"/>
        <d v="1984-11-21T00:00:00"/>
        <d v="1984-12-05T00:00:00"/>
        <d v="1984-12-16T00:00:00"/>
        <d v="1984-12-19T00:00:00"/>
        <d v="1984-12-22T00:00:00"/>
        <d v="1984-12-23T00:00:00"/>
        <d v="1985-02-10T00:00:00"/>
        <d v="1985-02-22T00:00:00"/>
        <d v="1985-02-23T00:00:00"/>
        <d v="1985-02-24T00:00:00"/>
        <d v="1985-02-27T00:00:00"/>
        <d v="1985-03-02T00:00:00"/>
        <d v="1985-03-03T00:00:00"/>
        <d v="1985-03-08T00:00:00"/>
        <d v="1985-03-10T00:00:00"/>
        <d v="1985-03-15T00:00:00"/>
        <d v="1985-03-16T00:00:00"/>
        <d v="1985-03-17T00:00:00"/>
        <d v="1985-03-18T00:00:00"/>
        <d v="1985-03-21T00:00:00"/>
        <d v="1985-03-22T00:00:00"/>
        <d v="1985-03-23T00:00:00"/>
        <d v="1985-03-24T00:00:00"/>
        <d v="1985-03-26T00:00:00"/>
        <d v="1985-03-27T00:00:00"/>
        <d v="1985-03-29T00:00:00"/>
        <d v="1985-03-30T00:00:00"/>
        <d v="1985-03-31T00:00:00"/>
        <d v="1985-04-02T00:00:00"/>
        <d v="1985-04-03T00:00:00"/>
        <d v="1985-04-05T00:00:00"/>
        <d v="1985-04-06T00:00:00"/>
        <d v="1985-04-07T00:00:00"/>
        <d v="1985-04-09T00:00:00"/>
        <d v="1985-04-12T00:00:00"/>
        <d v="1985-04-17T00:00:00"/>
        <d v="1985-04-19T00:00:00"/>
        <d v="1985-04-20T00:00:00"/>
        <d v="1985-04-21T00:00:00"/>
        <d v="1985-05-01T00:00:00"/>
        <d v="1985-05-02T00:00:00"/>
        <d v="1985-05-05T00:00:00"/>
        <d v="1985-05-07T00:00:00"/>
        <d v="1985-05-14T00:00:00"/>
        <d v="1985-05-18T00:00:00"/>
        <d v="1985-05-19T00:00:00"/>
        <d v="1985-05-22T00:00:00"/>
        <d v="1985-05-26T00:00:00"/>
        <d v="1985-06-02T00:00:00"/>
        <d v="1985-06-09T00:00:00"/>
        <d v="1985-06-12T00:00:00"/>
        <d v="1985-06-16T00:00:00"/>
        <d v="1985-06-23T00:00:00"/>
        <d v="1985-06-30T00:00:00"/>
        <d v="1985-07-06T00:00:00"/>
        <d v="1985-07-12T00:00:00"/>
        <d v="1985-07-13T00:00:00"/>
        <d v="1985-07-14T00:00:00"/>
        <d v="1985-07-20T00:00:00"/>
        <d v="1985-07-21T00:00:00"/>
        <d v="1985-07-26T00:00:00"/>
        <d v="1985-07-28T00:00:00"/>
        <d v="1985-07-30T00:00:00"/>
        <d v="1985-09-06T00:00:00"/>
        <d v="1985-09-20T00:00:00"/>
        <d v="1985-09-21T00:00:00"/>
        <d v="1985-09-25T00:00:00"/>
        <d v="1985-09-27T00:00:00"/>
        <d v="1985-10-06T00:00:00"/>
        <d v="1985-10-08T00:00:00"/>
        <d v="1985-10-09T00:00:00"/>
        <d v="1985-10-12T00:00:00"/>
        <d v="1985-10-16T00:00:00"/>
        <d v="1985-10-18T00:00:00"/>
        <d v="1985-10-20T00:00:00"/>
        <d v="1985-10-26T00:00:00"/>
        <d v="1985-10-27T00:00:00"/>
        <d v="1985-10-30T00:00:00"/>
        <d v="1985-11-03T00:00:00"/>
        <d v="1985-11-10T00:00:00"/>
        <d v="1985-11-13T00:00:00"/>
        <d v="1985-11-15T00:00:00"/>
        <d v="1985-11-17T00:00:00"/>
        <d v="1985-11-20T00:00:00"/>
        <d v="1985-11-29T00:00:00"/>
        <d v="1986-05-31T00:00:00"/>
        <d v="1986-06-01T00:00:00"/>
        <d v="1986-06-02T00:00:00"/>
        <d v="1986-06-03T00:00:00"/>
        <d v="1986-06-04T00:00:00"/>
        <d v="1986-06-05T00:00:00"/>
        <d v="1986-06-06T00:00:00"/>
        <d v="1986-06-07T00:00:00"/>
        <d v="1986-06-08T00:00:00"/>
        <d v="1986-06-09T00:00:00"/>
        <d v="1986-06-10T00:00:00"/>
        <d v="1986-06-11T00:00:00"/>
        <d v="1986-06-12T00:00:00"/>
        <d v="1986-06-13T00:00:00"/>
        <d v="1986-06-15T00:00:00"/>
        <d v="1986-06-16T00:00:00"/>
        <d v="1986-06-17T00:00:00"/>
        <d v="1986-06-18T00:00:00"/>
        <d v="1986-06-21T00:00:00"/>
        <d v="1986-06-22T00:00:00"/>
        <d v="1986-06-25T00:00:00"/>
        <d v="1986-06-28T00:00:00"/>
        <d v="1986-06-29T00:00:00"/>
        <d v="1988-06-03T00:00:00"/>
        <d v="1988-07-03T00:00:00"/>
        <d v="1988-07-16T00:00:00"/>
        <d v="1988-07-30T00:00:00"/>
        <d v="1988-08-05T00:00:00"/>
        <d v="1988-08-07T00:00:00"/>
        <d v="1988-08-21T00:00:00"/>
        <d v="1988-08-31T00:00:00"/>
        <d v="1988-09-21T00:00:00"/>
        <d v="1988-09-28T00:00:00"/>
        <d v="1988-10-19T00:00:00"/>
        <d v="1988-10-22T00:00:00"/>
        <d v="1988-11-02T00:00:00"/>
        <d v="1988-11-05T00:00:00"/>
        <d v="1988-11-11T00:00:00"/>
        <d v="1988-11-16T00:00:00"/>
        <d v="1988-11-26T00:00:00"/>
        <d v="1988-12-03T00:00:00"/>
        <d v="1988-12-11T00:00:00"/>
        <d v="1989-01-06T00:00:00"/>
        <d v="1989-01-07T00:00:00"/>
        <d v="1989-01-08T00:00:00"/>
        <d v="1989-01-13T00:00:00"/>
        <d v="1989-01-20T00:00:00"/>
        <d v="1989-01-21T00:00:00"/>
        <d v="1989-01-22T00:00:00"/>
        <d v="1989-01-27T00:00:00"/>
        <d v="1989-02-03T00:00:00"/>
        <d v="1989-02-10T00:00:00"/>
        <d v="1989-02-15T00:00:00"/>
        <d v="1989-02-19T00:00:00"/>
        <d v="1989-02-23T00:00:00"/>
        <d v="1989-02-27T00:00:00"/>
        <d v="1989-03-05T00:00:00"/>
        <d v="1989-03-08T00:00:00"/>
        <d v="1989-03-12T00:00:00"/>
        <d v="1989-03-15T00:00:00"/>
        <d v="1989-03-17T00:00:00"/>
        <d v="1989-03-19T00:00:00"/>
        <d v="1989-03-23T00:00:00"/>
        <d v="1989-03-30T00:00:00"/>
        <d v="1989-04-02T00:00:00"/>
        <d v="1989-04-09T00:00:00"/>
        <d v="1989-04-12T00:00:00"/>
        <d v="1989-04-16T00:00:00"/>
        <d v="1989-04-26T00:00:00"/>
        <d v="1989-05-17T00:00:00"/>
        <d v="1989-05-21T00:00:00"/>
        <d v="1989-05-23T00:00:00"/>
        <d v="1989-05-25T00:00:00"/>
        <d v="1989-05-27T00:00:00"/>
        <d v="1989-05-28T00:00:00"/>
        <d v="1989-05-30T00:00:00"/>
        <d v="1989-05-31T00:00:00"/>
        <d v="1989-06-01T00:00:00"/>
        <d v="1989-06-03T00:00:00"/>
        <d v="1989-06-05T00:00:00"/>
        <d v="1989-06-07T00:00:00"/>
        <d v="1989-06-10T00:00:00"/>
        <d v="1989-06-11T00:00:00"/>
        <d v="1989-06-14T00:00:00"/>
        <d v="1989-06-24T00:00:00"/>
        <d v="1989-06-25T00:00:00"/>
        <d v="1989-07-30T00:00:00"/>
        <d v="1989-08-06T00:00:00"/>
        <d v="1989-08-12T00:00:00"/>
        <d v="1989-08-13T00:00:00"/>
        <d v="1989-08-20T00:00:00"/>
        <d v="1989-08-23T00:00:00"/>
        <d v="1989-08-26T00:00:00"/>
        <d v="1989-08-27T00:00:00"/>
        <d v="1989-09-03T00:00:00"/>
        <d v="1989-09-05T00:00:00"/>
        <d v="1989-09-06T00:00:00"/>
        <d v="1989-09-10T00:00:00"/>
        <d v="1989-09-17T00:00:00"/>
        <d v="1989-09-20T00:00:00"/>
        <d v="1989-09-24T00:00:00"/>
        <d v="1989-10-04T00:00:00"/>
        <d v="1989-10-08T00:00:00"/>
        <d v="1989-10-11T00:00:00"/>
        <d v="1989-10-13T00:00:00"/>
        <d v="1989-10-15T00:00:00"/>
        <d v="1989-10-16T00:00:00"/>
        <d v="1989-10-21T00:00:00"/>
        <d v="1989-10-24T00:00:00"/>
        <d v="1989-10-25T00:00:00"/>
        <d v="1989-10-28T00:00:00"/>
        <d v="1989-10-30T00:00:00"/>
        <d v="1989-11-15T00:00:00"/>
        <d v="1989-11-17T00:00:00"/>
        <d v="1989-11-18T00:00:00"/>
        <d v="1989-11-19T00:00:00"/>
        <d v="1990-06-08T00:00:00"/>
        <d v="1990-06-09T00:00:00"/>
        <d v="1990-06-10T00:00:00"/>
        <d v="1990-06-12T00:00:00"/>
        <d v="1990-06-13T00:00:00"/>
        <d v="1990-06-14T00:00:00"/>
        <d v="1990-06-15T00:00:00"/>
        <d v="1990-06-16T00:00:00"/>
        <d v="1990-06-17T00:00:00"/>
        <d v="1990-06-18T00:00:00"/>
        <d v="1990-06-19T00:00:00"/>
        <d v="1990-06-20T00:00:00"/>
        <d v="1990-06-21T00:00:00"/>
        <d v="1990-06-23T00:00:00"/>
        <d v="1990-06-24T00:00:00"/>
        <d v="1990-06-25T00:00:00"/>
        <d v="1990-06-26T00:00:00"/>
        <d v="1990-07-01T00:00:00"/>
        <d v="1990-07-03T00:00:00"/>
        <d v="1990-07-04T00:00:00"/>
        <d v="1990-07-07T00:00:00"/>
        <d v="1990-07-08T00:00:00"/>
        <d v="1992-04-19T00:00:00"/>
        <d v="1992-04-22T00:00:00"/>
        <d v="1992-04-24T00:00:00"/>
        <d v="1992-04-26T00:00:00"/>
        <d v="1992-05-06T00:00:00"/>
        <d v="1992-05-13T00:00:00"/>
        <d v="1992-05-14T00:00:00"/>
        <d v="1992-05-25T00:00:00"/>
        <d v="1992-05-31T00:00:00"/>
        <d v="1992-06-03T00:00:00"/>
        <d v="1992-06-07T00:00:00"/>
        <d v="1992-06-14T00:00:00"/>
        <d v="1992-06-16T00:00:00"/>
        <d v="1992-06-27T00:00:00"/>
        <d v="1992-07-01T00:00:00"/>
        <d v="1992-07-04T00:00:00"/>
        <d v="1992-07-05T00:00:00"/>
        <d v="1992-07-19T00:00:00"/>
        <d v="1992-07-23T00:00:00"/>
        <d v="1992-07-26T00:00:00"/>
        <d v="1992-08-16T00:00:00"/>
        <d v="1992-08-23T00:00:00"/>
        <d v="1992-09-04T00:00:00"/>
        <d v="1992-09-09T00:00:00"/>
        <d v="1992-09-12T00:00:00"/>
        <d v="1992-09-23T00:00:00"/>
        <d v="1992-09-26T00:00:00"/>
        <d v="1992-10-07T00:00:00"/>
        <d v="1992-10-09T00:00:00"/>
        <d v="1992-10-10T00:00:00"/>
        <d v="1992-10-11T00:00:00"/>
        <d v="1992-10-14T00:00:00"/>
        <d v="1992-10-18T00:00:00"/>
        <d v="1992-10-25T00:00:00"/>
        <d v="1992-10-28T00:00:00"/>
        <d v="1992-11-01T00:00:00"/>
        <d v="1992-11-08T00:00:00"/>
        <d v="1992-11-11T00:00:00"/>
        <d v="1992-11-14T00:00:00"/>
        <d v="1992-11-15T00:00:00"/>
        <d v="1992-11-18T00:00:00"/>
        <d v="1992-11-22T00:00:00"/>
        <d v="1992-11-29T00:00:00"/>
        <d v="1992-12-02T00:00:00"/>
        <d v="1992-12-05T00:00:00"/>
        <d v="1992-12-06T00:00:00"/>
        <d v="1992-12-13T00:00:00"/>
        <d v="1992-12-19T00:00:00"/>
        <d v="1992-12-20T00:00:00"/>
        <d v="1993-01-10T00:00:00"/>
        <d v="1993-01-16T00:00:00"/>
        <d v="1993-01-17T00:00:00"/>
        <d v="1993-01-18T00:00:00"/>
        <d v="1993-01-20T00:00:00"/>
        <d v="1993-01-24T00:00:00"/>
        <d v="1993-01-30T00:00:00"/>
        <d v="1993-01-31T00:00:00"/>
        <d v="1993-02-13T00:00:00"/>
        <d v="1993-02-17T00:00:00"/>
        <d v="1993-02-24T00:00:00"/>
        <d v="1993-02-26T00:00:00"/>
        <d v="1993-02-27T00:00:00"/>
        <d v="1993-02-28T00:00:00"/>
        <d v="1993-03-24T00:00:00"/>
        <d v="1993-03-27T00:00:00"/>
        <d v="1993-03-31T00:00:00"/>
        <d v="1993-04-04T00:00:00"/>
        <d v="1993-04-08T00:00:00"/>
        <d v="1993-04-09T00:00:00"/>
        <d v="1993-04-11T00:00:00"/>
        <d v="1993-04-13T00:00:00"/>
        <d v="1993-04-14T00:00:00"/>
        <d v="1993-04-15T00:00:00"/>
        <d v="1993-04-16T00:00:00"/>
        <d v="1993-04-17T00:00:00"/>
        <d v="1993-04-18T00:00:00"/>
        <d v="1993-04-24T00:00:00"/>
        <d v="1993-04-25T00:00:00"/>
        <d v="1993-04-26T00:00:00"/>
        <d v="1993-04-28T00:00:00"/>
        <d v="1993-04-30T00:00:00"/>
        <d v="1993-05-01T00:00:00"/>
        <d v="1993-05-02T00:00:00"/>
        <d v="1993-05-03T00:00:00"/>
        <d v="1993-05-05T00:00:00"/>
        <d v="1993-05-07T00:00:00"/>
        <d v="1993-05-09T00:00:00"/>
        <d v="1993-05-11T00:00:00"/>
        <d v="1993-05-12T00:00:00"/>
        <d v="1993-05-13T00:00:00"/>
        <d v="1993-05-14T00:00:00"/>
        <d v="1993-05-15T00:00:00"/>
        <d v="1993-05-16T00:00:00"/>
        <d v="1993-05-18T00:00:00"/>
        <d v="1993-05-19T00:00:00"/>
        <d v="1993-05-20T00:00:00"/>
        <d v="1993-05-22T00:00:00"/>
        <d v="1993-05-23T00:00:00"/>
        <d v="1993-05-24T00:00:00"/>
        <d v="1993-05-28T00:00:00"/>
        <d v="1993-05-29T00:00:00"/>
        <d v="1993-05-30T00:00:00"/>
        <d v="1993-06-02T00:00:00"/>
        <d v="1993-06-05T00:00:00"/>
        <d v="1993-06-06T00:00:00"/>
        <d v="1993-06-07T00:00:00"/>
        <d v="1993-06-09T00:00:00"/>
        <d v="1993-06-11T00:00:00"/>
        <d v="1993-06-13T00:00:00"/>
        <d v="1993-06-14T00:00:00"/>
        <d v="1993-06-16T00:00:00"/>
        <d v="1993-06-18T00:00:00"/>
        <d v="1993-06-19T00:00:00"/>
        <d v="1993-06-20T00:00:00"/>
        <d v="1993-06-23T00:00:00"/>
        <d v="1993-06-25T00:00:00"/>
        <d v="1993-06-27T00:00:00"/>
        <d v="1993-07-02T00:00:00"/>
        <d v="1993-07-03T00:00:00"/>
        <d v="1993-07-04T00:00:00"/>
        <d v="1993-07-07T00:00:00"/>
        <d v="1993-07-17T00:00:00"/>
        <d v="1993-07-18T00:00:00"/>
        <d v="1993-07-25T00:00:00"/>
        <d v="1993-07-31T00:00:00"/>
        <d v="1993-08-01T00:00:00"/>
        <d v="1993-08-07T00:00:00"/>
        <d v="1993-08-08T00:00:00"/>
        <d v="1993-08-15T00:00:00"/>
        <d v="1993-08-22T00:00:00"/>
        <d v="1993-08-25T00:00:00"/>
        <d v="1993-08-29T00:00:00"/>
        <d v="1993-09-05T00:00:00"/>
        <d v="1993-09-08T00:00:00"/>
        <d v="1993-09-12T00:00:00"/>
        <d v="1993-09-19T00:00:00"/>
        <d v="1993-09-22T00:00:00"/>
        <d v="1993-09-26T00:00:00"/>
        <d v="1993-10-08T00:00:00"/>
        <d v="1993-10-10T00:00:00"/>
        <d v="1993-10-12T00:00:00"/>
        <d v="1993-10-13T00:00:00"/>
        <d v="1993-10-15T00:00:00"/>
        <d v="1993-10-16T00:00:00"/>
        <d v="1993-10-18T00:00:00"/>
        <d v="1993-10-19T00:00:00"/>
        <d v="1993-10-22T00:00:00"/>
        <d v="1993-10-24T00:00:00"/>
        <d v="1993-10-25T00:00:00"/>
        <d v="1993-10-27T00:00:00"/>
        <d v="1993-10-28T00:00:00"/>
        <d v="1993-10-31T00:00:00"/>
        <d v="1993-11-10T00:00:00"/>
        <d v="1993-11-17T00:00:00"/>
        <d v="1994-06-17T00:00:00"/>
        <d v="1994-06-18T00:00:00"/>
        <d v="1994-06-19T00:00:00"/>
        <d v="1994-06-20T00:00:00"/>
        <d v="1994-06-21T00:00:00"/>
        <d v="1994-06-22T00:00:00"/>
        <d v="1994-06-23T00:00:00"/>
        <d v="1994-06-24T00:00:00"/>
        <d v="1994-06-25T00:00:00"/>
        <d v="1994-06-26T00:00:00"/>
        <d v="1994-06-27T00:00:00"/>
        <d v="1994-06-28T00:00:00"/>
        <d v="1994-06-29T00:00:00"/>
        <d v="1994-06-30T00:00:00"/>
        <d v="1994-07-02T00:00:00"/>
        <d v="1994-07-03T00:00:00"/>
        <d v="1994-07-04T00:00:00"/>
        <d v="1994-07-05T00:00:00"/>
        <d v="1994-07-09T00:00:00"/>
        <d v="1994-07-10T00:00:00"/>
        <d v="1994-07-13T00:00:00"/>
        <d v="1994-07-16T00:00:00"/>
        <d v="1994-07-17T00:00:00"/>
        <d v="1996-03-10T00:00:00"/>
        <d v="1996-03-24T00:00:00"/>
        <d v="1996-03-29T00:00:00"/>
        <d v="1996-03-31T00:00:00"/>
        <d v="1996-04-07T00:00:00"/>
        <d v="1996-04-21T00:00:00"/>
        <d v="1996-04-24T00:00:00"/>
        <d v="1996-05-05T00:00:00"/>
        <d v="1996-05-10T00:00:00"/>
        <d v="1996-05-12T00:00:00"/>
        <d v="1996-05-14T00:00:00"/>
        <d v="1996-05-18T00:00:00"/>
        <d v="1996-05-19T00:00:00"/>
        <d v="1996-05-31T00:00:00"/>
        <d v="1996-06-01T00:00:00"/>
        <d v="1996-06-02T00:00:00"/>
        <d v="1996-06-08T00:00:00"/>
        <d v="1996-06-09T00:00:00"/>
        <d v="1996-06-14T00:00:00"/>
        <d v="1996-06-15T00:00:00"/>
        <d v="1996-06-16T00:00:00"/>
        <d v="1996-06-17T00:00:00"/>
        <d v="1996-06-23T00:00:00"/>
        <d v="1996-06-30T00:00:00"/>
        <d v="1996-07-06T00:00:00"/>
        <d v="1996-07-07T00:00:00"/>
        <d v="1996-08-30T00:00:00"/>
        <d v="1996-08-31T00:00:00"/>
        <d v="1996-09-01T00:00:00"/>
        <d v="1996-09-04T00:00:00"/>
        <d v="1996-09-08T00:00:00"/>
        <d v="1996-09-15T00:00:00"/>
        <d v="1996-09-16T00:00:00"/>
        <d v="1996-09-18T00:00:00"/>
        <d v="1996-09-20T00:00:00"/>
        <d v="1996-09-21T00:00:00"/>
        <d v="1996-09-22T00:00:00"/>
        <d v="1996-09-23T00:00:00"/>
        <d v="1996-09-24T00:00:00"/>
        <d v="1996-09-26T00:00:00"/>
        <d v="1996-09-27T00:00:00"/>
        <d v="1996-10-05T00:00:00"/>
        <d v="1996-10-06T00:00:00"/>
        <d v="1996-10-08T00:00:00"/>
        <d v="1996-10-09T00:00:00"/>
        <d v="1996-10-10T00:00:00"/>
        <d v="1996-10-13T00:00:00"/>
        <d v="1996-10-16T00:00:00"/>
        <d v="1996-10-26T00:00:00"/>
        <d v="1996-10-27T00:00:00"/>
        <d v="1996-11-03T00:00:00"/>
        <d v="1996-11-06T00:00:00"/>
        <d v="1996-11-08T00:00:00"/>
        <d v="1996-11-09T00:00:00"/>
        <d v="1996-11-10T00:00:00"/>
        <d v="1996-11-12T00:00:00"/>
        <d v="1996-11-15T00:00:00"/>
        <d v="1996-11-17T00:00:00"/>
        <d v="1996-11-24T00:00:00"/>
        <d v="1996-12-01T00:00:00"/>
        <d v="1996-12-08T00:00:00"/>
        <d v="1996-12-14T00:00:00"/>
        <d v="1996-12-15T00:00:00"/>
        <d v="1996-12-18T00:00:00"/>
        <d v="1996-12-21T00:00:00"/>
        <d v="1997-01-11T00:00:00"/>
        <d v="1997-01-12T00:00:00"/>
        <d v="1997-02-11T00:00:00"/>
        <d v="1997-02-12T00:00:00"/>
        <d v="1997-02-15T00:00:00"/>
        <d v="1997-03-01T00:00:00"/>
        <d v="1997-03-02T00:00:00"/>
        <d v="1997-03-16T00:00:00"/>
        <d v="1997-03-18T00:00:00"/>
        <d v="1997-03-20T00:00:00"/>
        <d v="1997-03-23T00:00:00"/>
        <d v="1997-03-25T00:00:00"/>
        <d v="1997-03-27T00:00:00"/>
        <d v="1997-03-29T00:00:00"/>
        <d v="1997-03-31T00:00:00"/>
        <d v="1997-04-02T00:00:00"/>
        <d v="1997-04-05T00:00:00"/>
        <d v="1997-04-06T00:00:00"/>
        <d v="1997-04-08T00:00:00"/>
        <d v="1997-04-11T00:00:00"/>
        <d v="1997-04-13T00:00:00"/>
        <d v="1997-04-14T00:00:00"/>
        <d v="1997-04-19T00:00:00"/>
        <d v="1997-04-20T00:00:00"/>
        <d v="1997-04-22T00:00:00"/>
        <d v="1997-04-26T00:00:00"/>
        <d v="1997-04-27T00:00:00"/>
        <d v="1997-04-29T00:00:00"/>
        <d v="1997-04-30T00:00:00"/>
        <d v="1997-05-04T00:00:00"/>
        <d v="1997-05-07T00:00:00"/>
        <d v="1997-05-08T00:00:00"/>
        <d v="1997-05-11T00:00:00"/>
        <d v="1997-05-18T00:00:00"/>
        <d v="1997-05-23T00:00:00"/>
        <d v="1997-05-24T00:00:00"/>
        <d v="1997-05-25T00:00:00"/>
        <d v="1997-05-31T00:00:00"/>
        <d v="1997-06-01T00:00:00"/>
        <d v="1997-06-02T00:00:00"/>
        <d v="1997-06-04T00:00:00"/>
        <d v="1997-06-05T00:00:00"/>
        <d v="1997-06-06T00:00:00"/>
        <d v="1997-06-07T00:00:00"/>
        <d v="1997-06-08T00:00:00"/>
        <d v="1997-06-09T00:00:00"/>
        <d v="1997-06-11T00:00:00"/>
        <d v="1997-06-13T00:00:00"/>
        <d v="1997-06-14T00:00:00"/>
        <d v="1997-06-15T00:00:00"/>
        <d v="1997-06-17T00:00:00"/>
        <d v="1997-06-18T00:00:00"/>
        <d v="1997-06-20T00:00:00"/>
        <d v="1997-06-21T00:00:00"/>
        <d v="1997-06-22T00:00:00"/>
        <d v="1997-06-25T00:00:00"/>
        <d v="1997-06-28T00:00:00"/>
        <d v="1997-06-29T00:00:00"/>
        <d v="1997-07-05T00:00:00"/>
        <d v="1997-07-06T00:00:00"/>
        <d v="1997-07-20T00:00:00"/>
        <d v="1997-08-10T00:00:00"/>
        <d v="1997-08-16T00:00:00"/>
        <d v="1997-08-17T00:00:00"/>
        <d v="1997-08-20T00:00:00"/>
        <d v="1997-09-06T00:00:00"/>
        <d v="1997-09-07T00:00:00"/>
        <d v="1997-09-10T00:00:00"/>
        <d v="1997-09-12T00:00:00"/>
        <d v="1997-09-14T00:00:00"/>
        <d v="1997-09-19T00:00:00"/>
        <d v="1997-09-20T00:00:00"/>
        <d v="1997-09-24T00:00:00"/>
        <d v="1997-09-26T00:00:00"/>
        <d v="1997-09-27T00:00:00"/>
        <d v="1997-09-28T00:00:00"/>
        <d v="1997-10-03T00:00:00"/>
        <d v="1997-10-04T00:00:00"/>
        <d v="1997-10-05T00:00:00"/>
        <d v="1997-10-07T00:00:00"/>
        <d v="1997-10-11T00:00:00"/>
        <d v="1997-10-12T00:00:00"/>
        <d v="1997-10-17T00:00:00"/>
        <d v="1997-10-18T00:00:00"/>
        <d v="1997-10-24T00:00:00"/>
        <d v="1997-10-25T00:00:00"/>
        <d v="1997-10-26T00:00:00"/>
        <d v="1997-10-29T00:00:00"/>
        <d v="1997-10-31T00:00:00"/>
        <d v="1997-11-01T00:00:00"/>
        <d v="1997-11-02T00:00:00"/>
        <d v="1997-11-07T00:00:00"/>
        <d v="1997-11-08T00:00:00"/>
        <d v="1997-11-09T00:00:00"/>
        <d v="1997-11-12T00:00:00"/>
        <d v="1997-11-15T00:00:00"/>
        <d v="1997-11-16T00:00:00"/>
        <d v="1997-11-22T00:00:00"/>
        <d v="1997-11-29T00:00:00"/>
        <d v="1998-06-10T00:00:00"/>
        <d v="1998-06-11T00:00:00"/>
        <d v="1998-06-12T00:00:00"/>
        <d v="1998-06-13T00:00:00"/>
        <d v="1998-06-14T00:00:00"/>
        <d v="1998-06-15T00:00:00"/>
        <d v="1998-06-16T00:00:00"/>
        <d v="1998-06-17T00:00:00"/>
        <d v="1998-06-18T00:00:00"/>
        <d v="1998-06-19T00:00:00"/>
        <d v="1998-06-20T00:00:00"/>
        <d v="1998-06-21T00:00:00"/>
        <d v="1998-06-22T00:00:00"/>
        <d v="1998-06-23T00:00:00"/>
        <d v="1998-06-24T00:00:00"/>
        <d v="1998-06-25T00:00:00"/>
        <d v="1998-06-26T00:00:00"/>
        <d v="1998-06-27T00:00:00"/>
        <d v="1998-06-28T00:00:00"/>
        <d v="1998-06-29T00:00:00"/>
        <d v="1998-06-30T00:00:00"/>
        <d v="1998-07-03T00:00:00"/>
        <d v="1998-07-04T00:00:00"/>
        <d v="1998-07-07T00:00:00"/>
        <d v="1998-07-08T00:00:00"/>
        <d v="1998-07-11T00:00:00"/>
        <d v="1998-07-12T00:00:00"/>
        <d v="2000-03-04T00:00:00"/>
        <d v="2000-03-05T00:00:00"/>
        <d v="2000-03-11T00:00:00"/>
        <d v="2000-03-18T00:00:00"/>
        <d v="2000-03-19T00:00:00"/>
        <d v="2000-03-28T00:00:00"/>
        <d v="2000-03-29T00:00:00"/>
        <d v="2000-04-01T00:00:00"/>
        <d v="2000-04-02T00:00:00"/>
        <d v="2000-04-07T00:00:00"/>
        <d v="2000-04-08T00:00:00"/>
        <d v="2000-04-09T00:00:00"/>
        <d v="2000-04-16T00:00:00"/>
        <d v="2000-04-22T00:00:00"/>
        <d v="2000-04-23T00:00:00"/>
        <d v="2000-04-26T00:00:00"/>
        <d v="2000-05-07T00:00:00"/>
        <d v="2000-05-19T00:00:00"/>
        <d v="2000-05-21T00:00:00"/>
        <d v="2000-06-03T00:00:00"/>
        <d v="2000-06-04T00:00:00"/>
        <d v="2000-06-11T00:00:00"/>
        <d v="2000-06-16T00:00:00"/>
        <d v="2000-06-17T00:00:00"/>
        <d v="2000-06-18T00:00:00"/>
        <d v="2000-06-28T00:00:00"/>
        <d v="2000-06-29T00:00:00"/>
        <d v="2000-07-08T00:00:00"/>
        <d v="2000-07-09T00:00:00"/>
        <d v="2000-07-16T00:00:00"/>
        <d v="2000-07-18T00:00:00"/>
        <d v="2000-07-19T00:00:00"/>
        <d v="2000-07-22T00:00:00"/>
        <d v="2000-07-23T00:00:00"/>
        <d v="2000-07-25T00:00:00"/>
        <d v="2000-07-26T00:00:00"/>
        <d v="2000-07-27T00:00:00"/>
        <d v="2000-08-15T00:00:00"/>
        <d v="2000-08-16T00:00:00"/>
        <d v="2000-09-02T00:00:00"/>
        <d v="2000-09-03T00:00:00"/>
        <d v="2000-10-06T00:00:00"/>
        <d v="2000-10-07T00:00:00"/>
        <d v="2000-10-08T00:00:00"/>
        <d v="2000-10-09T00:00:00"/>
        <d v="2000-10-11T00:00:00"/>
        <d v="2000-11-15T00:00:00"/>
        <d v="2000-11-28T00:00:00"/>
        <d v="2001-01-06T00:00:00"/>
        <d v="2001-01-26T00:00:00"/>
        <d v="2001-01-27T00:00:00"/>
        <d v="2001-01-28T00:00:00"/>
        <d v="2001-02-03T00:00:00"/>
        <d v="2001-02-06T00:00:00"/>
        <d v="2001-02-08T00:00:00"/>
        <d v="2001-02-09T00:00:00"/>
        <d v="2001-02-10T00:00:00"/>
        <d v="2001-02-12T00:00:00"/>
        <d v="2001-02-15T00:00:00"/>
        <d v="2001-02-17T00:00:00"/>
        <d v="2001-02-19T00:00:00"/>
        <d v="2001-02-21T00:00:00"/>
        <d v="2001-02-23T00:00:00"/>
        <d v="2001-02-24T00:00:00"/>
        <d v="2001-02-25T00:00:00"/>
        <d v="2001-02-27T00:00:00"/>
        <d v="2001-02-28T00:00:00"/>
        <d v="2001-03-04T00:00:00"/>
        <d v="2001-03-10T00:00:00"/>
        <d v="2001-03-11T00:00:00"/>
        <d v="2001-03-20T00:00:00"/>
        <d v="2001-03-24T00:00:00"/>
        <d v="2001-03-25T00:00:00"/>
        <d v="2001-03-27T00:00:00"/>
        <d v="2001-03-28T00:00:00"/>
        <d v="2001-04-01T00:00:00"/>
        <d v="2001-04-07T00:00:00"/>
        <d v="2001-04-08T00:00:00"/>
        <d v="2001-04-09T00:00:00"/>
        <d v="2001-04-11T00:00:00"/>
        <d v="2001-04-12T00:00:00"/>
        <d v="2001-04-14T00:00:00"/>
        <d v="2001-04-15T00:00:00"/>
        <d v="2001-04-16T00:00:00"/>
        <d v="2001-04-21T00:00:00"/>
        <d v="2001-04-22T00:00:00"/>
        <d v="2001-04-23T00:00:00"/>
        <d v="2001-04-24T00:00:00"/>
        <d v="2001-04-25T00:00:00"/>
        <d v="2001-04-26T00:00:00"/>
        <d v="2001-04-27T00:00:00"/>
        <d v="2001-04-29T00:00:00"/>
        <d v="2001-04-30T00:00:00"/>
        <d v="2001-05-03T00:00:00"/>
        <d v="2001-05-04T00:00:00"/>
        <d v="2001-05-05T00:00:00"/>
        <d v="2001-05-06T00:00:00"/>
        <d v="2001-05-07T00:00:00"/>
        <d v="2001-05-11T00:00:00"/>
        <d v="2001-05-13T00:00:00"/>
        <d v="2001-05-15T00:00:00"/>
        <d v="2001-05-17T00:00:00"/>
        <d v="2001-05-18T00:00:00"/>
        <d v="2001-05-25T00:00:00"/>
        <d v="2001-05-26T00:00:00"/>
        <d v="2001-05-28T00:00:00"/>
        <d v="2001-05-30T00:00:00"/>
        <d v="2001-06-02T00:00:00"/>
        <d v="2001-06-03T00:00:00"/>
        <d v="2001-06-06T00:00:00"/>
        <d v="2001-06-08T00:00:00"/>
        <d v="2001-06-11T00:00:00"/>
        <d v="2001-06-13T00:00:00"/>
        <d v="2001-06-16T00:00:00"/>
        <d v="2001-06-20T00:00:00"/>
        <d v="2001-06-24T00:00:00"/>
        <d v="2001-06-29T00:00:00"/>
        <d v="2001-06-30T00:00:00"/>
        <d v="2001-07-01T00:00:00"/>
        <d v="2001-07-13T00:00:00"/>
        <d v="2001-07-14T00:00:00"/>
        <d v="2001-07-15T00:00:00"/>
        <d v="2001-07-21T00:00:00"/>
        <d v="2001-07-27T00:00:00"/>
        <d v="2001-07-28T00:00:00"/>
        <d v="2001-07-29T00:00:00"/>
        <d v="2001-08-14T00:00:00"/>
        <d v="2001-08-15T00:00:00"/>
        <d v="2001-08-16T00:00:00"/>
        <d v="2001-08-17T00:00:00"/>
        <d v="2001-08-23T00:00:00"/>
        <d v="2001-08-24T00:00:00"/>
        <d v="2001-08-26T00:00:00"/>
        <d v="2001-08-31T00:00:00"/>
        <d v="2001-09-01T00:00:00"/>
        <d v="2001-09-02T00:00:00"/>
        <d v="2001-09-04T00:00:00"/>
        <d v="2001-09-05T00:00:00"/>
        <d v="2001-09-06T00:00:00"/>
        <d v="2001-09-07T00:00:00"/>
        <d v="2001-09-08T00:00:00"/>
        <d v="2001-09-14T00:00:00"/>
        <d v="2001-09-15T00:00:00"/>
        <d v="2001-09-21T00:00:00"/>
        <d v="2001-09-22T00:00:00"/>
        <d v="2001-09-28T00:00:00"/>
        <d v="2001-10-04T00:00:00"/>
        <d v="2001-10-05T00:00:00"/>
        <d v="2001-10-06T00:00:00"/>
        <d v="2001-10-07T00:00:00"/>
        <d v="2001-10-12T00:00:00"/>
        <d v="2001-10-13T00:00:00"/>
        <d v="2001-10-16T00:00:00"/>
        <d v="2001-10-19T00:00:00"/>
        <d v="2001-10-21T00:00:00"/>
        <d v="2001-10-25T00:00:00"/>
        <d v="2001-10-27T00:00:00"/>
        <d v="2001-10-31T00:00:00"/>
        <d v="2001-11-07T00:00:00"/>
        <d v="2001-11-08T00:00:00"/>
        <d v="2001-11-10T00:00:00"/>
        <d v="2001-11-11T00:00:00"/>
        <d v="2001-11-14T00:00:00"/>
        <d v="2001-11-20T00:00:00"/>
        <d v="2001-11-25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21T00:00:00"/>
        <d v="2002-06-22T00:00:00"/>
        <d v="2002-06-25T00:00:00"/>
        <d v="2002-06-30T00:00:00"/>
        <d v="2003-09-06T00:00:00"/>
        <d v="2003-09-07T00:00:00"/>
        <d v="2003-09-09T00:00:00"/>
        <d v="2003-09-10T00:00:00"/>
        <d v="2003-10-10T00:00:00"/>
        <d v="2003-10-11T00:00:00"/>
        <d v="2003-10-12T00:00:00"/>
        <d v="2003-11-14T00:00:00"/>
        <d v="2003-11-15T00:00:00"/>
        <d v="2003-11-16T00:00:00"/>
        <d v="2003-11-18T00:00:00"/>
        <d v="2003-11-19T00:00:00"/>
        <d v="2003-11-23T00:00:00"/>
        <d v="2003-11-26T00:00:00"/>
        <d v="2003-11-29T00:00:00"/>
        <d v="2003-11-30T00:00:00"/>
        <d v="2003-12-03T00:00:00"/>
        <d v="2004-02-18T00:00:00"/>
        <d v="2004-02-21T00:00:00"/>
        <d v="2004-02-28T00:00:00"/>
        <d v="2004-03-14T00:00:00"/>
        <d v="2004-03-27T00:00:00"/>
        <d v="2004-03-30T00:00:00"/>
        <d v="2004-03-31T00:00:00"/>
        <d v="2004-05-10T00:00:00"/>
        <d v="2004-05-12T00:00:00"/>
        <d v="2004-05-15T00:00:00"/>
        <d v="2004-05-17T00:00:00"/>
        <d v="2004-05-19T00:00:00"/>
        <d v="2004-06-01T00:00:00"/>
        <d v="2004-06-02T00:00:00"/>
        <d v="2004-06-05T00:00:00"/>
        <d v="2004-06-06T00:00:00"/>
        <d v="2004-06-09T00:00:00"/>
        <d v="2004-06-10T00:00:00"/>
        <d v="2004-06-12T00:00:00"/>
        <d v="2004-06-13T00:00:00"/>
        <d v="2004-06-16T00:00:00"/>
        <d v="2004-06-18T00:00:00"/>
        <d v="2004-06-19T00:00:00"/>
        <d v="2004-06-20T00:00:00"/>
        <d v="2004-06-27T00:00:00"/>
        <d v="2004-07-03T00:00:00"/>
        <d v="2004-07-04T00:00:00"/>
        <d v="2004-08-18T00:00:00"/>
        <d v="2004-09-03T00:00:00"/>
        <d v="2004-09-04T00:00:00"/>
        <d v="2004-09-05T00:00:00"/>
        <d v="2004-09-08T00:00:00"/>
        <d v="2004-10-08T00:00:00"/>
        <d v="2004-10-09T00:00:00"/>
        <d v="2004-10-10T00:00:00"/>
        <d v="2004-10-12T00:00:00"/>
        <d v="2004-10-13T00:00:00"/>
        <d v="2004-10-14T00:00:00"/>
        <d v="2004-11-17T00:00:00"/>
        <d v="2005-02-09T00:00:00"/>
        <d v="2005-03-25T00:00:00"/>
        <d v="2005-03-26T00:00:00"/>
        <d v="2005-03-27T00:00:00"/>
        <d v="2005-03-29T00:00:00"/>
        <d v="2005-03-30T00:00:00"/>
        <d v="2005-06-03T00:00:00"/>
        <d v="2005-06-04T00:00:00"/>
        <d v="2005-06-05T00:00:00"/>
        <d v="2005-06-07T00:00:00"/>
        <d v="2005-06-08T00:00:00"/>
        <d v="2005-06-11T00:00:00"/>
        <d v="2005-06-18T00:00:00"/>
        <d v="2005-06-19T00:00:00"/>
        <d v="2005-08-17T00:00:00"/>
        <d v="2005-09-02T00:00:00"/>
        <d v="2005-09-03T00:00:00"/>
        <d v="2005-09-04T00:00:00"/>
        <d v="2005-09-06T00:00:00"/>
        <d v="2005-09-07T00:00:00"/>
        <d v="2005-10-01T00:00:00"/>
        <d v="2005-10-08T00:00:00"/>
        <d v="2005-10-09T00:00:00"/>
        <d v="2005-10-12T00:00:00"/>
        <d v="2005-11-12T00:00:00"/>
        <d v="2005-11-16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30T00:00:00"/>
        <d v="2006-07-01T00:00:00"/>
        <d v="2006-07-04T00:00:00"/>
        <d v="2006-07-05T00:00:00"/>
        <d v="2006-07-08T00:00:00"/>
        <d v="2006-07-09T00:00:00"/>
        <d v="2007-10-08T00:00:00"/>
        <d v="2007-10-11T00:00:00"/>
        <d v="2007-10-13T00:00:00"/>
        <d v="2007-10-14T00:00:00"/>
        <d v="2007-10-16T00:00:00"/>
        <d v="2007-10-17T00:00:00"/>
        <d v="2007-10-21T00:00:00"/>
        <d v="2007-10-22T00:00:00"/>
        <d v="2007-10-26T00:00:00"/>
        <d v="2007-10-28T00:00:00"/>
        <d v="2007-10-30T00:00:00"/>
        <d v="2007-11-09T00:00:00"/>
        <d v="2007-11-17T00:00:00"/>
        <d v="2007-11-18T00:00:00"/>
        <d v="2007-11-20T00:00:00"/>
        <d v="2007-11-21T00:00:00"/>
        <d v="2008-02-03T00:00:00"/>
        <d v="2008-02-06T00:00:00"/>
        <d v="2008-03-26T00:00:00"/>
        <d v="2008-03-30T00:00:00"/>
        <d v="2008-05-31T00:00:00"/>
        <d v="2008-06-01T00:00:00"/>
        <d v="2008-06-02T00:00:00"/>
        <d v="2008-06-06T00:00:00"/>
        <d v="2008-06-07T00:00:00"/>
        <d v="2008-06-08T00:00:00"/>
        <d v="2008-06-14T00:00:00"/>
        <d v="2008-06-15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8T00:00:00"/>
        <d v="2008-08-20T00:00:00"/>
        <d v="2008-09-05T00:00:00"/>
        <d v="2008-09-06T00:00:00"/>
        <d v="2008-09-07T00:00:00"/>
        <d v="2008-09-09T00:00:00"/>
        <d v="2008-09-10T00:00:00"/>
        <d v="2008-10-11T00:00:00"/>
        <d v="2008-10-12T00:00:00"/>
        <d v="2008-10-14T00:00:00"/>
        <d v="2008-10-15T00:00:00"/>
        <d v="2008-11-19T00:00:00"/>
        <d v="2009-02-11T00:00:00"/>
        <d v="2009-03-28T00:00:00"/>
        <d v="2009-03-29T00:00:00"/>
        <d v="2009-03-31T00:00:00"/>
        <d v="2009-04-01T00:00:00"/>
        <d v="2009-06-03T00:00:00"/>
        <d v="2009-06-06T00:00:00"/>
        <d v="2009-06-07T00:00:00"/>
        <d v="2009-06-10T00:00:00"/>
        <d v="2009-06-17T00:00:00"/>
        <d v="2009-06-20T00:00:00"/>
        <d v="2009-06-21T00:00:00"/>
        <d v="2009-07-05T00:00:00"/>
        <d v="2009-08-12T00:00:00"/>
        <d v="2009-09-05T00:00:00"/>
        <d v="2009-09-06T00:00:00"/>
        <d v="2009-09-09T00:00:00"/>
        <d v="2009-10-10T00:00:00"/>
        <d v="2009-10-11T00:00:00"/>
        <d v="2009-10-14T00:00:00"/>
        <d v="2009-11-14T00:00:00"/>
        <d v="2009-11-15T00:00:00"/>
        <d v="2009-11-18T00:00:00"/>
        <d v="2010-06-11T00:00:00"/>
        <d v="2010-06-12T00:00:00"/>
        <d v="2010-06-13T00:00:00"/>
        <d v="2010-06-14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7-02T00:00:00"/>
        <d v="2010-07-03T00:00:00"/>
        <d v="2010-07-06T00:00:00"/>
        <d v="2010-07-07T00:00:00"/>
        <d v="2010-07-10T00:00:00"/>
        <d v="2010-07-11T00:00:00"/>
        <d v="2011-06-29T00:00:00"/>
        <d v="2011-07-02T00:00:00"/>
        <d v="2011-07-03T00:00:00"/>
        <d v="2011-07-23T00:00:00"/>
        <d v="2011-07-28T00:00:00"/>
        <d v="2011-09-02T00:00:00"/>
        <d v="2011-09-06T00:00:00"/>
        <d v="2011-10-07T00:00:00"/>
        <d v="2011-10-11T00:00:00"/>
        <d v="2011-11-11T00:00:00"/>
        <d v="2011-11-14T00:00:00"/>
        <d v="2011-11-15T00:00:00"/>
        <d v="2011-11-22T00:00:00"/>
        <d v="2011-11-24T00:00:00"/>
        <d v="2011-11-26T00:00:00"/>
        <d v="2012-02-29T00:00:00"/>
        <d v="2012-06-01T00:00:00"/>
        <d v="2012-06-02T00:00:00"/>
        <d v="2012-06-03T00:00:00"/>
        <d v="2012-06-08T00:00:00"/>
        <d v="2012-06-09T00:00:00"/>
        <d v="2012-06-10T00:00:00"/>
        <d v="2012-06-12T00:00:00"/>
        <d v="2012-09-07T00:00:00"/>
        <d v="2012-09-11T00:00:00"/>
        <d v="2012-10-12T00:00:00"/>
        <d v="2012-10-16T00:00:00"/>
        <d v="2012-10-17T00:00:00"/>
        <d v="2012-11-14T00:00:00"/>
        <d v="2013-02-06T00:00:00"/>
        <d v="2013-03-22T00:00:00"/>
        <d v="2013-03-23T00:00:00"/>
        <d v="2013-03-24T00:00:00"/>
        <d v="2013-03-26T00:00:00"/>
        <d v="2013-06-04T00:00:00"/>
        <d v="2013-06-05T00:00:00"/>
        <d v="2013-06-07T00:00:00"/>
        <d v="2013-06-08T00:00:00"/>
        <d v="2013-06-09T00:00:00"/>
        <d v="2013-06-11T00:00:00"/>
        <d v="2013-06-12T00:00:00"/>
        <d v="2013-06-14T00:00:00"/>
        <d v="2013-06-15T00:00:00"/>
        <d v="2013-06-16T00:00:00"/>
        <d v="2013-06-18T00:00:00"/>
        <d v="2013-09-06T00:00:00"/>
        <d v="2013-09-07T00:00:00"/>
        <d v="2013-09-08T00:00:00"/>
        <d v="2013-09-10T00:00:00"/>
        <d v="2013-10-11T00:00:00"/>
        <d v="2013-10-12T00:00:00"/>
        <d v="2013-10-13T00:00:00"/>
        <d v="2013-10-15T00:00:00"/>
        <d v="2013-11-13T00:00:00"/>
        <d v="2013-11-15T00:00:00"/>
        <d v="2013-11-16T00:00:00"/>
        <d v="2013-11-17T00:00:00"/>
        <d v="2013-11-19T00:00:00"/>
        <d v="2013-11-20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8T00:00:00"/>
        <d v="2014-06-29T00:00:00"/>
        <d v="2014-06-30T00:00:00"/>
        <d v="2014-07-01T00:00:00"/>
        <d v="2014-07-04T00:00:00"/>
        <d v="2014-07-05T00:00:00"/>
        <d v="2014-07-08T00:00:00"/>
        <d v="2014-07-09T00:00:00"/>
        <d v="2014-07-12T00:00:00"/>
        <d v="2014-07-13T00:00:00"/>
        <d v="2015-03-12T00:00:00"/>
        <d v="2015-03-17T00:00:00"/>
        <d v="2015-03-22T00:00:00"/>
        <d v="2015-03-26T00:00:00"/>
        <d v="2015-03-29T00:00:00"/>
        <d v="2015-05-24T00:00:00"/>
        <d v="2015-06-07T00:00:00"/>
        <d v="2015-06-10T00:00:00"/>
        <d v="2015-06-11T00:00:00"/>
        <d v="2015-06-12T00:00:00"/>
        <d v="2015-06-14T00:00:00"/>
        <d v="2015-06-15T00:00:00"/>
        <d v="2015-06-16T00:00:00"/>
        <d v="2015-08-31T00:00:00"/>
        <d v="2015-09-02T00:00:00"/>
        <d v="2015-09-03T00:00:00"/>
        <d v="2015-09-04T00:00:00"/>
        <d v="2015-09-08T00:00:00"/>
        <d v="2015-10-07T00:00:00"/>
        <d v="2015-10-08T00:00:00"/>
        <d v="2015-10-09T00:00:00"/>
        <d v="2015-10-10T00:00:00"/>
        <d v="2015-10-11T00:00:00"/>
        <d v="2015-10-13T00:00:00"/>
        <d v="2015-10-17T00:00:00"/>
        <d v="2015-11-11T00:00:00"/>
        <d v="2015-11-12T00:00:00"/>
        <d v="2015-11-13T00:00:00"/>
        <d v="2015-11-14T00:00:00"/>
        <d v="2015-11-15T00:00:00"/>
        <d v="2015-11-17T00:00:00"/>
        <d v="2016-03-24T00:00:00"/>
        <d v="2016-03-25T00:00:00"/>
        <d v="2016-03-29T00:00:00"/>
        <d v="2016-09-01T00:00:00"/>
        <d v="2016-09-02T00:00:00"/>
        <d v="2016-09-04T00:00:00"/>
        <d v="2016-09-05T00:00:00"/>
        <d v="2016-09-06T00:00:00"/>
        <d v="2016-10-06T00:00:00"/>
        <d v="2016-10-07T00:00:00"/>
        <d v="2016-10-08T00:00:00"/>
        <d v="2016-10-09T00:00:00"/>
        <d v="2016-10-10T00:00:00"/>
        <d v="2016-10-11T00:00:00"/>
        <d v="2016-11-10T00:00:00"/>
        <d v="2016-11-11T00:00:00"/>
        <d v="2016-11-12T00:00:00"/>
        <d v="2016-11-13T00:00:00"/>
        <d v="2016-11-15T00:00:00"/>
        <d v="2017-03-23T00:00:00"/>
        <d v="2017-03-24T00:00:00"/>
        <d v="2017-03-25T00:00:00"/>
        <d v="2017-03-26T00:00:00"/>
        <d v="2017-03-28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10-05T00:00:00"/>
        <d v="2017-10-06T00:00:00"/>
        <d v="2017-10-07T00:00:00"/>
        <d v="2017-10-08T00:00:00"/>
        <d v="2017-10-09T00:00:00"/>
        <d v="2017-10-10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30T00:00:00"/>
        <d v="2018-07-01T00:00:00"/>
        <d v="2018-07-02T00:00:00"/>
        <d v="2018-07-03T00:00:00"/>
        <d v="2018-07-06T00:00:00"/>
        <d v="2018-07-07T00:00:00"/>
        <d v="2018-07-10T00:00:00"/>
        <d v="2018-07-11T00:00:00"/>
        <d v="2018-07-14T00:00:00"/>
        <d v="2018-07-15T00:00:00"/>
        <d v="2019-06-06T00:00:00"/>
        <d v="2019-06-07T00:00:00"/>
        <d v="2019-06-11T00:00:00"/>
        <d v="2019-09-04T00:00:00"/>
        <d v="2019-09-05T00:00:00"/>
        <d v="2019-09-06T00:00:00"/>
        <d v="2019-09-07T00:00:00"/>
        <d v="2019-09-08T00:00:00"/>
        <d v="2019-09-10T00:00:00"/>
        <d v="2019-10-10T00:00:00"/>
        <d v="2019-10-15T00:00:00"/>
        <d v="2019-11-14T00:00:00"/>
        <d v="2019-11-19T00:00:00"/>
        <d v="2020-10-08T00:00:00"/>
        <d v="2020-10-09T00:00:00"/>
        <d v="2020-10-13T00:00:00"/>
        <d v="2020-11-12T00:00:00"/>
        <d v="2020-11-13T00:00:00"/>
        <d v="2020-11-17T00:00:00"/>
        <d v="2020-12-04T00:00:00"/>
        <d v="2021-03-24T00:00:00"/>
        <d v="2021-03-25T00:00:00"/>
        <d v="2021-03-27T00:00:00"/>
        <d v="2021-03-28T00:00:00"/>
        <d v="2021-03-29T00:00:00"/>
        <d v="2021-03-30T00:00:00"/>
        <d v="2021-03-31T00:00:00"/>
        <d v="2021-05-28T00:00:00"/>
        <d v="2021-06-02T00:00:00"/>
        <d v="2021-06-03T00:00:00"/>
        <d v="2021-06-04T00:00:00"/>
        <d v="2021-06-05T00:00:00"/>
        <d v="2021-06-07T00:00:00"/>
        <d v="2021-06-08T00:00:00"/>
        <d v="2021-06-09T00:00:00"/>
        <d v="2021-06-11T00:00:00"/>
        <d v="2021-06-12T00:00:00"/>
        <d v="2021-06-13T00:00:00"/>
        <d v="2021-06-15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1-11T00:00:00"/>
        <d v="2021-11-12T00:00:00"/>
        <d v="2021-11-13T00:00:00"/>
        <d v="2021-11-14T00:00:00"/>
        <d v="2021-11-15T00:00:00"/>
        <d v="2021-11-16T00:00:00"/>
        <d v="2022-01-27T00:00:00"/>
        <d v="2022-01-28T00:00:00"/>
        <d v="2022-01-30T00:00:00"/>
        <d v="2022-02-01T00:00:00"/>
        <d v="2022-02-02T00:00:00"/>
        <d v="2022-03-18T00:00:00"/>
        <d v="2022-03-21T00:00:00"/>
        <d v="2022-03-24T00:00:00"/>
        <d v="2022-03-25T00:00:00"/>
        <d v="2022-03-27T00:00:00"/>
        <d v="2022-03-29T00:00:00"/>
        <d v="2022-03-30T00:00:00"/>
        <d v="2022-06-07T00:00:00"/>
        <d v="2022-06-13T00:00:00"/>
        <d v="2022-06-14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9T00:00:00"/>
        <d v="2022-12-10T00:00:00"/>
        <d v="2022-12-13T00:00:00"/>
        <d v="2022-12-14T00:00:00"/>
        <d v="2022-12-17T00:00:00"/>
        <d v="2022-12-18T00:00:00"/>
        <d v="2023-09-07T00:00:00"/>
        <d v="2023-09-08T00:00:00"/>
        <d v="2023-09-12T00:00:00"/>
        <d v="2023-10-12T00:00:00"/>
        <d v="2023-10-17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4-03-21T00:00:00"/>
        <d v="2024-03-26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9-05T00:00:00"/>
        <d v="2024-09-06T00:00:00"/>
        <d v="2024-09-10T00:00:00"/>
        <d v="2024-10-10T00:00:00"/>
        <d v="2024-10-11T00:00:00"/>
        <d v="2024-10-12T00:00:00"/>
        <d v="2024-10-15T00:00:00"/>
        <d v="2024-11-14T00:00:00"/>
        <d v="2024-11-15T00:00:00"/>
        <d v="2024-11-17T00:00:00"/>
        <d v="2024-11-18T00:00:00"/>
        <d v="2024-11-19T00:00:00"/>
      </sharedItems>
    </cacheField>
    <cacheField name="decade" numFmtId="1">
      <sharedItems containsSemiMixedTypes="0" containsString="0" containsNumber="1" containsInteger="1" minValue="1960" maxValue="2024" count="56">
        <n v="1960"/>
        <n v="1961"/>
        <n v="1962"/>
        <n v="1964"/>
        <n v="1965"/>
        <n v="1966"/>
        <n v="1968"/>
        <n v="1969"/>
        <n v="1970"/>
        <n v="1971"/>
        <n v="1972"/>
        <n v="1973"/>
        <n v="1974"/>
        <n v="1976"/>
        <n v="1977"/>
        <n v="1978"/>
        <n v="1980"/>
        <n v="1981"/>
        <n v="1982"/>
        <n v="1984"/>
        <n v="1985"/>
        <n v="1986"/>
        <n v="1988"/>
        <n v="1989"/>
        <n v="1990"/>
        <n v="1992"/>
        <n v="1993"/>
        <n v="1994"/>
        <n v="1996"/>
        <n v="1997"/>
        <n v="1998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home_team" numFmtId="0">
      <sharedItems/>
    </cacheField>
    <cacheField name="away_team" numFmtId="0">
      <sharedItems/>
    </cacheField>
    <cacheField name="home_score" numFmtId="0">
      <sharedItems containsSemiMixedTypes="0" containsString="0" containsNumber="1" containsInteger="1" minValue="0" maxValue="22"/>
    </cacheField>
    <cacheField name="away_score" numFmtId="0">
      <sharedItems containsSemiMixedTypes="0" containsString="0" containsNumber="1" containsInteger="1" minValue="0" maxValue="17"/>
    </cacheField>
    <cacheField name="tournament" numFmtId="0">
      <sharedItems/>
    </cacheField>
    <cacheField name="city" numFmtId="0">
      <sharedItems/>
    </cacheField>
    <cacheField name="country" numFmtId="0">
      <sharedItems/>
    </cacheField>
    <cacheField name="neutral" numFmtId="0">
      <sharedItems/>
    </cacheField>
    <cacheField name="year" numFmtId="0">
      <sharedItems containsSemiMixedTypes="0" containsString="0" containsNumber="1" containsInteger="1" minValue="1960" maxValue="2024"/>
    </cacheField>
    <cacheField name="Home_GDP" numFmtId="0">
      <sharedItems containsSemiMixedTypes="0" containsString="0" containsNumber="1" containsInteger="1" minValue="80913200" maxValue="25604848907611"/>
    </cacheField>
    <cacheField name="Away_GDP" numFmtId="0">
      <sharedItems containsSemiMixedTypes="0" containsString="0" containsNumber="1" containsInteger="1" minValue="80913200" maxValue="25604848907611"/>
    </cacheField>
    <cacheField name="Significantly_Wealthier" numFmtId="0">
      <sharedItems count="2">
        <b v="1"/>
        <b v="0"/>
      </sharedItems>
    </cacheField>
    <cacheField name="Wealthier_Winner" numFmtId="0">
      <sharedItems containsSemiMixedTypes="0" containsString="0" containsNumber="1" containsInteger="1" minValue="-1" maxValue="1"/>
    </cacheField>
    <cacheField name="Wealthier_Winner_Written" numFmtId="0">
      <sharedItems count="5">
        <s v="Wealthier Nation Loses"/>
        <s v="Tie"/>
        <s v="Wealthier Nation Wins"/>
        <s v="No" u="1"/>
        <s v="Ye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J Conti" refreshedDate="46180.295080787037" createdVersion="8" refreshedVersion="8" minRefreshableVersion="3" recordCount="7" xr:uid="{4C94A00D-D6FA-4763-8137-5C5307072015}">
  <cacheSource type="worksheet">
    <worksheetSource name="Table2"/>
  </cacheSource>
  <cacheFields count="9">
    <cacheField name="Decade" numFmtId="0">
      <sharedItems containsSemiMixedTypes="0" containsString="0" containsNumber="1" containsInteger="1" minValue="1960" maxValue="2020" count="7">
        <n v="1960"/>
        <n v="1970"/>
        <n v="1980"/>
        <n v="1990"/>
        <n v="2000"/>
        <n v="2010"/>
        <n v="2020"/>
      </sharedItems>
    </cacheField>
    <cacheField name="Significantly_Wealthier_Count" numFmtId="0">
      <sharedItems containsSemiMixedTypes="0" containsString="0" containsNumber="1" containsInteger="1" minValue="179" maxValue="1509"/>
    </cacheField>
    <cacheField name="Significantly_Wealthier_Win_Percent" numFmtId="9">
      <sharedItems containsSemiMixedTypes="0" containsString="0" containsNumber="1" minValue="0.52513966480446927" maxValue="0.60058737151248165"/>
    </cacheField>
    <cacheField name="Significantly_Wealthier_Tie_Percent" numFmtId="9">
      <sharedItems containsSemiMixedTypes="0" containsString="0" containsNumber="1" minValue="0.19225806451612903" maxValue="0.2304147465437788"/>
    </cacheField>
    <cacheField name="Significantly_Wealthier_Lose_Percent" numFmtId="9">
      <sharedItems containsSemiMixedTypes="0" containsString="0" containsNumber="1" minValue="0.1776798825256975" maxValue="0.25139664804469275"/>
    </cacheField>
    <cacheField name="Count" numFmtId="0">
      <sharedItems containsSemiMixedTypes="0" containsString="0" containsNumber="1" containsInteger="1" minValue="245" maxValue="1941"/>
    </cacheField>
    <cacheField name="Wealthier_Win_Percent" numFmtId="9">
      <sharedItems containsSemiMixedTypes="0" containsString="0" containsNumber="1" minValue="0.47755102040816327" maxValue="0.55922551252847386"/>
    </cacheField>
    <cacheField name="Wealthier_Tie_Percent" numFmtId="9">
      <sharedItems containsSemiMixedTypes="0" containsString="0" containsNumber="1" minValue="0.20816326530612245" maxValue="0.22742474916387959"/>
    </cacheField>
    <cacheField name="Wealthier_Lose_Percent" numFmtId="9">
      <sharedItems containsSemiMixedTypes="0" containsString="0" containsNumber="1" minValue="0.2152619589977221" maxValue="0.31428571428571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0">
  <r>
    <x v="0"/>
    <x v="0"/>
    <x v="0"/>
    <s v="Costa Rica"/>
    <s v="Guatemala"/>
    <n v="3"/>
    <n v="2"/>
    <s v="FIFA World Cup qualification"/>
    <s v="San Jos√©"/>
    <s v="Costa Rica"/>
    <b v="0"/>
    <n v="1960"/>
    <n v="507513829"/>
    <n v="1043599900"/>
    <x v="0"/>
    <n v="-1"/>
    <x v="0"/>
  </r>
  <r>
    <x v="1"/>
    <x v="1"/>
    <x v="0"/>
    <s v="Ghana"/>
    <s v="Nigeria"/>
    <n v="4"/>
    <n v="1"/>
    <s v="FIFA World Cup qualification"/>
    <s v="Accra"/>
    <s v="Ghana"/>
    <b v="0"/>
    <n v="1960"/>
    <n v="1217230094"/>
    <n v="4196174501"/>
    <x v="0"/>
    <n v="-1"/>
    <x v="0"/>
  </r>
  <r>
    <x v="2"/>
    <x v="1"/>
    <x v="0"/>
    <s v="Guatemala"/>
    <s v="Costa Rica"/>
    <n v="4"/>
    <n v="4"/>
    <s v="FIFA World Cup qualification"/>
    <s v="Guatemala City"/>
    <s v="Guatemala"/>
    <b v="0"/>
    <n v="1960"/>
    <n v="1043599900"/>
    <n v="507513829"/>
    <x v="0"/>
    <n v="0"/>
    <x v="1"/>
  </r>
  <r>
    <x v="3"/>
    <x v="2"/>
    <x v="0"/>
    <s v="Honduras"/>
    <s v="Costa Rica"/>
    <n v="2"/>
    <n v="1"/>
    <s v="FIFA World Cup qualification"/>
    <s v="Tegucigalpa"/>
    <s v="Honduras"/>
    <b v="0"/>
    <n v="1960"/>
    <n v="475650000"/>
    <n v="507513829"/>
    <x v="1"/>
    <n v="-1"/>
    <x v="0"/>
  </r>
  <r>
    <x v="4"/>
    <x v="3"/>
    <x v="0"/>
    <s v="Nigeria"/>
    <s v="Ghana"/>
    <n v="2"/>
    <n v="2"/>
    <s v="FIFA World Cup qualification"/>
    <s v="Lagos"/>
    <s v="Nigeria"/>
    <b v="0"/>
    <n v="1960"/>
    <n v="4196174501"/>
    <n v="1217230094"/>
    <x v="0"/>
    <n v="0"/>
    <x v="1"/>
  </r>
  <r>
    <x v="5"/>
    <x v="4"/>
    <x v="0"/>
    <s v="Costa Rica"/>
    <s v="Honduras"/>
    <n v="5"/>
    <n v="0"/>
    <s v="FIFA World Cup qualification"/>
    <s v="San Jos√©"/>
    <s v="Costa Rica"/>
    <b v="0"/>
    <n v="1960"/>
    <n v="507513829"/>
    <n v="475650000"/>
    <x v="1"/>
    <n v="1"/>
    <x v="2"/>
  </r>
  <r>
    <x v="6"/>
    <x v="5"/>
    <x v="0"/>
    <s v="Finland"/>
    <s v="France"/>
    <n v="1"/>
    <n v="2"/>
    <s v="FIFA World Cup qualification"/>
    <s v="Helsinki"/>
    <s v="Finland"/>
    <b v="0"/>
    <n v="1960"/>
    <n v="5279481824"/>
    <n v="61959085885"/>
    <x v="0"/>
    <n v="1"/>
    <x v="2"/>
  </r>
  <r>
    <x v="7"/>
    <x v="5"/>
    <x v="0"/>
    <s v="Honduras"/>
    <s v="Guatemala"/>
    <n v="1"/>
    <n v="1"/>
    <s v="FIFA World Cup qualification"/>
    <s v="Tegucigalpa"/>
    <s v="Honduras"/>
    <b v="0"/>
    <n v="1960"/>
    <n v="475650000"/>
    <n v="1043599900"/>
    <x v="0"/>
    <n v="0"/>
    <x v="1"/>
  </r>
  <r>
    <x v="8"/>
    <x v="6"/>
    <x v="0"/>
    <s v="Luxembourg"/>
    <s v="England"/>
    <n v="0"/>
    <n v="9"/>
    <s v="FIFA World Cup qualification"/>
    <s v="Luxembourg"/>
    <s v="Luxembourg"/>
    <b v="0"/>
    <n v="1960"/>
    <n v="709941874"/>
    <n v="73233967692"/>
    <x v="0"/>
    <n v="1"/>
    <x v="2"/>
  </r>
  <r>
    <x v="9"/>
    <x v="6"/>
    <x v="0"/>
    <s v="Sweden"/>
    <s v="Belgium"/>
    <n v="2"/>
    <n v="0"/>
    <s v="FIFA World Cup qualification"/>
    <s v="Solna"/>
    <s v="Sweden"/>
    <b v="0"/>
    <n v="1960"/>
    <n v="15930075466"/>
    <n v="11810619368"/>
    <x v="1"/>
    <n v="1"/>
    <x v="2"/>
  </r>
  <r>
    <x v="10"/>
    <x v="7"/>
    <x v="0"/>
    <s v="United States"/>
    <s v="Mexico"/>
    <n v="3"/>
    <n v="3"/>
    <s v="FIFA World Cup qualification"/>
    <s v="Los Angeles"/>
    <s v="United States"/>
    <b v="0"/>
    <n v="1960"/>
    <n v="541988586206"/>
    <n v="13040000000"/>
    <x v="0"/>
    <n v="0"/>
    <x v="1"/>
  </r>
  <r>
    <x v="11"/>
    <x v="8"/>
    <x v="0"/>
    <s v="South Korea"/>
    <s v="Japan"/>
    <n v="2"/>
    <n v="1"/>
    <s v="FIFA World Cup qualification"/>
    <s v="Seoul"/>
    <s v="South Korea"/>
    <b v="0"/>
    <n v="1960"/>
    <n v="3973069306"/>
    <n v="47419238274"/>
    <x v="0"/>
    <n v="-1"/>
    <x v="0"/>
  </r>
  <r>
    <x v="12"/>
    <x v="8"/>
    <x v="0"/>
    <s v="Mexico"/>
    <s v="United States"/>
    <n v="3"/>
    <n v="0"/>
    <s v="FIFA World Cup qualification"/>
    <s v="Mexico City"/>
    <s v="Mexico"/>
    <b v="0"/>
    <n v="1960"/>
    <n v="13040000000"/>
    <n v="541988586206"/>
    <x v="0"/>
    <n v="-1"/>
    <x v="0"/>
  </r>
  <r>
    <x v="13"/>
    <x v="9"/>
    <x v="0"/>
    <s v="Belgium"/>
    <s v="Switzerland"/>
    <n v="2"/>
    <n v="4"/>
    <s v="FIFA World Cup qualification"/>
    <s v="Brussels"/>
    <s v="Belgium"/>
    <b v="0"/>
    <n v="1960"/>
    <n v="11810619368"/>
    <n v="10412232620"/>
    <x v="1"/>
    <n v="-1"/>
    <x v="0"/>
  </r>
  <r>
    <x v="14"/>
    <x v="9"/>
    <x v="0"/>
    <s v="Greece"/>
    <s v="Germany"/>
    <n v="0"/>
    <n v="3"/>
    <s v="FIFA World Cup qualification"/>
    <s v="Athens"/>
    <s v="Greece"/>
    <b v="0"/>
    <n v="1960"/>
    <n v="4274890306"/>
    <n v="84619845881"/>
    <x v="0"/>
    <n v="1"/>
    <x v="2"/>
  </r>
  <r>
    <x v="15"/>
    <x v="10"/>
    <x v="0"/>
    <s v="Ecuador"/>
    <s v="Argentina"/>
    <n v="3"/>
    <n v="6"/>
    <s v="FIFA World Cup qualification"/>
    <s v="Guayaquil"/>
    <s v="Ecuador"/>
    <b v="0"/>
    <n v="1960"/>
    <n v="2069464937"/>
    <n v="15865474315"/>
    <x v="0"/>
    <n v="1"/>
    <x v="2"/>
  </r>
  <r>
    <x v="16"/>
    <x v="11"/>
    <x v="0"/>
    <s v="Argentina"/>
    <s v="Ecuador"/>
    <n v="5"/>
    <n v="0"/>
    <s v="FIFA World Cup qualification"/>
    <s v="Buenos Aires"/>
    <s v="Argentina"/>
    <b v="0"/>
    <n v="1960"/>
    <n v="15865474315"/>
    <n v="2069464937"/>
    <x v="0"/>
    <n v="1"/>
    <x v="2"/>
  </r>
  <r>
    <x v="17"/>
    <x v="12"/>
    <x v="1"/>
    <s v="Costa Rica"/>
    <s v="Honduras"/>
    <n v="1"/>
    <n v="0"/>
    <s v="FIFA World Cup qualification"/>
    <s v="Guatemala City"/>
    <s v="Guatemala"/>
    <b v="1"/>
    <n v="1961"/>
    <n v="490325181"/>
    <n v="503300000"/>
    <x v="1"/>
    <n v="-1"/>
    <x v="0"/>
  </r>
  <r>
    <x v="18"/>
    <x v="13"/>
    <x v="1"/>
    <s v="Morocco"/>
    <s v="Tunisia"/>
    <n v="1"/>
    <n v="1"/>
    <s v="FIFA World Cup qualification"/>
    <s v="Palermo"/>
    <s v="Italy"/>
    <b v="1"/>
    <n v="1961"/>
    <n v="2025693539"/>
    <n v="866155428"/>
    <x v="0"/>
    <n v="0"/>
    <x v="1"/>
  </r>
  <r>
    <x v="19"/>
    <x v="14"/>
    <x v="1"/>
    <s v="Israel"/>
    <s v="Ethiopia"/>
    <n v="1"/>
    <n v="0"/>
    <s v="FIFA World Cup qualification"/>
    <s v="Ramat Gan"/>
    <s v="Israel"/>
    <b v="0"/>
    <n v="1961"/>
    <n v="3708586471"/>
    <n v="1680859514"/>
    <x v="0"/>
    <n v="1"/>
    <x v="2"/>
  </r>
  <r>
    <x v="20"/>
    <x v="15"/>
    <x v="1"/>
    <s v="Israel"/>
    <s v="Ethiopia"/>
    <n v="3"/>
    <n v="2"/>
    <s v="FIFA World Cup qualification"/>
    <s v="Ramat Gan"/>
    <s v="Israel"/>
    <b v="0"/>
    <n v="1961"/>
    <n v="3708586471"/>
    <n v="1680859514"/>
    <x v="0"/>
    <n v="1"/>
    <x v="2"/>
  </r>
  <r>
    <x v="21"/>
    <x v="15"/>
    <x v="1"/>
    <s v="Portugal"/>
    <s v="Luxembourg"/>
    <n v="6"/>
    <n v="0"/>
    <s v="FIFA World Cup qualification"/>
    <s v="Oeiras"/>
    <s v="Portugal"/>
    <b v="0"/>
    <n v="1961"/>
    <n v="3573719084"/>
    <n v="710163719"/>
    <x v="0"/>
    <n v="1"/>
    <x v="2"/>
  </r>
  <r>
    <x v="22"/>
    <x v="16"/>
    <x v="1"/>
    <s v="Costa Rica"/>
    <s v="Mexico"/>
    <n v="1"/>
    <n v="0"/>
    <s v="FIFA World Cup qualification"/>
    <s v="San Jos√©"/>
    <s v="Costa Rica"/>
    <b v="0"/>
    <n v="1961"/>
    <n v="490325181"/>
    <n v="14160000000"/>
    <x v="0"/>
    <n v="-1"/>
    <x v="0"/>
  </r>
  <r>
    <x v="23"/>
    <x v="17"/>
    <x v="1"/>
    <s v="Ghana"/>
    <s v="Morocco"/>
    <n v="0"/>
    <n v="0"/>
    <s v="FIFA World Cup qualification"/>
    <s v="Accra"/>
    <s v="Ghana"/>
    <b v="0"/>
    <n v="1961"/>
    <n v="1302674324"/>
    <n v="2025693539"/>
    <x v="1"/>
    <n v="0"/>
    <x v="1"/>
  </r>
  <r>
    <x v="24"/>
    <x v="18"/>
    <x v="1"/>
    <s v="Mexico"/>
    <s v="Costa Rica"/>
    <n v="4"/>
    <n v="1"/>
    <s v="FIFA World Cup qualification"/>
    <s v="Mexico City"/>
    <s v="Mexico"/>
    <b v="0"/>
    <n v="1961"/>
    <n v="14160000000"/>
    <n v="490325181"/>
    <x v="0"/>
    <n v="1"/>
    <x v="2"/>
  </r>
  <r>
    <x v="25"/>
    <x v="19"/>
    <x v="1"/>
    <s v="Colombia"/>
    <s v="Peru"/>
    <n v="1"/>
    <n v="0"/>
    <s v="FIFA World Cup qualification"/>
    <s v="Bogot√°"/>
    <s v="Colombia"/>
    <b v="0"/>
    <n v="1961"/>
    <n v="4540447761"/>
    <n v="2897852693"/>
    <x v="1"/>
    <n v="1"/>
    <x v="2"/>
  </r>
  <r>
    <x v="26"/>
    <x v="20"/>
    <x v="1"/>
    <s v="Peru"/>
    <s v="Colombia"/>
    <n v="1"/>
    <n v="1"/>
    <s v="FIFA World Cup qualification"/>
    <s v="Lima"/>
    <s v="Peru"/>
    <b v="0"/>
    <n v="1961"/>
    <n v="2897852693"/>
    <n v="4540447761"/>
    <x v="1"/>
    <n v="0"/>
    <x v="1"/>
  </r>
  <r>
    <x v="27"/>
    <x v="21"/>
    <x v="1"/>
    <s v="Switzerland"/>
    <s v="Belgium"/>
    <n v="2"/>
    <n v="1"/>
    <s v="FIFA World Cup qualification"/>
    <s v="Lausanne"/>
    <s v="Switzerland"/>
    <b v="0"/>
    <n v="1961"/>
    <n v="11713348834"/>
    <n v="12561701694"/>
    <x v="1"/>
    <n v="-1"/>
    <x v="0"/>
  </r>
  <r>
    <x v="28"/>
    <x v="22"/>
    <x v="1"/>
    <s v="Portugal"/>
    <s v="England"/>
    <n v="1"/>
    <n v="1"/>
    <s v="FIFA World Cup qualification"/>
    <s v="Oeiras"/>
    <s v="Portugal"/>
    <b v="0"/>
    <n v="1961"/>
    <n v="3573719084"/>
    <n v="77741965703"/>
    <x v="0"/>
    <n v="0"/>
    <x v="1"/>
  </r>
  <r>
    <x v="29"/>
    <x v="23"/>
    <x v="1"/>
    <s v="Morocco"/>
    <s v="Ghana"/>
    <n v="1"/>
    <n v="0"/>
    <s v="FIFA World Cup qualification"/>
    <s v="Casablanca"/>
    <s v="Morocco"/>
    <b v="0"/>
    <n v="1961"/>
    <n v="2025693539"/>
    <n v="1302674324"/>
    <x v="1"/>
    <n v="1"/>
    <x v="2"/>
  </r>
  <r>
    <x v="30"/>
    <x v="23"/>
    <x v="1"/>
    <s v="Sweden"/>
    <s v="Switzerland"/>
    <n v="4"/>
    <n v="0"/>
    <s v="FIFA World Cup qualification"/>
    <s v="Solna"/>
    <s v="Sweden"/>
    <b v="0"/>
    <n v="1961"/>
    <n v="17329620584"/>
    <n v="11713348834"/>
    <x v="1"/>
    <n v="1"/>
    <x v="2"/>
  </r>
  <r>
    <x v="31"/>
    <x v="24"/>
    <x v="1"/>
    <s v="Japan"/>
    <s v="South Korea"/>
    <n v="0"/>
    <n v="2"/>
    <s v="FIFA World Cup qualification"/>
    <s v="Tokyo"/>
    <s v="Japan"/>
    <b v="0"/>
    <n v="1961"/>
    <n v="57266758179"/>
    <n v="2427244760"/>
    <x v="0"/>
    <n v="-1"/>
    <x v="0"/>
  </r>
  <r>
    <x v="32"/>
    <x v="25"/>
    <x v="1"/>
    <s v="Bolivia"/>
    <s v="Uruguay"/>
    <n v="1"/>
    <n v="1"/>
    <s v="FIFA World Cup qualification"/>
    <s v="La Paz"/>
    <s v="Bolivia"/>
    <b v="0"/>
    <n v="1961"/>
    <n v="410101010"/>
    <n v="1547388781"/>
    <x v="0"/>
    <n v="0"/>
    <x v="1"/>
  </r>
  <r>
    <x v="33"/>
    <x v="26"/>
    <x v="1"/>
    <s v="Uruguay"/>
    <s v="Bolivia"/>
    <n v="2"/>
    <n v="1"/>
    <s v="FIFA World Cup qualification"/>
    <s v="Montevideo"/>
    <s v="Uruguay"/>
    <b v="0"/>
    <n v="1961"/>
    <n v="1547388781"/>
    <n v="410101010"/>
    <x v="0"/>
    <n v="1"/>
    <x v="2"/>
  </r>
  <r>
    <x v="34"/>
    <x v="27"/>
    <x v="1"/>
    <s v="England"/>
    <s v="Luxembourg"/>
    <n v="4"/>
    <n v="1"/>
    <s v="FIFA World Cup qualification"/>
    <s v="London"/>
    <s v="England"/>
    <b v="0"/>
    <n v="1961"/>
    <n v="77741965703"/>
    <n v="710163719"/>
    <x v="0"/>
    <n v="1"/>
    <x v="2"/>
  </r>
  <r>
    <x v="35"/>
    <x v="27"/>
    <x v="1"/>
    <s v="France"/>
    <s v="Finland"/>
    <n v="5"/>
    <n v="1"/>
    <s v="FIFA World Cup qualification"/>
    <s v="Paris"/>
    <s v="France"/>
    <b v="0"/>
    <n v="1961"/>
    <n v="67158050215"/>
    <n v="5984433774"/>
    <x v="0"/>
    <n v="1"/>
    <x v="2"/>
  </r>
  <r>
    <x v="36"/>
    <x v="28"/>
    <x v="1"/>
    <s v="Belgium"/>
    <s v="Sweden"/>
    <n v="0"/>
    <n v="2"/>
    <s v="FIFA World Cup qualification"/>
    <s v="Brussels"/>
    <s v="Belgium"/>
    <b v="0"/>
    <n v="1961"/>
    <n v="12561701694"/>
    <n v="17329620584"/>
    <x v="1"/>
    <n v="1"/>
    <x v="2"/>
  </r>
  <r>
    <x v="37"/>
    <x v="29"/>
    <x v="1"/>
    <s v="Luxembourg"/>
    <s v="Portugal"/>
    <n v="4"/>
    <n v="2"/>
    <s v="FIFA World Cup qualification"/>
    <s v="Luxembourg"/>
    <s v="Luxembourg"/>
    <b v="0"/>
    <n v="1961"/>
    <n v="710163719"/>
    <n v="3573719084"/>
    <x v="0"/>
    <n v="-1"/>
    <x v="0"/>
  </r>
  <r>
    <x v="38"/>
    <x v="30"/>
    <x v="1"/>
    <s v="Israel"/>
    <s v="Italy"/>
    <n v="2"/>
    <n v="4"/>
    <s v="FIFA World Cup qualification"/>
    <s v="Ramat Gan"/>
    <s v="Israel"/>
    <b v="0"/>
    <n v="1961"/>
    <n v="3708586471"/>
    <n v="46649487320"/>
    <x v="0"/>
    <n v="1"/>
    <x v="2"/>
  </r>
  <r>
    <x v="39"/>
    <x v="31"/>
    <x v="1"/>
    <s v="Germany"/>
    <s v="Greece"/>
    <n v="2"/>
    <n v="1"/>
    <s v="FIFA World Cup qualification"/>
    <s v="Augsburg"/>
    <s v="Germany"/>
    <b v="0"/>
    <n v="1961"/>
    <n v="96558204043"/>
    <n v="4892397431"/>
    <x v="0"/>
    <n v="1"/>
    <x v="2"/>
  </r>
  <r>
    <x v="40"/>
    <x v="32"/>
    <x v="1"/>
    <s v="England"/>
    <s v="Portugal"/>
    <n v="2"/>
    <n v="0"/>
    <s v="FIFA World Cup qualification"/>
    <s v="London"/>
    <s v="England"/>
    <b v="0"/>
    <n v="1961"/>
    <n v="77741965703"/>
    <n v="3573719084"/>
    <x v="0"/>
    <n v="1"/>
    <x v="2"/>
  </r>
  <r>
    <x v="41"/>
    <x v="33"/>
    <x v="1"/>
    <s v="Mexico"/>
    <s v="Paraguay"/>
    <n v="1"/>
    <n v="0"/>
    <s v="FIFA World Cup qualification"/>
    <s v="Mexico City"/>
    <s v="Mexico"/>
    <b v="0"/>
    <n v="1961"/>
    <n v="14160000000"/>
    <n v="322053713"/>
    <x v="0"/>
    <n v="1"/>
    <x v="2"/>
  </r>
  <r>
    <x v="42"/>
    <x v="33"/>
    <x v="1"/>
    <s v="Switzerland"/>
    <s v="Sweden"/>
    <n v="3"/>
    <n v="2"/>
    <s v="FIFA World Cup qualification"/>
    <s v="Bern"/>
    <s v="Switzerland"/>
    <b v="0"/>
    <n v="1961"/>
    <n v="11713348834"/>
    <n v="17329620584"/>
    <x v="1"/>
    <n v="-1"/>
    <x v="0"/>
  </r>
  <r>
    <x v="43"/>
    <x v="34"/>
    <x v="1"/>
    <s v="Italy"/>
    <s v="Israel"/>
    <n v="6"/>
    <n v="0"/>
    <s v="FIFA World Cup qualification"/>
    <s v="Turin"/>
    <s v="Italy"/>
    <b v="0"/>
    <n v="1961"/>
    <n v="46649487320"/>
    <n v="3708586471"/>
    <x v="0"/>
    <n v="1"/>
    <x v="2"/>
  </r>
  <r>
    <x v="44"/>
    <x v="35"/>
    <x v="1"/>
    <s v="Paraguay"/>
    <s v="Mexico"/>
    <n v="0"/>
    <n v="0"/>
    <s v="FIFA World Cup qualification"/>
    <s v="Asunci√≥n"/>
    <s v="Paraguay"/>
    <b v="0"/>
    <n v="1961"/>
    <n v="322053713"/>
    <n v="14160000000"/>
    <x v="0"/>
    <n v="0"/>
    <x v="1"/>
  </r>
  <r>
    <x v="45"/>
    <x v="36"/>
    <x v="1"/>
    <s v="Morocco"/>
    <s v="Spain"/>
    <n v="0"/>
    <n v="1"/>
    <s v="FIFA World Cup qualification"/>
    <s v="Casablanca"/>
    <s v="Morocco"/>
    <b v="0"/>
    <n v="1961"/>
    <n v="2025693539"/>
    <n v="14238126759"/>
    <x v="0"/>
    <n v="1"/>
    <x v="2"/>
  </r>
  <r>
    <x v="46"/>
    <x v="36"/>
    <x v="1"/>
    <s v="Switzerland"/>
    <s v="Sweden"/>
    <n v="2"/>
    <n v="1"/>
    <s v="FIFA World Cup qualification"/>
    <s v="Berlin"/>
    <s v="Germany"/>
    <b v="1"/>
    <n v="1961"/>
    <n v="11713348834"/>
    <n v="17329620584"/>
    <x v="1"/>
    <n v="-1"/>
    <x v="0"/>
  </r>
  <r>
    <x v="47"/>
    <x v="37"/>
    <x v="1"/>
    <s v="Spain"/>
    <s v="Morocco"/>
    <n v="3"/>
    <n v="2"/>
    <s v="FIFA World Cup qualification"/>
    <s v="Madrid"/>
    <s v="Spain"/>
    <b v="0"/>
    <n v="1961"/>
    <n v="14238126759"/>
    <n v="2025693539"/>
    <x v="0"/>
    <n v="1"/>
    <x v="2"/>
  </r>
  <r>
    <x v="48"/>
    <x v="38"/>
    <x v="2"/>
    <s v="Brazil"/>
    <s v="Mexico"/>
    <n v="2"/>
    <n v="0"/>
    <s v="FIFA World Cup"/>
    <s v="Vi√±a del Mar"/>
    <s v="Chile"/>
    <b v="1"/>
    <n v="1962"/>
    <n v="19231747851"/>
    <n v="15200000000"/>
    <x v="1"/>
    <n v="1"/>
    <x v="2"/>
  </r>
  <r>
    <x v="49"/>
    <x v="38"/>
    <x v="2"/>
    <s v="Chile"/>
    <s v="Switzerland"/>
    <n v="3"/>
    <n v="1"/>
    <s v="FIFA World Cup"/>
    <s v="Santiago"/>
    <s v="Chile"/>
    <b v="0"/>
    <n v="1962"/>
    <n v="5765971144"/>
    <n v="12989649694"/>
    <x v="0"/>
    <n v="-1"/>
    <x v="0"/>
  </r>
  <r>
    <x v="50"/>
    <x v="38"/>
    <x v="2"/>
    <s v="Colombia"/>
    <s v="Uruguay"/>
    <n v="1"/>
    <n v="2"/>
    <s v="FIFA World Cup"/>
    <s v="Arica"/>
    <s v="Chile"/>
    <b v="1"/>
    <n v="1962"/>
    <n v="4955543963"/>
    <n v="1710004407"/>
    <x v="0"/>
    <n v="-1"/>
    <x v="0"/>
  </r>
  <r>
    <x v="51"/>
    <x v="39"/>
    <x v="2"/>
    <s v="Germany"/>
    <s v="Italy"/>
    <n v="0"/>
    <n v="0"/>
    <s v="FIFA World Cup"/>
    <s v="Santiago"/>
    <s v="Chile"/>
    <b v="1"/>
    <n v="1962"/>
    <n v="105895435234"/>
    <n v="52413872628"/>
    <x v="0"/>
    <n v="0"/>
    <x v="1"/>
  </r>
  <r>
    <x v="52"/>
    <x v="40"/>
    <x v="2"/>
    <s v="Argentina"/>
    <s v="England"/>
    <n v="1"/>
    <n v="3"/>
    <s v="FIFA World Cup"/>
    <s v="Rancagua"/>
    <s v="Chile"/>
    <b v="1"/>
    <n v="1962"/>
    <n v="18337691145"/>
    <n v="81247564156"/>
    <x v="0"/>
    <n v="1"/>
    <x v="2"/>
  </r>
  <r>
    <x v="53"/>
    <x v="40"/>
    <x v="2"/>
    <s v="Chile"/>
    <s v="Italy"/>
    <n v="2"/>
    <n v="0"/>
    <s v="FIFA World Cup"/>
    <s v="Santiago"/>
    <s v="Chile"/>
    <b v="0"/>
    <n v="1962"/>
    <n v="5765971144"/>
    <n v="52413872628"/>
    <x v="0"/>
    <n v="-1"/>
    <x v="0"/>
  </r>
  <r>
    <x v="54"/>
    <x v="41"/>
    <x v="2"/>
    <s v="Germany"/>
    <s v="Switzerland"/>
    <n v="2"/>
    <n v="1"/>
    <s v="FIFA World Cup"/>
    <s v="Santiago"/>
    <s v="Chile"/>
    <b v="1"/>
    <n v="1962"/>
    <n v="105895435234"/>
    <n v="12989649694"/>
    <x v="0"/>
    <n v="1"/>
    <x v="2"/>
  </r>
  <r>
    <x v="55"/>
    <x v="41"/>
    <x v="2"/>
    <s v="Mexico"/>
    <s v="Spain"/>
    <n v="0"/>
    <n v="1"/>
    <s v="FIFA World Cup"/>
    <s v="Vi√±a del Mar"/>
    <s v="Chile"/>
    <b v="1"/>
    <n v="1962"/>
    <n v="15200000000"/>
    <n v="16609632790"/>
    <x v="1"/>
    <n v="1"/>
    <x v="2"/>
  </r>
  <r>
    <x v="56"/>
    <x v="42"/>
    <x v="2"/>
    <s v="Brazil"/>
    <s v="Spain"/>
    <n v="2"/>
    <n v="1"/>
    <s v="FIFA World Cup"/>
    <s v="Vi√±a del Mar"/>
    <s v="Chile"/>
    <b v="1"/>
    <n v="1962"/>
    <n v="19231747851"/>
    <n v="16609632790"/>
    <x v="1"/>
    <n v="1"/>
    <x v="2"/>
  </r>
  <r>
    <x v="57"/>
    <x v="42"/>
    <x v="2"/>
    <s v="Chile"/>
    <s v="Germany"/>
    <n v="0"/>
    <n v="2"/>
    <s v="FIFA World Cup"/>
    <s v="Santiago"/>
    <s v="Chile"/>
    <b v="0"/>
    <n v="1962"/>
    <n v="5765971144"/>
    <n v="105895435234"/>
    <x v="0"/>
    <n v="1"/>
    <x v="2"/>
  </r>
  <r>
    <x v="58"/>
    <x v="43"/>
    <x v="2"/>
    <s v="Italy"/>
    <s v="Switzerland"/>
    <n v="3"/>
    <n v="0"/>
    <s v="FIFA World Cup"/>
    <s v="Santiago"/>
    <s v="Chile"/>
    <b v="1"/>
    <n v="1962"/>
    <n v="52413872628"/>
    <n v="12989649694"/>
    <x v="0"/>
    <n v="1"/>
    <x v="2"/>
  </r>
  <r>
    <x v="59"/>
    <x v="44"/>
    <x v="2"/>
    <s v="Brazil"/>
    <s v="England"/>
    <n v="3"/>
    <n v="1"/>
    <s v="FIFA World Cup"/>
    <s v="Vi√±a del Mar"/>
    <s v="Chile"/>
    <b v="1"/>
    <n v="1962"/>
    <n v="19231747851"/>
    <n v="81247564156"/>
    <x v="0"/>
    <n v="-1"/>
    <x v="0"/>
  </r>
  <r>
    <x v="60"/>
    <x v="45"/>
    <x v="2"/>
    <s v="Chile"/>
    <s v="Brazil"/>
    <n v="2"/>
    <n v="4"/>
    <s v="FIFA World Cup"/>
    <s v="Santiago"/>
    <s v="Chile"/>
    <b v="0"/>
    <n v="1962"/>
    <n v="5765971144"/>
    <n v="19231747851"/>
    <x v="0"/>
    <n v="1"/>
    <x v="2"/>
  </r>
  <r>
    <x v="61"/>
    <x v="46"/>
    <x v="3"/>
    <s v="Luxembourg"/>
    <s v="France"/>
    <n v="0"/>
    <n v="2"/>
    <s v="FIFA World Cup qualification"/>
    <s v="Luxembourg"/>
    <s v="Luxembourg"/>
    <b v="0"/>
    <n v="1964"/>
    <n v="910877686"/>
    <n v="93424179943"/>
    <x v="0"/>
    <n v="1"/>
    <x v="2"/>
  </r>
  <r>
    <x v="62"/>
    <x v="47"/>
    <x v="3"/>
    <s v="Germany"/>
    <s v="Sweden"/>
    <n v="1"/>
    <n v="1"/>
    <s v="FIFA World Cup qualification"/>
    <s v="Berlin"/>
    <s v="Germany"/>
    <b v="0"/>
    <n v="1964"/>
    <n v="123330404665"/>
    <n v="22685490195"/>
    <x v="0"/>
    <n v="0"/>
    <x v="1"/>
  </r>
  <r>
    <x v="63"/>
    <x v="47"/>
    <x v="3"/>
    <s v="Italy"/>
    <s v="Finland"/>
    <n v="6"/>
    <n v="1"/>
    <s v="FIFA World Cup qualification"/>
    <s v="Genoa"/>
    <s v="Italy"/>
    <b v="0"/>
    <n v="1964"/>
    <n v="65720771779"/>
    <n v="7848987792"/>
    <x v="0"/>
    <n v="1"/>
    <x v="2"/>
  </r>
  <r>
    <x v="64"/>
    <x v="48"/>
    <x v="3"/>
    <s v="Luxembourg"/>
    <s v="Norway"/>
    <n v="0"/>
    <n v="2"/>
    <s v="FIFA World Cup qualification"/>
    <s v="Luxembourg"/>
    <s v="Luxembourg"/>
    <b v="0"/>
    <n v="1964"/>
    <n v="910877686"/>
    <n v="7206522121"/>
    <x v="0"/>
    <n v="1"/>
    <x v="2"/>
  </r>
  <r>
    <x v="65"/>
    <x v="49"/>
    <x v="3"/>
    <s v="France"/>
    <s v="Norway"/>
    <n v="1"/>
    <n v="0"/>
    <s v="FIFA World Cup qualification"/>
    <s v="Paris"/>
    <s v="France"/>
    <b v="0"/>
    <n v="1964"/>
    <n v="93424179943"/>
    <n v="7206522121"/>
    <x v="0"/>
    <n v="1"/>
    <x v="2"/>
  </r>
  <r>
    <x v="66"/>
    <x v="50"/>
    <x v="3"/>
    <s v="Greece"/>
    <s v="Denmark"/>
    <n v="4"/>
    <n v="2"/>
    <s v="FIFA World Cup qualification"/>
    <s v="Athens"/>
    <s v="Greece"/>
    <b v="0"/>
    <n v="1964"/>
    <n v="6576906345"/>
    <n v="9677401337"/>
    <x v="1"/>
    <n v="-1"/>
    <x v="0"/>
  </r>
  <r>
    <x v="67"/>
    <x v="51"/>
    <x v="4"/>
    <s v="Trinidad and Tobago"/>
    <s v="Suriname"/>
    <n v="4"/>
    <n v="1"/>
    <s v="FIFA World Cup qualification"/>
    <s v="Port of Spain"/>
    <s v="Trinidad and Tobago"/>
    <b v="0"/>
    <n v="1965"/>
    <n v="736573158"/>
    <n v="154150000"/>
    <x v="0"/>
    <n v="1"/>
    <x v="2"/>
  </r>
  <r>
    <x v="68"/>
    <x v="52"/>
    <x v="4"/>
    <s v="Costa Rica"/>
    <s v="Suriname"/>
    <n v="1"/>
    <n v="0"/>
    <s v="FIFA World Cup qualification"/>
    <s v="San Jos√©"/>
    <s v="Costa Rica"/>
    <b v="0"/>
    <n v="1965"/>
    <n v="592981162"/>
    <n v="154150000"/>
    <x v="0"/>
    <n v="1"/>
    <x v="2"/>
  </r>
  <r>
    <x v="69"/>
    <x v="53"/>
    <x v="4"/>
    <s v="Costa Rica"/>
    <s v="Trinidad and Tobago"/>
    <n v="4"/>
    <n v="0"/>
    <s v="FIFA World Cup qualification"/>
    <s v="San Jos√©"/>
    <s v="Costa Rica"/>
    <b v="0"/>
    <n v="1965"/>
    <n v="592981162"/>
    <n v="736573158"/>
    <x v="1"/>
    <n v="-1"/>
    <x v="0"/>
  </r>
  <r>
    <x v="70"/>
    <x v="54"/>
    <x v="4"/>
    <s v="Honduras"/>
    <s v="Mexico"/>
    <n v="0"/>
    <n v="1"/>
    <s v="FIFA World Cup qualification"/>
    <s v="San Pedro Sula"/>
    <s v="Honduras"/>
    <b v="0"/>
    <n v="1965"/>
    <n v="651050000"/>
    <n v="21840000000"/>
    <x v="0"/>
    <n v="1"/>
    <x v="2"/>
  </r>
  <r>
    <x v="71"/>
    <x v="54"/>
    <x v="4"/>
    <s v="Suriname"/>
    <s v="Costa Rica"/>
    <n v="1"/>
    <n v="3"/>
    <s v="FIFA World Cup qualification"/>
    <s v="Paramaribo"/>
    <s v="Dutch Guyana"/>
    <b v="0"/>
    <n v="1965"/>
    <n v="154150000"/>
    <n v="592981162"/>
    <x v="0"/>
    <n v="1"/>
    <x v="2"/>
  </r>
  <r>
    <x v="72"/>
    <x v="55"/>
    <x v="4"/>
    <s v="Mexico"/>
    <s v="Honduras"/>
    <n v="3"/>
    <n v="0"/>
    <s v="FIFA World Cup qualification"/>
    <s v="Mexico City"/>
    <s v="Mexico"/>
    <b v="0"/>
    <n v="1965"/>
    <n v="21840000000"/>
    <n v="651050000"/>
    <x v="0"/>
    <n v="1"/>
    <x v="2"/>
  </r>
  <r>
    <x v="73"/>
    <x v="56"/>
    <x v="4"/>
    <s v="Trinidad and Tobago"/>
    <s v="Costa Rica"/>
    <n v="0"/>
    <n v="1"/>
    <s v="FIFA World Cup qualification"/>
    <s v="Port of Spain"/>
    <s v="Trinidad and Tobago"/>
    <b v="0"/>
    <n v="1965"/>
    <n v="736573158"/>
    <n v="592981162"/>
    <x v="1"/>
    <n v="-1"/>
    <x v="0"/>
  </r>
  <r>
    <x v="74"/>
    <x v="56"/>
    <x v="4"/>
    <s v="United States"/>
    <s v="Mexico"/>
    <n v="2"/>
    <n v="2"/>
    <s v="FIFA World Cup qualification"/>
    <s v="Los Angeles"/>
    <s v="United States"/>
    <b v="0"/>
    <n v="1965"/>
    <n v="741904862068"/>
    <n v="21840000000"/>
    <x v="0"/>
    <n v="0"/>
    <x v="1"/>
  </r>
  <r>
    <x v="75"/>
    <x v="57"/>
    <x v="4"/>
    <s v="Mexico"/>
    <s v="United States"/>
    <n v="2"/>
    <n v="0"/>
    <s v="FIFA World Cup qualification"/>
    <s v="Mexico City"/>
    <s v="Mexico"/>
    <b v="0"/>
    <n v="1965"/>
    <n v="21840000000"/>
    <n v="741904862068"/>
    <x v="0"/>
    <n v="-1"/>
    <x v="0"/>
  </r>
  <r>
    <x v="76"/>
    <x v="58"/>
    <x v="4"/>
    <s v="Suriname"/>
    <s v="Trinidad and Tobago"/>
    <n v="6"/>
    <n v="1"/>
    <s v="FIFA World Cup qualification"/>
    <s v="Paramaribo"/>
    <s v="Dutch Guyana"/>
    <b v="0"/>
    <n v="1965"/>
    <n v="154150000"/>
    <n v="736573158"/>
    <x v="0"/>
    <n v="-1"/>
    <x v="0"/>
  </r>
  <r>
    <x v="77"/>
    <x v="59"/>
    <x v="4"/>
    <s v="Honduras"/>
    <s v="United States"/>
    <n v="0"/>
    <n v="1"/>
    <s v="FIFA World Cup qualification"/>
    <s v="San Pedro Sula"/>
    <s v="Honduras"/>
    <b v="0"/>
    <n v="1965"/>
    <n v="651050000"/>
    <n v="741904862068"/>
    <x v="0"/>
    <n v="1"/>
    <x v="2"/>
  </r>
  <r>
    <x v="78"/>
    <x v="60"/>
    <x v="4"/>
    <s v="Honduras"/>
    <s v="United States"/>
    <n v="1"/>
    <n v="1"/>
    <s v="FIFA World Cup qualification"/>
    <s v="Tegucigalpa"/>
    <s v="Honduras"/>
    <b v="0"/>
    <n v="1965"/>
    <n v="651050000"/>
    <n v="741904862068"/>
    <x v="0"/>
    <n v="0"/>
    <x v="1"/>
  </r>
  <r>
    <x v="79"/>
    <x v="61"/>
    <x v="4"/>
    <s v="Costa Rica"/>
    <s v="Mexico"/>
    <n v="0"/>
    <n v="0"/>
    <s v="FIFA World Cup qualification"/>
    <s v="San Jos√©"/>
    <s v="Costa Rica"/>
    <b v="0"/>
    <n v="1965"/>
    <n v="592981162"/>
    <n v="21840000000"/>
    <x v="0"/>
    <n v="0"/>
    <x v="1"/>
  </r>
  <r>
    <x v="80"/>
    <x v="62"/>
    <x v="4"/>
    <s v="Jamaica"/>
    <s v="Mexico"/>
    <n v="2"/>
    <n v="3"/>
    <s v="FIFA World Cup qualification"/>
    <s v="Kingston"/>
    <s v="Jamaica"/>
    <b v="0"/>
    <n v="1965"/>
    <n v="972159611"/>
    <n v="21840000000"/>
    <x v="0"/>
    <n v="1"/>
    <x v="2"/>
  </r>
  <r>
    <x v="81"/>
    <x v="63"/>
    <x v="4"/>
    <s v="Mexico"/>
    <s v="Jamaica"/>
    <n v="8"/>
    <n v="0"/>
    <s v="FIFA World Cup qualification"/>
    <s v="Mexico City"/>
    <s v="Mexico"/>
    <b v="0"/>
    <n v="1965"/>
    <n v="21840000000"/>
    <n v="972159611"/>
    <x v="0"/>
    <n v="1"/>
    <x v="2"/>
  </r>
  <r>
    <x v="82"/>
    <x v="64"/>
    <x v="4"/>
    <s v="Belgium"/>
    <s v="Israel"/>
    <n v="1"/>
    <n v="0"/>
    <s v="FIFA World Cup qualification"/>
    <s v="Brussels"/>
    <s v="Belgium"/>
    <b v="0"/>
    <n v="1965"/>
    <n v="17597783297"/>
    <n v="4329084428"/>
    <x v="0"/>
    <n v="1"/>
    <x v="2"/>
  </r>
  <r>
    <x v="83"/>
    <x v="65"/>
    <x v="4"/>
    <s v="Costa Rica"/>
    <s v="Jamaica"/>
    <n v="7"/>
    <n v="0"/>
    <s v="FIFA World Cup qualification"/>
    <s v="San Jos√©"/>
    <s v="Costa Rica"/>
    <b v="0"/>
    <n v="1965"/>
    <n v="592981162"/>
    <n v="972159611"/>
    <x v="1"/>
    <n v="-1"/>
    <x v="0"/>
  </r>
  <r>
    <x v="84"/>
    <x v="66"/>
    <x v="4"/>
    <s v="Mexico"/>
    <s v="Costa Rica"/>
    <n v="1"/>
    <n v="0"/>
    <s v="FIFA World Cup qualification"/>
    <s v="Mexico City"/>
    <s v="Mexico"/>
    <b v="0"/>
    <n v="1965"/>
    <n v="21840000000"/>
    <n v="592981162"/>
    <x v="0"/>
    <n v="1"/>
    <x v="2"/>
  </r>
  <r>
    <x v="85"/>
    <x v="66"/>
    <x v="4"/>
    <s v="Peru"/>
    <s v="Venezuela"/>
    <n v="1"/>
    <n v="0"/>
    <s v="FIFA World Cup qualification"/>
    <s v="Lima"/>
    <s v="Peru"/>
    <b v="0"/>
    <n v="1965"/>
    <n v="5163008077"/>
    <n v="8427777777"/>
    <x v="1"/>
    <n v="-1"/>
    <x v="0"/>
  </r>
  <r>
    <x v="86"/>
    <x v="67"/>
    <x v="4"/>
    <s v="Jamaica"/>
    <s v="Costa Rica"/>
    <n v="1"/>
    <n v="1"/>
    <s v="FIFA World Cup qualification"/>
    <s v="Kingston"/>
    <s v="Jamaica"/>
    <b v="0"/>
    <n v="1965"/>
    <n v="972159611"/>
    <n v="592981162"/>
    <x v="1"/>
    <n v="0"/>
    <x v="1"/>
  </r>
  <r>
    <x v="87"/>
    <x v="68"/>
    <x v="4"/>
    <s v="Uruguay"/>
    <s v="Venezuela"/>
    <n v="5"/>
    <n v="0"/>
    <s v="FIFA World Cup qualification"/>
    <s v="Montevideo"/>
    <s v="Uruguay"/>
    <b v="0"/>
    <n v="1965"/>
    <n v="1890767155"/>
    <n v="8427777777"/>
    <x v="0"/>
    <n v="-1"/>
    <x v="0"/>
  </r>
  <r>
    <x v="88"/>
    <x v="69"/>
    <x v="4"/>
    <s v="Norway"/>
    <s v="Luxembourg"/>
    <n v="4"/>
    <n v="2"/>
    <s v="FIFA World Cup qualification"/>
    <s v="Trondheim"/>
    <s v="Norway"/>
    <b v="0"/>
    <n v="1965"/>
    <n v="8111945661"/>
    <n v="929477284"/>
    <x v="0"/>
    <n v="1"/>
    <x v="2"/>
  </r>
  <r>
    <x v="89"/>
    <x v="70"/>
    <x v="4"/>
    <s v="Venezuela"/>
    <s v="Uruguay"/>
    <n v="1"/>
    <n v="3"/>
    <s v="FIFA World Cup qualification"/>
    <s v="Caracas"/>
    <s v="Venezuela"/>
    <b v="0"/>
    <n v="1965"/>
    <n v="8427777777"/>
    <n v="1890767155"/>
    <x v="0"/>
    <n v="-1"/>
    <x v="0"/>
  </r>
  <r>
    <x v="90"/>
    <x v="71"/>
    <x v="4"/>
    <s v="Venezuela"/>
    <s v="Peru"/>
    <n v="3"/>
    <n v="6"/>
    <s v="FIFA World Cup qualification"/>
    <s v="Caracas"/>
    <s v="Venezuela"/>
    <b v="0"/>
    <n v="1965"/>
    <n v="8427777777"/>
    <n v="5163008077"/>
    <x v="1"/>
    <n v="-1"/>
    <x v="0"/>
  </r>
  <r>
    <x v="91"/>
    <x v="72"/>
    <x v="4"/>
    <s v="Peru"/>
    <s v="Uruguay"/>
    <n v="0"/>
    <n v="1"/>
    <s v="FIFA World Cup qualification"/>
    <s v="Lima"/>
    <s v="Peru"/>
    <b v="0"/>
    <n v="1965"/>
    <n v="5163008077"/>
    <n v="1890767155"/>
    <x v="0"/>
    <n v="-1"/>
    <x v="0"/>
  </r>
  <r>
    <x v="92"/>
    <x v="73"/>
    <x v="4"/>
    <s v="Uruguay"/>
    <s v="Peru"/>
    <n v="2"/>
    <n v="1"/>
    <s v="FIFA World Cup qualification"/>
    <s v="Montevideo"/>
    <s v="Uruguay"/>
    <b v="0"/>
    <n v="1965"/>
    <n v="1890767155"/>
    <n v="5163008077"/>
    <x v="0"/>
    <n v="-1"/>
    <x v="0"/>
  </r>
  <r>
    <x v="93"/>
    <x v="74"/>
    <x v="4"/>
    <s v="Finland"/>
    <s v="Italy"/>
    <n v="0"/>
    <n v="2"/>
    <s v="FIFA World Cup qualification"/>
    <s v="Helsinki"/>
    <s v="Finland"/>
    <b v="0"/>
    <n v="1965"/>
    <n v="8680393838"/>
    <n v="70717012186"/>
    <x v="0"/>
    <n v="1"/>
    <x v="2"/>
  </r>
  <r>
    <x v="94"/>
    <x v="75"/>
    <x v="4"/>
    <s v="Colombia"/>
    <s v="Ecuador"/>
    <n v="0"/>
    <n v="1"/>
    <s v="FIFA World Cup qualification"/>
    <s v="Barranquilla"/>
    <s v="Colombia"/>
    <b v="0"/>
    <n v="1965"/>
    <n v="5760761904"/>
    <n v="2387047395"/>
    <x v="0"/>
    <n v="-1"/>
    <x v="0"/>
  </r>
  <r>
    <x v="95"/>
    <x v="76"/>
    <x v="4"/>
    <s v="Ecuador"/>
    <s v="Colombia"/>
    <n v="2"/>
    <n v="0"/>
    <s v="FIFA World Cup qualification"/>
    <s v="Guayaquil"/>
    <s v="Ecuador"/>
    <b v="0"/>
    <n v="1965"/>
    <n v="2387047395"/>
    <n v="5760761904"/>
    <x v="0"/>
    <n v="-1"/>
    <x v="0"/>
  </r>
  <r>
    <x v="96"/>
    <x v="76"/>
    <x v="4"/>
    <s v="Paraguay"/>
    <s v="Bolivia"/>
    <n v="2"/>
    <n v="0"/>
    <s v="FIFA World Cup qualification"/>
    <s v="Asunci√≥n"/>
    <s v="Paraguay"/>
    <b v="0"/>
    <n v="1965"/>
    <n v="443587301"/>
    <n v="604377104"/>
    <x v="1"/>
    <n v="-1"/>
    <x v="0"/>
  </r>
  <r>
    <x v="97"/>
    <x v="77"/>
    <x v="4"/>
    <s v="Argentina"/>
    <s v="Paraguay"/>
    <n v="3"/>
    <n v="0"/>
    <s v="FIFA World Cup qualification"/>
    <s v="Buenos Aires"/>
    <s v="Argentina"/>
    <b v="0"/>
    <n v="1965"/>
    <n v="28344705966"/>
    <n v="443587301"/>
    <x v="0"/>
    <n v="1"/>
    <x v="2"/>
  </r>
  <r>
    <x v="98"/>
    <x v="77"/>
    <x v="4"/>
    <s v="Chile"/>
    <s v="Colombia"/>
    <n v="7"/>
    <n v="2"/>
    <s v="FIFA World Cup qualification"/>
    <s v="Santiago"/>
    <s v="Chile"/>
    <b v="0"/>
    <n v="1965"/>
    <n v="6183988944"/>
    <n v="5760761904"/>
    <x v="1"/>
    <n v="1"/>
    <x v="2"/>
  </r>
  <r>
    <x v="99"/>
    <x v="78"/>
    <x v="4"/>
    <s v="Colombia"/>
    <s v="Chile"/>
    <n v="2"/>
    <n v="0"/>
    <s v="FIFA World Cup qualification"/>
    <s v="Barranquilla"/>
    <s v="Colombia"/>
    <b v="0"/>
    <n v="1965"/>
    <n v="5760761904"/>
    <n v="6183988944"/>
    <x v="1"/>
    <n v="-1"/>
    <x v="0"/>
  </r>
  <r>
    <x v="100"/>
    <x v="79"/>
    <x v="4"/>
    <s v="Paraguay"/>
    <s v="Argentina"/>
    <n v="0"/>
    <n v="0"/>
    <s v="FIFA World Cup qualification"/>
    <s v="Asunci√≥n"/>
    <s v="Paraguay"/>
    <b v="0"/>
    <n v="1965"/>
    <n v="443587301"/>
    <n v="28344705966"/>
    <x v="0"/>
    <n v="0"/>
    <x v="1"/>
  </r>
  <r>
    <x v="101"/>
    <x v="80"/>
    <x v="4"/>
    <s v="Ecuador"/>
    <s v="Chile"/>
    <n v="2"/>
    <n v="2"/>
    <s v="FIFA World Cup qualification"/>
    <s v="Guayaquil"/>
    <s v="Ecuador"/>
    <b v="0"/>
    <n v="1965"/>
    <n v="2387047395"/>
    <n v="6183988944"/>
    <x v="0"/>
    <n v="0"/>
    <x v="1"/>
  </r>
  <r>
    <x v="102"/>
    <x v="81"/>
    <x v="4"/>
    <s v="Argentina"/>
    <s v="Bolivia"/>
    <n v="4"/>
    <n v="1"/>
    <s v="FIFA World Cup qualification"/>
    <s v="Buenos Aires"/>
    <s v="Argentina"/>
    <b v="0"/>
    <n v="1965"/>
    <n v="28344705966"/>
    <n v="604377104"/>
    <x v="0"/>
    <n v="1"/>
    <x v="2"/>
  </r>
  <r>
    <x v="103"/>
    <x v="82"/>
    <x v="4"/>
    <s v="Bolivia"/>
    <s v="Paraguay"/>
    <n v="2"/>
    <n v="1"/>
    <s v="FIFA World Cup qualification"/>
    <s v="La Paz"/>
    <s v="Bolivia"/>
    <b v="0"/>
    <n v="1965"/>
    <n v="604377104"/>
    <n v="443587301"/>
    <x v="1"/>
    <n v="1"/>
    <x v="2"/>
  </r>
  <r>
    <x v="104"/>
    <x v="82"/>
    <x v="4"/>
    <s v="Chile"/>
    <s v="Ecuador"/>
    <n v="3"/>
    <n v="1"/>
    <s v="FIFA World Cup qualification"/>
    <s v="Santiago"/>
    <s v="Chile"/>
    <b v="0"/>
    <n v="1965"/>
    <n v="6183988944"/>
    <n v="2387047395"/>
    <x v="0"/>
    <n v="1"/>
    <x v="2"/>
  </r>
  <r>
    <x v="105"/>
    <x v="83"/>
    <x v="4"/>
    <s v="Bolivia"/>
    <s v="Argentina"/>
    <n v="1"/>
    <n v="2"/>
    <s v="FIFA World Cup qualification"/>
    <s v="La Paz"/>
    <s v="Bolivia"/>
    <b v="0"/>
    <n v="1965"/>
    <n v="604377104"/>
    <n v="28344705966"/>
    <x v="0"/>
    <n v="1"/>
    <x v="2"/>
  </r>
  <r>
    <x v="106"/>
    <x v="84"/>
    <x v="4"/>
    <s v="Norway"/>
    <s v="France"/>
    <n v="0"/>
    <n v="1"/>
    <s v="FIFA World Cup qualification"/>
    <s v="Oslo"/>
    <s v="Norway"/>
    <b v="0"/>
    <n v="1965"/>
    <n v="8111945661"/>
    <n v="100927668584"/>
    <x v="0"/>
    <n v="1"/>
    <x v="2"/>
  </r>
  <r>
    <x v="107"/>
    <x v="85"/>
    <x v="4"/>
    <s v="Sweden"/>
    <s v="Germany"/>
    <n v="1"/>
    <n v="2"/>
    <s v="FIFA World Cup qualification"/>
    <s v="Solna"/>
    <s v="Sweden"/>
    <b v="0"/>
    <n v="1965"/>
    <n v="24963947414"/>
    <n v="134774688191"/>
    <x v="0"/>
    <n v="1"/>
    <x v="2"/>
  </r>
  <r>
    <x v="108"/>
    <x v="86"/>
    <x v="4"/>
    <s v="Chile"/>
    <s v="Ecuador"/>
    <n v="2"/>
    <n v="1"/>
    <s v="FIFA World Cup qualification"/>
    <s v="Lima"/>
    <s v="Peru"/>
    <b v="1"/>
    <n v="1965"/>
    <n v="6183988944"/>
    <n v="2387047395"/>
    <x v="0"/>
    <n v="1"/>
    <x v="2"/>
  </r>
  <r>
    <x v="109"/>
    <x v="87"/>
    <x v="4"/>
    <s v="Netherlands"/>
    <s v="Switzerland"/>
    <n v="0"/>
    <n v="0"/>
    <s v="FIFA World Cup qualification"/>
    <s v="Amsterdam"/>
    <s v="Netherlands"/>
    <b v="0"/>
    <n v="1965"/>
    <n v="22721869808"/>
    <n v="16780226225"/>
    <x v="1"/>
    <n v="0"/>
    <x v="1"/>
  </r>
  <r>
    <x v="110"/>
    <x v="88"/>
    <x v="4"/>
    <s v="Denmark"/>
    <s v="Greece"/>
    <n v="1"/>
    <n v="1"/>
    <s v="FIFA World Cup qualification"/>
    <s v="Copenhagen"/>
    <s v="Denmark"/>
    <b v="0"/>
    <n v="1965"/>
    <n v="10870670865"/>
    <n v="7582209670"/>
    <x v="1"/>
    <n v="0"/>
    <x v="1"/>
  </r>
  <r>
    <x v="111"/>
    <x v="89"/>
    <x v="4"/>
    <s v="France"/>
    <s v="Luxembourg"/>
    <n v="4"/>
    <n v="1"/>
    <s v="FIFA World Cup qualification"/>
    <s v="Marseille"/>
    <s v="France"/>
    <b v="0"/>
    <n v="1965"/>
    <n v="100927668584"/>
    <n v="929477284"/>
    <x v="0"/>
    <n v="1"/>
    <x v="2"/>
  </r>
  <r>
    <x v="112"/>
    <x v="90"/>
    <x v="4"/>
    <s v="Israel"/>
    <s v="Belgium"/>
    <n v="0"/>
    <n v="5"/>
    <s v="FIFA World Cup qualification"/>
    <s v="Ramat Gan"/>
    <s v="Israel"/>
    <b v="0"/>
    <n v="1965"/>
    <n v="4329084428"/>
    <n v="17597783297"/>
    <x v="0"/>
    <n v="1"/>
    <x v="2"/>
  </r>
  <r>
    <x v="113"/>
    <x v="91"/>
    <x v="4"/>
    <s v="Switzerland"/>
    <s v="Netherlands"/>
    <n v="2"/>
    <n v="1"/>
    <s v="FIFA World Cup qualification"/>
    <s v="Bern"/>
    <s v="Switzerland"/>
    <b v="0"/>
    <n v="1965"/>
    <n v="16780226225"/>
    <n v="22721869808"/>
    <x v="1"/>
    <n v="-1"/>
    <x v="0"/>
  </r>
  <r>
    <x v="114"/>
    <x v="92"/>
    <x v="5"/>
    <s v="England"/>
    <s v="Uruguay"/>
    <n v="0"/>
    <n v="0"/>
    <s v="FIFA World Cup"/>
    <s v="London"/>
    <s v="England"/>
    <b v="0"/>
    <n v="1966"/>
    <n v="108572752102"/>
    <n v="1809185093"/>
    <x v="0"/>
    <n v="0"/>
    <x v="1"/>
  </r>
  <r>
    <x v="115"/>
    <x v="93"/>
    <x v="5"/>
    <s v="Germany"/>
    <s v="Switzerland"/>
    <n v="5"/>
    <n v="0"/>
    <s v="FIFA World Cup"/>
    <s v="Sheffield"/>
    <s v="England"/>
    <b v="1"/>
    <n v="1966"/>
    <n v="143304275683"/>
    <n v="18019402373"/>
    <x v="0"/>
    <n v="1"/>
    <x v="2"/>
  </r>
  <r>
    <x v="116"/>
    <x v="94"/>
    <x v="5"/>
    <s v="Argentina"/>
    <s v="Spain"/>
    <n v="2"/>
    <n v="1"/>
    <s v="FIFA World Cup"/>
    <s v="Birmingham"/>
    <s v="England"/>
    <b v="1"/>
    <n v="1966"/>
    <n v="28630474727"/>
    <n v="29559436182"/>
    <x v="1"/>
    <n v="-1"/>
    <x v="0"/>
  </r>
  <r>
    <x v="117"/>
    <x v="94"/>
    <x v="5"/>
    <s v="Chile"/>
    <s v="Italy"/>
    <n v="0"/>
    <n v="2"/>
    <s v="FIFA World Cup"/>
    <s v="Sunderland"/>
    <s v="England"/>
    <b v="1"/>
    <n v="1966"/>
    <n v="7256882086"/>
    <n v="76622444787"/>
    <x v="0"/>
    <n v="1"/>
    <x v="2"/>
  </r>
  <r>
    <x v="118"/>
    <x v="94"/>
    <x v="5"/>
    <s v="France"/>
    <s v="Mexico"/>
    <n v="1"/>
    <n v="1"/>
    <s v="FIFA World Cup"/>
    <s v="London"/>
    <s v="England"/>
    <b v="1"/>
    <n v="1966"/>
    <n v="109306730313"/>
    <n v="24320000000"/>
    <x v="0"/>
    <n v="0"/>
    <x v="1"/>
  </r>
  <r>
    <x v="119"/>
    <x v="95"/>
    <x v="5"/>
    <s v="France"/>
    <s v="Uruguay"/>
    <n v="1"/>
    <n v="2"/>
    <s v="FIFA World Cup"/>
    <s v="London"/>
    <s v="England"/>
    <b v="1"/>
    <n v="1966"/>
    <n v="109306730313"/>
    <n v="1809185093"/>
    <x v="0"/>
    <n v="-1"/>
    <x v="0"/>
  </r>
  <r>
    <x v="120"/>
    <x v="95"/>
    <x v="5"/>
    <s v="Spain"/>
    <s v="Switzerland"/>
    <n v="2"/>
    <n v="1"/>
    <s v="FIFA World Cup"/>
    <s v="Sheffield"/>
    <s v="England"/>
    <b v="1"/>
    <n v="1966"/>
    <n v="29559436182"/>
    <n v="18019402373"/>
    <x v="1"/>
    <n v="1"/>
    <x v="2"/>
  </r>
  <r>
    <x v="121"/>
    <x v="96"/>
    <x v="5"/>
    <s v="Argentina"/>
    <s v="Germany"/>
    <n v="0"/>
    <n v="0"/>
    <s v="FIFA World Cup"/>
    <s v="Birmingham"/>
    <s v="England"/>
    <b v="1"/>
    <n v="1966"/>
    <n v="28630474727"/>
    <n v="143304275683"/>
    <x v="0"/>
    <n v="0"/>
    <x v="1"/>
  </r>
  <r>
    <x v="122"/>
    <x v="96"/>
    <x v="5"/>
    <s v="England"/>
    <s v="Mexico"/>
    <n v="2"/>
    <n v="0"/>
    <s v="FIFA World Cup"/>
    <s v="London"/>
    <s v="England"/>
    <b v="0"/>
    <n v="1966"/>
    <n v="108572752102"/>
    <n v="24320000000"/>
    <x v="0"/>
    <n v="1"/>
    <x v="2"/>
  </r>
  <r>
    <x v="123"/>
    <x v="97"/>
    <x v="5"/>
    <s v="Argentina"/>
    <s v="Switzerland"/>
    <n v="2"/>
    <n v="0"/>
    <s v="FIFA World Cup"/>
    <s v="Sheffield"/>
    <s v="England"/>
    <b v="1"/>
    <n v="1966"/>
    <n v="28630474727"/>
    <n v="18019402373"/>
    <x v="1"/>
    <n v="1"/>
    <x v="2"/>
  </r>
  <r>
    <x v="124"/>
    <x v="97"/>
    <x v="5"/>
    <s v="Brazil"/>
    <s v="Portugal"/>
    <n v="1"/>
    <n v="3"/>
    <s v="FIFA World Cup"/>
    <s v="Liverpool"/>
    <s v="England"/>
    <b v="1"/>
    <n v="1966"/>
    <n v="28283323733"/>
    <n v="5370108031"/>
    <x v="0"/>
    <n v="-1"/>
    <x v="0"/>
  </r>
  <r>
    <x v="125"/>
    <x v="97"/>
    <x v="5"/>
    <s v="Mexico"/>
    <s v="Uruguay"/>
    <n v="0"/>
    <n v="0"/>
    <s v="FIFA World Cup"/>
    <s v="London"/>
    <s v="England"/>
    <b v="1"/>
    <n v="1966"/>
    <n v="24320000000"/>
    <n v="1809185093"/>
    <x v="0"/>
    <n v="0"/>
    <x v="1"/>
  </r>
  <r>
    <x v="126"/>
    <x v="98"/>
    <x v="5"/>
    <s v="England"/>
    <s v="France"/>
    <n v="2"/>
    <n v="0"/>
    <s v="FIFA World Cup"/>
    <s v="London"/>
    <s v="England"/>
    <b v="0"/>
    <n v="1966"/>
    <n v="108572752102"/>
    <n v="109306730313"/>
    <x v="1"/>
    <n v="-1"/>
    <x v="0"/>
  </r>
  <r>
    <x v="127"/>
    <x v="98"/>
    <x v="5"/>
    <s v="Germany"/>
    <s v="Spain"/>
    <n v="2"/>
    <n v="1"/>
    <s v="FIFA World Cup"/>
    <s v="Birmingham"/>
    <s v="England"/>
    <b v="1"/>
    <n v="1966"/>
    <n v="143304275683"/>
    <n v="29559436182"/>
    <x v="0"/>
    <n v="1"/>
    <x v="2"/>
  </r>
  <r>
    <x v="128"/>
    <x v="99"/>
    <x v="5"/>
    <s v="England"/>
    <s v="Argentina"/>
    <n v="1"/>
    <n v="0"/>
    <s v="FIFA World Cup"/>
    <s v="London"/>
    <s v="England"/>
    <b v="0"/>
    <n v="1966"/>
    <n v="108572752102"/>
    <n v="28630474727"/>
    <x v="0"/>
    <n v="1"/>
    <x v="2"/>
  </r>
  <r>
    <x v="129"/>
    <x v="99"/>
    <x v="5"/>
    <s v="Germany"/>
    <s v="Uruguay"/>
    <n v="4"/>
    <n v="0"/>
    <s v="FIFA World Cup"/>
    <s v="Sheffield"/>
    <s v="England"/>
    <b v="1"/>
    <n v="1966"/>
    <n v="143304275683"/>
    <n v="1809185093"/>
    <x v="0"/>
    <n v="1"/>
    <x v="2"/>
  </r>
  <r>
    <x v="130"/>
    <x v="100"/>
    <x v="5"/>
    <s v="England"/>
    <s v="Portugal"/>
    <n v="2"/>
    <n v="1"/>
    <s v="FIFA World Cup"/>
    <s v="London"/>
    <s v="England"/>
    <b v="0"/>
    <n v="1966"/>
    <n v="108572752102"/>
    <n v="5370108031"/>
    <x v="0"/>
    <n v="1"/>
    <x v="2"/>
  </r>
  <r>
    <x v="131"/>
    <x v="101"/>
    <x v="5"/>
    <s v="England"/>
    <s v="Germany"/>
    <n v="4"/>
    <n v="2"/>
    <s v="FIFA World Cup"/>
    <s v="London"/>
    <s v="England"/>
    <b v="0"/>
    <n v="1966"/>
    <n v="108572752102"/>
    <n v="143304275683"/>
    <x v="1"/>
    <n v="-1"/>
    <x v="0"/>
  </r>
  <r>
    <x v="132"/>
    <x v="102"/>
    <x v="6"/>
    <s v="Finland"/>
    <s v="Belgium"/>
    <n v="1"/>
    <n v="2"/>
    <s v="FIFA World Cup qualification"/>
    <s v="Helsinki"/>
    <s v="Finland"/>
    <b v="0"/>
    <n v="1968"/>
    <n v="8916565040"/>
    <n v="21654856965"/>
    <x v="0"/>
    <n v="1"/>
    <x v="2"/>
  </r>
  <r>
    <x v="133"/>
    <x v="103"/>
    <x v="6"/>
    <s v="Netherlands"/>
    <s v="Luxembourg"/>
    <n v="2"/>
    <n v="0"/>
    <s v="FIFA World Cup qualification"/>
    <s v="Rotterdam"/>
    <s v="Netherlands"/>
    <b v="0"/>
    <n v="1968"/>
    <n v="30097635750"/>
    <n v="1075561622"/>
    <x v="0"/>
    <n v="1"/>
    <x v="2"/>
  </r>
  <r>
    <x v="134"/>
    <x v="104"/>
    <x v="6"/>
    <s v="Canada"/>
    <s v="Bermuda"/>
    <n v="4"/>
    <n v="0"/>
    <s v="FIFA World Cup qualification"/>
    <s v="Toronto"/>
    <s v="Canada"/>
    <b v="0"/>
    <n v="1968"/>
    <n v="72048833006"/>
    <n v="150000000"/>
    <x v="0"/>
    <n v="1"/>
    <x v="2"/>
  </r>
  <r>
    <x v="135"/>
    <x v="105"/>
    <x v="6"/>
    <s v="Belgium"/>
    <s v="Finland"/>
    <n v="6"/>
    <n v="1"/>
    <s v="FIFA World Cup qualification"/>
    <s v="Waregem"/>
    <s v="Belgium"/>
    <b v="0"/>
    <n v="1968"/>
    <n v="21654856965"/>
    <n v="8916565040"/>
    <x v="0"/>
    <n v="1"/>
    <x v="2"/>
  </r>
  <r>
    <x v="136"/>
    <x v="105"/>
    <x v="6"/>
    <s v="Sweden"/>
    <s v="Norway"/>
    <n v="5"/>
    <n v="0"/>
    <s v="FIFA World Cup qualification"/>
    <s v="Solna"/>
    <s v="Sweden"/>
    <b v="0"/>
    <n v="1968"/>
    <n v="31277871668"/>
    <n v="10227087165"/>
    <x v="0"/>
    <n v="1"/>
    <x v="2"/>
  </r>
  <r>
    <x v="137"/>
    <x v="106"/>
    <x v="6"/>
    <s v="Switzerland"/>
    <s v="Greece"/>
    <n v="1"/>
    <n v="0"/>
    <s v="FIFA World Cup qualification"/>
    <s v="Basel"/>
    <s v="Switzerland"/>
    <b v="0"/>
    <n v="1968"/>
    <n v="20712102793"/>
    <n v="9950331205"/>
    <x v="0"/>
    <n v="1"/>
    <x v="2"/>
  </r>
  <r>
    <x v="138"/>
    <x v="107"/>
    <x v="6"/>
    <s v="Austria"/>
    <s v="Germany"/>
    <n v="0"/>
    <n v="2"/>
    <s v="FIFA World Cup qualification"/>
    <s v="Vienna"/>
    <s v="Austria"/>
    <b v="0"/>
    <n v="1968"/>
    <n v="12499863917"/>
    <n v="156527292653"/>
    <x v="0"/>
    <n v="1"/>
    <x v="2"/>
  </r>
  <r>
    <x v="139"/>
    <x v="107"/>
    <x v="6"/>
    <s v="Canada"/>
    <s v="United States"/>
    <n v="4"/>
    <n v="2"/>
    <s v="FIFA World Cup qualification"/>
    <s v="Toronto"/>
    <s v="Canada"/>
    <b v="0"/>
    <n v="1968"/>
    <n v="72048833006"/>
    <n v="940225000000"/>
    <x v="0"/>
    <n v="-1"/>
    <x v="0"/>
  </r>
  <r>
    <x v="140"/>
    <x v="108"/>
    <x v="6"/>
    <s v="Bermuda"/>
    <s v="Canada"/>
    <n v="0"/>
    <n v="0"/>
    <s v="FIFA World Cup qualification"/>
    <s v="Hamilton"/>
    <s v="Bermuda"/>
    <b v="0"/>
    <n v="1968"/>
    <n v="150000000"/>
    <n v="72048833006"/>
    <x v="0"/>
    <n v="0"/>
    <x v="1"/>
  </r>
  <r>
    <x v="141"/>
    <x v="109"/>
    <x v="6"/>
    <s v="United States"/>
    <s v="Canada"/>
    <n v="1"/>
    <n v="0"/>
    <s v="FIFA World Cup qualification"/>
    <s v="Atlanta"/>
    <s v="United States"/>
    <b v="0"/>
    <n v="1968"/>
    <n v="940225000000"/>
    <n v="72048833006"/>
    <x v="0"/>
    <n v="1"/>
    <x v="2"/>
  </r>
  <r>
    <x v="142"/>
    <x v="110"/>
    <x v="6"/>
    <s v="Zambia"/>
    <s v="Sudan"/>
    <n v="4"/>
    <n v="2"/>
    <s v="FIFA World Cup qualification"/>
    <s v="Ndola"/>
    <s v="Zambia"/>
    <b v="0"/>
    <n v="1968"/>
    <n v="1573739371"/>
    <n v="1677771400"/>
    <x v="1"/>
    <n v="-1"/>
    <x v="0"/>
  </r>
  <r>
    <x v="143"/>
    <x v="111"/>
    <x v="6"/>
    <s v="United States"/>
    <s v="Bermuda"/>
    <n v="6"/>
    <n v="2"/>
    <s v="FIFA World Cup qualification"/>
    <s v="Kansas City"/>
    <s v="United States"/>
    <b v="0"/>
    <n v="1968"/>
    <n v="940225000000"/>
    <n v="150000000"/>
    <x v="0"/>
    <n v="1"/>
    <x v="2"/>
  </r>
  <r>
    <x v="144"/>
    <x v="112"/>
    <x v="6"/>
    <s v="Morocco"/>
    <s v="Senegal"/>
    <n v="1"/>
    <n v="0"/>
    <s v="FIFA World Cup qualification"/>
    <s v="Casablanca"/>
    <s v="Morocco"/>
    <b v="0"/>
    <n v="1968"/>
    <n v="3271422332"/>
    <n v="1309384861"/>
    <x v="0"/>
    <n v="1"/>
    <x v="2"/>
  </r>
  <r>
    <x v="145"/>
    <x v="113"/>
    <x v="6"/>
    <s v="France"/>
    <s v="Norway"/>
    <n v="0"/>
    <n v="1"/>
    <s v="FIFA World Cup qualification"/>
    <s v="Strasbourg"/>
    <s v="France"/>
    <b v="0"/>
    <n v="1968"/>
    <n v="128710572572"/>
    <n v="10227087165"/>
    <x v="0"/>
    <n v="-1"/>
    <x v="0"/>
  </r>
  <r>
    <x v="146"/>
    <x v="114"/>
    <x v="6"/>
    <s v="Sudan"/>
    <s v="Zambia"/>
    <n v="4"/>
    <n v="2"/>
    <s v="FIFA World Cup qualification"/>
    <s v="Khartoum"/>
    <s v="Sudan"/>
    <b v="0"/>
    <n v="1968"/>
    <n v="1677771400"/>
    <n v="1573739371"/>
    <x v="1"/>
    <n v="1"/>
    <x v="2"/>
  </r>
  <r>
    <x v="147"/>
    <x v="115"/>
    <x v="6"/>
    <s v="Bermuda"/>
    <s v="United States"/>
    <n v="0"/>
    <n v="2"/>
    <s v="FIFA World Cup qualification"/>
    <s v="Hamilton"/>
    <s v="Bermuda"/>
    <b v="0"/>
    <n v="1968"/>
    <n v="150000000"/>
    <n v="940225000000"/>
    <x v="0"/>
    <n v="1"/>
    <x v="2"/>
  </r>
  <r>
    <x v="148"/>
    <x v="116"/>
    <x v="6"/>
    <s v="Algeria"/>
    <s v="Tunisia"/>
    <n v="1"/>
    <n v="2"/>
    <s v="FIFA World Cup qualification"/>
    <s v="Algiers"/>
    <s v="Algeria"/>
    <b v="0"/>
    <n v="1968"/>
    <n v="3852147026"/>
    <n v="1214666666"/>
    <x v="0"/>
    <n v="-1"/>
    <x v="0"/>
  </r>
  <r>
    <x v="149"/>
    <x v="116"/>
    <x v="6"/>
    <s v="Guatemala"/>
    <s v="Trinidad and Tobago"/>
    <n v="4"/>
    <n v="0"/>
    <s v="FIFA World Cup qualification"/>
    <s v="Guatemala City"/>
    <s v="Guatemala"/>
    <b v="0"/>
    <n v="1968"/>
    <n v="1610500000"/>
    <n v="758899950"/>
    <x v="0"/>
    <n v="1"/>
    <x v="2"/>
  </r>
  <r>
    <x v="150"/>
    <x v="117"/>
    <x v="6"/>
    <s v="Guatemala"/>
    <s v="Trinidad and Tobago"/>
    <n v="0"/>
    <n v="0"/>
    <s v="FIFA World Cup qualification"/>
    <s v="Guatemala City"/>
    <s v="Guatemala"/>
    <b v="0"/>
    <n v="1968"/>
    <n v="1610500000"/>
    <n v="758899950"/>
    <x v="0"/>
    <n v="0"/>
    <x v="1"/>
  </r>
  <r>
    <x v="151"/>
    <x v="118"/>
    <x v="6"/>
    <s v="Haiti"/>
    <s v="Trinidad and Tobago"/>
    <n v="4"/>
    <n v="0"/>
    <s v="FIFA World Cup qualification"/>
    <s v="Port-au-Prince"/>
    <s v="Haiti"/>
    <b v="0"/>
    <n v="1968"/>
    <n v="367968800"/>
    <n v="758899950"/>
    <x v="0"/>
    <n v="-1"/>
    <x v="0"/>
  </r>
  <r>
    <x v="152"/>
    <x v="119"/>
    <x v="6"/>
    <s v="Haiti"/>
    <s v="Trinidad and Tobago"/>
    <n v="2"/>
    <n v="4"/>
    <s v="FIFA World Cup qualification"/>
    <s v="Port-au-Prince"/>
    <s v="Haiti"/>
    <b v="0"/>
    <n v="1968"/>
    <n v="367968800"/>
    <n v="758899950"/>
    <x v="0"/>
    <n v="1"/>
    <x v="2"/>
  </r>
  <r>
    <x v="153"/>
    <x v="120"/>
    <x v="6"/>
    <s v="Costa Rica"/>
    <s v="Jamaica"/>
    <n v="3"/>
    <n v="0"/>
    <s v="FIFA World Cup qualification"/>
    <s v="San Jos√©"/>
    <s v="Costa Rica"/>
    <b v="0"/>
    <n v="1968"/>
    <n v="773841494"/>
    <n v="1083839132"/>
    <x v="1"/>
    <n v="-1"/>
    <x v="0"/>
  </r>
  <r>
    <x v="154"/>
    <x v="121"/>
    <x v="6"/>
    <s v="Costa Rica"/>
    <s v="Jamaica"/>
    <n v="3"/>
    <n v="1"/>
    <s v="FIFA World Cup qualification"/>
    <s v="San Jos√©"/>
    <s v="Costa Rica"/>
    <b v="0"/>
    <n v="1968"/>
    <n v="773841494"/>
    <n v="1083839132"/>
    <x v="1"/>
    <n v="-1"/>
    <x v="0"/>
  </r>
  <r>
    <x v="155"/>
    <x v="121"/>
    <x v="6"/>
    <s v="El Salvador"/>
    <s v="Suriname"/>
    <n v="6"/>
    <n v="0"/>
    <s v="FIFA World Cup qualification"/>
    <s v="San Salvador"/>
    <s v="El Salvador"/>
    <b v="0"/>
    <n v="1968"/>
    <n v="1009760100"/>
    <n v="241350000"/>
    <x v="0"/>
    <n v="1"/>
    <x v="2"/>
  </r>
  <r>
    <x v="156"/>
    <x v="122"/>
    <x v="6"/>
    <s v="Honduras"/>
    <s v="Jamaica"/>
    <n v="3"/>
    <n v="1"/>
    <s v="FIFA World Cup qualification"/>
    <s v="Tegucigalpa"/>
    <s v="Honduras"/>
    <b v="0"/>
    <n v="1968"/>
    <n v="815450000"/>
    <n v="1083839132"/>
    <x v="1"/>
    <n v="-1"/>
    <x v="0"/>
  </r>
  <r>
    <x v="157"/>
    <x v="123"/>
    <x v="6"/>
    <s v="Nigeria"/>
    <s v="Cameroon"/>
    <n v="1"/>
    <n v="1"/>
    <s v="FIFA World Cup qualification"/>
    <s v="Lagos"/>
    <s v="Nigeria"/>
    <b v="0"/>
    <n v="1968"/>
    <n v="5200997919"/>
    <n v="1046191217"/>
    <x v="0"/>
    <n v="0"/>
    <x v="1"/>
  </r>
  <r>
    <x v="158"/>
    <x v="124"/>
    <x v="6"/>
    <s v="Haiti"/>
    <s v="Guatemala"/>
    <n v="2"/>
    <n v="0"/>
    <s v="FIFA World Cup qualification"/>
    <s v="Port-au-Prince"/>
    <s v="Haiti"/>
    <b v="0"/>
    <n v="1968"/>
    <n v="367968800"/>
    <n v="1610500000"/>
    <x v="0"/>
    <n v="-1"/>
    <x v="0"/>
  </r>
  <r>
    <x v="159"/>
    <x v="124"/>
    <x v="6"/>
    <s v="Honduras"/>
    <s v="Jamaica"/>
    <n v="2"/>
    <n v="0"/>
    <s v="FIFA World Cup qualification"/>
    <s v="Tegucigalpa"/>
    <s v="Honduras"/>
    <b v="0"/>
    <n v="1968"/>
    <n v="815450000"/>
    <n v="1083839132"/>
    <x v="1"/>
    <n v="-1"/>
    <x v="0"/>
  </r>
  <r>
    <x v="160"/>
    <x v="125"/>
    <x v="6"/>
    <s v="Greece"/>
    <s v="Portugal"/>
    <n v="4"/>
    <n v="2"/>
    <s v="FIFA World Cup qualification"/>
    <s v="Piraeus"/>
    <s v="Greece"/>
    <b v="0"/>
    <n v="1968"/>
    <n v="9950331205"/>
    <n v="6644693214"/>
    <x v="1"/>
    <n v="1"/>
    <x v="2"/>
  </r>
  <r>
    <x v="161"/>
    <x v="125"/>
    <x v="6"/>
    <s v="Spain"/>
    <s v="Belgium"/>
    <n v="1"/>
    <n v="1"/>
    <s v="FIFA World Cup qualification"/>
    <s v="Madrid"/>
    <s v="Spain"/>
    <b v="0"/>
    <n v="1968"/>
    <n v="32394326463"/>
    <n v="21654856965"/>
    <x v="1"/>
    <n v="0"/>
    <x v="1"/>
  </r>
  <r>
    <x v="162"/>
    <x v="126"/>
    <x v="6"/>
    <s v="Cameroon"/>
    <s v="Nigeria"/>
    <n v="2"/>
    <n v="3"/>
    <s v="FIFA World Cup qualification"/>
    <s v="Douala"/>
    <s v="Cameroon"/>
    <b v="0"/>
    <n v="1968"/>
    <n v="1046191217"/>
    <n v="5200997919"/>
    <x v="0"/>
    <n v="1"/>
    <x v="2"/>
  </r>
  <r>
    <x v="163"/>
    <x v="126"/>
    <x v="6"/>
    <s v="Honduras"/>
    <s v="Costa Rica"/>
    <n v="1"/>
    <n v="0"/>
    <s v="FIFA World Cup qualification"/>
    <s v="Tegucigalpa"/>
    <s v="Honduras"/>
    <b v="0"/>
    <n v="1968"/>
    <n v="815450000"/>
    <n v="773841494"/>
    <x v="1"/>
    <n v="1"/>
    <x v="2"/>
  </r>
  <r>
    <x v="164"/>
    <x v="126"/>
    <x v="6"/>
    <s v="Suriname"/>
    <s v="El Salvador"/>
    <n v="4"/>
    <n v="1"/>
    <s v="FIFA World Cup qualification"/>
    <s v="Paramaribo"/>
    <s v="Dutch Guyana"/>
    <b v="0"/>
    <n v="1968"/>
    <n v="241350000"/>
    <n v="1009760100"/>
    <x v="0"/>
    <n v="-1"/>
    <x v="0"/>
  </r>
  <r>
    <x v="165"/>
    <x v="127"/>
    <x v="6"/>
    <s v="Costa Rica"/>
    <s v="Honduras"/>
    <n v="1"/>
    <n v="1"/>
    <s v="FIFA World Cup qualification"/>
    <s v="San Jos√©"/>
    <s v="Costa Rica"/>
    <b v="0"/>
    <n v="1968"/>
    <n v="773841494"/>
    <n v="815450000"/>
    <x v="1"/>
    <n v="0"/>
    <x v="1"/>
  </r>
  <r>
    <x v="166"/>
    <x v="127"/>
    <x v="6"/>
    <s v="Tunisia"/>
    <s v="Algeria"/>
    <n v="0"/>
    <n v="0"/>
    <s v="FIFA World Cup qualification"/>
    <s v="Tunis"/>
    <s v="Tunisia"/>
    <b v="0"/>
    <n v="1968"/>
    <n v="1214666666"/>
    <n v="3852147026"/>
    <x v="0"/>
    <n v="0"/>
    <x v="1"/>
  </r>
  <r>
    <x v="167"/>
    <x v="128"/>
    <x v="7"/>
    <s v="Senegal"/>
    <s v="Morocco"/>
    <n v="2"/>
    <n v="1"/>
    <s v="FIFA World Cup qualification"/>
    <s v="Dakar"/>
    <s v="Senegal"/>
    <b v="0"/>
    <n v="1969"/>
    <n v="1245234931"/>
    <n v="3651622668"/>
    <x v="0"/>
    <n v="-1"/>
    <x v="0"/>
  </r>
  <r>
    <x v="168"/>
    <x v="129"/>
    <x v="7"/>
    <s v="Libya"/>
    <s v="Ethiopia"/>
    <n v="2"/>
    <n v="0"/>
    <s v="FIFA World Cup qualification"/>
    <s v="Tripoli"/>
    <s v="Libya"/>
    <b v="0"/>
    <n v="1969"/>
    <n v="4380987481"/>
    <n v="2768987372"/>
    <x v="1"/>
    <n v="1"/>
    <x v="2"/>
  </r>
  <r>
    <x v="169"/>
    <x v="130"/>
    <x v="7"/>
    <s v="Ethiopia"/>
    <s v="Libya"/>
    <n v="5"/>
    <n v="1"/>
    <s v="FIFA World Cup qualification"/>
    <s v="Addis Ababa"/>
    <s v="Ethiopia"/>
    <b v="0"/>
    <n v="1969"/>
    <n v="2768987372"/>
    <n v="4380987481"/>
    <x v="1"/>
    <n v="-1"/>
    <x v="0"/>
  </r>
  <r>
    <x v="170"/>
    <x v="131"/>
    <x v="7"/>
    <s v="Morocco"/>
    <s v="Senegal"/>
    <n v="2"/>
    <n v="0"/>
    <s v="FIFA World Cup qualification"/>
    <s v="Las Palmas"/>
    <s v="Spain"/>
    <b v="1"/>
    <n v="1969"/>
    <n v="3651622668"/>
    <n v="1245234931"/>
    <x v="0"/>
    <n v="1"/>
    <x v="2"/>
  </r>
  <r>
    <x v="171"/>
    <x v="132"/>
    <x v="7"/>
    <s v="Belgium"/>
    <s v="Spain"/>
    <n v="2"/>
    <n v="1"/>
    <s v="FIFA World Cup qualification"/>
    <s v="Li√®ge"/>
    <s v="Belgium"/>
    <b v="0"/>
    <n v="1969"/>
    <n v="24019653474"/>
    <n v="37090689287"/>
    <x v="1"/>
    <n v="-1"/>
    <x v="0"/>
  </r>
  <r>
    <x v="172"/>
    <x v="132"/>
    <x v="7"/>
    <s v="Guatemala"/>
    <s v="Haiti"/>
    <n v="1"/>
    <n v="1"/>
    <s v="FIFA World Cup qualification"/>
    <s v="Guatemala City"/>
    <s v="Guatemala"/>
    <b v="0"/>
    <n v="1969"/>
    <n v="1715399900"/>
    <n v="391820400"/>
    <x v="0"/>
    <n v="0"/>
    <x v="1"/>
  </r>
  <r>
    <x v="173"/>
    <x v="133"/>
    <x v="7"/>
    <s v="Netherlands"/>
    <s v="Luxembourg"/>
    <n v="4"/>
    <n v="0"/>
    <s v="FIFA World Cup qualification"/>
    <s v="Rotterdam"/>
    <s v="Netherlands"/>
    <b v="0"/>
    <n v="1969"/>
    <n v="34086038090"/>
    <n v="1245432991"/>
    <x v="0"/>
    <n v="1"/>
    <x v="2"/>
  </r>
  <r>
    <x v="174"/>
    <x v="134"/>
    <x v="7"/>
    <s v="Portugal"/>
    <s v="Switzerland"/>
    <n v="0"/>
    <n v="2"/>
    <s v="FIFA World Cup qualification"/>
    <s v="Lisbon"/>
    <s v="Portugal"/>
    <b v="0"/>
    <n v="1969"/>
    <n v="7287555035"/>
    <n v="22442043274"/>
    <x v="0"/>
    <n v="1"/>
    <x v="2"/>
  </r>
  <r>
    <x v="175"/>
    <x v="135"/>
    <x v="7"/>
    <s v="Haiti"/>
    <s v="United States"/>
    <n v="2"/>
    <n v="0"/>
    <s v="FIFA World Cup qualification"/>
    <s v="Port-au-Prince"/>
    <s v="Haiti"/>
    <b v="0"/>
    <n v="1969"/>
    <n v="391820400"/>
    <n v="1017438172413"/>
    <x v="0"/>
    <n v="-1"/>
    <x v="0"/>
  </r>
  <r>
    <x v="176"/>
    <x v="136"/>
    <x v="7"/>
    <s v="Tunisia"/>
    <s v="Morocco"/>
    <n v="0"/>
    <n v="0"/>
    <s v="FIFA World Cup qualification"/>
    <s v="Tunis"/>
    <s v="Tunisia"/>
    <b v="0"/>
    <n v="1969"/>
    <n v="1289904761"/>
    <n v="3651622668"/>
    <x v="0"/>
    <n v="0"/>
    <x v="1"/>
  </r>
  <r>
    <x v="177"/>
    <x v="137"/>
    <x v="7"/>
    <s v="Ethiopia"/>
    <s v="Sudan"/>
    <n v="1"/>
    <n v="1"/>
    <s v="FIFA World Cup qualification"/>
    <s v="Addis Ababa"/>
    <s v="Ethiopia"/>
    <b v="0"/>
    <n v="1969"/>
    <n v="2768987372"/>
    <n v="1847501441"/>
    <x v="1"/>
    <n v="0"/>
    <x v="1"/>
  </r>
  <r>
    <x v="178"/>
    <x v="137"/>
    <x v="7"/>
    <s v="Portugal"/>
    <s v="Greece"/>
    <n v="2"/>
    <n v="2"/>
    <s v="FIFA World Cup qualification"/>
    <s v="Porto"/>
    <s v="Portugal"/>
    <b v="0"/>
    <n v="1969"/>
    <n v="7287555035"/>
    <n v="11454106327"/>
    <x v="1"/>
    <n v="0"/>
    <x v="1"/>
  </r>
  <r>
    <x v="179"/>
    <x v="138"/>
    <x v="7"/>
    <s v="Germany"/>
    <s v="Austria"/>
    <n v="1"/>
    <n v="0"/>
    <s v="FIFA World Cup qualification"/>
    <s v="Nuremberg"/>
    <s v="Germany"/>
    <b v="0"/>
    <n v="1969"/>
    <n v="177733486326"/>
    <n v="13647475854"/>
    <x v="0"/>
    <n v="1"/>
    <x v="2"/>
  </r>
  <r>
    <x v="180"/>
    <x v="138"/>
    <x v="7"/>
    <s v="Nigeria"/>
    <s v="Ghana"/>
    <n v="2"/>
    <n v="1"/>
    <s v="FIFA World Cup qualification"/>
    <s v="Ibadan"/>
    <s v="Nigeria"/>
    <b v="0"/>
    <n v="1969"/>
    <n v="6634317346"/>
    <n v="1962050555"/>
    <x v="0"/>
    <n v="1"/>
    <x v="2"/>
  </r>
  <r>
    <x v="181"/>
    <x v="139"/>
    <x v="7"/>
    <s v="Sudan"/>
    <s v="Ethiopia"/>
    <n v="3"/>
    <n v="1"/>
    <s v="FIFA World Cup qualification"/>
    <s v="Khartoum"/>
    <s v="Sudan"/>
    <b v="0"/>
    <n v="1969"/>
    <n v="1847501441"/>
    <n v="2768987372"/>
    <x v="1"/>
    <n v="-1"/>
    <x v="0"/>
  </r>
  <r>
    <x v="182"/>
    <x v="139"/>
    <x v="7"/>
    <s v="United States"/>
    <s v="Haiti"/>
    <n v="0"/>
    <n v="1"/>
    <s v="FIFA World Cup qualification"/>
    <s v="San Diego"/>
    <s v="United States"/>
    <b v="0"/>
    <n v="1969"/>
    <n v="1017438172413"/>
    <n v="391820400"/>
    <x v="0"/>
    <n v="-1"/>
    <x v="0"/>
  </r>
  <r>
    <x v="183"/>
    <x v="140"/>
    <x v="7"/>
    <s v="Ghana"/>
    <s v="Nigeria"/>
    <n v="1"/>
    <n v="1"/>
    <s v="FIFA World Cup qualification"/>
    <s v="Accra"/>
    <s v="Ghana"/>
    <b v="0"/>
    <n v="1969"/>
    <n v="1962050555"/>
    <n v="6634317346"/>
    <x v="0"/>
    <n v="0"/>
    <x v="1"/>
  </r>
  <r>
    <x v="184"/>
    <x v="140"/>
    <x v="7"/>
    <s v="Morocco"/>
    <s v="Tunisia"/>
    <n v="0"/>
    <n v="0"/>
    <s v="FIFA World Cup qualification"/>
    <s v="Casablanca"/>
    <s v="Morocco"/>
    <b v="0"/>
    <n v="1969"/>
    <n v="3651622668"/>
    <n v="1289904761"/>
    <x v="0"/>
    <n v="0"/>
    <x v="1"/>
  </r>
  <r>
    <x v="185"/>
    <x v="141"/>
    <x v="7"/>
    <s v="Honduras"/>
    <s v="El Salvador"/>
    <n v="1"/>
    <n v="0"/>
    <s v="FIFA World Cup qualification"/>
    <s v="Tegucigalpa"/>
    <s v="Honduras"/>
    <b v="0"/>
    <n v="1969"/>
    <n v="844400000"/>
    <n v="1049400000"/>
    <x v="1"/>
    <n v="-1"/>
    <x v="0"/>
  </r>
  <r>
    <x v="186"/>
    <x v="142"/>
    <x v="7"/>
    <s v="Tunisia"/>
    <s v="Morocco"/>
    <n v="2"/>
    <n v="2"/>
    <s v="FIFA World Cup qualification"/>
    <s v="Marseille"/>
    <s v="France"/>
    <b v="1"/>
    <n v="1969"/>
    <n v="1289904761"/>
    <n v="3651622668"/>
    <x v="0"/>
    <n v="0"/>
    <x v="1"/>
  </r>
  <r>
    <x v="187"/>
    <x v="143"/>
    <x v="7"/>
    <s v="Denmark"/>
    <s v="Hungary"/>
    <n v="3"/>
    <n v="2"/>
    <s v="FIFA World Cup qualification"/>
    <s v="Copenhagen"/>
    <s v="Denmark"/>
    <b v="0"/>
    <n v="1969"/>
    <n v="15414902666"/>
    <n v="5429812386"/>
    <x v="0"/>
    <n v="1"/>
    <x v="2"/>
  </r>
  <r>
    <x v="188"/>
    <x v="143"/>
    <x v="7"/>
    <s v="El Salvador"/>
    <s v="Honduras"/>
    <n v="3"/>
    <n v="0"/>
    <s v="FIFA World Cup qualification"/>
    <s v="San Salvador"/>
    <s v="El Salvador"/>
    <b v="0"/>
    <n v="1969"/>
    <n v="1049400000"/>
    <n v="844400000"/>
    <x v="1"/>
    <n v="1"/>
    <x v="2"/>
  </r>
  <r>
    <x v="189"/>
    <x v="144"/>
    <x v="7"/>
    <s v="Norway"/>
    <s v="Sweden"/>
    <n v="2"/>
    <n v="5"/>
    <s v="FIFA World Cup qualification"/>
    <s v="Oslo"/>
    <s v="Norway"/>
    <b v="0"/>
    <n v="1969"/>
    <n v="11136187439"/>
    <n v="33967301561"/>
    <x v="0"/>
    <n v="1"/>
    <x v="2"/>
  </r>
  <r>
    <x v="190"/>
    <x v="145"/>
    <x v="7"/>
    <s v="Finland"/>
    <s v="Spain"/>
    <n v="2"/>
    <n v="0"/>
    <s v="FIFA World Cup qualification"/>
    <s v="Helsinki"/>
    <s v="Finland"/>
    <b v="0"/>
    <n v="1969"/>
    <n v="10177524838"/>
    <n v="37090689287"/>
    <x v="0"/>
    <n v="-1"/>
    <x v="0"/>
  </r>
  <r>
    <x v="191"/>
    <x v="146"/>
    <x v="7"/>
    <s v="Honduras"/>
    <s v="El Salvador"/>
    <n v="2"/>
    <n v="3"/>
    <s v="FIFA World Cup qualification"/>
    <s v="Mexico City"/>
    <s v="Mexico"/>
    <b v="1"/>
    <n v="1969"/>
    <n v="844400000"/>
    <n v="1049400000"/>
    <x v="1"/>
    <n v="1"/>
    <x v="2"/>
  </r>
  <r>
    <x v="192"/>
    <x v="147"/>
    <x v="7"/>
    <s v="Ecuador"/>
    <s v="Uruguay"/>
    <n v="0"/>
    <n v="2"/>
    <s v="FIFA World Cup qualification"/>
    <s v="Guayaquil"/>
    <s v="Ecuador"/>
    <b v="0"/>
    <n v="1969"/>
    <n v="3112165727"/>
    <n v="2004435483"/>
    <x v="1"/>
    <n v="-1"/>
    <x v="0"/>
  </r>
  <r>
    <x v="193"/>
    <x v="148"/>
    <x v="7"/>
    <s v="Chile"/>
    <s v="Uruguay"/>
    <n v="0"/>
    <n v="0"/>
    <s v="FIFA World Cup qualification"/>
    <s v="Santiago"/>
    <s v="Chile"/>
    <b v="0"/>
    <n v="1969"/>
    <n v="8456519044"/>
    <n v="2004435483"/>
    <x v="0"/>
    <n v="0"/>
    <x v="1"/>
  </r>
  <r>
    <x v="194"/>
    <x v="149"/>
    <x v="7"/>
    <s v="Uruguay"/>
    <s v="Ecuador"/>
    <n v="1"/>
    <n v="0"/>
    <s v="FIFA World Cup qualification"/>
    <s v="Montevideo"/>
    <s v="Uruguay"/>
    <b v="0"/>
    <n v="1969"/>
    <n v="2004435483"/>
    <n v="3112165727"/>
    <x v="1"/>
    <n v="-1"/>
    <x v="0"/>
  </r>
  <r>
    <x v="195"/>
    <x v="150"/>
    <x v="7"/>
    <s v="Bolivia"/>
    <s v="Argentina"/>
    <n v="3"/>
    <n v="1"/>
    <s v="FIFA World Cup qualification"/>
    <s v="La Paz"/>
    <s v="Bolivia"/>
    <b v="0"/>
    <n v="1969"/>
    <n v="929629629"/>
    <n v="31256284543"/>
    <x v="0"/>
    <n v="-1"/>
    <x v="0"/>
  </r>
  <r>
    <x v="196"/>
    <x v="150"/>
    <x v="7"/>
    <s v="Chile"/>
    <s v="Ecuador"/>
    <n v="4"/>
    <n v="1"/>
    <s v="FIFA World Cup qualification"/>
    <s v="Santiago"/>
    <s v="Chile"/>
    <b v="0"/>
    <n v="1969"/>
    <n v="8456519044"/>
    <n v="3112165727"/>
    <x v="0"/>
    <n v="1"/>
    <x v="2"/>
  </r>
  <r>
    <x v="197"/>
    <x v="150"/>
    <x v="7"/>
    <s v="Colombia"/>
    <s v="Venezuela"/>
    <n v="3"/>
    <n v="0"/>
    <s v="FIFA World Cup qualification"/>
    <s v="Bogot√°"/>
    <s v="Colombia"/>
    <b v="0"/>
    <n v="1969"/>
    <n v="6450175213"/>
    <n v="10285111111"/>
    <x v="1"/>
    <n v="-1"/>
    <x v="0"/>
  </r>
  <r>
    <x v="198"/>
    <x v="151"/>
    <x v="7"/>
    <s v="Venezuela"/>
    <s v="Colombia"/>
    <n v="1"/>
    <n v="1"/>
    <s v="FIFA World Cup qualification"/>
    <s v="Caracas"/>
    <s v="Venezuela"/>
    <b v="0"/>
    <n v="1969"/>
    <n v="10285111111"/>
    <n v="6450175213"/>
    <x v="1"/>
    <n v="0"/>
    <x v="1"/>
  </r>
  <r>
    <x v="199"/>
    <x v="152"/>
    <x v="7"/>
    <s v="Ecuador"/>
    <s v="Chile"/>
    <n v="1"/>
    <n v="1"/>
    <s v="FIFA World Cup qualification"/>
    <s v="Guayaquil"/>
    <s v="Ecuador"/>
    <b v="0"/>
    <n v="1969"/>
    <n v="3112165727"/>
    <n v="8456519044"/>
    <x v="0"/>
    <n v="0"/>
    <x v="1"/>
  </r>
  <r>
    <x v="200"/>
    <x v="152"/>
    <x v="7"/>
    <s v="Peru"/>
    <s v="Argentina"/>
    <n v="1"/>
    <n v="0"/>
    <s v="FIFA World Cup qualification"/>
    <s v="Lima"/>
    <s v="Peru"/>
    <b v="0"/>
    <n v="1969"/>
    <n v="6420909789"/>
    <n v="31256284543"/>
    <x v="0"/>
    <n v="-1"/>
    <x v="0"/>
  </r>
  <r>
    <x v="201"/>
    <x v="153"/>
    <x v="7"/>
    <s v="Colombia"/>
    <s v="Brazil"/>
    <n v="0"/>
    <n v="2"/>
    <s v="FIFA World Cup qualification"/>
    <s v="Bogot√°"/>
    <s v="Colombia"/>
    <b v="0"/>
    <n v="1969"/>
    <n v="6450175213"/>
    <n v="37171640818"/>
    <x v="0"/>
    <n v="1"/>
    <x v="2"/>
  </r>
  <r>
    <x v="202"/>
    <x v="153"/>
    <x v="7"/>
    <s v="Venezuela"/>
    <s v="Paraguay"/>
    <n v="0"/>
    <n v="2"/>
    <s v="FIFA World Cup qualification"/>
    <s v="Caracas"/>
    <s v="Venezuela"/>
    <b v="0"/>
    <n v="1969"/>
    <n v="10285111111"/>
    <n v="556293650"/>
    <x v="0"/>
    <n v="-1"/>
    <x v="0"/>
  </r>
  <r>
    <x v="203"/>
    <x v="154"/>
    <x v="7"/>
    <s v="Bolivia"/>
    <s v="Peru"/>
    <n v="2"/>
    <n v="1"/>
    <s v="FIFA World Cup qualification"/>
    <s v="La Paz"/>
    <s v="Bolivia"/>
    <b v="0"/>
    <n v="1969"/>
    <n v="929629629"/>
    <n v="6420909789"/>
    <x v="0"/>
    <n v="-1"/>
    <x v="0"/>
  </r>
  <r>
    <x v="204"/>
    <x v="154"/>
    <x v="7"/>
    <s v="Colombia"/>
    <s v="Paraguay"/>
    <n v="0"/>
    <n v="1"/>
    <s v="FIFA World Cup qualification"/>
    <s v="Bogot√°"/>
    <s v="Colombia"/>
    <b v="0"/>
    <n v="1969"/>
    <n v="6450175213"/>
    <n v="556293650"/>
    <x v="0"/>
    <n v="-1"/>
    <x v="0"/>
  </r>
  <r>
    <x v="205"/>
    <x v="154"/>
    <x v="7"/>
    <s v="Uruguay"/>
    <s v="Chile"/>
    <n v="2"/>
    <n v="0"/>
    <s v="FIFA World Cup qualification"/>
    <s v="Montevideo"/>
    <s v="Uruguay"/>
    <b v="0"/>
    <n v="1969"/>
    <n v="2004435483"/>
    <n v="8456519044"/>
    <x v="0"/>
    <n v="-1"/>
    <x v="0"/>
  </r>
  <r>
    <x v="206"/>
    <x v="154"/>
    <x v="7"/>
    <s v="Venezuela"/>
    <s v="Brazil"/>
    <n v="0"/>
    <n v="5"/>
    <s v="FIFA World Cup qualification"/>
    <s v="Caracas"/>
    <s v="Venezuela"/>
    <b v="0"/>
    <n v="1969"/>
    <n v="10285111111"/>
    <n v="37171640818"/>
    <x v="0"/>
    <n v="1"/>
    <x v="2"/>
  </r>
  <r>
    <x v="207"/>
    <x v="155"/>
    <x v="7"/>
    <s v="Paraguay"/>
    <s v="Brazil"/>
    <n v="0"/>
    <n v="3"/>
    <s v="FIFA World Cup qualification"/>
    <s v="Asunci√≥n"/>
    <s v="Paraguay"/>
    <b v="0"/>
    <n v="1969"/>
    <n v="556293650"/>
    <n v="37171640818"/>
    <x v="0"/>
    <n v="1"/>
    <x v="2"/>
  </r>
  <r>
    <x v="208"/>
    <x v="155"/>
    <x v="7"/>
    <s v="Peru"/>
    <s v="Bolivia"/>
    <n v="3"/>
    <n v="0"/>
    <s v="FIFA World Cup qualification"/>
    <s v="Lima"/>
    <s v="Peru"/>
    <b v="0"/>
    <n v="1969"/>
    <n v="6420909789"/>
    <n v="929629629"/>
    <x v="0"/>
    <n v="1"/>
    <x v="2"/>
  </r>
  <r>
    <x v="209"/>
    <x v="156"/>
    <x v="7"/>
    <s v="Brazil"/>
    <s v="Colombia"/>
    <n v="6"/>
    <n v="2"/>
    <s v="FIFA World Cup qualification"/>
    <s v="Rio de Janeiro"/>
    <s v="Brazil"/>
    <b v="0"/>
    <n v="1969"/>
    <n v="37171640818"/>
    <n v="6450175213"/>
    <x v="0"/>
    <n v="1"/>
    <x v="2"/>
  </r>
  <r>
    <x v="210"/>
    <x v="156"/>
    <x v="7"/>
    <s v="Paraguay"/>
    <s v="Venezuela"/>
    <n v="1"/>
    <n v="0"/>
    <s v="FIFA World Cup qualification"/>
    <s v="Asunci√≥n"/>
    <s v="Paraguay"/>
    <b v="0"/>
    <n v="1969"/>
    <n v="556293650"/>
    <n v="10285111111"/>
    <x v="0"/>
    <n v="-1"/>
    <x v="0"/>
  </r>
  <r>
    <x v="211"/>
    <x v="157"/>
    <x v="7"/>
    <s v="Argentina"/>
    <s v="Bolivia"/>
    <n v="1"/>
    <n v="0"/>
    <s v="FIFA World Cup qualification"/>
    <s v="Buenos Aires"/>
    <s v="Argentina"/>
    <b v="0"/>
    <n v="1969"/>
    <n v="31256284543"/>
    <n v="929629629"/>
    <x v="0"/>
    <n v="1"/>
    <x v="2"/>
  </r>
  <r>
    <x v="212"/>
    <x v="157"/>
    <x v="7"/>
    <s v="Brazil"/>
    <s v="Venezuela"/>
    <n v="6"/>
    <n v="0"/>
    <s v="FIFA World Cup qualification"/>
    <s v="Rio de Janeiro"/>
    <s v="Brazil"/>
    <b v="0"/>
    <n v="1969"/>
    <n v="37171640818"/>
    <n v="10285111111"/>
    <x v="0"/>
    <n v="1"/>
    <x v="2"/>
  </r>
  <r>
    <x v="213"/>
    <x v="157"/>
    <x v="7"/>
    <s v="Paraguay"/>
    <s v="Colombia"/>
    <n v="2"/>
    <n v="1"/>
    <s v="FIFA World Cup qualification"/>
    <s v="Asunci√≥n"/>
    <s v="Paraguay"/>
    <b v="0"/>
    <n v="1969"/>
    <n v="556293650"/>
    <n v="6450175213"/>
    <x v="0"/>
    <n v="-1"/>
    <x v="0"/>
  </r>
  <r>
    <x v="214"/>
    <x v="158"/>
    <x v="7"/>
    <s v="Argentina"/>
    <s v="Peru"/>
    <n v="2"/>
    <n v="2"/>
    <s v="FIFA World Cup qualification"/>
    <s v="Buenos Aires"/>
    <s v="Argentina"/>
    <b v="0"/>
    <n v="1969"/>
    <n v="31256284543"/>
    <n v="6420909789"/>
    <x v="0"/>
    <n v="0"/>
    <x v="1"/>
  </r>
  <r>
    <x v="215"/>
    <x v="158"/>
    <x v="7"/>
    <s v="Brazil"/>
    <s v="Paraguay"/>
    <n v="1"/>
    <n v="0"/>
    <s v="FIFA World Cup qualification"/>
    <s v="Rio de Janeiro"/>
    <s v="Brazil"/>
    <b v="0"/>
    <n v="1969"/>
    <n v="37171640818"/>
    <n v="556293650"/>
    <x v="0"/>
    <n v="1"/>
    <x v="2"/>
  </r>
  <r>
    <x v="216"/>
    <x v="159"/>
    <x v="7"/>
    <s v="Norway"/>
    <s v="France"/>
    <n v="1"/>
    <n v="3"/>
    <s v="FIFA World Cup qualification"/>
    <s v="Oslo"/>
    <s v="Norway"/>
    <b v="0"/>
    <n v="1969"/>
    <n v="11136187439"/>
    <n v="140660914840"/>
    <x v="0"/>
    <n v="1"/>
    <x v="2"/>
  </r>
  <r>
    <x v="217"/>
    <x v="160"/>
    <x v="7"/>
    <s v="Nigeria"/>
    <s v="Sudan"/>
    <n v="2"/>
    <n v="2"/>
    <s v="FIFA World Cup qualification"/>
    <s v="Ibadan"/>
    <s v="Nigeria"/>
    <b v="0"/>
    <n v="1969"/>
    <n v="6634317346"/>
    <n v="1847501441"/>
    <x v="0"/>
    <n v="0"/>
    <x v="1"/>
  </r>
  <r>
    <x v="218"/>
    <x v="161"/>
    <x v="7"/>
    <s v="Haiti"/>
    <s v="El Salvador"/>
    <n v="1"/>
    <n v="2"/>
    <s v="FIFA World Cup qualification"/>
    <s v="Port-au-Prince"/>
    <s v="Haiti"/>
    <b v="0"/>
    <n v="1969"/>
    <n v="391820400"/>
    <n v="1049400000"/>
    <x v="0"/>
    <n v="1"/>
    <x v="2"/>
  </r>
  <r>
    <x v="219"/>
    <x v="161"/>
    <x v="7"/>
    <s v="Morocco"/>
    <s v="Nigeria"/>
    <n v="2"/>
    <n v="1"/>
    <s v="FIFA World Cup qualification"/>
    <s v="Casablanca"/>
    <s v="Morocco"/>
    <b v="0"/>
    <n v="1969"/>
    <n v="3651622668"/>
    <n v="6634317346"/>
    <x v="1"/>
    <n v="-1"/>
    <x v="0"/>
  </r>
  <r>
    <x v="220"/>
    <x v="162"/>
    <x v="7"/>
    <s v="El Salvador"/>
    <s v="Haiti"/>
    <n v="0"/>
    <n v="3"/>
    <s v="FIFA World Cup qualification"/>
    <s v="San Salvador"/>
    <s v="El Salvador"/>
    <b v="0"/>
    <n v="1969"/>
    <n v="1049400000"/>
    <n v="391820400"/>
    <x v="0"/>
    <n v="-1"/>
    <x v="0"/>
  </r>
  <r>
    <x v="221"/>
    <x v="162"/>
    <x v="7"/>
    <s v="Israel"/>
    <s v="New Zealand"/>
    <n v="4"/>
    <n v="0"/>
    <s v="FIFA World Cup qualification"/>
    <s v="Ramat Gan"/>
    <s v="Israel"/>
    <b v="0"/>
    <n v="1969"/>
    <n v="6297852761"/>
    <n v="5814357708"/>
    <x v="1"/>
    <n v="1"/>
    <x v="2"/>
  </r>
  <r>
    <x v="222"/>
    <x v="163"/>
    <x v="7"/>
    <s v="Israel"/>
    <s v="New Zealand"/>
    <n v="2"/>
    <n v="0"/>
    <s v="FIFA World Cup qualification"/>
    <s v="Ramat Gan"/>
    <s v="Israel"/>
    <b v="0"/>
    <n v="1969"/>
    <n v="6297852761"/>
    <n v="5814357708"/>
    <x v="1"/>
    <n v="1"/>
    <x v="2"/>
  </r>
  <r>
    <x v="223"/>
    <x v="164"/>
    <x v="7"/>
    <s v="Sudan"/>
    <s v="Nigeria"/>
    <n v="3"/>
    <n v="3"/>
    <s v="FIFA World Cup qualification"/>
    <s v="Khartoum"/>
    <s v="Sudan"/>
    <b v="0"/>
    <n v="1969"/>
    <n v="1847501441"/>
    <n v="6634317346"/>
    <x v="0"/>
    <n v="0"/>
    <x v="1"/>
  </r>
  <r>
    <x v="224"/>
    <x v="165"/>
    <x v="7"/>
    <s v="Haiti"/>
    <s v="El Salvador"/>
    <n v="0"/>
    <n v="1"/>
    <s v="FIFA World Cup qualification"/>
    <s v="Kingston"/>
    <s v="Jamaica"/>
    <b v="1"/>
    <n v="1969"/>
    <n v="391820400"/>
    <n v="1049400000"/>
    <x v="0"/>
    <n v="1"/>
    <x v="2"/>
  </r>
  <r>
    <x v="225"/>
    <x v="166"/>
    <x v="7"/>
    <s v="Japan"/>
    <s v="Australia"/>
    <n v="1"/>
    <n v="3"/>
    <s v="FIFA World Cup qualification"/>
    <s v="Seoul"/>
    <s v="South Korea"/>
    <b v="1"/>
    <n v="1969"/>
    <n v="184298841304"/>
    <n v="36738245878"/>
    <x v="0"/>
    <n v="-1"/>
    <x v="0"/>
  </r>
  <r>
    <x v="226"/>
    <x v="166"/>
    <x v="7"/>
    <s v="Sudan"/>
    <s v="Morocco"/>
    <n v="0"/>
    <n v="0"/>
    <s v="FIFA World Cup qualification"/>
    <s v="Khartoum"/>
    <s v="Sudan"/>
    <b v="0"/>
    <n v="1969"/>
    <n v="1847501441"/>
    <n v="3651622668"/>
    <x v="1"/>
    <n v="0"/>
    <x v="1"/>
  </r>
  <r>
    <x v="227"/>
    <x v="167"/>
    <x v="7"/>
    <s v="South Korea"/>
    <s v="Japan"/>
    <n v="2"/>
    <n v="2"/>
    <s v="FIFA World Cup qualification"/>
    <s v="Seoul"/>
    <s v="South Korea"/>
    <b v="0"/>
    <n v="1969"/>
    <n v="7743940188"/>
    <n v="184298841304"/>
    <x v="0"/>
    <n v="0"/>
    <x v="1"/>
  </r>
  <r>
    <x v="228"/>
    <x v="168"/>
    <x v="7"/>
    <s v="South Korea"/>
    <s v="Australia"/>
    <n v="1"/>
    <n v="2"/>
    <s v="FIFA World Cup qualification"/>
    <s v="Seoul"/>
    <s v="South Korea"/>
    <b v="0"/>
    <n v="1969"/>
    <n v="7743940188"/>
    <n v="36738245878"/>
    <x v="0"/>
    <n v="1"/>
    <x v="2"/>
  </r>
  <r>
    <x v="229"/>
    <x v="169"/>
    <x v="7"/>
    <s v="Greece"/>
    <s v="Switzerland"/>
    <n v="4"/>
    <n v="1"/>
    <s v="FIFA World Cup qualification"/>
    <s v="Salonica"/>
    <s v="Greece"/>
    <b v="0"/>
    <n v="1969"/>
    <n v="11454106327"/>
    <n v="22442043274"/>
    <x v="1"/>
    <n v="-1"/>
    <x v="0"/>
  </r>
  <r>
    <x v="230"/>
    <x v="169"/>
    <x v="7"/>
    <s v="Spain"/>
    <s v="Finland"/>
    <n v="6"/>
    <n v="0"/>
    <s v="FIFA World Cup qualification"/>
    <s v="La L√≠nea de la Concepci√≥n"/>
    <s v="Spain"/>
    <b v="0"/>
    <n v="1969"/>
    <n v="37090689287"/>
    <n v="10177524838"/>
    <x v="0"/>
    <n v="1"/>
    <x v="2"/>
  </r>
  <r>
    <x v="231"/>
    <x v="169"/>
    <x v="7"/>
    <s v="Sweden"/>
    <s v="France"/>
    <n v="2"/>
    <n v="0"/>
    <s v="FIFA World Cup qualification"/>
    <s v="Solna"/>
    <s v="Sweden"/>
    <b v="0"/>
    <n v="1969"/>
    <n v="33967301561"/>
    <n v="140660914840"/>
    <x v="0"/>
    <n v="-1"/>
    <x v="0"/>
  </r>
  <r>
    <x v="232"/>
    <x v="170"/>
    <x v="7"/>
    <s v="Australia"/>
    <s v="Japan"/>
    <n v="1"/>
    <n v="1"/>
    <s v="FIFA World Cup qualification"/>
    <s v="Seoul"/>
    <s v="South Korea"/>
    <b v="1"/>
    <n v="1969"/>
    <n v="36738245878"/>
    <n v="184298841304"/>
    <x v="0"/>
    <n v="0"/>
    <x v="1"/>
  </r>
  <r>
    <x v="233"/>
    <x v="171"/>
    <x v="7"/>
    <s v="South Korea"/>
    <s v="Japan"/>
    <n v="2"/>
    <n v="0"/>
    <s v="FIFA World Cup qualification"/>
    <s v="Seoul"/>
    <s v="South Korea"/>
    <b v="0"/>
    <n v="1969"/>
    <n v="7743940188"/>
    <n v="184298841304"/>
    <x v="0"/>
    <n v="-1"/>
    <x v="0"/>
  </r>
  <r>
    <x v="234"/>
    <x v="172"/>
    <x v="7"/>
    <s v="South Korea"/>
    <s v="Australia"/>
    <n v="1"/>
    <n v="1"/>
    <s v="FIFA World Cup qualification"/>
    <s v="Seoul"/>
    <s v="South Korea"/>
    <b v="0"/>
    <n v="1969"/>
    <n v="7743940188"/>
    <n v="36738245878"/>
    <x v="0"/>
    <n v="0"/>
    <x v="1"/>
  </r>
  <r>
    <x v="235"/>
    <x v="173"/>
    <x v="7"/>
    <s v="Hungary"/>
    <s v="Denmark"/>
    <n v="3"/>
    <n v="0"/>
    <s v="FIFA World Cup qualification"/>
    <s v="Budapest"/>
    <s v="Hungary"/>
    <b v="0"/>
    <n v="1969"/>
    <n v="5429812386"/>
    <n v="15414902666"/>
    <x v="0"/>
    <n v="-1"/>
    <x v="0"/>
  </r>
  <r>
    <x v="236"/>
    <x v="174"/>
    <x v="7"/>
    <s v="Morocco"/>
    <s v="Sudan"/>
    <n v="3"/>
    <n v="0"/>
    <s v="FIFA World Cup qualification"/>
    <s v="Casablanca"/>
    <s v="Morocco"/>
    <b v="0"/>
    <n v="1969"/>
    <n v="3651622668"/>
    <n v="1847501441"/>
    <x v="1"/>
    <n v="1"/>
    <x v="2"/>
  </r>
  <r>
    <x v="237"/>
    <x v="175"/>
    <x v="7"/>
    <s v="France"/>
    <s v="Sweden"/>
    <n v="3"/>
    <n v="0"/>
    <s v="FIFA World Cup qualification"/>
    <s v="Paris"/>
    <s v="France"/>
    <b v="0"/>
    <n v="1969"/>
    <n v="140660914840"/>
    <n v="33967301561"/>
    <x v="0"/>
    <n v="1"/>
    <x v="2"/>
  </r>
  <r>
    <x v="238"/>
    <x v="176"/>
    <x v="7"/>
    <s v="Switzerland"/>
    <s v="Portugal"/>
    <n v="1"/>
    <n v="1"/>
    <s v="FIFA World Cup qualification"/>
    <s v="Bern"/>
    <s v="Switzerland"/>
    <b v="0"/>
    <n v="1969"/>
    <n v="22442043274"/>
    <n v="7287555035"/>
    <x v="0"/>
    <n v="0"/>
    <x v="1"/>
  </r>
  <r>
    <x v="239"/>
    <x v="177"/>
    <x v="7"/>
    <s v="Nigeria"/>
    <s v="Morocco"/>
    <n v="2"/>
    <n v="0"/>
    <s v="FIFA World Cup qualification"/>
    <s v="Ibadan"/>
    <s v="Nigeria"/>
    <b v="0"/>
    <n v="1969"/>
    <n v="6634317346"/>
    <n v="3651622668"/>
    <x v="1"/>
    <n v="1"/>
    <x v="2"/>
  </r>
  <r>
    <x v="240"/>
    <x v="178"/>
    <x v="7"/>
    <s v="Zimbabwe"/>
    <s v="Australia"/>
    <n v="1"/>
    <n v="1"/>
    <s v="FIFA World Cup qualification"/>
    <s v="Maputo"/>
    <s v="Mozambique"/>
    <b v="1"/>
    <n v="1969"/>
    <n v="1748891294"/>
    <n v="36738245878"/>
    <x v="0"/>
    <n v="0"/>
    <x v="1"/>
  </r>
  <r>
    <x v="241"/>
    <x v="179"/>
    <x v="7"/>
    <s v="Australia"/>
    <s v="Zimbabwe"/>
    <n v="0"/>
    <n v="0"/>
    <s v="FIFA World Cup qualification"/>
    <s v="Maputo"/>
    <s v="Mozambique"/>
    <b v="1"/>
    <n v="1969"/>
    <n v="36738245878"/>
    <n v="1748891294"/>
    <x v="0"/>
    <n v="0"/>
    <x v="1"/>
  </r>
  <r>
    <x v="242"/>
    <x v="180"/>
    <x v="7"/>
    <s v="Zimbabwe"/>
    <s v="Australia"/>
    <n v="1"/>
    <n v="3"/>
    <s v="FIFA World Cup qualification"/>
    <s v="Maputo"/>
    <s v="Mozambique"/>
    <b v="1"/>
    <n v="1969"/>
    <n v="1748891294"/>
    <n v="36738245878"/>
    <x v="0"/>
    <n v="1"/>
    <x v="2"/>
  </r>
  <r>
    <x v="243"/>
    <x v="181"/>
    <x v="7"/>
    <s v="Israel"/>
    <s v="Australia"/>
    <n v="1"/>
    <n v="0"/>
    <s v="FIFA World Cup qualification"/>
    <s v="Ramat Gan"/>
    <s v="Israel"/>
    <b v="0"/>
    <n v="1969"/>
    <n v="6297852761"/>
    <n v="36738245878"/>
    <x v="0"/>
    <n v="-1"/>
    <x v="0"/>
  </r>
  <r>
    <x v="244"/>
    <x v="182"/>
    <x v="7"/>
    <s v="Australia"/>
    <s v="Israel"/>
    <n v="1"/>
    <n v="1"/>
    <s v="FIFA World Cup qualification"/>
    <s v="Sydney"/>
    <s v="Australia"/>
    <b v="0"/>
    <n v="1969"/>
    <n v="36738245878"/>
    <n v="6297852761"/>
    <x v="0"/>
    <n v="0"/>
    <x v="1"/>
  </r>
  <r>
    <x v="245"/>
    <x v="183"/>
    <x v="8"/>
    <s v="Israel"/>
    <s v="Uruguay"/>
    <n v="0"/>
    <n v="2"/>
    <s v="FIFA World Cup"/>
    <s v="Puebla"/>
    <s v="Mexico"/>
    <b v="1"/>
    <n v="1970"/>
    <n v="7406712876"/>
    <n v="2137096774"/>
    <x v="0"/>
    <n v="-1"/>
    <x v="0"/>
  </r>
  <r>
    <x v="246"/>
    <x v="184"/>
    <x v="8"/>
    <s v="Belgium"/>
    <s v="El Salvador"/>
    <n v="3"/>
    <n v="0"/>
    <s v="FIFA World Cup"/>
    <s v="Mexico City"/>
    <s v="Mexico"/>
    <b v="1"/>
    <n v="1970"/>
    <n v="26706196046"/>
    <n v="1132920000"/>
    <x v="0"/>
    <n v="1"/>
    <x v="2"/>
  </r>
  <r>
    <x v="247"/>
    <x v="184"/>
    <x v="8"/>
    <s v="Germany"/>
    <s v="Morocco"/>
    <n v="2"/>
    <n v="1"/>
    <s v="FIFA World Cup"/>
    <s v="Le√≥n"/>
    <s v="Mexico"/>
    <b v="1"/>
    <n v="1970"/>
    <n v="216629229947"/>
    <n v="3956336244"/>
    <x v="0"/>
    <n v="1"/>
    <x v="2"/>
  </r>
  <r>
    <x v="248"/>
    <x v="184"/>
    <x v="8"/>
    <s v="Italy"/>
    <s v="Sweden"/>
    <n v="1"/>
    <n v="0"/>
    <s v="FIFA World Cup"/>
    <s v="Toluca"/>
    <s v="Mexico"/>
    <b v="1"/>
    <n v="1970"/>
    <n v="113656669764"/>
    <n v="38037226668"/>
    <x v="0"/>
    <n v="1"/>
    <x v="2"/>
  </r>
  <r>
    <x v="249"/>
    <x v="185"/>
    <x v="8"/>
    <s v="Italy"/>
    <s v="Uruguay"/>
    <n v="0"/>
    <n v="0"/>
    <s v="FIFA World Cup"/>
    <s v="Puebla"/>
    <s v="Mexico"/>
    <b v="1"/>
    <n v="1970"/>
    <n v="113656669764"/>
    <n v="2137096774"/>
    <x v="0"/>
    <n v="0"/>
    <x v="1"/>
  </r>
  <r>
    <x v="250"/>
    <x v="185"/>
    <x v="8"/>
    <s v="Morocco"/>
    <s v="Peru"/>
    <n v="0"/>
    <n v="3"/>
    <s v="FIFA World Cup"/>
    <s v="Le√≥n"/>
    <s v="Mexico"/>
    <b v="1"/>
    <n v="1970"/>
    <n v="3956336244"/>
    <n v="7432223176"/>
    <x v="1"/>
    <n v="1"/>
    <x v="2"/>
  </r>
  <r>
    <x v="251"/>
    <x v="186"/>
    <x v="8"/>
    <s v="Brazil"/>
    <s v="England"/>
    <n v="1"/>
    <n v="0"/>
    <s v="FIFA World Cup"/>
    <s v="Guadalajara"/>
    <s v="Mexico"/>
    <b v="1"/>
    <n v="1970"/>
    <n v="42327664793"/>
    <n v="130671946244"/>
    <x v="0"/>
    <n v="-1"/>
    <x v="0"/>
  </r>
  <r>
    <x v="252"/>
    <x v="186"/>
    <x v="8"/>
    <s v="Israel"/>
    <s v="Sweden"/>
    <n v="1"/>
    <n v="1"/>
    <s v="FIFA World Cup"/>
    <s v="Toluca"/>
    <s v="Mexico"/>
    <b v="1"/>
    <n v="1970"/>
    <n v="7406712876"/>
    <n v="38037226668"/>
    <x v="0"/>
    <n v="0"/>
    <x v="1"/>
  </r>
  <r>
    <x v="253"/>
    <x v="186"/>
    <x v="8"/>
    <s v="Mexico"/>
    <s v="El Salvador"/>
    <n v="4"/>
    <n v="0"/>
    <s v="FIFA World Cup"/>
    <s v="Mexico City"/>
    <s v="Mexico"/>
    <b v="0"/>
    <n v="1970"/>
    <n v="35520000000"/>
    <n v="1132920000"/>
    <x v="0"/>
    <n v="1"/>
    <x v="2"/>
  </r>
  <r>
    <x v="254"/>
    <x v="187"/>
    <x v="8"/>
    <s v="Germany"/>
    <s v="Peru"/>
    <n v="3"/>
    <n v="1"/>
    <s v="FIFA World Cup"/>
    <s v="Le√≥n"/>
    <s v="Mexico"/>
    <b v="1"/>
    <n v="1970"/>
    <n v="216629229947"/>
    <n v="7432223176"/>
    <x v="0"/>
    <n v="1"/>
    <x v="2"/>
  </r>
  <r>
    <x v="255"/>
    <x v="187"/>
    <x v="8"/>
    <s v="Sweden"/>
    <s v="Uruguay"/>
    <n v="1"/>
    <n v="0"/>
    <s v="FIFA World Cup"/>
    <s v="Puebla"/>
    <s v="Mexico"/>
    <b v="1"/>
    <n v="1970"/>
    <n v="38037226668"/>
    <n v="2137096774"/>
    <x v="0"/>
    <n v="1"/>
    <x v="2"/>
  </r>
  <r>
    <x v="256"/>
    <x v="188"/>
    <x v="8"/>
    <s v="Israel"/>
    <s v="Italy"/>
    <n v="0"/>
    <n v="0"/>
    <s v="FIFA World Cup"/>
    <s v="Toluca"/>
    <s v="Mexico"/>
    <b v="1"/>
    <n v="1970"/>
    <n v="7406712876"/>
    <n v="113656669764"/>
    <x v="0"/>
    <n v="0"/>
    <x v="1"/>
  </r>
  <r>
    <x v="257"/>
    <x v="188"/>
    <x v="8"/>
    <s v="Mexico"/>
    <s v="Belgium"/>
    <n v="1"/>
    <n v="0"/>
    <s v="FIFA World Cup"/>
    <s v="Mexico City"/>
    <s v="Mexico"/>
    <b v="0"/>
    <n v="1970"/>
    <n v="35520000000"/>
    <n v="26706196046"/>
    <x v="1"/>
    <n v="1"/>
    <x v="2"/>
  </r>
  <r>
    <x v="258"/>
    <x v="189"/>
    <x v="8"/>
    <s v="Brazil"/>
    <s v="Peru"/>
    <n v="4"/>
    <n v="2"/>
    <s v="FIFA World Cup"/>
    <s v="Guadalajara"/>
    <s v="Mexico"/>
    <b v="1"/>
    <n v="1970"/>
    <n v="42327664793"/>
    <n v="7432223176"/>
    <x v="0"/>
    <n v="1"/>
    <x v="2"/>
  </r>
  <r>
    <x v="259"/>
    <x v="189"/>
    <x v="8"/>
    <s v="England"/>
    <s v="Germany"/>
    <n v="2"/>
    <n v="3"/>
    <s v="FIFA World Cup"/>
    <s v="Le√≥n"/>
    <s v="Mexico"/>
    <b v="1"/>
    <n v="1970"/>
    <n v="130671946244"/>
    <n v="216629229947"/>
    <x v="1"/>
    <n v="1"/>
    <x v="2"/>
  </r>
  <r>
    <x v="260"/>
    <x v="189"/>
    <x v="8"/>
    <s v="Mexico"/>
    <s v="Italy"/>
    <n v="1"/>
    <n v="4"/>
    <s v="FIFA World Cup"/>
    <s v="Toluca"/>
    <s v="Mexico"/>
    <b v="0"/>
    <n v="1970"/>
    <n v="35520000000"/>
    <n v="113656669764"/>
    <x v="0"/>
    <n v="1"/>
    <x v="2"/>
  </r>
  <r>
    <x v="261"/>
    <x v="190"/>
    <x v="8"/>
    <s v="Brazil"/>
    <s v="Uruguay"/>
    <n v="3"/>
    <n v="1"/>
    <s v="FIFA World Cup"/>
    <s v="Guadalajara"/>
    <s v="Mexico"/>
    <b v="1"/>
    <n v="1970"/>
    <n v="42327664793"/>
    <n v="2137096774"/>
    <x v="0"/>
    <n v="1"/>
    <x v="2"/>
  </r>
  <r>
    <x v="262"/>
    <x v="190"/>
    <x v="8"/>
    <s v="Germany"/>
    <s v="Italy"/>
    <n v="3"/>
    <n v="4"/>
    <s v="FIFA World Cup"/>
    <s v="Mexico City"/>
    <s v="Mexico"/>
    <b v="1"/>
    <n v="1970"/>
    <n v="216629229947"/>
    <n v="113656669764"/>
    <x v="1"/>
    <n v="-1"/>
    <x v="0"/>
  </r>
  <r>
    <x v="263"/>
    <x v="191"/>
    <x v="8"/>
    <s v="Germany"/>
    <s v="Uruguay"/>
    <n v="1"/>
    <n v="0"/>
    <s v="FIFA World Cup"/>
    <s v="Mexico City"/>
    <s v="Mexico"/>
    <b v="1"/>
    <n v="1970"/>
    <n v="216629229947"/>
    <n v="2137096774"/>
    <x v="0"/>
    <n v="1"/>
    <x v="2"/>
  </r>
  <r>
    <x v="264"/>
    <x v="192"/>
    <x v="8"/>
    <s v="Brazil"/>
    <s v="Italy"/>
    <n v="4"/>
    <n v="1"/>
    <s v="FIFA World Cup"/>
    <s v="Mexico City"/>
    <s v="Mexico"/>
    <b v="1"/>
    <n v="1970"/>
    <n v="42327664793"/>
    <n v="113656669764"/>
    <x v="0"/>
    <n v="-1"/>
    <x v="0"/>
  </r>
  <r>
    <x v="265"/>
    <x v="193"/>
    <x v="9"/>
    <s v="Malta"/>
    <s v="Hungary"/>
    <n v="0"/>
    <n v="2"/>
    <s v="FIFA World Cup qualification"/>
    <s v="G≈ºira"/>
    <s v="Malta"/>
    <b v="0"/>
    <n v="1971"/>
    <n v="264578484"/>
    <n v="6291568220"/>
    <x v="0"/>
    <n v="1"/>
    <x v="2"/>
  </r>
  <r>
    <x v="266"/>
    <x v="194"/>
    <x v="10"/>
    <s v="Algeria"/>
    <s v="Guinea"/>
    <n v="1"/>
    <n v="0"/>
    <s v="FIFA World Cup qualification"/>
    <s v="Algiers"/>
    <s v="Algeria"/>
    <b v="0"/>
    <n v="1972"/>
    <n v="6766743956"/>
    <n v="4203069035"/>
    <x v="1"/>
    <n v="1"/>
    <x v="2"/>
  </r>
  <r>
    <x v="267"/>
    <x v="195"/>
    <x v="10"/>
    <s v="Guinea"/>
    <s v="Algeria"/>
    <n v="5"/>
    <n v="1"/>
    <s v="FIFA World Cup qualification"/>
    <s v="Conakry"/>
    <s v="Guinea"/>
    <b v="0"/>
    <n v="1972"/>
    <n v="4203069035"/>
    <n v="6766743956"/>
    <x v="1"/>
    <n v="-1"/>
    <x v="0"/>
  </r>
  <r>
    <x v="268"/>
    <x v="196"/>
    <x v="10"/>
    <s v="Austria"/>
    <s v="Malta"/>
    <n v="4"/>
    <n v="0"/>
    <s v="FIFA World Cup qualification"/>
    <s v="Vienna"/>
    <s v="Austria"/>
    <b v="0"/>
    <n v="1972"/>
    <n v="21973207929"/>
    <n v="295106628"/>
    <x v="0"/>
    <n v="1"/>
    <x v="2"/>
  </r>
  <r>
    <x v="269"/>
    <x v="196"/>
    <x v="10"/>
    <s v="Lesotho"/>
    <s v="Zambia"/>
    <n v="0"/>
    <n v="0"/>
    <s v="FIFA World Cup qualification"/>
    <s v="Maseru"/>
    <s v="Lesotho"/>
    <b v="0"/>
    <n v="1972"/>
    <n v="80913200"/>
    <n v="1872416680"/>
    <x v="0"/>
    <n v="0"/>
    <x v="1"/>
  </r>
  <r>
    <x v="270"/>
    <x v="197"/>
    <x v="10"/>
    <s v="Hungary"/>
    <s v="Malta"/>
    <n v="3"/>
    <n v="0"/>
    <s v="FIFA World Cup qualification"/>
    <s v="Budapest"/>
    <s v="Hungary"/>
    <b v="0"/>
    <n v="1972"/>
    <n v="7379313742"/>
    <n v="295106628"/>
    <x v="0"/>
    <n v="1"/>
    <x v="2"/>
  </r>
  <r>
    <x v="271"/>
    <x v="198"/>
    <x v="10"/>
    <s v="Belgium"/>
    <s v="Iceland"/>
    <n v="4"/>
    <n v="0"/>
    <s v="FIFA World Cup qualification"/>
    <s v="Li√®ge"/>
    <s v="Belgium"/>
    <b v="0"/>
    <n v="1972"/>
    <n v="37209418018"/>
    <n v="869002945"/>
    <x v="0"/>
    <n v="1"/>
    <x v="2"/>
  </r>
  <r>
    <x v="272"/>
    <x v="199"/>
    <x v="10"/>
    <s v="Belgium"/>
    <s v="Iceland"/>
    <n v="4"/>
    <n v="0"/>
    <s v="FIFA World Cup qualification"/>
    <s v="Bruges"/>
    <s v="Belgium"/>
    <b v="0"/>
    <n v="1972"/>
    <n v="37209418018"/>
    <n v="869002945"/>
    <x v="0"/>
    <n v="1"/>
    <x v="2"/>
  </r>
  <r>
    <x v="273"/>
    <x v="200"/>
    <x v="10"/>
    <s v="Sweden"/>
    <s v="Hungary"/>
    <n v="0"/>
    <n v="0"/>
    <s v="FIFA World Cup qualification"/>
    <s v="Solna"/>
    <s v="Sweden"/>
    <b v="0"/>
    <n v="1972"/>
    <n v="48883173399"/>
    <n v="7379313742"/>
    <x v="0"/>
    <n v="0"/>
    <x v="1"/>
  </r>
  <r>
    <x v="274"/>
    <x v="201"/>
    <x v="10"/>
    <s v="Zambia"/>
    <s v="Lesotho"/>
    <n v="6"/>
    <n v="1"/>
    <s v="FIFA World Cup qualification"/>
    <s v="Ndola"/>
    <s v="Zambia"/>
    <b v="0"/>
    <n v="1972"/>
    <n v="1872416680"/>
    <n v="80913200"/>
    <x v="0"/>
    <n v="1"/>
    <x v="2"/>
  </r>
  <r>
    <x v="275"/>
    <x v="202"/>
    <x v="10"/>
    <s v="Austria"/>
    <s v="Sweden"/>
    <n v="2"/>
    <n v="0"/>
    <s v="FIFA World Cup qualification"/>
    <s v="Vienna"/>
    <s v="Austria"/>
    <b v="0"/>
    <n v="1972"/>
    <n v="21973207929"/>
    <n v="48883173399"/>
    <x v="0"/>
    <n v="-1"/>
    <x v="0"/>
  </r>
  <r>
    <x v="276"/>
    <x v="203"/>
    <x v="10"/>
    <s v="Benin"/>
    <s v="Ghana"/>
    <n v="0"/>
    <n v="5"/>
    <s v="FIFA World Cup qualification"/>
    <s v="Cotonou"/>
    <s v="Dahomey"/>
    <b v="1"/>
    <n v="1972"/>
    <n v="410331856"/>
    <n v="2112293279"/>
    <x v="0"/>
    <n v="1"/>
    <x v="2"/>
  </r>
  <r>
    <x v="277"/>
    <x v="204"/>
    <x v="10"/>
    <s v="Ghana"/>
    <s v="Benin"/>
    <n v="5"/>
    <n v="1"/>
    <s v="FIFA World Cup qualification"/>
    <s v="Kumasi"/>
    <s v="Ghana"/>
    <b v="0"/>
    <n v="1972"/>
    <n v="2112293279"/>
    <n v="410331856"/>
    <x v="0"/>
    <n v="1"/>
    <x v="2"/>
  </r>
  <r>
    <x v="278"/>
    <x v="205"/>
    <x v="10"/>
    <s v="Kenya"/>
    <s v="Sudan"/>
    <n v="2"/>
    <n v="0"/>
    <s v="FIFA World Cup qualification"/>
    <s v="Nairobi"/>
    <s v="Kenya"/>
    <b v="0"/>
    <n v="1972"/>
    <n v="2107279157"/>
    <n v="2483055722"/>
    <x v="1"/>
    <n v="-1"/>
    <x v="0"/>
  </r>
  <r>
    <x v="279"/>
    <x v="206"/>
    <x v="10"/>
    <s v="Sudan"/>
    <s v="Kenya"/>
    <n v="1"/>
    <n v="0"/>
    <s v="FIFA World Cup qualification"/>
    <s v="Khartoum"/>
    <s v="Sudan"/>
    <b v="0"/>
    <n v="1972"/>
    <n v="2483055722"/>
    <n v="2107279157"/>
    <x v="1"/>
    <n v="1"/>
    <x v="2"/>
  </r>
  <r>
    <x v="280"/>
    <x v="207"/>
    <x v="10"/>
    <s v="Norway"/>
    <s v="Iceland"/>
    <n v="4"/>
    <n v="1"/>
    <s v="FIFA World Cup qualification"/>
    <s v="Stavanger"/>
    <s v="Norway"/>
    <b v="0"/>
    <n v="1972"/>
    <n v="17358610849"/>
    <n v="869002945"/>
    <x v="0"/>
    <n v="1"/>
    <x v="2"/>
  </r>
  <r>
    <x v="281"/>
    <x v="208"/>
    <x v="10"/>
    <s v="Norway"/>
    <s v="Belgium"/>
    <n v="0"/>
    <n v="2"/>
    <s v="FIFA World Cup qualification"/>
    <s v="Oslo"/>
    <s v="Norway"/>
    <b v="0"/>
    <n v="1972"/>
    <n v="17358610849"/>
    <n v="37209418018"/>
    <x v="0"/>
    <n v="1"/>
    <x v="2"/>
  </r>
  <r>
    <x v="282"/>
    <x v="209"/>
    <x v="10"/>
    <s v="Luxembourg"/>
    <s v="Italy"/>
    <n v="0"/>
    <n v="4"/>
    <s v="FIFA World Cup qualification"/>
    <s v="Luxembourg"/>
    <s v="Luxembourg"/>
    <b v="0"/>
    <n v="1972"/>
    <n v="1901697369"/>
    <n v="145594833997"/>
    <x v="0"/>
    <n v="1"/>
    <x v="2"/>
  </r>
  <r>
    <x v="283"/>
    <x v="210"/>
    <x v="10"/>
    <s v="Austria"/>
    <s v="Hungary"/>
    <n v="2"/>
    <n v="2"/>
    <s v="FIFA World Cup qualification"/>
    <s v="Vienna"/>
    <s v="Austria"/>
    <b v="0"/>
    <n v="1972"/>
    <n v="21973207929"/>
    <n v="7379313742"/>
    <x v="0"/>
    <n v="0"/>
    <x v="1"/>
  </r>
  <r>
    <x v="284"/>
    <x v="210"/>
    <x v="10"/>
    <s v="Sweden"/>
    <s v="Malta"/>
    <n v="7"/>
    <n v="0"/>
    <s v="FIFA World Cup qualification"/>
    <s v="Gothenburg"/>
    <s v="Sweden"/>
    <b v="0"/>
    <n v="1972"/>
    <n v="48883173399"/>
    <n v="295106628"/>
    <x v="0"/>
    <n v="1"/>
    <x v="2"/>
  </r>
  <r>
    <x v="285"/>
    <x v="211"/>
    <x v="10"/>
    <s v="Switzerland"/>
    <s v="Italy"/>
    <n v="0"/>
    <n v="0"/>
    <s v="FIFA World Cup qualification"/>
    <s v="Bern"/>
    <s v="Switzerland"/>
    <b v="0"/>
    <n v="1972"/>
    <n v="36844318854"/>
    <n v="145594833997"/>
    <x v="0"/>
    <n v="0"/>
    <x v="1"/>
  </r>
  <r>
    <x v="286"/>
    <x v="212"/>
    <x v="10"/>
    <s v="Netherlands"/>
    <s v="Norway"/>
    <n v="9"/>
    <n v="0"/>
    <s v="FIFA World Cup qualification"/>
    <s v="Rotterdam"/>
    <s v="Netherlands"/>
    <b v="0"/>
    <n v="1972"/>
    <n v="54787070173"/>
    <n v="17358610849"/>
    <x v="0"/>
    <n v="1"/>
    <x v="2"/>
  </r>
  <r>
    <x v="287"/>
    <x v="213"/>
    <x v="10"/>
    <s v="Belgium"/>
    <s v="Netherlands"/>
    <n v="0"/>
    <n v="0"/>
    <s v="FIFA World Cup qualification"/>
    <s v="Antwerp"/>
    <s v="Belgium"/>
    <b v="0"/>
    <n v="1972"/>
    <n v="37209418018"/>
    <n v="54787070173"/>
    <x v="1"/>
    <n v="0"/>
    <x v="1"/>
  </r>
  <r>
    <x v="288"/>
    <x v="213"/>
    <x v="10"/>
    <s v="Morocco"/>
    <s v="Senegal"/>
    <n v="0"/>
    <n v="0"/>
    <s v="FIFA World Cup qualification"/>
    <s v="Rabat"/>
    <s v="Morocco"/>
    <b v="0"/>
    <n v="1972"/>
    <n v="5074117544"/>
    <n v="1620857103"/>
    <x v="0"/>
    <n v="0"/>
    <x v="1"/>
  </r>
  <r>
    <x v="289"/>
    <x v="214"/>
    <x v="10"/>
    <s v="Malta"/>
    <s v="Austria"/>
    <n v="0"/>
    <n v="2"/>
    <s v="FIFA World Cup qualification"/>
    <s v="G≈ºira"/>
    <s v="Malta"/>
    <b v="0"/>
    <n v="1972"/>
    <n v="295106628"/>
    <n v="21973207929"/>
    <x v="0"/>
    <n v="1"/>
    <x v="2"/>
  </r>
  <r>
    <x v="290"/>
    <x v="214"/>
    <x v="10"/>
    <s v="Tanzania"/>
    <s v="Ethiopia"/>
    <n v="1"/>
    <n v="1"/>
    <s v="FIFA World Cup qualification"/>
    <s v="Dar es Salaam"/>
    <s v="Tanzania"/>
    <b v="0"/>
    <n v="1972"/>
    <n v="3472787266"/>
    <n v="3520252938"/>
    <x v="1"/>
    <n v="0"/>
    <x v="1"/>
  </r>
  <r>
    <x v="291"/>
    <x v="215"/>
    <x v="10"/>
    <s v="Ethiopia"/>
    <s v="Tanzania"/>
    <n v="0"/>
    <n v="0"/>
    <s v="FIFA World Cup qualification"/>
    <s v="Addis Ababa"/>
    <s v="Ethiopia"/>
    <b v="0"/>
    <n v="1972"/>
    <n v="3520252938"/>
    <n v="3472787266"/>
    <x v="1"/>
    <n v="0"/>
    <x v="1"/>
  </r>
  <r>
    <x v="292"/>
    <x v="215"/>
    <x v="10"/>
    <s v="Senegal"/>
    <s v="Morocco"/>
    <n v="1"/>
    <n v="2"/>
    <s v="FIFA World Cup qualification"/>
    <s v="Dakar"/>
    <s v="Senegal"/>
    <b v="0"/>
    <n v="1972"/>
    <n v="1620857103"/>
    <n v="5074117544"/>
    <x v="0"/>
    <n v="1"/>
    <x v="2"/>
  </r>
  <r>
    <x v="293"/>
    <x v="216"/>
    <x v="10"/>
    <s v="Egypt"/>
    <s v="Tunisia"/>
    <n v="2"/>
    <n v="1"/>
    <s v="FIFA World Cup qualification"/>
    <s v="Cairo"/>
    <s v="Egypt"/>
    <b v="0"/>
    <n v="1972"/>
    <n v="9299638055"/>
    <n v="2237556148"/>
    <x v="0"/>
    <n v="1"/>
    <x v="2"/>
  </r>
  <r>
    <x v="294"/>
    <x v="217"/>
    <x v="10"/>
    <s v="Ethiopia"/>
    <s v="Tanzania"/>
    <n v="3"/>
    <n v="0"/>
    <s v="FIFA World Cup qualification"/>
    <s v="Addis Ababa"/>
    <s v="Ethiopia"/>
    <b v="0"/>
    <n v="1972"/>
    <n v="3520252938"/>
    <n v="3472787266"/>
    <x v="1"/>
    <n v="1"/>
    <x v="2"/>
  </r>
  <r>
    <x v="295"/>
    <x v="217"/>
    <x v="10"/>
    <s v="Mauritius"/>
    <s v="Kenya"/>
    <n v="1"/>
    <n v="3"/>
    <s v="FIFA World Cup qualification"/>
    <s v="Curepipe"/>
    <s v="Mauritius"/>
    <b v="0"/>
    <n v="1972"/>
    <n v="318664899"/>
    <n v="2107279157"/>
    <x v="0"/>
    <n v="1"/>
    <x v="2"/>
  </r>
  <r>
    <x v="296"/>
    <x v="218"/>
    <x v="10"/>
    <s v="Kenya"/>
    <s v="Mauritius"/>
    <n v="2"/>
    <n v="2"/>
    <s v="FIFA World Cup qualification"/>
    <s v="Nairobi"/>
    <s v="Kenya"/>
    <b v="0"/>
    <n v="1972"/>
    <n v="2107279157"/>
    <n v="318664899"/>
    <x v="0"/>
    <n v="0"/>
    <x v="1"/>
  </r>
  <r>
    <x v="297"/>
    <x v="218"/>
    <x v="10"/>
    <s v="Tunisia"/>
    <s v="Egypt"/>
    <n v="2"/>
    <n v="0"/>
    <s v="FIFA World Cup qualification"/>
    <s v="Tunis"/>
    <s v="Tunisia"/>
    <b v="0"/>
    <n v="1972"/>
    <n v="2237556148"/>
    <n v="9299638055"/>
    <x v="0"/>
    <n v="-1"/>
    <x v="0"/>
  </r>
  <r>
    <x v="298"/>
    <x v="219"/>
    <x v="11"/>
    <s v="Greece"/>
    <s v="Spain"/>
    <n v="2"/>
    <n v="3"/>
    <s v="FIFA World Cup qualification"/>
    <s v="Athens"/>
    <s v="Greece"/>
    <b v="0"/>
    <n v="1973"/>
    <n v="22037019562"/>
    <n v="78583355225"/>
    <x v="0"/>
    <n v="1"/>
    <x v="2"/>
  </r>
  <r>
    <x v="299"/>
    <x v="220"/>
    <x v="11"/>
    <s v="Nigeria"/>
    <s v="Ghana"/>
    <n v="2"/>
    <n v="3"/>
    <s v="FIFA World Cup qualification"/>
    <s v="Lagos"/>
    <s v="Nigeria"/>
    <b v="0"/>
    <n v="1973"/>
    <n v="15162871287"/>
    <n v="3006766758"/>
    <x v="0"/>
    <n v="-1"/>
    <x v="0"/>
  </r>
  <r>
    <x v="300"/>
    <x v="221"/>
    <x v="11"/>
    <s v="Guinea"/>
    <s v="Morocco"/>
    <n v="1"/>
    <n v="1"/>
    <s v="FIFA World Cup qualification"/>
    <s v="Conakry"/>
    <s v="Guinea"/>
    <b v="0"/>
    <n v="1973"/>
    <n v="5152080387"/>
    <n v="6242145880"/>
    <x v="1"/>
    <n v="0"/>
    <x v="1"/>
  </r>
  <r>
    <x v="301"/>
    <x v="222"/>
    <x v="11"/>
    <s v="Spain"/>
    <s v="Greece"/>
    <n v="3"/>
    <n v="1"/>
    <s v="FIFA World Cup qualification"/>
    <s v="M√°laga"/>
    <s v="Spain"/>
    <b v="0"/>
    <n v="1973"/>
    <n v="78583355225"/>
    <n v="22037019562"/>
    <x v="0"/>
    <n v="1"/>
    <x v="2"/>
  </r>
  <r>
    <x v="302"/>
    <x v="223"/>
    <x v="11"/>
    <s v="Ghana"/>
    <s v="Nigeria"/>
    <n v="0"/>
    <n v="0"/>
    <s v="FIFA World Cup qualification"/>
    <s v="Accra"/>
    <s v="Ghana"/>
    <b v="0"/>
    <n v="1973"/>
    <n v="3006766758"/>
    <n v="15162871287"/>
    <x v="0"/>
    <n v="0"/>
    <x v="1"/>
  </r>
  <r>
    <x v="303"/>
    <x v="223"/>
    <x v="11"/>
    <s v="Morocco"/>
    <s v="Guinea"/>
    <n v="2"/>
    <n v="0"/>
    <s v="FIFA World Cup qualification"/>
    <s v="T√©touan"/>
    <s v="Morocco"/>
    <b v="0"/>
    <n v="1973"/>
    <n v="6242145880"/>
    <n v="5152080387"/>
    <x v="1"/>
    <n v="1"/>
    <x v="2"/>
  </r>
  <r>
    <x v="304"/>
    <x v="224"/>
    <x v="11"/>
    <s v="New Zealand"/>
    <s v="Australia"/>
    <n v="1"/>
    <n v="1"/>
    <s v="FIFA World Cup qualification"/>
    <s v="Auckland"/>
    <s v="New Zealand"/>
    <b v="0"/>
    <n v="1973"/>
    <n v="12802281897"/>
    <n v="63923126201"/>
    <x v="0"/>
    <n v="0"/>
    <x v="1"/>
  </r>
  <r>
    <x v="305"/>
    <x v="225"/>
    <x v="11"/>
    <s v="Australia"/>
    <s v="Iraq"/>
    <n v="3"/>
    <n v="1"/>
    <s v="FIFA World Cup qualification"/>
    <s v="Sydney"/>
    <s v="Australia"/>
    <b v="0"/>
    <n v="1973"/>
    <n v="63923126201"/>
    <n v="5134367778"/>
    <x v="0"/>
    <n v="1"/>
    <x v="2"/>
  </r>
  <r>
    <x v="306"/>
    <x v="225"/>
    <x v="11"/>
    <s v="Indonesia"/>
    <s v="New Zealand"/>
    <n v="1"/>
    <n v="1"/>
    <s v="FIFA World Cup qualification"/>
    <s v="Sydney"/>
    <s v="Australia"/>
    <b v="1"/>
    <n v="1973"/>
    <n v="16273253012"/>
    <n v="12802281897"/>
    <x v="1"/>
    <n v="0"/>
    <x v="1"/>
  </r>
  <r>
    <x v="307"/>
    <x v="226"/>
    <x v="11"/>
    <s v="Australia"/>
    <s v="Indonesia"/>
    <n v="2"/>
    <n v="1"/>
    <s v="FIFA World Cup qualification"/>
    <s v="Sydney"/>
    <s v="Australia"/>
    <b v="0"/>
    <n v="1973"/>
    <n v="63923126201"/>
    <n v="16273253012"/>
    <x v="0"/>
    <n v="1"/>
    <x v="2"/>
  </r>
  <r>
    <x v="308"/>
    <x v="226"/>
    <x v="11"/>
    <s v="Iraq"/>
    <s v="New Zealand"/>
    <n v="2"/>
    <n v="0"/>
    <s v="FIFA World Cup qualification"/>
    <s v="Sydney"/>
    <s v="Australia"/>
    <b v="1"/>
    <n v="1973"/>
    <n v="5134367778"/>
    <n v="12802281897"/>
    <x v="0"/>
    <n v="-1"/>
    <x v="0"/>
  </r>
  <r>
    <x v="309"/>
    <x v="227"/>
    <x v="11"/>
    <s v="Australia"/>
    <s v="New Zealand"/>
    <n v="3"/>
    <n v="3"/>
    <s v="FIFA World Cup qualification"/>
    <s v="Sydney"/>
    <s v="Australia"/>
    <b v="0"/>
    <n v="1973"/>
    <n v="63923126201"/>
    <n v="12802281897"/>
    <x v="0"/>
    <n v="0"/>
    <x v="1"/>
  </r>
  <r>
    <x v="310"/>
    <x v="227"/>
    <x v="11"/>
    <s v="Iraq"/>
    <s v="Indonesia"/>
    <n v="1"/>
    <n v="1"/>
    <s v="FIFA World Cup qualification"/>
    <s v="Sydney"/>
    <s v="Australia"/>
    <b v="1"/>
    <n v="1973"/>
    <n v="5134367778"/>
    <n v="16273253012"/>
    <x v="0"/>
    <n v="0"/>
    <x v="1"/>
  </r>
  <r>
    <x v="311"/>
    <x v="228"/>
    <x v="11"/>
    <s v="Australia"/>
    <s v="Iraq"/>
    <n v="0"/>
    <n v="0"/>
    <s v="FIFA World Cup qualification"/>
    <s v="Melbourne"/>
    <s v="Australia"/>
    <b v="0"/>
    <n v="1973"/>
    <n v="63923126201"/>
    <n v="5134367778"/>
    <x v="0"/>
    <n v="0"/>
    <x v="1"/>
  </r>
  <r>
    <x v="312"/>
    <x v="228"/>
    <x v="11"/>
    <s v="Indonesia"/>
    <s v="New Zealand"/>
    <n v="1"/>
    <n v="0"/>
    <s v="FIFA World Cup qualification"/>
    <s v="Melbourne"/>
    <s v="Australia"/>
    <b v="1"/>
    <n v="1973"/>
    <n v="16273253012"/>
    <n v="12802281897"/>
    <x v="1"/>
    <n v="1"/>
    <x v="2"/>
  </r>
  <r>
    <x v="313"/>
    <x v="229"/>
    <x v="11"/>
    <s v="Iraq"/>
    <s v="Indonesia"/>
    <n v="3"/>
    <n v="2"/>
    <s v="FIFA World Cup qualification"/>
    <s v="Sydney"/>
    <s v="Australia"/>
    <b v="1"/>
    <n v="1973"/>
    <n v="5134367778"/>
    <n v="16273253012"/>
    <x v="0"/>
    <n v="-1"/>
    <x v="0"/>
  </r>
  <r>
    <x v="314"/>
    <x v="230"/>
    <x v="11"/>
    <s v="Australia"/>
    <s v="Indonesia"/>
    <n v="6"/>
    <n v="0"/>
    <s v="FIFA World Cup qualification"/>
    <s v="Sydney"/>
    <s v="Australia"/>
    <b v="0"/>
    <n v="1973"/>
    <n v="63923126201"/>
    <n v="16273253012"/>
    <x v="0"/>
    <n v="1"/>
    <x v="2"/>
  </r>
  <r>
    <x v="315"/>
    <x v="230"/>
    <x v="11"/>
    <s v="Iraq"/>
    <s v="New Zealand"/>
    <n v="4"/>
    <n v="0"/>
    <s v="FIFA World Cup qualification"/>
    <s v="Sydney"/>
    <s v="Australia"/>
    <b v="1"/>
    <n v="1973"/>
    <n v="5134367778"/>
    <n v="12802281897"/>
    <x v="0"/>
    <n v="-1"/>
    <x v="0"/>
  </r>
  <r>
    <x v="316"/>
    <x v="231"/>
    <x v="11"/>
    <s v="Italy"/>
    <s v="Luxembourg"/>
    <n v="5"/>
    <n v="0"/>
    <s v="FIFA World Cup qualification"/>
    <s v="Genoa"/>
    <s v="Italy"/>
    <b v="0"/>
    <n v="1973"/>
    <n v="175896529392"/>
    <n v="2609875802"/>
    <x v="0"/>
    <n v="1"/>
    <x v="2"/>
  </r>
  <r>
    <x v="317"/>
    <x v="232"/>
    <x v="11"/>
    <s v="Ethiopia"/>
    <s v="Zambia"/>
    <n v="0"/>
    <n v="0"/>
    <s v="FIFA World Cup qualification"/>
    <s v="Addis Ababa"/>
    <s v="Ethiopia"/>
    <b v="0"/>
    <n v="1973"/>
    <n v="4070570549"/>
    <n v="2434255236"/>
    <x v="1"/>
    <n v="0"/>
    <x v="1"/>
  </r>
  <r>
    <x v="318"/>
    <x v="233"/>
    <x v="11"/>
    <s v="Luxembourg"/>
    <s v="Switzerland"/>
    <n v="0"/>
    <n v="1"/>
    <s v="FIFA World Cup qualification"/>
    <s v="Luxembourg"/>
    <s v="Luxembourg"/>
    <b v="0"/>
    <n v="1973"/>
    <n v="2609875802"/>
    <n v="49550006319"/>
    <x v="0"/>
    <n v="1"/>
    <x v="2"/>
  </r>
  <r>
    <x v="319"/>
    <x v="234"/>
    <x v="11"/>
    <s v="Zambia"/>
    <s v="Ethiopia"/>
    <n v="4"/>
    <n v="2"/>
    <s v="FIFA World Cup qualification"/>
    <s v="Lusaka"/>
    <s v="Zambia"/>
    <b v="0"/>
    <n v="1973"/>
    <n v="2434255236"/>
    <n v="4070570549"/>
    <x v="1"/>
    <n v="-1"/>
    <x v="0"/>
  </r>
  <r>
    <x v="320"/>
    <x v="235"/>
    <x v="11"/>
    <s v="Hungary"/>
    <s v="Austria"/>
    <n v="2"/>
    <n v="2"/>
    <s v="FIFA World Cup qualification"/>
    <s v="Budapest"/>
    <s v="Hungary"/>
    <b v="0"/>
    <n v="1973"/>
    <n v="9138292402"/>
    <n v="29399860144"/>
    <x v="0"/>
    <n v="0"/>
    <x v="1"/>
  </r>
  <r>
    <x v="321"/>
    <x v="235"/>
    <x v="11"/>
    <s v="Peru"/>
    <s v="Chile"/>
    <n v="2"/>
    <n v="0"/>
    <s v="FIFA World Cup qualification"/>
    <s v="Lima"/>
    <s v="Peru"/>
    <b v="0"/>
    <n v="1973"/>
    <n v="10994381895"/>
    <n v="17237336172"/>
    <x v="1"/>
    <n v="-1"/>
    <x v="0"/>
  </r>
  <r>
    <x v="322"/>
    <x v="236"/>
    <x v="11"/>
    <s v="Syria"/>
    <s v="Kuwait"/>
    <n v="2"/>
    <n v="1"/>
    <s v="FIFA World Cup qualification"/>
    <s v="Tehran"/>
    <s v="Iran"/>
    <b v="1"/>
    <n v="1973"/>
    <n v="3239487516"/>
    <n v="5408804607"/>
    <x v="1"/>
    <n v="-1"/>
    <x v="0"/>
  </r>
  <r>
    <x v="323"/>
    <x v="237"/>
    <x v="11"/>
    <s v="Iran"/>
    <s v="Kuwait"/>
    <n v="2"/>
    <n v="1"/>
    <s v="FIFA World Cup qualification"/>
    <s v="Tehran"/>
    <s v="Iran"/>
    <b v="0"/>
    <n v="1973"/>
    <n v="27081698249"/>
    <n v="5408804607"/>
    <x v="0"/>
    <n v="1"/>
    <x v="2"/>
  </r>
  <r>
    <x v="324"/>
    <x v="238"/>
    <x v="11"/>
    <s v="Iran"/>
    <s v="Syria"/>
    <n v="1"/>
    <n v="0"/>
    <s v="FIFA World Cup qualification"/>
    <s v="Tehran"/>
    <s v="Iran"/>
    <b v="0"/>
    <n v="1973"/>
    <n v="27081698249"/>
    <n v="3239487516"/>
    <x v="0"/>
    <n v="1"/>
    <x v="2"/>
  </r>
  <r>
    <x v="325"/>
    <x v="239"/>
    <x v="11"/>
    <s v="Syria"/>
    <s v="Kuwait"/>
    <n v="2"/>
    <n v="0"/>
    <s v="FIFA World Cup qualification"/>
    <s v="Tehran"/>
    <s v="Iran"/>
    <b v="1"/>
    <n v="1973"/>
    <n v="3239487516"/>
    <n v="5408804607"/>
    <x v="1"/>
    <n v="-1"/>
    <x v="0"/>
  </r>
  <r>
    <x v="326"/>
    <x v="240"/>
    <x v="11"/>
    <s v="Chile"/>
    <s v="Peru"/>
    <n v="2"/>
    <n v="0"/>
    <s v="FIFA World Cup qualification"/>
    <s v="Santiago"/>
    <s v="Chile"/>
    <b v="0"/>
    <n v="1973"/>
    <n v="17237336172"/>
    <n v="10994381895"/>
    <x v="1"/>
    <n v="1"/>
    <x v="2"/>
  </r>
  <r>
    <x v="327"/>
    <x v="240"/>
    <x v="11"/>
    <s v="Iran"/>
    <s v="Kuwait"/>
    <n v="2"/>
    <n v="0"/>
    <s v="FIFA World Cup qualification"/>
    <s v="Tehran"/>
    <s v="Iran"/>
    <b v="0"/>
    <n v="1973"/>
    <n v="27081698249"/>
    <n v="5408804607"/>
    <x v="0"/>
    <n v="1"/>
    <x v="2"/>
  </r>
  <r>
    <x v="328"/>
    <x v="241"/>
    <x v="11"/>
    <s v="Iran"/>
    <s v="Syria"/>
    <n v="0"/>
    <n v="1"/>
    <s v="FIFA World Cup qualification"/>
    <s v="Tehran"/>
    <s v="Iran"/>
    <b v="0"/>
    <n v="1973"/>
    <n v="27081698249"/>
    <n v="3239487516"/>
    <x v="0"/>
    <n v="-1"/>
    <x v="0"/>
  </r>
  <r>
    <x v="329"/>
    <x v="242"/>
    <x v="11"/>
    <s v="Israel"/>
    <s v="Japan"/>
    <n v="2"/>
    <n v="1"/>
    <s v="FIFA World Cup qualification"/>
    <s v="Seoul"/>
    <s v="South Korea"/>
    <b v="1"/>
    <n v="1973"/>
    <n v="11902574258"/>
    <n v="441460582535"/>
    <x v="0"/>
    <n v="-1"/>
    <x v="0"/>
  </r>
  <r>
    <x v="330"/>
    <x v="243"/>
    <x v="11"/>
    <s v="Israel"/>
    <s v="Malaysia"/>
    <n v="3"/>
    <n v="0"/>
    <s v="FIFA World Cup qualification"/>
    <s v="Seoul"/>
    <s v="South Korea"/>
    <b v="1"/>
    <n v="1973"/>
    <n v="11902574258"/>
    <n v="7662902677"/>
    <x v="1"/>
    <n v="1"/>
    <x v="2"/>
  </r>
  <r>
    <x v="331"/>
    <x v="243"/>
    <x v="11"/>
    <s v="South Korea"/>
    <s v="Thailand"/>
    <n v="4"/>
    <n v="0"/>
    <s v="FIFA World Cup qualification"/>
    <s v="Seoul"/>
    <s v="South Korea"/>
    <b v="0"/>
    <n v="1973"/>
    <n v="14067523813"/>
    <n v="10838587357"/>
    <x v="1"/>
    <n v="1"/>
    <x v="2"/>
  </r>
  <r>
    <x v="332"/>
    <x v="244"/>
    <x v="11"/>
    <s v="Israel"/>
    <s v="Thailand"/>
    <n v="6"/>
    <n v="0"/>
    <s v="FIFA World Cup qualification"/>
    <s v="Seoul"/>
    <s v="South Korea"/>
    <b v="1"/>
    <n v="1973"/>
    <n v="11902574258"/>
    <n v="10838587357"/>
    <x v="1"/>
    <n v="1"/>
    <x v="2"/>
  </r>
  <r>
    <x v="333"/>
    <x v="244"/>
    <x v="11"/>
    <s v="South Korea"/>
    <s v="Malaysia"/>
    <n v="0"/>
    <n v="0"/>
    <s v="FIFA World Cup qualification"/>
    <s v="Seoul"/>
    <s v="South Korea"/>
    <b v="0"/>
    <n v="1973"/>
    <n v="14067523813"/>
    <n v="7662902677"/>
    <x v="1"/>
    <n v="0"/>
    <x v="1"/>
  </r>
  <r>
    <x v="334"/>
    <x v="245"/>
    <x v="11"/>
    <s v="South Korea"/>
    <s v="Israel"/>
    <n v="0"/>
    <n v="0"/>
    <s v="FIFA World Cup qualification"/>
    <s v="Seoul"/>
    <s v="South Korea"/>
    <b v="0"/>
    <n v="1973"/>
    <n v="14067523813"/>
    <n v="11902574258"/>
    <x v="1"/>
    <n v="0"/>
    <x v="1"/>
  </r>
  <r>
    <x v="335"/>
    <x v="245"/>
    <x v="11"/>
    <s v="Sweden"/>
    <s v="Austria"/>
    <n v="3"/>
    <n v="2"/>
    <s v="FIFA World Cup qualification"/>
    <s v="Gothenburg"/>
    <s v="Sweden"/>
    <b v="0"/>
    <n v="1973"/>
    <n v="59318842992"/>
    <n v="29399860144"/>
    <x v="0"/>
    <n v="1"/>
    <x v="2"/>
  </r>
  <r>
    <x v="336"/>
    <x v="245"/>
    <x v="11"/>
    <s v="Thailand"/>
    <s v="Malaysia"/>
    <n v="0"/>
    <n v="2"/>
    <s v="FIFA World Cup qualification"/>
    <s v="Seoul"/>
    <s v="South Korea"/>
    <b v="1"/>
    <n v="1973"/>
    <n v="10838587357"/>
    <n v="7662902677"/>
    <x v="1"/>
    <n v="-1"/>
    <x v="0"/>
  </r>
  <r>
    <x v="337"/>
    <x v="246"/>
    <x v="11"/>
    <s v="Israel"/>
    <s v="Japan"/>
    <n v="1"/>
    <n v="0"/>
    <s v="FIFA World Cup qualification"/>
    <s v="Seoul"/>
    <s v="South Korea"/>
    <b v="1"/>
    <n v="1973"/>
    <n v="11902574258"/>
    <n v="441460582535"/>
    <x v="0"/>
    <n v="-1"/>
    <x v="0"/>
  </r>
  <r>
    <x v="338"/>
    <x v="247"/>
    <x v="11"/>
    <s v="South Korea"/>
    <s v="Israel"/>
    <n v="1"/>
    <n v="0"/>
    <s v="FIFA World Cup qualification"/>
    <s v="Seoul"/>
    <s v="South Korea"/>
    <b v="0"/>
    <n v="1973"/>
    <n v="14067523813"/>
    <n v="11902574258"/>
    <x v="1"/>
    <n v="1"/>
    <x v="2"/>
  </r>
  <r>
    <x v="339"/>
    <x v="248"/>
    <x v="11"/>
    <s v="Hungary"/>
    <s v="Sweden"/>
    <n v="3"/>
    <n v="3"/>
    <s v="FIFA World Cup qualification"/>
    <s v="Budapest"/>
    <s v="Hungary"/>
    <b v="0"/>
    <n v="1973"/>
    <n v="9138292402"/>
    <n v="59318842992"/>
    <x v="0"/>
    <n v="0"/>
    <x v="1"/>
  </r>
  <r>
    <x v="340"/>
    <x v="249"/>
    <x v="11"/>
    <s v="Colombia"/>
    <s v="Ecuador"/>
    <n v="1"/>
    <n v="1"/>
    <s v="FIFA World Cup qualification"/>
    <s v="Bogot√°"/>
    <s v="Colombia"/>
    <b v="0"/>
    <n v="1973"/>
    <n v="10315760000"/>
    <n v="3891754150"/>
    <x v="0"/>
    <n v="0"/>
    <x v="1"/>
  </r>
  <r>
    <x v="341"/>
    <x v="250"/>
    <x v="11"/>
    <s v="Colombia"/>
    <s v="Uruguay"/>
    <n v="0"/>
    <n v="0"/>
    <s v="FIFA World Cup qualification"/>
    <s v="Bogot√°"/>
    <s v="Colombia"/>
    <b v="0"/>
    <n v="1973"/>
    <n v="10315760000"/>
    <n v="3964296443"/>
    <x v="0"/>
    <n v="0"/>
    <x v="1"/>
  </r>
  <r>
    <x v="342"/>
    <x v="251"/>
    <x v="11"/>
    <s v="Ecuador"/>
    <s v="Colombia"/>
    <n v="1"/>
    <n v="1"/>
    <s v="FIFA World Cup qualification"/>
    <s v="Guayaquil"/>
    <s v="Ecuador"/>
    <b v="0"/>
    <n v="1973"/>
    <n v="3891754150"/>
    <n v="10315760000"/>
    <x v="0"/>
    <n v="0"/>
    <x v="1"/>
  </r>
  <r>
    <x v="343"/>
    <x v="252"/>
    <x v="11"/>
    <s v="Ecuador"/>
    <s v="Uruguay"/>
    <n v="1"/>
    <n v="2"/>
    <s v="FIFA World Cup qualification"/>
    <s v="Quito"/>
    <s v="Ecuador"/>
    <b v="0"/>
    <n v="1973"/>
    <n v="3891754150"/>
    <n v="3964296443"/>
    <x v="1"/>
    <n v="1"/>
    <x v="2"/>
  </r>
  <r>
    <x v="344"/>
    <x v="253"/>
    <x v="11"/>
    <s v="Uruguay"/>
    <s v="Colombia"/>
    <n v="0"/>
    <n v="1"/>
    <s v="FIFA World Cup qualification"/>
    <s v="Montevideo"/>
    <s v="Uruguay"/>
    <b v="0"/>
    <n v="1973"/>
    <n v="3964296443"/>
    <n v="10315760000"/>
    <x v="0"/>
    <n v="1"/>
    <x v="2"/>
  </r>
  <r>
    <x v="345"/>
    <x v="254"/>
    <x v="11"/>
    <s v="Uruguay"/>
    <s v="Ecuador"/>
    <n v="4"/>
    <n v="0"/>
    <s v="FIFA World Cup qualification"/>
    <s v="Montevideo"/>
    <s v="Uruguay"/>
    <b v="0"/>
    <n v="1973"/>
    <n v="3964296443"/>
    <n v="3891754150"/>
    <x v="1"/>
    <n v="1"/>
    <x v="2"/>
  </r>
  <r>
    <x v="346"/>
    <x v="255"/>
    <x v="11"/>
    <s v="Iceland"/>
    <s v="Norway"/>
    <n v="0"/>
    <n v="4"/>
    <s v="FIFA World Cup qualification"/>
    <s v="Reykjav√≠k"/>
    <s v="Iceland"/>
    <b v="0"/>
    <n v="1973"/>
    <n v="1194794186"/>
    <n v="22534253702"/>
    <x v="0"/>
    <n v="1"/>
    <x v="2"/>
  </r>
  <r>
    <x v="347"/>
    <x v="256"/>
    <x v="11"/>
    <s v="Chile"/>
    <s v="Peru"/>
    <n v="2"/>
    <n v="1"/>
    <s v="FIFA World Cup qualification"/>
    <s v="Montevideo"/>
    <s v="Uruguay"/>
    <b v="1"/>
    <n v="1973"/>
    <n v="17237336172"/>
    <n v="10994381895"/>
    <x v="1"/>
    <n v="1"/>
    <x v="2"/>
  </r>
  <r>
    <x v="348"/>
    <x v="257"/>
    <x v="11"/>
    <s v="Zambia"/>
    <s v="Kenya"/>
    <n v="2"/>
    <n v="0"/>
    <s v="FIFA World Cup qualification"/>
    <s v="Ndola"/>
    <s v="Zambia"/>
    <b v="0"/>
    <n v="1973"/>
    <n v="2434255236"/>
    <n v="2509001324"/>
    <x v="1"/>
    <n v="-1"/>
    <x v="0"/>
  </r>
  <r>
    <x v="349"/>
    <x v="258"/>
    <x v="11"/>
    <s v="Australia"/>
    <s v="Iran"/>
    <n v="3"/>
    <n v="0"/>
    <s v="FIFA World Cup qualification"/>
    <s v="Sydney"/>
    <s v="Australia"/>
    <b v="0"/>
    <n v="1973"/>
    <n v="63923126201"/>
    <n v="27081698249"/>
    <x v="0"/>
    <n v="1"/>
    <x v="2"/>
  </r>
  <r>
    <x v="350"/>
    <x v="259"/>
    <x v="11"/>
    <s v="Kenya"/>
    <s v="Zambia"/>
    <n v="2"/>
    <n v="2"/>
    <s v="FIFA World Cup qualification"/>
    <s v="Nairobi"/>
    <s v="Kenya"/>
    <b v="0"/>
    <n v="1973"/>
    <n v="2509001324"/>
    <n v="2434255236"/>
    <x v="1"/>
    <n v="0"/>
    <x v="1"/>
  </r>
  <r>
    <x v="351"/>
    <x v="260"/>
    <x v="11"/>
    <s v="Netherlands"/>
    <s v="Iceland"/>
    <n v="5"/>
    <n v="0"/>
    <s v="FIFA World Cup qualification"/>
    <s v="Amsterdam"/>
    <s v="Netherlands"/>
    <b v="0"/>
    <n v="1973"/>
    <n v="71946639602"/>
    <n v="1194794186"/>
    <x v="0"/>
    <n v="1"/>
    <x v="2"/>
  </r>
  <r>
    <x v="352"/>
    <x v="261"/>
    <x v="11"/>
    <s v="Iran"/>
    <s v="Australia"/>
    <n v="2"/>
    <n v="0"/>
    <s v="FIFA World Cup qualification"/>
    <s v="Tehran"/>
    <s v="Iran"/>
    <b v="0"/>
    <n v="1973"/>
    <n v="27081698249"/>
    <n v="63923126201"/>
    <x v="0"/>
    <n v="-1"/>
    <x v="0"/>
  </r>
  <r>
    <x v="353"/>
    <x v="262"/>
    <x v="11"/>
    <s v="Netherlands"/>
    <s v="Iceland"/>
    <n v="8"/>
    <n v="1"/>
    <s v="FIFA World Cup qualification"/>
    <s v="Deventer"/>
    <s v="Netherlands"/>
    <b v="0"/>
    <n v="1973"/>
    <n v="71946639602"/>
    <n v="1194794186"/>
    <x v="0"/>
    <n v="1"/>
    <x v="2"/>
  </r>
  <r>
    <x v="354"/>
    <x v="263"/>
    <x v="11"/>
    <s v="Bolivia"/>
    <s v="Paraguay"/>
    <n v="1"/>
    <n v="2"/>
    <s v="FIFA World Cup qualification"/>
    <s v="La Paz"/>
    <s v="Bolivia"/>
    <b v="0"/>
    <n v="1973"/>
    <n v="1262968515"/>
    <n v="995531746"/>
    <x v="1"/>
    <n v="-1"/>
    <x v="0"/>
  </r>
  <r>
    <x v="355"/>
    <x v="264"/>
    <x v="11"/>
    <s v="Argentina"/>
    <s v="Bolivia"/>
    <n v="4"/>
    <n v="0"/>
    <s v="FIFA World Cup qualification"/>
    <s v="Buenos Aires"/>
    <s v="Argentina"/>
    <b v="0"/>
    <n v="1973"/>
    <n v="52544000116"/>
    <n v="1262968515"/>
    <x v="0"/>
    <n v="1"/>
    <x v="2"/>
  </r>
  <r>
    <x v="356"/>
    <x v="265"/>
    <x v="11"/>
    <s v="Norway"/>
    <s v="Netherlands"/>
    <n v="1"/>
    <n v="2"/>
    <s v="FIFA World Cup qualification"/>
    <s v="Oslo"/>
    <s v="Norway"/>
    <b v="0"/>
    <n v="1973"/>
    <n v="22534253702"/>
    <n v="71946639602"/>
    <x v="0"/>
    <n v="1"/>
    <x v="2"/>
  </r>
  <r>
    <x v="357"/>
    <x v="266"/>
    <x v="11"/>
    <s v="Paraguay"/>
    <s v="Argentina"/>
    <n v="1"/>
    <n v="1"/>
    <s v="FIFA World Cup qualification"/>
    <s v="Asunci√≥n"/>
    <s v="Paraguay"/>
    <b v="0"/>
    <n v="1973"/>
    <n v="995531746"/>
    <n v="52544000116"/>
    <x v="0"/>
    <n v="0"/>
    <x v="1"/>
  </r>
  <r>
    <x v="358"/>
    <x v="267"/>
    <x v="11"/>
    <s v="Bolivia"/>
    <s v="Argentina"/>
    <n v="0"/>
    <n v="1"/>
    <s v="FIFA World Cup qualification"/>
    <s v="La Paz"/>
    <s v="Bolivia"/>
    <b v="0"/>
    <n v="1973"/>
    <n v="1262968515"/>
    <n v="52544000116"/>
    <x v="0"/>
    <n v="1"/>
    <x v="2"/>
  </r>
  <r>
    <x v="359"/>
    <x v="268"/>
    <x v="11"/>
    <s v="Switzerland"/>
    <s v="Luxembourg"/>
    <n v="1"/>
    <n v="0"/>
    <s v="FIFA World Cup qualification"/>
    <s v="Lucerne"/>
    <s v="Switzerland"/>
    <b v="0"/>
    <n v="1973"/>
    <n v="49550006319"/>
    <n v="2609875802"/>
    <x v="0"/>
    <n v="1"/>
    <x v="2"/>
  </r>
  <r>
    <x v="360"/>
    <x v="269"/>
    <x v="11"/>
    <s v="Paraguay"/>
    <s v="Bolivia"/>
    <n v="4"/>
    <n v="0"/>
    <s v="FIFA World Cup qualification"/>
    <s v="Asunci√≥n"/>
    <s v="Paraguay"/>
    <b v="0"/>
    <n v="1973"/>
    <n v="995531746"/>
    <n v="1262968515"/>
    <x v="1"/>
    <n v="-1"/>
    <x v="0"/>
  </r>
  <r>
    <x v="361"/>
    <x v="270"/>
    <x v="11"/>
    <s v="Argentina"/>
    <s v="Paraguay"/>
    <n v="3"/>
    <n v="1"/>
    <s v="FIFA World Cup qualification"/>
    <s v="Buenos Aires"/>
    <s v="Argentina"/>
    <b v="0"/>
    <n v="1973"/>
    <n v="52544000116"/>
    <n v="995531746"/>
    <x v="0"/>
    <n v="1"/>
    <x v="2"/>
  </r>
  <r>
    <x v="362"/>
    <x v="271"/>
    <x v="11"/>
    <s v="Italy"/>
    <s v="Switzerland"/>
    <n v="2"/>
    <n v="0"/>
    <s v="FIFA World Cup qualification"/>
    <s v="Rome"/>
    <s v="Italy"/>
    <b v="0"/>
    <n v="1973"/>
    <n v="175896529392"/>
    <n v="49550006319"/>
    <x v="0"/>
    <n v="1"/>
    <x v="2"/>
  </r>
  <r>
    <x v="363"/>
    <x v="272"/>
    <x v="11"/>
    <s v="Zambia"/>
    <s v="Morocco"/>
    <n v="4"/>
    <n v="0"/>
    <s v="FIFA World Cup qualification"/>
    <s v="Lusaka"/>
    <s v="Zambia"/>
    <b v="0"/>
    <n v="1973"/>
    <n v="2434255236"/>
    <n v="6242145880"/>
    <x v="0"/>
    <n v="-1"/>
    <x v="0"/>
  </r>
  <r>
    <x v="364"/>
    <x v="273"/>
    <x v="11"/>
    <s v="Australia"/>
    <s v="South Korea"/>
    <n v="0"/>
    <n v="0"/>
    <s v="FIFA World Cup qualification"/>
    <s v="Sydney"/>
    <s v="Australia"/>
    <b v="0"/>
    <n v="1973"/>
    <n v="63923126201"/>
    <n v="14067523813"/>
    <x v="0"/>
    <n v="0"/>
    <x v="1"/>
  </r>
  <r>
    <x v="365"/>
    <x v="274"/>
    <x v="11"/>
    <s v="Belgium"/>
    <s v="Norway"/>
    <n v="2"/>
    <n v="0"/>
    <s v="FIFA World Cup qualification"/>
    <s v="Brussels"/>
    <s v="Belgium"/>
    <b v="0"/>
    <n v="1973"/>
    <n v="47743801490"/>
    <n v="22534253702"/>
    <x v="0"/>
    <n v="1"/>
    <x v="2"/>
  </r>
  <r>
    <x v="366"/>
    <x v="275"/>
    <x v="11"/>
    <s v="South Korea"/>
    <s v="Australia"/>
    <n v="2"/>
    <n v="2"/>
    <s v="FIFA World Cup qualification"/>
    <s v="Seoul"/>
    <s v="South Korea"/>
    <b v="0"/>
    <n v="1973"/>
    <n v="14067523813"/>
    <n v="63923126201"/>
    <x v="0"/>
    <n v="0"/>
    <x v="1"/>
  </r>
  <r>
    <x v="367"/>
    <x v="276"/>
    <x v="11"/>
    <s v="Malta"/>
    <s v="Sweden"/>
    <n v="1"/>
    <n v="2"/>
    <s v="FIFA World Cup qualification"/>
    <s v="G≈ºira"/>
    <s v="Malta"/>
    <b v="0"/>
    <n v="1973"/>
    <n v="345616105"/>
    <n v="59318842992"/>
    <x v="0"/>
    <n v="1"/>
    <x v="2"/>
  </r>
  <r>
    <x v="368"/>
    <x v="277"/>
    <x v="11"/>
    <s v="Australia"/>
    <s v="South Korea"/>
    <n v="1"/>
    <n v="0"/>
    <s v="FIFA World Cup qualification"/>
    <s v="So Kon Po"/>
    <s v="Hong Kong"/>
    <b v="1"/>
    <n v="1973"/>
    <n v="63923126201"/>
    <n v="14067523813"/>
    <x v="0"/>
    <n v="1"/>
    <x v="2"/>
  </r>
  <r>
    <x v="369"/>
    <x v="278"/>
    <x v="11"/>
    <s v="Netherlands"/>
    <s v="Belgium"/>
    <n v="0"/>
    <n v="0"/>
    <s v="FIFA World Cup qualification"/>
    <s v="Amsterdam"/>
    <s v="Netherlands"/>
    <b v="0"/>
    <n v="1973"/>
    <n v="71946639602"/>
    <n v="47743801490"/>
    <x v="1"/>
    <n v="0"/>
    <x v="1"/>
  </r>
  <r>
    <x v="370"/>
    <x v="279"/>
    <x v="11"/>
    <s v="Morocco"/>
    <s v="Zambia"/>
    <n v="2"/>
    <n v="0"/>
    <s v="FIFA World Cup qualification"/>
    <s v="T√©touan"/>
    <s v="Morocco"/>
    <b v="0"/>
    <n v="1973"/>
    <n v="6242145880"/>
    <n v="2434255236"/>
    <x v="0"/>
    <n v="1"/>
    <x v="2"/>
  </r>
  <r>
    <x v="371"/>
    <x v="280"/>
    <x v="11"/>
    <s v="Austria"/>
    <s v="Sweden"/>
    <n v="1"/>
    <n v="2"/>
    <s v="FIFA World Cup qualification"/>
    <s v="Gelsenkirchen"/>
    <s v="Germany"/>
    <b v="1"/>
    <n v="1973"/>
    <n v="29399860144"/>
    <n v="59318842992"/>
    <x v="0"/>
    <n v="1"/>
    <x v="2"/>
  </r>
  <r>
    <x v="372"/>
    <x v="281"/>
    <x v="12"/>
    <s v="Germany"/>
    <s v="Chile"/>
    <n v="1"/>
    <n v="0"/>
    <s v="FIFA World Cup"/>
    <s v="Berlin"/>
    <s v="Germany"/>
    <b v="0"/>
    <n v="1974"/>
    <n v="446934971657"/>
    <n v="16584311220"/>
    <x v="0"/>
    <n v="1"/>
    <x v="2"/>
  </r>
  <r>
    <x v="373"/>
    <x v="282"/>
    <x v="12"/>
    <s v="Italy"/>
    <s v="Haiti"/>
    <n v="3"/>
    <n v="1"/>
    <s v="FIFA World Cup"/>
    <s v="Munich"/>
    <s v="Germany"/>
    <b v="1"/>
    <n v="1974"/>
    <n v="200024444775"/>
    <n v="565399321"/>
    <x v="0"/>
    <n v="1"/>
    <x v="2"/>
  </r>
  <r>
    <x v="374"/>
    <x v="282"/>
    <x v="12"/>
    <s v="Uruguay"/>
    <s v="Netherlands"/>
    <n v="0"/>
    <n v="2"/>
    <s v="FIFA World Cup"/>
    <s v="Hanover"/>
    <s v="Germany"/>
    <b v="1"/>
    <n v="1974"/>
    <n v="4090209681"/>
    <n v="87371810804"/>
    <x v="0"/>
    <n v="1"/>
    <x v="2"/>
  </r>
  <r>
    <x v="375"/>
    <x v="283"/>
    <x v="12"/>
    <s v="Germany"/>
    <s v="Australia"/>
    <n v="3"/>
    <n v="0"/>
    <s v="FIFA World Cup"/>
    <s v="Hamburg"/>
    <s v="Germany"/>
    <b v="0"/>
    <n v="1974"/>
    <n v="446934971657"/>
    <n v="89086219602"/>
    <x v="0"/>
    <n v="1"/>
    <x v="2"/>
  </r>
  <r>
    <x v="376"/>
    <x v="284"/>
    <x v="12"/>
    <s v="Argentina"/>
    <s v="Italy"/>
    <n v="1"/>
    <n v="1"/>
    <s v="FIFA World Cup"/>
    <s v="Stuttgart"/>
    <s v="Germany"/>
    <b v="1"/>
    <n v="1974"/>
    <n v="72436777342"/>
    <n v="200024444775"/>
    <x v="0"/>
    <n v="0"/>
    <x v="1"/>
  </r>
  <r>
    <x v="377"/>
    <x v="284"/>
    <x v="12"/>
    <s v="Netherlands"/>
    <s v="Sweden"/>
    <n v="0"/>
    <n v="0"/>
    <s v="FIFA World Cup"/>
    <s v="Dortmund"/>
    <s v="Germany"/>
    <b v="1"/>
    <n v="1974"/>
    <n v="87371810804"/>
    <n v="65917634590"/>
    <x v="1"/>
    <n v="0"/>
    <x v="1"/>
  </r>
  <r>
    <x v="378"/>
    <x v="285"/>
    <x v="12"/>
    <s v="Australia"/>
    <s v="Chile"/>
    <n v="0"/>
    <n v="0"/>
    <s v="FIFA World Cup"/>
    <s v="Berlin"/>
    <s v="Germany"/>
    <b v="1"/>
    <n v="1974"/>
    <n v="89086219602"/>
    <n v="16584311220"/>
    <x v="0"/>
    <n v="0"/>
    <x v="1"/>
  </r>
  <r>
    <x v="379"/>
    <x v="286"/>
    <x v="12"/>
    <s v="Argentina"/>
    <s v="Haiti"/>
    <n v="4"/>
    <n v="1"/>
    <s v="FIFA World Cup"/>
    <s v="Munich"/>
    <s v="Germany"/>
    <b v="1"/>
    <n v="1974"/>
    <n v="72436777342"/>
    <n v="565399321"/>
    <x v="0"/>
    <n v="1"/>
    <x v="2"/>
  </r>
  <r>
    <x v="380"/>
    <x v="286"/>
    <x v="12"/>
    <s v="Sweden"/>
    <s v="Uruguay"/>
    <n v="3"/>
    <n v="0"/>
    <s v="FIFA World Cup"/>
    <s v="D√ºsseldorf"/>
    <s v="Germany"/>
    <b v="1"/>
    <n v="1974"/>
    <n v="65917634590"/>
    <n v="4090209681"/>
    <x v="0"/>
    <n v="1"/>
    <x v="2"/>
  </r>
  <r>
    <x v="381"/>
    <x v="287"/>
    <x v="12"/>
    <s v="Netherlands"/>
    <s v="Argentina"/>
    <n v="4"/>
    <n v="0"/>
    <s v="FIFA World Cup"/>
    <s v="Gelsenkirchen"/>
    <s v="Germany"/>
    <b v="1"/>
    <n v="1974"/>
    <n v="87371810804"/>
    <n v="72436777342"/>
    <x v="1"/>
    <n v="1"/>
    <x v="2"/>
  </r>
  <r>
    <x v="382"/>
    <x v="288"/>
    <x v="12"/>
    <s v="Argentina"/>
    <s v="Brazil"/>
    <n v="1"/>
    <n v="2"/>
    <s v="FIFA World Cup"/>
    <s v="Hanover"/>
    <s v="Germany"/>
    <b v="1"/>
    <n v="1974"/>
    <n v="72436777342"/>
    <n v="109794519727"/>
    <x v="1"/>
    <n v="1"/>
    <x v="2"/>
  </r>
  <r>
    <x v="383"/>
    <x v="288"/>
    <x v="12"/>
    <s v="Germany"/>
    <s v="Sweden"/>
    <n v="4"/>
    <n v="2"/>
    <s v="FIFA World Cup"/>
    <s v="D√ºsseldorf"/>
    <s v="Germany"/>
    <b v="0"/>
    <n v="1974"/>
    <n v="446934971657"/>
    <n v="65917634590"/>
    <x v="0"/>
    <n v="1"/>
    <x v="2"/>
  </r>
  <r>
    <x v="384"/>
    <x v="289"/>
    <x v="12"/>
    <s v="Netherlands"/>
    <s v="Brazil"/>
    <n v="2"/>
    <n v="0"/>
    <s v="FIFA World Cup"/>
    <s v="Dortmund"/>
    <s v="Germany"/>
    <b v="1"/>
    <n v="1974"/>
    <n v="87371810804"/>
    <n v="109794519727"/>
    <x v="1"/>
    <n v="-1"/>
    <x v="0"/>
  </r>
  <r>
    <x v="385"/>
    <x v="290"/>
    <x v="12"/>
    <s v="Germany"/>
    <s v="Netherlands"/>
    <n v="2"/>
    <n v="1"/>
    <s v="FIFA World Cup"/>
    <s v="Munich"/>
    <s v="Germany"/>
    <b v="0"/>
    <n v="1974"/>
    <n v="446934971657"/>
    <n v="87371810804"/>
    <x v="0"/>
    <n v="1"/>
    <x v="2"/>
  </r>
  <r>
    <x v="386"/>
    <x v="291"/>
    <x v="13"/>
    <s v="Sierra Leone"/>
    <s v="Niger"/>
    <n v="5"/>
    <n v="1"/>
    <s v="FIFA World Cup qualification"/>
    <s v="Freetown"/>
    <s v="Sierra Leone"/>
    <b v="0"/>
    <n v="1976"/>
    <n v="594895941"/>
    <n v="1064517601"/>
    <x v="1"/>
    <n v="-1"/>
    <x v="0"/>
  </r>
  <r>
    <x v="387"/>
    <x v="292"/>
    <x v="13"/>
    <s v="Burkina Faso"/>
    <s v="Mauritania"/>
    <n v="1"/>
    <n v="1"/>
    <s v="FIFA World Cup qualification"/>
    <s v="Ouagadougou"/>
    <s v="Upper Volta"/>
    <b v="1"/>
    <n v="1976"/>
    <n v="976547188"/>
    <n v="775045516"/>
    <x v="1"/>
    <n v="0"/>
    <x v="1"/>
  </r>
  <r>
    <x v="388"/>
    <x v="293"/>
    <x v="13"/>
    <s v="Niger"/>
    <s v="Sierra Leone"/>
    <n v="2"/>
    <n v="1"/>
    <s v="FIFA World Cup qualification"/>
    <s v="Niamey"/>
    <s v="Niger"/>
    <b v="0"/>
    <n v="1976"/>
    <n v="1064517601"/>
    <n v="594895941"/>
    <x v="1"/>
    <n v="1"/>
    <x v="2"/>
  </r>
  <r>
    <x v="389"/>
    <x v="294"/>
    <x v="13"/>
    <s v="Mauritania"/>
    <s v="Burkina Faso"/>
    <n v="0"/>
    <n v="2"/>
    <s v="FIFA World Cup qualification"/>
    <s v="Nouakchott"/>
    <s v="Mauritania"/>
    <b v="0"/>
    <n v="1976"/>
    <n v="775045516"/>
    <n v="976547188"/>
    <x v="1"/>
    <n v="1"/>
    <x v="2"/>
  </r>
  <r>
    <x v="390"/>
    <x v="295"/>
    <x v="13"/>
    <s v="Algeria"/>
    <s v="Libya"/>
    <n v="1"/>
    <n v="0"/>
    <s v="FIFA World Cup qualification"/>
    <s v="Algiers"/>
    <s v="Algeria"/>
    <b v="0"/>
    <n v="1976"/>
    <n v="17728240932"/>
    <n v="19096943016"/>
    <x v="1"/>
    <n v="-1"/>
    <x v="0"/>
  </r>
  <r>
    <x v="391"/>
    <x v="296"/>
    <x v="13"/>
    <s v="Libya"/>
    <s v="Algeria"/>
    <n v="0"/>
    <n v="0"/>
    <s v="FIFA World Cup qualification"/>
    <s v="Tripoli"/>
    <s v="Libya"/>
    <b v="0"/>
    <n v="1976"/>
    <n v="19096943016"/>
    <n v="17728240932"/>
    <x v="1"/>
    <n v="0"/>
    <x v="1"/>
  </r>
  <r>
    <x v="392"/>
    <x v="297"/>
    <x v="13"/>
    <s v="Cyprus"/>
    <s v="Denmark"/>
    <n v="1"/>
    <n v="5"/>
    <s v="FIFA World Cup qualification"/>
    <s v="Limassol"/>
    <s v="Cyprus"/>
    <b v="0"/>
    <n v="1976"/>
    <n v="576090073"/>
    <n v="44503607444"/>
    <x v="0"/>
    <n v="1"/>
    <x v="2"/>
  </r>
  <r>
    <x v="393"/>
    <x v="298"/>
    <x v="13"/>
    <s v="Finland"/>
    <s v="England"/>
    <n v="1"/>
    <n v="4"/>
    <s v="FIFA World Cup qualification"/>
    <s v="Helsinki"/>
    <s v="Finland"/>
    <b v="0"/>
    <n v="1976"/>
    <n v="31852352669"/>
    <n v="232614555256"/>
    <x v="0"/>
    <n v="1"/>
    <x v="2"/>
  </r>
  <r>
    <x v="394"/>
    <x v="299"/>
    <x v="13"/>
    <s v="Sweden"/>
    <s v="Norway"/>
    <n v="2"/>
    <n v="0"/>
    <s v="FIFA World Cup qualification"/>
    <s v="Solna"/>
    <s v="Sweden"/>
    <b v="0"/>
    <n v="1976"/>
    <n v="89232517045"/>
    <n v="35942270686"/>
    <x v="0"/>
    <n v="1"/>
    <x v="2"/>
  </r>
  <r>
    <x v="395"/>
    <x v="300"/>
    <x v="13"/>
    <s v="Iceland"/>
    <s v="Belgium"/>
    <n v="0"/>
    <n v="1"/>
    <s v="FIFA World Cup qualification"/>
    <s v="Reykjav√≠k"/>
    <s v="Iceland"/>
    <b v="0"/>
    <n v="1976"/>
    <n v="1727845419"/>
    <n v="71113882967"/>
    <x v="0"/>
    <n v="1"/>
    <x v="2"/>
  </r>
  <r>
    <x v="396"/>
    <x v="301"/>
    <x v="13"/>
    <s v="Iceland"/>
    <s v="Netherlands"/>
    <n v="0"/>
    <n v="1"/>
    <s v="FIFA World Cup qualification"/>
    <s v="Reykjav√≠k"/>
    <s v="Iceland"/>
    <b v="0"/>
    <n v="1976"/>
    <n v="1727845419"/>
    <n v="109329386564"/>
    <x v="0"/>
    <n v="1"/>
    <x v="2"/>
  </r>
  <r>
    <x v="397"/>
    <x v="301"/>
    <x v="13"/>
    <s v="Norway"/>
    <s v="Switzerland"/>
    <n v="1"/>
    <n v="0"/>
    <s v="FIFA World Cup qualification"/>
    <s v="Oslo"/>
    <s v="Norway"/>
    <b v="0"/>
    <n v="1976"/>
    <n v="35942270686"/>
    <n v="68476524643"/>
    <x v="1"/>
    <n v="-1"/>
    <x v="0"/>
  </r>
  <r>
    <x v="398"/>
    <x v="302"/>
    <x v="13"/>
    <s v="Finland"/>
    <s v="Luxembourg"/>
    <n v="7"/>
    <n v="1"/>
    <s v="FIFA World Cup qualification"/>
    <s v="Helsinki"/>
    <s v="Finland"/>
    <b v="0"/>
    <n v="1976"/>
    <n v="31852352669"/>
    <n v="3423586206"/>
    <x v="0"/>
    <n v="1"/>
    <x v="2"/>
  </r>
  <r>
    <x v="399"/>
    <x v="303"/>
    <x v="13"/>
    <s v="Greece"/>
    <s v="Hungary"/>
    <n v="1"/>
    <n v="1"/>
    <s v="FIFA World Cup qualification"/>
    <s v="Piraeus"/>
    <s v="Greece"/>
    <b v="0"/>
    <n v="1976"/>
    <n v="30719552238"/>
    <n v="13235612078"/>
    <x v="0"/>
    <n v="0"/>
    <x v="1"/>
  </r>
  <r>
    <x v="400"/>
    <x v="303"/>
    <x v="13"/>
    <s v="Switzerland"/>
    <s v="Sweden"/>
    <n v="1"/>
    <n v="2"/>
    <s v="FIFA World Cup qualification"/>
    <s v="Basel"/>
    <s v="Switzerland"/>
    <b v="0"/>
    <n v="1976"/>
    <n v="68476524643"/>
    <n v="89232517045"/>
    <x v="1"/>
    <n v="1"/>
    <x v="2"/>
  </r>
  <r>
    <x v="401"/>
    <x v="304"/>
    <x v="13"/>
    <s v="Ghana"/>
    <s v="Guinea"/>
    <n v="2"/>
    <n v="1"/>
    <s v="FIFA World Cup qualification"/>
    <s v="Accra"/>
    <s v="Ghana"/>
    <b v="0"/>
    <n v="1976"/>
    <n v="2765254237"/>
    <n v="6762781870"/>
    <x v="0"/>
    <n v="-1"/>
    <x v="0"/>
  </r>
  <r>
    <x v="402"/>
    <x v="305"/>
    <x v="13"/>
    <s v="England"/>
    <s v="Finland"/>
    <n v="2"/>
    <n v="1"/>
    <s v="FIFA World Cup qualification"/>
    <s v="London"/>
    <s v="England"/>
    <b v="0"/>
    <n v="1976"/>
    <n v="232614555256"/>
    <n v="31852352669"/>
    <x v="0"/>
    <n v="1"/>
    <x v="2"/>
  </r>
  <r>
    <x v="403"/>
    <x v="306"/>
    <x v="13"/>
    <s v="Luxembourg"/>
    <s v="Italy"/>
    <n v="1"/>
    <n v="4"/>
    <s v="FIFA World Cup qualification"/>
    <s v="Luxembourg"/>
    <s v="Luxembourg"/>
    <b v="0"/>
    <n v="1976"/>
    <n v="3423586206"/>
    <n v="225235205861"/>
    <x v="0"/>
    <n v="1"/>
    <x v="2"/>
  </r>
  <r>
    <x v="404"/>
    <x v="306"/>
    <x v="13"/>
    <s v="Sierra Leone"/>
    <s v="Nigeria"/>
    <n v="0"/>
    <n v="0"/>
    <s v="FIFA World Cup qualification"/>
    <s v="Freetown"/>
    <s v="Sierra Leone"/>
    <b v="0"/>
    <n v="1976"/>
    <n v="594895941"/>
    <n v="36308883248"/>
    <x v="0"/>
    <n v="0"/>
    <x v="1"/>
  </r>
  <r>
    <x v="405"/>
    <x v="307"/>
    <x v="13"/>
    <s v="Togo"/>
    <s v="Senegal"/>
    <n v="1"/>
    <n v="0"/>
    <s v="FIFA World Cup qualification"/>
    <s v="Lom√©"/>
    <s v="Togo"/>
    <b v="0"/>
    <n v="1976"/>
    <n v="874681611"/>
    <n v="2869777884"/>
    <x v="0"/>
    <n v="-1"/>
    <x v="0"/>
  </r>
  <r>
    <x v="406"/>
    <x v="308"/>
    <x v="13"/>
    <s v="Denmark"/>
    <s v="Cyprus"/>
    <n v="5"/>
    <n v="0"/>
    <s v="FIFA World Cup qualification"/>
    <s v="Copenhagen"/>
    <s v="Denmark"/>
    <b v="0"/>
    <n v="1976"/>
    <n v="44503607444"/>
    <n v="576090073"/>
    <x v="0"/>
    <n v="1"/>
    <x v="2"/>
  </r>
  <r>
    <x v="407"/>
    <x v="309"/>
    <x v="13"/>
    <s v="Egypt"/>
    <s v="Ethiopia"/>
    <n v="3"/>
    <n v="0"/>
    <s v="FIFA World Cup qualification"/>
    <s v="Cairo"/>
    <s v="Egypt"/>
    <b v="0"/>
    <n v="1976"/>
    <n v="13315988083"/>
    <n v="4943806093"/>
    <x v="0"/>
    <n v="1"/>
    <x v="2"/>
  </r>
  <r>
    <x v="408"/>
    <x v="310"/>
    <x v="13"/>
    <s v="Nigeria"/>
    <s v="Sierra Leone"/>
    <n v="6"/>
    <n v="2"/>
    <s v="FIFA World Cup qualification"/>
    <s v="Lagos"/>
    <s v="Nigeria"/>
    <b v="0"/>
    <n v="1976"/>
    <n v="36308883248"/>
    <n v="594895941"/>
    <x v="0"/>
    <n v="1"/>
    <x v="2"/>
  </r>
  <r>
    <x v="409"/>
    <x v="311"/>
    <x v="13"/>
    <s v="Guinea"/>
    <s v="Ghana"/>
    <n v="2"/>
    <n v="1"/>
    <s v="FIFA World Cup qualification"/>
    <s v="Conakry"/>
    <s v="Guinea"/>
    <b v="0"/>
    <n v="1976"/>
    <n v="6762781870"/>
    <n v="2765254237"/>
    <x v="0"/>
    <n v="1"/>
    <x v="2"/>
  </r>
  <r>
    <x v="410"/>
    <x v="311"/>
    <x v="13"/>
    <s v="Senegal"/>
    <s v="Togo"/>
    <n v="1"/>
    <n v="1"/>
    <s v="FIFA World Cup qualification"/>
    <s v="Dakar"/>
    <s v="Senegal"/>
    <b v="0"/>
    <n v="1976"/>
    <n v="2869777884"/>
    <n v="874681611"/>
    <x v="0"/>
    <n v="0"/>
    <x v="1"/>
  </r>
  <r>
    <x v="411"/>
    <x v="312"/>
    <x v="13"/>
    <s v="Saudi Arabia"/>
    <s v="Syria"/>
    <n v="2"/>
    <n v="0"/>
    <s v="FIFA World Cup qualification"/>
    <s v="Jeddah"/>
    <s v="Saudi Arabia"/>
    <b v="0"/>
    <n v="1976"/>
    <n v="64005665722"/>
    <n v="7633528866"/>
    <x v="0"/>
    <n v="1"/>
    <x v="2"/>
  </r>
  <r>
    <x v="412"/>
    <x v="313"/>
    <x v="13"/>
    <s v="Ethiopia"/>
    <s v="Egypt"/>
    <n v="1"/>
    <n v="2"/>
    <s v="FIFA World Cup qualification"/>
    <s v="Addis Ababa"/>
    <s v="Ethiopia"/>
    <b v="0"/>
    <n v="1976"/>
    <n v="4943806093"/>
    <n v="13315988083"/>
    <x v="0"/>
    <n v="1"/>
    <x v="2"/>
  </r>
  <r>
    <x v="413"/>
    <x v="314"/>
    <x v="13"/>
    <s v="Italy"/>
    <s v="England"/>
    <n v="2"/>
    <n v="0"/>
    <s v="FIFA World Cup qualification"/>
    <s v="Rome"/>
    <s v="Italy"/>
    <b v="0"/>
    <n v="1976"/>
    <n v="225235205861"/>
    <n v="232614555256"/>
    <x v="1"/>
    <n v="-1"/>
    <x v="0"/>
  </r>
  <r>
    <x v="414"/>
    <x v="314"/>
    <x v="13"/>
    <s v="Portugal"/>
    <s v="Denmark"/>
    <n v="1"/>
    <n v="0"/>
    <s v="FIFA World Cup qualification"/>
    <s v="Lisbon"/>
    <s v="Portugal"/>
    <b v="0"/>
    <n v="1976"/>
    <n v="20332831564"/>
    <n v="44503607444"/>
    <x v="0"/>
    <n v="-1"/>
    <x v="0"/>
  </r>
  <r>
    <x v="415"/>
    <x v="315"/>
    <x v="13"/>
    <s v="Syria"/>
    <s v="Saudi Arabia"/>
    <n v="2"/>
    <n v="1"/>
    <s v="FIFA World Cup qualification"/>
    <s v="Damascus"/>
    <s v="Syria"/>
    <b v="0"/>
    <n v="1976"/>
    <n v="7633528866"/>
    <n v="64005665722"/>
    <x v="0"/>
    <n v="-1"/>
    <x v="0"/>
  </r>
  <r>
    <x v="416"/>
    <x v="316"/>
    <x v="13"/>
    <s v="Cyprus"/>
    <s v="Portugal"/>
    <n v="1"/>
    <n v="2"/>
    <s v="FIFA World Cup qualification"/>
    <s v="Limassol"/>
    <s v="Cyprus"/>
    <b v="0"/>
    <n v="1976"/>
    <n v="576090073"/>
    <n v="20332831564"/>
    <x v="0"/>
    <n v="1"/>
    <x v="2"/>
  </r>
  <r>
    <x v="417"/>
    <x v="316"/>
    <x v="13"/>
    <s v="Malta"/>
    <s v="Austria"/>
    <n v="0"/>
    <n v="1"/>
    <s v="FIFA World Cup qualification"/>
    <s v="G≈ºira"/>
    <s v="Malta"/>
    <b v="0"/>
    <n v="1976"/>
    <n v="527936988"/>
    <n v="42791707448"/>
    <x v="0"/>
    <n v="1"/>
    <x v="2"/>
  </r>
  <r>
    <x v="418"/>
    <x v="317"/>
    <x v="13"/>
    <s v="Morocco"/>
    <s v="Tunisia"/>
    <n v="1"/>
    <n v="1"/>
    <s v="FIFA World Cup qualification"/>
    <s v="Casablanca"/>
    <s v="Morocco"/>
    <b v="0"/>
    <n v="1976"/>
    <n v="9584297284"/>
    <n v="4508191942"/>
    <x v="0"/>
    <n v="0"/>
    <x v="1"/>
  </r>
  <r>
    <x v="419"/>
    <x v="318"/>
    <x v="14"/>
    <s v="Saudi Arabia"/>
    <s v="Iran"/>
    <n v="0"/>
    <n v="3"/>
    <s v="FIFA World Cup qualification"/>
    <s v="Riyadh"/>
    <s v="Saudi Arabia"/>
    <b v="0"/>
    <n v="1977"/>
    <n v="74188986586"/>
    <n v="80600122701"/>
    <x v="1"/>
    <n v="1"/>
    <x v="2"/>
  </r>
  <r>
    <x v="420"/>
    <x v="319"/>
    <x v="14"/>
    <s v="Tunisia"/>
    <s v="Morocco"/>
    <n v="1"/>
    <n v="1"/>
    <s v="FIFA World Cup qualification"/>
    <s v="Tunis"/>
    <s v="Tunisia"/>
    <b v="0"/>
    <n v="1977"/>
    <n v="5109324009"/>
    <n v="11049783871"/>
    <x v="0"/>
    <n v="0"/>
    <x v="1"/>
  </r>
  <r>
    <x v="421"/>
    <x v="320"/>
    <x v="14"/>
    <s v="Guinea"/>
    <s v="Ghana"/>
    <n v="2"/>
    <n v="0"/>
    <s v="FIFA World Cup qualification"/>
    <s v="Lom√©"/>
    <s v="Togo"/>
    <b v="1"/>
    <n v="1977"/>
    <n v="6914381290"/>
    <n v="3189428571"/>
    <x v="0"/>
    <n v="1"/>
    <x v="2"/>
  </r>
  <r>
    <x v="422"/>
    <x v="321"/>
    <x v="14"/>
    <s v="Syria"/>
    <s v="Iran"/>
    <n v="0"/>
    <n v="1"/>
    <s v="FIFA World Cup qualification"/>
    <s v="Damascus"/>
    <s v="Syria"/>
    <b v="0"/>
    <n v="1977"/>
    <n v="7696011396"/>
    <n v="80600122701"/>
    <x v="0"/>
    <n v="1"/>
    <x v="2"/>
  </r>
  <r>
    <x v="423"/>
    <x v="322"/>
    <x v="14"/>
    <s v="Kenya"/>
    <s v="Egypt"/>
    <n v="0"/>
    <n v="0"/>
    <s v="FIFA World Cup qualification"/>
    <s v="Nairobi"/>
    <s v="Kenya"/>
    <b v="0"/>
    <n v="1977"/>
    <n v="4494378764"/>
    <n v="14400806875"/>
    <x v="0"/>
    <n v="0"/>
    <x v="1"/>
  </r>
  <r>
    <x v="424"/>
    <x v="322"/>
    <x v="14"/>
    <s v="Tunisia"/>
    <s v="Algeria"/>
    <n v="2"/>
    <n v="0"/>
    <s v="FIFA World Cup qualification"/>
    <s v="Tunis"/>
    <s v="Tunisia"/>
    <b v="0"/>
    <n v="1977"/>
    <n v="5109324009"/>
    <n v="20972113684"/>
    <x v="0"/>
    <n v="-1"/>
    <x v="0"/>
  </r>
  <r>
    <x v="425"/>
    <x v="323"/>
    <x v="14"/>
    <s v="Venezuela"/>
    <s v="Uruguay"/>
    <n v="1"/>
    <n v="1"/>
    <s v="FIFA World Cup qualification"/>
    <s v="Caracas"/>
    <s v="Venezuela"/>
    <b v="0"/>
    <n v="1977"/>
    <n v="36210697674"/>
    <n v="4114670014"/>
    <x v="0"/>
    <n v="0"/>
    <x v="1"/>
  </r>
  <r>
    <x v="426"/>
    <x v="324"/>
    <x v="14"/>
    <s v="Togo"/>
    <s v="Guinea"/>
    <n v="0"/>
    <n v="2"/>
    <s v="FIFA World Cup qualification"/>
    <s v="Lom√©"/>
    <s v="Togo"/>
    <b v="0"/>
    <n v="1977"/>
    <n v="1097893825"/>
    <n v="6914381290"/>
    <x v="0"/>
    <n v="1"/>
    <x v="2"/>
  </r>
  <r>
    <x v="427"/>
    <x v="324"/>
    <x v="14"/>
    <s v="Uganda"/>
    <s v="Zambia"/>
    <n v="1"/>
    <n v="0"/>
    <s v="FIFA World Cup qualification"/>
    <s v="Kampala"/>
    <s v="Uganda"/>
    <b v="0"/>
    <n v="1977"/>
    <n v="2936470588"/>
    <n v="2515296939"/>
    <x v="1"/>
    <n v="1"/>
    <x v="2"/>
  </r>
  <r>
    <x v="428"/>
    <x v="325"/>
    <x v="14"/>
    <s v="Colombia"/>
    <s v="Brazil"/>
    <n v="0"/>
    <n v="0"/>
    <s v="FIFA World Cup qualification"/>
    <s v="Bogot√°"/>
    <s v="Colombia"/>
    <b v="0"/>
    <n v="1977"/>
    <n v="19470960619"/>
    <n v="176344101401"/>
    <x v="0"/>
    <n v="0"/>
    <x v="1"/>
  </r>
  <r>
    <x v="429"/>
    <x v="325"/>
    <x v="14"/>
    <s v="Ecuador"/>
    <s v="Peru"/>
    <n v="1"/>
    <n v="1"/>
    <s v="FIFA World Cup qualification"/>
    <s v="Quito"/>
    <s v="Ecuador"/>
    <b v="0"/>
    <n v="1977"/>
    <n v="11026342618"/>
    <n v="14544913960"/>
    <x v="1"/>
    <n v="0"/>
    <x v="1"/>
  </r>
  <r>
    <x v="430"/>
    <x v="326"/>
    <x v="14"/>
    <s v="Colombia"/>
    <s v="Paraguay"/>
    <n v="0"/>
    <n v="1"/>
    <s v="FIFA World Cup qualification"/>
    <s v="Bogot√°"/>
    <s v="Colombia"/>
    <b v="0"/>
    <n v="1977"/>
    <n v="19470960619"/>
    <n v="2092158730"/>
    <x v="0"/>
    <n v="-1"/>
    <x v="0"/>
  </r>
  <r>
    <x v="431"/>
    <x v="327"/>
    <x v="14"/>
    <s v="Bolivia"/>
    <s v="Uruguay"/>
    <n v="1"/>
    <n v="0"/>
    <s v="FIFA World Cup qualification"/>
    <s v="La Paz"/>
    <s v="Bolivia"/>
    <b v="0"/>
    <n v="1977"/>
    <n v="3227436281"/>
    <n v="4114670014"/>
    <x v="1"/>
    <n v="-1"/>
    <x v="0"/>
  </r>
  <r>
    <x v="432"/>
    <x v="327"/>
    <x v="14"/>
    <s v="Ecuador"/>
    <s v="Chile"/>
    <n v="0"/>
    <n v="1"/>
    <s v="FIFA World Cup qualification"/>
    <s v="Guayaquil"/>
    <s v="Ecuador"/>
    <b v="0"/>
    <n v="1977"/>
    <n v="11026342618"/>
    <n v="14272711436"/>
    <x v="1"/>
    <n v="1"/>
    <x v="2"/>
  </r>
  <r>
    <x v="433"/>
    <x v="327"/>
    <x v="14"/>
    <s v="Egypt"/>
    <s v="Kenya"/>
    <n v="1"/>
    <n v="0"/>
    <s v="FIFA World Cup qualification"/>
    <s v="Cairo"/>
    <s v="Egypt"/>
    <b v="0"/>
    <n v="1977"/>
    <n v="14400806875"/>
    <n v="4494378764"/>
    <x v="0"/>
    <n v="1"/>
    <x v="2"/>
  </r>
  <r>
    <x v="434"/>
    <x v="327"/>
    <x v="14"/>
    <s v="Guinea"/>
    <s v="Togo"/>
    <n v="2"/>
    <n v="1"/>
    <s v="FIFA World Cup qualification"/>
    <s v="Conakry"/>
    <s v="Guinea"/>
    <b v="0"/>
    <n v="1977"/>
    <n v="6914381290"/>
    <n v="1097893825"/>
    <x v="0"/>
    <n v="1"/>
    <x v="2"/>
  </r>
  <r>
    <x v="435"/>
    <x v="327"/>
    <x v="14"/>
    <s v="Israel"/>
    <s v="South Korea"/>
    <n v="0"/>
    <n v="0"/>
    <s v="FIFA World Cup qualification"/>
    <s v="Ramat Gan"/>
    <s v="Israel"/>
    <b v="0"/>
    <n v="1977"/>
    <n v="18257113904"/>
    <n v="39064462809"/>
    <x v="0"/>
    <n v="0"/>
    <x v="1"/>
  </r>
  <r>
    <x v="436"/>
    <x v="327"/>
    <x v="14"/>
    <s v="Singapore"/>
    <s v="Thailand"/>
    <n v="2"/>
    <n v="0"/>
    <s v="FIFA World Cup qualification"/>
    <s v="Kallang"/>
    <s v="Singapore"/>
    <b v="0"/>
    <n v="1977"/>
    <n v="6618585073"/>
    <n v="19779312261"/>
    <x v="0"/>
    <n v="-1"/>
    <x v="0"/>
  </r>
  <r>
    <x v="437"/>
    <x v="327"/>
    <x v="14"/>
    <s v="Zambia"/>
    <s v="Uganda"/>
    <n v="4"/>
    <n v="2"/>
    <s v="FIFA World Cup qualification"/>
    <s v="Ndola"/>
    <s v="Zambia"/>
    <b v="0"/>
    <n v="1977"/>
    <n v="2515296939"/>
    <n v="2936470588"/>
    <x v="1"/>
    <n v="-1"/>
    <x v="0"/>
  </r>
  <r>
    <x v="438"/>
    <x v="328"/>
    <x v="14"/>
    <s v="Algeria"/>
    <s v="Tunisia"/>
    <n v="1"/>
    <n v="1"/>
    <s v="FIFA World Cup qualification"/>
    <s v="Algiers"/>
    <s v="Algeria"/>
    <b v="0"/>
    <n v="1977"/>
    <n v="20972113684"/>
    <n v="5109324009"/>
    <x v="0"/>
    <n v="0"/>
    <x v="1"/>
  </r>
  <r>
    <x v="439"/>
    <x v="329"/>
    <x v="14"/>
    <s v="Malaysia"/>
    <s v="Thailand"/>
    <n v="6"/>
    <n v="4"/>
    <s v="FIFA World Cup qualification"/>
    <s v="Kallang"/>
    <s v="Singapore"/>
    <b v="1"/>
    <n v="1977"/>
    <n v="13139488632"/>
    <n v="19779312261"/>
    <x v="1"/>
    <n v="-1"/>
    <x v="0"/>
  </r>
  <r>
    <x v="440"/>
    <x v="330"/>
    <x v="14"/>
    <s v="Indonesia"/>
    <s v="Malaysia"/>
    <n v="0"/>
    <n v="0"/>
    <s v="FIFA World Cup qualification"/>
    <s v="Kallang"/>
    <s v="Singapore"/>
    <b v="1"/>
    <n v="1977"/>
    <n v="45808915662"/>
    <n v="13139488632"/>
    <x v="0"/>
    <n v="0"/>
    <x v="1"/>
  </r>
  <r>
    <x v="441"/>
    <x v="331"/>
    <x v="14"/>
    <s v="Chile"/>
    <s v="Peru"/>
    <n v="1"/>
    <n v="1"/>
    <s v="FIFA World Cup qualification"/>
    <s v="Santiago"/>
    <s v="Chile"/>
    <b v="0"/>
    <n v="1977"/>
    <n v="14272711436"/>
    <n v="14544913960"/>
    <x v="1"/>
    <n v="0"/>
    <x v="1"/>
  </r>
  <r>
    <x v="442"/>
    <x v="331"/>
    <x v="14"/>
    <s v="Israel"/>
    <s v="Japan"/>
    <n v="2"/>
    <n v="0"/>
    <s v="FIFA World Cup qualification"/>
    <s v="Ramat Gan"/>
    <s v="Israel"/>
    <b v="0"/>
    <n v="1977"/>
    <n v="18257113904"/>
    <n v="737069290927"/>
    <x v="0"/>
    <n v="-1"/>
    <x v="0"/>
  </r>
  <r>
    <x v="443"/>
    <x v="331"/>
    <x v="14"/>
    <s v="Paraguay"/>
    <s v="Colombia"/>
    <n v="1"/>
    <n v="1"/>
    <s v="FIFA World Cup qualification"/>
    <s v="Asunci√≥n"/>
    <s v="Paraguay"/>
    <b v="0"/>
    <n v="1977"/>
    <n v="2092158730"/>
    <n v="19470960619"/>
    <x v="0"/>
    <n v="0"/>
    <x v="1"/>
  </r>
  <r>
    <x v="444"/>
    <x v="331"/>
    <x v="14"/>
    <s v="Singapore"/>
    <s v="Malaysia"/>
    <n v="1"/>
    <n v="0"/>
    <s v="FIFA World Cup qualification"/>
    <s v="Kallang"/>
    <s v="Singapore"/>
    <b v="0"/>
    <n v="1977"/>
    <n v="6618585073"/>
    <n v="13139488632"/>
    <x v="1"/>
    <n v="-1"/>
    <x v="0"/>
  </r>
  <r>
    <x v="445"/>
    <x v="331"/>
    <x v="14"/>
    <s v="Venezuela"/>
    <s v="Bolivia"/>
    <n v="1"/>
    <n v="3"/>
    <s v="FIFA World Cup qualification"/>
    <s v="Caracas"/>
    <s v="Venezuela"/>
    <b v="0"/>
    <n v="1977"/>
    <n v="36210697674"/>
    <n v="3227436281"/>
    <x v="0"/>
    <n v="-1"/>
    <x v="0"/>
  </r>
  <r>
    <x v="446"/>
    <x v="332"/>
    <x v="14"/>
    <s v="Thailand"/>
    <s v="Indonesia"/>
    <n v="3"/>
    <n v="2"/>
    <s v="FIFA World Cup qualification"/>
    <s v="Kallang"/>
    <s v="Singapore"/>
    <b v="1"/>
    <n v="1977"/>
    <n v="19779312261"/>
    <n v="45808915662"/>
    <x v="0"/>
    <n v="-1"/>
    <x v="0"/>
  </r>
  <r>
    <x v="447"/>
    <x v="333"/>
    <x v="14"/>
    <s v="Brazil"/>
    <s v="Colombia"/>
    <n v="6"/>
    <n v="0"/>
    <s v="FIFA World Cup qualification"/>
    <s v="Rio de Janeiro"/>
    <s v="Brazil"/>
    <b v="0"/>
    <n v="1977"/>
    <n v="176344101401"/>
    <n v="19470960619"/>
    <x v="0"/>
    <n v="1"/>
    <x v="2"/>
  </r>
  <r>
    <x v="448"/>
    <x v="333"/>
    <x v="14"/>
    <s v="Singapore"/>
    <s v="Indonesia"/>
    <n v="0"/>
    <n v="4"/>
    <s v="FIFA World Cup qualification"/>
    <s v="Kallang"/>
    <s v="Singapore"/>
    <b v="0"/>
    <n v="1977"/>
    <n v="6618585073"/>
    <n v="45808915662"/>
    <x v="0"/>
    <n v="1"/>
    <x v="2"/>
  </r>
  <r>
    <x v="449"/>
    <x v="334"/>
    <x v="14"/>
    <s v="Israel"/>
    <s v="Japan"/>
    <n v="2"/>
    <n v="0"/>
    <s v="FIFA World Cup qualification"/>
    <s v="Ramat Gan"/>
    <s v="Israel"/>
    <b v="0"/>
    <n v="1977"/>
    <n v="18257113904"/>
    <n v="737069290927"/>
    <x v="0"/>
    <n v="-1"/>
    <x v="0"/>
  </r>
  <r>
    <x v="450"/>
    <x v="335"/>
    <x v="14"/>
    <s v="Bahrain"/>
    <s v="Kuwait"/>
    <n v="0"/>
    <n v="2"/>
    <s v="FIFA World Cup qualification"/>
    <s v="Doha"/>
    <s v="Qatar"/>
    <b v="1"/>
    <n v="1977"/>
    <n v="1989060283"/>
    <n v="14137406740"/>
    <x v="0"/>
    <n v="1"/>
    <x v="2"/>
  </r>
  <r>
    <x v="451"/>
    <x v="336"/>
    <x v="14"/>
    <s v="Peru"/>
    <s v="Ecuador"/>
    <n v="4"/>
    <n v="0"/>
    <s v="FIFA World Cup qualification"/>
    <s v="Lima"/>
    <s v="Peru"/>
    <b v="0"/>
    <n v="1977"/>
    <n v="14544913960"/>
    <n v="11026342618"/>
    <x v="1"/>
    <n v="1"/>
    <x v="2"/>
  </r>
  <r>
    <x v="452"/>
    <x v="337"/>
    <x v="14"/>
    <s v="Bolivia"/>
    <s v="Venezuela"/>
    <n v="2"/>
    <n v="0"/>
    <s v="FIFA World Cup qualification"/>
    <s v="La Paz"/>
    <s v="Bolivia"/>
    <b v="0"/>
    <n v="1977"/>
    <n v="3227436281"/>
    <n v="36210697674"/>
    <x v="0"/>
    <n v="-1"/>
    <x v="0"/>
  </r>
  <r>
    <x v="453"/>
    <x v="337"/>
    <x v="14"/>
    <s v="Paraguay"/>
    <s v="Brazil"/>
    <n v="0"/>
    <n v="1"/>
    <s v="FIFA World Cup qualification"/>
    <s v="Asunci√≥n"/>
    <s v="Paraguay"/>
    <b v="0"/>
    <n v="1977"/>
    <n v="2092158730"/>
    <n v="176344101401"/>
    <x v="0"/>
    <n v="1"/>
    <x v="2"/>
  </r>
  <r>
    <x v="454"/>
    <x v="337"/>
    <x v="14"/>
    <s v="Qatar"/>
    <s v="Bahrain"/>
    <n v="2"/>
    <n v="0"/>
    <s v="FIFA World Cup qualification"/>
    <s v="Doha"/>
    <s v="Qatar"/>
    <b v="0"/>
    <n v="1977"/>
    <n v="3617564637"/>
    <n v="1989060283"/>
    <x v="1"/>
    <n v="1"/>
    <x v="2"/>
  </r>
  <r>
    <x v="455"/>
    <x v="338"/>
    <x v="14"/>
    <s v="Qatar"/>
    <s v="Kuwait"/>
    <n v="0"/>
    <n v="2"/>
    <s v="FIFA World Cup qualification"/>
    <s v="Doha"/>
    <s v="Qatar"/>
    <b v="0"/>
    <n v="1977"/>
    <n v="3617564637"/>
    <n v="14137406740"/>
    <x v="0"/>
    <n v="1"/>
    <x v="2"/>
  </r>
  <r>
    <x v="456"/>
    <x v="339"/>
    <x v="14"/>
    <s v="Bahrain"/>
    <s v="Kuwait"/>
    <n v="1"/>
    <n v="2"/>
    <s v="FIFA World Cup qualification"/>
    <s v="Doha"/>
    <s v="Qatar"/>
    <b v="1"/>
    <n v="1977"/>
    <n v="1989060283"/>
    <n v="14137406740"/>
    <x v="0"/>
    <n v="1"/>
    <x v="2"/>
  </r>
  <r>
    <x v="457"/>
    <x v="339"/>
    <x v="14"/>
    <s v="Uruguay"/>
    <s v="Venezuela"/>
    <n v="2"/>
    <n v="0"/>
    <s v="FIFA World Cup qualification"/>
    <s v="Montevideo"/>
    <s v="Uruguay"/>
    <b v="0"/>
    <n v="1977"/>
    <n v="4114670014"/>
    <n v="36210697674"/>
    <x v="0"/>
    <n v="-1"/>
    <x v="0"/>
  </r>
  <r>
    <x v="458"/>
    <x v="340"/>
    <x v="14"/>
    <s v="Qatar"/>
    <s v="Bahrain"/>
    <n v="0"/>
    <n v="3"/>
    <s v="FIFA World Cup qualification"/>
    <s v="Doha"/>
    <s v="Qatar"/>
    <b v="0"/>
    <n v="1977"/>
    <n v="3617564637"/>
    <n v="1989060283"/>
    <x v="1"/>
    <n v="-1"/>
    <x v="0"/>
  </r>
  <r>
    <x v="459"/>
    <x v="341"/>
    <x v="14"/>
    <s v="Brazil"/>
    <s v="Paraguay"/>
    <n v="1"/>
    <n v="1"/>
    <s v="FIFA World Cup qualification"/>
    <s v="Rio de Janeiro"/>
    <s v="Brazil"/>
    <b v="0"/>
    <n v="1977"/>
    <n v="176344101401"/>
    <n v="2092158730"/>
    <x v="0"/>
    <n v="0"/>
    <x v="1"/>
  </r>
  <r>
    <x v="460"/>
    <x v="341"/>
    <x v="14"/>
    <s v="Chile"/>
    <s v="Ecuador"/>
    <n v="3"/>
    <n v="0"/>
    <s v="FIFA World Cup qualification"/>
    <s v="Santiago"/>
    <s v="Chile"/>
    <b v="0"/>
    <n v="1977"/>
    <n v="14272711436"/>
    <n v="11026342618"/>
    <x v="1"/>
    <n v="1"/>
    <x v="2"/>
  </r>
  <r>
    <x v="461"/>
    <x v="341"/>
    <x v="14"/>
    <s v="South Korea"/>
    <s v="Israel"/>
    <n v="3"/>
    <n v="1"/>
    <s v="FIFA World Cup qualification"/>
    <s v="Seoul"/>
    <s v="South Korea"/>
    <b v="0"/>
    <n v="1977"/>
    <n v="39064462809"/>
    <n v="18257113904"/>
    <x v="0"/>
    <n v="1"/>
    <x v="2"/>
  </r>
  <r>
    <x v="462"/>
    <x v="342"/>
    <x v="14"/>
    <s v="Qatar"/>
    <s v="Kuwait"/>
    <n v="1"/>
    <n v="4"/>
    <s v="FIFA World Cup qualification"/>
    <s v="Doha"/>
    <s v="Qatar"/>
    <b v="0"/>
    <n v="1977"/>
    <n v="3617564637"/>
    <n v="14137406740"/>
    <x v="0"/>
    <n v="1"/>
    <x v="2"/>
  </r>
  <r>
    <x v="463"/>
    <x v="343"/>
    <x v="14"/>
    <s v="Belgium"/>
    <s v="Netherlands"/>
    <n v="0"/>
    <n v="2"/>
    <s v="FIFA World Cup qualification"/>
    <s v="Antwerp"/>
    <s v="Belgium"/>
    <b v="0"/>
    <n v="1977"/>
    <n v="82839905458"/>
    <n v="127203923857"/>
    <x v="1"/>
    <n v="1"/>
    <x v="2"/>
  </r>
  <r>
    <x v="464"/>
    <x v="343"/>
    <x v="14"/>
    <s v="Japan"/>
    <s v="South Korea"/>
    <n v="0"/>
    <n v="0"/>
    <s v="FIFA World Cup qualification"/>
    <s v="Tokyo"/>
    <s v="Japan"/>
    <b v="0"/>
    <n v="1977"/>
    <n v="737069290927"/>
    <n v="39064462809"/>
    <x v="0"/>
    <n v="0"/>
    <x v="1"/>
  </r>
  <r>
    <x v="465"/>
    <x v="343"/>
    <x v="14"/>
    <s v="Peru"/>
    <s v="Chile"/>
    <n v="2"/>
    <n v="0"/>
    <s v="FIFA World Cup qualification"/>
    <s v="Lima"/>
    <s v="Peru"/>
    <b v="0"/>
    <n v="1977"/>
    <n v="14544913960"/>
    <n v="14272711436"/>
    <x v="1"/>
    <n v="1"/>
    <x v="2"/>
  </r>
  <r>
    <x v="466"/>
    <x v="344"/>
    <x v="14"/>
    <s v="Australia"/>
    <s v="New Zealand"/>
    <n v="3"/>
    <n v="1"/>
    <s v="FIFA World Cup qualification"/>
    <s v="Sydney"/>
    <s v="Australia"/>
    <b v="0"/>
    <n v="1977"/>
    <n v="110504702913"/>
    <n v="15446825318"/>
    <x v="0"/>
    <n v="1"/>
    <x v="2"/>
  </r>
  <r>
    <x v="467"/>
    <x v="344"/>
    <x v="14"/>
    <s v="Uruguay"/>
    <s v="Bolivia"/>
    <n v="2"/>
    <n v="2"/>
    <s v="FIFA World Cup qualification"/>
    <s v="Montevideo"/>
    <s v="Uruguay"/>
    <b v="0"/>
    <n v="1977"/>
    <n v="4114670014"/>
    <n v="3227436281"/>
    <x v="1"/>
    <n v="0"/>
    <x v="1"/>
  </r>
  <r>
    <x v="468"/>
    <x v="345"/>
    <x v="14"/>
    <s v="England"/>
    <s v="Luxembourg"/>
    <n v="5"/>
    <n v="0"/>
    <s v="FIFA World Cup qualification"/>
    <s v="London"/>
    <s v="England"/>
    <b v="0"/>
    <n v="1977"/>
    <n v="263066457352"/>
    <n v="3789321328"/>
    <x v="0"/>
    <n v="1"/>
    <x v="2"/>
  </r>
  <r>
    <x v="469"/>
    <x v="345"/>
    <x v="14"/>
    <s v="New Zealand"/>
    <s v="Australia"/>
    <n v="1"/>
    <n v="1"/>
    <s v="FIFA World Cup qualification"/>
    <s v="Auckland"/>
    <s v="New Zealand"/>
    <b v="0"/>
    <n v="1977"/>
    <n v="15446825318"/>
    <n v="110504702913"/>
    <x v="0"/>
    <n v="0"/>
    <x v="1"/>
  </r>
  <r>
    <x v="470"/>
    <x v="346"/>
    <x v="14"/>
    <s v="South Korea"/>
    <s v="Japan"/>
    <n v="1"/>
    <n v="0"/>
    <s v="FIFA World Cup qualification"/>
    <s v="Seoul"/>
    <s v="South Korea"/>
    <b v="0"/>
    <n v="1977"/>
    <n v="39064462809"/>
    <n v="737069290927"/>
    <x v="0"/>
    <n v="-1"/>
    <x v="0"/>
  </r>
  <r>
    <x v="471"/>
    <x v="347"/>
    <x v="14"/>
    <s v="Iran"/>
    <s v="Saudi Arabia"/>
    <n v="2"/>
    <n v="0"/>
    <s v="FIFA World Cup qualification"/>
    <s v="Shiraz"/>
    <s v="Iran"/>
    <b v="0"/>
    <n v="1977"/>
    <n v="80600122701"/>
    <n v="74188986586"/>
    <x v="1"/>
    <n v="1"/>
    <x v="2"/>
  </r>
  <r>
    <x v="472"/>
    <x v="348"/>
    <x v="14"/>
    <s v="Austria"/>
    <s v="Malta"/>
    <n v="9"/>
    <n v="0"/>
    <s v="FIFA World Cup qualification"/>
    <s v="Salzburg"/>
    <s v="Austria"/>
    <b v="0"/>
    <n v="1977"/>
    <n v="51343861460"/>
    <n v="625563170"/>
    <x v="0"/>
    <n v="1"/>
    <x v="2"/>
  </r>
  <r>
    <x v="473"/>
    <x v="349"/>
    <x v="14"/>
    <s v="Luxembourg"/>
    <s v="Finland"/>
    <n v="0"/>
    <n v="1"/>
    <s v="FIFA World Cup qualification"/>
    <s v="Luxembourg"/>
    <s v="Luxembourg"/>
    <b v="0"/>
    <n v="1977"/>
    <n v="3789321328"/>
    <n v="33502784417"/>
    <x v="0"/>
    <n v="1"/>
    <x v="2"/>
  </r>
  <r>
    <x v="474"/>
    <x v="350"/>
    <x v="14"/>
    <s v="Hungary"/>
    <s v="Greece"/>
    <n v="3"/>
    <n v="0"/>
    <s v="FIFA World Cup qualification"/>
    <s v="Budapest"/>
    <s v="Hungary"/>
    <b v="0"/>
    <n v="1977"/>
    <n v="14783674054"/>
    <n v="35673080481"/>
    <x v="0"/>
    <n v="-1"/>
    <x v="0"/>
  </r>
  <r>
    <x v="475"/>
    <x v="351"/>
    <x v="14"/>
    <s v="Guinea"/>
    <s v="Tunisia"/>
    <n v="1"/>
    <n v="0"/>
    <s v="FIFA World Cup qualification"/>
    <s v="Conakry"/>
    <s v="Guinea"/>
    <b v="0"/>
    <n v="1977"/>
    <n v="6914381290"/>
    <n v="5109324009"/>
    <x v="1"/>
    <n v="1"/>
    <x v="2"/>
  </r>
  <r>
    <x v="476"/>
    <x v="352"/>
    <x v="14"/>
    <s v="Finland"/>
    <s v="Italy"/>
    <n v="0"/>
    <n v="3"/>
    <s v="FIFA World Cup qualification"/>
    <s v="Helsinki"/>
    <s v="Finland"/>
    <b v="0"/>
    <n v="1977"/>
    <n v="33502784417"/>
    <n v="258190019749"/>
    <x v="0"/>
    <n v="1"/>
    <x v="2"/>
  </r>
  <r>
    <x v="477"/>
    <x v="352"/>
    <x v="14"/>
    <s v="Sweden"/>
    <s v="Switzerland"/>
    <n v="2"/>
    <n v="1"/>
    <s v="FIFA World Cup qualification"/>
    <s v="Solna"/>
    <s v="Sweden"/>
    <b v="0"/>
    <n v="1977"/>
    <n v="94331782622"/>
    <n v="73135771167"/>
    <x v="1"/>
    <n v="1"/>
    <x v="2"/>
  </r>
  <r>
    <x v="478"/>
    <x v="353"/>
    <x v="14"/>
    <s v="Tunisia"/>
    <s v="Guinea"/>
    <n v="3"/>
    <n v="1"/>
    <s v="FIFA World Cup qualification"/>
    <s v="Tunis"/>
    <s v="Tunisia"/>
    <b v="0"/>
    <n v="1977"/>
    <n v="5109324009"/>
    <n v="6914381290"/>
    <x v="1"/>
    <n v="-1"/>
    <x v="0"/>
  </r>
  <r>
    <x v="479"/>
    <x v="354"/>
    <x v="14"/>
    <s v="South Korea"/>
    <s v="Iran"/>
    <n v="0"/>
    <n v="0"/>
    <s v="FIFA World Cup qualification"/>
    <s v="Busan"/>
    <s v="South Korea"/>
    <b v="0"/>
    <n v="1977"/>
    <n v="39064462809"/>
    <n v="80600122701"/>
    <x v="0"/>
    <n v="0"/>
    <x v="1"/>
  </r>
  <r>
    <x v="480"/>
    <x v="355"/>
    <x v="14"/>
    <s v="Peru"/>
    <s v="Brazil"/>
    <n v="0"/>
    <n v="1"/>
    <s v="FIFA World Cup qualification"/>
    <s v="Cali"/>
    <s v="Colombia"/>
    <b v="1"/>
    <n v="1977"/>
    <n v="14544913960"/>
    <n v="176344101401"/>
    <x v="0"/>
    <n v="1"/>
    <x v="2"/>
  </r>
  <r>
    <x v="481"/>
    <x v="356"/>
    <x v="14"/>
    <s v="Brazil"/>
    <s v="Bolivia"/>
    <n v="8"/>
    <n v="0"/>
    <s v="FIFA World Cup qualification"/>
    <s v="Cali"/>
    <s v="Colombia"/>
    <b v="1"/>
    <n v="1977"/>
    <n v="176344101401"/>
    <n v="3227436281"/>
    <x v="0"/>
    <n v="1"/>
    <x v="2"/>
  </r>
  <r>
    <x v="482"/>
    <x v="357"/>
    <x v="14"/>
    <s v="Egypt"/>
    <s v="Zambia"/>
    <n v="2"/>
    <n v="0"/>
    <s v="FIFA World Cup qualification"/>
    <s v="Cairo"/>
    <s v="Egypt"/>
    <b v="0"/>
    <n v="1977"/>
    <n v="14400806875"/>
    <n v="2515296939"/>
    <x v="0"/>
    <n v="1"/>
    <x v="2"/>
  </r>
  <r>
    <x v="483"/>
    <x v="358"/>
    <x v="14"/>
    <s v="Peru"/>
    <s v="Bolivia"/>
    <n v="5"/>
    <n v="0"/>
    <s v="FIFA World Cup qualification"/>
    <s v="Cali"/>
    <s v="Colombia"/>
    <b v="1"/>
    <n v="1977"/>
    <n v="14544913960"/>
    <n v="3227436281"/>
    <x v="0"/>
    <n v="1"/>
    <x v="2"/>
  </r>
  <r>
    <x v="484"/>
    <x v="359"/>
    <x v="14"/>
    <s v="Zambia"/>
    <s v="Egypt"/>
    <n v="0"/>
    <n v="0"/>
    <s v="FIFA World Cup qualification"/>
    <s v="Lusaka"/>
    <s v="Zambia"/>
    <b v="0"/>
    <n v="1977"/>
    <n v="2515296939"/>
    <n v="14400806875"/>
    <x v="0"/>
    <n v="0"/>
    <x v="1"/>
  </r>
  <r>
    <x v="485"/>
    <x v="360"/>
    <x v="14"/>
    <s v="Australia"/>
    <s v="Iran"/>
    <n v="0"/>
    <n v="1"/>
    <s v="FIFA World Cup qualification"/>
    <s v="Melbourne"/>
    <s v="Australia"/>
    <b v="0"/>
    <n v="1977"/>
    <n v="110504702913"/>
    <n v="80600122701"/>
    <x v="1"/>
    <n v="-1"/>
    <x v="0"/>
  </r>
  <r>
    <x v="486"/>
    <x v="361"/>
    <x v="14"/>
    <s v="Australia"/>
    <s v="South Korea"/>
    <n v="2"/>
    <n v="1"/>
    <s v="FIFA World Cup qualification"/>
    <s v="Sydney"/>
    <s v="Australia"/>
    <b v="0"/>
    <n v="1977"/>
    <n v="110504702913"/>
    <n v="39064462809"/>
    <x v="0"/>
    <n v="1"/>
    <x v="2"/>
  </r>
  <r>
    <x v="487"/>
    <x v="362"/>
    <x v="14"/>
    <s v="Netherlands"/>
    <s v="Iceland"/>
    <n v="4"/>
    <n v="1"/>
    <s v="FIFA World Cup qualification"/>
    <s v="Nijmegen"/>
    <s v="Netherlands"/>
    <b v="0"/>
    <n v="1977"/>
    <n v="127203923857"/>
    <n v="2285707748"/>
    <x v="0"/>
    <n v="1"/>
    <x v="2"/>
  </r>
  <r>
    <x v="488"/>
    <x v="363"/>
    <x v="14"/>
    <s v="Belgium"/>
    <s v="Iceland"/>
    <n v="4"/>
    <n v="0"/>
    <s v="FIFA World Cup qualification"/>
    <s v="Brussels"/>
    <s v="Belgium"/>
    <b v="0"/>
    <n v="1977"/>
    <n v="82839905458"/>
    <n v="2285707748"/>
    <x v="0"/>
    <n v="1"/>
    <x v="2"/>
  </r>
  <r>
    <x v="489"/>
    <x v="364"/>
    <x v="14"/>
    <s v="Norway"/>
    <s v="Sweden"/>
    <n v="2"/>
    <n v="1"/>
    <s v="FIFA World Cup qualification"/>
    <s v="Oslo"/>
    <s v="Norway"/>
    <b v="0"/>
    <n v="1977"/>
    <n v="41508030431"/>
    <n v="94331782622"/>
    <x v="0"/>
    <n v="-1"/>
    <x v="0"/>
  </r>
  <r>
    <x v="490"/>
    <x v="365"/>
    <x v="14"/>
    <s v="Tunisia"/>
    <s v="Nigeria"/>
    <n v="0"/>
    <n v="0"/>
    <s v="FIFA World Cup qualification"/>
    <s v="Tunis"/>
    <s v="Tunisia"/>
    <b v="0"/>
    <n v="1977"/>
    <n v="5109324009"/>
    <n v="36035407725"/>
    <x v="0"/>
    <n v="0"/>
    <x v="1"/>
  </r>
  <r>
    <x v="491"/>
    <x v="366"/>
    <x v="14"/>
    <s v="Nigeria"/>
    <s v="Egypt"/>
    <n v="4"/>
    <n v="0"/>
    <s v="FIFA World Cup qualification"/>
    <s v="Lagos"/>
    <s v="Nigeria"/>
    <b v="0"/>
    <n v="1977"/>
    <n v="36035407725"/>
    <n v="14400806875"/>
    <x v="0"/>
    <n v="1"/>
    <x v="2"/>
  </r>
  <r>
    <x v="492"/>
    <x v="367"/>
    <x v="14"/>
    <s v="Denmark"/>
    <s v="Portugal"/>
    <n v="2"/>
    <n v="4"/>
    <s v="FIFA World Cup qualification"/>
    <s v="Copenhagen"/>
    <s v="Denmark"/>
    <b v="0"/>
    <n v="1977"/>
    <n v="49711709588"/>
    <n v="21439523310"/>
    <x v="0"/>
    <n v="-1"/>
    <x v="0"/>
  </r>
  <r>
    <x v="493"/>
    <x v="367"/>
    <x v="14"/>
    <s v="South Korea"/>
    <s v="Kuwait"/>
    <n v="1"/>
    <n v="0"/>
    <s v="FIFA World Cup qualification"/>
    <s v="Seoul"/>
    <s v="South Korea"/>
    <b v="0"/>
    <n v="1977"/>
    <n v="39064462809"/>
    <n v="14137406740"/>
    <x v="0"/>
    <n v="1"/>
    <x v="2"/>
  </r>
  <r>
    <x v="494"/>
    <x v="368"/>
    <x v="14"/>
    <s v="Luxembourg"/>
    <s v="England"/>
    <n v="0"/>
    <n v="2"/>
    <s v="FIFA World Cup qualification"/>
    <s v="Luxembourg"/>
    <s v="Luxembourg"/>
    <b v="0"/>
    <n v="1977"/>
    <n v="3789321328"/>
    <n v="263066457352"/>
    <x v="0"/>
    <n v="1"/>
    <x v="2"/>
  </r>
  <r>
    <x v="495"/>
    <x v="369"/>
    <x v="14"/>
    <s v="Italy"/>
    <s v="Finland"/>
    <n v="6"/>
    <n v="1"/>
    <s v="FIFA World Cup qualification"/>
    <s v="Turin"/>
    <s v="Italy"/>
    <b v="0"/>
    <n v="1977"/>
    <n v="258190019749"/>
    <n v="33502784417"/>
    <x v="0"/>
    <n v="1"/>
    <x v="2"/>
  </r>
  <r>
    <x v="496"/>
    <x v="370"/>
    <x v="14"/>
    <s v="Australia"/>
    <s v="Kuwait"/>
    <n v="1"/>
    <n v="2"/>
    <s v="FIFA World Cup qualification"/>
    <s v="Sydney"/>
    <s v="Australia"/>
    <b v="0"/>
    <n v="1977"/>
    <n v="110504702913"/>
    <n v="14137406740"/>
    <x v="0"/>
    <n v="-1"/>
    <x v="0"/>
  </r>
  <r>
    <x v="497"/>
    <x v="371"/>
    <x v="14"/>
    <s v="Egypt"/>
    <s v="Nigeria"/>
    <n v="3"/>
    <n v="1"/>
    <s v="FIFA World Cup qualification"/>
    <s v="Cairo"/>
    <s v="Egypt"/>
    <b v="0"/>
    <n v="1977"/>
    <n v="14400806875"/>
    <n v="36035407725"/>
    <x v="0"/>
    <n v="-1"/>
    <x v="0"/>
  </r>
  <r>
    <x v="498"/>
    <x v="372"/>
    <x v="14"/>
    <s v="South Korea"/>
    <s v="Australia"/>
    <n v="0"/>
    <n v="0"/>
    <s v="FIFA World Cup qualification"/>
    <s v="Seoul"/>
    <s v="South Korea"/>
    <b v="0"/>
    <n v="1977"/>
    <n v="39064462809"/>
    <n v="110504702913"/>
    <x v="0"/>
    <n v="0"/>
    <x v="1"/>
  </r>
  <r>
    <x v="499"/>
    <x v="373"/>
    <x v="14"/>
    <s v="Netherlands"/>
    <s v="Belgium"/>
    <n v="1"/>
    <n v="0"/>
    <s v="FIFA World Cup qualification"/>
    <s v="Amsterdam"/>
    <s v="Netherlands"/>
    <b v="0"/>
    <n v="1977"/>
    <n v="127203923857"/>
    <n v="82839905458"/>
    <x v="1"/>
    <n v="1"/>
    <x v="2"/>
  </r>
  <r>
    <x v="500"/>
    <x v="374"/>
    <x v="14"/>
    <s v="Iran"/>
    <s v="Kuwait"/>
    <n v="1"/>
    <n v="0"/>
    <s v="FIFA World Cup qualification"/>
    <s v="Tehran"/>
    <s v="Iran"/>
    <b v="0"/>
    <n v="1977"/>
    <n v="80600122701"/>
    <n v="14137406740"/>
    <x v="0"/>
    <n v="1"/>
    <x v="2"/>
  </r>
  <r>
    <x v="501"/>
    <x v="375"/>
    <x v="14"/>
    <s v="Hungary"/>
    <s v="Bolivia"/>
    <n v="6"/>
    <n v="0"/>
    <s v="FIFA World Cup qualification"/>
    <s v="Budapest"/>
    <s v="Hungary"/>
    <b v="0"/>
    <n v="1977"/>
    <n v="14783674054"/>
    <n v="3227436281"/>
    <x v="0"/>
    <n v="1"/>
    <x v="2"/>
  </r>
  <r>
    <x v="502"/>
    <x v="376"/>
    <x v="14"/>
    <s v="Switzerland"/>
    <s v="Norway"/>
    <n v="1"/>
    <n v="0"/>
    <s v="FIFA World Cup qualification"/>
    <s v="Bern"/>
    <s v="Switzerland"/>
    <b v="0"/>
    <n v="1977"/>
    <n v="73135771167"/>
    <n v="41508030431"/>
    <x v="1"/>
    <n v="1"/>
    <x v="2"/>
  </r>
  <r>
    <x v="503"/>
    <x v="377"/>
    <x v="14"/>
    <s v="Kuwait"/>
    <s v="South Korea"/>
    <n v="2"/>
    <n v="2"/>
    <s v="FIFA World Cup qualification"/>
    <s v="Kuwait City"/>
    <s v="Kuwait"/>
    <b v="0"/>
    <n v="1977"/>
    <n v="14137406740"/>
    <n v="39064462809"/>
    <x v="0"/>
    <n v="0"/>
    <x v="1"/>
  </r>
  <r>
    <x v="504"/>
    <x v="378"/>
    <x v="14"/>
    <s v="Iran"/>
    <s v="South Korea"/>
    <n v="2"/>
    <n v="2"/>
    <s v="FIFA World Cup qualification"/>
    <s v="Tehran"/>
    <s v="Iran"/>
    <b v="0"/>
    <n v="1977"/>
    <n v="80600122701"/>
    <n v="39064462809"/>
    <x v="0"/>
    <n v="0"/>
    <x v="1"/>
  </r>
  <r>
    <x v="505"/>
    <x v="379"/>
    <x v="14"/>
    <s v="Nigeria"/>
    <s v="Tunisia"/>
    <n v="0"/>
    <n v="1"/>
    <s v="FIFA World Cup qualification"/>
    <s v="Lagos"/>
    <s v="Nigeria"/>
    <b v="0"/>
    <n v="1977"/>
    <n v="36035407725"/>
    <n v="5109324009"/>
    <x v="0"/>
    <n v="-1"/>
    <x v="0"/>
  </r>
  <r>
    <x v="506"/>
    <x v="380"/>
    <x v="14"/>
    <s v="England"/>
    <s v="Italy"/>
    <n v="2"/>
    <n v="0"/>
    <s v="FIFA World Cup qualification"/>
    <s v="London"/>
    <s v="England"/>
    <b v="0"/>
    <n v="1977"/>
    <n v="263066457352"/>
    <n v="258190019749"/>
    <x v="1"/>
    <n v="1"/>
    <x v="2"/>
  </r>
  <r>
    <x v="507"/>
    <x v="380"/>
    <x v="14"/>
    <s v="Portugal"/>
    <s v="Cyprus"/>
    <n v="4"/>
    <n v="0"/>
    <s v="FIFA World Cup qualification"/>
    <s v="Faro"/>
    <s v="Portugal"/>
    <b v="0"/>
    <n v="1977"/>
    <n v="21439523310"/>
    <n v="734876021"/>
    <x v="0"/>
    <n v="1"/>
    <x v="2"/>
  </r>
  <r>
    <x v="508"/>
    <x v="381"/>
    <x v="14"/>
    <s v="Kuwait"/>
    <s v="Australia"/>
    <n v="1"/>
    <n v="0"/>
    <s v="FIFA World Cup qualification"/>
    <s v="Kuwait City"/>
    <s v="Kuwait"/>
    <b v="0"/>
    <n v="1977"/>
    <n v="14137406740"/>
    <n v="110504702913"/>
    <x v="0"/>
    <n v="-1"/>
    <x v="0"/>
  </r>
  <r>
    <x v="509"/>
    <x v="382"/>
    <x v="14"/>
    <s v="Egypt"/>
    <s v="Tunisia"/>
    <n v="3"/>
    <n v="2"/>
    <s v="FIFA World Cup qualification"/>
    <s v="Cairo"/>
    <s v="Egypt"/>
    <b v="0"/>
    <n v="1977"/>
    <n v="14400806875"/>
    <n v="5109324009"/>
    <x v="0"/>
    <n v="1"/>
    <x v="2"/>
  </r>
  <r>
    <x v="510"/>
    <x v="382"/>
    <x v="14"/>
    <s v="Iran"/>
    <s v="Australia"/>
    <n v="1"/>
    <n v="0"/>
    <s v="FIFA World Cup qualification"/>
    <s v="Tehran"/>
    <s v="Iran"/>
    <b v="0"/>
    <n v="1977"/>
    <n v="80600122701"/>
    <n v="110504702913"/>
    <x v="1"/>
    <n v="-1"/>
    <x v="0"/>
  </r>
  <r>
    <x v="511"/>
    <x v="383"/>
    <x v="14"/>
    <s v="Bolivia"/>
    <s v="Hungary"/>
    <n v="2"/>
    <n v="3"/>
    <s v="FIFA World Cup qualification"/>
    <s v="La Paz"/>
    <s v="Bolivia"/>
    <b v="0"/>
    <n v="1977"/>
    <n v="3227436281"/>
    <n v="14783674054"/>
    <x v="0"/>
    <n v="1"/>
    <x v="2"/>
  </r>
  <r>
    <x v="512"/>
    <x v="384"/>
    <x v="14"/>
    <s v="Italy"/>
    <s v="Luxembourg"/>
    <n v="3"/>
    <n v="0"/>
    <s v="FIFA World Cup qualification"/>
    <s v="Rome"/>
    <s v="Italy"/>
    <b v="0"/>
    <n v="1977"/>
    <n v="258190019749"/>
    <n v="3789321328"/>
    <x v="0"/>
    <n v="1"/>
    <x v="2"/>
  </r>
  <r>
    <x v="513"/>
    <x v="384"/>
    <x v="14"/>
    <s v="Kuwait"/>
    <s v="Iran"/>
    <n v="1"/>
    <n v="2"/>
    <s v="FIFA World Cup qualification"/>
    <s v="Kuwait City"/>
    <s v="Kuwait"/>
    <b v="0"/>
    <n v="1977"/>
    <n v="14137406740"/>
    <n v="80600122701"/>
    <x v="0"/>
    <n v="1"/>
    <x v="2"/>
  </r>
  <r>
    <x v="514"/>
    <x v="385"/>
    <x v="14"/>
    <s v="Tunisia"/>
    <s v="Egypt"/>
    <n v="4"/>
    <n v="1"/>
    <s v="FIFA World Cup qualification"/>
    <s v="Tunis"/>
    <s v="Tunisia"/>
    <b v="0"/>
    <n v="1977"/>
    <n v="5109324009"/>
    <n v="14400806875"/>
    <x v="0"/>
    <n v="-1"/>
    <x v="0"/>
  </r>
  <r>
    <x v="515"/>
    <x v="386"/>
    <x v="15"/>
    <s v="Argentina"/>
    <s v="Hungary"/>
    <n v="2"/>
    <n v="1"/>
    <s v="FIFA World Cup"/>
    <s v="Buenos Aires"/>
    <s v="Argentina"/>
    <b v="0"/>
    <n v="1978"/>
    <n v="89049453088"/>
    <n v="17286744153"/>
    <x v="0"/>
    <n v="1"/>
    <x v="2"/>
  </r>
  <r>
    <x v="516"/>
    <x v="386"/>
    <x v="15"/>
    <s v="France"/>
    <s v="Italy"/>
    <n v="1"/>
    <n v="2"/>
    <s v="FIFA World Cup"/>
    <s v="Mar del Plata"/>
    <s v="Argentina"/>
    <b v="1"/>
    <n v="1978"/>
    <n v="501724418604"/>
    <n v="315784469541"/>
    <x v="1"/>
    <n v="-1"/>
    <x v="0"/>
  </r>
  <r>
    <x v="517"/>
    <x v="386"/>
    <x v="15"/>
    <s v="Mexico"/>
    <s v="Tunisia"/>
    <n v="1"/>
    <n v="3"/>
    <s v="FIFA World Cup"/>
    <s v="Rosario"/>
    <s v="Argentina"/>
    <b v="1"/>
    <n v="1978"/>
    <n v="102648570299"/>
    <n v="5968460080"/>
    <x v="0"/>
    <n v="-1"/>
    <x v="0"/>
  </r>
  <r>
    <x v="518"/>
    <x v="387"/>
    <x v="15"/>
    <s v="Austria"/>
    <s v="Spain"/>
    <n v="2"/>
    <n v="1"/>
    <s v="FIFA World Cup"/>
    <s v="Buenos Aires"/>
    <s v="Argentina"/>
    <b v="1"/>
    <n v="1978"/>
    <n v="61809208755"/>
    <n v="160484969618"/>
    <x v="0"/>
    <n v="-1"/>
    <x v="0"/>
  </r>
  <r>
    <x v="519"/>
    <x v="387"/>
    <x v="15"/>
    <s v="Brazil"/>
    <s v="Sweden"/>
    <n v="1"/>
    <n v="1"/>
    <s v="FIFA World Cup"/>
    <s v="Mar del Plata"/>
    <s v="Argentina"/>
    <b v="1"/>
    <n v="1978"/>
    <n v="200278646123"/>
    <n v="104290933495"/>
    <x v="1"/>
    <n v="0"/>
    <x v="1"/>
  </r>
  <r>
    <x v="520"/>
    <x v="387"/>
    <x v="15"/>
    <s v="Iran"/>
    <s v="Netherlands"/>
    <n v="0"/>
    <n v="3"/>
    <s v="FIFA World Cup"/>
    <s v="Mendoza"/>
    <s v="Argentina"/>
    <b v="1"/>
    <n v="1978"/>
    <n v="77994316621"/>
    <n v="156089077205"/>
    <x v="0"/>
    <n v="1"/>
    <x v="2"/>
  </r>
  <r>
    <x v="521"/>
    <x v="388"/>
    <x v="15"/>
    <s v="Argentina"/>
    <s v="France"/>
    <n v="2"/>
    <n v="1"/>
    <s v="FIFA World Cup"/>
    <s v="Buenos Aires"/>
    <s v="Argentina"/>
    <b v="0"/>
    <n v="1978"/>
    <n v="89049453088"/>
    <n v="501724418604"/>
    <x v="0"/>
    <n v="-1"/>
    <x v="0"/>
  </r>
  <r>
    <x v="522"/>
    <x v="388"/>
    <x v="15"/>
    <s v="Germany"/>
    <s v="Mexico"/>
    <n v="6"/>
    <n v="0"/>
    <s v="FIFA World Cup"/>
    <s v="C√≥rdoba"/>
    <s v="Argentina"/>
    <b v="1"/>
    <n v="1978"/>
    <n v="743182891918"/>
    <n v="102648570299"/>
    <x v="0"/>
    <n v="1"/>
    <x v="2"/>
  </r>
  <r>
    <x v="523"/>
    <x v="388"/>
    <x v="15"/>
    <s v="Hungary"/>
    <s v="Italy"/>
    <n v="1"/>
    <n v="3"/>
    <s v="FIFA World Cup"/>
    <s v="Mar del Plata"/>
    <s v="Argentina"/>
    <b v="1"/>
    <n v="1978"/>
    <n v="17286744153"/>
    <n v="315784469541"/>
    <x v="0"/>
    <n v="1"/>
    <x v="2"/>
  </r>
  <r>
    <x v="524"/>
    <x v="389"/>
    <x v="15"/>
    <s v="Austria"/>
    <s v="Sweden"/>
    <n v="1"/>
    <n v="0"/>
    <s v="FIFA World Cup"/>
    <s v="Buenos Aires"/>
    <s v="Argentina"/>
    <b v="1"/>
    <n v="1978"/>
    <n v="61809208755"/>
    <n v="104290933495"/>
    <x v="1"/>
    <n v="-1"/>
    <x v="0"/>
  </r>
  <r>
    <x v="525"/>
    <x v="389"/>
    <x v="15"/>
    <s v="Brazil"/>
    <s v="Spain"/>
    <n v="0"/>
    <n v="0"/>
    <s v="FIFA World Cup"/>
    <s v="Mar del Plata"/>
    <s v="Argentina"/>
    <b v="1"/>
    <n v="1978"/>
    <n v="200278646123"/>
    <n v="160484969618"/>
    <x v="1"/>
    <n v="0"/>
    <x v="1"/>
  </r>
  <r>
    <x v="526"/>
    <x v="389"/>
    <x v="15"/>
    <s v="Netherlands"/>
    <s v="Peru"/>
    <n v="0"/>
    <n v="0"/>
    <s v="FIFA World Cup"/>
    <s v="Mendoza"/>
    <s v="Argentina"/>
    <b v="1"/>
    <n v="1978"/>
    <n v="156089077205"/>
    <n v="12491876742"/>
    <x v="0"/>
    <n v="0"/>
    <x v="1"/>
  </r>
  <r>
    <x v="527"/>
    <x v="390"/>
    <x v="15"/>
    <s v="Argentina"/>
    <s v="Italy"/>
    <n v="0"/>
    <n v="1"/>
    <s v="FIFA World Cup"/>
    <s v="Buenos Aires"/>
    <s v="Argentina"/>
    <b v="0"/>
    <n v="1978"/>
    <n v="89049453088"/>
    <n v="315784469541"/>
    <x v="0"/>
    <n v="1"/>
    <x v="2"/>
  </r>
  <r>
    <x v="528"/>
    <x v="390"/>
    <x v="15"/>
    <s v="France"/>
    <s v="Hungary"/>
    <n v="3"/>
    <n v="1"/>
    <s v="FIFA World Cup"/>
    <s v="Mar del Plata"/>
    <s v="Argentina"/>
    <b v="1"/>
    <n v="1978"/>
    <n v="501724418604"/>
    <n v="17286744153"/>
    <x v="0"/>
    <n v="1"/>
    <x v="2"/>
  </r>
  <r>
    <x v="529"/>
    <x v="390"/>
    <x v="15"/>
    <s v="Germany"/>
    <s v="Tunisia"/>
    <n v="0"/>
    <n v="0"/>
    <s v="FIFA World Cup"/>
    <s v="C√≥rdoba"/>
    <s v="Argentina"/>
    <b v="1"/>
    <n v="1978"/>
    <n v="743182891918"/>
    <n v="5968460080"/>
    <x v="0"/>
    <n v="0"/>
    <x v="1"/>
  </r>
  <r>
    <x v="530"/>
    <x v="391"/>
    <x v="15"/>
    <s v="Austria"/>
    <s v="Brazil"/>
    <n v="0"/>
    <n v="1"/>
    <s v="FIFA World Cup"/>
    <s v="Mar del Plata"/>
    <s v="Argentina"/>
    <b v="1"/>
    <n v="1978"/>
    <n v="61809208755"/>
    <n v="200278646123"/>
    <x v="0"/>
    <n v="1"/>
    <x v="2"/>
  </r>
  <r>
    <x v="531"/>
    <x v="391"/>
    <x v="15"/>
    <s v="Iran"/>
    <s v="Peru"/>
    <n v="1"/>
    <n v="4"/>
    <s v="FIFA World Cup"/>
    <s v="C√≥rdoba"/>
    <s v="Argentina"/>
    <b v="1"/>
    <n v="1978"/>
    <n v="77994316621"/>
    <n v="12491876742"/>
    <x v="0"/>
    <n v="-1"/>
    <x v="0"/>
  </r>
  <r>
    <x v="532"/>
    <x v="391"/>
    <x v="15"/>
    <s v="Spain"/>
    <s v="Sweden"/>
    <n v="1"/>
    <n v="0"/>
    <s v="FIFA World Cup"/>
    <s v="Buenos Aires"/>
    <s v="Argentina"/>
    <b v="1"/>
    <n v="1978"/>
    <n v="160484969618"/>
    <n v="104290933495"/>
    <x v="1"/>
    <n v="1"/>
    <x v="2"/>
  </r>
  <r>
    <x v="533"/>
    <x v="392"/>
    <x v="15"/>
    <s v="Austria"/>
    <s v="Netherlands"/>
    <n v="1"/>
    <n v="5"/>
    <s v="FIFA World Cup"/>
    <s v="C√≥rdoba"/>
    <s v="Argentina"/>
    <b v="1"/>
    <n v="1978"/>
    <n v="61809208755"/>
    <n v="156089077205"/>
    <x v="0"/>
    <n v="1"/>
    <x v="2"/>
  </r>
  <r>
    <x v="534"/>
    <x v="392"/>
    <x v="15"/>
    <s v="Brazil"/>
    <s v="Peru"/>
    <n v="3"/>
    <n v="0"/>
    <s v="FIFA World Cup"/>
    <s v="Mendoza"/>
    <s v="Argentina"/>
    <b v="1"/>
    <n v="1978"/>
    <n v="200278646123"/>
    <n v="12491876742"/>
    <x v="0"/>
    <n v="1"/>
    <x v="2"/>
  </r>
  <r>
    <x v="535"/>
    <x v="392"/>
    <x v="15"/>
    <s v="Germany"/>
    <s v="Italy"/>
    <n v="0"/>
    <n v="0"/>
    <s v="FIFA World Cup"/>
    <s v="Buenos Aires"/>
    <s v="Argentina"/>
    <b v="1"/>
    <n v="1978"/>
    <n v="743182891918"/>
    <n v="315784469541"/>
    <x v="0"/>
    <n v="0"/>
    <x v="1"/>
  </r>
  <r>
    <x v="536"/>
    <x v="393"/>
    <x v="15"/>
    <s v="Argentina"/>
    <s v="Brazil"/>
    <n v="0"/>
    <n v="0"/>
    <s v="FIFA World Cup"/>
    <s v="Rosario"/>
    <s v="Argentina"/>
    <b v="0"/>
    <n v="1978"/>
    <n v="89049453088"/>
    <n v="200278646123"/>
    <x v="0"/>
    <n v="0"/>
    <x v="1"/>
  </r>
  <r>
    <x v="537"/>
    <x v="393"/>
    <x v="15"/>
    <s v="Austria"/>
    <s v="Italy"/>
    <n v="0"/>
    <n v="1"/>
    <s v="FIFA World Cup"/>
    <s v="Buenos Aires"/>
    <s v="Argentina"/>
    <b v="1"/>
    <n v="1978"/>
    <n v="61809208755"/>
    <n v="315784469541"/>
    <x v="0"/>
    <n v="1"/>
    <x v="2"/>
  </r>
  <r>
    <x v="538"/>
    <x v="393"/>
    <x v="15"/>
    <s v="Germany"/>
    <s v="Netherlands"/>
    <n v="2"/>
    <n v="2"/>
    <s v="FIFA World Cup"/>
    <s v="C√≥rdoba"/>
    <s v="Argentina"/>
    <b v="1"/>
    <n v="1978"/>
    <n v="743182891918"/>
    <n v="156089077205"/>
    <x v="0"/>
    <n v="0"/>
    <x v="1"/>
  </r>
  <r>
    <x v="539"/>
    <x v="394"/>
    <x v="15"/>
    <s v="Argentina"/>
    <s v="Peru"/>
    <n v="6"/>
    <n v="0"/>
    <s v="FIFA World Cup"/>
    <s v="Rosario"/>
    <s v="Argentina"/>
    <b v="0"/>
    <n v="1978"/>
    <n v="89049453088"/>
    <n v="12491876742"/>
    <x v="0"/>
    <n v="1"/>
    <x v="2"/>
  </r>
  <r>
    <x v="540"/>
    <x v="394"/>
    <x v="15"/>
    <s v="Austria"/>
    <s v="Germany"/>
    <n v="3"/>
    <n v="2"/>
    <s v="FIFA World Cup"/>
    <s v="C√≥rdoba"/>
    <s v="Argentina"/>
    <b v="1"/>
    <n v="1978"/>
    <n v="61809208755"/>
    <n v="743182891918"/>
    <x v="0"/>
    <n v="-1"/>
    <x v="0"/>
  </r>
  <r>
    <x v="541"/>
    <x v="394"/>
    <x v="15"/>
    <s v="Italy"/>
    <s v="Netherlands"/>
    <n v="1"/>
    <n v="2"/>
    <s v="FIFA World Cup"/>
    <s v="Buenos Aires"/>
    <s v="Argentina"/>
    <b v="1"/>
    <n v="1978"/>
    <n v="315784469541"/>
    <n v="156089077205"/>
    <x v="0"/>
    <n v="-1"/>
    <x v="0"/>
  </r>
  <r>
    <x v="542"/>
    <x v="395"/>
    <x v="15"/>
    <s v="Brazil"/>
    <s v="Italy"/>
    <n v="2"/>
    <n v="1"/>
    <s v="FIFA World Cup"/>
    <s v="Buenos Aires"/>
    <s v="Argentina"/>
    <b v="1"/>
    <n v="1978"/>
    <n v="200278646123"/>
    <n v="315784469541"/>
    <x v="1"/>
    <n v="-1"/>
    <x v="0"/>
  </r>
  <r>
    <x v="543"/>
    <x v="396"/>
    <x v="15"/>
    <s v="Argentina"/>
    <s v="Netherlands"/>
    <n v="3"/>
    <n v="1"/>
    <s v="FIFA World Cup"/>
    <s v="Buenos Aires"/>
    <s v="Argentina"/>
    <b v="0"/>
    <n v="1978"/>
    <n v="89049453088"/>
    <n v="156089077205"/>
    <x v="1"/>
    <n v="-1"/>
    <x v="0"/>
  </r>
  <r>
    <x v="544"/>
    <x v="397"/>
    <x v="16"/>
    <s v="Ethiopia"/>
    <s v="Zambia"/>
    <n v="0"/>
    <n v="0"/>
    <s v="FIFA World Cup qualification"/>
    <s v="Addis Ababa"/>
    <s v="Ethiopia"/>
    <b v="0"/>
    <n v="1980"/>
    <n v="7012585454"/>
    <n v="3884530853"/>
    <x v="1"/>
    <n v="0"/>
    <x v="1"/>
  </r>
  <r>
    <x v="545"/>
    <x v="398"/>
    <x v="16"/>
    <s v="Sierra Leone"/>
    <s v="Algeria"/>
    <n v="2"/>
    <n v="2"/>
    <s v="FIFA World Cup qualification"/>
    <s v="Freetown"/>
    <s v="Sierra Leone"/>
    <b v="0"/>
    <n v="1980"/>
    <n v="1100685844"/>
    <n v="42345829079"/>
    <x v="0"/>
    <n v="0"/>
    <x v="1"/>
  </r>
  <r>
    <x v="546"/>
    <x v="399"/>
    <x v="16"/>
    <s v="Zambia"/>
    <s v="Ethiopia"/>
    <n v="4"/>
    <n v="0"/>
    <s v="FIFA World Cup qualification"/>
    <s v="Ndola"/>
    <s v="Zambia"/>
    <b v="0"/>
    <n v="1980"/>
    <n v="3884530853"/>
    <n v="7012585454"/>
    <x v="1"/>
    <n v="-1"/>
    <x v="0"/>
  </r>
  <r>
    <x v="547"/>
    <x v="400"/>
    <x v="16"/>
    <s v="Finland"/>
    <s v="Bulgaria"/>
    <n v="0"/>
    <n v="2"/>
    <s v="FIFA World Cup qualification"/>
    <s v="Helsinki"/>
    <s v="Finland"/>
    <b v="0"/>
    <n v="1980"/>
    <n v="53649984061"/>
    <n v="19839230769"/>
    <x v="0"/>
    <n v="-1"/>
    <x v="0"/>
  </r>
  <r>
    <x v="548"/>
    <x v="401"/>
    <x v="16"/>
    <s v="Algeria"/>
    <s v="Sierra Leone"/>
    <n v="3"/>
    <n v="1"/>
    <s v="FIFA World Cup qualification"/>
    <s v="Oran"/>
    <s v="Algeria"/>
    <b v="0"/>
    <n v="1980"/>
    <n v="42345829079"/>
    <n v="1100685844"/>
    <x v="0"/>
    <n v="1"/>
    <x v="2"/>
  </r>
  <r>
    <x v="549"/>
    <x v="402"/>
    <x v="16"/>
    <s v="Sweden"/>
    <s v="Israel"/>
    <n v="1"/>
    <n v="1"/>
    <s v="FIFA World Cup qualification"/>
    <s v="Solna"/>
    <s v="Sweden"/>
    <b v="0"/>
    <n v="1980"/>
    <n v="141886067003"/>
    <n v="25395256477"/>
    <x v="0"/>
    <n v="0"/>
    <x v="1"/>
  </r>
  <r>
    <x v="550"/>
    <x v="403"/>
    <x v="16"/>
    <s v="Guinea"/>
    <s v="Lesotho"/>
    <n v="3"/>
    <n v="1"/>
    <s v="FIFA World Cup qualification"/>
    <s v="Conakry"/>
    <s v="Guinea"/>
    <b v="0"/>
    <n v="1980"/>
    <n v="9746524915"/>
    <n v="431542536"/>
    <x v="0"/>
    <n v="1"/>
    <x v="2"/>
  </r>
  <r>
    <x v="551"/>
    <x v="403"/>
    <x v="16"/>
    <s v="Senegal"/>
    <s v="Morocco"/>
    <n v="0"/>
    <n v="1"/>
    <s v="FIFA World Cup qualification"/>
    <s v="Dakar"/>
    <s v="Senegal"/>
    <b v="0"/>
    <n v="1980"/>
    <n v="4510108290"/>
    <n v="21728516153"/>
    <x v="0"/>
    <n v="1"/>
    <x v="2"/>
  </r>
  <r>
    <x v="552"/>
    <x v="404"/>
    <x v="16"/>
    <s v="Cameroon"/>
    <s v="Malawi"/>
    <n v="3"/>
    <n v="0"/>
    <s v="FIFA World Cup qualification"/>
    <s v="Yaound√©"/>
    <s v="Cameroon"/>
    <b v="0"/>
    <n v="1980"/>
    <n v="6674569046"/>
    <n v="1801156774"/>
    <x v="0"/>
    <n v="1"/>
    <x v="2"/>
  </r>
  <r>
    <x v="553"/>
    <x v="404"/>
    <x v="16"/>
    <s v="Tunisia"/>
    <s v="Nigeria"/>
    <n v="2"/>
    <n v="0"/>
    <s v="FIFA World Cup qualification"/>
    <s v="Tunis"/>
    <s v="Tunisia"/>
    <b v="0"/>
    <n v="1980"/>
    <n v="8744134354"/>
    <n v="64201788122"/>
    <x v="0"/>
    <n v="-1"/>
    <x v="0"/>
  </r>
  <r>
    <x v="554"/>
    <x v="405"/>
    <x v="16"/>
    <s v="Kenya"/>
    <s v="Tanzania"/>
    <n v="3"/>
    <n v="1"/>
    <s v="FIFA World Cup qualification"/>
    <s v="Nairobi"/>
    <s v="Kenya"/>
    <b v="0"/>
    <n v="1980"/>
    <n v="7265315820"/>
    <n v="11409228086"/>
    <x v="1"/>
    <n v="-1"/>
    <x v="0"/>
  </r>
  <r>
    <x v="555"/>
    <x v="406"/>
    <x v="16"/>
    <s v="Lesotho"/>
    <s v="Guinea"/>
    <n v="1"/>
    <n v="1"/>
    <s v="FIFA World Cup qualification"/>
    <s v="Maseru"/>
    <s v="Lesotho"/>
    <b v="0"/>
    <n v="1980"/>
    <n v="431542536"/>
    <n v="9746524915"/>
    <x v="0"/>
    <n v="0"/>
    <x v="1"/>
  </r>
  <r>
    <x v="556"/>
    <x v="406"/>
    <x v="16"/>
    <s v="Morocco"/>
    <s v="Senegal"/>
    <n v="0"/>
    <n v="0"/>
    <s v="FIFA World Cup qualification"/>
    <s v="Casablanca"/>
    <s v="Morocco"/>
    <b v="0"/>
    <n v="1980"/>
    <n v="21728516153"/>
    <n v="4510108290"/>
    <x v="0"/>
    <n v="0"/>
    <x v="1"/>
  </r>
  <r>
    <x v="557"/>
    <x v="407"/>
    <x v="16"/>
    <s v="Nigeria"/>
    <s v="Tunisia"/>
    <n v="2"/>
    <n v="0"/>
    <s v="FIFA World Cup qualification"/>
    <s v="Lagos"/>
    <s v="Nigeria"/>
    <b v="0"/>
    <n v="1980"/>
    <n v="64201788122"/>
    <n v="8744134354"/>
    <x v="0"/>
    <n v="1"/>
    <x v="2"/>
  </r>
  <r>
    <x v="558"/>
    <x v="408"/>
    <x v="16"/>
    <s v="Tanzania"/>
    <s v="Kenya"/>
    <n v="5"/>
    <n v="0"/>
    <s v="FIFA World Cup qualification"/>
    <s v="Dar es Salaam"/>
    <s v="Tanzania"/>
    <b v="0"/>
    <n v="1980"/>
    <n v="11409228086"/>
    <n v="7265315820"/>
    <x v="1"/>
    <n v="1"/>
    <x v="2"/>
  </r>
  <r>
    <x v="559"/>
    <x v="409"/>
    <x v="16"/>
    <s v="Malawi"/>
    <s v="Cameroon"/>
    <n v="1"/>
    <n v="1"/>
    <s v="FIFA World Cup qualification"/>
    <s v="Blantyre"/>
    <s v="Malawi"/>
    <b v="0"/>
    <n v="1980"/>
    <n v="1801156774"/>
    <n v="6674569046"/>
    <x v="0"/>
    <n v="0"/>
    <x v="1"/>
  </r>
  <r>
    <x v="560"/>
    <x v="410"/>
    <x v="16"/>
    <s v="Albania"/>
    <s v="Finland"/>
    <n v="2"/>
    <n v="0"/>
    <s v="FIFA World Cup qualification"/>
    <s v="Tirana"/>
    <s v="Albania"/>
    <b v="0"/>
    <n v="1980"/>
    <n v="1578102105"/>
    <n v="53649984061"/>
    <x v="0"/>
    <n v="-1"/>
    <x v="0"/>
  </r>
  <r>
    <x v="561"/>
    <x v="411"/>
    <x v="16"/>
    <s v="England"/>
    <s v="Norway"/>
    <n v="4"/>
    <n v="0"/>
    <s v="FIFA World Cup qualification"/>
    <s v="London"/>
    <s v="England"/>
    <b v="0"/>
    <n v="1980"/>
    <n v="564947710899"/>
    <n v="64439382896"/>
    <x v="0"/>
    <n v="1"/>
    <x v="2"/>
  </r>
  <r>
    <x v="562"/>
    <x v="412"/>
    <x v="16"/>
    <s v="Finland"/>
    <s v="Austria"/>
    <n v="0"/>
    <n v="2"/>
    <s v="FIFA World Cup qualification"/>
    <s v="Helsinki"/>
    <s v="Finland"/>
    <b v="0"/>
    <n v="1980"/>
    <n v="53649984061"/>
    <n v="81737498404"/>
    <x v="1"/>
    <n v="1"/>
    <x v="2"/>
  </r>
  <r>
    <x v="563"/>
    <x v="413"/>
    <x v="16"/>
    <s v="Cyprus"/>
    <s v="France"/>
    <n v="0"/>
    <n v="7"/>
    <s v="FIFA World Cup qualification"/>
    <s v="Limassol"/>
    <s v="Cyprus"/>
    <b v="0"/>
    <n v="1980"/>
    <n v="2154311276"/>
    <n v="694529183483"/>
    <x v="0"/>
    <n v="1"/>
    <x v="2"/>
  </r>
  <r>
    <x v="564"/>
    <x v="413"/>
    <x v="16"/>
    <s v="Luxembourg"/>
    <s v="Italy"/>
    <n v="0"/>
    <n v="2"/>
    <s v="FIFA World Cup qualification"/>
    <s v="Luxembourg"/>
    <s v="Luxembourg"/>
    <b v="0"/>
    <n v="1980"/>
    <n v="6019805490"/>
    <n v="478356755595"/>
    <x v="0"/>
    <n v="1"/>
    <x v="2"/>
  </r>
  <r>
    <x v="565"/>
    <x v="414"/>
    <x v="16"/>
    <s v="Cameroon"/>
    <s v="Zimbabwe"/>
    <n v="2"/>
    <n v="0"/>
    <s v="FIFA World Cup qualification"/>
    <s v="Douala"/>
    <s v="Cameroon"/>
    <b v="0"/>
    <n v="1980"/>
    <n v="6674569046"/>
    <n v="6682278300"/>
    <x v="1"/>
    <n v="-1"/>
    <x v="0"/>
  </r>
  <r>
    <x v="566"/>
    <x v="415"/>
    <x v="16"/>
    <s v="Denmark"/>
    <s v="Greece"/>
    <n v="0"/>
    <n v="1"/>
    <s v="FIFA World Cup qualification"/>
    <s v="Copenhagen"/>
    <s v="Denmark"/>
    <b v="0"/>
    <n v="1980"/>
    <n v="70811287815"/>
    <n v="56039256594"/>
    <x v="1"/>
    <n v="-1"/>
    <x v="0"/>
  </r>
  <r>
    <x v="567"/>
    <x v="416"/>
    <x v="16"/>
    <s v="Bulgaria"/>
    <s v="Albania"/>
    <n v="2"/>
    <n v="1"/>
    <s v="FIFA World Cup qualification"/>
    <s v="Sofia"/>
    <s v="Bulgaria"/>
    <b v="0"/>
    <n v="1980"/>
    <n v="19839230769"/>
    <n v="1578102105"/>
    <x v="0"/>
    <n v="1"/>
    <x v="2"/>
  </r>
  <r>
    <x v="568"/>
    <x v="417"/>
    <x v="16"/>
    <s v="Switzerland"/>
    <s v="Norway"/>
    <n v="1"/>
    <n v="2"/>
    <s v="FIFA World Cup qualification"/>
    <s v="Bern"/>
    <s v="Switzerland"/>
    <b v="0"/>
    <n v="1980"/>
    <n v="122557843886"/>
    <n v="64439382896"/>
    <x v="1"/>
    <n v="-1"/>
    <x v="0"/>
  </r>
  <r>
    <x v="569"/>
    <x v="418"/>
    <x v="16"/>
    <s v="Italy"/>
    <s v="Denmark"/>
    <n v="2"/>
    <n v="0"/>
    <s v="FIFA World Cup qualification"/>
    <s v="Rome"/>
    <s v="Italy"/>
    <b v="0"/>
    <n v="1980"/>
    <n v="478356755595"/>
    <n v="70811287815"/>
    <x v="0"/>
    <n v="1"/>
    <x v="2"/>
  </r>
  <r>
    <x v="570"/>
    <x v="419"/>
    <x v="16"/>
    <s v="Israel"/>
    <s v="Sweden"/>
    <n v="0"/>
    <n v="0"/>
    <s v="FIFA World Cup qualification"/>
    <s v="Ramat Gan"/>
    <s v="Israel"/>
    <b v="0"/>
    <n v="1980"/>
    <n v="25395256477"/>
    <n v="141886067003"/>
    <x v="0"/>
    <n v="0"/>
    <x v="1"/>
  </r>
  <r>
    <x v="571"/>
    <x v="420"/>
    <x v="16"/>
    <s v="Austria"/>
    <s v="Albania"/>
    <n v="5"/>
    <n v="0"/>
    <s v="FIFA World Cup qualification"/>
    <s v="Vienna"/>
    <s v="Austria"/>
    <b v="0"/>
    <n v="1980"/>
    <n v="81737498404"/>
    <n v="1578102105"/>
    <x v="0"/>
    <n v="1"/>
    <x v="2"/>
  </r>
  <r>
    <x v="572"/>
    <x v="421"/>
    <x v="16"/>
    <s v="Morocco"/>
    <s v="Zambia"/>
    <n v="2"/>
    <n v="0"/>
    <s v="FIFA World Cup qualification"/>
    <s v="Fez"/>
    <s v="Morocco"/>
    <b v="0"/>
    <n v="1980"/>
    <n v="21728516153"/>
    <n v="3884530853"/>
    <x v="0"/>
    <n v="1"/>
    <x v="2"/>
  </r>
  <r>
    <x v="573"/>
    <x v="421"/>
    <x v="16"/>
    <s v="Zimbabwe"/>
    <s v="Cameroon"/>
    <n v="1"/>
    <n v="0"/>
    <s v="FIFA World Cup qualification"/>
    <s v="Harare"/>
    <s v="Zimbabwe"/>
    <b v="0"/>
    <n v="1980"/>
    <n v="6682278300"/>
    <n v="6674569046"/>
    <x v="1"/>
    <n v="1"/>
    <x v="2"/>
  </r>
  <r>
    <x v="574"/>
    <x v="422"/>
    <x v="16"/>
    <s v="Belgium"/>
    <s v="Netherlands"/>
    <n v="1"/>
    <n v="0"/>
    <s v="FIFA World Cup qualification"/>
    <s v="Brussels"/>
    <s v="Belgium"/>
    <b v="0"/>
    <n v="1980"/>
    <n v="126829314388"/>
    <n v="195439301706"/>
    <x v="1"/>
    <n v="-1"/>
    <x v="0"/>
  </r>
  <r>
    <x v="575"/>
    <x v="422"/>
    <x v="16"/>
    <s v="Denmark"/>
    <s v="Luxembourg"/>
    <n v="4"/>
    <n v="0"/>
    <s v="FIFA World Cup qualification"/>
    <s v="Copenhagen"/>
    <s v="Denmark"/>
    <b v="0"/>
    <n v="1980"/>
    <n v="70811287815"/>
    <n v="6019805490"/>
    <x v="0"/>
    <n v="1"/>
    <x v="2"/>
  </r>
  <r>
    <x v="576"/>
    <x v="422"/>
    <x v="16"/>
    <s v="England"/>
    <s v="Switzerland"/>
    <n v="2"/>
    <n v="1"/>
    <s v="FIFA World Cup qualification"/>
    <s v="London"/>
    <s v="England"/>
    <b v="0"/>
    <n v="1980"/>
    <n v="564947710899"/>
    <n v="122557843886"/>
    <x v="0"/>
    <n v="1"/>
    <x v="2"/>
  </r>
  <r>
    <x v="577"/>
    <x v="423"/>
    <x v="16"/>
    <s v="Zambia"/>
    <s v="Morocco"/>
    <n v="2"/>
    <n v="0"/>
    <s v="FIFA World Cup qualification"/>
    <s v="Lusaka"/>
    <s v="Zambia"/>
    <b v="0"/>
    <n v="1980"/>
    <n v="3884530853"/>
    <n v="21728516153"/>
    <x v="0"/>
    <n v="-1"/>
    <x v="0"/>
  </r>
  <r>
    <x v="578"/>
    <x v="424"/>
    <x v="16"/>
    <s v="Bulgaria"/>
    <s v="Germany"/>
    <n v="1"/>
    <n v="3"/>
    <s v="FIFA World Cup qualification"/>
    <s v="Sofia"/>
    <s v="Bulgaria"/>
    <b v="0"/>
    <n v="1980"/>
    <n v="19839230769"/>
    <n v="953772499462"/>
    <x v="0"/>
    <n v="1"/>
    <x v="2"/>
  </r>
  <r>
    <x v="579"/>
    <x v="425"/>
    <x v="16"/>
    <s v="Albania"/>
    <s v="Austria"/>
    <n v="0"/>
    <n v="1"/>
    <s v="FIFA World Cup qualification"/>
    <s v="Tirana"/>
    <s v="Albania"/>
    <b v="0"/>
    <n v="1980"/>
    <n v="1578102105"/>
    <n v="81737498404"/>
    <x v="0"/>
    <n v="1"/>
    <x v="2"/>
  </r>
  <r>
    <x v="580"/>
    <x v="425"/>
    <x v="16"/>
    <s v="Greece"/>
    <s v="Italy"/>
    <n v="0"/>
    <n v="2"/>
    <s v="FIFA World Cup qualification"/>
    <s v="Athens"/>
    <s v="Greece"/>
    <b v="0"/>
    <n v="1980"/>
    <n v="56039256594"/>
    <n v="478356755595"/>
    <x v="0"/>
    <n v="1"/>
    <x v="2"/>
  </r>
  <r>
    <x v="581"/>
    <x v="425"/>
    <x v="16"/>
    <s v="Nigeria"/>
    <s v="Tanzania"/>
    <n v="1"/>
    <n v="1"/>
    <s v="FIFA World Cup qualification"/>
    <s v="Lagos"/>
    <s v="Nigeria"/>
    <b v="0"/>
    <n v="1980"/>
    <n v="64201788122"/>
    <n v="11409228086"/>
    <x v="0"/>
    <n v="0"/>
    <x v="1"/>
  </r>
  <r>
    <x v="582"/>
    <x v="426"/>
    <x v="16"/>
    <s v="Liberia"/>
    <s v="Guinea"/>
    <n v="0"/>
    <n v="0"/>
    <s v="FIFA World Cup qualification"/>
    <s v="Monrovia"/>
    <s v="Liberia"/>
    <b v="0"/>
    <n v="1980"/>
    <n v="854711500"/>
    <n v="9746524915"/>
    <x v="0"/>
    <n v="0"/>
    <x v="1"/>
  </r>
  <r>
    <x v="583"/>
    <x v="427"/>
    <x v="16"/>
    <s v="Algeria"/>
    <s v="Sudan"/>
    <n v="2"/>
    <n v="0"/>
    <s v="FIFA World Cup qualification"/>
    <s v="Constantine"/>
    <s v="Algeria"/>
    <b v="0"/>
    <n v="1980"/>
    <n v="42345829079"/>
    <n v="8951800000"/>
    <x v="0"/>
    <n v="1"/>
    <x v="2"/>
  </r>
  <r>
    <x v="584"/>
    <x v="428"/>
    <x v="16"/>
    <s v="Niger"/>
    <s v="Togo"/>
    <n v="0"/>
    <n v="1"/>
    <s v="FIFA World Cup qualification"/>
    <s v="Niamey"/>
    <s v="Niger"/>
    <b v="0"/>
    <n v="1980"/>
    <n v="2508524720"/>
    <n v="1604836915"/>
    <x v="1"/>
    <n v="-1"/>
    <x v="0"/>
  </r>
  <r>
    <x v="585"/>
    <x v="429"/>
    <x v="16"/>
    <s v="Portugal"/>
    <s v="Israel"/>
    <n v="3"/>
    <n v="0"/>
    <s v="FIFA World Cup qualification"/>
    <s v="Lisbon"/>
    <s v="Portugal"/>
    <b v="0"/>
    <n v="1980"/>
    <n v="32896519823"/>
    <n v="25395256477"/>
    <x v="1"/>
    <n v="1"/>
    <x v="2"/>
  </r>
  <r>
    <x v="586"/>
    <x v="430"/>
    <x v="16"/>
    <s v="Tanzania"/>
    <s v="Nigeria"/>
    <n v="0"/>
    <n v="2"/>
    <s v="FIFA World Cup qualification"/>
    <s v="Dar es Salaam"/>
    <s v="Tanzania"/>
    <b v="0"/>
    <n v="1980"/>
    <n v="11409228086"/>
    <n v="64201788122"/>
    <x v="0"/>
    <n v="1"/>
    <x v="2"/>
  </r>
  <r>
    <x v="587"/>
    <x v="431"/>
    <x v="16"/>
    <s v="Cyprus"/>
    <s v="Belgium"/>
    <n v="0"/>
    <n v="2"/>
    <s v="FIFA World Cup qualification"/>
    <s v="Nicosia"/>
    <s v="Cyprus"/>
    <b v="0"/>
    <n v="1980"/>
    <n v="2154311276"/>
    <n v="126829314388"/>
    <x v="0"/>
    <n v="1"/>
    <x v="2"/>
  </r>
  <r>
    <x v="588"/>
    <x v="431"/>
    <x v="16"/>
    <s v="Guinea"/>
    <s v="Liberia"/>
    <n v="1"/>
    <n v="0"/>
    <s v="FIFA World Cup qualification"/>
    <s v="Conakry"/>
    <s v="Guinea"/>
    <b v="0"/>
    <n v="1980"/>
    <n v="9746524915"/>
    <n v="854711500"/>
    <x v="0"/>
    <n v="1"/>
    <x v="2"/>
  </r>
  <r>
    <x v="589"/>
    <x v="432"/>
    <x v="16"/>
    <s v="Singapore"/>
    <s v="Japan"/>
    <n v="0"/>
    <n v="1"/>
    <s v="FIFA World Cup qualification"/>
    <s v="So Kon Po"/>
    <s v="Hong Kong"/>
    <b v="1"/>
    <n v="1980"/>
    <n v="11896256782"/>
    <n v="1129377244854"/>
    <x v="0"/>
    <n v="1"/>
    <x v="2"/>
  </r>
  <r>
    <x v="590"/>
    <x v="433"/>
    <x v="16"/>
    <s v="Sudan"/>
    <s v="Algeria"/>
    <n v="1"/>
    <n v="1"/>
    <s v="FIFA World Cup qualification"/>
    <s v="Khartoum"/>
    <s v="Sudan"/>
    <b v="0"/>
    <n v="1980"/>
    <n v="8951800000"/>
    <n v="42345829079"/>
    <x v="0"/>
    <n v="0"/>
    <x v="1"/>
  </r>
  <r>
    <x v="591"/>
    <x v="433"/>
    <x v="16"/>
    <s v="Togo"/>
    <s v="Niger"/>
    <n v="1"/>
    <n v="2"/>
    <s v="FIFA World Cup qualification"/>
    <s v="Lom√©"/>
    <s v="Togo"/>
    <b v="0"/>
    <n v="1980"/>
    <n v="1604836915"/>
    <n v="2508524720"/>
    <x v="1"/>
    <n v="1"/>
    <x v="2"/>
  </r>
  <r>
    <x v="592"/>
    <x v="434"/>
    <x v="17"/>
    <s v="Greece"/>
    <s v="Luxembourg"/>
    <n v="2"/>
    <n v="0"/>
    <s v="FIFA World Cup qualification"/>
    <s v="Salonica"/>
    <s v="Greece"/>
    <b v="0"/>
    <n v="1981"/>
    <n v="51618456334"/>
    <n v="5053665797"/>
    <x v="0"/>
    <n v="1"/>
    <x v="2"/>
  </r>
  <r>
    <x v="593"/>
    <x v="435"/>
    <x v="17"/>
    <s v="Venezuela"/>
    <s v="Brazil"/>
    <n v="0"/>
    <n v="1"/>
    <s v="FIFA World Cup qualification"/>
    <s v="Caracas"/>
    <s v="Venezuela"/>
    <b v="0"/>
    <n v="1981"/>
    <n v="66327441860"/>
    <n v="258015174748"/>
    <x v="0"/>
    <n v="1"/>
    <x v="2"/>
  </r>
  <r>
    <x v="594"/>
    <x v="436"/>
    <x v="17"/>
    <s v="Bolivia"/>
    <s v="Venezuela"/>
    <n v="3"/>
    <n v="0"/>
    <s v="FIFA World Cup qualification"/>
    <s v="La Paz"/>
    <s v="Bolivia"/>
    <b v="0"/>
    <n v="1981"/>
    <n v="5891598694"/>
    <n v="66327441860"/>
    <x v="0"/>
    <n v="-1"/>
    <x v="0"/>
  </r>
  <r>
    <x v="595"/>
    <x v="437"/>
    <x v="17"/>
    <s v="Belgium"/>
    <s v="Cyprus"/>
    <n v="3"/>
    <n v="2"/>
    <s v="FIFA World Cup qualification"/>
    <s v="Brussels"/>
    <s v="Belgium"/>
    <b v="0"/>
    <n v="1981"/>
    <n v="104730018470"/>
    <n v="2087496373"/>
    <x v="0"/>
    <n v="1"/>
    <x v="2"/>
  </r>
  <r>
    <x v="596"/>
    <x v="438"/>
    <x v="17"/>
    <s v="Bolivia"/>
    <s v="Brazil"/>
    <n v="1"/>
    <n v="2"/>
    <s v="FIFA World Cup qualification"/>
    <s v="La Paz"/>
    <s v="Bolivia"/>
    <b v="0"/>
    <n v="1981"/>
    <n v="5891598694"/>
    <n v="258015174748"/>
    <x v="0"/>
    <n v="1"/>
    <x v="2"/>
  </r>
  <r>
    <x v="597"/>
    <x v="438"/>
    <x v="17"/>
    <s v="Netherlands"/>
    <s v="Cyprus"/>
    <n v="3"/>
    <n v="0"/>
    <s v="FIFA World Cup qualification"/>
    <s v="Groningen"/>
    <s v="Netherlands"/>
    <b v="0"/>
    <n v="1981"/>
    <n v="164375775854"/>
    <n v="2087496373"/>
    <x v="0"/>
    <n v="1"/>
    <x v="2"/>
  </r>
  <r>
    <x v="598"/>
    <x v="439"/>
    <x v="17"/>
    <s v="Luxembourg"/>
    <s v="Greece"/>
    <n v="0"/>
    <n v="2"/>
    <s v="FIFA World Cup qualification"/>
    <s v="Luxembourg"/>
    <s v="Luxembourg"/>
    <b v="0"/>
    <n v="1981"/>
    <n v="5053665797"/>
    <n v="51618456334"/>
    <x v="0"/>
    <n v="1"/>
    <x v="2"/>
  </r>
  <r>
    <x v="599"/>
    <x v="440"/>
    <x v="17"/>
    <s v="Venezuela"/>
    <s v="Bolivia"/>
    <n v="1"/>
    <n v="0"/>
    <s v="FIFA World Cup qualification"/>
    <s v="Caracas"/>
    <s v="Venezuela"/>
    <b v="0"/>
    <n v="1981"/>
    <n v="66327441860"/>
    <n v="5891598694"/>
    <x v="0"/>
    <n v="1"/>
    <x v="2"/>
  </r>
  <r>
    <x v="600"/>
    <x v="441"/>
    <x v="17"/>
    <s v="Qatar"/>
    <s v="Iraq"/>
    <n v="0"/>
    <n v="1"/>
    <s v="FIFA World Cup qualification"/>
    <s v="Riyadh"/>
    <s v="Saudi Arabia"/>
    <b v="1"/>
    <n v="1981"/>
    <n v="8661263763"/>
    <n v="37823000000"/>
    <x v="0"/>
    <n v="1"/>
    <x v="2"/>
  </r>
  <r>
    <x v="601"/>
    <x v="442"/>
    <x v="17"/>
    <s v="Syria"/>
    <s v="Bahrain"/>
    <n v="0"/>
    <n v="1"/>
    <s v="FIFA World Cup qualification"/>
    <s v="Riyadh"/>
    <s v="Saudi Arabia"/>
    <b v="1"/>
    <n v="1981"/>
    <n v="15518201335"/>
    <n v="3943109531"/>
    <x v="0"/>
    <n v="-1"/>
    <x v="0"/>
  </r>
  <r>
    <x v="602"/>
    <x v="443"/>
    <x v="17"/>
    <s v="Saudi Arabia"/>
    <s v="Iraq"/>
    <n v="1"/>
    <n v="0"/>
    <s v="FIFA World Cup qualification"/>
    <s v="Riyadh"/>
    <s v="Saudi Arabia"/>
    <b v="0"/>
    <n v="1981"/>
    <n v="184291360138"/>
    <n v="37823000000"/>
    <x v="0"/>
    <n v="1"/>
    <x v="2"/>
  </r>
  <r>
    <x v="603"/>
    <x v="444"/>
    <x v="17"/>
    <s v="Brazil"/>
    <s v="Bolivia"/>
    <n v="3"/>
    <n v="1"/>
    <s v="FIFA World Cup qualification"/>
    <s v="Rio de Janeiro"/>
    <s v="Brazil"/>
    <b v="0"/>
    <n v="1981"/>
    <n v="258015174748"/>
    <n v="5891598694"/>
    <x v="0"/>
    <n v="1"/>
    <x v="2"/>
  </r>
  <r>
    <x v="604"/>
    <x v="444"/>
    <x v="17"/>
    <s v="Qatar"/>
    <s v="Bahrain"/>
    <n v="3"/>
    <n v="0"/>
    <s v="FIFA World Cup qualification"/>
    <s v="Riyadh"/>
    <s v="Saudi Arabia"/>
    <b v="1"/>
    <n v="1981"/>
    <n v="8661263763"/>
    <n v="3943109531"/>
    <x v="0"/>
    <n v="1"/>
    <x v="2"/>
  </r>
  <r>
    <x v="605"/>
    <x v="445"/>
    <x v="17"/>
    <s v="Saudi Arabia"/>
    <s v="Syria"/>
    <n v="2"/>
    <n v="0"/>
    <s v="FIFA World Cup qualification"/>
    <s v="Riyadh"/>
    <s v="Saudi Arabia"/>
    <b v="0"/>
    <n v="1981"/>
    <n v="184291360138"/>
    <n v="15518201335"/>
    <x v="0"/>
    <n v="1"/>
    <x v="2"/>
  </r>
  <r>
    <x v="606"/>
    <x v="446"/>
    <x v="17"/>
    <s v="Iraq"/>
    <s v="Bahrain"/>
    <n v="2"/>
    <n v="0"/>
    <s v="FIFA World Cup qualification"/>
    <s v="Riyadh"/>
    <s v="Saudi Arabia"/>
    <b v="1"/>
    <n v="1981"/>
    <n v="37823000000"/>
    <n v="3943109531"/>
    <x v="0"/>
    <n v="1"/>
    <x v="2"/>
  </r>
  <r>
    <x v="607"/>
    <x v="446"/>
    <x v="17"/>
    <s v="Netherlands"/>
    <s v="France"/>
    <n v="1"/>
    <n v="0"/>
    <s v="FIFA World Cup qualification"/>
    <s v="Rotterdam"/>
    <s v="Netherlands"/>
    <b v="0"/>
    <n v="1981"/>
    <n v="164375775854"/>
    <n v="609184791792"/>
    <x v="0"/>
    <n v="-1"/>
    <x v="0"/>
  </r>
  <r>
    <x v="608"/>
    <x v="447"/>
    <x v="17"/>
    <s v="Qatar"/>
    <s v="Syria"/>
    <n v="2"/>
    <n v="1"/>
    <s v="FIFA World Cup qualification"/>
    <s v="Riyadh"/>
    <s v="Saudi Arabia"/>
    <b v="1"/>
    <n v="1981"/>
    <n v="8661263763"/>
    <n v="15518201335"/>
    <x v="1"/>
    <n v="-1"/>
    <x v="0"/>
  </r>
  <r>
    <x v="609"/>
    <x v="448"/>
    <x v="17"/>
    <s v="Saudi Arabia"/>
    <s v="Bahrain"/>
    <n v="1"/>
    <n v="0"/>
    <s v="FIFA World Cup qualification"/>
    <s v="Riyadh"/>
    <s v="Saudi Arabia"/>
    <b v="0"/>
    <n v="1981"/>
    <n v="184291360138"/>
    <n v="3943109531"/>
    <x v="0"/>
    <n v="1"/>
    <x v="2"/>
  </r>
  <r>
    <x v="610"/>
    <x v="449"/>
    <x v="17"/>
    <s v="Brazil"/>
    <s v="Venezuela"/>
    <n v="5"/>
    <n v="0"/>
    <s v="FIFA World Cup qualification"/>
    <s v="Goi√¢nia"/>
    <s v="Brazil"/>
    <b v="0"/>
    <n v="1981"/>
    <n v="258015174748"/>
    <n v="66327441860"/>
    <x v="0"/>
    <n v="1"/>
    <x v="2"/>
  </r>
  <r>
    <x v="611"/>
    <x v="450"/>
    <x v="17"/>
    <s v="Iraq"/>
    <s v="Syria"/>
    <n v="2"/>
    <n v="1"/>
    <s v="FIFA World Cup qualification"/>
    <s v="Riyadh"/>
    <s v="Saudi Arabia"/>
    <b v="1"/>
    <n v="1981"/>
    <n v="37823000000"/>
    <n v="15518201335"/>
    <x v="0"/>
    <n v="1"/>
    <x v="2"/>
  </r>
  <r>
    <x v="612"/>
    <x v="451"/>
    <x v="17"/>
    <s v="Saudi Arabia"/>
    <s v="Qatar"/>
    <n v="1"/>
    <n v="0"/>
    <s v="FIFA World Cup qualification"/>
    <s v="Riyadh"/>
    <s v="Saudi Arabia"/>
    <b v="0"/>
    <n v="1981"/>
    <n v="184291360138"/>
    <n v="8661263763"/>
    <x v="0"/>
    <n v="1"/>
    <x v="2"/>
  </r>
  <r>
    <x v="613"/>
    <x v="452"/>
    <x v="17"/>
    <s v="Albania"/>
    <s v="Germany"/>
    <n v="0"/>
    <n v="2"/>
    <s v="FIFA World Cup qualification"/>
    <s v="Tirana"/>
    <s v="Albania"/>
    <b v="0"/>
    <n v="1981"/>
    <n v="1808177156"/>
    <n v="803404797057"/>
    <x v="0"/>
    <n v="1"/>
    <x v="2"/>
  </r>
  <r>
    <x v="614"/>
    <x v="453"/>
    <x v="17"/>
    <s v="Guinea"/>
    <s v="Nigeria"/>
    <n v="1"/>
    <n v="1"/>
    <s v="FIFA World Cup qualification"/>
    <s v="Conakry"/>
    <s v="Guinea"/>
    <b v="0"/>
    <n v="1981"/>
    <n v="9646440666"/>
    <n v="164475209515"/>
    <x v="0"/>
    <n v="0"/>
    <x v="1"/>
  </r>
  <r>
    <x v="615"/>
    <x v="454"/>
    <x v="17"/>
    <s v="Nigeria"/>
    <s v="Guinea"/>
    <n v="1"/>
    <n v="0"/>
    <s v="FIFA World Cup qualification"/>
    <s v="Lagos"/>
    <s v="Nigeria"/>
    <b v="0"/>
    <n v="1981"/>
    <n v="164475209515"/>
    <n v="9646440666"/>
    <x v="0"/>
    <n v="1"/>
    <x v="2"/>
  </r>
  <r>
    <x v="616"/>
    <x v="455"/>
    <x v="17"/>
    <s v="South Korea"/>
    <s v="Malaysia"/>
    <n v="2"/>
    <n v="1"/>
    <s v="FIFA World Cup qualification"/>
    <s v="Kuwait City"/>
    <s v="Kuwait"/>
    <b v="1"/>
    <n v="1981"/>
    <n v="74287368087"/>
    <n v="25004285791"/>
    <x v="0"/>
    <n v="1"/>
    <x v="2"/>
  </r>
  <r>
    <x v="617"/>
    <x v="456"/>
    <x v="17"/>
    <s v="Kuwait"/>
    <s v="Thailand"/>
    <n v="6"/>
    <n v="0"/>
    <s v="FIFA World Cup qualification"/>
    <s v="Kuwait City"/>
    <s v="Kuwait"/>
    <b v="0"/>
    <n v="1981"/>
    <n v="25058020338"/>
    <n v="34846039193"/>
    <x v="1"/>
    <n v="-1"/>
    <x v="0"/>
  </r>
  <r>
    <x v="618"/>
    <x v="457"/>
    <x v="17"/>
    <s v="South Korea"/>
    <s v="Thailand"/>
    <n v="5"/>
    <n v="1"/>
    <s v="FIFA World Cup qualification"/>
    <s v="Kuwait City"/>
    <s v="Kuwait"/>
    <b v="1"/>
    <n v="1981"/>
    <n v="74287368087"/>
    <n v="34846039193"/>
    <x v="0"/>
    <n v="1"/>
    <x v="2"/>
  </r>
  <r>
    <x v="619"/>
    <x v="458"/>
    <x v="17"/>
    <s v="Kuwait"/>
    <s v="Malaysia"/>
    <n v="4"/>
    <n v="0"/>
    <s v="FIFA World Cup qualification"/>
    <s v="Kuwait City"/>
    <s v="Kuwait"/>
    <b v="0"/>
    <n v="1981"/>
    <n v="25058020338"/>
    <n v="25004285791"/>
    <x v="1"/>
    <n v="1"/>
    <x v="2"/>
  </r>
  <r>
    <x v="620"/>
    <x v="458"/>
    <x v="17"/>
    <s v="New Zealand"/>
    <s v="Australia"/>
    <n v="3"/>
    <n v="3"/>
    <s v="FIFA World Cup qualification"/>
    <s v="Auckland"/>
    <s v="New Zealand"/>
    <b v="0"/>
    <n v="1981"/>
    <n v="24417617184"/>
    <n v="177151979565"/>
    <x v="0"/>
    <n v="0"/>
    <x v="1"/>
  </r>
  <r>
    <x v="621"/>
    <x v="459"/>
    <x v="17"/>
    <s v="Morocco"/>
    <s v="Egypt"/>
    <n v="1"/>
    <n v="0"/>
    <s v="FIFA World Cup qualification"/>
    <s v="Casablanca"/>
    <s v="Morocco"/>
    <b v="0"/>
    <n v="1981"/>
    <n v="17788185478"/>
    <n v="22136081081"/>
    <x v="1"/>
    <n v="-1"/>
    <x v="0"/>
  </r>
  <r>
    <x v="622"/>
    <x v="460"/>
    <x v="17"/>
    <s v="Malaysia"/>
    <s v="Thailand"/>
    <n v="2"/>
    <n v="2"/>
    <s v="FIFA World Cup qualification"/>
    <s v="Kuwait City"/>
    <s v="Kuwait"/>
    <b v="1"/>
    <n v="1981"/>
    <n v="25004285791"/>
    <n v="34846039193"/>
    <x v="1"/>
    <n v="0"/>
    <x v="1"/>
  </r>
  <r>
    <x v="623"/>
    <x v="461"/>
    <x v="17"/>
    <s v="Switzerland"/>
    <s v="Hungary"/>
    <n v="2"/>
    <n v="2"/>
    <s v="FIFA World Cup qualification"/>
    <s v="Lucerne"/>
    <s v="Switzerland"/>
    <b v="0"/>
    <n v="1981"/>
    <n v="112244805518"/>
    <n v="23705883891"/>
    <x v="0"/>
    <n v="0"/>
    <x v="1"/>
  </r>
  <r>
    <x v="624"/>
    <x v="462"/>
    <x v="17"/>
    <s v="Cyprus"/>
    <s v="Netherlands"/>
    <n v="0"/>
    <n v="1"/>
    <s v="FIFA World Cup qualification"/>
    <s v="Nicosia"/>
    <s v="Cyprus"/>
    <b v="0"/>
    <n v="1981"/>
    <n v="2087496373"/>
    <n v="164375775854"/>
    <x v="0"/>
    <n v="1"/>
    <x v="2"/>
  </r>
  <r>
    <x v="625"/>
    <x v="462"/>
    <x v="17"/>
    <s v="France"/>
    <s v="Belgium"/>
    <n v="3"/>
    <n v="2"/>
    <s v="FIFA World Cup qualification"/>
    <s v="Paris"/>
    <s v="France"/>
    <b v="0"/>
    <n v="1981"/>
    <n v="609184791792"/>
    <n v="104730018470"/>
    <x v="0"/>
    <n v="1"/>
    <x v="2"/>
  </r>
  <r>
    <x v="626"/>
    <x v="462"/>
    <x v="17"/>
    <s v="Germany"/>
    <s v="Austria"/>
    <n v="2"/>
    <n v="0"/>
    <s v="FIFA World Cup qualification"/>
    <s v="Hamburg"/>
    <s v="Germany"/>
    <b v="0"/>
    <n v="1981"/>
    <n v="803404797057"/>
    <n v="70755997062"/>
    <x v="0"/>
    <n v="1"/>
    <x v="2"/>
  </r>
  <r>
    <x v="627"/>
    <x v="462"/>
    <x v="17"/>
    <s v="Kuwait"/>
    <s v="South Korea"/>
    <n v="2"/>
    <n v="0"/>
    <s v="FIFA World Cup qualification"/>
    <s v="Kuwait City"/>
    <s v="Kuwait"/>
    <b v="0"/>
    <n v="1981"/>
    <n v="25058020338"/>
    <n v="74287368087"/>
    <x v="0"/>
    <n v="-1"/>
    <x v="0"/>
  </r>
  <r>
    <x v="628"/>
    <x v="463"/>
    <x v="17"/>
    <s v="Algeria"/>
    <s v="Niger"/>
    <n v="4"/>
    <n v="0"/>
    <s v="FIFA World Cup qualification"/>
    <s v="Constantine"/>
    <s v="Algeria"/>
    <b v="0"/>
    <n v="1981"/>
    <n v="44348590460"/>
    <n v="2170893414"/>
    <x v="0"/>
    <n v="1"/>
    <x v="2"/>
  </r>
  <r>
    <x v="629"/>
    <x v="463"/>
    <x v="17"/>
    <s v="Luxembourg"/>
    <s v="Denmark"/>
    <n v="1"/>
    <n v="2"/>
    <s v="FIFA World Cup qualification"/>
    <s v="Luxembourg"/>
    <s v="Luxembourg"/>
    <b v="0"/>
    <n v="1981"/>
    <n v="5053665797"/>
    <n v="61459941460"/>
    <x v="0"/>
    <n v="1"/>
    <x v="2"/>
  </r>
  <r>
    <x v="630"/>
    <x v="464"/>
    <x v="17"/>
    <s v="Fiji"/>
    <s v="New Zealand"/>
    <n v="0"/>
    <n v="4"/>
    <s v="FIFA World Cup qualification"/>
    <s v="Suva"/>
    <s v="Fiji"/>
    <b v="0"/>
    <n v="1981"/>
    <n v="1235626770"/>
    <n v="24417617184"/>
    <x v="0"/>
    <n v="1"/>
    <x v="2"/>
  </r>
  <r>
    <x v="631"/>
    <x v="465"/>
    <x v="17"/>
    <s v="Egypt"/>
    <s v="Morocco"/>
    <n v="0"/>
    <n v="0"/>
    <s v="FIFA World Cup qualification"/>
    <s v="Cairo"/>
    <s v="Egypt"/>
    <b v="0"/>
    <n v="1981"/>
    <n v="22136081081"/>
    <n v="17788185478"/>
    <x v="1"/>
    <n v="0"/>
    <x v="1"/>
  </r>
  <r>
    <x v="632"/>
    <x v="466"/>
    <x v="17"/>
    <s v="Indonesia"/>
    <s v="New Zealand"/>
    <n v="0"/>
    <n v="2"/>
    <s v="FIFA World Cup qualification"/>
    <s v="Jakarta"/>
    <s v="Indonesia"/>
    <b v="0"/>
    <n v="1981"/>
    <n v="85518233419"/>
    <n v="24417617184"/>
    <x v="0"/>
    <n v="-1"/>
    <x v="0"/>
  </r>
  <r>
    <x v="633"/>
    <x v="467"/>
    <x v="17"/>
    <s v="Bulgaria"/>
    <s v="Finland"/>
    <n v="4"/>
    <n v="0"/>
    <s v="FIFA World Cup qualification"/>
    <s v="Sofia"/>
    <s v="Bulgaria"/>
    <b v="0"/>
    <n v="1981"/>
    <n v="19870000000"/>
    <n v="52440066133"/>
    <x v="0"/>
    <n v="-1"/>
    <x v="0"/>
  </r>
  <r>
    <x v="634"/>
    <x v="468"/>
    <x v="17"/>
    <s v="Australia"/>
    <s v="New Zealand"/>
    <n v="0"/>
    <n v="2"/>
    <s v="FIFA World Cup qualification"/>
    <s v="Sydney"/>
    <s v="Australia"/>
    <b v="0"/>
    <n v="1981"/>
    <n v="177151979565"/>
    <n v="24417617184"/>
    <x v="0"/>
    <n v="-1"/>
    <x v="0"/>
  </r>
  <r>
    <x v="635"/>
    <x v="469"/>
    <x v="17"/>
    <s v="Ecuador"/>
    <s v="Paraguay"/>
    <n v="1"/>
    <n v="0"/>
    <s v="FIFA World Cup qualification"/>
    <s v="Guayaquil"/>
    <s v="Ecuador"/>
    <b v="0"/>
    <n v="1981"/>
    <n v="21810759353"/>
    <n v="5624515873"/>
    <x v="0"/>
    <n v="1"/>
    <x v="2"/>
  </r>
  <r>
    <x v="636"/>
    <x v="470"/>
    <x v="17"/>
    <s v="Australia"/>
    <s v="Indonesia"/>
    <n v="2"/>
    <n v="0"/>
    <s v="FIFA World Cup qualification"/>
    <s v="Melbourne"/>
    <s v="Australia"/>
    <b v="0"/>
    <n v="1981"/>
    <n v="177151979565"/>
    <n v="85518233419"/>
    <x v="0"/>
    <n v="1"/>
    <x v="2"/>
  </r>
  <r>
    <x v="637"/>
    <x v="470"/>
    <x v="17"/>
    <s v="Norway"/>
    <s v="Hungary"/>
    <n v="1"/>
    <n v="2"/>
    <s v="FIFA World Cup qualification"/>
    <s v="Oslo"/>
    <s v="Norway"/>
    <b v="0"/>
    <n v="1981"/>
    <n v="63596654760"/>
    <n v="23705883891"/>
    <x v="0"/>
    <n v="-1"/>
    <x v="0"/>
  </r>
  <r>
    <x v="638"/>
    <x v="471"/>
    <x v="17"/>
    <s v="New Zealand"/>
    <s v="Indonesia"/>
    <n v="5"/>
    <n v="0"/>
    <s v="FIFA World Cup qualification"/>
    <s v="Auckland"/>
    <s v="New Zealand"/>
    <b v="0"/>
    <n v="1981"/>
    <n v="24417617184"/>
    <n v="85518233419"/>
    <x v="0"/>
    <n v="-1"/>
    <x v="0"/>
  </r>
  <r>
    <x v="639"/>
    <x v="472"/>
    <x v="17"/>
    <s v="Ecuador"/>
    <s v="Chile"/>
    <n v="0"/>
    <n v="0"/>
    <s v="FIFA World Cup qualification"/>
    <s v="Guayaquil"/>
    <s v="Ecuador"/>
    <b v="0"/>
    <n v="1981"/>
    <n v="21810759353"/>
    <n v="35180322211"/>
    <x v="1"/>
    <n v="0"/>
    <x v="1"/>
  </r>
  <r>
    <x v="640"/>
    <x v="472"/>
    <x v="17"/>
    <s v="Finland"/>
    <s v="Germany"/>
    <n v="0"/>
    <n v="4"/>
    <s v="FIFA World Cup qualification"/>
    <s v="Lahti"/>
    <s v="Finland"/>
    <b v="0"/>
    <n v="1981"/>
    <n v="52440066133"/>
    <n v="803404797057"/>
    <x v="0"/>
    <n v="1"/>
    <x v="2"/>
  </r>
  <r>
    <x v="641"/>
    <x v="473"/>
    <x v="17"/>
    <s v="Austria"/>
    <s v="Bulgaria"/>
    <n v="2"/>
    <n v="0"/>
    <s v="FIFA World Cup qualification"/>
    <s v="Vienna"/>
    <s v="Austria"/>
    <b v="0"/>
    <n v="1981"/>
    <n v="70755997062"/>
    <n v="19870000000"/>
    <x v="0"/>
    <n v="1"/>
    <x v="2"/>
  </r>
  <r>
    <x v="642"/>
    <x v="474"/>
    <x v="17"/>
    <s v="Switzerland"/>
    <s v="England"/>
    <n v="2"/>
    <n v="1"/>
    <s v="FIFA World Cup qualification"/>
    <s v="Basel"/>
    <s v="Switzerland"/>
    <b v="0"/>
    <n v="1981"/>
    <n v="112244805518"/>
    <n v="540765675241"/>
    <x v="0"/>
    <n v="-1"/>
    <x v="0"/>
  </r>
  <r>
    <x v="643"/>
    <x v="475"/>
    <x v="17"/>
    <s v="Fiji"/>
    <s v="Indonesia"/>
    <n v="0"/>
    <n v="0"/>
    <s v="FIFA World Cup qualification"/>
    <s v="Suva"/>
    <s v="Fiji"/>
    <b v="0"/>
    <n v="1981"/>
    <n v="1235626770"/>
    <n v="85518233419"/>
    <x v="0"/>
    <n v="0"/>
    <x v="1"/>
  </r>
  <r>
    <x v="644"/>
    <x v="475"/>
    <x v="17"/>
    <s v="Niger"/>
    <s v="Algeria"/>
    <n v="1"/>
    <n v="0"/>
    <s v="FIFA World Cup qualification"/>
    <s v="Niamey"/>
    <s v="Niger"/>
    <b v="0"/>
    <n v="1981"/>
    <n v="2170893414"/>
    <n v="44348590460"/>
    <x v="0"/>
    <n v="-1"/>
    <x v="0"/>
  </r>
  <r>
    <x v="645"/>
    <x v="475"/>
    <x v="17"/>
    <s v="Paraguay"/>
    <s v="Ecuador"/>
    <n v="3"/>
    <n v="1"/>
    <s v="FIFA World Cup qualification"/>
    <s v="Asunci√≥n"/>
    <s v="Paraguay"/>
    <b v="0"/>
    <n v="1981"/>
    <n v="5624515873"/>
    <n v="21810759353"/>
    <x v="0"/>
    <n v="-1"/>
    <x v="0"/>
  </r>
  <r>
    <x v="646"/>
    <x v="476"/>
    <x v="17"/>
    <s v="Denmark"/>
    <s v="Italy"/>
    <n v="3"/>
    <n v="1"/>
    <s v="FIFA World Cup qualification"/>
    <s v="Copenhagen"/>
    <s v="Denmark"/>
    <b v="0"/>
    <n v="1981"/>
    <n v="61459941460"/>
    <n v="431695533980"/>
    <x v="0"/>
    <n v="-1"/>
    <x v="0"/>
  </r>
  <r>
    <x v="647"/>
    <x v="477"/>
    <x v="17"/>
    <s v="Hungary"/>
    <s v="England"/>
    <n v="1"/>
    <n v="3"/>
    <s v="FIFA World Cup qualification"/>
    <s v="Budapest"/>
    <s v="Hungary"/>
    <b v="0"/>
    <n v="1981"/>
    <n v="23705883891"/>
    <n v="540765675241"/>
    <x v="0"/>
    <n v="1"/>
    <x v="2"/>
  </r>
  <r>
    <x v="648"/>
    <x v="478"/>
    <x v="17"/>
    <s v="Paraguay"/>
    <s v="Chile"/>
    <n v="0"/>
    <n v="1"/>
    <s v="FIFA World Cup qualification"/>
    <s v="Asunci√≥n"/>
    <s v="Paraguay"/>
    <b v="0"/>
    <n v="1981"/>
    <n v="5624515873"/>
    <n v="35180322211"/>
    <x v="0"/>
    <n v="1"/>
    <x v="2"/>
  </r>
  <r>
    <x v="649"/>
    <x v="479"/>
    <x v="17"/>
    <s v="Chile"/>
    <s v="Ecuador"/>
    <n v="2"/>
    <n v="0"/>
    <s v="FIFA World Cup qualification"/>
    <s v="Santiago"/>
    <s v="Chile"/>
    <b v="0"/>
    <n v="1981"/>
    <n v="35180322211"/>
    <n v="21810759353"/>
    <x v="1"/>
    <n v="1"/>
    <x v="2"/>
  </r>
  <r>
    <x v="650"/>
    <x v="480"/>
    <x v="17"/>
    <s v="Austria"/>
    <s v="Finland"/>
    <n v="5"/>
    <n v="1"/>
    <s v="FIFA World Cup qualification"/>
    <s v="Linz"/>
    <s v="Austria"/>
    <b v="0"/>
    <n v="1981"/>
    <n v="70755997062"/>
    <n v="52440066133"/>
    <x v="1"/>
    <n v="1"/>
    <x v="2"/>
  </r>
  <r>
    <x v="651"/>
    <x v="480"/>
    <x v="17"/>
    <s v="Norway"/>
    <s v="Switzerland"/>
    <n v="1"/>
    <n v="1"/>
    <s v="FIFA World Cup qualification"/>
    <s v="Oslo"/>
    <s v="Norway"/>
    <b v="0"/>
    <n v="1981"/>
    <n v="63596654760"/>
    <n v="112244805518"/>
    <x v="1"/>
    <n v="0"/>
    <x v="1"/>
  </r>
  <r>
    <x v="652"/>
    <x v="481"/>
    <x v="17"/>
    <s v="Chile"/>
    <s v="Paraguay"/>
    <n v="3"/>
    <n v="0"/>
    <s v="FIFA World Cup qualification"/>
    <s v="Santiago"/>
    <s v="Chile"/>
    <b v="0"/>
    <n v="1981"/>
    <n v="35180322211"/>
    <n v="5624515873"/>
    <x v="0"/>
    <n v="1"/>
    <x v="2"/>
  </r>
  <r>
    <x v="653"/>
    <x v="482"/>
    <x v="17"/>
    <s v="Sweden"/>
    <s v="Portugal"/>
    <n v="3"/>
    <n v="0"/>
    <s v="FIFA World Cup qualification"/>
    <s v="Solna"/>
    <s v="Sweden"/>
    <b v="0"/>
    <n v="1981"/>
    <n v="129498921475"/>
    <n v="31977276872"/>
    <x v="0"/>
    <n v="1"/>
    <x v="2"/>
  </r>
  <r>
    <x v="654"/>
    <x v="483"/>
    <x v="17"/>
    <s v="Colombia"/>
    <s v="Peru"/>
    <n v="1"/>
    <n v="1"/>
    <s v="FIFA World Cup qualification"/>
    <s v="Bogot√°"/>
    <s v="Colombia"/>
    <b v="0"/>
    <n v="1981"/>
    <n v="36388366869"/>
    <n v="21648214892"/>
    <x v="1"/>
    <n v="0"/>
    <x v="1"/>
  </r>
  <r>
    <x v="655"/>
    <x v="483"/>
    <x v="17"/>
    <s v="Fiji"/>
    <s v="Australia"/>
    <n v="1"/>
    <n v="4"/>
    <s v="FIFA World Cup qualification"/>
    <s v="Suva"/>
    <s v="Fiji"/>
    <b v="0"/>
    <n v="1981"/>
    <n v="1235626770"/>
    <n v="177151979565"/>
    <x v="0"/>
    <n v="1"/>
    <x v="2"/>
  </r>
  <r>
    <x v="656"/>
    <x v="484"/>
    <x v="17"/>
    <s v="Uruguay"/>
    <s v="Colombia"/>
    <n v="3"/>
    <n v="2"/>
    <s v="FIFA World Cup qualification"/>
    <s v="Montevideo"/>
    <s v="Uruguay"/>
    <b v="0"/>
    <n v="1981"/>
    <n v="11048301420"/>
    <n v="36388366869"/>
    <x v="0"/>
    <n v="-1"/>
    <x v="0"/>
  </r>
  <r>
    <x v="657"/>
    <x v="485"/>
    <x v="17"/>
    <s v="Indonesia"/>
    <s v="Fiji"/>
    <n v="3"/>
    <n v="3"/>
    <s v="FIFA World Cup qualification"/>
    <s v="Jakarta"/>
    <s v="Indonesia"/>
    <b v="0"/>
    <n v="1981"/>
    <n v="85518233419"/>
    <n v="1235626770"/>
    <x v="0"/>
    <n v="0"/>
    <x v="1"/>
  </r>
  <r>
    <x v="658"/>
    <x v="486"/>
    <x v="17"/>
    <s v="Australia"/>
    <s v="Fiji"/>
    <n v="10"/>
    <n v="0"/>
    <s v="FIFA World Cup qualification"/>
    <s v="Melbourne"/>
    <s v="Australia"/>
    <b v="0"/>
    <n v="1981"/>
    <n v="177151979565"/>
    <n v="1235626770"/>
    <x v="0"/>
    <n v="1"/>
    <x v="2"/>
  </r>
  <r>
    <x v="659"/>
    <x v="487"/>
    <x v="17"/>
    <s v="New Zealand"/>
    <s v="Fiji"/>
    <n v="13"/>
    <n v="0"/>
    <s v="FIFA World Cup qualification"/>
    <s v="Auckland"/>
    <s v="New Zealand"/>
    <b v="0"/>
    <n v="1981"/>
    <n v="24417617184"/>
    <n v="1235626770"/>
    <x v="0"/>
    <n v="1"/>
    <x v="2"/>
  </r>
  <r>
    <x v="660"/>
    <x v="487"/>
    <x v="17"/>
    <s v="Peru"/>
    <s v="Colombia"/>
    <n v="2"/>
    <n v="0"/>
    <s v="FIFA World Cup qualification"/>
    <s v="Lima"/>
    <s v="Peru"/>
    <b v="0"/>
    <n v="1981"/>
    <n v="21648214892"/>
    <n v="36388366869"/>
    <x v="1"/>
    <n v="-1"/>
    <x v="0"/>
  </r>
  <r>
    <x v="661"/>
    <x v="488"/>
    <x v="17"/>
    <s v="Uruguay"/>
    <s v="Peru"/>
    <n v="1"/>
    <n v="2"/>
    <s v="FIFA World Cup qualification"/>
    <s v="Montevideo"/>
    <s v="Uruguay"/>
    <b v="0"/>
    <n v="1981"/>
    <n v="11048301420"/>
    <n v="21648214892"/>
    <x v="1"/>
    <n v="1"/>
    <x v="2"/>
  </r>
  <r>
    <x v="662"/>
    <x v="489"/>
    <x v="17"/>
    <s v="Indonesia"/>
    <s v="Australia"/>
    <n v="1"/>
    <n v="0"/>
    <s v="FIFA World Cup qualification"/>
    <s v="Surabaya"/>
    <s v="Indonesia"/>
    <b v="0"/>
    <n v="1981"/>
    <n v="85518233419"/>
    <n v="177151979565"/>
    <x v="0"/>
    <n v="-1"/>
    <x v="0"/>
  </r>
  <r>
    <x v="663"/>
    <x v="490"/>
    <x v="17"/>
    <s v="Finland"/>
    <s v="Albania"/>
    <n v="2"/>
    <n v="1"/>
    <s v="FIFA World Cup qualification"/>
    <s v="Kotka"/>
    <s v="Finland"/>
    <b v="0"/>
    <n v="1981"/>
    <n v="52440066133"/>
    <n v="1808177156"/>
    <x v="0"/>
    <n v="1"/>
    <x v="2"/>
  </r>
  <r>
    <x v="664"/>
    <x v="491"/>
    <x v="17"/>
    <s v="Peru"/>
    <s v="Uruguay"/>
    <n v="0"/>
    <n v="0"/>
    <s v="FIFA World Cup qualification"/>
    <s v="Lima"/>
    <s v="Peru"/>
    <b v="0"/>
    <n v="1981"/>
    <n v="21648214892"/>
    <n v="11048301420"/>
    <x v="1"/>
    <n v="0"/>
    <x v="1"/>
  </r>
  <r>
    <x v="665"/>
    <x v="492"/>
    <x v="17"/>
    <s v="Belgium"/>
    <s v="France"/>
    <n v="2"/>
    <n v="0"/>
    <s v="FIFA World Cup qualification"/>
    <s v="Brussels"/>
    <s v="Belgium"/>
    <b v="0"/>
    <n v="1981"/>
    <n v="104730018470"/>
    <n v="609184791792"/>
    <x v="0"/>
    <n v="-1"/>
    <x v="0"/>
  </r>
  <r>
    <x v="666"/>
    <x v="492"/>
    <x v="17"/>
    <s v="Norway"/>
    <s v="England"/>
    <n v="2"/>
    <n v="1"/>
    <s v="FIFA World Cup qualification"/>
    <s v="Oslo"/>
    <s v="Norway"/>
    <b v="0"/>
    <n v="1981"/>
    <n v="63596654760"/>
    <n v="540765675241"/>
    <x v="0"/>
    <n v="-1"/>
    <x v="0"/>
  </r>
  <r>
    <x v="667"/>
    <x v="493"/>
    <x v="17"/>
    <s v="Colombia"/>
    <s v="Uruguay"/>
    <n v="1"/>
    <n v="1"/>
    <s v="FIFA World Cup qualification"/>
    <s v="Bogot√°"/>
    <s v="Colombia"/>
    <b v="0"/>
    <n v="1981"/>
    <n v="36388366869"/>
    <n v="11048301420"/>
    <x v="0"/>
    <n v="0"/>
    <x v="1"/>
  </r>
  <r>
    <x v="668"/>
    <x v="494"/>
    <x v="17"/>
    <s v="Germany"/>
    <s v="Finland"/>
    <n v="7"/>
    <n v="1"/>
    <s v="FIFA World Cup qualification"/>
    <s v="Bochum"/>
    <s v="Germany"/>
    <b v="0"/>
    <n v="1981"/>
    <n v="803404797057"/>
    <n v="52440066133"/>
    <x v="0"/>
    <n v="1"/>
    <x v="2"/>
  </r>
  <r>
    <x v="669"/>
    <x v="495"/>
    <x v="17"/>
    <s v="New Zealand"/>
    <s v="Kuwait"/>
    <n v="1"/>
    <n v="2"/>
    <s v="FIFA World Cup qualification"/>
    <s v="Auckland"/>
    <s v="New Zealand"/>
    <b v="0"/>
    <n v="1981"/>
    <n v="24417617184"/>
    <n v="25058020338"/>
    <x v="1"/>
    <n v="1"/>
    <x v="2"/>
  </r>
  <r>
    <x v="670"/>
    <x v="495"/>
    <x v="17"/>
    <s v="Nigeria"/>
    <s v="Algeria"/>
    <n v="0"/>
    <n v="2"/>
    <s v="FIFA World Cup qualification"/>
    <s v="Lagos"/>
    <s v="Nigeria"/>
    <b v="0"/>
    <n v="1981"/>
    <n v="164475209515"/>
    <n v="44348590460"/>
    <x v="0"/>
    <n v="-1"/>
    <x v="0"/>
  </r>
  <r>
    <x v="671"/>
    <x v="496"/>
    <x v="17"/>
    <s v="Albania"/>
    <s v="Bulgaria"/>
    <n v="0"/>
    <n v="2"/>
    <s v="FIFA World Cup qualification"/>
    <s v="Tirana"/>
    <s v="Albania"/>
    <b v="0"/>
    <n v="1981"/>
    <n v="1808177156"/>
    <n v="19870000000"/>
    <x v="0"/>
    <n v="1"/>
    <x v="2"/>
  </r>
  <r>
    <x v="672"/>
    <x v="496"/>
    <x v="17"/>
    <s v="Austria"/>
    <s v="Germany"/>
    <n v="1"/>
    <n v="3"/>
    <s v="FIFA World Cup qualification"/>
    <s v="Vienna"/>
    <s v="Austria"/>
    <b v="0"/>
    <n v="1981"/>
    <n v="70755997062"/>
    <n v="803404797057"/>
    <x v="0"/>
    <n v="1"/>
    <x v="2"/>
  </r>
  <r>
    <x v="673"/>
    <x v="496"/>
    <x v="17"/>
    <s v="Greece"/>
    <s v="Denmark"/>
    <n v="2"/>
    <n v="3"/>
    <s v="FIFA World Cup qualification"/>
    <s v="Salonica"/>
    <s v="Greece"/>
    <b v="0"/>
    <n v="1981"/>
    <n v="51618456334"/>
    <n v="61459941460"/>
    <x v="1"/>
    <n v="1"/>
    <x v="2"/>
  </r>
  <r>
    <x v="674"/>
    <x v="496"/>
    <x v="17"/>
    <s v="Hungary"/>
    <s v="Switzerland"/>
    <n v="3"/>
    <n v="0"/>
    <s v="FIFA World Cup qualification"/>
    <s v="Budapest"/>
    <s v="Hungary"/>
    <b v="0"/>
    <n v="1981"/>
    <n v="23705883891"/>
    <n v="112244805518"/>
    <x v="0"/>
    <n v="-1"/>
    <x v="0"/>
  </r>
  <r>
    <x v="675"/>
    <x v="496"/>
    <x v="17"/>
    <s v="Netherlands"/>
    <s v="Belgium"/>
    <n v="3"/>
    <n v="0"/>
    <s v="FIFA World Cup qualification"/>
    <s v="Rotterdam"/>
    <s v="Netherlands"/>
    <b v="0"/>
    <n v="1981"/>
    <n v="164375775854"/>
    <n v="104730018470"/>
    <x v="1"/>
    <n v="1"/>
    <x v="2"/>
  </r>
  <r>
    <x v="676"/>
    <x v="496"/>
    <x v="17"/>
    <s v="Portugal"/>
    <s v="Sweden"/>
    <n v="1"/>
    <n v="2"/>
    <s v="FIFA World Cup qualification"/>
    <s v="Lisbon"/>
    <s v="Portugal"/>
    <b v="0"/>
    <n v="1981"/>
    <n v="31977276872"/>
    <n v="129498921475"/>
    <x v="0"/>
    <n v="1"/>
    <x v="2"/>
  </r>
  <r>
    <x v="677"/>
    <x v="497"/>
    <x v="17"/>
    <s v="Israel"/>
    <s v="Portugal"/>
    <n v="4"/>
    <n v="1"/>
    <s v="FIFA World Cup qualification"/>
    <s v="Ramat Gan"/>
    <s v="Israel"/>
    <b v="0"/>
    <n v="1981"/>
    <n v="26882009819"/>
    <n v="31977276872"/>
    <x v="1"/>
    <n v="-1"/>
    <x v="0"/>
  </r>
  <r>
    <x v="678"/>
    <x v="498"/>
    <x v="17"/>
    <s v="Algeria"/>
    <s v="Nigeria"/>
    <n v="2"/>
    <n v="1"/>
    <s v="FIFA World Cup qualification"/>
    <s v="Constantine"/>
    <s v="Algeria"/>
    <b v="0"/>
    <n v="1981"/>
    <n v="44348590460"/>
    <n v="164475209515"/>
    <x v="0"/>
    <n v="-1"/>
    <x v="0"/>
  </r>
  <r>
    <x v="679"/>
    <x v="499"/>
    <x v="17"/>
    <s v="Hungary"/>
    <s v="Norway"/>
    <n v="4"/>
    <n v="1"/>
    <s v="FIFA World Cup qualification"/>
    <s v="Budapest"/>
    <s v="Hungary"/>
    <b v="0"/>
    <n v="1981"/>
    <n v="23705883891"/>
    <n v="63596654760"/>
    <x v="0"/>
    <n v="-1"/>
    <x v="0"/>
  </r>
  <r>
    <x v="680"/>
    <x v="500"/>
    <x v="17"/>
    <s v="Saudi Arabia"/>
    <s v="Kuwait"/>
    <n v="0"/>
    <n v="1"/>
    <s v="FIFA World Cup qualification"/>
    <s v="Riyadh"/>
    <s v="Saudi Arabia"/>
    <b v="0"/>
    <n v="1981"/>
    <n v="184291360138"/>
    <n v="25058020338"/>
    <x v="0"/>
    <n v="-1"/>
    <x v="0"/>
  </r>
  <r>
    <x v="681"/>
    <x v="501"/>
    <x v="17"/>
    <s v="Bulgaria"/>
    <s v="Austria"/>
    <n v="0"/>
    <n v="0"/>
    <s v="FIFA World Cup qualification"/>
    <s v="Sofia"/>
    <s v="Bulgaria"/>
    <b v="0"/>
    <n v="1981"/>
    <n v="19870000000"/>
    <n v="70755997062"/>
    <x v="0"/>
    <n v="0"/>
    <x v="1"/>
  </r>
  <r>
    <x v="682"/>
    <x v="502"/>
    <x v="17"/>
    <s v="Italy"/>
    <s v="Greece"/>
    <n v="1"/>
    <n v="1"/>
    <s v="FIFA World Cup qualification"/>
    <s v="Turin"/>
    <s v="Italy"/>
    <b v="0"/>
    <n v="1981"/>
    <n v="431695533980"/>
    <n v="51618456334"/>
    <x v="0"/>
    <n v="0"/>
    <x v="1"/>
  </r>
  <r>
    <x v="683"/>
    <x v="503"/>
    <x v="17"/>
    <s v="Morocco"/>
    <s v="Cameroon"/>
    <n v="0"/>
    <n v="2"/>
    <s v="FIFA World Cup qualification"/>
    <s v="Kenitra"/>
    <s v="Morocco"/>
    <b v="0"/>
    <n v="1981"/>
    <n v="17788185478"/>
    <n v="6610938616"/>
    <x v="0"/>
    <n v="-1"/>
    <x v="0"/>
  </r>
  <r>
    <x v="684"/>
    <x v="504"/>
    <x v="17"/>
    <s v="England"/>
    <s v="Hungary"/>
    <n v="1"/>
    <n v="0"/>
    <s v="FIFA World Cup qualification"/>
    <s v="London"/>
    <s v="England"/>
    <b v="0"/>
    <n v="1981"/>
    <n v="540765675241"/>
    <n v="23705883891"/>
    <x v="0"/>
    <n v="1"/>
    <x v="2"/>
  </r>
  <r>
    <x v="685"/>
    <x v="504"/>
    <x v="17"/>
    <s v="France"/>
    <s v="Netherlands"/>
    <n v="2"/>
    <n v="0"/>
    <s v="FIFA World Cup qualification"/>
    <s v="Paris"/>
    <s v="France"/>
    <b v="0"/>
    <n v="1981"/>
    <n v="609184791792"/>
    <n v="164375775854"/>
    <x v="0"/>
    <n v="1"/>
    <x v="2"/>
  </r>
  <r>
    <x v="686"/>
    <x v="504"/>
    <x v="17"/>
    <s v="Germany"/>
    <s v="Albania"/>
    <n v="8"/>
    <n v="0"/>
    <s v="FIFA World Cup qualification"/>
    <s v="Dortmund"/>
    <s v="Germany"/>
    <b v="0"/>
    <n v="1981"/>
    <n v="803404797057"/>
    <n v="1808177156"/>
    <x v="0"/>
    <n v="1"/>
    <x v="2"/>
  </r>
  <r>
    <x v="687"/>
    <x v="505"/>
    <x v="17"/>
    <s v="Germany"/>
    <s v="Bulgaria"/>
    <n v="4"/>
    <n v="0"/>
    <s v="FIFA World Cup qualification"/>
    <s v="D√ºsseldorf"/>
    <s v="Germany"/>
    <b v="0"/>
    <n v="1981"/>
    <n v="803404797057"/>
    <n v="19870000000"/>
    <x v="0"/>
    <n v="1"/>
    <x v="2"/>
  </r>
  <r>
    <x v="688"/>
    <x v="506"/>
    <x v="17"/>
    <s v="New Zealand"/>
    <s v="Saudi Arabia"/>
    <n v="2"/>
    <n v="2"/>
    <s v="FIFA World Cup qualification"/>
    <s v="Auckland"/>
    <s v="New Zealand"/>
    <b v="0"/>
    <n v="1981"/>
    <n v="24417617184"/>
    <n v="184291360138"/>
    <x v="0"/>
    <n v="0"/>
    <x v="1"/>
  </r>
  <r>
    <x v="689"/>
    <x v="507"/>
    <x v="17"/>
    <s v="Cameroon"/>
    <s v="Morocco"/>
    <n v="2"/>
    <n v="1"/>
    <s v="FIFA World Cup qualification"/>
    <s v="Yaound√©"/>
    <s v="Cameroon"/>
    <b v="0"/>
    <n v="1981"/>
    <n v="6610938616"/>
    <n v="17788185478"/>
    <x v="0"/>
    <n v="-1"/>
    <x v="0"/>
  </r>
  <r>
    <x v="690"/>
    <x v="508"/>
    <x v="17"/>
    <s v="France"/>
    <s v="Cyprus"/>
    <n v="4"/>
    <n v="0"/>
    <s v="FIFA World Cup qualification"/>
    <s v="Paris"/>
    <s v="France"/>
    <b v="0"/>
    <n v="1981"/>
    <n v="609184791792"/>
    <n v="2087496373"/>
    <x v="0"/>
    <n v="1"/>
    <x v="2"/>
  </r>
  <r>
    <x v="691"/>
    <x v="508"/>
    <x v="17"/>
    <s v="Italy"/>
    <s v="Luxembourg"/>
    <n v="1"/>
    <n v="0"/>
    <s v="FIFA World Cup qualification"/>
    <s v="Naples"/>
    <s v="Italy"/>
    <b v="0"/>
    <n v="1981"/>
    <n v="431695533980"/>
    <n v="5053665797"/>
    <x v="0"/>
    <n v="1"/>
    <x v="2"/>
  </r>
  <r>
    <x v="692"/>
    <x v="509"/>
    <x v="17"/>
    <s v="Kuwait"/>
    <s v="Saudi Arabia"/>
    <n v="2"/>
    <n v="0"/>
    <s v="FIFA World Cup qualification"/>
    <s v="Kuwait City"/>
    <s v="Kuwait"/>
    <b v="0"/>
    <n v="1981"/>
    <n v="25058020338"/>
    <n v="184291360138"/>
    <x v="0"/>
    <n v="-1"/>
    <x v="0"/>
  </r>
  <r>
    <x v="693"/>
    <x v="510"/>
    <x v="17"/>
    <s v="Kuwait"/>
    <s v="New Zealand"/>
    <n v="2"/>
    <n v="2"/>
    <s v="FIFA World Cup qualification"/>
    <s v="Kuwait City"/>
    <s v="Kuwait"/>
    <b v="0"/>
    <n v="1981"/>
    <n v="25058020338"/>
    <n v="24417617184"/>
    <x v="1"/>
    <n v="0"/>
    <x v="1"/>
  </r>
  <r>
    <x v="694"/>
    <x v="511"/>
    <x v="17"/>
    <s v="Saudi Arabia"/>
    <s v="New Zealand"/>
    <n v="0"/>
    <n v="5"/>
    <s v="FIFA World Cup qualification"/>
    <s v="Riyadh"/>
    <s v="Saudi Arabia"/>
    <b v="0"/>
    <n v="1981"/>
    <n v="184291360138"/>
    <n v="24417617184"/>
    <x v="0"/>
    <n v="-1"/>
    <x v="0"/>
  </r>
  <r>
    <x v="695"/>
    <x v="512"/>
    <x v="18"/>
    <s v="Argentina"/>
    <s v="Belgium"/>
    <n v="0"/>
    <n v="1"/>
    <s v="FIFA World Cup"/>
    <s v="Barcelona"/>
    <s v="Spain"/>
    <b v="1"/>
    <n v="1982"/>
    <n v="84307486836"/>
    <n v="92095926187"/>
    <x v="1"/>
    <n v="1"/>
    <x v="2"/>
  </r>
  <r>
    <x v="696"/>
    <x v="513"/>
    <x v="18"/>
    <s v="Hungary"/>
    <s v="El Salvador"/>
    <n v="10"/>
    <n v="1"/>
    <s v="FIFA World Cup"/>
    <s v="Elche"/>
    <s v="Spain"/>
    <b v="1"/>
    <n v="1982"/>
    <n v="24141667188"/>
    <n v="3399189100"/>
    <x v="0"/>
    <n v="1"/>
    <x v="2"/>
  </r>
  <r>
    <x v="697"/>
    <x v="513"/>
    <x v="18"/>
    <s v="Peru"/>
    <s v="Cameroon"/>
    <n v="0"/>
    <n v="0"/>
    <s v="FIFA World Cup"/>
    <s v="La Coru√±a"/>
    <s v="Spain"/>
    <b v="1"/>
    <n v="1982"/>
    <n v="21794535621"/>
    <n v="6611255963"/>
    <x v="0"/>
    <n v="0"/>
    <x v="1"/>
  </r>
  <r>
    <x v="698"/>
    <x v="514"/>
    <x v="18"/>
    <s v="England"/>
    <s v="France"/>
    <n v="3"/>
    <n v="1"/>
    <s v="FIFA World Cup"/>
    <s v="Bilbao"/>
    <s v="Spain"/>
    <b v="1"/>
    <n v="1982"/>
    <n v="515048916841"/>
    <n v="578152310609"/>
    <x v="1"/>
    <n v="-1"/>
    <x v="0"/>
  </r>
  <r>
    <x v="699"/>
    <x v="514"/>
    <x v="18"/>
    <s v="Germany"/>
    <s v="Algeria"/>
    <n v="1"/>
    <n v="2"/>
    <s v="FIFA World Cup"/>
    <s v="Gij√≥n"/>
    <s v="Spain"/>
    <b v="1"/>
    <n v="1982"/>
    <n v="779421633755"/>
    <n v="45207167470"/>
    <x v="0"/>
    <n v="-1"/>
    <x v="0"/>
  </r>
  <r>
    <x v="700"/>
    <x v="514"/>
    <x v="18"/>
    <s v="Spain"/>
    <s v="Honduras"/>
    <n v="1"/>
    <n v="1"/>
    <s v="FIFA World Cup"/>
    <s v="Valencia"/>
    <s v="Spain"/>
    <b v="0"/>
    <n v="1982"/>
    <n v="195856752991"/>
    <n v="3619500000"/>
    <x v="0"/>
    <n v="0"/>
    <x v="1"/>
  </r>
  <r>
    <x v="701"/>
    <x v="515"/>
    <x v="18"/>
    <s v="Chile"/>
    <s v="Austria"/>
    <n v="0"/>
    <n v="1"/>
    <s v="FIFA World Cup"/>
    <s v="Oviedo"/>
    <s v="Spain"/>
    <b v="1"/>
    <n v="1982"/>
    <n v="19710229067"/>
    <n v="70996111962"/>
    <x v="0"/>
    <n v="1"/>
    <x v="2"/>
  </r>
  <r>
    <x v="702"/>
    <x v="516"/>
    <x v="18"/>
    <s v="Argentina"/>
    <s v="Hungary"/>
    <n v="4"/>
    <n v="1"/>
    <s v="FIFA World Cup"/>
    <s v="Alicante"/>
    <s v="Spain"/>
    <b v="1"/>
    <n v="1982"/>
    <n v="84307486836"/>
    <n v="24141667188"/>
    <x v="0"/>
    <n v="1"/>
    <x v="2"/>
  </r>
  <r>
    <x v="703"/>
    <x v="516"/>
    <x v="18"/>
    <s v="Italy"/>
    <s v="Peru"/>
    <n v="1"/>
    <n v="1"/>
    <s v="FIFA World Cup"/>
    <s v="Vigo"/>
    <s v="Spain"/>
    <b v="1"/>
    <n v="1982"/>
    <n v="428257421617"/>
    <n v="21794535621"/>
    <x v="0"/>
    <n v="0"/>
    <x v="1"/>
  </r>
  <r>
    <x v="704"/>
    <x v="517"/>
    <x v="18"/>
    <s v="Belgium"/>
    <s v="El Salvador"/>
    <n v="1"/>
    <n v="0"/>
    <s v="FIFA World Cup"/>
    <s v="Elche"/>
    <s v="Spain"/>
    <b v="1"/>
    <n v="1982"/>
    <n v="92095926187"/>
    <n v="3399189100"/>
    <x v="0"/>
    <n v="1"/>
    <x v="2"/>
  </r>
  <r>
    <x v="705"/>
    <x v="518"/>
    <x v="18"/>
    <s v="Germany"/>
    <s v="Chile"/>
    <n v="4"/>
    <n v="1"/>
    <s v="FIFA World Cup"/>
    <s v="Gij√≥n"/>
    <s v="Spain"/>
    <b v="1"/>
    <n v="1982"/>
    <n v="779421633755"/>
    <n v="19710229067"/>
    <x v="0"/>
    <n v="1"/>
    <x v="2"/>
  </r>
  <r>
    <x v="706"/>
    <x v="519"/>
    <x v="18"/>
    <s v="Algeria"/>
    <s v="Austria"/>
    <n v="0"/>
    <n v="2"/>
    <s v="FIFA World Cup"/>
    <s v="Oviedo"/>
    <s v="Spain"/>
    <b v="1"/>
    <n v="1982"/>
    <n v="45207167470"/>
    <n v="70996111962"/>
    <x v="1"/>
    <n v="1"/>
    <x v="2"/>
  </r>
  <r>
    <x v="707"/>
    <x v="519"/>
    <x v="18"/>
    <s v="France"/>
    <s v="Kuwait"/>
    <n v="4"/>
    <n v="1"/>
    <s v="FIFA World Cup"/>
    <s v="Valladolid"/>
    <s v="Spain"/>
    <b v="1"/>
    <n v="1982"/>
    <n v="578152310609"/>
    <n v="21577153356"/>
    <x v="0"/>
    <n v="1"/>
    <x v="2"/>
  </r>
  <r>
    <x v="708"/>
    <x v="520"/>
    <x v="18"/>
    <s v="Belgium"/>
    <s v="Hungary"/>
    <n v="1"/>
    <n v="1"/>
    <s v="FIFA World Cup"/>
    <s v="Elche"/>
    <s v="Spain"/>
    <b v="1"/>
    <n v="1982"/>
    <n v="92095926187"/>
    <n v="24141667188"/>
    <x v="0"/>
    <n v="0"/>
    <x v="1"/>
  </r>
  <r>
    <x v="709"/>
    <x v="521"/>
    <x v="18"/>
    <s v="Argentina"/>
    <s v="El Salvador"/>
    <n v="2"/>
    <n v="0"/>
    <s v="FIFA World Cup"/>
    <s v="Alicante"/>
    <s v="Spain"/>
    <b v="1"/>
    <n v="1982"/>
    <n v="84307486836"/>
    <n v="3399189100"/>
    <x v="0"/>
    <n v="1"/>
    <x v="2"/>
  </r>
  <r>
    <x v="710"/>
    <x v="521"/>
    <x v="18"/>
    <s v="Brazil"/>
    <s v="New Zealand"/>
    <n v="4"/>
    <n v="0"/>
    <s v="FIFA World Cup"/>
    <s v="Seville"/>
    <s v="Spain"/>
    <b v="1"/>
    <n v="1982"/>
    <n v="271314113768"/>
    <n v="24164603058"/>
    <x v="0"/>
    <n v="1"/>
    <x v="2"/>
  </r>
  <r>
    <x v="711"/>
    <x v="521"/>
    <x v="18"/>
    <s v="Italy"/>
    <s v="Cameroon"/>
    <n v="1"/>
    <n v="1"/>
    <s v="FIFA World Cup"/>
    <s v="Vigo"/>
    <s v="Spain"/>
    <b v="1"/>
    <n v="1982"/>
    <n v="428257421617"/>
    <n v="6611255963"/>
    <x v="0"/>
    <n v="0"/>
    <x v="1"/>
  </r>
  <r>
    <x v="712"/>
    <x v="522"/>
    <x v="18"/>
    <s v="Algeria"/>
    <s v="Chile"/>
    <n v="3"/>
    <n v="2"/>
    <s v="FIFA World Cup"/>
    <s v="Oviedo"/>
    <s v="Spain"/>
    <b v="1"/>
    <n v="1982"/>
    <n v="45207167470"/>
    <n v="19710229067"/>
    <x v="0"/>
    <n v="1"/>
    <x v="2"/>
  </r>
  <r>
    <x v="713"/>
    <x v="523"/>
    <x v="18"/>
    <s v="England"/>
    <s v="Kuwait"/>
    <n v="1"/>
    <n v="0"/>
    <s v="FIFA World Cup"/>
    <s v="Bilbao"/>
    <s v="Spain"/>
    <b v="1"/>
    <n v="1982"/>
    <n v="515048916841"/>
    <n v="21577153356"/>
    <x v="0"/>
    <n v="1"/>
    <x v="2"/>
  </r>
  <r>
    <x v="714"/>
    <x v="523"/>
    <x v="18"/>
    <s v="Germany"/>
    <s v="Austria"/>
    <n v="1"/>
    <n v="0"/>
    <s v="FIFA World Cup"/>
    <s v="Gij√≥n"/>
    <s v="Spain"/>
    <b v="1"/>
    <n v="1982"/>
    <n v="779421633755"/>
    <n v="70996111962"/>
    <x v="0"/>
    <n v="1"/>
    <x v="2"/>
  </r>
  <r>
    <x v="715"/>
    <x v="524"/>
    <x v="18"/>
    <s v="Austria"/>
    <s v="France"/>
    <n v="0"/>
    <n v="1"/>
    <s v="FIFA World Cup"/>
    <s v="Madrid"/>
    <s v="Spain"/>
    <b v="1"/>
    <n v="1982"/>
    <n v="70996111962"/>
    <n v="578152310609"/>
    <x v="0"/>
    <n v="1"/>
    <x v="2"/>
  </r>
  <r>
    <x v="716"/>
    <x v="525"/>
    <x v="18"/>
    <s v="Germany"/>
    <s v="England"/>
    <n v="0"/>
    <n v="0"/>
    <s v="FIFA World Cup"/>
    <s v="Madrid"/>
    <s v="Spain"/>
    <b v="1"/>
    <n v="1982"/>
    <n v="779421633755"/>
    <n v="515048916841"/>
    <x v="1"/>
    <n v="0"/>
    <x v="1"/>
  </r>
  <r>
    <x v="717"/>
    <x v="525"/>
    <x v="18"/>
    <s v="Italy"/>
    <s v="Argentina"/>
    <n v="2"/>
    <n v="1"/>
    <s v="FIFA World Cup"/>
    <s v="Barcelona"/>
    <s v="Spain"/>
    <b v="1"/>
    <n v="1982"/>
    <n v="428257421617"/>
    <n v="84307486836"/>
    <x v="0"/>
    <n v="1"/>
    <x v="2"/>
  </r>
  <r>
    <x v="718"/>
    <x v="526"/>
    <x v="18"/>
    <s v="Argentina"/>
    <s v="Brazil"/>
    <n v="1"/>
    <n v="3"/>
    <s v="FIFA World Cup"/>
    <s v="Barcelona"/>
    <s v="Spain"/>
    <b v="1"/>
    <n v="1982"/>
    <n v="84307486836"/>
    <n v="271314113768"/>
    <x v="0"/>
    <n v="1"/>
    <x v="2"/>
  </r>
  <r>
    <x v="719"/>
    <x v="526"/>
    <x v="18"/>
    <s v="Spain"/>
    <s v="Germany"/>
    <n v="1"/>
    <n v="2"/>
    <s v="FIFA World Cup"/>
    <s v="Madrid"/>
    <s v="Spain"/>
    <b v="0"/>
    <n v="1982"/>
    <n v="195856752991"/>
    <n v="779421633755"/>
    <x v="0"/>
    <n v="1"/>
    <x v="2"/>
  </r>
  <r>
    <x v="720"/>
    <x v="527"/>
    <x v="18"/>
    <s v="Italy"/>
    <s v="Brazil"/>
    <n v="3"/>
    <n v="2"/>
    <s v="FIFA World Cup"/>
    <s v="Barcelona"/>
    <s v="Spain"/>
    <b v="1"/>
    <n v="1982"/>
    <n v="428257421617"/>
    <n v="271314113768"/>
    <x v="1"/>
    <n v="1"/>
    <x v="2"/>
  </r>
  <r>
    <x v="721"/>
    <x v="527"/>
    <x v="18"/>
    <s v="Spain"/>
    <s v="England"/>
    <n v="0"/>
    <n v="0"/>
    <s v="FIFA World Cup"/>
    <s v="Madrid"/>
    <s v="Spain"/>
    <b v="0"/>
    <n v="1982"/>
    <n v="195856752991"/>
    <n v="515048916841"/>
    <x v="0"/>
    <n v="0"/>
    <x v="1"/>
  </r>
  <r>
    <x v="722"/>
    <x v="528"/>
    <x v="18"/>
    <s v="Germany"/>
    <s v="France"/>
    <n v="3"/>
    <n v="3"/>
    <s v="FIFA World Cup"/>
    <s v="Seville"/>
    <s v="Spain"/>
    <b v="1"/>
    <n v="1982"/>
    <n v="779421633755"/>
    <n v="578152310609"/>
    <x v="1"/>
    <n v="0"/>
    <x v="1"/>
  </r>
  <r>
    <x v="723"/>
    <x v="529"/>
    <x v="18"/>
    <s v="Italy"/>
    <s v="Germany"/>
    <n v="3"/>
    <n v="1"/>
    <s v="FIFA World Cup"/>
    <s v="Madrid"/>
    <s v="Spain"/>
    <b v="1"/>
    <n v="1982"/>
    <n v="428257421617"/>
    <n v="779421633755"/>
    <x v="1"/>
    <n v="-1"/>
    <x v="0"/>
  </r>
  <r>
    <x v="724"/>
    <x v="530"/>
    <x v="19"/>
    <s v="Cyprus"/>
    <s v="Austria"/>
    <n v="1"/>
    <n v="2"/>
    <s v="FIFA World Cup qualification"/>
    <s v="Nicosia"/>
    <s v="Cyprus"/>
    <b v="0"/>
    <n v="1984"/>
    <n v="2278248953"/>
    <n v="67719055773"/>
    <x v="0"/>
    <n v="1"/>
    <x v="2"/>
  </r>
  <r>
    <x v="725"/>
    <x v="531"/>
    <x v="19"/>
    <s v="Sweden"/>
    <s v="Malta"/>
    <n v="4"/>
    <n v="0"/>
    <s v="FIFA World Cup qualification"/>
    <s v="Norrk√∂ping"/>
    <s v="Sweden"/>
    <b v="0"/>
    <n v="1984"/>
    <n v="109043045407"/>
    <n v="1101807023"/>
    <x v="0"/>
    <n v="1"/>
    <x v="2"/>
  </r>
  <r>
    <x v="726"/>
    <x v="532"/>
    <x v="19"/>
    <s v="Sierra Leone"/>
    <s v="Morocco"/>
    <n v="0"/>
    <n v="1"/>
    <s v="FIFA World Cup qualification"/>
    <s v="Freetown"/>
    <s v="Sierra Leone"/>
    <b v="0"/>
    <n v="1984"/>
    <n v="1087471861"/>
    <n v="14824667954"/>
    <x v="0"/>
    <n v="1"/>
    <x v="2"/>
  </r>
  <r>
    <x v="727"/>
    <x v="533"/>
    <x v="19"/>
    <s v="Angola"/>
    <s v="Senegal"/>
    <n v="1"/>
    <n v="0"/>
    <s v="FIFA World Cup qualification"/>
    <s v="Luanda"/>
    <s v="Angola"/>
    <b v="0"/>
    <n v="1984"/>
    <n v="6131475065"/>
    <n v="3485165431"/>
    <x v="1"/>
    <n v="1"/>
    <x v="2"/>
  </r>
  <r>
    <x v="728"/>
    <x v="534"/>
    <x v="19"/>
    <s v="Mauritius"/>
    <s v="Malawi"/>
    <n v="0"/>
    <n v="1"/>
    <s v="FIFA World Cup qualification"/>
    <s v="Curepipe"/>
    <s v="Mauritius"/>
    <b v="0"/>
    <n v="1984"/>
    <n v="1054564759"/>
    <n v="1758028656"/>
    <x v="1"/>
    <n v="1"/>
    <x v="2"/>
  </r>
  <r>
    <x v="729"/>
    <x v="534"/>
    <x v="19"/>
    <s v="Morocco"/>
    <s v="Sierra Leone"/>
    <n v="4"/>
    <n v="0"/>
    <s v="FIFA World Cup qualification"/>
    <s v="Rabat"/>
    <s v="Morocco"/>
    <b v="0"/>
    <n v="1984"/>
    <n v="14824667954"/>
    <n v="1087471861"/>
    <x v="0"/>
    <n v="1"/>
    <x v="2"/>
  </r>
  <r>
    <x v="730"/>
    <x v="534"/>
    <x v="19"/>
    <s v="Senegal"/>
    <s v="Angola"/>
    <n v="1"/>
    <n v="0"/>
    <s v="FIFA World Cup qualification"/>
    <s v="Dakar"/>
    <s v="Senegal"/>
    <b v="0"/>
    <n v="1984"/>
    <n v="3485165431"/>
    <n v="6131475065"/>
    <x v="1"/>
    <n v="-1"/>
    <x v="0"/>
  </r>
  <r>
    <x v="731"/>
    <x v="535"/>
    <x v="19"/>
    <s v="Malawi"/>
    <s v="Mauritius"/>
    <n v="4"/>
    <n v="0"/>
    <s v="FIFA World Cup qualification"/>
    <s v="Lilongwe"/>
    <s v="Malawi"/>
    <b v="0"/>
    <n v="1984"/>
    <n v="1758028656"/>
    <n v="1054564759"/>
    <x v="1"/>
    <n v="1"/>
    <x v="2"/>
  </r>
  <r>
    <x v="732"/>
    <x v="536"/>
    <x v="19"/>
    <s v="Zambia"/>
    <s v="Uganda"/>
    <n v="3"/>
    <n v="0"/>
    <s v="FIFA World Cup qualification"/>
    <s v="Ndola"/>
    <s v="Zambia"/>
    <b v="0"/>
    <n v="1984"/>
    <n v="2719518932"/>
    <n v="3615647477"/>
    <x v="1"/>
    <n v="-1"/>
    <x v="0"/>
  </r>
  <r>
    <x v="733"/>
    <x v="537"/>
    <x v="19"/>
    <s v="Uganda"/>
    <s v="Zambia"/>
    <n v="1"/>
    <n v="0"/>
    <s v="FIFA World Cup qualification"/>
    <s v="Kampala"/>
    <s v="Uganda"/>
    <b v="0"/>
    <n v="1984"/>
    <n v="3615647477"/>
    <n v="2719518932"/>
    <x v="1"/>
    <n v="1"/>
    <x v="2"/>
  </r>
  <r>
    <x v="734"/>
    <x v="538"/>
    <x v="19"/>
    <s v="Egypt"/>
    <s v="Zimbabwe"/>
    <n v="1"/>
    <n v="0"/>
    <s v="FIFA World Cup qualification"/>
    <s v="Cairo"/>
    <s v="Egypt"/>
    <b v="0"/>
    <n v="1984"/>
    <n v="33971188991"/>
    <n v="6355369171"/>
    <x v="0"/>
    <n v="1"/>
    <x v="2"/>
  </r>
  <r>
    <x v="735"/>
    <x v="539"/>
    <x v="19"/>
    <s v="Norway"/>
    <s v="Switzerland"/>
    <n v="0"/>
    <n v="1"/>
    <s v="FIFA World Cup qualification"/>
    <s v="Oslo"/>
    <s v="Norway"/>
    <b v="0"/>
    <n v="1984"/>
    <n v="62057955032"/>
    <n v="109455312167"/>
    <x v="1"/>
    <n v="1"/>
    <x v="2"/>
  </r>
  <r>
    <x v="736"/>
    <x v="539"/>
    <x v="19"/>
    <s v="Sweden"/>
    <s v="Portugal"/>
    <n v="0"/>
    <n v="1"/>
    <s v="FIFA World Cup qualification"/>
    <s v="Solna"/>
    <s v="Sweden"/>
    <b v="0"/>
    <n v="1984"/>
    <n v="109043045407"/>
    <n v="25217969049"/>
    <x v="0"/>
    <n v="-1"/>
    <x v="0"/>
  </r>
  <r>
    <x v="737"/>
    <x v="540"/>
    <x v="19"/>
    <s v="Denmark"/>
    <s v="Norway"/>
    <n v="1"/>
    <n v="0"/>
    <s v="FIFA World Cup qualification"/>
    <s v="Copenhagen"/>
    <s v="Denmark"/>
    <b v="0"/>
    <n v="1984"/>
    <n v="58868891334"/>
    <n v="62057955032"/>
    <x v="1"/>
    <n v="-1"/>
    <x v="0"/>
  </r>
  <r>
    <x v="738"/>
    <x v="540"/>
    <x v="19"/>
    <s v="Hungary"/>
    <s v="Austria"/>
    <n v="3"/>
    <n v="1"/>
    <s v="FIFA World Cup qualification"/>
    <s v="Budapest"/>
    <s v="Hungary"/>
    <b v="0"/>
    <n v="1984"/>
    <n v="21242726264"/>
    <n v="67719055773"/>
    <x v="0"/>
    <n v="-1"/>
    <x v="0"/>
  </r>
  <r>
    <x v="739"/>
    <x v="541"/>
    <x v="19"/>
    <s v="Zimbabwe"/>
    <s v="Egypt"/>
    <n v="1"/>
    <n v="1"/>
    <s v="FIFA World Cup qualification"/>
    <s v="Harare"/>
    <s v="Zimbabwe"/>
    <b v="0"/>
    <n v="1984"/>
    <n v="6355369171"/>
    <n v="33971188991"/>
    <x v="0"/>
    <n v="0"/>
    <x v="1"/>
  </r>
  <r>
    <x v="740"/>
    <x v="542"/>
    <x v="19"/>
    <s v="Kenya"/>
    <s v="Ethiopia"/>
    <n v="2"/>
    <n v="1"/>
    <s v="FIFA World Cup qualification"/>
    <s v="Nairobi"/>
    <s v="Kenya"/>
    <b v="0"/>
    <n v="1984"/>
    <n v="6191437070"/>
    <n v="8298309580"/>
    <x v="1"/>
    <n v="-1"/>
    <x v="0"/>
  </r>
  <r>
    <x v="741"/>
    <x v="542"/>
    <x v="19"/>
    <s v="Luxembourg"/>
    <s v="France"/>
    <n v="0"/>
    <n v="4"/>
    <s v="FIFA World Cup qualification"/>
    <s v="Luxembourg"/>
    <s v="Luxembourg"/>
    <b v="0"/>
    <n v="1984"/>
    <n v="4438435492"/>
    <n v="525033325827"/>
    <x v="0"/>
    <n v="1"/>
    <x v="2"/>
  </r>
  <r>
    <x v="742"/>
    <x v="542"/>
    <x v="19"/>
    <s v="Tanzania"/>
    <s v="Sudan"/>
    <n v="1"/>
    <n v="1"/>
    <s v="FIFA World Cup qualification"/>
    <s v="Mwanza"/>
    <s v="Tanzania"/>
    <b v="0"/>
    <n v="1984"/>
    <n v="12906635133"/>
    <n v="10447615384"/>
    <x v="1"/>
    <n v="0"/>
    <x v="1"/>
  </r>
  <r>
    <x v="743"/>
    <x v="543"/>
    <x v="19"/>
    <s v="Belgium"/>
    <s v="Albania"/>
    <n v="3"/>
    <n v="1"/>
    <s v="FIFA World Cup qualification"/>
    <s v="Brussels"/>
    <s v="Belgium"/>
    <b v="0"/>
    <n v="1984"/>
    <n v="83349530159"/>
    <n v="1857337995"/>
    <x v="0"/>
    <n v="1"/>
    <x v="2"/>
  </r>
  <r>
    <x v="744"/>
    <x v="543"/>
    <x v="19"/>
    <s v="England"/>
    <s v="Finland"/>
    <n v="5"/>
    <n v="0"/>
    <s v="FIFA World Cup qualification"/>
    <s v="London"/>
    <s v="England"/>
    <b v="0"/>
    <n v="1984"/>
    <n v="461487097632"/>
    <n v="52870993272"/>
    <x v="0"/>
    <n v="1"/>
    <x v="2"/>
  </r>
  <r>
    <x v="745"/>
    <x v="543"/>
    <x v="19"/>
    <s v="Germany"/>
    <s v="Sweden"/>
    <n v="2"/>
    <n v="0"/>
    <s v="FIFA World Cup qualification"/>
    <s v="Cologne"/>
    <s v="Germany"/>
    <b v="0"/>
    <n v="1984"/>
    <n v="727767760978"/>
    <n v="109043045407"/>
    <x v="0"/>
    <n v="1"/>
    <x v="2"/>
  </r>
  <r>
    <x v="746"/>
    <x v="543"/>
    <x v="19"/>
    <s v="Netherlands"/>
    <s v="Hungary"/>
    <n v="1"/>
    <n v="2"/>
    <s v="FIFA World Cup qualification"/>
    <s v="Rotterdam"/>
    <s v="Netherlands"/>
    <b v="0"/>
    <n v="1984"/>
    <n v="144124462912"/>
    <n v="21242726264"/>
    <x v="0"/>
    <n v="-1"/>
    <x v="0"/>
  </r>
  <r>
    <x v="747"/>
    <x v="543"/>
    <x v="19"/>
    <s v="Switzerland"/>
    <s v="Denmark"/>
    <n v="1"/>
    <n v="0"/>
    <s v="FIFA World Cup qualification"/>
    <s v="Bern"/>
    <s v="Switzerland"/>
    <b v="0"/>
    <n v="1984"/>
    <n v="109455312167"/>
    <n v="58868891334"/>
    <x v="1"/>
    <n v="1"/>
    <x v="2"/>
  </r>
  <r>
    <x v="748"/>
    <x v="544"/>
    <x v="19"/>
    <s v="Nigeria"/>
    <s v="Liberia"/>
    <n v="3"/>
    <n v="0"/>
    <s v="FIFA World Cup qualification"/>
    <s v="Lagos"/>
    <s v="Nigeria"/>
    <b v="0"/>
    <n v="1984"/>
    <n v="73484359521"/>
    <n v="848478300"/>
    <x v="0"/>
    <n v="1"/>
    <x v="2"/>
  </r>
  <r>
    <x v="749"/>
    <x v="545"/>
    <x v="19"/>
    <s v="Sudan"/>
    <s v="Tanzania"/>
    <n v="0"/>
    <n v="0"/>
    <s v="FIFA World Cup qualification"/>
    <s v="Khartoum"/>
    <s v="Sudan"/>
    <b v="0"/>
    <n v="1984"/>
    <n v="10447615384"/>
    <n v="12906635133"/>
    <x v="1"/>
    <n v="0"/>
    <x v="1"/>
  </r>
  <r>
    <x v="750"/>
    <x v="546"/>
    <x v="19"/>
    <s v="Benin"/>
    <s v="Tunisia"/>
    <n v="0"/>
    <n v="2"/>
    <s v="FIFA World Cup qualification"/>
    <s v="Cotonou"/>
    <s v="Benin"/>
    <b v="0"/>
    <n v="1984"/>
    <n v="1051134008"/>
    <n v="8254541194"/>
    <x v="0"/>
    <n v="1"/>
    <x v="2"/>
  </r>
  <r>
    <x v="751"/>
    <x v="546"/>
    <x v="19"/>
    <s v="Ethiopia"/>
    <s v="Kenya"/>
    <n v="3"/>
    <n v="3"/>
    <s v="FIFA World Cup qualification"/>
    <s v="Addis Ababa"/>
    <s v="Ethiopia"/>
    <b v="0"/>
    <n v="1984"/>
    <n v="8298309580"/>
    <n v="6191437070"/>
    <x v="1"/>
    <n v="0"/>
    <x v="1"/>
  </r>
  <r>
    <x v="752"/>
    <x v="547"/>
    <x v="19"/>
    <s v="Liberia"/>
    <s v="Nigeria"/>
    <n v="0"/>
    <n v="1"/>
    <s v="FIFA World Cup qualification"/>
    <s v="Monrovia"/>
    <s v="Liberia"/>
    <b v="0"/>
    <n v="1984"/>
    <n v="848478300"/>
    <n v="73484359521"/>
    <x v="0"/>
    <n v="1"/>
    <x v="2"/>
  </r>
  <r>
    <x v="753"/>
    <x v="548"/>
    <x v="19"/>
    <s v="Tunisia"/>
    <s v="Benin"/>
    <n v="4"/>
    <n v="0"/>
    <s v="FIFA World Cup qualification"/>
    <s v="Tunis"/>
    <s v="Tunisia"/>
    <b v="0"/>
    <n v="1984"/>
    <n v="8254541194"/>
    <n v="1051134008"/>
    <x v="0"/>
    <n v="1"/>
    <x v="2"/>
  </r>
  <r>
    <x v="754"/>
    <x v="549"/>
    <x v="19"/>
    <s v="Austria"/>
    <s v="Netherlands"/>
    <n v="1"/>
    <n v="0"/>
    <s v="FIFA World Cup qualification"/>
    <s v="Vienna"/>
    <s v="Austria"/>
    <b v="0"/>
    <n v="1984"/>
    <n v="67719055773"/>
    <n v="144124462912"/>
    <x v="0"/>
    <n v="-1"/>
    <x v="0"/>
  </r>
  <r>
    <x v="755"/>
    <x v="549"/>
    <x v="19"/>
    <s v="Portugal"/>
    <s v="Sweden"/>
    <n v="1"/>
    <n v="3"/>
    <s v="FIFA World Cup qualification"/>
    <s v="Lisbon"/>
    <s v="Portugal"/>
    <b v="0"/>
    <n v="1984"/>
    <n v="25217969049"/>
    <n v="109043045407"/>
    <x v="0"/>
    <n v="1"/>
    <x v="2"/>
  </r>
  <r>
    <x v="756"/>
    <x v="550"/>
    <x v="19"/>
    <s v="Cyprus"/>
    <s v="Hungary"/>
    <n v="1"/>
    <n v="2"/>
    <s v="FIFA World Cup qualification"/>
    <s v="Limassol"/>
    <s v="Cyprus"/>
    <b v="0"/>
    <n v="1984"/>
    <n v="2278248953"/>
    <n v="21242726264"/>
    <x v="0"/>
    <n v="1"/>
    <x v="2"/>
  </r>
  <r>
    <x v="757"/>
    <x v="551"/>
    <x v="19"/>
    <s v="France"/>
    <s v="Bulgaria"/>
    <n v="1"/>
    <n v="0"/>
    <s v="FIFA World Cup qualification"/>
    <s v="Paris"/>
    <s v="France"/>
    <b v="0"/>
    <n v="1984"/>
    <n v="525033325827"/>
    <n v="17594944444"/>
    <x v="0"/>
    <n v="1"/>
    <x v="2"/>
  </r>
  <r>
    <x v="758"/>
    <x v="552"/>
    <x v="19"/>
    <s v="Bulgaria"/>
    <s v="Luxembourg"/>
    <n v="4"/>
    <n v="0"/>
    <s v="FIFA World Cup qualification"/>
    <s v="Sofia"/>
    <s v="Bulgaria"/>
    <b v="0"/>
    <n v="1984"/>
    <n v="17594944444"/>
    <n v="4438435492"/>
    <x v="0"/>
    <n v="1"/>
    <x v="2"/>
  </r>
  <r>
    <x v="759"/>
    <x v="553"/>
    <x v="19"/>
    <s v="Malta"/>
    <s v="Germany"/>
    <n v="2"/>
    <n v="3"/>
    <s v="FIFA World Cup qualification"/>
    <s v="Attard"/>
    <s v="Malta"/>
    <b v="0"/>
    <n v="1984"/>
    <n v="1101807023"/>
    <n v="727767760978"/>
    <x v="0"/>
    <n v="1"/>
    <x v="2"/>
  </r>
  <r>
    <x v="760"/>
    <x v="554"/>
    <x v="19"/>
    <s v="Greece"/>
    <s v="Belgium"/>
    <n v="0"/>
    <n v="0"/>
    <s v="FIFA World Cup qualification"/>
    <s v="Athens"/>
    <s v="Greece"/>
    <b v="0"/>
    <n v="1984"/>
    <n v="47352146311"/>
    <n v="83349530159"/>
    <x v="1"/>
    <n v="0"/>
    <x v="1"/>
  </r>
  <r>
    <x v="761"/>
    <x v="555"/>
    <x v="19"/>
    <s v="Albania"/>
    <s v="Belgium"/>
    <n v="2"/>
    <n v="0"/>
    <s v="FIFA World Cup qualification"/>
    <s v="Tirana"/>
    <s v="Albania"/>
    <b v="0"/>
    <n v="1984"/>
    <n v="1857337995"/>
    <n v="83349530159"/>
    <x v="0"/>
    <n v="-1"/>
    <x v="0"/>
  </r>
  <r>
    <x v="762"/>
    <x v="556"/>
    <x v="19"/>
    <s v="Cyprus"/>
    <s v="Netherlands"/>
    <n v="0"/>
    <n v="1"/>
    <s v="FIFA World Cup qualification"/>
    <s v="Nicosia"/>
    <s v="Cyprus"/>
    <b v="0"/>
    <n v="1984"/>
    <n v="2278248953"/>
    <n v="144124462912"/>
    <x v="0"/>
    <n v="1"/>
    <x v="2"/>
  </r>
  <r>
    <x v="763"/>
    <x v="557"/>
    <x v="20"/>
    <s v="Guinea"/>
    <s v="Tunisia"/>
    <n v="1"/>
    <n v="0"/>
    <s v="FIFA World Cup qualification"/>
    <s v="Conakry"/>
    <s v="Guinea"/>
    <b v="0"/>
    <n v="1985"/>
    <n v="22787644565"/>
    <n v="8410226052"/>
    <x v="0"/>
    <n v="1"/>
    <x v="2"/>
  </r>
  <r>
    <x v="764"/>
    <x v="557"/>
    <x v="20"/>
    <s v="Malta"/>
    <s v="Portugal"/>
    <n v="1"/>
    <n v="3"/>
    <s v="FIFA World Cup qualification"/>
    <s v="Attard"/>
    <s v="Malta"/>
    <b v="0"/>
    <n v="1985"/>
    <n v="1117797439"/>
    <n v="27115807742"/>
    <x v="0"/>
    <n v="1"/>
    <x v="2"/>
  </r>
  <r>
    <x v="765"/>
    <x v="558"/>
    <x v="20"/>
    <s v="Sudan"/>
    <s v="Libya"/>
    <n v="0"/>
    <n v="0"/>
    <s v="FIFA World Cup qualification"/>
    <s v="Khartoum"/>
    <s v="Sudan"/>
    <b v="0"/>
    <n v="1985"/>
    <n v="8075259600"/>
    <n v="31530566324"/>
    <x v="0"/>
    <n v="0"/>
    <x v="1"/>
  </r>
  <r>
    <x v="766"/>
    <x v="559"/>
    <x v="20"/>
    <s v="Singapore"/>
    <s v="Japan"/>
    <n v="1"/>
    <n v="3"/>
    <s v="FIFA World Cup qualification"/>
    <s v="Kallang"/>
    <s v="Singapore"/>
    <b v="0"/>
    <n v="1985"/>
    <n v="19156532745"/>
    <n v="1427019759717"/>
    <x v="0"/>
    <n v="1"/>
    <x v="2"/>
  </r>
  <r>
    <x v="767"/>
    <x v="560"/>
    <x v="20"/>
    <s v="Portugal"/>
    <s v="Germany"/>
    <n v="1"/>
    <n v="2"/>
    <s v="FIFA World Cup qualification"/>
    <s v="Oeiras"/>
    <s v="Portugal"/>
    <b v="0"/>
    <n v="1985"/>
    <n v="27115807742"/>
    <n v="735218723093"/>
    <x v="0"/>
    <n v="1"/>
    <x v="2"/>
  </r>
  <r>
    <x v="768"/>
    <x v="560"/>
    <x v="20"/>
    <s v="Tunisia"/>
    <s v="Guinea"/>
    <n v="2"/>
    <n v="0"/>
    <s v="FIFA World Cup qualification"/>
    <s v="Tunis"/>
    <s v="Tunisia"/>
    <b v="0"/>
    <n v="1985"/>
    <n v="8410226052"/>
    <n v="22787644565"/>
    <x v="0"/>
    <n v="-1"/>
    <x v="0"/>
  </r>
  <r>
    <x v="769"/>
    <x v="561"/>
    <x v="20"/>
    <s v="Greece"/>
    <s v="Albania"/>
    <n v="2"/>
    <n v="0"/>
    <s v="FIFA World Cup qualification"/>
    <s v="Athens"/>
    <s v="Greece"/>
    <b v="0"/>
    <n v="1985"/>
    <n v="47155741426"/>
    <n v="1897050116"/>
    <x v="0"/>
    <n v="1"/>
    <x v="2"/>
  </r>
  <r>
    <x v="770"/>
    <x v="561"/>
    <x v="20"/>
    <s v="Netherlands"/>
    <s v="Cyprus"/>
    <n v="7"/>
    <n v="1"/>
    <s v="FIFA World Cup qualification"/>
    <s v="Amsterdam"/>
    <s v="Netherlands"/>
    <b v="0"/>
    <n v="1985"/>
    <n v="144057523221"/>
    <n v="2430411900"/>
    <x v="0"/>
    <n v="1"/>
    <x v="2"/>
  </r>
  <r>
    <x v="771"/>
    <x v="562"/>
    <x v="20"/>
    <s v="Nepal"/>
    <s v="South Korea"/>
    <n v="0"/>
    <n v="2"/>
    <s v="FIFA World Cup qualification"/>
    <s v="Kathmandu"/>
    <s v="Nepal"/>
    <b v="0"/>
    <n v="1985"/>
    <n v="2619913955"/>
    <n v="103764281280"/>
    <x v="0"/>
    <n v="1"/>
    <x v="2"/>
  </r>
  <r>
    <x v="772"/>
    <x v="563"/>
    <x v="20"/>
    <s v="Ecuador"/>
    <s v="Chile"/>
    <n v="1"/>
    <n v="1"/>
    <s v="FIFA World Cup qualification"/>
    <s v="Quito"/>
    <s v="Ecuador"/>
    <b v="0"/>
    <n v="1985"/>
    <n v="17149088413"/>
    <n v="17933557359"/>
    <x v="1"/>
    <n v="0"/>
    <x v="1"/>
  </r>
  <r>
    <x v="773"/>
    <x v="564"/>
    <x v="20"/>
    <s v="Libya"/>
    <s v="Sudan"/>
    <n v="4"/>
    <n v="0"/>
    <s v="FIFA World Cup qualification"/>
    <s v="Tripoli"/>
    <s v="Libya"/>
    <b v="0"/>
    <n v="1985"/>
    <n v="31530566324"/>
    <n v="8075259600"/>
    <x v="0"/>
    <n v="1"/>
    <x v="2"/>
  </r>
  <r>
    <x v="774"/>
    <x v="565"/>
    <x v="20"/>
    <s v="Malaysia"/>
    <s v="South Korea"/>
    <n v="1"/>
    <n v="0"/>
    <s v="FIFA World Cup qualification"/>
    <s v="Kuala Lumpur"/>
    <s v="Malaysia"/>
    <b v="0"/>
    <n v="1985"/>
    <n v="31199633352"/>
    <n v="103764281280"/>
    <x v="0"/>
    <n v="-1"/>
    <x v="0"/>
  </r>
  <r>
    <x v="775"/>
    <x v="565"/>
    <x v="20"/>
    <s v="Uruguay"/>
    <s v="Ecuador"/>
    <n v="2"/>
    <n v="1"/>
    <s v="FIFA World Cup qualification"/>
    <s v="Montevideo"/>
    <s v="Uruguay"/>
    <b v="0"/>
    <n v="1985"/>
    <n v="4732017873"/>
    <n v="17149088413"/>
    <x v="0"/>
    <n v="-1"/>
    <x v="0"/>
  </r>
  <r>
    <x v="776"/>
    <x v="566"/>
    <x v="20"/>
    <s v="Indonesia"/>
    <s v="Thailand"/>
    <n v="1"/>
    <n v="0"/>
    <s v="FIFA World Cup qualification"/>
    <s v="Jakarta"/>
    <s v="Indonesia"/>
    <b v="0"/>
    <n v="1985"/>
    <n v="85289488375"/>
    <n v="38900711332"/>
    <x v="0"/>
    <n v="1"/>
    <x v="2"/>
  </r>
  <r>
    <x v="777"/>
    <x v="566"/>
    <x v="20"/>
    <s v="Jordan"/>
    <s v="Qatar"/>
    <n v="1"/>
    <n v="0"/>
    <s v="FIFA World Cup qualification"/>
    <s v="Amman"/>
    <s v="Jordan"/>
    <b v="0"/>
    <n v="1985"/>
    <n v="4993601520"/>
    <n v="6153296456"/>
    <x v="1"/>
    <n v="-1"/>
    <x v="0"/>
  </r>
  <r>
    <x v="778"/>
    <x v="567"/>
    <x v="20"/>
    <s v="Nepal"/>
    <s v="Malaysia"/>
    <n v="0"/>
    <n v="0"/>
    <s v="FIFA World Cup qualification"/>
    <s v="Kathmandu"/>
    <s v="Nepal"/>
    <b v="0"/>
    <n v="1985"/>
    <n v="2619913955"/>
    <n v="31199633352"/>
    <x v="0"/>
    <n v="0"/>
    <x v="1"/>
  </r>
  <r>
    <x v="779"/>
    <x v="568"/>
    <x v="20"/>
    <s v="Chile"/>
    <s v="Ecuador"/>
    <n v="6"/>
    <n v="2"/>
    <s v="FIFA World Cup qualification"/>
    <s v="Santiago"/>
    <s v="Chile"/>
    <b v="0"/>
    <n v="1985"/>
    <n v="17933557359"/>
    <n v="17149088413"/>
    <x v="1"/>
    <n v="1"/>
    <x v="2"/>
  </r>
  <r>
    <x v="780"/>
    <x v="569"/>
    <x v="20"/>
    <s v="Indonesia"/>
    <s v="Bangladesh"/>
    <n v="2"/>
    <n v="0"/>
    <s v="FIFA World Cup qualification"/>
    <s v="Jakarta"/>
    <s v="Indonesia"/>
    <b v="0"/>
    <n v="1985"/>
    <n v="85289488375"/>
    <n v="22278423076"/>
    <x v="0"/>
    <n v="1"/>
    <x v="2"/>
  </r>
  <r>
    <x v="781"/>
    <x v="570"/>
    <x v="20"/>
    <s v="Indonesia"/>
    <s v="India"/>
    <n v="2"/>
    <n v="1"/>
    <s v="FIFA World Cup qualification"/>
    <s v="Jakarta"/>
    <s v="Indonesia"/>
    <b v="0"/>
    <n v="1985"/>
    <n v="85289488375"/>
    <n v="232511554840"/>
    <x v="0"/>
    <n v="-1"/>
    <x v="0"/>
  </r>
  <r>
    <x v="782"/>
    <x v="571"/>
    <x v="20"/>
    <s v="Syria"/>
    <s v="Kuwait"/>
    <n v="1"/>
    <n v="0"/>
    <s v="FIFA World Cup qualification"/>
    <s v="Damascus"/>
    <s v="Syria"/>
    <b v="0"/>
    <n v="1985"/>
    <n v="16403539892"/>
    <n v="21445970613"/>
    <x v="1"/>
    <n v="-1"/>
    <x v="0"/>
  </r>
  <r>
    <x v="783"/>
    <x v="572"/>
    <x v="20"/>
    <s v="Thailand"/>
    <s v="Bangladesh"/>
    <n v="3"/>
    <n v="0"/>
    <s v="FIFA World Cup qualification"/>
    <s v="Bangkok"/>
    <s v="Thailand"/>
    <b v="0"/>
    <n v="1985"/>
    <n v="38900711332"/>
    <n v="22278423076"/>
    <x v="1"/>
    <n v="1"/>
    <x v="2"/>
  </r>
  <r>
    <x v="784"/>
    <x v="573"/>
    <x v="20"/>
    <s v="Chile"/>
    <s v="Uruguay"/>
    <n v="2"/>
    <n v="0"/>
    <s v="FIFA World Cup qualification"/>
    <s v="Santiago"/>
    <s v="Chile"/>
    <b v="0"/>
    <n v="1985"/>
    <n v="17933557359"/>
    <n v="4732017873"/>
    <x v="0"/>
    <n v="1"/>
    <x v="2"/>
  </r>
  <r>
    <x v="785"/>
    <x v="574"/>
    <x v="20"/>
    <s v="Thailand"/>
    <s v="India"/>
    <n v="0"/>
    <n v="0"/>
    <s v="FIFA World Cup qualification"/>
    <s v="Bangkok"/>
    <s v="Thailand"/>
    <b v="0"/>
    <n v="1985"/>
    <n v="38900711332"/>
    <n v="232511554840"/>
    <x v="0"/>
    <n v="0"/>
    <x v="1"/>
  </r>
  <r>
    <x v="786"/>
    <x v="575"/>
    <x v="20"/>
    <s v="Belgium"/>
    <s v="Greece"/>
    <n v="2"/>
    <n v="0"/>
    <s v="FIFA World Cup qualification"/>
    <s v="Brussels"/>
    <s v="Belgium"/>
    <b v="0"/>
    <n v="1985"/>
    <n v="86268264148"/>
    <n v="47155741426"/>
    <x v="1"/>
    <n v="1"/>
    <x v="2"/>
  </r>
  <r>
    <x v="787"/>
    <x v="575"/>
    <x v="20"/>
    <s v="Germany"/>
    <s v="Malta"/>
    <n v="6"/>
    <n v="0"/>
    <s v="FIFA World Cup qualification"/>
    <s v="Saarbr√ºcken"/>
    <s v="Germany"/>
    <b v="0"/>
    <n v="1985"/>
    <n v="735218723093"/>
    <n v="1117797439"/>
    <x v="0"/>
    <n v="1"/>
    <x v="2"/>
  </r>
  <r>
    <x v="788"/>
    <x v="576"/>
    <x v="20"/>
    <s v="Jordan"/>
    <s v="Iraq"/>
    <n v="2"/>
    <n v="3"/>
    <s v="FIFA World Cup qualification"/>
    <s v="Amman"/>
    <s v="Jordan"/>
    <b v="0"/>
    <n v="1985"/>
    <n v="4993601520"/>
    <n v="48425161290"/>
    <x v="0"/>
    <n v="1"/>
    <x v="2"/>
  </r>
  <r>
    <x v="789"/>
    <x v="576"/>
    <x v="20"/>
    <s v="Thailand"/>
    <s v="Indonesia"/>
    <n v="0"/>
    <n v="1"/>
    <s v="FIFA World Cup qualification"/>
    <s v="Bangkok"/>
    <s v="Thailand"/>
    <b v="0"/>
    <n v="1985"/>
    <n v="38900711332"/>
    <n v="85289488375"/>
    <x v="0"/>
    <n v="1"/>
    <x v="2"/>
  </r>
  <r>
    <x v="790"/>
    <x v="577"/>
    <x v="20"/>
    <s v="Bangladesh"/>
    <s v="India"/>
    <n v="1"/>
    <n v="2"/>
    <s v="FIFA World Cup qualification"/>
    <s v="Dhaka"/>
    <s v="Bangladesh"/>
    <b v="0"/>
    <n v="1985"/>
    <n v="22278423076"/>
    <n v="232511554840"/>
    <x v="0"/>
    <n v="1"/>
    <x v="2"/>
  </r>
  <r>
    <x v="791"/>
    <x v="578"/>
    <x v="20"/>
    <s v="Angola"/>
    <s v="Algeria"/>
    <n v="0"/>
    <n v="0"/>
    <s v="FIFA World Cup qualification"/>
    <s v="Luanda"/>
    <s v="Angola"/>
    <b v="0"/>
    <n v="1985"/>
    <n v="7554065410"/>
    <n v="57937868670"/>
    <x v="0"/>
    <n v="0"/>
    <x v="1"/>
  </r>
  <r>
    <x v="792"/>
    <x v="578"/>
    <x v="20"/>
    <s v="Ecuador"/>
    <s v="Uruguay"/>
    <n v="0"/>
    <n v="2"/>
    <s v="FIFA World Cup qualification"/>
    <s v="Quito"/>
    <s v="Ecuador"/>
    <b v="0"/>
    <n v="1985"/>
    <n v="17149088413"/>
    <n v="4732017873"/>
    <x v="0"/>
    <n v="-1"/>
    <x v="0"/>
  </r>
  <r>
    <x v="793"/>
    <x v="578"/>
    <x v="20"/>
    <s v="Malaysia"/>
    <s v="Nepal"/>
    <n v="5"/>
    <n v="0"/>
    <s v="FIFA World Cup qualification"/>
    <s v="Kuala Lumpur"/>
    <s v="Malaysia"/>
    <b v="0"/>
    <n v="1985"/>
    <n v="31199633352"/>
    <n v="2619913955"/>
    <x v="0"/>
    <n v="1"/>
    <x v="2"/>
  </r>
  <r>
    <x v="794"/>
    <x v="579"/>
    <x v="20"/>
    <s v="Bangladesh"/>
    <s v="Indonesia"/>
    <n v="2"/>
    <n v="1"/>
    <s v="FIFA World Cup qualification"/>
    <s v="Dhaka"/>
    <s v="Bangladesh"/>
    <b v="0"/>
    <n v="1985"/>
    <n v="22278423076"/>
    <n v="85289488375"/>
    <x v="0"/>
    <n v="-1"/>
    <x v="0"/>
  </r>
  <r>
    <x v="795"/>
    <x v="580"/>
    <x v="20"/>
    <s v="Hungary"/>
    <s v="Cyprus"/>
    <n v="2"/>
    <n v="0"/>
    <s v="FIFA World Cup qualification"/>
    <s v="Budapest"/>
    <s v="Hungary"/>
    <b v="0"/>
    <n v="1985"/>
    <n v="21510643750"/>
    <n v="2430411900"/>
    <x v="0"/>
    <n v="1"/>
    <x v="2"/>
  </r>
  <r>
    <x v="796"/>
    <x v="581"/>
    <x v="20"/>
    <s v="Bangladesh"/>
    <s v="Thailand"/>
    <n v="1"/>
    <n v="0"/>
    <s v="FIFA World Cup qualification"/>
    <s v="Dhaka"/>
    <s v="Bangladesh"/>
    <b v="0"/>
    <n v="1985"/>
    <n v="22278423076"/>
    <n v="38900711332"/>
    <x v="1"/>
    <n v="-1"/>
    <x v="0"/>
  </r>
  <r>
    <x v="797"/>
    <x v="581"/>
    <x v="20"/>
    <s v="Egypt"/>
    <s v="Madagascar"/>
    <n v="1"/>
    <n v="0"/>
    <s v="FIFA World Cup qualification"/>
    <s v="Cairo"/>
    <s v="Egypt"/>
    <b v="0"/>
    <n v="1985"/>
    <n v="39053502251"/>
    <n v="3802557894"/>
    <x v="0"/>
    <n v="1"/>
    <x v="2"/>
  </r>
  <r>
    <x v="798"/>
    <x v="581"/>
    <x v="20"/>
    <s v="Qatar"/>
    <s v="Iraq"/>
    <n v="3"/>
    <n v="0"/>
    <s v="FIFA World Cup qualification"/>
    <s v="Doha"/>
    <s v="Qatar"/>
    <b v="0"/>
    <n v="1985"/>
    <n v="6153296456"/>
    <n v="48425161290"/>
    <x v="0"/>
    <n v="-1"/>
    <x v="0"/>
  </r>
  <r>
    <x v="799"/>
    <x v="582"/>
    <x v="20"/>
    <s v="India"/>
    <s v="Indonesia"/>
    <n v="1"/>
    <n v="1"/>
    <s v="FIFA World Cup qualification"/>
    <s v="Calcutta"/>
    <s v="India"/>
    <b v="0"/>
    <n v="1985"/>
    <n v="232511554840"/>
    <n v="85289488375"/>
    <x v="0"/>
    <n v="0"/>
    <x v="1"/>
  </r>
  <r>
    <x v="800"/>
    <x v="582"/>
    <x v="20"/>
    <s v="Kenya"/>
    <s v="Nigeria"/>
    <n v="0"/>
    <n v="3"/>
    <s v="FIFA World Cup qualification"/>
    <s v="Nairobi"/>
    <s v="Kenya"/>
    <b v="0"/>
    <n v="1985"/>
    <n v="6135034213"/>
    <n v="73745821158"/>
    <x v="0"/>
    <n v="1"/>
    <x v="2"/>
  </r>
  <r>
    <x v="801"/>
    <x v="582"/>
    <x v="20"/>
    <s v="South Korea"/>
    <s v="Nepal"/>
    <n v="4"/>
    <n v="0"/>
    <s v="FIFA World Cup qualification"/>
    <s v="Seoul"/>
    <s v="South Korea"/>
    <b v="0"/>
    <n v="1985"/>
    <n v="103764281280"/>
    <n v="2619913955"/>
    <x v="0"/>
    <n v="1"/>
    <x v="2"/>
  </r>
  <r>
    <x v="802"/>
    <x v="583"/>
    <x v="20"/>
    <s v="Morocco"/>
    <s v="Malawi"/>
    <n v="2"/>
    <n v="0"/>
    <s v="FIFA World Cup qualification"/>
    <s v="Rabat"/>
    <s v="Morocco"/>
    <b v="0"/>
    <n v="1985"/>
    <n v="14991283215"/>
    <n v="1646442272"/>
    <x v="0"/>
    <n v="1"/>
    <x v="2"/>
  </r>
  <r>
    <x v="803"/>
    <x v="583"/>
    <x v="20"/>
    <s v="Uruguay"/>
    <s v="Chile"/>
    <n v="2"/>
    <n v="1"/>
    <s v="FIFA World Cup qualification"/>
    <s v="Montevideo"/>
    <s v="Uruguay"/>
    <b v="0"/>
    <n v="1985"/>
    <n v="4732017873"/>
    <n v="17933557359"/>
    <x v="0"/>
    <n v="-1"/>
    <x v="0"/>
  </r>
  <r>
    <x v="804"/>
    <x v="583"/>
    <x v="20"/>
    <s v="Zambia"/>
    <s v="Cameroon"/>
    <n v="4"/>
    <n v="1"/>
    <s v="FIFA World Cup qualification"/>
    <s v="Lusaka"/>
    <s v="Zambia"/>
    <b v="0"/>
    <n v="1985"/>
    <n v="2252454500"/>
    <n v="8544810497"/>
    <x v="0"/>
    <n v="-1"/>
    <x v="0"/>
  </r>
  <r>
    <x v="805"/>
    <x v="584"/>
    <x v="20"/>
    <s v="India"/>
    <s v="Thailand"/>
    <n v="1"/>
    <n v="1"/>
    <s v="FIFA World Cup qualification"/>
    <s v="Calcutta"/>
    <s v="India"/>
    <b v="0"/>
    <n v="1985"/>
    <n v="232511554840"/>
    <n v="38900711332"/>
    <x v="0"/>
    <n v="0"/>
    <x v="1"/>
  </r>
  <r>
    <x v="806"/>
    <x v="585"/>
    <x v="20"/>
    <s v="India"/>
    <s v="Bangladesh"/>
    <n v="2"/>
    <n v="1"/>
    <s v="FIFA World Cup qualification"/>
    <s v="Calcutta"/>
    <s v="India"/>
    <b v="0"/>
    <n v="1985"/>
    <n v="232511554840"/>
    <n v="22278423076"/>
    <x v="0"/>
    <n v="1"/>
    <x v="2"/>
  </r>
  <r>
    <x v="807"/>
    <x v="585"/>
    <x v="20"/>
    <s v="Kuwait"/>
    <s v="Syria"/>
    <n v="0"/>
    <n v="0"/>
    <s v="FIFA World Cup qualification"/>
    <s v="Kuwait City"/>
    <s v="Kuwait"/>
    <b v="0"/>
    <n v="1985"/>
    <n v="21445970613"/>
    <n v="16403539892"/>
    <x v="1"/>
    <n v="0"/>
    <x v="1"/>
  </r>
  <r>
    <x v="808"/>
    <x v="585"/>
    <x v="20"/>
    <s v="Qatar"/>
    <s v="Jordan"/>
    <n v="2"/>
    <n v="0"/>
    <s v="FIFA World Cup qualification"/>
    <s v="Doha"/>
    <s v="Qatar"/>
    <b v="0"/>
    <n v="1985"/>
    <n v="6153296456"/>
    <n v="4993601520"/>
    <x v="1"/>
    <n v="1"/>
    <x v="2"/>
  </r>
  <r>
    <x v="809"/>
    <x v="585"/>
    <x v="20"/>
    <s v="Saudi Arabia"/>
    <s v="United Arab Emirates"/>
    <n v="0"/>
    <n v="0"/>
    <s v="FIFA World Cup qualification"/>
    <s v="Riyadh"/>
    <s v="Saudi Arabia"/>
    <b v="0"/>
    <n v="1985"/>
    <n v="103897846493"/>
    <n v="40603650231"/>
    <x v="0"/>
    <n v="0"/>
    <x v="1"/>
  </r>
  <r>
    <x v="810"/>
    <x v="586"/>
    <x v="20"/>
    <s v="Austria"/>
    <s v="Hungary"/>
    <n v="0"/>
    <n v="3"/>
    <s v="FIFA World Cup qualification"/>
    <s v="Vienna"/>
    <s v="Austria"/>
    <b v="0"/>
    <n v="1985"/>
    <n v="69114996009"/>
    <n v="21510643750"/>
    <x v="0"/>
    <n v="-1"/>
    <x v="0"/>
  </r>
  <r>
    <x v="811"/>
    <x v="587"/>
    <x v="20"/>
    <s v="Algeria"/>
    <s v="Angola"/>
    <n v="3"/>
    <n v="2"/>
    <s v="FIFA World Cup qualification"/>
    <s v="Algiers"/>
    <s v="Algeria"/>
    <b v="0"/>
    <n v="1985"/>
    <n v="57937868670"/>
    <n v="7554065410"/>
    <x v="0"/>
    <n v="1"/>
    <x v="2"/>
  </r>
  <r>
    <x v="812"/>
    <x v="587"/>
    <x v="20"/>
    <s v="Iraq"/>
    <s v="Jordan"/>
    <n v="2"/>
    <n v="0"/>
    <s v="FIFA World Cup qualification"/>
    <s v="Kuwait City"/>
    <s v="Kuwait"/>
    <b v="1"/>
    <n v="1985"/>
    <n v="48425161290"/>
    <n v="4993601520"/>
    <x v="0"/>
    <n v="1"/>
    <x v="2"/>
  </r>
  <r>
    <x v="813"/>
    <x v="587"/>
    <x v="20"/>
    <s v="United Arab Emirates"/>
    <s v="Saudi Arabia"/>
    <n v="1"/>
    <n v="0"/>
    <s v="FIFA World Cup qualification"/>
    <s v="Dubai"/>
    <s v="United Arab Emirates"/>
    <b v="0"/>
    <n v="1985"/>
    <n v="40603650231"/>
    <n v="103897846493"/>
    <x v="0"/>
    <n v="-1"/>
    <x v="0"/>
  </r>
  <r>
    <x v="814"/>
    <x v="588"/>
    <x v="20"/>
    <s v="Nigeria"/>
    <s v="Kenya"/>
    <n v="3"/>
    <n v="1"/>
    <s v="FIFA World Cup qualification"/>
    <s v="Lagos"/>
    <s v="Nigeria"/>
    <b v="0"/>
    <n v="1985"/>
    <n v="73745821158"/>
    <n v="6135034213"/>
    <x v="0"/>
    <n v="1"/>
    <x v="2"/>
  </r>
  <r>
    <x v="815"/>
    <x v="589"/>
    <x v="20"/>
    <s v="Cameroon"/>
    <s v="Zambia"/>
    <n v="1"/>
    <n v="1"/>
    <s v="FIFA World Cup qualification"/>
    <s v="Yaound√©"/>
    <s v="Cameroon"/>
    <b v="0"/>
    <n v="1985"/>
    <n v="8544810497"/>
    <n v="2252454500"/>
    <x v="0"/>
    <n v="0"/>
    <x v="1"/>
  </r>
  <r>
    <x v="816"/>
    <x v="589"/>
    <x v="20"/>
    <s v="Madagascar"/>
    <s v="Egypt"/>
    <n v="1"/>
    <n v="0"/>
    <s v="FIFA World Cup qualification"/>
    <s v="Antananarivo"/>
    <s v="Madagascar"/>
    <b v="0"/>
    <n v="1985"/>
    <n v="3802557894"/>
    <n v="39053502251"/>
    <x v="0"/>
    <n v="-1"/>
    <x v="0"/>
  </r>
  <r>
    <x v="817"/>
    <x v="589"/>
    <x v="20"/>
    <s v="Malawi"/>
    <s v="Morocco"/>
    <n v="0"/>
    <n v="0"/>
    <s v="FIFA World Cup qualification"/>
    <s v="Blantyre"/>
    <s v="Malawi"/>
    <b v="0"/>
    <n v="1985"/>
    <n v="1646442272"/>
    <n v="14991283215"/>
    <x v="0"/>
    <n v="0"/>
    <x v="1"/>
  </r>
  <r>
    <x v="818"/>
    <x v="590"/>
    <x v="20"/>
    <s v="Netherlands"/>
    <s v="Austria"/>
    <n v="1"/>
    <n v="1"/>
    <s v="FIFA World Cup qualification"/>
    <s v="Rotterdam"/>
    <s v="Netherlands"/>
    <b v="0"/>
    <n v="1985"/>
    <n v="144057523221"/>
    <n v="69114996009"/>
    <x v="0"/>
    <n v="0"/>
    <x v="1"/>
  </r>
  <r>
    <x v="819"/>
    <x v="591"/>
    <x v="20"/>
    <s v="Bulgaria"/>
    <s v="France"/>
    <n v="2"/>
    <n v="0"/>
    <s v="FIFA World Cup qualification"/>
    <s v="Sofia"/>
    <s v="Bulgaria"/>
    <b v="0"/>
    <n v="1985"/>
    <n v="17155421052"/>
    <n v="547220981165"/>
    <x v="0"/>
    <n v="-1"/>
    <x v="0"/>
  </r>
  <r>
    <x v="820"/>
    <x v="592"/>
    <x v="20"/>
    <s v="Iraq"/>
    <s v="Qatar"/>
    <n v="2"/>
    <n v="1"/>
    <s v="FIFA World Cup qualification"/>
    <s v="Calcutta"/>
    <s v="India"/>
    <b v="1"/>
    <n v="1985"/>
    <n v="48425161290"/>
    <n v="6153296456"/>
    <x v="0"/>
    <n v="1"/>
    <x v="2"/>
  </r>
  <r>
    <x v="821"/>
    <x v="593"/>
    <x v="20"/>
    <s v="Austria"/>
    <s v="Cyprus"/>
    <n v="4"/>
    <n v="0"/>
    <s v="FIFA World Cup qualification"/>
    <s v="Graz"/>
    <s v="Austria"/>
    <b v="0"/>
    <n v="1985"/>
    <n v="69114996009"/>
    <n v="2430411900"/>
    <x v="0"/>
    <n v="1"/>
    <x v="2"/>
  </r>
  <r>
    <x v="822"/>
    <x v="594"/>
    <x v="20"/>
    <s v="Hungary"/>
    <s v="Netherlands"/>
    <n v="0"/>
    <n v="1"/>
    <s v="FIFA World Cup qualification"/>
    <s v="Budapest"/>
    <s v="Hungary"/>
    <b v="0"/>
    <n v="1985"/>
    <n v="21510643750"/>
    <n v="144057523221"/>
    <x v="0"/>
    <n v="1"/>
    <x v="2"/>
  </r>
  <r>
    <x v="823"/>
    <x v="595"/>
    <x v="20"/>
    <s v="Japan"/>
    <s v="Singapore"/>
    <n v="5"/>
    <n v="0"/>
    <s v="FIFA World Cup qualification"/>
    <s v="Tokyo"/>
    <s v="Japan"/>
    <b v="0"/>
    <n v="1985"/>
    <n v="1427019759717"/>
    <n v="19156532745"/>
    <x v="0"/>
    <n v="1"/>
    <x v="2"/>
  </r>
  <r>
    <x v="824"/>
    <x v="596"/>
    <x v="20"/>
    <s v="South Korea"/>
    <s v="Malaysia"/>
    <n v="2"/>
    <n v="0"/>
    <s v="FIFA World Cup qualification"/>
    <s v="Seoul"/>
    <s v="South Korea"/>
    <b v="0"/>
    <n v="1985"/>
    <n v="103764281280"/>
    <n v="31199633352"/>
    <x v="0"/>
    <n v="1"/>
    <x v="2"/>
  </r>
  <r>
    <x v="825"/>
    <x v="597"/>
    <x v="20"/>
    <s v="Finland"/>
    <s v="England"/>
    <n v="1"/>
    <n v="1"/>
    <s v="FIFA World Cup qualification"/>
    <s v="Helsinki"/>
    <s v="Finland"/>
    <b v="0"/>
    <n v="1985"/>
    <n v="55856676899"/>
    <n v="489285164271"/>
    <x v="0"/>
    <n v="0"/>
    <x v="1"/>
  </r>
  <r>
    <x v="826"/>
    <x v="598"/>
    <x v="20"/>
    <s v="Bolivia"/>
    <s v="Paraguay"/>
    <n v="1"/>
    <n v="1"/>
    <s v="FIFA World Cup qualification"/>
    <s v="Santa Cruz"/>
    <s v="Bolivia"/>
    <b v="0"/>
    <n v="1985"/>
    <n v="5377276554"/>
    <n v="3282449235"/>
    <x v="1"/>
    <n v="0"/>
    <x v="1"/>
  </r>
  <r>
    <x v="827"/>
    <x v="598"/>
    <x v="20"/>
    <s v="Colombia"/>
    <s v="Peru"/>
    <n v="1"/>
    <n v="0"/>
    <s v="FIFA World Cup qualification"/>
    <s v="Bogot√°"/>
    <s v="Colombia"/>
    <b v="0"/>
    <n v="1985"/>
    <n v="34894411351"/>
    <n v="15078736875"/>
    <x v="0"/>
    <n v="1"/>
    <x v="2"/>
  </r>
  <r>
    <x v="828"/>
    <x v="598"/>
    <x v="20"/>
    <s v="Venezuela"/>
    <s v="Argentina"/>
    <n v="2"/>
    <n v="3"/>
    <s v="FIFA World Cup qualification"/>
    <s v="San Crist√≥bal"/>
    <s v="Venezuela"/>
    <b v="0"/>
    <n v="1985"/>
    <n v="61965466666"/>
    <n v="88150891728"/>
    <x v="1"/>
    <n v="1"/>
    <x v="2"/>
  </r>
  <r>
    <x v="829"/>
    <x v="599"/>
    <x v="20"/>
    <s v="Bolivia"/>
    <s v="Brazil"/>
    <n v="0"/>
    <n v="2"/>
    <s v="FIFA World Cup qualification"/>
    <s v="Santa Cruz"/>
    <s v="Bolivia"/>
    <b v="0"/>
    <n v="1985"/>
    <n v="5377276554"/>
    <n v="210879844638"/>
    <x v="0"/>
    <n v="1"/>
    <x v="2"/>
  </r>
  <r>
    <x v="830"/>
    <x v="599"/>
    <x v="20"/>
    <s v="Colombia"/>
    <s v="Argentina"/>
    <n v="1"/>
    <n v="3"/>
    <s v="FIFA World Cup qualification"/>
    <s v="Bogot√°"/>
    <s v="Colombia"/>
    <b v="0"/>
    <n v="1985"/>
    <n v="34894411351"/>
    <n v="88150891728"/>
    <x v="0"/>
    <n v="1"/>
    <x v="2"/>
  </r>
  <r>
    <x v="831"/>
    <x v="599"/>
    <x v="20"/>
    <s v="Venezuela"/>
    <s v="Peru"/>
    <n v="0"/>
    <n v="1"/>
    <s v="FIFA World Cup qualification"/>
    <s v="San Crist√≥bal"/>
    <s v="Venezuela"/>
    <b v="0"/>
    <n v="1985"/>
    <n v="61965466666"/>
    <n v="15078736875"/>
    <x v="0"/>
    <n v="-1"/>
    <x v="0"/>
  </r>
  <r>
    <x v="832"/>
    <x v="600"/>
    <x v="20"/>
    <s v="Argentina"/>
    <s v="Venezuela"/>
    <n v="3"/>
    <n v="0"/>
    <s v="FIFA World Cup qualification"/>
    <s v="Buenos Aires"/>
    <s v="Argentina"/>
    <b v="0"/>
    <n v="1985"/>
    <n v="88150891728"/>
    <n v="61965466666"/>
    <x v="1"/>
    <n v="1"/>
    <x v="2"/>
  </r>
  <r>
    <x v="833"/>
    <x v="600"/>
    <x v="20"/>
    <s v="Paraguay"/>
    <s v="Bolivia"/>
    <n v="3"/>
    <n v="0"/>
    <s v="FIFA World Cup qualification"/>
    <s v="Asunci√≥n"/>
    <s v="Paraguay"/>
    <b v="0"/>
    <n v="1985"/>
    <n v="3282449235"/>
    <n v="5377276554"/>
    <x v="1"/>
    <n v="-1"/>
    <x v="0"/>
  </r>
  <r>
    <x v="834"/>
    <x v="600"/>
    <x v="20"/>
    <s v="Peru"/>
    <s v="Colombia"/>
    <n v="0"/>
    <n v="0"/>
    <s v="FIFA World Cup qualification"/>
    <s v="Lima"/>
    <s v="Peru"/>
    <b v="0"/>
    <n v="1985"/>
    <n v="15078736875"/>
    <n v="34894411351"/>
    <x v="0"/>
    <n v="0"/>
    <x v="1"/>
  </r>
  <r>
    <x v="835"/>
    <x v="601"/>
    <x v="20"/>
    <s v="Iceland"/>
    <s v="Spain"/>
    <n v="1"/>
    <n v="2"/>
    <s v="FIFA World Cup qualification"/>
    <s v="Reykjav√≠k"/>
    <s v="Iceland"/>
    <b v="0"/>
    <n v="1985"/>
    <n v="3088359966"/>
    <n v="180664322896"/>
    <x v="0"/>
    <n v="1"/>
    <x v="2"/>
  </r>
  <r>
    <x v="836"/>
    <x v="602"/>
    <x v="20"/>
    <s v="Argentina"/>
    <s v="Colombia"/>
    <n v="1"/>
    <n v="0"/>
    <s v="FIFA World Cup qualification"/>
    <s v="Buenos Aires"/>
    <s v="Argentina"/>
    <b v="0"/>
    <n v="1985"/>
    <n v="88150891728"/>
    <n v="34894411351"/>
    <x v="0"/>
    <n v="1"/>
    <x v="2"/>
  </r>
  <r>
    <x v="837"/>
    <x v="602"/>
    <x v="20"/>
    <s v="Paraguay"/>
    <s v="Brazil"/>
    <n v="0"/>
    <n v="2"/>
    <s v="FIFA World Cup qualification"/>
    <s v="Asunci√≥n"/>
    <s v="Paraguay"/>
    <b v="0"/>
    <n v="1985"/>
    <n v="3282449235"/>
    <n v="210879844638"/>
    <x v="0"/>
    <n v="1"/>
    <x v="2"/>
  </r>
  <r>
    <x v="838"/>
    <x v="602"/>
    <x v="20"/>
    <s v="Peru"/>
    <s v="Venezuela"/>
    <n v="4"/>
    <n v="1"/>
    <s v="FIFA World Cup qualification"/>
    <s v="Lima"/>
    <s v="Peru"/>
    <b v="0"/>
    <n v="1985"/>
    <n v="15078736875"/>
    <n v="61965466666"/>
    <x v="0"/>
    <n v="-1"/>
    <x v="0"/>
  </r>
  <r>
    <x v="839"/>
    <x v="603"/>
    <x v="20"/>
    <s v="Brazil"/>
    <s v="Paraguay"/>
    <n v="1"/>
    <n v="1"/>
    <s v="FIFA World Cup qualification"/>
    <s v="Rio de Janeiro"/>
    <s v="Brazil"/>
    <b v="0"/>
    <n v="1985"/>
    <n v="210879844638"/>
    <n v="3282449235"/>
    <x v="0"/>
    <n v="0"/>
    <x v="1"/>
  </r>
  <r>
    <x v="840"/>
    <x v="603"/>
    <x v="20"/>
    <s v="Peru"/>
    <s v="Argentina"/>
    <n v="1"/>
    <n v="0"/>
    <s v="FIFA World Cup qualification"/>
    <s v="Lima"/>
    <s v="Peru"/>
    <b v="0"/>
    <n v="1985"/>
    <n v="15078736875"/>
    <n v="88150891728"/>
    <x v="0"/>
    <n v="-1"/>
    <x v="0"/>
  </r>
  <r>
    <x v="841"/>
    <x v="603"/>
    <x v="20"/>
    <s v="Venezuela"/>
    <s v="Colombia"/>
    <n v="2"/>
    <n v="2"/>
    <s v="FIFA World Cup qualification"/>
    <s v="San Crist√≥bal"/>
    <s v="Venezuela"/>
    <b v="0"/>
    <n v="1985"/>
    <n v="61965466666"/>
    <n v="34894411351"/>
    <x v="1"/>
    <n v="0"/>
    <x v="1"/>
  </r>
  <r>
    <x v="842"/>
    <x v="604"/>
    <x v="20"/>
    <s v="Argentina"/>
    <s v="Peru"/>
    <n v="2"/>
    <n v="2"/>
    <s v="FIFA World Cup qualification"/>
    <s v="Buenos Aires"/>
    <s v="Argentina"/>
    <b v="0"/>
    <n v="1985"/>
    <n v="88150891728"/>
    <n v="15078736875"/>
    <x v="0"/>
    <n v="0"/>
    <x v="1"/>
  </r>
  <r>
    <x v="843"/>
    <x v="604"/>
    <x v="20"/>
    <s v="Brazil"/>
    <s v="Bolivia"/>
    <n v="1"/>
    <n v="1"/>
    <s v="FIFA World Cup qualification"/>
    <s v="S√£o Paulo"/>
    <s v="Brazil"/>
    <b v="0"/>
    <n v="1985"/>
    <n v="210879844638"/>
    <n v="5377276554"/>
    <x v="0"/>
    <n v="0"/>
    <x v="1"/>
  </r>
  <r>
    <x v="844"/>
    <x v="604"/>
    <x v="20"/>
    <s v="Colombia"/>
    <s v="Venezuela"/>
    <n v="2"/>
    <n v="0"/>
    <s v="FIFA World Cup qualification"/>
    <s v="Bogot√°"/>
    <s v="Colombia"/>
    <b v="0"/>
    <n v="1985"/>
    <n v="34894411351"/>
    <n v="61965466666"/>
    <x v="1"/>
    <n v="-1"/>
    <x v="0"/>
  </r>
  <r>
    <x v="845"/>
    <x v="605"/>
    <x v="20"/>
    <s v="Nigeria"/>
    <s v="Tunisia"/>
    <n v="1"/>
    <n v="0"/>
    <s v="FIFA World Cup qualification"/>
    <s v="Lagos"/>
    <s v="Nigeria"/>
    <b v="0"/>
    <n v="1985"/>
    <n v="73745821158"/>
    <n v="8410226052"/>
    <x v="0"/>
    <n v="1"/>
    <x v="2"/>
  </r>
  <r>
    <x v="846"/>
    <x v="606"/>
    <x v="20"/>
    <s v="Egypt"/>
    <s v="Morocco"/>
    <n v="0"/>
    <n v="0"/>
    <s v="FIFA World Cup qualification"/>
    <s v="Cairo"/>
    <s v="Egypt"/>
    <b v="0"/>
    <n v="1985"/>
    <n v="39053502251"/>
    <n v="14991283215"/>
    <x v="0"/>
    <n v="0"/>
    <x v="1"/>
  </r>
  <r>
    <x v="847"/>
    <x v="607"/>
    <x v="20"/>
    <s v="Algeria"/>
    <s v="Zambia"/>
    <n v="2"/>
    <n v="0"/>
    <s v="FIFA World Cup qualification"/>
    <s v="Algiers"/>
    <s v="Algeria"/>
    <b v="0"/>
    <n v="1985"/>
    <n v="57937868670"/>
    <n v="2252454500"/>
    <x v="0"/>
    <n v="1"/>
    <x v="2"/>
  </r>
  <r>
    <x v="848"/>
    <x v="608"/>
    <x v="20"/>
    <s v="Ghana"/>
    <s v="Libya"/>
    <n v="0"/>
    <n v="0"/>
    <s v="FIFA World Cup qualification"/>
    <s v="Accra"/>
    <s v="Ghana"/>
    <b v="0"/>
    <n v="1985"/>
    <n v="4504306722"/>
    <n v="31530566324"/>
    <x v="0"/>
    <n v="0"/>
    <x v="1"/>
  </r>
  <r>
    <x v="849"/>
    <x v="609"/>
    <x v="20"/>
    <s v="Tunisia"/>
    <s v="Nigeria"/>
    <n v="2"/>
    <n v="0"/>
    <s v="FIFA World Cup qualification"/>
    <s v="Tunis"/>
    <s v="Tunisia"/>
    <b v="0"/>
    <n v="1985"/>
    <n v="8410226052"/>
    <n v="73745821158"/>
    <x v="0"/>
    <n v="-1"/>
    <x v="0"/>
  </r>
  <r>
    <x v="850"/>
    <x v="610"/>
    <x v="20"/>
    <s v="South Korea"/>
    <s v="Indonesia"/>
    <n v="2"/>
    <n v="0"/>
    <s v="FIFA World Cup qualification"/>
    <s v="Seoul"/>
    <s v="South Korea"/>
    <b v="0"/>
    <n v="1985"/>
    <n v="103764281280"/>
    <n v="85289488375"/>
    <x v="1"/>
    <n v="1"/>
    <x v="2"/>
  </r>
  <r>
    <x v="851"/>
    <x v="611"/>
    <x v="20"/>
    <s v="Libya"/>
    <s v="Ghana"/>
    <n v="2"/>
    <n v="0"/>
    <s v="FIFA World Cup qualification"/>
    <s v="Bin Ghashir"/>
    <s v="Libya"/>
    <b v="0"/>
    <n v="1985"/>
    <n v="31530566324"/>
    <n v="4504306722"/>
    <x v="0"/>
    <n v="1"/>
    <x v="2"/>
  </r>
  <r>
    <x v="852"/>
    <x v="612"/>
    <x v="20"/>
    <s v="Morocco"/>
    <s v="Egypt"/>
    <n v="2"/>
    <n v="0"/>
    <s v="FIFA World Cup qualification"/>
    <s v="Casablanca"/>
    <s v="Morocco"/>
    <b v="0"/>
    <n v="1985"/>
    <n v="14991283215"/>
    <n v="39053502251"/>
    <x v="0"/>
    <n v="-1"/>
    <x v="0"/>
  </r>
  <r>
    <x v="853"/>
    <x v="612"/>
    <x v="20"/>
    <s v="Zambia"/>
    <s v="Algeria"/>
    <n v="0"/>
    <n v="1"/>
    <s v="FIFA World Cup qualification"/>
    <s v="Lusaka"/>
    <s v="Zambia"/>
    <b v="0"/>
    <n v="1985"/>
    <n v="2252454500"/>
    <n v="57937868670"/>
    <x v="0"/>
    <n v="1"/>
    <x v="2"/>
  </r>
  <r>
    <x v="854"/>
    <x v="613"/>
    <x v="20"/>
    <s v="Indonesia"/>
    <s v="South Korea"/>
    <n v="1"/>
    <n v="4"/>
    <s v="FIFA World Cup qualification"/>
    <s v="Jakarta"/>
    <s v="Indonesia"/>
    <b v="0"/>
    <n v="1985"/>
    <n v="85289488375"/>
    <n v="103764281280"/>
    <x v="1"/>
    <n v="1"/>
    <x v="2"/>
  </r>
  <r>
    <x v="855"/>
    <x v="614"/>
    <x v="20"/>
    <s v="Bahrain"/>
    <s v="Syria"/>
    <n v="1"/>
    <n v="1"/>
    <s v="FIFA World Cup qualification"/>
    <s v="Riffa"/>
    <s v="Bahrain"/>
    <b v="0"/>
    <n v="1985"/>
    <n v="4152376484"/>
    <n v="16403539892"/>
    <x v="0"/>
    <n v="0"/>
    <x v="1"/>
  </r>
  <r>
    <x v="856"/>
    <x v="615"/>
    <x v="20"/>
    <s v="Syria"/>
    <s v="Bahrain"/>
    <n v="1"/>
    <n v="0"/>
    <s v="FIFA World Cup qualification"/>
    <s v="Damascus"/>
    <s v="Syria"/>
    <b v="0"/>
    <n v="1985"/>
    <n v="16403539892"/>
    <n v="4152376484"/>
    <x v="0"/>
    <n v="1"/>
    <x v="2"/>
  </r>
  <r>
    <x v="857"/>
    <x v="615"/>
    <x v="20"/>
    <s v="United Arab Emirates"/>
    <s v="Iraq"/>
    <n v="2"/>
    <n v="3"/>
    <s v="FIFA World Cup qualification"/>
    <s v="Dubai"/>
    <s v="United Arab Emirates"/>
    <b v="0"/>
    <n v="1985"/>
    <n v="40603650231"/>
    <n v="48425161290"/>
    <x v="1"/>
    <n v="1"/>
    <x v="2"/>
  </r>
  <r>
    <x v="858"/>
    <x v="616"/>
    <x v="20"/>
    <s v="New Zealand"/>
    <s v="Australia"/>
    <n v="0"/>
    <n v="0"/>
    <s v="FIFA World Cup qualification"/>
    <s v="Auckland"/>
    <s v="New Zealand"/>
    <b v="0"/>
    <n v="1985"/>
    <n v="24679795396"/>
    <n v="180861108959"/>
    <x v="0"/>
    <n v="0"/>
    <x v="1"/>
  </r>
  <r>
    <x v="859"/>
    <x v="617"/>
    <x v="20"/>
    <s v="Luxembourg"/>
    <s v="Bulgaria"/>
    <n v="1"/>
    <n v="3"/>
    <s v="FIFA World Cup qualification"/>
    <s v="Luxembourg"/>
    <s v="Luxembourg"/>
    <b v="0"/>
    <n v="1985"/>
    <n v="4577211767"/>
    <n v="17155421052"/>
    <x v="0"/>
    <n v="1"/>
    <x v="2"/>
  </r>
  <r>
    <x v="860"/>
    <x v="617"/>
    <x v="20"/>
    <s v="Spain"/>
    <s v="Iceland"/>
    <n v="2"/>
    <n v="1"/>
    <s v="FIFA World Cup qualification"/>
    <s v="Seville"/>
    <s v="Spain"/>
    <b v="0"/>
    <n v="1985"/>
    <n v="180664322896"/>
    <n v="3088359966"/>
    <x v="0"/>
    <n v="1"/>
    <x v="2"/>
  </r>
  <r>
    <x v="861"/>
    <x v="617"/>
    <x v="20"/>
    <s v="Sweden"/>
    <s v="Germany"/>
    <n v="2"/>
    <n v="2"/>
    <s v="FIFA World Cup qualification"/>
    <s v="Solna"/>
    <s v="Sweden"/>
    <b v="0"/>
    <n v="1985"/>
    <n v="113958084357"/>
    <n v="735218723093"/>
    <x v="0"/>
    <n v="0"/>
    <x v="1"/>
  </r>
  <r>
    <x v="862"/>
    <x v="618"/>
    <x v="20"/>
    <s v="Iraq"/>
    <s v="United Arab Emirates"/>
    <n v="1"/>
    <n v="2"/>
    <s v="FIFA World Cup qualification"/>
    <s v="Taif"/>
    <s v="Saudi Arabia"/>
    <b v="1"/>
    <n v="1985"/>
    <n v="48425161290"/>
    <n v="40603650231"/>
    <x v="1"/>
    <n v="-1"/>
    <x v="0"/>
  </r>
  <r>
    <x v="863"/>
    <x v="619"/>
    <x v="20"/>
    <s v="Morocco"/>
    <s v="Libya"/>
    <n v="3"/>
    <n v="0"/>
    <s v="FIFA World Cup qualification"/>
    <s v="Rabat"/>
    <s v="Morocco"/>
    <b v="0"/>
    <n v="1985"/>
    <n v="14991283215"/>
    <n v="31530566324"/>
    <x v="0"/>
    <n v="-1"/>
    <x v="0"/>
  </r>
  <r>
    <x v="864"/>
    <x v="619"/>
    <x v="20"/>
    <s v="Tunisia"/>
    <s v="Algeria"/>
    <n v="1"/>
    <n v="4"/>
    <s v="FIFA World Cup qualification"/>
    <s v="Tunis"/>
    <s v="Tunisia"/>
    <b v="0"/>
    <n v="1985"/>
    <n v="8410226052"/>
    <n v="57937868670"/>
    <x v="0"/>
    <n v="1"/>
    <x v="2"/>
  </r>
  <r>
    <x v="865"/>
    <x v="620"/>
    <x v="20"/>
    <s v="Israel"/>
    <s v="Australia"/>
    <n v="1"/>
    <n v="2"/>
    <s v="FIFA World Cup qualification"/>
    <s v="Ramat Gan"/>
    <s v="Israel"/>
    <b v="0"/>
    <n v="1985"/>
    <n v="28905736366"/>
    <n v="180861108959"/>
    <x v="0"/>
    <n v="1"/>
    <x v="2"/>
  </r>
  <r>
    <x v="866"/>
    <x v="621"/>
    <x v="20"/>
    <s v="Denmark"/>
    <s v="Switzerland"/>
    <n v="0"/>
    <n v="0"/>
    <s v="FIFA World Cup qualification"/>
    <s v="Copenhagen"/>
    <s v="Denmark"/>
    <b v="0"/>
    <n v="1985"/>
    <n v="62452421010"/>
    <n v="110980314191"/>
    <x v="1"/>
    <n v="0"/>
    <x v="1"/>
  </r>
  <r>
    <x v="867"/>
    <x v="622"/>
    <x v="20"/>
    <s v="Portugal"/>
    <s v="Malta"/>
    <n v="3"/>
    <n v="2"/>
    <s v="FIFA World Cup qualification"/>
    <s v="Lisbon"/>
    <s v="Portugal"/>
    <b v="0"/>
    <n v="1985"/>
    <n v="27115807742"/>
    <n v="1117797439"/>
    <x v="0"/>
    <n v="1"/>
    <x v="2"/>
  </r>
  <r>
    <x v="868"/>
    <x v="623"/>
    <x v="20"/>
    <s v="Belgium"/>
    <s v="Netherlands"/>
    <n v="1"/>
    <n v="0"/>
    <s v="FIFA World Cup qualification"/>
    <s v="Brussels"/>
    <s v="Belgium"/>
    <b v="0"/>
    <n v="1985"/>
    <n v="86268264148"/>
    <n v="144057523221"/>
    <x v="1"/>
    <n v="-1"/>
    <x v="0"/>
  </r>
  <r>
    <x v="869"/>
    <x v="623"/>
    <x v="20"/>
    <s v="Germany"/>
    <s v="Portugal"/>
    <n v="0"/>
    <n v="1"/>
    <s v="FIFA World Cup qualification"/>
    <s v="Stuttgart"/>
    <s v="Germany"/>
    <b v="0"/>
    <n v="1985"/>
    <n v="735218723093"/>
    <n v="27115807742"/>
    <x v="0"/>
    <n v="-1"/>
    <x v="0"/>
  </r>
  <r>
    <x v="870"/>
    <x v="623"/>
    <x v="20"/>
    <s v="Norway"/>
    <s v="Denmark"/>
    <n v="1"/>
    <n v="5"/>
    <s v="FIFA World Cup qualification"/>
    <s v="Oslo"/>
    <s v="Norway"/>
    <b v="0"/>
    <n v="1985"/>
    <n v="65416879914"/>
    <n v="62452421010"/>
    <x v="1"/>
    <n v="-1"/>
    <x v="0"/>
  </r>
  <r>
    <x v="871"/>
    <x v="624"/>
    <x v="20"/>
    <s v="Algeria"/>
    <s v="Tunisia"/>
    <n v="3"/>
    <n v="0"/>
    <s v="FIFA World Cup qualification"/>
    <s v="Algiers"/>
    <s v="Algeria"/>
    <b v="0"/>
    <n v="1985"/>
    <n v="57937868670"/>
    <n v="8410226052"/>
    <x v="0"/>
    <n v="1"/>
    <x v="2"/>
  </r>
  <r>
    <x v="872"/>
    <x v="624"/>
    <x v="20"/>
    <s v="Libya"/>
    <s v="Morocco"/>
    <n v="1"/>
    <n v="0"/>
    <s v="FIFA World Cup qualification"/>
    <s v="Bin Ghashir"/>
    <s v="Libya"/>
    <b v="0"/>
    <n v="1985"/>
    <n v="31530566324"/>
    <n v="14991283215"/>
    <x v="0"/>
    <n v="1"/>
    <x v="2"/>
  </r>
  <r>
    <x v="873"/>
    <x v="625"/>
    <x v="20"/>
    <s v="Australia"/>
    <s v="Israel"/>
    <n v="1"/>
    <n v="1"/>
    <s v="FIFA World Cup qualification"/>
    <s v="Melbourne"/>
    <s v="Australia"/>
    <b v="0"/>
    <n v="1985"/>
    <n v="180861108959"/>
    <n v="28905736366"/>
    <x v="0"/>
    <n v="0"/>
    <x v="1"/>
  </r>
  <r>
    <x v="874"/>
    <x v="626"/>
    <x v="20"/>
    <s v="Japan"/>
    <s v="South Korea"/>
    <n v="1"/>
    <n v="2"/>
    <s v="FIFA World Cup qualification"/>
    <s v="Tokyo"/>
    <s v="Japan"/>
    <b v="0"/>
    <n v="1985"/>
    <n v="1427019759717"/>
    <n v="103764281280"/>
    <x v="0"/>
    <n v="-1"/>
    <x v="0"/>
  </r>
  <r>
    <x v="875"/>
    <x v="626"/>
    <x v="20"/>
    <s v="New Zealand"/>
    <s v="Israel"/>
    <n v="3"/>
    <n v="1"/>
    <s v="FIFA World Cup qualification"/>
    <s v="Auckland"/>
    <s v="New Zealand"/>
    <b v="0"/>
    <n v="1985"/>
    <n v="24679795396"/>
    <n v="28905736366"/>
    <x v="1"/>
    <n v="-1"/>
    <x v="0"/>
  </r>
  <r>
    <x v="876"/>
    <x v="627"/>
    <x v="20"/>
    <s v="Chile"/>
    <s v="Peru"/>
    <n v="4"/>
    <n v="2"/>
    <s v="FIFA World Cup qualification"/>
    <s v="Santiago"/>
    <s v="Chile"/>
    <b v="0"/>
    <n v="1985"/>
    <n v="17933557359"/>
    <n v="15078736875"/>
    <x v="1"/>
    <n v="1"/>
    <x v="2"/>
  </r>
  <r>
    <x v="877"/>
    <x v="627"/>
    <x v="20"/>
    <s v="Paraguay"/>
    <s v="Colombia"/>
    <n v="3"/>
    <n v="0"/>
    <s v="FIFA World Cup qualification"/>
    <s v="Asunci√≥n"/>
    <s v="Paraguay"/>
    <b v="0"/>
    <n v="1985"/>
    <n v="3282449235"/>
    <n v="34894411351"/>
    <x v="0"/>
    <n v="-1"/>
    <x v="0"/>
  </r>
  <r>
    <x v="878"/>
    <x v="628"/>
    <x v="20"/>
    <s v="Albania"/>
    <s v="Greece"/>
    <n v="1"/>
    <n v="1"/>
    <s v="FIFA World Cup qualification"/>
    <s v="Tirana"/>
    <s v="Albania"/>
    <b v="0"/>
    <n v="1985"/>
    <n v="1897050116"/>
    <n v="47155741426"/>
    <x v="0"/>
    <n v="0"/>
    <x v="1"/>
  </r>
  <r>
    <x v="879"/>
    <x v="628"/>
    <x v="20"/>
    <s v="France"/>
    <s v="Luxembourg"/>
    <n v="6"/>
    <n v="0"/>
    <s v="FIFA World Cup qualification"/>
    <s v="Paris"/>
    <s v="France"/>
    <b v="0"/>
    <n v="1985"/>
    <n v="547220981165"/>
    <n v="4577211767"/>
    <x v="0"/>
    <n v="1"/>
    <x v="2"/>
  </r>
  <r>
    <x v="880"/>
    <x v="629"/>
    <x v="20"/>
    <s v="Australia"/>
    <s v="New Zealand"/>
    <n v="2"/>
    <n v="0"/>
    <s v="FIFA World Cup qualification"/>
    <s v="Sydney"/>
    <s v="Australia"/>
    <b v="0"/>
    <n v="1985"/>
    <n v="180861108959"/>
    <n v="24679795396"/>
    <x v="0"/>
    <n v="1"/>
    <x v="2"/>
  </r>
  <r>
    <x v="881"/>
    <x v="629"/>
    <x v="20"/>
    <s v="Colombia"/>
    <s v="Paraguay"/>
    <n v="2"/>
    <n v="1"/>
    <s v="FIFA World Cup qualification"/>
    <s v="Cali"/>
    <s v="Colombia"/>
    <b v="0"/>
    <n v="1985"/>
    <n v="34894411351"/>
    <n v="3282449235"/>
    <x v="0"/>
    <n v="1"/>
    <x v="2"/>
  </r>
  <r>
    <x v="882"/>
    <x v="629"/>
    <x v="20"/>
    <s v="South Korea"/>
    <s v="Japan"/>
    <n v="1"/>
    <n v="0"/>
    <s v="FIFA World Cup qualification"/>
    <s v="Seoul"/>
    <s v="South Korea"/>
    <b v="0"/>
    <n v="1985"/>
    <n v="103764281280"/>
    <n v="1427019759717"/>
    <x v="0"/>
    <n v="-1"/>
    <x v="0"/>
  </r>
  <r>
    <x v="883"/>
    <x v="629"/>
    <x v="20"/>
    <s v="Peru"/>
    <s v="Chile"/>
    <n v="0"/>
    <n v="1"/>
    <s v="FIFA World Cup qualification"/>
    <s v="Lima"/>
    <s v="Peru"/>
    <b v="0"/>
    <n v="1985"/>
    <n v="15078736875"/>
    <n v="17933557359"/>
    <x v="1"/>
    <n v="1"/>
    <x v="2"/>
  </r>
  <r>
    <x v="884"/>
    <x v="630"/>
    <x v="20"/>
    <s v="Israel"/>
    <s v="New Zealand"/>
    <n v="3"/>
    <n v="0"/>
    <s v="FIFA World Cup qualification"/>
    <s v="Ramat Gan"/>
    <s v="Israel"/>
    <b v="0"/>
    <n v="1985"/>
    <n v="28905736366"/>
    <n v="24679795396"/>
    <x v="1"/>
    <n v="1"/>
    <x v="2"/>
  </r>
  <r>
    <x v="885"/>
    <x v="630"/>
    <x v="20"/>
    <s v="Paraguay"/>
    <s v="Chile"/>
    <n v="3"/>
    <n v="0"/>
    <s v="FIFA World Cup qualification"/>
    <s v="Asunci√≥n"/>
    <s v="Paraguay"/>
    <b v="0"/>
    <n v="1985"/>
    <n v="3282449235"/>
    <n v="17933557359"/>
    <x v="0"/>
    <n v="-1"/>
    <x v="0"/>
  </r>
  <r>
    <x v="886"/>
    <x v="631"/>
    <x v="20"/>
    <s v="Switzerland"/>
    <s v="Norway"/>
    <n v="1"/>
    <n v="1"/>
    <s v="FIFA World Cup qualification"/>
    <s v="Lucerne"/>
    <s v="Switzerland"/>
    <b v="0"/>
    <n v="1985"/>
    <n v="110980314191"/>
    <n v="65416879914"/>
    <x v="1"/>
    <n v="0"/>
    <x v="1"/>
  </r>
  <r>
    <x v="887"/>
    <x v="632"/>
    <x v="20"/>
    <s v="Syria"/>
    <s v="Iraq"/>
    <n v="0"/>
    <n v="0"/>
    <s v="FIFA World Cup qualification"/>
    <s v="Damascus"/>
    <s v="Syria"/>
    <b v="0"/>
    <n v="1985"/>
    <n v="16403539892"/>
    <n v="48425161290"/>
    <x v="0"/>
    <n v="0"/>
    <x v="1"/>
  </r>
  <r>
    <x v="888"/>
    <x v="633"/>
    <x v="20"/>
    <s v="Chile"/>
    <s v="Paraguay"/>
    <n v="2"/>
    <n v="2"/>
    <s v="FIFA World Cup qualification"/>
    <s v="Santiago"/>
    <s v="Chile"/>
    <b v="0"/>
    <n v="1985"/>
    <n v="17933557359"/>
    <n v="3282449235"/>
    <x v="0"/>
    <n v="0"/>
    <x v="1"/>
  </r>
  <r>
    <x v="889"/>
    <x v="633"/>
    <x v="20"/>
    <s v="Malta"/>
    <s v="Sweden"/>
    <n v="1"/>
    <n v="2"/>
    <s v="FIFA World Cup qualification"/>
    <s v="Attard"/>
    <s v="Malta"/>
    <b v="0"/>
    <n v="1985"/>
    <n v="1117797439"/>
    <n v="113958084357"/>
    <x v="0"/>
    <n v="1"/>
    <x v="2"/>
  </r>
  <r>
    <x v="890"/>
    <x v="634"/>
    <x v="20"/>
    <s v="Netherlands"/>
    <s v="Belgium"/>
    <n v="2"/>
    <n v="1"/>
    <s v="FIFA World Cup qualification"/>
    <s v="Rotterdam"/>
    <s v="Netherlands"/>
    <b v="0"/>
    <n v="1985"/>
    <n v="144057523221"/>
    <n v="86268264148"/>
    <x v="1"/>
    <n v="1"/>
    <x v="2"/>
  </r>
  <r>
    <x v="891"/>
    <x v="635"/>
    <x v="20"/>
    <s v="Iraq"/>
    <s v="Syria"/>
    <n v="3"/>
    <n v="1"/>
    <s v="FIFA World Cup qualification"/>
    <s v="Taif"/>
    <s v="Saudi Arabia"/>
    <b v="1"/>
    <n v="1985"/>
    <n v="48425161290"/>
    <n v="16403539892"/>
    <x v="0"/>
    <n v="1"/>
    <x v="2"/>
  </r>
  <r>
    <x v="892"/>
    <x v="636"/>
    <x v="21"/>
    <s v="Bulgaria"/>
    <s v="Italy"/>
    <n v="1"/>
    <n v="1"/>
    <s v="FIFA World Cup"/>
    <s v="Mexico City"/>
    <s v="Mexico"/>
    <b v="1"/>
    <n v="1986"/>
    <n v="20249294117"/>
    <n v="641862313287"/>
    <x v="0"/>
    <n v="0"/>
    <x v="1"/>
  </r>
  <r>
    <x v="893"/>
    <x v="637"/>
    <x v="21"/>
    <s v="Canada"/>
    <s v="France"/>
    <n v="0"/>
    <n v="1"/>
    <s v="FIFA World Cup"/>
    <s v="Le√≥n"/>
    <s v="Mexico"/>
    <b v="1"/>
    <n v="1986"/>
    <n v="379006836991"/>
    <n v="764946585850"/>
    <x v="0"/>
    <n v="1"/>
    <x v="2"/>
  </r>
  <r>
    <x v="894"/>
    <x v="637"/>
    <x v="21"/>
    <s v="Spain"/>
    <s v="Brazil"/>
    <n v="0"/>
    <n v="1"/>
    <s v="FIFA World Cup"/>
    <s v="Guadalajara"/>
    <s v="Mexico"/>
    <b v="1"/>
    <n v="1986"/>
    <n v="251141555185"/>
    <n v="256480852471"/>
    <x v="1"/>
    <n v="1"/>
    <x v="2"/>
  </r>
  <r>
    <x v="895"/>
    <x v="638"/>
    <x v="21"/>
    <s v="Argentina"/>
    <s v="South Korea"/>
    <n v="3"/>
    <n v="1"/>
    <s v="FIFA World Cup"/>
    <s v="Mexico City"/>
    <s v="Mexico"/>
    <b v="1"/>
    <n v="1986"/>
    <n v="105872372613"/>
    <n v="119965960795"/>
    <x v="1"/>
    <n v="-1"/>
    <x v="0"/>
  </r>
  <r>
    <x v="896"/>
    <x v="639"/>
    <x v="21"/>
    <s v="Mexico"/>
    <s v="Belgium"/>
    <n v="2"/>
    <n v="1"/>
    <s v="FIFA World Cup"/>
    <s v="Mexico City"/>
    <s v="Mexico"/>
    <b v="0"/>
    <n v="1986"/>
    <n v="134556034672"/>
    <n v="120018787249"/>
    <x v="1"/>
    <n v="1"/>
    <x v="2"/>
  </r>
  <r>
    <x v="897"/>
    <x v="639"/>
    <x v="21"/>
    <s v="Portugal"/>
    <s v="England"/>
    <n v="1"/>
    <n v="0"/>
    <s v="FIFA World Cup"/>
    <s v="Monterrey"/>
    <s v="Mexico"/>
    <b v="1"/>
    <n v="1986"/>
    <n v="38745901353"/>
    <n v="601452653180"/>
    <x v="0"/>
    <n v="-1"/>
    <x v="0"/>
  </r>
  <r>
    <x v="898"/>
    <x v="640"/>
    <x v="21"/>
    <s v="Paraguay"/>
    <s v="Iraq"/>
    <n v="1"/>
    <n v="0"/>
    <s v="FIFA World Cup"/>
    <s v="Toluca"/>
    <s v="Mexico"/>
    <b v="1"/>
    <n v="1986"/>
    <n v="3723993942"/>
    <n v="47264516129"/>
    <x v="0"/>
    <n v="-1"/>
    <x v="0"/>
  </r>
  <r>
    <x v="899"/>
    <x v="640"/>
    <x v="21"/>
    <s v="Uruguay"/>
    <s v="Germany"/>
    <n v="1"/>
    <n v="1"/>
    <s v="FIFA World Cup"/>
    <s v="Quer√©taro"/>
    <s v="Mexico"/>
    <b v="1"/>
    <n v="1986"/>
    <n v="5880112788"/>
    <n v="1050092624515"/>
    <x v="0"/>
    <n v="0"/>
    <x v="1"/>
  </r>
  <r>
    <x v="900"/>
    <x v="641"/>
    <x v="21"/>
    <s v="Italy"/>
    <s v="Argentina"/>
    <n v="1"/>
    <n v="1"/>
    <s v="FIFA World Cup"/>
    <s v="Puebla"/>
    <s v="Mexico"/>
    <b v="1"/>
    <n v="1986"/>
    <n v="641862313287"/>
    <n v="105872372613"/>
    <x v="0"/>
    <n v="0"/>
    <x v="1"/>
  </r>
  <r>
    <x v="901"/>
    <x v="641"/>
    <x v="21"/>
    <s v="South Korea"/>
    <s v="Bulgaria"/>
    <n v="1"/>
    <n v="1"/>
    <s v="FIFA World Cup"/>
    <s v="Mexico City"/>
    <s v="Mexico"/>
    <b v="1"/>
    <n v="1986"/>
    <n v="119965960795"/>
    <n v="20249294117"/>
    <x v="0"/>
    <n v="0"/>
    <x v="1"/>
  </r>
  <r>
    <x v="902"/>
    <x v="642"/>
    <x v="21"/>
    <s v="Brazil"/>
    <s v="Algeria"/>
    <n v="1"/>
    <n v="0"/>
    <s v="FIFA World Cup"/>
    <s v="Guadalajara"/>
    <s v="Mexico"/>
    <b v="1"/>
    <n v="1986"/>
    <n v="256480852471"/>
    <n v="63692007897"/>
    <x v="0"/>
    <n v="1"/>
    <x v="2"/>
  </r>
  <r>
    <x v="903"/>
    <x v="642"/>
    <x v="21"/>
    <s v="England"/>
    <s v="Morocco"/>
    <n v="0"/>
    <n v="0"/>
    <s v="FIFA World Cup"/>
    <s v="Monterrey"/>
    <s v="Mexico"/>
    <b v="1"/>
    <n v="1986"/>
    <n v="601452653180"/>
    <n v="19462085540"/>
    <x v="0"/>
    <n v="0"/>
    <x v="1"/>
  </r>
  <r>
    <x v="904"/>
    <x v="642"/>
    <x v="21"/>
    <s v="Hungary"/>
    <s v="Canada"/>
    <n v="2"/>
    <n v="0"/>
    <s v="FIFA World Cup"/>
    <s v="Irapuato"/>
    <s v="Mexico"/>
    <b v="1"/>
    <n v="1986"/>
    <n v="24778163812"/>
    <n v="379006836991"/>
    <x v="0"/>
    <n v="-1"/>
    <x v="0"/>
  </r>
  <r>
    <x v="905"/>
    <x v="643"/>
    <x v="21"/>
    <s v="Mexico"/>
    <s v="Paraguay"/>
    <n v="1"/>
    <n v="1"/>
    <s v="FIFA World Cup"/>
    <s v="Mexico City"/>
    <s v="Mexico"/>
    <b v="0"/>
    <n v="1986"/>
    <n v="134556034672"/>
    <n v="3723993942"/>
    <x v="0"/>
    <n v="0"/>
    <x v="1"/>
  </r>
  <r>
    <x v="906"/>
    <x v="644"/>
    <x v="21"/>
    <s v="Denmark"/>
    <s v="Uruguay"/>
    <n v="6"/>
    <n v="1"/>
    <s v="FIFA World Cup"/>
    <s v="Nezahualc√≥yotl"/>
    <s v="Mexico"/>
    <b v="1"/>
    <n v="1986"/>
    <n v="87748695216"/>
    <n v="5880112788"/>
    <x v="0"/>
    <n v="1"/>
    <x v="2"/>
  </r>
  <r>
    <x v="907"/>
    <x v="644"/>
    <x v="21"/>
    <s v="Iraq"/>
    <s v="Belgium"/>
    <n v="1"/>
    <n v="2"/>
    <s v="FIFA World Cup"/>
    <s v="Toluca"/>
    <s v="Mexico"/>
    <b v="1"/>
    <n v="1986"/>
    <n v="47264516129"/>
    <n v="120018787249"/>
    <x v="0"/>
    <n v="1"/>
    <x v="2"/>
  </r>
  <r>
    <x v="908"/>
    <x v="645"/>
    <x v="21"/>
    <s v="Hungary"/>
    <s v="France"/>
    <n v="0"/>
    <n v="3"/>
    <s v="FIFA World Cup"/>
    <s v="Le√≥n"/>
    <s v="Mexico"/>
    <b v="1"/>
    <n v="1986"/>
    <n v="24778163812"/>
    <n v="764946585850"/>
    <x v="0"/>
    <n v="1"/>
    <x v="2"/>
  </r>
  <r>
    <x v="909"/>
    <x v="646"/>
    <x v="21"/>
    <s v="Argentina"/>
    <s v="Bulgaria"/>
    <n v="2"/>
    <n v="0"/>
    <s v="FIFA World Cup"/>
    <s v="Mexico City"/>
    <s v="Mexico"/>
    <b v="1"/>
    <n v="1986"/>
    <n v="105872372613"/>
    <n v="20249294117"/>
    <x v="0"/>
    <n v="1"/>
    <x v="2"/>
  </r>
  <r>
    <x v="910"/>
    <x v="646"/>
    <x v="21"/>
    <s v="South Korea"/>
    <s v="Italy"/>
    <n v="2"/>
    <n v="3"/>
    <s v="FIFA World Cup"/>
    <s v="Puebla"/>
    <s v="Mexico"/>
    <b v="1"/>
    <n v="1986"/>
    <n v="119965960795"/>
    <n v="641862313287"/>
    <x v="0"/>
    <n v="1"/>
    <x v="2"/>
  </r>
  <r>
    <x v="911"/>
    <x v="647"/>
    <x v="21"/>
    <s v="Mexico"/>
    <s v="Iraq"/>
    <n v="1"/>
    <n v="0"/>
    <s v="FIFA World Cup"/>
    <s v="Mexico City"/>
    <s v="Mexico"/>
    <b v="0"/>
    <n v="1986"/>
    <n v="134556034672"/>
    <n v="47264516129"/>
    <x v="0"/>
    <n v="1"/>
    <x v="2"/>
  </r>
  <r>
    <x v="912"/>
    <x v="647"/>
    <x v="21"/>
    <s v="Paraguay"/>
    <s v="Belgium"/>
    <n v="2"/>
    <n v="2"/>
    <s v="FIFA World Cup"/>
    <s v="Toluca"/>
    <s v="Mexico"/>
    <b v="1"/>
    <n v="1986"/>
    <n v="3723993942"/>
    <n v="120018787249"/>
    <x v="0"/>
    <n v="0"/>
    <x v="1"/>
  </r>
  <r>
    <x v="913"/>
    <x v="647"/>
    <x v="21"/>
    <s v="Portugal"/>
    <s v="Morocco"/>
    <n v="1"/>
    <n v="3"/>
    <s v="FIFA World Cup"/>
    <s v="Guadalajara"/>
    <s v="Mexico"/>
    <b v="1"/>
    <n v="1986"/>
    <n v="38745901353"/>
    <n v="19462085540"/>
    <x v="1"/>
    <n v="-1"/>
    <x v="0"/>
  </r>
  <r>
    <x v="914"/>
    <x v="648"/>
    <x v="21"/>
    <s v="Algeria"/>
    <s v="Spain"/>
    <n v="0"/>
    <n v="3"/>
    <s v="FIFA World Cup"/>
    <s v="Monterrey"/>
    <s v="Mexico"/>
    <b v="1"/>
    <n v="1986"/>
    <n v="63692007897"/>
    <n v="251141555185"/>
    <x v="0"/>
    <n v="1"/>
    <x v="2"/>
  </r>
  <r>
    <x v="915"/>
    <x v="649"/>
    <x v="21"/>
    <s v="Denmark"/>
    <s v="Germany"/>
    <n v="2"/>
    <n v="0"/>
    <s v="FIFA World Cup"/>
    <s v="Quer√©taro"/>
    <s v="Mexico"/>
    <b v="1"/>
    <n v="1986"/>
    <n v="87748695216"/>
    <n v="1050092624515"/>
    <x v="0"/>
    <n v="-1"/>
    <x v="0"/>
  </r>
  <r>
    <x v="916"/>
    <x v="650"/>
    <x v="21"/>
    <s v="Mexico"/>
    <s v="Bulgaria"/>
    <n v="2"/>
    <n v="0"/>
    <s v="FIFA World Cup"/>
    <s v="Mexico City"/>
    <s v="Mexico"/>
    <b v="0"/>
    <n v="1986"/>
    <n v="134556034672"/>
    <n v="20249294117"/>
    <x v="0"/>
    <n v="1"/>
    <x v="2"/>
  </r>
  <r>
    <x v="917"/>
    <x v="651"/>
    <x v="21"/>
    <s v="Argentina"/>
    <s v="Uruguay"/>
    <n v="1"/>
    <n v="0"/>
    <s v="FIFA World Cup"/>
    <s v="Puebla"/>
    <s v="Mexico"/>
    <b v="1"/>
    <n v="1986"/>
    <n v="105872372613"/>
    <n v="5880112788"/>
    <x v="0"/>
    <n v="1"/>
    <x v="2"/>
  </r>
  <r>
    <x v="918"/>
    <x v="652"/>
    <x v="21"/>
    <s v="Italy"/>
    <s v="France"/>
    <n v="0"/>
    <n v="2"/>
    <s v="FIFA World Cup"/>
    <s v="Mexico City"/>
    <s v="Mexico"/>
    <b v="1"/>
    <n v="1986"/>
    <n v="641862313287"/>
    <n v="764946585850"/>
    <x v="1"/>
    <n v="1"/>
    <x v="2"/>
  </r>
  <r>
    <x v="919"/>
    <x v="652"/>
    <x v="21"/>
    <s v="Morocco"/>
    <s v="Germany"/>
    <n v="0"/>
    <n v="1"/>
    <s v="FIFA World Cup"/>
    <s v="Monterrey"/>
    <s v="Mexico"/>
    <b v="1"/>
    <n v="1986"/>
    <n v="19462085540"/>
    <n v="1050092624515"/>
    <x v="0"/>
    <n v="1"/>
    <x v="2"/>
  </r>
  <r>
    <x v="920"/>
    <x v="653"/>
    <x v="21"/>
    <s v="Denmark"/>
    <s v="Spain"/>
    <n v="1"/>
    <n v="5"/>
    <s v="FIFA World Cup"/>
    <s v="Quer√©taro"/>
    <s v="Mexico"/>
    <b v="1"/>
    <n v="1986"/>
    <n v="87748695216"/>
    <n v="251141555185"/>
    <x v="0"/>
    <n v="1"/>
    <x v="2"/>
  </r>
  <r>
    <x v="921"/>
    <x v="653"/>
    <x v="21"/>
    <s v="England"/>
    <s v="Paraguay"/>
    <n v="3"/>
    <n v="0"/>
    <s v="FIFA World Cup"/>
    <s v="Mexico City"/>
    <s v="Mexico"/>
    <b v="1"/>
    <n v="1986"/>
    <n v="601452653180"/>
    <n v="3723993942"/>
    <x v="0"/>
    <n v="1"/>
    <x v="2"/>
  </r>
  <r>
    <x v="922"/>
    <x v="654"/>
    <x v="21"/>
    <s v="Brazil"/>
    <s v="France"/>
    <n v="1"/>
    <n v="1"/>
    <s v="FIFA World Cup"/>
    <s v="Guadalajara"/>
    <s v="Mexico"/>
    <b v="1"/>
    <n v="1986"/>
    <n v="256480852471"/>
    <n v="764946585850"/>
    <x v="0"/>
    <n v="0"/>
    <x v="1"/>
  </r>
  <r>
    <x v="923"/>
    <x v="654"/>
    <x v="21"/>
    <s v="Mexico"/>
    <s v="Germany"/>
    <n v="0"/>
    <n v="0"/>
    <s v="FIFA World Cup"/>
    <s v="Monterrey"/>
    <s v="Mexico"/>
    <b v="0"/>
    <n v="1986"/>
    <n v="134556034672"/>
    <n v="1050092624515"/>
    <x v="0"/>
    <n v="0"/>
    <x v="1"/>
  </r>
  <r>
    <x v="924"/>
    <x v="655"/>
    <x v="21"/>
    <s v="Argentina"/>
    <s v="England"/>
    <n v="2"/>
    <n v="1"/>
    <s v="FIFA World Cup"/>
    <s v="Mexico City"/>
    <s v="Mexico"/>
    <b v="1"/>
    <n v="1986"/>
    <n v="105872372613"/>
    <n v="601452653180"/>
    <x v="0"/>
    <n v="-1"/>
    <x v="0"/>
  </r>
  <r>
    <x v="925"/>
    <x v="655"/>
    <x v="21"/>
    <s v="Spain"/>
    <s v="Belgium"/>
    <n v="1"/>
    <n v="1"/>
    <s v="FIFA World Cup"/>
    <s v="Puebla"/>
    <s v="Mexico"/>
    <b v="1"/>
    <n v="1986"/>
    <n v="251141555185"/>
    <n v="120018787249"/>
    <x v="0"/>
    <n v="0"/>
    <x v="1"/>
  </r>
  <r>
    <x v="926"/>
    <x v="656"/>
    <x v="21"/>
    <s v="Argentina"/>
    <s v="Belgium"/>
    <n v="2"/>
    <n v="0"/>
    <s v="FIFA World Cup"/>
    <s v="Mexico City"/>
    <s v="Mexico"/>
    <b v="1"/>
    <n v="1986"/>
    <n v="105872372613"/>
    <n v="120018787249"/>
    <x v="1"/>
    <n v="-1"/>
    <x v="0"/>
  </r>
  <r>
    <x v="927"/>
    <x v="656"/>
    <x v="21"/>
    <s v="France"/>
    <s v="Germany"/>
    <n v="0"/>
    <n v="2"/>
    <s v="FIFA World Cup"/>
    <s v="Guadalajara"/>
    <s v="Mexico"/>
    <b v="1"/>
    <n v="1986"/>
    <n v="764946585850"/>
    <n v="1050092624515"/>
    <x v="1"/>
    <n v="1"/>
    <x v="2"/>
  </r>
  <r>
    <x v="928"/>
    <x v="657"/>
    <x v="21"/>
    <s v="France"/>
    <s v="Belgium"/>
    <n v="4"/>
    <n v="2"/>
    <s v="FIFA World Cup"/>
    <s v="Puebla"/>
    <s v="Mexico"/>
    <b v="1"/>
    <n v="1986"/>
    <n v="764946585850"/>
    <n v="120018787249"/>
    <x v="0"/>
    <n v="1"/>
    <x v="2"/>
  </r>
  <r>
    <x v="929"/>
    <x v="658"/>
    <x v="21"/>
    <s v="Argentina"/>
    <s v="Germany"/>
    <n v="3"/>
    <n v="2"/>
    <s v="FIFA World Cup"/>
    <s v="Mexico City"/>
    <s v="Mexico"/>
    <b v="1"/>
    <n v="1986"/>
    <n v="105872372613"/>
    <n v="1050092624515"/>
    <x v="0"/>
    <n v="-1"/>
    <x v="0"/>
  </r>
  <r>
    <x v="930"/>
    <x v="659"/>
    <x v="22"/>
    <s v="Libya"/>
    <s v="Burkina Faso"/>
    <n v="3"/>
    <n v="0"/>
    <s v="FIFA World Cup qualification"/>
    <s v="Tripoli"/>
    <s v="Libya"/>
    <b v="0"/>
    <n v="1988"/>
    <n v="24308959591"/>
    <n v="2616040478"/>
    <x v="0"/>
    <n v="1"/>
    <x v="2"/>
  </r>
  <r>
    <x v="931"/>
    <x v="660"/>
    <x v="22"/>
    <s v="Burkina Faso"/>
    <s v="Libya"/>
    <n v="2"/>
    <n v="0"/>
    <s v="FIFA World Cup qualification"/>
    <s v="Ouagadougou"/>
    <s v="Burkina Faso"/>
    <b v="0"/>
    <n v="1988"/>
    <n v="2616040478"/>
    <n v="24308959591"/>
    <x v="0"/>
    <n v="-1"/>
    <x v="0"/>
  </r>
  <r>
    <x v="932"/>
    <x v="661"/>
    <x v="22"/>
    <s v="Uganda"/>
    <s v="Malawi"/>
    <n v="1"/>
    <n v="0"/>
    <s v="FIFA World Cup qualification"/>
    <s v="Kampala"/>
    <s v="Uganda"/>
    <b v="0"/>
    <n v="1988"/>
    <n v="6508931651"/>
    <n v="2008189508"/>
    <x v="0"/>
    <n v="1"/>
    <x v="2"/>
  </r>
  <r>
    <x v="933"/>
    <x v="662"/>
    <x v="22"/>
    <s v="Malawi"/>
    <s v="Uganda"/>
    <n v="3"/>
    <n v="1"/>
    <s v="FIFA World Cup qualification"/>
    <s v="Lilongwe"/>
    <s v="Malawi"/>
    <b v="0"/>
    <n v="1988"/>
    <n v="2008189508"/>
    <n v="6508931651"/>
    <x v="0"/>
    <n v="-1"/>
    <x v="0"/>
  </r>
  <r>
    <x v="934"/>
    <x v="663"/>
    <x v="22"/>
    <s v="Tunisia"/>
    <s v="Guinea"/>
    <n v="5"/>
    <n v="0"/>
    <s v="FIFA World Cup qualification"/>
    <s v="Tunis"/>
    <s v="Tunisia"/>
    <b v="0"/>
    <n v="1988"/>
    <n v="10096245762"/>
    <n v="3476480303"/>
    <x v="0"/>
    <n v="1"/>
    <x v="2"/>
  </r>
  <r>
    <x v="935"/>
    <x v="664"/>
    <x v="22"/>
    <s v="Angola"/>
    <s v="Sudan"/>
    <n v="0"/>
    <n v="0"/>
    <s v="FIFA World Cup qualification"/>
    <s v="Luanda"/>
    <s v="Angola"/>
    <b v="0"/>
    <n v="1988"/>
    <n v="8769836768"/>
    <n v="14372555555"/>
    <x v="1"/>
    <n v="0"/>
    <x v="1"/>
  </r>
  <r>
    <x v="936"/>
    <x v="664"/>
    <x v="22"/>
    <s v="Ghana"/>
    <s v="Liberia"/>
    <n v="0"/>
    <n v="0"/>
    <s v="FIFA World Cup qualification"/>
    <s v="Accra"/>
    <s v="Ghana"/>
    <b v="0"/>
    <n v="1988"/>
    <n v="5197765031"/>
    <n v="1038300000"/>
    <x v="0"/>
    <n v="0"/>
    <x v="1"/>
  </r>
  <r>
    <x v="937"/>
    <x v="665"/>
    <x v="22"/>
    <s v="Guinea"/>
    <s v="Tunisia"/>
    <n v="3"/>
    <n v="0"/>
    <s v="FIFA World Cup qualification"/>
    <s v="Conakry"/>
    <s v="Guinea"/>
    <b v="0"/>
    <n v="1988"/>
    <n v="3476480303"/>
    <n v="10096245762"/>
    <x v="0"/>
    <n v="-1"/>
    <x v="0"/>
  </r>
  <r>
    <x v="938"/>
    <x v="665"/>
    <x v="22"/>
    <s v="Liberia"/>
    <s v="Ghana"/>
    <n v="2"/>
    <n v="0"/>
    <s v="FIFA World Cup qualification"/>
    <s v="Monrovia"/>
    <s v="Liberia"/>
    <b v="0"/>
    <n v="1988"/>
    <n v="1038300000"/>
    <n v="5197765031"/>
    <x v="0"/>
    <n v="-1"/>
    <x v="0"/>
  </r>
  <r>
    <x v="939"/>
    <x v="666"/>
    <x v="22"/>
    <s v="Finland"/>
    <s v="Germany"/>
    <n v="0"/>
    <n v="4"/>
    <s v="FIFA World Cup qualification"/>
    <s v="Helsinki"/>
    <s v="Finland"/>
    <b v="0"/>
    <n v="1988"/>
    <n v="109039090262"/>
    <n v="1406367016371"/>
    <x v="0"/>
    <n v="1"/>
    <x v="2"/>
  </r>
  <r>
    <x v="940"/>
    <x v="666"/>
    <x v="22"/>
    <s v="Iceland"/>
    <s v="Russia"/>
    <n v="1"/>
    <n v="1"/>
    <s v="FIFA World Cup qualification"/>
    <s v="Reykjav√≠k"/>
    <s v="Iceland"/>
    <b v="0"/>
    <n v="1988"/>
    <n v="6320093411"/>
    <n v="554828660436"/>
    <x v="0"/>
    <n v="0"/>
    <x v="1"/>
  </r>
  <r>
    <x v="941"/>
    <x v="667"/>
    <x v="22"/>
    <s v="Luxembourg"/>
    <s v="Switzerland"/>
    <n v="1"/>
    <n v="4"/>
    <s v="FIFA World Cup qualification"/>
    <s v="Luxembourg"/>
    <s v="Luxembourg"/>
    <b v="0"/>
    <n v="1988"/>
    <n v="9418167855"/>
    <n v="215540625298"/>
    <x v="0"/>
    <n v="1"/>
    <x v="2"/>
  </r>
  <r>
    <x v="942"/>
    <x v="668"/>
    <x v="22"/>
    <s v="France"/>
    <s v="Norway"/>
    <n v="1"/>
    <n v="0"/>
    <s v="FIFA World Cup qualification"/>
    <s v="Paris"/>
    <s v="France"/>
    <b v="0"/>
    <n v="1988"/>
    <n v="1010827662151"/>
    <n v="101900260856"/>
    <x v="0"/>
    <n v="1"/>
    <x v="2"/>
  </r>
  <r>
    <x v="943"/>
    <x v="669"/>
    <x v="22"/>
    <s v="Belgium"/>
    <s v="Switzerland"/>
    <n v="1"/>
    <n v="0"/>
    <s v="FIFA World Cup qualification"/>
    <s v="Brussels"/>
    <s v="Belgium"/>
    <b v="0"/>
    <n v="1988"/>
    <n v="162299103675"/>
    <n v="215540625298"/>
    <x v="1"/>
    <n v="-1"/>
    <x v="0"/>
  </r>
  <r>
    <x v="944"/>
    <x v="669"/>
    <x v="22"/>
    <s v="Bulgaria"/>
    <s v="Romania"/>
    <n v="1"/>
    <n v="3"/>
    <s v="FIFA World Cup qualification"/>
    <s v="Sofia"/>
    <s v="Bulgaria"/>
    <b v="0"/>
    <n v="1988"/>
    <n v="22555941176"/>
    <n v="40424528301"/>
    <x v="1"/>
    <n v="1"/>
    <x v="2"/>
  </r>
  <r>
    <x v="945"/>
    <x v="669"/>
    <x v="22"/>
    <s v="England"/>
    <s v="Sweden"/>
    <n v="0"/>
    <n v="0"/>
    <s v="FIFA World Cup qualification"/>
    <s v="London"/>
    <s v="England"/>
    <b v="0"/>
    <n v="1988"/>
    <n v="910122732123"/>
    <n v="206686590775"/>
    <x v="0"/>
    <n v="0"/>
    <x v="1"/>
  </r>
  <r>
    <x v="946"/>
    <x v="669"/>
    <x v="22"/>
    <s v="Germany"/>
    <s v="Netherlands"/>
    <n v="0"/>
    <n v="0"/>
    <s v="FIFA World Cup qualification"/>
    <s v="Munich"/>
    <s v="Germany"/>
    <b v="0"/>
    <n v="1988"/>
    <n v="1406367016371"/>
    <n v="262295966105"/>
    <x v="0"/>
    <n v="0"/>
    <x v="1"/>
  </r>
  <r>
    <x v="947"/>
    <x v="669"/>
    <x v="22"/>
    <s v="Greece"/>
    <s v="Denmark"/>
    <n v="1"/>
    <n v="1"/>
    <s v="FIFA World Cup qualification"/>
    <s v="Athens"/>
    <s v="Greece"/>
    <b v="0"/>
    <n v="1988"/>
    <n v="75200610136"/>
    <n v="115540189705"/>
    <x v="1"/>
    <n v="0"/>
    <x v="1"/>
  </r>
  <r>
    <x v="948"/>
    <x v="669"/>
    <x v="22"/>
    <s v="Russia"/>
    <s v="Austria"/>
    <n v="2"/>
    <n v="0"/>
    <s v="FIFA World Cup qualification"/>
    <s v="Kyiv"/>
    <s v="Soviet Union"/>
    <b v="1"/>
    <n v="1988"/>
    <n v="554828660436"/>
    <n v="132817124707"/>
    <x v="0"/>
    <n v="1"/>
    <x v="2"/>
  </r>
  <r>
    <x v="949"/>
    <x v="670"/>
    <x v="22"/>
    <s v="Cyprus"/>
    <s v="France"/>
    <n v="1"/>
    <n v="1"/>
    <s v="FIFA World Cup qualification"/>
    <s v="Nicosia"/>
    <s v="Cyprus"/>
    <b v="0"/>
    <n v="1988"/>
    <n v="4278792597"/>
    <n v="1010827662151"/>
    <x v="0"/>
    <n v="0"/>
    <x v="1"/>
  </r>
  <r>
    <x v="950"/>
    <x v="671"/>
    <x v="22"/>
    <s v="Cyprus"/>
    <s v="Norway"/>
    <n v="0"/>
    <n v="3"/>
    <s v="FIFA World Cup qualification"/>
    <s v="Limassol"/>
    <s v="Cyprus"/>
    <b v="0"/>
    <n v="1988"/>
    <n v="4278792597"/>
    <n v="101900260856"/>
    <x v="0"/>
    <n v="1"/>
    <x v="2"/>
  </r>
  <r>
    <x v="951"/>
    <x v="671"/>
    <x v="22"/>
    <s v="Denmark"/>
    <s v="Bulgaria"/>
    <n v="1"/>
    <n v="1"/>
    <s v="FIFA World Cup qualification"/>
    <s v="Copenhagen"/>
    <s v="Denmark"/>
    <b v="0"/>
    <n v="1988"/>
    <n v="115540189705"/>
    <n v="22555941176"/>
    <x v="0"/>
    <n v="0"/>
    <x v="1"/>
  </r>
  <r>
    <x v="952"/>
    <x v="671"/>
    <x v="22"/>
    <s v="Romania"/>
    <s v="Greece"/>
    <n v="3"/>
    <n v="0"/>
    <s v="FIFA World Cup qualification"/>
    <s v="Bucharest"/>
    <s v="Romania"/>
    <b v="0"/>
    <n v="1988"/>
    <n v="40424528301"/>
    <n v="75200610136"/>
    <x v="1"/>
    <n v="-1"/>
    <x v="0"/>
  </r>
  <r>
    <x v="953"/>
    <x v="672"/>
    <x v="22"/>
    <s v="Albania"/>
    <s v="Sweden"/>
    <n v="1"/>
    <n v="2"/>
    <s v="FIFA World Cup qualification"/>
    <s v="Tirana"/>
    <s v="Albania"/>
    <b v="0"/>
    <n v="1988"/>
    <n v="2051236250"/>
    <n v="206686590775"/>
    <x v="0"/>
    <n v="1"/>
    <x v="2"/>
  </r>
  <r>
    <x v="954"/>
    <x v="673"/>
    <x v="22"/>
    <s v="Sudan"/>
    <s v="Angola"/>
    <n v="1"/>
    <n v="2"/>
    <s v="FIFA World Cup qualification"/>
    <s v="Khartoum"/>
    <s v="Sudan"/>
    <b v="0"/>
    <n v="1988"/>
    <n v="14372555555"/>
    <n v="8769836768"/>
    <x v="1"/>
    <n v="-1"/>
    <x v="0"/>
  </r>
  <r>
    <x v="955"/>
    <x v="674"/>
    <x v="22"/>
    <s v="Portugal"/>
    <s v="Luxembourg"/>
    <n v="1"/>
    <n v="0"/>
    <s v="FIFA World Cup qualification"/>
    <s v="Porto"/>
    <s v="Portugal"/>
    <b v="0"/>
    <n v="1988"/>
    <n v="56347250696"/>
    <n v="9418167855"/>
    <x v="0"/>
    <n v="1"/>
    <x v="2"/>
  </r>
  <r>
    <x v="956"/>
    <x v="675"/>
    <x v="22"/>
    <s v="Fiji"/>
    <s v="Australia"/>
    <n v="1"/>
    <n v="0"/>
    <s v="FIFA World Cup qualification"/>
    <s v="Nadi"/>
    <s v="Fiji"/>
    <b v="0"/>
    <n v="1988"/>
    <n v="1110009522"/>
    <n v="236461079970"/>
    <x v="0"/>
    <n v="-1"/>
    <x v="0"/>
  </r>
  <r>
    <x v="957"/>
    <x v="676"/>
    <x v="22"/>
    <s v="Australia"/>
    <s v="Fiji"/>
    <n v="5"/>
    <n v="1"/>
    <s v="FIFA World Cup qualification"/>
    <s v="Speers Point"/>
    <s v="Australia"/>
    <b v="0"/>
    <n v="1988"/>
    <n v="236461079970"/>
    <n v="1110009522"/>
    <x v="0"/>
    <n v="1"/>
    <x v="2"/>
  </r>
  <r>
    <x v="958"/>
    <x v="677"/>
    <x v="22"/>
    <s v="Malta"/>
    <s v="Hungary"/>
    <n v="2"/>
    <n v="2"/>
    <s v="FIFA World Cup qualification"/>
    <s v="Attard"/>
    <s v="Malta"/>
    <b v="0"/>
    <n v="1988"/>
    <n v="2019503068"/>
    <n v="29799838597"/>
    <x v="0"/>
    <n v="0"/>
    <x v="1"/>
  </r>
  <r>
    <x v="959"/>
    <x v="678"/>
    <x v="23"/>
    <s v="Algeria"/>
    <s v="Zimbabwe"/>
    <n v="3"/>
    <n v="0"/>
    <s v="FIFA World Cup qualification"/>
    <s v="Annaba"/>
    <s v="Algeria"/>
    <b v="0"/>
    <n v="1989"/>
    <n v="55634721572"/>
    <n v="8290553535"/>
    <x v="0"/>
    <n v="1"/>
    <x v="2"/>
  </r>
  <r>
    <x v="960"/>
    <x v="678"/>
    <x v="23"/>
    <s v="Egypt"/>
    <s v="Liberia"/>
    <n v="2"/>
    <n v="0"/>
    <s v="FIFA World Cup qualification"/>
    <s v="Cairo"/>
    <s v="Egypt"/>
    <b v="0"/>
    <n v="1989"/>
    <n v="39756299049"/>
    <n v="786300000"/>
    <x v="0"/>
    <n v="1"/>
    <x v="2"/>
  </r>
  <r>
    <x v="961"/>
    <x v="678"/>
    <x v="23"/>
    <s v="Oman"/>
    <s v="Iraq"/>
    <n v="1"/>
    <n v="1"/>
    <s v="FIFA World Cup qualification"/>
    <s v="Muscat"/>
    <s v="Oman"/>
    <b v="0"/>
    <n v="1989"/>
    <n v="9372171651"/>
    <n v="65831935483"/>
    <x v="0"/>
    <n v="0"/>
    <x v="1"/>
  </r>
  <r>
    <x v="962"/>
    <x v="678"/>
    <x v="23"/>
    <s v="Pakistan"/>
    <s v="Kuwait"/>
    <n v="0"/>
    <n v="1"/>
    <s v="FIFA World Cup qualification"/>
    <s v="Islamabad"/>
    <s v="Pakistan"/>
    <b v="0"/>
    <n v="1989"/>
    <n v="40171106279"/>
    <n v="24313855653"/>
    <x v="1"/>
    <n v="-1"/>
    <x v="0"/>
  </r>
  <r>
    <x v="963"/>
    <x v="678"/>
    <x v="23"/>
    <s v="Qatar"/>
    <s v="Jordan"/>
    <n v="1"/>
    <n v="0"/>
    <s v="FIFA World Cup qualification"/>
    <s v="Doha"/>
    <s v="Qatar"/>
    <b v="0"/>
    <n v="1989"/>
    <n v="6487912087"/>
    <n v="4221373673"/>
    <x v="1"/>
    <n v="1"/>
    <x v="2"/>
  </r>
  <r>
    <x v="964"/>
    <x v="679"/>
    <x v="23"/>
    <s v="Kenya"/>
    <s v="Malawi"/>
    <n v="1"/>
    <n v="1"/>
    <s v="FIFA World Cup qualification"/>
    <s v="Nairobi"/>
    <s v="Kenya"/>
    <b v="0"/>
    <n v="1989"/>
    <n v="8283114514"/>
    <n v="2314205129"/>
    <x v="0"/>
    <n v="0"/>
    <x v="1"/>
  </r>
  <r>
    <x v="965"/>
    <x v="679"/>
    <x v="23"/>
    <s v="Nigeria"/>
    <s v="Gabon"/>
    <n v="1"/>
    <n v="0"/>
    <s v="FIFA World Cup qualification"/>
    <s v="Enugu"/>
    <s v="Nigeria"/>
    <b v="0"/>
    <n v="1989"/>
    <n v="44003061108"/>
    <n v="4186411463"/>
    <x v="0"/>
    <n v="1"/>
    <x v="2"/>
  </r>
  <r>
    <x v="966"/>
    <x v="680"/>
    <x v="23"/>
    <s v="Cameroon"/>
    <s v="Angola"/>
    <n v="1"/>
    <n v="1"/>
    <s v="FIFA World Cup qualification"/>
    <s v="Yaound√©"/>
    <s v="Cameroon"/>
    <b v="0"/>
    <n v="1989"/>
    <n v="11012566195"/>
    <n v="10201780976"/>
    <x v="1"/>
    <n v="0"/>
    <x v="1"/>
  </r>
  <r>
    <x v="967"/>
    <x v="680"/>
    <x v="23"/>
    <s v="Morocco"/>
    <s v="Zambia"/>
    <n v="1"/>
    <n v="0"/>
    <s v="FIFA World Cup qualification"/>
    <s v="Rabat"/>
    <s v="Morocco"/>
    <b v="0"/>
    <n v="1989"/>
    <n v="26314313191"/>
    <n v="3994673161"/>
    <x v="0"/>
    <n v="1"/>
    <x v="2"/>
  </r>
  <r>
    <x v="968"/>
    <x v="681"/>
    <x v="23"/>
    <s v="Jordan"/>
    <s v="Iraq"/>
    <n v="0"/>
    <n v="1"/>
    <s v="FIFA World Cup qualification"/>
    <s v="Amman"/>
    <s v="Jordan"/>
    <b v="0"/>
    <n v="1989"/>
    <n v="4221373673"/>
    <n v="65831935483"/>
    <x v="0"/>
    <n v="1"/>
    <x v="2"/>
  </r>
  <r>
    <x v="969"/>
    <x v="681"/>
    <x v="23"/>
    <s v="Kuwait"/>
    <s v="United Arab Emirates"/>
    <n v="3"/>
    <n v="2"/>
    <s v="FIFA World Cup qualification"/>
    <s v="Kuwait City"/>
    <s v="Kuwait"/>
    <b v="0"/>
    <n v="1989"/>
    <n v="24313855653"/>
    <n v="41464995913"/>
    <x v="1"/>
    <n v="-1"/>
    <x v="0"/>
  </r>
  <r>
    <x v="970"/>
    <x v="681"/>
    <x v="23"/>
    <s v="Oman"/>
    <s v="Qatar"/>
    <n v="0"/>
    <n v="0"/>
    <s v="FIFA World Cup qualification"/>
    <s v="Muscat"/>
    <s v="Oman"/>
    <b v="0"/>
    <n v="1989"/>
    <n v="9372171651"/>
    <n v="6487912087"/>
    <x v="1"/>
    <n v="0"/>
    <x v="1"/>
  </r>
  <r>
    <x v="971"/>
    <x v="682"/>
    <x v="23"/>
    <s v="Jordan"/>
    <s v="Oman"/>
    <n v="2"/>
    <n v="0"/>
    <s v="FIFA World Cup qualification"/>
    <s v="Amman"/>
    <s v="Jordan"/>
    <b v="0"/>
    <n v="1989"/>
    <n v="4221373673"/>
    <n v="9372171651"/>
    <x v="0"/>
    <n v="-1"/>
    <x v="0"/>
  </r>
  <r>
    <x v="972"/>
    <x v="682"/>
    <x v="23"/>
    <s v="Qatar"/>
    <s v="Iraq"/>
    <n v="1"/>
    <n v="0"/>
    <s v="FIFA World Cup qualification"/>
    <s v="Doha"/>
    <s v="Qatar"/>
    <b v="0"/>
    <n v="1989"/>
    <n v="6487912087"/>
    <n v="65831935483"/>
    <x v="0"/>
    <n v="-1"/>
    <x v="0"/>
  </r>
  <r>
    <x v="973"/>
    <x v="682"/>
    <x v="23"/>
    <s v="United Arab Emirates"/>
    <s v="Pakistan"/>
    <n v="5"/>
    <n v="0"/>
    <s v="FIFA World Cup qualification"/>
    <s v="Sharjah"/>
    <s v="United Arab Emirates"/>
    <b v="0"/>
    <n v="1989"/>
    <n v="41464995913"/>
    <n v="40171106279"/>
    <x v="1"/>
    <n v="1"/>
    <x v="2"/>
  </r>
  <r>
    <x v="974"/>
    <x v="683"/>
    <x v="23"/>
    <s v="Malawi"/>
    <s v="Egypt"/>
    <n v="1"/>
    <n v="1"/>
    <s v="FIFA World Cup qualification"/>
    <s v="Lilongwe"/>
    <s v="Malawi"/>
    <b v="0"/>
    <n v="1989"/>
    <n v="2314205129"/>
    <n v="39756299049"/>
    <x v="0"/>
    <n v="0"/>
    <x v="1"/>
  </r>
  <r>
    <x v="975"/>
    <x v="684"/>
    <x v="23"/>
    <s v="Angola"/>
    <s v="Nigeria"/>
    <n v="2"/>
    <n v="2"/>
    <s v="FIFA World Cup qualification"/>
    <s v="Luanda"/>
    <s v="Angola"/>
    <b v="0"/>
    <n v="1989"/>
    <n v="10201780976"/>
    <n v="44003061108"/>
    <x v="0"/>
    <n v="0"/>
    <x v="1"/>
  </r>
  <r>
    <x v="976"/>
    <x v="684"/>
    <x v="23"/>
    <s v="Gabon"/>
    <s v="Cameroon"/>
    <n v="1"/>
    <n v="3"/>
    <s v="FIFA World Cup qualification"/>
    <s v="Libreville"/>
    <s v="Gabon"/>
    <b v="0"/>
    <n v="1989"/>
    <n v="4186411463"/>
    <n v="11012566195"/>
    <x v="0"/>
    <n v="1"/>
    <x v="2"/>
  </r>
  <r>
    <x v="977"/>
    <x v="684"/>
    <x v="23"/>
    <s v="Liberia"/>
    <s v="Kenya"/>
    <n v="0"/>
    <n v="0"/>
    <s v="FIFA World Cup qualification"/>
    <s v="Monrovia"/>
    <s v="Liberia"/>
    <b v="0"/>
    <n v="1989"/>
    <n v="786300000"/>
    <n v="8283114514"/>
    <x v="0"/>
    <n v="0"/>
    <x v="1"/>
  </r>
  <r>
    <x v="978"/>
    <x v="684"/>
    <x v="23"/>
    <s v="Malta"/>
    <s v="Spain"/>
    <n v="0"/>
    <n v="2"/>
    <s v="FIFA World Cup qualification"/>
    <s v="Attard"/>
    <s v="Malta"/>
    <b v="0"/>
    <n v="1989"/>
    <n v="2118655676"/>
    <n v="414460794096"/>
    <x v="0"/>
    <n v="1"/>
    <x v="2"/>
  </r>
  <r>
    <x v="979"/>
    <x v="684"/>
    <x v="23"/>
    <s v="Tunisia"/>
    <s v="Morocco"/>
    <n v="2"/>
    <n v="1"/>
    <s v="FIFA World Cup qualification"/>
    <s v="Tunis"/>
    <s v="Tunisia"/>
    <b v="0"/>
    <n v="1989"/>
    <n v="10101851744"/>
    <n v="26314313191"/>
    <x v="0"/>
    <n v="-1"/>
    <x v="0"/>
  </r>
  <r>
    <x v="980"/>
    <x v="685"/>
    <x v="23"/>
    <s v="Iraq"/>
    <s v="Oman"/>
    <n v="3"/>
    <n v="1"/>
    <s v="FIFA World Cup qualification"/>
    <s v="Baghdad"/>
    <s v="Iraq"/>
    <b v="0"/>
    <n v="1989"/>
    <n v="65831935483"/>
    <n v="9372171651"/>
    <x v="0"/>
    <n v="1"/>
    <x v="2"/>
  </r>
  <r>
    <x v="981"/>
    <x v="685"/>
    <x v="23"/>
    <s v="Jordan"/>
    <s v="Qatar"/>
    <n v="1"/>
    <n v="1"/>
    <s v="FIFA World Cup qualification"/>
    <s v="Amman"/>
    <s v="Jordan"/>
    <b v="0"/>
    <n v="1989"/>
    <n v="4221373673"/>
    <n v="6487912087"/>
    <x v="1"/>
    <n v="0"/>
    <x v="1"/>
  </r>
  <r>
    <x v="982"/>
    <x v="685"/>
    <x v="23"/>
    <s v="Kuwait"/>
    <s v="Pakistan"/>
    <n v="2"/>
    <n v="0"/>
    <s v="FIFA World Cup qualification"/>
    <s v="Kuwait City"/>
    <s v="Kuwait"/>
    <b v="0"/>
    <n v="1989"/>
    <n v="24313855653"/>
    <n v="40171106279"/>
    <x v="1"/>
    <n v="-1"/>
    <x v="0"/>
  </r>
  <r>
    <x v="983"/>
    <x v="686"/>
    <x v="23"/>
    <s v="Iraq"/>
    <s v="Jordan"/>
    <n v="4"/>
    <n v="0"/>
    <s v="FIFA World Cup qualification"/>
    <s v="Baghdad"/>
    <s v="Iraq"/>
    <b v="0"/>
    <n v="1989"/>
    <n v="65831935483"/>
    <n v="4221373673"/>
    <x v="0"/>
    <n v="1"/>
    <x v="2"/>
  </r>
  <r>
    <x v="984"/>
    <x v="686"/>
    <x v="23"/>
    <s v="Qatar"/>
    <s v="Oman"/>
    <n v="3"/>
    <n v="0"/>
    <s v="FIFA World Cup qualification"/>
    <s v="Doha"/>
    <s v="Qatar"/>
    <b v="0"/>
    <n v="1989"/>
    <n v="6487912087"/>
    <n v="9372171651"/>
    <x v="1"/>
    <n v="-1"/>
    <x v="0"/>
  </r>
  <r>
    <x v="985"/>
    <x v="686"/>
    <x v="23"/>
    <s v="United Arab Emirates"/>
    <s v="Kuwait"/>
    <n v="1"/>
    <n v="0"/>
    <s v="FIFA World Cup qualification"/>
    <s v="Sharjah"/>
    <s v="United Arab Emirates"/>
    <b v="0"/>
    <n v="1989"/>
    <n v="41464995913"/>
    <n v="24313855653"/>
    <x v="1"/>
    <n v="1"/>
    <x v="2"/>
  </r>
  <r>
    <x v="986"/>
    <x v="687"/>
    <x v="23"/>
    <s v="Iraq"/>
    <s v="Qatar"/>
    <n v="2"/>
    <n v="2"/>
    <s v="FIFA World Cup qualification"/>
    <s v="Baghdad"/>
    <s v="Iraq"/>
    <b v="0"/>
    <n v="1989"/>
    <n v="65831935483"/>
    <n v="6487912087"/>
    <x v="0"/>
    <n v="0"/>
    <x v="1"/>
  </r>
  <r>
    <x v="987"/>
    <x v="687"/>
    <x v="23"/>
    <s v="Oman"/>
    <s v="Jordan"/>
    <n v="0"/>
    <n v="2"/>
    <s v="FIFA World Cup qualification"/>
    <s v="Muscat"/>
    <s v="Oman"/>
    <b v="0"/>
    <n v="1989"/>
    <n v="9372171651"/>
    <n v="4221373673"/>
    <x v="0"/>
    <n v="-1"/>
    <x v="0"/>
  </r>
  <r>
    <x v="988"/>
    <x v="687"/>
    <x v="23"/>
    <s v="Pakistan"/>
    <s v="United Arab Emirates"/>
    <n v="1"/>
    <n v="4"/>
    <s v="FIFA World Cup qualification"/>
    <s v="Islamabad"/>
    <s v="Pakistan"/>
    <b v="0"/>
    <n v="1989"/>
    <n v="40171106279"/>
    <n v="41464995913"/>
    <x v="1"/>
    <n v="1"/>
    <x v="2"/>
  </r>
  <r>
    <x v="989"/>
    <x v="688"/>
    <x v="23"/>
    <s v="Portugal"/>
    <s v="Belgium"/>
    <n v="1"/>
    <n v="1"/>
    <s v="FIFA World Cup qualification"/>
    <s v="Lisbon"/>
    <s v="Portugal"/>
    <b v="0"/>
    <n v="1989"/>
    <n v="60594092182"/>
    <n v="164221056511"/>
    <x v="0"/>
    <n v="0"/>
    <x v="1"/>
  </r>
  <r>
    <x v="990"/>
    <x v="689"/>
    <x v="23"/>
    <s v="Thailand"/>
    <s v="Bangladesh"/>
    <n v="1"/>
    <n v="0"/>
    <s v="FIFA World Cup qualification"/>
    <s v="Bangkok"/>
    <s v="Thailand"/>
    <b v="0"/>
    <n v="1989"/>
    <n v="72250748099"/>
    <n v="28781715188"/>
    <x v="0"/>
    <n v="1"/>
    <x v="2"/>
  </r>
  <r>
    <x v="991"/>
    <x v="690"/>
    <x v="23"/>
    <s v="Thailand"/>
    <s v="Iran"/>
    <n v="0"/>
    <n v="3"/>
    <s v="FIFA World Cup qualification"/>
    <s v="Bangkok"/>
    <s v="Thailand"/>
    <b v="0"/>
    <n v="1989"/>
    <n v="72250748099"/>
    <n v="120496362916"/>
    <x v="1"/>
    <n v="1"/>
    <x v="2"/>
  </r>
  <r>
    <x v="992"/>
    <x v="691"/>
    <x v="23"/>
    <s v="Bangladesh"/>
    <s v="Iran"/>
    <n v="1"/>
    <n v="2"/>
    <s v="FIFA World Cup qualification"/>
    <s v="Dhaka"/>
    <s v="Bangladesh"/>
    <b v="0"/>
    <n v="1989"/>
    <n v="28781715188"/>
    <n v="120496362916"/>
    <x v="0"/>
    <n v="1"/>
    <x v="2"/>
  </r>
  <r>
    <x v="993"/>
    <x v="692"/>
    <x v="23"/>
    <s v="Israel"/>
    <s v="New Zealand"/>
    <n v="1"/>
    <n v="0"/>
    <s v="FIFA World Cup qualification"/>
    <s v="Ramat Gan"/>
    <s v="Israel"/>
    <b v="0"/>
    <n v="1989"/>
    <n v="52443479454"/>
    <n v="43920222524"/>
    <x v="1"/>
    <n v="1"/>
    <x v="2"/>
  </r>
  <r>
    <x v="994"/>
    <x v="693"/>
    <x v="23"/>
    <s v="Albania"/>
    <s v="England"/>
    <n v="0"/>
    <n v="2"/>
    <s v="FIFA World Cup qualification"/>
    <s v="Tirana"/>
    <s v="Albania"/>
    <b v="0"/>
    <n v="1989"/>
    <n v="2253090000"/>
    <n v="926884816753"/>
    <x v="0"/>
    <n v="1"/>
    <x v="2"/>
  </r>
  <r>
    <x v="995"/>
    <x v="693"/>
    <x v="23"/>
    <s v="Bangladesh"/>
    <s v="Thailand"/>
    <n v="3"/>
    <n v="1"/>
    <s v="FIFA World Cup qualification"/>
    <s v="Dhaka"/>
    <s v="Bangladesh"/>
    <b v="0"/>
    <n v="1989"/>
    <n v="28781715188"/>
    <n v="72250748099"/>
    <x v="0"/>
    <n v="-1"/>
    <x v="0"/>
  </r>
  <r>
    <x v="996"/>
    <x v="694"/>
    <x v="23"/>
    <s v="Australia"/>
    <s v="New Zealand"/>
    <n v="4"/>
    <n v="1"/>
    <s v="FIFA World Cup qualification"/>
    <s v="Sydney"/>
    <s v="Australia"/>
    <b v="0"/>
    <n v="1989"/>
    <n v="300264309002"/>
    <n v="43920222524"/>
    <x v="0"/>
    <n v="1"/>
    <x v="2"/>
  </r>
  <r>
    <x v="997"/>
    <x v="695"/>
    <x v="23"/>
    <s v="Saudi Arabia"/>
    <s v="Syria"/>
    <n v="5"/>
    <n v="4"/>
    <s v="FIFA World Cup qualification"/>
    <s v="Jeddah"/>
    <s v="Saudi Arabia"/>
    <b v="0"/>
    <n v="1989"/>
    <n v="95344459279"/>
    <n v="9853395761"/>
    <x v="0"/>
    <n v="1"/>
    <x v="2"/>
  </r>
  <r>
    <x v="998"/>
    <x v="696"/>
    <x v="23"/>
    <s v="Iran"/>
    <s v="Bangladesh"/>
    <n v="1"/>
    <n v="0"/>
    <s v="FIFA World Cup qualification"/>
    <s v="Tehran"/>
    <s v="Iran"/>
    <b v="0"/>
    <n v="1989"/>
    <n v="120496362916"/>
    <n v="28781715188"/>
    <x v="0"/>
    <n v="1"/>
    <x v="2"/>
  </r>
  <r>
    <x v="999"/>
    <x v="697"/>
    <x v="23"/>
    <s v="Israel"/>
    <s v="Australia"/>
    <n v="1"/>
    <n v="1"/>
    <s v="FIFA World Cup qualification"/>
    <s v="Ramat Gan"/>
    <s v="Israel"/>
    <b v="0"/>
    <n v="1989"/>
    <n v="52443479454"/>
    <n v="300264309002"/>
    <x v="0"/>
    <n v="0"/>
    <x v="1"/>
  </r>
  <r>
    <x v="1000"/>
    <x v="698"/>
    <x v="23"/>
    <s v="Spain"/>
    <s v="Malta"/>
    <n v="4"/>
    <n v="0"/>
    <s v="FIFA World Cup qualification"/>
    <s v="Seville"/>
    <s v="Spain"/>
    <b v="0"/>
    <n v="1989"/>
    <n v="414460794096"/>
    <n v="2118655676"/>
    <x v="0"/>
    <n v="1"/>
    <x v="2"/>
  </r>
  <r>
    <x v="1001"/>
    <x v="699"/>
    <x v="23"/>
    <s v="Syria"/>
    <s v="Saudi Arabia"/>
    <n v="0"/>
    <n v="0"/>
    <s v="FIFA World Cup qualification"/>
    <s v="Latakia"/>
    <s v="Syria"/>
    <b v="0"/>
    <n v="1989"/>
    <n v="9853395761"/>
    <n v="95344459279"/>
    <x v="0"/>
    <n v="0"/>
    <x v="1"/>
  </r>
  <r>
    <x v="1002"/>
    <x v="700"/>
    <x v="23"/>
    <s v="New Zealand"/>
    <s v="Australia"/>
    <n v="2"/>
    <n v="0"/>
    <s v="FIFA World Cup qualification"/>
    <s v="Auckland"/>
    <s v="New Zealand"/>
    <b v="0"/>
    <n v="1989"/>
    <n v="43920222524"/>
    <n v="300264309002"/>
    <x v="0"/>
    <n v="-1"/>
    <x v="0"/>
  </r>
  <r>
    <x v="1003"/>
    <x v="701"/>
    <x v="23"/>
    <s v="New Zealand"/>
    <s v="Israel"/>
    <n v="2"/>
    <n v="2"/>
    <s v="FIFA World Cup qualification"/>
    <s v="Auckland"/>
    <s v="New Zealand"/>
    <b v="0"/>
    <n v="1989"/>
    <n v="43920222524"/>
    <n v="52443479454"/>
    <x v="1"/>
    <n v="0"/>
    <x v="1"/>
  </r>
  <r>
    <x v="1004"/>
    <x v="702"/>
    <x v="23"/>
    <s v="Hungary"/>
    <s v="Malta"/>
    <n v="1"/>
    <n v="1"/>
    <s v="FIFA World Cup qualification"/>
    <s v="Budapest"/>
    <s v="Hungary"/>
    <b v="0"/>
    <n v="1989"/>
    <n v="30422508937"/>
    <n v="2118655676"/>
    <x v="0"/>
    <n v="0"/>
    <x v="1"/>
  </r>
  <r>
    <x v="1005"/>
    <x v="703"/>
    <x v="23"/>
    <s v="Australia"/>
    <s v="Israel"/>
    <n v="1"/>
    <n v="1"/>
    <s v="FIFA World Cup qualification"/>
    <s v="Sydney"/>
    <s v="Australia"/>
    <b v="0"/>
    <n v="1989"/>
    <n v="300264309002"/>
    <n v="52443479454"/>
    <x v="0"/>
    <n v="0"/>
    <x v="1"/>
  </r>
  <r>
    <x v="1006"/>
    <x v="704"/>
    <x v="23"/>
    <s v="Bulgaria"/>
    <s v="Denmark"/>
    <n v="0"/>
    <n v="2"/>
    <s v="FIFA World Cup qualification"/>
    <s v="Sofia"/>
    <s v="Bulgaria"/>
    <b v="0"/>
    <n v="1989"/>
    <n v="21988444444"/>
    <n v="112312200760"/>
    <x v="0"/>
    <n v="1"/>
    <x v="2"/>
  </r>
  <r>
    <x v="1007"/>
    <x v="704"/>
    <x v="23"/>
    <s v="England"/>
    <s v="Albania"/>
    <n v="5"/>
    <n v="0"/>
    <s v="FIFA World Cup qualification"/>
    <s v="London"/>
    <s v="England"/>
    <b v="0"/>
    <n v="1989"/>
    <n v="926884816753"/>
    <n v="2253090000"/>
    <x v="0"/>
    <n v="1"/>
    <x v="2"/>
  </r>
  <r>
    <x v="1008"/>
    <x v="704"/>
    <x v="23"/>
    <s v="Greece"/>
    <s v="Romania"/>
    <n v="0"/>
    <n v="0"/>
    <s v="FIFA World Cup qualification"/>
    <s v="Athens"/>
    <s v="Greece"/>
    <b v="0"/>
    <n v="1989"/>
    <n v="78067933277"/>
    <n v="41450777202"/>
    <x v="1"/>
    <n v="0"/>
    <x v="1"/>
  </r>
  <r>
    <x v="1009"/>
    <x v="704"/>
    <x v="23"/>
    <s v="Netherlands"/>
    <s v="Germany"/>
    <n v="1"/>
    <n v="1"/>
    <s v="FIFA World Cup qualification"/>
    <s v="Rotterdam"/>
    <s v="Netherlands"/>
    <b v="0"/>
    <n v="1989"/>
    <n v="258716904291"/>
    <n v="1404092925205"/>
    <x v="0"/>
    <n v="0"/>
    <x v="1"/>
  </r>
  <r>
    <x v="1010"/>
    <x v="704"/>
    <x v="23"/>
    <s v="Portugal"/>
    <s v="Switzerland"/>
    <n v="3"/>
    <n v="1"/>
    <s v="FIFA World Cup qualification"/>
    <s v="Lisbon"/>
    <s v="Portugal"/>
    <b v="0"/>
    <n v="1989"/>
    <n v="60594092182"/>
    <n v="208105846934"/>
    <x v="0"/>
    <n v="-1"/>
    <x v="0"/>
  </r>
  <r>
    <x v="1011"/>
    <x v="705"/>
    <x v="23"/>
    <s v="Denmark"/>
    <s v="Greece"/>
    <n v="7"/>
    <n v="1"/>
    <s v="FIFA World Cup qualification"/>
    <s v="Copenhagen"/>
    <s v="Denmark"/>
    <b v="0"/>
    <n v="1989"/>
    <n v="112312200760"/>
    <n v="78067933277"/>
    <x v="1"/>
    <n v="1"/>
    <x v="2"/>
  </r>
  <r>
    <x v="1012"/>
    <x v="705"/>
    <x v="23"/>
    <s v="Romania"/>
    <s v="Bulgaria"/>
    <n v="1"/>
    <n v="0"/>
    <s v="FIFA World Cup qualification"/>
    <s v="Bucharest"/>
    <s v="Romania"/>
    <b v="0"/>
    <n v="1989"/>
    <n v="41450777202"/>
    <n v="21988444444"/>
    <x v="1"/>
    <n v="1"/>
    <x v="2"/>
  </r>
  <r>
    <x v="1013"/>
    <x v="706"/>
    <x v="23"/>
    <s v="Norway"/>
    <s v="Cyprus"/>
    <n v="3"/>
    <n v="1"/>
    <s v="FIFA World Cup qualification"/>
    <s v="Oslo"/>
    <s v="Norway"/>
    <b v="0"/>
    <n v="1989"/>
    <n v="102633934390"/>
    <n v="4563482603"/>
    <x v="0"/>
    <n v="1"/>
    <x v="2"/>
  </r>
  <r>
    <x v="1014"/>
    <x v="707"/>
    <x v="23"/>
    <s v="South Korea"/>
    <s v="Singapore"/>
    <n v="3"/>
    <n v="0"/>
    <s v="FIFA World Cup qualification"/>
    <s v="Seoul"/>
    <s v="South Korea"/>
    <b v="0"/>
    <n v="1989"/>
    <n v="254236243100"/>
    <n v="30465364738"/>
    <x v="0"/>
    <n v="1"/>
    <x v="2"/>
  </r>
  <r>
    <x v="1015"/>
    <x v="707"/>
    <x v="23"/>
    <s v="Malaysia"/>
    <s v="Nepal"/>
    <n v="2"/>
    <n v="0"/>
    <s v="FIFA World Cup qualification"/>
    <s v="Seoul"/>
    <s v="South Korea"/>
    <b v="1"/>
    <n v="1989"/>
    <n v="38847965292"/>
    <n v="3525225786"/>
    <x v="0"/>
    <n v="1"/>
    <x v="2"/>
  </r>
  <r>
    <x v="1016"/>
    <x v="708"/>
    <x v="23"/>
    <s v="South Korea"/>
    <s v="Nepal"/>
    <n v="9"/>
    <n v="0"/>
    <s v="FIFA World Cup qualification"/>
    <s v="Seoul"/>
    <s v="South Korea"/>
    <b v="0"/>
    <n v="1989"/>
    <n v="254236243100"/>
    <n v="3525225786"/>
    <x v="0"/>
    <n v="1"/>
    <x v="2"/>
  </r>
  <r>
    <x v="1017"/>
    <x v="708"/>
    <x v="23"/>
    <s v="Malaysia"/>
    <s v="Singapore"/>
    <n v="1"/>
    <n v="0"/>
    <s v="FIFA World Cup qualification"/>
    <s v="Seoul"/>
    <s v="South Korea"/>
    <b v="1"/>
    <n v="1989"/>
    <n v="38847965292"/>
    <n v="30465364738"/>
    <x v="1"/>
    <n v="1"/>
    <x v="2"/>
  </r>
  <r>
    <x v="1018"/>
    <x v="709"/>
    <x v="23"/>
    <s v="South Korea"/>
    <s v="Malaysia"/>
    <n v="3"/>
    <n v="0"/>
    <s v="FIFA World Cup qualification"/>
    <s v="Seoul"/>
    <s v="South Korea"/>
    <b v="0"/>
    <n v="1989"/>
    <n v="254236243100"/>
    <n v="38847965292"/>
    <x v="0"/>
    <n v="1"/>
    <x v="2"/>
  </r>
  <r>
    <x v="1019"/>
    <x v="709"/>
    <x v="23"/>
    <s v="Singapore"/>
    <s v="Nepal"/>
    <n v="3"/>
    <n v="0"/>
    <s v="FIFA World Cup qualification"/>
    <s v="Seoul"/>
    <s v="South Korea"/>
    <b v="1"/>
    <n v="1989"/>
    <n v="30465364738"/>
    <n v="3525225786"/>
    <x v="0"/>
    <n v="1"/>
    <x v="2"/>
  </r>
  <r>
    <x v="1020"/>
    <x v="710"/>
    <x v="23"/>
    <s v="Indonesia"/>
    <s v="Japan"/>
    <n v="0"/>
    <n v="0"/>
    <s v="FIFA World Cup qualification"/>
    <s v="Jakarta"/>
    <s v="Indonesia"/>
    <b v="0"/>
    <n v="1989"/>
    <n v="94451427876"/>
    <n v="3109455047823"/>
    <x v="0"/>
    <n v="0"/>
    <x v="1"/>
  </r>
  <r>
    <x v="1021"/>
    <x v="711"/>
    <x v="23"/>
    <s v="Iran"/>
    <s v="Thailand"/>
    <n v="3"/>
    <n v="0"/>
    <s v="FIFA World Cup qualification"/>
    <s v="Tehran"/>
    <s v="Iran"/>
    <b v="0"/>
    <n v="1989"/>
    <n v="120496362916"/>
    <n v="72250748099"/>
    <x v="1"/>
    <n v="1"/>
    <x v="2"/>
  </r>
  <r>
    <x v="1022"/>
    <x v="712"/>
    <x v="23"/>
    <s v="Finland"/>
    <s v="Netherlands"/>
    <n v="0"/>
    <n v="1"/>
    <s v="FIFA World Cup qualification"/>
    <s v="Helsinki"/>
    <s v="Finland"/>
    <b v="0"/>
    <n v="1989"/>
    <n v="118991270611"/>
    <n v="258716904291"/>
    <x v="0"/>
    <n v="1"/>
    <x v="2"/>
  </r>
  <r>
    <x v="1023"/>
    <x v="712"/>
    <x v="23"/>
    <s v="Russia"/>
    <s v="Iceland"/>
    <n v="1"/>
    <n v="1"/>
    <s v="FIFA World Cup qualification"/>
    <s v="Moscow"/>
    <s v="Soviet Union"/>
    <b v="1"/>
    <n v="1989"/>
    <n v="506631299734"/>
    <n v="5870854233"/>
    <x v="0"/>
    <n v="0"/>
    <x v="1"/>
  </r>
  <r>
    <x v="1024"/>
    <x v="713"/>
    <x v="23"/>
    <s v="Luxembourg"/>
    <s v="Belgium"/>
    <n v="0"/>
    <n v="5"/>
    <s v="FIFA World Cup qualification"/>
    <s v="Lille"/>
    <s v="France"/>
    <b v="1"/>
    <n v="1989"/>
    <n v="10037674037"/>
    <n v="164221056511"/>
    <x v="0"/>
    <n v="1"/>
    <x v="2"/>
  </r>
  <r>
    <x v="1025"/>
    <x v="714"/>
    <x v="23"/>
    <s v="Nepal"/>
    <s v="South Korea"/>
    <n v="0"/>
    <n v="4"/>
    <s v="FIFA World Cup qualification"/>
    <s v="Singapore"/>
    <s v="Singapore"/>
    <b v="1"/>
    <n v="1989"/>
    <n v="3525225786"/>
    <n v="254236243100"/>
    <x v="0"/>
    <n v="1"/>
    <x v="2"/>
  </r>
  <r>
    <x v="1026"/>
    <x v="714"/>
    <x v="23"/>
    <s v="Singapore"/>
    <s v="Malaysia"/>
    <n v="2"/>
    <n v="2"/>
    <s v="FIFA World Cup qualification"/>
    <s v="Singapore"/>
    <s v="Singapore"/>
    <b v="0"/>
    <n v="1989"/>
    <n v="30465364738"/>
    <n v="38847965292"/>
    <x v="1"/>
    <n v="0"/>
    <x v="1"/>
  </r>
  <r>
    <x v="1027"/>
    <x v="715"/>
    <x v="23"/>
    <s v="Malaysia"/>
    <s v="South Korea"/>
    <n v="0"/>
    <n v="3"/>
    <s v="FIFA World Cup qualification"/>
    <s v="Singapore"/>
    <s v="Singapore"/>
    <b v="1"/>
    <n v="1989"/>
    <n v="38847965292"/>
    <n v="254236243100"/>
    <x v="0"/>
    <n v="1"/>
    <x v="2"/>
  </r>
  <r>
    <x v="1028"/>
    <x v="715"/>
    <x v="23"/>
    <s v="Singapore"/>
    <s v="Nepal"/>
    <n v="7"/>
    <n v="0"/>
    <s v="FIFA World Cup qualification"/>
    <s v="Singapore"/>
    <s v="Singapore"/>
    <b v="0"/>
    <n v="1989"/>
    <n v="30465364738"/>
    <n v="3525225786"/>
    <x v="0"/>
    <n v="1"/>
    <x v="2"/>
  </r>
  <r>
    <x v="1029"/>
    <x v="716"/>
    <x v="23"/>
    <s v="Malaysia"/>
    <s v="Nepal"/>
    <n v="3"/>
    <n v="0"/>
    <s v="FIFA World Cup qualification"/>
    <s v="Singapore"/>
    <s v="Singapore"/>
    <b v="1"/>
    <n v="1989"/>
    <n v="38847965292"/>
    <n v="3525225786"/>
    <x v="0"/>
    <n v="1"/>
    <x v="2"/>
  </r>
  <r>
    <x v="1030"/>
    <x v="716"/>
    <x v="23"/>
    <s v="Singapore"/>
    <s v="South Korea"/>
    <n v="0"/>
    <n v="3"/>
    <s v="FIFA World Cup qualification"/>
    <s v="Singapore"/>
    <s v="Singapore"/>
    <b v="0"/>
    <n v="1989"/>
    <n v="30465364738"/>
    <n v="254236243100"/>
    <x v="0"/>
    <n v="1"/>
    <x v="2"/>
  </r>
  <r>
    <x v="1031"/>
    <x v="717"/>
    <x v="23"/>
    <s v="Kenya"/>
    <s v="Egypt"/>
    <n v="0"/>
    <n v="0"/>
    <s v="FIFA World Cup qualification"/>
    <s v="Nairobi"/>
    <s v="Kenya"/>
    <b v="0"/>
    <n v="1989"/>
    <n v="8283114514"/>
    <n v="39756299049"/>
    <x v="0"/>
    <n v="0"/>
    <x v="1"/>
  </r>
  <r>
    <x v="1032"/>
    <x v="717"/>
    <x v="23"/>
    <s v="Nigeria"/>
    <s v="Cameroon"/>
    <n v="2"/>
    <n v="0"/>
    <s v="FIFA World Cup qualification"/>
    <s v="Ibadan"/>
    <s v="Nigeria"/>
    <b v="0"/>
    <n v="1989"/>
    <n v="44003061108"/>
    <n v="11012566195"/>
    <x v="0"/>
    <n v="1"/>
    <x v="2"/>
  </r>
  <r>
    <x v="1033"/>
    <x v="718"/>
    <x v="23"/>
    <s v="Angola"/>
    <s v="Gabon"/>
    <n v="2"/>
    <n v="0"/>
    <s v="FIFA World Cup qualification"/>
    <s v="Luanda"/>
    <s v="Angola"/>
    <b v="0"/>
    <n v="1989"/>
    <n v="10201780976"/>
    <n v="4186411463"/>
    <x v="0"/>
    <n v="1"/>
    <x v="2"/>
  </r>
  <r>
    <x v="1034"/>
    <x v="718"/>
    <x v="23"/>
    <s v="Japan"/>
    <s v="Indonesia"/>
    <n v="5"/>
    <n v="0"/>
    <s v="FIFA World Cup qualification"/>
    <s v="Tokyo"/>
    <s v="Japan"/>
    <b v="0"/>
    <n v="1989"/>
    <n v="3109455047823"/>
    <n v="94451427876"/>
    <x v="0"/>
    <n v="1"/>
    <x v="2"/>
  </r>
  <r>
    <x v="1035"/>
    <x v="718"/>
    <x v="23"/>
    <s v="Liberia"/>
    <s v="Malawi"/>
    <n v="1"/>
    <n v="0"/>
    <s v="FIFA World Cup qualification"/>
    <s v="Monrovia"/>
    <s v="Liberia"/>
    <b v="0"/>
    <n v="1989"/>
    <n v="786300000"/>
    <n v="2314205129"/>
    <x v="0"/>
    <n v="-1"/>
    <x v="0"/>
  </r>
  <r>
    <x v="1036"/>
    <x v="718"/>
    <x v="23"/>
    <s v="Zambia"/>
    <s v="Tunisia"/>
    <n v="1"/>
    <n v="0"/>
    <s v="FIFA World Cup qualification"/>
    <s v="Lusaka"/>
    <s v="Zambia"/>
    <b v="0"/>
    <n v="1989"/>
    <n v="3994673161"/>
    <n v="10101851744"/>
    <x v="0"/>
    <n v="-1"/>
    <x v="0"/>
  </r>
  <r>
    <x v="1037"/>
    <x v="719"/>
    <x v="23"/>
    <s v="Iceland"/>
    <s v="Austria"/>
    <n v="0"/>
    <n v="0"/>
    <s v="FIFA World Cup qualification"/>
    <s v="Reykjav√≠k"/>
    <s v="Iceland"/>
    <b v="0"/>
    <n v="1989"/>
    <n v="5870854233"/>
    <n v="132584448257"/>
    <x v="0"/>
    <n v="0"/>
    <x v="1"/>
  </r>
  <r>
    <x v="1038"/>
    <x v="720"/>
    <x v="23"/>
    <s v="Malawi"/>
    <s v="Kenya"/>
    <n v="1"/>
    <n v="0"/>
    <s v="FIFA World Cup qualification"/>
    <s v="Lilongwe"/>
    <s v="Malawi"/>
    <b v="0"/>
    <n v="1989"/>
    <n v="2314205129"/>
    <n v="8283114514"/>
    <x v="0"/>
    <n v="-1"/>
    <x v="0"/>
  </r>
  <r>
    <x v="1039"/>
    <x v="721"/>
    <x v="23"/>
    <s v="Angola"/>
    <s v="Cameroon"/>
    <n v="1"/>
    <n v="2"/>
    <s v="FIFA World Cup qualification"/>
    <s v="Luanda"/>
    <s v="Angola"/>
    <b v="0"/>
    <n v="1989"/>
    <n v="10201780976"/>
    <n v="11012566195"/>
    <x v="1"/>
    <n v="1"/>
    <x v="2"/>
  </r>
  <r>
    <x v="1040"/>
    <x v="721"/>
    <x v="23"/>
    <s v="Gabon"/>
    <s v="Nigeria"/>
    <n v="2"/>
    <n v="1"/>
    <s v="FIFA World Cup qualification"/>
    <s v="Libreville"/>
    <s v="Gabon"/>
    <b v="0"/>
    <n v="1989"/>
    <n v="4186411463"/>
    <n v="44003061108"/>
    <x v="0"/>
    <n v="-1"/>
    <x v="0"/>
  </r>
  <r>
    <x v="1041"/>
    <x v="721"/>
    <x v="23"/>
    <s v="Liberia"/>
    <s v="Egypt"/>
    <n v="1"/>
    <n v="0"/>
    <s v="FIFA World Cup qualification"/>
    <s v="Monrovia"/>
    <s v="Liberia"/>
    <b v="0"/>
    <n v="1989"/>
    <n v="786300000"/>
    <n v="39756299049"/>
    <x v="0"/>
    <n v="-1"/>
    <x v="0"/>
  </r>
  <r>
    <x v="1042"/>
    <x v="721"/>
    <x v="23"/>
    <s v="Zambia"/>
    <s v="Morocco"/>
    <n v="2"/>
    <n v="1"/>
    <s v="FIFA World Cup qualification"/>
    <s v="Lusaka"/>
    <s v="Zambia"/>
    <b v="0"/>
    <n v="1989"/>
    <n v="3994673161"/>
    <n v="26314313191"/>
    <x v="0"/>
    <n v="-1"/>
    <x v="0"/>
  </r>
  <r>
    <x v="1043"/>
    <x v="721"/>
    <x v="23"/>
    <s v="Zimbabwe"/>
    <s v="Algeria"/>
    <n v="1"/>
    <n v="2"/>
    <s v="FIFA World Cup qualification"/>
    <s v="Harare"/>
    <s v="Zimbabwe"/>
    <b v="0"/>
    <n v="1989"/>
    <n v="8290553535"/>
    <n v="55634721572"/>
    <x v="0"/>
    <n v="1"/>
    <x v="2"/>
  </r>
  <r>
    <x v="1044"/>
    <x v="722"/>
    <x v="23"/>
    <s v="Venezuela"/>
    <s v="Brazil"/>
    <n v="0"/>
    <n v="4"/>
    <s v="FIFA World Cup qualification"/>
    <s v="Caracas"/>
    <s v="Venezuela"/>
    <b v="0"/>
    <n v="1989"/>
    <n v="43536709104"/>
    <n v="412990820287"/>
    <x v="0"/>
    <n v="1"/>
    <x v="2"/>
  </r>
  <r>
    <x v="1045"/>
    <x v="723"/>
    <x v="23"/>
    <s v="Venezuela"/>
    <s v="Chile"/>
    <n v="1"/>
    <n v="3"/>
    <s v="FIFA World Cup qualification"/>
    <s v="Caracas"/>
    <s v="Venezuela"/>
    <b v="0"/>
    <n v="1989"/>
    <n v="43536709104"/>
    <n v="30101767991"/>
    <x v="1"/>
    <n v="-1"/>
    <x v="0"/>
  </r>
  <r>
    <x v="1046"/>
    <x v="724"/>
    <x v="23"/>
    <s v="Egypt"/>
    <s v="Malawi"/>
    <n v="1"/>
    <n v="0"/>
    <s v="FIFA World Cup qualification"/>
    <s v="Cairo"/>
    <s v="Egypt"/>
    <b v="0"/>
    <n v="1989"/>
    <n v="39756299049"/>
    <n v="2314205129"/>
    <x v="0"/>
    <n v="1"/>
    <x v="2"/>
  </r>
  <r>
    <x v="1047"/>
    <x v="724"/>
    <x v="23"/>
    <s v="Kenya"/>
    <s v="Liberia"/>
    <n v="1"/>
    <n v="0"/>
    <s v="FIFA World Cup qualification"/>
    <s v="Nairobi"/>
    <s v="Kenya"/>
    <b v="0"/>
    <n v="1989"/>
    <n v="8283114514"/>
    <n v="786300000"/>
    <x v="0"/>
    <n v="1"/>
    <x v="2"/>
  </r>
  <r>
    <x v="1048"/>
    <x v="724"/>
    <x v="23"/>
    <s v="Nigeria"/>
    <s v="Angola"/>
    <n v="1"/>
    <n v="0"/>
    <s v="FIFA World Cup qualification"/>
    <s v="Lagos"/>
    <s v="Nigeria"/>
    <b v="0"/>
    <n v="1989"/>
    <n v="44003061108"/>
    <n v="10201780976"/>
    <x v="0"/>
    <n v="1"/>
    <x v="2"/>
  </r>
  <r>
    <x v="1049"/>
    <x v="725"/>
    <x v="23"/>
    <s v="Cameroon"/>
    <s v="Gabon"/>
    <n v="2"/>
    <n v="1"/>
    <s v="FIFA World Cup qualification"/>
    <s v="Yaound√©"/>
    <s v="Cameroon"/>
    <b v="0"/>
    <n v="1989"/>
    <n v="11012566195"/>
    <n v="4186411463"/>
    <x v="0"/>
    <n v="1"/>
    <x v="2"/>
  </r>
  <r>
    <x v="1050"/>
    <x v="725"/>
    <x v="23"/>
    <s v="Chile"/>
    <s v="Brazil"/>
    <n v="1"/>
    <n v="1"/>
    <s v="FIFA World Cup qualification"/>
    <s v="Santiago"/>
    <s v="Chile"/>
    <b v="0"/>
    <n v="1989"/>
    <n v="30101767991"/>
    <n v="412990820287"/>
    <x v="0"/>
    <n v="0"/>
    <x v="1"/>
  </r>
  <r>
    <x v="1051"/>
    <x v="725"/>
    <x v="23"/>
    <s v="Morocco"/>
    <s v="Tunisia"/>
    <n v="0"/>
    <n v="0"/>
    <s v="FIFA World Cup qualification"/>
    <s v="Casablanca"/>
    <s v="Morocco"/>
    <b v="0"/>
    <n v="1989"/>
    <n v="26314313191"/>
    <n v="10101851744"/>
    <x v="0"/>
    <n v="0"/>
    <x v="1"/>
  </r>
  <r>
    <x v="1052"/>
    <x v="726"/>
    <x v="23"/>
    <s v="Bolivia"/>
    <s v="Peru"/>
    <n v="2"/>
    <n v="1"/>
    <s v="FIFA World Cup qualification"/>
    <s v="La Paz"/>
    <s v="Bolivia"/>
    <b v="0"/>
    <n v="1989"/>
    <n v="4715973437"/>
    <n v="22499558526"/>
    <x v="0"/>
    <n v="-1"/>
    <x v="0"/>
  </r>
  <r>
    <x v="1053"/>
    <x v="726"/>
    <x v="23"/>
    <s v="Brazil"/>
    <s v="Venezuela"/>
    <n v="6"/>
    <n v="0"/>
    <s v="FIFA World Cup qualification"/>
    <s v="S√£o Paulo"/>
    <s v="Brazil"/>
    <b v="0"/>
    <n v="1989"/>
    <n v="412990820287"/>
    <n v="43536709104"/>
    <x v="0"/>
    <n v="1"/>
    <x v="2"/>
  </r>
  <r>
    <x v="1054"/>
    <x v="726"/>
    <x v="23"/>
    <s v="Colombia"/>
    <s v="Ecuador"/>
    <n v="2"/>
    <n v="0"/>
    <s v="FIFA World Cup qualification"/>
    <s v="Barranquilla"/>
    <s v="Colombia"/>
    <b v="0"/>
    <n v="1989"/>
    <n v="39540080200"/>
    <n v="13890823704"/>
    <x v="0"/>
    <n v="1"/>
    <x v="2"/>
  </r>
  <r>
    <x v="1055"/>
    <x v="727"/>
    <x v="23"/>
    <s v="Austria"/>
    <s v="Iceland"/>
    <n v="2"/>
    <n v="1"/>
    <s v="FIFA World Cup qualification"/>
    <s v="Salzburg"/>
    <s v="Austria"/>
    <b v="0"/>
    <n v="1989"/>
    <n v="132584448257"/>
    <n v="5870854233"/>
    <x v="0"/>
    <n v="1"/>
    <x v="2"/>
  </r>
  <r>
    <x v="1056"/>
    <x v="728"/>
    <x v="23"/>
    <s v="Egypt"/>
    <s v="Kenya"/>
    <n v="2"/>
    <n v="0"/>
    <s v="FIFA World Cup qualification"/>
    <s v="Cairo"/>
    <s v="Egypt"/>
    <b v="0"/>
    <n v="1989"/>
    <n v="39756299049"/>
    <n v="8283114514"/>
    <x v="0"/>
    <n v="1"/>
    <x v="2"/>
  </r>
  <r>
    <x v="1057"/>
    <x v="728"/>
    <x v="23"/>
    <s v="Malawi"/>
    <s v="Liberia"/>
    <n v="0"/>
    <n v="0"/>
    <s v="FIFA World Cup qualification"/>
    <s v="Lilongwe"/>
    <s v="Malawi"/>
    <b v="0"/>
    <n v="1989"/>
    <n v="2314205129"/>
    <n v="786300000"/>
    <x v="0"/>
    <n v="0"/>
    <x v="1"/>
  </r>
  <r>
    <x v="1058"/>
    <x v="729"/>
    <x v="23"/>
    <s v="Cameroon"/>
    <s v="Nigeria"/>
    <n v="1"/>
    <n v="0"/>
    <s v="FIFA World Cup qualification"/>
    <s v="Yaound√©"/>
    <s v="Cameroon"/>
    <b v="0"/>
    <n v="1989"/>
    <n v="11012566195"/>
    <n v="44003061108"/>
    <x v="0"/>
    <n v="-1"/>
    <x v="0"/>
  </r>
  <r>
    <x v="1059"/>
    <x v="729"/>
    <x v="23"/>
    <s v="Chile"/>
    <s v="Venezuela"/>
    <n v="5"/>
    <n v="0"/>
    <s v="FIFA World Cup qualification"/>
    <s v="Mendoza"/>
    <s v="Argentina"/>
    <b v="1"/>
    <n v="1989"/>
    <n v="30101767991"/>
    <n v="43536709104"/>
    <x v="1"/>
    <n v="-1"/>
    <x v="0"/>
  </r>
  <r>
    <x v="1060"/>
    <x v="729"/>
    <x v="23"/>
    <s v="Gabon"/>
    <s v="Angola"/>
    <n v="1"/>
    <n v="0"/>
    <s v="FIFA World Cup qualification"/>
    <s v="Libreville"/>
    <s v="Gabon"/>
    <b v="0"/>
    <n v="1989"/>
    <n v="4186411463"/>
    <n v="10201780976"/>
    <x v="0"/>
    <n v="-1"/>
    <x v="0"/>
  </r>
  <r>
    <x v="1061"/>
    <x v="729"/>
    <x v="23"/>
    <s v="Paraguay"/>
    <s v="Colombia"/>
    <n v="2"/>
    <n v="1"/>
    <s v="FIFA World Cup qualification"/>
    <s v="Asunci√≥n"/>
    <s v="Paraguay"/>
    <b v="0"/>
    <n v="1989"/>
    <n v="4757732199"/>
    <n v="39540080200"/>
    <x v="0"/>
    <n v="-1"/>
    <x v="0"/>
  </r>
  <r>
    <x v="1062"/>
    <x v="729"/>
    <x v="23"/>
    <s v="Peru"/>
    <s v="Uruguay"/>
    <n v="0"/>
    <n v="2"/>
    <s v="FIFA World Cup qualification"/>
    <s v="Lima"/>
    <s v="Peru"/>
    <b v="0"/>
    <n v="1989"/>
    <n v="22499558526"/>
    <n v="8438951476"/>
    <x v="0"/>
    <n v="-1"/>
    <x v="0"/>
  </r>
  <r>
    <x v="1063"/>
    <x v="729"/>
    <x v="23"/>
    <s v="Tunisia"/>
    <s v="Zambia"/>
    <n v="1"/>
    <n v="0"/>
    <s v="FIFA World Cup qualification"/>
    <s v="Tunis"/>
    <s v="Tunisia"/>
    <b v="0"/>
    <n v="1989"/>
    <n v="10101851744"/>
    <n v="3994673161"/>
    <x v="0"/>
    <n v="1"/>
    <x v="2"/>
  </r>
  <r>
    <x v="1064"/>
    <x v="730"/>
    <x v="23"/>
    <s v="Bolivia"/>
    <s v="Uruguay"/>
    <n v="2"/>
    <n v="1"/>
    <s v="FIFA World Cup qualification"/>
    <s v="La Paz"/>
    <s v="Bolivia"/>
    <b v="0"/>
    <n v="1989"/>
    <n v="4715973437"/>
    <n v="8438951476"/>
    <x v="1"/>
    <n v="-1"/>
    <x v="0"/>
  </r>
  <r>
    <x v="1065"/>
    <x v="730"/>
    <x v="23"/>
    <s v="Brazil"/>
    <s v="Chile"/>
    <n v="1"/>
    <n v="0"/>
    <s v="FIFA World Cup qualification"/>
    <s v="Rio de Janeiro"/>
    <s v="Brazil"/>
    <b v="0"/>
    <n v="1989"/>
    <n v="412990820287"/>
    <n v="30101767991"/>
    <x v="0"/>
    <n v="1"/>
    <x v="2"/>
  </r>
  <r>
    <x v="1066"/>
    <x v="730"/>
    <x v="23"/>
    <s v="Ecuador"/>
    <s v="Colombia"/>
    <n v="0"/>
    <n v="0"/>
    <s v="FIFA World Cup qualification"/>
    <s v="Guayaquil"/>
    <s v="Ecuador"/>
    <b v="0"/>
    <n v="1989"/>
    <n v="13890823704"/>
    <n v="39540080200"/>
    <x v="0"/>
    <n v="0"/>
    <x v="1"/>
  </r>
  <r>
    <x v="1067"/>
    <x v="731"/>
    <x v="23"/>
    <s v="Norway"/>
    <s v="France"/>
    <n v="1"/>
    <n v="1"/>
    <s v="FIFA World Cup qualification"/>
    <s v="Oslo"/>
    <s v="Norway"/>
    <b v="0"/>
    <n v="1989"/>
    <n v="102633934390"/>
    <n v="1016742237302"/>
    <x v="0"/>
    <n v="0"/>
    <x v="1"/>
  </r>
  <r>
    <x v="1068"/>
    <x v="732"/>
    <x v="23"/>
    <s v="Austria"/>
    <s v="Russia"/>
    <n v="0"/>
    <n v="0"/>
    <s v="FIFA World Cup qualification"/>
    <s v="Vienna"/>
    <s v="Austria"/>
    <b v="0"/>
    <n v="1989"/>
    <n v="132584448257"/>
    <n v="506631299734"/>
    <x v="0"/>
    <n v="0"/>
    <x v="1"/>
  </r>
  <r>
    <x v="1069"/>
    <x v="732"/>
    <x v="23"/>
    <s v="Belgium"/>
    <s v="Portugal"/>
    <n v="3"/>
    <n v="0"/>
    <s v="FIFA World Cup qualification"/>
    <s v="Brussels"/>
    <s v="Belgium"/>
    <b v="0"/>
    <n v="1989"/>
    <n v="164221056511"/>
    <n v="60594092182"/>
    <x v="0"/>
    <n v="1"/>
    <x v="2"/>
  </r>
  <r>
    <x v="1070"/>
    <x v="732"/>
    <x v="23"/>
    <s v="Sweden"/>
    <s v="England"/>
    <n v="0"/>
    <n v="0"/>
    <s v="FIFA World Cup qualification"/>
    <s v="Solna"/>
    <s v="Sweden"/>
    <b v="0"/>
    <n v="1989"/>
    <n v="217632340194"/>
    <n v="926884816753"/>
    <x v="0"/>
    <n v="0"/>
    <x v="1"/>
  </r>
  <r>
    <x v="1071"/>
    <x v="733"/>
    <x v="23"/>
    <s v="Paraguay"/>
    <s v="Ecuador"/>
    <n v="2"/>
    <n v="1"/>
    <s v="FIFA World Cup qualification"/>
    <s v="Asunci√≥n"/>
    <s v="Paraguay"/>
    <b v="0"/>
    <n v="1989"/>
    <n v="4757732199"/>
    <n v="13890823704"/>
    <x v="0"/>
    <n v="-1"/>
    <x v="0"/>
  </r>
  <r>
    <x v="1072"/>
    <x v="733"/>
    <x v="23"/>
    <s v="Peru"/>
    <s v="Bolivia"/>
    <n v="1"/>
    <n v="2"/>
    <s v="FIFA World Cup qualification"/>
    <s v="Lima"/>
    <s v="Peru"/>
    <b v="0"/>
    <n v="1989"/>
    <n v="22499558526"/>
    <n v="4715973437"/>
    <x v="0"/>
    <n v="-1"/>
    <x v="0"/>
  </r>
  <r>
    <x v="1073"/>
    <x v="734"/>
    <x v="23"/>
    <s v="Colombia"/>
    <s v="Paraguay"/>
    <n v="2"/>
    <n v="1"/>
    <s v="FIFA World Cup qualification"/>
    <s v="Barranquilla"/>
    <s v="Colombia"/>
    <b v="0"/>
    <n v="1989"/>
    <n v="39540080200"/>
    <n v="4757732199"/>
    <x v="0"/>
    <n v="1"/>
    <x v="2"/>
  </r>
  <r>
    <x v="1074"/>
    <x v="734"/>
    <x v="23"/>
    <s v="Uruguay"/>
    <s v="Bolivia"/>
    <n v="2"/>
    <n v="0"/>
    <s v="FIFA World Cup qualification"/>
    <s v="Montevideo"/>
    <s v="Uruguay"/>
    <b v="0"/>
    <n v="1989"/>
    <n v="8438951476"/>
    <n v="4715973437"/>
    <x v="1"/>
    <n v="1"/>
    <x v="2"/>
  </r>
  <r>
    <x v="1075"/>
    <x v="735"/>
    <x v="23"/>
    <s v="Switzerland"/>
    <s v="Portugal"/>
    <n v="1"/>
    <n v="2"/>
    <s v="FIFA World Cup qualification"/>
    <s v="Neuch√¢tel"/>
    <s v="Switzerland"/>
    <b v="0"/>
    <n v="1989"/>
    <n v="208105846934"/>
    <n v="60594092182"/>
    <x v="0"/>
    <n v="-1"/>
    <x v="0"/>
  </r>
  <r>
    <x v="1076"/>
    <x v="736"/>
    <x v="23"/>
    <s v="Ecuador"/>
    <s v="Paraguay"/>
    <n v="3"/>
    <n v="1"/>
    <s v="FIFA World Cup qualification"/>
    <s v="Guayaquil"/>
    <s v="Ecuador"/>
    <b v="0"/>
    <n v="1989"/>
    <n v="13890823704"/>
    <n v="4757732199"/>
    <x v="0"/>
    <n v="1"/>
    <x v="2"/>
  </r>
  <r>
    <x v="1077"/>
    <x v="736"/>
    <x v="23"/>
    <s v="Uruguay"/>
    <s v="Peru"/>
    <n v="2"/>
    <n v="0"/>
    <s v="FIFA World Cup qualification"/>
    <s v="Montevideo"/>
    <s v="Uruguay"/>
    <b v="0"/>
    <n v="1989"/>
    <n v="8438951476"/>
    <n v="22499558526"/>
    <x v="0"/>
    <n v="-1"/>
    <x v="0"/>
  </r>
  <r>
    <x v="1078"/>
    <x v="737"/>
    <x v="23"/>
    <s v="Germany"/>
    <s v="Finland"/>
    <n v="6"/>
    <n v="1"/>
    <s v="FIFA World Cup qualification"/>
    <s v="Dortmund"/>
    <s v="Germany"/>
    <b v="0"/>
    <n v="1989"/>
    <n v="1404092925205"/>
    <n v="118991270611"/>
    <x v="0"/>
    <n v="1"/>
    <x v="2"/>
  </r>
  <r>
    <x v="1079"/>
    <x v="738"/>
    <x v="23"/>
    <s v="Algeria"/>
    <s v="Egypt"/>
    <n v="0"/>
    <n v="0"/>
    <s v="FIFA World Cup qualification"/>
    <s v="Constantine"/>
    <s v="Algeria"/>
    <b v="0"/>
    <n v="1989"/>
    <n v="55634721572"/>
    <n v="39756299049"/>
    <x v="1"/>
    <n v="0"/>
    <x v="1"/>
  </r>
  <r>
    <x v="1080"/>
    <x v="738"/>
    <x v="23"/>
    <s v="Cameroon"/>
    <s v="Tunisia"/>
    <n v="2"/>
    <n v="0"/>
    <s v="FIFA World Cup qualification"/>
    <s v="Yaound√©"/>
    <s v="Cameroon"/>
    <b v="0"/>
    <n v="1989"/>
    <n v="11012566195"/>
    <n v="10101851744"/>
    <x v="1"/>
    <n v="1"/>
    <x v="2"/>
  </r>
  <r>
    <x v="1081"/>
    <x v="738"/>
    <x v="23"/>
    <s v="Sweden"/>
    <s v="Albania"/>
    <n v="3"/>
    <n v="1"/>
    <s v="FIFA World Cup qualification"/>
    <s v="Solna"/>
    <s v="Sweden"/>
    <b v="0"/>
    <n v="1989"/>
    <n v="217632340194"/>
    <n v="2253090000"/>
    <x v="0"/>
    <n v="1"/>
    <x v="2"/>
  </r>
  <r>
    <x v="1082"/>
    <x v="739"/>
    <x v="23"/>
    <s v="Bulgaria"/>
    <s v="Greece"/>
    <n v="4"/>
    <n v="0"/>
    <s v="FIFA World Cup qualification"/>
    <s v="Varna"/>
    <s v="Bulgaria"/>
    <b v="0"/>
    <n v="1989"/>
    <n v="21988444444"/>
    <n v="78067933277"/>
    <x v="0"/>
    <n v="-1"/>
    <x v="0"/>
  </r>
  <r>
    <x v="1083"/>
    <x v="739"/>
    <x v="23"/>
    <s v="Denmark"/>
    <s v="Romania"/>
    <n v="3"/>
    <n v="0"/>
    <s v="FIFA World Cup qualification"/>
    <s v="Copenhagen"/>
    <s v="Denmark"/>
    <b v="0"/>
    <n v="1989"/>
    <n v="112312200760"/>
    <n v="41450777202"/>
    <x v="0"/>
    <n v="1"/>
    <x v="2"/>
  </r>
  <r>
    <x v="1084"/>
    <x v="739"/>
    <x v="23"/>
    <s v="Hungary"/>
    <s v="Spain"/>
    <n v="2"/>
    <n v="2"/>
    <s v="FIFA World Cup qualification"/>
    <s v="Budapest"/>
    <s v="Hungary"/>
    <b v="0"/>
    <n v="1989"/>
    <n v="30422508937"/>
    <n v="414460794096"/>
    <x v="0"/>
    <n v="0"/>
    <x v="1"/>
  </r>
  <r>
    <x v="1085"/>
    <x v="739"/>
    <x v="23"/>
    <s v="Luxembourg"/>
    <s v="Portugal"/>
    <n v="0"/>
    <n v="3"/>
    <s v="FIFA World Cup qualification"/>
    <s v="Saarbr√ºcken"/>
    <s v="Germany"/>
    <b v="1"/>
    <n v="1989"/>
    <n v="10037674037"/>
    <n v="60594092182"/>
    <x v="0"/>
    <n v="1"/>
    <x v="2"/>
  </r>
  <r>
    <x v="1086"/>
    <x v="739"/>
    <x v="23"/>
    <s v="Switzerland"/>
    <s v="Belgium"/>
    <n v="2"/>
    <n v="2"/>
    <s v="FIFA World Cup qualification"/>
    <s v="Basel"/>
    <s v="Switzerland"/>
    <b v="0"/>
    <n v="1989"/>
    <n v="208105846934"/>
    <n v="164221056511"/>
    <x v="1"/>
    <n v="0"/>
    <x v="1"/>
  </r>
  <r>
    <x v="1087"/>
    <x v="740"/>
    <x v="23"/>
    <s v="South Korea"/>
    <s v="Qatar"/>
    <n v="0"/>
    <n v="0"/>
    <s v="FIFA World Cup qualification"/>
    <s v="Singapore"/>
    <s v="Singapore"/>
    <b v="1"/>
    <n v="1989"/>
    <n v="254236243100"/>
    <n v="6487912087"/>
    <x v="0"/>
    <n v="0"/>
    <x v="1"/>
  </r>
  <r>
    <x v="1088"/>
    <x v="741"/>
    <x v="23"/>
    <s v="Colombia"/>
    <s v="Israel"/>
    <n v="1"/>
    <n v="0"/>
    <s v="FIFA World Cup qualification"/>
    <s v="Barranquilla"/>
    <s v="Colombia"/>
    <b v="0"/>
    <n v="1989"/>
    <n v="39540080200"/>
    <n v="52443479454"/>
    <x v="1"/>
    <n v="-1"/>
    <x v="0"/>
  </r>
  <r>
    <x v="1089"/>
    <x v="742"/>
    <x v="23"/>
    <s v="Qatar"/>
    <s v="Saudi Arabia"/>
    <n v="1"/>
    <n v="1"/>
    <s v="FIFA World Cup qualification"/>
    <s v="Singapore"/>
    <s v="Singapore"/>
    <b v="1"/>
    <n v="1989"/>
    <n v="6487912087"/>
    <n v="95344459279"/>
    <x v="0"/>
    <n v="0"/>
    <x v="1"/>
  </r>
  <r>
    <x v="1090"/>
    <x v="743"/>
    <x v="23"/>
    <s v="Saudi Arabia"/>
    <s v="United Arab Emirates"/>
    <n v="0"/>
    <n v="0"/>
    <s v="FIFA World Cup qualification"/>
    <s v="Singapore"/>
    <s v="Singapore"/>
    <b v="1"/>
    <n v="1989"/>
    <n v="95344459279"/>
    <n v="41464995913"/>
    <x v="0"/>
    <n v="0"/>
    <x v="1"/>
  </r>
  <r>
    <x v="1091"/>
    <x v="744"/>
    <x v="23"/>
    <s v="United Arab Emirates"/>
    <s v="Qatar"/>
    <n v="1"/>
    <n v="1"/>
    <s v="FIFA World Cup qualification"/>
    <s v="Singapore"/>
    <s v="Singapore"/>
    <b v="1"/>
    <n v="1989"/>
    <n v="41464995913"/>
    <n v="6487912087"/>
    <x v="0"/>
    <n v="0"/>
    <x v="1"/>
  </r>
  <r>
    <x v="1092"/>
    <x v="745"/>
    <x v="23"/>
    <s v="Belgium"/>
    <s v="Luxembourg"/>
    <n v="1"/>
    <n v="1"/>
    <s v="FIFA World Cup qualification"/>
    <s v="Brussels"/>
    <s v="Belgium"/>
    <b v="0"/>
    <n v="1989"/>
    <n v="164221056511"/>
    <n v="10037674037"/>
    <x v="0"/>
    <n v="0"/>
    <x v="1"/>
  </r>
  <r>
    <x v="1093"/>
    <x v="745"/>
    <x v="23"/>
    <s v="Saudi Arabia"/>
    <s v="South Korea"/>
    <n v="0"/>
    <n v="2"/>
    <s v="FIFA World Cup qualification"/>
    <s v="Singapore"/>
    <s v="Singapore"/>
    <b v="1"/>
    <n v="1989"/>
    <n v="95344459279"/>
    <n v="254236243100"/>
    <x v="0"/>
    <n v="1"/>
    <x v="2"/>
  </r>
  <r>
    <x v="1094"/>
    <x v="746"/>
    <x v="23"/>
    <s v="United Arab Emirates"/>
    <s v="South Korea"/>
    <n v="1"/>
    <n v="1"/>
    <s v="FIFA World Cup qualification"/>
    <s v="Kuala Lumpur"/>
    <s v="Malaysia"/>
    <b v="1"/>
    <n v="1989"/>
    <n v="41464995913"/>
    <n v="254236243100"/>
    <x v="0"/>
    <n v="0"/>
    <x v="1"/>
  </r>
  <r>
    <x v="1095"/>
    <x v="747"/>
    <x v="23"/>
    <s v="Israel"/>
    <s v="Colombia"/>
    <n v="0"/>
    <n v="0"/>
    <s v="FIFA World Cup qualification"/>
    <s v="Ramat Gan"/>
    <s v="Israel"/>
    <b v="0"/>
    <n v="1989"/>
    <n v="52443479454"/>
    <n v="39540080200"/>
    <x v="1"/>
    <n v="0"/>
    <x v="1"/>
  </r>
  <r>
    <x v="1096"/>
    <x v="748"/>
    <x v="23"/>
    <s v="Greece"/>
    <s v="Bulgaria"/>
    <n v="1"/>
    <n v="0"/>
    <s v="FIFA World Cup qualification"/>
    <s v="Athens"/>
    <s v="Greece"/>
    <b v="0"/>
    <n v="1989"/>
    <n v="78067933277"/>
    <n v="21988444444"/>
    <x v="0"/>
    <n v="1"/>
    <x v="2"/>
  </r>
  <r>
    <x v="1097"/>
    <x v="748"/>
    <x v="23"/>
    <s v="Netherlands"/>
    <s v="Finland"/>
    <n v="3"/>
    <n v="0"/>
    <s v="FIFA World Cup qualification"/>
    <s v="Rotterdam"/>
    <s v="Netherlands"/>
    <b v="0"/>
    <n v="1989"/>
    <n v="258716904291"/>
    <n v="118991270611"/>
    <x v="0"/>
    <n v="1"/>
    <x v="2"/>
  </r>
  <r>
    <x v="1098"/>
    <x v="748"/>
    <x v="23"/>
    <s v="Romania"/>
    <s v="Denmark"/>
    <n v="3"/>
    <n v="1"/>
    <s v="FIFA World Cup qualification"/>
    <s v="Bucharest"/>
    <s v="Romania"/>
    <b v="0"/>
    <n v="1989"/>
    <n v="41450777202"/>
    <n v="112312200760"/>
    <x v="0"/>
    <n v="-1"/>
    <x v="0"/>
  </r>
  <r>
    <x v="1099"/>
    <x v="748"/>
    <x v="23"/>
    <s v="Spain"/>
    <s v="Hungary"/>
    <n v="4"/>
    <n v="0"/>
    <s v="FIFA World Cup qualification"/>
    <s v="Seville"/>
    <s v="Spain"/>
    <b v="0"/>
    <n v="1989"/>
    <n v="414460794096"/>
    <n v="30422508937"/>
    <x v="0"/>
    <n v="1"/>
    <x v="2"/>
  </r>
  <r>
    <x v="1100"/>
    <x v="748"/>
    <x v="23"/>
    <s v="Switzerland"/>
    <s v="Luxembourg"/>
    <n v="2"/>
    <n v="1"/>
    <s v="FIFA World Cup qualification"/>
    <s v="St. Gallen"/>
    <s v="Switzerland"/>
    <b v="0"/>
    <n v="1989"/>
    <n v="208105846934"/>
    <n v="10037674037"/>
    <x v="0"/>
    <n v="1"/>
    <x v="2"/>
  </r>
  <r>
    <x v="1101"/>
    <x v="749"/>
    <x v="23"/>
    <s v="Egypt"/>
    <s v="Algeria"/>
    <n v="1"/>
    <n v="0"/>
    <s v="FIFA World Cup qualification"/>
    <s v="Cairo"/>
    <s v="Egypt"/>
    <b v="0"/>
    <n v="1989"/>
    <n v="39756299049"/>
    <n v="55634721572"/>
    <x v="1"/>
    <n v="-1"/>
    <x v="0"/>
  </r>
  <r>
    <x v="1102"/>
    <x v="750"/>
    <x v="23"/>
    <s v="France"/>
    <s v="Cyprus"/>
    <n v="2"/>
    <n v="0"/>
    <s v="FIFA World Cup qualification"/>
    <s v="Toulouse"/>
    <s v="France"/>
    <b v="0"/>
    <n v="1989"/>
    <n v="1016742237302"/>
    <n v="4563482603"/>
    <x v="0"/>
    <n v="1"/>
    <x v="2"/>
  </r>
  <r>
    <x v="1103"/>
    <x v="751"/>
    <x v="23"/>
    <s v="Tunisia"/>
    <s v="Cameroon"/>
    <n v="0"/>
    <n v="1"/>
    <s v="FIFA World Cup qualification"/>
    <s v="Tunis"/>
    <s v="Tunisia"/>
    <b v="0"/>
    <n v="1989"/>
    <n v="10101851744"/>
    <n v="11012566195"/>
    <x v="1"/>
    <n v="1"/>
    <x v="2"/>
  </r>
  <r>
    <x v="1104"/>
    <x v="752"/>
    <x v="24"/>
    <s v="Argentina"/>
    <s v="Cameroon"/>
    <n v="0"/>
    <n v="1"/>
    <s v="FIFA World Cup"/>
    <s v="Milan"/>
    <s v="Italy"/>
    <b v="1"/>
    <n v="1990"/>
    <n v="141352654305"/>
    <n v="12314482627"/>
    <x v="0"/>
    <n v="-1"/>
    <x v="0"/>
  </r>
  <r>
    <x v="1105"/>
    <x v="753"/>
    <x v="24"/>
    <s v="Italy"/>
    <s v="Austria"/>
    <n v="1"/>
    <n v="0"/>
    <s v="FIFA World Cup"/>
    <s v="Rome"/>
    <s v="Italy"/>
    <b v="0"/>
    <n v="1990"/>
    <n v="1183945130898"/>
    <n v="165811372382"/>
    <x v="0"/>
    <n v="1"/>
    <x v="2"/>
  </r>
  <r>
    <x v="1106"/>
    <x v="753"/>
    <x v="24"/>
    <s v="Russia"/>
    <s v="Romania"/>
    <n v="0"/>
    <n v="2"/>
    <s v="FIFA World Cup"/>
    <s v="Bari"/>
    <s v="Italy"/>
    <b v="1"/>
    <n v="1990"/>
    <n v="517014446227"/>
    <n v="38247882300"/>
    <x v="0"/>
    <n v="-1"/>
    <x v="0"/>
  </r>
  <r>
    <x v="1107"/>
    <x v="753"/>
    <x v="24"/>
    <s v="United Arab Emirates"/>
    <s v="Colombia"/>
    <n v="0"/>
    <n v="2"/>
    <s v="FIFA World Cup"/>
    <s v="Bologna"/>
    <s v="Italy"/>
    <b v="1"/>
    <n v="1990"/>
    <n v="50701443748"/>
    <n v="47844090709"/>
    <x v="1"/>
    <n v="-1"/>
    <x v="0"/>
  </r>
  <r>
    <x v="1108"/>
    <x v="754"/>
    <x v="24"/>
    <s v="Brazil"/>
    <s v="Sweden"/>
    <n v="2"/>
    <n v="1"/>
    <s v="FIFA World Cup"/>
    <s v="Turin"/>
    <s v="Italy"/>
    <b v="1"/>
    <n v="1990"/>
    <n v="390725626002"/>
    <n v="261466577008"/>
    <x v="1"/>
    <n v="1"/>
    <x v="2"/>
  </r>
  <r>
    <x v="1109"/>
    <x v="755"/>
    <x v="24"/>
    <s v="Belgium"/>
    <s v="South Korea"/>
    <n v="2"/>
    <n v="0"/>
    <s v="FIFA World Cup"/>
    <s v="Verona"/>
    <s v="Italy"/>
    <b v="1"/>
    <n v="1990"/>
    <n v="205331747947"/>
    <n v="292064221388"/>
    <x v="1"/>
    <n v="-1"/>
    <x v="0"/>
  </r>
  <r>
    <x v="1110"/>
    <x v="755"/>
    <x v="24"/>
    <s v="Netherlands"/>
    <s v="Egypt"/>
    <n v="1"/>
    <n v="1"/>
    <s v="FIFA World Cup"/>
    <s v="Palermo"/>
    <s v="Italy"/>
    <b v="1"/>
    <n v="1990"/>
    <n v="318799003993"/>
    <n v="42978914311"/>
    <x v="0"/>
    <n v="0"/>
    <x v="1"/>
  </r>
  <r>
    <x v="1111"/>
    <x v="756"/>
    <x v="24"/>
    <s v="Argentina"/>
    <s v="Russia"/>
    <n v="2"/>
    <n v="0"/>
    <s v="FIFA World Cup"/>
    <s v="Naples"/>
    <s v="Italy"/>
    <b v="1"/>
    <n v="1990"/>
    <n v="141352654305"/>
    <n v="517014446227"/>
    <x v="0"/>
    <n v="-1"/>
    <x v="0"/>
  </r>
  <r>
    <x v="1112"/>
    <x v="756"/>
    <x v="24"/>
    <s v="Uruguay"/>
    <s v="Spain"/>
    <n v="0"/>
    <n v="0"/>
    <s v="FIFA World Cup"/>
    <s v="Udine"/>
    <s v="Italy"/>
    <b v="1"/>
    <n v="1990"/>
    <n v="9298807850"/>
    <n v="536175326477"/>
    <x v="0"/>
    <n v="0"/>
    <x v="1"/>
  </r>
  <r>
    <x v="1113"/>
    <x v="757"/>
    <x v="24"/>
    <s v="Cameroon"/>
    <s v="Romania"/>
    <n v="2"/>
    <n v="1"/>
    <s v="FIFA World Cup"/>
    <s v="Bari"/>
    <s v="Italy"/>
    <b v="1"/>
    <n v="1990"/>
    <n v="12314482627"/>
    <n v="38247882300"/>
    <x v="0"/>
    <n v="-1"/>
    <x v="0"/>
  </r>
  <r>
    <x v="1114"/>
    <x v="757"/>
    <x v="24"/>
    <s v="Italy"/>
    <s v="United States"/>
    <n v="1"/>
    <n v="0"/>
    <s v="FIFA World Cup"/>
    <s v="Rome"/>
    <s v="Italy"/>
    <b v="0"/>
    <n v="1990"/>
    <n v="1183945130898"/>
    <n v="5963144000000"/>
    <x v="0"/>
    <n v="-1"/>
    <x v="0"/>
  </r>
  <r>
    <x v="1115"/>
    <x v="758"/>
    <x v="24"/>
    <s v="Germany"/>
    <s v="United Arab Emirates"/>
    <n v="5"/>
    <n v="1"/>
    <s v="FIFA World Cup"/>
    <s v="Milan"/>
    <s v="Italy"/>
    <b v="1"/>
    <n v="1990"/>
    <n v="1778162195860"/>
    <n v="50701443748"/>
    <x v="0"/>
    <n v="1"/>
    <x v="2"/>
  </r>
  <r>
    <x v="1116"/>
    <x v="759"/>
    <x v="24"/>
    <s v="Brazil"/>
    <s v="Costa Rica"/>
    <n v="1"/>
    <n v="0"/>
    <s v="FIFA World Cup"/>
    <s v="Turin"/>
    <s v="Italy"/>
    <b v="1"/>
    <n v="1990"/>
    <n v="390725626002"/>
    <n v="5711687786"/>
    <x v="0"/>
    <n v="1"/>
    <x v="2"/>
  </r>
  <r>
    <x v="1117"/>
    <x v="759"/>
    <x v="24"/>
    <s v="England"/>
    <s v="Netherlands"/>
    <n v="0"/>
    <n v="0"/>
    <s v="FIFA World Cup"/>
    <s v="Cagliari"/>
    <s v="Italy"/>
    <b v="1"/>
    <n v="1990"/>
    <n v="1093169389204"/>
    <n v="318799003993"/>
    <x v="0"/>
    <n v="0"/>
    <x v="1"/>
  </r>
  <r>
    <x v="1118"/>
    <x v="760"/>
    <x v="24"/>
    <s v="Belgium"/>
    <s v="Uruguay"/>
    <n v="3"/>
    <n v="1"/>
    <s v="FIFA World Cup"/>
    <s v="Verona"/>
    <s v="Italy"/>
    <b v="1"/>
    <n v="1990"/>
    <n v="205331747947"/>
    <n v="9298807850"/>
    <x v="0"/>
    <n v="1"/>
    <x v="2"/>
  </r>
  <r>
    <x v="1119"/>
    <x v="760"/>
    <x v="24"/>
    <s v="South Korea"/>
    <s v="Spain"/>
    <n v="1"/>
    <n v="3"/>
    <s v="FIFA World Cup"/>
    <s v="Udine"/>
    <s v="Italy"/>
    <b v="1"/>
    <n v="1990"/>
    <n v="292064221388"/>
    <n v="536175326477"/>
    <x v="1"/>
    <n v="1"/>
    <x v="2"/>
  </r>
  <r>
    <x v="1120"/>
    <x v="761"/>
    <x v="24"/>
    <s v="Argentina"/>
    <s v="Romania"/>
    <n v="1"/>
    <n v="1"/>
    <s v="FIFA World Cup"/>
    <s v="Naples"/>
    <s v="Italy"/>
    <b v="1"/>
    <n v="1990"/>
    <n v="141352654305"/>
    <n v="38247882300"/>
    <x v="0"/>
    <n v="0"/>
    <x v="1"/>
  </r>
  <r>
    <x v="1121"/>
    <x v="761"/>
    <x v="24"/>
    <s v="Cameroon"/>
    <s v="Russia"/>
    <n v="0"/>
    <n v="4"/>
    <s v="FIFA World Cup"/>
    <s v="Bari"/>
    <s v="Italy"/>
    <b v="1"/>
    <n v="1990"/>
    <n v="12314482627"/>
    <n v="517014446227"/>
    <x v="0"/>
    <n v="1"/>
    <x v="2"/>
  </r>
  <r>
    <x v="1122"/>
    <x v="762"/>
    <x v="24"/>
    <s v="Austria"/>
    <s v="United States"/>
    <n v="2"/>
    <n v="1"/>
    <s v="FIFA World Cup"/>
    <s v="Florence"/>
    <s v="Italy"/>
    <b v="1"/>
    <n v="1990"/>
    <n v="165811372382"/>
    <n v="5963144000000"/>
    <x v="0"/>
    <n v="-1"/>
    <x v="0"/>
  </r>
  <r>
    <x v="1123"/>
    <x v="762"/>
    <x v="24"/>
    <s v="Germany"/>
    <s v="Colombia"/>
    <n v="1"/>
    <n v="1"/>
    <s v="FIFA World Cup"/>
    <s v="Milan"/>
    <s v="Italy"/>
    <b v="1"/>
    <n v="1990"/>
    <n v="1778162195860"/>
    <n v="47844090709"/>
    <x v="0"/>
    <n v="0"/>
    <x v="1"/>
  </r>
  <r>
    <x v="1124"/>
    <x v="763"/>
    <x v="24"/>
    <s v="Sweden"/>
    <s v="Costa Rica"/>
    <n v="1"/>
    <n v="2"/>
    <s v="FIFA World Cup"/>
    <s v="Genoa"/>
    <s v="Italy"/>
    <b v="1"/>
    <n v="1990"/>
    <n v="261466577008"/>
    <n v="5711687786"/>
    <x v="0"/>
    <n v="-1"/>
    <x v="0"/>
  </r>
  <r>
    <x v="1125"/>
    <x v="764"/>
    <x v="24"/>
    <s v="Belgium"/>
    <s v="Spain"/>
    <n v="1"/>
    <n v="2"/>
    <s v="FIFA World Cup"/>
    <s v="Verona"/>
    <s v="Italy"/>
    <b v="1"/>
    <n v="1990"/>
    <n v="205331747947"/>
    <n v="536175326477"/>
    <x v="0"/>
    <n v="1"/>
    <x v="2"/>
  </r>
  <r>
    <x v="1126"/>
    <x v="764"/>
    <x v="24"/>
    <s v="England"/>
    <s v="Egypt"/>
    <n v="1"/>
    <n v="0"/>
    <s v="FIFA World Cup"/>
    <s v="Cagliari"/>
    <s v="Italy"/>
    <b v="1"/>
    <n v="1990"/>
    <n v="1093169389204"/>
    <n v="42978914311"/>
    <x v="0"/>
    <n v="1"/>
    <x v="2"/>
  </r>
  <r>
    <x v="1127"/>
    <x v="764"/>
    <x v="24"/>
    <s v="South Korea"/>
    <s v="Uruguay"/>
    <n v="0"/>
    <n v="1"/>
    <s v="FIFA World Cup"/>
    <s v="Udine"/>
    <s v="Italy"/>
    <b v="1"/>
    <n v="1990"/>
    <n v="292064221388"/>
    <n v="9298807850"/>
    <x v="0"/>
    <n v="-1"/>
    <x v="0"/>
  </r>
  <r>
    <x v="1128"/>
    <x v="765"/>
    <x v="24"/>
    <s v="Cameroon"/>
    <s v="Colombia"/>
    <n v="2"/>
    <n v="1"/>
    <s v="FIFA World Cup"/>
    <s v="Naples"/>
    <s v="Italy"/>
    <b v="1"/>
    <n v="1990"/>
    <n v="12314482627"/>
    <n v="47844090709"/>
    <x v="0"/>
    <n v="-1"/>
    <x v="0"/>
  </r>
  <r>
    <x v="1129"/>
    <x v="766"/>
    <x v="24"/>
    <s v="Brazil"/>
    <s v="Argentina"/>
    <n v="0"/>
    <n v="1"/>
    <s v="FIFA World Cup"/>
    <s v="Turin"/>
    <s v="Italy"/>
    <b v="1"/>
    <n v="1990"/>
    <n v="390725626002"/>
    <n v="141352654305"/>
    <x v="0"/>
    <n v="-1"/>
    <x v="0"/>
  </r>
  <r>
    <x v="1130"/>
    <x v="766"/>
    <x v="24"/>
    <s v="Germany"/>
    <s v="Netherlands"/>
    <n v="2"/>
    <n v="1"/>
    <s v="FIFA World Cup"/>
    <s v="Milan"/>
    <s v="Italy"/>
    <b v="1"/>
    <n v="1990"/>
    <n v="1778162195860"/>
    <n v="318799003993"/>
    <x v="0"/>
    <n v="1"/>
    <x v="2"/>
  </r>
  <r>
    <x v="1131"/>
    <x v="767"/>
    <x v="24"/>
    <s v="Italy"/>
    <s v="Uruguay"/>
    <n v="2"/>
    <n v="0"/>
    <s v="FIFA World Cup"/>
    <s v="Rome"/>
    <s v="Italy"/>
    <b v="0"/>
    <n v="1990"/>
    <n v="1183945130898"/>
    <n v="9298807850"/>
    <x v="0"/>
    <n v="1"/>
    <x v="2"/>
  </r>
  <r>
    <x v="1132"/>
    <x v="768"/>
    <x v="24"/>
    <s v="England"/>
    <s v="Belgium"/>
    <n v="1"/>
    <n v="0"/>
    <s v="FIFA World Cup"/>
    <s v="Bologna"/>
    <s v="Italy"/>
    <b v="1"/>
    <n v="1990"/>
    <n v="1093169389204"/>
    <n v="205331747947"/>
    <x v="0"/>
    <n v="1"/>
    <x v="2"/>
  </r>
  <r>
    <x v="1133"/>
    <x v="769"/>
    <x v="24"/>
    <s v="Cameroon"/>
    <s v="England"/>
    <n v="2"/>
    <n v="3"/>
    <s v="FIFA World Cup"/>
    <s v="Naples"/>
    <s v="Italy"/>
    <b v="1"/>
    <n v="1990"/>
    <n v="12314482627"/>
    <n v="1093169389204"/>
    <x v="0"/>
    <n v="1"/>
    <x v="2"/>
  </r>
  <r>
    <x v="1134"/>
    <x v="770"/>
    <x v="24"/>
    <s v="Italy"/>
    <s v="Argentina"/>
    <n v="1"/>
    <n v="1"/>
    <s v="FIFA World Cup"/>
    <s v="Naples"/>
    <s v="Italy"/>
    <b v="0"/>
    <n v="1990"/>
    <n v="1183945130898"/>
    <n v="141352654305"/>
    <x v="0"/>
    <n v="0"/>
    <x v="1"/>
  </r>
  <r>
    <x v="1135"/>
    <x v="771"/>
    <x v="24"/>
    <s v="Germany"/>
    <s v="England"/>
    <n v="1"/>
    <n v="1"/>
    <s v="FIFA World Cup"/>
    <s v="Turin"/>
    <s v="Italy"/>
    <b v="1"/>
    <n v="1990"/>
    <n v="1778162195860"/>
    <n v="1093169389204"/>
    <x v="1"/>
    <n v="0"/>
    <x v="1"/>
  </r>
  <r>
    <x v="1136"/>
    <x v="772"/>
    <x v="24"/>
    <s v="Italy"/>
    <s v="England"/>
    <n v="2"/>
    <n v="1"/>
    <s v="FIFA World Cup"/>
    <s v="Bari"/>
    <s v="Italy"/>
    <b v="0"/>
    <n v="1990"/>
    <n v="1183945130898"/>
    <n v="1093169389204"/>
    <x v="1"/>
    <n v="1"/>
    <x v="2"/>
  </r>
  <r>
    <x v="1137"/>
    <x v="773"/>
    <x v="24"/>
    <s v="Germany"/>
    <s v="Argentina"/>
    <n v="1"/>
    <n v="0"/>
    <s v="FIFA World Cup"/>
    <s v="Rome"/>
    <s v="Italy"/>
    <b v="1"/>
    <n v="1990"/>
    <n v="1778162195860"/>
    <n v="141352654305"/>
    <x v="0"/>
    <n v="1"/>
    <x v="2"/>
  </r>
  <r>
    <x v="1138"/>
    <x v="774"/>
    <x v="25"/>
    <s v="Barbados"/>
    <s v="Trinidad and Tobago"/>
    <n v="1"/>
    <n v="2"/>
    <s v="FIFA World Cup qualification"/>
    <s v="Bridgetown"/>
    <s v="Barbados"/>
    <b v="0"/>
    <n v="1992"/>
    <n v="1957000000"/>
    <n v="5439552941"/>
    <x v="0"/>
    <n v="1"/>
    <x v="2"/>
  </r>
  <r>
    <x v="1139"/>
    <x v="775"/>
    <x v="25"/>
    <s v="Belgium"/>
    <s v="Cyprus"/>
    <n v="1"/>
    <n v="0"/>
    <s v="FIFA World Cup qualification"/>
    <s v="Brussels"/>
    <s v="Belgium"/>
    <b v="0"/>
    <n v="1992"/>
    <n v="234781652446"/>
    <n v="6912150456"/>
    <x v="0"/>
    <n v="1"/>
    <x v="2"/>
  </r>
  <r>
    <x v="1140"/>
    <x v="775"/>
    <x v="25"/>
    <s v="Spain"/>
    <s v="Albania"/>
    <n v="3"/>
    <n v="0"/>
    <s v="FIFA World Cup qualification"/>
    <s v="Seville"/>
    <s v="Spain"/>
    <b v="0"/>
    <n v="1992"/>
    <n v="630465353486"/>
    <n v="652174990"/>
    <x v="0"/>
    <n v="1"/>
    <x v="2"/>
  </r>
  <r>
    <x v="1141"/>
    <x v="776"/>
    <x v="25"/>
    <s v="Guyana"/>
    <s v="Suriname"/>
    <n v="1"/>
    <n v="2"/>
    <s v="FIFA World Cup qualification"/>
    <s v="Georgetown"/>
    <s v="Guyana"/>
    <b v="0"/>
    <n v="1992"/>
    <n v="373573141"/>
    <n v="404600000"/>
    <x v="1"/>
    <n v="1"/>
    <x v="2"/>
  </r>
  <r>
    <x v="1142"/>
    <x v="777"/>
    <x v="25"/>
    <s v="Bermuda"/>
    <s v="Haiti"/>
    <n v="1"/>
    <n v="0"/>
    <s v="FIFA World Cup qualification"/>
    <s v="Hamilton"/>
    <s v="Bermuda"/>
    <b v="0"/>
    <n v="1992"/>
    <n v="1679900000"/>
    <n v="2257129791"/>
    <x v="1"/>
    <n v="-1"/>
    <x v="0"/>
  </r>
  <r>
    <x v="1143"/>
    <x v="778"/>
    <x v="25"/>
    <s v="Romania"/>
    <s v="Faroe Islands"/>
    <n v="7"/>
    <n v="0"/>
    <s v="FIFA World Cup qualification"/>
    <s v="Bucharest"/>
    <s v="Romania"/>
    <b v="0"/>
    <n v="1992"/>
    <n v="25121666666"/>
    <n v="912670413"/>
    <x v="0"/>
    <n v="1"/>
    <x v="2"/>
  </r>
  <r>
    <x v="1144"/>
    <x v="779"/>
    <x v="25"/>
    <s v="Greece"/>
    <s v="Iceland"/>
    <n v="1"/>
    <n v="0"/>
    <s v="FIFA World Cup qualification"/>
    <s v="Athens"/>
    <s v="Greece"/>
    <b v="0"/>
    <n v="1992"/>
    <n v="114608178405"/>
    <n v="7328497599"/>
    <x v="0"/>
    <n v="1"/>
    <x v="2"/>
  </r>
  <r>
    <x v="1145"/>
    <x v="780"/>
    <x v="25"/>
    <s v="Finland"/>
    <s v="Bulgaria"/>
    <n v="0"/>
    <n v="3"/>
    <s v="FIFA World Cup qualification"/>
    <s v="Helsinki"/>
    <s v="Finland"/>
    <b v="0"/>
    <n v="1992"/>
    <n v="112537828510"/>
    <n v="8602887622"/>
    <x v="0"/>
    <n v="-1"/>
    <x v="0"/>
  </r>
  <r>
    <x v="1146"/>
    <x v="781"/>
    <x v="25"/>
    <s v="Haiti"/>
    <s v="Bermuda"/>
    <n v="2"/>
    <n v="1"/>
    <s v="FIFA World Cup qualification"/>
    <s v="Port-au-Prince"/>
    <s v="Haiti"/>
    <b v="0"/>
    <n v="1992"/>
    <n v="2257129791"/>
    <n v="1679900000"/>
    <x v="1"/>
    <n v="1"/>
    <x v="2"/>
  </r>
  <r>
    <x v="1147"/>
    <x v="781"/>
    <x v="25"/>
    <s v="Suriname"/>
    <s v="Guyana"/>
    <n v="1"/>
    <n v="1"/>
    <s v="FIFA World Cup qualification"/>
    <s v="Paramaribo"/>
    <s v="Suriname"/>
    <b v="0"/>
    <n v="1992"/>
    <n v="404600000"/>
    <n v="373573141"/>
    <x v="1"/>
    <n v="0"/>
    <x v="1"/>
  </r>
  <r>
    <x v="1148"/>
    <x v="782"/>
    <x v="25"/>
    <s v="Trinidad and Tobago"/>
    <s v="Barbados"/>
    <n v="3"/>
    <n v="0"/>
    <s v="FIFA World Cup qualification"/>
    <s v="Port of Spain"/>
    <s v="Trinidad and Tobago"/>
    <b v="0"/>
    <n v="1992"/>
    <n v="5439552941"/>
    <n v="1957000000"/>
    <x v="0"/>
    <n v="1"/>
    <x v="2"/>
  </r>
  <r>
    <x v="1149"/>
    <x v="783"/>
    <x v="25"/>
    <s v="Faroe Islands"/>
    <s v="Belgium"/>
    <n v="0"/>
    <n v="3"/>
    <s v="FIFA World Cup qualification"/>
    <s v="Toftir"/>
    <s v="Faroe Islands"/>
    <b v="0"/>
    <n v="1992"/>
    <n v="912670413"/>
    <n v="234781652446"/>
    <x v="0"/>
    <n v="1"/>
    <x v="2"/>
  </r>
  <r>
    <x v="1150"/>
    <x v="783"/>
    <x v="25"/>
    <s v="Hungary"/>
    <s v="Iceland"/>
    <n v="1"/>
    <n v="2"/>
    <s v="FIFA World Cup qualification"/>
    <s v="Budapest"/>
    <s v="Hungary"/>
    <b v="0"/>
    <n v="1992"/>
    <n v="38857339124"/>
    <n v="7328497599"/>
    <x v="0"/>
    <n v="-1"/>
    <x v="0"/>
  </r>
  <r>
    <x v="1151"/>
    <x v="784"/>
    <x v="25"/>
    <s v="New Zealand"/>
    <s v="Fiji"/>
    <n v="3"/>
    <n v="0"/>
    <s v="FIFA World Cup qualification"/>
    <s v="Auckland"/>
    <s v="New Zealand"/>
    <b v="0"/>
    <n v="1992"/>
    <n v="41649829859"/>
    <n v="1532411039"/>
    <x v="0"/>
    <n v="1"/>
    <x v="2"/>
  </r>
  <r>
    <x v="1152"/>
    <x v="785"/>
    <x v="25"/>
    <s v="Antigua and Barbuda"/>
    <s v="Bermuda"/>
    <n v="0"/>
    <n v="3"/>
    <s v="FIFA World Cup qualification"/>
    <s v="St. John's"/>
    <s v="Antigua and Barbuda"/>
    <b v="0"/>
    <n v="1992"/>
    <n v="525133333"/>
    <n v="1679900000"/>
    <x v="0"/>
    <n v="1"/>
    <x v="2"/>
  </r>
  <r>
    <x v="1153"/>
    <x v="786"/>
    <x v="25"/>
    <s v="Faroe Islands"/>
    <s v="Cyprus"/>
    <n v="0"/>
    <n v="2"/>
    <s v="FIFA World Cup qualification"/>
    <s v="Toftir"/>
    <s v="Faroe Islands"/>
    <b v="0"/>
    <n v="1992"/>
    <n v="912670413"/>
    <n v="6912150456"/>
    <x v="0"/>
    <n v="1"/>
    <x v="2"/>
  </r>
  <r>
    <x v="1154"/>
    <x v="787"/>
    <x v="25"/>
    <s v="Vanuatu"/>
    <s v="New Zealand"/>
    <n v="1"/>
    <n v="4"/>
    <s v="FIFA World Cup qualification"/>
    <s v="Port Vila"/>
    <s v="Vanuatu"/>
    <b v="0"/>
    <n v="1992"/>
    <n v="209088824"/>
    <n v="41649829859"/>
    <x v="0"/>
    <n v="1"/>
    <x v="2"/>
  </r>
  <r>
    <x v="1155"/>
    <x v="788"/>
    <x v="25"/>
    <s v="New Zealand"/>
    <s v="Vanuatu"/>
    <n v="8"/>
    <n v="0"/>
    <s v="FIFA World Cup qualification"/>
    <s v="Auckland"/>
    <s v="New Zealand"/>
    <b v="0"/>
    <n v="1992"/>
    <n v="41649829859"/>
    <n v="209088824"/>
    <x v="0"/>
    <n v="1"/>
    <x v="2"/>
  </r>
  <r>
    <x v="1156"/>
    <x v="789"/>
    <x v="25"/>
    <s v="Bermuda"/>
    <s v="Antigua and Barbuda"/>
    <n v="2"/>
    <n v="1"/>
    <s v="FIFA World Cup qualification"/>
    <s v="Hamilton"/>
    <s v="Bermuda"/>
    <b v="0"/>
    <n v="1992"/>
    <n v="1679900000"/>
    <n v="525133333"/>
    <x v="0"/>
    <n v="1"/>
    <x v="2"/>
  </r>
  <r>
    <x v="1157"/>
    <x v="790"/>
    <x v="25"/>
    <s v="Trinidad and Tobago"/>
    <s v="Jamaica"/>
    <n v="1"/>
    <n v="2"/>
    <s v="FIFA World Cup qualification"/>
    <s v="Port of Spain"/>
    <s v="Trinidad and Tobago"/>
    <b v="0"/>
    <n v="1992"/>
    <n v="5439552941"/>
    <n v="3535460089"/>
    <x v="1"/>
    <n v="-1"/>
    <x v="0"/>
  </r>
  <r>
    <x v="1158"/>
    <x v="791"/>
    <x v="25"/>
    <s v="Guatemala"/>
    <s v="Honduras"/>
    <n v="0"/>
    <n v="0"/>
    <s v="FIFA World Cup qualification"/>
    <s v="Guatemala City"/>
    <s v="Guatemala"/>
    <b v="0"/>
    <n v="1992"/>
    <n v="10440781587"/>
    <n v="4122846905"/>
    <x v="0"/>
    <n v="0"/>
    <x v="1"/>
  </r>
  <r>
    <x v="1159"/>
    <x v="791"/>
    <x v="25"/>
    <s v="Nicaragua"/>
    <s v="El Salvador"/>
    <n v="0"/>
    <n v="5"/>
    <s v="FIFA World Cup qualification"/>
    <s v="Managua"/>
    <s v="Nicaragua"/>
    <b v="0"/>
    <n v="1992"/>
    <n v="1792800000"/>
    <n v="5813399300"/>
    <x v="0"/>
    <n v="1"/>
    <x v="2"/>
  </r>
  <r>
    <x v="1160"/>
    <x v="792"/>
    <x v="25"/>
    <s v="El Salvador"/>
    <s v="Nicaragua"/>
    <n v="5"/>
    <n v="1"/>
    <s v="FIFA World Cup qualification"/>
    <s v="San Salvador"/>
    <s v="El Salvador"/>
    <b v="0"/>
    <n v="1992"/>
    <n v="5813399300"/>
    <n v="1792800000"/>
    <x v="0"/>
    <n v="1"/>
    <x v="2"/>
  </r>
  <r>
    <x v="1161"/>
    <x v="793"/>
    <x v="25"/>
    <s v="Honduras"/>
    <s v="Guatemala"/>
    <n v="2"/>
    <n v="0"/>
    <s v="FIFA World Cup qualification"/>
    <s v="Tegucigalpa"/>
    <s v="Honduras"/>
    <b v="0"/>
    <n v="1992"/>
    <n v="4122846905"/>
    <n v="10440781587"/>
    <x v="0"/>
    <n v="-1"/>
    <x v="0"/>
  </r>
  <r>
    <x v="1162"/>
    <x v="794"/>
    <x v="25"/>
    <s v="Jamaica"/>
    <s v="Trinidad and Tobago"/>
    <n v="1"/>
    <n v="1"/>
    <s v="FIFA World Cup qualification"/>
    <s v="Kingston"/>
    <s v="Jamaica"/>
    <b v="0"/>
    <n v="1992"/>
    <n v="3535460089"/>
    <n v="5439552941"/>
    <x v="1"/>
    <n v="0"/>
    <x v="1"/>
  </r>
  <r>
    <x v="1163"/>
    <x v="794"/>
    <x v="25"/>
    <s v="Panama"/>
    <s v="Costa Rica"/>
    <n v="1"/>
    <n v="0"/>
    <s v="FIFA World Cup qualification"/>
    <s v="Panama City"/>
    <s v="Panama"/>
    <b v="0"/>
    <n v="1992"/>
    <n v="8042337700"/>
    <n v="8579754757"/>
    <x v="1"/>
    <n v="-1"/>
    <x v="0"/>
  </r>
  <r>
    <x v="1164"/>
    <x v="795"/>
    <x v="25"/>
    <s v="Costa Rica"/>
    <s v="Panama"/>
    <n v="5"/>
    <n v="1"/>
    <s v="FIFA World Cup qualification"/>
    <s v="San Jos√©"/>
    <s v="Costa Rica"/>
    <b v="0"/>
    <n v="1992"/>
    <n v="8579754757"/>
    <n v="8042337700"/>
    <x v="1"/>
    <n v="1"/>
    <x v="2"/>
  </r>
  <r>
    <x v="1165"/>
    <x v="796"/>
    <x v="25"/>
    <s v="Solomon Islands"/>
    <s v="Australia"/>
    <n v="1"/>
    <n v="2"/>
    <s v="FIFA World Cup qualification"/>
    <s v="Honiara"/>
    <s v="Solomon Islands"/>
    <b v="0"/>
    <n v="1992"/>
    <n v="269034595"/>
    <n v="325982966981"/>
    <x v="0"/>
    <n v="1"/>
    <x v="2"/>
  </r>
  <r>
    <x v="1166"/>
    <x v="797"/>
    <x v="25"/>
    <s v="Bulgaria"/>
    <s v="France"/>
    <n v="2"/>
    <n v="0"/>
    <s v="FIFA World Cup qualification"/>
    <s v="Sofia"/>
    <s v="Bulgaria"/>
    <b v="0"/>
    <n v="1992"/>
    <n v="8602887622"/>
    <n v="1389663073110"/>
    <x v="0"/>
    <n v="-1"/>
    <x v="0"/>
  </r>
  <r>
    <x v="1167"/>
    <x v="797"/>
    <x v="25"/>
    <s v="Finland"/>
    <s v="Sweden"/>
    <n v="0"/>
    <n v="1"/>
    <s v="FIFA World Cup qualification"/>
    <s v="Helsinki"/>
    <s v="Finland"/>
    <b v="0"/>
    <n v="1992"/>
    <n v="112537828510"/>
    <n v="283908914454"/>
    <x v="0"/>
    <n v="1"/>
    <x v="2"/>
  </r>
  <r>
    <x v="1168"/>
    <x v="797"/>
    <x v="25"/>
    <s v="Luxembourg"/>
    <s v="Hungary"/>
    <n v="0"/>
    <n v="3"/>
    <s v="FIFA World Cup qualification"/>
    <s v="Luxembourg"/>
    <s v="Luxembourg"/>
    <b v="0"/>
    <n v="1992"/>
    <n v="15518702634"/>
    <n v="38857339124"/>
    <x v="0"/>
    <n v="1"/>
    <x v="2"/>
  </r>
  <r>
    <x v="1169"/>
    <x v="798"/>
    <x v="25"/>
    <s v="Fiji"/>
    <s v="Vanuatu"/>
    <n v="3"/>
    <n v="0"/>
    <s v="FIFA World Cup qualification"/>
    <s v="Nausori"/>
    <s v="Fiji"/>
    <b v="0"/>
    <n v="1992"/>
    <n v="1532411039"/>
    <n v="209088824"/>
    <x v="0"/>
    <n v="1"/>
    <x v="2"/>
  </r>
  <r>
    <x v="1170"/>
    <x v="799"/>
    <x v="25"/>
    <s v="Norway"/>
    <s v="Netherlands"/>
    <n v="2"/>
    <n v="1"/>
    <s v="FIFA World Cup qualification"/>
    <s v="Oslo"/>
    <s v="Norway"/>
    <b v="0"/>
    <n v="1992"/>
    <n v="130838040067"/>
    <n v="363497050125"/>
    <x v="0"/>
    <n v="-1"/>
    <x v="0"/>
  </r>
  <r>
    <x v="1171"/>
    <x v="800"/>
    <x v="25"/>
    <s v="Australia"/>
    <s v="Solomon Islands"/>
    <n v="6"/>
    <n v="1"/>
    <s v="FIFA World Cup qualification"/>
    <s v="Newcastle"/>
    <s v="Australia"/>
    <b v="0"/>
    <n v="1992"/>
    <n v="325982966981"/>
    <n v="269034595"/>
    <x v="0"/>
    <n v="1"/>
    <x v="2"/>
  </r>
  <r>
    <x v="1172"/>
    <x v="800"/>
    <x v="25"/>
    <s v="Vanuatu"/>
    <s v="Fiji"/>
    <n v="0"/>
    <n v="3"/>
    <s v="FIFA World Cup qualification"/>
    <s v="Port Vila"/>
    <s v="Vanuatu"/>
    <b v="0"/>
    <n v="1992"/>
    <n v="209088824"/>
    <n v="1532411039"/>
    <x v="0"/>
    <n v="1"/>
    <x v="2"/>
  </r>
  <r>
    <x v="1173"/>
    <x v="801"/>
    <x v="25"/>
    <s v="Iceland"/>
    <s v="Greece"/>
    <n v="0"/>
    <n v="1"/>
    <s v="FIFA World Cup qualification"/>
    <s v="Reykjav√≠k"/>
    <s v="Iceland"/>
    <b v="0"/>
    <n v="1992"/>
    <n v="7328497599"/>
    <n v="114608178405"/>
    <x v="0"/>
    <n v="1"/>
    <x v="2"/>
  </r>
  <r>
    <x v="1174"/>
    <x v="801"/>
    <x v="25"/>
    <s v="Sweden"/>
    <s v="Bulgaria"/>
    <n v="2"/>
    <n v="0"/>
    <s v="FIFA World Cup qualification"/>
    <s v="Solna"/>
    <s v="Sweden"/>
    <b v="0"/>
    <n v="1992"/>
    <n v="283908914454"/>
    <n v="8602887622"/>
    <x v="0"/>
    <n v="1"/>
    <x v="2"/>
  </r>
  <r>
    <x v="1175"/>
    <x v="802"/>
    <x v="25"/>
    <s v="Algeria"/>
    <s v="Burundi"/>
    <n v="3"/>
    <n v="1"/>
    <s v="FIFA World Cup qualification"/>
    <s v="Tlemcen"/>
    <s v="Algeria"/>
    <b v="0"/>
    <n v="1992"/>
    <n v="48003133346"/>
    <n v="1083037670"/>
    <x v="0"/>
    <n v="1"/>
    <x v="2"/>
  </r>
  <r>
    <x v="1176"/>
    <x v="802"/>
    <x v="25"/>
    <s v="Zimbabwe"/>
    <s v="Togo"/>
    <n v="1"/>
    <n v="0"/>
    <s v="FIFA World Cup qualification"/>
    <s v="Harare"/>
    <s v="Zimbabwe"/>
    <b v="0"/>
    <n v="1992"/>
    <n v="6755000000"/>
    <n v="2390796915"/>
    <x v="0"/>
    <n v="1"/>
    <x v="2"/>
  </r>
  <r>
    <x v="1177"/>
    <x v="803"/>
    <x v="25"/>
    <s v="Nigeria"/>
    <s v="South Africa"/>
    <n v="4"/>
    <n v="0"/>
    <s v="FIFA World Cup qualification"/>
    <s v="Lagos"/>
    <s v="Nigeria"/>
    <b v="0"/>
    <n v="1992"/>
    <n v="52058181853"/>
    <n v="146956150986"/>
    <x v="0"/>
    <n v="-1"/>
    <x v="0"/>
  </r>
  <r>
    <x v="1178"/>
    <x v="804"/>
    <x v="25"/>
    <s v="Egypt"/>
    <s v="Angola"/>
    <n v="1"/>
    <n v="0"/>
    <s v="FIFA World Cup qualification"/>
    <s v="Cairo"/>
    <s v="Egypt"/>
    <b v="0"/>
    <n v="1992"/>
    <n v="41855986519"/>
    <n v="8307810973"/>
    <x v="0"/>
    <n v="1"/>
    <x v="2"/>
  </r>
  <r>
    <x v="1179"/>
    <x v="804"/>
    <x v="25"/>
    <s v="Gabon"/>
    <s v="Mozambique"/>
    <n v="3"/>
    <n v="1"/>
    <s v="FIFA World Cup qualification"/>
    <s v="Libreville"/>
    <s v="Gabon"/>
    <b v="0"/>
    <n v="1992"/>
    <n v="5592390827"/>
    <n v="2798696511"/>
    <x v="1"/>
    <n v="1"/>
    <x v="2"/>
  </r>
  <r>
    <x v="1180"/>
    <x v="804"/>
    <x v="25"/>
    <s v="Madagascar"/>
    <s v="Namibia"/>
    <n v="3"/>
    <n v="0"/>
    <s v="FIFA World Cup qualification"/>
    <s v="Antananarivo"/>
    <s v="Madagascar"/>
    <b v="0"/>
    <n v="1992"/>
    <n v="3714966678"/>
    <n v="3429521699"/>
    <x v="1"/>
    <n v="1"/>
    <x v="2"/>
  </r>
  <r>
    <x v="1181"/>
    <x v="804"/>
    <x v="25"/>
    <s v="Morocco"/>
    <s v="Ethiopia"/>
    <n v="5"/>
    <n v="0"/>
    <s v="FIFA World Cup qualification"/>
    <s v="Casablanca"/>
    <s v="Morocco"/>
    <b v="0"/>
    <n v="1992"/>
    <n v="33711069430"/>
    <n v="10754799036"/>
    <x v="0"/>
    <n v="1"/>
    <x v="2"/>
  </r>
  <r>
    <x v="1182"/>
    <x v="804"/>
    <x v="25"/>
    <s v="Tunisia"/>
    <s v="Benin"/>
    <n v="5"/>
    <n v="1"/>
    <s v="FIFA World Cup qualification"/>
    <s v="Tunis"/>
    <s v="Tunisia"/>
    <b v="0"/>
    <n v="1992"/>
    <n v="15496708060"/>
    <n v="1695315305"/>
    <x v="0"/>
    <n v="1"/>
    <x v="2"/>
  </r>
  <r>
    <x v="1183"/>
    <x v="804"/>
    <x v="25"/>
    <s v="Zambia"/>
    <s v="Tanzania"/>
    <n v="2"/>
    <n v="0"/>
    <s v="FIFA World Cup qualification"/>
    <s v="Lusaka"/>
    <s v="Zambia"/>
    <b v="0"/>
    <n v="1992"/>
    <n v="3182810841"/>
    <n v="6681997469"/>
    <x v="0"/>
    <n v="-1"/>
    <x v="0"/>
  </r>
  <r>
    <x v="1184"/>
    <x v="805"/>
    <x v="25"/>
    <s v="Belgium"/>
    <s v="Romania"/>
    <n v="1"/>
    <n v="0"/>
    <s v="FIFA World Cup qualification"/>
    <s v="Brussels"/>
    <s v="Belgium"/>
    <b v="0"/>
    <n v="1992"/>
    <n v="234781652446"/>
    <n v="25121666666"/>
    <x v="0"/>
    <n v="1"/>
    <x v="2"/>
  </r>
  <r>
    <x v="1185"/>
    <x v="805"/>
    <x v="25"/>
    <s v="England"/>
    <s v="Norway"/>
    <n v="1"/>
    <n v="1"/>
    <s v="FIFA World Cup qualification"/>
    <s v="London"/>
    <s v="England"/>
    <b v="0"/>
    <n v="1992"/>
    <n v="1179659529659"/>
    <n v="130838040067"/>
    <x v="0"/>
    <n v="0"/>
    <x v="1"/>
  </r>
  <r>
    <x v="1186"/>
    <x v="805"/>
    <x v="25"/>
    <s v="France"/>
    <s v="Austria"/>
    <n v="2"/>
    <n v="0"/>
    <s v="FIFA World Cup qualification"/>
    <s v="Paris"/>
    <s v="France"/>
    <b v="0"/>
    <n v="1992"/>
    <n v="1389663073110"/>
    <n v="194314032056"/>
    <x v="0"/>
    <n v="1"/>
    <x v="2"/>
  </r>
  <r>
    <x v="1187"/>
    <x v="805"/>
    <x v="25"/>
    <s v="Italy"/>
    <s v="Switzerland"/>
    <n v="2"/>
    <n v="2"/>
    <s v="FIFA World Cup qualification"/>
    <s v="Cagliari"/>
    <s v="Italy"/>
    <b v="0"/>
    <n v="1992"/>
    <n v="1323204350353"/>
    <n v="279921425828"/>
    <x v="0"/>
    <n v="0"/>
    <x v="1"/>
  </r>
  <r>
    <x v="1188"/>
    <x v="805"/>
    <x v="25"/>
    <s v="Netherlands"/>
    <s v="Poland"/>
    <n v="2"/>
    <n v="2"/>
    <s v="FIFA World Cup qualification"/>
    <s v="Rotterdam"/>
    <s v="Netherlands"/>
    <b v="0"/>
    <n v="1992"/>
    <n v="363497050125"/>
    <n v="94337050693"/>
    <x v="0"/>
    <n v="0"/>
    <x v="1"/>
  </r>
  <r>
    <x v="1189"/>
    <x v="805"/>
    <x v="25"/>
    <s v="Russia"/>
    <s v="Iceland"/>
    <n v="1"/>
    <n v="0"/>
    <s v="FIFA World Cup qualification"/>
    <s v="Moscow"/>
    <s v="Russia"/>
    <b v="0"/>
    <n v="1992"/>
    <n v="460290556900"/>
    <n v="7328497599"/>
    <x v="0"/>
    <n v="1"/>
    <x v="2"/>
  </r>
  <r>
    <x v="1190"/>
    <x v="806"/>
    <x v="25"/>
    <s v="Bermuda"/>
    <s v="El Salvador"/>
    <n v="1"/>
    <n v="0"/>
    <s v="FIFA World Cup qualification"/>
    <s v="Hamilton"/>
    <s v="Bermuda"/>
    <b v="0"/>
    <n v="1992"/>
    <n v="1679900000"/>
    <n v="5813399300"/>
    <x v="0"/>
    <n v="-1"/>
    <x v="0"/>
  </r>
  <r>
    <x v="1191"/>
    <x v="806"/>
    <x v="25"/>
    <s v="Cameroon"/>
    <s v="Eswatini"/>
    <n v="5"/>
    <n v="0"/>
    <s v="FIFA World Cup qualification"/>
    <s v="Yaound√©"/>
    <s v="Cameroon"/>
    <b v="0"/>
    <n v="1992"/>
    <n v="12071775335"/>
    <n v="1284759927"/>
    <x v="0"/>
    <n v="1"/>
    <x v="2"/>
  </r>
  <r>
    <x v="1192"/>
    <x v="806"/>
    <x v="25"/>
    <s v="Jamaica"/>
    <s v="Canada"/>
    <n v="1"/>
    <n v="1"/>
    <s v="FIFA World Cup qualification"/>
    <s v="Kingston"/>
    <s v="Jamaica"/>
    <b v="0"/>
    <n v="1992"/>
    <n v="3535460089"/>
    <n v="594387358318"/>
    <x v="0"/>
    <n v="0"/>
    <x v="1"/>
  </r>
  <r>
    <x v="1193"/>
    <x v="807"/>
    <x v="25"/>
    <s v="Benin"/>
    <s v="Morocco"/>
    <n v="0"/>
    <n v="1"/>
    <s v="FIFA World Cup qualification"/>
    <s v="Cotonou"/>
    <s v="Benin"/>
    <b v="0"/>
    <n v="1992"/>
    <n v="1695315305"/>
    <n v="33711069430"/>
    <x v="0"/>
    <n v="1"/>
    <x v="2"/>
  </r>
  <r>
    <x v="1194"/>
    <x v="807"/>
    <x v="25"/>
    <s v="Bermuda"/>
    <s v="Jamaica"/>
    <n v="1"/>
    <n v="1"/>
    <s v="FIFA World Cup qualification"/>
    <s v="Hamilton"/>
    <s v="Bermuda"/>
    <b v="0"/>
    <n v="1992"/>
    <n v="1679900000"/>
    <n v="3535460089"/>
    <x v="0"/>
    <n v="0"/>
    <x v="1"/>
  </r>
  <r>
    <x v="1195"/>
    <x v="807"/>
    <x v="25"/>
    <s v="Burundi"/>
    <s v="Ghana"/>
    <n v="1"/>
    <n v="0"/>
    <s v="FIFA World Cup qualification"/>
    <s v="Bujumbura"/>
    <s v="Burundi"/>
    <b v="0"/>
    <n v="1992"/>
    <n v="1083037670"/>
    <n v="6416103925"/>
    <x v="0"/>
    <n v="-1"/>
    <x v="0"/>
  </r>
  <r>
    <x v="1196"/>
    <x v="807"/>
    <x v="25"/>
    <s v="El Salvador"/>
    <s v="Canada"/>
    <n v="1"/>
    <n v="1"/>
    <s v="FIFA World Cup qualification"/>
    <s v="San Salvador"/>
    <s v="El Salvador"/>
    <b v="0"/>
    <n v="1992"/>
    <n v="5813399300"/>
    <n v="594387358318"/>
    <x v="0"/>
    <n v="0"/>
    <x v="1"/>
  </r>
  <r>
    <x v="1197"/>
    <x v="807"/>
    <x v="25"/>
    <s v="Ethiopia"/>
    <s v="Tunisia"/>
    <n v="0"/>
    <n v="0"/>
    <s v="FIFA World Cup qualification"/>
    <s v="Addis Ababa"/>
    <s v="Ethiopia"/>
    <b v="0"/>
    <n v="1992"/>
    <n v="10754799036"/>
    <n v="15496708060"/>
    <x v="1"/>
    <n v="0"/>
    <x v="1"/>
  </r>
  <r>
    <x v="1198"/>
    <x v="807"/>
    <x v="25"/>
    <s v="Mozambique"/>
    <s v="Senegal"/>
    <n v="0"/>
    <n v="1"/>
    <s v="FIFA World Cup qualification"/>
    <s v="Maputo"/>
    <s v="Mozambique"/>
    <b v="0"/>
    <n v="1992"/>
    <n v="2798696511"/>
    <n v="7769817839"/>
    <x v="0"/>
    <n v="1"/>
    <x v="2"/>
  </r>
  <r>
    <x v="1199"/>
    <x v="807"/>
    <x v="25"/>
    <s v="Namibia"/>
    <s v="Zambia"/>
    <n v="0"/>
    <n v="4"/>
    <s v="FIFA World Cup qualification"/>
    <s v="Windhoek"/>
    <s v="Namibia"/>
    <b v="0"/>
    <n v="1992"/>
    <n v="3429521699"/>
    <n v="3182810841"/>
    <x v="1"/>
    <n v="-1"/>
    <x v="0"/>
  </r>
  <r>
    <x v="1200"/>
    <x v="807"/>
    <x v="25"/>
    <s v="Tanzania"/>
    <s v="Madagascar"/>
    <n v="0"/>
    <n v="0"/>
    <s v="FIFA World Cup qualification"/>
    <s v="Zanzibar"/>
    <s v="Tanzania"/>
    <b v="0"/>
    <n v="1992"/>
    <n v="6681997469"/>
    <n v="3714966678"/>
    <x v="1"/>
    <n v="0"/>
    <x v="1"/>
  </r>
  <r>
    <x v="1201"/>
    <x v="807"/>
    <x v="25"/>
    <s v="Togo"/>
    <s v="Egypt"/>
    <n v="1"/>
    <n v="4"/>
    <s v="FIFA World Cup qualification"/>
    <s v="Lom√©"/>
    <s v="Togo"/>
    <b v="0"/>
    <n v="1992"/>
    <n v="2390796915"/>
    <n v="41855986519"/>
    <x v="0"/>
    <n v="1"/>
    <x v="2"/>
  </r>
  <r>
    <x v="1202"/>
    <x v="808"/>
    <x v="25"/>
    <s v="Austria"/>
    <s v="Israel"/>
    <n v="5"/>
    <n v="2"/>
    <s v="FIFA World Cup qualification"/>
    <s v="Vienna"/>
    <s v="Austria"/>
    <b v="0"/>
    <n v="1992"/>
    <n v="194314032056"/>
    <n v="79457685757"/>
    <x v="0"/>
    <n v="1"/>
    <x v="2"/>
  </r>
  <r>
    <x v="1203"/>
    <x v="808"/>
    <x v="25"/>
    <s v="Russia"/>
    <s v="Luxembourg"/>
    <n v="2"/>
    <n v="0"/>
    <s v="FIFA World Cup qualification"/>
    <s v="Moscow"/>
    <s v="Russia"/>
    <b v="0"/>
    <n v="1992"/>
    <n v="460290556900"/>
    <n v="15518702634"/>
    <x v="0"/>
    <n v="1"/>
    <x v="2"/>
  </r>
  <r>
    <x v="1204"/>
    <x v="809"/>
    <x v="25"/>
    <s v="Canada"/>
    <s v="Jamaica"/>
    <n v="1"/>
    <n v="0"/>
    <s v="FIFA World Cup qualification"/>
    <s v="Toronto"/>
    <s v="Canada"/>
    <b v="0"/>
    <n v="1992"/>
    <n v="594387358318"/>
    <n v="3535460089"/>
    <x v="0"/>
    <n v="1"/>
    <x v="2"/>
  </r>
  <r>
    <x v="1205"/>
    <x v="809"/>
    <x v="25"/>
    <s v="El Salvador"/>
    <s v="Bermuda"/>
    <n v="4"/>
    <n v="1"/>
    <s v="FIFA World Cup qualification"/>
    <s v="San Salvador"/>
    <s v="El Salvador"/>
    <b v="0"/>
    <n v="1992"/>
    <n v="5813399300"/>
    <n v="1679900000"/>
    <x v="0"/>
    <n v="1"/>
    <x v="2"/>
  </r>
  <r>
    <x v="1206"/>
    <x v="810"/>
    <x v="25"/>
    <s v="Canada"/>
    <s v="El Salvador"/>
    <n v="2"/>
    <n v="3"/>
    <s v="FIFA World Cup qualification"/>
    <s v="Burnaby"/>
    <s v="Canada"/>
    <b v="0"/>
    <n v="1992"/>
    <n v="594387358318"/>
    <n v="5813399300"/>
    <x v="0"/>
    <n v="-1"/>
    <x v="0"/>
  </r>
  <r>
    <x v="1207"/>
    <x v="810"/>
    <x v="25"/>
    <s v="Costa Rica"/>
    <s v="Honduras"/>
    <n v="2"/>
    <n v="3"/>
    <s v="FIFA World Cup qualification"/>
    <s v="San Jos√©"/>
    <s v="Costa Rica"/>
    <b v="0"/>
    <n v="1992"/>
    <n v="8579754757"/>
    <n v="4122846905"/>
    <x v="0"/>
    <n v="-1"/>
    <x v="0"/>
  </r>
  <r>
    <x v="1208"/>
    <x v="810"/>
    <x v="25"/>
    <s v="Jamaica"/>
    <s v="Bermuda"/>
    <n v="3"/>
    <n v="2"/>
    <s v="FIFA World Cup qualification"/>
    <s v="Kingston"/>
    <s v="Jamaica"/>
    <b v="0"/>
    <n v="1992"/>
    <n v="3535460089"/>
    <n v="1679900000"/>
    <x v="0"/>
    <n v="1"/>
    <x v="2"/>
  </r>
  <r>
    <x v="1209"/>
    <x v="811"/>
    <x v="25"/>
    <s v="Greece"/>
    <s v="Hungary"/>
    <n v="0"/>
    <n v="0"/>
    <s v="FIFA World Cup qualification"/>
    <s v="Salonica"/>
    <s v="Greece"/>
    <b v="0"/>
    <n v="1992"/>
    <n v="114608178405"/>
    <n v="38857339124"/>
    <x v="0"/>
    <n v="0"/>
    <x v="1"/>
  </r>
  <r>
    <x v="1210"/>
    <x v="811"/>
    <x v="25"/>
    <s v="Israel"/>
    <s v="Sweden"/>
    <n v="1"/>
    <n v="3"/>
    <s v="FIFA World Cup qualification"/>
    <s v="Ramat Gan"/>
    <s v="Israel"/>
    <b v="0"/>
    <n v="1992"/>
    <n v="79457685757"/>
    <n v="283908914454"/>
    <x v="0"/>
    <n v="1"/>
    <x v="2"/>
  </r>
  <r>
    <x v="1211"/>
    <x v="812"/>
    <x v="25"/>
    <s v="France"/>
    <s v="Finland"/>
    <n v="2"/>
    <n v="1"/>
    <s v="FIFA World Cup qualification"/>
    <s v="Paris"/>
    <s v="France"/>
    <b v="0"/>
    <n v="1992"/>
    <n v="1389663073110"/>
    <n v="112537828510"/>
    <x v="0"/>
    <n v="1"/>
    <x v="2"/>
  </r>
  <r>
    <x v="1212"/>
    <x v="813"/>
    <x v="25"/>
    <s v="Canada"/>
    <s v="Bermuda"/>
    <n v="4"/>
    <n v="2"/>
    <s v="FIFA World Cup qualification"/>
    <s v="Burnaby"/>
    <s v="Canada"/>
    <b v="0"/>
    <n v="1992"/>
    <n v="594387358318"/>
    <n v="1679900000"/>
    <x v="0"/>
    <n v="1"/>
    <x v="2"/>
  </r>
  <r>
    <x v="1213"/>
    <x v="813"/>
    <x v="25"/>
    <s v="Mexico"/>
    <s v="Honduras"/>
    <n v="2"/>
    <n v="0"/>
    <s v="FIFA World Cup qualification"/>
    <s v="Mexico City"/>
    <s v="Mexico"/>
    <b v="0"/>
    <n v="1992"/>
    <n v="363157832923"/>
    <n v="4122846905"/>
    <x v="0"/>
    <n v="1"/>
    <x v="2"/>
  </r>
  <r>
    <x v="1214"/>
    <x v="814"/>
    <x v="25"/>
    <s v="Switzerland"/>
    <s v="Malta"/>
    <n v="3"/>
    <n v="0"/>
    <s v="FIFA World Cup qualification"/>
    <s v="Bern"/>
    <s v="Switzerland"/>
    <b v="0"/>
    <n v="1992"/>
    <n v="279921425828"/>
    <n v="3021942758"/>
    <x v="0"/>
    <n v="1"/>
    <x v="2"/>
  </r>
  <r>
    <x v="1215"/>
    <x v="815"/>
    <x v="25"/>
    <s v="Jamaica"/>
    <s v="El Salvador"/>
    <n v="0"/>
    <n v="2"/>
    <s v="FIFA World Cup qualification"/>
    <s v="Kingston"/>
    <s v="Jamaica"/>
    <b v="0"/>
    <n v="1992"/>
    <n v="3535460089"/>
    <n v="5813399300"/>
    <x v="1"/>
    <n v="1"/>
    <x v="2"/>
  </r>
  <r>
    <x v="1216"/>
    <x v="815"/>
    <x v="25"/>
    <s v="Mexico"/>
    <s v="Costa Rica"/>
    <n v="4"/>
    <n v="0"/>
    <s v="FIFA World Cup qualification"/>
    <s v="Mexico City"/>
    <s v="Mexico"/>
    <b v="0"/>
    <n v="1992"/>
    <n v="363157832923"/>
    <n v="8579754757"/>
    <x v="0"/>
    <n v="1"/>
    <x v="2"/>
  </r>
  <r>
    <x v="1217"/>
    <x v="816"/>
    <x v="25"/>
    <s v="Costa Rica"/>
    <s v="Mexico"/>
    <n v="2"/>
    <n v="0"/>
    <s v="FIFA World Cup qualification"/>
    <s v="San Jos√©"/>
    <s v="Costa Rica"/>
    <b v="0"/>
    <n v="1992"/>
    <n v="8579754757"/>
    <n v="363157832923"/>
    <x v="0"/>
    <n v="-1"/>
    <x v="0"/>
  </r>
  <r>
    <x v="1218"/>
    <x v="816"/>
    <x v="25"/>
    <s v="Cyprus"/>
    <s v="Romania"/>
    <n v="1"/>
    <n v="4"/>
    <s v="FIFA World Cup qualification"/>
    <s v="Larnaca"/>
    <s v="Cyprus"/>
    <b v="0"/>
    <n v="1992"/>
    <n v="6912150456"/>
    <n v="25121666666"/>
    <x v="0"/>
    <n v="1"/>
    <x v="2"/>
  </r>
  <r>
    <x v="1219"/>
    <x v="817"/>
    <x v="25"/>
    <s v="Israel"/>
    <s v="Bulgaria"/>
    <n v="0"/>
    <n v="2"/>
    <s v="FIFA World Cup qualification"/>
    <s v="Ramat Gan"/>
    <s v="Israel"/>
    <b v="0"/>
    <n v="1992"/>
    <n v="79457685757"/>
    <n v="8602887622"/>
    <x v="0"/>
    <n v="-1"/>
    <x v="0"/>
  </r>
  <r>
    <x v="1220"/>
    <x v="818"/>
    <x v="25"/>
    <s v="Honduras"/>
    <s v="Costa Rica"/>
    <n v="2"/>
    <n v="1"/>
    <s v="FIFA World Cup qualification"/>
    <s v="Tegucigalpa"/>
    <s v="Honduras"/>
    <b v="0"/>
    <n v="1992"/>
    <n v="4122846905"/>
    <n v="8579754757"/>
    <x v="0"/>
    <n v="-1"/>
    <x v="0"/>
  </r>
  <r>
    <x v="1221"/>
    <x v="819"/>
    <x v="25"/>
    <s v="Bermuda"/>
    <s v="Canada"/>
    <n v="0"/>
    <n v="0"/>
    <s v="FIFA World Cup qualification"/>
    <s v="Hamilton"/>
    <s v="Bermuda"/>
    <b v="0"/>
    <n v="1992"/>
    <n v="1679900000"/>
    <n v="594387358318"/>
    <x v="0"/>
    <n v="0"/>
    <x v="1"/>
  </r>
  <r>
    <x v="1222"/>
    <x v="819"/>
    <x v="25"/>
    <s v="El Salvador"/>
    <s v="Jamaica"/>
    <n v="2"/>
    <n v="1"/>
    <s v="FIFA World Cup qualification"/>
    <s v="San Salvador"/>
    <s v="El Salvador"/>
    <b v="0"/>
    <n v="1992"/>
    <n v="5813399300"/>
    <n v="3535460089"/>
    <x v="1"/>
    <n v="1"/>
    <x v="2"/>
  </r>
  <r>
    <x v="1223"/>
    <x v="820"/>
    <x v="25"/>
    <s v="Honduras"/>
    <s v="Mexico"/>
    <n v="1"/>
    <n v="1"/>
    <s v="FIFA World Cup qualification"/>
    <s v="Tegucigalpa"/>
    <s v="Honduras"/>
    <b v="0"/>
    <n v="1992"/>
    <n v="4122846905"/>
    <n v="363157832923"/>
    <x v="0"/>
    <n v="0"/>
    <x v="1"/>
  </r>
  <r>
    <x v="1224"/>
    <x v="821"/>
    <x v="25"/>
    <s v="Malta"/>
    <s v="Italy"/>
    <n v="1"/>
    <n v="2"/>
    <s v="FIFA World Cup qualification"/>
    <s v="Attard"/>
    <s v="Malta"/>
    <b v="0"/>
    <n v="1992"/>
    <n v="3021942758"/>
    <n v="1323204350353"/>
    <x v="0"/>
    <n v="1"/>
    <x v="2"/>
  </r>
  <r>
    <x v="1225"/>
    <x v="821"/>
    <x v="25"/>
    <s v="Tanzania"/>
    <s v="Namibia"/>
    <n v="2"/>
    <n v="0"/>
    <s v="FIFA World Cup qualification"/>
    <s v="Mwanza"/>
    <s v="Tanzania"/>
    <b v="0"/>
    <n v="1992"/>
    <n v="6681997469"/>
    <n v="3429521699"/>
    <x v="1"/>
    <n v="1"/>
    <x v="2"/>
  </r>
  <r>
    <x v="1226"/>
    <x v="821"/>
    <x v="25"/>
    <s v="Gabon"/>
    <s v="Senegal"/>
    <n v="3"/>
    <n v="2"/>
    <s v="FIFA World Cup qualification"/>
    <s v="Libreville"/>
    <s v="Gabon"/>
    <b v="0"/>
    <n v="1992"/>
    <n v="5592390827"/>
    <n v="7769817839"/>
    <x v="1"/>
    <n v="-1"/>
    <x v="0"/>
  </r>
  <r>
    <x v="1227"/>
    <x v="822"/>
    <x v="25"/>
    <s v="Botswana"/>
    <s v="Niger"/>
    <n v="0"/>
    <n v="1"/>
    <s v="FIFA World Cup qualification"/>
    <s v="Gaborone"/>
    <s v="Botswana"/>
    <b v="0"/>
    <n v="1992"/>
    <n v="4146464586"/>
    <n v="3386232579"/>
    <x v="1"/>
    <n v="-1"/>
    <x v="0"/>
  </r>
  <r>
    <x v="1228"/>
    <x v="822"/>
    <x v="25"/>
    <s v="Ethiopia"/>
    <s v="Benin"/>
    <n v="3"/>
    <n v="1"/>
    <s v="FIFA World Cup qualification"/>
    <s v="Addis Ababa"/>
    <s v="Ethiopia"/>
    <b v="0"/>
    <n v="1992"/>
    <n v="10754799036"/>
    <n v="1695315305"/>
    <x v="0"/>
    <n v="1"/>
    <x v="2"/>
  </r>
  <r>
    <x v="1229"/>
    <x v="822"/>
    <x v="25"/>
    <s v="Ghana"/>
    <s v="Algeria"/>
    <n v="2"/>
    <n v="0"/>
    <s v="FIFA World Cup qualification"/>
    <s v="Accra"/>
    <s v="Ghana"/>
    <b v="0"/>
    <n v="1992"/>
    <n v="6416103925"/>
    <n v="48003133346"/>
    <x v="0"/>
    <n v="-1"/>
    <x v="0"/>
  </r>
  <r>
    <x v="1230"/>
    <x v="822"/>
    <x v="25"/>
    <s v="Guinea"/>
    <s v="Kenya"/>
    <n v="4"/>
    <n v="0"/>
    <s v="FIFA World Cup qualification"/>
    <s v="Conakry"/>
    <s v="Guinea"/>
    <b v="0"/>
    <n v="1992"/>
    <n v="4789220416"/>
    <n v="8209120763"/>
    <x v="1"/>
    <n v="-1"/>
    <x v="0"/>
  </r>
  <r>
    <x v="1231"/>
    <x v="822"/>
    <x v="25"/>
    <s v="Madagascar"/>
    <s v="Zambia"/>
    <n v="2"/>
    <n v="0"/>
    <s v="FIFA World Cup qualification"/>
    <s v="Antananarivo"/>
    <s v="Madagascar"/>
    <b v="0"/>
    <n v="1992"/>
    <n v="3714966678"/>
    <n v="3182810841"/>
    <x v="1"/>
    <n v="1"/>
    <x v="2"/>
  </r>
  <r>
    <x v="1232"/>
    <x v="822"/>
    <x v="25"/>
    <s v="Tunisia"/>
    <s v="Morocco"/>
    <n v="1"/>
    <n v="1"/>
    <s v="FIFA World Cup qualification"/>
    <s v="Tunis"/>
    <s v="Tunisia"/>
    <b v="0"/>
    <n v="1992"/>
    <n v="15496708060"/>
    <n v="33711069430"/>
    <x v="0"/>
    <n v="0"/>
    <x v="1"/>
  </r>
  <r>
    <x v="1233"/>
    <x v="822"/>
    <x v="25"/>
    <s v="Zimbabwe"/>
    <s v="Egypt"/>
    <n v="2"/>
    <n v="1"/>
    <s v="FIFA World Cup qualification"/>
    <s v="Harare"/>
    <s v="Zimbabwe"/>
    <b v="0"/>
    <n v="1992"/>
    <n v="6755000000"/>
    <n v="41855986519"/>
    <x v="0"/>
    <n v="-1"/>
    <x v="0"/>
  </r>
  <r>
    <x v="1234"/>
    <x v="823"/>
    <x v="26"/>
    <s v="Angola"/>
    <s v="Zimbabwe"/>
    <n v="1"/>
    <n v="1"/>
    <s v="FIFA World Cup qualification"/>
    <s v="Luanda"/>
    <s v="Angola"/>
    <b v="0"/>
    <n v="1993"/>
    <n v="5768720421"/>
    <n v="6567250000"/>
    <x v="1"/>
    <n v="0"/>
    <x v="1"/>
  </r>
  <r>
    <x v="1235"/>
    <x v="824"/>
    <x v="26"/>
    <s v="South Africa"/>
    <s v="Nigeria"/>
    <n v="0"/>
    <n v="0"/>
    <s v="FIFA World Cup qualification"/>
    <s v="Johannesburg"/>
    <s v="South Africa"/>
    <b v="0"/>
    <n v="1993"/>
    <n v="147194747565"/>
    <n v="56721051402"/>
    <x v="0"/>
    <n v="0"/>
    <x v="1"/>
  </r>
  <r>
    <x v="1236"/>
    <x v="824"/>
    <x v="26"/>
    <s v="Tanzania"/>
    <s v="Zambia"/>
    <n v="1"/>
    <n v="3"/>
    <s v="FIFA World Cup qualification"/>
    <s v="Mwanza"/>
    <s v="Tanzania"/>
    <b v="0"/>
    <n v="1993"/>
    <n v="6182872707"/>
    <n v="3273505343"/>
    <x v="1"/>
    <n v="-1"/>
    <x v="0"/>
  </r>
  <r>
    <x v="1237"/>
    <x v="825"/>
    <x v="26"/>
    <s v="Benin"/>
    <s v="Tunisia"/>
    <n v="0"/>
    <n v="5"/>
    <s v="FIFA World Cup qualification"/>
    <s v="Cotonou"/>
    <s v="Benin"/>
    <b v="0"/>
    <n v="1993"/>
    <n v="2274558082"/>
    <n v="14608335608"/>
    <x v="0"/>
    <n v="1"/>
    <x v="2"/>
  </r>
  <r>
    <x v="1238"/>
    <x v="825"/>
    <x v="26"/>
    <s v="Burundi"/>
    <s v="Algeria"/>
    <n v="0"/>
    <n v="0"/>
    <s v="FIFA World Cup qualification"/>
    <s v="Bujumbura"/>
    <s v="Burundi"/>
    <b v="0"/>
    <n v="1993"/>
    <n v="938632612"/>
    <n v="49945584452"/>
    <x v="0"/>
    <n v="0"/>
    <x v="1"/>
  </r>
  <r>
    <x v="1239"/>
    <x v="825"/>
    <x v="26"/>
    <s v="Ethiopia"/>
    <s v="Morocco"/>
    <n v="0"/>
    <n v="1"/>
    <s v="FIFA World Cup qualification"/>
    <s v="Addis Ababa"/>
    <s v="Ethiopia"/>
    <b v="0"/>
    <n v="1993"/>
    <n v="9051043870"/>
    <n v="31655473663"/>
    <x v="0"/>
    <n v="1"/>
    <x v="2"/>
  </r>
  <r>
    <x v="1240"/>
    <x v="825"/>
    <x v="26"/>
    <s v="Mozambique"/>
    <s v="Gabon"/>
    <n v="1"/>
    <n v="1"/>
    <s v="FIFA World Cup qualification"/>
    <s v="Maputo"/>
    <s v="Mozambique"/>
    <b v="0"/>
    <n v="1993"/>
    <n v="2883161897"/>
    <n v="4378645081"/>
    <x v="1"/>
    <n v="0"/>
    <x v="1"/>
  </r>
  <r>
    <x v="1241"/>
    <x v="825"/>
    <x v="26"/>
    <s v="Namibia"/>
    <s v="Madagascar"/>
    <n v="0"/>
    <n v="1"/>
    <s v="FIFA World Cup qualification"/>
    <s v="Windhoek"/>
    <s v="Namibia"/>
    <b v="0"/>
    <n v="1993"/>
    <n v="3251188833"/>
    <n v="4063298919"/>
    <x v="1"/>
    <n v="1"/>
    <x v="2"/>
  </r>
  <r>
    <x v="1242"/>
    <x v="825"/>
    <x v="26"/>
    <s v="Eswatini"/>
    <s v="Cameroon"/>
    <n v="0"/>
    <n v="0"/>
    <s v="FIFA World Cup qualification"/>
    <s v="Mbabane"/>
    <s v="Swaziland"/>
    <b v="0"/>
    <n v="1993"/>
    <n v="1357189551"/>
    <n v="16181814712"/>
    <x v="0"/>
    <n v="0"/>
    <x v="1"/>
  </r>
  <r>
    <x v="1243"/>
    <x v="825"/>
    <x v="26"/>
    <s v="Togo"/>
    <s v="Zimbabwe"/>
    <n v="1"/>
    <n v="2"/>
    <s v="FIFA World Cup qualification"/>
    <s v="Lom√©"/>
    <s v="Togo"/>
    <b v="0"/>
    <n v="1993"/>
    <n v="1741944426"/>
    <n v="6567250000"/>
    <x v="0"/>
    <n v="1"/>
    <x v="2"/>
  </r>
  <r>
    <x v="1244"/>
    <x v="826"/>
    <x v="26"/>
    <s v="Angola"/>
    <s v="Egypt"/>
    <n v="0"/>
    <n v="0"/>
    <s v="FIFA World Cup qualification"/>
    <s v="Luanda"/>
    <s v="Angola"/>
    <b v="0"/>
    <n v="1993"/>
    <n v="5768720421"/>
    <n v="46578631452"/>
    <x v="0"/>
    <n v="0"/>
    <x v="1"/>
  </r>
  <r>
    <x v="1245"/>
    <x v="827"/>
    <x v="26"/>
    <s v="Zambia"/>
    <s v="Namibia"/>
    <n v="4"/>
    <n v="0"/>
    <s v="FIFA World Cup qualification"/>
    <s v="Lusaka"/>
    <s v="Zambia"/>
    <b v="0"/>
    <n v="1993"/>
    <n v="3273505343"/>
    <n v="3251188833"/>
    <x v="1"/>
    <n v="1"/>
    <x v="2"/>
  </r>
  <r>
    <x v="1246"/>
    <x v="828"/>
    <x v="26"/>
    <s v="Malta"/>
    <s v="Portugal"/>
    <n v="0"/>
    <n v="1"/>
    <s v="FIFA World Cup qualification"/>
    <s v="Attard"/>
    <s v="Malta"/>
    <b v="0"/>
    <n v="1993"/>
    <n v="2709193538"/>
    <n v="95009751901"/>
    <x v="0"/>
    <n v="1"/>
    <x v="2"/>
  </r>
  <r>
    <x v="1247"/>
    <x v="829"/>
    <x v="26"/>
    <s v="Senegal"/>
    <s v="Mozambique"/>
    <n v="6"/>
    <n v="1"/>
    <s v="FIFA World Cup qualification"/>
    <s v="Dakar"/>
    <s v="Senegal"/>
    <b v="0"/>
    <n v="1993"/>
    <n v="7367986241"/>
    <n v="2883161897"/>
    <x v="0"/>
    <n v="1"/>
    <x v="2"/>
  </r>
  <r>
    <x v="1248"/>
    <x v="830"/>
    <x v="26"/>
    <s v="Egypt"/>
    <s v="Togo"/>
    <n v="3"/>
    <n v="0"/>
    <s v="FIFA World Cup qualification"/>
    <s v="Cairo"/>
    <s v="Egypt"/>
    <b v="0"/>
    <n v="1993"/>
    <n v="46578631452"/>
    <n v="1741944426"/>
    <x v="0"/>
    <n v="1"/>
    <x v="2"/>
  </r>
  <r>
    <x v="1249"/>
    <x v="830"/>
    <x v="26"/>
    <s v="Ghana"/>
    <s v="Burundi"/>
    <n v="1"/>
    <n v="0"/>
    <s v="FIFA World Cup qualification"/>
    <s v="Kumasi"/>
    <s v="Ghana"/>
    <b v="0"/>
    <n v="1993"/>
    <n v="5968922939"/>
    <n v="938632612"/>
    <x v="0"/>
    <n v="1"/>
    <x v="2"/>
  </r>
  <r>
    <x v="1250"/>
    <x v="830"/>
    <x v="26"/>
    <s v="Morocco"/>
    <s v="Benin"/>
    <n v="5"/>
    <n v="0"/>
    <s v="FIFA World Cup qualification"/>
    <s v="Rabat"/>
    <s v="Morocco"/>
    <b v="0"/>
    <n v="1993"/>
    <n v="31655473663"/>
    <n v="2274558082"/>
    <x v="0"/>
    <n v="1"/>
    <x v="2"/>
  </r>
  <r>
    <x v="1251"/>
    <x v="830"/>
    <x v="26"/>
    <s v="Tunisia"/>
    <s v="Ethiopia"/>
    <n v="3"/>
    <n v="0"/>
    <s v="FIFA World Cup qualification"/>
    <s v="Tunis"/>
    <s v="Tunisia"/>
    <b v="0"/>
    <n v="1993"/>
    <n v="14608335608"/>
    <n v="9051043870"/>
    <x v="1"/>
    <n v="1"/>
    <x v="2"/>
  </r>
  <r>
    <x v="1252"/>
    <x v="830"/>
    <x v="26"/>
    <s v="Zimbabwe"/>
    <s v="Angola"/>
    <n v="2"/>
    <n v="1"/>
    <s v="FIFA World Cup qualification"/>
    <s v="Harare"/>
    <s v="Zimbabwe"/>
    <b v="0"/>
    <n v="1993"/>
    <n v="6567250000"/>
    <n v="5768720421"/>
    <x v="1"/>
    <n v="1"/>
    <x v="2"/>
  </r>
  <r>
    <x v="1253"/>
    <x v="831"/>
    <x v="26"/>
    <s v="Cyprus"/>
    <s v="Belgium"/>
    <n v="0"/>
    <n v="3"/>
    <s v="FIFA World Cup qualification"/>
    <s v="Nicosia"/>
    <s v="Cyprus"/>
    <b v="0"/>
    <n v="1993"/>
    <n v="6590291048"/>
    <n v="224721795708"/>
    <x v="0"/>
    <n v="1"/>
    <x v="2"/>
  </r>
  <r>
    <x v="1254"/>
    <x v="832"/>
    <x v="26"/>
    <s v="Greece"/>
    <s v="Luxembourg"/>
    <n v="2"/>
    <n v="0"/>
    <s v="FIFA World Cup qualification"/>
    <s v="Athens"/>
    <s v="Greece"/>
    <b v="0"/>
    <n v="1993"/>
    <n v="107295704518"/>
    <n v="15925521222"/>
    <x v="0"/>
    <n v="1"/>
    <x v="2"/>
  </r>
  <r>
    <x v="1255"/>
    <x v="832"/>
    <x v="26"/>
    <s v="Israel"/>
    <s v="France"/>
    <n v="0"/>
    <n v="4"/>
    <s v="FIFA World Cup qualification"/>
    <s v="Ramat Gan"/>
    <s v="Israel"/>
    <b v="0"/>
    <n v="1993"/>
    <n v="79855877174"/>
    <n v="1314383368079"/>
    <x v="0"/>
    <n v="1"/>
    <x v="2"/>
  </r>
  <r>
    <x v="1256"/>
    <x v="833"/>
    <x v="26"/>
    <s v="Portugal"/>
    <s v="Italy"/>
    <n v="1"/>
    <n v="3"/>
    <s v="FIFA World Cup qualification"/>
    <s v="Porto"/>
    <s v="Portugal"/>
    <b v="0"/>
    <n v="1993"/>
    <n v="95009751901"/>
    <n v="1067412587670"/>
    <x v="0"/>
    <n v="1"/>
    <x v="2"/>
  </r>
  <r>
    <x v="1257"/>
    <x v="834"/>
    <x v="26"/>
    <s v="Algeria"/>
    <s v="Ghana"/>
    <n v="2"/>
    <n v="1"/>
    <s v="FIFA World Cup qualification"/>
    <s v="Tlemcen"/>
    <s v="Algeria"/>
    <b v="0"/>
    <n v="1993"/>
    <n v="49945584452"/>
    <n v="5968922939"/>
    <x v="0"/>
    <n v="1"/>
    <x v="2"/>
  </r>
  <r>
    <x v="1258"/>
    <x v="835"/>
    <x v="26"/>
    <s v="Kenya"/>
    <s v="Guinea"/>
    <n v="2"/>
    <n v="0"/>
    <s v="FIFA World Cup qualification"/>
    <s v="Nairobi"/>
    <s v="Kenya"/>
    <b v="0"/>
    <n v="1993"/>
    <n v="5751786642"/>
    <n v="4781166116"/>
    <x v="1"/>
    <n v="1"/>
    <x v="2"/>
  </r>
  <r>
    <x v="1259"/>
    <x v="835"/>
    <x v="26"/>
    <s v="Senegal"/>
    <s v="Gabon"/>
    <n v="1"/>
    <n v="0"/>
    <s v="FIFA World Cup qualification"/>
    <s v="Dakar"/>
    <s v="Senegal"/>
    <b v="0"/>
    <n v="1993"/>
    <n v="7367986241"/>
    <n v="4378645081"/>
    <x v="1"/>
    <n v="1"/>
    <x v="2"/>
  </r>
  <r>
    <x v="1260"/>
    <x v="835"/>
    <x v="26"/>
    <s v="Zambia"/>
    <s v="Madagascar"/>
    <n v="3"/>
    <n v="1"/>
    <s v="FIFA World Cup qualification"/>
    <s v="Lusaka"/>
    <s v="Zambia"/>
    <b v="0"/>
    <n v="1993"/>
    <n v="3273505343"/>
    <n v="4063298919"/>
    <x v="1"/>
    <n v="-1"/>
    <x v="0"/>
  </r>
  <r>
    <x v="1261"/>
    <x v="836"/>
    <x v="26"/>
    <s v="Benin"/>
    <s v="Ethiopia"/>
    <n v="1"/>
    <n v="0"/>
    <s v="FIFA World Cup qualification"/>
    <s v="Cotonou"/>
    <s v="Benin"/>
    <b v="0"/>
    <n v="1993"/>
    <n v="2274558082"/>
    <n v="9051043870"/>
    <x v="0"/>
    <n v="-1"/>
    <x v="0"/>
  </r>
  <r>
    <x v="1262"/>
    <x v="836"/>
    <x v="26"/>
    <s v="Morocco"/>
    <s v="Tunisia"/>
    <n v="0"/>
    <n v="0"/>
    <s v="FIFA World Cup qualification"/>
    <s v="Casablanca"/>
    <s v="Morocco"/>
    <b v="0"/>
    <n v="1993"/>
    <n v="31655473663"/>
    <n v="14608335608"/>
    <x v="0"/>
    <n v="0"/>
    <x v="1"/>
  </r>
  <r>
    <x v="1263"/>
    <x v="836"/>
    <x v="26"/>
    <s v="Niger"/>
    <s v="Botswana"/>
    <n v="2"/>
    <n v="1"/>
    <s v="FIFA World Cup qualification"/>
    <s v="Niamey"/>
    <s v="Niger"/>
    <b v="0"/>
    <n v="1993"/>
    <n v="3052673849"/>
    <n v="4160129174"/>
    <x v="1"/>
    <n v="-1"/>
    <x v="0"/>
  </r>
  <r>
    <x v="1264"/>
    <x v="836"/>
    <x v="26"/>
    <s v="Togo"/>
    <s v="Angola"/>
    <n v="0"/>
    <n v="1"/>
    <s v="FIFA World Cup qualification"/>
    <s v="Lom√©"/>
    <s v="Togo"/>
    <b v="0"/>
    <n v="1993"/>
    <n v="1741944426"/>
    <n v="5768720421"/>
    <x v="0"/>
    <n v="1"/>
    <x v="2"/>
  </r>
  <r>
    <x v="1265"/>
    <x v="837"/>
    <x v="26"/>
    <s v="Italy"/>
    <s v="Malta"/>
    <n v="6"/>
    <n v="1"/>
    <s v="FIFA World Cup qualification"/>
    <s v="Palermo"/>
    <s v="Italy"/>
    <b v="0"/>
    <n v="1993"/>
    <n v="1067412587670"/>
    <n v="2709193538"/>
    <x v="0"/>
    <n v="1"/>
    <x v="2"/>
  </r>
  <r>
    <x v="1266"/>
    <x v="838"/>
    <x v="26"/>
    <s v="Austria"/>
    <s v="France"/>
    <n v="0"/>
    <n v="1"/>
    <s v="FIFA World Cup qualification"/>
    <s v="Vienna"/>
    <s v="Austria"/>
    <b v="0"/>
    <n v="1993"/>
    <n v="189634029338"/>
    <n v="1314383368079"/>
    <x v="0"/>
    <n v="1"/>
    <x v="2"/>
  </r>
  <r>
    <x v="1267"/>
    <x v="839"/>
    <x v="26"/>
    <s v="Denmark"/>
    <s v="Spain"/>
    <n v="1"/>
    <n v="0"/>
    <s v="FIFA World Cup qualification"/>
    <s v="Copenhagen"/>
    <s v="Denmark"/>
    <b v="0"/>
    <n v="1993"/>
    <n v="143111306004"/>
    <n v="524700572623"/>
    <x v="0"/>
    <n v="-1"/>
    <x v="0"/>
  </r>
  <r>
    <x v="1268"/>
    <x v="839"/>
    <x v="26"/>
    <s v="Hungary"/>
    <s v="Greece"/>
    <n v="0"/>
    <n v="1"/>
    <s v="FIFA World Cup qualification"/>
    <s v="Budapest"/>
    <s v="Hungary"/>
    <b v="0"/>
    <n v="1993"/>
    <n v="40256233360"/>
    <n v="107295704518"/>
    <x v="0"/>
    <n v="1"/>
    <x v="2"/>
  </r>
  <r>
    <x v="1269"/>
    <x v="839"/>
    <x v="26"/>
    <s v="Switzerland"/>
    <s v="Portugal"/>
    <n v="1"/>
    <n v="1"/>
    <s v="FIFA World Cup qualification"/>
    <s v="Bern"/>
    <s v="Switzerland"/>
    <b v="0"/>
    <n v="1993"/>
    <n v="272237527070"/>
    <n v="95009751901"/>
    <x v="0"/>
    <n v="0"/>
    <x v="1"/>
  </r>
  <r>
    <x v="1270"/>
    <x v="840"/>
    <x v="26"/>
    <s v="El Salvador"/>
    <s v="Mexico"/>
    <n v="2"/>
    <n v="1"/>
    <s v="FIFA World Cup qualification"/>
    <s v="San Salvador"/>
    <s v="El Salvador"/>
    <b v="0"/>
    <n v="1993"/>
    <n v="6680269200"/>
    <n v="530160763662"/>
    <x v="0"/>
    <n v="-1"/>
    <x v="0"/>
  </r>
  <r>
    <x v="1271"/>
    <x v="840"/>
    <x v="26"/>
    <s v="Honduras"/>
    <s v="Canada"/>
    <n v="2"/>
    <n v="2"/>
    <s v="FIFA World Cup qualification"/>
    <s v="Tegucigalpa"/>
    <s v="Honduras"/>
    <b v="0"/>
    <n v="1993"/>
    <n v="4190773622"/>
    <n v="579053561739"/>
    <x v="0"/>
    <n v="0"/>
    <x v="1"/>
  </r>
  <r>
    <x v="1272"/>
    <x v="841"/>
    <x v="26"/>
    <s v="Japan"/>
    <s v="Thailand"/>
    <n v="1"/>
    <n v="0"/>
    <s v="FIFA World Cup qualification"/>
    <s v="Kobe"/>
    <s v="Japan"/>
    <b v="0"/>
    <n v="1993"/>
    <n v="4536940479038"/>
    <n v="128889262951"/>
    <x v="0"/>
    <n v="1"/>
    <x v="2"/>
  </r>
  <r>
    <x v="1273"/>
    <x v="841"/>
    <x v="26"/>
    <s v="Sri Lanka"/>
    <s v="United Arab Emirates"/>
    <n v="0"/>
    <n v="4"/>
    <s v="FIFA World Cup qualification"/>
    <s v="Kyoto"/>
    <s v="Japan"/>
    <b v="1"/>
    <n v="1993"/>
    <n v="10338679635"/>
    <n v="55625170253"/>
    <x v="0"/>
    <n v="1"/>
    <x v="2"/>
  </r>
  <r>
    <x v="1274"/>
    <x v="842"/>
    <x v="26"/>
    <s v="Qatar"/>
    <s v="Indonesia"/>
    <n v="3"/>
    <n v="1"/>
    <s v="FIFA World Cup qualification"/>
    <s v="Doha"/>
    <s v="Qatar"/>
    <b v="0"/>
    <n v="1993"/>
    <n v="7156593653"/>
    <n v="158006700301"/>
    <x v="0"/>
    <n v="-1"/>
    <x v="0"/>
  </r>
  <r>
    <x v="1275"/>
    <x v="843"/>
    <x v="26"/>
    <s v="Canada"/>
    <s v="El Salvador"/>
    <n v="2"/>
    <n v="0"/>
    <s v="FIFA World Cup qualification"/>
    <s v="Burnaby"/>
    <s v="Canada"/>
    <b v="0"/>
    <n v="1993"/>
    <n v="579053561739"/>
    <n v="6680269200"/>
    <x v="0"/>
    <n v="1"/>
    <x v="2"/>
  </r>
  <r>
    <x v="1276"/>
    <x v="843"/>
    <x v="26"/>
    <s v="Japan"/>
    <s v="Bangladesh"/>
    <n v="8"/>
    <n v="0"/>
    <s v="FIFA World Cup qualification"/>
    <s v="Tokyo"/>
    <s v="Japan"/>
    <b v="0"/>
    <n v="1993"/>
    <n v="4536940479038"/>
    <n v="33166519417"/>
    <x v="0"/>
    <n v="1"/>
    <x v="2"/>
  </r>
  <r>
    <x v="1277"/>
    <x v="843"/>
    <x v="26"/>
    <s v="Mexico"/>
    <s v="Honduras"/>
    <n v="3"/>
    <n v="0"/>
    <s v="FIFA World Cup qualification"/>
    <s v="Mexico City"/>
    <s v="Mexico"/>
    <b v="0"/>
    <n v="1993"/>
    <n v="530160763662"/>
    <n v="4190773622"/>
    <x v="0"/>
    <n v="1"/>
    <x v="2"/>
  </r>
  <r>
    <x v="1278"/>
    <x v="843"/>
    <x v="26"/>
    <s v="Qatar"/>
    <s v="Vietnam"/>
    <n v="4"/>
    <n v="0"/>
    <s v="FIFA World Cup qualification"/>
    <s v="Doha"/>
    <s v="Qatar"/>
    <b v="0"/>
    <n v="1993"/>
    <n v="7156593653"/>
    <n v="13180953598"/>
    <x v="1"/>
    <n v="-1"/>
    <x v="0"/>
  </r>
  <r>
    <x v="1279"/>
    <x v="843"/>
    <x v="26"/>
    <s v="Thailand"/>
    <s v="Sri Lanka"/>
    <n v="1"/>
    <n v="0"/>
    <s v="FIFA World Cup qualification"/>
    <s v="Kobe"/>
    <s v="Japan"/>
    <b v="1"/>
    <n v="1993"/>
    <n v="128889262951"/>
    <n v="10338679635"/>
    <x v="0"/>
    <n v="1"/>
    <x v="2"/>
  </r>
  <r>
    <x v="1280"/>
    <x v="844"/>
    <x v="26"/>
    <s v="Sri Lanka"/>
    <s v="Bangladesh"/>
    <n v="0"/>
    <n v="1"/>
    <s v="FIFA World Cup qualification"/>
    <s v="Yokohama"/>
    <s v="Japan"/>
    <b v="1"/>
    <n v="1993"/>
    <n v="10338679635"/>
    <n v="33166519417"/>
    <x v="0"/>
    <n v="1"/>
    <x v="2"/>
  </r>
  <r>
    <x v="1281"/>
    <x v="844"/>
    <x v="26"/>
    <s v="United Arab Emirates"/>
    <s v="Thailand"/>
    <n v="1"/>
    <n v="0"/>
    <s v="FIFA World Cup qualification"/>
    <s v="Tokyo"/>
    <s v="Japan"/>
    <b v="1"/>
    <n v="1993"/>
    <n v="55625170253"/>
    <n v="128889262951"/>
    <x v="0"/>
    <n v="-1"/>
    <x v="0"/>
  </r>
  <r>
    <x v="1282"/>
    <x v="844"/>
    <x v="26"/>
    <s v="Vietnam"/>
    <s v="Singapore"/>
    <n v="2"/>
    <n v="3"/>
    <s v="FIFA World Cup qualification"/>
    <s v="Doha"/>
    <s v="Qatar"/>
    <b v="1"/>
    <n v="1993"/>
    <n v="13180953598"/>
    <n v="60603815716"/>
    <x v="0"/>
    <n v="1"/>
    <x v="2"/>
  </r>
  <r>
    <x v="1283"/>
    <x v="845"/>
    <x v="26"/>
    <s v="Austria"/>
    <s v="Bulgaria"/>
    <n v="3"/>
    <n v="1"/>
    <s v="FIFA World Cup qualification"/>
    <s v="Vienna"/>
    <s v="Austria"/>
    <b v="0"/>
    <n v="1993"/>
    <n v="189634029338"/>
    <n v="10832064941"/>
    <x v="0"/>
    <n v="1"/>
    <x v="2"/>
  </r>
  <r>
    <x v="1284"/>
    <x v="845"/>
    <x v="26"/>
    <s v="Italy"/>
    <s v="Estonia"/>
    <n v="2"/>
    <n v="0"/>
    <s v="FIFA World Cup qualification"/>
    <s v="Trieste"/>
    <s v="Italy"/>
    <b v="0"/>
    <n v="1993"/>
    <n v="1067412587670"/>
    <n v="4013091682"/>
    <x v="0"/>
    <n v="1"/>
    <x v="2"/>
  </r>
  <r>
    <x v="1285"/>
    <x v="845"/>
    <x v="26"/>
    <s v="Luxembourg"/>
    <s v="Russia"/>
    <n v="0"/>
    <n v="4"/>
    <s v="FIFA World Cup qualification"/>
    <s v="Luxembourg"/>
    <s v="Luxembourg"/>
    <b v="0"/>
    <n v="1993"/>
    <n v="15925521222"/>
    <n v="435083713850"/>
    <x v="0"/>
    <n v="1"/>
    <x v="2"/>
  </r>
  <r>
    <x v="1286"/>
    <x v="845"/>
    <x v="26"/>
    <s v="Romania"/>
    <s v="Cyprus"/>
    <n v="2"/>
    <n v="1"/>
    <s v="FIFA World Cup qualification"/>
    <s v="Bucharest"/>
    <s v="Romania"/>
    <b v="0"/>
    <n v="1993"/>
    <n v="26361160449"/>
    <n v="6590291048"/>
    <x v="0"/>
    <n v="1"/>
    <x v="2"/>
  </r>
  <r>
    <x v="1287"/>
    <x v="846"/>
    <x v="26"/>
    <s v="Egypt"/>
    <s v="Zimbabwe"/>
    <n v="0"/>
    <n v="0"/>
    <s v="FIFA World Cup qualification"/>
    <s v="Lyon"/>
    <s v="France"/>
    <b v="1"/>
    <n v="1993"/>
    <n v="46578631452"/>
    <n v="6567250000"/>
    <x v="0"/>
    <n v="0"/>
    <x v="1"/>
  </r>
  <r>
    <x v="1288"/>
    <x v="846"/>
    <x v="26"/>
    <s v="Japan"/>
    <s v="Sri Lanka"/>
    <n v="5"/>
    <n v="0"/>
    <s v="FIFA World Cup qualification"/>
    <s v="Tokyo"/>
    <s v="Japan"/>
    <b v="0"/>
    <n v="1993"/>
    <n v="4536940479038"/>
    <n v="10338679635"/>
    <x v="0"/>
    <n v="1"/>
    <x v="2"/>
  </r>
  <r>
    <x v="1289"/>
    <x v="846"/>
    <x v="26"/>
    <s v="United Arab Emirates"/>
    <s v="Bangladesh"/>
    <n v="1"/>
    <n v="0"/>
    <s v="FIFA World Cup qualification"/>
    <s v="Yokohama"/>
    <s v="Japan"/>
    <b v="1"/>
    <n v="1993"/>
    <n v="55625170253"/>
    <n v="33166519417"/>
    <x v="1"/>
    <n v="1"/>
    <x v="2"/>
  </r>
  <r>
    <x v="1290"/>
    <x v="847"/>
    <x v="26"/>
    <s v="Qatar"/>
    <s v="Singapore"/>
    <n v="4"/>
    <n v="1"/>
    <s v="FIFA World Cup qualification"/>
    <s v="Doha"/>
    <s v="Qatar"/>
    <b v="0"/>
    <n v="1993"/>
    <n v="7156593653"/>
    <n v="60603815716"/>
    <x v="0"/>
    <n v="-1"/>
    <x v="0"/>
  </r>
  <r>
    <x v="1291"/>
    <x v="847"/>
    <x v="26"/>
    <s v="Vietnam"/>
    <s v="Indonesia"/>
    <n v="1"/>
    <n v="0"/>
    <s v="FIFA World Cup qualification"/>
    <s v="Doha"/>
    <s v="Qatar"/>
    <b v="1"/>
    <n v="1993"/>
    <n v="13180953598"/>
    <n v="158006700301"/>
    <x v="0"/>
    <n v="-1"/>
    <x v="0"/>
  </r>
  <r>
    <x v="1292"/>
    <x v="848"/>
    <x v="26"/>
    <s v="Malta"/>
    <s v="Switzerland"/>
    <n v="0"/>
    <n v="2"/>
    <s v="FIFA World Cup qualification"/>
    <s v="Attard"/>
    <s v="Malta"/>
    <b v="0"/>
    <n v="1993"/>
    <n v="2709193538"/>
    <n v="272237527070"/>
    <x v="0"/>
    <n v="1"/>
    <x v="2"/>
  </r>
  <r>
    <x v="1293"/>
    <x v="849"/>
    <x v="26"/>
    <s v="Cameroon"/>
    <s v="Guinea"/>
    <n v="3"/>
    <n v="1"/>
    <s v="FIFA World Cup qualification"/>
    <s v="Yaound√©"/>
    <s v="Cameroon"/>
    <b v="0"/>
    <n v="1993"/>
    <n v="16181814712"/>
    <n v="4781166116"/>
    <x v="0"/>
    <n v="1"/>
    <x v="2"/>
  </r>
  <r>
    <x v="1294"/>
    <x v="849"/>
    <x v="26"/>
    <s v="Canada"/>
    <s v="Honduras"/>
    <n v="3"/>
    <n v="1"/>
    <s v="FIFA World Cup qualification"/>
    <s v="Burnaby"/>
    <s v="Canada"/>
    <b v="0"/>
    <n v="1993"/>
    <n v="579053561739"/>
    <n v="4190773622"/>
    <x v="0"/>
    <n v="1"/>
    <x v="2"/>
  </r>
  <r>
    <x v="1295"/>
    <x v="849"/>
    <x v="26"/>
    <s v="Indonesia"/>
    <s v="Singapore"/>
    <n v="0"/>
    <n v="2"/>
    <s v="FIFA World Cup qualification"/>
    <s v="Doha"/>
    <s v="Qatar"/>
    <b v="1"/>
    <n v="1993"/>
    <n v="158006700301"/>
    <n v="60603815716"/>
    <x v="0"/>
    <n v="-1"/>
    <x v="0"/>
  </r>
  <r>
    <x v="1296"/>
    <x v="849"/>
    <x v="26"/>
    <s v="Japan"/>
    <s v="United Arab Emirates"/>
    <n v="2"/>
    <n v="0"/>
    <s v="FIFA World Cup qualification"/>
    <s v="Tokyo"/>
    <s v="Japan"/>
    <b v="0"/>
    <n v="1993"/>
    <n v="4536940479038"/>
    <n v="55625170253"/>
    <x v="0"/>
    <n v="1"/>
    <x v="2"/>
  </r>
  <r>
    <x v="1297"/>
    <x v="849"/>
    <x v="26"/>
    <s v="Mexico"/>
    <s v="El Salvador"/>
    <n v="3"/>
    <n v="1"/>
    <s v="FIFA World Cup qualification"/>
    <s v="Mexico City"/>
    <s v="Mexico"/>
    <b v="0"/>
    <n v="1993"/>
    <n v="530160763662"/>
    <n v="6680269200"/>
    <x v="0"/>
    <n v="1"/>
    <x v="2"/>
  </r>
  <r>
    <x v="1298"/>
    <x v="849"/>
    <x v="26"/>
    <s v="Morocco"/>
    <s v="Senegal"/>
    <n v="1"/>
    <n v="0"/>
    <s v="FIFA World Cup qualification"/>
    <s v="Casablanca"/>
    <s v="Morocco"/>
    <b v="0"/>
    <n v="1993"/>
    <n v="31655473663"/>
    <n v="7367986241"/>
    <x v="0"/>
    <n v="1"/>
    <x v="2"/>
  </r>
  <r>
    <x v="1299"/>
    <x v="849"/>
    <x v="26"/>
    <s v="Thailand"/>
    <s v="Bangladesh"/>
    <n v="4"/>
    <n v="1"/>
    <s v="FIFA World Cup qualification"/>
    <s v="Tokyo"/>
    <s v="Japan"/>
    <b v="1"/>
    <n v="1993"/>
    <n v="128889262951"/>
    <n v="33166519417"/>
    <x v="0"/>
    <n v="1"/>
    <x v="2"/>
  </r>
  <r>
    <x v="1300"/>
    <x v="850"/>
    <x v="26"/>
    <s v="Indonesia"/>
    <s v="Qatar"/>
    <n v="1"/>
    <n v="4"/>
    <s v="FIFA World Cup qualification"/>
    <s v="Singapore"/>
    <s v="Singapore"/>
    <b v="1"/>
    <n v="1993"/>
    <n v="158006700301"/>
    <n v="7156593653"/>
    <x v="0"/>
    <n v="-1"/>
    <x v="0"/>
  </r>
  <r>
    <x v="1301"/>
    <x v="851"/>
    <x v="26"/>
    <s v="Cyprus"/>
    <s v="Faroe Islands"/>
    <n v="3"/>
    <n v="1"/>
    <s v="FIFA World Cup qualification"/>
    <s v="Limassol"/>
    <s v="Cyprus"/>
    <b v="0"/>
    <n v="1993"/>
    <n v="6590291048"/>
    <n v="760957189"/>
    <x v="0"/>
    <n v="1"/>
    <x v="2"/>
  </r>
  <r>
    <x v="1302"/>
    <x v="851"/>
    <x v="26"/>
    <s v="Honduras"/>
    <s v="El Salvador"/>
    <n v="2"/>
    <n v="0"/>
    <s v="FIFA World Cup qualification"/>
    <s v="Tegucigalpa"/>
    <s v="Honduras"/>
    <b v="0"/>
    <n v="1993"/>
    <n v="4190773622"/>
    <n v="6680269200"/>
    <x v="1"/>
    <n v="-1"/>
    <x v="0"/>
  </r>
  <r>
    <x v="1303"/>
    <x v="851"/>
    <x v="26"/>
    <s v="Mexico"/>
    <s v="Canada"/>
    <n v="4"/>
    <n v="0"/>
    <s v="FIFA World Cup qualification"/>
    <s v="Mexico City"/>
    <s v="Mexico"/>
    <b v="0"/>
    <n v="1993"/>
    <n v="530160763662"/>
    <n v="579053561739"/>
    <x v="1"/>
    <n v="-1"/>
    <x v="0"/>
  </r>
  <r>
    <x v="1304"/>
    <x v="852"/>
    <x v="26"/>
    <s v="Vietnam"/>
    <s v="Qatar"/>
    <n v="0"/>
    <n v="4"/>
    <s v="FIFA World Cup qualification"/>
    <s v="Singapore"/>
    <s v="Singapore"/>
    <b v="1"/>
    <n v="1993"/>
    <n v="13180953598"/>
    <n v="7156593653"/>
    <x v="1"/>
    <n v="-1"/>
    <x v="0"/>
  </r>
  <r>
    <x v="1305"/>
    <x v="853"/>
    <x v="26"/>
    <s v="Bulgaria"/>
    <s v="Finland"/>
    <n v="2"/>
    <n v="0"/>
    <s v="FIFA World Cup qualification"/>
    <s v="Sofia"/>
    <s v="Bulgaria"/>
    <b v="0"/>
    <n v="1993"/>
    <n v="10832064941"/>
    <n v="89112105756"/>
    <x v="0"/>
    <n v="-1"/>
    <x v="0"/>
  </r>
  <r>
    <x v="1306"/>
    <x v="853"/>
    <x v="26"/>
    <s v="England"/>
    <s v="Netherlands"/>
    <n v="2"/>
    <n v="2"/>
    <s v="FIFA World Cup qualification"/>
    <s v="London"/>
    <s v="England"/>
    <b v="0"/>
    <n v="1993"/>
    <n v="1061388722255"/>
    <n v="354070495965"/>
    <x v="0"/>
    <n v="0"/>
    <x v="1"/>
  </r>
  <r>
    <x v="1307"/>
    <x v="853"/>
    <x v="26"/>
    <s v="France"/>
    <s v="Sweden"/>
    <n v="2"/>
    <n v="1"/>
    <s v="FIFA World Cup qualification"/>
    <s v="Paris"/>
    <s v="France"/>
    <b v="0"/>
    <n v="1993"/>
    <n v="1314383368079"/>
    <n v="212644602615"/>
    <x v="0"/>
    <n v="1"/>
    <x v="2"/>
  </r>
  <r>
    <x v="1308"/>
    <x v="853"/>
    <x v="26"/>
    <s v="Russia"/>
    <s v="Hungary"/>
    <n v="3"/>
    <n v="0"/>
    <s v="FIFA World Cup qualification"/>
    <s v="Moscow"/>
    <s v="Russia"/>
    <b v="0"/>
    <n v="1993"/>
    <n v="435083713850"/>
    <n v="40256233360"/>
    <x v="0"/>
    <n v="1"/>
    <x v="2"/>
  </r>
  <r>
    <x v="1309"/>
    <x v="853"/>
    <x v="26"/>
    <s v="Singapore"/>
    <s v="Vietnam"/>
    <n v="1"/>
    <n v="0"/>
    <s v="FIFA World Cup qualification"/>
    <s v="Singapore"/>
    <s v="Singapore"/>
    <b v="0"/>
    <n v="1993"/>
    <n v="60603815716"/>
    <n v="13180953598"/>
    <x v="0"/>
    <n v="1"/>
    <x v="2"/>
  </r>
  <r>
    <x v="1310"/>
    <x v="853"/>
    <x v="26"/>
    <s v="Thailand"/>
    <s v="Japan"/>
    <n v="0"/>
    <n v="1"/>
    <s v="FIFA World Cup qualification"/>
    <s v="Dubai"/>
    <s v="United Arab Emirates"/>
    <b v="1"/>
    <n v="1993"/>
    <n v="128889262951"/>
    <n v="4536940479038"/>
    <x v="0"/>
    <n v="1"/>
    <x v="2"/>
  </r>
  <r>
    <x v="1311"/>
    <x v="853"/>
    <x v="26"/>
    <s v="United Arab Emirates"/>
    <s v="Sri Lanka"/>
    <n v="3"/>
    <n v="0"/>
    <s v="FIFA World Cup qualification"/>
    <s v="Al Ain"/>
    <s v="United Arab Emirates"/>
    <b v="0"/>
    <n v="1993"/>
    <n v="55625170253"/>
    <n v="10338679635"/>
    <x v="0"/>
    <n v="1"/>
    <x v="2"/>
  </r>
  <r>
    <x v="1312"/>
    <x v="854"/>
    <x v="26"/>
    <s v="Bangladesh"/>
    <s v="Japan"/>
    <n v="1"/>
    <n v="4"/>
    <s v="FIFA World Cup qualification"/>
    <s v="Dubai"/>
    <s v="United Arab Emirates"/>
    <b v="1"/>
    <n v="1993"/>
    <n v="33166519417"/>
    <n v="4536940479038"/>
    <x v="0"/>
    <n v="1"/>
    <x v="2"/>
  </r>
  <r>
    <x v="1313"/>
    <x v="854"/>
    <x v="26"/>
    <s v="Indonesia"/>
    <s v="Vietnam"/>
    <n v="2"/>
    <n v="1"/>
    <s v="FIFA World Cup qualification"/>
    <s v="Singapore"/>
    <s v="Singapore"/>
    <b v="1"/>
    <n v="1993"/>
    <n v="158006700301"/>
    <n v="13180953598"/>
    <x v="0"/>
    <n v="1"/>
    <x v="2"/>
  </r>
  <r>
    <x v="1314"/>
    <x v="854"/>
    <x v="26"/>
    <s v="Singapore"/>
    <s v="Qatar"/>
    <n v="1"/>
    <n v="0"/>
    <s v="FIFA World Cup qualification"/>
    <s v="Singapore"/>
    <s v="Singapore"/>
    <b v="0"/>
    <n v="1993"/>
    <n v="60603815716"/>
    <n v="7156593653"/>
    <x v="0"/>
    <n v="1"/>
    <x v="2"/>
  </r>
  <r>
    <x v="1315"/>
    <x v="854"/>
    <x v="26"/>
    <s v="United Arab Emirates"/>
    <s v="Thailand"/>
    <n v="2"/>
    <n v="1"/>
    <s v="FIFA World Cup qualification"/>
    <s v="Al Ain"/>
    <s v="United Arab Emirates"/>
    <b v="0"/>
    <n v="1993"/>
    <n v="55625170253"/>
    <n v="128889262951"/>
    <x v="0"/>
    <n v="-1"/>
    <x v="0"/>
  </r>
  <r>
    <x v="1316"/>
    <x v="855"/>
    <x v="26"/>
    <s v="Malaysia"/>
    <s v="Kuwait"/>
    <n v="1"/>
    <n v="1"/>
    <s v="FIFA World Cup qualification"/>
    <s v="Kuala Lumpur"/>
    <s v="Malaysia"/>
    <b v="0"/>
    <n v="1993"/>
    <n v="66894966968"/>
    <n v="23941391390"/>
    <x v="0"/>
    <n v="0"/>
    <x v="1"/>
  </r>
  <r>
    <x v="1317"/>
    <x v="855"/>
    <x v="26"/>
    <s v="Switzerland"/>
    <s v="Italy"/>
    <n v="1"/>
    <n v="0"/>
    <s v="FIFA World Cup qualification"/>
    <s v="Bern"/>
    <s v="Switzerland"/>
    <b v="0"/>
    <n v="1993"/>
    <n v="272237527070"/>
    <n v="1067412587670"/>
    <x v="0"/>
    <n v="-1"/>
    <x v="0"/>
  </r>
  <r>
    <x v="1318"/>
    <x v="856"/>
    <x v="26"/>
    <s v="El Salvador"/>
    <s v="Canada"/>
    <n v="1"/>
    <n v="2"/>
    <s v="FIFA World Cup qualification"/>
    <s v="San Salvador"/>
    <s v="El Salvador"/>
    <b v="0"/>
    <n v="1993"/>
    <n v="6680269200"/>
    <n v="579053561739"/>
    <x v="0"/>
    <n v="1"/>
    <x v="2"/>
  </r>
  <r>
    <x v="1319"/>
    <x v="856"/>
    <x v="26"/>
    <s v="Guinea"/>
    <s v="Zimbabwe"/>
    <n v="3"/>
    <n v="0"/>
    <s v="FIFA World Cup qualification"/>
    <s v="Conakry"/>
    <s v="Guinea"/>
    <b v="0"/>
    <n v="1993"/>
    <n v="4781166116"/>
    <n v="6567250000"/>
    <x v="1"/>
    <n v="-1"/>
    <x v="0"/>
  </r>
  <r>
    <x v="1320"/>
    <x v="856"/>
    <x v="26"/>
    <s v="Honduras"/>
    <s v="Mexico"/>
    <n v="1"/>
    <n v="4"/>
    <s v="FIFA World Cup qualification"/>
    <s v="Tegucigalpa"/>
    <s v="Honduras"/>
    <b v="0"/>
    <n v="1993"/>
    <n v="4190773622"/>
    <n v="530160763662"/>
    <x v="0"/>
    <n v="1"/>
    <x v="2"/>
  </r>
  <r>
    <x v="1321"/>
    <x v="856"/>
    <x v="26"/>
    <s v="Singapore"/>
    <s v="Indonesia"/>
    <n v="2"/>
    <n v="1"/>
    <s v="FIFA World Cup qualification"/>
    <s v="Singapore"/>
    <s v="Singapore"/>
    <b v="0"/>
    <n v="1993"/>
    <n v="60603815716"/>
    <n v="158006700301"/>
    <x v="0"/>
    <n v="-1"/>
    <x v="0"/>
  </r>
  <r>
    <x v="1322"/>
    <x v="857"/>
    <x v="26"/>
    <s v="Malaysia"/>
    <s v="Saudi Arabia"/>
    <n v="1"/>
    <n v="1"/>
    <s v="FIFA World Cup qualification"/>
    <s v="Kuala Lumpur"/>
    <s v="Malaysia"/>
    <b v="0"/>
    <n v="1993"/>
    <n v="66894966968"/>
    <n v="132967957276"/>
    <x v="1"/>
    <n v="0"/>
    <x v="1"/>
  </r>
  <r>
    <x v="1323"/>
    <x v="857"/>
    <x v="26"/>
    <s v="Sri Lanka"/>
    <s v="Thailand"/>
    <n v="0"/>
    <n v="3"/>
    <s v="FIFA World Cup qualification"/>
    <s v="Dubai"/>
    <s v="United Arab Emirates"/>
    <b v="1"/>
    <n v="1993"/>
    <n v="10338679635"/>
    <n v="128889262951"/>
    <x v="0"/>
    <n v="1"/>
    <x v="2"/>
  </r>
  <r>
    <x v="1324"/>
    <x v="857"/>
    <x v="26"/>
    <s v="United Arab Emirates"/>
    <s v="Bangladesh"/>
    <n v="7"/>
    <n v="0"/>
    <s v="FIFA World Cup qualification"/>
    <s v="Al Ain"/>
    <s v="United Arab Emirates"/>
    <b v="0"/>
    <n v="1993"/>
    <n v="55625170253"/>
    <n v="33166519417"/>
    <x v="1"/>
    <n v="1"/>
    <x v="2"/>
  </r>
  <r>
    <x v="1325"/>
    <x v="858"/>
    <x v="26"/>
    <s v="Bangladesh"/>
    <s v="Thailand"/>
    <n v="1"/>
    <n v="4"/>
    <s v="FIFA World Cup qualification"/>
    <s v="Dubai"/>
    <s v="United Arab Emirates"/>
    <b v="1"/>
    <n v="1993"/>
    <n v="33166519417"/>
    <n v="128889262951"/>
    <x v="0"/>
    <n v="1"/>
    <x v="2"/>
  </r>
  <r>
    <x v="1326"/>
    <x v="858"/>
    <x v="26"/>
    <s v="Kuwait"/>
    <s v="Saudi Arabia"/>
    <n v="0"/>
    <n v="0"/>
    <s v="FIFA World Cup qualification"/>
    <s v="Kuala Lumpur"/>
    <s v="Malaysia"/>
    <b v="1"/>
    <n v="1993"/>
    <n v="23941391390"/>
    <n v="132967957276"/>
    <x v="0"/>
    <n v="0"/>
    <x v="1"/>
  </r>
  <r>
    <x v="1327"/>
    <x v="858"/>
    <x v="26"/>
    <s v="Sri Lanka"/>
    <s v="Japan"/>
    <n v="0"/>
    <n v="6"/>
    <s v="FIFA World Cup qualification"/>
    <s v="Dubai"/>
    <s v="United Arab Emirates"/>
    <b v="1"/>
    <n v="1993"/>
    <n v="10338679635"/>
    <n v="4536940479038"/>
    <x v="0"/>
    <n v="1"/>
    <x v="2"/>
  </r>
  <r>
    <x v="1328"/>
    <x v="859"/>
    <x v="26"/>
    <s v="Bangladesh"/>
    <s v="Sri Lanka"/>
    <n v="3"/>
    <n v="0"/>
    <s v="FIFA World Cup qualification"/>
    <s v="Dubai"/>
    <s v="United Arab Emirates"/>
    <b v="1"/>
    <n v="1993"/>
    <n v="33166519417"/>
    <n v="10338679635"/>
    <x v="0"/>
    <n v="1"/>
    <x v="2"/>
  </r>
  <r>
    <x v="1329"/>
    <x v="859"/>
    <x v="26"/>
    <s v="Lebanon"/>
    <s v="India"/>
    <n v="2"/>
    <n v="2"/>
    <s v="FIFA World Cup qualification"/>
    <s v="Beirut"/>
    <s v="Lebanon"/>
    <b v="0"/>
    <n v="1993"/>
    <n v="7941744492"/>
    <n v="279295648982"/>
    <x v="0"/>
    <n v="0"/>
    <x v="1"/>
  </r>
  <r>
    <x v="1330"/>
    <x v="859"/>
    <x v="26"/>
    <s v="United Arab Emirates"/>
    <s v="Japan"/>
    <n v="1"/>
    <n v="1"/>
    <s v="FIFA World Cup qualification"/>
    <s v="Al Ain"/>
    <s v="United Arab Emirates"/>
    <b v="0"/>
    <n v="1993"/>
    <n v="55625170253"/>
    <n v="4536940479038"/>
    <x v="0"/>
    <n v="0"/>
    <x v="1"/>
  </r>
  <r>
    <x v="1331"/>
    <x v="860"/>
    <x v="26"/>
    <s v="Bahrain"/>
    <s v="South Korea"/>
    <n v="0"/>
    <n v="0"/>
    <s v="FIFA World Cup qualification"/>
    <s v="Beirut"/>
    <s v="Lebanon"/>
    <b v="1"/>
    <n v="1993"/>
    <n v="5913001063"/>
    <n v="405705302846"/>
    <x v="0"/>
    <n v="0"/>
    <x v="1"/>
  </r>
  <r>
    <x v="1332"/>
    <x v="860"/>
    <x v="26"/>
    <s v="Canada"/>
    <s v="Mexico"/>
    <n v="1"/>
    <n v="2"/>
    <s v="FIFA World Cup qualification"/>
    <s v="Toronto"/>
    <s v="Canada"/>
    <b v="0"/>
    <n v="1993"/>
    <n v="579053561739"/>
    <n v="530160763662"/>
    <x v="1"/>
    <n v="-1"/>
    <x v="0"/>
  </r>
  <r>
    <x v="1333"/>
    <x v="860"/>
    <x v="26"/>
    <s v="El Salvador"/>
    <s v="Honduras"/>
    <n v="2"/>
    <n v="1"/>
    <s v="FIFA World Cup qualification"/>
    <s v="San Salvador"/>
    <s v="El Salvador"/>
    <b v="0"/>
    <n v="1993"/>
    <n v="6680269200"/>
    <n v="4190773622"/>
    <x v="1"/>
    <n v="1"/>
    <x v="2"/>
  </r>
  <r>
    <x v="1334"/>
    <x v="861"/>
    <x v="26"/>
    <s v="Lebanon"/>
    <s v="South Korea"/>
    <n v="0"/>
    <n v="1"/>
    <s v="FIFA World Cup qualification"/>
    <s v="Beirut"/>
    <s v="Lebanon"/>
    <b v="0"/>
    <n v="1993"/>
    <n v="7941744492"/>
    <n v="405705302846"/>
    <x v="0"/>
    <n v="1"/>
    <x v="2"/>
  </r>
  <r>
    <x v="1335"/>
    <x v="862"/>
    <x v="26"/>
    <s v="Bulgaria"/>
    <s v="Israel"/>
    <n v="2"/>
    <n v="2"/>
    <s v="FIFA World Cup qualification"/>
    <s v="Sofia"/>
    <s v="Bulgaria"/>
    <b v="0"/>
    <n v="1993"/>
    <n v="10832064941"/>
    <n v="79855877174"/>
    <x v="0"/>
    <n v="0"/>
    <x v="1"/>
  </r>
  <r>
    <x v="1336"/>
    <x v="862"/>
    <x v="26"/>
    <s v="Estonia"/>
    <s v="Malta"/>
    <n v="0"/>
    <n v="1"/>
    <s v="FIFA World Cup qualification"/>
    <s v="Tallinn"/>
    <s v="Estonia"/>
    <b v="0"/>
    <n v="1993"/>
    <n v="4013091682"/>
    <n v="2709193538"/>
    <x v="1"/>
    <n v="-1"/>
    <x v="0"/>
  </r>
  <r>
    <x v="1337"/>
    <x v="863"/>
    <x v="26"/>
    <s v="Finland"/>
    <s v="Austria"/>
    <n v="3"/>
    <n v="1"/>
    <s v="FIFA World Cup qualification"/>
    <s v="Turku"/>
    <s v="Finland"/>
    <b v="0"/>
    <n v="1993"/>
    <n v="89112105756"/>
    <n v="189634029338"/>
    <x v="0"/>
    <n v="-1"/>
    <x v="0"/>
  </r>
  <r>
    <x v="1338"/>
    <x v="863"/>
    <x v="26"/>
    <s v="India"/>
    <s v="South Korea"/>
    <n v="0"/>
    <n v="3"/>
    <s v="FIFA World Cup qualification"/>
    <s v="Beirut"/>
    <s v="Lebanon"/>
    <b v="1"/>
    <n v="1993"/>
    <n v="279295648982"/>
    <n v="405705302846"/>
    <x v="1"/>
    <n v="1"/>
    <x v="2"/>
  </r>
  <r>
    <x v="1339"/>
    <x v="863"/>
    <x v="26"/>
    <s v="Lebanon"/>
    <s v="Bahrain"/>
    <n v="0"/>
    <n v="0"/>
    <s v="FIFA World Cup qualification"/>
    <s v="Beirut"/>
    <s v="Lebanon"/>
    <b v="0"/>
    <n v="1993"/>
    <n v="7941744492"/>
    <n v="5913001063"/>
    <x v="1"/>
    <n v="0"/>
    <x v="1"/>
  </r>
  <r>
    <x v="1340"/>
    <x v="864"/>
    <x v="26"/>
    <s v="Kuwait"/>
    <s v="Malaysia"/>
    <n v="2"/>
    <n v="0"/>
    <s v="FIFA World Cup qualification"/>
    <s v="Taif"/>
    <s v="Saudi Arabia"/>
    <b v="1"/>
    <n v="1993"/>
    <n v="23941391390"/>
    <n v="66894966968"/>
    <x v="0"/>
    <n v="-1"/>
    <x v="0"/>
  </r>
  <r>
    <x v="1341"/>
    <x v="865"/>
    <x v="26"/>
    <s v="Bahrain"/>
    <s v="India"/>
    <n v="2"/>
    <n v="1"/>
    <s v="FIFA World Cup qualification"/>
    <s v="Beirut"/>
    <s v="Lebanon"/>
    <b v="1"/>
    <n v="1993"/>
    <n v="5913001063"/>
    <n v="279295648982"/>
    <x v="0"/>
    <n v="-1"/>
    <x v="0"/>
  </r>
  <r>
    <x v="1342"/>
    <x v="866"/>
    <x v="26"/>
    <s v="Saudi Arabia"/>
    <s v="Malaysia"/>
    <n v="3"/>
    <n v="0"/>
    <s v="FIFA World Cup qualification"/>
    <s v="Taif"/>
    <s v="Saudi Arabia"/>
    <b v="0"/>
    <n v="1993"/>
    <n v="132967957276"/>
    <n v="66894966968"/>
    <x v="1"/>
    <n v="1"/>
    <x v="2"/>
  </r>
  <r>
    <x v="1343"/>
    <x v="867"/>
    <x v="26"/>
    <s v="Saudi Arabia"/>
    <s v="Kuwait"/>
    <n v="2"/>
    <n v="0"/>
    <s v="FIFA World Cup qualification"/>
    <s v="Taif"/>
    <s v="Saudi Arabia"/>
    <b v="0"/>
    <n v="1993"/>
    <n v="132967957276"/>
    <n v="23941391390"/>
    <x v="0"/>
    <n v="1"/>
    <x v="2"/>
  </r>
  <r>
    <x v="1344"/>
    <x v="868"/>
    <x v="26"/>
    <s v="Sweden"/>
    <s v="Austria"/>
    <n v="1"/>
    <n v="0"/>
    <s v="FIFA World Cup qualification"/>
    <s v="Solna"/>
    <s v="Sweden"/>
    <b v="0"/>
    <n v="1993"/>
    <n v="212644602615"/>
    <n v="189634029338"/>
    <x v="1"/>
    <n v="1"/>
    <x v="2"/>
  </r>
  <r>
    <x v="1345"/>
    <x v="869"/>
    <x v="26"/>
    <s v="Luxembourg"/>
    <s v="Iceland"/>
    <n v="1"/>
    <n v="1"/>
    <s v="FIFA World Cup qualification"/>
    <s v="Luxembourg"/>
    <s v="Luxembourg"/>
    <b v="0"/>
    <n v="1993"/>
    <n v="15925521222"/>
    <n v="6435952173"/>
    <x v="0"/>
    <n v="0"/>
    <x v="1"/>
  </r>
  <r>
    <x v="1346"/>
    <x v="870"/>
    <x v="26"/>
    <s v="Belgium"/>
    <s v="Faroe Islands"/>
    <n v="3"/>
    <n v="0"/>
    <s v="FIFA World Cup qualification"/>
    <s v="Brussels"/>
    <s v="Belgium"/>
    <b v="0"/>
    <n v="1993"/>
    <n v="224721795708"/>
    <n v="760957189"/>
    <x v="0"/>
    <n v="1"/>
    <x v="2"/>
  </r>
  <r>
    <x v="1347"/>
    <x v="871"/>
    <x v="26"/>
    <s v="Russia"/>
    <s v="Greece"/>
    <n v="1"/>
    <n v="1"/>
    <s v="FIFA World Cup qualification"/>
    <s v="Moscow"/>
    <s v="Russia"/>
    <b v="0"/>
    <n v="1993"/>
    <n v="435083713850"/>
    <n v="107295704518"/>
    <x v="0"/>
    <n v="0"/>
    <x v="1"/>
  </r>
  <r>
    <x v="1348"/>
    <x v="872"/>
    <x v="26"/>
    <s v="Jordan"/>
    <s v="Iraq"/>
    <n v="1"/>
    <n v="1"/>
    <s v="FIFA World Cup qualification"/>
    <s v="Irbid"/>
    <s v="Jordan"/>
    <b v="0"/>
    <n v="1993"/>
    <n v="5606400221"/>
    <n v="1031944881"/>
    <x v="0"/>
    <n v="0"/>
    <x v="1"/>
  </r>
  <r>
    <x v="1349"/>
    <x v="873"/>
    <x v="26"/>
    <s v="Pakistan"/>
    <s v="Iraq"/>
    <n v="0"/>
    <n v="8"/>
    <s v="FIFA World Cup qualification"/>
    <s v="Irbid"/>
    <s v="Jordan"/>
    <b v="1"/>
    <n v="1993"/>
    <n v="51809999353"/>
    <n v="1031944881"/>
    <x v="0"/>
    <n v="-1"/>
    <x v="0"/>
  </r>
  <r>
    <x v="1350"/>
    <x v="874"/>
    <x v="26"/>
    <s v="Poland"/>
    <s v="England"/>
    <n v="1"/>
    <n v="1"/>
    <s v="FIFA World Cup qualification"/>
    <s v="Chorz√≥w"/>
    <s v="Poland"/>
    <b v="0"/>
    <n v="1993"/>
    <n v="96043157272"/>
    <n v="1061388722255"/>
    <x v="0"/>
    <n v="0"/>
    <x v="1"/>
  </r>
  <r>
    <x v="1351"/>
    <x v="875"/>
    <x v="26"/>
    <s v="Jordan"/>
    <s v="Pakistan"/>
    <n v="3"/>
    <n v="1"/>
    <s v="FIFA World Cup qualification"/>
    <s v="Irbid"/>
    <s v="Jordan"/>
    <b v="0"/>
    <n v="1993"/>
    <n v="5606400221"/>
    <n v="51809999353"/>
    <x v="0"/>
    <n v="-1"/>
    <x v="0"/>
  </r>
  <r>
    <x v="1352"/>
    <x v="875"/>
    <x v="26"/>
    <s v="New Zealand"/>
    <s v="Australia"/>
    <n v="0"/>
    <n v="1"/>
    <s v="FIFA World Cup qualification"/>
    <s v="Auckland"/>
    <s v="New Zealand"/>
    <b v="0"/>
    <n v="1993"/>
    <n v="46775620817"/>
    <n v="312568858909"/>
    <x v="0"/>
    <n v="1"/>
    <x v="2"/>
  </r>
  <r>
    <x v="1353"/>
    <x v="876"/>
    <x v="26"/>
    <s v="Denmark"/>
    <s v="Albania"/>
    <n v="4"/>
    <n v="0"/>
    <s v="FIFA World Cup qualification"/>
    <s v="Copenhagen"/>
    <s v="Denmark"/>
    <b v="0"/>
    <n v="1993"/>
    <n v="143111306004"/>
    <n v="1185315468"/>
    <x v="0"/>
    <n v="1"/>
    <x v="2"/>
  </r>
  <r>
    <x v="1354"/>
    <x v="876"/>
    <x v="26"/>
    <s v="Iceland"/>
    <s v="Russia"/>
    <n v="1"/>
    <n v="1"/>
    <s v="FIFA World Cup qualification"/>
    <s v="Reykjav√≠k"/>
    <s v="Iceland"/>
    <b v="0"/>
    <n v="1993"/>
    <n v="6435952173"/>
    <n v="435083713850"/>
    <x v="0"/>
    <n v="0"/>
    <x v="1"/>
  </r>
  <r>
    <x v="1355"/>
    <x v="876"/>
    <x v="26"/>
    <s v="Norway"/>
    <s v="England"/>
    <n v="2"/>
    <n v="0"/>
    <s v="FIFA World Cup qualification"/>
    <s v="Oslo"/>
    <s v="Norway"/>
    <b v="0"/>
    <n v="1993"/>
    <n v="120579213712"/>
    <n v="1061388722255"/>
    <x v="0"/>
    <n v="-1"/>
    <x v="0"/>
  </r>
  <r>
    <x v="1356"/>
    <x v="876"/>
    <x v="26"/>
    <s v="Sweden"/>
    <s v="Israel"/>
    <n v="5"/>
    <n v="0"/>
    <s v="FIFA World Cup qualification"/>
    <s v="Solna"/>
    <s v="Sweden"/>
    <b v="0"/>
    <n v="1993"/>
    <n v="212644602615"/>
    <n v="79855877174"/>
    <x v="0"/>
    <n v="1"/>
    <x v="2"/>
  </r>
  <r>
    <x v="1357"/>
    <x v="877"/>
    <x v="26"/>
    <s v="Bahrain"/>
    <s v="Lebanon"/>
    <n v="0"/>
    <n v="0"/>
    <s v="FIFA World Cup qualification"/>
    <s v="Seoul"/>
    <s v="South Korea"/>
    <b v="1"/>
    <n v="1993"/>
    <n v="5913001063"/>
    <n v="7941744492"/>
    <x v="1"/>
    <n v="0"/>
    <x v="1"/>
  </r>
  <r>
    <x v="1358"/>
    <x v="878"/>
    <x v="26"/>
    <s v="Australia"/>
    <s v="New Zealand"/>
    <n v="3"/>
    <n v="0"/>
    <s v="FIFA World Cup qualification"/>
    <s v="Melbourne"/>
    <s v="Australia"/>
    <b v="0"/>
    <n v="1993"/>
    <n v="312568858909"/>
    <n v="46775620817"/>
    <x v="0"/>
    <n v="1"/>
    <x v="2"/>
  </r>
  <r>
    <x v="1359"/>
    <x v="879"/>
    <x v="26"/>
    <s v="India"/>
    <s v="Bahrain"/>
    <n v="0"/>
    <n v="3"/>
    <s v="FIFA World Cup qualification"/>
    <s v="Seoul"/>
    <s v="South Korea"/>
    <b v="1"/>
    <n v="1993"/>
    <n v="279295648982"/>
    <n v="5913001063"/>
    <x v="0"/>
    <n v="-1"/>
    <x v="0"/>
  </r>
  <r>
    <x v="1360"/>
    <x v="879"/>
    <x v="26"/>
    <s v="South Korea"/>
    <s v="Lebanon"/>
    <n v="2"/>
    <n v="0"/>
    <s v="FIFA World Cup qualification"/>
    <s v="Seoul"/>
    <s v="South Korea"/>
    <b v="0"/>
    <n v="1993"/>
    <n v="405705302846"/>
    <n v="7941744492"/>
    <x v="0"/>
    <n v="1"/>
    <x v="2"/>
  </r>
  <r>
    <x v="1361"/>
    <x v="880"/>
    <x v="26"/>
    <s v="South Korea"/>
    <s v="India"/>
    <n v="7"/>
    <n v="0"/>
    <s v="FIFA World Cup qualification"/>
    <s v="Seoul"/>
    <s v="South Korea"/>
    <b v="0"/>
    <n v="1993"/>
    <n v="405705302846"/>
    <n v="279295648982"/>
    <x v="1"/>
    <n v="1"/>
    <x v="2"/>
  </r>
  <r>
    <x v="1362"/>
    <x v="880"/>
    <x v="26"/>
    <s v="Netherlands"/>
    <s v="Norway"/>
    <n v="0"/>
    <n v="0"/>
    <s v="FIFA World Cup qualification"/>
    <s v="Rotterdam"/>
    <s v="Netherlands"/>
    <b v="0"/>
    <n v="1993"/>
    <n v="354070495965"/>
    <n v="120579213712"/>
    <x v="0"/>
    <n v="0"/>
    <x v="1"/>
  </r>
  <r>
    <x v="1363"/>
    <x v="881"/>
    <x v="26"/>
    <s v="India"/>
    <s v="Lebanon"/>
    <n v="1"/>
    <n v="2"/>
    <s v="FIFA World Cup qualification"/>
    <s v="Seoul"/>
    <s v="South Korea"/>
    <b v="1"/>
    <n v="1993"/>
    <n v="279295648982"/>
    <n v="7941744492"/>
    <x v="0"/>
    <n v="-1"/>
    <x v="0"/>
  </r>
  <r>
    <x v="1364"/>
    <x v="882"/>
    <x v="26"/>
    <s v="South Korea"/>
    <s v="Bahrain"/>
    <n v="3"/>
    <n v="0"/>
    <s v="FIFA World Cup qualification"/>
    <s v="Seoul"/>
    <s v="South Korea"/>
    <b v="0"/>
    <n v="1993"/>
    <n v="405705302846"/>
    <n v="5913001063"/>
    <x v="0"/>
    <n v="1"/>
    <x v="2"/>
  </r>
  <r>
    <x v="1365"/>
    <x v="883"/>
    <x v="26"/>
    <s v="Iraq"/>
    <s v="Jordan"/>
    <n v="4"/>
    <n v="0"/>
    <s v="FIFA World Cup qualification"/>
    <s v="Chengdu"/>
    <s v="China PR"/>
    <b v="1"/>
    <n v="1993"/>
    <n v="1031944881"/>
    <n v="5606400221"/>
    <x v="0"/>
    <n v="-1"/>
    <x v="0"/>
  </r>
  <r>
    <x v="1366"/>
    <x v="884"/>
    <x v="26"/>
    <s v="Finland"/>
    <s v="Israel"/>
    <n v="0"/>
    <n v="0"/>
    <s v="FIFA World Cup qualification"/>
    <s v="Lahti"/>
    <s v="Finland"/>
    <b v="0"/>
    <n v="1993"/>
    <n v="89112105756"/>
    <n v="79855877174"/>
    <x v="1"/>
    <n v="0"/>
    <x v="1"/>
  </r>
  <r>
    <x v="1367"/>
    <x v="884"/>
    <x v="26"/>
    <s v="Iceland"/>
    <s v="Hungary"/>
    <n v="2"/>
    <n v="0"/>
    <s v="FIFA World Cup qualification"/>
    <s v="Reykjav√≠k"/>
    <s v="Iceland"/>
    <b v="0"/>
    <n v="1993"/>
    <n v="6435952173"/>
    <n v="40256233360"/>
    <x v="0"/>
    <n v="-1"/>
    <x v="0"/>
  </r>
  <r>
    <x v="1368"/>
    <x v="885"/>
    <x v="26"/>
    <s v="Iraq"/>
    <s v="Pakistan"/>
    <n v="4"/>
    <n v="0"/>
    <s v="FIFA World Cup qualification"/>
    <s v="Chengdu"/>
    <s v="China PR"/>
    <b v="1"/>
    <n v="1993"/>
    <n v="1031944881"/>
    <n v="51809999353"/>
    <x v="0"/>
    <n v="-1"/>
    <x v="0"/>
  </r>
  <r>
    <x v="1369"/>
    <x v="886"/>
    <x v="26"/>
    <s v="Portugal"/>
    <s v="Malta"/>
    <n v="4"/>
    <n v="0"/>
    <s v="FIFA World Cup qualification"/>
    <s v="Porto"/>
    <s v="Portugal"/>
    <b v="0"/>
    <n v="1993"/>
    <n v="95009751901"/>
    <n v="2709193538"/>
    <x v="0"/>
    <n v="1"/>
    <x v="2"/>
  </r>
  <r>
    <x v="1370"/>
    <x v="887"/>
    <x v="26"/>
    <s v="Pakistan"/>
    <s v="Jordan"/>
    <n v="0"/>
    <n v="5"/>
    <s v="FIFA World Cup qualification"/>
    <s v="Chengdu"/>
    <s v="China PR"/>
    <b v="1"/>
    <n v="1993"/>
    <n v="51809999353"/>
    <n v="5606400221"/>
    <x v="0"/>
    <n v="-1"/>
    <x v="0"/>
  </r>
  <r>
    <x v="1371"/>
    <x v="888"/>
    <x v="26"/>
    <s v="Iran"/>
    <s v="Oman"/>
    <n v="0"/>
    <n v="0"/>
    <s v="FIFA World Cup qualification"/>
    <s v="Tehran"/>
    <s v="Iran"/>
    <b v="0"/>
    <n v="1993"/>
    <n v="63743623232"/>
    <n v="14230429128"/>
    <x v="0"/>
    <n v="0"/>
    <x v="1"/>
  </r>
  <r>
    <x v="1372"/>
    <x v="889"/>
    <x v="26"/>
    <s v="Oman"/>
    <s v="Syria"/>
    <n v="0"/>
    <n v="0"/>
    <s v="FIFA World Cup qualification"/>
    <s v="Tehran"/>
    <s v="Iran"/>
    <b v="1"/>
    <n v="1993"/>
    <n v="14230429128"/>
    <n v="13695962055"/>
    <x v="1"/>
    <n v="0"/>
    <x v="1"/>
  </r>
  <r>
    <x v="1373"/>
    <x v="890"/>
    <x v="26"/>
    <s v="Iran"/>
    <s v="Syria"/>
    <n v="1"/>
    <n v="1"/>
    <s v="FIFA World Cup qualification"/>
    <s v="Tehran"/>
    <s v="Iran"/>
    <b v="0"/>
    <n v="1993"/>
    <n v="63743623232"/>
    <n v="13695962055"/>
    <x v="0"/>
    <n v="0"/>
    <x v="1"/>
  </r>
  <r>
    <x v="1374"/>
    <x v="891"/>
    <x v="26"/>
    <s v="Oman"/>
    <s v="Iran"/>
    <n v="0"/>
    <n v="1"/>
    <s v="FIFA World Cup qualification"/>
    <s v="Damascus"/>
    <s v="Syria"/>
    <b v="1"/>
    <n v="1993"/>
    <n v="14230429128"/>
    <n v="63743623232"/>
    <x v="0"/>
    <n v="1"/>
    <x v="2"/>
  </r>
  <r>
    <x v="1375"/>
    <x v="892"/>
    <x v="26"/>
    <s v="Nigeria"/>
    <s v="Algeria"/>
    <n v="4"/>
    <n v="1"/>
    <s v="FIFA World Cup qualification"/>
    <s v="Lagos"/>
    <s v="Nigeria"/>
    <b v="0"/>
    <n v="1993"/>
    <n v="56721051402"/>
    <n v="49945584452"/>
    <x v="1"/>
    <n v="1"/>
    <x v="2"/>
  </r>
  <r>
    <x v="1376"/>
    <x v="893"/>
    <x v="26"/>
    <s v="Syria"/>
    <s v="Oman"/>
    <n v="2"/>
    <n v="1"/>
    <s v="FIFA World Cup qualification"/>
    <s v="Damascus"/>
    <s v="Syria"/>
    <b v="0"/>
    <n v="1993"/>
    <n v="13695962055"/>
    <n v="14230429128"/>
    <x v="1"/>
    <n v="-1"/>
    <x v="0"/>
  </r>
  <r>
    <x v="1377"/>
    <x v="893"/>
    <x v="26"/>
    <s v="Zambia"/>
    <s v="Morocco"/>
    <n v="2"/>
    <n v="1"/>
    <s v="FIFA World Cup qualification"/>
    <s v="Lusaka"/>
    <s v="Zambia"/>
    <b v="0"/>
    <n v="1993"/>
    <n v="3273505343"/>
    <n v="31655473663"/>
    <x v="0"/>
    <n v="-1"/>
    <x v="0"/>
  </r>
  <r>
    <x v="1378"/>
    <x v="893"/>
    <x v="26"/>
    <s v="Zimbabwe"/>
    <s v="Cameroon"/>
    <n v="1"/>
    <n v="0"/>
    <s v="FIFA World Cup qualification"/>
    <s v="Harare"/>
    <s v="Zimbabwe"/>
    <b v="0"/>
    <n v="1993"/>
    <n v="6567250000"/>
    <n v="16181814712"/>
    <x v="0"/>
    <n v="-1"/>
    <x v="0"/>
  </r>
  <r>
    <x v="1379"/>
    <x v="894"/>
    <x v="26"/>
    <s v="Syria"/>
    <s v="Iran"/>
    <n v="1"/>
    <n v="1"/>
    <s v="FIFA World Cup qualification"/>
    <s v="Damascus"/>
    <s v="Syria"/>
    <b v="0"/>
    <n v="1993"/>
    <n v="13695962055"/>
    <n v="63743623232"/>
    <x v="0"/>
    <n v="0"/>
    <x v="1"/>
  </r>
  <r>
    <x v="1380"/>
    <x v="895"/>
    <x v="26"/>
    <s v="Senegal"/>
    <s v="Morocco"/>
    <n v="1"/>
    <n v="3"/>
    <s v="FIFA World Cup qualification"/>
    <s v="Dakar"/>
    <s v="Senegal"/>
    <b v="0"/>
    <n v="1993"/>
    <n v="7367986241"/>
    <n v="31655473663"/>
    <x v="0"/>
    <n v="1"/>
    <x v="2"/>
  </r>
  <r>
    <x v="1381"/>
    <x v="896"/>
    <x v="26"/>
    <s v="Ecuador"/>
    <s v="Brazil"/>
    <n v="0"/>
    <n v="0"/>
    <s v="FIFA World Cup qualification"/>
    <s v="Guayaquil"/>
    <s v="Ecuador"/>
    <b v="0"/>
    <n v="1993"/>
    <n v="18938717358"/>
    <n v="368295778245"/>
    <x v="0"/>
    <n v="0"/>
    <x v="1"/>
  </r>
  <r>
    <x v="1382"/>
    <x v="896"/>
    <x v="26"/>
    <s v="Guinea"/>
    <s v="Cameroon"/>
    <n v="0"/>
    <n v="1"/>
    <s v="FIFA World Cup qualification"/>
    <s v="Conakry"/>
    <s v="Guinea"/>
    <b v="0"/>
    <n v="1993"/>
    <n v="4781166116"/>
    <n v="16181814712"/>
    <x v="0"/>
    <n v="1"/>
    <x v="2"/>
  </r>
  <r>
    <x v="1383"/>
    <x v="896"/>
    <x v="26"/>
    <s v="Venezuela"/>
    <s v="Bolivia"/>
    <n v="1"/>
    <n v="7"/>
    <s v="FIFA World Cup qualification"/>
    <s v="Puerto Ordaz"/>
    <s v="Venezuela"/>
    <b v="0"/>
    <n v="1993"/>
    <n v="60037460783"/>
    <n v="5734699488"/>
    <x v="0"/>
    <n v="-1"/>
    <x v="0"/>
  </r>
  <r>
    <x v="1384"/>
    <x v="897"/>
    <x v="26"/>
    <s v="Bolivia"/>
    <s v="Brazil"/>
    <n v="2"/>
    <n v="0"/>
    <s v="FIFA World Cup qualification"/>
    <s v="La Paz"/>
    <s v="Bolivia"/>
    <b v="0"/>
    <n v="1993"/>
    <n v="5734699488"/>
    <n v="368295778245"/>
    <x v="0"/>
    <n v="-1"/>
    <x v="0"/>
  </r>
  <r>
    <x v="1385"/>
    <x v="897"/>
    <x v="26"/>
    <s v="Venezuela"/>
    <s v="Uruguay"/>
    <n v="0"/>
    <n v="1"/>
    <s v="FIFA World Cup qualification"/>
    <s v="San Crist√≥bal"/>
    <s v="Venezuela"/>
    <b v="0"/>
    <n v="1993"/>
    <n v="60037460783"/>
    <n v="15002136971"/>
    <x v="0"/>
    <n v="-1"/>
    <x v="0"/>
  </r>
  <r>
    <x v="1386"/>
    <x v="898"/>
    <x v="26"/>
    <s v="Canada"/>
    <s v="Australia"/>
    <n v="2"/>
    <n v="1"/>
    <s v="FIFA World Cup qualification"/>
    <s v="Edmonton"/>
    <s v="Canada"/>
    <b v="0"/>
    <n v="1993"/>
    <n v="579053561739"/>
    <n v="312568858909"/>
    <x v="1"/>
    <n v="1"/>
    <x v="2"/>
  </r>
  <r>
    <x v="1387"/>
    <x v="899"/>
    <x v="26"/>
    <s v="Colombia"/>
    <s v="Paraguay"/>
    <n v="0"/>
    <n v="0"/>
    <s v="FIFA World Cup qualification"/>
    <s v="Barranquilla"/>
    <s v="Colombia"/>
    <b v="0"/>
    <n v="1993"/>
    <n v="66446804802"/>
    <n v="7249533620"/>
    <x v="0"/>
    <n v="0"/>
    <x v="1"/>
  </r>
  <r>
    <x v="1388"/>
    <x v="899"/>
    <x v="26"/>
    <s v="Peru"/>
    <s v="Argentina"/>
    <n v="0"/>
    <n v="1"/>
    <s v="FIFA World Cup qualification"/>
    <s v="Lima"/>
    <s v="Peru"/>
    <b v="0"/>
    <n v="1993"/>
    <n v="34832077220"/>
    <n v="236741715015"/>
    <x v="0"/>
    <n v="1"/>
    <x v="2"/>
  </r>
  <r>
    <x v="1389"/>
    <x v="899"/>
    <x v="26"/>
    <s v="Uruguay"/>
    <s v="Ecuador"/>
    <n v="0"/>
    <n v="0"/>
    <s v="FIFA World Cup qualification"/>
    <s v="Montevideo"/>
    <s v="Uruguay"/>
    <b v="0"/>
    <n v="1993"/>
    <n v="15002136971"/>
    <n v="18938717358"/>
    <x v="1"/>
    <n v="0"/>
    <x v="1"/>
  </r>
  <r>
    <x v="1390"/>
    <x v="899"/>
    <x v="26"/>
    <s v="Venezuela"/>
    <s v="Brazil"/>
    <n v="1"/>
    <n v="5"/>
    <s v="FIFA World Cup qualification"/>
    <s v="San Crist√≥bal"/>
    <s v="Venezuela"/>
    <b v="0"/>
    <n v="1993"/>
    <n v="60037460783"/>
    <n v="368295778245"/>
    <x v="0"/>
    <n v="1"/>
    <x v="2"/>
  </r>
  <r>
    <x v="1391"/>
    <x v="900"/>
    <x v="26"/>
    <s v="Senegal"/>
    <s v="Zambia"/>
    <n v="0"/>
    <n v="0"/>
    <s v="FIFA World Cup qualification"/>
    <s v="Abidjan"/>
    <s v="Ivory Coast"/>
    <b v="1"/>
    <n v="1993"/>
    <n v="7367986241"/>
    <n v="3273505343"/>
    <x v="0"/>
    <n v="0"/>
    <x v="1"/>
  </r>
  <r>
    <x v="1392"/>
    <x v="901"/>
    <x v="26"/>
    <s v="Bolivia"/>
    <s v="Uruguay"/>
    <n v="3"/>
    <n v="1"/>
    <s v="FIFA World Cup qualification"/>
    <s v="La Paz"/>
    <s v="Bolivia"/>
    <b v="0"/>
    <n v="1993"/>
    <n v="5734699488"/>
    <n v="15002136971"/>
    <x v="0"/>
    <n v="-1"/>
    <x v="0"/>
  </r>
  <r>
    <x v="1393"/>
    <x v="901"/>
    <x v="26"/>
    <s v="Ecuador"/>
    <s v="Venezuela"/>
    <n v="5"/>
    <n v="0"/>
    <s v="FIFA World Cup qualification"/>
    <s v="Quito"/>
    <s v="Ecuador"/>
    <b v="0"/>
    <n v="1993"/>
    <n v="18938717358"/>
    <n v="60037460783"/>
    <x v="0"/>
    <n v="-1"/>
    <x v="0"/>
  </r>
  <r>
    <x v="1394"/>
    <x v="901"/>
    <x v="26"/>
    <s v="Paraguay"/>
    <s v="Argentina"/>
    <n v="1"/>
    <n v="3"/>
    <s v="FIFA World Cup qualification"/>
    <s v="Asunci√≥n"/>
    <s v="Paraguay"/>
    <b v="0"/>
    <n v="1993"/>
    <n v="7249533620"/>
    <n v="236741715015"/>
    <x v="0"/>
    <n v="1"/>
    <x v="2"/>
  </r>
  <r>
    <x v="1395"/>
    <x v="901"/>
    <x v="26"/>
    <s v="Peru"/>
    <s v="Colombia"/>
    <n v="0"/>
    <n v="1"/>
    <s v="FIFA World Cup qualification"/>
    <s v="Lima"/>
    <s v="Peru"/>
    <b v="0"/>
    <n v="1993"/>
    <n v="34832077220"/>
    <n v="66446804802"/>
    <x v="1"/>
    <n v="1"/>
    <x v="2"/>
  </r>
  <r>
    <x v="1396"/>
    <x v="902"/>
    <x v="26"/>
    <s v="Paraguay"/>
    <s v="Peru"/>
    <n v="2"/>
    <n v="1"/>
    <s v="FIFA World Cup qualification"/>
    <s v="Asunci√≥n"/>
    <s v="Paraguay"/>
    <b v="0"/>
    <n v="1993"/>
    <n v="7249533620"/>
    <n v="34832077220"/>
    <x v="0"/>
    <n v="-1"/>
    <x v="0"/>
  </r>
  <r>
    <x v="1397"/>
    <x v="902"/>
    <x v="26"/>
    <s v="Australia"/>
    <s v="Canada"/>
    <n v="2"/>
    <n v="1"/>
    <s v="FIFA World Cup qualification"/>
    <s v="Sydney"/>
    <s v="Australia"/>
    <b v="0"/>
    <n v="1993"/>
    <n v="312568858909"/>
    <n v="579053561739"/>
    <x v="1"/>
    <n v="-1"/>
    <x v="0"/>
  </r>
  <r>
    <x v="1398"/>
    <x v="902"/>
    <x v="26"/>
    <s v="Bolivia"/>
    <s v="Ecuador"/>
    <n v="1"/>
    <n v="0"/>
    <s v="FIFA World Cup qualification"/>
    <s v="La Paz"/>
    <s v="Bolivia"/>
    <b v="0"/>
    <n v="1993"/>
    <n v="5734699488"/>
    <n v="18938717358"/>
    <x v="0"/>
    <n v="-1"/>
    <x v="0"/>
  </r>
  <r>
    <x v="1399"/>
    <x v="902"/>
    <x v="26"/>
    <s v="Colombia"/>
    <s v="Argentina"/>
    <n v="2"/>
    <n v="1"/>
    <s v="FIFA World Cup qualification"/>
    <s v="Barranquilla"/>
    <s v="Colombia"/>
    <b v="0"/>
    <n v="1993"/>
    <n v="66446804802"/>
    <n v="236741715015"/>
    <x v="0"/>
    <n v="-1"/>
    <x v="0"/>
  </r>
  <r>
    <x v="1400"/>
    <x v="902"/>
    <x v="26"/>
    <s v="Uruguay"/>
    <s v="Brazil"/>
    <n v="1"/>
    <n v="1"/>
    <s v="FIFA World Cup qualification"/>
    <s v="Montevideo"/>
    <s v="Uruguay"/>
    <b v="0"/>
    <n v="1993"/>
    <n v="15002136971"/>
    <n v="368295778245"/>
    <x v="0"/>
    <n v="0"/>
    <x v="1"/>
  </r>
  <r>
    <x v="1401"/>
    <x v="903"/>
    <x v="26"/>
    <s v="Argentina"/>
    <s v="Peru"/>
    <n v="2"/>
    <n v="1"/>
    <s v="FIFA World Cup qualification"/>
    <s v="Buenos Aires"/>
    <s v="Argentina"/>
    <b v="0"/>
    <n v="1993"/>
    <n v="236741715015"/>
    <n v="34832077220"/>
    <x v="0"/>
    <n v="1"/>
    <x v="2"/>
  </r>
  <r>
    <x v="1402"/>
    <x v="903"/>
    <x v="26"/>
    <s v="Bolivia"/>
    <s v="Venezuela"/>
    <n v="7"/>
    <n v="0"/>
    <s v="FIFA World Cup qualification"/>
    <s v="La Paz"/>
    <s v="Bolivia"/>
    <b v="0"/>
    <n v="1993"/>
    <n v="5734699488"/>
    <n v="60037460783"/>
    <x v="0"/>
    <n v="-1"/>
    <x v="0"/>
  </r>
  <r>
    <x v="1403"/>
    <x v="903"/>
    <x v="26"/>
    <s v="Brazil"/>
    <s v="Ecuador"/>
    <n v="2"/>
    <n v="0"/>
    <s v="FIFA World Cup qualification"/>
    <s v="S√£o Paulo"/>
    <s v="Brazil"/>
    <b v="0"/>
    <n v="1993"/>
    <n v="368295778245"/>
    <n v="18938717358"/>
    <x v="0"/>
    <n v="1"/>
    <x v="2"/>
  </r>
  <r>
    <x v="1404"/>
    <x v="903"/>
    <x v="26"/>
    <s v="Paraguay"/>
    <s v="Colombia"/>
    <n v="1"/>
    <n v="1"/>
    <s v="FIFA World Cup qualification"/>
    <s v="Asunci√≥n"/>
    <s v="Paraguay"/>
    <b v="0"/>
    <n v="1993"/>
    <n v="7249533620"/>
    <n v="66446804802"/>
    <x v="0"/>
    <n v="0"/>
    <x v="1"/>
  </r>
  <r>
    <x v="1405"/>
    <x v="903"/>
    <x v="26"/>
    <s v="Sweden"/>
    <s v="France"/>
    <n v="1"/>
    <n v="1"/>
    <s v="FIFA World Cup qualification"/>
    <s v="Solna"/>
    <s v="Sweden"/>
    <b v="0"/>
    <n v="1993"/>
    <n v="212644602615"/>
    <n v="1314383368079"/>
    <x v="0"/>
    <n v="0"/>
    <x v="1"/>
  </r>
  <r>
    <x v="1406"/>
    <x v="904"/>
    <x v="26"/>
    <s v="Austria"/>
    <s v="Finland"/>
    <n v="3"/>
    <n v="0"/>
    <s v="FIFA World Cup qualification"/>
    <s v="Vienna"/>
    <s v="Austria"/>
    <b v="0"/>
    <n v="1993"/>
    <n v="189634029338"/>
    <n v="89112105756"/>
    <x v="0"/>
    <n v="1"/>
    <x v="2"/>
  </r>
  <r>
    <x v="1407"/>
    <x v="905"/>
    <x v="26"/>
    <s v="Argentina"/>
    <s v="Paraguay"/>
    <n v="0"/>
    <n v="0"/>
    <s v="FIFA World Cup qualification"/>
    <s v="Buenos Aires"/>
    <s v="Argentina"/>
    <b v="0"/>
    <n v="1993"/>
    <n v="236741715015"/>
    <n v="7249533620"/>
    <x v="0"/>
    <n v="0"/>
    <x v="1"/>
  </r>
  <r>
    <x v="1408"/>
    <x v="905"/>
    <x v="26"/>
    <s v="Brazil"/>
    <s v="Bolivia"/>
    <n v="6"/>
    <n v="0"/>
    <s v="FIFA World Cup qualification"/>
    <s v="Recife"/>
    <s v="Brazil"/>
    <b v="0"/>
    <n v="1993"/>
    <n v="368295778245"/>
    <n v="5734699488"/>
    <x v="0"/>
    <n v="1"/>
    <x v="2"/>
  </r>
  <r>
    <x v="1409"/>
    <x v="905"/>
    <x v="26"/>
    <s v="Colombia"/>
    <s v="Peru"/>
    <n v="4"/>
    <n v="0"/>
    <s v="FIFA World Cup qualification"/>
    <s v="Barranquilla"/>
    <s v="Colombia"/>
    <b v="0"/>
    <n v="1993"/>
    <n v="66446804802"/>
    <n v="34832077220"/>
    <x v="1"/>
    <n v="1"/>
    <x v="2"/>
  </r>
  <r>
    <x v="1410"/>
    <x v="905"/>
    <x v="26"/>
    <s v="Uruguay"/>
    <s v="Venezuela"/>
    <n v="4"/>
    <n v="0"/>
    <s v="FIFA World Cup qualification"/>
    <s v="Montevideo"/>
    <s v="Uruguay"/>
    <b v="0"/>
    <n v="1993"/>
    <n v="15002136971"/>
    <n v="60037460783"/>
    <x v="0"/>
    <n v="-1"/>
    <x v="0"/>
  </r>
  <r>
    <x v="1411"/>
    <x v="906"/>
    <x v="26"/>
    <s v="Argentina"/>
    <s v="Colombia"/>
    <n v="0"/>
    <n v="5"/>
    <s v="FIFA World Cup qualification"/>
    <s v="Buenos Aires"/>
    <s v="Argentina"/>
    <b v="0"/>
    <n v="1993"/>
    <n v="236741715015"/>
    <n v="66446804802"/>
    <x v="0"/>
    <n v="-1"/>
    <x v="0"/>
  </r>
  <r>
    <x v="1412"/>
    <x v="906"/>
    <x v="26"/>
    <s v="Brazil"/>
    <s v="Venezuela"/>
    <n v="4"/>
    <n v="0"/>
    <s v="FIFA World Cup qualification"/>
    <s v="Belo Horizonte"/>
    <s v="Brazil"/>
    <b v="0"/>
    <n v="1993"/>
    <n v="368295778245"/>
    <n v="60037460783"/>
    <x v="0"/>
    <n v="1"/>
    <x v="2"/>
  </r>
  <r>
    <x v="1413"/>
    <x v="906"/>
    <x v="26"/>
    <s v="Ecuador"/>
    <s v="Uruguay"/>
    <n v="0"/>
    <n v="1"/>
    <s v="FIFA World Cup qualification"/>
    <s v="Guayaquil"/>
    <s v="Ecuador"/>
    <b v="0"/>
    <n v="1993"/>
    <n v="18938717358"/>
    <n v="15002136971"/>
    <x v="1"/>
    <n v="-1"/>
    <x v="0"/>
  </r>
  <r>
    <x v="1414"/>
    <x v="906"/>
    <x v="26"/>
    <s v="Estonia"/>
    <s v="Portugal"/>
    <n v="0"/>
    <n v="2"/>
    <s v="FIFA World Cup qualification"/>
    <s v="Tallinn"/>
    <s v="Estonia"/>
    <b v="0"/>
    <n v="1993"/>
    <n v="4013091682"/>
    <n v="95009751901"/>
    <x v="0"/>
    <n v="1"/>
    <x v="2"/>
  </r>
  <r>
    <x v="1415"/>
    <x v="906"/>
    <x v="26"/>
    <s v="Peru"/>
    <s v="Paraguay"/>
    <n v="2"/>
    <n v="2"/>
    <s v="FIFA World Cup qualification"/>
    <s v="Lima"/>
    <s v="Peru"/>
    <b v="0"/>
    <n v="1993"/>
    <n v="34832077220"/>
    <n v="7249533620"/>
    <x v="0"/>
    <n v="0"/>
    <x v="1"/>
  </r>
  <r>
    <x v="1416"/>
    <x v="907"/>
    <x v="26"/>
    <s v="Albania"/>
    <s v="Denmark"/>
    <n v="0"/>
    <n v="1"/>
    <s v="FIFA World Cup qualification"/>
    <s v="Tirana"/>
    <s v="Albania"/>
    <b v="0"/>
    <n v="1993"/>
    <n v="1185315468"/>
    <n v="143111306004"/>
    <x v="0"/>
    <n v="1"/>
    <x v="2"/>
  </r>
  <r>
    <x v="1417"/>
    <x v="907"/>
    <x v="26"/>
    <s v="Bulgaria"/>
    <s v="Sweden"/>
    <n v="1"/>
    <n v="1"/>
    <s v="FIFA World Cup qualification"/>
    <s v="Sofia"/>
    <s v="Bulgaria"/>
    <b v="0"/>
    <n v="1993"/>
    <n v="10832064941"/>
    <n v="212644602615"/>
    <x v="0"/>
    <n v="0"/>
    <x v="1"/>
  </r>
  <r>
    <x v="1418"/>
    <x v="907"/>
    <x v="26"/>
    <s v="England"/>
    <s v="Poland"/>
    <n v="3"/>
    <n v="0"/>
    <s v="FIFA World Cup qualification"/>
    <s v="London"/>
    <s v="England"/>
    <b v="0"/>
    <n v="1993"/>
    <n v="1061388722255"/>
    <n v="96043157272"/>
    <x v="0"/>
    <n v="1"/>
    <x v="2"/>
  </r>
  <r>
    <x v="1419"/>
    <x v="907"/>
    <x v="26"/>
    <s v="Faroe Islands"/>
    <s v="Romania"/>
    <n v="0"/>
    <n v="4"/>
    <s v="FIFA World Cup qualification"/>
    <s v="Toftir"/>
    <s v="Faroe Islands"/>
    <b v="0"/>
    <n v="1993"/>
    <n v="760957189"/>
    <n v="26361160449"/>
    <x v="0"/>
    <n v="1"/>
    <x v="2"/>
  </r>
  <r>
    <x v="1420"/>
    <x v="907"/>
    <x v="26"/>
    <s v="Finland"/>
    <s v="France"/>
    <n v="0"/>
    <n v="2"/>
    <s v="FIFA World Cup qualification"/>
    <s v="Tampere"/>
    <s v="Finland"/>
    <b v="0"/>
    <n v="1993"/>
    <n v="89112105756"/>
    <n v="1314383368079"/>
    <x v="0"/>
    <n v="1"/>
    <x v="2"/>
  </r>
  <r>
    <x v="1421"/>
    <x v="907"/>
    <x v="26"/>
    <s v="Hungary"/>
    <s v="Russia"/>
    <n v="1"/>
    <n v="3"/>
    <s v="FIFA World Cup qualification"/>
    <s v="Budapest"/>
    <s v="Hungary"/>
    <b v="0"/>
    <n v="1993"/>
    <n v="40256233360"/>
    <n v="435083713850"/>
    <x v="0"/>
    <n v="1"/>
    <x v="2"/>
  </r>
  <r>
    <x v="1422"/>
    <x v="907"/>
    <x v="26"/>
    <s v="Iceland"/>
    <s v="Luxembourg"/>
    <n v="1"/>
    <n v="0"/>
    <s v="FIFA World Cup qualification"/>
    <s v="Reykjav√≠k"/>
    <s v="Iceland"/>
    <b v="0"/>
    <n v="1993"/>
    <n v="6435952173"/>
    <n v="15925521222"/>
    <x v="0"/>
    <n v="-1"/>
    <x v="0"/>
  </r>
  <r>
    <x v="1423"/>
    <x v="908"/>
    <x v="26"/>
    <s v="Uruguay"/>
    <s v="Bolivia"/>
    <n v="2"/>
    <n v="1"/>
    <s v="FIFA World Cup qualification"/>
    <s v="Montevideo"/>
    <s v="Uruguay"/>
    <b v="0"/>
    <n v="1993"/>
    <n v="15002136971"/>
    <n v="5734699488"/>
    <x v="0"/>
    <n v="1"/>
    <x v="2"/>
  </r>
  <r>
    <x v="1424"/>
    <x v="908"/>
    <x v="26"/>
    <s v="Venezuela"/>
    <s v="Ecuador"/>
    <n v="2"/>
    <n v="1"/>
    <s v="FIFA World Cup qualification"/>
    <s v="Puerto Ordaz"/>
    <s v="Venezuela"/>
    <b v="0"/>
    <n v="1993"/>
    <n v="60037460783"/>
    <n v="18938717358"/>
    <x v="0"/>
    <n v="1"/>
    <x v="2"/>
  </r>
  <r>
    <x v="1425"/>
    <x v="909"/>
    <x v="26"/>
    <s v="Brazil"/>
    <s v="Uruguay"/>
    <n v="2"/>
    <n v="0"/>
    <s v="FIFA World Cup qualification"/>
    <s v="Rio de Janeiro"/>
    <s v="Brazil"/>
    <b v="0"/>
    <n v="1993"/>
    <n v="368295778245"/>
    <n v="15002136971"/>
    <x v="0"/>
    <n v="1"/>
    <x v="2"/>
  </r>
  <r>
    <x v="1426"/>
    <x v="909"/>
    <x v="26"/>
    <s v="Ecuador"/>
    <s v="Bolivia"/>
    <n v="1"/>
    <n v="1"/>
    <s v="FIFA World Cup qualification"/>
    <s v="Guayaquil"/>
    <s v="Ecuador"/>
    <b v="0"/>
    <n v="1993"/>
    <n v="18938717358"/>
    <n v="5734699488"/>
    <x v="0"/>
    <n v="0"/>
    <x v="1"/>
  </r>
  <r>
    <x v="1427"/>
    <x v="910"/>
    <x v="26"/>
    <s v="Albania"/>
    <s v="Spain"/>
    <n v="1"/>
    <n v="5"/>
    <s v="FIFA World Cup qualification"/>
    <s v="Tirana"/>
    <s v="Albania"/>
    <b v="0"/>
    <n v="1993"/>
    <n v="1185315468"/>
    <n v="524700572623"/>
    <x v="0"/>
    <n v="1"/>
    <x v="2"/>
  </r>
  <r>
    <x v="1428"/>
    <x v="910"/>
    <x v="26"/>
    <s v="Estonia"/>
    <s v="Italy"/>
    <n v="0"/>
    <n v="3"/>
    <s v="FIFA World Cup qualification"/>
    <s v="Tallinn"/>
    <s v="Estonia"/>
    <b v="0"/>
    <n v="1993"/>
    <n v="4013091682"/>
    <n v="1067412587670"/>
    <x v="0"/>
    <n v="1"/>
    <x v="2"/>
  </r>
  <r>
    <x v="1429"/>
    <x v="910"/>
    <x v="26"/>
    <s v="Norway"/>
    <s v="Poland"/>
    <n v="1"/>
    <n v="0"/>
    <s v="FIFA World Cup qualification"/>
    <s v="Oslo"/>
    <s v="Norway"/>
    <b v="0"/>
    <n v="1993"/>
    <n v="120579213712"/>
    <n v="96043157272"/>
    <x v="1"/>
    <n v="1"/>
    <x v="2"/>
  </r>
  <r>
    <x v="1430"/>
    <x v="911"/>
    <x v="26"/>
    <s v="Zambia"/>
    <s v="Senegal"/>
    <n v="4"/>
    <n v="0"/>
    <s v="FIFA World Cup qualification"/>
    <s v="Lusaka"/>
    <s v="Zambia"/>
    <b v="0"/>
    <n v="1993"/>
    <n v="3273505343"/>
    <n v="7367986241"/>
    <x v="0"/>
    <n v="-1"/>
    <x v="0"/>
  </r>
  <r>
    <x v="1431"/>
    <x v="911"/>
    <x v="26"/>
    <s v="Zimbabwe"/>
    <s v="Guinea"/>
    <n v="1"/>
    <n v="0"/>
    <s v="FIFA World Cup qualification"/>
    <s v="Harare"/>
    <s v="Zimbabwe"/>
    <b v="0"/>
    <n v="1993"/>
    <n v="6567250000"/>
    <n v="4781166116"/>
    <x v="1"/>
    <n v="1"/>
    <x v="2"/>
  </r>
  <r>
    <x v="1432"/>
    <x v="912"/>
    <x v="26"/>
    <s v="Algeria"/>
    <s v="Nigeria"/>
    <n v="1"/>
    <n v="1"/>
    <s v="FIFA World Cup qualification"/>
    <s v="Algiers"/>
    <s v="Algeria"/>
    <b v="0"/>
    <n v="1993"/>
    <n v="49945584452"/>
    <n v="56721051402"/>
    <x v="1"/>
    <n v="0"/>
    <x v="1"/>
  </r>
  <r>
    <x v="1433"/>
    <x v="913"/>
    <x v="26"/>
    <s v="Cameroon"/>
    <s v="Zimbabwe"/>
    <n v="3"/>
    <n v="1"/>
    <s v="FIFA World Cup qualification"/>
    <s v="Yaound√©"/>
    <s v="Cameroon"/>
    <b v="0"/>
    <n v="1993"/>
    <n v="16181814712"/>
    <n v="6567250000"/>
    <x v="0"/>
    <n v="1"/>
    <x v="2"/>
  </r>
  <r>
    <x v="1434"/>
    <x v="913"/>
    <x v="26"/>
    <s v="Morocco"/>
    <s v="Zambia"/>
    <n v="1"/>
    <n v="0"/>
    <s v="FIFA World Cup qualification"/>
    <s v="Casablanca"/>
    <s v="Morocco"/>
    <b v="0"/>
    <n v="1993"/>
    <n v="31655473663"/>
    <n v="3273505343"/>
    <x v="0"/>
    <n v="1"/>
    <x v="2"/>
  </r>
  <r>
    <x v="1435"/>
    <x v="914"/>
    <x v="26"/>
    <s v="Luxembourg"/>
    <s v="Greece"/>
    <n v="1"/>
    <n v="3"/>
    <s v="FIFA World Cup qualification"/>
    <s v="Luxembourg"/>
    <s v="Luxembourg"/>
    <b v="0"/>
    <n v="1993"/>
    <n v="15925521222"/>
    <n v="107295704518"/>
    <x v="0"/>
    <n v="1"/>
    <x v="2"/>
  </r>
  <r>
    <x v="1436"/>
    <x v="915"/>
    <x v="26"/>
    <s v="Bulgaria"/>
    <s v="Austria"/>
    <n v="4"/>
    <n v="1"/>
    <s v="FIFA World Cup qualification"/>
    <s v="Sofia"/>
    <s v="Bulgaria"/>
    <b v="0"/>
    <n v="1993"/>
    <n v="10832064941"/>
    <n v="189634029338"/>
    <x v="0"/>
    <n v="-1"/>
    <x v="0"/>
  </r>
  <r>
    <x v="1437"/>
    <x v="915"/>
    <x v="26"/>
    <s v="France"/>
    <s v="Israel"/>
    <n v="2"/>
    <n v="3"/>
    <s v="FIFA World Cup qualification"/>
    <s v="Paris"/>
    <s v="France"/>
    <b v="0"/>
    <n v="1993"/>
    <n v="1314383368079"/>
    <n v="79855877174"/>
    <x v="0"/>
    <n v="-1"/>
    <x v="0"/>
  </r>
  <r>
    <x v="1438"/>
    <x v="915"/>
    <x v="26"/>
    <s v="Netherlands"/>
    <s v="England"/>
    <n v="2"/>
    <n v="0"/>
    <s v="FIFA World Cup qualification"/>
    <s v="Rotterdam"/>
    <s v="Netherlands"/>
    <b v="0"/>
    <n v="1993"/>
    <n v="354070495965"/>
    <n v="1061388722255"/>
    <x v="0"/>
    <n v="-1"/>
    <x v="0"/>
  </r>
  <r>
    <x v="1439"/>
    <x v="915"/>
    <x v="26"/>
    <s v="Poland"/>
    <s v="Norway"/>
    <n v="0"/>
    <n v="3"/>
    <s v="FIFA World Cup qualification"/>
    <s v="Pozna≈Ñ"/>
    <s v="Poland"/>
    <b v="0"/>
    <n v="1993"/>
    <n v="96043157272"/>
    <n v="120579213712"/>
    <x v="1"/>
    <n v="1"/>
    <x v="2"/>
  </r>
  <r>
    <x v="1440"/>
    <x v="915"/>
    <x v="26"/>
    <s v="Portugal"/>
    <s v="Switzerland"/>
    <n v="1"/>
    <n v="0"/>
    <s v="FIFA World Cup qualification"/>
    <s v="Porto"/>
    <s v="Portugal"/>
    <b v="0"/>
    <n v="1993"/>
    <n v="95009751901"/>
    <n v="272237527070"/>
    <x v="0"/>
    <n v="-1"/>
    <x v="0"/>
  </r>
  <r>
    <x v="1441"/>
    <x v="915"/>
    <x v="26"/>
    <s v="Romania"/>
    <s v="Belgium"/>
    <n v="2"/>
    <n v="1"/>
    <s v="FIFA World Cup qualification"/>
    <s v="Bucharest"/>
    <s v="Romania"/>
    <b v="0"/>
    <n v="1993"/>
    <n v="26361160449"/>
    <n v="224721795708"/>
    <x v="0"/>
    <n v="-1"/>
    <x v="0"/>
  </r>
  <r>
    <x v="1442"/>
    <x v="915"/>
    <x v="26"/>
    <s v="Sweden"/>
    <s v="Finland"/>
    <n v="3"/>
    <n v="2"/>
    <s v="FIFA World Cup qualification"/>
    <s v="Solna"/>
    <s v="Sweden"/>
    <b v="0"/>
    <n v="1993"/>
    <n v="212644602615"/>
    <n v="89112105756"/>
    <x v="0"/>
    <n v="1"/>
    <x v="2"/>
  </r>
  <r>
    <x v="1443"/>
    <x v="916"/>
    <x v="26"/>
    <s v="Saudi Arabia"/>
    <s v="Japan"/>
    <n v="0"/>
    <n v="0"/>
    <s v="FIFA World Cup qualification"/>
    <s v="Doha"/>
    <s v="Qatar"/>
    <b v="1"/>
    <n v="1993"/>
    <n v="132967957276"/>
    <n v="4536940479038"/>
    <x v="0"/>
    <n v="0"/>
    <x v="1"/>
  </r>
  <r>
    <x v="1444"/>
    <x v="917"/>
    <x v="26"/>
    <s v="Iran"/>
    <s v="South Korea"/>
    <n v="0"/>
    <n v="3"/>
    <s v="FIFA World Cup qualification"/>
    <s v="Doha"/>
    <s v="Qatar"/>
    <b v="1"/>
    <n v="1993"/>
    <n v="63743623232"/>
    <n v="405705302846"/>
    <x v="0"/>
    <n v="1"/>
    <x v="2"/>
  </r>
  <r>
    <x v="1445"/>
    <x v="918"/>
    <x v="26"/>
    <s v="Japan"/>
    <s v="Iran"/>
    <n v="1"/>
    <n v="2"/>
    <s v="FIFA World Cup qualification"/>
    <s v="Doha"/>
    <s v="Qatar"/>
    <b v="1"/>
    <n v="1993"/>
    <n v="4536940479038"/>
    <n v="63743623232"/>
    <x v="0"/>
    <n v="-1"/>
    <x v="0"/>
  </r>
  <r>
    <x v="1446"/>
    <x v="919"/>
    <x v="26"/>
    <s v="Iraq"/>
    <s v="South Korea"/>
    <n v="2"/>
    <n v="2"/>
    <s v="FIFA World Cup qualification"/>
    <s v="Doha"/>
    <s v="Qatar"/>
    <b v="1"/>
    <n v="1993"/>
    <n v="1031944881"/>
    <n v="405705302846"/>
    <x v="0"/>
    <n v="0"/>
    <x v="1"/>
  </r>
  <r>
    <x v="1447"/>
    <x v="920"/>
    <x v="26"/>
    <s v="Iran"/>
    <s v="Iraq"/>
    <n v="1"/>
    <n v="2"/>
    <s v="FIFA World Cup qualification"/>
    <s v="Doha"/>
    <s v="Qatar"/>
    <b v="1"/>
    <n v="1993"/>
    <n v="63743623232"/>
    <n v="1031944881"/>
    <x v="0"/>
    <n v="-1"/>
    <x v="0"/>
  </r>
  <r>
    <x v="1448"/>
    <x v="920"/>
    <x v="26"/>
    <s v="South Korea"/>
    <s v="Saudi Arabia"/>
    <n v="1"/>
    <n v="1"/>
    <s v="FIFA World Cup qualification"/>
    <s v="Doha"/>
    <s v="Qatar"/>
    <b v="1"/>
    <n v="1993"/>
    <n v="405705302846"/>
    <n v="132967957276"/>
    <x v="0"/>
    <n v="0"/>
    <x v="1"/>
  </r>
  <r>
    <x v="1449"/>
    <x v="921"/>
    <x v="26"/>
    <s v="Iraq"/>
    <s v="Saudi Arabia"/>
    <n v="1"/>
    <n v="1"/>
    <s v="FIFA World Cup qualification"/>
    <s v="Doha"/>
    <s v="Qatar"/>
    <b v="1"/>
    <n v="1993"/>
    <n v="1031944881"/>
    <n v="132967957276"/>
    <x v="0"/>
    <n v="0"/>
    <x v="1"/>
  </r>
  <r>
    <x v="1450"/>
    <x v="922"/>
    <x v="26"/>
    <s v="Japan"/>
    <s v="South Korea"/>
    <n v="1"/>
    <n v="0"/>
    <s v="FIFA World Cup qualification"/>
    <s v="Doha"/>
    <s v="Qatar"/>
    <b v="1"/>
    <n v="1993"/>
    <n v="4536940479038"/>
    <n v="405705302846"/>
    <x v="0"/>
    <n v="1"/>
    <x v="2"/>
  </r>
  <r>
    <x v="1451"/>
    <x v="923"/>
    <x v="26"/>
    <s v="Hungary"/>
    <s v="Luxembourg"/>
    <n v="1"/>
    <n v="0"/>
    <s v="FIFA World Cup qualification"/>
    <s v="Budapest"/>
    <s v="Hungary"/>
    <b v="0"/>
    <n v="1993"/>
    <n v="40256233360"/>
    <n v="15925521222"/>
    <x v="0"/>
    <n v="1"/>
    <x v="2"/>
  </r>
  <r>
    <x v="1452"/>
    <x v="923"/>
    <x v="26"/>
    <s v="Israel"/>
    <s v="Austria"/>
    <n v="1"/>
    <n v="1"/>
    <s v="FIFA World Cup qualification"/>
    <s v="Ramat Gan"/>
    <s v="Israel"/>
    <b v="0"/>
    <n v="1993"/>
    <n v="79855877174"/>
    <n v="189634029338"/>
    <x v="0"/>
    <n v="0"/>
    <x v="1"/>
  </r>
  <r>
    <x v="1453"/>
    <x v="924"/>
    <x v="26"/>
    <s v="Iraq"/>
    <s v="Japan"/>
    <n v="2"/>
    <n v="2"/>
    <s v="FIFA World Cup qualification"/>
    <s v="Doha"/>
    <s v="Qatar"/>
    <b v="1"/>
    <n v="1993"/>
    <n v="1031944881"/>
    <n v="4536940479038"/>
    <x v="0"/>
    <n v="0"/>
    <x v="1"/>
  </r>
  <r>
    <x v="1454"/>
    <x v="924"/>
    <x v="26"/>
    <s v="Saudi Arabia"/>
    <s v="Iran"/>
    <n v="4"/>
    <n v="3"/>
    <s v="FIFA World Cup qualification"/>
    <s v="Doha"/>
    <s v="Qatar"/>
    <b v="1"/>
    <n v="1993"/>
    <n v="132967957276"/>
    <n v="63743623232"/>
    <x v="0"/>
    <n v="1"/>
    <x v="2"/>
  </r>
  <r>
    <x v="1455"/>
    <x v="925"/>
    <x v="26"/>
    <s v="Australia"/>
    <s v="Argentina"/>
    <n v="1"/>
    <n v="1"/>
    <s v="FIFA World Cup qualification"/>
    <s v="Sydney"/>
    <s v="Australia"/>
    <b v="0"/>
    <n v="1993"/>
    <n v="312568858909"/>
    <n v="236741715015"/>
    <x v="1"/>
    <n v="0"/>
    <x v="1"/>
  </r>
  <r>
    <x v="1456"/>
    <x v="926"/>
    <x v="26"/>
    <s v="Austria"/>
    <s v="Sweden"/>
    <n v="1"/>
    <n v="1"/>
    <s v="FIFA World Cup qualification"/>
    <s v="Vienna"/>
    <s v="Austria"/>
    <b v="0"/>
    <n v="1993"/>
    <n v="189634029338"/>
    <n v="212644602615"/>
    <x v="1"/>
    <n v="0"/>
    <x v="1"/>
  </r>
  <r>
    <x v="1457"/>
    <x v="926"/>
    <x v="26"/>
    <s v="Israel"/>
    <s v="Finland"/>
    <n v="1"/>
    <n v="3"/>
    <s v="FIFA World Cup qualification"/>
    <s v="Ramat Gan"/>
    <s v="Israel"/>
    <b v="0"/>
    <n v="1993"/>
    <n v="79855877174"/>
    <n v="89112105756"/>
    <x v="1"/>
    <n v="1"/>
    <x v="2"/>
  </r>
  <r>
    <x v="1458"/>
    <x v="926"/>
    <x v="26"/>
    <s v="Portugal"/>
    <s v="Estonia"/>
    <n v="3"/>
    <n v="0"/>
    <s v="FIFA World Cup qualification"/>
    <s v="Lisbon"/>
    <s v="Portugal"/>
    <b v="0"/>
    <n v="1993"/>
    <n v="95009751901"/>
    <n v="4013091682"/>
    <x v="0"/>
    <n v="1"/>
    <x v="2"/>
  </r>
  <r>
    <x v="1459"/>
    <x v="927"/>
    <x v="26"/>
    <s v="Argentina"/>
    <s v="Australia"/>
    <n v="1"/>
    <n v="0"/>
    <s v="FIFA World Cup qualification"/>
    <s v="Buenos Aires"/>
    <s v="Argentina"/>
    <b v="0"/>
    <n v="1993"/>
    <n v="236741715015"/>
    <n v="312568858909"/>
    <x v="1"/>
    <n v="-1"/>
    <x v="0"/>
  </r>
  <r>
    <x v="1460"/>
    <x v="927"/>
    <x v="26"/>
    <s v="France"/>
    <s v="Bulgaria"/>
    <n v="1"/>
    <n v="2"/>
    <s v="FIFA World Cup qualification"/>
    <s v="Paris"/>
    <s v="France"/>
    <b v="0"/>
    <n v="1993"/>
    <n v="1314383368079"/>
    <n v="10832064941"/>
    <x v="0"/>
    <n v="-1"/>
    <x v="0"/>
  </r>
  <r>
    <x v="1461"/>
    <x v="927"/>
    <x v="26"/>
    <s v="Greece"/>
    <s v="Russia"/>
    <n v="1"/>
    <n v="0"/>
    <s v="FIFA World Cup qualification"/>
    <s v="Athens"/>
    <s v="Greece"/>
    <b v="0"/>
    <n v="1993"/>
    <n v="107295704518"/>
    <n v="435083713850"/>
    <x v="0"/>
    <n v="-1"/>
    <x v="0"/>
  </r>
  <r>
    <x v="1462"/>
    <x v="927"/>
    <x v="26"/>
    <s v="Italy"/>
    <s v="Portugal"/>
    <n v="1"/>
    <n v="0"/>
    <s v="FIFA World Cup qualification"/>
    <s v="Milan"/>
    <s v="Italy"/>
    <b v="0"/>
    <n v="1993"/>
    <n v="1067412587670"/>
    <n v="95009751901"/>
    <x v="0"/>
    <n v="1"/>
    <x v="2"/>
  </r>
  <r>
    <x v="1463"/>
    <x v="927"/>
    <x v="26"/>
    <s v="Poland"/>
    <s v="Netherlands"/>
    <n v="1"/>
    <n v="3"/>
    <s v="FIFA World Cup qualification"/>
    <s v="Pozna≈Ñ"/>
    <s v="Poland"/>
    <b v="0"/>
    <n v="1993"/>
    <n v="96043157272"/>
    <n v="354070495965"/>
    <x v="0"/>
    <n v="1"/>
    <x v="2"/>
  </r>
  <r>
    <x v="1464"/>
    <x v="927"/>
    <x v="26"/>
    <s v="Spain"/>
    <s v="Denmark"/>
    <n v="1"/>
    <n v="0"/>
    <s v="FIFA World Cup qualification"/>
    <s v="Seville"/>
    <s v="Spain"/>
    <b v="0"/>
    <n v="1993"/>
    <n v="524700572623"/>
    <n v="143111306004"/>
    <x v="0"/>
    <n v="1"/>
    <x v="2"/>
  </r>
  <r>
    <x v="1465"/>
    <x v="927"/>
    <x v="26"/>
    <s v="Switzerland"/>
    <s v="Estonia"/>
    <n v="4"/>
    <n v="0"/>
    <s v="FIFA World Cup qualification"/>
    <s v="Z√ºrich"/>
    <s v="Switzerland"/>
    <b v="0"/>
    <n v="1993"/>
    <n v="272237527070"/>
    <n v="4013091682"/>
    <x v="0"/>
    <n v="1"/>
    <x v="2"/>
  </r>
  <r>
    <x v="1466"/>
    <x v="928"/>
    <x v="27"/>
    <s v="Germany"/>
    <s v="Bolivia"/>
    <n v="1"/>
    <n v="0"/>
    <s v="FIFA World Cup"/>
    <s v="Chicago"/>
    <s v="United States"/>
    <b v="1"/>
    <n v="1994"/>
    <n v="2215282632276"/>
    <n v="5981222858"/>
    <x v="0"/>
    <n v="1"/>
    <x v="2"/>
  </r>
  <r>
    <x v="1467"/>
    <x v="928"/>
    <x v="27"/>
    <s v="Spain"/>
    <s v="South Korea"/>
    <n v="2"/>
    <n v="2"/>
    <s v="FIFA World Cup"/>
    <s v="Dallas"/>
    <s v="United States"/>
    <b v="1"/>
    <n v="1994"/>
    <n v="530183651720"/>
    <n v="479181794216"/>
    <x v="1"/>
    <n v="0"/>
    <x v="1"/>
  </r>
  <r>
    <x v="1468"/>
    <x v="929"/>
    <x v="27"/>
    <s v="Colombia"/>
    <s v="Romania"/>
    <n v="1"/>
    <n v="3"/>
    <s v="FIFA World Cup"/>
    <s v="Pasadena"/>
    <s v="United States"/>
    <b v="1"/>
    <n v="1994"/>
    <n v="81703500846"/>
    <n v="30072805104"/>
    <x v="0"/>
    <n v="-1"/>
    <x v="0"/>
  </r>
  <r>
    <x v="1469"/>
    <x v="929"/>
    <x v="27"/>
    <s v="United States"/>
    <s v="Switzerland"/>
    <n v="1"/>
    <n v="1"/>
    <s v="FIFA World Cup"/>
    <s v="Pontiac"/>
    <s v="United States"/>
    <b v="0"/>
    <n v="1994"/>
    <n v="7287236000000"/>
    <n v="301375055202"/>
    <x v="0"/>
    <n v="0"/>
    <x v="1"/>
  </r>
  <r>
    <x v="1470"/>
    <x v="930"/>
    <x v="27"/>
    <s v="Belgium"/>
    <s v="Morocco"/>
    <n v="1"/>
    <n v="0"/>
    <s v="FIFA World Cup"/>
    <s v="Orlando"/>
    <s v="United States"/>
    <b v="1"/>
    <n v="1994"/>
    <n v="244884129491"/>
    <n v="35604137422"/>
    <x v="0"/>
    <n v="1"/>
    <x v="2"/>
  </r>
  <r>
    <x v="1471"/>
    <x v="930"/>
    <x v="27"/>
    <s v="Cameroon"/>
    <s v="Sweden"/>
    <n v="2"/>
    <n v="2"/>
    <s v="FIFA World Cup"/>
    <s v="Pasadena"/>
    <s v="United States"/>
    <b v="1"/>
    <n v="1994"/>
    <n v="8902446252"/>
    <n v="228699066874"/>
    <x v="0"/>
    <n v="0"/>
    <x v="1"/>
  </r>
  <r>
    <x v="1472"/>
    <x v="930"/>
    <x v="27"/>
    <s v="Norway"/>
    <s v="Mexico"/>
    <n v="1"/>
    <n v="0"/>
    <s v="FIFA World Cup"/>
    <s v="Washington, D.C."/>
    <s v="United States"/>
    <b v="1"/>
    <n v="1994"/>
    <n v="127131319428"/>
    <n v="553618247900"/>
    <x v="0"/>
    <n v="-1"/>
    <x v="0"/>
  </r>
  <r>
    <x v="1473"/>
    <x v="931"/>
    <x v="27"/>
    <s v="Brazil"/>
    <s v="Russia"/>
    <n v="2"/>
    <n v="0"/>
    <s v="FIFA World Cup"/>
    <s v="Palo Alto"/>
    <s v="United States"/>
    <b v="1"/>
    <n v="1994"/>
    <n v="525369851353"/>
    <n v="395077301248"/>
    <x v="1"/>
    <n v="1"/>
    <x v="2"/>
  </r>
  <r>
    <x v="1474"/>
    <x v="931"/>
    <x v="27"/>
    <s v="Netherlands"/>
    <s v="Saudi Arabia"/>
    <n v="2"/>
    <n v="1"/>
    <s v="FIFA World Cup"/>
    <s v="Washington, D.C."/>
    <s v="United States"/>
    <b v="1"/>
    <n v="1994"/>
    <n v="379688232231"/>
    <n v="135174899866"/>
    <x v="0"/>
    <n v="1"/>
    <x v="2"/>
  </r>
  <r>
    <x v="1475"/>
    <x v="932"/>
    <x v="27"/>
    <s v="Argentina"/>
    <s v="Greece"/>
    <n v="4"/>
    <n v="0"/>
    <s v="FIFA World Cup"/>
    <s v="Foxborough"/>
    <s v="United States"/>
    <b v="1"/>
    <n v="1994"/>
    <n v="257440000000"/>
    <n v="114980063202"/>
    <x v="0"/>
    <n v="1"/>
    <x v="2"/>
  </r>
  <r>
    <x v="1476"/>
    <x v="932"/>
    <x v="27"/>
    <s v="Germany"/>
    <s v="Spain"/>
    <n v="1"/>
    <n v="1"/>
    <s v="FIFA World Cup"/>
    <s v="Chicago"/>
    <s v="United States"/>
    <b v="1"/>
    <n v="1994"/>
    <n v="2215282632276"/>
    <n v="530183651720"/>
    <x v="0"/>
    <n v="0"/>
    <x v="1"/>
  </r>
  <r>
    <x v="1477"/>
    <x v="932"/>
    <x v="27"/>
    <s v="Nigeria"/>
    <s v="Bulgaria"/>
    <n v="3"/>
    <n v="0"/>
    <s v="FIFA World Cup"/>
    <s v="Dallas"/>
    <s v="United States"/>
    <b v="1"/>
    <n v="1994"/>
    <n v="80399613063"/>
    <n v="9709240033"/>
    <x v="0"/>
    <n v="1"/>
    <x v="2"/>
  </r>
  <r>
    <x v="1478"/>
    <x v="933"/>
    <x v="27"/>
    <s v="Romania"/>
    <s v="Switzerland"/>
    <n v="1"/>
    <n v="4"/>
    <s v="FIFA World Cup"/>
    <s v="Pontiac"/>
    <s v="United States"/>
    <b v="1"/>
    <n v="1994"/>
    <n v="30072805104"/>
    <n v="301375055202"/>
    <x v="0"/>
    <n v="1"/>
    <x v="2"/>
  </r>
  <r>
    <x v="1479"/>
    <x v="933"/>
    <x v="27"/>
    <s v="United States"/>
    <s v="Colombia"/>
    <n v="2"/>
    <n v="1"/>
    <s v="FIFA World Cup"/>
    <s v="Pasadena"/>
    <s v="United States"/>
    <b v="0"/>
    <n v="1994"/>
    <n v="7287236000000"/>
    <n v="81703500846"/>
    <x v="0"/>
    <n v="1"/>
    <x v="2"/>
  </r>
  <r>
    <x v="1480"/>
    <x v="934"/>
    <x v="27"/>
    <s v="Italy"/>
    <s v="Norway"/>
    <n v="1"/>
    <n v="0"/>
    <s v="FIFA World Cup"/>
    <s v="East Rutherford"/>
    <s v="United States"/>
    <b v="1"/>
    <n v="1994"/>
    <n v="1101750159702"/>
    <n v="127131319428"/>
    <x v="0"/>
    <n v="1"/>
    <x v="2"/>
  </r>
  <r>
    <x v="1481"/>
    <x v="934"/>
    <x v="27"/>
    <s v="South Korea"/>
    <s v="Bolivia"/>
    <n v="0"/>
    <n v="0"/>
    <s v="FIFA World Cup"/>
    <s v="Foxborough"/>
    <s v="United States"/>
    <b v="1"/>
    <n v="1994"/>
    <n v="479181794216"/>
    <n v="5981222858"/>
    <x v="0"/>
    <n v="0"/>
    <x v="1"/>
  </r>
  <r>
    <x v="1482"/>
    <x v="935"/>
    <x v="27"/>
    <s v="Brazil"/>
    <s v="Cameroon"/>
    <n v="3"/>
    <n v="0"/>
    <s v="FIFA World Cup"/>
    <s v="Palo Alto"/>
    <s v="United States"/>
    <b v="1"/>
    <n v="1994"/>
    <n v="525369851353"/>
    <n v="8902446252"/>
    <x v="0"/>
    <n v="1"/>
    <x v="2"/>
  </r>
  <r>
    <x v="1483"/>
    <x v="935"/>
    <x v="27"/>
    <s v="Sweden"/>
    <s v="Russia"/>
    <n v="3"/>
    <n v="1"/>
    <s v="FIFA World Cup"/>
    <s v="Pontiac"/>
    <s v="United States"/>
    <b v="1"/>
    <n v="1994"/>
    <n v="228699066874"/>
    <n v="395077301248"/>
    <x v="1"/>
    <n v="-1"/>
    <x v="0"/>
  </r>
  <r>
    <x v="1484"/>
    <x v="936"/>
    <x v="27"/>
    <s v="Argentina"/>
    <s v="Nigeria"/>
    <n v="2"/>
    <n v="1"/>
    <s v="FIFA World Cup"/>
    <s v="Foxborough"/>
    <s v="United States"/>
    <b v="1"/>
    <n v="1994"/>
    <n v="257440000000"/>
    <n v="80399613063"/>
    <x v="0"/>
    <n v="1"/>
    <x v="2"/>
  </r>
  <r>
    <x v="1485"/>
    <x v="936"/>
    <x v="27"/>
    <s v="Belgium"/>
    <s v="Netherlands"/>
    <n v="1"/>
    <n v="0"/>
    <s v="FIFA World Cup"/>
    <s v="Orlando"/>
    <s v="United States"/>
    <b v="1"/>
    <n v="1994"/>
    <n v="244884129491"/>
    <n v="379688232231"/>
    <x v="1"/>
    <n v="-1"/>
    <x v="0"/>
  </r>
  <r>
    <x v="1486"/>
    <x v="936"/>
    <x v="27"/>
    <s v="Saudi Arabia"/>
    <s v="Morocco"/>
    <n v="2"/>
    <n v="1"/>
    <s v="FIFA World Cup"/>
    <s v="East Rutherford"/>
    <s v="United States"/>
    <b v="1"/>
    <n v="1994"/>
    <n v="135174899866"/>
    <n v="35604137422"/>
    <x v="0"/>
    <n v="1"/>
    <x v="2"/>
  </r>
  <r>
    <x v="1487"/>
    <x v="937"/>
    <x v="27"/>
    <s v="Bulgaria"/>
    <s v="Greece"/>
    <n v="4"/>
    <n v="0"/>
    <s v="FIFA World Cup"/>
    <s v="Chicago"/>
    <s v="United States"/>
    <b v="1"/>
    <n v="1994"/>
    <n v="9709240033"/>
    <n v="114980063202"/>
    <x v="0"/>
    <n v="-1"/>
    <x v="0"/>
  </r>
  <r>
    <x v="1488"/>
    <x v="937"/>
    <x v="27"/>
    <s v="Switzerland"/>
    <s v="Colombia"/>
    <n v="0"/>
    <n v="2"/>
    <s v="FIFA World Cup"/>
    <s v="Palo Alto"/>
    <s v="United States"/>
    <b v="1"/>
    <n v="1994"/>
    <n v="301375055202"/>
    <n v="81703500846"/>
    <x v="0"/>
    <n v="-1"/>
    <x v="0"/>
  </r>
  <r>
    <x v="1489"/>
    <x v="937"/>
    <x v="27"/>
    <s v="United States"/>
    <s v="Romania"/>
    <n v="0"/>
    <n v="1"/>
    <s v="FIFA World Cup"/>
    <s v="Pasadena"/>
    <s v="United States"/>
    <b v="0"/>
    <n v="1994"/>
    <n v="7287236000000"/>
    <n v="30072805104"/>
    <x v="0"/>
    <n v="-1"/>
    <x v="0"/>
  </r>
  <r>
    <x v="1490"/>
    <x v="938"/>
    <x v="27"/>
    <s v="Bolivia"/>
    <s v="Spain"/>
    <n v="1"/>
    <n v="3"/>
    <s v="FIFA World Cup"/>
    <s v="Chicago"/>
    <s v="United States"/>
    <b v="1"/>
    <n v="1994"/>
    <n v="5981222858"/>
    <n v="530183651720"/>
    <x v="0"/>
    <n v="1"/>
    <x v="2"/>
  </r>
  <r>
    <x v="1491"/>
    <x v="938"/>
    <x v="27"/>
    <s v="Germany"/>
    <s v="South Korea"/>
    <n v="3"/>
    <n v="2"/>
    <s v="FIFA World Cup"/>
    <s v="Dallas"/>
    <s v="United States"/>
    <b v="1"/>
    <n v="1994"/>
    <n v="2215282632276"/>
    <n v="479181794216"/>
    <x v="0"/>
    <n v="1"/>
    <x v="2"/>
  </r>
  <r>
    <x v="1492"/>
    <x v="939"/>
    <x v="27"/>
    <s v="Brazil"/>
    <s v="Sweden"/>
    <n v="1"/>
    <n v="1"/>
    <s v="FIFA World Cup"/>
    <s v="Pontiac"/>
    <s v="United States"/>
    <b v="1"/>
    <n v="1994"/>
    <n v="525369851353"/>
    <n v="228699066874"/>
    <x v="0"/>
    <n v="0"/>
    <x v="1"/>
  </r>
  <r>
    <x v="1493"/>
    <x v="939"/>
    <x v="27"/>
    <s v="Italy"/>
    <s v="Mexico"/>
    <n v="1"/>
    <n v="1"/>
    <s v="FIFA World Cup"/>
    <s v="Washington, D.C."/>
    <s v="United States"/>
    <b v="1"/>
    <n v="1994"/>
    <n v="1101750159702"/>
    <n v="553618247900"/>
    <x v="1"/>
    <n v="0"/>
    <x v="1"/>
  </r>
  <r>
    <x v="1494"/>
    <x v="939"/>
    <x v="27"/>
    <s v="Russia"/>
    <s v="Cameroon"/>
    <n v="6"/>
    <n v="1"/>
    <s v="FIFA World Cup"/>
    <s v="Palo Alto"/>
    <s v="United States"/>
    <b v="1"/>
    <n v="1994"/>
    <n v="395077301248"/>
    <n v="8902446252"/>
    <x v="0"/>
    <n v="1"/>
    <x v="2"/>
  </r>
  <r>
    <x v="1495"/>
    <x v="940"/>
    <x v="27"/>
    <s v="Belgium"/>
    <s v="Saudi Arabia"/>
    <n v="0"/>
    <n v="1"/>
    <s v="FIFA World Cup"/>
    <s v="Washington, D.C."/>
    <s v="United States"/>
    <b v="1"/>
    <n v="1994"/>
    <n v="244884129491"/>
    <n v="135174899866"/>
    <x v="1"/>
    <n v="-1"/>
    <x v="0"/>
  </r>
  <r>
    <x v="1496"/>
    <x v="940"/>
    <x v="27"/>
    <s v="Morocco"/>
    <s v="Netherlands"/>
    <n v="1"/>
    <n v="2"/>
    <s v="FIFA World Cup"/>
    <s v="Orlando"/>
    <s v="United States"/>
    <b v="1"/>
    <n v="1994"/>
    <n v="35604137422"/>
    <n v="379688232231"/>
    <x v="0"/>
    <n v="1"/>
    <x v="2"/>
  </r>
  <r>
    <x v="1497"/>
    <x v="941"/>
    <x v="27"/>
    <s v="Argentina"/>
    <s v="Bulgaria"/>
    <n v="0"/>
    <n v="2"/>
    <s v="FIFA World Cup"/>
    <s v="Dallas"/>
    <s v="United States"/>
    <b v="1"/>
    <n v="1994"/>
    <n v="257440000000"/>
    <n v="9709240033"/>
    <x v="0"/>
    <n v="-1"/>
    <x v="0"/>
  </r>
  <r>
    <x v="1498"/>
    <x v="941"/>
    <x v="27"/>
    <s v="Greece"/>
    <s v="Nigeria"/>
    <n v="0"/>
    <n v="2"/>
    <s v="FIFA World Cup"/>
    <s v="Foxborough"/>
    <s v="United States"/>
    <b v="1"/>
    <n v="1994"/>
    <n v="114980063202"/>
    <n v="80399613063"/>
    <x v="1"/>
    <n v="-1"/>
    <x v="0"/>
  </r>
  <r>
    <x v="1499"/>
    <x v="942"/>
    <x v="27"/>
    <s v="Germany"/>
    <s v="Belgium"/>
    <n v="3"/>
    <n v="2"/>
    <s v="FIFA World Cup"/>
    <s v="Chicago"/>
    <s v="United States"/>
    <b v="1"/>
    <n v="1994"/>
    <n v="2215282632276"/>
    <n v="244884129491"/>
    <x v="0"/>
    <n v="1"/>
    <x v="2"/>
  </r>
  <r>
    <x v="1500"/>
    <x v="942"/>
    <x v="27"/>
    <s v="Spain"/>
    <s v="Switzerland"/>
    <n v="3"/>
    <n v="0"/>
    <s v="FIFA World Cup"/>
    <s v="Washington, D.C."/>
    <s v="United States"/>
    <b v="1"/>
    <n v="1994"/>
    <n v="530183651720"/>
    <n v="301375055202"/>
    <x v="1"/>
    <n v="1"/>
    <x v="2"/>
  </r>
  <r>
    <x v="1501"/>
    <x v="943"/>
    <x v="27"/>
    <s v="Romania"/>
    <s v="Argentina"/>
    <n v="3"/>
    <n v="2"/>
    <s v="FIFA World Cup"/>
    <s v="Pasadena"/>
    <s v="United States"/>
    <b v="1"/>
    <n v="1994"/>
    <n v="30072805104"/>
    <n v="257440000000"/>
    <x v="0"/>
    <n v="-1"/>
    <x v="0"/>
  </r>
  <r>
    <x v="1502"/>
    <x v="943"/>
    <x v="27"/>
    <s v="Saudi Arabia"/>
    <s v="Sweden"/>
    <n v="1"/>
    <n v="3"/>
    <s v="FIFA World Cup"/>
    <s v="Dallas"/>
    <s v="United States"/>
    <b v="1"/>
    <n v="1994"/>
    <n v="135174899866"/>
    <n v="228699066874"/>
    <x v="1"/>
    <n v="1"/>
    <x v="2"/>
  </r>
  <r>
    <x v="1503"/>
    <x v="944"/>
    <x v="27"/>
    <s v="United States"/>
    <s v="Brazil"/>
    <n v="0"/>
    <n v="1"/>
    <s v="FIFA World Cup"/>
    <s v="Palo Alto"/>
    <s v="United States"/>
    <b v="0"/>
    <n v="1994"/>
    <n v="7287236000000"/>
    <n v="525369851353"/>
    <x v="0"/>
    <n v="-1"/>
    <x v="0"/>
  </r>
  <r>
    <x v="1504"/>
    <x v="945"/>
    <x v="27"/>
    <s v="Mexico"/>
    <s v="Bulgaria"/>
    <n v="1"/>
    <n v="1"/>
    <s v="FIFA World Cup"/>
    <s v="East Rutherford"/>
    <s v="United States"/>
    <b v="1"/>
    <n v="1994"/>
    <n v="553618247900"/>
    <n v="9709240033"/>
    <x v="0"/>
    <n v="0"/>
    <x v="1"/>
  </r>
  <r>
    <x v="1505"/>
    <x v="945"/>
    <x v="27"/>
    <s v="Nigeria"/>
    <s v="Italy"/>
    <n v="1"/>
    <n v="2"/>
    <s v="FIFA World Cup"/>
    <s v="Foxborough"/>
    <s v="United States"/>
    <b v="1"/>
    <n v="1994"/>
    <n v="80399613063"/>
    <n v="1101750159702"/>
    <x v="0"/>
    <n v="1"/>
    <x v="2"/>
  </r>
  <r>
    <x v="1506"/>
    <x v="946"/>
    <x v="27"/>
    <s v="Italy"/>
    <s v="Spain"/>
    <n v="2"/>
    <n v="1"/>
    <s v="FIFA World Cup"/>
    <s v="Foxborough"/>
    <s v="United States"/>
    <b v="1"/>
    <n v="1994"/>
    <n v="1101750159702"/>
    <n v="530183651720"/>
    <x v="0"/>
    <n v="1"/>
    <x v="2"/>
  </r>
  <r>
    <x v="1507"/>
    <x v="946"/>
    <x v="27"/>
    <s v="Netherlands"/>
    <s v="Brazil"/>
    <n v="2"/>
    <n v="3"/>
    <s v="FIFA World Cup"/>
    <s v="Dallas"/>
    <s v="United States"/>
    <b v="1"/>
    <n v="1994"/>
    <n v="379688232231"/>
    <n v="525369851353"/>
    <x v="1"/>
    <n v="1"/>
    <x v="2"/>
  </r>
  <r>
    <x v="1508"/>
    <x v="947"/>
    <x v="27"/>
    <s v="Bulgaria"/>
    <s v="Germany"/>
    <n v="2"/>
    <n v="1"/>
    <s v="FIFA World Cup"/>
    <s v="East Rutherford"/>
    <s v="United States"/>
    <b v="1"/>
    <n v="1994"/>
    <n v="9709240033"/>
    <n v="2215282632276"/>
    <x v="0"/>
    <n v="-1"/>
    <x v="0"/>
  </r>
  <r>
    <x v="1509"/>
    <x v="947"/>
    <x v="27"/>
    <s v="Romania"/>
    <s v="Sweden"/>
    <n v="2"/>
    <n v="2"/>
    <s v="FIFA World Cup"/>
    <s v="Palo Alto"/>
    <s v="United States"/>
    <b v="1"/>
    <n v="1994"/>
    <n v="30072805104"/>
    <n v="228699066874"/>
    <x v="0"/>
    <n v="0"/>
    <x v="1"/>
  </r>
  <r>
    <x v="1510"/>
    <x v="948"/>
    <x v="27"/>
    <s v="Bulgaria"/>
    <s v="Italy"/>
    <n v="1"/>
    <n v="2"/>
    <s v="FIFA World Cup"/>
    <s v="East Rutherford"/>
    <s v="United States"/>
    <b v="1"/>
    <n v="1994"/>
    <n v="9709240033"/>
    <n v="1101750159702"/>
    <x v="0"/>
    <n v="1"/>
    <x v="2"/>
  </r>
  <r>
    <x v="1511"/>
    <x v="948"/>
    <x v="27"/>
    <s v="Sweden"/>
    <s v="Brazil"/>
    <n v="0"/>
    <n v="1"/>
    <s v="FIFA World Cup"/>
    <s v="Pasadena"/>
    <s v="United States"/>
    <b v="1"/>
    <n v="1994"/>
    <n v="228699066874"/>
    <n v="525369851353"/>
    <x v="0"/>
    <n v="1"/>
    <x v="2"/>
  </r>
  <r>
    <x v="1512"/>
    <x v="949"/>
    <x v="27"/>
    <s v="Sweden"/>
    <s v="Bulgaria"/>
    <n v="4"/>
    <n v="0"/>
    <s v="FIFA World Cup"/>
    <s v="Pasadena"/>
    <s v="United States"/>
    <b v="1"/>
    <n v="1994"/>
    <n v="228699066874"/>
    <n v="9709240033"/>
    <x v="0"/>
    <n v="1"/>
    <x v="2"/>
  </r>
  <r>
    <x v="1513"/>
    <x v="950"/>
    <x v="27"/>
    <s v="Brazil"/>
    <s v="Italy"/>
    <n v="0"/>
    <n v="0"/>
    <s v="FIFA World Cup"/>
    <s v="Pasadena"/>
    <s v="United States"/>
    <b v="1"/>
    <n v="1994"/>
    <n v="525369851353"/>
    <n v="1101750159702"/>
    <x v="0"/>
    <n v="0"/>
    <x v="1"/>
  </r>
  <r>
    <x v="1514"/>
    <x v="951"/>
    <x v="28"/>
    <s v="Dominica"/>
    <s v="Antigua and Barbuda"/>
    <n v="3"/>
    <n v="3"/>
    <s v="FIFA World Cup qualification"/>
    <s v="Roseau"/>
    <s v="Dominica"/>
    <b v="0"/>
    <n v="1996"/>
    <n v="292285185"/>
    <n v="679140740"/>
    <x v="0"/>
    <n v="0"/>
    <x v="1"/>
  </r>
  <r>
    <x v="1515"/>
    <x v="952"/>
    <x v="28"/>
    <s v="Dominican Republic"/>
    <s v="Aruba"/>
    <n v="3"/>
    <n v="2"/>
    <s v="FIFA World Cup qualification"/>
    <s v="Santo Domingo"/>
    <s v="Dominican Republic"/>
    <b v="0"/>
    <n v="1996"/>
    <n v="18241622547"/>
    <n v="1379888268"/>
    <x v="0"/>
    <n v="1"/>
    <x v="2"/>
  </r>
  <r>
    <x v="1516"/>
    <x v="953"/>
    <x v="28"/>
    <s v="Guyana"/>
    <s v="Grenada"/>
    <n v="1"/>
    <n v="2"/>
    <s v="FIFA World Cup qualification"/>
    <s v="Georgetown"/>
    <s v="Guyana"/>
    <b v="0"/>
    <n v="1996"/>
    <n v="705406001"/>
    <n v="366911444"/>
    <x v="1"/>
    <n v="-1"/>
    <x v="0"/>
  </r>
  <r>
    <x v="1517"/>
    <x v="954"/>
    <x v="28"/>
    <s v="Antigua and Barbuda"/>
    <s v="Dominica"/>
    <n v="1"/>
    <n v="3"/>
    <s v="FIFA World Cup qualification"/>
    <s v="St. John's"/>
    <s v="Antigua and Barbuda"/>
    <b v="0"/>
    <n v="1996"/>
    <n v="679140740"/>
    <n v="292285185"/>
    <x v="0"/>
    <n v="-1"/>
    <x v="0"/>
  </r>
  <r>
    <x v="1518"/>
    <x v="954"/>
    <x v="28"/>
    <s v="Aruba"/>
    <s v="Dominican Republic"/>
    <n v="1"/>
    <n v="3"/>
    <s v="FIFA World Cup qualification"/>
    <s v="Oranjestad"/>
    <s v="Aruba"/>
    <b v="0"/>
    <n v="1996"/>
    <n v="1379888268"/>
    <n v="18241622547"/>
    <x v="0"/>
    <n v="1"/>
    <x v="2"/>
  </r>
  <r>
    <x v="1519"/>
    <x v="954"/>
    <x v="28"/>
    <s v="Suriname"/>
    <s v="Jamaica"/>
    <n v="0"/>
    <n v="1"/>
    <s v="FIFA World Cup qualification"/>
    <s v="Paramaribo"/>
    <s v="Suriname"/>
    <b v="0"/>
    <n v="1996"/>
    <n v="861372806"/>
    <n v="7393891920"/>
    <x v="0"/>
    <n v="1"/>
    <x v="2"/>
  </r>
  <r>
    <x v="1520"/>
    <x v="955"/>
    <x v="28"/>
    <s v="Grenada"/>
    <s v="Guyana"/>
    <n v="6"/>
    <n v="0"/>
    <s v="FIFA World Cup qualification"/>
    <s v="St. George's"/>
    <s v="Grenada"/>
    <b v="0"/>
    <n v="1996"/>
    <n v="366911444"/>
    <n v="705406001"/>
    <x v="1"/>
    <n v="-1"/>
    <x v="0"/>
  </r>
  <r>
    <x v="1521"/>
    <x v="956"/>
    <x v="28"/>
    <s v="Jamaica"/>
    <s v="Suriname"/>
    <n v="1"/>
    <n v="0"/>
    <s v="FIFA World Cup qualification"/>
    <s v="Kingston"/>
    <s v="Jamaica"/>
    <b v="0"/>
    <n v="1996"/>
    <n v="7393891920"/>
    <n v="861372806"/>
    <x v="0"/>
    <n v="1"/>
    <x v="2"/>
  </r>
  <r>
    <x v="1522"/>
    <x v="957"/>
    <x v="28"/>
    <s v="Argentina"/>
    <s v="Bolivia"/>
    <n v="3"/>
    <n v="1"/>
    <s v="FIFA World Cup qualification"/>
    <s v="Buenos Aires"/>
    <s v="Argentina"/>
    <b v="0"/>
    <n v="1996"/>
    <n v="272149750000"/>
    <n v="7396949126"/>
    <x v="0"/>
    <n v="1"/>
    <x v="2"/>
  </r>
  <r>
    <x v="1523"/>
    <x v="957"/>
    <x v="28"/>
    <s v="Colombia"/>
    <s v="Paraguay"/>
    <n v="1"/>
    <n v="0"/>
    <s v="FIFA World Cup qualification"/>
    <s v="Barranquilla"/>
    <s v="Colombia"/>
    <b v="0"/>
    <n v="1996"/>
    <n v="97160109277"/>
    <n v="9788391780"/>
    <x v="0"/>
    <n v="1"/>
    <x v="2"/>
  </r>
  <r>
    <x v="1524"/>
    <x v="957"/>
    <x v="28"/>
    <s v="Ecuador"/>
    <s v="Peru"/>
    <n v="4"/>
    <n v="1"/>
    <s v="FIFA World Cup qualification"/>
    <s v="Guayaquil"/>
    <s v="Ecuador"/>
    <b v="0"/>
    <n v="1996"/>
    <n v="25226393196"/>
    <n v="55252414130"/>
    <x v="0"/>
    <n v="-1"/>
    <x v="0"/>
  </r>
  <r>
    <x v="1525"/>
    <x v="957"/>
    <x v="28"/>
    <s v="Greece"/>
    <s v="Slovenia"/>
    <n v="2"/>
    <n v="0"/>
    <s v="FIFA World Cup qualification"/>
    <s v="Athens"/>
    <s v="Greece"/>
    <b v="0"/>
    <n v="1996"/>
    <n v="142502984144"/>
    <n v="21470699362"/>
    <x v="0"/>
    <n v="1"/>
    <x v="2"/>
  </r>
  <r>
    <x v="1526"/>
    <x v="957"/>
    <x v="28"/>
    <s v="North Macedonia"/>
    <s v="Liechtenstein"/>
    <n v="3"/>
    <n v="0"/>
    <s v="FIFA World Cup qualification"/>
    <s v="Skopje"/>
    <s v="North Macedonia"/>
    <b v="0"/>
    <n v="1996"/>
    <n v="4642021256"/>
    <n v="2504012993"/>
    <x v="1"/>
    <n v="1"/>
    <x v="2"/>
  </r>
  <r>
    <x v="1527"/>
    <x v="957"/>
    <x v="28"/>
    <s v="Serbia"/>
    <s v="Faroe Islands"/>
    <n v="3"/>
    <n v="1"/>
    <s v="FIFA World Cup qualification"/>
    <s v="Belgrade"/>
    <s v="FR Yugoslavia"/>
    <b v="0"/>
    <n v="1996"/>
    <n v="23277430167"/>
    <n v="989536914"/>
    <x v="0"/>
    <n v="1"/>
    <x v="2"/>
  </r>
  <r>
    <x v="1528"/>
    <x v="957"/>
    <x v="28"/>
    <s v="Venezuela"/>
    <s v="Uruguay"/>
    <n v="0"/>
    <n v="2"/>
    <s v="FIFA World Cup qualification"/>
    <s v="Caracas"/>
    <s v="Venezuela"/>
    <b v="0"/>
    <n v="1996"/>
    <n v="70543211119"/>
    <n v="20515458113"/>
    <x v="0"/>
    <n v="-1"/>
    <x v="0"/>
  </r>
  <r>
    <x v="1529"/>
    <x v="958"/>
    <x v="28"/>
    <s v="Nicaragua"/>
    <s v="Guatemala"/>
    <n v="0"/>
    <n v="1"/>
    <s v="FIFA World Cup qualification"/>
    <s v="Diriamba"/>
    <s v="Nicaragua"/>
    <b v="0"/>
    <n v="1996"/>
    <n v="4308351902"/>
    <n v="15674835615"/>
    <x v="0"/>
    <n v="1"/>
    <x v="2"/>
  </r>
  <r>
    <x v="1530"/>
    <x v="959"/>
    <x v="28"/>
    <s v="Guatemala"/>
    <s v="Nicaragua"/>
    <n v="2"/>
    <n v="1"/>
    <s v="FIFA World Cup qualification"/>
    <s v="Guatemala City"/>
    <s v="Guatemala"/>
    <b v="0"/>
    <n v="1996"/>
    <n v="15674835615"/>
    <n v="4308351902"/>
    <x v="0"/>
    <n v="1"/>
    <x v="2"/>
  </r>
  <r>
    <x v="1531"/>
    <x v="960"/>
    <x v="28"/>
    <s v="Haiti"/>
    <s v="Grenada"/>
    <n v="6"/>
    <n v="1"/>
    <s v="FIFA World Cup qualification"/>
    <s v="Port-au-Prince"/>
    <s v="Haiti"/>
    <b v="0"/>
    <n v="1996"/>
    <n v="2907517603"/>
    <n v="366911444"/>
    <x v="0"/>
    <n v="1"/>
    <x v="2"/>
  </r>
  <r>
    <x v="1532"/>
    <x v="961"/>
    <x v="28"/>
    <s v="Dominica"/>
    <s v="Barbados"/>
    <n v="0"/>
    <n v="1"/>
    <s v="FIFA World Cup qualification"/>
    <s v="Roseau"/>
    <s v="Dominica"/>
    <b v="0"/>
    <n v="1996"/>
    <n v="292285185"/>
    <n v="2363645403"/>
    <x v="0"/>
    <n v="1"/>
    <x v="2"/>
  </r>
  <r>
    <x v="1533"/>
    <x v="962"/>
    <x v="28"/>
    <s v="Grenada"/>
    <s v="Haiti"/>
    <n v="0"/>
    <n v="1"/>
    <s v="FIFA World Cup qualification"/>
    <s v="St. George's"/>
    <s v="Grenada"/>
    <b v="0"/>
    <n v="1996"/>
    <n v="366911444"/>
    <n v="2907517603"/>
    <x v="0"/>
    <n v="1"/>
    <x v="2"/>
  </r>
  <r>
    <x v="1534"/>
    <x v="963"/>
    <x v="28"/>
    <s v="Barbados"/>
    <s v="Dominica"/>
    <n v="1"/>
    <n v="0"/>
    <s v="FIFA World Cup qualification"/>
    <s v="Bridgetown"/>
    <s v="Barbados"/>
    <b v="0"/>
    <n v="1996"/>
    <n v="2363645403"/>
    <n v="292285185"/>
    <x v="0"/>
    <n v="1"/>
    <x v="2"/>
  </r>
  <r>
    <x v="1535"/>
    <x v="964"/>
    <x v="28"/>
    <s v="Mauritania"/>
    <s v="Burkina Faso"/>
    <n v="0"/>
    <n v="0"/>
    <s v="FIFA World Cup qualification"/>
    <s v="Nouakchott"/>
    <s v="Mauritania"/>
    <b v="0"/>
    <n v="1996"/>
    <n v="2132087009"/>
    <n v="2586550595"/>
    <x v="1"/>
    <n v="0"/>
    <x v="1"/>
  </r>
  <r>
    <x v="1536"/>
    <x v="965"/>
    <x v="28"/>
    <s v="Guinea-Bissau"/>
    <s v="Guinea"/>
    <n v="3"/>
    <n v="2"/>
    <s v="FIFA World Cup qualification"/>
    <s v="Bissau"/>
    <s v="Guinea-Bissau"/>
    <b v="0"/>
    <n v="1996"/>
    <n v="702965147"/>
    <n v="5641243099"/>
    <x v="0"/>
    <n v="-1"/>
    <x v="0"/>
  </r>
  <r>
    <x v="1537"/>
    <x v="965"/>
    <x v="28"/>
    <s v="Iceland"/>
    <s v="North Macedonia"/>
    <n v="1"/>
    <n v="1"/>
    <s v="FIFA World Cup qualification"/>
    <s v="Reykjav√≠k"/>
    <s v="Iceland"/>
    <b v="0"/>
    <n v="1996"/>
    <n v="7686566105"/>
    <n v="4642021256"/>
    <x v="1"/>
    <n v="0"/>
    <x v="1"/>
  </r>
  <r>
    <x v="1538"/>
    <x v="965"/>
    <x v="28"/>
    <s v="Malawi"/>
    <s v="South Africa"/>
    <n v="0"/>
    <n v="1"/>
    <s v="FIFA World Cup qualification"/>
    <s v="Blantyre"/>
    <s v="Malawi"/>
    <b v="0"/>
    <n v="1996"/>
    <n v="3319573749"/>
    <n v="163234925380"/>
    <x v="0"/>
    <n v="1"/>
    <x v="2"/>
  </r>
  <r>
    <x v="1539"/>
    <x v="965"/>
    <x v="28"/>
    <s v="Namibia"/>
    <s v="Mozambique"/>
    <n v="2"/>
    <n v="0"/>
    <s v="FIFA World Cup qualification"/>
    <s v="Windhoek"/>
    <s v="Namibia"/>
    <b v="0"/>
    <n v="1996"/>
    <n v="3989163196"/>
    <n v="4030146134"/>
    <x v="1"/>
    <n v="-1"/>
    <x v="0"/>
  </r>
  <r>
    <x v="1540"/>
    <x v="965"/>
    <x v="28"/>
    <s v="Sudan"/>
    <s v="Zambia"/>
    <n v="2"/>
    <n v="0"/>
    <s v="FIFA World Cup qualification"/>
    <s v="Khartoum"/>
    <s v="Sudan"/>
    <b v="0"/>
    <n v="1996"/>
    <n v="9018300724"/>
    <n v="3597220962"/>
    <x v="0"/>
    <n v="1"/>
    <x v="2"/>
  </r>
  <r>
    <x v="1541"/>
    <x v="965"/>
    <x v="28"/>
    <s v="Sweden"/>
    <s v="Belarus"/>
    <n v="5"/>
    <n v="1"/>
    <s v="FIFA World Cup qualification"/>
    <s v="Solna"/>
    <s v="Sweden"/>
    <b v="0"/>
    <n v="1996"/>
    <n v="291949597375"/>
    <n v="14500437519"/>
    <x v="0"/>
    <n v="1"/>
    <x v="2"/>
  </r>
  <r>
    <x v="1542"/>
    <x v="965"/>
    <x v="28"/>
    <s v="Uganda"/>
    <s v="Angola"/>
    <n v="0"/>
    <n v="2"/>
    <s v="FIFA World Cup qualification"/>
    <s v="Kampala"/>
    <s v="Uganda"/>
    <b v="0"/>
    <n v="1996"/>
    <n v="6044585326"/>
    <n v="7526421519"/>
    <x v="1"/>
    <n v="1"/>
    <x v="2"/>
  </r>
  <r>
    <x v="1543"/>
    <x v="966"/>
    <x v="28"/>
    <s v="Belize"/>
    <s v="Panama"/>
    <n v="1"/>
    <n v="2"/>
    <s v="FIFA World Cup qualification"/>
    <s v="Belize City"/>
    <s v="Belize"/>
    <b v="0"/>
    <n v="1996"/>
    <n v="850339100"/>
    <n v="9197503322"/>
    <x v="0"/>
    <n v="1"/>
    <x v="2"/>
  </r>
  <r>
    <x v="1544"/>
    <x v="966"/>
    <x v="28"/>
    <s v="Burundi"/>
    <s v="Sierra Leone"/>
    <n v="1"/>
    <n v="0"/>
    <s v="FIFA World Cup qualification"/>
    <s v="Bujumbura"/>
    <s v="Burundi"/>
    <b v="0"/>
    <n v="1996"/>
    <n v="869033856"/>
    <n v="941709422"/>
    <x v="1"/>
    <n v="-1"/>
    <x v="0"/>
  </r>
  <r>
    <x v="1545"/>
    <x v="966"/>
    <x v="28"/>
    <s v="Ecuador"/>
    <s v="Argentina"/>
    <n v="2"/>
    <n v="0"/>
    <s v="FIFA World Cup qualification"/>
    <s v="Quito"/>
    <s v="Ecuador"/>
    <b v="0"/>
    <n v="1996"/>
    <n v="25226393196"/>
    <n v="272149750000"/>
    <x v="0"/>
    <n v="-1"/>
    <x v="0"/>
  </r>
  <r>
    <x v="1546"/>
    <x v="966"/>
    <x v="28"/>
    <s v="Kenya"/>
    <s v="Algeria"/>
    <n v="3"/>
    <n v="1"/>
    <s v="FIFA World Cup qualification"/>
    <s v="Nairobi"/>
    <s v="Kenya"/>
    <b v="0"/>
    <n v="1996"/>
    <n v="12045865396"/>
    <n v="46941554225"/>
    <x v="0"/>
    <n v="-1"/>
    <x v="0"/>
  </r>
  <r>
    <x v="1547"/>
    <x v="966"/>
    <x v="28"/>
    <s v="Madagascar"/>
    <s v="Zimbabwe"/>
    <n v="1"/>
    <n v="2"/>
    <s v="FIFA World Cup qualification"/>
    <s v="Antananarivo"/>
    <s v="Madagascar"/>
    <b v="0"/>
    <n v="1996"/>
    <n v="4931861038"/>
    <n v="8557500000"/>
    <x v="1"/>
    <n v="1"/>
    <x v="2"/>
  </r>
  <r>
    <x v="1548"/>
    <x v="966"/>
    <x v="28"/>
    <s v="Norway"/>
    <s v="Azerbaijan"/>
    <n v="5"/>
    <n v="0"/>
    <s v="FIFA World Cup qualification"/>
    <s v="Oslo"/>
    <s v="Norway"/>
    <b v="0"/>
    <n v="1996"/>
    <n v="163520109150"/>
    <n v="3176507376"/>
    <x v="0"/>
    <n v="1"/>
    <x v="2"/>
  </r>
  <r>
    <x v="1549"/>
    <x v="966"/>
    <x v="28"/>
    <s v="Peru"/>
    <s v="Colombia"/>
    <n v="1"/>
    <n v="1"/>
    <s v="FIFA World Cup qualification"/>
    <s v="Lima"/>
    <s v="Peru"/>
    <b v="0"/>
    <n v="1996"/>
    <n v="55252414130"/>
    <n v="97160109277"/>
    <x v="1"/>
    <n v="0"/>
    <x v="1"/>
  </r>
  <r>
    <x v="1550"/>
    <x v="966"/>
    <x v="28"/>
    <s v="Rwanda"/>
    <s v="Tunisia"/>
    <n v="1"/>
    <n v="3"/>
    <s v="FIFA World Cup qualification"/>
    <s v="Kigali"/>
    <s v="Rwanda"/>
    <b v="0"/>
    <n v="1996"/>
    <n v="1382334879"/>
    <n v="19587161806"/>
    <x v="0"/>
    <n v="1"/>
    <x v="2"/>
  </r>
  <r>
    <x v="1551"/>
    <x v="966"/>
    <x v="28"/>
    <s v="Serbia"/>
    <s v="Malta"/>
    <n v="6"/>
    <n v="0"/>
    <s v="FIFA World Cup qualification"/>
    <s v="Belgrade"/>
    <s v="FR Yugoslavia"/>
    <b v="0"/>
    <n v="1996"/>
    <n v="23277430167"/>
    <n v="3822547197"/>
    <x v="0"/>
    <n v="1"/>
    <x v="2"/>
  </r>
  <r>
    <x v="1552"/>
    <x v="966"/>
    <x v="28"/>
    <s v="Eswatini"/>
    <s v="Gabon"/>
    <n v="0"/>
    <n v="1"/>
    <s v="FIFA World Cup qualification"/>
    <s v="Mbabane"/>
    <s v="Swaziland"/>
    <b v="0"/>
    <n v="1996"/>
    <n v="1602741833"/>
    <n v="5694040002"/>
    <x v="0"/>
    <n v="1"/>
    <x v="2"/>
  </r>
  <r>
    <x v="1553"/>
    <x v="966"/>
    <x v="28"/>
    <s v="Togo"/>
    <s v="Senegal"/>
    <n v="2"/>
    <n v="1"/>
    <s v="FIFA World Cup qualification"/>
    <s v="Lom√©"/>
    <s v="Togo"/>
    <b v="0"/>
    <n v="1996"/>
    <n v="2069506014"/>
    <n v="6559712165"/>
    <x v="0"/>
    <n v="-1"/>
    <x v="0"/>
  </r>
  <r>
    <x v="1554"/>
    <x v="966"/>
    <x v="28"/>
    <s v="Uruguay"/>
    <s v="Paraguay"/>
    <n v="0"/>
    <n v="2"/>
    <s v="FIFA World Cup qualification"/>
    <s v="Montevideo"/>
    <s v="Uruguay"/>
    <b v="0"/>
    <n v="1996"/>
    <n v="20515458113"/>
    <n v="9788391780"/>
    <x v="0"/>
    <n v="-1"/>
    <x v="0"/>
  </r>
  <r>
    <x v="1555"/>
    <x v="966"/>
    <x v="28"/>
    <s v="Venezuela"/>
    <s v="Chile"/>
    <n v="1"/>
    <n v="1"/>
    <s v="FIFA World Cup qualification"/>
    <s v="Barinas"/>
    <s v="Venezuela"/>
    <b v="0"/>
    <n v="1996"/>
    <n v="70543211119"/>
    <n v="78584098983"/>
    <x v="1"/>
    <n v="0"/>
    <x v="1"/>
  </r>
  <r>
    <x v="1556"/>
    <x v="967"/>
    <x v="28"/>
    <s v="Tanzania"/>
    <s v="Ghana"/>
    <n v="0"/>
    <n v="0"/>
    <s v="FIFA World Cup qualification"/>
    <s v="Dar es Salaam"/>
    <s v="Tanzania"/>
    <b v="0"/>
    <n v="1996"/>
    <n v="9433528150"/>
    <n v="6932991739"/>
    <x v="1"/>
    <n v="0"/>
    <x v="1"/>
  </r>
  <r>
    <x v="1557"/>
    <x v="968"/>
    <x v="28"/>
    <s v="Panama"/>
    <s v="Belize"/>
    <n v="4"/>
    <n v="1"/>
    <s v="FIFA World Cup qualification"/>
    <s v="Panama City"/>
    <s v="Panama"/>
    <b v="0"/>
    <n v="1996"/>
    <n v="9197503322"/>
    <n v="850339100"/>
    <x v="0"/>
    <n v="1"/>
    <x v="2"/>
  </r>
  <r>
    <x v="1558"/>
    <x v="969"/>
    <x v="28"/>
    <s v="Algeria"/>
    <s v="Kenya"/>
    <n v="1"/>
    <n v="0"/>
    <s v="FIFA World Cup qualification"/>
    <s v="Algiers"/>
    <s v="Algeria"/>
    <b v="0"/>
    <n v="1996"/>
    <n v="46941554225"/>
    <n v="12045865396"/>
    <x v="0"/>
    <n v="1"/>
    <x v="2"/>
  </r>
  <r>
    <x v="1559"/>
    <x v="970"/>
    <x v="28"/>
    <s v="Dominican Republic"/>
    <s v="Trinidad and Tobago"/>
    <n v="1"/>
    <n v="4"/>
    <s v="FIFA World Cup qualification"/>
    <s v="Santo Domingo"/>
    <s v="Dominican Republic"/>
    <b v="0"/>
    <n v="1996"/>
    <n v="18241622547"/>
    <n v="5759570336"/>
    <x v="0"/>
    <n v="-1"/>
    <x v="0"/>
  </r>
  <r>
    <x v="1560"/>
    <x v="970"/>
    <x v="28"/>
    <s v="South Africa"/>
    <s v="Malawi"/>
    <n v="3"/>
    <n v="0"/>
    <s v="FIFA World Cup qualification"/>
    <s v="Johannesburg"/>
    <s v="South Africa"/>
    <b v="0"/>
    <n v="1996"/>
    <n v="163234925380"/>
    <n v="3319573749"/>
    <x v="0"/>
    <n v="1"/>
    <x v="2"/>
  </r>
  <r>
    <x v="1561"/>
    <x v="971"/>
    <x v="28"/>
    <s v="Senegal"/>
    <s v="Togo"/>
    <n v="1"/>
    <n v="1"/>
    <s v="FIFA World Cup qualification"/>
    <s v="Dakar"/>
    <s v="Senegal"/>
    <b v="0"/>
    <n v="1996"/>
    <n v="6559712165"/>
    <n v="2069506014"/>
    <x v="0"/>
    <n v="0"/>
    <x v="1"/>
  </r>
  <r>
    <x v="1562"/>
    <x v="971"/>
    <x v="28"/>
    <s v="Angola"/>
    <s v="Uganda"/>
    <n v="3"/>
    <n v="1"/>
    <s v="FIFA World Cup qualification"/>
    <s v="Luanda"/>
    <s v="Angola"/>
    <b v="0"/>
    <n v="1996"/>
    <n v="7526421519"/>
    <n v="6044585326"/>
    <x v="1"/>
    <n v="1"/>
    <x v="2"/>
  </r>
  <r>
    <x v="1563"/>
    <x v="971"/>
    <x v="28"/>
    <s v="Burkina Faso"/>
    <s v="Mauritania"/>
    <n v="2"/>
    <n v="0"/>
    <s v="FIFA World Cup qualification"/>
    <s v="Ouagadougou"/>
    <s v="Burkina Faso"/>
    <b v="0"/>
    <n v="1996"/>
    <n v="2586550595"/>
    <n v="2132087009"/>
    <x v="1"/>
    <n v="1"/>
    <x v="2"/>
  </r>
  <r>
    <x v="1564"/>
    <x v="971"/>
    <x v="28"/>
    <s v="Gabon"/>
    <s v="Eswatini"/>
    <n v="2"/>
    <n v="0"/>
    <s v="FIFA World Cup qualification"/>
    <s v="Libreville"/>
    <s v="Gabon"/>
    <b v="0"/>
    <n v="1996"/>
    <n v="5694040002"/>
    <n v="1602741833"/>
    <x v="0"/>
    <n v="1"/>
    <x v="2"/>
  </r>
  <r>
    <x v="1565"/>
    <x v="971"/>
    <x v="28"/>
    <s v="Guinea"/>
    <s v="Guinea-Bissau"/>
    <n v="3"/>
    <n v="1"/>
    <s v="FIFA World Cup qualification"/>
    <s v="Conakry"/>
    <s v="Guinea"/>
    <b v="0"/>
    <n v="1996"/>
    <n v="5641243099"/>
    <n v="702965147"/>
    <x v="0"/>
    <n v="1"/>
    <x v="2"/>
  </r>
  <r>
    <x v="1566"/>
    <x v="971"/>
    <x v="28"/>
    <s v="Mozambique"/>
    <s v="Namibia"/>
    <n v="1"/>
    <n v="1"/>
    <s v="FIFA World Cup qualification"/>
    <s v="Maputo"/>
    <s v="Mozambique"/>
    <b v="0"/>
    <n v="1996"/>
    <n v="4030146134"/>
    <n v="3989163196"/>
    <x v="1"/>
    <n v="0"/>
    <x v="1"/>
  </r>
  <r>
    <x v="1567"/>
    <x v="971"/>
    <x v="28"/>
    <s v="Sierra Leone"/>
    <s v="Burundi"/>
    <n v="0"/>
    <n v="1"/>
    <s v="FIFA World Cup qualification"/>
    <s v="Freetown"/>
    <s v="Sierra Leone"/>
    <b v="0"/>
    <n v="1996"/>
    <n v="941709422"/>
    <n v="869033856"/>
    <x v="1"/>
    <n v="-1"/>
    <x v="0"/>
  </r>
  <r>
    <x v="1568"/>
    <x v="971"/>
    <x v="28"/>
    <s v="Tunisia"/>
    <s v="Rwanda"/>
    <n v="2"/>
    <n v="0"/>
    <s v="FIFA World Cup qualification"/>
    <s v="Tunis"/>
    <s v="Tunisia"/>
    <b v="0"/>
    <n v="1996"/>
    <n v="19587161806"/>
    <n v="1382334879"/>
    <x v="0"/>
    <n v="1"/>
    <x v="2"/>
  </r>
  <r>
    <x v="1569"/>
    <x v="971"/>
    <x v="28"/>
    <s v="Zambia"/>
    <s v="Sudan"/>
    <n v="3"/>
    <n v="0"/>
    <s v="FIFA World Cup qualification"/>
    <s v="Lusaka"/>
    <s v="Zambia"/>
    <b v="0"/>
    <n v="1996"/>
    <n v="3597220962"/>
    <n v="9018300724"/>
    <x v="0"/>
    <n v="-1"/>
    <x v="0"/>
  </r>
  <r>
    <x v="1570"/>
    <x v="971"/>
    <x v="28"/>
    <s v="Zimbabwe"/>
    <s v="Madagascar"/>
    <n v="2"/>
    <n v="2"/>
    <s v="FIFA World Cup qualification"/>
    <s v="Harare"/>
    <s v="Zimbabwe"/>
    <b v="0"/>
    <n v="1996"/>
    <n v="8557500000"/>
    <n v="4931861038"/>
    <x v="1"/>
    <n v="0"/>
    <x v="1"/>
  </r>
  <r>
    <x v="1571"/>
    <x v="972"/>
    <x v="28"/>
    <s v="Ghana"/>
    <s v="Tanzania"/>
    <n v="2"/>
    <n v="1"/>
    <s v="FIFA World Cup qualification"/>
    <s v="Kumasi"/>
    <s v="Ghana"/>
    <b v="0"/>
    <n v="1996"/>
    <n v="6932991739"/>
    <n v="9433528150"/>
    <x v="1"/>
    <n v="-1"/>
    <x v="0"/>
  </r>
  <r>
    <x v="1572"/>
    <x v="973"/>
    <x v="28"/>
    <s v="Cuba"/>
    <s v="Haiti"/>
    <n v="6"/>
    <n v="1"/>
    <s v="FIFA World Cup qualification"/>
    <s v="Port of Spain"/>
    <s v="Trinidad and Tobago"/>
    <b v="1"/>
    <n v="1996"/>
    <n v="25017368700"/>
    <n v="2907517603"/>
    <x v="0"/>
    <n v="1"/>
    <x v="2"/>
  </r>
  <r>
    <x v="1573"/>
    <x v="973"/>
    <x v="28"/>
    <s v="Barbados"/>
    <s v="Jamaica"/>
    <n v="0"/>
    <n v="1"/>
    <s v="FIFA World Cup qualification"/>
    <s v="Bridgetown"/>
    <s v="Barbados"/>
    <b v="0"/>
    <n v="1996"/>
    <n v="2363645403"/>
    <n v="7393891920"/>
    <x v="0"/>
    <n v="1"/>
    <x v="2"/>
  </r>
  <r>
    <x v="1574"/>
    <x v="973"/>
    <x v="28"/>
    <s v="Trinidad and Tobago"/>
    <s v="Dominican Republic"/>
    <n v="8"/>
    <n v="0"/>
    <s v="FIFA World Cup qualification"/>
    <s v="Port of Spain"/>
    <s v="Trinidad and Tobago"/>
    <b v="0"/>
    <n v="1996"/>
    <n v="5759570336"/>
    <n v="18241622547"/>
    <x v="0"/>
    <n v="-1"/>
    <x v="0"/>
  </r>
  <r>
    <x v="1575"/>
    <x v="974"/>
    <x v="28"/>
    <s v="Haiti"/>
    <s v="Cuba"/>
    <n v="1"/>
    <n v="1"/>
    <s v="FIFA World Cup qualification"/>
    <s v="Cap-Ha√Øtien"/>
    <s v="Haiti"/>
    <b v="0"/>
    <n v="1996"/>
    <n v="2907517603"/>
    <n v="25017368700"/>
    <x v="0"/>
    <n v="0"/>
    <x v="1"/>
  </r>
  <r>
    <x v="1576"/>
    <x v="974"/>
    <x v="28"/>
    <s v="Jamaica"/>
    <s v="Barbados"/>
    <n v="2"/>
    <n v="0"/>
    <s v="FIFA World Cup qualification"/>
    <s v="Kingston"/>
    <s v="Jamaica"/>
    <b v="0"/>
    <n v="1996"/>
    <n v="7393891920"/>
    <n v="2363645403"/>
    <x v="0"/>
    <n v="1"/>
    <x v="2"/>
  </r>
  <r>
    <x v="1577"/>
    <x v="975"/>
    <x v="28"/>
    <s v="Chile"/>
    <s v="Ecuador"/>
    <n v="4"/>
    <n v="1"/>
    <s v="FIFA World Cup qualification"/>
    <s v="Santiago"/>
    <s v="Chile"/>
    <b v="0"/>
    <n v="1996"/>
    <n v="78584098983"/>
    <n v="25226393196"/>
    <x v="0"/>
    <n v="1"/>
    <x v="2"/>
  </r>
  <r>
    <x v="1578"/>
    <x v="976"/>
    <x v="28"/>
    <s v="Bolivia"/>
    <s v="Venezuela"/>
    <n v="6"/>
    <n v="1"/>
    <s v="FIFA World Cup qualification"/>
    <s v="La Paz"/>
    <s v="Bolivia"/>
    <b v="0"/>
    <n v="1996"/>
    <n v="7396949126"/>
    <n v="70543211119"/>
    <x v="0"/>
    <n v="-1"/>
    <x v="0"/>
  </r>
  <r>
    <x v="1579"/>
    <x v="976"/>
    <x v="28"/>
    <s v="Colombia"/>
    <s v="Uruguay"/>
    <n v="3"/>
    <n v="1"/>
    <s v="FIFA World Cup qualification"/>
    <s v="Barranquilla"/>
    <s v="Colombia"/>
    <b v="0"/>
    <n v="1996"/>
    <n v="97160109277"/>
    <n v="20515458113"/>
    <x v="0"/>
    <n v="1"/>
    <x v="2"/>
  </r>
  <r>
    <x v="1580"/>
    <x v="976"/>
    <x v="28"/>
    <s v="Peru"/>
    <s v="Argentina"/>
    <n v="0"/>
    <n v="0"/>
    <s v="FIFA World Cup qualification"/>
    <s v="Lima"/>
    <s v="Peru"/>
    <b v="0"/>
    <n v="1996"/>
    <n v="55252414130"/>
    <n v="272149750000"/>
    <x v="0"/>
    <n v="0"/>
    <x v="1"/>
  </r>
  <r>
    <x v="1581"/>
    <x v="977"/>
    <x v="28"/>
    <s v="Canada"/>
    <s v="Panama"/>
    <n v="3"/>
    <n v="1"/>
    <s v="FIFA World Cup qualification"/>
    <s v="Edmonton"/>
    <s v="Canada"/>
    <b v="0"/>
    <n v="1996"/>
    <n v="630607994132"/>
    <n v="9197503322"/>
    <x v="0"/>
    <n v="1"/>
    <x v="2"/>
  </r>
  <r>
    <x v="1582"/>
    <x v="978"/>
    <x v="28"/>
    <s v="Armenia"/>
    <s v="Portugal"/>
    <n v="0"/>
    <n v="0"/>
    <s v="FIFA World Cup qualification"/>
    <s v="Yerevan"/>
    <s v="Armenia"/>
    <b v="0"/>
    <n v="1996"/>
    <n v="1596968946"/>
    <n v="122630089680"/>
    <x v="0"/>
    <n v="0"/>
    <x v="1"/>
  </r>
  <r>
    <x v="1583"/>
    <x v="978"/>
    <x v="28"/>
    <s v="Azerbaijan"/>
    <s v="Switzerland"/>
    <n v="1"/>
    <n v="0"/>
    <s v="FIFA World Cup qualification"/>
    <s v="Baku"/>
    <s v="Azerbaijan"/>
    <b v="0"/>
    <n v="1996"/>
    <n v="3176507376"/>
    <n v="340103959546"/>
    <x v="0"/>
    <n v="-1"/>
    <x v="0"/>
  </r>
  <r>
    <x v="1584"/>
    <x v="978"/>
    <x v="28"/>
    <s v="Belarus"/>
    <s v="Estonia"/>
    <n v="1"/>
    <n v="0"/>
    <s v="FIFA World Cup qualification"/>
    <s v="Minsk"/>
    <s v="Belarus"/>
    <b v="0"/>
    <n v="1996"/>
    <n v="14500437519"/>
    <n v="4786018988"/>
    <x v="0"/>
    <n v="1"/>
    <x v="2"/>
  </r>
  <r>
    <x v="1585"/>
    <x v="978"/>
    <x v="28"/>
    <s v="Romania"/>
    <s v="Lithuania"/>
    <n v="3"/>
    <n v="0"/>
    <s v="FIFA World Cup qualification"/>
    <s v="Bucharest"/>
    <s v="Romania"/>
    <b v="0"/>
    <n v="1996"/>
    <n v="36937074278"/>
    <n v="8430207164"/>
    <x v="0"/>
    <n v="1"/>
    <x v="2"/>
  </r>
  <r>
    <x v="1586"/>
    <x v="979"/>
    <x v="28"/>
    <s v="Argentina"/>
    <s v="Paraguay"/>
    <n v="1"/>
    <n v="1"/>
    <s v="FIFA World Cup qualification"/>
    <s v="Buenos Aires"/>
    <s v="Argentina"/>
    <b v="0"/>
    <n v="1996"/>
    <n v="272149750000"/>
    <n v="9788391780"/>
    <x v="0"/>
    <n v="0"/>
    <x v="1"/>
  </r>
  <r>
    <x v="1587"/>
    <x v="979"/>
    <x v="28"/>
    <s v="Bolivia"/>
    <s v="Peru"/>
    <n v="0"/>
    <n v="0"/>
    <s v="FIFA World Cup qualification"/>
    <s v="La Paz"/>
    <s v="Bolivia"/>
    <b v="0"/>
    <n v="1996"/>
    <n v="7396949126"/>
    <n v="55252414130"/>
    <x v="0"/>
    <n v="0"/>
    <x v="1"/>
  </r>
  <r>
    <x v="1588"/>
    <x v="979"/>
    <x v="28"/>
    <s v="Colombia"/>
    <s v="Chile"/>
    <n v="4"/>
    <n v="1"/>
    <s v="FIFA World Cup qualification"/>
    <s v="Barranquilla"/>
    <s v="Colombia"/>
    <b v="0"/>
    <n v="1996"/>
    <n v="97160109277"/>
    <n v="78584098983"/>
    <x v="1"/>
    <n v="1"/>
    <x v="2"/>
  </r>
  <r>
    <x v="1589"/>
    <x v="979"/>
    <x v="28"/>
    <s v="Ecuador"/>
    <s v="Venezuela"/>
    <n v="1"/>
    <n v="0"/>
    <s v="FIFA World Cup qualification"/>
    <s v="Quito"/>
    <s v="Ecuador"/>
    <b v="0"/>
    <n v="1996"/>
    <n v="25226393196"/>
    <n v="70543211119"/>
    <x v="0"/>
    <n v="-1"/>
    <x v="0"/>
  </r>
  <r>
    <x v="1590"/>
    <x v="979"/>
    <x v="28"/>
    <s v="Greece"/>
    <s v="Bosnia and Herzegovina"/>
    <n v="3"/>
    <n v="0"/>
    <s v="FIFA World Cup qualification"/>
    <s v="Kalam√°ta"/>
    <s v="Greece"/>
    <b v="0"/>
    <n v="1996"/>
    <n v="142502984144"/>
    <n v="2786045321"/>
    <x v="0"/>
    <n v="1"/>
    <x v="2"/>
  </r>
  <r>
    <x v="1591"/>
    <x v="979"/>
    <x v="28"/>
    <s v="Hungary"/>
    <s v="Finland"/>
    <n v="1"/>
    <n v="0"/>
    <s v="FIFA World Cup qualification"/>
    <s v="Budapest"/>
    <s v="Hungary"/>
    <b v="0"/>
    <n v="1996"/>
    <n v="46833767123"/>
    <n v="131991975148"/>
    <x v="0"/>
    <n v="-1"/>
    <x v="0"/>
  </r>
  <r>
    <x v="1592"/>
    <x v="979"/>
    <x v="28"/>
    <s v="Israel"/>
    <s v="Bulgaria"/>
    <n v="2"/>
    <n v="1"/>
    <s v="FIFA World Cup qualification"/>
    <s v="Ramat Gan"/>
    <s v="Israel"/>
    <b v="0"/>
    <n v="1996"/>
    <n v="115116595544"/>
    <n v="12294964837"/>
    <x v="0"/>
    <n v="1"/>
    <x v="2"/>
  </r>
  <r>
    <x v="1593"/>
    <x v="979"/>
    <x v="28"/>
    <s v="Latvia"/>
    <s v="Sweden"/>
    <n v="1"/>
    <n v="2"/>
    <s v="FIFA World Cup qualification"/>
    <s v="Riga"/>
    <s v="Latvia"/>
    <b v="0"/>
    <n v="1996"/>
    <n v="5799465288"/>
    <n v="291949597375"/>
    <x v="0"/>
    <n v="1"/>
    <x v="2"/>
  </r>
  <r>
    <x v="1594"/>
    <x v="979"/>
    <x v="28"/>
    <s v="Moldova"/>
    <s v="England"/>
    <n v="0"/>
    <n v="3"/>
    <s v="FIFA World Cup qualification"/>
    <s v="Chi»ôinƒÉu"/>
    <s v="Moldova"/>
    <b v="0"/>
    <n v="1996"/>
    <n v="1695122173"/>
    <n v="1425287051482"/>
    <x v="0"/>
    <n v="1"/>
    <x v="2"/>
  </r>
  <r>
    <x v="1595"/>
    <x v="979"/>
    <x v="28"/>
    <s v="Russia"/>
    <s v="Cyprus"/>
    <n v="4"/>
    <n v="0"/>
    <s v="FIFA World Cup qualification"/>
    <s v="Moscow"/>
    <s v="Russia"/>
    <b v="0"/>
    <n v="1996"/>
    <n v="391724890744"/>
    <n v="10011914680"/>
    <x v="0"/>
    <n v="1"/>
    <x v="2"/>
  </r>
  <r>
    <x v="1596"/>
    <x v="979"/>
    <x v="28"/>
    <s v="Slovenia"/>
    <s v="Denmark"/>
    <n v="0"/>
    <n v="2"/>
    <s v="FIFA World Cup qualification"/>
    <s v="Ljubljana"/>
    <s v="Slovenia"/>
    <b v="0"/>
    <n v="1996"/>
    <n v="21470699362"/>
    <n v="187481157845"/>
    <x v="0"/>
    <n v="1"/>
    <x v="2"/>
  </r>
  <r>
    <x v="1597"/>
    <x v="979"/>
    <x v="28"/>
    <s v="Trinidad and Tobago"/>
    <s v="Costa Rica"/>
    <n v="0"/>
    <n v="1"/>
    <s v="FIFA World Cup qualification"/>
    <s v="Port of Spain"/>
    <s v="Trinidad and Tobago"/>
    <b v="0"/>
    <n v="1996"/>
    <n v="5759570336"/>
    <n v="11678424507"/>
    <x v="0"/>
    <n v="1"/>
    <x v="2"/>
  </r>
  <r>
    <x v="1598"/>
    <x v="980"/>
    <x v="28"/>
    <s v="Faroe Islands"/>
    <s v="Spain"/>
    <n v="2"/>
    <n v="6"/>
    <s v="FIFA World Cup qualification"/>
    <s v="Toftir"/>
    <s v="Faroe Islands"/>
    <b v="0"/>
    <n v="1996"/>
    <n v="989536914"/>
    <n v="642251412058"/>
    <x v="0"/>
    <n v="1"/>
    <x v="2"/>
  </r>
  <r>
    <x v="1599"/>
    <x v="981"/>
    <x v="28"/>
    <s v="El Salvador"/>
    <s v="Cuba"/>
    <n v="5"/>
    <n v="0"/>
    <s v="FIFA World Cup qualification"/>
    <s v="San Salvador"/>
    <s v="El Salvador"/>
    <b v="0"/>
    <n v="1996"/>
    <n v="9586327800"/>
    <n v="25017368700"/>
    <x v="0"/>
    <n v="-1"/>
    <x v="0"/>
  </r>
  <r>
    <x v="1600"/>
    <x v="982"/>
    <x v="28"/>
    <s v="Jamaica"/>
    <s v="Honduras"/>
    <n v="3"/>
    <n v="0"/>
    <s v="FIFA World Cup qualification"/>
    <s v="Kingston"/>
    <s v="Jamaica"/>
    <b v="0"/>
    <n v="1996"/>
    <n v="7393891920"/>
    <n v="4798834459"/>
    <x v="1"/>
    <n v="1"/>
    <x v="2"/>
  </r>
  <r>
    <x v="1601"/>
    <x v="983"/>
    <x v="28"/>
    <s v="Papua New Guinea"/>
    <s v="Solomon Islands"/>
    <n v="1"/>
    <n v="1"/>
    <s v="FIFA World Cup qualification"/>
    <s v="Lae"/>
    <s v="Papua New Guinea"/>
    <b v="0"/>
    <n v="1996"/>
    <n v="5155311077"/>
    <n v="510586430"/>
    <x v="0"/>
    <n v="0"/>
    <x v="1"/>
  </r>
  <r>
    <x v="1602"/>
    <x v="984"/>
    <x v="28"/>
    <s v="Solomon Islands"/>
    <s v="Vanuatu"/>
    <n v="1"/>
    <n v="1"/>
    <s v="FIFA World Cup qualification"/>
    <s v="Lae"/>
    <s v="Papua New Guinea"/>
    <b v="1"/>
    <n v="1996"/>
    <n v="510586430"/>
    <n v="261370044"/>
    <x v="1"/>
    <n v="0"/>
    <x v="1"/>
  </r>
  <r>
    <x v="1603"/>
    <x v="985"/>
    <x v="28"/>
    <s v="Papua New Guinea"/>
    <s v="Vanuatu"/>
    <n v="2"/>
    <n v="1"/>
    <s v="FIFA World Cup qualification"/>
    <s v="Lae"/>
    <s v="Papua New Guinea"/>
    <b v="0"/>
    <n v="1996"/>
    <n v="5155311077"/>
    <n v="261370044"/>
    <x v="0"/>
    <n v="1"/>
    <x v="2"/>
  </r>
  <r>
    <x v="1604"/>
    <x v="985"/>
    <x v="28"/>
    <s v="Qatar"/>
    <s v="Sri Lanka"/>
    <n v="3"/>
    <n v="0"/>
    <s v="FIFA World Cup qualification"/>
    <s v="Doha"/>
    <s v="Qatar"/>
    <b v="0"/>
    <n v="1996"/>
    <n v="9059340384"/>
    <n v="13897738375"/>
    <x v="1"/>
    <n v="-1"/>
    <x v="0"/>
  </r>
  <r>
    <x v="1605"/>
    <x v="986"/>
    <x v="28"/>
    <s v="Honduras"/>
    <s v="Mexico"/>
    <n v="2"/>
    <n v="1"/>
    <s v="FIFA World Cup qualification"/>
    <s v="San Pedro Sula"/>
    <s v="Honduras"/>
    <b v="0"/>
    <n v="1996"/>
    <n v="4798834459"/>
    <n v="432157945024"/>
    <x v="0"/>
    <n v="-1"/>
    <x v="0"/>
  </r>
  <r>
    <x v="1606"/>
    <x v="986"/>
    <x v="28"/>
    <s v="India"/>
    <s v="Philippines"/>
    <n v="2"/>
    <n v="0"/>
    <s v="FIFA World Cup qualification"/>
    <s v="Doha"/>
    <s v="Qatar"/>
    <b v="1"/>
    <n v="1996"/>
    <n v="392896866204"/>
    <n v="94648084429"/>
    <x v="0"/>
    <n v="1"/>
    <x v="2"/>
  </r>
  <r>
    <x v="1607"/>
    <x v="987"/>
    <x v="28"/>
    <s v="Panama"/>
    <s v="Cuba"/>
    <n v="1"/>
    <n v="3"/>
    <s v="FIFA World Cup qualification"/>
    <s v="Panama City"/>
    <s v="Panama"/>
    <b v="0"/>
    <n v="1996"/>
    <n v="9197503322"/>
    <n v="25017368700"/>
    <x v="0"/>
    <n v="1"/>
    <x v="2"/>
  </r>
  <r>
    <x v="1608"/>
    <x v="988"/>
    <x v="28"/>
    <s v="Qatar"/>
    <s v="Philippines"/>
    <n v="5"/>
    <n v="0"/>
    <s v="FIFA World Cup qualification"/>
    <s v="Doha"/>
    <s v="Qatar"/>
    <b v="0"/>
    <n v="1996"/>
    <n v="9059340384"/>
    <n v="94648084429"/>
    <x v="0"/>
    <n v="-1"/>
    <x v="0"/>
  </r>
  <r>
    <x v="1609"/>
    <x v="989"/>
    <x v="28"/>
    <s v="Sri Lanka"/>
    <s v="India"/>
    <n v="1"/>
    <n v="1"/>
    <s v="FIFA World Cup qualification"/>
    <s v="Doha"/>
    <s v="Qatar"/>
    <b v="1"/>
    <n v="1996"/>
    <n v="13897738375"/>
    <n v="392896866204"/>
    <x v="0"/>
    <n v="0"/>
    <x v="1"/>
  </r>
  <r>
    <x v="1610"/>
    <x v="990"/>
    <x v="28"/>
    <s v="Philippines"/>
    <s v="Sri Lanka"/>
    <n v="0"/>
    <n v="3"/>
    <s v="FIFA World Cup qualification"/>
    <s v="Doha"/>
    <s v="Qatar"/>
    <b v="1"/>
    <n v="1996"/>
    <n v="94648084429"/>
    <n v="13897738375"/>
    <x v="0"/>
    <n v="-1"/>
    <x v="0"/>
  </r>
  <r>
    <x v="1611"/>
    <x v="991"/>
    <x v="28"/>
    <s v="Qatar"/>
    <s v="India"/>
    <n v="6"/>
    <n v="0"/>
    <s v="FIFA World Cup qualification"/>
    <s v="Doha"/>
    <s v="Qatar"/>
    <b v="0"/>
    <n v="1996"/>
    <n v="9059340384"/>
    <n v="392896866204"/>
    <x v="0"/>
    <n v="-1"/>
    <x v="0"/>
  </r>
  <r>
    <x v="1612"/>
    <x v="992"/>
    <x v="28"/>
    <s v="Estonia"/>
    <s v="Belarus"/>
    <n v="1"/>
    <n v="0"/>
    <s v="FIFA World Cup qualification"/>
    <s v="Tallinn"/>
    <s v="Estonia"/>
    <b v="0"/>
    <n v="1996"/>
    <n v="4786018988"/>
    <n v="14500437519"/>
    <x v="0"/>
    <n v="-1"/>
    <x v="0"/>
  </r>
  <r>
    <x v="1613"/>
    <x v="992"/>
    <x v="28"/>
    <s v="Lithuania"/>
    <s v="Iceland"/>
    <n v="2"/>
    <n v="0"/>
    <s v="FIFA World Cup qualification"/>
    <s v="Vilnius"/>
    <s v="Lithuania"/>
    <b v="0"/>
    <n v="1996"/>
    <n v="8430207164"/>
    <n v="7686566105"/>
    <x v="1"/>
    <n v="1"/>
    <x v="2"/>
  </r>
  <r>
    <x v="1614"/>
    <x v="992"/>
    <x v="28"/>
    <s v="Moldova"/>
    <s v="Italy"/>
    <n v="1"/>
    <n v="3"/>
    <s v="FIFA World Cup qualification"/>
    <s v="Chi»ôinƒÉu"/>
    <s v="Moldova"/>
    <b v="0"/>
    <n v="1996"/>
    <n v="1695122173"/>
    <n v="1314776508972"/>
    <x v="0"/>
    <n v="1"/>
    <x v="2"/>
  </r>
  <r>
    <x v="1615"/>
    <x v="992"/>
    <x v="28"/>
    <s v="Ukraine"/>
    <s v="Portugal"/>
    <n v="2"/>
    <n v="1"/>
    <s v="FIFA World Cup qualification"/>
    <s v="Kyiv"/>
    <s v="Ukraine"/>
    <b v="0"/>
    <n v="1996"/>
    <n v="44558831005"/>
    <n v="122630089680"/>
    <x v="0"/>
    <n v="-1"/>
    <x v="0"/>
  </r>
  <r>
    <x v="1616"/>
    <x v="993"/>
    <x v="28"/>
    <s v="Faroe Islands"/>
    <s v="Serbia"/>
    <n v="1"/>
    <n v="8"/>
    <s v="FIFA World Cup qualification"/>
    <s v="Toftir"/>
    <s v="Faroe Islands"/>
    <b v="0"/>
    <n v="1996"/>
    <n v="989536914"/>
    <n v="23277430167"/>
    <x v="0"/>
    <n v="1"/>
    <x v="2"/>
  </r>
  <r>
    <x v="1617"/>
    <x v="993"/>
    <x v="28"/>
    <s v="Finland"/>
    <s v="Switzerland"/>
    <n v="2"/>
    <n v="3"/>
    <s v="FIFA World Cup qualification"/>
    <s v="Helsinki"/>
    <s v="Finland"/>
    <b v="0"/>
    <n v="1996"/>
    <n v="131991975148"/>
    <n v="340103959546"/>
    <x v="0"/>
    <n v="1"/>
    <x v="2"/>
  </r>
  <r>
    <x v="1618"/>
    <x v="993"/>
    <x v="28"/>
    <s v="Panama"/>
    <s v="El Salvador"/>
    <n v="1"/>
    <n v="1"/>
    <s v="FIFA World Cup qualification"/>
    <s v="Panama City"/>
    <s v="Panama"/>
    <b v="0"/>
    <n v="1996"/>
    <n v="9197503322"/>
    <n v="9586327800"/>
    <x v="1"/>
    <n v="0"/>
    <x v="1"/>
  </r>
  <r>
    <x v="1619"/>
    <x v="993"/>
    <x v="28"/>
    <s v="Trinidad and Tobago"/>
    <s v="Guatemala"/>
    <n v="1"/>
    <n v="1"/>
    <s v="FIFA World Cup qualification"/>
    <s v="Port of Spain"/>
    <s v="Trinidad and Tobago"/>
    <b v="0"/>
    <n v="1996"/>
    <n v="5759570336"/>
    <n v="15674835615"/>
    <x v="0"/>
    <n v="0"/>
    <x v="1"/>
  </r>
  <r>
    <x v="1620"/>
    <x v="994"/>
    <x v="28"/>
    <s v="Bosnia and Herzegovina"/>
    <s v="Croatia"/>
    <n v="1"/>
    <n v="4"/>
    <s v="FIFA World Cup qualification"/>
    <s v="Bologna"/>
    <s v="Italy"/>
    <b v="1"/>
    <n v="1996"/>
    <n v="2786045321"/>
    <n v="24150978346"/>
    <x v="0"/>
    <n v="1"/>
    <x v="2"/>
  </r>
  <r>
    <x v="1621"/>
    <x v="994"/>
    <x v="28"/>
    <s v="Luxembourg"/>
    <s v="Bulgaria"/>
    <n v="1"/>
    <n v="2"/>
    <s v="FIFA World Cup qualification"/>
    <s v="Luxembourg"/>
    <s v="Luxembourg"/>
    <b v="0"/>
    <n v="1996"/>
    <n v="20895314657"/>
    <n v="12294964837"/>
    <x v="1"/>
    <n v="-1"/>
    <x v="0"/>
  </r>
  <r>
    <x v="1622"/>
    <x v="994"/>
    <x v="28"/>
    <s v="Uruguay"/>
    <s v="Bolivia"/>
    <n v="1"/>
    <n v="0"/>
    <s v="FIFA World Cup qualification"/>
    <s v="Montevideo"/>
    <s v="Uruguay"/>
    <b v="0"/>
    <n v="1996"/>
    <n v="20515458113"/>
    <n v="7396949126"/>
    <x v="0"/>
    <n v="1"/>
    <x v="2"/>
  </r>
  <r>
    <x v="1623"/>
    <x v="995"/>
    <x v="28"/>
    <s v="Albania"/>
    <s v="Portugal"/>
    <n v="0"/>
    <n v="3"/>
    <s v="FIFA World Cup qualification"/>
    <s v="Tirana"/>
    <s v="Albania"/>
    <b v="0"/>
    <n v="1996"/>
    <n v="3234486232"/>
    <n v="122630089680"/>
    <x v="0"/>
    <n v="1"/>
    <x v="2"/>
  </r>
  <r>
    <x v="1624"/>
    <x v="995"/>
    <x v="28"/>
    <s v="Armenia"/>
    <s v="Germany"/>
    <n v="1"/>
    <n v="5"/>
    <s v="FIFA World Cup qualification"/>
    <s v="Yerevan"/>
    <s v="Armenia"/>
    <b v="0"/>
    <n v="1996"/>
    <n v="1596968946"/>
    <n v="2506576553158"/>
    <x v="0"/>
    <n v="1"/>
    <x v="2"/>
  </r>
  <r>
    <x v="1625"/>
    <x v="995"/>
    <x v="28"/>
    <s v="Belarus"/>
    <s v="Latvia"/>
    <n v="1"/>
    <n v="1"/>
    <s v="FIFA World Cup qualification"/>
    <s v="Minsk"/>
    <s v="Belarus"/>
    <b v="0"/>
    <n v="1996"/>
    <n v="14500437519"/>
    <n v="5799465288"/>
    <x v="0"/>
    <n v="0"/>
    <x v="1"/>
  </r>
  <r>
    <x v="1626"/>
    <x v="995"/>
    <x v="28"/>
    <s v="Denmark"/>
    <s v="Greece"/>
    <n v="2"/>
    <n v="1"/>
    <s v="FIFA World Cup qualification"/>
    <s v="Copenhagen"/>
    <s v="Denmark"/>
    <b v="0"/>
    <n v="1996"/>
    <n v="187481157845"/>
    <n v="142502984144"/>
    <x v="1"/>
    <n v="1"/>
    <x v="2"/>
  </r>
  <r>
    <x v="1627"/>
    <x v="995"/>
    <x v="28"/>
    <s v="Ecuador"/>
    <s v="Colombia"/>
    <n v="0"/>
    <n v="1"/>
    <s v="FIFA World Cup qualification"/>
    <s v="Quito"/>
    <s v="Ecuador"/>
    <b v="0"/>
    <n v="1996"/>
    <n v="25226393196"/>
    <n v="97160109277"/>
    <x v="0"/>
    <n v="1"/>
    <x v="2"/>
  </r>
  <r>
    <x v="1628"/>
    <x v="995"/>
    <x v="28"/>
    <s v="England"/>
    <s v="Poland"/>
    <n v="2"/>
    <n v="1"/>
    <s v="FIFA World Cup qualification"/>
    <s v="London"/>
    <s v="England"/>
    <b v="0"/>
    <n v="1996"/>
    <n v="1425287051482"/>
    <n v="160813026223"/>
    <x v="0"/>
    <n v="1"/>
    <x v="2"/>
  </r>
  <r>
    <x v="1629"/>
    <x v="995"/>
    <x v="28"/>
    <s v="Iceland"/>
    <s v="Romania"/>
    <n v="0"/>
    <n v="4"/>
    <s v="FIFA World Cup qualification"/>
    <s v="Reykjav√≠k"/>
    <s v="Iceland"/>
    <b v="0"/>
    <n v="1996"/>
    <n v="7686566105"/>
    <n v="36937074278"/>
    <x v="0"/>
    <n v="1"/>
    <x v="2"/>
  </r>
  <r>
    <x v="1630"/>
    <x v="995"/>
    <x v="28"/>
    <s v="Israel"/>
    <s v="Russia"/>
    <n v="1"/>
    <n v="1"/>
    <s v="FIFA World Cup qualification"/>
    <s v="Ramat Gan"/>
    <s v="Israel"/>
    <b v="0"/>
    <n v="1996"/>
    <n v="115116595544"/>
    <n v="391724890744"/>
    <x v="0"/>
    <n v="0"/>
    <x v="1"/>
  </r>
  <r>
    <x v="1631"/>
    <x v="995"/>
    <x v="28"/>
    <s v="Italy"/>
    <s v="Georgia"/>
    <n v="1"/>
    <n v="0"/>
    <s v="FIFA World Cup qualification"/>
    <s v="Perugia"/>
    <s v="Italy"/>
    <b v="0"/>
    <n v="1996"/>
    <n v="1314776508972"/>
    <n v="3094936177"/>
    <x v="0"/>
    <n v="1"/>
    <x v="2"/>
  </r>
  <r>
    <x v="1632"/>
    <x v="995"/>
    <x v="28"/>
    <s v="Lithuania"/>
    <s v="Liechtenstein"/>
    <n v="2"/>
    <n v="1"/>
    <s v="FIFA World Cup qualification"/>
    <s v="Vilnius"/>
    <s v="Lithuania"/>
    <b v="0"/>
    <n v="1996"/>
    <n v="8430207164"/>
    <n v="2504012993"/>
    <x v="0"/>
    <n v="1"/>
    <x v="2"/>
  </r>
  <r>
    <x v="1633"/>
    <x v="995"/>
    <x v="28"/>
    <s v="Norway"/>
    <s v="Hungary"/>
    <n v="3"/>
    <n v="0"/>
    <s v="FIFA World Cup qualification"/>
    <s v="Oslo"/>
    <s v="Norway"/>
    <b v="0"/>
    <n v="1996"/>
    <n v="163520109150"/>
    <n v="46833767123"/>
    <x v="0"/>
    <n v="1"/>
    <x v="2"/>
  </r>
  <r>
    <x v="1634"/>
    <x v="995"/>
    <x v="28"/>
    <s v="Paraguay"/>
    <s v="Chile"/>
    <n v="2"/>
    <n v="1"/>
    <s v="FIFA World Cup qualification"/>
    <s v="Asunci√≥n"/>
    <s v="Paraguay"/>
    <b v="0"/>
    <n v="1996"/>
    <n v="9788391780"/>
    <n v="78584098983"/>
    <x v="0"/>
    <n v="-1"/>
    <x v="0"/>
  </r>
  <r>
    <x v="1635"/>
    <x v="995"/>
    <x v="28"/>
    <s v="Sweden"/>
    <s v="Austria"/>
    <n v="0"/>
    <n v="1"/>
    <s v="FIFA World Cup qualification"/>
    <s v="Solna"/>
    <s v="Sweden"/>
    <b v="0"/>
    <n v="1996"/>
    <n v="291949597375"/>
    <n v="235952581232"/>
    <x v="1"/>
    <n v="-1"/>
    <x v="0"/>
  </r>
  <r>
    <x v="1636"/>
    <x v="995"/>
    <x v="28"/>
    <s v="Venezuela"/>
    <s v="Argentina"/>
    <n v="2"/>
    <n v="5"/>
    <s v="FIFA World Cup qualification"/>
    <s v="San Crist√≥bal"/>
    <s v="Venezuela"/>
    <b v="0"/>
    <n v="1996"/>
    <n v="70543211119"/>
    <n v="272149750000"/>
    <x v="0"/>
    <n v="1"/>
    <x v="2"/>
  </r>
  <r>
    <x v="1637"/>
    <x v="996"/>
    <x v="28"/>
    <s v="Canada"/>
    <s v="Cuba"/>
    <n v="2"/>
    <n v="0"/>
    <s v="FIFA World Cup qualification"/>
    <s v="Edmonton"/>
    <s v="Canada"/>
    <b v="0"/>
    <n v="1996"/>
    <n v="630607994132"/>
    <n v="25017368700"/>
    <x v="0"/>
    <n v="1"/>
    <x v="2"/>
  </r>
  <r>
    <x v="1638"/>
    <x v="997"/>
    <x v="28"/>
    <s v="Canada"/>
    <s v="Cuba"/>
    <n v="2"/>
    <n v="0"/>
    <s v="FIFA World Cup qualification"/>
    <s v="Edmonton"/>
    <s v="Canada"/>
    <b v="0"/>
    <n v="1996"/>
    <n v="630607994132"/>
    <n v="25017368700"/>
    <x v="0"/>
    <n v="1"/>
    <x v="2"/>
  </r>
  <r>
    <x v="1639"/>
    <x v="998"/>
    <x v="28"/>
    <s v="Mexico"/>
    <s v="Jamaica"/>
    <n v="2"/>
    <n v="1"/>
    <s v="FIFA World Cup qualification"/>
    <s v="Mexico City"/>
    <s v="Mexico"/>
    <b v="0"/>
    <n v="1996"/>
    <n v="432157945024"/>
    <n v="7393891920"/>
    <x v="0"/>
    <n v="1"/>
    <x v="2"/>
  </r>
  <r>
    <x v="1640"/>
    <x v="999"/>
    <x v="28"/>
    <s v="Honduras"/>
    <s v="Jamaica"/>
    <n v="0"/>
    <n v="0"/>
    <s v="FIFA World Cup qualification"/>
    <s v="San Pedro Sula"/>
    <s v="Honduras"/>
    <b v="0"/>
    <n v="1996"/>
    <n v="4798834459"/>
    <n v="7393891920"/>
    <x v="1"/>
    <n v="0"/>
    <x v="1"/>
  </r>
  <r>
    <x v="1641"/>
    <x v="1000"/>
    <x v="28"/>
    <s v="Panama"/>
    <s v="Canada"/>
    <n v="0"/>
    <n v="0"/>
    <s v="FIFA World Cup qualification"/>
    <s v="Panama City"/>
    <s v="Panama"/>
    <b v="0"/>
    <n v="1996"/>
    <n v="9197503322"/>
    <n v="630607994132"/>
    <x v="0"/>
    <n v="0"/>
    <x v="1"/>
  </r>
  <r>
    <x v="1642"/>
    <x v="1001"/>
    <x v="28"/>
    <s v="Canada"/>
    <s v="El Salvador"/>
    <n v="1"/>
    <n v="0"/>
    <s v="FIFA World Cup qualification"/>
    <s v="Burnaby"/>
    <s v="Canada"/>
    <b v="0"/>
    <n v="1996"/>
    <n v="630607994132"/>
    <n v="9586327800"/>
    <x v="0"/>
    <n v="1"/>
    <x v="2"/>
  </r>
  <r>
    <x v="1643"/>
    <x v="1001"/>
    <x v="28"/>
    <s v="United States"/>
    <s v="Guatemala"/>
    <n v="2"/>
    <n v="0"/>
    <s v="FIFA World Cup qualification"/>
    <s v="Washington, D.C."/>
    <s v="United States"/>
    <b v="0"/>
    <n v="1996"/>
    <n v="8073122000000"/>
    <n v="15674835615"/>
    <x v="0"/>
    <n v="1"/>
    <x v="2"/>
  </r>
  <r>
    <x v="1644"/>
    <x v="1002"/>
    <x v="28"/>
    <s v="Mexico"/>
    <s v="Honduras"/>
    <n v="3"/>
    <n v="1"/>
    <s v="FIFA World Cup qualification"/>
    <s v="Mexico City"/>
    <s v="Mexico"/>
    <b v="0"/>
    <n v="1996"/>
    <n v="432157945024"/>
    <n v="4798834459"/>
    <x v="0"/>
    <n v="1"/>
    <x v="2"/>
  </r>
  <r>
    <x v="1645"/>
    <x v="1003"/>
    <x v="28"/>
    <s v="Egypt"/>
    <s v="Namibia"/>
    <n v="7"/>
    <n v="1"/>
    <s v="FIFA World Cup qualification"/>
    <s v="Cairo"/>
    <s v="Egypt"/>
    <b v="0"/>
    <n v="1996"/>
    <n v="67629716981"/>
    <n v="3989163196"/>
    <x v="0"/>
    <n v="1"/>
    <x v="2"/>
  </r>
  <r>
    <x v="1646"/>
    <x v="1004"/>
    <x v="28"/>
    <s v="Albania"/>
    <s v="Armenia"/>
    <n v="1"/>
    <n v="1"/>
    <s v="FIFA World Cup qualification"/>
    <s v="Tirana"/>
    <s v="Albania"/>
    <b v="0"/>
    <n v="1996"/>
    <n v="3234486232"/>
    <n v="1596968946"/>
    <x v="0"/>
    <n v="0"/>
    <x v="1"/>
  </r>
  <r>
    <x v="1647"/>
    <x v="1004"/>
    <x v="28"/>
    <s v="Austria"/>
    <s v="Latvia"/>
    <n v="2"/>
    <n v="1"/>
    <s v="FIFA World Cup qualification"/>
    <s v="Vienna"/>
    <s v="Austria"/>
    <b v="0"/>
    <n v="1996"/>
    <n v="235952581232"/>
    <n v="5799465288"/>
    <x v="0"/>
    <n v="1"/>
    <x v="2"/>
  </r>
  <r>
    <x v="1648"/>
    <x v="1004"/>
    <x v="28"/>
    <s v="Georgia"/>
    <s v="England"/>
    <n v="0"/>
    <n v="2"/>
    <s v="FIFA World Cup qualification"/>
    <s v="Tbilisi"/>
    <s v="Georgia"/>
    <b v="0"/>
    <n v="1996"/>
    <n v="3094936177"/>
    <n v="1425287051482"/>
    <x v="0"/>
    <n v="1"/>
    <x v="2"/>
  </r>
  <r>
    <x v="1649"/>
    <x v="1004"/>
    <x v="28"/>
    <s v="Liechtenstein"/>
    <s v="North Macedonia"/>
    <n v="1"/>
    <n v="11"/>
    <s v="FIFA World Cup qualification"/>
    <s v="Eschen"/>
    <s v="Liechtenstein"/>
    <b v="0"/>
    <n v="1996"/>
    <n v="2504012993"/>
    <n v="4642021256"/>
    <x v="1"/>
    <n v="1"/>
    <x v="2"/>
  </r>
  <r>
    <x v="1650"/>
    <x v="1004"/>
    <x v="28"/>
    <s v="Morocco"/>
    <s v="Sierra Leone"/>
    <n v="4"/>
    <n v="0"/>
    <s v="FIFA World Cup qualification"/>
    <s v="Rabat"/>
    <s v="Morocco"/>
    <b v="0"/>
    <n v="1996"/>
    <n v="43161571527"/>
    <n v="941709422"/>
    <x v="0"/>
    <n v="1"/>
    <x v="2"/>
  </r>
  <r>
    <x v="1651"/>
    <x v="1004"/>
    <x v="28"/>
    <s v="Nigeria"/>
    <s v="Burkina Faso"/>
    <n v="2"/>
    <n v="0"/>
    <s v="FIFA World Cup qualification"/>
    <s v="Lagos"/>
    <s v="Nigeria"/>
    <b v="0"/>
    <n v="1996"/>
    <n v="185730236700"/>
    <n v="2586550595"/>
    <x v="0"/>
    <n v="1"/>
    <x v="2"/>
  </r>
  <r>
    <x v="1652"/>
    <x v="1004"/>
    <x v="28"/>
    <s v="Portugal"/>
    <s v="Ukraine"/>
    <n v="1"/>
    <n v="0"/>
    <s v="FIFA World Cup qualification"/>
    <s v="Porto"/>
    <s v="Portugal"/>
    <b v="0"/>
    <n v="1996"/>
    <n v="122630089680"/>
    <n v="44558831005"/>
    <x v="0"/>
    <n v="1"/>
    <x v="2"/>
  </r>
  <r>
    <x v="1653"/>
    <x v="1005"/>
    <x v="28"/>
    <s v="Costa Rica"/>
    <s v="Guatemala"/>
    <n v="3"/>
    <n v="0"/>
    <s v="FIFA World Cup qualification"/>
    <s v="San Jos√©"/>
    <s v="Costa Rica"/>
    <b v="0"/>
    <n v="1996"/>
    <n v="11678424507"/>
    <n v="15674835615"/>
    <x v="1"/>
    <n v="-1"/>
    <x v="0"/>
  </r>
  <r>
    <x v="1654"/>
    <x v="1005"/>
    <x v="28"/>
    <s v="Angola"/>
    <s v="Zimbabwe"/>
    <n v="2"/>
    <n v="1"/>
    <s v="FIFA World Cup qualification"/>
    <s v="Luanda"/>
    <s v="Angola"/>
    <b v="0"/>
    <n v="1996"/>
    <n v="7526421519"/>
    <n v="8557500000"/>
    <x v="1"/>
    <n v="-1"/>
    <x v="0"/>
  </r>
  <r>
    <x v="1655"/>
    <x v="1005"/>
    <x v="28"/>
    <s v="Azerbaijan"/>
    <s v="Hungary"/>
    <n v="0"/>
    <n v="3"/>
    <s v="FIFA World Cup qualification"/>
    <s v="Baku"/>
    <s v="Azerbaijan"/>
    <b v="0"/>
    <n v="1996"/>
    <n v="3176507376"/>
    <n v="46833767123"/>
    <x v="0"/>
    <n v="1"/>
    <x v="2"/>
  </r>
  <r>
    <x v="1656"/>
    <x v="1005"/>
    <x v="28"/>
    <s v="Bolivia"/>
    <s v="Colombia"/>
    <n v="2"/>
    <n v="2"/>
    <s v="FIFA World Cup qualification"/>
    <s v="La Paz"/>
    <s v="Bolivia"/>
    <b v="0"/>
    <n v="1996"/>
    <n v="7396949126"/>
    <n v="97160109277"/>
    <x v="0"/>
    <n v="0"/>
    <x v="1"/>
  </r>
  <r>
    <x v="1657"/>
    <x v="1005"/>
    <x v="28"/>
    <s v="Croatia"/>
    <s v="Greece"/>
    <n v="1"/>
    <n v="1"/>
    <s v="FIFA World Cup qualification"/>
    <s v="Zagreb"/>
    <s v="Croatia"/>
    <b v="0"/>
    <n v="1996"/>
    <n v="24150978346"/>
    <n v="142502984144"/>
    <x v="0"/>
    <n v="0"/>
    <x v="1"/>
  </r>
  <r>
    <x v="1658"/>
    <x v="1005"/>
    <x v="28"/>
    <s v="Cyprus"/>
    <s v="Israel"/>
    <n v="2"/>
    <n v="0"/>
    <s v="FIFA World Cup qualification"/>
    <s v="Limassol"/>
    <s v="Cyprus"/>
    <b v="0"/>
    <n v="1996"/>
    <n v="10011914680"/>
    <n v="115116595544"/>
    <x v="0"/>
    <n v="-1"/>
    <x v="0"/>
  </r>
  <r>
    <x v="1659"/>
    <x v="1005"/>
    <x v="28"/>
    <s v="El Salvador"/>
    <s v="Panama"/>
    <n v="3"/>
    <n v="2"/>
    <s v="FIFA World Cup qualification"/>
    <s v="San Salvador"/>
    <s v="El Salvador"/>
    <b v="0"/>
    <n v="1996"/>
    <n v="9586327800"/>
    <n v="9197503322"/>
    <x v="1"/>
    <n v="1"/>
    <x v="2"/>
  </r>
  <r>
    <x v="1660"/>
    <x v="1005"/>
    <x v="28"/>
    <s v="Gabon"/>
    <s v="Ghana"/>
    <n v="1"/>
    <n v="1"/>
    <s v="FIFA World Cup qualification"/>
    <s v="Libreville"/>
    <s v="Gabon"/>
    <b v="0"/>
    <n v="1996"/>
    <n v="5694040002"/>
    <n v="6932991739"/>
    <x v="1"/>
    <n v="0"/>
    <x v="1"/>
  </r>
  <r>
    <x v="1661"/>
    <x v="1005"/>
    <x v="28"/>
    <s v="Guinea"/>
    <s v="Kenya"/>
    <n v="3"/>
    <n v="1"/>
    <s v="FIFA World Cup qualification"/>
    <s v="Conakry"/>
    <s v="Guinea"/>
    <b v="0"/>
    <n v="1996"/>
    <n v="5641243099"/>
    <n v="12045865396"/>
    <x v="0"/>
    <n v="-1"/>
    <x v="0"/>
  </r>
  <r>
    <x v="1662"/>
    <x v="1005"/>
    <x v="28"/>
    <s v="Liberia"/>
    <s v="Tunisia"/>
    <n v="0"/>
    <n v="1"/>
    <s v="FIFA World Cup qualification"/>
    <s v="Accra"/>
    <s v="Ghana"/>
    <b v="1"/>
    <n v="1996"/>
    <n v="159400000"/>
    <n v="19587161806"/>
    <x v="0"/>
    <n v="1"/>
    <x v="2"/>
  </r>
  <r>
    <x v="1663"/>
    <x v="1005"/>
    <x v="28"/>
    <s v="Luxembourg"/>
    <s v="Russia"/>
    <n v="0"/>
    <n v="4"/>
    <s v="FIFA World Cup qualification"/>
    <s v="Luxembourg"/>
    <s v="Luxembourg"/>
    <b v="0"/>
    <n v="1996"/>
    <n v="20895314657"/>
    <n v="391724890744"/>
    <x v="0"/>
    <n v="1"/>
    <x v="2"/>
  </r>
  <r>
    <x v="1664"/>
    <x v="1005"/>
    <x v="28"/>
    <s v="Paraguay"/>
    <s v="Ecuador"/>
    <n v="1"/>
    <n v="0"/>
    <s v="FIFA World Cup qualification"/>
    <s v="Asunci√≥n"/>
    <s v="Paraguay"/>
    <b v="0"/>
    <n v="1996"/>
    <n v="9788391780"/>
    <n v="25226393196"/>
    <x v="0"/>
    <n v="-1"/>
    <x v="0"/>
  </r>
  <r>
    <x v="1665"/>
    <x v="1005"/>
    <x v="28"/>
    <s v="Peru"/>
    <s v="Venezuela"/>
    <n v="4"/>
    <n v="1"/>
    <s v="FIFA World Cup qualification"/>
    <s v="Lima"/>
    <s v="Peru"/>
    <b v="0"/>
    <n v="1996"/>
    <n v="55252414130"/>
    <n v="70543211119"/>
    <x v="1"/>
    <n v="-1"/>
    <x v="0"/>
  </r>
  <r>
    <x v="1666"/>
    <x v="1005"/>
    <x v="28"/>
    <s v="Poland"/>
    <s v="Moldova"/>
    <n v="2"/>
    <n v="1"/>
    <s v="FIFA World Cup qualification"/>
    <s v="Katowice"/>
    <s v="Poland"/>
    <b v="0"/>
    <n v="1996"/>
    <n v="160813026223"/>
    <n v="1695122173"/>
    <x v="0"/>
    <n v="1"/>
    <x v="2"/>
  </r>
  <r>
    <x v="1667"/>
    <x v="1005"/>
    <x v="28"/>
    <s v="Slovenia"/>
    <s v="Bosnia and Herzegovina"/>
    <n v="1"/>
    <n v="2"/>
    <s v="FIFA World Cup qualification"/>
    <s v="Ljubljana"/>
    <s v="Slovenia"/>
    <b v="0"/>
    <n v="1996"/>
    <n v="21470699362"/>
    <n v="2786045321"/>
    <x v="0"/>
    <n v="-1"/>
    <x v="0"/>
  </r>
  <r>
    <x v="1668"/>
    <x v="1005"/>
    <x v="28"/>
    <s v="Switzerland"/>
    <s v="Norway"/>
    <n v="0"/>
    <n v="1"/>
    <s v="FIFA World Cup qualification"/>
    <s v="Bern"/>
    <s v="Switzerland"/>
    <b v="0"/>
    <n v="1996"/>
    <n v="340103959546"/>
    <n v="163520109150"/>
    <x v="0"/>
    <n v="-1"/>
    <x v="0"/>
  </r>
  <r>
    <x v="1669"/>
    <x v="1005"/>
    <x v="28"/>
    <s v="Togo"/>
    <s v="Cameroon"/>
    <n v="2"/>
    <n v="4"/>
    <s v="FIFA World Cup qualification"/>
    <s v="Lom√©"/>
    <s v="Togo"/>
    <b v="0"/>
    <n v="1996"/>
    <n v="2069506014"/>
    <n v="11093538846"/>
    <x v="0"/>
    <n v="1"/>
    <x v="2"/>
  </r>
  <r>
    <x v="1670"/>
    <x v="1005"/>
    <x v="28"/>
    <s v="United States"/>
    <s v="Trinidad and Tobago"/>
    <n v="2"/>
    <n v="0"/>
    <s v="FIFA World Cup qualification"/>
    <s v="Richmond"/>
    <s v="United States"/>
    <b v="0"/>
    <n v="1996"/>
    <n v="8073122000000"/>
    <n v="5759570336"/>
    <x v="0"/>
    <n v="1"/>
    <x v="2"/>
  </r>
  <r>
    <x v="1671"/>
    <x v="1006"/>
    <x v="28"/>
    <s v="Chile"/>
    <s v="Uruguay"/>
    <n v="1"/>
    <n v="0"/>
    <s v="FIFA World Cup qualification"/>
    <s v="Santiago"/>
    <s v="Chile"/>
    <b v="0"/>
    <n v="1996"/>
    <n v="78584098983"/>
    <n v="20515458113"/>
    <x v="0"/>
    <n v="1"/>
    <x v="2"/>
  </r>
  <r>
    <x v="1672"/>
    <x v="1007"/>
    <x v="28"/>
    <s v="Tonga"/>
    <s v="Samoa"/>
    <n v="1"/>
    <n v="0"/>
    <s v="FIFA World Cup qualification"/>
    <s v="Nuku'alofa"/>
    <s v="Tonga"/>
    <b v="0"/>
    <n v="1996"/>
    <n v="222100576"/>
    <n v="249907868"/>
    <x v="1"/>
    <n v="-1"/>
    <x v="0"/>
  </r>
  <r>
    <x v="1673"/>
    <x v="1008"/>
    <x v="28"/>
    <s v="Jamaica"/>
    <s v="Mexico"/>
    <n v="1"/>
    <n v="0"/>
    <s v="FIFA World Cup qualification"/>
    <s v="Kingston"/>
    <s v="Jamaica"/>
    <b v="0"/>
    <n v="1996"/>
    <n v="7393891920"/>
    <n v="432157945024"/>
    <x v="0"/>
    <n v="-1"/>
    <x v="0"/>
  </r>
  <r>
    <x v="1674"/>
    <x v="1009"/>
    <x v="28"/>
    <s v="Guatemala"/>
    <s v="Costa Rica"/>
    <n v="1"/>
    <n v="0"/>
    <s v="FIFA World Cup qualification"/>
    <s v="Los Angeles"/>
    <s v="United States"/>
    <b v="1"/>
    <n v="1996"/>
    <n v="15674835615"/>
    <n v="11678424507"/>
    <x v="1"/>
    <n v="1"/>
    <x v="2"/>
  </r>
  <r>
    <x v="1675"/>
    <x v="1009"/>
    <x v="28"/>
    <s v="Trinidad and Tobago"/>
    <s v="United States"/>
    <n v="0"/>
    <n v="1"/>
    <s v="FIFA World Cup qualification"/>
    <s v="Port of Spain"/>
    <s v="Trinidad and Tobago"/>
    <b v="0"/>
    <n v="1996"/>
    <n v="5759570336"/>
    <n v="8073122000000"/>
    <x v="0"/>
    <n v="1"/>
    <x v="2"/>
  </r>
  <r>
    <x v="1676"/>
    <x v="1010"/>
    <x v="28"/>
    <s v="Costa Rica"/>
    <s v="United States"/>
    <n v="2"/>
    <n v="1"/>
    <s v="FIFA World Cup qualification"/>
    <s v="San Jos√©"/>
    <s v="Costa Rica"/>
    <b v="0"/>
    <n v="1996"/>
    <n v="11678424507"/>
    <n v="8073122000000"/>
    <x v="0"/>
    <n v="-1"/>
    <x v="0"/>
  </r>
  <r>
    <x v="1677"/>
    <x v="1010"/>
    <x v="28"/>
    <s v="El Salvador"/>
    <s v="Cuba"/>
    <n v="3"/>
    <n v="0"/>
    <s v="FIFA World Cup qualification"/>
    <s v="San Salvador"/>
    <s v="El Salvador"/>
    <b v="0"/>
    <n v="1996"/>
    <n v="9586327800"/>
    <n v="25017368700"/>
    <x v="0"/>
    <n v="-1"/>
    <x v="0"/>
  </r>
  <r>
    <x v="1678"/>
    <x v="1011"/>
    <x v="28"/>
    <s v="Guatemala"/>
    <s v="Trinidad and Tobago"/>
    <n v="2"/>
    <n v="1"/>
    <s v="FIFA World Cup qualification"/>
    <s v="Los Angeles"/>
    <s v="United States"/>
    <b v="1"/>
    <n v="1996"/>
    <n v="15674835615"/>
    <n v="5759570336"/>
    <x v="0"/>
    <n v="1"/>
    <x v="2"/>
  </r>
  <r>
    <x v="1679"/>
    <x v="1012"/>
    <x v="28"/>
    <s v="Belgium"/>
    <s v="Netherlands"/>
    <n v="0"/>
    <n v="3"/>
    <s v="FIFA World Cup qualification"/>
    <s v="Brussels"/>
    <s v="Belgium"/>
    <b v="0"/>
    <n v="1996"/>
    <n v="279201433224"/>
    <n v="451372549019"/>
    <x v="1"/>
    <n v="1"/>
    <x v="2"/>
  </r>
  <r>
    <x v="1680"/>
    <x v="1012"/>
    <x v="28"/>
    <s v="Cyprus"/>
    <s v="Bulgaria"/>
    <n v="1"/>
    <n v="3"/>
    <s v="FIFA World Cup qualification"/>
    <s v="Limassol"/>
    <s v="Cyprus"/>
    <b v="0"/>
    <n v="1996"/>
    <n v="10011914680"/>
    <n v="12294964837"/>
    <x v="1"/>
    <n v="1"/>
    <x v="2"/>
  </r>
  <r>
    <x v="1681"/>
    <x v="1012"/>
    <x v="28"/>
    <s v="North Macedonia"/>
    <s v="Romania"/>
    <n v="0"/>
    <n v="3"/>
    <s v="FIFA World Cup qualification"/>
    <s v="Skopje"/>
    <s v="North Macedonia"/>
    <b v="0"/>
    <n v="1996"/>
    <n v="4642021256"/>
    <n v="36937074278"/>
    <x v="0"/>
    <n v="1"/>
    <x v="2"/>
  </r>
  <r>
    <x v="1682"/>
    <x v="1012"/>
    <x v="28"/>
    <s v="Portugal"/>
    <s v="Germany"/>
    <n v="0"/>
    <n v="0"/>
    <s v="FIFA World Cup qualification"/>
    <s v="Lisbon"/>
    <s v="Portugal"/>
    <b v="0"/>
    <n v="1996"/>
    <n v="122630089680"/>
    <n v="2506576553158"/>
    <x v="0"/>
    <n v="0"/>
    <x v="1"/>
  </r>
  <r>
    <x v="1683"/>
    <x v="1012"/>
    <x v="28"/>
    <s v="Spain"/>
    <s v="Serbia"/>
    <n v="2"/>
    <n v="0"/>
    <s v="FIFA World Cup qualification"/>
    <s v="Valencia"/>
    <s v="Spain"/>
    <b v="0"/>
    <n v="1996"/>
    <n v="642251412058"/>
    <n v="23277430167"/>
    <x v="0"/>
    <n v="1"/>
    <x v="2"/>
  </r>
  <r>
    <x v="1684"/>
    <x v="1012"/>
    <x v="28"/>
    <s v="United States"/>
    <s v="Costa Rica"/>
    <n v="2"/>
    <n v="1"/>
    <s v="FIFA World Cup qualification"/>
    <s v="Palo Alto"/>
    <s v="United States"/>
    <b v="0"/>
    <n v="1996"/>
    <n v="8073122000000"/>
    <n v="11678424507"/>
    <x v="0"/>
    <n v="1"/>
    <x v="2"/>
  </r>
  <r>
    <x v="1685"/>
    <x v="1013"/>
    <x v="28"/>
    <s v="Argentina"/>
    <s v="Chile"/>
    <n v="1"/>
    <n v="1"/>
    <s v="FIFA World Cup qualification"/>
    <s v="Buenos Aires"/>
    <s v="Argentina"/>
    <b v="0"/>
    <n v="1996"/>
    <n v="272149750000"/>
    <n v="78584098983"/>
    <x v="0"/>
    <n v="0"/>
    <x v="1"/>
  </r>
  <r>
    <x v="1686"/>
    <x v="1013"/>
    <x v="28"/>
    <s v="Bolivia"/>
    <s v="Paraguay"/>
    <n v="0"/>
    <n v="0"/>
    <s v="FIFA World Cup qualification"/>
    <s v="La Paz"/>
    <s v="Bolivia"/>
    <b v="0"/>
    <n v="1996"/>
    <n v="7396949126"/>
    <n v="9788391780"/>
    <x v="1"/>
    <n v="0"/>
    <x v="1"/>
  </r>
  <r>
    <x v="1687"/>
    <x v="1013"/>
    <x v="28"/>
    <s v="El Salvador"/>
    <s v="Canada"/>
    <n v="0"/>
    <n v="2"/>
    <s v="FIFA World Cup qualification"/>
    <s v="San Salvador"/>
    <s v="El Salvador"/>
    <b v="0"/>
    <n v="1996"/>
    <n v="9586327800"/>
    <n v="630607994132"/>
    <x v="0"/>
    <n v="1"/>
    <x v="2"/>
  </r>
  <r>
    <x v="1688"/>
    <x v="1013"/>
    <x v="28"/>
    <s v="Israel"/>
    <s v="Luxembourg"/>
    <n v="1"/>
    <n v="0"/>
    <s v="FIFA World Cup qualification"/>
    <s v="Ramat Gan"/>
    <s v="Israel"/>
    <b v="0"/>
    <n v="1996"/>
    <n v="115116595544"/>
    <n v="20895314657"/>
    <x v="0"/>
    <n v="1"/>
    <x v="2"/>
  </r>
  <r>
    <x v="1689"/>
    <x v="1013"/>
    <x v="28"/>
    <s v="Panama"/>
    <s v="Cuba"/>
    <n v="3"/>
    <n v="1"/>
    <s v="FIFA World Cup qualification"/>
    <s v="Panama City"/>
    <s v="Panama"/>
    <b v="0"/>
    <n v="1996"/>
    <n v="9197503322"/>
    <n v="25017368700"/>
    <x v="0"/>
    <n v="-1"/>
    <x v="0"/>
  </r>
  <r>
    <x v="1690"/>
    <x v="1013"/>
    <x v="28"/>
    <s v="Uruguay"/>
    <s v="Peru"/>
    <n v="2"/>
    <n v="0"/>
    <s v="FIFA World Cup qualification"/>
    <s v="Montevideo"/>
    <s v="Uruguay"/>
    <b v="0"/>
    <n v="1996"/>
    <n v="20515458113"/>
    <n v="55252414130"/>
    <x v="0"/>
    <n v="-1"/>
    <x v="0"/>
  </r>
  <r>
    <x v="1691"/>
    <x v="1013"/>
    <x v="28"/>
    <s v="Venezuela"/>
    <s v="Colombia"/>
    <n v="0"/>
    <n v="2"/>
    <s v="FIFA World Cup qualification"/>
    <s v="San Crist√≥bal"/>
    <s v="Venezuela"/>
    <b v="0"/>
    <n v="1996"/>
    <n v="70543211119"/>
    <n v="97160109277"/>
    <x v="1"/>
    <n v="1"/>
    <x v="2"/>
  </r>
  <r>
    <x v="1692"/>
    <x v="1014"/>
    <x v="28"/>
    <s v="Malta"/>
    <s v="Spain"/>
    <n v="0"/>
    <n v="3"/>
    <s v="FIFA World Cup qualification"/>
    <s v="Attard"/>
    <s v="Malta"/>
    <b v="0"/>
    <n v="1996"/>
    <n v="3822547197"/>
    <n v="642251412058"/>
    <x v="0"/>
    <n v="1"/>
    <x v="2"/>
  </r>
  <r>
    <x v="1693"/>
    <x v="1015"/>
    <x v="28"/>
    <s v="Costa Rica"/>
    <s v="Trinidad and Tobago"/>
    <n v="2"/>
    <n v="1"/>
    <s v="FIFA World Cup qualification"/>
    <s v="Cartago"/>
    <s v="Costa Rica"/>
    <b v="0"/>
    <n v="1996"/>
    <n v="11678424507"/>
    <n v="5759570336"/>
    <x v="0"/>
    <n v="1"/>
    <x v="2"/>
  </r>
  <r>
    <x v="1694"/>
    <x v="1015"/>
    <x v="28"/>
    <s v="Guatemala"/>
    <s v="United States"/>
    <n v="2"/>
    <n v="2"/>
    <s v="FIFA World Cup qualification"/>
    <s v="San Salvador"/>
    <s v="El Salvador"/>
    <b v="1"/>
    <n v="1996"/>
    <n v="15674835615"/>
    <n v="8073122000000"/>
    <x v="0"/>
    <n v="0"/>
    <x v="1"/>
  </r>
  <r>
    <x v="1695"/>
    <x v="1016"/>
    <x v="29"/>
    <s v="Namibia"/>
    <s v="Liberia"/>
    <n v="0"/>
    <n v="0"/>
    <s v="FIFA World Cup qualification"/>
    <s v="Windhoek"/>
    <s v="Namibia"/>
    <b v="0"/>
    <n v="1997"/>
    <n v="4154989950"/>
    <n v="295900000"/>
    <x v="0"/>
    <n v="0"/>
    <x v="1"/>
  </r>
  <r>
    <x v="1696"/>
    <x v="1016"/>
    <x v="29"/>
    <s v="Sierra Leone"/>
    <s v="Gabon"/>
    <n v="1"/>
    <n v="0"/>
    <s v="FIFA World Cup qualification"/>
    <s v="Freetown"/>
    <s v="Sierra Leone"/>
    <b v="0"/>
    <n v="1997"/>
    <n v="850232760"/>
    <n v="5326817114"/>
    <x v="0"/>
    <n v="-1"/>
    <x v="0"/>
  </r>
  <r>
    <x v="1697"/>
    <x v="1016"/>
    <x v="29"/>
    <s v="Zambia"/>
    <s v="South Africa"/>
    <n v="0"/>
    <n v="0"/>
    <s v="FIFA World Cup qualification"/>
    <s v="Lusaka"/>
    <s v="Zambia"/>
    <b v="0"/>
    <n v="1997"/>
    <n v="4303288479"/>
    <n v="168978057327"/>
    <x v="0"/>
    <n v="0"/>
    <x v="1"/>
  </r>
  <r>
    <x v="1698"/>
    <x v="1017"/>
    <x v="29"/>
    <s v="Bolivia"/>
    <s v="Ecuador"/>
    <n v="2"/>
    <n v="0"/>
    <s v="FIFA World Cup qualification"/>
    <s v="La Paz"/>
    <s v="Bolivia"/>
    <b v="0"/>
    <n v="1997"/>
    <n v="7925736821"/>
    <n v="28162053026"/>
    <x v="0"/>
    <n v="-1"/>
    <x v="0"/>
  </r>
  <r>
    <x v="1699"/>
    <x v="1017"/>
    <x v="29"/>
    <s v="Burkina Faso"/>
    <s v="Guinea"/>
    <n v="0"/>
    <n v="2"/>
    <s v="FIFA World Cup qualification"/>
    <s v="Ouagadougou"/>
    <s v="Burkina Faso"/>
    <b v="0"/>
    <n v="1997"/>
    <n v="2447669101"/>
    <n v="5516916163"/>
    <x v="0"/>
    <n v="1"/>
    <x v="2"/>
  </r>
  <r>
    <x v="1700"/>
    <x v="1017"/>
    <x v="29"/>
    <s v="Cameroon"/>
    <s v="Angola"/>
    <n v="0"/>
    <n v="0"/>
    <s v="FIFA World Cup qualification"/>
    <s v="Yaound√©"/>
    <s v="Cameroon"/>
    <b v="0"/>
    <n v="1997"/>
    <n v="10789458432"/>
    <n v="7648380195"/>
    <x v="1"/>
    <n v="0"/>
    <x v="1"/>
  </r>
  <r>
    <x v="1701"/>
    <x v="1017"/>
    <x v="29"/>
    <s v="Ghana"/>
    <s v="Morocco"/>
    <n v="2"/>
    <n v="2"/>
    <s v="FIFA World Cup qualification"/>
    <s v="Kumasi"/>
    <s v="Ghana"/>
    <b v="0"/>
    <n v="1997"/>
    <n v="6891443192"/>
    <n v="39147844526"/>
    <x v="0"/>
    <n v="0"/>
    <x v="1"/>
  </r>
  <r>
    <x v="1702"/>
    <x v="1017"/>
    <x v="29"/>
    <s v="Kenya"/>
    <s v="Nigeria"/>
    <n v="1"/>
    <n v="1"/>
    <s v="FIFA World Cup qualification"/>
    <s v="Nairobi"/>
    <s v="Kenya"/>
    <b v="0"/>
    <n v="1997"/>
    <n v="13115764358"/>
    <n v="200850397618"/>
    <x v="0"/>
    <n v="0"/>
    <x v="1"/>
  </r>
  <r>
    <x v="1703"/>
    <x v="1017"/>
    <x v="29"/>
    <s v="Peru"/>
    <s v="Chile"/>
    <n v="2"/>
    <n v="1"/>
    <s v="FIFA World Cup qualification"/>
    <s v="Lima"/>
    <s v="Peru"/>
    <b v="0"/>
    <n v="1997"/>
    <n v="58147522522"/>
    <n v="85741415285"/>
    <x v="1"/>
    <n v="-1"/>
    <x v="0"/>
  </r>
  <r>
    <x v="1704"/>
    <x v="1017"/>
    <x v="29"/>
    <s v="Tunisia"/>
    <s v="Egypt"/>
    <n v="1"/>
    <n v="0"/>
    <s v="FIFA World Cup qualification"/>
    <s v="Tunis"/>
    <s v="Tunisia"/>
    <b v="0"/>
    <n v="1997"/>
    <n v="20746210353"/>
    <n v="78436578171"/>
    <x v="0"/>
    <n v="-1"/>
    <x v="0"/>
  </r>
  <r>
    <x v="1705"/>
    <x v="1017"/>
    <x v="29"/>
    <s v="Uruguay"/>
    <s v="Argentina"/>
    <n v="0"/>
    <n v="0"/>
    <s v="FIFA World Cup qualification"/>
    <s v="Montevideo"/>
    <s v="Uruguay"/>
    <b v="0"/>
    <n v="1997"/>
    <n v="23969739233"/>
    <n v="292859000000"/>
    <x v="0"/>
    <n v="0"/>
    <x v="1"/>
  </r>
  <r>
    <x v="1706"/>
    <x v="1017"/>
    <x v="29"/>
    <s v="Venezuela"/>
    <s v="Paraguay"/>
    <n v="0"/>
    <n v="2"/>
    <s v="FIFA World Cup qualification"/>
    <s v="M√©rida"/>
    <s v="Venezuela"/>
    <b v="0"/>
    <n v="1997"/>
    <n v="85837678559"/>
    <n v="9965225678"/>
    <x v="0"/>
    <n v="-1"/>
    <x v="0"/>
  </r>
  <r>
    <x v="1707"/>
    <x v="1017"/>
    <x v="29"/>
    <s v="Zimbabwe"/>
    <s v="Togo"/>
    <n v="3"/>
    <n v="0"/>
    <s v="FIFA World Cup qualification"/>
    <s v="Harare"/>
    <s v="Zimbabwe"/>
    <b v="0"/>
    <n v="1997"/>
    <n v="8534000000"/>
    <n v="2116818622"/>
    <x v="0"/>
    <n v="1"/>
    <x v="2"/>
  </r>
  <r>
    <x v="1708"/>
    <x v="1018"/>
    <x v="29"/>
    <s v="Ecuador"/>
    <s v="Uruguay"/>
    <n v="4"/>
    <n v="0"/>
    <s v="FIFA World Cup qualification"/>
    <s v="Quito"/>
    <s v="Ecuador"/>
    <b v="0"/>
    <n v="1997"/>
    <n v="28162053026"/>
    <n v="23969739233"/>
    <x v="1"/>
    <n v="1"/>
    <x v="2"/>
  </r>
  <r>
    <x v="1709"/>
    <x v="1019"/>
    <x v="29"/>
    <s v="Bolivia"/>
    <s v="Chile"/>
    <n v="1"/>
    <n v="1"/>
    <s v="FIFA World Cup qualification"/>
    <s v="La Paz"/>
    <s v="Bolivia"/>
    <b v="0"/>
    <n v="1997"/>
    <n v="7925736821"/>
    <n v="85741415285"/>
    <x v="0"/>
    <n v="0"/>
    <x v="1"/>
  </r>
  <r>
    <x v="1710"/>
    <x v="1019"/>
    <x v="29"/>
    <s v="Colombia"/>
    <s v="Argentina"/>
    <n v="0"/>
    <n v="1"/>
    <s v="FIFA World Cup qualification"/>
    <s v="Barranquilla"/>
    <s v="Colombia"/>
    <b v="0"/>
    <n v="1997"/>
    <n v="106659508271"/>
    <n v="292859000000"/>
    <x v="0"/>
    <n v="1"/>
    <x v="2"/>
  </r>
  <r>
    <x v="1711"/>
    <x v="1019"/>
    <x v="29"/>
    <s v="England"/>
    <s v="Italy"/>
    <n v="0"/>
    <n v="1"/>
    <s v="FIFA World Cup qualification"/>
    <s v="London"/>
    <s v="England"/>
    <b v="0"/>
    <n v="1997"/>
    <n v="1569317288801"/>
    <n v="1244988176443"/>
    <x v="1"/>
    <n v="-1"/>
    <x v="0"/>
  </r>
  <r>
    <x v="1712"/>
    <x v="1019"/>
    <x v="29"/>
    <s v="Paraguay"/>
    <s v="Peru"/>
    <n v="2"/>
    <n v="1"/>
    <s v="FIFA World Cup qualification"/>
    <s v="Asunci√≥n"/>
    <s v="Paraguay"/>
    <b v="0"/>
    <n v="1997"/>
    <n v="9965225678"/>
    <n v="58147522522"/>
    <x v="0"/>
    <n v="-1"/>
    <x v="0"/>
  </r>
  <r>
    <x v="1713"/>
    <x v="1019"/>
    <x v="29"/>
    <s v="Spain"/>
    <s v="Malta"/>
    <n v="4"/>
    <n v="0"/>
    <s v="FIFA World Cup qualification"/>
    <s v="Alicante"/>
    <s v="Spain"/>
    <b v="0"/>
    <n v="1997"/>
    <n v="589739772727"/>
    <n v="3787023706"/>
    <x v="0"/>
    <n v="1"/>
    <x v="2"/>
  </r>
  <r>
    <x v="1714"/>
    <x v="1020"/>
    <x v="29"/>
    <s v="Tonga"/>
    <s v="Solomon Islands"/>
    <n v="0"/>
    <n v="4"/>
    <s v="FIFA World Cup qualification"/>
    <s v="Nuku'alofa"/>
    <s v="Tonga"/>
    <b v="0"/>
    <n v="1997"/>
    <n v="214991452"/>
    <n v="526554005"/>
    <x v="0"/>
    <n v="1"/>
    <x v="2"/>
  </r>
  <r>
    <x v="1715"/>
    <x v="1021"/>
    <x v="29"/>
    <s v="Solomon Islands"/>
    <s v="Tonga"/>
    <n v="9"/>
    <n v="0"/>
    <s v="FIFA World Cup qualification"/>
    <s v="Honiara"/>
    <s v="Solomon Islands"/>
    <b v="0"/>
    <n v="1997"/>
    <n v="526554005"/>
    <n v="214991452"/>
    <x v="0"/>
    <n v="1"/>
    <x v="2"/>
  </r>
  <r>
    <x v="1716"/>
    <x v="1022"/>
    <x v="29"/>
    <s v="Jamaica"/>
    <s v="United States"/>
    <n v="0"/>
    <n v="0"/>
    <s v="FIFA World Cup qualification"/>
    <s v="Kingston"/>
    <s v="Jamaica"/>
    <b v="0"/>
    <n v="1997"/>
    <n v="8400041723"/>
    <n v="8577554457000"/>
    <x v="0"/>
    <n v="0"/>
    <x v="1"/>
  </r>
  <r>
    <x v="1717"/>
    <x v="1022"/>
    <x v="29"/>
    <s v="Mexico"/>
    <s v="Canada"/>
    <n v="4"/>
    <n v="0"/>
    <s v="FIFA World Cup qualification"/>
    <s v="Mexico City"/>
    <s v="Mexico"/>
    <b v="0"/>
    <n v="1997"/>
    <n v="523449530464"/>
    <n v="654986999855"/>
    <x v="1"/>
    <n v="-1"/>
    <x v="0"/>
  </r>
  <r>
    <x v="1718"/>
    <x v="1022"/>
    <x v="29"/>
    <s v="Thailand"/>
    <s v="South Korea"/>
    <n v="1"/>
    <n v="3"/>
    <s v="FIFA World Cup qualification"/>
    <s v="Bangkok"/>
    <s v="Thailand"/>
    <b v="0"/>
    <n v="1997"/>
    <n v="150180456565"/>
    <n v="589202526424"/>
    <x v="0"/>
    <n v="1"/>
    <x v="2"/>
  </r>
  <r>
    <x v="1719"/>
    <x v="1023"/>
    <x v="29"/>
    <s v="Costa Rica"/>
    <s v="Mexico"/>
    <n v="0"/>
    <n v="0"/>
    <s v="FIFA World Cup qualification"/>
    <s v="San Jos√©"/>
    <s v="Costa Rica"/>
    <b v="0"/>
    <n v="1997"/>
    <n v="12614602382"/>
    <n v="523449530464"/>
    <x v="0"/>
    <n v="0"/>
    <x v="1"/>
  </r>
  <r>
    <x v="1720"/>
    <x v="1023"/>
    <x v="29"/>
    <s v="Malaysia"/>
    <s v="Bangladesh"/>
    <n v="2"/>
    <n v="0"/>
    <s v="FIFA World Cup qualification"/>
    <s v="Kuala Lumpur"/>
    <s v="Malaysia"/>
    <b v="0"/>
    <n v="1997"/>
    <n v="100005323301"/>
    <n v="48244309133"/>
    <x v="0"/>
    <n v="1"/>
    <x v="2"/>
  </r>
  <r>
    <x v="1721"/>
    <x v="1023"/>
    <x v="29"/>
    <s v="United States"/>
    <s v="Canada"/>
    <n v="3"/>
    <n v="0"/>
    <s v="FIFA World Cup qualification"/>
    <s v="Palo Alto"/>
    <s v="United States"/>
    <b v="0"/>
    <n v="1997"/>
    <n v="8577554457000"/>
    <n v="654986999855"/>
    <x v="0"/>
    <n v="1"/>
    <x v="2"/>
  </r>
  <r>
    <x v="1722"/>
    <x v="1024"/>
    <x v="29"/>
    <s v="Malaysia"/>
    <s v="Saudi Arabia"/>
    <n v="0"/>
    <n v="0"/>
    <s v="FIFA World Cup qualification"/>
    <s v="Kuala Lumpur"/>
    <s v="Malaysia"/>
    <b v="0"/>
    <n v="1997"/>
    <n v="100005323301"/>
    <n v="165963684913"/>
    <x v="1"/>
    <n v="0"/>
    <x v="1"/>
  </r>
  <r>
    <x v="1723"/>
    <x v="1025"/>
    <x v="29"/>
    <s v="Bangladesh"/>
    <s v="Saudi Arabia"/>
    <n v="1"/>
    <n v="4"/>
    <s v="FIFA World Cup qualification"/>
    <s v="Kuala Lumpur"/>
    <s v="Malaysia"/>
    <b v="1"/>
    <n v="1997"/>
    <n v="48244309133"/>
    <n v="165963684913"/>
    <x v="0"/>
    <n v="1"/>
    <x v="2"/>
  </r>
  <r>
    <x v="1724"/>
    <x v="1026"/>
    <x v="29"/>
    <s v="Costa Rica"/>
    <s v="United States"/>
    <n v="3"/>
    <n v="2"/>
    <s v="FIFA World Cup qualification"/>
    <s v="San Jos√©"/>
    <s v="Costa Rica"/>
    <b v="0"/>
    <n v="1997"/>
    <n v="12614602382"/>
    <n v="8577554457000"/>
    <x v="0"/>
    <n v="-1"/>
    <x v="0"/>
  </r>
  <r>
    <x v="1725"/>
    <x v="1026"/>
    <x v="29"/>
    <s v="Oman"/>
    <s v="Japan"/>
    <n v="0"/>
    <n v="1"/>
    <s v="FIFA World Cup qualification"/>
    <s v="Muscat"/>
    <s v="Oman"/>
    <b v="0"/>
    <n v="1997"/>
    <n v="18039791937"/>
    <n v="4492448605638"/>
    <x v="0"/>
    <n v="1"/>
    <x v="2"/>
  </r>
  <r>
    <x v="1726"/>
    <x v="1027"/>
    <x v="29"/>
    <s v="Oman"/>
    <s v="Nepal"/>
    <n v="1"/>
    <n v="0"/>
    <s v="FIFA World Cup qualification"/>
    <s v="Muscat"/>
    <s v="Oman"/>
    <b v="0"/>
    <n v="1997"/>
    <n v="18039791937"/>
    <n v="4918691916"/>
    <x v="0"/>
    <n v="1"/>
    <x v="2"/>
  </r>
  <r>
    <x v="1727"/>
    <x v="1028"/>
    <x v="29"/>
    <s v="Nepal"/>
    <s v="Japan"/>
    <n v="0"/>
    <n v="6"/>
    <s v="FIFA World Cup qualification"/>
    <s v="Muscat"/>
    <s v="Oman"/>
    <b v="1"/>
    <n v="1997"/>
    <n v="4918691916"/>
    <n v="4492448605638"/>
    <x v="0"/>
    <n v="1"/>
    <x v="2"/>
  </r>
  <r>
    <x v="1728"/>
    <x v="1028"/>
    <x v="29"/>
    <s v="Saudi Arabia"/>
    <s v="Bangladesh"/>
    <n v="3"/>
    <n v="0"/>
    <s v="FIFA World Cup qualification"/>
    <s v="Jeddah"/>
    <s v="Saudi Arabia"/>
    <b v="0"/>
    <n v="1997"/>
    <n v="165963684913"/>
    <n v="48244309133"/>
    <x v="0"/>
    <n v="1"/>
    <x v="2"/>
  </r>
  <r>
    <x v="1729"/>
    <x v="1029"/>
    <x v="29"/>
    <s v="Albania"/>
    <s v="Ukraine"/>
    <n v="0"/>
    <n v="1"/>
    <s v="FIFA World Cup qualification"/>
    <s v="Granada"/>
    <s v="Spain"/>
    <b v="1"/>
    <n v="1997"/>
    <n v="2293666029"/>
    <n v="50151531591"/>
    <x v="0"/>
    <n v="1"/>
    <x v="2"/>
  </r>
  <r>
    <x v="1730"/>
    <x v="1029"/>
    <x v="29"/>
    <s v="Croatia"/>
    <s v="Denmark"/>
    <n v="1"/>
    <n v="1"/>
    <s v="FIFA World Cup qualification"/>
    <s v="Split"/>
    <s v="Croatia"/>
    <b v="0"/>
    <n v="1997"/>
    <n v="24175764812"/>
    <n v="173241365735"/>
    <x v="0"/>
    <n v="0"/>
    <x v="1"/>
  </r>
  <r>
    <x v="1731"/>
    <x v="1029"/>
    <x v="29"/>
    <s v="Cyprus"/>
    <s v="Russia"/>
    <n v="1"/>
    <n v="1"/>
    <s v="FIFA World Cup qualification"/>
    <s v="Paral√≠mni"/>
    <s v="Cyprus"/>
    <b v="0"/>
    <n v="1997"/>
    <n v="9547816419"/>
    <n v="404928954191"/>
    <x v="0"/>
    <n v="0"/>
    <x v="1"/>
  </r>
  <r>
    <x v="1732"/>
    <x v="1029"/>
    <x v="29"/>
    <s v="Italy"/>
    <s v="Moldova"/>
    <n v="3"/>
    <n v="0"/>
    <s v="FIFA World Cup qualification"/>
    <s v="Trieste"/>
    <s v="Italy"/>
    <b v="0"/>
    <n v="1997"/>
    <n v="1244988176443"/>
    <n v="1930081168"/>
    <x v="0"/>
    <n v="1"/>
    <x v="2"/>
  </r>
  <r>
    <x v="1733"/>
    <x v="1029"/>
    <x v="29"/>
    <s v="Netherlands"/>
    <s v="San Marino"/>
    <n v="4"/>
    <n v="0"/>
    <s v="FIFA World Cup qualification"/>
    <s v="Amsterdam"/>
    <s v="Netherlands"/>
    <b v="0"/>
    <n v="1997"/>
    <n v="417506211881"/>
    <n v="976606910"/>
    <x v="0"/>
    <n v="1"/>
    <x v="2"/>
  </r>
  <r>
    <x v="1734"/>
    <x v="1029"/>
    <x v="29"/>
    <s v="Romania"/>
    <s v="Liechtenstein"/>
    <n v="8"/>
    <n v="0"/>
    <s v="FIFA World Cup qualification"/>
    <s v="Bucharest"/>
    <s v="Romania"/>
    <b v="0"/>
    <n v="1997"/>
    <n v="35575214078"/>
    <n v="2298389802"/>
    <x v="0"/>
    <n v="1"/>
    <x v="2"/>
  </r>
  <r>
    <x v="1735"/>
    <x v="1029"/>
    <x v="29"/>
    <s v="Saudi Arabia"/>
    <s v="Malaysia"/>
    <n v="3"/>
    <n v="0"/>
    <s v="FIFA World Cup qualification"/>
    <s v="Jeddah"/>
    <s v="Saudi Arabia"/>
    <b v="0"/>
    <n v="1997"/>
    <n v="165963684913"/>
    <n v="100005323301"/>
    <x v="1"/>
    <n v="1"/>
    <x v="2"/>
  </r>
  <r>
    <x v="1736"/>
    <x v="1030"/>
    <x v="29"/>
    <s v="Bangladesh"/>
    <s v="Malaysia"/>
    <n v="0"/>
    <n v="1"/>
    <s v="FIFA World Cup qualification"/>
    <s v="Jeddah"/>
    <s v="Saudi Arabia"/>
    <b v="1"/>
    <n v="1997"/>
    <n v="48244309133"/>
    <n v="100005323301"/>
    <x v="0"/>
    <n v="1"/>
    <x v="2"/>
  </r>
  <r>
    <x v="1737"/>
    <x v="1030"/>
    <x v="29"/>
    <s v="Luxembourg"/>
    <s v="Israel"/>
    <n v="0"/>
    <n v="3"/>
    <s v="FIFA World Cup qualification"/>
    <s v="Luxembourg"/>
    <s v="Luxembourg"/>
    <b v="0"/>
    <n v="1997"/>
    <n v="19563836265"/>
    <n v="119459826346"/>
    <x v="0"/>
    <n v="1"/>
    <x v="2"/>
  </r>
  <r>
    <x v="1738"/>
    <x v="1031"/>
    <x v="29"/>
    <s v="Albania"/>
    <s v="Germany"/>
    <n v="2"/>
    <n v="3"/>
    <s v="FIFA World Cup qualification"/>
    <s v="Granada"/>
    <s v="Spain"/>
    <b v="1"/>
    <n v="1997"/>
    <n v="2293666029"/>
    <n v="2218790886532"/>
    <x v="0"/>
    <n v="1"/>
    <x v="2"/>
  </r>
  <r>
    <x v="1739"/>
    <x v="1031"/>
    <x v="29"/>
    <s v="Azerbaijan"/>
    <s v="Finland"/>
    <n v="1"/>
    <n v="2"/>
    <s v="FIFA World Cup qualification"/>
    <s v="Baku"/>
    <s v="Azerbaijan"/>
    <b v="0"/>
    <n v="1997"/>
    <n v="3962362387"/>
    <n v="126862902302"/>
    <x v="0"/>
    <n v="1"/>
    <x v="2"/>
  </r>
  <r>
    <x v="1740"/>
    <x v="1031"/>
    <x v="29"/>
    <s v="Bolivia"/>
    <s v="Argentina"/>
    <n v="2"/>
    <n v="1"/>
    <s v="FIFA World Cup qualification"/>
    <s v="La Paz"/>
    <s v="Bolivia"/>
    <b v="0"/>
    <n v="1997"/>
    <n v="7925736821"/>
    <n v="292859000000"/>
    <x v="0"/>
    <n v="-1"/>
    <x v="0"/>
  </r>
  <r>
    <x v="1741"/>
    <x v="1031"/>
    <x v="29"/>
    <s v="Bosnia and Herzegovina"/>
    <s v="Greece"/>
    <n v="0"/>
    <n v="1"/>
    <s v="FIFA World Cup qualification"/>
    <s v="Sarajevo"/>
    <s v="Bosnia and Herzegovina"/>
    <b v="0"/>
    <n v="1997"/>
    <n v="3671909673"/>
    <n v="138766067640"/>
    <x v="0"/>
    <n v="1"/>
    <x v="2"/>
  </r>
  <r>
    <x v="1742"/>
    <x v="1031"/>
    <x v="29"/>
    <s v="Bulgaria"/>
    <s v="Cyprus"/>
    <n v="4"/>
    <n v="1"/>
    <s v="FIFA World Cup qualification"/>
    <s v="Sofia"/>
    <s v="Bulgaria"/>
    <b v="0"/>
    <n v="1997"/>
    <n v="11316127378"/>
    <n v="9547816419"/>
    <x v="1"/>
    <n v="1"/>
    <x v="2"/>
  </r>
  <r>
    <x v="1743"/>
    <x v="1031"/>
    <x v="29"/>
    <s v="Croatia"/>
    <s v="Slovenia"/>
    <n v="3"/>
    <n v="3"/>
    <s v="FIFA World Cup qualification"/>
    <s v="Split"/>
    <s v="Croatia"/>
    <b v="0"/>
    <n v="1997"/>
    <n v="24175764812"/>
    <n v="20726878751"/>
    <x v="1"/>
    <n v="0"/>
    <x v="1"/>
  </r>
  <r>
    <x v="1744"/>
    <x v="1031"/>
    <x v="29"/>
    <s v="Lithuania"/>
    <s v="Romania"/>
    <n v="0"/>
    <n v="1"/>
    <s v="FIFA World Cup qualification"/>
    <s v="Vilnius"/>
    <s v="Lithuania"/>
    <b v="0"/>
    <n v="1997"/>
    <n v="10168271903"/>
    <n v="35575214078"/>
    <x v="0"/>
    <n v="1"/>
    <x v="2"/>
  </r>
  <r>
    <x v="1745"/>
    <x v="1031"/>
    <x v="29"/>
    <s v="Paraguay"/>
    <s v="Colombia"/>
    <n v="2"/>
    <n v="1"/>
    <s v="FIFA World Cup qualification"/>
    <s v="Asunci√≥n"/>
    <s v="Paraguay"/>
    <b v="0"/>
    <n v="1997"/>
    <n v="9965225678"/>
    <n v="106659508271"/>
    <x v="0"/>
    <n v="-1"/>
    <x v="0"/>
  </r>
  <r>
    <x v="1746"/>
    <x v="1031"/>
    <x v="29"/>
    <s v="Peru"/>
    <s v="Ecuador"/>
    <n v="1"/>
    <n v="1"/>
    <s v="FIFA World Cup qualification"/>
    <s v="Lima"/>
    <s v="Peru"/>
    <b v="0"/>
    <n v="1997"/>
    <n v="58147522522"/>
    <n v="28162053026"/>
    <x v="0"/>
    <n v="0"/>
    <x v="1"/>
  </r>
  <r>
    <x v="1747"/>
    <x v="1031"/>
    <x v="29"/>
    <s v="Poland"/>
    <s v="Italy"/>
    <n v="0"/>
    <n v="0"/>
    <s v="FIFA World Cup qualification"/>
    <s v="Chorz√≥w"/>
    <s v="Poland"/>
    <b v="0"/>
    <n v="1997"/>
    <n v="159893964916"/>
    <n v="1244988176443"/>
    <x v="0"/>
    <n v="0"/>
    <x v="1"/>
  </r>
  <r>
    <x v="1748"/>
    <x v="1031"/>
    <x v="29"/>
    <s v="Uruguay"/>
    <s v="Venezuela"/>
    <n v="3"/>
    <n v="1"/>
    <s v="FIFA World Cup qualification"/>
    <s v="Montevideo"/>
    <s v="Uruguay"/>
    <b v="0"/>
    <n v="1997"/>
    <n v="23969739233"/>
    <n v="85837678559"/>
    <x v="0"/>
    <n v="-1"/>
    <x v="0"/>
  </r>
  <r>
    <x v="1749"/>
    <x v="1032"/>
    <x v="29"/>
    <s v="Nigeria"/>
    <s v="Guinea"/>
    <n v="2"/>
    <n v="1"/>
    <s v="FIFA World Cup qualification"/>
    <s v="Lagos"/>
    <s v="Nigeria"/>
    <b v="0"/>
    <n v="1997"/>
    <n v="200850397618"/>
    <n v="5516916163"/>
    <x v="0"/>
    <n v="1"/>
    <x v="2"/>
  </r>
  <r>
    <x v="1750"/>
    <x v="1032"/>
    <x v="29"/>
    <s v="Sierra Leone"/>
    <s v="Ghana"/>
    <n v="1"/>
    <n v="1"/>
    <s v="FIFA World Cup qualification"/>
    <s v="Freetown"/>
    <s v="Sierra Leone"/>
    <b v="0"/>
    <n v="1997"/>
    <n v="850232760"/>
    <n v="6891443192"/>
    <x v="0"/>
    <n v="0"/>
    <x v="1"/>
  </r>
  <r>
    <x v="1751"/>
    <x v="1033"/>
    <x v="29"/>
    <s v="Angola"/>
    <s v="Togo"/>
    <n v="3"/>
    <n v="1"/>
    <s v="FIFA World Cup qualification"/>
    <s v="Luanda"/>
    <s v="Angola"/>
    <b v="0"/>
    <n v="1997"/>
    <n v="7648380195"/>
    <n v="2116818622"/>
    <x v="0"/>
    <n v="1"/>
    <x v="2"/>
  </r>
  <r>
    <x v="1752"/>
    <x v="1033"/>
    <x v="29"/>
    <s v="Cameroon"/>
    <s v="Zimbabwe"/>
    <n v="1"/>
    <n v="0"/>
    <s v="FIFA World Cup qualification"/>
    <s v="Yaound√©"/>
    <s v="Cameroon"/>
    <b v="0"/>
    <n v="1997"/>
    <n v="10789458432"/>
    <n v="8534000000"/>
    <x v="1"/>
    <n v="1"/>
    <x v="2"/>
  </r>
  <r>
    <x v="1753"/>
    <x v="1033"/>
    <x v="29"/>
    <s v="Canada"/>
    <s v="El Salvador"/>
    <n v="0"/>
    <n v="0"/>
    <s v="FIFA World Cup qualification"/>
    <s v="Burnaby"/>
    <s v="Canada"/>
    <b v="0"/>
    <n v="1997"/>
    <n v="654986999855"/>
    <n v="10221705900"/>
    <x v="0"/>
    <n v="0"/>
    <x v="1"/>
  </r>
  <r>
    <x v="1754"/>
    <x v="1033"/>
    <x v="29"/>
    <s v="Gabon"/>
    <s v="Morocco"/>
    <n v="0"/>
    <n v="4"/>
    <s v="FIFA World Cup qualification"/>
    <s v="Libreville"/>
    <s v="Gabon"/>
    <b v="0"/>
    <n v="1997"/>
    <n v="5326817114"/>
    <n v="39147844526"/>
    <x v="0"/>
    <n v="1"/>
    <x v="2"/>
  </r>
  <r>
    <x v="1755"/>
    <x v="1033"/>
    <x v="29"/>
    <s v="Indonesia"/>
    <s v="Cambodia"/>
    <n v="8"/>
    <n v="0"/>
    <s v="FIFA World Cup qualification"/>
    <s v="Jakarta"/>
    <s v="Indonesia"/>
    <b v="0"/>
    <n v="1997"/>
    <n v="215748998609"/>
    <n v="3443413388"/>
    <x v="0"/>
    <n v="1"/>
    <x v="2"/>
  </r>
  <r>
    <x v="1756"/>
    <x v="1033"/>
    <x v="29"/>
    <s v="Kenya"/>
    <s v="Burkina Faso"/>
    <n v="4"/>
    <n v="3"/>
    <s v="FIFA World Cup qualification"/>
    <s v="Nairobi"/>
    <s v="Kenya"/>
    <b v="0"/>
    <n v="1997"/>
    <n v="13115764358"/>
    <n v="2447669101"/>
    <x v="0"/>
    <n v="1"/>
    <x v="2"/>
  </r>
  <r>
    <x v="1757"/>
    <x v="1033"/>
    <x v="29"/>
    <s v="Liberia"/>
    <s v="Egypt"/>
    <n v="1"/>
    <n v="0"/>
    <s v="FIFA World Cup qualification"/>
    <s v="Accra"/>
    <s v="Ghana"/>
    <b v="1"/>
    <n v="1997"/>
    <n v="295900000"/>
    <n v="78436578171"/>
    <x v="0"/>
    <n v="-1"/>
    <x v="0"/>
  </r>
  <r>
    <x v="1758"/>
    <x v="1033"/>
    <x v="29"/>
    <s v="Namibia"/>
    <s v="Tunisia"/>
    <n v="1"/>
    <n v="2"/>
    <s v="FIFA World Cup qualification"/>
    <s v="Windhoek"/>
    <s v="Namibia"/>
    <b v="0"/>
    <n v="1997"/>
    <n v="4154989950"/>
    <n v="20746210353"/>
    <x v="0"/>
    <n v="1"/>
    <x v="2"/>
  </r>
  <r>
    <x v="1759"/>
    <x v="1034"/>
    <x v="29"/>
    <s v="Jordan"/>
    <s v="United Arab Emirates"/>
    <n v="0"/>
    <n v="0"/>
    <s v="FIFA World Cup qualification"/>
    <s v="Manama"/>
    <s v="Bahrain"/>
    <b v="1"/>
    <n v="1997"/>
    <n v="7245839210"/>
    <n v="78839008444"/>
    <x v="0"/>
    <n v="0"/>
    <x v="1"/>
  </r>
  <r>
    <x v="1760"/>
    <x v="1035"/>
    <x v="29"/>
    <s v="Bahrain"/>
    <s v="United Arab Emirates"/>
    <n v="1"/>
    <n v="2"/>
    <s v="FIFA World Cup qualification"/>
    <s v="Manama"/>
    <s v="Bahrain"/>
    <b v="0"/>
    <n v="1997"/>
    <n v="7219407712"/>
    <n v="78839008444"/>
    <x v="0"/>
    <n v="1"/>
    <x v="2"/>
  </r>
  <r>
    <x v="1761"/>
    <x v="1036"/>
    <x v="29"/>
    <s v="Lebanon"/>
    <s v="Singapore"/>
    <n v="1"/>
    <n v="1"/>
    <s v="FIFA World Cup qualification"/>
    <s v="Beirut"/>
    <s v="Lebanon"/>
    <b v="0"/>
    <n v="1997"/>
    <n v="15751867489"/>
    <n v="100123787215"/>
    <x v="0"/>
    <n v="0"/>
    <x v="1"/>
  </r>
  <r>
    <x v="1762"/>
    <x v="1036"/>
    <x v="29"/>
    <s v="Mexico"/>
    <s v="Jamaica"/>
    <n v="6"/>
    <n v="0"/>
    <s v="FIFA World Cup qualification"/>
    <s v="Mexico City"/>
    <s v="Mexico"/>
    <b v="0"/>
    <n v="1997"/>
    <n v="523449530464"/>
    <n v="8400041723"/>
    <x v="0"/>
    <n v="1"/>
    <x v="2"/>
  </r>
  <r>
    <x v="1763"/>
    <x v="1037"/>
    <x v="29"/>
    <s v="Bahrain"/>
    <s v="Jordan"/>
    <n v="1"/>
    <n v="0"/>
    <s v="FIFA World Cup qualification"/>
    <s v="Manama"/>
    <s v="Bahrain"/>
    <b v="0"/>
    <n v="1997"/>
    <n v="7219407712"/>
    <n v="7245839210"/>
    <x v="1"/>
    <n v="-1"/>
    <x v="0"/>
  </r>
  <r>
    <x v="1764"/>
    <x v="1038"/>
    <x v="29"/>
    <s v="Jordan"/>
    <s v="Bahrain"/>
    <n v="4"/>
    <n v="1"/>
    <s v="FIFA World Cup qualification"/>
    <s v="Sharjah"/>
    <s v="United Arab Emirates"/>
    <b v="1"/>
    <n v="1997"/>
    <n v="7245839210"/>
    <n v="7219407712"/>
    <x v="1"/>
    <n v="1"/>
    <x v="2"/>
  </r>
  <r>
    <x v="1765"/>
    <x v="1039"/>
    <x v="29"/>
    <s v="United States"/>
    <s v="Mexico"/>
    <n v="2"/>
    <n v="2"/>
    <s v="FIFA World Cup qualification"/>
    <s v="Foxborough"/>
    <s v="United States"/>
    <b v="0"/>
    <n v="1997"/>
    <n v="8577554457000"/>
    <n v="523449530464"/>
    <x v="0"/>
    <n v="0"/>
    <x v="1"/>
  </r>
  <r>
    <x v="1766"/>
    <x v="1040"/>
    <x v="29"/>
    <s v="United Arab Emirates"/>
    <s v="Bahrain"/>
    <n v="3"/>
    <n v="0"/>
    <s v="FIFA World Cup qualification"/>
    <s v="Sharjah"/>
    <s v="United Arab Emirates"/>
    <b v="0"/>
    <n v="1997"/>
    <n v="78839008444"/>
    <n v="7219407712"/>
    <x v="0"/>
    <n v="1"/>
    <x v="2"/>
  </r>
  <r>
    <x v="1767"/>
    <x v="1041"/>
    <x v="29"/>
    <s v="Namibia"/>
    <s v="Egypt"/>
    <n v="2"/>
    <n v="3"/>
    <s v="FIFA World Cup qualification"/>
    <s v="Windhoek"/>
    <s v="Namibia"/>
    <b v="0"/>
    <n v="1997"/>
    <n v="4154989950"/>
    <n v="78436578171"/>
    <x v="0"/>
    <n v="1"/>
    <x v="2"/>
  </r>
  <r>
    <x v="1768"/>
    <x v="1041"/>
    <x v="29"/>
    <s v="Sierra Leone"/>
    <s v="Morocco"/>
    <n v="0"/>
    <n v="1"/>
    <s v="FIFA World Cup qualification"/>
    <s v="Freetown"/>
    <s v="Sierra Leone"/>
    <b v="0"/>
    <n v="1997"/>
    <n v="850232760"/>
    <n v="39147844526"/>
    <x v="0"/>
    <n v="1"/>
    <x v="2"/>
  </r>
  <r>
    <x v="1769"/>
    <x v="1041"/>
    <x v="29"/>
    <s v="Singapore"/>
    <s v="Kuwait"/>
    <n v="0"/>
    <n v="1"/>
    <s v="FIFA World Cup qualification"/>
    <s v="Singapore"/>
    <s v="Singapore"/>
    <b v="0"/>
    <n v="1997"/>
    <n v="100123787215"/>
    <n v="30350190704"/>
    <x v="0"/>
    <n v="-1"/>
    <x v="0"/>
  </r>
  <r>
    <x v="1770"/>
    <x v="1041"/>
    <x v="29"/>
    <s v="United Arab Emirates"/>
    <s v="Jordan"/>
    <n v="2"/>
    <n v="0"/>
    <s v="FIFA World Cup qualification"/>
    <s v="Sharjah"/>
    <s v="United Arab Emirates"/>
    <b v="0"/>
    <n v="1997"/>
    <n v="78839008444"/>
    <n v="7245839210"/>
    <x v="0"/>
    <n v="1"/>
    <x v="2"/>
  </r>
  <r>
    <x v="1771"/>
    <x v="1042"/>
    <x v="29"/>
    <s v="Burkina Faso"/>
    <s v="Nigeria"/>
    <n v="1"/>
    <n v="2"/>
    <s v="FIFA World Cup qualification"/>
    <s v="Ouagadougou"/>
    <s v="Burkina Faso"/>
    <b v="0"/>
    <n v="1997"/>
    <n v="2447669101"/>
    <n v="200850397618"/>
    <x v="0"/>
    <n v="1"/>
    <x v="2"/>
  </r>
  <r>
    <x v="1772"/>
    <x v="1042"/>
    <x v="29"/>
    <s v="Cambodia"/>
    <s v="Indonesia"/>
    <n v="1"/>
    <n v="1"/>
    <s v="FIFA World Cup qualification"/>
    <s v="Phnom Penh"/>
    <s v="Cambodia"/>
    <b v="0"/>
    <n v="1997"/>
    <n v="3443413388"/>
    <n v="215748998609"/>
    <x v="0"/>
    <n v="0"/>
    <x v="1"/>
  </r>
  <r>
    <x v="1773"/>
    <x v="1042"/>
    <x v="29"/>
    <s v="Cameroon"/>
    <s v="Togo"/>
    <n v="2"/>
    <n v="0"/>
    <s v="FIFA World Cup qualification"/>
    <s v="Yaound√©"/>
    <s v="Cameroon"/>
    <b v="0"/>
    <n v="1997"/>
    <n v="10789458432"/>
    <n v="2116818622"/>
    <x v="0"/>
    <n v="1"/>
    <x v="2"/>
  </r>
  <r>
    <x v="1774"/>
    <x v="1042"/>
    <x v="29"/>
    <s v="Canada"/>
    <s v="Jamaica"/>
    <n v="0"/>
    <n v="0"/>
    <s v="FIFA World Cup qualification"/>
    <s v="Burnaby"/>
    <s v="Canada"/>
    <b v="0"/>
    <n v="1997"/>
    <n v="654986999855"/>
    <n v="8400041723"/>
    <x v="0"/>
    <n v="0"/>
    <x v="1"/>
  </r>
  <r>
    <x v="1775"/>
    <x v="1042"/>
    <x v="29"/>
    <s v="Ghana"/>
    <s v="Gabon"/>
    <n v="3"/>
    <n v="0"/>
    <s v="FIFA World Cup qualification"/>
    <s v="Accra"/>
    <s v="Ghana"/>
    <b v="0"/>
    <n v="1997"/>
    <n v="6891443192"/>
    <n v="5326817114"/>
    <x v="1"/>
    <n v="1"/>
    <x v="2"/>
  </r>
  <r>
    <x v="1776"/>
    <x v="1042"/>
    <x v="29"/>
    <s v="Kenya"/>
    <s v="Guinea"/>
    <n v="1"/>
    <n v="0"/>
    <s v="FIFA World Cup qualification"/>
    <s v="Nairobi"/>
    <s v="Kenya"/>
    <b v="0"/>
    <n v="1997"/>
    <n v="13115764358"/>
    <n v="5516916163"/>
    <x v="0"/>
    <n v="1"/>
    <x v="2"/>
  </r>
  <r>
    <x v="1777"/>
    <x v="1042"/>
    <x v="29"/>
    <s v="Tunisia"/>
    <s v="Liberia"/>
    <n v="2"/>
    <n v="0"/>
    <s v="FIFA World Cup qualification"/>
    <s v="Tunis"/>
    <s v="Tunisia"/>
    <b v="0"/>
    <n v="1997"/>
    <n v="20746210353"/>
    <n v="295900000"/>
    <x v="0"/>
    <n v="1"/>
    <x v="2"/>
  </r>
  <r>
    <x v="1778"/>
    <x v="1042"/>
    <x v="29"/>
    <s v="Zimbabwe"/>
    <s v="Angola"/>
    <n v="0"/>
    <n v="0"/>
    <s v="FIFA World Cup qualification"/>
    <s v="Harare"/>
    <s v="Zimbabwe"/>
    <b v="0"/>
    <n v="1997"/>
    <n v="8534000000"/>
    <n v="7648380195"/>
    <x v="1"/>
    <n v="0"/>
    <x v="1"/>
  </r>
  <r>
    <x v="1779"/>
    <x v="1043"/>
    <x v="29"/>
    <s v="Chile"/>
    <s v="Venezuela"/>
    <n v="6"/>
    <n v="0"/>
    <s v="FIFA World Cup qualification"/>
    <s v="Santiago"/>
    <s v="Chile"/>
    <b v="0"/>
    <n v="1997"/>
    <n v="85741415285"/>
    <n v="85837678559"/>
    <x v="1"/>
    <n v="-1"/>
    <x v="0"/>
  </r>
  <r>
    <x v="1780"/>
    <x v="1044"/>
    <x v="29"/>
    <s v="Argentina"/>
    <s v="Ecuador"/>
    <n v="2"/>
    <n v="1"/>
    <s v="FIFA World Cup qualification"/>
    <s v="Buenos Aires"/>
    <s v="Argentina"/>
    <b v="0"/>
    <n v="1997"/>
    <n v="292859000000"/>
    <n v="28162053026"/>
    <x v="0"/>
    <n v="1"/>
    <x v="2"/>
  </r>
  <r>
    <x v="1781"/>
    <x v="1044"/>
    <x v="29"/>
    <s v="Austria"/>
    <s v="Estonia"/>
    <n v="2"/>
    <n v="0"/>
    <s v="FIFA World Cup qualification"/>
    <s v="Vienna"/>
    <s v="Austria"/>
    <b v="0"/>
    <n v="1997"/>
    <n v="211724812267"/>
    <n v="5154420649"/>
    <x v="0"/>
    <n v="1"/>
    <x v="2"/>
  </r>
  <r>
    <x v="1782"/>
    <x v="1044"/>
    <x v="29"/>
    <s v="Colombia"/>
    <s v="Peru"/>
    <n v="0"/>
    <n v="1"/>
    <s v="FIFA World Cup qualification"/>
    <s v="Barranquilla"/>
    <s v="Colombia"/>
    <b v="0"/>
    <n v="1997"/>
    <n v="106659508271"/>
    <n v="58147522522"/>
    <x v="1"/>
    <n v="-1"/>
    <x v="0"/>
  </r>
  <r>
    <x v="1783"/>
    <x v="1044"/>
    <x v="29"/>
    <s v="Denmark"/>
    <s v="Slovenia"/>
    <n v="4"/>
    <n v="0"/>
    <s v="FIFA World Cup qualification"/>
    <s v="Copenhagen"/>
    <s v="Denmark"/>
    <b v="0"/>
    <n v="1997"/>
    <n v="173241365735"/>
    <n v="20726878751"/>
    <x v="0"/>
    <n v="1"/>
    <x v="2"/>
  </r>
  <r>
    <x v="1784"/>
    <x v="1044"/>
    <x v="29"/>
    <s v="England"/>
    <s v="Georgia"/>
    <n v="2"/>
    <n v="0"/>
    <s v="FIFA World Cup qualification"/>
    <s v="London"/>
    <s v="England"/>
    <b v="0"/>
    <n v="1997"/>
    <n v="1569317288801"/>
    <n v="3510520231"/>
    <x v="0"/>
    <n v="1"/>
    <x v="2"/>
  </r>
  <r>
    <x v="1785"/>
    <x v="1044"/>
    <x v="29"/>
    <s v="Germany"/>
    <s v="Ukraine"/>
    <n v="2"/>
    <n v="0"/>
    <s v="FIFA World Cup qualification"/>
    <s v="Bremen"/>
    <s v="Germany"/>
    <b v="0"/>
    <n v="1997"/>
    <n v="2218790886532"/>
    <n v="50151531591"/>
    <x v="0"/>
    <n v="1"/>
    <x v="2"/>
  </r>
  <r>
    <x v="1786"/>
    <x v="1044"/>
    <x v="29"/>
    <s v="Greece"/>
    <s v="Croatia"/>
    <n v="0"/>
    <n v="1"/>
    <s v="FIFA World Cup qualification"/>
    <s v="Salonica"/>
    <s v="Greece"/>
    <b v="0"/>
    <n v="1997"/>
    <n v="138766067640"/>
    <n v="24175764812"/>
    <x v="0"/>
    <n v="-1"/>
    <x v="0"/>
  </r>
  <r>
    <x v="1787"/>
    <x v="1044"/>
    <x v="29"/>
    <s v="Israel"/>
    <s v="Cyprus"/>
    <n v="2"/>
    <n v="0"/>
    <s v="FIFA World Cup qualification"/>
    <s v="Ramat Gan"/>
    <s v="Israel"/>
    <b v="0"/>
    <n v="1997"/>
    <n v="119459826346"/>
    <n v="9547816419"/>
    <x v="0"/>
    <n v="1"/>
    <x v="2"/>
  </r>
  <r>
    <x v="1788"/>
    <x v="1044"/>
    <x v="29"/>
    <s v="Italy"/>
    <s v="Poland"/>
    <n v="3"/>
    <n v="0"/>
    <s v="FIFA World Cup qualification"/>
    <s v="Naples"/>
    <s v="Italy"/>
    <b v="0"/>
    <n v="1997"/>
    <n v="1244988176443"/>
    <n v="159893964916"/>
    <x v="0"/>
    <n v="1"/>
    <x v="2"/>
  </r>
  <r>
    <x v="1789"/>
    <x v="1044"/>
    <x v="29"/>
    <s v="Latvia"/>
    <s v="Belarus"/>
    <n v="2"/>
    <n v="0"/>
    <s v="FIFA World Cup qualification"/>
    <s v="Riga"/>
    <s v="Latvia"/>
    <b v="0"/>
    <n v="1997"/>
    <n v="6349481006"/>
    <n v="14128408565"/>
    <x v="0"/>
    <n v="-1"/>
    <x v="0"/>
  </r>
  <r>
    <x v="1790"/>
    <x v="1044"/>
    <x v="29"/>
    <s v="Liechtenstein"/>
    <s v="Lithuania"/>
    <n v="0"/>
    <n v="2"/>
    <s v="FIFA World Cup qualification"/>
    <s v="Eschen"/>
    <s v="Liechtenstein"/>
    <b v="0"/>
    <n v="1997"/>
    <n v="2298389802"/>
    <n v="10168271903"/>
    <x v="0"/>
    <n v="1"/>
    <x v="2"/>
  </r>
  <r>
    <x v="1791"/>
    <x v="1044"/>
    <x v="29"/>
    <s v="Malta"/>
    <s v="Faroe Islands"/>
    <n v="1"/>
    <n v="2"/>
    <s v="FIFA World Cup qualification"/>
    <s v="Attard"/>
    <s v="Malta"/>
    <b v="0"/>
    <n v="1997"/>
    <n v="3787023706"/>
    <n v="933763083"/>
    <x v="0"/>
    <n v="-1"/>
    <x v="0"/>
  </r>
  <r>
    <x v="1792"/>
    <x v="1044"/>
    <x v="29"/>
    <s v="Norway"/>
    <s v="Finland"/>
    <n v="1"/>
    <n v="1"/>
    <s v="FIFA World Cup qualification"/>
    <s v="Oslo"/>
    <s v="Norway"/>
    <b v="0"/>
    <n v="1997"/>
    <n v="161356631888"/>
    <n v="126862902302"/>
    <x v="1"/>
    <n v="0"/>
    <x v="1"/>
  </r>
  <r>
    <x v="1793"/>
    <x v="1044"/>
    <x v="29"/>
    <s v="Paraguay"/>
    <s v="Uruguay"/>
    <n v="3"/>
    <n v="1"/>
    <s v="FIFA World Cup qualification"/>
    <s v="Asunci√≥n"/>
    <s v="Paraguay"/>
    <b v="0"/>
    <n v="1997"/>
    <n v="9965225678"/>
    <n v="23969739233"/>
    <x v="0"/>
    <n v="-1"/>
    <x v="0"/>
  </r>
  <r>
    <x v="1794"/>
    <x v="1044"/>
    <x v="29"/>
    <s v="Russia"/>
    <s v="Luxembourg"/>
    <n v="3"/>
    <n v="0"/>
    <s v="FIFA World Cup qualification"/>
    <s v="Moscow"/>
    <s v="Russia"/>
    <b v="0"/>
    <n v="1997"/>
    <n v="404928954191"/>
    <n v="19563836265"/>
    <x v="0"/>
    <n v="1"/>
    <x v="2"/>
  </r>
  <r>
    <x v="1795"/>
    <x v="1044"/>
    <x v="29"/>
    <s v="San Marino"/>
    <s v="Netherlands"/>
    <n v="0"/>
    <n v="6"/>
    <s v="FIFA World Cup qualification"/>
    <s v="Serravalle"/>
    <s v="San Marino"/>
    <b v="0"/>
    <n v="1997"/>
    <n v="976606910"/>
    <n v="417506211881"/>
    <x v="0"/>
    <n v="1"/>
    <x v="2"/>
  </r>
  <r>
    <x v="1796"/>
    <x v="1044"/>
    <x v="29"/>
    <s v="Serbia"/>
    <s v="Spain"/>
    <n v="1"/>
    <n v="1"/>
    <s v="FIFA World Cup qualification"/>
    <s v="Belgrade"/>
    <s v="FR Yugoslavia"/>
    <b v="0"/>
    <n v="1997"/>
    <n v="27153408994"/>
    <n v="589739772727"/>
    <x v="0"/>
    <n v="0"/>
    <x v="1"/>
  </r>
  <r>
    <x v="1797"/>
    <x v="1044"/>
    <x v="29"/>
    <s v="Switzerland"/>
    <s v="Hungary"/>
    <n v="1"/>
    <n v="0"/>
    <s v="FIFA World Cup qualification"/>
    <s v="Z√ºrich"/>
    <s v="Switzerland"/>
    <b v="0"/>
    <n v="1997"/>
    <n v="294788198856"/>
    <n v="47398564799"/>
    <x v="0"/>
    <n v="1"/>
    <x v="2"/>
  </r>
  <r>
    <x v="1798"/>
    <x v="1045"/>
    <x v="29"/>
    <s v="El Salvador"/>
    <s v="Costa Rica"/>
    <n v="2"/>
    <n v="1"/>
    <s v="FIFA World Cup qualification"/>
    <s v="San Salvador"/>
    <s v="El Salvador"/>
    <b v="0"/>
    <n v="1997"/>
    <n v="10221705900"/>
    <n v="12614602382"/>
    <x v="1"/>
    <n v="-1"/>
    <x v="0"/>
  </r>
  <r>
    <x v="1799"/>
    <x v="1045"/>
    <x v="29"/>
    <s v="Tajikistan"/>
    <s v="Vietnam"/>
    <n v="4"/>
    <n v="0"/>
    <s v="FIFA World Cup qualification"/>
    <s v="Dushanbe"/>
    <s v="Tajikistan"/>
    <b v="0"/>
    <n v="1997"/>
    <n v="921518032"/>
    <n v="26843700441"/>
    <x v="0"/>
    <n v="-1"/>
    <x v="0"/>
  </r>
  <r>
    <x v="1800"/>
    <x v="1046"/>
    <x v="29"/>
    <s v="Ukraine"/>
    <s v="Armenia"/>
    <n v="1"/>
    <n v="1"/>
    <s v="FIFA World Cup qualification"/>
    <s v="Kyiv"/>
    <s v="Ukraine"/>
    <b v="0"/>
    <n v="1997"/>
    <n v="50151531591"/>
    <n v="1639492444"/>
    <x v="0"/>
    <n v="0"/>
    <x v="1"/>
  </r>
  <r>
    <x v="1801"/>
    <x v="1047"/>
    <x v="29"/>
    <s v="Kuwait"/>
    <s v="Lebanon"/>
    <n v="2"/>
    <n v="0"/>
    <s v="FIFA World Cup qualification"/>
    <s v="Kuwait City"/>
    <s v="Kuwait"/>
    <b v="0"/>
    <n v="1997"/>
    <n v="30350190704"/>
    <n v="15751867489"/>
    <x v="1"/>
    <n v="1"/>
    <x v="2"/>
  </r>
  <r>
    <x v="1802"/>
    <x v="1048"/>
    <x v="29"/>
    <s v="Costa Rica"/>
    <s v="Jamaica"/>
    <n v="3"/>
    <n v="1"/>
    <s v="FIFA World Cup qualification"/>
    <s v="San Jos√©"/>
    <s v="Costa Rica"/>
    <b v="0"/>
    <n v="1997"/>
    <n v="12614602382"/>
    <n v="8400041723"/>
    <x v="1"/>
    <n v="1"/>
    <x v="2"/>
  </r>
  <r>
    <x v="1803"/>
    <x v="1048"/>
    <x v="29"/>
    <s v="Kazakhstan"/>
    <s v="Pakistan"/>
    <n v="3"/>
    <n v="0"/>
    <s v="FIFA World Cup qualification"/>
    <s v="Almaty"/>
    <s v="Kazakhstan"/>
    <b v="0"/>
    <n v="1997"/>
    <n v="22165932062"/>
    <n v="62433340468"/>
    <x v="0"/>
    <n v="-1"/>
    <x v="0"/>
  </r>
  <r>
    <x v="1804"/>
    <x v="1048"/>
    <x v="29"/>
    <s v="Turkmenistan"/>
    <s v="Vietnam"/>
    <n v="2"/>
    <n v="1"/>
    <s v="FIFA World Cup qualification"/>
    <s v="Ashgabat"/>
    <s v="Turkmenistan"/>
    <b v="0"/>
    <n v="1997"/>
    <n v="2450350625"/>
    <n v="26843700441"/>
    <x v="0"/>
    <n v="-1"/>
    <x v="0"/>
  </r>
  <r>
    <x v="1805"/>
    <x v="1049"/>
    <x v="29"/>
    <s v="Estonia"/>
    <s v="Latvia"/>
    <n v="1"/>
    <n v="3"/>
    <s v="FIFA World Cup qualification"/>
    <s v="Tallinn"/>
    <s v="Estonia"/>
    <b v="0"/>
    <n v="1997"/>
    <n v="5154420649"/>
    <n v="6349481006"/>
    <x v="1"/>
    <n v="1"/>
    <x v="2"/>
  </r>
  <r>
    <x v="1806"/>
    <x v="1049"/>
    <x v="29"/>
    <s v="Jamaica"/>
    <s v="El Salvador"/>
    <n v="1"/>
    <n v="0"/>
    <s v="FIFA World Cup qualification"/>
    <s v="Kingston"/>
    <s v="Jamaica"/>
    <b v="0"/>
    <n v="1997"/>
    <n v="8400041723"/>
    <n v="10221705900"/>
    <x v="1"/>
    <n v="-1"/>
    <x v="0"/>
  </r>
  <r>
    <x v="1807"/>
    <x v="1050"/>
    <x v="29"/>
    <s v="Pakistan"/>
    <s v="Iraq"/>
    <n v="2"/>
    <n v="6"/>
    <s v="FIFA World Cup qualification"/>
    <s v="Lahore"/>
    <s v="Pakistan"/>
    <b v="0"/>
    <n v="1997"/>
    <n v="62433340468"/>
    <n v="20764857056"/>
    <x v="0"/>
    <n v="-1"/>
    <x v="0"/>
  </r>
  <r>
    <x v="1808"/>
    <x v="1051"/>
    <x v="29"/>
    <s v="Singapore"/>
    <s v="Lebanon"/>
    <n v="1"/>
    <n v="2"/>
    <s v="FIFA World Cup qualification"/>
    <s v="Singapore"/>
    <s v="Singapore"/>
    <b v="0"/>
    <n v="1997"/>
    <n v="100123787215"/>
    <n v="15751867489"/>
    <x v="0"/>
    <n v="-1"/>
    <x v="0"/>
  </r>
  <r>
    <x v="1809"/>
    <x v="1052"/>
    <x v="29"/>
    <s v="Turkmenistan"/>
    <s v="Tajikistan"/>
    <n v="1"/>
    <n v="2"/>
    <s v="FIFA World Cup qualification"/>
    <s v="Ashgabat"/>
    <s v="Turkmenistan"/>
    <b v="0"/>
    <n v="1997"/>
    <n v="2450350625"/>
    <n v="921518032"/>
    <x v="0"/>
    <n v="-1"/>
    <x v="0"/>
  </r>
  <r>
    <x v="1810"/>
    <x v="1052"/>
    <x v="29"/>
    <s v="Uzbekistan"/>
    <s v="Cambodia"/>
    <n v="6"/>
    <n v="0"/>
    <s v="FIFA World Cup qualification"/>
    <s v="Tashkent"/>
    <s v="Uzbekistan"/>
    <b v="0"/>
    <n v="1997"/>
    <n v="14744603773"/>
    <n v="3443413388"/>
    <x v="0"/>
    <n v="1"/>
    <x v="2"/>
  </r>
  <r>
    <x v="1811"/>
    <x v="1053"/>
    <x v="29"/>
    <s v="Papua New Guinea"/>
    <s v="New Zealand"/>
    <n v="1"/>
    <n v="0"/>
    <s v="FIFA World Cup qualification"/>
    <s v="Port Moresby"/>
    <s v="Papua New Guinea"/>
    <b v="0"/>
    <n v="1997"/>
    <n v="4936615298"/>
    <n v="66075143415"/>
    <x v="0"/>
    <n v="-1"/>
    <x v="0"/>
  </r>
  <r>
    <x v="1812"/>
    <x v="1053"/>
    <x v="29"/>
    <s v="Poland"/>
    <s v="England"/>
    <n v="0"/>
    <n v="2"/>
    <s v="FIFA World Cup qualification"/>
    <s v="Chorz√≥w"/>
    <s v="Poland"/>
    <b v="0"/>
    <n v="1997"/>
    <n v="159893964916"/>
    <n v="1569317288801"/>
    <x v="0"/>
    <n v="1"/>
    <x v="2"/>
  </r>
  <r>
    <x v="1813"/>
    <x v="1054"/>
    <x v="29"/>
    <s v="Canada"/>
    <s v="Costa Rica"/>
    <n v="1"/>
    <n v="0"/>
    <s v="FIFA World Cup qualification"/>
    <s v="Edmonton"/>
    <s v="Canada"/>
    <b v="0"/>
    <n v="1997"/>
    <n v="654986999855"/>
    <n v="12614602382"/>
    <x v="0"/>
    <n v="1"/>
    <x v="2"/>
  </r>
  <r>
    <x v="1814"/>
    <x v="1054"/>
    <x v="29"/>
    <s v="Indonesia"/>
    <s v="Uzbekistan"/>
    <n v="1"/>
    <n v="1"/>
    <s v="FIFA World Cup qualification"/>
    <s v="Jakarta"/>
    <s v="Indonesia"/>
    <b v="0"/>
    <n v="1997"/>
    <n v="215748998609"/>
    <n v="14744603773"/>
    <x v="0"/>
    <n v="0"/>
    <x v="1"/>
  </r>
  <r>
    <x v="1815"/>
    <x v="1054"/>
    <x v="29"/>
    <s v="South Korea"/>
    <s v="Thailand"/>
    <n v="0"/>
    <n v="0"/>
    <s v="FIFA World Cup qualification"/>
    <s v="Seoul"/>
    <s v="South Korea"/>
    <b v="0"/>
    <n v="1997"/>
    <n v="589202526424"/>
    <n v="150180456565"/>
    <x v="0"/>
    <n v="0"/>
    <x v="1"/>
  </r>
  <r>
    <x v="1816"/>
    <x v="1054"/>
    <x v="29"/>
    <s v="Vietnam"/>
    <s v="Tajikistan"/>
    <n v="0"/>
    <n v="4"/>
    <s v="FIFA World Cup qualification"/>
    <s v="Ho Chi Minh City"/>
    <s v="Vietnam"/>
    <b v="0"/>
    <n v="1997"/>
    <n v="26843700441"/>
    <n v="921518032"/>
    <x v="0"/>
    <n v="-1"/>
    <x v="0"/>
  </r>
  <r>
    <x v="1817"/>
    <x v="1055"/>
    <x v="29"/>
    <s v="Maldives"/>
    <s v="Iran"/>
    <n v="0"/>
    <n v="17"/>
    <s v="FIFA World Cup qualification"/>
    <s v="Damascus"/>
    <s v="Syria"/>
    <b v="1"/>
    <n v="1997"/>
    <n v="508223602"/>
    <n v="113919163421"/>
    <x v="0"/>
    <n v="1"/>
    <x v="2"/>
  </r>
  <r>
    <x v="1818"/>
    <x v="1056"/>
    <x v="29"/>
    <s v="Syria"/>
    <s v="Maldives"/>
    <n v="12"/>
    <n v="0"/>
    <s v="FIFA World Cup qualification"/>
    <s v="Damascus"/>
    <s v="Syria"/>
    <b v="0"/>
    <n v="1997"/>
    <n v="14505233463"/>
    <n v="508223602"/>
    <x v="0"/>
    <n v="1"/>
    <x v="2"/>
  </r>
  <r>
    <x v="1819"/>
    <x v="1057"/>
    <x v="29"/>
    <s v="Kuwait"/>
    <s v="Singapore"/>
    <n v="4"/>
    <n v="0"/>
    <s v="FIFA World Cup qualification"/>
    <s v="Kuwait City"/>
    <s v="Kuwait"/>
    <b v="0"/>
    <n v="1997"/>
    <n v="30350190704"/>
    <n v="100123787215"/>
    <x v="0"/>
    <n v="-1"/>
    <x v="0"/>
  </r>
  <r>
    <x v="1820"/>
    <x v="1058"/>
    <x v="29"/>
    <s v="Iraq"/>
    <s v="Kazakhstan"/>
    <n v="1"/>
    <n v="2"/>
    <s v="FIFA World Cup qualification"/>
    <s v="Baghdad"/>
    <s v="Iraq"/>
    <b v="0"/>
    <n v="1997"/>
    <n v="20764857056"/>
    <n v="22165932062"/>
    <x v="1"/>
    <n v="1"/>
    <x v="2"/>
  </r>
  <r>
    <x v="1821"/>
    <x v="1058"/>
    <x v="29"/>
    <s v="Syria"/>
    <s v="Iran"/>
    <n v="0"/>
    <n v="1"/>
    <s v="FIFA World Cup qualification"/>
    <s v="Damascus"/>
    <s v="Syria"/>
    <b v="0"/>
    <n v="1997"/>
    <n v="14505233463"/>
    <n v="113919163421"/>
    <x v="0"/>
    <n v="1"/>
    <x v="2"/>
  </r>
  <r>
    <x v="1822"/>
    <x v="1059"/>
    <x v="29"/>
    <s v="Belgium"/>
    <s v="San Marino"/>
    <n v="6"/>
    <n v="0"/>
    <s v="FIFA World Cup qualification"/>
    <s v="Brussels"/>
    <s v="Belgium"/>
    <b v="0"/>
    <n v="1997"/>
    <n v="252708051420"/>
    <n v="976606910"/>
    <x v="0"/>
    <n v="1"/>
    <x v="2"/>
  </r>
  <r>
    <x v="1823"/>
    <x v="1059"/>
    <x v="29"/>
    <s v="Fiji"/>
    <s v="New Zealand"/>
    <n v="0"/>
    <n v="1"/>
    <s v="FIFA World Cup qualification"/>
    <s v="Ba"/>
    <s v="Fiji"/>
    <b v="0"/>
    <n v="1997"/>
    <n v="2090221137"/>
    <n v="66075143415"/>
    <x v="0"/>
    <n v="1"/>
    <x v="2"/>
  </r>
  <r>
    <x v="1824"/>
    <x v="1059"/>
    <x v="29"/>
    <s v="Georgia"/>
    <s v="Moldova"/>
    <n v="2"/>
    <n v="0"/>
    <s v="FIFA World Cup qualification"/>
    <s v="Batumi"/>
    <s v="Georgia"/>
    <b v="0"/>
    <n v="1997"/>
    <n v="3510520231"/>
    <n v="1930081168"/>
    <x v="1"/>
    <n v="1"/>
    <x v="2"/>
  </r>
  <r>
    <x v="1825"/>
    <x v="1059"/>
    <x v="29"/>
    <s v="North Macedonia"/>
    <s v="Iceland"/>
    <n v="1"/>
    <n v="0"/>
    <s v="FIFA World Cup qualification"/>
    <s v="Skopje"/>
    <s v="North Macedonia"/>
    <b v="0"/>
    <n v="1997"/>
    <n v="3912986090"/>
    <n v="7716781803"/>
    <x v="1"/>
    <n v="-1"/>
    <x v="0"/>
  </r>
  <r>
    <x v="1826"/>
    <x v="1059"/>
    <x v="29"/>
    <s v="Nigeria"/>
    <s v="Kenya"/>
    <n v="3"/>
    <n v="0"/>
    <s v="FIFA World Cup qualification"/>
    <s v="Lagos"/>
    <s v="Nigeria"/>
    <b v="0"/>
    <n v="1997"/>
    <n v="200850397618"/>
    <n v="13115764358"/>
    <x v="0"/>
    <n v="1"/>
    <x v="2"/>
  </r>
  <r>
    <x v="1827"/>
    <x v="1059"/>
    <x v="29"/>
    <s v="Portugal"/>
    <s v="Albania"/>
    <n v="2"/>
    <n v="0"/>
    <s v="FIFA World Cup qualification"/>
    <s v="Porto"/>
    <s v="Portugal"/>
    <b v="0"/>
    <n v="1997"/>
    <n v="117016535162"/>
    <n v="2293666029"/>
    <x v="0"/>
    <n v="1"/>
    <x v="2"/>
  </r>
  <r>
    <x v="1828"/>
    <x v="1059"/>
    <x v="29"/>
    <s v="Ukraine"/>
    <s v="Germany"/>
    <n v="0"/>
    <n v="0"/>
    <s v="FIFA World Cup qualification"/>
    <s v="Kyiv"/>
    <s v="Ukraine"/>
    <b v="0"/>
    <n v="1997"/>
    <n v="50151531591"/>
    <n v="2218790886532"/>
    <x v="0"/>
    <n v="0"/>
    <x v="1"/>
  </r>
  <r>
    <x v="1829"/>
    <x v="1060"/>
    <x v="29"/>
    <s v="Morocco"/>
    <s v="Ghana"/>
    <n v="1"/>
    <n v="0"/>
    <s v="FIFA World Cup qualification"/>
    <s v="Casablanca"/>
    <s v="Morocco"/>
    <b v="0"/>
    <n v="1997"/>
    <n v="39147844526"/>
    <n v="6891443192"/>
    <x v="0"/>
    <n v="1"/>
    <x v="2"/>
  </r>
  <r>
    <x v="1830"/>
    <x v="1060"/>
    <x v="29"/>
    <s v="Angola"/>
    <s v="Cameroon"/>
    <n v="1"/>
    <n v="1"/>
    <s v="FIFA World Cup qualification"/>
    <s v="Luanda"/>
    <s v="Angola"/>
    <b v="0"/>
    <n v="1997"/>
    <n v="7648380195"/>
    <n v="10789458432"/>
    <x v="1"/>
    <n v="0"/>
    <x v="1"/>
  </r>
  <r>
    <x v="1831"/>
    <x v="1060"/>
    <x v="29"/>
    <s v="Argentina"/>
    <s v="Peru"/>
    <n v="2"/>
    <n v="0"/>
    <s v="FIFA World Cup qualification"/>
    <s v="Buenos Aires"/>
    <s v="Argentina"/>
    <b v="0"/>
    <n v="1997"/>
    <n v="292859000000"/>
    <n v="58147522522"/>
    <x v="0"/>
    <n v="1"/>
    <x v="2"/>
  </r>
  <r>
    <x v="1832"/>
    <x v="1060"/>
    <x v="29"/>
    <s v="Bulgaria"/>
    <s v="Luxembourg"/>
    <n v="4"/>
    <n v="0"/>
    <s v="FIFA World Cup qualification"/>
    <s v="Burgas"/>
    <s v="Bulgaria"/>
    <b v="0"/>
    <n v="1997"/>
    <n v="11316127378"/>
    <n v="19563836265"/>
    <x v="1"/>
    <n v="-1"/>
    <x v="0"/>
  </r>
  <r>
    <x v="1833"/>
    <x v="1060"/>
    <x v="29"/>
    <s v="Denmark"/>
    <s v="Bosnia and Herzegovina"/>
    <n v="2"/>
    <n v="0"/>
    <s v="FIFA World Cup qualification"/>
    <s v="Copenhagen"/>
    <s v="Denmark"/>
    <b v="0"/>
    <n v="1997"/>
    <n v="173241365735"/>
    <n v="3671909673"/>
    <x v="0"/>
    <n v="1"/>
    <x v="2"/>
  </r>
  <r>
    <x v="1834"/>
    <x v="1060"/>
    <x v="29"/>
    <s v="Ecuador"/>
    <s v="Chile"/>
    <n v="1"/>
    <n v="1"/>
    <s v="FIFA World Cup qualification"/>
    <s v="Quito"/>
    <s v="Ecuador"/>
    <b v="0"/>
    <n v="1997"/>
    <n v="28162053026"/>
    <n v="85741415285"/>
    <x v="0"/>
    <n v="0"/>
    <x v="1"/>
  </r>
  <r>
    <x v="1835"/>
    <x v="1060"/>
    <x v="29"/>
    <s v="Egypt"/>
    <s v="Tunisia"/>
    <n v="0"/>
    <n v="0"/>
    <s v="FIFA World Cup qualification"/>
    <s v="Cairo"/>
    <s v="Egypt"/>
    <b v="0"/>
    <n v="1997"/>
    <n v="78436578171"/>
    <n v="20746210353"/>
    <x v="0"/>
    <n v="0"/>
    <x v="1"/>
  </r>
  <r>
    <x v="1836"/>
    <x v="1060"/>
    <x v="29"/>
    <s v="El Salvador"/>
    <s v="Mexico"/>
    <n v="0"/>
    <n v="1"/>
    <s v="FIFA World Cup qualification"/>
    <s v="San Salvador"/>
    <s v="El Salvador"/>
    <b v="0"/>
    <n v="1997"/>
    <n v="10221705900"/>
    <n v="523449530464"/>
    <x v="0"/>
    <n v="1"/>
    <x v="2"/>
  </r>
  <r>
    <x v="1837"/>
    <x v="1060"/>
    <x v="29"/>
    <s v="Estonia"/>
    <s v="Sweden"/>
    <n v="2"/>
    <n v="3"/>
    <s v="FIFA World Cup qualification"/>
    <s v="Tallinn"/>
    <s v="Estonia"/>
    <b v="0"/>
    <n v="1997"/>
    <n v="5154420649"/>
    <n v="268249616890"/>
    <x v="0"/>
    <n v="1"/>
    <x v="2"/>
  </r>
  <r>
    <x v="1838"/>
    <x v="1060"/>
    <x v="29"/>
    <s v="Faroe Islands"/>
    <s v="Malta"/>
    <n v="2"/>
    <n v="1"/>
    <s v="FIFA World Cup qualification"/>
    <s v="Toftir"/>
    <s v="Faroe Islands"/>
    <b v="0"/>
    <n v="1997"/>
    <n v="933763083"/>
    <n v="3787023706"/>
    <x v="0"/>
    <n v="-1"/>
    <x v="0"/>
  </r>
  <r>
    <x v="1839"/>
    <x v="1060"/>
    <x v="29"/>
    <s v="Finland"/>
    <s v="Azerbaijan"/>
    <n v="3"/>
    <n v="0"/>
    <s v="FIFA World Cup qualification"/>
    <s v="Helsinki"/>
    <s v="Finland"/>
    <b v="0"/>
    <n v="1997"/>
    <n v="126862902302"/>
    <n v="3962362387"/>
    <x v="0"/>
    <n v="1"/>
    <x v="2"/>
  </r>
  <r>
    <x v="1840"/>
    <x v="1060"/>
    <x v="29"/>
    <s v="Guinea"/>
    <s v="Burkina Faso"/>
    <n v="3"/>
    <n v="1"/>
    <s v="FIFA World Cup qualification"/>
    <s v="Conakry"/>
    <s v="Guinea"/>
    <b v="0"/>
    <n v="1997"/>
    <n v="5516916163"/>
    <n v="2447669101"/>
    <x v="0"/>
    <n v="1"/>
    <x v="2"/>
  </r>
  <r>
    <x v="1841"/>
    <x v="1060"/>
    <x v="29"/>
    <s v="Hungary"/>
    <s v="Norway"/>
    <n v="1"/>
    <n v="1"/>
    <s v="FIFA World Cup qualification"/>
    <s v="Budapest"/>
    <s v="Hungary"/>
    <b v="0"/>
    <n v="1997"/>
    <n v="47398564799"/>
    <n v="161356631888"/>
    <x v="0"/>
    <n v="0"/>
    <x v="1"/>
  </r>
  <r>
    <x v="1842"/>
    <x v="1060"/>
    <x v="29"/>
    <s v="Latvia"/>
    <s v="Austria"/>
    <n v="1"/>
    <n v="3"/>
    <s v="FIFA World Cup qualification"/>
    <s v="Riga"/>
    <s v="Latvia"/>
    <b v="0"/>
    <n v="1997"/>
    <n v="6349481006"/>
    <n v="211724812267"/>
    <x v="0"/>
    <n v="1"/>
    <x v="2"/>
  </r>
  <r>
    <x v="1843"/>
    <x v="1060"/>
    <x v="29"/>
    <s v="Liberia"/>
    <s v="Namibia"/>
    <n v="1"/>
    <n v="2"/>
    <s v="FIFA World Cup qualification"/>
    <s v="Monrovia"/>
    <s v="Liberia"/>
    <b v="0"/>
    <n v="1997"/>
    <n v="295900000"/>
    <n v="4154989950"/>
    <x v="0"/>
    <n v="1"/>
    <x v="2"/>
  </r>
  <r>
    <x v="1844"/>
    <x v="1060"/>
    <x v="29"/>
    <s v="Russia"/>
    <s v="Israel"/>
    <n v="2"/>
    <n v="0"/>
    <s v="FIFA World Cup qualification"/>
    <s v="Moscow"/>
    <s v="Russia"/>
    <b v="0"/>
    <n v="1997"/>
    <n v="404928954191"/>
    <n v="119459826346"/>
    <x v="0"/>
    <n v="1"/>
    <x v="2"/>
  </r>
  <r>
    <x v="1845"/>
    <x v="1060"/>
    <x v="29"/>
    <s v="South Africa"/>
    <s v="Zambia"/>
    <n v="3"/>
    <n v="0"/>
    <s v="FIFA World Cup qualification"/>
    <s v="Johannesburg"/>
    <s v="South Africa"/>
    <b v="0"/>
    <n v="1997"/>
    <n v="168978057327"/>
    <n v="4303288479"/>
    <x v="0"/>
    <n v="1"/>
    <x v="2"/>
  </r>
  <r>
    <x v="1846"/>
    <x v="1060"/>
    <x v="29"/>
    <s v="Togo"/>
    <s v="Zimbabwe"/>
    <n v="2"/>
    <n v="1"/>
    <s v="FIFA World Cup qualification"/>
    <s v="Lom√©"/>
    <s v="Togo"/>
    <b v="0"/>
    <n v="1997"/>
    <n v="2116818622"/>
    <n v="8534000000"/>
    <x v="0"/>
    <n v="-1"/>
    <x v="0"/>
  </r>
  <r>
    <x v="1847"/>
    <x v="1060"/>
    <x v="29"/>
    <s v="Uruguay"/>
    <s v="Colombia"/>
    <n v="1"/>
    <n v="1"/>
    <s v="FIFA World Cup qualification"/>
    <s v="Montevideo"/>
    <s v="Uruguay"/>
    <b v="0"/>
    <n v="1997"/>
    <n v="23969739233"/>
    <n v="106659508271"/>
    <x v="0"/>
    <n v="0"/>
    <x v="1"/>
  </r>
  <r>
    <x v="1848"/>
    <x v="1060"/>
    <x v="29"/>
    <s v="Venezuela"/>
    <s v="Bolivia"/>
    <n v="1"/>
    <n v="1"/>
    <s v="FIFA World Cup qualification"/>
    <s v="Valera"/>
    <s v="Venezuela"/>
    <b v="0"/>
    <n v="1997"/>
    <n v="85837678559"/>
    <n v="7925736821"/>
    <x v="0"/>
    <n v="0"/>
    <x v="1"/>
  </r>
  <r>
    <x v="1849"/>
    <x v="1060"/>
    <x v="29"/>
    <s v="Vietnam"/>
    <s v="Turkmenistan"/>
    <n v="0"/>
    <n v="4"/>
    <s v="FIFA World Cup qualification"/>
    <s v="Ho Chi Minh City"/>
    <s v="Vietnam"/>
    <b v="0"/>
    <n v="1997"/>
    <n v="26843700441"/>
    <n v="2450350625"/>
    <x v="0"/>
    <n v="-1"/>
    <x v="0"/>
  </r>
  <r>
    <x v="1850"/>
    <x v="1061"/>
    <x v="29"/>
    <s v="Maldives"/>
    <s v="Syria"/>
    <n v="0"/>
    <n v="12"/>
    <s v="FIFA World Cup qualification"/>
    <s v="Tehran"/>
    <s v="Iran"/>
    <b v="1"/>
    <n v="1997"/>
    <n v="508223602"/>
    <n v="14505233463"/>
    <x v="0"/>
    <n v="1"/>
    <x v="2"/>
  </r>
  <r>
    <x v="1851"/>
    <x v="1062"/>
    <x v="29"/>
    <s v="Australia"/>
    <s v="Solomon Islands"/>
    <n v="13"/>
    <n v="0"/>
    <s v="FIFA World Cup qualification"/>
    <s v="Sydney"/>
    <s v="Australia"/>
    <b v="0"/>
    <n v="1997"/>
    <n v="436321902767"/>
    <n v="526554005"/>
    <x v="0"/>
    <n v="1"/>
    <x v="2"/>
  </r>
  <r>
    <x v="1852"/>
    <x v="1062"/>
    <x v="29"/>
    <s v="Iceland"/>
    <s v="Lithuania"/>
    <n v="0"/>
    <n v="0"/>
    <s v="FIFA World Cup qualification"/>
    <s v="Reykjav√≠k"/>
    <s v="Iceland"/>
    <b v="0"/>
    <n v="1997"/>
    <n v="7716781803"/>
    <n v="10168271903"/>
    <x v="1"/>
    <n v="0"/>
    <x v="1"/>
  </r>
  <r>
    <x v="1853"/>
    <x v="1062"/>
    <x v="29"/>
    <s v="Iran"/>
    <s v="Maldives"/>
    <n v="9"/>
    <n v="0"/>
    <s v="FIFA World Cup qualification"/>
    <s v="Tehran"/>
    <s v="Iran"/>
    <b v="0"/>
    <n v="1997"/>
    <n v="113919163421"/>
    <n v="508223602"/>
    <x v="0"/>
    <n v="1"/>
    <x v="2"/>
  </r>
  <r>
    <x v="1854"/>
    <x v="1062"/>
    <x v="29"/>
    <s v="New Zealand"/>
    <s v="Papua New Guinea"/>
    <n v="7"/>
    <n v="0"/>
    <s v="FIFA World Cup qualification"/>
    <s v="Auckland"/>
    <s v="New Zealand"/>
    <b v="0"/>
    <n v="1997"/>
    <n v="66075143415"/>
    <n v="4936615298"/>
    <x v="0"/>
    <n v="1"/>
    <x v="2"/>
  </r>
  <r>
    <x v="1855"/>
    <x v="1062"/>
    <x v="29"/>
    <s v="Pakistan"/>
    <s v="Kazakhstan"/>
    <n v="0"/>
    <n v="7"/>
    <s v="FIFA World Cup qualification"/>
    <s v="Lahore"/>
    <s v="Pakistan"/>
    <b v="0"/>
    <n v="1997"/>
    <n v="62433340468"/>
    <n v="22165932062"/>
    <x v="0"/>
    <n v="-1"/>
    <x v="0"/>
  </r>
  <r>
    <x v="1856"/>
    <x v="1063"/>
    <x v="29"/>
    <s v="Iran"/>
    <s v="Syria"/>
    <n v="2"/>
    <n v="2"/>
    <s v="FIFA World Cup qualification"/>
    <s v="Tehran"/>
    <s v="Iran"/>
    <b v="0"/>
    <n v="1997"/>
    <n v="113919163421"/>
    <n v="14505233463"/>
    <x v="0"/>
    <n v="0"/>
    <x v="1"/>
  </r>
  <r>
    <x v="1857"/>
    <x v="1064"/>
    <x v="29"/>
    <s v="Poland"/>
    <s v="Georgia"/>
    <n v="4"/>
    <n v="1"/>
    <s v="FIFA World Cup qualification"/>
    <s v="Katowice"/>
    <s v="Poland"/>
    <b v="0"/>
    <n v="1997"/>
    <n v="159893964916"/>
    <n v="3510520231"/>
    <x v="0"/>
    <n v="1"/>
    <x v="2"/>
  </r>
  <r>
    <x v="1858"/>
    <x v="1065"/>
    <x v="29"/>
    <s v="Fiji"/>
    <s v="Papua New Guinea"/>
    <n v="3"/>
    <n v="1"/>
    <s v="FIFA World Cup qualification"/>
    <s v="Suva"/>
    <s v="Fiji"/>
    <b v="0"/>
    <n v="1997"/>
    <n v="2090221137"/>
    <n v="4936615298"/>
    <x v="0"/>
    <n v="-1"/>
    <x v="0"/>
  </r>
  <r>
    <x v="1859"/>
    <x v="1066"/>
    <x v="29"/>
    <s v="Australia"/>
    <s v="Solomon Islands"/>
    <n v="6"/>
    <n v="2"/>
    <s v="FIFA World Cup qualification"/>
    <s v="Sydney"/>
    <s v="Australia"/>
    <b v="0"/>
    <n v="1997"/>
    <n v="436321902767"/>
    <n v="526554005"/>
    <x v="0"/>
    <n v="1"/>
    <x v="2"/>
  </r>
  <r>
    <x v="1860"/>
    <x v="1067"/>
    <x v="29"/>
    <s v="New Zealand"/>
    <s v="Fiji"/>
    <n v="5"/>
    <n v="0"/>
    <s v="FIFA World Cup qualification"/>
    <s v="Auckland"/>
    <s v="New Zealand"/>
    <b v="0"/>
    <n v="1997"/>
    <n v="66075143415"/>
    <n v="2090221137"/>
    <x v="0"/>
    <n v="1"/>
    <x v="2"/>
  </r>
  <r>
    <x v="1861"/>
    <x v="1068"/>
    <x v="29"/>
    <s v="Iraq"/>
    <s v="Pakistan"/>
    <n v="6"/>
    <n v="1"/>
    <s v="FIFA World Cup qualification"/>
    <s v="Baghdad"/>
    <s v="Iraq"/>
    <b v="0"/>
    <n v="1997"/>
    <n v="20764857056"/>
    <n v="62433340468"/>
    <x v="0"/>
    <n v="-1"/>
    <x v="0"/>
  </r>
  <r>
    <x v="1862"/>
    <x v="1068"/>
    <x v="29"/>
    <s v="Uzbekistan"/>
    <s v="Indonesia"/>
    <n v="3"/>
    <n v="0"/>
    <s v="FIFA World Cup qualification"/>
    <s v="Tashkent"/>
    <s v="Uzbekistan"/>
    <b v="0"/>
    <n v="1997"/>
    <n v="14744603773"/>
    <n v="215748998609"/>
    <x v="0"/>
    <n v="-1"/>
    <x v="0"/>
  </r>
  <r>
    <x v="1863"/>
    <x v="1069"/>
    <x v="29"/>
    <s v="Papua New Guinea"/>
    <s v="Fiji"/>
    <n v="0"/>
    <n v="1"/>
    <s v="FIFA World Cup qualification"/>
    <s v="Port Moresby"/>
    <s v="Papua New Guinea"/>
    <b v="0"/>
    <n v="1997"/>
    <n v="4936615298"/>
    <n v="2090221137"/>
    <x v="0"/>
    <n v="-1"/>
    <x v="0"/>
  </r>
  <r>
    <x v="1864"/>
    <x v="1070"/>
    <x v="29"/>
    <s v="Lebanon"/>
    <s v="Kuwait"/>
    <n v="1"/>
    <n v="3"/>
    <s v="FIFA World Cup qualification"/>
    <s v="Beirut"/>
    <s v="Lebanon"/>
    <b v="0"/>
    <n v="1997"/>
    <n v="15751867489"/>
    <n v="30350190704"/>
    <x v="1"/>
    <n v="1"/>
    <x v="2"/>
  </r>
  <r>
    <x v="1865"/>
    <x v="1070"/>
    <x v="29"/>
    <s v="Nepal"/>
    <s v="Oman"/>
    <n v="0"/>
    <n v="6"/>
    <s v="FIFA World Cup qualification"/>
    <s v="Tokyo"/>
    <s v="Japan"/>
    <b v="1"/>
    <n v="1997"/>
    <n v="4918691916"/>
    <n v="18039791937"/>
    <x v="0"/>
    <n v="1"/>
    <x v="2"/>
  </r>
  <r>
    <x v="1866"/>
    <x v="1070"/>
    <x v="29"/>
    <s v="Tajikistan"/>
    <s v="Turkmenistan"/>
    <n v="5"/>
    <n v="0"/>
    <s v="FIFA World Cup qualification"/>
    <s v="Dushanbe"/>
    <s v="Tajikistan"/>
    <b v="0"/>
    <n v="1997"/>
    <n v="921518032"/>
    <n v="2450350625"/>
    <x v="0"/>
    <n v="-1"/>
    <x v="0"/>
  </r>
  <r>
    <x v="1867"/>
    <x v="1071"/>
    <x v="29"/>
    <s v="Japan"/>
    <s v="Nepal"/>
    <n v="3"/>
    <n v="0"/>
    <s v="FIFA World Cup qualification"/>
    <s v="Tokyo"/>
    <s v="Japan"/>
    <b v="0"/>
    <n v="1997"/>
    <n v="4492448605638"/>
    <n v="4918691916"/>
    <x v="0"/>
    <n v="1"/>
    <x v="2"/>
  </r>
  <r>
    <x v="1868"/>
    <x v="1072"/>
    <x v="29"/>
    <s v="Japan"/>
    <s v="Oman"/>
    <n v="1"/>
    <n v="1"/>
    <s v="FIFA World Cup qualification"/>
    <s v="Tokyo"/>
    <s v="Japan"/>
    <b v="0"/>
    <n v="1997"/>
    <n v="4492448605638"/>
    <n v="18039791937"/>
    <x v="0"/>
    <n v="0"/>
    <x v="1"/>
  </r>
  <r>
    <x v="1869"/>
    <x v="1072"/>
    <x v="29"/>
    <s v="New Zealand"/>
    <s v="Australia"/>
    <n v="0"/>
    <n v="3"/>
    <s v="FIFA World Cup qualification"/>
    <s v="Auckland"/>
    <s v="New Zealand"/>
    <b v="0"/>
    <n v="1997"/>
    <n v="66075143415"/>
    <n v="436321902767"/>
    <x v="0"/>
    <n v="1"/>
    <x v="2"/>
  </r>
  <r>
    <x v="1870"/>
    <x v="1073"/>
    <x v="29"/>
    <s v="Cambodia"/>
    <s v="Uzbekistan"/>
    <n v="1"/>
    <n v="4"/>
    <s v="FIFA World Cup qualification"/>
    <s v="Phnom Penh"/>
    <s v="Cambodia"/>
    <b v="0"/>
    <n v="1997"/>
    <n v="3443413388"/>
    <n v="14744603773"/>
    <x v="0"/>
    <n v="1"/>
    <x v="2"/>
  </r>
  <r>
    <x v="1871"/>
    <x v="1073"/>
    <x v="29"/>
    <s v="El Salvador"/>
    <s v="United States"/>
    <n v="1"/>
    <n v="1"/>
    <s v="FIFA World Cup qualification"/>
    <s v="San Salvador"/>
    <s v="El Salvador"/>
    <b v="0"/>
    <n v="1997"/>
    <n v="10221705900"/>
    <n v="8577554457000"/>
    <x v="0"/>
    <n v="0"/>
    <x v="1"/>
  </r>
  <r>
    <x v="1872"/>
    <x v="1073"/>
    <x v="29"/>
    <s v="Kazakhstan"/>
    <s v="Iraq"/>
    <n v="3"/>
    <n v="1"/>
    <s v="FIFA World Cup qualification"/>
    <s v="Almaty"/>
    <s v="Kazakhstan"/>
    <b v="0"/>
    <n v="1997"/>
    <n v="22165932062"/>
    <n v="20764857056"/>
    <x v="1"/>
    <n v="1"/>
    <x v="2"/>
  </r>
  <r>
    <x v="1873"/>
    <x v="1074"/>
    <x v="29"/>
    <s v="Chile"/>
    <s v="Colombia"/>
    <n v="4"/>
    <n v="1"/>
    <s v="FIFA World Cup qualification"/>
    <s v="Santiago"/>
    <s v="Chile"/>
    <b v="0"/>
    <n v="1997"/>
    <n v="85741415285"/>
    <n v="106659508271"/>
    <x v="1"/>
    <n v="-1"/>
    <x v="0"/>
  </r>
  <r>
    <x v="1874"/>
    <x v="1075"/>
    <x v="29"/>
    <s v="Australia"/>
    <s v="New Zealand"/>
    <n v="2"/>
    <n v="0"/>
    <s v="FIFA World Cup qualification"/>
    <s v="Sydney"/>
    <s v="Australia"/>
    <b v="0"/>
    <n v="1997"/>
    <n v="436321902767"/>
    <n v="66075143415"/>
    <x v="0"/>
    <n v="1"/>
    <x v="2"/>
  </r>
  <r>
    <x v="1875"/>
    <x v="1075"/>
    <x v="29"/>
    <s v="Paraguay"/>
    <s v="Argentina"/>
    <n v="1"/>
    <n v="2"/>
    <s v="FIFA World Cup qualification"/>
    <s v="Asunci√≥n"/>
    <s v="Paraguay"/>
    <b v="0"/>
    <n v="1997"/>
    <n v="9965225678"/>
    <n v="292859000000"/>
    <x v="0"/>
    <n v="1"/>
    <x v="2"/>
  </r>
  <r>
    <x v="1876"/>
    <x v="1075"/>
    <x v="29"/>
    <s v="Peru"/>
    <s v="Bolivia"/>
    <n v="2"/>
    <n v="1"/>
    <s v="FIFA World Cup qualification"/>
    <s v="Lima"/>
    <s v="Peru"/>
    <b v="0"/>
    <n v="1997"/>
    <n v="58147522522"/>
    <n v="7925736821"/>
    <x v="0"/>
    <n v="1"/>
    <x v="2"/>
  </r>
  <r>
    <x v="1877"/>
    <x v="1075"/>
    <x v="29"/>
    <s v="Venezuela"/>
    <s v="Ecuador"/>
    <n v="1"/>
    <n v="1"/>
    <s v="FIFA World Cup qualification"/>
    <s v="Maracaibo"/>
    <s v="Venezuela"/>
    <b v="0"/>
    <n v="1997"/>
    <n v="85837678559"/>
    <n v="28162053026"/>
    <x v="0"/>
    <n v="0"/>
    <x v="1"/>
  </r>
  <r>
    <x v="1878"/>
    <x v="1076"/>
    <x v="29"/>
    <s v="Argentina"/>
    <s v="Venezuela"/>
    <n v="2"/>
    <n v="0"/>
    <s v="FIFA World Cup qualification"/>
    <s v="Buenos Aires"/>
    <s v="Argentina"/>
    <b v="0"/>
    <n v="1997"/>
    <n v="292859000000"/>
    <n v="85837678559"/>
    <x v="0"/>
    <n v="1"/>
    <x v="2"/>
  </r>
  <r>
    <x v="1879"/>
    <x v="1076"/>
    <x v="29"/>
    <s v="Bolivia"/>
    <s v="Uruguay"/>
    <n v="1"/>
    <n v="0"/>
    <s v="FIFA World Cup qualification"/>
    <s v="La Paz"/>
    <s v="Bolivia"/>
    <b v="0"/>
    <n v="1997"/>
    <n v="7925736821"/>
    <n v="23969739233"/>
    <x v="0"/>
    <n v="-1"/>
    <x v="0"/>
  </r>
  <r>
    <x v="1880"/>
    <x v="1076"/>
    <x v="29"/>
    <s v="Chile"/>
    <s v="Paraguay"/>
    <n v="2"/>
    <n v="1"/>
    <s v="FIFA World Cup qualification"/>
    <s v="Santiago"/>
    <s v="Chile"/>
    <b v="0"/>
    <n v="1997"/>
    <n v="85741415285"/>
    <n v="9965225678"/>
    <x v="0"/>
    <n v="1"/>
    <x v="2"/>
  </r>
  <r>
    <x v="1881"/>
    <x v="1076"/>
    <x v="29"/>
    <s v="Colombia"/>
    <s v="Ecuador"/>
    <n v="1"/>
    <n v="0"/>
    <s v="FIFA World Cup qualification"/>
    <s v="Barranquilla"/>
    <s v="Colombia"/>
    <b v="0"/>
    <n v="1997"/>
    <n v="106659508271"/>
    <n v="28162053026"/>
    <x v="0"/>
    <n v="1"/>
    <x v="2"/>
  </r>
  <r>
    <x v="1882"/>
    <x v="1077"/>
    <x v="29"/>
    <s v="Costa Rica"/>
    <s v="El Salvador"/>
    <n v="0"/>
    <n v="0"/>
    <s v="FIFA World Cup qualification"/>
    <s v="San Jos√©"/>
    <s v="Costa Rica"/>
    <b v="0"/>
    <n v="1997"/>
    <n v="12614602382"/>
    <n v="10221705900"/>
    <x v="1"/>
    <n v="0"/>
    <x v="1"/>
  </r>
  <r>
    <x v="1883"/>
    <x v="1078"/>
    <x v="29"/>
    <s v="Guinea"/>
    <s v="Nigeria"/>
    <n v="1"/>
    <n v="0"/>
    <s v="FIFA World Cup qualification"/>
    <s v="Conakry"/>
    <s v="Guinea"/>
    <b v="0"/>
    <n v="1997"/>
    <n v="5516916163"/>
    <n v="200850397618"/>
    <x v="0"/>
    <n v="-1"/>
    <x v="0"/>
  </r>
  <r>
    <x v="1884"/>
    <x v="1078"/>
    <x v="29"/>
    <s v="Burkina Faso"/>
    <s v="Kenya"/>
    <n v="2"/>
    <n v="4"/>
    <s v="FIFA World Cup qualification"/>
    <s v="Ouagadougou"/>
    <s v="Burkina Faso"/>
    <b v="0"/>
    <n v="1997"/>
    <n v="2447669101"/>
    <n v="13115764358"/>
    <x v="0"/>
    <n v="1"/>
    <x v="2"/>
  </r>
  <r>
    <x v="1885"/>
    <x v="1078"/>
    <x v="29"/>
    <s v="Morocco"/>
    <s v="Gabon"/>
    <n v="2"/>
    <n v="0"/>
    <s v="FIFA World Cup qualification"/>
    <s v="Casablanca"/>
    <s v="Morocco"/>
    <b v="0"/>
    <n v="1997"/>
    <n v="39147844526"/>
    <n v="5326817114"/>
    <x v="0"/>
    <n v="1"/>
    <x v="2"/>
  </r>
  <r>
    <x v="1886"/>
    <x v="1079"/>
    <x v="29"/>
    <s v="Egypt"/>
    <s v="Liberia"/>
    <n v="5"/>
    <n v="0"/>
    <s v="FIFA World Cup qualification"/>
    <s v="Cairo"/>
    <s v="Egypt"/>
    <b v="0"/>
    <n v="1997"/>
    <n v="78436578171"/>
    <n v="295900000"/>
    <x v="0"/>
    <n v="1"/>
    <x v="2"/>
  </r>
  <r>
    <x v="1887"/>
    <x v="1079"/>
    <x v="29"/>
    <s v="Ghana"/>
    <s v="Sierra Leone"/>
    <n v="0"/>
    <n v="2"/>
    <s v="FIFA World Cup qualification"/>
    <s v="Obuasi"/>
    <s v="Ghana"/>
    <b v="0"/>
    <n v="1997"/>
    <n v="6891443192"/>
    <n v="850232760"/>
    <x v="0"/>
    <n v="-1"/>
    <x v="0"/>
  </r>
  <r>
    <x v="1888"/>
    <x v="1079"/>
    <x v="29"/>
    <s v="Togo"/>
    <s v="Angola"/>
    <n v="1"/>
    <n v="1"/>
    <s v="FIFA World Cup qualification"/>
    <s v="Lom√©"/>
    <s v="Togo"/>
    <b v="0"/>
    <n v="1997"/>
    <n v="2116818622"/>
    <n v="7648380195"/>
    <x v="0"/>
    <n v="0"/>
    <x v="1"/>
  </r>
  <r>
    <x v="1889"/>
    <x v="1079"/>
    <x v="29"/>
    <s v="Tunisia"/>
    <s v="Namibia"/>
    <n v="4"/>
    <n v="0"/>
    <s v="FIFA World Cup qualification"/>
    <s v="Tunis"/>
    <s v="Tunisia"/>
    <b v="0"/>
    <n v="1997"/>
    <n v="20746210353"/>
    <n v="4154989950"/>
    <x v="0"/>
    <n v="1"/>
    <x v="2"/>
  </r>
  <r>
    <x v="1890"/>
    <x v="1079"/>
    <x v="29"/>
    <s v="Zimbabwe"/>
    <s v="Cameroon"/>
    <n v="1"/>
    <n v="2"/>
    <s v="FIFA World Cup qualification"/>
    <s v="Harare"/>
    <s v="Zimbabwe"/>
    <b v="0"/>
    <n v="1997"/>
    <n v="8534000000"/>
    <n v="10789458432"/>
    <x v="1"/>
    <n v="1"/>
    <x v="2"/>
  </r>
  <r>
    <x v="1891"/>
    <x v="1080"/>
    <x v="29"/>
    <s v="Belarus"/>
    <s v="Sweden"/>
    <n v="1"/>
    <n v="2"/>
    <s v="FIFA World Cup qualification"/>
    <s v="Minsk"/>
    <s v="Belarus"/>
    <b v="0"/>
    <n v="1997"/>
    <n v="14128408565"/>
    <n v="268249616890"/>
    <x v="0"/>
    <n v="1"/>
    <x v="2"/>
  </r>
  <r>
    <x v="1892"/>
    <x v="1080"/>
    <x v="29"/>
    <s v="Bosnia and Herzegovina"/>
    <s v="Denmark"/>
    <n v="3"/>
    <n v="0"/>
    <s v="FIFA World Cup qualification"/>
    <s v="Sarajevo"/>
    <s v="Bosnia and Herzegovina"/>
    <b v="0"/>
    <n v="1997"/>
    <n v="3671909673"/>
    <n v="173241365735"/>
    <x v="0"/>
    <n v="-1"/>
    <x v="0"/>
  </r>
  <r>
    <x v="1893"/>
    <x v="1080"/>
    <x v="29"/>
    <s v="Bulgaria"/>
    <s v="Israel"/>
    <n v="1"/>
    <n v="0"/>
    <s v="FIFA World Cup qualification"/>
    <s v="Sofia"/>
    <s v="Bulgaria"/>
    <b v="0"/>
    <n v="1997"/>
    <n v="11316127378"/>
    <n v="119459826346"/>
    <x v="0"/>
    <n v="-1"/>
    <x v="0"/>
  </r>
  <r>
    <x v="1894"/>
    <x v="1080"/>
    <x v="29"/>
    <s v="Colombia"/>
    <s v="Bolivia"/>
    <n v="3"/>
    <n v="0"/>
    <s v="FIFA World Cup qualification"/>
    <s v="Barranquilla"/>
    <s v="Colombia"/>
    <b v="0"/>
    <n v="1997"/>
    <n v="106659508271"/>
    <n v="7925736821"/>
    <x v="0"/>
    <n v="1"/>
    <x v="2"/>
  </r>
  <r>
    <x v="1895"/>
    <x v="1080"/>
    <x v="29"/>
    <s v="Ecuador"/>
    <s v="Paraguay"/>
    <n v="2"/>
    <n v="1"/>
    <s v="FIFA World Cup qualification"/>
    <s v="Quito"/>
    <s v="Ecuador"/>
    <b v="0"/>
    <n v="1997"/>
    <n v="28162053026"/>
    <n v="9965225678"/>
    <x v="0"/>
    <n v="1"/>
    <x v="2"/>
  </r>
  <r>
    <x v="1896"/>
    <x v="1080"/>
    <x v="29"/>
    <s v="Estonia"/>
    <s v="Austria"/>
    <n v="0"/>
    <n v="3"/>
    <s v="FIFA World Cup qualification"/>
    <s v="Tallinn"/>
    <s v="Estonia"/>
    <b v="0"/>
    <n v="1997"/>
    <n v="5154420649"/>
    <n v="211724812267"/>
    <x v="0"/>
    <n v="1"/>
    <x v="2"/>
  </r>
  <r>
    <x v="1897"/>
    <x v="1080"/>
    <x v="29"/>
    <s v="Finland"/>
    <s v="Norway"/>
    <n v="0"/>
    <n v="4"/>
    <s v="FIFA World Cup qualification"/>
    <s v="Helsinki"/>
    <s v="Finland"/>
    <b v="0"/>
    <n v="1997"/>
    <n v="126862902302"/>
    <n v="161356631888"/>
    <x v="1"/>
    <n v="1"/>
    <x v="2"/>
  </r>
  <r>
    <x v="1898"/>
    <x v="1080"/>
    <x v="29"/>
    <s v="Hungary"/>
    <s v="Switzerland"/>
    <n v="1"/>
    <n v="1"/>
    <s v="FIFA World Cup qualification"/>
    <s v="Budapest"/>
    <s v="Hungary"/>
    <b v="0"/>
    <n v="1997"/>
    <n v="47398564799"/>
    <n v="294788198856"/>
    <x v="0"/>
    <n v="0"/>
    <x v="1"/>
  </r>
  <r>
    <x v="1899"/>
    <x v="1080"/>
    <x v="29"/>
    <s v="Liechtenstein"/>
    <s v="Iceland"/>
    <n v="0"/>
    <n v="4"/>
    <s v="FIFA World Cup qualification"/>
    <s v="Eschen"/>
    <s v="Liechtenstein"/>
    <b v="0"/>
    <n v="1997"/>
    <n v="2298389802"/>
    <n v="7716781803"/>
    <x v="0"/>
    <n v="1"/>
    <x v="2"/>
  </r>
  <r>
    <x v="1900"/>
    <x v="1080"/>
    <x v="29"/>
    <s v="Portugal"/>
    <s v="Armenia"/>
    <n v="3"/>
    <n v="1"/>
    <s v="FIFA World Cup qualification"/>
    <s v="Set√∫bal"/>
    <s v="Portugal"/>
    <b v="0"/>
    <n v="1997"/>
    <n v="117016535162"/>
    <n v="1639492444"/>
    <x v="0"/>
    <n v="1"/>
    <x v="2"/>
  </r>
  <r>
    <x v="1901"/>
    <x v="1080"/>
    <x v="29"/>
    <s v="Romania"/>
    <s v="North Macedonia"/>
    <n v="4"/>
    <n v="2"/>
    <s v="FIFA World Cup qualification"/>
    <s v="Bucharest"/>
    <s v="Romania"/>
    <b v="0"/>
    <n v="1997"/>
    <n v="35575214078"/>
    <n v="3912986090"/>
    <x v="0"/>
    <n v="1"/>
    <x v="2"/>
  </r>
  <r>
    <x v="1902"/>
    <x v="1080"/>
    <x v="29"/>
    <s v="Ukraine"/>
    <s v="Albania"/>
    <n v="1"/>
    <n v="0"/>
    <s v="FIFA World Cup qualification"/>
    <s v="Kyiv"/>
    <s v="Ukraine"/>
    <b v="0"/>
    <n v="1997"/>
    <n v="50151531591"/>
    <n v="2293666029"/>
    <x v="0"/>
    <n v="1"/>
    <x v="2"/>
  </r>
  <r>
    <x v="1903"/>
    <x v="1080"/>
    <x v="29"/>
    <s v="Uruguay"/>
    <s v="Chile"/>
    <n v="1"/>
    <n v="0"/>
    <s v="FIFA World Cup qualification"/>
    <s v="Montevideo"/>
    <s v="Uruguay"/>
    <b v="0"/>
    <n v="1997"/>
    <n v="23969739233"/>
    <n v="85741415285"/>
    <x v="0"/>
    <n v="-1"/>
    <x v="0"/>
  </r>
  <r>
    <x v="1904"/>
    <x v="1080"/>
    <x v="29"/>
    <s v="Venezuela"/>
    <s v="Peru"/>
    <n v="0"/>
    <n v="3"/>
    <s v="FIFA World Cup qualification"/>
    <s v="Barinas"/>
    <s v="Venezuela"/>
    <b v="0"/>
    <n v="1997"/>
    <n v="85837678559"/>
    <n v="58147522522"/>
    <x v="1"/>
    <n v="-1"/>
    <x v="0"/>
  </r>
  <r>
    <x v="1905"/>
    <x v="1081"/>
    <x v="29"/>
    <s v="Armenia"/>
    <s v="Albania"/>
    <n v="3"/>
    <n v="0"/>
    <s v="FIFA World Cup qualification"/>
    <s v="Yerevan"/>
    <s v="Armenia"/>
    <b v="0"/>
    <n v="1997"/>
    <n v="1639492444"/>
    <n v="2293666029"/>
    <x v="1"/>
    <n v="-1"/>
    <x v="0"/>
  </r>
  <r>
    <x v="1906"/>
    <x v="1081"/>
    <x v="29"/>
    <s v="Austria"/>
    <s v="Sweden"/>
    <n v="1"/>
    <n v="0"/>
    <s v="FIFA World Cup qualification"/>
    <s v="Vienna"/>
    <s v="Austria"/>
    <b v="0"/>
    <n v="1997"/>
    <n v="211724812267"/>
    <n v="268249616890"/>
    <x v="1"/>
    <n v="-1"/>
    <x v="0"/>
  </r>
  <r>
    <x v="1907"/>
    <x v="1081"/>
    <x v="29"/>
    <s v="Azerbaijan"/>
    <s v="Norway"/>
    <n v="0"/>
    <n v="1"/>
    <s v="FIFA World Cup qualification"/>
    <s v="Baku"/>
    <s v="Azerbaijan"/>
    <b v="0"/>
    <n v="1997"/>
    <n v="3962362387"/>
    <n v="161356631888"/>
    <x v="0"/>
    <n v="1"/>
    <x v="2"/>
  </r>
  <r>
    <x v="1908"/>
    <x v="1081"/>
    <x v="29"/>
    <s v="Croatia"/>
    <s v="Bosnia and Herzegovina"/>
    <n v="3"/>
    <n v="2"/>
    <s v="FIFA World Cup qualification"/>
    <s v="Zagreb"/>
    <s v="Croatia"/>
    <b v="0"/>
    <n v="1997"/>
    <n v="24175764812"/>
    <n v="3671909673"/>
    <x v="0"/>
    <n v="1"/>
    <x v="2"/>
  </r>
  <r>
    <x v="1909"/>
    <x v="1081"/>
    <x v="29"/>
    <s v="Germany"/>
    <s v="Portugal"/>
    <n v="1"/>
    <n v="1"/>
    <s v="FIFA World Cup qualification"/>
    <s v="Berlin"/>
    <s v="Germany"/>
    <b v="0"/>
    <n v="1997"/>
    <n v="2218790886532"/>
    <n v="117016535162"/>
    <x v="0"/>
    <n v="0"/>
    <x v="1"/>
  </r>
  <r>
    <x v="1910"/>
    <x v="1081"/>
    <x v="29"/>
    <s v="South Korea"/>
    <s v="Kazakhstan"/>
    <n v="3"/>
    <n v="0"/>
    <s v="FIFA World Cup qualification"/>
    <s v="Seoul"/>
    <s v="South Korea"/>
    <b v="0"/>
    <n v="1997"/>
    <n v="589202526424"/>
    <n v="22165932062"/>
    <x v="0"/>
    <n v="1"/>
    <x v="2"/>
  </r>
  <r>
    <x v="1911"/>
    <x v="1081"/>
    <x v="29"/>
    <s v="Latvia"/>
    <s v="Estonia"/>
    <n v="1"/>
    <n v="0"/>
    <s v="FIFA World Cup qualification"/>
    <s v="Riga"/>
    <s v="Latvia"/>
    <b v="0"/>
    <n v="1997"/>
    <n v="6349481006"/>
    <n v="5154420649"/>
    <x v="1"/>
    <n v="1"/>
    <x v="2"/>
  </r>
  <r>
    <x v="1912"/>
    <x v="1081"/>
    <x v="29"/>
    <s v="Liechtenstein"/>
    <s v="Romania"/>
    <n v="1"/>
    <n v="8"/>
    <s v="FIFA World Cup qualification"/>
    <s v="Eschen"/>
    <s v="Liechtenstein"/>
    <b v="0"/>
    <n v="1997"/>
    <n v="2298389802"/>
    <n v="35575214078"/>
    <x v="0"/>
    <n v="1"/>
    <x v="2"/>
  </r>
  <r>
    <x v="1913"/>
    <x v="1081"/>
    <x v="29"/>
    <s v="Lithuania"/>
    <s v="North Macedonia"/>
    <n v="2"/>
    <n v="0"/>
    <s v="FIFA World Cup qualification"/>
    <s v="Vilnius"/>
    <s v="Lithuania"/>
    <b v="0"/>
    <n v="1997"/>
    <n v="10168271903"/>
    <n v="3912986090"/>
    <x v="0"/>
    <n v="1"/>
    <x v="2"/>
  </r>
  <r>
    <x v="1914"/>
    <x v="1081"/>
    <x v="29"/>
    <s v="Netherlands"/>
    <s v="Belgium"/>
    <n v="3"/>
    <n v="1"/>
    <s v="FIFA World Cup qualification"/>
    <s v="Rotterdam"/>
    <s v="Netherlands"/>
    <b v="0"/>
    <n v="1997"/>
    <n v="417506211881"/>
    <n v="252708051420"/>
    <x v="1"/>
    <n v="1"/>
    <x v="2"/>
  </r>
  <r>
    <x v="1915"/>
    <x v="1081"/>
    <x v="29"/>
    <s v="Slovenia"/>
    <s v="Greece"/>
    <n v="0"/>
    <n v="3"/>
    <s v="FIFA World Cup qualification"/>
    <s v="Ljubljana"/>
    <s v="Slovenia"/>
    <b v="0"/>
    <n v="1997"/>
    <n v="20726878751"/>
    <n v="138766067640"/>
    <x v="0"/>
    <n v="1"/>
    <x v="2"/>
  </r>
  <r>
    <x v="1916"/>
    <x v="1081"/>
    <x v="29"/>
    <s v="Switzerland"/>
    <s v="Finland"/>
    <n v="1"/>
    <n v="2"/>
    <s v="FIFA World Cup qualification"/>
    <s v="Lausanne"/>
    <s v="Switzerland"/>
    <b v="0"/>
    <n v="1997"/>
    <n v="294788198856"/>
    <n v="126862902302"/>
    <x v="0"/>
    <n v="-1"/>
    <x v="0"/>
  </r>
  <r>
    <x v="1917"/>
    <x v="1082"/>
    <x v="29"/>
    <s v="Jamaica"/>
    <s v="Canada"/>
    <n v="1"/>
    <n v="0"/>
    <s v="FIFA World Cup qualification"/>
    <s v="Kingston"/>
    <s v="Jamaica"/>
    <b v="0"/>
    <n v="1997"/>
    <n v="8400041723"/>
    <n v="654986999855"/>
    <x v="0"/>
    <n v="-1"/>
    <x v="0"/>
  </r>
  <r>
    <x v="1918"/>
    <x v="1082"/>
    <x v="29"/>
    <s v="Japan"/>
    <s v="Uzbekistan"/>
    <n v="6"/>
    <n v="3"/>
    <s v="FIFA World Cup qualification"/>
    <s v="Tokyo"/>
    <s v="Japan"/>
    <b v="0"/>
    <n v="1997"/>
    <n v="4492448605638"/>
    <n v="14744603773"/>
    <x v="0"/>
    <n v="1"/>
    <x v="2"/>
  </r>
  <r>
    <x v="1919"/>
    <x v="1082"/>
    <x v="29"/>
    <s v="Luxembourg"/>
    <s v="Cyprus"/>
    <n v="1"/>
    <n v="3"/>
    <s v="FIFA World Cup qualification"/>
    <s v="Luxembourg"/>
    <s v="Luxembourg"/>
    <b v="0"/>
    <n v="1997"/>
    <n v="19563836265"/>
    <n v="9547816419"/>
    <x v="0"/>
    <n v="-1"/>
    <x v="0"/>
  </r>
  <r>
    <x v="1920"/>
    <x v="1082"/>
    <x v="29"/>
    <s v="United States"/>
    <s v="Costa Rica"/>
    <n v="1"/>
    <n v="0"/>
    <s v="FIFA World Cup qualification"/>
    <s v="Portland"/>
    <s v="United States"/>
    <b v="0"/>
    <n v="1997"/>
    <n v="8577554457000"/>
    <n v="12614602382"/>
    <x v="0"/>
    <n v="1"/>
    <x v="2"/>
  </r>
  <r>
    <x v="1921"/>
    <x v="1083"/>
    <x v="29"/>
    <s v="Belarus"/>
    <s v="Austria"/>
    <n v="0"/>
    <n v="1"/>
    <s v="FIFA World Cup qualification"/>
    <s v="Minsk"/>
    <s v="Belarus"/>
    <b v="0"/>
    <n v="1997"/>
    <n v="14128408565"/>
    <n v="211724812267"/>
    <x v="0"/>
    <n v="1"/>
    <x v="2"/>
  </r>
  <r>
    <x v="1922"/>
    <x v="1083"/>
    <x v="29"/>
    <s v="Bosnia and Herzegovina"/>
    <s v="Slovenia"/>
    <n v="1"/>
    <n v="0"/>
    <s v="FIFA World Cup qualification"/>
    <s v="Sarajevo"/>
    <s v="Bosnia and Herzegovina"/>
    <b v="0"/>
    <n v="1997"/>
    <n v="3671909673"/>
    <n v="20726878751"/>
    <x v="0"/>
    <n v="-1"/>
    <x v="0"/>
  </r>
  <r>
    <x v="1923"/>
    <x v="1083"/>
    <x v="29"/>
    <s v="Bulgaria"/>
    <s v="Russia"/>
    <n v="1"/>
    <n v="0"/>
    <s v="FIFA World Cup qualification"/>
    <s v="Sofia"/>
    <s v="Bulgaria"/>
    <b v="0"/>
    <n v="1997"/>
    <n v="11316127378"/>
    <n v="404928954191"/>
    <x v="0"/>
    <n v="-1"/>
    <x v="0"/>
  </r>
  <r>
    <x v="1924"/>
    <x v="1083"/>
    <x v="29"/>
    <s v="Chile"/>
    <s v="Argentina"/>
    <n v="1"/>
    <n v="2"/>
    <s v="FIFA World Cup qualification"/>
    <s v="Santiago"/>
    <s v="Chile"/>
    <b v="0"/>
    <n v="1997"/>
    <n v="85741415285"/>
    <n v="292859000000"/>
    <x v="0"/>
    <n v="1"/>
    <x v="2"/>
  </r>
  <r>
    <x v="1925"/>
    <x v="1083"/>
    <x v="29"/>
    <s v="Colombia"/>
    <s v="Venezuela"/>
    <n v="1"/>
    <n v="0"/>
    <s v="FIFA World Cup qualification"/>
    <s v="Barranquilla"/>
    <s v="Colombia"/>
    <b v="0"/>
    <n v="1997"/>
    <n v="106659508271"/>
    <n v="85837678559"/>
    <x v="1"/>
    <n v="1"/>
    <x v="2"/>
  </r>
  <r>
    <x v="1926"/>
    <x v="1083"/>
    <x v="29"/>
    <s v="Denmark"/>
    <s v="Croatia"/>
    <n v="3"/>
    <n v="1"/>
    <s v="FIFA World Cup qualification"/>
    <s v="Copenhagen"/>
    <s v="Denmark"/>
    <b v="0"/>
    <n v="1997"/>
    <n v="173241365735"/>
    <n v="24175764812"/>
    <x v="0"/>
    <n v="1"/>
    <x v="2"/>
  </r>
  <r>
    <x v="1927"/>
    <x v="1083"/>
    <x v="29"/>
    <s v="England"/>
    <s v="Moldova"/>
    <n v="4"/>
    <n v="0"/>
    <s v="FIFA World Cup qualification"/>
    <s v="London"/>
    <s v="England"/>
    <b v="0"/>
    <n v="1997"/>
    <n v="1569317288801"/>
    <n v="1930081168"/>
    <x v="0"/>
    <n v="1"/>
    <x v="2"/>
  </r>
  <r>
    <x v="1928"/>
    <x v="1083"/>
    <x v="29"/>
    <s v="Georgia"/>
    <s v="Italy"/>
    <n v="0"/>
    <n v="0"/>
    <s v="FIFA World Cup qualification"/>
    <s v="Tbilisi"/>
    <s v="Georgia"/>
    <b v="0"/>
    <n v="1997"/>
    <n v="3510520231"/>
    <n v="1244988176443"/>
    <x v="0"/>
    <n v="0"/>
    <x v="1"/>
  </r>
  <r>
    <x v="1929"/>
    <x v="1083"/>
    <x v="29"/>
    <s v="Germany"/>
    <s v="Armenia"/>
    <n v="4"/>
    <n v="0"/>
    <s v="FIFA World Cup qualification"/>
    <s v="Dortmund"/>
    <s v="Germany"/>
    <b v="0"/>
    <n v="1997"/>
    <n v="2218790886532"/>
    <n v="1639492444"/>
    <x v="0"/>
    <n v="1"/>
    <x v="2"/>
  </r>
  <r>
    <x v="1930"/>
    <x v="1083"/>
    <x v="29"/>
    <s v="Hungary"/>
    <s v="Azerbaijan"/>
    <n v="3"/>
    <n v="1"/>
    <s v="FIFA World Cup qualification"/>
    <s v="Budapest"/>
    <s v="Hungary"/>
    <b v="0"/>
    <n v="1997"/>
    <n v="47398564799"/>
    <n v="3962362387"/>
    <x v="0"/>
    <n v="1"/>
    <x v="2"/>
  </r>
  <r>
    <x v="1931"/>
    <x v="1083"/>
    <x v="29"/>
    <s v="Norway"/>
    <s v="Switzerland"/>
    <n v="5"/>
    <n v="0"/>
    <s v="FIFA World Cup qualification"/>
    <s v="Oslo"/>
    <s v="Norway"/>
    <b v="0"/>
    <n v="1997"/>
    <n v="161356631888"/>
    <n v="294788198856"/>
    <x v="1"/>
    <n v="-1"/>
    <x v="0"/>
  </r>
  <r>
    <x v="1932"/>
    <x v="1083"/>
    <x v="29"/>
    <s v="Paraguay"/>
    <s v="Bolivia"/>
    <n v="2"/>
    <n v="1"/>
    <s v="FIFA World Cup qualification"/>
    <s v="Asunci√≥n"/>
    <s v="Paraguay"/>
    <b v="0"/>
    <n v="1997"/>
    <n v="9965225678"/>
    <n v="7925736821"/>
    <x v="1"/>
    <n v="1"/>
    <x v="2"/>
  </r>
  <r>
    <x v="1933"/>
    <x v="1083"/>
    <x v="29"/>
    <s v="Peru"/>
    <s v="Uruguay"/>
    <n v="2"/>
    <n v="1"/>
    <s v="FIFA World Cup qualification"/>
    <s v="Lima"/>
    <s v="Peru"/>
    <b v="0"/>
    <n v="1997"/>
    <n v="58147522522"/>
    <n v="23969739233"/>
    <x v="0"/>
    <n v="1"/>
    <x v="2"/>
  </r>
  <r>
    <x v="1934"/>
    <x v="1083"/>
    <x v="29"/>
    <s v="Romania"/>
    <s v="Iceland"/>
    <n v="4"/>
    <n v="0"/>
    <s v="FIFA World Cup qualification"/>
    <s v="Bucharest"/>
    <s v="Romania"/>
    <b v="0"/>
    <n v="1997"/>
    <n v="35575214078"/>
    <n v="7716781803"/>
    <x v="0"/>
    <n v="1"/>
    <x v="2"/>
  </r>
  <r>
    <x v="1935"/>
    <x v="1083"/>
    <x v="29"/>
    <s v="Sweden"/>
    <s v="Latvia"/>
    <n v="1"/>
    <n v="0"/>
    <s v="FIFA World Cup qualification"/>
    <s v="Solna"/>
    <s v="Sweden"/>
    <b v="0"/>
    <n v="1997"/>
    <n v="268249616890"/>
    <n v="6349481006"/>
    <x v="0"/>
    <n v="1"/>
    <x v="2"/>
  </r>
  <r>
    <x v="1936"/>
    <x v="1084"/>
    <x v="29"/>
    <s v="South Korea"/>
    <s v="Uzbekistan"/>
    <n v="2"/>
    <n v="1"/>
    <s v="FIFA World Cup qualification"/>
    <s v="Seoul"/>
    <s v="South Korea"/>
    <b v="0"/>
    <n v="1997"/>
    <n v="589202526424"/>
    <n v="14744603773"/>
    <x v="0"/>
    <n v="1"/>
    <x v="2"/>
  </r>
  <r>
    <x v="1937"/>
    <x v="1084"/>
    <x v="29"/>
    <s v="United Arab Emirates"/>
    <s v="Kazakhstan"/>
    <n v="4"/>
    <n v="0"/>
    <s v="FIFA World Cup qualification"/>
    <s v="Abu Dhabi"/>
    <s v="United Arab Emirates"/>
    <b v="0"/>
    <n v="1997"/>
    <n v="78839008444"/>
    <n v="22165932062"/>
    <x v="0"/>
    <n v="1"/>
    <x v="2"/>
  </r>
  <r>
    <x v="1938"/>
    <x v="1085"/>
    <x v="29"/>
    <s v="El Salvador"/>
    <s v="Canada"/>
    <n v="4"/>
    <n v="1"/>
    <s v="FIFA World Cup qualification"/>
    <s v="San Salvador"/>
    <s v="El Salvador"/>
    <b v="0"/>
    <n v="1997"/>
    <n v="10221705900"/>
    <n v="654986999855"/>
    <x v="0"/>
    <n v="-1"/>
    <x v="0"/>
  </r>
  <r>
    <x v="1939"/>
    <x v="1085"/>
    <x v="29"/>
    <s v="Jamaica"/>
    <s v="Costa Rica"/>
    <n v="1"/>
    <n v="0"/>
    <s v="FIFA World Cup qualification"/>
    <s v="Kingston"/>
    <s v="Jamaica"/>
    <b v="0"/>
    <n v="1997"/>
    <n v="8400041723"/>
    <n v="12614602382"/>
    <x v="1"/>
    <n v="-1"/>
    <x v="0"/>
  </r>
  <r>
    <x v="1940"/>
    <x v="1085"/>
    <x v="29"/>
    <s v="Saudi Arabia"/>
    <s v="Kuwait"/>
    <n v="2"/>
    <n v="1"/>
    <s v="FIFA World Cup qualification"/>
    <s v="Taif"/>
    <s v="Saudi Arabia"/>
    <b v="0"/>
    <n v="1997"/>
    <n v="165963684913"/>
    <n v="30350190704"/>
    <x v="0"/>
    <n v="1"/>
    <x v="2"/>
  </r>
  <r>
    <x v="1941"/>
    <x v="1086"/>
    <x v="29"/>
    <s v="Iran"/>
    <s v="Saudi Arabia"/>
    <n v="1"/>
    <n v="1"/>
    <s v="FIFA World Cup qualification"/>
    <s v="Tehran"/>
    <s v="Iran"/>
    <b v="0"/>
    <n v="1997"/>
    <n v="113919163421"/>
    <n v="165963684913"/>
    <x v="1"/>
    <n v="0"/>
    <x v="1"/>
  </r>
  <r>
    <x v="1942"/>
    <x v="1086"/>
    <x v="29"/>
    <s v="Qatar"/>
    <s v="Kuwait"/>
    <n v="0"/>
    <n v="2"/>
    <s v="FIFA World Cup qualification"/>
    <s v="Doha"/>
    <s v="Qatar"/>
    <b v="0"/>
    <n v="1997"/>
    <n v="11297802115"/>
    <n v="30350190704"/>
    <x v="0"/>
    <n v="1"/>
    <x v="2"/>
  </r>
  <r>
    <x v="1943"/>
    <x v="1086"/>
    <x v="29"/>
    <s v="United Arab Emirates"/>
    <s v="Japan"/>
    <n v="0"/>
    <n v="0"/>
    <s v="FIFA World Cup qualification"/>
    <s v="Abu Dhabi"/>
    <s v="United Arab Emirates"/>
    <b v="0"/>
    <n v="1997"/>
    <n v="78839008444"/>
    <n v="4492448605638"/>
    <x v="0"/>
    <n v="0"/>
    <x v="1"/>
  </r>
  <r>
    <x v="1944"/>
    <x v="1087"/>
    <x v="29"/>
    <s v="Kazakhstan"/>
    <s v="Uzbekistan"/>
    <n v="1"/>
    <n v="1"/>
    <s v="FIFA World Cup qualification"/>
    <s v="Almaty"/>
    <s v="Kazakhstan"/>
    <b v="0"/>
    <n v="1997"/>
    <n v="22165932062"/>
    <n v="14744603773"/>
    <x v="1"/>
    <n v="0"/>
    <x v="1"/>
  </r>
  <r>
    <x v="1945"/>
    <x v="1088"/>
    <x v="29"/>
    <s v="Moldova"/>
    <s v="Georgia"/>
    <n v="0"/>
    <n v="1"/>
    <s v="FIFA World Cup qualification"/>
    <s v="Chi»ôinƒÉu"/>
    <s v="Moldova"/>
    <b v="0"/>
    <n v="1997"/>
    <n v="1930081168"/>
    <n v="3510520231"/>
    <x v="1"/>
    <n v="1"/>
    <x v="2"/>
  </r>
  <r>
    <x v="1946"/>
    <x v="1089"/>
    <x v="29"/>
    <s v="Kuwait"/>
    <s v="Iran"/>
    <n v="1"/>
    <n v="1"/>
    <s v="FIFA World Cup qualification"/>
    <s v="Kuwait City"/>
    <s v="Kuwait"/>
    <b v="0"/>
    <n v="1997"/>
    <n v="30350190704"/>
    <n v="113919163421"/>
    <x v="0"/>
    <n v="0"/>
    <x v="1"/>
  </r>
  <r>
    <x v="1947"/>
    <x v="1090"/>
    <x v="29"/>
    <s v="Uzbekistan"/>
    <s v="United Arab Emirates"/>
    <n v="2"/>
    <n v="3"/>
    <s v="FIFA World Cup qualification"/>
    <s v="Tashkent"/>
    <s v="Uzbekistan"/>
    <b v="0"/>
    <n v="1997"/>
    <n v="14744603773"/>
    <n v="78839008444"/>
    <x v="0"/>
    <n v="1"/>
    <x v="2"/>
  </r>
  <r>
    <x v="1948"/>
    <x v="1091"/>
    <x v="29"/>
    <s v="Japan"/>
    <s v="South Korea"/>
    <n v="1"/>
    <n v="2"/>
    <s v="FIFA World Cup qualification"/>
    <s v="Tokyo"/>
    <s v="Japan"/>
    <b v="0"/>
    <n v="1997"/>
    <n v="4492448605638"/>
    <n v="589202526424"/>
    <x v="0"/>
    <n v="-1"/>
    <x v="0"/>
  </r>
  <r>
    <x v="1949"/>
    <x v="1092"/>
    <x v="29"/>
    <s v="Iran"/>
    <s v="Qatar"/>
    <n v="3"/>
    <n v="0"/>
    <s v="FIFA World Cup qualification"/>
    <s v="Tehran"/>
    <s v="Iran"/>
    <b v="0"/>
    <n v="1997"/>
    <n v="113919163421"/>
    <n v="11297802115"/>
    <x v="0"/>
    <n v="1"/>
    <x v="2"/>
  </r>
  <r>
    <x v="1950"/>
    <x v="1092"/>
    <x v="29"/>
    <s v="United States"/>
    <s v="Jamaica"/>
    <n v="1"/>
    <n v="1"/>
    <s v="FIFA World Cup qualification"/>
    <s v="Washington, D.C."/>
    <s v="United States"/>
    <b v="0"/>
    <n v="1997"/>
    <n v="8577554457000"/>
    <n v="8400041723"/>
    <x v="0"/>
    <n v="0"/>
    <x v="1"/>
  </r>
  <r>
    <x v="1951"/>
    <x v="1093"/>
    <x v="29"/>
    <s v="Kazakhstan"/>
    <s v="Japan"/>
    <n v="1"/>
    <n v="1"/>
    <s v="FIFA World Cup qualification"/>
    <s v="Almaty"/>
    <s v="Kazakhstan"/>
    <b v="0"/>
    <n v="1997"/>
    <n v="22165932062"/>
    <n v="4492448605638"/>
    <x v="0"/>
    <n v="0"/>
    <x v="1"/>
  </r>
  <r>
    <x v="1952"/>
    <x v="1093"/>
    <x v="29"/>
    <s v="South Korea"/>
    <s v="United Arab Emirates"/>
    <n v="3"/>
    <n v="0"/>
    <s v="FIFA World Cup qualification"/>
    <s v="Seoul"/>
    <s v="South Korea"/>
    <b v="0"/>
    <n v="1997"/>
    <n v="589202526424"/>
    <n v="78839008444"/>
    <x v="0"/>
    <n v="1"/>
    <x v="2"/>
  </r>
  <r>
    <x v="1953"/>
    <x v="1094"/>
    <x v="29"/>
    <s v="Mexico"/>
    <s v="El Salvador"/>
    <n v="5"/>
    <n v="0"/>
    <s v="FIFA World Cup qualification"/>
    <s v="Mexico City"/>
    <s v="Mexico"/>
    <b v="0"/>
    <n v="1997"/>
    <n v="523449530464"/>
    <n v="10221705900"/>
    <x v="0"/>
    <n v="1"/>
    <x v="2"/>
  </r>
  <r>
    <x v="1954"/>
    <x v="1095"/>
    <x v="29"/>
    <s v="Moldova"/>
    <s v="Poland"/>
    <n v="0"/>
    <n v="3"/>
    <s v="FIFA World Cup qualification"/>
    <s v="Chi»ôinƒÉu"/>
    <s v="Moldova"/>
    <b v="0"/>
    <n v="1997"/>
    <n v="1930081168"/>
    <n v="159893964916"/>
    <x v="0"/>
    <n v="1"/>
    <x v="2"/>
  </r>
  <r>
    <x v="1955"/>
    <x v="1096"/>
    <x v="29"/>
    <s v="Armenia"/>
    <s v="Ukraine"/>
    <n v="0"/>
    <n v="2"/>
    <s v="FIFA World Cup qualification"/>
    <s v="Yerevan"/>
    <s v="Armenia"/>
    <b v="0"/>
    <n v="1997"/>
    <n v="1639492444"/>
    <n v="50151531591"/>
    <x v="0"/>
    <n v="1"/>
    <x v="2"/>
  </r>
  <r>
    <x v="1956"/>
    <x v="1096"/>
    <x v="29"/>
    <s v="Austria"/>
    <s v="Belarus"/>
    <n v="4"/>
    <n v="0"/>
    <s v="FIFA World Cup qualification"/>
    <s v="Vienna"/>
    <s v="Austria"/>
    <b v="0"/>
    <n v="1997"/>
    <n v="211724812267"/>
    <n v="14128408565"/>
    <x v="0"/>
    <n v="1"/>
    <x v="2"/>
  </r>
  <r>
    <x v="1957"/>
    <x v="1096"/>
    <x v="29"/>
    <s v="Cyprus"/>
    <s v="Luxembourg"/>
    <n v="2"/>
    <n v="0"/>
    <s v="FIFA World Cup qualification"/>
    <s v="Limassol"/>
    <s v="Cyprus"/>
    <b v="0"/>
    <n v="1997"/>
    <n v="9547816419"/>
    <n v="19563836265"/>
    <x v="0"/>
    <n v="-1"/>
    <x v="0"/>
  </r>
  <r>
    <x v="1958"/>
    <x v="1096"/>
    <x v="29"/>
    <s v="Finland"/>
    <s v="Hungary"/>
    <n v="1"/>
    <n v="1"/>
    <s v="FIFA World Cup qualification"/>
    <s v="Helsinki"/>
    <s v="Finland"/>
    <b v="0"/>
    <n v="1997"/>
    <n v="126862902302"/>
    <n v="47398564799"/>
    <x v="0"/>
    <n v="0"/>
    <x v="1"/>
  </r>
  <r>
    <x v="1959"/>
    <x v="1096"/>
    <x v="29"/>
    <s v="Georgia"/>
    <s v="Poland"/>
    <n v="3"/>
    <n v="0"/>
    <s v="FIFA World Cup qualification"/>
    <s v="Tbilisi"/>
    <s v="Georgia"/>
    <b v="0"/>
    <n v="1997"/>
    <n v="3510520231"/>
    <n v="159893964916"/>
    <x v="0"/>
    <n v="-1"/>
    <x v="0"/>
  </r>
  <r>
    <x v="1960"/>
    <x v="1096"/>
    <x v="29"/>
    <s v="Germany"/>
    <s v="Albania"/>
    <n v="4"/>
    <n v="3"/>
    <s v="FIFA World Cup qualification"/>
    <s v="Hanover"/>
    <s v="Germany"/>
    <b v="0"/>
    <n v="1997"/>
    <n v="2218790886532"/>
    <n v="2293666029"/>
    <x v="0"/>
    <n v="1"/>
    <x v="2"/>
  </r>
  <r>
    <x v="1961"/>
    <x v="1096"/>
    <x v="29"/>
    <s v="Greece"/>
    <s v="Denmark"/>
    <n v="0"/>
    <n v="0"/>
    <s v="FIFA World Cup qualification"/>
    <s v="Athens"/>
    <s v="Greece"/>
    <b v="0"/>
    <n v="1997"/>
    <n v="138766067640"/>
    <n v="173241365735"/>
    <x v="1"/>
    <n v="0"/>
    <x v="1"/>
  </r>
  <r>
    <x v="1962"/>
    <x v="1096"/>
    <x v="29"/>
    <s v="Iceland"/>
    <s v="Liechtenstein"/>
    <n v="4"/>
    <n v="0"/>
    <s v="FIFA World Cup qualification"/>
    <s v="Reykjav√≠k"/>
    <s v="Iceland"/>
    <b v="0"/>
    <n v="1997"/>
    <n v="7716781803"/>
    <n v="2298389802"/>
    <x v="0"/>
    <n v="1"/>
    <x v="2"/>
  </r>
  <r>
    <x v="1963"/>
    <x v="1096"/>
    <x v="29"/>
    <s v="Italy"/>
    <s v="England"/>
    <n v="0"/>
    <n v="0"/>
    <s v="FIFA World Cup qualification"/>
    <s v="Rome"/>
    <s v="Italy"/>
    <b v="0"/>
    <n v="1997"/>
    <n v="1244988176443"/>
    <n v="1569317288801"/>
    <x v="1"/>
    <n v="0"/>
    <x v="1"/>
  </r>
  <r>
    <x v="1964"/>
    <x v="1096"/>
    <x v="29"/>
    <s v="Kazakhstan"/>
    <s v="South Korea"/>
    <n v="1"/>
    <n v="1"/>
    <s v="FIFA World Cup qualification"/>
    <s v="Almaty"/>
    <s v="Kazakhstan"/>
    <b v="0"/>
    <n v="1997"/>
    <n v="22165932062"/>
    <n v="589202526424"/>
    <x v="0"/>
    <n v="0"/>
    <x v="1"/>
  </r>
  <r>
    <x v="1965"/>
    <x v="1096"/>
    <x v="29"/>
    <s v="North Macedonia"/>
    <s v="Lithuania"/>
    <n v="1"/>
    <n v="2"/>
    <s v="FIFA World Cup qualification"/>
    <s v="Skopje"/>
    <s v="North Macedonia"/>
    <b v="0"/>
    <n v="1997"/>
    <n v="3912986090"/>
    <n v="10168271903"/>
    <x v="0"/>
    <n v="1"/>
    <x v="2"/>
  </r>
  <r>
    <x v="1966"/>
    <x v="1096"/>
    <x v="29"/>
    <s v="Malta"/>
    <s v="Serbia"/>
    <n v="0"/>
    <n v="5"/>
    <s v="FIFA World Cup qualification"/>
    <s v="Attard"/>
    <s v="Malta"/>
    <b v="0"/>
    <n v="1997"/>
    <n v="3787023706"/>
    <n v="27153408994"/>
    <x v="0"/>
    <n v="1"/>
    <x v="2"/>
  </r>
  <r>
    <x v="1967"/>
    <x v="1096"/>
    <x v="29"/>
    <s v="Russia"/>
    <s v="Bulgaria"/>
    <n v="4"/>
    <n v="2"/>
    <s v="FIFA World Cup qualification"/>
    <s v="Moscow"/>
    <s v="Russia"/>
    <b v="0"/>
    <n v="1997"/>
    <n v="404928954191"/>
    <n v="11316127378"/>
    <x v="0"/>
    <n v="1"/>
    <x v="2"/>
  </r>
  <r>
    <x v="1968"/>
    <x v="1096"/>
    <x v="29"/>
    <s v="Saudi Arabia"/>
    <s v="Qatar"/>
    <n v="1"/>
    <n v="0"/>
    <s v="FIFA World Cup qualification"/>
    <s v="Taif"/>
    <s v="Saudi Arabia"/>
    <b v="0"/>
    <n v="1997"/>
    <n v="165963684913"/>
    <n v="11297802115"/>
    <x v="0"/>
    <n v="1"/>
    <x v="2"/>
  </r>
  <r>
    <x v="1969"/>
    <x v="1096"/>
    <x v="29"/>
    <s v="Slovenia"/>
    <s v="Croatia"/>
    <n v="1"/>
    <n v="3"/>
    <s v="FIFA World Cup qualification"/>
    <s v="Ljubljana"/>
    <s v="Slovenia"/>
    <b v="0"/>
    <n v="1997"/>
    <n v="20726878751"/>
    <n v="24175764812"/>
    <x v="1"/>
    <n v="1"/>
    <x v="2"/>
  </r>
  <r>
    <x v="1970"/>
    <x v="1096"/>
    <x v="29"/>
    <s v="Spain"/>
    <s v="Faroe Islands"/>
    <n v="3"/>
    <n v="1"/>
    <s v="FIFA World Cup qualification"/>
    <s v="Gij√≥n"/>
    <s v="Spain"/>
    <b v="0"/>
    <n v="1997"/>
    <n v="589739772727"/>
    <n v="933763083"/>
    <x v="0"/>
    <n v="1"/>
    <x v="2"/>
  </r>
  <r>
    <x v="1971"/>
    <x v="1096"/>
    <x v="29"/>
    <s v="Sweden"/>
    <s v="Estonia"/>
    <n v="1"/>
    <n v="0"/>
    <s v="FIFA World Cup qualification"/>
    <s v="Solna"/>
    <s v="Sweden"/>
    <b v="0"/>
    <n v="1997"/>
    <n v="268249616890"/>
    <n v="5154420649"/>
    <x v="0"/>
    <n v="1"/>
    <x v="2"/>
  </r>
  <r>
    <x v="1972"/>
    <x v="1096"/>
    <x v="29"/>
    <s v="Switzerland"/>
    <s v="Azerbaijan"/>
    <n v="5"/>
    <n v="0"/>
    <s v="FIFA World Cup qualification"/>
    <s v="Z√ºrich"/>
    <s v="Switzerland"/>
    <b v="0"/>
    <n v="1997"/>
    <n v="294788198856"/>
    <n v="3962362387"/>
    <x v="0"/>
    <n v="1"/>
    <x v="2"/>
  </r>
  <r>
    <x v="1973"/>
    <x v="1096"/>
    <x v="29"/>
    <s v="Uzbekistan"/>
    <s v="Japan"/>
    <n v="1"/>
    <n v="1"/>
    <s v="FIFA World Cup qualification"/>
    <s v="Tashkent"/>
    <s v="Uzbekistan"/>
    <b v="0"/>
    <n v="1997"/>
    <n v="14744603773"/>
    <n v="4492448605638"/>
    <x v="0"/>
    <n v="0"/>
    <x v="1"/>
  </r>
  <r>
    <x v="1974"/>
    <x v="1097"/>
    <x v="29"/>
    <s v="Argentina"/>
    <s v="Uruguay"/>
    <n v="0"/>
    <n v="0"/>
    <s v="FIFA World Cup qualification"/>
    <s v="Buenos Aires"/>
    <s v="Argentina"/>
    <b v="0"/>
    <n v="1997"/>
    <n v="292859000000"/>
    <n v="23969739233"/>
    <x v="0"/>
    <n v="0"/>
    <x v="1"/>
  </r>
  <r>
    <x v="1975"/>
    <x v="1097"/>
    <x v="29"/>
    <s v="Canada"/>
    <s v="Mexico"/>
    <n v="2"/>
    <n v="2"/>
    <s v="FIFA World Cup qualification"/>
    <s v="Edmonton"/>
    <s v="Canada"/>
    <b v="0"/>
    <n v="1997"/>
    <n v="654986999855"/>
    <n v="523449530464"/>
    <x v="1"/>
    <n v="0"/>
    <x v="1"/>
  </r>
  <r>
    <x v="1976"/>
    <x v="1097"/>
    <x v="29"/>
    <s v="Ecuador"/>
    <s v="Bolivia"/>
    <n v="1"/>
    <n v="0"/>
    <s v="FIFA World Cup qualification"/>
    <s v="Guayaquil"/>
    <s v="Ecuador"/>
    <b v="0"/>
    <n v="1997"/>
    <n v="28162053026"/>
    <n v="7925736821"/>
    <x v="0"/>
    <n v="1"/>
    <x v="2"/>
  </r>
  <r>
    <x v="1977"/>
    <x v="1097"/>
    <x v="29"/>
    <s v="Paraguay"/>
    <s v="Venezuela"/>
    <n v="1"/>
    <n v="0"/>
    <s v="FIFA World Cup qualification"/>
    <s v="Asunci√≥n"/>
    <s v="Paraguay"/>
    <b v="0"/>
    <n v="1997"/>
    <n v="9965225678"/>
    <n v="85837678559"/>
    <x v="0"/>
    <n v="-1"/>
    <x v="0"/>
  </r>
  <r>
    <x v="1978"/>
    <x v="1097"/>
    <x v="29"/>
    <s v="Peru"/>
    <s v="Chile"/>
    <n v="0"/>
    <n v="4"/>
    <s v="FIFA World Cup qualification"/>
    <s v="Lima"/>
    <s v="Peru"/>
    <b v="0"/>
    <n v="1997"/>
    <n v="58147522522"/>
    <n v="85741415285"/>
    <x v="1"/>
    <n v="1"/>
    <x v="2"/>
  </r>
  <r>
    <x v="1979"/>
    <x v="1098"/>
    <x v="29"/>
    <s v="Kuwait"/>
    <s v="Saudi Arabia"/>
    <n v="2"/>
    <n v="1"/>
    <s v="FIFA World Cup qualification"/>
    <s v="Kuwait City"/>
    <s v="Kuwait"/>
    <b v="0"/>
    <n v="1997"/>
    <n v="30350190704"/>
    <n v="165963684913"/>
    <x v="0"/>
    <n v="-1"/>
    <x v="0"/>
  </r>
  <r>
    <x v="1980"/>
    <x v="1099"/>
    <x v="29"/>
    <s v="Kazakhstan"/>
    <s v="United Arab Emirates"/>
    <n v="3"/>
    <n v="0"/>
    <s v="FIFA World Cup qualification"/>
    <s v="Almaty"/>
    <s v="Kazakhstan"/>
    <b v="0"/>
    <n v="1997"/>
    <n v="22165932062"/>
    <n v="78839008444"/>
    <x v="0"/>
    <n v="-1"/>
    <x v="0"/>
  </r>
  <r>
    <x v="1981"/>
    <x v="1099"/>
    <x v="29"/>
    <s v="Uzbekistan"/>
    <s v="South Korea"/>
    <n v="1"/>
    <n v="5"/>
    <s v="FIFA World Cup qualification"/>
    <s v="Tashkent"/>
    <s v="Uzbekistan"/>
    <b v="0"/>
    <n v="1997"/>
    <n v="14744603773"/>
    <n v="589202526424"/>
    <x v="0"/>
    <n v="1"/>
    <x v="2"/>
  </r>
  <r>
    <x v="1982"/>
    <x v="1100"/>
    <x v="29"/>
    <s v="Kuwait"/>
    <s v="Qatar"/>
    <n v="0"/>
    <n v="1"/>
    <s v="FIFA World Cup qualification"/>
    <s v="Kuwait City"/>
    <s v="Kuwait"/>
    <b v="0"/>
    <n v="1997"/>
    <n v="30350190704"/>
    <n v="11297802115"/>
    <x v="0"/>
    <n v="-1"/>
    <x v="0"/>
  </r>
  <r>
    <x v="1983"/>
    <x v="1100"/>
    <x v="29"/>
    <s v="Saudi Arabia"/>
    <s v="Iran"/>
    <n v="1"/>
    <n v="0"/>
    <s v="FIFA World Cup qualification"/>
    <s v="Taif"/>
    <s v="Saudi Arabia"/>
    <b v="0"/>
    <n v="1997"/>
    <n v="165963684913"/>
    <n v="113919163421"/>
    <x v="1"/>
    <n v="1"/>
    <x v="2"/>
  </r>
  <r>
    <x v="1984"/>
    <x v="1101"/>
    <x v="29"/>
    <s v="Uzbekistan"/>
    <s v="Kazakhstan"/>
    <n v="4"/>
    <n v="0"/>
    <s v="FIFA World Cup qualification"/>
    <s v="Tashkent"/>
    <s v="Uzbekistan"/>
    <b v="0"/>
    <n v="1997"/>
    <n v="14744603773"/>
    <n v="22165932062"/>
    <x v="1"/>
    <n v="-1"/>
    <x v="0"/>
  </r>
  <r>
    <x v="1985"/>
    <x v="1102"/>
    <x v="29"/>
    <s v="Japan"/>
    <s v="United Arab Emirates"/>
    <n v="1"/>
    <n v="1"/>
    <s v="FIFA World Cup qualification"/>
    <s v="Tokyo"/>
    <s v="Japan"/>
    <b v="0"/>
    <n v="1997"/>
    <n v="4492448605638"/>
    <n v="78839008444"/>
    <x v="0"/>
    <n v="0"/>
    <x v="1"/>
  </r>
  <r>
    <x v="1986"/>
    <x v="1103"/>
    <x v="29"/>
    <s v="Croatia"/>
    <s v="Ukraine"/>
    <n v="2"/>
    <n v="0"/>
    <s v="FIFA World Cup qualification"/>
    <s v="Zagreb"/>
    <s v="Croatia"/>
    <b v="0"/>
    <n v="1997"/>
    <n v="24175764812"/>
    <n v="50151531591"/>
    <x v="0"/>
    <n v="-1"/>
    <x v="0"/>
  </r>
  <r>
    <x v="1987"/>
    <x v="1103"/>
    <x v="29"/>
    <s v="Hungary"/>
    <s v="Serbia"/>
    <n v="1"/>
    <n v="7"/>
    <s v="FIFA World Cup qualification"/>
    <s v="Budapest"/>
    <s v="Hungary"/>
    <b v="0"/>
    <n v="1997"/>
    <n v="47398564799"/>
    <n v="27153408994"/>
    <x v="1"/>
    <n v="-1"/>
    <x v="0"/>
  </r>
  <r>
    <x v="1988"/>
    <x v="1103"/>
    <x v="29"/>
    <s v="Russia"/>
    <s v="Italy"/>
    <n v="1"/>
    <n v="1"/>
    <s v="FIFA World Cup qualification"/>
    <s v="Moscow"/>
    <s v="Russia"/>
    <b v="0"/>
    <n v="1997"/>
    <n v="404928954191"/>
    <n v="1244988176443"/>
    <x v="0"/>
    <n v="0"/>
    <x v="1"/>
  </r>
  <r>
    <x v="1989"/>
    <x v="1104"/>
    <x v="29"/>
    <s v="Iran"/>
    <s v="Kuwait"/>
    <n v="0"/>
    <n v="0"/>
    <s v="FIFA World Cup qualification"/>
    <s v="Tehran"/>
    <s v="Iran"/>
    <b v="0"/>
    <n v="1997"/>
    <n v="113919163421"/>
    <n v="30350190704"/>
    <x v="0"/>
    <n v="0"/>
    <x v="1"/>
  </r>
  <r>
    <x v="1990"/>
    <x v="1105"/>
    <x v="29"/>
    <s v="South Korea"/>
    <s v="Japan"/>
    <n v="0"/>
    <n v="2"/>
    <s v="FIFA World Cup qualification"/>
    <s v="Seoul"/>
    <s v="South Korea"/>
    <b v="0"/>
    <n v="1997"/>
    <n v="589202526424"/>
    <n v="4492448605638"/>
    <x v="0"/>
    <n v="1"/>
    <x v="2"/>
  </r>
  <r>
    <x v="1991"/>
    <x v="1106"/>
    <x v="29"/>
    <s v="Mexico"/>
    <s v="United States"/>
    <n v="0"/>
    <n v="0"/>
    <s v="FIFA World Cup qualification"/>
    <s v="Mexico City"/>
    <s v="Mexico"/>
    <b v="0"/>
    <n v="1997"/>
    <n v="523449530464"/>
    <n v="8577554457000"/>
    <x v="0"/>
    <n v="0"/>
    <x v="1"/>
  </r>
  <r>
    <x v="1992"/>
    <x v="1106"/>
    <x v="29"/>
    <s v="United Arab Emirates"/>
    <s v="Uzbekistan"/>
    <n v="0"/>
    <n v="0"/>
    <s v="FIFA World Cup qualification"/>
    <s v="Abu Dhabi"/>
    <s v="United Arab Emirates"/>
    <b v="0"/>
    <n v="1997"/>
    <n v="78839008444"/>
    <n v="14744603773"/>
    <x v="0"/>
    <n v="0"/>
    <x v="1"/>
  </r>
  <r>
    <x v="1993"/>
    <x v="1107"/>
    <x v="29"/>
    <s v="Qatar"/>
    <s v="Iran"/>
    <n v="2"/>
    <n v="0"/>
    <s v="FIFA World Cup qualification"/>
    <s v="Doha"/>
    <s v="Qatar"/>
    <b v="0"/>
    <n v="1997"/>
    <n v="11297802115"/>
    <n v="113919163421"/>
    <x v="0"/>
    <n v="-1"/>
    <x v="0"/>
  </r>
  <r>
    <x v="1994"/>
    <x v="1108"/>
    <x v="29"/>
    <s v="Japan"/>
    <s v="Kazakhstan"/>
    <n v="5"/>
    <n v="1"/>
    <s v="FIFA World Cup qualification"/>
    <s v="Tokyo"/>
    <s v="Japan"/>
    <b v="0"/>
    <n v="1997"/>
    <n v="4492448605638"/>
    <n v="22165932062"/>
    <x v="0"/>
    <n v="1"/>
    <x v="2"/>
  </r>
  <r>
    <x v="1995"/>
    <x v="1109"/>
    <x v="29"/>
    <s v="Canada"/>
    <s v="United States"/>
    <n v="0"/>
    <n v="3"/>
    <s v="FIFA World Cup qualification"/>
    <s v="Burnaby"/>
    <s v="Canada"/>
    <b v="0"/>
    <n v="1997"/>
    <n v="654986999855"/>
    <n v="8577554457000"/>
    <x v="0"/>
    <n v="1"/>
    <x v="2"/>
  </r>
  <r>
    <x v="1996"/>
    <x v="1109"/>
    <x v="29"/>
    <s v="El Salvador"/>
    <s v="Jamaica"/>
    <n v="2"/>
    <n v="2"/>
    <s v="FIFA World Cup qualification"/>
    <s v="San Salvador"/>
    <s v="El Salvador"/>
    <b v="0"/>
    <n v="1997"/>
    <n v="10221705900"/>
    <n v="8400041723"/>
    <x v="1"/>
    <n v="0"/>
    <x v="1"/>
  </r>
  <r>
    <x v="1997"/>
    <x v="1109"/>
    <x v="29"/>
    <s v="Mexico"/>
    <s v="Costa Rica"/>
    <n v="3"/>
    <n v="3"/>
    <s v="FIFA World Cup qualification"/>
    <s v="Mexico City"/>
    <s v="Mexico"/>
    <b v="0"/>
    <n v="1997"/>
    <n v="523449530464"/>
    <n v="12614602382"/>
    <x v="0"/>
    <n v="0"/>
    <x v="1"/>
  </r>
  <r>
    <x v="1998"/>
    <x v="1109"/>
    <x v="29"/>
    <s v="United Arab Emirates"/>
    <s v="South Korea"/>
    <n v="1"/>
    <n v="3"/>
    <s v="FIFA World Cup qualification"/>
    <s v="Abu Dhabi"/>
    <s v="United Arab Emirates"/>
    <b v="0"/>
    <n v="1997"/>
    <n v="78839008444"/>
    <n v="589202526424"/>
    <x v="0"/>
    <n v="1"/>
    <x v="2"/>
  </r>
  <r>
    <x v="1999"/>
    <x v="1110"/>
    <x v="29"/>
    <s v="Qatar"/>
    <s v="Saudi Arabia"/>
    <n v="0"/>
    <n v="1"/>
    <s v="FIFA World Cup qualification"/>
    <s v="Doha"/>
    <s v="Qatar"/>
    <b v="0"/>
    <n v="1997"/>
    <n v="11297802115"/>
    <n v="165963684913"/>
    <x v="0"/>
    <n v="1"/>
    <x v="2"/>
  </r>
  <r>
    <x v="2000"/>
    <x v="1111"/>
    <x v="29"/>
    <s v="Italy"/>
    <s v="Russia"/>
    <n v="1"/>
    <n v="0"/>
    <s v="FIFA World Cup qualification"/>
    <s v="Naples"/>
    <s v="Italy"/>
    <b v="0"/>
    <n v="1997"/>
    <n v="1244988176443"/>
    <n v="404928954191"/>
    <x v="0"/>
    <n v="1"/>
    <x v="2"/>
  </r>
  <r>
    <x v="2001"/>
    <x v="1111"/>
    <x v="29"/>
    <s v="Serbia"/>
    <s v="Hungary"/>
    <n v="5"/>
    <n v="0"/>
    <s v="FIFA World Cup qualification"/>
    <s v="Belgrade"/>
    <s v="FR Yugoslavia"/>
    <b v="0"/>
    <n v="1997"/>
    <n v="27153408994"/>
    <n v="47398564799"/>
    <x v="1"/>
    <n v="-1"/>
    <x v="0"/>
  </r>
  <r>
    <x v="2002"/>
    <x v="1111"/>
    <x v="29"/>
    <s v="Ukraine"/>
    <s v="Croatia"/>
    <n v="1"/>
    <n v="1"/>
    <s v="FIFA World Cup qualification"/>
    <s v="Kyiv"/>
    <s v="Ukraine"/>
    <b v="0"/>
    <n v="1997"/>
    <n v="50151531591"/>
    <n v="24175764812"/>
    <x v="0"/>
    <n v="0"/>
    <x v="1"/>
  </r>
  <r>
    <x v="2003"/>
    <x v="1112"/>
    <x v="29"/>
    <s v="Argentina"/>
    <s v="Colombia"/>
    <n v="1"/>
    <n v="1"/>
    <s v="FIFA World Cup qualification"/>
    <s v="Buenos Aires"/>
    <s v="Argentina"/>
    <b v="0"/>
    <n v="1997"/>
    <n v="292859000000"/>
    <n v="106659508271"/>
    <x v="0"/>
    <n v="0"/>
    <x v="1"/>
  </r>
  <r>
    <x v="2004"/>
    <x v="1112"/>
    <x v="29"/>
    <s v="Chile"/>
    <s v="Bolivia"/>
    <n v="3"/>
    <n v="0"/>
    <s v="FIFA World Cup qualification"/>
    <s v="Santiago"/>
    <s v="Chile"/>
    <b v="0"/>
    <n v="1997"/>
    <n v="85741415285"/>
    <n v="7925736821"/>
    <x v="0"/>
    <n v="1"/>
    <x v="2"/>
  </r>
  <r>
    <x v="2005"/>
    <x v="1112"/>
    <x v="29"/>
    <s v="Costa Rica"/>
    <s v="Canada"/>
    <n v="3"/>
    <n v="1"/>
    <s v="FIFA World Cup qualification"/>
    <s v="San Jos√©"/>
    <s v="Costa Rica"/>
    <b v="0"/>
    <n v="1997"/>
    <n v="12614602382"/>
    <n v="654986999855"/>
    <x v="0"/>
    <n v="-1"/>
    <x v="0"/>
  </r>
  <r>
    <x v="2006"/>
    <x v="1112"/>
    <x v="29"/>
    <s v="Jamaica"/>
    <s v="Mexico"/>
    <n v="0"/>
    <n v="0"/>
    <s v="FIFA World Cup qualification"/>
    <s v="Kingston"/>
    <s v="Jamaica"/>
    <b v="0"/>
    <n v="1997"/>
    <n v="8400041723"/>
    <n v="523449530464"/>
    <x v="0"/>
    <n v="0"/>
    <x v="1"/>
  </r>
  <r>
    <x v="2007"/>
    <x v="1112"/>
    <x v="29"/>
    <s v="Japan"/>
    <s v="Iran"/>
    <n v="3"/>
    <n v="2"/>
    <s v="FIFA World Cup qualification"/>
    <s v="Johor Bahru"/>
    <s v="Malaysia"/>
    <b v="1"/>
    <n v="1997"/>
    <n v="4492448605638"/>
    <n v="113919163421"/>
    <x v="0"/>
    <n v="1"/>
    <x v="2"/>
  </r>
  <r>
    <x v="2008"/>
    <x v="1112"/>
    <x v="29"/>
    <s v="Peru"/>
    <s v="Paraguay"/>
    <n v="1"/>
    <n v="0"/>
    <s v="FIFA World Cup qualification"/>
    <s v="Lima"/>
    <s v="Peru"/>
    <b v="0"/>
    <n v="1997"/>
    <n v="58147522522"/>
    <n v="9965225678"/>
    <x v="0"/>
    <n v="1"/>
    <x v="2"/>
  </r>
  <r>
    <x v="2009"/>
    <x v="1112"/>
    <x v="29"/>
    <s v="Uruguay"/>
    <s v="Ecuador"/>
    <n v="5"/>
    <n v="3"/>
    <s v="FIFA World Cup qualification"/>
    <s v="Maldonado"/>
    <s v="Uruguay"/>
    <b v="0"/>
    <n v="1997"/>
    <n v="23969739233"/>
    <n v="28162053026"/>
    <x v="1"/>
    <n v="-1"/>
    <x v="0"/>
  </r>
  <r>
    <x v="2010"/>
    <x v="1112"/>
    <x v="29"/>
    <s v="United States"/>
    <s v="El Salvador"/>
    <n v="4"/>
    <n v="2"/>
    <s v="FIFA World Cup qualification"/>
    <s v="Foxborough"/>
    <s v="United States"/>
    <b v="0"/>
    <n v="1997"/>
    <n v="8577554457000"/>
    <n v="10221705900"/>
    <x v="0"/>
    <n v="1"/>
    <x v="2"/>
  </r>
  <r>
    <x v="2011"/>
    <x v="1113"/>
    <x v="29"/>
    <s v="Iran"/>
    <s v="Australia"/>
    <n v="1"/>
    <n v="1"/>
    <s v="FIFA World Cup qualification"/>
    <s v="Tehran"/>
    <s v="Iran"/>
    <b v="0"/>
    <n v="1997"/>
    <n v="113919163421"/>
    <n v="436321902767"/>
    <x v="0"/>
    <n v="0"/>
    <x v="1"/>
  </r>
  <r>
    <x v="2012"/>
    <x v="1114"/>
    <x v="29"/>
    <s v="Australia"/>
    <s v="Iran"/>
    <n v="2"/>
    <n v="2"/>
    <s v="FIFA World Cup qualification"/>
    <s v="Melbourne"/>
    <s v="Australia"/>
    <b v="0"/>
    <n v="1997"/>
    <n v="436321902767"/>
    <n v="113919163421"/>
    <x v="0"/>
    <n v="0"/>
    <x v="1"/>
  </r>
  <r>
    <x v="2013"/>
    <x v="1115"/>
    <x v="30"/>
    <s v="Morocco"/>
    <s v="Norway"/>
    <n v="2"/>
    <n v="2"/>
    <s v="FIFA World Cup"/>
    <s v="Montpellier"/>
    <s v="France"/>
    <b v="1"/>
    <n v="1998"/>
    <n v="46497608724"/>
    <n v="154230295158"/>
    <x v="0"/>
    <n v="0"/>
    <x v="1"/>
  </r>
  <r>
    <x v="2014"/>
    <x v="1116"/>
    <x v="30"/>
    <s v="Cameroon"/>
    <s v="Austria"/>
    <n v="1"/>
    <n v="1"/>
    <s v="FIFA World Cup"/>
    <s v="Toulouse"/>
    <s v="France"/>
    <b v="1"/>
    <n v="1998"/>
    <n v="11298144990"/>
    <n v="217068085815"/>
    <x v="0"/>
    <n v="0"/>
    <x v="1"/>
  </r>
  <r>
    <x v="2015"/>
    <x v="1116"/>
    <x v="30"/>
    <s v="Italy"/>
    <s v="Chile"/>
    <n v="2"/>
    <n v="2"/>
    <s v="FIFA World Cup"/>
    <s v="Bordeaux"/>
    <s v="France"/>
    <b v="1"/>
    <n v="1998"/>
    <n v="1272729786996"/>
    <n v="81990010704"/>
    <x v="0"/>
    <n v="0"/>
    <x v="1"/>
  </r>
  <r>
    <x v="2016"/>
    <x v="1117"/>
    <x v="30"/>
    <s v="France"/>
    <s v="South Africa"/>
    <n v="3"/>
    <n v="0"/>
    <s v="FIFA World Cup"/>
    <s v="Marseille"/>
    <s v="France"/>
    <b v="0"/>
    <n v="1998"/>
    <n v="1496906382032"/>
    <n v="152982984557"/>
    <x v="0"/>
    <n v="1"/>
    <x v="2"/>
  </r>
  <r>
    <x v="2017"/>
    <x v="1117"/>
    <x v="30"/>
    <s v="Paraguay"/>
    <s v="Bulgaria"/>
    <n v="0"/>
    <n v="0"/>
    <s v="FIFA World Cup"/>
    <s v="Montpellier"/>
    <s v="France"/>
    <b v="1"/>
    <n v="1998"/>
    <n v="9260481572"/>
    <n v="15031055046"/>
    <x v="1"/>
    <n v="0"/>
    <x v="1"/>
  </r>
  <r>
    <x v="2018"/>
    <x v="1117"/>
    <x v="30"/>
    <s v="Saudi Arabia"/>
    <s v="Denmark"/>
    <n v="0"/>
    <n v="1"/>
    <s v="FIFA World Cup"/>
    <s v="Lens"/>
    <s v="France"/>
    <b v="1"/>
    <n v="1998"/>
    <n v="146775466666"/>
    <n v="176877077513"/>
    <x v="1"/>
    <n v="1"/>
    <x v="2"/>
  </r>
  <r>
    <x v="2019"/>
    <x v="1118"/>
    <x v="30"/>
    <s v="South Korea"/>
    <s v="Mexico"/>
    <n v="1"/>
    <n v="3"/>
    <s v="FIFA World Cup"/>
    <s v="Lyon"/>
    <s v="France"/>
    <b v="1"/>
    <n v="1998"/>
    <n v="397297216492"/>
    <n v="557461102630"/>
    <x v="1"/>
    <n v="1"/>
    <x v="2"/>
  </r>
  <r>
    <x v="2020"/>
    <x v="1118"/>
    <x v="30"/>
    <s v="Netherlands"/>
    <s v="Belgium"/>
    <n v="0"/>
    <n v="0"/>
    <s v="FIFA World Cup"/>
    <s v="Saint-Denis"/>
    <s v="France"/>
    <b v="1"/>
    <n v="1998"/>
    <n v="438612530548"/>
    <n v="258528339631"/>
    <x v="1"/>
    <n v="0"/>
    <x v="1"/>
  </r>
  <r>
    <x v="2021"/>
    <x v="1118"/>
    <x v="30"/>
    <s v="Spain"/>
    <s v="Nigeria"/>
    <n v="2"/>
    <n v="3"/>
    <s v="FIFA World Cup"/>
    <s v="Nantes"/>
    <s v="France"/>
    <b v="1"/>
    <n v="1998"/>
    <n v="618731484575"/>
    <n v="218416200672"/>
    <x v="0"/>
    <n v="-1"/>
    <x v="0"/>
  </r>
  <r>
    <x v="2022"/>
    <x v="1119"/>
    <x v="30"/>
    <s v="Argentina"/>
    <s v="Japan"/>
    <n v="1"/>
    <n v="0"/>
    <s v="FIFA World Cup"/>
    <s v="Toulouse"/>
    <s v="France"/>
    <b v="1"/>
    <n v="1998"/>
    <n v="298948250000"/>
    <n v="4098362709531"/>
    <x v="0"/>
    <n v="-1"/>
    <x v="0"/>
  </r>
  <r>
    <x v="2023"/>
    <x v="1119"/>
    <x v="30"/>
    <s v="Jamaica"/>
    <s v="Croatia"/>
    <n v="1"/>
    <n v="3"/>
    <s v="FIFA World Cup"/>
    <s v="Lens"/>
    <s v="France"/>
    <b v="1"/>
    <n v="1998"/>
    <n v="8787195622"/>
    <n v="25890228429"/>
    <x v="0"/>
    <n v="1"/>
    <x v="2"/>
  </r>
  <r>
    <x v="2024"/>
    <x v="1119"/>
    <x v="30"/>
    <s v="Serbia"/>
    <s v="Iran"/>
    <n v="1"/>
    <n v="0"/>
    <s v="FIFA World Cup"/>
    <s v="Saint-√âtienne"/>
    <s v="France"/>
    <b v="1"/>
    <n v="1998"/>
    <n v="21004077441"/>
    <n v="110276913362"/>
    <x v="0"/>
    <n v="-1"/>
    <x v="0"/>
  </r>
  <r>
    <x v="2025"/>
    <x v="1120"/>
    <x v="30"/>
    <s v="England"/>
    <s v="Tunisia"/>
    <n v="2"/>
    <n v="0"/>
    <s v="FIFA World Cup"/>
    <s v="Marseille"/>
    <s v="France"/>
    <b v="1"/>
    <n v="1998"/>
    <n v="1660821464060"/>
    <n v="21802893587"/>
    <x v="0"/>
    <n v="1"/>
    <x v="2"/>
  </r>
  <r>
    <x v="2026"/>
    <x v="1120"/>
    <x v="30"/>
    <s v="Germany"/>
    <s v="United States"/>
    <n v="2"/>
    <n v="0"/>
    <s v="FIFA World Cup"/>
    <s v="Paris"/>
    <s v="France"/>
    <b v="1"/>
    <n v="1998"/>
    <n v="2247760364565"/>
    <n v="9062818202000"/>
    <x v="0"/>
    <n v="-1"/>
    <x v="0"/>
  </r>
  <r>
    <x v="2027"/>
    <x v="1120"/>
    <x v="30"/>
    <s v="Romania"/>
    <s v="Colombia"/>
    <n v="1"/>
    <n v="0"/>
    <s v="FIFA World Cup"/>
    <s v="Lyon"/>
    <s v="France"/>
    <b v="1"/>
    <n v="1998"/>
    <n v="41696091973"/>
    <n v="98443739941"/>
    <x v="0"/>
    <n v="-1"/>
    <x v="0"/>
  </r>
  <r>
    <x v="2028"/>
    <x v="1121"/>
    <x v="30"/>
    <s v="Brazil"/>
    <s v="Morocco"/>
    <n v="3"/>
    <n v="0"/>
    <s v="FIFA World Cup"/>
    <s v="Nantes"/>
    <s v="France"/>
    <b v="1"/>
    <n v="1998"/>
    <n v="863711007325"/>
    <n v="46497608724"/>
    <x v="0"/>
    <n v="1"/>
    <x v="2"/>
  </r>
  <r>
    <x v="2029"/>
    <x v="1122"/>
    <x v="30"/>
    <s v="Chile"/>
    <s v="Austria"/>
    <n v="1"/>
    <n v="1"/>
    <s v="FIFA World Cup"/>
    <s v="Saint-√âtienne"/>
    <s v="France"/>
    <b v="1"/>
    <n v="1998"/>
    <n v="81990010704"/>
    <n v="217068085815"/>
    <x v="0"/>
    <n v="0"/>
    <x v="1"/>
  </r>
  <r>
    <x v="2030"/>
    <x v="1122"/>
    <x v="30"/>
    <s v="Italy"/>
    <s v="Cameroon"/>
    <n v="3"/>
    <n v="0"/>
    <s v="FIFA World Cup"/>
    <s v="Montpellier"/>
    <s v="France"/>
    <b v="1"/>
    <n v="1998"/>
    <n v="1272729786996"/>
    <n v="11298144990"/>
    <x v="0"/>
    <n v="1"/>
    <x v="2"/>
  </r>
  <r>
    <x v="2031"/>
    <x v="1123"/>
    <x v="30"/>
    <s v="France"/>
    <s v="Saudi Arabia"/>
    <n v="4"/>
    <n v="0"/>
    <s v="FIFA World Cup"/>
    <s v="Saint-Denis"/>
    <s v="France"/>
    <b v="0"/>
    <n v="1998"/>
    <n v="1496906382032"/>
    <n v="146775466666"/>
    <x v="0"/>
    <n v="1"/>
    <x v="2"/>
  </r>
  <r>
    <x v="2032"/>
    <x v="1123"/>
    <x v="30"/>
    <s v="South Africa"/>
    <s v="Denmark"/>
    <n v="1"/>
    <n v="1"/>
    <s v="FIFA World Cup"/>
    <s v="Toulouse"/>
    <s v="France"/>
    <b v="1"/>
    <n v="1998"/>
    <n v="152982984557"/>
    <n v="176877077513"/>
    <x v="1"/>
    <n v="0"/>
    <x v="1"/>
  </r>
  <r>
    <x v="2033"/>
    <x v="1124"/>
    <x v="30"/>
    <s v="Nigeria"/>
    <s v="Bulgaria"/>
    <n v="1"/>
    <n v="0"/>
    <s v="FIFA World Cup"/>
    <s v="Paris"/>
    <s v="France"/>
    <b v="1"/>
    <n v="1998"/>
    <n v="218416200672"/>
    <n v="15031055046"/>
    <x v="0"/>
    <n v="1"/>
    <x v="2"/>
  </r>
  <r>
    <x v="2034"/>
    <x v="1124"/>
    <x v="30"/>
    <s v="Spain"/>
    <s v="Paraguay"/>
    <n v="0"/>
    <n v="0"/>
    <s v="FIFA World Cup"/>
    <s v="Saint-√âtienne"/>
    <s v="France"/>
    <b v="1"/>
    <n v="1998"/>
    <n v="618731484575"/>
    <n v="9260481572"/>
    <x v="0"/>
    <n v="0"/>
    <x v="1"/>
  </r>
  <r>
    <x v="2035"/>
    <x v="1125"/>
    <x v="30"/>
    <s v="Belgium"/>
    <s v="Mexico"/>
    <n v="2"/>
    <n v="2"/>
    <s v="FIFA World Cup"/>
    <s v="Bordeaux"/>
    <s v="France"/>
    <b v="1"/>
    <n v="1998"/>
    <n v="258528339631"/>
    <n v="557461102630"/>
    <x v="0"/>
    <n v="0"/>
    <x v="1"/>
  </r>
  <r>
    <x v="2036"/>
    <x v="1125"/>
    <x v="30"/>
    <s v="Japan"/>
    <s v="Croatia"/>
    <n v="0"/>
    <n v="1"/>
    <s v="FIFA World Cup"/>
    <s v="Nantes"/>
    <s v="France"/>
    <b v="1"/>
    <n v="1998"/>
    <n v="4098362709531"/>
    <n v="25890228429"/>
    <x v="0"/>
    <n v="-1"/>
    <x v="0"/>
  </r>
  <r>
    <x v="2037"/>
    <x v="1125"/>
    <x v="30"/>
    <s v="Netherlands"/>
    <s v="South Korea"/>
    <n v="5"/>
    <n v="0"/>
    <s v="FIFA World Cup"/>
    <s v="Marseille"/>
    <s v="France"/>
    <b v="1"/>
    <n v="1998"/>
    <n v="438612530548"/>
    <n v="397297216492"/>
    <x v="1"/>
    <n v="1"/>
    <x v="2"/>
  </r>
  <r>
    <x v="2038"/>
    <x v="1126"/>
    <x v="30"/>
    <s v="Argentina"/>
    <s v="Jamaica"/>
    <n v="5"/>
    <n v="0"/>
    <s v="FIFA World Cup"/>
    <s v="Paris"/>
    <s v="France"/>
    <b v="1"/>
    <n v="1998"/>
    <n v="298948250000"/>
    <n v="8787195622"/>
    <x v="0"/>
    <n v="1"/>
    <x v="2"/>
  </r>
  <r>
    <x v="2039"/>
    <x v="1126"/>
    <x v="30"/>
    <s v="Germany"/>
    <s v="Serbia"/>
    <n v="2"/>
    <n v="2"/>
    <s v="FIFA World Cup"/>
    <s v="Lens"/>
    <s v="France"/>
    <b v="1"/>
    <n v="1998"/>
    <n v="2247760364565"/>
    <n v="21004077441"/>
    <x v="0"/>
    <n v="0"/>
    <x v="1"/>
  </r>
  <r>
    <x v="2040"/>
    <x v="1126"/>
    <x v="30"/>
    <s v="United States"/>
    <s v="Iran"/>
    <n v="1"/>
    <n v="2"/>
    <s v="FIFA World Cup"/>
    <s v="Lyon"/>
    <s v="France"/>
    <b v="1"/>
    <n v="1998"/>
    <n v="9062818202000"/>
    <n v="110276913362"/>
    <x v="0"/>
    <n v="-1"/>
    <x v="0"/>
  </r>
  <r>
    <x v="2041"/>
    <x v="1127"/>
    <x v="30"/>
    <s v="Colombia"/>
    <s v="Tunisia"/>
    <n v="1"/>
    <n v="0"/>
    <s v="FIFA World Cup"/>
    <s v="Montpellier"/>
    <s v="France"/>
    <b v="1"/>
    <n v="1998"/>
    <n v="98443739941"/>
    <n v="21802893587"/>
    <x v="0"/>
    <n v="1"/>
    <x v="2"/>
  </r>
  <r>
    <x v="2042"/>
    <x v="1127"/>
    <x v="30"/>
    <s v="Romania"/>
    <s v="England"/>
    <n v="2"/>
    <n v="1"/>
    <s v="FIFA World Cup"/>
    <s v="Toulouse"/>
    <s v="France"/>
    <b v="1"/>
    <n v="1998"/>
    <n v="41696091973"/>
    <n v="1660821464060"/>
    <x v="0"/>
    <n v="-1"/>
    <x v="0"/>
  </r>
  <r>
    <x v="2043"/>
    <x v="1128"/>
    <x v="30"/>
    <s v="Brazil"/>
    <s v="Norway"/>
    <n v="1"/>
    <n v="2"/>
    <s v="FIFA World Cup"/>
    <s v="Marseille"/>
    <s v="France"/>
    <b v="1"/>
    <n v="1998"/>
    <n v="863711007325"/>
    <n v="154230295158"/>
    <x v="0"/>
    <n v="-1"/>
    <x v="0"/>
  </r>
  <r>
    <x v="2044"/>
    <x v="1128"/>
    <x v="30"/>
    <s v="Chile"/>
    <s v="Cameroon"/>
    <n v="1"/>
    <n v="1"/>
    <s v="FIFA World Cup"/>
    <s v="Nantes"/>
    <s v="France"/>
    <b v="1"/>
    <n v="1998"/>
    <n v="81990010704"/>
    <n v="11298144990"/>
    <x v="0"/>
    <n v="0"/>
    <x v="1"/>
  </r>
  <r>
    <x v="2045"/>
    <x v="1128"/>
    <x v="30"/>
    <s v="Italy"/>
    <s v="Austria"/>
    <n v="2"/>
    <n v="1"/>
    <s v="FIFA World Cup"/>
    <s v="Saint-Denis"/>
    <s v="France"/>
    <b v="1"/>
    <n v="1998"/>
    <n v="1272729786996"/>
    <n v="217068085815"/>
    <x v="0"/>
    <n v="1"/>
    <x v="2"/>
  </r>
  <r>
    <x v="2046"/>
    <x v="1129"/>
    <x v="30"/>
    <s v="France"/>
    <s v="Denmark"/>
    <n v="2"/>
    <n v="1"/>
    <s v="FIFA World Cup"/>
    <s v="Lyon"/>
    <s v="France"/>
    <b v="0"/>
    <n v="1998"/>
    <n v="1496906382032"/>
    <n v="176877077513"/>
    <x v="0"/>
    <n v="1"/>
    <x v="2"/>
  </r>
  <r>
    <x v="2047"/>
    <x v="1129"/>
    <x v="30"/>
    <s v="Nigeria"/>
    <s v="Paraguay"/>
    <n v="1"/>
    <n v="3"/>
    <s v="FIFA World Cup"/>
    <s v="Toulouse"/>
    <s v="France"/>
    <b v="1"/>
    <n v="1998"/>
    <n v="218416200672"/>
    <n v="9260481572"/>
    <x v="0"/>
    <n v="-1"/>
    <x v="0"/>
  </r>
  <r>
    <x v="2048"/>
    <x v="1129"/>
    <x v="30"/>
    <s v="South Africa"/>
    <s v="Saudi Arabia"/>
    <n v="2"/>
    <n v="2"/>
    <s v="FIFA World Cup"/>
    <s v="Bordeaux"/>
    <s v="France"/>
    <b v="1"/>
    <n v="1998"/>
    <n v="152982984557"/>
    <n v="146775466666"/>
    <x v="1"/>
    <n v="0"/>
    <x v="1"/>
  </r>
  <r>
    <x v="2049"/>
    <x v="1129"/>
    <x v="30"/>
    <s v="Spain"/>
    <s v="Bulgaria"/>
    <n v="6"/>
    <n v="1"/>
    <s v="FIFA World Cup"/>
    <s v="Lens"/>
    <s v="France"/>
    <b v="1"/>
    <n v="1998"/>
    <n v="618731484575"/>
    <n v="15031055046"/>
    <x v="0"/>
    <n v="1"/>
    <x v="2"/>
  </r>
  <r>
    <x v="2050"/>
    <x v="1130"/>
    <x v="30"/>
    <s v="Belgium"/>
    <s v="South Korea"/>
    <n v="1"/>
    <n v="1"/>
    <s v="FIFA World Cup"/>
    <s v="Paris"/>
    <s v="France"/>
    <b v="1"/>
    <n v="1998"/>
    <n v="258528339631"/>
    <n v="397297216492"/>
    <x v="1"/>
    <n v="0"/>
    <x v="1"/>
  </r>
  <r>
    <x v="2051"/>
    <x v="1130"/>
    <x v="30"/>
    <s v="Germany"/>
    <s v="Iran"/>
    <n v="2"/>
    <n v="0"/>
    <s v="FIFA World Cup"/>
    <s v="Montpellier"/>
    <s v="France"/>
    <b v="1"/>
    <n v="1998"/>
    <n v="2247760364565"/>
    <n v="110276913362"/>
    <x v="0"/>
    <n v="1"/>
    <x v="2"/>
  </r>
  <r>
    <x v="2052"/>
    <x v="1130"/>
    <x v="30"/>
    <s v="Netherlands"/>
    <s v="Mexico"/>
    <n v="2"/>
    <n v="2"/>
    <s v="FIFA World Cup"/>
    <s v="Saint-√âtienne"/>
    <s v="France"/>
    <b v="1"/>
    <n v="1998"/>
    <n v="438612530548"/>
    <n v="557461102630"/>
    <x v="1"/>
    <n v="0"/>
    <x v="1"/>
  </r>
  <r>
    <x v="2053"/>
    <x v="1130"/>
    <x v="30"/>
    <s v="United States"/>
    <s v="Serbia"/>
    <n v="0"/>
    <n v="1"/>
    <s v="FIFA World Cup"/>
    <s v="Nantes"/>
    <s v="France"/>
    <b v="1"/>
    <n v="1998"/>
    <n v="9062818202000"/>
    <n v="21004077441"/>
    <x v="0"/>
    <n v="-1"/>
    <x v="0"/>
  </r>
  <r>
    <x v="2054"/>
    <x v="1131"/>
    <x v="30"/>
    <s v="Argentina"/>
    <s v="Croatia"/>
    <n v="1"/>
    <n v="0"/>
    <s v="FIFA World Cup"/>
    <s v="Bordeaux"/>
    <s v="France"/>
    <b v="1"/>
    <n v="1998"/>
    <n v="298948250000"/>
    <n v="25890228429"/>
    <x v="0"/>
    <n v="1"/>
    <x v="2"/>
  </r>
  <r>
    <x v="2055"/>
    <x v="1131"/>
    <x v="30"/>
    <s v="Colombia"/>
    <s v="England"/>
    <n v="0"/>
    <n v="2"/>
    <s v="FIFA World Cup"/>
    <s v="Lens"/>
    <s v="France"/>
    <b v="1"/>
    <n v="1998"/>
    <n v="98443739941"/>
    <n v="1660821464060"/>
    <x v="0"/>
    <n v="1"/>
    <x v="2"/>
  </r>
  <r>
    <x v="2056"/>
    <x v="1131"/>
    <x v="30"/>
    <s v="Japan"/>
    <s v="Jamaica"/>
    <n v="1"/>
    <n v="2"/>
    <s v="FIFA World Cup"/>
    <s v="Lyon"/>
    <s v="France"/>
    <b v="1"/>
    <n v="1998"/>
    <n v="4098362709531"/>
    <n v="8787195622"/>
    <x v="0"/>
    <n v="-1"/>
    <x v="0"/>
  </r>
  <r>
    <x v="2057"/>
    <x v="1131"/>
    <x v="30"/>
    <s v="Romania"/>
    <s v="Tunisia"/>
    <n v="1"/>
    <n v="1"/>
    <s v="FIFA World Cup"/>
    <s v="Saint-Denis"/>
    <s v="France"/>
    <b v="1"/>
    <n v="1998"/>
    <n v="41696091973"/>
    <n v="21802893587"/>
    <x v="1"/>
    <n v="0"/>
    <x v="1"/>
  </r>
  <r>
    <x v="2058"/>
    <x v="1132"/>
    <x v="30"/>
    <s v="Brazil"/>
    <s v="Chile"/>
    <n v="4"/>
    <n v="1"/>
    <s v="FIFA World Cup"/>
    <s v="Paris"/>
    <s v="France"/>
    <b v="1"/>
    <n v="1998"/>
    <n v="863711007325"/>
    <n v="81990010704"/>
    <x v="0"/>
    <n v="1"/>
    <x v="2"/>
  </r>
  <r>
    <x v="2059"/>
    <x v="1132"/>
    <x v="30"/>
    <s v="Italy"/>
    <s v="Norway"/>
    <n v="1"/>
    <n v="0"/>
    <s v="FIFA World Cup"/>
    <s v="Marseille"/>
    <s v="France"/>
    <b v="1"/>
    <n v="1998"/>
    <n v="1272729786996"/>
    <n v="154230295158"/>
    <x v="0"/>
    <n v="1"/>
    <x v="2"/>
  </r>
  <r>
    <x v="2060"/>
    <x v="1133"/>
    <x v="30"/>
    <s v="France"/>
    <s v="Paraguay"/>
    <n v="1"/>
    <n v="0"/>
    <s v="FIFA World Cup"/>
    <s v="Lens"/>
    <s v="France"/>
    <b v="0"/>
    <n v="1998"/>
    <n v="1496906382032"/>
    <n v="9260481572"/>
    <x v="0"/>
    <n v="1"/>
    <x v="2"/>
  </r>
  <r>
    <x v="2061"/>
    <x v="1133"/>
    <x v="30"/>
    <s v="Nigeria"/>
    <s v="Denmark"/>
    <n v="1"/>
    <n v="4"/>
    <s v="FIFA World Cup"/>
    <s v="Saint-Denis"/>
    <s v="France"/>
    <b v="1"/>
    <n v="1998"/>
    <n v="218416200672"/>
    <n v="176877077513"/>
    <x v="1"/>
    <n v="-1"/>
    <x v="0"/>
  </r>
  <r>
    <x v="2062"/>
    <x v="1134"/>
    <x v="30"/>
    <s v="Germany"/>
    <s v="Mexico"/>
    <n v="2"/>
    <n v="1"/>
    <s v="FIFA World Cup"/>
    <s v="Montpellier"/>
    <s v="France"/>
    <b v="1"/>
    <n v="1998"/>
    <n v="2247760364565"/>
    <n v="557461102630"/>
    <x v="0"/>
    <n v="1"/>
    <x v="2"/>
  </r>
  <r>
    <x v="2063"/>
    <x v="1134"/>
    <x v="30"/>
    <s v="Netherlands"/>
    <s v="Serbia"/>
    <n v="2"/>
    <n v="1"/>
    <s v="FIFA World Cup"/>
    <s v="Toulouse"/>
    <s v="France"/>
    <b v="1"/>
    <n v="1998"/>
    <n v="438612530548"/>
    <n v="21004077441"/>
    <x v="0"/>
    <n v="1"/>
    <x v="2"/>
  </r>
  <r>
    <x v="2064"/>
    <x v="1135"/>
    <x v="30"/>
    <s v="Argentina"/>
    <s v="England"/>
    <n v="2"/>
    <n v="2"/>
    <s v="FIFA World Cup"/>
    <s v="Saint-√âtienne"/>
    <s v="France"/>
    <b v="1"/>
    <n v="1998"/>
    <n v="298948250000"/>
    <n v="1660821464060"/>
    <x v="0"/>
    <n v="0"/>
    <x v="1"/>
  </r>
  <r>
    <x v="2065"/>
    <x v="1135"/>
    <x v="30"/>
    <s v="Romania"/>
    <s v="Croatia"/>
    <n v="0"/>
    <n v="1"/>
    <s v="FIFA World Cup"/>
    <s v="Bordeaux"/>
    <s v="France"/>
    <b v="1"/>
    <n v="1998"/>
    <n v="41696091973"/>
    <n v="25890228429"/>
    <x v="1"/>
    <n v="-1"/>
    <x v="0"/>
  </r>
  <r>
    <x v="2066"/>
    <x v="1136"/>
    <x v="30"/>
    <s v="Brazil"/>
    <s v="Denmark"/>
    <n v="3"/>
    <n v="2"/>
    <s v="FIFA World Cup"/>
    <s v="Nantes"/>
    <s v="France"/>
    <b v="1"/>
    <n v="1998"/>
    <n v="863711007325"/>
    <n v="176877077513"/>
    <x v="0"/>
    <n v="1"/>
    <x v="2"/>
  </r>
  <r>
    <x v="2067"/>
    <x v="1136"/>
    <x v="30"/>
    <s v="France"/>
    <s v="Italy"/>
    <n v="0"/>
    <n v="0"/>
    <s v="FIFA World Cup"/>
    <s v="Saint-Denis"/>
    <s v="France"/>
    <b v="0"/>
    <n v="1998"/>
    <n v="1496906382032"/>
    <n v="1272729786996"/>
    <x v="1"/>
    <n v="0"/>
    <x v="1"/>
  </r>
  <r>
    <x v="2068"/>
    <x v="1137"/>
    <x v="30"/>
    <s v="Germany"/>
    <s v="Croatia"/>
    <n v="0"/>
    <n v="3"/>
    <s v="FIFA World Cup"/>
    <s v="Lyon"/>
    <s v="France"/>
    <b v="1"/>
    <n v="1998"/>
    <n v="2247760364565"/>
    <n v="25890228429"/>
    <x v="0"/>
    <n v="-1"/>
    <x v="0"/>
  </r>
  <r>
    <x v="2069"/>
    <x v="1137"/>
    <x v="30"/>
    <s v="Netherlands"/>
    <s v="Argentina"/>
    <n v="2"/>
    <n v="1"/>
    <s v="FIFA World Cup"/>
    <s v="Marseille"/>
    <s v="France"/>
    <b v="1"/>
    <n v="1998"/>
    <n v="438612530548"/>
    <n v="298948250000"/>
    <x v="1"/>
    <n v="1"/>
    <x v="2"/>
  </r>
  <r>
    <x v="2070"/>
    <x v="1138"/>
    <x v="30"/>
    <s v="Brazil"/>
    <s v="Netherlands"/>
    <n v="1"/>
    <n v="1"/>
    <s v="FIFA World Cup"/>
    <s v="Marseille"/>
    <s v="France"/>
    <b v="1"/>
    <n v="1998"/>
    <n v="863711007325"/>
    <n v="438612530548"/>
    <x v="1"/>
    <n v="0"/>
    <x v="1"/>
  </r>
  <r>
    <x v="2071"/>
    <x v="1139"/>
    <x v="30"/>
    <s v="France"/>
    <s v="Croatia"/>
    <n v="2"/>
    <n v="1"/>
    <s v="FIFA World Cup"/>
    <s v="Saint-Denis"/>
    <s v="France"/>
    <b v="0"/>
    <n v="1998"/>
    <n v="1496906382032"/>
    <n v="25890228429"/>
    <x v="0"/>
    <n v="1"/>
    <x v="2"/>
  </r>
  <r>
    <x v="2072"/>
    <x v="1140"/>
    <x v="30"/>
    <s v="Netherlands"/>
    <s v="Croatia"/>
    <n v="1"/>
    <n v="2"/>
    <s v="FIFA World Cup"/>
    <s v="Paris"/>
    <s v="France"/>
    <b v="1"/>
    <n v="1998"/>
    <n v="438612530548"/>
    <n v="25890228429"/>
    <x v="0"/>
    <n v="-1"/>
    <x v="0"/>
  </r>
  <r>
    <x v="2073"/>
    <x v="1141"/>
    <x v="30"/>
    <s v="France"/>
    <s v="Brazil"/>
    <n v="3"/>
    <n v="0"/>
    <s v="FIFA World Cup"/>
    <s v="Saint-Denis"/>
    <s v="France"/>
    <b v="0"/>
    <n v="1998"/>
    <n v="1496906382032"/>
    <n v="863711007325"/>
    <x v="1"/>
    <n v="1"/>
    <x v="2"/>
  </r>
  <r>
    <x v="2074"/>
    <x v="1142"/>
    <x v="31"/>
    <s v="Honduras"/>
    <s v="Nicaragua"/>
    <n v="3"/>
    <n v="0"/>
    <s v="FIFA World Cup qualification"/>
    <s v="San Pedro Sula"/>
    <s v="Honduras"/>
    <b v="0"/>
    <n v="2000"/>
    <n v="7186638029"/>
    <n v="5109587049"/>
    <x v="1"/>
    <n v="1"/>
    <x v="2"/>
  </r>
  <r>
    <x v="2075"/>
    <x v="1143"/>
    <x v="31"/>
    <s v="Barbados"/>
    <s v="Grenada"/>
    <n v="2"/>
    <n v="2"/>
    <s v="FIFA World Cup qualification"/>
    <s v="Bridgetown"/>
    <s v="Barbados"/>
    <b v="0"/>
    <n v="2000"/>
    <n v="3059500000"/>
    <n v="520044370"/>
    <x v="0"/>
    <n v="0"/>
    <x v="1"/>
  </r>
  <r>
    <x v="2076"/>
    <x v="1143"/>
    <x v="31"/>
    <s v="El Salvador"/>
    <s v="Belize"/>
    <n v="5"/>
    <n v="0"/>
    <s v="FIFA World Cup qualification"/>
    <s v="San Salvador"/>
    <s v="El Salvador"/>
    <b v="0"/>
    <n v="2000"/>
    <n v="11784927700"/>
    <n v="1138138100"/>
    <x v="0"/>
    <n v="1"/>
    <x v="2"/>
  </r>
  <r>
    <x v="2077"/>
    <x v="1144"/>
    <x v="31"/>
    <s v="Haiti"/>
    <s v="Dominica"/>
    <n v="4"/>
    <n v="0"/>
    <s v="FIFA World Cup qualification"/>
    <s v="Port-au-Prince"/>
    <s v="Haiti"/>
    <b v="0"/>
    <n v="2000"/>
    <n v="6813566098"/>
    <n v="333470370"/>
    <x v="0"/>
    <n v="1"/>
    <x v="2"/>
  </r>
  <r>
    <x v="2078"/>
    <x v="1145"/>
    <x v="31"/>
    <s v="Grenada"/>
    <s v="Barbados"/>
    <n v="2"/>
    <n v="3"/>
    <s v="FIFA World Cup qualification"/>
    <s v="St. George's"/>
    <s v="Grenada"/>
    <b v="0"/>
    <n v="2000"/>
    <n v="520044370"/>
    <n v="3059500000"/>
    <x v="0"/>
    <n v="1"/>
    <x v="2"/>
  </r>
  <r>
    <x v="2079"/>
    <x v="1146"/>
    <x v="31"/>
    <s v="Belize"/>
    <s v="Guatemala"/>
    <n v="1"/>
    <n v="2"/>
    <s v="FIFA World Cup qualification"/>
    <s v="San Pedro Sula"/>
    <s v="Honduras"/>
    <b v="1"/>
    <n v="2000"/>
    <n v="1138138100"/>
    <n v="19288929030"/>
    <x v="0"/>
    <n v="1"/>
    <x v="2"/>
  </r>
  <r>
    <x v="2080"/>
    <x v="1146"/>
    <x v="31"/>
    <s v="Dominica"/>
    <s v="Haiti"/>
    <n v="1"/>
    <n v="3"/>
    <s v="FIFA World Cup qualification"/>
    <s v="Roseau"/>
    <s v="Dominica"/>
    <b v="0"/>
    <n v="2000"/>
    <n v="333470370"/>
    <n v="6813566098"/>
    <x v="0"/>
    <n v="1"/>
    <x v="2"/>
  </r>
  <r>
    <x v="2081"/>
    <x v="1146"/>
    <x v="31"/>
    <s v="Nicaragua"/>
    <s v="Panama"/>
    <n v="0"/>
    <n v="2"/>
    <s v="FIFA World Cup qualification"/>
    <s v="Diriamba"/>
    <s v="Nicaragua"/>
    <b v="0"/>
    <n v="2000"/>
    <n v="5109587049"/>
    <n v="11966497048"/>
    <x v="0"/>
    <n v="1"/>
    <x v="2"/>
  </r>
  <r>
    <x v="2082"/>
    <x v="1147"/>
    <x v="31"/>
    <s v="Colombia"/>
    <s v="Brazil"/>
    <n v="0"/>
    <n v="0"/>
    <s v="FIFA World Cup qualification"/>
    <s v="Bogot√°"/>
    <s v="Colombia"/>
    <b v="0"/>
    <n v="2000"/>
    <n v="99875074951"/>
    <n v="655448188259"/>
    <x v="0"/>
    <n v="0"/>
    <x v="1"/>
  </r>
  <r>
    <x v="2083"/>
    <x v="1148"/>
    <x v="31"/>
    <s v="Argentina"/>
    <s v="Chile"/>
    <n v="4"/>
    <n v="1"/>
    <s v="FIFA World Cup qualification"/>
    <s v="Buenos Aires"/>
    <s v="Argentina"/>
    <b v="0"/>
    <n v="2000"/>
    <n v="284203750000"/>
    <n v="78339750721"/>
    <x v="0"/>
    <n v="1"/>
    <x v="2"/>
  </r>
  <r>
    <x v="2084"/>
    <x v="1148"/>
    <x v="31"/>
    <s v="Ecuador"/>
    <s v="Venezuela"/>
    <n v="2"/>
    <n v="0"/>
    <s v="FIFA World Cup qualification"/>
    <s v="Quito"/>
    <s v="Ecuador"/>
    <b v="0"/>
    <n v="2000"/>
    <n v="17539454727"/>
    <n v="117146466002"/>
    <x v="0"/>
    <n v="-1"/>
    <x v="0"/>
  </r>
  <r>
    <x v="2085"/>
    <x v="1148"/>
    <x v="31"/>
    <s v="Peru"/>
    <s v="Paraguay"/>
    <n v="2"/>
    <n v="0"/>
    <s v="FIFA World Cup qualification"/>
    <s v="Lima"/>
    <s v="Peru"/>
    <b v="0"/>
    <n v="2000"/>
    <n v="51744749133"/>
    <n v="8855705139"/>
    <x v="0"/>
    <n v="1"/>
    <x v="2"/>
  </r>
  <r>
    <x v="2086"/>
    <x v="1148"/>
    <x v="31"/>
    <s v="Uruguay"/>
    <s v="Bolivia"/>
    <n v="1"/>
    <n v="0"/>
    <s v="FIFA World Cup qualification"/>
    <s v="Montevideo"/>
    <s v="Uruguay"/>
    <b v="0"/>
    <n v="2000"/>
    <n v="22823270892"/>
    <n v="8397855484"/>
    <x v="0"/>
    <n v="1"/>
    <x v="2"/>
  </r>
  <r>
    <x v="2087"/>
    <x v="1149"/>
    <x v="31"/>
    <s v="Aruba"/>
    <s v="Barbados"/>
    <n v="1"/>
    <n v="3"/>
    <s v="FIFA World Cup qualification"/>
    <s v="Oranjestad"/>
    <s v="Aruba"/>
    <b v="0"/>
    <n v="2000"/>
    <n v="1873452513"/>
    <n v="3059500000"/>
    <x v="1"/>
    <n v="1"/>
    <x v="2"/>
  </r>
  <r>
    <x v="2088"/>
    <x v="1150"/>
    <x v="31"/>
    <s v="Cuba"/>
    <s v="Suriname"/>
    <n v="1"/>
    <n v="0"/>
    <s v="FIFA World Cup qualification"/>
    <s v="Havana"/>
    <s v="Cuba"/>
    <b v="0"/>
    <n v="2000"/>
    <n v="30565400000"/>
    <n v="947671969"/>
    <x v="0"/>
    <n v="1"/>
    <x v="2"/>
  </r>
  <r>
    <x v="2089"/>
    <x v="1150"/>
    <x v="31"/>
    <s v="Guatemala"/>
    <s v="El Salvador"/>
    <n v="0"/>
    <n v="1"/>
    <s v="FIFA World Cup qualification"/>
    <s v="Guatemala City"/>
    <s v="Guatemala"/>
    <b v="0"/>
    <n v="2000"/>
    <n v="19288929030"/>
    <n v="11784927700"/>
    <x v="1"/>
    <n v="-1"/>
    <x v="0"/>
  </r>
  <r>
    <x v="2090"/>
    <x v="1150"/>
    <x v="31"/>
    <s v="Panama"/>
    <s v="Honduras"/>
    <n v="1"/>
    <n v="0"/>
    <s v="FIFA World Cup qualification"/>
    <s v="Panama City"/>
    <s v="Panama"/>
    <b v="0"/>
    <n v="2000"/>
    <n v="11966497048"/>
    <n v="7186638029"/>
    <x v="1"/>
    <n v="1"/>
    <x v="2"/>
  </r>
  <r>
    <x v="2091"/>
    <x v="1150"/>
    <x v="31"/>
    <s v="Trinidad and Tobago"/>
    <s v="Dominican Republic"/>
    <n v="3"/>
    <n v="0"/>
    <s v="FIFA World Cup qualification"/>
    <s v="Port of Spain"/>
    <s v="Trinidad and Tobago"/>
    <b v="0"/>
    <n v="2000"/>
    <n v="8154342116"/>
    <n v="24305780628"/>
    <x v="0"/>
    <n v="-1"/>
    <x v="0"/>
  </r>
  <r>
    <x v="2092"/>
    <x v="1151"/>
    <x v="31"/>
    <s v="Mauritania"/>
    <s v="Tunisia"/>
    <n v="1"/>
    <n v="2"/>
    <s v="FIFA World Cup qualification"/>
    <s v="Nouakchott"/>
    <s v="Mauritania"/>
    <b v="0"/>
    <n v="2000"/>
    <n v="1779520886"/>
    <n v="21473528160"/>
    <x v="0"/>
    <n v="1"/>
    <x v="2"/>
  </r>
  <r>
    <x v="2093"/>
    <x v="1152"/>
    <x v="31"/>
    <s v="Central African Republic"/>
    <s v="Zimbabwe"/>
    <n v="0"/>
    <n v="1"/>
    <s v="FIFA World Cup qualification"/>
    <s v="Bangui"/>
    <s v="Central African Republic"/>
    <b v="0"/>
    <n v="2000"/>
    <n v="916777282"/>
    <n v="6693250000"/>
    <x v="0"/>
    <n v="1"/>
    <x v="2"/>
  </r>
  <r>
    <x v="2094"/>
    <x v="1152"/>
    <x v="31"/>
    <s v="Botswana"/>
    <s v="Zambia"/>
    <n v="0"/>
    <n v="1"/>
    <s v="FIFA World Cup qualification"/>
    <s v="Gaborone"/>
    <s v="Botswana"/>
    <b v="0"/>
    <n v="2000"/>
    <n v="5788329609"/>
    <n v="3600632111"/>
    <x v="1"/>
    <n v="-1"/>
    <x v="0"/>
  </r>
  <r>
    <x v="2095"/>
    <x v="1152"/>
    <x v="31"/>
    <s v="Guinea-Bissau"/>
    <s v="Togo"/>
    <n v="0"/>
    <n v="0"/>
    <s v="FIFA World Cup qualification"/>
    <s v="Bissau"/>
    <s v="Guinea-Bissau"/>
    <b v="0"/>
    <n v="2000"/>
    <n v="391345597"/>
    <n v="2106848752"/>
    <x v="0"/>
    <n v="0"/>
    <x v="1"/>
  </r>
  <r>
    <x v="2096"/>
    <x v="1152"/>
    <x v="31"/>
    <s v="Madagascar"/>
    <s v="Gabon"/>
    <n v="2"/>
    <n v="0"/>
    <s v="FIFA World Cup qualification"/>
    <s v="Antananarivo"/>
    <s v="Madagascar"/>
    <b v="0"/>
    <n v="2000"/>
    <n v="4629247203"/>
    <n v="5080483628"/>
    <x v="1"/>
    <n v="-1"/>
    <x v="0"/>
  </r>
  <r>
    <x v="2097"/>
    <x v="1152"/>
    <x v="31"/>
    <s v="Malawi"/>
    <s v="Kenya"/>
    <n v="2"/>
    <n v="0"/>
    <s v="FIFA World Cup qualification"/>
    <s v="Blantyre"/>
    <s v="Malawi"/>
    <b v="0"/>
    <n v="2000"/>
    <n v="2537307580"/>
    <n v="12705350097"/>
    <x v="0"/>
    <n v="-1"/>
    <x v="0"/>
  </r>
  <r>
    <x v="2098"/>
    <x v="1152"/>
    <x v="31"/>
    <s v="Seychelles"/>
    <s v="Namibia"/>
    <n v="1"/>
    <n v="1"/>
    <s v="FIFA World Cup qualification"/>
    <s v="Victoria"/>
    <s v="Seychelles"/>
    <b v="0"/>
    <n v="2000"/>
    <n v="654212394"/>
    <n v="3922232164"/>
    <x v="0"/>
    <n v="0"/>
    <x v="1"/>
  </r>
  <r>
    <x v="2099"/>
    <x v="1152"/>
    <x v="31"/>
    <s v="Tanzania"/>
    <s v="Ghana"/>
    <n v="0"/>
    <n v="1"/>
    <s v="FIFA World Cup qualification"/>
    <s v="Arusha"/>
    <s v="Tanzania"/>
    <b v="0"/>
    <n v="2000"/>
    <n v="13371767081"/>
    <n v="4982850662"/>
    <x v="0"/>
    <n v="-1"/>
    <x v="0"/>
  </r>
  <r>
    <x v="2100"/>
    <x v="1152"/>
    <x v="31"/>
    <s v="Uganda"/>
    <s v="Guinea"/>
    <n v="4"/>
    <n v="4"/>
    <s v="FIFA World Cup qualification"/>
    <s v="Kampala"/>
    <s v="Uganda"/>
    <b v="0"/>
    <n v="2000"/>
    <n v="6193246837"/>
    <n v="4367458866"/>
    <x v="1"/>
    <n v="0"/>
    <x v="1"/>
  </r>
  <r>
    <x v="2101"/>
    <x v="1153"/>
    <x v="31"/>
    <s v="Benin"/>
    <s v="Senegal"/>
    <n v="1"/>
    <n v="1"/>
    <s v="FIFA World Cup qualification"/>
    <s v="Cotonou"/>
    <s v="Benin"/>
    <b v="0"/>
    <n v="2000"/>
    <n v="3519991440"/>
    <n v="6013185003"/>
    <x v="1"/>
    <n v="0"/>
    <x v="1"/>
  </r>
  <r>
    <x v="2102"/>
    <x v="1153"/>
    <x v="31"/>
    <s v="Chad"/>
    <s v="Liberia"/>
    <n v="0"/>
    <n v="1"/>
    <s v="FIFA World Cup qualification"/>
    <s v="N'Djamena"/>
    <s v="Chad"/>
    <b v="0"/>
    <n v="2000"/>
    <n v="1388506771"/>
    <n v="874000000"/>
    <x v="1"/>
    <n v="-1"/>
    <x v="0"/>
  </r>
  <r>
    <x v="2103"/>
    <x v="1153"/>
    <x v="31"/>
    <s v="Eritrea"/>
    <s v="Nigeria"/>
    <n v="0"/>
    <n v="0"/>
    <s v="FIFA World Cup qualification"/>
    <s v="Asmara"/>
    <s v="Eritrea"/>
    <b v="0"/>
    <n v="2000"/>
    <n v="706370815"/>
    <n v="69171451627"/>
    <x v="0"/>
    <n v="0"/>
    <x v="1"/>
  </r>
  <r>
    <x v="2104"/>
    <x v="1153"/>
    <x v="31"/>
    <s v="Ethiopia"/>
    <s v="Burkina Faso"/>
    <n v="2"/>
    <n v="1"/>
    <s v="FIFA World Cup qualification"/>
    <s v="Addis Ababa"/>
    <s v="Ethiopia"/>
    <b v="0"/>
    <n v="2000"/>
    <n v="8242349617"/>
    <n v="2968370087"/>
    <x v="0"/>
    <n v="1"/>
    <x v="2"/>
  </r>
  <r>
    <x v="2105"/>
    <x v="1153"/>
    <x v="31"/>
    <s v="Lesotho"/>
    <s v="South Africa"/>
    <n v="0"/>
    <n v="2"/>
    <s v="FIFA World Cup qualification"/>
    <s v="Maseru"/>
    <s v="Lesotho"/>
    <b v="0"/>
    <n v="2000"/>
    <n v="887291687"/>
    <n v="151752757215"/>
    <x v="0"/>
    <n v="1"/>
    <x v="2"/>
  </r>
  <r>
    <x v="2106"/>
    <x v="1153"/>
    <x v="31"/>
    <s v="Libya"/>
    <s v="Mali"/>
    <n v="3"/>
    <n v="0"/>
    <s v="FIFA World Cup qualification"/>
    <s v="Tripoli"/>
    <s v="Libya"/>
    <b v="0"/>
    <n v="2000"/>
    <n v="38270954138"/>
    <n v="3521570875"/>
    <x v="0"/>
    <n v="1"/>
    <x v="2"/>
  </r>
  <r>
    <x v="2107"/>
    <x v="1153"/>
    <x v="31"/>
    <s v="Sudan"/>
    <s v="Mozambique"/>
    <n v="1"/>
    <n v="0"/>
    <s v="FIFA World Cup qualification"/>
    <s v="Omdurman"/>
    <s v="Sudan"/>
    <b v="0"/>
    <n v="2000"/>
    <n v="12257299147"/>
    <n v="5930685214"/>
    <x v="0"/>
    <n v="1"/>
    <x v="2"/>
  </r>
  <r>
    <x v="2108"/>
    <x v="1153"/>
    <x v="31"/>
    <s v="Eswatini"/>
    <s v="Angola"/>
    <n v="0"/>
    <n v="1"/>
    <s v="FIFA World Cup qualification"/>
    <s v="Lobamba"/>
    <s v="Swaziland"/>
    <b v="0"/>
    <n v="2000"/>
    <n v="1697161557"/>
    <n v="9129594970"/>
    <x v="0"/>
    <n v="1"/>
    <x v="2"/>
  </r>
  <r>
    <x v="2109"/>
    <x v="1153"/>
    <x v="31"/>
    <s v="Egypt"/>
    <s v="Mauritius"/>
    <n v="2"/>
    <n v="0"/>
    <s v="FIFA World Cup qualification"/>
    <s v="Cairo"/>
    <s v="Egypt"/>
    <b v="0"/>
    <n v="2000"/>
    <n v="99838543960"/>
    <n v="4726108622"/>
    <x v="0"/>
    <n v="1"/>
    <x v="2"/>
  </r>
  <r>
    <x v="2110"/>
    <x v="1154"/>
    <x v="31"/>
    <s v="Antigua and Barbuda"/>
    <s v="Bermuda"/>
    <n v="0"/>
    <n v="0"/>
    <s v="FIFA World Cup qualification"/>
    <s v="St. John's"/>
    <s v="Antigua and Barbuda"/>
    <b v="0"/>
    <n v="2000"/>
    <n v="901003703"/>
    <n v="3480219000"/>
    <x v="0"/>
    <n v="0"/>
    <x v="1"/>
  </r>
  <r>
    <x v="2111"/>
    <x v="1154"/>
    <x v="31"/>
    <s v="Barbados"/>
    <s v="Aruba"/>
    <n v="4"/>
    <n v="0"/>
    <s v="FIFA World Cup qualification"/>
    <s v="Bridgetown"/>
    <s v="Barbados"/>
    <b v="0"/>
    <n v="2000"/>
    <n v="3059500000"/>
    <n v="1873452513"/>
    <x v="1"/>
    <n v="1"/>
    <x v="2"/>
  </r>
  <r>
    <x v="2112"/>
    <x v="1154"/>
    <x v="31"/>
    <s v="Belize"/>
    <s v="El Salvador"/>
    <n v="1"/>
    <n v="3"/>
    <s v="FIFA World Cup qualification"/>
    <s v="Orange Walk"/>
    <s v="Belize"/>
    <b v="0"/>
    <n v="2000"/>
    <n v="1138138100"/>
    <n v="11784927700"/>
    <x v="0"/>
    <n v="1"/>
    <x v="2"/>
  </r>
  <r>
    <x v="2113"/>
    <x v="1154"/>
    <x v="31"/>
    <s v="Dominican Republic"/>
    <s v="Trinidad and Tobago"/>
    <n v="0"/>
    <n v="1"/>
    <s v="FIFA World Cup qualification"/>
    <s v="San Crist√≥bal"/>
    <s v="Dominican Republic"/>
    <b v="0"/>
    <n v="2000"/>
    <n v="24305780628"/>
    <n v="8154342116"/>
    <x v="0"/>
    <n v="-1"/>
    <x v="0"/>
  </r>
  <r>
    <x v="2114"/>
    <x v="1154"/>
    <x v="31"/>
    <s v="Nicaragua"/>
    <s v="Honduras"/>
    <n v="0"/>
    <n v="1"/>
    <s v="FIFA World Cup qualification"/>
    <s v="Diriamba"/>
    <s v="Nicaragua"/>
    <b v="0"/>
    <n v="2000"/>
    <n v="5109587049"/>
    <n v="7186638029"/>
    <x v="1"/>
    <n v="1"/>
    <x v="2"/>
  </r>
  <r>
    <x v="2115"/>
    <x v="1154"/>
    <x v="31"/>
    <s v="Suriname"/>
    <s v="Cuba"/>
    <n v="0"/>
    <n v="0"/>
    <s v="FIFA World Cup qualification"/>
    <s v="Paramaribo"/>
    <s v="Suriname"/>
    <b v="0"/>
    <n v="2000"/>
    <n v="947671969"/>
    <n v="30565400000"/>
    <x v="0"/>
    <n v="0"/>
    <x v="1"/>
  </r>
  <r>
    <x v="2116"/>
    <x v="1155"/>
    <x v="31"/>
    <s v="Gabon"/>
    <s v="Madagascar"/>
    <n v="1"/>
    <n v="0"/>
    <s v="FIFA World Cup qualification"/>
    <s v="Libreville"/>
    <s v="Gabon"/>
    <b v="0"/>
    <n v="2000"/>
    <n v="5080483628"/>
    <n v="4629247203"/>
    <x v="1"/>
    <n v="1"/>
    <x v="2"/>
  </r>
  <r>
    <x v="2117"/>
    <x v="1155"/>
    <x v="31"/>
    <s v="Kenya"/>
    <s v="Malawi"/>
    <n v="0"/>
    <n v="0"/>
    <s v="FIFA World Cup qualification"/>
    <s v="Nairobi"/>
    <s v="Kenya"/>
    <b v="0"/>
    <n v="2000"/>
    <n v="12705350097"/>
    <n v="2537307580"/>
    <x v="0"/>
    <n v="0"/>
    <x v="1"/>
  </r>
  <r>
    <x v="2118"/>
    <x v="1155"/>
    <x v="31"/>
    <s v="Namibia"/>
    <s v="Seychelles"/>
    <n v="3"/>
    <n v="0"/>
    <s v="FIFA World Cup qualification"/>
    <s v="Windhoek"/>
    <s v="Namibia"/>
    <b v="0"/>
    <n v="2000"/>
    <n v="3922232164"/>
    <n v="654212394"/>
    <x v="0"/>
    <n v="1"/>
    <x v="2"/>
  </r>
  <r>
    <x v="2119"/>
    <x v="1155"/>
    <x v="31"/>
    <s v="Nigeria"/>
    <s v="Eritrea"/>
    <n v="4"/>
    <n v="0"/>
    <s v="FIFA World Cup qualification"/>
    <s v="Lagos"/>
    <s v="Nigeria"/>
    <b v="0"/>
    <n v="2000"/>
    <n v="69171451627"/>
    <n v="706370815"/>
    <x v="0"/>
    <n v="1"/>
    <x v="2"/>
  </r>
  <r>
    <x v="2120"/>
    <x v="1155"/>
    <x v="31"/>
    <s v="South Africa"/>
    <s v="Lesotho"/>
    <n v="1"/>
    <n v="0"/>
    <s v="FIFA World Cup qualification"/>
    <s v="Bloemfontein"/>
    <s v="South Africa"/>
    <b v="0"/>
    <n v="2000"/>
    <n v="151752757215"/>
    <n v="887291687"/>
    <x v="0"/>
    <n v="1"/>
    <x v="2"/>
  </r>
  <r>
    <x v="2121"/>
    <x v="1155"/>
    <x v="31"/>
    <s v="Tunisia"/>
    <s v="Mauritania"/>
    <n v="3"/>
    <n v="0"/>
    <s v="FIFA World Cup qualification"/>
    <s v="Tunis"/>
    <s v="Tunisia"/>
    <b v="0"/>
    <n v="2000"/>
    <n v="21473528160"/>
    <n v="1779520886"/>
    <x v="0"/>
    <n v="1"/>
    <x v="2"/>
  </r>
  <r>
    <x v="2122"/>
    <x v="1155"/>
    <x v="31"/>
    <s v="Zambia"/>
    <s v="Botswana"/>
    <n v="1"/>
    <n v="0"/>
    <s v="FIFA World Cup qualification"/>
    <s v="Lusaka"/>
    <s v="Zambia"/>
    <b v="0"/>
    <n v="2000"/>
    <n v="3600632111"/>
    <n v="5788329609"/>
    <x v="1"/>
    <n v="-1"/>
    <x v="0"/>
  </r>
  <r>
    <x v="2123"/>
    <x v="1156"/>
    <x v="31"/>
    <s v="Angola"/>
    <s v="Eswatini"/>
    <n v="7"/>
    <n v="1"/>
    <s v="FIFA World Cup qualification"/>
    <s v="Luanda"/>
    <s v="Angola"/>
    <b v="0"/>
    <n v="2000"/>
    <n v="9129594970"/>
    <n v="1697161557"/>
    <x v="0"/>
    <n v="1"/>
    <x v="2"/>
  </r>
  <r>
    <x v="2124"/>
    <x v="1156"/>
    <x v="31"/>
    <s v="Bermuda"/>
    <s v="Antigua and Barbuda"/>
    <n v="1"/>
    <n v="1"/>
    <s v="FIFA World Cup qualification"/>
    <s v="Hamilton"/>
    <s v="Bermuda"/>
    <b v="0"/>
    <n v="2000"/>
    <n v="3480219000"/>
    <n v="901003703"/>
    <x v="0"/>
    <n v="0"/>
    <x v="1"/>
  </r>
  <r>
    <x v="2125"/>
    <x v="1156"/>
    <x v="31"/>
    <s v="Burkina Faso"/>
    <s v="Ethiopia"/>
    <n v="3"/>
    <n v="0"/>
    <s v="FIFA World Cup qualification"/>
    <s v="Ouagadougou"/>
    <s v="Burkina Faso"/>
    <b v="0"/>
    <n v="2000"/>
    <n v="2968370087"/>
    <n v="8242349617"/>
    <x v="0"/>
    <n v="-1"/>
    <x v="0"/>
  </r>
  <r>
    <x v="2126"/>
    <x v="1156"/>
    <x v="31"/>
    <s v="Egypt"/>
    <s v="Mauritius"/>
    <n v="4"/>
    <n v="2"/>
    <s v="FIFA World Cup qualification"/>
    <s v="Alexandria"/>
    <s v="Egypt"/>
    <b v="0"/>
    <n v="2000"/>
    <n v="99838543960"/>
    <n v="4726108622"/>
    <x v="0"/>
    <n v="1"/>
    <x v="2"/>
  </r>
  <r>
    <x v="2127"/>
    <x v="1156"/>
    <x v="31"/>
    <s v="Ghana"/>
    <s v="Tanzania"/>
    <n v="3"/>
    <n v="2"/>
    <s v="FIFA World Cup qualification"/>
    <s v="Accra"/>
    <s v="Ghana"/>
    <b v="0"/>
    <n v="2000"/>
    <n v="4982850662"/>
    <n v="13371767081"/>
    <x v="0"/>
    <n v="-1"/>
    <x v="0"/>
  </r>
  <r>
    <x v="2128"/>
    <x v="1156"/>
    <x v="31"/>
    <s v="Guinea"/>
    <s v="Uganda"/>
    <n v="3"/>
    <n v="0"/>
    <s v="FIFA World Cup qualification"/>
    <s v="Conakry"/>
    <s v="Guinea"/>
    <b v="0"/>
    <n v="2000"/>
    <n v="4367458866"/>
    <n v="6193246837"/>
    <x v="1"/>
    <n v="-1"/>
    <x v="0"/>
  </r>
  <r>
    <x v="2129"/>
    <x v="1156"/>
    <x v="31"/>
    <s v="Liberia"/>
    <s v="Chad"/>
    <n v="0"/>
    <n v="0"/>
    <s v="FIFA World Cup qualification"/>
    <s v="Paynesville"/>
    <s v="Liberia"/>
    <b v="0"/>
    <n v="2000"/>
    <n v="874000000"/>
    <n v="1388506771"/>
    <x v="1"/>
    <n v="0"/>
    <x v="1"/>
  </r>
  <r>
    <x v="2130"/>
    <x v="1156"/>
    <x v="31"/>
    <s v="Mali"/>
    <s v="Libya"/>
    <n v="3"/>
    <n v="1"/>
    <s v="FIFA World Cup qualification"/>
    <s v="Bamako"/>
    <s v="Mali"/>
    <b v="0"/>
    <n v="2000"/>
    <n v="3521570875"/>
    <n v="38270954138"/>
    <x v="0"/>
    <n v="-1"/>
    <x v="0"/>
  </r>
  <r>
    <x v="2131"/>
    <x v="1156"/>
    <x v="31"/>
    <s v="Mozambique"/>
    <s v="Sudan"/>
    <n v="2"/>
    <n v="1"/>
    <s v="FIFA World Cup qualification"/>
    <s v="Maputo"/>
    <s v="Mozambique"/>
    <b v="0"/>
    <n v="2000"/>
    <n v="5930685214"/>
    <n v="12257299147"/>
    <x v="0"/>
    <n v="-1"/>
    <x v="0"/>
  </r>
  <r>
    <x v="2132"/>
    <x v="1156"/>
    <x v="31"/>
    <s v="Senegal"/>
    <s v="Benin"/>
    <n v="1"/>
    <n v="0"/>
    <s v="FIFA World Cup qualification"/>
    <s v="Dakar"/>
    <s v="Senegal"/>
    <b v="0"/>
    <n v="2000"/>
    <n v="6013185003"/>
    <n v="3519991440"/>
    <x v="1"/>
    <n v="1"/>
    <x v="2"/>
  </r>
  <r>
    <x v="2133"/>
    <x v="1156"/>
    <x v="31"/>
    <s v="Togo"/>
    <s v="Guinea-Bissau"/>
    <n v="3"/>
    <n v="0"/>
    <s v="FIFA World Cup qualification"/>
    <s v="Lom√©"/>
    <s v="Togo"/>
    <b v="0"/>
    <n v="2000"/>
    <n v="2106848752"/>
    <n v="391345597"/>
    <x v="0"/>
    <n v="1"/>
    <x v="2"/>
  </r>
  <r>
    <x v="2134"/>
    <x v="1156"/>
    <x v="31"/>
    <s v="Zimbabwe"/>
    <s v="Central African Republic"/>
    <n v="3"/>
    <n v="1"/>
    <s v="FIFA World Cup qualification"/>
    <s v="Harare"/>
    <s v="Zimbabwe"/>
    <b v="0"/>
    <n v="2000"/>
    <n v="6693250000"/>
    <n v="916777282"/>
    <x v="0"/>
    <n v="1"/>
    <x v="2"/>
  </r>
  <r>
    <x v="2135"/>
    <x v="1157"/>
    <x v="31"/>
    <s v="Bolivia"/>
    <s v="Colombia"/>
    <n v="1"/>
    <n v="1"/>
    <s v="FIFA World Cup qualification"/>
    <s v="La Paz"/>
    <s v="Bolivia"/>
    <b v="0"/>
    <n v="2000"/>
    <n v="8397855484"/>
    <n v="99875074951"/>
    <x v="0"/>
    <n v="0"/>
    <x v="1"/>
  </r>
  <r>
    <x v="2136"/>
    <x v="1157"/>
    <x v="31"/>
    <s v="Brazil"/>
    <s v="Ecuador"/>
    <n v="3"/>
    <n v="2"/>
    <s v="FIFA World Cup qualification"/>
    <s v="S√£o Paulo"/>
    <s v="Brazil"/>
    <b v="0"/>
    <n v="2000"/>
    <n v="655448188259"/>
    <n v="17539454727"/>
    <x v="0"/>
    <n v="1"/>
    <x v="2"/>
  </r>
  <r>
    <x v="2137"/>
    <x v="1157"/>
    <x v="31"/>
    <s v="Chile"/>
    <s v="Peru"/>
    <n v="1"/>
    <n v="1"/>
    <s v="FIFA World Cup qualification"/>
    <s v="Santiago"/>
    <s v="Chile"/>
    <b v="0"/>
    <n v="2000"/>
    <n v="78339750721"/>
    <n v="51744749133"/>
    <x v="1"/>
    <n v="0"/>
    <x v="1"/>
  </r>
  <r>
    <x v="2138"/>
    <x v="1157"/>
    <x v="31"/>
    <s v="Paraguay"/>
    <s v="Uruguay"/>
    <n v="1"/>
    <n v="0"/>
    <s v="FIFA World Cup qualification"/>
    <s v="Asunci√≥n"/>
    <s v="Paraguay"/>
    <b v="0"/>
    <n v="2000"/>
    <n v="8855705139"/>
    <n v="22823270892"/>
    <x v="0"/>
    <n v="-1"/>
    <x v="0"/>
  </r>
  <r>
    <x v="2139"/>
    <x v="1157"/>
    <x v="31"/>
    <s v="Venezuela"/>
    <s v="Argentina"/>
    <n v="0"/>
    <n v="4"/>
    <s v="FIFA World Cup qualification"/>
    <s v="Maracaibo"/>
    <s v="Venezuela"/>
    <b v="0"/>
    <n v="2000"/>
    <n v="117146466002"/>
    <n v="284203750000"/>
    <x v="0"/>
    <n v="1"/>
    <x v="2"/>
  </r>
  <r>
    <x v="2140"/>
    <x v="1158"/>
    <x v="31"/>
    <s v="Cuba"/>
    <s v="Barbados"/>
    <n v="1"/>
    <n v="1"/>
    <s v="FIFA World Cup qualification"/>
    <s v="Havana"/>
    <s v="Cuba"/>
    <b v="0"/>
    <n v="2000"/>
    <n v="30565400000"/>
    <n v="3059500000"/>
    <x v="0"/>
    <n v="0"/>
    <x v="1"/>
  </r>
  <r>
    <x v="2141"/>
    <x v="1158"/>
    <x v="31"/>
    <s v="El Salvador"/>
    <s v="Guatemala"/>
    <n v="1"/>
    <n v="1"/>
    <s v="FIFA World Cup qualification"/>
    <s v="San Salvador"/>
    <s v="El Salvador"/>
    <b v="0"/>
    <n v="2000"/>
    <n v="11784927700"/>
    <n v="19288929030"/>
    <x v="1"/>
    <n v="0"/>
    <x v="1"/>
  </r>
  <r>
    <x v="2142"/>
    <x v="1158"/>
    <x v="31"/>
    <s v="Honduras"/>
    <s v="Panama"/>
    <n v="3"/>
    <n v="1"/>
    <s v="FIFA World Cup qualification"/>
    <s v="Tegucigalpa"/>
    <s v="Honduras"/>
    <b v="0"/>
    <n v="2000"/>
    <n v="7186638029"/>
    <n v="11966497048"/>
    <x v="1"/>
    <n v="-1"/>
    <x v="0"/>
  </r>
  <r>
    <x v="2143"/>
    <x v="1158"/>
    <x v="31"/>
    <s v="Trinidad and Tobago"/>
    <s v="Haiti"/>
    <n v="3"/>
    <n v="1"/>
    <s v="FIFA World Cup qualification"/>
    <s v="Port of Spain"/>
    <s v="Trinidad and Tobago"/>
    <b v="0"/>
    <n v="2000"/>
    <n v="8154342116"/>
    <n v="6813566098"/>
    <x v="1"/>
    <n v="1"/>
    <x v="2"/>
  </r>
  <r>
    <x v="2144"/>
    <x v="1159"/>
    <x v="31"/>
    <s v="Guatemala"/>
    <s v="Belize"/>
    <n v="0"/>
    <n v="0"/>
    <s v="FIFA World Cup qualification"/>
    <s v="San Pedro Sula"/>
    <s v="Honduras"/>
    <b v="1"/>
    <n v="2000"/>
    <n v="19288929030"/>
    <n v="1138138100"/>
    <x v="0"/>
    <n v="0"/>
    <x v="1"/>
  </r>
  <r>
    <x v="2145"/>
    <x v="1159"/>
    <x v="31"/>
    <s v="Haiti"/>
    <s v="Trinidad and Tobago"/>
    <n v="1"/>
    <n v="1"/>
    <s v="FIFA World Cup qualification"/>
    <s v="Port-au-Prince"/>
    <s v="Haiti"/>
    <b v="0"/>
    <n v="2000"/>
    <n v="6813566098"/>
    <n v="8154342116"/>
    <x v="1"/>
    <n v="0"/>
    <x v="1"/>
  </r>
  <r>
    <x v="2146"/>
    <x v="1160"/>
    <x v="31"/>
    <s v="Barbados"/>
    <s v="Cuba"/>
    <n v="1"/>
    <n v="1"/>
    <s v="FIFA World Cup qualification"/>
    <s v="Bridgetown"/>
    <s v="Barbados"/>
    <b v="0"/>
    <n v="2000"/>
    <n v="3059500000"/>
    <n v="30565400000"/>
    <x v="0"/>
    <n v="0"/>
    <x v="1"/>
  </r>
  <r>
    <x v="2147"/>
    <x v="1160"/>
    <x v="31"/>
    <s v="Panama"/>
    <s v="Nicaragua"/>
    <n v="4"/>
    <n v="0"/>
    <s v="FIFA World Cup qualification"/>
    <s v="Panama City"/>
    <s v="Panama"/>
    <b v="0"/>
    <n v="2000"/>
    <n v="11966497048"/>
    <n v="5109587049"/>
    <x v="0"/>
    <n v="1"/>
    <x v="2"/>
  </r>
  <r>
    <x v="2148"/>
    <x v="1161"/>
    <x v="31"/>
    <s v="Honduras"/>
    <s v="Haiti"/>
    <n v="4"/>
    <n v="0"/>
    <s v="FIFA World Cup qualification"/>
    <s v="San Pedro Sula"/>
    <s v="Honduras"/>
    <b v="0"/>
    <n v="2000"/>
    <n v="7186638029"/>
    <n v="6813566098"/>
    <x v="1"/>
    <n v="1"/>
    <x v="2"/>
  </r>
  <r>
    <x v="2149"/>
    <x v="1161"/>
    <x v="31"/>
    <s v="Paraguay"/>
    <s v="Ecuador"/>
    <n v="3"/>
    <n v="1"/>
    <s v="FIFA World Cup qualification"/>
    <s v="Asunci√≥n"/>
    <s v="Paraguay"/>
    <b v="0"/>
    <n v="2000"/>
    <n v="8855705139"/>
    <n v="17539454727"/>
    <x v="1"/>
    <n v="-1"/>
    <x v="0"/>
  </r>
  <r>
    <x v="2150"/>
    <x v="1161"/>
    <x v="31"/>
    <s v="Uruguay"/>
    <s v="Chile"/>
    <n v="2"/>
    <n v="1"/>
    <s v="FIFA World Cup qualification"/>
    <s v="Montevideo"/>
    <s v="Uruguay"/>
    <b v="0"/>
    <n v="2000"/>
    <n v="22823270892"/>
    <n v="78339750721"/>
    <x v="0"/>
    <n v="-1"/>
    <x v="0"/>
  </r>
  <r>
    <x v="2151"/>
    <x v="1162"/>
    <x v="31"/>
    <s v="Argentina"/>
    <s v="Bolivia"/>
    <n v="1"/>
    <n v="0"/>
    <s v="FIFA World Cup qualification"/>
    <s v="Buenos Aires"/>
    <s v="Argentina"/>
    <b v="0"/>
    <n v="2000"/>
    <n v="284203750000"/>
    <n v="8397855484"/>
    <x v="0"/>
    <n v="1"/>
    <x v="2"/>
  </r>
  <r>
    <x v="2152"/>
    <x v="1162"/>
    <x v="31"/>
    <s v="Colombia"/>
    <s v="Venezuela"/>
    <n v="3"/>
    <n v="0"/>
    <s v="FIFA World Cup qualification"/>
    <s v="Bogot√°"/>
    <s v="Colombia"/>
    <b v="0"/>
    <n v="2000"/>
    <n v="99875074951"/>
    <n v="117146466002"/>
    <x v="1"/>
    <n v="-1"/>
    <x v="0"/>
  </r>
  <r>
    <x v="2153"/>
    <x v="1162"/>
    <x v="31"/>
    <s v="Cuba"/>
    <s v="Canada"/>
    <n v="0"/>
    <n v="1"/>
    <s v="FIFA World Cup qualification"/>
    <s v="Havana"/>
    <s v="Cuba"/>
    <b v="0"/>
    <n v="2000"/>
    <n v="30565400000"/>
    <n v="744773415931"/>
    <x v="0"/>
    <n v="1"/>
    <x v="2"/>
  </r>
  <r>
    <x v="2154"/>
    <x v="1162"/>
    <x v="31"/>
    <s v="Peru"/>
    <s v="Brazil"/>
    <n v="0"/>
    <n v="1"/>
    <s v="FIFA World Cup qualification"/>
    <s v="Lima"/>
    <s v="Peru"/>
    <b v="0"/>
    <n v="2000"/>
    <n v="51744749133"/>
    <n v="655448188259"/>
    <x v="0"/>
    <n v="1"/>
    <x v="2"/>
  </r>
  <r>
    <x v="2155"/>
    <x v="1163"/>
    <x v="31"/>
    <s v="Antigua and Barbuda"/>
    <s v="Guatemala"/>
    <n v="0"/>
    <n v="1"/>
    <s v="FIFA World Cup qualification"/>
    <s v="St. John's"/>
    <s v="Antigua and Barbuda"/>
    <b v="0"/>
    <n v="2000"/>
    <n v="901003703"/>
    <n v="19288929030"/>
    <x v="0"/>
    <n v="1"/>
    <x v="2"/>
  </r>
  <r>
    <x v="2156"/>
    <x v="1163"/>
    <x v="31"/>
    <s v="Canada"/>
    <s v="Cuba"/>
    <n v="0"/>
    <n v="0"/>
    <s v="FIFA World Cup qualification"/>
    <s v="Winnipeg"/>
    <s v="Canada"/>
    <b v="0"/>
    <n v="2000"/>
    <n v="744773415931"/>
    <n v="30565400000"/>
    <x v="0"/>
    <n v="0"/>
    <x v="1"/>
  </r>
  <r>
    <x v="2157"/>
    <x v="1164"/>
    <x v="31"/>
    <s v="Algeria"/>
    <s v="Senegal"/>
    <n v="1"/>
    <n v="1"/>
    <s v="FIFA World Cup qualification"/>
    <s v="Annaba"/>
    <s v="Algeria"/>
    <b v="0"/>
    <n v="2000"/>
    <n v="54790398570"/>
    <n v="6013185003"/>
    <x v="0"/>
    <n v="0"/>
    <x v="1"/>
  </r>
  <r>
    <x v="2158"/>
    <x v="1165"/>
    <x v="31"/>
    <s v="Haiti"/>
    <s v="Honduras"/>
    <n v="1"/>
    <n v="3"/>
    <s v="FIFA World Cup qualification"/>
    <s v="Port-au-Prince"/>
    <s v="Haiti"/>
    <b v="0"/>
    <n v="2000"/>
    <n v="6813566098"/>
    <n v="7186638029"/>
    <x v="1"/>
    <n v="1"/>
    <x v="2"/>
  </r>
  <r>
    <x v="2159"/>
    <x v="1165"/>
    <x v="31"/>
    <s v="Malawi"/>
    <s v="Burkina Faso"/>
    <n v="1"/>
    <n v="1"/>
    <s v="FIFA World Cup qualification"/>
    <s v="Blantyre"/>
    <s v="Malawi"/>
    <b v="0"/>
    <n v="2000"/>
    <n v="2537307580"/>
    <n v="2968370087"/>
    <x v="1"/>
    <n v="0"/>
    <x v="1"/>
  </r>
  <r>
    <x v="2160"/>
    <x v="1165"/>
    <x v="31"/>
    <s v="Namibia"/>
    <s v="Morocco"/>
    <n v="0"/>
    <n v="0"/>
    <s v="FIFA World Cup qualification"/>
    <s v="Windhoek"/>
    <s v="Namibia"/>
    <b v="0"/>
    <n v="2000"/>
    <n v="3922232164"/>
    <n v="43017455401"/>
    <x v="0"/>
    <n v="0"/>
    <x v="1"/>
  </r>
  <r>
    <x v="2161"/>
    <x v="1165"/>
    <x v="31"/>
    <s v="Nigeria"/>
    <s v="Sierra Leone"/>
    <n v="2"/>
    <n v="0"/>
    <s v="FIFA World Cup qualification"/>
    <s v="Lagos"/>
    <s v="Nigeria"/>
    <b v="0"/>
    <n v="2000"/>
    <n v="69171451627"/>
    <n v="635866403"/>
    <x v="0"/>
    <n v="1"/>
    <x v="2"/>
  </r>
  <r>
    <x v="2162"/>
    <x v="1166"/>
    <x v="31"/>
    <s v="Angola"/>
    <s v="Zambia"/>
    <n v="2"/>
    <n v="1"/>
    <s v="FIFA World Cup qualification"/>
    <s v="Luanda"/>
    <s v="Angola"/>
    <b v="0"/>
    <n v="2000"/>
    <n v="9129594970"/>
    <n v="3600632111"/>
    <x v="0"/>
    <n v="1"/>
    <x v="2"/>
  </r>
  <r>
    <x v="2163"/>
    <x v="1166"/>
    <x v="31"/>
    <s v="Guatemala"/>
    <s v="Antigua and Barbuda"/>
    <n v="8"/>
    <n v="1"/>
    <s v="FIFA World Cup qualification"/>
    <s v="Guatemala City"/>
    <s v="Guatemala"/>
    <b v="0"/>
    <n v="2000"/>
    <n v="19288929030"/>
    <n v="901003703"/>
    <x v="0"/>
    <n v="1"/>
    <x v="2"/>
  </r>
  <r>
    <x v="2164"/>
    <x v="1166"/>
    <x v="31"/>
    <s v="Libya"/>
    <s v="Cameroon"/>
    <n v="0"/>
    <n v="3"/>
    <s v="FIFA World Cup qualification"/>
    <s v="Tripoli"/>
    <s v="Libya"/>
    <b v="0"/>
    <n v="2000"/>
    <n v="38270954138"/>
    <n v="10566579294"/>
    <x v="0"/>
    <n v="-1"/>
    <x v="0"/>
  </r>
  <r>
    <x v="2165"/>
    <x v="1166"/>
    <x v="31"/>
    <s v="Sudan"/>
    <s v="Liberia"/>
    <n v="2"/>
    <n v="0"/>
    <s v="FIFA World Cup qualification"/>
    <s v="Omdurman"/>
    <s v="Sudan"/>
    <b v="0"/>
    <n v="2000"/>
    <n v="12257299147"/>
    <n v="874000000"/>
    <x v="0"/>
    <n v="1"/>
    <x v="2"/>
  </r>
  <r>
    <x v="2166"/>
    <x v="1167"/>
    <x v="31"/>
    <s v="Brazil"/>
    <s v="Uruguay"/>
    <n v="1"/>
    <n v="1"/>
    <s v="FIFA World Cup qualification"/>
    <s v="Rio de Janeiro"/>
    <s v="Brazil"/>
    <b v="0"/>
    <n v="2000"/>
    <n v="655448188259"/>
    <n v="22823270892"/>
    <x v="0"/>
    <n v="0"/>
    <x v="1"/>
  </r>
  <r>
    <x v="2167"/>
    <x v="1167"/>
    <x v="31"/>
    <s v="Venezuela"/>
    <s v="Bolivia"/>
    <n v="4"/>
    <n v="2"/>
    <s v="FIFA World Cup qualification"/>
    <s v="San Crist√≥bal"/>
    <s v="Venezuela"/>
    <b v="0"/>
    <n v="2000"/>
    <n v="117146466002"/>
    <n v="8397855484"/>
    <x v="0"/>
    <n v="1"/>
    <x v="2"/>
  </r>
  <r>
    <x v="2168"/>
    <x v="1168"/>
    <x v="31"/>
    <s v="Chile"/>
    <s v="Paraguay"/>
    <n v="3"/>
    <n v="1"/>
    <s v="FIFA World Cup qualification"/>
    <s v="Santiago"/>
    <s v="Chile"/>
    <b v="0"/>
    <n v="2000"/>
    <n v="78339750721"/>
    <n v="8855705139"/>
    <x v="0"/>
    <n v="1"/>
    <x v="2"/>
  </r>
  <r>
    <x v="2169"/>
    <x v="1168"/>
    <x v="31"/>
    <s v="Colombia"/>
    <s v="Argentina"/>
    <n v="1"/>
    <n v="3"/>
    <s v="FIFA World Cup qualification"/>
    <s v="Bogot√°"/>
    <s v="Colombia"/>
    <b v="0"/>
    <n v="2000"/>
    <n v="99875074951"/>
    <n v="284203750000"/>
    <x v="0"/>
    <n v="1"/>
    <x v="2"/>
  </r>
  <r>
    <x v="2170"/>
    <x v="1168"/>
    <x v="31"/>
    <s v="Ecuador"/>
    <s v="Peru"/>
    <n v="2"/>
    <n v="1"/>
    <s v="FIFA World Cup qualification"/>
    <s v="Quito"/>
    <s v="Ecuador"/>
    <b v="0"/>
    <n v="2000"/>
    <n v="17539454727"/>
    <n v="51744749133"/>
    <x v="0"/>
    <n v="-1"/>
    <x v="0"/>
  </r>
  <r>
    <x v="2171"/>
    <x v="1169"/>
    <x v="31"/>
    <s v="Tunisia"/>
    <s v="Madagascar"/>
    <n v="1"/>
    <n v="0"/>
    <s v="FIFA World Cup qualification"/>
    <s v="Tunis"/>
    <s v="Tunisia"/>
    <b v="0"/>
    <n v="2000"/>
    <n v="21473528160"/>
    <n v="4629247203"/>
    <x v="0"/>
    <n v="1"/>
    <x v="2"/>
  </r>
  <r>
    <x v="2172"/>
    <x v="1169"/>
    <x v="31"/>
    <s v="Zambia"/>
    <s v="Togo"/>
    <n v="2"/>
    <n v="0"/>
    <s v="FIFA World Cup qualification"/>
    <s v="Lusaka"/>
    <s v="Zambia"/>
    <b v="0"/>
    <n v="2000"/>
    <n v="3600632111"/>
    <n v="2106848752"/>
    <x v="1"/>
    <n v="1"/>
    <x v="2"/>
  </r>
  <r>
    <x v="2173"/>
    <x v="1170"/>
    <x v="31"/>
    <s v="Cameroon"/>
    <s v="Angola"/>
    <n v="3"/>
    <n v="0"/>
    <s v="FIFA World Cup qualification"/>
    <s v="Yaound√©"/>
    <s v="Cameroon"/>
    <b v="0"/>
    <n v="2000"/>
    <n v="10566579294"/>
    <n v="9129594970"/>
    <x v="1"/>
    <n v="1"/>
    <x v="2"/>
  </r>
  <r>
    <x v="2174"/>
    <x v="1170"/>
    <x v="31"/>
    <s v="Ghana"/>
    <s v="Sierra Leone"/>
    <n v="5"/>
    <n v="0"/>
    <s v="FIFA World Cup qualification"/>
    <s v="Accra"/>
    <s v="Ghana"/>
    <b v="0"/>
    <n v="2000"/>
    <n v="4982850662"/>
    <n v="635866403"/>
    <x v="0"/>
    <n v="1"/>
    <x v="2"/>
  </r>
  <r>
    <x v="2175"/>
    <x v="1170"/>
    <x v="31"/>
    <s v="Liberia"/>
    <s v="Nigeria"/>
    <n v="2"/>
    <n v="1"/>
    <s v="FIFA World Cup qualification"/>
    <s v="Paynesville"/>
    <s v="Liberia"/>
    <b v="0"/>
    <n v="2000"/>
    <n v="874000000"/>
    <n v="69171451627"/>
    <x v="0"/>
    <n v="-1"/>
    <x v="0"/>
  </r>
  <r>
    <x v="2176"/>
    <x v="1170"/>
    <x v="31"/>
    <s v="Morocco"/>
    <s v="Algeria"/>
    <n v="2"/>
    <n v="1"/>
    <s v="FIFA World Cup qualification"/>
    <s v="Fez"/>
    <s v="Morocco"/>
    <b v="0"/>
    <n v="2000"/>
    <n v="43017455401"/>
    <n v="54790398570"/>
    <x v="1"/>
    <n v="-1"/>
    <x v="0"/>
  </r>
  <r>
    <x v="2177"/>
    <x v="1170"/>
    <x v="31"/>
    <s v="Senegal"/>
    <s v="Egypt"/>
    <n v="0"/>
    <n v="0"/>
    <s v="FIFA World Cup qualification"/>
    <s v="Dakar"/>
    <s v="Senegal"/>
    <b v="0"/>
    <n v="2000"/>
    <n v="6013185003"/>
    <n v="99838543960"/>
    <x v="0"/>
    <n v="0"/>
    <x v="1"/>
  </r>
  <r>
    <x v="2178"/>
    <x v="1170"/>
    <x v="31"/>
    <s v="Zimbabwe"/>
    <s v="South Africa"/>
    <n v="0"/>
    <n v="2"/>
    <s v="FIFA World Cup qualification"/>
    <s v="Harare"/>
    <s v="Zimbabwe"/>
    <b v="0"/>
    <n v="2000"/>
    <n v="6693250000"/>
    <n v="151752757215"/>
    <x v="0"/>
    <n v="1"/>
    <x v="2"/>
  </r>
  <r>
    <x v="2179"/>
    <x v="1171"/>
    <x v="31"/>
    <s v="Barbados"/>
    <s v="Costa Rica"/>
    <n v="2"/>
    <n v="1"/>
    <s v="FIFA World Cup qualification"/>
    <s v="Bridgetown"/>
    <s v="Barbados"/>
    <b v="0"/>
    <n v="2000"/>
    <n v="3059500000"/>
    <n v="15013629661"/>
    <x v="0"/>
    <n v="-1"/>
    <x v="0"/>
  </r>
  <r>
    <x v="2180"/>
    <x v="1171"/>
    <x v="31"/>
    <s v="Canada"/>
    <s v="Trinidad and Tobago"/>
    <n v="0"/>
    <n v="2"/>
    <s v="FIFA World Cup qualification"/>
    <s v="Edmonton"/>
    <s v="Canada"/>
    <b v="0"/>
    <n v="2000"/>
    <n v="744773415931"/>
    <n v="8154342116"/>
    <x v="0"/>
    <n v="-1"/>
    <x v="0"/>
  </r>
  <r>
    <x v="2181"/>
    <x v="1171"/>
    <x v="31"/>
    <s v="El Salvador"/>
    <s v="Honduras"/>
    <n v="2"/>
    <n v="5"/>
    <s v="FIFA World Cup qualification"/>
    <s v="San Salvador"/>
    <s v="El Salvador"/>
    <b v="0"/>
    <n v="2000"/>
    <n v="11784927700"/>
    <n v="7186638029"/>
    <x v="1"/>
    <n v="-1"/>
    <x v="0"/>
  </r>
  <r>
    <x v="2182"/>
    <x v="1171"/>
    <x v="31"/>
    <s v="Guatemala"/>
    <s v="United States"/>
    <n v="1"/>
    <n v="1"/>
    <s v="FIFA World Cup qualification"/>
    <s v="Mazatenango"/>
    <s v="Guatemala"/>
    <b v="0"/>
    <n v="2000"/>
    <n v="19288929030"/>
    <n v="10250947997000"/>
    <x v="0"/>
    <n v="0"/>
    <x v="1"/>
  </r>
  <r>
    <x v="2183"/>
    <x v="1171"/>
    <x v="31"/>
    <s v="Panama"/>
    <s v="Mexico"/>
    <n v="0"/>
    <n v="1"/>
    <s v="FIFA World Cup qualification"/>
    <s v="Panama City"/>
    <s v="Panama"/>
    <b v="0"/>
    <n v="2000"/>
    <n v="11966497048"/>
    <n v="742061329749"/>
    <x v="0"/>
    <n v="1"/>
    <x v="2"/>
  </r>
  <r>
    <x v="2184"/>
    <x v="1172"/>
    <x v="31"/>
    <s v="Paraguay"/>
    <s v="Brazil"/>
    <n v="2"/>
    <n v="1"/>
    <s v="FIFA World Cup qualification"/>
    <s v="Asunci√≥n"/>
    <s v="Paraguay"/>
    <b v="0"/>
    <n v="2000"/>
    <n v="8855705139"/>
    <n v="655448188259"/>
    <x v="0"/>
    <n v="-1"/>
    <x v="0"/>
  </r>
  <r>
    <x v="2185"/>
    <x v="1172"/>
    <x v="31"/>
    <s v="Uruguay"/>
    <s v="Venezuela"/>
    <n v="3"/>
    <n v="1"/>
    <s v="FIFA World Cup qualification"/>
    <s v="Montevideo"/>
    <s v="Uruguay"/>
    <b v="0"/>
    <n v="2000"/>
    <n v="22823270892"/>
    <n v="117146466002"/>
    <x v="0"/>
    <n v="-1"/>
    <x v="0"/>
  </r>
  <r>
    <x v="2186"/>
    <x v="1173"/>
    <x v="31"/>
    <s v="Argentina"/>
    <s v="Ecuador"/>
    <n v="2"/>
    <n v="0"/>
    <s v="FIFA World Cup qualification"/>
    <s v="Buenos Aires"/>
    <s v="Argentina"/>
    <b v="0"/>
    <n v="2000"/>
    <n v="284203750000"/>
    <n v="17539454727"/>
    <x v="0"/>
    <n v="1"/>
    <x v="2"/>
  </r>
  <r>
    <x v="2187"/>
    <x v="1173"/>
    <x v="31"/>
    <s v="Bolivia"/>
    <s v="Chile"/>
    <n v="1"/>
    <n v="0"/>
    <s v="FIFA World Cup qualification"/>
    <s v="La Paz"/>
    <s v="Bolivia"/>
    <b v="0"/>
    <n v="2000"/>
    <n v="8397855484"/>
    <n v="78339750721"/>
    <x v="0"/>
    <n v="-1"/>
    <x v="0"/>
  </r>
  <r>
    <x v="2188"/>
    <x v="1173"/>
    <x v="31"/>
    <s v="Peru"/>
    <s v="Colombia"/>
    <n v="0"/>
    <n v="1"/>
    <s v="FIFA World Cup qualification"/>
    <s v="Lima"/>
    <s v="Peru"/>
    <b v="0"/>
    <n v="2000"/>
    <n v="51744749133"/>
    <n v="99875074951"/>
    <x v="1"/>
    <n v="1"/>
    <x v="2"/>
  </r>
  <r>
    <x v="2189"/>
    <x v="1174"/>
    <x v="31"/>
    <s v="Guatemala"/>
    <s v="Barbados"/>
    <n v="2"/>
    <n v="0"/>
    <s v="FIFA World Cup qualification"/>
    <s v="Quetzaltenango"/>
    <s v="Guatemala"/>
    <b v="0"/>
    <n v="2000"/>
    <n v="19288929030"/>
    <n v="3059500000"/>
    <x v="0"/>
    <n v="1"/>
    <x v="2"/>
  </r>
  <r>
    <x v="2190"/>
    <x v="1175"/>
    <x v="31"/>
    <s v="Costa Rica"/>
    <s v="United States"/>
    <n v="2"/>
    <n v="1"/>
    <s v="FIFA World Cup qualification"/>
    <s v="San Jos√©"/>
    <s v="Costa Rica"/>
    <b v="0"/>
    <n v="2000"/>
    <n v="15013629661"/>
    <n v="10250947997000"/>
    <x v="0"/>
    <n v="-1"/>
    <x v="0"/>
  </r>
  <r>
    <x v="2191"/>
    <x v="1175"/>
    <x v="31"/>
    <s v="Jamaica"/>
    <s v="Honduras"/>
    <n v="3"/>
    <n v="1"/>
    <s v="FIFA World Cup qualification"/>
    <s v="Kingston"/>
    <s v="Jamaica"/>
    <b v="0"/>
    <n v="2000"/>
    <n v="9005064474"/>
    <n v="7186638029"/>
    <x v="1"/>
    <n v="1"/>
    <x v="2"/>
  </r>
  <r>
    <x v="2192"/>
    <x v="1175"/>
    <x v="31"/>
    <s v="Panama"/>
    <s v="Canada"/>
    <n v="0"/>
    <n v="0"/>
    <s v="FIFA World Cup qualification"/>
    <s v="Panama City"/>
    <s v="Panama"/>
    <b v="0"/>
    <n v="2000"/>
    <n v="11966497048"/>
    <n v="744773415931"/>
    <x v="0"/>
    <n v="0"/>
    <x v="1"/>
  </r>
  <r>
    <x v="2193"/>
    <x v="1175"/>
    <x v="31"/>
    <s v="Trinidad and Tobago"/>
    <s v="Mexico"/>
    <n v="1"/>
    <n v="0"/>
    <s v="FIFA World Cup qualification"/>
    <s v="Port of Spain"/>
    <s v="Trinidad and Tobago"/>
    <b v="0"/>
    <n v="2000"/>
    <n v="8154342116"/>
    <n v="742061329749"/>
    <x v="0"/>
    <n v="-1"/>
    <x v="0"/>
  </r>
  <r>
    <x v="2194"/>
    <x v="1176"/>
    <x v="31"/>
    <s v="Ecuador"/>
    <s v="Colombia"/>
    <n v="0"/>
    <n v="0"/>
    <s v="FIFA World Cup qualification"/>
    <s v="Quito"/>
    <s v="Ecuador"/>
    <b v="0"/>
    <n v="2000"/>
    <n v="17539454727"/>
    <n v="99875074951"/>
    <x v="0"/>
    <n v="0"/>
    <x v="1"/>
  </r>
  <r>
    <x v="2195"/>
    <x v="1176"/>
    <x v="31"/>
    <s v="Venezuela"/>
    <s v="Chile"/>
    <n v="0"/>
    <n v="2"/>
    <s v="FIFA World Cup qualification"/>
    <s v="San Crist√≥bal"/>
    <s v="Venezuela"/>
    <b v="0"/>
    <n v="2000"/>
    <n v="117146466002"/>
    <n v="78339750721"/>
    <x v="1"/>
    <n v="-1"/>
    <x v="0"/>
  </r>
  <r>
    <x v="2196"/>
    <x v="1177"/>
    <x v="31"/>
    <s v="Brazil"/>
    <s v="Argentina"/>
    <n v="3"/>
    <n v="1"/>
    <s v="FIFA World Cup qualification"/>
    <s v="S√£o Paulo"/>
    <s v="Brazil"/>
    <b v="0"/>
    <n v="2000"/>
    <n v="655448188259"/>
    <n v="284203750000"/>
    <x v="0"/>
    <n v="1"/>
    <x v="2"/>
  </r>
  <r>
    <x v="2197"/>
    <x v="1177"/>
    <x v="31"/>
    <s v="Uruguay"/>
    <s v="Peru"/>
    <n v="0"/>
    <n v="0"/>
    <s v="FIFA World Cup qualification"/>
    <s v="Montevideo"/>
    <s v="Uruguay"/>
    <b v="0"/>
    <n v="2000"/>
    <n v="22823270892"/>
    <n v="51744749133"/>
    <x v="0"/>
    <n v="0"/>
    <x v="1"/>
  </r>
  <r>
    <x v="2198"/>
    <x v="1178"/>
    <x v="31"/>
    <s v="Bolivia"/>
    <s v="Paraguay"/>
    <n v="0"/>
    <n v="0"/>
    <s v="FIFA World Cup qualification"/>
    <s v="La Paz"/>
    <s v="Bolivia"/>
    <b v="0"/>
    <n v="2000"/>
    <n v="8397855484"/>
    <n v="8855705139"/>
    <x v="1"/>
    <n v="0"/>
    <x v="1"/>
  </r>
  <r>
    <x v="2199"/>
    <x v="1179"/>
    <x v="31"/>
    <s v="Chile"/>
    <s v="Brazil"/>
    <n v="3"/>
    <n v="0"/>
    <s v="FIFA World Cup qualification"/>
    <s v="Santiago"/>
    <s v="Chile"/>
    <b v="0"/>
    <n v="2000"/>
    <n v="78339750721"/>
    <n v="655448188259"/>
    <x v="0"/>
    <n v="-1"/>
    <x v="0"/>
  </r>
  <r>
    <x v="2200"/>
    <x v="1179"/>
    <x v="31"/>
    <s v="Colombia"/>
    <s v="Uruguay"/>
    <n v="1"/>
    <n v="0"/>
    <s v="FIFA World Cup qualification"/>
    <s v="Bogot√°"/>
    <s v="Colombia"/>
    <b v="0"/>
    <n v="2000"/>
    <n v="99875074951"/>
    <n v="22823270892"/>
    <x v="0"/>
    <n v="1"/>
    <x v="2"/>
  </r>
  <r>
    <x v="2201"/>
    <x v="1179"/>
    <x v="31"/>
    <s v="Costa Rica"/>
    <s v="Guatemala"/>
    <n v="2"/>
    <n v="1"/>
    <s v="FIFA World Cup qualification"/>
    <s v="Alajuela"/>
    <s v="Costa Rica"/>
    <b v="0"/>
    <n v="2000"/>
    <n v="15013629661"/>
    <n v="19288929030"/>
    <x v="1"/>
    <n v="-1"/>
    <x v="0"/>
  </r>
  <r>
    <x v="2202"/>
    <x v="1179"/>
    <x v="31"/>
    <s v="Mexico"/>
    <s v="Canada"/>
    <n v="2"/>
    <n v="0"/>
    <s v="FIFA World Cup qualification"/>
    <s v="Mexico City"/>
    <s v="Mexico"/>
    <b v="0"/>
    <n v="2000"/>
    <n v="742061329749"/>
    <n v="744773415931"/>
    <x v="1"/>
    <n v="-1"/>
    <x v="0"/>
  </r>
  <r>
    <x v="2203"/>
    <x v="1180"/>
    <x v="31"/>
    <s v="Argentina"/>
    <s v="Paraguay"/>
    <n v="1"/>
    <n v="1"/>
    <s v="FIFA World Cup qualification"/>
    <s v="Buenos Aires"/>
    <s v="Argentina"/>
    <b v="0"/>
    <n v="2000"/>
    <n v="284203750000"/>
    <n v="8855705139"/>
    <x v="0"/>
    <n v="0"/>
    <x v="1"/>
  </r>
  <r>
    <x v="2204"/>
    <x v="1180"/>
    <x v="31"/>
    <s v="Ecuador"/>
    <s v="Bolivia"/>
    <n v="2"/>
    <n v="0"/>
    <s v="FIFA World Cup qualification"/>
    <s v="Quito"/>
    <s v="Ecuador"/>
    <b v="0"/>
    <n v="2000"/>
    <n v="17539454727"/>
    <n v="8397855484"/>
    <x v="0"/>
    <n v="1"/>
    <x v="2"/>
  </r>
  <r>
    <x v="2205"/>
    <x v="1180"/>
    <x v="31"/>
    <s v="Estonia"/>
    <s v="Andorra"/>
    <n v="1"/>
    <n v="0"/>
    <s v="FIFA World Cup qualification"/>
    <s v="Tallinn"/>
    <s v="Estonia"/>
    <b v="0"/>
    <n v="2000"/>
    <n v="5686579747"/>
    <n v="1432606296"/>
    <x v="0"/>
    <n v="1"/>
    <x v="2"/>
  </r>
  <r>
    <x v="2206"/>
    <x v="1180"/>
    <x v="31"/>
    <s v="Jamaica"/>
    <s v="El Salvador"/>
    <n v="1"/>
    <n v="0"/>
    <s v="FIFA World Cup qualification"/>
    <s v="Kingston"/>
    <s v="Jamaica"/>
    <b v="0"/>
    <n v="2000"/>
    <n v="9005064474"/>
    <n v="11784927700"/>
    <x v="1"/>
    <n v="-1"/>
    <x v="0"/>
  </r>
  <r>
    <x v="2207"/>
    <x v="1180"/>
    <x v="31"/>
    <s v="Peru"/>
    <s v="Venezuela"/>
    <n v="1"/>
    <n v="0"/>
    <s v="FIFA World Cup qualification"/>
    <s v="Lima"/>
    <s v="Peru"/>
    <b v="0"/>
    <n v="2000"/>
    <n v="51744749133"/>
    <n v="117146466002"/>
    <x v="0"/>
    <n v="-1"/>
    <x v="0"/>
  </r>
  <r>
    <x v="2208"/>
    <x v="1180"/>
    <x v="31"/>
    <s v="Trinidad and Tobago"/>
    <s v="Panama"/>
    <n v="6"/>
    <n v="0"/>
    <s v="FIFA World Cup qualification"/>
    <s v="Port of Spain"/>
    <s v="Trinidad and Tobago"/>
    <b v="0"/>
    <n v="2000"/>
    <n v="8154342116"/>
    <n v="11966497048"/>
    <x v="1"/>
    <n v="-1"/>
    <x v="0"/>
  </r>
  <r>
    <x v="2209"/>
    <x v="1180"/>
    <x v="31"/>
    <s v="United States"/>
    <s v="Barbados"/>
    <n v="7"/>
    <n v="0"/>
    <s v="FIFA World Cup qualification"/>
    <s v="Foxborough"/>
    <s v="United States"/>
    <b v="0"/>
    <n v="2000"/>
    <n v="10250947997000"/>
    <n v="3059500000"/>
    <x v="0"/>
    <n v="1"/>
    <x v="2"/>
  </r>
  <r>
    <x v="2210"/>
    <x v="1181"/>
    <x v="31"/>
    <s v="Andorra"/>
    <s v="Cyprus"/>
    <n v="2"/>
    <n v="3"/>
    <s v="FIFA World Cup qualification"/>
    <s v="Sant Juli√† de L√≤ria"/>
    <s v="Andorra"/>
    <b v="0"/>
    <n v="2000"/>
    <n v="1432606296"/>
    <n v="9985847313"/>
    <x v="0"/>
    <n v="1"/>
    <x v="2"/>
  </r>
  <r>
    <x v="2211"/>
    <x v="1181"/>
    <x v="31"/>
    <s v="Azerbaijan"/>
    <s v="Sweden"/>
    <n v="0"/>
    <n v="1"/>
    <s v="FIFA World Cup qualification"/>
    <s v="Baku"/>
    <s v="Azerbaijan"/>
    <b v="0"/>
    <n v="2000"/>
    <n v="5272615722"/>
    <n v="262903560280"/>
    <x v="0"/>
    <n v="1"/>
    <x v="2"/>
  </r>
  <r>
    <x v="2212"/>
    <x v="1181"/>
    <x v="31"/>
    <s v="Belgium"/>
    <s v="Croatia"/>
    <n v="0"/>
    <n v="0"/>
    <s v="FIFA World Cup qualification"/>
    <s v="Brussels"/>
    <s v="Belgium"/>
    <b v="0"/>
    <n v="2000"/>
    <n v="236792460312"/>
    <n v="22134411297"/>
    <x v="0"/>
    <n v="0"/>
    <x v="1"/>
  </r>
  <r>
    <x v="2213"/>
    <x v="1181"/>
    <x v="31"/>
    <s v="Bosnia and Herzegovina"/>
    <s v="Spain"/>
    <n v="1"/>
    <n v="2"/>
    <s v="FIFA World Cup qualification"/>
    <s v="Sarajevo"/>
    <s v="Bosnia and Herzegovina"/>
    <b v="0"/>
    <n v="2000"/>
    <n v="5567772768"/>
    <n v="598102854756"/>
    <x v="0"/>
    <n v="1"/>
    <x v="2"/>
  </r>
  <r>
    <x v="2214"/>
    <x v="1181"/>
    <x v="31"/>
    <s v="Chile"/>
    <s v="Colombia"/>
    <n v="0"/>
    <n v="1"/>
    <s v="FIFA World Cup qualification"/>
    <s v="Santiago"/>
    <s v="Chile"/>
    <b v="0"/>
    <n v="2000"/>
    <n v="78339750721"/>
    <n v="99875074951"/>
    <x v="1"/>
    <n v="1"/>
    <x v="2"/>
  </r>
  <r>
    <x v="2215"/>
    <x v="1181"/>
    <x v="31"/>
    <s v="Finland"/>
    <s v="Albania"/>
    <n v="2"/>
    <n v="1"/>
    <s v="FIFA World Cup qualification"/>
    <s v="Helsinki"/>
    <s v="Finland"/>
    <b v="0"/>
    <n v="2000"/>
    <n v="125967821110"/>
    <n v="3584570164"/>
    <x v="0"/>
    <n v="1"/>
    <x v="2"/>
  </r>
  <r>
    <x v="2216"/>
    <x v="1181"/>
    <x v="31"/>
    <s v="Germany"/>
    <s v="Greece"/>
    <n v="2"/>
    <n v="0"/>
    <s v="FIFA World Cup qualification"/>
    <s v="Hamburg"/>
    <s v="Germany"/>
    <b v="0"/>
    <n v="2000"/>
    <n v="1966980701145"/>
    <n v="125760166224"/>
    <x v="0"/>
    <n v="1"/>
    <x v="2"/>
  </r>
  <r>
    <x v="2217"/>
    <x v="1181"/>
    <x v="31"/>
    <s v="Honduras"/>
    <s v="El Salvador"/>
    <n v="5"/>
    <n v="0"/>
    <s v="FIFA World Cup qualification"/>
    <s v="San Pedro Sula"/>
    <s v="Honduras"/>
    <b v="0"/>
    <n v="2000"/>
    <n v="7186638029"/>
    <n v="11784927700"/>
    <x v="1"/>
    <n v="-1"/>
    <x v="0"/>
  </r>
  <r>
    <x v="2218"/>
    <x v="1181"/>
    <x v="31"/>
    <s v="Iceland"/>
    <s v="Denmark"/>
    <n v="1"/>
    <n v="2"/>
    <s v="FIFA World Cup qualification"/>
    <s v="Reykjav√≠k"/>
    <s v="Iceland"/>
    <b v="0"/>
    <n v="2000"/>
    <n v="9140168922"/>
    <n v="164043817223"/>
    <x v="0"/>
    <n v="1"/>
    <x v="2"/>
  </r>
  <r>
    <x v="2219"/>
    <x v="1181"/>
    <x v="31"/>
    <s v="Norway"/>
    <s v="Armenia"/>
    <n v="0"/>
    <n v="0"/>
    <s v="FIFA World Cup qualification"/>
    <s v="Oslo"/>
    <s v="Norway"/>
    <b v="0"/>
    <n v="2000"/>
    <n v="171457201935"/>
    <n v="1911563668"/>
    <x v="0"/>
    <n v="0"/>
    <x v="1"/>
  </r>
  <r>
    <x v="2220"/>
    <x v="1181"/>
    <x v="31"/>
    <s v="Paraguay"/>
    <s v="Venezuela"/>
    <n v="3"/>
    <n v="0"/>
    <s v="FIFA World Cup qualification"/>
    <s v="Asunci√≥n"/>
    <s v="Paraguay"/>
    <b v="0"/>
    <n v="2000"/>
    <n v="8855705139"/>
    <n v="117146466002"/>
    <x v="0"/>
    <n v="-1"/>
    <x v="0"/>
  </r>
  <r>
    <x v="2221"/>
    <x v="1181"/>
    <x v="31"/>
    <s v="Switzerland"/>
    <s v="Russia"/>
    <n v="0"/>
    <n v="1"/>
    <s v="FIFA World Cup qualification"/>
    <s v="Z√ºrich"/>
    <s v="Switzerland"/>
    <b v="0"/>
    <n v="2000"/>
    <n v="279216033870"/>
    <n v="259710142196"/>
    <x v="1"/>
    <n v="-1"/>
    <x v="0"/>
  </r>
  <r>
    <x v="2222"/>
    <x v="1181"/>
    <x v="31"/>
    <s v="Ukraine"/>
    <s v="Poland"/>
    <n v="1"/>
    <n v="3"/>
    <s v="FIFA World Cup qualification"/>
    <s v="Kyiv"/>
    <s v="Ukraine"/>
    <b v="0"/>
    <n v="2000"/>
    <n v="32375083934"/>
    <n v="172953527033"/>
    <x v="0"/>
    <n v="1"/>
    <x v="2"/>
  </r>
  <r>
    <x v="2223"/>
    <x v="1182"/>
    <x v="31"/>
    <s v="Brazil"/>
    <s v="Bolivia"/>
    <n v="5"/>
    <n v="0"/>
    <s v="FIFA World Cup qualification"/>
    <s v="Rio de Janeiro"/>
    <s v="Brazil"/>
    <b v="0"/>
    <n v="2000"/>
    <n v="655448188259"/>
    <n v="8397855484"/>
    <x v="0"/>
    <n v="1"/>
    <x v="2"/>
  </r>
  <r>
    <x v="2224"/>
    <x v="1182"/>
    <x v="31"/>
    <s v="Costa Rica"/>
    <s v="Barbados"/>
    <n v="3"/>
    <n v="0"/>
    <s v="FIFA World Cup qualification"/>
    <s v="San Jos√©"/>
    <s v="Costa Rica"/>
    <b v="0"/>
    <n v="2000"/>
    <n v="15013629661"/>
    <n v="3059500000"/>
    <x v="0"/>
    <n v="1"/>
    <x v="2"/>
  </r>
  <r>
    <x v="2225"/>
    <x v="1182"/>
    <x v="31"/>
    <s v="Estonia"/>
    <s v="Portugal"/>
    <n v="1"/>
    <n v="3"/>
    <s v="FIFA World Cup qualification"/>
    <s v="Tallinn"/>
    <s v="Estonia"/>
    <b v="0"/>
    <n v="2000"/>
    <n v="5686579747"/>
    <n v="118605192877"/>
    <x v="0"/>
    <n v="1"/>
    <x v="2"/>
  </r>
  <r>
    <x v="2226"/>
    <x v="1182"/>
    <x v="31"/>
    <s v="Faroe Islands"/>
    <s v="Slovenia"/>
    <n v="2"/>
    <n v="2"/>
    <s v="FIFA World Cup qualification"/>
    <s v="Toftir"/>
    <s v="Faroe Islands"/>
    <b v="0"/>
    <n v="2000"/>
    <n v="1067109530"/>
    <n v="20159190701"/>
    <x v="0"/>
    <n v="0"/>
    <x v="1"/>
  </r>
  <r>
    <x v="2227"/>
    <x v="1182"/>
    <x v="31"/>
    <s v="Hungary"/>
    <s v="Italy"/>
    <n v="2"/>
    <n v="2"/>
    <s v="FIFA World Cup qualification"/>
    <s v="Budapest"/>
    <s v="Hungary"/>
    <b v="0"/>
    <n v="2000"/>
    <n v="47275954428"/>
    <n v="1149661363439"/>
    <x v="0"/>
    <n v="0"/>
    <x v="1"/>
  </r>
  <r>
    <x v="2228"/>
    <x v="1182"/>
    <x v="31"/>
    <s v="Israel"/>
    <s v="Liechtenstein"/>
    <n v="2"/>
    <n v="0"/>
    <s v="FIFA World Cup qualification"/>
    <s v="Ramat Gan"/>
    <s v="Israel"/>
    <b v="0"/>
    <n v="2000"/>
    <n v="136512300542"/>
    <n v="2483889858"/>
    <x v="0"/>
    <n v="1"/>
    <x v="2"/>
  </r>
  <r>
    <x v="2229"/>
    <x v="1182"/>
    <x v="31"/>
    <s v="Luxembourg"/>
    <s v="Serbia"/>
    <n v="0"/>
    <n v="2"/>
    <s v="FIFA World Cup qualification"/>
    <s v="Luxembourg"/>
    <s v="Luxembourg"/>
    <b v="0"/>
    <n v="2000"/>
    <n v="21230182989"/>
    <n v="7326373882"/>
    <x v="0"/>
    <n v="-1"/>
    <x v="0"/>
  </r>
  <r>
    <x v="2230"/>
    <x v="1182"/>
    <x v="31"/>
    <s v="Mexico"/>
    <s v="Panama"/>
    <n v="7"/>
    <n v="1"/>
    <s v="FIFA World Cup qualification"/>
    <s v="Mexico City"/>
    <s v="Mexico"/>
    <b v="0"/>
    <n v="2000"/>
    <n v="742061329749"/>
    <n v="11966497048"/>
    <x v="0"/>
    <n v="1"/>
    <x v="2"/>
  </r>
  <r>
    <x v="2231"/>
    <x v="1182"/>
    <x v="31"/>
    <s v="Peru"/>
    <s v="Argentina"/>
    <n v="1"/>
    <n v="2"/>
    <s v="FIFA World Cup qualification"/>
    <s v="Lima"/>
    <s v="Peru"/>
    <b v="0"/>
    <n v="2000"/>
    <n v="51744749133"/>
    <n v="284203750000"/>
    <x v="0"/>
    <n v="1"/>
    <x v="2"/>
  </r>
  <r>
    <x v="2232"/>
    <x v="1182"/>
    <x v="31"/>
    <s v="Romania"/>
    <s v="Lithuania"/>
    <n v="1"/>
    <n v="0"/>
    <s v="FIFA World Cup qualification"/>
    <s v="Bucharest"/>
    <s v="Romania"/>
    <b v="0"/>
    <n v="2000"/>
    <n v="37253739511"/>
    <n v="11550695727"/>
    <x v="0"/>
    <n v="1"/>
    <x v="2"/>
  </r>
  <r>
    <x v="2233"/>
    <x v="1182"/>
    <x v="31"/>
    <s v="Trinidad and Tobago"/>
    <s v="Canada"/>
    <n v="4"/>
    <n v="0"/>
    <s v="FIFA World Cup qualification"/>
    <s v="Port of Spain"/>
    <s v="Trinidad and Tobago"/>
    <b v="0"/>
    <n v="2000"/>
    <n v="8154342116"/>
    <n v="744773415931"/>
    <x v="0"/>
    <n v="-1"/>
    <x v="0"/>
  </r>
  <r>
    <x v="2234"/>
    <x v="1182"/>
    <x v="31"/>
    <s v="Uruguay"/>
    <s v="Ecuador"/>
    <n v="4"/>
    <n v="0"/>
    <s v="FIFA World Cup qualification"/>
    <s v="Montevideo"/>
    <s v="Uruguay"/>
    <b v="0"/>
    <n v="2000"/>
    <n v="22823270892"/>
    <n v="17539454727"/>
    <x v="1"/>
    <n v="1"/>
    <x v="2"/>
  </r>
  <r>
    <x v="2235"/>
    <x v="1182"/>
    <x v="31"/>
    <s v="United States"/>
    <s v="Guatemala"/>
    <n v="1"/>
    <n v="0"/>
    <s v="FIFA World Cup qualification"/>
    <s v="Washington, D.C."/>
    <s v="United States"/>
    <b v="0"/>
    <n v="2000"/>
    <n v="10250947997000"/>
    <n v="19288929030"/>
    <x v="0"/>
    <n v="1"/>
    <x v="2"/>
  </r>
  <r>
    <x v="2236"/>
    <x v="1183"/>
    <x v="31"/>
    <s v="North Macedonia"/>
    <s v="Azerbaijan"/>
    <n v="3"/>
    <n v="0"/>
    <s v="FIFA World Cup qualification"/>
    <s v="Skopje"/>
    <s v="North Macedonia"/>
    <b v="0"/>
    <n v="2000"/>
    <n v="3772859034"/>
    <n v="5272615722"/>
    <x v="1"/>
    <n v="-1"/>
    <x v="0"/>
  </r>
  <r>
    <x v="2237"/>
    <x v="1184"/>
    <x v="31"/>
    <s v="Andorra"/>
    <s v="Estonia"/>
    <n v="1"/>
    <n v="2"/>
    <s v="FIFA World Cup qualification"/>
    <s v="Sant Juli√† de L√≤ria"/>
    <s v="Andorra"/>
    <b v="0"/>
    <n v="2000"/>
    <n v="1432606296"/>
    <n v="5686579747"/>
    <x v="0"/>
    <n v="1"/>
    <x v="2"/>
  </r>
  <r>
    <x v="2238"/>
    <x v="1184"/>
    <x v="31"/>
    <s v="Armenia"/>
    <s v="Ukraine"/>
    <n v="2"/>
    <n v="3"/>
    <s v="FIFA World Cup qualification"/>
    <s v="Yerevan"/>
    <s v="Armenia"/>
    <b v="0"/>
    <n v="2000"/>
    <n v="1911563668"/>
    <n v="32375083934"/>
    <x v="0"/>
    <n v="1"/>
    <x v="2"/>
  </r>
  <r>
    <x v="2239"/>
    <x v="1184"/>
    <x v="31"/>
    <s v="Bulgaria"/>
    <s v="Malta"/>
    <n v="3"/>
    <n v="0"/>
    <s v="FIFA World Cup qualification"/>
    <s v="Sofia"/>
    <s v="Bulgaria"/>
    <b v="0"/>
    <n v="2000"/>
    <n v="13245990274"/>
    <n v="4036809815"/>
    <x v="0"/>
    <n v="1"/>
    <x v="2"/>
  </r>
  <r>
    <x v="2240"/>
    <x v="1184"/>
    <x v="31"/>
    <s v="Colombia"/>
    <s v="Paraguay"/>
    <n v="0"/>
    <n v="2"/>
    <s v="FIFA World Cup qualification"/>
    <s v="Bogot√°"/>
    <s v="Colombia"/>
    <b v="0"/>
    <n v="2000"/>
    <n v="99875074951"/>
    <n v="8855705139"/>
    <x v="0"/>
    <n v="-1"/>
    <x v="0"/>
  </r>
  <r>
    <x v="2241"/>
    <x v="1184"/>
    <x v="31"/>
    <s v="Cyprus"/>
    <s v="Netherlands"/>
    <n v="0"/>
    <n v="4"/>
    <s v="FIFA World Cup qualification"/>
    <s v="Nicosia"/>
    <s v="Cyprus"/>
    <b v="0"/>
    <n v="2000"/>
    <n v="9985847313"/>
    <n v="417649282153"/>
    <x v="0"/>
    <n v="1"/>
    <x v="2"/>
  </r>
  <r>
    <x v="2242"/>
    <x v="1184"/>
    <x v="31"/>
    <s v="England"/>
    <s v="Germany"/>
    <n v="0"/>
    <n v="1"/>
    <s v="FIFA World Cup qualification"/>
    <s v="London"/>
    <s v="England"/>
    <b v="0"/>
    <n v="2000"/>
    <n v="1671597821152"/>
    <n v="1966980701145"/>
    <x v="1"/>
    <n v="1"/>
    <x v="2"/>
  </r>
  <r>
    <x v="2243"/>
    <x v="1184"/>
    <x v="31"/>
    <s v="Greece"/>
    <s v="Finland"/>
    <n v="1"/>
    <n v="0"/>
    <s v="FIFA World Cup qualification"/>
    <s v="Athens"/>
    <s v="Greece"/>
    <b v="0"/>
    <n v="2000"/>
    <n v="125760166224"/>
    <n v="125967821110"/>
    <x v="1"/>
    <n v="-1"/>
    <x v="0"/>
  </r>
  <r>
    <x v="2244"/>
    <x v="1184"/>
    <x v="31"/>
    <s v="Italy"/>
    <s v="Romania"/>
    <n v="3"/>
    <n v="0"/>
    <s v="FIFA World Cup qualification"/>
    <s v="Milan"/>
    <s v="Italy"/>
    <b v="0"/>
    <n v="2000"/>
    <n v="1149661363439"/>
    <n v="37253739511"/>
    <x v="0"/>
    <n v="1"/>
    <x v="2"/>
  </r>
  <r>
    <x v="2245"/>
    <x v="1184"/>
    <x v="31"/>
    <s v="Latvia"/>
    <s v="Belgium"/>
    <n v="0"/>
    <n v="4"/>
    <s v="FIFA World Cup qualification"/>
    <s v="Riga"/>
    <s v="Latvia"/>
    <b v="0"/>
    <n v="2000"/>
    <n v="7761252607"/>
    <n v="236792460312"/>
    <x v="0"/>
    <n v="1"/>
    <x v="2"/>
  </r>
  <r>
    <x v="2246"/>
    <x v="1184"/>
    <x v="31"/>
    <s v="Liechtenstein"/>
    <s v="Austria"/>
    <n v="0"/>
    <n v="1"/>
    <s v="FIFA World Cup qualification"/>
    <s v="Vaduz"/>
    <s v="Liechtenstein"/>
    <b v="0"/>
    <n v="2000"/>
    <n v="2483889858"/>
    <n v="196181599831"/>
    <x v="0"/>
    <n v="1"/>
    <x v="2"/>
  </r>
  <r>
    <x v="2247"/>
    <x v="1184"/>
    <x v="31"/>
    <s v="Lithuania"/>
    <s v="Georgia"/>
    <n v="0"/>
    <n v="4"/>
    <s v="FIFA World Cup qualification"/>
    <s v="Kaunas"/>
    <s v="Lithuania"/>
    <b v="0"/>
    <n v="2000"/>
    <n v="11550695727"/>
    <n v="3057475335"/>
    <x v="0"/>
    <n v="-1"/>
    <x v="0"/>
  </r>
  <r>
    <x v="2248"/>
    <x v="1184"/>
    <x v="31"/>
    <s v="Luxembourg"/>
    <s v="Slovenia"/>
    <n v="1"/>
    <n v="2"/>
    <s v="FIFA World Cup qualification"/>
    <s v="Luxembourg"/>
    <s v="Luxembourg"/>
    <b v="0"/>
    <n v="2000"/>
    <n v="21230182989"/>
    <n v="20159190701"/>
    <x v="1"/>
    <n v="-1"/>
    <x v="0"/>
  </r>
  <r>
    <x v="2249"/>
    <x v="1184"/>
    <x v="31"/>
    <s v="Poland"/>
    <s v="Belarus"/>
    <n v="3"/>
    <n v="1"/>
    <s v="FIFA World Cup qualification"/>
    <s v="≈Å√≥d≈∫"/>
    <s v="Poland"/>
    <b v="0"/>
    <n v="2000"/>
    <n v="172953527033"/>
    <n v="12736856827"/>
    <x v="0"/>
    <n v="1"/>
    <x v="2"/>
  </r>
  <r>
    <x v="2250"/>
    <x v="1184"/>
    <x v="31"/>
    <s v="Spain"/>
    <s v="Israel"/>
    <n v="2"/>
    <n v="0"/>
    <s v="FIFA World Cup qualification"/>
    <s v="Madrid"/>
    <s v="Spain"/>
    <b v="0"/>
    <n v="2000"/>
    <n v="598102854756"/>
    <n v="136512300542"/>
    <x v="0"/>
    <n v="1"/>
    <x v="2"/>
  </r>
  <r>
    <x v="2251"/>
    <x v="1184"/>
    <x v="31"/>
    <s v="Switzerland"/>
    <s v="Faroe Islands"/>
    <n v="5"/>
    <n v="1"/>
    <s v="FIFA World Cup qualification"/>
    <s v="Z√ºrich"/>
    <s v="Switzerland"/>
    <b v="0"/>
    <n v="2000"/>
    <n v="279216033870"/>
    <n v="1067109530"/>
    <x v="0"/>
    <n v="1"/>
    <x v="2"/>
  </r>
  <r>
    <x v="2252"/>
    <x v="1185"/>
    <x v="31"/>
    <s v="Argentina"/>
    <s v="Uruguay"/>
    <n v="2"/>
    <n v="1"/>
    <s v="FIFA World Cup qualification"/>
    <s v="Buenos Aires"/>
    <s v="Argentina"/>
    <b v="0"/>
    <n v="2000"/>
    <n v="284203750000"/>
    <n v="22823270892"/>
    <x v="0"/>
    <n v="1"/>
    <x v="2"/>
  </r>
  <r>
    <x v="2253"/>
    <x v="1185"/>
    <x v="31"/>
    <s v="Barbados"/>
    <s v="Guatemala"/>
    <n v="1"/>
    <n v="3"/>
    <s v="FIFA World Cup qualification"/>
    <s v="Bridgetown"/>
    <s v="Barbados"/>
    <b v="0"/>
    <n v="2000"/>
    <n v="3059500000"/>
    <n v="19288929030"/>
    <x v="0"/>
    <n v="1"/>
    <x v="2"/>
  </r>
  <r>
    <x v="2254"/>
    <x v="1185"/>
    <x v="31"/>
    <s v="Bolivia"/>
    <s v="Peru"/>
    <n v="1"/>
    <n v="0"/>
    <s v="FIFA World Cup qualification"/>
    <s v="La Paz"/>
    <s v="Bolivia"/>
    <b v="0"/>
    <n v="2000"/>
    <n v="8397855484"/>
    <n v="51744749133"/>
    <x v="0"/>
    <n v="-1"/>
    <x v="0"/>
  </r>
  <r>
    <x v="2255"/>
    <x v="1185"/>
    <x v="31"/>
    <s v="Ecuador"/>
    <s v="Chile"/>
    <n v="1"/>
    <n v="0"/>
    <s v="FIFA World Cup qualification"/>
    <s v="Quito"/>
    <s v="Ecuador"/>
    <b v="0"/>
    <n v="2000"/>
    <n v="17539454727"/>
    <n v="78339750721"/>
    <x v="0"/>
    <n v="-1"/>
    <x v="0"/>
  </r>
  <r>
    <x v="2256"/>
    <x v="1185"/>
    <x v="31"/>
    <s v="Honduras"/>
    <s v="Jamaica"/>
    <n v="1"/>
    <n v="0"/>
    <s v="FIFA World Cup qualification"/>
    <s v="Tegucigalpa"/>
    <s v="Honduras"/>
    <b v="0"/>
    <n v="2000"/>
    <n v="7186638029"/>
    <n v="9005064474"/>
    <x v="1"/>
    <n v="-1"/>
    <x v="0"/>
  </r>
  <r>
    <x v="2257"/>
    <x v="1185"/>
    <x v="31"/>
    <s v="Mexico"/>
    <s v="Trinidad and Tobago"/>
    <n v="7"/>
    <n v="0"/>
    <s v="FIFA World Cup qualification"/>
    <s v="Mexico City"/>
    <s v="Mexico"/>
    <b v="0"/>
    <n v="2000"/>
    <n v="742061329749"/>
    <n v="8154342116"/>
    <x v="0"/>
    <n v="1"/>
    <x v="2"/>
  </r>
  <r>
    <x v="2258"/>
    <x v="1185"/>
    <x v="31"/>
    <s v="Venezuela"/>
    <s v="Brazil"/>
    <n v="0"/>
    <n v="6"/>
    <s v="FIFA World Cup qualification"/>
    <s v="Maracaibo"/>
    <s v="Venezuela"/>
    <b v="0"/>
    <n v="2000"/>
    <n v="117146466002"/>
    <n v="655448188259"/>
    <x v="0"/>
    <n v="1"/>
    <x v="2"/>
  </r>
  <r>
    <x v="2259"/>
    <x v="1186"/>
    <x v="31"/>
    <s v="Canada"/>
    <s v="Panama"/>
    <n v="1"/>
    <n v="0"/>
    <s v="FIFA World Cup qualification"/>
    <s v="Winnipeg"/>
    <s v="Canada"/>
    <b v="0"/>
    <n v="2000"/>
    <n v="744773415931"/>
    <n v="11966497048"/>
    <x v="0"/>
    <n v="1"/>
    <x v="2"/>
  </r>
  <r>
    <x v="2260"/>
    <x v="1187"/>
    <x v="31"/>
    <s v="Albania"/>
    <s v="Greece"/>
    <n v="2"/>
    <n v="0"/>
    <s v="FIFA World Cup qualification"/>
    <s v="Tirana"/>
    <s v="Albania"/>
    <b v="0"/>
    <n v="2000"/>
    <n v="3584570164"/>
    <n v="125760166224"/>
    <x v="0"/>
    <n v="-1"/>
    <x v="0"/>
  </r>
  <r>
    <x v="2261"/>
    <x v="1187"/>
    <x v="31"/>
    <s v="Austria"/>
    <s v="Spain"/>
    <n v="1"/>
    <n v="1"/>
    <s v="FIFA World Cup qualification"/>
    <s v="Vienna"/>
    <s v="Austria"/>
    <b v="0"/>
    <n v="2000"/>
    <n v="196181599831"/>
    <n v="598102854756"/>
    <x v="0"/>
    <n v="0"/>
    <x v="1"/>
  </r>
  <r>
    <x v="2262"/>
    <x v="1187"/>
    <x v="31"/>
    <s v="Belarus"/>
    <s v="Armenia"/>
    <n v="2"/>
    <n v="1"/>
    <s v="FIFA World Cup qualification"/>
    <s v="Minsk"/>
    <s v="Belarus"/>
    <b v="0"/>
    <n v="2000"/>
    <n v="12736856827"/>
    <n v="1911563668"/>
    <x v="0"/>
    <n v="1"/>
    <x v="2"/>
  </r>
  <r>
    <x v="2263"/>
    <x v="1187"/>
    <x v="31"/>
    <s v="Denmark"/>
    <s v="Bulgaria"/>
    <n v="1"/>
    <n v="1"/>
    <s v="FIFA World Cup qualification"/>
    <s v="Copenhagen"/>
    <s v="Denmark"/>
    <b v="0"/>
    <n v="2000"/>
    <n v="164043817223"/>
    <n v="13245990274"/>
    <x v="0"/>
    <n v="0"/>
    <x v="1"/>
  </r>
  <r>
    <x v="2264"/>
    <x v="1187"/>
    <x v="31"/>
    <s v="Finland"/>
    <s v="England"/>
    <n v="0"/>
    <n v="0"/>
    <s v="FIFA World Cup qualification"/>
    <s v="Helsinki"/>
    <s v="Finland"/>
    <b v="0"/>
    <n v="2000"/>
    <n v="125967821110"/>
    <n v="1671597821152"/>
    <x v="0"/>
    <n v="0"/>
    <x v="1"/>
  </r>
  <r>
    <x v="2265"/>
    <x v="1187"/>
    <x v="31"/>
    <s v="Israel"/>
    <s v="Bosnia and Herzegovina"/>
    <n v="3"/>
    <n v="1"/>
    <s v="FIFA World Cup qualification"/>
    <s v="Ramat Gan"/>
    <s v="Israel"/>
    <b v="0"/>
    <n v="2000"/>
    <n v="136512300542"/>
    <n v="5567772768"/>
    <x v="0"/>
    <n v="1"/>
    <x v="2"/>
  </r>
  <r>
    <x v="2266"/>
    <x v="1187"/>
    <x v="31"/>
    <s v="Italy"/>
    <s v="Georgia"/>
    <n v="2"/>
    <n v="0"/>
    <s v="FIFA World Cup qualification"/>
    <s v="Ancona"/>
    <s v="Italy"/>
    <b v="0"/>
    <n v="2000"/>
    <n v="1149661363439"/>
    <n v="3057475335"/>
    <x v="0"/>
    <n v="1"/>
    <x v="2"/>
  </r>
  <r>
    <x v="2267"/>
    <x v="1187"/>
    <x v="31"/>
    <s v="Lithuania"/>
    <s v="Hungary"/>
    <n v="1"/>
    <n v="6"/>
    <s v="FIFA World Cup qualification"/>
    <s v="Kaunas"/>
    <s v="Lithuania"/>
    <b v="0"/>
    <n v="2000"/>
    <n v="11550695727"/>
    <n v="47275954428"/>
    <x v="0"/>
    <n v="1"/>
    <x v="2"/>
  </r>
  <r>
    <x v="2268"/>
    <x v="1187"/>
    <x v="31"/>
    <s v="Moldova"/>
    <s v="North Macedonia"/>
    <n v="0"/>
    <n v="0"/>
    <s v="FIFA World Cup qualification"/>
    <s v="Chi»ôinƒÉu"/>
    <s v="Moldova"/>
    <b v="0"/>
    <n v="2000"/>
    <n v="1288429391"/>
    <n v="3772859034"/>
    <x v="0"/>
    <n v="0"/>
    <x v="1"/>
  </r>
  <r>
    <x v="2269"/>
    <x v="1187"/>
    <x v="31"/>
    <s v="Netherlands"/>
    <s v="Portugal"/>
    <n v="0"/>
    <n v="2"/>
    <s v="FIFA World Cup qualification"/>
    <s v="Rotterdam"/>
    <s v="Netherlands"/>
    <b v="0"/>
    <n v="2000"/>
    <n v="417649282153"/>
    <n v="118605192877"/>
    <x v="0"/>
    <n v="-1"/>
    <x v="0"/>
  </r>
  <r>
    <x v="2270"/>
    <x v="1187"/>
    <x v="31"/>
    <s v="Norway"/>
    <s v="Ukraine"/>
    <n v="0"/>
    <n v="1"/>
    <s v="FIFA World Cup qualification"/>
    <s v="Oslo"/>
    <s v="Norway"/>
    <b v="0"/>
    <n v="2000"/>
    <n v="171457201935"/>
    <n v="32375083934"/>
    <x v="0"/>
    <n v="-1"/>
    <x v="0"/>
  </r>
  <r>
    <x v="2271"/>
    <x v="1187"/>
    <x v="31"/>
    <s v="Russia"/>
    <s v="Luxembourg"/>
    <n v="3"/>
    <n v="0"/>
    <s v="FIFA World Cup qualification"/>
    <s v="Moscow"/>
    <s v="Russia"/>
    <b v="0"/>
    <n v="2000"/>
    <n v="259710142196"/>
    <n v="21230182989"/>
    <x v="0"/>
    <n v="1"/>
    <x v="2"/>
  </r>
  <r>
    <x v="2272"/>
    <x v="1187"/>
    <x v="31"/>
    <s v="Slovenia"/>
    <s v="Switzerland"/>
    <n v="2"/>
    <n v="2"/>
    <s v="FIFA World Cup qualification"/>
    <s v="Ljubljana"/>
    <s v="Slovenia"/>
    <b v="0"/>
    <n v="2000"/>
    <n v="20159190701"/>
    <n v="279216033870"/>
    <x v="0"/>
    <n v="0"/>
    <x v="1"/>
  </r>
  <r>
    <x v="2273"/>
    <x v="1187"/>
    <x v="31"/>
    <s v="United States"/>
    <s v="Costa Rica"/>
    <n v="0"/>
    <n v="0"/>
    <s v="FIFA World Cup qualification"/>
    <s v="Columbus"/>
    <s v="United States"/>
    <b v="0"/>
    <n v="2000"/>
    <n v="10250947997000"/>
    <n v="15013629661"/>
    <x v="0"/>
    <n v="0"/>
    <x v="1"/>
  </r>
  <r>
    <x v="2274"/>
    <x v="1188"/>
    <x v="31"/>
    <s v="Barbados"/>
    <s v="United States"/>
    <n v="0"/>
    <n v="4"/>
    <s v="FIFA World Cup qualification"/>
    <s v="Bridgetown"/>
    <s v="Barbados"/>
    <b v="0"/>
    <n v="2000"/>
    <n v="3059500000"/>
    <n v="10250947997000"/>
    <x v="0"/>
    <n v="1"/>
    <x v="2"/>
  </r>
  <r>
    <x v="2275"/>
    <x v="1188"/>
    <x v="31"/>
    <s v="Bolivia"/>
    <s v="Uruguay"/>
    <n v="0"/>
    <n v="0"/>
    <s v="FIFA World Cup qualification"/>
    <s v="La Paz"/>
    <s v="Bolivia"/>
    <b v="0"/>
    <n v="2000"/>
    <n v="8397855484"/>
    <n v="22823270892"/>
    <x v="0"/>
    <n v="0"/>
    <x v="1"/>
  </r>
  <r>
    <x v="2276"/>
    <x v="1188"/>
    <x v="31"/>
    <s v="Brazil"/>
    <s v="Colombia"/>
    <n v="1"/>
    <n v="0"/>
    <s v="FIFA World Cup qualification"/>
    <s v="S√£o Paulo"/>
    <s v="Brazil"/>
    <b v="0"/>
    <n v="2000"/>
    <n v="655448188259"/>
    <n v="99875074951"/>
    <x v="0"/>
    <n v="1"/>
    <x v="2"/>
  </r>
  <r>
    <x v="2277"/>
    <x v="1188"/>
    <x v="31"/>
    <s v="Canada"/>
    <s v="Mexico"/>
    <n v="0"/>
    <n v="0"/>
    <s v="FIFA World Cup qualification"/>
    <s v="Toronto"/>
    <s v="Canada"/>
    <b v="0"/>
    <n v="2000"/>
    <n v="744773415931"/>
    <n v="742061329749"/>
    <x v="1"/>
    <n v="0"/>
    <x v="1"/>
  </r>
  <r>
    <x v="2278"/>
    <x v="1188"/>
    <x v="31"/>
    <s v="Chile"/>
    <s v="Argentina"/>
    <n v="0"/>
    <n v="2"/>
    <s v="FIFA World Cup qualification"/>
    <s v="Santiago"/>
    <s v="Chile"/>
    <b v="0"/>
    <n v="2000"/>
    <n v="78339750721"/>
    <n v="284203750000"/>
    <x v="0"/>
    <n v="1"/>
    <x v="2"/>
  </r>
  <r>
    <x v="2279"/>
    <x v="1188"/>
    <x v="31"/>
    <s v="Cyprus"/>
    <s v="Andorra"/>
    <n v="5"/>
    <n v="0"/>
    <s v="FIFA World Cup qualification"/>
    <s v="Limassol"/>
    <s v="Cyprus"/>
    <b v="0"/>
    <n v="2000"/>
    <n v="9985847313"/>
    <n v="1432606296"/>
    <x v="0"/>
    <n v="1"/>
    <x v="2"/>
  </r>
  <r>
    <x v="2280"/>
    <x v="1188"/>
    <x v="31"/>
    <s v="El Salvador"/>
    <s v="Jamaica"/>
    <n v="2"/>
    <n v="0"/>
    <s v="FIFA World Cup qualification"/>
    <s v="San Salvador"/>
    <s v="El Salvador"/>
    <b v="0"/>
    <n v="2000"/>
    <n v="11784927700"/>
    <n v="9005064474"/>
    <x v="1"/>
    <n v="1"/>
    <x v="2"/>
  </r>
  <r>
    <x v="2281"/>
    <x v="1188"/>
    <x v="31"/>
    <s v="Guatemala"/>
    <s v="Costa Rica"/>
    <n v="2"/>
    <n v="1"/>
    <s v="FIFA World Cup qualification"/>
    <s v="Mazatenango"/>
    <s v="Guatemala"/>
    <b v="0"/>
    <n v="2000"/>
    <n v="19288929030"/>
    <n v="15013629661"/>
    <x v="1"/>
    <n v="1"/>
    <x v="2"/>
  </r>
  <r>
    <x v="2282"/>
    <x v="1188"/>
    <x v="31"/>
    <s v="Paraguay"/>
    <s v="Peru"/>
    <n v="5"/>
    <n v="1"/>
    <s v="FIFA World Cup qualification"/>
    <s v="Asunci√≥n"/>
    <s v="Paraguay"/>
    <b v="0"/>
    <n v="2000"/>
    <n v="8855705139"/>
    <n v="51744749133"/>
    <x v="0"/>
    <n v="-1"/>
    <x v="0"/>
  </r>
  <r>
    <x v="2283"/>
    <x v="1188"/>
    <x v="31"/>
    <s v="San Marino"/>
    <s v="Latvia"/>
    <n v="0"/>
    <n v="1"/>
    <s v="FIFA World Cup qualification"/>
    <s v="Serravalle"/>
    <s v="San Marino"/>
    <b v="0"/>
    <n v="2000"/>
    <n v="1007661366"/>
    <n v="7761252607"/>
    <x v="0"/>
    <n v="1"/>
    <x v="2"/>
  </r>
  <r>
    <x v="2284"/>
    <x v="1188"/>
    <x v="31"/>
    <s v="Trinidad and Tobago"/>
    <s v="Panama"/>
    <n v="1"/>
    <n v="0"/>
    <s v="FIFA World Cup qualification"/>
    <s v="Port of Spain"/>
    <s v="Trinidad and Tobago"/>
    <b v="0"/>
    <n v="2000"/>
    <n v="8154342116"/>
    <n v="11966497048"/>
    <x v="1"/>
    <n v="-1"/>
    <x v="0"/>
  </r>
  <r>
    <x v="2285"/>
    <x v="1188"/>
    <x v="31"/>
    <s v="Venezuela"/>
    <s v="Ecuador"/>
    <n v="1"/>
    <n v="2"/>
    <s v="FIFA World Cup qualification"/>
    <s v="Maracaibo"/>
    <s v="Venezuela"/>
    <b v="0"/>
    <n v="2000"/>
    <n v="117146466002"/>
    <n v="17539454727"/>
    <x v="0"/>
    <n v="-1"/>
    <x v="0"/>
  </r>
  <r>
    <x v="2286"/>
    <x v="1189"/>
    <x v="31"/>
    <s v="Iran"/>
    <s v="Tajikistan"/>
    <n v="2"/>
    <n v="0"/>
    <s v="FIFA World Cup qualification"/>
    <s v="Tabriz"/>
    <s v="Iran"/>
    <b v="0"/>
    <n v="2000"/>
    <n v="109591707802"/>
    <n v="860541842"/>
    <x v="0"/>
    <n v="1"/>
    <x v="2"/>
  </r>
  <r>
    <x v="2287"/>
    <x v="1190"/>
    <x v="32"/>
    <s v="Costa Rica"/>
    <s v="Guatemala"/>
    <n v="5"/>
    <n v="2"/>
    <s v="FIFA World Cup qualification"/>
    <s v="Miami"/>
    <s v="United States"/>
    <b v="1"/>
    <n v="2001"/>
    <n v="15976174336"/>
    <n v="18405220247"/>
    <x v="1"/>
    <n v="-1"/>
    <x v="0"/>
  </r>
  <r>
    <x v="2288"/>
    <x v="1191"/>
    <x v="32"/>
    <s v="Algeria"/>
    <s v="Namibia"/>
    <n v="1"/>
    <n v="0"/>
    <s v="FIFA World Cup qualification"/>
    <s v="Algiers"/>
    <s v="Algeria"/>
    <b v="0"/>
    <n v="2001"/>
    <n v="59413400923"/>
    <n v="3557341215"/>
    <x v="0"/>
    <n v="1"/>
    <x v="2"/>
  </r>
  <r>
    <x v="2289"/>
    <x v="1192"/>
    <x v="32"/>
    <s v="Nigeria"/>
    <s v="Sudan"/>
    <n v="3"/>
    <n v="0"/>
    <s v="FIFA World Cup qualification"/>
    <s v="Port Harcourt"/>
    <s v="Nigeria"/>
    <b v="0"/>
    <n v="2001"/>
    <n v="73557840064"/>
    <n v="15716361792"/>
    <x v="0"/>
    <n v="1"/>
    <x v="2"/>
  </r>
  <r>
    <x v="2290"/>
    <x v="1192"/>
    <x v="32"/>
    <s v="South Africa"/>
    <s v="Burkina Faso"/>
    <n v="1"/>
    <n v="0"/>
    <s v="FIFA World Cup qualification"/>
    <s v="Rustenburg"/>
    <s v="South Africa"/>
    <b v="0"/>
    <n v="2001"/>
    <n v="135429905922"/>
    <n v="3190371080"/>
    <x v="0"/>
    <n v="1"/>
    <x v="2"/>
  </r>
  <r>
    <x v="2291"/>
    <x v="1193"/>
    <x v="32"/>
    <s v="Angola"/>
    <s v="Libya"/>
    <n v="3"/>
    <n v="1"/>
    <s v="FIFA World Cup qualification"/>
    <s v="Luanda"/>
    <s v="Angola"/>
    <b v="0"/>
    <n v="2001"/>
    <n v="8936079117"/>
    <n v="34112093927"/>
    <x v="0"/>
    <n v="-1"/>
    <x v="0"/>
  </r>
  <r>
    <x v="2292"/>
    <x v="1193"/>
    <x v="32"/>
    <s v="Egypt"/>
    <s v="Morocco"/>
    <n v="0"/>
    <n v="0"/>
    <s v="FIFA World Cup qualification"/>
    <s v="Cairo"/>
    <s v="Egypt"/>
    <b v="0"/>
    <n v="2001"/>
    <n v="96684636118"/>
    <n v="43831480207"/>
    <x v="0"/>
    <n v="0"/>
    <x v="1"/>
  </r>
  <r>
    <x v="2293"/>
    <x v="1193"/>
    <x v="32"/>
    <s v="Ghana"/>
    <s v="Liberia"/>
    <n v="1"/>
    <n v="3"/>
    <s v="FIFA World Cup qualification"/>
    <s v="Accra"/>
    <s v="Ghana"/>
    <b v="0"/>
    <n v="2001"/>
    <n v="5314872854"/>
    <n v="906000000"/>
    <x v="0"/>
    <n v="-1"/>
    <x v="0"/>
  </r>
  <r>
    <x v="2294"/>
    <x v="1193"/>
    <x v="32"/>
    <s v="Togo"/>
    <s v="Cameroon"/>
    <n v="0"/>
    <n v="2"/>
    <s v="FIFA World Cup qualification"/>
    <s v="Lom√©"/>
    <s v="Togo"/>
    <b v="0"/>
    <n v="2001"/>
    <n v="2093498674"/>
    <n v="10953485349"/>
    <x v="0"/>
    <n v="1"/>
    <x v="2"/>
  </r>
  <r>
    <x v="2295"/>
    <x v="1194"/>
    <x v="32"/>
    <s v="Bahrain"/>
    <s v="Kuwait"/>
    <n v="1"/>
    <n v="2"/>
    <s v="FIFA World Cup qualification"/>
    <s v="Singapore"/>
    <s v="Singapore"/>
    <b v="1"/>
    <n v="2001"/>
    <n v="8976196808"/>
    <n v="34889559869"/>
    <x v="0"/>
    <n v="1"/>
    <x v="2"/>
  </r>
  <r>
    <x v="2296"/>
    <x v="1195"/>
    <x v="32"/>
    <s v="Singapore"/>
    <s v="Kuwait"/>
    <n v="1"/>
    <n v="1"/>
    <s v="FIFA World Cup qualification"/>
    <s v="Singapore"/>
    <s v="Singapore"/>
    <b v="0"/>
    <n v="2001"/>
    <n v="89793790669"/>
    <n v="34889559869"/>
    <x v="0"/>
    <n v="0"/>
    <x v="1"/>
  </r>
  <r>
    <x v="2297"/>
    <x v="1196"/>
    <x v="32"/>
    <s v="Saudi Arabia"/>
    <s v="Mongolia"/>
    <n v="6"/>
    <n v="0"/>
    <s v="FIFA World Cup qualification"/>
    <s v="Dammam"/>
    <s v="Saudi Arabia"/>
    <b v="0"/>
    <n v="2001"/>
    <n v="184137600000"/>
    <n v="1267997934"/>
    <x v="0"/>
    <n v="1"/>
    <x v="2"/>
  </r>
  <r>
    <x v="2298"/>
    <x v="1196"/>
    <x v="32"/>
    <s v="Vietnam"/>
    <s v="Bangladesh"/>
    <n v="0"/>
    <n v="0"/>
    <s v="FIFA World Cup qualification"/>
    <s v="Dammam"/>
    <s v="Saudi Arabia"/>
    <b v="1"/>
    <n v="2001"/>
    <n v="32685198808"/>
    <n v="53991289844"/>
    <x v="1"/>
    <n v="0"/>
    <x v="1"/>
  </r>
  <r>
    <x v="2299"/>
    <x v="1197"/>
    <x v="32"/>
    <s v="Singapore"/>
    <s v="Bahrain"/>
    <n v="1"/>
    <n v="2"/>
    <s v="FIFA World Cup qualification"/>
    <s v="Singapore"/>
    <s v="Singapore"/>
    <b v="0"/>
    <n v="2001"/>
    <n v="89793790669"/>
    <n v="8976196808"/>
    <x v="0"/>
    <n v="-1"/>
    <x v="0"/>
  </r>
  <r>
    <x v="2300"/>
    <x v="1198"/>
    <x v="32"/>
    <s v="Mongolia"/>
    <s v="Vietnam"/>
    <n v="0"/>
    <n v="1"/>
    <s v="FIFA World Cup qualification"/>
    <s v="Dammam"/>
    <s v="Saudi Arabia"/>
    <b v="1"/>
    <n v="2001"/>
    <n v="1267997934"/>
    <n v="32685198808"/>
    <x v="0"/>
    <n v="1"/>
    <x v="2"/>
  </r>
  <r>
    <x v="2301"/>
    <x v="1198"/>
    <x v="32"/>
    <s v="Saudi Arabia"/>
    <s v="Bangladesh"/>
    <n v="3"/>
    <n v="0"/>
    <s v="FIFA World Cup qualification"/>
    <s v="Dammam"/>
    <s v="Saudi Arabia"/>
    <b v="0"/>
    <n v="2001"/>
    <n v="184137600000"/>
    <n v="53991289844"/>
    <x v="0"/>
    <n v="1"/>
    <x v="2"/>
  </r>
  <r>
    <x v="2302"/>
    <x v="1199"/>
    <x v="32"/>
    <s v="Mongolia"/>
    <s v="Bangladesh"/>
    <n v="0"/>
    <n v="3"/>
    <s v="FIFA World Cup qualification"/>
    <s v="Dammam"/>
    <s v="Saudi Arabia"/>
    <b v="1"/>
    <n v="2001"/>
    <n v="1267997934"/>
    <n v="53991289844"/>
    <x v="0"/>
    <n v="1"/>
    <x v="2"/>
  </r>
  <r>
    <x v="2303"/>
    <x v="1199"/>
    <x v="32"/>
    <s v="Saudi Arabia"/>
    <s v="Vietnam"/>
    <n v="5"/>
    <n v="0"/>
    <s v="FIFA World Cup qualification"/>
    <s v="Dammam"/>
    <s v="Saudi Arabia"/>
    <b v="0"/>
    <n v="2001"/>
    <n v="184137600000"/>
    <n v="32685198808"/>
    <x v="0"/>
    <n v="1"/>
    <x v="2"/>
  </r>
  <r>
    <x v="2304"/>
    <x v="1200"/>
    <x v="32"/>
    <s v="Bangladesh"/>
    <s v="Vietnam"/>
    <n v="0"/>
    <n v="4"/>
    <s v="FIFA World Cup qualification"/>
    <s v="Dammam"/>
    <s v="Saudi Arabia"/>
    <b v="1"/>
    <n v="2001"/>
    <n v="53991289844"/>
    <n v="32685198808"/>
    <x v="1"/>
    <n v="-1"/>
    <x v="0"/>
  </r>
  <r>
    <x v="2305"/>
    <x v="1200"/>
    <x v="32"/>
    <s v="Saudi Arabia"/>
    <s v="Mongolia"/>
    <n v="6"/>
    <n v="0"/>
    <s v="FIFA World Cup qualification"/>
    <s v="Dammam"/>
    <s v="Saudi Arabia"/>
    <b v="0"/>
    <n v="2001"/>
    <n v="184137600000"/>
    <n v="1267997934"/>
    <x v="0"/>
    <n v="1"/>
    <x v="2"/>
  </r>
  <r>
    <x v="2306"/>
    <x v="1201"/>
    <x v="32"/>
    <s v="Saudi Arabia"/>
    <s v="Bangladesh"/>
    <n v="6"/>
    <n v="0"/>
    <s v="FIFA World Cup qualification"/>
    <s v="Dammam"/>
    <s v="Saudi Arabia"/>
    <b v="0"/>
    <n v="2001"/>
    <n v="184137600000"/>
    <n v="53991289844"/>
    <x v="0"/>
    <n v="1"/>
    <x v="2"/>
  </r>
  <r>
    <x v="2307"/>
    <x v="1201"/>
    <x v="32"/>
    <s v="Vietnam"/>
    <s v="Mongolia"/>
    <n v="4"/>
    <n v="0"/>
    <s v="FIFA World Cup qualification"/>
    <s v="Dammam"/>
    <s v="Saudi Arabia"/>
    <b v="1"/>
    <n v="2001"/>
    <n v="32685198808"/>
    <n v="1267997934"/>
    <x v="0"/>
    <n v="1"/>
    <x v="2"/>
  </r>
  <r>
    <x v="2308"/>
    <x v="1202"/>
    <x v="32"/>
    <s v="Bangladesh"/>
    <s v="Mongolia"/>
    <n v="2"/>
    <n v="2"/>
    <s v="FIFA World Cup qualification"/>
    <s v="Dammam"/>
    <s v="Saudi Arabia"/>
    <b v="1"/>
    <n v="2001"/>
    <n v="53991289844"/>
    <n v="1267997934"/>
    <x v="0"/>
    <n v="0"/>
    <x v="1"/>
  </r>
  <r>
    <x v="2309"/>
    <x v="1202"/>
    <x v="32"/>
    <s v="Saudi Arabia"/>
    <s v="Vietnam"/>
    <n v="4"/>
    <n v="0"/>
    <s v="FIFA World Cup qualification"/>
    <s v="Dammam"/>
    <s v="Saudi Arabia"/>
    <b v="0"/>
    <n v="2001"/>
    <n v="184137600000"/>
    <n v="32685198808"/>
    <x v="0"/>
    <n v="1"/>
    <x v="2"/>
  </r>
  <r>
    <x v="2310"/>
    <x v="1203"/>
    <x v="32"/>
    <s v="Kuwait"/>
    <s v="Singapore"/>
    <n v="1"/>
    <n v="0"/>
    <s v="FIFA World Cup qualification"/>
    <s v="Kuwait City"/>
    <s v="Kuwait"/>
    <b v="0"/>
    <n v="2001"/>
    <n v="34889559869"/>
    <n v="89793790669"/>
    <x v="0"/>
    <n v="-1"/>
    <x v="0"/>
  </r>
  <r>
    <x v="2311"/>
    <x v="1204"/>
    <x v="32"/>
    <s v="Libya"/>
    <s v="Togo"/>
    <n v="3"/>
    <n v="3"/>
    <s v="FIFA World Cup qualification"/>
    <s v="Benghazi"/>
    <s v="Libya"/>
    <b v="0"/>
    <n v="2001"/>
    <n v="34112093927"/>
    <n v="2093498674"/>
    <x v="0"/>
    <n v="0"/>
    <x v="1"/>
  </r>
  <r>
    <x v="2312"/>
    <x v="1205"/>
    <x v="32"/>
    <s v="Bahrain"/>
    <s v="Singapore"/>
    <n v="2"/>
    <n v="0"/>
    <s v="FIFA World Cup qualification"/>
    <s v="Kuwait City"/>
    <s v="Kuwait"/>
    <b v="1"/>
    <n v="2001"/>
    <n v="8976196808"/>
    <n v="89793790669"/>
    <x v="0"/>
    <n v="-1"/>
    <x v="0"/>
  </r>
  <r>
    <x v="2313"/>
    <x v="1205"/>
    <x v="32"/>
    <s v="Burkina Faso"/>
    <s v="Zimbabwe"/>
    <n v="1"/>
    <n v="2"/>
    <s v="FIFA World Cup qualification"/>
    <s v="Bobo Dioulasso"/>
    <s v="Burkina Faso"/>
    <b v="0"/>
    <n v="2001"/>
    <n v="3190371080"/>
    <n v="6780750000"/>
    <x v="0"/>
    <n v="1"/>
    <x v="2"/>
  </r>
  <r>
    <x v="2314"/>
    <x v="1205"/>
    <x v="32"/>
    <s v="Morocco"/>
    <s v="Senegal"/>
    <n v="0"/>
    <n v="0"/>
    <s v="FIFA World Cup qualification"/>
    <s v="Rabat"/>
    <s v="Morocco"/>
    <b v="0"/>
    <n v="2001"/>
    <n v="43831480207"/>
    <n v="6507824829"/>
    <x v="0"/>
    <n v="0"/>
    <x v="1"/>
  </r>
  <r>
    <x v="2315"/>
    <x v="1205"/>
    <x v="32"/>
    <s v="Namibia"/>
    <s v="Egypt"/>
    <n v="1"/>
    <n v="1"/>
    <s v="FIFA World Cup qualification"/>
    <s v="Windhoek"/>
    <s v="Namibia"/>
    <b v="0"/>
    <n v="2001"/>
    <n v="3557341215"/>
    <n v="96684636118"/>
    <x v="0"/>
    <n v="0"/>
    <x v="1"/>
  </r>
  <r>
    <x v="2316"/>
    <x v="1206"/>
    <x v="32"/>
    <s v="Cameroon"/>
    <s v="Zambia"/>
    <n v="1"/>
    <n v="0"/>
    <s v="FIFA World Cup qualification"/>
    <s v="Yaound√©"/>
    <s v="Cameroon"/>
    <b v="0"/>
    <n v="2001"/>
    <n v="10953485349"/>
    <n v="4094441301"/>
    <x v="0"/>
    <n v="1"/>
    <x v="2"/>
  </r>
  <r>
    <x v="2317"/>
    <x v="1206"/>
    <x v="32"/>
    <s v="Liberia"/>
    <s v="Sierra Leone"/>
    <n v="1"/>
    <n v="0"/>
    <s v="FIFA World Cup qualification"/>
    <s v="Paynesville"/>
    <s v="Liberia"/>
    <b v="0"/>
    <n v="2001"/>
    <n v="906000000"/>
    <n v="1681473893"/>
    <x v="1"/>
    <n v="-1"/>
    <x v="0"/>
  </r>
  <r>
    <x v="2318"/>
    <x v="1206"/>
    <x v="32"/>
    <s v="Malawi"/>
    <s v="South Africa"/>
    <n v="1"/>
    <n v="2"/>
    <s v="FIFA World Cup qualification"/>
    <s v="Blantyre"/>
    <s v="Malawi"/>
    <b v="0"/>
    <n v="2001"/>
    <n v="2498008664"/>
    <n v="135429905922"/>
    <x v="0"/>
    <n v="1"/>
    <x v="2"/>
  </r>
  <r>
    <x v="2319"/>
    <x v="1206"/>
    <x v="32"/>
    <s v="Sudan"/>
    <s v="Ghana"/>
    <n v="1"/>
    <n v="0"/>
    <s v="FIFA World Cup qualification"/>
    <s v="Omdurman"/>
    <s v="Sudan"/>
    <b v="0"/>
    <n v="2001"/>
    <n v="15716361792"/>
    <n v="5314872854"/>
    <x v="0"/>
    <n v="1"/>
    <x v="2"/>
  </r>
  <r>
    <x v="2320"/>
    <x v="1207"/>
    <x v="32"/>
    <s v="Kuwait"/>
    <s v="Bahrain"/>
    <n v="0"/>
    <n v="1"/>
    <s v="FIFA World Cup qualification"/>
    <s v="Kuwait City"/>
    <s v="Kuwait"/>
    <b v="0"/>
    <n v="2001"/>
    <n v="34889559869"/>
    <n v="8976196808"/>
    <x v="0"/>
    <n v="-1"/>
    <x v="0"/>
  </r>
  <r>
    <x v="2321"/>
    <x v="1208"/>
    <x v="32"/>
    <s v="Belgium"/>
    <s v="San Marino"/>
    <n v="10"/>
    <n v="1"/>
    <s v="FIFA World Cup qualification"/>
    <s v="Brussels"/>
    <s v="Belgium"/>
    <b v="0"/>
    <n v="2001"/>
    <n v="236746141604"/>
    <n v="1059529812"/>
    <x v="0"/>
    <n v="1"/>
    <x v="2"/>
  </r>
  <r>
    <x v="2322"/>
    <x v="1208"/>
    <x v="32"/>
    <s v="Costa Rica"/>
    <s v="Honduras"/>
    <n v="2"/>
    <n v="2"/>
    <s v="FIFA World Cup qualification"/>
    <s v="San Jos√©"/>
    <s v="Costa Rica"/>
    <b v="0"/>
    <n v="2001"/>
    <n v="15976174336"/>
    <n v="7651162302"/>
    <x v="0"/>
    <n v="0"/>
    <x v="1"/>
  </r>
  <r>
    <x v="2323"/>
    <x v="1208"/>
    <x v="32"/>
    <s v="Jamaica"/>
    <s v="Trinidad and Tobago"/>
    <n v="1"/>
    <n v="0"/>
    <s v="FIFA World Cup qualification"/>
    <s v="Kingston"/>
    <s v="Jamaica"/>
    <b v="0"/>
    <n v="2001"/>
    <n v="9194727831"/>
    <n v="8824849191"/>
    <x v="1"/>
    <n v="1"/>
    <x v="2"/>
  </r>
  <r>
    <x v="2324"/>
    <x v="1208"/>
    <x v="32"/>
    <s v="Portugal"/>
    <s v="Andorra"/>
    <n v="3"/>
    <n v="0"/>
    <s v="FIFA World Cup qualification"/>
    <s v="Funchal"/>
    <s v="Portugal"/>
    <b v="0"/>
    <n v="2001"/>
    <n v="121604107164"/>
    <n v="1548265926"/>
    <x v="0"/>
    <n v="1"/>
    <x v="2"/>
  </r>
  <r>
    <x v="2325"/>
    <x v="1208"/>
    <x v="32"/>
    <s v="United States"/>
    <s v="Mexico"/>
    <n v="2"/>
    <n v="0"/>
    <s v="FIFA World Cup qualification"/>
    <s v="Columbus"/>
    <s v="United States"/>
    <b v="0"/>
    <n v="2001"/>
    <n v="10581929774000"/>
    <n v="796064590549"/>
    <x v="0"/>
    <n v="1"/>
    <x v="2"/>
  </r>
  <r>
    <x v="2326"/>
    <x v="1209"/>
    <x v="32"/>
    <s v="Qatar"/>
    <s v="Malaysia"/>
    <n v="5"/>
    <n v="1"/>
    <s v="FIFA World Cup qualification"/>
    <s v="So Kon Po"/>
    <s v="Hong Kong"/>
    <b v="1"/>
    <n v="2001"/>
    <n v="17538461538"/>
    <n v="92783947368"/>
    <x v="0"/>
    <n v="-1"/>
    <x v="0"/>
  </r>
  <r>
    <x v="2327"/>
    <x v="1210"/>
    <x v="32"/>
    <s v="Senegal"/>
    <s v="Namibia"/>
    <n v="4"/>
    <n v="0"/>
    <s v="FIFA World Cup qualification"/>
    <s v="Dakar"/>
    <s v="Senegal"/>
    <b v="0"/>
    <n v="2001"/>
    <n v="6507824829"/>
    <n v="3557341215"/>
    <x v="1"/>
    <n v="1"/>
    <x v="2"/>
  </r>
  <r>
    <x v="2328"/>
    <x v="1210"/>
    <x v="32"/>
    <s v="Sierra Leone"/>
    <s v="Sudan"/>
    <n v="0"/>
    <n v="2"/>
    <s v="FIFA World Cup qualification"/>
    <s v="Freetown"/>
    <s v="Sierra Leone"/>
    <b v="0"/>
    <n v="2001"/>
    <n v="1681473893"/>
    <n v="15716361792"/>
    <x v="0"/>
    <n v="1"/>
    <x v="2"/>
  </r>
  <r>
    <x v="2329"/>
    <x v="1210"/>
    <x v="32"/>
    <s v="Zambia"/>
    <s v="Libya"/>
    <n v="2"/>
    <n v="0"/>
    <s v="FIFA World Cup qualification"/>
    <s v="Chingola"/>
    <s v="Zambia"/>
    <b v="0"/>
    <n v="2001"/>
    <n v="4094441301"/>
    <n v="34112093927"/>
    <x v="0"/>
    <n v="-1"/>
    <x v="0"/>
  </r>
  <r>
    <x v="2330"/>
    <x v="1211"/>
    <x v="32"/>
    <s v="Egypt"/>
    <s v="Algeria"/>
    <n v="5"/>
    <n v="2"/>
    <s v="FIFA World Cup qualification"/>
    <s v="Cairo"/>
    <s v="Egypt"/>
    <b v="0"/>
    <n v="2001"/>
    <n v="96684636118"/>
    <n v="59413400923"/>
    <x v="1"/>
    <n v="1"/>
    <x v="2"/>
  </r>
  <r>
    <x v="2331"/>
    <x v="1211"/>
    <x v="32"/>
    <s v="Ghana"/>
    <s v="Nigeria"/>
    <n v="0"/>
    <n v="0"/>
    <s v="FIFA World Cup qualification"/>
    <s v="Accra"/>
    <s v="Ghana"/>
    <b v="0"/>
    <n v="2001"/>
    <n v="5314872854"/>
    <n v="73557840064"/>
    <x v="0"/>
    <n v="0"/>
    <x v="1"/>
  </r>
  <r>
    <x v="2332"/>
    <x v="1211"/>
    <x v="32"/>
    <s v="Togo"/>
    <s v="Angola"/>
    <n v="1"/>
    <n v="1"/>
    <s v="FIFA World Cup qualification"/>
    <s v="Lom√©"/>
    <s v="Togo"/>
    <b v="0"/>
    <n v="2001"/>
    <n v="2093498674"/>
    <n v="8936079117"/>
    <x v="0"/>
    <n v="0"/>
    <x v="1"/>
  </r>
  <r>
    <x v="2333"/>
    <x v="1211"/>
    <x v="32"/>
    <s v="Zimbabwe"/>
    <s v="Malawi"/>
    <n v="2"/>
    <n v="0"/>
    <s v="FIFA World Cup qualification"/>
    <s v="Harare"/>
    <s v="Zimbabwe"/>
    <b v="0"/>
    <n v="2001"/>
    <n v="6780750000"/>
    <n v="2498008664"/>
    <x v="0"/>
    <n v="1"/>
    <x v="2"/>
  </r>
  <r>
    <x v="2334"/>
    <x v="1212"/>
    <x v="32"/>
    <s v="Qatar"/>
    <s v="Malaysia"/>
    <n v="0"/>
    <n v="0"/>
    <s v="FIFA World Cup qualification"/>
    <s v="Doha"/>
    <s v="Qatar"/>
    <b v="0"/>
    <n v="2001"/>
    <n v="17538461538"/>
    <n v="92783947368"/>
    <x v="0"/>
    <n v="0"/>
    <x v="1"/>
  </r>
  <r>
    <x v="2335"/>
    <x v="1213"/>
    <x v="32"/>
    <s v="Andorra"/>
    <s v="Netherlands"/>
    <n v="0"/>
    <n v="5"/>
    <s v="FIFA World Cup qualification"/>
    <s v="Barcelona"/>
    <s v="Spain"/>
    <b v="1"/>
    <n v="2001"/>
    <n v="1548265926"/>
    <n v="432536219668"/>
    <x v="0"/>
    <n v="1"/>
    <x v="2"/>
  </r>
  <r>
    <x v="2336"/>
    <x v="1213"/>
    <x v="32"/>
    <s v="Azerbaijan"/>
    <s v="Moldova"/>
    <n v="0"/>
    <n v="0"/>
    <s v="FIFA World Cup qualification"/>
    <s v="Baku"/>
    <s v="Azerbaijan"/>
    <b v="0"/>
    <n v="2001"/>
    <n v="5707616203"/>
    <n v="1480673594"/>
    <x v="0"/>
    <n v="0"/>
    <x v="1"/>
  </r>
  <r>
    <x v="2337"/>
    <x v="1213"/>
    <x v="32"/>
    <s v="Bosnia and Herzegovina"/>
    <s v="Austria"/>
    <n v="1"/>
    <n v="1"/>
    <s v="FIFA World Cup qualification"/>
    <s v="Sarajevo"/>
    <s v="Bosnia and Herzegovina"/>
    <b v="0"/>
    <n v="2001"/>
    <n v="5800615374"/>
    <n v="196477206829"/>
    <x v="0"/>
    <n v="0"/>
    <x v="1"/>
  </r>
  <r>
    <x v="2338"/>
    <x v="1213"/>
    <x v="32"/>
    <s v="Bulgaria"/>
    <s v="Iceland"/>
    <n v="2"/>
    <n v="1"/>
    <s v="FIFA World Cup qualification"/>
    <s v="Sofia"/>
    <s v="Bulgaria"/>
    <b v="0"/>
    <n v="2001"/>
    <n v="14183446025"/>
    <n v="8323401820"/>
    <x v="1"/>
    <n v="1"/>
    <x v="2"/>
  </r>
  <r>
    <x v="2339"/>
    <x v="1213"/>
    <x v="32"/>
    <s v="Croatia"/>
    <s v="Latvia"/>
    <n v="4"/>
    <n v="1"/>
    <s v="FIFA World Cup qualification"/>
    <s v="Osijek"/>
    <s v="Croatia"/>
    <b v="0"/>
    <n v="2001"/>
    <n v="23066883849"/>
    <n v="8190888739"/>
    <x v="0"/>
    <n v="1"/>
    <x v="2"/>
  </r>
  <r>
    <x v="2340"/>
    <x v="1213"/>
    <x v="32"/>
    <s v="England"/>
    <s v="Finland"/>
    <n v="2"/>
    <n v="1"/>
    <s v="FIFA World Cup qualification"/>
    <s v="Liverpool"/>
    <s v="England"/>
    <b v="0"/>
    <n v="2001"/>
    <n v="1656171009068"/>
    <n v="129519672868"/>
    <x v="0"/>
    <n v="1"/>
    <x v="2"/>
  </r>
  <r>
    <x v="2341"/>
    <x v="1213"/>
    <x v="32"/>
    <s v="Germany"/>
    <s v="Albania"/>
    <n v="2"/>
    <n v="1"/>
    <s v="FIFA World Cup qualification"/>
    <s v="Leverkusen"/>
    <s v="Germany"/>
    <b v="0"/>
    <n v="2001"/>
    <n v="1966381496641"/>
    <n v="4059064033"/>
    <x v="0"/>
    <n v="1"/>
    <x v="2"/>
  </r>
  <r>
    <x v="2342"/>
    <x v="1213"/>
    <x v="32"/>
    <s v="Hungary"/>
    <s v="Lithuania"/>
    <n v="1"/>
    <n v="1"/>
    <s v="FIFA World Cup qualification"/>
    <s v="Budapest"/>
    <s v="Hungary"/>
    <b v="0"/>
    <n v="2001"/>
    <n v="53800068065"/>
    <n v="12260761329"/>
    <x v="0"/>
    <n v="0"/>
    <x v="1"/>
  </r>
  <r>
    <x v="2343"/>
    <x v="1213"/>
    <x v="32"/>
    <s v="Luxembourg"/>
    <s v="Faroe Islands"/>
    <n v="0"/>
    <n v="2"/>
    <s v="FIFA World Cup qualification"/>
    <s v="Luxembourg"/>
    <s v="Luxembourg"/>
    <b v="0"/>
    <n v="2001"/>
    <n v="21387533703"/>
    <n v="1160268212"/>
    <x v="0"/>
    <n v="-1"/>
    <x v="0"/>
  </r>
  <r>
    <x v="2344"/>
    <x v="1213"/>
    <x v="32"/>
    <s v="Malta"/>
    <s v="Denmark"/>
    <n v="0"/>
    <n v="5"/>
    <s v="FIFA World Cup qualification"/>
    <s v="Attard"/>
    <s v="Malta"/>
    <b v="0"/>
    <n v="2001"/>
    <n v="4070867133"/>
    <n v="164881594415"/>
    <x v="0"/>
    <n v="1"/>
    <x v="2"/>
  </r>
  <r>
    <x v="2345"/>
    <x v="1213"/>
    <x v="32"/>
    <s v="Norway"/>
    <s v="Poland"/>
    <n v="2"/>
    <n v="3"/>
    <s v="FIFA World Cup qualification"/>
    <s v="Oslo"/>
    <s v="Norway"/>
    <b v="0"/>
    <n v="2001"/>
    <n v="174239354070"/>
    <n v="191823200371"/>
    <x v="1"/>
    <n v="1"/>
    <x v="2"/>
  </r>
  <r>
    <x v="2346"/>
    <x v="1213"/>
    <x v="32"/>
    <s v="Romania"/>
    <s v="Italy"/>
    <n v="0"/>
    <n v="2"/>
    <s v="FIFA World Cup qualification"/>
    <s v="Bucharest"/>
    <s v="Romania"/>
    <b v="0"/>
    <n v="2001"/>
    <n v="40395116581"/>
    <n v="1172041488805"/>
    <x v="0"/>
    <n v="1"/>
    <x v="2"/>
  </r>
  <r>
    <x v="2347"/>
    <x v="1213"/>
    <x v="32"/>
    <s v="Russia"/>
    <s v="Slovenia"/>
    <n v="1"/>
    <n v="1"/>
    <s v="FIFA World Cup qualification"/>
    <s v="Moscow"/>
    <s v="Russia"/>
    <b v="0"/>
    <n v="2001"/>
    <n v="306602070620"/>
    <n v="20668868706"/>
    <x v="0"/>
    <n v="0"/>
    <x v="1"/>
  </r>
  <r>
    <x v="2348"/>
    <x v="1213"/>
    <x v="32"/>
    <s v="Serbia"/>
    <s v="Switzerland"/>
    <n v="1"/>
    <n v="1"/>
    <s v="FIFA World Cup qualification"/>
    <s v="Belgrade"/>
    <s v="FR Yugoslavia"/>
    <b v="0"/>
    <n v="2001"/>
    <n v="13599378661"/>
    <n v="286582672434"/>
    <x v="0"/>
    <n v="0"/>
    <x v="1"/>
  </r>
  <r>
    <x v="2349"/>
    <x v="1213"/>
    <x v="32"/>
    <s v="Spain"/>
    <s v="Liechtenstein"/>
    <n v="5"/>
    <n v="0"/>
    <s v="FIFA World Cup qualification"/>
    <s v="Alicante"/>
    <s v="Spain"/>
    <b v="0"/>
    <n v="2001"/>
    <n v="627798682378"/>
    <n v="2491800558"/>
    <x v="0"/>
    <n v="1"/>
    <x v="2"/>
  </r>
  <r>
    <x v="2350"/>
    <x v="1213"/>
    <x v="32"/>
    <s v="Sweden"/>
    <s v="North Macedonia"/>
    <n v="1"/>
    <n v="0"/>
    <s v="FIFA World Cup qualification"/>
    <s v="Gothenburg"/>
    <s v="Sweden"/>
    <b v="0"/>
    <n v="2001"/>
    <n v="242497797484"/>
    <n v="3709636030"/>
    <x v="0"/>
    <n v="1"/>
    <x v="2"/>
  </r>
  <r>
    <x v="2351"/>
    <x v="1213"/>
    <x v="32"/>
    <s v="Ukraine"/>
    <s v="Belarus"/>
    <n v="0"/>
    <n v="0"/>
    <s v="FIFA World Cup qualification"/>
    <s v="Kyiv"/>
    <s v="Ukraine"/>
    <b v="0"/>
    <n v="2001"/>
    <n v="39309580983"/>
    <n v="12354820143"/>
    <x v="0"/>
    <n v="0"/>
    <x v="1"/>
  </r>
  <r>
    <x v="2352"/>
    <x v="1214"/>
    <x v="32"/>
    <s v="Costa Rica"/>
    <s v="Trinidad and Tobago"/>
    <n v="3"/>
    <n v="0"/>
    <s v="FIFA World Cup qualification"/>
    <s v="Alajuela"/>
    <s v="Costa Rica"/>
    <b v="0"/>
    <n v="2001"/>
    <n v="15976174336"/>
    <n v="8824849191"/>
    <x v="1"/>
    <n v="1"/>
    <x v="2"/>
  </r>
  <r>
    <x v="2353"/>
    <x v="1214"/>
    <x v="32"/>
    <s v="Mexico"/>
    <s v="Jamaica"/>
    <n v="4"/>
    <n v="0"/>
    <s v="FIFA World Cup qualification"/>
    <s v="Mexico City"/>
    <s v="Mexico"/>
    <b v="0"/>
    <n v="2001"/>
    <n v="796064590549"/>
    <n v="9194727831"/>
    <x v="0"/>
    <n v="1"/>
    <x v="2"/>
  </r>
  <r>
    <x v="2354"/>
    <x v="1215"/>
    <x v="32"/>
    <s v="Colombia"/>
    <s v="Bolivia"/>
    <n v="2"/>
    <n v="0"/>
    <s v="FIFA World Cup qualification"/>
    <s v="Bogot√°"/>
    <s v="Colombia"/>
    <b v="0"/>
    <n v="2001"/>
    <n v="98200641203"/>
    <n v="8141516928"/>
    <x v="0"/>
    <n v="1"/>
    <x v="2"/>
  </r>
  <r>
    <x v="2355"/>
    <x v="1215"/>
    <x v="32"/>
    <s v="Peru"/>
    <s v="Chile"/>
    <n v="3"/>
    <n v="1"/>
    <s v="FIFA World Cup qualification"/>
    <s v="Lima"/>
    <s v="Peru"/>
    <b v="0"/>
    <n v="2001"/>
    <n v="52030158775"/>
    <n v="71574739561"/>
    <x v="1"/>
    <n v="-1"/>
    <x v="0"/>
  </r>
  <r>
    <x v="2356"/>
    <x v="1216"/>
    <x v="32"/>
    <s v="Albania"/>
    <s v="England"/>
    <n v="1"/>
    <n v="3"/>
    <s v="FIFA World Cup qualification"/>
    <s v="Tirana"/>
    <s v="Albania"/>
    <b v="0"/>
    <n v="2001"/>
    <n v="4059064033"/>
    <n v="1656171009068"/>
    <x v="0"/>
    <n v="1"/>
    <x v="2"/>
  </r>
  <r>
    <x v="2357"/>
    <x v="1216"/>
    <x v="32"/>
    <s v="Argentina"/>
    <s v="Venezuela"/>
    <n v="5"/>
    <n v="0"/>
    <s v="FIFA World Cup qualification"/>
    <s v="Buenos Aires"/>
    <s v="Argentina"/>
    <b v="0"/>
    <n v="2001"/>
    <n v="268696750000"/>
    <n v="122911036746"/>
    <x v="0"/>
    <n v="1"/>
    <x v="2"/>
  </r>
  <r>
    <x v="2358"/>
    <x v="1216"/>
    <x v="32"/>
    <s v="Austria"/>
    <s v="Israel"/>
    <n v="2"/>
    <n v="1"/>
    <s v="FIFA World Cup qualification"/>
    <s v="Vienna"/>
    <s v="Austria"/>
    <b v="0"/>
    <n v="2001"/>
    <n v="196477206829"/>
    <n v="135002039612"/>
    <x v="1"/>
    <n v="1"/>
    <x v="2"/>
  </r>
  <r>
    <x v="2359"/>
    <x v="1216"/>
    <x v="32"/>
    <s v="Belarus"/>
    <s v="Norway"/>
    <n v="2"/>
    <n v="1"/>
    <s v="FIFA World Cup qualification"/>
    <s v="Minsk"/>
    <s v="Belarus"/>
    <b v="0"/>
    <n v="2001"/>
    <n v="12354820143"/>
    <n v="174239354070"/>
    <x v="0"/>
    <n v="-1"/>
    <x v="0"/>
  </r>
  <r>
    <x v="2360"/>
    <x v="1216"/>
    <x v="32"/>
    <s v="Cyprus"/>
    <s v="Estonia"/>
    <n v="2"/>
    <n v="2"/>
    <s v="FIFA World Cup qualification"/>
    <s v="Limassol"/>
    <s v="Cyprus"/>
    <b v="0"/>
    <n v="2001"/>
    <n v="10397898907"/>
    <n v="6250218422"/>
    <x v="1"/>
    <n v="0"/>
    <x v="1"/>
  </r>
  <r>
    <x v="2361"/>
    <x v="1216"/>
    <x v="32"/>
    <s v="Ecuador"/>
    <s v="Brazil"/>
    <n v="1"/>
    <n v="0"/>
    <s v="FIFA World Cup qualification"/>
    <s v="Quito"/>
    <s v="Ecuador"/>
    <b v="0"/>
    <n v="2001"/>
    <n v="23127055000"/>
    <n v="559983704094"/>
    <x v="0"/>
    <n v="-1"/>
    <x v="0"/>
  </r>
  <r>
    <x v="2362"/>
    <x v="1216"/>
    <x v="32"/>
    <s v="Georgia"/>
    <s v="Romania"/>
    <n v="0"/>
    <n v="2"/>
    <s v="FIFA World Cup qualification"/>
    <s v="Tbilisi"/>
    <s v="Georgia"/>
    <b v="0"/>
    <n v="2001"/>
    <n v="3219462262"/>
    <n v="40395116581"/>
    <x v="0"/>
    <n v="1"/>
    <x v="2"/>
  </r>
  <r>
    <x v="2363"/>
    <x v="1216"/>
    <x v="32"/>
    <s v="Greece"/>
    <s v="Germany"/>
    <n v="2"/>
    <n v="4"/>
    <s v="FIFA World Cup qualification"/>
    <s v="Athens"/>
    <s v="Greece"/>
    <b v="0"/>
    <n v="2001"/>
    <n v="132050474720"/>
    <n v="1966381496641"/>
    <x v="0"/>
    <n v="1"/>
    <x v="2"/>
  </r>
  <r>
    <x v="2364"/>
    <x v="1216"/>
    <x v="32"/>
    <s v="Honduras"/>
    <s v="United States"/>
    <n v="1"/>
    <n v="2"/>
    <s v="FIFA World Cup qualification"/>
    <s v="San Pedro Sula"/>
    <s v="Honduras"/>
    <b v="0"/>
    <n v="2001"/>
    <n v="7651162302"/>
    <n v="10581929774000"/>
    <x v="0"/>
    <n v="1"/>
    <x v="2"/>
  </r>
  <r>
    <x v="2365"/>
    <x v="1216"/>
    <x v="32"/>
    <s v="Italy"/>
    <s v="Lithuania"/>
    <n v="4"/>
    <n v="0"/>
    <s v="FIFA World Cup qualification"/>
    <s v="Trieste"/>
    <s v="Italy"/>
    <b v="0"/>
    <n v="2001"/>
    <n v="1172041488805"/>
    <n v="12260761329"/>
    <x v="0"/>
    <n v="1"/>
    <x v="2"/>
  </r>
  <r>
    <x v="2366"/>
    <x v="1216"/>
    <x v="32"/>
    <s v="Liechtenstein"/>
    <s v="Bosnia and Herzegovina"/>
    <n v="0"/>
    <n v="3"/>
    <s v="FIFA World Cup qualification"/>
    <s v="Vaduz"/>
    <s v="Liechtenstein"/>
    <b v="0"/>
    <n v="2001"/>
    <n v="2491800558"/>
    <n v="5800615374"/>
    <x v="0"/>
    <n v="1"/>
    <x v="2"/>
  </r>
  <r>
    <x v="2367"/>
    <x v="1216"/>
    <x v="32"/>
    <s v="Moldova"/>
    <s v="Sweden"/>
    <n v="0"/>
    <n v="2"/>
    <s v="FIFA World Cup qualification"/>
    <s v="Chi»ôinƒÉu"/>
    <s v="Moldova"/>
    <b v="0"/>
    <n v="2001"/>
    <n v="1480673594"/>
    <n v="242497797484"/>
    <x v="0"/>
    <n v="1"/>
    <x v="2"/>
  </r>
  <r>
    <x v="2368"/>
    <x v="1216"/>
    <x v="32"/>
    <s v="Poland"/>
    <s v="Armenia"/>
    <n v="4"/>
    <n v="0"/>
    <s v="FIFA World Cup qualification"/>
    <s v="Warsaw"/>
    <s v="Poland"/>
    <b v="0"/>
    <n v="2001"/>
    <n v="191823200371"/>
    <n v="2118467913"/>
    <x v="0"/>
    <n v="1"/>
    <x v="2"/>
  </r>
  <r>
    <x v="2369"/>
    <x v="1216"/>
    <x v="32"/>
    <s v="Portugal"/>
    <s v="Netherlands"/>
    <n v="2"/>
    <n v="2"/>
    <s v="FIFA World Cup qualification"/>
    <s v="Porto"/>
    <s v="Portugal"/>
    <b v="0"/>
    <n v="2001"/>
    <n v="121604107164"/>
    <n v="432536219668"/>
    <x v="0"/>
    <n v="0"/>
    <x v="1"/>
  </r>
  <r>
    <x v="2370"/>
    <x v="1216"/>
    <x v="32"/>
    <s v="Russia"/>
    <s v="Faroe Islands"/>
    <n v="1"/>
    <n v="0"/>
    <s v="FIFA World Cup qualification"/>
    <s v="Moscow"/>
    <s v="Russia"/>
    <b v="0"/>
    <n v="2001"/>
    <n v="306602070620"/>
    <n v="1160268212"/>
    <x v="0"/>
    <n v="1"/>
    <x v="2"/>
  </r>
  <r>
    <x v="2371"/>
    <x v="1216"/>
    <x v="32"/>
    <s v="Slovenia"/>
    <s v="Serbia"/>
    <n v="1"/>
    <n v="1"/>
    <s v="FIFA World Cup qualification"/>
    <s v="Ljubljana"/>
    <s v="Slovenia"/>
    <b v="0"/>
    <n v="2001"/>
    <n v="20668868706"/>
    <n v="13599378661"/>
    <x v="1"/>
    <n v="0"/>
    <x v="1"/>
  </r>
  <r>
    <x v="2372"/>
    <x v="1216"/>
    <x v="32"/>
    <s v="Switzerland"/>
    <s v="Luxembourg"/>
    <n v="5"/>
    <n v="0"/>
    <s v="FIFA World Cup qualification"/>
    <s v="Z√ºrich"/>
    <s v="Switzerland"/>
    <b v="0"/>
    <n v="2001"/>
    <n v="286582672434"/>
    <n v="21387533703"/>
    <x v="0"/>
    <n v="1"/>
    <x v="2"/>
  </r>
  <r>
    <x v="2373"/>
    <x v="1216"/>
    <x v="32"/>
    <s v="Uruguay"/>
    <s v="Paraguay"/>
    <n v="0"/>
    <n v="1"/>
    <s v="FIFA World Cup qualification"/>
    <s v="Montevideo"/>
    <s v="Uruguay"/>
    <b v="0"/>
    <n v="2001"/>
    <n v="20898761742"/>
    <n v="8495806432"/>
    <x v="0"/>
    <n v="-1"/>
    <x v="0"/>
  </r>
  <r>
    <x v="2374"/>
    <x v="1217"/>
    <x v="32"/>
    <s v="Maldives"/>
    <s v="Cambodia"/>
    <n v="6"/>
    <n v="0"/>
    <s v="FIFA World Cup qualification"/>
    <s v="Mal√©"/>
    <s v="Maldives"/>
    <b v="0"/>
    <n v="2001"/>
    <n v="870031676"/>
    <n v="4145665969"/>
    <x v="0"/>
    <n v="-1"/>
    <x v="0"/>
  </r>
  <r>
    <x v="2375"/>
    <x v="1218"/>
    <x v="32"/>
    <s v="Samoa"/>
    <s v="Tonga"/>
    <n v="0"/>
    <n v="1"/>
    <s v="FIFA World Cup qualification"/>
    <s v="Coffs Harbour"/>
    <s v="Australia"/>
    <b v="1"/>
    <n v="2001"/>
    <n v="266299591"/>
    <n v="181117230"/>
    <x v="1"/>
    <n v="-1"/>
    <x v="0"/>
  </r>
  <r>
    <x v="2376"/>
    <x v="1219"/>
    <x v="32"/>
    <s v="India"/>
    <s v="United Arab Emirates"/>
    <n v="1"/>
    <n v="0"/>
    <s v="FIFA World Cup qualification"/>
    <s v="Bangalore"/>
    <s v="India"/>
    <b v="0"/>
    <n v="2001"/>
    <n v="485440139204"/>
    <n v="103311640571"/>
    <x v="0"/>
    <n v="1"/>
    <x v="2"/>
  </r>
  <r>
    <x v="2377"/>
    <x v="1219"/>
    <x v="32"/>
    <s v="Indonesia"/>
    <s v="Maldives"/>
    <n v="5"/>
    <n v="0"/>
    <s v="FIFA World Cup qualification"/>
    <s v="Jakarta"/>
    <s v="Indonesia"/>
    <b v="0"/>
    <n v="2001"/>
    <n v="160446947784"/>
    <n v="870031676"/>
    <x v="0"/>
    <n v="1"/>
    <x v="2"/>
  </r>
  <r>
    <x v="2378"/>
    <x v="1220"/>
    <x v="32"/>
    <s v="Australia"/>
    <s v="Tonga"/>
    <n v="22"/>
    <n v="0"/>
    <s v="FIFA World Cup qualification"/>
    <s v="Coffs Harbour"/>
    <s v="Australia"/>
    <b v="0"/>
    <n v="2001"/>
    <n v="380360222861"/>
    <n v="181117230"/>
    <x v="0"/>
    <n v="1"/>
    <x v="2"/>
  </r>
  <r>
    <x v="2379"/>
    <x v="1221"/>
    <x v="32"/>
    <s v="Samoa"/>
    <s v="Fiji"/>
    <n v="1"/>
    <n v="6"/>
    <s v="FIFA World Cup qualification"/>
    <s v="Coffs Harbour"/>
    <s v="Australia"/>
    <b v="1"/>
    <n v="2001"/>
    <n v="266299591"/>
    <n v="1652462023"/>
    <x v="0"/>
    <n v="1"/>
    <x v="2"/>
  </r>
  <r>
    <x v="2380"/>
    <x v="1222"/>
    <x v="32"/>
    <s v="Nepal"/>
    <s v="Kazakhstan"/>
    <n v="0"/>
    <n v="6"/>
    <s v="FIFA World Cup qualification"/>
    <s v="Baghdad"/>
    <s v="Iraq"/>
    <b v="1"/>
    <n v="2001"/>
    <n v="6007055042"/>
    <n v="22152689179"/>
    <x v="0"/>
    <n v="1"/>
    <x v="2"/>
  </r>
  <r>
    <x v="2381"/>
    <x v="1223"/>
    <x v="32"/>
    <s v="Australia"/>
    <s v="Fiji"/>
    <n v="2"/>
    <n v="0"/>
    <s v="FIFA World Cup qualification"/>
    <s v="Coffs Harbour"/>
    <s v="Australia"/>
    <b v="0"/>
    <n v="2001"/>
    <n v="380360222861"/>
    <n v="1652462023"/>
    <x v="0"/>
    <n v="1"/>
    <x v="2"/>
  </r>
  <r>
    <x v="2382"/>
    <x v="1223"/>
    <x v="32"/>
    <s v="Iraq"/>
    <s v="Nepal"/>
    <n v="9"/>
    <n v="1"/>
    <s v="FIFA World Cup qualification"/>
    <s v="Baghdad"/>
    <s v="Iraq"/>
    <b v="0"/>
    <n v="2001"/>
    <n v="36176430128"/>
    <n v="6007055042"/>
    <x v="0"/>
    <n v="1"/>
    <x v="2"/>
  </r>
  <r>
    <x v="2383"/>
    <x v="1224"/>
    <x v="32"/>
    <s v="Cambodia"/>
    <s v="Maldives"/>
    <n v="1"/>
    <n v="1"/>
    <s v="FIFA World Cup qualification"/>
    <s v="Phnom Penh"/>
    <s v="Cambodia"/>
    <b v="0"/>
    <n v="2001"/>
    <n v="4145665969"/>
    <n v="870031676"/>
    <x v="0"/>
    <n v="0"/>
    <x v="1"/>
  </r>
  <r>
    <x v="2384"/>
    <x v="1225"/>
    <x v="32"/>
    <s v="Australia"/>
    <s v="Samoa"/>
    <n v="11"/>
    <n v="0"/>
    <s v="FIFA World Cup qualification"/>
    <s v="Coffs Harbour"/>
    <s v="Australia"/>
    <b v="0"/>
    <n v="2001"/>
    <n v="380360222861"/>
    <n v="266299591"/>
    <x v="0"/>
    <n v="1"/>
    <x v="2"/>
  </r>
  <r>
    <x v="2385"/>
    <x v="1225"/>
    <x v="32"/>
    <s v="Iraq"/>
    <s v="Kazakhstan"/>
    <n v="1"/>
    <n v="1"/>
    <s v="FIFA World Cup qualification"/>
    <s v="Baghdad"/>
    <s v="Iraq"/>
    <b v="0"/>
    <n v="2001"/>
    <n v="36176430128"/>
    <n v="22152689179"/>
    <x v="1"/>
    <n v="0"/>
    <x v="1"/>
  </r>
  <r>
    <x v="2386"/>
    <x v="1225"/>
    <x v="32"/>
    <s v="Tonga"/>
    <s v="Fiji"/>
    <n v="1"/>
    <n v="8"/>
    <s v="FIFA World Cup qualification"/>
    <s v="Coffs Harbour"/>
    <s v="Australia"/>
    <b v="1"/>
    <n v="2001"/>
    <n v="181117230"/>
    <n v="1652462023"/>
    <x v="0"/>
    <n v="1"/>
    <x v="2"/>
  </r>
  <r>
    <x v="2387"/>
    <x v="1226"/>
    <x v="32"/>
    <s v="Burkina Faso"/>
    <s v="Malawi"/>
    <n v="4"/>
    <n v="2"/>
    <s v="FIFA World Cup qualification"/>
    <s v="Ouagadougou"/>
    <s v="Burkina Faso"/>
    <b v="0"/>
    <n v="2001"/>
    <n v="3190371080"/>
    <n v="2498008664"/>
    <x v="1"/>
    <n v="1"/>
    <x v="2"/>
  </r>
  <r>
    <x v="2388"/>
    <x v="1226"/>
    <x v="32"/>
    <s v="Kazakhstan"/>
    <s v="Nepal"/>
    <n v="4"/>
    <n v="0"/>
    <s v="FIFA World Cup qualification"/>
    <s v="Almaty"/>
    <s v="Kazakhstan"/>
    <b v="0"/>
    <n v="2001"/>
    <n v="22152689179"/>
    <n v="6007055042"/>
    <x v="0"/>
    <n v="1"/>
    <x v="2"/>
  </r>
  <r>
    <x v="2389"/>
    <x v="1226"/>
    <x v="32"/>
    <s v="Morocco"/>
    <s v="Namibia"/>
    <n v="3"/>
    <n v="0"/>
    <s v="FIFA World Cup qualification"/>
    <s v="Rabat"/>
    <s v="Morocco"/>
    <b v="0"/>
    <n v="2001"/>
    <n v="43831480207"/>
    <n v="3557341215"/>
    <x v="0"/>
    <n v="1"/>
    <x v="2"/>
  </r>
  <r>
    <x v="2390"/>
    <x v="1226"/>
    <x v="32"/>
    <s v="Senegal"/>
    <s v="Algeria"/>
    <n v="3"/>
    <n v="0"/>
    <s v="FIFA World Cup qualification"/>
    <s v="Dakar"/>
    <s v="Senegal"/>
    <b v="0"/>
    <n v="2001"/>
    <n v="6507824829"/>
    <n v="59413400923"/>
    <x v="0"/>
    <n v="-1"/>
    <x v="0"/>
  </r>
  <r>
    <x v="2391"/>
    <x v="1226"/>
    <x v="32"/>
    <s v="Sierra Leone"/>
    <s v="Nigeria"/>
    <n v="1"/>
    <n v="0"/>
    <s v="FIFA World Cup qualification"/>
    <s v="Freetown"/>
    <s v="Sierra Leone"/>
    <b v="0"/>
    <n v="2001"/>
    <n v="1681473893"/>
    <n v="73557840064"/>
    <x v="0"/>
    <n v="-1"/>
    <x v="0"/>
  </r>
  <r>
    <x v="2392"/>
    <x v="1226"/>
    <x v="32"/>
    <s v="Zambia"/>
    <s v="Angola"/>
    <n v="1"/>
    <n v="1"/>
    <s v="FIFA World Cup qualification"/>
    <s v="Chingola"/>
    <s v="Zambia"/>
    <b v="0"/>
    <n v="2001"/>
    <n v="4094441301"/>
    <n v="8936079117"/>
    <x v="0"/>
    <n v="0"/>
    <x v="1"/>
  </r>
  <r>
    <x v="2393"/>
    <x v="1227"/>
    <x v="32"/>
    <s v="Cameroon"/>
    <s v="Libya"/>
    <n v="1"/>
    <n v="0"/>
    <s v="FIFA World Cup qualification"/>
    <s v="Yaound√©"/>
    <s v="Cameroon"/>
    <b v="0"/>
    <n v="2001"/>
    <n v="10953485349"/>
    <n v="34112093927"/>
    <x v="0"/>
    <n v="-1"/>
    <x v="0"/>
  </r>
  <r>
    <x v="2394"/>
    <x v="1227"/>
    <x v="32"/>
    <s v="Indonesia"/>
    <s v="Cambodia"/>
    <n v="6"/>
    <n v="0"/>
    <s v="FIFA World Cup qualification"/>
    <s v="Jakarta"/>
    <s v="Indonesia"/>
    <b v="0"/>
    <n v="2001"/>
    <n v="160446947784"/>
    <n v="4145665969"/>
    <x v="0"/>
    <n v="1"/>
    <x v="2"/>
  </r>
  <r>
    <x v="2395"/>
    <x v="1227"/>
    <x v="32"/>
    <s v="Liberia"/>
    <s v="Sudan"/>
    <n v="2"/>
    <n v="0"/>
    <s v="FIFA World Cup qualification"/>
    <s v="Paynesville"/>
    <s v="Liberia"/>
    <b v="0"/>
    <n v="2001"/>
    <n v="906000000"/>
    <n v="15716361792"/>
    <x v="0"/>
    <n v="-1"/>
    <x v="0"/>
  </r>
  <r>
    <x v="2396"/>
    <x v="1228"/>
    <x v="32"/>
    <s v="Iraq"/>
    <s v="Nepal"/>
    <n v="4"/>
    <n v="2"/>
    <s v="FIFA World Cup qualification"/>
    <s v="Almaty"/>
    <s v="Kazakhstan"/>
    <b v="1"/>
    <n v="2001"/>
    <n v="36176430128"/>
    <n v="6007055042"/>
    <x v="0"/>
    <n v="1"/>
    <x v="2"/>
  </r>
  <r>
    <x v="2397"/>
    <x v="1228"/>
    <x v="32"/>
    <s v="Turkmenistan"/>
    <s v="Jordan"/>
    <n v="2"/>
    <n v="0"/>
    <s v="FIFA World Cup qualification"/>
    <s v="Tashkent"/>
    <s v="Uzbekistan"/>
    <b v="1"/>
    <n v="2001"/>
    <n v="3534772732"/>
    <n v="8975814652"/>
    <x v="0"/>
    <n v="-1"/>
    <x v="0"/>
  </r>
  <r>
    <x v="2398"/>
    <x v="1229"/>
    <x v="32"/>
    <s v="Chile"/>
    <s v="Uruguay"/>
    <n v="0"/>
    <n v="1"/>
    <s v="FIFA World Cup qualification"/>
    <s v="Santiago"/>
    <s v="Chile"/>
    <b v="0"/>
    <n v="2001"/>
    <n v="71574739561"/>
    <n v="20898761742"/>
    <x v="0"/>
    <n v="-1"/>
    <x v="0"/>
  </r>
  <r>
    <x v="2399"/>
    <x v="1229"/>
    <x v="32"/>
    <s v="Ecuador"/>
    <s v="Paraguay"/>
    <n v="2"/>
    <n v="1"/>
    <s v="FIFA World Cup qualification"/>
    <s v="Quito"/>
    <s v="Ecuador"/>
    <b v="0"/>
    <n v="2001"/>
    <n v="23127055000"/>
    <n v="8495806432"/>
    <x v="0"/>
    <n v="1"/>
    <x v="2"/>
  </r>
  <r>
    <x v="2400"/>
    <x v="1229"/>
    <x v="32"/>
    <s v="Venezuela"/>
    <s v="Colombia"/>
    <n v="2"/>
    <n v="2"/>
    <s v="FIFA World Cup qualification"/>
    <s v="San Crist√≥bal"/>
    <s v="Venezuela"/>
    <b v="0"/>
    <n v="2001"/>
    <n v="122911036746"/>
    <n v="98200641203"/>
    <x v="1"/>
    <n v="0"/>
    <x v="1"/>
  </r>
  <r>
    <x v="2401"/>
    <x v="1230"/>
    <x v="32"/>
    <s v="Austria"/>
    <s v="Liechtenstein"/>
    <n v="2"/>
    <n v="0"/>
    <s v="FIFA World Cup qualification"/>
    <s v="Innsbruck"/>
    <s v="Austria"/>
    <b v="0"/>
    <n v="2001"/>
    <n v="196477206829"/>
    <n v="2491800558"/>
    <x v="0"/>
    <n v="1"/>
    <x v="2"/>
  </r>
  <r>
    <x v="2402"/>
    <x v="1230"/>
    <x v="32"/>
    <s v="Bolivia"/>
    <s v="Argentina"/>
    <n v="3"/>
    <n v="3"/>
    <s v="FIFA World Cup qualification"/>
    <s v="La Paz"/>
    <s v="Bolivia"/>
    <b v="0"/>
    <n v="2001"/>
    <n v="8141516928"/>
    <n v="268696750000"/>
    <x v="0"/>
    <n v="0"/>
    <x v="1"/>
  </r>
  <r>
    <x v="2403"/>
    <x v="1230"/>
    <x v="32"/>
    <s v="Brazil"/>
    <s v="Peru"/>
    <n v="1"/>
    <n v="1"/>
    <s v="FIFA World Cup qualification"/>
    <s v="S√£o Paulo"/>
    <s v="Brazil"/>
    <b v="0"/>
    <n v="2001"/>
    <n v="559983704094"/>
    <n v="52030158775"/>
    <x v="0"/>
    <n v="0"/>
    <x v="1"/>
  </r>
  <r>
    <x v="2404"/>
    <x v="1230"/>
    <x v="32"/>
    <s v="Jamaica"/>
    <s v="Honduras"/>
    <n v="1"/>
    <n v="1"/>
    <s v="FIFA World Cup qualification"/>
    <s v="Kingston"/>
    <s v="Jamaica"/>
    <b v="0"/>
    <n v="2001"/>
    <n v="9194727831"/>
    <n v="7651162302"/>
    <x v="1"/>
    <n v="0"/>
    <x v="1"/>
  </r>
  <r>
    <x v="2405"/>
    <x v="1230"/>
    <x v="32"/>
    <s v="Kazakhstan"/>
    <s v="Iraq"/>
    <n v="1"/>
    <n v="1"/>
    <s v="FIFA World Cup qualification"/>
    <s v="Almaty"/>
    <s v="Kazakhstan"/>
    <b v="0"/>
    <n v="2001"/>
    <n v="22152689179"/>
    <n v="36176430128"/>
    <x v="1"/>
    <n v="0"/>
    <x v="1"/>
  </r>
  <r>
    <x v="2406"/>
    <x v="1230"/>
    <x v="32"/>
    <s v="Latvia"/>
    <s v="San Marino"/>
    <n v="1"/>
    <n v="1"/>
    <s v="FIFA World Cup qualification"/>
    <s v="Riga"/>
    <s v="Latvia"/>
    <b v="0"/>
    <n v="2001"/>
    <n v="8190888739"/>
    <n v="1059529812"/>
    <x v="0"/>
    <n v="0"/>
    <x v="1"/>
  </r>
  <r>
    <x v="2407"/>
    <x v="1230"/>
    <x v="32"/>
    <s v="Malta"/>
    <s v="Iceland"/>
    <n v="1"/>
    <n v="4"/>
    <s v="FIFA World Cup qualification"/>
    <s v="Attard"/>
    <s v="Malta"/>
    <b v="0"/>
    <n v="2001"/>
    <n v="4070867133"/>
    <n v="8323401820"/>
    <x v="0"/>
    <n v="1"/>
    <x v="2"/>
  </r>
  <r>
    <x v="2408"/>
    <x v="1230"/>
    <x v="32"/>
    <s v="Netherlands"/>
    <s v="Cyprus"/>
    <n v="4"/>
    <n v="0"/>
    <s v="FIFA World Cup qualification"/>
    <s v="Eindhoven"/>
    <s v="Netherlands"/>
    <b v="0"/>
    <n v="2001"/>
    <n v="432536219668"/>
    <n v="10397898907"/>
    <x v="0"/>
    <n v="1"/>
    <x v="2"/>
  </r>
  <r>
    <x v="2409"/>
    <x v="1230"/>
    <x v="32"/>
    <s v="Serbia"/>
    <s v="Russia"/>
    <n v="0"/>
    <n v="1"/>
    <s v="FIFA World Cup qualification"/>
    <s v="Belgrade"/>
    <s v="FR Yugoslavia"/>
    <b v="0"/>
    <n v="2001"/>
    <n v="13599378661"/>
    <n v="306602070620"/>
    <x v="0"/>
    <n v="1"/>
    <x v="2"/>
  </r>
  <r>
    <x v="2410"/>
    <x v="1230"/>
    <x v="32"/>
    <s v="Trinidad and Tobago"/>
    <s v="Mexico"/>
    <n v="1"/>
    <n v="1"/>
    <s v="FIFA World Cup qualification"/>
    <s v="Port of Spain"/>
    <s v="Trinidad and Tobago"/>
    <b v="0"/>
    <n v="2001"/>
    <n v="8824849191"/>
    <n v="796064590549"/>
    <x v="0"/>
    <n v="0"/>
    <x v="1"/>
  </r>
  <r>
    <x v="2411"/>
    <x v="1230"/>
    <x v="32"/>
    <s v="United States"/>
    <s v="Costa Rica"/>
    <n v="1"/>
    <n v="0"/>
    <s v="FIFA World Cup qualification"/>
    <s v="Kansas City"/>
    <s v="United States"/>
    <b v="0"/>
    <n v="2001"/>
    <n v="10581929774000"/>
    <n v="15976174336"/>
    <x v="0"/>
    <n v="1"/>
    <x v="2"/>
  </r>
  <r>
    <x v="2412"/>
    <x v="1230"/>
    <x v="32"/>
    <s v="Uzbekistan"/>
    <s v="Turkmenistan"/>
    <n v="1"/>
    <n v="0"/>
    <s v="FIFA World Cup qualification"/>
    <s v="Tashkent"/>
    <s v="Uzbekistan"/>
    <b v="0"/>
    <n v="2001"/>
    <n v="11401421329"/>
    <n v="3534772732"/>
    <x v="0"/>
    <n v="1"/>
    <x v="2"/>
  </r>
  <r>
    <x v="2413"/>
    <x v="1231"/>
    <x v="32"/>
    <s v="United Arab Emirates"/>
    <s v="India"/>
    <n v="1"/>
    <n v="0"/>
    <s v="FIFA World Cup qualification"/>
    <s v="Al Ain"/>
    <s v="United Arab Emirates"/>
    <b v="0"/>
    <n v="2001"/>
    <n v="103311640571"/>
    <n v="485440139204"/>
    <x v="0"/>
    <n v="-1"/>
    <x v="0"/>
  </r>
  <r>
    <x v="2414"/>
    <x v="1232"/>
    <x v="32"/>
    <s v="Uzbekistan"/>
    <s v="Jordan"/>
    <n v="2"/>
    <n v="2"/>
    <s v="FIFA World Cup qualification"/>
    <s v="Tashkent"/>
    <s v="Uzbekistan"/>
    <b v="0"/>
    <n v="2001"/>
    <n v="11401421329"/>
    <n v="8975814652"/>
    <x v="1"/>
    <n v="0"/>
    <x v="1"/>
  </r>
  <r>
    <x v="2415"/>
    <x v="1233"/>
    <x v="32"/>
    <s v="Cambodia"/>
    <s v="Indonesia"/>
    <n v="0"/>
    <n v="2"/>
    <s v="FIFA World Cup qualification"/>
    <s v="Phnom Penh"/>
    <s v="Cambodia"/>
    <b v="0"/>
    <n v="2001"/>
    <n v="4145665969"/>
    <n v="160446947784"/>
    <x v="0"/>
    <n v="1"/>
    <x v="2"/>
  </r>
  <r>
    <x v="2416"/>
    <x v="1234"/>
    <x v="32"/>
    <s v="Syria"/>
    <s v="Philippines"/>
    <n v="12"/>
    <n v="0"/>
    <s v="FIFA World Cup qualification"/>
    <s v="Aleppo"/>
    <s v="Syria"/>
    <b v="0"/>
    <n v="2001"/>
    <n v="20237024724"/>
    <n v="78921234457"/>
    <x v="0"/>
    <n v="-1"/>
    <x v="0"/>
  </r>
  <r>
    <x v="2417"/>
    <x v="1235"/>
    <x v="32"/>
    <s v="Turkmenistan"/>
    <s v="Uzbekistan"/>
    <n v="2"/>
    <n v="5"/>
    <s v="FIFA World Cup qualification"/>
    <s v="Amman"/>
    <s v="Jordan"/>
    <b v="1"/>
    <n v="2001"/>
    <n v="3534772732"/>
    <n v="11401421329"/>
    <x v="0"/>
    <n v="1"/>
    <x v="2"/>
  </r>
  <r>
    <x v="2418"/>
    <x v="1236"/>
    <x v="32"/>
    <s v="Algeria"/>
    <s v="Morocco"/>
    <n v="1"/>
    <n v="2"/>
    <s v="FIFA World Cup qualification"/>
    <s v="Algiers"/>
    <s v="Algeria"/>
    <b v="0"/>
    <n v="2001"/>
    <n v="59413400923"/>
    <n v="43831480207"/>
    <x v="1"/>
    <n v="-1"/>
    <x v="0"/>
  </r>
  <r>
    <x v="2419"/>
    <x v="1236"/>
    <x v="32"/>
    <s v="Syria"/>
    <s v="Philippines"/>
    <n v="5"/>
    <n v="1"/>
    <s v="FIFA World Cup qualification"/>
    <s v="Aleppo"/>
    <s v="Syria"/>
    <b v="0"/>
    <n v="2001"/>
    <n v="20237024724"/>
    <n v="78921234457"/>
    <x v="0"/>
    <n v="-1"/>
    <x v="0"/>
  </r>
  <r>
    <x v="2420"/>
    <x v="1237"/>
    <x v="32"/>
    <s v="Jordan"/>
    <s v="Turkmenistan"/>
    <n v="1"/>
    <n v="2"/>
    <s v="FIFA World Cup qualification"/>
    <s v="Amman"/>
    <s v="Jordan"/>
    <b v="0"/>
    <n v="2001"/>
    <n v="8975814652"/>
    <n v="3534772732"/>
    <x v="0"/>
    <n v="-1"/>
    <x v="0"/>
  </r>
  <r>
    <x v="2421"/>
    <x v="1237"/>
    <x v="32"/>
    <s v="Madagascar"/>
    <s v="Tunisia"/>
    <n v="0"/>
    <n v="2"/>
    <s v="FIFA World Cup qualification"/>
    <s v="Antananarivo"/>
    <s v="Madagascar"/>
    <b v="0"/>
    <n v="2001"/>
    <n v="5438332601"/>
    <n v="22065832448"/>
    <x v="0"/>
    <n v="1"/>
    <x v="2"/>
  </r>
  <r>
    <x v="2422"/>
    <x v="1237"/>
    <x v="32"/>
    <s v="Nigeria"/>
    <s v="Liberia"/>
    <n v="2"/>
    <n v="0"/>
    <s v="FIFA World Cup qualification"/>
    <s v="Port Harcourt"/>
    <s v="Nigeria"/>
    <b v="0"/>
    <n v="2001"/>
    <n v="73557840064"/>
    <n v="906000000"/>
    <x v="0"/>
    <n v="1"/>
    <x v="2"/>
  </r>
  <r>
    <x v="2423"/>
    <x v="1237"/>
    <x v="32"/>
    <s v="Sierra Leone"/>
    <s v="Ghana"/>
    <n v="1"/>
    <n v="1"/>
    <s v="FIFA World Cup qualification"/>
    <s v="Freetown"/>
    <s v="Sierra Leone"/>
    <b v="0"/>
    <n v="2001"/>
    <n v="1681473893"/>
    <n v="5314872854"/>
    <x v="0"/>
    <n v="0"/>
    <x v="1"/>
  </r>
  <r>
    <x v="2424"/>
    <x v="1237"/>
    <x v="32"/>
    <s v="South Africa"/>
    <s v="Zimbabwe"/>
    <n v="2"/>
    <n v="1"/>
    <s v="FIFA World Cup qualification"/>
    <s v="Johannesburg"/>
    <s v="South Africa"/>
    <b v="0"/>
    <n v="2001"/>
    <n v="135429905922"/>
    <n v="6780750000"/>
    <x v="0"/>
    <n v="1"/>
    <x v="2"/>
  </r>
  <r>
    <x v="2425"/>
    <x v="1238"/>
    <x v="32"/>
    <s v="Angola"/>
    <s v="Cameroon"/>
    <n v="2"/>
    <n v="0"/>
    <s v="FIFA World Cup qualification"/>
    <s v="Luanda"/>
    <s v="Angola"/>
    <b v="0"/>
    <n v="2001"/>
    <n v="8936079117"/>
    <n v="10953485349"/>
    <x v="1"/>
    <n v="-1"/>
    <x v="0"/>
  </r>
  <r>
    <x v="2426"/>
    <x v="1238"/>
    <x v="32"/>
    <s v="Egypt"/>
    <s v="Senegal"/>
    <n v="1"/>
    <n v="0"/>
    <s v="FIFA World Cup qualification"/>
    <s v="Cairo"/>
    <s v="Egypt"/>
    <b v="0"/>
    <n v="2001"/>
    <n v="96684636118"/>
    <n v="6507824829"/>
    <x v="0"/>
    <n v="1"/>
    <x v="2"/>
  </r>
  <r>
    <x v="2427"/>
    <x v="1238"/>
    <x v="32"/>
    <s v="Maldives"/>
    <s v="Indonesia"/>
    <n v="0"/>
    <n v="2"/>
    <s v="FIFA World Cup qualification"/>
    <s v="Mal√©"/>
    <s v="Maldives"/>
    <b v="0"/>
    <n v="2001"/>
    <n v="870031676"/>
    <n v="160446947784"/>
    <x v="0"/>
    <n v="1"/>
    <x v="2"/>
  </r>
  <r>
    <x v="2428"/>
    <x v="1238"/>
    <x v="32"/>
    <s v="Togo"/>
    <s v="Zambia"/>
    <n v="3"/>
    <n v="2"/>
    <s v="FIFA World Cup qualification"/>
    <s v="Lom√©"/>
    <s v="Togo"/>
    <b v="0"/>
    <n v="2001"/>
    <n v="2093498674"/>
    <n v="4094441301"/>
    <x v="1"/>
    <n v="-1"/>
    <x v="0"/>
  </r>
  <r>
    <x v="2429"/>
    <x v="1239"/>
    <x v="32"/>
    <s v="Jordan"/>
    <s v="Uzbekistan"/>
    <n v="1"/>
    <n v="1"/>
    <s v="FIFA World Cup qualification"/>
    <s v="Amman"/>
    <s v="Jordan"/>
    <b v="0"/>
    <n v="2001"/>
    <n v="8975814652"/>
    <n v="11401421329"/>
    <x v="1"/>
    <n v="0"/>
    <x v="1"/>
  </r>
  <r>
    <x v="2430"/>
    <x v="1239"/>
    <x v="32"/>
    <s v="Oman"/>
    <s v="Philippines"/>
    <n v="7"/>
    <n v="0"/>
    <s v="FIFA World Cup qualification"/>
    <s v="Muscat"/>
    <s v="Oman"/>
    <b v="0"/>
    <n v="2001"/>
    <n v="22205721716"/>
    <n v="78921234457"/>
    <x v="0"/>
    <n v="-1"/>
    <x v="0"/>
  </r>
  <r>
    <x v="2431"/>
    <x v="1240"/>
    <x v="32"/>
    <s v="Oman"/>
    <s v="Philippines"/>
    <n v="2"/>
    <n v="0"/>
    <s v="FIFA World Cup qualification"/>
    <s v="Muscat"/>
    <s v="Oman"/>
    <b v="0"/>
    <n v="2001"/>
    <n v="22205721716"/>
    <n v="78921234457"/>
    <x v="0"/>
    <n v="-1"/>
    <x v="0"/>
  </r>
  <r>
    <x v="2432"/>
    <x v="1241"/>
    <x v="32"/>
    <s v="Lebanon"/>
    <s v="Pakistan"/>
    <n v="6"/>
    <n v="0"/>
    <s v="FIFA World Cup qualification"/>
    <s v="Beirut"/>
    <s v="Lebanon"/>
    <b v="0"/>
    <n v="2001"/>
    <n v="17649751243"/>
    <n v="97145618479"/>
    <x v="0"/>
    <n v="-1"/>
    <x v="0"/>
  </r>
  <r>
    <x v="2433"/>
    <x v="1241"/>
    <x v="32"/>
    <s v="Thailand"/>
    <s v="Sri Lanka"/>
    <n v="4"/>
    <n v="2"/>
    <s v="FIFA World Cup qualification"/>
    <s v="Beirut"/>
    <s v="Lebanon"/>
    <b v="1"/>
    <n v="2001"/>
    <n v="120296476180"/>
    <n v="15749753804"/>
    <x v="0"/>
    <n v="1"/>
    <x v="2"/>
  </r>
  <r>
    <x v="2434"/>
    <x v="1242"/>
    <x v="32"/>
    <s v="Lebanon"/>
    <s v="Sri Lanka"/>
    <n v="4"/>
    <n v="0"/>
    <s v="FIFA World Cup qualification"/>
    <s v="Beirut"/>
    <s v="Lebanon"/>
    <b v="0"/>
    <n v="2001"/>
    <n v="17649751243"/>
    <n v="15749753804"/>
    <x v="1"/>
    <n v="1"/>
    <x v="2"/>
  </r>
  <r>
    <x v="2435"/>
    <x v="1242"/>
    <x v="32"/>
    <s v="Thailand"/>
    <s v="Pakistan"/>
    <n v="3"/>
    <n v="0"/>
    <s v="FIFA World Cup qualification"/>
    <s v="Beirut"/>
    <s v="Lebanon"/>
    <b v="1"/>
    <n v="2001"/>
    <n v="120296476180"/>
    <n v="97145618479"/>
    <x v="1"/>
    <n v="1"/>
    <x v="2"/>
  </r>
  <r>
    <x v="2436"/>
    <x v="1243"/>
    <x v="32"/>
    <s v="Lebanon"/>
    <s v="Thailand"/>
    <n v="1"/>
    <n v="2"/>
    <s v="FIFA World Cup qualification"/>
    <s v="Beirut"/>
    <s v="Lebanon"/>
    <b v="0"/>
    <n v="2001"/>
    <n v="17649751243"/>
    <n v="120296476180"/>
    <x v="0"/>
    <n v="1"/>
    <x v="2"/>
  </r>
  <r>
    <x v="2437"/>
    <x v="1243"/>
    <x v="32"/>
    <s v="Pakistan"/>
    <s v="Sri Lanka"/>
    <n v="3"/>
    <n v="3"/>
    <s v="FIFA World Cup qualification"/>
    <s v="Beirut"/>
    <s v="Lebanon"/>
    <b v="1"/>
    <n v="2001"/>
    <n v="97145618479"/>
    <n v="15749753804"/>
    <x v="0"/>
    <n v="0"/>
    <x v="1"/>
  </r>
  <r>
    <x v="2438"/>
    <x v="1244"/>
    <x v="32"/>
    <s v="Syria"/>
    <s v="Oman"/>
    <n v="3"/>
    <n v="3"/>
    <s v="FIFA World Cup qualification"/>
    <s v="Aleppo"/>
    <s v="Syria"/>
    <b v="0"/>
    <n v="2001"/>
    <n v="20237024724"/>
    <n v="22205721716"/>
    <x v="1"/>
    <n v="0"/>
    <x v="1"/>
  </r>
  <r>
    <x v="2439"/>
    <x v="1245"/>
    <x v="32"/>
    <s v="Oman"/>
    <s v="Syria"/>
    <n v="2"/>
    <n v="0"/>
    <s v="FIFA World Cup qualification"/>
    <s v="Muscat"/>
    <s v="Oman"/>
    <b v="0"/>
    <n v="2001"/>
    <n v="22205721716"/>
    <n v="20237024724"/>
    <x v="1"/>
    <n v="1"/>
    <x v="2"/>
  </r>
  <r>
    <x v="2440"/>
    <x v="1246"/>
    <x v="32"/>
    <s v="Pakistan"/>
    <s v="Lebanon"/>
    <n v="1"/>
    <n v="8"/>
    <s v="FIFA World Cup qualification"/>
    <s v="Bangkok"/>
    <s v="Thailand"/>
    <b v="1"/>
    <n v="2001"/>
    <n v="97145618479"/>
    <n v="17649751243"/>
    <x v="0"/>
    <n v="-1"/>
    <x v="0"/>
  </r>
  <r>
    <x v="2441"/>
    <x v="1246"/>
    <x v="32"/>
    <s v="Thailand"/>
    <s v="Sri Lanka"/>
    <n v="3"/>
    <n v="0"/>
    <s v="FIFA World Cup qualification"/>
    <s v="Bangkok"/>
    <s v="Thailand"/>
    <b v="0"/>
    <n v="2001"/>
    <n v="120296476180"/>
    <n v="15749753804"/>
    <x v="0"/>
    <n v="1"/>
    <x v="2"/>
  </r>
  <r>
    <x v="2442"/>
    <x v="1247"/>
    <x v="32"/>
    <s v="Sri Lanka"/>
    <s v="Lebanon"/>
    <n v="0"/>
    <n v="5"/>
    <s v="FIFA World Cup qualification"/>
    <s v="Bangkok"/>
    <s v="Thailand"/>
    <b v="1"/>
    <n v="2001"/>
    <n v="15749753804"/>
    <n v="17649751243"/>
    <x v="1"/>
    <n v="1"/>
    <x v="2"/>
  </r>
  <r>
    <x v="2443"/>
    <x v="1247"/>
    <x v="32"/>
    <s v="Thailand"/>
    <s v="Pakistan"/>
    <n v="6"/>
    <n v="0"/>
    <s v="FIFA World Cup qualification"/>
    <s v="Bangkok"/>
    <s v="Thailand"/>
    <b v="0"/>
    <n v="2001"/>
    <n v="120296476180"/>
    <n v="97145618479"/>
    <x v="1"/>
    <n v="1"/>
    <x v="2"/>
  </r>
  <r>
    <x v="2444"/>
    <x v="1248"/>
    <x v="32"/>
    <s v="Sri Lanka"/>
    <s v="Pakistan"/>
    <n v="3"/>
    <n v="1"/>
    <s v="FIFA World Cup qualification"/>
    <s v="Bangkok"/>
    <s v="Thailand"/>
    <b v="1"/>
    <n v="2001"/>
    <n v="15749753804"/>
    <n v="97145618479"/>
    <x v="0"/>
    <n v="-1"/>
    <x v="0"/>
  </r>
  <r>
    <x v="2445"/>
    <x v="1248"/>
    <x v="32"/>
    <s v="Thailand"/>
    <s v="Lebanon"/>
    <n v="2"/>
    <n v="2"/>
    <s v="FIFA World Cup qualification"/>
    <s v="Bangkok"/>
    <s v="Thailand"/>
    <b v="0"/>
    <n v="2001"/>
    <n v="120296476180"/>
    <n v="17649751243"/>
    <x v="0"/>
    <n v="0"/>
    <x v="1"/>
  </r>
  <r>
    <x v="2446"/>
    <x v="1249"/>
    <x v="32"/>
    <s v="Armenia"/>
    <s v="Belarus"/>
    <n v="0"/>
    <n v="0"/>
    <s v="FIFA World Cup qualification"/>
    <s v="Yerevan"/>
    <s v="Armenia"/>
    <b v="0"/>
    <n v="2001"/>
    <n v="2118467913"/>
    <n v="12354820143"/>
    <x v="0"/>
    <n v="0"/>
    <x v="1"/>
  </r>
  <r>
    <x v="2447"/>
    <x v="1249"/>
    <x v="32"/>
    <s v="Belgium"/>
    <s v="Latvia"/>
    <n v="3"/>
    <n v="1"/>
    <s v="FIFA World Cup qualification"/>
    <s v="Brussels"/>
    <s v="Belgium"/>
    <b v="0"/>
    <n v="2001"/>
    <n v="236746141604"/>
    <n v="8190888739"/>
    <x v="0"/>
    <n v="1"/>
    <x v="2"/>
  </r>
  <r>
    <x v="2448"/>
    <x v="1249"/>
    <x v="32"/>
    <s v="Croatia"/>
    <s v="San Marino"/>
    <n v="4"/>
    <n v="0"/>
    <s v="FIFA World Cup qualification"/>
    <s v="Vara≈ædin"/>
    <s v="Croatia"/>
    <b v="0"/>
    <n v="2001"/>
    <n v="23066883849"/>
    <n v="1059529812"/>
    <x v="0"/>
    <n v="1"/>
    <x v="2"/>
  </r>
  <r>
    <x v="2449"/>
    <x v="1249"/>
    <x v="32"/>
    <s v="Estonia"/>
    <s v="Netherlands"/>
    <n v="2"/>
    <n v="4"/>
    <s v="FIFA World Cup qualification"/>
    <s v="Tallinn"/>
    <s v="Estonia"/>
    <b v="0"/>
    <n v="2001"/>
    <n v="6250218422"/>
    <n v="432536219668"/>
    <x v="0"/>
    <n v="1"/>
    <x v="2"/>
  </r>
  <r>
    <x v="2450"/>
    <x v="1249"/>
    <x v="32"/>
    <s v="Faroe Islands"/>
    <s v="Switzerland"/>
    <n v="0"/>
    <n v="1"/>
    <s v="FIFA World Cup qualification"/>
    <s v="Toftir"/>
    <s v="Faroe Islands"/>
    <b v="0"/>
    <n v="2001"/>
    <n v="1160268212"/>
    <n v="286582672434"/>
    <x v="0"/>
    <n v="1"/>
    <x v="2"/>
  </r>
  <r>
    <x v="2451"/>
    <x v="1249"/>
    <x v="32"/>
    <s v="Finland"/>
    <s v="Germany"/>
    <n v="2"/>
    <n v="2"/>
    <s v="FIFA World Cup qualification"/>
    <s v="Helsinki"/>
    <s v="Finland"/>
    <b v="0"/>
    <n v="2001"/>
    <n v="129519672868"/>
    <n v="1966381496641"/>
    <x v="0"/>
    <n v="0"/>
    <x v="1"/>
  </r>
  <r>
    <x v="2452"/>
    <x v="1249"/>
    <x v="32"/>
    <s v="Georgia"/>
    <s v="Italy"/>
    <n v="1"/>
    <n v="2"/>
    <s v="FIFA World Cup qualification"/>
    <s v="Tbilisi"/>
    <s v="Georgia"/>
    <b v="0"/>
    <n v="2001"/>
    <n v="3219462262"/>
    <n v="1172041488805"/>
    <x v="0"/>
    <n v="1"/>
    <x v="2"/>
  </r>
  <r>
    <x v="2453"/>
    <x v="1249"/>
    <x v="32"/>
    <s v="Greece"/>
    <s v="Albania"/>
    <n v="1"/>
    <n v="0"/>
    <s v="FIFA World Cup qualification"/>
    <s v="Heraklion"/>
    <s v="Greece"/>
    <b v="0"/>
    <n v="2001"/>
    <n v="132050474720"/>
    <n v="4059064033"/>
    <x v="0"/>
    <n v="1"/>
    <x v="2"/>
  </r>
  <r>
    <x v="2454"/>
    <x v="1249"/>
    <x v="32"/>
    <s v="Iceland"/>
    <s v="Malta"/>
    <n v="3"/>
    <n v="0"/>
    <s v="FIFA World Cup qualification"/>
    <s v="Reykjav√≠k"/>
    <s v="Iceland"/>
    <b v="0"/>
    <n v="2001"/>
    <n v="8323401820"/>
    <n v="4070867133"/>
    <x v="0"/>
    <n v="1"/>
    <x v="2"/>
  </r>
  <r>
    <x v="2455"/>
    <x v="1249"/>
    <x v="32"/>
    <s v="Liechtenstein"/>
    <s v="Israel"/>
    <n v="0"/>
    <n v="3"/>
    <s v="FIFA World Cup qualification"/>
    <s v="Vaduz"/>
    <s v="Liechtenstein"/>
    <b v="0"/>
    <n v="2001"/>
    <n v="2491800558"/>
    <n v="135002039612"/>
    <x v="0"/>
    <n v="1"/>
    <x v="2"/>
  </r>
  <r>
    <x v="2456"/>
    <x v="1249"/>
    <x v="32"/>
    <s v="North Macedonia"/>
    <s v="Moldova"/>
    <n v="2"/>
    <n v="2"/>
    <s v="FIFA World Cup qualification"/>
    <s v="Skopje"/>
    <s v="North Macedonia"/>
    <b v="0"/>
    <n v="2001"/>
    <n v="3709636030"/>
    <n v="1480673594"/>
    <x v="0"/>
    <n v="0"/>
    <x v="1"/>
  </r>
  <r>
    <x v="2457"/>
    <x v="1249"/>
    <x v="32"/>
    <s v="Paraguay"/>
    <s v="Chile"/>
    <n v="1"/>
    <n v="0"/>
    <s v="FIFA World Cup qualification"/>
    <s v="Asunci√≥n"/>
    <s v="Paraguay"/>
    <b v="0"/>
    <n v="2001"/>
    <n v="8495806432"/>
    <n v="71574739561"/>
    <x v="0"/>
    <n v="-1"/>
    <x v="0"/>
  </r>
  <r>
    <x v="2458"/>
    <x v="1249"/>
    <x v="32"/>
    <s v="Peru"/>
    <s v="Ecuador"/>
    <n v="1"/>
    <n v="2"/>
    <s v="FIFA World Cup qualification"/>
    <s v="Lima"/>
    <s v="Peru"/>
    <b v="0"/>
    <n v="2001"/>
    <n v="52030158775"/>
    <n v="23127055000"/>
    <x v="0"/>
    <n v="-1"/>
    <x v="0"/>
  </r>
  <r>
    <x v="2459"/>
    <x v="1249"/>
    <x v="32"/>
    <s v="Romania"/>
    <s v="Hungary"/>
    <n v="2"/>
    <n v="0"/>
    <s v="FIFA World Cup qualification"/>
    <s v="Bucharest"/>
    <s v="Romania"/>
    <b v="0"/>
    <n v="2001"/>
    <n v="40395116581"/>
    <n v="53800068065"/>
    <x v="1"/>
    <n v="-1"/>
    <x v="0"/>
  </r>
  <r>
    <x v="2460"/>
    <x v="1249"/>
    <x v="32"/>
    <s v="Russia"/>
    <s v="Serbia"/>
    <n v="1"/>
    <n v="1"/>
    <s v="FIFA World Cup qualification"/>
    <s v="Moscow"/>
    <s v="Russia"/>
    <b v="0"/>
    <n v="2001"/>
    <n v="306602070620"/>
    <n v="13599378661"/>
    <x v="0"/>
    <n v="0"/>
    <x v="1"/>
  </r>
  <r>
    <x v="2461"/>
    <x v="1249"/>
    <x v="32"/>
    <s v="Slovenia"/>
    <s v="Luxembourg"/>
    <n v="2"/>
    <n v="0"/>
    <s v="FIFA World Cup qualification"/>
    <s v="Ljubljana"/>
    <s v="Slovenia"/>
    <b v="0"/>
    <n v="2001"/>
    <n v="20668868706"/>
    <n v="21387533703"/>
    <x v="1"/>
    <n v="-1"/>
    <x v="0"/>
  </r>
  <r>
    <x v="2462"/>
    <x v="1249"/>
    <x v="32"/>
    <s v="Spain"/>
    <s v="Bosnia and Herzegovina"/>
    <n v="4"/>
    <n v="1"/>
    <s v="FIFA World Cup qualification"/>
    <s v="Oviedo"/>
    <s v="Spain"/>
    <b v="0"/>
    <n v="2001"/>
    <n v="627798682378"/>
    <n v="5800615374"/>
    <x v="0"/>
    <n v="1"/>
    <x v="2"/>
  </r>
  <r>
    <x v="2463"/>
    <x v="1249"/>
    <x v="32"/>
    <s v="Ukraine"/>
    <s v="Norway"/>
    <n v="0"/>
    <n v="0"/>
    <s v="FIFA World Cup qualification"/>
    <s v="Kyiv"/>
    <s v="Ukraine"/>
    <b v="0"/>
    <n v="2001"/>
    <n v="39309580983"/>
    <n v="174239354070"/>
    <x v="0"/>
    <n v="0"/>
    <x v="1"/>
  </r>
  <r>
    <x v="2464"/>
    <x v="1250"/>
    <x v="32"/>
    <s v="Argentina"/>
    <s v="Colombia"/>
    <n v="3"/>
    <n v="0"/>
    <s v="FIFA World Cup qualification"/>
    <s v="Buenos Aires"/>
    <s v="Argentina"/>
    <b v="0"/>
    <n v="2001"/>
    <n v="268696750000"/>
    <n v="98200641203"/>
    <x v="0"/>
    <n v="1"/>
    <x v="2"/>
  </r>
  <r>
    <x v="2465"/>
    <x v="1250"/>
    <x v="32"/>
    <s v="Bolivia"/>
    <s v="Venezuela"/>
    <n v="5"/>
    <n v="0"/>
    <s v="FIFA World Cup qualification"/>
    <s v="La Paz"/>
    <s v="Bolivia"/>
    <b v="0"/>
    <n v="2001"/>
    <n v="8141516928"/>
    <n v="122911036746"/>
    <x v="0"/>
    <n v="-1"/>
    <x v="0"/>
  </r>
  <r>
    <x v="2466"/>
    <x v="1251"/>
    <x v="32"/>
    <s v="Albania"/>
    <s v="Germany"/>
    <n v="0"/>
    <n v="2"/>
    <s v="FIFA World Cup qualification"/>
    <s v="Tirana"/>
    <s v="Albania"/>
    <b v="0"/>
    <n v="2001"/>
    <n v="4059064033"/>
    <n v="1966381496641"/>
    <x v="0"/>
    <n v="1"/>
    <x v="2"/>
  </r>
  <r>
    <x v="2467"/>
    <x v="1251"/>
    <x v="32"/>
    <s v="Armenia"/>
    <s v="Poland"/>
    <n v="1"/>
    <n v="1"/>
    <s v="FIFA World Cup qualification"/>
    <s v="Yerevan"/>
    <s v="Armenia"/>
    <b v="0"/>
    <n v="2001"/>
    <n v="2118467913"/>
    <n v="191823200371"/>
    <x v="0"/>
    <n v="0"/>
    <x v="1"/>
  </r>
  <r>
    <x v="2468"/>
    <x v="1251"/>
    <x v="32"/>
    <s v="Denmark"/>
    <s v="Malta"/>
    <n v="2"/>
    <n v="1"/>
    <s v="FIFA World Cup qualification"/>
    <s v="Copenhagen"/>
    <s v="Denmark"/>
    <b v="0"/>
    <n v="2001"/>
    <n v="164881594415"/>
    <n v="4070867133"/>
    <x v="0"/>
    <n v="1"/>
    <x v="2"/>
  </r>
  <r>
    <x v="2469"/>
    <x v="1251"/>
    <x v="32"/>
    <s v="Faroe Islands"/>
    <s v="Serbia"/>
    <n v="0"/>
    <n v="6"/>
    <s v="FIFA World Cup qualification"/>
    <s v="Toftir"/>
    <s v="Faroe Islands"/>
    <b v="0"/>
    <n v="2001"/>
    <n v="1160268212"/>
    <n v="13599378661"/>
    <x v="0"/>
    <n v="1"/>
    <x v="2"/>
  </r>
  <r>
    <x v="2470"/>
    <x v="1251"/>
    <x v="32"/>
    <s v="Greece"/>
    <s v="England"/>
    <n v="0"/>
    <n v="2"/>
    <s v="FIFA World Cup qualification"/>
    <s v="Athens"/>
    <s v="Greece"/>
    <b v="0"/>
    <n v="2001"/>
    <n v="132050474720"/>
    <n v="1656171009068"/>
    <x v="0"/>
    <n v="1"/>
    <x v="2"/>
  </r>
  <r>
    <x v="2471"/>
    <x v="1251"/>
    <x v="32"/>
    <s v="Hungary"/>
    <s v="Georgia"/>
    <n v="4"/>
    <n v="1"/>
    <s v="FIFA World Cup qualification"/>
    <s v="Budapest"/>
    <s v="Hungary"/>
    <b v="0"/>
    <n v="2001"/>
    <n v="53800068065"/>
    <n v="3219462262"/>
    <x v="0"/>
    <n v="1"/>
    <x v="2"/>
  </r>
  <r>
    <x v="2472"/>
    <x v="1251"/>
    <x v="32"/>
    <s v="Iceland"/>
    <s v="Bulgaria"/>
    <n v="1"/>
    <n v="1"/>
    <s v="FIFA World Cup qualification"/>
    <s v="Reykjav√≠k"/>
    <s v="Iceland"/>
    <b v="0"/>
    <n v="2001"/>
    <n v="8323401820"/>
    <n v="14183446025"/>
    <x v="1"/>
    <n v="0"/>
    <x v="1"/>
  </r>
  <r>
    <x v="2473"/>
    <x v="1251"/>
    <x v="32"/>
    <s v="Israel"/>
    <s v="Spain"/>
    <n v="1"/>
    <n v="1"/>
    <s v="FIFA World Cup qualification"/>
    <s v="Ramat Gan"/>
    <s v="Israel"/>
    <b v="0"/>
    <n v="2001"/>
    <n v="135002039612"/>
    <n v="627798682378"/>
    <x v="0"/>
    <n v="0"/>
    <x v="1"/>
  </r>
  <r>
    <x v="2474"/>
    <x v="1251"/>
    <x v="32"/>
    <s v="Latvia"/>
    <s v="Croatia"/>
    <n v="0"/>
    <n v="1"/>
    <s v="FIFA World Cup qualification"/>
    <s v="Riga"/>
    <s v="Latvia"/>
    <b v="0"/>
    <n v="2001"/>
    <n v="8190888739"/>
    <n v="23066883849"/>
    <x v="0"/>
    <n v="1"/>
    <x v="2"/>
  </r>
  <r>
    <x v="2475"/>
    <x v="1251"/>
    <x v="32"/>
    <s v="Lithuania"/>
    <s v="Romania"/>
    <n v="1"/>
    <n v="2"/>
    <s v="FIFA World Cup qualification"/>
    <s v="Kaunas"/>
    <s v="Lithuania"/>
    <b v="0"/>
    <n v="2001"/>
    <n v="12260761329"/>
    <n v="40395116581"/>
    <x v="0"/>
    <n v="1"/>
    <x v="2"/>
  </r>
  <r>
    <x v="2476"/>
    <x v="1251"/>
    <x v="32"/>
    <s v="Luxembourg"/>
    <s v="Russia"/>
    <n v="1"/>
    <n v="2"/>
    <s v="FIFA World Cup qualification"/>
    <s v="Luxembourg"/>
    <s v="Luxembourg"/>
    <b v="0"/>
    <n v="2001"/>
    <n v="21387533703"/>
    <n v="306602070620"/>
    <x v="0"/>
    <n v="1"/>
    <x v="2"/>
  </r>
  <r>
    <x v="2477"/>
    <x v="1251"/>
    <x v="32"/>
    <s v="Norway"/>
    <s v="Belarus"/>
    <n v="1"/>
    <n v="1"/>
    <s v="FIFA World Cup qualification"/>
    <s v="Oslo"/>
    <s v="Norway"/>
    <b v="0"/>
    <n v="2001"/>
    <n v="174239354070"/>
    <n v="12354820143"/>
    <x v="0"/>
    <n v="0"/>
    <x v="1"/>
  </r>
  <r>
    <x v="2478"/>
    <x v="1251"/>
    <x v="32"/>
    <s v="Portugal"/>
    <s v="Cyprus"/>
    <n v="6"/>
    <n v="0"/>
    <s v="FIFA World Cup qualification"/>
    <s v="Lisbon"/>
    <s v="Portugal"/>
    <b v="0"/>
    <n v="2001"/>
    <n v="121604107164"/>
    <n v="10397898907"/>
    <x v="0"/>
    <n v="1"/>
    <x v="2"/>
  </r>
  <r>
    <x v="2479"/>
    <x v="1251"/>
    <x v="32"/>
    <s v="San Marino"/>
    <s v="Belgium"/>
    <n v="1"/>
    <n v="4"/>
    <s v="FIFA World Cup qualification"/>
    <s v="Serravalle"/>
    <s v="San Marino"/>
    <b v="0"/>
    <n v="2001"/>
    <n v="1059529812"/>
    <n v="236746141604"/>
    <x v="0"/>
    <n v="1"/>
    <x v="2"/>
  </r>
  <r>
    <x v="2480"/>
    <x v="1251"/>
    <x v="32"/>
    <s v="Sweden"/>
    <s v="Moldova"/>
    <n v="6"/>
    <n v="0"/>
    <s v="FIFA World Cup qualification"/>
    <s v="Gothenburg"/>
    <s v="Sweden"/>
    <b v="0"/>
    <n v="2001"/>
    <n v="242497797484"/>
    <n v="1480673594"/>
    <x v="0"/>
    <n v="1"/>
    <x v="2"/>
  </r>
  <r>
    <x v="2481"/>
    <x v="1251"/>
    <x v="32"/>
    <s v="Switzerland"/>
    <s v="Slovenia"/>
    <n v="0"/>
    <n v="1"/>
    <s v="FIFA World Cup qualification"/>
    <s v="Basel"/>
    <s v="Switzerland"/>
    <b v="0"/>
    <n v="2001"/>
    <n v="286582672434"/>
    <n v="20668868706"/>
    <x v="0"/>
    <n v="-1"/>
    <x v="0"/>
  </r>
  <r>
    <x v="2482"/>
    <x v="1252"/>
    <x v="32"/>
    <s v="Vanuatu"/>
    <s v="Solomon Islands"/>
    <n v="2"/>
    <n v="7"/>
    <s v="FIFA World Cup qualification"/>
    <s v="North Shore"/>
    <s v="New Zealand"/>
    <b v="1"/>
    <n v="2001"/>
    <n v="257926881"/>
    <n v="409508552"/>
    <x v="1"/>
    <n v="1"/>
    <x v="2"/>
  </r>
  <r>
    <x v="2483"/>
    <x v="1253"/>
    <x v="32"/>
    <s v="New Zealand"/>
    <s v="Solomon Islands"/>
    <n v="5"/>
    <n v="1"/>
    <s v="FIFA World Cup qualification"/>
    <s v="North Shore"/>
    <s v="New Zealand"/>
    <b v="0"/>
    <n v="2001"/>
    <n v="53872425916"/>
    <n v="409508552"/>
    <x v="0"/>
    <n v="1"/>
    <x v="2"/>
  </r>
  <r>
    <x v="2484"/>
    <x v="1254"/>
    <x v="32"/>
    <s v="New Zealand"/>
    <s v="Vanuatu"/>
    <n v="7"/>
    <n v="0"/>
    <s v="FIFA World Cup qualification"/>
    <s v="North Shore"/>
    <s v="New Zealand"/>
    <b v="0"/>
    <n v="2001"/>
    <n v="53872425916"/>
    <n v="257926881"/>
    <x v="0"/>
    <n v="1"/>
    <x v="2"/>
  </r>
  <r>
    <x v="2485"/>
    <x v="1255"/>
    <x v="32"/>
    <s v="Jamaica"/>
    <s v="United States"/>
    <n v="0"/>
    <n v="0"/>
    <s v="FIFA World Cup qualification"/>
    <s v="Kingston"/>
    <s v="Jamaica"/>
    <b v="0"/>
    <n v="2001"/>
    <n v="9194727831"/>
    <n v="10581929774000"/>
    <x v="0"/>
    <n v="0"/>
    <x v="1"/>
  </r>
  <r>
    <x v="2486"/>
    <x v="1255"/>
    <x v="32"/>
    <s v="Mexico"/>
    <s v="Costa Rica"/>
    <n v="1"/>
    <n v="2"/>
    <s v="FIFA World Cup qualification"/>
    <s v="Mexico City"/>
    <s v="Mexico"/>
    <b v="0"/>
    <n v="2001"/>
    <n v="796064590549"/>
    <n v="15976174336"/>
    <x v="0"/>
    <n v="-1"/>
    <x v="0"/>
  </r>
  <r>
    <x v="2487"/>
    <x v="1255"/>
    <x v="32"/>
    <s v="Trinidad and Tobago"/>
    <s v="Honduras"/>
    <n v="2"/>
    <n v="4"/>
    <s v="FIFA World Cup qualification"/>
    <s v="Port of Spain"/>
    <s v="Trinidad and Tobago"/>
    <b v="0"/>
    <n v="2001"/>
    <n v="8824849191"/>
    <n v="7651162302"/>
    <x v="1"/>
    <n v="-1"/>
    <x v="0"/>
  </r>
  <r>
    <x v="2488"/>
    <x v="1256"/>
    <x v="32"/>
    <s v="Costa Rica"/>
    <s v="Jamaica"/>
    <n v="2"/>
    <n v="1"/>
    <s v="FIFA World Cup qualification"/>
    <s v="Alajuela"/>
    <s v="Costa Rica"/>
    <b v="0"/>
    <n v="2001"/>
    <n v="15976174336"/>
    <n v="9194727831"/>
    <x v="1"/>
    <n v="1"/>
    <x v="2"/>
  </r>
  <r>
    <x v="2489"/>
    <x v="1256"/>
    <x v="32"/>
    <s v="Honduras"/>
    <s v="Mexico"/>
    <n v="3"/>
    <n v="1"/>
    <s v="FIFA World Cup qualification"/>
    <s v="San Pedro Sula"/>
    <s v="Honduras"/>
    <b v="0"/>
    <n v="2001"/>
    <n v="7651162302"/>
    <n v="796064590549"/>
    <x v="0"/>
    <n v="-1"/>
    <x v="0"/>
  </r>
  <r>
    <x v="2490"/>
    <x v="1256"/>
    <x v="32"/>
    <s v="New Zealand"/>
    <s v="Australia"/>
    <n v="0"/>
    <n v="2"/>
    <s v="FIFA World Cup qualification"/>
    <s v="Wellington"/>
    <s v="New Zealand"/>
    <b v="0"/>
    <n v="2001"/>
    <n v="53872425916"/>
    <n v="380360222861"/>
    <x v="0"/>
    <n v="1"/>
    <x v="2"/>
  </r>
  <r>
    <x v="2491"/>
    <x v="1256"/>
    <x v="32"/>
    <s v="United States"/>
    <s v="Trinidad and Tobago"/>
    <n v="2"/>
    <n v="0"/>
    <s v="FIFA World Cup qualification"/>
    <s v="Foxborough"/>
    <s v="United States"/>
    <b v="0"/>
    <n v="2001"/>
    <n v="10581929774000"/>
    <n v="8824849191"/>
    <x v="0"/>
    <n v="1"/>
    <x v="2"/>
  </r>
  <r>
    <x v="2492"/>
    <x v="1257"/>
    <x v="32"/>
    <s v="Australia"/>
    <s v="New Zealand"/>
    <n v="4"/>
    <n v="1"/>
    <s v="FIFA World Cup qualification"/>
    <s v="Sydney"/>
    <s v="Australia"/>
    <b v="0"/>
    <n v="2001"/>
    <n v="380360222861"/>
    <n v="53872425916"/>
    <x v="0"/>
    <n v="1"/>
    <x v="2"/>
  </r>
  <r>
    <x v="2493"/>
    <x v="1258"/>
    <x v="32"/>
    <s v="Libya"/>
    <s v="Angola"/>
    <n v="1"/>
    <n v="1"/>
    <s v="FIFA World Cup qualification"/>
    <s v="Tripoli"/>
    <s v="Libya"/>
    <b v="0"/>
    <n v="2001"/>
    <n v="34112093927"/>
    <n v="8936079117"/>
    <x v="0"/>
    <n v="0"/>
    <x v="1"/>
  </r>
  <r>
    <x v="2494"/>
    <x v="1259"/>
    <x v="32"/>
    <s v="Morocco"/>
    <s v="Egypt"/>
    <n v="1"/>
    <n v="0"/>
    <s v="FIFA World Cup qualification"/>
    <s v="Rabat"/>
    <s v="Morocco"/>
    <b v="0"/>
    <n v="2001"/>
    <n v="43831480207"/>
    <n v="96684636118"/>
    <x v="0"/>
    <n v="-1"/>
    <x v="0"/>
  </r>
  <r>
    <x v="2495"/>
    <x v="1259"/>
    <x v="32"/>
    <s v="Namibia"/>
    <s v="Algeria"/>
    <n v="0"/>
    <n v="4"/>
    <s v="FIFA World Cup qualification"/>
    <s v="Windhoek"/>
    <s v="Namibia"/>
    <b v="0"/>
    <n v="2001"/>
    <n v="3557341215"/>
    <n v="59413400923"/>
    <x v="0"/>
    <n v="1"/>
    <x v="2"/>
  </r>
  <r>
    <x v="2496"/>
    <x v="1259"/>
    <x v="32"/>
    <s v="Trinidad and Tobago"/>
    <s v="Jamaica"/>
    <n v="1"/>
    <n v="2"/>
    <s v="FIFA World Cup qualification"/>
    <s v="Port of Spain"/>
    <s v="Trinidad and Tobago"/>
    <b v="0"/>
    <n v="2001"/>
    <n v="8824849191"/>
    <n v="9194727831"/>
    <x v="1"/>
    <n v="1"/>
    <x v="2"/>
  </r>
  <r>
    <x v="2497"/>
    <x v="1260"/>
    <x v="32"/>
    <s v="Burkina Faso"/>
    <s v="South Africa"/>
    <n v="1"/>
    <n v="1"/>
    <s v="FIFA World Cup qualification"/>
    <s v="Ouagadougou"/>
    <s v="Burkina Faso"/>
    <b v="0"/>
    <n v="2001"/>
    <n v="3190371080"/>
    <n v="135429905922"/>
    <x v="0"/>
    <n v="0"/>
    <x v="1"/>
  </r>
  <r>
    <x v="2498"/>
    <x v="1260"/>
    <x v="32"/>
    <s v="Cameroon"/>
    <s v="Togo"/>
    <n v="2"/>
    <n v="0"/>
    <s v="FIFA World Cup qualification"/>
    <s v="Yaound√©"/>
    <s v="Cameroon"/>
    <b v="0"/>
    <n v="2001"/>
    <n v="10953485349"/>
    <n v="2093498674"/>
    <x v="0"/>
    <n v="1"/>
    <x v="2"/>
  </r>
  <r>
    <x v="2499"/>
    <x v="1260"/>
    <x v="32"/>
    <s v="Honduras"/>
    <s v="Costa Rica"/>
    <n v="2"/>
    <n v="3"/>
    <s v="FIFA World Cup qualification"/>
    <s v="Tegucigalpa"/>
    <s v="Honduras"/>
    <b v="0"/>
    <n v="2001"/>
    <n v="7651162302"/>
    <n v="15976174336"/>
    <x v="0"/>
    <n v="1"/>
    <x v="2"/>
  </r>
  <r>
    <x v="2500"/>
    <x v="1260"/>
    <x v="32"/>
    <s v="Liberia"/>
    <s v="Ghana"/>
    <n v="1"/>
    <n v="2"/>
    <s v="FIFA World Cup qualification"/>
    <s v="Paynesville"/>
    <s v="Liberia"/>
    <b v="0"/>
    <n v="2001"/>
    <n v="906000000"/>
    <n v="5314872854"/>
    <x v="0"/>
    <n v="1"/>
    <x v="2"/>
  </r>
  <r>
    <x v="2501"/>
    <x v="1260"/>
    <x v="32"/>
    <s v="Mexico"/>
    <s v="United States"/>
    <n v="1"/>
    <n v="0"/>
    <s v="FIFA World Cup qualification"/>
    <s v="Mexico City"/>
    <s v="Mexico"/>
    <b v="0"/>
    <n v="2001"/>
    <n v="796064590549"/>
    <n v="10581929774000"/>
    <x v="0"/>
    <n v="-1"/>
    <x v="0"/>
  </r>
  <r>
    <x v="2502"/>
    <x v="1260"/>
    <x v="32"/>
    <s v="Sudan"/>
    <s v="Nigeria"/>
    <n v="0"/>
    <n v="4"/>
    <s v="FIFA World Cup qualification"/>
    <s v="Omdurman"/>
    <s v="Sudan"/>
    <b v="0"/>
    <n v="2001"/>
    <n v="15716361792"/>
    <n v="73557840064"/>
    <x v="0"/>
    <n v="1"/>
    <x v="2"/>
  </r>
  <r>
    <x v="2503"/>
    <x v="1260"/>
    <x v="32"/>
    <s v="Uruguay"/>
    <s v="Brazil"/>
    <n v="1"/>
    <n v="0"/>
    <s v="FIFA World Cup qualification"/>
    <s v="Montevideo"/>
    <s v="Uruguay"/>
    <b v="0"/>
    <n v="2001"/>
    <n v="20898761742"/>
    <n v="559983704094"/>
    <x v="0"/>
    <n v="-1"/>
    <x v="0"/>
  </r>
  <r>
    <x v="2504"/>
    <x v="1261"/>
    <x v="32"/>
    <s v="Egypt"/>
    <s v="Namibia"/>
    <n v="8"/>
    <n v="2"/>
    <s v="FIFA World Cup qualification"/>
    <s v="Alexandria"/>
    <s v="Egypt"/>
    <b v="0"/>
    <n v="2001"/>
    <n v="96684636118"/>
    <n v="3557341215"/>
    <x v="0"/>
    <n v="1"/>
    <x v="2"/>
  </r>
  <r>
    <x v="2505"/>
    <x v="1262"/>
    <x v="32"/>
    <s v="Senegal"/>
    <s v="Morocco"/>
    <n v="1"/>
    <n v="0"/>
    <s v="FIFA World Cup qualification"/>
    <s v="Dakar"/>
    <s v="Senegal"/>
    <b v="0"/>
    <n v="2001"/>
    <n v="6507824829"/>
    <n v="43831480207"/>
    <x v="0"/>
    <n v="-1"/>
    <x v="0"/>
  </r>
  <r>
    <x v="2506"/>
    <x v="1262"/>
    <x v="32"/>
    <s v="Sierra Leone"/>
    <s v="Liberia"/>
    <n v="0"/>
    <n v="1"/>
    <s v="FIFA World Cup qualification"/>
    <s v="Freetown"/>
    <s v="Sierra Leone"/>
    <b v="0"/>
    <n v="2001"/>
    <n v="1681473893"/>
    <n v="906000000"/>
    <x v="1"/>
    <n v="-1"/>
    <x v="0"/>
  </r>
  <r>
    <x v="2507"/>
    <x v="1262"/>
    <x v="32"/>
    <s v="South Africa"/>
    <s v="Malawi"/>
    <n v="2"/>
    <n v="0"/>
    <s v="FIFA World Cup qualification"/>
    <s v="Durban"/>
    <s v="South Africa"/>
    <b v="0"/>
    <n v="2001"/>
    <n v="135429905922"/>
    <n v="2498008664"/>
    <x v="0"/>
    <n v="1"/>
    <x v="2"/>
  </r>
  <r>
    <x v="2508"/>
    <x v="1262"/>
    <x v="32"/>
    <s v="Zambia"/>
    <s v="Cameroon"/>
    <n v="2"/>
    <n v="2"/>
    <s v="FIFA World Cup qualification"/>
    <s v="Lusaka"/>
    <s v="Zambia"/>
    <b v="0"/>
    <n v="2001"/>
    <n v="4094441301"/>
    <n v="10953485349"/>
    <x v="0"/>
    <n v="0"/>
    <x v="1"/>
  </r>
  <r>
    <x v="2509"/>
    <x v="1263"/>
    <x v="32"/>
    <s v="Ghana"/>
    <s v="Sudan"/>
    <n v="1"/>
    <n v="0"/>
    <s v="FIFA World Cup qualification"/>
    <s v="Accra"/>
    <s v="Ghana"/>
    <b v="0"/>
    <n v="2001"/>
    <n v="5314872854"/>
    <n v="15716361792"/>
    <x v="0"/>
    <n v="-1"/>
    <x v="0"/>
  </r>
  <r>
    <x v="2510"/>
    <x v="1263"/>
    <x v="32"/>
    <s v="Togo"/>
    <s v="Libya"/>
    <n v="2"/>
    <n v="0"/>
    <s v="FIFA World Cup qualification"/>
    <s v="Lom√©"/>
    <s v="Togo"/>
    <b v="0"/>
    <n v="2001"/>
    <n v="2093498674"/>
    <n v="34112093927"/>
    <x v="0"/>
    <n v="-1"/>
    <x v="0"/>
  </r>
  <r>
    <x v="2511"/>
    <x v="1263"/>
    <x v="32"/>
    <s v="Zimbabwe"/>
    <s v="Burkina Faso"/>
    <n v="1"/>
    <n v="0"/>
    <s v="FIFA World Cup qualification"/>
    <s v="Harare"/>
    <s v="Zimbabwe"/>
    <b v="0"/>
    <n v="2001"/>
    <n v="6780750000"/>
    <n v="3190371080"/>
    <x v="0"/>
    <n v="1"/>
    <x v="2"/>
  </r>
  <r>
    <x v="2512"/>
    <x v="1264"/>
    <x v="32"/>
    <s v="Algeria"/>
    <s v="Egypt"/>
    <n v="1"/>
    <n v="1"/>
    <s v="FIFA World Cup qualification"/>
    <s v="Annaba"/>
    <s v="Algeria"/>
    <b v="0"/>
    <n v="2001"/>
    <n v="59413400923"/>
    <n v="96684636118"/>
    <x v="1"/>
    <n v="0"/>
    <x v="1"/>
  </r>
  <r>
    <x v="2513"/>
    <x v="1264"/>
    <x v="32"/>
    <s v="Namibia"/>
    <s v="Senegal"/>
    <n v="0"/>
    <n v="5"/>
    <s v="FIFA World Cup qualification"/>
    <s v="Windhoek"/>
    <s v="Namibia"/>
    <b v="0"/>
    <n v="2001"/>
    <n v="3557341215"/>
    <n v="6507824829"/>
    <x v="1"/>
    <n v="1"/>
    <x v="2"/>
  </r>
  <r>
    <x v="2514"/>
    <x v="1265"/>
    <x v="32"/>
    <s v="Libya"/>
    <s v="Zambia"/>
    <n v="2"/>
    <n v="4"/>
    <s v="FIFA World Cup qualification"/>
    <s v="Tripoli"/>
    <s v="Libya"/>
    <b v="0"/>
    <n v="2001"/>
    <n v="34112093927"/>
    <n v="4094441301"/>
    <x v="0"/>
    <n v="-1"/>
    <x v="0"/>
  </r>
  <r>
    <x v="2515"/>
    <x v="1266"/>
    <x v="32"/>
    <s v="Malawi"/>
    <s v="Zimbabwe"/>
    <n v="0"/>
    <n v="1"/>
    <s v="FIFA World Cup qualification"/>
    <s v="Blantyre"/>
    <s v="Malawi"/>
    <b v="0"/>
    <n v="2001"/>
    <n v="2498008664"/>
    <n v="6780750000"/>
    <x v="0"/>
    <n v="1"/>
    <x v="2"/>
  </r>
  <r>
    <x v="2516"/>
    <x v="1267"/>
    <x v="32"/>
    <s v="Angola"/>
    <s v="Togo"/>
    <n v="1"/>
    <n v="1"/>
    <s v="FIFA World Cup qualification"/>
    <s v="Luanda"/>
    <s v="Angola"/>
    <b v="0"/>
    <n v="2001"/>
    <n v="8936079117"/>
    <n v="2093498674"/>
    <x v="0"/>
    <n v="0"/>
    <x v="1"/>
  </r>
  <r>
    <x v="2517"/>
    <x v="1267"/>
    <x v="32"/>
    <s v="Nigeria"/>
    <s v="Ghana"/>
    <n v="3"/>
    <n v="0"/>
    <s v="FIFA World Cup qualification"/>
    <s v="Port Harcourt"/>
    <s v="Nigeria"/>
    <b v="0"/>
    <n v="2001"/>
    <n v="73557840064"/>
    <n v="5314872854"/>
    <x v="0"/>
    <n v="1"/>
    <x v="2"/>
  </r>
  <r>
    <x v="2518"/>
    <x v="1267"/>
    <x v="32"/>
    <s v="Sudan"/>
    <s v="Sierra Leone"/>
    <n v="3"/>
    <n v="0"/>
    <s v="FIFA World Cup qualification"/>
    <s v="Omdurman"/>
    <s v="Sudan"/>
    <b v="0"/>
    <n v="2001"/>
    <n v="15716361792"/>
    <n v="1681473893"/>
    <x v="0"/>
    <n v="1"/>
    <x v="2"/>
  </r>
  <r>
    <x v="2519"/>
    <x v="1268"/>
    <x v="32"/>
    <s v="Chile"/>
    <s v="Bolivia"/>
    <n v="2"/>
    <n v="2"/>
    <s v="FIFA World Cup qualification"/>
    <s v="Santiago"/>
    <s v="Chile"/>
    <b v="0"/>
    <n v="2001"/>
    <n v="71574739561"/>
    <n v="8141516928"/>
    <x v="0"/>
    <n v="0"/>
    <x v="1"/>
  </r>
  <r>
    <x v="2520"/>
    <x v="1268"/>
    <x v="32"/>
    <s v="Venezuela"/>
    <s v="Uruguay"/>
    <n v="2"/>
    <n v="0"/>
    <s v="FIFA World Cup qualification"/>
    <s v="Maracaibo"/>
    <s v="Venezuela"/>
    <b v="0"/>
    <n v="2001"/>
    <n v="122911036746"/>
    <n v="20898761742"/>
    <x v="0"/>
    <n v="1"/>
    <x v="2"/>
  </r>
  <r>
    <x v="2521"/>
    <x v="1269"/>
    <x v="32"/>
    <s v="Brazil"/>
    <s v="Paraguay"/>
    <n v="2"/>
    <n v="0"/>
    <s v="FIFA World Cup qualification"/>
    <s v="Porto Alegre"/>
    <s v="Brazil"/>
    <b v="0"/>
    <n v="2001"/>
    <n v="559983704094"/>
    <n v="8495806432"/>
    <x v="0"/>
    <n v="1"/>
    <x v="2"/>
  </r>
  <r>
    <x v="2522"/>
    <x v="1269"/>
    <x v="32"/>
    <s v="Ecuador"/>
    <s v="Argentina"/>
    <n v="0"/>
    <n v="2"/>
    <s v="FIFA World Cup qualification"/>
    <s v="Quito"/>
    <s v="Ecuador"/>
    <b v="0"/>
    <n v="2001"/>
    <n v="23127055000"/>
    <n v="268696750000"/>
    <x v="0"/>
    <n v="1"/>
    <x v="2"/>
  </r>
  <r>
    <x v="2523"/>
    <x v="1269"/>
    <x v="32"/>
    <s v="Estonia"/>
    <s v="Cyprus"/>
    <n v="2"/>
    <n v="2"/>
    <s v="FIFA World Cup qualification"/>
    <s v="Tallinn"/>
    <s v="Estonia"/>
    <b v="0"/>
    <n v="2001"/>
    <n v="6250218422"/>
    <n v="10397898907"/>
    <x v="1"/>
    <n v="0"/>
    <x v="1"/>
  </r>
  <r>
    <x v="2524"/>
    <x v="1269"/>
    <x v="32"/>
    <s v="Serbia"/>
    <s v="Faroe Islands"/>
    <n v="2"/>
    <n v="0"/>
    <s v="FIFA World Cup qualification"/>
    <s v="Belgrade"/>
    <s v="FR Yugoslavia"/>
    <b v="0"/>
    <n v="2001"/>
    <n v="13599378661"/>
    <n v="1160268212"/>
    <x v="0"/>
    <n v="1"/>
    <x v="2"/>
  </r>
  <r>
    <x v="2525"/>
    <x v="1270"/>
    <x v="32"/>
    <s v="Colombia"/>
    <s v="Peru"/>
    <n v="0"/>
    <n v="1"/>
    <s v="FIFA World Cup qualification"/>
    <s v="Bogot√°"/>
    <s v="Colombia"/>
    <b v="0"/>
    <n v="2001"/>
    <n v="98200641203"/>
    <n v="52030158775"/>
    <x v="1"/>
    <n v="-1"/>
    <x v="0"/>
  </r>
  <r>
    <x v="2526"/>
    <x v="1270"/>
    <x v="32"/>
    <s v="Qatar"/>
    <s v="Oman"/>
    <n v="0"/>
    <n v="0"/>
    <s v="FIFA World Cup qualification"/>
    <s v="Doha"/>
    <s v="Qatar"/>
    <b v="0"/>
    <n v="2001"/>
    <n v="17538461538"/>
    <n v="22205721716"/>
    <x v="1"/>
    <n v="0"/>
    <x v="1"/>
  </r>
  <r>
    <x v="2527"/>
    <x v="1271"/>
    <x v="32"/>
    <s v="Iraq"/>
    <s v="Thailand"/>
    <n v="4"/>
    <n v="0"/>
    <s v="FIFA World Cup qualification"/>
    <s v="Baghdad"/>
    <s v="Iraq"/>
    <b v="0"/>
    <n v="2001"/>
    <n v="36176430128"/>
    <n v="120296476180"/>
    <x v="0"/>
    <n v="-1"/>
    <x v="0"/>
  </r>
  <r>
    <x v="2528"/>
    <x v="1271"/>
    <x v="32"/>
    <s v="Saudi Arabia"/>
    <s v="Bahrain"/>
    <n v="1"/>
    <n v="1"/>
    <s v="FIFA World Cup qualification"/>
    <s v="Riyadh"/>
    <s v="Saudi Arabia"/>
    <b v="0"/>
    <n v="2001"/>
    <n v="184137600000"/>
    <n v="8976196808"/>
    <x v="0"/>
    <n v="0"/>
    <x v="1"/>
  </r>
  <r>
    <x v="2529"/>
    <x v="1271"/>
    <x v="32"/>
    <s v="United Arab Emirates"/>
    <s v="Uzbekistan"/>
    <n v="4"/>
    <n v="1"/>
    <s v="FIFA World Cup qualification"/>
    <s v="Abu Dhabi"/>
    <s v="United Arab Emirates"/>
    <b v="0"/>
    <n v="2001"/>
    <n v="103311640571"/>
    <n v="11401421329"/>
    <x v="0"/>
    <n v="1"/>
    <x v="2"/>
  </r>
  <r>
    <x v="2530"/>
    <x v="1272"/>
    <x v="32"/>
    <s v="Bahrain"/>
    <s v="Iraq"/>
    <n v="2"/>
    <n v="0"/>
    <s v="FIFA World Cup qualification"/>
    <s v="Riffa"/>
    <s v="Bahrain"/>
    <b v="0"/>
    <n v="2001"/>
    <n v="8976196808"/>
    <n v="36176430128"/>
    <x v="0"/>
    <n v="-1"/>
    <x v="0"/>
  </r>
  <r>
    <x v="2531"/>
    <x v="1273"/>
    <x v="32"/>
    <s v="Iran"/>
    <s v="Saudi Arabia"/>
    <n v="2"/>
    <n v="0"/>
    <s v="FIFA World Cup qualification"/>
    <s v="Tehran"/>
    <s v="Iran"/>
    <b v="0"/>
    <n v="2001"/>
    <n v="126878750295"/>
    <n v="184137600000"/>
    <x v="1"/>
    <n v="-1"/>
    <x v="0"/>
  </r>
  <r>
    <x v="2532"/>
    <x v="1274"/>
    <x v="32"/>
    <s v="Uzbekistan"/>
    <s v="Qatar"/>
    <n v="2"/>
    <n v="1"/>
    <s v="FIFA World Cup qualification"/>
    <s v="Tashkent"/>
    <s v="Uzbekistan"/>
    <b v="0"/>
    <n v="2001"/>
    <n v="11401421329"/>
    <n v="17538461538"/>
    <x v="1"/>
    <n v="-1"/>
    <x v="0"/>
  </r>
  <r>
    <x v="2533"/>
    <x v="1275"/>
    <x v="32"/>
    <s v="Saudi Arabia"/>
    <s v="Iraq"/>
    <n v="1"/>
    <n v="0"/>
    <s v="FIFA World Cup qualification"/>
    <s v="Riffa"/>
    <s v="Bahrain"/>
    <b v="1"/>
    <n v="2001"/>
    <n v="184137600000"/>
    <n v="36176430128"/>
    <x v="0"/>
    <n v="1"/>
    <x v="2"/>
  </r>
  <r>
    <x v="2534"/>
    <x v="1275"/>
    <x v="32"/>
    <s v="United Arab Emirates"/>
    <s v="Qatar"/>
    <n v="0"/>
    <n v="2"/>
    <s v="FIFA World Cup qualification"/>
    <s v="Abu Dhabi"/>
    <s v="United Arab Emirates"/>
    <b v="0"/>
    <n v="2001"/>
    <n v="103311640571"/>
    <n v="17538461538"/>
    <x v="0"/>
    <n v="-1"/>
    <x v="0"/>
  </r>
  <r>
    <x v="2535"/>
    <x v="1276"/>
    <x v="32"/>
    <s v="Albania"/>
    <s v="Finland"/>
    <n v="0"/>
    <n v="2"/>
    <s v="FIFA World Cup qualification"/>
    <s v="Tirana"/>
    <s v="Albania"/>
    <b v="0"/>
    <n v="2001"/>
    <n v="4059064033"/>
    <n v="129519672868"/>
    <x v="0"/>
    <n v="1"/>
    <x v="2"/>
  </r>
  <r>
    <x v="2536"/>
    <x v="1276"/>
    <x v="32"/>
    <s v="Andorra"/>
    <s v="Portugal"/>
    <n v="1"/>
    <n v="7"/>
    <s v="FIFA World Cup qualification"/>
    <s v="Lleida"/>
    <s v="Spain"/>
    <b v="1"/>
    <n v="2001"/>
    <n v="1548265926"/>
    <n v="121604107164"/>
    <x v="0"/>
    <n v="1"/>
    <x v="2"/>
  </r>
  <r>
    <x v="2537"/>
    <x v="1276"/>
    <x v="32"/>
    <s v="Belarus"/>
    <s v="Ukraine"/>
    <n v="0"/>
    <n v="2"/>
    <s v="FIFA World Cup qualification"/>
    <s v="Minsk"/>
    <s v="Belarus"/>
    <b v="0"/>
    <n v="2001"/>
    <n v="12354820143"/>
    <n v="39309580983"/>
    <x v="0"/>
    <n v="1"/>
    <x v="2"/>
  </r>
  <r>
    <x v="2538"/>
    <x v="1276"/>
    <x v="32"/>
    <s v="Bosnia and Herzegovina"/>
    <s v="Israel"/>
    <n v="0"/>
    <n v="0"/>
    <s v="FIFA World Cup qualification"/>
    <s v="Sarajevo"/>
    <s v="Bosnia and Herzegovina"/>
    <b v="0"/>
    <n v="2001"/>
    <n v="5800615374"/>
    <n v="135002039612"/>
    <x v="0"/>
    <n v="0"/>
    <x v="1"/>
  </r>
  <r>
    <x v="2539"/>
    <x v="1276"/>
    <x v="32"/>
    <s v="Faroe Islands"/>
    <s v="Luxembourg"/>
    <n v="1"/>
    <n v="0"/>
    <s v="FIFA World Cup qualification"/>
    <s v="Toftir"/>
    <s v="Faroe Islands"/>
    <b v="0"/>
    <n v="2001"/>
    <n v="1160268212"/>
    <n v="21387533703"/>
    <x v="0"/>
    <n v="-1"/>
    <x v="0"/>
  </r>
  <r>
    <x v="2540"/>
    <x v="1276"/>
    <x v="32"/>
    <s v="Georgia"/>
    <s v="Hungary"/>
    <n v="3"/>
    <n v="1"/>
    <s v="FIFA World Cup qualification"/>
    <s v="Tbilisi"/>
    <s v="Georgia"/>
    <b v="0"/>
    <n v="2001"/>
    <n v="3219462262"/>
    <n v="53800068065"/>
    <x v="0"/>
    <n v="-1"/>
    <x v="0"/>
  </r>
  <r>
    <x v="2541"/>
    <x v="1276"/>
    <x v="32"/>
    <s v="Germany"/>
    <s v="England"/>
    <n v="1"/>
    <n v="5"/>
    <s v="FIFA World Cup qualification"/>
    <s v="Munich"/>
    <s v="Germany"/>
    <b v="0"/>
    <n v="2001"/>
    <n v="1966381496641"/>
    <n v="1656171009068"/>
    <x v="1"/>
    <n v="-1"/>
    <x v="0"/>
  </r>
  <r>
    <x v="2542"/>
    <x v="1276"/>
    <x v="32"/>
    <s v="Lithuania"/>
    <s v="Italy"/>
    <n v="0"/>
    <n v="0"/>
    <s v="FIFA World Cup qualification"/>
    <s v="Kaunas"/>
    <s v="Lithuania"/>
    <b v="0"/>
    <n v="2001"/>
    <n v="12260761329"/>
    <n v="1172041488805"/>
    <x v="0"/>
    <n v="0"/>
    <x v="1"/>
  </r>
  <r>
    <x v="2543"/>
    <x v="1276"/>
    <x v="32"/>
    <s v="North Macedonia"/>
    <s v="Sweden"/>
    <n v="1"/>
    <n v="2"/>
    <s v="FIFA World Cup qualification"/>
    <s v="Skopje"/>
    <s v="North Macedonia"/>
    <b v="0"/>
    <n v="2001"/>
    <n v="3709636030"/>
    <n v="242497797484"/>
    <x v="0"/>
    <n v="1"/>
    <x v="2"/>
  </r>
  <r>
    <x v="2544"/>
    <x v="1276"/>
    <x v="32"/>
    <s v="Malta"/>
    <s v="Bulgaria"/>
    <n v="0"/>
    <n v="2"/>
    <s v="FIFA World Cup qualification"/>
    <s v="Attard"/>
    <s v="Malta"/>
    <b v="0"/>
    <n v="2001"/>
    <n v="4070867133"/>
    <n v="14183446025"/>
    <x v="0"/>
    <n v="1"/>
    <x v="2"/>
  </r>
  <r>
    <x v="2545"/>
    <x v="1276"/>
    <x v="32"/>
    <s v="Moldova"/>
    <s v="Azerbaijan"/>
    <n v="2"/>
    <n v="0"/>
    <s v="FIFA World Cup qualification"/>
    <s v="Chi»ôinƒÉu"/>
    <s v="Moldova"/>
    <b v="0"/>
    <n v="2001"/>
    <n v="1480673594"/>
    <n v="5707616203"/>
    <x v="0"/>
    <n v="-1"/>
    <x v="0"/>
  </r>
  <r>
    <x v="2546"/>
    <x v="1276"/>
    <x v="32"/>
    <s v="Poland"/>
    <s v="Norway"/>
    <n v="3"/>
    <n v="0"/>
    <s v="FIFA World Cup qualification"/>
    <s v="Chorz√≥w"/>
    <s v="Poland"/>
    <b v="0"/>
    <n v="2001"/>
    <n v="191823200371"/>
    <n v="174239354070"/>
    <x v="1"/>
    <n v="1"/>
    <x v="2"/>
  </r>
  <r>
    <x v="2547"/>
    <x v="1276"/>
    <x v="32"/>
    <s v="Slovenia"/>
    <s v="Russia"/>
    <n v="2"/>
    <n v="1"/>
    <s v="FIFA World Cup qualification"/>
    <s v="Ljubljana"/>
    <s v="Slovenia"/>
    <b v="0"/>
    <n v="2001"/>
    <n v="20668868706"/>
    <n v="306602070620"/>
    <x v="0"/>
    <n v="-1"/>
    <x v="0"/>
  </r>
  <r>
    <x v="2548"/>
    <x v="1276"/>
    <x v="32"/>
    <s v="Spain"/>
    <s v="Austria"/>
    <n v="4"/>
    <n v="0"/>
    <s v="FIFA World Cup qualification"/>
    <s v="Valencia"/>
    <s v="Spain"/>
    <b v="0"/>
    <n v="2001"/>
    <n v="627798682378"/>
    <n v="196477206829"/>
    <x v="0"/>
    <n v="1"/>
    <x v="2"/>
  </r>
  <r>
    <x v="2549"/>
    <x v="1276"/>
    <x v="32"/>
    <s v="Switzerland"/>
    <s v="Serbia"/>
    <n v="1"/>
    <n v="2"/>
    <s v="FIFA World Cup qualification"/>
    <s v="Basel"/>
    <s v="Switzerland"/>
    <b v="0"/>
    <n v="2001"/>
    <n v="286582672434"/>
    <n v="13599378661"/>
    <x v="0"/>
    <n v="-1"/>
    <x v="0"/>
  </r>
  <r>
    <x v="2550"/>
    <x v="1276"/>
    <x v="32"/>
    <s v="Thailand"/>
    <s v="Iran"/>
    <n v="0"/>
    <n v="0"/>
    <s v="FIFA World Cup qualification"/>
    <s v="Bangkok"/>
    <s v="Thailand"/>
    <b v="0"/>
    <n v="2001"/>
    <n v="120296476180"/>
    <n v="126878750295"/>
    <x v="1"/>
    <n v="0"/>
    <x v="1"/>
  </r>
  <r>
    <x v="2551"/>
    <x v="1276"/>
    <x v="32"/>
    <s v="Trinidad and Tobago"/>
    <s v="Costa Rica"/>
    <n v="0"/>
    <n v="2"/>
    <s v="FIFA World Cup qualification"/>
    <s v="Port of Spain"/>
    <s v="Trinidad and Tobago"/>
    <b v="0"/>
    <n v="2001"/>
    <n v="8824849191"/>
    <n v="15976174336"/>
    <x v="1"/>
    <n v="1"/>
    <x v="2"/>
  </r>
  <r>
    <x v="2552"/>
    <x v="1276"/>
    <x v="32"/>
    <s v="United States"/>
    <s v="Honduras"/>
    <n v="2"/>
    <n v="3"/>
    <s v="FIFA World Cup qualification"/>
    <s v="Washington, D.C."/>
    <s v="United States"/>
    <b v="0"/>
    <n v="2001"/>
    <n v="10581929774000"/>
    <n v="7651162302"/>
    <x v="0"/>
    <n v="-1"/>
    <x v="0"/>
  </r>
  <r>
    <x v="2553"/>
    <x v="1277"/>
    <x v="32"/>
    <s v="Jamaica"/>
    <s v="Mexico"/>
    <n v="1"/>
    <n v="2"/>
    <s v="FIFA World Cup qualification"/>
    <s v="Kingston"/>
    <s v="Jamaica"/>
    <b v="0"/>
    <n v="2001"/>
    <n v="9194727831"/>
    <n v="796064590549"/>
    <x v="0"/>
    <n v="1"/>
    <x v="2"/>
  </r>
  <r>
    <x v="2554"/>
    <x v="1278"/>
    <x v="32"/>
    <s v="Chile"/>
    <s v="Venezuela"/>
    <n v="0"/>
    <n v="2"/>
    <s v="FIFA World Cup qualification"/>
    <s v="Santiago"/>
    <s v="Chile"/>
    <b v="0"/>
    <n v="2001"/>
    <n v="71574739561"/>
    <n v="122911036746"/>
    <x v="1"/>
    <n v="1"/>
    <x v="2"/>
  </r>
  <r>
    <x v="2555"/>
    <x v="1278"/>
    <x v="32"/>
    <s v="Peru"/>
    <s v="Uruguay"/>
    <n v="0"/>
    <n v="2"/>
    <s v="FIFA World Cup qualification"/>
    <s v="Lima"/>
    <s v="Peru"/>
    <b v="0"/>
    <n v="2001"/>
    <n v="52030158775"/>
    <n v="20898761742"/>
    <x v="0"/>
    <n v="-1"/>
    <x v="0"/>
  </r>
  <r>
    <x v="2556"/>
    <x v="1279"/>
    <x v="32"/>
    <s v="Argentina"/>
    <s v="Brazil"/>
    <n v="2"/>
    <n v="1"/>
    <s v="FIFA World Cup qualification"/>
    <s v="Buenos Aires"/>
    <s v="Argentina"/>
    <b v="0"/>
    <n v="2001"/>
    <n v="268696750000"/>
    <n v="559983704094"/>
    <x v="0"/>
    <n v="-1"/>
    <x v="0"/>
  </r>
  <r>
    <x v="2557"/>
    <x v="1279"/>
    <x v="32"/>
    <s v="Austria"/>
    <s v="Bosnia and Herzegovina"/>
    <n v="2"/>
    <n v="0"/>
    <s v="FIFA World Cup qualification"/>
    <s v="Vienna"/>
    <s v="Austria"/>
    <b v="0"/>
    <n v="2001"/>
    <n v="196477206829"/>
    <n v="5800615374"/>
    <x v="0"/>
    <n v="1"/>
    <x v="2"/>
  </r>
  <r>
    <x v="2558"/>
    <x v="1279"/>
    <x v="32"/>
    <s v="Azerbaijan"/>
    <s v="North Macedonia"/>
    <n v="1"/>
    <n v="1"/>
    <s v="FIFA World Cup qualification"/>
    <s v="Baku"/>
    <s v="Azerbaijan"/>
    <b v="0"/>
    <n v="2001"/>
    <n v="5707616203"/>
    <n v="3709636030"/>
    <x v="1"/>
    <n v="0"/>
    <x v="1"/>
  </r>
  <r>
    <x v="2559"/>
    <x v="1279"/>
    <x v="32"/>
    <s v="Belarus"/>
    <s v="Poland"/>
    <n v="4"/>
    <n v="1"/>
    <s v="FIFA World Cup qualification"/>
    <s v="Minsk"/>
    <s v="Belarus"/>
    <b v="0"/>
    <n v="2001"/>
    <n v="12354820143"/>
    <n v="191823200371"/>
    <x v="0"/>
    <n v="-1"/>
    <x v="0"/>
  </r>
  <r>
    <x v="2560"/>
    <x v="1279"/>
    <x v="32"/>
    <s v="Bulgaria"/>
    <s v="Denmark"/>
    <n v="0"/>
    <n v="2"/>
    <s v="FIFA World Cup qualification"/>
    <s v="Sofia"/>
    <s v="Bulgaria"/>
    <b v="0"/>
    <n v="2001"/>
    <n v="14183446025"/>
    <n v="164881594415"/>
    <x v="0"/>
    <n v="1"/>
    <x v="2"/>
  </r>
  <r>
    <x v="2561"/>
    <x v="1279"/>
    <x v="32"/>
    <s v="Colombia"/>
    <s v="Ecuador"/>
    <n v="0"/>
    <n v="0"/>
    <s v="FIFA World Cup qualification"/>
    <s v="Bogot√°"/>
    <s v="Colombia"/>
    <b v="0"/>
    <n v="2001"/>
    <n v="98200641203"/>
    <n v="23127055000"/>
    <x v="0"/>
    <n v="0"/>
    <x v="1"/>
  </r>
  <r>
    <x v="2562"/>
    <x v="1279"/>
    <x v="32"/>
    <s v="Costa Rica"/>
    <s v="United States"/>
    <n v="2"/>
    <n v="0"/>
    <s v="FIFA World Cup qualification"/>
    <s v="San Jos√©"/>
    <s v="Costa Rica"/>
    <b v="0"/>
    <n v="2001"/>
    <n v="15976174336"/>
    <n v="10581929774000"/>
    <x v="0"/>
    <n v="-1"/>
    <x v="0"/>
  </r>
  <r>
    <x v="2563"/>
    <x v="1279"/>
    <x v="32"/>
    <s v="Cyprus"/>
    <s v="Portugal"/>
    <n v="1"/>
    <n v="3"/>
    <s v="FIFA World Cup qualification"/>
    <s v="Larnaca"/>
    <s v="Cyprus"/>
    <b v="0"/>
    <n v="2001"/>
    <n v="10397898907"/>
    <n v="121604107164"/>
    <x v="0"/>
    <n v="1"/>
    <x v="2"/>
  </r>
  <r>
    <x v="2564"/>
    <x v="1279"/>
    <x v="32"/>
    <s v="England"/>
    <s v="Albania"/>
    <n v="2"/>
    <n v="0"/>
    <s v="FIFA World Cup qualification"/>
    <s v="Newcastle"/>
    <s v="England"/>
    <b v="0"/>
    <n v="2001"/>
    <n v="1656171009068"/>
    <n v="4059064033"/>
    <x v="0"/>
    <n v="1"/>
    <x v="2"/>
  </r>
  <r>
    <x v="2565"/>
    <x v="1279"/>
    <x v="32"/>
    <s v="Faroe Islands"/>
    <s v="Russia"/>
    <n v="0"/>
    <n v="3"/>
    <s v="FIFA World Cup qualification"/>
    <s v="T√≥rshavn"/>
    <s v="Faroe Islands"/>
    <b v="0"/>
    <n v="2001"/>
    <n v="1160268212"/>
    <n v="306602070620"/>
    <x v="0"/>
    <n v="1"/>
    <x v="2"/>
  </r>
  <r>
    <x v="2566"/>
    <x v="1279"/>
    <x v="32"/>
    <s v="Finland"/>
    <s v="Greece"/>
    <n v="5"/>
    <n v="1"/>
    <s v="FIFA World Cup qualification"/>
    <s v="Helsinki"/>
    <s v="Finland"/>
    <b v="0"/>
    <n v="2001"/>
    <n v="129519672868"/>
    <n v="132050474720"/>
    <x v="1"/>
    <n v="-1"/>
    <x v="0"/>
  </r>
  <r>
    <x v="2567"/>
    <x v="1279"/>
    <x v="32"/>
    <s v="Georgia"/>
    <s v="Lithuania"/>
    <n v="2"/>
    <n v="0"/>
    <s v="FIFA World Cup qualification"/>
    <s v="Tbilisi"/>
    <s v="Georgia"/>
    <b v="0"/>
    <n v="2001"/>
    <n v="3219462262"/>
    <n v="12260761329"/>
    <x v="0"/>
    <n v="-1"/>
    <x v="0"/>
  </r>
  <r>
    <x v="2568"/>
    <x v="1279"/>
    <x v="32"/>
    <s v="Honduras"/>
    <s v="Jamaica"/>
    <n v="1"/>
    <n v="0"/>
    <s v="FIFA World Cup qualification"/>
    <s v="Tegucigalpa"/>
    <s v="Honduras"/>
    <b v="0"/>
    <n v="2001"/>
    <n v="7651162302"/>
    <n v="9194727831"/>
    <x v="1"/>
    <n v="-1"/>
    <x v="0"/>
  </r>
  <r>
    <x v="2569"/>
    <x v="1279"/>
    <x v="32"/>
    <s v="Hungary"/>
    <s v="Romania"/>
    <n v="0"/>
    <n v="2"/>
    <s v="FIFA World Cup qualification"/>
    <s v="Budapest"/>
    <s v="Hungary"/>
    <b v="0"/>
    <n v="2001"/>
    <n v="53800068065"/>
    <n v="40395116581"/>
    <x v="1"/>
    <n v="-1"/>
    <x v="0"/>
  </r>
  <r>
    <x v="2570"/>
    <x v="1279"/>
    <x v="32"/>
    <s v="Liechtenstein"/>
    <s v="Spain"/>
    <n v="0"/>
    <n v="2"/>
    <s v="FIFA World Cup qualification"/>
    <s v="Vaduz"/>
    <s v="Liechtenstein"/>
    <b v="0"/>
    <n v="2001"/>
    <n v="2491800558"/>
    <n v="627798682378"/>
    <x v="0"/>
    <n v="1"/>
    <x v="2"/>
  </r>
  <r>
    <x v="2571"/>
    <x v="1279"/>
    <x v="32"/>
    <s v="Luxembourg"/>
    <s v="Switzerland"/>
    <n v="0"/>
    <n v="3"/>
    <s v="FIFA World Cup qualification"/>
    <s v="Luxembourg"/>
    <s v="Luxembourg"/>
    <b v="0"/>
    <n v="2001"/>
    <n v="21387533703"/>
    <n v="286582672434"/>
    <x v="0"/>
    <n v="1"/>
    <x v="2"/>
  </r>
  <r>
    <x v="2572"/>
    <x v="1279"/>
    <x v="32"/>
    <s v="Mexico"/>
    <s v="Trinidad and Tobago"/>
    <n v="3"/>
    <n v="0"/>
    <s v="FIFA World Cup qualification"/>
    <s v="Mexico City"/>
    <s v="Mexico"/>
    <b v="0"/>
    <n v="2001"/>
    <n v="796064590549"/>
    <n v="8824849191"/>
    <x v="0"/>
    <n v="1"/>
    <x v="2"/>
  </r>
  <r>
    <x v="2573"/>
    <x v="1279"/>
    <x v="32"/>
    <s v="Netherlands"/>
    <s v="Estonia"/>
    <n v="5"/>
    <n v="0"/>
    <s v="FIFA World Cup qualification"/>
    <s v="Eindhoven"/>
    <s v="Netherlands"/>
    <b v="0"/>
    <n v="2001"/>
    <n v="432536219668"/>
    <n v="6250218422"/>
    <x v="0"/>
    <n v="1"/>
    <x v="2"/>
  </r>
  <r>
    <x v="2574"/>
    <x v="1279"/>
    <x v="32"/>
    <s v="Paraguay"/>
    <s v="Bolivia"/>
    <n v="5"/>
    <n v="1"/>
    <s v="FIFA World Cup qualification"/>
    <s v="Asunci√≥n"/>
    <s v="Paraguay"/>
    <b v="0"/>
    <n v="2001"/>
    <n v="8495806432"/>
    <n v="8141516928"/>
    <x v="1"/>
    <n v="1"/>
    <x v="2"/>
  </r>
  <r>
    <x v="2575"/>
    <x v="1279"/>
    <x v="32"/>
    <s v="San Marino"/>
    <s v="Croatia"/>
    <n v="0"/>
    <n v="4"/>
    <s v="FIFA World Cup qualification"/>
    <s v="Serravalle"/>
    <s v="San Marino"/>
    <b v="0"/>
    <n v="2001"/>
    <n v="1059529812"/>
    <n v="23066883849"/>
    <x v="0"/>
    <n v="1"/>
    <x v="2"/>
  </r>
  <r>
    <x v="2576"/>
    <x v="1279"/>
    <x v="32"/>
    <s v="Serbia"/>
    <s v="Slovenia"/>
    <n v="1"/>
    <n v="1"/>
    <s v="FIFA World Cup qualification"/>
    <s v="Belgrade"/>
    <s v="FR Yugoslavia"/>
    <b v="0"/>
    <n v="2001"/>
    <n v="13599378661"/>
    <n v="20668868706"/>
    <x v="1"/>
    <n v="0"/>
    <x v="1"/>
  </r>
  <r>
    <x v="2577"/>
    <x v="1279"/>
    <x v="32"/>
    <s v="Ukraine"/>
    <s v="Armenia"/>
    <n v="3"/>
    <n v="0"/>
    <s v="FIFA World Cup qualification"/>
    <s v="Lviv"/>
    <s v="Ukraine"/>
    <b v="0"/>
    <n v="2001"/>
    <n v="39309580983"/>
    <n v="2118467913"/>
    <x v="0"/>
    <n v="1"/>
    <x v="2"/>
  </r>
  <r>
    <x v="2578"/>
    <x v="1280"/>
    <x v="32"/>
    <s v="Bahrain"/>
    <s v="Thailand"/>
    <n v="1"/>
    <n v="1"/>
    <s v="FIFA World Cup qualification"/>
    <s v="Riffa"/>
    <s v="Bahrain"/>
    <b v="0"/>
    <n v="2001"/>
    <n v="8976196808"/>
    <n v="120296476180"/>
    <x v="0"/>
    <n v="0"/>
    <x v="1"/>
  </r>
  <r>
    <x v="2579"/>
    <x v="1281"/>
    <x v="32"/>
    <s v="Iraq"/>
    <s v="Iran"/>
    <n v="1"/>
    <n v="2"/>
    <s v="FIFA World Cup qualification"/>
    <s v="Baghdad"/>
    <s v="Iraq"/>
    <b v="0"/>
    <n v="2001"/>
    <n v="36176430128"/>
    <n v="126878750295"/>
    <x v="0"/>
    <n v="1"/>
    <x v="2"/>
  </r>
  <r>
    <x v="2580"/>
    <x v="1282"/>
    <x v="32"/>
    <s v="Uzbekistan"/>
    <s v="Oman"/>
    <n v="5"/>
    <n v="0"/>
    <s v="FIFA World Cup qualification"/>
    <s v="Tashkent"/>
    <s v="Uzbekistan"/>
    <b v="0"/>
    <n v="2001"/>
    <n v="11401421329"/>
    <n v="22205721716"/>
    <x v="1"/>
    <n v="-1"/>
    <x v="0"/>
  </r>
  <r>
    <x v="2581"/>
    <x v="1283"/>
    <x v="32"/>
    <s v="Iran"/>
    <s v="Bahrain"/>
    <n v="0"/>
    <n v="0"/>
    <s v="FIFA World Cup qualification"/>
    <s v="Tehran"/>
    <s v="Iran"/>
    <b v="0"/>
    <n v="2001"/>
    <n v="126878750295"/>
    <n v="8976196808"/>
    <x v="0"/>
    <n v="0"/>
    <x v="1"/>
  </r>
  <r>
    <x v="2582"/>
    <x v="1283"/>
    <x v="32"/>
    <s v="Oman"/>
    <s v="United Arab Emirates"/>
    <n v="1"/>
    <n v="1"/>
    <s v="FIFA World Cup qualification"/>
    <s v="Muscat"/>
    <s v="Oman"/>
    <b v="0"/>
    <n v="2001"/>
    <n v="22205721716"/>
    <n v="103311640571"/>
    <x v="0"/>
    <n v="0"/>
    <x v="1"/>
  </r>
  <r>
    <x v="2583"/>
    <x v="1284"/>
    <x v="32"/>
    <s v="Thailand"/>
    <s v="Saudi Arabia"/>
    <n v="1"/>
    <n v="3"/>
    <s v="FIFA World Cup qualification"/>
    <s v="Bangkok"/>
    <s v="Thailand"/>
    <b v="0"/>
    <n v="2001"/>
    <n v="120296476180"/>
    <n v="184137600000"/>
    <x v="1"/>
    <n v="1"/>
    <x v="2"/>
  </r>
  <r>
    <x v="2584"/>
    <x v="1285"/>
    <x v="32"/>
    <s v="Bahrain"/>
    <s v="Saudi Arabia"/>
    <n v="0"/>
    <n v="4"/>
    <s v="FIFA World Cup qualification"/>
    <s v="Riffa"/>
    <s v="Bahrain"/>
    <b v="0"/>
    <n v="2001"/>
    <n v="8976196808"/>
    <n v="184137600000"/>
    <x v="0"/>
    <n v="1"/>
    <x v="2"/>
  </r>
  <r>
    <x v="2585"/>
    <x v="1285"/>
    <x v="32"/>
    <s v="Oman"/>
    <s v="Qatar"/>
    <n v="0"/>
    <n v="3"/>
    <s v="FIFA World Cup qualification"/>
    <s v="Muscat"/>
    <s v="Oman"/>
    <b v="0"/>
    <n v="2001"/>
    <n v="22205721716"/>
    <n v="17538461538"/>
    <x v="1"/>
    <n v="-1"/>
    <x v="0"/>
  </r>
  <r>
    <x v="2586"/>
    <x v="1286"/>
    <x v="32"/>
    <s v="Thailand"/>
    <s v="Iraq"/>
    <n v="1"/>
    <n v="1"/>
    <s v="FIFA World Cup qualification"/>
    <s v="Bangkok"/>
    <s v="Thailand"/>
    <b v="0"/>
    <n v="2001"/>
    <n v="120296476180"/>
    <n v="36176430128"/>
    <x v="0"/>
    <n v="0"/>
    <x v="1"/>
  </r>
  <r>
    <x v="2587"/>
    <x v="1286"/>
    <x v="32"/>
    <s v="Uzbekistan"/>
    <s v="United Arab Emirates"/>
    <n v="0"/>
    <n v="1"/>
    <s v="FIFA World Cup qualification"/>
    <s v="Tashkent"/>
    <s v="Uzbekistan"/>
    <b v="0"/>
    <n v="2001"/>
    <n v="11401421329"/>
    <n v="103311640571"/>
    <x v="0"/>
    <n v="1"/>
    <x v="2"/>
  </r>
  <r>
    <x v="2588"/>
    <x v="1287"/>
    <x v="32"/>
    <s v="Iraq"/>
    <s v="Bahrain"/>
    <n v="1"/>
    <n v="0"/>
    <s v="FIFA World Cup qualification"/>
    <s v="Baghdad"/>
    <s v="Iraq"/>
    <b v="0"/>
    <n v="2001"/>
    <n v="36176430128"/>
    <n v="8976196808"/>
    <x v="0"/>
    <n v="1"/>
    <x v="2"/>
  </r>
  <r>
    <x v="2589"/>
    <x v="1287"/>
    <x v="32"/>
    <s v="Qatar"/>
    <s v="Uzbekistan"/>
    <n v="2"/>
    <n v="2"/>
    <s v="FIFA World Cup qualification"/>
    <s v="Doha"/>
    <s v="Qatar"/>
    <b v="0"/>
    <n v="2001"/>
    <n v="17538461538"/>
    <n v="11401421329"/>
    <x v="1"/>
    <n v="0"/>
    <x v="1"/>
  </r>
  <r>
    <x v="2590"/>
    <x v="1287"/>
    <x v="32"/>
    <s v="Saudi Arabia"/>
    <s v="Iran"/>
    <n v="2"/>
    <n v="2"/>
    <s v="FIFA World Cup qualification"/>
    <s v="Jeddah"/>
    <s v="Saudi Arabia"/>
    <b v="0"/>
    <n v="2001"/>
    <n v="184137600000"/>
    <n v="126878750295"/>
    <x v="1"/>
    <n v="0"/>
    <x v="1"/>
  </r>
  <r>
    <x v="2591"/>
    <x v="1288"/>
    <x v="32"/>
    <s v="Qatar"/>
    <s v="United Arab Emirates"/>
    <n v="1"/>
    <n v="2"/>
    <s v="FIFA World Cup qualification"/>
    <s v="Doha"/>
    <s v="Qatar"/>
    <b v="0"/>
    <n v="2001"/>
    <n v="17538461538"/>
    <n v="103311640571"/>
    <x v="0"/>
    <n v="1"/>
    <x v="2"/>
  </r>
  <r>
    <x v="2592"/>
    <x v="1289"/>
    <x v="32"/>
    <s v="Iran"/>
    <s v="Thailand"/>
    <n v="1"/>
    <n v="0"/>
    <s v="FIFA World Cup qualification"/>
    <s v="Tehran"/>
    <s v="Iran"/>
    <b v="0"/>
    <n v="2001"/>
    <n v="126878750295"/>
    <n v="120296476180"/>
    <x v="1"/>
    <n v="1"/>
    <x v="2"/>
  </r>
  <r>
    <x v="2593"/>
    <x v="1289"/>
    <x v="32"/>
    <s v="Iraq"/>
    <s v="Saudi Arabia"/>
    <n v="1"/>
    <n v="2"/>
    <s v="FIFA World Cup qualification"/>
    <s v="Amman"/>
    <s v="Jordan"/>
    <b v="1"/>
    <n v="2001"/>
    <n v="36176430128"/>
    <n v="184137600000"/>
    <x v="0"/>
    <n v="1"/>
    <x v="2"/>
  </r>
  <r>
    <x v="2594"/>
    <x v="1290"/>
    <x v="32"/>
    <s v="Armenia"/>
    <s v="Norway"/>
    <n v="1"/>
    <n v="4"/>
    <s v="FIFA World Cup qualification"/>
    <s v="Yerevan"/>
    <s v="Armenia"/>
    <b v="0"/>
    <n v="2001"/>
    <n v="2118467913"/>
    <n v="174239354070"/>
    <x v="0"/>
    <n v="1"/>
    <x v="2"/>
  </r>
  <r>
    <x v="2595"/>
    <x v="1290"/>
    <x v="32"/>
    <s v="Bolivia"/>
    <s v="Ecuador"/>
    <n v="1"/>
    <n v="5"/>
    <s v="FIFA World Cup qualification"/>
    <s v="La Paz"/>
    <s v="Bolivia"/>
    <b v="0"/>
    <n v="2001"/>
    <n v="8141516928"/>
    <n v="23127055000"/>
    <x v="0"/>
    <n v="1"/>
    <x v="2"/>
  </r>
  <r>
    <x v="2596"/>
    <x v="1290"/>
    <x v="32"/>
    <s v="Croatia"/>
    <s v="Belgium"/>
    <n v="1"/>
    <n v="0"/>
    <s v="FIFA World Cup qualification"/>
    <s v="Zagreb"/>
    <s v="Croatia"/>
    <b v="0"/>
    <n v="2001"/>
    <n v="23066883849"/>
    <n v="236746141604"/>
    <x v="0"/>
    <n v="-1"/>
    <x v="0"/>
  </r>
  <r>
    <x v="2597"/>
    <x v="1290"/>
    <x v="32"/>
    <s v="Denmark"/>
    <s v="Iceland"/>
    <n v="6"/>
    <n v="0"/>
    <s v="FIFA World Cup qualification"/>
    <s v="Copenhagen"/>
    <s v="Denmark"/>
    <b v="0"/>
    <n v="2001"/>
    <n v="164881594415"/>
    <n v="8323401820"/>
    <x v="0"/>
    <n v="1"/>
    <x v="2"/>
  </r>
  <r>
    <x v="2598"/>
    <x v="1290"/>
    <x v="32"/>
    <s v="England"/>
    <s v="Greece"/>
    <n v="2"/>
    <n v="2"/>
    <s v="FIFA World Cup qualification"/>
    <s v="Manchester"/>
    <s v="England"/>
    <b v="0"/>
    <n v="2001"/>
    <n v="1656171009068"/>
    <n v="132050474720"/>
    <x v="0"/>
    <n v="0"/>
    <x v="1"/>
  </r>
  <r>
    <x v="2599"/>
    <x v="1290"/>
    <x v="32"/>
    <s v="Germany"/>
    <s v="Finland"/>
    <n v="0"/>
    <n v="0"/>
    <s v="FIFA World Cup qualification"/>
    <s v="Gelsenkirchen"/>
    <s v="Germany"/>
    <b v="0"/>
    <n v="2001"/>
    <n v="1966381496641"/>
    <n v="129519672868"/>
    <x v="0"/>
    <n v="0"/>
    <x v="1"/>
  </r>
  <r>
    <x v="2600"/>
    <x v="1290"/>
    <x v="32"/>
    <s v="Italy"/>
    <s v="Hungary"/>
    <n v="1"/>
    <n v="0"/>
    <s v="FIFA World Cup qualification"/>
    <s v="Parma"/>
    <s v="Italy"/>
    <b v="0"/>
    <n v="2001"/>
    <n v="1172041488805"/>
    <n v="53800068065"/>
    <x v="0"/>
    <n v="1"/>
    <x v="2"/>
  </r>
  <r>
    <x v="2601"/>
    <x v="1290"/>
    <x v="32"/>
    <s v="Netherlands"/>
    <s v="Andorra"/>
    <n v="4"/>
    <n v="0"/>
    <s v="FIFA World Cup qualification"/>
    <s v="Arnhem"/>
    <s v="Netherlands"/>
    <b v="0"/>
    <n v="2001"/>
    <n v="432536219668"/>
    <n v="1548265926"/>
    <x v="0"/>
    <n v="1"/>
    <x v="2"/>
  </r>
  <r>
    <x v="2602"/>
    <x v="1290"/>
    <x v="32"/>
    <s v="Poland"/>
    <s v="Ukraine"/>
    <n v="1"/>
    <n v="1"/>
    <s v="FIFA World Cup qualification"/>
    <s v="Chorz√≥w"/>
    <s v="Poland"/>
    <b v="0"/>
    <n v="2001"/>
    <n v="191823200371"/>
    <n v="39309580983"/>
    <x v="0"/>
    <n v="0"/>
    <x v="1"/>
  </r>
  <r>
    <x v="2603"/>
    <x v="1290"/>
    <x v="32"/>
    <s v="Portugal"/>
    <s v="Estonia"/>
    <n v="5"/>
    <n v="0"/>
    <s v="FIFA World Cup qualification"/>
    <s v="Lisbon"/>
    <s v="Portugal"/>
    <b v="0"/>
    <n v="2001"/>
    <n v="121604107164"/>
    <n v="6250218422"/>
    <x v="0"/>
    <n v="1"/>
    <x v="2"/>
  </r>
  <r>
    <x v="2604"/>
    <x v="1290"/>
    <x v="32"/>
    <s v="Romania"/>
    <s v="Georgia"/>
    <n v="1"/>
    <n v="1"/>
    <s v="FIFA World Cup qualification"/>
    <s v="Bucharest"/>
    <s v="Romania"/>
    <b v="0"/>
    <n v="2001"/>
    <n v="40395116581"/>
    <n v="3219462262"/>
    <x v="0"/>
    <n v="0"/>
    <x v="1"/>
  </r>
  <r>
    <x v="2605"/>
    <x v="1290"/>
    <x v="32"/>
    <s v="Russia"/>
    <s v="Switzerland"/>
    <n v="4"/>
    <n v="0"/>
    <s v="FIFA World Cup qualification"/>
    <s v="Moscow"/>
    <s v="Russia"/>
    <b v="0"/>
    <n v="2001"/>
    <n v="306602070620"/>
    <n v="286582672434"/>
    <x v="1"/>
    <n v="1"/>
    <x v="2"/>
  </r>
  <r>
    <x v="2606"/>
    <x v="1290"/>
    <x v="32"/>
    <s v="Serbia"/>
    <s v="Luxembourg"/>
    <n v="6"/>
    <n v="2"/>
    <s v="FIFA World Cup qualification"/>
    <s v="Belgrade"/>
    <s v="FR Yugoslavia"/>
    <b v="0"/>
    <n v="2001"/>
    <n v="13599378661"/>
    <n v="21387533703"/>
    <x v="1"/>
    <n v="-1"/>
    <x v="0"/>
  </r>
  <r>
    <x v="2607"/>
    <x v="1290"/>
    <x v="32"/>
    <s v="Slovenia"/>
    <s v="Faroe Islands"/>
    <n v="3"/>
    <n v="0"/>
    <s v="FIFA World Cup qualification"/>
    <s v="Ljubljana"/>
    <s v="Slovenia"/>
    <b v="0"/>
    <n v="2001"/>
    <n v="20668868706"/>
    <n v="1160268212"/>
    <x v="0"/>
    <n v="1"/>
    <x v="2"/>
  </r>
  <r>
    <x v="2608"/>
    <x v="1290"/>
    <x v="32"/>
    <s v="Venezuela"/>
    <s v="Peru"/>
    <n v="3"/>
    <n v="0"/>
    <s v="FIFA World Cup qualification"/>
    <s v="San Crist√≥bal"/>
    <s v="Venezuela"/>
    <b v="0"/>
    <n v="2001"/>
    <n v="122911036746"/>
    <n v="52030158775"/>
    <x v="0"/>
    <n v="1"/>
    <x v="2"/>
  </r>
  <r>
    <x v="2609"/>
    <x v="1291"/>
    <x v="32"/>
    <s v="Bosnia and Herzegovina"/>
    <s v="Liechtenstein"/>
    <n v="5"/>
    <n v="0"/>
    <s v="FIFA World Cup qualification"/>
    <s v="Zenica"/>
    <s v="Bosnia and Herzegovina"/>
    <b v="0"/>
    <n v="2001"/>
    <n v="5800615374"/>
    <n v="2491800558"/>
    <x v="0"/>
    <n v="1"/>
    <x v="2"/>
  </r>
  <r>
    <x v="2610"/>
    <x v="1291"/>
    <x v="32"/>
    <s v="Brazil"/>
    <s v="Chile"/>
    <n v="2"/>
    <n v="0"/>
    <s v="FIFA World Cup qualification"/>
    <s v="Curitiba"/>
    <s v="Brazil"/>
    <b v="0"/>
    <n v="2001"/>
    <n v="559983704094"/>
    <n v="71574739561"/>
    <x v="0"/>
    <n v="1"/>
    <x v="2"/>
  </r>
  <r>
    <x v="2611"/>
    <x v="1291"/>
    <x v="32"/>
    <s v="Costa Rica"/>
    <s v="Mexico"/>
    <n v="0"/>
    <n v="0"/>
    <s v="FIFA World Cup qualification"/>
    <s v="San Jos√©"/>
    <s v="Costa Rica"/>
    <b v="0"/>
    <n v="2001"/>
    <n v="15976174336"/>
    <n v="796064590549"/>
    <x v="0"/>
    <n v="0"/>
    <x v="1"/>
  </r>
  <r>
    <x v="2612"/>
    <x v="1291"/>
    <x v="32"/>
    <s v="Honduras"/>
    <s v="Trinidad and Tobago"/>
    <n v="0"/>
    <n v="1"/>
    <s v="FIFA World Cup qualification"/>
    <s v="San Pedro Sula"/>
    <s v="Honduras"/>
    <b v="0"/>
    <n v="2001"/>
    <n v="7651162302"/>
    <n v="8824849191"/>
    <x v="1"/>
    <n v="1"/>
    <x v="2"/>
  </r>
  <r>
    <x v="2613"/>
    <x v="1291"/>
    <x v="32"/>
    <s v="Paraguay"/>
    <s v="Argentina"/>
    <n v="2"/>
    <n v="2"/>
    <s v="FIFA World Cup qualification"/>
    <s v="Asunci√≥n"/>
    <s v="Paraguay"/>
    <b v="0"/>
    <n v="2001"/>
    <n v="8495806432"/>
    <n v="268696750000"/>
    <x v="0"/>
    <n v="0"/>
    <x v="1"/>
  </r>
  <r>
    <x v="2614"/>
    <x v="1291"/>
    <x v="32"/>
    <s v="Sweden"/>
    <s v="Azerbaijan"/>
    <n v="3"/>
    <n v="0"/>
    <s v="FIFA World Cup qualification"/>
    <s v="Solna"/>
    <s v="Sweden"/>
    <b v="0"/>
    <n v="2001"/>
    <n v="242497797484"/>
    <n v="5707616203"/>
    <x v="0"/>
    <n v="1"/>
    <x v="2"/>
  </r>
  <r>
    <x v="2615"/>
    <x v="1291"/>
    <x v="32"/>
    <s v="Uruguay"/>
    <s v="Colombia"/>
    <n v="1"/>
    <n v="1"/>
    <s v="FIFA World Cup qualification"/>
    <s v="Montevideo"/>
    <s v="Uruguay"/>
    <b v="0"/>
    <n v="2001"/>
    <n v="20898761742"/>
    <n v="98200641203"/>
    <x v="0"/>
    <n v="0"/>
    <x v="1"/>
  </r>
  <r>
    <x v="2616"/>
    <x v="1291"/>
    <x v="32"/>
    <s v="United States"/>
    <s v="Jamaica"/>
    <n v="2"/>
    <n v="1"/>
    <s v="FIFA World Cup qualification"/>
    <s v="Foxborough"/>
    <s v="United States"/>
    <b v="0"/>
    <n v="2001"/>
    <n v="10581929774000"/>
    <n v="9194727831"/>
    <x v="0"/>
    <n v="1"/>
    <x v="2"/>
  </r>
  <r>
    <x v="2617"/>
    <x v="1292"/>
    <x v="32"/>
    <s v="Iran"/>
    <s v="Iraq"/>
    <n v="2"/>
    <n v="1"/>
    <s v="FIFA World Cup qualification"/>
    <s v="Tehran"/>
    <s v="Iran"/>
    <b v="0"/>
    <n v="2001"/>
    <n v="126878750295"/>
    <n v="36176430128"/>
    <x v="0"/>
    <n v="1"/>
    <x v="2"/>
  </r>
  <r>
    <x v="2618"/>
    <x v="1293"/>
    <x v="32"/>
    <s v="Oman"/>
    <s v="Uzbekistan"/>
    <n v="4"/>
    <n v="2"/>
    <s v="FIFA World Cup qualification"/>
    <s v="Muscat"/>
    <s v="Oman"/>
    <b v="0"/>
    <n v="2001"/>
    <n v="22205721716"/>
    <n v="11401421329"/>
    <x v="1"/>
    <n v="1"/>
    <x v="2"/>
  </r>
  <r>
    <x v="2619"/>
    <x v="1294"/>
    <x v="32"/>
    <s v="Thailand"/>
    <s v="Bahrain"/>
    <n v="1"/>
    <n v="1"/>
    <s v="FIFA World Cup qualification"/>
    <s v="Bangkok"/>
    <s v="Thailand"/>
    <b v="0"/>
    <n v="2001"/>
    <n v="120296476180"/>
    <n v="8976196808"/>
    <x v="0"/>
    <n v="0"/>
    <x v="1"/>
  </r>
  <r>
    <x v="2620"/>
    <x v="1295"/>
    <x v="32"/>
    <s v="United Arab Emirates"/>
    <s v="Oman"/>
    <n v="2"/>
    <n v="2"/>
    <s v="FIFA World Cup qualification"/>
    <s v="Abu Dhabi"/>
    <s v="United Arab Emirates"/>
    <b v="0"/>
    <n v="2001"/>
    <n v="103311640571"/>
    <n v="22205721716"/>
    <x v="0"/>
    <n v="0"/>
    <x v="1"/>
  </r>
  <r>
    <x v="2621"/>
    <x v="1296"/>
    <x v="32"/>
    <s v="Bahrain"/>
    <s v="Iran"/>
    <n v="3"/>
    <n v="1"/>
    <s v="FIFA World Cup qualification"/>
    <s v="Riffa"/>
    <s v="Bahrain"/>
    <b v="0"/>
    <n v="2001"/>
    <n v="8976196808"/>
    <n v="126878750295"/>
    <x v="0"/>
    <n v="-1"/>
    <x v="0"/>
  </r>
  <r>
    <x v="2622"/>
    <x v="1296"/>
    <x v="32"/>
    <s v="Saudi Arabia"/>
    <s v="Thailand"/>
    <n v="4"/>
    <n v="1"/>
    <s v="FIFA World Cup qualification"/>
    <s v="Riyadh"/>
    <s v="Saudi Arabia"/>
    <b v="0"/>
    <n v="2001"/>
    <n v="184137600000"/>
    <n v="120296476180"/>
    <x v="1"/>
    <n v="1"/>
    <x v="2"/>
  </r>
  <r>
    <x v="2623"/>
    <x v="1297"/>
    <x v="32"/>
    <s v="Iran"/>
    <s v="United Arab Emirates"/>
    <n v="1"/>
    <n v="0"/>
    <s v="FIFA World Cup qualification"/>
    <s v="Tehran"/>
    <s v="Iran"/>
    <b v="0"/>
    <n v="2001"/>
    <n v="126878750295"/>
    <n v="103311640571"/>
    <x v="1"/>
    <n v="1"/>
    <x v="2"/>
  </r>
  <r>
    <x v="2624"/>
    <x v="1298"/>
    <x v="32"/>
    <s v="Israel"/>
    <s v="Austria"/>
    <n v="1"/>
    <n v="1"/>
    <s v="FIFA World Cup qualification"/>
    <s v="Ramat Gan"/>
    <s v="Israel"/>
    <b v="0"/>
    <n v="2001"/>
    <n v="135002039612"/>
    <n v="196477206829"/>
    <x v="1"/>
    <n v="0"/>
    <x v="1"/>
  </r>
  <r>
    <x v="2625"/>
    <x v="1299"/>
    <x v="32"/>
    <s v="United Arab Emirates"/>
    <s v="Iran"/>
    <n v="0"/>
    <n v="3"/>
    <s v="FIFA World Cup qualification"/>
    <s v="Abu Dhabi"/>
    <s v="United Arab Emirates"/>
    <b v="0"/>
    <n v="2001"/>
    <n v="103311640571"/>
    <n v="126878750295"/>
    <x v="1"/>
    <n v="1"/>
    <x v="2"/>
  </r>
  <r>
    <x v="2626"/>
    <x v="1300"/>
    <x v="32"/>
    <s v="Bolivia"/>
    <s v="Brazil"/>
    <n v="3"/>
    <n v="1"/>
    <s v="FIFA World Cup qualification"/>
    <s v="La Paz"/>
    <s v="Bolivia"/>
    <b v="0"/>
    <n v="2001"/>
    <n v="8141516928"/>
    <n v="559983704094"/>
    <x v="0"/>
    <n v="-1"/>
    <x v="0"/>
  </r>
  <r>
    <x v="2627"/>
    <x v="1300"/>
    <x v="32"/>
    <s v="Colombia"/>
    <s v="Chile"/>
    <n v="3"/>
    <n v="1"/>
    <s v="FIFA World Cup qualification"/>
    <s v="Bogot√°"/>
    <s v="Colombia"/>
    <b v="0"/>
    <n v="2001"/>
    <n v="98200641203"/>
    <n v="71574739561"/>
    <x v="1"/>
    <n v="1"/>
    <x v="2"/>
  </r>
  <r>
    <x v="2628"/>
    <x v="1300"/>
    <x v="32"/>
    <s v="Ecuador"/>
    <s v="Uruguay"/>
    <n v="1"/>
    <n v="1"/>
    <s v="FIFA World Cup qualification"/>
    <s v="Quito"/>
    <s v="Ecuador"/>
    <b v="0"/>
    <n v="2001"/>
    <n v="23127055000"/>
    <n v="20898761742"/>
    <x v="1"/>
    <n v="0"/>
    <x v="1"/>
  </r>
  <r>
    <x v="2629"/>
    <x v="1301"/>
    <x v="32"/>
    <s v="Argentina"/>
    <s v="Peru"/>
    <n v="2"/>
    <n v="0"/>
    <s v="FIFA World Cup qualification"/>
    <s v="Buenos Aires"/>
    <s v="Argentina"/>
    <b v="0"/>
    <n v="2001"/>
    <n v="268696750000"/>
    <n v="52030158775"/>
    <x v="0"/>
    <n v="1"/>
    <x v="2"/>
  </r>
  <r>
    <x v="2630"/>
    <x v="1301"/>
    <x v="32"/>
    <s v="Venezuela"/>
    <s v="Paraguay"/>
    <n v="3"/>
    <n v="1"/>
    <s v="FIFA World Cup qualification"/>
    <s v="San Crist√≥bal"/>
    <s v="Venezuela"/>
    <b v="0"/>
    <n v="2001"/>
    <n v="122911036746"/>
    <n v="8495806432"/>
    <x v="0"/>
    <n v="1"/>
    <x v="2"/>
  </r>
  <r>
    <x v="2631"/>
    <x v="1302"/>
    <x v="32"/>
    <s v="Slovenia"/>
    <s v="Romania"/>
    <n v="2"/>
    <n v="1"/>
    <s v="FIFA World Cup qualification"/>
    <s v="Ljubljana"/>
    <s v="Slovenia"/>
    <b v="0"/>
    <n v="2001"/>
    <n v="20668868706"/>
    <n v="40395116581"/>
    <x v="1"/>
    <n v="-1"/>
    <x v="0"/>
  </r>
  <r>
    <x v="2632"/>
    <x v="1302"/>
    <x v="32"/>
    <s v="Ukraine"/>
    <s v="Germany"/>
    <n v="1"/>
    <n v="1"/>
    <s v="FIFA World Cup qualification"/>
    <s v="Kyiv"/>
    <s v="Ukraine"/>
    <b v="0"/>
    <n v="2001"/>
    <n v="39309580983"/>
    <n v="1966381496641"/>
    <x v="0"/>
    <n v="0"/>
    <x v="1"/>
  </r>
  <r>
    <x v="2633"/>
    <x v="1303"/>
    <x v="32"/>
    <s v="Jamaica"/>
    <s v="Costa Rica"/>
    <n v="0"/>
    <n v="1"/>
    <s v="FIFA World Cup qualification"/>
    <s v="Kingston"/>
    <s v="Jamaica"/>
    <b v="0"/>
    <n v="2001"/>
    <n v="9194727831"/>
    <n v="15976174336"/>
    <x v="1"/>
    <n v="1"/>
    <x v="2"/>
  </r>
  <r>
    <x v="2634"/>
    <x v="1303"/>
    <x v="32"/>
    <s v="Mexico"/>
    <s v="Honduras"/>
    <n v="3"/>
    <n v="0"/>
    <s v="FIFA World Cup qualification"/>
    <s v="Mexico City"/>
    <s v="Mexico"/>
    <b v="0"/>
    <n v="2001"/>
    <n v="796064590549"/>
    <n v="7651162302"/>
    <x v="0"/>
    <n v="1"/>
    <x v="2"/>
  </r>
  <r>
    <x v="2635"/>
    <x v="1303"/>
    <x v="32"/>
    <s v="Trinidad and Tobago"/>
    <s v="United States"/>
    <n v="0"/>
    <n v="0"/>
    <s v="FIFA World Cup qualification"/>
    <s v="Port of Spain"/>
    <s v="Trinidad and Tobago"/>
    <b v="0"/>
    <n v="2001"/>
    <n v="8824849191"/>
    <n v="10581929774000"/>
    <x v="0"/>
    <n v="0"/>
    <x v="1"/>
  </r>
  <r>
    <x v="2636"/>
    <x v="1304"/>
    <x v="32"/>
    <s v="Brazil"/>
    <s v="Venezuela"/>
    <n v="3"/>
    <n v="0"/>
    <s v="FIFA World Cup qualification"/>
    <s v="S√£o Lu√≠s"/>
    <s v="Brazil"/>
    <b v="0"/>
    <n v="2001"/>
    <n v="559983704094"/>
    <n v="122911036746"/>
    <x v="0"/>
    <n v="1"/>
    <x v="2"/>
  </r>
  <r>
    <x v="2637"/>
    <x v="1304"/>
    <x v="32"/>
    <s v="Chile"/>
    <s v="Ecuador"/>
    <n v="0"/>
    <n v="0"/>
    <s v="FIFA World Cup qualification"/>
    <s v="Santiago"/>
    <s v="Chile"/>
    <b v="0"/>
    <n v="2001"/>
    <n v="71574739561"/>
    <n v="23127055000"/>
    <x v="0"/>
    <n v="0"/>
    <x v="1"/>
  </r>
  <r>
    <x v="2638"/>
    <x v="1304"/>
    <x v="32"/>
    <s v="Germany"/>
    <s v="Ukraine"/>
    <n v="4"/>
    <n v="1"/>
    <s v="FIFA World Cup qualification"/>
    <s v="Dortmund"/>
    <s v="Germany"/>
    <b v="0"/>
    <n v="2001"/>
    <n v="1966381496641"/>
    <n v="39309580983"/>
    <x v="0"/>
    <n v="1"/>
    <x v="2"/>
  </r>
  <r>
    <x v="2639"/>
    <x v="1304"/>
    <x v="32"/>
    <s v="Paraguay"/>
    <s v="Colombia"/>
    <n v="0"/>
    <n v="4"/>
    <s v="FIFA World Cup qualification"/>
    <s v="Asunci√≥n"/>
    <s v="Paraguay"/>
    <b v="0"/>
    <n v="2001"/>
    <n v="8495806432"/>
    <n v="98200641203"/>
    <x v="0"/>
    <n v="1"/>
    <x v="2"/>
  </r>
  <r>
    <x v="2640"/>
    <x v="1304"/>
    <x v="32"/>
    <s v="Peru"/>
    <s v="Bolivia"/>
    <n v="1"/>
    <n v="1"/>
    <s v="FIFA World Cup qualification"/>
    <s v="Lima"/>
    <s v="Peru"/>
    <b v="0"/>
    <n v="2001"/>
    <n v="52030158775"/>
    <n v="8141516928"/>
    <x v="0"/>
    <n v="0"/>
    <x v="1"/>
  </r>
  <r>
    <x v="2641"/>
    <x v="1304"/>
    <x v="32"/>
    <s v="Romania"/>
    <s v="Slovenia"/>
    <n v="1"/>
    <n v="1"/>
    <s v="FIFA World Cup qualification"/>
    <s v="Bucharest"/>
    <s v="Romania"/>
    <b v="0"/>
    <n v="2001"/>
    <n v="40395116581"/>
    <n v="20668868706"/>
    <x v="1"/>
    <n v="0"/>
    <x v="1"/>
  </r>
  <r>
    <x v="2642"/>
    <x v="1304"/>
    <x v="32"/>
    <s v="Uruguay"/>
    <s v="Argentina"/>
    <n v="1"/>
    <n v="1"/>
    <s v="FIFA World Cup qualification"/>
    <s v="Montevideo"/>
    <s v="Uruguay"/>
    <b v="0"/>
    <n v="2001"/>
    <n v="20898761742"/>
    <n v="268696750000"/>
    <x v="0"/>
    <n v="0"/>
    <x v="1"/>
  </r>
  <r>
    <x v="2643"/>
    <x v="1305"/>
    <x v="32"/>
    <s v="Australia"/>
    <s v="Uruguay"/>
    <n v="1"/>
    <n v="0"/>
    <s v="FIFA World Cup qualification"/>
    <s v="Melbourne"/>
    <s v="Australia"/>
    <b v="0"/>
    <n v="2001"/>
    <n v="380360222861"/>
    <n v="20898761742"/>
    <x v="0"/>
    <n v="1"/>
    <x v="2"/>
  </r>
  <r>
    <x v="2644"/>
    <x v="1306"/>
    <x v="32"/>
    <s v="Uruguay"/>
    <s v="Australia"/>
    <n v="3"/>
    <n v="0"/>
    <s v="FIFA World Cup qualification"/>
    <s v="Montevideo"/>
    <s v="Uruguay"/>
    <b v="0"/>
    <n v="2001"/>
    <n v="20898761742"/>
    <n v="380360222861"/>
    <x v="0"/>
    <n v="-1"/>
    <x v="0"/>
  </r>
  <r>
    <x v="2645"/>
    <x v="1307"/>
    <x v="33"/>
    <s v="France"/>
    <s v="Senegal"/>
    <n v="0"/>
    <n v="1"/>
    <s v="FIFA World Cup"/>
    <s v="Seoul"/>
    <s v="South Korea"/>
    <b v="1"/>
    <n v="2002"/>
    <n v="1492427756382"/>
    <n v="7006402319"/>
    <x v="0"/>
    <n v="-1"/>
    <x v="0"/>
  </r>
  <r>
    <x v="2646"/>
    <x v="1308"/>
    <x v="33"/>
    <s v="Germany"/>
    <s v="Saudi Arabia"/>
    <n v="8"/>
    <n v="0"/>
    <s v="FIFA World Cup"/>
    <s v="Sapporo"/>
    <s v="Japan"/>
    <b v="1"/>
    <n v="2002"/>
    <n v="2102350798305"/>
    <n v="189605866666"/>
    <x v="0"/>
    <n v="1"/>
    <x v="2"/>
  </r>
  <r>
    <x v="2647"/>
    <x v="1308"/>
    <x v="33"/>
    <s v="Uruguay"/>
    <s v="Denmark"/>
    <n v="1"/>
    <n v="2"/>
    <s v="FIFA World Cup"/>
    <s v="Ulsan"/>
    <s v="South Korea"/>
    <b v="1"/>
    <n v="2002"/>
    <n v="13606515722"/>
    <n v="178788209558"/>
    <x v="0"/>
    <n v="1"/>
    <x v="2"/>
  </r>
  <r>
    <x v="2648"/>
    <x v="1309"/>
    <x v="33"/>
    <s v="Argentina"/>
    <s v="Nigeria"/>
    <n v="1"/>
    <n v="0"/>
    <s v="FIFA World Cup"/>
    <s v="Kashima"/>
    <s v="Japan"/>
    <b v="1"/>
    <n v="2002"/>
    <n v="97724004251"/>
    <n v="95054059302"/>
    <x v="1"/>
    <n v="1"/>
    <x v="2"/>
  </r>
  <r>
    <x v="2649"/>
    <x v="1309"/>
    <x v="33"/>
    <s v="England"/>
    <s v="Sweden"/>
    <n v="1"/>
    <n v="1"/>
    <s v="FIFA World Cup"/>
    <s v="Saitama"/>
    <s v="Japan"/>
    <b v="1"/>
    <n v="2002"/>
    <n v="1790536570743"/>
    <n v="267371907446"/>
    <x v="0"/>
    <n v="0"/>
    <x v="1"/>
  </r>
  <r>
    <x v="2650"/>
    <x v="1309"/>
    <x v="33"/>
    <s v="Paraguay"/>
    <s v="South Africa"/>
    <n v="2"/>
    <n v="2"/>
    <s v="FIFA World Cup"/>
    <s v="Busan"/>
    <s v="South Korea"/>
    <b v="1"/>
    <n v="2002"/>
    <n v="7196260656"/>
    <n v="129087556612"/>
    <x v="0"/>
    <n v="0"/>
    <x v="1"/>
  </r>
  <r>
    <x v="2651"/>
    <x v="1309"/>
    <x v="33"/>
    <s v="Spain"/>
    <s v="Slovenia"/>
    <n v="3"/>
    <n v="1"/>
    <s v="FIFA World Cup"/>
    <s v="Gwangju"/>
    <s v="South Korea"/>
    <b v="1"/>
    <n v="2002"/>
    <n v="708938227243"/>
    <n v="23214593516"/>
    <x v="0"/>
    <n v="1"/>
    <x v="2"/>
  </r>
  <r>
    <x v="2652"/>
    <x v="1310"/>
    <x v="33"/>
    <s v="Croatia"/>
    <s v="Mexico"/>
    <n v="0"/>
    <n v="1"/>
    <s v="FIFA World Cup"/>
    <s v="Niigata"/>
    <s v="Japan"/>
    <b v="1"/>
    <n v="2002"/>
    <n v="26757722428"/>
    <n v="810666116401"/>
    <x v="0"/>
    <n v="1"/>
    <x v="2"/>
  </r>
  <r>
    <x v="2653"/>
    <x v="1310"/>
    <x v="33"/>
    <s v="Italy"/>
    <s v="Ecuador"/>
    <n v="2"/>
    <n v="0"/>
    <s v="FIFA World Cup"/>
    <s v="Sapporo"/>
    <s v="Japan"/>
    <b v="1"/>
    <n v="2002"/>
    <n v="1281746271196"/>
    <n v="27054197000"/>
    <x v="0"/>
    <n v="1"/>
    <x v="2"/>
  </r>
  <r>
    <x v="2654"/>
    <x v="1311"/>
    <x v="33"/>
    <s v="Japan"/>
    <s v="Belgium"/>
    <n v="2"/>
    <n v="2"/>
    <s v="FIFA World Cup"/>
    <s v="Saitama"/>
    <s v="Japan"/>
    <b v="0"/>
    <n v="2002"/>
    <n v="4182846045873"/>
    <n v="258383599375"/>
    <x v="0"/>
    <n v="0"/>
    <x v="1"/>
  </r>
  <r>
    <x v="2655"/>
    <x v="1311"/>
    <x v="33"/>
    <s v="South Korea"/>
    <s v="Poland"/>
    <n v="2"/>
    <n v="0"/>
    <s v="FIFA World Cup"/>
    <s v="Busan"/>
    <s v="South Korea"/>
    <b v="0"/>
    <n v="2002"/>
    <n v="650014391470"/>
    <n v="199694463255"/>
    <x v="0"/>
    <n v="1"/>
    <x v="2"/>
  </r>
  <r>
    <x v="2656"/>
    <x v="1312"/>
    <x v="33"/>
    <s v="Russia"/>
    <s v="Tunisia"/>
    <n v="2"/>
    <n v="0"/>
    <s v="FIFA World Cup"/>
    <s v="Kobe"/>
    <s v="Japan"/>
    <b v="1"/>
    <n v="2002"/>
    <n v="345470494417"/>
    <n v="23141616604"/>
    <x v="0"/>
    <n v="1"/>
    <x v="2"/>
  </r>
  <r>
    <x v="2657"/>
    <x v="1312"/>
    <x v="33"/>
    <s v="United States"/>
    <s v="Portugal"/>
    <n v="3"/>
    <n v="2"/>
    <s v="FIFA World Cup"/>
    <s v="Suwon"/>
    <s v="South Korea"/>
    <b v="1"/>
    <n v="2002"/>
    <n v="10929112955000"/>
    <n v="134795565549"/>
    <x v="0"/>
    <n v="1"/>
    <x v="2"/>
  </r>
  <r>
    <x v="2658"/>
    <x v="1313"/>
    <x v="33"/>
    <s v="Cameroon"/>
    <s v="Saudi Arabia"/>
    <n v="1"/>
    <n v="0"/>
    <s v="FIFA World Cup"/>
    <s v="Saitama"/>
    <s v="Japan"/>
    <b v="1"/>
    <n v="2002"/>
    <n v="12417251350"/>
    <n v="189605866666"/>
    <x v="0"/>
    <n v="-1"/>
    <x v="0"/>
  </r>
  <r>
    <x v="2659"/>
    <x v="1313"/>
    <x v="33"/>
    <s v="Denmark"/>
    <s v="Senegal"/>
    <n v="1"/>
    <n v="1"/>
    <s v="FIFA World Cup"/>
    <s v="Daegu"/>
    <s v="South Korea"/>
    <b v="1"/>
    <n v="2002"/>
    <n v="178788209558"/>
    <n v="7006402319"/>
    <x v="0"/>
    <n v="0"/>
    <x v="1"/>
  </r>
  <r>
    <x v="2660"/>
    <x v="1313"/>
    <x v="33"/>
    <s v="France"/>
    <s v="Uruguay"/>
    <n v="0"/>
    <n v="0"/>
    <s v="FIFA World Cup"/>
    <s v="Busan"/>
    <s v="South Korea"/>
    <b v="1"/>
    <n v="2002"/>
    <n v="1492427756382"/>
    <n v="13606515722"/>
    <x v="0"/>
    <n v="0"/>
    <x v="1"/>
  </r>
  <r>
    <x v="2661"/>
    <x v="1314"/>
    <x v="33"/>
    <s v="Argentina"/>
    <s v="England"/>
    <n v="0"/>
    <n v="1"/>
    <s v="FIFA World Cup"/>
    <s v="Sapporo"/>
    <s v="Japan"/>
    <b v="1"/>
    <n v="2002"/>
    <n v="97724004251"/>
    <n v="1790536570743"/>
    <x v="0"/>
    <n v="1"/>
    <x v="2"/>
  </r>
  <r>
    <x v="2662"/>
    <x v="1314"/>
    <x v="33"/>
    <s v="Spain"/>
    <s v="Paraguay"/>
    <n v="3"/>
    <n v="1"/>
    <s v="FIFA World Cup"/>
    <s v="Jeonju"/>
    <s v="South Korea"/>
    <b v="1"/>
    <n v="2002"/>
    <n v="708938227243"/>
    <n v="7196260656"/>
    <x v="0"/>
    <n v="1"/>
    <x v="2"/>
  </r>
  <r>
    <x v="2663"/>
    <x v="1314"/>
    <x v="33"/>
    <s v="Sweden"/>
    <s v="Nigeria"/>
    <n v="2"/>
    <n v="1"/>
    <s v="FIFA World Cup"/>
    <s v="Kobe"/>
    <s v="Japan"/>
    <b v="1"/>
    <n v="2002"/>
    <n v="267371907446"/>
    <n v="95054059302"/>
    <x v="0"/>
    <n v="1"/>
    <x v="2"/>
  </r>
  <r>
    <x v="2664"/>
    <x v="1315"/>
    <x v="33"/>
    <s v="Italy"/>
    <s v="Croatia"/>
    <n v="1"/>
    <n v="2"/>
    <s v="FIFA World Cup"/>
    <s v="Kashima"/>
    <s v="Japan"/>
    <b v="1"/>
    <n v="2002"/>
    <n v="1281746271196"/>
    <n v="26757722428"/>
    <x v="0"/>
    <n v="-1"/>
    <x v="0"/>
  </r>
  <r>
    <x v="2665"/>
    <x v="1315"/>
    <x v="33"/>
    <s v="South Africa"/>
    <s v="Slovenia"/>
    <n v="1"/>
    <n v="0"/>
    <s v="FIFA World Cup"/>
    <s v="Daegu"/>
    <s v="South Korea"/>
    <b v="1"/>
    <n v="2002"/>
    <n v="129087556612"/>
    <n v="23214593516"/>
    <x v="0"/>
    <n v="1"/>
    <x v="2"/>
  </r>
  <r>
    <x v="2666"/>
    <x v="1316"/>
    <x v="33"/>
    <s v="Japan"/>
    <s v="Russia"/>
    <n v="1"/>
    <n v="0"/>
    <s v="FIFA World Cup"/>
    <s v="Yokohama"/>
    <s v="Japan"/>
    <b v="0"/>
    <n v="2002"/>
    <n v="4182846045873"/>
    <n v="345470494417"/>
    <x v="0"/>
    <n v="1"/>
    <x v="2"/>
  </r>
  <r>
    <x v="2667"/>
    <x v="1316"/>
    <x v="33"/>
    <s v="Mexico"/>
    <s v="Ecuador"/>
    <n v="2"/>
    <n v="1"/>
    <s v="FIFA World Cup"/>
    <s v="Rifu"/>
    <s v="Japan"/>
    <b v="1"/>
    <n v="2002"/>
    <n v="810666116401"/>
    <n v="27054197000"/>
    <x v="0"/>
    <n v="1"/>
    <x v="2"/>
  </r>
  <r>
    <x v="2668"/>
    <x v="1317"/>
    <x v="33"/>
    <s v="South Korea"/>
    <s v="United States"/>
    <n v="1"/>
    <n v="1"/>
    <s v="FIFA World Cup"/>
    <s v="Daegu"/>
    <s v="South Korea"/>
    <b v="0"/>
    <n v="2002"/>
    <n v="650014391470"/>
    <n v="10929112955000"/>
    <x v="0"/>
    <n v="0"/>
    <x v="1"/>
  </r>
  <r>
    <x v="2669"/>
    <x v="1317"/>
    <x v="33"/>
    <s v="Portugal"/>
    <s v="Poland"/>
    <n v="4"/>
    <n v="0"/>
    <s v="FIFA World Cup"/>
    <s v="Jeonju"/>
    <s v="South Korea"/>
    <b v="1"/>
    <n v="2002"/>
    <n v="134795565549"/>
    <n v="199694463255"/>
    <x v="1"/>
    <n v="-1"/>
    <x v="0"/>
  </r>
  <r>
    <x v="2670"/>
    <x v="1317"/>
    <x v="33"/>
    <s v="Tunisia"/>
    <s v="Belgium"/>
    <n v="1"/>
    <n v="1"/>
    <s v="FIFA World Cup"/>
    <s v="≈åita"/>
    <s v="Japan"/>
    <b v="1"/>
    <n v="2002"/>
    <n v="23141616604"/>
    <n v="258383599375"/>
    <x v="0"/>
    <n v="0"/>
    <x v="1"/>
  </r>
  <r>
    <x v="2671"/>
    <x v="1318"/>
    <x v="33"/>
    <s v="Cameroon"/>
    <s v="Germany"/>
    <n v="0"/>
    <n v="2"/>
    <s v="FIFA World Cup"/>
    <s v="Fukuroi"/>
    <s v="Japan"/>
    <b v="1"/>
    <n v="2002"/>
    <n v="12417251350"/>
    <n v="2102350798305"/>
    <x v="0"/>
    <n v="1"/>
    <x v="2"/>
  </r>
  <r>
    <x v="2672"/>
    <x v="1318"/>
    <x v="33"/>
    <s v="Denmark"/>
    <s v="France"/>
    <n v="2"/>
    <n v="0"/>
    <s v="FIFA World Cup"/>
    <s v="Incheon"/>
    <s v="South Korea"/>
    <b v="1"/>
    <n v="2002"/>
    <n v="178788209558"/>
    <n v="1492427756382"/>
    <x v="0"/>
    <n v="-1"/>
    <x v="0"/>
  </r>
  <r>
    <x v="2673"/>
    <x v="1318"/>
    <x v="33"/>
    <s v="Senegal"/>
    <s v="Uruguay"/>
    <n v="3"/>
    <n v="3"/>
    <s v="FIFA World Cup"/>
    <s v="Suwon"/>
    <s v="South Korea"/>
    <b v="1"/>
    <n v="2002"/>
    <n v="7006402319"/>
    <n v="13606515722"/>
    <x v="1"/>
    <n v="0"/>
    <x v="1"/>
  </r>
  <r>
    <x v="2674"/>
    <x v="1319"/>
    <x v="33"/>
    <s v="Nigeria"/>
    <s v="England"/>
    <n v="0"/>
    <n v="0"/>
    <s v="FIFA World Cup"/>
    <s v="Osaka"/>
    <s v="Japan"/>
    <b v="1"/>
    <n v="2002"/>
    <n v="95054059302"/>
    <n v="1790536570743"/>
    <x v="0"/>
    <n v="0"/>
    <x v="1"/>
  </r>
  <r>
    <x v="2675"/>
    <x v="1319"/>
    <x v="33"/>
    <s v="Slovenia"/>
    <s v="Paraguay"/>
    <n v="1"/>
    <n v="3"/>
    <s v="FIFA World Cup"/>
    <s v="Seogwipo"/>
    <s v="South Korea"/>
    <b v="1"/>
    <n v="2002"/>
    <n v="23214593516"/>
    <n v="7196260656"/>
    <x v="0"/>
    <n v="-1"/>
    <x v="0"/>
  </r>
  <r>
    <x v="2676"/>
    <x v="1319"/>
    <x v="33"/>
    <s v="South Africa"/>
    <s v="Spain"/>
    <n v="2"/>
    <n v="3"/>
    <s v="FIFA World Cup"/>
    <s v="Daejeon"/>
    <s v="South Korea"/>
    <b v="1"/>
    <n v="2002"/>
    <n v="129087556612"/>
    <n v="708938227243"/>
    <x v="0"/>
    <n v="1"/>
    <x v="2"/>
  </r>
  <r>
    <x v="2677"/>
    <x v="1319"/>
    <x v="33"/>
    <s v="Sweden"/>
    <s v="Argentina"/>
    <n v="1"/>
    <n v="1"/>
    <s v="FIFA World Cup"/>
    <s v="Rifu"/>
    <s v="Japan"/>
    <b v="1"/>
    <n v="2002"/>
    <n v="267371907446"/>
    <n v="97724004251"/>
    <x v="0"/>
    <n v="0"/>
    <x v="1"/>
  </r>
  <r>
    <x v="2678"/>
    <x v="1320"/>
    <x v="33"/>
    <s v="Costa Rica"/>
    <s v="Brazil"/>
    <n v="2"/>
    <n v="5"/>
    <s v="FIFA World Cup"/>
    <s v="Suwon"/>
    <s v="South Korea"/>
    <b v="1"/>
    <n v="2002"/>
    <n v="16578820687"/>
    <n v="509795270685"/>
    <x v="0"/>
    <n v="1"/>
    <x v="2"/>
  </r>
  <r>
    <x v="2679"/>
    <x v="1320"/>
    <x v="33"/>
    <s v="Ecuador"/>
    <s v="Croatia"/>
    <n v="1"/>
    <n v="0"/>
    <s v="FIFA World Cup"/>
    <s v="Yokohama"/>
    <s v="Japan"/>
    <b v="1"/>
    <n v="2002"/>
    <n v="27054197000"/>
    <n v="26757722428"/>
    <x v="1"/>
    <n v="1"/>
    <x v="2"/>
  </r>
  <r>
    <x v="2680"/>
    <x v="1320"/>
    <x v="33"/>
    <s v="Mexico"/>
    <s v="Italy"/>
    <n v="1"/>
    <n v="1"/>
    <s v="FIFA World Cup"/>
    <s v="≈åita"/>
    <s v="Japan"/>
    <b v="1"/>
    <n v="2002"/>
    <n v="810666116401"/>
    <n v="1281746271196"/>
    <x v="1"/>
    <n v="0"/>
    <x v="1"/>
  </r>
  <r>
    <x v="2681"/>
    <x v="1321"/>
    <x v="33"/>
    <s v="Belgium"/>
    <s v="Russia"/>
    <n v="3"/>
    <n v="2"/>
    <s v="FIFA World Cup"/>
    <s v="Fukuroi"/>
    <s v="Japan"/>
    <b v="1"/>
    <n v="2002"/>
    <n v="258383599375"/>
    <n v="345470494417"/>
    <x v="1"/>
    <n v="-1"/>
    <x v="0"/>
  </r>
  <r>
    <x v="2682"/>
    <x v="1321"/>
    <x v="33"/>
    <s v="Japan"/>
    <s v="Tunisia"/>
    <n v="2"/>
    <n v="0"/>
    <s v="FIFA World Cup"/>
    <s v="Osaka"/>
    <s v="Japan"/>
    <b v="0"/>
    <n v="2002"/>
    <n v="4182846045873"/>
    <n v="23141616604"/>
    <x v="0"/>
    <n v="1"/>
    <x v="2"/>
  </r>
  <r>
    <x v="2683"/>
    <x v="1321"/>
    <x v="33"/>
    <s v="South Korea"/>
    <s v="Portugal"/>
    <n v="1"/>
    <n v="0"/>
    <s v="FIFA World Cup"/>
    <s v="Incheon"/>
    <s v="South Korea"/>
    <b v="0"/>
    <n v="2002"/>
    <n v="650014391470"/>
    <n v="134795565549"/>
    <x v="0"/>
    <n v="1"/>
    <x v="2"/>
  </r>
  <r>
    <x v="2684"/>
    <x v="1321"/>
    <x v="33"/>
    <s v="Poland"/>
    <s v="United States"/>
    <n v="3"/>
    <n v="1"/>
    <s v="FIFA World Cup"/>
    <s v="Daejeon"/>
    <s v="South Korea"/>
    <b v="1"/>
    <n v="2002"/>
    <n v="199694463255"/>
    <n v="10929112955000"/>
    <x v="0"/>
    <n v="-1"/>
    <x v="0"/>
  </r>
  <r>
    <x v="2685"/>
    <x v="1322"/>
    <x v="33"/>
    <s v="Denmark"/>
    <s v="England"/>
    <n v="0"/>
    <n v="3"/>
    <s v="FIFA World Cup"/>
    <s v="Niigata"/>
    <s v="Japan"/>
    <b v="1"/>
    <n v="2002"/>
    <n v="178788209558"/>
    <n v="1790536570743"/>
    <x v="0"/>
    <n v="1"/>
    <x v="2"/>
  </r>
  <r>
    <x v="2686"/>
    <x v="1322"/>
    <x v="33"/>
    <s v="Germany"/>
    <s v="Paraguay"/>
    <n v="1"/>
    <n v="0"/>
    <s v="FIFA World Cup"/>
    <s v="Seogwipo"/>
    <s v="South Korea"/>
    <b v="1"/>
    <n v="2002"/>
    <n v="2102350798305"/>
    <n v="7196260656"/>
    <x v="0"/>
    <n v="1"/>
    <x v="2"/>
  </r>
  <r>
    <x v="2687"/>
    <x v="1323"/>
    <x v="33"/>
    <s v="Sweden"/>
    <s v="Senegal"/>
    <n v="1"/>
    <n v="2"/>
    <s v="FIFA World Cup"/>
    <s v="≈åita"/>
    <s v="Japan"/>
    <b v="1"/>
    <n v="2002"/>
    <n v="267371907446"/>
    <n v="7006402319"/>
    <x v="0"/>
    <n v="-1"/>
    <x v="0"/>
  </r>
  <r>
    <x v="2688"/>
    <x v="1324"/>
    <x v="33"/>
    <s v="Brazil"/>
    <s v="Belgium"/>
    <n v="2"/>
    <n v="0"/>
    <s v="FIFA World Cup"/>
    <s v="Kobe"/>
    <s v="Japan"/>
    <b v="1"/>
    <n v="2002"/>
    <n v="509795270685"/>
    <n v="258383599375"/>
    <x v="1"/>
    <n v="1"/>
    <x v="2"/>
  </r>
  <r>
    <x v="2689"/>
    <x v="1324"/>
    <x v="33"/>
    <s v="Mexico"/>
    <s v="United States"/>
    <n v="0"/>
    <n v="2"/>
    <s v="FIFA World Cup"/>
    <s v="Jeonju"/>
    <s v="South Korea"/>
    <b v="1"/>
    <n v="2002"/>
    <n v="810666116401"/>
    <n v="10929112955000"/>
    <x v="0"/>
    <n v="1"/>
    <x v="2"/>
  </r>
  <r>
    <x v="2690"/>
    <x v="1325"/>
    <x v="33"/>
    <s v="South Korea"/>
    <s v="Italy"/>
    <n v="2"/>
    <n v="1"/>
    <s v="FIFA World Cup"/>
    <s v="Daejeon"/>
    <s v="South Korea"/>
    <b v="0"/>
    <n v="2002"/>
    <n v="650014391470"/>
    <n v="1281746271196"/>
    <x v="1"/>
    <n v="-1"/>
    <x v="0"/>
  </r>
  <r>
    <x v="2691"/>
    <x v="1326"/>
    <x v="33"/>
    <s v="England"/>
    <s v="Brazil"/>
    <n v="1"/>
    <n v="2"/>
    <s v="FIFA World Cup"/>
    <s v="Fukuroi"/>
    <s v="Japan"/>
    <b v="1"/>
    <n v="2002"/>
    <n v="1790536570743"/>
    <n v="509795270685"/>
    <x v="0"/>
    <n v="-1"/>
    <x v="0"/>
  </r>
  <r>
    <x v="2692"/>
    <x v="1326"/>
    <x v="33"/>
    <s v="Germany"/>
    <s v="United States"/>
    <n v="1"/>
    <n v="0"/>
    <s v="FIFA World Cup"/>
    <s v="Ulsan"/>
    <s v="South Korea"/>
    <b v="1"/>
    <n v="2002"/>
    <n v="2102350798305"/>
    <n v="10929112955000"/>
    <x v="0"/>
    <n v="-1"/>
    <x v="0"/>
  </r>
  <r>
    <x v="2693"/>
    <x v="1327"/>
    <x v="33"/>
    <s v="South Korea"/>
    <s v="Spain"/>
    <n v="0"/>
    <n v="0"/>
    <s v="FIFA World Cup"/>
    <s v="Gwangju"/>
    <s v="South Korea"/>
    <b v="0"/>
    <n v="2002"/>
    <n v="650014391470"/>
    <n v="708938227243"/>
    <x v="1"/>
    <n v="0"/>
    <x v="1"/>
  </r>
  <r>
    <x v="2694"/>
    <x v="1328"/>
    <x v="33"/>
    <s v="South Korea"/>
    <s v="Germany"/>
    <n v="0"/>
    <n v="1"/>
    <s v="FIFA World Cup"/>
    <s v="Seoul"/>
    <s v="South Korea"/>
    <b v="0"/>
    <n v="2002"/>
    <n v="650014391470"/>
    <n v="2102350798305"/>
    <x v="0"/>
    <n v="1"/>
    <x v="2"/>
  </r>
  <r>
    <x v="2695"/>
    <x v="1329"/>
    <x v="33"/>
    <s v="Germany"/>
    <s v="Brazil"/>
    <n v="0"/>
    <n v="2"/>
    <s v="FIFA World Cup"/>
    <s v="Yokohama"/>
    <s v="Japan"/>
    <b v="1"/>
    <n v="2002"/>
    <n v="2102350798305"/>
    <n v="509795270685"/>
    <x v="0"/>
    <n v="-1"/>
    <x v="0"/>
  </r>
  <r>
    <x v="2696"/>
    <x v="1330"/>
    <x v="34"/>
    <s v="Argentina"/>
    <s v="Chile"/>
    <n v="2"/>
    <n v="2"/>
    <s v="FIFA World Cup qualification"/>
    <s v="Buenos Aires"/>
    <s v="Argentina"/>
    <b v="0"/>
    <n v="2003"/>
    <n v="127586973492"/>
    <n v="76492579644"/>
    <x v="1"/>
    <n v="0"/>
    <x v="1"/>
  </r>
  <r>
    <x v="2697"/>
    <x v="1330"/>
    <x v="34"/>
    <s v="Ecuador"/>
    <s v="Venezuela"/>
    <n v="2"/>
    <n v="0"/>
    <s v="FIFA World Cup qualification"/>
    <s v="Quito"/>
    <s v="Ecuador"/>
    <b v="0"/>
    <n v="2003"/>
    <n v="30965208000"/>
    <n v="83620628582"/>
    <x v="0"/>
    <n v="-1"/>
    <x v="0"/>
  </r>
  <r>
    <x v="2698"/>
    <x v="1330"/>
    <x v="34"/>
    <s v="Peru"/>
    <s v="Paraguay"/>
    <n v="4"/>
    <n v="1"/>
    <s v="FIFA World Cup qualification"/>
    <s v="Lima"/>
    <s v="Peru"/>
    <b v="0"/>
    <n v="2003"/>
    <n v="58731030121"/>
    <n v="7691367471"/>
    <x v="0"/>
    <n v="1"/>
    <x v="2"/>
  </r>
  <r>
    <x v="2699"/>
    <x v="1331"/>
    <x v="34"/>
    <s v="Colombia"/>
    <s v="Brazil"/>
    <n v="1"/>
    <n v="2"/>
    <s v="FIFA World Cup qualification"/>
    <s v="Barranquilla"/>
    <s v="Colombia"/>
    <b v="0"/>
    <n v="2003"/>
    <n v="94644969157"/>
    <n v="558233724164"/>
    <x v="0"/>
    <n v="1"/>
    <x v="2"/>
  </r>
  <r>
    <x v="2700"/>
    <x v="1331"/>
    <x v="34"/>
    <s v="Uruguay"/>
    <s v="Bolivia"/>
    <n v="5"/>
    <n v="0"/>
    <s v="FIFA World Cup qualification"/>
    <s v="Montevideo"/>
    <s v="Uruguay"/>
    <b v="0"/>
    <n v="2003"/>
    <n v="12045638351"/>
    <n v="8082399639"/>
    <x v="1"/>
    <n v="1"/>
    <x v="2"/>
  </r>
  <r>
    <x v="2701"/>
    <x v="1332"/>
    <x v="34"/>
    <s v="Chile"/>
    <s v="Peru"/>
    <n v="2"/>
    <n v="1"/>
    <s v="FIFA World Cup qualification"/>
    <s v="Santiago"/>
    <s v="Chile"/>
    <b v="0"/>
    <n v="2003"/>
    <n v="76492579644"/>
    <n v="58731030121"/>
    <x v="1"/>
    <n v="1"/>
    <x v="2"/>
  </r>
  <r>
    <x v="2702"/>
    <x v="1332"/>
    <x v="34"/>
    <s v="Venezuela"/>
    <s v="Argentina"/>
    <n v="0"/>
    <n v="3"/>
    <s v="FIFA World Cup qualification"/>
    <s v="Caracas"/>
    <s v="Venezuela"/>
    <b v="0"/>
    <n v="2003"/>
    <n v="83620628582"/>
    <n v="127586973492"/>
    <x v="1"/>
    <n v="1"/>
    <x v="2"/>
  </r>
  <r>
    <x v="2703"/>
    <x v="1333"/>
    <x v="34"/>
    <s v="Bolivia"/>
    <s v="Colombia"/>
    <n v="4"/>
    <n v="0"/>
    <s v="FIFA World Cup qualification"/>
    <s v="La Paz"/>
    <s v="Bolivia"/>
    <b v="0"/>
    <n v="2003"/>
    <n v="8082399639"/>
    <n v="94644969157"/>
    <x v="0"/>
    <n v="-1"/>
    <x v="0"/>
  </r>
  <r>
    <x v="2704"/>
    <x v="1333"/>
    <x v="34"/>
    <s v="Brazil"/>
    <s v="Ecuador"/>
    <n v="1"/>
    <n v="0"/>
    <s v="FIFA World Cup qualification"/>
    <s v="Manaus"/>
    <s v="Brazil"/>
    <b v="0"/>
    <n v="2003"/>
    <n v="558233724164"/>
    <n v="30965208000"/>
    <x v="0"/>
    <n v="1"/>
    <x v="2"/>
  </r>
  <r>
    <x v="2705"/>
    <x v="1333"/>
    <x v="34"/>
    <s v="Paraguay"/>
    <s v="Uruguay"/>
    <n v="4"/>
    <n v="1"/>
    <s v="FIFA World Cup qualification"/>
    <s v="Asunci√≥n"/>
    <s v="Paraguay"/>
    <b v="0"/>
    <n v="2003"/>
    <n v="7691367471"/>
    <n v="12045638351"/>
    <x v="1"/>
    <n v="-1"/>
    <x v="0"/>
  </r>
  <r>
    <x v="2706"/>
    <x v="1334"/>
    <x v="34"/>
    <s v="Guinea-Bissau"/>
    <s v="Mali"/>
    <n v="1"/>
    <n v="2"/>
    <s v="FIFA World Cup qualification"/>
    <s v="Bissau"/>
    <s v="Guinea-Bissau"/>
    <b v="0"/>
    <n v="2003"/>
    <n v="553614800"/>
    <n v="5605613011"/>
    <x v="0"/>
    <n v="1"/>
    <x v="2"/>
  </r>
  <r>
    <x v="2707"/>
    <x v="1335"/>
    <x v="34"/>
    <s v="Botswana"/>
    <s v="Lesotho"/>
    <n v="4"/>
    <n v="1"/>
    <s v="FIFA World Cup qualification"/>
    <s v="Gaborone"/>
    <s v="Botswana"/>
    <b v="0"/>
    <n v="2003"/>
    <n v="7511582173"/>
    <n v="1157825434"/>
    <x v="0"/>
    <n v="1"/>
    <x v="2"/>
  </r>
  <r>
    <x v="2708"/>
    <x v="1335"/>
    <x v="34"/>
    <s v="Equatorial Guinea"/>
    <s v="Togo"/>
    <n v="1"/>
    <n v="0"/>
    <s v="FIFA World Cup qualification"/>
    <s v="Bata"/>
    <s v="Equatorial Guinea"/>
    <b v="0"/>
    <n v="2003"/>
    <n v="2484745935"/>
    <n v="2987984050"/>
    <x v="1"/>
    <n v="-1"/>
    <x v="0"/>
  </r>
  <r>
    <x v="2709"/>
    <x v="1335"/>
    <x v="34"/>
    <s v="Madagascar"/>
    <s v="Benin"/>
    <n v="1"/>
    <n v="1"/>
    <s v="FIFA World Cup qualification"/>
    <s v="Antananarivo"/>
    <s v="Madagascar"/>
    <b v="0"/>
    <n v="2003"/>
    <n v="6372498889"/>
    <n v="5349258094"/>
    <x v="1"/>
    <n v="0"/>
    <x v="1"/>
  </r>
  <r>
    <x v="2710"/>
    <x v="1335"/>
    <x v="34"/>
    <s v="Niger"/>
    <s v="Algeria"/>
    <n v="0"/>
    <n v="1"/>
    <s v="FIFA World Cup qualification"/>
    <s v="Niamey"/>
    <s v="Niger"/>
    <b v="0"/>
    <n v="2003"/>
    <n v="3394084732"/>
    <n v="73482264190"/>
    <x v="0"/>
    <n v="1"/>
    <x v="2"/>
  </r>
  <r>
    <x v="2711"/>
    <x v="1335"/>
    <x v="34"/>
    <s v="Seychelles"/>
    <s v="Zambia"/>
    <n v="0"/>
    <n v="4"/>
    <s v="FIFA World Cup qualification"/>
    <s v="Victoria"/>
    <s v="Seychelles"/>
    <b v="0"/>
    <n v="2003"/>
    <n v="750847230"/>
    <n v="4901869764"/>
    <x v="0"/>
    <n v="1"/>
    <x v="2"/>
  </r>
  <r>
    <x v="2712"/>
    <x v="1335"/>
    <x v="34"/>
    <s v="Tanzania"/>
    <s v="Kenya"/>
    <n v="0"/>
    <n v="0"/>
    <s v="FIFA World Cup qualification"/>
    <s v="Dar es Salaam"/>
    <s v="Tanzania"/>
    <b v="0"/>
    <n v="2003"/>
    <n v="15211487708"/>
    <n v="14904517649"/>
    <x v="1"/>
    <n v="0"/>
    <x v="1"/>
  </r>
  <r>
    <x v="2713"/>
    <x v="1335"/>
    <x v="34"/>
    <s v="Uganda"/>
    <s v="Mauritius"/>
    <n v="3"/>
    <n v="0"/>
    <s v="FIFA World Cup qualification"/>
    <s v="Kampala"/>
    <s v="Uganda"/>
    <b v="0"/>
    <n v="2003"/>
    <n v="6606884275"/>
    <n v="5894873919"/>
    <x v="1"/>
    <n v="1"/>
    <x v="2"/>
  </r>
  <r>
    <x v="2714"/>
    <x v="1335"/>
    <x v="34"/>
    <s v="Sudan"/>
    <s v="Eritrea"/>
    <n v="3"/>
    <n v="0"/>
    <s v="FIFA World Cup qualification"/>
    <s v="Khartoum"/>
    <s v="Sudan"/>
    <b v="0"/>
    <n v="2003"/>
    <n v="21355298459"/>
    <n v="870248267"/>
    <x v="0"/>
    <n v="1"/>
    <x v="2"/>
  </r>
  <r>
    <x v="2715"/>
    <x v="1336"/>
    <x v="34"/>
    <s v="Burundi"/>
    <s v="Gabon"/>
    <n v="0"/>
    <n v="0"/>
    <s v="FIFA World Cup qualification"/>
    <s v="Bujumbura"/>
    <s v="Burundi"/>
    <b v="0"/>
    <n v="2003"/>
    <n v="784654423"/>
    <n v="6511903365"/>
    <x v="0"/>
    <n v="0"/>
    <x v="1"/>
  </r>
  <r>
    <x v="2716"/>
    <x v="1336"/>
    <x v="34"/>
    <s v="Chad"/>
    <s v="Angola"/>
    <n v="3"/>
    <n v="1"/>
    <s v="FIFA World Cup qualification"/>
    <s v="N'Djamena"/>
    <s v="Chad"/>
    <b v="0"/>
    <n v="2003"/>
    <n v="2742815071"/>
    <n v="20342128111"/>
    <x v="0"/>
    <n v="-1"/>
    <x v="0"/>
  </r>
  <r>
    <x v="2717"/>
    <x v="1336"/>
    <x v="34"/>
    <s v="Ethiopia"/>
    <s v="Malawi"/>
    <n v="1"/>
    <n v="3"/>
    <s v="FIFA World Cup qualification"/>
    <s v="Addis Ababa"/>
    <s v="Ethiopia"/>
    <b v="0"/>
    <n v="2003"/>
    <n v="8623691300"/>
    <n v="4669789300"/>
    <x v="1"/>
    <n v="-1"/>
    <x v="0"/>
  </r>
  <r>
    <x v="2718"/>
    <x v="1336"/>
    <x v="34"/>
    <s v="Guinea"/>
    <s v="Mozambique"/>
    <n v="1"/>
    <n v="0"/>
    <s v="FIFA World Cup qualification"/>
    <s v="Conakry"/>
    <s v="Guinea"/>
    <b v="0"/>
    <n v="2003"/>
    <n v="5025167975"/>
    <n v="6583526860"/>
    <x v="1"/>
    <n v="-1"/>
    <x v="0"/>
  </r>
  <r>
    <x v="2719"/>
    <x v="1336"/>
    <x v="34"/>
    <s v="Rwanda"/>
    <s v="Namibia"/>
    <n v="3"/>
    <n v="0"/>
    <s v="FIFA World Cup qualification"/>
    <s v="Kigali"/>
    <s v="Rwanda"/>
    <b v="0"/>
    <n v="2003"/>
    <n v="2138237278"/>
    <n v="4926439383"/>
    <x v="0"/>
    <n v="-1"/>
    <x v="0"/>
  </r>
  <r>
    <x v="2720"/>
    <x v="1336"/>
    <x v="34"/>
    <s v="Zimbabwe"/>
    <s v="Mauritania"/>
    <n v="3"/>
    <n v="0"/>
    <s v="FIFA World Cup qualification"/>
    <s v="Harare"/>
    <s v="Zimbabwe"/>
    <b v="0"/>
    <n v="2003"/>
    <n v="5730500000"/>
    <n v="2051147606"/>
    <x v="0"/>
    <n v="1"/>
    <x v="2"/>
  </r>
  <r>
    <x v="2721"/>
    <x v="1337"/>
    <x v="34"/>
    <s v="Algeria"/>
    <s v="Niger"/>
    <n v="6"/>
    <n v="0"/>
    <s v="FIFA World Cup qualification"/>
    <s v="Algiers"/>
    <s v="Algeria"/>
    <b v="0"/>
    <n v="2003"/>
    <n v="73482264190"/>
    <n v="3394084732"/>
    <x v="0"/>
    <n v="1"/>
    <x v="2"/>
  </r>
  <r>
    <x v="2722"/>
    <x v="1337"/>
    <x v="34"/>
    <s v="Mali"/>
    <s v="Guinea-Bissau"/>
    <n v="2"/>
    <n v="0"/>
    <s v="FIFA World Cup qualification"/>
    <s v="Bamako"/>
    <s v="Mali"/>
    <b v="0"/>
    <n v="2003"/>
    <n v="5605613011"/>
    <n v="553614800"/>
    <x v="0"/>
    <n v="1"/>
    <x v="2"/>
  </r>
  <r>
    <x v="2723"/>
    <x v="1337"/>
    <x v="34"/>
    <s v="Mauritania"/>
    <s v="Zimbabwe"/>
    <n v="2"/>
    <n v="1"/>
    <s v="FIFA World Cup qualification"/>
    <s v="Nouakchott"/>
    <s v="Mauritania"/>
    <b v="0"/>
    <n v="2003"/>
    <n v="2051147606"/>
    <n v="5730500000"/>
    <x v="0"/>
    <n v="-1"/>
    <x v="0"/>
  </r>
  <r>
    <x v="2724"/>
    <x v="1338"/>
    <x v="34"/>
    <s v="Argentina"/>
    <s v="Bolivia"/>
    <n v="3"/>
    <n v="0"/>
    <s v="FIFA World Cup qualification"/>
    <s v="Buenos Aires"/>
    <s v="Argentina"/>
    <b v="0"/>
    <n v="2003"/>
    <n v="127586973492"/>
    <n v="8082399639"/>
    <x v="0"/>
    <n v="1"/>
    <x v="2"/>
  </r>
  <r>
    <x v="2725"/>
    <x v="1338"/>
    <x v="34"/>
    <s v="Colombia"/>
    <s v="Venezuela"/>
    <n v="0"/>
    <n v="1"/>
    <s v="FIFA World Cup qualification"/>
    <s v="Barranquilla"/>
    <s v="Colombia"/>
    <b v="0"/>
    <n v="2003"/>
    <n v="94644969157"/>
    <n v="83620628582"/>
    <x v="1"/>
    <n v="-1"/>
    <x v="0"/>
  </r>
  <r>
    <x v="2726"/>
    <x v="1338"/>
    <x v="34"/>
    <s v="Gabon"/>
    <s v="Burundi"/>
    <n v="4"/>
    <n v="1"/>
    <s v="FIFA World Cup qualification"/>
    <s v="Libreville"/>
    <s v="Gabon"/>
    <b v="0"/>
    <n v="2003"/>
    <n v="6511903365"/>
    <n v="784654423"/>
    <x v="0"/>
    <n v="1"/>
    <x v="2"/>
  </r>
  <r>
    <x v="2727"/>
    <x v="1338"/>
    <x v="34"/>
    <s v="Kenya"/>
    <s v="Tanzania"/>
    <n v="3"/>
    <n v="0"/>
    <s v="FIFA World Cup qualification"/>
    <s v="Nairobi"/>
    <s v="Kenya"/>
    <b v="0"/>
    <n v="2003"/>
    <n v="14904517649"/>
    <n v="15211487708"/>
    <x v="1"/>
    <n v="-1"/>
    <x v="0"/>
  </r>
  <r>
    <x v="2728"/>
    <x v="1338"/>
    <x v="34"/>
    <s v="Malawi"/>
    <s v="Ethiopia"/>
    <n v="0"/>
    <n v="0"/>
    <s v="FIFA World Cup qualification"/>
    <s v="Blantyre"/>
    <s v="Malawi"/>
    <b v="0"/>
    <n v="2003"/>
    <n v="4669789300"/>
    <n v="8623691300"/>
    <x v="1"/>
    <n v="0"/>
    <x v="1"/>
  </r>
  <r>
    <x v="2729"/>
    <x v="1338"/>
    <x v="34"/>
    <s v="Namibia"/>
    <s v="Rwanda"/>
    <n v="1"/>
    <n v="1"/>
    <s v="FIFA World Cup qualification"/>
    <s v="Windhoek"/>
    <s v="Namibia"/>
    <b v="0"/>
    <n v="2003"/>
    <n v="4926439383"/>
    <n v="2138237278"/>
    <x v="0"/>
    <n v="0"/>
    <x v="1"/>
  </r>
  <r>
    <x v="2730"/>
    <x v="1338"/>
    <x v="34"/>
    <s v="Paraguay"/>
    <s v="Ecuador"/>
    <n v="2"/>
    <n v="1"/>
    <s v="FIFA World Cup qualification"/>
    <s v="Asunci√≥n"/>
    <s v="Paraguay"/>
    <b v="0"/>
    <n v="2003"/>
    <n v="7691367471"/>
    <n v="30965208000"/>
    <x v="0"/>
    <n v="-1"/>
    <x v="0"/>
  </r>
  <r>
    <x v="2731"/>
    <x v="1338"/>
    <x v="34"/>
    <s v="Uruguay"/>
    <s v="Chile"/>
    <n v="2"/>
    <n v="1"/>
    <s v="FIFA World Cup qualification"/>
    <s v="Montevideo"/>
    <s v="Uruguay"/>
    <b v="0"/>
    <n v="2003"/>
    <n v="12045638351"/>
    <n v="76492579644"/>
    <x v="0"/>
    <n v="-1"/>
    <x v="0"/>
  </r>
  <r>
    <x v="2732"/>
    <x v="1338"/>
    <x v="34"/>
    <s v="Zambia"/>
    <s v="Seychelles"/>
    <n v="1"/>
    <n v="1"/>
    <s v="FIFA World Cup qualification"/>
    <s v="Lusaka"/>
    <s v="Zambia"/>
    <b v="0"/>
    <n v="2003"/>
    <n v="4901869764"/>
    <n v="750847230"/>
    <x v="0"/>
    <n v="0"/>
    <x v="1"/>
  </r>
  <r>
    <x v="2733"/>
    <x v="1339"/>
    <x v="34"/>
    <s v="Angola"/>
    <s v="Chad"/>
    <n v="2"/>
    <n v="0"/>
    <s v="FIFA World Cup qualification"/>
    <s v="Luanda"/>
    <s v="Angola"/>
    <b v="0"/>
    <n v="2003"/>
    <n v="20342128111"/>
    <n v="2742815071"/>
    <x v="0"/>
    <n v="1"/>
    <x v="2"/>
  </r>
  <r>
    <x v="2734"/>
    <x v="1339"/>
    <x v="34"/>
    <s v="Benin"/>
    <s v="Madagascar"/>
    <n v="3"/>
    <n v="2"/>
    <s v="FIFA World Cup qualification"/>
    <s v="Cotonou"/>
    <s v="Benin"/>
    <b v="0"/>
    <n v="2003"/>
    <n v="5349258094"/>
    <n v="6372498889"/>
    <x v="1"/>
    <n v="-1"/>
    <x v="0"/>
  </r>
  <r>
    <x v="2735"/>
    <x v="1339"/>
    <x v="34"/>
    <s v="Eritrea"/>
    <s v="Sudan"/>
    <n v="0"/>
    <n v="0"/>
    <s v="FIFA World Cup qualification"/>
    <s v="Asmara"/>
    <s v="Eritrea"/>
    <b v="0"/>
    <n v="2003"/>
    <n v="870248267"/>
    <n v="21355298459"/>
    <x v="0"/>
    <n v="0"/>
    <x v="1"/>
  </r>
  <r>
    <x v="2736"/>
    <x v="1339"/>
    <x v="34"/>
    <s v="Lesotho"/>
    <s v="Botswana"/>
    <n v="0"/>
    <n v="0"/>
    <s v="FIFA World Cup qualification"/>
    <s v="Maseru"/>
    <s v="Lesotho"/>
    <b v="0"/>
    <n v="2003"/>
    <n v="1157825434"/>
    <n v="7511582173"/>
    <x v="0"/>
    <n v="0"/>
    <x v="1"/>
  </r>
  <r>
    <x v="2737"/>
    <x v="1339"/>
    <x v="34"/>
    <s v="Mauritius"/>
    <s v="Uganda"/>
    <n v="3"/>
    <n v="1"/>
    <s v="FIFA World Cup qualification"/>
    <s v="Curepipe"/>
    <s v="Mauritius"/>
    <b v="0"/>
    <n v="2003"/>
    <n v="5894873919"/>
    <n v="6606884275"/>
    <x v="1"/>
    <n v="-1"/>
    <x v="0"/>
  </r>
  <r>
    <x v="2738"/>
    <x v="1339"/>
    <x v="34"/>
    <s v="Mozambique"/>
    <s v="Guinea"/>
    <n v="3"/>
    <n v="4"/>
    <s v="FIFA World Cup qualification"/>
    <s v="Maputo"/>
    <s v="Mozambique"/>
    <b v="0"/>
    <n v="2003"/>
    <n v="6583526860"/>
    <n v="5025167975"/>
    <x v="1"/>
    <n v="-1"/>
    <x v="0"/>
  </r>
  <r>
    <x v="2739"/>
    <x v="1339"/>
    <x v="34"/>
    <s v="Peru"/>
    <s v="Brazil"/>
    <n v="1"/>
    <n v="1"/>
    <s v="FIFA World Cup qualification"/>
    <s v="Lima"/>
    <s v="Peru"/>
    <b v="0"/>
    <n v="2003"/>
    <n v="58731030121"/>
    <n v="558233724164"/>
    <x v="0"/>
    <n v="0"/>
    <x v="1"/>
  </r>
  <r>
    <x v="2740"/>
    <x v="1339"/>
    <x v="34"/>
    <s v="Togo"/>
    <s v="Equatorial Guinea"/>
    <n v="2"/>
    <n v="0"/>
    <s v="FIFA World Cup qualification"/>
    <s v="Lom√©"/>
    <s v="Togo"/>
    <b v="0"/>
    <n v="2003"/>
    <n v="2987984050"/>
    <n v="2484745935"/>
    <x v="1"/>
    <n v="1"/>
    <x v="2"/>
  </r>
  <r>
    <x v="2741"/>
    <x v="1340"/>
    <x v="34"/>
    <s v="Chile"/>
    <s v="Paraguay"/>
    <n v="0"/>
    <n v="1"/>
    <s v="FIFA World Cup qualification"/>
    <s v="Santiago"/>
    <s v="Chile"/>
    <b v="0"/>
    <n v="2003"/>
    <n v="76492579644"/>
    <n v="7691367471"/>
    <x v="0"/>
    <n v="-1"/>
    <x v="0"/>
  </r>
  <r>
    <x v="2742"/>
    <x v="1340"/>
    <x v="34"/>
    <s v="Venezuela"/>
    <s v="Bolivia"/>
    <n v="2"/>
    <n v="1"/>
    <s v="FIFA World Cup qualification"/>
    <s v="Maracaibo"/>
    <s v="Venezuela"/>
    <b v="0"/>
    <n v="2003"/>
    <n v="83620628582"/>
    <n v="8082399639"/>
    <x v="0"/>
    <n v="1"/>
    <x v="2"/>
  </r>
  <r>
    <x v="2743"/>
    <x v="1341"/>
    <x v="34"/>
    <s v="Brazil"/>
    <s v="Uruguay"/>
    <n v="3"/>
    <n v="3"/>
    <s v="FIFA World Cup qualification"/>
    <s v="Curitiba"/>
    <s v="Brazil"/>
    <b v="0"/>
    <n v="2003"/>
    <n v="558233724164"/>
    <n v="12045638351"/>
    <x v="0"/>
    <n v="0"/>
    <x v="1"/>
  </r>
  <r>
    <x v="2744"/>
    <x v="1341"/>
    <x v="34"/>
    <s v="Colombia"/>
    <s v="Argentina"/>
    <n v="1"/>
    <n v="1"/>
    <s v="FIFA World Cup qualification"/>
    <s v="Barranquilla"/>
    <s v="Colombia"/>
    <b v="0"/>
    <n v="2003"/>
    <n v="94644969157"/>
    <n v="127586973492"/>
    <x v="1"/>
    <n v="0"/>
    <x v="1"/>
  </r>
  <r>
    <x v="2745"/>
    <x v="1341"/>
    <x v="34"/>
    <s v="Ecuador"/>
    <s v="Peru"/>
    <n v="0"/>
    <n v="0"/>
    <s v="FIFA World Cup qualification"/>
    <s v="Quito"/>
    <s v="Ecuador"/>
    <b v="0"/>
    <n v="2003"/>
    <n v="30965208000"/>
    <n v="58731030121"/>
    <x v="1"/>
    <n v="0"/>
    <x v="1"/>
  </r>
  <r>
    <x v="2746"/>
    <x v="1341"/>
    <x v="34"/>
    <s v="Turkmenistan"/>
    <s v="Afghanistan"/>
    <n v="11"/>
    <n v="0"/>
    <s v="FIFA World Cup qualification"/>
    <s v="Ashgabat"/>
    <s v="Turkmenistan"/>
    <b v="0"/>
    <n v="2003"/>
    <n v="5977440582"/>
    <n v="4520946818"/>
    <x v="1"/>
    <n v="1"/>
    <x v="2"/>
  </r>
  <r>
    <x v="2747"/>
    <x v="1342"/>
    <x v="34"/>
    <s v="Afghanistan"/>
    <s v="Turkmenistan"/>
    <n v="0"/>
    <n v="2"/>
    <s v="FIFA World Cup qualification"/>
    <s v="Kabul"/>
    <s v="Afghanistan"/>
    <b v="0"/>
    <n v="2003"/>
    <n v="4520946818"/>
    <n v="5977440582"/>
    <x v="1"/>
    <n v="1"/>
    <x v="2"/>
  </r>
  <r>
    <x v="2748"/>
    <x v="1343"/>
    <x v="34"/>
    <s v="Bangladesh"/>
    <s v="Tajikistan"/>
    <n v="0"/>
    <n v="2"/>
    <s v="FIFA World Cup qualification"/>
    <s v="Dhaka"/>
    <s v="Bangladesh"/>
    <b v="0"/>
    <n v="2003"/>
    <n v="60158929188"/>
    <n v="1555318261"/>
    <x v="0"/>
    <n v="-1"/>
    <x v="0"/>
  </r>
  <r>
    <x v="2749"/>
    <x v="1344"/>
    <x v="34"/>
    <s v="Mongolia"/>
    <s v="Maldives"/>
    <n v="0"/>
    <n v="1"/>
    <s v="FIFA World Cup qualification"/>
    <s v="Ulaanbaatar"/>
    <s v="Mongolia"/>
    <b v="0"/>
    <n v="2003"/>
    <n v="1595297355"/>
    <n v="1052121054"/>
    <x v="1"/>
    <n v="-1"/>
    <x v="0"/>
  </r>
  <r>
    <x v="2750"/>
    <x v="1345"/>
    <x v="34"/>
    <s v="Tajikistan"/>
    <s v="Bangladesh"/>
    <n v="2"/>
    <n v="0"/>
    <s v="FIFA World Cup qualification"/>
    <s v="Dushanbe"/>
    <s v="Tajikistan"/>
    <b v="0"/>
    <n v="2003"/>
    <n v="1555318261"/>
    <n v="60158929188"/>
    <x v="0"/>
    <n v="-1"/>
    <x v="0"/>
  </r>
  <r>
    <x v="2751"/>
    <x v="1346"/>
    <x v="34"/>
    <s v="Maldives"/>
    <s v="Mongolia"/>
    <n v="12"/>
    <n v="0"/>
    <s v="FIFA World Cup qualification"/>
    <s v="Mal√©"/>
    <s v="Maldives"/>
    <b v="0"/>
    <n v="2003"/>
    <n v="1052121054"/>
    <n v="1595297355"/>
    <x v="1"/>
    <n v="-1"/>
    <x v="0"/>
  </r>
  <r>
    <x v="2752"/>
    <x v="1347"/>
    <x v="35"/>
    <s v="Bahrain"/>
    <s v="Syria"/>
    <n v="2"/>
    <n v="1"/>
    <s v="FIFA World Cup qualification"/>
    <s v="Muharraq"/>
    <s v="Bahrain"/>
    <b v="0"/>
    <n v="2004"/>
    <n v="13150159574"/>
    <n v="25086950495"/>
    <x v="1"/>
    <n v="-1"/>
    <x v="0"/>
  </r>
  <r>
    <x v="2753"/>
    <x v="1347"/>
    <x v="35"/>
    <s v="Haiti"/>
    <s v="Turks and Caicos Islands"/>
    <n v="5"/>
    <n v="0"/>
    <s v="FIFA World Cup qualification"/>
    <s v="Miami"/>
    <s v="United States"/>
    <b v="1"/>
    <n v="2004"/>
    <n v="6087360684"/>
    <n v="485598800"/>
    <x v="0"/>
    <n v="1"/>
    <x v="2"/>
  </r>
  <r>
    <x v="2754"/>
    <x v="1347"/>
    <x v="35"/>
    <s v="India"/>
    <s v="Singapore"/>
    <n v="1"/>
    <n v="0"/>
    <s v="FIFA World Cup qualification"/>
    <s v="Margao"/>
    <s v="India"/>
    <b v="0"/>
    <n v="2004"/>
    <n v="709152728830"/>
    <n v="115033593101"/>
    <x v="0"/>
    <n v="1"/>
    <x v="2"/>
  </r>
  <r>
    <x v="2755"/>
    <x v="1347"/>
    <x v="35"/>
    <s v="Iran"/>
    <s v="Qatar"/>
    <n v="3"/>
    <n v="1"/>
    <s v="FIFA World Cup qualification"/>
    <s v="Tehran"/>
    <s v="Iran"/>
    <b v="0"/>
    <n v="2004"/>
    <n v="187754571247"/>
    <n v="31734065934"/>
    <x v="0"/>
    <n v="1"/>
    <x v="2"/>
  </r>
  <r>
    <x v="2756"/>
    <x v="1347"/>
    <x v="35"/>
    <s v="Japan"/>
    <s v="Oman"/>
    <n v="1"/>
    <n v="0"/>
    <s v="FIFA World Cup qualification"/>
    <s v="Saitama"/>
    <s v="Japan"/>
    <b v="0"/>
    <n v="2004"/>
    <n v="4893116005656"/>
    <n v="28378933680"/>
    <x v="0"/>
    <n v="1"/>
    <x v="2"/>
  </r>
  <r>
    <x v="2757"/>
    <x v="1347"/>
    <x v="35"/>
    <s v="South Korea"/>
    <s v="Lebanon"/>
    <n v="2"/>
    <n v="0"/>
    <s v="FIFA World Cup qualification"/>
    <s v="Suwon"/>
    <s v="South Korea"/>
    <b v="0"/>
    <n v="2004"/>
    <n v="823251107638"/>
    <n v="21159827992"/>
    <x v="0"/>
    <n v="1"/>
    <x v="2"/>
  </r>
  <r>
    <x v="2758"/>
    <x v="1347"/>
    <x v="35"/>
    <s v="Saudi Arabia"/>
    <s v="Indonesia"/>
    <n v="3"/>
    <n v="0"/>
    <s v="FIFA World Cup qualification"/>
    <s v="Riyadh"/>
    <s v="Saudi Arabia"/>
    <b v="0"/>
    <n v="2004"/>
    <n v="258742133333"/>
    <n v="256836875295"/>
    <x v="1"/>
    <n v="1"/>
    <x v="2"/>
  </r>
  <r>
    <x v="2759"/>
    <x v="1347"/>
    <x v="35"/>
    <s v="Turkmenistan"/>
    <s v="Sri Lanka"/>
    <n v="2"/>
    <n v="0"/>
    <s v="FIFA World Cup qualification"/>
    <s v="Ashgabat"/>
    <s v="Turkmenistan"/>
    <b v="0"/>
    <n v="2004"/>
    <n v="6838351088"/>
    <n v="20662525941"/>
    <x v="0"/>
    <n v="-1"/>
    <x v="0"/>
  </r>
  <r>
    <x v="2760"/>
    <x v="1347"/>
    <x v="35"/>
    <s v="United Arab Emirates"/>
    <s v="Thailand"/>
    <n v="1"/>
    <n v="0"/>
    <s v="FIFA World Cup qualification"/>
    <s v="Al Ain"/>
    <s v="United Arab Emirates"/>
    <b v="0"/>
    <n v="2004"/>
    <n v="147824370319"/>
    <n v="172895685154"/>
    <x v="1"/>
    <n v="-1"/>
    <x v="0"/>
  </r>
  <r>
    <x v="2761"/>
    <x v="1347"/>
    <x v="35"/>
    <s v="Uzbekistan"/>
    <s v="Iraq"/>
    <n v="1"/>
    <n v="1"/>
    <s v="FIFA World Cup qualification"/>
    <s v="Tashkent"/>
    <s v="Uzbekistan"/>
    <b v="0"/>
    <n v="2004"/>
    <n v="12030023547"/>
    <n v="36633669269"/>
    <x v="0"/>
    <n v="0"/>
    <x v="1"/>
  </r>
  <r>
    <x v="2762"/>
    <x v="1347"/>
    <x v="35"/>
    <s v="Vietnam"/>
    <s v="Maldives"/>
    <n v="4"/>
    <n v="0"/>
    <s v="FIFA World Cup qualification"/>
    <s v="Hanoi"/>
    <s v="Vietnam"/>
    <b v="0"/>
    <n v="2004"/>
    <n v="45427854693"/>
    <n v="1226829562"/>
    <x v="0"/>
    <n v="1"/>
    <x v="2"/>
  </r>
  <r>
    <x v="2763"/>
    <x v="1348"/>
    <x v="35"/>
    <s v="Turks and Caicos Islands"/>
    <s v="Haiti"/>
    <n v="0"/>
    <n v="2"/>
    <s v="FIFA World Cup qualification"/>
    <s v="Hialeah"/>
    <s v="United States"/>
    <b v="1"/>
    <n v="2004"/>
    <n v="485598800"/>
    <n v="6087360684"/>
    <x v="0"/>
    <n v="1"/>
    <x v="2"/>
  </r>
  <r>
    <x v="2764"/>
    <x v="1349"/>
    <x v="35"/>
    <s v="Aruba"/>
    <s v="Suriname"/>
    <n v="1"/>
    <n v="2"/>
    <s v="FIFA World Cup qualification"/>
    <s v="Oranjestad"/>
    <s v="Aruba"/>
    <b v="0"/>
    <n v="2004"/>
    <n v="2254830726"/>
    <n v="1484092538"/>
    <x v="1"/>
    <n v="-1"/>
    <x v="0"/>
  </r>
  <r>
    <x v="2765"/>
    <x v="1349"/>
    <x v="35"/>
    <s v="Grenada"/>
    <s v="Guyana"/>
    <n v="5"/>
    <n v="0"/>
    <s v="FIFA World Cup qualification"/>
    <s v="St. George's"/>
    <s v="Grenada"/>
    <b v="0"/>
    <n v="2004"/>
    <n v="599118592"/>
    <n v="787814379"/>
    <x v="1"/>
    <n v="-1"/>
    <x v="0"/>
  </r>
  <r>
    <x v="2766"/>
    <x v="1350"/>
    <x v="35"/>
    <s v="Guyana"/>
    <s v="Grenada"/>
    <n v="1"/>
    <n v="3"/>
    <s v="FIFA World Cup qualification"/>
    <s v="Blairmont"/>
    <s v="Guyana"/>
    <b v="0"/>
    <n v="2004"/>
    <n v="787814379"/>
    <n v="599118592"/>
    <x v="1"/>
    <n v="-1"/>
    <x v="0"/>
  </r>
  <r>
    <x v="2767"/>
    <x v="1351"/>
    <x v="35"/>
    <s v="Suriname"/>
    <s v="Aruba"/>
    <n v="8"/>
    <n v="1"/>
    <s v="FIFA World Cup qualification"/>
    <s v="Paramaribo"/>
    <s v="Suriname"/>
    <b v="0"/>
    <n v="2004"/>
    <n v="1484092538"/>
    <n v="2254830726"/>
    <x v="1"/>
    <n v="-1"/>
    <x v="0"/>
  </r>
  <r>
    <x v="2768"/>
    <x v="1352"/>
    <x v="35"/>
    <s v="Argentina"/>
    <s v="Ecuador"/>
    <n v="1"/>
    <n v="0"/>
    <s v="FIFA World Cup qualification"/>
    <s v="Buenos Aires"/>
    <s v="Argentina"/>
    <b v="0"/>
    <n v="2004"/>
    <n v="164657930452"/>
    <n v="35194947000"/>
    <x v="0"/>
    <n v="1"/>
    <x v="2"/>
  </r>
  <r>
    <x v="2769"/>
    <x v="1352"/>
    <x v="35"/>
    <s v="Bolivia"/>
    <s v="Chile"/>
    <n v="0"/>
    <n v="2"/>
    <s v="FIFA World Cup qualification"/>
    <s v="La Paz"/>
    <s v="Bolivia"/>
    <b v="0"/>
    <n v="2004"/>
    <n v="8773451751"/>
    <n v="99075985773"/>
    <x v="0"/>
    <n v="1"/>
    <x v="2"/>
  </r>
  <r>
    <x v="2770"/>
    <x v="1353"/>
    <x v="35"/>
    <s v="India"/>
    <s v="Oman"/>
    <n v="1"/>
    <n v="5"/>
    <s v="FIFA World Cup qualification"/>
    <s v="Kochi"/>
    <s v="India"/>
    <b v="0"/>
    <n v="2004"/>
    <n v="709152728830"/>
    <n v="28378933680"/>
    <x v="0"/>
    <n v="-1"/>
    <x v="0"/>
  </r>
  <r>
    <x v="2771"/>
    <x v="1353"/>
    <x v="35"/>
    <s v="Jordan"/>
    <s v="Qatar"/>
    <n v="1"/>
    <n v="0"/>
    <s v="FIFA World Cup qualification"/>
    <s v="Amman"/>
    <s v="Jordan"/>
    <b v="0"/>
    <n v="2004"/>
    <n v="11411706629"/>
    <n v="31734065934"/>
    <x v="0"/>
    <n v="-1"/>
    <x v="0"/>
  </r>
  <r>
    <x v="2772"/>
    <x v="1353"/>
    <x v="35"/>
    <s v="Malaysia"/>
    <s v="Kuwait"/>
    <n v="0"/>
    <n v="2"/>
    <s v="FIFA World Cup qualification"/>
    <s v="Kuantan"/>
    <s v="Malaysia"/>
    <b v="0"/>
    <n v="2004"/>
    <n v="124749473684"/>
    <n v="59439090600"/>
    <x v="0"/>
    <n v="-1"/>
    <x v="0"/>
  </r>
  <r>
    <x v="2773"/>
    <x v="1353"/>
    <x v="35"/>
    <s v="Maldives"/>
    <s v="South Korea"/>
    <n v="0"/>
    <n v="0"/>
    <s v="FIFA World Cup qualification"/>
    <s v="Mal√©"/>
    <s v="Maldives"/>
    <b v="0"/>
    <n v="2004"/>
    <n v="1226829562"/>
    <n v="823251107638"/>
    <x v="0"/>
    <n v="0"/>
    <x v="1"/>
  </r>
  <r>
    <x v="2774"/>
    <x v="1353"/>
    <x v="35"/>
    <s v="Paraguay"/>
    <s v="Brazil"/>
    <n v="0"/>
    <n v="0"/>
    <s v="FIFA World Cup qualification"/>
    <s v="Asunci√≥n"/>
    <s v="Paraguay"/>
    <b v="0"/>
    <n v="2004"/>
    <n v="9624440836"/>
    <n v="669289321944"/>
    <x v="0"/>
    <n v="0"/>
    <x v="1"/>
  </r>
  <r>
    <x v="2775"/>
    <x v="1353"/>
    <x v="35"/>
    <s v="Peru"/>
    <s v="Colombia"/>
    <n v="0"/>
    <n v="2"/>
    <s v="FIFA World Cup qualification"/>
    <s v="Lima"/>
    <s v="Peru"/>
    <b v="0"/>
    <n v="2004"/>
    <n v="66768703497"/>
    <n v="117092416666"/>
    <x v="1"/>
    <n v="1"/>
    <x v="2"/>
  </r>
  <r>
    <x v="2776"/>
    <x v="1353"/>
    <x v="35"/>
    <s v="Singapore"/>
    <s v="Japan"/>
    <n v="1"/>
    <n v="2"/>
    <s v="FIFA World Cup qualification"/>
    <s v="Singapore"/>
    <s v="Singapore"/>
    <b v="0"/>
    <n v="2004"/>
    <n v="115033593101"/>
    <n v="4893116005656"/>
    <x v="0"/>
    <n v="1"/>
    <x v="2"/>
  </r>
  <r>
    <x v="2777"/>
    <x v="1353"/>
    <x v="35"/>
    <s v="Sri Lanka"/>
    <s v="Saudi Arabia"/>
    <n v="0"/>
    <n v="1"/>
    <s v="FIFA World Cup qualification"/>
    <s v="Colombo"/>
    <s v="Sri Lanka"/>
    <b v="0"/>
    <n v="2004"/>
    <n v="20662525941"/>
    <n v="258742133333"/>
    <x v="0"/>
    <n v="1"/>
    <x v="2"/>
  </r>
  <r>
    <x v="2778"/>
    <x v="1353"/>
    <x v="35"/>
    <s v="Tajikistan"/>
    <s v="Bahrain"/>
    <n v="0"/>
    <n v="0"/>
    <s v="FIFA World Cup qualification"/>
    <s v="Dushanbe"/>
    <s v="Tajikistan"/>
    <b v="0"/>
    <n v="2004"/>
    <n v="2076176869"/>
    <n v="13150159574"/>
    <x v="0"/>
    <n v="0"/>
    <x v="1"/>
  </r>
  <r>
    <x v="2779"/>
    <x v="1353"/>
    <x v="35"/>
    <s v="Turkmenistan"/>
    <s v="Indonesia"/>
    <n v="3"/>
    <n v="1"/>
    <s v="FIFA World Cup qualification"/>
    <s v="Ashgabat"/>
    <s v="Turkmenistan"/>
    <b v="0"/>
    <n v="2004"/>
    <n v="6838351088"/>
    <n v="256836875295"/>
    <x v="0"/>
    <n v="-1"/>
    <x v="0"/>
  </r>
  <r>
    <x v="2780"/>
    <x v="1353"/>
    <x v="35"/>
    <s v="Uruguay"/>
    <s v="Venezuela"/>
    <n v="0"/>
    <n v="3"/>
    <s v="FIFA World Cup qualification"/>
    <s v="Montevideo"/>
    <s v="Uruguay"/>
    <b v="0"/>
    <n v="2004"/>
    <n v="13686329890"/>
    <n v="112451400424"/>
    <x v="0"/>
    <n v="1"/>
    <x v="2"/>
  </r>
  <r>
    <x v="2781"/>
    <x v="1353"/>
    <x v="35"/>
    <s v="Vietnam"/>
    <s v="Lebanon"/>
    <n v="0"/>
    <n v="2"/>
    <s v="FIFA World Cup qualification"/>
    <s v="Nam ƒê·ªãnh"/>
    <s v="Vietnam"/>
    <b v="0"/>
    <n v="2004"/>
    <n v="45427854693"/>
    <n v="21159827992"/>
    <x v="0"/>
    <n v="-1"/>
    <x v="0"/>
  </r>
  <r>
    <x v="2782"/>
    <x v="1354"/>
    <x v="35"/>
    <s v="Papua New Guinea"/>
    <s v="Vanuatu"/>
    <n v="1"/>
    <n v="1"/>
    <s v="FIFA World Cup qualification"/>
    <s v="Apia"/>
    <s v="Samoa"/>
    <b v="1"/>
    <n v="2004"/>
    <n v="3927157866"/>
    <n v="364996869"/>
    <x v="0"/>
    <n v="0"/>
    <x v="1"/>
  </r>
  <r>
    <x v="2783"/>
    <x v="1354"/>
    <x v="35"/>
    <s v="Samoa"/>
    <s v="American Samoa"/>
    <n v="4"/>
    <n v="0"/>
    <s v="FIFA World Cup qualification"/>
    <s v="Apia"/>
    <s v="Samoa"/>
    <b v="0"/>
    <n v="2004"/>
    <n v="407747565"/>
    <n v="509000000"/>
    <x v="1"/>
    <n v="-1"/>
    <x v="0"/>
  </r>
  <r>
    <x v="2784"/>
    <x v="1354"/>
    <x v="35"/>
    <s v="Solomon Islands"/>
    <s v="Tonga"/>
    <n v="6"/>
    <n v="0"/>
    <s v="FIFA World Cup qualification"/>
    <s v="Honiara"/>
    <s v="Solomon Islands"/>
    <b v="0"/>
    <n v="2004"/>
    <n v="468000121"/>
    <n v="230678011"/>
    <x v="0"/>
    <n v="1"/>
    <x v="2"/>
  </r>
  <r>
    <x v="2785"/>
    <x v="1355"/>
    <x v="35"/>
    <s v="American Samoa"/>
    <s v="Vanuatu"/>
    <n v="1"/>
    <n v="9"/>
    <s v="FIFA World Cup qualification"/>
    <s v="Apia"/>
    <s v="Samoa"/>
    <b v="1"/>
    <n v="2004"/>
    <n v="509000000"/>
    <n v="364996869"/>
    <x v="1"/>
    <n v="-1"/>
    <x v="0"/>
  </r>
  <r>
    <x v="2786"/>
    <x v="1355"/>
    <x v="35"/>
    <s v="Fiji"/>
    <s v="Papua New Guinea"/>
    <n v="4"/>
    <n v="2"/>
    <s v="FIFA World Cup qualification"/>
    <s v="Apia"/>
    <s v="Samoa"/>
    <b v="1"/>
    <n v="2004"/>
    <n v="2708078476"/>
    <n v="3927157866"/>
    <x v="1"/>
    <n v="-1"/>
    <x v="0"/>
  </r>
  <r>
    <x v="2787"/>
    <x v="1356"/>
    <x v="35"/>
    <s v="Fiji"/>
    <s v="American Samoa"/>
    <n v="11"/>
    <n v="0"/>
    <s v="FIFA World Cup qualification"/>
    <s v="Apia"/>
    <s v="Samoa"/>
    <b v="1"/>
    <n v="2004"/>
    <n v="2708078476"/>
    <n v="509000000"/>
    <x v="0"/>
    <n v="1"/>
    <x v="2"/>
  </r>
  <r>
    <x v="2788"/>
    <x v="1356"/>
    <x v="35"/>
    <s v="Samoa"/>
    <s v="Vanuatu"/>
    <n v="0"/>
    <n v="3"/>
    <s v="FIFA World Cup qualification"/>
    <s v="Apia"/>
    <s v="Samoa"/>
    <b v="0"/>
    <n v="2004"/>
    <n v="407747565"/>
    <n v="364996869"/>
    <x v="1"/>
    <n v="-1"/>
    <x v="0"/>
  </r>
  <r>
    <x v="2789"/>
    <x v="1356"/>
    <x v="35"/>
    <s v="Solomon Islands"/>
    <s v="New Caledonia"/>
    <n v="2"/>
    <n v="0"/>
    <s v="FIFA World Cup qualification"/>
    <s v="Honiara"/>
    <s v="Solomon Islands"/>
    <b v="0"/>
    <n v="2004"/>
    <n v="468000121"/>
    <n v="5895008977"/>
    <x v="0"/>
    <n v="-1"/>
    <x v="0"/>
  </r>
  <r>
    <x v="2790"/>
    <x v="1357"/>
    <x v="35"/>
    <s v="American Samoa"/>
    <s v="Papua New Guinea"/>
    <n v="0"/>
    <n v="10"/>
    <s v="FIFA World Cup qualification"/>
    <s v="Apia"/>
    <s v="Samoa"/>
    <b v="1"/>
    <n v="2004"/>
    <n v="509000000"/>
    <n v="3927157866"/>
    <x v="0"/>
    <n v="1"/>
    <x v="2"/>
  </r>
  <r>
    <x v="2791"/>
    <x v="1357"/>
    <x v="35"/>
    <s v="Samoa"/>
    <s v="Fiji"/>
    <n v="0"/>
    <n v="4"/>
    <s v="FIFA World Cup qualification"/>
    <s v="Apia"/>
    <s v="Samoa"/>
    <b v="0"/>
    <n v="2004"/>
    <n v="407747565"/>
    <n v="2708078476"/>
    <x v="0"/>
    <n v="1"/>
    <x v="2"/>
  </r>
  <r>
    <x v="2792"/>
    <x v="1358"/>
    <x v="35"/>
    <s v="Fiji"/>
    <s v="Vanuatu"/>
    <n v="0"/>
    <n v="3"/>
    <s v="FIFA World Cup qualification"/>
    <s v="Apia"/>
    <s v="Samoa"/>
    <b v="1"/>
    <n v="2004"/>
    <n v="2708078476"/>
    <n v="364996869"/>
    <x v="0"/>
    <n v="-1"/>
    <x v="0"/>
  </r>
  <r>
    <x v="2793"/>
    <x v="1358"/>
    <x v="35"/>
    <s v="New Caledonia"/>
    <s v="Tonga"/>
    <n v="8"/>
    <n v="0"/>
    <s v="FIFA World Cup qualification"/>
    <s v="Honiara"/>
    <s v="Solomon Islands"/>
    <b v="1"/>
    <n v="2004"/>
    <n v="5895008977"/>
    <n v="230678011"/>
    <x v="0"/>
    <n v="1"/>
    <x v="2"/>
  </r>
  <r>
    <x v="2794"/>
    <x v="1358"/>
    <x v="35"/>
    <s v="Samoa"/>
    <s v="Papua New Guinea"/>
    <n v="1"/>
    <n v="4"/>
    <s v="FIFA World Cup qualification"/>
    <s v="Apia"/>
    <s v="Samoa"/>
    <b v="0"/>
    <n v="2004"/>
    <n v="407747565"/>
    <n v="3927157866"/>
    <x v="0"/>
    <n v="1"/>
    <x v="2"/>
  </r>
  <r>
    <x v="2795"/>
    <x v="1359"/>
    <x v="35"/>
    <s v="Bolivia"/>
    <s v="Paraguay"/>
    <n v="2"/>
    <n v="1"/>
    <s v="FIFA World Cup qualification"/>
    <s v="La Paz"/>
    <s v="Bolivia"/>
    <b v="0"/>
    <n v="2004"/>
    <n v="8773451751"/>
    <n v="9624440836"/>
    <x v="1"/>
    <n v="-1"/>
    <x v="0"/>
  </r>
  <r>
    <x v="2796"/>
    <x v="1359"/>
    <x v="35"/>
    <s v="Uruguay"/>
    <s v="Peru"/>
    <n v="1"/>
    <n v="3"/>
    <s v="FIFA World Cup qualification"/>
    <s v="Montevideo"/>
    <s v="Uruguay"/>
    <b v="0"/>
    <n v="2004"/>
    <n v="13686329890"/>
    <n v="66768703497"/>
    <x v="0"/>
    <n v="1"/>
    <x v="2"/>
  </r>
  <r>
    <x v="2797"/>
    <x v="1359"/>
    <x v="35"/>
    <s v="Venezuela"/>
    <s v="Chile"/>
    <n v="0"/>
    <n v="1"/>
    <s v="FIFA World Cup qualification"/>
    <s v="San Crist√≥bal"/>
    <s v="Venezuela"/>
    <b v="0"/>
    <n v="2004"/>
    <n v="112451400424"/>
    <n v="99075985773"/>
    <x v="1"/>
    <n v="-1"/>
    <x v="0"/>
  </r>
  <r>
    <x v="2798"/>
    <x v="1360"/>
    <x v="35"/>
    <s v="Brazil"/>
    <s v="Argentina"/>
    <n v="3"/>
    <n v="1"/>
    <s v="FIFA World Cup qualification"/>
    <s v="Belo Horizonte"/>
    <s v="Brazil"/>
    <b v="0"/>
    <n v="2004"/>
    <n v="669289321944"/>
    <n v="164657930452"/>
    <x v="0"/>
    <n v="1"/>
    <x v="2"/>
  </r>
  <r>
    <x v="2799"/>
    <x v="1360"/>
    <x v="35"/>
    <s v="Ecuador"/>
    <s v="Colombia"/>
    <n v="2"/>
    <n v="1"/>
    <s v="FIFA World Cup qualification"/>
    <s v="Quito"/>
    <s v="Ecuador"/>
    <b v="0"/>
    <n v="2004"/>
    <n v="35194947000"/>
    <n v="117092416666"/>
    <x v="0"/>
    <n v="-1"/>
    <x v="0"/>
  </r>
  <r>
    <x v="2800"/>
    <x v="1361"/>
    <x v="35"/>
    <s v="Algeria"/>
    <s v="Angola"/>
    <n v="0"/>
    <n v="0"/>
    <s v="FIFA World Cup qualification"/>
    <s v="Annaba"/>
    <s v="Algeria"/>
    <b v="0"/>
    <n v="2004"/>
    <n v="91913680985"/>
    <n v="26997977896"/>
    <x v="0"/>
    <n v="0"/>
    <x v="1"/>
  </r>
  <r>
    <x v="2801"/>
    <x v="1361"/>
    <x v="35"/>
    <s v="Burkina Faso"/>
    <s v="Ghana"/>
    <n v="1"/>
    <n v="0"/>
    <s v="FIFA World Cup qualification"/>
    <s v="Ouagadougou"/>
    <s v="Burkina Faso"/>
    <b v="0"/>
    <n v="2004"/>
    <n v="5451688537"/>
    <n v="8881417906"/>
    <x v="1"/>
    <n v="-1"/>
    <x v="0"/>
  </r>
  <r>
    <x v="2802"/>
    <x v="1361"/>
    <x v="35"/>
    <s v="Ecuador"/>
    <s v="Bolivia"/>
    <n v="3"/>
    <n v="2"/>
    <s v="FIFA World Cup qualification"/>
    <s v="Quito"/>
    <s v="Ecuador"/>
    <b v="0"/>
    <n v="2004"/>
    <n v="35194947000"/>
    <n v="8773451751"/>
    <x v="0"/>
    <n v="1"/>
    <x v="2"/>
  </r>
  <r>
    <x v="2803"/>
    <x v="1361"/>
    <x v="35"/>
    <s v="Gabon"/>
    <s v="Zimbabwe"/>
    <n v="1"/>
    <n v="1"/>
    <s v="FIFA World Cup qualification"/>
    <s v="Libreville"/>
    <s v="Gabon"/>
    <b v="0"/>
    <n v="2004"/>
    <n v="7770219008"/>
    <n v="5808500000"/>
    <x v="1"/>
    <n v="0"/>
    <x v="1"/>
  </r>
  <r>
    <x v="2804"/>
    <x v="1361"/>
    <x v="35"/>
    <s v="Malawi"/>
    <s v="Morocco"/>
    <n v="1"/>
    <n v="1"/>
    <s v="FIFA World Cup qualification"/>
    <s v="Blantyre"/>
    <s v="Malawi"/>
    <b v="0"/>
    <n v="2004"/>
    <n v="5058726350"/>
    <n v="66114145451"/>
    <x v="0"/>
    <n v="0"/>
    <x v="1"/>
  </r>
  <r>
    <x v="2805"/>
    <x v="1361"/>
    <x v="35"/>
    <s v="Nigeria"/>
    <s v="Rwanda"/>
    <n v="2"/>
    <n v="0"/>
    <s v="FIFA World Cup qualification"/>
    <s v="Abuja"/>
    <s v="Nigeria"/>
    <b v="0"/>
    <n v="2004"/>
    <n v="135764731645"/>
    <n v="2376496067"/>
    <x v="0"/>
    <n v="1"/>
    <x v="2"/>
  </r>
  <r>
    <x v="2806"/>
    <x v="1361"/>
    <x v="35"/>
    <s v="Tunisia"/>
    <s v="Botswana"/>
    <n v="4"/>
    <n v="1"/>
    <s v="FIFA World Cup qualification"/>
    <s v="Rad√®s"/>
    <s v="Tunisia"/>
    <b v="0"/>
    <n v="2004"/>
    <n v="31183885241"/>
    <n v="8957467706"/>
    <x v="0"/>
    <n v="1"/>
    <x v="2"/>
  </r>
  <r>
    <x v="2807"/>
    <x v="1361"/>
    <x v="35"/>
    <s v="Zambia"/>
    <s v="Togo"/>
    <n v="1"/>
    <n v="0"/>
    <s v="FIFA World Cup qualification"/>
    <s v="Lusaka"/>
    <s v="Zambia"/>
    <b v="0"/>
    <n v="2004"/>
    <n v="6221110219"/>
    <n v="3191561508"/>
    <x v="1"/>
    <n v="1"/>
    <x v="2"/>
  </r>
  <r>
    <x v="2808"/>
    <x v="1362"/>
    <x v="35"/>
    <s v="Argentina"/>
    <s v="Paraguay"/>
    <n v="0"/>
    <n v="0"/>
    <s v="FIFA World Cup qualification"/>
    <s v="Buenos Aires"/>
    <s v="Argentina"/>
    <b v="0"/>
    <n v="2004"/>
    <n v="164657930452"/>
    <n v="9624440836"/>
    <x v="0"/>
    <n v="0"/>
    <x v="1"/>
  </r>
  <r>
    <x v="2809"/>
    <x v="1362"/>
    <x v="35"/>
    <s v="Cameroon"/>
    <s v="Benin"/>
    <n v="2"/>
    <n v="1"/>
    <s v="FIFA World Cup qualification"/>
    <s v="Yaound√©"/>
    <s v="Cameroon"/>
    <b v="0"/>
    <n v="2004"/>
    <n v="18826214135"/>
    <n v="6190270380"/>
    <x v="0"/>
    <n v="1"/>
    <x v="2"/>
  </r>
  <r>
    <x v="2810"/>
    <x v="1362"/>
    <x v="35"/>
    <s v="Chile"/>
    <s v="Brazil"/>
    <n v="1"/>
    <n v="1"/>
    <s v="FIFA World Cup qualification"/>
    <s v="Santiago"/>
    <s v="Chile"/>
    <b v="0"/>
    <n v="2004"/>
    <n v="99075985773"/>
    <n v="669289321944"/>
    <x v="0"/>
    <n v="0"/>
    <x v="1"/>
  </r>
  <r>
    <x v="2811"/>
    <x v="1362"/>
    <x v="35"/>
    <s v="Colombia"/>
    <s v="Uruguay"/>
    <n v="5"/>
    <n v="0"/>
    <s v="FIFA World Cup qualification"/>
    <s v="Barranquilla"/>
    <s v="Colombia"/>
    <b v="0"/>
    <n v="2004"/>
    <n v="117092416666"/>
    <n v="13686329890"/>
    <x v="0"/>
    <n v="1"/>
    <x v="2"/>
  </r>
  <r>
    <x v="2812"/>
    <x v="1362"/>
    <x v="35"/>
    <s v="Liberia"/>
    <s v="Mali"/>
    <n v="1"/>
    <n v="0"/>
    <s v="FIFA World Cup qualification"/>
    <s v="Paynesville"/>
    <s v="Liberia"/>
    <b v="0"/>
    <n v="2004"/>
    <n v="897000000"/>
    <n v="6485774930"/>
    <x v="0"/>
    <n v="-1"/>
    <x v="0"/>
  </r>
  <r>
    <x v="2813"/>
    <x v="1362"/>
    <x v="35"/>
    <s v="Peru"/>
    <s v="Venezuela"/>
    <n v="0"/>
    <n v="0"/>
    <s v="FIFA World Cup qualification"/>
    <s v="Lima"/>
    <s v="Peru"/>
    <b v="0"/>
    <n v="2004"/>
    <n v="66768703497"/>
    <n v="112451400424"/>
    <x v="1"/>
    <n v="0"/>
    <x v="1"/>
  </r>
  <r>
    <x v="2814"/>
    <x v="1362"/>
    <x v="35"/>
    <s v="Sudan"/>
    <s v="Egypt"/>
    <n v="0"/>
    <n v="3"/>
    <s v="FIFA World Cup qualification"/>
    <s v="Khartoum"/>
    <s v="Sudan"/>
    <b v="0"/>
    <n v="2004"/>
    <n v="26646007250"/>
    <n v="78782467532"/>
    <x v="0"/>
    <n v="1"/>
    <x v="2"/>
  </r>
  <r>
    <x v="2815"/>
    <x v="1363"/>
    <x v="35"/>
    <s v="Indonesia"/>
    <s v="Sri Lanka"/>
    <n v="1"/>
    <n v="0"/>
    <s v="FIFA World Cup qualification"/>
    <s v="Jakarta"/>
    <s v="Indonesia"/>
    <b v="0"/>
    <n v="2004"/>
    <n v="256836875295"/>
    <n v="20662525941"/>
    <x v="0"/>
    <n v="1"/>
    <x v="2"/>
  </r>
  <r>
    <x v="2816"/>
    <x v="1363"/>
    <x v="35"/>
    <s v="Iran"/>
    <s v="Jordan"/>
    <n v="0"/>
    <n v="1"/>
    <s v="FIFA World Cup qualification"/>
    <s v="Tehran"/>
    <s v="Iran"/>
    <b v="0"/>
    <n v="2004"/>
    <n v="187754571247"/>
    <n v="11411706629"/>
    <x v="0"/>
    <n v="-1"/>
    <x v="0"/>
  </r>
  <r>
    <x v="2817"/>
    <x v="1363"/>
    <x v="35"/>
    <s v="Japan"/>
    <s v="India"/>
    <n v="7"/>
    <n v="0"/>
    <s v="FIFA World Cup qualification"/>
    <s v="Saitama"/>
    <s v="Japan"/>
    <b v="0"/>
    <n v="2004"/>
    <n v="4893116005656"/>
    <n v="709152728830"/>
    <x v="0"/>
    <n v="1"/>
    <x v="2"/>
  </r>
  <r>
    <x v="2818"/>
    <x v="1363"/>
    <x v="35"/>
    <s v="South Korea"/>
    <s v="Vietnam"/>
    <n v="2"/>
    <n v="0"/>
    <s v="FIFA World Cup qualification"/>
    <s v="Daejeon"/>
    <s v="South Korea"/>
    <b v="0"/>
    <n v="2004"/>
    <n v="823251107638"/>
    <n v="45427854693"/>
    <x v="0"/>
    <n v="1"/>
    <x v="2"/>
  </r>
  <r>
    <x v="2819"/>
    <x v="1363"/>
    <x v="35"/>
    <s v="Lebanon"/>
    <s v="Maldives"/>
    <n v="3"/>
    <n v="0"/>
    <s v="FIFA World Cup qualification"/>
    <s v="Beirut"/>
    <s v="Lebanon"/>
    <b v="0"/>
    <n v="2004"/>
    <n v="21159827992"/>
    <n v="1226829562"/>
    <x v="0"/>
    <n v="1"/>
    <x v="2"/>
  </r>
  <r>
    <x v="2820"/>
    <x v="1363"/>
    <x v="35"/>
    <s v="Oman"/>
    <s v="Singapore"/>
    <n v="7"/>
    <n v="0"/>
    <s v="FIFA World Cup qualification"/>
    <s v="Muscat"/>
    <s v="Oman"/>
    <b v="0"/>
    <n v="2004"/>
    <n v="28378933680"/>
    <n v="115033593101"/>
    <x v="0"/>
    <n v="-1"/>
    <x v="0"/>
  </r>
  <r>
    <x v="2821"/>
    <x v="1363"/>
    <x v="35"/>
    <s v="Saudi Arabia"/>
    <s v="Turkmenistan"/>
    <n v="3"/>
    <n v="0"/>
    <s v="FIFA World Cup qualification"/>
    <s v="Riyadh"/>
    <s v="Saudi Arabia"/>
    <b v="0"/>
    <n v="2004"/>
    <n v="258742133333"/>
    <n v="6838351088"/>
    <x v="0"/>
    <n v="1"/>
    <x v="2"/>
  </r>
  <r>
    <x v="2822"/>
    <x v="1364"/>
    <x v="35"/>
    <s v="Syria"/>
    <s v="Tajikistan"/>
    <n v="2"/>
    <n v="1"/>
    <s v="FIFA World Cup qualification"/>
    <s v="Homs"/>
    <s v="Syria"/>
    <b v="0"/>
    <n v="2004"/>
    <n v="25086950495"/>
    <n v="2076176869"/>
    <x v="0"/>
    <n v="1"/>
    <x v="2"/>
  </r>
  <r>
    <x v="2823"/>
    <x v="1365"/>
    <x v="35"/>
    <s v="Cuba"/>
    <s v="Costa Rica"/>
    <n v="2"/>
    <n v="2"/>
    <s v="FIFA World Cup qualification"/>
    <s v="Havana"/>
    <s v="Cuba"/>
    <b v="0"/>
    <n v="2004"/>
    <n v="38203000000"/>
    <n v="18610594846"/>
    <x v="0"/>
    <n v="0"/>
    <x v="1"/>
  </r>
  <r>
    <x v="2824"/>
    <x v="1365"/>
    <x v="35"/>
    <s v="Haiti"/>
    <s v="Jamaica"/>
    <n v="1"/>
    <n v="1"/>
    <s v="FIFA World Cup qualification"/>
    <s v="Miami"/>
    <s v="United States"/>
    <b v="1"/>
    <n v="2004"/>
    <n v="6087360684"/>
    <n v="10174664853"/>
    <x v="1"/>
    <n v="0"/>
    <x v="1"/>
  </r>
  <r>
    <x v="2825"/>
    <x v="1365"/>
    <x v="35"/>
    <s v="Suriname"/>
    <s v="Guatemala"/>
    <n v="1"/>
    <n v="1"/>
    <s v="FIFA World Cup qualification"/>
    <s v="Paramaribo"/>
    <s v="Suriname"/>
    <b v="0"/>
    <n v="2004"/>
    <n v="1484092538"/>
    <n v="23577298094"/>
    <x v="0"/>
    <n v="0"/>
    <x v="1"/>
  </r>
  <r>
    <x v="2826"/>
    <x v="1366"/>
    <x v="35"/>
    <s v="Canada"/>
    <s v="Belize"/>
    <n v="4"/>
    <n v="0"/>
    <s v="FIFA World Cup qualification"/>
    <s v="Kingston"/>
    <s v="Canada"/>
    <b v="0"/>
    <n v="2004"/>
    <n v="1026690238278"/>
    <n v="1400202000"/>
    <x v="0"/>
    <n v="1"/>
    <x v="2"/>
  </r>
  <r>
    <x v="2827"/>
    <x v="1366"/>
    <x v="35"/>
    <s v="Dominican Republic"/>
    <s v="Trinidad and Tobago"/>
    <n v="0"/>
    <n v="2"/>
    <s v="FIFA World Cup qualification"/>
    <s v="Santo Domingo"/>
    <s v="Dominican Republic"/>
    <b v="0"/>
    <n v="2004"/>
    <n v="22322387382"/>
    <n v="13280291989"/>
    <x v="1"/>
    <n v="-1"/>
    <x v="0"/>
  </r>
  <r>
    <x v="2828"/>
    <x v="1366"/>
    <x v="35"/>
    <s v="El Salvador"/>
    <s v="Bermuda"/>
    <n v="2"/>
    <n v="1"/>
    <s v="FIFA World Cup qualification"/>
    <s v="San Salvador"/>
    <s v="El Salvador"/>
    <b v="0"/>
    <n v="2004"/>
    <n v="13724810900"/>
    <n v="4484703000"/>
    <x v="0"/>
    <n v="1"/>
    <x v="2"/>
  </r>
  <r>
    <x v="2829"/>
    <x v="1366"/>
    <x v="35"/>
    <s v="United States"/>
    <s v="Grenada"/>
    <n v="3"/>
    <n v="0"/>
    <s v="FIFA World Cup qualification"/>
    <s v="Columbus"/>
    <s v="United States"/>
    <b v="0"/>
    <n v="2004"/>
    <n v="12217193198000"/>
    <n v="599118592"/>
    <x v="0"/>
    <n v="1"/>
    <x v="2"/>
  </r>
  <r>
    <x v="2830"/>
    <x v="1367"/>
    <x v="35"/>
    <s v="Canada"/>
    <s v="Belize"/>
    <n v="4"/>
    <n v="0"/>
    <s v="FIFA World Cup qualification"/>
    <s v="Kingston"/>
    <s v="Canada"/>
    <b v="0"/>
    <n v="2004"/>
    <n v="1026690238278"/>
    <n v="1400202000"/>
    <x v="0"/>
    <n v="1"/>
    <x v="2"/>
  </r>
  <r>
    <x v="2831"/>
    <x v="1368"/>
    <x v="35"/>
    <s v="Libya"/>
    <s v="Cameroon"/>
    <n v="0"/>
    <n v="0"/>
    <s v="FIFA World Cup qualification"/>
    <s v="Misrata"/>
    <s v="Libya"/>
    <b v="0"/>
    <n v="2004"/>
    <n v="33122307692"/>
    <n v="18826214135"/>
    <x v="1"/>
    <n v="0"/>
    <x v="1"/>
  </r>
  <r>
    <x v="2832"/>
    <x v="1369"/>
    <x v="35"/>
    <s v="Botswana"/>
    <s v="Malawi"/>
    <n v="2"/>
    <n v="0"/>
    <s v="FIFA World Cup qualification"/>
    <s v="Gaborone"/>
    <s v="Botswana"/>
    <b v="0"/>
    <n v="2004"/>
    <n v="8957467706"/>
    <n v="5058726350"/>
    <x v="1"/>
    <n v="1"/>
    <x v="2"/>
  </r>
  <r>
    <x v="2833"/>
    <x v="1369"/>
    <x v="35"/>
    <s v="Dominica"/>
    <s v="Mexico"/>
    <n v="0"/>
    <n v="10"/>
    <s v="FIFA World Cup qualification"/>
    <s v="San Antonio"/>
    <s v="United States"/>
    <b v="1"/>
    <n v="2004"/>
    <n v="396711111"/>
    <n v="819459227375"/>
    <x v="0"/>
    <n v="1"/>
    <x v="2"/>
  </r>
  <r>
    <x v="2834"/>
    <x v="1369"/>
    <x v="35"/>
    <s v="Mali"/>
    <s v="Zambia"/>
    <n v="1"/>
    <n v="1"/>
    <s v="FIFA World Cup qualification"/>
    <s v="Bamako"/>
    <s v="Mali"/>
    <b v="0"/>
    <n v="2004"/>
    <n v="6485774930"/>
    <n v="6221110219"/>
    <x v="1"/>
    <n v="0"/>
    <x v="1"/>
  </r>
  <r>
    <x v="2835"/>
    <x v="1369"/>
    <x v="35"/>
    <s v="Rwanda"/>
    <s v="Gabon"/>
    <n v="3"/>
    <n v="1"/>
    <s v="FIFA World Cup qualification"/>
    <s v="Kigali"/>
    <s v="Rwanda"/>
    <b v="0"/>
    <n v="2004"/>
    <n v="2376496067"/>
    <n v="7770219008"/>
    <x v="0"/>
    <n v="-1"/>
    <x v="0"/>
  </r>
  <r>
    <x v="2836"/>
    <x v="1370"/>
    <x v="35"/>
    <s v="Angola"/>
    <s v="Nigeria"/>
    <n v="1"/>
    <n v="0"/>
    <s v="FIFA World Cup qualification"/>
    <s v="Luanda"/>
    <s v="Angola"/>
    <b v="0"/>
    <n v="2004"/>
    <n v="26997977896"/>
    <n v="135764731645"/>
    <x v="0"/>
    <n v="-1"/>
    <x v="0"/>
  </r>
  <r>
    <x v="2837"/>
    <x v="1370"/>
    <x v="35"/>
    <s v="Benin"/>
    <s v="Sudan"/>
    <n v="1"/>
    <n v="1"/>
    <s v="FIFA World Cup qualification"/>
    <s v="Cotonou"/>
    <s v="Benin"/>
    <b v="0"/>
    <n v="2004"/>
    <n v="6190270380"/>
    <n v="26646007250"/>
    <x v="0"/>
    <n v="0"/>
    <x v="1"/>
  </r>
  <r>
    <x v="2838"/>
    <x v="1370"/>
    <x v="35"/>
    <s v="Bermuda"/>
    <s v="El Salvador"/>
    <n v="2"/>
    <n v="2"/>
    <s v="FIFA World Cup qualification"/>
    <s v="Hamilton"/>
    <s v="Bermuda"/>
    <b v="0"/>
    <n v="2004"/>
    <n v="4484703000"/>
    <n v="13724810900"/>
    <x v="0"/>
    <n v="0"/>
    <x v="1"/>
  </r>
  <r>
    <x v="2839"/>
    <x v="1370"/>
    <x v="35"/>
    <s v="Costa Rica"/>
    <s v="Cuba"/>
    <n v="1"/>
    <n v="1"/>
    <s v="FIFA World Cup qualification"/>
    <s v="Alajuela"/>
    <s v="Costa Rica"/>
    <b v="0"/>
    <n v="2004"/>
    <n v="18610594846"/>
    <n v="38203000000"/>
    <x v="0"/>
    <n v="0"/>
    <x v="1"/>
  </r>
  <r>
    <x v="2840"/>
    <x v="1370"/>
    <x v="35"/>
    <s v="Ghana"/>
    <s v="South Africa"/>
    <n v="3"/>
    <n v="0"/>
    <s v="FIFA World Cup qualification"/>
    <s v="Kumasi"/>
    <s v="Ghana"/>
    <b v="0"/>
    <n v="2004"/>
    <n v="8881417906"/>
    <n v="255806908594"/>
    <x v="0"/>
    <n v="-1"/>
    <x v="0"/>
  </r>
  <r>
    <x v="2841"/>
    <x v="1370"/>
    <x v="35"/>
    <s v="Grenada"/>
    <s v="United States"/>
    <n v="2"/>
    <n v="3"/>
    <s v="FIFA World Cup qualification"/>
    <s v="St. George's"/>
    <s v="Grenada"/>
    <b v="0"/>
    <n v="2004"/>
    <n v="599118592"/>
    <n v="12217193198000"/>
    <x v="0"/>
    <n v="1"/>
    <x v="2"/>
  </r>
  <r>
    <x v="2842"/>
    <x v="1370"/>
    <x v="35"/>
    <s v="Guatemala"/>
    <s v="Suriname"/>
    <n v="3"/>
    <n v="1"/>
    <s v="FIFA World Cup qualification"/>
    <s v="Guatemala City"/>
    <s v="Guatemala"/>
    <b v="0"/>
    <n v="2004"/>
    <n v="23577298094"/>
    <n v="1484092538"/>
    <x v="0"/>
    <n v="1"/>
    <x v="2"/>
  </r>
  <r>
    <x v="2843"/>
    <x v="1370"/>
    <x v="35"/>
    <s v="Guinea"/>
    <s v="Tunisia"/>
    <n v="2"/>
    <n v="1"/>
    <s v="FIFA World Cup qualification"/>
    <s v="Conakry"/>
    <s v="Guinea"/>
    <b v="0"/>
    <n v="2004"/>
    <n v="5300767960"/>
    <n v="31183885241"/>
    <x v="0"/>
    <n v="-1"/>
    <x v="0"/>
  </r>
  <r>
    <x v="2844"/>
    <x v="1370"/>
    <x v="35"/>
    <s v="Jamaica"/>
    <s v="Haiti"/>
    <n v="3"/>
    <n v="0"/>
    <s v="FIFA World Cup qualification"/>
    <s v="Kingston"/>
    <s v="Jamaica"/>
    <b v="0"/>
    <n v="2004"/>
    <n v="10174664853"/>
    <n v="6087360684"/>
    <x v="1"/>
    <n v="1"/>
    <x v="2"/>
  </r>
  <r>
    <x v="2845"/>
    <x v="1370"/>
    <x v="35"/>
    <s v="Togo"/>
    <s v="Senegal"/>
    <n v="3"/>
    <n v="1"/>
    <s v="FIFA World Cup qualification"/>
    <s v="Lom√©"/>
    <s v="Togo"/>
    <b v="0"/>
    <n v="2004"/>
    <n v="3191561508"/>
    <n v="10076816666"/>
    <x v="0"/>
    <n v="-1"/>
    <x v="0"/>
  </r>
  <r>
    <x v="2846"/>
    <x v="1370"/>
    <x v="35"/>
    <s v="Trinidad and Tobago"/>
    <s v="Dominican Republic"/>
    <n v="4"/>
    <n v="0"/>
    <s v="FIFA World Cup qualification"/>
    <s v="San Fernando"/>
    <s v="Trinidad and Tobago"/>
    <b v="0"/>
    <n v="2004"/>
    <n v="13280291989"/>
    <n v="22322387382"/>
    <x v="1"/>
    <n v="-1"/>
    <x v="0"/>
  </r>
  <r>
    <x v="2847"/>
    <x v="1370"/>
    <x v="35"/>
    <s v="Zimbabwe"/>
    <s v="Algeria"/>
    <n v="1"/>
    <n v="1"/>
    <s v="FIFA World Cup qualification"/>
    <s v="Harare"/>
    <s v="Zimbabwe"/>
    <b v="0"/>
    <n v="2004"/>
    <n v="5808500000"/>
    <n v="91913680985"/>
    <x v="0"/>
    <n v="0"/>
    <x v="1"/>
  </r>
  <r>
    <x v="2848"/>
    <x v="1371"/>
    <x v="35"/>
    <s v="Mexico"/>
    <s v="Dominica"/>
    <n v="8"/>
    <n v="0"/>
    <s v="FIFA World Cup qualification"/>
    <s v="Aguascalientes"/>
    <s v="Mexico"/>
    <b v="0"/>
    <n v="2004"/>
    <n v="819459227375"/>
    <n v="396711111"/>
    <x v="0"/>
    <n v="1"/>
    <x v="2"/>
  </r>
  <r>
    <x v="2849"/>
    <x v="1372"/>
    <x v="35"/>
    <s v="Botswana"/>
    <s v="Morocco"/>
    <n v="0"/>
    <n v="1"/>
    <s v="FIFA World Cup qualification"/>
    <s v="Gaborone"/>
    <s v="Botswana"/>
    <b v="0"/>
    <n v="2004"/>
    <n v="8957467706"/>
    <n v="66114145451"/>
    <x v="0"/>
    <n v="1"/>
    <x v="2"/>
  </r>
  <r>
    <x v="2850"/>
    <x v="1372"/>
    <x v="35"/>
    <s v="Gabon"/>
    <s v="Angola"/>
    <n v="2"/>
    <n v="2"/>
    <s v="FIFA World Cup qualification"/>
    <s v="Libreville"/>
    <s v="Gabon"/>
    <b v="0"/>
    <n v="2004"/>
    <n v="7770219008"/>
    <n v="26997977896"/>
    <x v="0"/>
    <n v="0"/>
    <x v="1"/>
  </r>
  <r>
    <x v="2851"/>
    <x v="1372"/>
    <x v="35"/>
    <s v="Malawi"/>
    <s v="Guinea"/>
    <n v="1"/>
    <n v="1"/>
    <s v="FIFA World Cup qualification"/>
    <s v="Blantyre"/>
    <s v="Malawi"/>
    <b v="0"/>
    <n v="2004"/>
    <n v="5058726350"/>
    <n v="5300767960"/>
    <x v="1"/>
    <n v="0"/>
    <x v="1"/>
  </r>
  <r>
    <x v="2852"/>
    <x v="1372"/>
    <x v="35"/>
    <s v="Nigeria"/>
    <s v="Algeria"/>
    <n v="1"/>
    <n v="0"/>
    <s v="FIFA World Cup qualification"/>
    <s v="Abuja"/>
    <s v="Nigeria"/>
    <b v="0"/>
    <n v="2004"/>
    <n v="135764731645"/>
    <n v="91913680985"/>
    <x v="1"/>
    <n v="1"/>
    <x v="2"/>
  </r>
  <r>
    <x v="2853"/>
    <x v="1372"/>
    <x v="35"/>
    <s v="Rwanda"/>
    <s v="Zimbabwe"/>
    <n v="0"/>
    <n v="2"/>
    <s v="FIFA World Cup qualification"/>
    <s v="Kigali"/>
    <s v="Rwanda"/>
    <b v="0"/>
    <n v="2004"/>
    <n v="2376496067"/>
    <n v="5808500000"/>
    <x v="0"/>
    <n v="1"/>
    <x v="2"/>
  </r>
  <r>
    <x v="2854"/>
    <x v="1372"/>
    <x v="35"/>
    <s v="Senegal"/>
    <s v="Zambia"/>
    <n v="1"/>
    <n v="0"/>
    <s v="FIFA World Cup qualification"/>
    <s v="Dakar"/>
    <s v="Senegal"/>
    <b v="0"/>
    <n v="2004"/>
    <n v="10076816666"/>
    <n v="6221110219"/>
    <x v="1"/>
    <n v="1"/>
    <x v="2"/>
  </r>
  <r>
    <x v="2855"/>
    <x v="1372"/>
    <x v="35"/>
    <s v="South Africa"/>
    <s v="Burkina Faso"/>
    <n v="2"/>
    <n v="0"/>
    <s v="FIFA World Cup qualification"/>
    <s v="Johannesburg"/>
    <s v="South Africa"/>
    <b v="0"/>
    <n v="2004"/>
    <n v="255806908594"/>
    <n v="5451688537"/>
    <x v="0"/>
    <n v="1"/>
    <x v="2"/>
  </r>
  <r>
    <x v="2856"/>
    <x v="1372"/>
    <x v="35"/>
    <s v="Sudan"/>
    <s v="Libya"/>
    <n v="0"/>
    <n v="1"/>
    <s v="FIFA World Cup qualification"/>
    <s v="Khartoum"/>
    <s v="Sudan"/>
    <b v="0"/>
    <n v="2004"/>
    <n v="26646007250"/>
    <n v="33122307692"/>
    <x v="1"/>
    <n v="1"/>
    <x v="2"/>
  </r>
  <r>
    <x v="2857"/>
    <x v="1372"/>
    <x v="35"/>
    <s v="Uganda"/>
    <s v="Ghana"/>
    <n v="1"/>
    <n v="1"/>
    <s v="FIFA World Cup qualification"/>
    <s v="Kampala"/>
    <s v="Uganda"/>
    <b v="0"/>
    <n v="2004"/>
    <n v="7939487547"/>
    <n v="8881417906"/>
    <x v="1"/>
    <n v="0"/>
    <x v="1"/>
  </r>
  <r>
    <x v="2858"/>
    <x v="1373"/>
    <x v="35"/>
    <s v="Benin"/>
    <s v="Egypt"/>
    <n v="3"/>
    <n v="3"/>
    <s v="FIFA World Cup qualification"/>
    <s v="Cotonou"/>
    <s v="Benin"/>
    <b v="0"/>
    <n v="2004"/>
    <n v="6190270380"/>
    <n v="78782467532"/>
    <x v="0"/>
    <n v="0"/>
    <x v="1"/>
  </r>
  <r>
    <x v="2859"/>
    <x v="1373"/>
    <x v="35"/>
    <s v="Liberia"/>
    <s v="Togo"/>
    <n v="0"/>
    <n v="0"/>
    <s v="FIFA World Cup qualification"/>
    <s v="Paynesville"/>
    <s v="Liberia"/>
    <b v="0"/>
    <n v="2004"/>
    <n v="897000000"/>
    <n v="3191561508"/>
    <x v="0"/>
    <n v="0"/>
    <x v="1"/>
  </r>
  <r>
    <x v="2860"/>
    <x v="1374"/>
    <x v="35"/>
    <s v="Canada"/>
    <s v="Guatemala"/>
    <n v="0"/>
    <n v="2"/>
    <s v="FIFA World Cup qualification"/>
    <s v="Burnaby"/>
    <s v="Canada"/>
    <b v="0"/>
    <n v="2004"/>
    <n v="1026690238278"/>
    <n v="23577298094"/>
    <x v="0"/>
    <n v="-1"/>
    <x v="0"/>
  </r>
  <r>
    <x v="2861"/>
    <x v="1374"/>
    <x v="35"/>
    <s v="Costa Rica"/>
    <s v="Honduras"/>
    <n v="2"/>
    <n v="5"/>
    <s v="FIFA World Cup qualification"/>
    <s v="Alajuela"/>
    <s v="Costa Rica"/>
    <b v="0"/>
    <n v="2004"/>
    <n v="18610594846"/>
    <n v="8869299234"/>
    <x v="0"/>
    <n v="-1"/>
    <x v="0"/>
  </r>
  <r>
    <x v="2862"/>
    <x v="1374"/>
    <x v="35"/>
    <s v="El Salvador"/>
    <s v="Panama"/>
    <n v="2"/>
    <n v="1"/>
    <s v="FIFA World Cup qualification"/>
    <s v="San Salvador"/>
    <s v="El Salvador"/>
    <b v="0"/>
    <n v="2004"/>
    <n v="13724810900"/>
    <n v="15100203361"/>
    <x v="1"/>
    <n v="-1"/>
    <x v="0"/>
  </r>
  <r>
    <x v="2863"/>
    <x v="1374"/>
    <x v="35"/>
    <s v="Jamaica"/>
    <s v="United States"/>
    <n v="1"/>
    <n v="1"/>
    <s v="FIFA World Cup qualification"/>
    <s v="Kingston"/>
    <s v="Jamaica"/>
    <b v="0"/>
    <n v="2004"/>
    <n v="10174664853"/>
    <n v="12217193198000"/>
    <x v="0"/>
    <n v="0"/>
    <x v="1"/>
  </r>
  <r>
    <x v="2864"/>
    <x v="1374"/>
    <x v="35"/>
    <s v="Liechtenstein"/>
    <s v="Estonia"/>
    <n v="1"/>
    <n v="2"/>
    <s v="FIFA World Cup qualification"/>
    <s v="Vaduz"/>
    <s v="Liechtenstein"/>
    <b v="0"/>
    <n v="2004"/>
    <n v="3454373797"/>
    <n v="12148595031"/>
    <x v="0"/>
    <n v="1"/>
    <x v="2"/>
  </r>
  <r>
    <x v="2865"/>
    <x v="1374"/>
    <x v="35"/>
    <s v="Romania"/>
    <s v="Finland"/>
    <n v="2"/>
    <n v="1"/>
    <s v="FIFA World Cup qualification"/>
    <s v="Bucharest"/>
    <s v="Romania"/>
    <b v="0"/>
    <n v="2004"/>
    <n v="74973656851"/>
    <n v="197458297639"/>
    <x v="0"/>
    <n v="-1"/>
    <x v="0"/>
  </r>
  <r>
    <x v="2866"/>
    <x v="1374"/>
    <x v="35"/>
    <s v="North Macedonia"/>
    <s v="Armenia"/>
    <n v="3"/>
    <n v="0"/>
    <s v="FIFA World Cup qualification"/>
    <s v="Skopje"/>
    <s v="North Macedonia"/>
    <b v="0"/>
    <n v="2004"/>
    <n v="5682784471"/>
    <n v="3576615240"/>
    <x v="1"/>
    <n v="1"/>
    <x v="2"/>
  </r>
  <r>
    <x v="2867"/>
    <x v="1375"/>
    <x v="35"/>
    <s v="Libya"/>
    <s v="Benin"/>
    <n v="4"/>
    <n v="1"/>
    <s v="FIFA World Cup qualification"/>
    <s v="Tripoli"/>
    <s v="Libya"/>
    <b v="0"/>
    <n v="2004"/>
    <n v="33122307692"/>
    <n v="6190270380"/>
    <x v="0"/>
    <n v="1"/>
    <x v="2"/>
  </r>
  <r>
    <x v="2868"/>
    <x v="1376"/>
    <x v="35"/>
    <s v="Albania"/>
    <s v="Greece"/>
    <n v="2"/>
    <n v="1"/>
    <s v="FIFA World Cup qualification"/>
    <s v="Tirana"/>
    <s v="Albania"/>
    <b v="0"/>
    <n v="2004"/>
    <n v="7406645793"/>
    <n v="234979615898"/>
    <x v="0"/>
    <n v="-1"/>
    <x v="0"/>
  </r>
  <r>
    <x v="2869"/>
    <x v="1376"/>
    <x v="35"/>
    <s v="Austria"/>
    <s v="England"/>
    <n v="2"/>
    <n v="2"/>
    <s v="FIFA World Cup qualification"/>
    <s v="Vienna"/>
    <s v="Austria"/>
    <b v="0"/>
    <n v="2004"/>
    <n v="299210411454"/>
    <n v="2429774807762"/>
    <x v="0"/>
    <n v="0"/>
    <x v="1"/>
  </r>
  <r>
    <x v="2870"/>
    <x v="1376"/>
    <x v="35"/>
    <s v="Belgium"/>
    <s v="Lithuania"/>
    <n v="1"/>
    <n v="1"/>
    <s v="FIFA World Cup qualification"/>
    <s v="Charleroi"/>
    <s v="Belgium"/>
    <b v="0"/>
    <n v="2004"/>
    <n v="369214712443"/>
    <n v="22743164431"/>
    <x v="0"/>
    <n v="0"/>
    <x v="1"/>
  </r>
  <r>
    <x v="2871"/>
    <x v="1376"/>
    <x v="35"/>
    <s v="Burkina Faso"/>
    <s v="Uganda"/>
    <n v="2"/>
    <n v="0"/>
    <s v="FIFA World Cup qualification"/>
    <s v="Ouagadougou"/>
    <s v="Burkina Faso"/>
    <b v="0"/>
    <n v="2004"/>
    <n v="5451688537"/>
    <n v="7939487547"/>
    <x v="1"/>
    <n v="-1"/>
    <x v="0"/>
  </r>
  <r>
    <x v="2872"/>
    <x v="1376"/>
    <x v="35"/>
    <s v="Canada"/>
    <s v="Honduras"/>
    <n v="1"/>
    <n v="1"/>
    <s v="FIFA World Cup qualification"/>
    <s v="Edmonton"/>
    <s v="Canada"/>
    <b v="0"/>
    <n v="2004"/>
    <n v="1026690238278"/>
    <n v="8869299234"/>
    <x v="0"/>
    <n v="0"/>
    <x v="1"/>
  </r>
  <r>
    <x v="2873"/>
    <x v="1376"/>
    <x v="35"/>
    <s v="Croatia"/>
    <s v="Hungary"/>
    <n v="3"/>
    <n v="0"/>
    <s v="FIFA World Cup qualification"/>
    <s v="Zagreb"/>
    <s v="Croatia"/>
    <b v="0"/>
    <n v="2004"/>
    <n v="41836292157"/>
    <n v="104015363080"/>
    <x v="0"/>
    <n v="-1"/>
    <x v="0"/>
  </r>
  <r>
    <x v="2874"/>
    <x v="1376"/>
    <x v="35"/>
    <s v="Denmark"/>
    <s v="Ukraine"/>
    <n v="1"/>
    <n v="1"/>
    <s v="FIFA World Cup qualification"/>
    <s v="Copenhagen"/>
    <s v="Denmark"/>
    <b v="0"/>
    <n v="2004"/>
    <n v="251986155630"/>
    <n v="67220154164"/>
    <x v="0"/>
    <n v="0"/>
    <x v="1"/>
  </r>
  <r>
    <x v="2875"/>
    <x v="1376"/>
    <x v="35"/>
    <s v="Estonia"/>
    <s v="Luxembourg"/>
    <n v="4"/>
    <n v="0"/>
    <s v="FIFA World Cup qualification"/>
    <s v="Tallinn"/>
    <s v="Estonia"/>
    <b v="0"/>
    <n v="2004"/>
    <n v="12148595031"/>
    <n v="35064843792"/>
    <x v="0"/>
    <n v="-1"/>
    <x v="0"/>
  </r>
  <r>
    <x v="2876"/>
    <x v="1376"/>
    <x v="35"/>
    <s v="Finland"/>
    <s v="Andorra"/>
    <n v="3"/>
    <n v="0"/>
    <s v="FIFA World Cup qualification"/>
    <s v="Tampere"/>
    <s v="Finland"/>
    <b v="0"/>
    <n v="2004"/>
    <n v="197458297639"/>
    <n v="2900244053"/>
    <x v="0"/>
    <n v="1"/>
    <x v="2"/>
  </r>
  <r>
    <x v="2877"/>
    <x v="1376"/>
    <x v="35"/>
    <s v="France"/>
    <s v="Israel"/>
    <n v="0"/>
    <n v="0"/>
    <s v="FIFA World Cup qualification"/>
    <s v="Saint-Denis"/>
    <s v="France"/>
    <b v="0"/>
    <n v="2004"/>
    <n v="2109792297237"/>
    <n v="140047984605"/>
    <x v="0"/>
    <n v="0"/>
    <x v="1"/>
  </r>
  <r>
    <x v="2878"/>
    <x v="1376"/>
    <x v="35"/>
    <s v="Iceland"/>
    <s v="Bulgaria"/>
    <n v="1"/>
    <n v="3"/>
    <s v="FIFA World Cup qualification"/>
    <s v="Reykjav√≠k"/>
    <s v="Iceland"/>
    <b v="0"/>
    <n v="2004"/>
    <n v="13963943244"/>
    <n v="26157743368"/>
    <x v="1"/>
    <n v="1"/>
    <x v="2"/>
  </r>
  <r>
    <x v="2879"/>
    <x v="1376"/>
    <x v="35"/>
    <s v="Italy"/>
    <s v="Norway"/>
    <n v="2"/>
    <n v="1"/>
    <s v="FIFA World Cup qualification"/>
    <s v="Palermo"/>
    <s v="Italy"/>
    <b v="0"/>
    <n v="2004"/>
    <n v="1812808753294"/>
    <n v="265268662473"/>
    <x v="0"/>
    <n v="1"/>
    <x v="2"/>
  </r>
  <r>
    <x v="2880"/>
    <x v="1376"/>
    <x v="35"/>
    <s v="Jamaica"/>
    <s v="Panama"/>
    <n v="1"/>
    <n v="2"/>
    <s v="FIFA World Cup qualification"/>
    <s v="Kingston"/>
    <s v="Jamaica"/>
    <b v="0"/>
    <n v="2004"/>
    <n v="10174664853"/>
    <n v="15100203361"/>
    <x v="1"/>
    <n v="1"/>
    <x v="2"/>
  </r>
  <r>
    <x v="2881"/>
    <x v="1376"/>
    <x v="35"/>
    <s v="Kenya"/>
    <s v="Malawi"/>
    <n v="3"/>
    <n v="2"/>
    <s v="FIFA World Cup qualification"/>
    <s v="Nairobi"/>
    <s v="Kenya"/>
    <b v="0"/>
    <n v="2004"/>
    <n v="16095337093"/>
    <n v="5058726350"/>
    <x v="0"/>
    <n v="1"/>
    <x v="2"/>
  </r>
  <r>
    <x v="2882"/>
    <x v="1376"/>
    <x v="35"/>
    <s v="Latvia"/>
    <s v="Portugal"/>
    <n v="0"/>
    <n v="2"/>
    <s v="FIFA World Cup qualification"/>
    <s v="Riga"/>
    <s v="Latvia"/>
    <b v="0"/>
    <n v="2004"/>
    <n v="13827070378"/>
    <n v="189382122532"/>
    <x v="0"/>
    <n v="1"/>
    <x v="2"/>
  </r>
  <r>
    <x v="2883"/>
    <x v="1376"/>
    <x v="35"/>
    <s v="Malta"/>
    <s v="Sweden"/>
    <n v="0"/>
    <n v="7"/>
    <s v="FIFA World Cup qualification"/>
    <s v="Attard"/>
    <s v="Malta"/>
    <b v="0"/>
    <n v="2004"/>
    <n v="6104141520"/>
    <n v="384545442175"/>
    <x v="0"/>
    <n v="1"/>
    <x v="2"/>
  </r>
  <r>
    <x v="2884"/>
    <x v="1376"/>
    <x v="35"/>
    <s v="Morocco"/>
    <s v="Tunisia"/>
    <n v="1"/>
    <n v="1"/>
    <s v="FIFA World Cup qualification"/>
    <s v="Rabat"/>
    <s v="Morocco"/>
    <b v="0"/>
    <n v="2004"/>
    <n v="66114145451"/>
    <n v="31183885241"/>
    <x v="0"/>
    <n v="0"/>
    <x v="1"/>
  </r>
  <r>
    <x v="2885"/>
    <x v="1376"/>
    <x v="35"/>
    <s v="Peru"/>
    <s v="Argentina"/>
    <n v="1"/>
    <n v="3"/>
    <s v="FIFA World Cup qualification"/>
    <s v="Lima"/>
    <s v="Peru"/>
    <b v="0"/>
    <n v="2004"/>
    <n v="66768703497"/>
    <n v="164657930452"/>
    <x v="0"/>
    <n v="1"/>
    <x v="2"/>
  </r>
  <r>
    <x v="2886"/>
    <x v="1376"/>
    <x v="35"/>
    <s v="Romania"/>
    <s v="North Macedonia"/>
    <n v="2"/>
    <n v="1"/>
    <s v="FIFA World Cup qualification"/>
    <s v="Craiova"/>
    <s v="Romania"/>
    <b v="0"/>
    <n v="2004"/>
    <n v="74973656851"/>
    <n v="5682784471"/>
    <x v="0"/>
    <n v="1"/>
    <x v="2"/>
  </r>
  <r>
    <x v="2887"/>
    <x v="1376"/>
    <x v="35"/>
    <s v="San Marino"/>
    <s v="Serbia"/>
    <n v="0"/>
    <n v="3"/>
    <s v="FIFA World Cup qualification"/>
    <s v="Serravalle"/>
    <s v="San Marino"/>
    <b v="0"/>
    <n v="2004"/>
    <n v="1715340542"/>
    <n v="26845632341"/>
    <x v="0"/>
    <n v="1"/>
    <x v="2"/>
  </r>
  <r>
    <x v="2888"/>
    <x v="1376"/>
    <x v="35"/>
    <s v="Slovenia"/>
    <s v="Moldova"/>
    <n v="3"/>
    <n v="0"/>
    <s v="FIFA World Cup qualification"/>
    <s v="Celje"/>
    <s v="Slovenia"/>
    <b v="0"/>
    <n v="2004"/>
    <n v="34156553313"/>
    <n v="2598249555"/>
    <x v="0"/>
    <n v="1"/>
    <x v="2"/>
  </r>
  <r>
    <x v="2889"/>
    <x v="1376"/>
    <x v="35"/>
    <s v="Switzerland"/>
    <s v="Faroe Islands"/>
    <n v="6"/>
    <n v="0"/>
    <s v="FIFA World Cup qualification"/>
    <s v="Basel"/>
    <s v="Switzerland"/>
    <b v="0"/>
    <n v="2004"/>
    <n v="403912891033"/>
    <n v="1724770770"/>
    <x v="0"/>
    <n v="1"/>
    <x v="2"/>
  </r>
  <r>
    <x v="2890"/>
    <x v="1376"/>
    <x v="35"/>
    <s v="United States"/>
    <s v="El Salvador"/>
    <n v="2"/>
    <n v="0"/>
    <s v="FIFA World Cup qualification"/>
    <s v="Foxborough"/>
    <s v="United States"/>
    <b v="0"/>
    <n v="2004"/>
    <n v="12217193198000"/>
    <n v="13724810900"/>
    <x v="0"/>
    <n v="1"/>
    <x v="2"/>
  </r>
  <r>
    <x v="2891"/>
    <x v="1376"/>
    <x v="35"/>
    <s v="Zambia"/>
    <s v="Liberia"/>
    <n v="1"/>
    <n v="0"/>
    <s v="FIFA World Cup qualification"/>
    <s v="Lusaka"/>
    <s v="Zambia"/>
    <b v="0"/>
    <n v="2004"/>
    <n v="6221110219"/>
    <n v="897000000"/>
    <x v="0"/>
    <n v="1"/>
    <x v="2"/>
  </r>
  <r>
    <x v="2892"/>
    <x v="1377"/>
    <x v="35"/>
    <s v="Algeria"/>
    <s v="Gabon"/>
    <n v="0"/>
    <n v="3"/>
    <s v="FIFA World Cup qualification"/>
    <s v="Annaba"/>
    <s v="Algeria"/>
    <b v="0"/>
    <n v="2004"/>
    <n v="91913680985"/>
    <n v="7770219008"/>
    <x v="0"/>
    <n v="-1"/>
    <x v="0"/>
  </r>
  <r>
    <x v="2893"/>
    <x v="1377"/>
    <x v="35"/>
    <s v="Angola"/>
    <s v="Rwanda"/>
    <n v="1"/>
    <n v="0"/>
    <s v="FIFA World Cup qualification"/>
    <s v="Luanda"/>
    <s v="Angola"/>
    <b v="0"/>
    <n v="2004"/>
    <n v="26997977896"/>
    <n v="2376496067"/>
    <x v="0"/>
    <n v="1"/>
    <x v="2"/>
  </r>
  <r>
    <x v="2894"/>
    <x v="1377"/>
    <x v="35"/>
    <s v="Brazil"/>
    <s v="Bolivia"/>
    <n v="3"/>
    <n v="1"/>
    <s v="FIFA World Cup qualification"/>
    <s v="S√£o Paulo"/>
    <s v="Brazil"/>
    <b v="0"/>
    <n v="2004"/>
    <n v="669289321944"/>
    <n v="8773451751"/>
    <x v="0"/>
    <n v="1"/>
    <x v="2"/>
  </r>
  <r>
    <x v="2895"/>
    <x v="1377"/>
    <x v="35"/>
    <s v="Chile"/>
    <s v="Colombia"/>
    <n v="0"/>
    <n v="0"/>
    <s v="FIFA World Cup qualification"/>
    <s v="Santiago"/>
    <s v="Chile"/>
    <b v="0"/>
    <n v="2004"/>
    <n v="99075985773"/>
    <n v="117092416666"/>
    <x v="1"/>
    <n v="0"/>
    <x v="1"/>
  </r>
  <r>
    <x v="2896"/>
    <x v="1377"/>
    <x v="35"/>
    <s v="Egypt"/>
    <s v="Cameroon"/>
    <n v="3"/>
    <n v="2"/>
    <s v="FIFA World Cup qualification"/>
    <s v="Cairo"/>
    <s v="Egypt"/>
    <b v="0"/>
    <n v="2004"/>
    <n v="78782467532"/>
    <n v="18826214135"/>
    <x v="0"/>
    <n v="1"/>
    <x v="2"/>
  </r>
  <r>
    <x v="2897"/>
    <x v="1377"/>
    <x v="35"/>
    <s v="Guatemala"/>
    <s v="Costa Rica"/>
    <n v="2"/>
    <n v="1"/>
    <s v="FIFA World Cup qualification"/>
    <s v="Guatemala City"/>
    <s v="Guatemala"/>
    <b v="0"/>
    <n v="2004"/>
    <n v="23577298094"/>
    <n v="18610594846"/>
    <x v="1"/>
    <n v="1"/>
    <x v="2"/>
  </r>
  <r>
    <x v="2898"/>
    <x v="1377"/>
    <x v="35"/>
    <s v="Guinea"/>
    <s v="Botswana"/>
    <n v="4"/>
    <n v="0"/>
    <s v="FIFA World Cup qualification"/>
    <s v="Conakry"/>
    <s v="Guinea"/>
    <b v="0"/>
    <n v="2004"/>
    <n v="5300767960"/>
    <n v="8957467706"/>
    <x v="1"/>
    <n v="-1"/>
    <x v="0"/>
  </r>
  <r>
    <x v="2899"/>
    <x v="1377"/>
    <x v="35"/>
    <s v="Mali"/>
    <s v="Senegal"/>
    <n v="2"/>
    <n v="2"/>
    <s v="FIFA World Cup qualification"/>
    <s v="Bamako"/>
    <s v="Mali"/>
    <b v="0"/>
    <n v="2004"/>
    <n v="6485774930"/>
    <n v="10076816666"/>
    <x v="1"/>
    <n v="0"/>
    <x v="1"/>
  </r>
  <r>
    <x v="2900"/>
    <x v="1377"/>
    <x v="35"/>
    <s v="Paraguay"/>
    <s v="Venezuela"/>
    <n v="1"/>
    <n v="0"/>
    <s v="FIFA World Cup qualification"/>
    <s v="Asunci√≥n"/>
    <s v="Paraguay"/>
    <b v="0"/>
    <n v="2004"/>
    <n v="9624440836"/>
    <n v="112451400424"/>
    <x v="0"/>
    <n v="-1"/>
    <x v="0"/>
  </r>
  <r>
    <x v="2901"/>
    <x v="1377"/>
    <x v="35"/>
    <s v="Uruguay"/>
    <s v="Ecuador"/>
    <n v="1"/>
    <n v="0"/>
    <s v="FIFA World Cup qualification"/>
    <s v="Montevideo"/>
    <s v="Uruguay"/>
    <b v="0"/>
    <n v="2004"/>
    <n v="13686329890"/>
    <n v="35194947000"/>
    <x v="0"/>
    <n v="-1"/>
    <x v="0"/>
  </r>
  <r>
    <x v="2902"/>
    <x v="1377"/>
    <x v="35"/>
    <s v="Zimbabwe"/>
    <s v="Nigeria"/>
    <n v="0"/>
    <n v="3"/>
    <s v="FIFA World Cup qualification"/>
    <s v="Harare"/>
    <s v="Zimbabwe"/>
    <b v="0"/>
    <n v="2004"/>
    <n v="5808500000"/>
    <n v="135764731645"/>
    <x v="0"/>
    <n v="1"/>
    <x v="2"/>
  </r>
  <r>
    <x v="2903"/>
    <x v="1378"/>
    <x v="35"/>
    <s v="Andorra"/>
    <s v="Romania"/>
    <n v="1"/>
    <n v="5"/>
    <s v="FIFA World Cup qualification"/>
    <s v="Sant Juli√† de L√≤ria"/>
    <s v="Andorra"/>
    <b v="0"/>
    <n v="2004"/>
    <n v="2900244053"/>
    <n v="74973656851"/>
    <x v="0"/>
    <n v="1"/>
    <x v="2"/>
  </r>
  <r>
    <x v="2904"/>
    <x v="1378"/>
    <x v="35"/>
    <s v="Armenia"/>
    <s v="Finland"/>
    <n v="0"/>
    <n v="2"/>
    <s v="FIFA World Cup qualification"/>
    <s v="Yerevan"/>
    <s v="Armenia"/>
    <b v="0"/>
    <n v="2004"/>
    <n v="3576615240"/>
    <n v="197458297639"/>
    <x v="0"/>
    <n v="1"/>
    <x v="2"/>
  </r>
  <r>
    <x v="2905"/>
    <x v="1378"/>
    <x v="35"/>
    <s v="Austria"/>
    <s v="Azerbaijan"/>
    <n v="2"/>
    <n v="0"/>
    <s v="FIFA World Cup qualification"/>
    <s v="Vienna"/>
    <s v="Austria"/>
    <b v="0"/>
    <n v="2004"/>
    <n v="299210411454"/>
    <n v="8680405740"/>
    <x v="0"/>
    <n v="1"/>
    <x v="2"/>
  </r>
  <r>
    <x v="2906"/>
    <x v="1378"/>
    <x v="35"/>
    <s v="Bosnia and Herzegovina"/>
    <s v="Spain"/>
    <n v="1"/>
    <n v="1"/>
    <s v="FIFA World Cup qualification"/>
    <s v="Zenica"/>
    <s v="Bosnia and Herzegovina"/>
    <b v="0"/>
    <n v="2004"/>
    <n v="10156541220"/>
    <n v="1069829382514"/>
    <x v="0"/>
    <n v="0"/>
    <x v="1"/>
  </r>
  <r>
    <x v="2907"/>
    <x v="1378"/>
    <x v="35"/>
    <s v="Costa Rica"/>
    <s v="Canada"/>
    <n v="1"/>
    <n v="0"/>
    <s v="FIFA World Cup qualification"/>
    <s v="San Jos√©"/>
    <s v="Costa Rica"/>
    <b v="0"/>
    <n v="2004"/>
    <n v="18610594846"/>
    <n v="1026690238278"/>
    <x v="0"/>
    <n v="-1"/>
    <x v="0"/>
  </r>
  <r>
    <x v="2908"/>
    <x v="1378"/>
    <x v="35"/>
    <s v="El Salvador"/>
    <s v="Jamaica"/>
    <n v="0"/>
    <n v="3"/>
    <s v="FIFA World Cup qualification"/>
    <s v="San Salvador"/>
    <s v="El Salvador"/>
    <b v="0"/>
    <n v="2004"/>
    <n v="13724810900"/>
    <n v="10174664853"/>
    <x v="1"/>
    <n v="-1"/>
    <x v="0"/>
  </r>
  <r>
    <x v="2909"/>
    <x v="1378"/>
    <x v="35"/>
    <s v="Faroe Islands"/>
    <s v="France"/>
    <n v="0"/>
    <n v="2"/>
    <s v="FIFA World Cup qualification"/>
    <s v="T√≥rshavn"/>
    <s v="Faroe Islands"/>
    <b v="0"/>
    <n v="2004"/>
    <n v="1724770770"/>
    <n v="2109792297237"/>
    <x v="0"/>
    <n v="1"/>
    <x v="2"/>
  </r>
  <r>
    <x v="2910"/>
    <x v="1378"/>
    <x v="35"/>
    <s v="Georgia"/>
    <s v="Albania"/>
    <n v="2"/>
    <n v="0"/>
    <s v="FIFA World Cup qualification"/>
    <s v="Tbilisi"/>
    <s v="Georgia"/>
    <b v="0"/>
    <n v="2004"/>
    <n v="5125365191"/>
    <n v="7406645793"/>
    <x v="1"/>
    <n v="-1"/>
    <x v="0"/>
  </r>
  <r>
    <x v="2911"/>
    <x v="1378"/>
    <x v="35"/>
    <s v="Honduras"/>
    <s v="Guatemala"/>
    <n v="2"/>
    <n v="2"/>
    <s v="FIFA World Cup qualification"/>
    <s v="San Pedro Sula"/>
    <s v="Honduras"/>
    <b v="0"/>
    <n v="2004"/>
    <n v="8869299234"/>
    <n v="23577298094"/>
    <x v="0"/>
    <n v="0"/>
    <x v="1"/>
  </r>
  <r>
    <x v="2912"/>
    <x v="1378"/>
    <x v="35"/>
    <s v="Hungary"/>
    <s v="Iceland"/>
    <n v="3"/>
    <n v="2"/>
    <s v="FIFA World Cup qualification"/>
    <s v="Budapest"/>
    <s v="Hungary"/>
    <b v="0"/>
    <n v="2004"/>
    <n v="104015363080"/>
    <n v="13963943244"/>
    <x v="0"/>
    <n v="1"/>
    <x v="2"/>
  </r>
  <r>
    <x v="2913"/>
    <x v="1378"/>
    <x v="35"/>
    <s v="India"/>
    <s v="Japan"/>
    <n v="0"/>
    <n v="4"/>
    <s v="FIFA World Cup qualification"/>
    <s v="Calcutta"/>
    <s v="India"/>
    <b v="0"/>
    <n v="2004"/>
    <n v="709152728830"/>
    <n v="4893116005656"/>
    <x v="0"/>
    <n v="1"/>
    <x v="2"/>
  </r>
  <r>
    <x v="2914"/>
    <x v="1378"/>
    <x v="35"/>
    <s v="Israel"/>
    <s v="Cyprus"/>
    <n v="2"/>
    <n v="1"/>
    <s v="FIFA World Cup qualification"/>
    <s v="Ramat Gan"/>
    <s v="Israel"/>
    <b v="0"/>
    <n v="2004"/>
    <n v="140047984605"/>
    <n v="17320551250"/>
    <x v="0"/>
    <n v="1"/>
    <x v="2"/>
  </r>
  <r>
    <x v="2915"/>
    <x v="1378"/>
    <x v="35"/>
    <s v="Jordan"/>
    <s v="Iran"/>
    <n v="0"/>
    <n v="2"/>
    <s v="FIFA World Cup qualification"/>
    <s v="Amman"/>
    <s v="Jordan"/>
    <b v="0"/>
    <n v="2004"/>
    <n v="11411706629"/>
    <n v="187754571247"/>
    <x v="0"/>
    <n v="1"/>
    <x v="2"/>
  </r>
  <r>
    <x v="2916"/>
    <x v="1378"/>
    <x v="35"/>
    <s v="Kazakhstan"/>
    <s v="Ukraine"/>
    <n v="1"/>
    <n v="2"/>
    <s v="FIFA World Cup qualification"/>
    <s v="Almaty"/>
    <s v="Kazakhstan"/>
    <b v="0"/>
    <n v="2004"/>
    <n v="43151647002"/>
    <n v="67220154164"/>
    <x v="1"/>
    <n v="1"/>
    <x v="2"/>
  </r>
  <r>
    <x v="2917"/>
    <x v="1378"/>
    <x v="35"/>
    <s v="Lithuania"/>
    <s v="San Marino"/>
    <n v="4"/>
    <n v="0"/>
    <s v="FIFA World Cup qualification"/>
    <s v="Kaunas"/>
    <s v="Lithuania"/>
    <b v="0"/>
    <n v="2004"/>
    <n v="22743164431"/>
    <n v="1715340542"/>
    <x v="0"/>
    <n v="1"/>
    <x v="2"/>
  </r>
  <r>
    <x v="2918"/>
    <x v="1378"/>
    <x v="35"/>
    <s v="Luxembourg"/>
    <s v="Latvia"/>
    <n v="3"/>
    <n v="4"/>
    <s v="FIFA World Cup qualification"/>
    <s v="Luxembourg"/>
    <s v="Luxembourg"/>
    <b v="0"/>
    <n v="2004"/>
    <n v="35064843792"/>
    <n v="13827070378"/>
    <x v="0"/>
    <n v="-1"/>
    <x v="0"/>
  </r>
  <r>
    <x v="2919"/>
    <x v="1378"/>
    <x v="35"/>
    <s v="Maldives"/>
    <s v="Lebanon"/>
    <n v="2"/>
    <n v="5"/>
    <s v="FIFA World Cup qualification"/>
    <s v="Mal√©"/>
    <s v="Maldives"/>
    <b v="0"/>
    <n v="2004"/>
    <n v="1226829562"/>
    <n v="21159827992"/>
    <x v="0"/>
    <n v="1"/>
    <x v="2"/>
  </r>
  <r>
    <x v="2920"/>
    <x v="1378"/>
    <x v="35"/>
    <s v="Moldova"/>
    <s v="Italy"/>
    <n v="0"/>
    <n v="1"/>
    <s v="FIFA World Cup qualification"/>
    <s v="Chi»ôinƒÉu"/>
    <s v="Moldova"/>
    <b v="0"/>
    <n v="2004"/>
    <n v="2598249555"/>
    <n v="1812808753294"/>
    <x v="0"/>
    <n v="1"/>
    <x v="2"/>
  </r>
  <r>
    <x v="2921"/>
    <x v="1378"/>
    <x v="35"/>
    <s v="Norway"/>
    <s v="Belarus"/>
    <n v="1"/>
    <n v="1"/>
    <s v="FIFA World Cup qualification"/>
    <s v="Oslo"/>
    <s v="Norway"/>
    <b v="0"/>
    <n v="2004"/>
    <n v="265268662473"/>
    <n v="23141566292"/>
    <x v="0"/>
    <n v="0"/>
    <x v="1"/>
  </r>
  <r>
    <x v="2922"/>
    <x v="1378"/>
    <x v="35"/>
    <s v="Panama"/>
    <s v="United States"/>
    <n v="1"/>
    <n v="1"/>
    <s v="FIFA World Cup qualification"/>
    <s v="Panama City"/>
    <s v="Panama"/>
    <b v="0"/>
    <n v="2004"/>
    <n v="15100203361"/>
    <n v="12217193198000"/>
    <x v="0"/>
    <n v="0"/>
    <x v="1"/>
  </r>
  <r>
    <x v="2923"/>
    <x v="1378"/>
    <x v="35"/>
    <s v="Poland"/>
    <s v="England"/>
    <n v="1"/>
    <n v="2"/>
    <s v="FIFA World Cup qualification"/>
    <s v="Chorz√≥w"/>
    <s v="Poland"/>
    <b v="0"/>
    <n v="2004"/>
    <n v="256268656145"/>
    <n v="2429774807762"/>
    <x v="0"/>
    <n v="1"/>
    <x v="2"/>
  </r>
  <r>
    <x v="2924"/>
    <x v="1378"/>
    <x v="35"/>
    <s v="Portugal"/>
    <s v="Estonia"/>
    <n v="4"/>
    <n v="0"/>
    <s v="FIFA World Cup qualification"/>
    <s v="Leiria"/>
    <s v="Portugal"/>
    <b v="0"/>
    <n v="2004"/>
    <n v="189382122532"/>
    <n v="12148595031"/>
    <x v="0"/>
    <n v="1"/>
    <x v="2"/>
  </r>
  <r>
    <x v="2925"/>
    <x v="1378"/>
    <x v="35"/>
    <s v="Singapore"/>
    <s v="Oman"/>
    <n v="0"/>
    <n v="2"/>
    <s v="FIFA World Cup qualification"/>
    <s v="Singapore"/>
    <s v="Singapore"/>
    <b v="0"/>
    <n v="2004"/>
    <n v="115033593101"/>
    <n v="28378933680"/>
    <x v="0"/>
    <n v="-1"/>
    <x v="0"/>
  </r>
  <r>
    <x v="2926"/>
    <x v="1378"/>
    <x v="35"/>
    <s v="Sri Lanka"/>
    <s v="Indonesia"/>
    <n v="2"/>
    <n v="2"/>
    <s v="FIFA World Cup qualification"/>
    <s v="Colombo"/>
    <s v="Sri Lanka"/>
    <b v="0"/>
    <n v="2004"/>
    <n v="20662525941"/>
    <n v="256836875295"/>
    <x v="0"/>
    <n v="0"/>
    <x v="1"/>
  </r>
  <r>
    <x v="2927"/>
    <x v="1378"/>
    <x v="35"/>
    <s v="Sweden"/>
    <s v="Croatia"/>
    <n v="0"/>
    <n v="1"/>
    <s v="FIFA World Cup qualification"/>
    <s v="Gothenburg"/>
    <s v="Sweden"/>
    <b v="0"/>
    <n v="2004"/>
    <n v="384545442175"/>
    <n v="41836292157"/>
    <x v="0"/>
    <n v="-1"/>
    <x v="0"/>
  </r>
  <r>
    <x v="2928"/>
    <x v="1378"/>
    <x v="35"/>
    <s v="Tajikistan"/>
    <s v="Syria"/>
    <n v="0"/>
    <n v="1"/>
    <s v="FIFA World Cup qualification"/>
    <s v="Dushanbe"/>
    <s v="Tajikistan"/>
    <b v="0"/>
    <n v="2004"/>
    <n v="2076176869"/>
    <n v="25086950495"/>
    <x v="0"/>
    <n v="1"/>
    <x v="2"/>
  </r>
  <r>
    <x v="2929"/>
    <x v="1378"/>
    <x v="35"/>
    <s v="Trinidad and Tobago"/>
    <s v="Mexico"/>
    <n v="1"/>
    <n v="3"/>
    <s v="FIFA World Cup qualification"/>
    <s v="Port of Spain"/>
    <s v="Trinidad and Tobago"/>
    <b v="0"/>
    <n v="2004"/>
    <n v="13280291989"/>
    <n v="819459227375"/>
    <x v="0"/>
    <n v="1"/>
    <x v="2"/>
  </r>
  <r>
    <x v="2930"/>
    <x v="1378"/>
    <x v="35"/>
    <s v="Turkmenistan"/>
    <s v="Saudi Arabia"/>
    <n v="0"/>
    <n v="1"/>
    <s v="FIFA World Cup qualification"/>
    <s v="Ashgabat"/>
    <s v="Turkmenistan"/>
    <b v="0"/>
    <n v="2004"/>
    <n v="6838351088"/>
    <n v="258742133333"/>
    <x v="0"/>
    <n v="1"/>
    <x v="2"/>
  </r>
  <r>
    <x v="2931"/>
    <x v="1378"/>
    <x v="35"/>
    <s v="Vietnam"/>
    <s v="South Korea"/>
    <n v="1"/>
    <n v="2"/>
    <s v="FIFA World Cup qualification"/>
    <s v="Ho Chi Minh City"/>
    <s v="Vietnam"/>
    <b v="0"/>
    <n v="2004"/>
    <n v="45427854693"/>
    <n v="823251107638"/>
    <x v="0"/>
    <n v="1"/>
    <x v="2"/>
  </r>
  <r>
    <x v="2932"/>
    <x v="1379"/>
    <x v="35"/>
    <s v="Libya"/>
    <s v="Egypt"/>
    <n v="2"/>
    <n v="1"/>
    <s v="FIFA World Cup qualification"/>
    <s v="Tripoli"/>
    <s v="Libya"/>
    <b v="0"/>
    <n v="2004"/>
    <n v="33122307692"/>
    <n v="78782467532"/>
    <x v="0"/>
    <n v="-1"/>
    <x v="0"/>
  </r>
  <r>
    <x v="2933"/>
    <x v="1380"/>
    <x v="35"/>
    <s v="Albania"/>
    <s v="Denmark"/>
    <n v="0"/>
    <n v="2"/>
    <s v="FIFA World Cup qualification"/>
    <s v="Tirana"/>
    <s v="Albania"/>
    <b v="0"/>
    <n v="2004"/>
    <n v="7406645793"/>
    <n v="251986155630"/>
    <x v="0"/>
    <n v="1"/>
    <x v="2"/>
  </r>
  <r>
    <x v="2934"/>
    <x v="1380"/>
    <x v="35"/>
    <s v="Argentina"/>
    <s v="Uruguay"/>
    <n v="4"/>
    <n v="2"/>
    <s v="FIFA World Cup qualification"/>
    <s v="Buenos Aires"/>
    <s v="Argentina"/>
    <b v="0"/>
    <n v="2004"/>
    <n v="164657930452"/>
    <n v="13686329890"/>
    <x v="0"/>
    <n v="1"/>
    <x v="2"/>
  </r>
  <r>
    <x v="2935"/>
    <x v="1380"/>
    <x v="35"/>
    <s v="Austria"/>
    <s v="Poland"/>
    <n v="1"/>
    <n v="3"/>
    <s v="FIFA World Cup qualification"/>
    <s v="Vienna"/>
    <s v="Austria"/>
    <b v="0"/>
    <n v="2004"/>
    <n v="299210411454"/>
    <n v="256268656145"/>
    <x v="1"/>
    <n v="-1"/>
    <x v="0"/>
  </r>
  <r>
    <x v="2936"/>
    <x v="1380"/>
    <x v="35"/>
    <s v="Belarus"/>
    <s v="Moldova"/>
    <n v="4"/>
    <n v="0"/>
    <s v="FIFA World Cup qualification"/>
    <s v="Minsk"/>
    <s v="Belarus"/>
    <b v="0"/>
    <n v="2004"/>
    <n v="23141566292"/>
    <n v="2598249555"/>
    <x v="0"/>
    <n v="1"/>
    <x v="2"/>
  </r>
  <r>
    <x v="2937"/>
    <x v="1380"/>
    <x v="35"/>
    <s v="Bolivia"/>
    <s v="Peru"/>
    <n v="1"/>
    <n v="0"/>
    <s v="FIFA World Cup qualification"/>
    <s v="La Paz"/>
    <s v="Bolivia"/>
    <b v="0"/>
    <n v="2004"/>
    <n v="8773451751"/>
    <n v="66768703497"/>
    <x v="0"/>
    <n v="-1"/>
    <x v="0"/>
  </r>
  <r>
    <x v="2938"/>
    <x v="1380"/>
    <x v="35"/>
    <s v="Bosnia and Herzegovina"/>
    <s v="Serbia"/>
    <n v="0"/>
    <n v="0"/>
    <s v="FIFA World Cup qualification"/>
    <s v="Sarajevo"/>
    <s v="Bosnia and Herzegovina"/>
    <b v="0"/>
    <n v="2004"/>
    <n v="10156541220"/>
    <n v="26845632341"/>
    <x v="0"/>
    <n v="0"/>
    <x v="1"/>
  </r>
  <r>
    <x v="2939"/>
    <x v="1380"/>
    <x v="35"/>
    <s v="Botswana"/>
    <s v="Kenya"/>
    <n v="2"/>
    <n v="1"/>
    <s v="FIFA World Cup qualification"/>
    <s v="Gaborone"/>
    <s v="Botswana"/>
    <b v="0"/>
    <n v="2004"/>
    <n v="8957467706"/>
    <n v="16095337093"/>
    <x v="1"/>
    <n v="-1"/>
    <x v="0"/>
  </r>
  <r>
    <x v="2940"/>
    <x v="1380"/>
    <x v="35"/>
    <s v="Colombia"/>
    <s v="Paraguay"/>
    <n v="1"/>
    <n v="1"/>
    <s v="FIFA World Cup qualification"/>
    <s v="Barranquilla"/>
    <s v="Colombia"/>
    <b v="0"/>
    <n v="2004"/>
    <n v="117092416666"/>
    <n v="9624440836"/>
    <x v="0"/>
    <n v="0"/>
    <x v="1"/>
  </r>
  <r>
    <x v="2941"/>
    <x v="1380"/>
    <x v="35"/>
    <s v="Costa Rica"/>
    <s v="Guatemala"/>
    <n v="5"/>
    <n v="0"/>
    <s v="FIFA World Cup qualification"/>
    <s v="San Jos√©"/>
    <s v="Costa Rica"/>
    <b v="0"/>
    <n v="2004"/>
    <n v="18610594846"/>
    <n v="23577298094"/>
    <x v="1"/>
    <n v="-1"/>
    <x v="0"/>
  </r>
  <r>
    <x v="2942"/>
    <x v="1380"/>
    <x v="35"/>
    <s v="Croatia"/>
    <s v="Bulgaria"/>
    <n v="2"/>
    <n v="2"/>
    <s v="FIFA World Cup qualification"/>
    <s v="Zagreb"/>
    <s v="Croatia"/>
    <b v="0"/>
    <n v="2004"/>
    <n v="41836292157"/>
    <n v="26157743368"/>
    <x v="1"/>
    <n v="0"/>
    <x v="1"/>
  </r>
  <r>
    <x v="2943"/>
    <x v="1380"/>
    <x v="35"/>
    <s v="Cyprus"/>
    <s v="Faroe Islands"/>
    <n v="2"/>
    <n v="2"/>
    <s v="FIFA World Cup qualification"/>
    <s v="Nicosia"/>
    <s v="Cyprus"/>
    <b v="0"/>
    <n v="2004"/>
    <n v="17320551250"/>
    <n v="1724770770"/>
    <x v="0"/>
    <n v="0"/>
    <x v="1"/>
  </r>
  <r>
    <x v="2944"/>
    <x v="1380"/>
    <x v="35"/>
    <s v="El Salvador"/>
    <s v="United States"/>
    <n v="0"/>
    <n v="2"/>
    <s v="FIFA World Cup qualification"/>
    <s v="San Salvador"/>
    <s v="El Salvador"/>
    <b v="0"/>
    <n v="2004"/>
    <n v="13724810900"/>
    <n v="12217193198000"/>
    <x v="0"/>
    <n v="1"/>
    <x v="2"/>
  </r>
  <r>
    <x v="2945"/>
    <x v="1380"/>
    <x v="35"/>
    <s v="Finland"/>
    <s v="Armenia"/>
    <n v="3"/>
    <n v="1"/>
    <s v="FIFA World Cup qualification"/>
    <s v="Tampere"/>
    <s v="Finland"/>
    <b v="0"/>
    <n v="2004"/>
    <n v="197458297639"/>
    <n v="3576615240"/>
    <x v="0"/>
    <n v="1"/>
    <x v="2"/>
  </r>
  <r>
    <x v="2946"/>
    <x v="1380"/>
    <x v="35"/>
    <s v="Gabon"/>
    <s v="Nigeria"/>
    <n v="1"/>
    <n v="1"/>
    <s v="FIFA World Cup qualification"/>
    <s v="Libreville"/>
    <s v="Gabon"/>
    <b v="0"/>
    <n v="2004"/>
    <n v="7770219008"/>
    <n v="135764731645"/>
    <x v="0"/>
    <n v="0"/>
    <x v="1"/>
  </r>
  <r>
    <x v="2947"/>
    <x v="1380"/>
    <x v="35"/>
    <s v="Honduras"/>
    <s v="Canada"/>
    <n v="1"/>
    <n v="1"/>
    <s v="FIFA World Cup qualification"/>
    <s v="San Pedro Sula"/>
    <s v="Honduras"/>
    <b v="0"/>
    <n v="2004"/>
    <n v="8869299234"/>
    <n v="1026690238278"/>
    <x v="0"/>
    <n v="0"/>
    <x v="1"/>
  </r>
  <r>
    <x v="2948"/>
    <x v="1380"/>
    <x v="35"/>
    <s v="Israel"/>
    <s v="Switzerland"/>
    <n v="2"/>
    <n v="2"/>
    <s v="FIFA World Cup qualification"/>
    <s v="Ramat Gan"/>
    <s v="Israel"/>
    <b v="0"/>
    <n v="2004"/>
    <n v="140047984605"/>
    <n v="403912891033"/>
    <x v="0"/>
    <n v="0"/>
    <x v="1"/>
  </r>
  <r>
    <x v="2949"/>
    <x v="1380"/>
    <x v="35"/>
    <s v="Liechtenstein"/>
    <s v="Portugal"/>
    <n v="2"/>
    <n v="2"/>
    <s v="FIFA World Cup qualification"/>
    <s v="Vaduz"/>
    <s v="Liechtenstein"/>
    <b v="0"/>
    <n v="2004"/>
    <n v="3454373797"/>
    <n v="189382122532"/>
    <x v="0"/>
    <n v="0"/>
    <x v="1"/>
  </r>
  <r>
    <x v="2950"/>
    <x v="1380"/>
    <x v="35"/>
    <s v="Luxembourg"/>
    <s v="Russia"/>
    <n v="0"/>
    <n v="4"/>
    <s v="FIFA World Cup qualification"/>
    <s v="Luxembourg"/>
    <s v="Luxembourg"/>
    <b v="0"/>
    <n v="2004"/>
    <n v="35064843792"/>
    <n v="591016690732"/>
    <x v="0"/>
    <n v="1"/>
    <x v="2"/>
  </r>
  <r>
    <x v="2951"/>
    <x v="1380"/>
    <x v="35"/>
    <s v="North Macedonia"/>
    <s v="Netherlands"/>
    <n v="2"/>
    <n v="2"/>
    <s v="FIFA World Cup qualification"/>
    <s v="Skopje"/>
    <s v="North Macedonia"/>
    <b v="0"/>
    <n v="2004"/>
    <n v="5682784471"/>
    <n v="661224886143"/>
    <x v="0"/>
    <n v="0"/>
    <x v="1"/>
  </r>
  <r>
    <x v="2952"/>
    <x v="1380"/>
    <x v="35"/>
    <s v="Malawi"/>
    <s v="Tunisia"/>
    <n v="2"/>
    <n v="2"/>
    <s v="FIFA World Cup qualification"/>
    <s v="Blantyre"/>
    <s v="Malawi"/>
    <b v="0"/>
    <n v="2004"/>
    <n v="5058726350"/>
    <n v="31183885241"/>
    <x v="0"/>
    <n v="0"/>
    <x v="1"/>
  </r>
  <r>
    <x v="2953"/>
    <x v="1380"/>
    <x v="35"/>
    <s v="Malta"/>
    <s v="Iceland"/>
    <n v="0"/>
    <n v="0"/>
    <s v="FIFA World Cup qualification"/>
    <s v="Attard"/>
    <s v="Malta"/>
    <b v="0"/>
    <n v="2004"/>
    <n v="6104141520"/>
    <n v="13963943244"/>
    <x v="0"/>
    <n v="0"/>
    <x v="1"/>
  </r>
  <r>
    <x v="2954"/>
    <x v="1380"/>
    <x v="35"/>
    <s v="Panama"/>
    <s v="Jamaica"/>
    <n v="1"/>
    <n v="1"/>
    <s v="FIFA World Cup qualification"/>
    <s v="Panama City"/>
    <s v="Panama"/>
    <b v="0"/>
    <n v="2004"/>
    <n v="15100203361"/>
    <n v="10174664853"/>
    <x v="1"/>
    <n v="0"/>
    <x v="1"/>
  </r>
  <r>
    <x v="2955"/>
    <x v="1380"/>
    <x v="35"/>
    <s v="Rwanda"/>
    <s v="Algeria"/>
    <n v="1"/>
    <n v="1"/>
    <s v="FIFA World Cup qualification"/>
    <s v="Kigali"/>
    <s v="Rwanda"/>
    <b v="0"/>
    <n v="2004"/>
    <n v="2376496067"/>
    <n v="91913680985"/>
    <x v="0"/>
    <n v="0"/>
    <x v="1"/>
  </r>
  <r>
    <x v="2956"/>
    <x v="1380"/>
    <x v="35"/>
    <s v="Slovenia"/>
    <s v="Italy"/>
    <n v="1"/>
    <n v="0"/>
    <s v="FIFA World Cup qualification"/>
    <s v="Celje"/>
    <s v="Slovenia"/>
    <b v="0"/>
    <n v="2004"/>
    <n v="34156553313"/>
    <n v="1812808753294"/>
    <x v="0"/>
    <n v="-1"/>
    <x v="0"/>
  </r>
  <r>
    <x v="2957"/>
    <x v="1380"/>
    <x v="35"/>
    <s v="Spain"/>
    <s v="Belgium"/>
    <n v="2"/>
    <n v="0"/>
    <s v="FIFA World Cup qualification"/>
    <s v="Santander"/>
    <s v="Spain"/>
    <b v="0"/>
    <n v="2004"/>
    <n v="1069829382514"/>
    <n v="369214712443"/>
    <x v="0"/>
    <n v="1"/>
    <x v="2"/>
  </r>
  <r>
    <x v="2958"/>
    <x v="1380"/>
    <x v="35"/>
    <s v="Sri Lanka"/>
    <s v="Turkmenistan"/>
    <n v="2"/>
    <n v="2"/>
    <s v="FIFA World Cup qualification"/>
    <s v="Colombo"/>
    <s v="Sri Lanka"/>
    <b v="0"/>
    <n v="2004"/>
    <n v="20662525941"/>
    <n v="6838351088"/>
    <x v="0"/>
    <n v="0"/>
    <x v="1"/>
  </r>
  <r>
    <x v="2959"/>
    <x v="1380"/>
    <x v="35"/>
    <s v="Sudan"/>
    <s v="Cameroon"/>
    <n v="1"/>
    <n v="1"/>
    <s v="FIFA World Cup qualification"/>
    <s v="Omdurman"/>
    <s v="Sudan"/>
    <b v="0"/>
    <n v="2004"/>
    <n v="26646007250"/>
    <n v="18826214135"/>
    <x v="1"/>
    <n v="0"/>
    <x v="1"/>
  </r>
  <r>
    <x v="2960"/>
    <x v="1380"/>
    <x v="35"/>
    <s v="Sweden"/>
    <s v="Hungary"/>
    <n v="3"/>
    <n v="0"/>
    <s v="FIFA World Cup qualification"/>
    <s v="Solna"/>
    <s v="Sweden"/>
    <b v="0"/>
    <n v="2004"/>
    <n v="384545442175"/>
    <n v="104015363080"/>
    <x v="0"/>
    <n v="1"/>
    <x v="2"/>
  </r>
  <r>
    <x v="2961"/>
    <x v="1380"/>
    <x v="35"/>
    <s v="Ukraine"/>
    <s v="Greece"/>
    <n v="1"/>
    <n v="1"/>
    <s v="FIFA World Cup qualification"/>
    <s v="Kyiv"/>
    <s v="Ukraine"/>
    <b v="0"/>
    <n v="2004"/>
    <n v="67220154164"/>
    <n v="234979615898"/>
    <x v="0"/>
    <n v="0"/>
    <x v="1"/>
  </r>
  <r>
    <x v="2962"/>
    <x v="1380"/>
    <x v="35"/>
    <s v="Venezuela"/>
    <s v="Brazil"/>
    <n v="2"/>
    <n v="5"/>
    <s v="FIFA World Cup qualification"/>
    <s v="Maracaibo"/>
    <s v="Venezuela"/>
    <b v="0"/>
    <n v="2004"/>
    <n v="112451400424"/>
    <n v="669289321944"/>
    <x v="0"/>
    <n v="1"/>
    <x v="2"/>
  </r>
  <r>
    <x v="2963"/>
    <x v="1381"/>
    <x v="35"/>
    <s v="Angola"/>
    <s v="Zimbabwe"/>
    <n v="1"/>
    <n v="0"/>
    <s v="FIFA World Cup qualification"/>
    <s v="Luanda"/>
    <s v="Angola"/>
    <b v="0"/>
    <n v="2004"/>
    <n v="26997977896"/>
    <n v="5808500000"/>
    <x v="0"/>
    <n v="1"/>
    <x v="2"/>
  </r>
  <r>
    <x v="2964"/>
    <x v="1381"/>
    <x v="35"/>
    <s v="Ecuador"/>
    <s v="Chile"/>
    <n v="2"/>
    <n v="0"/>
    <s v="FIFA World Cup qualification"/>
    <s v="Quito"/>
    <s v="Ecuador"/>
    <b v="0"/>
    <n v="2004"/>
    <n v="35194947000"/>
    <n v="99075985773"/>
    <x v="0"/>
    <n v="-1"/>
    <x v="0"/>
  </r>
  <r>
    <x v="2965"/>
    <x v="1381"/>
    <x v="35"/>
    <s v="Guinea"/>
    <s v="Morocco"/>
    <n v="1"/>
    <n v="1"/>
    <s v="FIFA World Cup qualification"/>
    <s v="Conakry"/>
    <s v="Guinea"/>
    <b v="0"/>
    <n v="2004"/>
    <n v="5300767960"/>
    <n v="66114145451"/>
    <x v="0"/>
    <n v="0"/>
    <x v="1"/>
  </r>
  <r>
    <x v="2966"/>
    <x v="1381"/>
    <x v="35"/>
    <s v="Liberia"/>
    <s v="Senegal"/>
    <n v="0"/>
    <n v="3"/>
    <s v="FIFA World Cup qualification"/>
    <s v="Paynesville"/>
    <s v="Liberia"/>
    <b v="0"/>
    <n v="2004"/>
    <n v="897000000"/>
    <n v="10076816666"/>
    <x v="0"/>
    <n v="1"/>
    <x v="2"/>
  </r>
  <r>
    <x v="2967"/>
    <x v="1381"/>
    <x v="35"/>
    <s v="Togo"/>
    <s v="Mali"/>
    <n v="1"/>
    <n v="0"/>
    <s v="FIFA World Cup qualification"/>
    <s v="Lom√©"/>
    <s v="Togo"/>
    <b v="0"/>
    <n v="2004"/>
    <n v="3191561508"/>
    <n v="6485774930"/>
    <x v="0"/>
    <n v="-1"/>
    <x v="0"/>
  </r>
  <r>
    <x v="2968"/>
    <x v="1381"/>
    <x v="35"/>
    <s v="Uganda"/>
    <s v="South Africa"/>
    <n v="0"/>
    <n v="1"/>
    <s v="FIFA World Cup qualification"/>
    <s v="Kampala"/>
    <s v="Uganda"/>
    <b v="0"/>
    <n v="2004"/>
    <n v="7939487547"/>
    <n v="255806908594"/>
    <x v="0"/>
    <n v="1"/>
    <x v="2"/>
  </r>
  <r>
    <x v="2969"/>
    <x v="1382"/>
    <x v="35"/>
    <s v="Bolivia"/>
    <s v="Uruguay"/>
    <n v="0"/>
    <n v="0"/>
    <s v="FIFA World Cup qualification"/>
    <s v="La Paz"/>
    <s v="Bolivia"/>
    <b v="0"/>
    <n v="2004"/>
    <n v="8773451751"/>
    <n v="13686329890"/>
    <x v="1"/>
    <n v="0"/>
    <x v="1"/>
  </r>
  <r>
    <x v="2970"/>
    <x v="1382"/>
    <x v="35"/>
    <s v="Indonesia"/>
    <s v="Saudi Arabia"/>
    <n v="1"/>
    <n v="3"/>
    <s v="FIFA World Cup qualification"/>
    <s v="Jakarta"/>
    <s v="Indonesia"/>
    <b v="0"/>
    <n v="2004"/>
    <n v="256836875295"/>
    <n v="258742133333"/>
    <x v="1"/>
    <n v="1"/>
    <x v="2"/>
  </r>
  <r>
    <x v="2971"/>
    <x v="1383"/>
    <x v="35"/>
    <s v="Andorra"/>
    <s v="North Macedonia"/>
    <n v="1"/>
    <n v="0"/>
    <s v="FIFA World Cup qualification"/>
    <s v="Sant Juli√† de L√≤ria"/>
    <s v="Andorra"/>
    <b v="0"/>
    <n v="2004"/>
    <n v="2900244053"/>
    <n v="5682784471"/>
    <x v="1"/>
    <n v="-1"/>
    <x v="0"/>
  </r>
  <r>
    <x v="2972"/>
    <x v="1383"/>
    <x v="35"/>
    <s v="Azerbaijan"/>
    <s v="England"/>
    <n v="0"/>
    <n v="1"/>
    <s v="FIFA World Cup qualification"/>
    <s v="Baku"/>
    <s v="Azerbaijan"/>
    <b v="0"/>
    <n v="2004"/>
    <n v="8680405740"/>
    <n v="2429774807762"/>
    <x v="0"/>
    <n v="1"/>
    <x v="2"/>
  </r>
  <r>
    <x v="2973"/>
    <x v="1383"/>
    <x v="35"/>
    <s v="Brazil"/>
    <s v="Colombia"/>
    <n v="0"/>
    <n v="0"/>
    <s v="FIFA World Cup qualification"/>
    <s v="Macei√≥"/>
    <s v="Brazil"/>
    <b v="0"/>
    <n v="2004"/>
    <n v="669289321944"/>
    <n v="117092416666"/>
    <x v="0"/>
    <n v="0"/>
    <x v="1"/>
  </r>
  <r>
    <x v="2974"/>
    <x v="1383"/>
    <x v="35"/>
    <s v="Bulgaria"/>
    <s v="Malta"/>
    <n v="4"/>
    <n v="1"/>
    <s v="FIFA World Cup qualification"/>
    <s v="Sofia"/>
    <s v="Bulgaria"/>
    <b v="0"/>
    <n v="2004"/>
    <n v="26157743368"/>
    <n v="6104141520"/>
    <x v="0"/>
    <n v="1"/>
    <x v="2"/>
  </r>
  <r>
    <x v="2975"/>
    <x v="1383"/>
    <x v="35"/>
    <s v="Canada"/>
    <s v="Costa Rica"/>
    <n v="1"/>
    <n v="3"/>
    <s v="FIFA World Cup qualification"/>
    <s v="Burnaby"/>
    <s v="Canada"/>
    <b v="0"/>
    <n v="2004"/>
    <n v="1026690238278"/>
    <n v="18610594846"/>
    <x v="0"/>
    <n v="-1"/>
    <x v="0"/>
  </r>
  <r>
    <x v="2976"/>
    <x v="1383"/>
    <x v="35"/>
    <s v="Chile"/>
    <s v="Argentina"/>
    <n v="0"/>
    <n v="0"/>
    <s v="FIFA World Cup qualification"/>
    <s v="Santiago"/>
    <s v="Chile"/>
    <b v="0"/>
    <n v="2004"/>
    <n v="99075985773"/>
    <n v="164657930452"/>
    <x v="1"/>
    <n v="0"/>
    <x v="1"/>
  </r>
  <r>
    <x v="2977"/>
    <x v="1383"/>
    <x v="35"/>
    <s v="Cyprus"/>
    <s v="France"/>
    <n v="0"/>
    <n v="2"/>
    <s v="FIFA World Cup qualification"/>
    <s v="Nicosia"/>
    <s v="Cyprus"/>
    <b v="0"/>
    <n v="2004"/>
    <n v="17320551250"/>
    <n v="2109792297237"/>
    <x v="0"/>
    <n v="1"/>
    <x v="2"/>
  </r>
  <r>
    <x v="2978"/>
    <x v="1383"/>
    <x v="35"/>
    <s v="Guatemala"/>
    <s v="Honduras"/>
    <n v="1"/>
    <n v="0"/>
    <s v="FIFA World Cup qualification"/>
    <s v="Guatemala City"/>
    <s v="Guatemala"/>
    <b v="0"/>
    <n v="2004"/>
    <n v="23577298094"/>
    <n v="8869299234"/>
    <x v="0"/>
    <n v="1"/>
    <x v="2"/>
  </r>
  <r>
    <x v="2979"/>
    <x v="1383"/>
    <x v="35"/>
    <s v="Iceland"/>
    <s v="Sweden"/>
    <n v="1"/>
    <n v="4"/>
    <s v="FIFA World Cup qualification"/>
    <s v="Reykjav√≠k"/>
    <s v="Iceland"/>
    <b v="0"/>
    <n v="2004"/>
    <n v="13963943244"/>
    <n v="384545442175"/>
    <x v="0"/>
    <n v="1"/>
    <x v="2"/>
  </r>
  <r>
    <x v="2980"/>
    <x v="1383"/>
    <x v="35"/>
    <s v="Iraq"/>
    <s v="Uzbekistan"/>
    <n v="1"/>
    <n v="2"/>
    <s v="FIFA World Cup qualification"/>
    <s v="Amman"/>
    <s v="Jordan"/>
    <b v="1"/>
    <n v="2004"/>
    <n v="36633669269"/>
    <n v="12030023547"/>
    <x v="0"/>
    <n v="-1"/>
    <x v="0"/>
  </r>
  <r>
    <x v="2981"/>
    <x v="1383"/>
    <x v="35"/>
    <s v="Italy"/>
    <s v="Belarus"/>
    <n v="4"/>
    <n v="3"/>
    <s v="FIFA World Cup qualification"/>
    <s v="Parma"/>
    <s v="Italy"/>
    <b v="0"/>
    <n v="2004"/>
    <n v="1812808753294"/>
    <n v="23141566292"/>
    <x v="0"/>
    <n v="1"/>
    <x v="2"/>
  </r>
  <r>
    <x v="2982"/>
    <x v="1383"/>
    <x v="35"/>
    <s v="Jamaica"/>
    <s v="El Salvador"/>
    <n v="0"/>
    <n v="0"/>
    <s v="FIFA World Cup qualification"/>
    <s v="Kingston"/>
    <s v="Jamaica"/>
    <b v="0"/>
    <n v="2004"/>
    <n v="10174664853"/>
    <n v="13724810900"/>
    <x v="1"/>
    <n v="0"/>
    <x v="1"/>
  </r>
  <r>
    <x v="2983"/>
    <x v="1383"/>
    <x v="35"/>
    <s v="Kazakhstan"/>
    <s v="Albania"/>
    <n v="0"/>
    <n v="1"/>
    <s v="FIFA World Cup qualification"/>
    <s v="Almaty"/>
    <s v="Kazakhstan"/>
    <b v="0"/>
    <n v="2004"/>
    <n v="43151647002"/>
    <n v="7406645793"/>
    <x v="0"/>
    <n v="-1"/>
    <x v="0"/>
  </r>
  <r>
    <x v="2984"/>
    <x v="1383"/>
    <x v="35"/>
    <s v="Latvia"/>
    <s v="Estonia"/>
    <n v="2"/>
    <n v="2"/>
    <s v="FIFA World Cup qualification"/>
    <s v="Riga"/>
    <s v="Latvia"/>
    <b v="0"/>
    <n v="2004"/>
    <n v="13827070378"/>
    <n v="12148595031"/>
    <x v="1"/>
    <n v="0"/>
    <x v="1"/>
  </r>
  <r>
    <x v="2985"/>
    <x v="1383"/>
    <x v="35"/>
    <s v="Lebanon"/>
    <s v="South Korea"/>
    <n v="1"/>
    <n v="1"/>
    <s v="FIFA World Cup qualification"/>
    <s v="Beirut"/>
    <s v="Lebanon"/>
    <b v="0"/>
    <n v="2004"/>
    <n v="21159827992"/>
    <n v="823251107638"/>
    <x v="0"/>
    <n v="0"/>
    <x v="1"/>
  </r>
  <r>
    <x v="2986"/>
    <x v="1383"/>
    <x v="35"/>
    <s v="Lithuania"/>
    <s v="Spain"/>
    <n v="0"/>
    <n v="0"/>
    <s v="FIFA World Cup qualification"/>
    <s v="Vilnius"/>
    <s v="Lithuania"/>
    <b v="0"/>
    <n v="2004"/>
    <n v="22743164431"/>
    <n v="1069829382514"/>
    <x v="0"/>
    <n v="0"/>
    <x v="1"/>
  </r>
  <r>
    <x v="2987"/>
    <x v="1383"/>
    <x v="35"/>
    <s v="Luxembourg"/>
    <s v="Liechtenstein"/>
    <n v="0"/>
    <n v="4"/>
    <s v="FIFA World Cup qualification"/>
    <s v="Luxembourg"/>
    <s v="Luxembourg"/>
    <b v="0"/>
    <n v="2004"/>
    <n v="35064843792"/>
    <n v="3454373797"/>
    <x v="0"/>
    <n v="-1"/>
    <x v="0"/>
  </r>
  <r>
    <x v="2988"/>
    <x v="1383"/>
    <x v="35"/>
    <s v="Maldives"/>
    <s v="Vietnam"/>
    <n v="3"/>
    <n v="0"/>
    <s v="FIFA World Cup qualification"/>
    <s v="Mal√©"/>
    <s v="Maldives"/>
    <b v="0"/>
    <n v="2004"/>
    <n v="1226829562"/>
    <n v="45427854693"/>
    <x v="0"/>
    <n v="-1"/>
    <x v="0"/>
  </r>
  <r>
    <x v="2989"/>
    <x v="1383"/>
    <x v="35"/>
    <s v="Mexico"/>
    <s v="Trinidad and Tobago"/>
    <n v="3"/>
    <n v="0"/>
    <s v="FIFA World Cup qualification"/>
    <s v="Puebla"/>
    <s v="Mexico"/>
    <b v="0"/>
    <n v="2004"/>
    <n v="819459227375"/>
    <n v="13280291989"/>
    <x v="0"/>
    <n v="1"/>
    <x v="2"/>
  </r>
  <r>
    <x v="2990"/>
    <x v="1383"/>
    <x v="35"/>
    <s v="Netherlands"/>
    <s v="Finland"/>
    <n v="3"/>
    <n v="1"/>
    <s v="FIFA World Cup qualification"/>
    <s v="Amsterdam"/>
    <s v="Netherlands"/>
    <b v="0"/>
    <n v="2004"/>
    <n v="661224886143"/>
    <n v="197458297639"/>
    <x v="0"/>
    <n v="1"/>
    <x v="2"/>
  </r>
  <r>
    <x v="2991"/>
    <x v="1383"/>
    <x v="35"/>
    <s v="Norway"/>
    <s v="Slovenia"/>
    <n v="3"/>
    <n v="0"/>
    <s v="FIFA World Cup qualification"/>
    <s v="Oslo"/>
    <s v="Norway"/>
    <b v="0"/>
    <n v="2004"/>
    <n v="265268662473"/>
    <n v="34156553313"/>
    <x v="0"/>
    <n v="1"/>
    <x v="2"/>
  </r>
  <r>
    <x v="2992"/>
    <x v="1383"/>
    <x v="35"/>
    <s v="Oman"/>
    <s v="Japan"/>
    <n v="0"/>
    <n v="1"/>
    <s v="FIFA World Cup qualification"/>
    <s v="Muscat"/>
    <s v="Oman"/>
    <b v="0"/>
    <n v="2004"/>
    <n v="28378933680"/>
    <n v="4893116005656"/>
    <x v="0"/>
    <n v="1"/>
    <x v="2"/>
  </r>
  <r>
    <x v="2993"/>
    <x v="1383"/>
    <x v="35"/>
    <s v="Paraguay"/>
    <s v="Peru"/>
    <n v="1"/>
    <n v="1"/>
    <s v="FIFA World Cup qualification"/>
    <s v="Asunci√≥n"/>
    <s v="Paraguay"/>
    <b v="0"/>
    <n v="2004"/>
    <n v="9624440836"/>
    <n v="66768703497"/>
    <x v="0"/>
    <n v="0"/>
    <x v="1"/>
  </r>
  <r>
    <x v="2994"/>
    <x v="1383"/>
    <x v="35"/>
    <s v="Portugal"/>
    <s v="Russia"/>
    <n v="7"/>
    <n v="1"/>
    <s v="FIFA World Cup qualification"/>
    <s v="Lisbon"/>
    <s v="Portugal"/>
    <b v="0"/>
    <n v="2004"/>
    <n v="189382122532"/>
    <n v="591016690732"/>
    <x v="0"/>
    <n v="-1"/>
    <x v="0"/>
  </r>
  <r>
    <x v="2995"/>
    <x v="1383"/>
    <x v="35"/>
    <s v="Qatar"/>
    <s v="Iran"/>
    <n v="2"/>
    <n v="3"/>
    <s v="FIFA World Cup qualification"/>
    <s v="Doha"/>
    <s v="Qatar"/>
    <b v="0"/>
    <n v="2004"/>
    <n v="31734065934"/>
    <n v="187754571247"/>
    <x v="0"/>
    <n v="1"/>
    <x v="2"/>
  </r>
  <r>
    <x v="2996"/>
    <x v="1383"/>
    <x v="35"/>
    <s v="Serbia"/>
    <s v="San Marino"/>
    <n v="5"/>
    <n v="0"/>
    <s v="FIFA World Cup qualification"/>
    <s v="Belgrade"/>
    <s v="Serbia and Montenegro"/>
    <b v="0"/>
    <n v="2004"/>
    <n v="26845632341"/>
    <n v="1715340542"/>
    <x v="0"/>
    <n v="1"/>
    <x v="2"/>
  </r>
  <r>
    <x v="2997"/>
    <x v="1383"/>
    <x v="35"/>
    <s v="Singapore"/>
    <s v="India"/>
    <n v="2"/>
    <n v="0"/>
    <s v="FIFA World Cup qualification"/>
    <s v="Singapore"/>
    <s v="Singapore"/>
    <b v="0"/>
    <n v="2004"/>
    <n v="115033593101"/>
    <n v="709152728830"/>
    <x v="0"/>
    <n v="-1"/>
    <x v="0"/>
  </r>
  <r>
    <x v="2998"/>
    <x v="1383"/>
    <x v="35"/>
    <s v="Syria"/>
    <s v="Bahrain"/>
    <n v="2"/>
    <n v="2"/>
    <s v="FIFA World Cup qualification"/>
    <s v="Damascus"/>
    <s v="Syria"/>
    <b v="0"/>
    <n v="2004"/>
    <n v="25086950495"/>
    <n v="13150159574"/>
    <x v="1"/>
    <n v="0"/>
    <x v="1"/>
  </r>
  <r>
    <x v="2999"/>
    <x v="1383"/>
    <x v="35"/>
    <s v="Thailand"/>
    <s v="United Arab Emirates"/>
    <n v="3"/>
    <n v="0"/>
    <s v="FIFA World Cup qualification"/>
    <s v="Bangkok"/>
    <s v="Thailand"/>
    <b v="0"/>
    <n v="2004"/>
    <n v="172895685154"/>
    <n v="147824370319"/>
    <x v="1"/>
    <n v="1"/>
    <x v="2"/>
  </r>
  <r>
    <x v="3000"/>
    <x v="1383"/>
    <x v="35"/>
    <s v="Ukraine"/>
    <s v="Georgia"/>
    <n v="2"/>
    <n v="0"/>
    <s v="FIFA World Cup qualification"/>
    <s v="Lviv"/>
    <s v="Ukraine"/>
    <b v="0"/>
    <n v="2004"/>
    <n v="67220154164"/>
    <n v="5125365191"/>
    <x v="0"/>
    <n v="1"/>
    <x v="2"/>
  </r>
  <r>
    <x v="3001"/>
    <x v="1383"/>
    <x v="35"/>
    <s v="United States"/>
    <s v="Panama"/>
    <n v="6"/>
    <n v="0"/>
    <s v="FIFA World Cup qualification"/>
    <s v="Washington, D.C."/>
    <s v="United States"/>
    <b v="0"/>
    <n v="2004"/>
    <n v="12217193198000"/>
    <n v="15100203361"/>
    <x v="0"/>
    <n v="1"/>
    <x v="2"/>
  </r>
  <r>
    <x v="3002"/>
    <x v="1384"/>
    <x v="35"/>
    <s v="Venezuela"/>
    <s v="Ecuador"/>
    <n v="3"/>
    <n v="1"/>
    <s v="FIFA World Cup qualification"/>
    <s v="San Crist√≥bal"/>
    <s v="Venezuela"/>
    <b v="0"/>
    <n v="2004"/>
    <n v="112451400424"/>
    <n v="35194947000"/>
    <x v="0"/>
    <n v="1"/>
    <x v="2"/>
  </r>
  <r>
    <x v="3003"/>
    <x v="1385"/>
    <x v="35"/>
    <s v="Andorra"/>
    <s v="Netherlands"/>
    <n v="0"/>
    <n v="3"/>
    <s v="FIFA World Cup qualification"/>
    <s v="Barcelona"/>
    <s v="Spain"/>
    <b v="1"/>
    <n v="2004"/>
    <n v="2900244053"/>
    <n v="661224886143"/>
    <x v="0"/>
    <n v="1"/>
    <x v="2"/>
  </r>
  <r>
    <x v="3004"/>
    <x v="1385"/>
    <x v="35"/>
    <s v="Argentina"/>
    <s v="Venezuela"/>
    <n v="3"/>
    <n v="2"/>
    <s v="FIFA World Cup qualification"/>
    <s v="Buenos Aires"/>
    <s v="Argentina"/>
    <b v="0"/>
    <n v="2004"/>
    <n v="164657930452"/>
    <n v="112451400424"/>
    <x v="1"/>
    <n v="1"/>
    <x v="2"/>
  </r>
  <r>
    <x v="3005"/>
    <x v="1385"/>
    <x v="35"/>
    <s v="Armenia"/>
    <s v="Romania"/>
    <n v="1"/>
    <n v="1"/>
    <s v="FIFA World Cup qualification"/>
    <s v="Yerevan"/>
    <s v="Armenia"/>
    <b v="0"/>
    <n v="2004"/>
    <n v="3576615240"/>
    <n v="74973656851"/>
    <x v="0"/>
    <n v="0"/>
    <x v="1"/>
  </r>
  <r>
    <x v="3006"/>
    <x v="1385"/>
    <x v="35"/>
    <s v="Bahrain"/>
    <s v="Tajikistan"/>
    <n v="4"/>
    <n v="0"/>
    <s v="FIFA World Cup qualification"/>
    <s v="Riffa"/>
    <s v="Bahrain"/>
    <b v="0"/>
    <n v="2004"/>
    <n v="13150159574"/>
    <n v="2076176869"/>
    <x v="0"/>
    <n v="1"/>
    <x v="2"/>
  </r>
  <r>
    <x v="3007"/>
    <x v="1385"/>
    <x v="35"/>
    <s v="Belgium"/>
    <s v="Serbia"/>
    <n v="0"/>
    <n v="2"/>
    <s v="FIFA World Cup qualification"/>
    <s v="Brussels"/>
    <s v="Belgium"/>
    <b v="0"/>
    <n v="2004"/>
    <n v="369214712443"/>
    <n v="26845632341"/>
    <x v="0"/>
    <n v="-1"/>
    <x v="0"/>
  </r>
  <r>
    <x v="3008"/>
    <x v="1385"/>
    <x v="35"/>
    <s v="Colombia"/>
    <s v="Bolivia"/>
    <n v="1"/>
    <n v="0"/>
    <s v="FIFA World Cup qualification"/>
    <s v="Barranquilla"/>
    <s v="Colombia"/>
    <b v="0"/>
    <n v="2004"/>
    <n v="117092416666"/>
    <n v="8773451751"/>
    <x v="0"/>
    <n v="1"/>
    <x v="2"/>
  </r>
  <r>
    <x v="3009"/>
    <x v="1385"/>
    <x v="35"/>
    <s v="Cyprus"/>
    <s v="Israel"/>
    <n v="1"/>
    <n v="2"/>
    <s v="FIFA World Cup qualification"/>
    <s v="Nicosia"/>
    <s v="Cyprus"/>
    <b v="0"/>
    <n v="2004"/>
    <n v="17320551250"/>
    <n v="140047984605"/>
    <x v="0"/>
    <n v="1"/>
    <x v="2"/>
  </r>
  <r>
    <x v="3010"/>
    <x v="1385"/>
    <x v="35"/>
    <s v="Ecuador"/>
    <s v="Brazil"/>
    <n v="1"/>
    <n v="0"/>
    <s v="FIFA World Cup qualification"/>
    <s v="Quito"/>
    <s v="Ecuador"/>
    <b v="0"/>
    <n v="2004"/>
    <n v="35194947000"/>
    <n v="669289321944"/>
    <x v="0"/>
    <n v="-1"/>
    <x v="0"/>
  </r>
  <r>
    <x v="3011"/>
    <x v="1385"/>
    <x v="35"/>
    <s v="Georgia"/>
    <s v="Denmark"/>
    <n v="2"/>
    <n v="2"/>
    <s v="FIFA World Cup qualification"/>
    <s v="Tbilisi"/>
    <s v="Georgia"/>
    <b v="0"/>
    <n v="2004"/>
    <n v="5125365191"/>
    <n v="251986155630"/>
    <x v="0"/>
    <n v="0"/>
    <x v="1"/>
  </r>
  <r>
    <x v="3012"/>
    <x v="1385"/>
    <x v="35"/>
    <s v="Greece"/>
    <s v="Kazakhstan"/>
    <n v="3"/>
    <n v="1"/>
    <s v="FIFA World Cup qualification"/>
    <s v="Piraeus"/>
    <s v="Greece"/>
    <b v="0"/>
    <n v="2004"/>
    <n v="234979615898"/>
    <n v="43151647002"/>
    <x v="0"/>
    <n v="1"/>
    <x v="2"/>
  </r>
  <r>
    <x v="3013"/>
    <x v="1385"/>
    <x v="35"/>
    <s v="Guatemala"/>
    <s v="Canada"/>
    <n v="0"/>
    <n v="1"/>
    <s v="FIFA World Cup qualification"/>
    <s v="Guatemala City"/>
    <s v="Guatemala"/>
    <b v="0"/>
    <n v="2004"/>
    <n v="23577298094"/>
    <n v="1026690238278"/>
    <x v="0"/>
    <n v="1"/>
    <x v="2"/>
  </r>
  <r>
    <x v="3014"/>
    <x v="1385"/>
    <x v="35"/>
    <s v="Honduras"/>
    <s v="Costa Rica"/>
    <n v="0"/>
    <n v="0"/>
    <s v="FIFA World Cup qualification"/>
    <s v="San Pedro Sula"/>
    <s v="Honduras"/>
    <b v="0"/>
    <n v="2004"/>
    <n v="8869299234"/>
    <n v="18610594846"/>
    <x v="0"/>
    <n v="0"/>
    <x v="1"/>
  </r>
  <r>
    <x v="3015"/>
    <x v="1385"/>
    <x v="35"/>
    <s v="Indonesia"/>
    <s v="Turkmenistan"/>
    <n v="3"/>
    <n v="1"/>
    <s v="FIFA World Cup qualification"/>
    <s v="Jakarta"/>
    <s v="Indonesia"/>
    <b v="0"/>
    <n v="2004"/>
    <n v="256836875295"/>
    <n v="6838351088"/>
    <x v="0"/>
    <n v="1"/>
    <x v="2"/>
  </r>
  <r>
    <x v="3016"/>
    <x v="1385"/>
    <x v="35"/>
    <s v="Japan"/>
    <s v="Singapore"/>
    <n v="1"/>
    <n v="0"/>
    <s v="FIFA World Cup qualification"/>
    <s v="Saitama"/>
    <s v="Japan"/>
    <b v="0"/>
    <n v="2004"/>
    <n v="4893116005656"/>
    <n v="115033593101"/>
    <x v="0"/>
    <n v="1"/>
    <x v="2"/>
  </r>
  <r>
    <x v="3017"/>
    <x v="1385"/>
    <x v="35"/>
    <s v="Kenya"/>
    <s v="Guinea"/>
    <n v="2"/>
    <n v="1"/>
    <s v="FIFA World Cup qualification"/>
    <s v="Nairobi"/>
    <s v="Kenya"/>
    <b v="0"/>
    <n v="2004"/>
    <n v="16095337093"/>
    <n v="5300767960"/>
    <x v="0"/>
    <n v="1"/>
    <x v="2"/>
  </r>
  <r>
    <x v="3018"/>
    <x v="1385"/>
    <x v="35"/>
    <s v="South Korea"/>
    <s v="Maldives"/>
    <n v="2"/>
    <n v="0"/>
    <s v="FIFA World Cup qualification"/>
    <s v="Seoul"/>
    <s v="South Korea"/>
    <b v="0"/>
    <n v="2004"/>
    <n v="823251107638"/>
    <n v="1226829562"/>
    <x v="0"/>
    <n v="1"/>
    <x v="2"/>
  </r>
  <r>
    <x v="3019"/>
    <x v="1385"/>
    <x v="35"/>
    <s v="Kuwait"/>
    <s v="Malaysia"/>
    <n v="6"/>
    <n v="1"/>
    <s v="FIFA World Cup qualification"/>
    <s v="Kuwait City"/>
    <s v="Kuwait"/>
    <b v="0"/>
    <n v="2004"/>
    <n v="59439090600"/>
    <n v="124749473684"/>
    <x v="0"/>
    <n v="-1"/>
    <x v="0"/>
  </r>
  <r>
    <x v="3020"/>
    <x v="1385"/>
    <x v="35"/>
    <s v="Lebanon"/>
    <s v="Vietnam"/>
    <n v="0"/>
    <n v="0"/>
    <s v="FIFA World Cup qualification"/>
    <s v="Beirut"/>
    <s v="Lebanon"/>
    <b v="0"/>
    <n v="2004"/>
    <n v="21159827992"/>
    <n v="45427854693"/>
    <x v="0"/>
    <n v="0"/>
    <x v="1"/>
  </r>
  <r>
    <x v="3021"/>
    <x v="1385"/>
    <x v="35"/>
    <s v="Liechtenstein"/>
    <s v="Latvia"/>
    <n v="1"/>
    <n v="3"/>
    <s v="FIFA World Cup qualification"/>
    <s v="Vaduz"/>
    <s v="Liechtenstein"/>
    <b v="0"/>
    <n v="2004"/>
    <n v="3454373797"/>
    <n v="13827070378"/>
    <x v="0"/>
    <n v="1"/>
    <x v="2"/>
  </r>
  <r>
    <x v="3022"/>
    <x v="1385"/>
    <x v="35"/>
    <s v="Luxembourg"/>
    <s v="Portugal"/>
    <n v="0"/>
    <n v="5"/>
    <s v="FIFA World Cup qualification"/>
    <s v="Luxembourg"/>
    <s v="Luxembourg"/>
    <b v="0"/>
    <n v="2004"/>
    <n v="35064843792"/>
    <n v="189382122532"/>
    <x v="0"/>
    <n v="1"/>
    <x v="2"/>
  </r>
  <r>
    <x v="3023"/>
    <x v="1385"/>
    <x v="35"/>
    <s v="Malta"/>
    <s v="Hungary"/>
    <n v="0"/>
    <n v="2"/>
    <s v="FIFA World Cup qualification"/>
    <s v="Attard"/>
    <s v="Malta"/>
    <b v="0"/>
    <n v="2004"/>
    <n v="6104141520"/>
    <n v="104015363080"/>
    <x v="0"/>
    <n v="1"/>
    <x v="2"/>
  </r>
  <r>
    <x v="3024"/>
    <x v="1385"/>
    <x v="35"/>
    <s v="Oman"/>
    <s v="India"/>
    <n v="0"/>
    <n v="0"/>
    <s v="FIFA World Cup qualification"/>
    <s v="Muscat"/>
    <s v="Oman"/>
    <b v="0"/>
    <n v="2004"/>
    <n v="28378933680"/>
    <n v="709152728830"/>
    <x v="0"/>
    <n v="0"/>
    <x v="1"/>
  </r>
  <r>
    <x v="3025"/>
    <x v="1385"/>
    <x v="35"/>
    <s v="Panama"/>
    <s v="El Salvador"/>
    <n v="3"/>
    <n v="0"/>
    <s v="FIFA World Cup qualification"/>
    <s v="Panama City"/>
    <s v="Panama"/>
    <b v="0"/>
    <n v="2004"/>
    <n v="15100203361"/>
    <n v="13724810900"/>
    <x v="1"/>
    <n v="1"/>
    <x v="2"/>
  </r>
  <r>
    <x v="3026"/>
    <x v="1385"/>
    <x v="35"/>
    <s v="Peru"/>
    <s v="Chile"/>
    <n v="2"/>
    <n v="1"/>
    <s v="FIFA World Cup qualification"/>
    <s v="Lima"/>
    <s v="Peru"/>
    <b v="0"/>
    <n v="2004"/>
    <n v="66768703497"/>
    <n v="99075985773"/>
    <x v="1"/>
    <n v="-1"/>
    <x v="0"/>
  </r>
  <r>
    <x v="3027"/>
    <x v="1385"/>
    <x v="35"/>
    <s v="Qatar"/>
    <s v="Jordan"/>
    <n v="2"/>
    <n v="0"/>
    <s v="FIFA World Cup qualification"/>
    <s v="Doha"/>
    <s v="Qatar"/>
    <b v="0"/>
    <n v="2004"/>
    <n v="31734065934"/>
    <n v="11411706629"/>
    <x v="0"/>
    <n v="1"/>
    <x v="2"/>
  </r>
  <r>
    <x v="3028"/>
    <x v="1385"/>
    <x v="35"/>
    <s v="Russia"/>
    <s v="Estonia"/>
    <n v="4"/>
    <n v="0"/>
    <s v="FIFA World Cup qualification"/>
    <s v="Krasnodar"/>
    <s v="Russia"/>
    <b v="0"/>
    <n v="2004"/>
    <n v="591016690732"/>
    <n v="12148595031"/>
    <x v="0"/>
    <n v="1"/>
    <x v="2"/>
  </r>
  <r>
    <x v="3029"/>
    <x v="1385"/>
    <x v="35"/>
    <s v="San Marino"/>
    <s v="Lithuania"/>
    <n v="0"/>
    <n v="1"/>
    <s v="FIFA World Cup qualification"/>
    <s v="Serravalle"/>
    <s v="San Marino"/>
    <b v="0"/>
    <n v="2004"/>
    <n v="1715340542"/>
    <n v="22743164431"/>
    <x v="0"/>
    <n v="1"/>
    <x v="2"/>
  </r>
  <r>
    <x v="3030"/>
    <x v="1385"/>
    <x v="35"/>
    <s v="Saudi Arabia"/>
    <s v="Sri Lanka"/>
    <n v="3"/>
    <n v="0"/>
    <s v="FIFA World Cup qualification"/>
    <s v="Dammam"/>
    <s v="Saudi Arabia"/>
    <b v="0"/>
    <n v="2004"/>
    <n v="258742133333"/>
    <n v="20662525941"/>
    <x v="0"/>
    <n v="1"/>
    <x v="2"/>
  </r>
  <r>
    <x v="3031"/>
    <x v="1385"/>
    <x v="35"/>
    <s v="Uruguay"/>
    <s v="Paraguay"/>
    <n v="1"/>
    <n v="0"/>
    <s v="FIFA World Cup qualification"/>
    <s v="Montevideo"/>
    <s v="Uruguay"/>
    <b v="0"/>
    <n v="2004"/>
    <n v="13686329890"/>
    <n v="9624440836"/>
    <x v="1"/>
    <n v="1"/>
    <x v="2"/>
  </r>
  <r>
    <x v="3032"/>
    <x v="1385"/>
    <x v="35"/>
    <s v="United States"/>
    <s v="Jamaica"/>
    <n v="1"/>
    <n v="1"/>
    <s v="FIFA World Cup qualification"/>
    <s v="Columbus"/>
    <s v="United States"/>
    <b v="0"/>
    <n v="2004"/>
    <n v="12217193198000"/>
    <n v="10174664853"/>
    <x v="0"/>
    <n v="0"/>
    <x v="1"/>
  </r>
  <r>
    <x v="3033"/>
    <x v="1386"/>
    <x v="36"/>
    <s v="Albania"/>
    <s v="Ukraine"/>
    <n v="0"/>
    <n v="2"/>
    <s v="FIFA World Cup qualification"/>
    <s v="Tirana"/>
    <s v="Albania"/>
    <b v="0"/>
    <n v="2005"/>
    <n v="8256658249"/>
    <n v="89238865118"/>
    <x v="0"/>
    <n v="1"/>
    <x v="2"/>
  </r>
  <r>
    <x v="3034"/>
    <x v="1386"/>
    <x v="36"/>
    <s v="Bahrain"/>
    <s v="Iran"/>
    <n v="0"/>
    <n v="0"/>
    <s v="FIFA World Cup qualification"/>
    <s v="Riffa"/>
    <s v="Bahrain"/>
    <b v="0"/>
    <n v="2005"/>
    <n v="15968723404"/>
    <n v="224970371324"/>
    <x v="0"/>
    <n v="0"/>
    <x v="1"/>
  </r>
  <r>
    <x v="3035"/>
    <x v="1386"/>
    <x v="36"/>
    <s v="Costa Rica"/>
    <s v="Mexico"/>
    <n v="1"/>
    <n v="2"/>
    <s v="FIFA World Cup qualification"/>
    <s v="San Jos√©"/>
    <s v="Costa Rica"/>
    <b v="0"/>
    <n v="2005"/>
    <n v="20040642476"/>
    <n v="917571853529"/>
    <x v="0"/>
    <n v="1"/>
    <x v="2"/>
  </r>
  <r>
    <x v="3036"/>
    <x v="1386"/>
    <x v="36"/>
    <s v="Greece"/>
    <s v="Denmark"/>
    <n v="2"/>
    <n v="1"/>
    <s v="FIFA World Cup qualification"/>
    <s v="Piraeus"/>
    <s v="Greece"/>
    <b v="0"/>
    <n v="2005"/>
    <n v="242315668619"/>
    <n v="265150087711"/>
    <x v="1"/>
    <n v="-1"/>
    <x v="0"/>
  </r>
  <r>
    <x v="3037"/>
    <x v="1386"/>
    <x v="36"/>
    <s v="South Korea"/>
    <s v="Kuwait"/>
    <n v="2"/>
    <n v="0"/>
    <s v="FIFA World Cup qualification"/>
    <s v="Seoul"/>
    <s v="South Korea"/>
    <b v="0"/>
    <n v="2005"/>
    <n v="971740329983"/>
    <n v="80798630136"/>
    <x v="0"/>
    <n v="1"/>
    <x v="2"/>
  </r>
  <r>
    <x v="3038"/>
    <x v="1386"/>
    <x v="36"/>
    <s v="North Macedonia"/>
    <s v="Andorra"/>
    <n v="0"/>
    <n v="0"/>
    <s v="FIFA World Cup qualification"/>
    <s v="Skopje"/>
    <s v="North Macedonia"/>
    <b v="0"/>
    <n v="2005"/>
    <n v="6258602872"/>
    <n v="3161084846"/>
    <x v="1"/>
    <n v="0"/>
    <x v="1"/>
  </r>
  <r>
    <x v="3039"/>
    <x v="1386"/>
    <x v="36"/>
    <s v="Morocco"/>
    <s v="Kenya"/>
    <n v="5"/>
    <n v="1"/>
    <s v="FIFA World Cup qualification"/>
    <s v="Rabat"/>
    <s v="Morocco"/>
    <b v="0"/>
    <n v="2005"/>
    <n v="68852658068"/>
    <n v="18737895512"/>
    <x v="0"/>
    <n v="1"/>
    <x v="2"/>
  </r>
  <r>
    <x v="3040"/>
    <x v="1386"/>
    <x v="36"/>
    <s v="Panama"/>
    <s v="Guatemala"/>
    <n v="0"/>
    <n v="0"/>
    <s v="FIFA World Cup qualification"/>
    <s v="Panama City"/>
    <s v="Panama"/>
    <b v="0"/>
    <n v="2005"/>
    <n v="16623906739"/>
    <n v="26783389293"/>
    <x v="1"/>
    <n v="0"/>
    <x v="1"/>
  </r>
  <r>
    <x v="3041"/>
    <x v="1386"/>
    <x v="36"/>
    <s v="Spain"/>
    <s v="San Marino"/>
    <n v="5"/>
    <n v="0"/>
    <s v="FIFA World Cup qualification"/>
    <s v="Almer√≠a"/>
    <s v="Spain"/>
    <b v="0"/>
    <n v="2005"/>
    <n v="1154667551775"/>
    <n v="1786514058"/>
    <x v="0"/>
    <n v="1"/>
    <x v="2"/>
  </r>
  <r>
    <x v="3042"/>
    <x v="1386"/>
    <x v="36"/>
    <s v="Trinidad and Tobago"/>
    <s v="United States"/>
    <n v="1"/>
    <n v="2"/>
    <s v="FIFA World Cup qualification"/>
    <s v="Port of Spain"/>
    <s v="Trinidad and Tobago"/>
    <b v="0"/>
    <n v="2005"/>
    <n v="15982389018"/>
    <n v="13039199193000"/>
    <x v="0"/>
    <n v="1"/>
    <x v="2"/>
  </r>
  <r>
    <x v="3043"/>
    <x v="1386"/>
    <x v="36"/>
    <s v="Uzbekistan"/>
    <s v="Saudi Arabia"/>
    <n v="1"/>
    <n v="1"/>
    <s v="FIFA World Cup qualification"/>
    <s v="Tashkent"/>
    <s v="Uzbekistan"/>
    <b v="0"/>
    <n v="2005"/>
    <n v="14307509838"/>
    <n v="328459608764"/>
    <x v="0"/>
    <n v="0"/>
    <x v="1"/>
  </r>
  <r>
    <x v="3044"/>
    <x v="1387"/>
    <x v="36"/>
    <s v="Iran"/>
    <s v="Japan"/>
    <n v="2"/>
    <n v="1"/>
    <s v="FIFA World Cup qualification"/>
    <s v="Tehran"/>
    <s v="Iran"/>
    <b v="0"/>
    <n v="2005"/>
    <n v="224970371324"/>
    <n v="4831467035389"/>
    <x v="0"/>
    <n v="-1"/>
    <x v="0"/>
  </r>
  <r>
    <x v="3045"/>
    <x v="1387"/>
    <x v="36"/>
    <s v="Kuwait"/>
    <s v="Uzbekistan"/>
    <n v="2"/>
    <n v="1"/>
    <s v="FIFA World Cup qualification"/>
    <s v="Kuwait City"/>
    <s v="Kuwait"/>
    <b v="0"/>
    <n v="2005"/>
    <n v="80798630136"/>
    <n v="14307509838"/>
    <x v="0"/>
    <n v="1"/>
    <x v="2"/>
  </r>
  <r>
    <x v="3046"/>
    <x v="1387"/>
    <x v="36"/>
    <s v="Saudi Arabia"/>
    <s v="South Korea"/>
    <n v="2"/>
    <n v="0"/>
    <s v="FIFA World Cup qualification"/>
    <s v="Dammam"/>
    <s v="Saudi Arabia"/>
    <b v="0"/>
    <n v="2005"/>
    <n v="328459608764"/>
    <n v="971740329983"/>
    <x v="0"/>
    <n v="-1"/>
    <x v="0"/>
  </r>
  <r>
    <x v="3047"/>
    <x v="1388"/>
    <x v="36"/>
    <s v="Armenia"/>
    <s v="Andorra"/>
    <n v="2"/>
    <n v="1"/>
    <s v="FIFA World Cup qualification"/>
    <s v="Yerevan"/>
    <s v="Armenia"/>
    <b v="0"/>
    <n v="2005"/>
    <n v="4900469511"/>
    <n v="3161084846"/>
    <x v="1"/>
    <n v="1"/>
    <x v="2"/>
  </r>
  <r>
    <x v="3048"/>
    <x v="1388"/>
    <x v="36"/>
    <s v="Belgium"/>
    <s v="Bosnia and Herzegovina"/>
    <n v="4"/>
    <n v="1"/>
    <s v="FIFA World Cup qualification"/>
    <s v="Brussels"/>
    <s v="Belgium"/>
    <b v="0"/>
    <n v="2005"/>
    <n v="385714762230"/>
    <n v="11222796336"/>
    <x v="0"/>
    <n v="1"/>
    <x v="2"/>
  </r>
  <r>
    <x v="3049"/>
    <x v="1388"/>
    <x v="36"/>
    <s v="Bolivia"/>
    <s v="Argentina"/>
    <n v="1"/>
    <n v="2"/>
    <s v="FIFA World Cup qualification"/>
    <s v="La Paz"/>
    <s v="Bolivia"/>
    <b v="0"/>
    <n v="2005"/>
    <n v="9549122905"/>
    <n v="198737095012"/>
    <x v="0"/>
    <n v="1"/>
    <x v="2"/>
  </r>
  <r>
    <x v="3050"/>
    <x v="1388"/>
    <x v="36"/>
    <s v="Bulgaria"/>
    <s v="Sweden"/>
    <n v="0"/>
    <n v="3"/>
    <s v="FIFA World Cup qualification"/>
    <s v="Sofia"/>
    <s v="Bulgaria"/>
    <b v="0"/>
    <n v="2005"/>
    <n v="29868657858"/>
    <n v="391688455928"/>
    <x v="0"/>
    <n v="1"/>
    <x v="2"/>
  </r>
  <r>
    <x v="3051"/>
    <x v="1388"/>
    <x v="36"/>
    <s v="Chile"/>
    <s v="Uruguay"/>
    <n v="1"/>
    <n v="1"/>
    <s v="FIFA World Cup qualification"/>
    <s v="Santiago"/>
    <s v="Chile"/>
    <b v="0"/>
    <n v="2005"/>
    <n v="122294145163"/>
    <n v="17362857683"/>
    <x v="0"/>
    <n v="0"/>
    <x v="1"/>
  </r>
  <r>
    <x v="3052"/>
    <x v="1388"/>
    <x v="36"/>
    <s v="Costa Rica"/>
    <s v="Panama"/>
    <n v="2"/>
    <n v="1"/>
    <s v="FIFA World Cup qualification"/>
    <s v="San Jos√©"/>
    <s v="Costa Rica"/>
    <b v="0"/>
    <n v="2005"/>
    <n v="20040642476"/>
    <n v="16623906739"/>
    <x v="1"/>
    <n v="1"/>
    <x v="2"/>
  </r>
  <r>
    <x v="3053"/>
    <x v="1388"/>
    <x v="36"/>
    <s v="Croatia"/>
    <s v="Iceland"/>
    <n v="4"/>
    <n v="0"/>
    <s v="FIFA World Cup qualification"/>
    <s v="Zagreb"/>
    <s v="Croatia"/>
    <b v="0"/>
    <n v="2005"/>
    <n v="45013119281"/>
    <n v="17146410560"/>
    <x v="0"/>
    <n v="1"/>
    <x v="2"/>
  </r>
  <r>
    <x v="3054"/>
    <x v="1388"/>
    <x v="36"/>
    <s v="Denmark"/>
    <s v="Kazakhstan"/>
    <n v="3"/>
    <n v="0"/>
    <s v="FIFA World Cup qualification"/>
    <s v="Copenhagen"/>
    <s v="Denmark"/>
    <b v="0"/>
    <n v="2005"/>
    <n v="265150087711"/>
    <n v="57123671733"/>
    <x v="0"/>
    <n v="1"/>
    <x v="2"/>
  </r>
  <r>
    <x v="3055"/>
    <x v="1388"/>
    <x v="36"/>
    <s v="France"/>
    <s v="Switzerland"/>
    <n v="0"/>
    <n v="0"/>
    <s v="FIFA World Cup qualification"/>
    <s v="Saint-Denis"/>
    <s v="France"/>
    <b v="0"/>
    <n v="2005"/>
    <n v="2192146403028"/>
    <n v="418284865884"/>
    <x v="0"/>
    <n v="0"/>
    <x v="1"/>
  </r>
  <r>
    <x v="3056"/>
    <x v="1388"/>
    <x v="36"/>
    <s v="Georgia"/>
    <s v="Greece"/>
    <n v="1"/>
    <n v="3"/>
    <s v="FIFA World Cup qualification"/>
    <s v="Tbilisi"/>
    <s v="Georgia"/>
    <b v="0"/>
    <n v="2005"/>
    <n v="6410912049"/>
    <n v="242315668619"/>
    <x v="0"/>
    <n v="1"/>
    <x v="2"/>
  </r>
  <r>
    <x v="3057"/>
    <x v="1388"/>
    <x v="36"/>
    <s v="Guatemala"/>
    <s v="Trinidad and Tobago"/>
    <n v="5"/>
    <n v="1"/>
    <s v="FIFA World Cup qualification"/>
    <s v="Guatemala City"/>
    <s v="Guatemala"/>
    <b v="0"/>
    <n v="2005"/>
    <n v="26783389293"/>
    <n v="15982389018"/>
    <x v="1"/>
    <n v="1"/>
    <x v="2"/>
  </r>
  <r>
    <x v="3058"/>
    <x v="1388"/>
    <x v="36"/>
    <s v="Kenya"/>
    <s v="Botswana"/>
    <n v="1"/>
    <n v="0"/>
    <s v="FIFA World Cup qualification"/>
    <s v="Nairobi"/>
    <s v="Kenya"/>
    <b v="0"/>
    <n v="2005"/>
    <n v="18737895512"/>
    <n v="9918907108"/>
    <x v="1"/>
    <n v="1"/>
    <x v="2"/>
  </r>
  <r>
    <x v="3059"/>
    <x v="1388"/>
    <x v="36"/>
    <s v="Liechtenstein"/>
    <s v="Russia"/>
    <n v="1"/>
    <n v="2"/>
    <s v="FIFA World Cup qualification"/>
    <s v="Vaduz"/>
    <s v="Liechtenstein"/>
    <b v="0"/>
    <n v="2005"/>
    <n v="3659319116"/>
    <n v="764015973481"/>
    <x v="0"/>
    <n v="1"/>
    <x v="2"/>
  </r>
  <r>
    <x v="3060"/>
    <x v="1388"/>
    <x v="36"/>
    <s v="Morocco"/>
    <s v="Guinea"/>
    <n v="1"/>
    <n v="0"/>
    <s v="FIFA World Cup qualification"/>
    <s v="Rabat"/>
    <s v="Morocco"/>
    <b v="0"/>
    <n v="2005"/>
    <n v="68852658068"/>
    <n v="4282468636"/>
    <x v="0"/>
    <n v="1"/>
    <x v="2"/>
  </r>
  <r>
    <x v="3061"/>
    <x v="1388"/>
    <x v="36"/>
    <s v="Nigeria"/>
    <s v="Gabon"/>
    <n v="2"/>
    <n v="0"/>
    <s v="FIFA World Cup qualification"/>
    <s v="Port Harcourt"/>
    <s v="Nigeria"/>
    <b v="0"/>
    <n v="2005"/>
    <n v="175670569969"/>
    <n v="9582783990"/>
    <x v="0"/>
    <n v="1"/>
    <x v="2"/>
  </r>
  <r>
    <x v="3062"/>
    <x v="1388"/>
    <x v="36"/>
    <s v="Poland"/>
    <s v="Azerbaijan"/>
    <n v="8"/>
    <n v="0"/>
    <s v="FIFA World Cup qualification"/>
    <s v="Warsaw"/>
    <s v="Poland"/>
    <b v="0"/>
    <n v="2005"/>
    <n v="306999913150"/>
    <n v="13245421880"/>
    <x v="0"/>
    <n v="1"/>
    <x v="2"/>
  </r>
  <r>
    <x v="3063"/>
    <x v="1388"/>
    <x v="36"/>
    <s v="Romania"/>
    <s v="Netherlands"/>
    <n v="0"/>
    <n v="2"/>
    <s v="FIFA World Cup qualification"/>
    <s v="Bucharest"/>
    <s v="Romania"/>
    <b v="0"/>
    <n v="2005"/>
    <n v="98454380120"/>
    <n v="688133699635"/>
    <x v="0"/>
    <n v="1"/>
    <x v="2"/>
  </r>
  <r>
    <x v="3064"/>
    <x v="1388"/>
    <x v="36"/>
    <s v="Senegal"/>
    <s v="Liberia"/>
    <n v="6"/>
    <n v="1"/>
    <s v="FIFA World Cup qualification"/>
    <s v="Dakar"/>
    <s v="Senegal"/>
    <b v="0"/>
    <n v="2005"/>
    <n v="11009033437"/>
    <n v="949000000"/>
    <x v="0"/>
    <n v="1"/>
    <x v="2"/>
  </r>
  <r>
    <x v="3065"/>
    <x v="1388"/>
    <x v="36"/>
    <s v="South Africa"/>
    <s v="Uganda"/>
    <n v="2"/>
    <n v="1"/>
    <s v="FIFA World Cup qualification"/>
    <s v="Johannesburg"/>
    <s v="South Africa"/>
    <b v="0"/>
    <n v="2005"/>
    <n v="288867217196"/>
    <n v="9239221763"/>
    <x v="0"/>
    <n v="1"/>
    <x v="2"/>
  </r>
  <r>
    <x v="3066"/>
    <x v="1388"/>
    <x v="36"/>
    <s v="Tunisia"/>
    <s v="Malawi"/>
    <n v="7"/>
    <n v="0"/>
    <s v="FIFA World Cup qualification"/>
    <s v="Rad√®s"/>
    <s v="Tunisia"/>
    <b v="0"/>
    <n v="2005"/>
    <n v="32272186694"/>
    <n v="5320409651"/>
    <x v="0"/>
    <n v="1"/>
    <x v="2"/>
  </r>
  <r>
    <x v="3067"/>
    <x v="1388"/>
    <x v="36"/>
    <s v="Venezuela"/>
    <s v="Colombia"/>
    <n v="0"/>
    <n v="0"/>
    <s v="FIFA World Cup qualification"/>
    <s v="Maracaibo"/>
    <s v="Venezuela"/>
    <b v="0"/>
    <n v="2005"/>
    <n v="145513489651"/>
    <n v="145600529605"/>
    <x v="1"/>
    <n v="0"/>
    <x v="1"/>
  </r>
  <r>
    <x v="3068"/>
    <x v="1389"/>
    <x v="36"/>
    <s v="Algeria"/>
    <s v="Rwanda"/>
    <n v="1"/>
    <n v="0"/>
    <s v="FIFA World Cup qualification"/>
    <s v="Oran"/>
    <s v="Algeria"/>
    <b v="0"/>
    <n v="2005"/>
    <n v="107046618669"/>
    <n v="2933819766"/>
    <x v="0"/>
    <n v="1"/>
    <x v="2"/>
  </r>
  <r>
    <x v="3069"/>
    <x v="1389"/>
    <x v="36"/>
    <s v="Brazil"/>
    <s v="Peru"/>
    <n v="1"/>
    <n v="0"/>
    <s v="FIFA World Cup qualification"/>
    <s v="Goi√¢nia"/>
    <s v="Brazil"/>
    <b v="0"/>
    <n v="2005"/>
    <n v="891633826625"/>
    <n v="76060606060"/>
    <x v="0"/>
    <n v="1"/>
    <x v="2"/>
  </r>
  <r>
    <x v="3070"/>
    <x v="1389"/>
    <x v="36"/>
    <s v="Cameroon"/>
    <s v="Sudan"/>
    <n v="2"/>
    <n v="1"/>
    <s v="FIFA World Cup qualification"/>
    <s v="Yaound√©"/>
    <s v="Cameroon"/>
    <b v="0"/>
    <n v="2005"/>
    <n v="19509852206"/>
    <n v="35182711987"/>
    <x v="1"/>
    <n v="-1"/>
    <x v="0"/>
  </r>
  <r>
    <x v="3071"/>
    <x v="1389"/>
    <x v="36"/>
    <s v="Ecuador"/>
    <s v="Paraguay"/>
    <n v="5"/>
    <n v="2"/>
    <s v="FIFA World Cup qualification"/>
    <s v="Quito"/>
    <s v="Ecuador"/>
    <b v="0"/>
    <n v="2005"/>
    <n v="40278849000"/>
    <n v="10737500188"/>
    <x v="0"/>
    <n v="1"/>
    <x v="2"/>
  </r>
  <r>
    <x v="3072"/>
    <x v="1389"/>
    <x v="36"/>
    <s v="Egypt"/>
    <s v="Libya"/>
    <n v="4"/>
    <n v="1"/>
    <s v="FIFA World Cup qualification"/>
    <s v="Cairo"/>
    <s v="Egypt"/>
    <b v="0"/>
    <n v="2005"/>
    <n v="89660339660"/>
    <n v="47334691241"/>
    <x v="1"/>
    <n v="1"/>
    <x v="2"/>
  </r>
  <r>
    <x v="3073"/>
    <x v="1389"/>
    <x v="36"/>
    <s v="Mali"/>
    <s v="Togo"/>
    <n v="1"/>
    <n v="2"/>
    <s v="FIFA World Cup qualification"/>
    <s v="Bamako"/>
    <s v="Mali"/>
    <b v="0"/>
    <n v="2005"/>
    <n v="7429066951"/>
    <n v="3221910408"/>
    <x v="0"/>
    <n v="-1"/>
    <x v="0"/>
  </r>
  <r>
    <x v="3074"/>
    <x v="1389"/>
    <x v="36"/>
    <s v="Mexico"/>
    <s v="United States"/>
    <n v="2"/>
    <n v="1"/>
    <s v="FIFA World Cup qualification"/>
    <s v="Mexico City"/>
    <s v="Mexico"/>
    <b v="0"/>
    <n v="2005"/>
    <n v="917571853529"/>
    <n v="13039199193000"/>
    <x v="0"/>
    <n v="-1"/>
    <x v="0"/>
  </r>
  <r>
    <x v="3075"/>
    <x v="1389"/>
    <x v="36"/>
    <s v="Zimbabwe"/>
    <s v="Angola"/>
    <n v="2"/>
    <n v="0"/>
    <s v="FIFA World Cup qualification"/>
    <s v="Harare"/>
    <s v="Zimbabwe"/>
    <b v="0"/>
    <n v="2005"/>
    <n v="5758250000"/>
    <n v="41396636383"/>
    <x v="0"/>
    <n v="-1"/>
    <x v="0"/>
  </r>
  <r>
    <x v="3076"/>
    <x v="1390"/>
    <x v="36"/>
    <s v="Bolivia"/>
    <s v="Venezuela"/>
    <n v="3"/>
    <n v="1"/>
    <s v="FIFA World Cup qualification"/>
    <s v="La Paz"/>
    <s v="Bolivia"/>
    <b v="0"/>
    <n v="2005"/>
    <n v="9549122905"/>
    <n v="145513489651"/>
    <x v="0"/>
    <n v="-1"/>
    <x v="0"/>
  </r>
  <r>
    <x v="3077"/>
    <x v="1391"/>
    <x v="36"/>
    <s v="Argentina"/>
    <s v="Colombia"/>
    <n v="1"/>
    <n v="0"/>
    <s v="FIFA World Cup qualification"/>
    <s v="Buenos Aires"/>
    <s v="Argentina"/>
    <b v="0"/>
    <n v="2005"/>
    <n v="198737095012"/>
    <n v="145600529605"/>
    <x v="1"/>
    <n v="1"/>
    <x v="2"/>
  </r>
  <r>
    <x v="3078"/>
    <x v="1391"/>
    <x v="36"/>
    <s v="Bosnia and Herzegovina"/>
    <s v="Lithuania"/>
    <n v="1"/>
    <n v="1"/>
    <s v="FIFA World Cup qualification"/>
    <s v="Sarajevo"/>
    <s v="Bosnia and Herzegovina"/>
    <b v="0"/>
    <n v="2005"/>
    <n v="11222796336"/>
    <n v="26105207115"/>
    <x v="0"/>
    <n v="0"/>
    <x v="1"/>
  </r>
  <r>
    <x v="3079"/>
    <x v="1391"/>
    <x v="36"/>
    <s v="Croatia"/>
    <s v="Malta"/>
    <n v="3"/>
    <n v="0"/>
    <s v="FIFA World Cup qualification"/>
    <s v="Zagreb"/>
    <s v="Croatia"/>
    <b v="0"/>
    <n v="2005"/>
    <n v="45013119281"/>
    <n v="6393234992"/>
    <x v="0"/>
    <n v="1"/>
    <x v="2"/>
  </r>
  <r>
    <x v="3080"/>
    <x v="1391"/>
    <x v="36"/>
    <s v="England"/>
    <s v="Azerbaijan"/>
    <n v="2"/>
    <n v="0"/>
    <s v="FIFA World Cup qualification"/>
    <s v="Newcastle"/>
    <s v="England"/>
    <b v="0"/>
    <n v="2005"/>
    <n v="2551361818181"/>
    <n v="13245421880"/>
    <x v="0"/>
    <n v="1"/>
    <x v="2"/>
  </r>
  <r>
    <x v="3081"/>
    <x v="1391"/>
    <x v="36"/>
    <s v="Estonia"/>
    <s v="Russia"/>
    <n v="1"/>
    <n v="1"/>
    <s v="FIFA World Cup qualification"/>
    <s v="Tallinn"/>
    <s v="Estonia"/>
    <b v="0"/>
    <n v="2005"/>
    <n v="14109491356"/>
    <n v="764015973481"/>
    <x v="0"/>
    <n v="0"/>
    <x v="1"/>
  </r>
  <r>
    <x v="3082"/>
    <x v="1391"/>
    <x v="36"/>
    <s v="Greece"/>
    <s v="Albania"/>
    <n v="2"/>
    <n v="0"/>
    <s v="FIFA World Cup qualification"/>
    <s v="Piraeus"/>
    <s v="Greece"/>
    <b v="0"/>
    <n v="2005"/>
    <n v="242315668619"/>
    <n v="8256658249"/>
    <x v="0"/>
    <n v="1"/>
    <x v="2"/>
  </r>
  <r>
    <x v="3083"/>
    <x v="1391"/>
    <x v="36"/>
    <s v="Hungary"/>
    <s v="Bulgaria"/>
    <n v="1"/>
    <n v="1"/>
    <s v="FIFA World Cup qualification"/>
    <s v="Budapest"/>
    <s v="Hungary"/>
    <b v="0"/>
    <n v="2005"/>
    <n v="113098237570"/>
    <n v="29868657858"/>
    <x v="0"/>
    <n v="0"/>
    <x v="1"/>
  </r>
  <r>
    <x v="3084"/>
    <x v="1391"/>
    <x v="36"/>
    <s v="Israel"/>
    <s v="France"/>
    <n v="1"/>
    <n v="1"/>
    <s v="FIFA World Cup qualification"/>
    <s v="Ramat Gan"/>
    <s v="Israel"/>
    <b v="0"/>
    <n v="2005"/>
    <n v="147519922009"/>
    <n v="2192146403028"/>
    <x v="0"/>
    <n v="0"/>
    <x v="1"/>
  </r>
  <r>
    <x v="3085"/>
    <x v="1391"/>
    <x v="36"/>
    <s v="Japan"/>
    <s v="Bahrain"/>
    <n v="1"/>
    <n v="0"/>
    <s v="FIFA World Cup qualification"/>
    <s v="Saitama"/>
    <s v="Japan"/>
    <b v="0"/>
    <n v="2005"/>
    <n v="4831467035389"/>
    <n v="15968723404"/>
    <x v="0"/>
    <n v="1"/>
    <x v="2"/>
  </r>
  <r>
    <x v="3086"/>
    <x v="1391"/>
    <x v="36"/>
    <s v="South Korea"/>
    <s v="Uzbekistan"/>
    <n v="2"/>
    <n v="1"/>
    <s v="FIFA World Cup qualification"/>
    <s v="Seoul"/>
    <s v="South Korea"/>
    <b v="0"/>
    <n v="2005"/>
    <n v="971740329983"/>
    <n v="14307509838"/>
    <x v="0"/>
    <n v="1"/>
    <x v="2"/>
  </r>
  <r>
    <x v="3087"/>
    <x v="1391"/>
    <x v="36"/>
    <s v="Kuwait"/>
    <s v="Saudi Arabia"/>
    <n v="0"/>
    <n v="0"/>
    <s v="FIFA World Cup qualification"/>
    <s v="Kuwait City"/>
    <s v="Kuwait"/>
    <b v="0"/>
    <n v="2005"/>
    <n v="80798630136"/>
    <n v="328459608764"/>
    <x v="0"/>
    <n v="0"/>
    <x v="1"/>
  </r>
  <r>
    <x v="3088"/>
    <x v="1391"/>
    <x v="36"/>
    <s v="Latvia"/>
    <s v="Luxembourg"/>
    <n v="4"/>
    <n v="0"/>
    <s v="FIFA World Cup qualification"/>
    <s v="Riga"/>
    <s v="Latvia"/>
    <b v="0"/>
    <n v="2005"/>
    <n v="16306935905"/>
    <n v="37672280120"/>
    <x v="0"/>
    <n v="-1"/>
    <x v="0"/>
  </r>
  <r>
    <x v="3089"/>
    <x v="1391"/>
    <x v="36"/>
    <s v="North Macedonia"/>
    <s v="Romania"/>
    <n v="1"/>
    <n v="2"/>
    <s v="FIFA World Cup qualification"/>
    <s v="Skopje"/>
    <s v="North Macedonia"/>
    <b v="0"/>
    <n v="2005"/>
    <n v="6258602872"/>
    <n v="98454380120"/>
    <x v="0"/>
    <n v="1"/>
    <x v="2"/>
  </r>
  <r>
    <x v="3090"/>
    <x v="1391"/>
    <x v="36"/>
    <s v="Moldova"/>
    <s v="Norway"/>
    <n v="0"/>
    <n v="0"/>
    <s v="FIFA World Cup qualification"/>
    <s v="Chi»ôinƒÉu"/>
    <s v="Moldova"/>
    <b v="0"/>
    <n v="2005"/>
    <n v="2988342907"/>
    <n v="309978579743"/>
    <x v="0"/>
    <n v="0"/>
    <x v="1"/>
  </r>
  <r>
    <x v="3091"/>
    <x v="1391"/>
    <x v="36"/>
    <s v="Netherlands"/>
    <s v="Armenia"/>
    <n v="2"/>
    <n v="0"/>
    <s v="FIFA World Cup qualification"/>
    <s v="Eindhoven"/>
    <s v="Netherlands"/>
    <b v="0"/>
    <n v="2005"/>
    <n v="688133699635"/>
    <n v="4900469511"/>
    <x v="0"/>
    <n v="1"/>
    <x v="2"/>
  </r>
  <r>
    <x v="3092"/>
    <x v="1391"/>
    <x v="36"/>
    <s v="Panama"/>
    <s v="Mexico"/>
    <n v="1"/>
    <n v="1"/>
    <s v="FIFA World Cup qualification"/>
    <s v="Panama City"/>
    <s v="Panama"/>
    <b v="0"/>
    <n v="2005"/>
    <n v="16623906739"/>
    <n v="917571853529"/>
    <x v="0"/>
    <n v="0"/>
    <x v="1"/>
  </r>
  <r>
    <x v="3093"/>
    <x v="1391"/>
    <x v="36"/>
    <s v="Paraguay"/>
    <s v="Chile"/>
    <n v="2"/>
    <n v="1"/>
    <s v="FIFA World Cup qualification"/>
    <s v="Asunci√≥n"/>
    <s v="Paraguay"/>
    <b v="0"/>
    <n v="2005"/>
    <n v="10737500188"/>
    <n v="122294145163"/>
    <x v="0"/>
    <n v="-1"/>
    <x v="0"/>
  </r>
  <r>
    <x v="3094"/>
    <x v="1391"/>
    <x v="36"/>
    <s v="Peru"/>
    <s v="Ecuador"/>
    <n v="2"/>
    <n v="2"/>
    <s v="FIFA World Cup qualification"/>
    <s v="Lima"/>
    <s v="Peru"/>
    <b v="0"/>
    <n v="2005"/>
    <n v="76060606060"/>
    <n v="40278849000"/>
    <x v="1"/>
    <n v="0"/>
    <x v="1"/>
  </r>
  <r>
    <x v="3095"/>
    <x v="1391"/>
    <x v="36"/>
    <s v="San Marino"/>
    <s v="Belgium"/>
    <n v="1"/>
    <n v="2"/>
    <s v="FIFA World Cup qualification"/>
    <s v="Serravalle"/>
    <s v="San Marino"/>
    <b v="0"/>
    <n v="2005"/>
    <n v="1786514058"/>
    <n v="385714762230"/>
    <x v="0"/>
    <n v="1"/>
    <x v="2"/>
  </r>
  <r>
    <x v="3096"/>
    <x v="1391"/>
    <x v="36"/>
    <s v="Serbia"/>
    <s v="Spain"/>
    <n v="0"/>
    <n v="0"/>
    <s v="FIFA World Cup qualification"/>
    <s v="Belgrade"/>
    <s v="Serbia and Montenegro"/>
    <b v="0"/>
    <n v="2005"/>
    <n v="28334256180"/>
    <n v="1154667551775"/>
    <x v="0"/>
    <n v="0"/>
    <x v="1"/>
  </r>
  <r>
    <x v="3097"/>
    <x v="1391"/>
    <x v="36"/>
    <s v="Slovenia"/>
    <s v="Belarus"/>
    <n v="1"/>
    <n v="1"/>
    <s v="FIFA World Cup qualification"/>
    <s v="Celje"/>
    <s v="Slovenia"/>
    <b v="0"/>
    <n v="2005"/>
    <n v="35947936823"/>
    <n v="30210091836"/>
    <x v="1"/>
    <n v="0"/>
    <x v="1"/>
  </r>
  <r>
    <x v="3098"/>
    <x v="1391"/>
    <x v="36"/>
    <s v="Switzerland"/>
    <s v="Cyprus"/>
    <n v="1"/>
    <n v="0"/>
    <s v="FIFA World Cup qualification"/>
    <s v="Z√ºrich"/>
    <s v="Switzerland"/>
    <b v="0"/>
    <n v="2005"/>
    <n v="418284865884"/>
    <n v="18433412510"/>
    <x v="0"/>
    <n v="1"/>
    <x v="2"/>
  </r>
  <r>
    <x v="3099"/>
    <x v="1391"/>
    <x v="36"/>
    <s v="Trinidad and Tobago"/>
    <s v="Costa Rica"/>
    <n v="0"/>
    <n v="0"/>
    <s v="FIFA World Cup qualification"/>
    <s v="Port of Spain"/>
    <s v="Trinidad and Tobago"/>
    <b v="0"/>
    <n v="2005"/>
    <n v="15982389018"/>
    <n v="20040642476"/>
    <x v="1"/>
    <n v="0"/>
    <x v="1"/>
  </r>
  <r>
    <x v="3100"/>
    <x v="1391"/>
    <x v="36"/>
    <s v="Ukraine"/>
    <s v="Denmark"/>
    <n v="1"/>
    <n v="0"/>
    <s v="FIFA World Cup qualification"/>
    <s v="Kyiv"/>
    <s v="Ukraine"/>
    <b v="0"/>
    <n v="2005"/>
    <n v="89238865118"/>
    <n v="265150087711"/>
    <x v="0"/>
    <n v="-1"/>
    <x v="0"/>
  </r>
  <r>
    <x v="3101"/>
    <x v="1391"/>
    <x v="36"/>
    <s v="Uruguay"/>
    <s v="Brazil"/>
    <n v="1"/>
    <n v="1"/>
    <s v="FIFA World Cup qualification"/>
    <s v="Montevideo"/>
    <s v="Uruguay"/>
    <b v="0"/>
    <n v="2005"/>
    <n v="17362857683"/>
    <n v="891633826625"/>
    <x v="0"/>
    <n v="0"/>
    <x v="1"/>
  </r>
  <r>
    <x v="3102"/>
    <x v="1391"/>
    <x v="36"/>
    <s v="United States"/>
    <s v="Guatemala"/>
    <n v="2"/>
    <n v="0"/>
    <s v="FIFA World Cup qualification"/>
    <s v="Birmingham"/>
    <s v="United States"/>
    <b v="0"/>
    <n v="2005"/>
    <n v="13039199193000"/>
    <n v="26783389293"/>
    <x v="0"/>
    <n v="1"/>
    <x v="2"/>
  </r>
  <r>
    <x v="3103"/>
    <x v="1392"/>
    <x v="36"/>
    <s v="Bahrain"/>
    <s v="Japan"/>
    <n v="0"/>
    <n v="1"/>
    <s v="FIFA World Cup qualification"/>
    <s v="Riffa"/>
    <s v="Bahrain"/>
    <b v="0"/>
    <n v="2005"/>
    <n v="15968723404"/>
    <n v="4831467035389"/>
    <x v="0"/>
    <n v="1"/>
    <x v="2"/>
  </r>
  <r>
    <x v="3104"/>
    <x v="1392"/>
    <x v="36"/>
    <s v="Saudi Arabia"/>
    <s v="Kuwait"/>
    <n v="3"/>
    <n v="0"/>
    <s v="FIFA World Cup qualification"/>
    <s v="Riyadh"/>
    <s v="Saudi Arabia"/>
    <b v="0"/>
    <n v="2005"/>
    <n v="328459608764"/>
    <n v="80798630136"/>
    <x v="0"/>
    <n v="1"/>
    <x v="2"/>
  </r>
  <r>
    <x v="3105"/>
    <x v="1392"/>
    <x v="36"/>
    <s v="Uzbekistan"/>
    <s v="South Korea"/>
    <n v="1"/>
    <n v="1"/>
    <s v="FIFA World Cup qualification"/>
    <s v="Tashkent"/>
    <s v="Uzbekistan"/>
    <b v="0"/>
    <n v="2005"/>
    <n v="14307509838"/>
    <n v="971740329983"/>
    <x v="0"/>
    <n v="0"/>
    <x v="1"/>
  </r>
  <r>
    <x v="3106"/>
    <x v="1393"/>
    <x v="36"/>
    <s v="Albania"/>
    <s v="Georgia"/>
    <n v="3"/>
    <n v="2"/>
    <s v="FIFA World Cup qualification"/>
    <s v="Tirana"/>
    <s v="Albania"/>
    <b v="0"/>
    <n v="2005"/>
    <n v="8256658249"/>
    <n v="6410912049"/>
    <x v="1"/>
    <n v="1"/>
    <x v="2"/>
  </r>
  <r>
    <x v="3107"/>
    <x v="1393"/>
    <x v="36"/>
    <s v="Armenia"/>
    <s v="North Macedonia"/>
    <n v="1"/>
    <n v="2"/>
    <s v="FIFA World Cup qualification"/>
    <s v="Yerevan"/>
    <s v="Armenia"/>
    <b v="0"/>
    <n v="2005"/>
    <n v="4900469511"/>
    <n v="6258602872"/>
    <x v="1"/>
    <n v="1"/>
    <x v="2"/>
  </r>
  <r>
    <x v="3108"/>
    <x v="1393"/>
    <x v="36"/>
    <s v="Azerbaijan"/>
    <s v="Poland"/>
    <n v="0"/>
    <n v="3"/>
    <s v="FIFA World Cup qualification"/>
    <s v="Baku"/>
    <s v="Azerbaijan"/>
    <b v="0"/>
    <n v="2005"/>
    <n v="13245421880"/>
    <n v="306999913150"/>
    <x v="0"/>
    <n v="1"/>
    <x v="2"/>
  </r>
  <r>
    <x v="3109"/>
    <x v="1393"/>
    <x v="36"/>
    <s v="Belarus"/>
    <s v="Slovenia"/>
    <n v="1"/>
    <n v="1"/>
    <s v="FIFA World Cup qualification"/>
    <s v="Minsk"/>
    <s v="Belarus"/>
    <b v="0"/>
    <n v="2005"/>
    <n v="30210091836"/>
    <n v="35947936823"/>
    <x v="1"/>
    <n v="0"/>
    <x v="1"/>
  </r>
  <r>
    <x v="3110"/>
    <x v="1393"/>
    <x v="36"/>
    <s v="Benin"/>
    <s v="Cameroon"/>
    <n v="1"/>
    <n v="4"/>
    <s v="FIFA World Cup qualification"/>
    <s v="Cotonou"/>
    <s v="Benin"/>
    <b v="0"/>
    <n v="2005"/>
    <n v="6567654954"/>
    <n v="19509852206"/>
    <x v="0"/>
    <n v="1"/>
    <x v="2"/>
  </r>
  <r>
    <x v="3111"/>
    <x v="1393"/>
    <x v="36"/>
    <s v="Botswana"/>
    <s v="Tunisia"/>
    <n v="1"/>
    <n v="3"/>
    <s v="FIFA World Cup qualification"/>
    <s v="Gaborone"/>
    <s v="Botswana"/>
    <b v="0"/>
    <n v="2005"/>
    <n v="9918907108"/>
    <n v="32272186694"/>
    <x v="0"/>
    <n v="1"/>
    <x v="2"/>
  </r>
  <r>
    <x v="3112"/>
    <x v="1393"/>
    <x v="36"/>
    <s v="Bulgaria"/>
    <s v="Croatia"/>
    <n v="1"/>
    <n v="3"/>
    <s v="FIFA World Cup qualification"/>
    <s v="Sofia"/>
    <s v="Bulgaria"/>
    <b v="0"/>
    <n v="2005"/>
    <n v="29868657858"/>
    <n v="45013119281"/>
    <x v="1"/>
    <n v="1"/>
    <x v="2"/>
  </r>
  <r>
    <x v="3113"/>
    <x v="1393"/>
    <x v="36"/>
    <s v="Chile"/>
    <s v="Bolivia"/>
    <n v="3"/>
    <n v="1"/>
    <s v="FIFA World Cup qualification"/>
    <s v="Santiago"/>
    <s v="Chile"/>
    <b v="0"/>
    <n v="2005"/>
    <n v="122294145163"/>
    <n v="9549122905"/>
    <x v="0"/>
    <n v="1"/>
    <x v="2"/>
  </r>
  <r>
    <x v="3114"/>
    <x v="1393"/>
    <x v="36"/>
    <s v="Colombia"/>
    <s v="Peru"/>
    <n v="5"/>
    <n v="0"/>
    <s v="FIFA World Cup qualification"/>
    <s v="Barranquilla"/>
    <s v="Colombia"/>
    <b v="0"/>
    <n v="2005"/>
    <n v="145600529605"/>
    <n v="76060606060"/>
    <x v="1"/>
    <n v="1"/>
    <x v="2"/>
  </r>
  <r>
    <x v="3115"/>
    <x v="1393"/>
    <x v="36"/>
    <s v="Ecuador"/>
    <s v="Argentina"/>
    <n v="2"/>
    <n v="0"/>
    <s v="FIFA World Cup qualification"/>
    <s v="Quito"/>
    <s v="Ecuador"/>
    <b v="0"/>
    <n v="2005"/>
    <n v="40278849000"/>
    <n v="198737095012"/>
    <x v="0"/>
    <n v="-1"/>
    <x v="0"/>
  </r>
  <r>
    <x v="3116"/>
    <x v="1393"/>
    <x v="36"/>
    <s v="Estonia"/>
    <s v="Liechtenstein"/>
    <n v="2"/>
    <n v="0"/>
    <s v="FIFA World Cup qualification"/>
    <s v="Tallinn"/>
    <s v="Estonia"/>
    <b v="0"/>
    <n v="2005"/>
    <n v="14109491356"/>
    <n v="3659319116"/>
    <x v="0"/>
    <n v="1"/>
    <x v="2"/>
  </r>
  <r>
    <x v="3117"/>
    <x v="1393"/>
    <x v="36"/>
    <s v="Faroe Islands"/>
    <s v="Switzerland"/>
    <n v="1"/>
    <n v="3"/>
    <s v="FIFA World Cup qualification"/>
    <s v="Toftir"/>
    <s v="Faroe Islands"/>
    <b v="0"/>
    <n v="2005"/>
    <n v="1759739599"/>
    <n v="418284865884"/>
    <x v="0"/>
    <n v="1"/>
    <x v="2"/>
  </r>
  <r>
    <x v="3118"/>
    <x v="1393"/>
    <x v="36"/>
    <s v="Guatemala"/>
    <s v="Mexico"/>
    <n v="0"/>
    <n v="2"/>
    <s v="FIFA World Cup qualification"/>
    <s v="Guatemala City"/>
    <s v="Guatemala"/>
    <b v="0"/>
    <n v="2005"/>
    <n v="26783389293"/>
    <n v="917571853529"/>
    <x v="0"/>
    <n v="1"/>
    <x v="2"/>
  </r>
  <r>
    <x v="3119"/>
    <x v="1393"/>
    <x v="36"/>
    <s v="Iceland"/>
    <s v="Hungary"/>
    <n v="2"/>
    <n v="3"/>
    <s v="FIFA World Cup qualification"/>
    <s v="Reykjav√≠k"/>
    <s v="Iceland"/>
    <b v="0"/>
    <n v="2005"/>
    <n v="17146410560"/>
    <n v="113098237570"/>
    <x v="0"/>
    <n v="1"/>
    <x v="2"/>
  </r>
  <r>
    <x v="3120"/>
    <x v="1393"/>
    <x v="36"/>
    <s v="Morocco"/>
    <s v="Malawi"/>
    <n v="4"/>
    <n v="1"/>
    <s v="FIFA World Cup qualification"/>
    <s v="Rabat"/>
    <s v="Morocco"/>
    <b v="0"/>
    <n v="2005"/>
    <n v="68852658068"/>
    <n v="5320409651"/>
    <x v="0"/>
    <n v="1"/>
    <x v="2"/>
  </r>
  <r>
    <x v="3121"/>
    <x v="1393"/>
    <x v="36"/>
    <s v="Netherlands"/>
    <s v="Romania"/>
    <n v="2"/>
    <n v="0"/>
    <s v="FIFA World Cup qualification"/>
    <s v="Rotterdam"/>
    <s v="Netherlands"/>
    <b v="0"/>
    <n v="2005"/>
    <n v="688133699635"/>
    <n v="98454380120"/>
    <x v="0"/>
    <n v="1"/>
    <x v="2"/>
  </r>
  <r>
    <x v="3122"/>
    <x v="1393"/>
    <x v="36"/>
    <s v="Norway"/>
    <s v="Italy"/>
    <n v="0"/>
    <n v="0"/>
    <s v="FIFA World Cup qualification"/>
    <s v="Oslo"/>
    <s v="Norway"/>
    <b v="0"/>
    <n v="2005"/>
    <n v="309978579743"/>
    <n v="1864982261286"/>
    <x v="0"/>
    <n v="0"/>
    <x v="1"/>
  </r>
  <r>
    <x v="3123"/>
    <x v="1393"/>
    <x v="36"/>
    <s v="Russia"/>
    <s v="Latvia"/>
    <n v="2"/>
    <n v="0"/>
    <s v="FIFA World Cup qualification"/>
    <s v="Saint Petersburg"/>
    <s v="Russia"/>
    <b v="0"/>
    <n v="2005"/>
    <n v="764015973481"/>
    <n v="16306935905"/>
    <x v="0"/>
    <n v="1"/>
    <x v="2"/>
  </r>
  <r>
    <x v="3124"/>
    <x v="1393"/>
    <x v="36"/>
    <s v="San Marino"/>
    <s v="Bosnia and Herzegovina"/>
    <n v="1"/>
    <n v="3"/>
    <s v="FIFA World Cup qualification"/>
    <s v="Serravalle"/>
    <s v="San Marino"/>
    <b v="0"/>
    <n v="2005"/>
    <n v="1786514058"/>
    <n v="11222796336"/>
    <x v="0"/>
    <n v="1"/>
    <x v="2"/>
  </r>
  <r>
    <x v="3125"/>
    <x v="1393"/>
    <x v="36"/>
    <s v="Serbia"/>
    <s v="Belgium"/>
    <n v="0"/>
    <n v="0"/>
    <s v="FIFA World Cup qualification"/>
    <s v="Belgrade"/>
    <s v="Serbia and Montenegro"/>
    <b v="0"/>
    <n v="2005"/>
    <n v="28334256180"/>
    <n v="385714762230"/>
    <x v="0"/>
    <n v="0"/>
    <x v="1"/>
  </r>
  <r>
    <x v="3126"/>
    <x v="1393"/>
    <x v="36"/>
    <s v="Spain"/>
    <s v="Lithuania"/>
    <n v="1"/>
    <n v="0"/>
    <s v="FIFA World Cup qualification"/>
    <s v="Valencia"/>
    <s v="Spain"/>
    <b v="0"/>
    <n v="2005"/>
    <n v="1154667551775"/>
    <n v="26105207115"/>
    <x v="0"/>
    <n v="1"/>
    <x v="2"/>
  </r>
  <r>
    <x v="3127"/>
    <x v="1393"/>
    <x v="36"/>
    <s v="Sweden"/>
    <s v="Malta"/>
    <n v="6"/>
    <n v="0"/>
    <s v="FIFA World Cup qualification"/>
    <s v="Gothenburg"/>
    <s v="Sweden"/>
    <b v="0"/>
    <n v="2005"/>
    <n v="391688455928"/>
    <n v="6393234992"/>
    <x v="0"/>
    <n v="1"/>
    <x v="2"/>
  </r>
  <r>
    <x v="3128"/>
    <x v="1393"/>
    <x v="36"/>
    <s v="Trinidad and Tobago"/>
    <s v="Panama"/>
    <n v="2"/>
    <n v="0"/>
    <s v="FIFA World Cup qualification"/>
    <s v="Port of Spain"/>
    <s v="Trinidad and Tobago"/>
    <b v="0"/>
    <n v="2005"/>
    <n v="15982389018"/>
    <n v="16623906739"/>
    <x v="1"/>
    <n v="-1"/>
    <x v="0"/>
  </r>
  <r>
    <x v="3129"/>
    <x v="1393"/>
    <x v="36"/>
    <s v="Ukraine"/>
    <s v="Kazakhstan"/>
    <n v="2"/>
    <n v="0"/>
    <s v="FIFA World Cup qualification"/>
    <s v="Kyiv"/>
    <s v="Ukraine"/>
    <b v="0"/>
    <n v="2005"/>
    <n v="89238865118"/>
    <n v="57123671733"/>
    <x v="1"/>
    <n v="1"/>
    <x v="2"/>
  </r>
  <r>
    <x v="3130"/>
    <x v="1393"/>
    <x v="36"/>
    <s v="United States"/>
    <s v="Costa Rica"/>
    <n v="3"/>
    <n v="0"/>
    <s v="FIFA World Cup qualification"/>
    <s v="Salt Lake City"/>
    <s v="United States"/>
    <b v="0"/>
    <n v="2005"/>
    <n v="13039199193000"/>
    <n v="20040642476"/>
    <x v="0"/>
    <n v="1"/>
    <x v="2"/>
  </r>
  <r>
    <x v="3131"/>
    <x v="1393"/>
    <x v="36"/>
    <s v="Venezuela"/>
    <s v="Uruguay"/>
    <n v="1"/>
    <n v="1"/>
    <s v="FIFA World Cup qualification"/>
    <s v="Maracaibo"/>
    <s v="Venezuela"/>
    <b v="0"/>
    <n v="2005"/>
    <n v="145513489651"/>
    <n v="17362857683"/>
    <x v="0"/>
    <n v="0"/>
    <x v="1"/>
  </r>
  <r>
    <x v="3132"/>
    <x v="1394"/>
    <x v="36"/>
    <s v="Angola"/>
    <s v="Algeria"/>
    <n v="2"/>
    <n v="1"/>
    <s v="FIFA World Cup qualification"/>
    <s v="Luanda"/>
    <s v="Angola"/>
    <b v="0"/>
    <n v="2005"/>
    <n v="41396636383"/>
    <n v="107046618669"/>
    <x v="0"/>
    <n v="-1"/>
    <x v="0"/>
  </r>
  <r>
    <x v="3133"/>
    <x v="1394"/>
    <x v="36"/>
    <s v="Brazil"/>
    <s v="Paraguay"/>
    <n v="4"/>
    <n v="1"/>
    <s v="FIFA World Cup qualification"/>
    <s v="Porto Alegre"/>
    <s v="Brazil"/>
    <b v="0"/>
    <n v="2005"/>
    <n v="891633826625"/>
    <n v="10737500188"/>
    <x v="0"/>
    <n v="1"/>
    <x v="2"/>
  </r>
  <r>
    <x v="3134"/>
    <x v="1394"/>
    <x v="36"/>
    <s v="Egypt"/>
    <s v="Sudan"/>
    <n v="6"/>
    <n v="1"/>
    <s v="FIFA World Cup qualification"/>
    <s v="Cairo"/>
    <s v="Egypt"/>
    <b v="0"/>
    <n v="2005"/>
    <n v="89660339660"/>
    <n v="35182711987"/>
    <x v="0"/>
    <n v="1"/>
    <x v="2"/>
  </r>
  <r>
    <x v="3135"/>
    <x v="1394"/>
    <x v="36"/>
    <s v="Ghana"/>
    <s v="Burkina Faso"/>
    <n v="2"/>
    <n v="1"/>
    <s v="FIFA World Cup qualification"/>
    <s v="Kumasi"/>
    <s v="Ghana"/>
    <b v="0"/>
    <n v="2005"/>
    <n v="10744568381"/>
    <n v="6146353173"/>
    <x v="1"/>
    <n v="1"/>
    <x v="2"/>
  </r>
  <r>
    <x v="3136"/>
    <x v="1394"/>
    <x v="36"/>
    <s v="Guinea"/>
    <s v="Kenya"/>
    <n v="1"/>
    <n v="0"/>
    <s v="FIFA World Cup qualification"/>
    <s v="Conakry"/>
    <s v="Guinea"/>
    <b v="0"/>
    <n v="2005"/>
    <n v="4282468636"/>
    <n v="18737895512"/>
    <x v="0"/>
    <n v="-1"/>
    <x v="0"/>
  </r>
  <r>
    <x v="3137"/>
    <x v="1394"/>
    <x v="36"/>
    <s v="Mali"/>
    <s v="Liberia"/>
    <n v="4"/>
    <n v="1"/>
    <s v="FIFA World Cup qualification"/>
    <s v="S√©gou"/>
    <s v="Mali"/>
    <b v="0"/>
    <n v="2005"/>
    <n v="7429066951"/>
    <n v="949000000"/>
    <x v="0"/>
    <n v="1"/>
    <x v="2"/>
  </r>
  <r>
    <x v="3138"/>
    <x v="1394"/>
    <x v="36"/>
    <s v="Rwanda"/>
    <s v="Nigeria"/>
    <n v="1"/>
    <n v="1"/>
    <s v="FIFA World Cup qualification"/>
    <s v="Kigali"/>
    <s v="Rwanda"/>
    <b v="0"/>
    <n v="2005"/>
    <n v="2933819766"/>
    <n v="175670569969"/>
    <x v="0"/>
    <n v="0"/>
    <x v="1"/>
  </r>
  <r>
    <x v="3139"/>
    <x v="1394"/>
    <x v="36"/>
    <s v="Togo"/>
    <s v="Zambia"/>
    <n v="4"/>
    <n v="1"/>
    <s v="FIFA World Cup qualification"/>
    <s v="Lom√©"/>
    <s v="Togo"/>
    <b v="0"/>
    <n v="2005"/>
    <n v="3221910408"/>
    <n v="8331870169"/>
    <x v="0"/>
    <n v="-1"/>
    <x v="0"/>
  </r>
  <r>
    <x v="3140"/>
    <x v="1394"/>
    <x v="36"/>
    <s v="Zimbabwe"/>
    <s v="Gabon"/>
    <n v="1"/>
    <n v="0"/>
    <s v="FIFA World Cup qualification"/>
    <s v="Harare"/>
    <s v="Zimbabwe"/>
    <b v="0"/>
    <n v="2005"/>
    <n v="5758250000"/>
    <n v="9582783990"/>
    <x v="1"/>
    <n v="-1"/>
    <x v="0"/>
  </r>
  <r>
    <x v="3141"/>
    <x v="1395"/>
    <x v="36"/>
    <s v="Peru"/>
    <s v="Uruguay"/>
    <n v="0"/>
    <n v="0"/>
    <s v="FIFA World Cup qualification"/>
    <s v="Lima"/>
    <s v="Peru"/>
    <b v="0"/>
    <n v="2005"/>
    <n v="76060606060"/>
    <n v="17362857683"/>
    <x v="0"/>
    <n v="0"/>
    <x v="1"/>
  </r>
  <r>
    <x v="3142"/>
    <x v="1396"/>
    <x v="36"/>
    <s v="Argentina"/>
    <s v="Brazil"/>
    <n v="3"/>
    <n v="1"/>
    <s v="FIFA World Cup qualification"/>
    <s v="Buenos Aires"/>
    <s v="Argentina"/>
    <b v="0"/>
    <n v="2005"/>
    <n v="198737095012"/>
    <n v="891633826625"/>
    <x v="0"/>
    <n v="-1"/>
    <x v="0"/>
  </r>
  <r>
    <x v="3143"/>
    <x v="1396"/>
    <x v="36"/>
    <s v="Chile"/>
    <s v="Venezuela"/>
    <n v="2"/>
    <n v="1"/>
    <s v="FIFA World Cup qualification"/>
    <s v="Santiago"/>
    <s v="Chile"/>
    <b v="0"/>
    <n v="2005"/>
    <n v="122294145163"/>
    <n v="145513489651"/>
    <x v="1"/>
    <n v="-1"/>
    <x v="0"/>
  </r>
  <r>
    <x v="3144"/>
    <x v="1396"/>
    <x v="36"/>
    <s v="Colombia"/>
    <s v="Ecuador"/>
    <n v="3"/>
    <n v="0"/>
    <s v="FIFA World Cup qualification"/>
    <s v="Barranquilla"/>
    <s v="Colombia"/>
    <b v="0"/>
    <n v="2005"/>
    <n v="145600529605"/>
    <n v="40278849000"/>
    <x v="0"/>
    <n v="1"/>
    <x v="2"/>
  </r>
  <r>
    <x v="3145"/>
    <x v="1396"/>
    <x v="36"/>
    <s v="Costa Rica"/>
    <s v="Guatemala"/>
    <n v="3"/>
    <n v="2"/>
    <s v="FIFA World Cup qualification"/>
    <s v="San Jos√©"/>
    <s v="Costa Rica"/>
    <b v="0"/>
    <n v="2005"/>
    <n v="20040642476"/>
    <n v="26783389293"/>
    <x v="1"/>
    <n v="-1"/>
    <x v="0"/>
  </r>
  <r>
    <x v="3146"/>
    <x v="1396"/>
    <x v="36"/>
    <s v="Denmark"/>
    <s v="Albania"/>
    <n v="3"/>
    <n v="1"/>
    <s v="FIFA World Cup qualification"/>
    <s v="Copenhagen"/>
    <s v="Denmark"/>
    <b v="0"/>
    <n v="2005"/>
    <n v="265150087711"/>
    <n v="8256658249"/>
    <x v="0"/>
    <n v="1"/>
    <x v="2"/>
  </r>
  <r>
    <x v="3147"/>
    <x v="1396"/>
    <x v="36"/>
    <s v="Estonia"/>
    <s v="Portugal"/>
    <n v="0"/>
    <n v="1"/>
    <s v="FIFA World Cup qualification"/>
    <s v="Tallinn"/>
    <s v="Estonia"/>
    <b v="0"/>
    <n v="2005"/>
    <n v="14109491356"/>
    <n v="197253876704"/>
    <x v="0"/>
    <n v="1"/>
    <x v="2"/>
  </r>
  <r>
    <x v="3148"/>
    <x v="1396"/>
    <x v="36"/>
    <s v="Finland"/>
    <s v="Netherlands"/>
    <n v="0"/>
    <n v="4"/>
    <s v="FIFA World Cup qualification"/>
    <s v="Helsinki"/>
    <s v="Finland"/>
    <b v="0"/>
    <n v="2005"/>
    <n v="204859368790"/>
    <n v="688133699635"/>
    <x v="0"/>
    <n v="1"/>
    <x v="2"/>
  </r>
  <r>
    <x v="3149"/>
    <x v="1396"/>
    <x v="36"/>
    <s v="Greece"/>
    <s v="Ukraine"/>
    <n v="0"/>
    <n v="1"/>
    <s v="FIFA World Cup qualification"/>
    <s v="Piraeus"/>
    <s v="Greece"/>
    <b v="0"/>
    <n v="2005"/>
    <n v="242315668619"/>
    <n v="89238865118"/>
    <x v="0"/>
    <n v="-1"/>
    <x v="0"/>
  </r>
  <r>
    <x v="3150"/>
    <x v="1396"/>
    <x v="36"/>
    <s v="Iceland"/>
    <s v="Malta"/>
    <n v="4"/>
    <n v="1"/>
    <s v="FIFA World Cup qualification"/>
    <s v="Reykjav√≠k"/>
    <s v="Iceland"/>
    <b v="0"/>
    <n v="2005"/>
    <n v="17146410560"/>
    <n v="6393234992"/>
    <x v="0"/>
    <n v="1"/>
    <x v="2"/>
  </r>
  <r>
    <x v="3151"/>
    <x v="1396"/>
    <x v="36"/>
    <s v="Iran"/>
    <s v="Bahrain"/>
    <n v="1"/>
    <n v="0"/>
    <s v="FIFA World Cup qualification"/>
    <s v="Tehran"/>
    <s v="Iran"/>
    <b v="0"/>
    <n v="2005"/>
    <n v="224970371324"/>
    <n v="15968723404"/>
    <x v="0"/>
    <n v="1"/>
    <x v="2"/>
  </r>
  <r>
    <x v="3152"/>
    <x v="1396"/>
    <x v="36"/>
    <s v="Kuwait"/>
    <s v="South Korea"/>
    <n v="0"/>
    <n v="4"/>
    <s v="FIFA World Cup qualification"/>
    <s v="Kuwait City"/>
    <s v="Kuwait"/>
    <b v="0"/>
    <n v="2005"/>
    <n v="80798630136"/>
    <n v="971740329983"/>
    <x v="0"/>
    <n v="1"/>
    <x v="2"/>
  </r>
  <r>
    <x v="3153"/>
    <x v="1396"/>
    <x v="36"/>
    <s v="Latvia"/>
    <s v="Liechtenstein"/>
    <n v="1"/>
    <n v="0"/>
    <s v="FIFA World Cup qualification"/>
    <s v="Riga"/>
    <s v="Latvia"/>
    <b v="0"/>
    <n v="2005"/>
    <n v="16306935905"/>
    <n v="3659319116"/>
    <x v="0"/>
    <n v="1"/>
    <x v="2"/>
  </r>
  <r>
    <x v="3154"/>
    <x v="1396"/>
    <x v="36"/>
    <s v="Mexico"/>
    <s v="Trinidad and Tobago"/>
    <n v="2"/>
    <n v="0"/>
    <s v="FIFA World Cup qualification"/>
    <s v="Monterrey"/>
    <s v="Mexico"/>
    <b v="0"/>
    <n v="2005"/>
    <n v="917571853529"/>
    <n v="15982389018"/>
    <x v="0"/>
    <n v="1"/>
    <x v="2"/>
  </r>
  <r>
    <x v="3155"/>
    <x v="1396"/>
    <x v="36"/>
    <s v="Panama"/>
    <s v="United States"/>
    <n v="0"/>
    <n v="3"/>
    <s v="FIFA World Cup qualification"/>
    <s v="Panama City"/>
    <s v="Panama"/>
    <b v="0"/>
    <n v="2005"/>
    <n v="16623906739"/>
    <n v="13039199193000"/>
    <x v="0"/>
    <n v="1"/>
    <x v="2"/>
  </r>
  <r>
    <x v="3156"/>
    <x v="1396"/>
    <x v="36"/>
    <s v="Paraguay"/>
    <s v="Bolivia"/>
    <n v="4"/>
    <n v="1"/>
    <s v="FIFA World Cup qualification"/>
    <s v="Asunci√≥n"/>
    <s v="Paraguay"/>
    <b v="0"/>
    <n v="2005"/>
    <n v="10737500188"/>
    <n v="9549122905"/>
    <x v="1"/>
    <n v="1"/>
    <x v="2"/>
  </r>
  <r>
    <x v="3157"/>
    <x v="1396"/>
    <x v="36"/>
    <s v="Romania"/>
    <s v="Armenia"/>
    <n v="3"/>
    <n v="0"/>
    <s v="FIFA World Cup qualification"/>
    <s v="Constan≈£a"/>
    <s v="Romania"/>
    <b v="0"/>
    <n v="2005"/>
    <n v="98454380120"/>
    <n v="4900469511"/>
    <x v="0"/>
    <n v="1"/>
    <x v="2"/>
  </r>
  <r>
    <x v="3158"/>
    <x v="1396"/>
    <x v="36"/>
    <s v="Saudi Arabia"/>
    <s v="Uzbekistan"/>
    <n v="3"/>
    <n v="0"/>
    <s v="FIFA World Cup qualification"/>
    <s v="Riyadh"/>
    <s v="Saudi Arabia"/>
    <b v="0"/>
    <n v="2005"/>
    <n v="328459608764"/>
    <n v="14307509838"/>
    <x v="0"/>
    <n v="1"/>
    <x v="2"/>
  </r>
  <r>
    <x v="3159"/>
    <x v="1396"/>
    <x v="36"/>
    <s v="Spain"/>
    <s v="Bosnia and Herzegovina"/>
    <n v="1"/>
    <n v="1"/>
    <s v="FIFA World Cup qualification"/>
    <s v="Valencia"/>
    <s v="Spain"/>
    <b v="0"/>
    <n v="2005"/>
    <n v="1154667551775"/>
    <n v="11222796336"/>
    <x v="0"/>
    <n v="0"/>
    <x v="1"/>
  </r>
  <r>
    <x v="3160"/>
    <x v="1397"/>
    <x v="36"/>
    <s v="Tunisia"/>
    <s v="Guinea"/>
    <n v="2"/>
    <n v="0"/>
    <s v="FIFA World Cup qualification"/>
    <s v="Rad√®s"/>
    <s v="Tunisia"/>
    <b v="0"/>
    <n v="2005"/>
    <n v="32272186694"/>
    <n v="4282468636"/>
    <x v="0"/>
    <n v="1"/>
    <x v="2"/>
  </r>
  <r>
    <x v="3161"/>
    <x v="1398"/>
    <x v="36"/>
    <s v="Gabon"/>
    <s v="Rwanda"/>
    <n v="3"/>
    <n v="0"/>
    <s v="FIFA World Cup qualification"/>
    <s v="Libreville"/>
    <s v="Gabon"/>
    <b v="0"/>
    <n v="2005"/>
    <n v="9582783990"/>
    <n v="2933819766"/>
    <x v="0"/>
    <n v="1"/>
    <x v="2"/>
  </r>
  <r>
    <x v="3162"/>
    <x v="1398"/>
    <x v="36"/>
    <s v="Kenya"/>
    <s v="Morocco"/>
    <n v="0"/>
    <n v="0"/>
    <s v="FIFA World Cup qualification"/>
    <s v="Nairobi"/>
    <s v="Kenya"/>
    <b v="0"/>
    <n v="2005"/>
    <n v="18737895512"/>
    <n v="68852658068"/>
    <x v="0"/>
    <n v="0"/>
    <x v="1"/>
  </r>
  <r>
    <x v="3163"/>
    <x v="1398"/>
    <x v="36"/>
    <s v="Malawi"/>
    <s v="Botswana"/>
    <n v="1"/>
    <n v="3"/>
    <s v="FIFA World Cup qualification"/>
    <s v="Blantyre"/>
    <s v="Malawi"/>
    <b v="0"/>
    <n v="2005"/>
    <n v="5320409651"/>
    <n v="9918907108"/>
    <x v="1"/>
    <n v="1"/>
    <x v="2"/>
  </r>
  <r>
    <x v="3164"/>
    <x v="1398"/>
    <x v="36"/>
    <s v="Nigeria"/>
    <s v="Angola"/>
    <n v="1"/>
    <n v="1"/>
    <s v="FIFA World Cup qualification"/>
    <s v="Kano"/>
    <s v="Nigeria"/>
    <b v="0"/>
    <n v="2005"/>
    <n v="175670569969"/>
    <n v="41396636383"/>
    <x v="0"/>
    <n v="0"/>
    <x v="1"/>
  </r>
  <r>
    <x v="3165"/>
    <x v="1398"/>
    <x v="36"/>
    <s v="Senegal"/>
    <s v="Togo"/>
    <n v="2"/>
    <n v="2"/>
    <s v="FIFA World Cup qualification"/>
    <s v="Dakar"/>
    <s v="Senegal"/>
    <b v="0"/>
    <n v="2005"/>
    <n v="11009033437"/>
    <n v="3221910408"/>
    <x v="0"/>
    <n v="0"/>
    <x v="1"/>
  </r>
  <r>
    <x v="3166"/>
    <x v="1398"/>
    <x v="36"/>
    <s v="South Africa"/>
    <s v="Ghana"/>
    <n v="0"/>
    <n v="2"/>
    <s v="FIFA World Cup qualification"/>
    <s v="Johannesburg"/>
    <s v="South Africa"/>
    <b v="0"/>
    <n v="2005"/>
    <n v="288867217196"/>
    <n v="10744568381"/>
    <x v="0"/>
    <n v="-1"/>
    <x v="0"/>
  </r>
  <r>
    <x v="3167"/>
    <x v="1398"/>
    <x v="36"/>
    <s v="Zambia"/>
    <s v="Mali"/>
    <n v="2"/>
    <n v="1"/>
    <s v="FIFA World Cup qualification"/>
    <s v="Chililabombwe"/>
    <s v="Zambia"/>
    <b v="0"/>
    <n v="2005"/>
    <n v="8331870169"/>
    <n v="7429066951"/>
    <x v="1"/>
    <n v="1"/>
    <x v="2"/>
  </r>
  <r>
    <x v="3168"/>
    <x v="1399"/>
    <x v="36"/>
    <s v="Algeria"/>
    <s v="Zimbabwe"/>
    <n v="2"/>
    <n v="2"/>
    <s v="FIFA World Cup qualification"/>
    <s v="Oran"/>
    <s v="Algeria"/>
    <b v="0"/>
    <n v="2005"/>
    <n v="107046618669"/>
    <n v="5758250000"/>
    <x v="0"/>
    <n v="0"/>
    <x v="1"/>
  </r>
  <r>
    <x v="3169"/>
    <x v="1399"/>
    <x v="36"/>
    <s v="Cameroon"/>
    <s v="Libya"/>
    <n v="1"/>
    <n v="0"/>
    <s v="FIFA World Cup qualification"/>
    <s v="Yaound√©"/>
    <s v="Cameroon"/>
    <b v="0"/>
    <n v="2005"/>
    <n v="19509852206"/>
    <n v="47334691241"/>
    <x v="0"/>
    <n v="-1"/>
    <x v="0"/>
  </r>
  <r>
    <x v="3170"/>
    <x v="1400"/>
    <x v="36"/>
    <s v="Faroe Islands"/>
    <s v="Cyprus"/>
    <n v="0"/>
    <n v="3"/>
    <s v="FIFA World Cup qualification"/>
    <s v="Toftir"/>
    <s v="Faroe Islands"/>
    <b v="0"/>
    <n v="2005"/>
    <n v="1759739599"/>
    <n v="18433412510"/>
    <x v="0"/>
    <n v="1"/>
    <x v="2"/>
  </r>
  <r>
    <x v="3171"/>
    <x v="1400"/>
    <x v="36"/>
    <s v="Guatemala"/>
    <s v="Panama"/>
    <n v="2"/>
    <n v="1"/>
    <s v="FIFA World Cup qualification"/>
    <s v="Guatemala City"/>
    <s v="Guatemala"/>
    <b v="0"/>
    <n v="2005"/>
    <n v="26783389293"/>
    <n v="16623906739"/>
    <x v="1"/>
    <n v="1"/>
    <x v="2"/>
  </r>
  <r>
    <x v="3172"/>
    <x v="1400"/>
    <x v="36"/>
    <s v="Japan"/>
    <s v="Iran"/>
    <n v="2"/>
    <n v="1"/>
    <s v="FIFA World Cup qualification"/>
    <s v="Yokohama"/>
    <s v="Japan"/>
    <b v="0"/>
    <n v="2005"/>
    <n v="4831467035389"/>
    <n v="224970371324"/>
    <x v="0"/>
    <n v="1"/>
    <x v="2"/>
  </r>
  <r>
    <x v="3173"/>
    <x v="1400"/>
    <x v="36"/>
    <s v="Kazakhstan"/>
    <s v="Georgia"/>
    <n v="1"/>
    <n v="2"/>
    <s v="FIFA World Cup qualification"/>
    <s v="Almaty"/>
    <s v="Kazakhstan"/>
    <b v="0"/>
    <n v="2005"/>
    <n v="57123671733"/>
    <n v="6410912049"/>
    <x v="0"/>
    <n v="-1"/>
    <x v="0"/>
  </r>
  <r>
    <x v="3174"/>
    <x v="1400"/>
    <x v="36"/>
    <s v="South Korea"/>
    <s v="Saudi Arabia"/>
    <n v="0"/>
    <n v="1"/>
    <s v="FIFA World Cup qualification"/>
    <s v="Seoul"/>
    <s v="South Korea"/>
    <b v="0"/>
    <n v="2005"/>
    <n v="971740329983"/>
    <n v="328459608764"/>
    <x v="0"/>
    <n v="-1"/>
    <x v="0"/>
  </r>
  <r>
    <x v="3175"/>
    <x v="1400"/>
    <x v="36"/>
    <s v="Latvia"/>
    <s v="Russia"/>
    <n v="1"/>
    <n v="1"/>
    <s v="FIFA World Cup qualification"/>
    <s v="Riga"/>
    <s v="Latvia"/>
    <b v="0"/>
    <n v="2005"/>
    <n v="16306935905"/>
    <n v="764015973481"/>
    <x v="0"/>
    <n v="0"/>
    <x v="1"/>
  </r>
  <r>
    <x v="3176"/>
    <x v="1400"/>
    <x v="36"/>
    <s v="North Macedonia"/>
    <s v="Finland"/>
    <n v="0"/>
    <n v="3"/>
    <s v="FIFA World Cup qualification"/>
    <s v="Skopje"/>
    <s v="North Macedonia"/>
    <b v="0"/>
    <n v="2005"/>
    <n v="6258602872"/>
    <n v="204859368790"/>
    <x v="0"/>
    <n v="1"/>
    <x v="2"/>
  </r>
  <r>
    <x v="3177"/>
    <x v="1400"/>
    <x v="36"/>
    <s v="Mexico"/>
    <s v="Costa Rica"/>
    <n v="2"/>
    <n v="0"/>
    <s v="FIFA World Cup qualification"/>
    <s v="Mexico City"/>
    <s v="Mexico"/>
    <b v="0"/>
    <n v="2005"/>
    <n v="917571853529"/>
    <n v="20040642476"/>
    <x v="0"/>
    <n v="1"/>
    <x v="2"/>
  </r>
  <r>
    <x v="3178"/>
    <x v="1400"/>
    <x v="36"/>
    <s v="Romania"/>
    <s v="Andorra"/>
    <n v="2"/>
    <n v="0"/>
    <s v="FIFA World Cup qualification"/>
    <s v="Constan≈£a"/>
    <s v="Romania"/>
    <b v="0"/>
    <n v="2005"/>
    <n v="98454380120"/>
    <n v="3161084846"/>
    <x v="0"/>
    <n v="1"/>
    <x v="2"/>
  </r>
  <r>
    <x v="3179"/>
    <x v="1400"/>
    <x v="36"/>
    <s v="Sudan"/>
    <s v="Benin"/>
    <n v="1"/>
    <n v="0"/>
    <s v="FIFA World Cup qualification"/>
    <s v="Omdurman"/>
    <s v="Sudan"/>
    <b v="0"/>
    <n v="2005"/>
    <n v="35182711987"/>
    <n v="6567654954"/>
    <x v="0"/>
    <n v="1"/>
    <x v="2"/>
  </r>
  <r>
    <x v="3180"/>
    <x v="1400"/>
    <x v="36"/>
    <s v="Tunisia"/>
    <s v="Kenya"/>
    <n v="1"/>
    <n v="0"/>
    <s v="FIFA World Cup qualification"/>
    <s v="Rad√®s"/>
    <s v="Tunisia"/>
    <b v="0"/>
    <n v="2005"/>
    <n v="32272186694"/>
    <n v="18737895512"/>
    <x v="1"/>
    <n v="1"/>
    <x v="2"/>
  </r>
  <r>
    <x v="3181"/>
    <x v="1400"/>
    <x v="36"/>
    <s v="United States"/>
    <s v="Trinidad and Tobago"/>
    <n v="1"/>
    <n v="0"/>
    <s v="FIFA World Cup qualification"/>
    <s v="Hartford"/>
    <s v="United States"/>
    <b v="0"/>
    <n v="2005"/>
    <n v="13039199193000"/>
    <n v="15982389018"/>
    <x v="0"/>
    <n v="1"/>
    <x v="2"/>
  </r>
  <r>
    <x v="3182"/>
    <x v="1400"/>
    <x v="36"/>
    <s v="Uzbekistan"/>
    <s v="Kuwait"/>
    <n v="3"/>
    <n v="2"/>
    <s v="FIFA World Cup qualification"/>
    <s v="Tashkent"/>
    <s v="Uzbekistan"/>
    <b v="0"/>
    <n v="2005"/>
    <n v="14307509838"/>
    <n v="80798630136"/>
    <x v="0"/>
    <n v="-1"/>
    <x v="0"/>
  </r>
  <r>
    <x v="3183"/>
    <x v="1401"/>
    <x v="36"/>
    <s v="Libya"/>
    <s v="Sudan"/>
    <n v="0"/>
    <n v="0"/>
    <s v="FIFA World Cup qualification"/>
    <s v="Tripoli"/>
    <s v="Libya"/>
    <b v="0"/>
    <n v="2005"/>
    <n v="47334691241"/>
    <n v="35182711987"/>
    <x v="1"/>
    <n v="0"/>
    <x v="1"/>
  </r>
  <r>
    <x v="3184"/>
    <x v="1402"/>
    <x v="36"/>
    <s v="Albania"/>
    <s v="Kazakhstan"/>
    <n v="2"/>
    <n v="1"/>
    <s v="FIFA World Cup qualification"/>
    <s v="Tirana"/>
    <s v="Albania"/>
    <b v="0"/>
    <n v="2005"/>
    <n v="8256658249"/>
    <n v="57123671733"/>
    <x v="0"/>
    <n v="-1"/>
    <x v="0"/>
  </r>
  <r>
    <x v="3185"/>
    <x v="1402"/>
    <x v="36"/>
    <s v="Andorra"/>
    <s v="Finland"/>
    <n v="0"/>
    <n v="0"/>
    <s v="FIFA World Cup qualification"/>
    <s v="Sant Juli√† de L√≤ria"/>
    <s v="Andorra"/>
    <b v="0"/>
    <n v="2005"/>
    <n v="3161084846"/>
    <n v="204859368790"/>
    <x v="0"/>
    <n v="0"/>
    <x v="1"/>
  </r>
  <r>
    <x v="3186"/>
    <x v="1402"/>
    <x v="36"/>
    <s v="Armenia"/>
    <s v="Netherlands"/>
    <n v="0"/>
    <n v="1"/>
    <s v="FIFA World Cup qualification"/>
    <s v="Yerevan"/>
    <s v="Armenia"/>
    <b v="0"/>
    <n v="2005"/>
    <n v="4900469511"/>
    <n v="688133699635"/>
    <x v="0"/>
    <n v="1"/>
    <x v="2"/>
  </r>
  <r>
    <x v="3187"/>
    <x v="1402"/>
    <x v="36"/>
    <s v="Australia"/>
    <s v="Solomon Islands"/>
    <n v="7"/>
    <n v="0"/>
    <s v="FIFA World Cup qualification"/>
    <s v="Sydney"/>
    <s v="Australia"/>
    <b v="0"/>
    <n v="2005"/>
    <n v="696811489612"/>
    <n v="552881356"/>
    <x v="0"/>
    <n v="1"/>
    <x v="2"/>
  </r>
  <r>
    <x v="3188"/>
    <x v="1402"/>
    <x v="36"/>
    <s v="Bolivia"/>
    <s v="Ecuador"/>
    <n v="1"/>
    <n v="2"/>
    <s v="FIFA World Cup qualification"/>
    <s v="La Paz"/>
    <s v="Bolivia"/>
    <b v="0"/>
    <n v="2005"/>
    <n v="9549122905"/>
    <n v="40278849000"/>
    <x v="0"/>
    <n v="1"/>
    <x v="2"/>
  </r>
  <r>
    <x v="3189"/>
    <x v="1402"/>
    <x v="36"/>
    <s v="Bosnia and Herzegovina"/>
    <s v="Belgium"/>
    <n v="1"/>
    <n v="0"/>
    <s v="FIFA World Cup qualification"/>
    <s v="Zenica"/>
    <s v="Bosnia and Herzegovina"/>
    <b v="0"/>
    <n v="2005"/>
    <n v="11222796336"/>
    <n v="385714762230"/>
    <x v="0"/>
    <n v="-1"/>
    <x v="0"/>
  </r>
  <r>
    <x v="3190"/>
    <x v="1402"/>
    <x v="36"/>
    <s v="Burkina Faso"/>
    <s v="South Africa"/>
    <n v="3"/>
    <n v="1"/>
    <s v="FIFA World Cup qualification"/>
    <s v="Ouagadougou"/>
    <s v="Burkina Faso"/>
    <b v="0"/>
    <n v="2005"/>
    <n v="6146353173"/>
    <n v="288867217196"/>
    <x v="0"/>
    <n v="-1"/>
    <x v="0"/>
  </r>
  <r>
    <x v="3191"/>
    <x v="1402"/>
    <x v="36"/>
    <s v="Estonia"/>
    <s v="Latvia"/>
    <n v="2"/>
    <n v="1"/>
    <s v="FIFA World Cup qualification"/>
    <s v="Tallinn"/>
    <s v="Estonia"/>
    <b v="0"/>
    <n v="2005"/>
    <n v="14109491356"/>
    <n v="16306935905"/>
    <x v="1"/>
    <n v="-1"/>
    <x v="0"/>
  </r>
  <r>
    <x v="3192"/>
    <x v="1402"/>
    <x v="36"/>
    <s v="France"/>
    <s v="Faroe Islands"/>
    <n v="3"/>
    <n v="0"/>
    <s v="FIFA World Cup qualification"/>
    <s v="Lens"/>
    <s v="France"/>
    <b v="0"/>
    <n v="2005"/>
    <n v="2192146403028"/>
    <n v="1759739599"/>
    <x v="0"/>
    <n v="1"/>
    <x v="2"/>
  </r>
  <r>
    <x v="3193"/>
    <x v="1402"/>
    <x v="36"/>
    <s v="Georgia"/>
    <s v="Ukraine"/>
    <n v="1"/>
    <n v="1"/>
    <s v="FIFA World Cup qualification"/>
    <s v="Tbilisi"/>
    <s v="Georgia"/>
    <b v="0"/>
    <n v="2005"/>
    <n v="6410912049"/>
    <n v="89238865118"/>
    <x v="0"/>
    <n v="0"/>
    <x v="1"/>
  </r>
  <r>
    <x v="3194"/>
    <x v="1402"/>
    <x v="36"/>
    <s v="Hungary"/>
    <s v="Malta"/>
    <n v="4"/>
    <n v="0"/>
    <s v="FIFA World Cup qualification"/>
    <s v="Budapest"/>
    <s v="Hungary"/>
    <b v="0"/>
    <n v="2005"/>
    <n v="113098237570"/>
    <n v="6393234992"/>
    <x v="0"/>
    <n v="1"/>
    <x v="2"/>
  </r>
  <r>
    <x v="3195"/>
    <x v="1402"/>
    <x v="36"/>
    <s v="Iceland"/>
    <s v="Croatia"/>
    <n v="1"/>
    <n v="3"/>
    <s v="FIFA World Cup qualification"/>
    <s v="Reykjav√≠k"/>
    <s v="Iceland"/>
    <b v="0"/>
    <n v="2005"/>
    <n v="17146410560"/>
    <n v="45013119281"/>
    <x v="0"/>
    <n v="1"/>
    <x v="2"/>
  </r>
  <r>
    <x v="3196"/>
    <x v="1402"/>
    <x v="36"/>
    <s v="Kenya"/>
    <s v="Tunisia"/>
    <n v="0"/>
    <n v="2"/>
    <s v="FIFA World Cup qualification"/>
    <s v="Nairobi"/>
    <s v="Kenya"/>
    <b v="0"/>
    <n v="2005"/>
    <n v="18737895512"/>
    <n v="32272186694"/>
    <x v="1"/>
    <n v="1"/>
    <x v="2"/>
  </r>
  <r>
    <x v="3197"/>
    <x v="1402"/>
    <x v="36"/>
    <s v="Moldova"/>
    <s v="Belarus"/>
    <n v="2"/>
    <n v="0"/>
    <s v="FIFA World Cup qualification"/>
    <s v="Chi»ôinƒÉu"/>
    <s v="Moldova"/>
    <b v="0"/>
    <n v="2005"/>
    <n v="2988342907"/>
    <n v="30210091836"/>
    <x v="0"/>
    <n v="-1"/>
    <x v="0"/>
  </r>
  <r>
    <x v="3198"/>
    <x v="1402"/>
    <x v="36"/>
    <s v="Morocco"/>
    <s v="Botswana"/>
    <n v="1"/>
    <n v="0"/>
    <s v="FIFA World Cup qualification"/>
    <s v="Rabat"/>
    <s v="Morocco"/>
    <b v="0"/>
    <n v="2005"/>
    <n v="68852658068"/>
    <n v="9918907108"/>
    <x v="0"/>
    <n v="1"/>
    <x v="2"/>
  </r>
  <r>
    <x v="3199"/>
    <x v="1402"/>
    <x v="36"/>
    <s v="Panama"/>
    <s v="Costa Rica"/>
    <n v="1"/>
    <n v="3"/>
    <s v="FIFA World Cup qualification"/>
    <s v="Panama City"/>
    <s v="Panama"/>
    <b v="0"/>
    <n v="2005"/>
    <n v="16623906739"/>
    <n v="20040642476"/>
    <x v="1"/>
    <n v="1"/>
    <x v="2"/>
  </r>
  <r>
    <x v="3200"/>
    <x v="1402"/>
    <x v="36"/>
    <s v="Paraguay"/>
    <s v="Argentina"/>
    <n v="1"/>
    <n v="0"/>
    <s v="FIFA World Cup qualification"/>
    <s v="Asunci√≥n"/>
    <s v="Paraguay"/>
    <b v="0"/>
    <n v="2005"/>
    <n v="10737500188"/>
    <n v="198737095012"/>
    <x v="0"/>
    <n v="-1"/>
    <x v="0"/>
  </r>
  <r>
    <x v="3201"/>
    <x v="1402"/>
    <x v="36"/>
    <s v="Poland"/>
    <s v="Austria"/>
    <n v="3"/>
    <n v="2"/>
    <s v="FIFA World Cup qualification"/>
    <s v="Chorz√≥w"/>
    <s v="Poland"/>
    <b v="0"/>
    <n v="2005"/>
    <n v="306999913150"/>
    <n v="313952317330"/>
    <x v="1"/>
    <n v="-1"/>
    <x v="0"/>
  </r>
  <r>
    <x v="3202"/>
    <x v="1402"/>
    <x v="36"/>
    <s v="Portugal"/>
    <s v="Luxembourg"/>
    <n v="6"/>
    <n v="0"/>
    <s v="FIFA World Cup qualification"/>
    <s v="Faro"/>
    <s v="Portugal"/>
    <b v="0"/>
    <n v="2005"/>
    <n v="197253876704"/>
    <n v="37672280120"/>
    <x v="0"/>
    <n v="1"/>
    <x v="2"/>
  </r>
  <r>
    <x v="3203"/>
    <x v="1402"/>
    <x v="36"/>
    <s v="Russia"/>
    <s v="Liechtenstein"/>
    <n v="2"/>
    <n v="0"/>
    <s v="FIFA World Cup qualification"/>
    <s v="Moscow"/>
    <s v="Russia"/>
    <b v="0"/>
    <n v="2005"/>
    <n v="764015973481"/>
    <n v="3659319116"/>
    <x v="0"/>
    <n v="1"/>
    <x v="2"/>
  </r>
  <r>
    <x v="3204"/>
    <x v="1402"/>
    <x v="36"/>
    <s v="Serbia"/>
    <s v="Lithuania"/>
    <n v="2"/>
    <n v="0"/>
    <s v="FIFA World Cup qualification"/>
    <s v="Belgrade"/>
    <s v="Serbia and Montenegro"/>
    <b v="0"/>
    <n v="2005"/>
    <n v="28334256180"/>
    <n v="26105207115"/>
    <x v="1"/>
    <n v="1"/>
    <x v="2"/>
  </r>
  <r>
    <x v="3205"/>
    <x v="1402"/>
    <x v="36"/>
    <s v="Slovenia"/>
    <s v="Norway"/>
    <n v="2"/>
    <n v="3"/>
    <s v="FIFA World Cup qualification"/>
    <s v="Celje"/>
    <s v="Slovenia"/>
    <b v="0"/>
    <n v="2005"/>
    <n v="35947936823"/>
    <n v="309978579743"/>
    <x v="0"/>
    <n v="1"/>
    <x v="2"/>
  </r>
  <r>
    <x v="3206"/>
    <x v="1402"/>
    <x v="36"/>
    <s v="Sweden"/>
    <s v="Bulgaria"/>
    <n v="3"/>
    <n v="0"/>
    <s v="FIFA World Cup qualification"/>
    <s v="Solna"/>
    <s v="Sweden"/>
    <b v="0"/>
    <n v="2005"/>
    <n v="391688455928"/>
    <n v="29868657858"/>
    <x v="0"/>
    <n v="1"/>
    <x v="2"/>
  </r>
  <r>
    <x v="3207"/>
    <x v="1402"/>
    <x v="36"/>
    <s v="Switzerland"/>
    <s v="Israel"/>
    <n v="1"/>
    <n v="1"/>
    <s v="FIFA World Cup qualification"/>
    <s v="Basel"/>
    <s v="Switzerland"/>
    <b v="0"/>
    <n v="2005"/>
    <n v="418284865884"/>
    <n v="147519922009"/>
    <x v="0"/>
    <n v="0"/>
    <x v="1"/>
  </r>
  <r>
    <x v="3208"/>
    <x v="1402"/>
    <x v="36"/>
    <s v="Trinidad and Tobago"/>
    <s v="Guatemala"/>
    <n v="3"/>
    <n v="2"/>
    <s v="FIFA World Cup qualification"/>
    <s v="Port of Spain"/>
    <s v="Trinidad and Tobago"/>
    <b v="0"/>
    <n v="2005"/>
    <n v="15982389018"/>
    <n v="26783389293"/>
    <x v="1"/>
    <n v="-1"/>
    <x v="0"/>
  </r>
  <r>
    <x v="3209"/>
    <x v="1402"/>
    <x v="36"/>
    <s v="United States"/>
    <s v="Mexico"/>
    <n v="2"/>
    <n v="0"/>
    <s v="FIFA World Cup qualification"/>
    <s v="Columbus"/>
    <s v="United States"/>
    <b v="0"/>
    <n v="2005"/>
    <n v="13039199193000"/>
    <n v="917571853529"/>
    <x v="0"/>
    <n v="1"/>
    <x v="2"/>
  </r>
  <r>
    <x v="3210"/>
    <x v="1402"/>
    <x v="36"/>
    <s v="Venezuela"/>
    <s v="Peru"/>
    <n v="4"/>
    <n v="1"/>
    <s v="FIFA World Cup qualification"/>
    <s v="Maracaibo"/>
    <s v="Venezuela"/>
    <b v="0"/>
    <n v="2005"/>
    <n v="145513489651"/>
    <n v="76060606060"/>
    <x v="1"/>
    <n v="1"/>
    <x v="2"/>
  </r>
  <r>
    <x v="3211"/>
    <x v="1402"/>
    <x v="36"/>
    <s v="Zambia"/>
    <s v="Senegal"/>
    <n v="0"/>
    <n v="1"/>
    <s v="FIFA World Cup qualification"/>
    <s v="Chililabombwe"/>
    <s v="Zambia"/>
    <b v="0"/>
    <n v="2005"/>
    <n v="8331870169"/>
    <n v="11009033437"/>
    <x v="1"/>
    <n v="1"/>
    <x v="2"/>
  </r>
  <r>
    <x v="3212"/>
    <x v="1403"/>
    <x v="36"/>
    <s v="Algeria"/>
    <s v="Nigeria"/>
    <n v="2"/>
    <n v="5"/>
    <s v="FIFA World Cup qualification"/>
    <s v="Oran"/>
    <s v="Algeria"/>
    <b v="0"/>
    <n v="2005"/>
    <n v="107046618669"/>
    <n v="175670569969"/>
    <x v="1"/>
    <n v="1"/>
    <x v="2"/>
  </r>
  <r>
    <x v="3213"/>
    <x v="1403"/>
    <x v="36"/>
    <s v="Angola"/>
    <s v="Gabon"/>
    <n v="3"/>
    <n v="0"/>
    <s v="FIFA World Cup qualification"/>
    <s v="Luanda"/>
    <s v="Angola"/>
    <b v="0"/>
    <n v="2005"/>
    <n v="41396636383"/>
    <n v="9582783990"/>
    <x v="0"/>
    <n v="1"/>
    <x v="2"/>
  </r>
  <r>
    <x v="3214"/>
    <x v="1403"/>
    <x v="36"/>
    <s v="Brazil"/>
    <s v="Chile"/>
    <n v="5"/>
    <n v="0"/>
    <s v="FIFA World Cup qualification"/>
    <s v="Bras√≠lia"/>
    <s v="Brazil"/>
    <b v="0"/>
    <n v="2005"/>
    <n v="891633826625"/>
    <n v="122294145163"/>
    <x v="0"/>
    <n v="1"/>
    <x v="2"/>
  </r>
  <r>
    <x v="3215"/>
    <x v="1403"/>
    <x v="36"/>
    <s v="Egypt"/>
    <s v="Benin"/>
    <n v="4"/>
    <n v="1"/>
    <s v="FIFA World Cup qualification"/>
    <s v="Cairo"/>
    <s v="Egypt"/>
    <b v="0"/>
    <n v="2005"/>
    <n v="89660339660"/>
    <n v="6567654954"/>
    <x v="0"/>
    <n v="1"/>
    <x v="2"/>
  </r>
  <r>
    <x v="3216"/>
    <x v="1403"/>
    <x v="36"/>
    <s v="Ghana"/>
    <s v="Uganda"/>
    <n v="2"/>
    <n v="0"/>
    <s v="FIFA World Cup qualification"/>
    <s v="Kumasi"/>
    <s v="Ghana"/>
    <b v="0"/>
    <n v="2005"/>
    <n v="10744568381"/>
    <n v="9239221763"/>
    <x v="1"/>
    <n v="1"/>
    <x v="2"/>
  </r>
  <r>
    <x v="3217"/>
    <x v="1403"/>
    <x v="36"/>
    <s v="Guinea"/>
    <s v="Malawi"/>
    <n v="3"/>
    <n v="1"/>
    <s v="FIFA World Cup qualification"/>
    <s v="Conakry"/>
    <s v="Guinea"/>
    <b v="0"/>
    <n v="2005"/>
    <n v="4282468636"/>
    <n v="5320409651"/>
    <x v="1"/>
    <n v="-1"/>
    <x v="0"/>
  </r>
  <r>
    <x v="3218"/>
    <x v="1403"/>
    <x v="36"/>
    <s v="Togo"/>
    <s v="Liberia"/>
    <n v="3"/>
    <n v="0"/>
    <s v="FIFA World Cup qualification"/>
    <s v="Lom√©"/>
    <s v="Togo"/>
    <b v="0"/>
    <n v="2005"/>
    <n v="3221910408"/>
    <n v="949000000"/>
    <x v="0"/>
    <n v="1"/>
    <x v="2"/>
  </r>
  <r>
    <x v="3219"/>
    <x v="1403"/>
    <x v="36"/>
    <s v="Uruguay"/>
    <s v="Colombia"/>
    <n v="3"/>
    <n v="2"/>
    <s v="FIFA World Cup qualification"/>
    <s v="Montevideo"/>
    <s v="Uruguay"/>
    <b v="0"/>
    <n v="2005"/>
    <n v="17362857683"/>
    <n v="145600529605"/>
    <x v="0"/>
    <n v="-1"/>
    <x v="0"/>
  </r>
  <r>
    <x v="3220"/>
    <x v="1403"/>
    <x v="36"/>
    <s v="Zimbabwe"/>
    <s v="Rwanda"/>
    <n v="3"/>
    <n v="1"/>
    <s v="FIFA World Cup qualification"/>
    <s v="Harare"/>
    <s v="Zimbabwe"/>
    <b v="0"/>
    <n v="2005"/>
    <n v="5758250000"/>
    <n v="2933819766"/>
    <x v="1"/>
    <n v="1"/>
    <x v="2"/>
  </r>
  <r>
    <x v="3221"/>
    <x v="1404"/>
    <x v="36"/>
    <s v="Solomon Islands"/>
    <s v="Australia"/>
    <n v="1"/>
    <n v="2"/>
    <s v="FIFA World Cup qualification"/>
    <s v="Honiara"/>
    <s v="Solomon Islands"/>
    <b v="0"/>
    <n v="2005"/>
    <n v="552881356"/>
    <n v="696811489612"/>
    <x v="0"/>
    <n v="1"/>
    <x v="2"/>
  </r>
  <r>
    <x v="3222"/>
    <x v="1405"/>
    <x v="36"/>
    <s v="Azerbaijan"/>
    <s v="Austria"/>
    <n v="0"/>
    <n v="0"/>
    <s v="FIFA World Cup qualification"/>
    <s v="Baku"/>
    <s v="Azerbaijan"/>
    <b v="0"/>
    <n v="2005"/>
    <n v="13245421880"/>
    <n v="313952317330"/>
    <x v="0"/>
    <n v="0"/>
    <x v="1"/>
  </r>
  <r>
    <x v="3223"/>
    <x v="1405"/>
    <x v="36"/>
    <s v="Belarus"/>
    <s v="Italy"/>
    <n v="1"/>
    <n v="4"/>
    <s v="FIFA World Cup qualification"/>
    <s v="Minsk"/>
    <s v="Belarus"/>
    <b v="0"/>
    <n v="2005"/>
    <n v="30210091836"/>
    <n v="1864982261286"/>
    <x v="0"/>
    <n v="1"/>
    <x v="2"/>
  </r>
  <r>
    <x v="3224"/>
    <x v="1405"/>
    <x v="36"/>
    <s v="Belgium"/>
    <s v="San Marino"/>
    <n v="8"/>
    <n v="0"/>
    <s v="FIFA World Cup qualification"/>
    <s v="Antwerp"/>
    <s v="Belgium"/>
    <b v="0"/>
    <n v="2005"/>
    <n v="385714762230"/>
    <n v="1786514058"/>
    <x v="0"/>
    <n v="1"/>
    <x v="2"/>
  </r>
  <r>
    <x v="3225"/>
    <x v="1405"/>
    <x v="36"/>
    <s v="Bulgaria"/>
    <s v="Iceland"/>
    <n v="3"/>
    <n v="2"/>
    <s v="FIFA World Cup qualification"/>
    <s v="Sofia"/>
    <s v="Bulgaria"/>
    <b v="0"/>
    <n v="2005"/>
    <n v="29868657858"/>
    <n v="17146410560"/>
    <x v="1"/>
    <n v="1"/>
    <x v="2"/>
  </r>
  <r>
    <x v="3226"/>
    <x v="1405"/>
    <x v="36"/>
    <s v="Costa Rica"/>
    <s v="Trinidad and Tobago"/>
    <n v="2"/>
    <n v="0"/>
    <s v="FIFA World Cup qualification"/>
    <s v="San Jos√©"/>
    <s v="Costa Rica"/>
    <b v="0"/>
    <n v="2005"/>
    <n v="20040642476"/>
    <n v="15982389018"/>
    <x v="1"/>
    <n v="1"/>
    <x v="2"/>
  </r>
  <r>
    <x v="3227"/>
    <x v="1405"/>
    <x v="36"/>
    <s v="Cyprus"/>
    <s v="Switzerland"/>
    <n v="1"/>
    <n v="3"/>
    <s v="FIFA World Cup qualification"/>
    <s v="Nicosia"/>
    <s v="Cyprus"/>
    <b v="0"/>
    <n v="2005"/>
    <n v="18433412510"/>
    <n v="418284865884"/>
    <x v="0"/>
    <n v="1"/>
    <x v="2"/>
  </r>
  <r>
    <x v="3228"/>
    <x v="1405"/>
    <x v="36"/>
    <s v="Denmark"/>
    <s v="Georgia"/>
    <n v="6"/>
    <n v="1"/>
    <s v="FIFA World Cup qualification"/>
    <s v="Copenhagen"/>
    <s v="Denmark"/>
    <b v="0"/>
    <n v="2005"/>
    <n v="265150087711"/>
    <n v="6410912049"/>
    <x v="0"/>
    <n v="1"/>
    <x v="2"/>
  </r>
  <r>
    <x v="3229"/>
    <x v="1405"/>
    <x v="36"/>
    <s v="Faroe Islands"/>
    <s v="Israel"/>
    <n v="0"/>
    <n v="2"/>
    <s v="FIFA World Cup qualification"/>
    <s v="T√≥rshavn"/>
    <s v="Faroe Islands"/>
    <b v="0"/>
    <n v="2005"/>
    <n v="1759739599"/>
    <n v="147519922009"/>
    <x v="0"/>
    <n v="1"/>
    <x v="2"/>
  </r>
  <r>
    <x v="3230"/>
    <x v="1405"/>
    <x v="36"/>
    <s v="Finland"/>
    <s v="North Macedonia"/>
    <n v="5"/>
    <n v="1"/>
    <s v="FIFA World Cup qualification"/>
    <s v="Tampere"/>
    <s v="Finland"/>
    <b v="0"/>
    <n v="2005"/>
    <n v="204859368790"/>
    <n v="6258602872"/>
    <x v="0"/>
    <n v="1"/>
    <x v="2"/>
  </r>
  <r>
    <x v="3231"/>
    <x v="1405"/>
    <x v="36"/>
    <s v="Guatemala"/>
    <s v="United States"/>
    <n v="0"/>
    <n v="0"/>
    <s v="FIFA World Cup qualification"/>
    <s v="Guatemala City"/>
    <s v="Guatemala"/>
    <b v="0"/>
    <n v="2005"/>
    <n v="26783389293"/>
    <n v="13039199193000"/>
    <x v="0"/>
    <n v="0"/>
    <x v="1"/>
  </r>
  <r>
    <x v="3232"/>
    <x v="1405"/>
    <x v="36"/>
    <s v="Hungary"/>
    <s v="Sweden"/>
    <n v="0"/>
    <n v="1"/>
    <s v="FIFA World Cup qualification"/>
    <s v="Budapest"/>
    <s v="Hungary"/>
    <b v="0"/>
    <n v="2005"/>
    <n v="113098237570"/>
    <n v="391688455928"/>
    <x v="0"/>
    <n v="1"/>
    <x v="2"/>
  </r>
  <r>
    <x v="3233"/>
    <x v="1405"/>
    <x v="36"/>
    <s v="Kazakhstan"/>
    <s v="Greece"/>
    <n v="1"/>
    <n v="2"/>
    <s v="FIFA World Cup qualification"/>
    <s v="Almaty"/>
    <s v="Kazakhstan"/>
    <b v="0"/>
    <n v="2005"/>
    <n v="57123671733"/>
    <n v="242315668619"/>
    <x v="0"/>
    <n v="1"/>
    <x v="2"/>
  </r>
  <r>
    <x v="3234"/>
    <x v="1405"/>
    <x v="36"/>
    <s v="Liechtenstein"/>
    <s v="Luxembourg"/>
    <n v="3"/>
    <n v="0"/>
    <s v="FIFA World Cup qualification"/>
    <s v="Vaduz"/>
    <s v="Liechtenstein"/>
    <b v="0"/>
    <n v="2005"/>
    <n v="3659319116"/>
    <n v="37672280120"/>
    <x v="0"/>
    <n v="-1"/>
    <x v="0"/>
  </r>
  <r>
    <x v="3235"/>
    <x v="1405"/>
    <x v="36"/>
    <s v="Lithuania"/>
    <s v="Bosnia and Herzegovina"/>
    <n v="0"/>
    <n v="1"/>
    <s v="FIFA World Cup qualification"/>
    <s v="Vilnius"/>
    <s v="Lithuania"/>
    <b v="0"/>
    <n v="2005"/>
    <n v="26105207115"/>
    <n v="11222796336"/>
    <x v="0"/>
    <n v="-1"/>
    <x v="0"/>
  </r>
  <r>
    <x v="3236"/>
    <x v="1405"/>
    <x v="36"/>
    <s v="Malta"/>
    <s v="Croatia"/>
    <n v="1"/>
    <n v="1"/>
    <s v="FIFA World Cup qualification"/>
    <s v="Attard"/>
    <s v="Malta"/>
    <b v="0"/>
    <n v="2005"/>
    <n v="6393234992"/>
    <n v="45013119281"/>
    <x v="0"/>
    <n v="0"/>
    <x v="1"/>
  </r>
  <r>
    <x v="3237"/>
    <x v="1405"/>
    <x v="36"/>
    <s v="Mexico"/>
    <s v="Panama"/>
    <n v="5"/>
    <n v="0"/>
    <s v="FIFA World Cup qualification"/>
    <s v="Mexico City"/>
    <s v="Mexico"/>
    <b v="0"/>
    <n v="2005"/>
    <n v="917571853529"/>
    <n v="16623906739"/>
    <x v="0"/>
    <n v="1"/>
    <x v="2"/>
  </r>
  <r>
    <x v="3238"/>
    <x v="1405"/>
    <x v="36"/>
    <s v="Moldova"/>
    <s v="Slovenia"/>
    <n v="1"/>
    <n v="2"/>
    <s v="FIFA World Cup qualification"/>
    <s v="Chi»ôinƒÉu"/>
    <s v="Moldova"/>
    <b v="0"/>
    <n v="2005"/>
    <n v="2988342907"/>
    <n v="35947936823"/>
    <x v="0"/>
    <n v="1"/>
    <x v="2"/>
  </r>
  <r>
    <x v="3239"/>
    <x v="1405"/>
    <x v="36"/>
    <s v="Netherlands"/>
    <s v="Andorra"/>
    <n v="4"/>
    <n v="0"/>
    <s v="FIFA World Cup qualification"/>
    <s v="Eindhoven"/>
    <s v="Netherlands"/>
    <b v="0"/>
    <n v="2005"/>
    <n v="688133699635"/>
    <n v="3161084846"/>
    <x v="0"/>
    <n v="1"/>
    <x v="2"/>
  </r>
  <r>
    <x v="3240"/>
    <x v="1405"/>
    <x v="36"/>
    <s v="Russia"/>
    <s v="Portugal"/>
    <n v="0"/>
    <n v="0"/>
    <s v="FIFA World Cup qualification"/>
    <s v="Moscow"/>
    <s v="Russia"/>
    <b v="0"/>
    <n v="2005"/>
    <n v="764015973481"/>
    <n v="197253876704"/>
    <x v="0"/>
    <n v="0"/>
    <x v="1"/>
  </r>
  <r>
    <x v="3241"/>
    <x v="1405"/>
    <x v="36"/>
    <s v="Spain"/>
    <s v="Serbia"/>
    <n v="1"/>
    <n v="1"/>
    <s v="FIFA World Cup qualification"/>
    <s v="Madrid"/>
    <s v="Spain"/>
    <b v="0"/>
    <n v="2005"/>
    <n v="1154667551775"/>
    <n v="28334256180"/>
    <x v="0"/>
    <n v="0"/>
    <x v="1"/>
  </r>
  <r>
    <x v="3242"/>
    <x v="1406"/>
    <x v="36"/>
    <s v="Liberia"/>
    <s v="Zambia"/>
    <n v="0"/>
    <n v="5"/>
    <s v="FIFA World Cup qualification"/>
    <s v="Monrovia"/>
    <s v="Liberia"/>
    <b v="0"/>
    <n v="2005"/>
    <n v="949000000"/>
    <n v="8331870169"/>
    <x v="0"/>
    <n v="1"/>
    <x v="2"/>
  </r>
  <r>
    <x v="3243"/>
    <x v="1407"/>
    <x v="36"/>
    <s v="Belgium"/>
    <s v="Spain"/>
    <n v="0"/>
    <n v="2"/>
    <s v="FIFA World Cup qualification"/>
    <s v="Brussels"/>
    <s v="Belgium"/>
    <b v="0"/>
    <n v="2005"/>
    <n v="385714762230"/>
    <n v="1154667551775"/>
    <x v="0"/>
    <n v="1"/>
    <x v="2"/>
  </r>
  <r>
    <x v="3244"/>
    <x v="1407"/>
    <x v="36"/>
    <s v="Bosnia and Herzegovina"/>
    <s v="San Marino"/>
    <n v="3"/>
    <n v="0"/>
    <s v="FIFA World Cup qualification"/>
    <s v="Zenica"/>
    <s v="Bosnia and Herzegovina"/>
    <b v="0"/>
    <n v="2005"/>
    <n v="11222796336"/>
    <n v="1786514058"/>
    <x v="0"/>
    <n v="1"/>
    <x v="2"/>
  </r>
  <r>
    <x v="3245"/>
    <x v="1407"/>
    <x v="36"/>
    <s v="Botswana"/>
    <s v="Guinea"/>
    <n v="1"/>
    <n v="2"/>
    <s v="FIFA World Cup qualification"/>
    <s v="Gaborone"/>
    <s v="Botswana"/>
    <b v="0"/>
    <n v="2005"/>
    <n v="9918907108"/>
    <n v="4282468636"/>
    <x v="0"/>
    <n v="-1"/>
    <x v="0"/>
  </r>
  <r>
    <x v="3246"/>
    <x v="1407"/>
    <x v="36"/>
    <s v="Bulgaria"/>
    <s v="Hungary"/>
    <n v="2"/>
    <n v="0"/>
    <s v="FIFA World Cup qualification"/>
    <s v="Sofia"/>
    <s v="Bulgaria"/>
    <b v="0"/>
    <n v="2005"/>
    <n v="29868657858"/>
    <n v="113098237570"/>
    <x v="0"/>
    <n v="-1"/>
    <x v="0"/>
  </r>
  <r>
    <x v="3247"/>
    <x v="1407"/>
    <x v="36"/>
    <s v="Cameroon"/>
    <s v="Egypt"/>
    <n v="1"/>
    <n v="1"/>
    <s v="FIFA World Cup qualification"/>
    <s v="Yaound√©"/>
    <s v="Cameroon"/>
    <b v="0"/>
    <n v="2005"/>
    <n v="19509852206"/>
    <n v="89660339660"/>
    <x v="0"/>
    <n v="0"/>
    <x v="1"/>
  </r>
  <r>
    <x v="3248"/>
    <x v="1407"/>
    <x v="36"/>
    <s v="Colombia"/>
    <s v="Chile"/>
    <n v="1"/>
    <n v="1"/>
    <s v="FIFA World Cup qualification"/>
    <s v="Barranquilla"/>
    <s v="Colombia"/>
    <b v="0"/>
    <n v="2005"/>
    <n v="145600529605"/>
    <n v="122294145163"/>
    <x v="1"/>
    <n v="0"/>
    <x v="1"/>
  </r>
  <r>
    <x v="3249"/>
    <x v="1407"/>
    <x v="36"/>
    <s v="Costa Rica"/>
    <s v="United States"/>
    <n v="3"/>
    <n v="0"/>
    <s v="FIFA World Cup qualification"/>
    <s v="San Jos√©"/>
    <s v="Costa Rica"/>
    <b v="0"/>
    <n v="2005"/>
    <n v="20040642476"/>
    <n v="13039199193000"/>
    <x v="0"/>
    <n v="-1"/>
    <x v="0"/>
  </r>
  <r>
    <x v="3250"/>
    <x v="1407"/>
    <x v="36"/>
    <s v="Croatia"/>
    <s v="Sweden"/>
    <n v="1"/>
    <n v="0"/>
    <s v="FIFA World Cup qualification"/>
    <s v="Zagreb"/>
    <s v="Croatia"/>
    <b v="0"/>
    <n v="2005"/>
    <n v="45013119281"/>
    <n v="391688455928"/>
    <x v="0"/>
    <n v="-1"/>
    <x v="0"/>
  </r>
  <r>
    <x v="3251"/>
    <x v="1407"/>
    <x v="36"/>
    <s v="Denmark"/>
    <s v="Greece"/>
    <n v="1"/>
    <n v="0"/>
    <s v="FIFA World Cup qualification"/>
    <s v="Copenhagen"/>
    <s v="Denmark"/>
    <b v="0"/>
    <n v="2005"/>
    <n v="265150087711"/>
    <n v="242315668619"/>
    <x v="1"/>
    <n v="1"/>
    <x v="2"/>
  </r>
  <r>
    <x v="3252"/>
    <x v="1407"/>
    <x v="36"/>
    <s v="Ecuador"/>
    <s v="Uruguay"/>
    <n v="0"/>
    <n v="0"/>
    <s v="FIFA World Cup qualification"/>
    <s v="Quito"/>
    <s v="Ecuador"/>
    <b v="0"/>
    <n v="2005"/>
    <n v="40278849000"/>
    <n v="17362857683"/>
    <x v="0"/>
    <n v="0"/>
    <x v="1"/>
  </r>
  <r>
    <x v="3253"/>
    <x v="1407"/>
    <x v="36"/>
    <s v="England"/>
    <s v="Austria"/>
    <n v="1"/>
    <n v="0"/>
    <s v="FIFA World Cup qualification"/>
    <s v="Manchester"/>
    <s v="England"/>
    <b v="0"/>
    <n v="2005"/>
    <n v="2551361818181"/>
    <n v="313952317330"/>
    <x v="0"/>
    <n v="1"/>
    <x v="2"/>
  </r>
  <r>
    <x v="3254"/>
    <x v="1407"/>
    <x v="36"/>
    <s v="Finland"/>
    <s v="Romania"/>
    <n v="0"/>
    <n v="1"/>
    <s v="FIFA World Cup qualification"/>
    <s v="Helsinki"/>
    <s v="Finland"/>
    <b v="0"/>
    <n v="2005"/>
    <n v="204859368790"/>
    <n v="98454380120"/>
    <x v="0"/>
    <n v="-1"/>
    <x v="0"/>
  </r>
  <r>
    <x v="3255"/>
    <x v="1407"/>
    <x v="36"/>
    <s v="Gabon"/>
    <s v="Algeria"/>
    <n v="0"/>
    <n v="0"/>
    <s v="FIFA World Cup qualification"/>
    <s v="Port-Gentil"/>
    <s v="Gabon"/>
    <b v="0"/>
    <n v="2005"/>
    <n v="9582783990"/>
    <n v="107046618669"/>
    <x v="0"/>
    <n v="0"/>
    <x v="1"/>
  </r>
  <r>
    <x v="3256"/>
    <x v="1407"/>
    <x v="36"/>
    <s v="Georgia"/>
    <s v="Kazakhstan"/>
    <n v="0"/>
    <n v="0"/>
    <s v="FIFA World Cup qualification"/>
    <s v="Tbilisi"/>
    <s v="Georgia"/>
    <b v="0"/>
    <n v="2005"/>
    <n v="6410912049"/>
    <n v="57123671733"/>
    <x v="0"/>
    <n v="0"/>
    <x v="1"/>
  </r>
  <r>
    <x v="3257"/>
    <x v="1407"/>
    <x v="36"/>
    <s v="Israel"/>
    <s v="Faroe Islands"/>
    <n v="2"/>
    <n v="1"/>
    <s v="FIFA World Cup qualification"/>
    <s v="Ramat Gan"/>
    <s v="Israel"/>
    <b v="0"/>
    <n v="2005"/>
    <n v="147519922009"/>
    <n v="1759739599"/>
    <x v="0"/>
    <n v="1"/>
    <x v="2"/>
  </r>
  <r>
    <x v="3258"/>
    <x v="1407"/>
    <x v="36"/>
    <s v="Italy"/>
    <s v="Slovenia"/>
    <n v="1"/>
    <n v="0"/>
    <s v="FIFA World Cup qualification"/>
    <s v="Palermo"/>
    <s v="Italy"/>
    <b v="0"/>
    <n v="2005"/>
    <n v="1864982261286"/>
    <n v="35947936823"/>
    <x v="0"/>
    <n v="1"/>
    <x v="2"/>
  </r>
  <r>
    <x v="3259"/>
    <x v="1407"/>
    <x v="36"/>
    <s v="Lithuania"/>
    <s v="Serbia"/>
    <n v="0"/>
    <n v="2"/>
    <s v="FIFA World Cup qualification"/>
    <s v="Vilnius"/>
    <s v="Lithuania"/>
    <b v="0"/>
    <n v="2005"/>
    <n v="26105207115"/>
    <n v="28334256180"/>
    <x v="1"/>
    <n v="1"/>
    <x v="2"/>
  </r>
  <r>
    <x v="3260"/>
    <x v="1407"/>
    <x v="36"/>
    <s v="Malawi"/>
    <s v="Kenya"/>
    <n v="3"/>
    <n v="0"/>
    <s v="FIFA World Cup qualification"/>
    <s v="Blantyre"/>
    <s v="Malawi"/>
    <b v="0"/>
    <n v="2005"/>
    <n v="5320409651"/>
    <n v="18737895512"/>
    <x v="0"/>
    <n v="-1"/>
    <x v="0"/>
  </r>
  <r>
    <x v="3261"/>
    <x v="1407"/>
    <x v="36"/>
    <s v="Mexico"/>
    <s v="Guatemala"/>
    <n v="5"/>
    <n v="2"/>
    <s v="FIFA World Cup qualification"/>
    <s v="San Luis Potos√≠"/>
    <s v="Mexico"/>
    <b v="0"/>
    <n v="2005"/>
    <n v="917571853529"/>
    <n v="26783389293"/>
    <x v="0"/>
    <n v="1"/>
    <x v="2"/>
  </r>
  <r>
    <x v="3262"/>
    <x v="1407"/>
    <x v="36"/>
    <s v="Nigeria"/>
    <s v="Zimbabwe"/>
    <n v="5"/>
    <n v="1"/>
    <s v="FIFA World Cup qualification"/>
    <s v="Abuja"/>
    <s v="Nigeria"/>
    <b v="0"/>
    <n v="2005"/>
    <n v="175670569969"/>
    <n v="5758250000"/>
    <x v="0"/>
    <n v="1"/>
    <x v="2"/>
  </r>
  <r>
    <x v="3263"/>
    <x v="1407"/>
    <x v="36"/>
    <s v="Norway"/>
    <s v="Moldova"/>
    <n v="1"/>
    <n v="0"/>
    <s v="FIFA World Cup qualification"/>
    <s v="Oslo"/>
    <s v="Norway"/>
    <b v="0"/>
    <n v="2005"/>
    <n v="309978579743"/>
    <n v="2988342907"/>
    <x v="0"/>
    <n v="1"/>
    <x v="2"/>
  </r>
  <r>
    <x v="3264"/>
    <x v="1407"/>
    <x v="36"/>
    <s v="Panama"/>
    <s v="Trinidad and Tobago"/>
    <n v="0"/>
    <n v="1"/>
    <s v="FIFA World Cup qualification"/>
    <s v="Panama City"/>
    <s v="Panama"/>
    <b v="0"/>
    <n v="2005"/>
    <n v="16623906739"/>
    <n v="15982389018"/>
    <x v="1"/>
    <n v="-1"/>
    <x v="0"/>
  </r>
  <r>
    <x v="3265"/>
    <x v="1407"/>
    <x v="36"/>
    <s v="Portugal"/>
    <s v="Liechtenstein"/>
    <n v="2"/>
    <n v="1"/>
    <s v="FIFA World Cup qualification"/>
    <s v="Aveiro"/>
    <s v="Portugal"/>
    <b v="0"/>
    <n v="2005"/>
    <n v="197253876704"/>
    <n v="3659319116"/>
    <x v="0"/>
    <n v="1"/>
    <x v="2"/>
  </r>
  <r>
    <x v="3266"/>
    <x v="1407"/>
    <x v="36"/>
    <s v="Russia"/>
    <s v="Luxembourg"/>
    <n v="5"/>
    <n v="1"/>
    <s v="FIFA World Cup qualification"/>
    <s v="Moscow"/>
    <s v="Russia"/>
    <b v="0"/>
    <n v="2005"/>
    <n v="764015973481"/>
    <n v="37672280120"/>
    <x v="0"/>
    <n v="1"/>
    <x v="2"/>
  </r>
  <r>
    <x v="3267"/>
    <x v="1407"/>
    <x v="36"/>
    <s v="Rwanda"/>
    <s v="Angola"/>
    <n v="0"/>
    <n v="1"/>
    <s v="FIFA World Cup qualification"/>
    <s v="Kigali"/>
    <s v="Rwanda"/>
    <b v="0"/>
    <n v="2005"/>
    <n v="2933819766"/>
    <n v="41396636383"/>
    <x v="0"/>
    <n v="1"/>
    <x v="2"/>
  </r>
  <r>
    <x v="3268"/>
    <x v="1407"/>
    <x v="36"/>
    <s v="Senegal"/>
    <s v="Mali"/>
    <n v="3"/>
    <n v="0"/>
    <s v="FIFA World Cup qualification"/>
    <s v="Dakar"/>
    <s v="Senegal"/>
    <b v="0"/>
    <n v="2005"/>
    <n v="11009033437"/>
    <n v="7429066951"/>
    <x v="1"/>
    <n v="1"/>
    <x v="2"/>
  </r>
  <r>
    <x v="3269"/>
    <x v="1407"/>
    <x v="36"/>
    <s v="Switzerland"/>
    <s v="France"/>
    <n v="1"/>
    <n v="1"/>
    <s v="FIFA World Cup qualification"/>
    <s v="Bern"/>
    <s v="Switzerland"/>
    <b v="0"/>
    <n v="2005"/>
    <n v="418284865884"/>
    <n v="2192146403028"/>
    <x v="0"/>
    <n v="0"/>
    <x v="1"/>
  </r>
  <r>
    <x v="3270"/>
    <x v="1407"/>
    <x v="36"/>
    <s v="Tunisia"/>
    <s v="Morocco"/>
    <n v="2"/>
    <n v="2"/>
    <s v="FIFA World Cup qualification"/>
    <s v="Rad√®s"/>
    <s v="Tunisia"/>
    <b v="0"/>
    <n v="2005"/>
    <n v="32272186694"/>
    <n v="68852658068"/>
    <x v="0"/>
    <n v="0"/>
    <x v="1"/>
  </r>
  <r>
    <x v="3271"/>
    <x v="1407"/>
    <x v="36"/>
    <s v="Uganda"/>
    <s v="Burkina Faso"/>
    <n v="2"/>
    <n v="2"/>
    <s v="FIFA World Cup qualification"/>
    <s v="Kampala"/>
    <s v="Uganda"/>
    <b v="0"/>
    <n v="2005"/>
    <n v="9239221763"/>
    <n v="6146353173"/>
    <x v="1"/>
    <n v="0"/>
    <x v="1"/>
  </r>
  <r>
    <x v="3272"/>
    <x v="1407"/>
    <x v="36"/>
    <s v="Ukraine"/>
    <s v="Albania"/>
    <n v="2"/>
    <n v="2"/>
    <s v="FIFA World Cup qualification"/>
    <s v="Dnipropetrovs'k"/>
    <s v="Ukraine"/>
    <b v="0"/>
    <n v="2005"/>
    <n v="89238865118"/>
    <n v="8256658249"/>
    <x v="0"/>
    <n v="0"/>
    <x v="1"/>
  </r>
  <r>
    <x v="3273"/>
    <x v="1407"/>
    <x v="36"/>
    <s v="Uzbekistan"/>
    <s v="Bahrain"/>
    <n v="1"/>
    <n v="1"/>
    <s v="FIFA World Cup qualification"/>
    <s v="Tashkent"/>
    <s v="Uzbekistan"/>
    <b v="0"/>
    <n v="2005"/>
    <n v="14307509838"/>
    <n v="15968723404"/>
    <x v="1"/>
    <n v="0"/>
    <x v="1"/>
  </r>
  <r>
    <x v="3274"/>
    <x v="1407"/>
    <x v="36"/>
    <s v="Venezuela"/>
    <s v="Paraguay"/>
    <n v="0"/>
    <n v="1"/>
    <s v="FIFA World Cup qualification"/>
    <s v="Maracaibo"/>
    <s v="Venezuela"/>
    <b v="0"/>
    <n v="2005"/>
    <n v="145513489651"/>
    <n v="10737500188"/>
    <x v="0"/>
    <n v="-1"/>
    <x v="0"/>
  </r>
  <r>
    <x v="3275"/>
    <x v="1408"/>
    <x v="36"/>
    <s v="Argentina"/>
    <s v="Peru"/>
    <n v="2"/>
    <n v="0"/>
    <s v="FIFA World Cup qualification"/>
    <s v="Buenos Aires"/>
    <s v="Argentina"/>
    <b v="0"/>
    <n v="2005"/>
    <n v="198737095012"/>
    <n v="76060606060"/>
    <x v="0"/>
    <n v="1"/>
    <x v="2"/>
  </r>
  <r>
    <x v="3276"/>
    <x v="1408"/>
    <x v="36"/>
    <s v="Benin"/>
    <s v="Libya"/>
    <n v="1"/>
    <n v="0"/>
    <s v="FIFA World Cup qualification"/>
    <s v="Cotonou"/>
    <s v="Benin"/>
    <b v="0"/>
    <n v="2005"/>
    <n v="6567654954"/>
    <n v="47334691241"/>
    <x v="0"/>
    <n v="-1"/>
    <x v="0"/>
  </r>
  <r>
    <x v="3277"/>
    <x v="1408"/>
    <x v="36"/>
    <s v="Bolivia"/>
    <s v="Brazil"/>
    <n v="1"/>
    <n v="1"/>
    <s v="FIFA World Cup qualification"/>
    <s v="La Paz"/>
    <s v="Bolivia"/>
    <b v="0"/>
    <n v="2005"/>
    <n v="9549122905"/>
    <n v="891633826625"/>
    <x v="0"/>
    <n v="0"/>
    <x v="1"/>
  </r>
  <r>
    <x v="3278"/>
    <x v="1409"/>
    <x v="36"/>
    <s v="Andorra"/>
    <s v="Armenia"/>
    <n v="0"/>
    <n v="3"/>
    <s v="FIFA World Cup qualification"/>
    <s v="Sant Juli√† de L√≤ria"/>
    <s v="Andorra"/>
    <b v="0"/>
    <n v="2005"/>
    <n v="3161084846"/>
    <n v="4900469511"/>
    <x v="1"/>
    <n v="1"/>
    <x v="2"/>
  </r>
  <r>
    <x v="3279"/>
    <x v="1409"/>
    <x v="36"/>
    <s v="Bahrain"/>
    <s v="Uzbekistan"/>
    <n v="0"/>
    <n v="0"/>
    <s v="FIFA World Cup qualification"/>
    <s v="Riffa"/>
    <s v="Bahrain"/>
    <b v="0"/>
    <n v="2005"/>
    <n v="15968723404"/>
    <n v="14307509838"/>
    <x v="1"/>
    <n v="0"/>
    <x v="1"/>
  </r>
  <r>
    <x v="3280"/>
    <x v="1409"/>
    <x v="36"/>
    <s v="Belarus"/>
    <s v="Norway"/>
    <n v="0"/>
    <n v="1"/>
    <s v="FIFA World Cup qualification"/>
    <s v="Minsk"/>
    <s v="Belarus"/>
    <b v="0"/>
    <n v="2005"/>
    <n v="30210091836"/>
    <n v="309978579743"/>
    <x v="0"/>
    <n v="1"/>
    <x v="2"/>
  </r>
  <r>
    <x v="3281"/>
    <x v="1409"/>
    <x v="36"/>
    <s v="Brazil"/>
    <s v="Venezuela"/>
    <n v="3"/>
    <n v="0"/>
    <s v="FIFA World Cup qualification"/>
    <s v="Bel√©m"/>
    <s v="Brazil"/>
    <b v="0"/>
    <n v="2005"/>
    <n v="891633826625"/>
    <n v="145513489651"/>
    <x v="0"/>
    <n v="1"/>
    <x v="2"/>
  </r>
  <r>
    <x v="3282"/>
    <x v="1409"/>
    <x v="36"/>
    <s v="Chile"/>
    <s v="Ecuador"/>
    <n v="0"/>
    <n v="0"/>
    <s v="FIFA World Cup qualification"/>
    <s v="Santiago"/>
    <s v="Chile"/>
    <b v="0"/>
    <n v="2005"/>
    <n v="122294145163"/>
    <n v="40278849000"/>
    <x v="0"/>
    <n v="0"/>
    <x v="1"/>
  </r>
  <r>
    <x v="3283"/>
    <x v="1409"/>
    <x v="36"/>
    <s v="England"/>
    <s v="Poland"/>
    <n v="2"/>
    <n v="1"/>
    <s v="FIFA World Cup qualification"/>
    <s v="Manchester"/>
    <s v="England"/>
    <b v="0"/>
    <n v="2005"/>
    <n v="2551361818181"/>
    <n v="306999913150"/>
    <x v="0"/>
    <n v="1"/>
    <x v="2"/>
  </r>
  <r>
    <x v="3284"/>
    <x v="1409"/>
    <x v="36"/>
    <s v="France"/>
    <s v="Cyprus"/>
    <n v="4"/>
    <n v="0"/>
    <s v="FIFA World Cup qualification"/>
    <s v="Saint-Denis"/>
    <s v="France"/>
    <b v="0"/>
    <n v="2005"/>
    <n v="2192146403028"/>
    <n v="18433412510"/>
    <x v="0"/>
    <n v="1"/>
    <x v="2"/>
  </r>
  <r>
    <x v="3285"/>
    <x v="1409"/>
    <x v="36"/>
    <s v="Greece"/>
    <s v="Georgia"/>
    <n v="1"/>
    <n v="0"/>
    <s v="FIFA World Cup qualification"/>
    <s v="Piraeus"/>
    <s v="Greece"/>
    <b v="0"/>
    <n v="2005"/>
    <n v="242315668619"/>
    <n v="6410912049"/>
    <x v="0"/>
    <n v="1"/>
    <x v="2"/>
  </r>
  <r>
    <x v="3286"/>
    <x v="1409"/>
    <x v="36"/>
    <s v="Guatemala"/>
    <s v="Costa Rica"/>
    <n v="3"/>
    <n v="1"/>
    <s v="FIFA World Cup qualification"/>
    <s v="Guatemala City"/>
    <s v="Guatemala"/>
    <b v="0"/>
    <n v="2005"/>
    <n v="26783389293"/>
    <n v="20040642476"/>
    <x v="1"/>
    <n v="1"/>
    <x v="2"/>
  </r>
  <r>
    <x v="3287"/>
    <x v="1409"/>
    <x v="36"/>
    <s v="Hungary"/>
    <s v="Croatia"/>
    <n v="0"/>
    <n v="0"/>
    <s v="FIFA World Cup qualification"/>
    <s v="Budapest"/>
    <s v="Hungary"/>
    <b v="0"/>
    <n v="2005"/>
    <n v="113098237570"/>
    <n v="45013119281"/>
    <x v="0"/>
    <n v="0"/>
    <x v="1"/>
  </r>
  <r>
    <x v="3288"/>
    <x v="1409"/>
    <x v="36"/>
    <s v="Italy"/>
    <s v="Moldova"/>
    <n v="2"/>
    <n v="1"/>
    <s v="FIFA World Cup qualification"/>
    <s v="Lecce"/>
    <s v="Italy"/>
    <b v="0"/>
    <n v="2005"/>
    <n v="1864982261286"/>
    <n v="2988342907"/>
    <x v="0"/>
    <n v="1"/>
    <x v="2"/>
  </r>
  <r>
    <x v="3289"/>
    <x v="1409"/>
    <x v="36"/>
    <s v="Kazakhstan"/>
    <s v="Denmark"/>
    <n v="1"/>
    <n v="2"/>
    <s v="FIFA World Cup qualification"/>
    <s v="Almaty"/>
    <s v="Kazakhstan"/>
    <b v="0"/>
    <n v="2005"/>
    <n v="57123671733"/>
    <n v="265150087711"/>
    <x v="0"/>
    <n v="1"/>
    <x v="2"/>
  </r>
  <r>
    <x v="3290"/>
    <x v="1409"/>
    <x v="36"/>
    <s v="Lithuania"/>
    <s v="Belgium"/>
    <n v="1"/>
    <n v="1"/>
    <s v="FIFA World Cup qualification"/>
    <s v="Vilnius"/>
    <s v="Lithuania"/>
    <b v="0"/>
    <n v="2005"/>
    <n v="26105207115"/>
    <n v="385714762230"/>
    <x v="0"/>
    <n v="0"/>
    <x v="1"/>
  </r>
  <r>
    <x v="3291"/>
    <x v="1409"/>
    <x v="36"/>
    <s v="Luxembourg"/>
    <s v="Estonia"/>
    <n v="0"/>
    <n v="2"/>
    <s v="FIFA World Cup qualification"/>
    <s v="Luxembourg"/>
    <s v="Luxembourg"/>
    <b v="0"/>
    <n v="2005"/>
    <n v="37672280120"/>
    <n v="14109491356"/>
    <x v="0"/>
    <n v="-1"/>
    <x v="0"/>
  </r>
  <r>
    <x v="3292"/>
    <x v="1409"/>
    <x v="36"/>
    <s v="Malta"/>
    <s v="Bulgaria"/>
    <n v="1"/>
    <n v="1"/>
    <s v="FIFA World Cup qualification"/>
    <s v="Attard"/>
    <s v="Malta"/>
    <b v="0"/>
    <n v="2005"/>
    <n v="6393234992"/>
    <n v="29868657858"/>
    <x v="0"/>
    <n v="0"/>
    <x v="1"/>
  </r>
  <r>
    <x v="3293"/>
    <x v="1409"/>
    <x v="36"/>
    <s v="Netherlands"/>
    <s v="North Macedonia"/>
    <n v="0"/>
    <n v="0"/>
    <s v="FIFA World Cup qualification"/>
    <s v="Amsterdam"/>
    <s v="Netherlands"/>
    <b v="0"/>
    <n v="2005"/>
    <n v="688133699635"/>
    <n v="6258602872"/>
    <x v="0"/>
    <n v="0"/>
    <x v="1"/>
  </r>
  <r>
    <x v="3294"/>
    <x v="1409"/>
    <x v="36"/>
    <s v="Paraguay"/>
    <s v="Colombia"/>
    <n v="0"/>
    <n v="1"/>
    <s v="FIFA World Cup qualification"/>
    <s v="Asunci√≥n"/>
    <s v="Paraguay"/>
    <b v="0"/>
    <n v="2005"/>
    <n v="10737500188"/>
    <n v="145600529605"/>
    <x v="0"/>
    <n v="1"/>
    <x v="2"/>
  </r>
  <r>
    <x v="3295"/>
    <x v="1409"/>
    <x v="36"/>
    <s v="Peru"/>
    <s v="Bolivia"/>
    <n v="4"/>
    <n v="1"/>
    <s v="FIFA World Cup qualification"/>
    <s v="Tacna"/>
    <s v="Peru"/>
    <b v="0"/>
    <n v="2005"/>
    <n v="76060606060"/>
    <n v="9549122905"/>
    <x v="0"/>
    <n v="1"/>
    <x v="2"/>
  </r>
  <r>
    <x v="3296"/>
    <x v="1409"/>
    <x v="36"/>
    <s v="Portugal"/>
    <s v="Latvia"/>
    <n v="3"/>
    <n v="0"/>
    <s v="FIFA World Cup qualification"/>
    <s v="Porto"/>
    <s v="Portugal"/>
    <b v="0"/>
    <n v="2005"/>
    <n v="197253876704"/>
    <n v="16306935905"/>
    <x v="0"/>
    <n v="1"/>
    <x v="2"/>
  </r>
  <r>
    <x v="3297"/>
    <x v="1409"/>
    <x v="36"/>
    <s v="San Marino"/>
    <s v="Spain"/>
    <n v="0"/>
    <n v="6"/>
    <s v="FIFA World Cup qualification"/>
    <s v="Serravalle"/>
    <s v="San Marino"/>
    <b v="0"/>
    <n v="2005"/>
    <n v="1786514058"/>
    <n v="1154667551775"/>
    <x v="0"/>
    <n v="1"/>
    <x v="2"/>
  </r>
  <r>
    <x v="3298"/>
    <x v="1409"/>
    <x v="36"/>
    <s v="Serbia"/>
    <s v="Bosnia and Herzegovina"/>
    <n v="1"/>
    <n v="0"/>
    <s v="FIFA World Cup qualification"/>
    <s v="Belgrade"/>
    <s v="Serbia and Montenegro"/>
    <b v="0"/>
    <n v="2005"/>
    <n v="28334256180"/>
    <n v="11222796336"/>
    <x v="0"/>
    <n v="1"/>
    <x v="2"/>
  </r>
  <r>
    <x v="3299"/>
    <x v="1409"/>
    <x v="36"/>
    <s v="Sweden"/>
    <s v="Iceland"/>
    <n v="3"/>
    <n v="1"/>
    <s v="FIFA World Cup qualification"/>
    <s v="Solna"/>
    <s v="Sweden"/>
    <b v="0"/>
    <n v="2005"/>
    <n v="391688455928"/>
    <n v="17146410560"/>
    <x v="0"/>
    <n v="1"/>
    <x v="2"/>
  </r>
  <r>
    <x v="3300"/>
    <x v="1409"/>
    <x v="36"/>
    <s v="Trinidad and Tobago"/>
    <s v="Mexico"/>
    <n v="2"/>
    <n v="1"/>
    <s v="FIFA World Cup qualification"/>
    <s v="Port of Spain"/>
    <s v="Trinidad and Tobago"/>
    <b v="0"/>
    <n v="2005"/>
    <n v="15982389018"/>
    <n v="917571853529"/>
    <x v="0"/>
    <n v="-1"/>
    <x v="0"/>
  </r>
  <r>
    <x v="3301"/>
    <x v="1409"/>
    <x v="36"/>
    <s v="Uruguay"/>
    <s v="Argentina"/>
    <n v="1"/>
    <n v="0"/>
    <s v="FIFA World Cup qualification"/>
    <s v="Montevideo"/>
    <s v="Uruguay"/>
    <b v="0"/>
    <n v="2005"/>
    <n v="17362857683"/>
    <n v="198737095012"/>
    <x v="0"/>
    <n v="-1"/>
    <x v="0"/>
  </r>
  <r>
    <x v="3302"/>
    <x v="1409"/>
    <x v="36"/>
    <s v="United States"/>
    <s v="Panama"/>
    <n v="2"/>
    <n v="0"/>
    <s v="FIFA World Cup qualification"/>
    <s v="Foxborough"/>
    <s v="United States"/>
    <b v="0"/>
    <n v="2005"/>
    <n v="13039199193000"/>
    <n v="16623906739"/>
    <x v="0"/>
    <n v="1"/>
    <x v="2"/>
  </r>
  <r>
    <x v="3303"/>
    <x v="1410"/>
    <x v="36"/>
    <s v="Trinidad and Tobago"/>
    <s v="Bahrain"/>
    <n v="1"/>
    <n v="1"/>
    <s v="FIFA World Cup qualification"/>
    <s v="Port of Spain"/>
    <s v="Trinidad and Tobago"/>
    <b v="0"/>
    <n v="2005"/>
    <n v="15982389018"/>
    <n v="15968723404"/>
    <x v="1"/>
    <n v="0"/>
    <x v="1"/>
  </r>
  <r>
    <x v="3304"/>
    <x v="1410"/>
    <x v="36"/>
    <s v="Uruguay"/>
    <s v="Australia"/>
    <n v="1"/>
    <n v="0"/>
    <s v="FIFA World Cup qualification"/>
    <s v="Montevideo"/>
    <s v="Uruguay"/>
    <b v="0"/>
    <n v="2005"/>
    <n v="17362857683"/>
    <n v="696811489612"/>
    <x v="0"/>
    <n v="-1"/>
    <x v="0"/>
  </r>
  <r>
    <x v="3305"/>
    <x v="1411"/>
    <x v="36"/>
    <s v="Australia"/>
    <s v="Uruguay"/>
    <n v="1"/>
    <n v="0"/>
    <s v="FIFA World Cup qualification"/>
    <s v="Sydney"/>
    <s v="Australia"/>
    <b v="0"/>
    <n v="2005"/>
    <n v="696811489612"/>
    <n v="17362857683"/>
    <x v="0"/>
    <n v="1"/>
    <x v="2"/>
  </r>
  <r>
    <x v="3306"/>
    <x v="1411"/>
    <x v="36"/>
    <s v="Bahrain"/>
    <s v="Trinidad and Tobago"/>
    <n v="0"/>
    <n v="1"/>
    <s v="FIFA World Cup qualification"/>
    <s v="Riffa"/>
    <s v="Bahrain"/>
    <b v="0"/>
    <n v="2005"/>
    <n v="15968723404"/>
    <n v="15982389018"/>
    <x v="1"/>
    <n v="1"/>
    <x v="2"/>
  </r>
  <r>
    <x v="3307"/>
    <x v="1412"/>
    <x v="37"/>
    <s v="Germany"/>
    <s v="Costa Rica"/>
    <n v="4"/>
    <n v="2"/>
    <s v="FIFA World Cup"/>
    <s v="Munich"/>
    <s v="Germany"/>
    <b v="0"/>
    <n v="2006"/>
    <n v="3046308753670"/>
    <n v="22715540324"/>
    <x v="0"/>
    <n v="1"/>
    <x v="2"/>
  </r>
  <r>
    <x v="3308"/>
    <x v="1412"/>
    <x v="37"/>
    <s v="Poland"/>
    <s v="Ecuador"/>
    <n v="0"/>
    <n v="2"/>
    <s v="FIFA World Cup"/>
    <s v="Gelsenkirchen"/>
    <s v="Germany"/>
    <b v="1"/>
    <n v="2006"/>
    <n v="345897630736"/>
    <n v="45690762000"/>
    <x v="0"/>
    <n v="-1"/>
    <x v="0"/>
  </r>
  <r>
    <x v="3309"/>
    <x v="1413"/>
    <x v="37"/>
    <s v="England"/>
    <s v="Paraguay"/>
    <n v="1"/>
    <n v="0"/>
    <s v="FIFA World Cup"/>
    <s v="Frankfurt am Main"/>
    <s v="Germany"/>
    <b v="1"/>
    <n v="2006"/>
    <n v="2719558417663"/>
    <n v="13429430050"/>
    <x v="0"/>
    <n v="1"/>
    <x v="2"/>
  </r>
  <r>
    <x v="3310"/>
    <x v="1413"/>
    <x v="37"/>
    <s v="Trinidad and Tobago"/>
    <s v="Sweden"/>
    <n v="0"/>
    <n v="0"/>
    <s v="FIFA World Cup"/>
    <s v="Dortmund"/>
    <s v="Germany"/>
    <b v="1"/>
    <n v="2006"/>
    <n v="18369361094"/>
    <n v="422528394459"/>
    <x v="0"/>
    <n v="0"/>
    <x v="1"/>
  </r>
  <r>
    <x v="3311"/>
    <x v="1414"/>
    <x v="37"/>
    <s v="Angola"/>
    <s v="Portugal"/>
    <n v="0"/>
    <n v="1"/>
    <s v="FIFA World Cup"/>
    <s v="Cologne"/>
    <s v="Germany"/>
    <b v="1"/>
    <n v="2006"/>
    <n v="58653659979"/>
    <n v="208756449275"/>
    <x v="0"/>
    <n v="1"/>
    <x v="2"/>
  </r>
  <r>
    <x v="3312"/>
    <x v="1414"/>
    <x v="37"/>
    <s v="Mexico"/>
    <s v="Iran"/>
    <n v="3"/>
    <n v="1"/>
    <s v="FIFA World Cup"/>
    <s v="Nuremberg"/>
    <s v="Germany"/>
    <b v="1"/>
    <n v="2006"/>
    <n v="1020265057882"/>
    <n v="265602187403"/>
    <x v="0"/>
    <n v="1"/>
    <x v="2"/>
  </r>
  <r>
    <x v="3313"/>
    <x v="1414"/>
    <x v="37"/>
    <s v="Serbia"/>
    <s v="Netherlands"/>
    <n v="0"/>
    <n v="1"/>
    <s v="FIFA World Cup"/>
    <s v="Leipzig"/>
    <s v="Germany"/>
    <b v="1"/>
    <n v="2006"/>
    <n v="33298057361"/>
    <n v="737593995289"/>
    <x v="0"/>
    <n v="1"/>
    <x v="2"/>
  </r>
  <r>
    <x v="3314"/>
    <x v="1415"/>
    <x v="37"/>
    <s v="Australia"/>
    <s v="Japan"/>
    <n v="3"/>
    <n v="1"/>
    <s v="FIFA World Cup"/>
    <s v="Kaiserslautern"/>
    <s v="Germany"/>
    <b v="1"/>
    <n v="2006"/>
    <n v="749708370332"/>
    <n v="4601663122649"/>
    <x v="0"/>
    <n v="-1"/>
    <x v="0"/>
  </r>
  <r>
    <x v="3315"/>
    <x v="1415"/>
    <x v="37"/>
    <s v="Italy"/>
    <s v="Ghana"/>
    <n v="2"/>
    <n v="0"/>
    <s v="FIFA World Cup"/>
    <s v="Hanover"/>
    <s v="Germany"/>
    <b v="1"/>
    <n v="2006"/>
    <n v="1958563654385"/>
    <n v="20885037596"/>
    <x v="0"/>
    <n v="1"/>
    <x v="2"/>
  </r>
  <r>
    <x v="3316"/>
    <x v="1416"/>
    <x v="37"/>
    <s v="Brazil"/>
    <s v="Croatia"/>
    <n v="1"/>
    <n v="0"/>
    <s v="FIFA World Cup"/>
    <s v="Berlin"/>
    <s v="Germany"/>
    <b v="1"/>
    <n v="2006"/>
    <n v="1107626711163"/>
    <n v="49583544860"/>
    <x v="0"/>
    <n v="1"/>
    <x v="2"/>
  </r>
  <r>
    <x v="3317"/>
    <x v="1416"/>
    <x v="37"/>
    <s v="France"/>
    <s v="Switzerland"/>
    <n v="0"/>
    <n v="0"/>
    <s v="FIFA World Cup"/>
    <s v="Stuttgart"/>
    <s v="Germany"/>
    <b v="1"/>
    <n v="2006"/>
    <n v="2317861544690"/>
    <n v="441634672196"/>
    <x v="0"/>
    <n v="0"/>
    <x v="1"/>
  </r>
  <r>
    <x v="3318"/>
    <x v="1416"/>
    <x v="37"/>
    <s v="South Korea"/>
    <s v="Togo"/>
    <n v="2"/>
    <n v="1"/>
    <s v="FIFA World Cup"/>
    <s v="Frankfurt am Main"/>
    <s v="Germany"/>
    <b v="1"/>
    <n v="2006"/>
    <n v="1095175538508"/>
    <n v="3320907721"/>
    <x v="0"/>
    <n v="1"/>
    <x v="2"/>
  </r>
  <r>
    <x v="3319"/>
    <x v="1417"/>
    <x v="37"/>
    <s v="Germany"/>
    <s v="Poland"/>
    <n v="1"/>
    <n v="0"/>
    <s v="FIFA World Cup"/>
    <s v="Dortmund"/>
    <s v="Germany"/>
    <b v="0"/>
    <n v="2006"/>
    <n v="3046308753670"/>
    <n v="345897630736"/>
    <x v="0"/>
    <n v="1"/>
    <x v="2"/>
  </r>
  <r>
    <x v="3320"/>
    <x v="1417"/>
    <x v="37"/>
    <s v="Spain"/>
    <s v="Ukraine"/>
    <n v="4"/>
    <n v="0"/>
    <s v="FIFA World Cup"/>
    <s v="Leipzig"/>
    <s v="Germany"/>
    <b v="1"/>
    <n v="2006"/>
    <n v="1261846683275"/>
    <n v="111884752475"/>
    <x v="0"/>
    <n v="1"/>
    <x v="2"/>
  </r>
  <r>
    <x v="3321"/>
    <x v="1417"/>
    <x v="37"/>
    <s v="Tunisia"/>
    <s v="Saudi Arabia"/>
    <n v="2"/>
    <n v="2"/>
    <s v="FIFA World Cup"/>
    <s v="Munich"/>
    <s v="Germany"/>
    <b v="1"/>
    <n v="2006"/>
    <n v="34376664600"/>
    <n v="376900133511"/>
    <x v="0"/>
    <n v="0"/>
    <x v="1"/>
  </r>
  <r>
    <x v="3322"/>
    <x v="1418"/>
    <x v="37"/>
    <s v="Ecuador"/>
    <s v="Costa Rica"/>
    <n v="3"/>
    <n v="0"/>
    <s v="FIFA World Cup"/>
    <s v="Hamburg"/>
    <s v="Germany"/>
    <b v="1"/>
    <n v="2006"/>
    <n v="45690762000"/>
    <n v="22715540324"/>
    <x v="0"/>
    <n v="1"/>
    <x v="2"/>
  </r>
  <r>
    <x v="3323"/>
    <x v="1418"/>
    <x v="37"/>
    <s v="England"/>
    <s v="Trinidad and Tobago"/>
    <n v="2"/>
    <n v="0"/>
    <s v="FIFA World Cup"/>
    <s v="Nuremberg"/>
    <s v="Germany"/>
    <b v="1"/>
    <n v="2006"/>
    <n v="2719558417663"/>
    <n v="18369361094"/>
    <x v="0"/>
    <n v="1"/>
    <x v="2"/>
  </r>
  <r>
    <x v="3324"/>
    <x v="1418"/>
    <x v="37"/>
    <s v="Sweden"/>
    <s v="Paraguay"/>
    <n v="1"/>
    <n v="0"/>
    <s v="FIFA World Cup"/>
    <s v="Berlin"/>
    <s v="Germany"/>
    <b v="1"/>
    <n v="2006"/>
    <n v="422528394459"/>
    <n v="13429430050"/>
    <x v="0"/>
    <n v="1"/>
    <x v="2"/>
  </r>
  <r>
    <x v="3325"/>
    <x v="1419"/>
    <x v="37"/>
    <s v="Argentina"/>
    <s v="Serbia"/>
    <n v="6"/>
    <n v="0"/>
    <s v="FIFA World Cup"/>
    <s v="Gelsenkirchen"/>
    <s v="Germany"/>
    <b v="1"/>
    <n v="2006"/>
    <n v="232557260817"/>
    <n v="33298057361"/>
    <x v="0"/>
    <n v="1"/>
    <x v="2"/>
  </r>
  <r>
    <x v="3326"/>
    <x v="1419"/>
    <x v="37"/>
    <s v="Mexico"/>
    <s v="Angola"/>
    <n v="0"/>
    <n v="0"/>
    <s v="FIFA World Cup"/>
    <s v="Hanover"/>
    <s v="Germany"/>
    <b v="1"/>
    <n v="2006"/>
    <n v="1020265057882"/>
    <n v="58653659979"/>
    <x v="0"/>
    <n v="0"/>
    <x v="1"/>
  </r>
  <r>
    <x v="3327"/>
    <x v="1420"/>
    <x v="37"/>
    <s v="Italy"/>
    <s v="United States"/>
    <n v="1"/>
    <n v="1"/>
    <s v="FIFA World Cup"/>
    <s v="Kaiserslautern"/>
    <s v="Germany"/>
    <b v="1"/>
    <n v="2006"/>
    <n v="1958563654385"/>
    <n v="13815586948000"/>
    <x v="0"/>
    <n v="0"/>
    <x v="1"/>
  </r>
  <r>
    <x v="3328"/>
    <x v="1420"/>
    <x v="37"/>
    <s v="Portugal"/>
    <s v="Iran"/>
    <n v="2"/>
    <n v="0"/>
    <s v="FIFA World Cup"/>
    <s v="Frankfurt am Main"/>
    <s v="Germany"/>
    <b v="1"/>
    <n v="2006"/>
    <n v="208756449275"/>
    <n v="265602187403"/>
    <x v="1"/>
    <n v="-1"/>
    <x v="0"/>
  </r>
  <r>
    <x v="3329"/>
    <x v="1421"/>
    <x v="37"/>
    <s v="Brazil"/>
    <s v="Australia"/>
    <n v="2"/>
    <n v="0"/>
    <s v="FIFA World Cup"/>
    <s v="Munich"/>
    <s v="Germany"/>
    <b v="1"/>
    <n v="2006"/>
    <n v="1107626711163"/>
    <n v="749708370332"/>
    <x v="1"/>
    <n v="1"/>
    <x v="2"/>
  </r>
  <r>
    <x v="3330"/>
    <x v="1421"/>
    <x v="37"/>
    <s v="France"/>
    <s v="South Korea"/>
    <n v="1"/>
    <n v="1"/>
    <s v="FIFA World Cup"/>
    <s v="Leipzig"/>
    <s v="Germany"/>
    <b v="1"/>
    <n v="2006"/>
    <n v="2317861544690"/>
    <n v="1095175538508"/>
    <x v="0"/>
    <n v="0"/>
    <x v="1"/>
  </r>
  <r>
    <x v="3331"/>
    <x v="1421"/>
    <x v="37"/>
    <s v="Japan"/>
    <s v="Croatia"/>
    <n v="0"/>
    <n v="0"/>
    <s v="FIFA World Cup"/>
    <s v="Nuremberg"/>
    <s v="Germany"/>
    <b v="1"/>
    <n v="2006"/>
    <n v="4601663122649"/>
    <n v="49583544860"/>
    <x v="0"/>
    <n v="0"/>
    <x v="1"/>
  </r>
  <r>
    <x v="3332"/>
    <x v="1422"/>
    <x v="37"/>
    <s v="Saudi Arabia"/>
    <s v="Ukraine"/>
    <n v="0"/>
    <n v="4"/>
    <s v="FIFA World Cup"/>
    <s v="Hamburg"/>
    <s v="Germany"/>
    <b v="1"/>
    <n v="2006"/>
    <n v="376900133511"/>
    <n v="111884752475"/>
    <x v="0"/>
    <n v="-1"/>
    <x v="0"/>
  </r>
  <r>
    <x v="3333"/>
    <x v="1422"/>
    <x v="37"/>
    <s v="Spain"/>
    <s v="Tunisia"/>
    <n v="3"/>
    <n v="1"/>
    <s v="FIFA World Cup"/>
    <s v="Stuttgart"/>
    <s v="Germany"/>
    <b v="1"/>
    <n v="2006"/>
    <n v="1261846683275"/>
    <n v="34376664600"/>
    <x v="0"/>
    <n v="1"/>
    <x v="2"/>
  </r>
  <r>
    <x v="3334"/>
    <x v="1422"/>
    <x v="37"/>
    <s v="Togo"/>
    <s v="Switzerland"/>
    <n v="0"/>
    <n v="2"/>
    <s v="FIFA World Cup"/>
    <s v="Dortmund"/>
    <s v="Germany"/>
    <b v="1"/>
    <n v="2006"/>
    <n v="3320907721"/>
    <n v="441634672196"/>
    <x v="0"/>
    <n v="1"/>
    <x v="2"/>
  </r>
  <r>
    <x v="3335"/>
    <x v="1423"/>
    <x v="37"/>
    <s v="Costa Rica"/>
    <s v="Poland"/>
    <n v="1"/>
    <n v="2"/>
    <s v="FIFA World Cup"/>
    <s v="Hanover"/>
    <s v="Germany"/>
    <b v="1"/>
    <n v="2006"/>
    <n v="22715540324"/>
    <n v="345897630736"/>
    <x v="0"/>
    <n v="1"/>
    <x v="2"/>
  </r>
  <r>
    <x v="3336"/>
    <x v="1423"/>
    <x v="37"/>
    <s v="Germany"/>
    <s v="Ecuador"/>
    <n v="3"/>
    <n v="0"/>
    <s v="FIFA World Cup"/>
    <s v="Berlin"/>
    <s v="Germany"/>
    <b v="0"/>
    <n v="2006"/>
    <n v="3046308753670"/>
    <n v="45690762000"/>
    <x v="0"/>
    <n v="1"/>
    <x v="2"/>
  </r>
  <r>
    <x v="3337"/>
    <x v="1423"/>
    <x v="37"/>
    <s v="Paraguay"/>
    <s v="Trinidad and Tobago"/>
    <n v="2"/>
    <n v="0"/>
    <s v="FIFA World Cup"/>
    <s v="Kaiserslautern"/>
    <s v="Germany"/>
    <b v="1"/>
    <n v="2006"/>
    <n v="13429430050"/>
    <n v="18369361094"/>
    <x v="1"/>
    <n v="-1"/>
    <x v="0"/>
  </r>
  <r>
    <x v="3338"/>
    <x v="1423"/>
    <x v="37"/>
    <s v="Sweden"/>
    <s v="England"/>
    <n v="2"/>
    <n v="2"/>
    <s v="FIFA World Cup"/>
    <s v="Cologne"/>
    <s v="Germany"/>
    <b v="1"/>
    <n v="2006"/>
    <n v="422528394459"/>
    <n v="2719558417663"/>
    <x v="0"/>
    <n v="0"/>
    <x v="1"/>
  </r>
  <r>
    <x v="3339"/>
    <x v="1424"/>
    <x v="37"/>
    <s v="Iran"/>
    <s v="Angola"/>
    <n v="1"/>
    <n v="1"/>
    <s v="FIFA World Cup"/>
    <s v="Leipzig"/>
    <s v="Germany"/>
    <b v="1"/>
    <n v="2006"/>
    <n v="265602187403"/>
    <n v="58653659979"/>
    <x v="0"/>
    <n v="0"/>
    <x v="1"/>
  </r>
  <r>
    <x v="3340"/>
    <x v="1424"/>
    <x v="37"/>
    <s v="Netherlands"/>
    <s v="Argentina"/>
    <n v="0"/>
    <n v="0"/>
    <s v="FIFA World Cup"/>
    <s v="Frankfurt am Main"/>
    <s v="Germany"/>
    <b v="1"/>
    <n v="2006"/>
    <n v="737593995289"/>
    <n v="232557260817"/>
    <x v="0"/>
    <n v="0"/>
    <x v="1"/>
  </r>
  <r>
    <x v="3341"/>
    <x v="1424"/>
    <x v="37"/>
    <s v="Portugal"/>
    <s v="Mexico"/>
    <n v="2"/>
    <n v="1"/>
    <s v="FIFA World Cup"/>
    <s v="Gelsenkirchen"/>
    <s v="Germany"/>
    <b v="1"/>
    <n v="2006"/>
    <n v="208756449275"/>
    <n v="1020265057882"/>
    <x v="0"/>
    <n v="-1"/>
    <x v="0"/>
  </r>
  <r>
    <x v="3342"/>
    <x v="1425"/>
    <x v="37"/>
    <s v="Croatia"/>
    <s v="Australia"/>
    <n v="2"/>
    <n v="2"/>
    <s v="FIFA World Cup"/>
    <s v="Stuttgart"/>
    <s v="Germany"/>
    <b v="1"/>
    <n v="2006"/>
    <n v="49583544860"/>
    <n v="749708370332"/>
    <x v="0"/>
    <n v="0"/>
    <x v="1"/>
  </r>
  <r>
    <x v="3343"/>
    <x v="1425"/>
    <x v="37"/>
    <s v="Ghana"/>
    <s v="United States"/>
    <n v="2"/>
    <n v="1"/>
    <s v="FIFA World Cup"/>
    <s v="Nuremberg"/>
    <s v="Germany"/>
    <b v="1"/>
    <n v="2006"/>
    <n v="20885037596"/>
    <n v="13815586948000"/>
    <x v="0"/>
    <n v="-1"/>
    <x v="0"/>
  </r>
  <r>
    <x v="3344"/>
    <x v="1425"/>
    <x v="37"/>
    <s v="Japan"/>
    <s v="Brazil"/>
    <n v="1"/>
    <n v="4"/>
    <s v="FIFA World Cup"/>
    <s v="Dortmund"/>
    <s v="Germany"/>
    <b v="1"/>
    <n v="2006"/>
    <n v="4601663122649"/>
    <n v="1107626711163"/>
    <x v="0"/>
    <n v="-1"/>
    <x v="0"/>
  </r>
  <r>
    <x v="3345"/>
    <x v="1426"/>
    <x v="37"/>
    <s v="Saudi Arabia"/>
    <s v="Spain"/>
    <n v="0"/>
    <n v="1"/>
    <s v="FIFA World Cup"/>
    <s v="Kaiserslautern"/>
    <s v="Germany"/>
    <b v="1"/>
    <n v="2006"/>
    <n v="376900133511"/>
    <n v="1261846683275"/>
    <x v="0"/>
    <n v="1"/>
    <x v="2"/>
  </r>
  <r>
    <x v="3346"/>
    <x v="1426"/>
    <x v="37"/>
    <s v="Switzerland"/>
    <s v="South Korea"/>
    <n v="2"/>
    <n v="0"/>
    <s v="FIFA World Cup"/>
    <s v="Hanover"/>
    <s v="Germany"/>
    <b v="1"/>
    <n v="2006"/>
    <n v="441634672196"/>
    <n v="1095175538508"/>
    <x v="0"/>
    <n v="-1"/>
    <x v="0"/>
  </r>
  <r>
    <x v="3347"/>
    <x v="1426"/>
    <x v="37"/>
    <s v="Togo"/>
    <s v="France"/>
    <n v="0"/>
    <n v="2"/>
    <s v="FIFA World Cup"/>
    <s v="Cologne"/>
    <s v="Germany"/>
    <b v="1"/>
    <n v="2006"/>
    <n v="3320907721"/>
    <n v="2317861544690"/>
    <x v="0"/>
    <n v="1"/>
    <x v="2"/>
  </r>
  <r>
    <x v="3348"/>
    <x v="1426"/>
    <x v="37"/>
    <s v="Ukraine"/>
    <s v="Tunisia"/>
    <n v="1"/>
    <n v="0"/>
    <s v="FIFA World Cup"/>
    <s v="Berlin"/>
    <s v="Germany"/>
    <b v="1"/>
    <n v="2006"/>
    <n v="111884752475"/>
    <n v="34376664600"/>
    <x v="0"/>
    <n v="1"/>
    <x v="2"/>
  </r>
  <r>
    <x v="3349"/>
    <x v="1427"/>
    <x v="37"/>
    <s v="Argentina"/>
    <s v="Mexico"/>
    <n v="2"/>
    <n v="1"/>
    <s v="FIFA World Cup"/>
    <s v="Leipzig"/>
    <s v="Germany"/>
    <b v="1"/>
    <n v="2006"/>
    <n v="232557260817"/>
    <n v="1020265057882"/>
    <x v="0"/>
    <n v="-1"/>
    <x v="0"/>
  </r>
  <r>
    <x v="3350"/>
    <x v="1427"/>
    <x v="37"/>
    <s v="Germany"/>
    <s v="Sweden"/>
    <n v="2"/>
    <n v="0"/>
    <s v="FIFA World Cup"/>
    <s v="Munich"/>
    <s v="Germany"/>
    <b v="0"/>
    <n v="2006"/>
    <n v="3046308753670"/>
    <n v="422528394459"/>
    <x v="0"/>
    <n v="1"/>
    <x v="2"/>
  </r>
  <r>
    <x v="3351"/>
    <x v="1428"/>
    <x v="37"/>
    <s v="England"/>
    <s v="Ecuador"/>
    <n v="1"/>
    <n v="0"/>
    <s v="FIFA World Cup"/>
    <s v="Stuttgart"/>
    <s v="Germany"/>
    <b v="1"/>
    <n v="2006"/>
    <n v="2719558417663"/>
    <n v="45690762000"/>
    <x v="0"/>
    <n v="1"/>
    <x v="2"/>
  </r>
  <r>
    <x v="3352"/>
    <x v="1428"/>
    <x v="37"/>
    <s v="Portugal"/>
    <s v="Netherlands"/>
    <n v="1"/>
    <n v="0"/>
    <s v="FIFA World Cup"/>
    <s v="Nuremberg"/>
    <s v="Germany"/>
    <b v="1"/>
    <n v="2006"/>
    <n v="208756449275"/>
    <n v="737593995289"/>
    <x v="0"/>
    <n v="-1"/>
    <x v="0"/>
  </r>
  <r>
    <x v="3353"/>
    <x v="1429"/>
    <x v="37"/>
    <s v="Italy"/>
    <s v="Australia"/>
    <n v="1"/>
    <n v="0"/>
    <s v="FIFA World Cup"/>
    <s v="Kaiserslautern"/>
    <s v="Germany"/>
    <b v="1"/>
    <n v="2006"/>
    <n v="1958563654385"/>
    <n v="749708370332"/>
    <x v="0"/>
    <n v="1"/>
    <x v="2"/>
  </r>
  <r>
    <x v="3354"/>
    <x v="1429"/>
    <x v="37"/>
    <s v="Switzerland"/>
    <s v="Ukraine"/>
    <n v="0"/>
    <n v="0"/>
    <s v="FIFA World Cup"/>
    <s v="Cologne"/>
    <s v="Germany"/>
    <b v="1"/>
    <n v="2006"/>
    <n v="441634672196"/>
    <n v="111884752475"/>
    <x v="0"/>
    <n v="0"/>
    <x v="1"/>
  </r>
  <r>
    <x v="3355"/>
    <x v="1430"/>
    <x v="37"/>
    <s v="Brazil"/>
    <s v="Ghana"/>
    <n v="3"/>
    <n v="0"/>
    <s v="FIFA World Cup"/>
    <s v="Dortmund"/>
    <s v="Germany"/>
    <b v="1"/>
    <n v="2006"/>
    <n v="1107626711163"/>
    <n v="20885037596"/>
    <x v="0"/>
    <n v="1"/>
    <x v="2"/>
  </r>
  <r>
    <x v="3356"/>
    <x v="1430"/>
    <x v="37"/>
    <s v="Spain"/>
    <s v="France"/>
    <n v="1"/>
    <n v="3"/>
    <s v="FIFA World Cup"/>
    <s v="Hanover"/>
    <s v="Germany"/>
    <b v="1"/>
    <n v="2006"/>
    <n v="1261846683275"/>
    <n v="2317861544690"/>
    <x v="1"/>
    <n v="1"/>
    <x v="2"/>
  </r>
  <r>
    <x v="3357"/>
    <x v="1431"/>
    <x v="37"/>
    <s v="Germany"/>
    <s v="Argentina"/>
    <n v="1"/>
    <n v="1"/>
    <s v="FIFA World Cup"/>
    <s v="Berlin"/>
    <s v="Germany"/>
    <b v="0"/>
    <n v="2006"/>
    <n v="3046308753670"/>
    <n v="232557260817"/>
    <x v="0"/>
    <n v="0"/>
    <x v="1"/>
  </r>
  <r>
    <x v="3358"/>
    <x v="1431"/>
    <x v="37"/>
    <s v="Italy"/>
    <s v="Ukraine"/>
    <n v="3"/>
    <n v="0"/>
    <s v="FIFA World Cup"/>
    <s v="Hamburg"/>
    <s v="Germany"/>
    <b v="1"/>
    <n v="2006"/>
    <n v="1958563654385"/>
    <n v="111884752475"/>
    <x v="0"/>
    <n v="1"/>
    <x v="2"/>
  </r>
  <r>
    <x v="3359"/>
    <x v="1432"/>
    <x v="37"/>
    <s v="Brazil"/>
    <s v="France"/>
    <n v="0"/>
    <n v="1"/>
    <s v="FIFA World Cup"/>
    <s v="Frankfurt am Main"/>
    <s v="Germany"/>
    <b v="1"/>
    <n v="2006"/>
    <n v="1107626711163"/>
    <n v="2317861544690"/>
    <x v="0"/>
    <n v="1"/>
    <x v="2"/>
  </r>
  <r>
    <x v="3360"/>
    <x v="1432"/>
    <x v="37"/>
    <s v="England"/>
    <s v="Portugal"/>
    <n v="0"/>
    <n v="0"/>
    <s v="FIFA World Cup"/>
    <s v="Gelsenkirchen"/>
    <s v="Germany"/>
    <b v="1"/>
    <n v="2006"/>
    <n v="2719558417663"/>
    <n v="208756449275"/>
    <x v="0"/>
    <n v="0"/>
    <x v="1"/>
  </r>
  <r>
    <x v="3361"/>
    <x v="1433"/>
    <x v="37"/>
    <s v="Germany"/>
    <s v="Italy"/>
    <n v="0"/>
    <n v="2"/>
    <s v="FIFA World Cup"/>
    <s v="Dortmund"/>
    <s v="Germany"/>
    <b v="0"/>
    <n v="2006"/>
    <n v="3046308753670"/>
    <n v="1958563654385"/>
    <x v="1"/>
    <n v="-1"/>
    <x v="0"/>
  </r>
  <r>
    <x v="3362"/>
    <x v="1434"/>
    <x v="37"/>
    <s v="Portugal"/>
    <s v="France"/>
    <n v="0"/>
    <n v="1"/>
    <s v="FIFA World Cup"/>
    <s v="Munich"/>
    <s v="Germany"/>
    <b v="1"/>
    <n v="2006"/>
    <n v="208756449275"/>
    <n v="2317861544690"/>
    <x v="0"/>
    <n v="1"/>
    <x v="2"/>
  </r>
  <r>
    <x v="3363"/>
    <x v="1435"/>
    <x v="37"/>
    <s v="Germany"/>
    <s v="Portugal"/>
    <n v="3"/>
    <n v="1"/>
    <s v="FIFA World Cup"/>
    <s v="Stuttgart"/>
    <s v="Germany"/>
    <b v="0"/>
    <n v="2006"/>
    <n v="3046308753670"/>
    <n v="208756449275"/>
    <x v="0"/>
    <n v="1"/>
    <x v="2"/>
  </r>
  <r>
    <x v="3364"/>
    <x v="1436"/>
    <x v="37"/>
    <s v="Italy"/>
    <s v="France"/>
    <n v="1"/>
    <n v="1"/>
    <s v="FIFA World Cup"/>
    <s v="Berlin"/>
    <s v="Germany"/>
    <b v="1"/>
    <n v="2006"/>
    <n v="1958563654385"/>
    <n v="2317861544690"/>
    <x v="1"/>
    <n v="0"/>
    <x v="1"/>
  </r>
  <r>
    <x v="3365"/>
    <x v="1437"/>
    <x v="38"/>
    <s v="Bangladesh"/>
    <s v="Tajikistan"/>
    <n v="1"/>
    <n v="1"/>
    <s v="FIFA World Cup qualification"/>
    <s v="Dhaka"/>
    <s v="Bangladesh"/>
    <b v="0"/>
    <n v="2007"/>
    <n v="79611644974"/>
    <n v="3719524540"/>
    <x v="0"/>
    <n v="0"/>
    <x v="1"/>
  </r>
  <r>
    <x v="3366"/>
    <x v="1437"/>
    <x v="38"/>
    <s v="Lebanon"/>
    <s v="India"/>
    <n v="4"/>
    <n v="1"/>
    <s v="FIFA World Cup qualification"/>
    <s v="Sidon"/>
    <s v="Lebanon"/>
    <b v="0"/>
    <n v="2007"/>
    <n v="24827355014"/>
    <n v="1216736438834"/>
    <x v="0"/>
    <n v="-1"/>
    <x v="0"/>
  </r>
  <r>
    <x v="3367"/>
    <x v="1437"/>
    <x v="38"/>
    <s v="Oman"/>
    <s v="Nepal"/>
    <n v="2"/>
    <n v="0"/>
    <s v="FIFA World Cup qualification"/>
    <s v="Muscat"/>
    <s v="Oman"/>
    <b v="0"/>
    <n v="2007"/>
    <n v="48300390117"/>
    <n v="10325618017"/>
    <x v="0"/>
    <n v="1"/>
    <x v="2"/>
  </r>
  <r>
    <x v="3368"/>
    <x v="1437"/>
    <x v="38"/>
    <s v="Syria"/>
    <s v="Afghanistan"/>
    <n v="3"/>
    <n v="0"/>
    <s v="FIFA World Cup qualification"/>
    <s v="Damascus"/>
    <s v="Syria"/>
    <b v="0"/>
    <n v="2007"/>
    <n v="40465318382"/>
    <n v="9747886187"/>
    <x v="0"/>
    <n v="1"/>
    <x v="2"/>
  </r>
  <r>
    <x v="3369"/>
    <x v="1437"/>
    <x v="38"/>
    <s v="Vietnam"/>
    <s v="United Arab Emirates"/>
    <n v="0"/>
    <n v="1"/>
    <s v="FIFA World Cup qualification"/>
    <s v="Hanoi"/>
    <s v="Vietnam"/>
    <b v="0"/>
    <n v="2007"/>
    <n v="77414425532"/>
    <n v="257916133424"/>
    <x v="0"/>
    <n v="1"/>
    <x v="2"/>
  </r>
  <r>
    <x v="3370"/>
    <x v="1438"/>
    <x v="38"/>
    <s v="Cambodia"/>
    <s v="Turkmenistan"/>
    <n v="0"/>
    <n v="1"/>
    <s v="FIFA World Cup qualification"/>
    <s v="Phnom Penh"/>
    <s v="Cambodia"/>
    <b v="0"/>
    <n v="2007"/>
    <n v="10127916459"/>
    <n v="12664165103"/>
    <x v="1"/>
    <n v="1"/>
    <x v="2"/>
  </r>
  <r>
    <x v="3371"/>
    <x v="1439"/>
    <x v="38"/>
    <s v="Argentina"/>
    <s v="Chile"/>
    <n v="2"/>
    <n v="0"/>
    <s v="FIFA World Cup qualification"/>
    <s v="Buenos Aires"/>
    <s v="Argentina"/>
    <b v="0"/>
    <n v="2007"/>
    <n v="287530508430"/>
    <n v="172491076033"/>
    <x v="1"/>
    <n v="1"/>
    <x v="2"/>
  </r>
  <r>
    <x v="3372"/>
    <x v="1439"/>
    <x v="38"/>
    <s v="Ecuador"/>
    <s v="Venezuela"/>
    <n v="0"/>
    <n v="1"/>
    <s v="FIFA World Cup qualification"/>
    <s v="Quito"/>
    <s v="Ecuador"/>
    <b v="0"/>
    <n v="2007"/>
    <n v="49848725000"/>
    <n v="230364012575"/>
    <x v="0"/>
    <n v="1"/>
    <x v="2"/>
  </r>
  <r>
    <x v="3373"/>
    <x v="1439"/>
    <x v="38"/>
    <s v="Peru"/>
    <s v="Paraguay"/>
    <n v="0"/>
    <n v="0"/>
    <s v="FIFA World Cup qualification"/>
    <s v="Lima"/>
    <s v="Peru"/>
    <b v="0"/>
    <n v="2007"/>
    <n v="102170981144"/>
    <n v="17856393235"/>
    <x v="0"/>
    <n v="0"/>
    <x v="1"/>
  </r>
  <r>
    <x v="3374"/>
    <x v="1439"/>
    <x v="38"/>
    <s v="Uruguay"/>
    <s v="Bolivia"/>
    <n v="5"/>
    <n v="0"/>
    <s v="FIFA World Cup qualification"/>
    <s v="Montevideo"/>
    <s v="Uruguay"/>
    <b v="0"/>
    <n v="2007"/>
    <n v="23797773024"/>
    <n v="13120108008"/>
    <x v="1"/>
    <n v="1"/>
    <x v="2"/>
  </r>
  <r>
    <x v="3375"/>
    <x v="1440"/>
    <x v="38"/>
    <s v="Colombia"/>
    <s v="Brazil"/>
    <n v="0"/>
    <n v="0"/>
    <s v="FIFA World Cup qualification"/>
    <s v="Bogot√°"/>
    <s v="Colombia"/>
    <b v="0"/>
    <n v="2007"/>
    <n v="206229540926"/>
    <n v="1397114247188"/>
    <x v="0"/>
    <n v="0"/>
    <x v="1"/>
  </r>
  <r>
    <x v="3376"/>
    <x v="1440"/>
    <x v="38"/>
    <s v="Madagascar"/>
    <s v="Comoros"/>
    <n v="6"/>
    <n v="2"/>
    <s v="FIFA World Cup qualification"/>
    <s v="Antananarivo"/>
    <s v="Madagascar"/>
    <b v="0"/>
    <n v="2007"/>
    <n v="8524620889"/>
    <n v="795673152"/>
    <x v="0"/>
    <n v="1"/>
    <x v="2"/>
  </r>
  <r>
    <x v="3377"/>
    <x v="1441"/>
    <x v="38"/>
    <s v="Venezuela"/>
    <s v="Argentina"/>
    <n v="0"/>
    <n v="2"/>
    <s v="FIFA World Cup qualification"/>
    <s v="Maracaibo"/>
    <s v="Venezuela"/>
    <b v="0"/>
    <n v="2007"/>
    <n v="230364012575"/>
    <n v="287530508430"/>
    <x v="1"/>
    <n v="1"/>
    <x v="2"/>
  </r>
  <r>
    <x v="3378"/>
    <x v="1442"/>
    <x v="38"/>
    <s v="Bolivia"/>
    <s v="Colombia"/>
    <n v="0"/>
    <n v="0"/>
    <s v="FIFA World Cup qualification"/>
    <s v="La Paz"/>
    <s v="Bolivia"/>
    <b v="0"/>
    <n v="2007"/>
    <n v="13120108008"/>
    <n v="206229540926"/>
    <x v="0"/>
    <n v="0"/>
    <x v="1"/>
  </r>
  <r>
    <x v="3379"/>
    <x v="1442"/>
    <x v="38"/>
    <s v="Brazil"/>
    <s v="Ecuador"/>
    <n v="5"/>
    <n v="0"/>
    <s v="FIFA World Cup qualification"/>
    <s v="Rio de Janeiro"/>
    <s v="Brazil"/>
    <b v="0"/>
    <n v="2007"/>
    <n v="1397114247188"/>
    <n v="49848725000"/>
    <x v="0"/>
    <n v="1"/>
    <x v="2"/>
  </r>
  <r>
    <x v="3380"/>
    <x v="1442"/>
    <x v="38"/>
    <s v="Chile"/>
    <s v="Peru"/>
    <n v="2"/>
    <n v="0"/>
    <s v="FIFA World Cup qualification"/>
    <s v="Santiago"/>
    <s v="Chile"/>
    <b v="0"/>
    <n v="2007"/>
    <n v="172491076033"/>
    <n v="102170981144"/>
    <x v="1"/>
    <n v="1"/>
    <x v="2"/>
  </r>
  <r>
    <x v="3381"/>
    <x v="1442"/>
    <x v="38"/>
    <s v="Paraguay"/>
    <s v="Uruguay"/>
    <n v="1"/>
    <n v="0"/>
    <s v="FIFA World Cup qualification"/>
    <s v="Asunci√≥n"/>
    <s v="Paraguay"/>
    <b v="0"/>
    <n v="2007"/>
    <n v="17856393235"/>
    <n v="23797773024"/>
    <x v="1"/>
    <n v="-1"/>
    <x v="0"/>
  </r>
  <r>
    <x v="3382"/>
    <x v="1442"/>
    <x v="38"/>
    <s v="Sierra Leone"/>
    <s v="Guinea-Bissau"/>
    <n v="1"/>
    <n v="0"/>
    <s v="FIFA World Cup qualification"/>
    <s v="Freetown"/>
    <s v="Sierra Leone"/>
    <b v="0"/>
    <n v="2007"/>
    <n v="3632957611"/>
    <n v="753162998"/>
    <x v="0"/>
    <n v="1"/>
    <x v="2"/>
  </r>
  <r>
    <x v="3383"/>
    <x v="1443"/>
    <x v="38"/>
    <s v="Bahrain"/>
    <s v="Malaysia"/>
    <n v="4"/>
    <n v="1"/>
    <s v="FIFA World Cup qualification"/>
    <s v="Riffa"/>
    <s v="Bahrain"/>
    <b v="0"/>
    <n v="2007"/>
    <n v="21730000000"/>
    <n v="193549569477"/>
    <x v="0"/>
    <n v="-1"/>
    <x v="0"/>
  </r>
  <r>
    <x v="3384"/>
    <x v="1443"/>
    <x v="38"/>
    <s v="Sri Lanka"/>
    <s v="Qatar"/>
    <n v="0"/>
    <n v="1"/>
    <s v="FIFA World Cup qualification"/>
    <s v="Colombo"/>
    <s v="Sri Lanka"/>
    <b v="0"/>
    <n v="2007"/>
    <n v="32350238760"/>
    <n v="79712087912"/>
    <x v="0"/>
    <n v="1"/>
    <x v="2"/>
  </r>
  <r>
    <x v="3385"/>
    <x v="1444"/>
    <x v="38"/>
    <s v="Pakistan"/>
    <s v="Iraq"/>
    <n v="0"/>
    <n v="7"/>
    <s v="FIFA World Cup qualification"/>
    <s v="Lahore"/>
    <s v="Pakistan"/>
    <b v="0"/>
    <n v="2007"/>
    <n v="184140869997"/>
    <n v="88837057319"/>
    <x v="0"/>
    <n v="-1"/>
    <x v="0"/>
  </r>
  <r>
    <x v="3386"/>
    <x v="1445"/>
    <x v="38"/>
    <s v="Afghanistan"/>
    <s v="Syria"/>
    <n v="1"/>
    <n v="2"/>
    <s v="FIFA World Cup qualification"/>
    <s v="Dushanbe"/>
    <s v="Tajikistan"/>
    <b v="1"/>
    <n v="2007"/>
    <n v="9747886187"/>
    <n v="40465318382"/>
    <x v="0"/>
    <n v="1"/>
    <x v="2"/>
  </r>
  <r>
    <x v="3387"/>
    <x v="1446"/>
    <x v="38"/>
    <s v="Iraq"/>
    <s v="Pakistan"/>
    <n v="0"/>
    <n v="0"/>
    <s v="FIFA World Cup qualification"/>
    <s v="Damascus"/>
    <s v="Syria"/>
    <b v="1"/>
    <n v="2007"/>
    <n v="88837057319"/>
    <n v="184140869997"/>
    <x v="0"/>
    <n v="0"/>
    <x v="1"/>
  </r>
  <r>
    <x v="3388"/>
    <x v="1446"/>
    <x v="38"/>
    <s v="Malaysia"/>
    <s v="Bahrain"/>
    <n v="0"/>
    <n v="0"/>
    <s v="FIFA World Cup qualification"/>
    <s v="Shah Alam"/>
    <s v="Malaysia"/>
    <b v="0"/>
    <n v="2007"/>
    <n v="193549569477"/>
    <n v="21730000000"/>
    <x v="0"/>
    <n v="0"/>
    <x v="1"/>
  </r>
  <r>
    <x v="3389"/>
    <x v="1446"/>
    <x v="38"/>
    <s v="Nepal"/>
    <s v="Oman"/>
    <n v="0"/>
    <n v="2"/>
    <s v="FIFA World Cup qualification"/>
    <s v="Kathmandu"/>
    <s v="Nepal"/>
    <b v="0"/>
    <n v="2007"/>
    <n v="10325618017"/>
    <n v="48300390117"/>
    <x v="0"/>
    <n v="1"/>
    <x v="2"/>
  </r>
  <r>
    <x v="3390"/>
    <x v="1446"/>
    <x v="38"/>
    <s v="Qatar"/>
    <s v="Sri Lanka"/>
    <n v="5"/>
    <n v="0"/>
    <s v="FIFA World Cup qualification"/>
    <s v="Doha"/>
    <s v="Qatar"/>
    <b v="0"/>
    <n v="2007"/>
    <n v="79712087912"/>
    <n v="32350238760"/>
    <x v="0"/>
    <n v="1"/>
    <x v="2"/>
  </r>
  <r>
    <x v="3391"/>
    <x v="1446"/>
    <x v="38"/>
    <s v="Tajikistan"/>
    <s v="Bangladesh"/>
    <n v="5"/>
    <n v="0"/>
    <s v="FIFA World Cup qualification"/>
    <s v="Dushanbe"/>
    <s v="Tajikistan"/>
    <b v="0"/>
    <n v="2007"/>
    <n v="3719524540"/>
    <n v="79611644974"/>
    <x v="0"/>
    <n v="-1"/>
    <x v="0"/>
  </r>
  <r>
    <x v="3392"/>
    <x v="1446"/>
    <x v="38"/>
    <s v="Turkmenistan"/>
    <s v="Cambodia"/>
    <n v="4"/>
    <n v="1"/>
    <s v="FIFA World Cup qualification"/>
    <s v="Ashgabat"/>
    <s v="Turkmenistan"/>
    <b v="0"/>
    <n v="2007"/>
    <n v="12664165103"/>
    <n v="10127916459"/>
    <x v="1"/>
    <n v="1"/>
    <x v="2"/>
  </r>
  <r>
    <x v="3393"/>
    <x v="1446"/>
    <x v="38"/>
    <s v="United Arab Emirates"/>
    <s v="Vietnam"/>
    <n v="5"/>
    <n v="0"/>
    <s v="FIFA World Cup qualification"/>
    <s v="Abu Dhabi"/>
    <s v="United Arab Emirates"/>
    <b v="0"/>
    <n v="2007"/>
    <n v="257916133424"/>
    <n v="77414425532"/>
    <x v="0"/>
    <n v="1"/>
    <x v="2"/>
  </r>
  <r>
    <x v="3394"/>
    <x v="1447"/>
    <x v="38"/>
    <s v="India"/>
    <s v="Lebanon"/>
    <n v="2"/>
    <n v="2"/>
    <s v="FIFA World Cup qualification"/>
    <s v="Margao"/>
    <s v="India"/>
    <b v="0"/>
    <n v="2007"/>
    <n v="1216736438834"/>
    <n v="24827355014"/>
    <x v="0"/>
    <n v="0"/>
    <x v="1"/>
  </r>
  <r>
    <x v="3395"/>
    <x v="1448"/>
    <x v="38"/>
    <s v="Indonesia"/>
    <s v="Syria"/>
    <n v="1"/>
    <n v="4"/>
    <s v="FIFA World Cup qualification"/>
    <s v="Jakarta"/>
    <s v="Indonesia"/>
    <b v="0"/>
    <n v="2007"/>
    <n v="432216737774"/>
    <n v="40465318382"/>
    <x v="0"/>
    <n v="-1"/>
    <x v="0"/>
  </r>
  <r>
    <x v="3396"/>
    <x v="1448"/>
    <x v="38"/>
    <s v="Singapore"/>
    <s v="Tajikistan"/>
    <n v="2"/>
    <n v="0"/>
    <s v="FIFA World Cup qualification"/>
    <s v="Singapore"/>
    <s v="Singapore"/>
    <b v="0"/>
    <n v="2007"/>
    <n v="180941701357"/>
    <n v="3719524540"/>
    <x v="0"/>
    <n v="1"/>
    <x v="2"/>
  </r>
  <r>
    <x v="3397"/>
    <x v="1449"/>
    <x v="38"/>
    <s v="Argentina"/>
    <s v="Bolivia"/>
    <n v="3"/>
    <n v="0"/>
    <s v="FIFA World Cup qualification"/>
    <s v="Buenos Aires"/>
    <s v="Argentina"/>
    <b v="0"/>
    <n v="2007"/>
    <n v="287530508430"/>
    <n v="13120108008"/>
    <x v="0"/>
    <n v="1"/>
    <x v="2"/>
  </r>
  <r>
    <x v="3398"/>
    <x v="1449"/>
    <x v="38"/>
    <s v="Colombia"/>
    <s v="Venezuela"/>
    <n v="1"/>
    <n v="0"/>
    <s v="FIFA World Cup qualification"/>
    <s v="Bogot√°"/>
    <s v="Colombia"/>
    <b v="0"/>
    <n v="2007"/>
    <n v="206229540926"/>
    <n v="230364012575"/>
    <x v="1"/>
    <n v="-1"/>
    <x v="0"/>
  </r>
  <r>
    <x v="3399"/>
    <x v="1449"/>
    <x v="38"/>
    <s v="Comoros"/>
    <s v="Madagascar"/>
    <n v="0"/>
    <n v="4"/>
    <s v="FIFA World Cup qualification"/>
    <s v="Moroni"/>
    <s v="Comoros"/>
    <b v="0"/>
    <n v="2007"/>
    <n v="795673152"/>
    <n v="8524620889"/>
    <x v="0"/>
    <n v="1"/>
    <x v="2"/>
  </r>
  <r>
    <x v="3400"/>
    <x v="1449"/>
    <x v="38"/>
    <s v="Guinea-Bissau"/>
    <s v="Sierra Leone"/>
    <n v="0"/>
    <n v="0"/>
    <s v="FIFA World Cup qualification"/>
    <s v="Bissau"/>
    <s v="Guinea-Bissau"/>
    <b v="0"/>
    <n v="2007"/>
    <n v="753162998"/>
    <n v="3632957611"/>
    <x v="0"/>
    <n v="0"/>
    <x v="1"/>
  </r>
  <r>
    <x v="3401"/>
    <x v="1449"/>
    <x v="38"/>
    <s v="Paraguay"/>
    <s v="Ecuador"/>
    <n v="5"/>
    <n v="1"/>
    <s v="FIFA World Cup qualification"/>
    <s v="Asunci√≥n"/>
    <s v="Paraguay"/>
    <b v="0"/>
    <n v="2007"/>
    <n v="17856393235"/>
    <n v="49848725000"/>
    <x v="0"/>
    <n v="-1"/>
    <x v="0"/>
  </r>
  <r>
    <x v="3402"/>
    <x v="1450"/>
    <x v="38"/>
    <s v="Peru"/>
    <s v="Brazil"/>
    <n v="1"/>
    <n v="1"/>
    <s v="FIFA World Cup qualification"/>
    <s v="Lima"/>
    <s v="Peru"/>
    <b v="0"/>
    <n v="2007"/>
    <n v="102170981144"/>
    <n v="1397114247188"/>
    <x v="0"/>
    <n v="0"/>
    <x v="1"/>
  </r>
  <r>
    <x v="3403"/>
    <x v="1450"/>
    <x v="38"/>
    <s v="Syria"/>
    <s v="Indonesia"/>
    <n v="7"/>
    <n v="0"/>
    <s v="FIFA World Cup qualification"/>
    <s v="Damascus"/>
    <s v="Syria"/>
    <b v="0"/>
    <n v="2007"/>
    <n v="40465318382"/>
    <n v="432216737774"/>
    <x v="0"/>
    <n v="-1"/>
    <x v="0"/>
  </r>
  <r>
    <x v="3404"/>
    <x v="1450"/>
    <x v="38"/>
    <s v="Tajikistan"/>
    <s v="Singapore"/>
    <n v="1"/>
    <n v="1"/>
    <s v="FIFA World Cup qualification"/>
    <s v="Dushanbe"/>
    <s v="Tajikistan"/>
    <b v="0"/>
    <n v="2007"/>
    <n v="3719524540"/>
    <n v="180941701357"/>
    <x v="0"/>
    <n v="0"/>
    <x v="1"/>
  </r>
  <r>
    <x v="3405"/>
    <x v="1450"/>
    <x v="38"/>
    <s v="Uruguay"/>
    <s v="Chile"/>
    <n v="2"/>
    <n v="2"/>
    <s v="FIFA World Cup qualification"/>
    <s v="Montevideo"/>
    <s v="Uruguay"/>
    <b v="0"/>
    <n v="2007"/>
    <n v="23797773024"/>
    <n v="172491076033"/>
    <x v="0"/>
    <n v="0"/>
    <x v="1"/>
  </r>
  <r>
    <x v="3406"/>
    <x v="1451"/>
    <x v="38"/>
    <s v="Colombia"/>
    <s v="Argentina"/>
    <n v="2"/>
    <n v="1"/>
    <s v="FIFA World Cup qualification"/>
    <s v="Bogot√°"/>
    <s v="Colombia"/>
    <b v="0"/>
    <n v="2007"/>
    <n v="206229540926"/>
    <n v="287530508430"/>
    <x v="1"/>
    <n v="-1"/>
    <x v="0"/>
  </r>
  <r>
    <x v="3407"/>
    <x v="1451"/>
    <x v="38"/>
    <s v="Venezuela"/>
    <s v="Bolivia"/>
    <n v="5"/>
    <n v="3"/>
    <s v="FIFA World Cup qualification"/>
    <s v="San Crist√≥bal"/>
    <s v="Venezuela"/>
    <b v="0"/>
    <n v="2007"/>
    <n v="230364012575"/>
    <n v="13120108008"/>
    <x v="0"/>
    <n v="1"/>
    <x v="2"/>
  </r>
  <r>
    <x v="3408"/>
    <x v="1452"/>
    <x v="38"/>
    <s v="Brazil"/>
    <s v="Uruguay"/>
    <n v="2"/>
    <n v="1"/>
    <s v="FIFA World Cup qualification"/>
    <s v="S√£o Paulo"/>
    <s v="Brazil"/>
    <b v="0"/>
    <n v="2007"/>
    <n v="1397114247188"/>
    <n v="23797773024"/>
    <x v="0"/>
    <n v="1"/>
    <x v="2"/>
  </r>
  <r>
    <x v="3409"/>
    <x v="1452"/>
    <x v="38"/>
    <s v="Chile"/>
    <s v="Paraguay"/>
    <n v="0"/>
    <n v="3"/>
    <s v="FIFA World Cup qualification"/>
    <s v="Santiago"/>
    <s v="Chile"/>
    <b v="0"/>
    <n v="2007"/>
    <n v="172491076033"/>
    <n v="17856393235"/>
    <x v="0"/>
    <n v="-1"/>
    <x v="0"/>
  </r>
  <r>
    <x v="3410"/>
    <x v="1452"/>
    <x v="38"/>
    <s v="Ecuador"/>
    <s v="Peru"/>
    <n v="5"/>
    <n v="1"/>
    <s v="FIFA World Cup qualification"/>
    <s v="Quito"/>
    <s v="Ecuador"/>
    <b v="0"/>
    <n v="2007"/>
    <n v="49848725000"/>
    <n v="102170981144"/>
    <x v="0"/>
    <n v="-1"/>
    <x v="0"/>
  </r>
  <r>
    <x v="3411"/>
    <x v="1453"/>
    <x v="39"/>
    <s v="Bermuda"/>
    <s v="Cayman Islands"/>
    <n v="1"/>
    <n v="1"/>
    <s v="FIFA World Cup qualification"/>
    <s v="Hamilton"/>
    <s v="Bermuda"/>
    <b v="0"/>
    <n v="2008"/>
    <n v="6980000000"/>
    <n v="4585948969"/>
    <x v="1"/>
    <n v="0"/>
    <x v="1"/>
  </r>
  <r>
    <x v="3412"/>
    <x v="1454"/>
    <x v="39"/>
    <s v="Aruba"/>
    <s v="Antigua and Barbuda"/>
    <n v="0"/>
    <n v="3"/>
    <s v="FIFA World Cup qualification"/>
    <s v="Oranjestad"/>
    <s v="Aruba"/>
    <b v="0"/>
    <n v="2008"/>
    <n v="2843024581"/>
    <n v="1557640740"/>
    <x v="1"/>
    <n v="-1"/>
    <x v="0"/>
  </r>
  <r>
    <x v="3413"/>
    <x v="1454"/>
    <x v="39"/>
    <s v="Australia"/>
    <s v="Qatar"/>
    <n v="3"/>
    <n v="0"/>
    <s v="FIFA World Cup qualification"/>
    <s v="Melbourne"/>
    <s v="Australia"/>
    <b v="0"/>
    <n v="2008"/>
    <n v="1058448244063"/>
    <n v="115270054945"/>
    <x v="0"/>
    <n v="1"/>
    <x v="2"/>
  </r>
  <r>
    <x v="3414"/>
    <x v="1454"/>
    <x v="39"/>
    <s v="Dominica"/>
    <s v="Barbados"/>
    <n v="1"/>
    <n v="1"/>
    <s v="FIFA World Cup qualification"/>
    <s v="Roseau"/>
    <s v="Dominica"/>
    <b v="0"/>
    <n v="2008"/>
    <n v="480003703"/>
    <n v="4790410400"/>
    <x v="0"/>
    <n v="0"/>
    <x v="1"/>
  </r>
  <r>
    <x v="3415"/>
    <x v="1454"/>
    <x v="39"/>
    <s v="Iran"/>
    <s v="Syria"/>
    <n v="0"/>
    <n v="0"/>
    <s v="FIFA World Cup qualification"/>
    <s v="Tehran"/>
    <s v="Iran"/>
    <b v="0"/>
    <n v="2008"/>
    <n v="406070949553"/>
    <n v="52557913568"/>
    <x v="0"/>
    <n v="0"/>
    <x v="1"/>
  </r>
  <r>
    <x v="3416"/>
    <x v="1454"/>
    <x v="39"/>
    <s v="Japan"/>
    <s v="Thailand"/>
    <n v="4"/>
    <n v="1"/>
    <s v="FIFA World Cup qualification"/>
    <s v="Saitama"/>
    <s v="Japan"/>
    <b v="0"/>
    <n v="2008"/>
    <n v="5106679115127"/>
    <n v="291382982430"/>
    <x v="0"/>
    <n v="1"/>
    <x v="2"/>
  </r>
  <r>
    <x v="3417"/>
    <x v="1454"/>
    <x v="39"/>
    <s v="South Korea"/>
    <s v="Turkmenistan"/>
    <n v="4"/>
    <n v="0"/>
    <s v="FIFA World Cup qualification"/>
    <s v="Seoul"/>
    <s v="South Korea"/>
    <b v="0"/>
    <n v="2008"/>
    <n v="1091580692542"/>
    <n v="19271523178"/>
    <x v="0"/>
    <n v="1"/>
    <x v="2"/>
  </r>
  <r>
    <x v="3418"/>
    <x v="1454"/>
    <x v="39"/>
    <s v="Lebanon"/>
    <s v="Uzbekistan"/>
    <n v="0"/>
    <n v="1"/>
    <s v="FIFA World Cup qualification"/>
    <s v="Beirut"/>
    <s v="Lebanon"/>
    <b v="0"/>
    <n v="2008"/>
    <n v="29118916105"/>
    <n v="29549438883"/>
    <x v="1"/>
    <n v="1"/>
    <x v="2"/>
  </r>
  <r>
    <x v="3419"/>
    <x v="1454"/>
    <x v="39"/>
    <s v="Oman"/>
    <s v="Bahrain"/>
    <n v="0"/>
    <n v="1"/>
    <s v="FIFA World Cup qualification"/>
    <s v="Muscat"/>
    <s v="Oman"/>
    <b v="0"/>
    <n v="2008"/>
    <n v="69804681404"/>
    <n v="25710904255"/>
    <x v="0"/>
    <n v="-1"/>
    <x v="0"/>
  </r>
  <r>
    <x v="3420"/>
    <x v="1454"/>
    <x v="39"/>
    <s v="Saudi Arabia"/>
    <s v="Singapore"/>
    <n v="2"/>
    <n v="0"/>
    <s v="FIFA World Cup qualification"/>
    <s v="Riyadh"/>
    <s v="Saudi Arabia"/>
    <b v="0"/>
    <n v="2008"/>
    <n v="519796800000"/>
    <n v="193617323539"/>
    <x v="0"/>
    <n v="1"/>
    <x v="2"/>
  </r>
  <r>
    <x v="3421"/>
    <x v="1454"/>
    <x v="39"/>
    <s v="United Arab Emirates"/>
    <s v="Kuwait"/>
    <n v="2"/>
    <n v="0"/>
    <s v="FIFA World Cup qualification"/>
    <s v="Abu Dhabi"/>
    <s v="United Arab Emirates"/>
    <b v="0"/>
    <n v="2008"/>
    <n v="315474615738"/>
    <n v="147379737229"/>
    <x v="0"/>
    <n v="1"/>
    <x v="2"/>
  </r>
  <r>
    <x v="3422"/>
    <x v="1455"/>
    <x v="39"/>
    <s v="Antigua and Barbuda"/>
    <s v="Aruba"/>
    <n v="1"/>
    <n v="0"/>
    <s v="FIFA World Cup qualification"/>
    <s v="St. John's"/>
    <s v="Antigua and Barbuda"/>
    <b v="0"/>
    <n v="2008"/>
    <n v="1557640740"/>
    <n v="2843024581"/>
    <x v="1"/>
    <n v="-1"/>
    <x v="0"/>
  </r>
  <r>
    <x v="3423"/>
    <x v="1455"/>
    <x v="39"/>
    <s v="Bahrain"/>
    <s v="Japan"/>
    <n v="1"/>
    <n v="0"/>
    <s v="FIFA World Cup qualification"/>
    <s v="Riffa"/>
    <s v="Bahrain"/>
    <b v="0"/>
    <n v="2008"/>
    <n v="25710904255"/>
    <n v="5106679115127"/>
    <x v="0"/>
    <n v="-1"/>
    <x v="0"/>
  </r>
  <r>
    <x v="3424"/>
    <x v="1455"/>
    <x v="39"/>
    <s v="Barbados"/>
    <s v="Dominica"/>
    <n v="1"/>
    <n v="0"/>
    <s v="FIFA World Cup qualification"/>
    <s v="Bridgetown"/>
    <s v="Barbados"/>
    <b v="0"/>
    <n v="2008"/>
    <n v="4790410400"/>
    <n v="480003703"/>
    <x v="0"/>
    <n v="1"/>
    <x v="2"/>
  </r>
  <r>
    <x v="3425"/>
    <x v="1455"/>
    <x v="39"/>
    <s v="Grenada"/>
    <s v="United States Virgin Islands"/>
    <n v="10"/>
    <n v="0"/>
    <s v="FIFA World Cup qualification"/>
    <s v="St. George's"/>
    <s v="Grenada"/>
    <b v="0"/>
    <n v="2008"/>
    <n v="825976037"/>
    <n v="4244000000"/>
    <x v="0"/>
    <n v="-1"/>
    <x v="0"/>
  </r>
  <r>
    <x v="3426"/>
    <x v="1455"/>
    <x v="39"/>
    <s v="Kuwait"/>
    <s v="Iran"/>
    <n v="2"/>
    <n v="2"/>
    <s v="FIFA World Cup qualification"/>
    <s v="Kuwait City"/>
    <s v="Kuwait"/>
    <b v="0"/>
    <n v="2008"/>
    <n v="147379737229"/>
    <n v="406070949553"/>
    <x v="0"/>
    <n v="0"/>
    <x v="1"/>
  </r>
  <r>
    <x v="3427"/>
    <x v="1455"/>
    <x v="39"/>
    <s v="Qatar"/>
    <s v="Iraq"/>
    <n v="2"/>
    <n v="0"/>
    <s v="FIFA World Cup qualification"/>
    <s v="Doha"/>
    <s v="Qatar"/>
    <b v="0"/>
    <n v="2008"/>
    <n v="115270054945"/>
    <n v="131614434153"/>
    <x v="1"/>
    <n v="-1"/>
    <x v="0"/>
  </r>
  <r>
    <x v="3428"/>
    <x v="1455"/>
    <x v="39"/>
    <s v="Singapore"/>
    <s v="Lebanon"/>
    <n v="2"/>
    <n v="0"/>
    <s v="FIFA World Cup qualification"/>
    <s v="Singapore"/>
    <s v="Singapore"/>
    <b v="0"/>
    <n v="2008"/>
    <n v="193617323539"/>
    <n v="29118916105"/>
    <x v="0"/>
    <n v="1"/>
    <x v="2"/>
  </r>
  <r>
    <x v="3429"/>
    <x v="1455"/>
    <x v="39"/>
    <s v="Syria"/>
    <s v="United Arab Emirates"/>
    <n v="1"/>
    <n v="1"/>
    <s v="FIFA World Cup qualification"/>
    <s v="Damascus"/>
    <s v="Syria"/>
    <b v="0"/>
    <n v="2008"/>
    <n v="52557913568"/>
    <n v="315474615738"/>
    <x v="0"/>
    <n v="0"/>
    <x v="1"/>
  </r>
  <r>
    <x v="3430"/>
    <x v="1455"/>
    <x v="39"/>
    <s v="Thailand"/>
    <s v="Oman"/>
    <n v="0"/>
    <n v="1"/>
    <s v="FIFA World Cup qualification"/>
    <s v="Bangkok"/>
    <s v="Thailand"/>
    <b v="0"/>
    <n v="2008"/>
    <n v="291382982430"/>
    <n v="69804681404"/>
    <x v="0"/>
    <n v="-1"/>
    <x v="0"/>
  </r>
  <r>
    <x v="3431"/>
    <x v="1455"/>
    <x v="39"/>
    <s v="Turkmenistan"/>
    <s v="Jordan"/>
    <n v="0"/>
    <n v="2"/>
    <s v="FIFA World Cup qualification"/>
    <s v="Ashgabat"/>
    <s v="Turkmenistan"/>
    <b v="0"/>
    <n v="2008"/>
    <n v="19271523178"/>
    <n v="22658715989"/>
    <x v="1"/>
    <n v="1"/>
    <x v="2"/>
  </r>
  <r>
    <x v="3432"/>
    <x v="1455"/>
    <x v="39"/>
    <s v="Uzbekistan"/>
    <s v="Saudi Arabia"/>
    <n v="3"/>
    <n v="0"/>
    <s v="FIFA World Cup qualification"/>
    <s v="Tashkent"/>
    <s v="Uzbekistan"/>
    <b v="0"/>
    <n v="2008"/>
    <n v="29549438883"/>
    <n v="519796800000"/>
    <x v="0"/>
    <n v="-1"/>
    <x v="0"/>
  </r>
  <r>
    <x v="3433"/>
    <x v="1456"/>
    <x v="39"/>
    <s v="Cayman Islands"/>
    <s v="Bermuda"/>
    <n v="1"/>
    <n v="3"/>
    <s v="FIFA World Cup qualification"/>
    <s v="George Town"/>
    <s v="Cayman Islands"/>
    <b v="0"/>
    <n v="2008"/>
    <n v="4585948969"/>
    <n v="6980000000"/>
    <x v="1"/>
    <n v="1"/>
    <x v="2"/>
  </r>
  <r>
    <x v="3434"/>
    <x v="1457"/>
    <x v="39"/>
    <s v="Botswana"/>
    <s v="Madagascar"/>
    <n v="0"/>
    <n v="0"/>
    <s v="FIFA World Cup qualification"/>
    <s v="Gaborone"/>
    <s v="Botswana"/>
    <b v="0"/>
    <n v="2008"/>
    <n v="10730829116"/>
    <n v="10725137723"/>
    <x v="1"/>
    <n v="0"/>
    <x v="1"/>
  </r>
  <r>
    <x v="3435"/>
    <x v="1457"/>
    <x v="39"/>
    <s v="South Korea"/>
    <s v="Jordan"/>
    <n v="2"/>
    <n v="2"/>
    <s v="FIFA World Cup qualification"/>
    <s v="Seoul"/>
    <s v="South Korea"/>
    <b v="0"/>
    <n v="2008"/>
    <n v="1091580692542"/>
    <n v="22658715989"/>
    <x v="0"/>
    <n v="0"/>
    <x v="1"/>
  </r>
  <r>
    <x v="3436"/>
    <x v="1457"/>
    <x v="39"/>
    <s v="Malawi"/>
    <s v="Djibouti"/>
    <n v="8"/>
    <n v="1"/>
    <s v="FIFA World Cup qualification"/>
    <s v="Blantyre"/>
    <s v="Malawi"/>
    <b v="0"/>
    <n v="2008"/>
    <n v="7743617352"/>
    <n v="999105339"/>
    <x v="0"/>
    <n v="1"/>
    <x v="2"/>
  </r>
  <r>
    <x v="3437"/>
    <x v="1457"/>
    <x v="39"/>
    <s v="Namibia"/>
    <s v="Kenya"/>
    <n v="2"/>
    <n v="1"/>
    <s v="FIFA World Cup qualification"/>
    <s v="Windhoek"/>
    <s v="Namibia"/>
    <b v="0"/>
    <n v="2008"/>
    <n v="8607431497"/>
    <n v="35895153327"/>
    <x v="0"/>
    <n v="-1"/>
    <x v="0"/>
  </r>
  <r>
    <x v="3438"/>
    <x v="1457"/>
    <x v="39"/>
    <s v="Rwanda"/>
    <s v="Mauritania"/>
    <n v="3"/>
    <n v="0"/>
    <s v="FIFA World Cup qualification"/>
    <s v="Kigali"/>
    <s v="Rwanda"/>
    <b v="0"/>
    <n v="2008"/>
    <n v="5179854064"/>
    <n v="5206437193"/>
    <x v="1"/>
    <n v="-1"/>
    <x v="0"/>
  </r>
  <r>
    <x v="3439"/>
    <x v="1457"/>
    <x v="39"/>
    <s v="Senegal"/>
    <s v="Algeria"/>
    <n v="1"/>
    <n v="0"/>
    <s v="FIFA World Cup qualification"/>
    <s v="Dakar"/>
    <s v="Senegal"/>
    <b v="0"/>
    <n v="2008"/>
    <n v="16853989627"/>
    <n v="180383848331"/>
    <x v="0"/>
    <n v="-1"/>
    <x v="0"/>
  </r>
  <r>
    <x v="3440"/>
    <x v="1457"/>
    <x v="39"/>
    <s v="Tanzania"/>
    <s v="Mauritius"/>
    <n v="1"/>
    <n v="1"/>
    <s v="FIFA World Cup qualification"/>
    <s v="Dar es Salaam"/>
    <s v="Tanzania"/>
    <b v="0"/>
    <n v="2008"/>
    <n v="27947821397"/>
    <n v="10127777060"/>
    <x v="0"/>
    <n v="0"/>
    <x v="1"/>
  </r>
  <r>
    <x v="3441"/>
    <x v="1457"/>
    <x v="39"/>
    <s v="Togo"/>
    <s v="Zambia"/>
    <n v="1"/>
    <n v="0"/>
    <s v="FIFA World Cup qualification"/>
    <s v="Accra"/>
    <s v="Ghana"/>
    <b v="1"/>
    <n v="2008"/>
    <n v="4578847112"/>
    <n v="17910858637"/>
    <x v="0"/>
    <n v="-1"/>
    <x v="0"/>
  </r>
  <r>
    <x v="3442"/>
    <x v="1457"/>
    <x v="39"/>
    <s v="Uganda"/>
    <s v="Niger"/>
    <n v="1"/>
    <n v="0"/>
    <s v="FIFA World Cup qualification"/>
    <s v="Kampala"/>
    <s v="Uganda"/>
    <b v="0"/>
    <n v="2008"/>
    <n v="14440404132"/>
    <n v="7297600226"/>
    <x v="1"/>
    <n v="1"/>
    <x v="2"/>
  </r>
  <r>
    <x v="3443"/>
    <x v="1458"/>
    <x v="39"/>
    <s v="Angola"/>
    <s v="Benin"/>
    <n v="3"/>
    <n v="0"/>
    <s v="FIFA World Cup qualification"/>
    <s v="Luanda"/>
    <s v="Angola"/>
    <b v="0"/>
    <n v="2008"/>
    <n v="98790432989"/>
    <n v="9787734526"/>
    <x v="0"/>
    <n v="1"/>
    <x v="2"/>
  </r>
  <r>
    <x v="3444"/>
    <x v="1458"/>
    <x v="39"/>
    <s v="Australia"/>
    <s v="Iraq"/>
    <n v="1"/>
    <n v="0"/>
    <s v="FIFA World Cup qualification"/>
    <s v="Brisbane"/>
    <s v="Australia"/>
    <b v="0"/>
    <n v="2008"/>
    <n v="1058448244063"/>
    <n v="131614434153"/>
    <x v="0"/>
    <n v="1"/>
    <x v="2"/>
  </r>
  <r>
    <x v="3445"/>
    <x v="1458"/>
    <x v="39"/>
    <s v="Burundi"/>
    <s v="Seychelles"/>
    <n v="1"/>
    <n v="0"/>
    <s v="FIFA World Cup qualification"/>
    <s v="Bujumbura"/>
    <s v="Burundi"/>
    <b v="0"/>
    <n v="2008"/>
    <n v="1611835857"/>
    <n v="979597394"/>
    <x v="1"/>
    <n v="1"/>
    <x v="2"/>
  </r>
  <r>
    <x v="3446"/>
    <x v="1458"/>
    <x v="39"/>
    <s v="Equatorial Guinea"/>
    <s v="Sierra Leone"/>
    <n v="2"/>
    <n v="0"/>
    <s v="FIFA World Cup qualification"/>
    <s v="Malabo"/>
    <s v="Equatorial Guinea"/>
    <b v="0"/>
    <n v="2008"/>
    <n v="19749893536"/>
    <n v="4157895298"/>
    <x v="0"/>
    <n v="1"/>
    <x v="2"/>
  </r>
  <r>
    <x v="3447"/>
    <x v="1458"/>
    <x v="39"/>
    <s v="Ghana"/>
    <s v="Libya"/>
    <n v="3"/>
    <n v="0"/>
    <s v="FIFA World Cup qualification"/>
    <s v="Kumasi"/>
    <s v="Ghana"/>
    <b v="0"/>
    <n v="2008"/>
    <n v="28679383241"/>
    <n v="86710767415"/>
    <x v="0"/>
    <n v="-1"/>
    <x v="0"/>
  </r>
  <r>
    <x v="3448"/>
    <x v="1458"/>
    <x v="39"/>
    <s v="Guinea"/>
    <s v="Zimbabwe"/>
    <n v="0"/>
    <n v="0"/>
    <s v="FIFA World Cup qualification"/>
    <s v="Conakry"/>
    <s v="Guinea"/>
    <b v="0"/>
    <n v="2008"/>
    <n v="6964179983"/>
    <n v="4418000000"/>
    <x v="1"/>
    <n v="0"/>
    <x v="1"/>
  </r>
  <r>
    <x v="3449"/>
    <x v="1458"/>
    <x v="39"/>
    <s v="Nigeria"/>
    <s v="South Africa"/>
    <n v="2"/>
    <n v="0"/>
    <s v="FIFA World Cup qualification"/>
    <s v="Abuja"/>
    <s v="Nigeria"/>
    <b v="0"/>
    <n v="2008"/>
    <n v="339476276257"/>
    <n v="316131258616"/>
    <x v="1"/>
    <n v="1"/>
    <x v="2"/>
  </r>
  <r>
    <x v="3450"/>
    <x v="1458"/>
    <x v="39"/>
    <s v="Tunisia"/>
    <s v="Burkina Faso"/>
    <n v="1"/>
    <n v="2"/>
    <s v="FIFA World Cup qualification"/>
    <s v="Rad√®s"/>
    <s v="Tunisia"/>
    <b v="0"/>
    <n v="2008"/>
    <n v="44859439902"/>
    <n v="9451435490"/>
    <x v="0"/>
    <n v="-1"/>
    <x v="0"/>
  </r>
  <r>
    <x v="3451"/>
    <x v="1459"/>
    <x v="39"/>
    <s v="Iran"/>
    <s v="United Arab Emirates"/>
    <n v="0"/>
    <n v="0"/>
    <s v="FIFA World Cup qualification"/>
    <s v="Tehran"/>
    <s v="Iran"/>
    <b v="0"/>
    <n v="2008"/>
    <n v="406070949553"/>
    <n v="315474615738"/>
    <x v="1"/>
    <n v="0"/>
    <x v="1"/>
  </r>
  <r>
    <x v="3452"/>
    <x v="1459"/>
    <x v="39"/>
    <s v="Japan"/>
    <s v="Oman"/>
    <n v="3"/>
    <n v="0"/>
    <s v="FIFA World Cup qualification"/>
    <s v="Yokohama"/>
    <s v="Japan"/>
    <b v="0"/>
    <n v="2008"/>
    <n v="5106679115127"/>
    <n v="69804681404"/>
    <x v="0"/>
    <n v="1"/>
    <x v="2"/>
  </r>
  <r>
    <x v="3453"/>
    <x v="1459"/>
    <x v="39"/>
    <s v="Saudi Arabia"/>
    <s v="Lebanon"/>
    <n v="4"/>
    <n v="1"/>
    <s v="FIFA World Cup qualification"/>
    <s v="Riyadh"/>
    <s v="Saudi Arabia"/>
    <b v="0"/>
    <n v="2008"/>
    <n v="519796800000"/>
    <n v="29118916105"/>
    <x v="0"/>
    <n v="1"/>
    <x v="2"/>
  </r>
  <r>
    <x v="3454"/>
    <x v="1459"/>
    <x v="39"/>
    <s v="Singapore"/>
    <s v="Uzbekistan"/>
    <n v="3"/>
    <n v="7"/>
    <s v="FIFA World Cup qualification"/>
    <s v="Singapore"/>
    <s v="Singapore"/>
    <b v="0"/>
    <n v="2008"/>
    <n v="193617323539"/>
    <n v="29549438883"/>
    <x v="0"/>
    <n v="-1"/>
    <x v="0"/>
  </r>
  <r>
    <x v="3455"/>
    <x v="1459"/>
    <x v="39"/>
    <s v="Syria"/>
    <s v="Kuwait"/>
    <n v="1"/>
    <n v="0"/>
    <s v="FIFA World Cup qualification"/>
    <s v="Damascus"/>
    <s v="Syria"/>
    <b v="0"/>
    <n v="2008"/>
    <n v="52557913568"/>
    <n v="147379737229"/>
    <x v="0"/>
    <n v="-1"/>
    <x v="0"/>
  </r>
  <r>
    <x v="3456"/>
    <x v="1459"/>
    <x v="39"/>
    <s v="Thailand"/>
    <s v="Bahrain"/>
    <n v="2"/>
    <n v="3"/>
    <s v="FIFA World Cup qualification"/>
    <s v="Bangkok"/>
    <s v="Thailand"/>
    <b v="0"/>
    <n v="2008"/>
    <n v="291382982430"/>
    <n v="25710904255"/>
    <x v="0"/>
    <n v="-1"/>
    <x v="0"/>
  </r>
  <r>
    <x v="3457"/>
    <x v="1460"/>
    <x v="39"/>
    <s v="Algeria"/>
    <s v="Liberia"/>
    <n v="3"/>
    <n v="0"/>
    <s v="FIFA World Cup qualification"/>
    <s v="Blida"/>
    <s v="Algeria"/>
    <b v="0"/>
    <n v="2008"/>
    <n v="180383848331"/>
    <n v="1726000000"/>
    <x v="0"/>
    <n v="1"/>
    <x v="2"/>
  </r>
  <r>
    <x v="3458"/>
    <x v="1460"/>
    <x v="39"/>
    <s v="Djibouti"/>
    <s v="Egypt"/>
    <n v="0"/>
    <n v="4"/>
    <s v="FIFA World Cup qualification"/>
    <s v="Djibouti"/>
    <s v="Djibouti"/>
    <b v="0"/>
    <n v="2008"/>
    <n v="999105339"/>
    <n v="162818181818"/>
    <x v="0"/>
    <n v="1"/>
    <x v="2"/>
  </r>
  <r>
    <x v="3459"/>
    <x v="1461"/>
    <x v="39"/>
    <s v="Bahrain"/>
    <s v="Thailand"/>
    <n v="1"/>
    <n v="1"/>
    <s v="FIFA World Cup qualification"/>
    <s v="Riffa"/>
    <s v="Bahrain"/>
    <b v="0"/>
    <n v="2008"/>
    <n v="25710904255"/>
    <n v="291382982430"/>
    <x v="0"/>
    <n v="0"/>
    <x v="1"/>
  </r>
  <r>
    <x v="3460"/>
    <x v="1461"/>
    <x v="39"/>
    <s v="Burkina Faso"/>
    <s v="Burundi"/>
    <n v="2"/>
    <n v="0"/>
    <s v="FIFA World Cup qualification"/>
    <s v="Ouagadougou"/>
    <s v="Burkina Faso"/>
    <b v="0"/>
    <n v="2008"/>
    <n v="9451435490"/>
    <n v="1611835857"/>
    <x v="0"/>
    <n v="1"/>
    <x v="2"/>
  </r>
  <r>
    <x v="3461"/>
    <x v="1461"/>
    <x v="39"/>
    <s v="Chad"/>
    <s v="Mali"/>
    <n v="1"/>
    <n v="2"/>
    <s v="FIFA World Cup qualification"/>
    <s v="N'Djamena"/>
    <s v="Chad"/>
    <b v="0"/>
    <n v="2008"/>
    <n v="13385593990"/>
    <n v="11462490840"/>
    <x v="1"/>
    <n v="-1"/>
    <x v="0"/>
  </r>
  <r>
    <x v="3462"/>
    <x v="1461"/>
    <x v="39"/>
    <s v="Iraq"/>
    <s v="Australia"/>
    <n v="1"/>
    <n v="0"/>
    <s v="FIFA World Cup qualification"/>
    <s v="Dubai"/>
    <s v="United Arab Emirates"/>
    <b v="1"/>
    <n v="2008"/>
    <n v="131614434153"/>
    <n v="1058448244063"/>
    <x v="0"/>
    <n v="-1"/>
    <x v="0"/>
  </r>
  <r>
    <x v="3463"/>
    <x v="1461"/>
    <x v="39"/>
    <s v="Jordan"/>
    <s v="South Korea"/>
    <n v="0"/>
    <n v="1"/>
    <s v="FIFA World Cup qualification"/>
    <s v="Amman"/>
    <s v="Jordan"/>
    <b v="0"/>
    <n v="2008"/>
    <n v="22658715989"/>
    <n v="1091580692542"/>
    <x v="0"/>
    <n v="1"/>
    <x v="2"/>
  </r>
  <r>
    <x v="3464"/>
    <x v="1461"/>
    <x v="39"/>
    <s v="Kenya"/>
    <s v="Guinea"/>
    <n v="2"/>
    <n v="0"/>
    <s v="FIFA World Cup qualification"/>
    <s v="Nairobi"/>
    <s v="Kenya"/>
    <b v="0"/>
    <n v="2008"/>
    <n v="35895153327"/>
    <n v="6964179983"/>
    <x v="0"/>
    <n v="1"/>
    <x v="2"/>
  </r>
  <r>
    <x v="3465"/>
    <x v="1461"/>
    <x v="39"/>
    <s v="Libya"/>
    <s v="Gabon"/>
    <n v="1"/>
    <n v="0"/>
    <s v="FIFA World Cup qualification"/>
    <s v="Tripoli"/>
    <s v="Libya"/>
    <b v="0"/>
    <n v="2008"/>
    <n v="86710767415"/>
    <n v="15571348344"/>
    <x v="0"/>
    <n v="1"/>
    <x v="2"/>
  </r>
  <r>
    <x v="3466"/>
    <x v="1461"/>
    <x v="39"/>
    <s v="Mauritania"/>
    <s v="Morocco"/>
    <n v="1"/>
    <n v="4"/>
    <s v="FIFA World Cup qualification"/>
    <s v="Nouakchott"/>
    <s v="Mauritania"/>
    <b v="0"/>
    <n v="2008"/>
    <n v="5206437193"/>
    <n v="101822906949"/>
    <x v="0"/>
    <n v="1"/>
    <x v="2"/>
  </r>
  <r>
    <x v="3467"/>
    <x v="1461"/>
    <x v="39"/>
    <s v="Oman"/>
    <s v="Japan"/>
    <n v="1"/>
    <n v="1"/>
    <s v="FIFA World Cup qualification"/>
    <s v="Muscat"/>
    <s v="Oman"/>
    <b v="0"/>
    <n v="2008"/>
    <n v="69804681404"/>
    <n v="5106679115127"/>
    <x v="0"/>
    <n v="0"/>
    <x v="1"/>
  </r>
  <r>
    <x v="3468"/>
    <x v="1461"/>
    <x v="39"/>
    <s v="Saudi Arabia"/>
    <s v="Lebanon"/>
    <n v="2"/>
    <n v="1"/>
    <s v="FIFA World Cup qualification"/>
    <s v="Riyadh"/>
    <s v="Saudi Arabia"/>
    <b v="0"/>
    <n v="2008"/>
    <n v="519796800000"/>
    <n v="29118916105"/>
    <x v="0"/>
    <n v="1"/>
    <x v="2"/>
  </r>
  <r>
    <x v="3469"/>
    <x v="1461"/>
    <x v="39"/>
    <s v="Seychelles"/>
    <s v="Tunisia"/>
    <n v="0"/>
    <n v="2"/>
    <s v="FIFA World Cup qualification"/>
    <s v="Victoria"/>
    <s v="Seychelles"/>
    <b v="0"/>
    <n v="2008"/>
    <n v="979597394"/>
    <n v="44859439902"/>
    <x v="0"/>
    <n v="1"/>
    <x v="2"/>
  </r>
  <r>
    <x v="3470"/>
    <x v="1461"/>
    <x v="39"/>
    <s v="Sierra Leone"/>
    <s v="Nigeria"/>
    <n v="0"/>
    <n v="1"/>
    <s v="FIFA World Cup qualification"/>
    <s v="Freetown"/>
    <s v="Sierra Leone"/>
    <b v="0"/>
    <n v="2008"/>
    <n v="4157895298"/>
    <n v="339476276257"/>
    <x v="0"/>
    <n v="1"/>
    <x v="2"/>
  </r>
  <r>
    <x v="3471"/>
    <x v="1461"/>
    <x v="39"/>
    <s v="United Arab Emirates"/>
    <s v="Iran"/>
    <n v="0"/>
    <n v="1"/>
    <s v="FIFA World Cup qualification"/>
    <s v="Al Ain"/>
    <s v="United Arab Emirates"/>
    <b v="0"/>
    <n v="2008"/>
    <n v="315474615738"/>
    <n v="406070949553"/>
    <x v="1"/>
    <n v="1"/>
    <x v="2"/>
  </r>
  <r>
    <x v="3472"/>
    <x v="1461"/>
    <x v="39"/>
    <s v="Uzbekistan"/>
    <s v="Singapore"/>
    <n v="3"/>
    <n v="0"/>
    <s v="FIFA World Cup qualification"/>
    <s v="Tashkent"/>
    <s v="Uzbekistan"/>
    <b v="0"/>
    <n v="2008"/>
    <n v="29549438883"/>
    <n v="193617323539"/>
    <x v="0"/>
    <n v="-1"/>
    <x v="0"/>
  </r>
  <r>
    <x v="3473"/>
    <x v="1461"/>
    <x v="39"/>
    <s v="South Africa"/>
    <s v="Equatorial Guinea"/>
    <n v="4"/>
    <n v="1"/>
    <s v="FIFA World Cup qualification"/>
    <s v="Pretoria"/>
    <s v="South Africa"/>
    <b v="0"/>
    <n v="2008"/>
    <n v="316131258616"/>
    <n v="19749893536"/>
    <x v="0"/>
    <n v="1"/>
    <x v="2"/>
  </r>
  <r>
    <x v="3474"/>
    <x v="1462"/>
    <x v="39"/>
    <s v="Benin"/>
    <s v="Uganda"/>
    <n v="4"/>
    <n v="1"/>
    <s v="FIFA World Cup qualification"/>
    <s v="Cotonou"/>
    <s v="Benin"/>
    <b v="0"/>
    <n v="2008"/>
    <n v="9787734526"/>
    <n v="14440404132"/>
    <x v="1"/>
    <n v="-1"/>
    <x v="0"/>
  </r>
  <r>
    <x v="3475"/>
    <x v="1462"/>
    <x v="39"/>
    <s v="Kuwait"/>
    <s v="Syria"/>
    <n v="4"/>
    <n v="2"/>
    <s v="FIFA World Cup qualification"/>
    <s v="Kuwait City"/>
    <s v="Kuwait"/>
    <b v="0"/>
    <n v="2008"/>
    <n v="147379737229"/>
    <n v="52557913568"/>
    <x v="0"/>
    <n v="1"/>
    <x v="2"/>
  </r>
  <r>
    <x v="3476"/>
    <x v="1462"/>
    <x v="39"/>
    <s v="Lesotho"/>
    <s v="Ghana"/>
    <n v="2"/>
    <n v="3"/>
    <s v="FIFA World Cup qualification"/>
    <s v="Bloemfontein"/>
    <s v="South Africa"/>
    <b v="1"/>
    <n v="2008"/>
    <n v="1766902709"/>
    <n v="28679383241"/>
    <x v="0"/>
    <n v="1"/>
    <x v="2"/>
  </r>
  <r>
    <x v="3477"/>
    <x v="1462"/>
    <x v="39"/>
    <s v="Mauritius"/>
    <s v="Cameroon"/>
    <n v="0"/>
    <n v="3"/>
    <s v="FIFA World Cup qualification"/>
    <s v="Curepipe"/>
    <s v="Mauritius"/>
    <b v="0"/>
    <n v="2008"/>
    <n v="10127777060"/>
    <n v="27715142032"/>
    <x v="0"/>
    <n v="1"/>
    <x v="2"/>
  </r>
  <r>
    <x v="3478"/>
    <x v="1462"/>
    <x v="39"/>
    <s v="Mozambique"/>
    <s v="Botswana"/>
    <n v="1"/>
    <n v="2"/>
    <s v="FIFA World Cup qualification"/>
    <s v="Maputo"/>
    <s v="Mozambique"/>
    <b v="0"/>
    <n v="2008"/>
    <n v="12920340964"/>
    <n v="10730829116"/>
    <x v="1"/>
    <n v="-1"/>
    <x v="0"/>
  </r>
  <r>
    <x v="3479"/>
    <x v="1462"/>
    <x v="39"/>
    <s v="Niger"/>
    <s v="Angola"/>
    <n v="1"/>
    <n v="2"/>
    <s v="FIFA World Cup qualification"/>
    <s v="Niamey"/>
    <s v="Niger"/>
    <b v="0"/>
    <n v="2008"/>
    <n v="7297600226"/>
    <n v="98790432989"/>
    <x v="0"/>
    <n v="1"/>
    <x v="2"/>
  </r>
  <r>
    <x v="3480"/>
    <x v="1462"/>
    <x v="39"/>
    <s v="Eswatini"/>
    <s v="Togo"/>
    <n v="2"/>
    <n v="1"/>
    <s v="FIFA World Cup qualification"/>
    <s v="Lobamba"/>
    <s v="Swaziland"/>
    <b v="0"/>
    <n v="2008"/>
    <n v="3235921170"/>
    <n v="4578847112"/>
    <x v="1"/>
    <n v="-1"/>
    <x v="0"/>
  </r>
  <r>
    <x v="3481"/>
    <x v="1462"/>
    <x v="39"/>
    <s v="Zimbabwe"/>
    <s v="Namibia"/>
    <n v="2"/>
    <n v="0"/>
    <s v="FIFA World Cup qualification"/>
    <s v="Harare"/>
    <s v="Zimbabwe"/>
    <b v="0"/>
    <n v="2008"/>
    <n v="4418000000"/>
    <n v="8607431497"/>
    <x v="1"/>
    <n v="-1"/>
    <x v="0"/>
  </r>
  <r>
    <x v="3482"/>
    <x v="1463"/>
    <x v="39"/>
    <s v="Bahrain"/>
    <s v="Oman"/>
    <n v="1"/>
    <n v="1"/>
    <s v="FIFA World Cup qualification"/>
    <s v="Riffa"/>
    <s v="Bahrain"/>
    <b v="0"/>
    <n v="2008"/>
    <n v="25710904255"/>
    <n v="69804681404"/>
    <x v="0"/>
    <n v="0"/>
    <x v="1"/>
  </r>
  <r>
    <x v="3483"/>
    <x v="1463"/>
    <x v="39"/>
    <s v="Gabon"/>
    <s v="Ghana"/>
    <n v="2"/>
    <n v="0"/>
    <s v="FIFA World Cup qualification"/>
    <s v="Libreville"/>
    <s v="Gabon"/>
    <b v="0"/>
    <n v="2008"/>
    <n v="15571348344"/>
    <n v="28679383241"/>
    <x v="1"/>
    <n v="-1"/>
    <x v="0"/>
  </r>
  <r>
    <x v="3484"/>
    <x v="1463"/>
    <x v="39"/>
    <s v="Grenada"/>
    <s v="Costa Rica"/>
    <n v="2"/>
    <n v="2"/>
    <s v="FIFA World Cup qualification"/>
    <s v="St. George's"/>
    <s v="Grenada"/>
    <b v="0"/>
    <n v="2008"/>
    <n v="825976037"/>
    <n v="30801745700"/>
    <x v="0"/>
    <n v="0"/>
    <x v="1"/>
  </r>
  <r>
    <x v="3485"/>
    <x v="1463"/>
    <x v="39"/>
    <s v="Kenya"/>
    <s v="Zimbabwe"/>
    <n v="2"/>
    <n v="0"/>
    <s v="FIFA World Cup qualification"/>
    <s v="Nairobi"/>
    <s v="Kenya"/>
    <b v="0"/>
    <n v="2008"/>
    <n v="35895153327"/>
    <n v="4418000000"/>
    <x v="0"/>
    <n v="1"/>
    <x v="2"/>
  </r>
  <r>
    <x v="3486"/>
    <x v="1463"/>
    <x v="39"/>
    <s v="Kuwait"/>
    <s v="United Arab Emirates"/>
    <n v="2"/>
    <n v="3"/>
    <s v="FIFA World Cup qualification"/>
    <s v="Kuwait City"/>
    <s v="Kuwait"/>
    <b v="0"/>
    <n v="2008"/>
    <n v="147379737229"/>
    <n v="315474615738"/>
    <x v="0"/>
    <n v="1"/>
    <x v="2"/>
  </r>
  <r>
    <x v="3487"/>
    <x v="1463"/>
    <x v="39"/>
    <s v="Malawi"/>
    <s v="Egypt"/>
    <n v="1"/>
    <n v="0"/>
    <s v="FIFA World Cup qualification"/>
    <s v="Blantyre"/>
    <s v="Malawi"/>
    <b v="0"/>
    <n v="2008"/>
    <n v="7743617352"/>
    <n v="162818181818"/>
    <x v="0"/>
    <n v="-1"/>
    <x v="0"/>
  </r>
  <r>
    <x v="3488"/>
    <x v="1463"/>
    <x v="39"/>
    <s v="Namibia"/>
    <s v="Guinea"/>
    <n v="1"/>
    <n v="2"/>
    <s v="FIFA World Cup qualification"/>
    <s v="Windhoek"/>
    <s v="Namibia"/>
    <b v="0"/>
    <n v="2008"/>
    <n v="8607431497"/>
    <n v="6964179983"/>
    <x v="1"/>
    <n v="-1"/>
    <x v="0"/>
  </r>
  <r>
    <x v="3489"/>
    <x v="1463"/>
    <x v="39"/>
    <s v="Niger"/>
    <s v="Benin"/>
    <n v="0"/>
    <n v="2"/>
    <s v="FIFA World Cup qualification"/>
    <s v="Niamey"/>
    <s v="Niger"/>
    <b v="0"/>
    <n v="2008"/>
    <n v="7297600226"/>
    <n v="9787734526"/>
    <x v="1"/>
    <n v="1"/>
    <x v="2"/>
  </r>
  <r>
    <x v="3490"/>
    <x v="1463"/>
    <x v="39"/>
    <s v="Peru"/>
    <s v="Colombia"/>
    <n v="1"/>
    <n v="1"/>
    <s v="FIFA World Cup qualification"/>
    <s v="Lima"/>
    <s v="Peru"/>
    <b v="0"/>
    <n v="2008"/>
    <n v="120550599815"/>
    <n v="242504150472"/>
    <x v="0"/>
    <n v="0"/>
    <x v="1"/>
  </r>
  <r>
    <x v="3491"/>
    <x v="1463"/>
    <x v="39"/>
    <s v="Qatar"/>
    <s v="Australia"/>
    <n v="1"/>
    <n v="3"/>
    <s v="FIFA World Cup qualification"/>
    <s v="Doha"/>
    <s v="Qatar"/>
    <b v="0"/>
    <n v="2008"/>
    <n v="115270054945"/>
    <n v="1058448244063"/>
    <x v="0"/>
    <n v="1"/>
    <x v="2"/>
  </r>
  <r>
    <x v="3492"/>
    <x v="1463"/>
    <x v="39"/>
    <s v="Rwanda"/>
    <s v="Morocco"/>
    <n v="3"/>
    <n v="1"/>
    <s v="FIFA World Cup qualification"/>
    <s v="Kigali"/>
    <s v="Rwanda"/>
    <b v="0"/>
    <n v="2008"/>
    <n v="5179854064"/>
    <n v="101822906949"/>
    <x v="0"/>
    <n v="-1"/>
    <x v="0"/>
  </r>
  <r>
    <x v="3493"/>
    <x v="1463"/>
    <x v="39"/>
    <s v="Seychelles"/>
    <s v="Burkina Faso"/>
    <n v="2"/>
    <n v="3"/>
    <s v="FIFA World Cup qualification"/>
    <s v="Victoria"/>
    <s v="Seychelles"/>
    <b v="0"/>
    <n v="2008"/>
    <n v="979597394"/>
    <n v="9451435490"/>
    <x v="0"/>
    <n v="1"/>
    <x v="2"/>
  </r>
  <r>
    <x v="3494"/>
    <x v="1463"/>
    <x v="39"/>
    <s v="Sierra Leone"/>
    <s v="South Africa"/>
    <n v="1"/>
    <n v="0"/>
    <s v="FIFA World Cup qualification"/>
    <s v="Freetown"/>
    <s v="Sierra Leone"/>
    <b v="0"/>
    <n v="2008"/>
    <n v="4157895298"/>
    <n v="316131258616"/>
    <x v="0"/>
    <n v="-1"/>
    <x v="0"/>
  </r>
  <r>
    <x v="3495"/>
    <x v="1463"/>
    <x v="39"/>
    <s v="Singapore"/>
    <s v="Saudi Arabia"/>
    <n v="0"/>
    <n v="3"/>
    <s v="FIFA World Cup qualification"/>
    <s v="Singapore"/>
    <s v="Singapore"/>
    <b v="0"/>
    <n v="2008"/>
    <n v="193617323539"/>
    <n v="519796800000"/>
    <x v="0"/>
    <n v="1"/>
    <x v="2"/>
  </r>
  <r>
    <x v="3496"/>
    <x v="1463"/>
    <x v="39"/>
    <s v="Sudan"/>
    <s v="Mali"/>
    <n v="3"/>
    <n v="2"/>
    <s v="FIFA World Cup qualification"/>
    <s v="Khartoum"/>
    <s v="Sudan"/>
    <b v="0"/>
    <n v="2008"/>
    <n v="64833083257"/>
    <n v="11462490840"/>
    <x v="0"/>
    <n v="1"/>
    <x v="2"/>
  </r>
  <r>
    <x v="3497"/>
    <x v="1463"/>
    <x v="39"/>
    <s v="Suriname"/>
    <s v="Guyana"/>
    <n v="1"/>
    <n v="0"/>
    <s v="FIFA World Cup qualification"/>
    <s v="Paramaribo"/>
    <s v="Suriname"/>
    <b v="0"/>
    <n v="2008"/>
    <n v="3532969034"/>
    <n v="3025187433"/>
    <x v="1"/>
    <n v="1"/>
    <x v="2"/>
  </r>
  <r>
    <x v="3498"/>
    <x v="1463"/>
    <x v="39"/>
    <s v="Syria"/>
    <s v="Iran"/>
    <n v="0"/>
    <n v="2"/>
    <s v="FIFA World Cup qualification"/>
    <s v="Damascus"/>
    <s v="Syria"/>
    <b v="0"/>
    <n v="2008"/>
    <n v="52557913568"/>
    <n v="406070949553"/>
    <x v="0"/>
    <n v="1"/>
    <x v="2"/>
  </r>
  <r>
    <x v="3499"/>
    <x v="1463"/>
    <x v="39"/>
    <s v="Tanzania"/>
    <s v="Cameroon"/>
    <n v="0"/>
    <n v="0"/>
    <s v="FIFA World Cup qualification"/>
    <s v="Dar es Salaam"/>
    <s v="Tanzania"/>
    <b v="0"/>
    <n v="2008"/>
    <n v="27947821397"/>
    <n v="27715142032"/>
    <x v="1"/>
    <n v="0"/>
    <x v="1"/>
  </r>
  <r>
    <x v="3500"/>
    <x v="1463"/>
    <x v="39"/>
    <s v="Thailand"/>
    <s v="Japan"/>
    <n v="0"/>
    <n v="3"/>
    <s v="FIFA World Cup qualification"/>
    <s v="Bangkok"/>
    <s v="Thailand"/>
    <b v="0"/>
    <n v="2008"/>
    <n v="291382982430"/>
    <n v="5106679115127"/>
    <x v="0"/>
    <n v="1"/>
    <x v="2"/>
  </r>
  <r>
    <x v="3501"/>
    <x v="1463"/>
    <x v="39"/>
    <s v="Turkmenistan"/>
    <s v="South Korea"/>
    <n v="1"/>
    <n v="3"/>
    <s v="FIFA World Cup qualification"/>
    <s v="Ashgabat"/>
    <s v="Turkmenistan"/>
    <b v="0"/>
    <n v="2008"/>
    <n v="19271523178"/>
    <n v="1091580692542"/>
    <x v="0"/>
    <n v="1"/>
    <x v="2"/>
  </r>
  <r>
    <x v="3502"/>
    <x v="1463"/>
    <x v="39"/>
    <s v="Uganda"/>
    <s v="Angola"/>
    <n v="3"/>
    <n v="1"/>
    <s v="FIFA World Cup qualification"/>
    <s v="Kampala"/>
    <s v="Uganda"/>
    <b v="0"/>
    <n v="2008"/>
    <n v="14440404132"/>
    <n v="98790432989"/>
    <x v="0"/>
    <n v="-1"/>
    <x v="0"/>
  </r>
  <r>
    <x v="3503"/>
    <x v="1463"/>
    <x v="39"/>
    <s v="Uruguay"/>
    <s v="Venezuela"/>
    <n v="1"/>
    <n v="1"/>
    <s v="FIFA World Cup qualification"/>
    <s v="Montevideo"/>
    <s v="Uruguay"/>
    <b v="0"/>
    <n v="2008"/>
    <n v="31119602538"/>
    <n v="315953388510"/>
    <x v="0"/>
    <n v="0"/>
    <x v="1"/>
  </r>
  <r>
    <x v="3504"/>
    <x v="1463"/>
    <x v="39"/>
    <s v="Uzbekistan"/>
    <s v="Lebanon"/>
    <n v="3"/>
    <n v="0"/>
    <s v="FIFA World Cup qualification"/>
    <s v="Tashkent"/>
    <s v="Uzbekistan"/>
    <b v="0"/>
    <n v="2008"/>
    <n v="29549438883"/>
    <n v="29118916105"/>
    <x v="1"/>
    <n v="1"/>
    <x v="2"/>
  </r>
  <r>
    <x v="3505"/>
    <x v="1464"/>
    <x v="39"/>
    <s v="Argentina"/>
    <s v="Ecuador"/>
    <n v="1"/>
    <n v="1"/>
    <s v="FIFA World Cup qualification"/>
    <s v="Buenos Aires"/>
    <s v="Argentina"/>
    <b v="0"/>
    <n v="2008"/>
    <n v="361558037110"/>
    <n v="61139438000"/>
    <x v="0"/>
    <n v="0"/>
    <x v="1"/>
  </r>
  <r>
    <x v="3506"/>
    <x v="1464"/>
    <x v="39"/>
    <s v="Belize"/>
    <s v="Mexico"/>
    <n v="0"/>
    <n v="2"/>
    <s v="FIFA World Cup qualification"/>
    <s v="Houston"/>
    <s v="United States"/>
    <b v="1"/>
    <n v="2008"/>
    <n v="1738453600"/>
    <n v="1161553459715"/>
    <x v="0"/>
    <n v="1"/>
    <x v="2"/>
  </r>
  <r>
    <x v="3507"/>
    <x v="1464"/>
    <x v="39"/>
    <s v="Bolivia"/>
    <s v="Chile"/>
    <n v="0"/>
    <n v="2"/>
    <s v="FIFA World Cup qualification"/>
    <s v="La Paz"/>
    <s v="Bolivia"/>
    <b v="0"/>
    <n v="2008"/>
    <n v="16674276285"/>
    <n v="179894594475"/>
    <x v="0"/>
    <n v="1"/>
    <x v="2"/>
  </r>
  <r>
    <x v="3508"/>
    <x v="1464"/>
    <x v="39"/>
    <s v="Burundi"/>
    <s v="Tunisia"/>
    <n v="0"/>
    <n v="1"/>
    <s v="FIFA World Cup qualification"/>
    <s v="Bujumbura"/>
    <s v="Burundi"/>
    <b v="0"/>
    <n v="2008"/>
    <n v="1611835857"/>
    <n v="44859439902"/>
    <x v="0"/>
    <n v="1"/>
    <x v="2"/>
  </r>
  <r>
    <x v="3509"/>
    <x v="1464"/>
    <x v="39"/>
    <s v="Equatorial Guinea"/>
    <s v="Nigeria"/>
    <n v="0"/>
    <n v="1"/>
    <s v="FIFA World Cup qualification"/>
    <s v="Malabo"/>
    <s v="Equatorial Guinea"/>
    <b v="0"/>
    <n v="2008"/>
    <n v="19749893536"/>
    <n v="339476276257"/>
    <x v="0"/>
    <n v="1"/>
    <x v="2"/>
  </r>
  <r>
    <x v="3510"/>
    <x v="1464"/>
    <x v="39"/>
    <s v="Lesotho"/>
    <s v="Libya"/>
    <n v="0"/>
    <n v="1"/>
    <s v="FIFA World Cup qualification"/>
    <s v="Bloemfontein"/>
    <s v="South Africa"/>
    <b v="1"/>
    <n v="2008"/>
    <n v="1766902709"/>
    <n v="86710767415"/>
    <x v="0"/>
    <n v="1"/>
    <x v="2"/>
  </r>
  <r>
    <x v="3511"/>
    <x v="1464"/>
    <x v="39"/>
    <s v="Liberia"/>
    <s v="Senegal"/>
    <n v="2"/>
    <n v="2"/>
    <s v="FIFA World Cup qualification"/>
    <s v="Paynesville"/>
    <s v="Liberia"/>
    <b v="0"/>
    <n v="2008"/>
    <n v="1726000000"/>
    <n v="16853989627"/>
    <x v="0"/>
    <n v="0"/>
    <x v="1"/>
  </r>
  <r>
    <x v="3512"/>
    <x v="1464"/>
    <x v="39"/>
    <s v="Madagascar"/>
    <s v="Mozambique"/>
    <n v="1"/>
    <n v="1"/>
    <s v="FIFA World Cup qualification"/>
    <s v="Antananarivo"/>
    <s v="Madagascar"/>
    <b v="0"/>
    <n v="2008"/>
    <n v="10725137723"/>
    <n v="12920340964"/>
    <x v="1"/>
    <n v="0"/>
    <x v="1"/>
  </r>
  <r>
    <x v="3513"/>
    <x v="1464"/>
    <x v="39"/>
    <s v="Panama"/>
    <s v="El Salvador"/>
    <n v="1"/>
    <n v="0"/>
    <s v="FIFA World Cup qualification"/>
    <s v="Panama City"/>
    <s v="Panama"/>
    <b v="0"/>
    <n v="2008"/>
    <n v="25721327955"/>
    <n v="17986890000"/>
    <x v="1"/>
    <n v="1"/>
    <x v="2"/>
  </r>
  <r>
    <x v="3514"/>
    <x v="1464"/>
    <x v="39"/>
    <s v="Paraguay"/>
    <s v="Brazil"/>
    <n v="2"/>
    <n v="0"/>
    <s v="FIFA World Cup qualification"/>
    <s v="Asunci√≥n"/>
    <s v="Paraguay"/>
    <b v="0"/>
    <n v="2008"/>
    <n v="24615267663"/>
    <n v="1695855391757"/>
    <x v="0"/>
    <n v="-1"/>
    <x v="0"/>
  </r>
  <r>
    <x v="3515"/>
    <x v="1464"/>
    <x v="39"/>
    <s v="Eswatini"/>
    <s v="Zambia"/>
    <n v="0"/>
    <n v="0"/>
    <s v="FIFA World Cup qualification"/>
    <s v="Lobamba"/>
    <s v="Swaziland"/>
    <b v="0"/>
    <n v="2008"/>
    <n v="3235921170"/>
    <n v="17910858637"/>
    <x v="0"/>
    <n v="0"/>
    <x v="1"/>
  </r>
  <r>
    <x v="3516"/>
    <x v="1464"/>
    <x v="39"/>
    <s v="Trinidad and Tobago"/>
    <s v="Bermuda"/>
    <n v="1"/>
    <n v="2"/>
    <s v="FIFA World Cup qualification"/>
    <s v="Macoya"/>
    <s v="Trinidad and Tobago"/>
    <b v="0"/>
    <n v="2008"/>
    <n v="27871587349"/>
    <n v="6980000000"/>
    <x v="0"/>
    <n v="-1"/>
    <x v="0"/>
  </r>
  <r>
    <x v="3517"/>
    <x v="1464"/>
    <x v="39"/>
    <s v="United States"/>
    <s v="Barbados"/>
    <n v="8"/>
    <n v="0"/>
    <s v="FIFA World Cup qualification"/>
    <s v="Carson"/>
    <s v="United States"/>
    <b v="0"/>
    <n v="2008"/>
    <n v="14769857911000"/>
    <n v="4790410400"/>
    <x v="0"/>
    <n v="1"/>
    <x v="2"/>
  </r>
  <r>
    <x v="3518"/>
    <x v="1465"/>
    <x v="39"/>
    <s v="Antigua and Barbuda"/>
    <s v="Cuba"/>
    <n v="3"/>
    <n v="4"/>
    <s v="FIFA World Cup qualification"/>
    <s v="St. John's"/>
    <s v="Antigua and Barbuda"/>
    <b v="0"/>
    <n v="2008"/>
    <n v="1557640740"/>
    <n v="56302129629"/>
    <x v="0"/>
    <n v="1"/>
    <x v="2"/>
  </r>
  <r>
    <x v="3519"/>
    <x v="1465"/>
    <x v="39"/>
    <s v="Uruguay"/>
    <s v="Peru"/>
    <n v="6"/>
    <n v="0"/>
    <s v="FIFA World Cup qualification"/>
    <s v="Montevideo"/>
    <s v="Uruguay"/>
    <b v="0"/>
    <n v="2008"/>
    <n v="31119602538"/>
    <n v="120550599815"/>
    <x v="0"/>
    <n v="-1"/>
    <x v="0"/>
  </r>
  <r>
    <x v="3520"/>
    <x v="1466"/>
    <x v="39"/>
    <s v="Bolivia"/>
    <s v="Paraguay"/>
    <n v="4"/>
    <n v="2"/>
    <s v="FIFA World Cup qualification"/>
    <s v="La Paz"/>
    <s v="Bolivia"/>
    <b v="0"/>
    <n v="2008"/>
    <n v="16674276285"/>
    <n v="24615267663"/>
    <x v="1"/>
    <n v="-1"/>
    <x v="0"/>
  </r>
  <r>
    <x v="3521"/>
    <x v="1466"/>
    <x v="39"/>
    <s v="Ecuador"/>
    <s v="Colombia"/>
    <n v="0"/>
    <n v="0"/>
    <s v="FIFA World Cup qualification"/>
    <s v="Quito"/>
    <s v="Ecuador"/>
    <b v="0"/>
    <n v="2008"/>
    <n v="61139438000"/>
    <n v="242504150472"/>
    <x v="0"/>
    <n v="0"/>
    <x v="1"/>
  </r>
  <r>
    <x v="3522"/>
    <x v="1466"/>
    <x v="39"/>
    <s v="Brazil"/>
    <s v="Argentina"/>
    <n v="0"/>
    <n v="0"/>
    <s v="FIFA World Cup qualification"/>
    <s v="Belo Horizonte"/>
    <s v="Brazil"/>
    <b v="0"/>
    <n v="2008"/>
    <n v="1695855391757"/>
    <n v="361558037110"/>
    <x v="0"/>
    <n v="0"/>
    <x v="1"/>
  </r>
  <r>
    <x v="3523"/>
    <x v="1467"/>
    <x v="39"/>
    <s v="Venezuela"/>
    <s v="Chile"/>
    <n v="2"/>
    <n v="3"/>
    <s v="FIFA World Cup qualification"/>
    <s v="Puerto la Cruz"/>
    <s v="Venezuela"/>
    <b v="0"/>
    <n v="2008"/>
    <n v="315953388510"/>
    <n v="179894594475"/>
    <x v="1"/>
    <n v="-1"/>
    <x v="0"/>
  </r>
  <r>
    <x v="3524"/>
    <x v="1468"/>
    <x v="39"/>
    <s v="Libya"/>
    <s v="Lesotho"/>
    <n v="4"/>
    <n v="0"/>
    <s v="FIFA World Cup qualification"/>
    <s v="Tripoli"/>
    <s v="Libya"/>
    <b v="0"/>
    <n v="2008"/>
    <n v="86710767415"/>
    <n v="1766902709"/>
    <x v="0"/>
    <n v="1"/>
    <x v="2"/>
  </r>
  <r>
    <x v="3525"/>
    <x v="1469"/>
    <x v="39"/>
    <s v="Burkina Faso"/>
    <s v="Seychelles"/>
    <n v="4"/>
    <n v="1"/>
    <s v="FIFA World Cup qualification"/>
    <s v="Ouagadougou"/>
    <s v="Burkina Faso"/>
    <b v="0"/>
    <n v="2008"/>
    <n v="9451435490"/>
    <n v="979597394"/>
    <x v="0"/>
    <n v="1"/>
    <x v="2"/>
  </r>
  <r>
    <x v="3526"/>
    <x v="1469"/>
    <x v="39"/>
    <s v="Cameroon"/>
    <s v="Tanzania"/>
    <n v="2"/>
    <n v="1"/>
    <s v="FIFA World Cup qualification"/>
    <s v="Yaound√©"/>
    <s v="Cameroon"/>
    <b v="0"/>
    <n v="2008"/>
    <n v="27715142032"/>
    <n v="27947821397"/>
    <x v="1"/>
    <n v="-1"/>
    <x v="0"/>
  </r>
  <r>
    <x v="3527"/>
    <x v="1469"/>
    <x v="39"/>
    <s v="Costa Rica"/>
    <s v="Grenada"/>
    <n v="3"/>
    <n v="0"/>
    <s v="FIFA World Cup qualification"/>
    <s v="San Jos√©"/>
    <s v="Costa Rica"/>
    <b v="0"/>
    <n v="2008"/>
    <n v="30801745700"/>
    <n v="825976037"/>
    <x v="0"/>
    <n v="1"/>
    <x v="2"/>
  </r>
  <r>
    <x v="3528"/>
    <x v="1469"/>
    <x v="39"/>
    <s v="Mexico"/>
    <s v="Belize"/>
    <n v="7"/>
    <n v="0"/>
    <s v="FIFA World Cup qualification"/>
    <s v="Monterrey"/>
    <s v="Mexico"/>
    <b v="0"/>
    <n v="2008"/>
    <n v="1161553459715"/>
    <n v="1738453600"/>
    <x v="0"/>
    <n v="1"/>
    <x v="2"/>
  </r>
  <r>
    <x v="3529"/>
    <x v="1469"/>
    <x v="39"/>
    <s v="Morocco"/>
    <s v="Rwanda"/>
    <n v="2"/>
    <n v="0"/>
    <s v="FIFA World Cup qualification"/>
    <s v="Casablanca"/>
    <s v="Morocco"/>
    <b v="0"/>
    <n v="2008"/>
    <n v="101822906949"/>
    <n v="5179854064"/>
    <x v="0"/>
    <n v="1"/>
    <x v="2"/>
  </r>
  <r>
    <x v="3530"/>
    <x v="1469"/>
    <x v="39"/>
    <s v="Nigeria"/>
    <s v="Equatorial Guinea"/>
    <n v="2"/>
    <n v="0"/>
    <s v="FIFA World Cup qualification"/>
    <s v="Abuja"/>
    <s v="Nigeria"/>
    <b v="0"/>
    <n v="2008"/>
    <n v="339476276257"/>
    <n v="19749893536"/>
    <x v="0"/>
    <n v="1"/>
    <x v="2"/>
  </r>
  <r>
    <x v="3531"/>
    <x v="1469"/>
    <x v="39"/>
    <s v="Senegal"/>
    <s v="Liberia"/>
    <n v="3"/>
    <n v="1"/>
    <s v="FIFA World Cup qualification"/>
    <s v="Dakar"/>
    <s v="Senegal"/>
    <b v="0"/>
    <n v="2008"/>
    <n v="16853989627"/>
    <n v="1726000000"/>
    <x v="0"/>
    <n v="1"/>
    <x v="2"/>
  </r>
  <r>
    <x v="3532"/>
    <x v="1469"/>
    <x v="39"/>
    <s v="South Africa"/>
    <s v="Sierra Leone"/>
    <n v="0"/>
    <n v="0"/>
    <s v="FIFA World Cup qualification"/>
    <s v="Atteridgeville"/>
    <s v="South Africa"/>
    <b v="0"/>
    <n v="2008"/>
    <n v="316131258616"/>
    <n v="4157895298"/>
    <x v="0"/>
    <n v="0"/>
    <x v="1"/>
  </r>
  <r>
    <x v="3533"/>
    <x v="1469"/>
    <x v="39"/>
    <s v="Tunisia"/>
    <s v="Burundi"/>
    <n v="2"/>
    <n v="1"/>
    <s v="FIFA World Cup qualification"/>
    <s v="Rad√®s"/>
    <s v="Tunisia"/>
    <b v="0"/>
    <n v="2008"/>
    <n v="44859439902"/>
    <n v="1611835857"/>
    <x v="0"/>
    <n v="1"/>
    <x v="2"/>
  </r>
  <r>
    <x v="3534"/>
    <x v="1469"/>
    <x v="39"/>
    <s v="Zambia"/>
    <s v="Eswatini"/>
    <n v="1"/>
    <n v="0"/>
    <s v="FIFA World Cup qualification"/>
    <s v="Chililabombwe"/>
    <s v="Zambia"/>
    <b v="0"/>
    <n v="2008"/>
    <n v="17910858637"/>
    <n v="3235921170"/>
    <x v="0"/>
    <n v="1"/>
    <x v="2"/>
  </r>
  <r>
    <x v="3535"/>
    <x v="1470"/>
    <x v="39"/>
    <s v="Barbados"/>
    <s v="United States"/>
    <n v="0"/>
    <n v="1"/>
    <s v="FIFA World Cup qualification"/>
    <s v="Bridgetown"/>
    <s v="Barbados"/>
    <b v="0"/>
    <n v="2008"/>
    <n v="4790410400"/>
    <n v="14769857911000"/>
    <x v="0"/>
    <n v="1"/>
    <x v="2"/>
  </r>
  <r>
    <x v="3536"/>
    <x v="1470"/>
    <x v="39"/>
    <s v="Benin"/>
    <s v="Niger"/>
    <n v="2"/>
    <n v="0"/>
    <s v="FIFA World Cup qualification"/>
    <s v="Cotonou"/>
    <s v="Benin"/>
    <b v="0"/>
    <n v="2008"/>
    <n v="9787734526"/>
    <n v="7297600226"/>
    <x v="1"/>
    <n v="1"/>
    <x v="2"/>
  </r>
  <r>
    <x v="3537"/>
    <x v="1470"/>
    <x v="39"/>
    <s v="Bermuda"/>
    <s v="Trinidad and Tobago"/>
    <n v="0"/>
    <n v="2"/>
    <s v="FIFA World Cup qualification"/>
    <s v="Hamilton"/>
    <s v="Bermuda"/>
    <b v="0"/>
    <n v="2008"/>
    <n v="6980000000"/>
    <n v="27871587349"/>
    <x v="0"/>
    <n v="1"/>
    <x v="2"/>
  </r>
  <r>
    <x v="3538"/>
    <x v="1470"/>
    <x v="39"/>
    <s v="Cuba"/>
    <s v="Antigua and Barbuda"/>
    <n v="4"/>
    <n v="0"/>
    <s v="FIFA World Cup qualification"/>
    <s v="Havana"/>
    <s v="Cuba"/>
    <b v="0"/>
    <n v="2008"/>
    <n v="56302129629"/>
    <n v="1557640740"/>
    <x v="0"/>
    <n v="1"/>
    <x v="2"/>
  </r>
  <r>
    <x v="3539"/>
    <x v="1470"/>
    <x v="39"/>
    <s v="Egypt"/>
    <s v="Malawi"/>
    <n v="2"/>
    <n v="0"/>
    <s v="FIFA World Cup qualification"/>
    <s v="Cairo"/>
    <s v="Egypt"/>
    <b v="0"/>
    <n v="2008"/>
    <n v="162818181818"/>
    <n v="7743617352"/>
    <x v="0"/>
    <n v="1"/>
    <x v="2"/>
  </r>
  <r>
    <x v="3540"/>
    <x v="1470"/>
    <x v="39"/>
    <s v="El Salvador"/>
    <s v="Panama"/>
    <n v="3"/>
    <n v="1"/>
    <s v="FIFA World Cup qualification"/>
    <s v="San Salvador"/>
    <s v="El Salvador"/>
    <b v="0"/>
    <n v="2008"/>
    <n v="17986890000"/>
    <n v="25721327955"/>
    <x v="1"/>
    <n v="-1"/>
    <x v="0"/>
  </r>
  <r>
    <x v="3541"/>
    <x v="1470"/>
    <x v="39"/>
    <s v="Ghana"/>
    <s v="Gabon"/>
    <n v="2"/>
    <n v="0"/>
    <s v="FIFA World Cup qualification"/>
    <s v="Accra"/>
    <s v="Ghana"/>
    <b v="0"/>
    <n v="2008"/>
    <n v="28679383241"/>
    <n v="15571348344"/>
    <x v="1"/>
    <n v="1"/>
    <x v="2"/>
  </r>
  <r>
    <x v="3542"/>
    <x v="1470"/>
    <x v="39"/>
    <s v="Guinea"/>
    <s v="Namibia"/>
    <n v="4"/>
    <n v="0"/>
    <s v="FIFA World Cup qualification"/>
    <s v="Conakry"/>
    <s v="Guinea"/>
    <b v="0"/>
    <n v="2008"/>
    <n v="6964179983"/>
    <n v="8607431497"/>
    <x v="1"/>
    <n v="-1"/>
    <x v="0"/>
  </r>
  <r>
    <x v="3543"/>
    <x v="1470"/>
    <x v="39"/>
    <s v="Guyana"/>
    <s v="Suriname"/>
    <n v="1"/>
    <n v="2"/>
    <s v="FIFA World Cup qualification"/>
    <s v="Providence"/>
    <s v="Guyana"/>
    <b v="0"/>
    <n v="2008"/>
    <n v="3025187433"/>
    <n v="3532969034"/>
    <x v="1"/>
    <n v="1"/>
    <x v="2"/>
  </r>
  <r>
    <x v="3544"/>
    <x v="1470"/>
    <x v="39"/>
    <s v="Iran"/>
    <s v="Kuwait"/>
    <n v="2"/>
    <n v="0"/>
    <s v="FIFA World Cup qualification"/>
    <s v="Tehran"/>
    <s v="Iran"/>
    <b v="0"/>
    <n v="2008"/>
    <n v="406070949553"/>
    <n v="147379737229"/>
    <x v="0"/>
    <n v="1"/>
    <x v="2"/>
  </r>
  <r>
    <x v="3545"/>
    <x v="1470"/>
    <x v="39"/>
    <s v="Iraq"/>
    <s v="Qatar"/>
    <n v="0"/>
    <n v="1"/>
    <s v="FIFA World Cup qualification"/>
    <s v="Dubai"/>
    <s v="United Arab Emirates"/>
    <b v="1"/>
    <n v="2008"/>
    <n v="131614434153"/>
    <n v="115270054945"/>
    <x v="1"/>
    <n v="-1"/>
    <x v="0"/>
  </r>
  <r>
    <x v="3546"/>
    <x v="1470"/>
    <x v="39"/>
    <s v="Japan"/>
    <s v="Bahrain"/>
    <n v="1"/>
    <n v="0"/>
    <s v="FIFA World Cup qualification"/>
    <s v="Saitama"/>
    <s v="Japan"/>
    <b v="0"/>
    <n v="2008"/>
    <n v="5106679115127"/>
    <n v="25710904255"/>
    <x v="0"/>
    <n v="1"/>
    <x v="2"/>
  </r>
  <r>
    <x v="3547"/>
    <x v="1470"/>
    <x v="39"/>
    <s v="Jordan"/>
    <s v="Turkmenistan"/>
    <n v="2"/>
    <n v="0"/>
    <s v="FIFA World Cup qualification"/>
    <s v="Amman"/>
    <s v="Jordan"/>
    <b v="0"/>
    <n v="2008"/>
    <n v="22658715989"/>
    <n v="19271523178"/>
    <x v="1"/>
    <n v="1"/>
    <x v="2"/>
  </r>
  <r>
    <x v="3548"/>
    <x v="1470"/>
    <x v="39"/>
    <s v="Lebanon"/>
    <s v="Singapore"/>
    <n v="1"/>
    <n v="2"/>
    <s v="FIFA World Cup qualification"/>
    <s v="Beirut"/>
    <s v="Lebanon"/>
    <b v="0"/>
    <n v="2008"/>
    <n v="29118916105"/>
    <n v="193617323539"/>
    <x v="0"/>
    <n v="1"/>
    <x v="2"/>
  </r>
  <r>
    <x v="3549"/>
    <x v="1470"/>
    <x v="39"/>
    <s v="Mali"/>
    <s v="Sudan"/>
    <n v="3"/>
    <n v="0"/>
    <s v="FIFA World Cup qualification"/>
    <s v="Bamako"/>
    <s v="Mali"/>
    <b v="0"/>
    <n v="2008"/>
    <n v="11462490840"/>
    <n v="64833083257"/>
    <x v="0"/>
    <n v="-1"/>
    <x v="0"/>
  </r>
  <r>
    <x v="3550"/>
    <x v="1470"/>
    <x v="39"/>
    <s v="Mozambique"/>
    <s v="Madagascar"/>
    <n v="3"/>
    <n v="0"/>
    <s v="FIFA World Cup qualification"/>
    <s v="Maputo"/>
    <s v="Mozambique"/>
    <b v="0"/>
    <n v="2008"/>
    <n v="12920340964"/>
    <n v="10725137723"/>
    <x v="1"/>
    <n v="1"/>
    <x v="2"/>
  </r>
  <r>
    <x v="3551"/>
    <x v="1470"/>
    <x v="39"/>
    <s v="Oman"/>
    <s v="Thailand"/>
    <n v="2"/>
    <n v="1"/>
    <s v="FIFA World Cup qualification"/>
    <s v="Muscat"/>
    <s v="Oman"/>
    <b v="0"/>
    <n v="2008"/>
    <n v="69804681404"/>
    <n v="291382982430"/>
    <x v="0"/>
    <n v="-1"/>
    <x v="0"/>
  </r>
  <r>
    <x v="3552"/>
    <x v="1470"/>
    <x v="39"/>
    <s v="Saudi Arabia"/>
    <s v="Uzbekistan"/>
    <n v="4"/>
    <n v="0"/>
    <s v="FIFA World Cup qualification"/>
    <s v="Riyadh"/>
    <s v="Saudi Arabia"/>
    <b v="0"/>
    <n v="2008"/>
    <n v="519796800000"/>
    <n v="29549438883"/>
    <x v="0"/>
    <n v="1"/>
    <x v="2"/>
  </r>
  <r>
    <x v="3553"/>
    <x v="1470"/>
    <x v="39"/>
    <s v="United Arab Emirates"/>
    <s v="Syria"/>
    <n v="1"/>
    <n v="3"/>
    <s v="FIFA World Cup qualification"/>
    <s v="Al Ain"/>
    <s v="United Arab Emirates"/>
    <b v="0"/>
    <n v="2008"/>
    <n v="315474615738"/>
    <n v="52557913568"/>
    <x v="0"/>
    <n v="-1"/>
    <x v="0"/>
  </r>
  <r>
    <x v="3554"/>
    <x v="1470"/>
    <x v="39"/>
    <s v="Zimbabwe"/>
    <s v="Kenya"/>
    <n v="0"/>
    <n v="0"/>
    <s v="FIFA World Cup qualification"/>
    <s v="Harare"/>
    <s v="Zimbabwe"/>
    <b v="0"/>
    <n v="2008"/>
    <n v="4418000000"/>
    <n v="35895153327"/>
    <x v="0"/>
    <n v="0"/>
    <x v="1"/>
  </r>
  <r>
    <x v="3555"/>
    <x v="1471"/>
    <x v="39"/>
    <s v="Angola"/>
    <s v="Uganda"/>
    <n v="0"/>
    <n v="0"/>
    <s v="FIFA World Cup qualification"/>
    <s v="Luanda"/>
    <s v="Angola"/>
    <b v="0"/>
    <n v="2008"/>
    <n v="98790432989"/>
    <n v="14440404132"/>
    <x v="0"/>
    <n v="0"/>
    <x v="1"/>
  </r>
  <r>
    <x v="3556"/>
    <x v="1472"/>
    <x v="39"/>
    <s v="Gabon"/>
    <s v="Lesotho"/>
    <n v="2"/>
    <n v="0"/>
    <s v="FIFA World Cup qualification"/>
    <s v="Libreville"/>
    <s v="Gabon"/>
    <b v="0"/>
    <n v="2008"/>
    <n v="15571348344"/>
    <n v="1766902709"/>
    <x v="0"/>
    <n v="1"/>
    <x v="2"/>
  </r>
  <r>
    <x v="3557"/>
    <x v="1473"/>
    <x v="39"/>
    <s v="Canada"/>
    <s v="Jamaica"/>
    <n v="1"/>
    <n v="1"/>
    <s v="FIFA World Cup qualification"/>
    <s v="Toronto"/>
    <s v="Canada"/>
    <b v="0"/>
    <n v="2008"/>
    <n v="1552989690721"/>
    <n v="13709401520"/>
    <x v="0"/>
    <n v="0"/>
    <x v="1"/>
  </r>
  <r>
    <x v="3558"/>
    <x v="1473"/>
    <x v="39"/>
    <s v="Costa Rica"/>
    <s v="El Salvador"/>
    <n v="1"/>
    <n v="0"/>
    <s v="FIFA World Cup qualification"/>
    <s v="San Jos√©"/>
    <s v="Costa Rica"/>
    <b v="0"/>
    <n v="2008"/>
    <n v="30801745700"/>
    <n v="17986890000"/>
    <x v="1"/>
    <n v="1"/>
    <x v="2"/>
  </r>
  <r>
    <x v="3559"/>
    <x v="1473"/>
    <x v="39"/>
    <s v="Cuba"/>
    <s v="Trinidad and Tobago"/>
    <n v="1"/>
    <n v="3"/>
    <s v="FIFA World Cup qualification"/>
    <s v="Havana"/>
    <s v="Cuba"/>
    <b v="0"/>
    <n v="2008"/>
    <n v="56302129629"/>
    <n v="27871587349"/>
    <x v="0"/>
    <n v="-1"/>
    <x v="0"/>
  </r>
  <r>
    <x v="3560"/>
    <x v="1473"/>
    <x v="39"/>
    <s v="Guatemala"/>
    <s v="United States"/>
    <n v="0"/>
    <n v="1"/>
    <s v="FIFA World Cup qualification"/>
    <s v="Guatemala City"/>
    <s v="Guatemala"/>
    <b v="0"/>
    <n v="2008"/>
    <n v="38503720224"/>
    <n v="14769857911000"/>
    <x v="0"/>
    <n v="1"/>
    <x v="2"/>
  </r>
  <r>
    <x v="3561"/>
    <x v="1473"/>
    <x v="39"/>
    <s v="Haiti"/>
    <s v="Suriname"/>
    <n v="2"/>
    <n v="2"/>
    <s v="FIFA World Cup qualification"/>
    <s v="Port-au-Prince"/>
    <s v="Haiti"/>
    <b v="0"/>
    <n v="2008"/>
    <n v="10432962634"/>
    <n v="3532969034"/>
    <x v="0"/>
    <n v="0"/>
    <x v="1"/>
  </r>
  <r>
    <x v="3562"/>
    <x v="1473"/>
    <x v="39"/>
    <s v="Kazakhstan"/>
    <s v="Andorra"/>
    <n v="3"/>
    <n v="0"/>
    <s v="FIFA World Cup qualification"/>
    <s v="Almaty"/>
    <s v="Kazakhstan"/>
    <b v="0"/>
    <n v="2008"/>
    <n v="133441648851"/>
    <n v="4102317468"/>
    <x v="0"/>
    <n v="1"/>
    <x v="2"/>
  </r>
  <r>
    <x v="3563"/>
    <x v="1473"/>
    <x v="39"/>
    <s v="Mexico"/>
    <s v="Honduras"/>
    <n v="2"/>
    <n v="1"/>
    <s v="FIFA World Cup qualification"/>
    <s v="Mexico City"/>
    <s v="Mexico"/>
    <b v="0"/>
    <n v="2008"/>
    <n v="1161553459715"/>
    <n v="13881731875"/>
    <x v="0"/>
    <n v="1"/>
    <x v="2"/>
  </r>
  <r>
    <x v="3564"/>
    <x v="1474"/>
    <x v="39"/>
    <s v="Algeria"/>
    <s v="Senegal"/>
    <n v="3"/>
    <n v="2"/>
    <s v="FIFA World Cup qualification"/>
    <s v="Blida"/>
    <s v="Algeria"/>
    <b v="0"/>
    <n v="2008"/>
    <n v="180383848331"/>
    <n v="16853989627"/>
    <x v="0"/>
    <n v="1"/>
    <x v="2"/>
  </r>
  <r>
    <x v="3565"/>
    <x v="1474"/>
    <x v="39"/>
    <s v="Djibouti"/>
    <s v="Malawi"/>
    <n v="0"/>
    <n v="3"/>
    <s v="FIFA World Cup qualification"/>
    <s v="Djibouti"/>
    <s v="Djibouti"/>
    <b v="0"/>
    <n v="2008"/>
    <n v="999105339"/>
    <n v="7743617352"/>
    <x v="0"/>
    <n v="1"/>
    <x v="2"/>
  </r>
  <r>
    <x v="3566"/>
    <x v="1474"/>
    <x v="39"/>
    <s v="Libya"/>
    <s v="Ghana"/>
    <n v="1"/>
    <n v="0"/>
    <s v="FIFA World Cup qualification"/>
    <s v="Tripoli"/>
    <s v="Libya"/>
    <b v="0"/>
    <n v="2008"/>
    <n v="86710767415"/>
    <n v="28679383241"/>
    <x v="0"/>
    <n v="1"/>
    <x v="2"/>
  </r>
  <r>
    <x v="3567"/>
    <x v="1475"/>
    <x v="39"/>
    <s v="Albania"/>
    <s v="Sweden"/>
    <n v="0"/>
    <n v="0"/>
    <s v="FIFA World Cup qualification"/>
    <s v="Tirana"/>
    <s v="Albania"/>
    <b v="0"/>
    <n v="2008"/>
    <n v="13258506375"/>
    <n v="514614100832"/>
    <x v="0"/>
    <n v="0"/>
    <x v="1"/>
  </r>
  <r>
    <x v="3568"/>
    <x v="1475"/>
    <x v="39"/>
    <s v="Andorra"/>
    <s v="England"/>
    <n v="0"/>
    <n v="2"/>
    <s v="FIFA World Cup qualification"/>
    <s v="Barcelona"/>
    <s v="Spain"/>
    <b v="1"/>
    <n v="2008"/>
    <n v="4102317468"/>
    <n v="2945251838235"/>
    <x v="0"/>
    <n v="1"/>
    <x v="2"/>
  </r>
  <r>
    <x v="3569"/>
    <x v="1475"/>
    <x v="39"/>
    <s v="Argentina"/>
    <s v="Paraguay"/>
    <n v="1"/>
    <n v="1"/>
    <s v="FIFA World Cup qualification"/>
    <s v="Buenos Aires"/>
    <s v="Argentina"/>
    <b v="0"/>
    <n v="2008"/>
    <n v="361558037110"/>
    <n v="24615267663"/>
    <x v="0"/>
    <n v="0"/>
    <x v="1"/>
  </r>
  <r>
    <x v="3570"/>
    <x v="1475"/>
    <x v="39"/>
    <s v="Austria"/>
    <s v="France"/>
    <n v="3"/>
    <n v="1"/>
    <s v="FIFA World Cup qualification"/>
    <s v="Vienna"/>
    <s v="Austria"/>
    <b v="0"/>
    <n v="2008"/>
    <n v="429234399096"/>
    <n v="2926802941585"/>
    <x v="0"/>
    <n v="-1"/>
    <x v="0"/>
  </r>
  <r>
    <x v="3571"/>
    <x v="1475"/>
    <x v="39"/>
    <s v="Bahrain"/>
    <s v="Japan"/>
    <n v="2"/>
    <n v="3"/>
    <s v="FIFA World Cup qualification"/>
    <s v="Riffa"/>
    <s v="Bahrain"/>
    <b v="0"/>
    <n v="2008"/>
    <n v="25710904255"/>
    <n v="5106679115127"/>
    <x v="0"/>
    <n v="1"/>
    <x v="2"/>
  </r>
  <r>
    <x v="3572"/>
    <x v="1475"/>
    <x v="39"/>
    <s v="Belgium"/>
    <s v="Estonia"/>
    <n v="3"/>
    <n v="2"/>
    <s v="FIFA World Cup qualification"/>
    <s v="Li√®ge"/>
    <s v="Belgium"/>
    <b v="0"/>
    <n v="2008"/>
    <n v="517328087920"/>
    <n v="24342935403"/>
    <x v="0"/>
    <n v="1"/>
    <x v="2"/>
  </r>
  <r>
    <x v="3573"/>
    <x v="1475"/>
    <x v="39"/>
    <s v="Burkina Faso"/>
    <s v="Tunisia"/>
    <n v="0"/>
    <n v="0"/>
    <s v="FIFA World Cup qualification"/>
    <s v="Ouagadougou"/>
    <s v="Burkina Faso"/>
    <b v="0"/>
    <n v="2008"/>
    <n v="9451435490"/>
    <n v="44859439902"/>
    <x v="0"/>
    <n v="0"/>
    <x v="1"/>
  </r>
  <r>
    <x v="3574"/>
    <x v="1475"/>
    <x v="39"/>
    <s v="Colombia"/>
    <s v="Uruguay"/>
    <n v="0"/>
    <n v="1"/>
    <s v="FIFA World Cup qualification"/>
    <s v="Bogot√°"/>
    <s v="Colombia"/>
    <b v="0"/>
    <n v="2008"/>
    <n v="242504150472"/>
    <n v="31119602538"/>
    <x v="0"/>
    <n v="-1"/>
    <x v="0"/>
  </r>
  <r>
    <x v="3575"/>
    <x v="1475"/>
    <x v="39"/>
    <s v="Croatia"/>
    <s v="Kazakhstan"/>
    <n v="3"/>
    <n v="0"/>
    <s v="FIFA World Cup qualification"/>
    <s v="Zagreb"/>
    <s v="Croatia"/>
    <b v="0"/>
    <n v="2008"/>
    <n v="68472854617"/>
    <n v="133441648851"/>
    <x v="1"/>
    <n v="-1"/>
    <x v="0"/>
  </r>
  <r>
    <x v="3576"/>
    <x v="1475"/>
    <x v="39"/>
    <s v="Cuba"/>
    <s v="United States"/>
    <n v="0"/>
    <n v="1"/>
    <s v="FIFA World Cup qualification"/>
    <s v="Havana"/>
    <s v="Cuba"/>
    <b v="0"/>
    <n v="2008"/>
    <n v="56302129629"/>
    <n v="14769857911000"/>
    <x v="0"/>
    <n v="1"/>
    <x v="2"/>
  </r>
  <r>
    <x v="3577"/>
    <x v="1475"/>
    <x v="39"/>
    <s v="Cyprus"/>
    <s v="Italy"/>
    <n v="1"/>
    <n v="2"/>
    <s v="FIFA World Cup qualification"/>
    <s v="Larnaca"/>
    <s v="Cyprus"/>
    <b v="0"/>
    <n v="2008"/>
    <n v="27844646257"/>
    <n v="2417508414187"/>
    <x v="0"/>
    <n v="1"/>
    <x v="2"/>
  </r>
  <r>
    <x v="3578"/>
    <x v="1475"/>
    <x v="39"/>
    <s v="Ecuador"/>
    <s v="Bolivia"/>
    <n v="3"/>
    <n v="1"/>
    <s v="FIFA World Cup qualification"/>
    <s v="Quito"/>
    <s v="Ecuador"/>
    <b v="0"/>
    <n v="2008"/>
    <n v="61139438000"/>
    <n v="16674276285"/>
    <x v="0"/>
    <n v="1"/>
    <x v="2"/>
  </r>
  <r>
    <x v="3579"/>
    <x v="1475"/>
    <x v="39"/>
    <s v="Hungary"/>
    <s v="Denmark"/>
    <n v="0"/>
    <n v="0"/>
    <s v="FIFA World Cup qualification"/>
    <s v="Budapest"/>
    <s v="Hungary"/>
    <b v="0"/>
    <n v="2008"/>
    <n v="158228265915"/>
    <n v="354979471960"/>
    <x v="0"/>
    <n v="0"/>
    <x v="1"/>
  </r>
  <r>
    <x v="3580"/>
    <x v="1475"/>
    <x v="39"/>
    <s v="Israel"/>
    <s v="Switzerland"/>
    <n v="2"/>
    <n v="2"/>
    <s v="FIFA World Cup qualification"/>
    <s v="Ramat Gan"/>
    <s v="Israel"/>
    <b v="0"/>
    <n v="2008"/>
    <n v="221231658862"/>
    <n v="567267767519"/>
    <x v="0"/>
    <n v="0"/>
    <x v="1"/>
  </r>
  <r>
    <x v="3581"/>
    <x v="1475"/>
    <x v="39"/>
    <s v="Kenya"/>
    <s v="Namibia"/>
    <n v="1"/>
    <n v="0"/>
    <s v="FIFA World Cup qualification"/>
    <s v="Nairobi"/>
    <s v="Kenya"/>
    <b v="0"/>
    <n v="2008"/>
    <n v="35895153327"/>
    <n v="8607431497"/>
    <x v="0"/>
    <n v="1"/>
    <x v="2"/>
  </r>
  <r>
    <x v="3582"/>
    <x v="1475"/>
    <x v="39"/>
    <s v="Liechtenstein"/>
    <s v="Germany"/>
    <n v="0"/>
    <n v="6"/>
    <s v="FIFA World Cup qualification"/>
    <s v="Vaduz"/>
    <s v="Liechtenstein"/>
    <b v="0"/>
    <n v="2008"/>
    <n v="5081479840"/>
    <n v="3808197720125"/>
    <x v="0"/>
    <n v="1"/>
    <x v="2"/>
  </r>
  <r>
    <x v="3583"/>
    <x v="1475"/>
    <x v="39"/>
    <s v="Luxembourg"/>
    <s v="Greece"/>
    <n v="0"/>
    <n v="3"/>
    <s v="FIFA World Cup qualification"/>
    <s v="Luxembourg"/>
    <s v="Luxembourg"/>
    <b v="0"/>
    <n v="2008"/>
    <n v="58844277701"/>
    <n v="351121399546"/>
    <x v="0"/>
    <n v="1"/>
    <x v="2"/>
  </r>
  <r>
    <x v="3584"/>
    <x v="1475"/>
    <x v="39"/>
    <s v="Malta"/>
    <s v="Portugal"/>
    <n v="0"/>
    <n v="4"/>
    <s v="FIFA World Cup qualification"/>
    <s v="Attard"/>
    <s v="Malta"/>
    <b v="0"/>
    <n v="2008"/>
    <n v="9135419464"/>
    <n v="263416394624"/>
    <x v="0"/>
    <n v="1"/>
    <x v="2"/>
  </r>
  <r>
    <x v="3585"/>
    <x v="1475"/>
    <x v="39"/>
    <s v="Mauritania"/>
    <s v="Rwanda"/>
    <n v="0"/>
    <n v="1"/>
    <s v="FIFA World Cup qualification"/>
    <s v="Nouakchott"/>
    <s v="Mauritania"/>
    <b v="0"/>
    <n v="2008"/>
    <n v="5206437193"/>
    <n v="5179854064"/>
    <x v="1"/>
    <n v="-1"/>
    <x v="0"/>
  </r>
  <r>
    <x v="3586"/>
    <x v="1475"/>
    <x v="39"/>
    <s v="Mauritius"/>
    <s v="Tanzania"/>
    <n v="1"/>
    <n v="4"/>
    <s v="FIFA World Cup qualification"/>
    <s v="Curepipe"/>
    <s v="Mauritius"/>
    <b v="0"/>
    <n v="2008"/>
    <n v="10127777060"/>
    <n v="27947821397"/>
    <x v="0"/>
    <n v="1"/>
    <x v="2"/>
  </r>
  <r>
    <x v="3587"/>
    <x v="1475"/>
    <x v="39"/>
    <s v="Moldova"/>
    <s v="Latvia"/>
    <n v="1"/>
    <n v="2"/>
    <s v="FIFA World Cup qualification"/>
    <s v="Tiraspol"/>
    <s v="Moldova"/>
    <b v="0"/>
    <n v="2008"/>
    <n v="6054824248"/>
    <n v="34135200994"/>
    <x v="0"/>
    <n v="1"/>
    <x v="2"/>
  </r>
  <r>
    <x v="3588"/>
    <x v="1475"/>
    <x v="39"/>
    <s v="Montenegro"/>
    <s v="Bulgaria"/>
    <n v="2"/>
    <n v="2"/>
    <s v="FIFA World Cup qualification"/>
    <s v="Podgorica"/>
    <s v="Montenegro"/>
    <b v="0"/>
    <n v="2008"/>
    <n v="4540861725"/>
    <n v="54480684188"/>
    <x v="0"/>
    <n v="0"/>
    <x v="1"/>
  </r>
  <r>
    <x v="3589"/>
    <x v="1475"/>
    <x v="39"/>
    <s v="Norway"/>
    <s v="Iceland"/>
    <n v="2"/>
    <n v="2"/>
    <s v="FIFA World Cup qualification"/>
    <s v="Oslo"/>
    <s v="Norway"/>
    <b v="0"/>
    <n v="2008"/>
    <n v="464917553191"/>
    <n v="18247921360"/>
    <x v="0"/>
    <n v="0"/>
    <x v="1"/>
  </r>
  <r>
    <x v="3590"/>
    <x v="1475"/>
    <x v="39"/>
    <s v="Peru"/>
    <s v="Venezuela"/>
    <n v="1"/>
    <n v="0"/>
    <s v="FIFA World Cup qualification"/>
    <s v="Lima"/>
    <s v="Peru"/>
    <b v="0"/>
    <n v="2008"/>
    <n v="120550599815"/>
    <n v="315953388510"/>
    <x v="0"/>
    <n v="-1"/>
    <x v="0"/>
  </r>
  <r>
    <x v="3591"/>
    <x v="1475"/>
    <x v="39"/>
    <s v="Poland"/>
    <s v="Slovenia"/>
    <n v="1"/>
    <n v="1"/>
    <s v="FIFA World Cup qualification"/>
    <s v="Wroc≈Çaw"/>
    <s v="Poland"/>
    <b v="0"/>
    <n v="2008"/>
    <n v="535612030671"/>
    <n v="55509332322"/>
    <x v="0"/>
    <n v="0"/>
    <x v="1"/>
  </r>
  <r>
    <x v="3592"/>
    <x v="1475"/>
    <x v="39"/>
    <s v="Qatar"/>
    <s v="Uzbekistan"/>
    <n v="3"/>
    <n v="0"/>
    <s v="FIFA World Cup qualification"/>
    <s v="Doha"/>
    <s v="Qatar"/>
    <b v="0"/>
    <n v="2008"/>
    <n v="115270054945"/>
    <n v="29549438883"/>
    <x v="0"/>
    <n v="1"/>
    <x v="2"/>
  </r>
  <r>
    <x v="3593"/>
    <x v="1475"/>
    <x v="39"/>
    <s v="Romania"/>
    <s v="Lithuania"/>
    <n v="0"/>
    <n v="3"/>
    <s v="FIFA World Cup qualification"/>
    <s v="Cluj"/>
    <s v="Romania"/>
    <b v="0"/>
    <n v="2008"/>
    <n v="214315932061"/>
    <n v="47831254207"/>
    <x v="0"/>
    <n v="-1"/>
    <x v="0"/>
  </r>
  <r>
    <x v="3594"/>
    <x v="1475"/>
    <x v="39"/>
    <s v="Saudi Arabia"/>
    <s v="Iran"/>
    <n v="1"/>
    <n v="1"/>
    <s v="FIFA World Cup qualification"/>
    <s v="Riyadh"/>
    <s v="Saudi Arabia"/>
    <b v="0"/>
    <n v="2008"/>
    <n v="519796800000"/>
    <n v="406070949553"/>
    <x v="1"/>
    <n v="0"/>
    <x v="1"/>
  </r>
  <r>
    <x v="3595"/>
    <x v="1475"/>
    <x v="39"/>
    <s v="Serbia"/>
    <s v="Faroe Islands"/>
    <n v="2"/>
    <n v="0"/>
    <s v="FIFA World Cup qualification"/>
    <s v="Belgrade"/>
    <s v="Serbia"/>
    <b v="0"/>
    <n v="2008"/>
    <n v="54220641201"/>
    <n v="2489873249"/>
    <x v="0"/>
    <n v="1"/>
    <x v="2"/>
  </r>
  <r>
    <x v="3596"/>
    <x v="1475"/>
    <x v="39"/>
    <s v="Seychelles"/>
    <s v="Burundi"/>
    <n v="1"/>
    <n v="2"/>
    <s v="FIFA World Cup qualification"/>
    <s v="Victoria"/>
    <s v="Seychelles"/>
    <b v="0"/>
    <n v="2008"/>
    <n v="979597394"/>
    <n v="1611835857"/>
    <x v="1"/>
    <n v="1"/>
    <x v="2"/>
  </r>
  <r>
    <x v="3597"/>
    <x v="1475"/>
    <x v="39"/>
    <s v="Sierra Leone"/>
    <s v="Equatorial Guinea"/>
    <n v="2"/>
    <n v="1"/>
    <s v="FIFA World Cup qualification"/>
    <s v="Freetown"/>
    <s v="Sierra Leone"/>
    <b v="0"/>
    <n v="2008"/>
    <n v="4157895298"/>
    <n v="19749893536"/>
    <x v="0"/>
    <n v="-1"/>
    <x v="0"/>
  </r>
  <r>
    <x v="3598"/>
    <x v="1475"/>
    <x v="39"/>
    <s v="South Africa"/>
    <s v="Nigeria"/>
    <n v="0"/>
    <n v="1"/>
    <s v="FIFA World Cup qualification"/>
    <s v="Port Elizabeth"/>
    <s v="South Africa"/>
    <b v="0"/>
    <n v="2008"/>
    <n v="316131258616"/>
    <n v="339476276257"/>
    <x v="1"/>
    <n v="1"/>
    <x v="2"/>
  </r>
  <r>
    <x v="3599"/>
    <x v="1475"/>
    <x v="39"/>
    <s v="Spain"/>
    <s v="Bosnia and Herzegovina"/>
    <n v="1"/>
    <n v="0"/>
    <s v="FIFA World Cup qualification"/>
    <s v="Murcia"/>
    <s v="Spain"/>
    <b v="0"/>
    <n v="2008"/>
    <n v="1636115447612"/>
    <n v="19112796623"/>
    <x v="0"/>
    <n v="1"/>
    <x v="2"/>
  </r>
  <r>
    <x v="3600"/>
    <x v="1475"/>
    <x v="39"/>
    <s v="Sudan"/>
    <s v="Chad"/>
    <n v="1"/>
    <n v="2"/>
    <s v="FIFA World Cup qualification"/>
    <s v="Cairo"/>
    <s v="Egypt"/>
    <b v="1"/>
    <n v="2008"/>
    <n v="64833083257"/>
    <n v="13385593990"/>
    <x v="0"/>
    <n v="-1"/>
    <x v="0"/>
  </r>
  <r>
    <x v="3601"/>
    <x v="1475"/>
    <x v="39"/>
    <s v="Trinidad and Tobago"/>
    <s v="Guatemala"/>
    <n v="1"/>
    <n v="1"/>
    <s v="FIFA World Cup qualification"/>
    <s v="Port of Spain"/>
    <s v="Trinidad and Tobago"/>
    <b v="0"/>
    <n v="2008"/>
    <n v="27871587349"/>
    <n v="38503720224"/>
    <x v="1"/>
    <n v="0"/>
    <x v="1"/>
  </r>
  <r>
    <x v="3602"/>
    <x v="1475"/>
    <x v="39"/>
    <s v="Ukraine"/>
    <s v="Belarus"/>
    <n v="1"/>
    <n v="0"/>
    <s v="FIFA World Cup qualification"/>
    <s v="Lviv"/>
    <s v="Ukraine"/>
    <b v="0"/>
    <n v="2008"/>
    <n v="188110390659"/>
    <n v="60752106347"/>
    <x v="0"/>
    <n v="1"/>
    <x v="2"/>
  </r>
  <r>
    <x v="3603"/>
    <x v="1475"/>
    <x v="39"/>
    <s v="Canada"/>
    <s v="Honduras"/>
    <n v="1"/>
    <n v="2"/>
    <s v="FIFA World Cup qualification"/>
    <s v="Montreal"/>
    <s v="Canada"/>
    <b v="0"/>
    <n v="2008"/>
    <n v="1552989690721"/>
    <n v="13881731875"/>
    <x v="0"/>
    <n v="-1"/>
    <x v="0"/>
  </r>
  <r>
    <x v="3604"/>
    <x v="1475"/>
    <x v="39"/>
    <s v="Costa Rica"/>
    <s v="Suriname"/>
    <n v="7"/>
    <n v="0"/>
    <s v="FIFA World Cup qualification"/>
    <s v="San Jos√©"/>
    <s v="Costa Rica"/>
    <b v="0"/>
    <n v="2008"/>
    <n v="30801745700"/>
    <n v="3532969034"/>
    <x v="0"/>
    <n v="1"/>
    <x v="2"/>
  </r>
  <r>
    <x v="3605"/>
    <x v="1475"/>
    <x v="39"/>
    <s v="El Salvador"/>
    <s v="Haiti"/>
    <n v="5"/>
    <n v="0"/>
    <s v="FIFA World Cup qualification"/>
    <s v="San Salvador"/>
    <s v="El Salvador"/>
    <b v="0"/>
    <n v="2008"/>
    <n v="17986890000"/>
    <n v="10432962634"/>
    <x v="1"/>
    <n v="1"/>
    <x v="2"/>
  </r>
  <r>
    <x v="3606"/>
    <x v="1475"/>
    <x v="39"/>
    <s v="Mexico"/>
    <s v="Jamaica"/>
    <n v="3"/>
    <n v="0"/>
    <s v="FIFA World Cup qualification"/>
    <s v="Mexico City"/>
    <s v="Mexico"/>
    <b v="0"/>
    <n v="2008"/>
    <n v="1161553459715"/>
    <n v="13709401520"/>
    <x v="0"/>
    <n v="1"/>
    <x v="2"/>
  </r>
  <r>
    <x v="3607"/>
    <x v="1476"/>
    <x v="39"/>
    <s v="Benin"/>
    <s v="Angola"/>
    <n v="3"/>
    <n v="2"/>
    <s v="FIFA World Cup qualification"/>
    <s v="Cotonou"/>
    <s v="Benin"/>
    <b v="0"/>
    <n v="2008"/>
    <n v="9787734526"/>
    <n v="98790432989"/>
    <x v="0"/>
    <n v="-1"/>
    <x v="0"/>
  </r>
  <r>
    <x v="3608"/>
    <x v="1476"/>
    <x v="39"/>
    <s v="Chile"/>
    <s v="Brazil"/>
    <n v="0"/>
    <n v="3"/>
    <s v="FIFA World Cup qualification"/>
    <s v="Santiago"/>
    <s v="Chile"/>
    <b v="0"/>
    <n v="2008"/>
    <n v="179894594475"/>
    <n v="1695855391757"/>
    <x v="0"/>
    <n v="1"/>
    <x v="2"/>
  </r>
  <r>
    <x v="3609"/>
    <x v="1476"/>
    <x v="39"/>
    <s v="Lesotho"/>
    <s v="Gabon"/>
    <n v="0"/>
    <n v="3"/>
    <s v="FIFA World Cup qualification"/>
    <s v="Bloemfontein"/>
    <s v="South Africa"/>
    <b v="1"/>
    <n v="2008"/>
    <n v="1766902709"/>
    <n v="15571348344"/>
    <x v="0"/>
    <n v="1"/>
    <x v="2"/>
  </r>
  <r>
    <x v="3610"/>
    <x v="1476"/>
    <x v="39"/>
    <s v="Madagascar"/>
    <s v="Botswana"/>
    <n v="1"/>
    <n v="0"/>
    <s v="FIFA World Cup qualification"/>
    <s v="Antananarivo"/>
    <s v="Madagascar"/>
    <b v="0"/>
    <n v="2008"/>
    <n v="10725137723"/>
    <n v="10730829116"/>
    <x v="1"/>
    <n v="-1"/>
    <x v="0"/>
  </r>
  <r>
    <x v="3611"/>
    <x v="1476"/>
    <x v="39"/>
    <s v="Niger"/>
    <s v="Uganda"/>
    <n v="3"/>
    <n v="1"/>
    <s v="FIFA World Cup qualification"/>
    <s v="Niamey"/>
    <s v="Niger"/>
    <b v="0"/>
    <n v="2008"/>
    <n v="7297600226"/>
    <n v="14440404132"/>
    <x v="1"/>
    <n v="-1"/>
    <x v="0"/>
  </r>
  <r>
    <x v="3612"/>
    <x v="1476"/>
    <x v="39"/>
    <s v="Zimbabwe"/>
    <s v="Guinea"/>
    <n v="0"/>
    <n v="0"/>
    <s v="FIFA World Cup qualification"/>
    <s v="Harare"/>
    <s v="Zimbabwe"/>
    <b v="0"/>
    <n v="2008"/>
    <n v="4418000000"/>
    <n v="6964179983"/>
    <x v="1"/>
    <n v="0"/>
    <x v="1"/>
  </r>
  <r>
    <x v="3613"/>
    <x v="1477"/>
    <x v="39"/>
    <s v="Paraguay"/>
    <s v="Venezuela"/>
    <n v="2"/>
    <n v="0"/>
    <s v="FIFA World Cup qualification"/>
    <s v="Asunci√≥n"/>
    <s v="Paraguay"/>
    <b v="0"/>
    <n v="2008"/>
    <n v="24615267663"/>
    <n v="315953388510"/>
    <x v="0"/>
    <n v="-1"/>
    <x v="0"/>
  </r>
  <r>
    <x v="3614"/>
    <x v="1478"/>
    <x v="39"/>
    <s v="Albania"/>
    <s v="Malta"/>
    <n v="3"/>
    <n v="0"/>
    <s v="FIFA World Cup qualification"/>
    <s v="Tirana"/>
    <s v="Albania"/>
    <b v="0"/>
    <n v="2008"/>
    <n v="13258506375"/>
    <n v="9135419464"/>
    <x v="1"/>
    <n v="1"/>
    <x v="2"/>
  </r>
  <r>
    <x v="3615"/>
    <x v="1478"/>
    <x v="39"/>
    <s v="Andorra"/>
    <s v="Belarus"/>
    <n v="1"/>
    <n v="3"/>
    <s v="FIFA World Cup qualification"/>
    <s v="Sant Juli√† de L√≤ria"/>
    <s v="Andorra"/>
    <b v="0"/>
    <n v="2008"/>
    <n v="4102317468"/>
    <n v="60752106347"/>
    <x v="0"/>
    <n v="1"/>
    <x v="2"/>
  </r>
  <r>
    <x v="3616"/>
    <x v="1478"/>
    <x v="39"/>
    <s v="Azerbaijan"/>
    <s v="Liechtenstein"/>
    <n v="0"/>
    <n v="0"/>
    <s v="FIFA World Cup qualification"/>
    <s v="Baku"/>
    <s v="Azerbaijan"/>
    <b v="0"/>
    <n v="2008"/>
    <n v="48851293785"/>
    <n v="5081479840"/>
    <x v="0"/>
    <n v="0"/>
    <x v="1"/>
  </r>
  <r>
    <x v="3617"/>
    <x v="1478"/>
    <x v="39"/>
    <s v="Bosnia and Herzegovina"/>
    <s v="Estonia"/>
    <n v="7"/>
    <n v="0"/>
    <s v="FIFA World Cup qualification"/>
    <s v="Zenica"/>
    <s v="Bosnia and Herzegovina"/>
    <b v="0"/>
    <n v="2008"/>
    <n v="19112796623"/>
    <n v="24342935403"/>
    <x v="1"/>
    <n v="-1"/>
    <x v="0"/>
  </r>
  <r>
    <x v="3618"/>
    <x v="1478"/>
    <x v="39"/>
    <s v="Brazil"/>
    <s v="Bolivia"/>
    <n v="0"/>
    <n v="0"/>
    <s v="FIFA World Cup qualification"/>
    <s v="Rio de Janeiro"/>
    <s v="Brazil"/>
    <b v="0"/>
    <n v="2008"/>
    <n v="1695855391757"/>
    <n v="16674276285"/>
    <x v="0"/>
    <n v="0"/>
    <x v="1"/>
  </r>
  <r>
    <x v="3619"/>
    <x v="1478"/>
    <x v="39"/>
    <s v="Chad"/>
    <s v="Sudan"/>
    <n v="1"/>
    <n v="3"/>
    <s v="FIFA World Cup qualification"/>
    <s v="Cairo"/>
    <s v="Egypt"/>
    <b v="1"/>
    <n v="2008"/>
    <n v="13385593990"/>
    <n v="64833083257"/>
    <x v="0"/>
    <n v="1"/>
    <x v="2"/>
  </r>
  <r>
    <x v="3620"/>
    <x v="1478"/>
    <x v="39"/>
    <s v="Chile"/>
    <s v="Colombia"/>
    <n v="4"/>
    <n v="0"/>
    <s v="FIFA World Cup qualification"/>
    <s v="Santiago"/>
    <s v="Chile"/>
    <b v="0"/>
    <n v="2008"/>
    <n v="179894594475"/>
    <n v="242504150472"/>
    <x v="1"/>
    <n v="-1"/>
    <x v="0"/>
  </r>
  <r>
    <x v="3621"/>
    <x v="1478"/>
    <x v="39"/>
    <s v="Croatia"/>
    <s v="England"/>
    <n v="1"/>
    <n v="4"/>
    <s v="FIFA World Cup qualification"/>
    <s v="Zagreb"/>
    <s v="Croatia"/>
    <b v="0"/>
    <n v="2008"/>
    <n v="68472854617"/>
    <n v="2945251838235"/>
    <x v="0"/>
    <n v="1"/>
    <x v="2"/>
  </r>
  <r>
    <x v="3622"/>
    <x v="1478"/>
    <x v="39"/>
    <s v="Faroe Islands"/>
    <s v="Romania"/>
    <n v="0"/>
    <n v="1"/>
    <s v="FIFA World Cup qualification"/>
    <s v="T√≥rshavn"/>
    <s v="Faroe Islands"/>
    <b v="0"/>
    <n v="2008"/>
    <n v="2489873249"/>
    <n v="214315932061"/>
    <x v="0"/>
    <n v="1"/>
    <x v="2"/>
  </r>
  <r>
    <x v="3623"/>
    <x v="1478"/>
    <x v="39"/>
    <s v="Finland"/>
    <s v="Germany"/>
    <n v="3"/>
    <n v="3"/>
    <s v="FIFA World Cup qualification"/>
    <s v="Helsinki"/>
    <s v="Finland"/>
    <b v="0"/>
    <n v="2008"/>
    <n v="285698662071"/>
    <n v="3808197720125"/>
    <x v="0"/>
    <n v="0"/>
    <x v="1"/>
  </r>
  <r>
    <x v="3624"/>
    <x v="1478"/>
    <x v="39"/>
    <s v="France"/>
    <s v="Serbia"/>
    <n v="2"/>
    <n v="1"/>
    <s v="FIFA World Cup qualification"/>
    <s v="Saint-Denis"/>
    <s v="France"/>
    <b v="0"/>
    <n v="2008"/>
    <n v="2926802941585"/>
    <n v="54220641201"/>
    <x v="0"/>
    <n v="1"/>
    <x v="2"/>
  </r>
  <r>
    <x v="3625"/>
    <x v="1478"/>
    <x v="39"/>
    <s v="Guatemala"/>
    <s v="Cuba"/>
    <n v="4"/>
    <n v="1"/>
    <s v="FIFA World Cup qualification"/>
    <s v="Guatemala City"/>
    <s v="Guatemala"/>
    <b v="0"/>
    <n v="2008"/>
    <n v="38503720224"/>
    <n v="56302129629"/>
    <x v="1"/>
    <n v="-1"/>
    <x v="0"/>
  </r>
  <r>
    <x v="3626"/>
    <x v="1478"/>
    <x v="39"/>
    <s v="Haiti"/>
    <s v="Costa Rica"/>
    <n v="1"/>
    <n v="3"/>
    <s v="FIFA World Cup qualification"/>
    <s v="Port-au-Prince"/>
    <s v="Haiti"/>
    <b v="0"/>
    <n v="2008"/>
    <n v="10432962634"/>
    <n v="30801745700"/>
    <x v="0"/>
    <n v="1"/>
    <x v="2"/>
  </r>
  <r>
    <x v="3627"/>
    <x v="1478"/>
    <x v="39"/>
    <s v="Honduras"/>
    <s v="Jamaica"/>
    <n v="2"/>
    <n v="0"/>
    <s v="FIFA World Cup qualification"/>
    <s v="San Pedro Sula"/>
    <s v="Honduras"/>
    <b v="0"/>
    <n v="2008"/>
    <n v="13881731875"/>
    <n v="13709401520"/>
    <x v="1"/>
    <n v="1"/>
    <x v="2"/>
  </r>
  <r>
    <x v="3628"/>
    <x v="1478"/>
    <x v="39"/>
    <s v="Italy"/>
    <s v="Georgia"/>
    <n v="2"/>
    <n v="0"/>
    <s v="FIFA World Cup qualification"/>
    <s v="Udine"/>
    <s v="Italy"/>
    <b v="0"/>
    <n v="2008"/>
    <n v="2417508414187"/>
    <n v="12795145130"/>
    <x v="0"/>
    <n v="1"/>
    <x v="2"/>
  </r>
  <r>
    <x v="3629"/>
    <x v="1478"/>
    <x v="39"/>
    <s v="Kazakhstan"/>
    <s v="Ukraine"/>
    <n v="1"/>
    <n v="3"/>
    <s v="FIFA World Cup qualification"/>
    <s v="Almaty"/>
    <s v="Kazakhstan"/>
    <b v="0"/>
    <n v="2008"/>
    <n v="133441648851"/>
    <n v="188110390659"/>
    <x v="1"/>
    <n v="1"/>
    <x v="2"/>
  </r>
  <r>
    <x v="3630"/>
    <x v="1478"/>
    <x v="39"/>
    <s v="Latvia"/>
    <s v="Greece"/>
    <n v="0"/>
    <n v="2"/>
    <s v="FIFA World Cup qualification"/>
    <s v="Riga"/>
    <s v="Latvia"/>
    <b v="0"/>
    <n v="2008"/>
    <n v="34135200994"/>
    <n v="351121399546"/>
    <x v="0"/>
    <n v="1"/>
    <x v="2"/>
  </r>
  <r>
    <x v="3631"/>
    <x v="1478"/>
    <x v="39"/>
    <s v="Lithuania"/>
    <s v="Austria"/>
    <n v="2"/>
    <n v="0"/>
    <s v="FIFA World Cup qualification"/>
    <s v="Marijampolƒó"/>
    <s v="Lithuania"/>
    <b v="0"/>
    <n v="2008"/>
    <n v="47831254207"/>
    <n v="429234399096"/>
    <x v="0"/>
    <n v="-1"/>
    <x v="0"/>
  </r>
  <r>
    <x v="3632"/>
    <x v="1478"/>
    <x v="39"/>
    <s v="North Macedonia"/>
    <s v="Netherlands"/>
    <n v="1"/>
    <n v="2"/>
    <s v="FIFA World Cup qualification"/>
    <s v="Skopje"/>
    <s v="North Macedonia"/>
    <b v="0"/>
    <n v="2008"/>
    <n v="9909552434"/>
    <n v="957901566041"/>
    <x v="0"/>
    <n v="1"/>
    <x v="2"/>
  </r>
  <r>
    <x v="3633"/>
    <x v="1478"/>
    <x v="39"/>
    <s v="Mexico"/>
    <s v="Canada"/>
    <n v="2"/>
    <n v="1"/>
    <s v="FIFA World Cup qualification"/>
    <s v="Tuxtla Guti√©rrez"/>
    <s v="Mexico"/>
    <b v="0"/>
    <n v="2008"/>
    <n v="1161553459715"/>
    <n v="1552989690721"/>
    <x v="1"/>
    <n v="-1"/>
    <x v="0"/>
  </r>
  <r>
    <x v="3634"/>
    <x v="1478"/>
    <x v="39"/>
    <s v="Moldova"/>
    <s v="Israel"/>
    <n v="1"/>
    <n v="2"/>
    <s v="FIFA World Cup qualification"/>
    <s v="Chi»ôinƒÉu"/>
    <s v="Moldova"/>
    <b v="0"/>
    <n v="2008"/>
    <n v="6054824248"/>
    <n v="221231658862"/>
    <x v="0"/>
    <n v="1"/>
    <x v="2"/>
  </r>
  <r>
    <x v="3635"/>
    <x v="1478"/>
    <x v="39"/>
    <s v="Peru"/>
    <s v="Argentina"/>
    <n v="1"/>
    <n v="1"/>
    <s v="FIFA World Cup qualification"/>
    <s v="Lima"/>
    <s v="Peru"/>
    <b v="0"/>
    <n v="2008"/>
    <n v="120550599815"/>
    <n v="361558037110"/>
    <x v="0"/>
    <n v="0"/>
    <x v="1"/>
  </r>
  <r>
    <x v="3636"/>
    <x v="1478"/>
    <x v="39"/>
    <s v="Portugal"/>
    <s v="Denmark"/>
    <n v="2"/>
    <n v="3"/>
    <s v="FIFA World Cup qualification"/>
    <s v="Lisbon"/>
    <s v="Portugal"/>
    <b v="0"/>
    <n v="2008"/>
    <n v="263416394624"/>
    <n v="354979471960"/>
    <x v="1"/>
    <n v="1"/>
    <x v="2"/>
  </r>
  <r>
    <x v="3637"/>
    <x v="1478"/>
    <x v="39"/>
    <s v="Qatar"/>
    <s v="Bahrain"/>
    <n v="1"/>
    <n v="1"/>
    <s v="FIFA World Cup qualification"/>
    <s v="Doha"/>
    <s v="Qatar"/>
    <b v="0"/>
    <n v="2008"/>
    <n v="115270054945"/>
    <n v="25710904255"/>
    <x v="0"/>
    <n v="0"/>
    <x v="1"/>
  </r>
  <r>
    <x v="3638"/>
    <x v="1478"/>
    <x v="39"/>
    <s v="San Marino"/>
    <s v="Poland"/>
    <n v="0"/>
    <n v="2"/>
    <s v="FIFA World Cup qualification"/>
    <s v="Serravalle"/>
    <s v="San Marino"/>
    <b v="0"/>
    <n v="2008"/>
    <n v="2403213305"/>
    <n v="535612030671"/>
    <x v="0"/>
    <n v="1"/>
    <x v="2"/>
  </r>
  <r>
    <x v="3639"/>
    <x v="1478"/>
    <x v="39"/>
    <s v="Spain"/>
    <s v="Armenia"/>
    <n v="4"/>
    <n v="0"/>
    <s v="FIFA World Cup qualification"/>
    <s v="Albacete"/>
    <s v="Spain"/>
    <b v="0"/>
    <n v="2008"/>
    <n v="1636115447612"/>
    <n v="11662040713"/>
    <x v="0"/>
    <n v="1"/>
    <x v="2"/>
  </r>
  <r>
    <x v="3640"/>
    <x v="1478"/>
    <x v="39"/>
    <s v="Suriname"/>
    <s v="El Salvador"/>
    <n v="0"/>
    <n v="2"/>
    <s v="FIFA World Cup qualification"/>
    <s v="Paramaribo"/>
    <s v="Suriname"/>
    <b v="0"/>
    <n v="2008"/>
    <n v="3532969034"/>
    <n v="17986890000"/>
    <x v="0"/>
    <n v="1"/>
    <x v="2"/>
  </r>
  <r>
    <x v="3641"/>
    <x v="1478"/>
    <x v="39"/>
    <s v="Sweden"/>
    <s v="Hungary"/>
    <n v="2"/>
    <n v="1"/>
    <s v="FIFA World Cup qualification"/>
    <s v="Solna"/>
    <s v="Sweden"/>
    <b v="0"/>
    <n v="2008"/>
    <n v="514614100832"/>
    <n v="158228265915"/>
    <x v="0"/>
    <n v="1"/>
    <x v="2"/>
  </r>
  <r>
    <x v="3642"/>
    <x v="1478"/>
    <x v="39"/>
    <s v="Switzerland"/>
    <s v="Luxembourg"/>
    <n v="1"/>
    <n v="2"/>
    <s v="FIFA World Cup qualification"/>
    <s v="Z√ºrich"/>
    <s v="Switzerland"/>
    <b v="0"/>
    <n v="2008"/>
    <n v="567267767519"/>
    <n v="58844277701"/>
    <x v="0"/>
    <n v="-1"/>
    <x v="0"/>
  </r>
  <r>
    <x v="3643"/>
    <x v="1478"/>
    <x v="39"/>
    <s v="United Arab Emirates"/>
    <s v="Saudi Arabia"/>
    <n v="1"/>
    <n v="2"/>
    <s v="FIFA World Cup qualification"/>
    <s v="Abu Dhabi"/>
    <s v="United Arab Emirates"/>
    <b v="0"/>
    <n v="2008"/>
    <n v="315474615738"/>
    <n v="519796800000"/>
    <x v="1"/>
    <n v="1"/>
    <x v="2"/>
  </r>
  <r>
    <x v="3644"/>
    <x v="1478"/>
    <x v="39"/>
    <s v="Uruguay"/>
    <s v="Ecuador"/>
    <n v="0"/>
    <n v="0"/>
    <s v="FIFA World Cup qualification"/>
    <s v="Montevideo"/>
    <s v="Uruguay"/>
    <b v="0"/>
    <n v="2008"/>
    <n v="31119602538"/>
    <n v="61139438000"/>
    <x v="1"/>
    <n v="0"/>
    <x v="1"/>
  </r>
  <r>
    <x v="3645"/>
    <x v="1478"/>
    <x v="39"/>
    <s v="United States"/>
    <s v="Trinidad and Tobago"/>
    <n v="3"/>
    <n v="0"/>
    <s v="FIFA World Cup qualification"/>
    <s v="Bridgeview"/>
    <s v="United States"/>
    <b v="0"/>
    <n v="2008"/>
    <n v="14769857911000"/>
    <n v="27871587349"/>
    <x v="0"/>
    <n v="1"/>
    <x v="2"/>
  </r>
  <r>
    <x v="3646"/>
    <x v="1478"/>
    <x v="39"/>
    <s v="Uzbekistan"/>
    <s v="Australia"/>
    <n v="0"/>
    <n v="1"/>
    <s v="FIFA World Cup qualification"/>
    <s v="Tashkent"/>
    <s v="Uzbekistan"/>
    <b v="0"/>
    <n v="2008"/>
    <n v="29549438883"/>
    <n v="1058448244063"/>
    <x v="0"/>
    <n v="1"/>
    <x v="2"/>
  </r>
  <r>
    <x v="3647"/>
    <x v="1478"/>
    <x v="39"/>
    <s v="Zambia"/>
    <s v="Togo"/>
    <n v="1"/>
    <n v="0"/>
    <s v="FIFA World Cup qualification"/>
    <s v="Chililabombwe"/>
    <s v="Zambia"/>
    <b v="0"/>
    <n v="2008"/>
    <n v="17910858637"/>
    <n v="4578847112"/>
    <x v="0"/>
    <n v="1"/>
    <x v="2"/>
  </r>
  <r>
    <x v="3648"/>
    <x v="1479"/>
    <x v="39"/>
    <s v="Argentina"/>
    <s v="Uruguay"/>
    <n v="2"/>
    <n v="1"/>
    <s v="FIFA World Cup qualification"/>
    <s v="Buenos Aires"/>
    <s v="Argentina"/>
    <b v="0"/>
    <n v="2008"/>
    <n v="361558037110"/>
    <n v="31119602538"/>
    <x v="0"/>
    <n v="1"/>
    <x v="2"/>
  </r>
  <r>
    <x v="3649"/>
    <x v="1479"/>
    <x v="39"/>
    <s v="Belgium"/>
    <s v="Armenia"/>
    <n v="2"/>
    <n v="0"/>
    <s v="FIFA World Cup qualification"/>
    <s v="Brussels"/>
    <s v="Belgium"/>
    <b v="0"/>
    <n v="2008"/>
    <n v="517328087920"/>
    <n v="11662040713"/>
    <x v="0"/>
    <n v="1"/>
    <x v="2"/>
  </r>
  <r>
    <x v="3650"/>
    <x v="1479"/>
    <x v="39"/>
    <s v="Bolivia"/>
    <s v="Peru"/>
    <n v="3"/>
    <n v="0"/>
    <s v="FIFA World Cup qualification"/>
    <s v="La Paz"/>
    <s v="Bolivia"/>
    <b v="0"/>
    <n v="2008"/>
    <n v="16674276285"/>
    <n v="120550599815"/>
    <x v="0"/>
    <n v="-1"/>
    <x v="0"/>
  </r>
  <r>
    <x v="3651"/>
    <x v="1479"/>
    <x v="39"/>
    <s v="Botswana"/>
    <s v="Mozambique"/>
    <n v="0"/>
    <n v="1"/>
    <s v="FIFA World Cup qualification"/>
    <s v="Gaborone"/>
    <s v="Botswana"/>
    <b v="0"/>
    <n v="2008"/>
    <n v="10730829116"/>
    <n v="12920340964"/>
    <x v="1"/>
    <n v="1"/>
    <x v="2"/>
  </r>
  <r>
    <x v="3652"/>
    <x v="1479"/>
    <x v="39"/>
    <s v="Bulgaria"/>
    <s v="Italy"/>
    <n v="0"/>
    <n v="0"/>
    <s v="FIFA World Cup qualification"/>
    <s v="Sofia"/>
    <s v="Bulgaria"/>
    <b v="0"/>
    <n v="2008"/>
    <n v="54480684188"/>
    <n v="2417508414187"/>
    <x v="0"/>
    <n v="0"/>
    <x v="1"/>
  </r>
  <r>
    <x v="3653"/>
    <x v="1479"/>
    <x v="39"/>
    <s v="Cameroon"/>
    <s v="Mauritius"/>
    <n v="5"/>
    <n v="0"/>
    <s v="FIFA World Cup qualification"/>
    <s v="Yaound√©"/>
    <s v="Cameroon"/>
    <b v="0"/>
    <n v="2008"/>
    <n v="27715142032"/>
    <n v="10127777060"/>
    <x v="0"/>
    <n v="1"/>
    <x v="2"/>
  </r>
  <r>
    <x v="3654"/>
    <x v="1479"/>
    <x v="39"/>
    <s v="Colombia"/>
    <s v="Paraguay"/>
    <n v="0"/>
    <n v="1"/>
    <s v="FIFA World Cup qualification"/>
    <s v="Bogot√°"/>
    <s v="Colombia"/>
    <b v="0"/>
    <n v="2008"/>
    <n v="242504150472"/>
    <n v="24615267663"/>
    <x v="0"/>
    <n v="-1"/>
    <x v="0"/>
  </r>
  <r>
    <x v="3655"/>
    <x v="1479"/>
    <x v="39"/>
    <s v="Denmark"/>
    <s v="Malta"/>
    <n v="3"/>
    <n v="0"/>
    <s v="FIFA World Cup qualification"/>
    <s v="Copenhagen"/>
    <s v="Denmark"/>
    <b v="0"/>
    <n v="2008"/>
    <n v="354979471960"/>
    <n v="9135419464"/>
    <x v="0"/>
    <n v="1"/>
    <x v="2"/>
  </r>
  <r>
    <x v="3656"/>
    <x v="1479"/>
    <x v="39"/>
    <s v="England"/>
    <s v="Kazakhstan"/>
    <n v="5"/>
    <n v="1"/>
    <s v="FIFA World Cup qualification"/>
    <s v="London"/>
    <s v="England"/>
    <b v="0"/>
    <n v="2008"/>
    <n v="2945251838235"/>
    <n v="133441648851"/>
    <x v="0"/>
    <n v="1"/>
    <x v="2"/>
  </r>
  <r>
    <x v="3657"/>
    <x v="1479"/>
    <x v="39"/>
    <s v="Equatorial Guinea"/>
    <s v="South Africa"/>
    <n v="0"/>
    <n v="1"/>
    <s v="FIFA World Cup qualification"/>
    <s v="Malabo"/>
    <s v="Equatorial Guinea"/>
    <b v="0"/>
    <n v="2008"/>
    <n v="19749893536"/>
    <n v="316131258616"/>
    <x v="0"/>
    <n v="1"/>
    <x v="2"/>
  </r>
  <r>
    <x v="3658"/>
    <x v="1479"/>
    <x v="39"/>
    <s v="Estonia"/>
    <s v="Spain"/>
    <n v="0"/>
    <n v="3"/>
    <s v="FIFA World Cup qualification"/>
    <s v="Tallinn"/>
    <s v="Estonia"/>
    <b v="0"/>
    <n v="2008"/>
    <n v="24342935403"/>
    <n v="1636115447612"/>
    <x v="0"/>
    <n v="1"/>
    <x v="2"/>
  </r>
  <r>
    <x v="3659"/>
    <x v="1479"/>
    <x v="39"/>
    <s v="Faroe Islands"/>
    <s v="Austria"/>
    <n v="1"/>
    <n v="1"/>
    <s v="FIFA World Cup qualification"/>
    <s v="T√≥rshavn"/>
    <s v="Faroe Islands"/>
    <b v="0"/>
    <n v="2008"/>
    <n v="2489873249"/>
    <n v="429234399096"/>
    <x v="0"/>
    <n v="0"/>
    <x v="1"/>
  </r>
  <r>
    <x v="3660"/>
    <x v="1479"/>
    <x v="39"/>
    <s v="Finland"/>
    <s v="Azerbaijan"/>
    <n v="1"/>
    <n v="0"/>
    <s v="FIFA World Cup qualification"/>
    <s v="Helsinki"/>
    <s v="Finland"/>
    <b v="0"/>
    <n v="2008"/>
    <n v="285698662071"/>
    <n v="48851293785"/>
    <x v="0"/>
    <n v="1"/>
    <x v="2"/>
  </r>
  <r>
    <x v="3661"/>
    <x v="1479"/>
    <x v="39"/>
    <s v="Gabon"/>
    <s v="Libya"/>
    <n v="1"/>
    <n v="0"/>
    <s v="FIFA World Cup qualification"/>
    <s v="Libreville"/>
    <s v="Gabon"/>
    <b v="0"/>
    <n v="2008"/>
    <n v="15571348344"/>
    <n v="86710767415"/>
    <x v="0"/>
    <n v="-1"/>
    <x v="0"/>
  </r>
  <r>
    <x v="3662"/>
    <x v="1479"/>
    <x v="39"/>
    <s v="Georgia"/>
    <s v="Cyprus"/>
    <n v="1"/>
    <n v="1"/>
    <s v="FIFA World Cup qualification"/>
    <s v="Tbilisi"/>
    <s v="Georgia"/>
    <b v="0"/>
    <n v="2008"/>
    <n v="12795145130"/>
    <n v="27844646257"/>
    <x v="0"/>
    <n v="0"/>
    <x v="1"/>
  </r>
  <r>
    <x v="3663"/>
    <x v="1479"/>
    <x v="39"/>
    <s v="Germany"/>
    <s v="Russia"/>
    <n v="2"/>
    <n v="1"/>
    <s v="FIFA World Cup qualification"/>
    <s v="Dortmund"/>
    <s v="Germany"/>
    <b v="0"/>
    <n v="2008"/>
    <n v="3808197720125"/>
    <n v="1660848058303"/>
    <x v="0"/>
    <n v="1"/>
    <x v="2"/>
  </r>
  <r>
    <x v="3664"/>
    <x v="1479"/>
    <x v="39"/>
    <s v="Ghana"/>
    <s v="Lesotho"/>
    <n v="3"/>
    <n v="0"/>
    <s v="FIFA World Cup qualification"/>
    <s v="Sekondi"/>
    <s v="Ghana"/>
    <b v="0"/>
    <n v="2008"/>
    <n v="28679383241"/>
    <n v="1766902709"/>
    <x v="0"/>
    <n v="1"/>
    <x v="2"/>
  </r>
  <r>
    <x v="3665"/>
    <x v="1479"/>
    <x v="39"/>
    <s v="Greece"/>
    <s v="Moldova"/>
    <n v="3"/>
    <n v="0"/>
    <s v="FIFA World Cup qualification"/>
    <s v="Athens"/>
    <s v="Greece"/>
    <b v="0"/>
    <n v="2008"/>
    <n v="351121399546"/>
    <n v="6054824248"/>
    <x v="0"/>
    <n v="1"/>
    <x v="2"/>
  </r>
  <r>
    <x v="3666"/>
    <x v="1479"/>
    <x v="39"/>
    <s v="Guatemala"/>
    <s v="Trinidad and Tobago"/>
    <n v="0"/>
    <n v="0"/>
    <s v="FIFA World Cup qualification"/>
    <s v="Guatemala City"/>
    <s v="Guatemala"/>
    <b v="0"/>
    <n v="2008"/>
    <n v="38503720224"/>
    <n v="27871587349"/>
    <x v="1"/>
    <n v="0"/>
    <x v="1"/>
  </r>
  <r>
    <x v="3667"/>
    <x v="1479"/>
    <x v="39"/>
    <s v="Haiti"/>
    <s v="El Salvador"/>
    <n v="0"/>
    <n v="0"/>
    <s v="FIFA World Cup qualification"/>
    <s v="Port-au-Prince"/>
    <s v="Haiti"/>
    <b v="0"/>
    <n v="2008"/>
    <n v="10432962634"/>
    <n v="17986890000"/>
    <x v="1"/>
    <n v="0"/>
    <x v="1"/>
  </r>
  <r>
    <x v="3668"/>
    <x v="1479"/>
    <x v="39"/>
    <s v="Honduras"/>
    <s v="Canada"/>
    <n v="3"/>
    <n v="1"/>
    <s v="FIFA World Cup qualification"/>
    <s v="San Pedro Sula"/>
    <s v="Honduras"/>
    <b v="0"/>
    <n v="2008"/>
    <n v="13881731875"/>
    <n v="1552989690721"/>
    <x v="0"/>
    <n v="-1"/>
    <x v="0"/>
  </r>
  <r>
    <x v="3669"/>
    <x v="1479"/>
    <x v="39"/>
    <s v="Hungary"/>
    <s v="Albania"/>
    <n v="2"/>
    <n v="0"/>
    <s v="FIFA World Cup qualification"/>
    <s v="Budapest"/>
    <s v="Hungary"/>
    <b v="0"/>
    <n v="2008"/>
    <n v="158228265915"/>
    <n v="13258506375"/>
    <x v="0"/>
    <n v="1"/>
    <x v="2"/>
  </r>
  <r>
    <x v="3670"/>
    <x v="1479"/>
    <x v="39"/>
    <s v="Jamaica"/>
    <s v="Mexico"/>
    <n v="1"/>
    <n v="0"/>
    <s v="FIFA World Cup qualification"/>
    <s v="Kingston"/>
    <s v="Jamaica"/>
    <b v="0"/>
    <n v="2008"/>
    <n v="13709401520"/>
    <n v="1161553459715"/>
    <x v="0"/>
    <n v="-1"/>
    <x v="0"/>
  </r>
  <r>
    <x v="3671"/>
    <x v="1479"/>
    <x v="39"/>
    <s v="Liberia"/>
    <s v="Algeria"/>
    <n v="0"/>
    <n v="0"/>
    <s v="FIFA World Cup qualification"/>
    <s v="Paynesville"/>
    <s v="Liberia"/>
    <b v="0"/>
    <n v="2008"/>
    <n v="1726000000"/>
    <n v="180383848331"/>
    <x v="0"/>
    <n v="0"/>
    <x v="1"/>
  </r>
  <r>
    <x v="3672"/>
    <x v="1479"/>
    <x v="39"/>
    <s v="Luxembourg"/>
    <s v="Israel"/>
    <n v="1"/>
    <n v="3"/>
    <s v="FIFA World Cup qualification"/>
    <s v="Luxembourg"/>
    <s v="Luxembourg"/>
    <b v="0"/>
    <n v="2008"/>
    <n v="58844277701"/>
    <n v="221231658862"/>
    <x v="0"/>
    <n v="1"/>
    <x v="2"/>
  </r>
  <r>
    <x v="3673"/>
    <x v="1479"/>
    <x v="39"/>
    <s v="Mali"/>
    <s v="Chad"/>
    <n v="2"/>
    <n v="1"/>
    <s v="FIFA World Cup qualification"/>
    <s v="Bamako"/>
    <s v="Mali"/>
    <b v="0"/>
    <n v="2008"/>
    <n v="11462490840"/>
    <n v="13385593990"/>
    <x v="1"/>
    <n v="-1"/>
    <x v="0"/>
  </r>
  <r>
    <x v="3674"/>
    <x v="1479"/>
    <x v="39"/>
    <s v="Morocco"/>
    <s v="Mauritania"/>
    <n v="4"/>
    <n v="1"/>
    <s v="FIFA World Cup qualification"/>
    <s v="Rabat"/>
    <s v="Morocco"/>
    <b v="0"/>
    <n v="2008"/>
    <n v="101822906949"/>
    <n v="5206437193"/>
    <x v="0"/>
    <n v="1"/>
    <x v="2"/>
  </r>
  <r>
    <x v="3675"/>
    <x v="1479"/>
    <x v="39"/>
    <s v="Namibia"/>
    <s v="Zimbabwe"/>
    <n v="4"/>
    <n v="2"/>
    <s v="FIFA World Cup qualification"/>
    <s v="Windhoek"/>
    <s v="Namibia"/>
    <b v="0"/>
    <n v="2008"/>
    <n v="8607431497"/>
    <n v="4418000000"/>
    <x v="1"/>
    <n v="1"/>
    <x v="2"/>
  </r>
  <r>
    <x v="3676"/>
    <x v="1479"/>
    <x v="39"/>
    <s v="Netherlands"/>
    <s v="Iceland"/>
    <n v="2"/>
    <n v="0"/>
    <s v="FIFA World Cup qualification"/>
    <s v="Rotterdam"/>
    <s v="Netherlands"/>
    <b v="0"/>
    <n v="2008"/>
    <n v="957901566041"/>
    <n v="18247921360"/>
    <x v="0"/>
    <n v="1"/>
    <x v="2"/>
  </r>
  <r>
    <x v="3677"/>
    <x v="1479"/>
    <x v="39"/>
    <s v="Nigeria"/>
    <s v="Sierra Leone"/>
    <n v="4"/>
    <n v="1"/>
    <s v="FIFA World Cup qualification"/>
    <s v="Abuja"/>
    <s v="Nigeria"/>
    <b v="0"/>
    <n v="2008"/>
    <n v="339476276257"/>
    <n v="4157895298"/>
    <x v="0"/>
    <n v="1"/>
    <x v="2"/>
  </r>
  <r>
    <x v="3678"/>
    <x v="1479"/>
    <x v="39"/>
    <s v="Romania"/>
    <s v="France"/>
    <n v="2"/>
    <n v="2"/>
    <s v="FIFA World Cup qualification"/>
    <s v="Constan≈£a"/>
    <s v="Romania"/>
    <b v="0"/>
    <n v="2008"/>
    <n v="214315932061"/>
    <n v="2926802941585"/>
    <x v="0"/>
    <n v="0"/>
    <x v="1"/>
  </r>
  <r>
    <x v="3679"/>
    <x v="1479"/>
    <x v="39"/>
    <s v="Serbia"/>
    <s v="Lithuania"/>
    <n v="3"/>
    <n v="0"/>
    <s v="FIFA World Cup qualification"/>
    <s v="Belgrade"/>
    <s v="Serbia"/>
    <b v="0"/>
    <n v="2008"/>
    <n v="54220641201"/>
    <n v="47831254207"/>
    <x v="1"/>
    <n v="1"/>
    <x v="2"/>
  </r>
  <r>
    <x v="3680"/>
    <x v="1479"/>
    <x v="39"/>
    <s v="Suriname"/>
    <s v="Costa Rica"/>
    <n v="1"/>
    <n v="4"/>
    <s v="FIFA World Cup qualification"/>
    <s v="Paramaribo"/>
    <s v="Suriname"/>
    <b v="0"/>
    <n v="2008"/>
    <n v="3532969034"/>
    <n v="30801745700"/>
    <x v="0"/>
    <n v="1"/>
    <x v="2"/>
  </r>
  <r>
    <x v="3681"/>
    <x v="1479"/>
    <x v="39"/>
    <s v="Sweden"/>
    <s v="Portugal"/>
    <n v="0"/>
    <n v="0"/>
    <s v="FIFA World Cup qualification"/>
    <s v="Solna"/>
    <s v="Sweden"/>
    <b v="0"/>
    <n v="2008"/>
    <n v="514614100832"/>
    <n v="263416394624"/>
    <x v="1"/>
    <n v="0"/>
    <x v="1"/>
  </r>
  <r>
    <x v="3682"/>
    <x v="1479"/>
    <x v="39"/>
    <s v="Switzerland"/>
    <s v="Latvia"/>
    <n v="2"/>
    <n v="1"/>
    <s v="FIFA World Cup qualification"/>
    <s v="St. Gallen"/>
    <s v="Switzerland"/>
    <b v="0"/>
    <n v="2008"/>
    <n v="567267767519"/>
    <n v="34135200994"/>
    <x v="0"/>
    <n v="1"/>
    <x v="2"/>
  </r>
  <r>
    <x v="3683"/>
    <x v="1479"/>
    <x v="39"/>
    <s v="Togo"/>
    <s v="Eswatini"/>
    <n v="6"/>
    <n v="0"/>
    <s v="FIFA World Cup qualification"/>
    <s v="Accra"/>
    <s v="Ghana"/>
    <b v="1"/>
    <n v="2008"/>
    <n v="4578847112"/>
    <n v="3235921170"/>
    <x v="1"/>
    <n v="1"/>
    <x v="2"/>
  </r>
  <r>
    <x v="3684"/>
    <x v="1479"/>
    <x v="39"/>
    <s v="Tunisia"/>
    <s v="Seychelles"/>
    <n v="5"/>
    <n v="0"/>
    <s v="FIFA World Cup qualification"/>
    <s v="Rad√®s"/>
    <s v="Tunisia"/>
    <b v="0"/>
    <n v="2008"/>
    <n v="44859439902"/>
    <n v="979597394"/>
    <x v="0"/>
    <n v="1"/>
    <x v="2"/>
  </r>
  <r>
    <x v="3685"/>
    <x v="1479"/>
    <x v="39"/>
    <s v="Ukraine"/>
    <s v="Croatia"/>
    <n v="0"/>
    <n v="0"/>
    <s v="FIFA World Cup qualification"/>
    <s v="Kharkiv"/>
    <s v="Ukraine"/>
    <b v="0"/>
    <n v="2008"/>
    <n v="188110390659"/>
    <n v="68472854617"/>
    <x v="0"/>
    <n v="0"/>
    <x v="1"/>
  </r>
  <r>
    <x v="3686"/>
    <x v="1479"/>
    <x v="39"/>
    <s v="United States"/>
    <s v="Cuba"/>
    <n v="6"/>
    <n v="1"/>
    <s v="FIFA World Cup qualification"/>
    <s v="Washington, D.C."/>
    <s v="United States"/>
    <b v="0"/>
    <n v="2008"/>
    <n v="14769857911000"/>
    <n v="56302129629"/>
    <x v="0"/>
    <n v="1"/>
    <x v="2"/>
  </r>
  <r>
    <x v="3687"/>
    <x v="1480"/>
    <x v="39"/>
    <s v="Angola"/>
    <s v="Niger"/>
    <n v="3"/>
    <n v="1"/>
    <s v="FIFA World Cup qualification"/>
    <s v="Luanda"/>
    <s v="Angola"/>
    <b v="0"/>
    <n v="2008"/>
    <n v="98790432989"/>
    <n v="7297600226"/>
    <x v="0"/>
    <n v="1"/>
    <x v="2"/>
  </r>
  <r>
    <x v="3688"/>
    <x v="1480"/>
    <x v="39"/>
    <s v="Burundi"/>
    <s v="Burkina Faso"/>
    <n v="1"/>
    <n v="3"/>
    <s v="FIFA World Cup qualification"/>
    <s v="Bujumbura"/>
    <s v="Burundi"/>
    <b v="0"/>
    <n v="2008"/>
    <n v="1611835857"/>
    <n v="9451435490"/>
    <x v="0"/>
    <n v="1"/>
    <x v="2"/>
  </r>
  <r>
    <x v="3689"/>
    <x v="1480"/>
    <x v="39"/>
    <s v="Ecuador"/>
    <s v="Chile"/>
    <n v="1"/>
    <n v="0"/>
    <s v="FIFA World Cup qualification"/>
    <s v="Quito"/>
    <s v="Ecuador"/>
    <b v="0"/>
    <n v="2008"/>
    <n v="61139438000"/>
    <n v="179894594475"/>
    <x v="0"/>
    <n v="-1"/>
    <x v="0"/>
  </r>
  <r>
    <x v="3690"/>
    <x v="1480"/>
    <x v="39"/>
    <s v="Egypt"/>
    <s v="Djibouti"/>
    <n v="4"/>
    <n v="0"/>
    <s v="FIFA World Cup qualification"/>
    <s v="Cairo"/>
    <s v="Egypt"/>
    <b v="0"/>
    <n v="2008"/>
    <n v="162818181818"/>
    <n v="999105339"/>
    <x v="0"/>
    <n v="1"/>
    <x v="2"/>
  </r>
  <r>
    <x v="3691"/>
    <x v="1480"/>
    <x v="39"/>
    <s v="Guinea"/>
    <s v="Kenya"/>
    <n v="3"/>
    <n v="2"/>
    <s v="FIFA World Cup qualification"/>
    <s v="Conakry"/>
    <s v="Guinea"/>
    <b v="0"/>
    <n v="2008"/>
    <n v="6964179983"/>
    <n v="35895153327"/>
    <x v="0"/>
    <n v="-1"/>
    <x v="0"/>
  </r>
  <r>
    <x v="3692"/>
    <x v="1480"/>
    <x v="39"/>
    <s v="Uganda"/>
    <s v="Benin"/>
    <n v="2"/>
    <n v="1"/>
    <s v="FIFA World Cup qualification"/>
    <s v="Kampala"/>
    <s v="Uganda"/>
    <b v="0"/>
    <n v="2008"/>
    <n v="14440404132"/>
    <n v="9787734526"/>
    <x v="1"/>
    <n v="1"/>
    <x v="2"/>
  </r>
  <r>
    <x v="3693"/>
    <x v="1480"/>
    <x v="39"/>
    <s v="Venezuela"/>
    <s v="Brazil"/>
    <n v="0"/>
    <n v="4"/>
    <s v="FIFA World Cup qualification"/>
    <s v="San Crist√≥bal"/>
    <s v="Venezuela"/>
    <b v="0"/>
    <n v="2008"/>
    <n v="315953388510"/>
    <n v="1695855391757"/>
    <x v="0"/>
    <n v="1"/>
    <x v="2"/>
  </r>
  <r>
    <x v="3694"/>
    <x v="1481"/>
    <x v="39"/>
    <s v="Bolivia"/>
    <s v="Uruguay"/>
    <n v="2"/>
    <n v="2"/>
    <s v="FIFA World Cup qualification"/>
    <s v="La Paz"/>
    <s v="Bolivia"/>
    <b v="0"/>
    <n v="2008"/>
    <n v="16674276285"/>
    <n v="31119602538"/>
    <x v="1"/>
    <n v="0"/>
    <x v="1"/>
  </r>
  <r>
    <x v="3695"/>
    <x v="1482"/>
    <x v="39"/>
    <s v="Australia"/>
    <s v="Qatar"/>
    <n v="4"/>
    <n v="0"/>
    <s v="FIFA World Cup qualification"/>
    <s v="Brisbane"/>
    <s v="Australia"/>
    <b v="0"/>
    <n v="2008"/>
    <n v="1058448244063"/>
    <n v="115270054945"/>
    <x v="0"/>
    <n v="1"/>
    <x v="2"/>
  </r>
  <r>
    <x v="3696"/>
    <x v="1482"/>
    <x v="39"/>
    <s v="Austria"/>
    <s v="Serbia"/>
    <n v="1"/>
    <n v="3"/>
    <s v="FIFA World Cup qualification"/>
    <s v="Vienna"/>
    <s v="Austria"/>
    <b v="0"/>
    <n v="2008"/>
    <n v="429234399096"/>
    <n v="54220641201"/>
    <x v="0"/>
    <n v="-1"/>
    <x v="0"/>
  </r>
  <r>
    <x v="3697"/>
    <x v="1482"/>
    <x v="39"/>
    <s v="Belarus"/>
    <s v="England"/>
    <n v="1"/>
    <n v="3"/>
    <s v="FIFA World Cup qualification"/>
    <s v="Minsk"/>
    <s v="Belarus"/>
    <b v="0"/>
    <n v="2008"/>
    <n v="60752106347"/>
    <n v="2945251838235"/>
    <x v="0"/>
    <n v="1"/>
    <x v="2"/>
  </r>
  <r>
    <x v="3698"/>
    <x v="1482"/>
    <x v="39"/>
    <s v="Belgium"/>
    <s v="Spain"/>
    <n v="1"/>
    <n v="2"/>
    <s v="FIFA World Cup qualification"/>
    <s v="Brussels"/>
    <s v="Belgium"/>
    <b v="0"/>
    <n v="2008"/>
    <n v="517328087920"/>
    <n v="1636115447612"/>
    <x v="0"/>
    <n v="1"/>
    <x v="2"/>
  </r>
  <r>
    <x v="3699"/>
    <x v="1482"/>
    <x v="39"/>
    <s v="Bosnia and Herzegovina"/>
    <s v="Armenia"/>
    <n v="4"/>
    <n v="1"/>
    <s v="FIFA World Cup qualification"/>
    <s v="Zenica"/>
    <s v="Bosnia and Herzegovina"/>
    <b v="0"/>
    <n v="2008"/>
    <n v="19112796623"/>
    <n v="11662040713"/>
    <x v="1"/>
    <n v="1"/>
    <x v="2"/>
  </r>
  <r>
    <x v="3700"/>
    <x v="1482"/>
    <x v="39"/>
    <s v="Brazil"/>
    <s v="Colombia"/>
    <n v="0"/>
    <n v="0"/>
    <s v="FIFA World Cup qualification"/>
    <s v="Rio de Janeiro"/>
    <s v="Brazil"/>
    <b v="0"/>
    <n v="2008"/>
    <n v="1695855391757"/>
    <n v="242504150472"/>
    <x v="0"/>
    <n v="0"/>
    <x v="1"/>
  </r>
  <r>
    <x v="3701"/>
    <x v="1482"/>
    <x v="39"/>
    <s v="Canada"/>
    <s v="Mexico"/>
    <n v="2"/>
    <n v="2"/>
    <s v="FIFA World Cup qualification"/>
    <s v="Edmonton"/>
    <s v="Canada"/>
    <b v="0"/>
    <n v="2008"/>
    <n v="1552989690721"/>
    <n v="1161553459715"/>
    <x v="1"/>
    <n v="0"/>
    <x v="1"/>
  </r>
  <r>
    <x v="3702"/>
    <x v="1482"/>
    <x v="39"/>
    <s v="Chile"/>
    <s v="Argentina"/>
    <n v="1"/>
    <n v="0"/>
    <s v="FIFA World Cup qualification"/>
    <s v="Santiago"/>
    <s v="Chile"/>
    <b v="0"/>
    <n v="2008"/>
    <n v="179894594475"/>
    <n v="361558037110"/>
    <x v="0"/>
    <n v="-1"/>
    <x v="0"/>
  </r>
  <r>
    <x v="3703"/>
    <x v="1482"/>
    <x v="39"/>
    <s v="Costa Rica"/>
    <s v="Haiti"/>
    <n v="2"/>
    <n v="0"/>
    <s v="FIFA World Cup qualification"/>
    <s v="San Jos√©"/>
    <s v="Costa Rica"/>
    <b v="0"/>
    <n v="2008"/>
    <n v="30801745700"/>
    <n v="10432962634"/>
    <x v="0"/>
    <n v="1"/>
    <x v="2"/>
  </r>
  <r>
    <x v="3704"/>
    <x v="1482"/>
    <x v="39"/>
    <s v="Croatia"/>
    <s v="Andorra"/>
    <n v="4"/>
    <n v="0"/>
    <s v="FIFA World Cup qualification"/>
    <s v="Zagreb"/>
    <s v="Croatia"/>
    <b v="0"/>
    <n v="2008"/>
    <n v="68472854617"/>
    <n v="4102317468"/>
    <x v="0"/>
    <n v="1"/>
    <x v="2"/>
  </r>
  <r>
    <x v="3705"/>
    <x v="1482"/>
    <x v="39"/>
    <s v="Cuba"/>
    <s v="Guatemala"/>
    <n v="2"/>
    <n v="1"/>
    <s v="FIFA World Cup qualification"/>
    <s v="Havana"/>
    <s v="Cuba"/>
    <b v="0"/>
    <n v="2008"/>
    <n v="56302129629"/>
    <n v="38503720224"/>
    <x v="1"/>
    <n v="1"/>
    <x v="2"/>
  </r>
  <r>
    <x v="3706"/>
    <x v="1482"/>
    <x v="39"/>
    <s v="El Salvador"/>
    <s v="Suriname"/>
    <n v="3"/>
    <n v="0"/>
    <s v="FIFA World Cup qualification"/>
    <s v="San Salvador"/>
    <s v="El Salvador"/>
    <b v="0"/>
    <n v="2008"/>
    <n v="17986890000"/>
    <n v="3532969034"/>
    <x v="0"/>
    <n v="1"/>
    <x v="2"/>
  </r>
  <r>
    <x v="3707"/>
    <x v="1482"/>
    <x v="39"/>
    <s v="Georgia"/>
    <s v="Bulgaria"/>
    <n v="0"/>
    <n v="0"/>
    <s v="FIFA World Cup qualification"/>
    <s v="Tbilisi"/>
    <s v="Georgia"/>
    <b v="0"/>
    <n v="2008"/>
    <n v="12795145130"/>
    <n v="54480684188"/>
    <x v="0"/>
    <n v="0"/>
    <x v="1"/>
  </r>
  <r>
    <x v="3708"/>
    <x v="1482"/>
    <x v="39"/>
    <s v="Greece"/>
    <s v="Switzerland"/>
    <n v="1"/>
    <n v="2"/>
    <s v="FIFA World Cup qualification"/>
    <s v="Athens"/>
    <s v="Greece"/>
    <b v="0"/>
    <n v="2008"/>
    <n v="351121399546"/>
    <n v="567267767519"/>
    <x v="1"/>
    <n v="1"/>
    <x v="2"/>
  </r>
  <r>
    <x v="3709"/>
    <x v="1482"/>
    <x v="39"/>
    <s v="Iceland"/>
    <s v="North Macedonia"/>
    <n v="1"/>
    <n v="0"/>
    <s v="FIFA World Cup qualification"/>
    <s v="Reykjav√≠k"/>
    <s v="Iceland"/>
    <b v="0"/>
    <n v="2008"/>
    <n v="18247921360"/>
    <n v="9909552434"/>
    <x v="1"/>
    <n v="1"/>
    <x v="2"/>
  </r>
  <r>
    <x v="3710"/>
    <x v="1482"/>
    <x v="39"/>
    <s v="Italy"/>
    <s v="Montenegro"/>
    <n v="2"/>
    <n v="1"/>
    <s v="FIFA World Cup qualification"/>
    <s v="Lecce"/>
    <s v="Italy"/>
    <b v="0"/>
    <n v="2008"/>
    <n v="2417508414187"/>
    <n v="4540861725"/>
    <x v="0"/>
    <n v="1"/>
    <x v="2"/>
  </r>
  <r>
    <x v="3711"/>
    <x v="1482"/>
    <x v="39"/>
    <s v="Jamaica"/>
    <s v="Honduras"/>
    <n v="1"/>
    <n v="0"/>
    <s v="FIFA World Cup qualification"/>
    <s v="Kingston"/>
    <s v="Jamaica"/>
    <b v="0"/>
    <n v="2008"/>
    <n v="13709401520"/>
    <n v="13881731875"/>
    <x v="1"/>
    <n v="-1"/>
    <x v="0"/>
  </r>
  <r>
    <x v="3712"/>
    <x v="1482"/>
    <x v="39"/>
    <s v="Japan"/>
    <s v="Uzbekistan"/>
    <n v="1"/>
    <n v="1"/>
    <s v="FIFA World Cup qualification"/>
    <s v="Saitama"/>
    <s v="Japan"/>
    <b v="0"/>
    <n v="2008"/>
    <n v="5106679115127"/>
    <n v="29549438883"/>
    <x v="0"/>
    <n v="0"/>
    <x v="1"/>
  </r>
  <r>
    <x v="3713"/>
    <x v="1482"/>
    <x v="39"/>
    <s v="South Korea"/>
    <s v="United Arab Emirates"/>
    <n v="4"/>
    <n v="1"/>
    <s v="FIFA World Cup qualification"/>
    <s v="Seoul"/>
    <s v="South Korea"/>
    <b v="0"/>
    <n v="2008"/>
    <n v="1091580692542"/>
    <n v="315474615738"/>
    <x v="0"/>
    <n v="1"/>
    <x v="2"/>
  </r>
  <r>
    <x v="3714"/>
    <x v="1482"/>
    <x v="39"/>
    <s v="Latvia"/>
    <s v="Israel"/>
    <n v="1"/>
    <n v="1"/>
    <s v="FIFA World Cup qualification"/>
    <s v="Riga"/>
    <s v="Latvia"/>
    <b v="0"/>
    <n v="2008"/>
    <n v="34135200994"/>
    <n v="221231658862"/>
    <x v="0"/>
    <n v="0"/>
    <x v="1"/>
  </r>
  <r>
    <x v="3715"/>
    <x v="1482"/>
    <x v="39"/>
    <s v="Lithuania"/>
    <s v="Faroe Islands"/>
    <n v="1"/>
    <n v="0"/>
    <s v="FIFA World Cup qualification"/>
    <s v="Kaunas"/>
    <s v="Lithuania"/>
    <b v="0"/>
    <n v="2008"/>
    <n v="47831254207"/>
    <n v="2489873249"/>
    <x v="0"/>
    <n v="1"/>
    <x v="2"/>
  </r>
  <r>
    <x v="3716"/>
    <x v="1482"/>
    <x v="39"/>
    <s v="Luxembourg"/>
    <s v="Moldova"/>
    <n v="0"/>
    <n v="0"/>
    <s v="FIFA World Cup qualification"/>
    <s v="Luxembourg"/>
    <s v="Luxembourg"/>
    <b v="0"/>
    <n v="2008"/>
    <n v="58844277701"/>
    <n v="6054824248"/>
    <x v="0"/>
    <n v="0"/>
    <x v="1"/>
  </r>
  <r>
    <x v="3717"/>
    <x v="1482"/>
    <x v="39"/>
    <s v="Malta"/>
    <s v="Hungary"/>
    <n v="0"/>
    <n v="1"/>
    <s v="FIFA World Cup qualification"/>
    <s v="Attard"/>
    <s v="Malta"/>
    <b v="0"/>
    <n v="2008"/>
    <n v="9135419464"/>
    <n v="158228265915"/>
    <x v="0"/>
    <n v="1"/>
    <x v="2"/>
  </r>
  <r>
    <x v="3718"/>
    <x v="1482"/>
    <x v="39"/>
    <s v="Norway"/>
    <s v="Netherlands"/>
    <n v="0"/>
    <n v="1"/>
    <s v="FIFA World Cup qualification"/>
    <s v="Oslo"/>
    <s v="Norway"/>
    <b v="0"/>
    <n v="2008"/>
    <n v="464917553191"/>
    <n v="957901566041"/>
    <x v="0"/>
    <n v="1"/>
    <x v="2"/>
  </r>
  <r>
    <x v="3719"/>
    <x v="1482"/>
    <x v="39"/>
    <s v="Paraguay"/>
    <s v="Peru"/>
    <n v="1"/>
    <n v="0"/>
    <s v="FIFA World Cup qualification"/>
    <s v="Asunci√≥n"/>
    <s v="Paraguay"/>
    <b v="0"/>
    <n v="2008"/>
    <n v="24615267663"/>
    <n v="120550599815"/>
    <x v="0"/>
    <n v="-1"/>
    <x v="0"/>
  </r>
  <r>
    <x v="3720"/>
    <x v="1482"/>
    <x v="39"/>
    <s v="Portugal"/>
    <s v="Albania"/>
    <n v="0"/>
    <n v="0"/>
    <s v="FIFA World Cup qualification"/>
    <s v="Braga"/>
    <s v="Portugal"/>
    <b v="0"/>
    <n v="2008"/>
    <n v="263416394624"/>
    <n v="13258506375"/>
    <x v="0"/>
    <n v="0"/>
    <x v="1"/>
  </r>
  <r>
    <x v="3721"/>
    <x v="1482"/>
    <x v="39"/>
    <s v="Russia"/>
    <s v="Finland"/>
    <n v="3"/>
    <n v="0"/>
    <s v="FIFA World Cup qualification"/>
    <s v="Moscow"/>
    <s v="Russia"/>
    <b v="0"/>
    <n v="2008"/>
    <n v="1660848058303"/>
    <n v="285698662071"/>
    <x v="0"/>
    <n v="1"/>
    <x v="2"/>
  </r>
  <r>
    <x v="3722"/>
    <x v="1482"/>
    <x v="39"/>
    <s v="Trinidad and Tobago"/>
    <s v="United States"/>
    <n v="2"/>
    <n v="1"/>
    <s v="FIFA World Cup qualification"/>
    <s v="Port of Spain"/>
    <s v="Trinidad and Tobago"/>
    <b v="0"/>
    <n v="2008"/>
    <n v="27871587349"/>
    <n v="14769857911000"/>
    <x v="0"/>
    <n v="-1"/>
    <x v="0"/>
  </r>
  <r>
    <x v="3723"/>
    <x v="1482"/>
    <x v="39"/>
    <s v="Venezuela"/>
    <s v="Ecuador"/>
    <n v="3"/>
    <n v="1"/>
    <s v="FIFA World Cup qualification"/>
    <s v="Puerto la Cruz"/>
    <s v="Venezuela"/>
    <b v="0"/>
    <n v="2008"/>
    <n v="315953388510"/>
    <n v="61139438000"/>
    <x v="0"/>
    <n v="1"/>
    <x v="2"/>
  </r>
  <r>
    <x v="3724"/>
    <x v="1483"/>
    <x v="39"/>
    <s v="Bahrain"/>
    <s v="Australia"/>
    <n v="0"/>
    <n v="1"/>
    <s v="FIFA World Cup qualification"/>
    <s v="Riffa"/>
    <s v="Bahrain"/>
    <b v="0"/>
    <n v="2008"/>
    <n v="25710904255"/>
    <n v="1058448244063"/>
    <x v="0"/>
    <n v="1"/>
    <x v="2"/>
  </r>
  <r>
    <x v="3725"/>
    <x v="1483"/>
    <x v="39"/>
    <s v="El Salvador"/>
    <s v="Costa Rica"/>
    <n v="1"/>
    <n v="3"/>
    <s v="FIFA World Cup qualification"/>
    <s v="San Salvador"/>
    <s v="El Salvador"/>
    <b v="0"/>
    <n v="2008"/>
    <n v="17986890000"/>
    <n v="30801745700"/>
    <x v="1"/>
    <n v="1"/>
    <x v="2"/>
  </r>
  <r>
    <x v="3726"/>
    <x v="1483"/>
    <x v="39"/>
    <s v="Honduras"/>
    <s v="Mexico"/>
    <n v="1"/>
    <n v="0"/>
    <s v="FIFA World Cup qualification"/>
    <s v="San Pedro Sula"/>
    <s v="Honduras"/>
    <b v="0"/>
    <n v="2008"/>
    <n v="13881731875"/>
    <n v="1161553459715"/>
    <x v="0"/>
    <n v="-1"/>
    <x v="0"/>
  </r>
  <r>
    <x v="3727"/>
    <x v="1483"/>
    <x v="39"/>
    <s v="Jamaica"/>
    <s v="Canada"/>
    <n v="3"/>
    <n v="0"/>
    <s v="FIFA World Cup qualification"/>
    <s v="Kingston"/>
    <s v="Jamaica"/>
    <b v="0"/>
    <n v="2008"/>
    <n v="13709401520"/>
    <n v="1552989690721"/>
    <x v="0"/>
    <n v="-1"/>
    <x v="0"/>
  </r>
  <r>
    <x v="3728"/>
    <x v="1483"/>
    <x v="39"/>
    <s v="Qatar"/>
    <s v="Japan"/>
    <n v="0"/>
    <n v="3"/>
    <s v="FIFA World Cup qualification"/>
    <s v="Doha"/>
    <s v="Qatar"/>
    <b v="0"/>
    <n v="2008"/>
    <n v="115270054945"/>
    <n v="5106679115127"/>
    <x v="0"/>
    <n v="1"/>
    <x v="2"/>
  </r>
  <r>
    <x v="3729"/>
    <x v="1483"/>
    <x v="39"/>
    <s v="Saudi Arabia"/>
    <s v="South Korea"/>
    <n v="0"/>
    <n v="2"/>
    <s v="FIFA World Cup qualification"/>
    <s v="Riyadh"/>
    <s v="Saudi Arabia"/>
    <b v="0"/>
    <n v="2008"/>
    <n v="519796800000"/>
    <n v="1091580692542"/>
    <x v="0"/>
    <n v="1"/>
    <x v="2"/>
  </r>
  <r>
    <x v="3730"/>
    <x v="1483"/>
    <x v="39"/>
    <s v="Suriname"/>
    <s v="Haiti"/>
    <n v="1"/>
    <n v="1"/>
    <s v="FIFA World Cup qualification"/>
    <s v="Paramaribo"/>
    <s v="Suriname"/>
    <b v="0"/>
    <n v="2008"/>
    <n v="3532969034"/>
    <n v="10432962634"/>
    <x v="0"/>
    <n v="0"/>
    <x v="1"/>
  </r>
  <r>
    <x v="3731"/>
    <x v="1483"/>
    <x v="39"/>
    <s v="Trinidad and Tobago"/>
    <s v="Cuba"/>
    <n v="3"/>
    <n v="0"/>
    <s v="FIFA World Cup qualification"/>
    <s v="Port of Spain"/>
    <s v="Trinidad and Tobago"/>
    <b v="0"/>
    <n v="2008"/>
    <n v="27871587349"/>
    <n v="56302129629"/>
    <x v="0"/>
    <n v="-1"/>
    <x v="0"/>
  </r>
  <r>
    <x v="3732"/>
    <x v="1483"/>
    <x v="39"/>
    <s v="United Arab Emirates"/>
    <s v="Iran"/>
    <n v="1"/>
    <n v="1"/>
    <s v="FIFA World Cup qualification"/>
    <s v="Dubai"/>
    <s v="United Arab Emirates"/>
    <b v="0"/>
    <n v="2008"/>
    <n v="315474615738"/>
    <n v="406070949553"/>
    <x v="1"/>
    <n v="0"/>
    <x v="1"/>
  </r>
  <r>
    <x v="3733"/>
    <x v="1483"/>
    <x v="39"/>
    <s v="United States"/>
    <s v="Guatemala"/>
    <n v="2"/>
    <n v="0"/>
    <s v="FIFA World Cup qualification"/>
    <s v="Commerce City"/>
    <s v="United States"/>
    <b v="0"/>
    <n v="2008"/>
    <n v="14769857911000"/>
    <n v="38503720224"/>
    <x v="0"/>
    <n v="1"/>
    <x v="2"/>
  </r>
  <r>
    <x v="3734"/>
    <x v="1484"/>
    <x v="40"/>
    <s v="Costa Rica"/>
    <s v="Honduras"/>
    <n v="2"/>
    <n v="0"/>
    <s v="FIFA World Cup qualification"/>
    <s v="San Jos√©"/>
    <s v="Costa Rica"/>
    <b v="0"/>
    <n v="2009"/>
    <n v="30745714312"/>
    <n v="14587496229"/>
    <x v="0"/>
    <n v="1"/>
    <x v="2"/>
  </r>
  <r>
    <x v="3735"/>
    <x v="1484"/>
    <x v="40"/>
    <s v="El Salvador"/>
    <s v="Trinidad and Tobago"/>
    <n v="2"/>
    <n v="2"/>
    <s v="FIFA World Cup qualification"/>
    <s v="San Salvador"/>
    <s v="El Salvador"/>
    <b v="0"/>
    <n v="2009"/>
    <n v="17601620000"/>
    <n v="19172165225"/>
    <x v="1"/>
    <n v="0"/>
    <x v="1"/>
  </r>
  <r>
    <x v="3736"/>
    <x v="1484"/>
    <x v="40"/>
    <s v="Iran"/>
    <s v="South Korea"/>
    <n v="1"/>
    <n v="1"/>
    <s v="FIFA World Cup qualification"/>
    <s v="Tehran"/>
    <s v="Iran"/>
    <b v="0"/>
    <n v="2009"/>
    <n v="414059094949"/>
    <n v="983065242417"/>
    <x v="0"/>
    <n v="0"/>
    <x v="1"/>
  </r>
  <r>
    <x v="3737"/>
    <x v="1484"/>
    <x v="40"/>
    <s v="Japan"/>
    <s v="Australia"/>
    <n v="0"/>
    <n v="0"/>
    <s v="FIFA World Cup qualification"/>
    <s v="Yokohama"/>
    <s v="Japan"/>
    <b v="0"/>
    <n v="2009"/>
    <n v="5289493117993"/>
    <n v="931761689770"/>
    <x v="0"/>
    <n v="0"/>
    <x v="1"/>
  </r>
  <r>
    <x v="3738"/>
    <x v="1484"/>
    <x v="40"/>
    <s v="Malta"/>
    <s v="Albania"/>
    <n v="0"/>
    <n v="0"/>
    <s v="FIFA World Cup qualification"/>
    <s v="Attard"/>
    <s v="Malta"/>
    <b v="0"/>
    <n v="2009"/>
    <n v="8734745697"/>
    <n v="12335540656"/>
    <x v="1"/>
    <n v="0"/>
    <x v="1"/>
  </r>
  <r>
    <x v="3739"/>
    <x v="1484"/>
    <x v="40"/>
    <s v="United States"/>
    <s v="Mexico"/>
    <n v="2"/>
    <n v="0"/>
    <s v="FIFA World Cup qualification"/>
    <s v="Columbus"/>
    <s v="United States"/>
    <b v="0"/>
    <n v="2009"/>
    <n v="14478064934000"/>
    <n v="943437415024"/>
    <x v="0"/>
    <n v="1"/>
    <x v="2"/>
  </r>
  <r>
    <x v="3740"/>
    <x v="1484"/>
    <x v="40"/>
    <s v="Uzbekistan"/>
    <s v="Bahrain"/>
    <n v="0"/>
    <n v="1"/>
    <s v="FIFA World Cup qualification"/>
    <s v="Tashkent"/>
    <s v="Uzbekistan"/>
    <b v="0"/>
    <n v="2009"/>
    <n v="33689223673"/>
    <n v="22938218085"/>
    <x v="1"/>
    <n v="-1"/>
    <x v="0"/>
  </r>
  <r>
    <x v="3741"/>
    <x v="1485"/>
    <x v="40"/>
    <s v="Albania"/>
    <s v="Hungary"/>
    <n v="0"/>
    <n v="1"/>
    <s v="FIFA World Cup qualification"/>
    <s v="Tirana"/>
    <s v="Albania"/>
    <b v="0"/>
    <n v="2009"/>
    <n v="12335540656"/>
    <n v="130807441076"/>
    <x v="0"/>
    <n v="1"/>
    <x v="2"/>
  </r>
  <r>
    <x v="3742"/>
    <x v="1485"/>
    <x v="40"/>
    <s v="Argentina"/>
    <s v="Venezuela"/>
    <n v="4"/>
    <n v="0"/>
    <s v="FIFA World Cup qualification"/>
    <s v="Buenos Aires"/>
    <s v="Argentina"/>
    <b v="0"/>
    <n v="2009"/>
    <n v="332976484577"/>
    <n v="329787628928"/>
    <x v="1"/>
    <n v="1"/>
    <x v="2"/>
  </r>
  <r>
    <x v="3743"/>
    <x v="1485"/>
    <x v="40"/>
    <s v="Armenia"/>
    <s v="Estonia"/>
    <n v="2"/>
    <n v="2"/>
    <s v="FIFA World Cup qualification"/>
    <s v="Yerevan"/>
    <s v="Armenia"/>
    <b v="0"/>
    <n v="2009"/>
    <n v="8647937081"/>
    <n v="19633984440"/>
    <x v="0"/>
    <n v="0"/>
    <x v="1"/>
  </r>
  <r>
    <x v="3744"/>
    <x v="1485"/>
    <x v="40"/>
    <s v="Belgium"/>
    <s v="Bosnia and Herzegovina"/>
    <n v="2"/>
    <n v="4"/>
    <s v="FIFA World Cup qualification"/>
    <s v="Genk"/>
    <s v="Belgium"/>
    <b v="0"/>
    <n v="2009"/>
    <n v="485014525992"/>
    <n v="17613949091"/>
    <x v="0"/>
    <n v="-1"/>
    <x v="0"/>
  </r>
  <r>
    <x v="3745"/>
    <x v="1485"/>
    <x v="40"/>
    <s v="Burkina Faso"/>
    <s v="Guinea"/>
    <n v="4"/>
    <n v="2"/>
    <s v="FIFA World Cup qualification"/>
    <s v="Ouagadougou"/>
    <s v="Burkina Faso"/>
    <b v="0"/>
    <n v="2009"/>
    <n v="9450696873"/>
    <n v="6716905339"/>
    <x v="1"/>
    <n v="1"/>
    <x v="2"/>
  </r>
  <r>
    <x v="3746"/>
    <x v="1485"/>
    <x v="40"/>
    <s v="Colombia"/>
    <s v="Bolivia"/>
    <n v="2"/>
    <n v="0"/>
    <s v="FIFA World Cup qualification"/>
    <s v="Bogot√°"/>
    <s v="Colombia"/>
    <b v="0"/>
    <n v="2009"/>
    <n v="232468663109"/>
    <n v="17339992193"/>
    <x v="0"/>
    <n v="1"/>
    <x v="2"/>
  </r>
  <r>
    <x v="3747"/>
    <x v="1485"/>
    <x v="40"/>
    <s v="Cyprus"/>
    <s v="Georgia"/>
    <n v="2"/>
    <n v="1"/>
    <s v="FIFA World Cup qualification"/>
    <s v="Larnaca"/>
    <s v="Cyprus"/>
    <b v="0"/>
    <n v="2009"/>
    <n v="26048179949"/>
    <n v="10766920065"/>
    <x v="0"/>
    <n v="1"/>
    <x v="2"/>
  </r>
  <r>
    <x v="3748"/>
    <x v="1485"/>
    <x v="40"/>
    <s v="El Salvador"/>
    <s v="United States"/>
    <n v="2"/>
    <n v="2"/>
    <s v="FIFA World Cup qualification"/>
    <s v="San Salvador"/>
    <s v="El Salvador"/>
    <b v="0"/>
    <n v="2009"/>
    <n v="17601620000"/>
    <n v="14478064934000"/>
    <x v="0"/>
    <n v="0"/>
    <x v="1"/>
  </r>
  <r>
    <x v="3749"/>
    <x v="1485"/>
    <x v="40"/>
    <s v="Germany"/>
    <s v="Liechtenstein"/>
    <n v="4"/>
    <n v="0"/>
    <s v="FIFA World Cup qualification"/>
    <s v="Leipzig"/>
    <s v="Germany"/>
    <b v="0"/>
    <n v="2009"/>
    <n v="3478545516683"/>
    <n v="4504375348"/>
    <x v="0"/>
    <n v="1"/>
    <x v="2"/>
  </r>
  <r>
    <x v="3750"/>
    <x v="1485"/>
    <x v="40"/>
    <s v="Iran"/>
    <s v="Saudi Arabia"/>
    <n v="1"/>
    <n v="2"/>
    <s v="FIFA World Cup qualification"/>
    <s v="Tehran"/>
    <s v="Iran"/>
    <b v="0"/>
    <n v="2009"/>
    <n v="414059094949"/>
    <n v="429097866666"/>
    <x v="1"/>
    <n v="1"/>
    <x v="2"/>
  </r>
  <r>
    <x v="3751"/>
    <x v="1485"/>
    <x v="40"/>
    <s v="Israel"/>
    <s v="Greece"/>
    <n v="1"/>
    <n v="1"/>
    <s v="FIFA World Cup qualification"/>
    <s v="Ramat Gan"/>
    <s v="Israel"/>
    <b v="0"/>
    <n v="2009"/>
    <n v="213403181852"/>
    <n v="326829054686"/>
    <x v="1"/>
    <n v="0"/>
    <x v="1"/>
  </r>
  <r>
    <x v="3752"/>
    <x v="1485"/>
    <x v="40"/>
    <s v="Japan"/>
    <s v="Bahrain"/>
    <n v="1"/>
    <n v="0"/>
    <s v="FIFA World Cup qualification"/>
    <s v="Saitama"/>
    <s v="Japan"/>
    <b v="0"/>
    <n v="2009"/>
    <n v="5289493117993"/>
    <n v="22938218085"/>
    <x v="0"/>
    <n v="1"/>
    <x v="2"/>
  </r>
  <r>
    <x v="3753"/>
    <x v="1485"/>
    <x v="40"/>
    <s v="Kenya"/>
    <s v="Tunisia"/>
    <n v="1"/>
    <n v="2"/>
    <s v="FIFA World Cup qualification"/>
    <s v="Nairobi"/>
    <s v="Kenya"/>
    <b v="0"/>
    <n v="2009"/>
    <n v="42347217912"/>
    <n v="43455740497"/>
    <x v="1"/>
    <n v="1"/>
    <x v="2"/>
  </r>
  <r>
    <x v="3754"/>
    <x v="1485"/>
    <x v="40"/>
    <s v="Lithuania"/>
    <s v="France"/>
    <n v="0"/>
    <n v="1"/>
    <s v="FIFA World Cup qualification"/>
    <s v="Kaunas"/>
    <s v="Lithuania"/>
    <b v="0"/>
    <n v="2009"/>
    <n v="37494380038"/>
    <n v="2700075882518"/>
    <x v="0"/>
    <n v="1"/>
    <x v="2"/>
  </r>
  <r>
    <x v="3755"/>
    <x v="1485"/>
    <x v="40"/>
    <s v="Luxembourg"/>
    <s v="Latvia"/>
    <n v="0"/>
    <n v="4"/>
    <s v="FIFA World Cup qualification"/>
    <s v="Luxembourg"/>
    <s v="Luxembourg"/>
    <b v="0"/>
    <n v="2009"/>
    <n v="54467289897"/>
    <n v="25691530442"/>
    <x v="0"/>
    <n v="-1"/>
    <x v="0"/>
  </r>
  <r>
    <x v="3756"/>
    <x v="1485"/>
    <x v="40"/>
    <s v="Malta"/>
    <s v="Denmark"/>
    <n v="0"/>
    <n v="3"/>
    <s v="FIFA World Cup qualification"/>
    <s v="Attard"/>
    <s v="Malta"/>
    <b v="0"/>
    <n v="2009"/>
    <n v="8734745697"/>
    <n v="322619152194"/>
    <x v="0"/>
    <n v="1"/>
    <x v="2"/>
  </r>
  <r>
    <x v="3757"/>
    <x v="1485"/>
    <x v="40"/>
    <s v="Mexico"/>
    <s v="Costa Rica"/>
    <n v="2"/>
    <n v="0"/>
    <s v="FIFA World Cup qualification"/>
    <s v="Mexico City"/>
    <s v="Mexico"/>
    <b v="0"/>
    <n v="2009"/>
    <n v="943437415024"/>
    <n v="30745714312"/>
    <x v="0"/>
    <n v="1"/>
    <x v="2"/>
  </r>
  <r>
    <x v="3758"/>
    <x v="1485"/>
    <x v="40"/>
    <s v="Moldova"/>
    <s v="Switzerland"/>
    <n v="0"/>
    <n v="2"/>
    <s v="FIFA World Cup qualification"/>
    <s v="Chi»ôinƒÉu"/>
    <s v="Moldova"/>
    <b v="0"/>
    <n v="2009"/>
    <n v="5439434271"/>
    <n v="554212916092"/>
    <x v="0"/>
    <n v="1"/>
    <x v="2"/>
  </r>
  <r>
    <x v="3759"/>
    <x v="1485"/>
    <x v="40"/>
    <s v="Montenegro"/>
    <s v="Italy"/>
    <n v="0"/>
    <n v="2"/>
    <s v="FIFA World Cup qualification"/>
    <s v="Podgorica"/>
    <s v="Montenegro"/>
    <b v="0"/>
    <n v="2009"/>
    <n v="4142640316"/>
    <n v="2209484319012"/>
    <x v="0"/>
    <n v="1"/>
    <x v="2"/>
  </r>
  <r>
    <x v="3760"/>
    <x v="1485"/>
    <x v="40"/>
    <s v="Morocco"/>
    <s v="Gabon"/>
    <n v="1"/>
    <n v="2"/>
    <s v="FIFA World Cup qualification"/>
    <s v="Casablanca"/>
    <s v="Morocco"/>
    <b v="0"/>
    <n v="2009"/>
    <n v="101154952240"/>
    <n v="12113699068"/>
    <x v="0"/>
    <n v="-1"/>
    <x v="0"/>
  </r>
  <r>
    <x v="3761"/>
    <x v="1485"/>
    <x v="40"/>
    <s v="Portugal"/>
    <s v="Sweden"/>
    <n v="0"/>
    <n v="0"/>
    <s v="FIFA World Cup qualification"/>
    <s v="Porto"/>
    <s v="Portugal"/>
    <b v="0"/>
    <n v="2009"/>
    <n v="244667762835"/>
    <n v="434311714442"/>
    <x v="1"/>
    <n v="0"/>
    <x v="1"/>
  </r>
  <r>
    <x v="3762"/>
    <x v="1485"/>
    <x v="40"/>
    <s v="Romania"/>
    <s v="Serbia"/>
    <n v="2"/>
    <n v="3"/>
    <s v="FIFA World Cup qualification"/>
    <s v="Constan≈£a"/>
    <s v="Romania"/>
    <b v="0"/>
    <n v="2009"/>
    <n v="174110532658"/>
    <n v="46955984409"/>
    <x v="0"/>
    <n v="-1"/>
    <x v="0"/>
  </r>
  <r>
    <x v="3763"/>
    <x v="1485"/>
    <x v="40"/>
    <s v="Russia"/>
    <s v="Azerbaijan"/>
    <n v="2"/>
    <n v="0"/>
    <s v="FIFA World Cup qualification"/>
    <s v="Moscow"/>
    <s v="Russia"/>
    <b v="0"/>
    <n v="2009"/>
    <n v="1222645900055"/>
    <n v="44292427184"/>
    <x v="0"/>
    <n v="1"/>
    <x v="2"/>
  </r>
  <r>
    <x v="3764"/>
    <x v="1485"/>
    <x v="40"/>
    <s v="Rwanda"/>
    <s v="Algeria"/>
    <n v="0"/>
    <n v="0"/>
    <s v="FIFA World Cup qualification"/>
    <s v="Kigali"/>
    <s v="Rwanda"/>
    <b v="0"/>
    <n v="2009"/>
    <n v="5674476969"/>
    <n v="150317292079"/>
    <x v="0"/>
    <n v="0"/>
    <x v="1"/>
  </r>
  <r>
    <x v="3765"/>
    <x v="1485"/>
    <x v="40"/>
    <s v="Sudan"/>
    <s v="Mali"/>
    <n v="1"/>
    <n v="1"/>
    <s v="FIFA World Cup qualification"/>
    <s v="Omdurman"/>
    <s v="Sudan"/>
    <b v="0"/>
    <n v="2009"/>
    <n v="51621044076"/>
    <n v="12155217832"/>
    <x v="0"/>
    <n v="0"/>
    <x v="1"/>
  </r>
  <r>
    <x v="3766"/>
    <x v="1485"/>
    <x v="40"/>
    <s v="Togo"/>
    <s v="Cameroon"/>
    <n v="1"/>
    <n v="0"/>
    <s v="FIFA World Cup qualification"/>
    <s v="Accra"/>
    <s v="Ghana"/>
    <b v="1"/>
    <n v="2009"/>
    <n v="4721888275"/>
    <n v="27932970317"/>
    <x v="0"/>
    <n v="-1"/>
    <x v="0"/>
  </r>
  <r>
    <x v="3767"/>
    <x v="1485"/>
    <x v="40"/>
    <s v="Trinidad and Tobago"/>
    <s v="Honduras"/>
    <n v="1"/>
    <n v="1"/>
    <s v="FIFA World Cup qualification"/>
    <s v="Port of Spain"/>
    <s v="Trinidad and Tobago"/>
    <b v="0"/>
    <n v="2009"/>
    <n v="19172165225"/>
    <n v="14587496229"/>
    <x v="1"/>
    <n v="0"/>
    <x v="1"/>
  </r>
  <r>
    <x v="3768"/>
    <x v="1485"/>
    <x v="40"/>
    <s v="Uruguay"/>
    <s v="Paraguay"/>
    <n v="2"/>
    <n v="0"/>
    <s v="FIFA World Cup qualification"/>
    <s v="Montevideo"/>
    <s v="Uruguay"/>
    <b v="0"/>
    <n v="2009"/>
    <n v="32708319077"/>
    <n v="22355151162"/>
    <x v="1"/>
    <n v="1"/>
    <x v="2"/>
  </r>
  <r>
    <x v="3769"/>
    <x v="1485"/>
    <x v="40"/>
    <s v="Uzbekistan"/>
    <s v="Qatar"/>
    <n v="4"/>
    <n v="0"/>
    <s v="FIFA World Cup qualification"/>
    <s v="Tashkent"/>
    <s v="Uzbekistan"/>
    <b v="0"/>
    <n v="2009"/>
    <n v="33689223673"/>
    <n v="97798351648"/>
    <x v="0"/>
    <n v="-1"/>
    <x v="0"/>
  </r>
  <r>
    <x v="3770"/>
    <x v="1486"/>
    <x v="40"/>
    <s v="Mozambique"/>
    <s v="Nigeria"/>
    <n v="0"/>
    <n v="0"/>
    <s v="FIFA World Cup qualification"/>
    <s v="Maputo"/>
    <s v="Mozambique"/>
    <b v="0"/>
    <n v="2009"/>
    <n v="12263894790"/>
    <n v="295008835380"/>
    <x v="0"/>
    <n v="0"/>
    <x v="1"/>
  </r>
  <r>
    <x v="3771"/>
    <x v="1486"/>
    <x v="40"/>
    <s v="Ecuador"/>
    <s v="Brazil"/>
    <n v="1"/>
    <n v="1"/>
    <s v="FIFA World Cup qualification"/>
    <s v="Quito"/>
    <s v="Ecuador"/>
    <b v="0"/>
    <n v="2009"/>
    <n v="60094978000"/>
    <n v="1666996294252"/>
    <x v="0"/>
    <n v="0"/>
    <x v="1"/>
  </r>
  <r>
    <x v="3772"/>
    <x v="1486"/>
    <x v="40"/>
    <s v="Peru"/>
    <s v="Chile"/>
    <n v="1"/>
    <n v="3"/>
    <s v="FIFA World Cup qualification"/>
    <s v="Lima"/>
    <s v="Peru"/>
    <b v="0"/>
    <n v="2009"/>
    <n v="120822986521"/>
    <n v="171777900623"/>
    <x v="1"/>
    <n v="1"/>
    <x v="2"/>
  </r>
  <r>
    <x v="3773"/>
    <x v="1486"/>
    <x v="40"/>
    <s v="Egypt"/>
    <s v="Zambia"/>
    <n v="1"/>
    <n v="1"/>
    <s v="FIFA World Cup qualification"/>
    <s v="Cairo"/>
    <s v="Egypt"/>
    <b v="0"/>
    <n v="2009"/>
    <n v="189147005444"/>
    <n v="15328342303"/>
    <x v="0"/>
    <n v="0"/>
    <x v="1"/>
  </r>
  <r>
    <x v="3774"/>
    <x v="1486"/>
    <x v="40"/>
    <s v="Ghana"/>
    <s v="Benin"/>
    <n v="1"/>
    <n v="0"/>
    <s v="FIFA World Cup qualification"/>
    <s v="Kumasi"/>
    <s v="Ghana"/>
    <b v="0"/>
    <n v="2009"/>
    <n v="26048720005"/>
    <n v="9738626517"/>
    <x v="0"/>
    <n v="1"/>
    <x v="2"/>
  </r>
  <r>
    <x v="3775"/>
    <x v="1487"/>
    <x v="40"/>
    <s v="Venezuela"/>
    <s v="Colombia"/>
    <n v="2"/>
    <n v="0"/>
    <s v="FIFA World Cup qualification"/>
    <s v="Puerto Ordaz"/>
    <s v="Venezuela"/>
    <b v="0"/>
    <n v="2009"/>
    <n v="329787628928"/>
    <n v="232468663109"/>
    <x v="1"/>
    <n v="1"/>
    <x v="2"/>
  </r>
  <r>
    <x v="3776"/>
    <x v="1488"/>
    <x v="40"/>
    <s v="Andorra"/>
    <s v="Croatia"/>
    <n v="0"/>
    <n v="2"/>
    <s v="FIFA World Cup qualification"/>
    <s v="Sant Juli√† de L√≤ria"/>
    <s v="Andorra"/>
    <b v="0"/>
    <n v="2009"/>
    <n v="3688974807"/>
    <n v="62315996674"/>
    <x v="0"/>
    <n v="1"/>
    <x v="2"/>
  </r>
  <r>
    <x v="3777"/>
    <x v="1488"/>
    <x v="40"/>
    <s v="Australia"/>
    <s v="Uzbekistan"/>
    <n v="2"/>
    <n v="0"/>
    <s v="FIFA World Cup qualification"/>
    <s v="Sydney"/>
    <s v="Australia"/>
    <b v="0"/>
    <n v="2009"/>
    <n v="931761689770"/>
    <n v="33689223673"/>
    <x v="0"/>
    <n v="1"/>
    <x v="2"/>
  </r>
  <r>
    <x v="3778"/>
    <x v="1488"/>
    <x v="40"/>
    <s v="Austria"/>
    <s v="Romania"/>
    <n v="2"/>
    <n v="1"/>
    <s v="FIFA World Cup qualification"/>
    <s v="Klagenfurt"/>
    <s v="Austria"/>
    <b v="0"/>
    <n v="2009"/>
    <n v="399290118782"/>
    <n v="174110532658"/>
    <x v="0"/>
    <n v="1"/>
    <x v="2"/>
  </r>
  <r>
    <x v="3779"/>
    <x v="1488"/>
    <x v="40"/>
    <s v="Bahrain"/>
    <s v="Qatar"/>
    <n v="1"/>
    <n v="0"/>
    <s v="FIFA World Cup qualification"/>
    <s v="Riffa"/>
    <s v="Bahrain"/>
    <b v="0"/>
    <n v="2009"/>
    <n v="22938218085"/>
    <n v="97798351648"/>
    <x v="0"/>
    <n v="-1"/>
    <x v="0"/>
  </r>
  <r>
    <x v="3780"/>
    <x v="1488"/>
    <x v="40"/>
    <s v="Bosnia and Herzegovina"/>
    <s v="Belgium"/>
    <n v="2"/>
    <n v="1"/>
    <s v="FIFA World Cup qualification"/>
    <s v="Zenica"/>
    <s v="Bosnia and Herzegovina"/>
    <b v="0"/>
    <n v="2009"/>
    <n v="17613949091"/>
    <n v="485014525992"/>
    <x v="0"/>
    <n v="-1"/>
    <x v="0"/>
  </r>
  <r>
    <x v="3781"/>
    <x v="1488"/>
    <x v="40"/>
    <s v="Bulgaria"/>
    <s v="Cyprus"/>
    <n v="2"/>
    <n v="0"/>
    <s v="FIFA World Cup qualification"/>
    <s v="Sofia"/>
    <s v="Bulgaria"/>
    <b v="0"/>
    <n v="2009"/>
    <n v="52023801230"/>
    <n v="26048179949"/>
    <x v="1"/>
    <n v="1"/>
    <x v="2"/>
  </r>
  <r>
    <x v="3782"/>
    <x v="1488"/>
    <x v="40"/>
    <s v="Costa Rica"/>
    <s v="El Salvador"/>
    <n v="1"/>
    <n v="0"/>
    <s v="FIFA World Cup qualification"/>
    <s v="San Jos√©"/>
    <s v="Costa Rica"/>
    <b v="0"/>
    <n v="2009"/>
    <n v="30745714312"/>
    <n v="17601620000"/>
    <x v="1"/>
    <n v="1"/>
    <x v="2"/>
  </r>
  <r>
    <x v="3783"/>
    <x v="1488"/>
    <x v="40"/>
    <s v="Denmark"/>
    <s v="Albania"/>
    <n v="3"/>
    <n v="0"/>
    <s v="FIFA World Cup qualification"/>
    <s v="Copenhagen"/>
    <s v="Denmark"/>
    <b v="0"/>
    <n v="2009"/>
    <n v="322619152194"/>
    <n v="12335540656"/>
    <x v="0"/>
    <n v="1"/>
    <x v="2"/>
  </r>
  <r>
    <x v="3784"/>
    <x v="1488"/>
    <x v="40"/>
    <s v="England"/>
    <s v="Ukraine"/>
    <n v="2"/>
    <n v="1"/>
    <s v="FIFA World Cup qualification"/>
    <s v="London"/>
    <s v="England"/>
    <b v="0"/>
    <n v="2009"/>
    <n v="2429358155475"/>
    <n v="121552153444"/>
    <x v="0"/>
    <n v="1"/>
    <x v="2"/>
  </r>
  <r>
    <x v="3785"/>
    <x v="1488"/>
    <x v="40"/>
    <s v="Estonia"/>
    <s v="Armenia"/>
    <n v="1"/>
    <n v="0"/>
    <s v="FIFA World Cup qualification"/>
    <s v="Tallinn"/>
    <s v="Estonia"/>
    <b v="0"/>
    <n v="2009"/>
    <n v="19633984440"/>
    <n v="8647937081"/>
    <x v="0"/>
    <n v="1"/>
    <x v="2"/>
  </r>
  <r>
    <x v="3786"/>
    <x v="1488"/>
    <x v="40"/>
    <s v="France"/>
    <s v="Lithuania"/>
    <n v="1"/>
    <n v="0"/>
    <s v="FIFA World Cup qualification"/>
    <s v="Saint-Denis"/>
    <s v="France"/>
    <b v="0"/>
    <n v="2009"/>
    <n v="2700075882518"/>
    <n v="37494380038"/>
    <x v="0"/>
    <n v="1"/>
    <x v="2"/>
  </r>
  <r>
    <x v="3787"/>
    <x v="1488"/>
    <x v="40"/>
    <s v="Georgia"/>
    <s v="Montenegro"/>
    <n v="0"/>
    <n v="0"/>
    <s v="FIFA World Cup qualification"/>
    <s v="Tbilisi"/>
    <s v="Georgia"/>
    <b v="0"/>
    <n v="2009"/>
    <n v="10766920065"/>
    <n v="4142640316"/>
    <x v="0"/>
    <n v="0"/>
    <x v="1"/>
  </r>
  <r>
    <x v="3788"/>
    <x v="1488"/>
    <x v="40"/>
    <s v="Greece"/>
    <s v="Israel"/>
    <n v="2"/>
    <n v="1"/>
    <s v="FIFA World Cup qualification"/>
    <s v="Heraklion"/>
    <s v="Greece"/>
    <b v="0"/>
    <n v="2009"/>
    <n v="326829054686"/>
    <n v="213403181852"/>
    <x v="1"/>
    <n v="1"/>
    <x v="2"/>
  </r>
  <r>
    <x v="3789"/>
    <x v="1488"/>
    <x v="40"/>
    <s v="Honduras"/>
    <s v="Mexico"/>
    <n v="3"/>
    <n v="1"/>
    <s v="FIFA World Cup qualification"/>
    <s v="San Pedro Sula"/>
    <s v="Honduras"/>
    <b v="0"/>
    <n v="2009"/>
    <n v="14587496229"/>
    <n v="943437415024"/>
    <x v="0"/>
    <n v="-1"/>
    <x v="0"/>
  </r>
  <r>
    <x v="3790"/>
    <x v="1488"/>
    <x v="40"/>
    <s v="Hungary"/>
    <s v="Malta"/>
    <n v="3"/>
    <n v="0"/>
    <s v="FIFA World Cup qualification"/>
    <s v="Budapest"/>
    <s v="Hungary"/>
    <b v="0"/>
    <n v="2009"/>
    <n v="130807441076"/>
    <n v="8734745697"/>
    <x v="0"/>
    <n v="1"/>
    <x v="2"/>
  </r>
  <r>
    <x v="3791"/>
    <x v="1488"/>
    <x v="40"/>
    <s v="Kazakhstan"/>
    <s v="Belarus"/>
    <n v="1"/>
    <n v="5"/>
    <s v="FIFA World Cup qualification"/>
    <s v="Almaty"/>
    <s v="Kazakhstan"/>
    <b v="0"/>
    <n v="2009"/>
    <n v="115308686941"/>
    <n v="50873167326"/>
    <x v="0"/>
    <n v="-1"/>
    <x v="0"/>
  </r>
  <r>
    <x v="3792"/>
    <x v="1488"/>
    <x v="40"/>
    <s v="Latvia"/>
    <s v="Luxembourg"/>
    <n v="2"/>
    <n v="0"/>
    <s v="FIFA World Cup qualification"/>
    <s v="Riga"/>
    <s v="Latvia"/>
    <b v="0"/>
    <n v="2009"/>
    <n v="25691530442"/>
    <n v="54467289897"/>
    <x v="0"/>
    <n v="-1"/>
    <x v="0"/>
  </r>
  <r>
    <x v="3793"/>
    <x v="1488"/>
    <x v="40"/>
    <s v="Liechtenstein"/>
    <s v="Russia"/>
    <n v="0"/>
    <n v="1"/>
    <s v="FIFA World Cup qualification"/>
    <s v="Vaduz"/>
    <s v="Liechtenstein"/>
    <b v="0"/>
    <n v="2009"/>
    <n v="4504375348"/>
    <n v="1222645900055"/>
    <x v="0"/>
    <n v="1"/>
    <x v="2"/>
  </r>
  <r>
    <x v="3794"/>
    <x v="1488"/>
    <x v="40"/>
    <s v="Netherlands"/>
    <s v="North Macedonia"/>
    <n v="4"/>
    <n v="0"/>
    <s v="FIFA World Cup qualification"/>
    <s v="Amsterdam"/>
    <s v="Netherlands"/>
    <b v="0"/>
    <n v="2009"/>
    <n v="878954223140"/>
    <n v="9401736825"/>
    <x v="0"/>
    <n v="1"/>
    <x v="2"/>
  </r>
  <r>
    <x v="3795"/>
    <x v="1488"/>
    <x v="40"/>
    <s v="Poland"/>
    <s v="San Marino"/>
    <n v="10"/>
    <n v="0"/>
    <s v="FIFA World Cup qualification"/>
    <s v="Kielce"/>
    <s v="Poland"/>
    <b v="0"/>
    <n v="2009"/>
    <n v="440891472247"/>
    <n v="2064277126"/>
    <x v="0"/>
    <n v="1"/>
    <x v="2"/>
  </r>
  <r>
    <x v="3796"/>
    <x v="1488"/>
    <x v="40"/>
    <s v="Saudi Arabia"/>
    <s v="United Arab Emirates"/>
    <n v="3"/>
    <n v="2"/>
    <s v="FIFA World Cup qualification"/>
    <s v="Riyadh"/>
    <s v="Saudi Arabia"/>
    <b v="0"/>
    <n v="2009"/>
    <n v="429097866666"/>
    <n v="253547358747"/>
    <x v="1"/>
    <n v="1"/>
    <x v="2"/>
  </r>
  <r>
    <x v="3797"/>
    <x v="1488"/>
    <x v="40"/>
    <s v="Switzerland"/>
    <s v="Moldova"/>
    <n v="2"/>
    <n v="0"/>
    <s v="FIFA World Cup qualification"/>
    <s v="Geneva"/>
    <s v="Switzerland"/>
    <b v="0"/>
    <n v="2009"/>
    <n v="554212916092"/>
    <n v="5439434271"/>
    <x v="0"/>
    <n v="1"/>
    <x v="2"/>
  </r>
  <r>
    <x v="3798"/>
    <x v="1488"/>
    <x v="40"/>
    <s v="United States"/>
    <s v="Trinidad and Tobago"/>
    <n v="3"/>
    <n v="0"/>
    <s v="FIFA World Cup qualification"/>
    <s v="Nashville"/>
    <s v="United States"/>
    <b v="0"/>
    <n v="2009"/>
    <n v="14478064934000"/>
    <n v="19172165225"/>
    <x v="0"/>
    <n v="1"/>
    <x v="2"/>
  </r>
  <r>
    <x v="3799"/>
    <x v="1488"/>
    <x v="40"/>
    <s v="Bolivia"/>
    <s v="Argentina"/>
    <n v="6"/>
    <n v="1"/>
    <s v="FIFA World Cup qualification"/>
    <s v="La Paz"/>
    <s v="Bolivia"/>
    <b v="0"/>
    <n v="2009"/>
    <n v="17339992193"/>
    <n v="332976484577"/>
    <x v="0"/>
    <n v="-1"/>
    <x v="0"/>
  </r>
  <r>
    <x v="3800"/>
    <x v="1488"/>
    <x v="40"/>
    <s v="Ecuador"/>
    <s v="Paraguay"/>
    <n v="1"/>
    <n v="1"/>
    <s v="FIFA World Cup qualification"/>
    <s v="Quito"/>
    <s v="Ecuador"/>
    <b v="0"/>
    <n v="2009"/>
    <n v="60094978000"/>
    <n v="22355151162"/>
    <x v="0"/>
    <n v="0"/>
    <x v="1"/>
  </r>
  <r>
    <x v="3801"/>
    <x v="1488"/>
    <x v="40"/>
    <s v="Chile"/>
    <s v="Uruguay"/>
    <n v="0"/>
    <n v="0"/>
    <s v="FIFA World Cup qualification"/>
    <s v="Santiago"/>
    <s v="Chile"/>
    <b v="0"/>
    <n v="2009"/>
    <n v="171777900623"/>
    <n v="32708319077"/>
    <x v="0"/>
    <n v="0"/>
    <x v="1"/>
  </r>
  <r>
    <x v="3802"/>
    <x v="1488"/>
    <x v="40"/>
    <s v="Brazil"/>
    <s v="Peru"/>
    <n v="3"/>
    <n v="0"/>
    <s v="FIFA World Cup qualification"/>
    <s v="Porto Alegre"/>
    <s v="Brazil"/>
    <b v="0"/>
    <n v="2009"/>
    <n v="1666996294252"/>
    <n v="120822986521"/>
    <x v="0"/>
    <n v="1"/>
    <x v="2"/>
  </r>
  <r>
    <x v="3803"/>
    <x v="1489"/>
    <x v="40"/>
    <s v="Costa Rica"/>
    <s v="United States"/>
    <n v="3"/>
    <n v="1"/>
    <s v="FIFA World Cup qualification"/>
    <s v="San Jos√©"/>
    <s v="Costa Rica"/>
    <b v="0"/>
    <n v="2009"/>
    <n v="30745714312"/>
    <n v="14478064934000"/>
    <x v="0"/>
    <n v="-1"/>
    <x v="0"/>
  </r>
  <r>
    <x v="3804"/>
    <x v="1490"/>
    <x v="40"/>
    <s v="Albania"/>
    <s v="Portugal"/>
    <n v="1"/>
    <n v="2"/>
    <s v="FIFA World Cup qualification"/>
    <s v="Tirana"/>
    <s v="Albania"/>
    <b v="0"/>
    <n v="2009"/>
    <n v="12335540656"/>
    <n v="244667762835"/>
    <x v="0"/>
    <n v="1"/>
    <x v="2"/>
  </r>
  <r>
    <x v="3805"/>
    <x v="1490"/>
    <x v="40"/>
    <s v="Argentina"/>
    <s v="Colombia"/>
    <n v="1"/>
    <n v="0"/>
    <s v="FIFA World Cup qualification"/>
    <s v="Buenos Aires"/>
    <s v="Argentina"/>
    <b v="0"/>
    <n v="2009"/>
    <n v="332976484577"/>
    <n v="232468663109"/>
    <x v="1"/>
    <n v="1"/>
    <x v="2"/>
  </r>
  <r>
    <x v="3806"/>
    <x v="1490"/>
    <x v="40"/>
    <s v="Belarus"/>
    <s v="Andorra"/>
    <n v="5"/>
    <n v="1"/>
    <s v="FIFA World Cup qualification"/>
    <s v="Hrodna"/>
    <s v="Belarus"/>
    <b v="0"/>
    <n v="2009"/>
    <n v="50873167326"/>
    <n v="3688974807"/>
    <x v="0"/>
    <n v="1"/>
    <x v="2"/>
  </r>
  <r>
    <x v="3807"/>
    <x v="1490"/>
    <x v="40"/>
    <s v="Bolivia"/>
    <s v="Venezuela"/>
    <n v="0"/>
    <n v="1"/>
    <s v="FIFA World Cup qualification"/>
    <s v="La Paz"/>
    <s v="Bolivia"/>
    <b v="0"/>
    <n v="2009"/>
    <n v="17339992193"/>
    <n v="329787628928"/>
    <x v="0"/>
    <n v="1"/>
    <x v="2"/>
  </r>
  <r>
    <x v="3808"/>
    <x v="1490"/>
    <x v="40"/>
    <s v="Croatia"/>
    <s v="Ukraine"/>
    <n v="2"/>
    <n v="2"/>
    <s v="FIFA World Cup qualification"/>
    <s v="Zagreb"/>
    <s v="Croatia"/>
    <b v="0"/>
    <n v="2009"/>
    <n v="62315996674"/>
    <n v="121552153444"/>
    <x v="1"/>
    <n v="0"/>
    <x v="1"/>
  </r>
  <r>
    <x v="3809"/>
    <x v="1490"/>
    <x v="40"/>
    <s v="Cyprus"/>
    <s v="Montenegro"/>
    <n v="2"/>
    <n v="2"/>
    <s v="FIFA World Cup qualification"/>
    <s v="Larnaca"/>
    <s v="Cyprus"/>
    <b v="0"/>
    <n v="2009"/>
    <n v="26048179949"/>
    <n v="4142640316"/>
    <x v="0"/>
    <n v="0"/>
    <x v="1"/>
  </r>
  <r>
    <x v="3810"/>
    <x v="1490"/>
    <x v="40"/>
    <s v="El Salvador"/>
    <s v="Mexico"/>
    <n v="2"/>
    <n v="1"/>
    <s v="FIFA World Cup qualification"/>
    <s v="San Salvador"/>
    <s v="El Salvador"/>
    <b v="0"/>
    <n v="2009"/>
    <n v="17601620000"/>
    <n v="943437415024"/>
    <x v="0"/>
    <n v="-1"/>
    <x v="0"/>
  </r>
  <r>
    <x v="3811"/>
    <x v="1490"/>
    <x v="40"/>
    <s v="Finland"/>
    <s v="Liechtenstein"/>
    <n v="2"/>
    <n v="1"/>
    <s v="FIFA World Cup qualification"/>
    <s v="Helsinki"/>
    <s v="Finland"/>
    <b v="0"/>
    <n v="2009"/>
    <n v="253480783439"/>
    <n v="4504375348"/>
    <x v="0"/>
    <n v="1"/>
    <x v="2"/>
  </r>
  <r>
    <x v="3812"/>
    <x v="1490"/>
    <x v="40"/>
    <s v="Gabon"/>
    <s v="Togo"/>
    <n v="3"/>
    <n v="0"/>
    <s v="FIFA World Cup qualification"/>
    <s v="Libreville"/>
    <s v="Gabon"/>
    <b v="0"/>
    <n v="2009"/>
    <n v="12113699068"/>
    <n v="4721888275"/>
    <x v="0"/>
    <n v="1"/>
    <x v="2"/>
  </r>
  <r>
    <x v="3813"/>
    <x v="1490"/>
    <x v="40"/>
    <s v="Iceland"/>
    <s v="Netherlands"/>
    <n v="1"/>
    <n v="2"/>
    <s v="FIFA World Cup qualification"/>
    <s v="Reykjav√≠k"/>
    <s v="Iceland"/>
    <b v="0"/>
    <n v="2009"/>
    <n v="13212543837"/>
    <n v="878954223140"/>
    <x v="0"/>
    <n v="1"/>
    <x v="2"/>
  </r>
  <r>
    <x v="3814"/>
    <x v="1490"/>
    <x v="40"/>
    <s v="Kazakhstan"/>
    <s v="England"/>
    <n v="0"/>
    <n v="4"/>
    <s v="FIFA World Cup qualification"/>
    <s v="Almaty"/>
    <s v="Kazakhstan"/>
    <b v="0"/>
    <n v="2009"/>
    <n v="115308686941"/>
    <n v="2429358155475"/>
    <x v="0"/>
    <n v="1"/>
    <x v="2"/>
  </r>
  <r>
    <x v="3815"/>
    <x v="1490"/>
    <x v="40"/>
    <s v="Lithuania"/>
    <s v="Romania"/>
    <n v="0"/>
    <n v="1"/>
    <s v="FIFA World Cup qualification"/>
    <s v="Marijampolƒó"/>
    <s v="Lithuania"/>
    <b v="0"/>
    <n v="2009"/>
    <n v="37494380038"/>
    <n v="174110532658"/>
    <x v="0"/>
    <n v="1"/>
    <x v="2"/>
  </r>
  <r>
    <x v="3816"/>
    <x v="1490"/>
    <x v="40"/>
    <s v="North Macedonia"/>
    <s v="Norway"/>
    <n v="0"/>
    <n v="0"/>
    <s v="FIFA World Cup qualification"/>
    <s v="Skopje"/>
    <s v="North Macedonia"/>
    <b v="0"/>
    <n v="2009"/>
    <n v="9401736825"/>
    <n v="387976400617"/>
    <x v="0"/>
    <n v="0"/>
    <x v="1"/>
  </r>
  <r>
    <x v="3817"/>
    <x v="1490"/>
    <x v="40"/>
    <s v="Malawi"/>
    <s v="Burkina Faso"/>
    <n v="0"/>
    <n v="1"/>
    <s v="FIFA World Cup qualification"/>
    <s v="Blantyre"/>
    <s v="Malawi"/>
    <b v="0"/>
    <n v="2009"/>
    <n v="9009887946"/>
    <n v="9450696873"/>
    <x v="1"/>
    <n v="1"/>
    <x v="2"/>
  </r>
  <r>
    <x v="3818"/>
    <x v="1490"/>
    <x v="40"/>
    <s v="Paraguay"/>
    <s v="Chile"/>
    <n v="0"/>
    <n v="2"/>
    <s v="FIFA World Cup qualification"/>
    <s v="Asunci√≥n"/>
    <s v="Paraguay"/>
    <b v="0"/>
    <n v="2009"/>
    <n v="22355151162"/>
    <n v="171777900623"/>
    <x v="0"/>
    <n v="1"/>
    <x v="2"/>
  </r>
  <r>
    <x v="3819"/>
    <x v="1490"/>
    <x v="40"/>
    <s v="Qatar"/>
    <s v="Australia"/>
    <n v="0"/>
    <n v="0"/>
    <s v="FIFA World Cup qualification"/>
    <s v="Doha"/>
    <s v="Qatar"/>
    <b v="0"/>
    <n v="2009"/>
    <n v="97798351648"/>
    <n v="931761689770"/>
    <x v="0"/>
    <n v="0"/>
    <x v="1"/>
  </r>
  <r>
    <x v="3820"/>
    <x v="1490"/>
    <x v="40"/>
    <s v="Serbia"/>
    <s v="Austria"/>
    <n v="1"/>
    <n v="0"/>
    <s v="FIFA World Cup qualification"/>
    <s v="Belgrade"/>
    <s v="Serbia"/>
    <b v="0"/>
    <n v="2009"/>
    <n v="46955984409"/>
    <n v="399290118782"/>
    <x v="0"/>
    <n v="-1"/>
    <x v="0"/>
  </r>
  <r>
    <x v="3821"/>
    <x v="1490"/>
    <x v="40"/>
    <s v="Sweden"/>
    <s v="Denmark"/>
    <n v="0"/>
    <n v="1"/>
    <s v="FIFA World Cup qualification"/>
    <s v="Solna"/>
    <s v="Sweden"/>
    <b v="0"/>
    <n v="2009"/>
    <n v="434311714442"/>
    <n v="322619152194"/>
    <x v="1"/>
    <n v="-1"/>
    <x v="0"/>
  </r>
  <r>
    <x v="3822"/>
    <x v="1490"/>
    <x v="40"/>
    <s v="Trinidad and Tobago"/>
    <s v="Costa Rica"/>
    <n v="2"/>
    <n v="3"/>
    <s v="FIFA World Cup qualification"/>
    <s v="Scarborough"/>
    <s v="Trinidad and Tobago"/>
    <b v="0"/>
    <n v="2009"/>
    <n v="19172165225"/>
    <n v="30745714312"/>
    <x v="1"/>
    <n v="1"/>
    <x v="2"/>
  </r>
  <r>
    <x v="3823"/>
    <x v="1490"/>
    <x v="40"/>
    <s v="Tunisia"/>
    <s v="Mozambique"/>
    <n v="2"/>
    <n v="0"/>
    <s v="FIFA World Cup qualification"/>
    <s v="Rad√®s"/>
    <s v="Tunisia"/>
    <b v="0"/>
    <n v="2009"/>
    <n v="43455740497"/>
    <n v="12263894790"/>
    <x v="0"/>
    <n v="1"/>
    <x v="2"/>
  </r>
  <r>
    <x v="3824"/>
    <x v="1490"/>
    <x v="40"/>
    <s v="United Arab Emirates"/>
    <s v="South Korea"/>
    <n v="0"/>
    <n v="2"/>
    <s v="FIFA World Cup qualification"/>
    <s v="Dubai"/>
    <s v="United Arab Emirates"/>
    <b v="0"/>
    <n v="2009"/>
    <n v="253547358747"/>
    <n v="983065242417"/>
    <x v="0"/>
    <n v="1"/>
    <x v="2"/>
  </r>
  <r>
    <x v="3825"/>
    <x v="1490"/>
    <x v="40"/>
    <s v="Uruguay"/>
    <s v="Brazil"/>
    <n v="0"/>
    <n v="4"/>
    <s v="FIFA World Cup qualification"/>
    <s v="Montevideo"/>
    <s v="Uruguay"/>
    <b v="0"/>
    <n v="2009"/>
    <n v="32708319077"/>
    <n v="1666996294252"/>
    <x v="0"/>
    <n v="1"/>
    <x v="2"/>
  </r>
  <r>
    <x v="3826"/>
    <x v="1490"/>
    <x v="40"/>
    <s v="United States"/>
    <s v="Honduras"/>
    <n v="2"/>
    <n v="1"/>
    <s v="FIFA World Cup qualification"/>
    <s v="Chicago"/>
    <s v="United States"/>
    <b v="0"/>
    <n v="2009"/>
    <n v="14478064934000"/>
    <n v="14587496229"/>
    <x v="0"/>
    <n v="1"/>
    <x v="2"/>
  </r>
  <r>
    <x v="3827"/>
    <x v="1490"/>
    <x v="40"/>
    <s v="Uzbekistan"/>
    <s v="Japan"/>
    <n v="0"/>
    <n v="1"/>
    <s v="FIFA World Cup qualification"/>
    <s v="Tashkent"/>
    <s v="Uzbekistan"/>
    <b v="0"/>
    <n v="2009"/>
    <n v="33689223673"/>
    <n v="5289493117993"/>
    <x v="0"/>
    <n v="1"/>
    <x v="2"/>
  </r>
  <r>
    <x v="3828"/>
    <x v="1490"/>
    <x v="40"/>
    <s v="Zambia"/>
    <s v="Rwanda"/>
    <n v="1"/>
    <n v="0"/>
    <s v="FIFA World Cup qualification"/>
    <s v="Chililabombwe"/>
    <s v="Zambia"/>
    <b v="0"/>
    <n v="2009"/>
    <n v="15328342303"/>
    <n v="5674476969"/>
    <x v="0"/>
    <n v="1"/>
    <x v="2"/>
  </r>
  <r>
    <x v="3829"/>
    <x v="1491"/>
    <x v="40"/>
    <s v="Cameroon"/>
    <s v="Morocco"/>
    <n v="0"/>
    <n v="0"/>
    <s v="FIFA World Cup qualification"/>
    <s v="Yaound√©"/>
    <s v="Cameroon"/>
    <b v="0"/>
    <n v="2009"/>
    <n v="27932970317"/>
    <n v="101154952240"/>
    <x v="0"/>
    <n v="0"/>
    <x v="1"/>
  </r>
  <r>
    <x v="3830"/>
    <x v="1491"/>
    <x v="40"/>
    <s v="Peru"/>
    <s v="Ecuador"/>
    <n v="1"/>
    <n v="2"/>
    <s v="FIFA World Cup qualification"/>
    <s v="Lima"/>
    <s v="Peru"/>
    <b v="0"/>
    <n v="2009"/>
    <n v="120822986521"/>
    <n v="60094978000"/>
    <x v="0"/>
    <n v="-1"/>
    <x v="0"/>
  </r>
  <r>
    <x v="3831"/>
    <x v="1491"/>
    <x v="40"/>
    <s v="Algeria"/>
    <s v="Egypt"/>
    <n v="3"/>
    <n v="1"/>
    <s v="FIFA World Cup qualification"/>
    <s v="Blida"/>
    <s v="Algeria"/>
    <b v="0"/>
    <n v="2009"/>
    <n v="150317292079"/>
    <n v="189147005444"/>
    <x v="1"/>
    <n v="-1"/>
    <x v="0"/>
  </r>
  <r>
    <x v="3832"/>
    <x v="1491"/>
    <x v="40"/>
    <s v="Benin"/>
    <s v="Sudan"/>
    <n v="1"/>
    <n v="0"/>
    <s v="FIFA World Cup qualification"/>
    <s v="Cotonou"/>
    <s v="Benin"/>
    <b v="0"/>
    <n v="2009"/>
    <n v="9738626517"/>
    <n v="51621044076"/>
    <x v="0"/>
    <n v="-1"/>
    <x v="0"/>
  </r>
  <r>
    <x v="3833"/>
    <x v="1491"/>
    <x v="40"/>
    <s v="Mali"/>
    <s v="Ghana"/>
    <n v="0"/>
    <n v="2"/>
    <s v="FIFA World Cup qualification"/>
    <s v="Bamako"/>
    <s v="Mali"/>
    <b v="0"/>
    <n v="2009"/>
    <n v="12155217832"/>
    <n v="26048720005"/>
    <x v="0"/>
    <n v="1"/>
    <x v="2"/>
  </r>
  <r>
    <x v="3834"/>
    <x v="1491"/>
    <x v="40"/>
    <s v="Nigeria"/>
    <s v="Kenya"/>
    <n v="3"/>
    <n v="0"/>
    <s v="FIFA World Cup qualification"/>
    <s v="Abuja"/>
    <s v="Nigeria"/>
    <b v="0"/>
    <n v="2009"/>
    <n v="295008835380"/>
    <n v="42347217912"/>
    <x v="0"/>
    <n v="1"/>
    <x v="2"/>
  </r>
  <r>
    <x v="3835"/>
    <x v="1492"/>
    <x v="40"/>
    <s v="Australia"/>
    <s v="Bahrain"/>
    <n v="2"/>
    <n v="0"/>
    <s v="FIFA World Cup qualification"/>
    <s v="Sydney"/>
    <s v="Australia"/>
    <b v="0"/>
    <n v="2009"/>
    <n v="931761689770"/>
    <n v="22938218085"/>
    <x v="0"/>
    <n v="1"/>
    <x v="2"/>
  </r>
  <r>
    <x v="3836"/>
    <x v="1492"/>
    <x v="40"/>
    <s v="Brazil"/>
    <s v="Paraguay"/>
    <n v="2"/>
    <n v="1"/>
    <s v="FIFA World Cup qualification"/>
    <s v="Recife"/>
    <s v="Brazil"/>
    <b v="0"/>
    <n v="2009"/>
    <n v="1666996294252"/>
    <n v="22355151162"/>
    <x v="0"/>
    <n v="1"/>
    <x v="2"/>
  </r>
  <r>
    <x v="3837"/>
    <x v="1492"/>
    <x v="40"/>
    <s v="Chile"/>
    <s v="Bolivia"/>
    <n v="4"/>
    <n v="0"/>
    <s v="FIFA World Cup qualification"/>
    <s v="Santiago"/>
    <s v="Chile"/>
    <b v="0"/>
    <n v="2009"/>
    <n v="171777900623"/>
    <n v="17339992193"/>
    <x v="0"/>
    <n v="1"/>
    <x v="2"/>
  </r>
  <r>
    <x v="3838"/>
    <x v="1492"/>
    <x v="40"/>
    <s v="Colombia"/>
    <s v="Peru"/>
    <n v="1"/>
    <n v="0"/>
    <s v="FIFA World Cup qualification"/>
    <s v="Medell√≠n"/>
    <s v="Colombia"/>
    <b v="0"/>
    <n v="2009"/>
    <n v="232468663109"/>
    <n v="120822986521"/>
    <x v="1"/>
    <n v="1"/>
    <x v="2"/>
  </r>
  <r>
    <x v="3839"/>
    <x v="1492"/>
    <x v="40"/>
    <s v="Ecuador"/>
    <s v="Argentina"/>
    <n v="2"/>
    <n v="0"/>
    <s v="FIFA World Cup qualification"/>
    <s v="Quito"/>
    <s v="Ecuador"/>
    <b v="0"/>
    <n v="2009"/>
    <n v="60094978000"/>
    <n v="332976484577"/>
    <x v="0"/>
    <n v="-1"/>
    <x v="0"/>
  </r>
  <r>
    <x v="3840"/>
    <x v="1492"/>
    <x v="40"/>
    <s v="England"/>
    <s v="Andorra"/>
    <n v="6"/>
    <n v="0"/>
    <s v="FIFA World Cup qualification"/>
    <s v="London"/>
    <s v="England"/>
    <b v="0"/>
    <n v="2009"/>
    <n v="2429358155475"/>
    <n v="3688974807"/>
    <x v="0"/>
    <n v="1"/>
    <x v="2"/>
  </r>
  <r>
    <x v="3841"/>
    <x v="1492"/>
    <x v="40"/>
    <s v="Faroe Islands"/>
    <s v="Serbia"/>
    <n v="0"/>
    <n v="2"/>
    <s v="FIFA World Cup qualification"/>
    <s v="T√≥rshavn"/>
    <s v="Faroe Islands"/>
    <b v="0"/>
    <n v="2009"/>
    <n v="2296065170"/>
    <n v="46955984409"/>
    <x v="0"/>
    <n v="1"/>
    <x v="2"/>
  </r>
  <r>
    <x v="3842"/>
    <x v="1492"/>
    <x v="40"/>
    <s v="Finland"/>
    <s v="Russia"/>
    <n v="0"/>
    <n v="3"/>
    <s v="FIFA World Cup qualification"/>
    <s v="Helsinki"/>
    <s v="Finland"/>
    <b v="0"/>
    <n v="2009"/>
    <n v="253480783439"/>
    <n v="1222645900055"/>
    <x v="0"/>
    <n v="1"/>
    <x v="2"/>
  </r>
  <r>
    <x v="3843"/>
    <x v="1492"/>
    <x v="40"/>
    <s v="Honduras"/>
    <s v="El Salvador"/>
    <n v="1"/>
    <n v="0"/>
    <s v="FIFA World Cup qualification"/>
    <s v="San Pedro Sula"/>
    <s v="Honduras"/>
    <b v="0"/>
    <n v="2009"/>
    <n v="14587496229"/>
    <n v="17601620000"/>
    <x v="1"/>
    <n v="-1"/>
    <x v="0"/>
  </r>
  <r>
    <x v="3844"/>
    <x v="1492"/>
    <x v="40"/>
    <s v="Iran"/>
    <s v="United Arab Emirates"/>
    <n v="1"/>
    <n v="0"/>
    <s v="FIFA World Cup qualification"/>
    <s v="Tehran"/>
    <s v="Iran"/>
    <b v="0"/>
    <n v="2009"/>
    <n v="414059094949"/>
    <n v="253547358747"/>
    <x v="1"/>
    <n v="1"/>
    <x v="2"/>
  </r>
  <r>
    <x v="3845"/>
    <x v="1492"/>
    <x v="40"/>
    <s v="Japan"/>
    <s v="Qatar"/>
    <n v="1"/>
    <n v="1"/>
    <s v="FIFA World Cup qualification"/>
    <s v="Yokohama"/>
    <s v="Japan"/>
    <b v="0"/>
    <n v="2009"/>
    <n v="5289493117993"/>
    <n v="97798351648"/>
    <x v="0"/>
    <n v="0"/>
    <x v="1"/>
  </r>
  <r>
    <x v="3846"/>
    <x v="1492"/>
    <x v="40"/>
    <s v="South Korea"/>
    <s v="Saudi Arabia"/>
    <n v="0"/>
    <n v="0"/>
    <s v="FIFA World Cup qualification"/>
    <s v="Seoul"/>
    <s v="South Korea"/>
    <b v="0"/>
    <n v="2009"/>
    <n v="983065242417"/>
    <n v="429097866666"/>
    <x v="0"/>
    <n v="0"/>
    <x v="1"/>
  </r>
  <r>
    <x v="3847"/>
    <x v="1492"/>
    <x v="40"/>
    <s v="North Macedonia"/>
    <s v="Iceland"/>
    <n v="2"/>
    <n v="0"/>
    <s v="FIFA World Cup qualification"/>
    <s v="Skopje"/>
    <s v="North Macedonia"/>
    <b v="0"/>
    <n v="2009"/>
    <n v="9401736825"/>
    <n v="13212543837"/>
    <x v="1"/>
    <n v="-1"/>
    <x v="0"/>
  </r>
  <r>
    <x v="3848"/>
    <x v="1492"/>
    <x v="40"/>
    <s v="Mexico"/>
    <s v="Trinidad and Tobago"/>
    <n v="2"/>
    <n v="1"/>
    <s v="FIFA World Cup qualification"/>
    <s v="Mexico City"/>
    <s v="Mexico"/>
    <b v="0"/>
    <n v="2009"/>
    <n v="943437415024"/>
    <n v="19172165225"/>
    <x v="0"/>
    <n v="1"/>
    <x v="2"/>
  </r>
  <r>
    <x v="3849"/>
    <x v="1492"/>
    <x v="40"/>
    <s v="Netherlands"/>
    <s v="Norway"/>
    <n v="2"/>
    <n v="0"/>
    <s v="FIFA World Cup qualification"/>
    <s v="Rotterdam"/>
    <s v="Netherlands"/>
    <b v="0"/>
    <n v="2009"/>
    <n v="878954223140"/>
    <n v="387976400617"/>
    <x v="0"/>
    <n v="1"/>
    <x v="2"/>
  </r>
  <r>
    <x v="3850"/>
    <x v="1492"/>
    <x v="40"/>
    <s v="Sweden"/>
    <s v="Malta"/>
    <n v="4"/>
    <n v="0"/>
    <s v="FIFA World Cup qualification"/>
    <s v="Gothenburg"/>
    <s v="Sweden"/>
    <b v="0"/>
    <n v="2009"/>
    <n v="434311714442"/>
    <n v="8734745697"/>
    <x v="0"/>
    <n v="1"/>
    <x v="2"/>
  </r>
  <r>
    <x v="3851"/>
    <x v="1492"/>
    <x v="40"/>
    <s v="Ukraine"/>
    <s v="Kazakhstan"/>
    <n v="2"/>
    <n v="1"/>
    <s v="FIFA World Cup qualification"/>
    <s v="Kyiv"/>
    <s v="Ukraine"/>
    <b v="0"/>
    <n v="2009"/>
    <n v="121552153444"/>
    <n v="115308686941"/>
    <x v="1"/>
    <n v="1"/>
    <x v="2"/>
  </r>
  <r>
    <x v="3852"/>
    <x v="1492"/>
    <x v="40"/>
    <s v="Venezuela"/>
    <s v="Uruguay"/>
    <n v="2"/>
    <n v="2"/>
    <s v="FIFA World Cup qualification"/>
    <s v="Puerto Ordaz"/>
    <s v="Venezuela"/>
    <b v="0"/>
    <n v="2009"/>
    <n v="329787628928"/>
    <n v="32708319077"/>
    <x v="0"/>
    <n v="0"/>
    <x v="1"/>
  </r>
  <r>
    <x v="3853"/>
    <x v="1493"/>
    <x v="40"/>
    <s v="Australia"/>
    <s v="Japan"/>
    <n v="2"/>
    <n v="1"/>
    <s v="FIFA World Cup qualification"/>
    <s v="Melbourne"/>
    <s v="Australia"/>
    <b v="0"/>
    <n v="2009"/>
    <n v="931761689770"/>
    <n v="5289493117993"/>
    <x v="0"/>
    <n v="-1"/>
    <x v="0"/>
  </r>
  <r>
    <x v="3854"/>
    <x v="1493"/>
    <x v="40"/>
    <s v="Bahrain"/>
    <s v="Uzbekistan"/>
    <n v="1"/>
    <n v="0"/>
    <s v="FIFA World Cup qualification"/>
    <s v="Riffa"/>
    <s v="Bahrain"/>
    <b v="0"/>
    <n v="2009"/>
    <n v="22938218085"/>
    <n v="33689223673"/>
    <x v="1"/>
    <n v="-1"/>
    <x v="0"/>
  </r>
  <r>
    <x v="3855"/>
    <x v="1493"/>
    <x v="40"/>
    <s v="South Korea"/>
    <s v="Iran"/>
    <n v="1"/>
    <n v="1"/>
    <s v="FIFA World Cup qualification"/>
    <s v="Seoul"/>
    <s v="South Korea"/>
    <b v="0"/>
    <n v="2009"/>
    <n v="983065242417"/>
    <n v="414059094949"/>
    <x v="0"/>
    <n v="0"/>
    <x v="1"/>
  </r>
  <r>
    <x v="3856"/>
    <x v="1494"/>
    <x v="40"/>
    <s v="Kenya"/>
    <s v="Mozambique"/>
    <n v="2"/>
    <n v="1"/>
    <s v="FIFA World Cup qualification"/>
    <s v="Nairobi"/>
    <s v="Kenya"/>
    <b v="0"/>
    <n v="2009"/>
    <n v="42347217912"/>
    <n v="12263894790"/>
    <x v="0"/>
    <n v="1"/>
    <x v="2"/>
  </r>
  <r>
    <x v="3857"/>
    <x v="1494"/>
    <x v="40"/>
    <s v="Morocco"/>
    <s v="Togo"/>
    <n v="0"/>
    <n v="0"/>
    <s v="FIFA World Cup qualification"/>
    <s v="Rabat"/>
    <s v="Morocco"/>
    <b v="0"/>
    <n v="2009"/>
    <n v="101154952240"/>
    <n v="4721888275"/>
    <x v="0"/>
    <n v="0"/>
    <x v="1"/>
  </r>
  <r>
    <x v="3858"/>
    <x v="1494"/>
    <x v="40"/>
    <s v="Sudan"/>
    <s v="Ghana"/>
    <n v="0"/>
    <n v="2"/>
    <s v="FIFA World Cup qualification"/>
    <s v="Omdurman"/>
    <s v="Sudan"/>
    <b v="0"/>
    <n v="2009"/>
    <n v="51621044076"/>
    <n v="26048720005"/>
    <x v="1"/>
    <n v="-1"/>
    <x v="0"/>
  </r>
  <r>
    <x v="3859"/>
    <x v="1494"/>
    <x v="40"/>
    <s v="Tunisia"/>
    <s v="Nigeria"/>
    <n v="0"/>
    <n v="0"/>
    <s v="FIFA World Cup qualification"/>
    <s v="Rad√®s"/>
    <s v="Tunisia"/>
    <b v="0"/>
    <n v="2009"/>
    <n v="43455740497"/>
    <n v="295008835380"/>
    <x v="0"/>
    <n v="0"/>
    <x v="1"/>
  </r>
  <r>
    <x v="3860"/>
    <x v="1494"/>
    <x v="40"/>
    <s v="Zambia"/>
    <s v="Algeria"/>
    <n v="0"/>
    <n v="2"/>
    <s v="FIFA World Cup qualification"/>
    <s v="Chililabombwe"/>
    <s v="Zambia"/>
    <b v="0"/>
    <n v="2009"/>
    <n v="15328342303"/>
    <n v="150317292079"/>
    <x v="0"/>
    <n v="1"/>
    <x v="2"/>
  </r>
  <r>
    <x v="3861"/>
    <x v="1495"/>
    <x v="40"/>
    <s v="Guinea"/>
    <s v="Malawi"/>
    <n v="2"/>
    <n v="1"/>
    <s v="FIFA World Cup qualification"/>
    <s v="Conakry"/>
    <s v="Guinea"/>
    <b v="0"/>
    <n v="2009"/>
    <n v="6716905339"/>
    <n v="9009887946"/>
    <x v="1"/>
    <n v="-1"/>
    <x v="0"/>
  </r>
  <r>
    <x v="3862"/>
    <x v="1495"/>
    <x v="40"/>
    <s v="Mali"/>
    <s v="Benin"/>
    <n v="3"/>
    <n v="1"/>
    <s v="FIFA World Cup qualification"/>
    <s v="Bamako"/>
    <s v="Mali"/>
    <b v="0"/>
    <n v="2009"/>
    <n v="12155217832"/>
    <n v="9738626517"/>
    <x v="1"/>
    <n v="1"/>
    <x v="2"/>
  </r>
  <r>
    <x v="3863"/>
    <x v="1496"/>
    <x v="40"/>
    <s v="Egypt"/>
    <s v="Rwanda"/>
    <n v="3"/>
    <n v="0"/>
    <s v="FIFA World Cup qualification"/>
    <s v="Cairo"/>
    <s v="Egypt"/>
    <b v="0"/>
    <n v="2009"/>
    <n v="189147005444"/>
    <n v="5674476969"/>
    <x v="0"/>
    <n v="1"/>
    <x v="2"/>
  </r>
  <r>
    <x v="3864"/>
    <x v="1497"/>
    <x v="40"/>
    <s v="Azerbaijan"/>
    <s v="Germany"/>
    <n v="0"/>
    <n v="2"/>
    <s v="FIFA World Cup qualification"/>
    <s v="Baku"/>
    <s v="Azerbaijan"/>
    <b v="0"/>
    <n v="2009"/>
    <n v="44292427184"/>
    <n v="3478545516683"/>
    <x v="0"/>
    <n v="1"/>
    <x v="2"/>
  </r>
  <r>
    <x v="3865"/>
    <x v="1497"/>
    <x v="40"/>
    <s v="Belarus"/>
    <s v="Croatia"/>
    <n v="1"/>
    <n v="3"/>
    <s v="FIFA World Cup qualification"/>
    <s v="Minsk"/>
    <s v="Belarus"/>
    <b v="0"/>
    <n v="2009"/>
    <n v="50873167326"/>
    <n v="62315996674"/>
    <x v="1"/>
    <n v="1"/>
    <x v="2"/>
  </r>
  <r>
    <x v="3866"/>
    <x v="1497"/>
    <x v="40"/>
    <s v="Faroe Islands"/>
    <s v="France"/>
    <n v="0"/>
    <n v="1"/>
    <s v="FIFA World Cup qualification"/>
    <s v="T√≥rshavn"/>
    <s v="Faroe Islands"/>
    <b v="0"/>
    <n v="2009"/>
    <n v="2296065170"/>
    <n v="2700075882518"/>
    <x v="0"/>
    <n v="1"/>
    <x v="2"/>
  </r>
  <r>
    <x v="3867"/>
    <x v="1497"/>
    <x v="40"/>
    <s v="Honduras"/>
    <s v="Costa Rica"/>
    <n v="4"/>
    <n v="0"/>
    <s v="FIFA World Cup qualification"/>
    <s v="San Pedro Sula"/>
    <s v="Honduras"/>
    <b v="0"/>
    <n v="2009"/>
    <n v="14587496229"/>
    <n v="30745714312"/>
    <x v="0"/>
    <n v="-1"/>
    <x v="0"/>
  </r>
  <r>
    <x v="3868"/>
    <x v="1497"/>
    <x v="40"/>
    <s v="Mexico"/>
    <s v="United States"/>
    <n v="2"/>
    <n v="1"/>
    <s v="FIFA World Cup qualification"/>
    <s v="Mexico City"/>
    <s v="Mexico"/>
    <b v="0"/>
    <n v="2009"/>
    <n v="943437415024"/>
    <n v="14478064934000"/>
    <x v="0"/>
    <n v="-1"/>
    <x v="0"/>
  </r>
  <r>
    <x v="3869"/>
    <x v="1497"/>
    <x v="40"/>
    <s v="Slovenia"/>
    <s v="San Marino"/>
    <n v="5"/>
    <n v="0"/>
    <s v="FIFA World Cup qualification"/>
    <s v="Maribor"/>
    <s v="Slovenia"/>
    <b v="0"/>
    <n v="2009"/>
    <n v="49975540954"/>
    <n v="2064277126"/>
    <x v="0"/>
    <n v="1"/>
    <x v="2"/>
  </r>
  <r>
    <x v="3870"/>
    <x v="1497"/>
    <x v="40"/>
    <s v="Trinidad and Tobago"/>
    <s v="El Salvador"/>
    <n v="1"/>
    <n v="0"/>
    <s v="FIFA World Cup qualification"/>
    <s v="Port of Spain"/>
    <s v="Trinidad and Tobago"/>
    <b v="0"/>
    <n v="2009"/>
    <n v="19172165225"/>
    <n v="17601620000"/>
    <x v="1"/>
    <n v="1"/>
    <x v="2"/>
  </r>
  <r>
    <x v="3871"/>
    <x v="1498"/>
    <x v="40"/>
    <s v="Argentina"/>
    <s v="Brazil"/>
    <n v="1"/>
    <n v="3"/>
    <s v="FIFA World Cup qualification"/>
    <s v="Rosario"/>
    <s v="Argentina"/>
    <b v="0"/>
    <n v="2009"/>
    <n v="332976484577"/>
    <n v="1666996294252"/>
    <x v="0"/>
    <n v="1"/>
    <x v="2"/>
  </r>
  <r>
    <x v="3872"/>
    <x v="1498"/>
    <x v="40"/>
    <s v="Armenia"/>
    <s v="Bosnia and Herzegovina"/>
    <n v="0"/>
    <n v="2"/>
    <s v="FIFA World Cup qualification"/>
    <s v="Yerevan"/>
    <s v="Armenia"/>
    <b v="0"/>
    <n v="2009"/>
    <n v="8647937081"/>
    <n v="17613949091"/>
    <x v="0"/>
    <n v="1"/>
    <x v="2"/>
  </r>
  <r>
    <x v="3873"/>
    <x v="1498"/>
    <x v="40"/>
    <s v="Austria"/>
    <s v="Faroe Islands"/>
    <n v="3"/>
    <n v="1"/>
    <s v="FIFA World Cup qualification"/>
    <s v="Graz"/>
    <s v="Austria"/>
    <b v="0"/>
    <n v="2009"/>
    <n v="399290118782"/>
    <n v="2296065170"/>
    <x v="0"/>
    <n v="1"/>
    <x v="2"/>
  </r>
  <r>
    <x v="3874"/>
    <x v="1498"/>
    <x v="40"/>
    <s v="Azerbaijan"/>
    <s v="Finland"/>
    <n v="1"/>
    <n v="2"/>
    <s v="FIFA World Cup qualification"/>
    <s v="L…ônk…ôran"/>
    <s v="Azerbaijan"/>
    <b v="0"/>
    <n v="2009"/>
    <n v="44292427184"/>
    <n v="253480783439"/>
    <x v="0"/>
    <n v="1"/>
    <x v="2"/>
  </r>
  <r>
    <x v="3875"/>
    <x v="1498"/>
    <x v="40"/>
    <s v="Bahrain"/>
    <s v="Saudi Arabia"/>
    <n v="0"/>
    <n v="0"/>
    <s v="FIFA World Cup qualification"/>
    <s v="Riffa"/>
    <s v="Bahrain"/>
    <b v="0"/>
    <n v="2009"/>
    <n v="22938218085"/>
    <n v="429097866666"/>
    <x v="0"/>
    <n v="0"/>
    <x v="1"/>
  </r>
  <r>
    <x v="3876"/>
    <x v="1498"/>
    <x v="40"/>
    <s v="Bulgaria"/>
    <s v="Montenegro"/>
    <n v="4"/>
    <n v="1"/>
    <s v="FIFA World Cup qualification"/>
    <s v="Sofia"/>
    <s v="Bulgaria"/>
    <b v="0"/>
    <n v="2009"/>
    <n v="52023801230"/>
    <n v="4142640316"/>
    <x v="0"/>
    <n v="1"/>
    <x v="2"/>
  </r>
  <r>
    <x v="3877"/>
    <x v="1498"/>
    <x v="40"/>
    <s v="Chile"/>
    <s v="Venezuela"/>
    <n v="2"/>
    <n v="2"/>
    <s v="FIFA World Cup qualification"/>
    <s v="Santiago"/>
    <s v="Chile"/>
    <b v="0"/>
    <n v="2009"/>
    <n v="171777900623"/>
    <n v="329787628928"/>
    <x v="1"/>
    <n v="0"/>
    <x v="1"/>
  </r>
  <r>
    <x v="3878"/>
    <x v="1498"/>
    <x v="40"/>
    <s v="Colombia"/>
    <s v="Ecuador"/>
    <n v="2"/>
    <n v="0"/>
    <s v="FIFA World Cup qualification"/>
    <s v="Medell√≠n"/>
    <s v="Colombia"/>
    <b v="0"/>
    <n v="2009"/>
    <n v="232468663109"/>
    <n v="60094978000"/>
    <x v="0"/>
    <n v="1"/>
    <x v="2"/>
  </r>
  <r>
    <x v="3879"/>
    <x v="1498"/>
    <x v="40"/>
    <s v="Costa Rica"/>
    <s v="Mexico"/>
    <n v="0"/>
    <n v="3"/>
    <s v="FIFA World Cup qualification"/>
    <s v="San Jos√©"/>
    <s v="Costa Rica"/>
    <b v="0"/>
    <n v="2009"/>
    <n v="30745714312"/>
    <n v="943437415024"/>
    <x v="0"/>
    <n v="1"/>
    <x v="2"/>
  </r>
  <r>
    <x v="3880"/>
    <x v="1498"/>
    <x v="40"/>
    <s v="Croatia"/>
    <s v="Belarus"/>
    <n v="1"/>
    <n v="0"/>
    <s v="FIFA World Cup qualification"/>
    <s v="Zagreb"/>
    <s v="Croatia"/>
    <b v="0"/>
    <n v="2009"/>
    <n v="62315996674"/>
    <n v="50873167326"/>
    <x v="1"/>
    <n v="1"/>
    <x v="2"/>
  </r>
  <r>
    <x v="3881"/>
    <x v="1498"/>
    <x v="40"/>
    <s v="Denmark"/>
    <s v="Portugal"/>
    <n v="1"/>
    <n v="1"/>
    <s v="FIFA World Cup qualification"/>
    <s v="Copenhagen"/>
    <s v="Denmark"/>
    <b v="0"/>
    <n v="2009"/>
    <n v="322619152194"/>
    <n v="244667762835"/>
    <x v="1"/>
    <n v="0"/>
    <x v="1"/>
  </r>
  <r>
    <x v="3882"/>
    <x v="1498"/>
    <x v="40"/>
    <s v="France"/>
    <s v="Romania"/>
    <n v="1"/>
    <n v="1"/>
    <s v="FIFA World Cup qualification"/>
    <s v="Saint-Denis"/>
    <s v="France"/>
    <b v="0"/>
    <n v="2009"/>
    <n v="2700075882518"/>
    <n v="174110532658"/>
    <x v="0"/>
    <n v="0"/>
    <x v="1"/>
  </r>
  <r>
    <x v="3883"/>
    <x v="1498"/>
    <x v="40"/>
    <s v="Gabon"/>
    <s v="Cameroon"/>
    <n v="0"/>
    <n v="2"/>
    <s v="FIFA World Cup qualification"/>
    <s v="Libreville"/>
    <s v="Gabon"/>
    <b v="0"/>
    <n v="2009"/>
    <n v="12113699068"/>
    <n v="27932970317"/>
    <x v="0"/>
    <n v="1"/>
    <x v="2"/>
  </r>
  <r>
    <x v="3884"/>
    <x v="1498"/>
    <x v="40"/>
    <s v="Georgia"/>
    <s v="Italy"/>
    <n v="0"/>
    <n v="2"/>
    <s v="FIFA World Cup qualification"/>
    <s v="Tbilisi"/>
    <s v="Georgia"/>
    <b v="0"/>
    <n v="2009"/>
    <n v="10766920065"/>
    <n v="2209484319012"/>
    <x v="0"/>
    <n v="1"/>
    <x v="2"/>
  </r>
  <r>
    <x v="3885"/>
    <x v="1498"/>
    <x v="40"/>
    <s v="Honduras"/>
    <s v="Trinidad and Tobago"/>
    <n v="4"/>
    <n v="1"/>
    <s v="FIFA World Cup qualification"/>
    <s v="San Pedro Sula"/>
    <s v="Honduras"/>
    <b v="0"/>
    <n v="2009"/>
    <n v="14587496229"/>
    <n v="19172165225"/>
    <x v="1"/>
    <n v="-1"/>
    <x v="0"/>
  </r>
  <r>
    <x v="3886"/>
    <x v="1498"/>
    <x v="40"/>
    <s v="Hungary"/>
    <s v="Sweden"/>
    <n v="1"/>
    <n v="2"/>
    <s v="FIFA World Cup qualification"/>
    <s v="Budapest"/>
    <s v="Hungary"/>
    <b v="0"/>
    <n v="2009"/>
    <n v="130807441076"/>
    <n v="434311714442"/>
    <x v="0"/>
    <n v="1"/>
    <x v="2"/>
  </r>
  <r>
    <x v="3887"/>
    <x v="1498"/>
    <x v="40"/>
    <s v="Iceland"/>
    <s v="Norway"/>
    <n v="1"/>
    <n v="1"/>
    <s v="FIFA World Cup qualification"/>
    <s v="Reykjav√≠k"/>
    <s v="Iceland"/>
    <b v="0"/>
    <n v="2009"/>
    <n v="13212543837"/>
    <n v="387976400617"/>
    <x v="0"/>
    <n v="0"/>
    <x v="1"/>
  </r>
  <r>
    <x v="3888"/>
    <x v="1498"/>
    <x v="40"/>
    <s v="Israel"/>
    <s v="Latvia"/>
    <n v="0"/>
    <n v="1"/>
    <s v="FIFA World Cup qualification"/>
    <s v="Ramat Gan"/>
    <s v="Israel"/>
    <b v="0"/>
    <n v="2009"/>
    <n v="213403181852"/>
    <n v="25691530442"/>
    <x v="0"/>
    <n v="-1"/>
    <x v="0"/>
  </r>
  <r>
    <x v="3889"/>
    <x v="1498"/>
    <x v="40"/>
    <s v="Malawi"/>
    <s v="Guinea"/>
    <n v="2"/>
    <n v="1"/>
    <s v="FIFA World Cup qualification"/>
    <s v="Blantyre"/>
    <s v="Malawi"/>
    <b v="0"/>
    <n v="2009"/>
    <n v="9009887946"/>
    <n v="6716905339"/>
    <x v="1"/>
    <n v="1"/>
    <x v="2"/>
  </r>
  <r>
    <x v="3890"/>
    <x v="1498"/>
    <x v="40"/>
    <s v="Moldova"/>
    <s v="Luxembourg"/>
    <n v="0"/>
    <n v="0"/>
    <s v="FIFA World Cup qualification"/>
    <s v="Chi»ôinƒÉu"/>
    <s v="Moldova"/>
    <b v="0"/>
    <n v="2009"/>
    <n v="5439434271"/>
    <n v="54467289897"/>
    <x v="0"/>
    <n v="0"/>
    <x v="1"/>
  </r>
  <r>
    <x v="3891"/>
    <x v="1498"/>
    <x v="40"/>
    <s v="Paraguay"/>
    <s v="Bolivia"/>
    <n v="1"/>
    <n v="0"/>
    <s v="FIFA World Cup qualification"/>
    <s v="Asunci√≥n"/>
    <s v="Paraguay"/>
    <b v="0"/>
    <n v="2009"/>
    <n v="22355151162"/>
    <n v="17339992193"/>
    <x v="1"/>
    <n v="1"/>
    <x v="2"/>
  </r>
  <r>
    <x v="3892"/>
    <x v="1498"/>
    <x v="40"/>
    <s v="Peru"/>
    <s v="Uruguay"/>
    <n v="1"/>
    <n v="0"/>
    <s v="FIFA World Cup qualification"/>
    <s v="Lima"/>
    <s v="Peru"/>
    <b v="0"/>
    <n v="2009"/>
    <n v="120822986521"/>
    <n v="32708319077"/>
    <x v="0"/>
    <n v="1"/>
    <x v="2"/>
  </r>
  <r>
    <x v="3893"/>
    <x v="1498"/>
    <x v="40"/>
    <s v="Russia"/>
    <s v="Liechtenstein"/>
    <n v="3"/>
    <n v="0"/>
    <s v="FIFA World Cup qualification"/>
    <s v="Saint Petersburg"/>
    <s v="Russia"/>
    <b v="0"/>
    <n v="2009"/>
    <n v="1222645900055"/>
    <n v="4504375348"/>
    <x v="0"/>
    <n v="1"/>
    <x v="2"/>
  </r>
  <r>
    <x v="3894"/>
    <x v="1498"/>
    <x v="40"/>
    <s v="Rwanda"/>
    <s v="Egypt"/>
    <n v="0"/>
    <n v="1"/>
    <s v="FIFA World Cup qualification"/>
    <s v="Kigali"/>
    <s v="Rwanda"/>
    <b v="0"/>
    <n v="2009"/>
    <n v="5674476969"/>
    <n v="189147005444"/>
    <x v="0"/>
    <n v="1"/>
    <x v="2"/>
  </r>
  <r>
    <x v="3895"/>
    <x v="1498"/>
    <x v="40"/>
    <s v="Spain"/>
    <s v="Belgium"/>
    <n v="5"/>
    <n v="0"/>
    <s v="FIFA World Cup qualification"/>
    <s v="La Coru√±a"/>
    <s v="Spain"/>
    <b v="0"/>
    <n v="2009"/>
    <n v="1496587590847"/>
    <n v="485014525992"/>
    <x v="0"/>
    <n v="1"/>
    <x v="2"/>
  </r>
  <r>
    <x v="3896"/>
    <x v="1498"/>
    <x v="40"/>
    <s v="Switzerland"/>
    <s v="Greece"/>
    <n v="2"/>
    <n v="0"/>
    <s v="FIFA World Cup qualification"/>
    <s v="Basel"/>
    <s v="Switzerland"/>
    <b v="0"/>
    <n v="2009"/>
    <n v="554212916092"/>
    <n v="326829054686"/>
    <x v="1"/>
    <n v="1"/>
    <x v="2"/>
  </r>
  <r>
    <x v="3897"/>
    <x v="1498"/>
    <x v="40"/>
    <s v="Ukraine"/>
    <s v="Andorra"/>
    <n v="5"/>
    <n v="0"/>
    <s v="FIFA World Cup qualification"/>
    <s v="Kyiv"/>
    <s v="Ukraine"/>
    <b v="0"/>
    <n v="2009"/>
    <n v="121552153444"/>
    <n v="3688974807"/>
    <x v="0"/>
    <n v="1"/>
    <x v="2"/>
  </r>
  <r>
    <x v="3898"/>
    <x v="1498"/>
    <x v="40"/>
    <s v="United States"/>
    <s v="El Salvador"/>
    <n v="2"/>
    <n v="1"/>
    <s v="FIFA World Cup qualification"/>
    <s v="Sandy City"/>
    <s v="United States"/>
    <b v="0"/>
    <n v="2009"/>
    <n v="14478064934000"/>
    <n v="17601620000"/>
    <x v="0"/>
    <n v="1"/>
    <x v="2"/>
  </r>
  <r>
    <x v="3899"/>
    <x v="1499"/>
    <x v="40"/>
    <s v="Algeria"/>
    <s v="Zambia"/>
    <n v="1"/>
    <n v="0"/>
    <s v="FIFA World Cup qualification"/>
    <s v="Blida"/>
    <s v="Algeria"/>
    <b v="0"/>
    <n v="2009"/>
    <n v="150317292079"/>
    <n v="15328342303"/>
    <x v="0"/>
    <n v="1"/>
    <x v="2"/>
  </r>
  <r>
    <x v="3900"/>
    <x v="1499"/>
    <x v="40"/>
    <s v="Benin"/>
    <s v="Mali"/>
    <n v="1"/>
    <n v="1"/>
    <s v="FIFA World Cup qualification"/>
    <s v="Cotonou"/>
    <s v="Benin"/>
    <b v="0"/>
    <n v="2009"/>
    <n v="9738626517"/>
    <n v="12155217832"/>
    <x v="1"/>
    <n v="0"/>
    <x v="1"/>
  </r>
  <r>
    <x v="3901"/>
    <x v="1499"/>
    <x v="40"/>
    <s v="Ghana"/>
    <s v="Sudan"/>
    <n v="2"/>
    <n v="0"/>
    <s v="FIFA World Cup qualification"/>
    <s v="Accra"/>
    <s v="Ghana"/>
    <b v="0"/>
    <n v="2009"/>
    <n v="26048720005"/>
    <n v="51621044076"/>
    <x v="1"/>
    <n v="-1"/>
    <x v="0"/>
  </r>
  <r>
    <x v="3902"/>
    <x v="1499"/>
    <x v="40"/>
    <s v="Mozambique"/>
    <s v="Kenya"/>
    <n v="1"/>
    <n v="0"/>
    <s v="FIFA World Cup qualification"/>
    <s v="Maputo"/>
    <s v="Mozambique"/>
    <b v="0"/>
    <n v="2009"/>
    <n v="12263894790"/>
    <n v="42347217912"/>
    <x v="0"/>
    <n v="-1"/>
    <x v="0"/>
  </r>
  <r>
    <x v="3903"/>
    <x v="1499"/>
    <x v="40"/>
    <s v="Nigeria"/>
    <s v="Tunisia"/>
    <n v="2"/>
    <n v="2"/>
    <s v="FIFA World Cup qualification"/>
    <s v="Abuja"/>
    <s v="Nigeria"/>
    <b v="0"/>
    <n v="2009"/>
    <n v="295008835380"/>
    <n v="43455740497"/>
    <x v="0"/>
    <n v="0"/>
    <x v="1"/>
  </r>
  <r>
    <x v="3904"/>
    <x v="1499"/>
    <x v="40"/>
    <s v="Togo"/>
    <s v="Morocco"/>
    <n v="1"/>
    <n v="1"/>
    <s v="FIFA World Cup qualification"/>
    <s v="Lom√©"/>
    <s v="Togo"/>
    <b v="0"/>
    <n v="2009"/>
    <n v="4721888275"/>
    <n v="101154952240"/>
    <x v="0"/>
    <n v="0"/>
    <x v="1"/>
  </r>
  <r>
    <x v="3905"/>
    <x v="1500"/>
    <x v="40"/>
    <s v="Albania"/>
    <s v="Denmark"/>
    <n v="1"/>
    <n v="1"/>
    <s v="FIFA World Cup qualification"/>
    <s v="Tirana"/>
    <s v="Albania"/>
    <b v="0"/>
    <n v="2009"/>
    <n v="12335540656"/>
    <n v="322619152194"/>
    <x v="0"/>
    <n v="0"/>
    <x v="1"/>
  </r>
  <r>
    <x v="3906"/>
    <x v="1500"/>
    <x v="40"/>
    <s v="Andorra"/>
    <s v="Kazakhstan"/>
    <n v="1"/>
    <n v="3"/>
    <s v="FIFA World Cup qualification"/>
    <s v="Sant Juli√† de L√≤ria"/>
    <s v="Andorra"/>
    <b v="0"/>
    <n v="2009"/>
    <n v="3688974807"/>
    <n v="115308686941"/>
    <x v="0"/>
    <n v="1"/>
    <x v="2"/>
  </r>
  <r>
    <x v="3907"/>
    <x v="1500"/>
    <x v="40"/>
    <s v="Armenia"/>
    <s v="Belgium"/>
    <n v="2"/>
    <n v="1"/>
    <s v="FIFA World Cup qualification"/>
    <s v="Yerevan"/>
    <s v="Armenia"/>
    <b v="0"/>
    <n v="2009"/>
    <n v="8647937081"/>
    <n v="485014525992"/>
    <x v="0"/>
    <n v="-1"/>
    <x v="0"/>
  </r>
  <r>
    <x v="3908"/>
    <x v="1500"/>
    <x v="40"/>
    <s v="Belarus"/>
    <s v="Ukraine"/>
    <n v="0"/>
    <n v="0"/>
    <s v="FIFA World Cup qualification"/>
    <s v="Minsk"/>
    <s v="Belarus"/>
    <b v="0"/>
    <n v="2009"/>
    <n v="50873167326"/>
    <n v="121552153444"/>
    <x v="0"/>
    <n v="0"/>
    <x v="1"/>
  </r>
  <r>
    <x v="3909"/>
    <x v="1500"/>
    <x v="40"/>
    <s v="Bolivia"/>
    <s v="Ecuador"/>
    <n v="1"/>
    <n v="3"/>
    <s v="FIFA World Cup qualification"/>
    <s v="La Paz"/>
    <s v="Bolivia"/>
    <b v="0"/>
    <n v="2009"/>
    <n v="17339992193"/>
    <n v="60094978000"/>
    <x v="0"/>
    <n v="1"/>
    <x v="2"/>
  </r>
  <r>
    <x v="3910"/>
    <x v="1500"/>
    <x v="40"/>
    <s v="Cameroon"/>
    <s v="Gabon"/>
    <n v="2"/>
    <n v="1"/>
    <s v="FIFA World Cup qualification"/>
    <s v="Yaound√©"/>
    <s v="Cameroon"/>
    <b v="0"/>
    <n v="2009"/>
    <n v="27932970317"/>
    <n v="12113699068"/>
    <x v="0"/>
    <n v="1"/>
    <x v="2"/>
  </r>
  <r>
    <x v="3911"/>
    <x v="1500"/>
    <x v="40"/>
    <s v="El Salvador"/>
    <s v="Costa Rica"/>
    <n v="1"/>
    <n v="0"/>
    <s v="FIFA World Cup qualification"/>
    <s v="San Salvador"/>
    <s v="El Salvador"/>
    <b v="0"/>
    <n v="2009"/>
    <n v="17601620000"/>
    <n v="30745714312"/>
    <x v="1"/>
    <n v="-1"/>
    <x v="0"/>
  </r>
  <r>
    <x v="3912"/>
    <x v="1500"/>
    <x v="40"/>
    <s v="England"/>
    <s v="Croatia"/>
    <n v="5"/>
    <n v="1"/>
    <s v="FIFA World Cup qualification"/>
    <s v="London"/>
    <s v="England"/>
    <b v="0"/>
    <n v="2009"/>
    <n v="2429358155475"/>
    <n v="62315996674"/>
    <x v="0"/>
    <n v="1"/>
    <x v="2"/>
  </r>
  <r>
    <x v="3913"/>
    <x v="1500"/>
    <x v="40"/>
    <s v="Faroe Islands"/>
    <s v="Lithuania"/>
    <n v="2"/>
    <n v="1"/>
    <s v="FIFA World Cup qualification"/>
    <s v="Toftir"/>
    <s v="Faroe Islands"/>
    <b v="0"/>
    <n v="2009"/>
    <n v="2296065170"/>
    <n v="37494380038"/>
    <x v="0"/>
    <n v="-1"/>
    <x v="0"/>
  </r>
  <r>
    <x v="3914"/>
    <x v="1500"/>
    <x v="40"/>
    <s v="Germany"/>
    <s v="Azerbaijan"/>
    <n v="4"/>
    <n v="0"/>
    <s v="FIFA World Cup qualification"/>
    <s v="Hanover"/>
    <s v="Germany"/>
    <b v="0"/>
    <n v="2009"/>
    <n v="3478545516683"/>
    <n v="44292427184"/>
    <x v="0"/>
    <n v="1"/>
    <x v="2"/>
  </r>
  <r>
    <x v="3915"/>
    <x v="1500"/>
    <x v="40"/>
    <s v="Hungary"/>
    <s v="Portugal"/>
    <n v="0"/>
    <n v="1"/>
    <s v="FIFA World Cup qualification"/>
    <s v="Budapest"/>
    <s v="Hungary"/>
    <b v="0"/>
    <n v="2009"/>
    <n v="130807441076"/>
    <n v="244667762835"/>
    <x v="1"/>
    <n v="1"/>
    <x v="2"/>
  </r>
  <r>
    <x v="3916"/>
    <x v="1500"/>
    <x v="40"/>
    <s v="Israel"/>
    <s v="Luxembourg"/>
    <n v="7"/>
    <n v="0"/>
    <s v="FIFA World Cup qualification"/>
    <s v="Ramat Gan"/>
    <s v="Israel"/>
    <b v="0"/>
    <n v="2009"/>
    <n v="213403181852"/>
    <n v="54467289897"/>
    <x v="0"/>
    <n v="1"/>
    <x v="2"/>
  </r>
  <r>
    <x v="3917"/>
    <x v="1500"/>
    <x v="40"/>
    <s v="Italy"/>
    <s v="Bulgaria"/>
    <n v="2"/>
    <n v="0"/>
    <s v="FIFA World Cup qualification"/>
    <s v="Turin"/>
    <s v="Italy"/>
    <b v="0"/>
    <n v="2009"/>
    <n v="2209484319012"/>
    <n v="52023801230"/>
    <x v="0"/>
    <n v="1"/>
    <x v="2"/>
  </r>
  <r>
    <x v="3918"/>
    <x v="1500"/>
    <x v="40"/>
    <s v="Latvia"/>
    <s v="Switzerland"/>
    <n v="2"/>
    <n v="2"/>
    <s v="FIFA World Cup qualification"/>
    <s v="Riga"/>
    <s v="Latvia"/>
    <b v="0"/>
    <n v="2009"/>
    <n v="25691530442"/>
    <n v="554212916092"/>
    <x v="0"/>
    <n v="0"/>
    <x v="1"/>
  </r>
  <r>
    <x v="3919"/>
    <x v="1500"/>
    <x v="40"/>
    <s v="Liechtenstein"/>
    <s v="Finland"/>
    <n v="1"/>
    <n v="1"/>
    <s v="FIFA World Cup qualification"/>
    <s v="Vaduz"/>
    <s v="Liechtenstein"/>
    <b v="0"/>
    <n v="2009"/>
    <n v="4504375348"/>
    <n v="253480783439"/>
    <x v="0"/>
    <n v="0"/>
    <x v="1"/>
  </r>
  <r>
    <x v="3920"/>
    <x v="1500"/>
    <x v="40"/>
    <s v="Malta"/>
    <s v="Sweden"/>
    <n v="0"/>
    <n v="1"/>
    <s v="FIFA World Cup qualification"/>
    <s v="Attard"/>
    <s v="Malta"/>
    <b v="0"/>
    <n v="2009"/>
    <n v="8734745697"/>
    <n v="434311714442"/>
    <x v="0"/>
    <n v="1"/>
    <x v="2"/>
  </r>
  <r>
    <x v="3921"/>
    <x v="1500"/>
    <x v="40"/>
    <s v="Mexico"/>
    <s v="Honduras"/>
    <n v="1"/>
    <n v="0"/>
    <s v="FIFA World Cup qualification"/>
    <s v="Mexico City"/>
    <s v="Mexico"/>
    <b v="0"/>
    <n v="2009"/>
    <n v="943437415024"/>
    <n v="14587496229"/>
    <x v="0"/>
    <n v="1"/>
    <x v="2"/>
  </r>
  <r>
    <x v="3922"/>
    <x v="1500"/>
    <x v="40"/>
    <s v="Moldova"/>
    <s v="Greece"/>
    <n v="1"/>
    <n v="1"/>
    <s v="FIFA World Cup qualification"/>
    <s v="Chi»ôinƒÉu"/>
    <s v="Moldova"/>
    <b v="0"/>
    <n v="2009"/>
    <n v="5439434271"/>
    <n v="326829054686"/>
    <x v="0"/>
    <n v="0"/>
    <x v="1"/>
  </r>
  <r>
    <x v="3923"/>
    <x v="1500"/>
    <x v="40"/>
    <s v="Montenegro"/>
    <s v="Cyprus"/>
    <n v="1"/>
    <n v="1"/>
    <s v="FIFA World Cup qualification"/>
    <s v="Podgorica"/>
    <s v="Montenegro"/>
    <b v="0"/>
    <n v="2009"/>
    <n v="4142640316"/>
    <n v="26048179949"/>
    <x v="0"/>
    <n v="0"/>
    <x v="1"/>
  </r>
  <r>
    <x v="3924"/>
    <x v="1500"/>
    <x v="40"/>
    <s v="Norway"/>
    <s v="North Macedonia"/>
    <n v="2"/>
    <n v="1"/>
    <s v="FIFA World Cup qualification"/>
    <s v="Oslo"/>
    <s v="Norway"/>
    <b v="0"/>
    <n v="2009"/>
    <n v="387976400617"/>
    <n v="9401736825"/>
    <x v="0"/>
    <n v="1"/>
    <x v="2"/>
  </r>
  <r>
    <x v="3925"/>
    <x v="1500"/>
    <x v="40"/>
    <s v="Romania"/>
    <s v="Austria"/>
    <n v="1"/>
    <n v="1"/>
    <s v="FIFA World Cup qualification"/>
    <s v="Bucharest"/>
    <s v="Romania"/>
    <b v="0"/>
    <n v="2009"/>
    <n v="174110532658"/>
    <n v="399290118782"/>
    <x v="0"/>
    <n v="0"/>
    <x v="1"/>
  </r>
  <r>
    <x v="3926"/>
    <x v="1500"/>
    <x v="40"/>
    <s v="Saudi Arabia"/>
    <s v="Bahrain"/>
    <n v="2"/>
    <n v="2"/>
    <s v="FIFA World Cup qualification"/>
    <s v="Riyadh"/>
    <s v="Saudi Arabia"/>
    <b v="0"/>
    <n v="2009"/>
    <n v="429097866666"/>
    <n v="22938218085"/>
    <x v="0"/>
    <n v="0"/>
    <x v="1"/>
  </r>
  <r>
    <x v="3927"/>
    <x v="1500"/>
    <x v="40"/>
    <s v="Serbia"/>
    <s v="France"/>
    <n v="1"/>
    <n v="1"/>
    <s v="FIFA World Cup qualification"/>
    <s v="Belgrade"/>
    <s v="Serbia"/>
    <b v="0"/>
    <n v="2009"/>
    <n v="46955984409"/>
    <n v="2700075882518"/>
    <x v="0"/>
    <n v="0"/>
    <x v="1"/>
  </r>
  <r>
    <x v="3928"/>
    <x v="1500"/>
    <x v="40"/>
    <s v="Slovenia"/>
    <s v="Poland"/>
    <n v="3"/>
    <n v="0"/>
    <s v="FIFA World Cup qualification"/>
    <s v="Maribor"/>
    <s v="Slovenia"/>
    <b v="0"/>
    <n v="2009"/>
    <n v="49975540954"/>
    <n v="440891472247"/>
    <x v="0"/>
    <n v="-1"/>
    <x v="0"/>
  </r>
  <r>
    <x v="3929"/>
    <x v="1500"/>
    <x v="40"/>
    <s v="Spain"/>
    <s v="Estonia"/>
    <n v="3"/>
    <n v="0"/>
    <s v="FIFA World Cup qualification"/>
    <s v="M√©rida"/>
    <s v="Spain"/>
    <b v="0"/>
    <n v="2009"/>
    <n v="1496587590847"/>
    <n v="19633984440"/>
    <x v="0"/>
    <n v="1"/>
    <x v="2"/>
  </r>
  <r>
    <x v="3930"/>
    <x v="1500"/>
    <x v="40"/>
    <s v="Trinidad and Tobago"/>
    <s v="United States"/>
    <n v="0"/>
    <n v="1"/>
    <s v="FIFA World Cup qualification"/>
    <s v="Port of Spain"/>
    <s v="Trinidad and Tobago"/>
    <b v="0"/>
    <n v="2009"/>
    <n v="19172165225"/>
    <n v="14478064934000"/>
    <x v="0"/>
    <n v="1"/>
    <x v="2"/>
  </r>
  <r>
    <x v="3931"/>
    <x v="1500"/>
    <x v="40"/>
    <s v="Uruguay"/>
    <s v="Colombia"/>
    <n v="3"/>
    <n v="1"/>
    <s v="FIFA World Cup qualification"/>
    <s v="Montevideo"/>
    <s v="Uruguay"/>
    <b v="0"/>
    <n v="2009"/>
    <n v="32708319077"/>
    <n v="232468663109"/>
    <x v="0"/>
    <n v="-1"/>
    <x v="0"/>
  </r>
  <r>
    <x v="3932"/>
    <x v="1500"/>
    <x v="40"/>
    <s v="Paraguay"/>
    <s v="Argentina"/>
    <n v="1"/>
    <n v="0"/>
    <s v="FIFA World Cup qualification"/>
    <s v="Asunci√≥n"/>
    <s v="Paraguay"/>
    <b v="0"/>
    <n v="2009"/>
    <n v="22355151162"/>
    <n v="332976484577"/>
    <x v="0"/>
    <n v="-1"/>
    <x v="0"/>
  </r>
  <r>
    <x v="3933"/>
    <x v="1500"/>
    <x v="40"/>
    <s v="Brazil"/>
    <s v="Chile"/>
    <n v="4"/>
    <n v="2"/>
    <s v="FIFA World Cup qualification"/>
    <s v="Salvador"/>
    <s v="Brazil"/>
    <b v="0"/>
    <n v="2009"/>
    <n v="1666996294252"/>
    <n v="171777900623"/>
    <x v="0"/>
    <n v="1"/>
    <x v="2"/>
  </r>
  <r>
    <x v="3934"/>
    <x v="1500"/>
    <x v="40"/>
    <s v="Venezuela"/>
    <s v="Peru"/>
    <n v="3"/>
    <n v="1"/>
    <s v="FIFA World Cup qualification"/>
    <s v="Puerto la Cruz"/>
    <s v="Venezuela"/>
    <b v="0"/>
    <n v="2009"/>
    <n v="329787628928"/>
    <n v="120822986521"/>
    <x v="0"/>
    <n v="1"/>
    <x v="2"/>
  </r>
  <r>
    <x v="3935"/>
    <x v="1501"/>
    <x v="40"/>
    <s v="Argentina"/>
    <s v="Peru"/>
    <n v="2"/>
    <n v="1"/>
    <s v="FIFA World Cup qualification"/>
    <s v="Buenos Aires"/>
    <s v="Argentina"/>
    <b v="0"/>
    <n v="2009"/>
    <n v="332976484577"/>
    <n v="120822986521"/>
    <x v="0"/>
    <n v="1"/>
    <x v="2"/>
  </r>
  <r>
    <x v="3936"/>
    <x v="1501"/>
    <x v="40"/>
    <s v="Armenia"/>
    <s v="Spain"/>
    <n v="1"/>
    <n v="2"/>
    <s v="FIFA World Cup qualification"/>
    <s v="Yerevan"/>
    <s v="Armenia"/>
    <b v="0"/>
    <n v="2009"/>
    <n v="8647937081"/>
    <n v="1496587590847"/>
    <x v="0"/>
    <n v="1"/>
    <x v="2"/>
  </r>
  <r>
    <x v="3937"/>
    <x v="1501"/>
    <x v="40"/>
    <s v="Austria"/>
    <s v="Lithuania"/>
    <n v="2"/>
    <n v="1"/>
    <s v="FIFA World Cup qualification"/>
    <s v="Innsbruck"/>
    <s v="Austria"/>
    <b v="0"/>
    <n v="2009"/>
    <n v="399290118782"/>
    <n v="37494380038"/>
    <x v="0"/>
    <n v="1"/>
    <x v="2"/>
  </r>
  <r>
    <x v="3938"/>
    <x v="1501"/>
    <x v="40"/>
    <s v="Bahrain"/>
    <s v="New Zealand"/>
    <n v="0"/>
    <n v="0"/>
    <s v="FIFA World Cup qualification"/>
    <s v="Riffa"/>
    <s v="Bahrain"/>
    <b v="0"/>
    <n v="2009"/>
    <n v="22938218085"/>
    <n v="121663439315"/>
    <x v="0"/>
    <n v="0"/>
    <x v="1"/>
  </r>
  <r>
    <x v="3939"/>
    <x v="1501"/>
    <x v="40"/>
    <s v="Belarus"/>
    <s v="Kazakhstan"/>
    <n v="4"/>
    <n v="0"/>
    <s v="FIFA World Cup qualification"/>
    <s v="Brest"/>
    <s v="Belarus"/>
    <b v="0"/>
    <n v="2009"/>
    <n v="50873167326"/>
    <n v="115308686941"/>
    <x v="0"/>
    <n v="-1"/>
    <x v="0"/>
  </r>
  <r>
    <x v="3940"/>
    <x v="1501"/>
    <x v="40"/>
    <s v="Cameroon"/>
    <s v="Togo"/>
    <n v="3"/>
    <n v="0"/>
    <s v="FIFA World Cup qualification"/>
    <s v="Yaound√©"/>
    <s v="Cameroon"/>
    <b v="0"/>
    <n v="2009"/>
    <n v="27932970317"/>
    <n v="4721888275"/>
    <x v="0"/>
    <n v="1"/>
    <x v="2"/>
  </r>
  <r>
    <x v="3941"/>
    <x v="1501"/>
    <x v="40"/>
    <s v="Colombia"/>
    <s v="Chile"/>
    <n v="2"/>
    <n v="4"/>
    <s v="FIFA World Cup qualification"/>
    <s v="Medell√≠n"/>
    <s v="Colombia"/>
    <b v="0"/>
    <n v="2009"/>
    <n v="232468663109"/>
    <n v="171777900623"/>
    <x v="1"/>
    <n v="-1"/>
    <x v="0"/>
  </r>
  <r>
    <x v="3942"/>
    <x v="1501"/>
    <x v="40"/>
    <s v="Costa Rica"/>
    <s v="Trinidad and Tobago"/>
    <n v="4"/>
    <n v="0"/>
    <s v="FIFA World Cup qualification"/>
    <s v="San Jos√©"/>
    <s v="Costa Rica"/>
    <b v="0"/>
    <n v="2009"/>
    <n v="30745714312"/>
    <n v="19172165225"/>
    <x v="1"/>
    <n v="1"/>
    <x v="2"/>
  </r>
  <r>
    <x v="3943"/>
    <x v="1501"/>
    <x v="40"/>
    <s v="Cyprus"/>
    <s v="Bulgaria"/>
    <n v="4"/>
    <n v="1"/>
    <s v="FIFA World Cup qualification"/>
    <s v="Larnaca"/>
    <s v="Cyprus"/>
    <b v="0"/>
    <n v="2009"/>
    <n v="26048179949"/>
    <n v="52023801230"/>
    <x v="1"/>
    <n v="-1"/>
    <x v="0"/>
  </r>
  <r>
    <x v="3944"/>
    <x v="1501"/>
    <x v="40"/>
    <s v="Denmark"/>
    <s v="Sweden"/>
    <n v="1"/>
    <n v="0"/>
    <s v="FIFA World Cup qualification"/>
    <s v="Copenhagen"/>
    <s v="Denmark"/>
    <b v="0"/>
    <n v="2009"/>
    <n v="322619152194"/>
    <n v="434311714442"/>
    <x v="1"/>
    <n v="-1"/>
    <x v="0"/>
  </r>
  <r>
    <x v="3945"/>
    <x v="1501"/>
    <x v="40"/>
    <s v="Ecuador"/>
    <s v="Uruguay"/>
    <n v="1"/>
    <n v="2"/>
    <s v="FIFA World Cup qualification"/>
    <s v="Quito"/>
    <s v="Ecuador"/>
    <b v="0"/>
    <n v="2009"/>
    <n v="60094978000"/>
    <n v="32708319077"/>
    <x v="1"/>
    <n v="-1"/>
    <x v="0"/>
  </r>
  <r>
    <x v="3946"/>
    <x v="1501"/>
    <x v="40"/>
    <s v="Estonia"/>
    <s v="Bosnia and Herzegovina"/>
    <n v="0"/>
    <n v="2"/>
    <s v="FIFA World Cup qualification"/>
    <s v="Tallinn"/>
    <s v="Estonia"/>
    <b v="0"/>
    <n v="2009"/>
    <n v="19633984440"/>
    <n v="17613949091"/>
    <x v="1"/>
    <n v="-1"/>
    <x v="0"/>
  </r>
  <r>
    <x v="3947"/>
    <x v="1501"/>
    <x v="40"/>
    <s v="France"/>
    <s v="Faroe Islands"/>
    <n v="5"/>
    <n v="0"/>
    <s v="FIFA World Cup qualification"/>
    <s v="Guingamp"/>
    <s v="France"/>
    <b v="0"/>
    <n v="2009"/>
    <n v="2700075882518"/>
    <n v="2296065170"/>
    <x v="0"/>
    <n v="1"/>
    <x v="2"/>
  </r>
  <r>
    <x v="3948"/>
    <x v="1501"/>
    <x v="40"/>
    <s v="Gabon"/>
    <s v="Morocco"/>
    <n v="3"/>
    <n v="1"/>
    <s v="FIFA World Cup qualification"/>
    <s v="Libreville"/>
    <s v="Gabon"/>
    <b v="0"/>
    <n v="2009"/>
    <n v="12113699068"/>
    <n v="101154952240"/>
    <x v="0"/>
    <n v="-1"/>
    <x v="0"/>
  </r>
  <r>
    <x v="3949"/>
    <x v="1501"/>
    <x v="40"/>
    <s v="Greece"/>
    <s v="Latvia"/>
    <n v="5"/>
    <n v="2"/>
    <s v="FIFA World Cup qualification"/>
    <s v="Athens"/>
    <s v="Greece"/>
    <b v="0"/>
    <n v="2009"/>
    <n v="326829054686"/>
    <n v="25691530442"/>
    <x v="0"/>
    <n v="1"/>
    <x v="2"/>
  </r>
  <r>
    <x v="3950"/>
    <x v="1501"/>
    <x v="40"/>
    <s v="Honduras"/>
    <s v="United States"/>
    <n v="2"/>
    <n v="3"/>
    <s v="FIFA World Cup qualification"/>
    <s v="San Pedro Sula"/>
    <s v="Honduras"/>
    <b v="0"/>
    <n v="2009"/>
    <n v="14587496229"/>
    <n v="14478064934000"/>
    <x v="0"/>
    <n v="1"/>
    <x v="2"/>
  </r>
  <r>
    <x v="3951"/>
    <x v="1501"/>
    <x v="40"/>
    <s v="Israel"/>
    <s v="Moldova"/>
    <n v="3"/>
    <n v="1"/>
    <s v="FIFA World Cup qualification"/>
    <s v="Ramat Gan"/>
    <s v="Israel"/>
    <b v="0"/>
    <n v="2009"/>
    <n v="213403181852"/>
    <n v="5439434271"/>
    <x v="0"/>
    <n v="1"/>
    <x v="2"/>
  </r>
  <r>
    <x v="3952"/>
    <x v="1501"/>
    <x v="40"/>
    <s v="Liechtenstein"/>
    <s v="Azerbaijan"/>
    <n v="0"/>
    <n v="2"/>
    <s v="FIFA World Cup qualification"/>
    <s v="Vaduz"/>
    <s v="Liechtenstein"/>
    <b v="0"/>
    <n v="2009"/>
    <n v="4504375348"/>
    <n v="44292427184"/>
    <x v="0"/>
    <n v="1"/>
    <x v="2"/>
  </r>
  <r>
    <x v="3953"/>
    <x v="1501"/>
    <x v="40"/>
    <s v="Luxembourg"/>
    <s v="Switzerland"/>
    <n v="0"/>
    <n v="3"/>
    <s v="FIFA World Cup qualification"/>
    <s v="Luxembourg"/>
    <s v="Luxembourg"/>
    <b v="0"/>
    <n v="2009"/>
    <n v="54467289897"/>
    <n v="554212916092"/>
    <x v="0"/>
    <n v="1"/>
    <x v="2"/>
  </r>
  <r>
    <x v="3954"/>
    <x v="1501"/>
    <x v="40"/>
    <s v="Mexico"/>
    <s v="El Salvador"/>
    <n v="4"/>
    <n v="1"/>
    <s v="FIFA World Cup qualification"/>
    <s v="Mexico City"/>
    <s v="Mexico"/>
    <b v="0"/>
    <n v="2009"/>
    <n v="943437415024"/>
    <n v="17601620000"/>
    <x v="0"/>
    <n v="1"/>
    <x v="2"/>
  </r>
  <r>
    <x v="3955"/>
    <x v="1501"/>
    <x v="40"/>
    <s v="Montenegro"/>
    <s v="Georgia"/>
    <n v="2"/>
    <n v="1"/>
    <s v="FIFA World Cup qualification"/>
    <s v="Podgorica"/>
    <s v="Montenegro"/>
    <b v="0"/>
    <n v="2009"/>
    <n v="4142640316"/>
    <n v="10766920065"/>
    <x v="0"/>
    <n v="-1"/>
    <x v="0"/>
  </r>
  <r>
    <x v="3956"/>
    <x v="1501"/>
    <x v="40"/>
    <s v="Portugal"/>
    <s v="Hungary"/>
    <n v="3"/>
    <n v="0"/>
    <s v="FIFA World Cup qualification"/>
    <s v="Lisbon"/>
    <s v="Portugal"/>
    <b v="0"/>
    <n v="2009"/>
    <n v="244667762835"/>
    <n v="130807441076"/>
    <x v="1"/>
    <n v="1"/>
    <x v="2"/>
  </r>
  <r>
    <x v="3957"/>
    <x v="1501"/>
    <x v="40"/>
    <s v="Russia"/>
    <s v="Germany"/>
    <n v="0"/>
    <n v="1"/>
    <s v="FIFA World Cup qualification"/>
    <s v="Moscow"/>
    <s v="Russia"/>
    <b v="0"/>
    <n v="2009"/>
    <n v="1222645900055"/>
    <n v="3478545516683"/>
    <x v="0"/>
    <n v="1"/>
    <x v="2"/>
  </r>
  <r>
    <x v="3958"/>
    <x v="1501"/>
    <x v="40"/>
    <s v="Serbia"/>
    <s v="Romania"/>
    <n v="5"/>
    <n v="0"/>
    <s v="FIFA World Cup qualification"/>
    <s v="Belgrade"/>
    <s v="Serbia"/>
    <b v="0"/>
    <n v="2009"/>
    <n v="46955984409"/>
    <n v="174110532658"/>
    <x v="0"/>
    <n v="-1"/>
    <x v="0"/>
  </r>
  <r>
    <x v="3959"/>
    <x v="1501"/>
    <x v="40"/>
    <s v="Ukraine"/>
    <s v="England"/>
    <n v="1"/>
    <n v="0"/>
    <s v="FIFA World Cup qualification"/>
    <s v="Dnipropetrovs'k"/>
    <s v="Ukraine"/>
    <b v="0"/>
    <n v="2009"/>
    <n v="121552153444"/>
    <n v="2429358155475"/>
    <x v="0"/>
    <n v="-1"/>
    <x v="0"/>
  </r>
  <r>
    <x v="3960"/>
    <x v="1501"/>
    <x v="40"/>
    <s v="Venezuela"/>
    <s v="Paraguay"/>
    <n v="1"/>
    <n v="2"/>
    <s v="FIFA World Cup qualification"/>
    <s v="Puerto Ordaz"/>
    <s v="Venezuela"/>
    <b v="0"/>
    <n v="2009"/>
    <n v="329787628928"/>
    <n v="22355151162"/>
    <x v="0"/>
    <n v="-1"/>
    <x v="0"/>
  </r>
  <r>
    <x v="3961"/>
    <x v="1501"/>
    <x v="40"/>
    <s v="Zambia"/>
    <s v="Egypt"/>
    <n v="0"/>
    <n v="1"/>
    <s v="FIFA World Cup qualification"/>
    <s v="Chililabombwe"/>
    <s v="Zambia"/>
    <b v="0"/>
    <n v="2009"/>
    <n v="15328342303"/>
    <n v="189147005444"/>
    <x v="0"/>
    <n v="1"/>
    <x v="2"/>
  </r>
  <r>
    <x v="3962"/>
    <x v="1502"/>
    <x v="40"/>
    <s v="Algeria"/>
    <s v="Rwanda"/>
    <n v="3"/>
    <n v="1"/>
    <s v="FIFA World Cup qualification"/>
    <s v="Blida"/>
    <s v="Algeria"/>
    <b v="0"/>
    <n v="2009"/>
    <n v="150317292079"/>
    <n v="5674476969"/>
    <x v="0"/>
    <n v="1"/>
    <x v="2"/>
  </r>
  <r>
    <x v="3963"/>
    <x v="1502"/>
    <x v="40"/>
    <s v="Benin"/>
    <s v="Ghana"/>
    <n v="1"/>
    <n v="0"/>
    <s v="FIFA World Cup qualification"/>
    <s v="Cotonou"/>
    <s v="Benin"/>
    <b v="0"/>
    <n v="2009"/>
    <n v="9738626517"/>
    <n v="26048720005"/>
    <x v="0"/>
    <n v="-1"/>
    <x v="0"/>
  </r>
  <r>
    <x v="3964"/>
    <x v="1502"/>
    <x v="40"/>
    <s v="Guinea"/>
    <s v="Burkina Faso"/>
    <n v="1"/>
    <n v="2"/>
    <s v="FIFA World Cup qualification"/>
    <s v="Accra"/>
    <s v="Ghana"/>
    <b v="1"/>
    <n v="2009"/>
    <n v="6716905339"/>
    <n v="9450696873"/>
    <x v="1"/>
    <n v="1"/>
    <x v="2"/>
  </r>
  <r>
    <x v="3965"/>
    <x v="1502"/>
    <x v="40"/>
    <s v="Mali"/>
    <s v="Sudan"/>
    <n v="1"/>
    <n v="0"/>
    <s v="FIFA World Cup qualification"/>
    <s v="Bamako"/>
    <s v="Mali"/>
    <b v="0"/>
    <n v="2009"/>
    <n v="12155217832"/>
    <n v="51621044076"/>
    <x v="0"/>
    <n v="-1"/>
    <x v="0"/>
  </r>
  <r>
    <x v="3966"/>
    <x v="1502"/>
    <x v="40"/>
    <s v="Nigeria"/>
    <s v="Mozambique"/>
    <n v="1"/>
    <n v="0"/>
    <s v="FIFA World Cup qualification"/>
    <s v="Abuja"/>
    <s v="Nigeria"/>
    <b v="0"/>
    <n v="2009"/>
    <n v="295008835380"/>
    <n v="12263894790"/>
    <x v="0"/>
    <n v="1"/>
    <x v="2"/>
  </r>
  <r>
    <x v="3967"/>
    <x v="1502"/>
    <x v="40"/>
    <s v="Bolivia"/>
    <s v="Brazil"/>
    <n v="2"/>
    <n v="1"/>
    <s v="FIFA World Cup qualification"/>
    <s v="La Paz"/>
    <s v="Bolivia"/>
    <b v="0"/>
    <n v="2009"/>
    <n v="17339992193"/>
    <n v="1666996294252"/>
    <x v="0"/>
    <n v="-1"/>
    <x v="0"/>
  </r>
  <r>
    <x v="3968"/>
    <x v="1502"/>
    <x v="40"/>
    <s v="Tunisia"/>
    <s v="Kenya"/>
    <n v="1"/>
    <n v="0"/>
    <s v="FIFA World Cup qualification"/>
    <s v="Tunis"/>
    <s v="Tunisia"/>
    <b v="0"/>
    <n v="2009"/>
    <n v="43455740497"/>
    <n v="42347217912"/>
    <x v="1"/>
    <n v="1"/>
    <x v="2"/>
  </r>
  <r>
    <x v="3969"/>
    <x v="1503"/>
    <x v="40"/>
    <s v="Andorra"/>
    <s v="Ukraine"/>
    <n v="0"/>
    <n v="6"/>
    <s v="FIFA World Cup qualification"/>
    <s v="Sant Juli√† de L√≤ria"/>
    <s v="Andorra"/>
    <b v="0"/>
    <n v="2009"/>
    <n v="3688974807"/>
    <n v="121552153444"/>
    <x v="0"/>
    <n v="1"/>
    <x v="2"/>
  </r>
  <r>
    <x v="3970"/>
    <x v="1503"/>
    <x v="40"/>
    <s v="Azerbaijan"/>
    <s v="Russia"/>
    <n v="1"/>
    <n v="1"/>
    <s v="FIFA World Cup qualification"/>
    <s v="Baku"/>
    <s v="Azerbaijan"/>
    <b v="0"/>
    <n v="2009"/>
    <n v="44292427184"/>
    <n v="1222645900055"/>
    <x v="0"/>
    <n v="0"/>
    <x v="1"/>
  </r>
  <r>
    <x v="3971"/>
    <x v="1503"/>
    <x v="40"/>
    <s v="Bosnia and Herzegovina"/>
    <s v="Spain"/>
    <n v="2"/>
    <n v="5"/>
    <s v="FIFA World Cup qualification"/>
    <s v="Zenica"/>
    <s v="Bosnia and Herzegovina"/>
    <b v="0"/>
    <n v="2009"/>
    <n v="17613949091"/>
    <n v="1496587590847"/>
    <x v="0"/>
    <n v="1"/>
    <x v="2"/>
  </r>
  <r>
    <x v="3972"/>
    <x v="1503"/>
    <x v="40"/>
    <s v="Brazil"/>
    <s v="Venezuela"/>
    <n v="0"/>
    <n v="0"/>
    <s v="FIFA World Cup qualification"/>
    <s v="Campo Grande"/>
    <s v="Brazil"/>
    <b v="0"/>
    <n v="2009"/>
    <n v="1666996294252"/>
    <n v="329787628928"/>
    <x v="0"/>
    <n v="0"/>
    <x v="1"/>
  </r>
  <r>
    <x v="3973"/>
    <x v="1503"/>
    <x v="40"/>
    <s v="Bulgaria"/>
    <s v="Georgia"/>
    <n v="6"/>
    <n v="2"/>
    <s v="FIFA World Cup qualification"/>
    <s v="Sofia"/>
    <s v="Bulgaria"/>
    <b v="0"/>
    <n v="2009"/>
    <n v="52023801230"/>
    <n v="10766920065"/>
    <x v="0"/>
    <n v="1"/>
    <x v="2"/>
  </r>
  <r>
    <x v="3974"/>
    <x v="1503"/>
    <x v="40"/>
    <s v="Chile"/>
    <s v="Ecuador"/>
    <n v="1"/>
    <n v="0"/>
    <s v="FIFA World Cup qualification"/>
    <s v="Santiago"/>
    <s v="Chile"/>
    <b v="0"/>
    <n v="2009"/>
    <n v="171777900623"/>
    <n v="60094978000"/>
    <x v="0"/>
    <n v="1"/>
    <x v="2"/>
  </r>
  <r>
    <x v="3975"/>
    <x v="1503"/>
    <x v="40"/>
    <s v="Denmark"/>
    <s v="Hungary"/>
    <n v="0"/>
    <n v="1"/>
    <s v="FIFA World Cup qualification"/>
    <s v="Copenhagen"/>
    <s v="Denmark"/>
    <b v="0"/>
    <n v="2009"/>
    <n v="322619152194"/>
    <n v="130807441076"/>
    <x v="0"/>
    <n v="-1"/>
    <x v="0"/>
  </r>
  <r>
    <x v="3976"/>
    <x v="1503"/>
    <x v="40"/>
    <s v="El Salvador"/>
    <s v="Honduras"/>
    <n v="0"/>
    <n v="1"/>
    <s v="FIFA World Cup qualification"/>
    <s v="San Salvador"/>
    <s v="El Salvador"/>
    <b v="0"/>
    <n v="2009"/>
    <n v="17601620000"/>
    <n v="14587496229"/>
    <x v="1"/>
    <n v="-1"/>
    <x v="0"/>
  </r>
  <r>
    <x v="3977"/>
    <x v="1503"/>
    <x v="40"/>
    <s v="England"/>
    <s v="Belarus"/>
    <n v="3"/>
    <n v="0"/>
    <s v="FIFA World Cup qualification"/>
    <s v="London"/>
    <s v="England"/>
    <b v="0"/>
    <n v="2009"/>
    <n v="2429358155475"/>
    <n v="50873167326"/>
    <x v="0"/>
    <n v="1"/>
    <x v="2"/>
  </r>
  <r>
    <x v="3978"/>
    <x v="1503"/>
    <x v="40"/>
    <s v="Estonia"/>
    <s v="Belgium"/>
    <n v="2"/>
    <n v="0"/>
    <s v="FIFA World Cup qualification"/>
    <s v="Tallinn"/>
    <s v="Estonia"/>
    <b v="0"/>
    <n v="2009"/>
    <n v="19633984440"/>
    <n v="485014525992"/>
    <x v="0"/>
    <n v="-1"/>
    <x v="0"/>
  </r>
  <r>
    <x v="3979"/>
    <x v="1503"/>
    <x v="40"/>
    <s v="France"/>
    <s v="Austria"/>
    <n v="3"/>
    <n v="1"/>
    <s v="FIFA World Cup qualification"/>
    <s v="Saint-Denis"/>
    <s v="France"/>
    <b v="0"/>
    <n v="2009"/>
    <n v="2700075882518"/>
    <n v="399290118782"/>
    <x v="0"/>
    <n v="1"/>
    <x v="2"/>
  </r>
  <r>
    <x v="3980"/>
    <x v="1503"/>
    <x v="40"/>
    <s v="Germany"/>
    <s v="Finland"/>
    <n v="1"/>
    <n v="1"/>
    <s v="FIFA World Cup qualification"/>
    <s v="Hamburg"/>
    <s v="Germany"/>
    <b v="0"/>
    <n v="2009"/>
    <n v="3478545516683"/>
    <n v="253480783439"/>
    <x v="0"/>
    <n v="0"/>
    <x v="1"/>
  </r>
  <r>
    <x v="3981"/>
    <x v="1503"/>
    <x v="40"/>
    <s v="Greece"/>
    <s v="Luxembourg"/>
    <n v="2"/>
    <n v="1"/>
    <s v="FIFA World Cup qualification"/>
    <s v="Athens"/>
    <s v="Greece"/>
    <b v="0"/>
    <n v="2009"/>
    <n v="326829054686"/>
    <n v="54467289897"/>
    <x v="0"/>
    <n v="1"/>
    <x v="2"/>
  </r>
  <r>
    <x v="3982"/>
    <x v="1503"/>
    <x v="40"/>
    <s v="Italy"/>
    <s v="Cyprus"/>
    <n v="3"/>
    <n v="2"/>
    <s v="FIFA World Cup qualification"/>
    <s v="Parma"/>
    <s v="Italy"/>
    <b v="0"/>
    <n v="2009"/>
    <n v="2209484319012"/>
    <n v="26048179949"/>
    <x v="0"/>
    <n v="1"/>
    <x v="2"/>
  </r>
  <r>
    <x v="3983"/>
    <x v="1503"/>
    <x v="40"/>
    <s v="Kazakhstan"/>
    <s v="Croatia"/>
    <n v="1"/>
    <n v="2"/>
    <s v="FIFA World Cup qualification"/>
    <s v="Astana"/>
    <s v="Kazakhstan"/>
    <b v="0"/>
    <n v="2009"/>
    <n v="115308686941"/>
    <n v="62315996674"/>
    <x v="1"/>
    <n v="-1"/>
    <x v="0"/>
  </r>
  <r>
    <x v="3984"/>
    <x v="1503"/>
    <x v="40"/>
    <s v="Latvia"/>
    <s v="Moldova"/>
    <n v="3"/>
    <n v="2"/>
    <s v="FIFA World Cup qualification"/>
    <s v="Riga"/>
    <s v="Latvia"/>
    <b v="0"/>
    <n v="2009"/>
    <n v="25691530442"/>
    <n v="5439434271"/>
    <x v="0"/>
    <n v="1"/>
    <x v="2"/>
  </r>
  <r>
    <x v="3985"/>
    <x v="1503"/>
    <x v="40"/>
    <s v="Lithuania"/>
    <s v="Serbia"/>
    <n v="2"/>
    <n v="1"/>
    <s v="FIFA World Cup qualification"/>
    <s v="Marijampolƒó"/>
    <s v="Lithuania"/>
    <b v="0"/>
    <n v="2009"/>
    <n v="37494380038"/>
    <n v="46955984409"/>
    <x v="1"/>
    <n v="-1"/>
    <x v="0"/>
  </r>
  <r>
    <x v="3986"/>
    <x v="1503"/>
    <x v="40"/>
    <s v="Paraguay"/>
    <s v="Colombia"/>
    <n v="0"/>
    <n v="2"/>
    <s v="FIFA World Cup qualification"/>
    <s v="Asunci√≥n"/>
    <s v="Paraguay"/>
    <b v="0"/>
    <n v="2009"/>
    <n v="22355151162"/>
    <n v="232468663109"/>
    <x v="0"/>
    <n v="1"/>
    <x v="2"/>
  </r>
  <r>
    <x v="3987"/>
    <x v="1503"/>
    <x v="40"/>
    <s v="Peru"/>
    <s v="Bolivia"/>
    <n v="1"/>
    <n v="0"/>
    <s v="FIFA World Cup qualification"/>
    <s v="Lima"/>
    <s v="Peru"/>
    <b v="0"/>
    <n v="2009"/>
    <n v="120822986521"/>
    <n v="17339992193"/>
    <x v="0"/>
    <n v="1"/>
    <x v="2"/>
  </r>
  <r>
    <x v="3988"/>
    <x v="1503"/>
    <x v="40"/>
    <s v="Portugal"/>
    <s v="Malta"/>
    <n v="4"/>
    <n v="0"/>
    <s v="FIFA World Cup qualification"/>
    <s v="Guimar√£es"/>
    <s v="Portugal"/>
    <b v="0"/>
    <n v="2009"/>
    <n v="244667762835"/>
    <n v="8734745697"/>
    <x v="0"/>
    <n v="1"/>
    <x v="2"/>
  </r>
  <r>
    <x v="3989"/>
    <x v="1503"/>
    <x v="40"/>
    <s v="Romania"/>
    <s v="Faroe Islands"/>
    <n v="3"/>
    <n v="1"/>
    <s v="FIFA World Cup qualification"/>
    <s v="Piatra Neam≈£"/>
    <s v="Romania"/>
    <b v="0"/>
    <n v="2009"/>
    <n v="174110532658"/>
    <n v="2296065170"/>
    <x v="0"/>
    <n v="1"/>
    <x v="2"/>
  </r>
  <r>
    <x v="3990"/>
    <x v="1503"/>
    <x v="40"/>
    <s v="San Marino"/>
    <s v="Slovenia"/>
    <n v="0"/>
    <n v="3"/>
    <s v="FIFA World Cup qualification"/>
    <s v="Serravalle"/>
    <s v="San Marino"/>
    <b v="0"/>
    <n v="2009"/>
    <n v="2064277126"/>
    <n v="49975540954"/>
    <x v="0"/>
    <n v="1"/>
    <x v="2"/>
  </r>
  <r>
    <x v="3991"/>
    <x v="1503"/>
    <x v="40"/>
    <s v="Sweden"/>
    <s v="Albania"/>
    <n v="4"/>
    <n v="1"/>
    <s v="FIFA World Cup qualification"/>
    <s v="Solna"/>
    <s v="Sweden"/>
    <b v="0"/>
    <n v="2009"/>
    <n v="434311714442"/>
    <n v="12335540656"/>
    <x v="0"/>
    <n v="1"/>
    <x v="2"/>
  </r>
  <r>
    <x v="3992"/>
    <x v="1503"/>
    <x v="40"/>
    <s v="Switzerland"/>
    <s v="Israel"/>
    <n v="0"/>
    <n v="0"/>
    <s v="FIFA World Cup qualification"/>
    <s v="Basel"/>
    <s v="Switzerland"/>
    <b v="0"/>
    <n v="2009"/>
    <n v="554212916092"/>
    <n v="213403181852"/>
    <x v="0"/>
    <n v="0"/>
    <x v="1"/>
  </r>
  <r>
    <x v="3993"/>
    <x v="1503"/>
    <x v="40"/>
    <s v="Trinidad and Tobago"/>
    <s v="Mexico"/>
    <n v="2"/>
    <n v="2"/>
    <s v="FIFA World Cup qualification"/>
    <s v="Port of Spain"/>
    <s v="Trinidad and Tobago"/>
    <b v="0"/>
    <n v="2009"/>
    <n v="19172165225"/>
    <n v="943437415024"/>
    <x v="0"/>
    <n v="0"/>
    <x v="1"/>
  </r>
  <r>
    <x v="3994"/>
    <x v="1503"/>
    <x v="40"/>
    <s v="Uruguay"/>
    <s v="Argentina"/>
    <n v="0"/>
    <n v="1"/>
    <s v="FIFA World Cup qualification"/>
    <s v="Montevideo"/>
    <s v="Uruguay"/>
    <b v="0"/>
    <n v="2009"/>
    <n v="32708319077"/>
    <n v="332976484577"/>
    <x v="0"/>
    <n v="1"/>
    <x v="2"/>
  </r>
  <r>
    <x v="3995"/>
    <x v="1503"/>
    <x v="40"/>
    <s v="United States"/>
    <s v="Costa Rica"/>
    <n v="2"/>
    <n v="2"/>
    <s v="FIFA World Cup qualification"/>
    <s v="Washington, D.C."/>
    <s v="United States"/>
    <b v="0"/>
    <n v="2009"/>
    <n v="14478064934000"/>
    <n v="30745714312"/>
    <x v="0"/>
    <n v="0"/>
    <x v="1"/>
  </r>
  <r>
    <x v="3996"/>
    <x v="1504"/>
    <x v="40"/>
    <s v="Burkina Faso"/>
    <s v="Malawi"/>
    <n v="1"/>
    <n v="0"/>
    <s v="FIFA World Cup qualification"/>
    <s v="Ouagadougou"/>
    <s v="Burkina Faso"/>
    <b v="0"/>
    <n v="2009"/>
    <n v="9450696873"/>
    <n v="9009887946"/>
    <x v="1"/>
    <n v="1"/>
    <x v="2"/>
  </r>
  <r>
    <x v="3997"/>
    <x v="1504"/>
    <x v="40"/>
    <s v="Costa Rica"/>
    <s v="Uruguay"/>
    <n v="0"/>
    <n v="1"/>
    <s v="FIFA World Cup qualification"/>
    <s v="San Jos√©"/>
    <s v="Costa Rica"/>
    <b v="0"/>
    <n v="2009"/>
    <n v="30745714312"/>
    <n v="32708319077"/>
    <x v="1"/>
    <n v="1"/>
    <x v="2"/>
  </r>
  <r>
    <x v="3998"/>
    <x v="1504"/>
    <x v="40"/>
    <s v="Egypt"/>
    <s v="Algeria"/>
    <n v="2"/>
    <n v="0"/>
    <s v="FIFA World Cup qualification"/>
    <s v="Cairo"/>
    <s v="Egypt"/>
    <b v="0"/>
    <n v="2009"/>
    <n v="189147005444"/>
    <n v="150317292079"/>
    <x v="1"/>
    <n v="1"/>
    <x v="2"/>
  </r>
  <r>
    <x v="3999"/>
    <x v="1504"/>
    <x v="40"/>
    <s v="Greece"/>
    <s v="Ukraine"/>
    <n v="0"/>
    <n v="0"/>
    <s v="FIFA World Cup qualification"/>
    <s v="Athens"/>
    <s v="Greece"/>
    <b v="0"/>
    <n v="2009"/>
    <n v="326829054686"/>
    <n v="121552153444"/>
    <x v="0"/>
    <n v="0"/>
    <x v="1"/>
  </r>
  <r>
    <x v="4000"/>
    <x v="1504"/>
    <x v="40"/>
    <s v="Kenya"/>
    <s v="Nigeria"/>
    <n v="2"/>
    <n v="3"/>
    <s v="FIFA World Cup qualification"/>
    <s v="Nairobi"/>
    <s v="Kenya"/>
    <b v="0"/>
    <n v="2009"/>
    <n v="42347217912"/>
    <n v="295008835380"/>
    <x v="0"/>
    <n v="1"/>
    <x v="2"/>
  </r>
  <r>
    <x v="4001"/>
    <x v="1504"/>
    <x v="40"/>
    <s v="Morocco"/>
    <s v="Cameroon"/>
    <n v="0"/>
    <n v="2"/>
    <s v="FIFA World Cup qualification"/>
    <s v="Fez"/>
    <s v="Morocco"/>
    <b v="0"/>
    <n v="2009"/>
    <n v="101154952240"/>
    <n v="27932970317"/>
    <x v="0"/>
    <n v="-1"/>
    <x v="0"/>
  </r>
  <r>
    <x v="4002"/>
    <x v="1504"/>
    <x v="40"/>
    <s v="Mozambique"/>
    <s v="Tunisia"/>
    <n v="1"/>
    <n v="0"/>
    <s v="FIFA World Cup qualification"/>
    <s v="Maputo"/>
    <s v="Mozambique"/>
    <b v="0"/>
    <n v="2009"/>
    <n v="12263894790"/>
    <n v="43455740497"/>
    <x v="0"/>
    <n v="-1"/>
    <x v="0"/>
  </r>
  <r>
    <x v="4003"/>
    <x v="1504"/>
    <x v="40"/>
    <s v="New Zealand"/>
    <s v="Bahrain"/>
    <n v="1"/>
    <n v="0"/>
    <s v="FIFA World Cup qualification"/>
    <s v="Wellington"/>
    <s v="New Zealand"/>
    <b v="0"/>
    <n v="2009"/>
    <n v="121663439315"/>
    <n v="22938218085"/>
    <x v="0"/>
    <n v="1"/>
    <x v="2"/>
  </r>
  <r>
    <x v="4004"/>
    <x v="1504"/>
    <x v="40"/>
    <s v="Portugal"/>
    <s v="Bosnia and Herzegovina"/>
    <n v="1"/>
    <n v="0"/>
    <s v="FIFA World Cup qualification"/>
    <s v="Lisbon"/>
    <s v="Portugal"/>
    <b v="0"/>
    <n v="2009"/>
    <n v="244667762835"/>
    <n v="17613949091"/>
    <x v="0"/>
    <n v="1"/>
    <x v="2"/>
  </r>
  <r>
    <x v="4005"/>
    <x v="1504"/>
    <x v="40"/>
    <s v="Russia"/>
    <s v="Slovenia"/>
    <n v="2"/>
    <n v="1"/>
    <s v="FIFA World Cup qualification"/>
    <s v="Moscow"/>
    <s v="Russia"/>
    <b v="0"/>
    <n v="2009"/>
    <n v="1222645900055"/>
    <n v="49975540954"/>
    <x v="0"/>
    <n v="1"/>
    <x v="2"/>
  </r>
  <r>
    <x v="4006"/>
    <x v="1504"/>
    <x v="40"/>
    <s v="Rwanda"/>
    <s v="Zambia"/>
    <n v="0"/>
    <n v="0"/>
    <s v="FIFA World Cup qualification"/>
    <s v="Kigali"/>
    <s v="Rwanda"/>
    <b v="0"/>
    <n v="2009"/>
    <n v="5674476969"/>
    <n v="15328342303"/>
    <x v="0"/>
    <n v="0"/>
    <x v="1"/>
  </r>
  <r>
    <x v="4007"/>
    <x v="1504"/>
    <x v="40"/>
    <s v="Sudan"/>
    <s v="Benin"/>
    <n v="1"/>
    <n v="2"/>
    <s v="FIFA World Cup qualification"/>
    <s v="Omdurman"/>
    <s v="Sudan"/>
    <b v="0"/>
    <n v="2009"/>
    <n v="51621044076"/>
    <n v="9738626517"/>
    <x v="0"/>
    <n v="-1"/>
    <x v="0"/>
  </r>
  <r>
    <x v="4008"/>
    <x v="1504"/>
    <x v="40"/>
    <s v="Togo"/>
    <s v="Gabon"/>
    <n v="1"/>
    <n v="0"/>
    <s v="FIFA World Cup qualification"/>
    <s v="Lom√©"/>
    <s v="Togo"/>
    <b v="0"/>
    <n v="2009"/>
    <n v="4721888275"/>
    <n v="12113699068"/>
    <x v="0"/>
    <n v="-1"/>
    <x v="0"/>
  </r>
  <r>
    <x v="4009"/>
    <x v="1505"/>
    <x v="40"/>
    <s v="Ghana"/>
    <s v="Mali"/>
    <n v="2"/>
    <n v="2"/>
    <s v="FIFA World Cup qualification"/>
    <s v="Kumasi"/>
    <s v="Ghana"/>
    <b v="0"/>
    <n v="2009"/>
    <n v="26048720005"/>
    <n v="12155217832"/>
    <x v="0"/>
    <n v="0"/>
    <x v="1"/>
  </r>
  <r>
    <x v="4010"/>
    <x v="1506"/>
    <x v="40"/>
    <s v="Algeria"/>
    <s v="Egypt"/>
    <n v="1"/>
    <n v="0"/>
    <s v="FIFA World Cup qualification"/>
    <s v="Omdurman"/>
    <s v="Sudan"/>
    <b v="1"/>
    <n v="2009"/>
    <n v="150317292079"/>
    <n v="189147005444"/>
    <x v="1"/>
    <n v="-1"/>
    <x v="0"/>
  </r>
  <r>
    <x v="4011"/>
    <x v="1506"/>
    <x v="40"/>
    <s v="Bosnia and Herzegovina"/>
    <s v="Portugal"/>
    <n v="0"/>
    <n v="1"/>
    <s v="FIFA World Cup qualification"/>
    <s v="Zenica"/>
    <s v="Bosnia and Herzegovina"/>
    <b v="0"/>
    <n v="2009"/>
    <n v="17613949091"/>
    <n v="244667762835"/>
    <x v="0"/>
    <n v="1"/>
    <x v="2"/>
  </r>
  <r>
    <x v="4012"/>
    <x v="1506"/>
    <x v="40"/>
    <s v="Slovenia"/>
    <s v="Russia"/>
    <n v="1"/>
    <n v="0"/>
    <s v="FIFA World Cup qualification"/>
    <s v="Maribor"/>
    <s v="Slovenia"/>
    <b v="0"/>
    <n v="2009"/>
    <n v="49975540954"/>
    <n v="1222645900055"/>
    <x v="0"/>
    <n v="-1"/>
    <x v="0"/>
  </r>
  <r>
    <x v="4013"/>
    <x v="1506"/>
    <x v="40"/>
    <s v="Ukraine"/>
    <s v="Greece"/>
    <n v="0"/>
    <n v="1"/>
    <s v="FIFA World Cup qualification"/>
    <s v="Donetsk"/>
    <s v="Ukraine"/>
    <b v="0"/>
    <n v="2009"/>
    <n v="121552153444"/>
    <n v="326829054686"/>
    <x v="0"/>
    <n v="1"/>
    <x v="2"/>
  </r>
  <r>
    <x v="4014"/>
    <x v="1506"/>
    <x v="40"/>
    <s v="Uruguay"/>
    <s v="Costa Rica"/>
    <n v="1"/>
    <n v="1"/>
    <s v="FIFA World Cup qualification"/>
    <s v="Montevideo"/>
    <s v="Uruguay"/>
    <b v="0"/>
    <n v="2009"/>
    <n v="32708319077"/>
    <n v="30745714312"/>
    <x v="1"/>
    <n v="0"/>
    <x v="1"/>
  </r>
  <r>
    <x v="4015"/>
    <x v="1507"/>
    <x v="41"/>
    <s v="South Africa"/>
    <s v="Mexico"/>
    <n v="1"/>
    <n v="1"/>
    <s v="FIFA World Cup"/>
    <s v="Johannesburg"/>
    <s v="South Africa"/>
    <b v="0"/>
    <n v="2010"/>
    <n v="417363822801"/>
    <n v="1105424238731"/>
    <x v="0"/>
    <n v="0"/>
    <x v="1"/>
  </r>
  <r>
    <x v="4016"/>
    <x v="1507"/>
    <x v="41"/>
    <s v="Uruguay"/>
    <s v="France"/>
    <n v="0"/>
    <n v="0"/>
    <s v="FIFA World Cup"/>
    <s v="Cape Town"/>
    <s v="South Africa"/>
    <b v="1"/>
    <n v="2010"/>
    <n v="41950361211"/>
    <n v="2646230027988"/>
    <x v="0"/>
    <n v="0"/>
    <x v="1"/>
  </r>
  <r>
    <x v="4017"/>
    <x v="1508"/>
    <x v="41"/>
    <s v="Argentina"/>
    <s v="Nigeria"/>
    <n v="1"/>
    <n v="0"/>
    <s v="FIFA World Cup"/>
    <s v="Johannesburg"/>
    <s v="South Africa"/>
    <b v="1"/>
    <n v="2010"/>
    <n v="423627422092"/>
    <n v="366990417129"/>
    <x v="1"/>
    <n v="1"/>
    <x v="2"/>
  </r>
  <r>
    <x v="4018"/>
    <x v="1508"/>
    <x v="41"/>
    <s v="England"/>
    <s v="United States"/>
    <n v="1"/>
    <n v="1"/>
    <s v="FIFA World Cup"/>
    <s v="Rustenburg"/>
    <s v="South Africa"/>
    <b v="1"/>
    <n v="2010"/>
    <n v="2496740681057"/>
    <n v="15048964444000"/>
    <x v="0"/>
    <n v="0"/>
    <x v="1"/>
  </r>
  <r>
    <x v="4019"/>
    <x v="1508"/>
    <x v="41"/>
    <s v="South Korea"/>
    <s v="Greece"/>
    <n v="2"/>
    <n v="0"/>
    <s v="FIFA World Cup"/>
    <s v="Port Elizabeth"/>
    <s v="South Africa"/>
    <b v="1"/>
    <n v="2010"/>
    <n v="1192830015737"/>
    <n v="296417644404"/>
    <x v="0"/>
    <n v="1"/>
    <x v="2"/>
  </r>
  <r>
    <x v="4020"/>
    <x v="1509"/>
    <x v="41"/>
    <s v="Algeria"/>
    <s v="Slovenia"/>
    <n v="0"/>
    <n v="1"/>
    <s v="FIFA World Cup"/>
    <s v="Polokwane"/>
    <s v="South Africa"/>
    <b v="1"/>
    <n v="2010"/>
    <n v="177785053939"/>
    <n v="47793117240"/>
    <x v="0"/>
    <n v="-1"/>
    <x v="0"/>
  </r>
  <r>
    <x v="4021"/>
    <x v="1509"/>
    <x v="41"/>
    <s v="Germany"/>
    <s v="Australia"/>
    <n v="4"/>
    <n v="0"/>
    <s v="FIFA World Cup"/>
    <s v="Durban"/>
    <s v="South Africa"/>
    <b v="1"/>
    <n v="2010"/>
    <n v="3467093769666"/>
    <n v="1152566632022"/>
    <x v="0"/>
    <n v="1"/>
    <x v="2"/>
  </r>
  <r>
    <x v="4022"/>
    <x v="1509"/>
    <x v="41"/>
    <s v="Serbia"/>
    <s v="Ghana"/>
    <n v="0"/>
    <n v="1"/>
    <s v="FIFA World Cup"/>
    <s v="Pretoria"/>
    <s v="South Africa"/>
    <b v="1"/>
    <n v="2010"/>
    <n v="43536629233"/>
    <n v="32197655566"/>
    <x v="1"/>
    <n v="-1"/>
    <x v="0"/>
  </r>
  <r>
    <x v="4023"/>
    <x v="1510"/>
    <x v="41"/>
    <s v="Italy"/>
    <s v="Paraguay"/>
    <n v="1"/>
    <n v="1"/>
    <s v="FIFA World Cup"/>
    <s v="Cape Town"/>
    <s v="South Africa"/>
    <b v="1"/>
    <n v="2010"/>
    <n v="2144936254535"/>
    <n v="27260886405"/>
    <x v="0"/>
    <n v="0"/>
    <x v="1"/>
  </r>
  <r>
    <x v="4024"/>
    <x v="1510"/>
    <x v="41"/>
    <s v="Japan"/>
    <s v="Cameroon"/>
    <n v="1"/>
    <n v="0"/>
    <s v="FIFA World Cup"/>
    <s v="Bloemfontein"/>
    <s v="South Africa"/>
    <b v="1"/>
    <n v="2010"/>
    <n v="5759071769013"/>
    <n v="27507501821"/>
    <x v="0"/>
    <n v="1"/>
    <x v="2"/>
  </r>
  <r>
    <x v="4025"/>
    <x v="1510"/>
    <x v="41"/>
    <s v="Netherlands"/>
    <s v="Denmark"/>
    <n v="2"/>
    <n v="0"/>
    <s v="FIFA World Cup"/>
    <s v="Johannesburg"/>
    <s v="South Africa"/>
    <b v="1"/>
    <n v="2010"/>
    <n v="852464982433"/>
    <n v="322345594075"/>
    <x v="0"/>
    <n v="1"/>
    <x v="2"/>
  </r>
  <r>
    <x v="4026"/>
    <x v="1511"/>
    <x v="41"/>
    <s v="Honduras"/>
    <s v="Chile"/>
    <n v="0"/>
    <n v="1"/>
    <s v="FIFA World Cup"/>
    <s v="Nelspruit"/>
    <s v="South Africa"/>
    <b v="1"/>
    <n v="2010"/>
    <n v="15839344591"/>
    <n v="217051209238"/>
    <x v="0"/>
    <n v="1"/>
    <x v="2"/>
  </r>
  <r>
    <x v="4027"/>
    <x v="1511"/>
    <x v="41"/>
    <s v="South Africa"/>
    <s v="Uruguay"/>
    <n v="0"/>
    <n v="3"/>
    <s v="FIFA World Cup"/>
    <s v="Pretoria"/>
    <s v="South Africa"/>
    <b v="0"/>
    <n v="2010"/>
    <n v="417363822801"/>
    <n v="41950361211"/>
    <x v="0"/>
    <n v="-1"/>
    <x v="0"/>
  </r>
  <r>
    <x v="4028"/>
    <x v="1511"/>
    <x v="41"/>
    <s v="Spain"/>
    <s v="Switzerland"/>
    <n v="0"/>
    <n v="1"/>
    <s v="FIFA World Cup"/>
    <s v="Durban"/>
    <s v="South Africa"/>
    <b v="1"/>
    <n v="2010"/>
    <n v="1427989078916"/>
    <n v="598851028906"/>
    <x v="0"/>
    <n v="-1"/>
    <x v="0"/>
  </r>
  <r>
    <x v="4029"/>
    <x v="1512"/>
    <x v="41"/>
    <s v="Argentina"/>
    <s v="South Korea"/>
    <n v="4"/>
    <n v="1"/>
    <s v="FIFA World Cup"/>
    <s v="Johannesburg"/>
    <s v="South Africa"/>
    <b v="1"/>
    <n v="2010"/>
    <n v="423627422092"/>
    <n v="1192830015737"/>
    <x v="0"/>
    <n v="-1"/>
    <x v="0"/>
  </r>
  <r>
    <x v="4030"/>
    <x v="1512"/>
    <x v="41"/>
    <s v="France"/>
    <s v="Mexico"/>
    <n v="0"/>
    <n v="2"/>
    <s v="FIFA World Cup"/>
    <s v="Polokwane"/>
    <s v="South Africa"/>
    <b v="1"/>
    <n v="2010"/>
    <n v="2646230027988"/>
    <n v="1105424238731"/>
    <x v="0"/>
    <n v="-1"/>
    <x v="0"/>
  </r>
  <r>
    <x v="4031"/>
    <x v="1512"/>
    <x v="41"/>
    <s v="Greece"/>
    <s v="Nigeria"/>
    <n v="2"/>
    <n v="1"/>
    <s v="FIFA World Cup"/>
    <s v="Bloemfontein"/>
    <s v="South Africa"/>
    <b v="1"/>
    <n v="2010"/>
    <n v="296417644404"/>
    <n v="366990417129"/>
    <x v="1"/>
    <n v="-1"/>
    <x v="0"/>
  </r>
  <r>
    <x v="4032"/>
    <x v="1513"/>
    <x v="41"/>
    <s v="England"/>
    <s v="Algeria"/>
    <n v="0"/>
    <n v="0"/>
    <s v="FIFA World Cup"/>
    <s v="Cape Town"/>
    <s v="South Africa"/>
    <b v="1"/>
    <n v="2010"/>
    <n v="2496740681057"/>
    <n v="177785053939"/>
    <x v="0"/>
    <n v="0"/>
    <x v="1"/>
  </r>
  <r>
    <x v="4033"/>
    <x v="1513"/>
    <x v="41"/>
    <s v="Germany"/>
    <s v="Serbia"/>
    <n v="0"/>
    <n v="1"/>
    <s v="FIFA World Cup"/>
    <s v="Port Elizabeth"/>
    <s v="South Africa"/>
    <b v="1"/>
    <n v="2010"/>
    <n v="3467093769666"/>
    <n v="43536629233"/>
    <x v="0"/>
    <n v="-1"/>
    <x v="0"/>
  </r>
  <r>
    <x v="4034"/>
    <x v="1513"/>
    <x v="41"/>
    <s v="Slovenia"/>
    <s v="United States"/>
    <n v="2"/>
    <n v="2"/>
    <s v="FIFA World Cup"/>
    <s v="Johannesburg"/>
    <s v="South Africa"/>
    <b v="1"/>
    <n v="2010"/>
    <n v="47793117240"/>
    <n v="15048964444000"/>
    <x v="0"/>
    <n v="0"/>
    <x v="1"/>
  </r>
  <r>
    <x v="4035"/>
    <x v="1514"/>
    <x v="41"/>
    <s v="Cameroon"/>
    <s v="Denmark"/>
    <n v="1"/>
    <n v="2"/>
    <s v="FIFA World Cup"/>
    <s v="Pretoria"/>
    <s v="South Africa"/>
    <b v="1"/>
    <n v="2010"/>
    <n v="27507501821"/>
    <n v="322345594075"/>
    <x v="0"/>
    <n v="1"/>
    <x v="2"/>
  </r>
  <r>
    <x v="4036"/>
    <x v="1514"/>
    <x v="41"/>
    <s v="Ghana"/>
    <s v="Australia"/>
    <n v="1"/>
    <n v="1"/>
    <s v="FIFA World Cup"/>
    <s v="Rustenburg"/>
    <s v="South Africa"/>
    <b v="1"/>
    <n v="2010"/>
    <n v="32197655566"/>
    <n v="1152566632022"/>
    <x v="0"/>
    <n v="0"/>
    <x v="1"/>
  </r>
  <r>
    <x v="4037"/>
    <x v="1514"/>
    <x v="41"/>
    <s v="Netherlands"/>
    <s v="Japan"/>
    <n v="1"/>
    <n v="0"/>
    <s v="FIFA World Cup"/>
    <s v="Durban"/>
    <s v="South Africa"/>
    <b v="1"/>
    <n v="2010"/>
    <n v="852464982433"/>
    <n v="5759071769013"/>
    <x v="0"/>
    <n v="-1"/>
    <x v="0"/>
  </r>
  <r>
    <x v="4038"/>
    <x v="1515"/>
    <x v="41"/>
    <s v="Italy"/>
    <s v="New Zealand"/>
    <n v="1"/>
    <n v="1"/>
    <s v="FIFA World Cup"/>
    <s v="Nelspruit"/>
    <s v="South Africa"/>
    <b v="1"/>
    <n v="2010"/>
    <n v="2144936254535"/>
    <n v="146887902524"/>
    <x v="0"/>
    <n v="0"/>
    <x v="1"/>
  </r>
  <r>
    <x v="4039"/>
    <x v="1516"/>
    <x v="41"/>
    <s v="Chile"/>
    <s v="Switzerland"/>
    <n v="1"/>
    <n v="0"/>
    <s v="FIFA World Cup"/>
    <s v="Port Elizabeth"/>
    <s v="South Africa"/>
    <b v="1"/>
    <n v="2010"/>
    <n v="217051209238"/>
    <n v="598851028906"/>
    <x v="0"/>
    <n v="-1"/>
    <x v="0"/>
  </r>
  <r>
    <x v="4040"/>
    <x v="1516"/>
    <x v="41"/>
    <s v="Spain"/>
    <s v="Honduras"/>
    <n v="2"/>
    <n v="0"/>
    <s v="FIFA World Cup"/>
    <s v="Johannesburg"/>
    <s v="South Africa"/>
    <b v="1"/>
    <n v="2010"/>
    <n v="1427989078916"/>
    <n v="15839344591"/>
    <x v="0"/>
    <n v="1"/>
    <x v="2"/>
  </r>
  <r>
    <x v="4041"/>
    <x v="1517"/>
    <x v="41"/>
    <s v="Greece"/>
    <s v="Argentina"/>
    <n v="0"/>
    <n v="2"/>
    <s v="FIFA World Cup"/>
    <s v="Polokwane"/>
    <s v="South Africa"/>
    <b v="1"/>
    <n v="2010"/>
    <n v="296417644404"/>
    <n v="423627422092"/>
    <x v="1"/>
    <n v="1"/>
    <x v="2"/>
  </r>
  <r>
    <x v="4042"/>
    <x v="1517"/>
    <x v="41"/>
    <s v="Mexico"/>
    <s v="Uruguay"/>
    <n v="0"/>
    <n v="1"/>
    <s v="FIFA World Cup"/>
    <s v="Rustenburg"/>
    <s v="South Africa"/>
    <b v="1"/>
    <n v="2010"/>
    <n v="1105424238731"/>
    <n v="41950361211"/>
    <x v="0"/>
    <n v="-1"/>
    <x v="0"/>
  </r>
  <r>
    <x v="4043"/>
    <x v="1517"/>
    <x v="41"/>
    <s v="Nigeria"/>
    <s v="South Korea"/>
    <n v="2"/>
    <n v="2"/>
    <s v="FIFA World Cup"/>
    <s v="Durban"/>
    <s v="South Africa"/>
    <b v="1"/>
    <n v="2010"/>
    <n v="366990417129"/>
    <n v="1192830015737"/>
    <x v="0"/>
    <n v="0"/>
    <x v="1"/>
  </r>
  <r>
    <x v="4044"/>
    <x v="1517"/>
    <x v="41"/>
    <s v="South Africa"/>
    <s v="France"/>
    <n v="2"/>
    <n v="1"/>
    <s v="FIFA World Cup"/>
    <s v="Bloemfontein"/>
    <s v="South Africa"/>
    <b v="0"/>
    <n v="2010"/>
    <n v="417363822801"/>
    <n v="2646230027988"/>
    <x v="0"/>
    <n v="-1"/>
    <x v="0"/>
  </r>
  <r>
    <x v="4045"/>
    <x v="1518"/>
    <x v="41"/>
    <s v="Australia"/>
    <s v="Serbia"/>
    <n v="2"/>
    <n v="1"/>
    <s v="FIFA World Cup"/>
    <s v="Nelspruit"/>
    <s v="South Africa"/>
    <b v="1"/>
    <n v="2010"/>
    <n v="1152566632022"/>
    <n v="43536629233"/>
    <x v="0"/>
    <n v="1"/>
    <x v="2"/>
  </r>
  <r>
    <x v="4046"/>
    <x v="1518"/>
    <x v="41"/>
    <s v="Ghana"/>
    <s v="Germany"/>
    <n v="0"/>
    <n v="1"/>
    <s v="FIFA World Cup"/>
    <s v="Johannesburg"/>
    <s v="South Africa"/>
    <b v="1"/>
    <n v="2010"/>
    <n v="32197655566"/>
    <n v="3467093769666"/>
    <x v="0"/>
    <n v="1"/>
    <x v="2"/>
  </r>
  <r>
    <x v="4047"/>
    <x v="1518"/>
    <x v="41"/>
    <s v="Slovenia"/>
    <s v="England"/>
    <n v="0"/>
    <n v="1"/>
    <s v="FIFA World Cup"/>
    <s v="Port Elizabeth"/>
    <s v="South Africa"/>
    <b v="1"/>
    <n v="2010"/>
    <n v="47793117240"/>
    <n v="2496740681057"/>
    <x v="0"/>
    <n v="1"/>
    <x v="2"/>
  </r>
  <r>
    <x v="4048"/>
    <x v="1518"/>
    <x v="41"/>
    <s v="United States"/>
    <s v="Algeria"/>
    <n v="1"/>
    <n v="0"/>
    <s v="FIFA World Cup"/>
    <s v="Pretoria"/>
    <s v="South Africa"/>
    <b v="1"/>
    <n v="2010"/>
    <n v="15048964444000"/>
    <n v="177785053939"/>
    <x v="0"/>
    <n v="1"/>
    <x v="2"/>
  </r>
  <r>
    <x v="4049"/>
    <x v="1519"/>
    <x v="41"/>
    <s v="Cameroon"/>
    <s v="Netherlands"/>
    <n v="1"/>
    <n v="2"/>
    <s v="FIFA World Cup"/>
    <s v="Cape Town"/>
    <s v="South Africa"/>
    <b v="1"/>
    <n v="2010"/>
    <n v="27507501821"/>
    <n v="852464982433"/>
    <x v="0"/>
    <n v="1"/>
    <x v="2"/>
  </r>
  <r>
    <x v="4050"/>
    <x v="1519"/>
    <x v="41"/>
    <s v="Denmark"/>
    <s v="Japan"/>
    <n v="1"/>
    <n v="3"/>
    <s v="FIFA World Cup"/>
    <s v="Rustenburg"/>
    <s v="South Africa"/>
    <b v="1"/>
    <n v="2010"/>
    <n v="322345594075"/>
    <n v="5759071769013"/>
    <x v="0"/>
    <n v="1"/>
    <x v="2"/>
  </r>
  <r>
    <x v="4051"/>
    <x v="1519"/>
    <x v="41"/>
    <s v="Paraguay"/>
    <s v="New Zealand"/>
    <n v="0"/>
    <n v="0"/>
    <s v="FIFA World Cup"/>
    <s v="Polokwane"/>
    <s v="South Africa"/>
    <b v="1"/>
    <n v="2010"/>
    <n v="27260886405"/>
    <n v="146887902524"/>
    <x v="0"/>
    <n v="0"/>
    <x v="1"/>
  </r>
  <r>
    <x v="4052"/>
    <x v="1520"/>
    <x v="41"/>
    <s v="Chile"/>
    <s v="Spain"/>
    <n v="1"/>
    <n v="2"/>
    <s v="FIFA World Cup"/>
    <s v="Pretoria"/>
    <s v="South Africa"/>
    <b v="1"/>
    <n v="2010"/>
    <n v="217051209238"/>
    <n v="1427989078916"/>
    <x v="0"/>
    <n v="1"/>
    <x v="2"/>
  </r>
  <r>
    <x v="4053"/>
    <x v="1520"/>
    <x v="41"/>
    <s v="Portugal"/>
    <s v="Brazil"/>
    <n v="0"/>
    <n v="0"/>
    <s v="FIFA World Cup"/>
    <s v="Durban"/>
    <s v="South Africa"/>
    <b v="1"/>
    <n v="2010"/>
    <n v="238443864993"/>
    <n v="2208838108484"/>
    <x v="0"/>
    <n v="0"/>
    <x v="1"/>
  </r>
  <r>
    <x v="4054"/>
    <x v="1520"/>
    <x v="41"/>
    <s v="Switzerland"/>
    <s v="Honduras"/>
    <n v="0"/>
    <n v="0"/>
    <s v="FIFA World Cup"/>
    <s v="Bloemfontein"/>
    <s v="South Africa"/>
    <b v="1"/>
    <n v="2010"/>
    <n v="598851028906"/>
    <n v="15839344591"/>
    <x v="0"/>
    <n v="0"/>
    <x v="1"/>
  </r>
  <r>
    <x v="4055"/>
    <x v="1521"/>
    <x v="41"/>
    <s v="Uruguay"/>
    <s v="South Korea"/>
    <n v="2"/>
    <n v="1"/>
    <s v="FIFA World Cup"/>
    <s v="Port Elizabeth"/>
    <s v="South Africa"/>
    <b v="1"/>
    <n v="2010"/>
    <n v="41950361211"/>
    <n v="1192830015737"/>
    <x v="0"/>
    <n v="-1"/>
    <x v="0"/>
  </r>
  <r>
    <x v="4056"/>
    <x v="1521"/>
    <x v="41"/>
    <s v="United States"/>
    <s v="Ghana"/>
    <n v="1"/>
    <n v="2"/>
    <s v="FIFA World Cup"/>
    <s v="Rustenburg"/>
    <s v="South Africa"/>
    <b v="1"/>
    <n v="2010"/>
    <n v="15048964444000"/>
    <n v="32197655566"/>
    <x v="0"/>
    <n v="-1"/>
    <x v="0"/>
  </r>
  <r>
    <x v="4057"/>
    <x v="1522"/>
    <x v="41"/>
    <s v="Argentina"/>
    <s v="Mexico"/>
    <n v="3"/>
    <n v="1"/>
    <s v="FIFA World Cup"/>
    <s v="Johannesburg"/>
    <s v="South Africa"/>
    <b v="1"/>
    <n v="2010"/>
    <n v="423627422092"/>
    <n v="1105424238731"/>
    <x v="0"/>
    <n v="-1"/>
    <x v="0"/>
  </r>
  <r>
    <x v="4058"/>
    <x v="1522"/>
    <x v="41"/>
    <s v="Germany"/>
    <s v="England"/>
    <n v="4"/>
    <n v="1"/>
    <s v="FIFA World Cup"/>
    <s v="Bloemfontein"/>
    <s v="South Africa"/>
    <b v="1"/>
    <n v="2010"/>
    <n v="3467093769666"/>
    <n v="2496740681057"/>
    <x v="1"/>
    <n v="1"/>
    <x v="2"/>
  </r>
  <r>
    <x v="4059"/>
    <x v="1523"/>
    <x v="41"/>
    <s v="Brazil"/>
    <s v="Chile"/>
    <n v="3"/>
    <n v="0"/>
    <s v="FIFA World Cup"/>
    <s v="Johannesburg"/>
    <s v="South Africa"/>
    <b v="1"/>
    <n v="2010"/>
    <n v="2208838108484"/>
    <n v="217051209238"/>
    <x v="0"/>
    <n v="1"/>
    <x v="2"/>
  </r>
  <r>
    <x v="4060"/>
    <x v="1524"/>
    <x v="41"/>
    <s v="Paraguay"/>
    <s v="Japan"/>
    <n v="0"/>
    <n v="0"/>
    <s v="FIFA World Cup"/>
    <s v="Pretoria"/>
    <s v="South Africa"/>
    <b v="1"/>
    <n v="2010"/>
    <n v="27260886405"/>
    <n v="5759071769013"/>
    <x v="0"/>
    <n v="0"/>
    <x v="1"/>
  </r>
  <r>
    <x v="4061"/>
    <x v="1524"/>
    <x v="41"/>
    <s v="Spain"/>
    <s v="Portugal"/>
    <n v="1"/>
    <n v="0"/>
    <s v="FIFA World Cup"/>
    <s v="Cape Town"/>
    <s v="South Africa"/>
    <b v="1"/>
    <n v="2010"/>
    <n v="1427989078916"/>
    <n v="238443864993"/>
    <x v="0"/>
    <n v="1"/>
    <x v="2"/>
  </r>
  <r>
    <x v="4062"/>
    <x v="1525"/>
    <x v="41"/>
    <s v="Netherlands"/>
    <s v="Brazil"/>
    <n v="2"/>
    <n v="1"/>
    <s v="FIFA World Cup"/>
    <s v="Port Elizabeth"/>
    <s v="South Africa"/>
    <b v="1"/>
    <n v="2010"/>
    <n v="852464982433"/>
    <n v="2208838108484"/>
    <x v="0"/>
    <n v="-1"/>
    <x v="0"/>
  </r>
  <r>
    <x v="4063"/>
    <x v="1525"/>
    <x v="41"/>
    <s v="Uruguay"/>
    <s v="Ghana"/>
    <n v="1"/>
    <n v="1"/>
    <s v="FIFA World Cup"/>
    <s v="Johannesburg"/>
    <s v="South Africa"/>
    <b v="1"/>
    <n v="2010"/>
    <n v="41950361211"/>
    <n v="32197655566"/>
    <x v="1"/>
    <n v="0"/>
    <x v="1"/>
  </r>
  <r>
    <x v="4064"/>
    <x v="1526"/>
    <x v="41"/>
    <s v="Argentina"/>
    <s v="Germany"/>
    <n v="0"/>
    <n v="4"/>
    <s v="FIFA World Cup"/>
    <s v="Cape Town"/>
    <s v="South Africa"/>
    <b v="1"/>
    <n v="2010"/>
    <n v="423627422092"/>
    <n v="3467093769666"/>
    <x v="0"/>
    <n v="1"/>
    <x v="2"/>
  </r>
  <r>
    <x v="4065"/>
    <x v="1526"/>
    <x v="41"/>
    <s v="Paraguay"/>
    <s v="Spain"/>
    <n v="0"/>
    <n v="1"/>
    <s v="FIFA World Cup"/>
    <s v="Johannesburg"/>
    <s v="South Africa"/>
    <b v="1"/>
    <n v="2010"/>
    <n v="27260886405"/>
    <n v="1427989078916"/>
    <x v="0"/>
    <n v="1"/>
    <x v="2"/>
  </r>
  <r>
    <x v="4066"/>
    <x v="1527"/>
    <x v="41"/>
    <s v="Uruguay"/>
    <s v="Netherlands"/>
    <n v="2"/>
    <n v="3"/>
    <s v="FIFA World Cup"/>
    <s v="Cape Town"/>
    <s v="South Africa"/>
    <b v="1"/>
    <n v="2010"/>
    <n v="41950361211"/>
    <n v="852464982433"/>
    <x v="0"/>
    <n v="1"/>
    <x v="2"/>
  </r>
  <r>
    <x v="4067"/>
    <x v="1528"/>
    <x v="41"/>
    <s v="Germany"/>
    <s v="Spain"/>
    <n v="0"/>
    <n v="1"/>
    <s v="FIFA World Cup"/>
    <s v="Durban"/>
    <s v="South Africa"/>
    <b v="1"/>
    <n v="2010"/>
    <n v="3467093769666"/>
    <n v="1427989078916"/>
    <x v="0"/>
    <n v="-1"/>
    <x v="0"/>
  </r>
  <r>
    <x v="4068"/>
    <x v="1529"/>
    <x v="41"/>
    <s v="Uruguay"/>
    <s v="Germany"/>
    <n v="2"/>
    <n v="3"/>
    <s v="FIFA World Cup"/>
    <s v="Port Elizabeth"/>
    <s v="South Africa"/>
    <b v="1"/>
    <n v="2010"/>
    <n v="41950361211"/>
    <n v="3467093769666"/>
    <x v="0"/>
    <n v="1"/>
    <x v="2"/>
  </r>
  <r>
    <x v="4069"/>
    <x v="1530"/>
    <x v="41"/>
    <s v="Netherlands"/>
    <s v="Spain"/>
    <n v="0"/>
    <n v="1"/>
    <s v="FIFA World Cup"/>
    <s v="Johannesburg"/>
    <s v="South Africa"/>
    <b v="1"/>
    <n v="2010"/>
    <n v="852464982433"/>
    <n v="1427989078916"/>
    <x v="1"/>
    <n v="1"/>
    <x v="2"/>
  </r>
  <r>
    <x v="4070"/>
    <x v="1531"/>
    <x v="42"/>
    <s v="Bangladesh"/>
    <s v="Pakistan"/>
    <n v="3"/>
    <n v="0"/>
    <s v="FIFA World Cup qualification"/>
    <s v="Dhaka"/>
    <s v="Bangladesh"/>
    <b v="0"/>
    <n v="2011"/>
    <n v="128607482310"/>
    <n v="230586581059"/>
    <x v="1"/>
    <n v="-1"/>
    <x v="0"/>
  </r>
  <r>
    <x v="4071"/>
    <x v="1531"/>
    <x v="42"/>
    <s v="Mongolia"/>
    <s v="Myanmar"/>
    <n v="1"/>
    <n v="0"/>
    <s v="FIFA World Cup qualification"/>
    <s v="Ulaanbaatar"/>
    <s v="Mongolia"/>
    <b v="0"/>
    <n v="2011"/>
    <n v="10409797377"/>
    <n v="59977326085"/>
    <x v="0"/>
    <n v="-1"/>
    <x v="0"/>
  </r>
  <r>
    <x v="4072"/>
    <x v="1531"/>
    <x v="42"/>
    <s v="Nepal"/>
    <s v="Timor-Leste"/>
    <n v="2"/>
    <n v="1"/>
    <s v="FIFA World Cup qualification"/>
    <s v="Kathmandu"/>
    <s v="Nepal"/>
    <b v="0"/>
    <n v="2011"/>
    <n v="21573872420"/>
    <n v="1042534597"/>
    <x v="0"/>
    <n v="1"/>
    <x v="2"/>
  </r>
  <r>
    <x v="4073"/>
    <x v="1531"/>
    <x v="42"/>
    <s v="Sri Lanka"/>
    <s v="Philippines"/>
    <n v="1"/>
    <n v="1"/>
    <s v="FIFA World Cup qualification"/>
    <s v="Colombo"/>
    <s v="Sri Lanka"/>
    <b v="0"/>
    <n v="2011"/>
    <n v="67753285896"/>
    <n v="234216730291"/>
    <x v="0"/>
    <n v="0"/>
    <x v="1"/>
  </r>
  <r>
    <x v="4074"/>
    <x v="1532"/>
    <x v="42"/>
    <s v="Nepal"/>
    <s v="Timor-Leste"/>
    <n v="5"/>
    <n v="0"/>
    <s v="FIFA World Cup qualification"/>
    <s v="Kathmandu"/>
    <s v="Nepal"/>
    <b v="0"/>
    <n v="2011"/>
    <n v="21573872420"/>
    <n v="1042534597"/>
    <x v="0"/>
    <n v="1"/>
    <x v="2"/>
  </r>
  <r>
    <x v="4075"/>
    <x v="1533"/>
    <x v="42"/>
    <s v="Myanmar"/>
    <s v="Mongolia"/>
    <n v="2"/>
    <n v="0"/>
    <s v="FIFA World Cup qualification"/>
    <s v="Yangon"/>
    <s v="Myanmar"/>
    <b v="0"/>
    <n v="2011"/>
    <n v="59977326085"/>
    <n v="10409797377"/>
    <x v="0"/>
    <n v="1"/>
    <x v="2"/>
  </r>
  <r>
    <x v="4076"/>
    <x v="1533"/>
    <x v="42"/>
    <s v="Pakistan"/>
    <s v="Bangladesh"/>
    <n v="0"/>
    <n v="0"/>
    <s v="FIFA World Cup qualification"/>
    <s v="Lahore"/>
    <s v="Pakistan"/>
    <b v="0"/>
    <n v="2011"/>
    <n v="230586581059"/>
    <n v="128607482310"/>
    <x v="1"/>
    <n v="0"/>
    <x v="1"/>
  </r>
  <r>
    <x v="4077"/>
    <x v="1533"/>
    <x v="42"/>
    <s v="Philippines"/>
    <s v="Sri Lanka"/>
    <n v="4"/>
    <n v="0"/>
    <s v="FIFA World Cup qualification"/>
    <s v="Manila"/>
    <s v="Philippines"/>
    <b v="0"/>
    <n v="2011"/>
    <n v="234216730291"/>
    <n v="67753285896"/>
    <x v="0"/>
    <n v="1"/>
    <x v="2"/>
  </r>
  <r>
    <x v="4078"/>
    <x v="1534"/>
    <x v="42"/>
    <s v="Iran"/>
    <s v="Maldives"/>
    <n v="4"/>
    <n v="0"/>
    <s v="FIFA World Cup qualification"/>
    <s v="Tehran"/>
    <s v="Iran"/>
    <b v="0"/>
    <n v="2011"/>
    <n v="629082257472"/>
    <n v="2774350240"/>
    <x v="0"/>
    <n v="1"/>
    <x v="2"/>
  </r>
  <r>
    <x v="4079"/>
    <x v="1534"/>
    <x v="42"/>
    <s v="Jordan"/>
    <s v="Nepal"/>
    <n v="9"/>
    <n v="0"/>
    <s v="FIFA World Cup qualification"/>
    <s v="Amman"/>
    <s v="Jordan"/>
    <b v="0"/>
    <n v="2011"/>
    <n v="29524149154"/>
    <n v="21573872420"/>
    <x v="1"/>
    <n v="1"/>
    <x v="2"/>
  </r>
  <r>
    <x v="4080"/>
    <x v="1534"/>
    <x v="42"/>
    <s v="Kuwait"/>
    <s v="Philippines"/>
    <n v="3"/>
    <n v="0"/>
    <s v="FIFA World Cup qualification"/>
    <s v="Hawalli"/>
    <s v="Kuwait"/>
    <b v="0"/>
    <n v="2011"/>
    <n v="154039231245"/>
    <n v="234216730291"/>
    <x v="1"/>
    <n v="-1"/>
    <x v="0"/>
  </r>
  <r>
    <x v="4081"/>
    <x v="1534"/>
    <x v="42"/>
    <s v="Lebanon"/>
    <s v="Bangladesh"/>
    <n v="4"/>
    <n v="0"/>
    <s v="FIFA World Cup qualification"/>
    <s v="Beirut"/>
    <s v="Lebanon"/>
    <b v="0"/>
    <n v="2011"/>
    <n v="39927125961"/>
    <n v="128607482310"/>
    <x v="0"/>
    <n v="-1"/>
    <x v="0"/>
  </r>
  <r>
    <x v="4082"/>
    <x v="1534"/>
    <x v="42"/>
    <s v="Oman"/>
    <s v="Myanmar"/>
    <n v="2"/>
    <n v="0"/>
    <s v="FIFA World Cup qualification"/>
    <s v="Muscat"/>
    <s v="Oman"/>
    <b v="0"/>
    <n v="2011"/>
    <n v="77497529258"/>
    <n v="59977326085"/>
    <x v="1"/>
    <n v="1"/>
    <x v="2"/>
  </r>
  <r>
    <x v="4083"/>
    <x v="1534"/>
    <x v="42"/>
    <s v="Qatar"/>
    <s v="Vietnam"/>
    <n v="3"/>
    <n v="0"/>
    <s v="FIFA World Cup qualification"/>
    <s v="Doha"/>
    <s v="Qatar"/>
    <b v="0"/>
    <n v="2011"/>
    <n v="167775274725"/>
    <n v="172595049183"/>
    <x v="1"/>
    <n v="-1"/>
    <x v="0"/>
  </r>
  <r>
    <x v="4084"/>
    <x v="1534"/>
    <x v="42"/>
    <s v="Singapore"/>
    <s v="Malaysia"/>
    <n v="5"/>
    <n v="3"/>
    <s v="FIFA World Cup qualification"/>
    <s v="Singapore"/>
    <s v="Singapore"/>
    <b v="0"/>
    <n v="2011"/>
    <n v="279356499090"/>
    <n v="297951668674"/>
    <x v="1"/>
    <n v="-1"/>
    <x v="0"/>
  </r>
  <r>
    <x v="4085"/>
    <x v="1534"/>
    <x v="42"/>
    <s v="Syria"/>
    <s v="Tajikistan"/>
    <n v="0"/>
    <n v="3"/>
    <s v="FIFA World Cup qualification"/>
    <s v="Amman"/>
    <s v="Jordan"/>
    <b v="1"/>
    <n v="2011"/>
    <n v="67539428159"/>
    <n v="6522756255"/>
    <x v="0"/>
    <n v="-1"/>
    <x v="0"/>
  </r>
  <r>
    <x v="4086"/>
    <x v="1534"/>
    <x v="42"/>
    <s v="Turkmenistan"/>
    <s v="Indonesia"/>
    <n v="1"/>
    <n v="1"/>
    <s v="FIFA World Cup qualification"/>
    <s v="Ashgabat"/>
    <s v="Turkmenistan"/>
    <b v="0"/>
    <n v="2011"/>
    <n v="29233333333"/>
    <n v="892969104563"/>
    <x v="0"/>
    <n v="0"/>
    <x v="1"/>
  </r>
  <r>
    <x v="4087"/>
    <x v="1534"/>
    <x v="42"/>
    <s v="United Arab Emirates"/>
    <s v="India"/>
    <n v="3"/>
    <n v="0"/>
    <s v="FIFA World Cup qualification"/>
    <s v="Al Ain"/>
    <s v="United Arab Emirates"/>
    <b v="0"/>
    <n v="2011"/>
    <n v="368881143635"/>
    <n v="1823051829894"/>
    <x v="0"/>
    <n v="-1"/>
    <x v="0"/>
  </r>
  <r>
    <x v="4088"/>
    <x v="1535"/>
    <x v="42"/>
    <s v="Bangladesh"/>
    <s v="Lebanon"/>
    <n v="2"/>
    <n v="0"/>
    <s v="FIFA World Cup qualification"/>
    <s v="Dhaka"/>
    <s v="Bangladesh"/>
    <b v="0"/>
    <n v="2011"/>
    <n v="128607482310"/>
    <n v="39927125961"/>
    <x v="0"/>
    <n v="1"/>
    <x v="2"/>
  </r>
  <r>
    <x v="4089"/>
    <x v="1535"/>
    <x v="42"/>
    <s v="Myanmar"/>
    <s v="Oman"/>
    <n v="0"/>
    <n v="2"/>
    <s v="FIFA World Cup qualification"/>
    <s v="Yangon"/>
    <s v="Myanmar"/>
    <b v="0"/>
    <n v="2011"/>
    <n v="59977326085"/>
    <n v="77497529258"/>
    <x v="1"/>
    <n v="1"/>
    <x v="2"/>
  </r>
  <r>
    <x v="4090"/>
    <x v="1535"/>
    <x v="42"/>
    <s v="India"/>
    <s v="United Arab Emirates"/>
    <n v="2"/>
    <n v="2"/>
    <s v="FIFA World Cup qualification"/>
    <s v="New Delhi"/>
    <s v="India"/>
    <b v="0"/>
    <n v="2011"/>
    <n v="1823051829894"/>
    <n v="368881143635"/>
    <x v="0"/>
    <n v="0"/>
    <x v="1"/>
  </r>
  <r>
    <x v="4091"/>
    <x v="1535"/>
    <x v="42"/>
    <s v="Indonesia"/>
    <s v="Turkmenistan"/>
    <n v="4"/>
    <n v="3"/>
    <s v="FIFA World Cup qualification"/>
    <s v="Jakarta"/>
    <s v="Indonesia"/>
    <b v="0"/>
    <n v="2011"/>
    <n v="892969104563"/>
    <n v="29233333333"/>
    <x v="0"/>
    <n v="1"/>
    <x v="2"/>
  </r>
  <r>
    <x v="4092"/>
    <x v="1535"/>
    <x v="42"/>
    <s v="Malaysia"/>
    <s v="Singapore"/>
    <n v="1"/>
    <n v="1"/>
    <s v="FIFA World Cup qualification"/>
    <s v="Kuala Lumpur"/>
    <s v="Malaysia"/>
    <b v="0"/>
    <n v="2011"/>
    <n v="297951668674"/>
    <n v="279356499090"/>
    <x v="1"/>
    <n v="0"/>
    <x v="1"/>
  </r>
  <r>
    <x v="4093"/>
    <x v="1535"/>
    <x v="42"/>
    <s v="Maldives"/>
    <s v="Iran"/>
    <n v="0"/>
    <n v="1"/>
    <s v="FIFA World Cup qualification"/>
    <s v="Mal√©"/>
    <s v="Maldives"/>
    <b v="0"/>
    <n v="2011"/>
    <n v="2774350240"/>
    <n v="629082257472"/>
    <x v="0"/>
    <n v="1"/>
    <x v="2"/>
  </r>
  <r>
    <x v="4094"/>
    <x v="1535"/>
    <x v="42"/>
    <s v="Nepal"/>
    <s v="Jordan"/>
    <n v="1"/>
    <n v="1"/>
    <s v="FIFA World Cup qualification"/>
    <s v="Kathmandu"/>
    <s v="Nepal"/>
    <b v="0"/>
    <n v="2011"/>
    <n v="21573872420"/>
    <n v="29524149154"/>
    <x v="1"/>
    <n v="0"/>
    <x v="1"/>
  </r>
  <r>
    <x v="4095"/>
    <x v="1535"/>
    <x v="42"/>
    <s v="Philippines"/>
    <s v="Kuwait"/>
    <n v="1"/>
    <n v="2"/>
    <s v="FIFA World Cup qualification"/>
    <s v="Manila"/>
    <s v="Philippines"/>
    <b v="0"/>
    <n v="2011"/>
    <n v="234216730291"/>
    <n v="154039231245"/>
    <x v="1"/>
    <n v="-1"/>
    <x v="0"/>
  </r>
  <r>
    <x v="4096"/>
    <x v="1535"/>
    <x v="42"/>
    <s v="Tajikistan"/>
    <s v="Syria"/>
    <n v="3"/>
    <n v="0"/>
    <s v="FIFA World Cup qualification"/>
    <s v="Tursunzoda"/>
    <s v="Tajikistan"/>
    <b v="0"/>
    <n v="2011"/>
    <n v="6522756255"/>
    <n v="67539428159"/>
    <x v="0"/>
    <n v="-1"/>
    <x v="0"/>
  </r>
  <r>
    <x v="4097"/>
    <x v="1535"/>
    <x v="42"/>
    <s v="Vietnam"/>
    <s v="Qatar"/>
    <n v="2"/>
    <n v="1"/>
    <s v="FIFA World Cup qualification"/>
    <s v="Hanoi"/>
    <s v="Vietnam"/>
    <b v="0"/>
    <n v="2011"/>
    <n v="172595049183"/>
    <n v="167775274725"/>
    <x v="1"/>
    <n v="1"/>
    <x v="2"/>
  </r>
  <r>
    <x v="4098"/>
    <x v="1536"/>
    <x v="42"/>
    <s v="Australia"/>
    <s v="Thailand"/>
    <n v="2"/>
    <n v="1"/>
    <s v="FIFA World Cup qualification"/>
    <s v="Brisbane"/>
    <s v="Australia"/>
    <b v="0"/>
    <n v="2011"/>
    <n v="1402939868653"/>
    <n v="370818739623"/>
    <x v="0"/>
    <n v="1"/>
    <x v="2"/>
  </r>
  <r>
    <x v="4099"/>
    <x v="1536"/>
    <x v="42"/>
    <s v="Bahrain"/>
    <s v="Qatar"/>
    <n v="0"/>
    <n v="0"/>
    <s v="FIFA World Cup qualification"/>
    <s v="Riffa"/>
    <s v="Bahrain"/>
    <b v="0"/>
    <n v="2011"/>
    <n v="29914680851"/>
    <n v="167775274725"/>
    <x v="0"/>
    <n v="0"/>
    <x v="1"/>
  </r>
  <r>
    <x v="4100"/>
    <x v="1536"/>
    <x v="42"/>
    <s v="Dominica"/>
    <s v="Nicaragua"/>
    <n v="0"/>
    <n v="2"/>
    <s v="FIFA World Cup qualification"/>
    <s v="Roseau"/>
    <s v="Dominica"/>
    <b v="0"/>
    <n v="2011"/>
    <n v="532081481"/>
    <n v="9774329332"/>
    <x v="0"/>
    <n v="1"/>
    <x v="2"/>
  </r>
  <r>
    <x v="4101"/>
    <x v="1536"/>
    <x v="42"/>
    <s v="El Salvador"/>
    <s v="Dominican Republic"/>
    <n v="3"/>
    <n v="2"/>
    <s v="FIFA World Cup qualification"/>
    <s v="San Salvador"/>
    <s v="El Salvador"/>
    <b v="0"/>
    <n v="2011"/>
    <n v="20283780000"/>
    <n v="57948261615"/>
    <x v="0"/>
    <n v="-1"/>
    <x v="0"/>
  </r>
  <r>
    <x v="4102"/>
    <x v="1536"/>
    <x v="42"/>
    <s v="Grenada"/>
    <s v="Belize"/>
    <n v="0"/>
    <n v="3"/>
    <s v="FIFA World Cup qualification"/>
    <s v="St. George's"/>
    <s v="Grenada"/>
    <b v="0"/>
    <n v="2011"/>
    <n v="778655555"/>
    <n v="1831576700"/>
    <x v="0"/>
    <n v="1"/>
    <x v="2"/>
  </r>
  <r>
    <x v="4103"/>
    <x v="1536"/>
    <x v="42"/>
    <s v="Guyana"/>
    <s v="Barbados"/>
    <n v="2"/>
    <n v="0"/>
    <s v="FIFA World Cup qualification"/>
    <s v="Providence"/>
    <s v="Guyana"/>
    <b v="0"/>
    <n v="2011"/>
    <n v="3691384317"/>
    <n v="5663100000"/>
    <x v="1"/>
    <n v="-1"/>
    <x v="0"/>
  </r>
  <r>
    <x v="4104"/>
    <x v="1536"/>
    <x v="42"/>
    <s v="Haiti"/>
    <s v="United States Virgin Islands"/>
    <n v="6"/>
    <n v="0"/>
    <s v="FIFA World Cup qualification"/>
    <s v="Port-au-Prince"/>
    <s v="Haiti"/>
    <b v="0"/>
    <n v="2011"/>
    <n v="13008746038"/>
    <n v="4223000000"/>
    <x v="0"/>
    <n v="1"/>
    <x v="2"/>
  </r>
  <r>
    <x v="4105"/>
    <x v="1536"/>
    <x v="42"/>
    <s v="Iran"/>
    <s v="Indonesia"/>
    <n v="3"/>
    <n v="0"/>
    <s v="FIFA World Cup qualification"/>
    <s v="Tehran"/>
    <s v="Iran"/>
    <b v="0"/>
    <n v="2011"/>
    <n v="629082257472"/>
    <n v="892969104563"/>
    <x v="1"/>
    <n v="-1"/>
    <x v="0"/>
  </r>
  <r>
    <x v="4106"/>
    <x v="1536"/>
    <x v="42"/>
    <s v="Iraq"/>
    <s v="Jordan"/>
    <n v="0"/>
    <n v="2"/>
    <s v="FIFA World Cup qualification"/>
    <s v="Erbil"/>
    <s v="Iraq"/>
    <b v="0"/>
    <n v="2011"/>
    <n v="185749664444"/>
    <n v="29524149154"/>
    <x v="0"/>
    <n v="-1"/>
    <x v="0"/>
  </r>
  <r>
    <x v="4107"/>
    <x v="1536"/>
    <x v="42"/>
    <s v="South Korea"/>
    <s v="Lebanon"/>
    <n v="6"/>
    <n v="0"/>
    <s v="FIFA World Cup qualification"/>
    <s v="Goyang"/>
    <s v="South Korea"/>
    <b v="0"/>
    <n v="2011"/>
    <n v="1307103477219"/>
    <n v="39927125961"/>
    <x v="0"/>
    <n v="1"/>
    <x v="2"/>
  </r>
  <r>
    <x v="4108"/>
    <x v="1536"/>
    <x v="42"/>
    <s v="Oman"/>
    <s v="Saudi Arabia"/>
    <n v="0"/>
    <n v="0"/>
    <s v="FIFA World Cup qualification"/>
    <s v="Muscat"/>
    <s v="Oman"/>
    <b v="0"/>
    <n v="2011"/>
    <n v="77497529258"/>
    <n v="680660800000"/>
    <x v="0"/>
    <n v="0"/>
    <x v="1"/>
  </r>
  <r>
    <x v="4109"/>
    <x v="1536"/>
    <x v="42"/>
    <s v="Suriname"/>
    <s v="Cayman Islands"/>
    <n v="1"/>
    <n v="0"/>
    <s v="FIFA World Cup qualification"/>
    <s v="Paramaribo"/>
    <s v="Suriname"/>
    <b v="0"/>
    <n v="2011"/>
    <n v="4422276621"/>
    <n v="4186073160"/>
    <x v="1"/>
    <n v="1"/>
    <x v="2"/>
  </r>
  <r>
    <x v="4110"/>
    <x v="1536"/>
    <x v="42"/>
    <s v="Tajikistan"/>
    <s v="Uzbekistan"/>
    <n v="0"/>
    <n v="1"/>
    <s v="FIFA World Cup qualification"/>
    <s v="Tursunzoda"/>
    <s v="Tajikistan"/>
    <b v="0"/>
    <n v="2011"/>
    <n v="6522756255"/>
    <n v="60178909297"/>
    <x v="0"/>
    <n v="1"/>
    <x v="2"/>
  </r>
  <r>
    <x v="4111"/>
    <x v="1536"/>
    <x v="42"/>
    <s v="Trinidad and Tobago"/>
    <s v="Bermuda"/>
    <n v="1"/>
    <n v="0"/>
    <s v="FIFA World Cup qualification"/>
    <s v="Port of Spain"/>
    <s v="Trinidad and Tobago"/>
    <b v="0"/>
    <n v="2011"/>
    <n v="25433007437"/>
    <n v="6312691000"/>
    <x v="0"/>
    <n v="1"/>
    <x v="2"/>
  </r>
  <r>
    <x v="4112"/>
    <x v="1536"/>
    <x v="42"/>
    <s v="United Arab Emirates"/>
    <s v="Kuwait"/>
    <n v="2"/>
    <n v="3"/>
    <s v="FIFA World Cup qualification"/>
    <s v="Al Ain"/>
    <s v="United Arab Emirates"/>
    <b v="0"/>
    <n v="2011"/>
    <n v="368881143635"/>
    <n v="154039231245"/>
    <x v="0"/>
    <n v="-1"/>
    <x v="0"/>
  </r>
  <r>
    <x v="4113"/>
    <x v="1537"/>
    <x v="42"/>
    <s v="Barbados"/>
    <s v="Trinidad and Tobago"/>
    <n v="0"/>
    <n v="2"/>
    <s v="FIFA World Cup qualification"/>
    <s v="Bridgetown"/>
    <s v="Barbados"/>
    <b v="0"/>
    <n v="2011"/>
    <n v="5663100000"/>
    <n v="25433007437"/>
    <x v="0"/>
    <n v="1"/>
    <x v="2"/>
  </r>
  <r>
    <x v="4114"/>
    <x v="1537"/>
    <x v="42"/>
    <s v="Belize"/>
    <s v="Guatemala"/>
    <n v="1"/>
    <n v="2"/>
    <s v="FIFA World Cup qualification"/>
    <s v="Belmopan"/>
    <s v="Belize"/>
    <b v="0"/>
    <n v="2011"/>
    <n v="1831576700"/>
    <n v="46876006272"/>
    <x v="0"/>
    <n v="1"/>
    <x v="2"/>
  </r>
  <r>
    <x v="4115"/>
    <x v="1537"/>
    <x v="42"/>
    <s v="Cayman Islands"/>
    <s v="El Salvador"/>
    <n v="1"/>
    <n v="4"/>
    <s v="FIFA World Cup qualification"/>
    <s v="George Town"/>
    <s v="Cayman Islands"/>
    <b v="0"/>
    <n v="2011"/>
    <n v="4186073160"/>
    <n v="20283780000"/>
    <x v="0"/>
    <n v="1"/>
    <x v="2"/>
  </r>
  <r>
    <x v="4116"/>
    <x v="1537"/>
    <x v="42"/>
    <s v="Dominican Republic"/>
    <s v="Suriname"/>
    <n v="1"/>
    <n v="1"/>
    <s v="FIFA World Cup qualification"/>
    <s v="San Crist√≥bal"/>
    <s v="Dominican Republic"/>
    <b v="0"/>
    <n v="2011"/>
    <n v="57948261615"/>
    <n v="4422276621"/>
    <x v="0"/>
    <n v="0"/>
    <x v="1"/>
  </r>
  <r>
    <x v="4117"/>
    <x v="1537"/>
    <x v="42"/>
    <s v="Guyana"/>
    <s v="Bermuda"/>
    <n v="2"/>
    <n v="1"/>
    <s v="FIFA World Cup qualification"/>
    <s v="Georgetown"/>
    <s v="Guyana"/>
    <b v="0"/>
    <n v="2011"/>
    <n v="3691384317"/>
    <n v="6312691000"/>
    <x v="1"/>
    <n v="-1"/>
    <x v="0"/>
  </r>
  <r>
    <x v="4118"/>
    <x v="1537"/>
    <x v="42"/>
    <s v="Indonesia"/>
    <s v="Bahrain"/>
    <n v="0"/>
    <n v="2"/>
    <s v="FIFA World Cup qualification"/>
    <s v="Jakarta"/>
    <s v="Indonesia"/>
    <b v="0"/>
    <n v="2011"/>
    <n v="892969104563"/>
    <n v="29914680851"/>
    <x v="0"/>
    <n v="-1"/>
    <x v="0"/>
  </r>
  <r>
    <x v="4119"/>
    <x v="1537"/>
    <x v="42"/>
    <s v="Kuwait"/>
    <s v="South Korea"/>
    <n v="1"/>
    <n v="1"/>
    <s v="FIFA World Cup qualification"/>
    <s v="Kuwait City"/>
    <s v="Kuwait"/>
    <b v="0"/>
    <n v="2011"/>
    <n v="154039231245"/>
    <n v="1307103477219"/>
    <x v="0"/>
    <n v="0"/>
    <x v="1"/>
  </r>
  <r>
    <x v="4120"/>
    <x v="1537"/>
    <x v="42"/>
    <s v="Lebanon"/>
    <s v="United Arab Emirates"/>
    <n v="3"/>
    <n v="1"/>
    <s v="FIFA World Cup qualification"/>
    <s v="Beirut"/>
    <s v="Lebanon"/>
    <b v="0"/>
    <n v="2011"/>
    <n v="39927125961"/>
    <n v="368881143635"/>
    <x v="0"/>
    <n v="-1"/>
    <x v="0"/>
  </r>
  <r>
    <x v="4121"/>
    <x v="1537"/>
    <x v="42"/>
    <s v="Nicaragua"/>
    <s v="Panama"/>
    <n v="1"/>
    <n v="2"/>
    <s v="FIFA World Cup qualification"/>
    <s v="Managua"/>
    <s v="Nicaragua"/>
    <b v="0"/>
    <n v="2011"/>
    <n v="9774329332"/>
    <n v="35687738251"/>
    <x v="0"/>
    <n v="1"/>
    <x v="2"/>
  </r>
  <r>
    <x v="4122"/>
    <x v="1537"/>
    <x v="42"/>
    <s v="Qatar"/>
    <s v="Iran"/>
    <n v="1"/>
    <n v="1"/>
    <s v="FIFA World Cup qualification"/>
    <s v="Doha"/>
    <s v="Qatar"/>
    <b v="0"/>
    <n v="2011"/>
    <n v="167775274725"/>
    <n v="629082257472"/>
    <x v="0"/>
    <n v="0"/>
    <x v="1"/>
  </r>
  <r>
    <x v="4123"/>
    <x v="1537"/>
    <x v="42"/>
    <s v="Saudi Arabia"/>
    <s v="Australia"/>
    <n v="1"/>
    <n v="3"/>
    <s v="FIFA World Cup qualification"/>
    <s v="Riyadh"/>
    <s v="Saudi Arabia"/>
    <b v="0"/>
    <n v="2011"/>
    <n v="680660800000"/>
    <n v="1402939868653"/>
    <x v="0"/>
    <n v="1"/>
    <x v="2"/>
  </r>
  <r>
    <x v="4124"/>
    <x v="1537"/>
    <x v="42"/>
    <s v="Singapore"/>
    <s v="Iraq"/>
    <n v="0"/>
    <n v="2"/>
    <s v="FIFA World Cup qualification"/>
    <s v="Singapore"/>
    <s v="Singapore"/>
    <b v="0"/>
    <n v="2011"/>
    <n v="279356499090"/>
    <n v="185749664444"/>
    <x v="1"/>
    <n v="-1"/>
    <x v="0"/>
  </r>
  <r>
    <x v="4125"/>
    <x v="1537"/>
    <x v="42"/>
    <s v="Thailand"/>
    <s v="Oman"/>
    <n v="3"/>
    <n v="0"/>
    <s v="FIFA World Cup qualification"/>
    <s v="Bangkok"/>
    <s v="Thailand"/>
    <b v="0"/>
    <n v="2011"/>
    <n v="370818739623"/>
    <n v="77497529258"/>
    <x v="0"/>
    <n v="1"/>
    <x v="2"/>
  </r>
  <r>
    <x v="4126"/>
    <x v="1537"/>
    <x v="42"/>
    <s v="Uzbekistan"/>
    <s v="Japan"/>
    <n v="1"/>
    <n v="1"/>
    <s v="FIFA World Cup qualification"/>
    <s v="Tashkent"/>
    <s v="Uzbekistan"/>
    <b v="0"/>
    <n v="2011"/>
    <n v="60178909297"/>
    <n v="6233147172341"/>
    <x v="0"/>
    <n v="0"/>
    <x v="1"/>
  </r>
  <r>
    <x v="4127"/>
    <x v="1537"/>
    <x v="42"/>
    <s v="United States Virgin Islands"/>
    <s v="Antigua and Barbuda"/>
    <n v="1"/>
    <n v="8"/>
    <s v="FIFA World Cup qualification"/>
    <s v="Frederiksted"/>
    <s v="United States Virgin Islands"/>
    <b v="0"/>
    <n v="2011"/>
    <n v="4223000000"/>
    <n v="1287359259"/>
    <x v="0"/>
    <n v="-1"/>
    <x v="0"/>
  </r>
  <r>
    <x v="4128"/>
    <x v="1538"/>
    <x v="42"/>
    <s v="Argentina"/>
    <s v="Chile"/>
    <n v="4"/>
    <n v="1"/>
    <s v="FIFA World Cup qualification"/>
    <s v="Buenos Aires"/>
    <s v="Argentina"/>
    <b v="0"/>
    <n v="2011"/>
    <n v="530158122010"/>
    <n v="251382573893"/>
    <x v="0"/>
    <n v="1"/>
    <x v="2"/>
  </r>
  <r>
    <x v="4129"/>
    <x v="1538"/>
    <x v="42"/>
    <s v="Barbados"/>
    <s v="Guyana"/>
    <n v="0"/>
    <n v="2"/>
    <s v="FIFA World Cup qualification"/>
    <s v="Bridgetown"/>
    <s v="Barbados"/>
    <b v="0"/>
    <n v="2011"/>
    <n v="5663100000"/>
    <n v="3691384317"/>
    <x v="1"/>
    <n v="-1"/>
    <x v="0"/>
  </r>
  <r>
    <x v="4130"/>
    <x v="1538"/>
    <x v="42"/>
    <s v="Belize"/>
    <s v="Grenada"/>
    <n v="1"/>
    <n v="4"/>
    <s v="FIFA World Cup qualification"/>
    <s v="Belmopan"/>
    <s v="Belize"/>
    <b v="0"/>
    <n v="2011"/>
    <n v="1831576700"/>
    <n v="778655555"/>
    <x v="0"/>
    <n v="-1"/>
    <x v="0"/>
  </r>
  <r>
    <x v="4131"/>
    <x v="1538"/>
    <x v="42"/>
    <s v="Bermuda"/>
    <s v="Trinidad and Tobago"/>
    <n v="2"/>
    <n v="1"/>
    <s v="FIFA World Cup qualification"/>
    <s v="Hamilton"/>
    <s v="Bermuda"/>
    <b v="0"/>
    <n v="2011"/>
    <n v="6312691000"/>
    <n v="25433007437"/>
    <x v="0"/>
    <n v="-1"/>
    <x v="0"/>
  </r>
  <r>
    <x v="4132"/>
    <x v="1538"/>
    <x v="42"/>
    <s v="Cayman Islands"/>
    <s v="Suriname"/>
    <n v="0"/>
    <n v="1"/>
    <s v="FIFA World Cup qualification"/>
    <s v="George Town"/>
    <s v="Cayman Islands"/>
    <b v="0"/>
    <n v="2011"/>
    <n v="4186073160"/>
    <n v="4422276621"/>
    <x v="1"/>
    <n v="1"/>
    <x v="2"/>
  </r>
  <r>
    <x v="4133"/>
    <x v="1538"/>
    <x v="42"/>
    <s v="Dominica"/>
    <s v="Panama"/>
    <n v="0"/>
    <n v="5"/>
    <s v="FIFA World Cup qualification"/>
    <s v="Roseau"/>
    <s v="Dominica"/>
    <b v="0"/>
    <n v="2011"/>
    <n v="532081481"/>
    <n v="35687738251"/>
    <x v="0"/>
    <n v="1"/>
    <x v="2"/>
  </r>
  <r>
    <x v="4134"/>
    <x v="1538"/>
    <x v="42"/>
    <s v="Dominican Republic"/>
    <s v="El Salvador"/>
    <n v="1"/>
    <n v="2"/>
    <s v="FIFA World Cup qualification"/>
    <s v="San Crist√≥bal"/>
    <s v="Dominican Republic"/>
    <b v="0"/>
    <n v="2011"/>
    <n v="57948261615"/>
    <n v="20283780000"/>
    <x v="0"/>
    <n v="-1"/>
    <x v="0"/>
  </r>
  <r>
    <x v="4135"/>
    <x v="1538"/>
    <x v="42"/>
    <s v="Ecuador"/>
    <s v="Venezuela"/>
    <n v="2"/>
    <n v="0"/>
    <s v="FIFA World Cup qualification"/>
    <s v="Quito"/>
    <s v="Ecuador"/>
    <b v="0"/>
    <n v="2011"/>
    <n v="78986648000"/>
    <n v="316482190800"/>
    <x v="0"/>
    <n v="-1"/>
    <x v="0"/>
  </r>
  <r>
    <x v="4136"/>
    <x v="1538"/>
    <x v="42"/>
    <s v="Peru"/>
    <s v="Paraguay"/>
    <n v="2"/>
    <n v="0"/>
    <s v="FIFA World Cup qualification"/>
    <s v="Lima"/>
    <s v="Peru"/>
    <b v="0"/>
    <n v="2011"/>
    <n v="171761737046"/>
    <n v="33756238766"/>
    <x v="0"/>
    <n v="1"/>
    <x v="2"/>
  </r>
  <r>
    <x v="4137"/>
    <x v="1538"/>
    <x v="42"/>
    <s v="Uruguay"/>
    <s v="Bolivia"/>
    <n v="4"/>
    <n v="2"/>
    <s v="FIFA World Cup qualification"/>
    <s v="Montevideo"/>
    <s v="Uruguay"/>
    <b v="0"/>
    <n v="2011"/>
    <n v="50342406067"/>
    <n v="23963164696"/>
    <x v="0"/>
    <n v="1"/>
    <x v="2"/>
  </r>
  <r>
    <x v="4138"/>
    <x v="1538"/>
    <x v="42"/>
    <s v="United States Virgin Islands"/>
    <s v="Haiti"/>
    <n v="0"/>
    <n v="7"/>
    <s v="FIFA World Cup qualification"/>
    <s v="Frederiksted"/>
    <s v="United States Virgin Islands"/>
    <b v="0"/>
    <n v="2011"/>
    <n v="4223000000"/>
    <n v="13008746038"/>
    <x v="0"/>
    <n v="1"/>
    <x v="2"/>
  </r>
  <r>
    <x v="4139"/>
    <x v="1539"/>
    <x v="42"/>
    <s v="Antigua and Barbuda"/>
    <s v="United States Virgin Islands"/>
    <n v="10"/>
    <n v="0"/>
    <s v="FIFA World Cup qualification"/>
    <s v="St. John's"/>
    <s v="Antigua and Barbuda"/>
    <b v="0"/>
    <n v="2011"/>
    <n v="1287359259"/>
    <n v="4223000000"/>
    <x v="0"/>
    <n v="-1"/>
    <x v="0"/>
  </r>
  <r>
    <x v="4140"/>
    <x v="1539"/>
    <x v="42"/>
    <s v="Australia"/>
    <s v="Oman"/>
    <n v="3"/>
    <n v="0"/>
    <s v="FIFA World Cup qualification"/>
    <s v="Sydney"/>
    <s v="Australia"/>
    <b v="0"/>
    <n v="2011"/>
    <n v="1402939868653"/>
    <n v="77497529258"/>
    <x v="0"/>
    <n v="1"/>
    <x v="2"/>
  </r>
  <r>
    <x v="4141"/>
    <x v="1539"/>
    <x v="42"/>
    <s v="Bermuda"/>
    <s v="Guyana"/>
    <n v="1"/>
    <n v="1"/>
    <s v="FIFA World Cup qualification"/>
    <s v="Hamilton"/>
    <s v="Bermuda"/>
    <b v="0"/>
    <n v="2011"/>
    <n v="6312691000"/>
    <n v="3691384317"/>
    <x v="1"/>
    <n v="0"/>
    <x v="1"/>
  </r>
  <r>
    <x v="4142"/>
    <x v="1539"/>
    <x v="42"/>
    <s v="Bolivia"/>
    <s v="Colombia"/>
    <n v="1"/>
    <n v="2"/>
    <s v="FIFA World Cup qualification"/>
    <s v="La Paz"/>
    <s v="Bolivia"/>
    <b v="0"/>
    <n v="2011"/>
    <n v="23963164696"/>
    <n v="334966134804"/>
    <x v="0"/>
    <n v="1"/>
    <x v="2"/>
  </r>
  <r>
    <x v="4143"/>
    <x v="1539"/>
    <x v="42"/>
    <s v="Chile"/>
    <s v="Peru"/>
    <n v="4"/>
    <n v="2"/>
    <s v="FIFA World Cup qualification"/>
    <s v="Santiago"/>
    <s v="Chile"/>
    <b v="0"/>
    <n v="2011"/>
    <n v="251382573893"/>
    <n v="171761737046"/>
    <x v="1"/>
    <n v="1"/>
    <x v="2"/>
  </r>
  <r>
    <x v="4144"/>
    <x v="1539"/>
    <x v="42"/>
    <s v="El Salvador"/>
    <s v="Cayman Islands"/>
    <n v="4"/>
    <n v="0"/>
    <s v="FIFA World Cup qualification"/>
    <s v="San Salvador"/>
    <s v="El Salvador"/>
    <b v="0"/>
    <n v="2011"/>
    <n v="20283780000"/>
    <n v="4186073160"/>
    <x v="0"/>
    <n v="1"/>
    <x v="2"/>
  </r>
  <r>
    <x v="4145"/>
    <x v="1539"/>
    <x v="42"/>
    <s v="Guatemala"/>
    <s v="Belize"/>
    <n v="3"/>
    <n v="1"/>
    <s v="FIFA World Cup qualification"/>
    <s v="Guatemala City"/>
    <s v="Guatemala"/>
    <b v="0"/>
    <n v="2011"/>
    <n v="46876006272"/>
    <n v="1831576700"/>
    <x v="0"/>
    <n v="1"/>
    <x v="2"/>
  </r>
  <r>
    <x v="4146"/>
    <x v="1539"/>
    <x v="42"/>
    <s v="Indonesia"/>
    <s v="Qatar"/>
    <n v="2"/>
    <n v="3"/>
    <s v="FIFA World Cup qualification"/>
    <s v="Jakarta"/>
    <s v="Indonesia"/>
    <b v="0"/>
    <n v="2011"/>
    <n v="892969104563"/>
    <n v="167775274725"/>
    <x v="0"/>
    <n v="-1"/>
    <x v="0"/>
  </r>
  <r>
    <x v="4147"/>
    <x v="1539"/>
    <x v="42"/>
    <s v="Iran"/>
    <s v="Bahrain"/>
    <n v="6"/>
    <n v="0"/>
    <s v="FIFA World Cup qualification"/>
    <s v="Tehran"/>
    <s v="Iran"/>
    <b v="0"/>
    <n v="2011"/>
    <n v="629082257472"/>
    <n v="29914680851"/>
    <x v="0"/>
    <n v="1"/>
    <x v="2"/>
  </r>
  <r>
    <x v="4148"/>
    <x v="1539"/>
    <x v="42"/>
    <s v="Japan"/>
    <s v="Tajikistan"/>
    <n v="8"/>
    <n v="0"/>
    <s v="FIFA World Cup qualification"/>
    <s v="Osaka"/>
    <s v="Japan"/>
    <b v="0"/>
    <n v="2011"/>
    <n v="6233147172341"/>
    <n v="6522756255"/>
    <x v="0"/>
    <n v="1"/>
    <x v="2"/>
  </r>
  <r>
    <x v="4149"/>
    <x v="1539"/>
    <x v="42"/>
    <s v="South Korea"/>
    <s v="United Arab Emirates"/>
    <n v="2"/>
    <n v="1"/>
    <s v="FIFA World Cup qualification"/>
    <s v="Suwon"/>
    <s v="South Korea"/>
    <b v="0"/>
    <n v="2011"/>
    <n v="1307103477219"/>
    <n v="368881143635"/>
    <x v="0"/>
    <n v="1"/>
    <x v="2"/>
  </r>
  <r>
    <x v="4150"/>
    <x v="1539"/>
    <x v="42"/>
    <s v="Lebanon"/>
    <s v="Kuwait"/>
    <n v="2"/>
    <n v="2"/>
    <s v="FIFA World Cup qualification"/>
    <s v="Beirut"/>
    <s v="Lebanon"/>
    <b v="0"/>
    <n v="2011"/>
    <n v="39927125961"/>
    <n v="154039231245"/>
    <x v="0"/>
    <n v="0"/>
    <x v="1"/>
  </r>
  <r>
    <x v="4151"/>
    <x v="1539"/>
    <x v="42"/>
    <s v="Panama"/>
    <s v="Nicaragua"/>
    <n v="5"/>
    <n v="1"/>
    <s v="FIFA World Cup qualification"/>
    <s v="Panama City"/>
    <s v="Panama"/>
    <b v="0"/>
    <n v="2011"/>
    <n v="35687738251"/>
    <n v="9774329332"/>
    <x v="0"/>
    <n v="1"/>
    <x v="2"/>
  </r>
  <r>
    <x v="4152"/>
    <x v="1539"/>
    <x v="42"/>
    <s v="Paraguay"/>
    <s v="Uruguay"/>
    <n v="1"/>
    <n v="1"/>
    <s v="FIFA World Cup qualification"/>
    <s v="Asunci√≥n"/>
    <s v="Paraguay"/>
    <b v="0"/>
    <n v="2011"/>
    <n v="33756238766"/>
    <n v="50342406067"/>
    <x v="1"/>
    <n v="0"/>
    <x v="1"/>
  </r>
  <r>
    <x v="4153"/>
    <x v="1539"/>
    <x v="42"/>
    <s v="Singapore"/>
    <s v="Jordan"/>
    <n v="0"/>
    <n v="3"/>
    <s v="FIFA World Cup qualification"/>
    <s v="Singapore"/>
    <s v="Singapore"/>
    <b v="0"/>
    <n v="2011"/>
    <n v="279356499090"/>
    <n v="29524149154"/>
    <x v="0"/>
    <n v="-1"/>
    <x v="0"/>
  </r>
  <r>
    <x v="4154"/>
    <x v="1539"/>
    <x v="42"/>
    <s v="Suriname"/>
    <s v="Dominican Republic"/>
    <n v="1"/>
    <n v="3"/>
    <s v="FIFA World Cup qualification"/>
    <s v="Paramaribo"/>
    <s v="Suriname"/>
    <b v="0"/>
    <n v="2011"/>
    <n v="4422276621"/>
    <n v="57948261615"/>
    <x v="0"/>
    <n v="1"/>
    <x v="2"/>
  </r>
  <r>
    <x v="4155"/>
    <x v="1539"/>
    <x v="42"/>
    <s v="Thailand"/>
    <s v="Saudi Arabia"/>
    <n v="0"/>
    <n v="0"/>
    <s v="FIFA World Cup qualification"/>
    <s v="Bangkok"/>
    <s v="Thailand"/>
    <b v="0"/>
    <n v="2011"/>
    <n v="370818739623"/>
    <n v="680660800000"/>
    <x v="1"/>
    <n v="0"/>
    <x v="1"/>
  </r>
  <r>
    <x v="4156"/>
    <x v="1539"/>
    <x v="42"/>
    <s v="Trinidad and Tobago"/>
    <s v="Barbados"/>
    <n v="4"/>
    <n v="0"/>
    <s v="FIFA World Cup qualification"/>
    <s v="Port of Spain"/>
    <s v="Trinidad and Tobago"/>
    <b v="0"/>
    <n v="2011"/>
    <n v="25433007437"/>
    <n v="5663100000"/>
    <x v="0"/>
    <n v="1"/>
    <x v="2"/>
  </r>
  <r>
    <x v="4157"/>
    <x v="1539"/>
    <x v="42"/>
    <s v="Venezuela"/>
    <s v="Argentina"/>
    <n v="1"/>
    <n v="0"/>
    <s v="FIFA World Cup qualification"/>
    <s v="Puerto la Cruz"/>
    <s v="Venezuela"/>
    <b v="0"/>
    <n v="2011"/>
    <n v="316482190800"/>
    <n v="530158122010"/>
    <x v="1"/>
    <n v="-1"/>
    <x v="0"/>
  </r>
  <r>
    <x v="4158"/>
    <x v="1540"/>
    <x v="42"/>
    <s v="Antigua and Barbuda"/>
    <s v="Haiti"/>
    <n v="1"/>
    <n v="0"/>
    <s v="FIFA World Cup qualification"/>
    <s v="St. John's"/>
    <s v="Antigua and Barbuda"/>
    <b v="0"/>
    <n v="2011"/>
    <n v="1287359259"/>
    <n v="13008746038"/>
    <x v="0"/>
    <n v="-1"/>
    <x v="0"/>
  </r>
  <r>
    <x v="4159"/>
    <x v="1540"/>
    <x v="42"/>
    <s v="Argentina"/>
    <s v="Bolivia"/>
    <n v="1"/>
    <n v="1"/>
    <s v="FIFA World Cup qualification"/>
    <s v="Buenos Aires"/>
    <s v="Argentina"/>
    <b v="0"/>
    <n v="2011"/>
    <n v="530158122010"/>
    <n v="23963164696"/>
    <x v="0"/>
    <n v="0"/>
    <x v="1"/>
  </r>
  <r>
    <x v="4160"/>
    <x v="1540"/>
    <x v="42"/>
    <s v="Bahrain"/>
    <s v="Iran"/>
    <n v="1"/>
    <n v="1"/>
    <s v="FIFA World Cup qualification"/>
    <s v="Riffa"/>
    <s v="Bahrain"/>
    <b v="0"/>
    <n v="2011"/>
    <n v="29914680851"/>
    <n v="629082257472"/>
    <x v="0"/>
    <n v="0"/>
    <x v="1"/>
  </r>
  <r>
    <x v="4161"/>
    <x v="1540"/>
    <x v="42"/>
    <s v="Bermuda"/>
    <s v="Barbados"/>
    <n v="2"/>
    <n v="1"/>
    <s v="FIFA World Cup qualification"/>
    <s v="Hamilton"/>
    <s v="Bermuda"/>
    <b v="0"/>
    <n v="2011"/>
    <n v="6312691000"/>
    <n v="5663100000"/>
    <x v="1"/>
    <n v="1"/>
    <x v="2"/>
  </r>
  <r>
    <x v="4162"/>
    <x v="1540"/>
    <x v="42"/>
    <s v="Chad"/>
    <s v="Tanzania"/>
    <n v="1"/>
    <n v="2"/>
    <s v="FIFA World Cup qualification"/>
    <s v="N'Djamena"/>
    <s v="Chad"/>
    <b v="0"/>
    <n v="2011"/>
    <n v="16685349673"/>
    <n v="34657140096"/>
    <x v="0"/>
    <n v="1"/>
    <x v="2"/>
  </r>
  <r>
    <x v="4163"/>
    <x v="1540"/>
    <x v="42"/>
    <s v="Colombia"/>
    <s v="Venezuela"/>
    <n v="1"/>
    <n v="1"/>
    <s v="FIFA World Cup qualification"/>
    <s v="Barranquilla"/>
    <s v="Colombia"/>
    <b v="0"/>
    <n v="2011"/>
    <n v="334966134804"/>
    <n v="316482190800"/>
    <x v="1"/>
    <n v="0"/>
    <x v="1"/>
  </r>
  <r>
    <x v="4164"/>
    <x v="1540"/>
    <x v="42"/>
    <s v="Comoros"/>
    <s v="Mozambique"/>
    <n v="0"/>
    <n v="1"/>
    <s v="FIFA World Cup qualification"/>
    <s v="Mitsamiouli"/>
    <s v="Comoros"/>
    <b v="0"/>
    <n v="2011"/>
    <n v="1023086273"/>
    <n v="14619279988"/>
    <x v="0"/>
    <n v="1"/>
    <x v="2"/>
  </r>
  <r>
    <x v="4165"/>
    <x v="1540"/>
    <x v="42"/>
    <s v="Djibouti"/>
    <s v="Namibia"/>
    <n v="0"/>
    <n v="4"/>
    <s v="FIFA World Cup qualification"/>
    <s v="Djibouti"/>
    <s v="Djibouti"/>
    <b v="0"/>
    <n v="2011"/>
    <n v="1239144501"/>
    <n v="12523359440"/>
    <x v="0"/>
    <n v="1"/>
    <x v="2"/>
  </r>
  <r>
    <x v="4166"/>
    <x v="1540"/>
    <x v="42"/>
    <s v="Dominican Republic"/>
    <s v="Cayman Islands"/>
    <n v="4"/>
    <n v="0"/>
    <s v="FIFA World Cup qualification"/>
    <s v="San Crist√≥bal"/>
    <s v="Dominican Republic"/>
    <b v="0"/>
    <n v="2011"/>
    <n v="57948261615"/>
    <n v="4186073160"/>
    <x v="0"/>
    <n v="1"/>
    <x v="2"/>
  </r>
  <r>
    <x v="4167"/>
    <x v="1540"/>
    <x v="42"/>
    <s v="Equatorial Guinea"/>
    <s v="Madagascar"/>
    <n v="2"/>
    <n v="0"/>
    <s v="FIFA World Cup qualification"/>
    <s v="Malabo"/>
    <s v="Equatorial Guinea"/>
    <b v="0"/>
    <n v="2011"/>
    <n v="21357343668"/>
    <n v="11551819617"/>
    <x v="1"/>
    <n v="1"/>
    <x v="2"/>
  </r>
  <r>
    <x v="4168"/>
    <x v="1540"/>
    <x v="42"/>
    <s v="Eritrea"/>
    <s v="Rwanda"/>
    <n v="1"/>
    <n v="1"/>
    <s v="FIFA World Cup qualification"/>
    <s v="Asmara"/>
    <s v="Eritrea"/>
    <b v="0"/>
    <n v="2011"/>
    <n v="2065001626"/>
    <n v="6884913658"/>
    <x v="0"/>
    <n v="0"/>
    <x v="1"/>
  </r>
  <r>
    <x v="4169"/>
    <x v="1540"/>
    <x v="42"/>
    <s v="Guatemala"/>
    <s v="Grenada"/>
    <n v="3"/>
    <n v="0"/>
    <s v="FIFA World Cup qualification"/>
    <s v="Guatemala City"/>
    <s v="Guatemala"/>
    <b v="0"/>
    <n v="2011"/>
    <n v="46876006272"/>
    <n v="778655555"/>
    <x v="0"/>
    <n v="1"/>
    <x v="2"/>
  </r>
  <r>
    <x v="4170"/>
    <x v="1540"/>
    <x v="42"/>
    <s v="Guinea-Bissau"/>
    <s v="Togo"/>
    <n v="1"/>
    <n v="1"/>
    <s v="FIFA World Cup qualification"/>
    <s v="Bissau"/>
    <s v="Guinea-Bissau"/>
    <b v="0"/>
    <n v="2011"/>
    <n v="1157074319"/>
    <n v="5422439152"/>
    <x v="0"/>
    <n v="0"/>
    <x v="1"/>
  </r>
  <r>
    <x v="4171"/>
    <x v="1540"/>
    <x v="42"/>
    <s v="Guyana"/>
    <s v="Trinidad and Tobago"/>
    <n v="2"/>
    <n v="1"/>
    <s v="FIFA World Cup qualification"/>
    <s v="Providence"/>
    <s v="Guyana"/>
    <b v="0"/>
    <n v="2011"/>
    <n v="3691384317"/>
    <n v="25433007437"/>
    <x v="0"/>
    <n v="-1"/>
    <x v="0"/>
  </r>
  <r>
    <x v="4172"/>
    <x v="1540"/>
    <x v="42"/>
    <s v="Jordan"/>
    <s v="Singapore"/>
    <n v="2"/>
    <n v="0"/>
    <s v="FIFA World Cup qualification"/>
    <s v="Amman"/>
    <s v="Jordan"/>
    <b v="0"/>
    <n v="2011"/>
    <n v="29524149154"/>
    <n v="279356499090"/>
    <x v="0"/>
    <n v="-1"/>
    <x v="0"/>
  </r>
  <r>
    <x v="4173"/>
    <x v="1540"/>
    <x v="42"/>
    <s v="Kuwait"/>
    <s v="Lebanon"/>
    <n v="0"/>
    <n v="1"/>
    <s v="FIFA World Cup qualification"/>
    <s v="Kuwait City"/>
    <s v="Kuwait"/>
    <b v="0"/>
    <n v="2011"/>
    <n v="154039231245"/>
    <n v="39927125961"/>
    <x v="0"/>
    <n v="-1"/>
    <x v="0"/>
  </r>
  <r>
    <x v="4174"/>
    <x v="1540"/>
    <x v="42"/>
    <s v="Lesotho"/>
    <s v="Burundi"/>
    <n v="1"/>
    <n v="0"/>
    <s v="FIFA World Cup qualification"/>
    <s v="Maseru"/>
    <s v="Lesotho"/>
    <b v="0"/>
    <n v="2011"/>
    <n v="2579409619"/>
    <n v="2235812879"/>
    <x v="1"/>
    <n v="1"/>
    <x v="2"/>
  </r>
  <r>
    <x v="4175"/>
    <x v="1540"/>
    <x v="42"/>
    <s v="Nicaragua"/>
    <s v="Dominica"/>
    <n v="1"/>
    <n v="0"/>
    <s v="FIFA World Cup qualification"/>
    <s v="Managua"/>
    <s v="Nicaragua"/>
    <b v="0"/>
    <n v="2011"/>
    <n v="9774329332"/>
    <n v="532081481"/>
    <x v="0"/>
    <n v="1"/>
    <x v="2"/>
  </r>
  <r>
    <x v="4176"/>
    <x v="1540"/>
    <x v="42"/>
    <s v="Oman"/>
    <s v="Australia"/>
    <n v="1"/>
    <n v="0"/>
    <s v="FIFA World Cup qualification"/>
    <s v="Muscat"/>
    <s v="Oman"/>
    <b v="0"/>
    <n v="2011"/>
    <n v="77497529258"/>
    <n v="1402939868653"/>
    <x v="0"/>
    <n v="-1"/>
    <x v="0"/>
  </r>
  <r>
    <x v="4177"/>
    <x v="1540"/>
    <x v="42"/>
    <s v="Paraguay"/>
    <s v="Ecuador"/>
    <n v="2"/>
    <n v="1"/>
    <s v="FIFA World Cup qualification"/>
    <s v="Asunci√≥n"/>
    <s v="Paraguay"/>
    <b v="0"/>
    <n v="2011"/>
    <n v="33756238766"/>
    <n v="78986648000"/>
    <x v="0"/>
    <n v="-1"/>
    <x v="0"/>
  </r>
  <r>
    <x v="4178"/>
    <x v="1540"/>
    <x v="42"/>
    <s v="Qatar"/>
    <s v="Indonesia"/>
    <n v="4"/>
    <n v="0"/>
    <s v="FIFA World Cup qualification"/>
    <s v="Doha"/>
    <s v="Qatar"/>
    <b v="0"/>
    <n v="2011"/>
    <n v="167775274725"/>
    <n v="892969104563"/>
    <x v="0"/>
    <n v="-1"/>
    <x v="0"/>
  </r>
  <r>
    <x v="4179"/>
    <x v="1540"/>
    <x v="42"/>
    <s v="Saudi Arabia"/>
    <s v="Thailand"/>
    <n v="3"/>
    <n v="0"/>
    <s v="FIFA World Cup qualification"/>
    <s v="Riyadh"/>
    <s v="Saudi Arabia"/>
    <b v="0"/>
    <n v="2011"/>
    <n v="680660800000"/>
    <n v="370818739623"/>
    <x v="1"/>
    <n v="1"/>
    <x v="2"/>
  </r>
  <r>
    <x v="4180"/>
    <x v="1540"/>
    <x v="42"/>
    <s v="Seychelles"/>
    <s v="Kenya"/>
    <n v="0"/>
    <n v="3"/>
    <s v="FIFA World Cup qualification"/>
    <s v="Victoria"/>
    <s v="Seychelles"/>
    <b v="0"/>
    <n v="2011"/>
    <n v="1058918707"/>
    <n v="46869473150"/>
    <x v="0"/>
    <n v="1"/>
    <x v="2"/>
  </r>
  <r>
    <x v="4181"/>
    <x v="1540"/>
    <x v="42"/>
    <s v="Suriname"/>
    <s v="El Salvador"/>
    <n v="1"/>
    <n v="3"/>
    <s v="FIFA World Cup qualification"/>
    <s v="Paramaribo"/>
    <s v="Suriname"/>
    <b v="0"/>
    <n v="2011"/>
    <n v="4422276621"/>
    <n v="20283780000"/>
    <x v="0"/>
    <n v="1"/>
    <x v="2"/>
  </r>
  <r>
    <x v="4182"/>
    <x v="1540"/>
    <x v="42"/>
    <s v="Tajikistan"/>
    <s v="Japan"/>
    <n v="0"/>
    <n v="4"/>
    <s v="FIFA World Cup qualification"/>
    <s v="Dushanbe"/>
    <s v="Tajikistan"/>
    <b v="0"/>
    <n v="2011"/>
    <n v="6522756255"/>
    <n v="6233147172341"/>
    <x v="0"/>
    <n v="1"/>
    <x v="2"/>
  </r>
  <r>
    <x v="4183"/>
    <x v="1540"/>
    <x v="42"/>
    <s v="United Arab Emirates"/>
    <s v="South Korea"/>
    <n v="0"/>
    <n v="2"/>
    <s v="FIFA World Cup qualification"/>
    <s v="Dubai"/>
    <s v="United Arab Emirates"/>
    <b v="0"/>
    <n v="2011"/>
    <n v="368881143635"/>
    <n v="1307103477219"/>
    <x v="0"/>
    <n v="1"/>
    <x v="2"/>
  </r>
  <r>
    <x v="4184"/>
    <x v="1540"/>
    <x v="42"/>
    <s v="Uruguay"/>
    <s v="Chile"/>
    <n v="4"/>
    <n v="0"/>
    <s v="FIFA World Cup qualification"/>
    <s v="Montevideo"/>
    <s v="Uruguay"/>
    <b v="0"/>
    <n v="2011"/>
    <n v="50342406067"/>
    <n v="251382573893"/>
    <x v="0"/>
    <n v="-1"/>
    <x v="0"/>
  </r>
  <r>
    <x v="4185"/>
    <x v="1541"/>
    <x v="42"/>
    <s v="Bermuda"/>
    <s v="Barbados"/>
    <n v="2"/>
    <n v="1"/>
    <s v="FIFA World Cup qualification"/>
    <s v="Hamilton"/>
    <s v="Bermuda"/>
    <b v="0"/>
    <n v="2011"/>
    <n v="6312691000"/>
    <n v="5663100000"/>
    <x v="1"/>
    <n v="1"/>
    <x v="2"/>
  </r>
  <r>
    <x v="4186"/>
    <x v="1541"/>
    <x v="42"/>
    <s v="Cayman Islands"/>
    <s v="Dominican Republic"/>
    <n v="1"/>
    <n v="1"/>
    <s v="FIFA World Cup qualification"/>
    <s v="George Town"/>
    <s v="Cayman Islands"/>
    <b v="0"/>
    <n v="2011"/>
    <n v="4186073160"/>
    <n v="57948261615"/>
    <x v="0"/>
    <n v="0"/>
    <x v="1"/>
  </r>
  <r>
    <x v="4187"/>
    <x v="1542"/>
    <x v="42"/>
    <s v="Burundi"/>
    <s v="Lesotho"/>
    <n v="2"/>
    <n v="2"/>
    <s v="FIFA World Cup qualification"/>
    <s v="Bujumbura"/>
    <s v="Burundi"/>
    <b v="0"/>
    <n v="2011"/>
    <n v="2235812879"/>
    <n v="2579409619"/>
    <x v="1"/>
    <n v="0"/>
    <x v="1"/>
  </r>
  <r>
    <x v="4188"/>
    <x v="1542"/>
    <x v="42"/>
    <s v="Chile"/>
    <s v="Paraguay"/>
    <n v="2"/>
    <n v="0"/>
    <s v="FIFA World Cup qualification"/>
    <s v="Santiago"/>
    <s v="Chile"/>
    <b v="0"/>
    <n v="2011"/>
    <n v="251382573893"/>
    <n v="33756238766"/>
    <x v="0"/>
    <n v="1"/>
    <x v="2"/>
  </r>
  <r>
    <x v="4189"/>
    <x v="1542"/>
    <x v="42"/>
    <s v="Colombia"/>
    <s v="Argentina"/>
    <n v="1"/>
    <n v="2"/>
    <s v="FIFA World Cup qualification"/>
    <s v="Barranquilla"/>
    <s v="Colombia"/>
    <b v="0"/>
    <n v="2011"/>
    <n v="334966134804"/>
    <n v="530158122010"/>
    <x v="1"/>
    <n v="1"/>
    <x v="2"/>
  </r>
  <r>
    <x v="4190"/>
    <x v="1542"/>
    <x v="42"/>
    <s v="Ecuador"/>
    <s v="Peru"/>
    <n v="2"/>
    <n v="0"/>
    <s v="FIFA World Cup qualification"/>
    <s v="Quito"/>
    <s v="Ecuador"/>
    <b v="0"/>
    <n v="2011"/>
    <n v="78986648000"/>
    <n v="171761737046"/>
    <x v="0"/>
    <n v="-1"/>
    <x v="0"/>
  </r>
  <r>
    <x v="4191"/>
    <x v="1542"/>
    <x v="42"/>
    <s v="El Salvador"/>
    <s v="Suriname"/>
    <n v="4"/>
    <n v="0"/>
    <s v="FIFA World Cup qualification"/>
    <s v="San Salvador"/>
    <s v="El Salvador"/>
    <b v="0"/>
    <n v="2011"/>
    <n v="20283780000"/>
    <n v="4422276621"/>
    <x v="0"/>
    <n v="1"/>
    <x v="2"/>
  </r>
  <r>
    <x v="4192"/>
    <x v="1542"/>
    <x v="42"/>
    <s v="Grenada"/>
    <s v="Guatemala"/>
    <n v="1"/>
    <n v="4"/>
    <s v="FIFA World Cup qualification"/>
    <s v="St. George's"/>
    <s v="Grenada"/>
    <b v="0"/>
    <n v="2011"/>
    <n v="778655555"/>
    <n v="46876006272"/>
    <x v="0"/>
    <n v="1"/>
    <x v="2"/>
  </r>
  <r>
    <x v="4193"/>
    <x v="1542"/>
    <x v="42"/>
    <s v="Haiti"/>
    <s v="Antigua and Barbuda"/>
    <n v="2"/>
    <n v="1"/>
    <s v="FIFA World Cup qualification"/>
    <s v="Port-au-Prince"/>
    <s v="Haiti"/>
    <b v="0"/>
    <n v="2011"/>
    <n v="13008746038"/>
    <n v="1287359259"/>
    <x v="0"/>
    <n v="1"/>
    <x v="2"/>
  </r>
  <r>
    <x v="4194"/>
    <x v="1542"/>
    <x v="42"/>
    <s v="Indonesia"/>
    <s v="Iran"/>
    <n v="1"/>
    <n v="4"/>
    <s v="FIFA World Cup qualification"/>
    <s v="Jakarta"/>
    <s v="Indonesia"/>
    <b v="0"/>
    <n v="2011"/>
    <n v="892969104563"/>
    <n v="629082257472"/>
    <x v="1"/>
    <n v="-1"/>
    <x v="0"/>
  </r>
  <r>
    <x v="4195"/>
    <x v="1542"/>
    <x v="42"/>
    <s v="Jordan"/>
    <s v="Iraq"/>
    <n v="1"/>
    <n v="3"/>
    <s v="FIFA World Cup qualification"/>
    <s v="Amman"/>
    <s v="Jordan"/>
    <b v="0"/>
    <n v="2011"/>
    <n v="29524149154"/>
    <n v="185749664444"/>
    <x v="0"/>
    <n v="1"/>
    <x v="2"/>
  </r>
  <r>
    <x v="4196"/>
    <x v="1542"/>
    <x v="42"/>
    <s v="Kenya"/>
    <s v="Seychelles"/>
    <n v="4"/>
    <n v="0"/>
    <s v="FIFA World Cup qualification"/>
    <s v="Nairobi"/>
    <s v="Kenya"/>
    <b v="0"/>
    <n v="2011"/>
    <n v="46869473150"/>
    <n v="1058918707"/>
    <x v="0"/>
    <n v="1"/>
    <x v="2"/>
  </r>
  <r>
    <x v="4197"/>
    <x v="1542"/>
    <x v="42"/>
    <s v="Kuwait"/>
    <s v="United Arab Emirates"/>
    <n v="2"/>
    <n v="1"/>
    <s v="FIFA World Cup qualification"/>
    <s v="Kuwait City"/>
    <s v="Kuwait"/>
    <b v="0"/>
    <n v="2011"/>
    <n v="154039231245"/>
    <n v="368881143635"/>
    <x v="0"/>
    <n v="-1"/>
    <x v="0"/>
  </r>
  <r>
    <x v="4198"/>
    <x v="1542"/>
    <x v="42"/>
    <s v="Lebanon"/>
    <s v="South Korea"/>
    <n v="2"/>
    <n v="1"/>
    <s v="FIFA World Cup qualification"/>
    <s v="Beirut"/>
    <s v="Lebanon"/>
    <b v="0"/>
    <n v="2011"/>
    <n v="39927125961"/>
    <n v="1307103477219"/>
    <x v="0"/>
    <n v="-1"/>
    <x v="0"/>
  </r>
  <r>
    <x v="4199"/>
    <x v="1542"/>
    <x v="42"/>
    <s v="Madagascar"/>
    <s v="Equatorial Guinea"/>
    <n v="2"/>
    <n v="1"/>
    <s v="FIFA World Cup qualification"/>
    <s v="Antananarivo"/>
    <s v="Madagascar"/>
    <b v="0"/>
    <n v="2011"/>
    <n v="11551819617"/>
    <n v="21357343668"/>
    <x v="1"/>
    <n v="-1"/>
    <x v="0"/>
  </r>
  <r>
    <x v="4200"/>
    <x v="1542"/>
    <x v="42"/>
    <s v="Mozambique"/>
    <s v="Comoros"/>
    <n v="4"/>
    <n v="1"/>
    <s v="FIFA World Cup qualification"/>
    <s v="Maputo"/>
    <s v="Mozambique"/>
    <b v="0"/>
    <n v="2011"/>
    <n v="14619279988"/>
    <n v="1023086273"/>
    <x v="0"/>
    <n v="1"/>
    <x v="2"/>
  </r>
  <r>
    <x v="4201"/>
    <x v="1542"/>
    <x v="42"/>
    <s v="Namibia"/>
    <s v="Djibouti"/>
    <n v="4"/>
    <n v="0"/>
    <s v="FIFA World Cup qualification"/>
    <s v="Windhoek"/>
    <s v="Namibia"/>
    <b v="0"/>
    <n v="2011"/>
    <n v="12523359440"/>
    <n v="1239144501"/>
    <x v="0"/>
    <n v="1"/>
    <x v="2"/>
  </r>
  <r>
    <x v="4202"/>
    <x v="1542"/>
    <x v="42"/>
    <s v="Panama"/>
    <s v="Dominica"/>
    <n v="3"/>
    <n v="0"/>
    <s v="FIFA World Cup qualification"/>
    <s v="Panama City"/>
    <s v="Panama"/>
    <b v="0"/>
    <n v="2011"/>
    <n v="35687738251"/>
    <n v="532081481"/>
    <x v="0"/>
    <n v="1"/>
    <x v="2"/>
  </r>
  <r>
    <x v="4203"/>
    <x v="1542"/>
    <x v="42"/>
    <s v="Qatar"/>
    <s v="Bahrain"/>
    <n v="0"/>
    <n v="0"/>
    <s v="FIFA World Cup qualification"/>
    <s v="Doha"/>
    <s v="Qatar"/>
    <b v="0"/>
    <n v="2011"/>
    <n v="167775274725"/>
    <n v="29914680851"/>
    <x v="0"/>
    <n v="0"/>
    <x v="1"/>
  </r>
  <r>
    <x v="4204"/>
    <x v="1542"/>
    <x v="42"/>
    <s v="Rwanda"/>
    <s v="Eritrea"/>
    <n v="3"/>
    <n v="1"/>
    <s v="FIFA World Cup qualification"/>
    <s v="Kigali"/>
    <s v="Rwanda"/>
    <b v="0"/>
    <n v="2011"/>
    <n v="6884913658"/>
    <n v="2065001626"/>
    <x v="0"/>
    <n v="1"/>
    <x v="2"/>
  </r>
  <r>
    <x v="4205"/>
    <x v="1542"/>
    <x v="42"/>
    <s v="Saudi Arabia"/>
    <s v="Oman"/>
    <n v="0"/>
    <n v="0"/>
    <s v="FIFA World Cup qualification"/>
    <s v="Riyadh"/>
    <s v="Saudi Arabia"/>
    <b v="0"/>
    <n v="2011"/>
    <n v="680660800000"/>
    <n v="77497529258"/>
    <x v="0"/>
    <n v="0"/>
    <x v="1"/>
  </r>
  <r>
    <x v="4206"/>
    <x v="1542"/>
    <x v="42"/>
    <s v="Tanzania"/>
    <s v="Chad"/>
    <n v="0"/>
    <n v="1"/>
    <s v="FIFA World Cup qualification"/>
    <s v="Dar es Salaam"/>
    <s v="Tanzania"/>
    <b v="0"/>
    <n v="2011"/>
    <n v="34657140096"/>
    <n v="16685349673"/>
    <x v="0"/>
    <n v="-1"/>
    <x v="0"/>
  </r>
  <r>
    <x v="4207"/>
    <x v="1542"/>
    <x v="42"/>
    <s v="Thailand"/>
    <s v="Australia"/>
    <n v="0"/>
    <n v="1"/>
    <s v="FIFA World Cup qualification"/>
    <s v="Bangkok"/>
    <s v="Thailand"/>
    <b v="0"/>
    <n v="2011"/>
    <n v="370818739623"/>
    <n v="1402939868653"/>
    <x v="0"/>
    <n v="1"/>
    <x v="2"/>
  </r>
  <r>
    <x v="4208"/>
    <x v="1542"/>
    <x v="42"/>
    <s v="Togo"/>
    <s v="Guinea-Bissau"/>
    <n v="1"/>
    <n v="0"/>
    <s v="FIFA World Cup qualification"/>
    <s v="Lom√©"/>
    <s v="Togo"/>
    <b v="0"/>
    <n v="2011"/>
    <n v="5422439152"/>
    <n v="1157074319"/>
    <x v="0"/>
    <n v="1"/>
    <x v="2"/>
  </r>
  <r>
    <x v="4209"/>
    <x v="1542"/>
    <x v="42"/>
    <s v="Trinidad and Tobago"/>
    <s v="Guyana"/>
    <n v="2"/>
    <n v="0"/>
    <s v="FIFA World Cup qualification"/>
    <s v="Port of Spain"/>
    <s v="Trinidad and Tobago"/>
    <b v="0"/>
    <n v="2011"/>
    <n v="25433007437"/>
    <n v="3691384317"/>
    <x v="0"/>
    <n v="1"/>
    <x v="2"/>
  </r>
  <r>
    <x v="4210"/>
    <x v="1542"/>
    <x v="42"/>
    <s v="Uzbekistan"/>
    <s v="Tajikistan"/>
    <n v="3"/>
    <n v="0"/>
    <s v="FIFA World Cup qualification"/>
    <s v="Tashkent"/>
    <s v="Uzbekistan"/>
    <b v="0"/>
    <n v="2011"/>
    <n v="60178909297"/>
    <n v="6522756255"/>
    <x v="0"/>
    <n v="1"/>
    <x v="2"/>
  </r>
  <r>
    <x v="4211"/>
    <x v="1542"/>
    <x v="42"/>
    <s v="Venezuela"/>
    <s v="Bolivia"/>
    <n v="1"/>
    <n v="0"/>
    <s v="FIFA World Cup qualification"/>
    <s v="San Crist√≥bal"/>
    <s v="Venezuela"/>
    <b v="0"/>
    <n v="2011"/>
    <n v="316482190800"/>
    <n v="23963164696"/>
    <x v="0"/>
    <n v="1"/>
    <x v="2"/>
  </r>
  <r>
    <x v="4212"/>
    <x v="1543"/>
    <x v="42"/>
    <s v="American Samoa"/>
    <s v="Tonga"/>
    <n v="2"/>
    <n v="1"/>
    <s v="FIFA World Cup qualification"/>
    <s v="Apia"/>
    <s v="Samoa"/>
    <b v="1"/>
    <n v="2011"/>
    <n v="570000000"/>
    <n v="414143828"/>
    <x v="1"/>
    <n v="1"/>
    <x v="2"/>
  </r>
  <r>
    <x v="4213"/>
    <x v="1544"/>
    <x v="42"/>
    <s v="Samoa"/>
    <s v="Tonga"/>
    <n v="1"/>
    <n v="1"/>
    <s v="FIFA World Cup qualification"/>
    <s v="Apia"/>
    <s v="Samoa"/>
    <b v="0"/>
    <n v="2011"/>
    <n v="744097050"/>
    <n v="414143828"/>
    <x v="1"/>
    <n v="0"/>
    <x v="1"/>
  </r>
  <r>
    <x v="4214"/>
    <x v="1545"/>
    <x v="42"/>
    <s v="Samoa"/>
    <s v="American Samoa"/>
    <n v="1"/>
    <n v="0"/>
    <s v="FIFA World Cup qualification"/>
    <s v="Apia"/>
    <s v="Samoa"/>
    <b v="0"/>
    <n v="2011"/>
    <n v="744097050"/>
    <n v="570000000"/>
    <x v="1"/>
    <n v="1"/>
    <x v="2"/>
  </r>
  <r>
    <x v="4215"/>
    <x v="1546"/>
    <x v="43"/>
    <s v="Australia"/>
    <s v="Saudi Arabia"/>
    <n v="4"/>
    <n v="2"/>
    <s v="FIFA World Cup qualification"/>
    <s v="Melbourne"/>
    <s v="Australia"/>
    <b v="0"/>
    <n v="2012"/>
    <n v="1552728401401"/>
    <n v="751921333333"/>
    <x v="0"/>
    <n v="1"/>
    <x v="2"/>
  </r>
  <r>
    <x v="4216"/>
    <x v="1546"/>
    <x v="43"/>
    <s v="Bahrain"/>
    <s v="Indonesia"/>
    <n v="10"/>
    <n v="0"/>
    <s v="FIFA World Cup qualification"/>
    <s v="Riffa"/>
    <s v="Bahrain"/>
    <b v="0"/>
    <n v="2012"/>
    <n v="31963404255"/>
    <n v="917869913332"/>
    <x v="0"/>
    <n v="-1"/>
    <x v="0"/>
  </r>
  <r>
    <x v="4217"/>
    <x v="1546"/>
    <x v="43"/>
    <s v="Iran"/>
    <s v="Qatar"/>
    <n v="2"/>
    <n v="2"/>
    <s v="FIFA World Cup qualification"/>
    <s v="Tehran"/>
    <s v="Iran"/>
    <b v="0"/>
    <n v="2012"/>
    <n v="644019315003"/>
    <n v="186833516483"/>
    <x v="0"/>
    <n v="0"/>
    <x v="1"/>
  </r>
  <r>
    <x v="4218"/>
    <x v="1546"/>
    <x v="43"/>
    <s v="Iraq"/>
    <s v="Singapore"/>
    <n v="7"/>
    <n v="1"/>
    <s v="FIFA World Cup qualification"/>
    <s v="Doha"/>
    <s v="Qatar"/>
    <b v="1"/>
    <n v="2012"/>
    <n v="218002476129"/>
    <n v="295092888076"/>
    <x v="1"/>
    <n v="-1"/>
    <x v="0"/>
  </r>
  <r>
    <x v="4219"/>
    <x v="1546"/>
    <x v="43"/>
    <s v="Japan"/>
    <s v="Uzbekistan"/>
    <n v="0"/>
    <n v="1"/>
    <s v="FIFA World Cup qualification"/>
    <s v="Toyota"/>
    <s v="Japan"/>
    <b v="0"/>
    <n v="2012"/>
    <n v="6272362996105"/>
    <n v="67517349212"/>
    <x v="0"/>
    <n v="-1"/>
    <x v="0"/>
  </r>
  <r>
    <x v="4220"/>
    <x v="1546"/>
    <x v="43"/>
    <s v="South Korea"/>
    <s v="Kuwait"/>
    <n v="2"/>
    <n v="0"/>
    <s v="FIFA World Cup qualification"/>
    <s v="Seoul"/>
    <s v="South Korea"/>
    <b v="0"/>
    <n v="2012"/>
    <n v="1335343586437"/>
    <n v="174047662680"/>
    <x v="0"/>
    <n v="1"/>
    <x v="2"/>
  </r>
  <r>
    <x v="4221"/>
    <x v="1546"/>
    <x v="43"/>
    <s v="Oman"/>
    <s v="Thailand"/>
    <n v="2"/>
    <n v="0"/>
    <s v="FIFA World Cup qualification"/>
    <s v="Muscat"/>
    <s v="Oman"/>
    <b v="0"/>
    <n v="2012"/>
    <n v="87408842652"/>
    <n v="397558325278"/>
    <x v="0"/>
    <n v="-1"/>
    <x v="0"/>
  </r>
  <r>
    <x v="4222"/>
    <x v="1546"/>
    <x v="43"/>
    <s v="United Arab Emirates"/>
    <s v="Lebanon"/>
    <n v="4"/>
    <n v="2"/>
    <s v="FIFA World Cup qualification"/>
    <s v="Abu Dhabi"/>
    <s v="United Arab Emirates"/>
    <b v="0"/>
    <n v="2012"/>
    <n v="392793464942"/>
    <n v="44016799515"/>
    <x v="0"/>
    <n v="1"/>
    <x v="2"/>
  </r>
  <r>
    <x v="4223"/>
    <x v="1547"/>
    <x v="43"/>
    <s v="Egypt"/>
    <s v="Mozambique"/>
    <n v="2"/>
    <n v="0"/>
    <s v="FIFA World Cup qualification"/>
    <s v="Alexandria"/>
    <s v="Egypt"/>
    <b v="0"/>
    <n v="2012"/>
    <n v="279116666666"/>
    <n v="16688114144"/>
    <x v="0"/>
    <n v="1"/>
    <x v="2"/>
  </r>
  <r>
    <x v="4224"/>
    <x v="1547"/>
    <x v="43"/>
    <s v="Ghana"/>
    <s v="Lesotho"/>
    <n v="7"/>
    <n v="0"/>
    <s v="FIFA World Cup qualification"/>
    <s v="Kumasi"/>
    <s v="Ghana"/>
    <b v="0"/>
    <n v="2012"/>
    <n v="41271701060"/>
    <n v="2477702216"/>
    <x v="0"/>
    <n v="1"/>
    <x v="2"/>
  </r>
  <r>
    <x v="4225"/>
    <x v="1548"/>
    <x v="43"/>
    <s v="Algeria"/>
    <s v="Rwanda"/>
    <n v="4"/>
    <n v="0"/>
    <s v="FIFA World Cup qualification"/>
    <s v="Blida"/>
    <s v="Algeria"/>
    <b v="0"/>
    <n v="2012"/>
    <n v="227143746075"/>
    <n v="7654761050"/>
    <x v="0"/>
    <n v="1"/>
    <x v="2"/>
  </r>
  <r>
    <x v="4226"/>
    <x v="1548"/>
    <x v="43"/>
    <s v="Argentina"/>
    <s v="Ecuador"/>
    <n v="4"/>
    <n v="0"/>
    <s v="FIFA World Cup qualification"/>
    <s v="Buenos Aires"/>
    <s v="Argentina"/>
    <b v="0"/>
    <n v="2012"/>
    <n v="545982375701"/>
    <n v="87735048000"/>
    <x v="0"/>
    <n v="1"/>
    <x v="2"/>
  </r>
  <r>
    <x v="4227"/>
    <x v="1548"/>
    <x v="43"/>
    <s v="Bolivia"/>
    <s v="Chile"/>
    <n v="0"/>
    <n v="2"/>
    <s v="FIFA World Cup qualification"/>
    <s v="La Paz"/>
    <s v="Bolivia"/>
    <b v="0"/>
    <n v="2012"/>
    <n v="27084497481"/>
    <n v="267024782486"/>
    <x v="0"/>
    <n v="1"/>
    <x v="2"/>
  </r>
  <r>
    <x v="4228"/>
    <x v="1548"/>
    <x v="43"/>
    <s v="Central African Republic"/>
    <s v="Botswana"/>
    <n v="2"/>
    <n v="0"/>
    <s v="FIFA World Cup qualification"/>
    <s v="Bangui"/>
    <s v="Central African Republic"/>
    <b v="0"/>
    <n v="2012"/>
    <n v="2510126512"/>
    <n v="13907464500"/>
    <x v="0"/>
    <n v="-1"/>
    <x v="0"/>
  </r>
  <r>
    <x v="4229"/>
    <x v="1548"/>
    <x v="43"/>
    <s v="Kenya"/>
    <s v="Malawi"/>
    <n v="0"/>
    <n v="0"/>
    <s v="FIFA World Cup qualification"/>
    <s v="Nairobi"/>
    <s v="Kenya"/>
    <b v="0"/>
    <n v="2012"/>
    <n v="56396704671"/>
    <n v="8773203178"/>
    <x v="0"/>
    <n v="0"/>
    <x v="1"/>
  </r>
  <r>
    <x v="4230"/>
    <x v="1548"/>
    <x v="43"/>
    <s v="Senegal"/>
    <s v="Liberia"/>
    <n v="3"/>
    <n v="1"/>
    <s v="FIFA World Cup qualification"/>
    <s v="Dakar"/>
    <s v="Senegal"/>
    <b v="0"/>
    <n v="2012"/>
    <n v="17660870411"/>
    <n v="2791614000"/>
    <x v="0"/>
    <n v="1"/>
    <x v="2"/>
  </r>
  <r>
    <x v="4231"/>
    <x v="1548"/>
    <x v="43"/>
    <s v="Sudan"/>
    <s v="Zambia"/>
    <n v="0"/>
    <n v="3"/>
    <s v="FIFA World Cup qualification"/>
    <s v="Khartoum"/>
    <s v="Sudan"/>
    <b v="0"/>
    <n v="2012"/>
    <n v="37632919966"/>
    <n v="25503060420"/>
    <x v="1"/>
    <n v="-1"/>
    <x v="0"/>
  </r>
  <r>
    <x v="4232"/>
    <x v="1548"/>
    <x v="43"/>
    <s v="Tunisia"/>
    <s v="Equatorial Guinea"/>
    <n v="3"/>
    <n v="1"/>
    <s v="FIFA World Cup qualification"/>
    <s v="Monastir"/>
    <s v="Tunisia"/>
    <b v="0"/>
    <n v="2012"/>
    <n v="47311401812"/>
    <n v="22388344143"/>
    <x v="0"/>
    <n v="1"/>
    <x v="2"/>
  </r>
  <r>
    <x v="4233"/>
    <x v="1548"/>
    <x v="43"/>
    <s v="Uruguay"/>
    <s v="Venezuela"/>
    <n v="1"/>
    <n v="1"/>
    <s v="FIFA World Cup qualification"/>
    <s v="Montevideo"/>
    <s v="Uruguay"/>
    <b v="0"/>
    <n v="2012"/>
    <n v="54232266358"/>
    <n v="372592062768"/>
    <x v="0"/>
    <n v="0"/>
    <x v="1"/>
  </r>
  <r>
    <x v="4234"/>
    <x v="1549"/>
    <x v="43"/>
    <s v="Angola"/>
    <s v="Uganda"/>
    <n v="1"/>
    <n v="1"/>
    <s v="FIFA World Cup qualification"/>
    <s v="Luanda"/>
    <s v="Angola"/>
    <b v="0"/>
    <n v="2012"/>
    <n v="143572907527"/>
    <n v="27305915910"/>
    <x v="0"/>
    <n v="0"/>
    <x v="1"/>
  </r>
  <r>
    <x v="4235"/>
    <x v="1549"/>
    <x v="43"/>
    <s v="Benin"/>
    <s v="Mali"/>
    <n v="1"/>
    <n v="0"/>
    <s v="FIFA World Cup qualification"/>
    <s v="Cotonou"/>
    <s v="Benin"/>
    <b v="0"/>
    <n v="2012"/>
    <n v="11141358115"/>
    <n v="14795114602"/>
    <x v="1"/>
    <n v="-1"/>
    <x v="0"/>
  </r>
  <r>
    <x v="4236"/>
    <x v="1549"/>
    <x v="43"/>
    <s v="Japan"/>
    <s v="Oman"/>
    <n v="3"/>
    <n v="0"/>
    <s v="FIFA World Cup qualification"/>
    <s v="Saitama"/>
    <s v="Japan"/>
    <b v="0"/>
    <n v="2012"/>
    <n v="6272362996105"/>
    <n v="87408842652"/>
    <x v="0"/>
    <n v="1"/>
    <x v="2"/>
  </r>
  <r>
    <x v="4237"/>
    <x v="1549"/>
    <x v="43"/>
    <s v="Jordan"/>
    <s v="Iraq"/>
    <n v="1"/>
    <n v="1"/>
    <s v="FIFA World Cup qualification"/>
    <s v="Amman"/>
    <s v="Jordan"/>
    <b v="0"/>
    <n v="2012"/>
    <n v="31634561690"/>
    <n v="218002476129"/>
    <x v="0"/>
    <n v="0"/>
    <x v="1"/>
  </r>
  <r>
    <x v="4238"/>
    <x v="1549"/>
    <x v="43"/>
    <s v="Lebanon"/>
    <s v="Qatar"/>
    <n v="0"/>
    <n v="1"/>
    <s v="FIFA World Cup qualification"/>
    <s v="Beirut"/>
    <s v="Lebanon"/>
    <b v="0"/>
    <n v="2012"/>
    <n v="44016799515"/>
    <n v="186833516483"/>
    <x v="0"/>
    <n v="1"/>
    <x v="2"/>
  </r>
  <r>
    <x v="4239"/>
    <x v="1549"/>
    <x v="43"/>
    <s v="Niger"/>
    <s v="Gabon"/>
    <n v="3"/>
    <n v="0"/>
    <s v="FIFA World Cup qualification"/>
    <s v="Niamey"/>
    <s v="Niger"/>
    <b v="0"/>
    <n v="2012"/>
    <n v="9426912647"/>
    <n v="17170464016"/>
    <x v="1"/>
    <n v="-1"/>
    <x v="0"/>
  </r>
  <r>
    <x v="4240"/>
    <x v="1549"/>
    <x v="43"/>
    <s v="Nigeria"/>
    <s v="Namibia"/>
    <n v="1"/>
    <n v="0"/>
    <s v="FIFA World Cup qualification"/>
    <s v="Calabar"/>
    <s v="Nigeria"/>
    <b v="0"/>
    <n v="2012"/>
    <n v="463971018239"/>
    <n v="13042053591"/>
    <x v="0"/>
    <n v="1"/>
    <x v="2"/>
  </r>
  <r>
    <x v="4241"/>
    <x v="1549"/>
    <x v="43"/>
    <s v="Peru"/>
    <s v="Colombia"/>
    <n v="0"/>
    <n v="1"/>
    <s v="FIFA World Cup qualification"/>
    <s v="Lima"/>
    <s v="Peru"/>
    <b v="0"/>
    <n v="2012"/>
    <n v="192650021648"/>
    <n v="370691143018"/>
    <x v="1"/>
    <n v="1"/>
    <x v="2"/>
  </r>
  <r>
    <x v="4242"/>
    <x v="1549"/>
    <x v="43"/>
    <s v="South Africa"/>
    <s v="Ethiopia"/>
    <n v="1"/>
    <n v="1"/>
    <s v="FIFA World Cup qualification"/>
    <s v="Rustenburg"/>
    <s v="South Africa"/>
    <b v="0"/>
    <n v="2012"/>
    <n v="434400545085"/>
    <n v="43310721414"/>
    <x v="0"/>
    <n v="0"/>
    <x v="1"/>
  </r>
  <r>
    <x v="4243"/>
    <x v="1549"/>
    <x v="43"/>
    <s v="Togo"/>
    <s v="Libya"/>
    <n v="1"/>
    <n v="1"/>
    <s v="FIFA World Cup qualification"/>
    <s v="Lom√©"/>
    <s v="Togo"/>
    <b v="0"/>
    <n v="2012"/>
    <n v="5413541649"/>
    <n v="92540938129"/>
    <x v="0"/>
    <n v="0"/>
    <x v="1"/>
  </r>
  <r>
    <x v="4244"/>
    <x v="1549"/>
    <x v="43"/>
    <s v="Uzbekistan"/>
    <s v="Iran"/>
    <n v="0"/>
    <n v="1"/>
    <s v="FIFA World Cup qualification"/>
    <s v="Tashkent"/>
    <s v="Uzbekistan"/>
    <b v="0"/>
    <n v="2012"/>
    <n v="67517349212"/>
    <n v="644019315003"/>
    <x v="0"/>
    <n v="1"/>
    <x v="2"/>
  </r>
  <r>
    <x v="4245"/>
    <x v="1549"/>
    <x v="43"/>
    <s v="Zimbabwe"/>
    <s v="Guinea"/>
    <n v="0"/>
    <n v="1"/>
    <s v="FIFA World Cup qualification"/>
    <s v="Harare"/>
    <s v="Zimbabwe"/>
    <b v="0"/>
    <n v="2012"/>
    <n v="17123500000"/>
    <n v="7638044556"/>
    <x v="0"/>
    <n v="-1"/>
    <x v="0"/>
  </r>
  <r>
    <x v="4246"/>
    <x v="1550"/>
    <x v="43"/>
    <s v="Costa Rica"/>
    <s v="El Salvador"/>
    <n v="2"/>
    <n v="2"/>
    <s v="FIFA World Cup qualification"/>
    <s v="San Jos√©"/>
    <s v="Costa Rica"/>
    <b v="0"/>
    <n v="2012"/>
    <n v="47231655431"/>
    <n v="21386150000"/>
    <x v="0"/>
    <n v="0"/>
    <x v="1"/>
  </r>
  <r>
    <x v="4247"/>
    <x v="1550"/>
    <x v="43"/>
    <s v="Cuba"/>
    <s v="Canada"/>
    <n v="0"/>
    <n v="1"/>
    <s v="FIFA World Cup qualification"/>
    <s v="Havana"/>
    <s v="Cuba"/>
    <b v="0"/>
    <n v="2012"/>
    <n v="73141000000"/>
    <n v="1828366481521"/>
    <x v="0"/>
    <n v="1"/>
    <x v="2"/>
  </r>
  <r>
    <x v="4248"/>
    <x v="1550"/>
    <x v="43"/>
    <s v="Honduras"/>
    <s v="Panama"/>
    <n v="0"/>
    <n v="2"/>
    <s v="FIFA World Cup qualification"/>
    <s v="San Pedro Sula"/>
    <s v="Honduras"/>
    <b v="0"/>
    <n v="2012"/>
    <n v="18528554397"/>
    <n v="41595439720"/>
    <x v="0"/>
    <n v="1"/>
    <x v="2"/>
  </r>
  <r>
    <x v="4249"/>
    <x v="1550"/>
    <x v="43"/>
    <s v="Jamaica"/>
    <s v="Guatemala"/>
    <n v="2"/>
    <n v="1"/>
    <s v="FIFA World Cup qualification"/>
    <s v="Kingston"/>
    <s v="Jamaica"/>
    <b v="0"/>
    <n v="2012"/>
    <n v="14807086555"/>
    <n v="49593929487"/>
    <x v="0"/>
    <n v="-1"/>
    <x v="0"/>
  </r>
  <r>
    <x v="4250"/>
    <x v="1550"/>
    <x v="43"/>
    <s v="Japan"/>
    <s v="Jordan"/>
    <n v="6"/>
    <n v="0"/>
    <s v="FIFA World Cup qualification"/>
    <s v="Saitama"/>
    <s v="Japan"/>
    <b v="0"/>
    <n v="2012"/>
    <n v="6272362996105"/>
    <n v="31634561690"/>
    <x v="0"/>
    <n v="1"/>
    <x v="2"/>
  </r>
  <r>
    <x v="4251"/>
    <x v="1550"/>
    <x v="43"/>
    <s v="Lebanon"/>
    <s v="Uzbekistan"/>
    <n v="1"/>
    <n v="1"/>
    <s v="FIFA World Cup qualification"/>
    <s v="Beirut"/>
    <s v="Lebanon"/>
    <b v="0"/>
    <n v="2012"/>
    <n v="44016799515"/>
    <n v="67517349212"/>
    <x v="1"/>
    <n v="0"/>
    <x v="1"/>
  </r>
  <r>
    <x v="4252"/>
    <x v="1550"/>
    <x v="43"/>
    <s v="Mexico"/>
    <s v="Guyana"/>
    <n v="3"/>
    <n v="1"/>
    <s v="FIFA World Cup qualification"/>
    <s v="Mexico City"/>
    <s v="Mexico"/>
    <b v="0"/>
    <n v="2012"/>
    <n v="1255110424817"/>
    <n v="4063088535"/>
    <x v="0"/>
    <n v="1"/>
    <x v="2"/>
  </r>
  <r>
    <x v="4253"/>
    <x v="1550"/>
    <x v="43"/>
    <s v="Oman"/>
    <s v="Australia"/>
    <n v="0"/>
    <n v="0"/>
    <s v="FIFA World Cup qualification"/>
    <s v="Muscat"/>
    <s v="Oman"/>
    <b v="0"/>
    <n v="2012"/>
    <n v="87408842652"/>
    <n v="1552728401401"/>
    <x v="0"/>
    <n v="0"/>
    <x v="1"/>
  </r>
  <r>
    <x v="4254"/>
    <x v="1550"/>
    <x v="43"/>
    <s v="Qatar"/>
    <s v="South Korea"/>
    <n v="1"/>
    <n v="4"/>
    <s v="FIFA World Cup qualification"/>
    <s v="Doha"/>
    <s v="Qatar"/>
    <b v="0"/>
    <n v="2012"/>
    <n v="186833516483"/>
    <n v="1335343586437"/>
    <x v="0"/>
    <n v="1"/>
    <x v="2"/>
  </r>
  <r>
    <x v="4255"/>
    <x v="1550"/>
    <x v="43"/>
    <s v="United States"/>
    <s v="Antigua and Barbuda"/>
    <n v="3"/>
    <n v="1"/>
    <s v="FIFA World Cup qualification"/>
    <s v="Tampa"/>
    <s v="United States"/>
    <b v="0"/>
    <n v="2012"/>
    <n v="16253972230000"/>
    <n v="1364729629"/>
    <x v="0"/>
    <n v="1"/>
    <x v="2"/>
  </r>
  <r>
    <x v="4256"/>
    <x v="1551"/>
    <x v="43"/>
    <s v="Bolivia"/>
    <s v="Paraguay"/>
    <n v="3"/>
    <n v="1"/>
    <s v="FIFA World Cup qualification"/>
    <s v="La Paz"/>
    <s v="Bolivia"/>
    <b v="0"/>
    <n v="2012"/>
    <n v="27084497481"/>
    <n v="33271921136"/>
    <x v="1"/>
    <n v="-1"/>
    <x v="0"/>
  </r>
  <r>
    <x v="4257"/>
    <x v="1551"/>
    <x v="43"/>
    <s v="Botswana"/>
    <s v="South Africa"/>
    <n v="1"/>
    <n v="1"/>
    <s v="FIFA World Cup qualification"/>
    <s v="Gaborone"/>
    <s v="Botswana"/>
    <b v="0"/>
    <n v="2012"/>
    <n v="13907464500"/>
    <n v="434400545085"/>
    <x v="0"/>
    <n v="0"/>
    <x v="1"/>
  </r>
  <r>
    <x v="4258"/>
    <x v="1551"/>
    <x v="43"/>
    <s v="Equatorial Guinea"/>
    <s v="Sierra Leone"/>
    <n v="2"/>
    <n v="2"/>
    <s v="FIFA World Cup qualification"/>
    <s v="Malabo"/>
    <s v="Equatorial Guinea"/>
    <b v="0"/>
    <n v="2012"/>
    <n v="22388344143"/>
    <n v="6141666509"/>
    <x v="0"/>
    <n v="0"/>
    <x v="1"/>
  </r>
  <r>
    <x v="4259"/>
    <x v="1551"/>
    <x v="43"/>
    <s v="Gabon"/>
    <s v="Burkina Faso"/>
    <n v="1"/>
    <n v="0"/>
    <s v="FIFA World Cup qualification"/>
    <s v="Libreville"/>
    <s v="Gabon"/>
    <b v="0"/>
    <n v="2012"/>
    <n v="17170464016"/>
    <n v="12561015156"/>
    <x v="1"/>
    <n v="1"/>
    <x v="2"/>
  </r>
  <r>
    <x v="4260"/>
    <x v="1551"/>
    <x v="43"/>
    <s v="Malawi"/>
    <s v="Nigeria"/>
    <n v="1"/>
    <n v="1"/>
    <s v="FIFA World Cup qualification"/>
    <s v="Blantyre"/>
    <s v="Malawi"/>
    <b v="0"/>
    <n v="2012"/>
    <n v="8773203178"/>
    <n v="463971018239"/>
    <x v="0"/>
    <n v="0"/>
    <x v="1"/>
  </r>
  <r>
    <x v="4261"/>
    <x v="1551"/>
    <x v="43"/>
    <s v="Namibia"/>
    <s v="Kenya"/>
    <n v="1"/>
    <n v="0"/>
    <s v="FIFA World Cup qualification"/>
    <s v="Windhoek"/>
    <s v="Namibia"/>
    <b v="0"/>
    <n v="2012"/>
    <n v="13042053591"/>
    <n v="56396704671"/>
    <x v="0"/>
    <n v="-1"/>
    <x v="0"/>
  </r>
  <r>
    <x v="4262"/>
    <x v="1551"/>
    <x v="43"/>
    <s v="Uganda"/>
    <s v="Senegal"/>
    <n v="1"/>
    <n v="1"/>
    <s v="FIFA World Cup qualification"/>
    <s v="Kampala"/>
    <s v="Uganda"/>
    <b v="0"/>
    <n v="2012"/>
    <n v="27305915910"/>
    <n v="17660870411"/>
    <x v="1"/>
    <n v="0"/>
    <x v="1"/>
  </r>
  <r>
    <x v="4263"/>
    <x v="1551"/>
    <x v="43"/>
    <s v="Venezuela"/>
    <s v="Chile"/>
    <n v="0"/>
    <n v="2"/>
    <s v="FIFA World Cup qualification"/>
    <s v="Puerto la Cruz"/>
    <s v="Venezuela"/>
    <b v="0"/>
    <n v="2012"/>
    <n v="372592062768"/>
    <n v="267024782486"/>
    <x v="1"/>
    <n v="-1"/>
    <x v="0"/>
  </r>
  <r>
    <x v="4264"/>
    <x v="1551"/>
    <x v="43"/>
    <s v="Zambia"/>
    <s v="Ghana"/>
    <n v="1"/>
    <n v="0"/>
    <s v="FIFA World Cup qualification"/>
    <s v="Ndola"/>
    <s v="Zambia"/>
    <b v="0"/>
    <n v="2012"/>
    <n v="25503060420"/>
    <n v="41271701060"/>
    <x v="1"/>
    <n v="-1"/>
    <x v="0"/>
  </r>
  <r>
    <x v="4265"/>
    <x v="1552"/>
    <x v="43"/>
    <s v="Ecuador"/>
    <s v="Colombia"/>
    <n v="1"/>
    <n v="0"/>
    <s v="FIFA World Cup qualification"/>
    <s v="Quito"/>
    <s v="Ecuador"/>
    <b v="0"/>
    <n v="2012"/>
    <n v="87735048000"/>
    <n v="370691143018"/>
    <x v="0"/>
    <n v="-1"/>
    <x v="0"/>
  </r>
  <r>
    <x v="4266"/>
    <x v="1552"/>
    <x v="43"/>
    <s v="Ethiopia"/>
    <s v="Central African Republic"/>
    <n v="2"/>
    <n v="0"/>
    <s v="FIFA World Cup qualification"/>
    <s v="Addis Ababa"/>
    <s v="Ethiopia"/>
    <b v="0"/>
    <n v="2012"/>
    <n v="43310721414"/>
    <n v="2510126512"/>
    <x v="0"/>
    <n v="1"/>
    <x v="2"/>
  </r>
  <r>
    <x v="4267"/>
    <x v="1552"/>
    <x v="43"/>
    <s v="Guinea"/>
    <s v="Egypt"/>
    <n v="2"/>
    <n v="3"/>
    <s v="FIFA World Cup qualification"/>
    <s v="Conakry"/>
    <s v="Guinea"/>
    <b v="0"/>
    <n v="2012"/>
    <n v="7638044556"/>
    <n v="279116666666"/>
    <x v="0"/>
    <n v="1"/>
    <x v="2"/>
  </r>
  <r>
    <x v="4268"/>
    <x v="1552"/>
    <x v="43"/>
    <s v="Lesotho"/>
    <s v="Sudan"/>
    <n v="0"/>
    <n v="0"/>
    <s v="FIFA World Cup qualification"/>
    <s v="Maseru"/>
    <s v="Lesotho"/>
    <b v="0"/>
    <n v="2012"/>
    <n v="2477702216"/>
    <n v="37632919966"/>
    <x v="0"/>
    <n v="0"/>
    <x v="1"/>
  </r>
  <r>
    <x v="4269"/>
    <x v="1552"/>
    <x v="43"/>
    <s v="Liberia"/>
    <s v="Angola"/>
    <n v="0"/>
    <n v="0"/>
    <s v="FIFA World Cup qualification"/>
    <s v="Monrovia"/>
    <s v="Liberia"/>
    <b v="0"/>
    <n v="2012"/>
    <n v="2791614000"/>
    <n v="143572907527"/>
    <x v="0"/>
    <n v="0"/>
    <x v="1"/>
  </r>
  <r>
    <x v="4270"/>
    <x v="1552"/>
    <x v="43"/>
    <s v="Libya"/>
    <s v="Cameroon"/>
    <n v="2"/>
    <n v="1"/>
    <s v="FIFA World Cup qualification"/>
    <s v="Sfax"/>
    <s v="Tunisia"/>
    <b v="1"/>
    <n v="2012"/>
    <n v="92540938129"/>
    <n v="30155062329"/>
    <x v="0"/>
    <n v="1"/>
    <x v="2"/>
  </r>
  <r>
    <x v="4271"/>
    <x v="1552"/>
    <x v="43"/>
    <s v="Mali"/>
    <s v="Algeria"/>
    <n v="2"/>
    <n v="1"/>
    <s v="FIFA World Cup qualification"/>
    <s v="Ouagadougou"/>
    <s v="Burkina Faso"/>
    <b v="1"/>
    <n v="2012"/>
    <n v="14795114602"/>
    <n v="227143746075"/>
    <x v="0"/>
    <n v="-1"/>
    <x v="0"/>
  </r>
  <r>
    <x v="4272"/>
    <x v="1552"/>
    <x v="43"/>
    <s v="Mozambique"/>
    <s v="Zimbabwe"/>
    <n v="0"/>
    <n v="0"/>
    <s v="FIFA World Cup qualification"/>
    <s v="Maputo"/>
    <s v="Mozambique"/>
    <b v="0"/>
    <n v="2012"/>
    <n v="16688114144"/>
    <n v="17123500000"/>
    <x v="1"/>
    <n v="0"/>
    <x v="1"/>
  </r>
  <r>
    <x v="4273"/>
    <x v="1552"/>
    <x v="43"/>
    <s v="Rwanda"/>
    <s v="Benin"/>
    <n v="1"/>
    <n v="1"/>
    <s v="FIFA World Cup qualification"/>
    <s v="Kigali"/>
    <s v="Rwanda"/>
    <b v="0"/>
    <n v="2012"/>
    <n v="7654761050"/>
    <n v="11141358115"/>
    <x v="1"/>
    <n v="0"/>
    <x v="1"/>
  </r>
  <r>
    <x v="4274"/>
    <x v="1552"/>
    <x v="43"/>
    <s v="Uruguay"/>
    <s v="Peru"/>
    <n v="4"/>
    <n v="2"/>
    <s v="FIFA World Cup qualification"/>
    <s v="Montevideo"/>
    <s v="Uruguay"/>
    <b v="0"/>
    <n v="2012"/>
    <n v="54232266358"/>
    <n v="192650021648"/>
    <x v="0"/>
    <n v="-1"/>
    <x v="0"/>
  </r>
  <r>
    <x v="4275"/>
    <x v="1553"/>
    <x v="43"/>
    <s v="Antigua and Barbuda"/>
    <s v="Jamaica"/>
    <n v="0"/>
    <n v="0"/>
    <s v="FIFA World Cup qualification"/>
    <s v="St. John's"/>
    <s v="Antigua and Barbuda"/>
    <b v="0"/>
    <n v="2012"/>
    <n v="1364729629"/>
    <n v="14807086555"/>
    <x v="0"/>
    <n v="0"/>
    <x v="1"/>
  </r>
  <r>
    <x v="4276"/>
    <x v="1553"/>
    <x v="43"/>
    <s v="Australia"/>
    <s v="Japan"/>
    <n v="1"/>
    <n v="1"/>
    <s v="FIFA World Cup qualification"/>
    <s v="Brisbane"/>
    <s v="Australia"/>
    <b v="0"/>
    <n v="2012"/>
    <n v="1552728401401"/>
    <n v="6272362996105"/>
    <x v="0"/>
    <n v="0"/>
    <x v="1"/>
  </r>
  <r>
    <x v="4277"/>
    <x v="1553"/>
    <x v="43"/>
    <s v="Canada"/>
    <s v="Honduras"/>
    <n v="0"/>
    <n v="0"/>
    <s v="FIFA World Cup qualification"/>
    <s v="Toronto"/>
    <s v="Canada"/>
    <b v="0"/>
    <n v="2012"/>
    <n v="1828366481521"/>
    <n v="18528554397"/>
    <x v="0"/>
    <n v="0"/>
    <x v="1"/>
  </r>
  <r>
    <x v="4278"/>
    <x v="1553"/>
    <x v="43"/>
    <s v="El Salvador"/>
    <s v="Mexico"/>
    <n v="1"/>
    <n v="2"/>
    <s v="FIFA World Cup qualification"/>
    <s v="San Salvador"/>
    <s v="El Salvador"/>
    <b v="0"/>
    <n v="2012"/>
    <n v="21386150000"/>
    <n v="1255110424817"/>
    <x v="0"/>
    <n v="1"/>
    <x v="2"/>
  </r>
  <r>
    <x v="4279"/>
    <x v="1553"/>
    <x v="43"/>
    <s v="Guatemala"/>
    <s v="United States"/>
    <n v="1"/>
    <n v="1"/>
    <s v="FIFA World Cup qualification"/>
    <s v="Guatemala City"/>
    <s v="Guatemala"/>
    <b v="0"/>
    <n v="2012"/>
    <n v="49593929487"/>
    <n v="16253972230000"/>
    <x v="0"/>
    <n v="0"/>
    <x v="1"/>
  </r>
  <r>
    <x v="4280"/>
    <x v="1553"/>
    <x v="43"/>
    <s v="Guyana"/>
    <s v="Costa Rica"/>
    <n v="0"/>
    <n v="4"/>
    <s v="FIFA World Cup qualification"/>
    <s v="Providence"/>
    <s v="Guyana"/>
    <b v="0"/>
    <n v="2012"/>
    <n v="4063088535"/>
    <n v="47231655431"/>
    <x v="0"/>
    <n v="1"/>
    <x v="2"/>
  </r>
  <r>
    <x v="4281"/>
    <x v="1553"/>
    <x v="43"/>
    <s v="Iran"/>
    <s v="Qatar"/>
    <n v="0"/>
    <n v="0"/>
    <s v="FIFA World Cup qualification"/>
    <s v="Tehran"/>
    <s v="Iran"/>
    <b v="0"/>
    <n v="2012"/>
    <n v="644019315003"/>
    <n v="186833516483"/>
    <x v="0"/>
    <n v="0"/>
    <x v="1"/>
  </r>
  <r>
    <x v="4282"/>
    <x v="1553"/>
    <x v="43"/>
    <s v="Iraq"/>
    <s v="Oman"/>
    <n v="1"/>
    <n v="1"/>
    <s v="FIFA World Cup qualification"/>
    <s v="Doha"/>
    <s v="Qatar"/>
    <b v="1"/>
    <n v="2012"/>
    <n v="218002476129"/>
    <n v="87408842652"/>
    <x v="0"/>
    <n v="0"/>
    <x v="1"/>
  </r>
  <r>
    <x v="4283"/>
    <x v="1553"/>
    <x v="43"/>
    <s v="South Korea"/>
    <s v="Lebanon"/>
    <n v="3"/>
    <n v="0"/>
    <s v="FIFA World Cup qualification"/>
    <s v="Goyang"/>
    <s v="South Korea"/>
    <b v="0"/>
    <n v="2012"/>
    <n v="1335343586437"/>
    <n v="44016799515"/>
    <x v="0"/>
    <n v="1"/>
    <x v="2"/>
  </r>
  <r>
    <x v="4284"/>
    <x v="1553"/>
    <x v="43"/>
    <s v="Panama"/>
    <s v="Cuba"/>
    <n v="1"/>
    <n v="0"/>
    <s v="FIFA World Cup qualification"/>
    <s v="Panama City"/>
    <s v="Panama"/>
    <b v="0"/>
    <n v="2012"/>
    <n v="41595439720"/>
    <n v="73141000000"/>
    <x v="1"/>
    <n v="-1"/>
    <x v="0"/>
  </r>
  <r>
    <x v="4285"/>
    <x v="1554"/>
    <x v="43"/>
    <s v="Albania"/>
    <s v="Cyprus"/>
    <n v="3"/>
    <n v="1"/>
    <s v="FIFA World Cup qualification"/>
    <s v="Tirana"/>
    <s v="Albania"/>
    <b v="0"/>
    <n v="2012"/>
    <n v="12246499747"/>
    <n v="25047436974"/>
    <x v="0"/>
    <n v="-1"/>
    <x v="0"/>
  </r>
  <r>
    <x v="4286"/>
    <x v="1554"/>
    <x v="43"/>
    <s v="Andorra"/>
    <s v="Hungary"/>
    <n v="0"/>
    <n v="5"/>
    <s v="FIFA World Cup qualification"/>
    <s v="Sant Juli√† de L√≤ria"/>
    <s v="Andorra"/>
    <b v="0"/>
    <n v="2012"/>
    <n v="3188653258"/>
    <n v="128470269689"/>
    <x v="0"/>
    <n v="1"/>
    <x v="2"/>
  </r>
  <r>
    <x v="4287"/>
    <x v="1554"/>
    <x v="43"/>
    <s v="Argentina"/>
    <s v="Paraguay"/>
    <n v="3"/>
    <n v="1"/>
    <s v="FIFA World Cup qualification"/>
    <s v="C√≥rdoba"/>
    <s v="Argentina"/>
    <b v="0"/>
    <n v="2012"/>
    <n v="545982375701"/>
    <n v="33271921136"/>
    <x v="0"/>
    <n v="1"/>
    <x v="2"/>
  </r>
  <r>
    <x v="4288"/>
    <x v="1554"/>
    <x v="43"/>
    <s v="Azerbaijan"/>
    <s v="Israel"/>
    <n v="1"/>
    <n v="1"/>
    <s v="FIFA World Cup qualification"/>
    <s v="Baku"/>
    <s v="Azerbaijan"/>
    <b v="0"/>
    <n v="2012"/>
    <n v="69679944504"/>
    <n v="263589172712"/>
    <x v="0"/>
    <n v="0"/>
    <x v="1"/>
  </r>
  <r>
    <x v="4289"/>
    <x v="1554"/>
    <x v="43"/>
    <s v="Bulgaria"/>
    <s v="Italy"/>
    <n v="2"/>
    <n v="2"/>
    <s v="FIFA World Cup qualification"/>
    <s v="Sofia"/>
    <s v="Bulgaria"/>
    <b v="0"/>
    <n v="2012"/>
    <n v="54297052002"/>
    <n v="2097929495121"/>
    <x v="0"/>
    <n v="0"/>
    <x v="1"/>
  </r>
  <r>
    <x v="4290"/>
    <x v="1554"/>
    <x v="43"/>
    <s v="Canada"/>
    <s v="Panama"/>
    <n v="1"/>
    <n v="0"/>
    <s v="FIFA World Cup qualification"/>
    <s v="Toronto"/>
    <s v="Canada"/>
    <b v="0"/>
    <n v="2012"/>
    <n v="1828366481521"/>
    <n v="41595439720"/>
    <x v="0"/>
    <n v="1"/>
    <x v="2"/>
  </r>
  <r>
    <x v="4291"/>
    <x v="1554"/>
    <x v="43"/>
    <s v="Colombia"/>
    <s v="Uruguay"/>
    <n v="4"/>
    <n v="0"/>
    <s v="FIFA World Cup qualification"/>
    <s v="Barranquilla"/>
    <s v="Colombia"/>
    <b v="0"/>
    <n v="2012"/>
    <n v="370691143018"/>
    <n v="54232266358"/>
    <x v="0"/>
    <n v="1"/>
    <x v="2"/>
  </r>
  <r>
    <x v="4292"/>
    <x v="1554"/>
    <x v="43"/>
    <s v="Costa Rica"/>
    <s v="Mexico"/>
    <n v="0"/>
    <n v="2"/>
    <s v="FIFA World Cup qualification"/>
    <s v="San Jos√©"/>
    <s v="Costa Rica"/>
    <b v="0"/>
    <n v="2012"/>
    <n v="47231655431"/>
    <n v="1255110424817"/>
    <x v="0"/>
    <n v="1"/>
    <x v="2"/>
  </r>
  <r>
    <x v="4293"/>
    <x v="1554"/>
    <x v="43"/>
    <s v="Croatia"/>
    <s v="North Macedonia"/>
    <n v="1"/>
    <n v="0"/>
    <s v="FIFA World Cup qualification"/>
    <s v="Zagreb"/>
    <s v="Croatia"/>
    <b v="0"/>
    <n v="2012"/>
    <n v="57548115904"/>
    <n v="9745261300"/>
    <x v="0"/>
    <n v="1"/>
    <x v="2"/>
  </r>
  <r>
    <x v="4294"/>
    <x v="1554"/>
    <x v="43"/>
    <s v="Cuba"/>
    <s v="Honduras"/>
    <n v="0"/>
    <n v="3"/>
    <s v="FIFA World Cup qualification"/>
    <s v="Havana"/>
    <s v="Cuba"/>
    <b v="0"/>
    <n v="2012"/>
    <n v="73141000000"/>
    <n v="18528554397"/>
    <x v="0"/>
    <n v="-1"/>
    <x v="0"/>
  </r>
  <r>
    <x v="4295"/>
    <x v="1554"/>
    <x v="43"/>
    <s v="Ecuador"/>
    <s v="Bolivia"/>
    <n v="1"/>
    <n v="0"/>
    <s v="FIFA World Cup qualification"/>
    <s v="Quito"/>
    <s v="Ecuador"/>
    <b v="0"/>
    <n v="2012"/>
    <n v="87735048000"/>
    <n v="27084497481"/>
    <x v="0"/>
    <n v="1"/>
    <x v="2"/>
  </r>
  <r>
    <x v="4296"/>
    <x v="1554"/>
    <x v="43"/>
    <s v="El Salvador"/>
    <s v="Guyana"/>
    <n v="2"/>
    <n v="2"/>
    <s v="FIFA World Cup qualification"/>
    <s v="San Salvador"/>
    <s v="El Salvador"/>
    <b v="0"/>
    <n v="2012"/>
    <n v="21386150000"/>
    <n v="4063088535"/>
    <x v="0"/>
    <n v="0"/>
    <x v="1"/>
  </r>
  <r>
    <x v="4297"/>
    <x v="1554"/>
    <x v="43"/>
    <s v="Estonia"/>
    <s v="Romania"/>
    <n v="0"/>
    <n v="2"/>
    <s v="FIFA World Cup qualification"/>
    <s v="Tallinn"/>
    <s v="Estonia"/>
    <b v="0"/>
    <n v="2012"/>
    <n v="23237406116"/>
    <n v="179117323107"/>
    <x v="0"/>
    <n v="1"/>
    <x v="2"/>
  </r>
  <r>
    <x v="4298"/>
    <x v="1554"/>
    <x v="43"/>
    <s v="Finland"/>
    <s v="France"/>
    <n v="0"/>
    <n v="1"/>
    <s v="FIFA World Cup qualification"/>
    <s v="Helsinki"/>
    <s v="Finland"/>
    <b v="0"/>
    <n v="2012"/>
    <n v="257443384492"/>
    <n v="2683007095787"/>
    <x v="0"/>
    <n v="1"/>
    <x v="2"/>
  </r>
  <r>
    <x v="4299"/>
    <x v="1554"/>
    <x v="43"/>
    <s v="Georgia"/>
    <s v="Belarus"/>
    <n v="1"/>
    <n v="0"/>
    <s v="FIFA World Cup qualification"/>
    <s v="Tbilisi"/>
    <s v="Georgia"/>
    <b v="0"/>
    <n v="2012"/>
    <n v="16894392033"/>
    <n v="65685890438"/>
    <x v="0"/>
    <n v="-1"/>
    <x v="0"/>
  </r>
  <r>
    <x v="4300"/>
    <x v="1554"/>
    <x v="43"/>
    <s v="Germany"/>
    <s v="Faroe Islands"/>
    <n v="3"/>
    <n v="0"/>
    <s v="FIFA World Cup qualification"/>
    <s v="Hanover"/>
    <s v="Germany"/>
    <b v="0"/>
    <n v="2012"/>
    <n v="3596483233406"/>
    <n v="2427200388"/>
    <x v="0"/>
    <n v="1"/>
    <x v="2"/>
  </r>
  <r>
    <x v="4301"/>
    <x v="1554"/>
    <x v="43"/>
    <s v="Guatemala"/>
    <s v="Antigua and Barbuda"/>
    <n v="3"/>
    <n v="1"/>
    <s v="FIFA World Cup qualification"/>
    <s v="Guatemala City"/>
    <s v="Guatemala"/>
    <b v="0"/>
    <n v="2012"/>
    <n v="49593929487"/>
    <n v="1364729629"/>
    <x v="0"/>
    <n v="1"/>
    <x v="2"/>
  </r>
  <r>
    <x v="4302"/>
    <x v="1554"/>
    <x v="43"/>
    <s v="Iceland"/>
    <s v="Norway"/>
    <n v="2"/>
    <n v="0"/>
    <s v="FIFA World Cup qualification"/>
    <s v="Reykjav√≠k"/>
    <s v="Iceland"/>
    <b v="0"/>
    <n v="2012"/>
    <n v="14943757823"/>
    <n v="512777309840"/>
    <x v="0"/>
    <n v="-1"/>
    <x v="0"/>
  </r>
  <r>
    <x v="4303"/>
    <x v="1554"/>
    <x v="43"/>
    <s v="Jamaica"/>
    <s v="United States"/>
    <n v="2"/>
    <n v="1"/>
    <s v="FIFA World Cup qualification"/>
    <s v="Kingston"/>
    <s v="Jamaica"/>
    <b v="0"/>
    <n v="2012"/>
    <n v="14807086555"/>
    <n v="16253972230000"/>
    <x v="0"/>
    <n v="-1"/>
    <x v="0"/>
  </r>
  <r>
    <x v="4304"/>
    <x v="1554"/>
    <x v="43"/>
    <s v="Latvia"/>
    <s v="Greece"/>
    <n v="1"/>
    <n v="2"/>
    <s v="FIFA World Cup qualification"/>
    <s v="Riga"/>
    <s v="Latvia"/>
    <b v="0"/>
    <n v="2012"/>
    <n v="27116149948"/>
    <n v="238841140018"/>
    <x v="0"/>
    <n v="1"/>
    <x v="2"/>
  </r>
  <r>
    <x v="4305"/>
    <x v="1554"/>
    <x v="43"/>
    <s v="Liechtenstein"/>
    <s v="Bosnia and Herzegovina"/>
    <n v="1"/>
    <n v="8"/>
    <s v="FIFA World Cup qualification"/>
    <s v="Vaduz"/>
    <s v="Liechtenstein"/>
    <b v="0"/>
    <n v="2012"/>
    <n v="5456102482"/>
    <n v="17226735995"/>
    <x v="0"/>
    <n v="1"/>
    <x v="2"/>
  </r>
  <r>
    <x v="4306"/>
    <x v="1554"/>
    <x v="43"/>
    <s v="Luxembourg"/>
    <s v="Portugal"/>
    <n v="1"/>
    <n v="2"/>
    <s v="FIFA World Cup qualification"/>
    <s v="Luxembourg"/>
    <s v="Luxembourg"/>
    <b v="0"/>
    <n v="2012"/>
    <n v="59776383527"/>
    <n v="216536676771"/>
    <x v="0"/>
    <n v="1"/>
    <x v="2"/>
  </r>
  <r>
    <x v="4307"/>
    <x v="1554"/>
    <x v="43"/>
    <s v="Malta"/>
    <s v="Armenia"/>
    <n v="0"/>
    <n v="1"/>
    <s v="FIFA World Cup qualification"/>
    <s v="Attard"/>
    <s v="Malta"/>
    <b v="0"/>
    <n v="2012"/>
    <n v="9609532089"/>
    <n v="10619320682"/>
    <x v="1"/>
    <n v="1"/>
    <x v="2"/>
  </r>
  <r>
    <x v="4308"/>
    <x v="1554"/>
    <x v="43"/>
    <s v="Moldova"/>
    <s v="England"/>
    <n v="0"/>
    <n v="5"/>
    <s v="FIFA World Cup qualification"/>
    <s v="Chi»ôinƒÉu"/>
    <s v="Moldova"/>
    <b v="0"/>
    <n v="2012"/>
    <n v="8709138634"/>
    <n v="2719715961539"/>
    <x v="0"/>
    <n v="1"/>
    <x v="2"/>
  </r>
  <r>
    <x v="4309"/>
    <x v="1554"/>
    <x v="43"/>
    <s v="Montenegro"/>
    <s v="Poland"/>
    <n v="2"/>
    <n v="2"/>
    <s v="FIFA World Cup qualification"/>
    <s v="Podgorica"/>
    <s v="Montenegro"/>
    <b v="0"/>
    <n v="2012"/>
    <n v="4071829462"/>
    <n v="498148649702"/>
    <x v="0"/>
    <n v="0"/>
    <x v="1"/>
  </r>
  <r>
    <x v="4310"/>
    <x v="1554"/>
    <x v="43"/>
    <s v="New Caledonia"/>
    <s v="New Zealand"/>
    <n v="0"/>
    <n v="2"/>
    <s v="FIFA World Cup qualification"/>
    <s v="Noum√©a"/>
    <s v="New Caledonia"/>
    <b v="0"/>
    <n v="2012"/>
    <n v="9659151917"/>
    <n v="176560711239"/>
    <x v="0"/>
    <n v="1"/>
    <x v="2"/>
  </r>
  <r>
    <x v="4311"/>
    <x v="1554"/>
    <x v="43"/>
    <s v="Peru"/>
    <s v="Venezuela"/>
    <n v="2"/>
    <n v="1"/>
    <s v="FIFA World Cup qualification"/>
    <s v="Lima"/>
    <s v="Peru"/>
    <b v="0"/>
    <n v="2012"/>
    <n v="192650021648"/>
    <n v="372592062768"/>
    <x v="1"/>
    <n v="-1"/>
    <x v="0"/>
  </r>
  <r>
    <x v="4312"/>
    <x v="1554"/>
    <x v="43"/>
    <s v="Slovenia"/>
    <s v="Switzerland"/>
    <n v="0"/>
    <n v="2"/>
    <s v="FIFA World Cup qualification"/>
    <s v="Ljubljana"/>
    <s v="Slovenia"/>
    <b v="0"/>
    <n v="2012"/>
    <n v="46167053954"/>
    <n v="686420221557"/>
    <x v="0"/>
    <n v="1"/>
    <x v="2"/>
  </r>
  <r>
    <x v="4313"/>
    <x v="1555"/>
    <x v="43"/>
    <s v="Antigua and Barbuda"/>
    <s v="Guatemala"/>
    <n v="0"/>
    <n v="1"/>
    <s v="FIFA World Cup qualification"/>
    <s v="St. John's"/>
    <s v="Antigua and Barbuda"/>
    <b v="0"/>
    <n v="2012"/>
    <n v="1364729629"/>
    <n v="49593929487"/>
    <x v="0"/>
    <n v="1"/>
    <x v="2"/>
  </r>
  <r>
    <x v="4314"/>
    <x v="1555"/>
    <x v="43"/>
    <s v="Austria"/>
    <s v="Germany"/>
    <n v="1"/>
    <n v="2"/>
    <s v="FIFA World Cup qualification"/>
    <s v="Vienna"/>
    <s v="Austria"/>
    <b v="0"/>
    <n v="2012"/>
    <n v="406750487603"/>
    <n v="3596483233406"/>
    <x v="0"/>
    <n v="1"/>
    <x v="2"/>
  </r>
  <r>
    <x v="4315"/>
    <x v="1555"/>
    <x v="43"/>
    <s v="Belgium"/>
    <s v="Croatia"/>
    <n v="1"/>
    <n v="1"/>
    <s v="FIFA World Cup qualification"/>
    <s v="Brussels"/>
    <s v="Belgium"/>
    <b v="0"/>
    <n v="2012"/>
    <n v="498414364944"/>
    <n v="57548115904"/>
    <x v="0"/>
    <n v="0"/>
    <x v="1"/>
  </r>
  <r>
    <x v="4316"/>
    <x v="1555"/>
    <x v="43"/>
    <s v="Bosnia and Herzegovina"/>
    <s v="Latvia"/>
    <n v="4"/>
    <n v="1"/>
    <s v="FIFA World Cup qualification"/>
    <s v="Zenica"/>
    <s v="Bosnia and Herzegovina"/>
    <b v="0"/>
    <n v="2012"/>
    <n v="17226735995"/>
    <n v="27116149948"/>
    <x v="1"/>
    <n v="-1"/>
    <x v="0"/>
  </r>
  <r>
    <x v="4317"/>
    <x v="1555"/>
    <x v="43"/>
    <s v="Bulgaria"/>
    <s v="Armenia"/>
    <n v="1"/>
    <n v="0"/>
    <s v="FIFA World Cup qualification"/>
    <s v="Sofia"/>
    <s v="Bulgaria"/>
    <b v="0"/>
    <n v="2012"/>
    <n v="54297052002"/>
    <n v="10619320682"/>
    <x v="0"/>
    <n v="1"/>
    <x v="2"/>
  </r>
  <r>
    <x v="4318"/>
    <x v="1555"/>
    <x v="43"/>
    <s v="Chile"/>
    <s v="Colombia"/>
    <n v="1"/>
    <n v="3"/>
    <s v="FIFA World Cup qualification"/>
    <s v="Santiago"/>
    <s v="Chile"/>
    <b v="0"/>
    <n v="2012"/>
    <n v="267024782486"/>
    <n v="370691143018"/>
    <x v="1"/>
    <n v="1"/>
    <x v="2"/>
  </r>
  <r>
    <x v="4319"/>
    <x v="1555"/>
    <x v="43"/>
    <s v="Cyprus"/>
    <s v="Iceland"/>
    <n v="1"/>
    <n v="0"/>
    <s v="FIFA World Cup qualification"/>
    <s v="Larnaca"/>
    <s v="Cyprus"/>
    <b v="0"/>
    <n v="2012"/>
    <n v="25047436974"/>
    <n v="14943757823"/>
    <x v="1"/>
    <n v="1"/>
    <x v="2"/>
  </r>
  <r>
    <x v="4320"/>
    <x v="1555"/>
    <x v="43"/>
    <s v="England"/>
    <s v="Ukraine"/>
    <n v="1"/>
    <n v="1"/>
    <s v="FIFA World Cup qualification"/>
    <s v="London"/>
    <s v="England"/>
    <b v="0"/>
    <n v="2012"/>
    <n v="2719715961539"/>
    <n v="182591753827"/>
    <x v="0"/>
    <n v="0"/>
    <x v="1"/>
  </r>
  <r>
    <x v="4321"/>
    <x v="1555"/>
    <x v="43"/>
    <s v="France"/>
    <s v="Belarus"/>
    <n v="3"/>
    <n v="1"/>
    <s v="FIFA World Cup qualification"/>
    <s v="Saint-Denis"/>
    <s v="France"/>
    <b v="0"/>
    <n v="2012"/>
    <n v="2683007095787"/>
    <n v="65685890438"/>
    <x v="0"/>
    <n v="1"/>
    <x v="2"/>
  </r>
  <r>
    <x v="4322"/>
    <x v="1555"/>
    <x v="43"/>
    <s v="Georgia"/>
    <s v="Spain"/>
    <n v="0"/>
    <n v="1"/>
    <s v="FIFA World Cup qualification"/>
    <s v="Tbilisi"/>
    <s v="Georgia"/>
    <b v="0"/>
    <n v="2012"/>
    <n v="16894392033"/>
    <n v="1330994811670"/>
    <x v="0"/>
    <n v="1"/>
    <x v="2"/>
  </r>
  <r>
    <x v="4323"/>
    <x v="1555"/>
    <x v="43"/>
    <s v="Greece"/>
    <s v="Lithuania"/>
    <n v="2"/>
    <n v="0"/>
    <s v="FIFA World Cup qualification"/>
    <s v="Piraeus"/>
    <s v="Greece"/>
    <b v="0"/>
    <n v="2012"/>
    <n v="238841140018"/>
    <n v="42709372066"/>
    <x v="0"/>
    <n v="1"/>
    <x v="2"/>
  </r>
  <r>
    <x v="4324"/>
    <x v="1555"/>
    <x v="43"/>
    <s v="Guyana"/>
    <s v="El Salvador"/>
    <n v="2"/>
    <n v="3"/>
    <s v="FIFA World Cup qualification"/>
    <s v="Providence"/>
    <s v="Guyana"/>
    <b v="0"/>
    <n v="2012"/>
    <n v="4063088535"/>
    <n v="21386150000"/>
    <x v="0"/>
    <n v="1"/>
    <x v="2"/>
  </r>
  <r>
    <x v="4325"/>
    <x v="1555"/>
    <x v="43"/>
    <s v="Honduras"/>
    <s v="Cuba"/>
    <n v="1"/>
    <n v="0"/>
    <s v="FIFA World Cup qualification"/>
    <s v="San Pedro Sula"/>
    <s v="Honduras"/>
    <b v="0"/>
    <n v="2012"/>
    <n v="18528554397"/>
    <n v="73141000000"/>
    <x v="0"/>
    <n v="-1"/>
    <x v="0"/>
  </r>
  <r>
    <x v="4326"/>
    <x v="1555"/>
    <x v="43"/>
    <s v="Hungary"/>
    <s v="Netherlands"/>
    <n v="1"/>
    <n v="4"/>
    <s v="FIFA World Cup qualification"/>
    <s v="Budapest"/>
    <s v="Hungary"/>
    <b v="0"/>
    <n v="2012"/>
    <n v="128470269689"/>
    <n v="845689017065"/>
    <x v="0"/>
    <n v="1"/>
    <x v="2"/>
  </r>
  <r>
    <x v="4327"/>
    <x v="1555"/>
    <x v="43"/>
    <s v="Israel"/>
    <s v="Russia"/>
    <n v="0"/>
    <n v="4"/>
    <s v="FIFA World Cup qualification"/>
    <s v="Ramat Gan"/>
    <s v="Israel"/>
    <b v="0"/>
    <n v="2012"/>
    <n v="263589172712"/>
    <n v="2208293553878"/>
    <x v="0"/>
    <n v="1"/>
    <x v="2"/>
  </r>
  <r>
    <x v="4328"/>
    <x v="1555"/>
    <x v="43"/>
    <s v="Italy"/>
    <s v="Malta"/>
    <n v="2"/>
    <n v="0"/>
    <s v="FIFA World Cup qualification"/>
    <s v="Modena"/>
    <s v="Italy"/>
    <b v="0"/>
    <n v="2012"/>
    <n v="2097929495121"/>
    <n v="9609532089"/>
    <x v="0"/>
    <n v="1"/>
    <x v="2"/>
  </r>
  <r>
    <x v="4329"/>
    <x v="1555"/>
    <x v="43"/>
    <s v="Japan"/>
    <s v="Iraq"/>
    <n v="1"/>
    <n v="0"/>
    <s v="FIFA World Cup qualification"/>
    <s v="Saitama"/>
    <s v="Japan"/>
    <b v="0"/>
    <n v="2012"/>
    <n v="6272362996105"/>
    <n v="218002476129"/>
    <x v="0"/>
    <n v="1"/>
    <x v="2"/>
  </r>
  <r>
    <x v="4330"/>
    <x v="1555"/>
    <x v="43"/>
    <s v="Jordan"/>
    <s v="Australia"/>
    <n v="2"/>
    <n v="1"/>
    <s v="FIFA World Cup qualification"/>
    <s v="Amman"/>
    <s v="Jordan"/>
    <b v="0"/>
    <n v="2012"/>
    <n v="31634561690"/>
    <n v="1552728401401"/>
    <x v="0"/>
    <n v="-1"/>
    <x v="0"/>
  </r>
  <r>
    <x v="4331"/>
    <x v="1555"/>
    <x v="43"/>
    <s v="Lebanon"/>
    <s v="Iran"/>
    <n v="1"/>
    <n v="0"/>
    <s v="FIFA World Cup qualification"/>
    <s v="Beirut"/>
    <s v="Lebanon"/>
    <b v="0"/>
    <n v="2012"/>
    <n v="44016799515"/>
    <n v="644019315003"/>
    <x v="0"/>
    <n v="-1"/>
    <x v="0"/>
  </r>
  <r>
    <x v="4332"/>
    <x v="1555"/>
    <x v="43"/>
    <s v="Mexico"/>
    <s v="Costa Rica"/>
    <n v="1"/>
    <n v="0"/>
    <s v="FIFA World Cup qualification"/>
    <s v="Mexico City"/>
    <s v="Mexico"/>
    <b v="0"/>
    <n v="2012"/>
    <n v="1255110424817"/>
    <n v="47231655431"/>
    <x v="0"/>
    <n v="1"/>
    <x v="2"/>
  </r>
  <r>
    <x v="4333"/>
    <x v="1555"/>
    <x v="43"/>
    <s v="New Zealand"/>
    <s v="Solomon Islands"/>
    <n v="6"/>
    <n v="1"/>
    <s v="FIFA World Cup qualification"/>
    <s v="Auckland"/>
    <s v="New Zealand"/>
    <b v="0"/>
    <n v="2012"/>
    <n v="176560711239"/>
    <n v="1185217634"/>
    <x v="0"/>
    <n v="1"/>
    <x v="2"/>
  </r>
  <r>
    <x v="4334"/>
    <x v="1555"/>
    <x v="43"/>
    <s v="Norway"/>
    <s v="Slovenia"/>
    <n v="2"/>
    <n v="1"/>
    <s v="FIFA World Cup qualification"/>
    <s v="Oslo"/>
    <s v="Norway"/>
    <b v="0"/>
    <n v="2012"/>
    <n v="512777309840"/>
    <n v="46167053954"/>
    <x v="0"/>
    <n v="1"/>
    <x v="2"/>
  </r>
  <r>
    <x v="4335"/>
    <x v="1555"/>
    <x v="43"/>
    <s v="Panama"/>
    <s v="Canada"/>
    <n v="2"/>
    <n v="0"/>
    <s v="FIFA World Cup qualification"/>
    <s v="Panama City"/>
    <s v="Panama"/>
    <b v="0"/>
    <n v="2012"/>
    <n v="41595439720"/>
    <n v="1828366481521"/>
    <x v="0"/>
    <n v="-1"/>
    <x v="0"/>
  </r>
  <r>
    <x v="4336"/>
    <x v="1555"/>
    <x v="43"/>
    <s v="Paraguay"/>
    <s v="Venezuela"/>
    <n v="0"/>
    <n v="2"/>
    <s v="FIFA World Cup qualification"/>
    <s v="Asunci√≥n"/>
    <s v="Paraguay"/>
    <b v="0"/>
    <n v="2012"/>
    <n v="33271921136"/>
    <n v="372592062768"/>
    <x v="0"/>
    <n v="1"/>
    <x v="2"/>
  </r>
  <r>
    <x v="4337"/>
    <x v="1555"/>
    <x v="43"/>
    <s v="Peru"/>
    <s v="Argentina"/>
    <n v="1"/>
    <n v="1"/>
    <s v="FIFA World Cup qualification"/>
    <s v="Lima"/>
    <s v="Peru"/>
    <b v="0"/>
    <n v="2012"/>
    <n v="192650021648"/>
    <n v="545982375701"/>
    <x v="0"/>
    <n v="0"/>
    <x v="1"/>
  </r>
  <r>
    <x v="4338"/>
    <x v="1555"/>
    <x v="43"/>
    <s v="Poland"/>
    <s v="Moldova"/>
    <n v="2"/>
    <n v="0"/>
    <s v="FIFA World Cup qualification"/>
    <s v="Wroc≈Çaw"/>
    <s v="Poland"/>
    <b v="0"/>
    <n v="2012"/>
    <n v="498148649702"/>
    <n v="8709138634"/>
    <x v="0"/>
    <n v="1"/>
    <x v="2"/>
  </r>
  <r>
    <x v="4339"/>
    <x v="1555"/>
    <x v="43"/>
    <s v="Portugal"/>
    <s v="Azerbaijan"/>
    <n v="3"/>
    <n v="0"/>
    <s v="FIFA World Cup qualification"/>
    <s v="Braga"/>
    <s v="Portugal"/>
    <b v="0"/>
    <n v="2012"/>
    <n v="216536676771"/>
    <n v="69679944504"/>
    <x v="0"/>
    <n v="1"/>
    <x v="2"/>
  </r>
  <r>
    <x v="4340"/>
    <x v="1555"/>
    <x v="43"/>
    <s v="Romania"/>
    <s v="Andorra"/>
    <n v="4"/>
    <n v="0"/>
    <s v="FIFA World Cup qualification"/>
    <s v="Bucharest"/>
    <s v="Romania"/>
    <b v="0"/>
    <n v="2012"/>
    <n v="179117323107"/>
    <n v="3188653258"/>
    <x v="0"/>
    <n v="1"/>
    <x v="2"/>
  </r>
  <r>
    <x v="4341"/>
    <x v="1555"/>
    <x v="43"/>
    <s v="San Marino"/>
    <s v="Montenegro"/>
    <n v="0"/>
    <n v="6"/>
    <s v="FIFA World Cup qualification"/>
    <s v="Serravalle"/>
    <s v="San Marino"/>
    <b v="0"/>
    <n v="2012"/>
    <n v="1604701299"/>
    <n v="4071829462"/>
    <x v="0"/>
    <n v="1"/>
    <x v="2"/>
  </r>
  <r>
    <x v="4342"/>
    <x v="1555"/>
    <x v="43"/>
    <s v="Sweden"/>
    <s v="Kazakhstan"/>
    <n v="2"/>
    <n v="0"/>
    <s v="FIFA World Cup qualification"/>
    <s v="Malm√∂"/>
    <s v="Sweden"/>
    <b v="0"/>
    <n v="2012"/>
    <n v="549739674655"/>
    <n v="207998568865"/>
    <x v="0"/>
    <n v="1"/>
    <x v="2"/>
  </r>
  <r>
    <x v="4343"/>
    <x v="1555"/>
    <x v="43"/>
    <s v="Switzerland"/>
    <s v="Albania"/>
    <n v="2"/>
    <n v="0"/>
    <s v="FIFA World Cup qualification"/>
    <s v="Lucerne"/>
    <s v="Switzerland"/>
    <b v="0"/>
    <n v="2012"/>
    <n v="686420221557"/>
    <n v="12246499747"/>
    <x v="0"/>
    <n v="1"/>
    <x v="2"/>
  </r>
  <r>
    <x v="4344"/>
    <x v="1555"/>
    <x v="43"/>
    <s v="Uruguay"/>
    <s v="Ecuador"/>
    <n v="1"/>
    <n v="1"/>
    <s v="FIFA World Cup qualification"/>
    <s v="Montevideo"/>
    <s v="Uruguay"/>
    <b v="0"/>
    <n v="2012"/>
    <n v="54232266358"/>
    <n v="87735048000"/>
    <x v="1"/>
    <n v="0"/>
    <x v="1"/>
  </r>
  <r>
    <x v="4345"/>
    <x v="1555"/>
    <x v="43"/>
    <s v="United States"/>
    <s v="Jamaica"/>
    <n v="1"/>
    <n v="0"/>
    <s v="FIFA World Cup qualification"/>
    <s v="Columbus"/>
    <s v="United States"/>
    <b v="0"/>
    <n v="2012"/>
    <n v="16253972230000"/>
    <n v="14807086555"/>
    <x v="0"/>
    <n v="1"/>
    <x v="2"/>
  </r>
  <r>
    <x v="4346"/>
    <x v="1555"/>
    <x v="43"/>
    <s v="Uzbekistan"/>
    <s v="South Korea"/>
    <n v="2"/>
    <n v="2"/>
    <s v="FIFA World Cup qualification"/>
    <s v="Tashkent"/>
    <s v="Uzbekistan"/>
    <b v="0"/>
    <n v="2012"/>
    <n v="67517349212"/>
    <n v="1335343586437"/>
    <x v="0"/>
    <n v="0"/>
    <x v="1"/>
  </r>
  <r>
    <x v="4347"/>
    <x v="1556"/>
    <x v="43"/>
    <s v="Albania"/>
    <s v="Iceland"/>
    <n v="1"/>
    <n v="2"/>
    <s v="FIFA World Cup qualification"/>
    <s v="Tirana"/>
    <s v="Albania"/>
    <b v="0"/>
    <n v="2012"/>
    <n v="12246499747"/>
    <n v="14943757823"/>
    <x v="1"/>
    <n v="1"/>
    <x v="2"/>
  </r>
  <r>
    <x v="4348"/>
    <x v="1556"/>
    <x v="43"/>
    <s v="Antigua and Barbuda"/>
    <s v="United States"/>
    <n v="1"/>
    <n v="2"/>
    <s v="FIFA World Cup qualification"/>
    <s v="St. John's"/>
    <s v="Antigua and Barbuda"/>
    <b v="0"/>
    <n v="2012"/>
    <n v="1364729629"/>
    <n v="16253972230000"/>
    <x v="0"/>
    <n v="1"/>
    <x v="2"/>
  </r>
  <r>
    <x v="4349"/>
    <x v="1556"/>
    <x v="43"/>
    <s v="Argentina"/>
    <s v="Uruguay"/>
    <n v="3"/>
    <n v="0"/>
    <s v="FIFA World Cup qualification"/>
    <s v="Mendoza"/>
    <s v="Argentina"/>
    <b v="0"/>
    <n v="2012"/>
    <n v="545982375701"/>
    <n v="54232266358"/>
    <x v="0"/>
    <n v="1"/>
    <x v="2"/>
  </r>
  <r>
    <x v="4350"/>
    <x v="1556"/>
    <x v="43"/>
    <s v="Armenia"/>
    <s v="Italy"/>
    <n v="1"/>
    <n v="3"/>
    <s v="FIFA World Cup qualification"/>
    <s v="Yerevan"/>
    <s v="Armenia"/>
    <b v="0"/>
    <n v="2012"/>
    <n v="10619320682"/>
    <n v="2097929495121"/>
    <x v="0"/>
    <n v="1"/>
    <x v="2"/>
  </r>
  <r>
    <x v="4351"/>
    <x v="1556"/>
    <x v="43"/>
    <s v="Belarus"/>
    <s v="Spain"/>
    <n v="0"/>
    <n v="4"/>
    <s v="FIFA World Cup qualification"/>
    <s v="Minsk"/>
    <s v="Belarus"/>
    <b v="0"/>
    <n v="2012"/>
    <n v="65685890438"/>
    <n v="1330994811670"/>
    <x v="0"/>
    <n v="1"/>
    <x v="2"/>
  </r>
  <r>
    <x v="4352"/>
    <x v="1556"/>
    <x v="43"/>
    <s v="Bolivia"/>
    <s v="Peru"/>
    <n v="1"/>
    <n v="1"/>
    <s v="FIFA World Cup qualification"/>
    <s v="La Paz"/>
    <s v="Bolivia"/>
    <b v="0"/>
    <n v="2012"/>
    <n v="27084497481"/>
    <n v="192650021648"/>
    <x v="0"/>
    <n v="0"/>
    <x v="1"/>
  </r>
  <r>
    <x v="4353"/>
    <x v="1556"/>
    <x v="43"/>
    <s v="Bulgaria"/>
    <s v="Denmark"/>
    <n v="1"/>
    <n v="1"/>
    <s v="FIFA World Cup qualification"/>
    <s v="Sofia"/>
    <s v="Bulgaria"/>
    <b v="0"/>
    <n v="2012"/>
    <n v="54297052002"/>
    <n v="326792574244"/>
    <x v="0"/>
    <n v="0"/>
    <x v="1"/>
  </r>
  <r>
    <x v="4354"/>
    <x v="1556"/>
    <x v="43"/>
    <s v="Canada"/>
    <s v="Cuba"/>
    <n v="3"/>
    <n v="0"/>
    <s v="FIFA World Cup qualification"/>
    <s v="Toronto"/>
    <s v="Canada"/>
    <b v="0"/>
    <n v="2012"/>
    <n v="1828366481521"/>
    <n v="73141000000"/>
    <x v="0"/>
    <n v="1"/>
    <x v="2"/>
  </r>
  <r>
    <x v="4355"/>
    <x v="1556"/>
    <x v="43"/>
    <s v="Colombia"/>
    <s v="Paraguay"/>
    <n v="2"/>
    <n v="0"/>
    <s v="FIFA World Cup qualification"/>
    <s v="Barranquilla"/>
    <s v="Colombia"/>
    <b v="0"/>
    <n v="2012"/>
    <n v="370691143018"/>
    <n v="33271921136"/>
    <x v="0"/>
    <n v="1"/>
    <x v="2"/>
  </r>
  <r>
    <x v="4356"/>
    <x v="1556"/>
    <x v="43"/>
    <s v="Ecuador"/>
    <s v="Chile"/>
    <n v="3"/>
    <n v="1"/>
    <s v="FIFA World Cup qualification"/>
    <s v="Quito"/>
    <s v="Ecuador"/>
    <b v="0"/>
    <n v="2012"/>
    <n v="87735048000"/>
    <n v="267024782486"/>
    <x v="0"/>
    <n v="-1"/>
    <x v="0"/>
  </r>
  <r>
    <x v="4357"/>
    <x v="1556"/>
    <x v="43"/>
    <s v="El Salvador"/>
    <s v="Costa Rica"/>
    <n v="0"/>
    <n v="1"/>
    <s v="FIFA World Cup qualification"/>
    <s v="San Salvador"/>
    <s v="El Salvador"/>
    <b v="0"/>
    <n v="2012"/>
    <n v="21386150000"/>
    <n v="47231655431"/>
    <x v="0"/>
    <n v="1"/>
    <x v="2"/>
  </r>
  <r>
    <x v="4358"/>
    <x v="1556"/>
    <x v="43"/>
    <s v="England"/>
    <s v="San Marino"/>
    <n v="5"/>
    <n v="0"/>
    <s v="FIFA World Cup qualification"/>
    <s v="London"/>
    <s v="England"/>
    <b v="0"/>
    <n v="2012"/>
    <n v="2719715961539"/>
    <n v="1604701299"/>
    <x v="0"/>
    <n v="1"/>
    <x v="2"/>
  </r>
  <r>
    <x v="4359"/>
    <x v="1556"/>
    <x v="43"/>
    <s v="Estonia"/>
    <s v="Hungary"/>
    <n v="0"/>
    <n v="1"/>
    <s v="FIFA World Cup qualification"/>
    <s v="Tallinn"/>
    <s v="Estonia"/>
    <b v="0"/>
    <n v="2012"/>
    <n v="23237406116"/>
    <n v="128470269689"/>
    <x v="0"/>
    <n v="1"/>
    <x v="2"/>
  </r>
  <r>
    <x v="4360"/>
    <x v="1556"/>
    <x v="43"/>
    <s v="Faroe Islands"/>
    <s v="Sweden"/>
    <n v="1"/>
    <n v="2"/>
    <s v="FIFA World Cup qualification"/>
    <s v="T√≥rshavn"/>
    <s v="Faroe Islands"/>
    <b v="0"/>
    <n v="2012"/>
    <n v="2427200388"/>
    <n v="549739674655"/>
    <x v="0"/>
    <n v="1"/>
    <x v="2"/>
  </r>
  <r>
    <x v="4361"/>
    <x v="1556"/>
    <x v="43"/>
    <s v="Finland"/>
    <s v="Georgia"/>
    <n v="1"/>
    <n v="1"/>
    <s v="FIFA World Cup qualification"/>
    <s v="Helsinki"/>
    <s v="Finland"/>
    <b v="0"/>
    <n v="2012"/>
    <n v="257443384492"/>
    <n v="16894392033"/>
    <x v="0"/>
    <n v="0"/>
    <x v="1"/>
  </r>
  <r>
    <x v="4362"/>
    <x v="1556"/>
    <x v="43"/>
    <s v="Greece"/>
    <s v="Bosnia and Herzegovina"/>
    <n v="0"/>
    <n v="0"/>
    <s v="FIFA World Cup qualification"/>
    <s v="Piraeus"/>
    <s v="Greece"/>
    <b v="0"/>
    <n v="2012"/>
    <n v="238841140018"/>
    <n v="17226735995"/>
    <x v="0"/>
    <n v="0"/>
    <x v="1"/>
  </r>
  <r>
    <x v="4363"/>
    <x v="1556"/>
    <x v="43"/>
    <s v="Guatemala"/>
    <s v="Jamaica"/>
    <n v="2"/>
    <n v="1"/>
    <s v="FIFA World Cup qualification"/>
    <s v="Guatemala City"/>
    <s v="Guatemala"/>
    <b v="0"/>
    <n v="2012"/>
    <n v="49593929487"/>
    <n v="14807086555"/>
    <x v="0"/>
    <n v="1"/>
    <x v="2"/>
  </r>
  <r>
    <x v="4364"/>
    <x v="1556"/>
    <x v="43"/>
    <s v="Guyana"/>
    <s v="Mexico"/>
    <n v="0"/>
    <n v="5"/>
    <s v="FIFA World Cup qualification"/>
    <s v="Houston"/>
    <s v="United States"/>
    <b v="1"/>
    <n v="2012"/>
    <n v="4063088535"/>
    <n v="1255110424817"/>
    <x v="0"/>
    <n v="1"/>
    <x v="2"/>
  </r>
  <r>
    <x v="4365"/>
    <x v="1556"/>
    <x v="43"/>
    <s v="Kazakhstan"/>
    <s v="Austria"/>
    <n v="0"/>
    <n v="0"/>
    <s v="FIFA World Cup qualification"/>
    <s v="Astana"/>
    <s v="Kazakhstan"/>
    <b v="0"/>
    <n v="2012"/>
    <n v="207998568865"/>
    <n v="406750487603"/>
    <x v="1"/>
    <n v="0"/>
    <x v="1"/>
  </r>
  <r>
    <x v="4366"/>
    <x v="1556"/>
    <x v="43"/>
    <s v="Liechtenstein"/>
    <s v="Lithuania"/>
    <n v="0"/>
    <n v="2"/>
    <s v="FIFA World Cup qualification"/>
    <s v="Vaduz"/>
    <s v="Liechtenstein"/>
    <b v="0"/>
    <n v="2012"/>
    <n v="5456102482"/>
    <n v="42709372066"/>
    <x v="0"/>
    <n v="1"/>
    <x v="2"/>
  </r>
  <r>
    <x v="4367"/>
    <x v="1556"/>
    <x v="43"/>
    <s v="Luxembourg"/>
    <s v="Israel"/>
    <n v="0"/>
    <n v="6"/>
    <s v="FIFA World Cup qualification"/>
    <s v="Luxembourg"/>
    <s v="Luxembourg"/>
    <b v="0"/>
    <n v="2012"/>
    <n v="59776383527"/>
    <n v="263589172712"/>
    <x v="0"/>
    <n v="1"/>
    <x v="2"/>
  </r>
  <r>
    <x v="4368"/>
    <x v="1556"/>
    <x v="43"/>
    <s v="North Macedonia"/>
    <s v="Croatia"/>
    <n v="1"/>
    <n v="2"/>
    <s v="FIFA World Cup qualification"/>
    <s v="Skopje"/>
    <s v="North Macedonia"/>
    <b v="0"/>
    <n v="2012"/>
    <n v="9745261300"/>
    <n v="57548115904"/>
    <x v="0"/>
    <n v="1"/>
    <x v="2"/>
  </r>
  <r>
    <x v="4369"/>
    <x v="1556"/>
    <x v="43"/>
    <s v="Moldova"/>
    <s v="Ukraine"/>
    <n v="0"/>
    <n v="0"/>
    <s v="FIFA World Cup qualification"/>
    <s v="Chi»ôinƒÉu"/>
    <s v="Moldova"/>
    <b v="0"/>
    <n v="2012"/>
    <n v="8709138634"/>
    <n v="182591753827"/>
    <x v="0"/>
    <n v="0"/>
    <x v="1"/>
  </r>
  <r>
    <x v="4370"/>
    <x v="1556"/>
    <x v="43"/>
    <s v="Netherlands"/>
    <s v="Andorra"/>
    <n v="3"/>
    <n v="0"/>
    <s v="FIFA World Cup qualification"/>
    <s v="Rotterdam"/>
    <s v="Netherlands"/>
    <b v="0"/>
    <n v="2012"/>
    <n v="845689017065"/>
    <n v="3188653258"/>
    <x v="0"/>
    <n v="1"/>
    <x v="2"/>
  </r>
  <r>
    <x v="4371"/>
    <x v="1556"/>
    <x v="43"/>
    <s v="Panama"/>
    <s v="Honduras"/>
    <n v="0"/>
    <n v="0"/>
    <s v="FIFA World Cup qualification"/>
    <s v="Panama City"/>
    <s v="Panama"/>
    <b v="0"/>
    <n v="2012"/>
    <n v="41595439720"/>
    <n v="18528554397"/>
    <x v="0"/>
    <n v="0"/>
    <x v="1"/>
  </r>
  <r>
    <x v="4372"/>
    <x v="1556"/>
    <x v="43"/>
    <s v="Russia"/>
    <s v="Portugal"/>
    <n v="1"/>
    <n v="0"/>
    <s v="FIFA World Cup qualification"/>
    <s v="Moscow"/>
    <s v="Russia"/>
    <b v="0"/>
    <n v="2012"/>
    <n v="2208293553878"/>
    <n v="216536676771"/>
    <x v="0"/>
    <n v="1"/>
    <x v="2"/>
  </r>
  <r>
    <x v="4373"/>
    <x v="1556"/>
    <x v="43"/>
    <s v="Serbia"/>
    <s v="Belgium"/>
    <n v="0"/>
    <n v="3"/>
    <s v="FIFA World Cup qualification"/>
    <s v="Belgrade"/>
    <s v="Serbia"/>
    <b v="0"/>
    <n v="2012"/>
    <n v="45103269969"/>
    <n v="498414364944"/>
    <x v="0"/>
    <n v="1"/>
    <x v="2"/>
  </r>
  <r>
    <x v="4374"/>
    <x v="1556"/>
    <x v="43"/>
    <s v="Slovenia"/>
    <s v="Cyprus"/>
    <n v="2"/>
    <n v="1"/>
    <s v="FIFA World Cup qualification"/>
    <s v="Maribor"/>
    <s v="Slovenia"/>
    <b v="0"/>
    <n v="2012"/>
    <n v="46167053954"/>
    <n v="25047436974"/>
    <x v="1"/>
    <n v="1"/>
    <x v="2"/>
  </r>
  <r>
    <x v="4375"/>
    <x v="1556"/>
    <x v="43"/>
    <s v="Solomon Islands"/>
    <s v="New Caledonia"/>
    <n v="2"/>
    <n v="6"/>
    <s v="FIFA World Cup qualification"/>
    <s v="Honiara"/>
    <s v="Solomon Islands"/>
    <b v="0"/>
    <n v="2012"/>
    <n v="1185217634"/>
    <n v="9659151917"/>
    <x v="0"/>
    <n v="1"/>
    <x v="2"/>
  </r>
  <r>
    <x v="4376"/>
    <x v="1556"/>
    <x v="43"/>
    <s v="Switzerland"/>
    <s v="Norway"/>
    <n v="1"/>
    <n v="1"/>
    <s v="FIFA World Cup qualification"/>
    <s v="Bern"/>
    <s v="Switzerland"/>
    <b v="0"/>
    <n v="2012"/>
    <n v="686420221557"/>
    <n v="512777309840"/>
    <x v="1"/>
    <n v="0"/>
    <x v="1"/>
  </r>
  <r>
    <x v="4377"/>
    <x v="1557"/>
    <x v="43"/>
    <s v="Albania"/>
    <s v="Slovenia"/>
    <n v="1"/>
    <n v="0"/>
    <s v="FIFA World Cup qualification"/>
    <s v="Tirana"/>
    <s v="Albania"/>
    <b v="0"/>
    <n v="2012"/>
    <n v="12246499747"/>
    <n v="46167053954"/>
    <x v="0"/>
    <n v="-1"/>
    <x v="0"/>
  </r>
  <r>
    <x v="4378"/>
    <x v="1557"/>
    <x v="43"/>
    <s v="Andorra"/>
    <s v="Estonia"/>
    <n v="0"/>
    <n v="1"/>
    <s v="FIFA World Cup qualification"/>
    <s v="Sant Juli√† de L√≤ria"/>
    <s v="Andorra"/>
    <b v="0"/>
    <n v="2012"/>
    <n v="3188653258"/>
    <n v="23237406116"/>
    <x v="0"/>
    <n v="1"/>
    <x v="2"/>
  </r>
  <r>
    <x v="4379"/>
    <x v="1557"/>
    <x v="43"/>
    <s v="Austria"/>
    <s v="Kazakhstan"/>
    <n v="4"/>
    <n v="0"/>
    <s v="FIFA World Cup qualification"/>
    <s v="Vienna"/>
    <s v="Austria"/>
    <b v="0"/>
    <n v="2012"/>
    <n v="406750487603"/>
    <n v="207998568865"/>
    <x v="1"/>
    <n v="1"/>
    <x v="2"/>
  </r>
  <r>
    <x v="4380"/>
    <x v="1557"/>
    <x v="43"/>
    <s v="Belarus"/>
    <s v="Georgia"/>
    <n v="2"/>
    <n v="0"/>
    <s v="FIFA World Cup qualification"/>
    <s v="Minsk"/>
    <s v="Belarus"/>
    <b v="0"/>
    <n v="2012"/>
    <n v="65685890438"/>
    <n v="16894392033"/>
    <x v="0"/>
    <n v="1"/>
    <x v="2"/>
  </r>
  <r>
    <x v="4381"/>
    <x v="1557"/>
    <x v="43"/>
    <s v="Bolivia"/>
    <s v="Uruguay"/>
    <n v="4"/>
    <n v="1"/>
    <s v="FIFA World Cup qualification"/>
    <s v="La Paz"/>
    <s v="Bolivia"/>
    <b v="0"/>
    <n v="2012"/>
    <n v="27084497481"/>
    <n v="54232266358"/>
    <x v="0"/>
    <n v="-1"/>
    <x v="0"/>
  </r>
  <r>
    <x v="4382"/>
    <x v="1557"/>
    <x v="43"/>
    <s v="Bosnia and Herzegovina"/>
    <s v="Lithuania"/>
    <n v="3"/>
    <n v="0"/>
    <s v="FIFA World Cup qualification"/>
    <s v="Zenica"/>
    <s v="Bosnia and Herzegovina"/>
    <b v="0"/>
    <n v="2012"/>
    <n v="17226735995"/>
    <n v="42709372066"/>
    <x v="0"/>
    <n v="-1"/>
    <x v="0"/>
  </r>
  <r>
    <x v="4383"/>
    <x v="1557"/>
    <x v="43"/>
    <s v="Chile"/>
    <s v="Argentina"/>
    <n v="1"/>
    <n v="2"/>
    <s v="FIFA World Cup qualification"/>
    <s v="Santiago"/>
    <s v="Chile"/>
    <b v="0"/>
    <n v="2012"/>
    <n v="267024782486"/>
    <n v="545982375701"/>
    <x v="0"/>
    <n v="1"/>
    <x v="2"/>
  </r>
  <r>
    <x v="4384"/>
    <x v="1557"/>
    <x v="43"/>
    <s v="Costa Rica"/>
    <s v="Guyana"/>
    <n v="7"/>
    <n v="0"/>
    <s v="FIFA World Cup qualification"/>
    <s v="San Jos√©"/>
    <s v="Costa Rica"/>
    <b v="0"/>
    <n v="2012"/>
    <n v="47231655431"/>
    <n v="4063088535"/>
    <x v="0"/>
    <n v="1"/>
    <x v="2"/>
  </r>
  <r>
    <x v="4385"/>
    <x v="1557"/>
    <x v="43"/>
    <s v="Cuba"/>
    <s v="Panama"/>
    <n v="1"/>
    <n v="1"/>
    <s v="FIFA World Cup qualification"/>
    <s v="Havana"/>
    <s v="Cuba"/>
    <b v="0"/>
    <n v="2012"/>
    <n v="73141000000"/>
    <n v="41595439720"/>
    <x v="1"/>
    <n v="0"/>
    <x v="1"/>
  </r>
  <r>
    <x v="4386"/>
    <x v="1557"/>
    <x v="43"/>
    <s v="Cyprus"/>
    <s v="Norway"/>
    <n v="1"/>
    <n v="3"/>
    <s v="FIFA World Cup qualification"/>
    <s v="Larnaca"/>
    <s v="Cyprus"/>
    <b v="0"/>
    <n v="2012"/>
    <n v="25047436974"/>
    <n v="512777309840"/>
    <x v="0"/>
    <n v="1"/>
    <x v="2"/>
  </r>
  <r>
    <x v="4387"/>
    <x v="1557"/>
    <x v="43"/>
    <s v="Germany"/>
    <s v="Sweden"/>
    <n v="4"/>
    <n v="4"/>
    <s v="FIFA World Cup qualification"/>
    <s v="Berlin"/>
    <s v="Germany"/>
    <b v="0"/>
    <n v="2012"/>
    <n v="3596483233406"/>
    <n v="549739674655"/>
    <x v="0"/>
    <n v="0"/>
    <x v="1"/>
  </r>
  <r>
    <x v="4388"/>
    <x v="1557"/>
    <x v="43"/>
    <s v="Honduras"/>
    <s v="Canada"/>
    <n v="8"/>
    <n v="1"/>
    <s v="FIFA World Cup qualification"/>
    <s v="San Pedro Sula"/>
    <s v="Honduras"/>
    <b v="0"/>
    <n v="2012"/>
    <n v="18528554397"/>
    <n v="1828366481521"/>
    <x v="0"/>
    <n v="-1"/>
    <x v="0"/>
  </r>
  <r>
    <x v="4389"/>
    <x v="1557"/>
    <x v="43"/>
    <s v="Iceland"/>
    <s v="Switzerland"/>
    <n v="0"/>
    <n v="2"/>
    <s v="FIFA World Cup qualification"/>
    <s v="Reykjav√≠k"/>
    <s v="Iceland"/>
    <b v="0"/>
    <n v="2012"/>
    <n v="14943757823"/>
    <n v="686420221557"/>
    <x v="0"/>
    <n v="1"/>
    <x v="2"/>
  </r>
  <r>
    <x v="4390"/>
    <x v="1557"/>
    <x v="43"/>
    <s v="Iran"/>
    <s v="South Korea"/>
    <n v="1"/>
    <n v="0"/>
    <s v="FIFA World Cup qualification"/>
    <s v="Tehran"/>
    <s v="Iran"/>
    <b v="0"/>
    <n v="2012"/>
    <n v="644019315003"/>
    <n v="1335343586437"/>
    <x v="0"/>
    <n v="-1"/>
    <x v="0"/>
  </r>
  <r>
    <x v="4391"/>
    <x v="1557"/>
    <x v="43"/>
    <s v="Iraq"/>
    <s v="Australia"/>
    <n v="1"/>
    <n v="2"/>
    <s v="FIFA World Cup qualification"/>
    <s v="Doha"/>
    <s v="Qatar"/>
    <b v="1"/>
    <n v="2012"/>
    <n v="218002476129"/>
    <n v="1552728401401"/>
    <x v="0"/>
    <n v="1"/>
    <x v="2"/>
  </r>
  <r>
    <x v="4392"/>
    <x v="1557"/>
    <x v="43"/>
    <s v="Israel"/>
    <s v="Luxembourg"/>
    <n v="3"/>
    <n v="0"/>
    <s v="FIFA World Cup qualification"/>
    <s v="Ramat Gan"/>
    <s v="Israel"/>
    <b v="0"/>
    <n v="2012"/>
    <n v="263589172712"/>
    <n v="59776383527"/>
    <x v="0"/>
    <n v="1"/>
    <x v="2"/>
  </r>
  <r>
    <x v="4393"/>
    <x v="1557"/>
    <x v="43"/>
    <s v="Italy"/>
    <s v="Denmark"/>
    <n v="3"/>
    <n v="1"/>
    <s v="FIFA World Cup qualification"/>
    <s v="Milan"/>
    <s v="Italy"/>
    <b v="0"/>
    <n v="2012"/>
    <n v="2097929495121"/>
    <n v="326792574244"/>
    <x v="0"/>
    <n v="1"/>
    <x v="2"/>
  </r>
  <r>
    <x v="4394"/>
    <x v="1557"/>
    <x v="43"/>
    <s v="Jamaica"/>
    <s v="Antigua and Barbuda"/>
    <n v="4"/>
    <n v="1"/>
    <s v="FIFA World Cup qualification"/>
    <s v="Kingston"/>
    <s v="Jamaica"/>
    <b v="0"/>
    <n v="2012"/>
    <n v="14807086555"/>
    <n v="1364729629"/>
    <x v="0"/>
    <n v="1"/>
    <x v="2"/>
  </r>
  <r>
    <x v="4395"/>
    <x v="1557"/>
    <x v="43"/>
    <s v="Latvia"/>
    <s v="Liechtenstein"/>
    <n v="2"/>
    <n v="0"/>
    <s v="FIFA World Cup qualification"/>
    <s v="Riga"/>
    <s v="Latvia"/>
    <b v="0"/>
    <n v="2012"/>
    <n v="27116149948"/>
    <n v="5456102482"/>
    <x v="0"/>
    <n v="1"/>
    <x v="2"/>
  </r>
  <r>
    <x v="4396"/>
    <x v="1557"/>
    <x v="43"/>
    <s v="North Macedonia"/>
    <s v="Serbia"/>
    <n v="1"/>
    <n v="0"/>
    <s v="FIFA World Cup qualification"/>
    <s v="Skopje"/>
    <s v="North Macedonia"/>
    <b v="0"/>
    <n v="2012"/>
    <n v="9745261300"/>
    <n v="45103269969"/>
    <x v="0"/>
    <n v="-1"/>
    <x v="0"/>
  </r>
  <r>
    <x v="4397"/>
    <x v="1557"/>
    <x v="43"/>
    <s v="Mexico"/>
    <s v="El Salvador"/>
    <n v="2"/>
    <n v="0"/>
    <s v="FIFA World Cup qualification"/>
    <s v="Torre√≥n"/>
    <s v="Mexico"/>
    <b v="0"/>
    <n v="2012"/>
    <n v="1255110424817"/>
    <n v="21386150000"/>
    <x v="0"/>
    <n v="1"/>
    <x v="2"/>
  </r>
  <r>
    <x v="4398"/>
    <x v="1557"/>
    <x v="43"/>
    <s v="New Caledonia"/>
    <s v="Solomon Islands"/>
    <n v="5"/>
    <n v="0"/>
    <s v="FIFA World Cup qualification"/>
    <s v="Noum√©a"/>
    <s v="New Caledonia"/>
    <b v="0"/>
    <n v="2012"/>
    <n v="9659151917"/>
    <n v="1185217634"/>
    <x v="0"/>
    <n v="1"/>
    <x v="2"/>
  </r>
  <r>
    <x v="4399"/>
    <x v="1557"/>
    <x v="43"/>
    <s v="Oman"/>
    <s v="Jordan"/>
    <n v="2"/>
    <n v="1"/>
    <s v="FIFA World Cup qualification"/>
    <s v="Muscat"/>
    <s v="Oman"/>
    <b v="0"/>
    <n v="2012"/>
    <n v="87408842652"/>
    <n v="31634561690"/>
    <x v="0"/>
    <n v="1"/>
    <x v="2"/>
  </r>
  <r>
    <x v="4400"/>
    <x v="1557"/>
    <x v="43"/>
    <s v="Paraguay"/>
    <s v="Peru"/>
    <n v="1"/>
    <n v="0"/>
    <s v="FIFA World Cup qualification"/>
    <s v="Asunci√≥n"/>
    <s v="Paraguay"/>
    <b v="0"/>
    <n v="2012"/>
    <n v="33271921136"/>
    <n v="192650021648"/>
    <x v="0"/>
    <n v="-1"/>
    <x v="0"/>
  </r>
  <r>
    <x v="4401"/>
    <x v="1557"/>
    <x v="43"/>
    <s v="Qatar"/>
    <s v="Uzbekistan"/>
    <n v="0"/>
    <n v="1"/>
    <s v="FIFA World Cup qualification"/>
    <s v="Doha"/>
    <s v="Qatar"/>
    <b v="0"/>
    <n v="2012"/>
    <n v="186833516483"/>
    <n v="67517349212"/>
    <x v="0"/>
    <n v="-1"/>
    <x v="0"/>
  </r>
  <r>
    <x v="4402"/>
    <x v="1557"/>
    <x v="43"/>
    <s v="Romania"/>
    <s v="Netherlands"/>
    <n v="1"/>
    <n v="4"/>
    <s v="FIFA World Cup qualification"/>
    <s v="Bucharest"/>
    <s v="Romania"/>
    <b v="0"/>
    <n v="2012"/>
    <n v="179117323107"/>
    <n v="845689017065"/>
    <x v="0"/>
    <n v="1"/>
    <x v="2"/>
  </r>
  <r>
    <x v="4403"/>
    <x v="1557"/>
    <x v="43"/>
    <s v="Russia"/>
    <s v="Azerbaijan"/>
    <n v="1"/>
    <n v="0"/>
    <s v="FIFA World Cup qualification"/>
    <s v="Moscow"/>
    <s v="Russia"/>
    <b v="0"/>
    <n v="2012"/>
    <n v="2208293553878"/>
    <n v="69679944504"/>
    <x v="0"/>
    <n v="1"/>
    <x v="2"/>
  </r>
  <r>
    <x v="4404"/>
    <x v="1557"/>
    <x v="43"/>
    <s v="San Marino"/>
    <s v="Moldova"/>
    <n v="0"/>
    <n v="2"/>
    <s v="FIFA World Cup qualification"/>
    <s v="Serravalle"/>
    <s v="San Marino"/>
    <b v="0"/>
    <n v="2012"/>
    <n v="1604701299"/>
    <n v="8709138634"/>
    <x v="0"/>
    <n v="1"/>
    <x v="2"/>
  </r>
  <r>
    <x v="4405"/>
    <x v="1557"/>
    <x v="43"/>
    <s v="Spain"/>
    <s v="France"/>
    <n v="1"/>
    <n v="1"/>
    <s v="FIFA World Cup qualification"/>
    <s v="Madrid"/>
    <s v="Spain"/>
    <b v="0"/>
    <n v="2012"/>
    <n v="1330994811670"/>
    <n v="2683007095787"/>
    <x v="0"/>
    <n v="0"/>
    <x v="1"/>
  </r>
  <r>
    <x v="4406"/>
    <x v="1557"/>
    <x v="43"/>
    <s v="Ukraine"/>
    <s v="Montenegro"/>
    <n v="0"/>
    <n v="1"/>
    <s v="FIFA World Cup qualification"/>
    <s v="Kyiv"/>
    <s v="Ukraine"/>
    <b v="0"/>
    <n v="2012"/>
    <n v="182591753827"/>
    <n v="4071829462"/>
    <x v="0"/>
    <n v="-1"/>
    <x v="0"/>
  </r>
  <r>
    <x v="4407"/>
    <x v="1557"/>
    <x v="43"/>
    <s v="United States"/>
    <s v="Guatemala"/>
    <n v="3"/>
    <n v="1"/>
    <s v="FIFA World Cup qualification"/>
    <s v="Kansas City"/>
    <s v="United States"/>
    <b v="0"/>
    <n v="2012"/>
    <n v="16253972230000"/>
    <n v="49593929487"/>
    <x v="0"/>
    <n v="1"/>
    <x v="2"/>
  </r>
  <r>
    <x v="4408"/>
    <x v="1557"/>
    <x v="43"/>
    <s v="Venezuela"/>
    <s v="Ecuador"/>
    <n v="1"/>
    <n v="1"/>
    <s v="FIFA World Cup qualification"/>
    <s v="Puerto la Cruz"/>
    <s v="Venezuela"/>
    <b v="0"/>
    <n v="2012"/>
    <n v="372592062768"/>
    <n v="87735048000"/>
    <x v="0"/>
    <n v="0"/>
    <x v="1"/>
  </r>
  <r>
    <x v="4409"/>
    <x v="1558"/>
    <x v="43"/>
    <s v="Poland"/>
    <s v="England"/>
    <n v="1"/>
    <n v="1"/>
    <s v="FIFA World Cup qualification"/>
    <s v="Warsaw"/>
    <s v="Poland"/>
    <b v="0"/>
    <n v="2012"/>
    <n v="498148649702"/>
    <n v="2719715961539"/>
    <x v="0"/>
    <n v="0"/>
    <x v="1"/>
  </r>
  <r>
    <x v="4410"/>
    <x v="1559"/>
    <x v="43"/>
    <s v="Iran"/>
    <s v="Uzbekistan"/>
    <n v="0"/>
    <n v="1"/>
    <s v="FIFA World Cup qualification"/>
    <s v="Tehran"/>
    <s v="Iran"/>
    <b v="0"/>
    <n v="2012"/>
    <n v="644019315003"/>
    <n v="67517349212"/>
    <x v="0"/>
    <n v="-1"/>
    <x v="0"/>
  </r>
  <r>
    <x v="4411"/>
    <x v="1559"/>
    <x v="43"/>
    <s v="Iraq"/>
    <s v="Jordan"/>
    <n v="1"/>
    <n v="0"/>
    <s v="FIFA World Cup qualification"/>
    <s v="Doha"/>
    <s v="Qatar"/>
    <b v="1"/>
    <n v="2012"/>
    <n v="218002476129"/>
    <n v="31634561690"/>
    <x v="0"/>
    <n v="1"/>
    <x v="2"/>
  </r>
  <r>
    <x v="4412"/>
    <x v="1559"/>
    <x v="43"/>
    <s v="Montenegro"/>
    <s v="San Marino"/>
    <n v="3"/>
    <n v="0"/>
    <s v="FIFA World Cup qualification"/>
    <s v="Podgorica"/>
    <s v="Montenegro"/>
    <b v="0"/>
    <n v="2012"/>
    <n v="4071829462"/>
    <n v="1604701299"/>
    <x v="0"/>
    <n v="1"/>
    <x v="2"/>
  </r>
  <r>
    <x v="4413"/>
    <x v="1559"/>
    <x v="43"/>
    <s v="Oman"/>
    <s v="Japan"/>
    <n v="1"/>
    <n v="2"/>
    <s v="FIFA World Cup qualification"/>
    <s v="Muscat"/>
    <s v="Oman"/>
    <b v="0"/>
    <n v="2012"/>
    <n v="87408842652"/>
    <n v="6272362996105"/>
    <x v="0"/>
    <n v="1"/>
    <x v="2"/>
  </r>
  <r>
    <x v="4414"/>
    <x v="1559"/>
    <x v="43"/>
    <s v="Qatar"/>
    <s v="Lebanon"/>
    <n v="1"/>
    <n v="0"/>
    <s v="FIFA World Cup qualification"/>
    <s v="Doha"/>
    <s v="Qatar"/>
    <b v="0"/>
    <n v="2012"/>
    <n v="186833516483"/>
    <n v="44016799515"/>
    <x v="0"/>
    <n v="1"/>
    <x v="2"/>
  </r>
  <r>
    <x v="4415"/>
    <x v="1560"/>
    <x v="44"/>
    <s v="Honduras"/>
    <s v="United States"/>
    <n v="2"/>
    <n v="1"/>
    <s v="FIFA World Cup qualification"/>
    <s v="San Pedro Sula"/>
    <s v="Honduras"/>
    <b v="0"/>
    <n v="2013"/>
    <n v="18499729214"/>
    <n v="16843190993000"/>
    <x v="0"/>
    <n v="-1"/>
    <x v="0"/>
  </r>
  <r>
    <x v="4416"/>
    <x v="1560"/>
    <x v="44"/>
    <s v="Mexico"/>
    <s v="Jamaica"/>
    <n v="0"/>
    <n v="0"/>
    <s v="FIFA World Cup qualification"/>
    <s v="Mexico City"/>
    <s v="Mexico"/>
    <b v="0"/>
    <n v="2013"/>
    <n v="1327436290282"/>
    <n v="14264205152"/>
    <x v="0"/>
    <n v="0"/>
    <x v="1"/>
  </r>
  <r>
    <x v="4417"/>
    <x v="1560"/>
    <x v="44"/>
    <s v="Panama"/>
    <s v="Costa Rica"/>
    <n v="2"/>
    <n v="2"/>
    <s v="FIFA World Cup qualification"/>
    <s v="Panama City"/>
    <s v="Panama"/>
    <b v="0"/>
    <n v="2013"/>
    <n v="46949496479"/>
    <n v="50949668841"/>
    <x v="1"/>
    <n v="0"/>
    <x v="1"/>
  </r>
  <r>
    <x v="4418"/>
    <x v="1561"/>
    <x v="44"/>
    <s v="Argentina"/>
    <s v="Venezuela"/>
    <n v="3"/>
    <n v="0"/>
    <s v="FIFA World Cup qualification"/>
    <s v="Buenos Aires"/>
    <s v="Argentina"/>
    <b v="0"/>
    <n v="2013"/>
    <n v="552025140252"/>
    <n v="258930655486"/>
    <x v="0"/>
    <n v="1"/>
    <x v="2"/>
  </r>
  <r>
    <x v="4419"/>
    <x v="1561"/>
    <x v="44"/>
    <s v="Austria"/>
    <s v="Faroe Islands"/>
    <n v="6"/>
    <n v="0"/>
    <s v="FIFA World Cup qualification"/>
    <s v="Vienna"/>
    <s v="Austria"/>
    <b v="0"/>
    <n v="2013"/>
    <n v="426580502769"/>
    <n v="2690110520"/>
    <x v="0"/>
    <n v="1"/>
    <x v="2"/>
  </r>
  <r>
    <x v="4420"/>
    <x v="1561"/>
    <x v="44"/>
    <s v="Bosnia and Herzegovina"/>
    <s v="Greece"/>
    <n v="3"/>
    <n v="1"/>
    <s v="FIFA World Cup qualification"/>
    <s v="Zenica"/>
    <s v="Bosnia and Herzegovina"/>
    <b v="0"/>
    <n v="2013"/>
    <n v="18179109209"/>
    <n v="236556279640"/>
    <x v="0"/>
    <n v="-1"/>
    <x v="0"/>
  </r>
  <r>
    <x v="4421"/>
    <x v="1561"/>
    <x v="44"/>
    <s v="Bulgaria"/>
    <s v="Malta"/>
    <n v="6"/>
    <n v="0"/>
    <s v="FIFA World Cup qualification"/>
    <s v="Sofia"/>
    <s v="Bulgaria"/>
    <b v="0"/>
    <n v="2013"/>
    <n v="55819262374"/>
    <n v="10796782636"/>
    <x v="0"/>
    <n v="1"/>
    <x v="2"/>
  </r>
  <r>
    <x v="4422"/>
    <x v="1561"/>
    <x v="44"/>
    <s v="Colombia"/>
    <s v="Bolivia"/>
    <n v="5"/>
    <n v="0"/>
    <s v="FIFA World Cup qualification"/>
    <s v="Barranquilla"/>
    <s v="Colombia"/>
    <b v="0"/>
    <n v="2013"/>
    <n v="382093697077"/>
    <n v="30659338885"/>
    <x v="0"/>
    <n v="1"/>
    <x v="2"/>
  </r>
  <r>
    <x v="4423"/>
    <x v="1561"/>
    <x v="44"/>
    <s v="Croatia"/>
    <s v="Serbia"/>
    <n v="2"/>
    <n v="0"/>
    <s v="FIFA World Cup qualification"/>
    <s v="Zagreb"/>
    <s v="Croatia"/>
    <b v="0"/>
    <n v="2013"/>
    <n v="59846265181"/>
    <n v="50455529604"/>
    <x v="1"/>
    <n v="1"/>
    <x v="2"/>
  </r>
  <r>
    <x v="4424"/>
    <x v="1561"/>
    <x v="44"/>
    <s v="France"/>
    <s v="Georgia"/>
    <n v="3"/>
    <n v="1"/>
    <s v="FIFA World Cup qualification"/>
    <s v="Saint-Denis"/>
    <s v="France"/>
    <b v="0"/>
    <n v="2013"/>
    <n v="2816077607875"/>
    <n v="17517660143"/>
    <x v="0"/>
    <n v="1"/>
    <x v="2"/>
  </r>
  <r>
    <x v="4425"/>
    <x v="1561"/>
    <x v="44"/>
    <s v="Honduras"/>
    <s v="Mexico"/>
    <n v="2"/>
    <n v="2"/>
    <s v="FIFA World Cup qualification"/>
    <s v="San Pedro Sula"/>
    <s v="Honduras"/>
    <b v="0"/>
    <n v="2013"/>
    <n v="18499729214"/>
    <n v="1327436290282"/>
    <x v="0"/>
    <n v="0"/>
    <x v="1"/>
  </r>
  <r>
    <x v="4426"/>
    <x v="1561"/>
    <x v="44"/>
    <s v="Hungary"/>
    <s v="Romania"/>
    <n v="2"/>
    <n v="2"/>
    <s v="FIFA World Cup qualification"/>
    <s v="Budapest"/>
    <s v="Hungary"/>
    <b v="0"/>
    <n v="2013"/>
    <n v="135646053778"/>
    <n v="189798603751"/>
    <x v="1"/>
    <n v="0"/>
    <x v="1"/>
  </r>
  <r>
    <x v="4427"/>
    <x v="1561"/>
    <x v="44"/>
    <s v="Israel"/>
    <s v="Portugal"/>
    <n v="3"/>
    <n v="3"/>
    <s v="FIFA World Cup qualification"/>
    <s v="Ramat Gan"/>
    <s v="Israel"/>
    <b v="0"/>
    <n v="2013"/>
    <n v="298478070673"/>
    <n v="226677408291"/>
    <x v="1"/>
    <n v="0"/>
    <x v="1"/>
  </r>
  <r>
    <x v="4428"/>
    <x v="1561"/>
    <x v="44"/>
    <s v="Jamaica"/>
    <s v="Panama"/>
    <n v="1"/>
    <n v="1"/>
    <s v="FIFA World Cup qualification"/>
    <s v="Kingston"/>
    <s v="Jamaica"/>
    <b v="0"/>
    <n v="2013"/>
    <n v="14264205152"/>
    <n v="46949496479"/>
    <x v="0"/>
    <n v="0"/>
    <x v="1"/>
  </r>
  <r>
    <x v="4429"/>
    <x v="1561"/>
    <x v="44"/>
    <s v="Kazakhstan"/>
    <s v="Germany"/>
    <n v="0"/>
    <n v="3"/>
    <s v="FIFA World Cup qualification"/>
    <s v="Astana"/>
    <s v="Kazakhstan"/>
    <b v="0"/>
    <n v="2013"/>
    <n v="236634603409"/>
    <n v="3807023797050"/>
    <x v="0"/>
    <n v="1"/>
    <x v="2"/>
  </r>
  <r>
    <x v="4430"/>
    <x v="1561"/>
    <x v="44"/>
    <s v="Liechtenstein"/>
    <s v="Latvia"/>
    <n v="1"/>
    <n v="1"/>
    <s v="FIFA World Cup qualification"/>
    <s v="Vaduz"/>
    <s v="Liechtenstein"/>
    <b v="0"/>
    <n v="2013"/>
    <n v="6391708310"/>
    <n v="29152128167"/>
    <x v="0"/>
    <n v="0"/>
    <x v="1"/>
  </r>
  <r>
    <x v="4431"/>
    <x v="1561"/>
    <x v="44"/>
    <s v="Luxembourg"/>
    <s v="Azerbaijan"/>
    <n v="0"/>
    <n v="0"/>
    <s v="FIFA World Cup qualification"/>
    <s v="Luxembourg"/>
    <s v="Luxembourg"/>
    <b v="0"/>
    <n v="2013"/>
    <n v="65203276466"/>
    <n v="74160560123"/>
    <x v="1"/>
    <n v="0"/>
    <x v="1"/>
  </r>
  <r>
    <x v="4432"/>
    <x v="1561"/>
    <x v="44"/>
    <s v="North Macedonia"/>
    <s v="Belgium"/>
    <n v="0"/>
    <n v="2"/>
    <s v="FIFA World Cup qualification"/>
    <s v="Skopje"/>
    <s v="North Macedonia"/>
    <b v="0"/>
    <n v="2013"/>
    <n v="10817702346"/>
    <n v="524097026598"/>
    <x v="0"/>
    <n v="1"/>
    <x v="2"/>
  </r>
  <r>
    <x v="4433"/>
    <x v="1561"/>
    <x v="44"/>
    <s v="Moldova"/>
    <s v="Montenegro"/>
    <n v="0"/>
    <n v="1"/>
    <s v="FIFA World Cup qualification"/>
    <s v="Chi»ôinƒÉu"/>
    <s v="Moldova"/>
    <b v="0"/>
    <n v="2013"/>
    <n v="9496717875"/>
    <n v="4422097762"/>
    <x v="0"/>
    <n v="-1"/>
    <x v="0"/>
  </r>
  <r>
    <x v="4434"/>
    <x v="1561"/>
    <x v="44"/>
    <s v="Netherlands"/>
    <s v="Estonia"/>
    <n v="3"/>
    <n v="0"/>
    <s v="FIFA World Cup qualification"/>
    <s v="Amsterdam"/>
    <s v="Netherlands"/>
    <b v="0"/>
    <n v="2013"/>
    <n v="883951539006"/>
    <n v="25451032780"/>
    <x v="0"/>
    <n v="1"/>
    <x v="2"/>
  </r>
  <r>
    <x v="4435"/>
    <x v="1561"/>
    <x v="44"/>
    <s v="New Zealand"/>
    <s v="New Caledonia"/>
    <n v="2"/>
    <n v="1"/>
    <s v="FIFA World Cup qualification"/>
    <s v="Dunedin"/>
    <s v="New Zealand"/>
    <b v="0"/>
    <n v="2013"/>
    <n v="191012364176"/>
    <n v="10151382933"/>
    <x v="0"/>
    <n v="1"/>
    <x v="2"/>
  </r>
  <r>
    <x v="4436"/>
    <x v="1561"/>
    <x v="44"/>
    <s v="Norway"/>
    <s v="Albania"/>
    <n v="0"/>
    <n v="1"/>
    <s v="FIFA World Cup qualification"/>
    <s v="Oslo"/>
    <s v="Norway"/>
    <b v="0"/>
    <n v="2013"/>
    <n v="526014468085"/>
    <n v="12796985886"/>
    <x v="0"/>
    <n v="-1"/>
    <x v="0"/>
  </r>
  <r>
    <x v="4437"/>
    <x v="1561"/>
    <x v="44"/>
    <s v="Peru"/>
    <s v="Chile"/>
    <n v="1"/>
    <n v="0"/>
    <s v="FIFA World Cup qualification"/>
    <s v="Lima"/>
    <s v="Peru"/>
    <b v="0"/>
    <n v="2013"/>
    <n v="201175543571"/>
    <n v="277395018842"/>
    <x v="1"/>
    <n v="-1"/>
    <x v="0"/>
  </r>
  <r>
    <x v="4438"/>
    <x v="1561"/>
    <x v="44"/>
    <s v="Poland"/>
    <s v="Ukraine"/>
    <n v="1"/>
    <n v="3"/>
    <s v="FIFA World Cup qualification"/>
    <s v="Warsaw"/>
    <s v="Poland"/>
    <b v="0"/>
    <n v="2013"/>
    <n v="518179836405"/>
    <n v="190498811460"/>
    <x v="0"/>
    <n v="-1"/>
    <x v="0"/>
  </r>
  <r>
    <x v="4439"/>
    <x v="1561"/>
    <x v="44"/>
    <s v="San Marino"/>
    <s v="England"/>
    <n v="0"/>
    <n v="8"/>
    <s v="FIFA World Cup qualification"/>
    <s v="Serravalle"/>
    <s v="San Marino"/>
    <b v="0"/>
    <n v="2013"/>
    <n v="1678741475"/>
    <n v="2796908333283"/>
    <x v="0"/>
    <n v="1"/>
    <x v="2"/>
  </r>
  <r>
    <x v="4440"/>
    <x v="1561"/>
    <x v="44"/>
    <s v="Slovenia"/>
    <s v="Iceland"/>
    <n v="1"/>
    <n v="2"/>
    <s v="FIFA World Cup qualification"/>
    <s v="Ljubljana"/>
    <s v="Slovenia"/>
    <b v="0"/>
    <n v="2013"/>
    <n v="47867056858"/>
    <n v="16244319958"/>
    <x v="0"/>
    <n v="-1"/>
    <x v="0"/>
  </r>
  <r>
    <x v="4441"/>
    <x v="1561"/>
    <x v="44"/>
    <s v="Spain"/>
    <s v="Finland"/>
    <n v="1"/>
    <n v="1"/>
    <s v="FIFA World Cup qualification"/>
    <s v="Gij√≥n"/>
    <s v="Spain"/>
    <b v="0"/>
    <n v="2013"/>
    <n v="1362186923157"/>
    <n v="270268036626"/>
    <x v="0"/>
    <n v="0"/>
    <x v="1"/>
  </r>
  <r>
    <x v="4442"/>
    <x v="1561"/>
    <x v="44"/>
    <s v="Uruguay"/>
    <s v="Paraguay"/>
    <n v="1"/>
    <n v="1"/>
    <s v="FIFA World Cup qualification"/>
    <s v="Montevideo"/>
    <s v="Uruguay"/>
    <b v="0"/>
    <n v="2013"/>
    <n v="61337621933"/>
    <n v="38501122141"/>
    <x v="1"/>
    <n v="0"/>
    <x v="1"/>
  </r>
  <r>
    <x v="4443"/>
    <x v="1561"/>
    <x v="44"/>
    <s v="United States"/>
    <s v="Costa Rica"/>
    <n v="1"/>
    <n v="0"/>
    <s v="FIFA World Cup qualification"/>
    <s v="Commerce City"/>
    <s v="United States"/>
    <b v="0"/>
    <n v="2013"/>
    <n v="16843190993000"/>
    <n v="50949668841"/>
    <x v="0"/>
    <n v="1"/>
    <x v="2"/>
  </r>
  <r>
    <x v="4444"/>
    <x v="1562"/>
    <x v="44"/>
    <s v="Burkina Faso"/>
    <s v="Niger"/>
    <n v="4"/>
    <n v="0"/>
    <s v="FIFA World Cup qualification"/>
    <s v="Ouagadougou"/>
    <s v="Burkina Faso"/>
    <b v="0"/>
    <n v="2013"/>
    <n v="13444300485"/>
    <n v="10224897437"/>
    <x v="1"/>
    <n v="1"/>
    <x v="2"/>
  </r>
  <r>
    <x v="4445"/>
    <x v="1562"/>
    <x v="44"/>
    <s v="Cameroon"/>
    <s v="Togo"/>
    <n v="2"/>
    <n v="1"/>
    <s v="FIFA World Cup qualification"/>
    <s v="Yaound√©"/>
    <s v="Cameroon"/>
    <b v="0"/>
    <n v="2013"/>
    <n v="33728621180"/>
    <n v="6021729629"/>
    <x v="0"/>
    <n v="1"/>
    <x v="2"/>
  </r>
  <r>
    <x v="4446"/>
    <x v="1562"/>
    <x v="44"/>
    <s v="Cyprus"/>
    <s v="Switzerland"/>
    <n v="0"/>
    <n v="0"/>
    <s v="FIFA World Cup qualification"/>
    <s v="Nicosia"/>
    <s v="Cyprus"/>
    <b v="0"/>
    <n v="2013"/>
    <n v="23959712860"/>
    <n v="706234937370"/>
    <x v="0"/>
    <n v="0"/>
    <x v="1"/>
  </r>
  <r>
    <x v="4447"/>
    <x v="1562"/>
    <x v="44"/>
    <s v="Namibia"/>
    <s v="Malawi"/>
    <n v="0"/>
    <n v="1"/>
    <s v="FIFA World Cup qualification"/>
    <s v="Windhoek"/>
    <s v="Namibia"/>
    <b v="0"/>
    <n v="2013"/>
    <n v="12043307277"/>
    <n v="8031571927"/>
    <x v="1"/>
    <n v="-1"/>
    <x v="0"/>
  </r>
  <r>
    <x v="4448"/>
    <x v="1562"/>
    <x v="44"/>
    <s v="Nigeria"/>
    <s v="Kenya"/>
    <n v="1"/>
    <n v="1"/>
    <s v="FIFA World Cup qualification"/>
    <s v="Calabar"/>
    <s v="Nigeria"/>
    <b v="0"/>
    <n v="2013"/>
    <n v="520117180313"/>
    <n v="61671440407"/>
    <x v="0"/>
    <n v="0"/>
    <x v="1"/>
  </r>
  <r>
    <x v="4449"/>
    <x v="1562"/>
    <x v="44"/>
    <s v="Senegal"/>
    <s v="Angola"/>
    <n v="1"/>
    <n v="1"/>
    <s v="FIFA World Cup qualification"/>
    <s v="Conakry"/>
    <s v="Guinea"/>
    <b v="1"/>
    <n v="2013"/>
    <n v="18918667724"/>
    <n v="148845200696"/>
    <x v="0"/>
    <n v="0"/>
    <x v="1"/>
  </r>
  <r>
    <x v="4450"/>
    <x v="1562"/>
    <x v="44"/>
    <s v="South Africa"/>
    <s v="Central African Republic"/>
    <n v="2"/>
    <n v="0"/>
    <s v="FIFA World Cup qualification"/>
    <s v="Cape Town"/>
    <s v="South Africa"/>
    <b v="0"/>
    <n v="2013"/>
    <n v="400886013595"/>
    <n v="1691544110"/>
    <x v="0"/>
    <n v="1"/>
    <x v="2"/>
  </r>
  <r>
    <x v="4451"/>
    <x v="1562"/>
    <x v="44"/>
    <s v="Tunisia"/>
    <s v="Sierra Leone"/>
    <n v="2"/>
    <n v="1"/>
    <s v="FIFA World Cup qualification"/>
    <s v="Rad√®s"/>
    <s v="Tunisia"/>
    <b v="0"/>
    <n v="2013"/>
    <n v="48685446413"/>
    <n v="7502762862"/>
    <x v="0"/>
    <n v="1"/>
    <x v="2"/>
  </r>
  <r>
    <x v="4452"/>
    <x v="1563"/>
    <x v="44"/>
    <s v="Ethiopia"/>
    <s v="Botswana"/>
    <n v="1"/>
    <n v="0"/>
    <s v="FIFA World Cup qualification"/>
    <s v="Addis Ababa"/>
    <s v="Ethiopia"/>
    <b v="0"/>
    <n v="2013"/>
    <n v="47648276605"/>
    <n v="14271738933"/>
    <x v="0"/>
    <n v="1"/>
    <x v="2"/>
  </r>
  <r>
    <x v="4453"/>
    <x v="1563"/>
    <x v="44"/>
    <s v="Ghana"/>
    <s v="Sudan"/>
    <n v="4"/>
    <n v="0"/>
    <s v="FIFA World Cup qualification"/>
    <s v="Kumasi"/>
    <s v="Ghana"/>
    <b v="0"/>
    <n v="2013"/>
    <n v="62845721959"/>
    <n v="43024018082"/>
    <x v="1"/>
    <n v="1"/>
    <x v="2"/>
  </r>
  <r>
    <x v="4454"/>
    <x v="1563"/>
    <x v="44"/>
    <s v="Lesotho"/>
    <s v="Zambia"/>
    <n v="1"/>
    <n v="1"/>
    <s v="FIFA World Cup qualification"/>
    <s v="Maseru"/>
    <s v="Lesotho"/>
    <b v="0"/>
    <n v="2013"/>
    <n v="2367112931"/>
    <n v="28037239462"/>
    <x v="0"/>
    <n v="0"/>
    <x v="1"/>
  </r>
  <r>
    <x v="4455"/>
    <x v="1563"/>
    <x v="44"/>
    <s v="Liberia"/>
    <s v="Uganda"/>
    <n v="2"/>
    <n v="0"/>
    <s v="FIFA World Cup qualification"/>
    <s v="Paynesville"/>
    <s v="Liberia"/>
    <b v="0"/>
    <n v="2013"/>
    <n v="3177198100"/>
    <n v="28915786516"/>
    <x v="0"/>
    <n v="-1"/>
    <x v="0"/>
  </r>
  <r>
    <x v="4456"/>
    <x v="1563"/>
    <x v="44"/>
    <s v="Mozambique"/>
    <s v="Guinea"/>
    <n v="0"/>
    <n v="0"/>
    <s v="FIFA World Cup qualification"/>
    <s v="Maputo"/>
    <s v="Mozambique"/>
    <b v="0"/>
    <n v="2013"/>
    <n v="17198073057"/>
    <n v="8376613539"/>
    <x v="0"/>
    <n v="0"/>
    <x v="1"/>
  </r>
  <r>
    <x v="4457"/>
    <x v="1563"/>
    <x v="44"/>
    <s v="Rwanda"/>
    <s v="Mali"/>
    <n v="1"/>
    <n v="2"/>
    <s v="FIFA World Cup qualification"/>
    <s v="Kigali"/>
    <s v="Rwanda"/>
    <b v="0"/>
    <n v="2013"/>
    <n v="7819964030"/>
    <n v="15747192680"/>
    <x v="0"/>
    <n v="1"/>
    <x v="2"/>
  </r>
  <r>
    <x v="4458"/>
    <x v="1563"/>
    <x v="44"/>
    <s v="Tanzania"/>
    <s v="Morocco"/>
    <n v="3"/>
    <n v="1"/>
    <s v="FIFA World Cup qualification"/>
    <s v="Dar es Salaam"/>
    <s v="Tanzania"/>
    <b v="0"/>
    <n v="2013"/>
    <n v="45648857242"/>
    <n v="115739287305"/>
    <x v="0"/>
    <n v="-1"/>
    <x v="0"/>
  </r>
  <r>
    <x v="4459"/>
    <x v="1564"/>
    <x v="44"/>
    <s v="Algeria"/>
    <s v="Benin"/>
    <n v="3"/>
    <n v="1"/>
    <s v="FIFA World Cup qualification"/>
    <s v="Blida"/>
    <s v="Algeria"/>
    <b v="0"/>
    <n v="2013"/>
    <n v="229701430292"/>
    <n v="12517845123"/>
    <x v="0"/>
    <n v="1"/>
    <x v="2"/>
  </r>
  <r>
    <x v="4460"/>
    <x v="1564"/>
    <x v="44"/>
    <s v="Australia"/>
    <s v="Oman"/>
    <n v="2"/>
    <n v="2"/>
    <s v="FIFA World Cup qualification"/>
    <s v="Sydney"/>
    <s v="Australia"/>
    <b v="0"/>
    <n v="2013"/>
    <n v="1583737461925"/>
    <n v="89936020806"/>
    <x v="0"/>
    <n v="0"/>
    <x v="1"/>
  </r>
  <r>
    <x v="4461"/>
    <x v="1564"/>
    <x v="44"/>
    <s v="Azerbaijan"/>
    <s v="Portugal"/>
    <n v="0"/>
    <n v="2"/>
    <s v="FIFA World Cup qualification"/>
    <s v="Baku"/>
    <s v="Azerbaijan"/>
    <b v="0"/>
    <n v="2013"/>
    <n v="74160560123"/>
    <n v="226677408291"/>
    <x v="0"/>
    <n v="1"/>
    <x v="2"/>
  </r>
  <r>
    <x v="4462"/>
    <x v="1564"/>
    <x v="44"/>
    <s v="Belgium"/>
    <s v="North Macedonia"/>
    <n v="1"/>
    <n v="0"/>
    <s v="FIFA World Cup qualification"/>
    <s v="Brussels"/>
    <s v="Belgium"/>
    <b v="0"/>
    <n v="2013"/>
    <n v="524097026598"/>
    <n v="10817702346"/>
    <x v="0"/>
    <n v="1"/>
    <x v="2"/>
  </r>
  <r>
    <x v="4463"/>
    <x v="1564"/>
    <x v="44"/>
    <s v="Bolivia"/>
    <s v="Argentina"/>
    <n v="1"/>
    <n v="1"/>
    <s v="FIFA World Cup qualification"/>
    <s v="La Paz"/>
    <s v="Bolivia"/>
    <b v="0"/>
    <n v="2013"/>
    <n v="30659338885"/>
    <n v="552025140252"/>
    <x v="0"/>
    <n v="0"/>
    <x v="1"/>
  </r>
  <r>
    <x v="4464"/>
    <x v="1564"/>
    <x v="44"/>
    <s v="Chile"/>
    <s v="Uruguay"/>
    <n v="2"/>
    <n v="0"/>
    <s v="FIFA World Cup qualification"/>
    <s v="Santiago"/>
    <s v="Chile"/>
    <b v="0"/>
    <n v="2013"/>
    <n v="277395018842"/>
    <n v="61337621933"/>
    <x v="0"/>
    <n v="1"/>
    <x v="2"/>
  </r>
  <r>
    <x v="4465"/>
    <x v="1564"/>
    <x v="44"/>
    <s v="Costa Rica"/>
    <s v="Jamaica"/>
    <n v="2"/>
    <n v="0"/>
    <s v="FIFA World Cup qualification"/>
    <s v="San Jos√©"/>
    <s v="Costa Rica"/>
    <b v="0"/>
    <n v="2013"/>
    <n v="50949668841"/>
    <n v="14264205152"/>
    <x v="0"/>
    <n v="1"/>
    <x v="2"/>
  </r>
  <r>
    <x v="4466"/>
    <x v="1564"/>
    <x v="44"/>
    <s v="Denmark"/>
    <s v="Bulgaria"/>
    <n v="1"/>
    <n v="1"/>
    <s v="FIFA World Cup qualification"/>
    <s v="Copenhagen"/>
    <s v="Denmark"/>
    <b v="0"/>
    <n v="2013"/>
    <n v="344631016965"/>
    <n v="55819262374"/>
    <x v="0"/>
    <n v="0"/>
    <x v="1"/>
  </r>
  <r>
    <x v="4467"/>
    <x v="1564"/>
    <x v="44"/>
    <s v="Ecuador"/>
    <s v="Paraguay"/>
    <n v="4"/>
    <n v="1"/>
    <s v="FIFA World Cup qualification"/>
    <s v="Quito"/>
    <s v="Ecuador"/>
    <b v="0"/>
    <n v="2013"/>
    <n v="96570334000"/>
    <n v="38501122141"/>
    <x v="0"/>
    <n v="1"/>
    <x v="2"/>
  </r>
  <r>
    <x v="4468"/>
    <x v="1564"/>
    <x v="44"/>
    <s v="Egypt"/>
    <s v="Zimbabwe"/>
    <n v="2"/>
    <n v="1"/>
    <s v="FIFA World Cup qualification"/>
    <s v="Alexandria"/>
    <s v="Egypt"/>
    <b v="0"/>
    <n v="2013"/>
    <n v="288434108527"/>
    <n v="19100750000"/>
    <x v="0"/>
    <n v="1"/>
    <x v="2"/>
  </r>
  <r>
    <x v="4469"/>
    <x v="1564"/>
    <x v="44"/>
    <s v="Estonia"/>
    <s v="Andorra"/>
    <n v="2"/>
    <n v="0"/>
    <s v="FIFA World Cup qualification"/>
    <s v="Tallinn"/>
    <s v="Estonia"/>
    <b v="0"/>
    <n v="2013"/>
    <n v="25451032780"/>
    <n v="3193513470"/>
    <x v="0"/>
    <n v="1"/>
    <x v="2"/>
  </r>
  <r>
    <x v="4470"/>
    <x v="1564"/>
    <x v="44"/>
    <s v="France"/>
    <s v="Spain"/>
    <n v="0"/>
    <n v="1"/>
    <s v="FIFA World Cup qualification"/>
    <s v="Saint-Denis"/>
    <s v="France"/>
    <b v="0"/>
    <n v="2013"/>
    <n v="2816077607875"/>
    <n v="1362186923157"/>
    <x v="0"/>
    <n v="-1"/>
    <x v="0"/>
  </r>
  <r>
    <x v="4471"/>
    <x v="1564"/>
    <x v="44"/>
    <s v="Germany"/>
    <s v="Kazakhstan"/>
    <n v="4"/>
    <n v="1"/>
    <s v="FIFA World Cup qualification"/>
    <s v="Nuremberg"/>
    <s v="Germany"/>
    <b v="0"/>
    <n v="2013"/>
    <n v="3807023797050"/>
    <n v="236634603409"/>
    <x v="0"/>
    <n v="1"/>
    <x v="2"/>
  </r>
  <r>
    <x v="4472"/>
    <x v="1564"/>
    <x v="44"/>
    <s v="Jordan"/>
    <s v="Japan"/>
    <n v="2"/>
    <n v="1"/>
    <s v="FIFA World Cup qualification"/>
    <s v="Amman"/>
    <s v="Jordan"/>
    <b v="0"/>
    <n v="2013"/>
    <n v="34454440140"/>
    <n v="5212328181166"/>
    <x v="0"/>
    <n v="-1"/>
    <x v="0"/>
  </r>
  <r>
    <x v="4473"/>
    <x v="1564"/>
    <x v="44"/>
    <s v="South Korea"/>
    <s v="Qatar"/>
    <n v="2"/>
    <n v="1"/>
    <s v="FIFA World Cup qualification"/>
    <s v="Seoul"/>
    <s v="South Korea"/>
    <b v="0"/>
    <n v="2013"/>
    <n v="1434669686501"/>
    <n v="198727747252"/>
    <x v="0"/>
    <n v="1"/>
    <x v="2"/>
  </r>
  <r>
    <x v="4474"/>
    <x v="1564"/>
    <x v="44"/>
    <s v="Malta"/>
    <s v="Italy"/>
    <n v="0"/>
    <n v="2"/>
    <s v="FIFA World Cup qualification"/>
    <s v="Attard"/>
    <s v="Malta"/>
    <b v="0"/>
    <n v="2013"/>
    <n v="10796782636"/>
    <n v="2153225581941"/>
    <x v="0"/>
    <n v="1"/>
    <x v="2"/>
  </r>
  <r>
    <x v="4475"/>
    <x v="1564"/>
    <x v="44"/>
    <s v="Mexico"/>
    <s v="United States"/>
    <n v="0"/>
    <n v="0"/>
    <s v="FIFA World Cup qualification"/>
    <s v="Mexico City"/>
    <s v="Mexico"/>
    <b v="0"/>
    <n v="2013"/>
    <n v="1327436290282"/>
    <n v="16843190993000"/>
    <x v="0"/>
    <n v="0"/>
    <x v="1"/>
  </r>
  <r>
    <x v="4476"/>
    <x v="1564"/>
    <x v="44"/>
    <s v="Montenegro"/>
    <s v="England"/>
    <n v="1"/>
    <n v="1"/>
    <s v="FIFA World Cup qualification"/>
    <s v="Podgorica"/>
    <s v="Montenegro"/>
    <b v="0"/>
    <n v="2013"/>
    <n v="4422097762"/>
    <n v="2796908333283"/>
    <x v="0"/>
    <n v="0"/>
    <x v="1"/>
  </r>
  <r>
    <x v="4477"/>
    <x v="1564"/>
    <x v="44"/>
    <s v="Netherlands"/>
    <s v="Romania"/>
    <n v="4"/>
    <n v="0"/>
    <s v="FIFA World Cup qualification"/>
    <s v="Amsterdam"/>
    <s v="Netherlands"/>
    <b v="0"/>
    <n v="2013"/>
    <n v="883951539006"/>
    <n v="189798603751"/>
    <x v="0"/>
    <n v="1"/>
    <x v="2"/>
  </r>
  <r>
    <x v="4478"/>
    <x v="1564"/>
    <x v="44"/>
    <s v="Panama"/>
    <s v="Honduras"/>
    <n v="2"/>
    <n v="0"/>
    <s v="FIFA World Cup qualification"/>
    <s v="Panama City"/>
    <s v="Panama"/>
    <b v="0"/>
    <n v="2013"/>
    <n v="46949496479"/>
    <n v="18499729214"/>
    <x v="0"/>
    <n v="1"/>
    <x v="2"/>
  </r>
  <r>
    <x v="4479"/>
    <x v="1564"/>
    <x v="44"/>
    <s v="Poland"/>
    <s v="San Marino"/>
    <n v="5"/>
    <n v="0"/>
    <s v="FIFA World Cup qualification"/>
    <s v="Warsaw"/>
    <s v="Poland"/>
    <b v="0"/>
    <n v="2013"/>
    <n v="518179836405"/>
    <n v="1678741475"/>
    <x v="0"/>
    <n v="1"/>
    <x v="2"/>
  </r>
  <r>
    <x v="4480"/>
    <x v="1564"/>
    <x v="44"/>
    <s v="Solomon Islands"/>
    <s v="New Zealand"/>
    <n v="0"/>
    <n v="2"/>
    <s v="FIFA World Cup qualification"/>
    <s v="Honiara"/>
    <s v="Solomon Islands"/>
    <b v="0"/>
    <n v="2013"/>
    <n v="1285905957"/>
    <n v="191012364176"/>
    <x v="0"/>
    <n v="1"/>
    <x v="2"/>
  </r>
  <r>
    <x v="4481"/>
    <x v="1564"/>
    <x v="44"/>
    <s v="Ukraine"/>
    <s v="Moldova"/>
    <n v="2"/>
    <n v="1"/>
    <s v="FIFA World Cup qualification"/>
    <s v="Odessa"/>
    <s v="Ukraine"/>
    <b v="0"/>
    <n v="2013"/>
    <n v="190498811460"/>
    <n v="9496717875"/>
    <x v="0"/>
    <n v="1"/>
    <x v="2"/>
  </r>
  <r>
    <x v="4482"/>
    <x v="1564"/>
    <x v="44"/>
    <s v="Uzbekistan"/>
    <s v="Lebanon"/>
    <n v="1"/>
    <n v="0"/>
    <s v="FIFA World Cup qualification"/>
    <s v="Tashkent"/>
    <s v="Uzbekistan"/>
    <b v="0"/>
    <n v="2013"/>
    <n v="73180037914"/>
    <n v="46880103080"/>
    <x v="1"/>
    <n v="1"/>
    <x v="2"/>
  </r>
  <r>
    <x v="4483"/>
    <x v="1564"/>
    <x v="44"/>
    <s v="Venezuela"/>
    <s v="Colombia"/>
    <n v="1"/>
    <n v="0"/>
    <s v="FIFA World Cup qualification"/>
    <s v="Puerto Ordaz"/>
    <s v="Venezuela"/>
    <b v="0"/>
    <n v="2013"/>
    <n v="258930655486"/>
    <n v="382093697077"/>
    <x v="1"/>
    <n v="-1"/>
    <x v="0"/>
  </r>
  <r>
    <x v="4484"/>
    <x v="1565"/>
    <x v="44"/>
    <s v="Jamaica"/>
    <s v="Mexico"/>
    <n v="0"/>
    <n v="1"/>
    <s v="FIFA World Cup qualification"/>
    <s v="Kingston"/>
    <s v="Jamaica"/>
    <b v="0"/>
    <n v="2013"/>
    <n v="14264205152"/>
    <n v="1327436290282"/>
    <x v="0"/>
    <n v="1"/>
    <x v="2"/>
  </r>
  <r>
    <x v="4485"/>
    <x v="1565"/>
    <x v="44"/>
    <s v="Japan"/>
    <s v="Australia"/>
    <n v="1"/>
    <n v="1"/>
    <s v="FIFA World Cup qualification"/>
    <s v="Saitama"/>
    <s v="Japan"/>
    <b v="0"/>
    <n v="2013"/>
    <n v="5212328181166"/>
    <n v="1583737461925"/>
    <x v="0"/>
    <n v="0"/>
    <x v="1"/>
  </r>
  <r>
    <x v="4486"/>
    <x v="1565"/>
    <x v="44"/>
    <s v="Lebanon"/>
    <s v="South Korea"/>
    <n v="1"/>
    <n v="1"/>
    <s v="FIFA World Cup qualification"/>
    <s v="Beirut"/>
    <s v="Lebanon"/>
    <b v="0"/>
    <n v="2013"/>
    <n v="46880103080"/>
    <n v="1434669686501"/>
    <x v="0"/>
    <n v="0"/>
    <x v="1"/>
  </r>
  <r>
    <x v="4487"/>
    <x v="1565"/>
    <x v="44"/>
    <s v="Oman"/>
    <s v="Iraq"/>
    <n v="1"/>
    <n v="0"/>
    <s v="FIFA World Cup qualification"/>
    <s v="Muscat"/>
    <s v="Oman"/>
    <b v="0"/>
    <n v="2013"/>
    <n v="89936020806"/>
    <n v="234637675128"/>
    <x v="0"/>
    <n v="-1"/>
    <x v="0"/>
  </r>
  <r>
    <x v="4488"/>
    <x v="1565"/>
    <x v="44"/>
    <s v="Qatar"/>
    <s v="Iran"/>
    <n v="0"/>
    <n v="1"/>
    <s v="FIFA World Cup qualification"/>
    <s v="Doha"/>
    <s v="Qatar"/>
    <b v="0"/>
    <n v="2013"/>
    <n v="198727747252"/>
    <n v="500399839839"/>
    <x v="0"/>
    <n v="1"/>
    <x v="2"/>
  </r>
  <r>
    <x v="4489"/>
    <x v="1566"/>
    <x v="44"/>
    <s v="Kenya"/>
    <s v="Nigeria"/>
    <n v="0"/>
    <n v="1"/>
    <s v="FIFA World Cup qualification"/>
    <s v="Nairobi"/>
    <s v="Kenya"/>
    <b v="0"/>
    <n v="2013"/>
    <n v="61671440407"/>
    <n v="520117180313"/>
    <x v="0"/>
    <n v="1"/>
    <x v="2"/>
  </r>
  <r>
    <x v="4490"/>
    <x v="1566"/>
    <x v="44"/>
    <s v="Malawi"/>
    <s v="Namibia"/>
    <n v="0"/>
    <n v="0"/>
    <s v="FIFA World Cup qualification"/>
    <s v="Blantyre"/>
    <s v="Malawi"/>
    <b v="0"/>
    <n v="2013"/>
    <n v="8031571927"/>
    <n v="12043307277"/>
    <x v="1"/>
    <n v="0"/>
    <x v="1"/>
  </r>
  <r>
    <x v="4491"/>
    <x v="1567"/>
    <x v="44"/>
    <s v="Albania"/>
    <s v="Norway"/>
    <n v="1"/>
    <n v="1"/>
    <s v="FIFA World Cup qualification"/>
    <s v="Tirana"/>
    <s v="Albania"/>
    <b v="0"/>
    <n v="2013"/>
    <n v="12796985886"/>
    <n v="526014468085"/>
    <x v="0"/>
    <n v="0"/>
    <x v="1"/>
  </r>
  <r>
    <x v="4492"/>
    <x v="1567"/>
    <x v="44"/>
    <s v="Argentina"/>
    <s v="Colombia"/>
    <n v="0"/>
    <n v="0"/>
    <s v="FIFA World Cup qualification"/>
    <s v="Buenos Aires"/>
    <s v="Argentina"/>
    <b v="0"/>
    <n v="2013"/>
    <n v="552025140252"/>
    <n v="382093697077"/>
    <x v="1"/>
    <n v="0"/>
    <x v="1"/>
  </r>
  <r>
    <x v="4493"/>
    <x v="1567"/>
    <x v="44"/>
    <s v="Armenia"/>
    <s v="Malta"/>
    <n v="0"/>
    <n v="1"/>
    <s v="FIFA World Cup qualification"/>
    <s v="Yerevan"/>
    <s v="Armenia"/>
    <b v="0"/>
    <n v="2013"/>
    <n v="11121464437"/>
    <n v="10796782636"/>
    <x v="1"/>
    <n v="-1"/>
    <x v="0"/>
  </r>
  <r>
    <x v="4494"/>
    <x v="1567"/>
    <x v="44"/>
    <s v="Austria"/>
    <s v="Sweden"/>
    <n v="2"/>
    <n v="1"/>
    <s v="FIFA World Cup qualification"/>
    <s v="Vienna"/>
    <s v="Austria"/>
    <b v="0"/>
    <n v="2013"/>
    <n v="426580502769"/>
    <n v="584125353119"/>
    <x v="1"/>
    <n v="-1"/>
    <x v="0"/>
  </r>
  <r>
    <x v="4495"/>
    <x v="1567"/>
    <x v="44"/>
    <s v="Azerbaijan"/>
    <s v="Luxembourg"/>
    <n v="1"/>
    <n v="1"/>
    <s v="FIFA World Cup qualification"/>
    <s v="Baku"/>
    <s v="Azerbaijan"/>
    <b v="0"/>
    <n v="2013"/>
    <n v="74160560123"/>
    <n v="65203276466"/>
    <x v="1"/>
    <n v="0"/>
    <x v="1"/>
  </r>
  <r>
    <x v="4496"/>
    <x v="1567"/>
    <x v="44"/>
    <s v="Belgium"/>
    <s v="Serbia"/>
    <n v="2"/>
    <n v="1"/>
    <s v="FIFA World Cup qualification"/>
    <s v="Brussels"/>
    <s v="Belgium"/>
    <b v="0"/>
    <n v="2013"/>
    <n v="524097026598"/>
    <n v="50455529604"/>
    <x v="0"/>
    <n v="1"/>
    <x v="2"/>
  </r>
  <r>
    <x v="4497"/>
    <x v="1567"/>
    <x v="44"/>
    <s v="Bolivia"/>
    <s v="Venezuela"/>
    <n v="1"/>
    <n v="1"/>
    <s v="FIFA World Cup qualification"/>
    <s v="La Paz"/>
    <s v="Bolivia"/>
    <b v="0"/>
    <n v="2013"/>
    <n v="30659338885"/>
    <n v="258930655486"/>
    <x v="0"/>
    <n v="0"/>
    <x v="1"/>
  </r>
  <r>
    <x v="4498"/>
    <x v="1567"/>
    <x v="44"/>
    <s v="Costa Rica"/>
    <s v="Honduras"/>
    <n v="1"/>
    <n v="0"/>
    <s v="FIFA World Cup qualification"/>
    <s v="San Jos√©"/>
    <s v="Costa Rica"/>
    <b v="0"/>
    <n v="2013"/>
    <n v="50949668841"/>
    <n v="18499729214"/>
    <x v="0"/>
    <n v="1"/>
    <x v="2"/>
  </r>
  <r>
    <x v="4499"/>
    <x v="1567"/>
    <x v="44"/>
    <s v="Finland"/>
    <s v="Belarus"/>
    <n v="1"/>
    <n v="0"/>
    <s v="FIFA World Cup qualification"/>
    <s v="Helsinki"/>
    <s v="Finland"/>
    <b v="0"/>
    <n v="2013"/>
    <n v="270268036626"/>
    <n v="75527558966"/>
    <x v="0"/>
    <n v="1"/>
    <x v="2"/>
  </r>
  <r>
    <x v="4500"/>
    <x v="1567"/>
    <x v="44"/>
    <s v="Iceland"/>
    <s v="Slovenia"/>
    <n v="2"/>
    <n v="4"/>
    <s v="FIFA World Cup qualification"/>
    <s v="Reykjav√≠k"/>
    <s v="Iceland"/>
    <b v="0"/>
    <n v="2013"/>
    <n v="16244319958"/>
    <n v="47867056858"/>
    <x v="0"/>
    <n v="1"/>
    <x v="2"/>
  </r>
  <r>
    <x v="4501"/>
    <x v="1567"/>
    <x v="44"/>
    <s v="Jamaica"/>
    <s v="United States"/>
    <n v="1"/>
    <n v="2"/>
    <s v="FIFA World Cup qualification"/>
    <s v="Kingston"/>
    <s v="Jamaica"/>
    <b v="0"/>
    <n v="2013"/>
    <n v="14264205152"/>
    <n v="16843190993000"/>
    <x v="0"/>
    <n v="1"/>
    <x v="2"/>
  </r>
  <r>
    <x v="4502"/>
    <x v="1567"/>
    <x v="44"/>
    <s v="Latvia"/>
    <s v="Bosnia and Herzegovina"/>
    <n v="0"/>
    <n v="5"/>
    <s v="FIFA World Cup qualification"/>
    <s v="Riga"/>
    <s v="Latvia"/>
    <b v="0"/>
    <n v="2013"/>
    <n v="29152128167"/>
    <n v="18179109209"/>
    <x v="1"/>
    <n v="-1"/>
    <x v="0"/>
  </r>
  <r>
    <x v="4503"/>
    <x v="1567"/>
    <x v="44"/>
    <s v="Lithuania"/>
    <s v="Greece"/>
    <n v="0"/>
    <n v="1"/>
    <s v="FIFA World Cup qualification"/>
    <s v="Vilnius"/>
    <s v="Lithuania"/>
    <b v="0"/>
    <n v="2013"/>
    <n v="46303660422"/>
    <n v="236556279640"/>
    <x v="0"/>
    <n v="1"/>
    <x v="2"/>
  </r>
  <r>
    <x v="4504"/>
    <x v="1567"/>
    <x v="44"/>
    <s v="Moldova"/>
    <s v="Poland"/>
    <n v="1"/>
    <n v="1"/>
    <s v="FIFA World Cup qualification"/>
    <s v="Chi»ôinƒÉu"/>
    <s v="Moldova"/>
    <b v="0"/>
    <n v="2013"/>
    <n v="9496717875"/>
    <n v="518179836405"/>
    <x v="0"/>
    <n v="0"/>
    <x v="1"/>
  </r>
  <r>
    <x v="4505"/>
    <x v="1567"/>
    <x v="44"/>
    <s v="Montenegro"/>
    <s v="Ukraine"/>
    <n v="0"/>
    <n v="4"/>
    <s v="FIFA World Cup qualification"/>
    <s v="Podgorica"/>
    <s v="Montenegro"/>
    <b v="0"/>
    <n v="2013"/>
    <n v="4422097762"/>
    <n v="190498811460"/>
    <x v="0"/>
    <n v="1"/>
    <x v="2"/>
  </r>
  <r>
    <x v="4506"/>
    <x v="1567"/>
    <x v="44"/>
    <s v="Panama"/>
    <s v="Mexico"/>
    <n v="0"/>
    <n v="0"/>
    <s v="FIFA World Cup qualification"/>
    <s v="Panama City"/>
    <s v="Panama"/>
    <b v="0"/>
    <n v="2013"/>
    <n v="46949496479"/>
    <n v="1327436290282"/>
    <x v="0"/>
    <n v="0"/>
    <x v="1"/>
  </r>
  <r>
    <x v="4507"/>
    <x v="1567"/>
    <x v="44"/>
    <s v="Paraguay"/>
    <s v="Chile"/>
    <n v="1"/>
    <n v="2"/>
    <s v="FIFA World Cup qualification"/>
    <s v="Asunci√≥n"/>
    <s v="Paraguay"/>
    <b v="0"/>
    <n v="2013"/>
    <n v="38501122141"/>
    <n v="277395018842"/>
    <x v="0"/>
    <n v="1"/>
    <x v="2"/>
  </r>
  <r>
    <x v="4508"/>
    <x v="1567"/>
    <x v="44"/>
    <s v="Peru"/>
    <s v="Ecuador"/>
    <n v="1"/>
    <n v="0"/>
    <s v="FIFA World Cup qualification"/>
    <s v="Lima"/>
    <s v="Peru"/>
    <b v="0"/>
    <n v="2013"/>
    <n v="201175543571"/>
    <n v="96570334000"/>
    <x v="0"/>
    <n v="1"/>
    <x v="2"/>
  </r>
  <r>
    <x v="4509"/>
    <x v="1567"/>
    <x v="44"/>
    <s v="Portugal"/>
    <s v="Russia"/>
    <n v="1"/>
    <n v="0"/>
    <s v="FIFA World Cup qualification"/>
    <s v="Lisbon"/>
    <s v="Portugal"/>
    <b v="0"/>
    <n v="2013"/>
    <n v="226677408291"/>
    <n v="2292470078346"/>
    <x v="0"/>
    <n v="-1"/>
    <x v="0"/>
  </r>
  <r>
    <x v="4510"/>
    <x v="1567"/>
    <x v="44"/>
    <s v="Sudan"/>
    <s v="Ghana"/>
    <n v="1"/>
    <n v="3"/>
    <s v="FIFA World Cup qualification"/>
    <s v="Omdurman"/>
    <s v="Sudan"/>
    <b v="0"/>
    <n v="2013"/>
    <n v="43024018082"/>
    <n v="62845721959"/>
    <x v="1"/>
    <n v="1"/>
    <x v="2"/>
  </r>
  <r>
    <x v="4511"/>
    <x v="1568"/>
    <x v="44"/>
    <s v="Angola"/>
    <s v="Senegal"/>
    <n v="1"/>
    <n v="1"/>
    <s v="FIFA World Cup qualification"/>
    <s v="Luanda"/>
    <s v="Angola"/>
    <b v="0"/>
    <n v="2013"/>
    <n v="148845200696"/>
    <n v="18918667724"/>
    <x v="0"/>
    <n v="0"/>
    <x v="1"/>
  </r>
  <r>
    <x v="4512"/>
    <x v="1568"/>
    <x v="44"/>
    <s v="Botswana"/>
    <s v="Ethiopia"/>
    <n v="3"/>
    <n v="0"/>
    <s v="FIFA World Cup qualification"/>
    <s v="Lobatse"/>
    <s v="Botswana"/>
    <b v="0"/>
    <n v="2013"/>
    <n v="14271738933"/>
    <n v="47648276605"/>
    <x v="0"/>
    <n v="-1"/>
    <x v="0"/>
  </r>
  <r>
    <x v="4513"/>
    <x v="1568"/>
    <x v="44"/>
    <s v="Central African Republic"/>
    <s v="South Africa"/>
    <n v="0"/>
    <n v="3"/>
    <s v="FIFA World Cup qualification"/>
    <s v="Yaound√©"/>
    <s v="Cameroon"/>
    <b v="1"/>
    <n v="2013"/>
    <n v="1691544110"/>
    <n v="400886013595"/>
    <x v="0"/>
    <n v="1"/>
    <x v="2"/>
  </r>
  <r>
    <x v="4514"/>
    <x v="1568"/>
    <x v="44"/>
    <s v="Morocco"/>
    <s v="Tanzania"/>
    <n v="2"/>
    <n v="1"/>
    <s v="FIFA World Cup qualification"/>
    <s v="Marrakech"/>
    <s v="Morocco"/>
    <b v="0"/>
    <n v="2013"/>
    <n v="115739287305"/>
    <n v="45648857242"/>
    <x v="0"/>
    <n v="1"/>
    <x v="2"/>
  </r>
  <r>
    <x v="4515"/>
    <x v="1568"/>
    <x v="44"/>
    <s v="Sierra Leone"/>
    <s v="Tunisia"/>
    <n v="2"/>
    <n v="2"/>
    <s v="FIFA World Cup qualification"/>
    <s v="Freetown"/>
    <s v="Sierra Leone"/>
    <b v="0"/>
    <n v="2013"/>
    <n v="7502762862"/>
    <n v="48685446413"/>
    <x v="0"/>
    <n v="0"/>
    <x v="1"/>
  </r>
  <r>
    <x v="4516"/>
    <x v="1568"/>
    <x v="44"/>
    <s v="Switzerland"/>
    <s v="Cyprus"/>
    <n v="1"/>
    <n v="0"/>
    <s v="FIFA World Cup qualification"/>
    <s v="Geneva"/>
    <s v="Switzerland"/>
    <b v="0"/>
    <n v="2013"/>
    <n v="706234937370"/>
    <n v="23959712860"/>
    <x v="0"/>
    <n v="1"/>
    <x v="2"/>
  </r>
  <r>
    <x v="4517"/>
    <x v="1568"/>
    <x v="44"/>
    <s v="Uganda"/>
    <s v="Liberia"/>
    <n v="1"/>
    <n v="0"/>
    <s v="FIFA World Cup qualification"/>
    <s v="Kampala"/>
    <s v="Uganda"/>
    <b v="0"/>
    <n v="2013"/>
    <n v="28915786516"/>
    <n v="3177198100"/>
    <x v="0"/>
    <n v="1"/>
    <x v="2"/>
  </r>
  <r>
    <x v="4518"/>
    <x v="1568"/>
    <x v="44"/>
    <s v="Zambia"/>
    <s v="Lesotho"/>
    <n v="4"/>
    <n v="0"/>
    <s v="FIFA World Cup qualification"/>
    <s v="Ndola"/>
    <s v="Zambia"/>
    <b v="0"/>
    <n v="2013"/>
    <n v="28037239462"/>
    <n v="2367112931"/>
    <x v="0"/>
    <n v="1"/>
    <x v="2"/>
  </r>
  <r>
    <x v="4519"/>
    <x v="1569"/>
    <x v="44"/>
    <s v="Benin"/>
    <s v="Algeria"/>
    <n v="1"/>
    <n v="3"/>
    <s v="FIFA World Cup qualification"/>
    <s v="Porto-Novo"/>
    <s v="Benin"/>
    <b v="0"/>
    <n v="2013"/>
    <n v="12517845123"/>
    <n v="229701430292"/>
    <x v="0"/>
    <n v="1"/>
    <x v="2"/>
  </r>
  <r>
    <x v="4520"/>
    <x v="1569"/>
    <x v="44"/>
    <s v="Guinea"/>
    <s v="Mozambique"/>
    <n v="6"/>
    <n v="1"/>
    <s v="FIFA World Cup qualification"/>
    <s v="Conakry"/>
    <s v="Guinea"/>
    <b v="0"/>
    <n v="2013"/>
    <n v="8376613539"/>
    <n v="17198073057"/>
    <x v="0"/>
    <n v="-1"/>
    <x v="0"/>
  </r>
  <r>
    <x v="4521"/>
    <x v="1569"/>
    <x v="44"/>
    <s v="Mali"/>
    <s v="Rwanda"/>
    <n v="1"/>
    <n v="1"/>
    <s v="FIFA World Cup qualification"/>
    <s v="Bamako"/>
    <s v="Mali"/>
    <b v="0"/>
    <n v="2013"/>
    <n v="15747192680"/>
    <n v="7819964030"/>
    <x v="0"/>
    <n v="0"/>
    <x v="1"/>
  </r>
  <r>
    <x v="4522"/>
    <x v="1569"/>
    <x v="44"/>
    <s v="Niger"/>
    <s v="Burkina Faso"/>
    <n v="0"/>
    <n v="1"/>
    <s v="FIFA World Cup qualification"/>
    <s v="Niamey"/>
    <s v="Niger"/>
    <b v="0"/>
    <n v="2013"/>
    <n v="10224897437"/>
    <n v="13444300485"/>
    <x v="1"/>
    <n v="1"/>
    <x v="2"/>
  </r>
  <r>
    <x v="4523"/>
    <x v="1569"/>
    <x v="44"/>
    <s v="Togo"/>
    <s v="Cameroon"/>
    <n v="0"/>
    <n v="3"/>
    <s v="FIFA World Cup qualification"/>
    <s v="Lom√©"/>
    <s v="Togo"/>
    <b v="0"/>
    <n v="2013"/>
    <n v="6021729629"/>
    <n v="33728621180"/>
    <x v="0"/>
    <n v="1"/>
    <x v="2"/>
  </r>
  <r>
    <x v="4524"/>
    <x v="1569"/>
    <x v="44"/>
    <s v="Zimbabwe"/>
    <s v="Egypt"/>
    <n v="2"/>
    <n v="4"/>
    <s v="FIFA World Cup qualification"/>
    <s v="Harare"/>
    <s v="Zimbabwe"/>
    <b v="0"/>
    <n v="2013"/>
    <n v="19100750000"/>
    <n v="288434108527"/>
    <x v="0"/>
    <n v="1"/>
    <x v="2"/>
  </r>
  <r>
    <x v="4525"/>
    <x v="1570"/>
    <x v="44"/>
    <s v="Australia"/>
    <s v="Jordan"/>
    <n v="4"/>
    <n v="0"/>
    <s v="FIFA World Cup qualification"/>
    <s v="Melbourne"/>
    <s v="Australia"/>
    <b v="0"/>
    <n v="2013"/>
    <n v="1583737461925"/>
    <n v="34454440140"/>
    <x v="0"/>
    <n v="1"/>
    <x v="2"/>
  </r>
  <r>
    <x v="4526"/>
    <x v="1570"/>
    <x v="44"/>
    <s v="Belarus"/>
    <s v="Finland"/>
    <n v="1"/>
    <n v="1"/>
    <s v="FIFA World Cup qualification"/>
    <s v="Homel"/>
    <s v="Belarus"/>
    <b v="0"/>
    <n v="2013"/>
    <n v="75527558966"/>
    <n v="270268036626"/>
    <x v="0"/>
    <n v="0"/>
    <x v="1"/>
  </r>
  <r>
    <x v="4527"/>
    <x v="1570"/>
    <x v="44"/>
    <s v="Chile"/>
    <s v="Bolivia"/>
    <n v="3"/>
    <n v="1"/>
    <s v="FIFA World Cup qualification"/>
    <s v="Santiago"/>
    <s v="Chile"/>
    <b v="0"/>
    <n v="2013"/>
    <n v="277395018842"/>
    <n v="30659338885"/>
    <x v="0"/>
    <n v="1"/>
    <x v="2"/>
  </r>
  <r>
    <x v="4528"/>
    <x v="1570"/>
    <x v="44"/>
    <s v="Colombia"/>
    <s v="Peru"/>
    <n v="2"/>
    <n v="0"/>
    <s v="FIFA World Cup qualification"/>
    <s v="Barranquilla"/>
    <s v="Colombia"/>
    <b v="0"/>
    <n v="2013"/>
    <n v="382093697077"/>
    <n v="201175543571"/>
    <x v="1"/>
    <n v="1"/>
    <x v="2"/>
  </r>
  <r>
    <x v="4529"/>
    <x v="1570"/>
    <x v="44"/>
    <s v="Denmark"/>
    <s v="Armenia"/>
    <n v="0"/>
    <n v="4"/>
    <s v="FIFA World Cup qualification"/>
    <s v="Copenhagen"/>
    <s v="Denmark"/>
    <b v="0"/>
    <n v="2013"/>
    <n v="344631016965"/>
    <n v="11121464437"/>
    <x v="0"/>
    <n v="-1"/>
    <x v="0"/>
  </r>
  <r>
    <x v="4530"/>
    <x v="1570"/>
    <x v="44"/>
    <s v="Ecuador"/>
    <s v="Argentina"/>
    <n v="1"/>
    <n v="1"/>
    <s v="FIFA World Cup qualification"/>
    <s v="Quito"/>
    <s v="Ecuador"/>
    <b v="0"/>
    <n v="2013"/>
    <n v="96570334000"/>
    <n v="552025140252"/>
    <x v="0"/>
    <n v="0"/>
    <x v="1"/>
  </r>
  <r>
    <x v="4531"/>
    <x v="1570"/>
    <x v="44"/>
    <s v="Honduras"/>
    <s v="Jamaica"/>
    <n v="2"/>
    <n v="0"/>
    <s v="FIFA World Cup qualification"/>
    <s v="Tegucigalpa"/>
    <s v="Honduras"/>
    <b v="0"/>
    <n v="2013"/>
    <n v="18499729214"/>
    <n v="14264205152"/>
    <x v="1"/>
    <n v="1"/>
    <x v="2"/>
  </r>
  <r>
    <x v="4532"/>
    <x v="1570"/>
    <x v="44"/>
    <s v="Iran"/>
    <s v="Lebanon"/>
    <n v="4"/>
    <n v="0"/>
    <s v="FIFA World Cup qualification"/>
    <s v="Tehran"/>
    <s v="Iran"/>
    <b v="0"/>
    <n v="2013"/>
    <n v="500399839839"/>
    <n v="46880103080"/>
    <x v="0"/>
    <n v="1"/>
    <x v="2"/>
  </r>
  <r>
    <x v="4533"/>
    <x v="1570"/>
    <x v="44"/>
    <s v="Iraq"/>
    <s v="Japan"/>
    <n v="0"/>
    <n v="1"/>
    <s v="FIFA World Cup qualification"/>
    <s v="Doha"/>
    <s v="Qatar"/>
    <b v="1"/>
    <n v="2013"/>
    <n v="234637675128"/>
    <n v="5212328181166"/>
    <x v="0"/>
    <n v="1"/>
    <x v="2"/>
  </r>
  <r>
    <x v="4534"/>
    <x v="1570"/>
    <x v="44"/>
    <s v="South Korea"/>
    <s v="Uzbekistan"/>
    <n v="1"/>
    <n v="0"/>
    <s v="FIFA World Cup qualification"/>
    <s v="Seoul"/>
    <s v="South Korea"/>
    <b v="0"/>
    <n v="2013"/>
    <n v="1434669686501"/>
    <n v="73180037914"/>
    <x v="0"/>
    <n v="1"/>
    <x v="2"/>
  </r>
  <r>
    <x v="4535"/>
    <x v="1570"/>
    <x v="44"/>
    <s v="Mexico"/>
    <s v="Costa Rica"/>
    <n v="0"/>
    <n v="0"/>
    <s v="FIFA World Cup qualification"/>
    <s v="Mexico City"/>
    <s v="Mexico"/>
    <b v="0"/>
    <n v="2013"/>
    <n v="1327436290282"/>
    <n v="50949668841"/>
    <x v="0"/>
    <n v="0"/>
    <x v="1"/>
  </r>
  <r>
    <x v="4536"/>
    <x v="1570"/>
    <x v="44"/>
    <s v="Sweden"/>
    <s v="Faroe Islands"/>
    <n v="2"/>
    <n v="0"/>
    <s v="FIFA World Cup qualification"/>
    <s v="Solna"/>
    <s v="Sweden"/>
    <b v="0"/>
    <n v="2013"/>
    <n v="584125353119"/>
    <n v="2690110520"/>
    <x v="0"/>
    <n v="1"/>
    <x v="2"/>
  </r>
  <r>
    <x v="4537"/>
    <x v="1570"/>
    <x v="44"/>
    <s v="United States"/>
    <s v="Panama"/>
    <n v="2"/>
    <n v="0"/>
    <s v="FIFA World Cup qualification"/>
    <s v="Seattle"/>
    <s v="United States"/>
    <b v="0"/>
    <n v="2013"/>
    <n v="16843190993000"/>
    <n v="46949496479"/>
    <x v="0"/>
    <n v="1"/>
    <x v="2"/>
  </r>
  <r>
    <x v="4538"/>
    <x v="1570"/>
    <x v="44"/>
    <s v="Venezuela"/>
    <s v="Uruguay"/>
    <n v="0"/>
    <n v="1"/>
    <s v="FIFA World Cup qualification"/>
    <s v="Puerto Ordaz"/>
    <s v="Venezuela"/>
    <b v="0"/>
    <n v="2013"/>
    <n v="258930655486"/>
    <n v="61337621933"/>
    <x v="0"/>
    <n v="-1"/>
    <x v="0"/>
  </r>
  <r>
    <x v="4539"/>
    <x v="1571"/>
    <x v="44"/>
    <s v="Malawi"/>
    <s v="Kenya"/>
    <n v="2"/>
    <n v="2"/>
    <s v="FIFA World Cup qualification"/>
    <s v="Blantyre"/>
    <s v="Malawi"/>
    <b v="0"/>
    <n v="2013"/>
    <n v="8031571927"/>
    <n v="61671440407"/>
    <x v="0"/>
    <n v="0"/>
    <x v="1"/>
  </r>
  <r>
    <x v="4540"/>
    <x v="1571"/>
    <x v="44"/>
    <s v="Namibia"/>
    <s v="Nigeria"/>
    <n v="1"/>
    <n v="1"/>
    <s v="FIFA World Cup qualification"/>
    <s v="Windhoek"/>
    <s v="Namibia"/>
    <b v="0"/>
    <n v="2013"/>
    <n v="12043307277"/>
    <n v="520117180313"/>
    <x v="0"/>
    <n v="0"/>
    <x v="1"/>
  </r>
  <r>
    <x v="4541"/>
    <x v="1572"/>
    <x v="44"/>
    <s v="Libya"/>
    <s v="Togo"/>
    <n v="2"/>
    <n v="0"/>
    <s v="FIFA World Cup qualification"/>
    <s v="Tripoli"/>
    <s v="Libya"/>
    <b v="0"/>
    <n v="2013"/>
    <n v="75351107029"/>
    <n v="6021729629"/>
    <x v="0"/>
    <n v="1"/>
    <x v="2"/>
  </r>
  <r>
    <x v="4542"/>
    <x v="1573"/>
    <x v="44"/>
    <s v="Botswana"/>
    <s v="Central African Republic"/>
    <n v="3"/>
    <n v="2"/>
    <s v="FIFA World Cup qualification"/>
    <s v="Lobatse"/>
    <s v="Botswana"/>
    <b v="0"/>
    <n v="2013"/>
    <n v="14271738933"/>
    <n v="1691544110"/>
    <x v="0"/>
    <n v="1"/>
    <x v="2"/>
  </r>
  <r>
    <x v="4543"/>
    <x v="1573"/>
    <x v="44"/>
    <s v="Gabon"/>
    <s v="Niger"/>
    <n v="4"/>
    <n v="1"/>
    <s v="FIFA World Cup qualification"/>
    <s v="Franceville"/>
    <s v="Gabon"/>
    <b v="0"/>
    <n v="2013"/>
    <n v="17595744798"/>
    <n v="10224897437"/>
    <x v="1"/>
    <n v="1"/>
    <x v="2"/>
  </r>
  <r>
    <x v="4544"/>
    <x v="1573"/>
    <x v="44"/>
    <s v="Uganda"/>
    <s v="Angola"/>
    <n v="2"/>
    <n v="1"/>
    <s v="FIFA World Cup qualification"/>
    <s v="Kampala"/>
    <s v="Uganda"/>
    <b v="0"/>
    <n v="2013"/>
    <n v="28915786516"/>
    <n v="148845200696"/>
    <x v="0"/>
    <n v="-1"/>
    <x v="0"/>
  </r>
  <r>
    <x v="4545"/>
    <x v="1573"/>
    <x v="44"/>
    <s v="Zambia"/>
    <s v="Sudan"/>
    <n v="1"/>
    <n v="1"/>
    <s v="FIFA World Cup qualification"/>
    <s v="Ndola"/>
    <s v="Zambia"/>
    <b v="0"/>
    <n v="2013"/>
    <n v="28037239462"/>
    <n v="43024018082"/>
    <x v="1"/>
    <n v="0"/>
    <x v="1"/>
  </r>
  <r>
    <x v="4546"/>
    <x v="1574"/>
    <x v="44"/>
    <s v="Equatorial Guinea"/>
    <s v="Tunisia"/>
    <n v="1"/>
    <n v="1"/>
    <s v="FIFA World Cup qualification"/>
    <s v="Malabo"/>
    <s v="Equatorial Guinea"/>
    <b v="0"/>
    <n v="2013"/>
    <n v="21948834283"/>
    <n v="48685446413"/>
    <x v="0"/>
    <n v="0"/>
    <x v="1"/>
  </r>
  <r>
    <x v="4547"/>
    <x v="1574"/>
    <x v="44"/>
    <s v="Ethiopia"/>
    <s v="South Africa"/>
    <n v="2"/>
    <n v="1"/>
    <s v="FIFA World Cup qualification"/>
    <s v="Addis Ababa"/>
    <s v="Ethiopia"/>
    <b v="0"/>
    <n v="2013"/>
    <n v="47648276605"/>
    <n v="400886013595"/>
    <x v="0"/>
    <n v="-1"/>
    <x v="0"/>
  </r>
  <r>
    <x v="4548"/>
    <x v="1574"/>
    <x v="44"/>
    <s v="Guinea"/>
    <s v="Zimbabwe"/>
    <n v="1"/>
    <n v="0"/>
    <s v="FIFA World Cup qualification"/>
    <s v="Conakry"/>
    <s v="Guinea"/>
    <b v="0"/>
    <n v="2013"/>
    <n v="8376613539"/>
    <n v="19100750000"/>
    <x v="0"/>
    <n v="-1"/>
    <x v="0"/>
  </r>
  <r>
    <x v="4549"/>
    <x v="1574"/>
    <x v="44"/>
    <s v="Lesotho"/>
    <s v="Ghana"/>
    <n v="0"/>
    <n v="2"/>
    <s v="FIFA World Cup qualification"/>
    <s v="Maseru"/>
    <s v="Lesotho"/>
    <b v="0"/>
    <n v="2013"/>
    <n v="2367112931"/>
    <n v="62845721959"/>
    <x v="0"/>
    <n v="1"/>
    <x v="2"/>
  </r>
  <r>
    <x v="4550"/>
    <x v="1574"/>
    <x v="44"/>
    <s v="Liberia"/>
    <s v="Senegal"/>
    <n v="0"/>
    <n v="2"/>
    <s v="FIFA World Cup qualification"/>
    <s v="Paynesville"/>
    <s v="Liberia"/>
    <b v="0"/>
    <n v="2013"/>
    <n v="3177198100"/>
    <n v="18918667724"/>
    <x v="0"/>
    <n v="1"/>
    <x v="2"/>
  </r>
  <r>
    <x v="4551"/>
    <x v="1574"/>
    <x v="44"/>
    <s v="Mali"/>
    <s v="Benin"/>
    <n v="2"/>
    <n v="2"/>
    <s v="FIFA World Cup qualification"/>
    <s v="Bamako"/>
    <s v="Mali"/>
    <b v="0"/>
    <n v="2013"/>
    <n v="15747192680"/>
    <n v="12517845123"/>
    <x v="1"/>
    <n v="0"/>
    <x v="1"/>
  </r>
  <r>
    <x v="4552"/>
    <x v="1574"/>
    <x v="44"/>
    <s v="Mozambique"/>
    <s v="Egypt"/>
    <n v="0"/>
    <n v="1"/>
    <s v="FIFA World Cup qualification"/>
    <s v="Maputo"/>
    <s v="Mozambique"/>
    <b v="0"/>
    <n v="2013"/>
    <n v="17198073057"/>
    <n v="288434108527"/>
    <x v="0"/>
    <n v="1"/>
    <x v="2"/>
  </r>
  <r>
    <x v="4553"/>
    <x v="1574"/>
    <x v="44"/>
    <s v="Rwanda"/>
    <s v="Algeria"/>
    <n v="0"/>
    <n v="1"/>
    <s v="FIFA World Cup qualification"/>
    <s v="Kigali"/>
    <s v="Rwanda"/>
    <b v="0"/>
    <n v="2013"/>
    <n v="7819964030"/>
    <n v="229701430292"/>
    <x v="0"/>
    <n v="1"/>
    <x v="2"/>
  </r>
  <r>
    <x v="4554"/>
    <x v="1575"/>
    <x v="44"/>
    <s v="Australia"/>
    <s v="Iraq"/>
    <n v="1"/>
    <n v="0"/>
    <s v="FIFA World Cup qualification"/>
    <s v="Sydney"/>
    <s v="Australia"/>
    <b v="0"/>
    <n v="2013"/>
    <n v="1583737461925"/>
    <n v="234637675128"/>
    <x v="0"/>
    <n v="1"/>
    <x v="2"/>
  </r>
  <r>
    <x v="4555"/>
    <x v="1575"/>
    <x v="44"/>
    <s v="Costa Rica"/>
    <s v="Panama"/>
    <n v="2"/>
    <n v="0"/>
    <s v="FIFA World Cup qualification"/>
    <s v="San Jos√©"/>
    <s v="Costa Rica"/>
    <b v="0"/>
    <n v="2013"/>
    <n v="50949668841"/>
    <n v="46949496479"/>
    <x v="1"/>
    <n v="1"/>
    <x v="2"/>
  </r>
  <r>
    <x v="4556"/>
    <x v="1575"/>
    <x v="44"/>
    <s v="Jordan"/>
    <s v="Oman"/>
    <n v="1"/>
    <n v="0"/>
    <s v="FIFA World Cup qualification"/>
    <s v="Amman"/>
    <s v="Jordan"/>
    <b v="0"/>
    <n v="2013"/>
    <n v="34454440140"/>
    <n v="89936020806"/>
    <x v="0"/>
    <n v="-1"/>
    <x v="0"/>
  </r>
  <r>
    <x v="4557"/>
    <x v="1575"/>
    <x v="44"/>
    <s v="South Korea"/>
    <s v="Iran"/>
    <n v="0"/>
    <n v="1"/>
    <s v="FIFA World Cup qualification"/>
    <s v="Ulsan"/>
    <s v="South Korea"/>
    <b v="0"/>
    <n v="2013"/>
    <n v="1434669686501"/>
    <n v="500399839839"/>
    <x v="0"/>
    <n v="-1"/>
    <x v="0"/>
  </r>
  <r>
    <x v="4558"/>
    <x v="1575"/>
    <x v="44"/>
    <s v="United States"/>
    <s v="Honduras"/>
    <n v="1"/>
    <n v="0"/>
    <s v="FIFA World Cup qualification"/>
    <s v="Sandy"/>
    <s v="United States"/>
    <b v="0"/>
    <n v="2013"/>
    <n v="16843190993000"/>
    <n v="18499729214"/>
    <x v="0"/>
    <n v="1"/>
    <x v="2"/>
  </r>
  <r>
    <x v="4559"/>
    <x v="1575"/>
    <x v="44"/>
    <s v="Uzbekistan"/>
    <s v="Qatar"/>
    <n v="5"/>
    <n v="1"/>
    <s v="FIFA World Cup qualification"/>
    <s v="Tashkent"/>
    <s v="Uzbekistan"/>
    <b v="0"/>
    <n v="2013"/>
    <n v="73180037914"/>
    <n v="198727747252"/>
    <x v="0"/>
    <n v="-1"/>
    <x v="0"/>
  </r>
  <r>
    <x v="4560"/>
    <x v="1576"/>
    <x v="44"/>
    <s v="Chile"/>
    <s v="Venezuela"/>
    <n v="3"/>
    <n v="0"/>
    <s v="FIFA World Cup qualification"/>
    <s v="Santiago"/>
    <s v="Chile"/>
    <b v="0"/>
    <n v="2013"/>
    <n v="277395018842"/>
    <n v="258930655486"/>
    <x v="1"/>
    <n v="1"/>
    <x v="2"/>
  </r>
  <r>
    <x v="4561"/>
    <x v="1576"/>
    <x v="44"/>
    <s v="Colombia"/>
    <s v="Ecuador"/>
    <n v="1"/>
    <n v="0"/>
    <s v="FIFA World Cup qualification"/>
    <s v="Barranquilla"/>
    <s v="Colombia"/>
    <b v="0"/>
    <n v="2013"/>
    <n v="382093697077"/>
    <n v="96570334000"/>
    <x v="0"/>
    <n v="1"/>
    <x v="2"/>
  </r>
  <r>
    <x v="4562"/>
    <x v="1576"/>
    <x v="44"/>
    <s v="Costa Rica"/>
    <s v="United States"/>
    <n v="3"/>
    <n v="1"/>
    <s v="FIFA World Cup qualification"/>
    <s v="San Jos√©"/>
    <s v="Costa Rica"/>
    <b v="0"/>
    <n v="2013"/>
    <n v="50949668841"/>
    <n v="16843190993000"/>
    <x v="0"/>
    <n v="-1"/>
    <x v="0"/>
  </r>
  <r>
    <x v="4563"/>
    <x v="1576"/>
    <x v="44"/>
    <s v="England"/>
    <s v="Moldova"/>
    <n v="4"/>
    <n v="0"/>
    <s v="FIFA World Cup qualification"/>
    <s v="London"/>
    <s v="England"/>
    <b v="0"/>
    <n v="2013"/>
    <n v="2796908333283"/>
    <n v="9496717875"/>
    <x v="0"/>
    <n v="1"/>
    <x v="2"/>
  </r>
  <r>
    <x v="4564"/>
    <x v="1576"/>
    <x v="44"/>
    <s v="Estonia"/>
    <s v="Netherlands"/>
    <n v="2"/>
    <n v="2"/>
    <s v="FIFA World Cup qualification"/>
    <s v="Tallinn"/>
    <s v="Estonia"/>
    <b v="0"/>
    <n v="2013"/>
    <n v="25451032780"/>
    <n v="883951539006"/>
    <x v="0"/>
    <n v="0"/>
    <x v="1"/>
  </r>
  <r>
    <x v="4565"/>
    <x v="1576"/>
    <x v="44"/>
    <s v="Finland"/>
    <s v="Spain"/>
    <n v="0"/>
    <n v="2"/>
    <s v="FIFA World Cup qualification"/>
    <s v="Helsinki"/>
    <s v="Finland"/>
    <b v="0"/>
    <n v="2013"/>
    <n v="270268036626"/>
    <n v="1362186923157"/>
    <x v="0"/>
    <n v="1"/>
    <x v="2"/>
  </r>
  <r>
    <x v="4566"/>
    <x v="1576"/>
    <x v="44"/>
    <s v="Georgia"/>
    <s v="France"/>
    <n v="0"/>
    <n v="0"/>
    <s v="FIFA World Cup qualification"/>
    <s v="Tbilisi"/>
    <s v="Georgia"/>
    <b v="0"/>
    <n v="2013"/>
    <n v="17517660143"/>
    <n v="2816077607875"/>
    <x v="0"/>
    <n v="0"/>
    <x v="1"/>
  </r>
  <r>
    <x v="4567"/>
    <x v="1576"/>
    <x v="44"/>
    <s v="Germany"/>
    <s v="Austria"/>
    <n v="3"/>
    <n v="0"/>
    <s v="FIFA World Cup qualification"/>
    <s v="Munich"/>
    <s v="Germany"/>
    <b v="0"/>
    <n v="2013"/>
    <n v="3807023797050"/>
    <n v="426580502769"/>
    <x v="0"/>
    <n v="1"/>
    <x v="2"/>
  </r>
  <r>
    <x v="4568"/>
    <x v="1576"/>
    <x v="44"/>
    <s v="Ghana"/>
    <s v="Zambia"/>
    <n v="2"/>
    <n v="1"/>
    <s v="FIFA World Cup qualification"/>
    <s v="Kumasi"/>
    <s v="Ghana"/>
    <b v="0"/>
    <n v="2013"/>
    <n v="62845721959"/>
    <n v="28037239462"/>
    <x v="0"/>
    <n v="1"/>
    <x v="2"/>
  </r>
  <r>
    <x v="4569"/>
    <x v="1576"/>
    <x v="44"/>
    <s v="Italy"/>
    <s v="Bulgaria"/>
    <n v="1"/>
    <n v="0"/>
    <s v="FIFA World Cup qualification"/>
    <s v="Palermo"/>
    <s v="Italy"/>
    <b v="0"/>
    <n v="2013"/>
    <n v="2153225581941"/>
    <n v="55819262374"/>
    <x v="0"/>
    <n v="1"/>
    <x v="2"/>
  </r>
  <r>
    <x v="4570"/>
    <x v="1576"/>
    <x v="44"/>
    <s v="Jordan"/>
    <s v="Uzbekistan"/>
    <n v="1"/>
    <n v="1"/>
    <s v="FIFA World Cup qualification"/>
    <s v="Amman"/>
    <s v="Jordan"/>
    <b v="0"/>
    <n v="2013"/>
    <n v="34454440140"/>
    <n v="73180037914"/>
    <x v="0"/>
    <n v="0"/>
    <x v="1"/>
  </r>
  <r>
    <x v="4571"/>
    <x v="1576"/>
    <x v="44"/>
    <s v="Kazakhstan"/>
    <s v="Faroe Islands"/>
    <n v="2"/>
    <n v="1"/>
    <s v="FIFA World Cup qualification"/>
    <s v="Astana"/>
    <s v="Kazakhstan"/>
    <b v="0"/>
    <n v="2013"/>
    <n v="236634603409"/>
    <n v="2690110520"/>
    <x v="0"/>
    <n v="1"/>
    <x v="2"/>
  </r>
  <r>
    <x v="4572"/>
    <x v="1576"/>
    <x v="44"/>
    <s v="Latvia"/>
    <s v="Lithuania"/>
    <n v="2"/>
    <n v="1"/>
    <s v="FIFA World Cup qualification"/>
    <s v="Riga"/>
    <s v="Latvia"/>
    <b v="0"/>
    <n v="2013"/>
    <n v="29152128167"/>
    <n v="46303660422"/>
    <x v="1"/>
    <n v="-1"/>
    <x v="0"/>
  </r>
  <r>
    <x v="4573"/>
    <x v="1576"/>
    <x v="44"/>
    <s v="Liechtenstein"/>
    <s v="Greece"/>
    <n v="0"/>
    <n v="1"/>
    <s v="FIFA World Cup qualification"/>
    <s v="Vaduz"/>
    <s v="Liechtenstein"/>
    <b v="0"/>
    <n v="2013"/>
    <n v="6391708310"/>
    <n v="236556279640"/>
    <x v="0"/>
    <n v="1"/>
    <x v="2"/>
  </r>
  <r>
    <x v="4574"/>
    <x v="1576"/>
    <x v="44"/>
    <s v="Malta"/>
    <s v="Denmark"/>
    <n v="1"/>
    <n v="2"/>
    <s v="FIFA World Cup qualification"/>
    <s v="Attard"/>
    <s v="Malta"/>
    <b v="0"/>
    <n v="2013"/>
    <n v="10796782636"/>
    <n v="344631016965"/>
    <x v="0"/>
    <n v="1"/>
    <x v="2"/>
  </r>
  <r>
    <x v="4575"/>
    <x v="1576"/>
    <x v="44"/>
    <s v="Mexico"/>
    <s v="Honduras"/>
    <n v="1"/>
    <n v="2"/>
    <s v="FIFA World Cup qualification"/>
    <s v="Mexico City"/>
    <s v="Mexico"/>
    <b v="0"/>
    <n v="2013"/>
    <n v="1327436290282"/>
    <n v="18499729214"/>
    <x v="0"/>
    <n v="-1"/>
    <x v="0"/>
  </r>
  <r>
    <x v="4576"/>
    <x v="1576"/>
    <x v="44"/>
    <s v="Norway"/>
    <s v="Cyprus"/>
    <n v="2"/>
    <n v="0"/>
    <s v="FIFA World Cup qualification"/>
    <s v="Oslo"/>
    <s v="Norway"/>
    <b v="0"/>
    <n v="2013"/>
    <n v="526014468085"/>
    <n v="23959712860"/>
    <x v="0"/>
    <n v="1"/>
    <x v="2"/>
  </r>
  <r>
    <x v="4577"/>
    <x v="1576"/>
    <x v="44"/>
    <s v="Panama"/>
    <s v="Jamaica"/>
    <n v="0"/>
    <n v="0"/>
    <s v="FIFA World Cup qualification"/>
    <s v="Panama City"/>
    <s v="Panama"/>
    <b v="0"/>
    <n v="2013"/>
    <n v="46949496479"/>
    <n v="14264205152"/>
    <x v="0"/>
    <n v="0"/>
    <x v="1"/>
  </r>
  <r>
    <x v="4578"/>
    <x v="1576"/>
    <x v="44"/>
    <s v="Paraguay"/>
    <s v="Bolivia"/>
    <n v="4"/>
    <n v="0"/>
    <s v="FIFA World Cup qualification"/>
    <s v="Asunci√≥n"/>
    <s v="Paraguay"/>
    <b v="0"/>
    <n v="2013"/>
    <n v="38501122141"/>
    <n v="30659338885"/>
    <x v="1"/>
    <n v="1"/>
    <x v="2"/>
  </r>
  <r>
    <x v="4579"/>
    <x v="1576"/>
    <x v="44"/>
    <s v="Peru"/>
    <s v="Uruguay"/>
    <n v="1"/>
    <n v="2"/>
    <s v="FIFA World Cup qualification"/>
    <s v="Lima"/>
    <s v="Peru"/>
    <b v="0"/>
    <n v="2013"/>
    <n v="201175543571"/>
    <n v="61337621933"/>
    <x v="0"/>
    <n v="-1"/>
    <x v="0"/>
  </r>
  <r>
    <x v="4580"/>
    <x v="1576"/>
    <x v="44"/>
    <s v="Poland"/>
    <s v="Montenegro"/>
    <n v="1"/>
    <n v="1"/>
    <s v="FIFA World Cup qualification"/>
    <s v="Warsaw"/>
    <s v="Poland"/>
    <b v="0"/>
    <n v="2013"/>
    <n v="518179836405"/>
    <n v="4422097762"/>
    <x v="0"/>
    <n v="0"/>
    <x v="1"/>
  </r>
  <r>
    <x v="4581"/>
    <x v="1576"/>
    <x v="44"/>
    <s v="Romania"/>
    <s v="Hungary"/>
    <n v="3"/>
    <n v="0"/>
    <s v="FIFA World Cup qualification"/>
    <s v="Bucharest"/>
    <s v="Romania"/>
    <b v="0"/>
    <n v="2013"/>
    <n v="189798603751"/>
    <n v="135646053778"/>
    <x v="1"/>
    <n v="1"/>
    <x v="2"/>
  </r>
  <r>
    <x v="4582"/>
    <x v="1576"/>
    <x v="44"/>
    <s v="Russia"/>
    <s v="Luxembourg"/>
    <n v="4"/>
    <n v="1"/>
    <s v="FIFA World Cup qualification"/>
    <s v="Kazan"/>
    <s v="Russia"/>
    <b v="0"/>
    <n v="2013"/>
    <n v="2292470078346"/>
    <n v="65203276466"/>
    <x v="0"/>
    <n v="1"/>
    <x v="2"/>
  </r>
  <r>
    <x v="4583"/>
    <x v="1576"/>
    <x v="44"/>
    <s v="Serbia"/>
    <s v="Croatia"/>
    <n v="1"/>
    <n v="1"/>
    <s v="FIFA World Cup qualification"/>
    <s v="Belgrade"/>
    <s v="Serbia"/>
    <b v="0"/>
    <n v="2013"/>
    <n v="50455529604"/>
    <n v="59846265181"/>
    <x v="1"/>
    <n v="0"/>
    <x v="1"/>
  </r>
  <r>
    <x v="4584"/>
    <x v="1576"/>
    <x v="44"/>
    <s v="Slovenia"/>
    <s v="Albania"/>
    <n v="1"/>
    <n v="0"/>
    <s v="FIFA World Cup qualification"/>
    <s v="Ljubljana"/>
    <s v="Slovenia"/>
    <b v="0"/>
    <n v="2013"/>
    <n v="47867056858"/>
    <n v="12796985886"/>
    <x v="0"/>
    <n v="1"/>
    <x v="2"/>
  </r>
  <r>
    <x v="4585"/>
    <x v="1576"/>
    <x v="44"/>
    <s v="Switzerland"/>
    <s v="Iceland"/>
    <n v="4"/>
    <n v="4"/>
    <s v="FIFA World Cup qualification"/>
    <s v="Bern"/>
    <s v="Switzerland"/>
    <b v="0"/>
    <n v="2013"/>
    <n v="706234937370"/>
    <n v="16244319958"/>
    <x v="0"/>
    <n v="0"/>
    <x v="1"/>
  </r>
  <r>
    <x v="4586"/>
    <x v="1576"/>
    <x v="44"/>
    <s v="Ukraine"/>
    <s v="San Marino"/>
    <n v="9"/>
    <n v="0"/>
    <s v="FIFA World Cup qualification"/>
    <s v="Lviv"/>
    <s v="Ukraine"/>
    <b v="0"/>
    <n v="2013"/>
    <n v="190498811460"/>
    <n v="1678741475"/>
    <x v="0"/>
    <n v="1"/>
    <x v="2"/>
  </r>
  <r>
    <x v="4587"/>
    <x v="1577"/>
    <x v="44"/>
    <s v="Angola"/>
    <s v="Liberia"/>
    <n v="4"/>
    <n v="1"/>
    <s v="FIFA World Cup qualification"/>
    <s v="Lubango"/>
    <s v="Angola"/>
    <b v="0"/>
    <n v="2013"/>
    <n v="148845200696"/>
    <n v="3177198100"/>
    <x v="0"/>
    <n v="1"/>
    <x v="2"/>
  </r>
  <r>
    <x v="4588"/>
    <x v="1577"/>
    <x v="44"/>
    <s v="Burkina Faso"/>
    <s v="Gabon"/>
    <n v="1"/>
    <n v="0"/>
    <s v="FIFA World Cup qualification"/>
    <s v="Ouagadougou"/>
    <s v="Burkina Faso"/>
    <b v="0"/>
    <n v="2013"/>
    <n v="13444300485"/>
    <n v="17595744798"/>
    <x v="1"/>
    <n v="-1"/>
    <x v="0"/>
  </r>
  <r>
    <x v="4589"/>
    <x v="1577"/>
    <x v="44"/>
    <s v="Central African Republic"/>
    <s v="Ethiopia"/>
    <n v="1"/>
    <n v="2"/>
    <s v="FIFA World Cup qualification"/>
    <s v="Brazzaville"/>
    <s v="Congo"/>
    <b v="1"/>
    <n v="2013"/>
    <n v="1691544110"/>
    <n v="47648276605"/>
    <x v="0"/>
    <n v="1"/>
    <x v="2"/>
  </r>
  <r>
    <x v="4590"/>
    <x v="1577"/>
    <x v="44"/>
    <s v="Israel"/>
    <s v="Azerbaijan"/>
    <n v="1"/>
    <n v="1"/>
    <s v="FIFA World Cup qualification"/>
    <s v="Ramat Gan"/>
    <s v="Israel"/>
    <b v="0"/>
    <n v="2013"/>
    <n v="298478070673"/>
    <n v="74160560123"/>
    <x v="0"/>
    <n v="0"/>
    <x v="1"/>
  </r>
  <r>
    <x v="4591"/>
    <x v="1577"/>
    <x v="44"/>
    <s v="Nigeria"/>
    <s v="Malawi"/>
    <n v="2"/>
    <n v="0"/>
    <s v="FIFA World Cup qualification"/>
    <s v="Calabar"/>
    <s v="Nigeria"/>
    <b v="0"/>
    <n v="2013"/>
    <n v="520117180313"/>
    <n v="8031571927"/>
    <x v="0"/>
    <n v="1"/>
    <x v="2"/>
  </r>
  <r>
    <x v="4592"/>
    <x v="1577"/>
    <x v="44"/>
    <s v="Senegal"/>
    <s v="Uganda"/>
    <n v="1"/>
    <n v="0"/>
    <s v="FIFA World Cup qualification"/>
    <s v="Marrakech"/>
    <s v="Morocco"/>
    <b v="1"/>
    <n v="2013"/>
    <n v="18918667724"/>
    <n v="28915786516"/>
    <x v="1"/>
    <n v="-1"/>
    <x v="0"/>
  </r>
  <r>
    <x v="4593"/>
    <x v="1577"/>
    <x v="44"/>
    <s v="Sierra Leone"/>
    <s v="Equatorial Guinea"/>
    <n v="3"/>
    <n v="2"/>
    <s v="FIFA World Cup qualification"/>
    <s v="Freetown"/>
    <s v="Sierra Leone"/>
    <b v="0"/>
    <n v="2013"/>
    <n v="7502762862"/>
    <n v="21948834283"/>
    <x v="0"/>
    <n v="-1"/>
    <x v="0"/>
  </r>
  <r>
    <x v="4594"/>
    <x v="1577"/>
    <x v="44"/>
    <s v="South Africa"/>
    <s v="Botswana"/>
    <n v="4"/>
    <n v="1"/>
    <s v="FIFA World Cup qualification"/>
    <s v="Durban"/>
    <s v="South Africa"/>
    <b v="0"/>
    <n v="2013"/>
    <n v="400886013595"/>
    <n v="14271738933"/>
    <x v="0"/>
    <n v="1"/>
    <x v="2"/>
  </r>
  <r>
    <x v="4595"/>
    <x v="1578"/>
    <x v="44"/>
    <s v="Benin"/>
    <s v="Rwanda"/>
    <n v="2"/>
    <n v="0"/>
    <s v="FIFA World Cup qualification"/>
    <s v="Porto-Novo"/>
    <s v="Benin"/>
    <b v="0"/>
    <n v="2013"/>
    <n v="12517845123"/>
    <n v="7819964030"/>
    <x v="1"/>
    <n v="1"/>
    <x v="2"/>
  </r>
  <r>
    <x v="4596"/>
    <x v="1578"/>
    <x v="44"/>
    <s v="Cameroon"/>
    <s v="Libya"/>
    <n v="1"/>
    <n v="0"/>
    <s v="FIFA World Cup qualification"/>
    <s v="Yaound√©"/>
    <s v="Cameroon"/>
    <b v="0"/>
    <n v="2013"/>
    <n v="33728621180"/>
    <n v="75351107029"/>
    <x v="0"/>
    <n v="-1"/>
    <x v="0"/>
  </r>
  <r>
    <x v="4597"/>
    <x v="1578"/>
    <x v="44"/>
    <s v="Kenya"/>
    <s v="Namibia"/>
    <n v="1"/>
    <n v="0"/>
    <s v="FIFA World Cup qualification"/>
    <s v="Nairobi"/>
    <s v="Kenya"/>
    <b v="0"/>
    <n v="2013"/>
    <n v="61671440407"/>
    <n v="12043307277"/>
    <x v="0"/>
    <n v="1"/>
    <x v="2"/>
  </r>
  <r>
    <x v="4598"/>
    <x v="1578"/>
    <x v="44"/>
    <s v="Sudan"/>
    <s v="Lesotho"/>
    <n v="1"/>
    <n v="3"/>
    <s v="FIFA World Cup qualification"/>
    <s v="Omdurman"/>
    <s v="Sudan"/>
    <b v="0"/>
    <n v="2013"/>
    <n v="43024018082"/>
    <n v="2367112931"/>
    <x v="0"/>
    <n v="-1"/>
    <x v="0"/>
  </r>
  <r>
    <x v="4599"/>
    <x v="1578"/>
    <x v="44"/>
    <s v="Zimbabwe"/>
    <s v="Mozambique"/>
    <n v="1"/>
    <n v="1"/>
    <s v="FIFA World Cup qualification"/>
    <s v="Harare"/>
    <s v="Zimbabwe"/>
    <b v="0"/>
    <n v="2013"/>
    <n v="19100750000"/>
    <n v="17198073057"/>
    <x v="1"/>
    <n v="0"/>
    <x v="1"/>
  </r>
  <r>
    <x v="4600"/>
    <x v="1579"/>
    <x v="44"/>
    <s v="Algeria"/>
    <s v="Mali"/>
    <n v="1"/>
    <n v="0"/>
    <s v="FIFA World Cup qualification"/>
    <s v="Blida"/>
    <s v="Algeria"/>
    <b v="0"/>
    <n v="2013"/>
    <n v="229701430292"/>
    <n v="15747192680"/>
    <x v="0"/>
    <n v="1"/>
    <x v="2"/>
  </r>
  <r>
    <x v="4601"/>
    <x v="1579"/>
    <x v="44"/>
    <s v="Andorra"/>
    <s v="Netherlands"/>
    <n v="0"/>
    <n v="2"/>
    <s v="FIFA World Cup qualification"/>
    <s v="Sant Juli√† de L√≤ria"/>
    <s v="Andorra"/>
    <b v="0"/>
    <n v="2013"/>
    <n v="3193513470"/>
    <n v="883951539006"/>
    <x v="0"/>
    <n v="1"/>
    <x v="2"/>
  </r>
  <r>
    <x v="4602"/>
    <x v="1579"/>
    <x v="44"/>
    <s v="Armenia"/>
    <s v="Denmark"/>
    <n v="0"/>
    <n v="1"/>
    <s v="FIFA World Cup qualification"/>
    <s v="Yerevan"/>
    <s v="Armenia"/>
    <b v="0"/>
    <n v="2013"/>
    <n v="11121464437"/>
    <n v="344631016965"/>
    <x v="0"/>
    <n v="1"/>
    <x v="2"/>
  </r>
  <r>
    <x v="4603"/>
    <x v="1579"/>
    <x v="44"/>
    <s v="Belarus"/>
    <s v="France"/>
    <n v="2"/>
    <n v="4"/>
    <s v="FIFA World Cup qualification"/>
    <s v="Homel"/>
    <s v="Belarus"/>
    <b v="0"/>
    <n v="2013"/>
    <n v="75527558966"/>
    <n v="2816077607875"/>
    <x v="0"/>
    <n v="1"/>
    <x v="2"/>
  </r>
  <r>
    <x v="4604"/>
    <x v="1579"/>
    <x v="44"/>
    <s v="Bolivia"/>
    <s v="Ecuador"/>
    <n v="1"/>
    <n v="1"/>
    <s v="FIFA World Cup qualification"/>
    <s v="La Paz"/>
    <s v="Bolivia"/>
    <b v="0"/>
    <n v="2013"/>
    <n v="30659338885"/>
    <n v="96570334000"/>
    <x v="0"/>
    <n v="0"/>
    <x v="1"/>
  </r>
  <r>
    <x v="4605"/>
    <x v="1579"/>
    <x v="44"/>
    <s v="Cyprus"/>
    <s v="Slovenia"/>
    <n v="0"/>
    <n v="2"/>
    <s v="FIFA World Cup qualification"/>
    <s v="Nicosia"/>
    <s v="Cyprus"/>
    <b v="0"/>
    <n v="2013"/>
    <n v="23959712860"/>
    <n v="47867056858"/>
    <x v="1"/>
    <n v="1"/>
    <x v="2"/>
  </r>
  <r>
    <x v="4606"/>
    <x v="1579"/>
    <x v="44"/>
    <s v="Egypt"/>
    <s v="Guinea"/>
    <n v="4"/>
    <n v="2"/>
    <s v="FIFA World Cup qualification"/>
    <s v="el-Gouna"/>
    <s v="Egypt"/>
    <b v="0"/>
    <n v="2013"/>
    <n v="288434108527"/>
    <n v="8376613539"/>
    <x v="0"/>
    <n v="1"/>
    <x v="2"/>
  </r>
  <r>
    <x v="4607"/>
    <x v="1579"/>
    <x v="44"/>
    <s v="Faroe Islands"/>
    <s v="Germany"/>
    <n v="0"/>
    <n v="3"/>
    <s v="FIFA World Cup qualification"/>
    <s v="T√≥rshavn"/>
    <s v="Faroe Islands"/>
    <b v="0"/>
    <n v="2013"/>
    <n v="2690110520"/>
    <n v="3807023797050"/>
    <x v="0"/>
    <n v="1"/>
    <x v="2"/>
  </r>
  <r>
    <x v="4608"/>
    <x v="1579"/>
    <x v="44"/>
    <s v="Georgia"/>
    <s v="Finland"/>
    <n v="0"/>
    <n v="1"/>
    <s v="FIFA World Cup qualification"/>
    <s v="Tbilisi"/>
    <s v="Georgia"/>
    <b v="0"/>
    <n v="2013"/>
    <n v="17517660143"/>
    <n v="270268036626"/>
    <x v="0"/>
    <n v="1"/>
    <x v="2"/>
  </r>
  <r>
    <x v="4609"/>
    <x v="1579"/>
    <x v="44"/>
    <s v="Greece"/>
    <s v="Latvia"/>
    <n v="1"/>
    <n v="0"/>
    <s v="FIFA World Cup qualification"/>
    <s v="Piraeus"/>
    <s v="Greece"/>
    <b v="0"/>
    <n v="2013"/>
    <n v="236556279640"/>
    <n v="29152128167"/>
    <x v="0"/>
    <n v="1"/>
    <x v="2"/>
  </r>
  <r>
    <x v="4610"/>
    <x v="1579"/>
    <x v="44"/>
    <s v="Honduras"/>
    <s v="Panama"/>
    <n v="2"/>
    <n v="2"/>
    <s v="FIFA World Cup qualification"/>
    <s v="Tegucigalpa"/>
    <s v="Honduras"/>
    <b v="0"/>
    <n v="2013"/>
    <n v="18499729214"/>
    <n v="46949496479"/>
    <x v="0"/>
    <n v="0"/>
    <x v="1"/>
  </r>
  <r>
    <x v="4611"/>
    <x v="1579"/>
    <x v="44"/>
    <s v="Hungary"/>
    <s v="Estonia"/>
    <n v="5"/>
    <n v="1"/>
    <s v="FIFA World Cup qualification"/>
    <s v="Budapest"/>
    <s v="Hungary"/>
    <b v="0"/>
    <n v="2013"/>
    <n v="135646053778"/>
    <n v="25451032780"/>
    <x v="0"/>
    <n v="1"/>
    <x v="2"/>
  </r>
  <r>
    <x v="4612"/>
    <x v="1579"/>
    <x v="44"/>
    <s v="Iceland"/>
    <s v="Albania"/>
    <n v="2"/>
    <n v="1"/>
    <s v="FIFA World Cup qualification"/>
    <s v="Reykjav√≠k"/>
    <s v="Iceland"/>
    <b v="0"/>
    <n v="2013"/>
    <n v="16244319958"/>
    <n v="12796985886"/>
    <x v="1"/>
    <n v="1"/>
    <x v="2"/>
  </r>
  <r>
    <x v="4613"/>
    <x v="1579"/>
    <x v="44"/>
    <s v="Jamaica"/>
    <s v="Costa Rica"/>
    <n v="1"/>
    <n v="1"/>
    <s v="FIFA World Cup qualification"/>
    <s v="Kingston"/>
    <s v="Jamaica"/>
    <b v="0"/>
    <n v="2013"/>
    <n v="14264205152"/>
    <n v="50949668841"/>
    <x v="0"/>
    <n v="0"/>
    <x v="1"/>
  </r>
  <r>
    <x v="4614"/>
    <x v="1579"/>
    <x v="44"/>
    <s v="Kazakhstan"/>
    <s v="Sweden"/>
    <n v="0"/>
    <n v="1"/>
    <s v="FIFA World Cup qualification"/>
    <s v="Astana"/>
    <s v="Kazakhstan"/>
    <b v="0"/>
    <n v="2013"/>
    <n v="236634603409"/>
    <n v="584125353119"/>
    <x v="0"/>
    <n v="1"/>
    <x v="2"/>
  </r>
  <r>
    <x v="4615"/>
    <x v="1579"/>
    <x v="44"/>
    <s v="Lithuania"/>
    <s v="Liechtenstein"/>
    <n v="2"/>
    <n v="0"/>
    <s v="FIFA World Cup qualification"/>
    <s v="Marijampolƒó"/>
    <s v="Lithuania"/>
    <b v="0"/>
    <n v="2013"/>
    <n v="46303660422"/>
    <n v="6391708310"/>
    <x v="0"/>
    <n v="1"/>
    <x v="2"/>
  </r>
  <r>
    <x v="4616"/>
    <x v="1579"/>
    <x v="44"/>
    <s v="Malta"/>
    <s v="Bulgaria"/>
    <n v="1"/>
    <n v="2"/>
    <s v="FIFA World Cup qualification"/>
    <s v="Attard"/>
    <s v="Malta"/>
    <b v="0"/>
    <n v="2013"/>
    <n v="10796782636"/>
    <n v="55819262374"/>
    <x v="0"/>
    <n v="1"/>
    <x v="2"/>
  </r>
  <r>
    <x v="4617"/>
    <x v="1579"/>
    <x v="44"/>
    <s v="Norway"/>
    <s v="Switzerland"/>
    <n v="0"/>
    <n v="2"/>
    <s v="FIFA World Cup qualification"/>
    <s v="Oslo"/>
    <s v="Norway"/>
    <b v="0"/>
    <n v="2013"/>
    <n v="526014468085"/>
    <n v="706234937370"/>
    <x v="1"/>
    <n v="1"/>
    <x v="2"/>
  </r>
  <r>
    <x v="4618"/>
    <x v="1579"/>
    <x v="44"/>
    <s v="Paraguay"/>
    <s v="Argentina"/>
    <n v="2"/>
    <n v="5"/>
    <s v="FIFA World Cup qualification"/>
    <s v="Asunci√≥n"/>
    <s v="Paraguay"/>
    <b v="0"/>
    <n v="2013"/>
    <n v="38501122141"/>
    <n v="552025140252"/>
    <x v="0"/>
    <n v="1"/>
    <x v="2"/>
  </r>
  <r>
    <x v="4619"/>
    <x v="1579"/>
    <x v="44"/>
    <s v="Russia"/>
    <s v="Israel"/>
    <n v="3"/>
    <n v="1"/>
    <s v="FIFA World Cup qualification"/>
    <s v="Saint Petersburg"/>
    <s v="Russia"/>
    <b v="0"/>
    <n v="2013"/>
    <n v="2292470078346"/>
    <n v="298478070673"/>
    <x v="0"/>
    <n v="1"/>
    <x v="2"/>
  </r>
  <r>
    <x v="4620"/>
    <x v="1579"/>
    <x v="44"/>
    <s v="San Marino"/>
    <s v="Poland"/>
    <n v="1"/>
    <n v="5"/>
    <s v="FIFA World Cup qualification"/>
    <s v="Serravalle"/>
    <s v="San Marino"/>
    <b v="0"/>
    <n v="2013"/>
    <n v="1678741475"/>
    <n v="518179836405"/>
    <x v="0"/>
    <n v="1"/>
    <x v="2"/>
  </r>
  <r>
    <x v="4621"/>
    <x v="1579"/>
    <x v="44"/>
    <s v="Ukraine"/>
    <s v="England"/>
    <n v="0"/>
    <n v="0"/>
    <s v="FIFA World Cup qualification"/>
    <s v="Kyiv"/>
    <s v="Ukraine"/>
    <b v="0"/>
    <n v="2013"/>
    <n v="190498811460"/>
    <n v="2796908333283"/>
    <x v="0"/>
    <n v="0"/>
    <x v="1"/>
  </r>
  <r>
    <x v="4622"/>
    <x v="1579"/>
    <x v="44"/>
    <s v="Uruguay"/>
    <s v="Colombia"/>
    <n v="2"/>
    <n v="0"/>
    <s v="FIFA World Cup qualification"/>
    <s v="Montevideo"/>
    <s v="Uruguay"/>
    <b v="0"/>
    <n v="2013"/>
    <n v="61337621933"/>
    <n v="382093697077"/>
    <x v="0"/>
    <n v="-1"/>
    <x v="0"/>
  </r>
  <r>
    <x v="4623"/>
    <x v="1579"/>
    <x v="44"/>
    <s v="United States"/>
    <s v="Mexico"/>
    <n v="2"/>
    <n v="0"/>
    <s v="FIFA World Cup qualification"/>
    <s v="Columbus"/>
    <s v="United States"/>
    <b v="0"/>
    <n v="2013"/>
    <n v="16843190993000"/>
    <n v="1327436290282"/>
    <x v="0"/>
    <n v="1"/>
    <x v="2"/>
  </r>
  <r>
    <x v="4624"/>
    <x v="1579"/>
    <x v="44"/>
    <s v="Uzbekistan"/>
    <s v="Jordan"/>
    <n v="1"/>
    <n v="1"/>
    <s v="FIFA World Cup qualification"/>
    <s v="Tashkent"/>
    <s v="Uzbekistan"/>
    <b v="0"/>
    <n v="2013"/>
    <n v="73180037914"/>
    <n v="34454440140"/>
    <x v="0"/>
    <n v="0"/>
    <x v="1"/>
  </r>
  <r>
    <x v="4625"/>
    <x v="1579"/>
    <x v="44"/>
    <s v="Venezuela"/>
    <s v="Peru"/>
    <n v="3"/>
    <n v="2"/>
    <s v="FIFA World Cup qualification"/>
    <s v="Puerto la Cruz"/>
    <s v="Venezuela"/>
    <b v="0"/>
    <n v="2013"/>
    <n v="258930655486"/>
    <n v="201175543571"/>
    <x v="1"/>
    <n v="1"/>
    <x v="2"/>
  </r>
  <r>
    <x v="4626"/>
    <x v="1580"/>
    <x v="44"/>
    <s v="Albania"/>
    <s v="Switzerland"/>
    <n v="1"/>
    <n v="2"/>
    <s v="FIFA World Cup qualification"/>
    <s v="Tirana"/>
    <s v="Albania"/>
    <b v="0"/>
    <n v="2013"/>
    <n v="12796985886"/>
    <n v="706234937370"/>
    <x v="0"/>
    <n v="1"/>
    <x v="2"/>
  </r>
  <r>
    <x v="4627"/>
    <x v="1580"/>
    <x v="44"/>
    <s v="Andorra"/>
    <s v="Romania"/>
    <n v="0"/>
    <n v="4"/>
    <s v="FIFA World Cup qualification"/>
    <s v="Sant Juli√† de L√≤ria"/>
    <s v="Andorra"/>
    <b v="0"/>
    <n v="2013"/>
    <n v="3193513470"/>
    <n v="189798603751"/>
    <x v="0"/>
    <n v="1"/>
    <x v="2"/>
  </r>
  <r>
    <x v="4628"/>
    <x v="1580"/>
    <x v="44"/>
    <s v="Argentina"/>
    <s v="Peru"/>
    <n v="3"/>
    <n v="1"/>
    <s v="FIFA World Cup qualification"/>
    <s v="Buenos Aires"/>
    <s v="Argentina"/>
    <b v="0"/>
    <n v="2013"/>
    <n v="552025140252"/>
    <n v="201175543571"/>
    <x v="0"/>
    <n v="1"/>
    <x v="2"/>
  </r>
  <r>
    <x v="4629"/>
    <x v="1580"/>
    <x v="44"/>
    <s v="Armenia"/>
    <s v="Bulgaria"/>
    <n v="2"/>
    <n v="1"/>
    <s v="FIFA World Cup qualification"/>
    <s v="Yerevan"/>
    <s v="Armenia"/>
    <b v="0"/>
    <n v="2013"/>
    <n v="11121464437"/>
    <n v="55819262374"/>
    <x v="0"/>
    <n v="-1"/>
    <x v="0"/>
  </r>
  <r>
    <x v="4630"/>
    <x v="1580"/>
    <x v="44"/>
    <s v="Bosnia and Herzegovina"/>
    <s v="Liechtenstein"/>
    <n v="4"/>
    <n v="1"/>
    <s v="FIFA World Cup qualification"/>
    <s v="Zenica"/>
    <s v="Bosnia and Herzegovina"/>
    <b v="0"/>
    <n v="2013"/>
    <n v="18179109209"/>
    <n v="6391708310"/>
    <x v="0"/>
    <n v="1"/>
    <x v="2"/>
  </r>
  <r>
    <x v="4631"/>
    <x v="1580"/>
    <x v="44"/>
    <s v="Colombia"/>
    <s v="Chile"/>
    <n v="3"/>
    <n v="3"/>
    <s v="FIFA World Cup qualification"/>
    <s v="Barranquilla"/>
    <s v="Colombia"/>
    <b v="0"/>
    <n v="2013"/>
    <n v="382093697077"/>
    <n v="277395018842"/>
    <x v="1"/>
    <n v="0"/>
    <x v="1"/>
  </r>
  <r>
    <x v="4632"/>
    <x v="1580"/>
    <x v="44"/>
    <s v="Croatia"/>
    <s v="Belgium"/>
    <n v="1"/>
    <n v="2"/>
    <s v="FIFA World Cup qualification"/>
    <s v="Zagreb"/>
    <s v="Croatia"/>
    <b v="0"/>
    <n v="2013"/>
    <n v="59846265181"/>
    <n v="524097026598"/>
    <x v="0"/>
    <n v="1"/>
    <x v="2"/>
  </r>
  <r>
    <x v="4633"/>
    <x v="1580"/>
    <x v="44"/>
    <s v="Denmark"/>
    <s v="Italy"/>
    <n v="2"/>
    <n v="2"/>
    <s v="FIFA World Cup qualification"/>
    <s v="Copenhagen"/>
    <s v="Denmark"/>
    <b v="0"/>
    <n v="2013"/>
    <n v="344631016965"/>
    <n v="2153225581941"/>
    <x v="0"/>
    <n v="0"/>
    <x v="1"/>
  </r>
  <r>
    <x v="4634"/>
    <x v="1580"/>
    <x v="44"/>
    <s v="Ecuador"/>
    <s v="Uruguay"/>
    <n v="1"/>
    <n v="0"/>
    <s v="FIFA World Cup qualification"/>
    <s v="Quito"/>
    <s v="Ecuador"/>
    <b v="0"/>
    <n v="2013"/>
    <n v="96570334000"/>
    <n v="61337621933"/>
    <x v="1"/>
    <n v="1"/>
    <x v="2"/>
  </r>
  <r>
    <x v="4635"/>
    <x v="1580"/>
    <x v="44"/>
    <s v="England"/>
    <s v="Montenegro"/>
    <n v="4"/>
    <n v="1"/>
    <s v="FIFA World Cup qualification"/>
    <s v="London"/>
    <s v="England"/>
    <b v="0"/>
    <n v="2013"/>
    <n v="2796908333283"/>
    <n v="4422097762"/>
    <x v="0"/>
    <n v="1"/>
    <x v="2"/>
  </r>
  <r>
    <x v="4636"/>
    <x v="1580"/>
    <x v="44"/>
    <s v="Faroe Islands"/>
    <s v="Kazakhstan"/>
    <n v="1"/>
    <n v="1"/>
    <s v="FIFA World Cup qualification"/>
    <s v="T√≥rshavn"/>
    <s v="Faroe Islands"/>
    <b v="0"/>
    <n v="2013"/>
    <n v="2690110520"/>
    <n v="236634603409"/>
    <x v="0"/>
    <n v="0"/>
    <x v="1"/>
  </r>
  <r>
    <x v="4637"/>
    <x v="1580"/>
    <x v="44"/>
    <s v="Honduras"/>
    <s v="Costa Rica"/>
    <n v="1"/>
    <n v="0"/>
    <s v="FIFA World Cup qualification"/>
    <s v="San Pedro Sula"/>
    <s v="Honduras"/>
    <b v="0"/>
    <n v="2013"/>
    <n v="18499729214"/>
    <n v="50949668841"/>
    <x v="0"/>
    <n v="-1"/>
    <x v="0"/>
  </r>
  <r>
    <x v="4638"/>
    <x v="1580"/>
    <x v="44"/>
    <s v="Iceland"/>
    <s v="Cyprus"/>
    <n v="2"/>
    <n v="0"/>
    <s v="FIFA World Cup qualification"/>
    <s v="Reykjav√≠k"/>
    <s v="Iceland"/>
    <b v="0"/>
    <n v="2013"/>
    <n v="16244319958"/>
    <n v="23959712860"/>
    <x v="1"/>
    <n v="-1"/>
    <x v="0"/>
  </r>
  <r>
    <x v="4639"/>
    <x v="1580"/>
    <x v="44"/>
    <s v="Lithuania"/>
    <s v="Latvia"/>
    <n v="2"/>
    <n v="0"/>
    <s v="FIFA World Cup qualification"/>
    <s v="Vilnius"/>
    <s v="Lithuania"/>
    <b v="0"/>
    <n v="2013"/>
    <n v="46303660422"/>
    <n v="29152128167"/>
    <x v="1"/>
    <n v="1"/>
    <x v="2"/>
  </r>
  <r>
    <x v="4640"/>
    <x v="1580"/>
    <x v="44"/>
    <s v="Luxembourg"/>
    <s v="Russia"/>
    <n v="0"/>
    <n v="4"/>
    <s v="FIFA World Cup qualification"/>
    <s v="Luxembourg"/>
    <s v="Luxembourg"/>
    <b v="0"/>
    <n v="2013"/>
    <n v="65203276466"/>
    <n v="2292470078346"/>
    <x v="0"/>
    <n v="1"/>
    <x v="2"/>
  </r>
  <r>
    <x v="4641"/>
    <x v="1580"/>
    <x v="44"/>
    <s v="Mexico"/>
    <s v="Panama"/>
    <n v="2"/>
    <n v="1"/>
    <s v="FIFA World Cup qualification"/>
    <s v="Mexico City"/>
    <s v="Mexico"/>
    <b v="0"/>
    <n v="2013"/>
    <n v="1327436290282"/>
    <n v="46949496479"/>
    <x v="0"/>
    <n v="1"/>
    <x v="2"/>
  </r>
  <r>
    <x v="4642"/>
    <x v="1580"/>
    <x v="44"/>
    <s v="Moldova"/>
    <s v="San Marino"/>
    <n v="3"/>
    <n v="0"/>
    <s v="FIFA World Cup qualification"/>
    <s v="Chi»ôinƒÉu"/>
    <s v="Moldova"/>
    <b v="0"/>
    <n v="2013"/>
    <n v="9496717875"/>
    <n v="1678741475"/>
    <x v="0"/>
    <n v="1"/>
    <x v="2"/>
  </r>
  <r>
    <x v="4643"/>
    <x v="1580"/>
    <x v="44"/>
    <s v="Netherlands"/>
    <s v="Hungary"/>
    <n v="8"/>
    <n v="1"/>
    <s v="FIFA World Cup qualification"/>
    <s v="Amsterdam"/>
    <s v="Netherlands"/>
    <b v="0"/>
    <n v="2013"/>
    <n v="883951539006"/>
    <n v="135646053778"/>
    <x v="0"/>
    <n v="1"/>
    <x v="2"/>
  </r>
  <r>
    <x v="4644"/>
    <x v="1580"/>
    <x v="44"/>
    <s v="Portugal"/>
    <s v="Israel"/>
    <n v="1"/>
    <n v="1"/>
    <s v="FIFA World Cup qualification"/>
    <s v="Lisbon"/>
    <s v="Portugal"/>
    <b v="0"/>
    <n v="2013"/>
    <n v="226677408291"/>
    <n v="298478070673"/>
    <x v="1"/>
    <n v="0"/>
    <x v="1"/>
  </r>
  <r>
    <x v="4645"/>
    <x v="1580"/>
    <x v="44"/>
    <s v="Slovenia"/>
    <s v="Norway"/>
    <n v="3"/>
    <n v="0"/>
    <s v="FIFA World Cup qualification"/>
    <s v="Maribor"/>
    <s v="Slovenia"/>
    <b v="0"/>
    <n v="2013"/>
    <n v="47867056858"/>
    <n v="526014468085"/>
    <x v="0"/>
    <n v="-1"/>
    <x v="0"/>
  </r>
  <r>
    <x v="4646"/>
    <x v="1580"/>
    <x v="44"/>
    <s v="Spain"/>
    <s v="Belarus"/>
    <n v="2"/>
    <n v="1"/>
    <s v="FIFA World Cup qualification"/>
    <s v="Palma de Mallorca"/>
    <s v="Spain"/>
    <b v="0"/>
    <n v="2013"/>
    <n v="1362186923157"/>
    <n v="75527558966"/>
    <x v="0"/>
    <n v="1"/>
    <x v="2"/>
  </r>
  <r>
    <x v="4647"/>
    <x v="1580"/>
    <x v="44"/>
    <s v="Sweden"/>
    <s v="Austria"/>
    <n v="2"/>
    <n v="1"/>
    <s v="FIFA World Cup qualification"/>
    <s v="Solna"/>
    <s v="Sweden"/>
    <b v="0"/>
    <n v="2013"/>
    <n v="584125353119"/>
    <n v="426580502769"/>
    <x v="1"/>
    <n v="1"/>
    <x v="2"/>
  </r>
  <r>
    <x v="4648"/>
    <x v="1580"/>
    <x v="44"/>
    <s v="Ukraine"/>
    <s v="Poland"/>
    <n v="1"/>
    <n v="0"/>
    <s v="FIFA World Cup qualification"/>
    <s v="Kharkiv"/>
    <s v="Ukraine"/>
    <b v="0"/>
    <n v="2013"/>
    <n v="190498811460"/>
    <n v="518179836405"/>
    <x v="0"/>
    <n v="-1"/>
    <x v="0"/>
  </r>
  <r>
    <x v="4649"/>
    <x v="1580"/>
    <x v="44"/>
    <s v="United States"/>
    <s v="Jamaica"/>
    <n v="2"/>
    <n v="0"/>
    <s v="FIFA World Cup qualification"/>
    <s v="Kansas City"/>
    <s v="United States"/>
    <b v="0"/>
    <n v="2013"/>
    <n v="16843190993000"/>
    <n v="14264205152"/>
    <x v="0"/>
    <n v="1"/>
    <x v="2"/>
  </r>
  <r>
    <x v="4650"/>
    <x v="1580"/>
    <x v="44"/>
    <s v="Venezuela"/>
    <s v="Paraguay"/>
    <n v="1"/>
    <n v="1"/>
    <s v="FIFA World Cup qualification"/>
    <s v="San Crist√≥bal"/>
    <s v="Venezuela"/>
    <b v="0"/>
    <n v="2013"/>
    <n v="258930655486"/>
    <n v="38501122141"/>
    <x v="0"/>
    <n v="0"/>
    <x v="1"/>
  </r>
  <r>
    <x v="4651"/>
    <x v="1581"/>
    <x v="44"/>
    <s v="Burkina Faso"/>
    <s v="Algeria"/>
    <n v="3"/>
    <n v="2"/>
    <s v="FIFA World Cup qualification"/>
    <s v="Ouagadougou"/>
    <s v="Burkina Faso"/>
    <b v="0"/>
    <n v="2013"/>
    <n v="13444300485"/>
    <n v="229701430292"/>
    <x v="0"/>
    <n v="-1"/>
    <x v="0"/>
  </r>
  <r>
    <x v="4652"/>
    <x v="1582"/>
    <x v="44"/>
    <s v="Ethiopia"/>
    <s v="Nigeria"/>
    <n v="1"/>
    <n v="2"/>
    <s v="FIFA World Cup qualification"/>
    <s v="Addis Ababa"/>
    <s v="Ethiopia"/>
    <b v="0"/>
    <n v="2013"/>
    <n v="47648276605"/>
    <n v="520117180313"/>
    <x v="0"/>
    <n v="1"/>
    <x v="2"/>
  </r>
  <r>
    <x v="4653"/>
    <x v="1582"/>
    <x v="44"/>
    <s v="Tunisia"/>
    <s v="Cameroon"/>
    <n v="0"/>
    <n v="0"/>
    <s v="FIFA World Cup qualification"/>
    <s v="Rad√®s"/>
    <s v="Tunisia"/>
    <b v="0"/>
    <n v="2013"/>
    <n v="48685446413"/>
    <n v="33728621180"/>
    <x v="1"/>
    <n v="0"/>
    <x v="1"/>
  </r>
  <r>
    <x v="4654"/>
    <x v="1583"/>
    <x v="44"/>
    <s v="Azerbaijan"/>
    <s v="Russia"/>
    <n v="1"/>
    <n v="1"/>
    <s v="FIFA World Cup qualification"/>
    <s v="Baku"/>
    <s v="Azerbaijan"/>
    <b v="0"/>
    <n v="2013"/>
    <n v="74160560123"/>
    <n v="2292470078346"/>
    <x v="0"/>
    <n v="0"/>
    <x v="1"/>
  </r>
  <r>
    <x v="4655"/>
    <x v="1583"/>
    <x v="44"/>
    <s v="Chile"/>
    <s v="Ecuador"/>
    <n v="2"/>
    <n v="1"/>
    <s v="FIFA World Cup qualification"/>
    <s v="Santiago"/>
    <s v="Chile"/>
    <b v="0"/>
    <n v="2013"/>
    <n v="277395018842"/>
    <n v="96570334000"/>
    <x v="0"/>
    <n v="1"/>
    <x v="2"/>
  </r>
  <r>
    <x v="4656"/>
    <x v="1583"/>
    <x v="44"/>
    <s v="Costa Rica"/>
    <s v="Mexico"/>
    <n v="2"/>
    <n v="1"/>
    <s v="FIFA World Cup qualification"/>
    <s v="San Jos√©"/>
    <s v="Costa Rica"/>
    <b v="0"/>
    <n v="2013"/>
    <n v="50949668841"/>
    <n v="1327436290282"/>
    <x v="0"/>
    <n v="-1"/>
    <x v="0"/>
  </r>
  <r>
    <x v="4657"/>
    <x v="1583"/>
    <x v="44"/>
    <s v="Cyprus"/>
    <s v="Albania"/>
    <n v="0"/>
    <n v="0"/>
    <s v="FIFA World Cup qualification"/>
    <s v="Nicosia"/>
    <s v="Cyprus"/>
    <b v="0"/>
    <n v="2013"/>
    <n v="23959712860"/>
    <n v="12796985886"/>
    <x v="1"/>
    <n v="0"/>
    <x v="1"/>
  </r>
  <r>
    <x v="4658"/>
    <x v="1583"/>
    <x v="44"/>
    <s v="Denmark"/>
    <s v="Malta"/>
    <n v="6"/>
    <n v="0"/>
    <s v="FIFA World Cup qualification"/>
    <s v="Copenhagen"/>
    <s v="Denmark"/>
    <b v="0"/>
    <n v="2013"/>
    <n v="344631016965"/>
    <n v="10796782636"/>
    <x v="0"/>
    <n v="1"/>
    <x v="2"/>
  </r>
  <r>
    <x v="4659"/>
    <x v="1583"/>
    <x v="44"/>
    <s v="England"/>
    <s v="Poland"/>
    <n v="2"/>
    <n v="0"/>
    <s v="FIFA World Cup qualification"/>
    <s v="London"/>
    <s v="England"/>
    <b v="0"/>
    <n v="2013"/>
    <n v="2796908333283"/>
    <n v="518179836405"/>
    <x v="0"/>
    <n v="1"/>
    <x v="2"/>
  </r>
  <r>
    <x v="4660"/>
    <x v="1583"/>
    <x v="44"/>
    <s v="Faroe Islands"/>
    <s v="Austria"/>
    <n v="0"/>
    <n v="3"/>
    <s v="FIFA World Cup qualification"/>
    <s v="T√≥rshavn"/>
    <s v="Faroe Islands"/>
    <b v="0"/>
    <n v="2013"/>
    <n v="2690110520"/>
    <n v="426580502769"/>
    <x v="0"/>
    <n v="1"/>
    <x v="2"/>
  </r>
  <r>
    <x v="4661"/>
    <x v="1583"/>
    <x v="44"/>
    <s v="France"/>
    <s v="Finland"/>
    <n v="3"/>
    <n v="0"/>
    <s v="FIFA World Cup qualification"/>
    <s v="Saint-Denis"/>
    <s v="France"/>
    <b v="0"/>
    <n v="2013"/>
    <n v="2816077607875"/>
    <n v="270268036626"/>
    <x v="0"/>
    <n v="1"/>
    <x v="2"/>
  </r>
  <r>
    <x v="4662"/>
    <x v="1583"/>
    <x v="44"/>
    <s v="Ghana"/>
    <s v="Egypt"/>
    <n v="6"/>
    <n v="1"/>
    <s v="FIFA World Cup qualification"/>
    <s v="Kumasi"/>
    <s v="Ghana"/>
    <b v="0"/>
    <n v="2013"/>
    <n v="62845721959"/>
    <n v="288434108527"/>
    <x v="0"/>
    <n v="-1"/>
    <x v="0"/>
  </r>
  <r>
    <x v="4663"/>
    <x v="1583"/>
    <x v="44"/>
    <s v="Greece"/>
    <s v="Liechtenstein"/>
    <n v="2"/>
    <n v="0"/>
    <s v="FIFA World Cup qualification"/>
    <s v="Piraeus"/>
    <s v="Greece"/>
    <b v="0"/>
    <n v="2013"/>
    <n v="236556279640"/>
    <n v="6391708310"/>
    <x v="0"/>
    <n v="1"/>
    <x v="2"/>
  </r>
  <r>
    <x v="4664"/>
    <x v="1583"/>
    <x v="44"/>
    <s v="Hungary"/>
    <s v="Andorra"/>
    <n v="2"/>
    <n v="0"/>
    <s v="FIFA World Cup qualification"/>
    <s v="Budapest"/>
    <s v="Hungary"/>
    <b v="0"/>
    <n v="2013"/>
    <n v="135646053778"/>
    <n v="3193513470"/>
    <x v="0"/>
    <n v="1"/>
    <x v="2"/>
  </r>
  <r>
    <x v="4665"/>
    <x v="1583"/>
    <x v="44"/>
    <s v="Italy"/>
    <s v="Armenia"/>
    <n v="2"/>
    <n v="2"/>
    <s v="FIFA World Cup qualification"/>
    <s v="Naples"/>
    <s v="Italy"/>
    <b v="0"/>
    <n v="2013"/>
    <n v="2153225581941"/>
    <n v="11121464437"/>
    <x v="0"/>
    <n v="0"/>
    <x v="1"/>
  </r>
  <r>
    <x v="4666"/>
    <x v="1583"/>
    <x v="44"/>
    <s v="Jamaica"/>
    <s v="Honduras"/>
    <n v="2"/>
    <n v="2"/>
    <s v="FIFA World Cup qualification"/>
    <s v="Kingston"/>
    <s v="Jamaica"/>
    <b v="0"/>
    <n v="2013"/>
    <n v="14264205152"/>
    <n v="18499729214"/>
    <x v="1"/>
    <n v="0"/>
    <x v="1"/>
  </r>
  <r>
    <x v="4667"/>
    <x v="1583"/>
    <x v="44"/>
    <s v="Lithuania"/>
    <s v="Bosnia and Herzegovina"/>
    <n v="0"/>
    <n v="1"/>
    <s v="FIFA World Cup qualification"/>
    <s v="Kaunas"/>
    <s v="Lithuania"/>
    <b v="0"/>
    <n v="2013"/>
    <n v="46303660422"/>
    <n v="18179109209"/>
    <x v="0"/>
    <n v="-1"/>
    <x v="0"/>
  </r>
  <r>
    <x v="4668"/>
    <x v="1583"/>
    <x v="44"/>
    <s v="Montenegro"/>
    <s v="Moldova"/>
    <n v="2"/>
    <n v="5"/>
    <s v="FIFA World Cup qualification"/>
    <s v="Podgorica"/>
    <s v="Montenegro"/>
    <b v="0"/>
    <n v="2013"/>
    <n v="4422097762"/>
    <n v="9496717875"/>
    <x v="0"/>
    <n v="1"/>
    <x v="2"/>
  </r>
  <r>
    <x v="4669"/>
    <x v="1583"/>
    <x v="44"/>
    <s v="Norway"/>
    <s v="Iceland"/>
    <n v="1"/>
    <n v="1"/>
    <s v="FIFA World Cup qualification"/>
    <s v="Oslo"/>
    <s v="Norway"/>
    <b v="0"/>
    <n v="2013"/>
    <n v="526014468085"/>
    <n v="16244319958"/>
    <x v="0"/>
    <n v="0"/>
    <x v="1"/>
  </r>
  <r>
    <x v="4670"/>
    <x v="1583"/>
    <x v="44"/>
    <s v="Panama"/>
    <s v="United States"/>
    <n v="2"/>
    <n v="3"/>
    <s v="FIFA World Cup qualification"/>
    <s v="Panama City"/>
    <s v="Panama"/>
    <b v="0"/>
    <n v="2013"/>
    <n v="46949496479"/>
    <n v="16843190993000"/>
    <x v="0"/>
    <n v="1"/>
    <x v="2"/>
  </r>
  <r>
    <x v="4671"/>
    <x v="1583"/>
    <x v="44"/>
    <s v="Paraguay"/>
    <s v="Colombia"/>
    <n v="1"/>
    <n v="2"/>
    <s v="FIFA World Cup qualification"/>
    <s v="Asunci√≥n"/>
    <s v="Paraguay"/>
    <b v="0"/>
    <n v="2013"/>
    <n v="38501122141"/>
    <n v="382093697077"/>
    <x v="0"/>
    <n v="1"/>
    <x v="2"/>
  </r>
  <r>
    <x v="4672"/>
    <x v="1583"/>
    <x v="44"/>
    <s v="Peru"/>
    <s v="Bolivia"/>
    <n v="1"/>
    <n v="1"/>
    <s v="FIFA World Cup qualification"/>
    <s v="Lima"/>
    <s v="Peru"/>
    <b v="0"/>
    <n v="2013"/>
    <n v="201175543571"/>
    <n v="30659338885"/>
    <x v="0"/>
    <n v="0"/>
    <x v="1"/>
  </r>
  <r>
    <x v="4673"/>
    <x v="1583"/>
    <x v="44"/>
    <s v="Portugal"/>
    <s v="Luxembourg"/>
    <n v="3"/>
    <n v="0"/>
    <s v="FIFA World Cup qualification"/>
    <s v="Coimbra"/>
    <s v="Portugal"/>
    <b v="0"/>
    <n v="2013"/>
    <n v="226677408291"/>
    <n v="65203276466"/>
    <x v="0"/>
    <n v="1"/>
    <x v="2"/>
  </r>
  <r>
    <x v="4674"/>
    <x v="1583"/>
    <x v="44"/>
    <s v="Romania"/>
    <s v="Estonia"/>
    <n v="2"/>
    <n v="0"/>
    <s v="FIFA World Cup qualification"/>
    <s v="Bucharest"/>
    <s v="Romania"/>
    <b v="0"/>
    <n v="2013"/>
    <n v="189798603751"/>
    <n v="25451032780"/>
    <x v="0"/>
    <n v="1"/>
    <x v="2"/>
  </r>
  <r>
    <x v="4675"/>
    <x v="1583"/>
    <x v="44"/>
    <s v="San Marino"/>
    <s v="Ukraine"/>
    <n v="0"/>
    <n v="8"/>
    <s v="FIFA World Cup qualification"/>
    <s v="Serravalle"/>
    <s v="San Marino"/>
    <b v="0"/>
    <n v="2013"/>
    <n v="1678741475"/>
    <n v="190498811460"/>
    <x v="0"/>
    <n v="1"/>
    <x v="2"/>
  </r>
  <r>
    <x v="4676"/>
    <x v="1583"/>
    <x v="44"/>
    <s v="Serbia"/>
    <s v="North Macedonia"/>
    <n v="5"/>
    <n v="1"/>
    <s v="FIFA World Cup qualification"/>
    <s v="Jagodina"/>
    <s v="Serbia"/>
    <b v="0"/>
    <n v="2013"/>
    <n v="50455529604"/>
    <n v="10817702346"/>
    <x v="0"/>
    <n v="1"/>
    <x v="2"/>
  </r>
  <r>
    <x v="4677"/>
    <x v="1583"/>
    <x v="44"/>
    <s v="Spain"/>
    <s v="Georgia"/>
    <n v="2"/>
    <n v="0"/>
    <s v="FIFA World Cup qualification"/>
    <s v="Albacete"/>
    <s v="Spain"/>
    <b v="0"/>
    <n v="2013"/>
    <n v="1362186923157"/>
    <n v="17517660143"/>
    <x v="0"/>
    <n v="1"/>
    <x v="2"/>
  </r>
  <r>
    <x v="4678"/>
    <x v="1583"/>
    <x v="44"/>
    <s v="Sweden"/>
    <s v="Germany"/>
    <n v="3"/>
    <n v="5"/>
    <s v="FIFA World Cup qualification"/>
    <s v="Solna"/>
    <s v="Sweden"/>
    <b v="0"/>
    <n v="2013"/>
    <n v="584125353119"/>
    <n v="3807023797050"/>
    <x v="0"/>
    <n v="1"/>
    <x v="2"/>
  </r>
  <r>
    <x v="4679"/>
    <x v="1583"/>
    <x v="44"/>
    <s v="Switzerland"/>
    <s v="Slovenia"/>
    <n v="1"/>
    <n v="0"/>
    <s v="FIFA World Cup qualification"/>
    <s v="Bern"/>
    <s v="Switzerland"/>
    <b v="0"/>
    <n v="2013"/>
    <n v="706234937370"/>
    <n v="47867056858"/>
    <x v="0"/>
    <n v="1"/>
    <x v="2"/>
  </r>
  <r>
    <x v="4680"/>
    <x v="1583"/>
    <x v="44"/>
    <s v="Uruguay"/>
    <s v="Argentina"/>
    <n v="3"/>
    <n v="2"/>
    <s v="FIFA World Cup qualification"/>
    <s v="Montevideo"/>
    <s v="Uruguay"/>
    <b v="0"/>
    <n v="2013"/>
    <n v="61337621933"/>
    <n v="552025140252"/>
    <x v="0"/>
    <n v="-1"/>
    <x v="0"/>
  </r>
  <r>
    <x v="4681"/>
    <x v="1584"/>
    <x v="44"/>
    <s v="Jordan"/>
    <s v="Uruguay"/>
    <n v="0"/>
    <n v="5"/>
    <s v="FIFA World Cup qualification"/>
    <s v="Amman"/>
    <s v="Jordan"/>
    <b v="0"/>
    <n v="2013"/>
    <n v="34454440140"/>
    <n v="61337621933"/>
    <x v="1"/>
    <n v="1"/>
    <x v="2"/>
  </r>
  <r>
    <x v="4682"/>
    <x v="1584"/>
    <x v="44"/>
    <s v="Mexico"/>
    <s v="New Zealand"/>
    <n v="5"/>
    <n v="1"/>
    <s v="FIFA World Cup qualification"/>
    <s v="Mexico City"/>
    <s v="Mexico"/>
    <b v="0"/>
    <n v="2013"/>
    <n v="1327436290282"/>
    <n v="191012364176"/>
    <x v="0"/>
    <n v="1"/>
    <x v="2"/>
  </r>
  <r>
    <x v="4683"/>
    <x v="1585"/>
    <x v="44"/>
    <s v="Greece"/>
    <s v="Romania"/>
    <n v="3"/>
    <n v="1"/>
    <s v="FIFA World Cup qualification"/>
    <s v="Piraeus"/>
    <s v="Greece"/>
    <b v="0"/>
    <n v="2013"/>
    <n v="236556279640"/>
    <n v="189798603751"/>
    <x v="1"/>
    <n v="1"/>
    <x v="2"/>
  </r>
  <r>
    <x v="4684"/>
    <x v="1585"/>
    <x v="44"/>
    <s v="Iceland"/>
    <s v="Croatia"/>
    <n v="0"/>
    <n v="0"/>
    <s v="FIFA World Cup qualification"/>
    <s v="Reykjav√≠k"/>
    <s v="Iceland"/>
    <b v="0"/>
    <n v="2013"/>
    <n v="16244319958"/>
    <n v="59846265181"/>
    <x v="0"/>
    <n v="0"/>
    <x v="1"/>
  </r>
  <r>
    <x v="4685"/>
    <x v="1585"/>
    <x v="44"/>
    <s v="Portugal"/>
    <s v="Sweden"/>
    <n v="1"/>
    <n v="0"/>
    <s v="FIFA World Cup qualification"/>
    <s v="Lisbon"/>
    <s v="Portugal"/>
    <b v="0"/>
    <n v="2013"/>
    <n v="226677408291"/>
    <n v="584125353119"/>
    <x v="0"/>
    <n v="-1"/>
    <x v="0"/>
  </r>
  <r>
    <x v="4686"/>
    <x v="1585"/>
    <x v="44"/>
    <s v="Ukraine"/>
    <s v="France"/>
    <n v="2"/>
    <n v="0"/>
    <s v="FIFA World Cup qualification"/>
    <s v="Kyiv"/>
    <s v="Ukraine"/>
    <b v="0"/>
    <n v="2013"/>
    <n v="190498811460"/>
    <n v="2816077607875"/>
    <x v="0"/>
    <n v="-1"/>
    <x v="0"/>
  </r>
  <r>
    <x v="4687"/>
    <x v="1586"/>
    <x v="44"/>
    <s v="Nigeria"/>
    <s v="Ethiopia"/>
    <n v="2"/>
    <n v="0"/>
    <s v="FIFA World Cup qualification"/>
    <s v="Calabar"/>
    <s v="Nigeria"/>
    <b v="0"/>
    <n v="2013"/>
    <n v="520117180313"/>
    <n v="47648276605"/>
    <x v="0"/>
    <n v="1"/>
    <x v="2"/>
  </r>
  <r>
    <x v="4688"/>
    <x v="1587"/>
    <x v="44"/>
    <s v="Cameroon"/>
    <s v="Tunisia"/>
    <n v="4"/>
    <n v="1"/>
    <s v="FIFA World Cup qualification"/>
    <s v="Yaound√©"/>
    <s v="Cameroon"/>
    <b v="0"/>
    <n v="2013"/>
    <n v="33728621180"/>
    <n v="48685446413"/>
    <x v="1"/>
    <n v="-1"/>
    <x v="0"/>
  </r>
  <r>
    <x v="4689"/>
    <x v="1588"/>
    <x v="44"/>
    <s v="Algeria"/>
    <s v="Burkina Faso"/>
    <n v="1"/>
    <n v="0"/>
    <s v="FIFA World Cup qualification"/>
    <s v="Blida"/>
    <s v="Algeria"/>
    <b v="0"/>
    <n v="2013"/>
    <n v="229701430292"/>
    <n v="13444300485"/>
    <x v="0"/>
    <n v="1"/>
    <x v="2"/>
  </r>
  <r>
    <x v="4690"/>
    <x v="1588"/>
    <x v="44"/>
    <s v="Croatia"/>
    <s v="Iceland"/>
    <n v="2"/>
    <n v="0"/>
    <s v="FIFA World Cup qualification"/>
    <s v="Zagreb"/>
    <s v="Croatia"/>
    <b v="0"/>
    <n v="2013"/>
    <n v="59846265181"/>
    <n v="16244319958"/>
    <x v="0"/>
    <n v="1"/>
    <x v="2"/>
  </r>
  <r>
    <x v="4691"/>
    <x v="1588"/>
    <x v="44"/>
    <s v="Egypt"/>
    <s v="Ghana"/>
    <n v="2"/>
    <n v="1"/>
    <s v="FIFA World Cup qualification"/>
    <s v="Cairo"/>
    <s v="Egypt"/>
    <b v="0"/>
    <n v="2013"/>
    <n v="288434108527"/>
    <n v="62845721959"/>
    <x v="0"/>
    <n v="1"/>
    <x v="2"/>
  </r>
  <r>
    <x v="4692"/>
    <x v="1588"/>
    <x v="44"/>
    <s v="France"/>
    <s v="Ukraine"/>
    <n v="3"/>
    <n v="0"/>
    <s v="FIFA World Cup qualification"/>
    <s v="Saint-Denis"/>
    <s v="France"/>
    <b v="0"/>
    <n v="2013"/>
    <n v="2816077607875"/>
    <n v="190498811460"/>
    <x v="0"/>
    <n v="1"/>
    <x v="2"/>
  </r>
  <r>
    <x v="4693"/>
    <x v="1588"/>
    <x v="44"/>
    <s v="Romania"/>
    <s v="Greece"/>
    <n v="1"/>
    <n v="1"/>
    <s v="FIFA World Cup qualification"/>
    <s v="Bucharest"/>
    <s v="Romania"/>
    <b v="0"/>
    <n v="2013"/>
    <n v="189798603751"/>
    <n v="236556279640"/>
    <x v="1"/>
    <n v="0"/>
    <x v="1"/>
  </r>
  <r>
    <x v="4694"/>
    <x v="1588"/>
    <x v="44"/>
    <s v="Sweden"/>
    <s v="Portugal"/>
    <n v="2"/>
    <n v="3"/>
    <s v="FIFA World Cup qualification"/>
    <s v="Solna"/>
    <s v="Sweden"/>
    <b v="0"/>
    <n v="2013"/>
    <n v="584125353119"/>
    <n v="226677408291"/>
    <x v="0"/>
    <n v="-1"/>
    <x v="0"/>
  </r>
  <r>
    <x v="4695"/>
    <x v="1589"/>
    <x v="44"/>
    <s v="New Zealand"/>
    <s v="Mexico"/>
    <n v="2"/>
    <n v="4"/>
    <s v="FIFA World Cup qualification"/>
    <s v="Wellington"/>
    <s v="New Zealand"/>
    <b v="0"/>
    <n v="2013"/>
    <n v="191012364176"/>
    <n v="1327436290282"/>
    <x v="0"/>
    <n v="1"/>
    <x v="2"/>
  </r>
  <r>
    <x v="4696"/>
    <x v="1589"/>
    <x v="44"/>
    <s v="Uruguay"/>
    <s v="Jordan"/>
    <n v="0"/>
    <n v="0"/>
    <s v="FIFA World Cup qualification"/>
    <s v="Montevideo"/>
    <s v="Uruguay"/>
    <b v="0"/>
    <n v="2013"/>
    <n v="61337621933"/>
    <n v="34454440140"/>
    <x v="1"/>
    <n v="0"/>
    <x v="1"/>
  </r>
  <r>
    <x v="4697"/>
    <x v="1590"/>
    <x v="45"/>
    <s v="Brazil"/>
    <s v="Croatia"/>
    <n v="3"/>
    <n v="1"/>
    <s v="FIFA World Cup"/>
    <s v="S√£o Paulo"/>
    <s v="Brazil"/>
    <b v="0"/>
    <n v="2014"/>
    <n v="2456043766032"/>
    <n v="59606934500"/>
    <x v="0"/>
    <n v="1"/>
    <x v="2"/>
  </r>
  <r>
    <x v="4698"/>
    <x v="1591"/>
    <x v="45"/>
    <s v="Chile"/>
    <s v="Australia"/>
    <n v="3"/>
    <n v="1"/>
    <s v="FIFA World Cup"/>
    <s v="Cuiab√°"/>
    <s v="Brazil"/>
    <b v="1"/>
    <n v="2014"/>
    <n v="259560978224"/>
    <n v="1474677007565"/>
    <x v="0"/>
    <n v="-1"/>
    <x v="0"/>
  </r>
  <r>
    <x v="4699"/>
    <x v="1591"/>
    <x v="45"/>
    <s v="Mexico"/>
    <s v="Cameroon"/>
    <n v="1"/>
    <n v="0"/>
    <s v="FIFA World Cup"/>
    <s v="Natal"/>
    <s v="Brazil"/>
    <b v="1"/>
    <n v="2014"/>
    <n v="1364507717614"/>
    <n v="36386544706"/>
    <x v="0"/>
    <n v="1"/>
    <x v="2"/>
  </r>
  <r>
    <x v="4700"/>
    <x v="1591"/>
    <x v="45"/>
    <s v="Spain"/>
    <s v="Netherlands"/>
    <n v="1"/>
    <n v="5"/>
    <s v="FIFA World Cup"/>
    <s v="Salvador"/>
    <s v="Brazil"/>
    <b v="1"/>
    <n v="2014"/>
    <n v="1380244561361"/>
    <n v="901556501756"/>
    <x v="1"/>
    <n v="-1"/>
    <x v="0"/>
  </r>
  <r>
    <x v="4701"/>
    <x v="1592"/>
    <x v="45"/>
    <s v="Colombia"/>
    <s v="Greece"/>
    <n v="3"/>
    <n v="0"/>
    <s v="FIFA World Cup"/>
    <s v="Belo Horizonte"/>
    <s v="Brazil"/>
    <b v="1"/>
    <n v="2014"/>
    <n v="381240864422"/>
    <n v="233911581521"/>
    <x v="1"/>
    <n v="1"/>
    <x v="2"/>
  </r>
  <r>
    <x v="4702"/>
    <x v="1592"/>
    <x v="45"/>
    <s v="England"/>
    <s v="Italy"/>
    <n v="1"/>
    <n v="2"/>
    <s v="FIFA World Cup"/>
    <s v="Manaus"/>
    <s v="Brazil"/>
    <b v="1"/>
    <n v="2014"/>
    <n v="3085362169410"/>
    <n v="2173255507985"/>
    <x v="1"/>
    <n v="-1"/>
    <x v="0"/>
  </r>
  <r>
    <x v="4703"/>
    <x v="1592"/>
    <x v="45"/>
    <s v="Uruguay"/>
    <s v="Costa Rica"/>
    <n v="1"/>
    <n v="3"/>
    <s v="FIFA World Cup"/>
    <s v="Fortaleza"/>
    <s v="Brazil"/>
    <b v="1"/>
    <n v="2014"/>
    <n v="61496186973"/>
    <n v="52016408854"/>
    <x v="1"/>
    <n v="-1"/>
    <x v="0"/>
  </r>
  <r>
    <x v="4704"/>
    <x v="1593"/>
    <x v="45"/>
    <s v="Argentina"/>
    <s v="Bosnia and Herzegovina"/>
    <n v="2"/>
    <n v="1"/>
    <s v="FIFA World Cup"/>
    <s v="Rio de Janeiro"/>
    <s v="Brazil"/>
    <b v="1"/>
    <n v="2014"/>
    <n v="526319673731"/>
    <n v="18558734107"/>
    <x v="0"/>
    <n v="1"/>
    <x v="2"/>
  </r>
  <r>
    <x v="4705"/>
    <x v="1593"/>
    <x v="45"/>
    <s v="France"/>
    <s v="Honduras"/>
    <n v="3"/>
    <n v="0"/>
    <s v="FIFA World Cup"/>
    <s v="Porto Alegre"/>
    <s v="Brazil"/>
    <b v="1"/>
    <n v="2014"/>
    <n v="2861236112552"/>
    <n v="19756533971"/>
    <x v="0"/>
    <n v="1"/>
    <x v="2"/>
  </r>
  <r>
    <x v="4706"/>
    <x v="1593"/>
    <x v="45"/>
    <s v="Switzerland"/>
    <s v="Ecuador"/>
    <n v="2"/>
    <n v="1"/>
    <s v="FIFA World Cup"/>
    <s v="Bras√≠lia"/>
    <s v="Brazil"/>
    <b v="1"/>
    <n v="2014"/>
    <n v="726537808338"/>
    <n v="102717794000"/>
    <x v="0"/>
    <n v="1"/>
    <x v="2"/>
  </r>
  <r>
    <x v="4707"/>
    <x v="1594"/>
    <x v="45"/>
    <s v="Germany"/>
    <s v="Portugal"/>
    <n v="4"/>
    <n v="0"/>
    <s v="FIFA World Cup"/>
    <s v="Salvador"/>
    <s v="Brazil"/>
    <b v="1"/>
    <n v="2014"/>
    <n v="3964870735760"/>
    <n v="230078616299"/>
    <x v="0"/>
    <n v="1"/>
    <x v="2"/>
  </r>
  <r>
    <x v="4708"/>
    <x v="1594"/>
    <x v="45"/>
    <s v="Ghana"/>
    <s v="United States"/>
    <n v="1"/>
    <n v="2"/>
    <s v="FIFA World Cup"/>
    <s v="Natal"/>
    <s v="Brazil"/>
    <b v="1"/>
    <n v="2014"/>
    <n v="54678533805"/>
    <n v="17550680174000"/>
    <x v="0"/>
    <n v="1"/>
    <x v="2"/>
  </r>
  <r>
    <x v="4709"/>
    <x v="1594"/>
    <x v="45"/>
    <s v="Iran"/>
    <s v="Nigeria"/>
    <n v="0"/>
    <n v="0"/>
    <s v="FIFA World Cup"/>
    <s v="Curitiba"/>
    <s v="Brazil"/>
    <b v="1"/>
    <n v="2014"/>
    <n v="462284793280"/>
    <n v="574183763411"/>
    <x v="1"/>
    <n v="0"/>
    <x v="1"/>
  </r>
  <r>
    <x v="4710"/>
    <x v="1595"/>
    <x v="45"/>
    <s v="Belgium"/>
    <s v="Algeria"/>
    <n v="2"/>
    <n v="1"/>
    <s v="FIFA World Cup"/>
    <s v="Belo Horizonte"/>
    <s v="Brazil"/>
    <b v="1"/>
    <n v="2014"/>
    <n v="537987419164"/>
    <n v="238942664192"/>
    <x v="0"/>
    <n v="1"/>
    <x v="2"/>
  </r>
  <r>
    <x v="4711"/>
    <x v="1595"/>
    <x v="45"/>
    <s v="Brazil"/>
    <s v="Mexico"/>
    <n v="0"/>
    <n v="0"/>
    <s v="FIFA World Cup"/>
    <s v="Fortaleza"/>
    <s v="Brazil"/>
    <b v="0"/>
    <n v="2014"/>
    <n v="2456043766032"/>
    <n v="1364507717614"/>
    <x v="1"/>
    <n v="0"/>
    <x v="1"/>
  </r>
  <r>
    <x v="4712"/>
    <x v="1595"/>
    <x v="45"/>
    <s v="Russia"/>
    <s v="South Korea"/>
    <n v="1"/>
    <n v="1"/>
    <s v="FIFA World Cup"/>
    <s v="Cuiab√°"/>
    <s v="Brazil"/>
    <b v="1"/>
    <n v="2014"/>
    <n v="2059241589895"/>
    <n v="1556252422020"/>
    <x v="1"/>
    <n v="0"/>
    <x v="1"/>
  </r>
  <r>
    <x v="4713"/>
    <x v="1596"/>
    <x v="45"/>
    <s v="Australia"/>
    <s v="Netherlands"/>
    <n v="2"/>
    <n v="3"/>
    <s v="FIFA World Cup"/>
    <s v="Curitiba"/>
    <s v="Brazil"/>
    <b v="1"/>
    <n v="2014"/>
    <n v="1474677007565"/>
    <n v="901556501756"/>
    <x v="1"/>
    <n v="-1"/>
    <x v="0"/>
  </r>
  <r>
    <x v="4714"/>
    <x v="1596"/>
    <x v="45"/>
    <s v="Cameroon"/>
    <s v="Croatia"/>
    <n v="0"/>
    <n v="4"/>
    <s v="FIFA World Cup"/>
    <s v="Manaus"/>
    <s v="Brazil"/>
    <b v="1"/>
    <n v="2014"/>
    <n v="36386544706"/>
    <n v="59606934500"/>
    <x v="1"/>
    <n v="1"/>
    <x v="2"/>
  </r>
  <r>
    <x v="4715"/>
    <x v="1596"/>
    <x v="45"/>
    <s v="Spain"/>
    <s v="Chile"/>
    <n v="0"/>
    <n v="2"/>
    <s v="FIFA World Cup"/>
    <s v="Rio de Janeiro"/>
    <s v="Brazil"/>
    <b v="1"/>
    <n v="2014"/>
    <n v="1380244561361"/>
    <n v="259560978224"/>
    <x v="0"/>
    <n v="-1"/>
    <x v="0"/>
  </r>
  <r>
    <x v="4716"/>
    <x v="1597"/>
    <x v="45"/>
    <s v="Japan"/>
    <s v="Greece"/>
    <n v="0"/>
    <n v="0"/>
    <s v="FIFA World Cup"/>
    <s v="Natal"/>
    <s v="Brazil"/>
    <b v="1"/>
    <n v="2014"/>
    <n v="4896994405353"/>
    <n v="233911581521"/>
    <x v="0"/>
    <n v="0"/>
    <x v="1"/>
  </r>
  <r>
    <x v="4717"/>
    <x v="1597"/>
    <x v="45"/>
    <s v="Uruguay"/>
    <s v="England"/>
    <n v="2"/>
    <n v="1"/>
    <s v="FIFA World Cup"/>
    <s v="S√£o Paulo"/>
    <s v="Brazil"/>
    <b v="1"/>
    <n v="2014"/>
    <n v="61496186973"/>
    <n v="3085362169410"/>
    <x v="0"/>
    <n v="-1"/>
    <x v="0"/>
  </r>
  <r>
    <x v="4718"/>
    <x v="1598"/>
    <x v="45"/>
    <s v="Honduras"/>
    <s v="Ecuador"/>
    <n v="1"/>
    <n v="2"/>
    <s v="FIFA World Cup"/>
    <s v="Curitiba"/>
    <s v="Brazil"/>
    <b v="1"/>
    <n v="2014"/>
    <n v="19756533971"/>
    <n v="102717794000"/>
    <x v="0"/>
    <n v="1"/>
    <x v="2"/>
  </r>
  <r>
    <x v="4719"/>
    <x v="1598"/>
    <x v="45"/>
    <s v="Italy"/>
    <s v="Costa Rica"/>
    <n v="0"/>
    <n v="1"/>
    <s v="FIFA World Cup"/>
    <s v="Recife"/>
    <s v="Brazil"/>
    <b v="1"/>
    <n v="2014"/>
    <n v="2173255507985"/>
    <n v="52016408854"/>
    <x v="0"/>
    <n v="-1"/>
    <x v="0"/>
  </r>
  <r>
    <x v="4720"/>
    <x v="1598"/>
    <x v="45"/>
    <s v="Switzerland"/>
    <s v="France"/>
    <n v="2"/>
    <n v="5"/>
    <s v="FIFA World Cup"/>
    <s v="Salvador"/>
    <s v="Brazil"/>
    <b v="1"/>
    <n v="2014"/>
    <n v="726537808338"/>
    <n v="2861236112552"/>
    <x v="0"/>
    <n v="1"/>
    <x v="2"/>
  </r>
  <r>
    <x v="4721"/>
    <x v="1599"/>
    <x v="45"/>
    <s v="Argentina"/>
    <s v="Iran"/>
    <n v="1"/>
    <n v="0"/>
    <s v="FIFA World Cup"/>
    <s v="Belo Horizonte"/>
    <s v="Brazil"/>
    <b v="1"/>
    <n v="2014"/>
    <n v="526319673731"/>
    <n v="462284793280"/>
    <x v="1"/>
    <n v="1"/>
    <x v="2"/>
  </r>
  <r>
    <x v="4722"/>
    <x v="1599"/>
    <x v="45"/>
    <s v="Germany"/>
    <s v="Ghana"/>
    <n v="2"/>
    <n v="2"/>
    <s v="FIFA World Cup"/>
    <s v="Fortaleza"/>
    <s v="Brazil"/>
    <b v="1"/>
    <n v="2014"/>
    <n v="3964870735760"/>
    <n v="54678533805"/>
    <x v="0"/>
    <n v="0"/>
    <x v="1"/>
  </r>
  <r>
    <x v="4723"/>
    <x v="1599"/>
    <x v="45"/>
    <s v="Nigeria"/>
    <s v="Bosnia and Herzegovina"/>
    <n v="1"/>
    <n v="0"/>
    <s v="FIFA World Cup"/>
    <s v="Cuiab√°"/>
    <s v="Brazil"/>
    <b v="1"/>
    <n v="2014"/>
    <n v="574183763411"/>
    <n v="18558734107"/>
    <x v="0"/>
    <n v="1"/>
    <x v="2"/>
  </r>
  <r>
    <x v="4724"/>
    <x v="1600"/>
    <x v="45"/>
    <s v="Belgium"/>
    <s v="Russia"/>
    <n v="1"/>
    <n v="0"/>
    <s v="FIFA World Cup"/>
    <s v="Rio de Janeiro"/>
    <s v="Brazil"/>
    <b v="1"/>
    <n v="2014"/>
    <n v="537987419164"/>
    <n v="2059241589895"/>
    <x v="0"/>
    <n v="-1"/>
    <x v="0"/>
  </r>
  <r>
    <x v="4725"/>
    <x v="1600"/>
    <x v="45"/>
    <s v="South Korea"/>
    <s v="Algeria"/>
    <n v="2"/>
    <n v="4"/>
    <s v="FIFA World Cup"/>
    <s v="Porto Alegre"/>
    <s v="Brazil"/>
    <b v="1"/>
    <n v="2014"/>
    <n v="1556252422020"/>
    <n v="238942664192"/>
    <x v="0"/>
    <n v="-1"/>
    <x v="0"/>
  </r>
  <r>
    <x v="4726"/>
    <x v="1600"/>
    <x v="45"/>
    <s v="United States"/>
    <s v="Portugal"/>
    <n v="2"/>
    <n v="2"/>
    <s v="FIFA World Cup"/>
    <s v="Manaus"/>
    <s v="Brazil"/>
    <b v="1"/>
    <n v="2014"/>
    <n v="17550680174000"/>
    <n v="230078616299"/>
    <x v="0"/>
    <n v="0"/>
    <x v="1"/>
  </r>
  <r>
    <x v="4727"/>
    <x v="1601"/>
    <x v="45"/>
    <s v="Australia"/>
    <s v="Spain"/>
    <n v="0"/>
    <n v="3"/>
    <s v="FIFA World Cup"/>
    <s v="Curitiba"/>
    <s v="Brazil"/>
    <b v="1"/>
    <n v="2014"/>
    <n v="1474677007565"/>
    <n v="1380244561361"/>
    <x v="1"/>
    <n v="-1"/>
    <x v="0"/>
  </r>
  <r>
    <x v="4728"/>
    <x v="1601"/>
    <x v="45"/>
    <s v="Brazil"/>
    <s v="Cameroon"/>
    <n v="4"/>
    <n v="1"/>
    <s v="FIFA World Cup"/>
    <s v="Bras√≠lia"/>
    <s v="Brazil"/>
    <b v="0"/>
    <n v="2014"/>
    <n v="2456043766032"/>
    <n v="36386544706"/>
    <x v="0"/>
    <n v="1"/>
    <x v="2"/>
  </r>
  <r>
    <x v="4729"/>
    <x v="1601"/>
    <x v="45"/>
    <s v="Croatia"/>
    <s v="Mexico"/>
    <n v="1"/>
    <n v="3"/>
    <s v="FIFA World Cup"/>
    <s v="Recife"/>
    <s v="Brazil"/>
    <b v="1"/>
    <n v="2014"/>
    <n v="59606934500"/>
    <n v="1364507717614"/>
    <x v="0"/>
    <n v="1"/>
    <x v="2"/>
  </r>
  <r>
    <x v="4730"/>
    <x v="1601"/>
    <x v="45"/>
    <s v="Netherlands"/>
    <s v="Chile"/>
    <n v="2"/>
    <n v="0"/>
    <s v="FIFA World Cup"/>
    <s v="S√£o Paulo"/>
    <s v="Brazil"/>
    <b v="1"/>
    <n v="2014"/>
    <n v="901556501756"/>
    <n v="259560978224"/>
    <x v="0"/>
    <n v="1"/>
    <x v="2"/>
  </r>
  <r>
    <x v="4731"/>
    <x v="1602"/>
    <x v="45"/>
    <s v="Costa Rica"/>
    <s v="England"/>
    <n v="0"/>
    <n v="0"/>
    <s v="FIFA World Cup"/>
    <s v="Belo Horizonte"/>
    <s v="Brazil"/>
    <b v="1"/>
    <n v="2014"/>
    <n v="52016408854"/>
    <n v="3085362169410"/>
    <x v="0"/>
    <n v="0"/>
    <x v="1"/>
  </r>
  <r>
    <x v="4732"/>
    <x v="1602"/>
    <x v="45"/>
    <s v="Italy"/>
    <s v="Uruguay"/>
    <n v="0"/>
    <n v="1"/>
    <s v="FIFA World Cup"/>
    <s v="Natal"/>
    <s v="Brazil"/>
    <b v="1"/>
    <n v="2014"/>
    <n v="2173255507985"/>
    <n v="61496186973"/>
    <x v="0"/>
    <n v="-1"/>
    <x v="0"/>
  </r>
  <r>
    <x v="4733"/>
    <x v="1602"/>
    <x v="45"/>
    <s v="Japan"/>
    <s v="Colombia"/>
    <n v="1"/>
    <n v="4"/>
    <s v="FIFA World Cup"/>
    <s v="Cuiab√°"/>
    <s v="Brazil"/>
    <b v="1"/>
    <n v="2014"/>
    <n v="4896994405353"/>
    <n v="381240864422"/>
    <x v="0"/>
    <n v="-1"/>
    <x v="0"/>
  </r>
  <r>
    <x v="4734"/>
    <x v="1603"/>
    <x v="45"/>
    <s v="Bosnia and Herzegovina"/>
    <s v="Iran"/>
    <n v="3"/>
    <n v="1"/>
    <s v="FIFA World Cup"/>
    <s v="Salvador"/>
    <s v="Brazil"/>
    <b v="1"/>
    <n v="2014"/>
    <n v="18558734107"/>
    <n v="462284793280"/>
    <x v="0"/>
    <n v="-1"/>
    <x v="0"/>
  </r>
  <r>
    <x v="4735"/>
    <x v="1603"/>
    <x v="45"/>
    <s v="Ecuador"/>
    <s v="France"/>
    <n v="0"/>
    <n v="0"/>
    <s v="FIFA World Cup"/>
    <s v="Rio de Janeiro"/>
    <s v="Brazil"/>
    <b v="1"/>
    <n v="2014"/>
    <n v="102717794000"/>
    <n v="2861236112552"/>
    <x v="0"/>
    <n v="0"/>
    <x v="1"/>
  </r>
  <r>
    <x v="4736"/>
    <x v="1603"/>
    <x v="45"/>
    <s v="Honduras"/>
    <s v="Switzerland"/>
    <n v="0"/>
    <n v="3"/>
    <s v="FIFA World Cup"/>
    <s v="Manaus"/>
    <s v="Brazil"/>
    <b v="1"/>
    <n v="2014"/>
    <n v="19756533971"/>
    <n v="726537808338"/>
    <x v="0"/>
    <n v="1"/>
    <x v="2"/>
  </r>
  <r>
    <x v="4737"/>
    <x v="1603"/>
    <x v="45"/>
    <s v="Nigeria"/>
    <s v="Argentina"/>
    <n v="2"/>
    <n v="3"/>
    <s v="FIFA World Cup"/>
    <s v="Porto Alegre"/>
    <s v="Brazil"/>
    <b v="1"/>
    <n v="2014"/>
    <n v="574183763411"/>
    <n v="526319673731"/>
    <x v="1"/>
    <n v="-1"/>
    <x v="0"/>
  </r>
  <r>
    <x v="4738"/>
    <x v="1604"/>
    <x v="45"/>
    <s v="Algeria"/>
    <s v="Russia"/>
    <n v="1"/>
    <n v="1"/>
    <s v="FIFA World Cup"/>
    <s v="Curitiba"/>
    <s v="Brazil"/>
    <b v="1"/>
    <n v="2014"/>
    <n v="238942664192"/>
    <n v="2059241589895"/>
    <x v="0"/>
    <n v="0"/>
    <x v="1"/>
  </r>
  <r>
    <x v="4739"/>
    <x v="1604"/>
    <x v="45"/>
    <s v="South Korea"/>
    <s v="Belgium"/>
    <n v="0"/>
    <n v="1"/>
    <s v="FIFA World Cup"/>
    <s v="S√£o Paulo"/>
    <s v="Brazil"/>
    <b v="1"/>
    <n v="2014"/>
    <n v="1556252422020"/>
    <n v="537987419164"/>
    <x v="0"/>
    <n v="-1"/>
    <x v="0"/>
  </r>
  <r>
    <x v="4740"/>
    <x v="1604"/>
    <x v="45"/>
    <s v="Portugal"/>
    <s v="Ghana"/>
    <n v="2"/>
    <n v="1"/>
    <s v="FIFA World Cup"/>
    <s v="Bras√≠lia"/>
    <s v="Brazil"/>
    <b v="1"/>
    <n v="2014"/>
    <n v="230078616299"/>
    <n v="54678533805"/>
    <x v="0"/>
    <n v="1"/>
    <x v="2"/>
  </r>
  <r>
    <x v="4741"/>
    <x v="1604"/>
    <x v="45"/>
    <s v="United States"/>
    <s v="Germany"/>
    <n v="0"/>
    <n v="1"/>
    <s v="FIFA World Cup"/>
    <s v="Recife"/>
    <s v="Brazil"/>
    <b v="1"/>
    <n v="2014"/>
    <n v="17550680174000"/>
    <n v="3964870735760"/>
    <x v="0"/>
    <n v="-1"/>
    <x v="0"/>
  </r>
  <r>
    <x v="4742"/>
    <x v="1605"/>
    <x v="45"/>
    <s v="Brazil"/>
    <s v="Chile"/>
    <n v="1"/>
    <n v="1"/>
    <s v="FIFA World Cup"/>
    <s v="Belo Horizonte"/>
    <s v="Brazil"/>
    <b v="0"/>
    <n v="2014"/>
    <n v="2456043766032"/>
    <n v="259560978224"/>
    <x v="0"/>
    <n v="0"/>
    <x v="1"/>
  </r>
  <r>
    <x v="4743"/>
    <x v="1605"/>
    <x v="45"/>
    <s v="Colombia"/>
    <s v="Uruguay"/>
    <n v="2"/>
    <n v="0"/>
    <s v="FIFA World Cup"/>
    <s v="Rio de Janeiro"/>
    <s v="Brazil"/>
    <b v="1"/>
    <n v="2014"/>
    <n v="381240864422"/>
    <n v="61496186973"/>
    <x v="0"/>
    <n v="1"/>
    <x v="2"/>
  </r>
  <r>
    <x v="4744"/>
    <x v="1606"/>
    <x v="45"/>
    <s v="Costa Rica"/>
    <s v="Greece"/>
    <n v="1"/>
    <n v="1"/>
    <s v="FIFA World Cup"/>
    <s v="Recife"/>
    <s v="Brazil"/>
    <b v="1"/>
    <n v="2014"/>
    <n v="52016408854"/>
    <n v="233911581521"/>
    <x v="0"/>
    <n v="0"/>
    <x v="1"/>
  </r>
  <r>
    <x v="4745"/>
    <x v="1606"/>
    <x v="45"/>
    <s v="Netherlands"/>
    <s v="Mexico"/>
    <n v="2"/>
    <n v="1"/>
    <s v="FIFA World Cup"/>
    <s v="Fortaleza"/>
    <s v="Brazil"/>
    <b v="1"/>
    <n v="2014"/>
    <n v="901556501756"/>
    <n v="1364507717614"/>
    <x v="1"/>
    <n v="-1"/>
    <x v="0"/>
  </r>
  <r>
    <x v="4746"/>
    <x v="1607"/>
    <x v="45"/>
    <s v="France"/>
    <s v="Nigeria"/>
    <n v="2"/>
    <n v="0"/>
    <s v="FIFA World Cup"/>
    <s v="Bras√≠lia"/>
    <s v="Brazil"/>
    <b v="1"/>
    <n v="2014"/>
    <n v="2861236112552"/>
    <n v="574183763411"/>
    <x v="0"/>
    <n v="1"/>
    <x v="2"/>
  </r>
  <r>
    <x v="4747"/>
    <x v="1607"/>
    <x v="45"/>
    <s v="Germany"/>
    <s v="Algeria"/>
    <n v="2"/>
    <n v="1"/>
    <s v="FIFA World Cup"/>
    <s v="Porto Alegre"/>
    <s v="Brazil"/>
    <b v="1"/>
    <n v="2014"/>
    <n v="3964870735760"/>
    <n v="238942664192"/>
    <x v="0"/>
    <n v="1"/>
    <x v="2"/>
  </r>
  <r>
    <x v="4748"/>
    <x v="1608"/>
    <x v="45"/>
    <s v="Argentina"/>
    <s v="Switzerland"/>
    <n v="1"/>
    <n v="0"/>
    <s v="FIFA World Cup"/>
    <s v="S√£o Paulo"/>
    <s v="Brazil"/>
    <b v="1"/>
    <n v="2014"/>
    <n v="526319673731"/>
    <n v="726537808338"/>
    <x v="1"/>
    <n v="-1"/>
    <x v="0"/>
  </r>
  <r>
    <x v="4749"/>
    <x v="1608"/>
    <x v="45"/>
    <s v="Belgium"/>
    <s v="United States"/>
    <n v="2"/>
    <n v="1"/>
    <s v="FIFA World Cup"/>
    <s v="Salvador"/>
    <s v="Brazil"/>
    <b v="1"/>
    <n v="2014"/>
    <n v="537987419164"/>
    <n v="17550680174000"/>
    <x v="0"/>
    <n v="-1"/>
    <x v="0"/>
  </r>
  <r>
    <x v="4750"/>
    <x v="1609"/>
    <x v="45"/>
    <s v="Brazil"/>
    <s v="Colombia"/>
    <n v="2"/>
    <n v="1"/>
    <s v="FIFA World Cup"/>
    <s v="Fortaleza"/>
    <s v="Brazil"/>
    <b v="0"/>
    <n v="2014"/>
    <n v="2456043766032"/>
    <n v="381240864422"/>
    <x v="0"/>
    <n v="1"/>
    <x v="2"/>
  </r>
  <r>
    <x v="4751"/>
    <x v="1609"/>
    <x v="45"/>
    <s v="France"/>
    <s v="Germany"/>
    <n v="0"/>
    <n v="1"/>
    <s v="FIFA World Cup"/>
    <s v="Rio de Janeiro"/>
    <s v="Brazil"/>
    <b v="1"/>
    <n v="2014"/>
    <n v="2861236112552"/>
    <n v="3964870735760"/>
    <x v="1"/>
    <n v="1"/>
    <x v="2"/>
  </r>
  <r>
    <x v="4752"/>
    <x v="1610"/>
    <x v="45"/>
    <s v="Argentina"/>
    <s v="Belgium"/>
    <n v="1"/>
    <n v="0"/>
    <s v="FIFA World Cup"/>
    <s v="Bras√≠lia"/>
    <s v="Brazil"/>
    <b v="1"/>
    <n v="2014"/>
    <n v="526319673731"/>
    <n v="537987419164"/>
    <x v="1"/>
    <n v="-1"/>
    <x v="0"/>
  </r>
  <r>
    <x v="4753"/>
    <x v="1610"/>
    <x v="45"/>
    <s v="Netherlands"/>
    <s v="Costa Rica"/>
    <n v="0"/>
    <n v="0"/>
    <s v="FIFA World Cup"/>
    <s v="Salvador"/>
    <s v="Brazil"/>
    <b v="1"/>
    <n v="2014"/>
    <n v="901556501756"/>
    <n v="52016408854"/>
    <x v="0"/>
    <n v="0"/>
    <x v="1"/>
  </r>
  <r>
    <x v="4754"/>
    <x v="1611"/>
    <x v="45"/>
    <s v="Brazil"/>
    <s v="Germany"/>
    <n v="1"/>
    <n v="7"/>
    <s v="FIFA World Cup"/>
    <s v="Belo Horizonte"/>
    <s v="Brazil"/>
    <b v="0"/>
    <n v="2014"/>
    <n v="2456043766032"/>
    <n v="3964870735760"/>
    <x v="1"/>
    <n v="1"/>
    <x v="2"/>
  </r>
  <r>
    <x v="4755"/>
    <x v="1612"/>
    <x v="45"/>
    <s v="Netherlands"/>
    <s v="Argentina"/>
    <n v="0"/>
    <n v="0"/>
    <s v="FIFA World Cup"/>
    <s v="S√£o Paulo"/>
    <s v="Brazil"/>
    <b v="1"/>
    <n v="2014"/>
    <n v="901556501756"/>
    <n v="526319673731"/>
    <x v="1"/>
    <n v="0"/>
    <x v="1"/>
  </r>
  <r>
    <x v="4756"/>
    <x v="1613"/>
    <x v="45"/>
    <s v="Brazil"/>
    <s v="Netherlands"/>
    <n v="0"/>
    <n v="3"/>
    <s v="FIFA World Cup"/>
    <s v="Bras√≠lia"/>
    <s v="Brazil"/>
    <b v="0"/>
    <n v="2014"/>
    <n v="2456043766032"/>
    <n v="901556501756"/>
    <x v="0"/>
    <n v="-1"/>
    <x v="0"/>
  </r>
  <r>
    <x v="4757"/>
    <x v="1614"/>
    <x v="45"/>
    <s v="Germany"/>
    <s v="Argentina"/>
    <n v="1"/>
    <n v="0"/>
    <s v="FIFA World Cup"/>
    <s v="Rio de Janeiro"/>
    <s v="Brazil"/>
    <b v="1"/>
    <n v="2014"/>
    <n v="3964870735760"/>
    <n v="526319673731"/>
    <x v="0"/>
    <n v="1"/>
    <x v="2"/>
  </r>
  <r>
    <x v="4758"/>
    <x v="1615"/>
    <x v="46"/>
    <s v="Timor-Leste"/>
    <s v="Mongolia"/>
    <n v="0"/>
    <n v="3"/>
    <s v="FIFA World Cup qualification"/>
    <s v="Dili"/>
    <s v="Timor-Leste"/>
    <b v="0"/>
    <n v="2015"/>
    <n v="1590282371"/>
    <n v="11619892590"/>
    <x v="0"/>
    <n v="1"/>
    <x v="2"/>
  </r>
  <r>
    <x v="4759"/>
    <x v="1615"/>
    <x v="46"/>
    <s v="India"/>
    <s v="Nepal"/>
    <n v="2"/>
    <n v="0"/>
    <s v="FIFA World Cup qualification"/>
    <s v="Guwahati"/>
    <s v="India"/>
    <b v="0"/>
    <n v="2015"/>
    <n v="2103588360044"/>
    <n v="24360801286"/>
    <x v="0"/>
    <n v="1"/>
    <x v="2"/>
  </r>
  <r>
    <x v="4760"/>
    <x v="1615"/>
    <x v="46"/>
    <s v="Sri Lanka"/>
    <s v="Bhutan"/>
    <n v="0"/>
    <n v="1"/>
    <s v="FIFA World Cup qualification"/>
    <s v="Colombo"/>
    <s v="Sri Lanka"/>
    <b v="0"/>
    <n v="2015"/>
    <n v="85090301052"/>
    <n v="2187815803"/>
    <x v="0"/>
    <n v="-1"/>
    <x v="0"/>
  </r>
  <r>
    <x v="4761"/>
    <x v="1616"/>
    <x v="46"/>
    <s v="Bhutan"/>
    <s v="Sri Lanka"/>
    <n v="2"/>
    <n v="1"/>
    <s v="FIFA World Cup qualification"/>
    <s v="Thimphu"/>
    <s v="Bhutan"/>
    <b v="0"/>
    <n v="2015"/>
    <n v="2187815803"/>
    <n v="85090301052"/>
    <x v="0"/>
    <n v="-1"/>
    <x v="0"/>
  </r>
  <r>
    <x v="4762"/>
    <x v="1616"/>
    <x v="46"/>
    <s v="Mongolia"/>
    <s v="Timor-Leste"/>
    <n v="3"/>
    <n v="0"/>
    <s v="FIFA World Cup qualification"/>
    <s v="Ulan Bator"/>
    <s v="Mongolia"/>
    <b v="0"/>
    <n v="2015"/>
    <n v="11619892590"/>
    <n v="1590282371"/>
    <x v="0"/>
    <n v="1"/>
    <x v="2"/>
  </r>
  <r>
    <x v="4763"/>
    <x v="1616"/>
    <x v="46"/>
    <s v="Nepal"/>
    <s v="India"/>
    <n v="0"/>
    <n v="0"/>
    <s v="FIFA World Cup qualification"/>
    <s v="Kathmandu"/>
    <s v="Nepal"/>
    <b v="0"/>
    <n v="2015"/>
    <n v="24360801286"/>
    <n v="2103588360044"/>
    <x v="0"/>
    <n v="0"/>
    <x v="1"/>
  </r>
  <r>
    <x v="4764"/>
    <x v="1617"/>
    <x v="46"/>
    <s v="Barbados"/>
    <s v="United States Virgin Islands"/>
    <n v="0"/>
    <n v="1"/>
    <s v="FIFA World Cup qualification"/>
    <s v="Bridgetown"/>
    <s v="Barbados"/>
    <b v="0"/>
    <n v="2015"/>
    <n v="5698150000"/>
    <n v="3663000000"/>
    <x v="1"/>
    <n v="-1"/>
    <x v="0"/>
  </r>
  <r>
    <x v="4765"/>
    <x v="1618"/>
    <x v="46"/>
    <s v="United States Virgin Islands"/>
    <s v="Barbados"/>
    <n v="0"/>
    <n v="4"/>
    <s v="FIFA World Cup qualification"/>
    <s v="Charlotte Amalie"/>
    <s v="United States Virgin Islands"/>
    <b v="0"/>
    <n v="2015"/>
    <n v="3663000000"/>
    <n v="5698150000"/>
    <x v="1"/>
    <n v="1"/>
    <x v="2"/>
  </r>
  <r>
    <x v="4766"/>
    <x v="1619"/>
    <x v="46"/>
    <s v="Cayman Islands"/>
    <s v="Belize"/>
    <n v="1"/>
    <n v="1"/>
    <s v="FIFA World Cup qualification"/>
    <s v="George Town"/>
    <s v="Cayman Islands"/>
    <b v="0"/>
    <n v="2015"/>
    <n v="4708167255"/>
    <n v="2193095150"/>
    <x v="0"/>
    <n v="0"/>
    <x v="1"/>
  </r>
  <r>
    <x v="4767"/>
    <x v="1620"/>
    <x v="46"/>
    <s v="Thailand"/>
    <s v="Vietnam"/>
    <n v="1"/>
    <n v="0"/>
    <s v="FIFA World Cup qualification"/>
    <s v="Bangkok"/>
    <s v="Thailand"/>
    <b v="0"/>
    <n v="2015"/>
    <n v="401296238228"/>
    <n v="239258328381"/>
    <x v="1"/>
    <n v="1"/>
    <x v="2"/>
  </r>
  <r>
    <x v="4768"/>
    <x v="1621"/>
    <x v="46"/>
    <s v="Nicaragua"/>
    <s v="Suriname"/>
    <n v="1"/>
    <n v="0"/>
    <s v="FIFA World Cup qualification"/>
    <s v="Managua"/>
    <s v="Nicaragua"/>
    <b v="0"/>
    <n v="2015"/>
    <n v="12756696261"/>
    <n v="5126237646"/>
    <x v="0"/>
    <n v="1"/>
    <x v="2"/>
  </r>
  <r>
    <x v="4769"/>
    <x v="1622"/>
    <x v="46"/>
    <s v="Aruba"/>
    <s v="Barbados"/>
    <n v="0"/>
    <n v="2"/>
    <s v="FIFA World Cup qualification"/>
    <s v="Oranjestad"/>
    <s v="Aruba"/>
    <b v="0"/>
    <n v="2015"/>
    <n v="2962906703"/>
    <n v="5698150000"/>
    <x v="1"/>
    <n v="1"/>
    <x v="2"/>
  </r>
  <r>
    <x v="4770"/>
    <x v="1623"/>
    <x v="46"/>
    <s v="Afghanistan"/>
    <s v="Syria"/>
    <n v="0"/>
    <n v="6"/>
    <s v="FIFA World Cup qualification"/>
    <s v="Mashhad"/>
    <s v="Iran"/>
    <b v="1"/>
    <n v="2015"/>
    <n v="19134221644"/>
    <n v="16466863117"/>
    <x v="1"/>
    <n v="-1"/>
    <x v="0"/>
  </r>
  <r>
    <x v="4771"/>
    <x v="1623"/>
    <x v="46"/>
    <s v="Cambodia"/>
    <s v="Singapore"/>
    <n v="0"/>
    <n v="4"/>
    <s v="FIFA World Cup qualification"/>
    <s v="Phnom Penh"/>
    <s v="Cambodia"/>
    <b v="0"/>
    <n v="2015"/>
    <n v="24174170369"/>
    <n v="307998545269"/>
    <x v="0"/>
    <n v="1"/>
    <x v="2"/>
  </r>
  <r>
    <x v="4772"/>
    <x v="1623"/>
    <x v="46"/>
    <s v="Dominican Republic"/>
    <s v="Belize"/>
    <n v="1"/>
    <n v="2"/>
    <s v="FIFA World Cup qualification"/>
    <s v="Santo Domingo"/>
    <s v="Dominican Republic"/>
    <b v="0"/>
    <n v="2015"/>
    <n v="70966782572"/>
    <n v="2193095150"/>
    <x v="0"/>
    <n v="-1"/>
    <x v="0"/>
  </r>
  <r>
    <x v="4773"/>
    <x v="1623"/>
    <x v="46"/>
    <s v="Guam"/>
    <s v="Turkmenistan"/>
    <n v="1"/>
    <n v="0"/>
    <s v="FIFA World Cup qualification"/>
    <s v="Dededo"/>
    <s v="Guam"/>
    <b v="0"/>
    <n v="2015"/>
    <n v="5799000000"/>
    <n v="35799714285"/>
    <x v="0"/>
    <n v="-1"/>
    <x v="0"/>
  </r>
  <r>
    <x v="4774"/>
    <x v="1623"/>
    <x v="46"/>
    <s v="India"/>
    <s v="Oman"/>
    <n v="1"/>
    <n v="2"/>
    <s v="FIFA World Cup qualification"/>
    <s v="Bangalore"/>
    <s v="India"/>
    <b v="0"/>
    <n v="2015"/>
    <n v="2103588360044"/>
    <n v="78710793237"/>
    <x v="0"/>
    <n v="-1"/>
    <x v="0"/>
  </r>
  <r>
    <x v="4775"/>
    <x v="1623"/>
    <x v="46"/>
    <s v="Lebanon"/>
    <s v="Kuwait"/>
    <n v="0"/>
    <n v="1"/>
    <s v="FIFA World Cup qualification"/>
    <s v="Sidon"/>
    <s v="Lebanon"/>
    <b v="0"/>
    <n v="2015"/>
    <n v="49929337836"/>
    <n v="114585555688"/>
    <x v="0"/>
    <n v="1"/>
    <x v="2"/>
  </r>
  <r>
    <x v="4776"/>
    <x v="1623"/>
    <x v="46"/>
    <s v="Malaysia"/>
    <s v="Timor-Leste"/>
    <n v="3"/>
    <n v="0"/>
    <s v="FIFA World Cup qualification"/>
    <s v="Kuala Lumpur"/>
    <s v="Malaysia"/>
    <b v="0"/>
    <n v="2015"/>
    <n v="301355266964"/>
    <n v="1590282371"/>
    <x v="0"/>
    <n v="1"/>
    <x v="2"/>
  </r>
  <r>
    <x v="4777"/>
    <x v="1623"/>
    <x v="46"/>
    <s v="Maldives"/>
    <s v="Qatar"/>
    <n v="0"/>
    <n v="1"/>
    <s v="FIFA World Cup qualification"/>
    <s v="Mal√©"/>
    <s v="Maldives"/>
    <b v="0"/>
    <n v="2015"/>
    <n v="4129505319"/>
    <n v="161739835164"/>
    <x v="0"/>
    <n v="1"/>
    <x v="2"/>
  </r>
  <r>
    <x v="4778"/>
    <x v="1623"/>
    <x v="46"/>
    <s v="Philippines"/>
    <s v="Bahrain"/>
    <n v="2"/>
    <n v="1"/>
    <s v="FIFA World Cup qualification"/>
    <s v="Bocaue"/>
    <s v="Philippines"/>
    <b v="0"/>
    <n v="2015"/>
    <n v="306445871242"/>
    <n v="32523297872"/>
    <x v="0"/>
    <n v="1"/>
    <x v="2"/>
  </r>
  <r>
    <x v="4779"/>
    <x v="1623"/>
    <x v="46"/>
    <s v="Tajikistan"/>
    <s v="Jordan"/>
    <n v="1"/>
    <n v="3"/>
    <s v="FIFA World Cup qualification"/>
    <s v="Dushanbe"/>
    <s v="Tajikistan"/>
    <b v="0"/>
    <n v="2015"/>
    <n v="8271431485"/>
    <n v="38587017887"/>
    <x v="0"/>
    <n v="1"/>
    <x v="2"/>
  </r>
  <r>
    <x v="4780"/>
    <x v="1623"/>
    <x v="46"/>
    <s v="Dominica"/>
    <s v="Canada"/>
    <n v="0"/>
    <n v="2"/>
    <s v="FIFA World Cup qualification"/>
    <s v="Roseau"/>
    <s v="Dominica"/>
    <b v="0"/>
    <n v="2015"/>
    <n v="583177777"/>
    <n v="1556508816217"/>
    <x v="0"/>
    <n v="1"/>
    <x v="2"/>
  </r>
  <r>
    <x v="4781"/>
    <x v="1624"/>
    <x v="46"/>
    <s v="Guatemala"/>
    <s v="Bermuda"/>
    <n v="0"/>
    <n v="0"/>
    <s v="FIFA World Cup qualification"/>
    <s v="Guatemala City"/>
    <s v="Guatemala"/>
    <b v="0"/>
    <n v="2015"/>
    <n v="62186066547"/>
    <n v="6654541000"/>
    <x v="0"/>
    <n v="0"/>
    <x v="1"/>
  </r>
  <r>
    <x v="4782"/>
    <x v="1625"/>
    <x v="46"/>
    <s v="Barbados"/>
    <s v="Aruba"/>
    <n v="0"/>
    <n v="3"/>
    <s v="FIFA World Cup qualification"/>
    <s v="Bridgetown"/>
    <s v="Barbados"/>
    <b v="0"/>
    <n v="2015"/>
    <n v="5698150000"/>
    <n v="2962906703"/>
    <x v="1"/>
    <n v="-1"/>
    <x v="0"/>
  </r>
  <r>
    <x v="4783"/>
    <x v="1625"/>
    <x v="46"/>
    <s v="Belize"/>
    <s v="Dominican Republic"/>
    <n v="3"/>
    <n v="0"/>
    <s v="FIFA World Cup qualification"/>
    <s v="Belmopan"/>
    <s v="Belize"/>
    <b v="0"/>
    <n v="2015"/>
    <n v="2193095150"/>
    <n v="70966782572"/>
    <x v="0"/>
    <n v="-1"/>
    <x v="0"/>
  </r>
  <r>
    <x v="4784"/>
    <x v="1626"/>
    <x v="46"/>
    <s v="Bermuda"/>
    <s v="Guatemala"/>
    <n v="0"/>
    <n v="1"/>
    <s v="FIFA World Cup qualification"/>
    <s v="Devonshire Parish"/>
    <s v="Bermuda"/>
    <b v="0"/>
    <n v="2015"/>
    <n v="6654541000"/>
    <n v="62186066547"/>
    <x v="0"/>
    <n v="1"/>
    <x v="2"/>
  </r>
  <r>
    <x v="4785"/>
    <x v="1627"/>
    <x v="46"/>
    <s v="Bangladesh"/>
    <s v="Tajikistan"/>
    <n v="1"/>
    <n v="1"/>
    <s v="FIFA World Cup qualification"/>
    <s v="Dhaka"/>
    <s v="Bangladesh"/>
    <b v="0"/>
    <n v="2015"/>
    <n v="195146608978"/>
    <n v="8271431485"/>
    <x v="0"/>
    <n v="0"/>
    <x v="1"/>
  </r>
  <r>
    <x v="4786"/>
    <x v="1627"/>
    <x v="46"/>
    <s v="Myanmar"/>
    <s v="South Korea"/>
    <n v="0"/>
    <n v="2"/>
    <s v="FIFA World Cup qualification"/>
    <s v="Bangkok"/>
    <s v="Thailand"/>
    <b v="1"/>
    <n v="2015"/>
    <n v="59607290408"/>
    <n v="1539212301135"/>
    <x v="0"/>
    <n v="1"/>
    <x v="2"/>
  </r>
  <r>
    <x v="4787"/>
    <x v="1627"/>
    <x v="46"/>
    <s v="Cambodia"/>
    <s v="Afghanistan"/>
    <n v="0"/>
    <n v="1"/>
    <s v="FIFA World Cup qualification"/>
    <s v="Phnom Penh"/>
    <s v="Cambodia"/>
    <b v="0"/>
    <n v="2015"/>
    <n v="24174170369"/>
    <n v="19134221644"/>
    <x v="1"/>
    <n v="-1"/>
    <x v="0"/>
  </r>
  <r>
    <x v="4788"/>
    <x v="1627"/>
    <x v="46"/>
    <s v="Timor-Leste"/>
    <s v="United Arab Emirates"/>
    <n v="0"/>
    <n v="3"/>
    <s v="FIFA World Cup qualification"/>
    <s v="Shah Alam"/>
    <s v="Malaysia"/>
    <b v="1"/>
    <n v="2015"/>
    <n v="1590282371"/>
    <n v="381973042886"/>
    <x v="0"/>
    <n v="1"/>
    <x v="2"/>
  </r>
  <r>
    <x v="4789"/>
    <x v="1627"/>
    <x v="46"/>
    <s v="Guam"/>
    <s v="India"/>
    <n v="2"/>
    <n v="1"/>
    <s v="FIFA World Cup qualification"/>
    <s v="Dededo"/>
    <s v="Guam"/>
    <b v="0"/>
    <n v="2015"/>
    <n v="5799000000"/>
    <n v="2103588360044"/>
    <x v="0"/>
    <n v="-1"/>
    <x v="0"/>
  </r>
  <r>
    <x v="4790"/>
    <x v="1627"/>
    <x v="46"/>
    <s v="Japan"/>
    <s v="Singapore"/>
    <n v="0"/>
    <n v="0"/>
    <s v="FIFA World Cup qualification"/>
    <s v="Saitama"/>
    <s v="Japan"/>
    <b v="0"/>
    <n v="2015"/>
    <n v="4444930651964"/>
    <n v="307998545269"/>
    <x v="0"/>
    <n v="0"/>
    <x v="1"/>
  </r>
  <r>
    <x v="4791"/>
    <x v="1627"/>
    <x v="46"/>
    <s v="Suriname"/>
    <s v="Nicaragua"/>
    <n v="1"/>
    <n v="3"/>
    <s v="FIFA World Cup qualification"/>
    <s v="Paramaribo"/>
    <s v="Suriname"/>
    <b v="0"/>
    <n v="2015"/>
    <n v="5126237646"/>
    <n v="12756696261"/>
    <x v="0"/>
    <n v="1"/>
    <x v="2"/>
  </r>
  <r>
    <x v="4792"/>
    <x v="1627"/>
    <x v="46"/>
    <s v="Turkmenistan"/>
    <s v="Iran"/>
    <n v="1"/>
    <n v="1"/>
    <s v="FIFA World Cup qualification"/>
    <s v="Da≈üoguz"/>
    <s v="Turkmenistan"/>
    <b v="0"/>
    <n v="2015"/>
    <n v="35799714285"/>
    <n v="409191686496"/>
    <x v="0"/>
    <n v="0"/>
    <x v="1"/>
  </r>
  <r>
    <x v="4793"/>
    <x v="1627"/>
    <x v="46"/>
    <s v="Canada"/>
    <s v="Dominica"/>
    <n v="4"/>
    <n v="0"/>
    <s v="FIFA World Cup qualification"/>
    <s v="Toronto"/>
    <s v="Canada"/>
    <b v="0"/>
    <n v="2015"/>
    <n v="1556508816217"/>
    <n v="583177777"/>
    <x v="0"/>
    <n v="1"/>
    <x v="2"/>
  </r>
  <r>
    <x v="4794"/>
    <x v="1628"/>
    <x v="46"/>
    <s v="Samoa"/>
    <s v="American Samoa"/>
    <n v="3"/>
    <n v="2"/>
    <s v="FIFA World Cup qualification"/>
    <s v="‚ÄòAtele"/>
    <s v="Tonga"/>
    <b v="1"/>
    <n v="2015"/>
    <n v="824150498"/>
    <n v="673000000"/>
    <x v="1"/>
    <n v="1"/>
    <x v="2"/>
  </r>
  <r>
    <x v="4795"/>
    <x v="1629"/>
    <x v="46"/>
    <s v="Tonga"/>
    <s v="American Samoa"/>
    <n v="1"/>
    <n v="2"/>
    <s v="FIFA World Cup qualification"/>
    <s v="‚ÄòAtele"/>
    <s v="Tonga"/>
    <b v="0"/>
    <n v="2015"/>
    <n v="437525514"/>
    <n v="673000000"/>
    <x v="1"/>
    <n v="1"/>
    <x v="2"/>
  </r>
  <r>
    <x v="4796"/>
    <x v="1630"/>
    <x v="46"/>
    <s v="Australia"/>
    <s v="Bangladesh"/>
    <n v="5"/>
    <n v="0"/>
    <s v="FIFA World Cup qualification"/>
    <s v="Perth"/>
    <s v="Australia"/>
    <b v="0"/>
    <n v="2015"/>
    <n v="1356805839935"/>
    <n v="195146608978"/>
    <x v="0"/>
    <n v="1"/>
    <x v="2"/>
  </r>
  <r>
    <x v="4797"/>
    <x v="1630"/>
    <x v="46"/>
    <s v="Iran"/>
    <s v="Guam"/>
    <n v="6"/>
    <n v="0"/>
    <s v="FIFA World Cup qualification"/>
    <s v="Tehran"/>
    <s v="Iran"/>
    <b v="0"/>
    <n v="2015"/>
    <n v="409191686496"/>
    <n v="5799000000"/>
    <x v="0"/>
    <n v="1"/>
    <x v="2"/>
  </r>
  <r>
    <x v="4798"/>
    <x v="1630"/>
    <x v="46"/>
    <s v="Japan"/>
    <s v="Cambodia"/>
    <n v="3"/>
    <n v="0"/>
    <s v="FIFA World Cup qualification"/>
    <s v="Saitama"/>
    <s v="Japan"/>
    <b v="0"/>
    <n v="2015"/>
    <n v="4444930651964"/>
    <n v="24174170369"/>
    <x v="0"/>
    <n v="1"/>
    <x v="2"/>
  </r>
  <r>
    <x v="4799"/>
    <x v="1630"/>
    <x v="46"/>
    <s v="Kuwait"/>
    <s v="Myanmar"/>
    <n v="9"/>
    <n v="0"/>
    <s v="FIFA World Cup qualification"/>
    <s v="Doha"/>
    <s v="Qatar"/>
    <b v="1"/>
    <n v="2015"/>
    <n v="114585555688"/>
    <n v="59607290408"/>
    <x v="1"/>
    <n v="1"/>
    <x v="2"/>
  </r>
  <r>
    <x v="4800"/>
    <x v="1630"/>
    <x v="46"/>
    <s v="Oman"/>
    <s v="Turkmenistan"/>
    <n v="3"/>
    <n v="1"/>
    <s v="FIFA World Cup qualification"/>
    <s v="Seeb"/>
    <s v="Oman"/>
    <b v="0"/>
    <n v="2015"/>
    <n v="78710793237"/>
    <n v="35799714285"/>
    <x v="0"/>
    <n v="1"/>
    <x v="2"/>
  </r>
  <r>
    <x v="4801"/>
    <x v="1630"/>
    <x v="46"/>
    <s v="Qatar"/>
    <s v="Bhutan"/>
    <n v="15"/>
    <n v="0"/>
    <s v="FIFA World Cup qualification"/>
    <s v="Doha"/>
    <s v="Qatar"/>
    <b v="0"/>
    <n v="2015"/>
    <n v="161739835164"/>
    <n v="2187815803"/>
    <x v="0"/>
    <n v="1"/>
    <x v="2"/>
  </r>
  <r>
    <x v="4802"/>
    <x v="1630"/>
    <x v="46"/>
    <s v="Saudi Arabia"/>
    <s v="Timor-Leste"/>
    <n v="7"/>
    <n v="0"/>
    <s v="FIFA World Cup qualification"/>
    <s v="Jeddah"/>
    <s v="Saudi Arabia"/>
    <b v="0"/>
    <n v="2015"/>
    <n v="693414400000"/>
    <n v="1590282371"/>
    <x v="0"/>
    <n v="1"/>
    <x v="2"/>
  </r>
  <r>
    <x v="4803"/>
    <x v="1630"/>
    <x v="46"/>
    <s v="Syria"/>
    <s v="Singapore"/>
    <n v="1"/>
    <n v="0"/>
    <s v="FIFA World Cup qualification"/>
    <s v="Muscat"/>
    <s v="Oman"/>
    <b v="1"/>
    <n v="2015"/>
    <n v="16466863117"/>
    <n v="307998545269"/>
    <x v="0"/>
    <n v="-1"/>
    <x v="0"/>
  </r>
  <r>
    <x v="4804"/>
    <x v="1630"/>
    <x v="46"/>
    <s v="United Arab Emirates"/>
    <s v="Malaysia"/>
    <n v="10"/>
    <n v="0"/>
    <s v="FIFA World Cup qualification"/>
    <s v="Abu Dhabi"/>
    <s v="United Arab Emirates"/>
    <b v="0"/>
    <n v="2015"/>
    <n v="381973042886"/>
    <n v="301355266964"/>
    <x v="1"/>
    <n v="1"/>
    <x v="2"/>
  </r>
  <r>
    <x v="4805"/>
    <x v="1631"/>
    <x v="46"/>
    <s v="Grenada"/>
    <s v="Haiti"/>
    <n v="1"/>
    <n v="3"/>
    <s v="FIFA World Cup qualification"/>
    <s v="St. George's"/>
    <s v="Grenada"/>
    <b v="0"/>
    <n v="2015"/>
    <n v="997007407"/>
    <n v="14849629308"/>
    <x v="0"/>
    <n v="1"/>
    <x v="2"/>
  </r>
  <r>
    <x v="4806"/>
    <x v="1631"/>
    <x v="46"/>
    <s v="Tonga"/>
    <s v="Samoa"/>
    <n v="0"/>
    <n v="3"/>
    <s v="FIFA World Cup qualification"/>
    <s v="‚ÄòAtele"/>
    <s v="Tonga"/>
    <b v="0"/>
    <n v="2015"/>
    <n v="437525514"/>
    <n v="824150498"/>
    <x v="1"/>
    <n v="1"/>
    <x v="2"/>
  </r>
  <r>
    <x v="4807"/>
    <x v="1631"/>
    <x v="46"/>
    <s v="Antigua and Barbuda"/>
    <s v="Guatemala"/>
    <n v="1"/>
    <n v="0"/>
    <s v="FIFA World Cup qualification"/>
    <s v="North Sound"/>
    <s v="Antigua and Barbuda"/>
    <b v="0"/>
    <n v="2015"/>
    <n v="1437485185"/>
    <n v="62186066547"/>
    <x v="0"/>
    <n v="-1"/>
    <x v="0"/>
  </r>
  <r>
    <x v="4808"/>
    <x v="1631"/>
    <x v="46"/>
    <s v="Canada"/>
    <s v="Belize"/>
    <n v="3"/>
    <n v="0"/>
    <s v="FIFA World Cup qualification"/>
    <s v="Toronto"/>
    <s v="Canada"/>
    <b v="0"/>
    <n v="2015"/>
    <n v="1556508816217"/>
    <n v="2193095150"/>
    <x v="0"/>
    <n v="1"/>
    <x v="2"/>
  </r>
  <r>
    <x v="4809"/>
    <x v="1631"/>
    <x v="46"/>
    <s v="Jamaica"/>
    <s v="Nicaragua"/>
    <n v="2"/>
    <n v="3"/>
    <s v="FIFA World Cup qualification"/>
    <s v="Kingston"/>
    <s v="Jamaica"/>
    <b v="0"/>
    <n v="2015"/>
    <n v="14963589915"/>
    <n v="12756696261"/>
    <x v="1"/>
    <n v="-1"/>
    <x v="0"/>
  </r>
  <r>
    <x v="4810"/>
    <x v="1632"/>
    <x v="46"/>
    <s v="Afghanistan"/>
    <s v="Japan"/>
    <n v="0"/>
    <n v="6"/>
    <s v="FIFA World Cup qualification"/>
    <s v="Tehran"/>
    <s v="Iran"/>
    <b v="1"/>
    <n v="2015"/>
    <n v="19134221644"/>
    <n v="4444930651964"/>
    <x v="0"/>
    <n v="1"/>
    <x v="2"/>
  </r>
  <r>
    <x v="4811"/>
    <x v="1632"/>
    <x v="46"/>
    <s v="Bangladesh"/>
    <s v="Jordan"/>
    <n v="0"/>
    <n v="4"/>
    <s v="FIFA World Cup qualification"/>
    <s v="Dhaka"/>
    <s v="Bangladesh"/>
    <b v="0"/>
    <n v="2015"/>
    <n v="195146608978"/>
    <n v="38587017887"/>
    <x v="0"/>
    <n v="-1"/>
    <x v="0"/>
  </r>
  <r>
    <x v="4812"/>
    <x v="1632"/>
    <x v="46"/>
    <s v="Cambodia"/>
    <s v="Syria"/>
    <n v="0"/>
    <n v="6"/>
    <s v="FIFA World Cup qualification"/>
    <s v="Phnom Penh"/>
    <s v="Cambodia"/>
    <b v="0"/>
    <n v="2015"/>
    <n v="24174170369"/>
    <n v="16466863117"/>
    <x v="1"/>
    <n v="-1"/>
    <x v="0"/>
  </r>
  <r>
    <x v="4813"/>
    <x v="1632"/>
    <x v="46"/>
    <s v="Guam"/>
    <s v="Oman"/>
    <n v="0"/>
    <n v="0"/>
    <s v="FIFA World Cup qualification"/>
    <s v="Dededo"/>
    <s v="Guam"/>
    <b v="0"/>
    <n v="2015"/>
    <n v="5799000000"/>
    <n v="78710793237"/>
    <x v="0"/>
    <n v="0"/>
    <x v="1"/>
  </r>
  <r>
    <x v="4814"/>
    <x v="1632"/>
    <x v="46"/>
    <s v="India"/>
    <s v="Iran"/>
    <n v="0"/>
    <n v="3"/>
    <s v="FIFA World Cup qualification"/>
    <s v="Bangalore"/>
    <s v="India"/>
    <b v="0"/>
    <n v="2015"/>
    <n v="2103588360044"/>
    <n v="409191686496"/>
    <x v="0"/>
    <n v="-1"/>
    <x v="0"/>
  </r>
  <r>
    <x v="4815"/>
    <x v="1632"/>
    <x v="46"/>
    <s v="Lebanon"/>
    <s v="South Korea"/>
    <n v="0"/>
    <n v="3"/>
    <s v="FIFA World Cup qualification"/>
    <s v="Sidon"/>
    <s v="Lebanon"/>
    <b v="0"/>
    <n v="2015"/>
    <n v="49929337836"/>
    <n v="1539212301135"/>
    <x v="0"/>
    <n v="1"/>
    <x v="2"/>
  </r>
  <r>
    <x v="4816"/>
    <x v="1632"/>
    <x v="46"/>
    <s v="Malaysia"/>
    <s v="Saudi Arabia"/>
    <n v="0"/>
    <n v="3"/>
    <s v="FIFA World Cup qualification"/>
    <s v="Shah Alam"/>
    <s v="Malaysia"/>
    <b v="0"/>
    <n v="2015"/>
    <n v="301355266964"/>
    <n v="693414400000"/>
    <x v="0"/>
    <n v="1"/>
    <x v="2"/>
  </r>
  <r>
    <x v="4817"/>
    <x v="1632"/>
    <x v="46"/>
    <s v="Philippines"/>
    <s v="Uzbekistan"/>
    <n v="1"/>
    <n v="5"/>
    <s v="FIFA World Cup qualification"/>
    <s v="Bocaue"/>
    <s v="Philippines"/>
    <b v="0"/>
    <n v="2015"/>
    <n v="306445871242"/>
    <n v="86196264755"/>
    <x v="0"/>
    <n v="-1"/>
    <x v="0"/>
  </r>
  <r>
    <x v="4818"/>
    <x v="1632"/>
    <x v="46"/>
    <s v="Tajikistan"/>
    <s v="Australia"/>
    <n v="0"/>
    <n v="3"/>
    <s v="FIFA World Cup qualification"/>
    <s v="Dushanbe"/>
    <s v="Tajikistan"/>
    <b v="0"/>
    <n v="2015"/>
    <n v="8271431485"/>
    <n v="1356805839935"/>
    <x v="0"/>
    <n v="1"/>
    <x v="2"/>
  </r>
  <r>
    <x v="4819"/>
    <x v="1632"/>
    <x v="46"/>
    <s v="Thailand"/>
    <s v="Iraq"/>
    <n v="2"/>
    <n v="2"/>
    <s v="FIFA World Cup qualification"/>
    <s v="Bangkok"/>
    <s v="Thailand"/>
    <b v="0"/>
    <n v="2015"/>
    <n v="401296238228"/>
    <n v="166774104959"/>
    <x v="0"/>
    <n v="0"/>
    <x v="1"/>
  </r>
  <r>
    <x v="4820"/>
    <x v="1632"/>
    <x v="46"/>
    <s v="Belize"/>
    <s v="Canada"/>
    <n v="1"/>
    <n v="1"/>
    <s v="FIFA World Cup qualification"/>
    <s v="Belmopan"/>
    <s v="Belize"/>
    <b v="0"/>
    <n v="2015"/>
    <n v="2193095150"/>
    <n v="1556508816217"/>
    <x v="0"/>
    <n v="0"/>
    <x v="1"/>
  </r>
  <r>
    <x v="4821"/>
    <x v="1632"/>
    <x v="46"/>
    <s v="Guatemala"/>
    <s v="Antigua and Barbuda"/>
    <n v="2"/>
    <n v="0"/>
    <s v="FIFA World Cup qualification"/>
    <s v="Guatemala City"/>
    <s v="Guatemala"/>
    <b v="0"/>
    <n v="2015"/>
    <n v="62186066547"/>
    <n v="1437485185"/>
    <x v="0"/>
    <n v="1"/>
    <x v="2"/>
  </r>
  <r>
    <x v="4822"/>
    <x v="1632"/>
    <x v="46"/>
    <s v="Haiti"/>
    <s v="Grenada"/>
    <n v="3"/>
    <n v="0"/>
    <s v="FIFA World Cup qualification"/>
    <s v="Port-au-Prince"/>
    <s v="Haiti"/>
    <b v="0"/>
    <n v="2015"/>
    <n v="14849629308"/>
    <n v="997007407"/>
    <x v="0"/>
    <n v="1"/>
    <x v="2"/>
  </r>
  <r>
    <x v="4823"/>
    <x v="1632"/>
    <x v="46"/>
    <s v="Nicaragua"/>
    <s v="Jamaica"/>
    <n v="0"/>
    <n v="2"/>
    <s v="FIFA World Cup qualification"/>
    <s v="Managua"/>
    <s v="Nicaragua"/>
    <b v="0"/>
    <n v="2015"/>
    <n v="12756696261"/>
    <n v="14963589915"/>
    <x v="1"/>
    <n v="1"/>
    <x v="2"/>
  </r>
  <r>
    <x v="4824"/>
    <x v="1633"/>
    <x v="46"/>
    <s v="Comoros"/>
    <s v="Lesotho"/>
    <n v="0"/>
    <n v="0"/>
    <s v="FIFA World Cup qualification"/>
    <s v="Moroni"/>
    <s v="Comoros"/>
    <b v="0"/>
    <n v="2015"/>
    <n v="966029600"/>
    <n v="2359686724"/>
    <x v="0"/>
    <n v="0"/>
    <x v="1"/>
  </r>
  <r>
    <x v="4825"/>
    <x v="1633"/>
    <x v="46"/>
    <s v="Mauritius"/>
    <s v="Kenya"/>
    <n v="2"/>
    <n v="5"/>
    <s v="FIFA World Cup qualification"/>
    <s v="Mapou"/>
    <s v="Mauritius"/>
    <b v="0"/>
    <n v="2015"/>
    <n v="12162211503"/>
    <n v="70120446896"/>
    <x v="0"/>
    <n v="1"/>
    <x v="2"/>
  </r>
  <r>
    <x v="4826"/>
    <x v="1633"/>
    <x v="46"/>
    <s v="Seychelles"/>
    <s v="Burundi"/>
    <n v="0"/>
    <n v="1"/>
    <s v="FIFA World Cup qualification"/>
    <s v="Roche Caiman"/>
    <s v="Seychelles"/>
    <b v="0"/>
    <n v="2015"/>
    <n v="1432403352"/>
    <n v="2810532912"/>
    <x v="1"/>
    <n v="1"/>
    <x v="2"/>
  </r>
  <r>
    <x v="4827"/>
    <x v="1633"/>
    <x v="46"/>
    <s v="South Sudan"/>
    <s v="Mauritania"/>
    <n v="1"/>
    <n v="1"/>
    <s v="FIFA World Cup qualification"/>
    <s v="Juba"/>
    <s v="South Sudan"/>
    <b v="0"/>
    <n v="2015"/>
    <n v="11997800760"/>
    <n v="6166863896"/>
    <x v="1"/>
    <n v="0"/>
    <x v="1"/>
  </r>
  <r>
    <x v="4828"/>
    <x v="1633"/>
    <x v="46"/>
    <s v="Tanzania"/>
    <s v="Malawi"/>
    <n v="2"/>
    <n v="0"/>
    <s v="FIFA World Cup qualification"/>
    <s v="Dar es Salaam"/>
    <s v="Tanzania"/>
    <b v="0"/>
    <n v="2015"/>
    <n v="47413919817"/>
    <n v="9219474379"/>
    <x v="0"/>
    <n v="1"/>
    <x v="2"/>
  </r>
  <r>
    <x v="4829"/>
    <x v="1634"/>
    <x v="46"/>
    <s v="Argentina"/>
    <s v="Ecuador"/>
    <n v="0"/>
    <n v="2"/>
    <s v="FIFA World Cup qualification"/>
    <s v="Buenos Aires"/>
    <s v="Argentina"/>
    <b v="0"/>
    <n v="2015"/>
    <n v="594749285413"/>
    <n v="97209558000"/>
    <x v="0"/>
    <n v="-1"/>
    <x v="0"/>
  </r>
  <r>
    <x v="4830"/>
    <x v="1634"/>
    <x v="46"/>
    <s v="Bahrain"/>
    <s v="Uzbekistan"/>
    <n v="0"/>
    <n v="4"/>
    <s v="FIFA World Cup qualification"/>
    <s v="Riffa"/>
    <s v="Bahrain"/>
    <b v="0"/>
    <n v="2015"/>
    <n v="32523297872"/>
    <n v="86196264755"/>
    <x v="0"/>
    <n v="1"/>
    <x v="2"/>
  </r>
  <r>
    <x v="4831"/>
    <x v="1634"/>
    <x v="46"/>
    <s v="Bhutan"/>
    <s v="Maldives"/>
    <n v="3"/>
    <n v="4"/>
    <s v="FIFA World Cup qualification"/>
    <s v="Thimphu"/>
    <s v="Bhutan"/>
    <b v="0"/>
    <n v="2015"/>
    <n v="2187815803"/>
    <n v="4129505319"/>
    <x v="1"/>
    <n v="1"/>
    <x v="2"/>
  </r>
  <r>
    <x v="4832"/>
    <x v="1634"/>
    <x v="46"/>
    <s v="Bolivia"/>
    <s v="Uruguay"/>
    <n v="0"/>
    <n v="2"/>
    <s v="FIFA World Cup qualification"/>
    <s v="La Paz"/>
    <s v="Bolivia"/>
    <b v="0"/>
    <n v="2015"/>
    <n v="33000198248"/>
    <n v="57680327998"/>
    <x v="1"/>
    <n v="1"/>
    <x v="2"/>
  </r>
  <r>
    <x v="4833"/>
    <x v="1634"/>
    <x v="46"/>
    <s v="Myanmar"/>
    <s v="Lebanon"/>
    <n v="0"/>
    <n v="2"/>
    <s v="FIFA World Cup qualification"/>
    <s v="Bangkok"/>
    <s v="Thailand"/>
    <b v="1"/>
    <n v="2015"/>
    <n v="59607290408"/>
    <n v="49929337836"/>
    <x v="1"/>
    <n v="-1"/>
    <x v="0"/>
  </r>
  <r>
    <x v="4834"/>
    <x v="1634"/>
    <x v="46"/>
    <s v="Chile"/>
    <s v="Brazil"/>
    <n v="2"/>
    <n v="0"/>
    <s v="FIFA World Cup qualification"/>
    <s v="Santiago"/>
    <s v="Chile"/>
    <b v="0"/>
    <n v="2015"/>
    <n v="242450355830"/>
    <n v="1802211999456"/>
    <x v="0"/>
    <n v="-1"/>
    <x v="0"/>
  </r>
  <r>
    <x v="4835"/>
    <x v="1634"/>
    <x v="46"/>
    <s v="Colombia"/>
    <s v="Peru"/>
    <n v="2"/>
    <n v="0"/>
    <s v="FIFA World Cup qualification"/>
    <s v="Barranquilla"/>
    <s v="Colombia"/>
    <b v="0"/>
    <n v="2015"/>
    <n v="293492370193"/>
    <n v="189802976285"/>
    <x v="1"/>
    <n v="1"/>
    <x v="2"/>
  </r>
  <r>
    <x v="4836"/>
    <x v="1634"/>
    <x v="46"/>
    <s v="Jordan"/>
    <s v="Australia"/>
    <n v="2"/>
    <n v="0"/>
    <s v="FIFA World Cup qualification"/>
    <s v="Amman"/>
    <s v="Jordan"/>
    <b v="0"/>
    <n v="2015"/>
    <n v="38587017887"/>
    <n v="1356805839935"/>
    <x v="0"/>
    <n v="-1"/>
    <x v="0"/>
  </r>
  <r>
    <x v="4837"/>
    <x v="1634"/>
    <x v="46"/>
    <s v="Kuwait"/>
    <s v="South Korea"/>
    <n v="0"/>
    <n v="1"/>
    <s v="FIFA World Cup qualification"/>
    <s v="Kuwait City"/>
    <s v="Kuwait"/>
    <b v="0"/>
    <n v="2015"/>
    <n v="114585555688"/>
    <n v="1539212301135"/>
    <x v="0"/>
    <n v="1"/>
    <x v="2"/>
  </r>
  <r>
    <x v="4838"/>
    <x v="1634"/>
    <x v="46"/>
    <s v="Liberia"/>
    <s v="Guinea-Bissau"/>
    <n v="1"/>
    <n v="1"/>
    <s v="FIFA World Cup qualification"/>
    <s v="Monrovia"/>
    <s v="Liberia"/>
    <b v="0"/>
    <n v="2015"/>
    <n v="3227075700"/>
    <n v="1152384166"/>
    <x v="0"/>
    <n v="0"/>
    <x v="1"/>
  </r>
  <r>
    <x v="4839"/>
    <x v="1634"/>
    <x v="46"/>
    <s v="Oman"/>
    <s v="Iran"/>
    <n v="1"/>
    <n v="1"/>
    <s v="FIFA World Cup qualification"/>
    <s v="Muscat"/>
    <s v="Oman"/>
    <b v="0"/>
    <n v="2015"/>
    <n v="78710793237"/>
    <n v="409191686496"/>
    <x v="0"/>
    <n v="0"/>
    <x v="1"/>
  </r>
  <r>
    <x v="4840"/>
    <x v="1634"/>
    <x v="46"/>
    <s v="Saudi Arabia"/>
    <s v="United Arab Emirates"/>
    <n v="2"/>
    <n v="1"/>
    <s v="FIFA World Cup qualification"/>
    <s v="Jeddah"/>
    <s v="Saudi Arabia"/>
    <b v="0"/>
    <n v="2015"/>
    <n v="693414400000"/>
    <n v="381973042886"/>
    <x v="1"/>
    <n v="1"/>
    <x v="2"/>
  </r>
  <r>
    <x v="4841"/>
    <x v="1634"/>
    <x v="46"/>
    <s v="Singapore"/>
    <s v="Afghanistan"/>
    <n v="1"/>
    <n v="0"/>
    <s v="FIFA World Cup qualification"/>
    <s v="Kallang"/>
    <s v="Singapore"/>
    <b v="0"/>
    <n v="2015"/>
    <n v="307998545269"/>
    <n v="19134221644"/>
    <x v="0"/>
    <n v="1"/>
    <x v="2"/>
  </r>
  <r>
    <x v="4842"/>
    <x v="1634"/>
    <x v="46"/>
    <s v="Syria"/>
    <s v="Japan"/>
    <n v="0"/>
    <n v="3"/>
    <s v="FIFA World Cup qualification"/>
    <s v="Seeb"/>
    <s v="Oman"/>
    <b v="1"/>
    <n v="2015"/>
    <n v="16466863117"/>
    <n v="4444930651964"/>
    <x v="0"/>
    <n v="1"/>
    <x v="2"/>
  </r>
  <r>
    <x v="4843"/>
    <x v="1634"/>
    <x v="46"/>
    <s v="Turkmenistan"/>
    <s v="India"/>
    <n v="2"/>
    <n v="1"/>
    <s v="FIFA World Cup qualification"/>
    <s v="Ashgabat"/>
    <s v="Turkmenistan"/>
    <b v="0"/>
    <n v="2015"/>
    <n v="35799714285"/>
    <n v="2103588360044"/>
    <x v="0"/>
    <n v="-1"/>
    <x v="0"/>
  </r>
  <r>
    <x v="4844"/>
    <x v="1634"/>
    <x v="46"/>
    <s v="Venezuela"/>
    <s v="Paraguay"/>
    <n v="0"/>
    <n v="1"/>
    <s v="FIFA World Cup qualification"/>
    <s v="Ciudad Guayana"/>
    <s v="Venezuela"/>
    <b v="0"/>
    <n v="2015"/>
    <n v="125449241571"/>
    <n v="36211447840"/>
    <x v="0"/>
    <n v="-1"/>
    <x v="0"/>
  </r>
  <r>
    <x v="4845"/>
    <x v="1634"/>
    <x v="46"/>
    <s v="Vietnam"/>
    <s v="Iraq"/>
    <n v="1"/>
    <n v="1"/>
    <s v="FIFA World Cup qualification"/>
    <s v="Hanoi"/>
    <s v="Vietnam"/>
    <b v="0"/>
    <n v="2015"/>
    <n v="239258328381"/>
    <n v="166774104959"/>
    <x v="1"/>
    <n v="0"/>
    <x v="1"/>
  </r>
  <r>
    <x v="4846"/>
    <x v="1635"/>
    <x v="46"/>
    <s v="Djibouti"/>
    <s v="Eswatini"/>
    <n v="0"/>
    <n v="6"/>
    <s v="FIFA World Cup qualification"/>
    <s v="Djibouti"/>
    <s v="Djibouti"/>
    <b v="0"/>
    <n v="2015"/>
    <n v="2424391785"/>
    <n v="3908217914"/>
    <x v="1"/>
    <n v="1"/>
    <x v="2"/>
  </r>
  <r>
    <x v="4847"/>
    <x v="1636"/>
    <x v="46"/>
    <s v="Chad"/>
    <s v="Sierra Leone"/>
    <n v="1"/>
    <n v="0"/>
    <s v="FIFA World Cup qualification"/>
    <s v="N'Djamena"/>
    <s v="Chad"/>
    <b v="0"/>
    <n v="2015"/>
    <n v="14559599499"/>
    <n v="6788352974"/>
    <x v="0"/>
    <n v="1"/>
    <x v="2"/>
  </r>
  <r>
    <x v="4848"/>
    <x v="1636"/>
    <x v="46"/>
    <s v="Madagascar"/>
    <s v="Central African Republic"/>
    <n v="3"/>
    <n v="0"/>
    <s v="FIFA World Cup qualification"/>
    <s v="Antananarivo"/>
    <s v="Madagascar"/>
    <b v="0"/>
    <n v="2015"/>
    <n v="11323020701"/>
    <n v="1695825714"/>
    <x v="0"/>
    <n v="1"/>
    <x v="2"/>
  </r>
  <r>
    <x v="4849"/>
    <x v="1637"/>
    <x v="46"/>
    <s v="Kenya"/>
    <s v="Mauritius"/>
    <n v="0"/>
    <n v="0"/>
    <s v="FIFA World Cup qualification"/>
    <s v="Nairobi"/>
    <s v="Kenya"/>
    <b v="0"/>
    <n v="2015"/>
    <n v="70120446896"/>
    <n v="12162211503"/>
    <x v="0"/>
    <n v="0"/>
    <x v="1"/>
  </r>
  <r>
    <x v="4850"/>
    <x v="1637"/>
    <x v="46"/>
    <s v="Malawi"/>
    <s v="Tanzania"/>
    <n v="1"/>
    <n v="0"/>
    <s v="FIFA World Cup qualification"/>
    <s v="Blantyre"/>
    <s v="Malawi"/>
    <b v="0"/>
    <n v="2015"/>
    <n v="9219474379"/>
    <n v="47413919817"/>
    <x v="0"/>
    <n v="-1"/>
    <x v="0"/>
  </r>
  <r>
    <x v="4851"/>
    <x v="1638"/>
    <x v="46"/>
    <s v="Bahrain"/>
    <s v="Philippines"/>
    <n v="2"/>
    <n v="0"/>
    <s v="FIFA World Cup qualification"/>
    <s v="Riffa"/>
    <s v="Bahrain"/>
    <b v="0"/>
    <n v="2015"/>
    <n v="32523297872"/>
    <n v="306445871242"/>
    <x v="0"/>
    <n v="-1"/>
    <x v="0"/>
  </r>
  <r>
    <x v="4852"/>
    <x v="1638"/>
    <x v="46"/>
    <s v="Brazil"/>
    <s v="Venezuela"/>
    <n v="3"/>
    <n v="1"/>
    <s v="FIFA World Cup qualification"/>
    <s v="Fortaleza"/>
    <s v="Brazil"/>
    <b v="0"/>
    <n v="2015"/>
    <n v="1802211999456"/>
    <n v="125449241571"/>
    <x v="0"/>
    <n v="1"/>
    <x v="2"/>
  </r>
  <r>
    <x v="4853"/>
    <x v="1638"/>
    <x v="46"/>
    <s v="Burundi"/>
    <s v="Seychelles"/>
    <n v="2"/>
    <n v="0"/>
    <s v="FIFA World Cup qualification"/>
    <s v="Bujumbura"/>
    <s v="Burundi"/>
    <b v="0"/>
    <n v="2015"/>
    <n v="2810532912"/>
    <n v="1432403352"/>
    <x v="1"/>
    <n v="1"/>
    <x v="2"/>
  </r>
  <r>
    <x v="4854"/>
    <x v="1638"/>
    <x v="46"/>
    <s v="Timor-Leste"/>
    <s v="Malaysia"/>
    <n v="0"/>
    <n v="3"/>
    <s v="FIFA World Cup qualification"/>
    <s v="Dili"/>
    <s v="Timor-Leste"/>
    <b v="0"/>
    <n v="2015"/>
    <n v="1590282371"/>
    <n v="301355266964"/>
    <x v="0"/>
    <n v="1"/>
    <x v="2"/>
  </r>
  <r>
    <x v="4855"/>
    <x v="1638"/>
    <x v="46"/>
    <s v="Ecuador"/>
    <s v="Bolivia"/>
    <n v="2"/>
    <n v="0"/>
    <s v="FIFA World Cup qualification"/>
    <s v="Quito"/>
    <s v="Ecuador"/>
    <b v="0"/>
    <n v="2015"/>
    <n v="97209558000"/>
    <n v="33000198248"/>
    <x v="0"/>
    <n v="1"/>
    <x v="2"/>
  </r>
  <r>
    <x v="4856"/>
    <x v="1638"/>
    <x v="46"/>
    <s v="Guinea-Bissau"/>
    <s v="Liberia"/>
    <n v="1"/>
    <n v="3"/>
    <s v="FIFA World Cup qualification"/>
    <s v="Bissau"/>
    <s v="Guinea-Bissau"/>
    <b v="0"/>
    <n v="2015"/>
    <n v="1152384166"/>
    <n v="3227075700"/>
    <x v="0"/>
    <n v="1"/>
    <x v="2"/>
  </r>
  <r>
    <x v="4857"/>
    <x v="1638"/>
    <x v="46"/>
    <s v="Jordan"/>
    <s v="Tajikistan"/>
    <n v="3"/>
    <n v="0"/>
    <s v="FIFA World Cup qualification"/>
    <s v="Irbid"/>
    <s v="Jordan"/>
    <b v="0"/>
    <n v="2015"/>
    <n v="38587017887"/>
    <n v="8271431485"/>
    <x v="0"/>
    <n v="1"/>
    <x v="2"/>
  </r>
  <r>
    <x v="4858"/>
    <x v="1638"/>
    <x v="46"/>
    <s v="Kuwait"/>
    <s v="Lebanon"/>
    <n v="0"/>
    <n v="0"/>
    <s v="FIFA World Cup qualification"/>
    <s v="Kuwait City"/>
    <s v="Kuwait"/>
    <b v="0"/>
    <n v="2015"/>
    <n v="114585555688"/>
    <n v="49929337836"/>
    <x v="0"/>
    <n v="0"/>
    <x v="1"/>
  </r>
  <r>
    <x v="4859"/>
    <x v="1638"/>
    <x v="46"/>
    <s v="Lesotho"/>
    <s v="Comoros"/>
    <n v="1"/>
    <n v="1"/>
    <s v="FIFA World Cup qualification"/>
    <s v="Maseru"/>
    <s v="Lesotho"/>
    <b v="0"/>
    <n v="2015"/>
    <n v="2359686724"/>
    <n v="966029600"/>
    <x v="0"/>
    <n v="0"/>
    <x v="1"/>
  </r>
  <r>
    <x v="4860"/>
    <x v="1638"/>
    <x v="46"/>
    <s v="Madagascar"/>
    <s v="Central African Republic"/>
    <n v="2"/>
    <n v="2"/>
    <s v="FIFA World Cup qualification"/>
    <s v="Antananarivo"/>
    <s v="Madagascar"/>
    <b v="0"/>
    <n v="2015"/>
    <n v="11323020701"/>
    <n v="1695825714"/>
    <x v="0"/>
    <n v="0"/>
    <x v="1"/>
  </r>
  <r>
    <x v="4861"/>
    <x v="1638"/>
    <x v="46"/>
    <s v="Mauritania"/>
    <s v="South Sudan"/>
    <n v="4"/>
    <n v="0"/>
    <s v="FIFA World Cup qualification"/>
    <s v="Nouakchott"/>
    <s v="Mauritania"/>
    <b v="0"/>
    <n v="2015"/>
    <n v="6166863896"/>
    <n v="11997800760"/>
    <x v="1"/>
    <n v="-1"/>
    <x v="0"/>
  </r>
  <r>
    <x v="4862"/>
    <x v="1638"/>
    <x v="46"/>
    <s v="Oman"/>
    <s v="India"/>
    <n v="3"/>
    <n v="0"/>
    <s v="FIFA World Cup qualification"/>
    <s v="Muscat"/>
    <s v="Oman"/>
    <b v="0"/>
    <n v="2015"/>
    <n v="78710793237"/>
    <n v="2103588360044"/>
    <x v="0"/>
    <n v="-1"/>
    <x v="0"/>
  </r>
  <r>
    <x v="4863"/>
    <x v="1638"/>
    <x v="46"/>
    <s v="Paraguay"/>
    <s v="Argentina"/>
    <n v="0"/>
    <n v="0"/>
    <s v="FIFA World Cup qualification"/>
    <s v="Asunci√≥n"/>
    <s v="Paraguay"/>
    <b v="0"/>
    <n v="2015"/>
    <n v="36211447840"/>
    <n v="594749285413"/>
    <x v="0"/>
    <n v="0"/>
    <x v="1"/>
  </r>
  <r>
    <x v="4864"/>
    <x v="1638"/>
    <x v="46"/>
    <s v="Peru"/>
    <s v="Chile"/>
    <n v="3"/>
    <n v="4"/>
    <s v="FIFA World Cup qualification"/>
    <s v="Lima"/>
    <s v="Peru"/>
    <b v="0"/>
    <n v="2015"/>
    <n v="189802976285"/>
    <n v="242450355830"/>
    <x v="1"/>
    <n v="1"/>
    <x v="2"/>
  </r>
  <r>
    <x v="4865"/>
    <x v="1638"/>
    <x v="46"/>
    <s v="Qatar"/>
    <s v="Maldives"/>
    <n v="4"/>
    <n v="0"/>
    <s v="FIFA World Cup qualification"/>
    <s v="Doha"/>
    <s v="Qatar"/>
    <b v="0"/>
    <n v="2015"/>
    <n v="161739835164"/>
    <n v="4129505319"/>
    <x v="0"/>
    <n v="1"/>
    <x v="2"/>
  </r>
  <r>
    <x v="4866"/>
    <x v="1638"/>
    <x v="46"/>
    <s v="Sierra Leone"/>
    <s v="Chad"/>
    <n v="2"/>
    <n v="1"/>
    <s v="FIFA World Cup qualification"/>
    <s v="Port Harcourt"/>
    <s v="Nigeria"/>
    <b v="1"/>
    <n v="2015"/>
    <n v="6788352974"/>
    <n v="14559599499"/>
    <x v="0"/>
    <n v="-1"/>
    <x v="0"/>
  </r>
  <r>
    <x v="4867"/>
    <x v="1638"/>
    <x v="46"/>
    <s v="Singapore"/>
    <s v="Cambodia"/>
    <n v="2"/>
    <n v="1"/>
    <s v="FIFA World Cup qualification"/>
    <s v="Kallang"/>
    <s v="Singapore"/>
    <b v="0"/>
    <n v="2015"/>
    <n v="307998545269"/>
    <n v="24174170369"/>
    <x v="0"/>
    <n v="1"/>
    <x v="2"/>
  </r>
  <r>
    <x v="4868"/>
    <x v="1638"/>
    <x v="46"/>
    <s v="Syria"/>
    <s v="Afghanistan"/>
    <n v="5"/>
    <n v="2"/>
    <s v="FIFA World Cup qualification"/>
    <s v="Seeb"/>
    <s v="Oman"/>
    <b v="1"/>
    <n v="2015"/>
    <n v="16466863117"/>
    <n v="19134221644"/>
    <x v="1"/>
    <n v="-1"/>
    <x v="0"/>
  </r>
  <r>
    <x v="4869"/>
    <x v="1638"/>
    <x v="46"/>
    <s v="Turkmenistan"/>
    <s v="Guam"/>
    <n v="1"/>
    <n v="0"/>
    <s v="FIFA World Cup qualification"/>
    <s v="Ashgabat"/>
    <s v="Turkmenistan"/>
    <b v="0"/>
    <n v="2015"/>
    <n v="35799714285"/>
    <n v="5799000000"/>
    <x v="0"/>
    <n v="1"/>
    <x v="2"/>
  </r>
  <r>
    <x v="4870"/>
    <x v="1638"/>
    <x v="46"/>
    <s v="Uruguay"/>
    <s v="Colombia"/>
    <n v="3"/>
    <n v="0"/>
    <s v="FIFA World Cup qualification"/>
    <s v="Montevideo"/>
    <s v="Uruguay"/>
    <b v="0"/>
    <n v="2015"/>
    <n v="57680327998"/>
    <n v="293492370193"/>
    <x v="0"/>
    <n v="-1"/>
    <x v="0"/>
  </r>
  <r>
    <x v="4871"/>
    <x v="1638"/>
    <x v="46"/>
    <s v="Vietnam"/>
    <s v="Thailand"/>
    <n v="0"/>
    <n v="3"/>
    <s v="FIFA World Cup qualification"/>
    <s v="Hanoi"/>
    <s v="Vietnam"/>
    <b v="0"/>
    <n v="2015"/>
    <n v="239258328381"/>
    <n v="401296238228"/>
    <x v="1"/>
    <n v="1"/>
    <x v="2"/>
  </r>
  <r>
    <x v="4872"/>
    <x v="1639"/>
    <x v="46"/>
    <s v="Eswatini"/>
    <s v="Djibouti"/>
    <n v="2"/>
    <n v="1"/>
    <s v="FIFA World Cup qualification"/>
    <s v="Lobamba"/>
    <s v="Swaziland"/>
    <b v="0"/>
    <n v="2015"/>
    <n v="3908217914"/>
    <n v="2424391785"/>
    <x v="1"/>
    <n v="1"/>
    <x v="2"/>
  </r>
  <r>
    <x v="4873"/>
    <x v="1640"/>
    <x v="46"/>
    <s v="Mozambique"/>
    <s v="Gabon"/>
    <n v="1"/>
    <n v="0"/>
    <s v="FIFA World Cup qualification"/>
    <s v="Maputo"/>
    <s v="Mozambique"/>
    <b v="0"/>
    <n v="2015"/>
    <n v="16208985769"/>
    <n v="14383107762"/>
    <x v="1"/>
    <n v="1"/>
    <x v="2"/>
  </r>
  <r>
    <x v="4874"/>
    <x v="1640"/>
    <x v="46"/>
    <s v="Sudan"/>
    <s v="Zambia"/>
    <n v="0"/>
    <n v="1"/>
    <s v="FIFA World Cup qualification"/>
    <s v="Khartoum"/>
    <s v="Sudan"/>
    <b v="0"/>
    <n v="2015"/>
    <n v="51726758676"/>
    <n v="21251216798"/>
    <x v="0"/>
    <n v="-1"/>
    <x v="0"/>
  </r>
  <r>
    <x v="4875"/>
    <x v="1641"/>
    <x v="46"/>
    <s v="Afghanistan"/>
    <s v="Cambodia"/>
    <n v="3"/>
    <n v="0"/>
    <s v="FIFA World Cup qualification"/>
    <s v="Tehran"/>
    <s v="Iran"/>
    <b v="1"/>
    <n v="2015"/>
    <n v="19134221644"/>
    <n v="24174170369"/>
    <x v="1"/>
    <n v="-1"/>
    <x v="0"/>
  </r>
  <r>
    <x v="4876"/>
    <x v="1641"/>
    <x v="46"/>
    <s v="Benin"/>
    <s v="Burkina Faso"/>
    <n v="2"/>
    <n v="1"/>
    <s v="FIFA World Cup qualification"/>
    <s v="Cotonou"/>
    <s v="Benin"/>
    <b v="0"/>
    <n v="2015"/>
    <n v="11388160996"/>
    <n v="11832159315"/>
    <x v="1"/>
    <n v="-1"/>
    <x v="0"/>
  </r>
  <r>
    <x v="4877"/>
    <x v="1641"/>
    <x v="46"/>
    <s v="Bolivia"/>
    <s v="Venezuela"/>
    <n v="4"/>
    <n v="2"/>
    <s v="FIFA World Cup qualification"/>
    <s v="La Paz"/>
    <s v="Bolivia"/>
    <b v="0"/>
    <n v="2015"/>
    <n v="33000198248"/>
    <n v="125449241571"/>
    <x v="0"/>
    <n v="-1"/>
    <x v="0"/>
  </r>
  <r>
    <x v="4878"/>
    <x v="1641"/>
    <x v="46"/>
    <s v="Chile"/>
    <s v="Colombia"/>
    <n v="1"/>
    <n v="1"/>
    <s v="FIFA World Cup qualification"/>
    <s v="Santiago"/>
    <s v="Chile"/>
    <b v="0"/>
    <n v="2015"/>
    <n v="242450355830"/>
    <n v="293492370193"/>
    <x v="1"/>
    <n v="0"/>
    <x v="1"/>
  </r>
  <r>
    <x v="4879"/>
    <x v="1641"/>
    <x v="46"/>
    <s v="Ecuador"/>
    <s v="Uruguay"/>
    <n v="2"/>
    <n v="1"/>
    <s v="FIFA World Cup qualification"/>
    <s v="Quito"/>
    <s v="Ecuador"/>
    <b v="0"/>
    <n v="2015"/>
    <n v="97209558000"/>
    <n v="57680327998"/>
    <x v="1"/>
    <n v="1"/>
    <x v="2"/>
  </r>
  <r>
    <x v="4880"/>
    <x v="1641"/>
    <x v="46"/>
    <s v="India"/>
    <s v="Guam"/>
    <n v="1"/>
    <n v="0"/>
    <s v="FIFA World Cup qualification"/>
    <s v="Bangalore"/>
    <s v="India"/>
    <b v="0"/>
    <n v="2015"/>
    <n v="2103588360044"/>
    <n v="5799000000"/>
    <x v="0"/>
    <n v="1"/>
    <x v="2"/>
  </r>
  <r>
    <x v="4881"/>
    <x v="1641"/>
    <x v="46"/>
    <s v="Iran"/>
    <s v="Turkmenistan"/>
    <n v="3"/>
    <n v="1"/>
    <s v="FIFA World Cup qualification"/>
    <s v="Tehran"/>
    <s v="Iran"/>
    <b v="0"/>
    <n v="2015"/>
    <n v="409191686496"/>
    <n v="35799714285"/>
    <x v="0"/>
    <n v="1"/>
    <x v="2"/>
  </r>
  <r>
    <x v="4882"/>
    <x v="1641"/>
    <x v="46"/>
    <s v="South Korea"/>
    <s v="Myanmar"/>
    <n v="4"/>
    <n v="0"/>
    <s v="FIFA World Cup qualification"/>
    <s v="Suwon"/>
    <s v="South Korea"/>
    <b v="0"/>
    <n v="2015"/>
    <n v="1539212301135"/>
    <n v="59607290408"/>
    <x v="0"/>
    <n v="1"/>
    <x v="2"/>
  </r>
  <r>
    <x v="4883"/>
    <x v="1641"/>
    <x v="46"/>
    <s v="Morocco"/>
    <s v="Equatorial Guinea"/>
    <n v="2"/>
    <n v="0"/>
    <s v="FIFA World Cup qualification"/>
    <s v="Agadir"/>
    <s v="Morocco"/>
    <b v="0"/>
    <n v="2015"/>
    <n v="110413823841"/>
    <n v="13185496881"/>
    <x v="0"/>
    <n v="1"/>
    <x v="2"/>
  </r>
  <r>
    <x v="4884"/>
    <x v="1641"/>
    <x v="46"/>
    <s v="Namibia"/>
    <s v="Guinea"/>
    <n v="0"/>
    <n v="1"/>
    <s v="FIFA World Cup qualification"/>
    <s v="Windhoek"/>
    <s v="Namibia"/>
    <b v="0"/>
    <n v="2015"/>
    <n v="11335161083"/>
    <n v="8794201742"/>
    <x v="1"/>
    <n v="-1"/>
    <x v="0"/>
  </r>
  <r>
    <x v="4885"/>
    <x v="1641"/>
    <x v="46"/>
    <s v="Singapore"/>
    <s v="Japan"/>
    <n v="0"/>
    <n v="3"/>
    <s v="FIFA World Cup qualification"/>
    <s v="Kallang"/>
    <s v="Singapore"/>
    <b v="0"/>
    <n v="2015"/>
    <n v="307998545269"/>
    <n v="4444930651964"/>
    <x v="0"/>
    <n v="1"/>
    <x v="2"/>
  </r>
  <r>
    <x v="4886"/>
    <x v="1641"/>
    <x v="46"/>
    <s v="Tajikistan"/>
    <s v="Bangladesh"/>
    <n v="5"/>
    <n v="0"/>
    <s v="FIFA World Cup qualification"/>
    <s v="Dushanbe"/>
    <s v="Tajikistan"/>
    <b v="0"/>
    <n v="2015"/>
    <n v="8271431485"/>
    <n v="195146608978"/>
    <x v="0"/>
    <n v="-1"/>
    <x v="0"/>
  </r>
  <r>
    <x v="4887"/>
    <x v="1641"/>
    <x v="46"/>
    <s v="Togo"/>
    <s v="Uganda"/>
    <n v="0"/>
    <n v="1"/>
    <s v="FIFA World Cup qualification"/>
    <s v="Lom√©"/>
    <s v="Togo"/>
    <b v="0"/>
    <n v="2015"/>
    <n v="5755457836"/>
    <n v="32387183730"/>
    <x v="0"/>
    <n v="1"/>
    <x v="2"/>
  </r>
  <r>
    <x v="4888"/>
    <x v="1641"/>
    <x v="46"/>
    <s v="United Arab Emirates"/>
    <s v="Timor-Leste"/>
    <n v="8"/>
    <n v="0"/>
    <s v="FIFA World Cup qualification"/>
    <s v="Abu Dhabi"/>
    <s v="United Arab Emirates"/>
    <b v="0"/>
    <n v="2015"/>
    <n v="381973042886"/>
    <n v="1590282371"/>
    <x v="0"/>
    <n v="1"/>
    <x v="2"/>
  </r>
  <r>
    <x v="4889"/>
    <x v="1642"/>
    <x v="46"/>
    <s v="Angola"/>
    <s v="South Africa"/>
    <n v="1"/>
    <n v="3"/>
    <s v="FIFA World Cup qualification"/>
    <s v="Benguela"/>
    <s v="Angola"/>
    <b v="0"/>
    <n v="2015"/>
    <n v="102543067840"/>
    <n v="346709790458"/>
    <x v="0"/>
    <n v="1"/>
    <x v="2"/>
  </r>
  <r>
    <x v="4890"/>
    <x v="1642"/>
    <x v="46"/>
    <s v="Argentina"/>
    <s v="Brazil"/>
    <n v="1"/>
    <n v="1"/>
    <s v="FIFA World Cup qualification"/>
    <s v="Buenos Aires"/>
    <s v="Argentina"/>
    <b v="0"/>
    <n v="2015"/>
    <n v="594749285413"/>
    <n v="1802211999456"/>
    <x v="0"/>
    <n v="0"/>
    <x v="1"/>
  </r>
  <r>
    <x v="4891"/>
    <x v="1642"/>
    <x v="46"/>
    <s v="Comoros"/>
    <s v="Ghana"/>
    <n v="0"/>
    <n v="0"/>
    <s v="FIFA World Cup qualification"/>
    <s v="Mitsamiouli"/>
    <s v="Comoros"/>
    <b v="0"/>
    <n v="2015"/>
    <n v="966029600"/>
    <n v="49436806230"/>
    <x v="0"/>
    <n v="0"/>
    <x v="1"/>
  </r>
  <r>
    <x v="4892"/>
    <x v="1642"/>
    <x v="46"/>
    <s v="Costa Rica"/>
    <s v="Haiti"/>
    <n v="1"/>
    <n v="0"/>
    <s v="FIFA World Cup qualification"/>
    <s v="San Jos√©"/>
    <s v="Costa Rica"/>
    <b v="0"/>
    <n v="2015"/>
    <n v="56441920820"/>
    <n v="14849629308"/>
    <x v="0"/>
    <n v="1"/>
    <x v="2"/>
  </r>
  <r>
    <x v="4893"/>
    <x v="1642"/>
    <x v="46"/>
    <s v="Libya"/>
    <s v="Rwanda"/>
    <n v="1"/>
    <n v="0"/>
    <s v="FIFA World Cup qualification"/>
    <s v="Sfax"/>
    <s v="Tunisia"/>
    <b v="1"/>
    <n v="2015"/>
    <n v="48717501321"/>
    <n v="8543760199"/>
    <x v="0"/>
    <n v="1"/>
    <x v="2"/>
  </r>
  <r>
    <x v="4894"/>
    <x v="1642"/>
    <x v="46"/>
    <s v="Madagascar"/>
    <s v="Senegal"/>
    <n v="2"/>
    <n v="2"/>
    <s v="FIFA World Cup qualification"/>
    <s v="Antananarivo"/>
    <s v="Madagascar"/>
    <b v="0"/>
    <n v="2015"/>
    <n v="11323020701"/>
    <n v="17774766696"/>
    <x v="1"/>
    <n v="0"/>
    <x v="1"/>
  </r>
  <r>
    <x v="4895"/>
    <x v="1642"/>
    <x v="46"/>
    <s v="Mauritania"/>
    <s v="Tunisia"/>
    <n v="1"/>
    <n v="2"/>
    <s v="FIFA World Cup qualification"/>
    <s v="Nouakchott"/>
    <s v="Mauritania"/>
    <b v="0"/>
    <n v="2015"/>
    <n v="6166863896"/>
    <n v="45779494041"/>
    <x v="0"/>
    <n v="1"/>
    <x v="2"/>
  </r>
  <r>
    <x v="4896"/>
    <x v="1642"/>
    <x v="46"/>
    <s v="Niger"/>
    <s v="Cameroon"/>
    <n v="0"/>
    <n v="3"/>
    <s v="FIFA World Cup qualification"/>
    <s v="Niamey"/>
    <s v="Niger"/>
    <b v="0"/>
    <n v="2015"/>
    <n v="9683867926"/>
    <n v="32210233020"/>
    <x v="0"/>
    <n v="1"/>
    <x v="2"/>
  </r>
  <r>
    <x v="4897"/>
    <x v="1642"/>
    <x v="46"/>
    <s v="Peru"/>
    <s v="Paraguay"/>
    <n v="1"/>
    <n v="0"/>
    <s v="FIFA World Cup qualification"/>
    <s v="Lima"/>
    <s v="Peru"/>
    <b v="0"/>
    <n v="2015"/>
    <n v="189802976285"/>
    <n v="36211447840"/>
    <x v="0"/>
    <n v="1"/>
    <x v="2"/>
  </r>
  <r>
    <x v="4898"/>
    <x v="1642"/>
    <x v="46"/>
    <s v="Eswatini"/>
    <s v="Nigeria"/>
    <n v="0"/>
    <n v="0"/>
    <s v="FIFA World Cup qualification"/>
    <s v="Lobamba"/>
    <s v="Swaziland"/>
    <b v="0"/>
    <n v="2015"/>
    <n v="3908217914"/>
    <n v="493026682800"/>
    <x v="0"/>
    <n v="0"/>
    <x v="1"/>
  </r>
  <r>
    <x v="4899"/>
    <x v="1642"/>
    <x v="46"/>
    <s v="Canada"/>
    <s v="Honduras"/>
    <n v="1"/>
    <n v="0"/>
    <s v="FIFA World Cup qualification"/>
    <s v="Vancouver"/>
    <s v="Canada"/>
    <b v="0"/>
    <n v="2015"/>
    <n v="1556508816217"/>
    <n v="20979791685"/>
    <x v="0"/>
    <n v="1"/>
    <x v="2"/>
  </r>
  <r>
    <x v="4900"/>
    <x v="1642"/>
    <x v="46"/>
    <s v="Guatemala"/>
    <s v="Trinidad and Tobago"/>
    <n v="1"/>
    <n v="2"/>
    <s v="FIFA World Cup qualification"/>
    <s v="Guatemala City"/>
    <s v="Guatemala"/>
    <b v="0"/>
    <n v="2015"/>
    <n v="62186066547"/>
    <n v="26841141793"/>
    <x v="0"/>
    <n v="-1"/>
    <x v="0"/>
  </r>
  <r>
    <x v="4901"/>
    <x v="1642"/>
    <x v="46"/>
    <s v="Jamaica"/>
    <s v="Panama"/>
    <n v="0"/>
    <n v="2"/>
    <s v="FIFA World Cup qualification"/>
    <s v="Kingston"/>
    <s v="Jamaica"/>
    <b v="0"/>
    <n v="2015"/>
    <n v="14963589915"/>
    <n v="55767806073"/>
    <x v="0"/>
    <n v="1"/>
    <x v="2"/>
  </r>
  <r>
    <x v="4902"/>
    <x v="1642"/>
    <x v="46"/>
    <s v="Mexico"/>
    <s v="El Salvador"/>
    <n v="3"/>
    <n v="0"/>
    <s v="FIFA World Cup qualification"/>
    <s v="Mexico City"/>
    <s v="Mexico"/>
    <b v="0"/>
    <n v="2015"/>
    <n v="1213294467716"/>
    <n v="23438240000"/>
    <x v="0"/>
    <n v="1"/>
    <x v="2"/>
  </r>
  <r>
    <x v="4903"/>
    <x v="1643"/>
    <x v="46"/>
    <s v="Botswana"/>
    <s v="Mali"/>
    <n v="2"/>
    <n v="1"/>
    <s v="FIFA World Cup qualification"/>
    <s v="Francistown"/>
    <s v="Botswana"/>
    <b v="0"/>
    <n v="2015"/>
    <n v="13530748844"/>
    <n v="15583181170"/>
    <x v="1"/>
    <n v="-1"/>
    <x v="0"/>
  </r>
  <r>
    <x v="4904"/>
    <x v="1643"/>
    <x v="46"/>
    <s v="Chad"/>
    <s v="Egypt"/>
    <n v="1"/>
    <n v="0"/>
    <s v="FIFA World Cup qualification"/>
    <s v="N'Djamena"/>
    <s v="Chad"/>
    <b v="0"/>
    <n v="2015"/>
    <n v="14559599499"/>
    <n v="329366576819"/>
    <x v="0"/>
    <n v="-1"/>
    <x v="0"/>
  </r>
  <r>
    <x v="4905"/>
    <x v="1643"/>
    <x v="46"/>
    <s v="Gabon"/>
    <s v="Mozambique"/>
    <n v="1"/>
    <n v="0"/>
    <s v="FIFA World Cup qualification"/>
    <s v="Libreville"/>
    <s v="Gabon"/>
    <b v="0"/>
    <n v="2015"/>
    <n v="14383107762"/>
    <n v="16208985769"/>
    <x v="1"/>
    <n v="-1"/>
    <x v="0"/>
  </r>
  <r>
    <x v="4906"/>
    <x v="1643"/>
    <x v="46"/>
    <s v="Tanzania"/>
    <s v="Algeria"/>
    <n v="2"/>
    <n v="2"/>
    <s v="FIFA World Cup qualification"/>
    <s v="Dar es Salaam"/>
    <s v="Tanzania"/>
    <b v="0"/>
    <n v="2015"/>
    <n v="47413919817"/>
    <n v="187493855609"/>
    <x v="0"/>
    <n v="0"/>
    <x v="1"/>
  </r>
  <r>
    <x v="4907"/>
    <x v="1644"/>
    <x v="46"/>
    <s v="Equatorial Guinea"/>
    <s v="Morocco"/>
    <n v="1"/>
    <n v="0"/>
    <s v="FIFA World Cup qualification"/>
    <s v="Bata"/>
    <s v="Equatorial Guinea"/>
    <b v="0"/>
    <n v="2015"/>
    <n v="13185496881"/>
    <n v="110413823841"/>
    <x v="0"/>
    <n v="-1"/>
    <x v="0"/>
  </r>
  <r>
    <x v="4908"/>
    <x v="1644"/>
    <x v="46"/>
    <s v="Guinea"/>
    <s v="Namibia"/>
    <n v="2"/>
    <n v="0"/>
    <s v="FIFA World Cup qualification"/>
    <s v="Casablanca"/>
    <s v="Morocco"/>
    <b v="1"/>
    <n v="2015"/>
    <n v="8794201742"/>
    <n v="11335161083"/>
    <x v="1"/>
    <n v="-1"/>
    <x v="0"/>
  </r>
  <r>
    <x v="4909"/>
    <x v="1644"/>
    <x v="46"/>
    <s v="Uganda"/>
    <s v="Togo"/>
    <n v="3"/>
    <n v="0"/>
    <s v="FIFA World Cup qualification"/>
    <s v="Kampala"/>
    <s v="Uganda"/>
    <b v="0"/>
    <n v="2015"/>
    <n v="32387183730"/>
    <n v="5755457836"/>
    <x v="0"/>
    <n v="1"/>
    <x v="2"/>
  </r>
  <r>
    <x v="4910"/>
    <x v="1644"/>
    <x v="46"/>
    <s v="Zambia"/>
    <s v="Sudan"/>
    <n v="2"/>
    <n v="0"/>
    <s v="FIFA World Cup qualification"/>
    <s v="Ndola"/>
    <s v="Zambia"/>
    <b v="0"/>
    <n v="2015"/>
    <n v="21251216798"/>
    <n v="51726758676"/>
    <x v="0"/>
    <n v="-1"/>
    <x v="0"/>
  </r>
  <r>
    <x v="4911"/>
    <x v="1645"/>
    <x v="46"/>
    <s v="Algeria"/>
    <s v="Tanzania"/>
    <n v="7"/>
    <n v="0"/>
    <s v="FIFA World Cup qualification"/>
    <s v="Blida"/>
    <s v="Algeria"/>
    <b v="0"/>
    <n v="2015"/>
    <n v="187493855609"/>
    <n v="47413919817"/>
    <x v="0"/>
    <n v="1"/>
    <x v="2"/>
  </r>
  <r>
    <x v="4912"/>
    <x v="1645"/>
    <x v="46"/>
    <s v="Bangladesh"/>
    <s v="Australia"/>
    <n v="0"/>
    <n v="4"/>
    <s v="FIFA World Cup qualification"/>
    <s v="Dhaka"/>
    <s v="Bangladesh"/>
    <b v="0"/>
    <n v="2015"/>
    <n v="195146608978"/>
    <n v="1356805839935"/>
    <x v="0"/>
    <n v="1"/>
    <x v="2"/>
  </r>
  <r>
    <x v="4913"/>
    <x v="1645"/>
    <x v="46"/>
    <s v="Bhutan"/>
    <s v="Qatar"/>
    <n v="0"/>
    <n v="3"/>
    <s v="FIFA World Cup qualification"/>
    <s v="Thimphu"/>
    <s v="Bhutan"/>
    <b v="0"/>
    <n v="2015"/>
    <n v="2187815803"/>
    <n v="161739835164"/>
    <x v="0"/>
    <n v="1"/>
    <x v="2"/>
  </r>
  <r>
    <x v="4914"/>
    <x v="1645"/>
    <x v="46"/>
    <s v="Brazil"/>
    <s v="Peru"/>
    <n v="3"/>
    <n v="0"/>
    <s v="FIFA World Cup qualification"/>
    <s v="Salvador"/>
    <s v="Brazil"/>
    <b v="0"/>
    <n v="2015"/>
    <n v="1802211999456"/>
    <n v="189802976285"/>
    <x v="0"/>
    <n v="1"/>
    <x v="2"/>
  </r>
  <r>
    <x v="4915"/>
    <x v="1645"/>
    <x v="46"/>
    <s v="Burkina Faso"/>
    <s v="Benin"/>
    <n v="2"/>
    <n v="0"/>
    <s v="FIFA World Cup qualification"/>
    <s v="Ouagadougou"/>
    <s v="Burkina Faso"/>
    <b v="0"/>
    <n v="2015"/>
    <n v="11832159315"/>
    <n v="11388160996"/>
    <x v="1"/>
    <n v="1"/>
    <x v="2"/>
  </r>
  <r>
    <x v="4916"/>
    <x v="1645"/>
    <x v="46"/>
    <s v="Myanmar"/>
    <s v="Kuwait"/>
    <n v="3"/>
    <n v="0"/>
    <s v="FIFA World Cup qualification"/>
    <s v="Bangkok"/>
    <s v="Thailand"/>
    <b v="1"/>
    <n v="2015"/>
    <n v="59607290408"/>
    <n v="114585555688"/>
    <x v="1"/>
    <n v="-1"/>
    <x v="0"/>
  </r>
  <r>
    <x v="4917"/>
    <x v="1645"/>
    <x v="46"/>
    <s v="Cambodia"/>
    <s v="Japan"/>
    <n v="0"/>
    <n v="2"/>
    <s v="FIFA World Cup qualification"/>
    <s v="Phnom Penh"/>
    <s v="Cambodia"/>
    <b v="0"/>
    <n v="2015"/>
    <n v="24174170369"/>
    <n v="4444930651964"/>
    <x v="0"/>
    <n v="1"/>
    <x v="2"/>
  </r>
  <r>
    <x v="4918"/>
    <x v="1645"/>
    <x v="46"/>
    <s v="Cameroon"/>
    <s v="Niger"/>
    <n v="0"/>
    <n v="0"/>
    <s v="FIFA World Cup qualification"/>
    <s v="Yaound√©"/>
    <s v="Cameroon"/>
    <b v="0"/>
    <n v="2015"/>
    <n v="32210233020"/>
    <n v="9683867926"/>
    <x v="0"/>
    <n v="0"/>
    <x v="1"/>
  </r>
  <r>
    <x v="4919"/>
    <x v="1645"/>
    <x v="46"/>
    <s v="Colombia"/>
    <s v="Argentina"/>
    <n v="0"/>
    <n v="1"/>
    <s v="FIFA World Cup qualification"/>
    <s v="Barranquilla"/>
    <s v="Colombia"/>
    <b v="0"/>
    <n v="2015"/>
    <n v="293492370193"/>
    <n v="594749285413"/>
    <x v="0"/>
    <n v="1"/>
    <x v="2"/>
  </r>
  <r>
    <x v="4920"/>
    <x v="1645"/>
    <x v="46"/>
    <s v="Timor-Leste"/>
    <s v="Saudi Arabia"/>
    <n v="0"/>
    <n v="10"/>
    <s v="FIFA World Cup qualification"/>
    <s v="Dili"/>
    <s v="Timor-Leste"/>
    <b v="0"/>
    <n v="2015"/>
    <n v="1590282371"/>
    <n v="693414400000"/>
    <x v="0"/>
    <n v="1"/>
    <x v="2"/>
  </r>
  <r>
    <x v="4921"/>
    <x v="1645"/>
    <x v="46"/>
    <s v="Egypt"/>
    <s v="Chad"/>
    <n v="4"/>
    <n v="0"/>
    <s v="FIFA World Cup qualification"/>
    <s v="Alexandria"/>
    <s v="Egypt"/>
    <b v="0"/>
    <n v="2015"/>
    <n v="329366576819"/>
    <n v="14559599499"/>
    <x v="0"/>
    <n v="1"/>
    <x v="2"/>
  </r>
  <r>
    <x v="4922"/>
    <x v="1645"/>
    <x v="46"/>
    <s v="Ghana"/>
    <s v="Comoros"/>
    <n v="2"/>
    <n v="0"/>
    <s v="FIFA World Cup qualification"/>
    <s v="Kumasi"/>
    <s v="Ghana"/>
    <b v="0"/>
    <n v="2015"/>
    <n v="49436806230"/>
    <n v="966029600"/>
    <x v="0"/>
    <n v="1"/>
    <x v="2"/>
  </r>
  <r>
    <x v="4923"/>
    <x v="1645"/>
    <x v="46"/>
    <s v="Guam"/>
    <s v="Iran"/>
    <n v="0"/>
    <n v="6"/>
    <s v="FIFA World Cup qualification"/>
    <s v="Dededo"/>
    <s v="Guam"/>
    <b v="0"/>
    <n v="2015"/>
    <n v="5799000000"/>
    <n v="409191686496"/>
    <x v="0"/>
    <n v="1"/>
    <x v="2"/>
  </r>
  <r>
    <x v="4924"/>
    <x v="1645"/>
    <x v="46"/>
    <s v="Honduras"/>
    <s v="Mexico"/>
    <n v="0"/>
    <n v="2"/>
    <s v="FIFA World Cup qualification"/>
    <s v="San Pedro Sula"/>
    <s v="Honduras"/>
    <b v="0"/>
    <n v="2015"/>
    <n v="20979791685"/>
    <n v="1213294467716"/>
    <x v="0"/>
    <n v="1"/>
    <x v="2"/>
  </r>
  <r>
    <x v="4925"/>
    <x v="1645"/>
    <x v="46"/>
    <s v="Malaysia"/>
    <s v="United Arab Emirates"/>
    <n v="1"/>
    <n v="2"/>
    <s v="FIFA World Cup qualification"/>
    <s v="Shah Alam"/>
    <s v="Malaysia"/>
    <b v="0"/>
    <n v="2015"/>
    <n v="301355266964"/>
    <n v="381973042886"/>
    <x v="1"/>
    <n v="1"/>
    <x v="2"/>
  </r>
  <r>
    <x v="4926"/>
    <x v="1645"/>
    <x v="46"/>
    <s v="Mali"/>
    <s v="Botswana"/>
    <n v="2"/>
    <n v="0"/>
    <s v="FIFA World Cup qualification"/>
    <s v="Bamako"/>
    <s v="Mali"/>
    <b v="0"/>
    <n v="2015"/>
    <n v="15583181170"/>
    <n v="13530748844"/>
    <x v="1"/>
    <n v="1"/>
    <x v="2"/>
  </r>
  <r>
    <x v="4927"/>
    <x v="1645"/>
    <x v="46"/>
    <s v="Nigeria"/>
    <s v="Eswatini"/>
    <n v="2"/>
    <n v="0"/>
    <s v="FIFA World Cup qualification"/>
    <s v="Port Harcourt"/>
    <s v="Nigeria"/>
    <b v="0"/>
    <n v="2015"/>
    <n v="493026682800"/>
    <n v="3908217914"/>
    <x v="0"/>
    <n v="1"/>
    <x v="2"/>
  </r>
  <r>
    <x v="4928"/>
    <x v="1645"/>
    <x v="46"/>
    <s v="Paraguay"/>
    <s v="Bolivia"/>
    <n v="2"/>
    <n v="1"/>
    <s v="FIFA World Cup qualification"/>
    <s v="Asunci√≥n"/>
    <s v="Paraguay"/>
    <b v="0"/>
    <n v="2015"/>
    <n v="36211447840"/>
    <n v="33000198248"/>
    <x v="1"/>
    <n v="1"/>
    <x v="2"/>
  </r>
  <r>
    <x v="4929"/>
    <x v="1645"/>
    <x v="46"/>
    <s v="Rwanda"/>
    <s v="Libya"/>
    <n v="1"/>
    <n v="3"/>
    <s v="FIFA World Cup qualification"/>
    <s v="Kigali"/>
    <s v="Rwanda"/>
    <b v="0"/>
    <n v="2015"/>
    <n v="8543760199"/>
    <n v="48717501321"/>
    <x v="0"/>
    <n v="1"/>
    <x v="2"/>
  </r>
  <r>
    <x v="4930"/>
    <x v="1645"/>
    <x v="46"/>
    <s v="Senegal"/>
    <s v="Madagascar"/>
    <n v="3"/>
    <n v="0"/>
    <s v="FIFA World Cup qualification"/>
    <s v="Dakar"/>
    <s v="Senegal"/>
    <b v="0"/>
    <n v="2015"/>
    <n v="17774766696"/>
    <n v="11323020701"/>
    <x v="1"/>
    <n v="1"/>
    <x v="2"/>
  </r>
  <r>
    <x v="4931"/>
    <x v="1645"/>
    <x v="46"/>
    <s v="Singapore"/>
    <s v="Syria"/>
    <n v="1"/>
    <n v="2"/>
    <s v="FIFA World Cup qualification"/>
    <s v="Kallang"/>
    <s v="Singapore"/>
    <b v="0"/>
    <n v="2015"/>
    <n v="307998545269"/>
    <n v="16466863117"/>
    <x v="0"/>
    <n v="-1"/>
    <x v="0"/>
  </r>
  <r>
    <x v="4932"/>
    <x v="1645"/>
    <x v="46"/>
    <s v="South Africa"/>
    <s v="Angola"/>
    <n v="1"/>
    <n v="0"/>
    <s v="FIFA World Cup qualification"/>
    <s v="Durban"/>
    <s v="South Africa"/>
    <b v="0"/>
    <n v="2015"/>
    <n v="346709790458"/>
    <n v="102543067840"/>
    <x v="0"/>
    <n v="1"/>
    <x v="2"/>
  </r>
  <r>
    <x v="4933"/>
    <x v="1645"/>
    <x v="46"/>
    <s v="Tunisia"/>
    <s v="Mauritania"/>
    <n v="2"/>
    <n v="1"/>
    <s v="FIFA World Cup qualification"/>
    <s v="Rad√®s"/>
    <s v="Tunisia"/>
    <b v="0"/>
    <n v="2015"/>
    <n v="45779494041"/>
    <n v="6166863896"/>
    <x v="0"/>
    <n v="1"/>
    <x v="2"/>
  </r>
  <r>
    <x v="4934"/>
    <x v="1645"/>
    <x v="46"/>
    <s v="Turkmenistan"/>
    <s v="Oman"/>
    <n v="2"/>
    <n v="1"/>
    <s v="FIFA World Cup qualification"/>
    <s v="Ashgabat"/>
    <s v="Turkmenistan"/>
    <b v="0"/>
    <n v="2015"/>
    <n v="35799714285"/>
    <n v="78710793237"/>
    <x v="0"/>
    <n v="-1"/>
    <x v="0"/>
  </r>
  <r>
    <x v="4935"/>
    <x v="1645"/>
    <x v="46"/>
    <s v="Uruguay"/>
    <s v="Chile"/>
    <n v="3"/>
    <n v="0"/>
    <s v="FIFA World Cup qualification"/>
    <s v="Montevideo"/>
    <s v="Uruguay"/>
    <b v="0"/>
    <n v="2015"/>
    <n v="57680327998"/>
    <n v="242450355830"/>
    <x v="0"/>
    <n v="-1"/>
    <x v="0"/>
  </r>
  <r>
    <x v="4936"/>
    <x v="1645"/>
    <x v="46"/>
    <s v="Venezuela"/>
    <s v="Ecuador"/>
    <n v="1"/>
    <n v="3"/>
    <s v="FIFA World Cup qualification"/>
    <s v="Ciudad Guayana"/>
    <s v="Venezuela"/>
    <b v="0"/>
    <n v="2015"/>
    <n v="125449241571"/>
    <n v="97209558000"/>
    <x v="1"/>
    <n v="-1"/>
    <x v="0"/>
  </r>
  <r>
    <x v="4937"/>
    <x v="1645"/>
    <x v="46"/>
    <s v="Haiti"/>
    <s v="Jamaica"/>
    <n v="0"/>
    <n v="1"/>
    <s v="FIFA World Cup qualification"/>
    <s v="Port-au-Prince"/>
    <s v="Haiti"/>
    <b v="0"/>
    <n v="2015"/>
    <n v="14849629308"/>
    <n v="14963589915"/>
    <x v="1"/>
    <n v="1"/>
    <x v="2"/>
  </r>
  <r>
    <x v="4938"/>
    <x v="1645"/>
    <x v="46"/>
    <s v="Panama"/>
    <s v="Costa Rica"/>
    <n v="1"/>
    <n v="2"/>
    <s v="FIFA World Cup qualification"/>
    <s v="Panama City"/>
    <s v="Panama"/>
    <b v="0"/>
    <n v="2015"/>
    <n v="55767806073"/>
    <n v="56441920820"/>
    <x v="1"/>
    <n v="1"/>
    <x v="2"/>
  </r>
  <r>
    <x v="4939"/>
    <x v="1646"/>
    <x v="47"/>
    <s v="Australia"/>
    <s v="Tajikistan"/>
    <n v="7"/>
    <n v="0"/>
    <s v="FIFA World Cup qualification"/>
    <s v="Adelaide"/>
    <s v="Australia"/>
    <b v="0"/>
    <n v="2016"/>
    <n v="1211588128417"/>
    <n v="6992416096"/>
    <x v="0"/>
    <n v="1"/>
    <x v="2"/>
  </r>
  <r>
    <x v="4940"/>
    <x v="1646"/>
    <x v="47"/>
    <s v="Bolivia"/>
    <s v="Colombia"/>
    <n v="2"/>
    <n v="3"/>
    <s v="FIFA World Cup qualification"/>
    <s v="La Paz"/>
    <s v="Bolivia"/>
    <b v="0"/>
    <n v="2016"/>
    <n v="33941126193"/>
    <n v="282720100286"/>
    <x v="0"/>
    <n v="1"/>
    <x v="2"/>
  </r>
  <r>
    <x v="4941"/>
    <x v="1646"/>
    <x v="47"/>
    <s v="Chile"/>
    <s v="Argentina"/>
    <n v="1"/>
    <n v="2"/>
    <s v="FIFA World Cup qualification"/>
    <s v="Santiago"/>
    <s v="Chile"/>
    <b v="0"/>
    <n v="2016"/>
    <n v="249344863928"/>
    <n v="557532320662"/>
    <x v="0"/>
    <n v="1"/>
    <x v="2"/>
  </r>
  <r>
    <x v="4942"/>
    <x v="1646"/>
    <x v="47"/>
    <s v="Ecuador"/>
    <s v="Paraguay"/>
    <n v="2"/>
    <n v="2"/>
    <s v="FIFA World Cup qualification"/>
    <s v="Quito"/>
    <s v="Ecuador"/>
    <b v="0"/>
    <n v="2016"/>
    <n v="97671433000"/>
    <n v="36089700222"/>
    <x v="0"/>
    <n v="0"/>
    <x v="1"/>
  </r>
  <r>
    <x v="4943"/>
    <x v="1646"/>
    <x v="47"/>
    <s v="Iran"/>
    <s v="India"/>
    <n v="4"/>
    <n v="0"/>
    <s v="FIFA World Cup qualification"/>
    <s v="Tehran"/>
    <s v="Iran"/>
    <b v="0"/>
    <n v="2016"/>
    <n v="478618064870"/>
    <n v="2294796885663"/>
    <x v="0"/>
    <n v="-1"/>
    <x v="0"/>
  </r>
  <r>
    <x v="4944"/>
    <x v="1646"/>
    <x v="47"/>
    <s v="Iraq"/>
    <s v="Thailand"/>
    <n v="2"/>
    <n v="2"/>
    <s v="FIFA World Cup qualification"/>
    <s v="Tehran"/>
    <s v="Iran"/>
    <b v="1"/>
    <n v="2016"/>
    <n v="166743557747"/>
    <n v="413366349747"/>
    <x v="0"/>
    <n v="0"/>
    <x v="1"/>
  </r>
  <r>
    <x v="4945"/>
    <x v="1646"/>
    <x v="47"/>
    <s v="Japan"/>
    <s v="Afghanistan"/>
    <n v="5"/>
    <n v="0"/>
    <s v="FIFA World Cup qualification"/>
    <s v="Saitama"/>
    <s v="Japan"/>
    <b v="0"/>
    <n v="2016"/>
    <n v="5003677627544"/>
    <n v="18116572395"/>
    <x v="0"/>
    <n v="1"/>
    <x v="2"/>
  </r>
  <r>
    <x v="4946"/>
    <x v="1646"/>
    <x v="47"/>
    <s v="Jordan"/>
    <s v="Bangladesh"/>
    <n v="8"/>
    <n v="0"/>
    <s v="FIFA World Cup qualification"/>
    <s v="Amman"/>
    <s v="Jordan"/>
    <b v="0"/>
    <n v="2016"/>
    <n v="39892551126"/>
    <n v="265224515675"/>
    <x v="0"/>
    <n v="-1"/>
    <x v="0"/>
  </r>
  <r>
    <x v="4947"/>
    <x v="1646"/>
    <x v="47"/>
    <s v="South Korea"/>
    <s v="Lebanon"/>
    <n v="1"/>
    <n v="0"/>
    <s v="FIFA World Cup qualification"/>
    <s v="Ansan"/>
    <s v="South Korea"/>
    <b v="0"/>
    <n v="2016"/>
    <n v="1579150518945"/>
    <n v="51147308774"/>
    <x v="0"/>
    <n v="1"/>
    <x v="2"/>
  </r>
  <r>
    <x v="4948"/>
    <x v="1646"/>
    <x v="47"/>
    <s v="Oman"/>
    <s v="Guam"/>
    <n v="1"/>
    <n v="0"/>
    <s v="FIFA World Cup qualification"/>
    <s v="Muscat"/>
    <s v="Oman"/>
    <b v="0"/>
    <n v="2016"/>
    <n v="75128738621"/>
    <n v="5901000000"/>
    <x v="0"/>
    <n v="1"/>
    <x v="2"/>
  </r>
  <r>
    <x v="4949"/>
    <x v="1646"/>
    <x v="47"/>
    <s v="Peru"/>
    <s v="Venezuela"/>
    <n v="2"/>
    <n v="2"/>
    <s v="FIFA World Cup qualification"/>
    <s v="Lima"/>
    <s v="Peru"/>
    <b v="0"/>
    <n v="2016"/>
    <n v="191898104390"/>
    <n v="112915034262"/>
    <x v="1"/>
    <n v="0"/>
    <x v="1"/>
  </r>
  <r>
    <x v="4950"/>
    <x v="1646"/>
    <x v="47"/>
    <s v="Saudi Arabia"/>
    <s v="Malaysia"/>
    <n v="2"/>
    <n v="0"/>
    <s v="FIFA World Cup qualification"/>
    <s v="Jeddah"/>
    <s v="Saudi Arabia"/>
    <b v="0"/>
    <n v="2016"/>
    <n v="689279466666"/>
    <n v="301256033870"/>
    <x v="0"/>
    <n v="1"/>
    <x v="2"/>
  </r>
  <r>
    <x v="4951"/>
    <x v="1646"/>
    <x v="47"/>
    <s v="Syria"/>
    <s v="Cambodia"/>
    <n v="6"/>
    <n v="0"/>
    <s v="FIFA World Cup qualification"/>
    <s v="Seeb"/>
    <s v="Oman"/>
    <b v="1"/>
    <n v="2016"/>
    <n v="12597854877"/>
    <n v="26556545153"/>
    <x v="0"/>
    <n v="-1"/>
    <x v="0"/>
  </r>
  <r>
    <x v="4952"/>
    <x v="1646"/>
    <x v="47"/>
    <s v="Uzbekistan"/>
    <s v="Philippines"/>
    <n v="1"/>
    <n v="0"/>
    <s v="FIFA World Cup qualification"/>
    <s v="Tashkent"/>
    <s v="Uzbekistan"/>
    <b v="0"/>
    <n v="2016"/>
    <n v="86138288644"/>
    <n v="318627003016"/>
    <x v="0"/>
    <n v="-1"/>
    <x v="0"/>
  </r>
  <r>
    <x v="4953"/>
    <x v="1647"/>
    <x v="47"/>
    <s v="Brazil"/>
    <s v="Uruguay"/>
    <n v="2"/>
    <n v="2"/>
    <s v="FIFA World Cup qualification"/>
    <s v="Recife"/>
    <s v="Brazil"/>
    <b v="0"/>
    <n v="2016"/>
    <n v="1795693265999"/>
    <n v="57480787465"/>
    <x v="0"/>
    <n v="0"/>
    <x v="1"/>
  </r>
  <r>
    <x v="4954"/>
    <x v="1647"/>
    <x v="47"/>
    <s v="Canada"/>
    <s v="Mexico"/>
    <n v="0"/>
    <n v="3"/>
    <s v="FIFA World Cup qualification"/>
    <s v="Vancouver"/>
    <s v="Canada"/>
    <b v="0"/>
    <n v="2016"/>
    <n v="1527994741907"/>
    <n v="1112233497452"/>
    <x v="1"/>
    <n v="-1"/>
    <x v="0"/>
  </r>
  <r>
    <x v="4955"/>
    <x v="1647"/>
    <x v="47"/>
    <s v="El Salvador"/>
    <s v="Honduras"/>
    <n v="2"/>
    <n v="2"/>
    <s v="FIFA World Cup qualification"/>
    <s v="San Salvador"/>
    <s v="El Salvador"/>
    <b v="0"/>
    <n v="2016"/>
    <n v="24191430000"/>
    <n v="21717604952"/>
    <x v="1"/>
    <n v="0"/>
    <x v="1"/>
  </r>
  <r>
    <x v="4956"/>
    <x v="1647"/>
    <x v="47"/>
    <s v="Guatemala"/>
    <s v="United States"/>
    <n v="2"/>
    <n v="0"/>
    <s v="FIFA World Cup qualification"/>
    <s v="Guatemala City"/>
    <s v="Guatemala"/>
    <b v="0"/>
    <n v="2016"/>
    <n v="66053408205"/>
    <n v="18695110842000"/>
    <x v="0"/>
    <n v="-1"/>
    <x v="0"/>
  </r>
  <r>
    <x v="4957"/>
    <x v="1647"/>
    <x v="47"/>
    <s v="Haiti"/>
    <s v="Panama"/>
    <n v="0"/>
    <n v="0"/>
    <s v="FIFA World Cup qualification"/>
    <s v="Port-au-Prince"/>
    <s v="Haiti"/>
    <b v="0"/>
    <n v="2016"/>
    <n v="14069277526"/>
    <n v="59760858717"/>
    <x v="0"/>
    <n v="0"/>
    <x v="1"/>
  </r>
  <r>
    <x v="4958"/>
    <x v="1647"/>
    <x v="47"/>
    <s v="Jamaica"/>
    <s v="Costa Rica"/>
    <n v="1"/>
    <n v="1"/>
    <s v="FIFA World Cup qualification"/>
    <s v="Kingston"/>
    <s v="Jamaica"/>
    <b v="0"/>
    <n v="2016"/>
    <n v="14898999754"/>
    <n v="58847019609"/>
    <x v="0"/>
    <n v="0"/>
    <x v="1"/>
  </r>
  <r>
    <x v="4959"/>
    <x v="1648"/>
    <x v="47"/>
    <s v="Afghanistan"/>
    <s v="Singapore"/>
    <n v="2"/>
    <n v="1"/>
    <s v="FIFA World Cup qualification"/>
    <s v="Tehran"/>
    <s v="Iran"/>
    <b v="1"/>
    <n v="2016"/>
    <n v="18116572395"/>
    <n v="319646468521"/>
    <x v="0"/>
    <n v="-1"/>
    <x v="0"/>
  </r>
  <r>
    <x v="4960"/>
    <x v="1648"/>
    <x v="47"/>
    <s v="Argentina"/>
    <s v="Bolivia"/>
    <n v="2"/>
    <n v="0"/>
    <s v="FIFA World Cup qualification"/>
    <s v="C√≥rdoba"/>
    <s v="Argentina"/>
    <b v="0"/>
    <n v="2016"/>
    <n v="557532320662"/>
    <n v="33941126193"/>
    <x v="0"/>
    <n v="1"/>
    <x v="2"/>
  </r>
  <r>
    <x v="4961"/>
    <x v="1648"/>
    <x v="47"/>
    <s v="Australia"/>
    <s v="Jordan"/>
    <n v="5"/>
    <n v="1"/>
    <s v="FIFA World Cup qualification"/>
    <s v="Sydney"/>
    <s v="Australia"/>
    <b v="0"/>
    <n v="2016"/>
    <n v="1211588128417"/>
    <n v="39892551126"/>
    <x v="0"/>
    <n v="1"/>
    <x v="2"/>
  </r>
  <r>
    <x v="4962"/>
    <x v="1648"/>
    <x v="47"/>
    <s v="Colombia"/>
    <s v="Ecuador"/>
    <n v="3"/>
    <n v="1"/>
    <s v="FIFA World Cup qualification"/>
    <s v="Barranquilla"/>
    <s v="Colombia"/>
    <b v="0"/>
    <n v="2016"/>
    <n v="282720100286"/>
    <n v="97671433000"/>
    <x v="0"/>
    <n v="1"/>
    <x v="2"/>
  </r>
  <r>
    <x v="4963"/>
    <x v="1648"/>
    <x v="47"/>
    <s v="Costa Rica"/>
    <s v="Jamaica"/>
    <n v="3"/>
    <n v="0"/>
    <s v="FIFA World Cup qualification"/>
    <s v="San Jos√©"/>
    <s v="Costa Rica"/>
    <b v="0"/>
    <n v="2016"/>
    <n v="58847019609"/>
    <n v="14898999754"/>
    <x v="0"/>
    <n v="1"/>
    <x v="2"/>
  </r>
  <r>
    <x v="4964"/>
    <x v="1648"/>
    <x v="47"/>
    <s v="Honduras"/>
    <s v="El Salvador"/>
    <n v="2"/>
    <n v="0"/>
    <s v="FIFA World Cup qualification"/>
    <s v="San Pedro Sula"/>
    <s v="Honduras"/>
    <b v="0"/>
    <n v="2016"/>
    <n v="21717604952"/>
    <n v="24191430000"/>
    <x v="1"/>
    <n v="-1"/>
    <x v="0"/>
  </r>
  <r>
    <x v="4965"/>
    <x v="1648"/>
    <x v="47"/>
    <s v="India"/>
    <s v="Turkmenistan"/>
    <n v="1"/>
    <n v="2"/>
    <s v="FIFA World Cup qualification"/>
    <s v="Kochi"/>
    <s v="India"/>
    <b v="0"/>
    <n v="2016"/>
    <n v="2294796885663"/>
    <n v="36169428571"/>
    <x v="0"/>
    <n v="-1"/>
    <x v="0"/>
  </r>
  <r>
    <x v="4966"/>
    <x v="1648"/>
    <x v="47"/>
    <s v="Iran"/>
    <s v="Oman"/>
    <n v="2"/>
    <n v="0"/>
    <s v="FIFA World Cup qualification"/>
    <s v="Tehran"/>
    <s v="Iran"/>
    <b v="0"/>
    <n v="2016"/>
    <n v="478618064870"/>
    <n v="75128738621"/>
    <x v="0"/>
    <n v="1"/>
    <x v="2"/>
  </r>
  <r>
    <x v="4967"/>
    <x v="1648"/>
    <x v="47"/>
    <s v="Iraq"/>
    <s v="Vietnam"/>
    <n v="1"/>
    <n v="0"/>
    <s v="FIFA World Cup qualification"/>
    <s v="Tehran"/>
    <s v="Iran"/>
    <b v="1"/>
    <n v="2016"/>
    <n v="166743557747"/>
    <n v="257096001177"/>
    <x v="1"/>
    <n v="-1"/>
    <x v="0"/>
  </r>
  <r>
    <x v="4968"/>
    <x v="1648"/>
    <x v="47"/>
    <s v="Japan"/>
    <s v="Syria"/>
    <n v="5"/>
    <n v="0"/>
    <s v="FIFA World Cup qualification"/>
    <s v="Saitama"/>
    <s v="Japan"/>
    <b v="0"/>
    <n v="2016"/>
    <n v="5003677627544"/>
    <n v="12597854877"/>
    <x v="0"/>
    <n v="1"/>
    <x v="2"/>
  </r>
  <r>
    <x v="4969"/>
    <x v="1648"/>
    <x v="47"/>
    <s v="Lebanon"/>
    <s v="Myanmar"/>
    <n v="1"/>
    <n v="1"/>
    <s v="FIFA World Cup qualification"/>
    <s v="Sidon"/>
    <s v="Lebanon"/>
    <b v="0"/>
    <n v="2016"/>
    <n v="51147308774"/>
    <n v="63298361983"/>
    <x v="1"/>
    <n v="0"/>
    <x v="1"/>
  </r>
  <r>
    <x v="4970"/>
    <x v="1648"/>
    <x v="47"/>
    <s v="Maldives"/>
    <s v="Bhutan"/>
    <n v="4"/>
    <n v="2"/>
    <s v="FIFA World Cup qualification"/>
    <s v="Mal√©"/>
    <s v="Maldives"/>
    <b v="0"/>
    <n v="2016"/>
    <n v="4409942623"/>
    <n v="2357504760"/>
    <x v="1"/>
    <n v="1"/>
    <x v="2"/>
  </r>
  <r>
    <x v="4971"/>
    <x v="1648"/>
    <x v="47"/>
    <s v="Mexico"/>
    <s v="Canada"/>
    <n v="2"/>
    <n v="0"/>
    <s v="FIFA World Cup qualification"/>
    <s v="Mexico City"/>
    <s v="Mexico"/>
    <b v="0"/>
    <n v="2016"/>
    <n v="1112233497452"/>
    <n v="1527994741907"/>
    <x v="1"/>
    <n v="-1"/>
    <x v="0"/>
  </r>
  <r>
    <x v="4972"/>
    <x v="1648"/>
    <x v="47"/>
    <s v="Panama"/>
    <s v="Haiti"/>
    <n v="1"/>
    <n v="0"/>
    <s v="FIFA World Cup qualification"/>
    <s v="Panama City"/>
    <s v="Panama"/>
    <b v="0"/>
    <n v="2016"/>
    <n v="59760858717"/>
    <n v="14069277526"/>
    <x v="0"/>
    <n v="1"/>
    <x v="2"/>
  </r>
  <r>
    <x v="4973"/>
    <x v="1648"/>
    <x v="47"/>
    <s v="Paraguay"/>
    <s v="Brazil"/>
    <n v="2"/>
    <n v="2"/>
    <s v="FIFA World Cup qualification"/>
    <s v="Asunci√≥n"/>
    <s v="Paraguay"/>
    <b v="0"/>
    <n v="2016"/>
    <n v="36089700222"/>
    <n v="1795693265999"/>
    <x v="0"/>
    <n v="0"/>
    <x v="1"/>
  </r>
  <r>
    <x v="4974"/>
    <x v="1648"/>
    <x v="47"/>
    <s v="United Arab Emirates"/>
    <s v="Saudi Arabia"/>
    <n v="1"/>
    <n v="1"/>
    <s v="FIFA World Cup qualification"/>
    <s v="Abu Dhabi"/>
    <s v="United Arab Emirates"/>
    <b v="0"/>
    <n v="2016"/>
    <n v="381717086453"/>
    <n v="689279466666"/>
    <x v="1"/>
    <n v="0"/>
    <x v="1"/>
  </r>
  <r>
    <x v="4975"/>
    <x v="1648"/>
    <x v="47"/>
    <s v="Uruguay"/>
    <s v="Peru"/>
    <n v="1"/>
    <n v="0"/>
    <s v="FIFA World Cup qualification"/>
    <s v="Montevideo"/>
    <s v="Uruguay"/>
    <b v="0"/>
    <n v="2016"/>
    <n v="57480787465"/>
    <n v="191898104390"/>
    <x v="0"/>
    <n v="-1"/>
    <x v="0"/>
  </r>
  <r>
    <x v="4976"/>
    <x v="1648"/>
    <x v="47"/>
    <s v="United States"/>
    <s v="Guatemala"/>
    <n v="4"/>
    <n v="0"/>
    <s v="FIFA World Cup qualification"/>
    <s v="Columbus"/>
    <s v="United States"/>
    <b v="0"/>
    <n v="2016"/>
    <n v="18695110842000"/>
    <n v="66053408205"/>
    <x v="0"/>
    <n v="1"/>
    <x v="2"/>
  </r>
  <r>
    <x v="4977"/>
    <x v="1648"/>
    <x v="47"/>
    <s v="Uzbekistan"/>
    <s v="Bahrain"/>
    <n v="1"/>
    <n v="0"/>
    <s v="FIFA World Cup qualification"/>
    <s v="Tashkent"/>
    <s v="Uzbekistan"/>
    <b v="0"/>
    <n v="2016"/>
    <n v="86138288644"/>
    <n v="33884680851"/>
    <x v="0"/>
    <n v="1"/>
    <x v="2"/>
  </r>
  <r>
    <x v="4978"/>
    <x v="1648"/>
    <x v="47"/>
    <s v="Venezuela"/>
    <s v="Chile"/>
    <n v="1"/>
    <n v="4"/>
    <s v="FIFA World Cup qualification"/>
    <s v="Barinas"/>
    <s v="Venezuela"/>
    <b v="0"/>
    <n v="2016"/>
    <n v="112915034262"/>
    <n v="249344863928"/>
    <x v="0"/>
    <n v="1"/>
    <x v="2"/>
  </r>
  <r>
    <x v="4979"/>
    <x v="1649"/>
    <x v="47"/>
    <s v="Argentina"/>
    <s v="Uruguay"/>
    <n v="1"/>
    <n v="0"/>
    <s v="FIFA World Cup qualification"/>
    <s v="Mendoza"/>
    <s v="Argentina"/>
    <b v="0"/>
    <n v="2016"/>
    <n v="557532320662"/>
    <n v="57480787465"/>
    <x v="0"/>
    <n v="1"/>
    <x v="2"/>
  </r>
  <r>
    <x v="4980"/>
    <x v="1649"/>
    <x v="47"/>
    <s v="Australia"/>
    <s v="Iraq"/>
    <n v="2"/>
    <n v="0"/>
    <s v="FIFA World Cup qualification"/>
    <s v="Perth"/>
    <s v="Australia"/>
    <b v="0"/>
    <n v="2016"/>
    <n v="1211588128417"/>
    <n v="166743557747"/>
    <x v="0"/>
    <n v="1"/>
    <x v="2"/>
  </r>
  <r>
    <x v="4981"/>
    <x v="1649"/>
    <x v="47"/>
    <s v="Bolivia"/>
    <s v="Peru"/>
    <n v="0"/>
    <n v="3"/>
    <s v="FIFA World Cup qualification"/>
    <s v="La Paz"/>
    <s v="Bolivia"/>
    <b v="0"/>
    <n v="2016"/>
    <n v="33941126193"/>
    <n v="191898104390"/>
    <x v="0"/>
    <n v="1"/>
    <x v="2"/>
  </r>
  <r>
    <x v="4982"/>
    <x v="1649"/>
    <x v="47"/>
    <s v="Colombia"/>
    <s v="Venezuela"/>
    <n v="2"/>
    <n v="0"/>
    <s v="FIFA World Cup qualification"/>
    <s v="Barranquilla"/>
    <s v="Colombia"/>
    <b v="0"/>
    <n v="2016"/>
    <n v="282720100286"/>
    <n v="112915034262"/>
    <x v="0"/>
    <n v="1"/>
    <x v="2"/>
  </r>
  <r>
    <x v="4983"/>
    <x v="1649"/>
    <x v="47"/>
    <s v="Ecuador"/>
    <s v="Brazil"/>
    <n v="0"/>
    <n v="3"/>
    <s v="FIFA World Cup qualification"/>
    <s v="Quito"/>
    <s v="Ecuador"/>
    <b v="0"/>
    <n v="2016"/>
    <n v="97671433000"/>
    <n v="1795693265999"/>
    <x v="0"/>
    <n v="1"/>
    <x v="2"/>
  </r>
  <r>
    <x v="4984"/>
    <x v="1649"/>
    <x v="47"/>
    <s v="Iran"/>
    <s v="Qatar"/>
    <n v="2"/>
    <n v="0"/>
    <s v="FIFA World Cup qualification"/>
    <s v="Tehran"/>
    <s v="Iran"/>
    <b v="0"/>
    <n v="2016"/>
    <n v="478618064870"/>
    <n v="151732142857"/>
    <x v="0"/>
    <n v="1"/>
    <x v="2"/>
  </r>
  <r>
    <x v="4985"/>
    <x v="1649"/>
    <x v="47"/>
    <s v="Japan"/>
    <s v="United Arab Emirates"/>
    <n v="1"/>
    <n v="2"/>
    <s v="FIFA World Cup qualification"/>
    <s v="Saitama"/>
    <s v="Japan"/>
    <b v="0"/>
    <n v="2016"/>
    <n v="5003677627544"/>
    <n v="381717086453"/>
    <x v="0"/>
    <n v="-1"/>
    <x v="0"/>
  </r>
  <r>
    <x v="4986"/>
    <x v="1649"/>
    <x v="47"/>
    <s v="Paraguay"/>
    <s v="Chile"/>
    <n v="2"/>
    <n v="1"/>
    <s v="FIFA World Cup qualification"/>
    <s v="Asunci√≥n"/>
    <s v="Paraguay"/>
    <b v="0"/>
    <n v="2016"/>
    <n v="36089700222"/>
    <n v="249344863928"/>
    <x v="0"/>
    <n v="-1"/>
    <x v="0"/>
  </r>
  <r>
    <x v="4987"/>
    <x v="1649"/>
    <x v="47"/>
    <s v="Saudi Arabia"/>
    <s v="Thailand"/>
    <n v="1"/>
    <n v="0"/>
    <s v="FIFA World Cup qualification"/>
    <s v="Riyadh"/>
    <s v="Saudi Arabia"/>
    <b v="0"/>
    <n v="2016"/>
    <n v="689279466666"/>
    <n v="413366349747"/>
    <x v="1"/>
    <n v="1"/>
    <x v="2"/>
  </r>
  <r>
    <x v="4988"/>
    <x v="1649"/>
    <x v="47"/>
    <s v="Uzbekistan"/>
    <s v="Syria"/>
    <n v="1"/>
    <n v="0"/>
    <s v="FIFA World Cup qualification"/>
    <s v="Tashkent"/>
    <s v="Uzbekistan"/>
    <b v="0"/>
    <n v="2016"/>
    <n v="86138288644"/>
    <n v="12597854877"/>
    <x v="0"/>
    <n v="1"/>
    <x v="2"/>
  </r>
  <r>
    <x v="4989"/>
    <x v="1650"/>
    <x v="47"/>
    <s v="El Salvador"/>
    <s v="Mexico"/>
    <n v="1"/>
    <n v="3"/>
    <s v="FIFA World Cup qualification"/>
    <s v="San Salvador"/>
    <s v="El Salvador"/>
    <b v="0"/>
    <n v="2016"/>
    <n v="24191430000"/>
    <n v="1112233497452"/>
    <x v="0"/>
    <n v="1"/>
    <x v="2"/>
  </r>
  <r>
    <x v="4990"/>
    <x v="1650"/>
    <x v="47"/>
    <s v="Haiti"/>
    <s v="Costa Rica"/>
    <n v="0"/>
    <n v="1"/>
    <s v="FIFA World Cup qualification"/>
    <s v="Port-au-Prince"/>
    <s v="Haiti"/>
    <b v="0"/>
    <n v="2016"/>
    <n v="14069277526"/>
    <n v="58847019609"/>
    <x v="0"/>
    <n v="1"/>
    <x v="2"/>
  </r>
  <r>
    <x v="4991"/>
    <x v="1650"/>
    <x v="47"/>
    <s v="Honduras"/>
    <s v="Canada"/>
    <n v="2"/>
    <n v="1"/>
    <s v="FIFA World Cup qualification"/>
    <s v="San Pedro Sula"/>
    <s v="Honduras"/>
    <b v="0"/>
    <n v="2016"/>
    <n v="21717604952"/>
    <n v="1527994741907"/>
    <x v="0"/>
    <n v="-1"/>
    <x v="0"/>
  </r>
  <r>
    <x v="4992"/>
    <x v="1650"/>
    <x v="47"/>
    <s v="Panama"/>
    <s v="Jamaica"/>
    <n v="2"/>
    <n v="0"/>
    <s v="FIFA World Cup qualification"/>
    <s v="Panama City"/>
    <s v="Panama"/>
    <b v="0"/>
    <n v="2016"/>
    <n v="59760858717"/>
    <n v="14898999754"/>
    <x v="0"/>
    <n v="1"/>
    <x v="2"/>
  </r>
  <r>
    <x v="4993"/>
    <x v="1650"/>
    <x v="47"/>
    <s v="Trinidad and Tobago"/>
    <s v="Guatemala"/>
    <n v="2"/>
    <n v="2"/>
    <s v="FIFA World Cup qualification"/>
    <s v="Port of Spain"/>
    <s v="Trinidad and Tobago"/>
    <b v="0"/>
    <n v="2016"/>
    <n v="23624322192"/>
    <n v="66053408205"/>
    <x v="0"/>
    <n v="0"/>
    <x v="1"/>
  </r>
  <r>
    <x v="4994"/>
    <x v="1651"/>
    <x v="47"/>
    <s v="Denmark"/>
    <s v="Armenia"/>
    <n v="1"/>
    <n v="0"/>
    <s v="FIFA World Cup qualification"/>
    <s v="Copenhagen"/>
    <s v="Denmark"/>
    <b v="0"/>
    <n v="2016"/>
    <n v="312181849372"/>
    <n v="10546136235"/>
    <x v="0"/>
    <n v="1"/>
    <x v="2"/>
  </r>
  <r>
    <x v="4995"/>
    <x v="1651"/>
    <x v="47"/>
    <s v="Kazakhstan"/>
    <s v="Poland"/>
    <n v="2"/>
    <n v="2"/>
    <s v="FIFA World Cup qualification"/>
    <s v="Astana"/>
    <s v="Kazakhstan"/>
    <b v="0"/>
    <n v="2016"/>
    <n v="137278320084"/>
    <n v="473259583969"/>
    <x v="0"/>
    <n v="0"/>
    <x v="1"/>
  </r>
  <r>
    <x v="4996"/>
    <x v="1651"/>
    <x v="47"/>
    <s v="Lithuania"/>
    <s v="Slovenia"/>
    <n v="2"/>
    <n v="2"/>
    <s v="FIFA World Cup qualification"/>
    <s v="Vilnius"/>
    <s v="Lithuania"/>
    <b v="0"/>
    <n v="2016"/>
    <n v="42970749245"/>
    <n v="44290685824"/>
    <x v="1"/>
    <n v="0"/>
    <x v="1"/>
  </r>
  <r>
    <x v="4997"/>
    <x v="1651"/>
    <x v="47"/>
    <s v="Norway"/>
    <s v="Germany"/>
    <n v="0"/>
    <n v="3"/>
    <s v="FIFA World Cup qualification"/>
    <s v="Oslo"/>
    <s v="Norway"/>
    <b v="0"/>
    <n v="2016"/>
    <n v="370956547619"/>
    <n v="3536787895179"/>
    <x v="0"/>
    <n v="1"/>
    <x v="2"/>
  </r>
  <r>
    <x v="4998"/>
    <x v="1651"/>
    <x v="47"/>
    <s v="Romania"/>
    <s v="Montenegro"/>
    <n v="1"/>
    <n v="1"/>
    <s v="FIFA World Cup qualification"/>
    <s v="Cluj"/>
    <s v="Romania"/>
    <b v="0"/>
    <n v="2016"/>
    <n v="185290759248"/>
    <n v="4357469330"/>
    <x v="0"/>
    <n v="0"/>
    <x v="1"/>
  </r>
  <r>
    <x v="4999"/>
    <x v="1651"/>
    <x v="47"/>
    <s v="San Marino"/>
    <s v="Azerbaijan"/>
    <n v="0"/>
    <n v="1"/>
    <s v="FIFA World Cup qualification"/>
    <s v="Serravalle"/>
    <s v="San Marino"/>
    <b v="0"/>
    <n v="2016"/>
    <n v="1468343139"/>
    <n v="37866996882"/>
    <x v="0"/>
    <n v="1"/>
    <x v="2"/>
  </r>
  <r>
    <x v="5000"/>
    <x v="1652"/>
    <x v="47"/>
    <s v="Albania"/>
    <s v="North Macedonia"/>
    <n v="2"/>
    <n v="1"/>
    <s v="FIFA World Cup qualification"/>
    <s v="Shkod√´r"/>
    <s v="Albania"/>
    <b v="0"/>
    <n v="2016"/>
    <n v="11988668784"/>
    <n v="10672467073"/>
    <x v="1"/>
    <n v="1"/>
    <x v="2"/>
  </r>
  <r>
    <x v="5001"/>
    <x v="1652"/>
    <x v="47"/>
    <s v="Finland"/>
    <s v="Kosovo"/>
    <n v="1"/>
    <n v="1"/>
    <s v="FIFA World Cup qualification"/>
    <s v="Turku"/>
    <s v="Finland"/>
    <b v="0"/>
    <n v="2016"/>
    <n v="238777818792"/>
    <n v="6682677289"/>
    <x v="0"/>
    <n v="0"/>
    <x v="1"/>
  </r>
  <r>
    <x v="5002"/>
    <x v="1652"/>
    <x v="47"/>
    <s v="Georgia"/>
    <s v="Austria"/>
    <n v="1"/>
    <n v="2"/>
    <s v="FIFA World Cup qualification"/>
    <s v="Tbilisi"/>
    <s v="Georgia"/>
    <b v="0"/>
    <n v="2016"/>
    <n v="15444548901"/>
    <n v="393687359770"/>
    <x v="0"/>
    <n v="1"/>
    <x v="2"/>
  </r>
  <r>
    <x v="5003"/>
    <x v="1652"/>
    <x v="47"/>
    <s v="Israel"/>
    <s v="Italy"/>
    <n v="1"/>
    <n v="3"/>
    <s v="FIFA World Cup qualification"/>
    <s v="Haifa"/>
    <s v="Israel"/>
    <b v="0"/>
    <n v="2016"/>
    <n v="321940971558"/>
    <n v="1887111188176"/>
    <x v="0"/>
    <n v="1"/>
    <x v="2"/>
  </r>
  <r>
    <x v="5004"/>
    <x v="1652"/>
    <x v="47"/>
    <s v="Spain"/>
    <s v="Liechtenstein"/>
    <n v="8"/>
    <n v="0"/>
    <s v="FIFA World Cup qualification"/>
    <s v="Le√≥n"/>
    <s v="Spain"/>
    <b v="0"/>
    <n v="2016"/>
    <n v="1243015667917"/>
    <n v="6237302033"/>
    <x v="0"/>
    <n v="1"/>
    <x v="2"/>
  </r>
  <r>
    <x v="5005"/>
    <x v="1652"/>
    <x v="47"/>
    <s v="Ukraine"/>
    <s v="Iceland"/>
    <n v="1"/>
    <n v="1"/>
    <s v="FIFA World Cup qualification"/>
    <s v="Kyiv"/>
    <s v="Ukraine"/>
    <b v="0"/>
    <n v="2016"/>
    <n v="93355869403"/>
    <n v="21083713310"/>
    <x v="0"/>
    <n v="0"/>
    <x v="1"/>
  </r>
  <r>
    <x v="5006"/>
    <x v="1653"/>
    <x v="47"/>
    <s v="Andorra"/>
    <s v="Latvia"/>
    <n v="0"/>
    <n v="1"/>
    <s v="FIFA World Cup qualification"/>
    <s v="Sant Juli√† de L√≤ria"/>
    <s v="Andorra"/>
    <b v="0"/>
    <n v="2016"/>
    <n v="2896611878"/>
    <n v="27117105059"/>
    <x v="0"/>
    <n v="1"/>
    <x v="2"/>
  </r>
  <r>
    <x v="5007"/>
    <x v="1653"/>
    <x v="47"/>
    <s v="Belarus"/>
    <s v="France"/>
    <n v="0"/>
    <n v="0"/>
    <s v="FIFA World Cup qualification"/>
    <s v="Barysaw"/>
    <s v="Belarus"/>
    <b v="0"/>
    <n v="2016"/>
    <n v="47723545321"/>
    <n v="2470407619777"/>
    <x v="0"/>
    <n v="0"/>
    <x v="1"/>
  </r>
  <r>
    <x v="5008"/>
    <x v="1653"/>
    <x v="47"/>
    <s v="Bosnia and Herzegovina"/>
    <s v="Estonia"/>
    <n v="5"/>
    <n v="0"/>
    <s v="FIFA World Cup qualification"/>
    <s v="Zenica"/>
    <s v="Bosnia and Herzegovina"/>
    <b v="0"/>
    <n v="2016"/>
    <n v="17116926553"/>
    <n v="24561027787"/>
    <x v="1"/>
    <n v="-1"/>
    <x v="0"/>
  </r>
  <r>
    <x v="5009"/>
    <x v="1653"/>
    <x v="47"/>
    <s v="Brazil"/>
    <s v="Colombia"/>
    <n v="2"/>
    <n v="1"/>
    <s v="FIFA World Cup qualification"/>
    <s v="Manaus"/>
    <s v="Brazil"/>
    <b v="0"/>
    <n v="2016"/>
    <n v="1795693265999"/>
    <n v="282720100286"/>
    <x v="0"/>
    <n v="1"/>
    <x v="2"/>
  </r>
  <r>
    <x v="5010"/>
    <x v="1653"/>
    <x v="47"/>
    <s v="Bulgaria"/>
    <s v="Luxembourg"/>
    <n v="4"/>
    <n v="3"/>
    <s v="FIFA World Cup qualification"/>
    <s v="Sofia"/>
    <s v="Bulgaria"/>
    <b v="0"/>
    <n v="2016"/>
    <n v="53929397039"/>
    <n v="62216885435"/>
    <x v="1"/>
    <n v="-1"/>
    <x v="0"/>
  </r>
  <r>
    <x v="5011"/>
    <x v="1653"/>
    <x v="47"/>
    <s v="Canada"/>
    <s v="El Salvador"/>
    <n v="3"/>
    <n v="1"/>
    <s v="FIFA World Cup qualification"/>
    <s v="Vancouver"/>
    <s v="Canada"/>
    <b v="0"/>
    <n v="2016"/>
    <n v="1527994741907"/>
    <n v="24191430000"/>
    <x v="0"/>
    <n v="1"/>
    <x v="2"/>
  </r>
  <r>
    <x v="5012"/>
    <x v="1653"/>
    <x v="47"/>
    <s v="Chile"/>
    <s v="Bolivia"/>
    <n v="3"/>
    <n v="0"/>
    <s v="FIFA World Cup qualification"/>
    <s v="Santiago"/>
    <s v="Chile"/>
    <b v="0"/>
    <n v="2016"/>
    <n v="249344863928"/>
    <n v="33941126193"/>
    <x v="0"/>
    <n v="1"/>
    <x v="2"/>
  </r>
  <r>
    <x v="5013"/>
    <x v="1653"/>
    <x v="47"/>
    <s v="Costa Rica"/>
    <s v="Panama"/>
    <n v="3"/>
    <n v="1"/>
    <s v="FIFA World Cup qualification"/>
    <s v="San Jos√©"/>
    <s v="Costa Rica"/>
    <b v="0"/>
    <n v="2016"/>
    <n v="58847019609"/>
    <n v="59760858717"/>
    <x v="1"/>
    <n v="-1"/>
    <x v="0"/>
  </r>
  <r>
    <x v="5014"/>
    <x v="1653"/>
    <x v="47"/>
    <s v="Cyprus"/>
    <s v="Belgium"/>
    <n v="0"/>
    <n v="3"/>
    <s v="FIFA World Cup qualification"/>
    <s v="Nicosia"/>
    <s v="Cyprus"/>
    <b v="0"/>
    <n v="2016"/>
    <n v="21046462280"/>
    <n v="474271566739"/>
    <x v="0"/>
    <n v="1"/>
    <x v="2"/>
  </r>
  <r>
    <x v="5015"/>
    <x v="1653"/>
    <x v="47"/>
    <s v="Faroe Islands"/>
    <s v="Hungary"/>
    <n v="0"/>
    <n v="0"/>
    <s v="FIFA World Cup qualification"/>
    <s v="T√≥rshavn"/>
    <s v="Faroe Islands"/>
    <b v="0"/>
    <n v="2016"/>
    <n v="2813278868"/>
    <n v="128983560865"/>
    <x v="0"/>
    <n v="0"/>
    <x v="1"/>
  </r>
  <r>
    <x v="5016"/>
    <x v="1653"/>
    <x v="47"/>
    <s v="Iraq"/>
    <s v="Saudi Arabia"/>
    <n v="1"/>
    <n v="2"/>
    <s v="FIFA World Cup qualification"/>
    <s v="Shah Alam"/>
    <s v="Malaysia"/>
    <b v="1"/>
    <n v="2016"/>
    <n v="166743557747"/>
    <n v="689279466666"/>
    <x v="0"/>
    <n v="1"/>
    <x v="2"/>
  </r>
  <r>
    <x v="5017"/>
    <x v="1653"/>
    <x v="47"/>
    <s v="Jamaica"/>
    <s v="Haiti"/>
    <n v="0"/>
    <n v="2"/>
    <s v="FIFA World Cup qualification"/>
    <s v="Kingston"/>
    <s v="Jamaica"/>
    <b v="0"/>
    <n v="2016"/>
    <n v="14898999754"/>
    <n v="14069277526"/>
    <x v="1"/>
    <n v="-1"/>
    <x v="0"/>
  </r>
  <r>
    <x v="5018"/>
    <x v="1653"/>
    <x v="47"/>
    <s v="Mexico"/>
    <s v="Honduras"/>
    <n v="0"/>
    <n v="0"/>
    <s v="FIFA World Cup qualification"/>
    <s v="Mexico City"/>
    <s v="Mexico"/>
    <b v="0"/>
    <n v="2016"/>
    <n v="1112233497452"/>
    <n v="21717604952"/>
    <x v="0"/>
    <n v="0"/>
    <x v="1"/>
  </r>
  <r>
    <x v="5019"/>
    <x v="1653"/>
    <x v="47"/>
    <s v="Peru"/>
    <s v="Ecuador"/>
    <n v="2"/>
    <n v="1"/>
    <s v="FIFA World Cup qualification"/>
    <s v="Lima"/>
    <s v="Peru"/>
    <b v="0"/>
    <n v="2016"/>
    <n v="191898104390"/>
    <n v="97671433000"/>
    <x v="1"/>
    <n v="1"/>
    <x v="2"/>
  </r>
  <r>
    <x v="5020"/>
    <x v="1653"/>
    <x v="47"/>
    <s v="Qatar"/>
    <s v="Uzbekistan"/>
    <n v="0"/>
    <n v="1"/>
    <s v="FIFA World Cup qualification"/>
    <s v="Doha"/>
    <s v="Qatar"/>
    <b v="0"/>
    <n v="2016"/>
    <n v="151732142857"/>
    <n v="86138288644"/>
    <x v="1"/>
    <n v="-1"/>
    <x v="0"/>
  </r>
  <r>
    <x v="5021"/>
    <x v="1653"/>
    <x v="47"/>
    <s v="Sweden"/>
    <s v="Netherlands"/>
    <n v="1"/>
    <n v="1"/>
    <s v="FIFA World Cup qualification"/>
    <s v="Solna"/>
    <s v="Sweden"/>
    <b v="0"/>
    <n v="2016"/>
    <n v="513058312950"/>
    <n v="797163949289"/>
    <x v="1"/>
    <n v="0"/>
    <x v="1"/>
  </r>
  <r>
    <x v="5022"/>
    <x v="1653"/>
    <x v="47"/>
    <s v="Switzerland"/>
    <s v="Portugal"/>
    <n v="2"/>
    <n v="0"/>
    <s v="FIFA World Cup qualification"/>
    <s v="Basel"/>
    <s v="Switzerland"/>
    <b v="0"/>
    <n v="2016"/>
    <n v="687895460902"/>
    <n v="206305431241"/>
    <x v="0"/>
    <n v="1"/>
    <x v="2"/>
  </r>
  <r>
    <x v="5023"/>
    <x v="1653"/>
    <x v="47"/>
    <s v="Syria"/>
    <s v="South Korea"/>
    <n v="0"/>
    <n v="0"/>
    <s v="FIFA World Cup qualification"/>
    <s v="Paroi"/>
    <s v="Malaysia"/>
    <b v="1"/>
    <n v="2016"/>
    <n v="12597854877"/>
    <n v="1579150518945"/>
    <x v="0"/>
    <n v="0"/>
    <x v="1"/>
  </r>
  <r>
    <x v="5024"/>
    <x v="1653"/>
    <x v="47"/>
    <s v="Thailand"/>
    <s v="Japan"/>
    <n v="0"/>
    <n v="2"/>
    <s v="FIFA World Cup qualification"/>
    <s v="Bangkok"/>
    <s v="Thailand"/>
    <b v="0"/>
    <n v="2016"/>
    <n v="413366349747"/>
    <n v="5003677627544"/>
    <x v="0"/>
    <n v="1"/>
    <x v="2"/>
  </r>
  <r>
    <x v="5025"/>
    <x v="1653"/>
    <x v="47"/>
    <s v="United Arab Emirates"/>
    <s v="Australia"/>
    <n v="0"/>
    <n v="1"/>
    <s v="FIFA World Cup qualification"/>
    <s v="Abu Dhabi"/>
    <s v="United Arab Emirates"/>
    <b v="0"/>
    <n v="2016"/>
    <n v="381717086453"/>
    <n v="1211588128417"/>
    <x v="0"/>
    <n v="1"/>
    <x v="2"/>
  </r>
  <r>
    <x v="5026"/>
    <x v="1653"/>
    <x v="47"/>
    <s v="Uruguay"/>
    <s v="Paraguay"/>
    <n v="4"/>
    <n v="0"/>
    <s v="FIFA World Cup qualification"/>
    <s v="Montevideo"/>
    <s v="Uruguay"/>
    <b v="0"/>
    <n v="2016"/>
    <n v="57480787465"/>
    <n v="36089700222"/>
    <x v="1"/>
    <n v="1"/>
    <x v="2"/>
  </r>
  <r>
    <x v="5027"/>
    <x v="1653"/>
    <x v="47"/>
    <s v="United States"/>
    <s v="Trinidad and Tobago"/>
    <n v="4"/>
    <n v="0"/>
    <s v="FIFA World Cup qualification"/>
    <s v="Jacksonville"/>
    <s v="United States"/>
    <b v="0"/>
    <n v="2016"/>
    <n v="18695110842000"/>
    <n v="23624322192"/>
    <x v="0"/>
    <n v="1"/>
    <x v="2"/>
  </r>
  <r>
    <x v="5028"/>
    <x v="1653"/>
    <x v="47"/>
    <s v="Venezuela"/>
    <s v="Argentina"/>
    <n v="2"/>
    <n v="2"/>
    <s v="FIFA World Cup qualification"/>
    <s v="M√©rida"/>
    <s v="Venezuela"/>
    <b v="0"/>
    <n v="2016"/>
    <n v="112915034262"/>
    <n v="557532320662"/>
    <x v="0"/>
    <n v="0"/>
    <x v="1"/>
  </r>
  <r>
    <x v="5029"/>
    <x v="1654"/>
    <x v="47"/>
    <s v="Brazil"/>
    <s v="Bolivia"/>
    <n v="5"/>
    <n v="0"/>
    <s v="FIFA World Cup qualification"/>
    <s v="Natal"/>
    <s v="Brazil"/>
    <b v="0"/>
    <n v="2016"/>
    <n v="1795693265999"/>
    <n v="33941126193"/>
    <x v="0"/>
    <n v="1"/>
    <x v="2"/>
  </r>
  <r>
    <x v="5030"/>
    <x v="1654"/>
    <x v="47"/>
    <s v="Ecuador"/>
    <s v="Chile"/>
    <n v="3"/>
    <n v="0"/>
    <s v="FIFA World Cup qualification"/>
    <s v="Quito"/>
    <s v="Ecuador"/>
    <b v="0"/>
    <n v="2016"/>
    <n v="97671433000"/>
    <n v="249344863928"/>
    <x v="0"/>
    <n v="-1"/>
    <x v="0"/>
  </r>
  <r>
    <x v="5031"/>
    <x v="1654"/>
    <x v="47"/>
    <s v="Iceland"/>
    <s v="Finland"/>
    <n v="3"/>
    <n v="2"/>
    <s v="FIFA World Cup qualification"/>
    <s v="Reykjav√≠k"/>
    <s v="Iceland"/>
    <b v="0"/>
    <n v="2016"/>
    <n v="21083713310"/>
    <n v="238777818792"/>
    <x v="0"/>
    <n v="-1"/>
    <x v="0"/>
  </r>
  <r>
    <x v="5032"/>
    <x v="1654"/>
    <x v="47"/>
    <s v="Italy"/>
    <s v="Spain"/>
    <n v="1"/>
    <n v="1"/>
    <s v="FIFA World Cup qualification"/>
    <s v="Turin"/>
    <s v="Italy"/>
    <b v="0"/>
    <n v="2016"/>
    <n v="1887111188176"/>
    <n v="1243015667917"/>
    <x v="1"/>
    <n v="0"/>
    <x v="1"/>
  </r>
  <r>
    <x v="5033"/>
    <x v="1654"/>
    <x v="47"/>
    <s v="Japan"/>
    <s v="Iraq"/>
    <n v="2"/>
    <n v="1"/>
    <s v="FIFA World Cup qualification"/>
    <s v="Saitama"/>
    <s v="Japan"/>
    <b v="0"/>
    <n v="2016"/>
    <n v="5003677627544"/>
    <n v="166743557747"/>
    <x v="0"/>
    <n v="1"/>
    <x v="2"/>
  </r>
  <r>
    <x v="5034"/>
    <x v="1654"/>
    <x v="47"/>
    <s v="South Korea"/>
    <s v="Qatar"/>
    <n v="3"/>
    <n v="2"/>
    <s v="FIFA World Cup qualification"/>
    <s v="Suwon"/>
    <s v="South Korea"/>
    <b v="0"/>
    <n v="2016"/>
    <n v="1579150518945"/>
    <n v="151732142857"/>
    <x v="0"/>
    <n v="1"/>
    <x v="2"/>
  </r>
  <r>
    <x v="5035"/>
    <x v="1654"/>
    <x v="47"/>
    <s v="Kosovo"/>
    <s v="Croatia"/>
    <n v="0"/>
    <n v="6"/>
    <s v="FIFA World Cup qualification"/>
    <s v="Shkod√´r"/>
    <s v="Albania"/>
    <b v="1"/>
    <n v="2016"/>
    <n v="6682677289"/>
    <n v="52650714171"/>
    <x v="0"/>
    <n v="1"/>
    <x v="2"/>
  </r>
  <r>
    <x v="5036"/>
    <x v="1654"/>
    <x v="47"/>
    <s v="Liechtenstein"/>
    <s v="Albania"/>
    <n v="0"/>
    <n v="2"/>
    <s v="FIFA World Cup qualification"/>
    <s v="Vaduz"/>
    <s v="Liechtenstein"/>
    <b v="0"/>
    <n v="2016"/>
    <n v="6237302033"/>
    <n v="11988668784"/>
    <x v="1"/>
    <n v="1"/>
    <x v="2"/>
  </r>
  <r>
    <x v="5037"/>
    <x v="1654"/>
    <x v="47"/>
    <s v="North Macedonia"/>
    <s v="Israel"/>
    <n v="1"/>
    <n v="2"/>
    <s v="FIFA World Cup qualification"/>
    <s v="Skopje"/>
    <s v="North Macedonia"/>
    <b v="0"/>
    <n v="2016"/>
    <n v="10672467073"/>
    <n v="321940971558"/>
    <x v="0"/>
    <n v="1"/>
    <x v="2"/>
  </r>
  <r>
    <x v="5038"/>
    <x v="1654"/>
    <x v="47"/>
    <s v="Moldova"/>
    <s v="Serbia"/>
    <n v="0"/>
    <n v="3"/>
    <s v="FIFA World Cup qualification"/>
    <s v="Chi»ôinƒÉu"/>
    <s v="Moldova"/>
    <b v="0"/>
    <n v="2016"/>
    <n v="7980917075"/>
    <n v="42225495909"/>
    <x v="0"/>
    <n v="1"/>
    <x v="2"/>
  </r>
  <r>
    <x v="5039"/>
    <x v="1654"/>
    <x v="47"/>
    <s v="Paraguay"/>
    <s v="Colombia"/>
    <n v="0"/>
    <n v="1"/>
    <s v="FIFA World Cup qualification"/>
    <s v="Asunci√≥n"/>
    <s v="Paraguay"/>
    <b v="0"/>
    <n v="2016"/>
    <n v="36089700222"/>
    <n v="282720100286"/>
    <x v="0"/>
    <n v="1"/>
    <x v="2"/>
  </r>
  <r>
    <x v="5040"/>
    <x v="1654"/>
    <x v="47"/>
    <s v="Peru"/>
    <s v="Argentina"/>
    <n v="2"/>
    <n v="2"/>
    <s v="FIFA World Cup qualification"/>
    <s v="Lima"/>
    <s v="Peru"/>
    <b v="0"/>
    <n v="2016"/>
    <n v="191898104390"/>
    <n v="557532320662"/>
    <x v="0"/>
    <n v="0"/>
    <x v="1"/>
  </r>
  <r>
    <x v="5041"/>
    <x v="1654"/>
    <x v="47"/>
    <s v="Saudi Arabia"/>
    <s v="Australia"/>
    <n v="2"/>
    <n v="2"/>
    <s v="FIFA World Cup qualification"/>
    <s v="Jeddah"/>
    <s v="Saudi Arabia"/>
    <b v="0"/>
    <n v="2016"/>
    <n v="689279466666"/>
    <n v="1211588128417"/>
    <x v="1"/>
    <n v="0"/>
    <x v="1"/>
  </r>
  <r>
    <x v="5042"/>
    <x v="1654"/>
    <x v="47"/>
    <s v="United Arab Emirates"/>
    <s v="Thailand"/>
    <n v="3"/>
    <n v="1"/>
    <s v="FIFA World Cup qualification"/>
    <s v="Abu Dhabi"/>
    <s v="United Arab Emirates"/>
    <b v="0"/>
    <n v="2016"/>
    <n v="381717086453"/>
    <n v="413366349747"/>
    <x v="1"/>
    <n v="-1"/>
    <x v="0"/>
  </r>
  <r>
    <x v="5043"/>
    <x v="1654"/>
    <x v="47"/>
    <s v="Uruguay"/>
    <s v="Venezuela"/>
    <n v="3"/>
    <n v="0"/>
    <s v="FIFA World Cup qualification"/>
    <s v="Montevideo"/>
    <s v="Uruguay"/>
    <b v="0"/>
    <n v="2016"/>
    <n v="57480787465"/>
    <n v="112915034262"/>
    <x v="1"/>
    <n v="-1"/>
    <x v="0"/>
  </r>
  <r>
    <x v="5044"/>
    <x v="1654"/>
    <x v="47"/>
    <s v="Uzbekistan"/>
    <s v="Iran"/>
    <n v="0"/>
    <n v="1"/>
    <s v="FIFA World Cup qualification"/>
    <s v="Tashkent"/>
    <s v="Uzbekistan"/>
    <b v="0"/>
    <n v="2016"/>
    <n v="86138288644"/>
    <n v="478618064870"/>
    <x v="0"/>
    <n v="1"/>
    <x v="2"/>
  </r>
  <r>
    <x v="5045"/>
    <x v="1655"/>
    <x v="47"/>
    <s v="Belgium"/>
    <s v="Bosnia and Herzegovina"/>
    <n v="4"/>
    <n v="0"/>
    <s v="FIFA World Cup qualification"/>
    <s v="Brussels"/>
    <s v="Belgium"/>
    <b v="0"/>
    <n v="2016"/>
    <n v="474271566739"/>
    <n v="17116926553"/>
    <x v="0"/>
    <n v="1"/>
    <x v="2"/>
  </r>
  <r>
    <x v="5046"/>
    <x v="1655"/>
    <x v="47"/>
    <s v="France"/>
    <s v="Bulgaria"/>
    <n v="4"/>
    <n v="1"/>
    <s v="FIFA World Cup qualification"/>
    <s v="Saint-Denis"/>
    <s v="France"/>
    <b v="0"/>
    <n v="2016"/>
    <n v="2470407619777"/>
    <n v="53929397039"/>
    <x v="0"/>
    <n v="1"/>
    <x v="2"/>
  </r>
  <r>
    <x v="5047"/>
    <x v="1655"/>
    <x v="47"/>
    <s v="Ghana"/>
    <s v="Uganda"/>
    <n v="0"/>
    <n v="0"/>
    <s v="FIFA World Cup qualification"/>
    <s v="Tamale"/>
    <s v="Ghana"/>
    <b v="0"/>
    <n v="2016"/>
    <n v="56144179397"/>
    <n v="29203988696"/>
    <x v="1"/>
    <n v="0"/>
    <x v="1"/>
  </r>
  <r>
    <x v="5048"/>
    <x v="1655"/>
    <x v="47"/>
    <s v="Greece"/>
    <s v="Cyprus"/>
    <n v="2"/>
    <n v="0"/>
    <s v="FIFA World Cup qualification"/>
    <s v="Piraeus"/>
    <s v="Greece"/>
    <b v="0"/>
    <n v="2016"/>
    <n v="193097239005"/>
    <n v="21046462280"/>
    <x v="0"/>
    <n v="1"/>
    <x v="2"/>
  </r>
  <r>
    <x v="5049"/>
    <x v="1655"/>
    <x v="47"/>
    <s v="Hungary"/>
    <s v="Switzerland"/>
    <n v="2"/>
    <n v="3"/>
    <s v="FIFA World Cup qualification"/>
    <s v="Budapest"/>
    <s v="Hungary"/>
    <b v="0"/>
    <n v="2016"/>
    <n v="128983560865"/>
    <n v="687895460902"/>
    <x v="0"/>
    <n v="1"/>
    <x v="2"/>
  </r>
  <r>
    <x v="5050"/>
    <x v="1655"/>
    <x v="47"/>
    <s v="Latvia"/>
    <s v="Faroe Islands"/>
    <n v="0"/>
    <n v="2"/>
    <s v="FIFA World Cup qualification"/>
    <s v="Riga"/>
    <s v="Latvia"/>
    <b v="0"/>
    <n v="2016"/>
    <n v="27117105059"/>
    <n v="2813278868"/>
    <x v="0"/>
    <n v="-1"/>
    <x v="0"/>
  </r>
  <r>
    <x v="5051"/>
    <x v="1655"/>
    <x v="47"/>
    <s v="Luxembourg"/>
    <s v="Sweden"/>
    <n v="0"/>
    <n v="1"/>
    <s v="FIFA World Cup qualification"/>
    <s v="Luxembourg"/>
    <s v="Luxembourg"/>
    <b v="0"/>
    <n v="2016"/>
    <n v="62216885435"/>
    <n v="513058312950"/>
    <x v="0"/>
    <n v="1"/>
    <x v="2"/>
  </r>
  <r>
    <x v="5052"/>
    <x v="1655"/>
    <x v="47"/>
    <s v="Netherlands"/>
    <s v="Belarus"/>
    <n v="4"/>
    <n v="1"/>
    <s v="FIFA World Cup qualification"/>
    <s v="Rotterdam"/>
    <s v="Netherlands"/>
    <b v="0"/>
    <n v="2016"/>
    <n v="797163949289"/>
    <n v="47723545321"/>
    <x v="0"/>
    <n v="1"/>
    <x v="2"/>
  </r>
  <r>
    <x v="5053"/>
    <x v="1655"/>
    <x v="47"/>
    <s v="Portugal"/>
    <s v="Andorra"/>
    <n v="6"/>
    <n v="0"/>
    <s v="FIFA World Cup qualification"/>
    <s v="Aveiro"/>
    <s v="Portugal"/>
    <b v="0"/>
    <n v="2016"/>
    <n v="206305431241"/>
    <n v="2896611878"/>
    <x v="0"/>
    <n v="1"/>
    <x v="2"/>
  </r>
  <r>
    <x v="5054"/>
    <x v="1656"/>
    <x v="47"/>
    <s v="Armenia"/>
    <s v="Romania"/>
    <n v="0"/>
    <n v="5"/>
    <s v="FIFA World Cup qualification"/>
    <s v="Yerevan"/>
    <s v="Armenia"/>
    <b v="0"/>
    <n v="2016"/>
    <n v="10546136235"/>
    <n v="185290759248"/>
    <x v="0"/>
    <n v="1"/>
    <x v="2"/>
  </r>
  <r>
    <x v="5055"/>
    <x v="1656"/>
    <x v="47"/>
    <s v="Azerbaijan"/>
    <s v="Norway"/>
    <n v="1"/>
    <n v="0"/>
    <s v="FIFA World Cup qualification"/>
    <s v="Baku"/>
    <s v="Azerbaijan"/>
    <b v="0"/>
    <n v="2016"/>
    <n v="37866996882"/>
    <n v="370956547619"/>
    <x v="0"/>
    <n v="-1"/>
    <x v="0"/>
  </r>
  <r>
    <x v="5056"/>
    <x v="1656"/>
    <x v="47"/>
    <s v="Burkina Faso"/>
    <s v="South Africa"/>
    <n v="1"/>
    <n v="1"/>
    <s v="FIFA World Cup qualification"/>
    <s v="Ouagadougou"/>
    <s v="Burkina Faso"/>
    <b v="0"/>
    <n v="2016"/>
    <n v="12833363045"/>
    <n v="323585509674"/>
    <x v="0"/>
    <n v="0"/>
    <x v="1"/>
  </r>
  <r>
    <x v="5057"/>
    <x v="1656"/>
    <x v="47"/>
    <s v="England"/>
    <s v="Malta"/>
    <n v="2"/>
    <n v="0"/>
    <s v="FIFA World Cup qualification"/>
    <s v="London"/>
    <s v="England"/>
    <b v="0"/>
    <n v="2016"/>
    <n v="2706807606538"/>
    <n v="12025782834"/>
    <x v="0"/>
    <n v="1"/>
    <x v="2"/>
  </r>
  <r>
    <x v="5058"/>
    <x v="1656"/>
    <x v="47"/>
    <s v="Gabon"/>
    <s v="Morocco"/>
    <n v="0"/>
    <n v="0"/>
    <s v="FIFA World Cup qualification"/>
    <s v="Franceville"/>
    <s v="Gabon"/>
    <b v="0"/>
    <n v="2016"/>
    <n v="14023890265"/>
    <n v="111572947004"/>
    <x v="0"/>
    <n v="0"/>
    <x v="1"/>
  </r>
  <r>
    <x v="5059"/>
    <x v="1656"/>
    <x v="47"/>
    <s v="Montenegro"/>
    <s v="Kazakhstan"/>
    <n v="5"/>
    <n v="0"/>
    <s v="FIFA World Cup qualification"/>
    <s v="Podgorica"/>
    <s v="Montenegro"/>
    <b v="0"/>
    <n v="2016"/>
    <n v="4357469330"/>
    <n v="137278320084"/>
    <x v="0"/>
    <n v="-1"/>
    <x v="0"/>
  </r>
  <r>
    <x v="5060"/>
    <x v="1656"/>
    <x v="47"/>
    <s v="Poland"/>
    <s v="Denmark"/>
    <n v="3"/>
    <n v="2"/>
    <s v="FIFA World Cup qualification"/>
    <s v="Warsaw"/>
    <s v="Poland"/>
    <b v="0"/>
    <n v="2016"/>
    <n v="473259583969"/>
    <n v="312181849372"/>
    <x v="1"/>
    <n v="1"/>
    <x v="2"/>
  </r>
  <r>
    <x v="5061"/>
    <x v="1657"/>
    <x v="47"/>
    <s v="Albania"/>
    <s v="Spain"/>
    <n v="0"/>
    <n v="2"/>
    <s v="FIFA World Cup qualification"/>
    <s v="Shkod√´r"/>
    <s v="Albania"/>
    <b v="0"/>
    <n v="2016"/>
    <n v="11988668784"/>
    <n v="1243015667917"/>
    <x v="0"/>
    <n v="1"/>
    <x v="2"/>
  </r>
  <r>
    <x v="5062"/>
    <x v="1657"/>
    <x v="47"/>
    <s v="Algeria"/>
    <s v="Cameroon"/>
    <n v="1"/>
    <n v="1"/>
    <s v="FIFA World Cup qualification"/>
    <s v="Blida"/>
    <s v="Algeria"/>
    <b v="0"/>
    <n v="2016"/>
    <n v="180763839522"/>
    <n v="33814337044"/>
    <x v="0"/>
    <n v="0"/>
    <x v="1"/>
  </r>
  <r>
    <x v="5063"/>
    <x v="1657"/>
    <x v="47"/>
    <s v="Finland"/>
    <s v="Croatia"/>
    <n v="0"/>
    <n v="1"/>
    <s v="FIFA World Cup qualification"/>
    <s v="Tampere"/>
    <s v="Finland"/>
    <b v="0"/>
    <n v="2016"/>
    <n v="238777818792"/>
    <n v="52650714171"/>
    <x v="0"/>
    <n v="-1"/>
    <x v="0"/>
  </r>
  <r>
    <x v="5064"/>
    <x v="1657"/>
    <x v="47"/>
    <s v="Israel"/>
    <s v="Liechtenstein"/>
    <n v="2"/>
    <n v="1"/>
    <s v="FIFA World Cup qualification"/>
    <s v="Jerusalem"/>
    <s v="Israel"/>
    <b v="0"/>
    <n v="2016"/>
    <n v="321940971558"/>
    <n v="6237302033"/>
    <x v="0"/>
    <n v="1"/>
    <x v="2"/>
  </r>
  <r>
    <x v="5065"/>
    <x v="1657"/>
    <x v="47"/>
    <s v="North Macedonia"/>
    <s v="Italy"/>
    <n v="2"/>
    <n v="3"/>
    <s v="FIFA World Cup qualification"/>
    <s v="Skopje"/>
    <s v="North Macedonia"/>
    <b v="0"/>
    <n v="2016"/>
    <n v="10672467073"/>
    <n v="1887111188176"/>
    <x v="0"/>
    <n v="1"/>
    <x v="2"/>
  </r>
  <r>
    <x v="5066"/>
    <x v="1657"/>
    <x v="47"/>
    <s v="Serbia"/>
    <s v="Austria"/>
    <n v="3"/>
    <n v="2"/>
    <s v="FIFA World Cup qualification"/>
    <s v="Belgrade"/>
    <s v="Serbia"/>
    <b v="0"/>
    <n v="2016"/>
    <n v="42225495909"/>
    <n v="393687359770"/>
    <x v="0"/>
    <n v="-1"/>
    <x v="0"/>
  </r>
  <r>
    <x v="5067"/>
    <x v="1657"/>
    <x v="47"/>
    <s v="Tunisia"/>
    <s v="Guinea"/>
    <n v="2"/>
    <n v="0"/>
    <s v="FIFA World Cup qualification"/>
    <s v="Monastir"/>
    <s v="Tunisia"/>
    <b v="0"/>
    <n v="2016"/>
    <n v="44360072680"/>
    <n v="8595955222"/>
    <x v="0"/>
    <n v="1"/>
    <x v="2"/>
  </r>
  <r>
    <x v="5068"/>
    <x v="1657"/>
    <x v="47"/>
    <s v="Ukraine"/>
    <s v="Kosovo"/>
    <n v="3"/>
    <n v="0"/>
    <s v="FIFA World Cup qualification"/>
    <s v="Krak√≥w"/>
    <s v="Poland"/>
    <b v="1"/>
    <n v="2016"/>
    <n v="93355869403"/>
    <n v="6682677289"/>
    <x v="0"/>
    <n v="1"/>
    <x v="2"/>
  </r>
  <r>
    <x v="5069"/>
    <x v="1657"/>
    <x v="47"/>
    <s v="Zambia"/>
    <s v="Nigeria"/>
    <n v="1"/>
    <n v="2"/>
    <s v="FIFA World Cup qualification"/>
    <s v="Ndola"/>
    <s v="Zambia"/>
    <b v="0"/>
    <n v="2016"/>
    <n v="20958412538"/>
    <n v="404649125252"/>
    <x v="0"/>
    <n v="1"/>
    <x v="2"/>
  </r>
  <r>
    <x v="5070"/>
    <x v="1658"/>
    <x v="47"/>
    <s v="Andorra"/>
    <s v="Switzerland"/>
    <n v="1"/>
    <n v="2"/>
    <s v="FIFA World Cup qualification"/>
    <s v="Sant Juli√† de L√≤ria"/>
    <s v="Andorra"/>
    <b v="0"/>
    <n v="2016"/>
    <n v="2896611878"/>
    <n v="687895460902"/>
    <x v="0"/>
    <n v="1"/>
    <x v="2"/>
  </r>
  <r>
    <x v="5071"/>
    <x v="1658"/>
    <x v="47"/>
    <s v="Belarus"/>
    <s v="Luxembourg"/>
    <n v="1"/>
    <n v="1"/>
    <s v="FIFA World Cup qualification"/>
    <s v="Barysaw"/>
    <s v="Belarus"/>
    <b v="0"/>
    <n v="2016"/>
    <n v="47723545321"/>
    <n v="62216885435"/>
    <x v="1"/>
    <n v="0"/>
    <x v="1"/>
  </r>
  <r>
    <x v="5072"/>
    <x v="1658"/>
    <x v="47"/>
    <s v="Bosnia and Herzegovina"/>
    <s v="Cyprus"/>
    <n v="2"/>
    <n v="0"/>
    <s v="FIFA World Cup qualification"/>
    <s v="Zenica"/>
    <s v="Bosnia and Herzegovina"/>
    <b v="0"/>
    <n v="2016"/>
    <n v="17116926553"/>
    <n v="21046462280"/>
    <x v="1"/>
    <n v="-1"/>
    <x v="0"/>
  </r>
  <r>
    <x v="5073"/>
    <x v="1658"/>
    <x v="47"/>
    <s v="Estonia"/>
    <s v="Greece"/>
    <n v="0"/>
    <n v="2"/>
    <s v="FIFA World Cup qualification"/>
    <s v="Tallinn"/>
    <s v="Estonia"/>
    <b v="0"/>
    <n v="2016"/>
    <n v="24561027787"/>
    <n v="193097239005"/>
    <x v="0"/>
    <n v="1"/>
    <x v="2"/>
  </r>
  <r>
    <x v="5074"/>
    <x v="1658"/>
    <x v="47"/>
    <s v="Faroe Islands"/>
    <s v="Portugal"/>
    <n v="0"/>
    <n v="6"/>
    <s v="FIFA World Cup qualification"/>
    <s v="T√≥rshavn"/>
    <s v="Faroe Islands"/>
    <b v="0"/>
    <n v="2016"/>
    <n v="2813278868"/>
    <n v="206305431241"/>
    <x v="0"/>
    <n v="1"/>
    <x v="2"/>
  </r>
  <r>
    <x v="5075"/>
    <x v="1658"/>
    <x v="47"/>
    <s v="Latvia"/>
    <s v="Hungary"/>
    <n v="0"/>
    <n v="2"/>
    <s v="FIFA World Cup qualification"/>
    <s v="Riga"/>
    <s v="Latvia"/>
    <b v="0"/>
    <n v="2016"/>
    <n v="27117105059"/>
    <n v="128983560865"/>
    <x v="0"/>
    <n v="1"/>
    <x v="2"/>
  </r>
  <r>
    <x v="5076"/>
    <x v="1658"/>
    <x v="47"/>
    <s v="Netherlands"/>
    <s v="France"/>
    <n v="0"/>
    <n v="1"/>
    <s v="FIFA World Cup qualification"/>
    <s v="Amsterdam"/>
    <s v="Netherlands"/>
    <b v="0"/>
    <n v="2016"/>
    <n v="797163949289"/>
    <n v="2470407619777"/>
    <x v="0"/>
    <n v="1"/>
    <x v="2"/>
  </r>
  <r>
    <x v="5077"/>
    <x v="1658"/>
    <x v="47"/>
    <s v="Sweden"/>
    <s v="Bulgaria"/>
    <n v="3"/>
    <n v="0"/>
    <s v="FIFA World Cup qualification"/>
    <s v="Solna"/>
    <s v="Sweden"/>
    <b v="0"/>
    <n v="2016"/>
    <n v="513058312950"/>
    <n v="53929397039"/>
    <x v="0"/>
    <n v="1"/>
    <x v="2"/>
  </r>
  <r>
    <x v="5078"/>
    <x v="1659"/>
    <x v="47"/>
    <s v="Argentina"/>
    <s v="Paraguay"/>
    <n v="0"/>
    <n v="1"/>
    <s v="FIFA World Cup qualification"/>
    <s v="C√≥rdoba"/>
    <s v="Argentina"/>
    <b v="0"/>
    <n v="2016"/>
    <n v="557532320662"/>
    <n v="36089700222"/>
    <x v="0"/>
    <n v="-1"/>
    <x v="0"/>
  </r>
  <r>
    <x v="5079"/>
    <x v="1659"/>
    <x v="47"/>
    <s v="Australia"/>
    <s v="Japan"/>
    <n v="1"/>
    <n v="1"/>
    <s v="FIFA World Cup qualification"/>
    <s v="Melbourne"/>
    <s v="Australia"/>
    <b v="0"/>
    <n v="2016"/>
    <n v="1211588128417"/>
    <n v="5003677627544"/>
    <x v="0"/>
    <n v="0"/>
    <x v="1"/>
  </r>
  <r>
    <x v="5080"/>
    <x v="1659"/>
    <x v="47"/>
    <s v="Bolivia"/>
    <s v="Ecuador"/>
    <n v="2"/>
    <n v="2"/>
    <s v="FIFA World Cup qualification"/>
    <s v="La Paz"/>
    <s v="Bolivia"/>
    <b v="0"/>
    <n v="2016"/>
    <n v="33941126193"/>
    <n v="97671433000"/>
    <x v="0"/>
    <n v="0"/>
    <x v="1"/>
  </r>
  <r>
    <x v="5081"/>
    <x v="1659"/>
    <x v="47"/>
    <s v="Chile"/>
    <s v="Peru"/>
    <n v="2"/>
    <n v="1"/>
    <s v="FIFA World Cup qualification"/>
    <s v="Santiago"/>
    <s v="Chile"/>
    <b v="0"/>
    <n v="2016"/>
    <n v="249344863928"/>
    <n v="191898104390"/>
    <x v="1"/>
    <n v="1"/>
    <x v="2"/>
  </r>
  <r>
    <x v="5082"/>
    <x v="1659"/>
    <x v="47"/>
    <s v="Colombia"/>
    <s v="Uruguay"/>
    <n v="2"/>
    <n v="2"/>
    <s v="FIFA World Cup qualification"/>
    <s v="Barranquilla"/>
    <s v="Colombia"/>
    <b v="0"/>
    <n v="2016"/>
    <n v="282720100286"/>
    <n v="57480787465"/>
    <x v="0"/>
    <n v="0"/>
    <x v="1"/>
  </r>
  <r>
    <x v="5083"/>
    <x v="1659"/>
    <x v="47"/>
    <s v="Denmark"/>
    <s v="Montenegro"/>
    <n v="0"/>
    <n v="1"/>
    <s v="FIFA World Cup qualification"/>
    <s v="Copenhagen"/>
    <s v="Denmark"/>
    <b v="0"/>
    <n v="2016"/>
    <n v="312181849372"/>
    <n v="4357469330"/>
    <x v="0"/>
    <n v="-1"/>
    <x v="0"/>
  </r>
  <r>
    <x v="5084"/>
    <x v="1659"/>
    <x v="47"/>
    <s v="Iran"/>
    <s v="South Korea"/>
    <n v="1"/>
    <n v="0"/>
    <s v="FIFA World Cup qualification"/>
    <s v="Tehran"/>
    <s v="Iran"/>
    <b v="0"/>
    <n v="2016"/>
    <n v="478618064870"/>
    <n v="1579150518945"/>
    <x v="0"/>
    <n v="-1"/>
    <x v="0"/>
  </r>
  <r>
    <x v="5085"/>
    <x v="1659"/>
    <x v="47"/>
    <s v="Iraq"/>
    <s v="Thailand"/>
    <n v="4"/>
    <n v="0"/>
    <s v="FIFA World Cup qualification"/>
    <s v="Tehran"/>
    <s v="Iran"/>
    <b v="1"/>
    <n v="2016"/>
    <n v="166743557747"/>
    <n v="413366349747"/>
    <x v="0"/>
    <n v="-1"/>
    <x v="0"/>
  </r>
  <r>
    <x v="5086"/>
    <x v="1659"/>
    <x v="47"/>
    <s v="Kazakhstan"/>
    <s v="Romania"/>
    <n v="0"/>
    <n v="0"/>
    <s v="FIFA World Cup qualification"/>
    <s v="Astana"/>
    <s v="Kazakhstan"/>
    <b v="0"/>
    <n v="2016"/>
    <n v="137278320084"/>
    <n v="185290759248"/>
    <x v="1"/>
    <n v="0"/>
    <x v="1"/>
  </r>
  <r>
    <x v="5087"/>
    <x v="1659"/>
    <x v="47"/>
    <s v="Lithuania"/>
    <s v="Malta"/>
    <n v="2"/>
    <n v="0"/>
    <s v="FIFA World Cup qualification"/>
    <s v="Vilnius"/>
    <s v="Lithuania"/>
    <b v="0"/>
    <n v="2016"/>
    <n v="42970749245"/>
    <n v="12025782834"/>
    <x v="0"/>
    <n v="1"/>
    <x v="2"/>
  </r>
  <r>
    <x v="5088"/>
    <x v="1659"/>
    <x v="47"/>
    <s v="Norway"/>
    <s v="San Marino"/>
    <n v="4"/>
    <n v="1"/>
    <s v="FIFA World Cup qualification"/>
    <s v="Oslo"/>
    <s v="Norway"/>
    <b v="0"/>
    <n v="2016"/>
    <n v="370956547619"/>
    <n v="1468343139"/>
    <x v="0"/>
    <n v="1"/>
    <x v="2"/>
  </r>
  <r>
    <x v="5089"/>
    <x v="1659"/>
    <x v="47"/>
    <s v="Poland"/>
    <s v="Armenia"/>
    <n v="2"/>
    <n v="1"/>
    <s v="FIFA World Cup qualification"/>
    <s v="Warsaw"/>
    <s v="Poland"/>
    <b v="0"/>
    <n v="2016"/>
    <n v="473259583969"/>
    <n v="10546136235"/>
    <x v="0"/>
    <n v="1"/>
    <x v="2"/>
  </r>
  <r>
    <x v="5090"/>
    <x v="1659"/>
    <x v="47"/>
    <s v="Qatar"/>
    <s v="Syria"/>
    <n v="1"/>
    <n v="0"/>
    <s v="FIFA World Cup qualification"/>
    <s v="Doha"/>
    <s v="Qatar"/>
    <b v="0"/>
    <n v="2016"/>
    <n v="151732142857"/>
    <n v="12597854877"/>
    <x v="0"/>
    <n v="1"/>
    <x v="2"/>
  </r>
  <r>
    <x v="5091"/>
    <x v="1659"/>
    <x v="47"/>
    <s v="Saudi Arabia"/>
    <s v="United Arab Emirates"/>
    <n v="3"/>
    <n v="0"/>
    <s v="FIFA World Cup qualification"/>
    <s v="Jeddah"/>
    <s v="Saudi Arabia"/>
    <b v="0"/>
    <n v="2016"/>
    <n v="689279466666"/>
    <n v="381717086453"/>
    <x v="1"/>
    <n v="1"/>
    <x v="2"/>
  </r>
  <r>
    <x v="5092"/>
    <x v="1659"/>
    <x v="47"/>
    <s v="Slovenia"/>
    <s v="England"/>
    <n v="0"/>
    <n v="0"/>
    <s v="FIFA World Cup qualification"/>
    <s v="Ljubljana"/>
    <s v="Slovenia"/>
    <b v="0"/>
    <n v="2016"/>
    <n v="44290685824"/>
    <n v="2706807606538"/>
    <x v="0"/>
    <n v="0"/>
    <x v="1"/>
  </r>
  <r>
    <x v="5093"/>
    <x v="1659"/>
    <x v="47"/>
    <s v="Venezuela"/>
    <s v="Brazil"/>
    <n v="0"/>
    <n v="2"/>
    <s v="FIFA World Cup qualification"/>
    <s v="M√©rida"/>
    <s v="Venezuela"/>
    <b v="0"/>
    <n v="2016"/>
    <n v="112915034262"/>
    <n v="1795693265999"/>
    <x v="0"/>
    <n v="1"/>
    <x v="2"/>
  </r>
  <r>
    <x v="5094"/>
    <x v="1660"/>
    <x v="47"/>
    <s v="Brazil"/>
    <s v="Argentina"/>
    <n v="3"/>
    <n v="0"/>
    <s v="FIFA World Cup qualification"/>
    <s v="Belo Horizonte"/>
    <s v="Brazil"/>
    <b v="0"/>
    <n v="2016"/>
    <n v="1795693265999"/>
    <n v="557532320662"/>
    <x v="0"/>
    <n v="1"/>
    <x v="2"/>
  </r>
  <r>
    <x v="5095"/>
    <x v="1660"/>
    <x v="47"/>
    <s v="Colombia"/>
    <s v="Chile"/>
    <n v="0"/>
    <n v="0"/>
    <s v="FIFA World Cup qualification"/>
    <s v="Barranquilla"/>
    <s v="Colombia"/>
    <b v="0"/>
    <n v="2016"/>
    <n v="282720100286"/>
    <n v="249344863928"/>
    <x v="1"/>
    <n v="0"/>
    <x v="1"/>
  </r>
  <r>
    <x v="5096"/>
    <x v="1660"/>
    <x v="47"/>
    <s v="Paraguay"/>
    <s v="Peru"/>
    <n v="1"/>
    <n v="4"/>
    <s v="FIFA World Cup qualification"/>
    <s v="Asunci√≥n"/>
    <s v="Paraguay"/>
    <b v="0"/>
    <n v="2016"/>
    <n v="36089700222"/>
    <n v="191898104390"/>
    <x v="0"/>
    <n v="1"/>
    <x v="2"/>
  </r>
  <r>
    <x v="5097"/>
    <x v="1660"/>
    <x v="47"/>
    <s v="Uruguay"/>
    <s v="Ecuador"/>
    <n v="2"/>
    <n v="1"/>
    <s v="FIFA World Cup qualification"/>
    <s v="Montevideo"/>
    <s v="Uruguay"/>
    <b v="0"/>
    <n v="2016"/>
    <n v="57480787465"/>
    <n v="97671433000"/>
    <x v="1"/>
    <n v="-1"/>
    <x v="0"/>
  </r>
  <r>
    <x v="5098"/>
    <x v="1660"/>
    <x v="47"/>
    <s v="Venezuela"/>
    <s v="Bolivia"/>
    <n v="5"/>
    <n v="0"/>
    <s v="FIFA World Cup qualification"/>
    <s v="Matur√≠n"/>
    <s v="Venezuela"/>
    <b v="0"/>
    <n v="2016"/>
    <n v="112915034262"/>
    <n v="33941126193"/>
    <x v="0"/>
    <n v="1"/>
    <x v="2"/>
  </r>
  <r>
    <x v="5099"/>
    <x v="1661"/>
    <x v="47"/>
    <s v="Armenia"/>
    <s v="Montenegro"/>
    <n v="3"/>
    <n v="2"/>
    <s v="FIFA World Cup qualification"/>
    <s v="Yerevan"/>
    <s v="Armenia"/>
    <b v="0"/>
    <n v="2016"/>
    <n v="10546136235"/>
    <n v="4357469330"/>
    <x v="0"/>
    <n v="1"/>
    <x v="2"/>
  </r>
  <r>
    <x v="5100"/>
    <x v="1661"/>
    <x v="47"/>
    <s v="Denmark"/>
    <s v="Kazakhstan"/>
    <n v="4"/>
    <n v="1"/>
    <s v="FIFA World Cup qualification"/>
    <s v="Copenhagen"/>
    <s v="Denmark"/>
    <b v="0"/>
    <n v="2016"/>
    <n v="312181849372"/>
    <n v="137278320084"/>
    <x v="0"/>
    <n v="1"/>
    <x v="2"/>
  </r>
  <r>
    <x v="5101"/>
    <x v="1661"/>
    <x v="47"/>
    <s v="France"/>
    <s v="Sweden"/>
    <n v="2"/>
    <n v="1"/>
    <s v="FIFA World Cup qualification"/>
    <s v="Saint-Denis"/>
    <s v="France"/>
    <b v="0"/>
    <n v="2016"/>
    <n v="2470407619777"/>
    <n v="513058312950"/>
    <x v="0"/>
    <n v="1"/>
    <x v="2"/>
  </r>
  <r>
    <x v="5102"/>
    <x v="1661"/>
    <x v="47"/>
    <s v="Honduras"/>
    <s v="Panama"/>
    <n v="0"/>
    <n v="1"/>
    <s v="FIFA World Cup qualification"/>
    <s v="San Pedro Sula"/>
    <s v="Honduras"/>
    <b v="0"/>
    <n v="2016"/>
    <n v="21717604952"/>
    <n v="59760858717"/>
    <x v="0"/>
    <n v="1"/>
    <x v="2"/>
  </r>
  <r>
    <x v="5103"/>
    <x v="1661"/>
    <x v="47"/>
    <s v="Libya"/>
    <s v="Tunisia"/>
    <n v="0"/>
    <n v="1"/>
    <s v="FIFA World Cup qualification"/>
    <s v="Algiers"/>
    <s v="Algeria"/>
    <b v="1"/>
    <n v="2016"/>
    <n v="49912073701"/>
    <n v="44360072680"/>
    <x v="1"/>
    <n v="-1"/>
    <x v="0"/>
  </r>
  <r>
    <x v="5104"/>
    <x v="1661"/>
    <x v="47"/>
    <s v="Malta"/>
    <s v="Slovenia"/>
    <n v="0"/>
    <n v="1"/>
    <s v="FIFA World Cup qualification"/>
    <s v="Attard"/>
    <s v="Malta"/>
    <b v="0"/>
    <n v="2016"/>
    <n v="12025782834"/>
    <n v="44290685824"/>
    <x v="0"/>
    <n v="1"/>
    <x v="2"/>
  </r>
  <r>
    <x v="5105"/>
    <x v="1661"/>
    <x v="47"/>
    <s v="Romania"/>
    <s v="Poland"/>
    <n v="0"/>
    <n v="3"/>
    <s v="FIFA World Cup qualification"/>
    <s v="Bucharest"/>
    <s v="Romania"/>
    <b v="0"/>
    <n v="2016"/>
    <n v="185290759248"/>
    <n v="473259583969"/>
    <x v="0"/>
    <n v="1"/>
    <x v="2"/>
  </r>
  <r>
    <x v="5106"/>
    <x v="1661"/>
    <x v="47"/>
    <s v="San Marino"/>
    <s v="Germany"/>
    <n v="0"/>
    <n v="8"/>
    <s v="FIFA World Cup qualification"/>
    <s v="Serravalle"/>
    <s v="San Marino"/>
    <b v="0"/>
    <n v="2016"/>
    <n v="1468343139"/>
    <n v="3536787895179"/>
    <x v="0"/>
    <n v="1"/>
    <x v="2"/>
  </r>
  <r>
    <x v="5107"/>
    <x v="1661"/>
    <x v="47"/>
    <s v="Trinidad and Tobago"/>
    <s v="Costa Rica"/>
    <n v="0"/>
    <n v="2"/>
    <s v="FIFA World Cup qualification"/>
    <s v="Port of Spain"/>
    <s v="Trinidad and Tobago"/>
    <b v="0"/>
    <n v="2016"/>
    <n v="23624322192"/>
    <n v="58847019609"/>
    <x v="0"/>
    <n v="1"/>
    <x v="2"/>
  </r>
  <r>
    <x v="5108"/>
    <x v="1661"/>
    <x v="47"/>
    <s v="United States"/>
    <s v="Mexico"/>
    <n v="1"/>
    <n v="2"/>
    <s v="FIFA World Cup qualification"/>
    <s v="Columbus"/>
    <s v="United States"/>
    <b v="0"/>
    <n v="2016"/>
    <n v="18695110842000"/>
    <n v="1112233497452"/>
    <x v="0"/>
    <n v="-1"/>
    <x v="0"/>
  </r>
  <r>
    <x v="5109"/>
    <x v="1662"/>
    <x v="47"/>
    <s v="Albania"/>
    <s v="Israel"/>
    <n v="0"/>
    <n v="3"/>
    <s v="FIFA World Cup qualification"/>
    <s v="Elbasan"/>
    <s v="Albania"/>
    <b v="0"/>
    <n v="2016"/>
    <n v="11988668784"/>
    <n v="321940971558"/>
    <x v="0"/>
    <n v="1"/>
    <x v="2"/>
  </r>
  <r>
    <x v="5110"/>
    <x v="1662"/>
    <x v="47"/>
    <s v="Cameroon"/>
    <s v="Zambia"/>
    <n v="1"/>
    <n v="1"/>
    <s v="FIFA World Cup qualification"/>
    <s v="Limb√©"/>
    <s v="Cameroon"/>
    <b v="0"/>
    <n v="2016"/>
    <n v="33814337044"/>
    <n v="20958412538"/>
    <x v="1"/>
    <n v="0"/>
    <x v="1"/>
  </r>
  <r>
    <x v="5111"/>
    <x v="1662"/>
    <x v="47"/>
    <s v="Croatia"/>
    <s v="Iceland"/>
    <n v="2"/>
    <n v="0"/>
    <s v="FIFA World Cup qualification"/>
    <s v="Zagreb"/>
    <s v="Croatia"/>
    <b v="0"/>
    <n v="2016"/>
    <n v="52650714171"/>
    <n v="21083713310"/>
    <x v="0"/>
    <n v="1"/>
    <x v="2"/>
  </r>
  <r>
    <x v="5112"/>
    <x v="1662"/>
    <x v="47"/>
    <s v="Georgia"/>
    <s v="Moldova"/>
    <n v="1"/>
    <n v="1"/>
    <s v="FIFA World Cup qualification"/>
    <s v="Tbilisi"/>
    <s v="Georgia"/>
    <b v="0"/>
    <n v="2016"/>
    <n v="15444548901"/>
    <n v="7980917075"/>
    <x v="1"/>
    <n v="0"/>
    <x v="1"/>
  </r>
  <r>
    <x v="5113"/>
    <x v="1662"/>
    <x v="47"/>
    <s v="Liechtenstein"/>
    <s v="Italy"/>
    <n v="0"/>
    <n v="4"/>
    <s v="FIFA World Cup qualification"/>
    <s v="Vaduz"/>
    <s v="Liechtenstein"/>
    <b v="0"/>
    <n v="2016"/>
    <n v="6237302033"/>
    <n v="1887111188176"/>
    <x v="0"/>
    <n v="1"/>
    <x v="2"/>
  </r>
  <r>
    <x v="5114"/>
    <x v="1662"/>
    <x v="47"/>
    <s v="Mali"/>
    <s v="Gabon"/>
    <n v="0"/>
    <n v="0"/>
    <s v="FIFA World Cup qualification"/>
    <s v="Bamako"/>
    <s v="Mali"/>
    <b v="0"/>
    <n v="2016"/>
    <n v="16743796799"/>
    <n v="14023890265"/>
    <x v="1"/>
    <n v="0"/>
    <x v="1"/>
  </r>
  <r>
    <x v="5115"/>
    <x v="1662"/>
    <x v="47"/>
    <s v="New Zealand"/>
    <s v="New Caledonia"/>
    <n v="2"/>
    <n v="0"/>
    <s v="FIFA World Cup qualification"/>
    <s v="Auckland"/>
    <s v="New Zealand"/>
    <b v="0"/>
    <n v="2016"/>
    <n v="189100085275"/>
    <n v="8724568954"/>
    <x v="0"/>
    <n v="1"/>
    <x v="2"/>
  </r>
  <r>
    <x v="5116"/>
    <x v="1662"/>
    <x v="47"/>
    <s v="Nigeria"/>
    <s v="Algeria"/>
    <n v="3"/>
    <n v="1"/>
    <s v="FIFA World Cup qualification"/>
    <s v="Uyo"/>
    <s v="Nigeria"/>
    <b v="0"/>
    <n v="2016"/>
    <n v="404649125252"/>
    <n v="180763839522"/>
    <x v="0"/>
    <n v="1"/>
    <x v="2"/>
  </r>
  <r>
    <x v="5117"/>
    <x v="1662"/>
    <x v="47"/>
    <s v="Spain"/>
    <s v="North Macedonia"/>
    <n v="4"/>
    <n v="0"/>
    <s v="FIFA World Cup qualification"/>
    <s v="Granada"/>
    <s v="Spain"/>
    <b v="0"/>
    <n v="2016"/>
    <n v="1243015667917"/>
    <n v="10672467073"/>
    <x v="0"/>
    <n v="1"/>
    <x v="2"/>
  </r>
  <r>
    <x v="5118"/>
    <x v="1662"/>
    <x v="47"/>
    <s v="Ukraine"/>
    <s v="Finland"/>
    <n v="1"/>
    <n v="0"/>
    <s v="FIFA World Cup qualification"/>
    <s v="Odessa"/>
    <s v="Ukraine"/>
    <b v="0"/>
    <n v="2016"/>
    <n v="93355869403"/>
    <n v="238777818792"/>
    <x v="0"/>
    <n v="-1"/>
    <x v="0"/>
  </r>
  <r>
    <x v="5119"/>
    <x v="1663"/>
    <x v="47"/>
    <s v="Belgium"/>
    <s v="Estonia"/>
    <n v="8"/>
    <n v="1"/>
    <s v="FIFA World Cup qualification"/>
    <s v="Brussels"/>
    <s v="Belgium"/>
    <b v="0"/>
    <n v="2016"/>
    <n v="474271566739"/>
    <n v="24561027787"/>
    <x v="0"/>
    <n v="1"/>
    <x v="2"/>
  </r>
  <r>
    <x v="5120"/>
    <x v="1663"/>
    <x v="47"/>
    <s v="Bulgaria"/>
    <s v="Belarus"/>
    <n v="1"/>
    <n v="0"/>
    <s v="FIFA World Cup qualification"/>
    <s v="Sofia"/>
    <s v="Bulgaria"/>
    <b v="0"/>
    <n v="2016"/>
    <n v="53929397039"/>
    <n v="47723545321"/>
    <x v="1"/>
    <n v="1"/>
    <x v="2"/>
  </r>
  <r>
    <x v="5121"/>
    <x v="1663"/>
    <x v="47"/>
    <s v="Egypt"/>
    <s v="Ghana"/>
    <n v="2"/>
    <n v="0"/>
    <s v="FIFA World Cup qualification"/>
    <s v="Alexandria"/>
    <s v="Egypt"/>
    <b v="0"/>
    <n v="2016"/>
    <n v="332441717791"/>
    <n v="56144179397"/>
    <x v="0"/>
    <n v="1"/>
    <x v="2"/>
  </r>
  <r>
    <x v="5122"/>
    <x v="1663"/>
    <x v="47"/>
    <s v="Greece"/>
    <s v="Bosnia and Herzegovina"/>
    <n v="1"/>
    <n v="1"/>
    <s v="FIFA World Cup qualification"/>
    <s v="Piraeus"/>
    <s v="Greece"/>
    <b v="0"/>
    <n v="2016"/>
    <n v="193097239005"/>
    <n v="17116926553"/>
    <x v="0"/>
    <n v="0"/>
    <x v="1"/>
  </r>
  <r>
    <x v="5123"/>
    <x v="1663"/>
    <x v="47"/>
    <s v="Hungary"/>
    <s v="Andorra"/>
    <n v="4"/>
    <n v="0"/>
    <s v="FIFA World Cup qualification"/>
    <s v="Budapest"/>
    <s v="Hungary"/>
    <b v="0"/>
    <n v="2016"/>
    <n v="128983560865"/>
    <n v="2896611878"/>
    <x v="0"/>
    <n v="1"/>
    <x v="2"/>
  </r>
  <r>
    <x v="5124"/>
    <x v="1663"/>
    <x v="47"/>
    <s v="Luxembourg"/>
    <s v="Netherlands"/>
    <n v="1"/>
    <n v="3"/>
    <s v="FIFA World Cup qualification"/>
    <s v="Luxembourg"/>
    <s v="Luxembourg"/>
    <b v="0"/>
    <n v="2016"/>
    <n v="62216885435"/>
    <n v="797163949289"/>
    <x v="0"/>
    <n v="1"/>
    <x v="2"/>
  </r>
  <r>
    <x v="5125"/>
    <x v="1663"/>
    <x v="47"/>
    <s v="Portugal"/>
    <s v="Latvia"/>
    <n v="4"/>
    <n v="1"/>
    <s v="FIFA World Cup qualification"/>
    <s v="Faro"/>
    <s v="Portugal"/>
    <b v="0"/>
    <n v="2016"/>
    <n v="206305431241"/>
    <n v="27117105059"/>
    <x v="0"/>
    <n v="1"/>
    <x v="2"/>
  </r>
  <r>
    <x v="5126"/>
    <x v="1663"/>
    <x v="47"/>
    <s v="Switzerland"/>
    <s v="Faroe Islands"/>
    <n v="2"/>
    <n v="0"/>
    <s v="FIFA World Cup qualification"/>
    <s v="Lucerne"/>
    <s v="Switzerland"/>
    <b v="0"/>
    <n v="2016"/>
    <n v="687895460902"/>
    <n v="2813278868"/>
    <x v="0"/>
    <n v="1"/>
    <x v="2"/>
  </r>
  <r>
    <x v="5127"/>
    <x v="1664"/>
    <x v="47"/>
    <s v="Argentina"/>
    <s v="Colombia"/>
    <n v="3"/>
    <n v="0"/>
    <s v="FIFA World Cup qualification"/>
    <s v="San Juan"/>
    <s v="Argentina"/>
    <b v="0"/>
    <n v="2016"/>
    <n v="557532320662"/>
    <n v="282720100286"/>
    <x v="1"/>
    <n v="1"/>
    <x v="2"/>
  </r>
  <r>
    <x v="5128"/>
    <x v="1664"/>
    <x v="47"/>
    <s v="Bolivia"/>
    <s v="Paraguay"/>
    <n v="1"/>
    <n v="0"/>
    <s v="FIFA World Cup qualification"/>
    <s v="La Paz"/>
    <s v="Bolivia"/>
    <b v="0"/>
    <n v="2016"/>
    <n v="33941126193"/>
    <n v="36089700222"/>
    <x v="1"/>
    <n v="-1"/>
    <x v="0"/>
  </r>
  <r>
    <x v="5129"/>
    <x v="1664"/>
    <x v="47"/>
    <s v="Chile"/>
    <s v="Uruguay"/>
    <n v="3"/>
    <n v="1"/>
    <s v="FIFA World Cup qualification"/>
    <s v="Santiago"/>
    <s v="Chile"/>
    <b v="0"/>
    <n v="2016"/>
    <n v="249344863928"/>
    <n v="57480787465"/>
    <x v="0"/>
    <n v="1"/>
    <x v="2"/>
  </r>
  <r>
    <x v="5130"/>
    <x v="1664"/>
    <x v="47"/>
    <s v="Costa Rica"/>
    <s v="United States"/>
    <n v="4"/>
    <n v="0"/>
    <s v="FIFA World Cup qualification"/>
    <s v="San Jos√©"/>
    <s v="Costa Rica"/>
    <b v="0"/>
    <n v="2016"/>
    <n v="58847019609"/>
    <n v="18695110842000"/>
    <x v="0"/>
    <n v="-1"/>
    <x v="0"/>
  </r>
  <r>
    <x v="5131"/>
    <x v="1664"/>
    <x v="47"/>
    <s v="Ecuador"/>
    <s v="Venezuela"/>
    <n v="3"/>
    <n v="0"/>
    <s v="FIFA World Cup qualification"/>
    <s v="Quito"/>
    <s v="Ecuador"/>
    <b v="0"/>
    <n v="2016"/>
    <n v="97671433000"/>
    <n v="112915034262"/>
    <x v="1"/>
    <n v="-1"/>
    <x v="0"/>
  </r>
  <r>
    <x v="5132"/>
    <x v="1664"/>
    <x v="47"/>
    <s v="Honduras"/>
    <s v="Trinidad and Tobago"/>
    <n v="3"/>
    <n v="1"/>
    <s v="FIFA World Cup qualification"/>
    <s v="San Pedro Sula"/>
    <s v="Honduras"/>
    <b v="0"/>
    <n v="2016"/>
    <n v="21717604952"/>
    <n v="23624322192"/>
    <x v="1"/>
    <n v="-1"/>
    <x v="0"/>
  </r>
  <r>
    <x v="5133"/>
    <x v="1664"/>
    <x v="47"/>
    <s v="Japan"/>
    <s v="Saudi Arabia"/>
    <n v="2"/>
    <n v="1"/>
    <s v="FIFA World Cup qualification"/>
    <s v="Saitama"/>
    <s v="Japan"/>
    <b v="0"/>
    <n v="2016"/>
    <n v="5003677627544"/>
    <n v="689279466666"/>
    <x v="0"/>
    <n v="1"/>
    <x v="2"/>
  </r>
  <r>
    <x v="5134"/>
    <x v="1664"/>
    <x v="47"/>
    <s v="South Korea"/>
    <s v="Uzbekistan"/>
    <n v="2"/>
    <n v="1"/>
    <s v="FIFA World Cup qualification"/>
    <s v="Seoul"/>
    <s v="South Korea"/>
    <b v="0"/>
    <n v="2016"/>
    <n v="1579150518945"/>
    <n v="86138288644"/>
    <x v="0"/>
    <n v="1"/>
    <x v="2"/>
  </r>
  <r>
    <x v="5135"/>
    <x v="1664"/>
    <x v="47"/>
    <s v="New Caledonia"/>
    <s v="New Zealand"/>
    <n v="0"/>
    <n v="0"/>
    <s v="FIFA World Cup qualification"/>
    <s v="Kon√©"/>
    <s v="New Caledonia"/>
    <b v="0"/>
    <n v="2016"/>
    <n v="8724568954"/>
    <n v="189100085275"/>
    <x v="0"/>
    <n v="0"/>
    <x v="1"/>
  </r>
  <r>
    <x v="5136"/>
    <x v="1664"/>
    <x v="47"/>
    <s v="Panama"/>
    <s v="Mexico"/>
    <n v="0"/>
    <n v="0"/>
    <s v="FIFA World Cup qualification"/>
    <s v="Panama City"/>
    <s v="Panama"/>
    <b v="0"/>
    <n v="2016"/>
    <n v="59760858717"/>
    <n v="1112233497452"/>
    <x v="0"/>
    <n v="0"/>
    <x v="1"/>
  </r>
  <r>
    <x v="5137"/>
    <x v="1664"/>
    <x v="47"/>
    <s v="Peru"/>
    <s v="Brazil"/>
    <n v="0"/>
    <n v="2"/>
    <s v="FIFA World Cup qualification"/>
    <s v="Lima"/>
    <s v="Peru"/>
    <b v="0"/>
    <n v="2016"/>
    <n v="191898104390"/>
    <n v="1795693265999"/>
    <x v="0"/>
    <n v="1"/>
    <x v="2"/>
  </r>
  <r>
    <x v="5138"/>
    <x v="1664"/>
    <x v="47"/>
    <s v="Syria"/>
    <s v="Iran"/>
    <n v="0"/>
    <n v="0"/>
    <s v="FIFA World Cup qualification"/>
    <s v="Paroi"/>
    <s v="Malaysia"/>
    <b v="1"/>
    <n v="2016"/>
    <n v="12597854877"/>
    <n v="478618064870"/>
    <x v="0"/>
    <n v="0"/>
    <x v="1"/>
  </r>
  <r>
    <x v="5139"/>
    <x v="1664"/>
    <x v="47"/>
    <s v="Thailand"/>
    <s v="Australia"/>
    <n v="2"/>
    <n v="2"/>
    <s v="FIFA World Cup qualification"/>
    <s v="Bangkok"/>
    <s v="Thailand"/>
    <b v="0"/>
    <n v="2016"/>
    <n v="413366349747"/>
    <n v="1211588128417"/>
    <x v="0"/>
    <n v="0"/>
    <x v="1"/>
  </r>
  <r>
    <x v="5140"/>
    <x v="1664"/>
    <x v="47"/>
    <s v="United Arab Emirates"/>
    <s v="Iraq"/>
    <n v="2"/>
    <n v="0"/>
    <s v="FIFA World Cup qualification"/>
    <s v="Abu Dhabi"/>
    <s v="United Arab Emirates"/>
    <b v="0"/>
    <n v="2016"/>
    <n v="381717086453"/>
    <n v="166743557747"/>
    <x v="0"/>
    <n v="1"/>
    <x v="2"/>
  </r>
  <r>
    <x v="5141"/>
    <x v="1665"/>
    <x v="48"/>
    <s v="Argentina"/>
    <s v="Chile"/>
    <n v="1"/>
    <n v="0"/>
    <s v="FIFA World Cup qualification"/>
    <s v="Buenos Aires"/>
    <s v="Argentina"/>
    <b v="0"/>
    <n v="2017"/>
    <n v="643628393281"/>
    <n v="276154259981"/>
    <x v="0"/>
    <n v="1"/>
    <x v="2"/>
  </r>
  <r>
    <x v="5142"/>
    <x v="1665"/>
    <x v="48"/>
    <s v="Colombia"/>
    <s v="Bolivia"/>
    <n v="1"/>
    <n v="0"/>
    <s v="FIFA World Cup qualification"/>
    <s v="Barranquilla"/>
    <s v="Colombia"/>
    <b v="0"/>
    <n v="2017"/>
    <n v="311866875156"/>
    <n v="45927439594"/>
    <x v="0"/>
    <n v="1"/>
    <x v="2"/>
  </r>
  <r>
    <x v="5143"/>
    <x v="1665"/>
    <x v="48"/>
    <s v="Iraq"/>
    <s v="Australia"/>
    <n v="1"/>
    <n v="1"/>
    <s v="FIFA World Cup qualification"/>
    <s v="Tehran"/>
    <s v="Iran"/>
    <b v="1"/>
    <n v="2017"/>
    <n v="187217660050"/>
    <n v="1330890554614"/>
    <x v="0"/>
    <n v="0"/>
    <x v="1"/>
  </r>
  <r>
    <x v="5144"/>
    <x v="1665"/>
    <x v="48"/>
    <s v="Paraguay"/>
    <s v="Ecuador"/>
    <n v="2"/>
    <n v="1"/>
    <s v="FIFA World Cup qualification"/>
    <s v="Asunci√≥n"/>
    <s v="Paraguay"/>
    <b v="0"/>
    <n v="2017"/>
    <n v="38997129473"/>
    <n v="104467486000"/>
    <x v="0"/>
    <n v="-1"/>
    <x v="0"/>
  </r>
  <r>
    <x v="5145"/>
    <x v="1665"/>
    <x v="48"/>
    <s v="Qatar"/>
    <s v="Iran"/>
    <n v="0"/>
    <n v="1"/>
    <s v="FIFA World Cup qualification"/>
    <s v="Doha"/>
    <s v="Qatar"/>
    <b v="0"/>
    <n v="2017"/>
    <n v="161099175824"/>
    <n v="510239893417"/>
    <x v="0"/>
    <n v="1"/>
    <x v="2"/>
  </r>
  <r>
    <x v="5146"/>
    <x v="1665"/>
    <x v="48"/>
    <s v="Syria"/>
    <s v="Uzbekistan"/>
    <n v="1"/>
    <n v="0"/>
    <s v="FIFA World Cup qualification"/>
    <s v="Paya Rumput"/>
    <s v="Malaysia"/>
    <b v="1"/>
    <n v="2017"/>
    <n v="16369843352"/>
    <n v="69703222282"/>
    <x v="0"/>
    <n v="-1"/>
    <x v="0"/>
  </r>
  <r>
    <x v="5147"/>
    <x v="1665"/>
    <x v="48"/>
    <s v="Thailand"/>
    <s v="Saudi Arabia"/>
    <n v="0"/>
    <n v="3"/>
    <s v="FIFA World Cup qualification"/>
    <s v="Bangkok"/>
    <s v="Thailand"/>
    <b v="0"/>
    <n v="2017"/>
    <n v="456356813536"/>
    <n v="741266133333"/>
    <x v="1"/>
    <n v="1"/>
    <x v="2"/>
  </r>
  <r>
    <x v="5148"/>
    <x v="1665"/>
    <x v="48"/>
    <s v="United Arab Emirates"/>
    <s v="Japan"/>
    <n v="0"/>
    <n v="2"/>
    <s v="FIFA World Cup qualification"/>
    <s v="Al Ain"/>
    <s v="United Arab Emirates"/>
    <b v="0"/>
    <n v="2017"/>
    <n v="403365010211"/>
    <n v="4930837369151"/>
    <x v="0"/>
    <n v="1"/>
    <x v="2"/>
  </r>
  <r>
    <x v="5149"/>
    <x v="1665"/>
    <x v="48"/>
    <s v="Uruguay"/>
    <s v="Brazil"/>
    <n v="1"/>
    <n v="4"/>
    <s v="FIFA World Cup qualification"/>
    <s v="Montevideo"/>
    <s v="Uruguay"/>
    <b v="0"/>
    <n v="2017"/>
    <n v="65005997963"/>
    <n v="2063514688805"/>
    <x v="0"/>
    <n v="1"/>
    <x v="2"/>
  </r>
  <r>
    <x v="5150"/>
    <x v="1665"/>
    <x v="48"/>
    <s v="Venezuela"/>
    <s v="Peru"/>
    <n v="2"/>
    <n v="2"/>
    <s v="FIFA World Cup qualification"/>
    <s v="Matur√≠n"/>
    <s v="Venezuela"/>
    <b v="0"/>
    <n v="2017"/>
    <n v="115883275162"/>
    <n v="211007984080"/>
    <x v="1"/>
    <n v="0"/>
    <x v="1"/>
  </r>
  <r>
    <x v="5151"/>
    <x v="1666"/>
    <x v="48"/>
    <s v="Austria"/>
    <s v="Moldova"/>
    <n v="2"/>
    <n v="0"/>
    <s v="FIFA World Cup qualification"/>
    <s v="Vienna"/>
    <s v="Austria"/>
    <b v="0"/>
    <n v="2017"/>
    <n v="414926138132"/>
    <n v="9514404016"/>
    <x v="0"/>
    <n v="1"/>
    <x v="2"/>
  </r>
  <r>
    <x v="5152"/>
    <x v="1666"/>
    <x v="48"/>
    <s v="Croatia"/>
    <s v="Ukraine"/>
    <n v="1"/>
    <n v="0"/>
    <s v="FIFA World Cup qualification"/>
    <s v="Zagreb"/>
    <s v="Croatia"/>
    <b v="0"/>
    <n v="2017"/>
    <n v="56182782585"/>
    <n v="112090505081"/>
    <x v="1"/>
    <n v="-1"/>
    <x v="0"/>
  </r>
  <r>
    <x v="5153"/>
    <x v="1666"/>
    <x v="48"/>
    <s v="Georgia"/>
    <s v="Serbia"/>
    <n v="1"/>
    <n v="3"/>
    <s v="FIFA World Cup qualification"/>
    <s v="Tbilisi"/>
    <s v="Georgia"/>
    <b v="0"/>
    <n v="2017"/>
    <n v="16473125375"/>
    <n v="45972834713"/>
    <x v="0"/>
    <n v="1"/>
    <x v="2"/>
  </r>
  <r>
    <x v="5154"/>
    <x v="1666"/>
    <x v="48"/>
    <s v="Italy"/>
    <s v="Albania"/>
    <n v="2"/>
    <n v="0"/>
    <s v="FIFA World Cup qualification"/>
    <s v="Palermo"/>
    <s v="Italy"/>
    <b v="0"/>
    <n v="2017"/>
    <n v="1970720904584"/>
    <n v="13258268435"/>
    <x v="0"/>
    <n v="1"/>
    <x v="2"/>
  </r>
  <r>
    <x v="5155"/>
    <x v="1666"/>
    <x v="48"/>
    <s v="Kosovo"/>
    <s v="Iceland"/>
    <n v="1"/>
    <n v="2"/>
    <s v="FIFA World Cup qualification"/>
    <s v="Shkod√´r"/>
    <s v="Albania"/>
    <b v="1"/>
    <n v="2017"/>
    <n v="7180768692"/>
    <n v="25060086487"/>
    <x v="0"/>
    <n v="1"/>
    <x v="2"/>
  </r>
  <r>
    <x v="5156"/>
    <x v="1666"/>
    <x v="48"/>
    <s v="Liechtenstein"/>
    <s v="North Macedonia"/>
    <n v="0"/>
    <n v="3"/>
    <s v="FIFA World Cup qualification"/>
    <s v="Vaduz"/>
    <s v="Liechtenstein"/>
    <b v="0"/>
    <n v="2017"/>
    <n v="6474308717"/>
    <n v="11307067069"/>
    <x v="1"/>
    <n v="1"/>
    <x v="2"/>
  </r>
  <r>
    <x v="5157"/>
    <x v="1666"/>
    <x v="48"/>
    <s v="Mexico"/>
    <s v="Costa Rica"/>
    <n v="2"/>
    <n v="0"/>
    <s v="FIFA World Cup qualification"/>
    <s v="Mexico City"/>
    <s v="Mexico"/>
    <b v="0"/>
    <n v="2017"/>
    <n v="1190721475906"/>
    <n v="60516044656"/>
    <x v="0"/>
    <n v="1"/>
    <x v="2"/>
  </r>
  <r>
    <x v="5158"/>
    <x v="1666"/>
    <x v="48"/>
    <s v="Spain"/>
    <s v="Israel"/>
    <n v="4"/>
    <n v="1"/>
    <s v="FIFA World Cup qualification"/>
    <s v="Gij√≥n"/>
    <s v="Spain"/>
    <b v="0"/>
    <n v="2017"/>
    <n v="1321754088818"/>
    <n v="358451839052"/>
    <x v="0"/>
    <n v="1"/>
    <x v="2"/>
  </r>
  <r>
    <x v="5159"/>
    <x v="1666"/>
    <x v="48"/>
    <s v="Trinidad and Tobago"/>
    <s v="Panama"/>
    <n v="1"/>
    <n v="0"/>
    <s v="FIFA World Cup qualification"/>
    <s v="Port of Spain"/>
    <s v="Trinidad and Tobago"/>
    <b v="0"/>
    <n v="2017"/>
    <n v="23830750900"/>
    <n v="64327688826"/>
    <x v="0"/>
    <n v="-1"/>
    <x v="0"/>
  </r>
  <r>
    <x v="5160"/>
    <x v="1666"/>
    <x v="48"/>
    <s v="United States"/>
    <s v="Honduras"/>
    <n v="6"/>
    <n v="0"/>
    <s v="FIFA World Cup qualification"/>
    <s v="San Jose"/>
    <s v="United States"/>
    <b v="0"/>
    <n v="2017"/>
    <n v="19477336549000"/>
    <n v="23136247990"/>
    <x v="0"/>
    <n v="1"/>
    <x v="2"/>
  </r>
  <r>
    <x v="5161"/>
    <x v="1667"/>
    <x v="48"/>
    <s v="Andorra"/>
    <s v="Faroe Islands"/>
    <n v="0"/>
    <n v="0"/>
    <s v="FIFA World Cup qualification"/>
    <s v="Sant Juli√† de L√≤ria"/>
    <s v="Andorra"/>
    <b v="0"/>
    <n v="2017"/>
    <n v="3000160414"/>
    <n v="2980057377"/>
    <x v="1"/>
    <n v="0"/>
    <x v="1"/>
  </r>
  <r>
    <x v="5162"/>
    <x v="1667"/>
    <x v="48"/>
    <s v="Belgium"/>
    <s v="Greece"/>
    <n v="1"/>
    <n v="1"/>
    <s v="FIFA World Cup qualification"/>
    <s v="Brussels"/>
    <s v="Belgium"/>
    <b v="0"/>
    <n v="2017"/>
    <n v="500908767351"/>
    <n v="200381103984"/>
    <x v="0"/>
    <n v="0"/>
    <x v="1"/>
  </r>
  <r>
    <x v="5163"/>
    <x v="1667"/>
    <x v="48"/>
    <s v="Bulgaria"/>
    <s v="Netherlands"/>
    <n v="2"/>
    <n v="0"/>
    <s v="FIFA World Cup qualification"/>
    <s v="Sofia"/>
    <s v="Bulgaria"/>
    <b v="0"/>
    <n v="2017"/>
    <n v="59167647387"/>
    <n v="848233537845"/>
    <x v="0"/>
    <n v="-1"/>
    <x v="0"/>
  </r>
  <r>
    <x v="5164"/>
    <x v="1667"/>
    <x v="48"/>
    <s v="Cyprus"/>
    <s v="Estonia"/>
    <n v="0"/>
    <n v="0"/>
    <s v="FIFA World Cup qualification"/>
    <s v="Nicosia"/>
    <s v="Cyprus"/>
    <b v="0"/>
    <n v="2017"/>
    <n v="22946570628"/>
    <n v="27469461919"/>
    <x v="1"/>
    <n v="0"/>
    <x v="1"/>
  </r>
  <r>
    <x v="5165"/>
    <x v="1667"/>
    <x v="48"/>
    <s v="Fiji"/>
    <s v="New Zealand"/>
    <n v="0"/>
    <n v="2"/>
    <s v="FIFA World Cup qualification"/>
    <s v="Lautoka"/>
    <s v="Fiji"/>
    <b v="0"/>
    <n v="2017"/>
    <n v="5353469174"/>
    <n v="206745969246"/>
    <x v="0"/>
    <n v="1"/>
    <x v="2"/>
  </r>
  <r>
    <x v="5166"/>
    <x v="1667"/>
    <x v="48"/>
    <s v="Luxembourg"/>
    <s v="France"/>
    <n v="1"/>
    <n v="3"/>
    <s v="FIFA World Cup qualification"/>
    <s v="Luxembourg"/>
    <s v="Luxembourg"/>
    <b v="0"/>
    <n v="2017"/>
    <n v="65712180342"/>
    <n v="2588868323334"/>
    <x v="0"/>
    <n v="1"/>
    <x v="2"/>
  </r>
  <r>
    <x v="5167"/>
    <x v="1667"/>
    <x v="48"/>
    <s v="Portugal"/>
    <s v="Hungary"/>
    <n v="3"/>
    <n v="0"/>
    <s v="FIFA World Cup qualification"/>
    <s v="Lisbon"/>
    <s v="Portugal"/>
    <b v="0"/>
    <n v="2017"/>
    <n v="220862990767"/>
    <n v="143335098991"/>
    <x v="1"/>
    <n v="1"/>
    <x v="2"/>
  </r>
  <r>
    <x v="5168"/>
    <x v="1667"/>
    <x v="48"/>
    <s v="Sweden"/>
    <s v="Belarus"/>
    <n v="4"/>
    <n v="0"/>
    <s v="FIFA World Cup qualification"/>
    <s v="Solna"/>
    <s v="Sweden"/>
    <b v="0"/>
    <n v="2017"/>
    <n v="535172356784"/>
    <n v="54725405751"/>
    <x v="0"/>
    <n v="1"/>
    <x v="2"/>
  </r>
  <r>
    <x v="5169"/>
    <x v="1667"/>
    <x v="48"/>
    <s v="Switzerland"/>
    <s v="Latvia"/>
    <n v="1"/>
    <n v="0"/>
    <s v="FIFA World Cup qualification"/>
    <s v="Geneva"/>
    <s v="Switzerland"/>
    <b v="0"/>
    <n v="2017"/>
    <n v="695200833086"/>
    <n v="29391059767"/>
    <x v="0"/>
    <n v="1"/>
    <x v="2"/>
  </r>
  <r>
    <x v="5170"/>
    <x v="1668"/>
    <x v="48"/>
    <s v="Armenia"/>
    <s v="Kazakhstan"/>
    <n v="2"/>
    <n v="0"/>
    <s v="FIFA World Cup qualification"/>
    <s v="Yerevan"/>
    <s v="Armenia"/>
    <b v="0"/>
    <n v="2017"/>
    <n v="11527458709"/>
    <n v="166805788827"/>
    <x v="0"/>
    <n v="-1"/>
    <x v="0"/>
  </r>
  <r>
    <x v="5171"/>
    <x v="1668"/>
    <x v="48"/>
    <s v="Azerbaijan"/>
    <s v="Germany"/>
    <n v="1"/>
    <n v="4"/>
    <s v="FIFA World Cup qualification"/>
    <s v="Baku"/>
    <s v="Azerbaijan"/>
    <b v="0"/>
    <n v="2017"/>
    <n v="40866627351"/>
    <n v="3765351626105"/>
    <x v="0"/>
    <n v="1"/>
    <x v="2"/>
  </r>
  <r>
    <x v="5172"/>
    <x v="1668"/>
    <x v="48"/>
    <s v="England"/>
    <s v="Lithuania"/>
    <n v="2"/>
    <n v="0"/>
    <s v="FIFA World Cup qualification"/>
    <s v="London"/>
    <s v="England"/>
    <b v="0"/>
    <n v="2017"/>
    <n v="2699118387873"/>
    <n v="47756764508"/>
    <x v="0"/>
    <n v="1"/>
    <x v="2"/>
  </r>
  <r>
    <x v="5173"/>
    <x v="1668"/>
    <x v="48"/>
    <s v="Montenegro"/>
    <s v="Poland"/>
    <n v="1"/>
    <n v="2"/>
    <s v="FIFA World Cup qualification"/>
    <s v="Podgorica"/>
    <s v="Montenegro"/>
    <b v="0"/>
    <n v="2017"/>
    <n v="4803962015"/>
    <n v="528356676667"/>
    <x v="0"/>
    <n v="1"/>
    <x v="2"/>
  </r>
  <r>
    <x v="5174"/>
    <x v="1668"/>
    <x v="48"/>
    <s v="Romania"/>
    <s v="Denmark"/>
    <n v="0"/>
    <n v="0"/>
    <s v="FIFA World Cup qualification"/>
    <s v="Cluj"/>
    <s v="Romania"/>
    <b v="0"/>
    <n v="2017"/>
    <n v="210147385855"/>
    <n v="331610593961"/>
    <x v="1"/>
    <n v="0"/>
    <x v="1"/>
  </r>
  <r>
    <x v="5175"/>
    <x v="1669"/>
    <x v="48"/>
    <s v="Australia"/>
    <s v="United Arab Emirates"/>
    <n v="2"/>
    <n v="0"/>
    <s v="FIFA World Cup qualification"/>
    <s v="Sydney"/>
    <s v="Australia"/>
    <b v="0"/>
    <n v="2017"/>
    <n v="1330890554614"/>
    <n v="403365010211"/>
    <x v="0"/>
    <n v="1"/>
    <x v="2"/>
  </r>
  <r>
    <x v="5176"/>
    <x v="1669"/>
    <x v="48"/>
    <s v="Bolivia"/>
    <s v="Argentina"/>
    <n v="2"/>
    <n v="0"/>
    <s v="FIFA World Cup qualification"/>
    <s v="La Paz"/>
    <s v="Bolivia"/>
    <b v="0"/>
    <n v="2017"/>
    <n v="45927439594"/>
    <n v="643628393281"/>
    <x v="0"/>
    <n v="-1"/>
    <x v="0"/>
  </r>
  <r>
    <x v="5177"/>
    <x v="1669"/>
    <x v="48"/>
    <s v="Brazil"/>
    <s v="Paraguay"/>
    <n v="3"/>
    <n v="0"/>
    <s v="FIFA World Cup qualification"/>
    <s v="S√£o Paulo"/>
    <s v="Brazil"/>
    <b v="0"/>
    <n v="2017"/>
    <n v="2063514688805"/>
    <n v="38997129473"/>
    <x v="0"/>
    <n v="1"/>
    <x v="2"/>
  </r>
  <r>
    <x v="5178"/>
    <x v="1669"/>
    <x v="48"/>
    <s v="Chile"/>
    <s v="Venezuela"/>
    <n v="3"/>
    <n v="1"/>
    <s v="FIFA World Cup qualification"/>
    <s v="Santiago"/>
    <s v="Chile"/>
    <b v="0"/>
    <n v="2017"/>
    <n v="276154259981"/>
    <n v="115883275162"/>
    <x v="0"/>
    <n v="1"/>
    <x v="2"/>
  </r>
  <r>
    <x v="5179"/>
    <x v="1669"/>
    <x v="48"/>
    <s v="Ecuador"/>
    <s v="Colombia"/>
    <n v="0"/>
    <n v="2"/>
    <s v="FIFA World Cup qualification"/>
    <s v="Quito"/>
    <s v="Ecuador"/>
    <b v="0"/>
    <n v="2017"/>
    <n v="104467486000"/>
    <n v="311866875156"/>
    <x v="0"/>
    <n v="1"/>
    <x v="2"/>
  </r>
  <r>
    <x v="5180"/>
    <x v="1669"/>
    <x v="48"/>
    <s v="Honduras"/>
    <s v="Costa Rica"/>
    <n v="1"/>
    <n v="1"/>
    <s v="FIFA World Cup qualification"/>
    <s v="San Pedro Sula"/>
    <s v="Honduras"/>
    <b v="0"/>
    <n v="2017"/>
    <n v="23136247990"/>
    <n v="60516044656"/>
    <x v="0"/>
    <n v="0"/>
    <x v="1"/>
  </r>
  <r>
    <x v="5181"/>
    <x v="1669"/>
    <x v="48"/>
    <s v="Japan"/>
    <s v="Thailand"/>
    <n v="4"/>
    <n v="0"/>
    <s v="FIFA World Cup qualification"/>
    <s v="Saitama"/>
    <s v="Japan"/>
    <b v="0"/>
    <n v="2017"/>
    <n v="4930837369151"/>
    <n v="456356813536"/>
    <x v="0"/>
    <n v="1"/>
    <x v="2"/>
  </r>
  <r>
    <x v="5182"/>
    <x v="1669"/>
    <x v="48"/>
    <s v="South Korea"/>
    <s v="Syria"/>
    <n v="1"/>
    <n v="0"/>
    <s v="FIFA World Cup qualification"/>
    <s v="Seoul"/>
    <s v="South Korea"/>
    <b v="0"/>
    <n v="2017"/>
    <n v="1710196756713"/>
    <n v="16369843352"/>
    <x v="0"/>
    <n v="1"/>
    <x v="2"/>
  </r>
  <r>
    <x v="5183"/>
    <x v="1669"/>
    <x v="48"/>
    <s v="New Zealand"/>
    <s v="Fiji"/>
    <n v="2"/>
    <n v="0"/>
    <s v="FIFA World Cup qualification"/>
    <s v="Wellington"/>
    <s v="New Zealand"/>
    <b v="0"/>
    <n v="2017"/>
    <n v="206745969246"/>
    <n v="5353469174"/>
    <x v="0"/>
    <n v="1"/>
    <x v="2"/>
  </r>
  <r>
    <x v="5184"/>
    <x v="1669"/>
    <x v="48"/>
    <s v="Panama"/>
    <s v="United States"/>
    <n v="1"/>
    <n v="1"/>
    <s v="FIFA World Cup qualification"/>
    <s v="Panama City"/>
    <s v="Panama"/>
    <b v="0"/>
    <n v="2017"/>
    <n v="64327688826"/>
    <n v="19477336549000"/>
    <x v="0"/>
    <n v="0"/>
    <x v="1"/>
  </r>
  <r>
    <x v="5185"/>
    <x v="1669"/>
    <x v="48"/>
    <s v="Peru"/>
    <s v="Uruguay"/>
    <n v="2"/>
    <n v="1"/>
    <s v="FIFA World Cup qualification"/>
    <s v="Lima"/>
    <s v="Peru"/>
    <b v="0"/>
    <n v="2017"/>
    <n v="211007984080"/>
    <n v="65005997963"/>
    <x v="0"/>
    <n v="1"/>
    <x v="2"/>
  </r>
  <r>
    <x v="5186"/>
    <x v="1669"/>
    <x v="48"/>
    <s v="Saudi Arabia"/>
    <s v="Iraq"/>
    <n v="1"/>
    <n v="0"/>
    <s v="FIFA World Cup qualification"/>
    <s v="Jeddah"/>
    <s v="Saudi Arabia"/>
    <b v="0"/>
    <n v="2017"/>
    <n v="741266133333"/>
    <n v="187217660050"/>
    <x v="0"/>
    <n v="1"/>
    <x v="2"/>
  </r>
  <r>
    <x v="5187"/>
    <x v="1669"/>
    <x v="48"/>
    <s v="Trinidad and Tobago"/>
    <s v="Mexico"/>
    <n v="0"/>
    <n v="1"/>
    <s v="FIFA World Cup qualification"/>
    <s v="Port of Spain"/>
    <s v="Trinidad and Tobago"/>
    <b v="0"/>
    <n v="2017"/>
    <n v="23830750900"/>
    <n v="1190721475906"/>
    <x v="0"/>
    <n v="1"/>
    <x v="2"/>
  </r>
  <r>
    <x v="5188"/>
    <x v="1669"/>
    <x v="48"/>
    <s v="Uzbekistan"/>
    <s v="Qatar"/>
    <n v="1"/>
    <n v="0"/>
    <s v="FIFA World Cup qualification"/>
    <s v="Tashkent"/>
    <s v="Uzbekistan"/>
    <b v="0"/>
    <n v="2017"/>
    <n v="69703222282"/>
    <n v="161099175824"/>
    <x v="0"/>
    <n v="-1"/>
    <x v="0"/>
  </r>
  <r>
    <x v="5189"/>
    <x v="1670"/>
    <x v="48"/>
    <s v="Fiji"/>
    <s v="New Caledonia"/>
    <n v="2"/>
    <n v="2"/>
    <s v="FIFA World Cup qualification"/>
    <s v="Lautoka"/>
    <s v="Fiji"/>
    <b v="0"/>
    <n v="2017"/>
    <n v="5353469174"/>
    <n v="9174048681"/>
    <x v="1"/>
    <n v="0"/>
    <x v="1"/>
  </r>
  <r>
    <x v="5190"/>
    <x v="1671"/>
    <x v="48"/>
    <s v="Australia"/>
    <s v="Saudi Arabia"/>
    <n v="3"/>
    <n v="2"/>
    <s v="FIFA World Cup qualification"/>
    <s v="Adelaide"/>
    <s v="Australia"/>
    <b v="0"/>
    <n v="2017"/>
    <n v="1330890554614"/>
    <n v="741266133333"/>
    <x v="1"/>
    <n v="1"/>
    <x v="2"/>
  </r>
  <r>
    <x v="5191"/>
    <x v="1671"/>
    <x v="48"/>
    <s v="Costa Rica"/>
    <s v="Panama"/>
    <n v="0"/>
    <n v="0"/>
    <s v="FIFA World Cup qualification"/>
    <s v="San Jos√©"/>
    <s v="Costa Rica"/>
    <b v="0"/>
    <n v="2017"/>
    <n v="60516044656"/>
    <n v="64327688826"/>
    <x v="1"/>
    <n v="0"/>
    <x v="1"/>
  </r>
  <r>
    <x v="5192"/>
    <x v="1671"/>
    <x v="48"/>
    <s v="Mexico"/>
    <s v="Honduras"/>
    <n v="3"/>
    <n v="0"/>
    <s v="FIFA World Cup qualification"/>
    <s v="Mexico City"/>
    <s v="Mexico"/>
    <b v="0"/>
    <n v="2017"/>
    <n v="1190721475906"/>
    <n v="23136247990"/>
    <x v="0"/>
    <n v="1"/>
    <x v="2"/>
  </r>
  <r>
    <x v="5193"/>
    <x v="1671"/>
    <x v="48"/>
    <s v="United States"/>
    <s v="Trinidad and Tobago"/>
    <n v="2"/>
    <n v="0"/>
    <s v="FIFA World Cup qualification"/>
    <s v="Commerce City"/>
    <s v="United States"/>
    <b v="0"/>
    <n v="2017"/>
    <n v="19477336549000"/>
    <n v="23830750900"/>
    <x v="0"/>
    <n v="1"/>
    <x v="2"/>
  </r>
  <r>
    <x v="5194"/>
    <x v="1672"/>
    <x v="48"/>
    <s v="Andorra"/>
    <s v="Hungary"/>
    <n v="1"/>
    <n v="0"/>
    <s v="FIFA World Cup qualification"/>
    <s v="Sant Juli√† de L√≤ria"/>
    <s v="Andorra"/>
    <b v="0"/>
    <n v="2017"/>
    <n v="3000160414"/>
    <n v="143335098991"/>
    <x v="0"/>
    <n v="-1"/>
    <x v="0"/>
  </r>
  <r>
    <x v="5195"/>
    <x v="1672"/>
    <x v="48"/>
    <s v="Belarus"/>
    <s v="Bulgaria"/>
    <n v="2"/>
    <n v="1"/>
    <s v="FIFA World Cup qualification"/>
    <s v="Barysaw"/>
    <s v="Belarus"/>
    <b v="0"/>
    <n v="2017"/>
    <n v="54725405751"/>
    <n v="59167647387"/>
    <x v="1"/>
    <n v="-1"/>
    <x v="0"/>
  </r>
  <r>
    <x v="5196"/>
    <x v="1672"/>
    <x v="48"/>
    <s v="Bosnia and Herzegovina"/>
    <s v="Greece"/>
    <n v="0"/>
    <n v="0"/>
    <s v="FIFA World Cup qualification"/>
    <s v="Zenica"/>
    <s v="Bosnia and Herzegovina"/>
    <b v="0"/>
    <n v="2017"/>
    <n v="18326373135"/>
    <n v="200381103984"/>
    <x v="0"/>
    <n v="0"/>
    <x v="1"/>
  </r>
  <r>
    <x v="5197"/>
    <x v="1672"/>
    <x v="48"/>
    <s v="Estonia"/>
    <s v="Belgium"/>
    <n v="0"/>
    <n v="2"/>
    <s v="FIFA World Cup qualification"/>
    <s v="Tallinn"/>
    <s v="Estonia"/>
    <b v="0"/>
    <n v="2017"/>
    <n v="27469461919"/>
    <n v="500908767351"/>
    <x v="0"/>
    <n v="1"/>
    <x v="2"/>
  </r>
  <r>
    <x v="5198"/>
    <x v="1672"/>
    <x v="48"/>
    <s v="Faroe Islands"/>
    <s v="Switzerland"/>
    <n v="0"/>
    <n v="2"/>
    <s v="FIFA World Cup qualification"/>
    <s v="T√≥rshavn"/>
    <s v="Faroe Islands"/>
    <b v="0"/>
    <n v="2017"/>
    <n v="2980057377"/>
    <n v="695200833086"/>
    <x v="0"/>
    <n v="1"/>
    <x v="2"/>
  </r>
  <r>
    <x v="5199"/>
    <x v="1672"/>
    <x v="48"/>
    <s v="Latvia"/>
    <s v="Portugal"/>
    <n v="0"/>
    <n v="3"/>
    <s v="FIFA World Cup qualification"/>
    <s v="Riga"/>
    <s v="Latvia"/>
    <b v="0"/>
    <n v="2017"/>
    <n v="29391059767"/>
    <n v="220862990767"/>
    <x v="0"/>
    <n v="1"/>
    <x v="2"/>
  </r>
  <r>
    <x v="5200"/>
    <x v="1672"/>
    <x v="48"/>
    <s v="Netherlands"/>
    <s v="Luxembourg"/>
    <n v="5"/>
    <n v="0"/>
    <s v="FIFA World Cup qualification"/>
    <s v="Rotterdam"/>
    <s v="Netherlands"/>
    <b v="0"/>
    <n v="2017"/>
    <n v="848233537845"/>
    <n v="65712180342"/>
    <x v="0"/>
    <n v="1"/>
    <x v="2"/>
  </r>
  <r>
    <x v="5201"/>
    <x v="1672"/>
    <x v="48"/>
    <s v="Solomon Islands"/>
    <s v="Papua New Guinea"/>
    <n v="3"/>
    <n v="2"/>
    <s v="FIFA World Cup qualification"/>
    <s v="Honiara"/>
    <s v="Solomon Islands"/>
    <b v="0"/>
    <n v="2017"/>
    <n v="1469790526"/>
    <n v="22742699138"/>
    <x v="0"/>
    <n v="-1"/>
    <x v="0"/>
  </r>
  <r>
    <x v="5202"/>
    <x v="1672"/>
    <x v="48"/>
    <s v="Sweden"/>
    <s v="France"/>
    <n v="2"/>
    <n v="1"/>
    <s v="FIFA World Cup qualification"/>
    <s v="Solna"/>
    <s v="Sweden"/>
    <b v="0"/>
    <n v="2017"/>
    <n v="535172356784"/>
    <n v="2588868323334"/>
    <x v="0"/>
    <n v="-1"/>
    <x v="0"/>
  </r>
  <r>
    <x v="5203"/>
    <x v="1673"/>
    <x v="48"/>
    <s v="Germany"/>
    <s v="San Marino"/>
    <n v="7"/>
    <n v="0"/>
    <s v="FIFA World Cup qualification"/>
    <s v="Nuremberg"/>
    <s v="Germany"/>
    <b v="0"/>
    <n v="2017"/>
    <n v="3765351626105"/>
    <n v="1528620346"/>
    <x v="0"/>
    <n v="1"/>
    <x v="2"/>
  </r>
  <r>
    <x v="5204"/>
    <x v="1673"/>
    <x v="48"/>
    <s v="Kazakhstan"/>
    <s v="Denmark"/>
    <n v="1"/>
    <n v="3"/>
    <s v="FIFA World Cup qualification"/>
    <s v="Almaty"/>
    <s v="Kazakhstan"/>
    <b v="0"/>
    <n v="2017"/>
    <n v="166805788827"/>
    <n v="331610593961"/>
    <x v="1"/>
    <n v="1"/>
    <x v="2"/>
  </r>
  <r>
    <x v="5205"/>
    <x v="1673"/>
    <x v="48"/>
    <s v="Montenegro"/>
    <s v="Armenia"/>
    <n v="4"/>
    <n v="1"/>
    <s v="FIFA World Cup qualification"/>
    <s v="Podgorica"/>
    <s v="Montenegro"/>
    <b v="0"/>
    <n v="2017"/>
    <n v="4803962015"/>
    <n v="11527458709"/>
    <x v="0"/>
    <n v="-1"/>
    <x v="0"/>
  </r>
  <r>
    <x v="5206"/>
    <x v="1673"/>
    <x v="48"/>
    <s v="Poland"/>
    <s v="Romania"/>
    <n v="3"/>
    <n v="1"/>
    <s v="FIFA World Cup qualification"/>
    <s v="Warsaw"/>
    <s v="Poland"/>
    <b v="0"/>
    <n v="2017"/>
    <n v="528356676667"/>
    <n v="210147385855"/>
    <x v="0"/>
    <n v="1"/>
    <x v="2"/>
  </r>
  <r>
    <x v="5207"/>
    <x v="1673"/>
    <x v="48"/>
    <s v="Slovenia"/>
    <s v="Malta"/>
    <n v="2"/>
    <n v="0"/>
    <s v="FIFA World Cup qualification"/>
    <s v="Ljubljana"/>
    <s v="Slovenia"/>
    <b v="0"/>
    <n v="2017"/>
    <n v="48153200134"/>
    <n v="14161366724"/>
    <x v="0"/>
    <n v="1"/>
    <x v="2"/>
  </r>
  <r>
    <x v="5208"/>
    <x v="1674"/>
    <x v="48"/>
    <s v="Finland"/>
    <s v="Ukraine"/>
    <n v="1"/>
    <n v="2"/>
    <s v="FIFA World Cup qualification"/>
    <s v="Tampere"/>
    <s v="Finland"/>
    <b v="0"/>
    <n v="2017"/>
    <n v="253846138440"/>
    <n v="112090505081"/>
    <x v="0"/>
    <n v="-1"/>
    <x v="0"/>
  </r>
  <r>
    <x v="5209"/>
    <x v="1674"/>
    <x v="48"/>
    <s v="Iceland"/>
    <s v="Croatia"/>
    <n v="1"/>
    <n v="0"/>
    <s v="FIFA World Cup qualification"/>
    <s v="Reykjav√≠k"/>
    <s v="Iceland"/>
    <b v="0"/>
    <n v="2017"/>
    <n v="25060086487"/>
    <n v="56182782585"/>
    <x v="0"/>
    <n v="-1"/>
    <x v="0"/>
  </r>
  <r>
    <x v="5210"/>
    <x v="1674"/>
    <x v="48"/>
    <s v="Israel"/>
    <s v="Albania"/>
    <n v="0"/>
    <n v="3"/>
    <s v="FIFA World Cup qualification"/>
    <s v="Haifa"/>
    <s v="Israel"/>
    <b v="0"/>
    <n v="2017"/>
    <n v="358451839052"/>
    <n v="13258268435"/>
    <x v="0"/>
    <n v="-1"/>
    <x v="0"/>
  </r>
  <r>
    <x v="5211"/>
    <x v="1674"/>
    <x v="48"/>
    <s v="Italy"/>
    <s v="Liechtenstein"/>
    <n v="5"/>
    <n v="0"/>
    <s v="FIFA World Cup qualification"/>
    <s v="Udine"/>
    <s v="Italy"/>
    <b v="0"/>
    <n v="2017"/>
    <n v="1970720904584"/>
    <n v="6474308717"/>
    <x v="0"/>
    <n v="1"/>
    <x v="2"/>
  </r>
  <r>
    <x v="5212"/>
    <x v="1674"/>
    <x v="48"/>
    <s v="North Macedonia"/>
    <s v="Spain"/>
    <n v="1"/>
    <n v="2"/>
    <s v="FIFA World Cup qualification"/>
    <s v="Skopje"/>
    <s v="North Macedonia"/>
    <b v="0"/>
    <n v="2017"/>
    <n v="11307067069"/>
    <n v="1321754088818"/>
    <x v="0"/>
    <n v="1"/>
    <x v="2"/>
  </r>
  <r>
    <x v="5213"/>
    <x v="1674"/>
    <x v="48"/>
    <s v="Mexico"/>
    <s v="United States"/>
    <n v="1"/>
    <n v="1"/>
    <s v="FIFA World Cup qualification"/>
    <s v="Mexico City"/>
    <s v="Mexico"/>
    <b v="0"/>
    <n v="2017"/>
    <n v="1190721475906"/>
    <n v="19477336549000"/>
    <x v="0"/>
    <n v="0"/>
    <x v="1"/>
  </r>
  <r>
    <x v="5214"/>
    <x v="1674"/>
    <x v="48"/>
    <s v="Moldova"/>
    <s v="Georgia"/>
    <n v="2"/>
    <n v="2"/>
    <s v="FIFA World Cup qualification"/>
    <s v="Chi»ôinƒÉu"/>
    <s v="Moldova"/>
    <b v="0"/>
    <n v="2017"/>
    <n v="9514404016"/>
    <n v="16473125375"/>
    <x v="1"/>
    <n v="0"/>
    <x v="1"/>
  </r>
  <r>
    <x v="5215"/>
    <x v="1674"/>
    <x v="48"/>
    <s v="New Caledonia"/>
    <s v="Fiji"/>
    <n v="2"/>
    <n v="1"/>
    <s v="FIFA World Cup qualification"/>
    <s v="Noum√©a"/>
    <s v="New Caledonia"/>
    <b v="0"/>
    <n v="2017"/>
    <n v="9174048681"/>
    <n v="5353469174"/>
    <x v="1"/>
    <n v="1"/>
    <x v="2"/>
  </r>
  <r>
    <x v="5216"/>
    <x v="1675"/>
    <x v="48"/>
    <s v="Iran"/>
    <s v="Uzbekistan"/>
    <n v="2"/>
    <n v="0"/>
    <s v="FIFA World Cup qualification"/>
    <s v="Tehran"/>
    <s v="Iran"/>
    <b v="0"/>
    <n v="2017"/>
    <n v="510239893417"/>
    <n v="69703222282"/>
    <x v="0"/>
    <n v="1"/>
    <x v="2"/>
  </r>
  <r>
    <x v="5217"/>
    <x v="1676"/>
    <x v="48"/>
    <s v="Costa Rica"/>
    <s v="Trinidad and Tobago"/>
    <n v="2"/>
    <n v="1"/>
    <s v="FIFA World Cup qualification"/>
    <s v="San Jos√©"/>
    <s v="Costa Rica"/>
    <b v="0"/>
    <n v="2017"/>
    <n v="60516044656"/>
    <n v="23830750900"/>
    <x v="0"/>
    <n v="1"/>
    <x v="2"/>
  </r>
  <r>
    <x v="5218"/>
    <x v="1676"/>
    <x v="48"/>
    <s v="Iraq"/>
    <s v="Japan"/>
    <n v="1"/>
    <n v="1"/>
    <s v="FIFA World Cup qualification"/>
    <s v="Tehran"/>
    <s v="Iran"/>
    <b v="1"/>
    <n v="2017"/>
    <n v="187217660050"/>
    <n v="4930837369151"/>
    <x v="0"/>
    <n v="0"/>
    <x v="1"/>
  </r>
  <r>
    <x v="5219"/>
    <x v="1676"/>
    <x v="48"/>
    <s v="Panama"/>
    <s v="Honduras"/>
    <n v="2"/>
    <n v="2"/>
    <s v="FIFA World Cup qualification"/>
    <s v="Panama City"/>
    <s v="Panama"/>
    <b v="0"/>
    <n v="2017"/>
    <n v="64327688826"/>
    <n v="23136247990"/>
    <x v="0"/>
    <n v="0"/>
    <x v="1"/>
  </r>
  <r>
    <x v="5220"/>
    <x v="1676"/>
    <x v="48"/>
    <s v="Papua New Guinea"/>
    <s v="Solomon Islands"/>
    <n v="1"/>
    <n v="2"/>
    <s v="FIFA World Cup qualification"/>
    <s v="Port Moresby"/>
    <s v="Papua New Guinea"/>
    <b v="0"/>
    <n v="2017"/>
    <n v="22742699138"/>
    <n v="1469790526"/>
    <x v="0"/>
    <n v="-1"/>
    <x v="0"/>
  </r>
  <r>
    <x v="5221"/>
    <x v="1676"/>
    <x v="48"/>
    <s v="Qatar"/>
    <s v="South Korea"/>
    <n v="3"/>
    <n v="2"/>
    <s v="FIFA World Cup qualification"/>
    <s v="Doha"/>
    <s v="Qatar"/>
    <b v="0"/>
    <n v="2017"/>
    <n v="161099175824"/>
    <n v="1710196756713"/>
    <x v="0"/>
    <n v="-1"/>
    <x v="0"/>
  </r>
  <r>
    <x v="5222"/>
    <x v="1676"/>
    <x v="48"/>
    <s v="Thailand"/>
    <s v="United Arab Emirates"/>
    <n v="1"/>
    <n v="1"/>
    <s v="FIFA World Cup qualification"/>
    <s v="Bangkok"/>
    <s v="Thailand"/>
    <b v="0"/>
    <n v="2017"/>
    <n v="456356813536"/>
    <n v="403365010211"/>
    <x v="1"/>
    <n v="0"/>
    <x v="1"/>
  </r>
  <r>
    <x v="5223"/>
    <x v="1677"/>
    <x v="48"/>
    <s v="United Arab Emirates"/>
    <s v="Saudi Arabia"/>
    <n v="2"/>
    <n v="1"/>
    <s v="FIFA World Cup qualification"/>
    <s v="Al Ain"/>
    <s v="United Arab Emirates"/>
    <b v="0"/>
    <n v="2017"/>
    <n v="403365010211"/>
    <n v="741266133333"/>
    <x v="1"/>
    <n v="-1"/>
    <x v="0"/>
  </r>
  <r>
    <x v="5224"/>
    <x v="1678"/>
    <x v="48"/>
    <s v="Brazil"/>
    <s v="Ecuador"/>
    <n v="2"/>
    <n v="0"/>
    <s v="FIFA World Cup qualification"/>
    <s v="Porto Alegre"/>
    <s v="Brazil"/>
    <b v="0"/>
    <n v="2017"/>
    <n v="2063514688805"/>
    <n v="104467486000"/>
    <x v="0"/>
    <n v="1"/>
    <x v="2"/>
  </r>
  <r>
    <x v="5225"/>
    <x v="1678"/>
    <x v="48"/>
    <s v="Bulgaria"/>
    <s v="Sweden"/>
    <n v="3"/>
    <n v="2"/>
    <s v="FIFA World Cup qualification"/>
    <s v="Sofia"/>
    <s v="Bulgaria"/>
    <b v="0"/>
    <n v="2017"/>
    <n v="59167647387"/>
    <n v="535172356784"/>
    <x v="0"/>
    <n v="-1"/>
    <x v="0"/>
  </r>
  <r>
    <x v="5226"/>
    <x v="1678"/>
    <x v="48"/>
    <s v="Chile"/>
    <s v="Paraguay"/>
    <n v="0"/>
    <n v="3"/>
    <s v="FIFA World Cup qualification"/>
    <s v="Santiago"/>
    <s v="Chile"/>
    <b v="0"/>
    <n v="2017"/>
    <n v="276154259981"/>
    <n v="38997129473"/>
    <x v="0"/>
    <n v="-1"/>
    <x v="0"/>
  </r>
  <r>
    <x v="5227"/>
    <x v="1678"/>
    <x v="48"/>
    <s v="Cyprus"/>
    <s v="Bosnia and Herzegovina"/>
    <n v="3"/>
    <n v="2"/>
    <s v="FIFA World Cup qualification"/>
    <s v="Nicosia"/>
    <s v="Cyprus"/>
    <b v="0"/>
    <n v="2017"/>
    <n v="22946570628"/>
    <n v="18326373135"/>
    <x v="1"/>
    <n v="1"/>
    <x v="2"/>
  </r>
  <r>
    <x v="5228"/>
    <x v="1678"/>
    <x v="48"/>
    <s v="France"/>
    <s v="Netherlands"/>
    <n v="4"/>
    <n v="0"/>
    <s v="FIFA World Cup qualification"/>
    <s v="Saint-Denis"/>
    <s v="France"/>
    <b v="0"/>
    <n v="2017"/>
    <n v="2588868323334"/>
    <n v="848233537845"/>
    <x v="0"/>
    <n v="1"/>
    <x v="2"/>
  </r>
  <r>
    <x v="5229"/>
    <x v="1678"/>
    <x v="48"/>
    <s v="Greece"/>
    <s v="Estonia"/>
    <n v="0"/>
    <n v="0"/>
    <s v="FIFA World Cup qualification"/>
    <s v="Piraeus"/>
    <s v="Greece"/>
    <b v="0"/>
    <n v="2017"/>
    <n v="200381103984"/>
    <n v="27469461919"/>
    <x v="0"/>
    <n v="0"/>
    <x v="1"/>
  </r>
  <r>
    <x v="5230"/>
    <x v="1678"/>
    <x v="48"/>
    <s v="Guinea"/>
    <s v="Libya"/>
    <n v="3"/>
    <n v="2"/>
    <s v="FIFA World Cup qualification"/>
    <s v="Conakry"/>
    <s v="Guinea"/>
    <b v="0"/>
    <n v="2017"/>
    <n v="10324668271"/>
    <n v="67157452181"/>
    <x v="0"/>
    <n v="-1"/>
    <x v="0"/>
  </r>
  <r>
    <x v="5231"/>
    <x v="1678"/>
    <x v="48"/>
    <s v="Hungary"/>
    <s v="Latvia"/>
    <n v="3"/>
    <n v="1"/>
    <s v="FIFA World Cup qualification"/>
    <s v="Budapest"/>
    <s v="Hungary"/>
    <b v="0"/>
    <n v="2017"/>
    <n v="143335098991"/>
    <n v="29391059767"/>
    <x v="0"/>
    <n v="1"/>
    <x v="2"/>
  </r>
  <r>
    <x v="5232"/>
    <x v="1678"/>
    <x v="48"/>
    <s v="Japan"/>
    <s v="Australia"/>
    <n v="2"/>
    <n v="0"/>
    <s v="FIFA World Cup qualification"/>
    <s v="Saitama"/>
    <s v="Japan"/>
    <b v="0"/>
    <n v="2017"/>
    <n v="4930837369151"/>
    <n v="1330890554614"/>
    <x v="0"/>
    <n v="1"/>
    <x v="2"/>
  </r>
  <r>
    <x v="5233"/>
    <x v="1678"/>
    <x v="48"/>
    <s v="South Korea"/>
    <s v="Iran"/>
    <n v="0"/>
    <n v="0"/>
    <s v="FIFA World Cup qualification"/>
    <s v="Seoul"/>
    <s v="South Korea"/>
    <b v="0"/>
    <n v="2017"/>
    <n v="1710196756713"/>
    <n v="510239893417"/>
    <x v="0"/>
    <n v="0"/>
    <x v="1"/>
  </r>
  <r>
    <x v="5234"/>
    <x v="1678"/>
    <x v="48"/>
    <s v="Luxembourg"/>
    <s v="Belarus"/>
    <n v="1"/>
    <n v="0"/>
    <s v="FIFA World Cup qualification"/>
    <s v="Luxembourg"/>
    <s v="Luxembourg"/>
    <b v="0"/>
    <n v="2017"/>
    <n v="65712180342"/>
    <n v="54725405751"/>
    <x v="1"/>
    <n v="1"/>
    <x v="2"/>
  </r>
  <r>
    <x v="5235"/>
    <x v="1678"/>
    <x v="48"/>
    <s v="Peru"/>
    <s v="Bolivia"/>
    <n v="2"/>
    <n v="1"/>
    <s v="FIFA World Cup qualification"/>
    <s v="Lima"/>
    <s v="Peru"/>
    <b v="0"/>
    <n v="2017"/>
    <n v="211007984080"/>
    <n v="45927439594"/>
    <x v="0"/>
    <n v="1"/>
    <x v="2"/>
  </r>
  <r>
    <x v="5236"/>
    <x v="1678"/>
    <x v="48"/>
    <s v="Portugal"/>
    <s v="Faroe Islands"/>
    <n v="5"/>
    <n v="1"/>
    <s v="FIFA World Cup qualification"/>
    <s v="Porto"/>
    <s v="Portugal"/>
    <b v="0"/>
    <n v="2017"/>
    <n v="220862990767"/>
    <n v="2980057377"/>
    <x v="0"/>
    <n v="1"/>
    <x v="2"/>
  </r>
  <r>
    <x v="5237"/>
    <x v="1678"/>
    <x v="48"/>
    <s v="Switzerland"/>
    <s v="Andorra"/>
    <n v="3"/>
    <n v="0"/>
    <s v="FIFA World Cup qualification"/>
    <s v="St. Gallen"/>
    <s v="Switzerland"/>
    <b v="0"/>
    <n v="2017"/>
    <n v="695200833086"/>
    <n v="3000160414"/>
    <x v="0"/>
    <n v="1"/>
    <x v="2"/>
  </r>
  <r>
    <x v="5238"/>
    <x v="1678"/>
    <x v="48"/>
    <s v="Syria"/>
    <s v="Qatar"/>
    <n v="3"/>
    <n v="1"/>
    <s v="FIFA World Cup qualification"/>
    <s v="Paya Rumput"/>
    <s v="Malaysia"/>
    <b v="1"/>
    <n v="2017"/>
    <n v="16369843352"/>
    <n v="161099175824"/>
    <x v="0"/>
    <n v="-1"/>
    <x v="0"/>
  </r>
  <r>
    <x v="5239"/>
    <x v="1678"/>
    <x v="48"/>
    <s v="Thailand"/>
    <s v="Iraq"/>
    <n v="1"/>
    <n v="2"/>
    <s v="FIFA World Cup qualification"/>
    <s v="Bangkok"/>
    <s v="Thailand"/>
    <b v="0"/>
    <n v="2017"/>
    <n v="456356813536"/>
    <n v="187217660050"/>
    <x v="0"/>
    <n v="-1"/>
    <x v="0"/>
  </r>
  <r>
    <x v="5240"/>
    <x v="1678"/>
    <x v="48"/>
    <s v="Uganda"/>
    <s v="Egypt"/>
    <n v="1"/>
    <n v="0"/>
    <s v="FIFA World Cup qualification"/>
    <s v="Kampala"/>
    <s v="Uganda"/>
    <b v="0"/>
    <n v="2017"/>
    <n v="30744473841"/>
    <n v="248362771739"/>
    <x v="0"/>
    <n v="-1"/>
    <x v="0"/>
  </r>
  <r>
    <x v="5241"/>
    <x v="1678"/>
    <x v="48"/>
    <s v="Uruguay"/>
    <s v="Argentina"/>
    <n v="0"/>
    <n v="0"/>
    <s v="FIFA World Cup qualification"/>
    <s v="Montevideo"/>
    <s v="Uruguay"/>
    <b v="0"/>
    <n v="2017"/>
    <n v="65005997963"/>
    <n v="643628393281"/>
    <x v="0"/>
    <n v="0"/>
    <x v="1"/>
  </r>
  <r>
    <x v="5242"/>
    <x v="1678"/>
    <x v="48"/>
    <s v="Venezuela"/>
    <s v="Colombia"/>
    <n v="0"/>
    <n v="0"/>
    <s v="FIFA World Cup qualification"/>
    <s v="San Crist√≥bal"/>
    <s v="Venezuela"/>
    <b v="0"/>
    <n v="2017"/>
    <n v="115883275162"/>
    <n v="311866875156"/>
    <x v="0"/>
    <n v="0"/>
    <x v="1"/>
  </r>
  <r>
    <x v="5243"/>
    <x v="1679"/>
    <x v="48"/>
    <s v="Denmark"/>
    <s v="Poland"/>
    <n v="4"/>
    <n v="0"/>
    <s v="FIFA World Cup qualification"/>
    <s v="Copenhagen"/>
    <s v="Denmark"/>
    <b v="0"/>
    <n v="2017"/>
    <n v="331610593961"/>
    <n v="528356676667"/>
    <x v="1"/>
    <n v="-1"/>
    <x v="0"/>
  </r>
  <r>
    <x v="5244"/>
    <x v="1679"/>
    <x v="48"/>
    <s v="Kazakhstan"/>
    <s v="Montenegro"/>
    <n v="0"/>
    <n v="3"/>
    <s v="FIFA World Cup qualification"/>
    <s v="Astana"/>
    <s v="Kazakhstan"/>
    <b v="0"/>
    <n v="2017"/>
    <n v="166805788827"/>
    <n v="4803962015"/>
    <x v="0"/>
    <n v="-1"/>
    <x v="0"/>
  </r>
  <r>
    <x v="5245"/>
    <x v="1679"/>
    <x v="48"/>
    <s v="Malta"/>
    <s v="England"/>
    <n v="0"/>
    <n v="4"/>
    <s v="FIFA World Cup qualification"/>
    <s v="Attard"/>
    <s v="Malta"/>
    <b v="0"/>
    <n v="2017"/>
    <n v="14161366724"/>
    <n v="2699118387873"/>
    <x v="0"/>
    <n v="1"/>
    <x v="2"/>
  </r>
  <r>
    <x v="5246"/>
    <x v="1679"/>
    <x v="48"/>
    <s v="Mexico"/>
    <s v="Panama"/>
    <n v="1"/>
    <n v="0"/>
    <s v="FIFA World Cup qualification"/>
    <s v="Mexico City"/>
    <s v="Mexico"/>
    <b v="0"/>
    <n v="2017"/>
    <n v="1190721475906"/>
    <n v="64327688826"/>
    <x v="0"/>
    <n v="1"/>
    <x v="2"/>
  </r>
  <r>
    <x v="5247"/>
    <x v="1679"/>
    <x v="48"/>
    <s v="Morocco"/>
    <s v="Mali"/>
    <n v="6"/>
    <n v="0"/>
    <s v="FIFA World Cup qualification"/>
    <s v="Rabat"/>
    <s v="Morocco"/>
    <b v="0"/>
    <n v="2017"/>
    <n v="118540573367"/>
    <n v="18308362040"/>
    <x v="0"/>
    <n v="1"/>
    <x v="2"/>
  </r>
  <r>
    <x v="5248"/>
    <x v="1679"/>
    <x v="48"/>
    <s v="New Zealand"/>
    <s v="Solomon Islands"/>
    <n v="6"/>
    <n v="1"/>
    <s v="FIFA World Cup qualification"/>
    <s v="Auckland"/>
    <s v="New Zealand"/>
    <b v="0"/>
    <n v="2017"/>
    <n v="206745969246"/>
    <n v="1469790526"/>
    <x v="0"/>
    <n v="1"/>
    <x v="2"/>
  </r>
  <r>
    <x v="5249"/>
    <x v="1679"/>
    <x v="48"/>
    <s v="Nigeria"/>
    <s v="Cameroon"/>
    <n v="4"/>
    <n v="0"/>
    <s v="FIFA World Cup qualification"/>
    <s v="Uyo"/>
    <s v="Nigeria"/>
    <b v="0"/>
    <n v="2017"/>
    <n v="375745731053"/>
    <n v="36098547033"/>
    <x v="0"/>
    <n v="1"/>
    <x v="2"/>
  </r>
  <r>
    <x v="5250"/>
    <x v="1679"/>
    <x v="48"/>
    <s v="Norway"/>
    <s v="Azerbaijan"/>
    <n v="2"/>
    <n v="0"/>
    <s v="FIFA World Cup qualification"/>
    <s v="Oslo"/>
    <s v="Norway"/>
    <b v="0"/>
    <n v="2017"/>
    <n v="401745275035"/>
    <n v="40866627351"/>
    <x v="0"/>
    <n v="1"/>
    <x v="2"/>
  </r>
  <r>
    <x v="5251"/>
    <x v="1679"/>
    <x v="48"/>
    <s v="Romania"/>
    <s v="Armenia"/>
    <n v="1"/>
    <n v="0"/>
    <s v="FIFA World Cup qualification"/>
    <s v="Bucharest"/>
    <s v="Romania"/>
    <b v="0"/>
    <n v="2017"/>
    <n v="210147385855"/>
    <n v="11527458709"/>
    <x v="0"/>
    <n v="1"/>
    <x v="2"/>
  </r>
  <r>
    <x v="5252"/>
    <x v="1679"/>
    <x v="48"/>
    <s v="Trinidad and Tobago"/>
    <s v="Honduras"/>
    <n v="1"/>
    <n v="2"/>
    <s v="FIFA World Cup qualification"/>
    <s v="Couva"/>
    <s v="Trinidad and Tobago"/>
    <b v="0"/>
    <n v="2017"/>
    <n v="23830750900"/>
    <n v="23136247990"/>
    <x v="1"/>
    <n v="-1"/>
    <x v="0"/>
  </r>
  <r>
    <x v="5253"/>
    <x v="1679"/>
    <x v="48"/>
    <s v="United States"/>
    <s v="Costa Rica"/>
    <n v="0"/>
    <n v="2"/>
    <s v="FIFA World Cup qualification"/>
    <s v="Harrison"/>
    <s v="United States"/>
    <b v="0"/>
    <n v="2017"/>
    <n v="19477336549000"/>
    <n v="60516044656"/>
    <x v="0"/>
    <n v="-1"/>
    <x v="0"/>
  </r>
  <r>
    <x v="5254"/>
    <x v="1680"/>
    <x v="48"/>
    <s v="Albania"/>
    <s v="Liechtenstein"/>
    <n v="2"/>
    <n v="0"/>
    <s v="FIFA World Cup qualification"/>
    <s v="Elbasan"/>
    <s v="Albania"/>
    <b v="0"/>
    <n v="2017"/>
    <n v="13258268435"/>
    <n v="6474308717"/>
    <x v="0"/>
    <n v="1"/>
    <x v="2"/>
  </r>
  <r>
    <x v="5255"/>
    <x v="1680"/>
    <x v="48"/>
    <s v="Croatia"/>
    <s v="Kosovo"/>
    <n v="1"/>
    <n v="0"/>
    <s v="FIFA World Cup qualification"/>
    <s v="Zagreb"/>
    <s v="Croatia"/>
    <b v="0"/>
    <n v="2017"/>
    <n v="56182782585"/>
    <n v="7180768692"/>
    <x v="0"/>
    <n v="1"/>
    <x v="2"/>
  </r>
  <r>
    <x v="5256"/>
    <x v="1680"/>
    <x v="48"/>
    <s v="Finland"/>
    <s v="Iceland"/>
    <n v="1"/>
    <n v="0"/>
    <s v="FIFA World Cup qualification"/>
    <s v="Tampere"/>
    <s v="Finland"/>
    <b v="0"/>
    <n v="2017"/>
    <n v="253846138440"/>
    <n v="25060086487"/>
    <x v="0"/>
    <n v="1"/>
    <x v="2"/>
  </r>
  <r>
    <x v="5257"/>
    <x v="1680"/>
    <x v="48"/>
    <s v="Israel"/>
    <s v="North Macedonia"/>
    <n v="0"/>
    <n v="1"/>
    <s v="FIFA World Cup qualification"/>
    <s v="Haifa"/>
    <s v="Israel"/>
    <b v="0"/>
    <n v="2017"/>
    <n v="358451839052"/>
    <n v="11307067069"/>
    <x v="0"/>
    <n v="-1"/>
    <x v="0"/>
  </r>
  <r>
    <x v="5258"/>
    <x v="1680"/>
    <x v="48"/>
    <s v="Senegal"/>
    <s v="Burkina Faso"/>
    <n v="0"/>
    <n v="0"/>
    <s v="FIFA World Cup qualification"/>
    <s v="Dakar"/>
    <s v="Senegal"/>
    <b v="0"/>
    <n v="2017"/>
    <n v="20996562943"/>
    <n v="14106955615"/>
    <x v="1"/>
    <n v="0"/>
    <x v="1"/>
  </r>
  <r>
    <x v="5259"/>
    <x v="1680"/>
    <x v="48"/>
    <s v="Serbia"/>
    <s v="Moldova"/>
    <n v="3"/>
    <n v="0"/>
    <s v="FIFA World Cup qualification"/>
    <s v="Belgrade"/>
    <s v="Serbia"/>
    <b v="0"/>
    <n v="2017"/>
    <n v="45972834713"/>
    <n v="9514404016"/>
    <x v="0"/>
    <n v="1"/>
    <x v="2"/>
  </r>
  <r>
    <x v="5260"/>
    <x v="1680"/>
    <x v="48"/>
    <s v="Spain"/>
    <s v="Italy"/>
    <n v="3"/>
    <n v="0"/>
    <s v="FIFA World Cup qualification"/>
    <s v="Madrid"/>
    <s v="Spain"/>
    <b v="0"/>
    <n v="2017"/>
    <n v="1321754088818"/>
    <n v="1970720904584"/>
    <x v="1"/>
    <n v="-1"/>
    <x v="0"/>
  </r>
  <r>
    <x v="5261"/>
    <x v="1680"/>
    <x v="48"/>
    <s v="Zambia"/>
    <s v="Algeria"/>
    <n v="3"/>
    <n v="1"/>
    <s v="FIFA World Cup qualification"/>
    <s v="Lusaka"/>
    <s v="Zambia"/>
    <b v="0"/>
    <n v="2017"/>
    <n v="25873601260"/>
    <n v="189880896903"/>
    <x v="0"/>
    <n v="-1"/>
    <x v="0"/>
  </r>
  <r>
    <x v="5262"/>
    <x v="1681"/>
    <x v="48"/>
    <s v="Belarus"/>
    <s v="Sweden"/>
    <n v="0"/>
    <n v="4"/>
    <s v="FIFA World Cup qualification"/>
    <s v="Barysaw"/>
    <s v="Belarus"/>
    <b v="0"/>
    <n v="2017"/>
    <n v="54725405751"/>
    <n v="535172356784"/>
    <x v="0"/>
    <n v="1"/>
    <x v="2"/>
  </r>
  <r>
    <x v="5263"/>
    <x v="1681"/>
    <x v="48"/>
    <s v="Estonia"/>
    <s v="Cyprus"/>
    <n v="1"/>
    <n v="0"/>
    <s v="FIFA World Cup qualification"/>
    <s v="Tallinn"/>
    <s v="Estonia"/>
    <b v="0"/>
    <n v="2017"/>
    <n v="27469461919"/>
    <n v="22946570628"/>
    <x v="1"/>
    <n v="1"/>
    <x v="2"/>
  </r>
  <r>
    <x v="5264"/>
    <x v="1681"/>
    <x v="48"/>
    <s v="Faroe Islands"/>
    <s v="Andorra"/>
    <n v="1"/>
    <n v="0"/>
    <s v="FIFA World Cup qualification"/>
    <s v="T√≥rshavn"/>
    <s v="Faroe Islands"/>
    <b v="0"/>
    <n v="2017"/>
    <n v="2980057377"/>
    <n v="3000160414"/>
    <x v="1"/>
    <n v="-1"/>
    <x v="0"/>
  </r>
  <r>
    <x v="5265"/>
    <x v="1681"/>
    <x v="48"/>
    <s v="France"/>
    <s v="Luxembourg"/>
    <n v="0"/>
    <n v="0"/>
    <s v="FIFA World Cup qualification"/>
    <s v="Toulouse"/>
    <s v="France"/>
    <b v="0"/>
    <n v="2017"/>
    <n v="2588868323334"/>
    <n v="65712180342"/>
    <x v="0"/>
    <n v="0"/>
    <x v="1"/>
  </r>
  <r>
    <x v="5266"/>
    <x v="1681"/>
    <x v="48"/>
    <s v="Greece"/>
    <s v="Belgium"/>
    <n v="1"/>
    <n v="2"/>
    <s v="FIFA World Cup qualification"/>
    <s v="Piraeus"/>
    <s v="Greece"/>
    <b v="0"/>
    <n v="2017"/>
    <n v="200381103984"/>
    <n v="500908767351"/>
    <x v="0"/>
    <n v="1"/>
    <x v="2"/>
  </r>
  <r>
    <x v="5267"/>
    <x v="1681"/>
    <x v="48"/>
    <s v="Hungary"/>
    <s v="Portugal"/>
    <n v="0"/>
    <n v="1"/>
    <s v="FIFA World Cup qualification"/>
    <s v="Budapest"/>
    <s v="Hungary"/>
    <b v="0"/>
    <n v="2017"/>
    <n v="143335098991"/>
    <n v="220862990767"/>
    <x v="1"/>
    <n v="1"/>
    <x v="2"/>
  </r>
  <r>
    <x v="5268"/>
    <x v="1681"/>
    <x v="48"/>
    <s v="Latvia"/>
    <s v="Switzerland"/>
    <n v="0"/>
    <n v="3"/>
    <s v="FIFA World Cup qualification"/>
    <s v="Riga"/>
    <s v="Latvia"/>
    <b v="0"/>
    <n v="2017"/>
    <n v="29391059767"/>
    <n v="695200833086"/>
    <x v="0"/>
    <n v="1"/>
    <x v="2"/>
  </r>
  <r>
    <x v="5269"/>
    <x v="1681"/>
    <x v="48"/>
    <s v="Netherlands"/>
    <s v="Bulgaria"/>
    <n v="3"/>
    <n v="1"/>
    <s v="FIFA World Cup qualification"/>
    <s v="Amsterdam"/>
    <s v="Netherlands"/>
    <b v="0"/>
    <n v="2017"/>
    <n v="848233537845"/>
    <n v="59167647387"/>
    <x v="0"/>
    <n v="1"/>
    <x v="2"/>
  </r>
  <r>
    <x v="5270"/>
    <x v="1682"/>
    <x v="48"/>
    <s v="Armenia"/>
    <s v="Denmark"/>
    <n v="1"/>
    <n v="4"/>
    <s v="FIFA World Cup qualification"/>
    <s v="Yerevan"/>
    <s v="Armenia"/>
    <b v="0"/>
    <n v="2017"/>
    <n v="11527458709"/>
    <n v="331610593961"/>
    <x v="0"/>
    <n v="1"/>
    <x v="2"/>
  </r>
  <r>
    <x v="5271"/>
    <x v="1682"/>
    <x v="48"/>
    <s v="Azerbaijan"/>
    <s v="San Marino"/>
    <n v="5"/>
    <n v="1"/>
    <s v="FIFA World Cup qualification"/>
    <s v="Baku"/>
    <s v="Azerbaijan"/>
    <b v="0"/>
    <n v="2017"/>
    <n v="40866627351"/>
    <n v="1528620346"/>
    <x v="0"/>
    <n v="1"/>
    <x v="2"/>
  </r>
  <r>
    <x v="5272"/>
    <x v="1682"/>
    <x v="48"/>
    <s v="Cameroon"/>
    <s v="Nigeria"/>
    <n v="1"/>
    <n v="1"/>
    <s v="FIFA World Cup qualification"/>
    <s v="Yaound√©"/>
    <s v="Cameroon"/>
    <b v="0"/>
    <n v="2017"/>
    <n v="36098547033"/>
    <n v="375745731053"/>
    <x v="0"/>
    <n v="0"/>
    <x v="1"/>
  </r>
  <r>
    <x v="5273"/>
    <x v="1682"/>
    <x v="48"/>
    <s v="Germany"/>
    <s v="Norway"/>
    <n v="6"/>
    <n v="0"/>
    <s v="FIFA World Cup qualification"/>
    <s v="Stuttgart"/>
    <s v="Germany"/>
    <b v="0"/>
    <n v="2017"/>
    <n v="3765351626105"/>
    <n v="401745275035"/>
    <x v="0"/>
    <n v="1"/>
    <x v="2"/>
  </r>
  <r>
    <x v="5274"/>
    <x v="1682"/>
    <x v="48"/>
    <s v="Libya"/>
    <s v="Guinea"/>
    <n v="1"/>
    <n v="0"/>
    <s v="FIFA World Cup qualification"/>
    <s v="Monastir"/>
    <s v="Tunisia"/>
    <b v="1"/>
    <n v="2017"/>
    <n v="67157452181"/>
    <n v="10324668271"/>
    <x v="0"/>
    <n v="1"/>
    <x v="2"/>
  </r>
  <r>
    <x v="5275"/>
    <x v="1682"/>
    <x v="48"/>
    <s v="Montenegro"/>
    <s v="Romania"/>
    <n v="1"/>
    <n v="0"/>
    <s v="FIFA World Cup qualification"/>
    <s v="Podgorica"/>
    <s v="Montenegro"/>
    <b v="0"/>
    <n v="2017"/>
    <n v="4803962015"/>
    <n v="210147385855"/>
    <x v="0"/>
    <n v="-1"/>
    <x v="0"/>
  </r>
  <r>
    <x v="5276"/>
    <x v="1682"/>
    <x v="48"/>
    <s v="Poland"/>
    <s v="Kazakhstan"/>
    <n v="3"/>
    <n v="0"/>
    <s v="FIFA World Cup qualification"/>
    <s v="Warsaw"/>
    <s v="Poland"/>
    <b v="0"/>
    <n v="2017"/>
    <n v="528356676667"/>
    <n v="166805788827"/>
    <x v="0"/>
    <n v="1"/>
    <x v="2"/>
  </r>
  <r>
    <x v="5277"/>
    <x v="1682"/>
    <x v="48"/>
    <s v="Slovenia"/>
    <s v="Lithuania"/>
    <n v="4"/>
    <n v="0"/>
    <s v="FIFA World Cup qualification"/>
    <s v="Ljubljana"/>
    <s v="Slovenia"/>
    <b v="0"/>
    <n v="2017"/>
    <n v="48153200134"/>
    <n v="47756764508"/>
    <x v="1"/>
    <n v="1"/>
    <x v="2"/>
  </r>
  <r>
    <x v="5278"/>
    <x v="1683"/>
    <x v="48"/>
    <s v="Algeria"/>
    <s v="Zambia"/>
    <n v="0"/>
    <n v="1"/>
    <s v="FIFA World Cup qualification"/>
    <s v="Constantine"/>
    <s v="Algeria"/>
    <b v="0"/>
    <n v="2017"/>
    <n v="189880896903"/>
    <n v="25873601260"/>
    <x v="0"/>
    <n v="-1"/>
    <x v="0"/>
  </r>
  <r>
    <x v="5279"/>
    <x v="1683"/>
    <x v="48"/>
    <s v="Argentina"/>
    <s v="Venezuela"/>
    <n v="1"/>
    <n v="1"/>
    <s v="FIFA World Cup qualification"/>
    <s v="Buenos Aires"/>
    <s v="Argentina"/>
    <b v="0"/>
    <n v="2017"/>
    <n v="643628393281"/>
    <n v="115883275162"/>
    <x v="0"/>
    <n v="0"/>
    <x v="1"/>
  </r>
  <r>
    <x v="5280"/>
    <x v="1683"/>
    <x v="48"/>
    <s v="Australia"/>
    <s v="Thailand"/>
    <n v="2"/>
    <n v="1"/>
    <s v="FIFA World Cup qualification"/>
    <s v="Melbourne"/>
    <s v="Australia"/>
    <b v="0"/>
    <n v="2017"/>
    <n v="1330890554614"/>
    <n v="456356813536"/>
    <x v="0"/>
    <n v="1"/>
    <x v="2"/>
  </r>
  <r>
    <x v="5281"/>
    <x v="1683"/>
    <x v="48"/>
    <s v="Austria"/>
    <s v="Georgia"/>
    <n v="1"/>
    <n v="1"/>
    <s v="FIFA World Cup qualification"/>
    <s v="Vienna"/>
    <s v="Austria"/>
    <b v="0"/>
    <n v="2017"/>
    <n v="414926138132"/>
    <n v="16473125375"/>
    <x v="0"/>
    <n v="0"/>
    <x v="1"/>
  </r>
  <r>
    <x v="5282"/>
    <x v="1683"/>
    <x v="48"/>
    <s v="Bolivia"/>
    <s v="Chile"/>
    <n v="1"/>
    <n v="0"/>
    <s v="FIFA World Cup qualification"/>
    <s v="La Paz"/>
    <s v="Bolivia"/>
    <b v="0"/>
    <n v="2017"/>
    <n v="45927439594"/>
    <n v="276154259981"/>
    <x v="0"/>
    <n v="-1"/>
    <x v="0"/>
  </r>
  <r>
    <x v="5283"/>
    <x v="1683"/>
    <x v="48"/>
    <s v="Burkina Faso"/>
    <s v="Senegal"/>
    <n v="2"/>
    <n v="2"/>
    <s v="FIFA World Cup qualification"/>
    <s v="Ouagadougou"/>
    <s v="Burkina Faso"/>
    <b v="0"/>
    <n v="2017"/>
    <n v="14106955615"/>
    <n v="20996562943"/>
    <x v="1"/>
    <n v="0"/>
    <x v="1"/>
  </r>
  <r>
    <x v="5284"/>
    <x v="1683"/>
    <x v="48"/>
    <s v="Colombia"/>
    <s v="Brazil"/>
    <n v="1"/>
    <n v="1"/>
    <s v="FIFA World Cup qualification"/>
    <s v="Barranquilla"/>
    <s v="Colombia"/>
    <b v="0"/>
    <n v="2017"/>
    <n v="311866875156"/>
    <n v="2063514688805"/>
    <x v="0"/>
    <n v="0"/>
    <x v="1"/>
  </r>
  <r>
    <x v="5285"/>
    <x v="1683"/>
    <x v="48"/>
    <s v="Costa Rica"/>
    <s v="Mexico"/>
    <n v="1"/>
    <n v="1"/>
    <s v="FIFA World Cup qualification"/>
    <s v="San Jos√©"/>
    <s v="Costa Rica"/>
    <b v="0"/>
    <n v="2017"/>
    <n v="60516044656"/>
    <n v="1190721475906"/>
    <x v="0"/>
    <n v="0"/>
    <x v="1"/>
  </r>
  <r>
    <x v="5286"/>
    <x v="1683"/>
    <x v="48"/>
    <s v="Ecuador"/>
    <s v="Peru"/>
    <n v="1"/>
    <n v="2"/>
    <s v="FIFA World Cup qualification"/>
    <s v="Quito"/>
    <s v="Ecuador"/>
    <b v="0"/>
    <n v="2017"/>
    <n v="104467486000"/>
    <n v="211007984080"/>
    <x v="0"/>
    <n v="1"/>
    <x v="2"/>
  </r>
  <r>
    <x v="5287"/>
    <x v="1683"/>
    <x v="48"/>
    <s v="Egypt"/>
    <s v="Uganda"/>
    <n v="1"/>
    <n v="0"/>
    <s v="FIFA World Cup qualification"/>
    <s v="Alexandria"/>
    <s v="Egypt"/>
    <b v="0"/>
    <n v="2017"/>
    <n v="248362771739"/>
    <n v="30744473841"/>
    <x v="0"/>
    <n v="1"/>
    <x v="2"/>
  </r>
  <r>
    <x v="5288"/>
    <x v="1683"/>
    <x v="48"/>
    <s v="Honduras"/>
    <s v="United States"/>
    <n v="1"/>
    <n v="1"/>
    <s v="FIFA World Cup qualification"/>
    <s v="San Pedro Sula"/>
    <s v="Honduras"/>
    <b v="0"/>
    <n v="2017"/>
    <n v="23136247990"/>
    <n v="19477336549000"/>
    <x v="0"/>
    <n v="0"/>
    <x v="1"/>
  </r>
  <r>
    <x v="5289"/>
    <x v="1683"/>
    <x v="48"/>
    <s v="Iceland"/>
    <s v="Ukraine"/>
    <n v="2"/>
    <n v="0"/>
    <s v="FIFA World Cup qualification"/>
    <s v="Reykjav√≠k"/>
    <s v="Iceland"/>
    <b v="0"/>
    <n v="2017"/>
    <n v="25060086487"/>
    <n v="112090505081"/>
    <x v="0"/>
    <n v="-1"/>
    <x v="0"/>
  </r>
  <r>
    <x v="5290"/>
    <x v="1683"/>
    <x v="48"/>
    <s v="Iran"/>
    <s v="Syria"/>
    <n v="2"/>
    <n v="2"/>
    <s v="FIFA World Cup qualification"/>
    <s v="Tehran"/>
    <s v="Iran"/>
    <b v="0"/>
    <n v="2017"/>
    <n v="510239893417"/>
    <n v="16369843352"/>
    <x v="0"/>
    <n v="0"/>
    <x v="1"/>
  </r>
  <r>
    <x v="5291"/>
    <x v="1683"/>
    <x v="48"/>
    <s v="Iraq"/>
    <s v="United Arab Emirates"/>
    <n v="1"/>
    <n v="0"/>
    <s v="FIFA World Cup qualification"/>
    <s v="Amman"/>
    <s v="Jordan"/>
    <b v="1"/>
    <n v="2017"/>
    <n v="187217660050"/>
    <n v="403365010211"/>
    <x v="0"/>
    <n v="-1"/>
    <x v="0"/>
  </r>
  <r>
    <x v="5292"/>
    <x v="1683"/>
    <x v="48"/>
    <s v="Italy"/>
    <s v="Israel"/>
    <n v="1"/>
    <n v="0"/>
    <s v="FIFA World Cup qualification"/>
    <s v="Reggio Emilia"/>
    <s v="Italy"/>
    <b v="0"/>
    <n v="2017"/>
    <n v="1970720904584"/>
    <n v="358451839052"/>
    <x v="0"/>
    <n v="1"/>
    <x v="2"/>
  </r>
  <r>
    <x v="5293"/>
    <x v="1683"/>
    <x v="48"/>
    <s v="Kosovo"/>
    <s v="Finland"/>
    <n v="0"/>
    <n v="1"/>
    <s v="FIFA World Cup qualification"/>
    <s v="Shkod√´r"/>
    <s v="Albania"/>
    <b v="1"/>
    <n v="2017"/>
    <n v="7180768692"/>
    <n v="253846138440"/>
    <x v="0"/>
    <n v="1"/>
    <x v="2"/>
  </r>
  <r>
    <x v="5294"/>
    <x v="1683"/>
    <x v="48"/>
    <s v="Liechtenstein"/>
    <s v="Spain"/>
    <n v="0"/>
    <n v="8"/>
    <s v="FIFA World Cup qualification"/>
    <s v="Vaduz"/>
    <s v="Liechtenstein"/>
    <b v="0"/>
    <n v="2017"/>
    <n v="6474308717"/>
    <n v="1321754088818"/>
    <x v="0"/>
    <n v="1"/>
    <x v="2"/>
  </r>
  <r>
    <x v="5295"/>
    <x v="1683"/>
    <x v="48"/>
    <s v="North Macedonia"/>
    <s v="Albania"/>
    <n v="1"/>
    <n v="1"/>
    <s v="FIFA World Cup qualification"/>
    <s v="Strumica"/>
    <s v="North Macedonia"/>
    <b v="0"/>
    <n v="2017"/>
    <n v="11307067069"/>
    <n v="13258268435"/>
    <x v="1"/>
    <n v="0"/>
    <x v="1"/>
  </r>
  <r>
    <x v="5296"/>
    <x v="1683"/>
    <x v="48"/>
    <s v="Mali"/>
    <s v="Morocco"/>
    <n v="0"/>
    <n v="0"/>
    <s v="FIFA World Cup qualification"/>
    <s v="Bamako"/>
    <s v="Mali"/>
    <b v="0"/>
    <n v="2017"/>
    <n v="18308362040"/>
    <n v="118540573367"/>
    <x v="0"/>
    <n v="0"/>
    <x v="1"/>
  </r>
  <r>
    <x v="5297"/>
    <x v="1683"/>
    <x v="48"/>
    <s v="Panama"/>
    <s v="Trinidad and Tobago"/>
    <n v="3"/>
    <n v="0"/>
    <s v="FIFA World Cup qualification"/>
    <s v="Panama City"/>
    <s v="Panama"/>
    <b v="0"/>
    <n v="2017"/>
    <n v="64327688826"/>
    <n v="23830750900"/>
    <x v="0"/>
    <n v="1"/>
    <x v="2"/>
  </r>
  <r>
    <x v="5298"/>
    <x v="1683"/>
    <x v="48"/>
    <s v="Paraguay"/>
    <s v="Uruguay"/>
    <n v="1"/>
    <n v="2"/>
    <s v="FIFA World Cup qualification"/>
    <s v="Asunci√≥n"/>
    <s v="Paraguay"/>
    <b v="0"/>
    <n v="2017"/>
    <n v="38997129473"/>
    <n v="65005997963"/>
    <x v="1"/>
    <n v="1"/>
    <x v="2"/>
  </r>
  <r>
    <x v="5299"/>
    <x v="1683"/>
    <x v="48"/>
    <s v="Saudi Arabia"/>
    <s v="Japan"/>
    <n v="1"/>
    <n v="0"/>
    <s v="FIFA World Cup qualification"/>
    <s v="Jeddah"/>
    <s v="Saudi Arabia"/>
    <b v="0"/>
    <n v="2017"/>
    <n v="741266133333"/>
    <n v="4930837369151"/>
    <x v="0"/>
    <n v="-1"/>
    <x v="0"/>
  </r>
  <r>
    <x v="5300"/>
    <x v="1683"/>
    <x v="48"/>
    <s v="Solomon Islands"/>
    <s v="New Zealand"/>
    <n v="2"/>
    <n v="2"/>
    <s v="FIFA World Cup qualification"/>
    <s v="Honiara"/>
    <s v="Solomon Islands"/>
    <b v="0"/>
    <n v="2017"/>
    <n v="1469790526"/>
    <n v="206745969246"/>
    <x v="0"/>
    <n v="0"/>
    <x v="1"/>
  </r>
  <r>
    <x v="5301"/>
    <x v="1683"/>
    <x v="48"/>
    <s v="Uzbekistan"/>
    <s v="South Korea"/>
    <n v="0"/>
    <n v="0"/>
    <s v="FIFA World Cup qualification"/>
    <s v="Tashkent"/>
    <s v="Uzbekistan"/>
    <b v="0"/>
    <n v="2017"/>
    <n v="69703222282"/>
    <n v="1710196756713"/>
    <x v="0"/>
    <n v="0"/>
    <x v="1"/>
  </r>
  <r>
    <x v="5302"/>
    <x v="1684"/>
    <x v="48"/>
    <s v="Argentina"/>
    <s v="Peru"/>
    <n v="0"/>
    <n v="0"/>
    <s v="FIFA World Cup qualification"/>
    <s v="Buenos Aires"/>
    <s v="Argentina"/>
    <b v="0"/>
    <n v="2017"/>
    <n v="643628393281"/>
    <n v="211007984080"/>
    <x v="0"/>
    <n v="0"/>
    <x v="1"/>
  </r>
  <r>
    <x v="5303"/>
    <x v="1684"/>
    <x v="48"/>
    <s v="Armenia"/>
    <s v="Poland"/>
    <n v="1"/>
    <n v="6"/>
    <s v="FIFA World Cup qualification"/>
    <s v="Yerevan"/>
    <s v="Armenia"/>
    <b v="0"/>
    <n v="2017"/>
    <n v="11527458709"/>
    <n v="528356676667"/>
    <x v="0"/>
    <n v="1"/>
    <x v="2"/>
  </r>
  <r>
    <x v="5304"/>
    <x v="1684"/>
    <x v="48"/>
    <s v="Bolivia"/>
    <s v="Brazil"/>
    <n v="0"/>
    <n v="0"/>
    <s v="FIFA World Cup qualification"/>
    <s v="La Paz"/>
    <s v="Bolivia"/>
    <b v="0"/>
    <n v="2017"/>
    <n v="45927439594"/>
    <n v="2063514688805"/>
    <x v="0"/>
    <n v="0"/>
    <x v="1"/>
  </r>
  <r>
    <x v="5305"/>
    <x v="1684"/>
    <x v="48"/>
    <s v="Chile"/>
    <s v="Ecuador"/>
    <n v="2"/>
    <n v="1"/>
    <s v="FIFA World Cup qualification"/>
    <s v="Santiago"/>
    <s v="Chile"/>
    <b v="0"/>
    <n v="2017"/>
    <n v="276154259981"/>
    <n v="104467486000"/>
    <x v="0"/>
    <n v="1"/>
    <x v="2"/>
  </r>
  <r>
    <x v="5306"/>
    <x v="1684"/>
    <x v="48"/>
    <s v="Colombia"/>
    <s v="Paraguay"/>
    <n v="1"/>
    <n v="2"/>
    <s v="FIFA World Cup qualification"/>
    <s v="Barranquilla"/>
    <s v="Colombia"/>
    <b v="0"/>
    <n v="2017"/>
    <n v="311866875156"/>
    <n v="38997129473"/>
    <x v="0"/>
    <n v="-1"/>
    <x v="0"/>
  </r>
  <r>
    <x v="5307"/>
    <x v="1684"/>
    <x v="48"/>
    <s v="England"/>
    <s v="Slovenia"/>
    <n v="1"/>
    <n v="0"/>
    <s v="FIFA World Cup qualification"/>
    <s v="London"/>
    <s v="England"/>
    <b v="0"/>
    <n v="2017"/>
    <n v="2699118387873"/>
    <n v="48153200134"/>
    <x v="0"/>
    <n v="1"/>
    <x v="2"/>
  </r>
  <r>
    <x v="5308"/>
    <x v="1684"/>
    <x v="48"/>
    <s v="Malta"/>
    <s v="Lithuania"/>
    <n v="1"/>
    <n v="1"/>
    <s v="FIFA World Cup qualification"/>
    <s v="Attard"/>
    <s v="Malta"/>
    <b v="0"/>
    <n v="2017"/>
    <n v="14161366724"/>
    <n v="47756764508"/>
    <x v="0"/>
    <n v="0"/>
    <x v="1"/>
  </r>
  <r>
    <x v="5309"/>
    <x v="1684"/>
    <x v="48"/>
    <s v="Montenegro"/>
    <s v="Denmark"/>
    <n v="0"/>
    <n v="1"/>
    <s v="FIFA World Cup qualification"/>
    <s v="Podgorica"/>
    <s v="Montenegro"/>
    <b v="0"/>
    <n v="2017"/>
    <n v="4803962015"/>
    <n v="331610593961"/>
    <x v="0"/>
    <n v="1"/>
    <x v="2"/>
  </r>
  <r>
    <x v="5310"/>
    <x v="1684"/>
    <x v="48"/>
    <s v="Romania"/>
    <s v="Kazakhstan"/>
    <n v="3"/>
    <n v="1"/>
    <s v="FIFA World Cup qualification"/>
    <s v="Ploie»ôti"/>
    <s v="Romania"/>
    <b v="0"/>
    <n v="2017"/>
    <n v="210147385855"/>
    <n v="166805788827"/>
    <x v="1"/>
    <n v="1"/>
    <x v="2"/>
  </r>
  <r>
    <x v="5311"/>
    <x v="1684"/>
    <x v="48"/>
    <s v="San Marino"/>
    <s v="Norway"/>
    <n v="0"/>
    <n v="8"/>
    <s v="FIFA World Cup qualification"/>
    <s v="Serravalle"/>
    <s v="San Marino"/>
    <b v="0"/>
    <n v="2017"/>
    <n v="1528620346"/>
    <n v="401745275035"/>
    <x v="0"/>
    <n v="1"/>
    <x v="2"/>
  </r>
  <r>
    <x v="5312"/>
    <x v="1684"/>
    <x v="48"/>
    <s v="Syria"/>
    <s v="Australia"/>
    <n v="1"/>
    <n v="1"/>
    <s v="FIFA World Cup qualification"/>
    <s v="Paya Rumput"/>
    <s v="Malaysia"/>
    <b v="1"/>
    <n v="2017"/>
    <n v="16369843352"/>
    <n v="1330890554614"/>
    <x v="0"/>
    <n v="0"/>
    <x v="1"/>
  </r>
  <r>
    <x v="5313"/>
    <x v="1684"/>
    <x v="48"/>
    <s v="Venezuela"/>
    <s v="Uruguay"/>
    <n v="0"/>
    <n v="0"/>
    <s v="FIFA World Cup qualification"/>
    <s v="San Crist√≥bal"/>
    <s v="Venezuela"/>
    <b v="0"/>
    <n v="2017"/>
    <n v="115883275162"/>
    <n v="65005997963"/>
    <x v="1"/>
    <n v="0"/>
    <x v="1"/>
  </r>
  <r>
    <x v="5314"/>
    <x v="1685"/>
    <x v="48"/>
    <s v="Austria"/>
    <s v="Serbia"/>
    <n v="3"/>
    <n v="2"/>
    <s v="FIFA World Cup qualification"/>
    <s v="Vienna"/>
    <s v="Austria"/>
    <b v="0"/>
    <n v="2017"/>
    <n v="414926138132"/>
    <n v="45972834713"/>
    <x v="0"/>
    <n v="1"/>
    <x v="2"/>
  </r>
  <r>
    <x v="5315"/>
    <x v="1685"/>
    <x v="48"/>
    <s v="Croatia"/>
    <s v="Finland"/>
    <n v="1"/>
    <n v="1"/>
    <s v="FIFA World Cup qualification"/>
    <s v="Rijeka"/>
    <s v="Croatia"/>
    <b v="0"/>
    <n v="2017"/>
    <n v="56182782585"/>
    <n v="253846138440"/>
    <x v="0"/>
    <n v="0"/>
    <x v="1"/>
  </r>
  <r>
    <x v="5316"/>
    <x v="1685"/>
    <x v="48"/>
    <s v="Italy"/>
    <s v="North Macedonia"/>
    <n v="1"/>
    <n v="1"/>
    <s v="FIFA World Cup qualification"/>
    <s v="Turin"/>
    <s v="Italy"/>
    <b v="0"/>
    <n v="2017"/>
    <n v="1970720904584"/>
    <n v="11307067069"/>
    <x v="0"/>
    <n v="0"/>
    <x v="1"/>
  </r>
  <r>
    <x v="5317"/>
    <x v="1685"/>
    <x v="48"/>
    <s v="Kosovo"/>
    <s v="Ukraine"/>
    <n v="0"/>
    <n v="2"/>
    <s v="FIFA World Cup qualification"/>
    <s v="Shkod√´r"/>
    <s v="Albania"/>
    <b v="1"/>
    <n v="2017"/>
    <n v="7180768692"/>
    <n v="112090505081"/>
    <x v="0"/>
    <n v="1"/>
    <x v="2"/>
  </r>
  <r>
    <x v="5318"/>
    <x v="1685"/>
    <x v="48"/>
    <s v="Liechtenstein"/>
    <s v="Israel"/>
    <n v="0"/>
    <n v="1"/>
    <s v="FIFA World Cup qualification"/>
    <s v="Vaduz"/>
    <s v="Liechtenstein"/>
    <b v="0"/>
    <n v="2017"/>
    <n v="6474308717"/>
    <n v="358451839052"/>
    <x v="0"/>
    <n v="1"/>
    <x v="2"/>
  </r>
  <r>
    <x v="5319"/>
    <x v="1685"/>
    <x v="48"/>
    <s v="Mexico"/>
    <s v="Trinidad and Tobago"/>
    <n v="3"/>
    <n v="1"/>
    <s v="FIFA World Cup qualification"/>
    <s v="San Luis Potos√≠"/>
    <s v="Mexico"/>
    <b v="0"/>
    <n v="2017"/>
    <n v="1190721475906"/>
    <n v="23830750900"/>
    <x v="0"/>
    <n v="1"/>
    <x v="2"/>
  </r>
  <r>
    <x v="5320"/>
    <x v="1685"/>
    <x v="48"/>
    <s v="Spain"/>
    <s v="Albania"/>
    <n v="3"/>
    <n v="0"/>
    <s v="FIFA World Cup qualification"/>
    <s v="Alicante"/>
    <s v="Spain"/>
    <b v="0"/>
    <n v="2017"/>
    <n v="1321754088818"/>
    <n v="13258268435"/>
    <x v="0"/>
    <n v="1"/>
    <x v="2"/>
  </r>
  <r>
    <x v="5321"/>
    <x v="1685"/>
    <x v="48"/>
    <s v="United States"/>
    <s v="Panama"/>
    <n v="4"/>
    <n v="0"/>
    <s v="FIFA World Cup qualification"/>
    <s v="Orlando"/>
    <s v="United States"/>
    <b v="0"/>
    <n v="2017"/>
    <n v="19477336549000"/>
    <n v="64327688826"/>
    <x v="0"/>
    <n v="1"/>
    <x v="2"/>
  </r>
  <r>
    <x v="5322"/>
    <x v="1686"/>
    <x v="48"/>
    <s v="Andorra"/>
    <s v="Portugal"/>
    <n v="0"/>
    <n v="2"/>
    <s v="FIFA World Cup qualification"/>
    <s v="Sant Juli√† de L√≤ria"/>
    <s v="Andorra"/>
    <b v="0"/>
    <n v="2017"/>
    <n v="3000160414"/>
    <n v="220862990767"/>
    <x v="0"/>
    <n v="1"/>
    <x v="2"/>
  </r>
  <r>
    <x v="5323"/>
    <x v="1686"/>
    <x v="48"/>
    <s v="Belarus"/>
    <s v="Netherlands"/>
    <n v="1"/>
    <n v="3"/>
    <s v="FIFA World Cup qualification"/>
    <s v="Barysaw"/>
    <s v="Belarus"/>
    <b v="0"/>
    <n v="2017"/>
    <n v="54725405751"/>
    <n v="848233537845"/>
    <x v="0"/>
    <n v="1"/>
    <x v="2"/>
  </r>
  <r>
    <x v="5324"/>
    <x v="1686"/>
    <x v="48"/>
    <s v="Bosnia and Herzegovina"/>
    <s v="Belgium"/>
    <n v="3"/>
    <n v="4"/>
    <s v="FIFA World Cup qualification"/>
    <s v="Sarajevo"/>
    <s v="Bosnia and Herzegovina"/>
    <b v="0"/>
    <n v="2017"/>
    <n v="18326373135"/>
    <n v="500908767351"/>
    <x v="0"/>
    <n v="1"/>
    <x v="2"/>
  </r>
  <r>
    <x v="5325"/>
    <x v="1686"/>
    <x v="48"/>
    <s v="Bulgaria"/>
    <s v="France"/>
    <n v="0"/>
    <n v="1"/>
    <s v="FIFA World Cup qualification"/>
    <s v="Sofia"/>
    <s v="Bulgaria"/>
    <b v="0"/>
    <n v="2017"/>
    <n v="59167647387"/>
    <n v="2588868323334"/>
    <x v="0"/>
    <n v="1"/>
    <x v="2"/>
  </r>
  <r>
    <x v="5326"/>
    <x v="1686"/>
    <x v="48"/>
    <s v="Cameroon"/>
    <s v="Algeria"/>
    <n v="2"/>
    <n v="0"/>
    <s v="FIFA World Cup qualification"/>
    <s v="Yaound√©"/>
    <s v="Cameroon"/>
    <b v="0"/>
    <n v="2017"/>
    <n v="36098547033"/>
    <n v="189880896903"/>
    <x v="0"/>
    <n v="-1"/>
    <x v="0"/>
  </r>
  <r>
    <x v="5327"/>
    <x v="1686"/>
    <x v="48"/>
    <s v="Costa Rica"/>
    <s v="Honduras"/>
    <n v="1"/>
    <n v="1"/>
    <s v="FIFA World Cup qualification"/>
    <s v="San Jos√©"/>
    <s v="Costa Rica"/>
    <b v="0"/>
    <n v="2017"/>
    <n v="60516044656"/>
    <n v="23136247990"/>
    <x v="0"/>
    <n v="0"/>
    <x v="1"/>
  </r>
  <r>
    <x v="5328"/>
    <x v="1686"/>
    <x v="48"/>
    <s v="Cyprus"/>
    <s v="Greece"/>
    <n v="1"/>
    <n v="2"/>
    <s v="FIFA World Cup qualification"/>
    <s v="Nicosia"/>
    <s v="Cyprus"/>
    <b v="0"/>
    <n v="2017"/>
    <n v="22946570628"/>
    <n v="200381103984"/>
    <x v="0"/>
    <n v="1"/>
    <x v="2"/>
  </r>
  <r>
    <x v="5329"/>
    <x v="1686"/>
    <x v="48"/>
    <s v="Faroe Islands"/>
    <s v="Latvia"/>
    <n v="0"/>
    <n v="0"/>
    <s v="FIFA World Cup qualification"/>
    <s v="T√≥rshavn"/>
    <s v="Faroe Islands"/>
    <b v="0"/>
    <n v="2017"/>
    <n v="2980057377"/>
    <n v="29391059767"/>
    <x v="0"/>
    <n v="0"/>
    <x v="1"/>
  </r>
  <r>
    <x v="5330"/>
    <x v="1686"/>
    <x v="48"/>
    <s v="Guinea"/>
    <s v="Tunisia"/>
    <n v="1"/>
    <n v="4"/>
    <s v="FIFA World Cup qualification"/>
    <s v="Conakry"/>
    <s v="Guinea"/>
    <b v="0"/>
    <n v="2017"/>
    <n v="10324668271"/>
    <n v="42163530590"/>
    <x v="0"/>
    <n v="1"/>
    <x v="2"/>
  </r>
  <r>
    <x v="5331"/>
    <x v="1686"/>
    <x v="48"/>
    <s v="Morocco"/>
    <s v="Gabon"/>
    <n v="3"/>
    <n v="0"/>
    <s v="FIFA World Cup qualification"/>
    <s v="Casablanca"/>
    <s v="Morocco"/>
    <b v="0"/>
    <n v="2017"/>
    <n v="118540573367"/>
    <n v="14929487485"/>
    <x v="0"/>
    <n v="1"/>
    <x v="2"/>
  </r>
  <r>
    <x v="5332"/>
    <x v="1686"/>
    <x v="48"/>
    <s v="Nigeria"/>
    <s v="Zambia"/>
    <n v="1"/>
    <n v="0"/>
    <s v="FIFA World Cup qualification"/>
    <s v="Uyo"/>
    <s v="Nigeria"/>
    <b v="0"/>
    <n v="2017"/>
    <n v="375745731053"/>
    <n v="25873601260"/>
    <x v="0"/>
    <n v="1"/>
    <x v="2"/>
  </r>
  <r>
    <x v="5333"/>
    <x v="1686"/>
    <x v="48"/>
    <s v="South Africa"/>
    <s v="Burkina Faso"/>
    <n v="3"/>
    <n v="1"/>
    <s v="FIFA World Cup qualification"/>
    <s v="Johannesburg"/>
    <s v="South Africa"/>
    <b v="0"/>
    <n v="2017"/>
    <n v="381448814653"/>
    <n v="14106955615"/>
    <x v="0"/>
    <n v="1"/>
    <x v="2"/>
  </r>
  <r>
    <x v="5334"/>
    <x v="1686"/>
    <x v="48"/>
    <s v="Sweden"/>
    <s v="Luxembourg"/>
    <n v="8"/>
    <n v="0"/>
    <s v="FIFA World Cup qualification"/>
    <s v="Solna"/>
    <s v="Sweden"/>
    <b v="0"/>
    <n v="2017"/>
    <n v="535172356784"/>
    <n v="65712180342"/>
    <x v="0"/>
    <n v="1"/>
    <x v="2"/>
  </r>
  <r>
    <x v="5335"/>
    <x v="1686"/>
    <x v="48"/>
    <s v="Switzerland"/>
    <s v="Hungary"/>
    <n v="5"/>
    <n v="2"/>
    <s v="FIFA World Cup qualification"/>
    <s v="Basel"/>
    <s v="Switzerland"/>
    <b v="0"/>
    <n v="2017"/>
    <n v="695200833086"/>
    <n v="143335098991"/>
    <x v="0"/>
    <n v="1"/>
    <x v="2"/>
  </r>
  <r>
    <x v="5336"/>
    <x v="1686"/>
    <x v="48"/>
    <s v="Uganda"/>
    <s v="Ghana"/>
    <n v="0"/>
    <n v="0"/>
    <s v="FIFA World Cup qualification"/>
    <s v="Kampala"/>
    <s v="Uganda"/>
    <b v="0"/>
    <n v="2017"/>
    <n v="30744473841"/>
    <n v="60385409434"/>
    <x v="1"/>
    <n v="0"/>
    <x v="1"/>
  </r>
  <r>
    <x v="5337"/>
    <x v="1687"/>
    <x v="48"/>
    <s v="Denmark"/>
    <s v="Romania"/>
    <n v="1"/>
    <n v="1"/>
    <s v="FIFA World Cup qualification"/>
    <s v="Copenhagen"/>
    <s v="Denmark"/>
    <b v="0"/>
    <n v="2017"/>
    <n v="331610593961"/>
    <n v="210147385855"/>
    <x v="1"/>
    <n v="0"/>
    <x v="1"/>
  </r>
  <r>
    <x v="5338"/>
    <x v="1687"/>
    <x v="48"/>
    <s v="Germany"/>
    <s v="Azerbaijan"/>
    <n v="5"/>
    <n v="1"/>
    <s v="FIFA World Cup qualification"/>
    <s v="Kaiserslautern"/>
    <s v="Germany"/>
    <b v="0"/>
    <n v="2017"/>
    <n v="3765351626105"/>
    <n v="40866627351"/>
    <x v="0"/>
    <n v="1"/>
    <x v="2"/>
  </r>
  <r>
    <x v="5339"/>
    <x v="1687"/>
    <x v="48"/>
    <s v="Kazakhstan"/>
    <s v="Armenia"/>
    <n v="1"/>
    <n v="1"/>
    <s v="FIFA World Cup qualification"/>
    <s v="Astana"/>
    <s v="Kazakhstan"/>
    <b v="0"/>
    <n v="2017"/>
    <n v="166805788827"/>
    <n v="11527458709"/>
    <x v="0"/>
    <n v="0"/>
    <x v="1"/>
  </r>
  <r>
    <x v="5340"/>
    <x v="1687"/>
    <x v="48"/>
    <s v="Lithuania"/>
    <s v="England"/>
    <n v="0"/>
    <n v="1"/>
    <s v="FIFA World Cup qualification"/>
    <s v="Vilnius"/>
    <s v="Lithuania"/>
    <b v="0"/>
    <n v="2017"/>
    <n v="47756764508"/>
    <n v="2699118387873"/>
    <x v="0"/>
    <n v="1"/>
    <x v="2"/>
  </r>
  <r>
    <x v="5341"/>
    <x v="1687"/>
    <x v="48"/>
    <s v="Poland"/>
    <s v="Montenegro"/>
    <n v="4"/>
    <n v="2"/>
    <s v="FIFA World Cup qualification"/>
    <s v="Warsaw"/>
    <s v="Poland"/>
    <b v="0"/>
    <n v="2017"/>
    <n v="528356676667"/>
    <n v="4803962015"/>
    <x v="0"/>
    <n v="1"/>
    <x v="2"/>
  </r>
  <r>
    <x v="5342"/>
    <x v="1688"/>
    <x v="48"/>
    <s v="Albania"/>
    <s v="Italy"/>
    <n v="0"/>
    <n v="1"/>
    <s v="FIFA World Cup qualification"/>
    <s v="Shkod√´r"/>
    <s v="Albania"/>
    <b v="0"/>
    <n v="2017"/>
    <n v="13258268435"/>
    <n v="1970720904584"/>
    <x v="0"/>
    <n v="1"/>
    <x v="2"/>
  </r>
  <r>
    <x v="5343"/>
    <x v="1688"/>
    <x v="48"/>
    <s v="Iceland"/>
    <s v="Kosovo"/>
    <n v="2"/>
    <n v="0"/>
    <s v="FIFA World Cup qualification"/>
    <s v="Reykjav√≠k"/>
    <s v="Iceland"/>
    <b v="0"/>
    <n v="2017"/>
    <n v="25060086487"/>
    <n v="7180768692"/>
    <x v="0"/>
    <n v="1"/>
    <x v="2"/>
  </r>
  <r>
    <x v="5344"/>
    <x v="1688"/>
    <x v="48"/>
    <s v="Israel"/>
    <s v="Spain"/>
    <n v="0"/>
    <n v="1"/>
    <s v="FIFA World Cup qualification"/>
    <s v="Jerusalem"/>
    <s v="Israel"/>
    <b v="0"/>
    <n v="2017"/>
    <n v="358451839052"/>
    <n v="1321754088818"/>
    <x v="0"/>
    <n v="1"/>
    <x v="2"/>
  </r>
  <r>
    <x v="5345"/>
    <x v="1688"/>
    <x v="48"/>
    <s v="North Macedonia"/>
    <s v="Liechtenstein"/>
    <n v="4"/>
    <n v="0"/>
    <s v="FIFA World Cup qualification"/>
    <s v="Strumica"/>
    <s v="North Macedonia"/>
    <b v="0"/>
    <n v="2017"/>
    <n v="11307067069"/>
    <n v="6474308717"/>
    <x v="1"/>
    <n v="1"/>
    <x v="2"/>
  </r>
  <r>
    <x v="5346"/>
    <x v="1688"/>
    <x v="48"/>
    <s v="Moldova"/>
    <s v="Austria"/>
    <n v="0"/>
    <n v="1"/>
    <s v="FIFA World Cup qualification"/>
    <s v="Chi»ôinƒÉu"/>
    <s v="Moldova"/>
    <b v="0"/>
    <n v="2017"/>
    <n v="9514404016"/>
    <n v="414926138132"/>
    <x v="0"/>
    <n v="1"/>
    <x v="2"/>
  </r>
  <r>
    <x v="5347"/>
    <x v="1688"/>
    <x v="48"/>
    <s v="Serbia"/>
    <s v="Georgia"/>
    <n v="1"/>
    <n v="0"/>
    <s v="FIFA World Cup qualification"/>
    <s v="Belgrade"/>
    <s v="Serbia"/>
    <b v="0"/>
    <n v="2017"/>
    <n v="45972834713"/>
    <n v="16473125375"/>
    <x v="0"/>
    <n v="1"/>
    <x v="2"/>
  </r>
  <r>
    <x v="5348"/>
    <x v="1688"/>
    <x v="48"/>
    <s v="Ukraine"/>
    <s v="Croatia"/>
    <n v="0"/>
    <n v="2"/>
    <s v="FIFA World Cup qualification"/>
    <s v="Kyiv"/>
    <s v="Ukraine"/>
    <b v="0"/>
    <n v="2017"/>
    <n v="112090505081"/>
    <n v="56182782585"/>
    <x v="1"/>
    <n v="-1"/>
    <x v="0"/>
  </r>
  <r>
    <x v="5349"/>
    <x v="1689"/>
    <x v="48"/>
    <s v="Australia"/>
    <s v="Syria"/>
    <n v="2"/>
    <n v="1"/>
    <s v="FIFA World Cup qualification"/>
    <s v="Sydney"/>
    <s v="Australia"/>
    <b v="0"/>
    <n v="2017"/>
    <n v="1330890554614"/>
    <n v="16369843352"/>
    <x v="0"/>
    <n v="1"/>
    <x v="2"/>
  </r>
  <r>
    <x v="5350"/>
    <x v="1689"/>
    <x v="48"/>
    <s v="Belgium"/>
    <s v="Cyprus"/>
    <n v="4"/>
    <n v="0"/>
    <s v="FIFA World Cup qualification"/>
    <s v="Brussels"/>
    <s v="Belgium"/>
    <b v="0"/>
    <n v="2017"/>
    <n v="500908767351"/>
    <n v="22946570628"/>
    <x v="0"/>
    <n v="1"/>
    <x v="2"/>
  </r>
  <r>
    <x v="5351"/>
    <x v="1689"/>
    <x v="48"/>
    <s v="Brazil"/>
    <s v="Chile"/>
    <n v="3"/>
    <n v="0"/>
    <s v="FIFA World Cup qualification"/>
    <s v="S√£o Paulo"/>
    <s v="Brazil"/>
    <b v="0"/>
    <n v="2017"/>
    <n v="2063514688805"/>
    <n v="276154259981"/>
    <x v="0"/>
    <n v="1"/>
    <x v="2"/>
  </r>
  <r>
    <x v="5352"/>
    <x v="1689"/>
    <x v="48"/>
    <s v="Ecuador"/>
    <s v="Argentina"/>
    <n v="1"/>
    <n v="3"/>
    <s v="FIFA World Cup qualification"/>
    <s v="Quito"/>
    <s v="Ecuador"/>
    <b v="0"/>
    <n v="2017"/>
    <n v="104467486000"/>
    <n v="643628393281"/>
    <x v="0"/>
    <n v="1"/>
    <x v="2"/>
  </r>
  <r>
    <x v="5353"/>
    <x v="1689"/>
    <x v="48"/>
    <s v="Estonia"/>
    <s v="Bosnia and Herzegovina"/>
    <n v="1"/>
    <n v="2"/>
    <s v="FIFA World Cup qualification"/>
    <s v="Tallinn"/>
    <s v="Estonia"/>
    <b v="0"/>
    <n v="2017"/>
    <n v="27469461919"/>
    <n v="18326373135"/>
    <x v="1"/>
    <n v="-1"/>
    <x v="0"/>
  </r>
  <r>
    <x v="5354"/>
    <x v="1689"/>
    <x v="48"/>
    <s v="France"/>
    <s v="Belarus"/>
    <n v="2"/>
    <n v="1"/>
    <s v="FIFA World Cup qualification"/>
    <s v="Saint-Denis"/>
    <s v="France"/>
    <b v="0"/>
    <n v="2017"/>
    <n v="2588868323334"/>
    <n v="54725405751"/>
    <x v="0"/>
    <n v="1"/>
    <x v="2"/>
  </r>
  <r>
    <x v="5355"/>
    <x v="1689"/>
    <x v="48"/>
    <s v="Honduras"/>
    <s v="Mexico"/>
    <n v="3"/>
    <n v="2"/>
    <s v="FIFA World Cup qualification"/>
    <s v="San Pedro Sula"/>
    <s v="Honduras"/>
    <b v="0"/>
    <n v="2017"/>
    <n v="23136247990"/>
    <n v="1190721475906"/>
    <x v="0"/>
    <n v="-1"/>
    <x v="0"/>
  </r>
  <r>
    <x v="5356"/>
    <x v="1689"/>
    <x v="48"/>
    <s v="Hungary"/>
    <s v="Faroe Islands"/>
    <n v="1"/>
    <n v="0"/>
    <s v="FIFA World Cup qualification"/>
    <s v="Budapest"/>
    <s v="Hungary"/>
    <b v="0"/>
    <n v="2017"/>
    <n v="143335098991"/>
    <n v="2980057377"/>
    <x v="0"/>
    <n v="1"/>
    <x v="2"/>
  </r>
  <r>
    <x v="5357"/>
    <x v="1689"/>
    <x v="48"/>
    <s v="Latvia"/>
    <s v="Andorra"/>
    <n v="4"/>
    <n v="0"/>
    <s v="FIFA World Cup qualification"/>
    <s v="Riga"/>
    <s v="Latvia"/>
    <b v="0"/>
    <n v="2017"/>
    <n v="29391059767"/>
    <n v="3000160414"/>
    <x v="0"/>
    <n v="1"/>
    <x v="2"/>
  </r>
  <r>
    <x v="5358"/>
    <x v="1689"/>
    <x v="48"/>
    <s v="Luxembourg"/>
    <s v="Bulgaria"/>
    <n v="1"/>
    <n v="1"/>
    <s v="FIFA World Cup qualification"/>
    <s v="Luxembourg"/>
    <s v="Luxembourg"/>
    <b v="0"/>
    <n v="2017"/>
    <n v="65712180342"/>
    <n v="59167647387"/>
    <x v="1"/>
    <n v="0"/>
    <x v="1"/>
  </r>
  <r>
    <x v="5359"/>
    <x v="1689"/>
    <x v="48"/>
    <s v="Netherlands"/>
    <s v="Sweden"/>
    <n v="2"/>
    <n v="0"/>
    <s v="FIFA World Cup qualification"/>
    <s v="Amsterdam"/>
    <s v="Netherlands"/>
    <b v="0"/>
    <n v="2017"/>
    <n v="848233537845"/>
    <n v="535172356784"/>
    <x v="1"/>
    <n v="1"/>
    <x v="2"/>
  </r>
  <r>
    <x v="5360"/>
    <x v="1689"/>
    <x v="48"/>
    <s v="Panama"/>
    <s v="Costa Rica"/>
    <n v="2"/>
    <n v="1"/>
    <s v="FIFA World Cup qualification"/>
    <s v="Panama City"/>
    <s v="Panama"/>
    <b v="0"/>
    <n v="2017"/>
    <n v="64327688826"/>
    <n v="60516044656"/>
    <x v="1"/>
    <n v="1"/>
    <x v="2"/>
  </r>
  <r>
    <x v="5361"/>
    <x v="1689"/>
    <x v="48"/>
    <s v="Paraguay"/>
    <s v="Venezuela"/>
    <n v="0"/>
    <n v="1"/>
    <s v="FIFA World Cup qualification"/>
    <s v="Asunci√≥n"/>
    <s v="Paraguay"/>
    <b v="0"/>
    <n v="2017"/>
    <n v="38997129473"/>
    <n v="115883275162"/>
    <x v="0"/>
    <n v="1"/>
    <x v="2"/>
  </r>
  <r>
    <x v="5362"/>
    <x v="1689"/>
    <x v="48"/>
    <s v="Peru"/>
    <s v="Colombia"/>
    <n v="1"/>
    <n v="1"/>
    <s v="FIFA World Cup qualification"/>
    <s v="Lima"/>
    <s v="Peru"/>
    <b v="0"/>
    <n v="2017"/>
    <n v="211007984080"/>
    <n v="311866875156"/>
    <x v="1"/>
    <n v="0"/>
    <x v="1"/>
  </r>
  <r>
    <x v="5363"/>
    <x v="1689"/>
    <x v="48"/>
    <s v="Portugal"/>
    <s v="Switzerland"/>
    <n v="2"/>
    <n v="0"/>
    <s v="FIFA World Cup qualification"/>
    <s v="Lisbon"/>
    <s v="Portugal"/>
    <b v="0"/>
    <n v="2017"/>
    <n v="220862990767"/>
    <n v="695200833086"/>
    <x v="0"/>
    <n v="-1"/>
    <x v="0"/>
  </r>
  <r>
    <x v="5364"/>
    <x v="1689"/>
    <x v="48"/>
    <s v="Trinidad and Tobago"/>
    <s v="United States"/>
    <n v="2"/>
    <n v="1"/>
    <s v="FIFA World Cup qualification"/>
    <s v="Couva"/>
    <s v="Trinidad and Tobago"/>
    <b v="0"/>
    <n v="2017"/>
    <n v="23830750900"/>
    <n v="19477336549000"/>
    <x v="0"/>
    <n v="-1"/>
    <x v="0"/>
  </r>
  <r>
    <x v="5365"/>
    <x v="1689"/>
    <x v="48"/>
    <s v="Uruguay"/>
    <s v="Bolivia"/>
    <n v="4"/>
    <n v="2"/>
    <s v="FIFA World Cup qualification"/>
    <s v="Montevideo"/>
    <s v="Uruguay"/>
    <b v="0"/>
    <n v="2017"/>
    <n v="65005997963"/>
    <n v="45927439594"/>
    <x v="1"/>
    <n v="1"/>
    <x v="2"/>
  </r>
  <r>
    <x v="5366"/>
    <x v="1690"/>
    <x v="48"/>
    <s v="Croatia"/>
    <s v="Greece"/>
    <n v="4"/>
    <n v="1"/>
    <s v="FIFA World Cup qualification"/>
    <s v="Zagreb"/>
    <s v="Croatia"/>
    <b v="0"/>
    <n v="2017"/>
    <n v="56182782585"/>
    <n v="200381103984"/>
    <x v="0"/>
    <n v="-1"/>
    <x v="0"/>
  </r>
  <r>
    <x v="5367"/>
    <x v="1691"/>
    <x v="48"/>
    <s v="Algeria"/>
    <s v="Nigeria"/>
    <n v="3"/>
    <n v="0"/>
    <s v="FIFA World Cup qualification"/>
    <s v="Constantine"/>
    <s v="Algeria"/>
    <b v="0"/>
    <n v="2017"/>
    <n v="189880896903"/>
    <n v="375745731053"/>
    <x v="1"/>
    <n v="-1"/>
    <x v="0"/>
  </r>
  <r>
    <x v="5368"/>
    <x v="1691"/>
    <x v="48"/>
    <s v="Honduras"/>
    <s v="Australia"/>
    <n v="0"/>
    <n v="0"/>
    <s v="FIFA World Cup qualification"/>
    <s v="San Pedro Sula"/>
    <s v="Honduras"/>
    <b v="0"/>
    <n v="2017"/>
    <n v="23136247990"/>
    <n v="1330890554614"/>
    <x v="0"/>
    <n v="0"/>
    <x v="1"/>
  </r>
  <r>
    <x v="5369"/>
    <x v="1691"/>
    <x v="48"/>
    <s v="South Africa"/>
    <s v="Senegal"/>
    <n v="0"/>
    <n v="2"/>
    <s v="FIFA World Cup qualification"/>
    <s v="Polokwane"/>
    <s v="South Africa"/>
    <b v="0"/>
    <n v="2017"/>
    <n v="381448814653"/>
    <n v="20996562943"/>
    <x v="0"/>
    <n v="-1"/>
    <x v="0"/>
  </r>
  <r>
    <x v="5370"/>
    <x v="1691"/>
    <x v="48"/>
    <s v="Sweden"/>
    <s v="Italy"/>
    <n v="1"/>
    <n v="0"/>
    <s v="FIFA World Cup qualification"/>
    <s v="Solna"/>
    <s v="Sweden"/>
    <b v="0"/>
    <n v="2017"/>
    <n v="535172356784"/>
    <n v="1970720904584"/>
    <x v="0"/>
    <n v="-1"/>
    <x v="0"/>
  </r>
  <r>
    <x v="5371"/>
    <x v="1692"/>
    <x v="48"/>
    <s v="Gabon"/>
    <s v="Mali"/>
    <n v="0"/>
    <n v="0"/>
    <s v="FIFA World Cup qualification"/>
    <s v="Franceville"/>
    <s v="Gabon"/>
    <b v="0"/>
    <n v="2017"/>
    <n v="14929487485"/>
    <n v="18308362040"/>
    <x v="1"/>
    <n v="0"/>
    <x v="1"/>
  </r>
  <r>
    <x v="5372"/>
    <x v="1692"/>
    <x v="48"/>
    <s v="New Zealand"/>
    <s v="Peru"/>
    <n v="0"/>
    <n v="0"/>
    <s v="FIFA World Cup qualification"/>
    <s v="Wellington"/>
    <s v="New Zealand"/>
    <b v="0"/>
    <n v="2017"/>
    <n v="206745969246"/>
    <n v="211007984080"/>
    <x v="1"/>
    <n v="0"/>
    <x v="1"/>
  </r>
  <r>
    <x v="5373"/>
    <x v="1692"/>
    <x v="48"/>
    <s v="Tunisia"/>
    <s v="Libya"/>
    <n v="0"/>
    <n v="0"/>
    <s v="FIFA World Cup qualification"/>
    <s v="Rad√®s"/>
    <s v="Tunisia"/>
    <b v="0"/>
    <n v="2017"/>
    <n v="42163530590"/>
    <n v="67157452181"/>
    <x v="1"/>
    <n v="0"/>
    <x v="1"/>
  </r>
  <r>
    <x v="5374"/>
    <x v="1692"/>
    <x v="48"/>
    <s v="Zambia"/>
    <s v="Cameroon"/>
    <n v="2"/>
    <n v="2"/>
    <s v="FIFA World Cup qualification"/>
    <s v="Ndola"/>
    <s v="Zambia"/>
    <b v="0"/>
    <n v="2017"/>
    <n v="25873601260"/>
    <n v="36098547033"/>
    <x v="1"/>
    <n v="0"/>
    <x v="1"/>
  </r>
  <r>
    <x v="5375"/>
    <x v="1693"/>
    <x v="48"/>
    <s v="Ghana"/>
    <s v="Egypt"/>
    <n v="1"/>
    <n v="1"/>
    <s v="FIFA World Cup qualification"/>
    <s v="Kumasi"/>
    <s v="Ghana"/>
    <b v="0"/>
    <n v="2017"/>
    <n v="60385409434"/>
    <n v="248362771739"/>
    <x v="0"/>
    <n v="0"/>
    <x v="1"/>
  </r>
  <r>
    <x v="5376"/>
    <x v="1693"/>
    <x v="48"/>
    <s v="Greece"/>
    <s v="Croatia"/>
    <n v="0"/>
    <n v="0"/>
    <s v="FIFA World Cup qualification"/>
    <s v="Piraeus"/>
    <s v="Greece"/>
    <b v="0"/>
    <n v="2017"/>
    <n v="200381103984"/>
    <n v="56182782585"/>
    <x v="0"/>
    <n v="0"/>
    <x v="1"/>
  </r>
  <r>
    <x v="5377"/>
    <x v="1694"/>
    <x v="48"/>
    <s v="Italy"/>
    <s v="Sweden"/>
    <n v="0"/>
    <n v="0"/>
    <s v="FIFA World Cup qualification"/>
    <s v="Milan"/>
    <s v="Italy"/>
    <b v="0"/>
    <n v="2017"/>
    <n v="1970720904584"/>
    <n v="535172356784"/>
    <x v="0"/>
    <n v="0"/>
    <x v="1"/>
  </r>
  <r>
    <x v="5378"/>
    <x v="1695"/>
    <x v="48"/>
    <s v="Senegal"/>
    <s v="South Africa"/>
    <n v="2"/>
    <n v="1"/>
    <s v="FIFA World Cup qualification"/>
    <s v="Dakar"/>
    <s v="Senegal"/>
    <b v="0"/>
    <n v="2017"/>
    <n v="20996562943"/>
    <n v="381448814653"/>
    <x v="0"/>
    <n v="-1"/>
    <x v="0"/>
  </r>
  <r>
    <x v="5379"/>
    <x v="1696"/>
    <x v="48"/>
    <s v="Australia"/>
    <s v="Honduras"/>
    <n v="3"/>
    <n v="1"/>
    <s v="FIFA World Cup qualification"/>
    <s v="Sydney"/>
    <s v="Australia"/>
    <b v="0"/>
    <n v="2017"/>
    <n v="1330890554614"/>
    <n v="23136247990"/>
    <x v="0"/>
    <n v="1"/>
    <x v="2"/>
  </r>
  <r>
    <x v="5380"/>
    <x v="1696"/>
    <x v="48"/>
    <s v="Peru"/>
    <s v="New Zealand"/>
    <n v="2"/>
    <n v="0"/>
    <s v="FIFA World Cup qualification"/>
    <s v="Lima"/>
    <s v="Peru"/>
    <b v="0"/>
    <n v="2017"/>
    <n v="211007984080"/>
    <n v="206745969246"/>
    <x v="1"/>
    <n v="1"/>
    <x v="2"/>
  </r>
  <r>
    <x v="5381"/>
    <x v="1697"/>
    <x v="49"/>
    <s v="Russia"/>
    <s v="Saudi Arabia"/>
    <n v="5"/>
    <n v="0"/>
    <s v="FIFA World Cup"/>
    <s v="Moscow"/>
    <s v="Russia"/>
    <b v="0"/>
    <n v="2018"/>
    <n v="1657328773461"/>
    <n v="886564800000"/>
    <x v="1"/>
    <n v="1"/>
    <x v="2"/>
  </r>
  <r>
    <x v="5382"/>
    <x v="1698"/>
    <x v="49"/>
    <s v="Egypt"/>
    <s v="Uruguay"/>
    <n v="0"/>
    <n v="1"/>
    <s v="FIFA World Cup"/>
    <s v="Ekaterinburg"/>
    <s v="Russia"/>
    <b v="1"/>
    <n v="2018"/>
    <n v="262588632526"/>
    <n v="65344577415"/>
    <x v="0"/>
    <n v="-1"/>
    <x v="0"/>
  </r>
  <r>
    <x v="5383"/>
    <x v="1698"/>
    <x v="49"/>
    <s v="Morocco"/>
    <s v="Iran"/>
    <n v="0"/>
    <n v="1"/>
    <s v="FIFA World Cup"/>
    <s v="Saint Petersburg"/>
    <s v="Russia"/>
    <b v="1"/>
    <n v="2018"/>
    <n v="127341147581"/>
    <n v="411903303606"/>
    <x v="0"/>
    <n v="1"/>
    <x v="2"/>
  </r>
  <r>
    <x v="5384"/>
    <x v="1698"/>
    <x v="49"/>
    <s v="Portugal"/>
    <s v="Spain"/>
    <n v="3"/>
    <n v="3"/>
    <s v="FIFA World Cup"/>
    <s v="Sochi"/>
    <s v="Russia"/>
    <b v="1"/>
    <n v="2018"/>
    <n v="242092894542"/>
    <n v="1431642809327"/>
    <x v="0"/>
    <n v="0"/>
    <x v="1"/>
  </r>
  <r>
    <x v="5385"/>
    <x v="1699"/>
    <x v="49"/>
    <s v="France"/>
    <s v="Australia"/>
    <n v="2"/>
    <n v="1"/>
    <s v="FIFA World Cup"/>
    <s v="Kazan"/>
    <s v="Russia"/>
    <b v="1"/>
    <n v="2018"/>
    <n v="2781576320884"/>
    <n v="1433144978761"/>
    <x v="1"/>
    <n v="1"/>
    <x v="2"/>
  </r>
  <r>
    <x v="5386"/>
    <x v="1699"/>
    <x v="49"/>
    <s v="Argentina"/>
    <s v="Iceland"/>
    <n v="1"/>
    <n v="1"/>
    <s v="FIFA World Cup"/>
    <s v="Moscow"/>
    <s v="Russia"/>
    <b v="1"/>
    <n v="2018"/>
    <n v="524819892360"/>
    <n v="26677652544"/>
    <x v="0"/>
    <n v="0"/>
    <x v="1"/>
  </r>
  <r>
    <x v="5387"/>
    <x v="1699"/>
    <x v="49"/>
    <s v="Peru"/>
    <s v="Denmark"/>
    <n v="0"/>
    <n v="1"/>
    <s v="FIFA World Cup"/>
    <s v="Saransk"/>
    <s v="Russia"/>
    <b v="1"/>
    <n v="2018"/>
    <n v="222597009739"/>
    <n v="355293374912"/>
    <x v="1"/>
    <n v="1"/>
    <x v="2"/>
  </r>
  <r>
    <x v="5388"/>
    <x v="1699"/>
    <x v="49"/>
    <s v="Croatia"/>
    <s v="Nigeria"/>
    <n v="2"/>
    <n v="0"/>
    <s v="FIFA World Cup"/>
    <s v="Kaliningrad"/>
    <s v="Russia"/>
    <b v="1"/>
    <n v="2018"/>
    <n v="61667925219"/>
    <n v="421739251509"/>
    <x v="0"/>
    <n v="-1"/>
    <x v="0"/>
  </r>
  <r>
    <x v="5389"/>
    <x v="1700"/>
    <x v="49"/>
    <s v="Costa Rica"/>
    <s v="Serbia"/>
    <n v="0"/>
    <n v="1"/>
    <s v="FIFA World Cup"/>
    <s v="Samara"/>
    <s v="Russia"/>
    <b v="1"/>
    <n v="2018"/>
    <n v="62420164991"/>
    <n v="52787520248"/>
    <x v="1"/>
    <n v="-1"/>
    <x v="0"/>
  </r>
  <r>
    <x v="5390"/>
    <x v="1700"/>
    <x v="49"/>
    <s v="Germany"/>
    <s v="Mexico"/>
    <n v="0"/>
    <n v="1"/>
    <s v="FIFA World Cup"/>
    <s v="Moscow"/>
    <s v="Russia"/>
    <b v="1"/>
    <n v="2018"/>
    <n v="4055433215301"/>
    <n v="1256300182879"/>
    <x v="0"/>
    <n v="-1"/>
    <x v="0"/>
  </r>
  <r>
    <x v="5391"/>
    <x v="1700"/>
    <x v="49"/>
    <s v="Brazil"/>
    <s v="Switzerland"/>
    <n v="1"/>
    <n v="1"/>
    <s v="FIFA World Cup"/>
    <s v="Rostov-on-Don"/>
    <s v="Russia"/>
    <b v="1"/>
    <n v="2018"/>
    <n v="1916933708352"/>
    <n v="725568717468"/>
    <x v="0"/>
    <n v="0"/>
    <x v="1"/>
  </r>
  <r>
    <x v="5392"/>
    <x v="1701"/>
    <x v="49"/>
    <s v="Sweden"/>
    <s v="South Korea"/>
    <n v="1"/>
    <n v="0"/>
    <s v="FIFA World Cup"/>
    <s v="Nizhny Novgorod"/>
    <s v="Russia"/>
    <b v="1"/>
    <n v="2018"/>
    <n v="549649344043"/>
    <n v="1824251454306"/>
    <x v="0"/>
    <n v="-1"/>
    <x v="0"/>
  </r>
  <r>
    <x v="5393"/>
    <x v="1701"/>
    <x v="49"/>
    <s v="Belgium"/>
    <s v="Panama"/>
    <n v="3"/>
    <n v="0"/>
    <s v="FIFA World Cup"/>
    <s v="Sochi"/>
    <s v="Russia"/>
    <b v="1"/>
    <n v="2018"/>
    <n v="542638913427"/>
    <n v="67316471181"/>
    <x v="0"/>
    <n v="1"/>
    <x v="2"/>
  </r>
  <r>
    <x v="5394"/>
    <x v="1701"/>
    <x v="49"/>
    <s v="Tunisia"/>
    <s v="England"/>
    <n v="1"/>
    <n v="2"/>
    <s v="FIFA World Cup"/>
    <s v="Volgograd"/>
    <s v="Russia"/>
    <b v="1"/>
    <n v="2018"/>
    <n v="42686504459"/>
    <n v="2897028009916"/>
    <x v="0"/>
    <n v="1"/>
    <x v="2"/>
  </r>
  <r>
    <x v="5395"/>
    <x v="1702"/>
    <x v="49"/>
    <s v="Colombia"/>
    <s v="Japan"/>
    <n v="1"/>
    <n v="2"/>
    <s v="FIFA World Cup"/>
    <s v="Saransk"/>
    <s v="Russia"/>
    <b v="1"/>
    <n v="2018"/>
    <n v="334198218098"/>
    <n v="5040880939324"/>
    <x v="0"/>
    <n v="1"/>
    <x v="2"/>
  </r>
  <r>
    <x v="5396"/>
    <x v="1702"/>
    <x v="49"/>
    <s v="Poland"/>
    <s v="Senegal"/>
    <n v="1"/>
    <n v="2"/>
    <s v="FIFA World Cup"/>
    <s v="Moscow"/>
    <s v="Russia"/>
    <b v="1"/>
    <n v="2018"/>
    <n v="594616687350"/>
    <n v="23116701556"/>
    <x v="0"/>
    <n v="-1"/>
    <x v="0"/>
  </r>
  <r>
    <x v="5397"/>
    <x v="1702"/>
    <x v="49"/>
    <s v="Russia"/>
    <s v="Egypt"/>
    <n v="3"/>
    <n v="1"/>
    <s v="FIFA World Cup"/>
    <s v="Saint Petersburg"/>
    <s v="Russia"/>
    <b v="0"/>
    <n v="2018"/>
    <n v="1657328773461"/>
    <n v="262588632526"/>
    <x v="0"/>
    <n v="1"/>
    <x v="2"/>
  </r>
  <r>
    <x v="5398"/>
    <x v="1703"/>
    <x v="49"/>
    <s v="Portugal"/>
    <s v="Morocco"/>
    <n v="1"/>
    <n v="0"/>
    <s v="FIFA World Cup"/>
    <s v="Moscow"/>
    <s v="Russia"/>
    <b v="1"/>
    <n v="2018"/>
    <n v="242092894542"/>
    <n v="127341147581"/>
    <x v="1"/>
    <n v="1"/>
    <x v="2"/>
  </r>
  <r>
    <x v="5399"/>
    <x v="1703"/>
    <x v="49"/>
    <s v="Uruguay"/>
    <s v="Saudi Arabia"/>
    <n v="1"/>
    <n v="0"/>
    <s v="FIFA World Cup"/>
    <s v="Rostov-on-Don"/>
    <s v="Russia"/>
    <b v="1"/>
    <n v="2018"/>
    <n v="65344577415"/>
    <n v="886564800000"/>
    <x v="0"/>
    <n v="-1"/>
    <x v="0"/>
  </r>
  <r>
    <x v="5400"/>
    <x v="1703"/>
    <x v="49"/>
    <s v="Iran"/>
    <s v="Spain"/>
    <n v="0"/>
    <n v="1"/>
    <s v="FIFA World Cup"/>
    <s v="Kazan"/>
    <s v="Russia"/>
    <b v="1"/>
    <n v="2018"/>
    <n v="411903303606"/>
    <n v="1431642809327"/>
    <x v="0"/>
    <n v="1"/>
    <x v="2"/>
  </r>
  <r>
    <x v="5401"/>
    <x v="1704"/>
    <x v="49"/>
    <s v="Denmark"/>
    <s v="Australia"/>
    <n v="1"/>
    <n v="1"/>
    <s v="FIFA World Cup"/>
    <s v="Samara"/>
    <s v="Russia"/>
    <b v="1"/>
    <n v="2018"/>
    <n v="355293374912"/>
    <n v="1433144978761"/>
    <x v="0"/>
    <n v="0"/>
    <x v="1"/>
  </r>
  <r>
    <x v="5402"/>
    <x v="1704"/>
    <x v="49"/>
    <s v="France"/>
    <s v="Peru"/>
    <n v="1"/>
    <n v="0"/>
    <s v="FIFA World Cup"/>
    <s v="Ekaterinburg"/>
    <s v="Russia"/>
    <b v="1"/>
    <n v="2018"/>
    <n v="2781576320884"/>
    <n v="222597009739"/>
    <x v="0"/>
    <n v="1"/>
    <x v="2"/>
  </r>
  <r>
    <x v="5403"/>
    <x v="1704"/>
    <x v="49"/>
    <s v="Argentina"/>
    <s v="Croatia"/>
    <n v="0"/>
    <n v="3"/>
    <s v="FIFA World Cup"/>
    <s v="Nizhny Novgorod"/>
    <s v="Russia"/>
    <b v="1"/>
    <n v="2018"/>
    <n v="524819892360"/>
    <n v="61667925219"/>
    <x v="0"/>
    <n v="-1"/>
    <x v="0"/>
  </r>
  <r>
    <x v="5404"/>
    <x v="1705"/>
    <x v="49"/>
    <s v="Brazil"/>
    <s v="Costa Rica"/>
    <n v="2"/>
    <n v="0"/>
    <s v="FIFA World Cup"/>
    <s v="Saint Petersburg"/>
    <s v="Russia"/>
    <b v="1"/>
    <n v="2018"/>
    <n v="1916933708352"/>
    <n v="62420164991"/>
    <x v="0"/>
    <n v="1"/>
    <x v="2"/>
  </r>
  <r>
    <x v="5405"/>
    <x v="1705"/>
    <x v="49"/>
    <s v="Nigeria"/>
    <s v="Iceland"/>
    <n v="2"/>
    <n v="0"/>
    <s v="FIFA World Cup"/>
    <s v="Volgograd"/>
    <s v="Russia"/>
    <b v="1"/>
    <n v="2018"/>
    <n v="421739251509"/>
    <n v="26677652544"/>
    <x v="0"/>
    <n v="1"/>
    <x v="2"/>
  </r>
  <r>
    <x v="5406"/>
    <x v="1705"/>
    <x v="49"/>
    <s v="Serbia"/>
    <s v="Switzerland"/>
    <n v="1"/>
    <n v="2"/>
    <s v="FIFA World Cup"/>
    <s v="Kaliningrad"/>
    <s v="Russia"/>
    <b v="1"/>
    <n v="2018"/>
    <n v="52787520248"/>
    <n v="725568717468"/>
    <x v="0"/>
    <n v="1"/>
    <x v="2"/>
  </r>
  <r>
    <x v="5407"/>
    <x v="1706"/>
    <x v="49"/>
    <s v="Belgium"/>
    <s v="Tunisia"/>
    <n v="5"/>
    <n v="2"/>
    <s v="FIFA World Cup"/>
    <s v="Moscow"/>
    <s v="Russia"/>
    <b v="1"/>
    <n v="2018"/>
    <n v="542638913427"/>
    <n v="42686504459"/>
    <x v="0"/>
    <n v="1"/>
    <x v="2"/>
  </r>
  <r>
    <x v="5408"/>
    <x v="1706"/>
    <x v="49"/>
    <s v="South Korea"/>
    <s v="Mexico"/>
    <n v="1"/>
    <n v="2"/>
    <s v="FIFA World Cup"/>
    <s v="Rostov-on-Don"/>
    <s v="Russia"/>
    <b v="1"/>
    <n v="2018"/>
    <n v="1824251454306"/>
    <n v="1256300182879"/>
    <x v="1"/>
    <n v="-1"/>
    <x v="0"/>
  </r>
  <r>
    <x v="5409"/>
    <x v="1706"/>
    <x v="49"/>
    <s v="Germany"/>
    <s v="Sweden"/>
    <n v="2"/>
    <n v="1"/>
    <s v="FIFA World Cup"/>
    <s v="Sochi"/>
    <s v="Russia"/>
    <b v="1"/>
    <n v="2018"/>
    <n v="4055433215301"/>
    <n v="549649344043"/>
    <x v="0"/>
    <n v="1"/>
    <x v="2"/>
  </r>
  <r>
    <x v="5410"/>
    <x v="1707"/>
    <x v="49"/>
    <s v="England"/>
    <s v="Panama"/>
    <n v="6"/>
    <n v="1"/>
    <s v="FIFA World Cup"/>
    <s v="Nizhny Novgorod"/>
    <s v="Russia"/>
    <b v="1"/>
    <n v="2018"/>
    <n v="2897028009916"/>
    <n v="67316471181"/>
    <x v="0"/>
    <n v="1"/>
    <x v="2"/>
  </r>
  <r>
    <x v="5411"/>
    <x v="1707"/>
    <x v="49"/>
    <s v="Japan"/>
    <s v="Senegal"/>
    <n v="2"/>
    <n v="2"/>
    <s v="FIFA World Cup"/>
    <s v="Ekaterinburg"/>
    <s v="Russia"/>
    <b v="1"/>
    <n v="2018"/>
    <n v="5040880939324"/>
    <n v="23116701556"/>
    <x v="0"/>
    <n v="0"/>
    <x v="1"/>
  </r>
  <r>
    <x v="5412"/>
    <x v="1707"/>
    <x v="49"/>
    <s v="Poland"/>
    <s v="Colombia"/>
    <n v="0"/>
    <n v="3"/>
    <s v="FIFA World Cup"/>
    <s v="Kazan"/>
    <s v="Russia"/>
    <b v="1"/>
    <n v="2018"/>
    <n v="594616687350"/>
    <n v="334198218098"/>
    <x v="1"/>
    <n v="-1"/>
    <x v="0"/>
  </r>
  <r>
    <x v="5413"/>
    <x v="1708"/>
    <x v="49"/>
    <s v="Russia"/>
    <s v="Uruguay"/>
    <n v="0"/>
    <n v="3"/>
    <s v="FIFA World Cup"/>
    <s v="Samara"/>
    <s v="Russia"/>
    <b v="0"/>
    <n v="2018"/>
    <n v="1657328773461"/>
    <n v="65344577415"/>
    <x v="0"/>
    <n v="-1"/>
    <x v="0"/>
  </r>
  <r>
    <x v="5414"/>
    <x v="1708"/>
    <x v="49"/>
    <s v="Saudi Arabia"/>
    <s v="Egypt"/>
    <n v="2"/>
    <n v="1"/>
    <s v="FIFA World Cup"/>
    <s v="Volgograd"/>
    <s v="Russia"/>
    <b v="1"/>
    <n v="2018"/>
    <n v="886564800000"/>
    <n v="262588632526"/>
    <x v="0"/>
    <n v="1"/>
    <x v="2"/>
  </r>
  <r>
    <x v="5415"/>
    <x v="1708"/>
    <x v="49"/>
    <s v="Spain"/>
    <s v="Morocco"/>
    <n v="2"/>
    <n v="2"/>
    <s v="FIFA World Cup"/>
    <s v="Kaliningrad"/>
    <s v="Russia"/>
    <b v="1"/>
    <n v="2018"/>
    <n v="1431642809327"/>
    <n v="127341147581"/>
    <x v="0"/>
    <n v="0"/>
    <x v="1"/>
  </r>
  <r>
    <x v="5416"/>
    <x v="1708"/>
    <x v="49"/>
    <s v="Iran"/>
    <s v="Portugal"/>
    <n v="1"/>
    <n v="1"/>
    <s v="FIFA World Cup"/>
    <s v="Saransk"/>
    <s v="Russia"/>
    <b v="1"/>
    <n v="2018"/>
    <n v="411903303606"/>
    <n v="242092894542"/>
    <x v="1"/>
    <n v="0"/>
    <x v="1"/>
  </r>
  <r>
    <x v="5417"/>
    <x v="1709"/>
    <x v="49"/>
    <s v="Australia"/>
    <s v="Peru"/>
    <n v="0"/>
    <n v="2"/>
    <s v="FIFA World Cup"/>
    <s v="Sochi"/>
    <s v="Russia"/>
    <b v="1"/>
    <n v="2018"/>
    <n v="1433144978761"/>
    <n v="222597009739"/>
    <x v="0"/>
    <n v="-1"/>
    <x v="0"/>
  </r>
  <r>
    <x v="5418"/>
    <x v="1709"/>
    <x v="49"/>
    <s v="Denmark"/>
    <s v="France"/>
    <n v="0"/>
    <n v="0"/>
    <s v="FIFA World Cup"/>
    <s v="Moscow"/>
    <s v="Russia"/>
    <b v="1"/>
    <n v="2018"/>
    <n v="355293374912"/>
    <n v="2781576320884"/>
    <x v="0"/>
    <n v="0"/>
    <x v="1"/>
  </r>
  <r>
    <x v="5419"/>
    <x v="1709"/>
    <x v="49"/>
    <s v="Nigeria"/>
    <s v="Argentina"/>
    <n v="1"/>
    <n v="2"/>
    <s v="FIFA World Cup"/>
    <s v="Saint Petersburg"/>
    <s v="Russia"/>
    <b v="1"/>
    <n v="2018"/>
    <n v="421739251509"/>
    <n v="524819892360"/>
    <x v="1"/>
    <n v="1"/>
    <x v="2"/>
  </r>
  <r>
    <x v="5420"/>
    <x v="1709"/>
    <x v="49"/>
    <s v="Iceland"/>
    <s v="Croatia"/>
    <n v="1"/>
    <n v="2"/>
    <s v="FIFA World Cup"/>
    <s v="Rostov-on-Don"/>
    <s v="Russia"/>
    <b v="1"/>
    <n v="2018"/>
    <n v="26677652544"/>
    <n v="61667925219"/>
    <x v="0"/>
    <n v="1"/>
    <x v="2"/>
  </r>
  <r>
    <x v="5421"/>
    <x v="1710"/>
    <x v="49"/>
    <s v="South Korea"/>
    <s v="Germany"/>
    <n v="2"/>
    <n v="0"/>
    <s v="FIFA World Cup"/>
    <s v="Kazan"/>
    <s v="Russia"/>
    <b v="1"/>
    <n v="2018"/>
    <n v="1824251454306"/>
    <n v="4055433215301"/>
    <x v="0"/>
    <n v="-1"/>
    <x v="0"/>
  </r>
  <r>
    <x v="5422"/>
    <x v="1710"/>
    <x v="49"/>
    <s v="Mexico"/>
    <s v="Sweden"/>
    <n v="0"/>
    <n v="3"/>
    <s v="FIFA World Cup"/>
    <s v="Ekaterinburg"/>
    <s v="Russia"/>
    <b v="1"/>
    <n v="2018"/>
    <n v="1256300182879"/>
    <n v="549649344043"/>
    <x v="0"/>
    <n v="-1"/>
    <x v="0"/>
  </r>
  <r>
    <x v="5423"/>
    <x v="1710"/>
    <x v="49"/>
    <s v="Serbia"/>
    <s v="Brazil"/>
    <n v="0"/>
    <n v="2"/>
    <s v="FIFA World Cup"/>
    <s v="Moscow"/>
    <s v="Russia"/>
    <b v="1"/>
    <n v="2018"/>
    <n v="52787520248"/>
    <n v="1916933708352"/>
    <x v="0"/>
    <n v="1"/>
    <x v="2"/>
  </r>
  <r>
    <x v="5424"/>
    <x v="1710"/>
    <x v="49"/>
    <s v="Switzerland"/>
    <s v="Costa Rica"/>
    <n v="2"/>
    <n v="2"/>
    <s v="FIFA World Cup"/>
    <s v="Nizhny Novgorod"/>
    <s v="Russia"/>
    <b v="1"/>
    <n v="2018"/>
    <n v="725568717468"/>
    <n v="62420164991"/>
    <x v="0"/>
    <n v="0"/>
    <x v="1"/>
  </r>
  <r>
    <x v="5425"/>
    <x v="1711"/>
    <x v="49"/>
    <s v="Japan"/>
    <s v="Poland"/>
    <n v="0"/>
    <n v="1"/>
    <s v="FIFA World Cup"/>
    <s v="Volgograd"/>
    <s v="Russia"/>
    <b v="1"/>
    <n v="2018"/>
    <n v="5040880939324"/>
    <n v="594616687350"/>
    <x v="0"/>
    <n v="-1"/>
    <x v="0"/>
  </r>
  <r>
    <x v="5426"/>
    <x v="1711"/>
    <x v="49"/>
    <s v="Senegal"/>
    <s v="Colombia"/>
    <n v="0"/>
    <n v="1"/>
    <s v="FIFA World Cup"/>
    <s v="Samara"/>
    <s v="Russia"/>
    <b v="1"/>
    <n v="2018"/>
    <n v="23116701556"/>
    <n v="334198218098"/>
    <x v="0"/>
    <n v="1"/>
    <x v="2"/>
  </r>
  <r>
    <x v="5427"/>
    <x v="1711"/>
    <x v="49"/>
    <s v="Panama"/>
    <s v="Tunisia"/>
    <n v="1"/>
    <n v="2"/>
    <s v="FIFA World Cup"/>
    <s v="Saransk"/>
    <s v="Russia"/>
    <b v="1"/>
    <n v="2018"/>
    <n v="67316471181"/>
    <n v="42686504459"/>
    <x v="1"/>
    <n v="-1"/>
    <x v="0"/>
  </r>
  <r>
    <x v="5428"/>
    <x v="1711"/>
    <x v="49"/>
    <s v="England"/>
    <s v="Belgium"/>
    <n v="0"/>
    <n v="1"/>
    <s v="FIFA World Cup"/>
    <s v="Kaliningrad"/>
    <s v="Russia"/>
    <b v="1"/>
    <n v="2018"/>
    <n v="2897028009916"/>
    <n v="542638913427"/>
    <x v="0"/>
    <n v="-1"/>
    <x v="0"/>
  </r>
  <r>
    <x v="5429"/>
    <x v="1712"/>
    <x v="49"/>
    <s v="France"/>
    <s v="Argentina"/>
    <n v="4"/>
    <n v="3"/>
    <s v="FIFA World Cup"/>
    <s v="Kazan"/>
    <s v="Russia"/>
    <b v="1"/>
    <n v="2018"/>
    <n v="2781576320884"/>
    <n v="524819892360"/>
    <x v="0"/>
    <n v="1"/>
    <x v="2"/>
  </r>
  <r>
    <x v="5430"/>
    <x v="1712"/>
    <x v="49"/>
    <s v="Uruguay"/>
    <s v="Portugal"/>
    <n v="2"/>
    <n v="1"/>
    <s v="FIFA World Cup"/>
    <s v="Sochi"/>
    <s v="Russia"/>
    <b v="1"/>
    <n v="2018"/>
    <n v="65344577415"/>
    <n v="242092894542"/>
    <x v="0"/>
    <n v="-1"/>
    <x v="0"/>
  </r>
  <r>
    <x v="5431"/>
    <x v="1713"/>
    <x v="49"/>
    <s v="Russia"/>
    <s v="Spain"/>
    <n v="1"/>
    <n v="1"/>
    <s v="FIFA World Cup"/>
    <s v="Moscow"/>
    <s v="Russia"/>
    <b v="0"/>
    <n v="2018"/>
    <n v="1657328773461"/>
    <n v="1431642809327"/>
    <x v="1"/>
    <n v="0"/>
    <x v="1"/>
  </r>
  <r>
    <x v="5432"/>
    <x v="1713"/>
    <x v="49"/>
    <s v="Croatia"/>
    <s v="Denmark"/>
    <n v="1"/>
    <n v="1"/>
    <s v="FIFA World Cup"/>
    <s v="Nizhny Novgorod"/>
    <s v="Russia"/>
    <b v="1"/>
    <n v="2018"/>
    <n v="61667925219"/>
    <n v="355293374912"/>
    <x v="0"/>
    <n v="0"/>
    <x v="1"/>
  </r>
  <r>
    <x v="5433"/>
    <x v="1714"/>
    <x v="49"/>
    <s v="Brazil"/>
    <s v="Mexico"/>
    <n v="2"/>
    <n v="0"/>
    <s v="FIFA World Cup"/>
    <s v="Samara"/>
    <s v="Russia"/>
    <b v="1"/>
    <n v="2018"/>
    <n v="1916933708352"/>
    <n v="1256300182879"/>
    <x v="1"/>
    <n v="1"/>
    <x v="2"/>
  </r>
  <r>
    <x v="5434"/>
    <x v="1714"/>
    <x v="49"/>
    <s v="Belgium"/>
    <s v="Japan"/>
    <n v="3"/>
    <n v="2"/>
    <s v="FIFA World Cup"/>
    <s v="Rostov-on-Don"/>
    <s v="Russia"/>
    <b v="1"/>
    <n v="2018"/>
    <n v="542638913427"/>
    <n v="5040880939324"/>
    <x v="0"/>
    <n v="-1"/>
    <x v="0"/>
  </r>
  <r>
    <x v="5435"/>
    <x v="1715"/>
    <x v="49"/>
    <s v="Sweden"/>
    <s v="Switzerland"/>
    <n v="1"/>
    <n v="0"/>
    <s v="FIFA World Cup"/>
    <s v="Saint Petersburg"/>
    <s v="Russia"/>
    <b v="1"/>
    <n v="2018"/>
    <n v="549649344043"/>
    <n v="725568717468"/>
    <x v="1"/>
    <n v="-1"/>
    <x v="0"/>
  </r>
  <r>
    <x v="5436"/>
    <x v="1715"/>
    <x v="49"/>
    <s v="Colombia"/>
    <s v="England"/>
    <n v="1"/>
    <n v="1"/>
    <s v="FIFA World Cup"/>
    <s v="Moscow"/>
    <s v="Russia"/>
    <b v="1"/>
    <n v="2018"/>
    <n v="334198218098"/>
    <n v="2897028009916"/>
    <x v="0"/>
    <n v="0"/>
    <x v="1"/>
  </r>
  <r>
    <x v="5437"/>
    <x v="1716"/>
    <x v="49"/>
    <s v="Uruguay"/>
    <s v="France"/>
    <n v="0"/>
    <n v="2"/>
    <s v="FIFA World Cup"/>
    <s v="Nizhny Novgorod"/>
    <s v="Russia"/>
    <b v="1"/>
    <n v="2018"/>
    <n v="65344577415"/>
    <n v="2781576320884"/>
    <x v="0"/>
    <n v="1"/>
    <x v="2"/>
  </r>
  <r>
    <x v="5438"/>
    <x v="1716"/>
    <x v="49"/>
    <s v="Brazil"/>
    <s v="Belgium"/>
    <n v="1"/>
    <n v="2"/>
    <s v="FIFA World Cup"/>
    <s v="Kazan"/>
    <s v="Russia"/>
    <b v="1"/>
    <n v="2018"/>
    <n v="1916933708352"/>
    <n v="542638913427"/>
    <x v="0"/>
    <n v="-1"/>
    <x v="0"/>
  </r>
  <r>
    <x v="5439"/>
    <x v="1717"/>
    <x v="49"/>
    <s v="Sweden"/>
    <s v="England"/>
    <n v="0"/>
    <n v="2"/>
    <s v="FIFA World Cup"/>
    <s v="Samara"/>
    <s v="Russia"/>
    <b v="1"/>
    <n v="2018"/>
    <n v="549649344043"/>
    <n v="2897028009916"/>
    <x v="0"/>
    <n v="1"/>
    <x v="2"/>
  </r>
  <r>
    <x v="5440"/>
    <x v="1717"/>
    <x v="49"/>
    <s v="Russia"/>
    <s v="Croatia"/>
    <n v="2"/>
    <n v="2"/>
    <s v="FIFA World Cup"/>
    <s v="Sochi"/>
    <s v="Russia"/>
    <b v="0"/>
    <n v="2018"/>
    <n v="1657328773461"/>
    <n v="61667925219"/>
    <x v="0"/>
    <n v="0"/>
    <x v="1"/>
  </r>
  <r>
    <x v="5441"/>
    <x v="1718"/>
    <x v="49"/>
    <s v="France"/>
    <s v="Belgium"/>
    <n v="1"/>
    <n v="0"/>
    <s v="FIFA World Cup"/>
    <s v="Saint Petersburg"/>
    <s v="Russia"/>
    <b v="1"/>
    <n v="2018"/>
    <n v="2781576320884"/>
    <n v="542638913427"/>
    <x v="0"/>
    <n v="1"/>
    <x v="2"/>
  </r>
  <r>
    <x v="5442"/>
    <x v="1719"/>
    <x v="49"/>
    <s v="Croatia"/>
    <s v="England"/>
    <n v="2"/>
    <n v="1"/>
    <s v="FIFA World Cup"/>
    <s v="Moscow"/>
    <s v="Russia"/>
    <b v="1"/>
    <n v="2018"/>
    <n v="61667925219"/>
    <n v="2897028009916"/>
    <x v="0"/>
    <n v="-1"/>
    <x v="0"/>
  </r>
  <r>
    <x v="5443"/>
    <x v="1720"/>
    <x v="49"/>
    <s v="Belgium"/>
    <s v="England"/>
    <n v="2"/>
    <n v="0"/>
    <s v="FIFA World Cup"/>
    <s v="Saint Petersburg"/>
    <s v="Russia"/>
    <b v="1"/>
    <n v="2018"/>
    <n v="542638913427"/>
    <n v="2897028009916"/>
    <x v="0"/>
    <n v="-1"/>
    <x v="0"/>
  </r>
  <r>
    <x v="5444"/>
    <x v="1721"/>
    <x v="49"/>
    <s v="France"/>
    <s v="Croatia"/>
    <n v="4"/>
    <n v="2"/>
    <s v="FIFA World Cup"/>
    <s v="Moscow"/>
    <s v="Russia"/>
    <b v="1"/>
    <n v="2018"/>
    <n v="2781576320884"/>
    <n v="61667925219"/>
    <x v="0"/>
    <n v="1"/>
    <x v="2"/>
  </r>
  <r>
    <x v="5445"/>
    <x v="1722"/>
    <x v="50"/>
    <s v="Bhutan"/>
    <s v="Guam"/>
    <n v="1"/>
    <n v="0"/>
    <s v="FIFA World Cup qualification"/>
    <s v="Thimphu"/>
    <s v="Bhutan"/>
    <b v="0"/>
    <n v="2019"/>
    <n v="2735683570"/>
    <n v="6355000000"/>
    <x v="0"/>
    <n v="-1"/>
    <x v="0"/>
  </r>
  <r>
    <x v="5446"/>
    <x v="1722"/>
    <x v="50"/>
    <s v="Cambodia"/>
    <s v="Pakistan"/>
    <n v="2"/>
    <n v="0"/>
    <s v="FIFA World Cup qualification"/>
    <s v="Phnom Penh"/>
    <s v="Cambodia"/>
    <b v="0"/>
    <n v="2019"/>
    <n v="36685356407"/>
    <n v="320909472770"/>
    <x v="0"/>
    <n v="-1"/>
    <x v="0"/>
  </r>
  <r>
    <x v="5447"/>
    <x v="1723"/>
    <x v="50"/>
    <s v="Malaysia"/>
    <s v="Timor-Leste"/>
    <n v="7"/>
    <n v="1"/>
    <s v="FIFA World Cup qualification"/>
    <s v="Kuala Lumpur"/>
    <s v="Malaysia"/>
    <b v="0"/>
    <n v="2019"/>
    <n v="365177721021"/>
    <n v="2032550389"/>
    <x v="0"/>
    <n v="1"/>
    <x v="2"/>
  </r>
  <r>
    <x v="5448"/>
    <x v="1724"/>
    <x v="50"/>
    <s v="Guam"/>
    <s v="Bhutan"/>
    <n v="5"/>
    <n v="0"/>
    <s v="FIFA World Cup qualification"/>
    <s v="Dededo"/>
    <s v="Guam"/>
    <b v="0"/>
    <n v="2019"/>
    <n v="6355000000"/>
    <n v="2735683570"/>
    <x v="0"/>
    <n v="1"/>
    <x v="2"/>
  </r>
  <r>
    <x v="5449"/>
    <x v="1724"/>
    <x v="50"/>
    <s v="Pakistan"/>
    <s v="Cambodia"/>
    <n v="1"/>
    <n v="2"/>
    <s v="FIFA World Cup qualification"/>
    <s v="Doha"/>
    <s v="Qatar"/>
    <b v="1"/>
    <n v="2019"/>
    <n v="320909472770"/>
    <n v="36685356407"/>
    <x v="0"/>
    <n v="-1"/>
    <x v="0"/>
  </r>
  <r>
    <x v="5450"/>
    <x v="1724"/>
    <x v="50"/>
    <s v="Malaysia"/>
    <s v="Timor-Leste"/>
    <n v="5"/>
    <n v="1"/>
    <s v="FIFA World Cup qualification"/>
    <s v="Kuala Lumpur"/>
    <s v="Malaysia"/>
    <b v="0"/>
    <n v="2019"/>
    <n v="365177721021"/>
    <n v="2032550389"/>
    <x v="0"/>
    <n v="1"/>
    <x v="2"/>
  </r>
  <r>
    <x v="5451"/>
    <x v="1725"/>
    <x v="50"/>
    <s v="Burundi"/>
    <s v="Tanzania"/>
    <n v="1"/>
    <n v="1"/>
    <s v="FIFA World Cup qualification"/>
    <s v="Bujumbura"/>
    <s v="Burundi"/>
    <b v="0"/>
    <n v="2019"/>
    <n v="2871555326"/>
    <n v="61026731925"/>
    <x v="0"/>
    <n v="0"/>
    <x v="1"/>
  </r>
  <r>
    <x v="5452"/>
    <x v="1725"/>
    <x v="50"/>
    <s v="Djibouti"/>
    <s v="Eswatini"/>
    <n v="2"/>
    <n v="1"/>
    <s v="FIFA World Cup qualification"/>
    <s v="Djibouti"/>
    <s v="Djibouti"/>
    <b v="0"/>
    <n v="2019"/>
    <n v="3088851450"/>
    <n v="4617018958"/>
    <x v="1"/>
    <n v="-1"/>
    <x v="0"/>
  </r>
  <r>
    <x v="5453"/>
    <x v="1725"/>
    <x v="50"/>
    <s v="Ethiopia"/>
    <s v="Lesotho"/>
    <n v="0"/>
    <n v="0"/>
    <s v="FIFA World Cup qualification"/>
    <s v="Bahir Dar"/>
    <s v="Ethiopia"/>
    <b v="0"/>
    <n v="2019"/>
    <n v="91834517112"/>
    <n v="2390702295"/>
    <x v="0"/>
    <n v="0"/>
    <x v="1"/>
  </r>
  <r>
    <x v="5454"/>
    <x v="1725"/>
    <x v="50"/>
    <s v="Liberia"/>
    <s v="Sierra Leone"/>
    <n v="3"/>
    <n v="1"/>
    <s v="FIFA World Cup qualification"/>
    <s v="Monrovia"/>
    <s v="Liberia"/>
    <b v="0"/>
    <n v="2019"/>
    <n v="3319596500"/>
    <n v="6523577594"/>
    <x v="1"/>
    <n v="-1"/>
    <x v="0"/>
  </r>
  <r>
    <x v="5455"/>
    <x v="1725"/>
    <x v="50"/>
    <s v="Mauritius"/>
    <s v="Mozambique"/>
    <n v="0"/>
    <n v="1"/>
    <s v="FIFA World Cup qualification"/>
    <s v="Belle Vue Maurel"/>
    <s v="Mauritius"/>
    <b v="0"/>
    <n v="2019"/>
    <n v="14645235204"/>
    <n v="15512759046"/>
    <x v="1"/>
    <n v="1"/>
    <x v="2"/>
  </r>
  <r>
    <x v="5456"/>
    <x v="1726"/>
    <x v="50"/>
    <s v="Guam"/>
    <s v="Maldives"/>
    <n v="0"/>
    <n v="1"/>
    <s v="FIFA World Cup qualification"/>
    <s v="Dededo"/>
    <s v="Guam"/>
    <b v="0"/>
    <n v="2019"/>
    <n v="6355000000"/>
    <n v="5726094799"/>
    <x v="1"/>
    <n v="-1"/>
    <x v="0"/>
  </r>
  <r>
    <x v="5457"/>
    <x v="1726"/>
    <x v="50"/>
    <s v="Philippines"/>
    <s v="Syria"/>
    <n v="2"/>
    <n v="5"/>
    <s v="FIFA World Cup qualification"/>
    <s v="Bacolod"/>
    <s v="Philippines"/>
    <b v="0"/>
    <n v="2019"/>
    <n v="376823402239"/>
    <n v="22583045060"/>
    <x v="0"/>
    <n v="-1"/>
    <x v="0"/>
  </r>
  <r>
    <x v="5458"/>
    <x v="1726"/>
    <x v="50"/>
    <s v="Kuwait"/>
    <s v="Nepal"/>
    <n v="7"/>
    <n v="0"/>
    <s v="FIFA World Cup qualification"/>
    <s v="Kuwait City"/>
    <s v="Kuwait"/>
    <b v="0"/>
    <n v="2019"/>
    <n v="140856394860"/>
    <n v="34186180699"/>
    <x v="0"/>
    <n v="1"/>
    <x v="2"/>
  </r>
  <r>
    <x v="5459"/>
    <x v="1726"/>
    <x v="50"/>
    <s v="Bahrain"/>
    <s v="Iraq"/>
    <n v="1"/>
    <n v="1"/>
    <s v="FIFA World Cup qualification"/>
    <s v="Riffa"/>
    <s v="Bahrain"/>
    <b v="0"/>
    <n v="2019"/>
    <n v="40446808510"/>
    <n v="233636097800"/>
    <x v="0"/>
    <n v="0"/>
    <x v="1"/>
  </r>
  <r>
    <x v="5460"/>
    <x v="1726"/>
    <x v="50"/>
    <s v="India"/>
    <s v="Oman"/>
    <n v="1"/>
    <n v="2"/>
    <s v="FIFA World Cup qualification"/>
    <s v="Guwahati"/>
    <s v="India"/>
    <b v="0"/>
    <n v="2019"/>
    <n v="2835606256558"/>
    <n v="88060858257"/>
    <x v="0"/>
    <n v="-1"/>
    <x v="0"/>
  </r>
  <r>
    <x v="5461"/>
    <x v="1726"/>
    <x v="50"/>
    <s v="Qatar"/>
    <s v="Afghanistan"/>
    <n v="6"/>
    <n v="0"/>
    <s v="FIFA World Cup qualification"/>
    <s v="Doha"/>
    <s v="Qatar"/>
    <b v="0"/>
    <n v="2019"/>
    <n v="176371428571"/>
    <n v="18799444490"/>
    <x v="0"/>
    <n v="1"/>
    <x v="2"/>
  </r>
  <r>
    <x v="5462"/>
    <x v="1726"/>
    <x v="50"/>
    <s v="Mongolia"/>
    <s v="Myanmar"/>
    <n v="1"/>
    <n v="0"/>
    <s v="FIFA World Cup qualification"/>
    <s v="Ulaanbaatar"/>
    <s v="Mongolia"/>
    <b v="0"/>
    <n v="2019"/>
    <n v="14206359017"/>
    <n v="75065106243"/>
    <x v="0"/>
    <n v="-1"/>
    <x v="0"/>
  </r>
  <r>
    <x v="5463"/>
    <x v="1726"/>
    <x v="50"/>
    <s v="Thailand"/>
    <s v="Vietnam"/>
    <n v="0"/>
    <n v="0"/>
    <s v="FIFA World Cup qualification"/>
    <s v="Pathum Thani"/>
    <s v="Thailand"/>
    <b v="0"/>
    <n v="2019"/>
    <n v="543976691793"/>
    <n v="334365270496"/>
    <x v="1"/>
    <n v="0"/>
    <x v="1"/>
  </r>
  <r>
    <x v="5464"/>
    <x v="1726"/>
    <x v="50"/>
    <s v="Indonesia"/>
    <s v="Malaysia"/>
    <n v="2"/>
    <n v="3"/>
    <s v="FIFA World Cup qualification"/>
    <s v="Jakarta"/>
    <s v="Indonesia"/>
    <b v="0"/>
    <n v="2019"/>
    <n v="1119099871350"/>
    <n v="365177721021"/>
    <x v="0"/>
    <n v="-1"/>
    <x v="0"/>
  </r>
  <r>
    <x v="5465"/>
    <x v="1726"/>
    <x v="50"/>
    <s v="Sri Lanka"/>
    <s v="Turkmenistan"/>
    <n v="0"/>
    <n v="2"/>
    <s v="FIFA World Cup qualification"/>
    <s v="Colombo"/>
    <s v="Sri Lanka"/>
    <b v="0"/>
    <n v="2019"/>
    <n v="88998706296"/>
    <n v="40810067974"/>
    <x v="0"/>
    <n v="-1"/>
    <x v="0"/>
  </r>
  <r>
    <x v="5466"/>
    <x v="1726"/>
    <x v="50"/>
    <s v="Chad"/>
    <s v="Sudan"/>
    <n v="1"/>
    <n v="3"/>
    <s v="FIFA World Cup qualification"/>
    <s v="N'Djamena"/>
    <s v="Chad"/>
    <b v="0"/>
    <n v="2019"/>
    <n v="14905517742"/>
    <n v="32338079165"/>
    <x v="0"/>
    <n v="1"/>
    <x v="2"/>
  </r>
  <r>
    <x v="5467"/>
    <x v="1726"/>
    <x v="50"/>
    <s v="Seychelles"/>
    <s v="Rwanda"/>
    <n v="0"/>
    <n v="3"/>
    <s v="FIFA World Cup qualification"/>
    <s v="Victoria"/>
    <s v="Seychelles"/>
    <b v="0"/>
    <n v="2019"/>
    <n v="1868690096"/>
    <n v="10349300276"/>
    <x v="0"/>
    <n v="1"/>
    <x v="2"/>
  </r>
  <r>
    <x v="5468"/>
    <x v="1727"/>
    <x v="50"/>
    <s v="Comoros"/>
    <s v="Togo"/>
    <n v="1"/>
    <n v="1"/>
    <s v="FIFA World Cup qualification"/>
    <s v="Moroni"/>
    <s v="Comoros"/>
    <b v="0"/>
    <n v="2019"/>
    <n v="1187915408"/>
    <n v="6992654019"/>
    <x v="0"/>
    <n v="0"/>
    <x v="1"/>
  </r>
  <r>
    <x v="5469"/>
    <x v="1728"/>
    <x v="50"/>
    <s v="Botswana"/>
    <s v="Malawi"/>
    <n v="0"/>
    <n v="0"/>
    <s v="FIFA World Cup qualification"/>
    <s v="Francistown"/>
    <s v="Botswana"/>
    <b v="0"/>
    <n v="2019"/>
    <n v="16725908148"/>
    <n v="11051852712"/>
    <x v="1"/>
    <n v="0"/>
    <x v="1"/>
  </r>
  <r>
    <x v="5470"/>
    <x v="1729"/>
    <x v="50"/>
    <s v="Lesotho"/>
    <s v="Ethiopia"/>
    <n v="1"/>
    <n v="1"/>
    <s v="FIFA World Cup qualification"/>
    <s v="Maseru"/>
    <s v="Lesotho"/>
    <b v="0"/>
    <n v="2019"/>
    <n v="2390702295"/>
    <n v="91834517112"/>
    <x v="0"/>
    <n v="0"/>
    <x v="1"/>
  </r>
  <r>
    <x v="5471"/>
    <x v="1729"/>
    <x v="50"/>
    <s v="Sierra Leone"/>
    <s v="Liberia"/>
    <n v="1"/>
    <n v="0"/>
    <s v="FIFA World Cup qualification"/>
    <s v="Freetown"/>
    <s v="Sierra Leone"/>
    <b v="0"/>
    <n v="2019"/>
    <n v="6523577594"/>
    <n v="3319596500"/>
    <x v="1"/>
    <n v="1"/>
    <x v="2"/>
  </r>
  <r>
    <x v="5472"/>
    <x v="1729"/>
    <x v="50"/>
    <s v="Tanzania"/>
    <s v="Burundi"/>
    <n v="1"/>
    <n v="1"/>
    <s v="FIFA World Cup qualification"/>
    <s v="Dar es Salaam"/>
    <s v="Tanzania"/>
    <b v="0"/>
    <n v="2019"/>
    <n v="61026731925"/>
    <n v="2871555326"/>
    <x v="0"/>
    <n v="0"/>
    <x v="1"/>
  </r>
  <r>
    <x v="5473"/>
    <x v="1730"/>
    <x v="50"/>
    <s v="Guam"/>
    <s v="Philippines"/>
    <n v="1"/>
    <n v="4"/>
    <s v="FIFA World Cup qualification"/>
    <s v="Dededo"/>
    <s v="Guam"/>
    <b v="0"/>
    <n v="2019"/>
    <n v="6355000000"/>
    <n v="376823402239"/>
    <x v="0"/>
    <n v="1"/>
    <x v="2"/>
  </r>
  <r>
    <x v="5474"/>
    <x v="1730"/>
    <x v="50"/>
    <s v="Kuwait"/>
    <s v="Australia"/>
    <n v="0"/>
    <n v="3"/>
    <s v="FIFA World Cup qualification"/>
    <s v="Kuwait City"/>
    <s v="Kuwait"/>
    <b v="0"/>
    <n v="2019"/>
    <n v="140856394860"/>
    <n v="1398349602956"/>
    <x v="0"/>
    <n v="1"/>
    <x v="2"/>
  </r>
  <r>
    <x v="5475"/>
    <x v="1730"/>
    <x v="50"/>
    <s v="Cambodia"/>
    <s v="Bahrain"/>
    <n v="0"/>
    <n v="1"/>
    <s v="FIFA World Cup qualification"/>
    <s v="Phnom Penh"/>
    <s v="Cambodia"/>
    <b v="0"/>
    <n v="2019"/>
    <n v="36685356407"/>
    <n v="40446808510"/>
    <x v="1"/>
    <n v="1"/>
    <x v="2"/>
  </r>
  <r>
    <x v="5476"/>
    <x v="1730"/>
    <x v="50"/>
    <s v="Afghanistan"/>
    <s v="Bangladesh"/>
    <n v="1"/>
    <n v="0"/>
    <s v="FIFA World Cup qualification"/>
    <s v="Dushanbe"/>
    <s v="Tajikistan"/>
    <b v="1"/>
    <n v="2019"/>
    <n v="18799444490"/>
    <n v="351231654603"/>
    <x v="0"/>
    <n v="-1"/>
    <x v="0"/>
  </r>
  <r>
    <x v="5477"/>
    <x v="1730"/>
    <x v="50"/>
    <s v="Qatar"/>
    <s v="India"/>
    <n v="0"/>
    <n v="0"/>
    <s v="FIFA World Cup qualification"/>
    <s v="Doha"/>
    <s v="Qatar"/>
    <b v="0"/>
    <n v="2019"/>
    <n v="176371428571"/>
    <n v="2835606256558"/>
    <x v="0"/>
    <n v="0"/>
    <x v="1"/>
  </r>
  <r>
    <x v="5478"/>
    <x v="1730"/>
    <x v="50"/>
    <s v="Mongolia"/>
    <s v="Tajikistan"/>
    <n v="0"/>
    <n v="1"/>
    <s v="FIFA World Cup qualification"/>
    <s v="Ulaanbaatar"/>
    <s v="Mongolia"/>
    <b v="0"/>
    <n v="2019"/>
    <n v="14206359017"/>
    <n v="8300813599"/>
    <x v="1"/>
    <n v="-1"/>
    <x v="0"/>
  </r>
  <r>
    <x v="5479"/>
    <x v="1730"/>
    <x v="50"/>
    <s v="Myanmar"/>
    <s v="Japan"/>
    <n v="0"/>
    <n v="2"/>
    <s v="FIFA World Cup qualification"/>
    <s v="Yangon"/>
    <s v="Myanmar"/>
    <b v="0"/>
    <n v="2019"/>
    <n v="75065106243"/>
    <n v="5117993853016"/>
    <x v="0"/>
    <n v="1"/>
    <x v="2"/>
  </r>
  <r>
    <x v="5480"/>
    <x v="1730"/>
    <x v="50"/>
    <s v="Indonesia"/>
    <s v="Thailand"/>
    <n v="0"/>
    <n v="3"/>
    <s v="FIFA World Cup qualification"/>
    <s v="Jakarta"/>
    <s v="Indonesia"/>
    <b v="0"/>
    <n v="2019"/>
    <n v="1119099871350"/>
    <n v="543976691793"/>
    <x v="0"/>
    <n v="-1"/>
    <x v="0"/>
  </r>
  <r>
    <x v="5481"/>
    <x v="1730"/>
    <x v="50"/>
    <s v="Malaysia"/>
    <s v="United Arab Emirates"/>
    <n v="1"/>
    <n v="2"/>
    <s v="FIFA World Cup qualification"/>
    <s v="Kuala Lumpur"/>
    <s v="Malaysia"/>
    <b v="0"/>
    <n v="2019"/>
    <n v="365177721021"/>
    <n v="433926208304"/>
    <x v="1"/>
    <n v="1"/>
    <x v="2"/>
  </r>
  <r>
    <x v="5482"/>
    <x v="1730"/>
    <x v="50"/>
    <s v="Turkmenistan"/>
    <s v="South Korea"/>
    <n v="0"/>
    <n v="2"/>
    <s v="FIFA World Cup qualification"/>
    <s v="Ashgabat"/>
    <s v="Turkmenistan"/>
    <b v="0"/>
    <n v="2019"/>
    <n v="40810067974"/>
    <n v="1751045752054"/>
    <x v="0"/>
    <n v="1"/>
    <x v="2"/>
  </r>
  <r>
    <x v="5483"/>
    <x v="1730"/>
    <x v="50"/>
    <s v="Malawi"/>
    <s v="Botswana"/>
    <n v="1"/>
    <n v="0"/>
    <s v="FIFA World Cup qualification"/>
    <s v="Blantyre"/>
    <s v="Malawi"/>
    <b v="0"/>
    <n v="2019"/>
    <n v="11051852712"/>
    <n v="16725908148"/>
    <x v="1"/>
    <n v="-1"/>
    <x v="0"/>
  </r>
  <r>
    <x v="5484"/>
    <x v="1730"/>
    <x v="50"/>
    <s v="Mozambique"/>
    <s v="Mauritius"/>
    <n v="2"/>
    <n v="0"/>
    <s v="FIFA World Cup qualification"/>
    <s v="Maputo"/>
    <s v="Mozambique"/>
    <b v="0"/>
    <n v="2019"/>
    <n v="15512759046"/>
    <n v="14645235204"/>
    <x v="1"/>
    <n v="1"/>
    <x v="2"/>
  </r>
  <r>
    <x v="5485"/>
    <x v="1730"/>
    <x v="50"/>
    <s v="Rwanda"/>
    <s v="Seychelles"/>
    <n v="7"/>
    <n v="0"/>
    <s v="FIFA World Cup qualification"/>
    <s v="Kigali"/>
    <s v="Rwanda"/>
    <b v="0"/>
    <n v="2019"/>
    <n v="10349300276"/>
    <n v="1868690096"/>
    <x v="0"/>
    <n v="1"/>
    <x v="2"/>
  </r>
  <r>
    <x v="5486"/>
    <x v="1730"/>
    <x v="50"/>
    <s v="Sudan"/>
    <s v="Chad"/>
    <n v="0"/>
    <n v="0"/>
    <s v="FIFA World Cup qualification"/>
    <s v="Omdurman"/>
    <s v="Sudan"/>
    <b v="0"/>
    <n v="2019"/>
    <n v="32338079165"/>
    <n v="14905517742"/>
    <x v="0"/>
    <n v="0"/>
    <x v="1"/>
  </r>
  <r>
    <x v="5487"/>
    <x v="1730"/>
    <x v="50"/>
    <s v="Eswatini"/>
    <s v="Djibouti"/>
    <n v="0"/>
    <n v="0"/>
    <s v="FIFA World Cup qualification"/>
    <s v="Manzini"/>
    <s v="Eswatini"/>
    <b v="0"/>
    <n v="2019"/>
    <n v="4617018958"/>
    <n v="3088851450"/>
    <x v="1"/>
    <n v="0"/>
    <x v="1"/>
  </r>
  <r>
    <x v="5488"/>
    <x v="1730"/>
    <x v="50"/>
    <s v="Togo"/>
    <s v="Comoros"/>
    <n v="2"/>
    <n v="0"/>
    <s v="FIFA World Cup qualification"/>
    <s v="Lom√©"/>
    <s v="Togo"/>
    <b v="0"/>
    <n v="2019"/>
    <n v="6992654019"/>
    <n v="1187915408"/>
    <x v="0"/>
    <n v="1"/>
    <x v="2"/>
  </r>
  <r>
    <x v="5489"/>
    <x v="1731"/>
    <x v="50"/>
    <s v="Syria"/>
    <s v="Maldives"/>
    <n v="2"/>
    <n v="1"/>
    <s v="FIFA World Cup qualification"/>
    <s v="Dubai"/>
    <s v="United Arab Emirates"/>
    <b v="1"/>
    <n v="2019"/>
    <n v="22583045060"/>
    <n v="5726094799"/>
    <x v="0"/>
    <n v="1"/>
    <x v="2"/>
  </r>
  <r>
    <x v="5490"/>
    <x v="1731"/>
    <x v="50"/>
    <s v="Jordan"/>
    <s v="Kuwait"/>
    <n v="0"/>
    <n v="0"/>
    <s v="FIFA World Cup qualification"/>
    <s v="Amman"/>
    <s v="Jordan"/>
    <b v="0"/>
    <n v="2019"/>
    <n v="44503006338"/>
    <n v="140856394860"/>
    <x v="0"/>
    <n v="0"/>
    <x v="1"/>
  </r>
  <r>
    <x v="5491"/>
    <x v="1731"/>
    <x v="50"/>
    <s v="Australia"/>
    <s v="Nepal"/>
    <n v="5"/>
    <n v="0"/>
    <s v="FIFA World Cup qualification"/>
    <s v="Canberra"/>
    <s v="Australia"/>
    <b v="0"/>
    <n v="2019"/>
    <n v="1398349602956"/>
    <n v="34186180699"/>
    <x v="0"/>
    <n v="1"/>
    <x v="2"/>
  </r>
  <r>
    <x v="5492"/>
    <x v="1731"/>
    <x v="50"/>
    <s v="Iran"/>
    <s v="Cambodia"/>
    <n v="14"/>
    <n v="0"/>
    <s v="FIFA World Cup qualification"/>
    <s v="Tehran"/>
    <s v="Iran"/>
    <b v="0"/>
    <n v="2019"/>
    <n v="347988400957"/>
    <n v="36685356407"/>
    <x v="0"/>
    <n v="1"/>
    <x v="2"/>
  </r>
  <r>
    <x v="5493"/>
    <x v="1731"/>
    <x v="50"/>
    <s v="Saudi Arabia"/>
    <s v="Singapore"/>
    <n v="3"/>
    <n v="0"/>
    <s v="FIFA World Cup qualification"/>
    <s v="Buraidah"/>
    <s v="Saudi Arabia"/>
    <b v="0"/>
    <n v="2019"/>
    <n v="888890133333"/>
    <n v="376161998830"/>
    <x v="0"/>
    <n v="1"/>
    <x v="2"/>
  </r>
  <r>
    <x v="5494"/>
    <x v="1731"/>
    <x v="50"/>
    <s v="Bangladesh"/>
    <s v="Qatar"/>
    <n v="0"/>
    <n v="2"/>
    <s v="FIFA World Cup qualification"/>
    <s v="Dhaka"/>
    <s v="Bangladesh"/>
    <b v="0"/>
    <n v="2019"/>
    <n v="351231654603"/>
    <n v="176371428571"/>
    <x v="1"/>
    <n v="-1"/>
    <x v="0"/>
  </r>
  <r>
    <x v="5495"/>
    <x v="1731"/>
    <x v="50"/>
    <s v="Oman"/>
    <s v="Afghanistan"/>
    <n v="3"/>
    <n v="0"/>
    <s v="FIFA World Cup qualification"/>
    <s v="Seeb"/>
    <s v="Oman"/>
    <b v="0"/>
    <n v="2019"/>
    <n v="88060858257"/>
    <n v="18799444490"/>
    <x v="0"/>
    <n v="1"/>
    <x v="2"/>
  </r>
  <r>
    <x v="5496"/>
    <x v="1731"/>
    <x v="50"/>
    <s v="Japan"/>
    <s v="Mongolia"/>
    <n v="6"/>
    <n v="0"/>
    <s v="FIFA World Cup qualification"/>
    <s v="Saitama"/>
    <s v="Japan"/>
    <b v="0"/>
    <n v="2019"/>
    <n v="5117993853016"/>
    <n v="14206359017"/>
    <x v="0"/>
    <n v="1"/>
    <x v="2"/>
  </r>
  <r>
    <x v="5497"/>
    <x v="1731"/>
    <x v="50"/>
    <s v="United Arab Emirates"/>
    <s v="Indonesia"/>
    <n v="5"/>
    <n v="0"/>
    <s v="FIFA World Cup qualification"/>
    <s v="Dubai"/>
    <s v="United Arab Emirates"/>
    <b v="0"/>
    <n v="2019"/>
    <n v="433926208304"/>
    <n v="1119099871350"/>
    <x v="0"/>
    <n v="-1"/>
    <x v="0"/>
  </r>
  <r>
    <x v="5498"/>
    <x v="1731"/>
    <x v="50"/>
    <s v="Vietnam"/>
    <s v="Malaysia"/>
    <n v="1"/>
    <n v="0"/>
    <s v="FIFA World Cup qualification"/>
    <s v="Hanoi"/>
    <s v="Vietnam"/>
    <b v="0"/>
    <n v="2019"/>
    <n v="334365270496"/>
    <n v="365177721021"/>
    <x v="1"/>
    <n v="-1"/>
    <x v="0"/>
  </r>
  <r>
    <x v="5499"/>
    <x v="1731"/>
    <x v="50"/>
    <s v="Lebanon"/>
    <s v="Turkmenistan"/>
    <n v="2"/>
    <n v="1"/>
    <s v="FIFA World Cup qualification"/>
    <s v="Beirut"/>
    <s v="Lebanon"/>
    <b v="0"/>
    <n v="2019"/>
    <n v="51605959131"/>
    <n v="40810067974"/>
    <x v="1"/>
    <n v="1"/>
    <x v="2"/>
  </r>
  <r>
    <x v="5500"/>
    <x v="1731"/>
    <x v="50"/>
    <s v="South Korea"/>
    <s v="Sri Lanka"/>
    <n v="8"/>
    <n v="0"/>
    <s v="FIFA World Cup qualification"/>
    <s v="Hwaseong"/>
    <s v="South Korea"/>
    <b v="0"/>
    <n v="2019"/>
    <n v="1751045752054"/>
    <n v="88998706296"/>
    <x v="0"/>
    <n v="1"/>
    <x v="2"/>
  </r>
  <r>
    <x v="5501"/>
    <x v="1732"/>
    <x v="50"/>
    <s v="Syria"/>
    <s v="Guam"/>
    <n v="4"/>
    <n v="0"/>
    <s v="FIFA World Cup qualification"/>
    <s v="Dubai"/>
    <s v="United Arab Emirates"/>
    <b v="1"/>
    <n v="2019"/>
    <n v="22583045060"/>
    <n v="6355000000"/>
    <x v="0"/>
    <n v="1"/>
    <x v="2"/>
  </r>
  <r>
    <x v="5502"/>
    <x v="1732"/>
    <x v="50"/>
    <s v="Jordan"/>
    <s v="Nepal"/>
    <n v="3"/>
    <n v="0"/>
    <s v="FIFA World Cup qualification"/>
    <s v="Amman"/>
    <s v="Jordan"/>
    <b v="0"/>
    <n v="2019"/>
    <n v="44503006338"/>
    <n v="34186180699"/>
    <x v="1"/>
    <n v="1"/>
    <x v="2"/>
  </r>
  <r>
    <x v="5503"/>
    <x v="1732"/>
    <x v="50"/>
    <s v="Cambodia"/>
    <s v="Iraq"/>
    <n v="0"/>
    <n v="4"/>
    <s v="FIFA World Cup qualification"/>
    <s v="Phnom Penh"/>
    <s v="Cambodia"/>
    <b v="0"/>
    <n v="2019"/>
    <n v="36685356407"/>
    <n v="233636097800"/>
    <x v="0"/>
    <n v="1"/>
    <x v="2"/>
  </r>
  <r>
    <x v="5504"/>
    <x v="1732"/>
    <x v="50"/>
    <s v="Bahrain"/>
    <s v="Iran"/>
    <n v="1"/>
    <n v="0"/>
    <s v="FIFA World Cup qualification"/>
    <s v="Riffa"/>
    <s v="Bahrain"/>
    <b v="0"/>
    <n v="2019"/>
    <n v="40446808510"/>
    <n v="347988400957"/>
    <x v="0"/>
    <n v="-1"/>
    <x v="0"/>
  </r>
  <r>
    <x v="5505"/>
    <x v="1732"/>
    <x v="50"/>
    <s v="Singapore"/>
    <s v="Uzbekistan"/>
    <n v="1"/>
    <n v="3"/>
    <s v="FIFA World Cup qualification"/>
    <s v="Kallang"/>
    <s v="Singapore"/>
    <b v="0"/>
    <n v="2019"/>
    <n v="376161998830"/>
    <n v="67293639798"/>
    <x v="0"/>
    <n v="-1"/>
    <x v="0"/>
  </r>
  <r>
    <x v="5506"/>
    <x v="1732"/>
    <x v="50"/>
    <s v="India"/>
    <s v="Bangladesh"/>
    <n v="1"/>
    <n v="1"/>
    <s v="FIFA World Cup qualification"/>
    <s v="Kolkota"/>
    <s v="India"/>
    <b v="0"/>
    <n v="2019"/>
    <n v="2835606256558"/>
    <n v="351231654603"/>
    <x v="0"/>
    <n v="0"/>
    <x v="1"/>
  </r>
  <r>
    <x v="5507"/>
    <x v="1732"/>
    <x v="50"/>
    <s v="Qatar"/>
    <s v="Oman"/>
    <n v="2"/>
    <n v="1"/>
    <s v="FIFA World Cup qualification"/>
    <s v="Al Wakrah"/>
    <s v="Qatar"/>
    <b v="0"/>
    <n v="2019"/>
    <n v="176371428571"/>
    <n v="88060858257"/>
    <x v="0"/>
    <n v="1"/>
    <x v="2"/>
  </r>
  <r>
    <x v="5508"/>
    <x v="1732"/>
    <x v="50"/>
    <s v="Tajikistan"/>
    <s v="Japan"/>
    <n v="0"/>
    <n v="3"/>
    <s v="FIFA World Cup qualification"/>
    <s v="Dushanbe"/>
    <s v="Tajikistan"/>
    <b v="0"/>
    <n v="2019"/>
    <n v="8300813599"/>
    <n v="5117993853016"/>
    <x v="0"/>
    <n v="1"/>
    <x v="2"/>
  </r>
  <r>
    <x v="5509"/>
    <x v="1732"/>
    <x v="50"/>
    <s v="Thailand"/>
    <s v="United Arab Emirates"/>
    <n v="2"/>
    <n v="1"/>
    <s v="FIFA World Cup qualification"/>
    <s v="Pathum Thani"/>
    <s v="Thailand"/>
    <b v="0"/>
    <n v="2019"/>
    <n v="543976691793"/>
    <n v="433926208304"/>
    <x v="1"/>
    <n v="1"/>
    <x v="2"/>
  </r>
  <r>
    <x v="5510"/>
    <x v="1732"/>
    <x v="50"/>
    <s v="Indonesia"/>
    <s v="Vietnam"/>
    <n v="1"/>
    <n v="3"/>
    <s v="FIFA World Cup qualification"/>
    <s v="Gianyar"/>
    <s v="Indonesia"/>
    <b v="0"/>
    <n v="2019"/>
    <n v="1119099871350"/>
    <n v="334365270496"/>
    <x v="0"/>
    <n v="-1"/>
    <x v="0"/>
  </r>
  <r>
    <x v="5511"/>
    <x v="1732"/>
    <x v="50"/>
    <s v="Sri Lanka"/>
    <s v="Lebanon"/>
    <n v="0"/>
    <n v="3"/>
    <s v="FIFA World Cup qualification"/>
    <s v="Colombo"/>
    <s v="Sri Lanka"/>
    <b v="0"/>
    <n v="2019"/>
    <n v="88998706296"/>
    <n v="51605959131"/>
    <x v="1"/>
    <n v="-1"/>
    <x v="0"/>
  </r>
  <r>
    <x v="5512"/>
    <x v="1733"/>
    <x v="50"/>
    <s v="Maldives"/>
    <s v="Philippines"/>
    <n v="1"/>
    <n v="2"/>
    <s v="FIFA World Cup qualification"/>
    <s v="Mal√©"/>
    <s v="Maldives"/>
    <b v="0"/>
    <n v="2019"/>
    <n v="5726094799"/>
    <n v="376823402239"/>
    <x v="0"/>
    <n v="1"/>
    <x v="2"/>
  </r>
  <r>
    <x v="5513"/>
    <x v="1733"/>
    <x v="50"/>
    <s v="Jordan"/>
    <s v="Australia"/>
    <n v="0"/>
    <n v="1"/>
    <s v="FIFA World Cup qualification"/>
    <s v="Amman"/>
    <s v="Jordan"/>
    <b v="0"/>
    <n v="2019"/>
    <n v="44503006338"/>
    <n v="1398349602956"/>
    <x v="0"/>
    <n v="1"/>
    <x v="2"/>
  </r>
  <r>
    <x v="5514"/>
    <x v="1733"/>
    <x v="50"/>
    <s v="Iraq"/>
    <s v="Iran"/>
    <n v="2"/>
    <n v="1"/>
    <s v="FIFA World Cup qualification"/>
    <s v="Amman"/>
    <s v="Jordan"/>
    <b v="1"/>
    <n v="2019"/>
    <n v="233636097800"/>
    <n v="347988400957"/>
    <x v="1"/>
    <n v="-1"/>
    <x v="0"/>
  </r>
  <r>
    <x v="5515"/>
    <x v="1733"/>
    <x v="50"/>
    <s v="Uzbekistan"/>
    <s v="Saudi Arabia"/>
    <n v="2"/>
    <n v="3"/>
    <s v="FIFA World Cup qualification"/>
    <s v="Tashkent"/>
    <s v="Uzbekistan"/>
    <b v="0"/>
    <n v="2019"/>
    <n v="67293639798"/>
    <n v="888890133333"/>
    <x v="0"/>
    <n v="1"/>
    <x v="2"/>
  </r>
  <r>
    <x v="5516"/>
    <x v="1733"/>
    <x v="50"/>
    <s v="Afghanistan"/>
    <s v="India"/>
    <n v="1"/>
    <n v="1"/>
    <s v="FIFA World Cup qualification"/>
    <s v="Dushanbe"/>
    <s v="Tajikistan"/>
    <b v="1"/>
    <n v="2019"/>
    <n v="18799444490"/>
    <n v="2835606256558"/>
    <x v="0"/>
    <n v="0"/>
    <x v="1"/>
  </r>
  <r>
    <x v="5517"/>
    <x v="1733"/>
    <x v="50"/>
    <s v="Oman"/>
    <s v="Bangladesh"/>
    <n v="4"/>
    <n v="1"/>
    <s v="FIFA World Cup qualification"/>
    <s v="Muscat"/>
    <s v="Oman"/>
    <b v="0"/>
    <n v="2019"/>
    <n v="88060858257"/>
    <n v="351231654603"/>
    <x v="0"/>
    <n v="-1"/>
    <x v="0"/>
  </r>
  <r>
    <x v="5518"/>
    <x v="1733"/>
    <x v="50"/>
    <s v="Myanmar"/>
    <s v="Tajikistan"/>
    <n v="4"/>
    <n v="3"/>
    <s v="FIFA World Cup qualification"/>
    <s v="Mandalay"/>
    <s v="Myanmar"/>
    <b v="0"/>
    <n v="2019"/>
    <n v="75065106243"/>
    <n v="8300813599"/>
    <x v="0"/>
    <n v="1"/>
    <x v="2"/>
  </r>
  <r>
    <x v="5519"/>
    <x v="1733"/>
    <x v="50"/>
    <s v="Vietnam"/>
    <s v="United Arab Emirates"/>
    <n v="1"/>
    <n v="0"/>
    <s v="FIFA World Cup qualification"/>
    <s v="Hanoi"/>
    <s v="Vietnam"/>
    <b v="0"/>
    <n v="2019"/>
    <n v="334365270496"/>
    <n v="433926208304"/>
    <x v="1"/>
    <n v="-1"/>
    <x v="0"/>
  </r>
  <r>
    <x v="5520"/>
    <x v="1733"/>
    <x v="50"/>
    <s v="Malaysia"/>
    <s v="Thailand"/>
    <n v="2"/>
    <n v="1"/>
    <s v="FIFA World Cup qualification"/>
    <s v="Kuala Lumpur"/>
    <s v="Malaysia"/>
    <b v="0"/>
    <n v="2019"/>
    <n v="365177721021"/>
    <n v="543976691793"/>
    <x v="1"/>
    <n v="-1"/>
    <x v="0"/>
  </r>
  <r>
    <x v="5521"/>
    <x v="1733"/>
    <x v="50"/>
    <s v="Lebanon"/>
    <s v="South Korea"/>
    <n v="0"/>
    <n v="0"/>
    <s v="FIFA World Cup qualification"/>
    <s v="Beirut"/>
    <s v="Lebanon"/>
    <b v="0"/>
    <n v="2019"/>
    <n v="51605959131"/>
    <n v="1751045752054"/>
    <x v="0"/>
    <n v="0"/>
    <x v="1"/>
  </r>
  <r>
    <x v="5522"/>
    <x v="1734"/>
    <x v="50"/>
    <s v="Maldives"/>
    <s v="Guam"/>
    <n v="3"/>
    <n v="1"/>
    <s v="FIFA World Cup qualification"/>
    <s v="Mal√©"/>
    <s v="Maldives"/>
    <b v="0"/>
    <n v="2019"/>
    <n v="5726094799"/>
    <n v="6355000000"/>
    <x v="1"/>
    <n v="-1"/>
    <x v="0"/>
  </r>
  <r>
    <x v="5523"/>
    <x v="1734"/>
    <x v="50"/>
    <s v="Syria"/>
    <s v="Philippines"/>
    <n v="1"/>
    <n v="0"/>
    <s v="FIFA World Cup qualification"/>
    <s v="Dubai"/>
    <s v="United Arab Emirates"/>
    <b v="1"/>
    <n v="2019"/>
    <n v="22583045060"/>
    <n v="376823402239"/>
    <x v="0"/>
    <n v="-1"/>
    <x v="0"/>
  </r>
  <r>
    <x v="5524"/>
    <x v="1734"/>
    <x v="50"/>
    <s v="Nepal"/>
    <s v="Kuwait"/>
    <n v="0"/>
    <n v="1"/>
    <s v="FIFA World Cup qualification"/>
    <s v="Thimphu"/>
    <s v="Bhutan"/>
    <b v="1"/>
    <n v="2019"/>
    <n v="34186180699"/>
    <n v="140856394860"/>
    <x v="0"/>
    <n v="1"/>
    <x v="2"/>
  </r>
  <r>
    <x v="5525"/>
    <x v="1734"/>
    <x v="50"/>
    <s v="Iraq"/>
    <s v="Bahrain"/>
    <n v="0"/>
    <n v="0"/>
    <s v="FIFA World Cup qualification"/>
    <s v="Amman"/>
    <s v="Jordan"/>
    <b v="1"/>
    <n v="2019"/>
    <n v="233636097800"/>
    <n v="40446808510"/>
    <x v="0"/>
    <n v="0"/>
    <x v="1"/>
  </r>
  <r>
    <x v="5526"/>
    <x v="1734"/>
    <x v="50"/>
    <s v="Afghanistan"/>
    <s v="Qatar"/>
    <n v="0"/>
    <n v="1"/>
    <s v="FIFA World Cup qualification"/>
    <s v="Dushanbe"/>
    <s v="Tajikistan"/>
    <b v="1"/>
    <n v="2019"/>
    <n v="18799444490"/>
    <n v="176371428571"/>
    <x v="0"/>
    <n v="1"/>
    <x v="2"/>
  </r>
  <r>
    <x v="5527"/>
    <x v="1734"/>
    <x v="50"/>
    <s v="Oman"/>
    <s v="India"/>
    <n v="1"/>
    <n v="0"/>
    <s v="FIFA World Cup qualification"/>
    <s v="Muscat"/>
    <s v="Oman"/>
    <b v="0"/>
    <n v="2019"/>
    <n v="88060858257"/>
    <n v="2835606256558"/>
    <x v="0"/>
    <n v="-1"/>
    <x v="0"/>
  </r>
  <r>
    <x v="5528"/>
    <x v="1734"/>
    <x v="50"/>
    <s v="Myanmar"/>
    <s v="Mongolia"/>
    <n v="1"/>
    <n v="0"/>
    <s v="FIFA World Cup qualification"/>
    <s v="Mandalay"/>
    <s v="Myanmar"/>
    <b v="0"/>
    <n v="2019"/>
    <n v="75065106243"/>
    <n v="14206359017"/>
    <x v="0"/>
    <n v="1"/>
    <x v="2"/>
  </r>
  <r>
    <x v="5529"/>
    <x v="1734"/>
    <x v="50"/>
    <s v="Vietnam"/>
    <s v="Thailand"/>
    <n v="0"/>
    <n v="0"/>
    <s v="FIFA World Cup qualification"/>
    <s v="Hanoi"/>
    <s v="Vietnam"/>
    <b v="0"/>
    <n v="2019"/>
    <n v="334365270496"/>
    <n v="543976691793"/>
    <x v="1"/>
    <n v="0"/>
    <x v="1"/>
  </r>
  <r>
    <x v="5530"/>
    <x v="1734"/>
    <x v="50"/>
    <s v="Malaysia"/>
    <s v="Indonesia"/>
    <n v="2"/>
    <n v="0"/>
    <s v="FIFA World Cup qualification"/>
    <s v="Kuala Lumpur"/>
    <s v="Malaysia"/>
    <b v="0"/>
    <n v="2019"/>
    <n v="365177721021"/>
    <n v="1119099871350"/>
    <x v="0"/>
    <n v="-1"/>
    <x v="0"/>
  </r>
  <r>
    <x v="5531"/>
    <x v="1734"/>
    <x v="50"/>
    <s v="Turkmenistan"/>
    <s v="Sri Lanka"/>
    <n v="2"/>
    <n v="0"/>
    <s v="FIFA World Cup qualification"/>
    <s v="Ashgabat"/>
    <s v="Turkmenistan"/>
    <b v="0"/>
    <n v="2019"/>
    <n v="40810067974"/>
    <n v="88998706296"/>
    <x v="0"/>
    <n v="-1"/>
    <x v="0"/>
  </r>
  <r>
    <x v="5532"/>
    <x v="1735"/>
    <x v="51"/>
    <s v="Paraguay"/>
    <s v="Peru"/>
    <n v="2"/>
    <n v="2"/>
    <s v="FIFA World Cup qualification"/>
    <s v="Asunci√≥n"/>
    <s v="Paraguay"/>
    <b v="0"/>
    <n v="2020"/>
    <n v="35432178068"/>
    <n v="201409694755"/>
    <x v="0"/>
    <n v="0"/>
    <x v="1"/>
  </r>
  <r>
    <x v="5533"/>
    <x v="1735"/>
    <x v="51"/>
    <s v="Uruguay"/>
    <s v="Chile"/>
    <n v="2"/>
    <n v="1"/>
    <s v="FIFA World Cup qualification"/>
    <s v="Montevideo"/>
    <s v="Uruguay"/>
    <b v="0"/>
    <n v="2020"/>
    <n v="53559359261"/>
    <n v="254042159309"/>
    <x v="0"/>
    <n v="-1"/>
    <x v="0"/>
  </r>
  <r>
    <x v="5534"/>
    <x v="1735"/>
    <x v="51"/>
    <s v="Argentina"/>
    <s v="Ecuador"/>
    <n v="1"/>
    <n v="0"/>
    <s v="FIFA World Cup qualification"/>
    <s v="Buenos Aires"/>
    <s v="Argentina"/>
    <b v="0"/>
    <n v="2020"/>
    <n v="385740508436"/>
    <n v="95865473000"/>
    <x v="0"/>
    <n v="1"/>
    <x v="2"/>
  </r>
  <r>
    <x v="5535"/>
    <x v="1736"/>
    <x v="51"/>
    <s v="Colombia"/>
    <s v="Venezuela"/>
    <n v="3"/>
    <n v="0"/>
    <s v="FIFA World Cup qualification"/>
    <s v="Barranquilla"/>
    <s v="Colombia"/>
    <b v="0"/>
    <n v="2020"/>
    <n v="270348342541"/>
    <n v="42838020721"/>
    <x v="0"/>
    <n v="1"/>
    <x v="2"/>
  </r>
  <r>
    <x v="5536"/>
    <x v="1736"/>
    <x v="51"/>
    <s v="Brazil"/>
    <s v="Bolivia"/>
    <n v="5"/>
    <n v="0"/>
    <s v="FIFA World Cup qualification"/>
    <s v="S√£o Paulo"/>
    <s v="Brazil"/>
    <b v="0"/>
    <n v="2020"/>
    <n v="1476107292151"/>
    <n v="42313784081"/>
    <x v="0"/>
    <n v="1"/>
    <x v="2"/>
  </r>
  <r>
    <x v="5537"/>
    <x v="1737"/>
    <x v="51"/>
    <s v="Bolivia"/>
    <s v="Argentina"/>
    <n v="1"/>
    <n v="2"/>
    <s v="FIFA World Cup qualification"/>
    <s v="La Paz"/>
    <s v="Bolivia"/>
    <b v="0"/>
    <n v="2020"/>
    <n v="42313784081"/>
    <n v="385740508436"/>
    <x v="0"/>
    <n v="1"/>
    <x v="2"/>
  </r>
  <r>
    <x v="5538"/>
    <x v="1737"/>
    <x v="51"/>
    <s v="Ecuador"/>
    <s v="Uruguay"/>
    <n v="4"/>
    <n v="2"/>
    <s v="FIFA World Cup qualification"/>
    <s v="Quito"/>
    <s v="Ecuador"/>
    <b v="0"/>
    <n v="2020"/>
    <n v="95865473000"/>
    <n v="53559359261"/>
    <x v="1"/>
    <n v="1"/>
    <x v="2"/>
  </r>
  <r>
    <x v="5539"/>
    <x v="1737"/>
    <x v="51"/>
    <s v="Venezuela"/>
    <s v="Paraguay"/>
    <n v="0"/>
    <n v="1"/>
    <s v="FIFA World Cup qualification"/>
    <s v="M√©rida"/>
    <s v="Venezuela"/>
    <b v="0"/>
    <n v="2020"/>
    <n v="42838020721"/>
    <n v="35432178068"/>
    <x v="1"/>
    <n v="-1"/>
    <x v="0"/>
  </r>
  <r>
    <x v="5540"/>
    <x v="1737"/>
    <x v="51"/>
    <s v="Peru"/>
    <s v="Brazil"/>
    <n v="2"/>
    <n v="4"/>
    <s v="FIFA World Cup qualification"/>
    <s v="Lima"/>
    <s v="Peru"/>
    <b v="0"/>
    <n v="2020"/>
    <n v="201409694755"/>
    <n v="1476107292151"/>
    <x v="0"/>
    <n v="1"/>
    <x v="2"/>
  </r>
  <r>
    <x v="5541"/>
    <x v="1737"/>
    <x v="51"/>
    <s v="Chile"/>
    <s v="Colombia"/>
    <n v="2"/>
    <n v="2"/>
    <s v="FIFA World Cup qualification"/>
    <s v="Santiago"/>
    <s v="Chile"/>
    <b v="0"/>
    <n v="2020"/>
    <n v="254042159309"/>
    <n v="270348342541"/>
    <x v="1"/>
    <n v="0"/>
    <x v="1"/>
  </r>
  <r>
    <x v="5542"/>
    <x v="1738"/>
    <x v="51"/>
    <s v="Bolivia"/>
    <s v="Ecuador"/>
    <n v="2"/>
    <n v="3"/>
    <s v="FIFA World Cup qualification"/>
    <s v="La Paz"/>
    <s v="Bolivia"/>
    <b v="0"/>
    <n v="2020"/>
    <n v="42313784081"/>
    <n v="95865473000"/>
    <x v="0"/>
    <n v="1"/>
    <x v="2"/>
  </r>
  <r>
    <x v="5543"/>
    <x v="1738"/>
    <x v="51"/>
    <s v="Argentina"/>
    <s v="Paraguay"/>
    <n v="1"/>
    <n v="1"/>
    <s v="FIFA World Cup qualification"/>
    <s v="Buenos Aires"/>
    <s v="Argentina"/>
    <b v="0"/>
    <n v="2020"/>
    <n v="385740508436"/>
    <n v="35432178068"/>
    <x v="0"/>
    <n v="0"/>
    <x v="1"/>
  </r>
  <r>
    <x v="5544"/>
    <x v="1739"/>
    <x v="51"/>
    <s v="Colombia"/>
    <s v="Uruguay"/>
    <n v="0"/>
    <n v="3"/>
    <s v="FIFA World Cup qualification"/>
    <s v="Barranquilla"/>
    <s v="Colombia"/>
    <b v="0"/>
    <n v="2020"/>
    <n v="270348342541"/>
    <n v="53559359261"/>
    <x v="0"/>
    <n v="-1"/>
    <x v="0"/>
  </r>
  <r>
    <x v="5545"/>
    <x v="1739"/>
    <x v="51"/>
    <s v="Chile"/>
    <s v="Peru"/>
    <n v="2"/>
    <n v="0"/>
    <s v="FIFA World Cup qualification"/>
    <s v="Santiago"/>
    <s v="Chile"/>
    <b v="0"/>
    <n v="2020"/>
    <n v="254042159309"/>
    <n v="201409694755"/>
    <x v="1"/>
    <n v="1"/>
    <x v="2"/>
  </r>
  <r>
    <x v="5546"/>
    <x v="1739"/>
    <x v="51"/>
    <s v="Brazil"/>
    <s v="Venezuela"/>
    <n v="1"/>
    <n v="0"/>
    <s v="FIFA World Cup qualification"/>
    <s v="S√£o Paulo"/>
    <s v="Brazil"/>
    <b v="0"/>
    <n v="2020"/>
    <n v="1476107292151"/>
    <n v="42838020721"/>
    <x v="0"/>
    <n v="1"/>
    <x v="2"/>
  </r>
  <r>
    <x v="5547"/>
    <x v="1740"/>
    <x v="51"/>
    <s v="Ecuador"/>
    <s v="Colombia"/>
    <n v="6"/>
    <n v="1"/>
    <s v="FIFA World Cup qualification"/>
    <s v="Quito"/>
    <s v="Ecuador"/>
    <b v="0"/>
    <n v="2020"/>
    <n v="95865473000"/>
    <n v="270348342541"/>
    <x v="0"/>
    <n v="-1"/>
    <x v="0"/>
  </r>
  <r>
    <x v="5548"/>
    <x v="1740"/>
    <x v="51"/>
    <s v="Venezuela"/>
    <s v="Chile"/>
    <n v="2"/>
    <n v="1"/>
    <s v="FIFA World Cup qualification"/>
    <s v="Caracas"/>
    <s v="Venezuela"/>
    <b v="0"/>
    <n v="2020"/>
    <n v="42838020721"/>
    <n v="254042159309"/>
    <x v="0"/>
    <n v="-1"/>
    <x v="0"/>
  </r>
  <r>
    <x v="5549"/>
    <x v="1740"/>
    <x v="51"/>
    <s v="Peru"/>
    <s v="Argentina"/>
    <n v="0"/>
    <n v="2"/>
    <s v="FIFA World Cup qualification"/>
    <s v="Lima"/>
    <s v="Peru"/>
    <b v="0"/>
    <n v="2020"/>
    <n v="201409694755"/>
    <n v="385740508436"/>
    <x v="1"/>
    <n v="1"/>
    <x v="2"/>
  </r>
  <r>
    <x v="5550"/>
    <x v="1740"/>
    <x v="51"/>
    <s v="Paraguay"/>
    <s v="Bolivia"/>
    <n v="2"/>
    <n v="2"/>
    <s v="FIFA World Cup qualification"/>
    <s v="Asunci√≥n"/>
    <s v="Paraguay"/>
    <b v="0"/>
    <n v="2020"/>
    <n v="35432178068"/>
    <n v="42313784081"/>
    <x v="1"/>
    <n v="0"/>
    <x v="1"/>
  </r>
  <r>
    <x v="5551"/>
    <x v="1740"/>
    <x v="51"/>
    <s v="Uruguay"/>
    <s v="Brazil"/>
    <n v="0"/>
    <n v="2"/>
    <s v="FIFA World Cup qualification"/>
    <s v="Montevideo"/>
    <s v="Uruguay"/>
    <b v="0"/>
    <n v="2020"/>
    <n v="53559359261"/>
    <n v="1476107292151"/>
    <x v="0"/>
    <n v="1"/>
    <x v="2"/>
  </r>
  <r>
    <x v="5552"/>
    <x v="1741"/>
    <x v="51"/>
    <s v="Qatar"/>
    <s v="Bangladesh"/>
    <n v="5"/>
    <n v="0"/>
    <s v="FIFA World Cup qualification"/>
    <s v="Doha"/>
    <s v="Qatar"/>
    <b v="0"/>
    <n v="2020"/>
    <n v="144411538461"/>
    <n v="373979442362"/>
    <x v="0"/>
    <n v="-1"/>
    <x v="0"/>
  </r>
  <r>
    <x v="5553"/>
    <x v="1742"/>
    <x v="52"/>
    <s v="Suriname"/>
    <s v="Cayman Islands"/>
    <n v="3"/>
    <n v="0"/>
    <s v="FIFA World Cup qualification"/>
    <s v="Paramaribo"/>
    <s v="Suriname"/>
    <b v="0"/>
    <n v="2021"/>
    <n v="3107923197"/>
    <n v="6060813808"/>
    <x v="1"/>
    <n v="-1"/>
    <x v="0"/>
  </r>
  <r>
    <x v="5554"/>
    <x v="1742"/>
    <x v="52"/>
    <s v="Dominican Republic"/>
    <s v="Dominica"/>
    <n v="1"/>
    <n v="0"/>
    <s v="FIFA World Cup qualification"/>
    <s v="Santo Domingo"/>
    <s v="Dominican Republic"/>
    <b v="0"/>
    <n v="2021"/>
    <n v="94850719516"/>
    <n v="562911111"/>
    <x v="0"/>
    <n v="1"/>
    <x v="2"/>
  </r>
  <r>
    <x v="5555"/>
    <x v="1742"/>
    <x v="52"/>
    <s v="Portugal"/>
    <s v="Azerbaijan"/>
    <n v="1"/>
    <n v="0"/>
    <s v="FIFA World Cup qualification"/>
    <s v="Turin"/>
    <s v="Italy"/>
    <b v="1"/>
    <n v="2021"/>
    <n v="256055879091"/>
    <n v="54825411764"/>
    <x v="0"/>
    <n v="1"/>
    <x v="2"/>
  </r>
  <r>
    <x v="5556"/>
    <x v="1742"/>
    <x v="52"/>
    <s v="France"/>
    <s v="Ukraine"/>
    <n v="1"/>
    <n v="1"/>
    <s v="FIFA World Cup qualification"/>
    <s v="Paris"/>
    <s v="France"/>
    <b v="0"/>
    <n v="2021"/>
    <n v="2966433692008"/>
    <n v="199765859570"/>
    <x v="0"/>
    <n v="0"/>
    <x v="1"/>
  </r>
  <r>
    <x v="5557"/>
    <x v="1742"/>
    <x v="52"/>
    <s v="Finland"/>
    <s v="Bosnia and Herzegovina"/>
    <n v="2"/>
    <n v="2"/>
    <s v="FIFA World Cup qualification"/>
    <s v="Helsinki"/>
    <s v="Finland"/>
    <b v="0"/>
    <n v="2021"/>
    <n v="294223210496"/>
    <n v="23672712121"/>
    <x v="0"/>
    <n v="0"/>
    <x v="1"/>
  </r>
  <r>
    <x v="5558"/>
    <x v="1742"/>
    <x v="52"/>
    <s v="Latvia"/>
    <s v="Montenegro"/>
    <n v="1"/>
    <n v="2"/>
    <s v="FIFA World Cup qualification"/>
    <s v="Riga"/>
    <s v="Latvia"/>
    <b v="0"/>
    <n v="2021"/>
    <n v="38183326784"/>
    <n v="5823715809"/>
    <x v="0"/>
    <n v="-1"/>
    <x v="0"/>
  </r>
  <r>
    <x v="5559"/>
    <x v="1742"/>
    <x v="52"/>
    <s v="Malta"/>
    <s v="Russia"/>
    <n v="1"/>
    <n v="3"/>
    <s v="FIFA World Cup qualification"/>
    <s v="Ta' Qali"/>
    <s v="Malta"/>
    <b v="0"/>
    <n v="2021"/>
    <n v="19739875611"/>
    <n v="1829186719575"/>
    <x v="0"/>
    <n v="1"/>
    <x v="2"/>
  </r>
  <r>
    <x v="5560"/>
    <x v="1742"/>
    <x v="52"/>
    <s v="Slovenia"/>
    <s v="Croatia"/>
    <n v="1"/>
    <n v="0"/>
    <s v="FIFA World Cup qualification"/>
    <s v="Ljubljana"/>
    <s v="Slovenia"/>
    <b v="0"/>
    <n v="2021"/>
    <n v="61540813361"/>
    <n v="69002365163"/>
    <x v="1"/>
    <n v="-1"/>
    <x v="0"/>
  </r>
  <r>
    <x v="5561"/>
    <x v="1743"/>
    <x v="52"/>
    <s v="El Salvador"/>
    <s v="Grenada"/>
    <n v="2"/>
    <n v="0"/>
    <s v="FIFA World Cup qualification"/>
    <s v="San Salvador"/>
    <s v="El Salvador"/>
    <b v="0"/>
    <n v="2021"/>
    <n v="29043140000"/>
    <n v="1122222222"/>
    <x v="0"/>
    <n v="1"/>
    <x v="2"/>
  </r>
  <r>
    <x v="5562"/>
    <x v="1743"/>
    <x v="52"/>
    <s v="Canada"/>
    <s v="Bermuda"/>
    <n v="5"/>
    <n v="1"/>
    <s v="FIFA World Cup qualification"/>
    <s v="Orlando"/>
    <s v="United States"/>
    <b v="1"/>
    <n v="2021"/>
    <n v="2022378748423"/>
    <n v="7290037000"/>
    <x v="0"/>
    <n v="1"/>
    <x v="2"/>
  </r>
  <r>
    <x v="5563"/>
    <x v="1743"/>
    <x v="52"/>
    <s v="Panama"/>
    <s v="Barbados"/>
    <n v="1"/>
    <n v="0"/>
    <s v="FIFA World Cup qualification"/>
    <s v="Santo Domingo"/>
    <s v="Dominican Republic"/>
    <b v="1"/>
    <n v="2021"/>
    <n v="67396392506"/>
    <n v="5947550000"/>
    <x v="0"/>
    <n v="1"/>
    <x v="2"/>
  </r>
  <r>
    <x v="5564"/>
    <x v="1743"/>
    <x v="52"/>
    <s v="Haiti"/>
    <s v="Belize"/>
    <n v="2"/>
    <n v="0"/>
    <s v="FIFA World Cup qualification"/>
    <s v="Port-au-Prince"/>
    <s v="Haiti"/>
    <b v="0"/>
    <n v="2021"/>
    <n v="20944387975"/>
    <n v="2428606250"/>
    <x v="0"/>
    <n v="1"/>
    <x v="2"/>
  </r>
  <r>
    <x v="5565"/>
    <x v="1743"/>
    <x v="52"/>
    <s v="Trinidad and Tobago"/>
    <s v="Guyana"/>
    <n v="3"/>
    <n v="0"/>
    <s v="FIFA World Cup qualification"/>
    <s v="San Crist√≥bal"/>
    <s v="Dominican Republic"/>
    <b v="1"/>
    <n v="2021"/>
    <n v="24222963262"/>
    <n v="8041362110"/>
    <x v="0"/>
    <n v="1"/>
    <x v="2"/>
  </r>
  <r>
    <x v="5566"/>
    <x v="1743"/>
    <x v="52"/>
    <s v="Spain"/>
    <s v="Greece"/>
    <n v="1"/>
    <n v="1"/>
    <s v="FIFA World Cup qualification"/>
    <s v="Granada"/>
    <s v="Spain"/>
    <b v="0"/>
    <n v="2021"/>
    <n v="1461244901852"/>
    <n v="218303801895"/>
    <x v="0"/>
    <n v="0"/>
    <x v="1"/>
  </r>
  <r>
    <x v="5567"/>
    <x v="1743"/>
    <x v="52"/>
    <s v="Sweden"/>
    <s v="Georgia"/>
    <n v="1"/>
    <n v="0"/>
    <s v="FIFA World Cup qualification"/>
    <s v="Stockholm"/>
    <s v="Sweden"/>
    <b v="0"/>
    <n v="2021"/>
    <n v="631693331300"/>
    <n v="18853115588"/>
    <x v="0"/>
    <n v="1"/>
    <x v="2"/>
  </r>
  <r>
    <x v="5568"/>
    <x v="1743"/>
    <x v="52"/>
    <s v="Bulgaria"/>
    <s v="Switzerland"/>
    <n v="1"/>
    <n v="3"/>
    <s v="FIFA World Cup qualification"/>
    <s v="Sofia"/>
    <s v="Bulgaria"/>
    <b v="0"/>
    <n v="2021"/>
    <n v="84374613233"/>
    <n v="815309330986"/>
    <x v="0"/>
    <n v="1"/>
    <x v="2"/>
  </r>
  <r>
    <x v="5569"/>
    <x v="1743"/>
    <x v="52"/>
    <s v="Israel"/>
    <s v="Denmark"/>
    <n v="0"/>
    <n v="2"/>
    <s v="FIFA World Cup qualification"/>
    <s v="Tel Aviv"/>
    <s v="Israel"/>
    <b v="0"/>
    <n v="2021"/>
    <n v="489851549972"/>
    <n v="406110162088"/>
    <x v="1"/>
    <n v="-1"/>
    <x v="0"/>
  </r>
  <r>
    <x v="5570"/>
    <x v="1743"/>
    <x v="52"/>
    <s v="Moldova"/>
    <s v="Faroe Islands"/>
    <n v="1"/>
    <n v="1"/>
    <s v="FIFA World Cup qualification"/>
    <s v="Chi»ôinƒÉu"/>
    <s v="Moldova"/>
    <b v="0"/>
    <n v="2021"/>
    <n v="13691869264"/>
    <n v="3699551717"/>
    <x v="0"/>
    <n v="0"/>
    <x v="1"/>
  </r>
  <r>
    <x v="5571"/>
    <x v="1743"/>
    <x v="52"/>
    <s v="England"/>
    <s v="San Marino"/>
    <n v="5"/>
    <n v="0"/>
    <s v="FIFA World Cup qualification"/>
    <s v="London"/>
    <s v="England"/>
    <b v="0"/>
    <n v="2021"/>
    <n v="3194559188925"/>
    <n v="1855652786"/>
    <x v="0"/>
    <n v="1"/>
    <x v="2"/>
  </r>
  <r>
    <x v="5572"/>
    <x v="1743"/>
    <x v="52"/>
    <s v="Andorra"/>
    <s v="Albania"/>
    <n v="0"/>
    <n v="1"/>
    <s v="FIFA World Cup qualification"/>
    <s v="Andorra la Vella"/>
    <s v="Andorra"/>
    <b v="0"/>
    <n v="2021"/>
    <n v="3324648075"/>
    <n v="18031989573"/>
    <x v="0"/>
    <n v="1"/>
    <x v="2"/>
  </r>
  <r>
    <x v="5573"/>
    <x v="1743"/>
    <x v="52"/>
    <s v="Hungary"/>
    <s v="Poland"/>
    <n v="3"/>
    <n v="3"/>
    <s v="FIFA World Cup qualification"/>
    <s v="Budapest"/>
    <s v="Hungary"/>
    <b v="0"/>
    <n v="2021"/>
    <n v="183282685440"/>
    <n v="689170230665"/>
    <x v="0"/>
    <n v="0"/>
    <x v="1"/>
  </r>
  <r>
    <x v="5574"/>
    <x v="1743"/>
    <x v="52"/>
    <s v="Germany"/>
    <s v="Iceland"/>
    <n v="3"/>
    <n v="0"/>
    <s v="FIFA World Cup qualification"/>
    <s v="Duisburg"/>
    <s v="Germany"/>
    <b v="0"/>
    <n v="2021"/>
    <n v="4355251953410"/>
    <n v="26234872402"/>
    <x v="0"/>
    <n v="1"/>
    <x v="2"/>
  </r>
  <r>
    <x v="5575"/>
    <x v="1743"/>
    <x v="52"/>
    <s v="Liechtenstein"/>
    <s v="Armenia"/>
    <n v="0"/>
    <n v="1"/>
    <s v="FIFA World Cup qualification"/>
    <s v="Vaduz"/>
    <s v="Liechtenstein"/>
    <b v="0"/>
    <n v="2021"/>
    <n v="7912602342"/>
    <n v="13878908628"/>
    <x v="1"/>
    <n v="1"/>
    <x v="2"/>
  </r>
  <r>
    <x v="5576"/>
    <x v="1743"/>
    <x v="52"/>
    <s v="Romania"/>
    <s v="North Macedonia"/>
    <n v="3"/>
    <n v="2"/>
    <s v="FIFA World Cup qualification"/>
    <s v="Bucharest"/>
    <s v="Romania"/>
    <b v="0"/>
    <n v="2021"/>
    <n v="285071280114"/>
    <n v="14000283827"/>
    <x v="0"/>
    <n v="1"/>
    <x v="2"/>
  </r>
  <r>
    <x v="5577"/>
    <x v="1743"/>
    <x v="52"/>
    <s v="Tajikistan"/>
    <s v="Mongolia"/>
    <n v="3"/>
    <n v="0"/>
    <s v="FIFA World Cup qualification"/>
    <s v="Dushanbe"/>
    <s v="Tajikistan"/>
    <b v="0"/>
    <n v="2021"/>
    <n v="8937805347"/>
    <n v="15286441737"/>
    <x v="1"/>
    <n v="-1"/>
    <x v="0"/>
  </r>
  <r>
    <x v="5578"/>
    <x v="1744"/>
    <x v="52"/>
    <s v="United States Virgin Islands"/>
    <s v="Antigua and Barbuda"/>
    <n v="0"/>
    <n v="3"/>
    <s v="FIFA World Cup qualification"/>
    <s v="Saint Croix"/>
    <s v="United States Virgin Islands"/>
    <b v="0"/>
    <n v="2021"/>
    <n v="4507000000"/>
    <n v="1602125925"/>
    <x v="0"/>
    <n v="-1"/>
    <x v="0"/>
  </r>
  <r>
    <x v="5579"/>
    <x v="1744"/>
    <x v="52"/>
    <s v="Aruba"/>
    <s v="Suriname"/>
    <n v="0"/>
    <n v="6"/>
    <s v="FIFA World Cup qualification"/>
    <s v="Bradenton"/>
    <s v="United States"/>
    <b v="1"/>
    <n v="2021"/>
    <n v="2880902798"/>
    <n v="3107923197"/>
    <x v="1"/>
    <n v="1"/>
    <x v="2"/>
  </r>
  <r>
    <x v="5580"/>
    <x v="1744"/>
    <x v="52"/>
    <s v="Turks and Caicos Islands"/>
    <s v="Nicaragua"/>
    <n v="0"/>
    <n v="7"/>
    <s v="FIFA World Cup qualification"/>
    <s v="San Crist√≥bal"/>
    <s v="Dominican Republic"/>
    <b v="1"/>
    <n v="2021"/>
    <n v="1236459000"/>
    <n v="14209020361"/>
    <x v="0"/>
    <n v="1"/>
    <x v="2"/>
  </r>
  <r>
    <x v="5581"/>
    <x v="1744"/>
    <x v="52"/>
    <s v="Serbia"/>
    <s v="Portugal"/>
    <n v="2"/>
    <n v="2"/>
    <s v="FIFA World Cup qualification"/>
    <s v="Belgrade"/>
    <s v="Serbia"/>
    <b v="0"/>
    <n v="2021"/>
    <n v="66159884072"/>
    <n v="256055879091"/>
    <x v="0"/>
    <n v="0"/>
    <x v="1"/>
  </r>
  <r>
    <x v="5582"/>
    <x v="1744"/>
    <x v="52"/>
    <s v="Belarus"/>
    <s v="Estonia"/>
    <n v="4"/>
    <n v="2"/>
    <s v="FIFA World Cup qualification"/>
    <s v="Minsk"/>
    <s v="Belarus"/>
    <b v="0"/>
    <n v="2021"/>
    <n v="69673747131"/>
    <n v="37201101170"/>
    <x v="1"/>
    <n v="1"/>
    <x v="2"/>
  </r>
  <r>
    <x v="5583"/>
    <x v="1744"/>
    <x v="52"/>
    <s v="Netherlands"/>
    <s v="Latvia"/>
    <n v="2"/>
    <n v="0"/>
    <s v="FIFA World Cup qualification"/>
    <s v="Amsterdam"/>
    <s v="Netherlands"/>
    <b v="0"/>
    <n v="2021"/>
    <n v="1054472123449"/>
    <n v="38183326784"/>
    <x v="0"/>
    <n v="1"/>
    <x v="2"/>
  </r>
  <r>
    <x v="5584"/>
    <x v="1744"/>
    <x v="52"/>
    <s v="Russia"/>
    <s v="Slovenia"/>
    <n v="2"/>
    <n v="1"/>
    <s v="FIFA World Cup qualification"/>
    <s v="Sochi"/>
    <s v="Russia"/>
    <b v="0"/>
    <n v="2021"/>
    <n v="1829186719575"/>
    <n v="61540813361"/>
    <x v="0"/>
    <n v="1"/>
    <x v="2"/>
  </r>
  <r>
    <x v="5585"/>
    <x v="1744"/>
    <x v="52"/>
    <s v="Croatia"/>
    <s v="Cyprus"/>
    <n v="1"/>
    <n v="0"/>
    <s v="FIFA World Cup qualification"/>
    <s v="Rijeka"/>
    <s v="Croatia"/>
    <b v="0"/>
    <n v="2021"/>
    <n v="69002365163"/>
    <n v="30372642502"/>
    <x v="0"/>
    <n v="1"/>
    <x v="2"/>
  </r>
  <r>
    <x v="5586"/>
    <x v="1745"/>
    <x v="52"/>
    <s v="Dominica"/>
    <s v="Panama"/>
    <n v="1"/>
    <n v="2"/>
    <s v="FIFA World Cup qualification"/>
    <s v="Santo Domingo"/>
    <s v="Dominican Republic"/>
    <b v="1"/>
    <n v="2021"/>
    <n v="562911111"/>
    <n v="67396392506"/>
    <x v="0"/>
    <n v="1"/>
    <x v="2"/>
  </r>
  <r>
    <x v="5587"/>
    <x v="1745"/>
    <x v="52"/>
    <s v="Georgia"/>
    <s v="Spain"/>
    <n v="1"/>
    <n v="2"/>
    <s v="FIFA World Cup qualification"/>
    <s v="Tbilisi"/>
    <s v="Georgia"/>
    <b v="0"/>
    <n v="2021"/>
    <n v="18853115588"/>
    <n v="1461244901852"/>
    <x v="0"/>
    <n v="1"/>
    <x v="2"/>
  </r>
  <r>
    <x v="5588"/>
    <x v="1745"/>
    <x v="52"/>
    <s v="Kosovo"/>
    <s v="Sweden"/>
    <n v="0"/>
    <n v="3"/>
    <s v="FIFA World Cup qualification"/>
    <s v="Pristina"/>
    <s v="Kosovo"/>
    <b v="0"/>
    <n v="2021"/>
    <n v="9413408574"/>
    <n v="631693331300"/>
    <x v="0"/>
    <n v="1"/>
    <x v="2"/>
  </r>
  <r>
    <x v="5589"/>
    <x v="1745"/>
    <x v="52"/>
    <s v="Switzerland"/>
    <s v="Lithuania"/>
    <n v="1"/>
    <n v="0"/>
    <s v="FIFA World Cup qualification"/>
    <s v="St. Gallen"/>
    <s v="Switzerland"/>
    <b v="0"/>
    <n v="2021"/>
    <n v="815309330986"/>
    <n v="67037321008"/>
    <x v="0"/>
    <n v="1"/>
    <x v="2"/>
  </r>
  <r>
    <x v="5590"/>
    <x v="1745"/>
    <x v="52"/>
    <s v="Bulgaria"/>
    <s v="Italy"/>
    <n v="0"/>
    <n v="2"/>
    <s v="FIFA World Cup qualification"/>
    <s v="Sofia"/>
    <s v="Bulgaria"/>
    <b v="0"/>
    <n v="2021"/>
    <n v="84374613233"/>
    <n v="2179207773596"/>
    <x v="0"/>
    <n v="1"/>
    <x v="2"/>
  </r>
  <r>
    <x v="5591"/>
    <x v="1745"/>
    <x v="52"/>
    <s v="Kazakhstan"/>
    <s v="France"/>
    <n v="0"/>
    <n v="2"/>
    <s v="FIFA World Cup qualification"/>
    <s v="Nur-Sultan"/>
    <s v="Kazakhstan"/>
    <b v="0"/>
    <n v="2021"/>
    <n v="197112255360"/>
    <n v="2966433692008"/>
    <x v="0"/>
    <n v="1"/>
    <x v="2"/>
  </r>
  <r>
    <x v="5592"/>
    <x v="1745"/>
    <x v="52"/>
    <s v="Ukraine"/>
    <s v="Finland"/>
    <n v="1"/>
    <n v="1"/>
    <s v="FIFA World Cup qualification"/>
    <s v="Kyiv"/>
    <s v="Ukraine"/>
    <b v="0"/>
    <n v="2021"/>
    <n v="199765859570"/>
    <n v="294223210496"/>
    <x v="1"/>
    <n v="0"/>
    <x v="1"/>
  </r>
  <r>
    <x v="5593"/>
    <x v="1745"/>
    <x v="52"/>
    <s v="Denmark"/>
    <s v="Moldova"/>
    <n v="8"/>
    <n v="0"/>
    <s v="FIFA World Cup qualification"/>
    <s v="Herning"/>
    <s v="Denmark"/>
    <b v="0"/>
    <n v="2021"/>
    <n v="406110162088"/>
    <n v="13691869264"/>
    <x v="0"/>
    <n v="1"/>
    <x v="2"/>
  </r>
  <r>
    <x v="5594"/>
    <x v="1745"/>
    <x v="52"/>
    <s v="Austria"/>
    <s v="Faroe Islands"/>
    <n v="3"/>
    <n v="1"/>
    <s v="FIFA World Cup qualification"/>
    <s v="Vienna"/>
    <s v="Austria"/>
    <b v="0"/>
    <n v="2021"/>
    <n v="480466363176"/>
    <n v="3699551717"/>
    <x v="0"/>
    <n v="1"/>
    <x v="2"/>
  </r>
  <r>
    <x v="5595"/>
    <x v="1745"/>
    <x v="52"/>
    <s v="Albania"/>
    <s v="England"/>
    <n v="0"/>
    <n v="2"/>
    <s v="FIFA World Cup qualification"/>
    <s v="Tirana"/>
    <s v="Albania"/>
    <b v="0"/>
    <n v="2021"/>
    <n v="18031989573"/>
    <n v="3194559188925"/>
    <x v="0"/>
    <n v="1"/>
    <x v="2"/>
  </r>
  <r>
    <x v="5596"/>
    <x v="1745"/>
    <x v="52"/>
    <s v="Poland"/>
    <s v="Andorra"/>
    <n v="3"/>
    <n v="0"/>
    <s v="FIFA World Cup qualification"/>
    <s v="Warsaw"/>
    <s v="Poland"/>
    <b v="0"/>
    <n v="2021"/>
    <n v="689170230665"/>
    <n v="3324648075"/>
    <x v="0"/>
    <n v="1"/>
    <x v="2"/>
  </r>
  <r>
    <x v="5597"/>
    <x v="1745"/>
    <x v="52"/>
    <s v="San Marino"/>
    <s v="Hungary"/>
    <n v="0"/>
    <n v="3"/>
    <s v="FIFA World Cup qualification"/>
    <s v="Serravalle"/>
    <s v="San Marino"/>
    <b v="0"/>
    <n v="2021"/>
    <n v="1855652786"/>
    <n v="183282685440"/>
    <x v="0"/>
    <n v="1"/>
    <x v="2"/>
  </r>
  <r>
    <x v="5598"/>
    <x v="1745"/>
    <x v="52"/>
    <s v="Armenia"/>
    <s v="Iceland"/>
    <n v="2"/>
    <n v="0"/>
    <s v="FIFA World Cup qualification"/>
    <s v="Yerevan"/>
    <s v="Armenia"/>
    <b v="0"/>
    <n v="2021"/>
    <n v="13878908628"/>
    <n v="26234872402"/>
    <x v="1"/>
    <n v="-1"/>
    <x v="0"/>
  </r>
  <r>
    <x v="5599"/>
    <x v="1745"/>
    <x v="52"/>
    <s v="North Macedonia"/>
    <s v="Liechtenstein"/>
    <n v="5"/>
    <n v="0"/>
    <s v="FIFA World Cup qualification"/>
    <s v="Skopje"/>
    <s v="North Macedonia"/>
    <b v="0"/>
    <n v="2021"/>
    <n v="14000283827"/>
    <n v="7912602342"/>
    <x v="1"/>
    <n v="1"/>
    <x v="2"/>
  </r>
  <r>
    <x v="5600"/>
    <x v="1745"/>
    <x v="52"/>
    <s v="Romania"/>
    <s v="Germany"/>
    <n v="0"/>
    <n v="1"/>
    <s v="FIFA World Cup qualification"/>
    <s v="Bucharest"/>
    <s v="Romania"/>
    <b v="0"/>
    <n v="2021"/>
    <n v="285071280114"/>
    <n v="4355251953410"/>
    <x v="0"/>
    <n v="1"/>
    <x v="2"/>
  </r>
  <r>
    <x v="5601"/>
    <x v="1746"/>
    <x v="52"/>
    <s v="Cayman Islands"/>
    <s v="Canada"/>
    <n v="0"/>
    <n v="11"/>
    <s v="FIFA World Cup qualification"/>
    <s v="Bradenton"/>
    <s v="United States"/>
    <b v="1"/>
    <n v="2021"/>
    <n v="6060813808"/>
    <n v="2022378748423"/>
    <x v="0"/>
    <n v="1"/>
    <x v="2"/>
  </r>
  <r>
    <x v="5602"/>
    <x v="1747"/>
    <x v="52"/>
    <s v="Grenada"/>
    <s v="United States Virgin Islands"/>
    <n v="1"/>
    <n v="0"/>
    <s v="FIFA World Cup qualification"/>
    <s v="St. George's"/>
    <s v="Grenada"/>
    <b v="0"/>
    <n v="2021"/>
    <n v="1122222222"/>
    <n v="4507000000"/>
    <x v="0"/>
    <n v="-1"/>
    <x v="0"/>
  </r>
  <r>
    <x v="5603"/>
    <x v="1747"/>
    <x v="52"/>
    <s v="Bermuda"/>
    <s v="Aruba"/>
    <n v="5"/>
    <n v="0"/>
    <s v="FIFA World Cup qualification"/>
    <s v="Bradenton"/>
    <s v="United States"/>
    <b v="1"/>
    <n v="2021"/>
    <n v="7290037000"/>
    <n v="2880902798"/>
    <x v="0"/>
    <n v="1"/>
    <x v="2"/>
  </r>
  <r>
    <x v="5604"/>
    <x v="1747"/>
    <x v="52"/>
    <s v="Belize"/>
    <s v="Turks and Caicos Islands"/>
    <n v="5"/>
    <n v="0"/>
    <s v="FIFA World Cup qualification"/>
    <s v="San Crist√≥bal"/>
    <s v="Dominican Republic"/>
    <b v="1"/>
    <n v="2021"/>
    <n v="2428606250"/>
    <n v="1236459000"/>
    <x v="1"/>
    <n v="1"/>
    <x v="2"/>
  </r>
  <r>
    <x v="5605"/>
    <x v="1747"/>
    <x v="52"/>
    <s v="Azerbaijan"/>
    <s v="Serbia"/>
    <n v="1"/>
    <n v="2"/>
    <s v="FIFA World Cup qualification"/>
    <s v="Baku"/>
    <s v="Azerbaijan"/>
    <b v="0"/>
    <n v="2021"/>
    <n v="54825411764"/>
    <n v="66159884072"/>
    <x v="1"/>
    <n v="1"/>
    <x v="2"/>
  </r>
  <r>
    <x v="5606"/>
    <x v="1747"/>
    <x v="52"/>
    <s v="Luxembourg"/>
    <s v="Portugal"/>
    <n v="1"/>
    <n v="3"/>
    <s v="FIFA World Cup qualification"/>
    <s v="Luxembourg"/>
    <s v="Luxembourg"/>
    <b v="0"/>
    <n v="2021"/>
    <n v="86386759695"/>
    <n v="256055879091"/>
    <x v="0"/>
    <n v="1"/>
    <x v="2"/>
  </r>
  <r>
    <x v="5607"/>
    <x v="1747"/>
    <x v="52"/>
    <s v="Belgium"/>
    <s v="Belarus"/>
    <n v="8"/>
    <n v="0"/>
    <s v="FIFA World Cup qualification"/>
    <s v="Leuven"/>
    <s v="Belgium"/>
    <b v="0"/>
    <n v="2021"/>
    <n v="598522422241"/>
    <n v="69673747131"/>
    <x v="0"/>
    <n v="1"/>
    <x v="2"/>
  </r>
  <r>
    <x v="5608"/>
    <x v="1747"/>
    <x v="52"/>
    <s v="Montenegro"/>
    <s v="Norway"/>
    <n v="0"/>
    <n v="1"/>
    <s v="FIFA World Cup qualification"/>
    <s v="Podgorica"/>
    <s v="Montenegro"/>
    <b v="0"/>
    <n v="2021"/>
    <n v="5823715809"/>
    <n v="503367986030"/>
    <x v="0"/>
    <n v="1"/>
    <x v="2"/>
  </r>
  <r>
    <x v="5609"/>
    <x v="1747"/>
    <x v="52"/>
    <s v="Cyprus"/>
    <s v="Slovenia"/>
    <n v="1"/>
    <n v="0"/>
    <s v="FIFA World Cup qualification"/>
    <s v="Nicosia"/>
    <s v="Cyprus"/>
    <b v="0"/>
    <n v="2021"/>
    <n v="30372642502"/>
    <n v="61540813361"/>
    <x v="0"/>
    <n v="-1"/>
    <x v="0"/>
  </r>
  <r>
    <x v="5610"/>
    <x v="1747"/>
    <x v="52"/>
    <s v="Croatia"/>
    <s v="Malta"/>
    <n v="3"/>
    <n v="0"/>
    <s v="FIFA World Cup qualification"/>
    <s v="Rijeka"/>
    <s v="Croatia"/>
    <b v="0"/>
    <n v="2021"/>
    <n v="69002365163"/>
    <n v="19739875611"/>
    <x v="0"/>
    <n v="1"/>
    <x v="2"/>
  </r>
  <r>
    <x v="5611"/>
    <x v="1747"/>
    <x v="52"/>
    <s v="Japan"/>
    <s v="Mongolia"/>
    <n v="14"/>
    <n v="0"/>
    <s v="FIFA World Cup qualification"/>
    <s v="Chiba"/>
    <s v="Japan"/>
    <b v="0"/>
    <n v="2021"/>
    <n v="5039148168861"/>
    <n v="15286441737"/>
    <x v="0"/>
    <n v="1"/>
    <x v="2"/>
  </r>
  <r>
    <x v="5612"/>
    <x v="1748"/>
    <x v="52"/>
    <s v="Spain"/>
    <s v="Kosovo"/>
    <n v="3"/>
    <n v="1"/>
    <s v="FIFA World Cup qualification"/>
    <s v="Seville"/>
    <s v="Spain"/>
    <b v="0"/>
    <n v="2021"/>
    <n v="1461244901852"/>
    <n v="9413408574"/>
    <x v="0"/>
    <n v="1"/>
    <x v="2"/>
  </r>
  <r>
    <x v="5613"/>
    <x v="1748"/>
    <x v="52"/>
    <s v="Greece"/>
    <s v="Georgia"/>
    <n v="1"/>
    <n v="1"/>
    <s v="FIFA World Cup qualification"/>
    <s v="Thessaloniki"/>
    <s v="Greece"/>
    <b v="0"/>
    <n v="2021"/>
    <n v="218303801895"/>
    <n v="18853115588"/>
    <x v="0"/>
    <n v="0"/>
    <x v="1"/>
  </r>
  <r>
    <x v="5614"/>
    <x v="1748"/>
    <x v="52"/>
    <s v="Lithuania"/>
    <s v="Italy"/>
    <n v="0"/>
    <n v="2"/>
    <s v="FIFA World Cup qualification"/>
    <s v="Vilnius"/>
    <s v="Lithuania"/>
    <b v="0"/>
    <n v="2021"/>
    <n v="67037321008"/>
    <n v="2179207773596"/>
    <x v="0"/>
    <n v="1"/>
    <x v="2"/>
  </r>
  <r>
    <x v="5615"/>
    <x v="1748"/>
    <x v="52"/>
    <s v="Bosnia and Herzegovina"/>
    <s v="France"/>
    <n v="0"/>
    <n v="1"/>
    <s v="FIFA World Cup qualification"/>
    <s v="Sarajevo"/>
    <s v="Bosnia and Herzegovina"/>
    <b v="0"/>
    <n v="2021"/>
    <n v="23672712121"/>
    <n v="2966433692008"/>
    <x v="0"/>
    <n v="1"/>
    <x v="2"/>
  </r>
  <r>
    <x v="5616"/>
    <x v="1748"/>
    <x v="52"/>
    <s v="Ukraine"/>
    <s v="Kazakhstan"/>
    <n v="1"/>
    <n v="1"/>
    <s v="FIFA World Cup qualification"/>
    <s v="Kyiv"/>
    <s v="Ukraine"/>
    <b v="0"/>
    <n v="2021"/>
    <n v="199765859570"/>
    <n v="197112255360"/>
    <x v="1"/>
    <n v="0"/>
    <x v="1"/>
  </r>
  <r>
    <x v="5617"/>
    <x v="1748"/>
    <x v="52"/>
    <s v="Austria"/>
    <s v="Denmark"/>
    <n v="0"/>
    <n v="4"/>
    <s v="FIFA World Cup qualification"/>
    <s v="Vienna"/>
    <s v="Austria"/>
    <b v="0"/>
    <n v="2021"/>
    <n v="480466363176"/>
    <n v="406110162088"/>
    <x v="1"/>
    <n v="-1"/>
    <x v="0"/>
  </r>
  <r>
    <x v="5618"/>
    <x v="1748"/>
    <x v="52"/>
    <s v="Moldova"/>
    <s v="Israel"/>
    <n v="1"/>
    <n v="4"/>
    <s v="FIFA World Cup qualification"/>
    <s v="Chi»ôinƒÉu"/>
    <s v="Moldova"/>
    <b v="0"/>
    <n v="2021"/>
    <n v="13691869264"/>
    <n v="489851549972"/>
    <x v="0"/>
    <n v="1"/>
    <x v="2"/>
  </r>
  <r>
    <x v="5619"/>
    <x v="1748"/>
    <x v="52"/>
    <s v="England"/>
    <s v="Poland"/>
    <n v="2"/>
    <n v="1"/>
    <s v="FIFA World Cup qualification"/>
    <s v="London"/>
    <s v="England"/>
    <b v="0"/>
    <n v="2021"/>
    <n v="3194559188925"/>
    <n v="689170230665"/>
    <x v="0"/>
    <n v="1"/>
    <x v="2"/>
  </r>
  <r>
    <x v="5620"/>
    <x v="1748"/>
    <x v="52"/>
    <s v="Andorra"/>
    <s v="Hungary"/>
    <n v="1"/>
    <n v="4"/>
    <s v="FIFA World Cup qualification"/>
    <s v="Andorra la Vella"/>
    <s v="Andorra"/>
    <b v="0"/>
    <n v="2021"/>
    <n v="3324648075"/>
    <n v="183282685440"/>
    <x v="0"/>
    <n v="1"/>
    <x v="2"/>
  </r>
  <r>
    <x v="5621"/>
    <x v="1748"/>
    <x v="52"/>
    <s v="San Marino"/>
    <s v="Albania"/>
    <n v="0"/>
    <n v="2"/>
    <s v="FIFA World Cup qualification"/>
    <s v="Serravalle"/>
    <s v="San Marino"/>
    <b v="0"/>
    <n v="2021"/>
    <n v="1855652786"/>
    <n v="18031989573"/>
    <x v="0"/>
    <n v="1"/>
    <x v="2"/>
  </r>
  <r>
    <x v="5622"/>
    <x v="1748"/>
    <x v="52"/>
    <s v="Armenia"/>
    <s v="Romania"/>
    <n v="3"/>
    <n v="2"/>
    <s v="FIFA World Cup qualification"/>
    <s v="Yerevan"/>
    <s v="Armenia"/>
    <b v="0"/>
    <n v="2021"/>
    <n v="13878908628"/>
    <n v="285071280114"/>
    <x v="0"/>
    <n v="-1"/>
    <x v="0"/>
  </r>
  <r>
    <x v="5623"/>
    <x v="1748"/>
    <x v="52"/>
    <s v="Germany"/>
    <s v="North Macedonia"/>
    <n v="1"/>
    <n v="2"/>
    <s v="FIFA World Cup qualification"/>
    <s v="Duisburg"/>
    <s v="Germany"/>
    <b v="0"/>
    <n v="2021"/>
    <n v="4355251953410"/>
    <n v="14000283827"/>
    <x v="0"/>
    <n v="-1"/>
    <x v="0"/>
  </r>
  <r>
    <x v="5624"/>
    <x v="1748"/>
    <x v="52"/>
    <s v="Liechtenstein"/>
    <s v="Iceland"/>
    <n v="1"/>
    <n v="4"/>
    <s v="FIFA World Cup qualification"/>
    <s v="Vaduz"/>
    <s v="Liechtenstein"/>
    <b v="0"/>
    <n v="2021"/>
    <n v="7912602342"/>
    <n v="26234872402"/>
    <x v="0"/>
    <n v="1"/>
    <x v="2"/>
  </r>
  <r>
    <x v="5625"/>
    <x v="1749"/>
    <x v="52"/>
    <s v="Japan"/>
    <s v="Myanmar"/>
    <n v="10"/>
    <n v="0"/>
    <s v="FIFA World Cup qualification"/>
    <s v="Chiba"/>
    <s v="Japan"/>
    <b v="0"/>
    <n v="2021"/>
    <n v="5039148168861"/>
    <n v="66345291149"/>
    <x v="0"/>
    <n v="1"/>
    <x v="2"/>
  </r>
  <r>
    <x v="5626"/>
    <x v="1750"/>
    <x v="52"/>
    <s v="Cayman Islands"/>
    <s v="Aruba"/>
    <n v="1"/>
    <n v="3"/>
    <s v="FIFA World Cup qualification"/>
    <s v="Bradenton"/>
    <s v="United States"/>
    <b v="1"/>
    <n v="2021"/>
    <n v="6060813808"/>
    <n v="2880902798"/>
    <x v="0"/>
    <n v="-1"/>
    <x v="0"/>
  </r>
  <r>
    <x v="5627"/>
    <x v="1751"/>
    <x v="52"/>
    <s v="Bahrain"/>
    <s v="Cambodia"/>
    <n v="8"/>
    <n v="0"/>
    <s v="FIFA World Cup qualification"/>
    <s v="Riffa"/>
    <s v="Bahrain"/>
    <b v="0"/>
    <n v="2021"/>
    <n v="40840212765"/>
    <n v="36790163687"/>
    <x v="1"/>
    <n v="1"/>
    <x v="2"/>
  </r>
  <r>
    <x v="5628"/>
    <x v="1751"/>
    <x v="52"/>
    <s v="Bangladesh"/>
    <s v="Afghanistan"/>
    <n v="1"/>
    <n v="1"/>
    <s v="FIFA World Cup qualification"/>
    <s v="Doha"/>
    <s v="Qatar"/>
    <b v="1"/>
    <n v="2021"/>
    <n v="416271647911"/>
    <n v="14259995441"/>
    <x v="0"/>
    <n v="0"/>
    <x v="1"/>
  </r>
  <r>
    <x v="5629"/>
    <x v="1751"/>
    <x v="52"/>
    <s v="United Arab Emirates"/>
    <s v="Malaysia"/>
    <n v="4"/>
    <n v="0"/>
    <s v="FIFA World Cup qualification"/>
    <s v="Dubai"/>
    <s v="United Arab Emirates"/>
    <b v="0"/>
    <n v="2021"/>
    <n v="422441388699"/>
    <n v="373784553029"/>
    <x v="1"/>
    <n v="1"/>
    <x v="2"/>
  </r>
  <r>
    <x v="5630"/>
    <x v="1751"/>
    <x v="52"/>
    <s v="Thailand"/>
    <s v="Indonesia"/>
    <n v="2"/>
    <n v="2"/>
    <s v="FIFA World Cup qualification"/>
    <s v="Dubai"/>
    <s v="United Arab Emirates"/>
    <b v="1"/>
    <n v="2021"/>
    <n v="506194668789"/>
    <n v="1186509691086"/>
    <x v="0"/>
    <n v="0"/>
    <x v="1"/>
  </r>
  <r>
    <x v="5631"/>
    <x v="1751"/>
    <x v="52"/>
    <s v="Bolivia"/>
    <s v="Venezuela"/>
    <n v="3"/>
    <n v="1"/>
    <s v="FIFA World Cup qualification"/>
    <s v="La Paz"/>
    <s v="Bolivia"/>
    <b v="0"/>
    <n v="2021"/>
    <n v="47877892402"/>
    <n v="56614976854"/>
    <x v="1"/>
    <n v="-1"/>
    <x v="0"/>
  </r>
  <r>
    <x v="5632"/>
    <x v="1751"/>
    <x v="52"/>
    <s v="Uruguay"/>
    <s v="Paraguay"/>
    <n v="0"/>
    <n v="0"/>
    <s v="FIFA World Cup qualification"/>
    <s v="Montevideo"/>
    <s v="Uruguay"/>
    <b v="0"/>
    <n v="2021"/>
    <n v="60739084240"/>
    <n v="39950899938"/>
    <x v="1"/>
    <n v="0"/>
    <x v="1"/>
  </r>
  <r>
    <x v="5633"/>
    <x v="1751"/>
    <x v="52"/>
    <s v="Argentina"/>
    <s v="Chile"/>
    <n v="1"/>
    <n v="1"/>
    <s v="FIFA World Cup qualification"/>
    <s v="Santiago del Estero"/>
    <s v="Argentina"/>
    <b v="0"/>
    <n v="2021"/>
    <n v="486564085480"/>
    <n v="315325547162"/>
    <x v="1"/>
    <n v="0"/>
    <x v="1"/>
  </r>
  <r>
    <x v="5634"/>
    <x v="1751"/>
    <x v="52"/>
    <s v="Peru"/>
    <s v="Colombia"/>
    <n v="0"/>
    <n v="3"/>
    <s v="FIFA World Cup qualification"/>
    <s v="Lima"/>
    <s v="Peru"/>
    <b v="0"/>
    <n v="2021"/>
    <n v="226328766459"/>
    <n v="318524633225"/>
    <x v="1"/>
    <n v="1"/>
    <x v="2"/>
  </r>
  <r>
    <x v="5635"/>
    <x v="1751"/>
    <x v="52"/>
    <s v="Kuwait"/>
    <s v="Australia"/>
    <n v="0"/>
    <n v="3"/>
    <s v="FIFA World Cup qualification"/>
    <s v="Kuwait City"/>
    <s v="Kuwait"/>
    <b v="0"/>
    <n v="2021"/>
    <n v="148350671489"/>
    <n v="1560617493202"/>
    <x v="0"/>
    <n v="1"/>
    <x v="2"/>
  </r>
  <r>
    <x v="5636"/>
    <x v="1751"/>
    <x v="52"/>
    <s v="Qatar"/>
    <s v="India"/>
    <n v="1"/>
    <n v="0"/>
    <s v="FIFA World Cup qualification"/>
    <s v="Doha"/>
    <s v="Qatar"/>
    <b v="0"/>
    <n v="2021"/>
    <n v="179732142857"/>
    <n v="3167270623260"/>
    <x v="0"/>
    <n v="-1"/>
    <x v="0"/>
  </r>
  <r>
    <x v="5637"/>
    <x v="1752"/>
    <x v="52"/>
    <s v="Maldives"/>
    <s v="Syria"/>
    <n v="0"/>
    <n v="4"/>
    <s v="FIFA World Cup qualification"/>
    <s v="Sharjah"/>
    <s v="United Arab Emirates"/>
    <b v="1"/>
    <n v="2021"/>
    <n v="5252457369"/>
    <n v="14353205678"/>
    <x v="0"/>
    <n v="1"/>
    <x v="2"/>
  </r>
  <r>
    <x v="5638"/>
    <x v="1752"/>
    <x v="52"/>
    <s v="Antigua and Barbuda"/>
    <s v="Grenada"/>
    <n v="1"/>
    <n v="0"/>
    <s v="FIFA World Cup qualification"/>
    <s v="North Sound"/>
    <s v="Antigua and Barbuda"/>
    <b v="0"/>
    <n v="2021"/>
    <n v="1602125925"/>
    <n v="1122222222"/>
    <x v="1"/>
    <n v="1"/>
    <x v="2"/>
  </r>
  <r>
    <x v="5639"/>
    <x v="1752"/>
    <x v="52"/>
    <s v="Suriname"/>
    <s v="Bermuda"/>
    <n v="6"/>
    <n v="0"/>
    <s v="FIFA World Cup qualification"/>
    <s v="Paramaribo"/>
    <s v="Suriname"/>
    <b v="0"/>
    <n v="2021"/>
    <n v="3107923197"/>
    <n v="7290037000"/>
    <x v="0"/>
    <n v="-1"/>
    <x v="0"/>
  </r>
  <r>
    <x v="5640"/>
    <x v="1752"/>
    <x v="52"/>
    <s v="Dominican Republic"/>
    <s v="Barbados"/>
    <n v="1"/>
    <n v="1"/>
    <s v="FIFA World Cup qualification"/>
    <s v="Santo Domingo"/>
    <s v="Dominican Republic"/>
    <b v="0"/>
    <n v="2021"/>
    <n v="94850719516"/>
    <n v="5947550000"/>
    <x v="0"/>
    <n v="0"/>
    <x v="1"/>
  </r>
  <r>
    <x v="5641"/>
    <x v="1752"/>
    <x v="52"/>
    <s v="Nicaragua"/>
    <s v="Belize"/>
    <n v="3"/>
    <n v="0"/>
    <s v="FIFA World Cup qualification"/>
    <s v="Managua"/>
    <s v="Nicaragua"/>
    <b v="0"/>
    <n v="2021"/>
    <n v="14209020361"/>
    <n v="2428606250"/>
    <x v="0"/>
    <n v="1"/>
    <x v="2"/>
  </r>
  <r>
    <x v="5642"/>
    <x v="1752"/>
    <x v="52"/>
    <s v="Brazil"/>
    <s v="Ecuador"/>
    <n v="2"/>
    <n v="0"/>
    <s v="FIFA World Cup qualification"/>
    <s v="Porto Alegre"/>
    <s v="Brazil"/>
    <b v="0"/>
    <n v="2021"/>
    <n v="1670647464062"/>
    <n v="107179074000"/>
    <x v="0"/>
    <n v="1"/>
    <x v="2"/>
  </r>
  <r>
    <x v="5643"/>
    <x v="1753"/>
    <x v="52"/>
    <s v="Lebanon"/>
    <s v="Sri Lanka"/>
    <n v="3"/>
    <n v="2"/>
    <s v="FIFA World Cup qualification"/>
    <s v="Goyang"/>
    <s v="South Korea"/>
    <b v="1"/>
    <n v="2021"/>
    <n v="23131941556"/>
    <n v="88556698937"/>
    <x v="0"/>
    <n v="-1"/>
    <x v="0"/>
  </r>
  <r>
    <x v="5644"/>
    <x v="1753"/>
    <x v="52"/>
    <s v="South Korea"/>
    <s v="Turkmenistan"/>
    <n v="5"/>
    <n v="0"/>
    <s v="FIFA World Cup qualification"/>
    <s v="Goyang"/>
    <s v="South Korea"/>
    <b v="0"/>
    <n v="2021"/>
    <n v="1942313560965"/>
    <n v="40589905812"/>
    <x v="0"/>
    <n v="1"/>
    <x v="2"/>
  </r>
  <r>
    <x v="5645"/>
    <x v="1753"/>
    <x v="52"/>
    <s v="United States Virgin Islands"/>
    <s v="El Salvador"/>
    <n v="0"/>
    <n v="7"/>
    <s v="FIFA World Cup qualification"/>
    <s v="Saint Croix"/>
    <s v="United States Virgin Islands"/>
    <b v="0"/>
    <n v="2021"/>
    <n v="4507000000"/>
    <n v="29043140000"/>
    <x v="0"/>
    <n v="1"/>
    <x v="2"/>
  </r>
  <r>
    <x v="5646"/>
    <x v="1753"/>
    <x v="52"/>
    <s v="Aruba"/>
    <s v="Canada"/>
    <n v="0"/>
    <n v="7"/>
    <s v="FIFA World Cup qualification"/>
    <s v="Bradenton"/>
    <s v="United States"/>
    <b v="1"/>
    <n v="2021"/>
    <n v="2880902798"/>
    <n v="2022378748423"/>
    <x v="0"/>
    <n v="1"/>
    <x v="2"/>
  </r>
  <r>
    <x v="5647"/>
    <x v="1753"/>
    <x v="52"/>
    <s v="Turks and Caicos Islands"/>
    <s v="Haiti"/>
    <n v="0"/>
    <n v="10"/>
    <s v="FIFA World Cup qualification"/>
    <s v="Providenciales"/>
    <s v="Turks and Caicos Islands"/>
    <b v="0"/>
    <n v="2021"/>
    <n v="1236459000"/>
    <n v="20944387975"/>
    <x v="0"/>
    <n v="1"/>
    <x v="2"/>
  </r>
  <r>
    <x v="5648"/>
    <x v="1754"/>
    <x v="52"/>
    <s v="Guam"/>
    <s v="Syria"/>
    <n v="0"/>
    <n v="3"/>
    <s v="FIFA World Cup qualification"/>
    <s v="Sharjah"/>
    <s v="United Arab Emirates"/>
    <b v="1"/>
    <n v="2021"/>
    <n v="6234000000"/>
    <n v="14353205678"/>
    <x v="0"/>
    <n v="1"/>
    <x v="2"/>
  </r>
  <r>
    <x v="5649"/>
    <x v="1754"/>
    <x v="52"/>
    <s v="Nepal"/>
    <s v="Jordan"/>
    <n v="0"/>
    <n v="3"/>
    <s v="FIFA World Cup qualification"/>
    <s v="Kuwait City"/>
    <s v="Kuwait"/>
    <b v="1"/>
    <n v="2021"/>
    <n v="36924841394"/>
    <n v="46296100140"/>
    <x v="1"/>
    <n v="1"/>
    <x v="2"/>
  </r>
  <r>
    <x v="5650"/>
    <x v="1754"/>
    <x v="52"/>
    <s v="Iraq"/>
    <s v="Cambodia"/>
    <n v="4"/>
    <n v="1"/>
    <s v="FIFA World Cup qualification"/>
    <s v="Arad"/>
    <s v="Iran"/>
    <b v="1"/>
    <n v="2021"/>
    <n v="209691945713"/>
    <n v="36790163687"/>
    <x v="0"/>
    <n v="1"/>
    <x v="2"/>
  </r>
  <r>
    <x v="5651"/>
    <x v="1754"/>
    <x v="52"/>
    <s v="Uzbekistan"/>
    <s v="Singapore"/>
    <n v="5"/>
    <n v="0"/>
    <s v="FIFA World Cup qualification"/>
    <s v="Riyadh"/>
    <s v="Saudi Arabia"/>
    <b v="1"/>
    <n v="2021"/>
    <n v="77340060003"/>
    <n v="436591382250"/>
    <x v="0"/>
    <n v="-1"/>
    <x v="0"/>
  </r>
  <r>
    <x v="5652"/>
    <x v="1754"/>
    <x v="52"/>
    <s v="Bangladesh"/>
    <s v="India"/>
    <n v="0"/>
    <n v="2"/>
    <s v="FIFA World Cup qualification"/>
    <s v="Doha"/>
    <s v="Qatar"/>
    <b v="1"/>
    <n v="2021"/>
    <n v="416271647911"/>
    <n v="3167270623260"/>
    <x v="0"/>
    <n v="1"/>
    <x v="2"/>
  </r>
  <r>
    <x v="5653"/>
    <x v="1754"/>
    <x v="52"/>
    <s v="Japan"/>
    <s v="Tajikistan"/>
    <n v="4"/>
    <n v="1"/>
    <s v="FIFA World Cup qualification"/>
    <s v="Suita"/>
    <s v="Japan"/>
    <b v="0"/>
    <n v="2021"/>
    <n v="5039148168861"/>
    <n v="8937805347"/>
    <x v="0"/>
    <n v="1"/>
    <x v="2"/>
  </r>
  <r>
    <x v="5654"/>
    <x v="1754"/>
    <x v="52"/>
    <s v="United Arab Emirates"/>
    <s v="Thailand"/>
    <n v="3"/>
    <n v="1"/>
    <s v="FIFA World Cup qualification"/>
    <s v="Dubai"/>
    <s v="United Arab Emirates"/>
    <b v="0"/>
    <n v="2021"/>
    <n v="422441388699"/>
    <n v="506194668789"/>
    <x v="1"/>
    <n v="-1"/>
    <x v="0"/>
  </r>
  <r>
    <x v="5655"/>
    <x v="1754"/>
    <x v="52"/>
    <s v="Vietnam"/>
    <s v="Indonesia"/>
    <n v="4"/>
    <n v="0"/>
    <s v="FIFA World Cup qualification"/>
    <s v="Dubai"/>
    <s v="United Arab Emirates"/>
    <b v="1"/>
    <n v="2021"/>
    <n v="366474752771"/>
    <n v="1186509691086"/>
    <x v="0"/>
    <n v="-1"/>
    <x v="0"/>
  </r>
  <r>
    <x v="5656"/>
    <x v="1754"/>
    <x v="52"/>
    <s v="Bahrain"/>
    <s v="Iran"/>
    <n v="0"/>
    <n v="3"/>
    <s v="FIFA World Cup qualification"/>
    <s v="Riffa"/>
    <s v="Bahrain"/>
    <b v="0"/>
    <n v="2021"/>
    <n v="40840212765"/>
    <n v="407350685583"/>
    <x v="0"/>
    <n v="1"/>
    <x v="2"/>
  </r>
  <r>
    <x v="5657"/>
    <x v="1754"/>
    <x v="52"/>
    <s v="Qatar"/>
    <s v="Oman"/>
    <n v="1"/>
    <n v="0"/>
    <s v="FIFA World Cup qualification"/>
    <s v="Doha"/>
    <s v="Qatar"/>
    <b v="0"/>
    <n v="2021"/>
    <n v="179732142857"/>
    <n v="87323797139"/>
    <x v="0"/>
    <n v="1"/>
    <x v="2"/>
  </r>
  <r>
    <x v="5658"/>
    <x v="1755"/>
    <x v="52"/>
    <s v="El Salvador"/>
    <s v="Antigua and Barbuda"/>
    <n v="3"/>
    <n v="0"/>
    <s v="FIFA World Cup qualification"/>
    <s v="San Salvador"/>
    <s v="El Salvador"/>
    <b v="0"/>
    <n v="2021"/>
    <n v="29043140000"/>
    <n v="1602125925"/>
    <x v="0"/>
    <n v="1"/>
    <x v="2"/>
  </r>
  <r>
    <x v="5659"/>
    <x v="1755"/>
    <x v="52"/>
    <s v="Canada"/>
    <s v="Suriname"/>
    <n v="4"/>
    <n v="0"/>
    <s v="FIFA World Cup qualification"/>
    <s v="Bridgeview"/>
    <s v="United States"/>
    <b v="1"/>
    <n v="2021"/>
    <n v="2022378748423"/>
    <n v="3107923197"/>
    <x v="0"/>
    <n v="1"/>
    <x v="2"/>
  </r>
  <r>
    <x v="5660"/>
    <x v="1755"/>
    <x v="52"/>
    <s v="Bermuda"/>
    <s v="Cayman Islands"/>
    <n v="1"/>
    <n v="1"/>
    <s v="FIFA World Cup qualification"/>
    <s v="Bradenton"/>
    <s v="United States"/>
    <b v="1"/>
    <n v="2021"/>
    <n v="7290037000"/>
    <n v="6060813808"/>
    <x v="1"/>
    <n v="0"/>
    <x v="1"/>
  </r>
  <r>
    <x v="5661"/>
    <x v="1755"/>
    <x v="52"/>
    <s v="Barbados"/>
    <s v="Dominica"/>
    <n v="1"/>
    <n v="1"/>
    <s v="FIFA World Cup qualification"/>
    <s v="Santo Domingo"/>
    <s v="Dominican Republic"/>
    <b v="1"/>
    <n v="2021"/>
    <n v="5947550000"/>
    <n v="562911111"/>
    <x v="0"/>
    <n v="0"/>
    <x v="1"/>
  </r>
  <r>
    <x v="5662"/>
    <x v="1755"/>
    <x v="52"/>
    <s v="Panama"/>
    <s v="Dominican Republic"/>
    <n v="3"/>
    <n v="0"/>
    <s v="FIFA World Cup qualification"/>
    <s v="Panama City"/>
    <s v="Panama"/>
    <b v="0"/>
    <n v="2021"/>
    <n v="67396392506"/>
    <n v="94850719516"/>
    <x v="1"/>
    <n v="-1"/>
    <x v="0"/>
  </r>
  <r>
    <x v="5663"/>
    <x v="1755"/>
    <x v="52"/>
    <s v="Haiti"/>
    <s v="Nicaragua"/>
    <n v="1"/>
    <n v="0"/>
    <s v="FIFA World Cup qualification"/>
    <s v="Port-au-Prince"/>
    <s v="Haiti"/>
    <b v="0"/>
    <n v="2021"/>
    <n v="20944387975"/>
    <n v="14209020361"/>
    <x v="1"/>
    <n v="1"/>
    <x v="2"/>
  </r>
  <r>
    <x v="5664"/>
    <x v="1755"/>
    <x v="52"/>
    <s v="Ecuador"/>
    <s v="Peru"/>
    <n v="1"/>
    <n v="2"/>
    <s v="FIFA World Cup qualification"/>
    <s v="Quito"/>
    <s v="Ecuador"/>
    <b v="0"/>
    <n v="2021"/>
    <n v="107179074000"/>
    <n v="226328766459"/>
    <x v="0"/>
    <n v="1"/>
    <x v="2"/>
  </r>
  <r>
    <x v="5665"/>
    <x v="1755"/>
    <x v="52"/>
    <s v="Colombia"/>
    <s v="Argentina"/>
    <n v="2"/>
    <n v="2"/>
    <s v="FIFA World Cup qualification"/>
    <s v="Barranquilla"/>
    <s v="Colombia"/>
    <b v="0"/>
    <n v="2021"/>
    <n v="318524633225"/>
    <n v="486564085480"/>
    <x v="1"/>
    <n v="0"/>
    <x v="1"/>
  </r>
  <r>
    <x v="5666"/>
    <x v="1755"/>
    <x v="52"/>
    <s v="Venezuela"/>
    <s v="Uruguay"/>
    <n v="0"/>
    <n v="0"/>
    <s v="FIFA World Cup qualification"/>
    <s v="Caracas"/>
    <s v="Venezuela"/>
    <b v="0"/>
    <n v="2021"/>
    <n v="56614976854"/>
    <n v="60739084240"/>
    <x v="1"/>
    <n v="0"/>
    <x v="1"/>
  </r>
  <r>
    <x v="5667"/>
    <x v="1755"/>
    <x v="52"/>
    <s v="Paraguay"/>
    <s v="Brazil"/>
    <n v="0"/>
    <n v="2"/>
    <s v="FIFA World Cup qualification"/>
    <s v="Asunci√≥n"/>
    <s v="Paraguay"/>
    <b v="0"/>
    <n v="2021"/>
    <n v="39950899938"/>
    <n v="1670647464062"/>
    <x v="0"/>
    <n v="1"/>
    <x v="2"/>
  </r>
  <r>
    <x v="5668"/>
    <x v="1755"/>
    <x v="52"/>
    <s v="Chile"/>
    <s v="Bolivia"/>
    <n v="1"/>
    <n v="1"/>
    <s v="FIFA World Cup qualification"/>
    <s v="Santiago"/>
    <s v="Chile"/>
    <b v="0"/>
    <n v="2021"/>
    <n v="315325547162"/>
    <n v="47877892402"/>
    <x v="0"/>
    <n v="0"/>
    <x v="1"/>
  </r>
  <r>
    <x v="5669"/>
    <x v="1756"/>
    <x v="52"/>
    <s v="Turkmenistan"/>
    <s v="Lebanon"/>
    <n v="3"/>
    <n v="2"/>
    <s v="FIFA World Cup qualification"/>
    <s v="Goyang"/>
    <s v="South Korea"/>
    <b v="1"/>
    <n v="2021"/>
    <n v="40589905812"/>
    <n v="23131941556"/>
    <x v="1"/>
    <n v="1"/>
    <x v="2"/>
  </r>
  <r>
    <x v="5670"/>
    <x v="1756"/>
    <x v="52"/>
    <s v="South Korea"/>
    <s v="Sri Lanka"/>
    <n v="5"/>
    <n v="0"/>
    <s v="FIFA World Cup qualification"/>
    <s v="Goyang"/>
    <s v="South Korea"/>
    <b v="0"/>
    <n v="2021"/>
    <n v="1942313560965"/>
    <n v="88556698937"/>
    <x v="0"/>
    <n v="1"/>
    <x v="2"/>
  </r>
  <r>
    <x v="5671"/>
    <x v="1757"/>
    <x v="52"/>
    <s v="Philippines"/>
    <s v="Guam"/>
    <n v="3"/>
    <n v="0"/>
    <s v="FIFA World Cup qualification"/>
    <s v="Sharjah"/>
    <s v="United Arab Emirates"/>
    <b v="1"/>
    <n v="2021"/>
    <n v="394087359848"/>
    <n v="6234000000"/>
    <x v="0"/>
    <n v="1"/>
    <x v="2"/>
  </r>
  <r>
    <x v="5672"/>
    <x v="1757"/>
    <x v="52"/>
    <s v="Nepal"/>
    <s v="Australia"/>
    <n v="0"/>
    <n v="3"/>
    <s v="FIFA World Cup qualification"/>
    <s v="Kuwait City"/>
    <s v="Kuwait"/>
    <b v="1"/>
    <n v="2021"/>
    <n v="36924841394"/>
    <n v="1560617493202"/>
    <x v="0"/>
    <n v="1"/>
    <x v="2"/>
  </r>
  <r>
    <x v="5673"/>
    <x v="1757"/>
    <x v="52"/>
    <s v="Kuwait"/>
    <s v="Jordan"/>
    <n v="0"/>
    <n v="0"/>
    <s v="FIFA World Cup qualification"/>
    <s v="Kuwait City"/>
    <s v="Kuwait"/>
    <b v="0"/>
    <n v="2021"/>
    <n v="148350671489"/>
    <n v="46296100140"/>
    <x v="0"/>
    <n v="0"/>
    <x v="1"/>
  </r>
  <r>
    <x v="5674"/>
    <x v="1757"/>
    <x v="52"/>
    <s v="Cambodia"/>
    <s v="Iran"/>
    <n v="0"/>
    <n v="10"/>
    <s v="FIFA World Cup qualification"/>
    <s v="Isa Town"/>
    <s v="Bahrain"/>
    <b v="1"/>
    <n v="2021"/>
    <n v="36790163687"/>
    <n v="407350685583"/>
    <x v="0"/>
    <n v="1"/>
    <x v="2"/>
  </r>
  <r>
    <x v="5675"/>
    <x v="1757"/>
    <x v="52"/>
    <s v="Afghanistan"/>
    <s v="Oman"/>
    <n v="1"/>
    <n v="2"/>
    <s v="FIFA World Cup qualification"/>
    <s v="Doha"/>
    <s v="Qatar"/>
    <b v="1"/>
    <n v="2021"/>
    <n v="14259995441"/>
    <n v="87323797139"/>
    <x v="0"/>
    <n v="1"/>
    <x v="2"/>
  </r>
  <r>
    <x v="5676"/>
    <x v="1757"/>
    <x v="52"/>
    <s v="Malaysia"/>
    <s v="Vietnam"/>
    <n v="1"/>
    <n v="2"/>
    <s v="FIFA World Cup qualification"/>
    <s v="Dubai"/>
    <s v="United Arab Emirates"/>
    <b v="1"/>
    <n v="2021"/>
    <n v="373784553029"/>
    <n v="366474752771"/>
    <x v="1"/>
    <n v="-1"/>
    <x v="0"/>
  </r>
  <r>
    <x v="5677"/>
    <x v="1757"/>
    <x v="52"/>
    <s v="Saudi Arabia"/>
    <s v="Singapore"/>
    <n v="3"/>
    <n v="0"/>
    <s v="FIFA World Cup qualification"/>
    <s v="Riyadh"/>
    <s v="Saudi Arabia"/>
    <b v="0"/>
    <n v="2021"/>
    <n v="982661066666"/>
    <n v="436591382250"/>
    <x v="0"/>
    <n v="1"/>
    <x v="2"/>
  </r>
  <r>
    <x v="5678"/>
    <x v="1757"/>
    <x v="52"/>
    <s v="United Arab Emirates"/>
    <s v="Indonesia"/>
    <n v="5"/>
    <n v="0"/>
    <s v="FIFA World Cup qualification"/>
    <s v="Dubai"/>
    <s v="United Arab Emirates"/>
    <b v="0"/>
    <n v="2021"/>
    <n v="422441388699"/>
    <n v="1186509691086"/>
    <x v="0"/>
    <n v="-1"/>
    <x v="0"/>
  </r>
  <r>
    <x v="5679"/>
    <x v="1758"/>
    <x v="52"/>
    <s v="Haiti"/>
    <s v="Canada"/>
    <n v="0"/>
    <n v="1"/>
    <s v="FIFA World Cup qualification"/>
    <s v="Port-au-Prince"/>
    <s v="Haiti"/>
    <b v="0"/>
    <n v="2021"/>
    <n v="20944387975"/>
    <n v="2022378748423"/>
    <x v="0"/>
    <n v="1"/>
    <x v="2"/>
  </r>
  <r>
    <x v="5680"/>
    <x v="1759"/>
    <x v="52"/>
    <s v="South Korea"/>
    <s v="Lebanon"/>
    <n v="2"/>
    <n v="1"/>
    <s v="FIFA World Cup qualification"/>
    <s v="Goyang"/>
    <s v="South Korea"/>
    <b v="0"/>
    <n v="2021"/>
    <n v="1942313560965"/>
    <n v="23131941556"/>
    <x v="0"/>
    <n v="1"/>
    <x v="2"/>
  </r>
  <r>
    <x v="5681"/>
    <x v="1760"/>
    <x v="52"/>
    <s v="Philippines"/>
    <s v="Maldives"/>
    <n v="1"/>
    <n v="1"/>
    <s v="FIFA World Cup qualification"/>
    <s v="Suzhou"/>
    <s v="China PR"/>
    <b v="1"/>
    <n v="2021"/>
    <n v="394087359848"/>
    <n v="5252457369"/>
    <x v="0"/>
    <n v="0"/>
    <x v="1"/>
  </r>
  <r>
    <x v="5682"/>
    <x v="1760"/>
    <x v="52"/>
    <s v="Australia"/>
    <s v="Jordan"/>
    <n v="1"/>
    <n v="0"/>
    <s v="FIFA World Cup qualification"/>
    <s v="Kuwait City"/>
    <s v="Kuwait"/>
    <b v="1"/>
    <n v="2021"/>
    <n v="1560617493202"/>
    <n v="46296100140"/>
    <x v="0"/>
    <n v="1"/>
    <x v="2"/>
  </r>
  <r>
    <x v="5683"/>
    <x v="1760"/>
    <x v="52"/>
    <s v="Iran"/>
    <s v="Iraq"/>
    <n v="1"/>
    <n v="0"/>
    <s v="FIFA World Cup qualification"/>
    <s v="Arad"/>
    <s v="Iran"/>
    <b v="0"/>
    <n v="2021"/>
    <n v="407350685583"/>
    <n v="209691945713"/>
    <x v="1"/>
    <n v="1"/>
    <x v="2"/>
  </r>
  <r>
    <x v="5684"/>
    <x v="1760"/>
    <x v="52"/>
    <s v="Saudi Arabia"/>
    <s v="Uzbekistan"/>
    <n v="3"/>
    <n v="0"/>
    <s v="FIFA World Cup qualification"/>
    <s v="Riyadh"/>
    <s v="Saudi Arabia"/>
    <b v="0"/>
    <n v="2021"/>
    <n v="982661066666"/>
    <n v="77340060003"/>
    <x v="0"/>
    <n v="1"/>
    <x v="2"/>
  </r>
  <r>
    <x v="5685"/>
    <x v="1760"/>
    <x v="52"/>
    <s v="Bangladesh"/>
    <s v="Oman"/>
    <n v="0"/>
    <n v="3"/>
    <s v="FIFA World Cup qualification"/>
    <s v="Doha"/>
    <s v="Qatar"/>
    <b v="1"/>
    <n v="2021"/>
    <n v="416271647911"/>
    <n v="87323797139"/>
    <x v="0"/>
    <n v="-1"/>
    <x v="0"/>
  </r>
  <r>
    <x v="5686"/>
    <x v="1760"/>
    <x v="52"/>
    <s v="India"/>
    <s v="Afghanistan"/>
    <n v="1"/>
    <n v="1"/>
    <s v="FIFA World Cup qualification"/>
    <s v="Doha"/>
    <s v="Qatar"/>
    <b v="1"/>
    <n v="2021"/>
    <n v="3167270623260"/>
    <n v="14259995441"/>
    <x v="0"/>
    <n v="0"/>
    <x v="1"/>
  </r>
  <r>
    <x v="5687"/>
    <x v="1760"/>
    <x v="52"/>
    <s v="Tajikistan"/>
    <s v="Myanmar"/>
    <n v="4"/>
    <n v="0"/>
    <s v="FIFA World Cup qualification"/>
    <s v="Osaka"/>
    <s v="Japan"/>
    <b v="1"/>
    <n v="2021"/>
    <n v="8937805347"/>
    <n v="66345291149"/>
    <x v="0"/>
    <n v="-1"/>
    <x v="0"/>
  </r>
  <r>
    <x v="5688"/>
    <x v="1760"/>
    <x v="52"/>
    <s v="Thailand"/>
    <s v="Malaysia"/>
    <n v="0"/>
    <n v="1"/>
    <s v="FIFA World Cup qualification"/>
    <s v="Dubai"/>
    <s v="United Arab Emirates"/>
    <b v="1"/>
    <n v="2021"/>
    <n v="506194668789"/>
    <n v="373784553029"/>
    <x v="1"/>
    <n v="-1"/>
    <x v="0"/>
  </r>
  <r>
    <x v="5689"/>
    <x v="1760"/>
    <x v="52"/>
    <s v="United Arab Emirates"/>
    <s v="Vietnam"/>
    <n v="3"/>
    <n v="2"/>
    <s v="FIFA World Cup qualification"/>
    <s v="Dubai"/>
    <s v="United Arab Emirates"/>
    <b v="0"/>
    <n v="2021"/>
    <n v="422441388699"/>
    <n v="366474752771"/>
    <x v="1"/>
    <n v="1"/>
    <x v="2"/>
  </r>
  <r>
    <x v="5690"/>
    <x v="1760"/>
    <x v="52"/>
    <s v="Canada"/>
    <s v="Haiti"/>
    <n v="3"/>
    <n v="0"/>
    <s v="FIFA World Cup qualification"/>
    <s v="Bridgeview"/>
    <s v="United States"/>
    <b v="1"/>
    <n v="2021"/>
    <n v="2022378748423"/>
    <n v="20944387975"/>
    <x v="0"/>
    <n v="1"/>
    <x v="2"/>
  </r>
  <r>
    <x v="5691"/>
    <x v="1761"/>
    <x v="52"/>
    <s v="Mali"/>
    <s v="Rwanda"/>
    <n v="1"/>
    <n v="0"/>
    <s v="FIFA World Cup qualification"/>
    <s v="Agadir"/>
    <s v="Morocco"/>
    <b v="1"/>
    <n v="2021"/>
    <n v="22999245262"/>
    <n v="11078787090"/>
    <x v="0"/>
    <n v="1"/>
    <x v="2"/>
  </r>
  <r>
    <x v="5692"/>
    <x v="1761"/>
    <x v="52"/>
    <s v="Egypt"/>
    <s v="Angola"/>
    <n v="1"/>
    <n v="0"/>
    <s v="FIFA World Cup qualification"/>
    <s v="Cairo"/>
    <s v="Egypt"/>
    <b v="0"/>
    <n v="2021"/>
    <n v="424671765455"/>
    <n v="79559543805"/>
    <x v="0"/>
    <n v="1"/>
    <x v="2"/>
  </r>
  <r>
    <x v="5693"/>
    <x v="1761"/>
    <x v="52"/>
    <s v="Libya"/>
    <s v="Gabon"/>
    <n v="2"/>
    <n v="1"/>
    <s v="FIFA World Cup qualification"/>
    <s v="Benina"/>
    <s v="Libya"/>
    <b v="0"/>
    <n v="2021"/>
    <n v="35217995647"/>
    <n v="19444935097"/>
    <x v="1"/>
    <n v="1"/>
    <x v="2"/>
  </r>
  <r>
    <x v="5694"/>
    <x v="1761"/>
    <x v="52"/>
    <s v="Senegal"/>
    <s v="Togo"/>
    <n v="2"/>
    <n v="0"/>
    <s v="FIFA World Cup qualification"/>
    <s v="Thi√®s"/>
    <s v="Senegal"/>
    <b v="0"/>
    <n v="2021"/>
    <n v="27520784129"/>
    <n v="8541668141"/>
    <x v="0"/>
    <n v="1"/>
    <x v="2"/>
  </r>
  <r>
    <x v="5695"/>
    <x v="1761"/>
    <x v="52"/>
    <s v="Guinea-Bissau"/>
    <s v="Guinea"/>
    <n v="1"/>
    <n v="1"/>
    <s v="FIFA World Cup qualification"/>
    <s v="Nouakchott"/>
    <s v="Mauritania"/>
    <b v="1"/>
    <n v="2021"/>
    <n v="1908094558"/>
    <n v="17069115737"/>
    <x v="0"/>
    <n v="0"/>
    <x v="1"/>
  </r>
  <r>
    <x v="5696"/>
    <x v="1761"/>
    <x v="52"/>
    <s v="Luxembourg"/>
    <s v="Azerbaijan"/>
    <n v="2"/>
    <n v="1"/>
    <s v="FIFA World Cup qualification"/>
    <s v="Luxembourg"/>
    <s v="Luxembourg"/>
    <b v="0"/>
    <n v="2021"/>
    <n v="86386759695"/>
    <n v="54825411764"/>
    <x v="1"/>
    <n v="1"/>
    <x v="2"/>
  </r>
  <r>
    <x v="5697"/>
    <x v="1761"/>
    <x v="52"/>
    <s v="Kazakhstan"/>
    <s v="Ukraine"/>
    <n v="2"/>
    <n v="2"/>
    <s v="FIFA World Cup qualification"/>
    <s v="Nur-Sultan"/>
    <s v="Kazakhstan"/>
    <b v="0"/>
    <n v="2021"/>
    <n v="197112255360"/>
    <n v="199765859570"/>
    <x v="1"/>
    <n v="0"/>
    <x v="1"/>
  </r>
  <r>
    <x v="5698"/>
    <x v="1761"/>
    <x v="52"/>
    <s v="France"/>
    <s v="Bosnia and Herzegovina"/>
    <n v="1"/>
    <n v="1"/>
    <s v="FIFA World Cup qualification"/>
    <s v="Strasbourg"/>
    <s v="France"/>
    <b v="0"/>
    <n v="2021"/>
    <n v="2966433692008"/>
    <n v="23672712121"/>
    <x v="0"/>
    <n v="0"/>
    <x v="1"/>
  </r>
  <r>
    <x v="5699"/>
    <x v="1761"/>
    <x v="52"/>
    <s v="Faroe Islands"/>
    <s v="Israel"/>
    <n v="0"/>
    <n v="4"/>
    <s v="FIFA World Cup qualification"/>
    <s v="T√≥rshavn"/>
    <s v="Faroe Islands"/>
    <b v="0"/>
    <n v="2021"/>
    <n v="3699551717"/>
    <n v="489851549972"/>
    <x v="0"/>
    <n v="1"/>
    <x v="2"/>
  </r>
  <r>
    <x v="5700"/>
    <x v="1761"/>
    <x v="52"/>
    <s v="Moldova"/>
    <s v="Austria"/>
    <n v="0"/>
    <n v="2"/>
    <s v="FIFA World Cup qualification"/>
    <s v="Chi»ôinƒÉu"/>
    <s v="Moldova"/>
    <b v="0"/>
    <n v="2021"/>
    <n v="13691869264"/>
    <n v="480466363176"/>
    <x v="0"/>
    <n v="1"/>
    <x v="2"/>
  </r>
  <r>
    <x v="5701"/>
    <x v="1761"/>
    <x v="52"/>
    <s v="Norway"/>
    <s v="Netherlands"/>
    <n v="1"/>
    <n v="1"/>
    <s v="FIFA World Cup qualification"/>
    <s v="Oslo"/>
    <s v="Norway"/>
    <b v="0"/>
    <n v="2021"/>
    <n v="503367986030"/>
    <n v="1054472123449"/>
    <x v="0"/>
    <n v="0"/>
    <x v="1"/>
  </r>
  <r>
    <x v="5702"/>
    <x v="1761"/>
    <x v="52"/>
    <s v="Malta"/>
    <s v="Cyprus"/>
    <n v="3"/>
    <n v="0"/>
    <s v="FIFA World Cup qualification"/>
    <s v="Ta' Qali"/>
    <s v="Malta"/>
    <b v="0"/>
    <n v="2021"/>
    <n v="19739875611"/>
    <n v="30372642502"/>
    <x v="1"/>
    <n v="-1"/>
    <x v="0"/>
  </r>
  <r>
    <x v="5703"/>
    <x v="1761"/>
    <x v="52"/>
    <s v="Russia"/>
    <s v="Croatia"/>
    <n v="0"/>
    <n v="0"/>
    <s v="FIFA World Cup qualification"/>
    <s v="Moscow"/>
    <s v="Russia"/>
    <b v="0"/>
    <n v="2021"/>
    <n v="1829186719575"/>
    <n v="69002365163"/>
    <x v="0"/>
    <n v="0"/>
    <x v="1"/>
  </r>
  <r>
    <x v="5704"/>
    <x v="1762"/>
    <x v="52"/>
    <s v="Niger"/>
    <s v="Burkina Faso"/>
    <n v="0"/>
    <n v="2"/>
    <s v="FIFA World Cup qualification"/>
    <s v="Marrakech"/>
    <s v="Morocco"/>
    <b v="1"/>
    <n v="2021"/>
    <n v="14915002436"/>
    <n v="19697516284"/>
    <x v="1"/>
    <n v="1"/>
    <x v="2"/>
  </r>
  <r>
    <x v="5705"/>
    <x v="1762"/>
    <x v="52"/>
    <s v="Algeria"/>
    <s v="Djibouti"/>
    <n v="8"/>
    <n v="0"/>
    <s v="FIFA World Cup qualification"/>
    <s v="Blida"/>
    <s v="Algeria"/>
    <b v="0"/>
    <n v="2021"/>
    <n v="186231205262"/>
    <n v="3392796953"/>
    <x v="0"/>
    <n v="1"/>
    <x v="2"/>
  </r>
  <r>
    <x v="5706"/>
    <x v="1762"/>
    <x v="52"/>
    <s v="Kenya"/>
    <s v="Uganda"/>
    <n v="0"/>
    <n v="0"/>
    <s v="FIFA World Cup qualification"/>
    <s v="Nairobi"/>
    <s v="Kenya"/>
    <b v="0"/>
    <n v="2021"/>
    <n v="109703658904"/>
    <n v="40529788748"/>
    <x v="0"/>
    <n v="0"/>
    <x v="1"/>
  </r>
  <r>
    <x v="5707"/>
    <x v="1762"/>
    <x v="52"/>
    <s v="Morocco"/>
    <s v="Sudan"/>
    <n v="2"/>
    <n v="0"/>
    <s v="FIFA World Cup qualification"/>
    <s v="Rabat"/>
    <s v="Morocco"/>
    <b v="0"/>
    <n v="2021"/>
    <n v="142022058447"/>
    <n v="34229513774"/>
    <x v="0"/>
    <n v="1"/>
    <x v="2"/>
  </r>
  <r>
    <x v="5708"/>
    <x v="1762"/>
    <x v="52"/>
    <s v="Madagascar"/>
    <s v="Benin"/>
    <n v="0"/>
    <n v="1"/>
    <s v="FIFA World Cup qualification"/>
    <s v="Antananarivo"/>
    <s v="Madagascar"/>
    <b v="0"/>
    <n v="2021"/>
    <n v="14354731964"/>
    <n v="17687623530"/>
    <x v="1"/>
    <n v="1"/>
    <x v="2"/>
  </r>
  <r>
    <x v="5709"/>
    <x v="1762"/>
    <x v="52"/>
    <s v="South Korea"/>
    <s v="Iraq"/>
    <n v="0"/>
    <n v="0"/>
    <s v="FIFA World Cup qualification"/>
    <s v="Seoul"/>
    <s v="South Korea"/>
    <b v="0"/>
    <n v="2021"/>
    <n v="1942313560965"/>
    <n v="209691945713"/>
    <x v="0"/>
    <n v="0"/>
    <x v="1"/>
  </r>
  <r>
    <x v="5710"/>
    <x v="1762"/>
    <x v="52"/>
    <s v="Iran"/>
    <s v="Syria"/>
    <n v="1"/>
    <n v="0"/>
    <s v="FIFA World Cup qualification"/>
    <s v="Tehran"/>
    <s v="Iran"/>
    <b v="0"/>
    <n v="2021"/>
    <n v="407350685583"/>
    <n v="14353205678"/>
    <x v="0"/>
    <n v="1"/>
    <x v="2"/>
  </r>
  <r>
    <x v="5711"/>
    <x v="1762"/>
    <x v="52"/>
    <s v="United Arab Emirates"/>
    <s v="Lebanon"/>
    <n v="0"/>
    <n v="0"/>
    <s v="FIFA World Cup qualification"/>
    <s v="Dubai"/>
    <s v="United Arab Emirates"/>
    <b v="0"/>
    <n v="2021"/>
    <n v="422441388699"/>
    <n v="23131941556"/>
    <x v="0"/>
    <n v="0"/>
    <x v="1"/>
  </r>
  <r>
    <x v="5712"/>
    <x v="1762"/>
    <x v="52"/>
    <s v="Japan"/>
    <s v="Oman"/>
    <n v="0"/>
    <n v="1"/>
    <s v="FIFA World Cup qualification"/>
    <s v="Suita"/>
    <s v="Japan"/>
    <b v="0"/>
    <n v="2021"/>
    <n v="5039148168861"/>
    <n v="87323797139"/>
    <x v="0"/>
    <n v="-1"/>
    <x v="0"/>
  </r>
  <r>
    <x v="5713"/>
    <x v="1762"/>
    <x v="52"/>
    <s v="Saudi Arabia"/>
    <s v="Vietnam"/>
    <n v="3"/>
    <n v="1"/>
    <s v="FIFA World Cup qualification"/>
    <s v="Riyadh"/>
    <s v="Saudi Arabia"/>
    <b v="0"/>
    <n v="2021"/>
    <n v="982661066666"/>
    <n v="366474752771"/>
    <x v="0"/>
    <n v="1"/>
    <x v="2"/>
  </r>
  <r>
    <x v="5714"/>
    <x v="1762"/>
    <x v="52"/>
    <s v="Georgia"/>
    <s v="Kosovo"/>
    <n v="0"/>
    <n v="1"/>
    <s v="FIFA World Cup qualification"/>
    <s v="Batumi"/>
    <s v="Georgia"/>
    <b v="0"/>
    <n v="2021"/>
    <n v="18853115588"/>
    <n v="9413408574"/>
    <x v="0"/>
    <n v="-1"/>
    <x v="0"/>
  </r>
  <r>
    <x v="5715"/>
    <x v="1762"/>
    <x v="52"/>
    <s v="Sweden"/>
    <s v="Spain"/>
    <n v="2"/>
    <n v="1"/>
    <s v="FIFA World Cup qualification"/>
    <s v="Stockholm"/>
    <s v="Sweden"/>
    <b v="0"/>
    <n v="2021"/>
    <n v="631693331300"/>
    <n v="1461244901852"/>
    <x v="0"/>
    <n v="-1"/>
    <x v="0"/>
  </r>
  <r>
    <x v="5716"/>
    <x v="1762"/>
    <x v="52"/>
    <s v="Italy"/>
    <s v="Bulgaria"/>
    <n v="1"/>
    <n v="1"/>
    <s v="FIFA World Cup qualification"/>
    <s v="Florence"/>
    <s v="Italy"/>
    <b v="0"/>
    <n v="2021"/>
    <n v="2179207773596"/>
    <n v="84374613233"/>
    <x v="0"/>
    <n v="0"/>
    <x v="1"/>
  </r>
  <r>
    <x v="5717"/>
    <x v="1762"/>
    <x v="52"/>
    <s v="Estonia"/>
    <s v="Belgium"/>
    <n v="2"/>
    <n v="5"/>
    <s v="FIFA World Cup qualification"/>
    <s v="Tallinn"/>
    <s v="Estonia"/>
    <b v="0"/>
    <n v="2021"/>
    <n v="37201101170"/>
    <n v="598522422241"/>
    <x v="0"/>
    <n v="1"/>
    <x v="2"/>
  </r>
  <r>
    <x v="5718"/>
    <x v="1762"/>
    <x v="52"/>
    <s v="Andorra"/>
    <s v="San Marino"/>
    <n v="2"/>
    <n v="0"/>
    <s v="FIFA World Cup qualification"/>
    <s v="Andorra la Vella"/>
    <s v="Andorra"/>
    <b v="0"/>
    <n v="2021"/>
    <n v="3324648075"/>
    <n v="1855652786"/>
    <x v="1"/>
    <n v="1"/>
    <x v="2"/>
  </r>
  <r>
    <x v="5719"/>
    <x v="1762"/>
    <x v="52"/>
    <s v="Hungary"/>
    <s v="England"/>
    <n v="0"/>
    <n v="4"/>
    <s v="FIFA World Cup qualification"/>
    <s v="Budapest"/>
    <s v="Hungary"/>
    <b v="0"/>
    <n v="2021"/>
    <n v="183282685440"/>
    <n v="3194559188925"/>
    <x v="0"/>
    <n v="1"/>
    <x v="2"/>
  </r>
  <r>
    <x v="5720"/>
    <x v="1762"/>
    <x v="52"/>
    <s v="Poland"/>
    <s v="Albania"/>
    <n v="4"/>
    <n v="1"/>
    <s v="FIFA World Cup qualification"/>
    <s v="Warsaw"/>
    <s v="Poland"/>
    <b v="0"/>
    <n v="2021"/>
    <n v="689170230665"/>
    <n v="18031989573"/>
    <x v="0"/>
    <n v="1"/>
    <x v="2"/>
  </r>
  <r>
    <x v="5721"/>
    <x v="1762"/>
    <x v="52"/>
    <s v="Iceland"/>
    <s v="Romania"/>
    <n v="0"/>
    <n v="2"/>
    <s v="FIFA World Cup qualification"/>
    <s v="Reykjav√≠k"/>
    <s v="Iceland"/>
    <b v="0"/>
    <n v="2021"/>
    <n v="26234872402"/>
    <n v="285071280114"/>
    <x v="0"/>
    <n v="1"/>
    <x v="2"/>
  </r>
  <r>
    <x v="5722"/>
    <x v="1762"/>
    <x v="52"/>
    <s v="Liechtenstein"/>
    <s v="Germany"/>
    <n v="0"/>
    <n v="2"/>
    <s v="FIFA World Cup qualification"/>
    <s v="St. Gallen"/>
    <s v="Switzerland"/>
    <b v="1"/>
    <n v="2021"/>
    <n v="7912602342"/>
    <n v="4355251953410"/>
    <x v="0"/>
    <n v="1"/>
    <x v="2"/>
  </r>
  <r>
    <x v="5723"/>
    <x v="1762"/>
    <x v="52"/>
    <s v="North Macedonia"/>
    <s v="Armenia"/>
    <n v="0"/>
    <n v="0"/>
    <s v="FIFA World Cup qualification"/>
    <s v="Skopje"/>
    <s v="North Macedonia"/>
    <b v="0"/>
    <n v="2021"/>
    <n v="14000283827"/>
    <n v="13878908628"/>
    <x v="1"/>
    <n v="0"/>
    <x v="1"/>
  </r>
  <r>
    <x v="5724"/>
    <x v="1762"/>
    <x v="52"/>
    <s v="Bolivia"/>
    <s v="Colombia"/>
    <n v="1"/>
    <n v="1"/>
    <s v="FIFA World Cup qualification"/>
    <s v="La Paz"/>
    <s v="Bolivia"/>
    <b v="0"/>
    <n v="2021"/>
    <n v="47877892402"/>
    <n v="318524633225"/>
    <x v="0"/>
    <n v="0"/>
    <x v="1"/>
  </r>
  <r>
    <x v="5725"/>
    <x v="1762"/>
    <x v="52"/>
    <s v="Ecuador"/>
    <s v="Paraguay"/>
    <n v="2"/>
    <n v="0"/>
    <s v="FIFA World Cup qualification"/>
    <s v="Quito"/>
    <s v="Ecuador"/>
    <b v="0"/>
    <n v="2021"/>
    <n v="107179074000"/>
    <n v="39950899938"/>
    <x v="0"/>
    <n v="1"/>
    <x v="2"/>
  </r>
  <r>
    <x v="5726"/>
    <x v="1762"/>
    <x v="52"/>
    <s v="Peru"/>
    <s v="Uruguay"/>
    <n v="1"/>
    <n v="1"/>
    <s v="FIFA World Cup qualification"/>
    <s v="Lima"/>
    <s v="Peru"/>
    <b v="0"/>
    <n v="2021"/>
    <n v="226328766459"/>
    <n v="60739084240"/>
    <x v="0"/>
    <n v="0"/>
    <x v="1"/>
  </r>
  <r>
    <x v="5727"/>
    <x v="1762"/>
    <x v="52"/>
    <s v="Venezuela"/>
    <s v="Argentina"/>
    <n v="1"/>
    <n v="3"/>
    <s v="FIFA World Cup qualification"/>
    <s v="Caracas"/>
    <s v="Venezuela"/>
    <b v="0"/>
    <n v="2021"/>
    <n v="56614976854"/>
    <n v="486564085480"/>
    <x v="0"/>
    <n v="1"/>
    <x v="2"/>
  </r>
  <r>
    <x v="5728"/>
    <x v="1762"/>
    <x v="52"/>
    <s v="Chile"/>
    <s v="Brazil"/>
    <n v="0"/>
    <n v="1"/>
    <s v="FIFA World Cup qualification"/>
    <s v="Santiago"/>
    <s v="Chile"/>
    <b v="0"/>
    <n v="2021"/>
    <n v="315325547162"/>
    <n v="1670647464062"/>
    <x v="0"/>
    <n v="1"/>
    <x v="2"/>
  </r>
  <r>
    <x v="5729"/>
    <x v="1762"/>
    <x v="52"/>
    <s v="Canada"/>
    <s v="Honduras"/>
    <n v="1"/>
    <n v="1"/>
    <s v="FIFA World Cup qualification"/>
    <s v="Toronto"/>
    <s v="Canada"/>
    <b v="0"/>
    <n v="2021"/>
    <n v="2022378748423"/>
    <n v="28144331506"/>
    <x v="0"/>
    <n v="0"/>
    <x v="1"/>
  </r>
  <r>
    <x v="5730"/>
    <x v="1762"/>
    <x v="52"/>
    <s v="El Salvador"/>
    <s v="United States"/>
    <n v="0"/>
    <n v="0"/>
    <s v="FIFA World Cup qualification"/>
    <s v="San Salvador"/>
    <s v="El Salvador"/>
    <b v="0"/>
    <n v="2021"/>
    <n v="29043140000"/>
    <n v="23315080560000"/>
    <x v="0"/>
    <n v="0"/>
    <x v="1"/>
  </r>
  <r>
    <x v="5731"/>
    <x v="1762"/>
    <x v="52"/>
    <s v="Panama"/>
    <s v="Costa Rica"/>
    <n v="0"/>
    <n v="0"/>
    <s v="FIFA World Cup qualification"/>
    <s v="Panama City"/>
    <s v="Panama"/>
    <b v="0"/>
    <n v="2021"/>
    <n v="67396392506"/>
    <n v="64960725734"/>
    <x v="1"/>
    <n v="0"/>
    <x v="1"/>
  </r>
  <r>
    <x v="5732"/>
    <x v="1762"/>
    <x v="52"/>
    <s v="Mexico"/>
    <s v="Jamaica"/>
    <n v="2"/>
    <n v="1"/>
    <s v="FIFA World Cup qualification"/>
    <s v="Mexico City"/>
    <s v="Mexico"/>
    <b v="0"/>
    <n v="2021"/>
    <n v="1316569466685"/>
    <n v="15963885376"/>
    <x v="0"/>
    <n v="1"/>
    <x v="2"/>
  </r>
  <r>
    <x v="5733"/>
    <x v="1763"/>
    <x v="52"/>
    <s v="Mauritania"/>
    <s v="Zambia"/>
    <n v="1"/>
    <n v="2"/>
    <s v="FIFA World Cup qualification"/>
    <s v="Nouakchott"/>
    <s v="Mauritania"/>
    <b v="0"/>
    <n v="2021"/>
    <n v="9222536364"/>
    <n v="22096416932"/>
    <x v="0"/>
    <n v="1"/>
    <x v="2"/>
  </r>
  <r>
    <x v="5734"/>
    <x v="1763"/>
    <x v="52"/>
    <s v="Tunisia"/>
    <s v="Equatorial Guinea"/>
    <n v="3"/>
    <n v="0"/>
    <s v="FIFA World Cup qualification"/>
    <s v="Rad√®s"/>
    <s v="Tunisia"/>
    <b v="0"/>
    <n v="2021"/>
    <n v="47073234359"/>
    <n v="12215878032"/>
    <x v="0"/>
    <n v="1"/>
    <x v="2"/>
  </r>
  <r>
    <x v="5735"/>
    <x v="1763"/>
    <x v="52"/>
    <s v="Nigeria"/>
    <s v="Liberia"/>
    <n v="2"/>
    <n v="0"/>
    <s v="FIFA World Cup qualification"/>
    <s v="Lagos"/>
    <s v="Nigeria"/>
    <b v="0"/>
    <n v="2021"/>
    <n v="609147716972"/>
    <n v="3513049500"/>
    <x v="0"/>
    <n v="1"/>
    <x v="2"/>
  </r>
  <r>
    <x v="5736"/>
    <x v="1763"/>
    <x v="52"/>
    <s v="Cameroon"/>
    <s v="Malawi"/>
    <n v="2"/>
    <n v="0"/>
    <s v="FIFA World Cup qualification"/>
    <s v="Yaound√©"/>
    <s v="Cameroon"/>
    <b v="0"/>
    <n v="2021"/>
    <n v="45011937346"/>
    <n v="12378119199"/>
    <x v="0"/>
    <n v="1"/>
    <x v="2"/>
  </r>
  <r>
    <x v="5737"/>
    <x v="1763"/>
    <x v="52"/>
    <s v="Zimbabwe"/>
    <s v="South Africa"/>
    <n v="0"/>
    <n v="0"/>
    <s v="FIFA World Cup qualification"/>
    <s v="Harare"/>
    <s v="Zimbabwe"/>
    <b v="0"/>
    <n v="2021"/>
    <n v="41287673690"/>
    <n v="419986284375"/>
    <x v="0"/>
    <n v="0"/>
    <x v="1"/>
  </r>
  <r>
    <x v="5738"/>
    <x v="1763"/>
    <x v="52"/>
    <s v="Ghana"/>
    <s v="Ethiopia"/>
    <n v="1"/>
    <n v="0"/>
    <s v="FIFA World Cup qualification"/>
    <s v="Cape Coast"/>
    <s v="Ghana"/>
    <b v="0"/>
    <n v="2021"/>
    <n v="79514204730"/>
    <n v="109070960371"/>
    <x v="1"/>
    <n v="-1"/>
    <x v="0"/>
  </r>
  <r>
    <x v="5739"/>
    <x v="1764"/>
    <x v="52"/>
    <s v="Serbia"/>
    <s v="Luxembourg"/>
    <n v="4"/>
    <n v="1"/>
    <s v="FIFA World Cup qualification"/>
    <s v="Belgrade"/>
    <s v="Serbia"/>
    <b v="0"/>
    <n v="2021"/>
    <n v="66159884072"/>
    <n v="86386759695"/>
    <x v="1"/>
    <n v="-1"/>
    <x v="0"/>
  </r>
  <r>
    <x v="5740"/>
    <x v="1764"/>
    <x v="52"/>
    <s v="Finland"/>
    <s v="Kazakhstan"/>
    <n v="1"/>
    <n v="0"/>
    <s v="FIFA World Cup qualification"/>
    <s v="Helsinki"/>
    <s v="Finland"/>
    <b v="0"/>
    <n v="2021"/>
    <n v="294223210496"/>
    <n v="197112255360"/>
    <x v="1"/>
    <n v="1"/>
    <x v="2"/>
  </r>
  <r>
    <x v="5741"/>
    <x v="1764"/>
    <x v="52"/>
    <s v="Ukraine"/>
    <s v="France"/>
    <n v="1"/>
    <n v="1"/>
    <s v="FIFA World Cup qualification"/>
    <s v="Kyiv"/>
    <s v="Ukraine"/>
    <b v="0"/>
    <n v="2021"/>
    <n v="199765859570"/>
    <n v="2966433692008"/>
    <x v="0"/>
    <n v="0"/>
    <x v="1"/>
  </r>
  <r>
    <x v="5742"/>
    <x v="1764"/>
    <x v="52"/>
    <s v="Faroe Islands"/>
    <s v="Denmark"/>
    <n v="0"/>
    <n v="1"/>
    <s v="FIFA World Cup qualification"/>
    <s v="T√≥rshavn"/>
    <s v="Faroe Islands"/>
    <b v="0"/>
    <n v="2021"/>
    <n v="3699551717"/>
    <n v="406110162088"/>
    <x v="0"/>
    <n v="1"/>
    <x v="2"/>
  </r>
  <r>
    <x v="5743"/>
    <x v="1764"/>
    <x v="52"/>
    <s v="Israel"/>
    <s v="Austria"/>
    <n v="5"/>
    <n v="2"/>
    <s v="FIFA World Cup qualification"/>
    <s v="Haifa"/>
    <s v="Israel"/>
    <b v="0"/>
    <n v="2021"/>
    <n v="489851549972"/>
    <n v="480466363176"/>
    <x v="1"/>
    <n v="1"/>
    <x v="2"/>
  </r>
  <r>
    <x v="5744"/>
    <x v="1764"/>
    <x v="52"/>
    <s v="Latvia"/>
    <s v="Norway"/>
    <n v="0"/>
    <n v="2"/>
    <s v="FIFA World Cup qualification"/>
    <s v="Riga"/>
    <s v="Latvia"/>
    <b v="0"/>
    <n v="2021"/>
    <n v="38183326784"/>
    <n v="503367986030"/>
    <x v="0"/>
    <n v="1"/>
    <x v="2"/>
  </r>
  <r>
    <x v="5745"/>
    <x v="1764"/>
    <x v="52"/>
    <s v="Netherlands"/>
    <s v="Montenegro"/>
    <n v="4"/>
    <n v="0"/>
    <s v="FIFA World Cup qualification"/>
    <s v="Eindhoven"/>
    <s v="Netherlands"/>
    <b v="0"/>
    <n v="2021"/>
    <n v="1054472123449"/>
    <n v="5823715809"/>
    <x v="0"/>
    <n v="1"/>
    <x v="2"/>
  </r>
  <r>
    <x v="5746"/>
    <x v="1764"/>
    <x v="52"/>
    <s v="Slovenia"/>
    <s v="Malta"/>
    <n v="1"/>
    <n v="0"/>
    <s v="FIFA World Cup qualification"/>
    <s v="Ljubljana"/>
    <s v="Slovenia"/>
    <b v="0"/>
    <n v="2021"/>
    <n v="61540813361"/>
    <n v="19739875611"/>
    <x v="0"/>
    <n v="1"/>
    <x v="2"/>
  </r>
  <r>
    <x v="5747"/>
    <x v="1764"/>
    <x v="52"/>
    <s v="Cyprus"/>
    <s v="Russia"/>
    <n v="0"/>
    <n v="2"/>
    <s v="FIFA World Cup qualification"/>
    <s v="Nicosia"/>
    <s v="Cyprus"/>
    <b v="0"/>
    <n v="2021"/>
    <n v="30372642502"/>
    <n v="1829186719575"/>
    <x v="0"/>
    <n v="1"/>
    <x v="2"/>
  </r>
  <r>
    <x v="5748"/>
    <x v="1765"/>
    <x v="52"/>
    <s v="Rwanda"/>
    <s v="Kenya"/>
    <n v="1"/>
    <n v="1"/>
    <s v="FIFA World Cup qualification"/>
    <s v="Kigali"/>
    <s v="Rwanda"/>
    <b v="0"/>
    <n v="2021"/>
    <n v="11078787090"/>
    <n v="109703658904"/>
    <x v="0"/>
    <n v="0"/>
    <x v="1"/>
  </r>
  <r>
    <x v="5749"/>
    <x v="1765"/>
    <x v="52"/>
    <s v="Gabon"/>
    <s v="Egypt"/>
    <n v="1"/>
    <n v="1"/>
    <s v="FIFA World Cup qualification"/>
    <s v="Franceville"/>
    <s v="Gabon"/>
    <b v="0"/>
    <n v="2021"/>
    <n v="19444935097"/>
    <n v="424671765455"/>
    <x v="0"/>
    <n v="0"/>
    <x v="1"/>
  </r>
  <r>
    <x v="5750"/>
    <x v="1765"/>
    <x v="52"/>
    <s v="Togo"/>
    <s v="Namibia"/>
    <n v="0"/>
    <n v="1"/>
    <s v="FIFA World Cup qualification"/>
    <s v="Lom√©"/>
    <s v="Togo"/>
    <b v="0"/>
    <n v="2021"/>
    <n v="8541668141"/>
    <n v="12402486183"/>
    <x v="1"/>
    <n v="1"/>
    <x v="2"/>
  </r>
  <r>
    <x v="5751"/>
    <x v="1765"/>
    <x v="52"/>
    <s v="Kosovo"/>
    <s v="Greece"/>
    <n v="1"/>
    <n v="1"/>
    <s v="FIFA World Cup qualification"/>
    <s v="Pristina"/>
    <s v="Kosovo"/>
    <b v="0"/>
    <n v="2021"/>
    <n v="9413408574"/>
    <n v="218303801895"/>
    <x v="0"/>
    <n v="0"/>
    <x v="1"/>
  </r>
  <r>
    <x v="5752"/>
    <x v="1765"/>
    <x v="52"/>
    <s v="Spain"/>
    <s v="Georgia"/>
    <n v="4"/>
    <n v="0"/>
    <s v="FIFA World Cup qualification"/>
    <s v="Badajoz"/>
    <s v="Spain"/>
    <b v="0"/>
    <n v="2021"/>
    <n v="1461244901852"/>
    <n v="18853115588"/>
    <x v="0"/>
    <n v="1"/>
    <x v="2"/>
  </r>
  <r>
    <x v="5753"/>
    <x v="1765"/>
    <x v="52"/>
    <s v="Bulgaria"/>
    <s v="Lithuania"/>
    <n v="1"/>
    <n v="0"/>
    <s v="FIFA World Cup qualification"/>
    <s v="Sofia"/>
    <s v="Bulgaria"/>
    <b v="0"/>
    <n v="2021"/>
    <n v="84374613233"/>
    <n v="67037321008"/>
    <x v="1"/>
    <n v="1"/>
    <x v="2"/>
  </r>
  <r>
    <x v="5754"/>
    <x v="1765"/>
    <x v="52"/>
    <s v="Switzerland"/>
    <s v="Italy"/>
    <n v="0"/>
    <n v="0"/>
    <s v="FIFA World Cup qualification"/>
    <s v="Basel"/>
    <s v="Switzerland"/>
    <b v="0"/>
    <n v="2021"/>
    <n v="815309330986"/>
    <n v="2179207773596"/>
    <x v="0"/>
    <n v="0"/>
    <x v="1"/>
  </r>
  <r>
    <x v="5755"/>
    <x v="1765"/>
    <x v="52"/>
    <s v="England"/>
    <s v="Andorra"/>
    <n v="4"/>
    <n v="0"/>
    <s v="FIFA World Cup qualification"/>
    <s v="London"/>
    <s v="England"/>
    <b v="0"/>
    <n v="2021"/>
    <n v="3194559188925"/>
    <n v="3324648075"/>
    <x v="0"/>
    <n v="1"/>
    <x v="2"/>
  </r>
  <r>
    <x v="5756"/>
    <x v="1765"/>
    <x v="52"/>
    <s v="Albania"/>
    <s v="Hungary"/>
    <n v="1"/>
    <n v="0"/>
    <s v="FIFA World Cup qualification"/>
    <s v="Elbasan"/>
    <s v="Albania"/>
    <b v="0"/>
    <n v="2021"/>
    <n v="18031989573"/>
    <n v="183282685440"/>
    <x v="0"/>
    <n v="-1"/>
    <x v="0"/>
  </r>
  <r>
    <x v="5757"/>
    <x v="1765"/>
    <x v="52"/>
    <s v="San Marino"/>
    <s v="Poland"/>
    <n v="1"/>
    <n v="7"/>
    <s v="FIFA World Cup qualification"/>
    <s v="Serravalle"/>
    <s v="San Marino"/>
    <b v="0"/>
    <n v="2021"/>
    <n v="1855652786"/>
    <n v="689170230665"/>
    <x v="0"/>
    <n v="1"/>
    <x v="2"/>
  </r>
  <r>
    <x v="5758"/>
    <x v="1765"/>
    <x v="52"/>
    <s v="Iceland"/>
    <s v="North Macedonia"/>
    <n v="2"/>
    <n v="2"/>
    <s v="FIFA World Cup qualification"/>
    <s v="Reykjav√≠k"/>
    <s v="Iceland"/>
    <b v="0"/>
    <n v="2021"/>
    <n v="26234872402"/>
    <n v="14000283827"/>
    <x v="1"/>
    <n v="0"/>
    <x v="1"/>
  </r>
  <r>
    <x v="5759"/>
    <x v="1765"/>
    <x v="52"/>
    <s v="Germany"/>
    <s v="Armenia"/>
    <n v="6"/>
    <n v="0"/>
    <s v="FIFA World Cup qualification"/>
    <s v="Stuttgart"/>
    <s v="Germany"/>
    <b v="0"/>
    <n v="2021"/>
    <n v="4355251953410"/>
    <n v="13878908628"/>
    <x v="0"/>
    <n v="1"/>
    <x v="2"/>
  </r>
  <r>
    <x v="5760"/>
    <x v="1765"/>
    <x v="52"/>
    <s v="Romania"/>
    <s v="Liechtenstein"/>
    <n v="2"/>
    <n v="0"/>
    <s v="FIFA World Cup qualification"/>
    <s v="Bucharest"/>
    <s v="Romania"/>
    <b v="0"/>
    <n v="2021"/>
    <n v="285071280114"/>
    <n v="7912602342"/>
    <x v="0"/>
    <n v="1"/>
    <x v="2"/>
  </r>
  <r>
    <x v="5761"/>
    <x v="1765"/>
    <x v="52"/>
    <s v="Ecuador"/>
    <s v="Chile"/>
    <n v="0"/>
    <n v="0"/>
    <s v="FIFA World Cup qualification"/>
    <s v="Quito"/>
    <s v="Ecuador"/>
    <b v="0"/>
    <n v="2021"/>
    <n v="107179074000"/>
    <n v="315325547162"/>
    <x v="0"/>
    <n v="0"/>
    <x v="1"/>
  </r>
  <r>
    <x v="5762"/>
    <x v="1765"/>
    <x v="52"/>
    <s v="Paraguay"/>
    <s v="Colombia"/>
    <n v="1"/>
    <n v="1"/>
    <s v="FIFA World Cup qualification"/>
    <s v="Asunci√≥n"/>
    <s v="Paraguay"/>
    <b v="0"/>
    <n v="2021"/>
    <n v="39950899938"/>
    <n v="318524633225"/>
    <x v="0"/>
    <n v="0"/>
    <x v="1"/>
  </r>
  <r>
    <x v="5763"/>
    <x v="1765"/>
    <x v="52"/>
    <s v="Uruguay"/>
    <s v="Bolivia"/>
    <n v="4"/>
    <n v="2"/>
    <s v="FIFA World Cup qualification"/>
    <s v="Montevideo"/>
    <s v="Uruguay"/>
    <b v="0"/>
    <n v="2021"/>
    <n v="60739084240"/>
    <n v="47877892402"/>
    <x v="1"/>
    <n v="1"/>
    <x v="2"/>
  </r>
  <r>
    <x v="5764"/>
    <x v="1765"/>
    <x v="52"/>
    <s v="Peru"/>
    <s v="Venezuela"/>
    <n v="1"/>
    <n v="0"/>
    <s v="FIFA World Cup qualification"/>
    <s v="Lima"/>
    <s v="Peru"/>
    <b v="0"/>
    <n v="2021"/>
    <n v="226328766459"/>
    <n v="56614976854"/>
    <x v="0"/>
    <n v="1"/>
    <x v="2"/>
  </r>
  <r>
    <x v="5765"/>
    <x v="1765"/>
    <x v="52"/>
    <s v="Costa Rica"/>
    <s v="Mexico"/>
    <n v="0"/>
    <n v="1"/>
    <s v="FIFA World Cup qualification"/>
    <s v="San Jos√©"/>
    <s v="Costa Rica"/>
    <b v="0"/>
    <n v="2021"/>
    <n v="64960725734"/>
    <n v="1316569466685"/>
    <x v="0"/>
    <n v="1"/>
    <x v="2"/>
  </r>
  <r>
    <x v="5766"/>
    <x v="1765"/>
    <x v="52"/>
    <s v="El Salvador"/>
    <s v="Honduras"/>
    <n v="0"/>
    <n v="0"/>
    <s v="FIFA World Cup qualification"/>
    <s v="San Salvador"/>
    <s v="El Salvador"/>
    <b v="0"/>
    <n v="2021"/>
    <n v="29043140000"/>
    <n v="28144331506"/>
    <x v="1"/>
    <n v="0"/>
    <x v="1"/>
  </r>
  <r>
    <x v="5767"/>
    <x v="1765"/>
    <x v="52"/>
    <s v="Jamaica"/>
    <s v="Panama"/>
    <n v="0"/>
    <n v="3"/>
    <s v="FIFA World Cup qualification"/>
    <s v="Kingston"/>
    <s v="Jamaica"/>
    <b v="0"/>
    <n v="2021"/>
    <n v="15963885376"/>
    <n v="67396392506"/>
    <x v="0"/>
    <n v="1"/>
    <x v="2"/>
  </r>
  <r>
    <x v="5768"/>
    <x v="1765"/>
    <x v="52"/>
    <s v="United States"/>
    <s v="Canada"/>
    <n v="1"/>
    <n v="1"/>
    <s v="FIFA World Cup qualification"/>
    <s v="Nashville"/>
    <s v="United States"/>
    <b v="0"/>
    <n v="2021"/>
    <n v="23315080560000"/>
    <n v="2022378748423"/>
    <x v="0"/>
    <n v="0"/>
    <x v="1"/>
  </r>
  <r>
    <x v="5769"/>
    <x v="1766"/>
    <x v="52"/>
    <s v="Djibouti"/>
    <s v="Niger"/>
    <n v="2"/>
    <n v="4"/>
    <s v="FIFA World Cup qualification"/>
    <s v="Rabat"/>
    <s v="Morocco"/>
    <b v="1"/>
    <n v="2021"/>
    <n v="3392796953"/>
    <n v="14915002436"/>
    <x v="0"/>
    <n v="1"/>
    <x v="2"/>
  </r>
  <r>
    <x v="5770"/>
    <x v="1766"/>
    <x v="52"/>
    <s v="Liberia"/>
    <s v="Central African Republic"/>
    <n v="1"/>
    <n v="0"/>
    <s v="FIFA World Cup qualification"/>
    <s v="Douala"/>
    <s v="Cameroon"/>
    <b v="1"/>
    <n v="2021"/>
    <n v="3513049500"/>
    <n v="2516498412"/>
    <x v="1"/>
    <n v="1"/>
    <x v="2"/>
  </r>
  <r>
    <x v="5771"/>
    <x v="1766"/>
    <x v="52"/>
    <s v="Uganda"/>
    <s v="Mali"/>
    <n v="0"/>
    <n v="0"/>
    <s v="FIFA World Cup qualification"/>
    <s v="Entebbe"/>
    <s v="Uganda"/>
    <b v="0"/>
    <n v="2021"/>
    <n v="40529788748"/>
    <n v="22999245262"/>
    <x v="1"/>
    <n v="0"/>
    <x v="1"/>
  </r>
  <r>
    <x v="5772"/>
    <x v="1766"/>
    <x v="52"/>
    <s v="South Africa"/>
    <s v="Ghana"/>
    <n v="1"/>
    <n v="0"/>
    <s v="FIFA World Cup qualification"/>
    <s v="Johannesburg"/>
    <s v="South Africa"/>
    <b v="0"/>
    <n v="2021"/>
    <n v="419986284375"/>
    <n v="79514204730"/>
    <x v="0"/>
    <n v="1"/>
    <x v="2"/>
  </r>
  <r>
    <x v="5773"/>
    <x v="1767"/>
    <x v="52"/>
    <s v="Burkina Faso"/>
    <s v="Algeria"/>
    <n v="1"/>
    <n v="1"/>
    <s v="FIFA World Cup qualification"/>
    <s v="Marrakech"/>
    <s v="Morocco"/>
    <b v="1"/>
    <n v="2021"/>
    <n v="19697516284"/>
    <n v="186231205262"/>
    <x v="0"/>
    <n v="0"/>
    <x v="1"/>
  </r>
  <r>
    <x v="5774"/>
    <x v="1767"/>
    <x v="52"/>
    <s v="Zambia"/>
    <s v="Tunisia"/>
    <n v="0"/>
    <n v="2"/>
    <s v="FIFA World Cup qualification"/>
    <s v="Ndola"/>
    <s v="Zambia"/>
    <b v="0"/>
    <n v="2021"/>
    <n v="22096416932"/>
    <n v="47073234359"/>
    <x v="0"/>
    <n v="1"/>
    <x v="2"/>
  </r>
  <r>
    <x v="5775"/>
    <x v="1767"/>
    <x v="52"/>
    <s v="Equatorial Guinea"/>
    <s v="Mauritania"/>
    <n v="1"/>
    <n v="0"/>
    <s v="FIFA World Cup qualification"/>
    <s v="Malabo"/>
    <s v="Equatorial Guinea"/>
    <b v="0"/>
    <n v="2021"/>
    <n v="12215878032"/>
    <n v="9222536364"/>
    <x v="1"/>
    <n v="1"/>
    <x v="2"/>
  </r>
  <r>
    <x v="5776"/>
    <x v="1767"/>
    <x v="52"/>
    <s v="Malawi"/>
    <s v="Mozambique"/>
    <n v="1"/>
    <n v="0"/>
    <s v="FIFA World Cup qualification"/>
    <s v="Johannesburg"/>
    <s v="South Africa"/>
    <b v="1"/>
    <n v="2021"/>
    <n v="12378119199"/>
    <n v="16168055475"/>
    <x v="1"/>
    <n v="-1"/>
    <x v="0"/>
  </r>
  <r>
    <x v="5777"/>
    <x v="1767"/>
    <x v="52"/>
    <s v="Angola"/>
    <s v="Libya"/>
    <n v="0"/>
    <n v="1"/>
    <s v="FIFA World Cup qualification"/>
    <s v="Luanda"/>
    <s v="Angola"/>
    <b v="0"/>
    <n v="2021"/>
    <n v="79559543805"/>
    <n v="35217995647"/>
    <x v="0"/>
    <n v="-1"/>
    <x v="0"/>
  </r>
  <r>
    <x v="5778"/>
    <x v="1767"/>
    <x v="52"/>
    <s v="Ethiopia"/>
    <s v="Zimbabwe"/>
    <n v="1"/>
    <n v="0"/>
    <s v="FIFA World Cup qualification"/>
    <s v="Bahir Dar"/>
    <s v="Ethiopia"/>
    <b v="0"/>
    <n v="2021"/>
    <n v="109070960371"/>
    <n v="41287673690"/>
    <x v="0"/>
    <n v="1"/>
    <x v="2"/>
  </r>
  <r>
    <x v="5779"/>
    <x v="1767"/>
    <x v="52"/>
    <s v="Sudan"/>
    <s v="Guinea-Bissau"/>
    <n v="2"/>
    <n v="4"/>
    <s v="FIFA World Cup qualification"/>
    <s v="Omdurman"/>
    <s v="Sudan"/>
    <b v="0"/>
    <n v="2021"/>
    <n v="34229513774"/>
    <n v="1908094558"/>
    <x v="0"/>
    <n v="-1"/>
    <x v="0"/>
  </r>
  <r>
    <x v="5780"/>
    <x v="1767"/>
    <x v="52"/>
    <s v="Tanzania"/>
    <s v="Madagascar"/>
    <n v="3"/>
    <n v="2"/>
    <s v="FIFA World Cup qualification"/>
    <s v="Dar es Salaam"/>
    <s v="Tanzania"/>
    <b v="0"/>
    <n v="2021"/>
    <n v="70655628147"/>
    <n v="14354731964"/>
    <x v="0"/>
    <n v="1"/>
    <x v="2"/>
  </r>
  <r>
    <x v="5781"/>
    <x v="1767"/>
    <x v="52"/>
    <s v="Syria"/>
    <s v="United Arab Emirates"/>
    <n v="1"/>
    <n v="1"/>
    <s v="FIFA World Cup qualification"/>
    <s v="Amman"/>
    <s v="Jordan"/>
    <b v="1"/>
    <n v="2021"/>
    <n v="14353205678"/>
    <n v="422441388699"/>
    <x v="0"/>
    <n v="0"/>
    <x v="1"/>
  </r>
  <r>
    <x v="5782"/>
    <x v="1767"/>
    <x v="52"/>
    <s v="South Korea"/>
    <s v="Lebanon"/>
    <n v="1"/>
    <n v="0"/>
    <s v="FIFA World Cup qualification"/>
    <s v="Suwon"/>
    <s v="South Korea"/>
    <b v="0"/>
    <n v="2021"/>
    <n v="1942313560965"/>
    <n v="23131941556"/>
    <x v="0"/>
    <n v="1"/>
    <x v="2"/>
  </r>
  <r>
    <x v="5783"/>
    <x v="1767"/>
    <x v="52"/>
    <s v="Iraq"/>
    <s v="Iran"/>
    <n v="0"/>
    <n v="3"/>
    <s v="FIFA World Cup qualification"/>
    <s v="Doha"/>
    <s v="Qatar"/>
    <b v="1"/>
    <n v="2021"/>
    <n v="209691945713"/>
    <n v="407350685583"/>
    <x v="1"/>
    <n v="1"/>
    <x v="2"/>
  </r>
  <r>
    <x v="5784"/>
    <x v="1767"/>
    <x v="52"/>
    <s v="Vietnam"/>
    <s v="Australia"/>
    <n v="0"/>
    <n v="1"/>
    <s v="FIFA World Cup qualification"/>
    <s v="Hanoi"/>
    <s v="Vietnam"/>
    <b v="0"/>
    <n v="2021"/>
    <n v="366474752771"/>
    <n v="1560617493202"/>
    <x v="0"/>
    <n v="1"/>
    <x v="2"/>
  </r>
  <r>
    <x v="5785"/>
    <x v="1767"/>
    <x v="52"/>
    <s v="Oman"/>
    <s v="Saudi Arabia"/>
    <n v="0"/>
    <n v="1"/>
    <s v="FIFA World Cup qualification"/>
    <s v="Muscat"/>
    <s v="Oman"/>
    <b v="0"/>
    <n v="2021"/>
    <n v="87323797139"/>
    <n v="982661066666"/>
    <x v="0"/>
    <n v="1"/>
    <x v="2"/>
  </r>
  <r>
    <x v="5786"/>
    <x v="1767"/>
    <x v="52"/>
    <s v="Azerbaijan"/>
    <s v="Portugal"/>
    <n v="0"/>
    <n v="3"/>
    <s v="FIFA World Cup qualification"/>
    <s v="Baku"/>
    <s v="Azerbaijan"/>
    <b v="0"/>
    <n v="2021"/>
    <n v="54825411764"/>
    <n v="256055879091"/>
    <x v="0"/>
    <n v="1"/>
    <x v="2"/>
  </r>
  <r>
    <x v="5787"/>
    <x v="1767"/>
    <x v="52"/>
    <s v="Bosnia and Herzegovina"/>
    <s v="Kazakhstan"/>
    <n v="2"/>
    <n v="2"/>
    <s v="FIFA World Cup qualification"/>
    <s v="Zenica"/>
    <s v="Bosnia and Herzegovina"/>
    <b v="0"/>
    <n v="2021"/>
    <n v="23672712121"/>
    <n v="197112255360"/>
    <x v="0"/>
    <n v="0"/>
    <x v="1"/>
  </r>
  <r>
    <x v="5788"/>
    <x v="1767"/>
    <x v="52"/>
    <s v="France"/>
    <s v="Finland"/>
    <n v="2"/>
    <n v="0"/>
    <s v="FIFA World Cup qualification"/>
    <s v="Lyon"/>
    <s v="France"/>
    <b v="0"/>
    <n v="2021"/>
    <n v="2966433692008"/>
    <n v="294223210496"/>
    <x v="0"/>
    <n v="1"/>
    <x v="2"/>
  </r>
  <r>
    <x v="5789"/>
    <x v="1767"/>
    <x v="52"/>
    <s v="Faroe Islands"/>
    <s v="Moldova"/>
    <n v="2"/>
    <n v="1"/>
    <s v="FIFA World Cup qualification"/>
    <s v="T√≥rshavn"/>
    <s v="Faroe Islands"/>
    <b v="0"/>
    <n v="2021"/>
    <n v="3699551717"/>
    <n v="13691869264"/>
    <x v="0"/>
    <n v="-1"/>
    <x v="0"/>
  </r>
  <r>
    <x v="5790"/>
    <x v="1767"/>
    <x v="52"/>
    <s v="Denmark"/>
    <s v="Israel"/>
    <n v="5"/>
    <n v="0"/>
    <s v="FIFA World Cup qualification"/>
    <s v="Copenhagen"/>
    <s v="Denmark"/>
    <b v="0"/>
    <n v="2021"/>
    <n v="406110162088"/>
    <n v="489851549972"/>
    <x v="1"/>
    <n v="-1"/>
    <x v="0"/>
  </r>
  <r>
    <x v="5791"/>
    <x v="1767"/>
    <x v="52"/>
    <s v="Montenegro"/>
    <s v="Latvia"/>
    <n v="0"/>
    <n v="0"/>
    <s v="FIFA World Cup qualification"/>
    <s v="Podgorica"/>
    <s v="Montenegro"/>
    <b v="0"/>
    <n v="2021"/>
    <n v="5823715809"/>
    <n v="38183326784"/>
    <x v="0"/>
    <n v="0"/>
    <x v="1"/>
  </r>
  <r>
    <x v="5792"/>
    <x v="1767"/>
    <x v="52"/>
    <s v="Croatia"/>
    <s v="Slovenia"/>
    <n v="3"/>
    <n v="0"/>
    <s v="FIFA World Cup qualification"/>
    <s v="Split"/>
    <s v="Croatia"/>
    <b v="0"/>
    <n v="2021"/>
    <n v="69002365163"/>
    <n v="61540813361"/>
    <x v="1"/>
    <n v="1"/>
    <x v="2"/>
  </r>
  <r>
    <x v="5793"/>
    <x v="1767"/>
    <x v="52"/>
    <s v="Russia"/>
    <s v="Malta"/>
    <n v="2"/>
    <n v="0"/>
    <s v="FIFA World Cup qualification"/>
    <s v="Moscow"/>
    <s v="Russia"/>
    <b v="0"/>
    <n v="2021"/>
    <n v="1829186719575"/>
    <n v="19739875611"/>
    <x v="0"/>
    <n v="1"/>
    <x v="2"/>
  </r>
  <r>
    <x v="5794"/>
    <x v="1768"/>
    <x v="52"/>
    <s v="Kosovo"/>
    <s v="Spain"/>
    <n v="0"/>
    <n v="2"/>
    <s v="FIFA World Cup qualification"/>
    <s v="Pristina"/>
    <s v="Kosovo"/>
    <b v="0"/>
    <n v="2021"/>
    <n v="9413408574"/>
    <n v="1461244901852"/>
    <x v="0"/>
    <n v="1"/>
    <x v="2"/>
  </r>
  <r>
    <x v="5795"/>
    <x v="1768"/>
    <x v="52"/>
    <s v="Greece"/>
    <s v="Sweden"/>
    <n v="2"/>
    <n v="1"/>
    <s v="FIFA World Cup qualification"/>
    <s v="Athens"/>
    <s v="Greece"/>
    <b v="0"/>
    <n v="2021"/>
    <n v="218303801895"/>
    <n v="631693331300"/>
    <x v="0"/>
    <n v="-1"/>
    <x v="0"/>
  </r>
  <r>
    <x v="5796"/>
    <x v="1768"/>
    <x v="52"/>
    <s v="Italy"/>
    <s v="Lithuania"/>
    <n v="5"/>
    <n v="0"/>
    <s v="FIFA World Cup qualification"/>
    <s v="Reggio Emilia"/>
    <s v="Italy"/>
    <b v="0"/>
    <n v="2021"/>
    <n v="2179207773596"/>
    <n v="67037321008"/>
    <x v="0"/>
    <n v="1"/>
    <x v="2"/>
  </r>
  <r>
    <x v="5797"/>
    <x v="1768"/>
    <x v="52"/>
    <s v="Belarus"/>
    <s v="Belgium"/>
    <n v="0"/>
    <n v="1"/>
    <s v="FIFA World Cup qualification"/>
    <s v="Kazan"/>
    <s v="Russia"/>
    <b v="1"/>
    <n v="2021"/>
    <n v="69673747131"/>
    <n v="598522422241"/>
    <x v="0"/>
    <n v="1"/>
    <x v="2"/>
  </r>
  <r>
    <x v="5798"/>
    <x v="1768"/>
    <x v="52"/>
    <s v="Albania"/>
    <s v="San Marino"/>
    <n v="5"/>
    <n v="0"/>
    <s v="FIFA World Cup qualification"/>
    <s v="Elbasan"/>
    <s v="Albania"/>
    <b v="0"/>
    <n v="2021"/>
    <n v="18031989573"/>
    <n v="1855652786"/>
    <x v="0"/>
    <n v="1"/>
    <x v="2"/>
  </r>
  <r>
    <x v="5799"/>
    <x v="1768"/>
    <x v="52"/>
    <s v="Hungary"/>
    <s v="Andorra"/>
    <n v="2"/>
    <n v="1"/>
    <s v="FIFA World Cup qualification"/>
    <s v="Budapest"/>
    <s v="Hungary"/>
    <b v="0"/>
    <n v="2021"/>
    <n v="183282685440"/>
    <n v="3324648075"/>
    <x v="0"/>
    <n v="1"/>
    <x v="2"/>
  </r>
  <r>
    <x v="5800"/>
    <x v="1768"/>
    <x v="52"/>
    <s v="Poland"/>
    <s v="England"/>
    <n v="1"/>
    <n v="1"/>
    <s v="FIFA World Cup qualification"/>
    <s v="Warsaw"/>
    <s v="Poland"/>
    <b v="0"/>
    <n v="2021"/>
    <n v="689170230665"/>
    <n v="3194559188925"/>
    <x v="0"/>
    <n v="0"/>
    <x v="1"/>
  </r>
  <r>
    <x v="5801"/>
    <x v="1768"/>
    <x v="52"/>
    <s v="Iceland"/>
    <s v="Germany"/>
    <n v="0"/>
    <n v="4"/>
    <s v="FIFA World Cup qualification"/>
    <s v="Reykjav√≠k"/>
    <s v="Iceland"/>
    <b v="0"/>
    <n v="2021"/>
    <n v="26234872402"/>
    <n v="4355251953410"/>
    <x v="0"/>
    <n v="1"/>
    <x v="2"/>
  </r>
  <r>
    <x v="5802"/>
    <x v="1768"/>
    <x v="52"/>
    <s v="Armenia"/>
    <s v="Liechtenstein"/>
    <n v="1"/>
    <n v="1"/>
    <s v="FIFA World Cup qualification"/>
    <s v="Yerevan"/>
    <s v="Armenia"/>
    <b v="0"/>
    <n v="2021"/>
    <n v="13878908628"/>
    <n v="7912602342"/>
    <x v="1"/>
    <n v="0"/>
    <x v="1"/>
  </r>
  <r>
    <x v="5803"/>
    <x v="1768"/>
    <x v="52"/>
    <s v="North Macedonia"/>
    <s v="Romania"/>
    <n v="0"/>
    <n v="0"/>
    <s v="FIFA World Cup qualification"/>
    <s v="Skopje"/>
    <s v="North Macedonia"/>
    <b v="0"/>
    <n v="2021"/>
    <n v="14000283827"/>
    <n v="285071280114"/>
    <x v="0"/>
    <n v="0"/>
    <x v="1"/>
  </r>
  <r>
    <x v="5804"/>
    <x v="1768"/>
    <x v="52"/>
    <s v="Costa Rica"/>
    <s v="Jamaica"/>
    <n v="1"/>
    <n v="1"/>
    <s v="FIFA World Cup qualification"/>
    <s v="San Jos√©"/>
    <s v="Costa Rica"/>
    <b v="0"/>
    <n v="2021"/>
    <n v="64960725734"/>
    <n v="15963885376"/>
    <x v="0"/>
    <n v="0"/>
    <x v="1"/>
  </r>
  <r>
    <x v="5805"/>
    <x v="1768"/>
    <x v="52"/>
    <s v="Panama"/>
    <s v="Mexico"/>
    <n v="1"/>
    <n v="1"/>
    <s v="FIFA World Cup qualification"/>
    <s v="Panama City"/>
    <s v="Panama"/>
    <b v="0"/>
    <n v="2021"/>
    <n v="67396392506"/>
    <n v="1316569466685"/>
    <x v="0"/>
    <n v="0"/>
    <x v="1"/>
  </r>
  <r>
    <x v="5806"/>
    <x v="1768"/>
    <x v="52"/>
    <s v="Canada"/>
    <s v="El Salvador"/>
    <n v="3"/>
    <n v="0"/>
    <s v="FIFA World Cup qualification"/>
    <s v="Toronto"/>
    <s v="Canada"/>
    <b v="0"/>
    <n v="2021"/>
    <n v="2022378748423"/>
    <n v="29043140000"/>
    <x v="0"/>
    <n v="1"/>
    <x v="2"/>
  </r>
  <r>
    <x v="5807"/>
    <x v="1768"/>
    <x v="52"/>
    <s v="Honduras"/>
    <s v="United States"/>
    <n v="1"/>
    <n v="4"/>
    <s v="FIFA World Cup qualification"/>
    <s v="San Pedro Sula"/>
    <s v="Honduras"/>
    <b v="0"/>
    <n v="2021"/>
    <n v="28144331506"/>
    <n v="23315080560000"/>
    <x v="0"/>
    <n v="1"/>
    <x v="2"/>
  </r>
  <r>
    <x v="5808"/>
    <x v="1769"/>
    <x v="52"/>
    <s v="Colombia"/>
    <s v="Chile"/>
    <n v="3"/>
    <n v="1"/>
    <s v="FIFA World Cup qualification"/>
    <s v="Barranquilla"/>
    <s v="Colombia"/>
    <b v="0"/>
    <n v="2021"/>
    <n v="318524633225"/>
    <n v="315325547162"/>
    <x v="1"/>
    <n v="1"/>
    <x v="2"/>
  </r>
  <r>
    <x v="5809"/>
    <x v="1769"/>
    <x v="52"/>
    <s v="Paraguay"/>
    <s v="Venezuela"/>
    <n v="2"/>
    <n v="1"/>
    <s v="FIFA World Cup qualification"/>
    <s v="Asunci√≥n"/>
    <s v="Paraguay"/>
    <b v="0"/>
    <n v="2021"/>
    <n v="39950899938"/>
    <n v="56614976854"/>
    <x v="1"/>
    <n v="-1"/>
    <x v="0"/>
  </r>
  <r>
    <x v="5810"/>
    <x v="1769"/>
    <x v="52"/>
    <s v="Uruguay"/>
    <s v="Ecuador"/>
    <n v="1"/>
    <n v="0"/>
    <s v="FIFA World Cup qualification"/>
    <s v="Montevideo"/>
    <s v="Uruguay"/>
    <b v="0"/>
    <n v="2021"/>
    <n v="60739084240"/>
    <n v="107179074000"/>
    <x v="1"/>
    <n v="-1"/>
    <x v="0"/>
  </r>
  <r>
    <x v="5811"/>
    <x v="1769"/>
    <x v="52"/>
    <s v="Argentina"/>
    <s v="Bolivia"/>
    <n v="3"/>
    <n v="0"/>
    <s v="FIFA World Cup qualification"/>
    <s v="Buenos Aires"/>
    <s v="Argentina"/>
    <b v="0"/>
    <n v="2021"/>
    <n v="486564085480"/>
    <n v="47877892402"/>
    <x v="0"/>
    <n v="1"/>
    <x v="2"/>
  </r>
  <r>
    <x v="5812"/>
    <x v="1769"/>
    <x v="52"/>
    <s v="Brazil"/>
    <s v="Peru"/>
    <n v="2"/>
    <n v="0"/>
    <s v="FIFA World Cup qualification"/>
    <s v="Recife"/>
    <s v="Brazil"/>
    <b v="0"/>
    <n v="2021"/>
    <n v="1670647464062"/>
    <n v="226328766459"/>
    <x v="0"/>
    <n v="1"/>
    <x v="2"/>
  </r>
  <r>
    <x v="5813"/>
    <x v="1770"/>
    <x v="52"/>
    <s v="Sudan"/>
    <s v="Guinea"/>
    <n v="1"/>
    <n v="1"/>
    <s v="FIFA World Cup qualification"/>
    <s v="Marrakech"/>
    <s v="Morocco"/>
    <b v="1"/>
    <n v="2021"/>
    <n v="34229513774"/>
    <n v="17069115737"/>
    <x v="0"/>
    <n v="0"/>
    <x v="1"/>
  </r>
  <r>
    <x v="5814"/>
    <x v="1770"/>
    <x v="52"/>
    <s v="Morocco"/>
    <s v="Guinea-Bissau"/>
    <n v="5"/>
    <n v="0"/>
    <s v="FIFA World Cup qualification"/>
    <s v="Rabat"/>
    <s v="Morocco"/>
    <b v="0"/>
    <n v="2021"/>
    <n v="142022058447"/>
    <n v="1908094558"/>
    <x v="0"/>
    <n v="1"/>
    <x v="2"/>
  </r>
  <r>
    <x v="5815"/>
    <x v="1771"/>
    <x v="52"/>
    <s v="Iraq"/>
    <s v="Lebanon"/>
    <n v="0"/>
    <n v="0"/>
    <s v="FIFA World Cup qualification"/>
    <s v="Doha"/>
    <s v="Qatar"/>
    <b v="1"/>
    <n v="2021"/>
    <n v="209691945713"/>
    <n v="23131941556"/>
    <x v="0"/>
    <n v="0"/>
    <x v="1"/>
  </r>
  <r>
    <x v="5816"/>
    <x v="1771"/>
    <x v="52"/>
    <s v="South Korea"/>
    <s v="Syria"/>
    <n v="2"/>
    <n v="1"/>
    <s v="FIFA World Cup qualification"/>
    <s v="Ansan"/>
    <s v="South Korea"/>
    <b v="0"/>
    <n v="2021"/>
    <n v="1942313560965"/>
    <n v="14353205678"/>
    <x v="0"/>
    <n v="1"/>
    <x v="2"/>
  </r>
  <r>
    <x v="5817"/>
    <x v="1771"/>
    <x v="52"/>
    <s v="United Arab Emirates"/>
    <s v="Iran"/>
    <n v="0"/>
    <n v="1"/>
    <s v="FIFA World Cup qualification"/>
    <s v="Dubai"/>
    <s v="United Arab Emirates"/>
    <b v="0"/>
    <n v="2021"/>
    <n v="422441388699"/>
    <n v="407350685583"/>
    <x v="1"/>
    <n v="-1"/>
    <x v="0"/>
  </r>
  <r>
    <x v="5818"/>
    <x v="1771"/>
    <x v="52"/>
    <s v="Saudi Arabia"/>
    <s v="Japan"/>
    <n v="1"/>
    <n v="0"/>
    <s v="FIFA World Cup qualification"/>
    <s v="Jeddah"/>
    <s v="Saudi Arabia"/>
    <b v="0"/>
    <n v="2021"/>
    <n v="982661066666"/>
    <n v="5039148168861"/>
    <x v="0"/>
    <n v="-1"/>
    <x v="0"/>
  </r>
  <r>
    <x v="5819"/>
    <x v="1771"/>
    <x v="52"/>
    <s v="Australia"/>
    <s v="Oman"/>
    <n v="3"/>
    <n v="1"/>
    <s v="FIFA World Cup qualification"/>
    <s v="Doha"/>
    <s v="Qatar"/>
    <b v="1"/>
    <n v="2021"/>
    <n v="1560617493202"/>
    <n v="87323797139"/>
    <x v="0"/>
    <n v="1"/>
    <x v="2"/>
  </r>
  <r>
    <x v="5820"/>
    <x v="1771"/>
    <x v="52"/>
    <s v="Honduras"/>
    <s v="Costa Rica"/>
    <n v="0"/>
    <n v="0"/>
    <s v="FIFA World Cup qualification"/>
    <s v="San Pedro Sula"/>
    <s v="Honduras"/>
    <b v="0"/>
    <n v="2021"/>
    <n v="28144331506"/>
    <n v="64960725734"/>
    <x v="0"/>
    <n v="0"/>
    <x v="1"/>
  </r>
  <r>
    <x v="5821"/>
    <x v="1771"/>
    <x v="52"/>
    <s v="United States"/>
    <s v="Jamaica"/>
    <n v="2"/>
    <n v="0"/>
    <s v="FIFA World Cup qualification"/>
    <s v="Austin"/>
    <s v="United States"/>
    <b v="0"/>
    <n v="2021"/>
    <n v="23315080560000"/>
    <n v="15963885376"/>
    <x v="0"/>
    <n v="1"/>
    <x v="2"/>
  </r>
  <r>
    <x v="5822"/>
    <x v="1771"/>
    <x v="52"/>
    <s v="El Salvador"/>
    <s v="Panama"/>
    <n v="1"/>
    <n v="0"/>
    <s v="FIFA World Cup qualification"/>
    <s v="San Salvador"/>
    <s v="El Salvador"/>
    <b v="0"/>
    <n v="2021"/>
    <n v="29043140000"/>
    <n v="67396392506"/>
    <x v="0"/>
    <n v="-1"/>
    <x v="0"/>
  </r>
  <r>
    <x v="5823"/>
    <x v="1771"/>
    <x v="52"/>
    <s v="Mexico"/>
    <s v="Canada"/>
    <n v="1"/>
    <n v="1"/>
    <s v="FIFA World Cup qualification"/>
    <s v="Mexico City"/>
    <s v="Mexico"/>
    <b v="0"/>
    <n v="2021"/>
    <n v="1316569466685"/>
    <n v="2022378748423"/>
    <x v="1"/>
    <n v="0"/>
    <x v="1"/>
  </r>
  <r>
    <x v="5824"/>
    <x v="1771"/>
    <x v="52"/>
    <s v="Equatorial Guinea"/>
    <s v="Zambia"/>
    <n v="2"/>
    <n v="0"/>
    <s v="FIFA World Cup qualification"/>
    <s v="Malabo"/>
    <s v="Equatorial Guinea"/>
    <b v="0"/>
    <n v="2021"/>
    <n v="12215878032"/>
    <n v="22096416932"/>
    <x v="1"/>
    <n v="-1"/>
    <x v="0"/>
  </r>
  <r>
    <x v="5825"/>
    <x v="1771"/>
    <x v="52"/>
    <s v="Tunisia"/>
    <s v="Mauritania"/>
    <n v="3"/>
    <n v="0"/>
    <s v="FIFA World Cup qualification"/>
    <s v="Rad√®s"/>
    <s v="Tunisia"/>
    <b v="0"/>
    <n v="2021"/>
    <n v="47073234359"/>
    <n v="9222536364"/>
    <x v="0"/>
    <n v="1"/>
    <x v="2"/>
  </r>
  <r>
    <x v="5826"/>
    <x v="1771"/>
    <x v="52"/>
    <s v="Nigeria"/>
    <s v="Central African Republic"/>
    <n v="0"/>
    <n v="1"/>
    <s v="FIFA World Cup qualification"/>
    <s v="Lagos"/>
    <s v="Nigeria"/>
    <b v="0"/>
    <n v="2021"/>
    <n v="609147716972"/>
    <n v="2516498412"/>
    <x v="0"/>
    <n v="-1"/>
    <x v="0"/>
  </r>
  <r>
    <x v="5827"/>
    <x v="1771"/>
    <x v="52"/>
    <s v="Rwanda"/>
    <s v="Uganda"/>
    <n v="0"/>
    <n v="1"/>
    <s v="FIFA World Cup qualification"/>
    <s v="Kigali"/>
    <s v="Rwanda"/>
    <b v="0"/>
    <n v="2021"/>
    <n v="11078787090"/>
    <n v="40529788748"/>
    <x v="0"/>
    <n v="1"/>
    <x v="2"/>
  </r>
  <r>
    <x v="5828"/>
    <x v="1771"/>
    <x v="52"/>
    <s v="Mali"/>
    <s v="Kenya"/>
    <n v="5"/>
    <n v="0"/>
    <s v="FIFA World Cup qualification"/>
    <s v="Agadir"/>
    <s v="Morocco"/>
    <b v="1"/>
    <n v="2021"/>
    <n v="22999245262"/>
    <n v="109703658904"/>
    <x v="0"/>
    <n v="-1"/>
    <x v="0"/>
  </r>
  <r>
    <x v="5829"/>
    <x v="1771"/>
    <x v="52"/>
    <s v="Tanzania"/>
    <s v="Benin"/>
    <n v="0"/>
    <n v="1"/>
    <s v="FIFA World Cup qualification"/>
    <s v="Dar es Salaam"/>
    <s v="Tanzania"/>
    <b v="0"/>
    <n v="2021"/>
    <n v="70655628147"/>
    <n v="17687623530"/>
    <x v="0"/>
    <n v="-1"/>
    <x v="0"/>
  </r>
  <r>
    <x v="5830"/>
    <x v="1771"/>
    <x v="52"/>
    <s v="Ecuador"/>
    <s v="Bolivia"/>
    <n v="3"/>
    <n v="0"/>
    <s v="FIFA World Cup qualification"/>
    <s v="Guayaquil"/>
    <s v="Ecuador"/>
    <b v="0"/>
    <n v="2021"/>
    <n v="107179074000"/>
    <n v="47877892402"/>
    <x v="0"/>
    <n v="1"/>
    <x v="2"/>
  </r>
  <r>
    <x v="5831"/>
    <x v="1771"/>
    <x v="52"/>
    <s v="Venezuela"/>
    <s v="Brazil"/>
    <n v="1"/>
    <n v="3"/>
    <s v="FIFA World Cup qualification"/>
    <s v="Caracas"/>
    <s v="Venezuela"/>
    <b v="0"/>
    <n v="2021"/>
    <n v="56614976854"/>
    <n v="1670647464062"/>
    <x v="0"/>
    <n v="1"/>
    <x v="2"/>
  </r>
  <r>
    <x v="5832"/>
    <x v="1771"/>
    <x v="52"/>
    <s v="Paraguay"/>
    <s v="Argentina"/>
    <n v="0"/>
    <n v="0"/>
    <s v="FIFA World Cup qualification"/>
    <s v="Asunci√≥n"/>
    <s v="Paraguay"/>
    <b v="0"/>
    <n v="2021"/>
    <n v="39950899938"/>
    <n v="486564085480"/>
    <x v="0"/>
    <n v="0"/>
    <x v="1"/>
  </r>
  <r>
    <x v="5833"/>
    <x v="1771"/>
    <x v="52"/>
    <s v="Peru"/>
    <s v="Chile"/>
    <n v="2"/>
    <n v="0"/>
    <s v="FIFA World Cup qualification"/>
    <s v="Lima"/>
    <s v="Peru"/>
    <b v="0"/>
    <n v="2021"/>
    <n v="226328766459"/>
    <n v="315325547162"/>
    <x v="1"/>
    <n v="-1"/>
    <x v="0"/>
  </r>
  <r>
    <x v="5834"/>
    <x v="1771"/>
    <x v="52"/>
    <s v="Uruguay"/>
    <s v="Colombia"/>
    <n v="0"/>
    <n v="0"/>
    <s v="FIFA World Cup qualification"/>
    <s v="Montevideo"/>
    <s v="Uruguay"/>
    <b v="0"/>
    <n v="2021"/>
    <n v="60739084240"/>
    <n v="318524633225"/>
    <x v="0"/>
    <n v="0"/>
    <x v="1"/>
  </r>
  <r>
    <x v="5835"/>
    <x v="1772"/>
    <x v="52"/>
    <s v="Estonia"/>
    <s v="Belarus"/>
    <n v="2"/>
    <n v="0"/>
    <s v="FIFA World Cup qualification"/>
    <s v="Tallinn"/>
    <s v="Estonia"/>
    <b v="0"/>
    <n v="2021"/>
    <n v="37201101170"/>
    <n v="69673747131"/>
    <x v="1"/>
    <n v="-1"/>
    <x v="0"/>
  </r>
  <r>
    <x v="5836"/>
    <x v="1772"/>
    <x v="52"/>
    <s v="Latvia"/>
    <s v="Netherlands"/>
    <n v="0"/>
    <n v="1"/>
    <s v="FIFA World Cup qualification"/>
    <s v="Riga"/>
    <s v="Latvia"/>
    <b v="0"/>
    <n v="2021"/>
    <n v="38183326784"/>
    <n v="1054472123449"/>
    <x v="0"/>
    <n v="1"/>
    <x v="2"/>
  </r>
  <r>
    <x v="5837"/>
    <x v="1772"/>
    <x v="52"/>
    <s v="Malta"/>
    <s v="Slovenia"/>
    <n v="0"/>
    <n v="4"/>
    <s v="FIFA World Cup qualification"/>
    <s v="Ta' Qali"/>
    <s v="Malta"/>
    <b v="0"/>
    <n v="2021"/>
    <n v="19739875611"/>
    <n v="61540813361"/>
    <x v="0"/>
    <n v="1"/>
    <x v="2"/>
  </r>
  <r>
    <x v="5838"/>
    <x v="1772"/>
    <x v="52"/>
    <s v="Cyprus"/>
    <s v="Croatia"/>
    <n v="0"/>
    <n v="3"/>
    <s v="FIFA World Cup qualification"/>
    <s v="Larnaca"/>
    <s v="Cyprus"/>
    <b v="0"/>
    <n v="2021"/>
    <n v="30372642502"/>
    <n v="69002365163"/>
    <x v="0"/>
    <n v="1"/>
    <x v="2"/>
  </r>
  <r>
    <x v="5839"/>
    <x v="1772"/>
    <x v="52"/>
    <s v="Iceland"/>
    <s v="Armenia"/>
    <n v="1"/>
    <n v="1"/>
    <s v="FIFA World Cup qualification"/>
    <s v="Reykjav√≠k"/>
    <s v="Iceland"/>
    <b v="0"/>
    <n v="2021"/>
    <n v="26234872402"/>
    <n v="13878908628"/>
    <x v="1"/>
    <n v="0"/>
    <x v="1"/>
  </r>
  <r>
    <x v="5840"/>
    <x v="1772"/>
    <x v="52"/>
    <s v="Germany"/>
    <s v="Romania"/>
    <n v="2"/>
    <n v="1"/>
    <s v="FIFA World Cup qualification"/>
    <s v="Hamburg"/>
    <s v="Germany"/>
    <b v="0"/>
    <n v="2021"/>
    <n v="4355251953410"/>
    <n v="285071280114"/>
    <x v="0"/>
    <n v="1"/>
    <x v="2"/>
  </r>
  <r>
    <x v="5841"/>
    <x v="1772"/>
    <x v="52"/>
    <s v="Liechtenstein"/>
    <s v="North Macedonia"/>
    <n v="0"/>
    <n v="4"/>
    <s v="FIFA World Cup qualification"/>
    <s v="Vaduz"/>
    <s v="Liechtenstein"/>
    <b v="0"/>
    <n v="2021"/>
    <n v="7912602342"/>
    <n v="14000283827"/>
    <x v="1"/>
    <n v="1"/>
    <x v="2"/>
  </r>
  <r>
    <x v="5842"/>
    <x v="1772"/>
    <x v="52"/>
    <s v="Algeria"/>
    <s v="Niger"/>
    <n v="6"/>
    <n v="1"/>
    <s v="FIFA World Cup qualification"/>
    <s v="Algiers"/>
    <s v="Algeria"/>
    <b v="0"/>
    <n v="2021"/>
    <n v="186231205262"/>
    <n v="14915002436"/>
    <x v="0"/>
    <n v="1"/>
    <x v="2"/>
  </r>
  <r>
    <x v="5843"/>
    <x v="1772"/>
    <x v="52"/>
    <s v="Djibouti"/>
    <s v="Burkina Faso"/>
    <n v="0"/>
    <n v="4"/>
    <s v="FIFA World Cup qualification"/>
    <s v="Marrakech"/>
    <s v="Morocco"/>
    <b v="1"/>
    <n v="2021"/>
    <n v="3392796953"/>
    <n v="19697516284"/>
    <x v="0"/>
    <n v="1"/>
    <x v="2"/>
  </r>
  <r>
    <x v="5844"/>
    <x v="1772"/>
    <x v="52"/>
    <s v="Cameroon"/>
    <s v="Mozambique"/>
    <n v="3"/>
    <n v="1"/>
    <s v="FIFA World Cup qualification"/>
    <s v="Douala"/>
    <s v="Cameroon"/>
    <b v="0"/>
    <n v="2021"/>
    <n v="45011937346"/>
    <n v="16168055475"/>
    <x v="0"/>
    <n v="1"/>
    <x v="2"/>
  </r>
  <r>
    <x v="5845"/>
    <x v="1772"/>
    <x v="52"/>
    <s v="Angola"/>
    <s v="Gabon"/>
    <n v="3"/>
    <n v="1"/>
    <s v="FIFA World Cup qualification"/>
    <s v="Luanda"/>
    <s v="Angola"/>
    <b v="0"/>
    <n v="2021"/>
    <n v="79559543805"/>
    <n v="19444935097"/>
    <x v="0"/>
    <n v="1"/>
    <x v="2"/>
  </r>
  <r>
    <x v="5846"/>
    <x v="1772"/>
    <x v="52"/>
    <s v="Egypt"/>
    <s v="Libya"/>
    <n v="1"/>
    <n v="0"/>
    <s v="FIFA World Cup qualification"/>
    <s v="Alexandria"/>
    <s v="Egypt"/>
    <b v="0"/>
    <n v="2021"/>
    <n v="424671765455"/>
    <n v="35217995647"/>
    <x v="0"/>
    <n v="1"/>
    <x v="2"/>
  </r>
  <r>
    <x v="5847"/>
    <x v="1773"/>
    <x v="52"/>
    <s v="Luxembourg"/>
    <s v="Serbia"/>
    <n v="0"/>
    <n v="1"/>
    <s v="FIFA World Cup qualification"/>
    <s v="Luxembourg"/>
    <s v="Luxembourg"/>
    <b v="0"/>
    <n v="2021"/>
    <n v="86386759695"/>
    <n v="66159884072"/>
    <x v="1"/>
    <n v="-1"/>
    <x v="0"/>
  </r>
  <r>
    <x v="5848"/>
    <x v="1773"/>
    <x v="52"/>
    <s v="Sweden"/>
    <s v="Kosovo"/>
    <n v="3"/>
    <n v="0"/>
    <s v="FIFA World Cup qualification"/>
    <s v="Stockholm"/>
    <s v="Sweden"/>
    <b v="0"/>
    <n v="2021"/>
    <n v="631693331300"/>
    <n v="9413408574"/>
    <x v="0"/>
    <n v="1"/>
    <x v="2"/>
  </r>
  <r>
    <x v="5849"/>
    <x v="1773"/>
    <x v="52"/>
    <s v="Georgia"/>
    <s v="Greece"/>
    <n v="0"/>
    <n v="2"/>
    <s v="FIFA World Cup qualification"/>
    <s v="Batumi"/>
    <s v="Georgia"/>
    <b v="0"/>
    <n v="2021"/>
    <n v="18853115588"/>
    <n v="218303801895"/>
    <x v="0"/>
    <n v="1"/>
    <x v="2"/>
  </r>
  <r>
    <x v="5850"/>
    <x v="1773"/>
    <x v="52"/>
    <s v="Lithuania"/>
    <s v="Bulgaria"/>
    <n v="3"/>
    <n v="1"/>
    <s v="FIFA World Cup qualification"/>
    <s v="Vilnius"/>
    <s v="Lithuania"/>
    <b v="0"/>
    <n v="2021"/>
    <n v="67037321008"/>
    <n v="84374613233"/>
    <x v="1"/>
    <n v="-1"/>
    <x v="0"/>
  </r>
  <r>
    <x v="5851"/>
    <x v="1773"/>
    <x v="52"/>
    <s v="Finland"/>
    <s v="Ukraine"/>
    <n v="1"/>
    <n v="2"/>
    <s v="FIFA World Cup qualification"/>
    <s v="Helsinki"/>
    <s v="Finland"/>
    <b v="0"/>
    <n v="2021"/>
    <n v="294223210496"/>
    <n v="199765859570"/>
    <x v="1"/>
    <n v="-1"/>
    <x v="0"/>
  </r>
  <r>
    <x v="5852"/>
    <x v="1773"/>
    <x v="52"/>
    <s v="Kazakhstan"/>
    <s v="Bosnia and Herzegovina"/>
    <n v="0"/>
    <n v="2"/>
    <s v="FIFA World Cup qualification"/>
    <s v="Nur-Sultan"/>
    <s v="Kazakhstan"/>
    <b v="0"/>
    <n v="2021"/>
    <n v="197112255360"/>
    <n v="23672712121"/>
    <x v="0"/>
    <n v="-1"/>
    <x v="0"/>
  </r>
  <r>
    <x v="5853"/>
    <x v="1773"/>
    <x v="52"/>
    <s v="Faroe Islands"/>
    <s v="Austria"/>
    <n v="0"/>
    <n v="2"/>
    <s v="FIFA World Cup qualification"/>
    <s v="T√≥rshavn"/>
    <s v="Faroe Islands"/>
    <b v="0"/>
    <n v="2021"/>
    <n v="3699551717"/>
    <n v="480466363176"/>
    <x v="0"/>
    <n v="1"/>
    <x v="2"/>
  </r>
  <r>
    <x v="5854"/>
    <x v="1773"/>
    <x v="52"/>
    <s v="Moldova"/>
    <s v="Denmark"/>
    <n v="0"/>
    <n v="4"/>
    <s v="FIFA World Cup qualification"/>
    <s v="Chi»ôinƒÉu"/>
    <s v="Moldova"/>
    <b v="0"/>
    <n v="2021"/>
    <n v="13691869264"/>
    <n v="406110162088"/>
    <x v="0"/>
    <n v="1"/>
    <x v="2"/>
  </r>
  <r>
    <x v="5855"/>
    <x v="1773"/>
    <x v="52"/>
    <s v="Andorra"/>
    <s v="England"/>
    <n v="0"/>
    <n v="5"/>
    <s v="FIFA World Cup qualification"/>
    <s v="Andorra la Vella"/>
    <s v="Andorra"/>
    <b v="0"/>
    <n v="2021"/>
    <n v="3324648075"/>
    <n v="3194559188925"/>
    <x v="0"/>
    <n v="1"/>
    <x v="2"/>
  </r>
  <r>
    <x v="5856"/>
    <x v="1773"/>
    <x v="52"/>
    <s v="Hungary"/>
    <s v="Albania"/>
    <n v="0"/>
    <n v="1"/>
    <s v="FIFA World Cup qualification"/>
    <s v="Budapest"/>
    <s v="Hungary"/>
    <b v="0"/>
    <n v="2021"/>
    <n v="183282685440"/>
    <n v="18031989573"/>
    <x v="0"/>
    <n v="-1"/>
    <x v="0"/>
  </r>
  <r>
    <x v="5857"/>
    <x v="1773"/>
    <x v="52"/>
    <s v="Poland"/>
    <s v="San Marino"/>
    <n v="5"/>
    <n v="0"/>
    <s v="FIFA World Cup qualification"/>
    <s v="Warsaw"/>
    <s v="Poland"/>
    <b v="0"/>
    <n v="2021"/>
    <n v="689170230665"/>
    <n v="1855652786"/>
    <x v="0"/>
    <n v="1"/>
    <x v="2"/>
  </r>
  <r>
    <x v="5858"/>
    <x v="1773"/>
    <x v="52"/>
    <s v="Ethiopia"/>
    <s v="South Africa"/>
    <n v="1"/>
    <n v="3"/>
    <s v="FIFA World Cup qualification"/>
    <s v="Bahir Dar"/>
    <s v="Ethiopia"/>
    <b v="0"/>
    <n v="2021"/>
    <n v="109070960371"/>
    <n v="419986284375"/>
    <x v="0"/>
    <n v="1"/>
    <x v="2"/>
  </r>
  <r>
    <x v="5859"/>
    <x v="1773"/>
    <x v="52"/>
    <s v="Ghana"/>
    <s v="Zimbabwe"/>
    <n v="3"/>
    <n v="1"/>
    <s v="FIFA World Cup qualification"/>
    <s v="Cape Coast"/>
    <s v="Ghana"/>
    <b v="0"/>
    <n v="2021"/>
    <n v="79514204730"/>
    <n v="41287673690"/>
    <x v="1"/>
    <n v="1"/>
    <x v="2"/>
  </r>
  <r>
    <x v="5860"/>
    <x v="1773"/>
    <x v="52"/>
    <s v="Senegal"/>
    <s v="Namibia"/>
    <n v="4"/>
    <n v="1"/>
    <s v="FIFA World Cup qualification"/>
    <s v="Thi√®s"/>
    <s v="Senegal"/>
    <b v="0"/>
    <n v="2021"/>
    <n v="27520784129"/>
    <n v="12402486183"/>
    <x v="0"/>
    <n v="1"/>
    <x v="2"/>
  </r>
  <r>
    <x v="5861"/>
    <x v="1773"/>
    <x v="52"/>
    <s v="Guinea"/>
    <s v="Sudan"/>
    <n v="2"/>
    <n v="2"/>
    <s v="FIFA World Cup qualification"/>
    <s v="Agadir"/>
    <s v="Morocco"/>
    <b v="1"/>
    <n v="2021"/>
    <n v="17069115737"/>
    <n v="34229513774"/>
    <x v="0"/>
    <n v="0"/>
    <x v="1"/>
  </r>
  <r>
    <x v="5862"/>
    <x v="1773"/>
    <x v="52"/>
    <s v="Morocco"/>
    <s v="Guinea-Bissau"/>
    <n v="3"/>
    <n v="0"/>
    <s v="FIFA World Cup qualification"/>
    <s v="Casablanca"/>
    <s v="Morocco"/>
    <b v="0"/>
    <n v="2021"/>
    <n v="142022058447"/>
    <n v="1908094558"/>
    <x v="0"/>
    <n v="1"/>
    <x v="2"/>
  </r>
  <r>
    <x v="5863"/>
    <x v="1774"/>
    <x v="52"/>
    <s v="Costa Rica"/>
    <s v="El Salvador"/>
    <n v="2"/>
    <n v="1"/>
    <s v="FIFA World Cup qualification"/>
    <s v="San Jos√©"/>
    <s v="Costa Rica"/>
    <b v="0"/>
    <n v="2021"/>
    <n v="64960725734"/>
    <n v="29043140000"/>
    <x v="0"/>
    <n v="1"/>
    <x v="2"/>
  </r>
  <r>
    <x v="5864"/>
    <x v="1774"/>
    <x v="52"/>
    <s v="Jamaica"/>
    <s v="Canada"/>
    <n v="0"/>
    <n v="0"/>
    <s v="FIFA World Cup qualification"/>
    <s v="Kingston"/>
    <s v="Jamaica"/>
    <b v="0"/>
    <n v="2021"/>
    <n v="15963885376"/>
    <n v="2022378748423"/>
    <x v="0"/>
    <n v="0"/>
    <x v="1"/>
  </r>
  <r>
    <x v="5865"/>
    <x v="1774"/>
    <x v="52"/>
    <s v="Panama"/>
    <s v="United States"/>
    <n v="1"/>
    <n v="0"/>
    <s v="FIFA World Cup qualification"/>
    <s v="Panama City"/>
    <s v="Panama"/>
    <b v="0"/>
    <n v="2021"/>
    <n v="67396392506"/>
    <n v="23315080560000"/>
    <x v="0"/>
    <n v="-1"/>
    <x v="0"/>
  </r>
  <r>
    <x v="5866"/>
    <x v="1774"/>
    <x v="52"/>
    <s v="Mexico"/>
    <s v="Honduras"/>
    <n v="3"/>
    <n v="0"/>
    <s v="FIFA World Cup qualification"/>
    <s v="Mexico City"/>
    <s v="Mexico"/>
    <b v="0"/>
    <n v="2021"/>
    <n v="1316569466685"/>
    <n v="28144331506"/>
    <x v="0"/>
    <n v="1"/>
    <x v="2"/>
  </r>
  <r>
    <x v="5867"/>
    <x v="1774"/>
    <x v="52"/>
    <s v="Zambia"/>
    <s v="Equatorial Guinea"/>
    <n v="1"/>
    <n v="1"/>
    <s v="FIFA World Cup qualification"/>
    <s v="Lusaka"/>
    <s v="Zambia"/>
    <b v="0"/>
    <n v="2021"/>
    <n v="22096416932"/>
    <n v="12215878032"/>
    <x v="1"/>
    <n v="0"/>
    <x v="1"/>
  </r>
  <r>
    <x v="5868"/>
    <x v="1774"/>
    <x v="52"/>
    <s v="Mauritania"/>
    <s v="Tunisia"/>
    <n v="0"/>
    <n v="0"/>
    <s v="FIFA World Cup qualification"/>
    <s v="Nouakchott"/>
    <s v="Mauritania"/>
    <b v="0"/>
    <n v="2021"/>
    <n v="9222536364"/>
    <n v="47073234359"/>
    <x v="0"/>
    <n v="0"/>
    <x v="1"/>
  </r>
  <r>
    <x v="5869"/>
    <x v="1774"/>
    <x v="52"/>
    <s v="Central African Republic"/>
    <s v="Nigeria"/>
    <n v="0"/>
    <n v="2"/>
    <s v="FIFA World Cup qualification"/>
    <s v="Limb√©"/>
    <s v="Cameroon"/>
    <b v="1"/>
    <n v="2021"/>
    <n v="2516498412"/>
    <n v="609147716972"/>
    <x v="0"/>
    <n v="1"/>
    <x v="2"/>
  </r>
  <r>
    <x v="5870"/>
    <x v="1774"/>
    <x v="52"/>
    <s v="Kenya"/>
    <s v="Mali"/>
    <n v="0"/>
    <n v="1"/>
    <s v="FIFA World Cup qualification"/>
    <s v="Nairobi"/>
    <s v="Kenya"/>
    <b v="0"/>
    <n v="2021"/>
    <n v="109703658904"/>
    <n v="22999245262"/>
    <x v="0"/>
    <n v="-1"/>
    <x v="0"/>
  </r>
  <r>
    <x v="5871"/>
    <x v="1774"/>
    <x v="52"/>
    <s v="Uganda"/>
    <s v="Rwanda"/>
    <n v="1"/>
    <n v="0"/>
    <s v="FIFA World Cup qualification"/>
    <s v="Entebbe"/>
    <s v="Uganda"/>
    <b v="0"/>
    <n v="2021"/>
    <n v="40529788748"/>
    <n v="11078787090"/>
    <x v="0"/>
    <n v="1"/>
    <x v="2"/>
  </r>
  <r>
    <x v="5872"/>
    <x v="1774"/>
    <x v="52"/>
    <s v="Benin"/>
    <s v="Tanzania"/>
    <n v="0"/>
    <n v="1"/>
    <s v="FIFA World Cup qualification"/>
    <s v="Cotonou"/>
    <s v="Benin"/>
    <b v="0"/>
    <n v="2021"/>
    <n v="17687623530"/>
    <n v="70655628147"/>
    <x v="0"/>
    <n v="1"/>
    <x v="2"/>
  </r>
  <r>
    <x v="5873"/>
    <x v="1774"/>
    <x v="52"/>
    <s v="Bolivia"/>
    <s v="Peru"/>
    <n v="1"/>
    <n v="0"/>
    <s v="FIFA World Cup qualification"/>
    <s v="La Paz"/>
    <s v="Bolivia"/>
    <b v="0"/>
    <n v="2021"/>
    <n v="47877892402"/>
    <n v="226328766459"/>
    <x v="0"/>
    <n v="-1"/>
    <x v="0"/>
  </r>
  <r>
    <x v="5874"/>
    <x v="1774"/>
    <x v="52"/>
    <s v="Colombia"/>
    <s v="Brazil"/>
    <n v="0"/>
    <n v="0"/>
    <s v="FIFA World Cup qualification"/>
    <s v="Barranquilla"/>
    <s v="Colombia"/>
    <b v="0"/>
    <n v="2021"/>
    <n v="318524633225"/>
    <n v="1670647464062"/>
    <x v="0"/>
    <n v="0"/>
    <x v="1"/>
  </r>
  <r>
    <x v="5875"/>
    <x v="1774"/>
    <x v="52"/>
    <s v="Venezuela"/>
    <s v="Ecuador"/>
    <n v="2"/>
    <n v="1"/>
    <s v="FIFA World Cup qualification"/>
    <s v="Caracas"/>
    <s v="Venezuela"/>
    <b v="0"/>
    <n v="2021"/>
    <n v="56614976854"/>
    <n v="107179074000"/>
    <x v="1"/>
    <n v="-1"/>
    <x v="0"/>
  </r>
  <r>
    <x v="5876"/>
    <x v="1774"/>
    <x v="52"/>
    <s v="Argentina"/>
    <s v="Uruguay"/>
    <n v="3"/>
    <n v="0"/>
    <s v="FIFA World Cup qualification"/>
    <s v="Buenos Aires"/>
    <s v="Argentina"/>
    <b v="0"/>
    <n v="2021"/>
    <n v="486564085480"/>
    <n v="60739084240"/>
    <x v="0"/>
    <n v="1"/>
    <x v="2"/>
  </r>
  <r>
    <x v="5877"/>
    <x v="1774"/>
    <x v="52"/>
    <s v="Chile"/>
    <s v="Paraguay"/>
    <n v="2"/>
    <n v="0"/>
    <s v="FIFA World Cup qualification"/>
    <s v="Santiago"/>
    <s v="Chile"/>
    <b v="0"/>
    <n v="2021"/>
    <n v="315325547162"/>
    <n v="39950899938"/>
    <x v="0"/>
    <n v="1"/>
    <x v="2"/>
  </r>
  <r>
    <x v="5878"/>
    <x v="1775"/>
    <x v="52"/>
    <s v="Norway"/>
    <s v="Montenegro"/>
    <n v="2"/>
    <n v="0"/>
    <s v="FIFA World Cup qualification"/>
    <s v="Oslo"/>
    <s v="Norway"/>
    <b v="0"/>
    <n v="2021"/>
    <n v="503367986030"/>
    <n v="5823715809"/>
    <x v="0"/>
    <n v="1"/>
    <x v="2"/>
  </r>
  <r>
    <x v="5879"/>
    <x v="1775"/>
    <x v="52"/>
    <s v="Cyprus"/>
    <s v="Malta"/>
    <n v="2"/>
    <n v="2"/>
    <s v="FIFA World Cup qualification"/>
    <s v="Larnaca"/>
    <s v="Cyprus"/>
    <b v="0"/>
    <n v="2021"/>
    <n v="30372642502"/>
    <n v="19739875611"/>
    <x v="1"/>
    <n v="0"/>
    <x v="1"/>
  </r>
  <r>
    <x v="5880"/>
    <x v="1775"/>
    <x v="52"/>
    <s v="Slovenia"/>
    <s v="Russia"/>
    <n v="1"/>
    <n v="2"/>
    <s v="FIFA World Cup qualification"/>
    <s v="Maribor"/>
    <s v="Slovenia"/>
    <b v="0"/>
    <n v="2021"/>
    <n v="61540813361"/>
    <n v="1829186719575"/>
    <x v="0"/>
    <n v="1"/>
    <x v="2"/>
  </r>
  <r>
    <x v="5881"/>
    <x v="1775"/>
    <x v="52"/>
    <s v="Iceland"/>
    <s v="Liechtenstein"/>
    <n v="4"/>
    <n v="0"/>
    <s v="FIFA World Cup qualification"/>
    <s v="Reykjav√≠k"/>
    <s v="Iceland"/>
    <b v="0"/>
    <n v="2021"/>
    <n v="26234872402"/>
    <n v="7912602342"/>
    <x v="0"/>
    <n v="1"/>
    <x v="2"/>
  </r>
  <r>
    <x v="5882"/>
    <x v="1775"/>
    <x v="52"/>
    <s v="North Macedonia"/>
    <s v="Germany"/>
    <n v="0"/>
    <n v="4"/>
    <s v="FIFA World Cup qualification"/>
    <s v="Skopje"/>
    <s v="North Macedonia"/>
    <b v="0"/>
    <n v="2021"/>
    <n v="14000283827"/>
    <n v="4355251953410"/>
    <x v="0"/>
    <n v="1"/>
    <x v="2"/>
  </r>
  <r>
    <x v="5883"/>
    <x v="1775"/>
    <x v="52"/>
    <s v="Romania"/>
    <s v="Armenia"/>
    <n v="1"/>
    <n v="0"/>
    <s v="FIFA World Cup qualification"/>
    <s v="Bucharest"/>
    <s v="Romania"/>
    <b v="0"/>
    <n v="2021"/>
    <n v="285071280114"/>
    <n v="13878908628"/>
    <x v="0"/>
    <n v="1"/>
    <x v="2"/>
  </r>
  <r>
    <x v="5884"/>
    <x v="1775"/>
    <x v="52"/>
    <s v="Burkina Faso"/>
    <s v="Djibouti"/>
    <n v="2"/>
    <n v="0"/>
    <s v="FIFA World Cup qualification"/>
    <s v="Marrakech"/>
    <s v="Morocco"/>
    <b v="1"/>
    <n v="2021"/>
    <n v="19697516284"/>
    <n v="3392796953"/>
    <x v="0"/>
    <n v="1"/>
    <x v="2"/>
  </r>
  <r>
    <x v="5885"/>
    <x v="1775"/>
    <x v="52"/>
    <s v="Mozambique"/>
    <s v="Cameroon"/>
    <n v="0"/>
    <n v="1"/>
    <s v="FIFA World Cup qualification"/>
    <s v="Tangier"/>
    <s v="Morocco"/>
    <b v="1"/>
    <n v="2021"/>
    <n v="16168055475"/>
    <n v="45011937346"/>
    <x v="0"/>
    <n v="1"/>
    <x v="2"/>
  </r>
  <r>
    <x v="5886"/>
    <x v="1775"/>
    <x v="52"/>
    <s v="Gabon"/>
    <s v="Angola"/>
    <n v="2"/>
    <n v="0"/>
    <s v="FIFA World Cup qualification"/>
    <s v="Franceville"/>
    <s v="Gabon"/>
    <b v="0"/>
    <n v="2021"/>
    <n v="19444935097"/>
    <n v="79559543805"/>
    <x v="0"/>
    <n v="-1"/>
    <x v="0"/>
  </r>
  <r>
    <x v="5887"/>
    <x v="1775"/>
    <x v="52"/>
    <s v="Libya"/>
    <s v="Egypt"/>
    <n v="0"/>
    <n v="3"/>
    <s v="FIFA World Cup qualification"/>
    <s v="Benina"/>
    <s v="Libya"/>
    <b v="0"/>
    <n v="2021"/>
    <n v="35217995647"/>
    <n v="424671765455"/>
    <x v="0"/>
    <n v="1"/>
    <x v="2"/>
  </r>
  <r>
    <x v="5888"/>
    <x v="1776"/>
    <x v="52"/>
    <s v="Iran"/>
    <s v="South Korea"/>
    <n v="1"/>
    <n v="1"/>
    <s v="FIFA World Cup qualification"/>
    <s v="Tehran"/>
    <s v="Iran"/>
    <b v="0"/>
    <n v="2021"/>
    <n v="407350685583"/>
    <n v="1942313560965"/>
    <x v="0"/>
    <n v="0"/>
    <x v="1"/>
  </r>
  <r>
    <x v="5889"/>
    <x v="1776"/>
    <x v="52"/>
    <s v="Syria"/>
    <s v="Lebanon"/>
    <n v="2"/>
    <n v="3"/>
    <s v="FIFA World Cup qualification"/>
    <s v="Amman"/>
    <s v="Jordan"/>
    <b v="1"/>
    <n v="2021"/>
    <n v="14353205678"/>
    <n v="23131941556"/>
    <x v="1"/>
    <n v="1"/>
    <x v="2"/>
  </r>
  <r>
    <x v="5890"/>
    <x v="1776"/>
    <x v="52"/>
    <s v="United Arab Emirates"/>
    <s v="Iraq"/>
    <n v="2"/>
    <n v="2"/>
    <s v="FIFA World Cup qualification"/>
    <s v="Dubai"/>
    <s v="United Arab Emirates"/>
    <b v="0"/>
    <n v="2021"/>
    <n v="422441388699"/>
    <n v="209691945713"/>
    <x v="0"/>
    <n v="0"/>
    <x v="1"/>
  </r>
  <r>
    <x v="5891"/>
    <x v="1776"/>
    <x v="52"/>
    <s v="Japan"/>
    <s v="Australia"/>
    <n v="2"/>
    <n v="1"/>
    <s v="FIFA World Cup qualification"/>
    <s v="Saitama"/>
    <s v="Japan"/>
    <b v="0"/>
    <n v="2021"/>
    <n v="5039148168861"/>
    <n v="1560617493202"/>
    <x v="0"/>
    <n v="1"/>
    <x v="2"/>
  </r>
  <r>
    <x v="5892"/>
    <x v="1776"/>
    <x v="52"/>
    <s v="Oman"/>
    <s v="Vietnam"/>
    <n v="3"/>
    <n v="1"/>
    <s v="FIFA World Cup qualification"/>
    <s v="Muscat"/>
    <s v="Oman"/>
    <b v="0"/>
    <n v="2021"/>
    <n v="87323797139"/>
    <n v="366474752771"/>
    <x v="0"/>
    <n v="-1"/>
    <x v="0"/>
  </r>
  <r>
    <x v="5893"/>
    <x v="1776"/>
    <x v="52"/>
    <s v="Portugal"/>
    <s v="Luxembourg"/>
    <n v="5"/>
    <n v="0"/>
    <s v="FIFA World Cup qualification"/>
    <s v="Faro-Loul√©"/>
    <s v="Portugal"/>
    <b v="0"/>
    <n v="2021"/>
    <n v="256055879091"/>
    <n v="86386759695"/>
    <x v="0"/>
    <n v="1"/>
    <x v="2"/>
  </r>
  <r>
    <x v="5894"/>
    <x v="1776"/>
    <x v="52"/>
    <s v="Serbia"/>
    <s v="Azerbaijan"/>
    <n v="3"/>
    <n v="1"/>
    <s v="FIFA World Cup qualification"/>
    <s v="Belgrade"/>
    <s v="Serbia"/>
    <b v="0"/>
    <n v="2021"/>
    <n v="66159884072"/>
    <n v="54825411764"/>
    <x v="1"/>
    <n v="1"/>
    <x v="2"/>
  </r>
  <r>
    <x v="5895"/>
    <x v="1776"/>
    <x v="52"/>
    <s v="Kosovo"/>
    <s v="Georgia"/>
    <n v="1"/>
    <n v="2"/>
    <s v="FIFA World Cup qualification"/>
    <s v="Pristina"/>
    <s v="Kosovo"/>
    <b v="0"/>
    <n v="2021"/>
    <n v="9413408574"/>
    <n v="18853115588"/>
    <x v="0"/>
    <n v="1"/>
    <x v="2"/>
  </r>
  <r>
    <x v="5896"/>
    <x v="1776"/>
    <x v="52"/>
    <s v="Sweden"/>
    <s v="Greece"/>
    <n v="2"/>
    <n v="0"/>
    <s v="FIFA World Cup qualification"/>
    <s v="Stockholm"/>
    <s v="Sweden"/>
    <b v="0"/>
    <n v="2021"/>
    <n v="631693331300"/>
    <n v="218303801895"/>
    <x v="0"/>
    <n v="1"/>
    <x v="2"/>
  </r>
  <r>
    <x v="5897"/>
    <x v="1776"/>
    <x v="52"/>
    <s v="Lithuania"/>
    <s v="Switzerland"/>
    <n v="0"/>
    <n v="4"/>
    <s v="FIFA World Cup qualification"/>
    <s v="Vilnius"/>
    <s v="Lithuania"/>
    <b v="0"/>
    <n v="2021"/>
    <n v="67037321008"/>
    <n v="815309330986"/>
    <x v="0"/>
    <n v="1"/>
    <x v="2"/>
  </r>
  <r>
    <x v="5898"/>
    <x v="1776"/>
    <x v="52"/>
    <s v="Kazakhstan"/>
    <s v="Finland"/>
    <n v="0"/>
    <n v="2"/>
    <s v="FIFA World Cup qualification"/>
    <s v="Nur-Sultan"/>
    <s v="Kazakhstan"/>
    <b v="0"/>
    <n v="2021"/>
    <n v="197112255360"/>
    <n v="294223210496"/>
    <x v="1"/>
    <n v="1"/>
    <x v="2"/>
  </r>
  <r>
    <x v="5899"/>
    <x v="1776"/>
    <x v="52"/>
    <s v="Ukraine"/>
    <s v="Bosnia and Herzegovina"/>
    <n v="1"/>
    <n v="1"/>
    <s v="FIFA World Cup qualification"/>
    <s v="Lviv"/>
    <s v="Ukraine"/>
    <b v="0"/>
    <n v="2021"/>
    <n v="199765859570"/>
    <n v="23672712121"/>
    <x v="0"/>
    <n v="0"/>
    <x v="1"/>
  </r>
  <r>
    <x v="5900"/>
    <x v="1776"/>
    <x v="52"/>
    <s v="Denmark"/>
    <s v="Austria"/>
    <n v="1"/>
    <n v="0"/>
    <s v="FIFA World Cup qualification"/>
    <s v="Copenhagen"/>
    <s v="Denmark"/>
    <b v="0"/>
    <n v="2021"/>
    <n v="406110162088"/>
    <n v="480466363176"/>
    <x v="1"/>
    <n v="-1"/>
    <x v="0"/>
  </r>
  <r>
    <x v="5901"/>
    <x v="1776"/>
    <x v="52"/>
    <s v="Israel"/>
    <s v="Moldova"/>
    <n v="2"/>
    <n v="1"/>
    <s v="FIFA World Cup qualification"/>
    <s v="Beer Sheva"/>
    <s v="Israel"/>
    <b v="0"/>
    <n v="2021"/>
    <n v="489851549972"/>
    <n v="13691869264"/>
    <x v="0"/>
    <n v="1"/>
    <x v="2"/>
  </r>
  <r>
    <x v="5902"/>
    <x v="1776"/>
    <x v="52"/>
    <s v="England"/>
    <s v="Hungary"/>
    <n v="1"/>
    <n v="1"/>
    <s v="FIFA World Cup qualification"/>
    <s v="London"/>
    <s v="England"/>
    <b v="0"/>
    <n v="2021"/>
    <n v="3194559188925"/>
    <n v="183282685440"/>
    <x v="0"/>
    <n v="0"/>
    <x v="1"/>
  </r>
  <r>
    <x v="5903"/>
    <x v="1776"/>
    <x v="52"/>
    <s v="Albania"/>
    <s v="Poland"/>
    <n v="0"/>
    <n v="1"/>
    <s v="FIFA World Cup qualification"/>
    <s v="Tirana"/>
    <s v="Albania"/>
    <b v="0"/>
    <n v="2021"/>
    <n v="18031989573"/>
    <n v="689170230665"/>
    <x v="0"/>
    <n v="1"/>
    <x v="2"/>
  </r>
  <r>
    <x v="5904"/>
    <x v="1776"/>
    <x v="52"/>
    <s v="San Marino"/>
    <s v="Andorra"/>
    <n v="0"/>
    <n v="3"/>
    <s v="FIFA World Cup qualification"/>
    <s v="Serravalle"/>
    <s v="San Marino"/>
    <b v="0"/>
    <n v="2021"/>
    <n v="1855652786"/>
    <n v="3324648075"/>
    <x v="1"/>
    <n v="1"/>
    <x v="2"/>
  </r>
  <r>
    <x v="5905"/>
    <x v="1776"/>
    <x v="52"/>
    <s v="Niger"/>
    <s v="Algeria"/>
    <n v="0"/>
    <n v="4"/>
    <s v="FIFA World Cup qualification"/>
    <s v="Niamey"/>
    <s v="Niger"/>
    <b v="0"/>
    <n v="2021"/>
    <n v="14915002436"/>
    <n v="186231205262"/>
    <x v="0"/>
    <n v="1"/>
    <x v="2"/>
  </r>
  <r>
    <x v="5906"/>
    <x v="1776"/>
    <x v="52"/>
    <s v="Zimbabwe"/>
    <s v="Ghana"/>
    <n v="0"/>
    <n v="1"/>
    <s v="FIFA World Cup qualification"/>
    <s v="Harare"/>
    <s v="Zimbabwe"/>
    <b v="0"/>
    <n v="2021"/>
    <n v="41287673690"/>
    <n v="79514204730"/>
    <x v="1"/>
    <n v="1"/>
    <x v="2"/>
  </r>
  <r>
    <x v="5907"/>
    <x v="1776"/>
    <x v="52"/>
    <s v="South Africa"/>
    <s v="Ethiopia"/>
    <n v="1"/>
    <n v="0"/>
    <s v="FIFA World Cup qualification"/>
    <s v="Johannesburg"/>
    <s v="South Africa"/>
    <b v="0"/>
    <n v="2021"/>
    <n v="419986284375"/>
    <n v="109070960371"/>
    <x v="0"/>
    <n v="1"/>
    <x v="2"/>
  </r>
  <r>
    <x v="5908"/>
    <x v="1776"/>
    <x v="52"/>
    <s v="Namibia"/>
    <s v="Senegal"/>
    <n v="1"/>
    <n v="3"/>
    <s v="FIFA World Cup qualification"/>
    <s v="Johannesburg"/>
    <s v="South Africa"/>
    <b v="1"/>
    <n v="2021"/>
    <n v="12402486183"/>
    <n v="27520784129"/>
    <x v="0"/>
    <n v="1"/>
    <x v="2"/>
  </r>
  <r>
    <x v="5909"/>
    <x v="1776"/>
    <x v="52"/>
    <s v="Morocco"/>
    <s v="Guinea"/>
    <n v="4"/>
    <n v="1"/>
    <s v="FIFA World Cup qualification"/>
    <s v="Agadir"/>
    <s v="Morocco"/>
    <b v="0"/>
    <n v="2021"/>
    <n v="142022058447"/>
    <n v="17069115737"/>
    <x v="0"/>
    <n v="1"/>
    <x v="2"/>
  </r>
  <r>
    <x v="5910"/>
    <x v="1777"/>
    <x v="52"/>
    <s v="Honduras"/>
    <s v="Jamaica"/>
    <n v="0"/>
    <n v="2"/>
    <s v="FIFA World Cup qualification"/>
    <s v="San Pedro Sula"/>
    <s v="Honduras"/>
    <b v="0"/>
    <n v="2021"/>
    <n v="28144331506"/>
    <n v="15963885376"/>
    <x v="1"/>
    <n v="-1"/>
    <x v="0"/>
  </r>
  <r>
    <x v="5911"/>
    <x v="1777"/>
    <x v="52"/>
    <s v="United States"/>
    <s v="Costa Rica"/>
    <n v="2"/>
    <n v="1"/>
    <s v="FIFA World Cup qualification"/>
    <s v="Columbus"/>
    <s v="United States"/>
    <b v="0"/>
    <n v="2021"/>
    <n v="23315080560000"/>
    <n v="64960725734"/>
    <x v="0"/>
    <n v="1"/>
    <x v="2"/>
  </r>
  <r>
    <x v="5912"/>
    <x v="1777"/>
    <x v="52"/>
    <s v="Canada"/>
    <s v="Panama"/>
    <n v="4"/>
    <n v="1"/>
    <s v="FIFA World Cup qualification"/>
    <s v="Toronto"/>
    <s v="Canada"/>
    <b v="0"/>
    <n v="2021"/>
    <n v="2022378748423"/>
    <n v="67396392506"/>
    <x v="0"/>
    <n v="1"/>
    <x v="2"/>
  </r>
  <r>
    <x v="5913"/>
    <x v="1777"/>
    <x v="52"/>
    <s v="El Salvador"/>
    <s v="Mexico"/>
    <n v="0"/>
    <n v="2"/>
    <s v="FIFA World Cup qualification"/>
    <s v="San Salvador"/>
    <s v="El Salvador"/>
    <b v="0"/>
    <n v="2021"/>
    <n v="29043140000"/>
    <n v="1316569466685"/>
    <x v="0"/>
    <n v="1"/>
    <x v="2"/>
  </r>
  <r>
    <x v="5914"/>
    <x v="1778"/>
    <x v="52"/>
    <s v="Bolivia"/>
    <s v="Paraguay"/>
    <n v="4"/>
    <n v="0"/>
    <s v="FIFA World Cup qualification"/>
    <s v="La Paz"/>
    <s v="Bolivia"/>
    <b v="0"/>
    <n v="2021"/>
    <n v="47877892402"/>
    <n v="39950899938"/>
    <x v="1"/>
    <n v="1"/>
    <x v="2"/>
  </r>
  <r>
    <x v="5915"/>
    <x v="1778"/>
    <x v="52"/>
    <s v="Colombia"/>
    <s v="Ecuador"/>
    <n v="0"/>
    <n v="0"/>
    <s v="FIFA World Cup qualification"/>
    <s v="Barranquilla"/>
    <s v="Colombia"/>
    <b v="0"/>
    <n v="2021"/>
    <n v="318524633225"/>
    <n v="107179074000"/>
    <x v="0"/>
    <n v="0"/>
    <x v="1"/>
  </r>
  <r>
    <x v="5916"/>
    <x v="1778"/>
    <x v="52"/>
    <s v="Argentina"/>
    <s v="Peru"/>
    <n v="1"/>
    <n v="0"/>
    <s v="FIFA World Cup qualification"/>
    <s v="Buenos Aires"/>
    <s v="Argentina"/>
    <b v="0"/>
    <n v="2021"/>
    <n v="486564085480"/>
    <n v="226328766459"/>
    <x v="0"/>
    <n v="1"/>
    <x v="2"/>
  </r>
  <r>
    <x v="5917"/>
    <x v="1778"/>
    <x v="52"/>
    <s v="Brazil"/>
    <s v="Uruguay"/>
    <n v="4"/>
    <n v="1"/>
    <s v="FIFA World Cup qualification"/>
    <s v="Manaus"/>
    <s v="Brazil"/>
    <b v="0"/>
    <n v="2021"/>
    <n v="1670647464062"/>
    <n v="60739084240"/>
    <x v="0"/>
    <n v="1"/>
    <x v="2"/>
  </r>
  <r>
    <x v="5918"/>
    <x v="1778"/>
    <x v="52"/>
    <s v="Chile"/>
    <s v="Venezuela"/>
    <n v="3"/>
    <n v="0"/>
    <s v="FIFA World Cup qualification"/>
    <s v="Santiago"/>
    <s v="Chile"/>
    <b v="0"/>
    <n v="2021"/>
    <n v="315325547162"/>
    <n v="56614976854"/>
    <x v="0"/>
    <n v="1"/>
    <x v="2"/>
  </r>
  <r>
    <x v="5919"/>
    <x v="1779"/>
    <x v="52"/>
    <s v="Uganda"/>
    <s v="Kenya"/>
    <n v="1"/>
    <n v="1"/>
    <s v="FIFA World Cup qualification"/>
    <s v="Entebbe"/>
    <s v="Uganda"/>
    <b v="0"/>
    <n v="2021"/>
    <n v="40529788748"/>
    <n v="109703658904"/>
    <x v="0"/>
    <n v="0"/>
    <x v="1"/>
  </r>
  <r>
    <x v="5920"/>
    <x v="1779"/>
    <x v="52"/>
    <s v="Rwanda"/>
    <s v="Mali"/>
    <n v="0"/>
    <n v="3"/>
    <s v="FIFA World Cup qualification"/>
    <s v="Kigali"/>
    <s v="Rwanda"/>
    <b v="0"/>
    <n v="2021"/>
    <n v="11078787090"/>
    <n v="22999245262"/>
    <x v="0"/>
    <n v="1"/>
    <x v="2"/>
  </r>
  <r>
    <x v="5921"/>
    <x v="1779"/>
    <x v="52"/>
    <s v="Ethiopia"/>
    <s v="Ghana"/>
    <n v="1"/>
    <n v="1"/>
    <s v="FIFA World Cup qualification"/>
    <s v="Johannesburg"/>
    <s v="South Africa"/>
    <b v="1"/>
    <n v="2021"/>
    <n v="109070960371"/>
    <n v="79514204730"/>
    <x v="1"/>
    <n v="0"/>
    <x v="1"/>
  </r>
  <r>
    <x v="5922"/>
    <x v="1779"/>
    <x v="52"/>
    <s v="South Africa"/>
    <s v="Zimbabwe"/>
    <n v="1"/>
    <n v="0"/>
    <s v="FIFA World Cup qualification"/>
    <s v="Johannesburg"/>
    <s v="South Africa"/>
    <b v="0"/>
    <n v="2021"/>
    <n v="419986284375"/>
    <n v="41287673690"/>
    <x v="0"/>
    <n v="1"/>
    <x v="2"/>
  </r>
  <r>
    <x v="5923"/>
    <x v="1779"/>
    <x v="52"/>
    <s v="Togo"/>
    <s v="Senegal"/>
    <n v="1"/>
    <n v="1"/>
    <s v="FIFA World Cup qualification"/>
    <s v="Lom√©"/>
    <s v="Togo"/>
    <b v="0"/>
    <n v="2021"/>
    <n v="8541668141"/>
    <n v="27520784129"/>
    <x v="0"/>
    <n v="0"/>
    <x v="1"/>
  </r>
  <r>
    <x v="5924"/>
    <x v="1779"/>
    <x v="52"/>
    <s v="Benin"/>
    <s v="Madagascar"/>
    <n v="2"/>
    <n v="0"/>
    <s v="FIFA World Cup qualification"/>
    <s v="Cotonou"/>
    <s v="Benin"/>
    <b v="0"/>
    <n v="2021"/>
    <n v="17687623530"/>
    <n v="14354731964"/>
    <x v="1"/>
    <n v="1"/>
    <x v="2"/>
  </r>
  <r>
    <x v="5925"/>
    <x v="1779"/>
    <x v="52"/>
    <s v="Lebanon"/>
    <s v="Iran"/>
    <n v="1"/>
    <n v="2"/>
    <s v="FIFA World Cup qualification"/>
    <s v="Sidon"/>
    <s v="Lebanon"/>
    <b v="0"/>
    <n v="2021"/>
    <n v="23131941556"/>
    <n v="407350685583"/>
    <x v="0"/>
    <n v="1"/>
    <x v="2"/>
  </r>
  <r>
    <x v="5926"/>
    <x v="1779"/>
    <x v="52"/>
    <s v="Iraq"/>
    <s v="Syria"/>
    <n v="1"/>
    <n v="1"/>
    <s v="FIFA World Cup qualification"/>
    <s v="Al Rayyan"/>
    <s v="Qatar"/>
    <b v="1"/>
    <n v="2021"/>
    <n v="209691945713"/>
    <n v="14353205678"/>
    <x v="0"/>
    <n v="0"/>
    <x v="1"/>
  </r>
  <r>
    <x v="5927"/>
    <x v="1779"/>
    <x v="52"/>
    <s v="South Korea"/>
    <s v="United Arab Emirates"/>
    <n v="1"/>
    <n v="0"/>
    <s v="FIFA World Cup qualification"/>
    <s v="Goyang"/>
    <s v="South Korea"/>
    <b v="0"/>
    <n v="2021"/>
    <n v="1942313560965"/>
    <n v="422441388699"/>
    <x v="0"/>
    <n v="1"/>
    <x v="2"/>
  </r>
  <r>
    <x v="5928"/>
    <x v="1779"/>
    <x v="52"/>
    <s v="Vietnam"/>
    <s v="Japan"/>
    <n v="0"/>
    <n v="1"/>
    <s v="FIFA World Cup qualification"/>
    <s v="Hanoi"/>
    <s v="Vietnam"/>
    <b v="0"/>
    <n v="2021"/>
    <n v="366474752771"/>
    <n v="5039148168861"/>
    <x v="0"/>
    <n v="1"/>
    <x v="2"/>
  </r>
  <r>
    <x v="5929"/>
    <x v="1779"/>
    <x v="52"/>
    <s v="Australia"/>
    <s v="Saudi Arabia"/>
    <n v="0"/>
    <n v="0"/>
    <s v="FIFA World Cup qualification"/>
    <s v="Sydney"/>
    <s v="Australia"/>
    <b v="0"/>
    <n v="2021"/>
    <n v="1560617493202"/>
    <n v="982661066666"/>
    <x v="1"/>
    <n v="0"/>
    <x v="1"/>
  </r>
  <r>
    <x v="5930"/>
    <x v="1779"/>
    <x v="52"/>
    <s v="Azerbaijan"/>
    <s v="Luxembourg"/>
    <n v="1"/>
    <n v="3"/>
    <s v="FIFA World Cup qualification"/>
    <s v="Baku"/>
    <s v="Azerbaijan"/>
    <b v="0"/>
    <n v="2021"/>
    <n v="54825411764"/>
    <n v="86386759695"/>
    <x v="1"/>
    <n v="1"/>
    <x v="2"/>
  </r>
  <r>
    <x v="5931"/>
    <x v="1779"/>
    <x v="52"/>
    <s v="Georgia"/>
    <s v="Sweden"/>
    <n v="2"/>
    <n v="0"/>
    <s v="FIFA World Cup qualification"/>
    <s v="Batumi"/>
    <s v="Georgia"/>
    <b v="0"/>
    <n v="2021"/>
    <n v="18853115588"/>
    <n v="631693331300"/>
    <x v="0"/>
    <n v="-1"/>
    <x v="0"/>
  </r>
  <r>
    <x v="5932"/>
    <x v="1779"/>
    <x v="52"/>
    <s v="Greece"/>
    <s v="Spain"/>
    <n v="0"/>
    <n v="1"/>
    <s v="FIFA World Cup qualification"/>
    <s v="Athens"/>
    <s v="Greece"/>
    <b v="0"/>
    <n v="2021"/>
    <n v="218303801895"/>
    <n v="1461244901852"/>
    <x v="0"/>
    <n v="1"/>
    <x v="2"/>
  </r>
  <r>
    <x v="5933"/>
    <x v="1779"/>
    <x v="52"/>
    <s v="Russia"/>
    <s v="Cyprus"/>
    <n v="6"/>
    <n v="0"/>
    <s v="FIFA World Cup qualification"/>
    <s v="Saint Petersburg"/>
    <s v="Russia"/>
    <b v="0"/>
    <n v="2021"/>
    <n v="1829186719575"/>
    <n v="30372642502"/>
    <x v="0"/>
    <n v="1"/>
    <x v="2"/>
  </r>
  <r>
    <x v="5934"/>
    <x v="1779"/>
    <x v="52"/>
    <s v="Malta"/>
    <s v="Croatia"/>
    <n v="1"/>
    <n v="7"/>
    <s v="FIFA World Cup qualification"/>
    <s v="Ta' Qali"/>
    <s v="Malta"/>
    <b v="0"/>
    <n v="2021"/>
    <n v="19739875611"/>
    <n v="69002365163"/>
    <x v="0"/>
    <n v="1"/>
    <x v="2"/>
  </r>
  <r>
    <x v="5935"/>
    <x v="1779"/>
    <x v="52"/>
    <s v="Germany"/>
    <s v="Liechtenstein"/>
    <n v="9"/>
    <n v="0"/>
    <s v="FIFA World Cup qualification"/>
    <s v="Wolfsburg"/>
    <s v="Germany"/>
    <b v="0"/>
    <n v="2021"/>
    <n v="4355251953410"/>
    <n v="7912602342"/>
    <x v="0"/>
    <n v="1"/>
    <x v="2"/>
  </r>
  <r>
    <x v="5936"/>
    <x v="1779"/>
    <x v="52"/>
    <s v="Armenia"/>
    <s v="North Macedonia"/>
    <n v="0"/>
    <n v="5"/>
    <s v="FIFA World Cup qualification"/>
    <s v="Yerevan"/>
    <s v="Armenia"/>
    <b v="0"/>
    <n v="2021"/>
    <n v="13878908628"/>
    <n v="14000283827"/>
    <x v="1"/>
    <n v="1"/>
    <x v="2"/>
  </r>
  <r>
    <x v="5937"/>
    <x v="1779"/>
    <x v="52"/>
    <s v="Romania"/>
    <s v="Iceland"/>
    <n v="0"/>
    <n v="0"/>
    <s v="FIFA World Cup qualification"/>
    <s v="Bucharest"/>
    <s v="Romania"/>
    <b v="0"/>
    <n v="2021"/>
    <n v="285071280114"/>
    <n v="26234872402"/>
    <x v="0"/>
    <n v="0"/>
    <x v="1"/>
  </r>
  <r>
    <x v="5938"/>
    <x v="1779"/>
    <x v="52"/>
    <s v="Ecuador"/>
    <s v="Venezuela"/>
    <n v="1"/>
    <n v="0"/>
    <s v="FIFA World Cup qualification"/>
    <s v="Quito"/>
    <s v="Ecuador"/>
    <b v="0"/>
    <n v="2021"/>
    <n v="107179074000"/>
    <n v="56614976854"/>
    <x v="1"/>
    <n v="1"/>
    <x v="2"/>
  </r>
  <r>
    <x v="5939"/>
    <x v="1779"/>
    <x v="52"/>
    <s v="Paraguay"/>
    <s v="Chile"/>
    <n v="0"/>
    <n v="1"/>
    <s v="FIFA World Cup qualification"/>
    <s v="Asunci√≥n"/>
    <s v="Paraguay"/>
    <b v="0"/>
    <n v="2021"/>
    <n v="39950899938"/>
    <n v="315325547162"/>
    <x v="0"/>
    <n v="1"/>
    <x v="2"/>
  </r>
  <r>
    <x v="5940"/>
    <x v="1779"/>
    <x v="52"/>
    <s v="Peru"/>
    <s v="Bolivia"/>
    <n v="3"/>
    <n v="0"/>
    <s v="FIFA World Cup qualification"/>
    <s v="Lima"/>
    <s v="Peru"/>
    <b v="0"/>
    <n v="2021"/>
    <n v="226328766459"/>
    <n v="47877892402"/>
    <x v="0"/>
    <n v="1"/>
    <x v="2"/>
  </r>
  <r>
    <x v="5941"/>
    <x v="1779"/>
    <x v="52"/>
    <s v="Brazil"/>
    <s v="Colombia"/>
    <n v="1"/>
    <n v="0"/>
    <s v="FIFA World Cup qualification"/>
    <s v="S√£o Paulo"/>
    <s v="Brazil"/>
    <b v="0"/>
    <n v="2021"/>
    <n v="1670647464062"/>
    <n v="318524633225"/>
    <x v="0"/>
    <n v="1"/>
    <x v="2"/>
  </r>
  <r>
    <x v="5942"/>
    <x v="1780"/>
    <x v="52"/>
    <s v="Burkina Faso"/>
    <s v="Niger"/>
    <n v="1"/>
    <n v="1"/>
    <s v="FIFA World Cup qualification"/>
    <s v="Marrakech"/>
    <s v="Morocco"/>
    <b v="1"/>
    <n v="2021"/>
    <n v="19697516284"/>
    <n v="14915002436"/>
    <x v="1"/>
    <n v="0"/>
    <x v="1"/>
  </r>
  <r>
    <x v="5943"/>
    <x v="1780"/>
    <x v="52"/>
    <s v="Djibouti"/>
    <s v="Algeria"/>
    <n v="0"/>
    <n v="4"/>
    <s v="FIFA World Cup qualification"/>
    <s v="Cairo"/>
    <s v="Egypt"/>
    <b v="1"/>
    <n v="2021"/>
    <n v="3392796953"/>
    <n v="186231205262"/>
    <x v="0"/>
    <n v="1"/>
    <x v="2"/>
  </r>
  <r>
    <x v="5944"/>
    <x v="1780"/>
    <x v="52"/>
    <s v="Gabon"/>
    <s v="Libya"/>
    <n v="1"/>
    <n v="0"/>
    <s v="FIFA World Cup qualification"/>
    <s v="Franceville"/>
    <s v="Gabon"/>
    <b v="0"/>
    <n v="2021"/>
    <n v="19444935097"/>
    <n v="35217995647"/>
    <x v="1"/>
    <n v="-1"/>
    <x v="0"/>
  </r>
  <r>
    <x v="5945"/>
    <x v="1780"/>
    <x v="52"/>
    <s v="Angola"/>
    <s v="Egypt"/>
    <n v="2"/>
    <n v="2"/>
    <s v="FIFA World Cup qualification"/>
    <s v="Luanda"/>
    <s v="Angola"/>
    <b v="0"/>
    <n v="2021"/>
    <n v="79559543805"/>
    <n v="424671765455"/>
    <x v="0"/>
    <n v="0"/>
    <x v="1"/>
  </r>
  <r>
    <x v="5946"/>
    <x v="1780"/>
    <x v="52"/>
    <s v="Guinea"/>
    <s v="Guinea-Bissau"/>
    <n v="0"/>
    <n v="0"/>
    <s v="FIFA World Cup qualification"/>
    <s v="Conakry"/>
    <s v="Guinea"/>
    <b v="0"/>
    <n v="2021"/>
    <n v="17069115737"/>
    <n v="1908094558"/>
    <x v="0"/>
    <n v="0"/>
    <x v="1"/>
  </r>
  <r>
    <x v="5947"/>
    <x v="1780"/>
    <x v="52"/>
    <s v="Morocco"/>
    <s v="Sudan"/>
    <n v="3"/>
    <n v="0"/>
    <s v="FIFA World Cup qualification"/>
    <s v="Rabat"/>
    <s v="Morocco"/>
    <b v="0"/>
    <n v="2021"/>
    <n v="142022058447"/>
    <n v="34229513774"/>
    <x v="0"/>
    <n v="1"/>
    <x v="2"/>
  </r>
  <r>
    <x v="5948"/>
    <x v="1780"/>
    <x v="52"/>
    <s v="Canada"/>
    <s v="Costa Rica"/>
    <n v="1"/>
    <n v="0"/>
    <s v="FIFA World Cup qualification"/>
    <s v="Edmonton"/>
    <s v="Canada"/>
    <b v="0"/>
    <n v="2021"/>
    <n v="2022378748423"/>
    <n v="64960725734"/>
    <x v="0"/>
    <n v="1"/>
    <x v="2"/>
  </r>
  <r>
    <x v="5949"/>
    <x v="1780"/>
    <x v="52"/>
    <s v="Honduras"/>
    <s v="Panama"/>
    <n v="2"/>
    <n v="3"/>
    <s v="FIFA World Cup qualification"/>
    <s v="San Pedro Sula"/>
    <s v="Honduras"/>
    <b v="0"/>
    <n v="2021"/>
    <n v="28144331506"/>
    <n v="67396392506"/>
    <x v="0"/>
    <n v="1"/>
    <x v="2"/>
  </r>
  <r>
    <x v="5950"/>
    <x v="1780"/>
    <x v="52"/>
    <s v="El Salvador"/>
    <s v="Jamaica"/>
    <n v="1"/>
    <n v="1"/>
    <s v="FIFA World Cup qualification"/>
    <s v="San Salvador"/>
    <s v="El Salvador"/>
    <b v="0"/>
    <n v="2021"/>
    <n v="29043140000"/>
    <n v="15963885376"/>
    <x v="1"/>
    <n v="0"/>
    <x v="1"/>
  </r>
  <r>
    <x v="5951"/>
    <x v="1780"/>
    <x v="52"/>
    <s v="United States"/>
    <s v="Mexico"/>
    <n v="2"/>
    <n v="0"/>
    <s v="FIFA World Cup qualification"/>
    <s v="Cincinnati"/>
    <s v="United States"/>
    <b v="0"/>
    <n v="2021"/>
    <n v="23315080560000"/>
    <n v="1316569466685"/>
    <x v="0"/>
    <n v="1"/>
    <x v="2"/>
  </r>
  <r>
    <x v="5952"/>
    <x v="1780"/>
    <x v="52"/>
    <s v="Italy"/>
    <s v="Switzerland"/>
    <n v="1"/>
    <n v="1"/>
    <s v="FIFA World Cup qualification"/>
    <s v="Rome"/>
    <s v="Italy"/>
    <b v="0"/>
    <n v="2021"/>
    <n v="2179207773596"/>
    <n v="815309330986"/>
    <x v="0"/>
    <n v="0"/>
    <x v="1"/>
  </r>
  <r>
    <x v="5953"/>
    <x v="1780"/>
    <x v="52"/>
    <s v="Denmark"/>
    <s v="Faroe Islands"/>
    <n v="3"/>
    <n v="1"/>
    <s v="FIFA World Cup qualification"/>
    <s v="Copenhagen"/>
    <s v="Denmark"/>
    <b v="0"/>
    <n v="2021"/>
    <n v="406110162088"/>
    <n v="3699551717"/>
    <x v="0"/>
    <n v="1"/>
    <x v="2"/>
  </r>
  <r>
    <x v="5954"/>
    <x v="1780"/>
    <x v="52"/>
    <s v="Austria"/>
    <s v="Israel"/>
    <n v="4"/>
    <n v="2"/>
    <s v="FIFA World Cup qualification"/>
    <s v="Klagenfurt"/>
    <s v="Austria"/>
    <b v="0"/>
    <n v="2021"/>
    <n v="480466363176"/>
    <n v="489851549972"/>
    <x v="1"/>
    <n v="-1"/>
    <x v="0"/>
  </r>
  <r>
    <x v="5955"/>
    <x v="1780"/>
    <x v="52"/>
    <s v="England"/>
    <s v="Albania"/>
    <n v="5"/>
    <n v="0"/>
    <s v="FIFA World Cup qualification"/>
    <s v="London"/>
    <s v="England"/>
    <b v="0"/>
    <n v="2021"/>
    <n v="3194559188925"/>
    <n v="18031989573"/>
    <x v="0"/>
    <n v="1"/>
    <x v="2"/>
  </r>
  <r>
    <x v="5956"/>
    <x v="1780"/>
    <x v="52"/>
    <s v="Andorra"/>
    <s v="Poland"/>
    <n v="1"/>
    <n v="4"/>
    <s v="FIFA World Cup qualification"/>
    <s v="Andorra la Vella"/>
    <s v="Andorra"/>
    <b v="0"/>
    <n v="2021"/>
    <n v="3324648075"/>
    <n v="689170230665"/>
    <x v="0"/>
    <n v="1"/>
    <x v="2"/>
  </r>
  <r>
    <x v="5957"/>
    <x v="1780"/>
    <x v="52"/>
    <s v="Hungary"/>
    <s v="San Marino"/>
    <n v="4"/>
    <n v="0"/>
    <s v="FIFA World Cup qualification"/>
    <s v="Budapest"/>
    <s v="Hungary"/>
    <b v="0"/>
    <n v="2021"/>
    <n v="183282685440"/>
    <n v="1855652786"/>
    <x v="0"/>
    <n v="1"/>
    <x v="2"/>
  </r>
  <r>
    <x v="5958"/>
    <x v="1780"/>
    <x v="52"/>
    <s v="Uruguay"/>
    <s v="Argentina"/>
    <n v="0"/>
    <n v="1"/>
    <s v="FIFA World Cup qualification"/>
    <s v="Montevideo"/>
    <s v="Uruguay"/>
    <b v="0"/>
    <n v="2021"/>
    <n v="60739084240"/>
    <n v="486564085480"/>
    <x v="0"/>
    <n v="1"/>
    <x v="2"/>
  </r>
  <r>
    <x v="5959"/>
    <x v="1781"/>
    <x v="52"/>
    <s v="Zambia"/>
    <s v="Mauritania"/>
    <n v="4"/>
    <n v="0"/>
    <s v="FIFA World Cup qualification"/>
    <s v="Lusaka"/>
    <s v="Zambia"/>
    <b v="0"/>
    <n v="2021"/>
    <n v="22096416932"/>
    <n v="9222536364"/>
    <x v="0"/>
    <n v="1"/>
    <x v="2"/>
  </r>
  <r>
    <x v="5960"/>
    <x v="1781"/>
    <x v="52"/>
    <s v="Equatorial Guinea"/>
    <s v="Tunisia"/>
    <n v="1"/>
    <n v="0"/>
    <s v="FIFA World Cup qualification"/>
    <s v="Malabo"/>
    <s v="Equatorial Guinea"/>
    <b v="0"/>
    <n v="2021"/>
    <n v="12215878032"/>
    <n v="47073234359"/>
    <x v="0"/>
    <n v="-1"/>
    <x v="0"/>
  </r>
  <r>
    <x v="5961"/>
    <x v="1781"/>
    <x v="52"/>
    <s v="Liberia"/>
    <s v="Nigeria"/>
    <n v="0"/>
    <n v="2"/>
    <s v="FIFA World Cup qualification"/>
    <s v="Tangier"/>
    <s v="Morocco"/>
    <b v="1"/>
    <n v="2021"/>
    <n v="3513049500"/>
    <n v="609147716972"/>
    <x v="0"/>
    <n v="1"/>
    <x v="2"/>
  </r>
  <r>
    <x v="5962"/>
    <x v="1781"/>
    <x v="52"/>
    <s v="Malawi"/>
    <s v="Cameroon"/>
    <n v="0"/>
    <n v="4"/>
    <s v="FIFA World Cup qualification"/>
    <s v="Johannesburg"/>
    <s v="South Africa"/>
    <b v="1"/>
    <n v="2021"/>
    <n v="12378119199"/>
    <n v="45011937346"/>
    <x v="0"/>
    <n v="1"/>
    <x v="2"/>
  </r>
  <r>
    <x v="5963"/>
    <x v="1781"/>
    <x v="52"/>
    <s v="Bosnia and Herzegovina"/>
    <s v="Finland"/>
    <n v="1"/>
    <n v="3"/>
    <s v="FIFA World Cup qualification"/>
    <s v="Zenica"/>
    <s v="Bosnia and Herzegovina"/>
    <b v="0"/>
    <n v="2021"/>
    <n v="23672712121"/>
    <n v="294223210496"/>
    <x v="0"/>
    <n v="1"/>
    <x v="2"/>
  </r>
  <r>
    <x v="5964"/>
    <x v="1781"/>
    <x v="52"/>
    <s v="France"/>
    <s v="Kazakhstan"/>
    <n v="8"/>
    <n v="0"/>
    <s v="FIFA World Cup qualification"/>
    <s v="Paris"/>
    <s v="France"/>
    <b v="0"/>
    <n v="2021"/>
    <n v="2966433692008"/>
    <n v="197112255360"/>
    <x v="0"/>
    <n v="1"/>
    <x v="2"/>
  </r>
  <r>
    <x v="5965"/>
    <x v="1781"/>
    <x v="52"/>
    <s v="Belgium"/>
    <s v="Estonia"/>
    <n v="3"/>
    <n v="1"/>
    <s v="FIFA World Cup qualification"/>
    <s v="Brussels"/>
    <s v="Belgium"/>
    <b v="0"/>
    <n v="2021"/>
    <n v="598522422241"/>
    <n v="37201101170"/>
    <x v="0"/>
    <n v="1"/>
    <x v="2"/>
  </r>
  <r>
    <x v="5966"/>
    <x v="1781"/>
    <x v="52"/>
    <s v="Norway"/>
    <s v="Latvia"/>
    <n v="0"/>
    <n v="0"/>
    <s v="FIFA World Cup qualification"/>
    <s v="Oslo"/>
    <s v="Norway"/>
    <b v="0"/>
    <n v="2021"/>
    <n v="503367986030"/>
    <n v="38183326784"/>
    <x v="0"/>
    <n v="0"/>
    <x v="1"/>
  </r>
  <r>
    <x v="5967"/>
    <x v="1781"/>
    <x v="52"/>
    <s v="Montenegro"/>
    <s v="Netherlands"/>
    <n v="2"/>
    <n v="2"/>
    <s v="FIFA World Cup qualification"/>
    <s v="Podgorica"/>
    <s v="Montenegro"/>
    <b v="0"/>
    <n v="2021"/>
    <n v="5823715809"/>
    <n v="1054472123449"/>
    <x v="0"/>
    <n v="0"/>
    <x v="1"/>
  </r>
  <r>
    <x v="5968"/>
    <x v="1782"/>
    <x v="52"/>
    <s v="Mali"/>
    <s v="Uganda"/>
    <n v="1"/>
    <n v="0"/>
    <s v="FIFA World Cup qualification"/>
    <s v="Agadir"/>
    <s v="Morocco"/>
    <b v="1"/>
    <n v="2021"/>
    <n v="22999245262"/>
    <n v="40529788748"/>
    <x v="1"/>
    <n v="-1"/>
    <x v="0"/>
  </r>
  <r>
    <x v="5969"/>
    <x v="1782"/>
    <x v="52"/>
    <s v="Zimbabwe"/>
    <s v="Ethiopia"/>
    <n v="1"/>
    <n v="1"/>
    <s v="FIFA World Cup qualification"/>
    <s v="Harare"/>
    <s v="Zimbabwe"/>
    <b v="0"/>
    <n v="2021"/>
    <n v="41287673690"/>
    <n v="109070960371"/>
    <x v="0"/>
    <n v="0"/>
    <x v="1"/>
  </r>
  <r>
    <x v="5970"/>
    <x v="1782"/>
    <x v="52"/>
    <s v="Ghana"/>
    <s v="South Africa"/>
    <n v="1"/>
    <n v="0"/>
    <s v="FIFA World Cup qualification"/>
    <s v="Cape Coast"/>
    <s v="Ghana"/>
    <b v="0"/>
    <n v="2021"/>
    <n v="79514204730"/>
    <n v="419986284375"/>
    <x v="0"/>
    <n v="-1"/>
    <x v="0"/>
  </r>
  <r>
    <x v="5971"/>
    <x v="1782"/>
    <x v="52"/>
    <s v="Madagascar"/>
    <s v="Tanzania"/>
    <n v="1"/>
    <n v="1"/>
    <s v="FIFA World Cup qualification"/>
    <s v="Antananarivo"/>
    <s v="Madagascar"/>
    <b v="0"/>
    <n v="2021"/>
    <n v="14354731964"/>
    <n v="70655628147"/>
    <x v="0"/>
    <n v="0"/>
    <x v="1"/>
  </r>
  <r>
    <x v="5972"/>
    <x v="1782"/>
    <x v="52"/>
    <s v="Portugal"/>
    <s v="Serbia"/>
    <n v="1"/>
    <n v="2"/>
    <s v="FIFA World Cup qualification"/>
    <s v="Lisbon"/>
    <s v="Portugal"/>
    <b v="0"/>
    <n v="2021"/>
    <n v="256055879091"/>
    <n v="66159884072"/>
    <x v="0"/>
    <n v="-1"/>
    <x v="0"/>
  </r>
  <r>
    <x v="5973"/>
    <x v="1782"/>
    <x v="52"/>
    <s v="Spain"/>
    <s v="Sweden"/>
    <n v="1"/>
    <n v="0"/>
    <s v="FIFA World Cup qualification"/>
    <s v="Seville"/>
    <s v="Spain"/>
    <b v="0"/>
    <n v="2021"/>
    <n v="1461244901852"/>
    <n v="631693331300"/>
    <x v="0"/>
    <n v="1"/>
    <x v="2"/>
  </r>
  <r>
    <x v="5974"/>
    <x v="1782"/>
    <x v="52"/>
    <s v="Greece"/>
    <s v="Kosovo"/>
    <n v="1"/>
    <n v="1"/>
    <s v="FIFA World Cup qualification"/>
    <s v="Athens"/>
    <s v="Greece"/>
    <b v="0"/>
    <n v="2021"/>
    <n v="218303801895"/>
    <n v="9413408574"/>
    <x v="0"/>
    <n v="0"/>
    <x v="1"/>
  </r>
  <r>
    <x v="5975"/>
    <x v="1782"/>
    <x v="52"/>
    <s v="Croatia"/>
    <s v="Russia"/>
    <n v="1"/>
    <n v="0"/>
    <s v="FIFA World Cup qualification"/>
    <s v="Split"/>
    <s v="Croatia"/>
    <b v="0"/>
    <n v="2021"/>
    <n v="69002365163"/>
    <n v="1829186719575"/>
    <x v="0"/>
    <n v="-1"/>
    <x v="0"/>
  </r>
  <r>
    <x v="5976"/>
    <x v="1782"/>
    <x v="52"/>
    <s v="Slovenia"/>
    <s v="Cyprus"/>
    <n v="2"/>
    <n v="1"/>
    <s v="FIFA World Cup qualification"/>
    <s v="Ljubljana"/>
    <s v="Slovenia"/>
    <b v="0"/>
    <n v="2021"/>
    <n v="61540813361"/>
    <n v="30372642502"/>
    <x v="0"/>
    <n v="1"/>
    <x v="2"/>
  </r>
  <r>
    <x v="5977"/>
    <x v="1782"/>
    <x v="52"/>
    <s v="Liechtenstein"/>
    <s v="Romania"/>
    <n v="0"/>
    <n v="2"/>
    <s v="FIFA World Cup qualification"/>
    <s v="Vaduz"/>
    <s v="Liechtenstein"/>
    <b v="0"/>
    <n v="2021"/>
    <n v="7912602342"/>
    <n v="285071280114"/>
    <x v="0"/>
    <n v="1"/>
    <x v="2"/>
  </r>
  <r>
    <x v="5978"/>
    <x v="1782"/>
    <x v="52"/>
    <s v="North Macedonia"/>
    <s v="Iceland"/>
    <n v="3"/>
    <n v="1"/>
    <s v="FIFA World Cup qualification"/>
    <s v="Skopje"/>
    <s v="North Macedonia"/>
    <b v="0"/>
    <n v="2021"/>
    <n v="14000283827"/>
    <n v="26234872402"/>
    <x v="1"/>
    <n v="-1"/>
    <x v="0"/>
  </r>
  <r>
    <x v="5979"/>
    <x v="1782"/>
    <x v="52"/>
    <s v="Armenia"/>
    <s v="Germany"/>
    <n v="1"/>
    <n v="4"/>
    <s v="FIFA World Cup qualification"/>
    <s v="Yerevan"/>
    <s v="Armenia"/>
    <b v="0"/>
    <n v="2021"/>
    <n v="13878908628"/>
    <n v="4355251953410"/>
    <x v="0"/>
    <n v="1"/>
    <x v="2"/>
  </r>
  <r>
    <x v="5980"/>
    <x v="1783"/>
    <x v="52"/>
    <s v="Niger"/>
    <s v="Djibouti"/>
    <n v="7"/>
    <n v="2"/>
    <s v="FIFA World Cup qualification"/>
    <s v="Niamey"/>
    <s v="Niger"/>
    <b v="0"/>
    <n v="2021"/>
    <n v="14915002436"/>
    <n v="3392796953"/>
    <x v="0"/>
    <n v="1"/>
    <x v="2"/>
  </r>
  <r>
    <x v="5981"/>
    <x v="1783"/>
    <x v="52"/>
    <s v="Kenya"/>
    <s v="Rwanda"/>
    <n v="2"/>
    <n v="1"/>
    <s v="FIFA World Cup qualification"/>
    <s v="Nairobi"/>
    <s v="Kenya"/>
    <b v="0"/>
    <n v="2021"/>
    <n v="109703658904"/>
    <n v="11078787090"/>
    <x v="0"/>
    <n v="1"/>
    <x v="2"/>
  </r>
  <r>
    <x v="5982"/>
    <x v="1783"/>
    <x v="52"/>
    <s v="Namibia"/>
    <s v="Togo"/>
    <n v="0"/>
    <n v="1"/>
    <s v="FIFA World Cup qualification"/>
    <s v="Johannesburg"/>
    <s v="South Africa"/>
    <b v="1"/>
    <n v="2021"/>
    <n v="12402486183"/>
    <n v="8541668141"/>
    <x v="1"/>
    <n v="-1"/>
    <x v="0"/>
  </r>
  <r>
    <x v="5983"/>
    <x v="1783"/>
    <x v="52"/>
    <s v="Guinea-Bissau"/>
    <s v="Sudan"/>
    <n v="0"/>
    <n v="0"/>
    <s v="FIFA World Cup qualification"/>
    <s v="Marrakech"/>
    <s v="Morocco"/>
    <b v="1"/>
    <n v="2021"/>
    <n v="1908094558"/>
    <n v="34229513774"/>
    <x v="0"/>
    <n v="0"/>
    <x v="1"/>
  </r>
  <r>
    <x v="5984"/>
    <x v="1783"/>
    <x v="52"/>
    <s v="Switzerland"/>
    <s v="Bulgaria"/>
    <n v="4"/>
    <n v="0"/>
    <s v="FIFA World Cup qualification"/>
    <s v="Lucerne"/>
    <s v="Switzerland"/>
    <b v="0"/>
    <n v="2021"/>
    <n v="815309330986"/>
    <n v="84374613233"/>
    <x v="0"/>
    <n v="1"/>
    <x v="2"/>
  </r>
  <r>
    <x v="5985"/>
    <x v="1783"/>
    <x v="52"/>
    <s v="Austria"/>
    <s v="Moldova"/>
    <n v="4"/>
    <n v="1"/>
    <s v="FIFA World Cup qualification"/>
    <s v="Klagenfurt"/>
    <s v="Austria"/>
    <b v="0"/>
    <n v="2021"/>
    <n v="480466363176"/>
    <n v="13691869264"/>
    <x v="0"/>
    <n v="1"/>
    <x v="2"/>
  </r>
  <r>
    <x v="5986"/>
    <x v="1783"/>
    <x v="52"/>
    <s v="Israel"/>
    <s v="Faroe Islands"/>
    <n v="3"/>
    <n v="2"/>
    <s v="FIFA World Cup qualification"/>
    <s v="Netanya"/>
    <s v="Israel"/>
    <b v="0"/>
    <n v="2021"/>
    <n v="489851549972"/>
    <n v="3699551717"/>
    <x v="0"/>
    <n v="1"/>
    <x v="2"/>
  </r>
  <r>
    <x v="5987"/>
    <x v="1783"/>
    <x v="52"/>
    <s v="Albania"/>
    <s v="Andorra"/>
    <n v="1"/>
    <n v="0"/>
    <s v="FIFA World Cup qualification"/>
    <s v="Tirana"/>
    <s v="Albania"/>
    <b v="0"/>
    <n v="2021"/>
    <n v="18031989573"/>
    <n v="3324648075"/>
    <x v="0"/>
    <n v="1"/>
    <x v="2"/>
  </r>
  <r>
    <x v="5988"/>
    <x v="1783"/>
    <x v="52"/>
    <s v="Poland"/>
    <s v="Hungary"/>
    <n v="1"/>
    <n v="2"/>
    <s v="FIFA World Cup qualification"/>
    <s v="Warsaw"/>
    <s v="Poland"/>
    <b v="0"/>
    <n v="2021"/>
    <n v="689170230665"/>
    <n v="183282685440"/>
    <x v="0"/>
    <n v="-1"/>
    <x v="0"/>
  </r>
  <r>
    <x v="5989"/>
    <x v="1783"/>
    <x v="52"/>
    <s v="San Marino"/>
    <s v="England"/>
    <n v="0"/>
    <n v="10"/>
    <s v="FIFA World Cup qualification"/>
    <s v="Serravalle"/>
    <s v="San Marino"/>
    <b v="0"/>
    <n v="2021"/>
    <n v="1855652786"/>
    <n v="3194559188925"/>
    <x v="0"/>
    <n v="1"/>
    <x v="2"/>
  </r>
  <r>
    <x v="5990"/>
    <x v="1784"/>
    <x v="52"/>
    <s v="Algeria"/>
    <s v="Burkina Faso"/>
    <n v="2"/>
    <n v="2"/>
    <s v="FIFA World Cup qualification"/>
    <s v="Blida"/>
    <s v="Algeria"/>
    <b v="0"/>
    <n v="2021"/>
    <n v="186231205262"/>
    <n v="19697516284"/>
    <x v="0"/>
    <n v="0"/>
    <x v="1"/>
  </r>
  <r>
    <x v="5991"/>
    <x v="1784"/>
    <x v="52"/>
    <s v="Mauritania"/>
    <s v="Equatorial Guinea"/>
    <n v="1"/>
    <n v="1"/>
    <s v="FIFA World Cup qualification"/>
    <s v="Nouakchott"/>
    <s v="Mauritania"/>
    <b v="0"/>
    <n v="2021"/>
    <n v="9222536364"/>
    <n v="12215878032"/>
    <x v="1"/>
    <n v="0"/>
    <x v="1"/>
  </r>
  <r>
    <x v="5992"/>
    <x v="1784"/>
    <x v="52"/>
    <s v="Tunisia"/>
    <s v="Zambia"/>
    <n v="3"/>
    <n v="1"/>
    <s v="FIFA World Cup qualification"/>
    <s v="Rad√®s"/>
    <s v="Tunisia"/>
    <b v="0"/>
    <n v="2021"/>
    <n v="47073234359"/>
    <n v="22096416932"/>
    <x v="0"/>
    <n v="1"/>
    <x v="2"/>
  </r>
  <r>
    <x v="5993"/>
    <x v="1784"/>
    <x v="52"/>
    <s v="Liberia"/>
    <s v="Central African Republic"/>
    <n v="3"/>
    <n v="1"/>
    <s v="FIFA World Cup qualification"/>
    <s v="Tangier"/>
    <s v="Morocco"/>
    <b v="1"/>
    <n v="2021"/>
    <n v="3513049500"/>
    <n v="2516498412"/>
    <x v="1"/>
    <n v="1"/>
    <x v="2"/>
  </r>
  <r>
    <x v="5994"/>
    <x v="1784"/>
    <x v="52"/>
    <s v="Mozambique"/>
    <s v="Malawi"/>
    <n v="1"/>
    <n v="0"/>
    <s v="FIFA World Cup qualification"/>
    <s v="Cotonou"/>
    <s v="Benin"/>
    <b v="1"/>
    <n v="2021"/>
    <n v="16168055475"/>
    <n v="12378119199"/>
    <x v="1"/>
    <n v="1"/>
    <x v="2"/>
  </r>
  <r>
    <x v="5995"/>
    <x v="1784"/>
    <x v="52"/>
    <s v="Egypt"/>
    <s v="Gabon"/>
    <n v="2"/>
    <n v="1"/>
    <s v="FIFA World Cup qualification"/>
    <s v="Alexandria"/>
    <s v="Egypt"/>
    <b v="0"/>
    <n v="2021"/>
    <n v="424671765455"/>
    <n v="19444935097"/>
    <x v="0"/>
    <n v="1"/>
    <x v="2"/>
  </r>
  <r>
    <x v="5996"/>
    <x v="1784"/>
    <x v="52"/>
    <s v="Libya"/>
    <s v="Angola"/>
    <n v="1"/>
    <n v="1"/>
    <s v="FIFA World Cup qualification"/>
    <s v="Benghazi"/>
    <s v="Libya"/>
    <b v="0"/>
    <n v="2021"/>
    <n v="35217995647"/>
    <n v="79559543805"/>
    <x v="0"/>
    <n v="0"/>
    <x v="1"/>
  </r>
  <r>
    <x v="5997"/>
    <x v="1784"/>
    <x v="52"/>
    <s v="Morocco"/>
    <s v="Guinea"/>
    <n v="3"/>
    <n v="0"/>
    <s v="FIFA World Cup qualification"/>
    <s v="Casablanca"/>
    <s v="Morocco"/>
    <b v="0"/>
    <n v="2021"/>
    <n v="142022058447"/>
    <n v="17069115737"/>
    <x v="0"/>
    <n v="1"/>
    <x v="2"/>
  </r>
  <r>
    <x v="5998"/>
    <x v="1784"/>
    <x v="52"/>
    <s v="Lebanon"/>
    <s v="United Arab Emirates"/>
    <n v="0"/>
    <n v="1"/>
    <s v="FIFA World Cup qualification"/>
    <s v="Sidon"/>
    <s v="Lebanon"/>
    <b v="0"/>
    <n v="2021"/>
    <n v="23131941556"/>
    <n v="422441388699"/>
    <x v="0"/>
    <n v="1"/>
    <x v="2"/>
  </r>
  <r>
    <x v="5999"/>
    <x v="1784"/>
    <x v="52"/>
    <s v="Iraq"/>
    <s v="South Korea"/>
    <n v="0"/>
    <n v="3"/>
    <s v="FIFA World Cup qualification"/>
    <s v="Al Rayyan"/>
    <s v="Qatar"/>
    <b v="1"/>
    <n v="2021"/>
    <n v="209691945713"/>
    <n v="1942313560965"/>
    <x v="0"/>
    <n v="1"/>
    <x v="2"/>
  </r>
  <r>
    <x v="6000"/>
    <x v="1784"/>
    <x v="52"/>
    <s v="Syria"/>
    <s v="Iran"/>
    <n v="0"/>
    <n v="3"/>
    <s v="FIFA World Cup qualification"/>
    <s v="Amman"/>
    <s v="Jordan"/>
    <b v="1"/>
    <n v="2021"/>
    <n v="14353205678"/>
    <n v="407350685583"/>
    <x v="0"/>
    <n v="1"/>
    <x v="2"/>
  </r>
  <r>
    <x v="6001"/>
    <x v="1784"/>
    <x v="52"/>
    <s v="Vietnam"/>
    <s v="Saudi Arabia"/>
    <n v="0"/>
    <n v="1"/>
    <s v="FIFA World Cup qualification"/>
    <s v="Hanoi"/>
    <s v="Vietnam"/>
    <b v="0"/>
    <n v="2021"/>
    <n v="366474752771"/>
    <n v="982661066666"/>
    <x v="0"/>
    <n v="1"/>
    <x v="2"/>
  </r>
  <r>
    <x v="6002"/>
    <x v="1784"/>
    <x v="52"/>
    <s v="Oman"/>
    <s v="Japan"/>
    <n v="0"/>
    <n v="1"/>
    <s v="FIFA World Cup qualification"/>
    <s v="Muscat"/>
    <s v="Oman"/>
    <b v="0"/>
    <n v="2021"/>
    <n v="87323797139"/>
    <n v="5039148168861"/>
    <x v="0"/>
    <n v="1"/>
    <x v="2"/>
  </r>
  <r>
    <x v="6003"/>
    <x v="1784"/>
    <x v="52"/>
    <s v="Jamaica"/>
    <s v="United States"/>
    <n v="1"/>
    <n v="1"/>
    <s v="FIFA World Cup qualification"/>
    <s v="Kingston"/>
    <s v="Jamaica"/>
    <b v="0"/>
    <n v="2021"/>
    <n v="15963885376"/>
    <n v="23315080560000"/>
    <x v="0"/>
    <n v="0"/>
    <x v="1"/>
  </r>
  <r>
    <x v="6004"/>
    <x v="1784"/>
    <x v="52"/>
    <s v="Canada"/>
    <s v="Mexico"/>
    <n v="2"/>
    <n v="1"/>
    <s v="FIFA World Cup qualification"/>
    <s v="Edmonton"/>
    <s v="Canada"/>
    <b v="0"/>
    <n v="2021"/>
    <n v="2022378748423"/>
    <n v="1316569466685"/>
    <x v="1"/>
    <n v="1"/>
    <x v="2"/>
  </r>
  <r>
    <x v="6005"/>
    <x v="1784"/>
    <x v="52"/>
    <s v="Costa Rica"/>
    <s v="Honduras"/>
    <n v="2"/>
    <n v="1"/>
    <s v="FIFA World Cup qualification"/>
    <s v="San Jos√©"/>
    <s v="Costa Rica"/>
    <b v="0"/>
    <n v="2021"/>
    <n v="64960725734"/>
    <n v="28144331506"/>
    <x v="0"/>
    <n v="1"/>
    <x v="2"/>
  </r>
  <r>
    <x v="6006"/>
    <x v="1784"/>
    <x v="52"/>
    <s v="Panama"/>
    <s v="El Salvador"/>
    <n v="2"/>
    <n v="1"/>
    <s v="FIFA World Cup qualification"/>
    <s v="Panama City"/>
    <s v="Panama"/>
    <b v="0"/>
    <n v="2021"/>
    <n v="67396392506"/>
    <n v="29043140000"/>
    <x v="0"/>
    <n v="1"/>
    <x v="2"/>
  </r>
  <r>
    <x v="6007"/>
    <x v="1784"/>
    <x v="52"/>
    <s v="Bosnia and Herzegovina"/>
    <s v="Ukraine"/>
    <n v="0"/>
    <n v="2"/>
    <s v="FIFA World Cup qualification"/>
    <s v="Zenica"/>
    <s v="Bosnia and Herzegovina"/>
    <b v="0"/>
    <n v="2021"/>
    <n v="23672712121"/>
    <n v="199765859570"/>
    <x v="0"/>
    <n v="1"/>
    <x v="2"/>
  </r>
  <r>
    <x v="6008"/>
    <x v="1784"/>
    <x v="52"/>
    <s v="Finland"/>
    <s v="France"/>
    <n v="0"/>
    <n v="2"/>
    <s v="FIFA World Cup qualification"/>
    <s v="Helsinki"/>
    <s v="Finland"/>
    <b v="0"/>
    <n v="2021"/>
    <n v="294223210496"/>
    <n v="2966433692008"/>
    <x v="0"/>
    <n v="1"/>
    <x v="2"/>
  </r>
  <r>
    <x v="6009"/>
    <x v="1784"/>
    <x v="52"/>
    <s v="Netherlands"/>
    <s v="Norway"/>
    <n v="2"/>
    <n v="0"/>
    <s v="FIFA World Cup qualification"/>
    <s v="Rotterdam"/>
    <s v="Netherlands"/>
    <b v="0"/>
    <n v="2021"/>
    <n v="1054472123449"/>
    <n v="503367986030"/>
    <x v="0"/>
    <n v="1"/>
    <x v="2"/>
  </r>
  <r>
    <x v="6010"/>
    <x v="1784"/>
    <x v="52"/>
    <s v="Bolivia"/>
    <s v="Uruguay"/>
    <n v="3"/>
    <n v="0"/>
    <s v="FIFA World Cup qualification"/>
    <s v="La Paz"/>
    <s v="Bolivia"/>
    <b v="0"/>
    <n v="2021"/>
    <n v="47877892402"/>
    <n v="60739084240"/>
    <x v="1"/>
    <n v="-1"/>
    <x v="0"/>
  </r>
  <r>
    <x v="6011"/>
    <x v="1784"/>
    <x v="52"/>
    <s v="Venezuela"/>
    <s v="Peru"/>
    <n v="1"/>
    <n v="2"/>
    <s v="FIFA World Cup qualification"/>
    <s v="Caracas"/>
    <s v="Venezuela"/>
    <b v="0"/>
    <n v="2021"/>
    <n v="56614976854"/>
    <n v="226328766459"/>
    <x v="0"/>
    <n v="1"/>
    <x v="2"/>
  </r>
  <r>
    <x v="6012"/>
    <x v="1784"/>
    <x v="52"/>
    <s v="Colombia"/>
    <s v="Paraguay"/>
    <n v="0"/>
    <n v="0"/>
    <s v="FIFA World Cup qualification"/>
    <s v="Barranquilla"/>
    <s v="Colombia"/>
    <b v="0"/>
    <n v="2021"/>
    <n v="318524633225"/>
    <n v="39950899938"/>
    <x v="0"/>
    <n v="0"/>
    <x v="1"/>
  </r>
  <r>
    <x v="6013"/>
    <x v="1784"/>
    <x v="52"/>
    <s v="Argentina"/>
    <s v="Brazil"/>
    <n v="0"/>
    <n v="0"/>
    <s v="FIFA World Cup qualification"/>
    <s v="San Juan"/>
    <s v="Argentina"/>
    <b v="0"/>
    <n v="2021"/>
    <n v="486564085480"/>
    <n v="1670647464062"/>
    <x v="0"/>
    <n v="0"/>
    <x v="1"/>
  </r>
  <r>
    <x v="6014"/>
    <x v="1784"/>
    <x v="52"/>
    <s v="Chile"/>
    <s v="Ecuador"/>
    <n v="0"/>
    <n v="2"/>
    <s v="FIFA World Cup qualification"/>
    <s v="Santiago"/>
    <s v="Chile"/>
    <b v="0"/>
    <n v="2021"/>
    <n v="315325547162"/>
    <n v="107179074000"/>
    <x v="0"/>
    <n v="-1"/>
    <x v="0"/>
  </r>
  <r>
    <x v="6015"/>
    <x v="1785"/>
    <x v="53"/>
    <s v="Jamaica"/>
    <s v="Mexico"/>
    <n v="1"/>
    <n v="2"/>
    <s v="FIFA World Cup qualification"/>
    <s v="Kingston"/>
    <s v="Jamaica"/>
    <b v="0"/>
    <n v="2022"/>
    <n v="18813516805"/>
    <n v="1466934724293"/>
    <x v="0"/>
    <n v="1"/>
    <x v="2"/>
  </r>
  <r>
    <x v="6016"/>
    <x v="1785"/>
    <x v="53"/>
    <s v="United States"/>
    <s v="El Salvador"/>
    <n v="1"/>
    <n v="0"/>
    <s v="FIFA World Cup qualification"/>
    <s v="Columbus"/>
    <s v="United States"/>
    <b v="0"/>
    <n v="2022"/>
    <n v="25604848907611"/>
    <n v="31870120000"/>
    <x v="0"/>
    <n v="1"/>
    <x v="2"/>
  </r>
  <r>
    <x v="6017"/>
    <x v="1785"/>
    <x v="53"/>
    <s v="Honduras"/>
    <s v="Canada"/>
    <n v="0"/>
    <n v="2"/>
    <s v="FIFA World Cup qualification"/>
    <s v="San Pedro Sula"/>
    <s v="Honduras"/>
    <b v="0"/>
    <n v="2022"/>
    <n v="31426041806"/>
    <n v="2190411080134"/>
    <x v="0"/>
    <n v="1"/>
    <x v="2"/>
  </r>
  <r>
    <x v="6018"/>
    <x v="1785"/>
    <x v="53"/>
    <s v="Costa Rica"/>
    <s v="Panama"/>
    <n v="1"/>
    <n v="0"/>
    <s v="FIFA World Cup qualification"/>
    <s v="San Jos√©"/>
    <s v="Costa Rica"/>
    <b v="0"/>
    <n v="2022"/>
    <n v="69243626028"/>
    <n v="76479304470"/>
    <x v="1"/>
    <n v="-1"/>
    <x v="0"/>
  </r>
  <r>
    <x v="6019"/>
    <x v="1785"/>
    <x v="53"/>
    <s v="Lebanon"/>
    <s v="South Korea"/>
    <n v="0"/>
    <n v="1"/>
    <s v="FIFA World Cup qualification"/>
    <s v="Sidon"/>
    <s v="Lebanon"/>
    <b v="0"/>
    <n v="2022"/>
    <n v="20992421948"/>
    <n v="1799363116866"/>
    <x v="0"/>
    <n v="1"/>
    <x v="2"/>
  </r>
  <r>
    <x v="6020"/>
    <x v="1785"/>
    <x v="53"/>
    <s v="Iran"/>
    <s v="Iraq"/>
    <n v="1"/>
    <n v="0"/>
    <s v="FIFA World Cup qualification"/>
    <s v="Tehran"/>
    <s v="Iran"/>
    <b v="0"/>
    <n v="2022"/>
    <n v="422662261525"/>
    <n v="287372232137"/>
    <x v="1"/>
    <n v="1"/>
    <x v="2"/>
  </r>
  <r>
    <x v="6021"/>
    <x v="1785"/>
    <x v="53"/>
    <s v="United Arab Emirates"/>
    <s v="Syria"/>
    <n v="2"/>
    <n v="0"/>
    <s v="FIFA World Cup qualification"/>
    <s v="Dubai"/>
    <s v="United Arab Emirates"/>
    <b v="0"/>
    <n v="2022"/>
    <n v="511403403675"/>
    <n v="23622827079"/>
    <x v="0"/>
    <n v="1"/>
    <x v="2"/>
  </r>
  <r>
    <x v="6022"/>
    <x v="1785"/>
    <x v="53"/>
    <s v="Australia"/>
    <s v="Vietnam"/>
    <n v="4"/>
    <n v="0"/>
    <s v="FIFA World Cup qualification"/>
    <s v="Melbourne"/>
    <s v="Australia"/>
    <b v="0"/>
    <n v="2022"/>
    <n v="1695627535475"/>
    <n v="413445230668"/>
    <x v="0"/>
    <n v="1"/>
    <x v="2"/>
  </r>
  <r>
    <x v="6023"/>
    <x v="1785"/>
    <x v="53"/>
    <s v="Saudi Arabia"/>
    <s v="Oman"/>
    <n v="1"/>
    <n v="0"/>
    <s v="FIFA World Cup qualification"/>
    <s v="Jeddah"/>
    <s v="Saudi Arabia"/>
    <b v="0"/>
    <n v="2022"/>
    <n v="1239075200000"/>
    <n v="109852795838"/>
    <x v="0"/>
    <n v="1"/>
    <x v="2"/>
  </r>
  <r>
    <x v="6024"/>
    <x v="1785"/>
    <x v="53"/>
    <s v="Ecuador"/>
    <s v="Brazil"/>
    <n v="1"/>
    <n v="1"/>
    <s v="FIFA World Cup qualification"/>
    <s v="Quito"/>
    <s v="Ecuador"/>
    <b v="0"/>
    <n v="2022"/>
    <n v="116133121000"/>
    <n v="1951923832083"/>
    <x v="0"/>
    <n v="0"/>
    <x v="1"/>
  </r>
  <r>
    <x v="6025"/>
    <x v="1785"/>
    <x v="53"/>
    <s v="Paraguay"/>
    <s v="Uruguay"/>
    <n v="0"/>
    <n v="1"/>
    <s v="FIFA World Cup qualification"/>
    <s v="Asunci√≥n"/>
    <s v="Paraguay"/>
    <b v="0"/>
    <n v="2022"/>
    <n v="41952910858"/>
    <n v="70594110920"/>
    <x v="1"/>
    <n v="1"/>
    <x v="2"/>
  </r>
  <r>
    <x v="6026"/>
    <x v="1785"/>
    <x v="53"/>
    <s v="Chile"/>
    <s v="Argentina"/>
    <n v="1"/>
    <n v="2"/>
    <s v="FIFA World Cup qualification"/>
    <s v="Calama"/>
    <s v="Chile"/>
    <b v="0"/>
    <n v="2022"/>
    <n v="301226575540"/>
    <n v="633993756301"/>
    <x v="0"/>
    <n v="1"/>
    <x v="2"/>
  </r>
  <r>
    <x v="6027"/>
    <x v="1786"/>
    <x v="53"/>
    <s v="Colombia"/>
    <s v="Peru"/>
    <n v="0"/>
    <n v="1"/>
    <s v="FIFA World Cup qualification"/>
    <s v="Barranquilla"/>
    <s v="Colombia"/>
    <b v="0"/>
    <n v="2022"/>
    <n v="345632492851"/>
    <n v="246065570308"/>
    <x v="1"/>
    <n v="-1"/>
    <x v="0"/>
  </r>
  <r>
    <x v="6028"/>
    <x v="1786"/>
    <x v="53"/>
    <s v="Venezuela"/>
    <s v="Bolivia"/>
    <n v="4"/>
    <n v="1"/>
    <s v="FIFA World Cup qualification"/>
    <s v="Barinas"/>
    <s v="Venezuela"/>
    <b v="0"/>
    <n v="2022"/>
    <n v="89013255584"/>
    <n v="50959081953"/>
    <x v="1"/>
    <n v="1"/>
    <x v="2"/>
  </r>
  <r>
    <x v="6029"/>
    <x v="1787"/>
    <x v="53"/>
    <s v="Canada"/>
    <s v="United States"/>
    <n v="2"/>
    <n v="0"/>
    <s v="FIFA World Cup qualification"/>
    <s v="Hamilton"/>
    <s v="Canada"/>
    <b v="0"/>
    <n v="2022"/>
    <n v="2190411080134"/>
    <n v="25604848907611"/>
    <x v="0"/>
    <n v="-1"/>
    <x v="0"/>
  </r>
  <r>
    <x v="6030"/>
    <x v="1787"/>
    <x v="53"/>
    <s v="Mexico"/>
    <s v="Costa Rica"/>
    <n v="0"/>
    <n v="0"/>
    <s v="FIFA World Cup qualification"/>
    <s v="Mexico City"/>
    <s v="Mexico"/>
    <b v="0"/>
    <n v="2022"/>
    <n v="1466934724293"/>
    <n v="69243626028"/>
    <x v="0"/>
    <n v="0"/>
    <x v="1"/>
  </r>
  <r>
    <x v="6031"/>
    <x v="1787"/>
    <x v="53"/>
    <s v="Panama"/>
    <s v="Jamaica"/>
    <n v="3"/>
    <n v="2"/>
    <s v="FIFA World Cup qualification"/>
    <s v="Panama City"/>
    <s v="Panama"/>
    <b v="0"/>
    <n v="2022"/>
    <n v="76479304470"/>
    <n v="18813516805"/>
    <x v="0"/>
    <n v="1"/>
    <x v="2"/>
  </r>
  <r>
    <x v="6032"/>
    <x v="1787"/>
    <x v="53"/>
    <s v="Honduras"/>
    <s v="El Salvador"/>
    <n v="0"/>
    <n v="2"/>
    <s v="FIFA World Cup qualification"/>
    <s v="San Pedro Sula"/>
    <s v="Honduras"/>
    <b v="0"/>
    <n v="2022"/>
    <n v="31426041806"/>
    <n v="31870120000"/>
    <x v="1"/>
    <n v="1"/>
    <x v="2"/>
  </r>
  <r>
    <x v="6033"/>
    <x v="1788"/>
    <x v="53"/>
    <s v="Lebanon"/>
    <s v="Iraq"/>
    <n v="1"/>
    <n v="1"/>
    <s v="FIFA World Cup qualification"/>
    <s v="Sidon"/>
    <s v="Lebanon"/>
    <b v="0"/>
    <n v="2022"/>
    <n v="20992421948"/>
    <n v="287372232137"/>
    <x v="0"/>
    <n v="0"/>
    <x v="1"/>
  </r>
  <r>
    <x v="6034"/>
    <x v="1788"/>
    <x v="53"/>
    <s v="Iran"/>
    <s v="United Arab Emirates"/>
    <n v="1"/>
    <n v="0"/>
    <s v="FIFA World Cup qualification"/>
    <s v="Tehran"/>
    <s v="Iran"/>
    <b v="0"/>
    <n v="2022"/>
    <n v="422662261525"/>
    <n v="511403403675"/>
    <x v="1"/>
    <n v="-1"/>
    <x v="0"/>
  </r>
  <r>
    <x v="6035"/>
    <x v="1788"/>
    <x v="53"/>
    <s v="Syria"/>
    <s v="South Korea"/>
    <n v="0"/>
    <n v="2"/>
    <s v="FIFA World Cup qualification"/>
    <s v="Dubai"/>
    <s v="United Arab Emirates"/>
    <b v="1"/>
    <n v="2022"/>
    <n v="23622827079"/>
    <n v="1799363116866"/>
    <x v="0"/>
    <n v="1"/>
    <x v="2"/>
  </r>
  <r>
    <x v="6036"/>
    <x v="1788"/>
    <x v="53"/>
    <s v="Japan"/>
    <s v="Saudi Arabia"/>
    <n v="2"/>
    <n v="0"/>
    <s v="FIFA World Cup qualification"/>
    <s v="Saitama"/>
    <s v="Japan"/>
    <b v="0"/>
    <n v="2022"/>
    <n v="4262463317796"/>
    <n v="1239075200000"/>
    <x v="0"/>
    <n v="1"/>
    <x v="2"/>
  </r>
  <r>
    <x v="6037"/>
    <x v="1788"/>
    <x v="53"/>
    <s v="Oman"/>
    <s v="Australia"/>
    <n v="2"/>
    <n v="2"/>
    <s v="FIFA World Cup qualification"/>
    <s v="Muscat"/>
    <s v="Oman"/>
    <b v="0"/>
    <n v="2022"/>
    <n v="109852795838"/>
    <n v="1695627535475"/>
    <x v="0"/>
    <n v="0"/>
    <x v="1"/>
  </r>
  <r>
    <x v="6038"/>
    <x v="1788"/>
    <x v="53"/>
    <s v="Bolivia"/>
    <s v="Chile"/>
    <n v="2"/>
    <n v="3"/>
    <s v="FIFA World Cup qualification"/>
    <s v="La Paz"/>
    <s v="Bolivia"/>
    <b v="0"/>
    <n v="2022"/>
    <n v="50959081953"/>
    <n v="301226575540"/>
    <x v="0"/>
    <n v="1"/>
    <x v="2"/>
  </r>
  <r>
    <x v="6039"/>
    <x v="1788"/>
    <x v="53"/>
    <s v="Uruguay"/>
    <s v="Venezuela"/>
    <n v="4"/>
    <n v="1"/>
    <s v="FIFA World Cup qualification"/>
    <s v="Montevideo"/>
    <s v="Uruguay"/>
    <b v="0"/>
    <n v="2022"/>
    <n v="70594110920"/>
    <n v="89013255584"/>
    <x v="1"/>
    <n v="-1"/>
    <x v="0"/>
  </r>
  <r>
    <x v="6040"/>
    <x v="1788"/>
    <x v="53"/>
    <s v="Argentina"/>
    <s v="Colombia"/>
    <n v="1"/>
    <n v="0"/>
    <s v="FIFA World Cup qualification"/>
    <s v="C√≥rdoba"/>
    <s v="Argentina"/>
    <b v="0"/>
    <n v="2022"/>
    <n v="633993756301"/>
    <n v="345632492851"/>
    <x v="1"/>
    <n v="1"/>
    <x v="2"/>
  </r>
  <r>
    <x v="6041"/>
    <x v="1788"/>
    <x v="53"/>
    <s v="Peru"/>
    <s v="Ecuador"/>
    <n v="1"/>
    <n v="1"/>
    <s v="FIFA World Cup qualification"/>
    <s v="Lima"/>
    <s v="Peru"/>
    <b v="0"/>
    <n v="2022"/>
    <n v="246065570308"/>
    <n v="116133121000"/>
    <x v="0"/>
    <n v="0"/>
    <x v="1"/>
  </r>
  <r>
    <x v="6042"/>
    <x v="1788"/>
    <x v="53"/>
    <s v="Brazil"/>
    <s v="Paraguay"/>
    <n v="4"/>
    <n v="0"/>
    <s v="FIFA World Cup qualification"/>
    <s v="Belo Horizonte"/>
    <s v="Brazil"/>
    <b v="0"/>
    <n v="2022"/>
    <n v="1951923832083"/>
    <n v="41952910858"/>
    <x v="0"/>
    <n v="1"/>
    <x v="2"/>
  </r>
  <r>
    <x v="6043"/>
    <x v="1789"/>
    <x v="53"/>
    <s v="United States"/>
    <s v="Honduras"/>
    <n v="3"/>
    <n v="0"/>
    <s v="FIFA World Cup qualification"/>
    <s v="Saint Paul"/>
    <s v="United States"/>
    <b v="0"/>
    <n v="2022"/>
    <n v="25604848907611"/>
    <n v="31426041806"/>
    <x v="0"/>
    <n v="1"/>
    <x v="2"/>
  </r>
  <r>
    <x v="6044"/>
    <x v="1789"/>
    <x v="53"/>
    <s v="Jamaica"/>
    <s v="Costa Rica"/>
    <n v="0"/>
    <n v="1"/>
    <s v="FIFA World Cup qualification"/>
    <s v="Kingston"/>
    <s v="Jamaica"/>
    <b v="0"/>
    <n v="2022"/>
    <n v="18813516805"/>
    <n v="69243626028"/>
    <x v="0"/>
    <n v="1"/>
    <x v="2"/>
  </r>
  <r>
    <x v="6045"/>
    <x v="1789"/>
    <x v="53"/>
    <s v="El Salvador"/>
    <s v="Canada"/>
    <n v="0"/>
    <n v="2"/>
    <s v="FIFA World Cup qualification"/>
    <s v="San Salvador"/>
    <s v="El Salvador"/>
    <b v="0"/>
    <n v="2022"/>
    <n v="31870120000"/>
    <n v="2190411080134"/>
    <x v="0"/>
    <n v="1"/>
    <x v="2"/>
  </r>
  <r>
    <x v="6046"/>
    <x v="1789"/>
    <x v="53"/>
    <s v="Mexico"/>
    <s v="Panama"/>
    <n v="1"/>
    <n v="0"/>
    <s v="FIFA World Cup qualification"/>
    <s v="Mexico City"/>
    <s v="Mexico"/>
    <b v="0"/>
    <n v="2022"/>
    <n v="1466934724293"/>
    <n v="76479304470"/>
    <x v="0"/>
    <n v="1"/>
    <x v="2"/>
  </r>
  <r>
    <x v="6047"/>
    <x v="1790"/>
    <x v="53"/>
    <s v="Papua New Guinea"/>
    <s v="New Zealand"/>
    <n v="0"/>
    <n v="1"/>
    <s v="FIFA World Cup qualification"/>
    <s v="Doha"/>
    <s v="Qatar"/>
    <b v="1"/>
    <n v="2022"/>
    <n v="31653185952"/>
    <n v="249509991440"/>
    <x v="0"/>
    <n v="1"/>
    <x v="2"/>
  </r>
  <r>
    <x v="6048"/>
    <x v="1790"/>
    <x v="53"/>
    <s v="New Caledonia"/>
    <s v="Fiji"/>
    <n v="1"/>
    <n v="2"/>
    <s v="FIFA World Cup qualification"/>
    <s v="Doha"/>
    <s v="Qatar"/>
    <b v="1"/>
    <n v="2022"/>
    <n v="9623318718"/>
    <n v="4977861885"/>
    <x v="1"/>
    <n v="-1"/>
    <x v="0"/>
  </r>
  <r>
    <x v="6049"/>
    <x v="1791"/>
    <x v="53"/>
    <s v="Papua New Guinea"/>
    <s v="New Caledonia"/>
    <n v="1"/>
    <n v="0"/>
    <s v="FIFA World Cup qualification"/>
    <s v="Doha"/>
    <s v="Qatar"/>
    <b v="1"/>
    <n v="2022"/>
    <n v="31653185952"/>
    <n v="9623318718"/>
    <x v="0"/>
    <n v="1"/>
    <x v="2"/>
  </r>
  <r>
    <x v="6050"/>
    <x v="1791"/>
    <x v="53"/>
    <s v="New Zealand"/>
    <s v="Fiji"/>
    <n v="4"/>
    <n v="0"/>
    <s v="FIFA World Cup qualification"/>
    <s v="Doha"/>
    <s v="Qatar"/>
    <b v="1"/>
    <n v="2022"/>
    <n v="249509991440"/>
    <n v="4977861885"/>
    <x v="0"/>
    <n v="1"/>
    <x v="2"/>
  </r>
  <r>
    <x v="6051"/>
    <x v="1792"/>
    <x v="53"/>
    <s v="Jamaica"/>
    <s v="El Salvador"/>
    <n v="1"/>
    <n v="1"/>
    <s v="FIFA World Cup qualification"/>
    <s v="Kingston"/>
    <s v="Jamaica"/>
    <b v="0"/>
    <n v="2022"/>
    <n v="18813516805"/>
    <n v="31870120000"/>
    <x v="1"/>
    <n v="0"/>
    <x v="1"/>
  </r>
  <r>
    <x v="6052"/>
    <x v="1792"/>
    <x v="53"/>
    <s v="Mexico"/>
    <s v="United States"/>
    <n v="0"/>
    <n v="0"/>
    <s v="FIFA World Cup qualification"/>
    <s v="Mexico City"/>
    <s v="Mexico"/>
    <b v="0"/>
    <n v="2022"/>
    <n v="1466934724293"/>
    <n v="25604848907611"/>
    <x v="0"/>
    <n v="0"/>
    <x v="1"/>
  </r>
  <r>
    <x v="6053"/>
    <x v="1792"/>
    <x v="53"/>
    <s v="Panama"/>
    <s v="Honduras"/>
    <n v="1"/>
    <n v="1"/>
    <s v="FIFA World Cup qualification"/>
    <s v="Panama City"/>
    <s v="Panama"/>
    <b v="0"/>
    <n v="2022"/>
    <n v="76479304470"/>
    <n v="31426041806"/>
    <x v="0"/>
    <n v="0"/>
    <x v="1"/>
  </r>
  <r>
    <x v="6054"/>
    <x v="1792"/>
    <x v="53"/>
    <s v="Costa Rica"/>
    <s v="Canada"/>
    <n v="1"/>
    <n v="0"/>
    <s v="FIFA World Cup qualification"/>
    <s v="San Jos√©"/>
    <s v="Costa Rica"/>
    <b v="0"/>
    <n v="2022"/>
    <n v="69243626028"/>
    <n v="2190411080134"/>
    <x v="0"/>
    <n v="-1"/>
    <x v="0"/>
  </r>
  <r>
    <x v="6055"/>
    <x v="1792"/>
    <x v="53"/>
    <s v="Lebanon"/>
    <s v="Syria"/>
    <n v="0"/>
    <n v="3"/>
    <s v="FIFA World Cup qualification"/>
    <s v="Sidon"/>
    <s v="Lebanon"/>
    <b v="0"/>
    <n v="2022"/>
    <n v="20992421948"/>
    <n v="23622827079"/>
    <x v="1"/>
    <n v="1"/>
    <x v="2"/>
  </r>
  <r>
    <x v="6056"/>
    <x v="1792"/>
    <x v="53"/>
    <s v="Iraq"/>
    <s v="United Arab Emirates"/>
    <n v="1"/>
    <n v="0"/>
    <s v="FIFA World Cup qualification"/>
    <s v="Riyadh"/>
    <s v="Saudi Arabia"/>
    <b v="1"/>
    <n v="2022"/>
    <n v="287372232137"/>
    <n v="511403403675"/>
    <x v="1"/>
    <n v="-1"/>
    <x v="0"/>
  </r>
  <r>
    <x v="6057"/>
    <x v="1792"/>
    <x v="53"/>
    <s v="South Korea"/>
    <s v="Iran"/>
    <n v="2"/>
    <n v="0"/>
    <s v="FIFA World Cup qualification"/>
    <s v="Seoul"/>
    <s v="South Korea"/>
    <b v="0"/>
    <n v="2022"/>
    <n v="1799363116866"/>
    <n v="422662261525"/>
    <x v="0"/>
    <n v="1"/>
    <x v="2"/>
  </r>
  <r>
    <x v="6058"/>
    <x v="1792"/>
    <x v="53"/>
    <s v="Vietnam"/>
    <s v="Oman"/>
    <n v="0"/>
    <n v="1"/>
    <s v="FIFA World Cup qualification"/>
    <s v="Hanoi"/>
    <s v="Vietnam"/>
    <b v="0"/>
    <n v="2022"/>
    <n v="413445230668"/>
    <n v="109852795838"/>
    <x v="0"/>
    <n v="-1"/>
    <x v="0"/>
  </r>
  <r>
    <x v="6059"/>
    <x v="1792"/>
    <x v="53"/>
    <s v="Australia"/>
    <s v="Japan"/>
    <n v="0"/>
    <n v="2"/>
    <s v="FIFA World Cup qualification"/>
    <s v="Sydney"/>
    <s v="Australia"/>
    <b v="0"/>
    <n v="2022"/>
    <n v="1695627535475"/>
    <n v="4262463317796"/>
    <x v="0"/>
    <n v="1"/>
    <x v="2"/>
  </r>
  <r>
    <x v="6060"/>
    <x v="1792"/>
    <x v="53"/>
    <s v="Fiji"/>
    <s v="Papua New Guinea"/>
    <n v="1"/>
    <n v="2"/>
    <s v="FIFA World Cup qualification"/>
    <s v="Doha"/>
    <s v="Qatar"/>
    <b v="1"/>
    <n v="2022"/>
    <n v="4977861885"/>
    <n v="31653185952"/>
    <x v="0"/>
    <n v="1"/>
    <x v="2"/>
  </r>
  <r>
    <x v="6061"/>
    <x v="1792"/>
    <x v="53"/>
    <s v="New Zealand"/>
    <s v="New Caledonia"/>
    <n v="7"/>
    <n v="1"/>
    <s v="FIFA World Cup qualification"/>
    <s v="Doha"/>
    <s v="Qatar"/>
    <b v="1"/>
    <n v="2022"/>
    <n v="249509991440"/>
    <n v="9623318718"/>
    <x v="0"/>
    <n v="1"/>
    <x v="2"/>
  </r>
  <r>
    <x v="6062"/>
    <x v="1792"/>
    <x v="53"/>
    <s v="Colombia"/>
    <s v="Bolivia"/>
    <n v="3"/>
    <n v="0"/>
    <s v="FIFA World Cup qualification"/>
    <s v="Barranquilla"/>
    <s v="Colombia"/>
    <b v="0"/>
    <n v="2022"/>
    <n v="345632492851"/>
    <n v="50959081953"/>
    <x v="0"/>
    <n v="1"/>
    <x v="2"/>
  </r>
  <r>
    <x v="6063"/>
    <x v="1792"/>
    <x v="53"/>
    <s v="Brazil"/>
    <s v="Chile"/>
    <n v="4"/>
    <n v="0"/>
    <s v="FIFA World Cup qualification"/>
    <s v="Rio de Janeiro"/>
    <s v="Brazil"/>
    <b v="0"/>
    <n v="2022"/>
    <n v="1951923832083"/>
    <n v="301226575540"/>
    <x v="0"/>
    <n v="1"/>
    <x v="2"/>
  </r>
  <r>
    <x v="6064"/>
    <x v="1792"/>
    <x v="53"/>
    <s v="Paraguay"/>
    <s v="Ecuador"/>
    <n v="3"/>
    <n v="1"/>
    <s v="FIFA World Cup qualification"/>
    <s v="Ciudad del Este"/>
    <s v="Paraguay"/>
    <b v="0"/>
    <n v="2022"/>
    <n v="41952910858"/>
    <n v="116133121000"/>
    <x v="0"/>
    <n v="-1"/>
    <x v="0"/>
  </r>
  <r>
    <x v="6065"/>
    <x v="1792"/>
    <x v="53"/>
    <s v="Uruguay"/>
    <s v="Peru"/>
    <n v="1"/>
    <n v="0"/>
    <s v="FIFA World Cup qualification"/>
    <s v="Montevideo"/>
    <s v="Uruguay"/>
    <b v="0"/>
    <n v="2022"/>
    <n v="70594110920"/>
    <n v="246065570308"/>
    <x v="0"/>
    <n v="-1"/>
    <x v="0"/>
  </r>
  <r>
    <x v="6066"/>
    <x v="1792"/>
    <x v="53"/>
    <s v="Italy"/>
    <s v="North Macedonia"/>
    <n v="0"/>
    <n v="1"/>
    <s v="FIFA World Cup qualification"/>
    <s v="Palermo"/>
    <s v="Italy"/>
    <b v="0"/>
    <n v="2022"/>
    <n v="2104067630319"/>
    <n v="13932436550"/>
    <x v="0"/>
    <n v="-1"/>
    <x v="0"/>
  </r>
  <r>
    <x v="6067"/>
    <x v="1793"/>
    <x v="53"/>
    <s v="Cameroon"/>
    <s v="Algeria"/>
    <n v="0"/>
    <n v="1"/>
    <s v="FIFA World Cup qualification"/>
    <s v="Douala"/>
    <s v="Cameroon"/>
    <b v="0"/>
    <n v="2022"/>
    <n v="44347206072"/>
    <n v="225581644702"/>
    <x v="0"/>
    <n v="1"/>
    <x v="2"/>
  </r>
  <r>
    <x v="6068"/>
    <x v="1793"/>
    <x v="53"/>
    <s v="Egypt"/>
    <s v="Senegal"/>
    <n v="1"/>
    <n v="0"/>
    <s v="FIFA World Cup qualification"/>
    <s v="Cairo"/>
    <s v="Egypt"/>
    <b v="0"/>
    <n v="2022"/>
    <n v="476747720364"/>
    <n v="27783332222"/>
    <x v="0"/>
    <n v="1"/>
    <x v="2"/>
  </r>
  <r>
    <x v="6069"/>
    <x v="1793"/>
    <x v="53"/>
    <s v="Ghana"/>
    <s v="Nigeria"/>
    <n v="0"/>
    <n v="0"/>
    <s v="FIFA World Cup qualification"/>
    <s v="Kumasi"/>
    <s v="Ghana"/>
    <b v="0"/>
    <n v="2022"/>
    <n v="73919003209"/>
    <n v="646950257577"/>
    <x v="0"/>
    <n v="0"/>
    <x v="1"/>
  </r>
  <r>
    <x v="6070"/>
    <x v="1793"/>
    <x v="53"/>
    <s v="Mali"/>
    <s v="Tunisia"/>
    <n v="0"/>
    <n v="1"/>
    <s v="FIFA World Cup qualification"/>
    <s v="Bamako"/>
    <s v="Mali"/>
    <b v="0"/>
    <n v="2022"/>
    <n v="22539987718"/>
    <n v="44929920092"/>
    <x v="1"/>
    <n v="1"/>
    <x v="2"/>
  </r>
  <r>
    <x v="6071"/>
    <x v="1793"/>
    <x v="53"/>
    <s v="Argentina"/>
    <s v="Venezuela"/>
    <n v="3"/>
    <n v="0"/>
    <s v="FIFA World Cup qualification"/>
    <s v="Buenos Aires"/>
    <s v="Argentina"/>
    <b v="0"/>
    <n v="2022"/>
    <n v="633993756301"/>
    <n v="89013255584"/>
    <x v="0"/>
    <n v="1"/>
    <x v="2"/>
  </r>
  <r>
    <x v="6072"/>
    <x v="1794"/>
    <x v="53"/>
    <s v="El Salvador"/>
    <s v="Costa Rica"/>
    <n v="1"/>
    <n v="2"/>
    <s v="FIFA World Cup qualification"/>
    <s v="San Salvador"/>
    <s v="El Salvador"/>
    <b v="0"/>
    <n v="2022"/>
    <n v="31870120000"/>
    <n v="69243626028"/>
    <x v="0"/>
    <n v="1"/>
    <x v="2"/>
  </r>
  <r>
    <x v="6073"/>
    <x v="1794"/>
    <x v="53"/>
    <s v="Canada"/>
    <s v="Jamaica"/>
    <n v="4"/>
    <n v="0"/>
    <s v="FIFA World Cup qualification"/>
    <s v="Toronto"/>
    <s v="Canada"/>
    <b v="0"/>
    <n v="2022"/>
    <n v="2190411080134"/>
    <n v="18813516805"/>
    <x v="0"/>
    <n v="1"/>
    <x v="2"/>
  </r>
  <r>
    <x v="6074"/>
    <x v="1794"/>
    <x v="53"/>
    <s v="Honduras"/>
    <s v="Mexico"/>
    <n v="0"/>
    <n v="1"/>
    <s v="FIFA World Cup qualification"/>
    <s v="San Pedro Sula"/>
    <s v="Honduras"/>
    <b v="0"/>
    <n v="2022"/>
    <n v="31426041806"/>
    <n v="1466934724293"/>
    <x v="0"/>
    <n v="1"/>
    <x v="2"/>
  </r>
  <r>
    <x v="6075"/>
    <x v="1794"/>
    <x v="53"/>
    <s v="United States"/>
    <s v="Panama"/>
    <n v="5"/>
    <n v="1"/>
    <s v="FIFA World Cup qualification"/>
    <s v="Orlando"/>
    <s v="United States"/>
    <b v="0"/>
    <n v="2022"/>
    <n v="25604848907611"/>
    <n v="76479304470"/>
    <x v="0"/>
    <n v="1"/>
    <x v="2"/>
  </r>
  <r>
    <x v="6076"/>
    <x v="1794"/>
    <x v="53"/>
    <s v="Solomon Islands"/>
    <s v="Papua New Guinea"/>
    <n v="3"/>
    <n v="2"/>
    <s v="FIFA World Cup qualification"/>
    <s v="Doha"/>
    <s v="Qatar"/>
    <b v="1"/>
    <n v="2022"/>
    <n v="1466670929"/>
    <n v="31653185952"/>
    <x v="0"/>
    <n v="-1"/>
    <x v="0"/>
  </r>
  <r>
    <x v="6077"/>
    <x v="1795"/>
    <x v="53"/>
    <s v="Algeria"/>
    <s v="Cameroon"/>
    <n v="1"/>
    <n v="2"/>
    <s v="FIFA World Cup qualification"/>
    <s v="Blida"/>
    <s v="Algeria"/>
    <b v="0"/>
    <n v="2022"/>
    <n v="225581644702"/>
    <n v="44347206072"/>
    <x v="0"/>
    <n v="-1"/>
    <x v="0"/>
  </r>
  <r>
    <x v="6078"/>
    <x v="1795"/>
    <x v="53"/>
    <s v="Nigeria"/>
    <s v="Ghana"/>
    <n v="1"/>
    <n v="1"/>
    <s v="FIFA World Cup qualification"/>
    <s v="Abuja"/>
    <s v="Nigeria"/>
    <b v="0"/>
    <n v="2022"/>
    <n v="646950257577"/>
    <n v="73919003209"/>
    <x v="0"/>
    <n v="0"/>
    <x v="1"/>
  </r>
  <r>
    <x v="6079"/>
    <x v="1795"/>
    <x v="53"/>
    <s v="Senegal"/>
    <s v="Egypt"/>
    <n v="1"/>
    <n v="0"/>
    <s v="FIFA World Cup qualification"/>
    <s v="Diamniadio"/>
    <s v="Senegal"/>
    <b v="0"/>
    <n v="2022"/>
    <n v="27783332222"/>
    <n v="476747720364"/>
    <x v="0"/>
    <n v="-1"/>
    <x v="0"/>
  </r>
  <r>
    <x v="6080"/>
    <x v="1795"/>
    <x v="53"/>
    <s v="Tunisia"/>
    <s v="Mali"/>
    <n v="0"/>
    <n v="0"/>
    <s v="FIFA World Cup qualification"/>
    <s v="Tunis"/>
    <s v="Tunisia"/>
    <b v="0"/>
    <n v="2022"/>
    <n v="44929920092"/>
    <n v="22539987718"/>
    <x v="1"/>
    <n v="0"/>
    <x v="1"/>
  </r>
  <r>
    <x v="6081"/>
    <x v="1795"/>
    <x v="53"/>
    <s v="Iran"/>
    <s v="Lebanon"/>
    <n v="2"/>
    <n v="0"/>
    <s v="FIFA World Cup qualification"/>
    <s v="Mashhad"/>
    <s v="Iran"/>
    <b v="0"/>
    <n v="2022"/>
    <n v="422662261525"/>
    <n v="20992421948"/>
    <x v="0"/>
    <n v="1"/>
    <x v="2"/>
  </r>
  <r>
    <x v="6082"/>
    <x v="1795"/>
    <x v="53"/>
    <s v="Syria"/>
    <s v="Iraq"/>
    <n v="1"/>
    <n v="1"/>
    <s v="FIFA World Cup qualification"/>
    <s v="Dubai"/>
    <s v="United Arab Emirates"/>
    <b v="1"/>
    <n v="2022"/>
    <n v="23622827079"/>
    <n v="287372232137"/>
    <x v="0"/>
    <n v="0"/>
    <x v="1"/>
  </r>
  <r>
    <x v="6083"/>
    <x v="1795"/>
    <x v="53"/>
    <s v="United Arab Emirates"/>
    <s v="South Korea"/>
    <n v="1"/>
    <n v="0"/>
    <s v="FIFA World Cup qualification"/>
    <s v="Dubai"/>
    <s v="United Arab Emirates"/>
    <b v="0"/>
    <n v="2022"/>
    <n v="511403403675"/>
    <n v="1799363116866"/>
    <x v="0"/>
    <n v="-1"/>
    <x v="0"/>
  </r>
  <r>
    <x v="6084"/>
    <x v="1795"/>
    <x v="53"/>
    <s v="Japan"/>
    <s v="Vietnam"/>
    <n v="1"/>
    <n v="1"/>
    <s v="FIFA World Cup qualification"/>
    <s v="Saitama"/>
    <s v="Japan"/>
    <b v="0"/>
    <n v="2022"/>
    <n v="4262463317796"/>
    <n v="413445230668"/>
    <x v="0"/>
    <n v="0"/>
    <x v="1"/>
  </r>
  <r>
    <x v="6085"/>
    <x v="1795"/>
    <x v="53"/>
    <s v="Saudi Arabia"/>
    <s v="Australia"/>
    <n v="1"/>
    <n v="0"/>
    <s v="FIFA World Cup qualification"/>
    <s v="Jeddah"/>
    <s v="Saudi Arabia"/>
    <b v="0"/>
    <n v="2022"/>
    <n v="1239075200000"/>
    <n v="1695627535475"/>
    <x v="1"/>
    <n v="-1"/>
    <x v="0"/>
  </r>
  <r>
    <x v="6086"/>
    <x v="1795"/>
    <x v="53"/>
    <s v="Ecuador"/>
    <s v="Argentina"/>
    <n v="1"/>
    <n v="1"/>
    <s v="FIFA World Cup qualification"/>
    <s v="Guayaquil"/>
    <s v="Ecuador"/>
    <b v="0"/>
    <n v="2022"/>
    <n v="116133121000"/>
    <n v="633993756301"/>
    <x v="0"/>
    <n v="0"/>
    <x v="1"/>
  </r>
  <r>
    <x v="6087"/>
    <x v="1795"/>
    <x v="53"/>
    <s v="Peru"/>
    <s v="Paraguay"/>
    <n v="2"/>
    <n v="0"/>
    <s v="FIFA World Cup qualification"/>
    <s v="Lima"/>
    <s v="Peru"/>
    <b v="0"/>
    <n v="2022"/>
    <n v="246065570308"/>
    <n v="41952910858"/>
    <x v="0"/>
    <n v="1"/>
    <x v="2"/>
  </r>
  <r>
    <x v="6088"/>
    <x v="1795"/>
    <x v="53"/>
    <s v="Bolivia"/>
    <s v="Brazil"/>
    <n v="0"/>
    <n v="4"/>
    <s v="FIFA World Cup qualification"/>
    <s v="La Paz"/>
    <s v="Bolivia"/>
    <b v="0"/>
    <n v="2022"/>
    <n v="50959081953"/>
    <n v="1951923832083"/>
    <x v="0"/>
    <n v="1"/>
    <x v="2"/>
  </r>
  <r>
    <x v="6089"/>
    <x v="1795"/>
    <x v="53"/>
    <s v="Venezuela"/>
    <s v="Colombia"/>
    <n v="0"/>
    <n v="1"/>
    <s v="FIFA World Cup qualification"/>
    <s v="Guayana"/>
    <s v="Venezuela"/>
    <b v="0"/>
    <n v="2022"/>
    <n v="89013255584"/>
    <n v="345632492851"/>
    <x v="0"/>
    <n v="1"/>
    <x v="2"/>
  </r>
  <r>
    <x v="6090"/>
    <x v="1795"/>
    <x v="53"/>
    <s v="Chile"/>
    <s v="Uruguay"/>
    <n v="0"/>
    <n v="2"/>
    <s v="FIFA World Cup qualification"/>
    <s v="Santiago"/>
    <s v="Chile"/>
    <b v="0"/>
    <n v="2022"/>
    <n v="301226575540"/>
    <n v="70594110920"/>
    <x v="0"/>
    <n v="-1"/>
    <x v="0"/>
  </r>
  <r>
    <x v="6091"/>
    <x v="1795"/>
    <x v="53"/>
    <s v="Poland"/>
    <s v="Sweden"/>
    <n v="2"/>
    <n v="0"/>
    <s v="FIFA World Cup qualification"/>
    <s v="Chorz√≥w"/>
    <s v="Poland"/>
    <b v="0"/>
    <n v="2022"/>
    <n v="695607470875"/>
    <n v="575071237640"/>
    <x v="1"/>
    <n v="1"/>
    <x v="2"/>
  </r>
  <r>
    <x v="6092"/>
    <x v="1795"/>
    <x v="53"/>
    <s v="Portugal"/>
    <s v="North Macedonia"/>
    <n v="2"/>
    <n v="0"/>
    <s v="FIFA World Cup qualification"/>
    <s v="Porto"/>
    <s v="Portugal"/>
    <b v="0"/>
    <n v="2022"/>
    <n v="256898677175"/>
    <n v="13932436550"/>
    <x v="0"/>
    <n v="1"/>
    <x v="2"/>
  </r>
  <r>
    <x v="6093"/>
    <x v="1796"/>
    <x v="53"/>
    <s v="Mexico"/>
    <s v="El Salvador"/>
    <n v="2"/>
    <n v="0"/>
    <s v="FIFA World Cup qualification"/>
    <s v="Mexico City"/>
    <s v="Mexico"/>
    <b v="0"/>
    <n v="2022"/>
    <n v="1466934724293"/>
    <n v="31870120000"/>
    <x v="0"/>
    <n v="1"/>
    <x v="2"/>
  </r>
  <r>
    <x v="6094"/>
    <x v="1796"/>
    <x v="53"/>
    <s v="Costa Rica"/>
    <s v="United States"/>
    <n v="2"/>
    <n v="0"/>
    <s v="FIFA World Cup qualification"/>
    <s v="San Jos√©"/>
    <s v="Costa Rica"/>
    <b v="0"/>
    <n v="2022"/>
    <n v="69243626028"/>
    <n v="25604848907611"/>
    <x v="0"/>
    <n v="-1"/>
    <x v="0"/>
  </r>
  <r>
    <x v="6095"/>
    <x v="1796"/>
    <x v="53"/>
    <s v="Panama"/>
    <s v="Canada"/>
    <n v="1"/>
    <n v="0"/>
    <s v="FIFA World Cup qualification"/>
    <s v="Panama City"/>
    <s v="Panama"/>
    <b v="0"/>
    <n v="2022"/>
    <n v="76479304470"/>
    <n v="2190411080134"/>
    <x v="0"/>
    <n v="-1"/>
    <x v="0"/>
  </r>
  <r>
    <x v="6096"/>
    <x v="1796"/>
    <x v="53"/>
    <s v="Jamaica"/>
    <s v="Honduras"/>
    <n v="2"/>
    <n v="1"/>
    <s v="FIFA World Cup qualification"/>
    <s v="Kingston"/>
    <s v="Jamaica"/>
    <b v="0"/>
    <n v="2022"/>
    <n v="18813516805"/>
    <n v="31426041806"/>
    <x v="1"/>
    <n v="-1"/>
    <x v="0"/>
  </r>
  <r>
    <x v="6097"/>
    <x v="1796"/>
    <x v="53"/>
    <s v="Solomon Islands"/>
    <s v="New Zealand"/>
    <n v="0"/>
    <n v="5"/>
    <s v="FIFA World Cup qualification"/>
    <s v="Doha"/>
    <s v="Qatar"/>
    <b v="1"/>
    <n v="2022"/>
    <n v="1466670929"/>
    <n v="249509991440"/>
    <x v="0"/>
    <n v="1"/>
    <x v="2"/>
  </r>
  <r>
    <x v="6098"/>
    <x v="1797"/>
    <x v="53"/>
    <s v="United Arab Emirates"/>
    <s v="Australia"/>
    <n v="1"/>
    <n v="2"/>
    <s v="FIFA World Cup qualification"/>
    <s v="Al Rayyan"/>
    <s v="Qatar"/>
    <b v="1"/>
    <n v="2022"/>
    <n v="511403403675"/>
    <n v="1695627535475"/>
    <x v="0"/>
    <n v="1"/>
    <x v="2"/>
  </r>
  <r>
    <x v="6099"/>
    <x v="1798"/>
    <x v="53"/>
    <s v="Australia"/>
    <s v="Peru"/>
    <n v="0"/>
    <n v="0"/>
    <s v="FIFA World Cup qualification"/>
    <s v="Al Rayyan"/>
    <s v="Qatar"/>
    <b v="1"/>
    <n v="2022"/>
    <n v="1695627535475"/>
    <n v="246065570308"/>
    <x v="0"/>
    <n v="0"/>
    <x v="1"/>
  </r>
  <r>
    <x v="6100"/>
    <x v="1799"/>
    <x v="53"/>
    <s v="Costa Rica"/>
    <s v="New Zealand"/>
    <n v="1"/>
    <n v="0"/>
    <s v="FIFA World Cup qualification"/>
    <s v="Al Rayyan"/>
    <s v="Qatar"/>
    <b v="1"/>
    <n v="2022"/>
    <n v="69243626028"/>
    <n v="249509991440"/>
    <x v="0"/>
    <n v="-1"/>
    <x v="0"/>
  </r>
  <r>
    <x v="6101"/>
    <x v="1800"/>
    <x v="53"/>
    <s v="Qatar"/>
    <s v="Ecuador"/>
    <n v="0"/>
    <n v="2"/>
    <s v="FIFA World Cup"/>
    <s v="Al Khor"/>
    <s v="Qatar"/>
    <b v="0"/>
    <n v="2022"/>
    <n v="235709340659"/>
    <n v="116133121000"/>
    <x v="0"/>
    <n v="-1"/>
    <x v="0"/>
  </r>
  <r>
    <x v="6102"/>
    <x v="1801"/>
    <x v="53"/>
    <s v="Senegal"/>
    <s v="Netherlands"/>
    <n v="0"/>
    <n v="2"/>
    <s v="FIFA World Cup"/>
    <s v="Doha"/>
    <s v="Qatar"/>
    <b v="1"/>
    <n v="2022"/>
    <n v="27783332222"/>
    <n v="1046540797548"/>
    <x v="0"/>
    <n v="1"/>
    <x v="2"/>
  </r>
  <r>
    <x v="6103"/>
    <x v="1801"/>
    <x v="53"/>
    <s v="England"/>
    <s v="Iran"/>
    <n v="6"/>
    <n v="2"/>
    <s v="FIFA World Cup"/>
    <s v="Al Rayyan"/>
    <s v="Qatar"/>
    <b v="1"/>
    <n v="2022"/>
    <n v="3181244350465"/>
    <n v="422662261525"/>
    <x v="0"/>
    <n v="1"/>
    <x v="2"/>
  </r>
  <r>
    <x v="6104"/>
    <x v="1802"/>
    <x v="53"/>
    <s v="Argentina"/>
    <s v="Saudi Arabia"/>
    <n v="1"/>
    <n v="2"/>
    <s v="FIFA World Cup"/>
    <s v="Lusail"/>
    <s v="Qatar"/>
    <b v="1"/>
    <n v="2022"/>
    <n v="633993756301"/>
    <n v="1239075200000"/>
    <x v="1"/>
    <n v="1"/>
    <x v="2"/>
  </r>
  <r>
    <x v="6105"/>
    <x v="1802"/>
    <x v="53"/>
    <s v="Mexico"/>
    <s v="Poland"/>
    <n v="0"/>
    <n v="0"/>
    <s v="FIFA World Cup"/>
    <s v="Doha"/>
    <s v="Qatar"/>
    <b v="1"/>
    <n v="2022"/>
    <n v="1466934724293"/>
    <n v="695607470875"/>
    <x v="0"/>
    <n v="0"/>
    <x v="1"/>
  </r>
  <r>
    <x v="6106"/>
    <x v="1802"/>
    <x v="53"/>
    <s v="Denmark"/>
    <s v="Tunisia"/>
    <n v="0"/>
    <n v="0"/>
    <s v="FIFA World Cup"/>
    <s v="Al Rayyan"/>
    <s v="Qatar"/>
    <b v="1"/>
    <n v="2022"/>
    <n v="400114306337"/>
    <n v="44929920092"/>
    <x v="0"/>
    <n v="0"/>
    <x v="1"/>
  </r>
  <r>
    <x v="6107"/>
    <x v="1802"/>
    <x v="53"/>
    <s v="France"/>
    <s v="Australia"/>
    <n v="4"/>
    <n v="1"/>
    <s v="FIFA World Cup"/>
    <s v="Al Wakrah"/>
    <s v="Qatar"/>
    <b v="1"/>
    <n v="2022"/>
    <n v="2794788137066"/>
    <n v="1695627535475"/>
    <x v="1"/>
    <n v="1"/>
    <x v="2"/>
  </r>
  <r>
    <x v="6108"/>
    <x v="1803"/>
    <x v="53"/>
    <s v="Germany"/>
    <s v="Japan"/>
    <n v="1"/>
    <n v="2"/>
    <s v="FIFA World Cup"/>
    <s v="Al Rayyan"/>
    <s v="Qatar"/>
    <b v="1"/>
    <n v="2022"/>
    <n v="4201021706478"/>
    <n v="4262463317796"/>
    <x v="1"/>
    <n v="1"/>
    <x v="2"/>
  </r>
  <r>
    <x v="6109"/>
    <x v="1803"/>
    <x v="53"/>
    <s v="Spain"/>
    <s v="Costa Rica"/>
    <n v="7"/>
    <n v="0"/>
    <s v="FIFA World Cup"/>
    <s v="Doha"/>
    <s v="Qatar"/>
    <b v="1"/>
    <n v="2022"/>
    <n v="1448850658406"/>
    <n v="69243626028"/>
    <x v="0"/>
    <n v="1"/>
    <x v="2"/>
  </r>
  <r>
    <x v="6110"/>
    <x v="1803"/>
    <x v="53"/>
    <s v="Morocco"/>
    <s v="Croatia"/>
    <n v="0"/>
    <n v="0"/>
    <s v="FIFA World Cup"/>
    <s v="Al Khor"/>
    <s v="Qatar"/>
    <b v="1"/>
    <n v="2022"/>
    <n v="131245312804"/>
    <n v="71196498671"/>
    <x v="1"/>
    <n v="0"/>
    <x v="1"/>
  </r>
  <r>
    <x v="6111"/>
    <x v="1803"/>
    <x v="53"/>
    <s v="Belgium"/>
    <s v="Canada"/>
    <n v="1"/>
    <n v="0"/>
    <s v="FIFA World Cup"/>
    <s v="Al Rayyan"/>
    <s v="Qatar"/>
    <b v="1"/>
    <n v="2022"/>
    <n v="591085783326"/>
    <n v="2190411080134"/>
    <x v="0"/>
    <n v="-1"/>
    <x v="0"/>
  </r>
  <r>
    <x v="6112"/>
    <x v="1804"/>
    <x v="53"/>
    <s v="Switzerland"/>
    <s v="Cameroon"/>
    <n v="1"/>
    <n v="0"/>
    <s v="FIFA World Cup"/>
    <s v="Al Wakrah"/>
    <s v="Qatar"/>
    <b v="1"/>
    <n v="2022"/>
    <n v="828508926958"/>
    <n v="44347206072"/>
    <x v="0"/>
    <n v="1"/>
    <x v="2"/>
  </r>
  <r>
    <x v="6113"/>
    <x v="1804"/>
    <x v="53"/>
    <s v="Brazil"/>
    <s v="Serbia"/>
    <n v="2"/>
    <n v="0"/>
    <s v="FIFA World Cup"/>
    <s v="Lusail"/>
    <s v="Qatar"/>
    <b v="1"/>
    <n v="2022"/>
    <n v="1951923832083"/>
    <n v="66809895701"/>
    <x v="0"/>
    <n v="1"/>
    <x v="2"/>
  </r>
  <r>
    <x v="6114"/>
    <x v="1804"/>
    <x v="53"/>
    <s v="Uruguay"/>
    <s v="South Korea"/>
    <n v="0"/>
    <n v="0"/>
    <s v="FIFA World Cup"/>
    <s v="Al Rayyan"/>
    <s v="Qatar"/>
    <b v="1"/>
    <n v="2022"/>
    <n v="70594110920"/>
    <n v="1799363116866"/>
    <x v="0"/>
    <n v="0"/>
    <x v="1"/>
  </r>
  <r>
    <x v="6115"/>
    <x v="1804"/>
    <x v="53"/>
    <s v="Portugal"/>
    <s v="Ghana"/>
    <n v="3"/>
    <n v="2"/>
    <s v="FIFA World Cup"/>
    <s v="Doha"/>
    <s v="Qatar"/>
    <b v="1"/>
    <n v="2022"/>
    <n v="256898677175"/>
    <n v="73919003209"/>
    <x v="0"/>
    <n v="1"/>
    <x v="2"/>
  </r>
  <r>
    <x v="6116"/>
    <x v="1805"/>
    <x v="53"/>
    <s v="Qatar"/>
    <s v="Senegal"/>
    <n v="1"/>
    <n v="3"/>
    <s v="FIFA World Cup"/>
    <s v="Doha"/>
    <s v="Qatar"/>
    <b v="0"/>
    <n v="2022"/>
    <n v="235709340659"/>
    <n v="27783332222"/>
    <x v="0"/>
    <n v="-1"/>
    <x v="0"/>
  </r>
  <r>
    <x v="6117"/>
    <x v="1805"/>
    <x v="53"/>
    <s v="Netherlands"/>
    <s v="Ecuador"/>
    <n v="1"/>
    <n v="1"/>
    <s v="FIFA World Cup"/>
    <s v="Al Rayyan"/>
    <s v="Qatar"/>
    <b v="1"/>
    <n v="2022"/>
    <n v="1046540797548"/>
    <n v="116133121000"/>
    <x v="0"/>
    <n v="0"/>
    <x v="1"/>
  </r>
  <r>
    <x v="6118"/>
    <x v="1805"/>
    <x v="53"/>
    <s v="England"/>
    <s v="United States"/>
    <n v="0"/>
    <n v="0"/>
    <s v="FIFA World Cup"/>
    <s v="Al Khor"/>
    <s v="Qatar"/>
    <b v="1"/>
    <n v="2022"/>
    <n v="3181244350465"/>
    <n v="25604848907611"/>
    <x v="0"/>
    <n v="0"/>
    <x v="1"/>
  </r>
  <r>
    <x v="6119"/>
    <x v="1806"/>
    <x v="53"/>
    <s v="Poland"/>
    <s v="Saudi Arabia"/>
    <n v="2"/>
    <n v="0"/>
    <s v="FIFA World Cup"/>
    <s v="Al Rayyan"/>
    <s v="Qatar"/>
    <b v="1"/>
    <n v="2022"/>
    <n v="695607470875"/>
    <n v="1239075200000"/>
    <x v="1"/>
    <n v="-1"/>
    <x v="0"/>
  </r>
  <r>
    <x v="6120"/>
    <x v="1806"/>
    <x v="53"/>
    <s v="Argentina"/>
    <s v="Mexico"/>
    <n v="2"/>
    <n v="0"/>
    <s v="FIFA World Cup"/>
    <s v="Lusail"/>
    <s v="Qatar"/>
    <b v="1"/>
    <n v="2022"/>
    <n v="633993756301"/>
    <n v="1466934724293"/>
    <x v="0"/>
    <n v="-1"/>
    <x v="0"/>
  </r>
  <r>
    <x v="6121"/>
    <x v="1806"/>
    <x v="53"/>
    <s v="Tunisia"/>
    <s v="Australia"/>
    <n v="0"/>
    <n v="1"/>
    <s v="FIFA World Cup"/>
    <s v="Al Wakrah"/>
    <s v="Qatar"/>
    <b v="1"/>
    <n v="2022"/>
    <n v="44929920092"/>
    <n v="1695627535475"/>
    <x v="0"/>
    <n v="1"/>
    <x v="2"/>
  </r>
  <r>
    <x v="6122"/>
    <x v="1806"/>
    <x v="53"/>
    <s v="France"/>
    <s v="Denmark"/>
    <n v="2"/>
    <n v="1"/>
    <s v="FIFA World Cup"/>
    <s v="Doha"/>
    <s v="Qatar"/>
    <b v="1"/>
    <n v="2022"/>
    <n v="2794788137066"/>
    <n v="400114306337"/>
    <x v="0"/>
    <n v="1"/>
    <x v="2"/>
  </r>
  <r>
    <x v="6123"/>
    <x v="1807"/>
    <x v="53"/>
    <s v="Japan"/>
    <s v="Costa Rica"/>
    <n v="0"/>
    <n v="1"/>
    <s v="FIFA World Cup"/>
    <s v="Al Rayyan"/>
    <s v="Qatar"/>
    <b v="1"/>
    <n v="2022"/>
    <n v="4262463317796"/>
    <n v="69243626028"/>
    <x v="0"/>
    <n v="-1"/>
    <x v="0"/>
  </r>
  <r>
    <x v="6124"/>
    <x v="1807"/>
    <x v="53"/>
    <s v="Spain"/>
    <s v="Germany"/>
    <n v="1"/>
    <n v="1"/>
    <s v="FIFA World Cup"/>
    <s v="Al Khor"/>
    <s v="Qatar"/>
    <b v="1"/>
    <n v="2022"/>
    <n v="1448850658406"/>
    <n v="4201021706478"/>
    <x v="0"/>
    <n v="0"/>
    <x v="1"/>
  </r>
  <r>
    <x v="6125"/>
    <x v="1807"/>
    <x v="53"/>
    <s v="Belgium"/>
    <s v="Morocco"/>
    <n v="0"/>
    <n v="2"/>
    <s v="FIFA World Cup"/>
    <s v="Doha"/>
    <s v="Qatar"/>
    <b v="1"/>
    <n v="2022"/>
    <n v="591085783326"/>
    <n v="131245312804"/>
    <x v="0"/>
    <n v="-1"/>
    <x v="0"/>
  </r>
  <r>
    <x v="6126"/>
    <x v="1807"/>
    <x v="53"/>
    <s v="Croatia"/>
    <s v="Canada"/>
    <n v="4"/>
    <n v="1"/>
    <s v="FIFA World Cup"/>
    <s v="Al Rayyan"/>
    <s v="Qatar"/>
    <b v="1"/>
    <n v="2022"/>
    <n v="71196498671"/>
    <n v="2190411080134"/>
    <x v="0"/>
    <n v="-1"/>
    <x v="0"/>
  </r>
  <r>
    <x v="6127"/>
    <x v="1808"/>
    <x v="53"/>
    <s v="Cameroon"/>
    <s v="Serbia"/>
    <n v="3"/>
    <n v="3"/>
    <s v="FIFA World Cup"/>
    <s v="Al Wakrah"/>
    <s v="Qatar"/>
    <b v="1"/>
    <n v="2022"/>
    <n v="44347206072"/>
    <n v="66809895701"/>
    <x v="1"/>
    <n v="0"/>
    <x v="1"/>
  </r>
  <r>
    <x v="6128"/>
    <x v="1808"/>
    <x v="53"/>
    <s v="Brazil"/>
    <s v="Switzerland"/>
    <n v="1"/>
    <n v="0"/>
    <s v="FIFA World Cup"/>
    <s v="Doha"/>
    <s v="Qatar"/>
    <b v="1"/>
    <n v="2022"/>
    <n v="1951923832083"/>
    <n v="828508926958"/>
    <x v="0"/>
    <n v="1"/>
    <x v="2"/>
  </r>
  <r>
    <x v="6129"/>
    <x v="1808"/>
    <x v="53"/>
    <s v="South Korea"/>
    <s v="Ghana"/>
    <n v="2"/>
    <n v="3"/>
    <s v="FIFA World Cup"/>
    <s v="Al Rayyan"/>
    <s v="Qatar"/>
    <b v="1"/>
    <n v="2022"/>
    <n v="1799363116866"/>
    <n v="73919003209"/>
    <x v="0"/>
    <n v="-1"/>
    <x v="0"/>
  </r>
  <r>
    <x v="6130"/>
    <x v="1808"/>
    <x v="53"/>
    <s v="Portugal"/>
    <s v="Uruguay"/>
    <n v="2"/>
    <n v="0"/>
    <s v="FIFA World Cup"/>
    <s v="Lusail"/>
    <s v="Qatar"/>
    <b v="1"/>
    <n v="2022"/>
    <n v="256898677175"/>
    <n v="70594110920"/>
    <x v="0"/>
    <n v="1"/>
    <x v="2"/>
  </r>
  <r>
    <x v="6131"/>
    <x v="1809"/>
    <x v="53"/>
    <s v="Ecuador"/>
    <s v="Senegal"/>
    <n v="1"/>
    <n v="2"/>
    <s v="FIFA World Cup"/>
    <s v="Al Rayyan"/>
    <s v="Qatar"/>
    <b v="1"/>
    <n v="2022"/>
    <n v="116133121000"/>
    <n v="27783332222"/>
    <x v="0"/>
    <n v="-1"/>
    <x v="0"/>
  </r>
  <r>
    <x v="6132"/>
    <x v="1809"/>
    <x v="53"/>
    <s v="Qatar"/>
    <s v="Netherlands"/>
    <n v="0"/>
    <n v="2"/>
    <s v="FIFA World Cup"/>
    <s v="Al Khor"/>
    <s v="Qatar"/>
    <b v="0"/>
    <n v="2022"/>
    <n v="235709340659"/>
    <n v="1046540797548"/>
    <x v="0"/>
    <n v="1"/>
    <x v="2"/>
  </r>
  <r>
    <x v="6133"/>
    <x v="1809"/>
    <x v="53"/>
    <s v="Iran"/>
    <s v="United States"/>
    <n v="0"/>
    <n v="1"/>
    <s v="FIFA World Cup"/>
    <s v="Doha"/>
    <s v="Qatar"/>
    <b v="1"/>
    <n v="2022"/>
    <n v="422662261525"/>
    <n v="25604848907611"/>
    <x v="0"/>
    <n v="1"/>
    <x v="2"/>
  </r>
  <r>
    <x v="6134"/>
    <x v="1810"/>
    <x v="53"/>
    <s v="Poland"/>
    <s v="Argentina"/>
    <n v="0"/>
    <n v="2"/>
    <s v="FIFA World Cup"/>
    <s v="Doha"/>
    <s v="Qatar"/>
    <b v="1"/>
    <n v="2022"/>
    <n v="695607470875"/>
    <n v="633993756301"/>
    <x v="1"/>
    <n v="-1"/>
    <x v="0"/>
  </r>
  <r>
    <x v="6135"/>
    <x v="1810"/>
    <x v="53"/>
    <s v="Saudi Arabia"/>
    <s v="Mexico"/>
    <n v="1"/>
    <n v="2"/>
    <s v="FIFA World Cup"/>
    <s v="Lusail"/>
    <s v="Qatar"/>
    <b v="1"/>
    <n v="2022"/>
    <n v="1239075200000"/>
    <n v="1466934724293"/>
    <x v="1"/>
    <n v="1"/>
    <x v="2"/>
  </r>
  <r>
    <x v="6136"/>
    <x v="1810"/>
    <x v="53"/>
    <s v="Australia"/>
    <s v="Denmark"/>
    <n v="1"/>
    <n v="0"/>
    <s v="FIFA World Cup"/>
    <s v="Al Wakrah"/>
    <s v="Qatar"/>
    <b v="1"/>
    <n v="2022"/>
    <n v="1695627535475"/>
    <n v="400114306337"/>
    <x v="0"/>
    <n v="1"/>
    <x v="2"/>
  </r>
  <r>
    <x v="6137"/>
    <x v="1810"/>
    <x v="53"/>
    <s v="Tunisia"/>
    <s v="France"/>
    <n v="1"/>
    <n v="0"/>
    <s v="FIFA World Cup"/>
    <s v="Al Rayyan"/>
    <s v="Qatar"/>
    <b v="1"/>
    <n v="2022"/>
    <n v="44929920092"/>
    <n v="2794788137066"/>
    <x v="0"/>
    <n v="-1"/>
    <x v="0"/>
  </r>
  <r>
    <x v="6138"/>
    <x v="1811"/>
    <x v="53"/>
    <s v="Japan"/>
    <s v="Spain"/>
    <n v="2"/>
    <n v="1"/>
    <s v="FIFA World Cup"/>
    <s v="Al Rayyan"/>
    <s v="Qatar"/>
    <b v="1"/>
    <n v="2022"/>
    <n v="4262463317796"/>
    <n v="1448850658406"/>
    <x v="0"/>
    <n v="1"/>
    <x v="2"/>
  </r>
  <r>
    <x v="6139"/>
    <x v="1811"/>
    <x v="53"/>
    <s v="Costa Rica"/>
    <s v="Germany"/>
    <n v="2"/>
    <n v="4"/>
    <s v="FIFA World Cup"/>
    <s v="Al Khor"/>
    <s v="Qatar"/>
    <b v="1"/>
    <n v="2022"/>
    <n v="69243626028"/>
    <n v="4201021706478"/>
    <x v="0"/>
    <n v="1"/>
    <x v="2"/>
  </r>
  <r>
    <x v="6140"/>
    <x v="1811"/>
    <x v="53"/>
    <s v="Croatia"/>
    <s v="Belgium"/>
    <n v="0"/>
    <n v="0"/>
    <s v="FIFA World Cup"/>
    <s v="Al Rayyan"/>
    <s v="Qatar"/>
    <b v="1"/>
    <n v="2022"/>
    <n v="71196498671"/>
    <n v="591085783326"/>
    <x v="0"/>
    <n v="0"/>
    <x v="1"/>
  </r>
  <r>
    <x v="6141"/>
    <x v="1811"/>
    <x v="53"/>
    <s v="Canada"/>
    <s v="Morocco"/>
    <n v="1"/>
    <n v="2"/>
    <s v="FIFA World Cup"/>
    <s v="Doha"/>
    <s v="Qatar"/>
    <b v="1"/>
    <n v="2022"/>
    <n v="2190411080134"/>
    <n v="131245312804"/>
    <x v="0"/>
    <n v="-1"/>
    <x v="0"/>
  </r>
  <r>
    <x v="6142"/>
    <x v="1812"/>
    <x v="53"/>
    <s v="Serbia"/>
    <s v="Switzerland"/>
    <n v="2"/>
    <n v="3"/>
    <s v="FIFA World Cup"/>
    <s v="Doha"/>
    <s v="Qatar"/>
    <b v="1"/>
    <n v="2022"/>
    <n v="66809895701"/>
    <n v="828508926958"/>
    <x v="0"/>
    <n v="1"/>
    <x v="2"/>
  </r>
  <r>
    <x v="6143"/>
    <x v="1812"/>
    <x v="53"/>
    <s v="Cameroon"/>
    <s v="Brazil"/>
    <n v="1"/>
    <n v="0"/>
    <s v="FIFA World Cup"/>
    <s v="Lusail"/>
    <s v="Qatar"/>
    <b v="1"/>
    <n v="2022"/>
    <n v="44347206072"/>
    <n v="1951923832083"/>
    <x v="0"/>
    <n v="-1"/>
    <x v="0"/>
  </r>
  <r>
    <x v="6144"/>
    <x v="1812"/>
    <x v="53"/>
    <s v="Ghana"/>
    <s v="Uruguay"/>
    <n v="0"/>
    <n v="2"/>
    <s v="FIFA World Cup"/>
    <s v="Al Wakrah"/>
    <s v="Qatar"/>
    <b v="1"/>
    <n v="2022"/>
    <n v="73919003209"/>
    <n v="70594110920"/>
    <x v="1"/>
    <n v="-1"/>
    <x v="0"/>
  </r>
  <r>
    <x v="6145"/>
    <x v="1812"/>
    <x v="53"/>
    <s v="South Korea"/>
    <s v="Portugal"/>
    <n v="2"/>
    <n v="1"/>
    <s v="FIFA World Cup"/>
    <s v="Al Rayyan"/>
    <s v="Qatar"/>
    <b v="1"/>
    <n v="2022"/>
    <n v="1799363116866"/>
    <n v="256898677175"/>
    <x v="0"/>
    <n v="1"/>
    <x v="2"/>
  </r>
  <r>
    <x v="6146"/>
    <x v="1813"/>
    <x v="53"/>
    <s v="Netherlands"/>
    <s v="United States"/>
    <n v="3"/>
    <n v="1"/>
    <s v="FIFA World Cup"/>
    <s v="Al Rayyan"/>
    <s v="Qatar"/>
    <b v="1"/>
    <n v="2022"/>
    <n v="1046540797548"/>
    <n v="25604848907611"/>
    <x v="0"/>
    <n v="-1"/>
    <x v="0"/>
  </r>
  <r>
    <x v="6147"/>
    <x v="1813"/>
    <x v="53"/>
    <s v="Argentina"/>
    <s v="Australia"/>
    <n v="2"/>
    <n v="1"/>
    <s v="FIFA World Cup"/>
    <s v="Al Rayyan"/>
    <s v="Qatar"/>
    <b v="1"/>
    <n v="2022"/>
    <n v="633993756301"/>
    <n v="1695627535475"/>
    <x v="0"/>
    <n v="-1"/>
    <x v="0"/>
  </r>
  <r>
    <x v="6148"/>
    <x v="1814"/>
    <x v="53"/>
    <s v="France"/>
    <s v="Poland"/>
    <n v="3"/>
    <n v="1"/>
    <s v="FIFA World Cup"/>
    <s v="Doha"/>
    <s v="Qatar"/>
    <b v="1"/>
    <n v="2022"/>
    <n v="2794788137066"/>
    <n v="695607470875"/>
    <x v="0"/>
    <n v="1"/>
    <x v="2"/>
  </r>
  <r>
    <x v="6149"/>
    <x v="1814"/>
    <x v="53"/>
    <s v="England"/>
    <s v="Senegal"/>
    <n v="3"/>
    <n v="0"/>
    <s v="FIFA World Cup"/>
    <s v="Al Khor"/>
    <s v="Qatar"/>
    <b v="1"/>
    <n v="2022"/>
    <n v="3181244350465"/>
    <n v="27783332222"/>
    <x v="0"/>
    <n v="1"/>
    <x v="2"/>
  </r>
  <r>
    <x v="6150"/>
    <x v="1815"/>
    <x v="53"/>
    <s v="Japan"/>
    <s v="Croatia"/>
    <n v="1"/>
    <n v="1"/>
    <s v="FIFA World Cup"/>
    <s v="Al Wakrah"/>
    <s v="Qatar"/>
    <b v="1"/>
    <n v="2022"/>
    <n v="4262463317796"/>
    <n v="71196498671"/>
    <x v="0"/>
    <n v="0"/>
    <x v="1"/>
  </r>
  <r>
    <x v="6151"/>
    <x v="1815"/>
    <x v="53"/>
    <s v="Brazil"/>
    <s v="South Korea"/>
    <n v="4"/>
    <n v="1"/>
    <s v="FIFA World Cup"/>
    <s v="Doha"/>
    <s v="Qatar"/>
    <b v="1"/>
    <n v="2022"/>
    <n v="1951923832083"/>
    <n v="1799363116866"/>
    <x v="1"/>
    <n v="1"/>
    <x v="2"/>
  </r>
  <r>
    <x v="6152"/>
    <x v="1816"/>
    <x v="53"/>
    <s v="Morocco"/>
    <s v="Spain"/>
    <n v="0"/>
    <n v="0"/>
    <s v="FIFA World Cup"/>
    <s v="Al Rayyan"/>
    <s v="Qatar"/>
    <b v="1"/>
    <n v="2022"/>
    <n v="131245312804"/>
    <n v="1448850658406"/>
    <x v="0"/>
    <n v="0"/>
    <x v="1"/>
  </r>
  <r>
    <x v="6153"/>
    <x v="1816"/>
    <x v="53"/>
    <s v="Portugal"/>
    <s v="Switzerland"/>
    <n v="6"/>
    <n v="1"/>
    <s v="FIFA World Cup"/>
    <s v="Lusail"/>
    <s v="Qatar"/>
    <b v="1"/>
    <n v="2022"/>
    <n v="256898677175"/>
    <n v="828508926958"/>
    <x v="0"/>
    <n v="-1"/>
    <x v="0"/>
  </r>
  <r>
    <x v="6154"/>
    <x v="1817"/>
    <x v="53"/>
    <s v="Croatia"/>
    <s v="Brazil"/>
    <n v="1"/>
    <n v="1"/>
    <s v="FIFA World Cup"/>
    <s v="Al Rayyan"/>
    <s v="Qatar"/>
    <b v="1"/>
    <n v="2022"/>
    <n v="71196498671"/>
    <n v="1951923832083"/>
    <x v="0"/>
    <n v="0"/>
    <x v="1"/>
  </r>
  <r>
    <x v="6155"/>
    <x v="1817"/>
    <x v="53"/>
    <s v="Netherlands"/>
    <s v="Argentina"/>
    <n v="2"/>
    <n v="2"/>
    <s v="FIFA World Cup"/>
    <s v="Lusail"/>
    <s v="Qatar"/>
    <b v="1"/>
    <n v="2022"/>
    <n v="1046540797548"/>
    <n v="633993756301"/>
    <x v="1"/>
    <n v="0"/>
    <x v="1"/>
  </r>
  <r>
    <x v="6156"/>
    <x v="1818"/>
    <x v="53"/>
    <s v="Morocco"/>
    <s v="Portugal"/>
    <n v="1"/>
    <n v="0"/>
    <s v="FIFA World Cup"/>
    <s v="Doha"/>
    <s v="Qatar"/>
    <b v="1"/>
    <n v="2022"/>
    <n v="131245312804"/>
    <n v="256898677175"/>
    <x v="1"/>
    <n v="-1"/>
    <x v="0"/>
  </r>
  <r>
    <x v="6157"/>
    <x v="1818"/>
    <x v="53"/>
    <s v="England"/>
    <s v="France"/>
    <n v="1"/>
    <n v="2"/>
    <s v="FIFA World Cup"/>
    <s v="Al Khor"/>
    <s v="Qatar"/>
    <b v="1"/>
    <n v="2022"/>
    <n v="3181244350465"/>
    <n v="2794788137066"/>
    <x v="1"/>
    <n v="-1"/>
    <x v="0"/>
  </r>
  <r>
    <x v="6158"/>
    <x v="1819"/>
    <x v="53"/>
    <s v="Argentina"/>
    <s v="Croatia"/>
    <n v="3"/>
    <n v="0"/>
    <s v="FIFA World Cup"/>
    <s v="Lusail"/>
    <s v="Qatar"/>
    <b v="1"/>
    <n v="2022"/>
    <n v="633993756301"/>
    <n v="71196498671"/>
    <x v="0"/>
    <n v="1"/>
    <x v="2"/>
  </r>
  <r>
    <x v="6159"/>
    <x v="1820"/>
    <x v="53"/>
    <s v="France"/>
    <s v="Morocco"/>
    <n v="2"/>
    <n v="0"/>
    <s v="FIFA World Cup"/>
    <s v="Al Khor"/>
    <s v="Qatar"/>
    <b v="1"/>
    <n v="2022"/>
    <n v="2794788137066"/>
    <n v="131245312804"/>
    <x v="0"/>
    <n v="1"/>
    <x v="2"/>
  </r>
  <r>
    <x v="6160"/>
    <x v="1821"/>
    <x v="53"/>
    <s v="Croatia"/>
    <s v="Morocco"/>
    <n v="2"/>
    <n v="1"/>
    <s v="FIFA World Cup"/>
    <s v="Al Rayyan"/>
    <s v="Qatar"/>
    <b v="1"/>
    <n v="2022"/>
    <n v="71196498671"/>
    <n v="131245312804"/>
    <x v="1"/>
    <n v="-1"/>
    <x v="0"/>
  </r>
  <r>
    <x v="6161"/>
    <x v="1822"/>
    <x v="53"/>
    <s v="Argentina"/>
    <s v="France"/>
    <n v="3"/>
    <n v="3"/>
    <s v="FIFA World Cup"/>
    <s v="Lusail"/>
    <s v="Qatar"/>
    <b v="1"/>
    <n v="2022"/>
    <n v="633993756301"/>
    <n v="2794788137066"/>
    <x v="0"/>
    <n v="0"/>
    <x v="1"/>
  </r>
  <r>
    <x v="6162"/>
    <x v="1823"/>
    <x v="54"/>
    <s v="Colombia"/>
    <s v="Venezuela"/>
    <n v="1"/>
    <n v="0"/>
    <s v="FIFA World Cup qualification"/>
    <s v="Barranquilla"/>
    <s v="Colombia"/>
    <b v="0"/>
    <n v="2023"/>
    <n v="366291836137"/>
    <n v="102376526555"/>
    <x v="0"/>
    <n v="1"/>
    <x v="2"/>
  </r>
  <r>
    <x v="6163"/>
    <x v="1823"/>
    <x v="54"/>
    <s v="Paraguay"/>
    <s v="Peru"/>
    <n v="0"/>
    <n v="0"/>
    <s v="FIFA World Cup qualification"/>
    <s v="Ciudad del Este"/>
    <s v="Paraguay"/>
    <b v="0"/>
    <n v="2023"/>
    <n v="43118053174"/>
    <n v="266958720837"/>
    <x v="0"/>
    <n v="0"/>
    <x v="1"/>
  </r>
  <r>
    <x v="6164"/>
    <x v="1823"/>
    <x v="54"/>
    <s v="Argentina"/>
    <s v="Ecuador"/>
    <n v="1"/>
    <n v="0"/>
    <s v="FIFA World Cup qualification"/>
    <s v="Buenos Aires"/>
    <s v="Argentina"/>
    <b v="0"/>
    <n v="2023"/>
    <n v="649461687959"/>
    <n v="121147057000"/>
    <x v="0"/>
    <n v="1"/>
    <x v="2"/>
  </r>
  <r>
    <x v="6165"/>
    <x v="1824"/>
    <x v="54"/>
    <s v="Uruguay"/>
    <s v="Chile"/>
    <n v="3"/>
    <n v="1"/>
    <s v="FIFA World Cup qualification"/>
    <s v="Montevideo"/>
    <s v="Uruguay"/>
    <b v="0"/>
    <n v="2023"/>
    <n v="77991666837"/>
    <n v="335518054097"/>
    <x v="0"/>
    <n v="-1"/>
    <x v="0"/>
  </r>
  <r>
    <x v="6166"/>
    <x v="1824"/>
    <x v="54"/>
    <s v="Brazil"/>
    <s v="Bolivia"/>
    <n v="5"/>
    <n v="1"/>
    <s v="FIFA World Cup qualification"/>
    <s v="Bel√©m"/>
    <s v="Brazil"/>
    <b v="0"/>
    <n v="2023"/>
    <n v="2191131869706"/>
    <n v="52340206946"/>
    <x v="0"/>
    <n v="1"/>
    <x v="2"/>
  </r>
  <r>
    <x v="6167"/>
    <x v="1825"/>
    <x v="54"/>
    <s v="Bolivia"/>
    <s v="Argentina"/>
    <n v="0"/>
    <n v="3"/>
    <s v="FIFA World Cup qualification"/>
    <s v="La Paz"/>
    <s v="Bolivia"/>
    <b v="0"/>
    <n v="2023"/>
    <n v="52340206946"/>
    <n v="649461687959"/>
    <x v="0"/>
    <n v="1"/>
    <x v="2"/>
  </r>
  <r>
    <x v="6168"/>
    <x v="1825"/>
    <x v="54"/>
    <s v="Ecuador"/>
    <s v="Uruguay"/>
    <n v="2"/>
    <n v="1"/>
    <s v="FIFA World Cup qualification"/>
    <s v="Quito"/>
    <s v="Ecuador"/>
    <b v="0"/>
    <n v="2023"/>
    <n v="121147057000"/>
    <n v="77991666837"/>
    <x v="1"/>
    <n v="1"/>
    <x v="2"/>
  </r>
  <r>
    <x v="6169"/>
    <x v="1825"/>
    <x v="54"/>
    <s v="Venezuela"/>
    <s v="Paraguay"/>
    <n v="1"/>
    <n v="0"/>
    <s v="FIFA World Cup qualification"/>
    <s v="Matur√≠n"/>
    <s v="Venezuela"/>
    <b v="0"/>
    <n v="2023"/>
    <n v="102376526555"/>
    <n v="43118053174"/>
    <x v="0"/>
    <n v="1"/>
    <x v="2"/>
  </r>
  <r>
    <x v="6170"/>
    <x v="1825"/>
    <x v="54"/>
    <s v="Peru"/>
    <s v="Brazil"/>
    <n v="0"/>
    <n v="1"/>
    <s v="FIFA World Cup qualification"/>
    <s v="Lima"/>
    <s v="Peru"/>
    <b v="0"/>
    <n v="2023"/>
    <n v="266958720837"/>
    <n v="2191131869706"/>
    <x v="0"/>
    <n v="1"/>
    <x v="2"/>
  </r>
  <r>
    <x v="6171"/>
    <x v="1825"/>
    <x v="54"/>
    <s v="Chile"/>
    <s v="Colombia"/>
    <n v="0"/>
    <n v="0"/>
    <s v="FIFA World Cup qualification"/>
    <s v="Santiago"/>
    <s v="Chile"/>
    <b v="0"/>
    <n v="2023"/>
    <n v="335518054097"/>
    <n v="366291836137"/>
    <x v="1"/>
    <n v="0"/>
    <x v="1"/>
  </r>
  <r>
    <x v="6172"/>
    <x v="1826"/>
    <x v="54"/>
    <s v="Colombia"/>
    <s v="Uruguay"/>
    <n v="2"/>
    <n v="2"/>
    <s v="FIFA World Cup qualification"/>
    <s v="Barranquilla"/>
    <s v="Colombia"/>
    <b v="0"/>
    <n v="2023"/>
    <n v="366291836137"/>
    <n v="77991666837"/>
    <x v="0"/>
    <n v="0"/>
    <x v="1"/>
  </r>
  <r>
    <x v="6173"/>
    <x v="1826"/>
    <x v="54"/>
    <s v="Bolivia"/>
    <s v="Ecuador"/>
    <n v="1"/>
    <n v="2"/>
    <s v="FIFA World Cup qualification"/>
    <s v="La Paz"/>
    <s v="Bolivia"/>
    <b v="0"/>
    <n v="2023"/>
    <n v="52340206946"/>
    <n v="121147057000"/>
    <x v="0"/>
    <n v="1"/>
    <x v="2"/>
  </r>
  <r>
    <x v="6174"/>
    <x v="1826"/>
    <x v="54"/>
    <s v="Argentina"/>
    <s v="Paraguay"/>
    <n v="1"/>
    <n v="0"/>
    <s v="FIFA World Cup qualification"/>
    <s v="Buenos Aires"/>
    <s v="Argentina"/>
    <b v="0"/>
    <n v="2023"/>
    <n v="649461687959"/>
    <n v="43118053174"/>
    <x v="0"/>
    <n v="1"/>
    <x v="2"/>
  </r>
  <r>
    <x v="6175"/>
    <x v="1826"/>
    <x v="54"/>
    <s v="Brazil"/>
    <s v="Venezuela"/>
    <n v="1"/>
    <n v="1"/>
    <s v="FIFA World Cup qualification"/>
    <s v="Cuiab√°"/>
    <s v="Brazil"/>
    <b v="0"/>
    <n v="2023"/>
    <n v="2191131869706"/>
    <n v="102376526555"/>
    <x v="0"/>
    <n v="0"/>
    <x v="1"/>
  </r>
  <r>
    <x v="6176"/>
    <x v="1826"/>
    <x v="54"/>
    <s v="Chile"/>
    <s v="Peru"/>
    <n v="2"/>
    <n v="0"/>
    <s v="FIFA World Cup qualification"/>
    <s v="Santiago"/>
    <s v="Chile"/>
    <b v="0"/>
    <n v="2023"/>
    <n v="335518054097"/>
    <n v="266958720837"/>
    <x v="1"/>
    <n v="1"/>
    <x v="2"/>
  </r>
  <r>
    <x v="6177"/>
    <x v="1826"/>
    <x v="54"/>
    <s v="Afghanistan"/>
    <s v="Mongolia"/>
    <n v="1"/>
    <n v="0"/>
    <s v="FIFA World Cup qualification"/>
    <s v="Dushanbe"/>
    <s v="Tajikistan"/>
    <b v="1"/>
    <n v="2023"/>
    <n v="17152234636"/>
    <n v="20325121393"/>
    <x v="1"/>
    <n v="-1"/>
    <x v="0"/>
  </r>
  <r>
    <x v="6178"/>
    <x v="1826"/>
    <x v="54"/>
    <s v="Cambodia"/>
    <s v="Pakistan"/>
    <n v="0"/>
    <n v="0"/>
    <s v="FIFA World Cup qualification"/>
    <s v="Phnom Penh"/>
    <s v="Cambodia"/>
    <b v="0"/>
    <n v="2023"/>
    <n v="42335646895"/>
    <n v="336686348609"/>
    <x v="0"/>
    <n v="0"/>
    <x v="1"/>
  </r>
  <r>
    <x v="6179"/>
    <x v="1826"/>
    <x v="54"/>
    <s v="Maldives"/>
    <s v="Bangladesh"/>
    <n v="1"/>
    <n v="1"/>
    <s v="FIFA World Cup qualification"/>
    <s v="Mal√©"/>
    <s v="Maldives"/>
    <b v="0"/>
    <n v="2023"/>
    <n v="6621008703"/>
    <n v="437415333018"/>
    <x v="0"/>
    <n v="0"/>
    <x v="1"/>
  </r>
  <r>
    <x v="6180"/>
    <x v="1827"/>
    <x v="54"/>
    <s v="Venezuela"/>
    <s v="Chile"/>
    <n v="3"/>
    <n v="0"/>
    <s v="FIFA World Cup qualification"/>
    <s v="Matur√≠n"/>
    <s v="Venezuela"/>
    <b v="0"/>
    <n v="2023"/>
    <n v="102376526555"/>
    <n v="335518054097"/>
    <x v="0"/>
    <n v="-1"/>
    <x v="0"/>
  </r>
  <r>
    <x v="6181"/>
    <x v="1827"/>
    <x v="54"/>
    <s v="Ecuador"/>
    <s v="Colombia"/>
    <n v="0"/>
    <n v="0"/>
    <s v="FIFA World Cup qualification"/>
    <s v="Quito"/>
    <s v="Ecuador"/>
    <b v="0"/>
    <n v="2023"/>
    <n v="121147057000"/>
    <n v="366291836137"/>
    <x v="0"/>
    <n v="0"/>
    <x v="1"/>
  </r>
  <r>
    <x v="6182"/>
    <x v="1827"/>
    <x v="54"/>
    <s v="Paraguay"/>
    <s v="Bolivia"/>
    <n v="1"/>
    <n v="0"/>
    <s v="FIFA World Cup qualification"/>
    <s v="Asunci√≥n"/>
    <s v="Paraguay"/>
    <b v="0"/>
    <n v="2023"/>
    <n v="43118053174"/>
    <n v="52340206946"/>
    <x v="1"/>
    <n v="-1"/>
    <x v="0"/>
  </r>
  <r>
    <x v="6183"/>
    <x v="1827"/>
    <x v="54"/>
    <s v="Peru"/>
    <s v="Argentina"/>
    <n v="0"/>
    <n v="2"/>
    <s v="FIFA World Cup qualification"/>
    <s v="Lima"/>
    <s v="Peru"/>
    <b v="0"/>
    <n v="2023"/>
    <n v="266958720837"/>
    <n v="649461687959"/>
    <x v="0"/>
    <n v="1"/>
    <x v="2"/>
  </r>
  <r>
    <x v="6184"/>
    <x v="1827"/>
    <x v="54"/>
    <s v="Uruguay"/>
    <s v="Brazil"/>
    <n v="2"/>
    <n v="0"/>
    <s v="FIFA World Cup qualification"/>
    <s v="Montevideo"/>
    <s v="Uruguay"/>
    <b v="0"/>
    <n v="2023"/>
    <n v="77991666837"/>
    <n v="2191131869706"/>
    <x v="0"/>
    <n v="-1"/>
    <x v="0"/>
  </r>
  <r>
    <x v="6185"/>
    <x v="1827"/>
    <x v="54"/>
    <s v="Bangladesh"/>
    <s v="Maldives"/>
    <n v="2"/>
    <n v="1"/>
    <s v="FIFA World Cup qualification"/>
    <s v="Dhaka"/>
    <s v="Bangladesh"/>
    <b v="0"/>
    <n v="2023"/>
    <n v="437415333018"/>
    <n v="6621008703"/>
    <x v="0"/>
    <n v="1"/>
    <x v="2"/>
  </r>
  <r>
    <x v="6186"/>
    <x v="1827"/>
    <x v="54"/>
    <s v="Mongolia"/>
    <s v="Afghanistan"/>
    <n v="0"/>
    <n v="1"/>
    <s v="FIFA World Cup qualification"/>
    <s v="Ulaanbaatar"/>
    <s v="Mongolia"/>
    <b v="0"/>
    <n v="2023"/>
    <n v="20325121393"/>
    <n v="17152234636"/>
    <x v="1"/>
    <n v="-1"/>
    <x v="0"/>
  </r>
  <r>
    <x v="6187"/>
    <x v="1827"/>
    <x v="54"/>
    <s v="Pakistan"/>
    <s v="Cambodia"/>
    <n v="1"/>
    <n v="0"/>
    <s v="FIFA World Cup qualification"/>
    <s v="Islamabad"/>
    <s v="Pakistan"/>
    <b v="0"/>
    <n v="2023"/>
    <n v="336686348609"/>
    <n v="42335646895"/>
    <x v="0"/>
    <n v="1"/>
    <x v="2"/>
  </r>
  <r>
    <x v="6188"/>
    <x v="1828"/>
    <x v="54"/>
    <s v="Ethiopia"/>
    <s v="Sierra Leone"/>
    <n v="0"/>
    <n v="0"/>
    <s v="FIFA World Cup qualification"/>
    <s v="El Jadida"/>
    <s v="Morocco"/>
    <b v="1"/>
    <n v="2023"/>
    <n v="135874093202"/>
    <n v="6415852766"/>
    <x v="0"/>
    <n v="0"/>
    <x v="1"/>
  </r>
  <r>
    <x v="6189"/>
    <x v="1828"/>
    <x v="54"/>
    <s v="Rwanda"/>
    <s v="Zimbabwe"/>
    <n v="0"/>
    <n v="0"/>
    <s v="FIFA World Cup qualification"/>
    <s v="Butare"/>
    <s v="Rwanda"/>
    <b v="0"/>
    <n v="2023"/>
    <n v="14331722703"/>
    <n v="35871779680"/>
    <x v="0"/>
    <n v="0"/>
    <x v="1"/>
  </r>
  <r>
    <x v="6190"/>
    <x v="1828"/>
    <x v="54"/>
    <s v="Equatorial Guinea"/>
    <s v="Namibia"/>
    <n v="0"/>
    <n v="3"/>
    <s v="FIFA World Cup qualification"/>
    <s v="Malabo"/>
    <s v="Equatorial Guinea"/>
    <b v="0"/>
    <n v="2023"/>
    <n v="12337550583"/>
    <n v="12408271449"/>
    <x v="1"/>
    <n v="1"/>
    <x v="2"/>
  </r>
  <r>
    <x v="6191"/>
    <x v="1829"/>
    <x v="54"/>
    <s v="Bolivia"/>
    <s v="Peru"/>
    <n v="2"/>
    <n v="0"/>
    <s v="FIFA World Cup qualification"/>
    <s v="La Paz"/>
    <s v="Bolivia"/>
    <b v="0"/>
    <n v="2023"/>
    <n v="52340206946"/>
    <n v="266958720837"/>
    <x v="0"/>
    <n v="-1"/>
    <x v="0"/>
  </r>
  <r>
    <x v="6192"/>
    <x v="1829"/>
    <x v="54"/>
    <s v="Venezuela"/>
    <s v="Ecuador"/>
    <n v="0"/>
    <n v="0"/>
    <s v="FIFA World Cup qualification"/>
    <s v="Matur√≠n"/>
    <s v="Venezuela"/>
    <b v="0"/>
    <n v="2023"/>
    <n v="102376526555"/>
    <n v="121147057000"/>
    <x v="1"/>
    <n v="0"/>
    <x v="1"/>
  </r>
  <r>
    <x v="6193"/>
    <x v="1829"/>
    <x v="54"/>
    <s v="Colombia"/>
    <s v="Brazil"/>
    <n v="2"/>
    <n v="1"/>
    <s v="FIFA World Cup qualification"/>
    <s v="Barranquilla"/>
    <s v="Colombia"/>
    <b v="0"/>
    <n v="2023"/>
    <n v="366291836137"/>
    <n v="2191131869706"/>
    <x v="0"/>
    <n v="-1"/>
    <x v="0"/>
  </r>
  <r>
    <x v="6194"/>
    <x v="1829"/>
    <x v="54"/>
    <s v="Argentina"/>
    <s v="Uruguay"/>
    <n v="0"/>
    <n v="2"/>
    <s v="FIFA World Cup qualification"/>
    <s v="Buenos Aires"/>
    <s v="Argentina"/>
    <b v="0"/>
    <n v="2023"/>
    <n v="649461687959"/>
    <n v="77991666837"/>
    <x v="0"/>
    <n v="-1"/>
    <x v="0"/>
  </r>
  <r>
    <x v="6195"/>
    <x v="1829"/>
    <x v="54"/>
    <s v="Chile"/>
    <s v="Paraguay"/>
    <n v="0"/>
    <n v="0"/>
    <s v="FIFA World Cup qualification"/>
    <s v="Santiago"/>
    <s v="Chile"/>
    <b v="0"/>
    <n v="2023"/>
    <n v="335518054097"/>
    <n v="43118053174"/>
    <x v="0"/>
    <n v="0"/>
    <x v="1"/>
  </r>
  <r>
    <x v="6196"/>
    <x v="1829"/>
    <x v="54"/>
    <s v="Qatar"/>
    <s v="Afghanistan"/>
    <n v="8"/>
    <n v="1"/>
    <s v="FIFA World Cup qualification"/>
    <s v="Al Rayyan"/>
    <s v="Qatar"/>
    <b v="0"/>
    <n v="2023"/>
    <n v="217308516483"/>
    <n v="17152234636"/>
    <x v="0"/>
    <n v="1"/>
    <x v="2"/>
  </r>
  <r>
    <x v="6197"/>
    <x v="1829"/>
    <x v="54"/>
    <s v="Kuwait"/>
    <s v="India"/>
    <n v="0"/>
    <n v="1"/>
    <s v="FIFA World Cup qualification"/>
    <s v="Kuwait City"/>
    <s v="Kuwait"/>
    <b v="0"/>
    <n v="2023"/>
    <n v="165384407116"/>
    <n v="3638489096033"/>
    <x v="0"/>
    <n v="1"/>
    <x v="2"/>
  </r>
  <r>
    <x v="6198"/>
    <x v="1829"/>
    <x v="54"/>
    <s v="Japan"/>
    <s v="Myanmar"/>
    <n v="5"/>
    <n v="0"/>
    <s v="FIFA World Cup qualification"/>
    <s v="Suita"/>
    <s v="Japan"/>
    <b v="0"/>
    <n v="2023"/>
    <n v="4213167237905"/>
    <n v="66757619000"/>
    <x v="0"/>
    <n v="1"/>
    <x v="2"/>
  </r>
  <r>
    <x v="6199"/>
    <x v="1829"/>
    <x v="54"/>
    <s v="South Korea"/>
    <s v="Singapore"/>
    <n v="5"/>
    <n v="0"/>
    <s v="FIFA World Cup qualification"/>
    <s v="Seoul"/>
    <s v="South Korea"/>
    <b v="0"/>
    <n v="2023"/>
    <n v="1844800934391"/>
    <n v="505439514078"/>
    <x v="0"/>
    <n v="1"/>
    <x v="2"/>
  </r>
  <r>
    <x v="6200"/>
    <x v="1829"/>
    <x v="54"/>
    <s v="Turkmenistan"/>
    <s v="Uzbekistan"/>
    <n v="1"/>
    <n v="3"/>
    <s v="FIFA World Cup qualification"/>
    <s v="Ashgabat"/>
    <s v="Turkmenistan"/>
    <b v="0"/>
    <n v="2023"/>
    <n v="45894538665"/>
    <n v="102641879248"/>
    <x v="0"/>
    <n v="1"/>
    <x v="2"/>
  </r>
  <r>
    <x v="6201"/>
    <x v="1829"/>
    <x v="54"/>
    <s v="Iraq"/>
    <s v="Indonesia"/>
    <n v="5"/>
    <n v="1"/>
    <s v="FIFA World Cup qualification"/>
    <s v="Basra"/>
    <s v="Iraq"/>
    <b v="0"/>
    <n v="2023"/>
    <n v="268881051643"/>
    <n v="1371169301563"/>
    <x v="0"/>
    <n v="-1"/>
    <x v="0"/>
  </r>
  <r>
    <x v="6202"/>
    <x v="1829"/>
    <x v="54"/>
    <s v="Philippines"/>
    <s v="Vietnam"/>
    <n v="0"/>
    <n v="2"/>
    <s v="FIFA World Cup qualification"/>
    <s v="Manila"/>
    <s v="Philippines"/>
    <b v="0"/>
    <n v="2023"/>
    <n v="437055627244"/>
    <n v="433857681378"/>
    <x v="1"/>
    <n v="-1"/>
    <x v="0"/>
  </r>
  <r>
    <x v="6203"/>
    <x v="1829"/>
    <x v="54"/>
    <s v="Tajikistan"/>
    <s v="Jordan"/>
    <n v="1"/>
    <n v="1"/>
    <s v="FIFA World Cup qualification"/>
    <s v="Dushanbe"/>
    <s v="Tajikistan"/>
    <b v="0"/>
    <n v="2023"/>
    <n v="12244169292"/>
    <n v="51088476338"/>
    <x v="0"/>
    <n v="0"/>
    <x v="1"/>
  </r>
  <r>
    <x v="6204"/>
    <x v="1829"/>
    <x v="54"/>
    <s v="Saudi Arabia"/>
    <s v="Pakistan"/>
    <n v="4"/>
    <n v="0"/>
    <s v="FIFA World Cup qualification"/>
    <s v="Al Hofuf"/>
    <s v="Saudi Arabia"/>
    <b v="0"/>
    <n v="2023"/>
    <n v="1218584533333"/>
    <n v="336686348609"/>
    <x v="0"/>
    <n v="1"/>
    <x v="2"/>
  </r>
  <r>
    <x v="6205"/>
    <x v="1829"/>
    <x v="54"/>
    <s v="United Arab Emirates"/>
    <s v="Nepal"/>
    <n v="4"/>
    <n v="0"/>
    <s v="FIFA World Cup qualification"/>
    <s v="Dubai"/>
    <s v="United Arab Emirates"/>
    <b v="0"/>
    <n v="2023"/>
    <n v="522622191967"/>
    <n v="41047772331"/>
    <x v="0"/>
    <n v="1"/>
    <x v="2"/>
  </r>
  <r>
    <x v="6206"/>
    <x v="1829"/>
    <x v="54"/>
    <s v="Australia"/>
    <s v="Bangladesh"/>
    <n v="7"/>
    <n v="0"/>
    <s v="FIFA World Cup qualification"/>
    <s v="Melbourne"/>
    <s v="Australia"/>
    <b v="0"/>
    <n v="2023"/>
    <n v="1734451264655"/>
    <n v="437415333018"/>
    <x v="0"/>
    <n v="1"/>
    <x v="2"/>
  </r>
  <r>
    <x v="6207"/>
    <x v="1829"/>
    <x v="54"/>
    <s v="Egypt"/>
    <s v="Djibouti"/>
    <n v="6"/>
    <n v="0"/>
    <s v="FIFA World Cup qualification"/>
    <s v="Cairo"/>
    <s v="Egypt"/>
    <b v="0"/>
    <n v="2023"/>
    <n v="395926075163"/>
    <n v="3898447007"/>
    <x v="0"/>
    <n v="1"/>
    <x v="2"/>
  </r>
  <r>
    <x v="6208"/>
    <x v="1829"/>
    <x v="54"/>
    <s v="Sudan"/>
    <s v="Togo"/>
    <n v="1"/>
    <n v="1"/>
    <s v="FIFA World Cup qualification"/>
    <s v="Benghazi"/>
    <s v="Libya"/>
    <b v="1"/>
    <n v="2023"/>
    <n v="39898289820"/>
    <n v="9816236302"/>
    <x v="0"/>
    <n v="0"/>
    <x v="1"/>
  </r>
  <r>
    <x v="6209"/>
    <x v="1829"/>
    <x v="54"/>
    <s v="Nigeria"/>
    <s v="Lesotho"/>
    <n v="1"/>
    <n v="1"/>
    <s v="FIFA World Cup qualification"/>
    <s v="Uyo"/>
    <s v="Nigeria"/>
    <b v="0"/>
    <n v="2023"/>
    <n v="487387801880"/>
    <n v="2117962445"/>
    <x v="0"/>
    <n v="0"/>
    <x v="1"/>
  </r>
  <r>
    <x v="6210"/>
    <x v="1829"/>
    <x v="54"/>
    <s v="Gabon"/>
    <s v="Kenya"/>
    <n v="2"/>
    <n v="1"/>
    <s v="FIFA World Cup qualification"/>
    <s v="Franceville"/>
    <s v="Gabon"/>
    <b v="0"/>
    <n v="2023"/>
    <n v="19388372070"/>
    <n v="107500884685"/>
    <x v="0"/>
    <n v="-1"/>
    <x v="0"/>
  </r>
  <r>
    <x v="6211"/>
    <x v="1829"/>
    <x v="54"/>
    <s v="Botswana"/>
    <s v="Mozambique"/>
    <n v="2"/>
    <n v="3"/>
    <s v="FIFA World Cup qualification"/>
    <s v="Francistown"/>
    <s v="Botswana"/>
    <b v="0"/>
    <n v="2023"/>
    <n v="19411266967"/>
    <n v="20921079532"/>
    <x v="1"/>
    <n v="1"/>
    <x v="2"/>
  </r>
  <r>
    <x v="6212"/>
    <x v="1830"/>
    <x v="54"/>
    <s v="Burkina Faso"/>
    <s v="Guinea-Bissau"/>
    <n v="1"/>
    <n v="1"/>
    <s v="FIFA World Cup qualification"/>
    <s v="Marrakech"/>
    <s v="Morocco"/>
    <b v="1"/>
    <n v="2023"/>
    <n v="20112614449"/>
    <n v="2127688181"/>
    <x v="0"/>
    <n v="0"/>
    <x v="1"/>
  </r>
  <r>
    <x v="6213"/>
    <x v="1830"/>
    <x v="54"/>
    <s v="Eswatini"/>
    <s v="Libya"/>
    <n v="0"/>
    <n v="1"/>
    <s v="FIFA World Cup qualification"/>
    <s v="Mbombela"/>
    <s v="South Africa"/>
    <b v="1"/>
    <n v="2023"/>
    <n v="4621191261"/>
    <n v="44027664915"/>
    <x v="0"/>
    <n v="1"/>
    <x v="2"/>
  </r>
  <r>
    <x v="6214"/>
    <x v="1830"/>
    <x v="54"/>
    <s v="Cameroon"/>
    <s v="Mauritius"/>
    <n v="3"/>
    <n v="0"/>
    <s v="FIFA World Cup qualification"/>
    <s v="Douala"/>
    <s v="Cameroon"/>
    <b v="0"/>
    <n v="2023"/>
    <n v="48814501547"/>
    <n v="14072212290"/>
    <x v="0"/>
    <n v="1"/>
    <x v="2"/>
  </r>
  <r>
    <x v="6215"/>
    <x v="1830"/>
    <x v="54"/>
    <s v="Guinea"/>
    <s v="Uganda"/>
    <n v="2"/>
    <n v="1"/>
    <s v="FIFA World Cup qualification"/>
    <s v="Berkane"/>
    <s v="Morocco"/>
    <b v="1"/>
    <n v="2023"/>
    <n v="22407615556"/>
    <n v="48768955863"/>
    <x v="0"/>
    <n v="-1"/>
    <x v="0"/>
  </r>
  <r>
    <x v="6216"/>
    <x v="1830"/>
    <x v="54"/>
    <s v="Liberia"/>
    <s v="Malawi"/>
    <n v="0"/>
    <n v="1"/>
    <s v="FIFA World Cup qualification"/>
    <s v="Monrovia"/>
    <s v="Liberia"/>
    <b v="0"/>
    <n v="2023"/>
    <n v="4390000000"/>
    <n v="13363669672"/>
    <x v="0"/>
    <n v="1"/>
    <x v="2"/>
  </r>
  <r>
    <x v="6217"/>
    <x v="1830"/>
    <x v="54"/>
    <s v="Comoros"/>
    <s v="Central African Republic"/>
    <n v="4"/>
    <n v="2"/>
    <s v="FIFA World Cup qualification"/>
    <s v="Moroni"/>
    <s v="Comoros"/>
    <b v="0"/>
    <n v="2023"/>
    <n v="1326836543"/>
    <n v="2555492085"/>
    <x v="1"/>
    <n v="-1"/>
    <x v="0"/>
  </r>
  <r>
    <x v="6218"/>
    <x v="1830"/>
    <x v="54"/>
    <s v="Ghana"/>
    <s v="Madagascar"/>
    <n v="1"/>
    <n v="0"/>
    <s v="FIFA World Cup qualification"/>
    <s v="Kumasi"/>
    <s v="Ghana"/>
    <b v="0"/>
    <n v="2023"/>
    <n v="80547146878"/>
    <n v="15869945477"/>
    <x v="0"/>
    <n v="1"/>
    <x v="2"/>
  </r>
  <r>
    <x v="6219"/>
    <x v="1830"/>
    <x v="54"/>
    <s v="Mali"/>
    <s v="Chad"/>
    <n v="3"/>
    <n v="1"/>
    <s v="FIFA World Cup qualification"/>
    <s v="Bamako"/>
    <s v="Mali"/>
    <b v="0"/>
    <n v="2023"/>
    <n v="24813860598"/>
    <n v="18340233748"/>
    <x v="1"/>
    <n v="1"/>
    <x v="2"/>
  </r>
  <r>
    <x v="6220"/>
    <x v="1831"/>
    <x v="54"/>
    <s v="South Africa"/>
    <s v="Benin"/>
    <n v="2"/>
    <n v="1"/>
    <s v="FIFA World Cup qualification"/>
    <s v="Durban"/>
    <s v="South Africa"/>
    <b v="0"/>
    <n v="2023"/>
    <n v="381440724491"/>
    <n v="19673291004"/>
    <x v="0"/>
    <n v="1"/>
    <x v="2"/>
  </r>
  <r>
    <x v="6221"/>
    <x v="1831"/>
    <x v="54"/>
    <s v="Niger"/>
    <s v="Tanzania"/>
    <n v="0"/>
    <n v="1"/>
    <s v="FIFA World Cup qualification"/>
    <s v="Marrakech"/>
    <s v="Morocco"/>
    <b v="1"/>
    <n v="2023"/>
    <n v="16698786977"/>
    <n v="79030935627"/>
    <x v="0"/>
    <n v="1"/>
    <x v="2"/>
  </r>
  <r>
    <x v="6222"/>
    <x v="1832"/>
    <x v="54"/>
    <s v="Sierra Leone"/>
    <s v="Egypt"/>
    <n v="0"/>
    <n v="2"/>
    <s v="FIFA World Cup qualification"/>
    <s v="Monrovia"/>
    <s v="Liberia"/>
    <b v="1"/>
    <n v="2023"/>
    <n v="6415852766"/>
    <n v="395926075163"/>
    <x v="0"/>
    <n v="1"/>
    <x v="2"/>
  </r>
  <r>
    <x v="6223"/>
    <x v="1832"/>
    <x v="54"/>
    <s v="Zimbabwe"/>
    <s v="Nigeria"/>
    <n v="1"/>
    <n v="1"/>
    <s v="FIFA World Cup qualification"/>
    <s v="Butare"/>
    <s v="Rwanda"/>
    <b v="1"/>
    <n v="2023"/>
    <n v="35871779680"/>
    <n v="487387801880"/>
    <x v="0"/>
    <n v="0"/>
    <x v="1"/>
  </r>
  <r>
    <x v="6224"/>
    <x v="1832"/>
    <x v="54"/>
    <s v="Burundi"/>
    <s v="Gabon"/>
    <n v="1"/>
    <n v="2"/>
    <s v="FIFA World Cup qualification"/>
    <s v="Dar es Salaam"/>
    <s v="Tanzania"/>
    <b v="1"/>
    <n v="2023"/>
    <n v="3430949249"/>
    <n v="19388372070"/>
    <x v="0"/>
    <n v="1"/>
    <x v="2"/>
  </r>
  <r>
    <x v="6225"/>
    <x v="1832"/>
    <x v="54"/>
    <s v="Mozambique"/>
    <s v="Algeria"/>
    <n v="0"/>
    <n v="2"/>
    <s v="FIFA World Cup qualification"/>
    <s v="Maputo"/>
    <s v="Mozambique"/>
    <b v="0"/>
    <n v="2023"/>
    <n v="20921079532"/>
    <n v="247923887214"/>
    <x v="0"/>
    <n v="1"/>
    <x v="2"/>
  </r>
  <r>
    <x v="6226"/>
    <x v="1833"/>
    <x v="54"/>
    <s v="Djibouti"/>
    <s v="Guinea-Bissau"/>
    <n v="0"/>
    <n v="1"/>
    <s v="FIFA World Cup qualification"/>
    <s v="Cairo"/>
    <s v="Egypt"/>
    <b v="1"/>
    <n v="2023"/>
    <n v="3898447007"/>
    <n v="2127688181"/>
    <x v="1"/>
    <n v="-1"/>
    <x v="0"/>
  </r>
  <r>
    <x v="6227"/>
    <x v="1833"/>
    <x v="54"/>
    <s v="Seychelles"/>
    <s v="Kenya"/>
    <n v="0"/>
    <n v="5"/>
    <s v="FIFA World Cup qualification"/>
    <s v="Abidjan"/>
    <s v="Ivory Coast"/>
    <b v="1"/>
    <n v="2023"/>
    <n v="2187379754"/>
    <n v="107500884685"/>
    <x v="0"/>
    <n v="1"/>
    <x v="2"/>
  </r>
  <r>
    <x v="6228"/>
    <x v="1833"/>
    <x v="54"/>
    <s v="Liberia"/>
    <s v="Equatorial Guinea"/>
    <n v="3"/>
    <n v="0"/>
    <s v="FIFA World Cup qualification"/>
    <s v="Monrovia"/>
    <s v="Liberia"/>
    <b v="0"/>
    <n v="2023"/>
    <n v="4390000000"/>
    <n v="12337550583"/>
    <x v="0"/>
    <n v="-1"/>
    <x v="0"/>
  </r>
  <r>
    <x v="6229"/>
    <x v="1833"/>
    <x v="54"/>
    <s v="Mali"/>
    <s v="Central African Republic"/>
    <n v="1"/>
    <n v="1"/>
    <s v="FIFA World Cup qualification"/>
    <s v="Bamako"/>
    <s v="Mali"/>
    <b v="0"/>
    <n v="2023"/>
    <n v="24813860598"/>
    <n v="2555492085"/>
    <x v="0"/>
    <n v="0"/>
    <x v="1"/>
  </r>
  <r>
    <x v="6230"/>
    <x v="1833"/>
    <x v="54"/>
    <s v="Chad"/>
    <s v="Madagascar"/>
    <n v="0"/>
    <n v="3"/>
    <s v="FIFA World Cup qualification"/>
    <s v="Oujda"/>
    <s v="Morocco"/>
    <b v="1"/>
    <n v="2023"/>
    <n v="18340233748"/>
    <n v="15869945477"/>
    <x v="1"/>
    <n v="-1"/>
    <x v="0"/>
  </r>
  <r>
    <x v="6231"/>
    <x v="1834"/>
    <x v="54"/>
    <s v="Ecuador"/>
    <s v="Chile"/>
    <n v="1"/>
    <n v="0"/>
    <s v="FIFA World Cup qualification"/>
    <s v="Quito"/>
    <s v="Ecuador"/>
    <b v="0"/>
    <n v="2023"/>
    <n v="121147057000"/>
    <n v="335518054097"/>
    <x v="0"/>
    <n v="-1"/>
    <x v="0"/>
  </r>
  <r>
    <x v="6232"/>
    <x v="1834"/>
    <x v="54"/>
    <s v="Paraguay"/>
    <s v="Colombia"/>
    <n v="0"/>
    <n v="1"/>
    <s v="FIFA World Cup qualification"/>
    <s v="Asunci√≥n"/>
    <s v="Paraguay"/>
    <b v="0"/>
    <n v="2023"/>
    <n v="43118053174"/>
    <n v="366291836137"/>
    <x v="0"/>
    <n v="1"/>
    <x v="2"/>
  </r>
  <r>
    <x v="6233"/>
    <x v="1834"/>
    <x v="54"/>
    <s v="Uruguay"/>
    <s v="Bolivia"/>
    <n v="3"/>
    <n v="0"/>
    <s v="FIFA World Cup qualification"/>
    <s v="Montevideo"/>
    <s v="Uruguay"/>
    <b v="0"/>
    <n v="2023"/>
    <n v="77991666837"/>
    <n v="52340206946"/>
    <x v="1"/>
    <n v="1"/>
    <x v="2"/>
  </r>
  <r>
    <x v="6234"/>
    <x v="1834"/>
    <x v="54"/>
    <s v="Peru"/>
    <s v="Venezuela"/>
    <n v="1"/>
    <n v="1"/>
    <s v="FIFA World Cup qualification"/>
    <s v="Lima"/>
    <s v="Peru"/>
    <b v="0"/>
    <n v="2023"/>
    <n v="266958720837"/>
    <n v="102376526555"/>
    <x v="0"/>
    <n v="0"/>
    <x v="1"/>
  </r>
  <r>
    <x v="6235"/>
    <x v="1834"/>
    <x v="54"/>
    <s v="Brazil"/>
    <s v="Argentina"/>
    <n v="0"/>
    <n v="1"/>
    <s v="FIFA World Cup qualification"/>
    <s v="Rio de Janeiro"/>
    <s v="Brazil"/>
    <b v="0"/>
    <n v="2023"/>
    <n v="2191131869706"/>
    <n v="649461687959"/>
    <x v="0"/>
    <n v="-1"/>
    <x v="0"/>
  </r>
  <r>
    <x v="6236"/>
    <x v="1834"/>
    <x v="54"/>
    <s v="India"/>
    <s v="Qatar"/>
    <n v="0"/>
    <n v="3"/>
    <s v="FIFA World Cup qualification"/>
    <s v="Bhubaneswar"/>
    <s v="India"/>
    <b v="0"/>
    <n v="2023"/>
    <n v="3638489096033"/>
    <n v="217308516483"/>
    <x v="0"/>
    <n v="-1"/>
    <x v="0"/>
  </r>
  <r>
    <x v="6237"/>
    <x v="1834"/>
    <x v="54"/>
    <s v="Afghanistan"/>
    <s v="Kuwait"/>
    <n v="0"/>
    <n v="4"/>
    <s v="FIFA World Cup qualification"/>
    <s v="Dammam"/>
    <s v="Saudi Arabia"/>
    <b v="1"/>
    <n v="2023"/>
    <n v="17152234636"/>
    <n v="165384407116"/>
    <x v="0"/>
    <n v="1"/>
    <x v="2"/>
  </r>
  <r>
    <x v="6238"/>
    <x v="1834"/>
    <x v="54"/>
    <s v="Singapore"/>
    <s v="Thailand"/>
    <n v="1"/>
    <n v="3"/>
    <s v="FIFA World Cup qualification"/>
    <s v="Kallang"/>
    <s v="Singapore"/>
    <b v="0"/>
    <n v="2023"/>
    <n v="505439514078"/>
    <n v="515906283940"/>
    <x v="1"/>
    <n v="1"/>
    <x v="2"/>
  </r>
  <r>
    <x v="6239"/>
    <x v="1834"/>
    <x v="54"/>
    <s v="Uzbekistan"/>
    <s v="Iran"/>
    <n v="2"/>
    <n v="2"/>
    <s v="FIFA World Cup qualification"/>
    <s v="Tashkent"/>
    <s v="Uzbekistan"/>
    <b v="0"/>
    <n v="2023"/>
    <n v="102641879248"/>
    <n v="457510482317"/>
    <x v="0"/>
    <n v="0"/>
    <x v="1"/>
  </r>
  <r>
    <x v="6240"/>
    <x v="1834"/>
    <x v="54"/>
    <s v="Philippines"/>
    <s v="Indonesia"/>
    <n v="1"/>
    <n v="1"/>
    <s v="FIFA World Cup qualification"/>
    <s v="Manila"/>
    <s v="Philippines"/>
    <b v="0"/>
    <n v="2023"/>
    <n v="437055627244"/>
    <n v="1371169301563"/>
    <x v="0"/>
    <n v="0"/>
    <x v="1"/>
  </r>
  <r>
    <x v="6241"/>
    <x v="1834"/>
    <x v="54"/>
    <s v="Vietnam"/>
    <s v="Iraq"/>
    <n v="0"/>
    <n v="1"/>
    <s v="FIFA World Cup qualification"/>
    <s v="Hanoi"/>
    <s v="Vietnam"/>
    <b v="0"/>
    <n v="2023"/>
    <n v="433857681378"/>
    <n v="268881051643"/>
    <x v="1"/>
    <n v="-1"/>
    <x v="0"/>
  </r>
  <r>
    <x v="6242"/>
    <x v="1834"/>
    <x v="54"/>
    <s v="Pakistan"/>
    <s v="Tajikistan"/>
    <n v="1"/>
    <n v="6"/>
    <s v="FIFA World Cup qualification"/>
    <s v="Islamabad"/>
    <s v="Pakistan"/>
    <b v="0"/>
    <n v="2023"/>
    <n v="336686348609"/>
    <n v="12244169292"/>
    <x v="0"/>
    <n v="-1"/>
    <x v="0"/>
  </r>
  <r>
    <x v="6243"/>
    <x v="1834"/>
    <x v="54"/>
    <s v="Jordan"/>
    <s v="Saudi Arabia"/>
    <n v="0"/>
    <n v="2"/>
    <s v="FIFA World Cup qualification"/>
    <s v="Amman"/>
    <s v="Jordan"/>
    <b v="0"/>
    <n v="2023"/>
    <n v="51088476338"/>
    <n v="1218584533333"/>
    <x v="0"/>
    <n v="1"/>
    <x v="2"/>
  </r>
  <r>
    <x v="6244"/>
    <x v="1834"/>
    <x v="54"/>
    <s v="Bahrain"/>
    <s v="United Arab Emirates"/>
    <n v="0"/>
    <n v="2"/>
    <s v="FIFA World Cup qualification"/>
    <s v="Riffa"/>
    <s v="Bahrain"/>
    <b v="0"/>
    <n v="2023"/>
    <n v="46192260638"/>
    <n v="522622191967"/>
    <x v="0"/>
    <n v="1"/>
    <x v="2"/>
  </r>
  <r>
    <x v="6245"/>
    <x v="1834"/>
    <x v="54"/>
    <s v="Bangladesh"/>
    <s v="Lebanon"/>
    <n v="1"/>
    <n v="1"/>
    <s v="FIFA World Cup qualification"/>
    <s v="Dhaka"/>
    <s v="Bangladesh"/>
    <b v="0"/>
    <n v="2023"/>
    <n v="437415333018"/>
    <n v="20078620356"/>
    <x v="0"/>
    <n v="0"/>
    <x v="1"/>
  </r>
  <r>
    <x v="6246"/>
    <x v="1834"/>
    <x v="54"/>
    <s v="Ethiopia"/>
    <s v="Burkina Faso"/>
    <n v="0"/>
    <n v="3"/>
    <s v="FIFA World Cup qualification"/>
    <s v="El Jadida"/>
    <s v="Morocco"/>
    <b v="1"/>
    <n v="2023"/>
    <n v="135874093202"/>
    <n v="20112614449"/>
    <x v="0"/>
    <n v="-1"/>
    <x v="0"/>
  </r>
  <r>
    <x v="6247"/>
    <x v="1834"/>
    <x v="54"/>
    <s v="Togo"/>
    <s v="Senegal"/>
    <n v="0"/>
    <n v="0"/>
    <s v="FIFA World Cup qualification"/>
    <s v="Lom√©"/>
    <s v="Togo"/>
    <b v="0"/>
    <n v="2023"/>
    <n v="9816236302"/>
    <n v="30696331295"/>
    <x v="0"/>
    <n v="0"/>
    <x v="1"/>
  </r>
  <r>
    <x v="6248"/>
    <x v="1834"/>
    <x v="54"/>
    <s v="Lesotho"/>
    <s v="Benin"/>
    <n v="0"/>
    <n v="0"/>
    <s v="FIFA World Cup qualification"/>
    <s v="Durban"/>
    <s v="South Africa"/>
    <b v="1"/>
    <n v="2023"/>
    <n v="2117962445"/>
    <n v="19673291004"/>
    <x v="0"/>
    <n v="0"/>
    <x v="1"/>
  </r>
  <r>
    <x v="6249"/>
    <x v="1834"/>
    <x v="54"/>
    <s v="Rwanda"/>
    <s v="South Africa"/>
    <n v="2"/>
    <n v="0"/>
    <s v="FIFA World Cup qualification"/>
    <s v="Butare"/>
    <s v="Rwanda"/>
    <b v="0"/>
    <n v="2023"/>
    <n v="14331722703"/>
    <n v="381440724491"/>
    <x v="0"/>
    <n v="-1"/>
    <x v="0"/>
  </r>
  <r>
    <x v="6250"/>
    <x v="1834"/>
    <x v="54"/>
    <s v="Libya"/>
    <s v="Cameroon"/>
    <n v="1"/>
    <n v="1"/>
    <s v="FIFA World Cup qualification"/>
    <s v="Benghazi"/>
    <s v="Libya"/>
    <b v="0"/>
    <n v="2023"/>
    <n v="44027664915"/>
    <n v="48814501547"/>
    <x v="1"/>
    <n v="0"/>
    <x v="1"/>
  </r>
  <r>
    <x v="6251"/>
    <x v="1834"/>
    <x v="54"/>
    <s v="Mauritius"/>
    <s v="Angola"/>
    <n v="0"/>
    <n v="0"/>
    <s v="FIFA World Cup qualification"/>
    <s v="Saint Pierre"/>
    <s v="Mauritius"/>
    <b v="0"/>
    <n v="2023"/>
    <n v="14072212290"/>
    <n v="107167747140"/>
    <x v="0"/>
    <n v="0"/>
    <x v="1"/>
  </r>
  <r>
    <x v="6252"/>
    <x v="1834"/>
    <x v="54"/>
    <s v="Niger"/>
    <s v="Zambia"/>
    <n v="2"/>
    <n v="1"/>
    <s v="FIFA World Cup qualification"/>
    <s v="Marrakech"/>
    <s v="Morocco"/>
    <b v="1"/>
    <n v="2023"/>
    <n v="16698786977"/>
    <n v="27577956471"/>
    <x v="1"/>
    <n v="-1"/>
    <x v="0"/>
  </r>
  <r>
    <x v="6253"/>
    <x v="1834"/>
    <x v="54"/>
    <s v="Tanzania"/>
    <s v="Morocco"/>
    <n v="0"/>
    <n v="2"/>
    <s v="FIFA World Cup qualification"/>
    <s v="Dar es Salaam"/>
    <s v="Tanzania"/>
    <b v="0"/>
    <n v="2023"/>
    <n v="79030935627"/>
    <n v="146036093666"/>
    <x v="1"/>
    <n v="1"/>
    <x v="2"/>
  </r>
  <r>
    <x v="6254"/>
    <x v="1834"/>
    <x v="54"/>
    <s v="Botswana"/>
    <s v="Guinea"/>
    <n v="1"/>
    <n v="0"/>
    <s v="FIFA World Cup qualification"/>
    <s v="Francistown"/>
    <s v="Botswana"/>
    <b v="0"/>
    <n v="2023"/>
    <n v="19411266967"/>
    <n v="22407615556"/>
    <x v="1"/>
    <n v="-1"/>
    <x v="0"/>
  </r>
  <r>
    <x v="6255"/>
    <x v="1834"/>
    <x v="54"/>
    <s v="Malawi"/>
    <s v="Tunisia"/>
    <n v="0"/>
    <n v="1"/>
    <s v="FIFA World Cup qualification"/>
    <s v="Lilongwe"/>
    <s v="Malawi"/>
    <b v="0"/>
    <n v="2023"/>
    <n v="13363669672"/>
    <n v="48205328303"/>
    <x v="0"/>
    <n v="1"/>
    <x v="2"/>
  </r>
  <r>
    <x v="6256"/>
    <x v="1834"/>
    <x v="54"/>
    <s v="Comoros"/>
    <s v="Ghana"/>
    <n v="1"/>
    <n v="0"/>
    <s v="FIFA World Cup qualification"/>
    <s v="Moroni"/>
    <s v="Comoros"/>
    <b v="0"/>
    <n v="2023"/>
    <n v="1326836543"/>
    <n v="80547146878"/>
    <x v="0"/>
    <n v="-1"/>
    <x v="0"/>
  </r>
  <r>
    <x v="6257"/>
    <x v="1835"/>
    <x v="55"/>
    <s v="Qatar"/>
    <s v="Kuwait"/>
    <n v="3"/>
    <n v="0"/>
    <s v="FIFA World Cup qualification"/>
    <s v="Doha"/>
    <s v="Qatar"/>
    <b v="0"/>
    <n v="2024"/>
    <n v="219162637362"/>
    <n v="160227273053"/>
    <x v="1"/>
    <n v="1"/>
    <x v="2"/>
  </r>
  <r>
    <x v="6258"/>
    <x v="1835"/>
    <x v="55"/>
    <s v="South Korea"/>
    <s v="Thailand"/>
    <n v="1"/>
    <n v="1"/>
    <s v="FIFA World Cup qualification"/>
    <s v="Seoul"/>
    <s v="South Korea"/>
    <b v="0"/>
    <n v="2024"/>
    <n v="1875388209406"/>
    <n v="526517658841"/>
    <x v="0"/>
    <n v="0"/>
    <x v="1"/>
  </r>
  <r>
    <x v="6259"/>
    <x v="1835"/>
    <x v="55"/>
    <s v="Oman"/>
    <s v="Malaysia"/>
    <n v="2"/>
    <n v="0"/>
    <s v="FIFA World Cup qualification"/>
    <s v="Muscat"/>
    <s v="Oman"/>
    <b v="0"/>
    <n v="2024"/>
    <n v="107137198769"/>
    <n v="422227005428"/>
    <x v="0"/>
    <n v="-1"/>
    <x v="0"/>
  </r>
  <r>
    <x v="6260"/>
    <x v="1835"/>
    <x v="55"/>
    <s v="Iran"/>
    <s v="Turkmenistan"/>
    <n v="5"/>
    <n v="0"/>
    <s v="FIFA World Cup qualification"/>
    <s v="Tehran"/>
    <s v="Iran"/>
    <b v="0"/>
    <n v="2024"/>
    <n v="475252089215"/>
    <n v="51387209872"/>
    <x v="0"/>
    <n v="1"/>
    <x v="2"/>
  </r>
  <r>
    <x v="6261"/>
    <x v="1835"/>
    <x v="55"/>
    <s v="Indonesia"/>
    <s v="Vietnam"/>
    <n v="1"/>
    <n v="0"/>
    <s v="FIFA World Cup qualification"/>
    <s v="Jakarta"/>
    <s v="Indonesia"/>
    <b v="0"/>
    <n v="2024"/>
    <n v="1396300098190"/>
    <n v="476388230307"/>
    <x v="0"/>
    <n v="1"/>
    <x v="2"/>
  </r>
  <r>
    <x v="6262"/>
    <x v="1835"/>
    <x v="55"/>
    <s v="Iraq"/>
    <s v="Philippines"/>
    <n v="1"/>
    <n v="0"/>
    <s v="FIFA World Cup qualification"/>
    <s v="Basra"/>
    <s v="Iraq"/>
    <b v="0"/>
    <n v="2024"/>
    <n v="279641257615"/>
    <n v="461617509782"/>
    <x v="1"/>
    <n v="-1"/>
    <x v="0"/>
  </r>
  <r>
    <x v="6263"/>
    <x v="1835"/>
    <x v="55"/>
    <s v="Pakistan"/>
    <s v="Jordan"/>
    <n v="0"/>
    <n v="3"/>
    <s v="FIFA World Cup qualification"/>
    <s v="Islamabad"/>
    <s v="Pakistan"/>
    <b v="0"/>
    <n v="2024"/>
    <n v="371570000121"/>
    <n v="53352289577"/>
    <x v="0"/>
    <n v="-1"/>
    <x v="0"/>
  </r>
  <r>
    <x v="6264"/>
    <x v="1835"/>
    <x v="55"/>
    <s v="Saudi Arabia"/>
    <s v="Tajikistan"/>
    <n v="1"/>
    <n v="0"/>
    <s v="FIFA World Cup qualification"/>
    <s v="Riyadh"/>
    <s v="Saudi Arabia"/>
    <b v="0"/>
    <n v="2024"/>
    <n v="1239804533333"/>
    <n v="14204575548"/>
    <x v="0"/>
    <n v="1"/>
    <x v="2"/>
  </r>
  <r>
    <x v="6265"/>
    <x v="1835"/>
    <x v="55"/>
    <s v="Bahrain"/>
    <s v="Nepal"/>
    <n v="5"/>
    <n v="0"/>
    <s v="FIFA World Cup qualification"/>
    <s v="Riffa"/>
    <s v="Bahrain"/>
    <b v="0"/>
    <n v="2024"/>
    <n v="47109734308"/>
    <n v="42914268286"/>
    <x v="1"/>
    <n v="1"/>
    <x v="2"/>
  </r>
  <r>
    <x v="6266"/>
    <x v="1836"/>
    <x v="55"/>
    <s v="Kuwait"/>
    <s v="Qatar"/>
    <n v="1"/>
    <n v="2"/>
    <s v="FIFA World Cup qualification"/>
    <s v="Al Farwaniyah"/>
    <s v="Kuwait"/>
    <b v="0"/>
    <n v="2024"/>
    <n v="160227273053"/>
    <n v="219162637362"/>
    <x v="1"/>
    <n v="1"/>
    <x v="2"/>
  </r>
  <r>
    <x v="6267"/>
    <x v="1836"/>
    <x v="55"/>
    <s v="Thailand"/>
    <s v="South Korea"/>
    <n v="0"/>
    <n v="3"/>
    <s v="FIFA World Cup qualification"/>
    <s v="Bangkok"/>
    <s v="Thailand"/>
    <b v="0"/>
    <n v="2024"/>
    <n v="526517658841"/>
    <n v="1875388209406"/>
    <x v="0"/>
    <n v="1"/>
    <x v="2"/>
  </r>
  <r>
    <x v="6268"/>
    <x v="1836"/>
    <x v="55"/>
    <s v="Malaysia"/>
    <s v="Oman"/>
    <n v="0"/>
    <n v="2"/>
    <s v="FIFA World Cup qualification"/>
    <s v="Kuala Lumpur"/>
    <s v="Malaysia"/>
    <b v="0"/>
    <n v="2024"/>
    <n v="422227005428"/>
    <n v="107137198769"/>
    <x v="0"/>
    <n v="-1"/>
    <x v="0"/>
  </r>
  <r>
    <x v="6269"/>
    <x v="1836"/>
    <x v="55"/>
    <s v="Turkmenistan"/>
    <s v="Iran"/>
    <n v="0"/>
    <n v="1"/>
    <s v="FIFA World Cup qualification"/>
    <s v="Ashgabat"/>
    <s v="Turkmenistan"/>
    <b v="0"/>
    <n v="2024"/>
    <n v="51387209872"/>
    <n v="475252089215"/>
    <x v="0"/>
    <n v="1"/>
    <x v="2"/>
  </r>
  <r>
    <x v="6270"/>
    <x v="1836"/>
    <x v="55"/>
    <s v="Philippines"/>
    <s v="Iraq"/>
    <n v="0"/>
    <n v="5"/>
    <s v="FIFA World Cup qualification"/>
    <s v="Manila"/>
    <s v="Philippines"/>
    <b v="0"/>
    <n v="2024"/>
    <n v="461617509782"/>
    <n v="279641257615"/>
    <x v="1"/>
    <n v="-1"/>
    <x v="0"/>
  </r>
  <r>
    <x v="6271"/>
    <x v="1836"/>
    <x v="55"/>
    <s v="Vietnam"/>
    <s v="Indonesia"/>
    <n v="0"/>
    <n v="3"/>
    <s v="FIFA World Cup qualification"/>
    <s v="Hanoi"/>
    <s v="Vietnam"/>
    <b v="0"/>
    <n v="2024"/>
    <n v="476388230307"/>
    <n v="1396300098190"/>
    <x v="0"/>
    <n v="1"/>
    <x v="2"/>
  </r>
  <r>
    <x v="6272"/>
    <x v="1836"/>
    <x v="55"/>
    <s v="Tajikistan"/>
    <s v="Saudi Arabia"/>
    <n v="1"/>
    <n v="1"/>
    <s v="FIFA World Cup qualification"/>
    <s v="Dushanbe"/>
    <s v="Tajikistan"/>
    <b v="0"/>
    <n v="2024"/>
    <n v="14204575548"/>
    <n v="1239804533333"/>
    <x v="0"/>
    <n v="0"/>
    <x v="1"/>
  </r>
  <r>
    <x v="6273"/>
    <x v="1836"/>
    <x v="55"/>
    <s v="Jordan"/>
    <s v="Pakistan"/>
    <n v="7"/>
    <n v="0"/>
    <s v="FIFA World Cup qualification"/>
    <s v="Amman"/>
    <s v="Jordan"/>
    <b v="0"/>
    <n v="2024"/>
    <n v="53352289577"/>
    <n v="371570000121"/>
    <x v="0"/>
    <n v="-1"/>
    <x v="0"/>
  </r>
  <r>
    <x v="6274"/>
    <x v="1836"/>
    <x v="55"/>
    <s v="Bahrain"/>
    <s v="Nepal"/>
    <n v="3"/>
    <n v="0"/>
    <s v="FIFA World Cup qualification"/>
    <s v="Riffa"/>
    <s v="Bahrain"/>
    <b v="0"/>
    <n v="2024"/>
    <n v="47109734308"/>
    <n v="42914268286"/>
    <x v="1"/>
    <n v="1"/>
    <x v="2"/>
  </r>
  <r>
    <x v="6275"/>
    <x v="1837"/>
    <x v="55"/>
    <s v="Sierra Leone"/>
    <s v="Djibouti"/>
    <n v="2"/>
    <n v="1"/>
    <s v="FIFA World Cup qualification"/>
    <s v="El Jadida"/>
    <s v="Morocco"/>
    <b v="1"/>
    <n v="2024"/>
    <n v="6971127235"/>
    <n v="4152145939"/>
    <x v="1"/>
    <n v="1"/>
    <x v="2"/>
  </r>
  <r>
    <x v="6276"/>
    <x v="1837"/>
    <x v="55"/>
    <s v="Namibia"/>
    <s v="Liberia"/>
    <n v="1"/>
    <n v="1"/>
    <s v="FIFA World Cup qualification"/>
    <s v="Johannesburg"/>
    <s v="South Africa"/>
    <b v="1"/>
    <n v="2024"/>
    <n v="13372354511"/>
    <n v="4779300900"/>
    <x v="0"/>
    <n v="0"/>
    <x v="1"/>
  </r>
  <r>
    <x v="6277"/>
    <x v="1837"/>
    <x v="55"/>
    <s v="Tunisia"/>
    <s v="Equatorial Guinea"/>
    <n v="1"/>
    <n v="0"/>
    <s v="FIFA World Cup qualification"/>
    <s v="Rad√®s"/>
    <s v="Tunisia"/>
    <b v="0"/>
    <n v="2024"/>
    <n v="51332285656"/>
    <n v="12765777677"/>
    <x v="0"/>
    <n v="1"/>
    <x v="2"/>
  </r>
  <r>
    <x v="6278"/>
    <x v="1837"/>
    <x v="55"/>
    <s v="Central African Republic"/>
    <s v="Chad"/>
    <n v="1"/>
    <n v="0"/>
    <s v="FIFA World Cup qualification"/>
    <s v="Oujda"/>
    <s v="Morocco"/>
    <b v="1"/>
    <n v="2024"/>
    <n v="2751494281"/>
    <n v="19518819751"/>
    <x v="0"/>
    <n v="-1"/>
    <x v="0"/>
  </r>
  <r>
    <x v="6279"/>
    <x v="1837"/>
    <x v="55"/>
    <s v="Antigua and Barbuda"/>
    <s v="Bermuda"/>
    <n v="1"/>
    <n v="1"/>
    <s v="FIFA World Cup qualification"/>
    <s v="Piggotts"/>
    <s v="Antigua and Barbuda"/>
    <b v="0"/>
    <n v="2024"/>
    <n v="2207622874"/>
    <n v="9233600000"/>
    <x v="0"/>
    <n v="0"/>
    <x v="1"/>
  </r>
  <r>
    <x v="6280"/>
    <x v="1837"/>
    <x v="55"/>
    <s v="Trinidad and Tobago"/>
    <s v="Grenada"/>
    <n v="2"/>
    <n v="2"/>
    <s v="FIFA World Cup qualification"/>
    <s v="Port of Spain"/>
    <s v="Trinidad and Tobago"/>
    <b v="0"/>
    <n v="2024"/>
    <n v="25633544529"/>
    <n v="1371918518"/>
    <x v="0"/>
    <n v="0"/>
    <x v="1"/>
  </r>
  <r>
    <x v="6281"/>
    <x v="1837"/>
    <x v="55"/>
    <s v="Guatemala"/>
    <s v="Dominica"/>
    <n v="6"/>
    <n v="0"/>
    <s v="FIFA World Cup qualification"/>
    <s v="Guatemala City"/>
    <s v="Guatemala"/>
    <b v="0"/>
    <n v="2024"/>
    <n v="113199581158"/>
    <n v="688881481"/>
    <x v="0"/>
    <n v="1"/>
    <x v="2"/>
  </r>
  <r>
    <x v="6282"/>
    <x v="1838"/>
    <x v="55"/>
    <s v="Guinea-Bissau"/>
    <s v="Ethiopia"/>
    <n v="0"/>
    <n v="0"/>
    <s v="FIFA World Cup qualification"/>
    <s v="Bissau"/>
    <s v="Guinea-Bissau"/>
    <b v="0"/>
    <n v="2024"/>
    <n v="2218393804"/>
    <n v="149740297952"/>
    <x v="0"/>
    <n v="0"/>
    <x v="1"/>
  </r>
  <r>
    <x v="6283"/>
    <x v="1838"/>
    <x v="55"/>
    <s v="Egypt"/>
    <s v="Burkina Faso"/>
    <n v="2"/>
    <n v="1"/>
    <s v="FIFA World Cup qualification"/>
    <s v="Cairo"/>
    <s v="Egypt"/>
    <b v="0"/>
    <n v="2024"/>
    <n v="389059911003"/>
    <n v="23124729853"/>
    <x v="0"/>
    <n v="1"/>
    <x v="2"/>
  </r>
  <r>
    <x v="6284"/>
    <x v="1838"/>
    <x v="55"/>
    <s v="Mauritania"/>
    <s v="Sudan"/>
    <n v="0"/>
    <n v="2"/>
    <s v="FIFA World Cup qualification"/>
    <s v="Nouakchott"/>
    <s v="Mauritania"/>
    <b v="0"/>
    <n v="2024"/>
    <n v="10908045686"/>
    <n v="49672435513"/>
    <x v="0"/>
    <n v="1"/>
    <x v="2"/>
  </r>
  <r>
    <x v="6285"/>
    <x v="1838"/>
    <x v="55"/>
    <s v="Benin"/>
    <s v="Rwanda"/>
    <n v="1"/>
    <n v="0"/>
    <s v="FIFA World Cup qualification"/>
    <s v="Abidjan"/>
    <s v="Ivory Coast"/>
    <b v="1"/>
    <n v="2024"/>
    <n v="21482643706"/>
    <n v="14251642235"/>
    <x v="1"/>
    <n v="1"/>
    <x v="2"/>
  </r>
  <r>
    <x v="6286"/>
    <x v="1838"/>
    <x v="55"/>
    <s v="Libya"/>
    <s v="Mauritius"/>
    <n v="2"/>
    <n v="1"/>
    <s v="FIFA World Cup qualification"/>
    <s v="Benghazi"/>
    <s v="Libya"/>
    <b v="0"/>
    <n v="2024"/>
    <n v="48487151215"/>
    <n v="14937861786"/>
    <x v="0"/>
    <n v="1"/>
    <x v="2"/>
  </r>
  <r>
    <x v="6287"/>
    <x v="1838"/>
    <x v="55"/>
    <s v="Algeria"/>
    <s v="Guinea"/>
    <n v="1"/>
    <n v="2"/>
    <s v="FIFA World Cup qualification"/>
    <s v="Algiers"/>
    <s v="Algeria"/>
    <b v="0"/>
    <n v="2024"/>
    <n v="269322281664"/>
    <n v="25008678293"/>
    <x v="0"/>
    <n v="-1"/>
    <x v="0"/>
  </r>
  <r>
    <x v="6288"/>
    <x v="1838"/>
    <x v="55"/>
    <s v="Mali"/>
    <s v="Ghana"/>
    <n v="1"/>
    <n v="2"/>
    <s v="FIFA World Cup qualification"/>
    <s v="Bamako"/>
    <s v="Mali"/>
    <b v="0"/>
    <n v="2024"/>
    <n v="26794747239"/>
    <n v="82308110386"/>
    <x v="0"/>
    <n v="1"/>
    <x v="2"/>
  </r>
  <r>
    <x v="6289"/>
    <x v="1838"/>
    <x v="55"/>
    <s v="India"/>
    <s v="Kuwait"/>
    <n v="0"/>
    <n v="0"/>
    <s v="FIFA World Cup qualification"/>
    <s v="Kolkota"/>
    <s v="India"/>
    <b v="0"/>
    <n v="2024"/>
    <n v="3909891533858"/>
    <n v="160227273053"/>
    <x v="0"/>
    <n v="0"/>
    <x v="1"/>
  </r>
  <r>
    <x v="6290"/>
    <x v="1838"/>
    <x v="55"/>
    <s v="Myanmar"/>
    <s v="Japan"/>
    <n v="0"/>
    <n v="5"/>
    <s v="FIFA World Cup qualification"/>
    <s v="Yangon"/>
    <s v="Myanmar"/>
    <b v="0"/>
    <n v="2024"/>
    <n v="74068349523"/>
    <n v="4027597523550"/>
    <x v="0"/>
    <n v="1"/>
    <x v="2"/>
  </r>
  <r>
    <x v="6291"/>
    <x v="1838"/>
    <x v="55"/>
    <s v="Singapore"/>
    <s v="South Korea"/>
    <n v="0"/>
    <n v="7"/>
    <s v="FIFA World Cup qualification"/>
    <s v="Kallang"/>
    <s v="Singapore"/>
    <b v="0"/>
    <n v="2024"/>
    <n v="547386645891"/>
    <n v="1875388209406"/>
    <x v="0"/>
    <n v="1"/>
    <x v="2"/>
  </r>
  <r>
    <x v="6292"/>
    <x v="1838"/>
    <x v="55"/>
    <s v="Uzbekistan"/>
    <s v="Turkmenistan"/>
    <n v="3"/>
    <n v="1"/>
    <s v="FIFA World Cup qualification"/>
    <s v="Tashkent"/>
    <s v="Uzbekistan"/>
    <b v="0"/>
    <n v="2024"/>
    <n v="114965293466"/>
    <n v="51387209872"/>
    <x v="0"/>
    <n v="1"/>
    <x v="2"/>
  </r>
  <r>
    <x v="6293"/>
    <x v="1838"/>
    <x v="55"/>
    <s v="Indonesia"/>
    <s v="Iraq"/>
    <n v="0"/>
    <n v="2"/>
    <s v="FIFA World Cup qualification"/>
    <s v="Jakarta"/>
    <s v="Indonesia"/>
    <b v="0"/>
    <n v="2024"/>
    <n v="1396300098190"/>
    <n v="279641257615"/>
    <x v="0"/>
    <n v="-1"/>
    <x v="0"/>
  </r>
  <r>
    <x v="6294"/>
    <x v="1838"/>
    <x v="55"/>
    <s v="Vietnam"/>
    <s v="Philippines"/>
    <n v="3"/>
    <n v="2"/>
    <s v="FIFA World Cup qualification"/>
    <s v="Hanoi"/>
    <s v="Vietnam"/>
    <b v="0"/>
    <n v="2024"/>
    <n v="476388230307"/>
    <n v="461617509782"/>
    <x v="1"/>
    <n v="1"/>
    <x v="2"/>
  </r>
  <r>
    <x v="6295"/>
    <x v="1838"/>
    <x v="55"/>
    <s v="Jordan"/>
    <s v="Tajikistan"/>
    <n v="3"/>
    <n v="0"/>
    <s v="FIFA World Cup qualification"/>
    <s v="Amman"/>
    <s v="Jordan"/>
    <b v="0"/>
    <n v="2024"/>
    <n v="53352289577"/>
    <n v="14204575548"/>
    <x v="0"/>
    <n v="1"/>
    <x v="2"/>
  </r>
  <r>
    <x v="6296"/>
    <x v="1838"/>
    <x v="55"/>
    <s v="Pakistan"/>
    <s v="Saudi Arabia"/>
    <n v="0"/>
    <n v="3"/>
    <s v="FIFA World Cup qualification"/>
    <s v="Islamabad"/>
    <s v="Pakistan"/>
    <b v="0"/>
    <n v="2024"/>
    <n v="371570000121"/>
    <n v="1239804533333"/>
    <x v="0"/>
    <n v="1"/>
    <x v="2"/>
  </r>
  <r>
    <x v="6297"/>
    <x v="1838"/>
    <x v="55"/>
    <s v="Nepal"/>
    <s v="United Arab Emirates"/>
    <n v="0"/>
    <n v="4"/>
    <s v="FIFA World Cup qualification"/>
    <s v="Dammam"/>
    <s v="Saudi Arabia"/>
    <b v="1"/>
    <n v="2024"/>
    <n v="42914268286"/>
    <n v="552324846834"/>
    <x v="0"/>
    <n v="1"/>
    <x v="2"/>
  </r>
  <r>
    <x v="6298"/>
    <x v="1838"/>
    <x v="55"/>
    <s v="Bangladesh"/>
    <s v="Australia"/>
    <n v="0"/>
    <n v="2"/>
    <s v="FIFA World Cup qualification"/>
    <s v="Dhaka"/>
    <s v="Bangladesh"/>
    <b v="0"/>
    <n v="2024"/>
    <n v="450119432068"/>
    <n v="1757022451652"/>
    <x v="0"/>
    <n v="1"/>
    <x v="2"/>
  </r>
  <r>
    <x v="6299"/>
    <x v="1838"/>
    <x v="55"/>
    <s v="Panama"/>
    <s v="Guyana"/>
    <n v="2"/>
    <n v="0"/>
    <s v="FIFA World Cup qualification"/>
    <s v="Panama City"/>
    <s v="Panama"/>
    <b v="0"/>
    <n v="2024"/>
    <n v="86523959131"/>
    <n v="24662709832"/>
    <x v="0"/>
    <n v="1"/>
    <x v="2"/>
  </r>
  <r>
    <x v="6300"/>
    <x v="1838"/>
    <x v="55"/>
    <s v="Jamaica"/>
    <s v="Dominican Republic"/>
    <n v="1"/>
    <n v="0"/>
    <s v="FIFA World Cup qualification"/>
    <s v="Kingston"/>
    <s v="Jamaica"/>
    <b v="0"/>
    <n v="2024"/>
    <n v="22014397089"/>
    <n v="124282245638"/>
    <x v="0"/>
    <n v="-1"/>
    <x v="0"/>
  </r>
  <r>
    <x v="6301"/>
    <x v="1839"/>
    <x v="55"/>
    <s v="Zimbabwe"/>
    <s v="Lesotho"/>
    <n v="0"/>
    <n v="2"/>
    <s v="FIFA World Cup qualification"/>
    <s v="Johannesburg"/>
    <s v="South Africa"/>
    <b v="1"/>
    <n v="2024"/>
    <n v="41539411516"/>
    <n v="2271759454"/>
    <x v="0"/>
    <n v="-1"/>
    <x v="0"/>
  </r>
  <r>
    <x v="6302"/>
    <x v="1839"/>
    <x v="55"/>
    <s v="Nigeria"/>
    <s v="South Africa"/>
    <n v="1"/>
    <n v="1"/>
    <s v="FIFA World Cup qualification"/>
    <s v="Uyo"/>
    <s v="Nigeria"/>
    <b v="0"/>
    <n v="2024"/>
    <n v="252261880141"/>
    <n v="401144998373"/>
    <x v="1"/>
    <n v="0"/>
    <x v="1"/>
  </r>
  <r>
    <x v="6303"/>
    <x v="1839"/>
    <x v="55"/>
    <s v="Angola"/>
    <s v="Eswatini"/>
    <n v="1"/>
    <n v="0"/>
    <s v="FIFA World Cup qualification"/>
    <s v="Luanda"/>
    <s v="Angola"/>
    <b v="0"/>
    <n v="2024"/>
    <n v="100998916781"/>
    <n v="4858885840"/>
    <x v="0"/>
    <n v="1"/>
    <x v="2"/>
  </r>
  <r>
    <x v="6304"/>
    <x v="1839"/>
    <x v="55"/>
    <s v="Morocco"/>
    <s v="Zambia"/>
    <n v="2"/>
    <n v="1"/>
    <s v="FIFA World Cup qualification"/>
    <s v="Agadir"/>
    <s v="Morocco"/>
    <b v="0"/>
    <n v="2024"/>
    <n v="160610994054"/>
    <n v="25303185342"/>
    <x v="0"/>
    <n v="1"/>
    <x v="2"/>
  </r>
  <r>
    <x v="6305"/>
    <x v="1839"/>
    <x v="55"/>
    <s v="Kenya"/>
    <s v="Burundi"/>
    <n v="1"/>
    <n v="1"/>
    <s v="FIFA World Cup qualification"/>
    <s v="Lilongwe"/>
    <s v="Malawi"/>
    <b v="1"/>
    <n v="2024"/>
    <n v="120339557905"/>
    <n v="3082433067"/>
    <x v="0"/>
    <n v="0"/>
    <x v="1"/>
  </r>
  <r>
    <x v="6306"/>
    <x v="1839"/>
    <x v="55"/>
    <s v="Uganda"/>
    <s v="Botswana"/>
    <n v="1"/>
    <n v="0"/>
    <s v="FIFA World Cup qualification"/>
    <s v="Kira"/>
    <s v="Uganda"/>
    <b v="0"/>
    <n v="2024"/>
    <n v="53911907086"/>
    <n v="19402063512"/>
    <x v="0"/>
    <n v="1"/>
    <x v="2"/>
  </r>
  <r>
    <x v="6307"/>
    <x v="1839"/>
    <x v="55"/>
    <s v="Madagascar"/>
    <s v="Comoros"/>
    <n v="2"/>
    <n v="1"/>
    <s v="FIFA World Cup qualification"/>
    <s v="Johannesburg"/>
    <s v="South Africa"/>
    <b v="1"/>
    <n v="2024"/>
    <n v="17420501490"/>
    <n v="1440991455"/>
    <x v="0"/>
    <n v="1"/>
    <x v="2"/>
  </r>
  <r>
    <x v="6308"/>
    <x v="1840"/>
    <x v="55"/>
    <s v="Belize"/>
    <s v="Nicaragua"/>
    <n v="0"/>
    <n v="4"/>
    <s v="FIFA World Cup qualification"/>
    <s v="Belmopan"/>
    <s v="Belize"/>
    <b v="0"/>
    <n v="2024"/>
    <n v="3203631800"/>
    <n v="19693982967"/>
    <x v="0"/>
    <n v="1"/>
    <x v="2"/>
  </r>
  <r>
    <x v="6309"/>
    <x v="1841"/>
    <x v="55"/>
    <s v="Djibouti"/>
    <s v="Ethiopia"/>
    <n v="1"/>
    <n v="1"/>
    <s v="FIFA World Cup qualification"/>
    <s v="El Jadida"/>
    <s v="Morocco"/>
    <b v="1"/>
    <n v="2024"/>
    <n v="4152145939"/>
    <n v="149740297952"/>
    <x v="0"/>
    <n v="0"/>
    <x v="1"/>
  </r>
  <r>
    <x v="6310"/>
    <x v="1841"/>
    <x v="55"/>
    <s v="Mauritania"/>
    <s v="Senegal"/>
    <n v="0"/>
    <n v="1"/>
    <s v="FIFA World Cup qualification"/>
    <s v="Nouakchott"/>
    <s v="Mauritania"/>
    <b v="0"/>
    <n v="2024"/>
    <n v="10908045686"/>
    <n v="32808056600"/>
    <x v="0"/>
    <n v="1"/>
    <x v="2"/>
  </r>
  <r>
    <x v="6311"/>
    <x v="1841"/>
    <x v="55"/>
    <s v="Namibia"/>
    <s v="Tunisia"/>
    <n v="0"/>
    <n v="0"/>
    <s v="FIFA World Cup qualification"/>
    <s v="Johannesburg"/>
    <s v="South Africa"/>
    <b v="1"/>
    <n v="2024"/>
    <n v="13372354511"/>
    <n v="51332285656"/>
    <x v="0"/>
    <n v="0"/>
    <x v="1"/>
  </r>
  <r>
    <x v="6312"/>
    <x v="1841"/>
    <x v="55"/>
    <s v="Bermuda"/>
    <s v="Honduras"/>
    <n v="1"/>
    <n v="6"/>
    <s v="FIFA World Cup qualification"/>
    <s v="Hamilton"/>
    <s v="Bermuda"/>
    <b v="0"/>
    <n v="2024"/>
    <n v="9233600000"/>
    <n v="37093565854"/>
    <x v="0"/>
    <n v="1"/>
    <x v="2"/>
  </r>
  <r>
    <x v="6313"/>
    <x v="1841"/>
    <x v="55"/>
    <s v="Grenada"/>
    <s v="Costa Rica"/>
    <n v="0"/>
    <n v="3"/>
    <s v="FIFA World Cup qualification"/>
    <s v="St. George's"/>
    <s v="Grenada"/>
    <b v="0"/>
    <n v="2024"/>
    <n v="1371918518"/>
    <n v="95350423176"/>
    <x v="0"/>
    <n v="1"/>
    <x v="2"/>
  </r>
  <r>
    <x v="6314"/>
    <x v="1841"/>
    <x v="55"/>
    <s v="Barbados"/>
    <s v="Haiti"/>
    <n v="1"/>
    <n v="3"/>
    <s v="FIFA World Cup qualification"/>
    <s v="Bridgetown"/>
    <s v="Barbados"/>
    <b v="0"/>
    <n v="2024"/>
    <n v="7498050000"/>
    <n v="25224154990"/>
    <x v="0"/>
    <n v="1"/>
    <x v="2"/>
  </r>
  <r>
    <x v="6315"/>
    <x v="1841"/>
    <x v="55"/>
    <s v="Dominica"/>
    <s v="Jamaica"/>
    <n v="2"/>
    <n v="3"/>
    <s v="FIFA World Cup qualification"/>
    <s v="Roseau"/>
    <s v="Dominica"/>
    <b v="0"/>
    <n v="2024"/>
    <n v="688881481"/>
    <n v="22014397089"/>
    <x v="0"/>
    <n v="1"/>
    <x v="2"/>
  </r>
  <r>
    <x v="6316"/>
    <x v="1842"/>
    <x v="55"/>
    <s v="Guinea-Bissau"/>
    <s v="Egypt"/>
    <n v="1"/>
    <n v="1"/>
    <s v="FIFA World Cup qualification"/>
    <s v="Bissau"/>
    <s v="Guinea-Bissau"/>
    <b v="0"/>
    <n v="2024"/>
    <n v="2218393804"/>
    <n v="389059911003"/>
    <x v="0"/>
    <n v="0"/>
    <x v="1"/>
  </r>
  <r>
    <x v="6317"/>
    <x v="1842"/>
    <x v="55"/>
    <s v="Burkina Faso"/>
    <s v="Sierra Leone"/>
    <n v="2"/>
    <n v="2"/>
    <s v="FIFA World Cup qualification"/>
    <s v="Bamako"/>
    <s v="Mali"/>
    <b v="1"/>
    <n v="2024"/>
    <n v="23124729853"/>
    <n v="6971127235"/>
    <x v="0"/>
    <n v="0"/>
    <x v="1"/>
  </r>
  <r>
    <x v="6318"/>
    <x v="1842"/>
    <x v="55"/>
    <s v="Benin"/>
    <s v="Nigeria"/>
    <n v="2"/>
    <n v="1"/>
    <s v="FIFA World Cup qualification"/>
    <s v="Abidjan"/>
    <s v="Ivory Coast"/>
    <b v="1"/>
    <n v="2024"/>
    <n v="21482643706"/>
    <n v="252261880141"/>
    <x v="0"/>
    <n v="-1"/>
    <x v="0"/>
  </r>
  <r>
    <x v="6319"/>
    <x v="1842"/>
    <x v="55"/>
    <s v="Uganda"/>
    <s v="Algeria"/>
    <n v="1"/>
    <n v="2"/>
    <s v="FIFA World Cup qualification"/>
    <s v="Kira"/>
    <s v="Uganda"/>
    <b v="0"/>
    <n v="2024"/>
    <n v="53911907086"/>
    <n v="269322281664"/>
    <x v="0"/>
    <n v="1"/>
    <x v="2"/>
  </r>
  <r>
    <x v="6320"/>
    <x v="1842"/>
    <x v="55"/>
    <s v="Guinea"/>
    <s v="Mozambique"/>
    <n v="0"/>
    <n v="1"/>
    <s v="FIFA World Cup qualification"/>
    <s v="El Jadida"/>
    <s v="Morocco"/>
    <b v="1"/>
    <n v="2024"/>
    <n v="25008678293"/>
    <n v="22745341305"/>
    <x v="1"/>
    <n v="-1"/>
    <x v="0"/>
  </r>
  <r>
    <x v="6321"/>
    <x v="1842"/>
    <x v="55"/>
    <s v="Equatorial Guinea"/>
    <s v="Malawi"/>
    <n v="1"/>
    <n v="0"/>
    <s v="FIFA World Cup qualification"/>
    <s v="Malabo"/>
    <s v="Equatorial Guinea"/>
    <b v="0"/>
    <n v="2024"/>
    <n v="12765777677"/>
    <n v="11316411329"/>
    <x v="1"/>
    <n v="1"/>
    <x v="2"/>
  </r>
  <r>
    <x v="6322"/>
    <x v="1842"/>
    <x v="55"/>
    <s v="Ghana"/>
    <s v="Central African Republic"/>
    <n v="4"/>
    <n v="3"/>
    <s v="FIFA World Cup qualification"/>
    <s v="Kumasi"/>
    <s v="Ghana"/>
    <b v="0"/>
    <n v="2024"/>
    <n v="82308110386"/>
    <n v="2751494281"/>
    <x v="0"/>
    <n v="1"/>
    <x v="2"/>
  </r>
  <r>
    <x v="6323"/>
    <x v="1843"/>
    <x v="55"/>
    <s v="Lesotho"/>
    <s v="Rwanda"/>
    <n v="0"/>
    <n v="1"/>
    <s v="FIFA World Cup qualification"/>
    <s v="Durban"/>
    <s v="South Africa"/>
    <b v="1"/>
    <n v="2024"/>
    <n v="2271759454"/>
    <n v="14251642235"/>
    <x v="0"/>
    <n v="1"/>
    <x v="2"/>
  </r>
  <r>
    <x v="6324"/>
    <x v="1843"/>
    <x v="55"/>
    <s v="South Africa"/>
    <s v="Zimbabwe"/>
    <n v="3"/>
    <n v="1"/>
    <s v="FIFA World Cup qualification"/>
    <s v="Bloemfontein"/>
    <s v="South Africa"/>
    <b v="0"/>
    <n v="2024"/>
    <n v="401144998373"/>
    <n v="41539411516"/>
    <x v="0"/>
    <n v="1"/>
    <x v="2"/>
  </r>
  <r>
    <x v="6325"/>
    <x v="1843"/>
    <x v="55"/>
    <s v="Mauritius"/>
    <s v="Eswatini"/>
    <n v="2"/>
    <n v="1"/>
    <s v="FIFA World Cup qualification"/>
    <s v="Saint Pierre"/>
    <s v="Mauritius"/>
    <b v="0"/>
    <n v="2024"/>
    <n v="14937861786"/>
    <n v="4858885840"/>
    <x v="0"/>
    <n v="1"/>
    <x v="2"/>
  </r>
  <r>
    <x v="6326"/>
    <x v="1843"/>
    <x v="55"/>
    <s v="Angola"/>
    <s v="Cameroon"/>
    <n v="1"/>
    <n v="1"/>
    <s v="FIFA World Cup qualification"/>
    <s v="Luanda"/>
    <s v="Angola"/>
    <b v="0"/>
    <n v="2024"/>
    <n v="100998916781"/>
    <n v="53296694320"/>
    <x v="1"/>
    <n v="0"/>
    <x v="1"/>
  </r>
  <r>
    <x v="6327"/>
    <x v="1843"/>
    <x v="55"/>
    <s v="Zambia"/>
    <s v="Tanzania"/>
    <n v="0"/>
    <n v="1"/>
    <s v="FIFA World Cup qualification"/>
    <s v="Ndola"/>
    <s v="Zambia"/>
    <b v="0"/>
    <n v="2024"/>
    <n v="25303185342"/>
    <n v="78844405385"/>
    <x v="0"/>
    <n v="1"/>
    <x v="2"/>
  </r>
  <r>
    <x v="6328"/>
    <x v="1843"/>
    <x v="55"/>
    <s v="Seychelles"/>
    <s v="Burundi"/>
    <n v="1"/>
    <n v="3"/>
    <s v="FIFA World Cup qualification"/>
    <s v="Berkane"/>
    <s v="Morocco"/>
    <b v="1"/>
    <n v="2024"/>
    <n v="2167239562"/>
    <n v="3082433067"/>
    <x v="1"/>
    <n v="1"/>
    <x v="2"/>
  </r>
  <r>
    <x v="6329"/>
    <x v="1843"/>
    <x v="55"/>
    <s v="Madagascar"/>
    <s v="Mali"/>
    <n v="0"/>
    <n v="0"/>
    <s v="FIFA World Cup qualification"/>
    <s v="Johannesburg"/>
    <s v="South Africa"/>
    <b v="1"/>
    <n v="2024"/>
    <n v="17420501490"/>
    <n v="26794747239"/>
    <x v="1"/>
    <n v="0"/>
    <x v="1"/>
  </r>
  <r>
    <x v="6330"/>
    <x v="1843"/>
    <x v="55"/>
    <s v="Chad"/>
    <s v="Comoros"/>
    <n v="0"/>
    <n v="2"/>
    <s v="FIFA World Cup qualification"/>
    <s v="Oujda"/>
    <s v="Morocco"/>
    <b v="1"/>
    <n v="2024"/>
    <n v="19518819751"/>
    <n v="1440991455"/>
    <x v="0"/>
    <n v="-1"/>
    <x v="0"/>
  </r>
  <r>
    <x v="6331"/>
    <x v="1843"/>
    <x v="55"/>
    <s v="Qatar"/>
    <s v="India"/>
    <n v="2"/>
    <n v="1"/>
    <s v="FIFA World Cup qualification"/>
    <s v="Al Rayyan"/>
    <s v="Qatar"/>
    <b v="0"/>
    <n v="2024"/>
    <n v="219162637362"/>
    <n v="3909891533858"/>
    <x v="0"/>
    <n v="-1"/>
    <x v="0"/>
  </r>
  <r>
    <x v="6332"/>
    <x v="1843"/>
    <x v="55"/>
    <s v="Thailand"/>
    <s v="Singapore"/>
    <n v="3"/>
    <n v="1"/>
    <s v="FIFA World Cup qualification"/>
    <s v="Bangkok"/>
    <s v="Thailand"/>
    <b v="0"/>
    <n v="2024"/>
    <n v="526517658841"/>
    <n v="547386645891"/>
    <x v="1"/>
    <n v="-1"/>
    <x v="0"/>
  </r>
  <r>
    <x v="6333"/>
    <x v="1843"/>
    <x v="55"/>
    <s v="Iran"/>
    <s v="Uzbekistan"/>
    <n v="0"/>
    <n v="0"/>
    <s v="FIFA World Cup qualification"/>
    <s v="Tehran"/>
    <s v="Iran"/>
    <b v="0"/>
    <n v="2024"/>
    <n v="475252089215"/>
    <n v="114965293466"/>
    <x v="0"/>
    <n v="0"/>
    <x v="1"/>
  </r>
  <r>
    <x v="6334"/>
    <x v="1843"/>
    <x v="55"/>
    <s v="Indonesia"/>
    <s v="Philippines"/>
    <n v="2"/>
    <n v="0"/>
    <s v="FIFA World Cup qualification"/>
    <s v="Jakarta"/>
    <s v="Indonesia"/>
    <b v="0"/>
    <n v="2024"/>
    <n v="1396300098190"/>
    <n v="461617509782"/>
    <x v="0"/>
    <n v="1"/>
    <x v="2"/>
  </r>
  <r>
    <x v="6335"/>
    <x v="1843"/>
    <x v="55"/>
    <s v="Iraq"/>
    <s v="Vietnam"/>
    <n v="3"/>
    <n v="1"/>
    <s v="FIFA World Cup qualification"/>
    <s v="Basra"/>
    <s v="Iraq"/>
    <b v="0"/>
    <n v="2024"/>
    <n v="279641257615"/>
    <n v="476388230307"/>
    <x v="1"/>
    <n v="-1"/>
    <x v="0"/>
  </r>
  <r>
    <x v="6336"/>
    <x v="1843"/>
    <x v="55"/>
    <s v="Tajikistan"/>
    <s v="Pakistan"/>
    <n v="3"/>
    <n v="0"/>
    <s v="FIFA World Cup qualification"/>
    <s v="Dushanbe"/>
    <s v="Tajikistan"/>
    <b v="0"/>
    <n v="2024"/>
    <n v="14204575548"/>
    <n v="371570000121"/>
    <x v="0"/>
    <n v="-1"/>
    <x v="0"/>
  </r>
  <r>
    <x v="6337"/>
    <x v="1843"/>
    <x v="55"/>
    <s v="Saudi Arabia"/>
    <s v="Jordan"/>
    <n v="1"/>
    <n v="2"/>
    <s v="FIFA World Cup qualification"/>
    <s v="Riyadh"/>
    <s v="Saudi Arabia"/>
    <b v="0"/>
    <n v="2024"/>
    <n v="1239804533333"/>
    <n v="53352289577"/>
    <x v="0"/>
    <n v="-1"/>
    <x v="0"/>
  </r>
  <r>
    <x v="6338"/>
    <x v="1843"/>
    <x v="55"/>
    <s v="United Arab Emirates"/>
    <s v="Bahrain"/>
    <n v="1"/>
    <n v="1"/>
    <s v="FIFA World Cup qualification"/>
    <s v="Dubai"/>
    <s v="United Arab Emirates"/>
    <b v="0"/>
    <n v="2024"/>
    <n v="552324846834"/>
    <n v="47109734308"/>
    <x v="0"/>
    <n v="0"/>
    <x v="1"/>
  </r>
  <r>
    <x v="6339"/>
    <x v="1843"/>
    <x v="55"/>
    <s v="Guyana"/>
    <s v="Belize"/>
    <n v="3"/>
    <n v="1"/>
    <s v="FIFA World Cup qualification"/>
    <s v="Bridgetown"/>
    <s v="Barbados"/>
    <b v="1"/>
    <n v="2024"/>
    <n v="24662709832"/>
    <n v="3203631800"/>
    <x v="0"/>
    <n v="1"/>
    <x v="2"/>
  </r>
  <r>
    <x v="6340"/>
    <x v="1844"/>
    <x v="55"/>
    <s v="Bolivia"/>
    <s v="Venezuela"/>
    <n v="4"/>
    <n v="0"/>
    <s v="FIFA World Cup qualification"/>
    <s v="El Alto"/>
    <s v="Bolivia"/>
    <b v="0"/>
    <n v="2024"/>
    <n v="54881327452"/>
    <n v="119802963257"/>
    <x v="0"/>
    <n v="-1"/>
    <x v="0"/>
  </r>
  <r>
    <x v="6341"/>
    <x v="1844"/>
    <x v="55"/>
    <s v="Argentina"/>
    <s v="Chile"/>
    <n v="3"/>
    <n v="0"/>
    <s v="FIFA World Cup qualification"/>
    <s v="Buenos Aires"/>
    <s v="Argentina"/>
    <b v="0"/>
    <n v="2024"/>
    <n v="638365455340"/>
    <n v="330267137371"/>
    <x v="1"/>
    <n v="1"/>
    <x v="2"/>
  </r>
  <r>
    <x v="6342"/>
    <x v="1844"/>
    <x v="55"/>
    <s v="Qatar"/>
    <s v="United Arab Emirates"/>
    <n v="1"/>
    <n v="3"/>
    <s v="FIFA World Cup qualification"/>
    <s v="Al Rayyan"/>
    <s v="Qatar"/>
    <b v="0"/>
    <n v="2024"/>
    <n v="219162637362"/>
    <n v="552324846834"/>
    <x v="0"/>
    <n v="1"/>
    <x v="2"/>
  </r>
  <r>
    <x v="6343"/>
    <x v="1844"/>
    <x v="55"/>
    <s v="Iraq"/>
    <s v="Oman"/>
    <n v="1"/>
    <n v="0"/>
    <s v="FIFA World Cup qualification"/>
    <s v="Basra"/>
    <s v="Iraq"/>
    <b v="0"/>
    <n v="2024"/>
    <n v="279641257615"/>
    <n v="107137198769"/>
    <x v="0"/>
    <n v="1"/>
    <x v="2"/>
  </r>
  <r>
    <x v="6344"/>
    <x v="1844"/>
    <x v="55"/>
    <s v="Jordan"/>
    <s v="Kuwait"/>
    <n v="1"/>
    <n v="1"/>
    <s v="FIFA World Cup qualification"/>
    <s v="Amman"/>
    <s v="Jordan"/>
    <b v="0"/>
    <n v="2024"/>
    <n v="53352289577"/>
    <n v="160227273053"/>
    <x v="0"/>
    <n v="0"/>
    <x v="1"/>
  </r>
  <r>
    <x v="6345"/>
    <x v="1844"/>
    <x v="55"/>
    <s v="Australia"/>
    <s v="Bahrain"/>
    <n v="0"/>
    <n v="1"/>
    <s v="FIFA World Cup qualification"/>
    <s v="Robina"/>
    <s v="Australia"/>
    <b v="0"/>
    <n v="2024"/>
    <n v="1757022451652"/>
    <n v="47109734308"/>
    <x v="0"/>
    <n v="-1"/>
    <x v="0"/>
  </r>
  <r>
    <x v="6346"/>
    <x v="1844"/>
    <x v="55"/>
    <s v="Saudi Arabia"/>
    <s v="Indonesia"/>
    <n v="1"/>
    <n v="1"/>
    <s v="FIFA World Cup qualification"/>
    <s v="Jeddah"/>
    <s v="Saudi Arabia"/>
    <b v="0"/>
    <n v="2024"/>
    <n v="1239804533333"/>
    <n v="1396300098190"/>
    <x v="1"/>
    <n v="0"/>
    <x v="1"/>
  </r>
  <r>
    <x v="6347"/>
    <x v="1845"/>
    <x v="55"/>
    <s v="Peru"/>
    <s v="Colombia"/>
    <n v="1"/>
    <n v="1"/>
    <s v="FIFA World Cup qualification"/>
    <s v="Lima"/>
    <s v="Peru"/>
    <b v="0"/>
    <n v="2024"/>
    <n v="289221969062"/>
    <n v="418818154879"/>
    <x v="1"/>
    <n v="0"/>
    <x v="1"/>
  </r>
  <r>
    <x v="6348"/>
    <x v="1845"/>
    <x v="55"/>
    <s v="Uruguay"/>
    <s v="Paraguay"/>
    <n v="0"/>
    <n v="0"/>
    <s v="FIFA World Cup qualification"/>
    <s v="Montevideo"/>
    <s v="Uruguay"/>
    <b v="0"/>
    <n v="2024"/>
    <n v="80961511073"/>
    <n v="44458118397"/>
    <x v="1"/>
    <n v="0"/>
    <x v="1"/>
  </r>
  <r>
    <x v="6349"/>
    <x v="1845"/>
    <x v="55"/>
    <s v="Brazil"/>
    <s v="Ecuador"/>
    <n v="1"/>
    <n v="0"/>
    <s v="FIFA World Cup qualification"/>
    <s v="Curitiba"/>
    <s v="Brazil"/>
    <b v="0"/>
    <n v="2024"/>
    <n v="2185821648943"/>
    <n v="124676074700"/>
    <x v="0"/>
    <n v="1"/>
    <x v="2"/>
  </r>
  <r>
    <x v="6350"/>
    <x v="1846"/>
    <x v="55"/>
    <s v="Colombia"/>
    <s v="Argentina"/>
    <n v="2"/>
    <n v="1"/>
    <s v="FIFA World Cup qualification"/>
    <s v="Barranquilla"/>
    <s v="Colombia"/>
    <b v="0"/>
    <n v="2024"/>
    <n v="418818154879"/>
    <n v="638365455340"/>
    <x v="1"/>
    <n v="-1"/>
    <x v="0"/>
  </r>
  <r>
    <x v="6351"/>
    <x v="1846"/>
    <x v="55"/>
    <s v="Ecuador"/>
    <s v="Peru"/>
    <n v="1"/>
    <n v="0"/>
    <s v="FIFA World Cup qualification"/>
    <s v="Quito"/>
    <s v="Ecuador"/>
    <b v="0"/>
    <n v="2024"/>
    <n v="124676074700"/>
    <n v="289221969062"/>
    <x v="0"/>
    <n v="-1"/>
    <x v="0"/>
  </r>
  <r>
    <x v="6352"/>
    <x v="1846"/>
    <x v="55"/>
    <s v="Chile"/>
    <s v="Bolivia"/>
    <n v="1"/>
    <n v="2"/>
    <s v="FIFA World Cup qualification"/>
    <s v="Santiago"/>
    <s v="Chile"/>
    <b v="0"/>
    <n v="2024"/>
    <n v="330267137371"/>
    <n v="54881327452"/>
    <x v="0"/>
    <n v="-1"/>
    <x v="0"/>
  </r>
  <r>
    <x v="6353"/>
    <x v="1846"/>
    <x v="55"/>
    <s v="Venezuela"/>
    <s v="Uruguay"/>
    <n v="0"/>
    <n v="0"/>
    <s v="FIFA World Cup qualification"/>
    <s v="Matur√≠n"/>
    <s v="Venezuela"/>
    <b v="0"/>
    <n v="2024"/>
    <n v="119802963257"/>
    <n v="80961511073"/>
    <x v="1"/>
    <n v="0"/>
    <x v="1"/>
  </r>
  <r>
    <x v="6354"/>
    <x v="1846"/>
    <x v="55"/>
    <s v="Paraguay"/>
    <s v="Brazil"/>
    <n v="1"/>
    <n v="0"/>
    <s v="FIFA World Cup qualification"/>
    <s v="Asunci√≥n"/>
    <s v="Paraguay"/>
    <b v="0"/>
    <n v="2024"/>
    <n v="44458118397"/>
    <n v="2185821648943"/>
    <x v="0"/>
    <n v="-1"/>
    <x v="0"/>
  </r>
  <r>
    <x v="6355"/>
    <x v="1846"/>
    <x v="55"/>
    <s v="United Arab Emirates"/>
    <s v="Iran"/>
    <n v="0"/>
    <n v="1"/>
    <s v="FIFA World Cup qualification"/>
    <s v="Al Ain"/>
    <s v="United Arab Emirates"/>
    <b v="0"/>
    <n v="2024"/>
    <n v="552324846834"/>
    <n v="475252089215"/>
    <x v="1"/>
    <n v="-1"/>
    <x v="0"/>
  </r>
  <r>
    <x v="6356"/>
    <x v="1846"/>
    <x v="55"/>
    <s v="Oman"/>
    <s v="South Korea"/>
    <n v="1"/>
    <n v="3"/>
    <s v="FIFA World Cup qualification"/>
    <s v="Muscat"/>
    <s v="Oman"/>
    <b v="0"/>
    <n v="2024"/>
    <n v="107137198769"/>
    <n v="1875388209406"/>
    <x v="0"/>
    <n v="1"/>
    <x v="2"/>
  </r>
  <r>
    <x v="6357"/>
    <x v="1846"/>
    <x v="55"/>
    <s v="Kuwait"/>
    <s v="Iraq"/>
    <n v="0"/>
    <n v="0"/>
    <s v="FIFA World Cup qualification"/>
    <s v="Kuwait City"/>
    <s v="Kuwait"/>
    <b v="0"/>
    <n v="2024"/>
    <n v="160227273053"/>
    <n v="279641257615"/>
    <x v="1"/>
    <n v="0"/>
    <x v="1"/>
  </r>
  <r>
    <x v="6358"/>
    <x v="1846"/>
    <x v="55"/>
    <s v="Bahrain"/>
    <s v="Japan"/>
    <n v="0"/>
    <n v="5"/>
    <s v="FIFA World Cup qualification"/>
    <s v="Riffa"/>
    <s v="Bahrain"/>
    <b v="0"/>
    <n v="2024"/>
    <n v="47109734308"/>
    <n v="4027597523550"/>
    <x v="0"/>
    <n v="1"/>
    <x v="2"/>
  </r>
  <r>
    <x v="6359"/>
    <x v="1846"/>
    <x v="55"/>
    <s v="Indonesia"/>
    <s v="Australia"/>
    <n v="0"/>
    <n v="0"/>
    <s v="FIFA World Cup qualification"/>
    <s v="Jakarta"/>
    <s v="Indonesia"/>
    <b v="0"/>
    <n v="2024"/>
    <n v="1396300098190"/>
    <n v="1757022451652"/>
    <x v="1"/>
    <n v="0"/>
    <x v="1"/>
  </r>
  <r>
    <x v="6360"/>
    <x v="1847"/>
    <x v="55"/>
    <s v="Bolivia"/>
    <s v="Colombia"/>
    <n v="1"/>
    <n v="0"/>
    <s v="FIFA World Cup qualification"/>
    <s v="El Alto"/>
    <s v="Bolivia"/>
    <b v="0"/>
    <n v="2024"/>
    <n v="54881327452"/>
    <n v="418818154879"/>
    <x v="0"/>
    <n v="-1"/>
    <x v="0"/>
  </r>
  <r>
    <x v="6361"/>
    <x v="1847"/>
    <x v="55"/>
    <s v="Ecuador"/>
    <s v="Paraguay"/>
    <n v="0"/>
    <n v="0"/>
    <s v="FIFA World Cup qualification"/>
    <s v="Quito"/>
    <s v="Ecuador"/>
    <b v="0"/>
    <n v="2024"/>
    <n v="124676074700"/>
    <n v="44458118397"/>
    <x v="0"/>
    <n v="0"/>
    <x v="1"/>
  </r>
  <r>
    <x v="6362"/>
    <x v="1847"/>
    <x v="55"/>
    <s v="Venezuela"/>
    <s v="Argentina"/>
    <n v="1"/>
    <n v="1"/>
    <s v="FIFA World Cup qualification"/>
    <s v="Matur√≠n"/>
    <s v="Venezuela"/>
    <b v="0"/>
    <n v="2024"/>
    <n v="119802963257"/>
    <n v="638365455340"/>
    <x v="0"/>
    <n v="0"/>
    <x v="1"/>
  </r>
  <r>
    <x v="6363"/>
    <x v="1847"/>
    <x v="55"/>
    <s v="Chile"/>
    <s v="Brazil"/>
    <n v="1"/>
    <n v="2"/>
    <s v="FIFA World Cup qualification"/>
    <s v="Santiago"/>
    <s v="Chile"/>
    <b v="0"/>
    <n v="2024"/>
    <n v="330267137371"/>
    <n v="2185821648943"/>
    <x v="0"/>
    <n v="1"/>
    <x v="2"/>
  </r>
  <r>
    <x v="6364"/>
    <x v="1847"/>
    <x v="55"/>
    <s v="Papua New Guinea"/>
    <s v="New Caledonia"/>
    <n v="1"/>
    <n v="3"/>
    <s v="FIFA World Cup qualification"/>
    <s v="Suva"/>
    <s v="Fiji"/>
    <b v="1"/>
    <n v="2024"/>
    <n v="31800428265"/>
    <n v="8548919387"/>
    <x v="0"/>
    <n v="-1"/>
    <x v="0"/>
  </r>
  <r>
    <x v="6365"/>
    <x v="1847"/>
    <x v="55"/>
    <s v="Fiji"/>
    <s v="Solomon Islands"/>
    <n v="1"/>
    <n v="0"/>
    <s v="FIFA World Cup qualification"/>
    <s v="Suva"/>
    <s v="Fiji"/>
    <b v="0"/>
    <n v="2024"/>
    <n v="5968125909"/>
    <n v="1583964703"/>
    <x v="0"/>
    <n v="1"/>
    <x v="2"/>
  </r>
  <r>
    <x v="6366"/>
    <x v="1847"/>
    <x v="55"/>
    <s v="Uzbekistan"/>
    <s v="Iran"/>
    <n v="0"/>
    <n v="0"/>
    <s v="FIFA World Cup qualification"/>
    <s v="Tashkent"/>
    <s v="Uzbekistan"/>
    <b v="0"/>
    <n v="2024"/>
    <n v="114965293466"/>
    <n v="475252089215"/>
    <x v="0"/>
    <n v="0"/>
    <x v="1"/>
  </r>
  <r>
    <x v="6367"/>
    <x v="1847"/>
    <x v="55"/>
    <s v="Jordan"/>
    <s v="South Korea"/>
    <n v="0"/>
    <n v="2"/>
    <s v="FIFA World Cup qualification"/>
    <s v="Amman"/>
    <s v="Jordan"/>
    <b v="0"/>
    <n v="2024"/>
    <n v="53352289577"/>
    <n v="1875388209406"/>
    <x v="0"/>
    <n v="1"/>
    <x v="2"/>
  </r>
  <r>
    <x v="6368"/>
    <x v="1847"/>
    <x v="55"/>
    <s v="Oman"/>
    <s v="Kuwait"/>
    <n v="4"/>
    <n v="0"/>
    <s v="FIFA World Cup qualification"/>
    <s v="Muscat"/>
    <s v="Oman"/>
    <b v="0"/>
    <n v="2024"/>
    <n v="107137198769"/>
    <n v="160227273053"/>
    <x v="1"/>
    <n v="-1"/>
    <x v="0"/>
  </r>
  <r>
    <x v="6369"/>
    <x v="1847"/>
    <x v="55"/>
    <s v="Bahrain"/>
    <s v="Indonesia"/>
    <n v="2"/>
    <n v="2"/>
    <s v="FIFA World Cup qualification"/>
    <s v="Riffa"/>
    <s v="Bahrain"/>
    <b v="0"/>
    <n v="2024"/>
    <n v="47109734308"/>
    <n v="1396300098190"/>
    <x v="0"/>
    <n v="0"/>
    <x v="1"/>
  </r>
  <r>
    <x v="6370"/>
    <x v="1847"/>
    <x v="55"/>
    <s v="Saudi Arabia"/>
    <s v="Japan"/>
    <n v="0"/>
    <n v="2"/>
    <s v="FIFA World Cup qualification"/>
    <s v="Jeddah"/>
    <s v="Saudi Arabia"/>
    <b v="0"/>
    <n v="2024"/>
    <n v="1239804533333"/>
    <n v="4027597523550"/>
    <x v="0"/>
    <n v="1"/>
    <x v="2"/>
  </r>
  <r>
    <x v="6371"/>
    <x v="1848"/>
    <x v="55"/>
    <s v="Peru"/>
    <s v="Uruguay"/>
    <n v="1"/>
    <n v="0"/>
    <s v="FIFA World Cup qualification"/>
    <s v="Lima"/>
    <s v="Peru"/>
    <b v="0"/>
    <n v="2024"/>
    <n v="289221969062"/>
    <n v="80961511073"/>
    <x v="0"/>
    <n v="1"/>
    <x v="2"/>
  </r>
  <r>
    <x v="6372"/>
    <x v="1849"/>
    <x v="55"/>
    <s v="Vanuatu"/>
    <s v="Samoa"/>
    <n v="4"/>
    <n v="1"/>
    <s v="FIFA World Cup qualification"/>
    <s v="Port Vila"/>
    <s v="Vanuatu"/>
    <b v="0"/>
    <n v="2024"/>
    <n v="1117972034"/>
    <n v="1175749785"/>
    <x v="1"/>
    <n v="-1"/>
    <x v="0"/>
  </r>
  <r>
    <x v="6373"/>
    <x v="1850"/>
    <x v="55"/>
    <s v="Colombia"/>
    <s v="Chile"/>
    <n v="4"/>
    <n v="0"/>
    <s v="FIFA World Cup qualification"/>
    <s v="Barranquilla"/>
    <s v="Colombia"/>
    <b v="0"/>
    <n v="2024"/>
    <n v="418818154879"/>
    <n v="330267137371"/>
    <x v="1"/>
    <n v="1"/>
    <x v="2"/>
  </r>
  <r>
    <x v="6374"/>
    <x v="1850"/>
    <x v="55"/>
    <s v="Paraguay"/>
    <s v="Venezuela"/>
    <n v="2"/>
    <n v="1"/>
    <s v="FIFA World Cup qualification"/>
    <s v="Asunci√≥n"/>
    <s v="Paraguay"/>
    <b v="0"/>
    <n v="2024"/>
    <n v="44458118397"/>
    <n v="119802963257"/>
    <x v="0"/>
    <n v="-1"/>
    <x v="0"/>
  </r>
  <r>
    <x v="6375"/>
    <x v="1850"/>
    <x v="55"/>
    <s v="Uruguay"/>
    <s v="Ecuador"/>
    <n v="0"/>
    <n v="0"/>
    <s v="FIFA World Cup qualification"/>
    <s v="Montevideo"/>
    <s v="Uruguay"/>
    <b v="0"/>
    <n v="2024"/>
    <n v="80961511073"/>
    <n v="124676074700"/>
    <x v="1"/>
    <n v="0"/>
    <x v="1"/>
  </r>
  <r>
    <x v="6376"/>
    <x v="1850"/>
    <x v="55"/>
    <s v="Argentina"/>
    <s v="Bolivia"/>
    <n v="6"/>
    <n v="0"/>
    <s v="FIFA World Cup qualification"/>
    <s v="Buenos Aires"/>
    <s v="Argentina"/>
    <b v="0"/>
    <n v="2024"/>
    <n v="638365455340"/>
    <n v="54881327452"/>
    <x v="0"/>
    <n v="1"/>
    <x v="2"/>
  </r>
  <r>
    <x v="6377"/>
    <x v="1850"/>
    <x v="55"/>
    <s v="Brazil"/>
    <s v="Peru"/>
    <n v="4"/>
    <n v="0"/>
    <s v="FIFA World Cup qualification"/>
    <s v="Bras√≠lia"/>
    <s v="Brazil"/>
    <b v="0"/>
    <n v="2024"/>
    <n v="2185821648943"/>
    <n v="289221969062"/>
    <x v="0"/>
    <n v="1"/>
    <x v="2"/>
  </r>
  <r>
    <x v="6378"/>
    <x v="1850"/>
    <x v="55"/>
    <s v="Uzbekistan"/>
    <s v="United Arab Emirates"/>
    <n v="1"/>
    <n v="0"/>
    <s v="FIFA World Cup qualification"/>
    <s v="Tashkent"/>
    <s v="Uzbekistan"/>
    <b v="0"/>
    <n v="2024"/>
    <n v="114965293466"/>
    <n v="552324846834"/>
    <x v="0"/>
    <n v="-1"/>
    <x v="0"/>
  </r>
  <r>
    <x v="6379"/>
    <x v="1850"/>
    <x v="55"/>
    <s v="Iran"/>
    <s v="Qatar"/>
    <n v="4"/>
    <n v="1"/>
    <s v="FIFA World Cup qualification"/>
    <s v="Dubai"/>
    <s v="United Arab Emirates"/>
    <b v="1"/>
    <n v="2024"/>
    <n v="475252089215"/>
    <n v="219162637362"/>
    <x v="0"/>
    <n v="1"/>
    <x v="2"/>
  </r>
  <r>
    <x v="6380"/>
    <x v="1850"/>
    <x v="55"/>
    <s v="Jordan"/>
    <s v="Oman"/>
    <n v="4"/>
    <n v="0"/>
    <s v="FIFA World Cup qualification"/>
    <s v="Amman"/>
    <s v="Jordan"/>
    <b v="0"/>
    <n v="2024"/>
    <n v="53352289577"/>
    <n v="107137198769"/>
    <x v="0"/>
    <n v="-1"/>
    <x v="0"/>
  </r>
  <r>
    <x v="6381"/>
    <x v="1850"/>
    <x v="55"/>
    <s v="South Korea"/>
    <s v="Iraq"/>
    <n v="3"/>
    <n v="2"/>
    <s v="FIFA World Cup qualification"/>
    <s v="Yongin"/>
    <s v="South Korea"/>
    <b v="0"/>
    <n v="2024"/>
    <n v="1875388209406"/>
    <n v="279641257615"/>
    <x v="0"/>
    <n v="1"/>
    <x v="2"/>
  </r>
  <r>
    <x v="6382"/>
    <x v="1850"/>
    <x v="55"/>
    <s v="Japan"/>
    <s v="Australia"/>
    <n v="1"/>
    <n v="1"/>
    <s v="FIFA World Cup qualification"/>
    <s v="Saitama"/>
    <s v="Japan"/>
    <b v="0"/>
    <n v="2024"/>
    <n v="4027597523550"/>
    <n v="1757022451652"/>
    <x v="0"/>
    <n v="0"/>
    <x v="1"/>
  </r>
  <r>
    <x v="6383"/>
    <x v="1850"/>
    <x v="55"/>
    <s v="Saudi Arabia"/>
    <s v="Bahrain"/>
    <n v="0"/>
    <n v="0"/>
    <s v="FIFA World Cup qualification"/>
    <s v="Jeddah"/>
    <s v="Saudi Arabia"/>
    <b v="0"/>
    <n v="2024"/>
    <n v="1239804533333"/>
    <n v="47109734308"/>
    <x v="0"/>
    <n v="0"/>
    <x v="1"/>
  </r>
  <r>
    <x v="6384"/>
    <x v="1851"/>
    <x v="55"/>
    <s v="Venezuela"/>
    <s v="Brazil"/>
    <n v="1"/>
    <n v="1"/>
    <s v="FIFA World Cup qualification"/>
    <s v="Matur√≠n"/>
    <s v="Venezuela"/>
    <b v="0"/>
    <n v="2024"/>
    <n v="119802963257"/>
    <n v="2185821648943"/>
    <x v="0"/>
    <n v="0"/>
    <x v="1"/>
  </r>
  <r>
    <x v="6385"/>
    <x v="1851"/>
    <x v="55"/>
    <s v="Ecuador"/>
    <s v="Bolivia"/>
    <n v="4"/>
    <n v="0"/>
    <s v="FIFA World Cup qualification"/>
    <s v="Guayaquil"/>
    <s v="Ecuador"/>
    <b v="0"/>
    <n v="2024"/>
    <n v="124676074700"/>
    <n v="54881327452"/>
    <x v="0"/>
    <n v="1"/>
    <x v="2"/>
  </r>
  <r>
    <x v="6386"/>
    <x v="1851"/>
    <x v="55"/>
    <s v="Paraguay"/>
    <s v="Argentina"/>
    <n v="2"/>
    <n v="1"/>
    <s v="FIFA World Cup qualification"/>
    <s v="Asunci√≥n"/>
    <s v="Paraguay"/>
    <b v="0"/>
    <n v="2024"/>
    <n v="44458118397"/>
    <n v="638365455340"/>
    <x v="0"/>
    <n v="-1"/>
    <x v="0"/>
  </r>
  <r>
    <x v="6387"/>
    <x v="1851"/>
    <x v="55"/>
    <s v="Solomon Islands"/>
    <s v="New Caledonia"/>
    <n v="2"/>
    <n v="3"/>
    <s v="FIFA World Cup qualification"/>
    <s v="Port Moresby"/>
    <s v="Papua New Guinea"/>
    <b v="1"/>
    <n v="2024"/>
    <n v="1583964703"/>
    <n v="8548919387"/>
    <x v="0"/>
    <n v="1"/>
    <x v="2"/>
  </r>
  <r>
    <x v="6388"/>
    <x v="1851"/>
    <x v="55"/>
    <s v="Papua New Guinea"/>
    <s v="Fiji"/>
    <n v="3"/>
    <n v="3"/>
    <s v="FIFA World Cup qualification"/>
    <s v="Port Moresby"/>
    <s v="Papua New Guinea"/>
    <b v="0"/>
    <n v="2024"/>
    <n v="31800428265"/>
    <n v="5968125909"/>
    <x v="0"/>
    <n v="0"/>
    <x v="1"/>
  </r>
  <r>
    <x v="6389"/>
    <x v="1851"/>
    <x v="55"/>
    <s v="Qatar"/>
    <s v="Uzbekistan"/>
    <n v="3"/>
    <n v="2"/>
    <s v="FIFA World Cup qualification"/>
    <s v="Al Rayyan"/>
    <s v="Qatar"/>
    <b v="0"/>
    <n v="2024"/>
    <n v="219162637362"/>
    <n v="114965293466"/>
    <x v="1"/>
    <n v="1"/>
    <x v="2"/>
  </r>
  <r>
    <x v="6390"/>
    <x v="1851"/>
    <x v="55"/>
    <s v="Kuwait"/>
    <s v="South Korea"/>
    <n v="1"/>
    <n v="3"/>
    <s v="FIFA World Cup qualification"/>
    <s v="Kuwait City"/>
    <s v="Kuwait"/>
    <b v="0"/>
    <n v="2024"/>
    <n v="160227273053"/>
    <n v="1875388209406"/>
    <x v="0"/>
    <n v="1"/>
    <x v="2"/>
  </r>
  <r>
    <x v="6391"/>
    <x v="1851"/>
    <x v="55"/>
    <s v="Iraq"/>
    <s v="Jordan"/>
    <n v="0"/>
    <n v="0"/>
    <s v="FIFA World Cup qualification"/>
    <s v="Basra"/>
    <s v="Iraq"/>
    <b v="0"/>
    <n v="2024"/>
    <n v="279641257615"/>
    <n v="53352289577"/>
    <x v="0"/>
    <n v="0"/>
    <x v="1"/>
  </r>
  <r>
    <x v="6392"/>
    <x v="1851"/>
    <x v="55"/>
    <s v="Australia"/>
    <s v="Saudi Arabia"/>
    <n v="0"/>
    <n v="0"/>
    <s v="FIFA World Cup qualification"/>
    <s v="Melbourne"/>
    <s v="Australia"/>
    <b v="0"/>
    <n v="2024"/>
    <n v="1757022451652"/>
    <n v="1239804533333"/>
    <x v="1"/>
    <n v="0"/>
    <x v="1"/>
  </r>
  <r>
    <x v="6393"/>
    <x v="1852"/>
    <x v="55"/>
    <s v="Peru"/>
    <s v="Chile"/>
    <n v="0"/>
    <n v="0"/>
    <s v="FIFA World Cup qualification"/>
    <s v="Lima"/>
    <s v="Peru"/>
    <b v="0"/>
    <n v="2024"/>
    <n v="289221969062"/>
    <n v="330267137371"/>
    <x v="1"/>
    <n v="0"/>
    <x v="1"/>
  </r>
  <r>
    <x v="6394"/>
    <x v="1852"/>
    <x v="55"/>
    <s v="Uruguay"/>
    <s v="Colombia"/>
    <n v="3"/>
    <n v="2"/>
    <s v="FIFA World Cup qualification"/>
    <s v="Montevideo"/>
    <s v="Uruguay"/>
    <b v="0"/>
    <n v="2024"/>
    <n v="80961511073"/>
    <n v="418818154879"/>
    <x v="0"/>
    <n v="-1"/>
    <x v="0"/>
  </r>
  <r>
    <x v="6395"/>
    <x v="1852"/>
    <x v="55"/>
    <s v="New Zealand"/>
    <s v="Vanuatu"/>
    <n v="8"/>
    <n v="1"/>
    <s v="FIFA World Cup qualification"/>
    <s v="Hamilton"/>
    <s v="New Zealand"/>
    <b v="0"/>
    <n v="2024"/>
    <n v="260172385097"/>
    <n v="1117972034"/>
    <x v="0"/>
    <n v="1"/>
    <x v="2"/>
  </r>
  <r>
    <x v="6396"/>
    <x v="1852"/>
    <x v="55"/>
    <s v="Indonesia"/>
    <s v="Japan"/>
    <n v="0"/>
    <n v="4"/>
    <s v="FIFA World Cup qualification"/>
    <s v="Jakarta"/>
    <s v="Indonesia"/>
    <b v="0"/>
    <n v="2024"/>
    <n v="1396300098190"/>
    <n v="4027597523550"/>
    <x v="0"/>
    <n v="1"/>
    <x v="2"/>
  </r>
  <r>
    <x v="6397"/>
    <x v="1853"/>
    <x v="55"/>
    <s v="Fiji"/>
    <s v="New Caledonia"/>
    <n v="1"/>
    <n v="1"/>
    <s v="FIFA World Cup qualification"/>
    <s v="Port Moresby"/>
    <s v="Papua New Guinea"/>
    <b v="1"/>
    <n v="2024"/>
    <n v="5968125909"/>
    <n v="8548919387"/>
    <x v="1"/>
    <n v="0"/>
    <x v="1"/>
  </r>
  <r>
    <x v="6398"/>
    <x v="1853"/>
    <x v="55"/>
    <s v="Papua New Guinea"/>
    <s v="Solomon Islands"/>
    <n v="1"/>
    <n v="2"/>
    <s v="FIFA World Cup qualification"/>
    <s v="Port Moresby"/>
    <s v="Papua New Guinea"/>
    <b v="0"/>
    <n v="2024"/>
    <n v="31800428265"/>
    <n v="1583964703"/>
    <x v="0"/>
    <n v="-1"/>
    <x v="0"/>
  </r>
  <r>
    <x v="6399"/>
    <x v="1854"/>
    <x v="55"/>
    <s v="New Zealand"/>
    <s v="Samoa"/>
    <n v="8"/>
    <n v="0"/>
    <s v="FIFA World Cup qualification"/>
    <s v="Auckland"/>
    <s v="New Zealand"/>
    <b v="0"/>
    <n v="2024"/>
    <n v="260172385097"/>
    <n v="1175749785"/>
    <x v="0"/>
    <n v="1"/>
    <x v="2"/>
  </r>
  <r>
    <x v="6400"/>
    <x v="1855"/>
    <x v="55"/>
    <s v="Bolivia"/>
    <s v="Paraguay"/>
    <n v="2"/>
    <n v="2"/>
    <s v="FIFA World Cup qualification"/>
    <s v="El Alto"/>
    <s v="Bolivia"/>
    <b v="0"/>
    <n v="2024"/>
    <n v="54881327452"/>
    <n v="44458118397"/>
    <x v="1"/>
    <n v="0"/>
    <x v="1"/>
  </r>
  <r>
    <x v="6401"/>
    <x v="1855"/>
    <x v="55"/>
    <s v="Colombia"/>
    <s v="Ecuador"/>
    <n v="0"/>
    <n v="1"/>
    <s v="FIFA World Cup qualification"/>
    <s v="Barranquilla"/>
    <s v="Colombia"/>
    <b v="0"/>
    <n v="2024"/>
    <n v="418818154879"/>
    <n v="124676074700"/>
    <x v="0"/>
    <n v="-1"/>
    <x v="0"/>
  </r>
  <r>
    <x v="6402"/>
    <x v="1855"/>
    <x v="55"/>
    <s v="Argentina"/>
    <s v="Peru"/>
    <n v="1"/>
    <n v="0"/>
    <s v="FIFA World Cup qualification"/>
    <s v="Buenos Aires"/>
    <s v="Argentina"/>
    <b v="0"/>
    <n v="2024"/>
    <n v="638365455340"/>
    <n v="289221969062"/>
    <x v="0"/>
    <n v="1"/>
    <x v="2"/>
  </r>
  <r>
    <x v="6403"/>
    <x v="1855"/>
    <x v="55"/>
    <s v="Chile"/>
    <s v="Venezuela"/>
    <n v="4"/>
    <n v="2"/>
    <s v="FIFA World Cup qualification"/>
    <s v="Santiago"/>
    <s v="Chile"/>
    <b v="0"/>
    <n v="2024"/>
    <n v="330267137371"/>
    <n v="119802963257"/>
    <x v="0"/>
    <n v="1"/>
    <x v="2"/>
  </r>
  <r>
    <x v="6404"/>
    <x v="1855"/>
    <x v="55"/>
    <s v="Brazil"/>
    <s v="Uruguay"/>
    <n v="1"/>
    <n v="1"/>
    <s v="FIFA World Cup qualification"/>
    <s v="Salvador"/>
    <s v="Brazil"/>
    <b v="0"/>
    <n v="2024"/>
    <n v="2185821648943"/>
    <n v="80961511073"/>
    <x v="0"/>
    <n v="0"/>
    <x v="1"/>
  </r>
  <r>
    <x v="6405"/>
    <x v="1855"/>
    <x v="55"/>
    <s v="United Arab Emirates"/>
    <s v="Qatar"/>
    <n v="5"/>
    <n v="0"/>
    <s v="FIFA World Cup qualification"/>
    <s v="Abu Dhabi"/>
    <s v="United Arab Emirates"/>
    <b v="0"/>
    <n v="2024"/>
    <n v="552324846834"/>
    <n v="219162637362"/>
    <x v="0"/>
    <n v="1"/>
    <x v="2"/>
  </r>
  <r>
    <x v="6406"/>
    <x v="1855"/>
    <x v="55"/>
    <s v="Oman"/>
    <s v="Iraq"/>
    <n v="0"/>
    <n v="1"/>
    <s v="FIFA World Cup qualification"/>
    <s v="Muscat"/>
    <s v="Oman"/>
    <b v="0"/>
    <n v="2024"/>
    <n v="107137198769"/>
    <n v="279641257615"/>
    <x v="0"/>
    <n v="1"/>
    <x v="2"/>
  </r>
  <r>
    <x v="6407"/>
    <x v="1855"/>
    <x v="55"/>
    <s v="Kuwait"/>
    <s v="Jordan"/>
    <n v="1"/>
    <n v="1"/>
    <s v="FIFA World Cup qualification"/>
    <s v="Kuwait City"/>
    <s v="Kuwait"/>
    <b v="0"/>
    <n v="2024"/>
    <n v="160227273053"/>
    <n v="53352289577"/>
    <x v="0"/>
    <n v="0"/>
    <x v="1"/>
  </r>
  <r>
    <x v="6408"/>
    <x v="1855"/>
    <x v="55"/>
    <s v="Bahrain"/>
    <s v="Australia"/>
    <n v="2"/>
    <n v="2"/>
    <s v="FIFA World Cup qualification"/>
    <s v="Riffa"/>
    <s v="Bahrain"/>
    <b v="0"/>
    <n v="2024"/>
    <n v="47109734308"/>
    <n v="1757022451652"/>
    <x v="0"/>
    <n v="0"/>
    <x v="1"/>
  </r>
  <r>
    <x v="6409"/>
    <x v="1855"/>
    <x v="55"/>
    <s v="Indonesia"/>
    <s v="Saudi Arabia"/>
    <n v="2"/>
    <n v="0"/>
    <s v="FIFA World Cup qualification"/>
    <s v="Jakarta"/>
    <s v="Indonesia"/>
    <b v="0"/>
    <n v="2024"/>
    <n v="1396300098190"/>
    <n v="1239804533333"/>
    <x v="1"/>
    <n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79"/>
    <n v="0.52513966480446927"/>
    <n v="0.22346368715083798"/>
    <n v="0.25139664804469275"/>
    <n v="245"/>
    <n v="0.47755102040816327"/>
    <n v="0.20816326530612245"/>
    <n v="0.31428571428571428"/>
  </r>
  <r>
    <x v="1"/>
    <n v="217"/>
    <n v="0.57603686635944695"/>
    <n v="0.2304147465437788"/>
    <n v="0.19354838709677419"/>
    <n v="299"/>
    <n v="0.53846153846153844"/>
    <n v="0.22742474916387959"/>
    <n v="0.23411371237458195"/>
  </r>
  <r>
    <x v="2"/>
    <n v="434"/>
    <n v="0.55990783410138245"/>
    <n v="0.22119815668202766"/>
    <n v="0.21889400921658986"/>
    <n v="560"/>
    <n v="0.52857142857142858"/>
    <n v="0.22678571428571428"/>
    <n v="0.24464285714285713"/>
  </r>
  <r>
    <x v="3"/>
    <n v="775"/>
    <n v="0.56774193548387097"/>
    <n v="0.19225806451612903"/>
    <n v="0.24"/>
    <n v="970"/>
    <n v="0.53608247422680411"/>
    <n v="0.20824742268041238"/>
    <n v="0.25567010309278349"/>
  </r>
  <r>
    <x v="4"/>
    <n v="1509"/>
    <n v="0.57322730284956924"/>
    <n v="0.22001325381047052"/>
    <n v="0.20675944333996024"/>
    <n v="1941"/>
    <n v="0.54147346728490464"/>
    <n v="0.22102009273570325"/>
    <n v="0.23750643997939205"/>
  </r>
  <r>
    <x v="5"/>
    <n v="1199"/>
    <n v="0.58131776480400332"/>
    <n v="0.19849874895746455"/>
    <n v="0.22018348623853212"/>
    <n v="1517"/>
    <n v="0.54251812788398157"/>
    <n v="0.21357943309162822"/>
    <n v="0.24390243902439024"/>
  </r>
  <r>
    <x v="6"/>
    <n v="681"/>
    <n v="0.60058737151248165"/>
    <n v="0.22173274596182085"/>
    <n v="0.1776798825256975"/>
    <n v="878"/>
    <n v="0.55922551252847386"/>
    <n v="0.2255125284738041"/>
    <n v="0.2152619589977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618D1-0F74-9C44-ACC4-EC38DE86891F}" name="PivotTable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 rowPageCount="1" colPageCount="1"/>
  <pivotFields count="17">
    <pivotField dataField="1" showAll="0">
      <items count="64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t="default"/>
      </items>
    </pivotField>
    <pivotField numFmtId="164" showAll="0"/>
    <pivotField dataField="1" numFmtId="1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Row" showAll="0" sortType="descending">
      <items count="6">
        <item m="1" x="4"/>
        <item x="2"/>
        <item x="0"/>
        <item x="1"/>
        <item m="1" x="3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Count of ID" fld="0" subtotal="count" baseField="0" baseItem="0"/>
    <dataField name="Count of decade" fld="2" subtotal="count" showDataAs="percentOfCo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07C1D-28C5-4698-9D8B-698C274239E1}" name="PivotTable2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C11" firstHeaderRow="0" firstDataRow="1" firstDataCol="1"/>
  <pivotFields count="9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numFmtId="9" showAll="0"/>
    <pivotField numFmtId="9" showAll="0"/>
    <pivotField dataField="1" numFmtId="9" showAll="0"/>
    <pivotField showAll="0"/>
    <pivotField numFmtId="9" showAll="0"/>
    <pivotField numFmtId="9" showAll="0"/>
    <pivotField numFmtId="9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ignificantly Wealthier Nation Wins" fld="4" subtotal="average" baseField="0" baseItem="0" numFmtId="9"/>
    <dataField name="Significantly Wealthier Nation Loses" fld="2" subtotal="average" baseField="0" baseItem="0" numFmtId="9"/>
  </dataFields>
  <chartFormats count="4">
    <chartFormat chart="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3C68B-662F-4D8B-899F-51AEFDD314B1}" name="PivotTable2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D11" firstHeaderRow="0" firstDataRow="1" firstDataCol="1"/>
  <pivotFields count="9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numFmtId="9" showAll="0"/>
    <pivotField dataField="1" numFmtId="9" showAll="0"/>
    <pivotField dataField="1" numFmtId="9" showAll="0"/>
    <pivotField showAll="0"/>
    <pivotField numFmtId="9" showAll="0"/>
    <pivotField numFmtId="9" showAll="0"/>
    <pivotField numFmtId="9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ignificantly_Wealthier_Lose_Percent" fld="4" subtotal="average" baseField="0" baseItem="0" numFmtId="9"/>
    <dataField name="Average of Significantly_Wealthier_Tie_Percent" fld="3" subtotal="average" baseField="0" baseItem="0" numFmtId="9"/>
    <dataField name="Average of Significantly_Wealthier_Win_Percent" fld="2" subtotal="average" baseField="0" baseItem="0" numFmtId="9"/>
  </dataFields>
  <chartFormats count="3">
    <chartFormat chart="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6E33E-2181-41BC-A473-167C9E83CEEF}" name="Table1" displayName="Table1" ref="A1:Q6411" totalsRowShown="0" headerRowDxfId="22">
  <autoFilter ref="A1:Q6411" xr:uid="{3B06E33E-2181-41BC-A473-167C9E83CEEF}"/>
  <tableColumns count="17">
    <tableColumn id="1" xr3:uid="{BDB2CFAB-2CC4-454C-BC73-9B3C1810CD4A}" name="ID" dataDxfId="21"/>
    <tableColumn id="2" xr3:uid="{544E9BDC-0774-4C6D-801B-88900B6D077C}" name="date" dataDxfId="20"/>
    <tableColumn id="16" xr3:uid="{71903EC8-485D-4A50-90ED-5B0A1EA4EA94}" name="decade" dataDxfId="19"/>
    <tableColumn id="3" xr3:uid="{CFD3AEAA-36DF-4D7C-A364-10EFA17488E2}" name="home_team"/>
    <tableColumn id="4" xr3:uid="{20E9B68D-4716-410A-95C9-ECB4A95DD4F9}" name="away_team"/>
    <tableColumn id="5" xr3:uid="{57979CDB-7477-40B6-ACFC-B75DE14EE536}" name="home_score"/>
    <tableColumn id="6" xr3:uid="{570A963D-DA73-4E0F-828B-3E1D296B01AA}" name="away_score"/>
    <tableColumn id="7" xr3:uid="{18FF02DC-C901-4535-912B-F2FEA9F5D0F3}" name="tournament"/>
    <tableColumn id="8" xr3:uid="{AE5A3FF5-6436-4592-B1F5-1707616173F6}" name="city"/>
    <tableColumn id="9" xr3:uid="{41BF3972-E5D5-41B8-AE5B-265C22A0C3D2}" name="country"/>
    <tableColumn id="10" xr3:uid="{3CBA32C8-7486-4BE2-821E-4B3919AE95D7}" name="neutral"/>
    <tableColumn id="11" xr3:uid="{2312E9AA-29DC-4152-A7AF-24BEE09DB409}" name="year"/>
    <tableColumn id="12" xr3:uid="{27E185D3-AF69-4A4C-BC40-E03685970159}" name="Home_GDP"/>
    <tableColumn id="13" xr3:uid="{877CA232-3089-495F-8109-2866E7681479}" name="Away_GDP"/>
    <tableColumn id="15" xr3:uid="{27ACC29C-B4A5-CE4A-8643-7EE98391E05F}" name="Significantly_Wealthier"/>
    <tableColumn id="14" xr3:uid="{E54E8728-EF6F-45F2-980B-01C78347A125}" name="Wealthier_Winner"/>
    <tableColumn id="17" xr3:uid="{007C9874-98DD-864D-A95C-4B4C8997C936}" name="Wealthier_Winner_Written" dataDxfId="15">
      <calculatedColumnFormula array="1">_xlfn.IFS(Table1[[#This Row],[Wealthier_Winner]]=-1,"Wealthier Nation Loses",Table1[[#This Row],[Wealthier_Winner]]=0,"Tie",Table1[[#This Row],[Wealthier_Winner]]=1,"Wealthier Nation Wins")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EEEC6-5D41-B84D-9FCB-B0D64901EB4A}" name="Table25" displayName="Table25" ref="A1:J57" totalsRowShown="0">
  <autoFilter ref="A1:J57" xr:uid="{72854C8B-EF3A-4CDF-B03F-010819BD76EB}"/>
  <tableColumns count="10">
    <tableColumn id="1" xr3:uid="{B264F6B8-E451-EA47-A40C-EEECF4CBB713}" name="Year"/>
    <tableColumn id="6" xr3:uid="{7EE961F0-153C-1E43-96D3-E80092372798}" name="Decade" dataDxfId="14">
      <calculatedColumnFormula>_xlfn.FLOOR.MATH(Table25[[#This Row],[Year]],10)</calculatedColumnFormula>
    </tableColumn>
    <tableColumn id="10" xr3:uid="{38B25360-0D9A-E74D-BF9C-A9B5C9E8D5A3}" name="Significantly_Wealthier_Count" dataDxfId="13">
      <calculatedColumnFormula>COUNTIFS(Table1[year],Table25[[#This Row],[Year]],Table1[Significantly_Wealthier],TRUE)</calculatedColumnFormula>
    </tableColumn>
    <tableColumn id="3" xr3:uid="{A89E0FA2-D1F1-5742-A157-A14D7CA74FB3}" name="Significantly_Wealthier_Win_Percent" dataDxfId="12" dataCellStyle="Percent">
      <calculatedColumnFormula>COUNTIFS(Table1[year],Table25[[#This Row],[Year]],Table1[Wealthier_Winner],1,Table1[Significantly_Wealthier],TRUE)/Table25[[#This Row],[Significantly_Wealthier_Count]]</calculatedColumnFormula>
    </tableColumn>
    <tableColumn id="4" xr3:uid="{EF104941-5F77-8049-B53D-CE50A21A2D07}" name="Significantly_Wealthier_Tie_Percent" dataDxfId="11" dataCellStyle="Percent">
      <calculatedColumnFormula>COUNTIFS(Table1[year],Table25[[#This Row],[Year]],Table1[Wealthier_Winner],0,Table1[Significantly_Wealthier],TRUE)/Table25[[#This Row],[Significantly_Wealthier_Count]]</calculatedColumnFormula>
    </tableColumn>
    <tableColumn id="5" xr3:uid="{9D53DFC1-8D9E-D14D-B791-C57069125E7D}" name="Significantly_Wealthier_Lose_Percent" dataDxfId="10" dataCellStyle="Percent">
      <calculatedColumnFormula>COUNTIFS(Table1[year],Table25[[#This Row],[Year]],Table1[Wealthier_Winner],-1,Table1[Significantly_Wealthier],TRUE)/Table25[[#This Row],[Significantly_Wealthier_Count]]</calculatedColumnFormula>
    </tableColumn>
    <tableColumn id="2" xr3:uid="{50BBB4A8-E627-CD47-860D-A57DE478775D}" name="Count" dataDxfId="9" dataCellStyle="Percent">
      <calculatedColumnFormula>COUNTIFS(Table1[year],Table25[[#This Row],[Year]])</calculatedColumnFormula>
    </tableColumn>
    <tableColumn id="7" xr3:uid="{69A85838-CEDF-E749-A391-9F09BE89762C}" name="Wealthier_Win_Percent" dataDxfId="8" dataCellStyle="Percent">
      <calculatedColumnFormula>COUNTIFS(Table1[year],Table25[[#This Row],[Year]],Table1[Wealthier_Winner],1)/Table25[[#This Row],[Count]]</calculatedColumnFormula>
    </tableColumn>
    <tableColumn id="8" xr3:uid="{9083A836-EF3C-FF49-9D4D-BB1279B6F3A3}" name="Wealthier_Tie_Percent" dataDxfId="7" dataCellStyle="Percent">
      <calculatedColumnFormula>COUNTIFS(Table1[year],Table25[[#This Row],[Year]],Table1[Wealthier_Winner],0)/Table25[[#This Row],[Count]]</calculatedColumnFormula>
    </tableColumn>
    <tableColumn id="9" xr3:uid="{E3342B41-2F46-F245-A1D7-C6AE956DDD57}" name="Wealthier_Lose_Percent" dataDxfId="6" dataCellStyle="Percent">
      <calculatedColumnFormula>COUNTIFS(Table1[year],Table25[[#This Row],[Year]],Table1[Wealthier_Winner],-1)/Table25[[#This Row],[Count]]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854C8B-EF3A-4CDF-B03F-010819BD76EB}" name="Table2" displayName="Table2" ref="A1:I8" totalsRowShown="0">
  <autoFilter ref="A1:I8" xr:uid="{72854C8B-EF3A-4CDF-B03F-010819BD76EB}"/>
  <tableColumns count="9">
    <tableColumn id="6" xr3:uid="{8DBA5592-EF3D-4B8D-95AF-78FC292F452A}" name="Decade" dataDxfId="18"/>
    <tableColumn id="10" xr3:uid="{C0B45EAA-CE1E-3149-B2AC-A3FC4849313C}" name="Significantly_Wealthier_Count" dataDxfId="17">
      <calculatedColumnFormula>COUNTIFS(Table1[decade],Table2[[#This Row],[Decade]],Table1[Significantly_Wealthier],TRUE)</calculatedColumnFormula>
    </tableColumn>
    <tableColumn id="3" xr3:uid="{058C8D27-38BC-4AA8-88D2-CB85D886D27A}" name="Significantly_Wealthier_Win_Percent" dataDxfId="5" dataCellStyle="Percent">
      <calculatedColumnFormula>COUNTIFS(Table1[decade],Table2[[#This Row],[Decade]],Table1[Wealthier_Winner],1,Table1[Significantly_Wealthier],TRUE)/Table2[[#This Row],[Significantly_Wealthier_Count]]</calculatedColumnFormula>
    </tableColumn>
    <tableColumn id="4" xr3:uid="{1BAA19C8-15E4-4FA5-ADC6-C60BB1631607}" name="Significantly_Wealthier_Tie_Percent" dataDxfId="4" dataCellStyle="Percent">
      <calculatedColumnFormula>COUNTIFS(Table1[decade],Table2[[#This Row],[Decade]],Table1[Wealthier_Winner],0,Table1[Significantly_Wealthier],TRUE)/Table2[[#This Row],[Significantly_Wealthier_Count]]</calculatedColumnFormula>
    </tableColumn>
    <tableColumn id="5" xr3:uid="{E31725DC-3FFC-429B-90EF-5E923E8DACF2}" name="Significantly_Wealthier_Lose_Percent" dataDxfId="3" dataCellStyle="Percent">
      <calculatedColumnFormula>COUNTIFS(Table1[decade],Table2[[#This Row],[Decade]],Table1[Wealthier_Winner],-1,Table1[Significantly_Wealthier],TRUE)/Table2[[#This Row],[Significantly_Wealthier_Count]]</calculatedColumnFormula>
    </tableColumn>
    <tableColumn id="2" xr3:uid="{AF43FEBF-9FC7-44F4-8046-CD84891D1DE8}" name="Count" dataDxfId="16" dataCellStyle="Percent">
      <calculatedColumnFormula>COUNTIFS(Table1[decade],Table2[[#This Row],[Decade]])</calculatedColumnFormula>
    </tableColumn>
    <tableColumn id="7" xr3:uid="{C8008CC0-DD93-A442-951B-82E5404AE808}" name="Wealthier_Win_Percent" dataDxfId="2" dataCellStyle="Percent">
      <calculatedColumnFormula>COUNTIFS(Table1[decade],Table2[[#This Row],[Decade]],Table1[Wealthier_Winner],1)/Table2[[#This Row],[Count]]</calculatedColumnFormula>
    </tableColumn>
    <tableColumn id="8" xr3:uid="{CB1AC2BE-C667-8D4F-83D7-1E001EFAD71A}" name="Wealthier_Tie_Percent" dataDxfId="1" dataCellStyle="Percent">
      <calculatedColumnFormula>COUNTIFS(Table1[decade],Table2[[#This Row],[Decade]],Table1[Wealthier_Winner],0)/Table2[[#This Row],[Count]]</calculatedColumnFormula>
    </tableColumn>
    <tableColumn id="9" xr3:uid="{D3236E2C-A620-6742-93D6-C232B7C876BE}" name="Wealthier_Lose_Percent" dataDxfId="0" dataCellStyle="Percent">
      <calculatedColumnFormula>COUNTIFS(Table1[decade],Table2[[#This Row],[Decade]],Table1[Wealthier_Winner],-1)/Table2[[#This Row],[Count]]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11"/>
  <sheetViews>
    <sheetView workbookViewId="0">
      <selection activeCell="C3" sqref="C3:C6411"/>
    </sheetView>
  </sheetViews>
  <sheetFormatPr baseColWidth="10" defaultColWidth="8.83203125" defaultRowHeight="15" x14ac:dyDescent="0.2"/>
  <cols>
    <col min="1" max="1" width="11" customWidth="1"/>
    <col min="2" max="2" width="19.33203125" customWidth="1"/>
    <col min="3" max="3" width="13.1640625" customWidth="1"/>
    <col min="4" max="4" width="12.6640625" customWidth="1"/>
    <col min="5" max="5" width="13.1640625" customWidth="1"/>
    <col min="6" max="6" width="12.83203125" customWidth="1"/>
    <col min="7" max="7" width="13" customWidth="1"/>
    <col min="9" max="9" width="9.5" customWidth="1"/>
    <col min="12" max="12" width="12.5" customWidth="1"/>
    <col min="13" max="13" width="12.1640625" customWidth="1"/>
    <col min="14" max="15" width="18.1640625" customWidth="1"/>
    <col min="16" max="16" width="16.1640625" customWidth="1"/>
  </cols>
  <sheetData>
    <row r="1" spans="1:17" x14ac:dyDescent="0.2">
      <c r="A1" t="s">
        <v>197</v>
      </c>
      <c r="B1" s="1" t="s">
        <v>0</v>
      </c>
      <c r="C1" s="1" t="s">
        <v>200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215</v>
      </c>
      <c r="P1" s="1" t="s">
        <v>12</v>
      </c>
      <c r="Q1" s="9" t="s">
        <v>889</v>
      </c>
    </row>
    <row r="2" spans="1:17" x14ac:dyDescent="0.2">
      <c r="A2" s="1">
        <v>347</v>
      </c>
      <c r="B2" s="2">
        <v>22149</v>
      </c>
      <c r="C2" s="7">
        <f>_xlfn.FLOOR.MATH(Table1[[#This Row],[year]],10)</f>
        <v>1960</v>
      </c>
      <c r="D2" t="s">
        <v>56</v>
      </c>
      <c r="E2" t="s">
        <v>223</v>
      </c>
      <c r="F2">
        <v>3</v>
      </c>
      <c r="G2">
        <v>2</v>
      </c>
      <c r="H2" t="s">
        <v>224</v>
      </c>
      <c r="I2" t="s">
        <v>225</v>
      </c>
      <c r="J2" t="s">
        <v>56</v>
      </c>
      <c r="K2" t="b">
        <v>0</v>
      </c>
      <c r="L2">
        <v>1960</v>
      </c>
      <c r="M2">
        <v>507513829</v>
      </c>
      <c r="N2">
        <v>1043599900</v>
      </c>
      <c r="O2" t="b">
        <v>1</v>
      </c>
      <c r="P2">
        <v>-1</v>
      </c>
      <c r="Q2" t="str" cm="1">
        <f t="array" ref="Q2">_xlfn.IFS(Table1[[#This Row],[Wealthier_Winner]]=-1,"Wealthier Nation Loses",Table1[[#This Row],[Wealthier_Winner]]=0,"Tie",Table1[[#This Row],[Wealthier_Winner]]=1,"Wealthier Nation Wins")</f>
        <v>Wealthier Nation Loses</v>
      </c>
    </row>
    <row r="3" spans="1:17" x14ac:dyDescent="0.2">
      <c r="A3" s="1">
        <v>348</v>
      </c>
      <c r="B3" s="2">
        <v>22156</v>
      </c>
      <c r="C3" s="7">
        <f>_xlfn.FLOOR.MATH(Table1[[#This Row],[year]],10)</f>
        <v>1960</v>
      </c>
      <c r="D3" t="s">
        <v>63</v>
      </c>
      <c r="E3" t="s">
        <v>43</v>
      </c>
      <c r="F3">
        <v>4</v>
      </c>
      <c r="G3">
        <v>1</v>
      </c>
      <c r="H3" t="s">
        <v>224</v>
      </c>
      <c r="I3" t="s">
        <v>226</v>
      </c>
      <c r="J3" t="s">
        <v>63</v>
      </c>
      <c r="K3" t="b">
        <v>0</v>
      </c>
      <c r="L3">
        <v>1960</v>
      </c>
      <c r="M3">
        <v>1217230094</v>
      </c>
      <c r="N3">
        <v>4196174501</v>
      </c>
      <c r="O3" t="b">
        <v>1</v>
      </c>
      <c r="P3">
        <v>-1</v>
      </c>
      <c r="Q3" t="str" cm="1">
        <f t="array" ref="Q3">_xlfn.IFS(Table1[[#This Row],[Wealthier_Winner]]=-1,"Wealthier Nation Loses",Table1[[#This Row],[Wealthier_Winner]]=0,"Tie",Table1[[#This Row],[Wealthier_Winner]]=1,"Wealthier Nation Wins")</f>
        <v>Wealthier Nation Loses</v>
      </c>
    </row>
    <row r="4" spans="1:17" x14ac:dyDescent="0.2">
      <c r="A4" s="1">
        <v>349</v>
      </c>
      <c r="B4" s="2">
        <v>22156</v>
      </c>
      <c r="C4" s="7">
        <f>_xlfn.FLOOR.MATH(Table1[[#This Row],[year]],10)</f>
        <v>1960</v>
      </c>
      <c r="D4" t="s">
        <v>223</v>
      </c>
      <c r="E4" t="s">
        <v>56</v>
      </c>
      <c r="F4">
        <v>4</v>
      </c>
      <c r="G4">
        <v>4</v>
      </c>
      <c r="H4" t="s">
        <v>224</v>
      </c>
      <c r="I4" t="s">
        <v>227</v>
      </c>
      <c r="J4" t="s">
        <v>223</v>
      </c>
      <c r="K4" t="b">
        <v>0</v>
      </c>
      <c r="L4">
        <v>1960</v>
      </c>
      <c r="M4">
        <v>1043599900</v>
      </c>
      <c r="N4">
        <v>507513829</v>
      </c>
      <c r="O4" t="b">
        <v>1</v>
      </c>
      <c r="P4">
        <v>0</v>
      </c>
      <c r="Q4" t="str" cm="1">
        <f t="array" ref="Q4">_xlfn.IFS(Table1[[#This Row],[Wealthier_Winner]]=-1,"Wealthier Nation Loses",Table1[[#This Row],[Wealthier_Winner]]=0,"Tie",Table1[[#This Row],[Wealthier_Winner]]=1,"Wealthier Nation Wins")</f>
        <v>Tie</v>
      </c>
    </row>
    <row r="5" spans="1:17" x14ac:dyDescent="0.2">
      <c r="A5" s="1">
        <v>350</v>
      </c>
      <c r="B5" s="2">
        <v>22163</v>
      </c>
      <c r="C5" s="7">
        <f>_xlfn.FLOOR.MATH(Table1[[#This Row],[year]],10)</f>
        <v>1960</v>
      </c>
      <c r="D5" t="s">
        <v>65</v>
      </c>
      <c r="E5" t="s">
        <v>56</v>
      </c>
      <c r="F5">
        <v>2</v>
      </c>
      <c r="G5">
        <v>1</v>
      </c>
      <c r="H5" t="s">
        <v>224</v>
      </c>
      <c r="I5" t="s">
        <v>228</v>
      </c>
      <c r="J5" t="s">
        <v>65</v>
      </c>
      <c r="K5" t="b">
        <v>0</v>
      </c>
      <c r="L5">
        <v>1960</v>
      </c>
      <c r="M5">
        <v>475650000</v>
      </c>
      <c r="N5">
        <v>507513829</v>
      </c>
      <c r="O5" t="b">
        <v>0</v>
      </c>
      <c r="P5">
        <v>-1</v>
      </c>
      <c r="Q5" t="str" cm="1">
        <f t="array" ref="Q5">_xlfn.IFS(Table1[[#This Row],[Wealthier_Winner]]=-1,"Wealthier Nation Loses",Table1[[#This Row],[Wealthier_Winner]]=0,"Tie",Table1[[#This Row],[Wealthier_Winner]]=1,"Wealthier Nation Wins")</f>
        <v>Wealthier Nation Loses</v>
      </c>
    </row>
    <row r="6" spans="1:17" x14ac:dyDescent="0.2">
      <c r="A6" s="1">
        <v>351</v>
      </c>
      <c r="B6" s="2">
        <v>22169</v>
      </c>
      <c r="C6" s="7">
        <f>_xlfn.FLOOR.MATH(Table1[[#This Row],[year]],10)</f>
        <v>1960</v>
      </c>
      <c r="D6" t="s">
        <v>43</v>
      </c>
      <c r="E6" t="s">
        <v>63</v>
      </c>
      <c r="F6">
        <v>2</v>
      </c>
      <c r="G6">
        <v>2</v>
      </c>
      <c r="H6" t="s">
        <v>224</v>
      </c>
      <c r="I6" t="s">
        <v>229</v>
      </c>
      <c r="J6" t="s">
        <v>43</v>
      </c>
      <c r="K6" t="b">
        <v>0</v>
      </c>
      <c r="L6">
        <v>1960</v>
      </c>
      <c r="M6">
        <v>4196174501</v>
      </c>
      <c r="N6">
        <v>1217230094</v>
      </c>
      <c r="O6" t="b">
        <v>1</v>
      </c>
      <c r="P6">
        <v>0</v>
      </c>
      <c r="Q6" t="str" cm="1">
        <f t="array" ref="Q6">_xlfn.IFS(Table1[[#This Row],[Wealthier_Winner]]=-1,"Wealthier Nation Loses",Table1[[#This Row],[Wealthier_Winner]]=0,"Tie",Table1[[#This Row],[Wealthier_Winner]]=1,"Wealthier Nation Wins")</f>
        <v>Tie</v>
      </c>
    </row>
    <row r="7" spans="1:17" x14ac:dyDescent="0.2">
      <c r="A7" s="1">
        <v>352</v>
      </c>
      <c r="B7" s="2">
        <v>22170</v>
      </c>
      <c r="C7" s="7">
        <f>_xlfn.FLOOR.MATH(Table1[[#This Row],[year]],10)</f>
        <v>1960</v>
      </c>
      <c r="D7" t="s">
        <v>56</v>
      </c>
      <c r="E7" t="s">
        <v>65</v>
      </c>
      <c r="F7">
        <v>5</v>
      </c>
      <c r="G7">
        <v>0</v>
      </c>
      <c r="H7" t="s">
        <v>224</v>
      </c>
      <c r="I7" t="s">
        <v>225</v>
      </c>
      <c r="J7" t="s">
        <v>56</v>
      </c>
      <c r="K7" t="b">
        <v>0</v>
      </c>
      <c r="L7">
        <v>1960</v>
      </c>
      <c r="M7">
        <v>507513829</v>
      </c>
      <c r="N7">
        <v>475650000</v>
      </c>
      <c r="O7" t="b">
        <v>0</v>
      </c>
      <c r="P7">
        <v>1</v>
      </c>
      <c r="Q7" t="str" cm="1">
        <f t="array" ref="Q7">_xlfn.IFS(Table1[[#This Row],[Wealthier_Winner]]=-1,"Wealthier Nation Loses",Table1[[#This Row],[Wealthier_Winner]]=0,"Tie",Table1[[#This Row],[Wealthier_Winner]]=1,"Wealthier Nation Wins")</f>
        <v>Wealthier Nation Wins</v>
      </c>
    </row>
    <row r="8" spans="1:17" x14ac:dyDescent="0.2">
      <c r="A8" s="1">
        <v>353</v>
      </c>
      <c r="B8" s="2">
        <v>22184</v>
      </c>
      <c r="C8" s="7">
        <f>_xlfn.FLOOR.MATH(Table1[[#This Row],[year]],10)</f>
        <v>1960</v>
      </c>
      <c r="D8" t="s">
        <v>230</v>
      </c>
      <c r="E8" t="s">
        <v>20</v>
      </c>
      <c r="F8">
        <v>1</v>
      </c>
      <c r="G8">
        <v>2</v>
      </c>
      <c r="H8" t="s">
        <v>224</v>
      </c>
      <c r="I8" t="s">
        <v>231</v>
      </c>
      <c r="J8" t="s">
        <v>230</v>
      </c>
      <c r="K8" t="b">
        <v>0</v>
      </c>
      <c r="L8">
        <v>1960</v>
      </c>
      <c r="M8">
        <v>5279481824</v>
      </c>
      <c r="N8">
        <v>61959085885</v>
      </c>
      <c r="O8" t="b">
        <v>1</v>
      </c>
      <c r="P8">
        <v>1</v>
      </c>
      <c r="Q8" t="str" cm="1">
        <f t="array" ref="Q8">_xlfn.IFS(Table1[[#This Row],[Wealthier_Winner]]=-1,"Wealthier Nation Loses",Table1[[#This Row],[Wealthier_Winner]]=0,"Tie",Table1[[#This Row],[Wealthier_Winner]]=1,"Wealthier Nation Wins")</f>
        <v>Wealthier Nation Wins</v>
      </c>
    </row>
    <row r="9" spans="1:17" x14ac:dyDescent="0.2">
      <c r="A9" s="1">
        <v>354</v>
      </c>
      <c r="B9" s="2">
        <v>22184</v>
      </c>
      <c r="C9" s="7">
        <f>_xlfn.FLOOR.MATH(Table1[[#This Row],[year]],10)</f>
        <v>1960</v>
      </c>
      <c r="D9" t="s">
        <v>65</v>
      </c>
      <c r="E9" t="s">
        <v>223</v>
      </c>
      <c r="F9">
        <v>1</v>
      </c>
      <c r="G9">
        <v>1</v>
      </c>
      <c r="H9" t="s">
        <v>224</v>
      </c>
      <c r="I9" t="s">
        <v>228</v>
      </c>
      <c r="J9" t="s">
        <v>65</v>
      </c>
      <c r="K9" t="b">
        <v>0</v>
      </c>
      <c r="L9">
        <v>1960</v>
      </c>
      <c r="M9">
        <v>475650000</v>
      </c>
      <c r="N9">
        <v>1043599900</v>
      </c>
      <c r="O9" t="b">
        <v>1</v>
      </c>
      <c r="P9">
        <v>0</v>
      </c>
      <c r="Q9" t="str" cm="1">
        <f t="array" ref="Q9">_xlfn.IFS(Table1[[#This Row],[Wealthier_Winner]]=-1,"Wealthier Nation Loses",Table1[[#This Row],[Wealthier_Winner]]=0,"Tie",Table1[[#This Row],[Wealthier_Winner]]=1,"Wealthier Nation Wins")</f>
        <v>Tie</v>
      </c>
    </row>
    <row r="10" spans="1:17" x14ac:dyDescent="0.2">
      <c r="A10" s="1">
        <v>356</v>
      </c>
      <c r="B10" s="2">
        <v>22208</v>
      </c>
      <c r="C10" s="7">
        <f>_xlfn.FLOOR.MATH(Table1[[#This Row],[year]],10)</f>
        <v>1960</v>
      </c>
      <c r="D10" t="s">
        <v>232</v>
      </c>
      <c r="E10" t="s">
        <v>194</v>
      </c>
      <c r="F10">
        <v>0</v>
      </c>
      <c r="G10">
        <v>9</v>
      </c>
      <c r="H10" t="s">
        <v>224</v>
      </c>
      <c r="I10" t="s">
        <v>232</v>
      </c>
      <c r="J10" t="s">
        <v>232</v>
      </c>
      <c r="K10" t="b">
        <v>0</v>
      </c>
      <c r="L10">
        <v>1960</v>
      </c>
      <c r="M10">
        <v>709941874</v>
      </c>
      <c r="N10">
        <v>73233967692</v>
      </c>
      <c r="O10" t="b">
        <v>1</v>
      </c>
      <c r="P10">
        <v>1</v>
      </c>
      <c r="Q10" t="str" cm="1">
        <f t="array" ref="Q10">_xlfn.IFS(Table1[[#This Row],[Wealthier_Winner]]=-1,"Wealthier Nation Loses",Table1[[#This Row],[Wealthier_Winner]]=0,"Tie",Table1[[#This Row],[Wealthier_Winner]]=1,"Wealthier Nation Wins")</f>
        <v>Wealthier Nation Wins</v>
      </c>
    </row>
    <row r="11" spans="1:17" x14ac:dyDescent="0.2">
      <c r="A11" s="1">
        <v>357</v>
      </c>
      <c r="B11" s="2">
        <v>22208</v>
      </c>
      <c r="C11" s="7">
        <f>_xlfn.FLOOR.MATH(Table1[[#This Row],[year]],10)</f>
        <v>1960</v>
      </c>
      <c r="D11" t="s">
        <v>25</v>
      </c>
      <c r="E11" t="s">
        <v>23</v>
      </c>
      <c r="F11">
        <v>2</v>
      </c>
      <c r="G11">
        <v>0</v>
      </c>
      <c r="H11" t="s">
        <v>224</v>
      </c>
      <c r="I11" t="s">
        <v>233</v>
      </c>
      <c r="J11" t="s">
        <v>25</v>
      </c>
      <c r="K11" t="b">
        <v>0</v>
      </c>
      <c r="L11">
        <v>1960</v>
      </c>
      <c r="M11">
        <v>15930075466</v>
      </c>
      <c r="N11">
        <v>11810619368</v>
      </c>
      <c r="O11" t="b">
        <v>0</v>
      </c>
      <c r="P11">
        <v>1</v>
      </c>
      <c r="Q11" t="str" cm="1">
        <f t="array" ref="Q11">_xlfn.IFS(Table1[[#This Row],[Wealthier_Winner]]=-1,"Wealthier Nation Loses",Table1[[#This Row],[Wealthier_Winner]]=0,"Tie",Table1[[#This Row],[Wealthier_Winner]]=1,"Wealthier Nation Wins")</f>
        <v>Wealthier Nation Wins</v>
      </c>
    </row>
    <row r="12" spans="1:17" x14ac:dyDescent="0.2">
      <c r="A12" s="1">
        <v>360</v>
      </c>
      <c r="B12" s="2">
        <v>22223</v>
      </c>
      <c r="C12" s="7">
        <f>_xlfn.FLOOR.MATH(Table1[[#This Row],[year]],10)</f>
        <v>1960</v>
      </c>
      <c r="D12" t="s">
        <v>41</v>
      </c>
      <c r="E12" t="s">
        <v>17</v>
      </c>
      <c r="F12">
        <v>3</v>
      </c>
      <c r="G12">
        <v>3</v>
      </c>
      <c r="H12" t="s">
        <v>224</v>
      </c>
      <c r="I12" t="s">
        <v>234</v>
      </c>
      <c r="J12" t="s">
        <v>41</v>
      </c>
      <c r="K12" t="b">
        <v>0</v>
      </c>
      <c r="L12">
        <v>1960</v>
      </c>
      <c r="M12">
        <v>541988586206</v>
      </c>
      <c r="N12">
        <v>13040000000</v>
      </c>
      <c r="O12" t="b">
        <v>1</v>
      </c>
      <c r="P12">
        <v>0</v>
      </c>
      <c r="Q12" t="str" cm="1">
        <f t="array" ref="Q12">_xlfn.IFS(Table1[[#This Row],[Wealthier_Winner]]=-1,"Wealthier Nation Loses",Table1[[#This Row],[Wealthier_Winner]]=0,"Tie",Table1[[#This Row],[Wealthier_Winner]]=1,"Wealthier Nation Wins")</f>
        <v>Tie</v>
      </c>
    </row>
    <row r="13" spans="1:17" x14ac:dyDescent="0.2">
      <c r="A13" s="1">
        <v>361</v>
      </c>
      <c r="B13" s="2">
        <v>22226</v>
      </c>
      <c r="C13" s="7">
        <f>_xlfn.FLOOR.MATH(Table1[[#This Row],[year]],10)</f>
        <v>1960</v>
      </c>
      <c r="D13" t="s">
        <v>195</v>
      </c>
      <c r="E13" t="s">
        <v>51</v>
      </c>
      <c r="F13">
        <v>2</v>
      </c>
      <c r="G13">
        <v>1</v>
      </c>
      <c r="H13" t="s">
        <v>224</v>
      </c>
      <c r="I13" t="s">
        <v>136</v>
      </c>
      <c r="J13" t="s">
        <v>195</v>
      </c>
      <c r="K13" t="b">
        <v>0</v>
      </c>
      <c r="L13">
        <v>1960</v>
      </c>
      <c r="M13">
        <v>3973069306</v>
      </c>
      <c r="N13">
        <v>47419238274</v>
      </c>
      <c r="O13" t="b">
        <v>1</v>
      </c>
      <c r="P13">
        <v>-1</v>
      </c>
      <c r="Q13" t="str" cm="1">
        <f t="array" ref="Q13">_xlfn.IFS(Table1[[#This Row],[Wealthier_Winner]]=-1,"Wealthier Nation Loses",Table1[[#This Row],[Wealthier_Winner]]=0,"Tie",Table1[[#This Row],[Wealthier_Winner]]=1,"Wealthier Nation Wins")</f>
        <v>Wealthier Nation Loses</v>
      </c>
    </row>
    <row r="14" spans="1:17" x14ac:dyDescent="0.2">
      <c r="A14" s="1">
        <v>362</v>
      </c>
      <c r="B14" s="2">
        <v>22226</v>
      </c>
      <c r="C14" s="7">
        <f>_xlfn.FLOOR.MATH(Table1[[#This Row],[year]],10)</f>
        <v>1960</v>
      </c>
      <c r="D14" t="s">
        <v>17</v>
      </c>
      <c r="E14" t="s">
        <v>41</v>
      </c>
      <c r="F14">
        <v>3</v>
      </c>
      <c r="G14">
        <v>0</v>
      </c>
      <c r="H14" t="s">
        <v>224</v>
      </c>
      <c r="I14" t="s">
        <v>83</v>
      </c>
      <c r="J14" t="s">
        <v>17</v>
      </c>
      <c r="K14" t="b">
        <v>0</v>
      </c>
      <c r="L14">
        <v>1960</v>
      </c>
      <c r="M14">
        <v>13040000000</v>
      </c>
      <c r="N14">
        <v>541988586206</v>
      </c>
      <c r="O14" t="b">
        <v>1</v>
      </c>
      <c r="P14">
        <v>-1</v>
      </c>
      <c r="Q14" t="str" cm="1">
        <f t="array" ref="Q14">_xlfn.IFS(Table1[[#This Row],[Wealthier_Winner]]=-1,"Wealthier Nation Loses",Table1[[#This Row],[Wealthier_Winner]]=0,"Tie",Table1[[#This Row],[Wealthier_Winner]]=1,"Wealthier Nation Wins")</f>
        <v>Wealthier Nation Loses</v>
      </c>
    </row>
    <row r="15" spans="1:17" x14ac:dyDescent="0.2">
      <c r="A15" s="1">
        <v>365</v>
      </c>
      <c r="B15" s="2">
        <v>22240</v>
      </c>
      <c r="C15" s="7">
        <f>_xlfn.FLOOR.MATH(Table1[[#This Row],[year]],10)</f>
        <v>1960</v>
      </c>
      <c r="D15" t="s">
        <v>23</v>
      </c>
      <c r="E15" t="s">
        <v>46</v>
      </c>
      <c r="F15">
        <v>2</v>
      </c>
      <c r="G15">
        <v>4</v>
      </c>
      <c r="H15" t="s">
        <v>224</v>
      </c>
      <c r="I15" t="s">
        <v>235</v>
      </c>
      <c r="J15" t="s">
        <v>23</v>
      </c>
      <c r="K15" t="b">
        <v>0</v>
      </c>
      <c r="L15">
        <v>1960</v>
      </c>
      <c r="M15">
        <v>11810619368</v>
      </c>
      <c r="N15">
        <v>10412232620</v>
      </c>
      <c r="O15" t="b">
        <v>0</v>
      </c>
      <c r="P15">
        <v>-1</v>
      </c>
      <c r="Q15" t="str" cm="1">
        <f t="array" ref="Q15">_xlfn.IFS(Table1[[#This Row],[Wealthier_Winner]]=-1,"Wealthier Nation Loses",Table1[[#This Row],[Wealthier_Winner]]=0,"Tie",Table1[[#This Row],[Wealthier_Winner]]=1,"Wealthier Nation Wins")</f>
        <v>Wealthier Nation Loses</v>
      </c>
    </row>
    <row r="16" spans="1:17" x14ac:dyDescent="0.2">
      <c r="A16" s="1">
        <v>366</v>
      </c>
      <c r="B16" s="2">
        <v>22240</v>
      </c>
      <c r="C16" s="7">
        <f>_xlfn.FLOOR.MATH(Table1[[#This Row],[year]],10)</f>
        <v>1960</v>
      </c>
      <c r="D16" t="s">
        <v>48</v>
      </c>
      <c r="E16" t="s">
        <v>16</v>
      </c>
      <c r="F16">
        <v>0</v>
      </c>
      <c r="G16">
        <v>3</v>
      </c>
      <c r="H16" t="s">
        <v>224</v>
      </c>
      <c r="I16" t="s">
        <v>236</v>
      </c>
      <c r="J16" t="s">
        <v>48</v>
      </c>
      <c r="K16" t="b">
        <v>0</v>
      </c>
      <c r="L16">
        <v>1960</v>
      </c>
      <c r="M16">
        <v>4274890306</v>
      </c>
      <c r="N16">
        <v>84619845881</v>
      </c>
      <c r="O16" t="b">
        <v>1</v>
      </c>
      <c r="P16">
        <v>1</v>
      </c>
      <c r="Q16" t="str" cm="1">
        <f t="array" ref="Q16">_xlfn.IFS(Table1[[#This Row],[Wealthier_Winner]]=-1,"Wealthier Nation Loses",Table1[[#This Row],[Wealthier_Winner]]=0,"Tie",Table1[[#This Row],[Wealthier_Winner]]=1,"Wealthier Nation Wins")</f>
        <v>Wealthier Nation Wins</v>
      </c>
    </row>
    <row r="17" spans="1:17" x14ac:dyDescent="0.2">
      <c r="A17" s="1">
        <v>369</v>
      </c>
      <c r="B17" s="2">
        <v>22254</v>
      </c>
      <c r="C17" s="7">
        <f>_xlfn.FLOOR.MATH(Table1[[#This Row],[year]],10)</f>
        <v>1960</v>
      </c>
      <c r="D17" t="s">
        <v>57</v>
      </c>
      <c r="E17" t="s">
        <v>19</v>
      </c>
      <c r="F17">
        <v>3</v>
      </c>
      <c r="G17">
        <v>6</v>
      </c>
      <c r="H17" t="s">
        <v>224</v>
      </c>
      <c r="I17" t="s">
        <v>237</v>
      </c>
      <c r="J17" t="s">
        <v>57</v>
      </c>
      <c r="K17" t="b">
        <v>0</v>
      </c>
      <c r="L17">
        <v>1960</v>
      </c>
      <c r="M17">
        <v>2069464937</v>
      </c>
      <c r="N17">
        <v>15865474315</v>
      </c>
      <c r="O17" t="b">
        <v>1</v>
      </c>
      <c r="P17">
        <v>1</v>
      </c>
      <c r="Q17" t="str" cm="1">
        <f t="array" ref="Q17">_xlfn.IFS(Table1[[#This Row],[Wealthier_Winner]]=-1,"Wealthier Nation Loses",Table1[[#This Row],[Wealthier_Winner]]=0,"Tie",Table1[[#This Row],[Wealthier_Winner]]=1,"Wealthier Nation Wins")</f>
        <v>Wealthier Nation Wins</v>
      </c>
    </row>
    <row r="18" spans="1:17" x14ac:dyDescent="0.2">
      <c r="A18" s="1">
        <v>371</v>
      </c>
      <c r="B18" s="2">
        <v>22267</v>
      </c>
      <c r="C18" s="7">
        <f>_xlfn.FLOOR.MATH(Table1[[#This Row],[year]],10)</f>
        <v>1960</v>
      </c>
      <c r="D18" t="s">
        <v>19</v>
      </c>
      <c r="E18" t="s">
        <v>57</v>
      </c>
      <c r="F18">
        <v>5</v>
      </c>
      <c r="G18">
        <v>0</v>
      </c>
      <c r="H18" t="s">
        <v>224</v>
      </c>
      <c r="I18" t="s">
        <v>93</v>
      </c>
      <c r="J18" t="s">
        <v>19</v>
      </c>
      <c r="K18" t="b">
        <v>0</v>
      </c>
      <c r="L18">
        <v>1960</v>
      </c>
      <c r="M18">
        <v>15865474315</v>
      </c>
      <c r="N18">
        <v>2069464937</v>
      </c>
      <c r="O18" t="b">
        <v>1</v>
      </c>
      <c r="P18">
        <v>1</v>
      </c>
      <c r="Q18" t="str" cm="1">
        <f t="array" ref="Q18">_xlfn.IFS(Table1[[#This Row],[Wealthier_Winner]]=-1,"Wealthier Nation Loses",Table1[[#This Row],[Wealthier_Winner]]=0,"Tie",Table1[[#This Row],[Wealthier_Winner]]=1,"Wealthier Nation Wins")</f>
        <v>Wealthier Nation Wins</v>
      </c>
    </row>
    <row r="19" spans="1:17" x14ac:dyDescent="0.2">
      <c r="A19" s="1">
        <v>372</v>
      </c>
      <c r="B19" s="2">
        <v>22295</v>
      </c>
      <c r="C19" s="7">
        <f>_xlfn.FLOOR.MATH(Table1[[#This Row],[year]],10)</f>
        <v>1960</v>
      </c>
      <c r="D19" t="s">
        <v>56</v>
      </c>
      <c r="E19" t="s">
        <v>65</v>
      </c>
      <c r="F19">
        <v>1</v>
      </c>
      <c r="G19">
        <v>0</v>
      </c>
      <c r="H19" t="s">
        <v>224</v>
      </c>
      <c r="I19" t="s">
        <v>227</v>
      </c>
      <c r="J19" t="s">
        <v>223</v>
      </c>
      <c r="K19" t="b">
        <v>1</v>
      </c>
      <c r="L19">
        <v>1961</v>
      </c>
      <c r="M19">
        <v>490325181</v>
      </c>
      <c r="N19">
        <v>503300000</v>
      </c>
      <c r="O19" t="b">
        <v>0</v>
      </c>
      <c r="P19">
        <v>-1</v>
      </c>
      <c r="Q19" t="str" cm="1">
        <f t="array" ref="Q19">_xlfn.IFS(Table1[[#This Row],[Wealthier_Winner]]=-1,"Wealthier Nation Loses",Table1[[#This Row],[Wealthier_Winner]]=0,"Tie",Table1[[#This Row],[Wealthier_Winner]]=1,"Wealthier Nation Wins")</f>
        <v>Wealthier Nation Loses</v>
      </c>
    </row>
    <row r="20" spans="1:17" x14ac:dyDescent="0.2">
      <c r="A20" s="1">
        <v>373</v>
      </c>
      <c r="B20" s="2">
        <v>22303</v>
      </c>
      <c r="C20" s="7">
        <f>_xlfn.FLOOR.MATH(Table1[[#This Row],[year]],10)</f>
        <v>1960</v>
      </c>
      <c r="D20" t="s">
        <v>24</v>
      </c>
      <c r="E20" t="s">
        <v>53</v>
      </c>
      <c r="F20">
        <v>1</v>
      </c>
      <c r="G20">
        <v>1</v>
      </c>
      <c r="H20" t="s">
        <v>224</v>
      </c>
      <c r="I20" t="s">
        <v>213</v>
      </c>
      <c r="J20" t="s">
        <v>18</v>
      </c>
      <c r="K20" t="b">
        <v>1</v>
      </c>
      <c r="L20">
        <v>1961</v>
      </c>
      <c r="M20">
        <v>2025693539</v>
      </c>
      <c r="N20">
        <v>866155428</v>
      </c>
      <c r="O20" t="b">
        <v>1</v>
      </c>
      <c r="P20">
        <v>0</v>
      </c>
      <c r="Q20" t="str" cm="1">
        <f t="array" ref="Q20">_xlfn.IFS(Table1[[#This Row],[Wealthier_Winner]]=-1,"Wealthier Nation Loses",Table1[[#This Row],[Wealthier_Winner]]=0,"Tie",Table1[[#This Row],[Wealthier_Winner]]=1,"Wealthier Nation Wins")</f>
        <v>Tie</v>
      </c>
    </row>
    <row r="21" spans="1:17" x14ac:dyDescent="0.2">
      <c r="A21" s="1">
        <v>374</v>
      </c>
      <c r="B21" s="2">
        <v>22354</v>
      </c>
      <c r="C21" s="7">
        <f>_xlfn.FLOOR.MATH(Table1[[#This Row],[year]],10)</f>
        <v>1960</v>
      </c>
      <c r="D21" t="s">
        <v>22</v>
      </c>
      <c r="E21" t="s">
        <v>238</v>
      </c>
      <c r="F21">
        <v>1</v>
      </c>
      <c r="G21">
        <v>0</v>
      </c>
      <c r="H21" t="s">
        <v>224</v>
      </c>
      <c r="I21" t="s">
        <v>239</v>
      </c>
      <c r="J21" t="s">
        <v>22</v>
      </c>
      <c r="K21" t="b">
        <v>0</v>
      </c>
      <c r="L21">
        <v>1961</v>
      </c>
      <c r="M21">
        <v>3708586471</v>
      </c>
      <c r="N21">
        <v>1680859514</v>
      </c>
      <c r="O21" t="b">
        <v>1</v>
      </c>
      <c r="P21">
        <v>1</v>
      </c>
      <c r="Q21" t="str" cm="1">
        <f t="array" ref="Q21">_xlfn.IFS(Table1[[#This Row],[Wealthier_Winner]]=-1,"Wealthier Nation Loses",Table1[[#This Row],[Wealthier_Winner]]=0,"Tie",Table1[[#This Row],[Wealthier_Winner]]=1,"Wealthier Nation Wins")</f>
        <v>Wealthier Nation Wins</v>
      </c>
    </row>
    <row r="22" spans="1:17" x14ac:dyDescent="0.2">
      <c r="A22" s="1">
        <v>375</v>
      </c>
      <c r="B22" s="2">
        <v>22359</v>
      </c>
      <c r="C22" s="7">
        <f>_xlfn.FLOOR.MATH(Table1[[#This Row],[year]],10)</f>
        <v>1960</v>
      </c>
      <c r="D22" t="s">
        <v>22</v>
      </c>
      <c r="E22" t="s">
        <v>238</v>
      </c>
      <c r="F22">
        <v>3</v>
      </c>
      <c r="G22">
        <v>2</v>
      </c>
      <c r="H22" t="s">
        <v>224</v>
      </c>
      <c r="I22" t="s">
        <v>239</v>
      </c>
      <c r="J22" t="s">
        <v>22</v>
      </c>
      <c r="K22" t="b">
        <v>0</v>
      </c>
      <c r="L22">
        <v>1961</v>
      </c>
      <c r="M22">
        <v>3708586471</v>
      </c>
      <c r="N22">
        <v>1680859514</v>
      </c>
      <c r="O22" t="b">
        <v>1</v>
      </c>
      <c r="P22">
        <v>1</v>
      </c>
      <c r="Q22" t="str" cm="1">
        <f t="array" ref="Q22">_xlfn.IFS(Table1[[#This Row],[Wealthier_Winner]]=-1,"Wealthier Nation Loses",Table1[[#This Row],[Wealthier_Winner]]=0,"Tie",Table1[[#This Row],[Wealthier_Winner]]=1,"Wealthier Nation Wins")</f>
        <v>Wealthier Nation Wins</v>
      </c>
    </row>
    <row r="23" spans="1:17" x14ac:dyDescent="0.2">
      <c r="A23" s="1">
        <v>376</v>
      </c>
      <c r="B23" s="2">
        <v>22359</v>
      </c>
      <c r="C23" s="7">
        <f>_xlfn.FLOOR.MATH(Table1[[#This Row],[year]],10)</f>
        <v>1960</v>
      </c>
      <c r="D23" t="s">
        <v>38</v>
      </c>
      <c r="E23" t="s">
        <v>232</v>
      </c>
      <c r="F23">
        <v>6</v>
      </c>
      <c r="G23">
        <v>0</v>
      </c>
      <c r="H23" t="s">
        <v>224</v>
      </c>
      <c r="I23" t="s">
        <v>240</v>
      </c>
      <c r="J23" t="s">
        <v>38</v>
      </c>
      <c r="K23" t="b">
        <v>0</v>
      </c>
      <c r="L23">
        <v>1961</v>
      </c>
      <c r="M23">
        <v>3573719084</v>
      </c>
      <c r="N23">
        <v>710163719</v>
      </c>
      <c r="O23" t="b">
        <v>1</v>
      </c>
      <c r="P23">
        <v>1</v>
      </c>
      <c r="Q23" t="str" cm="1">
        <f t="array" ref="Q23">_xlfn.IFS(Table1[[#This Row],[Wealthier_Winner]]=-1,"Wealthier Nation Loses",Table1[[#This Row],[Wealthier_Winner]]=0,"Tie",Table1[[#This Row],[Wealthier_Winner]]=1,"Wealthier Nation Wins")</f>
        <v>Wealthier Nation Wins</v>
      </c>
    </row>
    <row r="24" spans="1:17" x14ac:dyDescent="0.2">
      <c r="A24" s="1">
        <v>377</v>
      </c>
      <c r="B24" s="2">
        <v>22362</v>
      </c>
      <c r="C24" s="7">
        <f>_xlfn.FLOOR.MATH(Table1[[#This Row],[year]],10)</f>
        <v>1960</v>
      </c>
      <c r="D24" t="s">
        <v>56</v>
      </c>
      <c r="E24" t="s">
        <v>17</v>
      </c>
      <c r="F24">
        <v>1</v>
      </c>
      <c r="G24">
        <v>0</v>
      </c>
      <c r="H24" t="s">
        <v>224</v>
      </c>
      <c r="I24" t="s">
        <v>225</v>
      </c>
      <c r="J24" t="s">
        <v>56</v>
      </c>
      <c r="K24" t="b">
        <v>0</v>
      </c>
      <c r="L24">
        <v>1961</v>
      </c>
      <c r="M24">
        <v>490325181</v>
      </c>
      <c r="N24">
        <v>14160000000</v>
      </c>
      <c r="O24" t="b">
        <v>1</v>
      </c>
      <c r="P24">
        <v>-1</v>
      </c>
      <c r="Q24" t="str" cm="1">
        <f t="array" ref="Q24">_xlfn.IFS(Table1[[#This Row],[Wealthier_Winner]]=-1,"Wealthier Nation Loses",Table1[[#This Row],[Wealthier_Winner]]=0,"Tie",Table1[[#This Row],[Wealthier_Winner]]=1,"Wealthier Nation Wins")</f>
        <v>Wealthier Nation Loses</v>
      </c>
    </row>
    <row r="25" spans="1:17" x14ac:dyDescent="0.2">
      <c r="A25" s="1">
        <v>379</v>
      </c>
      <c r="B25" s="2">
        <v>22373</v>
      </c>
      <c r="C25" s="7">
        <f>_xlfn.FLOOR.MATH(Table1[[#This Row],[year]],10)</f>
        <v>1960</v>
      </c>
      <c r="D25" t="s">
        <v>63</v>
      </c>
      <c r="E25" t="s">
        <v>24</v>
      </c>
      <c r="F25">
        <v>0</v>
      </c>
      <c r="G25">
        <v>0</v>
      </c>
      <c r="H25" t="s">
        <v>224</v>
      </c>
      <c r="I25" t="s">
        <v>226</v>
      </c>
      <c r="J25" t="s">
        <v>63</v>
      </c>
      <c r="K25" t="b">
        <v>0</v>
      </c>
      <c r="L25">
        <v>1961</v>
      </c>
      <c r="M25">
        <v>1302674324</v>
      </c>
      <c r="N25">
        <v>2025693539</v>
      </c>
      <c r="O25" t="b">
        <v>0</v>
      </c>
      <c r="P25">
        <v>0</v>
      </c>
      <c r="Q25" t="str" cm="1">
        <f t="array" ref="Q25">_xlfn.IFS(Table1[[#This Row],[Wealthier_Winner]]=-1,"Wealthier Nation Loses",Table1[[#This Row],[Wealthier_Winner]]=0,"Tie",Table1[[#This Row],[Wealthier_Winner]]=1,"Wealthier Nation Wins")</f>
        <v>Tie</v>
      </c>
    </row>
    <row r="26" spans="1:17" x14ac:dyDescent="0.2">
      <c r="A26" s="1">
        <v>381</v>
      </c>
      <c r="B26" s="2">
        <v>22383</v>
      </c>
      <c r="C26" s="7">
        <f>_xlfn.FLOOR.MATH(Table1[[#This Row],[year]],10)</f>
        <v>1960</v>
      </c>
      <c r="D26" t="s">
        <v>17</v>
      </c>
      <c r="E26" t="s">
        <v>56</v>
      </c>
      <c r="F26">
        <v>4</v>
      </c>
      <c r="G26">
        <v>1</v>
      </c>
      <c r="H26" t="s">
        <v>224</v>
      </c>
      <c r="I26" t="s">
        <v>83</v>
      </c>
      <c r="J26" t="s">
        <v>17</v>
      </c>
      <c r="K26" t="b">
        <v>0</v>
      </c>
      <c r="L26">
        <v>1961</v>
      </c>
      <c r="M26">
        <v>14160000000</v>
      </c>
      <c r="N26">
        <v>490325181</v>
      </c>
      <c r="O26" t="b">
        <v>1</v>
      </c>
      <c r="P26">
        <v>1</v>
      </c>
      <c r="Q26" t="str" cm="1">
        <f t="array" ref="Q26">_xlfn.IFS(Table1[[#This Row],[Wealthier_Winner]]=-1,"Wealthier Nation Loses",Table1[[#This Row],[Wealthier_Winner]]=0,"Tie",Table1[[#This Row],[Wealthier_Winner]]=1,"Wealthier Nation Wins")</f>
        <v>Wealthier Nation Wins</v>
      </c>
    </row>
    <row r="27" spans="1:17" x14ac:dyDescent="0.2">
      <c r="A27" s="1">
        <v>385</v>
      </c>
      <c r="B27" s="2">
        <v>22401</v>
      </c>
      <c r="C27" s="7">
        <f>_xlfn.FLOOR.MATH(Table1[[#This Row],[year]],10)</f>
        <v>1960</v>
      </c>
      <c r="D27" t="s">
        <v>15</v>
      </c>
      <c r="E27" t="s">
        <v>31</v>
      </c>
      <c r="F27">
        <v>1</v>
      </c>
      <c r="G27">
        <v>0</v>
      </c>
      <c r="H27" t="s">
        <v>224</v>
      </c>
      <c r="I27" t="s">
        <v>241</v>
      </c>
      <c r="J27" t="s">
        <v>15</v>
      </c>
      <c r="K27" t="b">
        <v>0</v>
      </c>
      <c r="L27">
        <v>1961</v>
      </c>
      <c r="M27">
        <v>4540447761</v>
      </c>
      <c r="N27">
        <v>2897852693</v>
      </c>
      <c r="O27" t="b">
        <v>0</v>
      </c>
      <c r="P27">
        <v>1</v>
      </c>
      <c r="Q27" t="str" cm="1">
        <f t="array" ref="Q27">_xlfn.IFS(Table1[[#This Row],[Wealthier_Winner]]=-1,"Wealthier Nation Loses",Table1[[#This Row],[Wealthier_Winner]]=0,"Tie",Table1[[#This Row],[Wealthier_Winner]]=1,"Wealthier Nation Wins")</f>
        <v>Wealthier Nation Wins</v>
      </c>
    </row>
    <row r="28" spans="1:17" x14ac:dyDescent="0.2">
      <c r="A28" s="1">
        <v>390</v>
      </c>
      <c r="B28" s="2">
        <v>22408</v>
      </c>
      <c r="C28" s="7">
        <f>_xlfn.FLOOR.MATH(Table1[[#This Row],[year]],10)</f>
        <v>1960</v>
      </c>
      <c r="D28" t="s">
        <v>31</v>
      </c>
      <c r="E28" t="s">
        <v>15</v>
      </c>
      <c r="F28">
        <v>1</v>
      </c>
      <c r="G28">
        <v>1</v>
      </c>
      <c r="H28" t="s">
        <v>224</v>
      </c>
      <c r="I28" t="s">
        <v>242</v>
      </c>
      <c r="J28" t="s">
        <v>31</v>
      </c>
      <c r="K28" t="b">
        <v>0</v>
      </c>
      <c r="L28">
        <v>1961</v>
      </c>
      <c r="M28">
        <v>2897852693</v>
      </c>
      <c r="N28">
        <v>4540447761</v>
      </c>
      <c r="O28" t="b">
        <v>0</v>
      </c>
      <c r="P28">
        <v>0</v>
      </c>
      <c r="Q28" t="str" cm="1">
        <f t="array" ref="Q28">_xlfn.IFS(Table1[[#This Row],[Wealthier_Winner]]=-1,"Wealthier Nation Loses",Table1[[#This Row],[Wealthier_Winner]]=0,"Tie",Table1[[#This Row],[Wealthier_Winner]]=1,"Wealthier Nation Wins")</f>
        <v>Tie</v>
      </c>
    </row>
    <row r="29" spans="1:17" x14ac:dyDescent="0.2">
      <c r="A29" s="1">
        <v>395</v>
      </c>
      <c r="B29" s="2">
        <v>22421</v>
      </c>
      <c r="C29" s="7">
        <f>_xlfn.FLOOR.MATH(Table1[[#This Row],[year]],10)</f>
        <v>1960</v>
      </c>
      <c r="D29" t="s">
        <v>46</v>
      </c>
      <c r="E29" t="s">
        <v>23</v>
      </c>
      <c r="F29">
        <v>2</v>
      </c>
      <c r="G29">
        <v>1</v>
      </c>
      <c r="H29" t="s">
        <v>224</v>
      </c>
      <c r="I29" t="s">
        <v>243</v>
      </c>
      <c r="J29" t="s">
        <v>46</v>
      </c>
      <c r="K29" t="b">
        <v>0</v>
      </c>
      <c r="L29">
        <v>1961</v>
      </c>
      <c r="M29">
        <v>11713348834</v>
      </c>
      <c r="N29">
        <v>12561701694</v>
      </c>
      <c r="O29" t="b">
        <v>0</v>
      </c>
      <c r="P29">
        <v>-1</v>
      </c>
      <c r="Q29" t="str" cm="1">
        <f t="array" ref="Q29">_xlfn.IFS(Table1[[#This Row],[Wealthier_Winner]]=-1,"Wealthier Nation Loses",Table1[[#This Row],[Wealthier_Winner]]=0,"Tie",Table1[[#This Row],[Wealthier_Winner]]=1,"Wealthier Nation Wins")</f>
        <v>Wealthier Nation Loses</v>
      </c>
    </row>
    <row r="30" spans="1:17" x14ac:dyDescent="0.2">
      <c r="A30" s="1">
        <v>397</v>
      </c>
      <c r="B30" s="2">
        <v>22422</v>
      </c>
      <c r="C30" s="7">
        <f>_xlfn.FLOOR.MATH(Table1[[#This Row],[year]],10)</f>
        <v>1960</v>
      </c>
      <c r="D30" t="s">
        <v>38</v>
      </c>
      <c r="E30" t="s">
        <v>194</v>
      </c>
      <c r="F30">
        <v>1</v>
      </c>
      <c r="G30">
        <v>1</v>
      </c>
      <c r="H30" t="s">
        <v>224</v>
      </c>
      <c r="I30" t="s">
        <v>240</v>
      </c>
      <c r="J30" t="s">
        <v>38</v>
      </c>
      <c r="K30" t="b">
        <v>0</v>
      </c>
      <c r="L30">
        <v>1961</v>
      </c>
      <c r="M30">
        <v>3573719084</v>
      </c>
      <c r="N30">
        <v>77741965703</v>
      </c>
      <c r="O30" t="b">
        <v>1</v>
      </c>
      <c r="P30">
        <v>0</v>
      </c>
      <c r="Q30" t="str" cm="1">
        <f t="array" ref="Q30">_xlfn.IFS(Table1[[#This Row],[Wealthier_Winner]]=-1,"Wealthier Nation Loses",Table1[[#This Row],[Wealthier_Winner]]=0,"Tie",Table1[[#This Row],[Wealthier_Winner]]=1,"Wealthier Nation Wins")</f>
        <v>Tie</v>
      </c>
    </row>
    <row r="31" spans="1:17" x14ac:dyDescent="0.2">
      <c r="A31" s="1">
        <v>398</v>
      </c>
      <c r="B31" s="2">
        <v>22429</v>
      </c>
      <c r="C31" s="7">
        <f>_xlfn.FLOOR.MATH(Table1[[#This Row],[year]],10)</f>
        <v>1960</v>
      </c>
      <c r="D31" t="s">
        <v>24</v>
      </c>
      <c r="E31" t="s">
        <v>63</v>
      </c>
      <c r="F31">
        <v>1</v>
      </c>
      <c r="G31">
        <v>0</v>
      </c>
      <c r="H31" t="s">
        <v>224</v>
      </c>
      <c r="I31" t="s">
        <v>244</v>
      </c>
      <c r="J31" t="s">
        <v>24</v>
      </c>
      <c r="K31" t="b">
        <v>0</v>
      </c>
      <c r="L31">
        <v>1961</v>
      </c>
      <c r="M31">
        <v>2025693539</v>
      </c>
      <c r="N31">
        <v>1302674324</v>
      </c>
      <c r="O31" t="b">
        <v>0</v>
      </c>
      <c r="P31">
        <v>1</v>
      </c>
      <c r="Q31" t="str" cm="1">
        <f t="array" ref="Q31">_xlfn.IFS(Table1[[#This Row],[Wealthier_Winner]]=-1,"Wealthier Nation Loses",Table1[[#This Row],[Wealthier_Winner]]=0,"Tie",Table1[[#This Row],[Wealthier_Winner]]=1,"Wealthier Nation Wins")</f>
        <v>Wealthier Nation Wins</v>
      </c>
    </row>
    <row r="32" spans="1:17" x14ac:dyDescent="0.2">
      <c r="A32" s="1">
        <v>399</v>
      </c>
      <c r="B32" s="2">
        <v>22429</v>
      </c>
      <c r="C32" s="7">
        <f>_xlfn.FLOOR.MATH(Table1[[#This Row],[year]],10)</f>
        <v>1960</v>
      </c>
      <c r="D32" t="s">
        <v>25</v>
      </c>
      <c r="E32" t="s">
        <v>46</v>
      </c>
      <c r="F32">
        <v>4</v>
      </c>
      <c r="G32">
        <v>0</v>
      </c>
      <c r="H32" t="s">
        <v>224</v>
      </c>
      <c r="I32" t="s">
        <v>233</v>
      </c>
      <c r="J32" t="s">
        <v>25</v>
      </c>
      <c r="K32" t="b">
        <v>0</v>
      </c>
      <c r="L32">
        <v>1961</v>
      </c>
      <c r="M32">
        <v>17329620584</v>
      </c>
      <c r="N32">
        <v>11713348834</v>
      </c>
      <c r="O32" t="b">
        <v>0</v>
      </c>
      <c r="P32">
        <v>1</v>
      </c>
      <c r="Q32" t="str" cm="1">
        <f t="array" ref="Q32">_xlfn.IFS(Table1[[#This Row],[Wealthier_Winner]]=-1,"Wealthier Nation Loses",Table1[[#This Row],[Wealthier_Winner]]=0,"Tie",Table1[[#This Row],[Wealthier_Winner]]=1,"Wealthier Nation Wins")</f>
        <v>Wealthier Nation Wins</v>
      </c>
    </row>
    <row r="33" spans="1:17" x14ac:dyDescent="0.2">
      <c r="A33" s="1">
        <v>402</v>
      </c>
      <c r="B33" s="2">
        <v>22443</v>
      </c>
      <c r="C33" s="7">
        <f>_xlfn.FLOOR.MATH(Table1[[#This Row],[year]],10)</f>
        <v>1960</v>
      </c>
      <c r="D33" t="s">
        <v>51</v>
      </c>
      <c r="E33" t="s">
        <v>195</v>
      </c>
      <c r="F33">
        <v>0</v>
      </c>
      <c r="G33">
        <v>2</v>
      </c>
      <c r="H33" t="s">
        <v>224</v>
      </c>
      <c r="I33" t="s">
        <v>245</v>
      </c>
      <c r="J33" t="s">
        <v>51</v>
      </c>
      <c r="K33" t="b">
        <v>0</v>
      </c>
      <c r="L33">
        <v>1961</v>
      </c>
      <c r="M33">
        <v>57266758179</v>
      </c>
      <c r="N33">
        <v>2427244760</v>
      </c>
      <c r="O33" t="b">
        <v>1</v>
      </c>
      <c r="P33">
        <v>-1</v>
      </c>
      <c r="Q33" t="str" cm="1">
        <f t="array" ref="Q33">_xlfn.IFS(Table1[[#This Row],[Wealthier_Winner]]=-1,"Wealthier Nation Loses",Table1[[#This Row],[Wealthier_Winner]]=0,"Tie",Table1[[#This Row],[Wealthier_Winner]]=1,"Wealthier Nation Wins")</f>
        <v>Wealthier Nation Loses</v>
      </c>
    </row>
    <row r="34" spans="1:17" x14ac:dyDescent="0.2">
      <c r="A34" s="1">
        <v>407</v>
      </c>
      <c r="B34" s="2">
        <v>22477</v>
      </c>
      <c r="C34" s="7">
        <f>_xlfn.FLOOR.MATH(Table1[[#This Row],[year]],10)</f>
        <v>1960</v>
      </c>
      <c r="D34" t="s">
        <v>47</v>
      </c>
      <c r="E34" t="s">
        <v>26</v>
      </c>
      <c r="F34">
        <v>1</v>
      </c>
      <c r="G34">
        <v>1</v>
      </c>
      <c r="H34" t="s">
        <v>224</v>
      </c>
      <c r="I34" t="s">
        <v>246</v>
      </c>
      <c r="J34" t="s">
        <v>47</v>
      </c>
      <c r="K34" t="b">
        <v>0</v>
      </c>
      <c r="L34">
        <v>1961</v>
      </c>
      <c r="M34">
        <v>410101010</v>
      </c>
      <c r="N34">
        <v>1547388781</v>
      </c>
      <c r="O34" t="b">
        <v>1</v>
      </c>
      <c r="P34">
        <v>0</v>
      </c>
      <c r="Q34" t="str" cm="1">
        <f t="array" ref="Q34">_xlfn.IFS(Table1[[#This Row],[Wealthier_Winner]]=-1,"Wealthier Nation Loses",Table1[[#This Row],[Wealthier_Winner]]=0,"Tie",Table1[[#This Row],[Wealthier_Winner]]=1,"Wealthier Nation Wins")</f>
        <v>Tie</v>
      </c>
    </row>
    <row r="35" spans="1:17" x14ac:dyDescent="0.2">
      <c r="A35" s="1">
        <v>408</v>
      </c>
      <c r="B35" s="2">
        <v>22492</v>
      </c>
      <c r="C35" s="7">
        <f>_xlfn.FLOOR.MATH(Table1[[#This Row],[year]],10)</f>
        <v>1960</v>
      </c>
      <c r="D35" t="s">
        <v>26</v>
      </c>
      <c r="E35" t="s">
        <v>47</v>
      </c>
      <c r="F35">
        <v>2</v>
      </c>
      <c r="G35">
        <v>1</v>
      </c>
      <c r="H35" t="s">
        <v>224</v>
      </c>
      <c r="I35" t="s">
        <v>247</v>
      </c>
      <c r="J35" t="s">
        <v>26</v>
      </c>
      <c r="K35" t="b">
        <v>0</v>
      </c>
      <c r="L35">
        <v>1961</v>
      </c>
      <c r="M35">
        <v>1547388781</v>
      </c>
      <c r="N35">
        <v>410101010</v>
      </c>
      <c r="O35" t="b">
        <v>1</v>
      </c>
      <c r="P35">
        <v>1</v>
      </c>
      <c r="Q35" t="str" cm="1">
        <f t="array" ref="Q35">_xlfn.IFS(Table1[[#This Row],[Wealthier_Winner]]=-1,"Wealthier Nation Loses",Table1[[#This Row],[Wealthier_Winner]]=0,"Tie",Table1[[#This Row],[Wealthier_Winner]]=1,"Wealthier Nation Wins")</f>
        <v>Wealthier Nation Wins</v>
      </c>
    </row>
    <row r="36" spans="1:17" x14ac:dyDescent="0.2">
      <c r="A36" s="1">
        <v>411</v>
      </c>
      <c r="B36" s="2">
        <v>22552</v>
      </c>
      <c r="C36" s="7">
        <f>_xlfn.FLOOR.MATH(Table1[[#This Row],[year]],10)</f>
        <v>1960</v>
      </c>
      <c r="D36" t="s">
        <v>194</v>
      </c>
      <c r="E36" t="s">
        <v>232</v>
      </c>
      <c r="F36">
        <v>4</v>
      </c>
      <c r="G36">
        <v>1</v>
      </c>
      <c r="H36" t="s">
        <v>224</v>
      </c>
      <c r="I36" t="s">
        <v>80</v>
      </c>
      <c r="J36" t="s">
        <v>194</v>
      </c>
      <c r="K36" t="b">
        <v>0</v>
      </c>
      <c r="L36">
        <v>1961</v>
      </c>
      <c r="M36">
        <v>77741965703</v>
      </c>
      <c r="N36">
        <v>710163719</v>
      </c>
      <c r="O36" t="b">
        <v>1</v>
      </c>
      <c r="P36">
        <v>1</v>
      </c>
      <c r="Q36" t="str" cm="1">
        <f t="array" ref="Q36">_xlfn.IFS(Table1[[#This Row],[Wealthier_Winner]]=-1,"Wealthier Nation Loses",Table1[[#This Row],[Wealthier_Winner]]=0,"Tie",Table1[[#This Row],[Wealthier_Winner]]=1,"Wealthier Nation Wins")</f>
        <v>Wealthier Nation Wins</v>
      </c>
    </row>
    <row r="37" spans="1:17" x14ac:dyDescent="0.2">
      <c r="A37" s="1">
        <v>412</v>
      </c>
      <c r="B37" s="2">
        <v>22552</v>
      </c>
      <c r="C37" s="7">
        <f>_xlfn.FLOOR.MATH(Table1[[#This Row],[year]],10)</f>
        <v>1960</v>
      </c>
      <c r="D37" t="s">
        <v>20</v>
      </c>
      <c r="E37" t="s">
        <v>230</v>
      </c>
      <c r="F37">
        <v>5</v>
      </c>
      <c r="G37">
        <v>1</v>
      </c>
      <c r="H37" t="s">
        <v>224</v>
      </c>
      <c r="I37" t="s">
        <v>134</v>
      </c>
      <c r="J37" t="s">
        <v>20</v>
      </c>
      <c r="K37" t="b">
        <v>0</v>
      </c>
      <c r="L37">
        <v>1961</v>
      </c>
      <c r="M37">
        <v>67158050215</v>
      </c>
      <c r="N37">
        <v>5984433774</v>
      </c>
      <c r="O37" t="b">
        <v>1</v>
      </c>
      <c r="P37">
        <v>1</v>
      </c>
      <c r="Q37" t="str" cm="1">
        <f t="array" ref="Q37">_xlfn.IFS(Table1[[#This Row],[Wealthier_Winner]]=-1,"Wealthier Nation Loses",Table1[[#This Row],[Wealthier_Winner]]=0,"Tie",Table1[[#This Row],[Wealthier_Winner]]=1,"Wealthier Nation Wins")</f>
        <v>Wealthier Nation Wins</v>
      </c>
    </row>
    <row r="38" spans="1:17" x14ac:dyDescent="0.2">
      <c r="A38" s="1">
        <v>414</v>
      </c>
      <c r="B38" s="2">
        <v>22558</v>
      </c>
      <c r="C38" s="7">
        <f>_xlfn.FLOOR.MATH(Table1[[#This Row],[year]],10)</f>
        <v>1960</v>
      </c>
      <c r="D38" t="s">
        <v>23</v>
      </c>
      <c r="E38" t="s">
        <v>25</v>
      </c>
      <c r="F38">
        <v>0</v>
      </c>
      <c r="G38">
        <v>2</v>
      </c>
      <c r="H38" t="s">
        <v>224</v>
      </c>
      <c r="I38" t="s">
        <v>235</v>
      </c>
      <c r="J38" t="s">
        <v>23</v>
      </c>
      <c r="K38" t="b">
        <v>0</v>
      </c>
      <c r="L38">
        <v>1961</v>
      </c>
      <c r="M38">
        <v>12561701694</v>
      </c>
      <c r="N38">
        <v>17329620584</v>
      </c>
      <c r="O38" t="b">
        <v>0</v>
      </c>
      <c r="P38">
        <v>1</v>
      </c>
      <c r="Q38" t="str" cm="1">
        <f t="array" ref="Q38">_xlfn.IFS(Table1[[#This Row],[Wealthier_Winner]]=-1,"Wealthier Nation Loses",Table1[[#This Row],[Wealthier_Winner]]=0,"Tie",Table1[[#This Row],[Wealthier_Winner]]=1,"Wealthier Nation Wins")</f>
        <v>Wealthier Nation Wins</v>
      </c>
    </row>
    <row r="39" spans="1:17" x14ac:dyDescent="0.2">
      <c r="A39" s="1">
        <v>416</v>
      </c>
      <c r="B39" s="2">
        <v>22562</v>
      </c>
      <c r="C39" s="7">
        <f>_xlfn.FLOOR.MATH(Table1[[#This Row],[year]],10)</f>
        <v>1960</v>
      </c>
      <c r="D39" t="s">
        <v>232</v>
      </c>
      <c r="E39" t="s">
        <v>38</v>
      </c>
      <c r="F39">
        <v>4</v>
      </c>
      <c r="G39">
        <v>2</v>
      </c>
      <c r="H39" t="s">
        <v>224</v>
      </c>
      <c r="I39" t="s">
        <v>232</v>
      </c>
      <c r="J39" t="s">
        <v>232</v>
      </c>
      <c r="K39" t="b">
        <v>0</v>
      </c>
      <c r="L39">
        <v>1961</v>
      </c>
      <c r="M39">
        <v>710163719</v>
      </c>
      <c r="N39">
        <v>3573719084</v>
      </c>
      <c r="O39" t="b">
        <v>1</v>
      </c>
      <c r="P39">
        <v>-1</v>
      </c>
      <c r="Q39" t="str" cm="1">
        <f t="array" ref="Q39">_xlfn.IFS(Table1[[#This Row],[Wealthier_Winner]]=-1,"Wealthier Nation Loses",Table1[[#This Row],[Wealthier_Winner]]=0,"Tie",Table1[[#This Row],[Wealthier_Winner]]=1,"Wealthier Nation Wins")</f>
        <v>Wealthier Nation Loses</v>
      </c>
    </row>
    <row r="40" spans="1:17" x14ac:dyDescent="0.2">
      <c r="A40" s="1">
        <v>418</v>
      </c>
      <c r="B40" s="2">
        <v>22569</v>
      </c>
      <c r="C40" s="7">
        <f>_xlfn.FLOOR.MATH(Table1[[#This Row],[year]],10)</f>
        <v>1960</v>
      </c>
      <c r="D40" t="s">
        <v>22</v>
      </c>
      <c r="E40" t="s">
        <v>18</v>
      </c>
      <c r="F40">
        <v>2</v>
      </c>
      <c r="G40">
        <v>4</v>
      </c>
      <c r="H40" t="s">
        <v>224</v>
      </c>
      <c r="I40" t="s">
        <v>239</v>
      </c>
      <c r="J40" t="s">
        <v>22</v>
      </c>
      <c r="K40" t="b">
        <v>0</v>
      </c>
      <c r="L40">
        <v>1961</v>
      </c>
      <c r="M40">
        <v>3708586471</v>
      </c>
      <c r="N40">
        <v>46649487320</v>
      </c>
      <c r="O40" t="b">
        <v>1</v>
      </c>
      <c r="P40">
        <v>1</v>
      </c>
      <c r="Q40" t="str" cm="1">
        <f t="array" ref="Q40">_xlfn.IFS(Table1[[#This Row],[Wealthier_Winner]]=-1,"Wealthier Nation Loses",Table1[[#This Row],[Wealthier_Winner]]=0,"Tie",Table1[[#This Row],[Wealthier_Winner]]=1,"Wealthier Nation Wins")</f>
        <v>Wealthier Nation Wins</v>
      </c>
    </row>
    <row r="41" spans="1:17" x14ac:dyDescent="0.2">
      <c r="A41" s="1">
        <v>420</v>
      </c>
      <c r="B41" s="2">
        <v>22576</v>
      </c>
      <c r="C41" s="7">
        <f>_xlfn.FLOOR.MATH(Table1[[#This Row],[year]],10)</f>
        <v>1960</v>
      </c>
      <c r="D41" t="s">
        <v>16</v>
      </c>
      <c r="E41" t="s">
        <v>48</v>
      </c>
      <c r="F41">
        <v>2</v>
      </c>
      <c r="G41">
        <v>1</v>
      </c>
      <c r="H41" t="s">
        <v>224</v>
      </c>
      <c r="I41" t="s">
        <v>248</v>
      </c>
      <c r="J41" t="s">
        <v>16</v>
      </c>
      <c r="K41" t="b">
        <v>0</v>
      </c>
      <c r="L41">
        <v>1961</v>
      </c>
      <c r="M41">
        <v>96558204043</v>
      </c>
      <c r="N41">
        <v>4892397431</v>
      </c>
      <c r="O41" t="b">
        <v>1</v>
      </c>
      <c r="P41">
        <v>1</v>
      </c>
      <c r="Q41" t="str" cm="1">
        <f t="array" ref="Q41">_xlfn.IFS(Table1[[#This Row],[Wealthier_Winner]]=-1,"Wealthier Nation Loses",Table1[[#This Row],[Wealthier_Winner]]=0,"Tie",Table1[[#This Row],[Wealthier_Winner]]=1,"Wealthier Nation Wins")</f>
        <v>Wealthier Nation Wins</v>
      </c>
    </row>
    <row r="42" spans="1:17" x14ac:dyDescent="0.2">
      <c r="A42" s="1">
        <v>422</v>
      </c>
      <c r="B42" s="2">
        <v>22579</v>
      </c>
      <c r="C42" s="7">
        <f>_xlfn.FLOOR.MATH(Table1[[#This Row],[year]],10)</f>
        <v>1960</v>
      </c>
      <c r="D42" t="s">
        <v>194</v>
      </c>
      <c r="E42" t="s">
        <v>38</v>
      </c>
      <c r="F42">
        <v>2</v>
      </c>
      <c r="G42">
        <v>0</v>
      </c>
      <c r="H42" t="s">
        <v>224</v>
      </c>
      <c r="I42" t="s">
        <v>80</v>
      </c>
      <c r="J42" t="s">
        <v>194</v>
      </c>
      <c r="K42" t="b">
        <v>0</v>
      </c>
      <c r="L42">
        <v>1961</v>
      </c>
      <c r="M42">
        <v>77741965703</v>
      </c>
      <c r="N42">
        <v>3573719084</v>
      </c>
      <c r="O42" t="b">
        <v>1</v>
      </c>
      <c r="P42">
        <v>1</v>
      </c>
      <c r="Q42" t="str" cm="1">
        <f t="array" ref="Q42">_xlfn.IFS(Table1[[#This Row],[Wealthier_Winner]]=-1,"Wealthier Nation Loses",Table1[[#This Row],[Wealthier_Winner]]=0,"Tie",Table1[[#This Row],[Wealthier_Winner]]=1,"Wealthier Nation Wins")</f>
        <v>Wealthier Nation Wins</v>
      </c>
    </row>
    <row r="43" spans="1:17" x14ac:dyDescent="0.2">
      <c r="A43" s="1">
        <v>425</v>
      </c>
      <c r="B43" s="2">
        <v>22583</v>
      </c>
      <c r="C43" s="7">
        <f>_xlfn.FLOOR.MATH(Table1[[#This Row],[year]],10)</f>
        <v>1960</v>
      </c>
      <c r="D43" t="s">
        <v>17</v>
      </c>
      <c r="E43" t="s">
        <v>35</v>
      </c>
      <c r="F43">
        <v>1</v>
      </c>
      <c r="G43">
        <v>0</v>
      </c>
      <c r="H43" t="s">
        <v>224</v>
      </c>
      <c r="I43" t="s">
        <v>83</v>
      </c>
      <c r="J43" t="s">
        <v>17</v>
      </c>
      <c r="K43" t="b">
        <v>0</v>
      </c>
      <c r="L43">
        <v>1961</v>
      </c>
      <c r="M43">
        <v>14160000000</v>
      </c>
      <c r="N43">
        <v>322053713</v>
      </c>
      <c r="O43" t="b">
        <v>1</v>
      </c>
      <c r="P43">
        <v>1</v>
      </c>
      <c r="Q43" t="str" cm="1">
        <f t="array" ref="Q43">_xlfn.IFS(Table1[[#This Row],[Wealthier_Winner]]=-1,"Wealthier Nation Loses",Table1[[#This Row],[Wealthier_Winner]]=0,"Tie",Table1[[#This Row],[Wealthier_Winner]]=1,"Wealthier Nation Wins")</f>
        <v>Wealthier Nation Wins</v>
      </c>
    </row>
    <row r="44" spans="1:17" x14ac:dyDescent="0.2">
      <c r="A44" s="1">
        <v>426</v>
      </c>
      <c r="B44" s="2">
        <v>22583</v>
      </c>
      <c r="C44" s="7">
        <f>_xlfn.FLOOR.MATH(Table1[[#This Row],[year]],10)</f>
        <v>1960</v>
      </c>
      <c r="D44" t="s">
        <v>46</v>
      </c>
      <c r="E44" t="s">
        <v>25</v>
      </c>
      <c r="F44">
        <v>3</v>
      </c>
      <c r="G44">
        <v>2</v>
      </c>
      <c r="H44" t="s">
        <v>224</v>
      </c>
      <c r="I44" t="s">
        <v>249</v>
      </c>
      <c r="J44" t="s">
        <v>46</v>
      </c>
      <c r="K44" t="b">
        <v>0</v>
      </c>
      <c r="L44">
        <v>1961</v>
      </c>
      <c r="M44">
        <v>11713348834</v>
      </c>
      <c r="N44">
        <v>17329620584</v>
      </c>
      <c r="O44" t="b">
        <v>0</v>
      </c>
      <c r="P44">
        <v>-1</v>
      </c>
      <c r="Q44" t="str" cm="1">
        <f t="array" ref="Q44">_xlfn.IFS(Table1[[#This Row],[Wealthier_Winner]]=-1,"Wealthier Nation Loses",Table1[[#This Row],[Wealthier_Winner]]=0,"Tie",Table1[[#This Row],[Wealthier_Winner]]=1,"Wealthier Nation Wins")</f>
        <v>Wealthier Nation Loses</v>
      </c>
    </row>
    <row r="45" spans="1:17" x14ac:dyDescent="0.2">
      <c r="A45" s="1">
        <v>428</v>
      </c>
      <c r="B45" s="2">
        <v>22589</v>
      </c>
      <c r="C45" s="7">
        <f>_xlfn.FLOOR.MATH(Table1[[#This Row],[year]],10)</f>
        <v>1960</v>
      </c>
      <c r="D45" t="s">
        <v>18</v>
      </c>
      <c r="E45" t="s">
        <v>22</v>
      </c>
      <c r="F45">
        <v>6</v>
      </c>
      <c r="G45">
        <v>0</v>
      </c>
      <c r="H45" t="s">
        <v>224</v>
      </c>
      <c r="I45" t="s">
        <v>111</v>
      </c>
      <c r="J45" t="s">
        <v>18</v>
      </c>
      <c r="K45" t="b">
        <v>0</v>
      </c>
      <c r="L45">
        <v>1961</v>
      </c>
      <c r="M45">
        <v>46649487320</v>
      </c>
      <c r="N45">
        <v>3708586471</v>
      </c>
      <c r="O45" t="b">
        <v>1</v>
      </c>
      <c r="P45">
        <v>1</v>
      </c>
      <c r="Q45" t="str" cm="1">
        <f t="array" ref="Q45">_xlfn.IFS(Table1[[#This Row],[Wealthier_Winner]]=-1,"Wealthier Nation Loses",Table1[[#This Row],[Wealthier_Winner]]=0,"Tie",Table1[[#This Row],[Wealthier_Winner]]=1,"Wealthier Nation Wins")</f>
        <v>Wealthier Nation Wins</v>
      </c>
    </row>
    <row r="46" spans="1:17" x14ac:dyDescent="0.2">
      <c r="A46" s="1">
        <v>429</v>
      </c>
      <c r="B46" s="2">
        <v>22590</v>
      </c>
      <c r="C46" s="7">
        <f>_xlfn.FLOOR.MATH(Table1[[#This Row],[year]],10)</f>
        <v>1960</v>
      </c>
      <c r="D46" t="s">
        <v>35</v>
      </c>
      <c r="E46" t="s">
        <v>17</v>
      </c>
      <c r="F46">
        <v>0</v>
      </c>
      <c r="G46">
        <v>0</v>
      </c>
      <c r="H46" t="s">
        <v>224</v>
      </c>
      <c r="I46" t="s">
        <v>250</v>
      </c>
      <c r="J46" t="s">
        <v>35</v>
      </c>
      <c r="K46" t="b">
        <v>0</v>
      </c>
      <c r="L46">
        <v>1961</v>
      </c>
      <c r="M46">
        <v>322053713</v>
      </c>
      <c r="N46">
        <v>14160000000</v>
      </c>
      <c r="O46" t="b">
        <v>1</v>
      </c>
      <c r="P46">
        <v>0</v>
      </c>
      <c r="Q46" t="str" cm="1">
        <f t="array" ref="Q46">_xlfn.IFS(Table1[[#This Row],[Wealthier_Winner]]=-1,"Wealthier Nation Loses",Table1[[#This Row],[Wealthier_Winner]]=0,"Tie",Table1[[#This Row],[Wealthier_Winner]]=1,"Wealthier Nation Wins")</f>
        <v>Tie</v>
      </c>
    </row>
    <row r="47" spans="1:17" x14ac:dyDescent="0.2">
      <c r="A47" s="1">
        <v>431</v>
      </c>
      <c r="B47" s="2">
        <v>22597</v>
      </c>
      <c r="C47" s="7">
        <f>_xlfn.FLOOR.MATH(Table1[[#This Row],[year]],10)</f>
        <v>1960</v>
      </c>
      <c r="D47" t="s">
        <v>24</v>
      </c>
      <c r="E47" t="s">
        <v>21</v>
      </c>
      <c r="F47">
        <v>0</v>
      </c>
      <c r="G47">
        <v>1</v>
      </c>
      <c r="H47" t="s">
        <v>224</v>
      </c>
      <c r="I47" t="s">
        <v>244</v>
      </c>
      <c r="J47" t="s">
        <v>24</v>
      </c>
      <c r="K47" t="b">
        <v>0</v>
      </c>
      <c r="L47">
        <v>1961</v>
      </c>
      <c r="M47">
        <v>2025693539</v>
      </c>
      <c r="N47">
        <v>14238126759</v>
      </c>
      <c r="O47" t="b">
        <v>1</v>
      </c>
      <c r="P47">
        <v>1</v>
      </c>
      <c r="Q47" t="str" cm="1">
        <f t="array" ref="Q47">_xlfn.IFS(Table1[[#This Row],[Wealthier_Winner]]=-1,"Wealthier Nation Loses",Table1[[#This Row],[Wealthier_Winner]]=0,"Tie",Table1[[#This Row],[Wealthier_Winner]]=1,"Wealthier Nation Wins")</f>
        <v>Wealthier Nation Wins</v>
      </c>
    </row>
    <row r="48" spans="1:17" x14ac:dyDescent="0.2">
      <c r="A48" s="1">
        <v>432</v>
      </c>
      <c r="B48" s="2">
        <v>22597</v>
      </c>
      <c r="C48" s="7">
        <f>_xlfn.FLOOR.MATH(Table1[[#This Row],[year]],10)</f>
        <v>1960</v>
      </c>
      <c r="D48" t="s">
        <v>46</v>
      </c>
      <c r="E48" t="s">
        <v>25</v>
      </c>
      <c r="F48">
        <v>2</v>
      </c>
      <c r="G48">
        <v>1</v>
      </c>
      <c r="H48" t="s">
        <v>224</v>
      </c>
      <c r="I48" t="s">
        <v>86</v>
      </c>
      <c r="J48" t="s">
        <v>16</v>
      </c>
      <c r="K48" t="b">
        <v>1</v>
      </c>
      <c r="L48">
        <v>1961</v>
      </c>
      <c r="M48">
        <v>11713348834</v>
      </c>
      <c r="N48">
        <v>17329620584</v>
      </c>
      <c r="O48" t="b">
        <v>0</v>
      </c>
      <c r="P48">
        <v>-1</v>
      </c>
      <c r="Q48" t="str" cm="1">
        <f t="array" ref="Q48">_xlfn.IFS(Table1[[#This Row],[Wealthier_Winner]]=-1,"Wealthier Nation Loses",Table1[[#This Row],[Wealthier_Winner]]=0,"Tie",Table1[[#This Row],[Wealthier_Winner]]=1,"Wealthier Nation Wins")</f>
        <v>Wealthier Nation Loses</v>
      </c>
    </row>
    <row r="49" spans="1:17" x14ac:dyDescent="0.2">
      <c r="A49" s="1">
        <v>434</v>
      </c>
      <c r="B49" s="2">
        <v>22608</v>
      </c>
      <c r="C49" s="7">
        <f>_xlfn.FLOOR.MATH(Table1[[#This Row],[year]],10)</f>
        <v>1960</v>
      </c>
      <c r="D49" t="s">
        <v>21</v>
      </c>
      <c r="E49" t="s">
        <v>24</v>
      </c>
      <c r="F49">
        <v>3</v>
      </c>
      <c r="G49">
        <v>2</v>
      </c>
      <c r="H49" t="s">
        <v>224</v>
      </c>
      <c r="I49" t="s">
        <v>105</v>
      </c>
      <c r="J49" t="s">
        <v>21</v>
      </c>
      <c r="K49" t="b">
        <v>0</v>
      </c>
      <c r="L49">
        <v>1961</v>
      </c>
      <c r="M49">
        <v>14238126759</v>
      </c>
      <c r="N49">
        <v>2025693539</v>
      </c>
      <c r="O49" t="b">
        <v>1</v>
      </c>
      <c r="P49">
        <v>1</v>
      </c>
      <c r="Q49" t="str" cm="1">
        <f t="array" ref="Q49">_xlfn.IFS(Table1[[#This Row],[Wealthier_Winner]]=-1,"Wealthier Nation Loses",Table1[[#This Row],[Wealthier_Winner]]=0,"Tie",Table1[[#This Row],[Wealthier_Winner]]=1,"Wealthier Nation Wins")</f>
        <v>Wealthier Nation Wins</v>
      </c>
    </row>
    <row r="50" spans="1:17" x14ac:dyDescent="0.2">
      <c r="A50" s="1">
        <v>439</v>
      </c>
      <c r="B50" s="2">
        <v>22796</v>
      </c>
      <c r="C50" s="7">
        <f>_xlfn.FLOOR.MATH(Table1[[#This Row],[year]],10)</f>
        <v>1960</v>
      </c>
      <c r="D50" t="s">
        <v>13</v>
      </c>
      <c r="E50" t="s">
        <v>17</v>
      </c>
      <c r="F50">
        <v>2</v>
      </c>
      <c r="G50">
        <v>0</v>
      </c>
      <c r="H50" t="s">
        <v>74</v>
      </c>
      <c r="I50" t="s">
        <v>251</v>
      </c>
      <c r="J50" t="s">
        <v>14</v>
      </c>
      <c r="K50" t="b">
        <v>1</v>
      </c>
      <c r="L50">
        <v>1962</v>
      </c>
      <c r="M50">
        <v>19231747851</v>
      </c>
      <c r="N50">
        <v>15200000000</v>
      </c>
      <c r="O50" t="b">
        <v>0</v>
      </c>
      <c r="P50">
        <v>1</v>
      </c>
      <c r="Q50" t="str" cm="1">
        <f t="array" ref="Q50">_xlfn.IFS(Table1[[#This Row],[Wealthier_Winner]]=-1,"Wealthier Nation Loses",Table1[[#This Row],[Wealthier_Winner]]=0,"Tie",Table1[[#This Row],[Wealthier_Winner]]=1,"Wealthier Nation Wins")</f>
        <v>Wealthier Nation Wins</v>
      </c>
    </row>
    <row r="51" spans="1:17" x14ac:dyDescent="0.2">
      <c r="A51" s="1">
        <v>440</v>
      </c>
      <c r="B51" s="2">
        <v>22796</v>
      </c>
      <c r="C51" s="7">
        <f>_xlfn.FLOOR.MATH(Table1[[#This Row],[year]],10)</f>
        <v>1960</v>
      </c>
      <c r="D51" t="s">
        <v>14</v>
      </c>
      <c r="E51" t="s">
        <v>46</v>
      </c>
      <c r="F51">
        <v>3</v>
      </c>
      <c r="G51">
        <v>1</v>
      </c>
      <c r="H51" t="s">
        <v>74</v>
      </c>
      <c r="I51" t="s">
        <v>75</v>
      </c>
      <c r="J51" t="s">
        <v>14</v>
      </c>
      <c r="K51" t="b">
        <v>0</v>
      </c>
      <c r="L51">
        <v>1962</v>
      </c>
      <c r="M51">
        <v>5765971144</v>
      </c>
      <c r="N51">
        <v>12989649694</v>
      </c>
      <c r="O51" t="b">
        <v>1</v>
      </c>
      <c r="P51">
        <v>-1</v>
      </c>
      <c r="Q51" t="str" cm="1">
        <f t="array" ref="Q51">_xlfn.IFS(Table1[[#This Row],[Wealthier_Winner]]=-1,"Wealthier Nation Loses",Table1[[#This Row],[Wealthier_Winner]]=0,"Tie",Table1[[#This Row],[Wealthier_Winner]]=1,"Wealthier Nation Wins")</f>
        <v>Wealthier Nation Loses</v>
      </c>
    </row>
    <row r="52" spans="1:17" x14ac:dyDescent="0.2">
      <c r="A52" s="1">
        <v>441</v>
      </c>
      <c r="B52" s="2">
        <v>22796</v>
      </c>
      <c r="C52" s="7">
        <f>_xlfn.FLOOR.MATH(Table1[[#This Row],[year]],10)</f>
        <v>1960</v>
      </c>
      <c r="D52" t="s">
        <v>15</v>
      </c>
      <c r="E52" t="s">
        <v>26</v>
      </c>
      <c r="F52">
        <v>1</v>
      </c>
      <c r="G52">
        <v>2</v>
      </c>
      <c r="H52" t="s">
        <v>74</v>
      </c>
      <c r="I52" t="s">
        <v>76</v>
      </c>
      <c r="J52" t="s">
        <v>14</v>
      </c>
      <c r="K52" t="b">
        <v>1</v>
      </c>
      <c r="L52">
        <v>1962</v>
      </c>
      <c r="M52">
        <v>4955543963</v>
      </c>
      <c r="N52">
        <v>1710004407</v>
      </c>
      <c r="O52" t="b">
        <v>1</v>
      </c>
      <c r="P52">
        <v>-1</v>
      </c>
      <c r="Q52" t="str" cm="1">
        <f t="array" ref="Q52">_xlfn.IFS(Table1[[#This Row],[Wealthier_Winner]]=-1,"Wealthier Nation Loses",Table1[[#This Row],[Wealthier_Winner]]=0,"Tie",Table1[[#This Row],[Wealthier_Winner]]=1,"Wealthier Nation Wins")</f>
        <v>Wealthier Nation Loses</v>
      </c>
    </row>
    <row r="53" spans="1:17" x14ac:dyDescent="0.2">
      <c r="A53" s="1">
        <v>444</v>
      </c>
      <c r="B53" s="2">
        <v>22797</v>
      </c>
      <c r="C53" s="7">
        <f>_xlfn.FLOOR.MATH(Table1[[#This Row],[year]],10)</f>
        <v>1960</v>
      </c>
      <c r="D53" t="s">
        <v>16</v>
      </c>
      <c r="E53" t="s">
        <v>18</v>
      </c>
      <c r="F53">
        <v>0</v>
      </c>
      <c r="G53">
        <v>0</v>
      </c>
      <c r="H53" t="s">
        <v>74</v>
      </c>
      <c r="I53" t="s">
        <v>75</v>
      </c>
      <c r="J53" t="s">
        <v>14</v>
      </c>
      <c r="K53" t="b">
        <v>1</v>
      </c>
      <c r="L53">
        <v>1962</v>
      </c>
      <c r="M53">
        <v>105895435234</v>
      </c>
      <c r="N53">
        <v>52413872628</v>
      </c>
      <c r="O53" t="b">
        <v>1</v>
      </c>
      <c r="P53">
        <v>0</v>
      </c>
      <c r="Q53" t="str" cm="1">
        <f t="array" ref="Q53">_xlfn.IFS(Table1[[#This Row],[Wealthier_Winner]]=-1,"Wealthier Nation Loses",Table1[[#This Row],[Wealthier_Winner]]=0,"Tie",Table1[[#This Row],[Wealthier_Winner]]=1,"Wealthier Nation Wins")</f>
        <v>Tie</v>
      </c>
    </row>
    <row r="54" spans="1:17" x14ac:dyDescent="0.2">
      <c r="A54" s="1">
        <v>446</v>
      </c>
      <c r="B54" s="2">
        <v>22799</v>
      </c>
      <c r="C54" s="7">
        <f>_xlfn.FLOOR.MATH(Table1[[#This Row],[year]],10)</f>
        <v>1960</v>
      </c>
      <c r="D54" t="s">
        <v>19</v>
      </c>
      <c r="E54" t="s">
        <v>194</v>
      </c>
      <c r="F54">
        <v>1</v>
      </c>
      <c r="G54">
        <v>3</v>
      </c>
      <c r="H54" t="s">
        <v>74</v>
      </c>
      <c r="I54" t="s">
        <v>209</v>
      </c>
      <c r="J54" t="s">
        <v>14</v>
      </c>
      <c r="K54" t="b">
        <v>1</v>
      </c>
      <c r="L54">
        <v>1962</v>
      </c>
      <c r="M54">
        <v>18337691145</v>
      </c>
      <c r="N54">
        <v>81247564156</v>
      </c>
      <c r="O54" t="b">
        <v>1</v>
      </c>
      <c r="P54">
        <v>1</v>
      </c>
      <c r="Q54" t="str" cm="1">
        <f t="array" ref="Q54">_xlfn.IFS(Table1[[#This Row],[Wealthier_Winner]]=-1,"Wealthier Nation Loses",Table1[[#This Row],[Wealthier_Winner]]=0,"Tie",Table1[[#This Row],[Wealthier_Winner]]=1,"Wealthier Nation Wins")</f>
        <v>Wealthier Nation Wins</v>
      </c>
    </row>
    <row r="55" spans="1:17" x14ac:dyDescent="0.2">
      <c r="A55" s="1">
        <v>448</v>
      </c>
      <c r="B55" s="2">
        <v>22799</v>
      </c>
      <c r="C55" s="7">
        <f>_xlfn.FLOOR.MATH(Table1[[#This Row],[year]],10)</f>
        <v>1960</v>
      </c>
      <c r="D55" t="s">
        <v>14</v>
      </c>
      <c r="E55" t="s">
        <v>18</v>
      </c>
      <c r="F55">
        <v>2</v>
      </c>
      <c r="G55">
        <v>0</v>
      </c>
      <c r="H55" t="s">
        <v>74</v>
      </c>
      <c r="I55" t="s">
        <v>75</v>
      </c>
      <c r="J55" t="s">
        <v>14</v>
      </c>
      <c r="K55" t="b">
        <v>0</v>
      </c>
      <c r="L55">
        <v>1962</v>
      </c>
      <c r="M55">
        <v>5765971144</v>
      </c>
      <c r="N55">
        <v>52413872628</v>
      </c>
      <c r="O55" t="b">
        <v>1</v>
      </c>
      <c r="P55">
        <v>-1</v>
      </c>
      <c r="Q55" t="str" cm="1">
        <f t="array" ref="Q55">_xlfn.IFS(Table1[[#This Row],[Wealthier_Winner]]=-1,"Wealthier Nation Loses",Table1[[#This Row],[Wealthier_Winner]]=0,"Tie",Table1[[#This Row],[Wealthier_Winner]]=1,"Wealthier Nation Wins")</f>
        <v>Wealthier Nation Loses</v>
      </c>
    </row>
    <row r="56" spans="1:17" x14ac:dyDescent="0.2">
      <c r="A56" s="1">
        <v>452</v>
      </c>
      <c r="B56" s="2">
        <v>22800</v>
      </c>
      <c r="C56" s="7">
        <f>_xlfn.FLOOR.MATH(Table1[[#This Row],[year]],10)</f>
        <v>1960</v>
      </c>
      <c r="D56" t="s">
        <v>16</v>
      </c>
      <c r="E56" t="s">
        <v>46</v>
      </c>
      <c r="F56">
        <v>2</v>
      </c>
      <c r="G56">
        <v>1</v>
      </c>
      <c r="H56" t="s">
        <v>74</v>
      </c>
      <c r="I56" t="s">
        <v>75</v>
      </c>
      <c r="J56" t="s">
        <v>14</v>
      </c>
      <c r="K56" t="b">
        <v>1</v>
      </c>
      <c r="L56">
        <v>1962</v>
      </c>
      <c r="M56">
        <v>105895435234</v>
      </c>
      <c r="N56">
        <v>12989649694</v>
      </c>
      <c r="O56" t="b">
        <v>1</v>
      </c>
      <c r="P56">
        <v>1</v>
      </c>
      <c r="Q56" t="str" cm="1">
        <f t="array" ref="Q56">_xlfn.IFS(Table1[[#This Row],[Wealthier_Winner]]=-1,"Wealthier Nation Loses",Table1[[#This Row],[Wealthier_Winner]]=0,"Tie",Table1[[#This Row],[Wealthier_Winner]]=1,"Wealthier Nation Wins")</f>
        <v>Wealthier Nation Wins</v>
      </c>
    </row>
    <row r="57" spans="1:17" x14ac:dyDescent="0.2">
      <c r="A57" s="1">
        <v>453</v>
      </c>
      <c r="B57" s="2">
        <v>22800</v>
      </c>
      <c r="C57" s="7">
        <f>_xlfn.FLOOR.MATH(Table1[[#This Row],[year]],10)</f>
        <v>1960</v>
      </c>
      <c r="D57" t="s">
        <v>17</v>
      </c>
      <c r="E57" t="s">
        <v>21</v>
      </c>
      <c r="F57">
        <v>0</v>
      </c>
      <c r="G57">
        <v>1</v>
      </c>
      <c r="H57" t="s">
        <v>74</v>
      </c>
      <c r="I57" t="s">
        <v>251</v>
      </c>
      <c r="J57" t="s">
        <v>14</v>
      </c>
      <c r="K57" t="b">
        <v>1</v>
      </c>
      <c r="L57">
        <v>1962</v>
      </c>
      <c r="M57">
        <v>15200000000</v>
      </c>
      <c r="N57">
        <v>16609632790</v>
      </c>
      <c r="O57" t="b">
        <v>0</v>
      </c>
      <c r="P57">
        <v>1</v>
      </c>
      <c r="Q57" t="str" cm="1">
        <f t="array" ref="Q57">_xlfn.IFS(Table1[[#This Row],[Wealthier_Winner]]=-1,"Wealthier Nation Loses",Table1[[#This Row],[Wealthier_Winner]]=0,"Tie",Table1[[#This Row],[Wealthier_Winner]]=1,"Wealthier Nation Wins")</f>
        <v>Wealthier Nation Wins</v>
      </c>
    </row>
    <row r="58" spans="1:17" x14ac:dyDescent="0.2">
      <c r="A58" s="1">
        <v>455</v>
      </c>
      <c r="B58" s="2">
        <v>22803</v>
      </c>
      <c r="C58" s="7">
        <f>_xlfn.FLOOR.MATH(Table1[[#This Row],[year]],10)</f>
        <v>1960</v>
      </c>
      <c r="D58" t="s">
        <v>13</v>
      </c>
      <c r="E58" t="s">
        <v>21</v>
      </c>
      <c r="F58">
        <v>2</v>
      </c>
      <c r="G58">
        <v>1</v>
      </c>
      <c r="H58" t="s">
        <v>74</v>
      </c>
      <c r="I58" t="s">
        <v>251</v>
      </c>
      <c r="J58" t="s">
        <v>14</v>
      </c>
      <c r="K58" t="b">
        <v>1</v>
      </c>
      <c r="L58">
        <v>1962</v>
      </c>
      <c r="M58">
        <v>19231747851</v>
      </c>
      <c r="N58">
        <v>16609632790</v>
      </c>
      <c r="O58" t="b">
        <v>0</v>
      </c>
      <c r="P58">
        <v>1</v>
      </c>
      <c r="Q58" t="str" cm="1">
        <f t="array" ref="Q58">_xlfn.IFS(Table1[[#This Row],[Wealthier_Winner]]=-1,"Wealthier Nation Loses",Table1[[#This Row],[Wealthier_Winner]]=0,"Tie",Table1[[#This Row],[Wealthier_Winner]]=1,"Wealthier Nation Wins")</f>
        <v>Wealthier Nation Wins</v>
      </c>
    </row>
    <row r="59" spans="1:17" x14ac:dyDescent="0.2">
      <c r="A59" s="1">
        <v>456</v>
      </c>
      <c r="B59" s="2">
        <v>22803</v>
      </c>
      <c r="C59" s="7">
        <f>_xlfn.FLOOR.MATH(Table1[[#This Row],[year]],10)</f>
        <v>1960</v>
      </c>
      <c r="D59" t="s">
        <v>14</v>
      </c>
      <c r="E59" t="s">
        <v>16</v>
      </c>
      <c r="F59">
        <v>0</v>
      </c>
      <c r="G59">
        <v>2</v>
      </c>
      <c r="H59" t="s">
        <v>74</v>
      </c>
      <c r="I59" t="s">
        <v>75</v>
      </c>
      <c r="J59" t="s">
        <v>14</v>
      </c>
      <c r="K59" t="b">
        <v>0</v>
      </c>
      <c r="L59">
        <v>1962</v>
      </c>
      <c r="M59">
        <v>5765971144</v>
      </c>
      <c r="N59">
        <v>105895435234</v>
      </c>
      <c r="O59" t="b">
        <v>1</v>
      </c>
      <c r="P59">
        <v>1</v>
      </c>
      <c r="Q59" t="str" cm="1">
        <f t="array" ref="Q59">_xlfn.IFS(Table1[[#This Row],[Wealthier_Winner]]=-1,"Wealthier Nation Loses",Table1[[#This Row],[Wealthier_Winner]]=0,"Tie",Table1[[#This Row],[Wealthier_Winner]]=1,"Wealthier Nation Wins")</f>
        <v>Wealthier Nation Wins</v>
      </c>
    </row>
    <row r="60" spans="1:17" x14ac:dyDescent="0.2">
      <c r="A60" s="1">
        <v>461</v>
      </c>
      <c r="B60" s="2">
        <v>22804</v>
      </c>
      <c r="C60" s="7">
        <f>_xlfn.FLOOR.MATH(Table1[[#This Row],[year]],10)</f>
        <v>1960</v>
      </c>
      <c r="D60" t="s">
        <v>18</v>
      </c>
      <c r="E60" t="s">
        <v>46</v>
      </c>
      <c r="F60">
        <v>3</v>
      </c>
      <c r="G60">
        <v>0</v>
      </c>
      <c r="H60" t="s">
        <v>74</v>
      </c>
      <c r="I60" t="s">
        <v>75</v>
      </c>
      <c r="J60" t="s">
        <v>14</v>
      </c>
      <c r="K60" t="b">
        <v>1</v>
      </c>
      <c r="L60">
        <v>1962</v>
      </c>
      <c r="M60">
        <v>52413872628</v>
      </c>
      <c r="N60">
        <v>12989649694</v>
      </c>
      <c r="O60" t="b">
        <v>1</v>
      </c>
      <c r="P60">
        <v>1</v>
      </c>
      <c r="Q60" t="str" cm="1">
        <f t="array" ref="Q60">_xlfn.IFS(Table1[[#This Row],[Wealthier_Winner]]=-1,"Wealthier Nation Loses",Table1[[#This Row],[Wealthier_Winner]]=0,"Tie",Table1[[#This Row],[Wealthier_Winner]]=1,"Wealthier Nation Wins")</f>
        <v>Wealthier Nation Wins</v>
      </c>
    </row>
    <row r="61" spans="1:17" x14ac:dyDescent="0.2">
      <c r="A61" s="1">
        <v>462</v>
      </c>
      <c r="B61" s="2">
        <v>22807</v>
      </c>
      <c r="C61" s="7">
        <f>_xlfn.FLOOR.MATH(Table1[[#This Row],[year]],10)</f>
        <v>1960</v>
      </c>
      <c r="D61" t="s">
        <v>13</v>
      </c>
      <c r="E61" t="s">
        <v>194</v>
      </c>
      <c r="F61">
        <v>3</v>
      </c>
      <c r="G61">
        <v>1</v>
      </c>
      <c r="H61" t="s">
        <v>74</v>
      </c>
      <c r="I61" t="s">
        <v>251</v>
      </c>
      <c r="J61" t="s">
        <v>14</v>
      </c>
      <c r="K61" t="b">
        <v>1</v>
      </c>
      <c r="L61">
        <v>1962</v>
      </c>
      <c r="M61">
        <v>19231747851</v>
      </c>
      <c r="N61">
        <v>81247564156</v>
      </c>
      <c r="O61" t="b">
        <v>1</v>
      </c>
      <c r="P61">
        <v>-1</v>
      </c>
      <c r="Q61" t="str" cm="1">
        <f t="array" ref="Q61">_xlfn.IFS(Table1[[#This Row],[Wealthier_Winner]]=-1,"Wealthier Nation Loses",Table1[[#This Row],[Wealthier_Winner]]=0,"Tie",Table1[[#This Row],[Wealthier_Winner]]=1,"Wealthier Nation Wins")</f>
        <v>Wealthier Nation Loses</v>
      </c>
    </row>
    <row r="62" spans="1:17" x14ac:dyDescent="0.2">
      <c r="A62" s="1">
        <v>466</v>
      </c>
      <c r="B62" s="2">
        <v>22810</v>
      </c>
      <c r="C62" s="7">
        <f>_xlfn.FLOOR.MATH(Table1[[#This Row],[year]],10)</f>
        <v>1960</v>
      </c>
      <c r="D62" t="s">
        <v>14</v>
      </c>
      <c r="E62" t="s">
        <v>13</v>
      </c>
      <c r="F62">
        <v>2</v>
      </c>
      <c r="G62">
        <v>4</v>
      </c>
      <c r="H62" t="s">
        <v>74</v>
      </c>
      <c r="I62" t="s">
        <v>75</v>
      </c>
      <c r="J62" t="s">
        <v>14</v>
      </c>
      <c r="K62" t="b">
        <v>0</v>
      </c>
      <c r="L62">
        <v>1962</v>
      </c>
      <c r="M62">
        <v>5765971144</v>
      </c>
      <c r="N62">
        <v>19231747851</v>
      </c>
      <c r="O62" t="b">
        <v>1</v>
      </c>
      <c r="P62">
        <v>1</v>
      </c>
      <c r="Q62" t="str" cm="1">
        <f t="array" ref="Q62">_xlfn.IFS(Table1[[#This Row],[Wealthier_Winner]]=-1,"Wealthier Nation Loses",Table1[[#This Row],[Wealthier_Winner]]=0,"Tie",Table1[[#This Row],[Wealthier_Winner]]=1,"Wealthier Nation Wins")</f>
        <v>Wealthier Nation Wins</v>
      </c>
    </row>
    <row r="63" spans="1:17" x14ac:dyDescent="0.2">
      <c r="A63" s="1">
        <v>472</v>
      </c>
      <c r="B63" s="2">
        <v>23654</v>
      </c>
      <c r="C63" s="7">
        <f>_xlfn.FLOOR.MATH(Table1[[#This Row],[year]],10)</f>
        <v>1960</v>
      </c>
      <c r="D63" t="s">
        <v>232</v>
      </c>
      <c r="E63" t="s">
        <v>20</v>
      </c>
      <c r="F63">
        <v>0</v>
      </c>
      <c r="G63">
        <v>2</v>
      </c>
      <c r="H63" t="s">
        <v>224</v>
      </c>
      <c r="I63" t="s">
        <v>232</v>
      </c>
      <c r="J63" t="s">
        <v>232</v>
      </c>
      <c r="K63" t="b">
        <v>0</v>
      </c>
      <c r="L63">
        <v>1964</v>
      </c>
      <c r="M63">
        <v>910877686</v>
      </c>
      <c r="N63">
        <v>93424179943</v>
      </c>
      <c r="O63" t="b">
        <v>1</v>
      </c>
      <c r="P63">
        <v>1</v>
      </c>
      <c r="Q63" t="str" cm="1">
        <f t="array" ref="Q63">_xlfn.IFS(Table1[[#This Row],[Wealthier_Winner]]=-1,"Wealthier Nation Loses",Table1[[#This Row],[Wealthier_Winner]]=0,"Tie",Table1[[#This Row],[Wealthier_Winner]]=1,"Wealthier Nation Wins")</f>
        <v>Wealthier Nation Wins</v>
      </c>
    </row>
    <row r="64" spans="1:17" x14ac:dyDescent="0.2">
      <c r="A64" s="1">
        <v>477</v>
      </c>
      <c r="B64" s="2">
        <v>23685</v>
      </c>
      <c r="C64" s="7">
        <f>_xlfn.FLOOR.MATH(Table1[[#This Row],[year]],10)</f>
        <v>1960</v>
      </c>
      <c r="D64" t="s">
        <v>16</v>
      </c>
      <c r="E64" t="s">
        <v>25</v>
      </c>
      <c r="F64">
        <v>1</v>
      </c>
      <c r="G64">
        <v>1</v>
      </c>
      <c r="H64" t="s">
        <v>224</v>
      </c>
      <c r="I64" t="s">
        <v>86</v>
      </c>
      <c r="J64" t="s">
        <v>16</v>
      </c>
      <c r="K64" t="b">
        <v>0</v>
      </c>
      <c r="L64">
        <v>1964</v>
      </c>
      <c r="M64">
        <v>123330404665</v>
      </c>
      <c r="N64">
        <v>22685490195</v>
      </c>
      <c r="O64" t="b">
        <v>1</v>
      </c>
      <c r="P64">
        <v>0</v>
      </c>
      <c r="Q64" t="str" cm="1">
        <f t="array" ref="Q64">_xlfn.IFS(Table1[[#This Row],[Wealthier_Winner]]=-1,"Wealthier Nation Loses",Table1[[#This Row],[Wealthier_Winner]]=0,"Tie",Table1[[#This Row],[Wealthier_Winner]]=1,"Wealthier Nation Wins")</f>
        <v>Tie</v>
      </c>
    </row>
    <row r="65" spans="1:17" x14ac:dyDescent="0.2">
      <c r="A65" s="1">
        <v>478</v>
      </c>
      <c r="B65" s="2">
        <v>23685</v>
      </c>
      <c r="C65" s="7">
        <f>_xlfn.FLOOR.MATH(Table1[[#This Row],[year]],10)</f>
        <v>1960</v>
      </c>
      <c r="D65" t="s">
        <v>18</v>
      </c>
      <c r="E65" t="s">
        <v>230</v>
      </c>
      <c r="F65">
        <v>6</v>
      </c>
      <c r="G65">
        <v>1</v>
      </c>
      <c r="H65" t="s">
        <v>224</v>
      </c>
      <c r="I65" t="s">
        <v>117</v>
      </c>
      <c r="J65" t="s">
        <v>18</v>
      </c>
      <c r="K65" t="b">
        <v>0</v>
      </c>
      <c r="L65">
        <v>1964</v>
      </c>
      <c r="M65">
        <v>65720771779</v>
      </c>
      <c r="N65">
        <v>7848987792</v>
      </c>
      <c r="O65" t="b">
        <v>1</v>
      </c>
      <c r="P65">
        <v>1</v>
      </c>
      <c r="Q65" t="str" cm="1">
        <f t="array" ref="Q65">_xlfn.IFS(Table1[[#This Row],[Wealthier_Winner]]=-1,"Wealthier Nation Loses",Table1[[#This Row],[Wealthier_Winner]]=0,"Tie",Table1[[#This Row],[Wealthier_Winner]]=1,"Wealthier Nation Wins")</f>
        <v>Wealthier Nation Wins</v>
      </c>
    </row>
    <row r="66" spans="1:17" x14ac:dyDescent="0.2">
      <c r="A66" s="1">
        <v>479</v>
      </c>
      <c r="B66" s="2">
        <v>23689</v>
      </c>
      <c r="C66" s="7">
        <f>_xlfn.FLOOR.MATH(Table1[[#This Row],[year]],10)</f>
        <v>1960</v>
      </c>
      <c r="D66" t="s">
        <v>232</v>
      </c>
      <c r="E66" t="s">
        <v>42</v>
      </c>
      <c r="F66">
        <v>0</v>
      </c>
      <c r="G66">
        <v>2</v>
      </c>
      <c r="H66" t="s">
        <v>224</v>
      </c>
      <c r="I66" t="s">
        <v>232</v>
      </c>
      <c r="J66" t="s">
        <v>232</v>
      </c>
      <c r="K66" t="b">
        <v>0</v>
      </c>
      <c r="L66">
        <v>1964</v>
      </c>
      <c r="M66">
        <v>910877686</v>
      </c>
      <c r="N66">
        <v>7206522121</v>
      </c>
      <c r="O66" t="b">
        <v>1</v>
      </c>
      <c r="P66">
        <v>1</v>
      </c>
      <c r="Q66" t="str" cm="1">
        <f t="array" ref="Q66">_xlfn.IFS(Table1[[#This Row],[Wealthier_Winner]]=-1,"Wealthier Nation Loses",Table1[[#This Row],[Wealthier_Winner]]=0,"Tie",Table1[[#This Row],[Wealthier_Winner]]=1,"Wealthier Nation Wins")</f>
        <v>Wealthier Nation Wins</v>
      </c>
    </row>
    <row r="67" spans="1:17" x14ac:dyDescent="0.2">
      <c r="A67" s="1">
        <v>480</v>
      </c>
      <c r="B67" s="2">
        <v>23692</v>
      </c>
      <c r="C67" s="7">
        <f>_xlfn.FLOOR.MATH(Table1[[#This Row],[year]],10)</f>
        <v>1960</v>
      </c>
      <c r="D67" t="s">
        <v>20</v>
      </c>
      <c r="E67" t="s">
        <v>42</v>
      </c>
      <c r="F67">
        <v>1</v>
      </c>
      <c r="G67">
        <v>0</v>
      </c>
      <c r="H67" t="s">
        <v>224</v>
      </c>
      <c r="I67" t="s">
        <v>134</v>
      </c>
      <c r="J67" t="s">
        <v>20</v>
      </c>
      <c r="K67" t="b">
        <v>0</v>
      </c>
      <c r="L67">
        <v>1964</v>
      </c>
      <c r="M67">
        <v>93424179943</v>
      </c>
      <c r="N67">
        <v>7206522121</v>
      </c>
      <c r="O67" t="b">
        <v>1</v>
      </c>
      <c r="P67">
        <v>1</v>
      </c>
      <c r="Q67" t="str" cm="1">
        <f t="array" ref="Q67">_xlfn.IFS(Table1[[#This Row],[Wealthier_Winner]]=-1,"Wealthier Nation Loses",Table1[[#This Row],[Wealthier_Winner]]=0,"Tie",Table1[[#This Row],[Wealthier_Winner]]=1,"Wealthier Nation Wins")</f>
        <v>Wealthier Nation Wins</v>
      </c>
    </row>
    <row r="68" spans="1:17" x14ac:dyDescent="0.2">
      <c r="A68" s="1">
        <v>482</v>
      </c>
      <c r="B68" s="2">
        <v>23710</v>
      </c>
      <c r="C68" s="7">
        <f>_xlfn.FLOOR.MATH(Table1[[#This Row],[year]],10)</f>
        <v>1960</v>
      </c>
      <c r="D68" t="s">
        <v>48</v>
      </c>
      <c r="E68" t="s">
        <v>36</v>
      </c>
      <c r="F68">
        <v>4</v>
      </c>
      <c r="G68">
        <v>2</v>
      </c>
      <c r="H68" t="s">
        <v>224</v>
      </c>
      <c r="I68" t="s">
        <v>236</v>
      </c>
      <c r="J68" t="s">
        <v>48</v>
      </c>
      <c r="K68" t="b">
        <v>0</v>
      </c>
      <c r="L68">
        <v>1964</v>
      </c>
      <c r="M68">
        <v>6576906345</v>
      </c>
      <c r="N68">
        <v>9677401337</v>
      </c>
      <c r="O68" t="b">
        <v>0</v>
      </c>
      <c r="P68">
        <v>-1</v>
      </c>
      <c r="Q68" t="str" cm="1">
        <f t="array" ref="Q68">_xlfn.IFS(Table1[[#This Row],[Wealthier_Winner]]=-1,"Wealthier Nation Loses",Table1[[#This Row],[Wealthier_Winner]]=0,"Tie",Table1[[#This Row],[Wealthier_Winner]]=1,"Wealthier Nation Wins")</f>
        <v>Wealthier Nation Loses</v>
      </c>
    </row>
    <row r="69" spans="1:17" x14ac:dyDescent="0.2">
      <c r="A69" s="1">
        <v>491</v>
      </c>
      <c r="B69" s="2">
        <v>23780</v>
      </c>
      <c r="C69" s="7">
        <f>_xlfn.FLOOR.MATH(Table1[[#This Row],[year]],10)</f>
        <v>1960</v>
      </c>
      <c r="D69" t="s">
        <v>59</v>
      </c>
      <c r="E69" t="s">
        <v>252</v>
      </c>
      <c r="F69">
        <v>4</v>
      </c>
      <c r="G69">
        <v>1</v>
      </c>
      <c r="H69" t="s">
        <v>224</v>
      </c>
      <c r="I69" t="s">
        <v>253</v>
      </c>
      <c r="J69" t="s">
        <v>59</v>
      </c>
      <c r="K69" t="b">
        <v>0</v>
      </c>
      <c r="L69">
        <v>1965</v>
      </c>
      <c r="M69">
        <v>736573158</v>
      </c>
      <c r="N69">
        <v>154150000</v>
      </c>
      <c r="O69" t="b">
        <v>1</v>
      </c>
      <c r="P69">
        <v>1</v>
      </c>
      <c r="Q69" t="str" cm="1">
        <f t="array" ref="Q69">_xlfn.IFS(Table1[[#This Row],[Wealthier_Winner]]=-1,"Wealthier Nation Loses",Table1[[#This Row],[Wealthier_Winner]]=0,"Tie",Table1[[#This Row],[Wealthier_Winner]]=1,"Wealthier Nation Wins")</f>
        <v>Wealthier Nation Wins</v>
      </c>
    </row>
    <row r="70" spans="1:17" x14ac:dyDescent="0.2">
      <c r="A70" s="1">
        <v>492</v>
      </c>
      <c r="B70" s="2">
        <v>23785</v>
      </c>
      <c r="C70" s="7">
        <f>_xlfn.FLOOR.MATH(Table1[[#This Row],[year]],10)</f>
        <v>1960</v>
      </c>
      <c r="D70" t="s">
        <v>56</v>
      </c>
      <c r="E70" t="s">
        <v>252</v>
      </c>
      <c r="F70">
        <v>1</v>
      </c>
      <c r="G70">
        <v>0</v>
      </c>
      <c r="H70" t="s">
        <v>224</v>
      </c>
      <c r="I70" t="s">
        <v>225</v>
      </c>
      <c r="J70" t="s">
        <v>56</v>
      </c>
      <c r="K70" t="b">
        <v>0</v>
      </c>
      <c r="L70">
        <v>1965</v>
      </c>
      <c r="M70">
        <v>592981162</v>
      </c>
      <c r="N70">
        <v>154150000</v>
      </c>
      <c r="O70" t="b">
        <v>1</v>
      </c>
      <c r="P70">
        <v>1</v>
      </c>
      <c r="Q70" t="str" cm="1">
        <f t="array" ref="Q70">_xlfn.IFS(Table1[[#This Row],[Wealthier_Winner]]=-1,"Wealthier Nation Loses",Table1[[#This Row],[Wealthier_Winner]]=0,"Tie",Table1[[#This Row],[Wealthier_Winner]]=1,"Wealthier Nation Wins")</f>
        <v>Wealthier Nation Wins</v>
      </c>
    </row>
    <row r="71" spans="1:17" x14ac:dyDescent="0.2">
      <c r="A71" s="1">
        <v>493</v>
      </c>
      <c r="B71" s="2">
        <v>23794</v>
      </c>
      <c r="C71" s="7">
        <f>_xlfn.FLOOR.MATH(Table1[[#This Row],[year]],10)</f>
        <v>1960</v>
      </c>
      <c r="D71" t="s">
        <v>56</v>
      </c>
      <c r="E71" t="s">
        <v>59</v>
      </c>
      <c r="F71">
        <v>4</v>
      </c>
      <c r="G71">
        <v>0</v>
      </c>
      <c r="H71" t="s">
        <v>224</v>
      </c>
      <c r="I71" t="s">
        <v>225</v>
      </c>
      <c r="J71" t="s">
        <v>56</v>
      </c>
      <c r="K71" t="b">
        <v>0</v>
      </c>
      <c r="L71">
        <v>1965</v>
      </c>
      <c r="M71">
        <v>592981162</v>
      </c>
      <c r="N71">
        <v>736573158</v>
      </c>
      <c r="O71" t="b">
        <v>0</v>
      </c>
      <c r="P71">
        <v>-1</v>
      </c>
      <c r="Q71" t="str" cm="1">
        <f t="array" ref="Q71">_xlfn.IFS(Table1[[#This Row],[Wealthier_Winner]]=-1,"Wealthier Nation Loses",Table1[[#This Row],[Wealthier_Winner]]=0,"Tie",Table1[[#This Row],[Wealthier_Winner]]=1,"Wealthier Nation Wins")</f>
        <v>Wealthier Nation Loses</v>
      </c>
    </row>
    <row r="72" spans="1:17" x14ac:dyDescent="0.2">
      <c r="A72" s="1">
        <v>494</v>
      </c>
      <c r="B72" s="2">
        <v>23801</v>
      </c>
      <c r="C72" s="7">
        <f>_xlfn.FLOOR.MATH(Table1[[#This Row],[year]],10)</f>
        <v>1960</v>
      </c>
      <c r="D72" t="s">
        <v>65</v>
      </c>
      <c r="E72" t="s">
        <v>17</v>
      </c>
      <c r="F72">
        <v>0</v>
      </c>
      <c r="G72">
        <v>1</v>
      </c>
      <c r="H72" t="s">
        <v>224</v>
      </c>
      <c r="I72" t="s">
        <v>254</v>
      </c>
      <c r="J72" t="s">
        <v>65</v>
      </c>
      <c r="K72" t="b">
        <v>0</v>
      </c>
      <c r="L72">
        <v>1965</v>
      </c>
      <c r="M72">
        <v>651050000</v>
      </c>
      <c r="N72">
        <v>21840000000</v>
      </c>
      <c r="O72" t="b">
        <v>1</v>
      </c>
      <c r="P72">
        <v>1</v>
      </c>
      <c r="Q72" t="str" cm="1">
        <f t="array" ref="Q72">_xlfn.IFS(Table1[[#This Row],[Wealthier_Winner]]=-1,"Wealthier Nation Loses",Table1[[#This Row],[Wealthier_Winner]]=0,"Tie",Table1[[#This Row],[Wealthier_Winner]]=1,"Wealthier Nation Wins")</f>
        <v>Wealthier Nation Wins</v>
      </c>
    </row>
    <row r="73" spans="1:17" x14ac:dyDescent="0.2">
      <c r="A73" s="1">
        <v>495</v>
      </c>
      <c r="B73" s="2">
        <v>23801</v>
      </c>
      <c r="C73" s="7">
        <f>_xlfn.FLOOR.MATH(Table1[[#This Row],[year]],10)</f>
        <v>1960</v>
      </c>
      <c r="D73" t="s">
        <v>252</v>
      </c>
      <c r="E73" t="s">
        <v>56</v>
      </c>
      <c r="F73">
        <v>1</v>
      </c>
      <c r="G73">
        <v>3</v>
      </c>
      <c r="H73" t="s">
        <v>224</v>
      </c>
      <c r="I73" t="s">
        <v>255</v>
      </c>
      <c r="J73" t="s">
        <v>256</v>
      </c>
      <c r="K73" t="b">
        <v>0</v>
      </c>
      <c r="L73">
        <v>1965</v>
      </c>
      <c r="M73">
        <v>154150000</v>
      </c>
      <c r="N73">
        <v>592981162</v>
      </c>
      <c r="O73" t="b">
        <v>1</v>
      </c>
      <c r="P73">
        <v>1</v>
      </c>
      <c r="Q73" t="str" cm="1">
        <f t="array" ref="Q73">_xlfn.IFS(Table1[[#This Row],[Wealthier_Winner]]=-1,"Wealthier Nation Loses",Table1[[#This Row],[Wealthier_Winner]]=0,"Tie",Table1[[#This Row],[Wealthier_Winner]]=1,"Wealthier Nation Wins")</f>
        <v>Wealthier Nation Wins</v>
      </c>
    </row>
    <row r="74" spans="1:17" x14ac:dyDescent="0.2">
      <c r="A74" s="1">
        <v>496</v>
      </c>
      <c r="B74" s="2">
        <v>23805</v>
      </c>
      <c r="C74" s="7">
        <f>_xlfn.FLOOR.MATH(Table1[[#This Row],[year]],10)</f>
        <v>1960</v>
      </c>
      <c r="D74" t="s">
        <v>17</v>
      </c>
      <c r="E74" t="s">
        <v>65</v>
      </c>
      <c r="F74">
        <v>3</v>
      </c>
      <c r="G74">
        <v>0</v>
      </c>
      <c r="H74" t="s">
        <v>224</v>
      </c>
      <c r="I74" t="s">
        <v>83</v>
      </c>
      <c r="J74" t="s">
        <v>17</v>
      </c>
      <c r="K74" t="b">
        <v>0</v>
      </c>
      <c r="L74">
        <v>1965</v>
      </c>
      <c r="M74">
        <v>21840000000</v>
      </c>
      <c r="N74">
        <v>651050000</v>
      </c>
      <c r="O74" t="b">
        <v>1</v>
      </c>
      <c r="P74">
        <v>1</v>
      </c>
      <c r="Q74" t="str" cm="1">
        <f t="array" ref="Q74">_xlfn.IFS(Table1[[#This Row],[Wealthier_Winner]]=-1,"Wealthier Nation Loses",Table1[[#This Row],[Wealthier_Winner]]=0,"Tie",Table1[[#This Row],[Wealthier_Winner]]=1,"Wealthier Nation Wins")</f>
        <v>Wealthier Nation Wins</v>
      </c>
    </row>
    <row r="75" spans="1:17" x14ac:dyDescent="0.2">
      <c r="A75" s="1">
        <v>497</v>
      </c>
      <c r="B75" s="2">
        <v>23808</v>
      </c>
      <c r="C75" s="7">
        <f>_xlfn.FLOOR.MATH(Table1[[#This Row],[year]],10)</f>
        <v>1960</v>
      </c>
      <c r="D75" t="s">
        <v>59</v>
      </c>
      <c r="E75" t="s">
        <v>56</v>
      </c>
      <c r="F75">
        <v>0</v>
      </c>
      <c r="G75">
        <v>1</v>
      </c>
      <c r="H75" t="s">
        <v>224</v>
      </c>
      <c r="I75" t="s">
        <v>253</v>
      </c>
      <c r="J75" t="s">
        <v>59</v>
      </c>
      <c r="K75" t="b">
        <v>0</v>
      </c>
      <c r="L75">
        <v>1965</v>
      </c>
      <c r="M75">
        <v>736573158</v>
      </c>
      <c r="N75">
        <v>592981162</v>
      </c>
      <c r="O75" t="b">
        <v>0</v>
      </c>
      <c r="P75">
        <v>-1</v>
      </c>
      <c r="Q75" t="str" cm="1">
        <f t="array" ref="Q75">_xlfn.IFS(Table1[[#This Row],[Wealthier_Winner]]=-1,"Wealthier Nation Loses",Table1[[#This Row],[Wealthier_Winner]]=0,"Tie",Table1[[#This Row],[Wealthier_Winner]]=1,"Wealthier Nation Wins")</f>
        <v>Wealthier Nation Loses</v>
      </c>
    </row>
    <row r="76" spans="1:17" x14ac:dyDescent="0.2">
      <c r="A76" s="1">
        <v>498</v>
      </c>
      <c r="B76" s="2">
        <v>23808</v>
      </c>
      <c r="C76" s="7">
        <f>_xlfn.FLOOR.MATH(Table1[[#This Row],[year]],10)</f>
        <v>1960</v>
      </c>
      <c r="D76" t="s">
        <v>41</v>
      </c>
      <c r="E76" t="s">
        <v>17</v>
      </c>
      <c r="F76">
        <v>2</v>
      </c>
      <c r="G76">
        <v>2</v>
      </c>
      <c r="H76" t="s">
        <v>224</v>
      </c>
      <c r="I76" t="s">
        <v>234</v>
      </c>
      <c r="J76" t="s">
        <v>41</v>
      </c>
      <c r="K76" t="b">
        <v>0</v>
      </c>
      <c r="L76">
        <v>1965</v>
      </c>
      <c r="M76">
        <v>741904862068</v>
      </c>
      <c r="N76">
        <v>21840000000</v>
      </c>
      <c r="O76" t="b">
        <v>1</v>
      </c>
      <c r="P76">
        <v>0</v>
      </c>
      <c r="Q76" t="str" cm="1">
        <f t="array" ref="Q76">_xlfn.IFS(Table1[[#This Row],[Wealthier_Winner]]=-1,"Wealthier Nation Loses",Table1[[#This Row],[Wealthier_Winner]]=0,"Tie",Table1[[#This Row],[Wealthier_Winner]]=1,"Wealthier Nation Wins")</f>
        <v>Tie</v>
      </c>
    </row>
    <row r="77" spans="1:17" x14ac:dyDescent="0.2">
      <c r="A77" s="1">
        <v>499</v>
      </c>
      <c r="B77" s="2">
        <v>23813</v>
      </c>
      <c r="C77" s="7">
        <f>_xlfn.FLOOR.MATH(Table1[[#This Row],[year]],10)</f>
        <v>1960</v>
      </c>
      <c r="D77" t="s">
        <v>17</v>
      </c>
      <c r="E77" t="s">
        <v>41</v>
      </c>
      <c r="F77">
        <v>2</v>
      </c>
      <c r="G77">
        <v>0</v>
      </c>
      <c r="H77" t="s">
        <v>224</v>
      </c>
      <c r="I77" t="s">
        <v>83</v>
      </c>
      <c r="J77" t="s">
        <v>17</v>
      </c>
      <c r="K77" t="b">
        <v>0</v>
      </c>
      <c r="L77">
        <v>1965</v>
      </c>
      <c r="M77">
        <v>21840000000</v>
      </c>
      <c r="N77">
        <v>741904862068</v>
      </c>
      <c r="O77" t="b">
        <v>1</v>
      </c>
      <c r="P77">
        <v>-1</v>
      </c>
      <c r="Q77" t="str" cm="1">
        <f t="array" ref="Q77">_xlfn.IFS(Table1[[#This Row],[Wealthier_Winner]]=-1,"Wealthier Nation Loses",Table1[[#This Row],[Wealthier_Winner]]=0,"Tie",Table1[[#This Row],[Wealthier_Winner]]=1,"Wealthier Nation Wins")</f>
        <v>Wealthier Nation Loses</v>
      </c>
    </row>
    <row r="78" spans="1:17" x14ac:dyDescent="0.2">
      <c r="A78" s="1">
        <v>500</v>
      </c>
      <c r="B78" s="2">
        <v>23815</v>
      </c>
      <c r="C78" s="7">
        <f>_xlfn.FLOOR.MATH(Table1[[#This Row],[year]],10)</f>
        <v>1960</v>
      </c>
      <c r="D78" t="s">
        <v>252</v>
      </c>
      <c r="E78" t="s">
        <v>59</v>
      </c>
      <c r="F78">
        <v>6</v>
      </c>
      <c r="G78">
        <v>1</v>
      </c>
      <c r="H78" t="s">
        <v>224</v>
      </c>
      <c r="I78" t="s">
        <v>255</v>
      </c>
      <c r="J78" t="s">
        <v>256</v>
      </c>
      <c r="K78" t="b">
        <v>0</v>
      </c>
      <c r="L78">
        <v>1965</v>
      </c>
      <c r="M78">
        <v>154150000</v>
      </c>
      <c r="N78">
        <v>736573158</v>
      </c>
      <c r="O78" t="b">
        <v>1</v>
      </c>
      <c r="P78">
        <v>-1</v>
      </c>
      <c r="Q78" t="str" cm="1">
        <f t="array" ref="Q78">_xlfn.IFS(Table1[[#This Row],[Wealthier_Winner]]=-1,"Wealthier Nation Loses",Table1[[#This Row],[Wealthier_Winner]]=0,"Tie",Table1[[#This Row],[Wealthier_Winner]]=1,"Wealthier Nation Wins")</f>
        <v>Wealthier Nation Loses</v>
      </c>
    </row>
    <row r="79" spans="1:17" x14ac:dyDescent="0.2">
      <c r="A79" s="1">
        <v>501</v>
      </c>
      <c r="B79" s="2">
        <v>23818</v>
      </c>
      <c r="C79" s="7">
        <f>_xlfn.FLOOR.MATH(Table1[[#This Row],[year]],10)</f>
        <v>1960</v>
      </c>
      <c r="D79" t="s">
        <v>65</v>
      </c>
      <c r="E79" t="s">
        <v>41</v>
      </c>
      <c r="F79">
        <v>0</v>
      </c>
      <c r="G79">
        <v>1</v>
      </c>
      <c r="H79" t="s">
        <v>224</v>
      </c>
      <c r="I79" t="s">
        <v>254</v>
      </c>
      <c r="J79" t="s">
        <v>65</v>
      </c>
      <c r="K79" t="b">
        <v>0</v>
      </c>
      <c r="L79">
        <v>1965</v>
      </c>
      <c r="M79">
        <v>651050000</v>
      </c>
      <c r="N79">
        <v>741904862068</v>
      </c>
      <c r="O79" t="b">
        <v>1</v>
      </c>
      <c r="P79">
        <v>1</v>
      </c>
      <c r="Q79" t="str" cm="1">
        <f t="array" ref="Q79">_xlfn.IFS(Table1[[#This Row],[Wealthier_Winner]]=-1,"Wealthier Nation Loses",Table1[[#This Row],[Wealthier_Winner]]=0,"Tie",Table1[[#This Row],[Wealthier_Winner]]=1,"Wealthier Nation Wins")</f>
        <v>Wealthier Nation Wins</v>
      </c>
    </row>
    <row r="80" spans="1:17" x14ac:dyDescent="0.2">
      <c r="A80" s="1">
        <v>504</v>
      </c>
      <c r="B80" s="2">
        <v>23822</v>
      </c>
      <c r="C80" s="7">
        <f>_xlfn.FLOOR.MATH(Table1[[#This Row],[year]],10)</f>
        <v>1960</v>
      </c>
      <c r="D80" t="s">
        <v>65</v>
      </c>
      <c r="E80" t="s">
        <v>41</v>
      </c>
      <c r="F80">
        <v>1</v>
      </c>
      <c r="G80">
        <v>1</v>
      </c>
      <c r="H80" t="s">
        <v>224</v>
      </c>
      <c r="I80" t="s">
        <v>228</v>
      </c>
      <c r="J80" t="s">
        <v>65</v>
      </c>
      <c r="K80" t="b">
        <v>0</v>
      </c>
      <c r="L80">
        <v>1965</v>
      </c>
      <c r="M80">
        <v>651050000</v>
      </c>
      <c r="N80">
        <v>741904862068</v>
      </c>
      <c r="O80" t="b">
        <v>1</v>
      </c>
      <c r="P80">
        <v>0</v>
      </c>
      <c r="Q80" t="str" cm="1">
        <f t="array" ref="Q80">_xlfn.IFS(Table1[[#This Row],[Wealthier_Winner]]=-1,"Wealthier Nation Loses",Table1[[#This Row],[Wealthier_Winner]]=0,"Tie",Table1[[#This Row],[Wealthier_Winner]]=1,"Wealthier Nation Wins")</f>
        <v>Tie</v>
      </c>
    </row>
    <row r="81" spans="1:17" x14ac:dyDescent="0.2">
      <c r="A81" s="1">
        <v>512</v>
      </c>
      <c r="B81" s="2">
        <v>23857</v>
      </c>
      <c r="C81" s="7">
        <f>_xlfn.FLOOR.MATH(Table1[[#This Row],[year]],10)</f>
        <v>1960</v>
      </c>
      <c r="D81" t="s">
        <v>56</v>
      </c>
      <c r="E81" t="s">
        <v>17</v>
      </c>
      <c r="F81">
        <v>0</v>
      </c>
      <c r="G81">
        <v>0</v>
      </c>
      <c r="H81" t="s">
        <v>224</v>
      </c>
      <c r="I81" t="s">
        <v>225</v>
      </c>
      <c r="J81" t="s">
        <v>56</v>
      </c>
      <c r="K81" t="b">
        <v>0</v>
      </c>
      <c r="L81">
        <v>1965</v>
      </c>
      <c r="M81">
        <v>592981162</v>
      </c>
      <c r="N81">
        <v>21840000000</v>
      </c>
      <c r="O81" t="b">
        <v>1</v>
      </c>
      <c r="P81">
        <v>0</v>
      </c>
      <c r="Q81" t="str" cm="1">
        <f t="array" ref="Q81">_xlfn.IFS(Table1[[#This Row],[Wealthier_Winner]]=-1,"Wealthier Nation Loses",Table1[[#This Row],[Wealthier_Winner]]=0,"Tie",Table1[[#This Row],[Wealthier_Winner]]=1,"Wealthier Nation Wins")</f>
        <v>Tie</v>
      </c>
    </row>
    <row r="82" spans="1:17" x14ac:dyDescent="0.2">
      <c r="A82" s="1">
        <v>516</v>
      </c>
      <c r="B82" s="2">
        <v>23865</v>
      </c>
      <c r="C82" s="7">
        <f>_xlfn.FLOOR.MATH(Table1[[#This Row],[year]],10)</f>
        <v>1960</v>
      </c>
      <c r="D82" t="s">
        <v>49</v>
      </c>
      <c r="E82" t="s">
        <v>17</v>
      </c>
      <c r="F82">
        <v>2</v>
      </c>
      <c r="G82">
        <v>3</v>
      </c>
      <c r="H82" t="s">
        <v>224</v>
      </c>
      <c r="I82" t="s">
        <v>257</v>
      </c>
      <c r="J82" t="s">
        <v>49</v>
      </c>
      <c r="K82" t="b">
        <v>0</v>
      </c>
      <c r="L82">
        <v>1965</v>
      </c>
      <c r="M82">
        <v>972159611</v>
      </c>
      <c r="N82">
        <v>21840000000</v>
      </c>
      <c r="O82" t="b">
        <v>1</v>
      </c>
      <c r="P82">
        <v>1</v>
      </c>
      <c r="Q82" t="str" cm="1">
        <f t="array" ref="Q82">_xlfn.IFS(Table1[[#This Row],[Wealthier_Winner]]=-1,"Wealthier Nation Loses",Table1[[#This Row],[Wealthier_Winner]]=0,"Tie",Table1[[#This Row],[Wealthier_Winner]]=1,"Wealthier Nation Wins")</f>
        <v>Wealthier Nation Wins</v>
      </c>
    </row>
    <row r="83" spans="1:17" x14ac:dyDescent="0.2">
      <c r="A83" s="1">
        <v>519</v>
      </c>
      <c r="B83" s="2">
        <v>23869</v>
      </c>
      <c r="C83" s="7">
        <f>_xlfn.FLOOR.MATH(Table1[[#This Row],[year]],10)</f>
        <v>1960</v>
      </c>
      <c r="D83" t="s">
        <v>17</v>
      </c>
      <c r="E83" t="s">
        <v>49</v>
      </c>
      <c r="F83">
        <v>8</v>
      </c>
      <c r="G83">
        <v>0</v>
      </c>
      <c r="H83" t="s">
        <v>224</v>
      </c>
      <c r="I83" t="s">
        <v>83</v>
      </c>
      <c r="J83" t="s">
        <v>17</v>
      </c>
      <c r="K83" t="b">
        <v>0</v>
      </c>
      <c r="L83">
        <v>1965</v>
      </c>
      <c r="M83">
        <v>21840000000</v>
      </c>
      <c r="N83">
        <v>972159611</v>
      </c>
      <c r="O83" t="b">
        <v>1</v>
      </c>
      <c r="P83">
        <v>1</v>
      </c>
      <c r="Q83" t="str" cm="1">
        <f t="array" ref="Q83">_xlfn.IFS(Table1[[#This Row],[Wealthier_Winner]]=-1,"Wealthier Nation Loses",Table1[[#This Row],[Wealthier_Winner]]=0,"Tie",Table1[[#This Row],[Wealthier_Winner]]=1,"Wealthier Nation Wins")</f>
        <v>Wealthier Nation Wins</v>
      </c>
    </row>
    <row r="84" spans="1:17" x14ac:dyDescent="0.2">
      <c r="A84" s="1">
        <v>521</v>
      </c>
      <c r="B84" s="2">
        <v>23871</v>
      </c>
      <c r="C84" s="7">
        <f>_xlfn.FLOOR.MATH(Table1[[#This Row],[year]],10)</f>
        <v>1960</v>
      </c>
      <c r="D84" t="s">
        <v>23</v>
      </c>
      <c r="E84" t="s">
        <v>22</v>
      </c>
      <c r="F84">
        <v>1</v>
      </c>
      <c r="G84">
        <v>0</v>
      </c>
      <c r="H84" t="s">
        <v>224</v>
      </c>
      <c r="I84" t="s">
        <v>235</v>
      </c>
      <c r="J84" t="s">
        <v>23</v>
      </c>
      <c r="K84" t="b">
        <v>0</v>
      </c>
      <c r="L84">
        <v>1965</v>
      </c>
      <c r="M84">
        <v>17597783297</v>
      </c>
      <c r="N84">
        <v>4329084428</v>
      </c>
      <c r="O84" t="b">
        <v>1</v>
      </c>
      <c r="P84">
        <v>1</v>
      </c>
      <c r="Q84" t="str" cm="1">
        <f t="array" ref="Q84">_xlfn.IFS(Table1[[#This Row],[Wealthier_Winner]]=-1,"Wealthier Nation Loses",Table1[[#This Row],[Wealthier_Winner]]=0,"Tie",Table1[[#This Row],[Wealthier_Winner]]=1,"Wealthier Nation Wins")</f>
        <v>Wealthier Nation Wins</v>
      </c>
    </row>
    <row r="85" spans="1:17" x14ac:dyDescent="0.2">
      <c r="A85" s="1">
        <v>522</v>
      </c>
      <c r="B85" s="2">
        <v>23873</v>
      </c>
      <c r="C85" s="7">
        <f>_xlfn.FLOOR.MATH(Table1[[#This Row],[year]],10)</f>
        <v>1960</v>
      </c>
      <c r="D85" t="s">
        <v>56</v>
      </c>
      <c r="E85" t="s">
        <v>49</v>
      </c>
      <c r="F85">
        <v>7</v>
      </c>
      <c r="G85">
        <v>0</v>
      </c>
      <c r="H85" t="s">
        <v>224</v>
      </c>
      <c r="I85" t="s">
        <v>225</v>
      </c>
      <c r="J85" t="s">
        <v>56</v>
      </c>
      <c r="K85" t="b">
        <v>0</v>
      </c>
      <c r="L85">
        <v>1965</v>
      </c>
      <c r="M85">
        <v>592981162</v>
      </c>
      <c r="N85">
        <v>972159611</v>
      </c>
      <c r="O85" t="b">
        <v>0</v>
      </c>
      <c r="P85">
        <v>-1</v>
      </c>
      <c r="Q85" t="str" cm="1">
        <f t="array" ref="Q85">_xlfn.IFS(Table1[[#This Row],[Wealthier_Winner]]=-1,"Wealthier Nation Loses",Table1[[#This Row],[Wealthier_Winner]]=0,"Tie",Table1[[#This Row],[Wealthier_Winner]]=1,"Wealthier Nation Wins")</f>
        <v>Wealthier Nation Loses</v>
      </c>
    </row>
    <row r="86" spans="1:17" x14ac:dyDescent="0.2">
      <c r="A86" s="1">
        <v>523</v>
      </c>
      <c r="B86" s="2">
        <v>23878</v>
      </c>
      <c r="C86" s="7">
        <f>_xlfn.FLOOR.MATH(Table1[[#This Row],[year]],10)</f>
        <v>1960</v>
      </c>
      <c r="D86" t="s">
        <v>17</v>
      </c>
      <c r="E86" t="s">
        <v>56</v>
      </c>
      <c r="F86">
        <v>1</v>
      </c>
      <c r="G86">
        <v>0</v>
      </c>
      <c r="H86" t="s">
        <v>224</v>
      </c>
      <c r="I86" t="s">
        <v>83</v>
      </c>
      <c r="J86" t="s">
        <v>17</v>
      </c>
      <c r="K86" t="b">
        <v>0</v>
      </c>
      <c r="L86">
        <v>1965</v>
      </c>
      <c r="M86">
        <v>21840000000</v>
      </c>
      <c r="N86">
        <v>592981162</v>
      </c>
      <c r="O86" t="b">
        <v>1</v>
      </c>
      <c r="P86">
        <v>1</v>
      </c>
      <c r="Q86" t="str" cm="1">
        <f t="array" ref="Q86">_xlfn.IFS(Table1[[#This Row],[Wealthier_Winner]]=-1,"Wealthier Nation Loses",Table1[[#This Row],[Wealthier_Winner]]=0,"Tie",Table1[[#This Row],[Wealthier_Winner]]=1,"Wealthier Nation Wins")</f>
        <v>Wealthier Nation Wins</v>
      </c>
    </row>
    <row r="87" spans="1:17" x14ac:dyDescent="0.2">
      <c r="A87" s="1">
        <v>524</v>
      </c>
      <c r="B87" s="2">
        <v>23878</v>
      </c>
      <c r="C87" s="7">
        <f>_xlfn.FLOOR.MATH(Table1[[#This Row],[year]],10)</f>
        <v>1960</v>
      </c>
      <c r="D87" t="s">
        <v>31</v>
      </c>
      <c r="E87" t="s">
        <v>258</v>
      </c>
      <c r="F87">
        <v>1</v>
      </c>
      <c r="G87">
        <v>0</v>
      </c>
      <c r="H87" t="s">
        <v>224</v>
      </c>
      <c r="I87" t="s">
        <v>242</v>
      </c>
      <c r="J87" t="s">
        <v>31</v>
      </c>
      <c r="K87" t="b">
        <v>0</v>
      </c>
      <c r="L87">
        <v>1965</v>
      </c>
      <c r="M87">
        <v>5163008077</v>
      </c>
      <c r="N87">
        <v>8427777777</v>
      </c>
      <c r="O87" t="b">
        <v>0</v>
      </c>
      <c r="P87">
        <v>-1</v>
      </c>
      <c r="Q87" t="str" cm="1">
        <f t="array" ref="Q87">_xlfn.IFS(Table1[[#This Row],[Wealthier_Winner]]=-1,"Wealthier Nation Loses",Table1[[#This Row],[Wealthier_Winner]]=0,"Tie",Table1[[#This Row],[Wealthier_Winner]]=1,"Wealthier Nation Wins")</f>
        <v>Wealthier Nation Loses</v>
      </c>
    </row>
    <row r="88" spans="1:17" x14ac:dyDescent="0.2">
      <c r="A88" s="1">
        <v>525</v>
      </c>
      <c r="B88" s="2">
        <v>23884</v>
      </c>
      <c r="C88" s="7">
        <f>_xlfn.FLOOR.MATH(Table1[[#This Row],[year]],10)</f>
        <v>1960</v>
      </c>
      <c r="D88" t="s">
        <v>49</v>
      </c>
      <c r="E88" t="s">
        <v>56</v>
      </c>
      <c r="F88">
        <v>1</v>
      </c>
      <c r="G88">
        <v>1</v>
      </c>
      <c r="H88" t="s">
        <v>224</v>
      </c>
      <c r="I88" t="s">
        <v>257</v>
      </c>
      <c r="J88" t="s">
        <v>49</v>
      </c>
      <c r="K88" t="b">
        <v>0</v>
      </c>
      <c r="L88">
        <v>1965</v>
      </c>
      <c r="M88">
        <v>972159611</v>
      </c>
      <c r="N88">
        <v>592981162</v>
      </c>
      <c r="O88" t="b">
        <v>0</v>
      </c>
      <c r="P88">
        <v>0</v>
      </c>
      <c r="Q88" t="str" cm="1">
        <f t="array" ref="Q88">_xlfn.IFS(Table1[[#This Row],[Wealthier_Winner]]=-1,"Wealthier Nation Loses",Table1[[#This Row],[Wealthier_Winner]]=0,"Tie",Table1[[#This Row],[Wealthier_Winner]]=1,"Wealthier Nation Wins")</f>
        <v>Tie</v>
      </c>
    </row>
    <row r="89" spans="1:17" x14ac:dyDescent="0.2">
      <c r="A89" s="1">
        <v>529</v>
      </c>
      <c r="B89" s="2">
        <v>23885</v>
      </c>
      <c r="C89" s="7">
        <f>_xlfn.FLOOR.MATH(Table1[[#This Row],[year]],10)</f>
        <v>1960</v>
      </c>
      <c r="D89" t="s">
        <v>26</v>
      </c>
      <c r="E89" t="s">
        <v>258</v>
      </c>
      <c r="F89">
        <v>5</v>
      </c>
      <c r="G89">
        <v>0</v>
      </c>
      <c r="H89" t="s">
        <v>224</v>
      </c>
      <c r="I89" t="s">
        <v>247</v>
      </c>
      <c r="J89" t="s">
        <v>26</v>
      </c>
      <c r="K89" t="b">
        <v>0</v>
      </c>
      <c r="L89">
        <v>1965</v>
      </c>
      <c r="M89">
        <v>1890767155</v>
      </c>
      <c r="N89">
        <v>8427777777</v>
      </c>
      <c r="O89" t="b">
        <v>1</v>
      </c>
      <c r="P89">
        <v>-1</v>
      </c>
      <c r="Q89" t="str" cm="1">
        <f t="array" ref="Q89">_xlfn.IFS(Table1[[#This Row],[Wealthier_Winner]]=-1,"Wealthier Nation Loses",Table1[[#This Row],[Wealthier_Winner]]=0,"Tie",Table1[[#This Row],[Wealthier_Winner]]=1,"Wealthier Nation Wins")</f>
        <v>Wealthier Nation Loses</v>
      </c>
    </row>
    <row r="90" spans="1:17" x14ac:dyDescent="0.2">
      <c r="A90" s="1">
        <v>531</v>
      </c>
      <c r="B90" s="2">
        <v>23889</v>
      </c>
      <c r="C90" s="7">
        <f>_xlfn.FLOOR.MATH(Table1[[#This Row],[year]],10)</f>
        <v>1960</v>
      </c>
      <c r="D90" t="s">
        <v>42</v>
      </c>
      <c r="E90" t="s">
        <v>232</v>
      </c>
      <c r="F90">
        <v>4</v>
      </c>
      <c r="G90">
        <v>2</v>
      </c>
      <c r="H90" t="s">
        <v>224</v>
      </c>
      <c r="I90" t="s">
        <v>259</v>
      </c>
      <c r="J90" t="s">
        <v>42</v>
      </c>
      <c r="K90" t="b">
        <v>0</v>
      </c>
      <c r="L90">
        <v>1965</v>
      </c>
      <c r="M90">
        <v>8111945661</v>
      </c>
      <c r="N90">
        <v>929477284</v>
      </c>
      <c r="O90" t="b">
        <v>1</v>
      </c>
      <c r="P90">
        <v>1</v>
      </c>
      <c r="Q90" t="str" cm="1">
        <f t="array" ref="Q90">_xlfn.IFS(Table1[[#This Row],[Wealthier_Winner]]=-1,"Wealthier Nation Loses",Table1[[#This Row],[Wealthier_Winner]]=0,"Tie",Table1[[#This Row],[Wealthier_Winner]]=1,"Wealthier Nation Wins")</f>
        <v>Wealthier Nation Wins</v>
      </c>
    </row>
    <row r="91" spans="1:17" x14ac:dyDescent="0.2">
      <c r="A91" s="1">
        <v>534</v>
      </c>
      <c r="B91" s="2">
        <v>23892</v>
      </c>
      <c r="C91" s="7">
        <f>_xlfn.FLOOR.MATH(Table1[[#This Row],[year]],10)</f>
        <v>1960</v>
      </c>
      <c r="D91" t="s">
        <v>258</v>
      </c>
      <c r="E91" t="s">
        <v>26</v>
      </c>
      <c r="F91">
        <v>1</v>
      </c>
      <c r="G91">
        <v>3</v>
      </c>
      <c r="H91" t="s">
        <v>224</v>
      </c>
      <c r="I91" t="s">
        <v>260</v>
      </c>
      <c r="J91" t="s">
        <v>258</v>
      </c>
      <c r="K91" t="b">
        <v>0</v>
      </c>
      <c r="L91">
        <v>1965</v>
      </c>
      <c r="M91">
        <v>8427777777</v>
      </c>
      <c r="N91">
        <v>1890767155</v>
      </c>
      <c r="O91" t="b">
        <v>1</v>
      </c>
      <c r="P91">
        <v>-1</v>
      </c>
      <c r="Q91" t="str" cm="1">
        <f t="array" ref="Q91">_xlfn.IFS(Table1[[#This Row],[Wealthier_Winner]]=-1,"Wealthier Nation Loses",Table1[[#This Row],[Wealthier_Winner]]=0,"Tie",Table1[[#This Row],[Wealthier_Winner]]=1,"Wealthier Nation Wins")</f>
        <v>Wealthier Nation Loses</v>
      </c>
    </row>
    <row r="92" spans="1:17" x14ac:dyDescent="0.2">
      <c r="A92" s="1">
        <v>535</v>
      </c>
      <c r="B92" s="2">
        <v>23895</v>
      </c>
      <c r="C92" s="7">
        <f>_xlfn.FLOOR.MATH(Table1[[#This Row],[year]],10)</f>
        <v>1960</v>
      </c>
      <c r="D92" t="s">
        <v>258</v>
      </c>
      <c r="E92" t="s">
        <v>31</v>
      </c>
      <c r="F92">
        <v>3</v>
      </c>
      <c r="G92">
        <v>6</v>
      </c>
      <c r="H92" t="s">
        <v>224</v>
      </c>
      <c r="I92" t="s">
        <v>260</v>
      </c>
      <c r="J92" t="s">
        <v>258</v>
      </c>
      <c r="K92" t="b">
        <v>0</v>
      </c>
      <c r="L92">
        <v>1965</v>
      </c>
      <c r="M92">
        <v>8427777777</v>
      </c>
      <c r="N92">
        <v>5163008077</v>
      </c>
      <c r="O92" t="b">
        <v>0</v>
      </c>
      <c r="P92">
        <v>-1</v>
      </c>
      <c r="Q92" t="str" cm="1">
        <f t="array" ref="Q92">_xlfn.IFS(Table1[[#This Row],[Wealthier_Winner]]=-1,"Wealthier Nation Loses",Table1[[#This Row],[Wealthier_Winner]]=0,"Tie",Table1[[#This Row],[Wealthier_Winner]]=1,"Wealthier Nation Wins")</f>
        <v>Wealthier Nation Loses</v>
      </c>
    </row>
    <row r="93" spans="1:17" x14ac:dyDescent="0.2">
      <c r="A93" s="1">
        <v>536</v>
      </c>
      <c r="B93" s="2">
        <v>23899</v>
      </c>
      <c r="C93" s="7">
        <f>_xlfn.FLOOR.MATH(Table1[[#This Row],[year]],10)</f>
        <v>1960</v>
      </c>
      <c r="D93" t="s">
        <v>31</v>
      </c>
      <c r="E93" t="s">
        <v>26</v>
      </c>
      <c r="F93">
        <v>0</v>
      </c>
      <c r="G93">
        <v>1</v>
      </c>
      <c r="H93" t="s">
        <v>224</v>
      </c>
      <c r="I93" t="s">
        <v>242</v>
      </c>
      <c r="J93" t="s">
        <v>31</v>
      </c>
      <c r="K93" t="b">
        <v>0</v>
      </c>
      <c r="L93">
        <v>1965</v>
      </c>
      <c r="M93">
        <v>5163008077</v>
      </c>
      <c r="N93">
        <v>1890767155</v>
      </c>
      <c r="O93" t="b">
        <v>1</v>
      </c>
      <c r="P93">
        <v>-1</v>
      </c>
      <c r="Q93" t="str" cm="1">
        <f t="array" ref="Q93">_xlfn.IFS(Table1[[#This Row],[Wealthier_Winner]]=-1,"Wealthier Nation Loses",Table1[[#This Row],[Wealthier_Winner]]=0,"Tie",Table1[[#This Row],[Wealthier_Winner]]=1,"Wealthier Nation Wins")</f>
        <v>Wealthier Nation Loses</v>
      </c>
    </row>
    <row r="94" spans="1:17" x14ac:dyDescent="0.2">
      <c r="A94" s="1">
        <v>539</v>
      </c>
      <c r="B94" s="2">
        <v>23906</v>
      </c>
      <c r="C94" s="7">
        <f>_xlfn.FLOOR.MATH(Table1[[#This Row],[year]],10)</f>
        <v>1960</v>
      </c>
      <c r="D94" t="s">
        <v>26</v>
      </c>
      <c r="E94" t="s">
        <v>31</v>
      </c>
      <c r="F94">
        <v>2</v>
      </c>
      <c r="G94">
        <v>1</v>
      </c>
      <c r="H94" t="s">
        <v>224</v>
      </c>
      <c r="I94" t="s">
        <v>247</v>
      </c>
      <c r="J94" t="s">
        <v>26</v>
      </c>
      <c r="K94" t="b">
        <v>0</v>
      </c>
      <c r="L94">
        <v>1965</v>
      </c>
      <c r="M94">
        <v>1890767155</v>
      </c>
      <c r="N94">
        <v>5163008077</v>
      </c>
      <c r="O94" t="b">
        <v>1</v>
      </c>
      <c r="P94">
        <v>-1</v>
      </c>
      <c r="Q94" t="str" cm="1">
        <f t="array" ref="Q94">_xlfn.IFS(Table1[[#This Row],[Wealthier_Winner]]=-1,"Wealthier Nation Loses",Table1[[#This Row],[Wealthier_Winner]]=0,"Tie",Table1[[#This Row],[Wealthier_Winner]]=1,"Wealthier Nation Wins")</f>
        <v>Wealthier Nation Loses</v>
      </c>
    </row>
    <row r="95" spans="1:17" x14ac:dyDescent="0.2">
      <c r="A95" s="1">
        <v>542</v>
      </c>
      <c r="B95" s="2">
        <v>23916</v>
      </c>
      <c r="C95" s="7">
        <f>_xlfn.FLOOR.MATH(Table1[[#This Row],[year]],10)</f>
        <v>1960</v>
      </c>
      <c r="D95" t="s">
        <v>230</v>
      </c>
      <c r="E95" t="s">
        <v>18</v>
      </c>
      <c r="F95">
        <v>0</v>
      </c>
      <c r="G95">
        <v>2</v>
      </c>
      <c r="H95" t="s">
        <v>224</v>
      </c>
      <c r="I95" t="s">
        <v>231</v>
      </c>
      <c r="J95" t="s">
        <v>230</v>
      </c>
      <c r="K95" t="b">
        <v>0</v>
      </c>
      <c r="L95">
        <v>1965</v>
      </c>
      <c r="M95">
        <v>8680393838</v>
      </c>
      <c r="N95">
        <v>70717012186</v>
      </c>
      <c r="O95" t="b">
        <v>1</v>
      </c>
      <c r="P95">
        <v>1</v>
      </c>
      <c r="Q95" t="str" cm="1">
        <f t="array" ref="Q95">_xlfn.IFS(Table1[[#This Row],[Wealthier_Winner]]=-1,"Wealthier Nation Loses",Table1[[#This Row],[Wealthier_Winner]]=0,"Tie",Table1[[#This Row],[Wealthier_Winner]]=1,"Wealthier Nation Wins")</f>
        <v>Wealthier Nation Wins</v>
      </c>
    </row>
    <row r="96" spans="1:17" x14ac:dyDescent="0.2">
      <c r="A96" s="1">
        <v>544</v>
      </c>
      <c r="B96" s="2">
        <v>23943</v>
      </c>
      <c r="C96" s="7">
        <f>_xlfn.FLOOR.MATH(Table1[[#This Row],[year]],10)</f>
        <v>1960</v>
      </c>
      <c r="D96" t="s">
        <v>15</v>
      </c>
      <c r="E96" t="s">
        <v>57</v>
      </c>
      <c r="F96">
        <v>0</v>
      </c>
      <c r="G96">
        <v>1</v>
      </c>
      <c r="H96" t="s">
        <v>224</v>
      </c>
      <c r="I96" t="s">
        <v>261</v>
      </c>
      <c r="J96" t="s">
        <v>15</v>
      </c>
      <c r="K96" t="b">
        <v>0</v>
      </c>
      <c r="L96">
        <v>1965</v>
      </c>
      <c r="M96">
        <v>5760761904</v>
      </c>
      <c r="N96">
        <v>2387047395</v>
      </c>
      <c r="O96" t="b">
        <v>1</v>
      </c>
      <c r="P96">
        <v>-1</v>
      </c>
      <c r="Q96" t="str" cm="1">
        <f t="array" ref="Q96">_xlfn.IFS(Table1[[#This Row],[Wealthier_Winner]]=-1,"Wealthier Nation Loses",Table1[[#This Row],[Wealthier_Winner]]=0,"Tie",Table1[[#This Row],[Wealthier_Winner]]=1,"Wealthier Nation Wins")</f>
        <v>Wealthier Nation Loses</v>
      </c>
    </row>
    <row r="97" spans="1:17" x14ac:dyDescent="0.2">
      <c r="A97" s="1">
        <v>545</v>
      </c>
      <c r="B97" s="2">
        <v>23948</v>
      </c>
      <c r="C97" s="7">
        <f>_xlfn.FLOOR.MATH(Table1[[#This Row],[year]],10)</f>
        <v>1960</v>
      </c>
      <c r="D97" t="s">
        <v>57</v>
      </c>
      <c r="E97" t="s">
        <v>15</v>
      </c>
      <c r="F97">
        <v>2</v>
      </c>
      <c r="G97">
        <v>0</v>
      </c>
      <c r="H97" t="s">
        <v>224</v>
      </c>
      <c r="I97" t="s">
        <v>237</v>
      </c>
      <c r="J97" t="s">
        <v>57</v>
      </c>
      <c r="K97" t="b">
        <v>0</v>
      </c>
      <c r="L97">
        <v>1965</v>
      </c>
      <c r="M97">
        <v>2387047395</v>
      </c>
      <c r="N97">
        <v>5760761904</v>
      </c>
      <c r="O97" t="b">
        <v>1</v>
      </c>
      <c r="P97">
        <v>-1</v>
      </c>
      <c r="Q97" t="str" cm="1">
        <f t="array" ref="Q97">_xlfn.IFS(Table1[[#This Row],[Wealthier_Winner]]=-1,"Wealthier Nation Loses",Table1[[#This Row],[Wealthier_Winner]]=0,"Tie",Table1[[#This Row],[Wealthier_Winner]]=1,"Wealthier Nation Wins")</f>
        <v>Wealthier Nation Loses</v>
      </c>
    </row>
    <row r="98" spans="1:17" x14ac:dyDescent="0.2">
      <c r="A98" s="1">
        <v>546</v>
      </c>
      <c r="B98" s="2">
        <v>23948</v>
      </c>
      <c r="C98" s="7">
        <f>_xlfn.FLOOR.MATH(Table1[[#This Row],[year]],10)</f>
        <v>1960</v>
      </c>
      <c r="D98" t="s">
        <v>35</v>
      </c>
      <c r="E98" t="s">
        <v>47</v>
      </c>
      <c r="F98">
        <v>2</v>
      </c>
      <c r="G98">
        <v>0</v>
      </c>
      <c r="H98" t="s">
        <v>224</v>
      </c>
      <c r="I98" t="s">
        <v>250</v>
      </c>
      <c r="J98" t="s">
        <v>35</v>
      </c>
      <c r="K98" t="b">
        <v>0</v>
      </c>
      <c r="L98">
        <v>1965</v>
      </c>
      <c r="M98">
        <v>443587301</v>
      </c>
      <c r="N98">
        <v>604377104</v>
      </c>
      <c r="O98" t="b">
        <v>0</v>
      </c>
      <c r="P98">
        <v>-1</v>
      </c>
      <c r="Q98" t="str" cm="1">
        <f t="array" ref="Q98">_xlfn.IFS(Table1[[#This Row],[Wealthier_Winner]]=-1,"Wealthier Nation Loses",Table1[[#This Row],[Wealthier_Winner]]=0,"Tie",Table1[[#This Row],[Wealthier_Winner]]=1,"Wealthier Nation Wins")</f>
        <v>Wealthier Nation Loses</v>
      </c>
    </row>
    <row r="99" spans="1:17" x14ac:dyDescent="0.2">
      <c r="A99" s="1">
        <v>547</v>
      </c>
      <c r="B99" s="2">
        <v>23955</v>
      </c>
      <c r="C99" s="7">
        <f>_xlfn.FLOOR.MATH(Table1[[#This Row],[year]],10)</f>
        <v>1960</v>
      </c>
      <c r="D99" t="s">
        <v>19</v>
      </c>
      <c r="E99" t="s">
        <v>35</v>
      </c>
      <c r="F99">
        <v>3</v>
      </c>
      <c r="G99">
        <v>0</v>
      </c>
      <c r="H99" t="s">
        <v>224</v>
      </c>
      <c r="I99" t="s">
        <v>93</v>
      </c>
      <c r="J99" t="s">
        <v>19</v>
      </c>
      <c r="K99" t="b">
        <v>0</v>
      </c>
      <c r="L99">
        <v>1965</v>
      </c>
      <c r="M99">
        <v>28344705966</v>
      </c>
      <c r="N99">
        <v>443587301</v>
      </c>
      <c r="O99" t="b">
        <v>1</v>
      </c>
      <c r="P99">
        <v>1</v>
      </c>
      <c r="Q99" t="str" cm="1">
        <f t="array" ref="Q99">_xlfn.IFS(Table1[[#This Row],[Wealthier_Winner]]=-1,"Wealthier Nation Loses",Table1[[#This Row],[Wealthier_Winner]]=0,"Tie",Table1[[#This Row],[Wealthier_Winner]]=1,"Wealthier Nation Wins")</f>
        <v>Wealthier Nation Wins</v>
      </c>
    </row>
    <row r="100" spans="1:17" x14ac:dyDescent="0.2">
      <c r="A100" s="1">
        <v>548</v>
      </c>
      <c r="B100" s="2">
        <v>23955</v>
      </c>
      <c r="C100" s="7">
        <f>_xlfn.FLOOR.MATH(Table1[[#This Row],[year]],10)</f>
        <v>1960</v>
      </c>
      <c r="D100" t="s">
        <v>14</v>
      </c>
      <c r="E100" t="s">
        <v>15</v>
      </c>
      <c r="F100">
        <v>7</v>
      </c>
      <c r="G100">
        <v>2</v>
      </c>
      <c r="H100" t="s">
        <v>224</v>
      </c>
      <c r="I100" t="s">
        <v>75</v>
      </c>
      <c r="J100" t="s">
        <v>14</v>
      </c>
      <c r="K100" t="b">
        <v>0</v>
      </c>
      <c r="L100">
        <v>1965</v>
      </c>
      <c r="M100">
        <v>6183988944</v>
      </c>
      <c r="N100">
        <v>5760761904</v>
      </c>
      <c r="O100" t="b">
        <v>0</v>
      </c>
      <c r="P100">
        <v>1</v>
      </c>
      <c r="Q100" t="str" cm="1">
        <f t="array" ref="Q100">_xlfn.IFS(Table1[[#This Row],[Wealthier_Winner]]=-1,"Wealthier Nation Loses",Table1[[#This Row],[Wealthier_Winner]]=0,"Tie",Table1[[#This Row],[Wealthier_Winner]]=1,"Wealthier Nation Wins")</f>
        <v>Wealthier Nation Wins</v>
      </c>
    </row>
    <row r="101" spans="1:17" x14ac:dyDescent="0.2">
      <c r="A101" s="1">
        <v>549</v>
      </c>
      <c r="B101" s="2">
        <v>23961</v>
      </c>
      <c r="C101" s="7">
        <f>_xlfn.FLOOR.MATH(Table1[[#This Row],[year]],10)</f>
        <v>1960</v>
      </c>
      <c r="D101" t="s">
        <v>15</v>
      </c>
      <c r="E101" t="s">
        <v>14</v>
      </c>
      <c r="F101">
        <v>2</v>
      </c>
      <c r="G101">
        <v>0</v>
      </c>
      <c r="H101" t="s">
        <v>224</v>
      </c>
      <c r="I101" t="s">
        <v>261</v>
      </c>
      <c r="J101" t="s">
        <v>15</v>
      </c>
      <c r="K101" t="b">
        <v>0</v>
      </c>
      <c r="L101">
        <v>1965</v>
      </c>
      <c r="M101">
        <v>5760761904</v>
      </c>
      <c r="N101">
        <v>6183988944</v>
      </c>
      <c r="O101" t="b">
        <v>0</v>
      </c>
      <c r="P101">
        <v>-1</v>
      </c>
      <c r="Q101" t="str" cm="1">
        <f t="array" ref="Q101">_xlfn.IFS(Table1[[#This Row],[Wealthier_Winner]]=-1,"Wealthier Nation Loses",Table1[[#This Row],[Wealthier_Winner]]=0,"Tie",Table1[[#This Row],[Wealthier_Winner]]=1,"Wealthier Nation Wins")</f>
        <v>Wealthier Nation Loses</v>
      </c>
    </row>
    <row r="102" spans="1:17" x14ac:dyDescent="0.2">
      <c r="A102" s="1">
        <v>550</v>
      </c>
      <c r="B102" s="2">
        <v>23962</v>
      </c>
      <c r="C102" s="7">
        <f>_xlfn.FLOOR.MATH(Table1[[#This Row],[year]],10)</f>
        <v>1960</v>
      </c>
      <c r="D102" t="s">
        <v>35</v>
      </c>
      <c r="E102" t="s">
        <v>19</v>
      </c>
      <c r="F102">
        <v>0</v>
      </c>
      <c r="G102">
        <v>0</v>
      </c>
      <c r="H102" t="s">
        <v>224</v>
      </c>
      <c r="I102" t="s">
        <v>250</v>
      </c>
      <c r="J102" t="s">
        <v>35</v>
      </c>
      <c r="K102" t="b">
        <v>0</v>
      </c>
      <c r="L102">
        <v>1965</v>
      </c>
      <c r="M102">
        <v>443587301</v>
      </c>
      <c r="N102">
        <v>28344705966</v>
      </c>
      <c r="O102" t="b">
        <v>1</v>
      </c>
      <c r="P102">
        <v>0</v>
      </c>
      <c r="Q102" t="str" cm="1">
        <f t="array" ref="Q102">_xlfn.IFS(Table1[[#This Row],[Wealthier_Winner]]=-1,"Wealthier Nation Loses",Table1[[#This Row],[Wealthier_Winner]]=0,"Tie",Table1[[#This Row],[Wealthier_Winner]]=1,"Wealthier Nation Wins")</f>
        <v>Tie</v>
      </c>
    </row>
    <row r="103" spans="1:17" x14ac:dyDescent="0.2">
      <c r="A103" s="1">
        <v>551</v>
      </c>
      <c r="B103" s="2">
        <v>23969</v>
      </c>
      <c r="C103" s="7">
        <f>_xlfn.FLOOR.MATH(Table1[[#This Row],[year]],10)</f>
        <v>1960</v>
      </c>
      <c r="D103" t="s">
        <v>57</v>
      </c>
      <c r="E103" t="s">
        <v>14</v>
      </c>
      <c r="F103">
        <v>2</v>
      </c>
      <c r="G103">
        <v>2</v>
      </c>
      <c r="H103" t="s">
        <v>224</v>
      </c>
      <c r="I103" t="s">
        <v>237</v>
      </c>
      <c r="J103" t="s">
        <v>57</v>
      </c>
      <c r="K103" t="b">
        <v>0</v>
      </c>
      <c r="L103">
        <v>1965</v>
      </c>
      <c r="M103">
        <v>2387047395</v>
      </c>
      <c r="N103">
        <v>6183988944</v>
      </c>
      <c r="O103" t="b">
        <v>1</v>
      </c>
      <c r="P103">
        <v>0</v>
      </c>
      <c r="Q103" t="str" cm="1">
        <f t="array" ref="Q103">_xlfn.IFS(Table1[[#This Row],[Wealthier_Winner]]=-1,"Wealthier Nation Loses",Table1[[#This Row],[Wealthier_Winner]]=0,"Tie",Table1[[#This Row],[Wealthier_Winner]]=1,"Wealthier Nation Wins")</f>
        <v>Tie</v>
      </c>
    </row>
    <row r="104" spans="1:17" x14ac:dyDescent="0.2">
      <c r="A104" s="1">
        <v>552</v>
      </c>
      <c r="B104" s="2">
        <v>23971</v>
      </c>
      <c r="C104" s="7">
        <f>_xlfn.FLOOR.MATH(Table1[[#This Row],[year]],10)</f>
        <v>1960</v>
      </c>
      <c r="D104" t="s">
        <v>19</v>
      </c>
      <c r="E104" t="s">
        <v>47</v>
      </c>
      <c r="F104">
        <v>4</v>
      </c>
      <c r="G104">
        <v>1</v>
      </c>
      <c r="H104" t="s">
        <v>224</v>
      </c>
      <c r="I104" t="s">
        <v>93</v>
      </c>
      <c r="J104" t="s">
        <v>19</v>
      </c>
      <c r="K104" t="b">
        <v>0</v>
      </c>
      <c r="L104">
        <v>1965</v>
      </c>
      <c r="M104">
        <v>28344705966</v>
      </c>
      <c r="N104">
        <v>604377104</v>
      </c>
      <c r="O104" t="b">
        <v>1</v>
      </c>
      <c r="P104">
        <v>1</v>
      </c>
      <c r="Q104" t="str" cm="1">
        <f t="array" ref="Q104">_xlfn.IFS(Table1[[#This Row],[Wealthier_Winner]]=-1,"Wealthier Nation Loses",Table1[[#This Row],[Wealthier_Winner]]=0,"Tie",Table1[[#This Row],[Wealthier_Winner]]=1,"Wealthier Nation Wins")</f>
        <v>Wealthier Nation Wins</v>
      </c>
    </row>
    <row r="105" spans="1:17" x14ac:dyDescent="0.2">
      <c r="A105" s="1">
        <v>553</v>
      </c>
      <c r="B105" s="2">
        <v>23976</v>
      </c>
      <c r="C105" s="7">
        <f>_xlfn.FLOOR.MATH(Table1[[#This Row],[year]],10)</f>
        <v>1960</v>
      </c>
      <c r="D105" t="s">
        <v>47</v>
      </c>
      <c r="E105" t="s">
        <v>35</v>
      </c>
      <c r="F105">
        <v>2</v>
      </c>
      <c r="G105">
        <v>1</v>
      </c>
      <c r="H105" t="s">
        <v>224</v>
      </c>
      <c r="I105" t="s">
        <v>246</v>
      </c>
      <c r="J105" t="s">
        <v>47</v>
      </c>
      <c r="K105" t="b">
        <v>0</v>
      </c>
      <c r="L105">
        <v>1965</v>
      </c>
      <c r="M105">
        <v>604377104</v>
      </c>
      <c r="N105">
        <v>443587301</v>
      </c>
      <c r="O105" t="b">
        <v>0</v>
      </c>
      <c r="P105">
        <v>1</v>
      </c>
      <c r="Q105" t="str" cm="1">
        <f t="array" ref="Q105">_xlfn.IFS(Table1[[#This Row],[Wealthier_Winner]]=-1,"Wealthier Nation Loses",Table1[[#This Row],[Wealthier_Winner]]=0,"Tie",Table1[[#This Row],[Wealthier_Winner]]=1,"Wealthier Nation Wins")</f>
        <v>Wealthier Nation Wins</v>
      </c>
    </row>
    <row r="106" spans="1:17" x14ac:dyDescent="0.2">
      <c r="A106" s="1">
        <v>554</v>
      </c>
      <c r="B106" s="2">
        <v>23976</v>
      </c>
      <c r="C106" s="7">
        <f>_xlfn.FLOOR.MATH(Table1[[#This Row],[year]],10)</f>
        <v>1960</v>
      </c>
      <c r="D106" t="s">
        <v>14</v>
      </c>
      <c r="E106" t="s">
        <v>57</v>
      </c>
      <c r="F106">
        <v>3</v>
      </c>
      <c r="G106">
        <v>1</v>
      </c>
      <c r="H106" t="s">
        <v>224</v>
      </c>
      <c r="I106" t="s">
        <v>75</v>
      </c>
      <c r="J106" t="s">
        <v>14</v>
      </c>
      <c r="K106" t="b">
        <v>0</v>
      </c>
      <c r="L106">
        <v>1965</v>
      </c>
      <c r="M106">
        <v>6183988944</v>
      </c>
      <c r="N106">
        <v>2387047395</v>
      </c>
      <c r="O106" t="b">
        <v>1</v>
      </c>
      <c r="P106">
        <v>1</v>
      </c>
      <c r="Q106" t="str" cm="1">
        <f t="array" ref="Q106">_xlfn.IFS(Table1[[#This Row],[Wealthier_Winner]]=-1,"Wealthier Nation Loses",Table1[[#This Row],[Wealthier_Winner]]=0,"Tie",Table1[[#This Row],[Wealthier_Winner]]=1,"Wealthier Nation Wins")</f>
        <v>Wealthier Nation Wins</v>
      </c>
    </row>
    <row r="107" spans="1:17" x14ac:dyDescent="0.2">
      <c r="A107" s="1">
        <v>555</v>
      </c>
      <c r="B107" s="2">
        <v>23983</v>
      </c>
      <c r="C107" s="7">
        <f>_xlfn.FLOOR.MATH(Table1[[#This Row],[year]],10)</f>
        <v>1960</v>
      </c>
      <c r="D107" t="s">
        <v>47</v>
      </c>
      <c r="E107" t="s">
        <v>19</v>
      </c>
      <c r="F107">
        <v>1</v>
      </c>
      <c r="G107">
        <v>2</v>
      </c>
      <c r="H107" t="s">
        <v>224</v>
      </c>
      <c r="I107" t="s">
        <v>246</v>
      </c>
      <c r="J107" t="s">
        <v>47</v>
      </c>
      <c r="K107" t="b">
        <v>0</v>
      </c>
      <c r="L107">
        <v>1965</v>
      </c>
      <c r="M107">
        <v>604377104</v>
      </c>
      <c r="N107">
        <v>28344705966</v>
      </c>
      <c r="O107" t="b">
        <v>1</v>
      </c>
      <c r="P107">
        <v>1</v>
      </c>
      <c r="Q107" t="str" cm="1">
        <f t="array" ref="Q107">_xlfn.IFS(Table1[[#This Row],[Wealthier_Winner]]=-1,"Wealthier Nation Loses",Table1[[#This Row],[Wealthier_Winner]]=0,"Tie",Table1[[#This Row],[Wealthier_Winner]]=1,"Wealthier Nation Wins")</f>
        <v>Wealthier Nation Wins</v>
      </c>
    </row>
    <row r="108" spans="1:17" x14ac:dyDescent="0.2">
      <c r="A108" s="1">
        <v>557</v>
      </c>
      <c r="B108" s="2">
        <v>24000</v>
      </c>
      <c r="C108" s="7">
        <f>_xlfn.FLOOR.MATH(Table1[[#This Row],[year]],10)</f>
        <v>1960</v>
      </c>
      <c r="D108" t="s">
        <v>42</v>
      </c>
      <c r="E108" t="s">
        <v>20</v>
      </c>
      <c r="F108">
        <v>0</v>
      </c>
      <c r="G108">
        <v>1</v>
      </c>
      <c r="H108" t="s">
        <v>224</v>
      </c>
      <c r="I108" t="s">
        <v>262</v>
      </c>
      <c r="J108" t="s">
        <v>42</v>
      </c>
      <c r="K108" t="b">
        <v>0</v>
      </c>
      <c r="L108">
        <v>1965</v>
      </c>
      <c r="M108">
        <v>8111945661</v>
      </c>
      <c r="N108">
        <v>100927668584</v>
      </c>
      <c r="O108" t="b">
        <v>1</v>
      </c>
      <c r="P108">
        <v>1</v>
      </c>
      <c r="Q108" t="str" cm="1">
        <f t="array" ref="Q108">_xlfn.IFS(Table1[[#This Row],[Wealthier_Winner]]=-1,"Wealthier Nation Loses",Table1[[#This Row],[Wealthier_Winner]]=0,"Tie",Table1[[#This Row],[Wealthier_Winner]]=1,"Wealthier Nation Wins")</f>
        <v>Wealthier Nation Wins</v>
      </c>
    </row>
    <row r="109" spans="1:17" x14ac:dyDescent="0.2">
      <c r="A109" s="1">
        <v>561</v>
      </c>
      <c r="B109" s="2">
        <v>24011</v>
      </c>
      <c r="C109" s="7">
        <f>_xlfn.FLOOR.MATH(Table1[[#This Row],[year]],10)</f>
        <v>1960</v>
      </c>
      <c r="D109" t="s">
        <v>25</v>
      </c>
      <c r="E109" t="s">
        <v>16</v>
      </c>
      <c r="F109">
        <v>1</v>
      </c>
      <c r="G109">
        <v>2</v>
      </c>
      <c r="H109" t="s">
        <v>224</v>
      </c>
      <c r="I109" t="s">
        <v>233</v>
      </c>
      <c r="J109" t="s">
        <v>25</v>
      </c>
      <c r="K109" t="b">
        <v>0</v>
      </c>
      <c r="L109">
        <v>1965</v>
      </c>
      <c r="M109">
        <v>24963947414</v>
      </c>
      <c r="N109">
        <v>134774688191</v>
      </c>
      <c r="O109" t="b">
        <v>1</v>
      </c>
      <c r="P109">
        <v>1</v>
      </c>
      <c r="Q109" t="str" cm="1">
        <f t="array" ref="Q109">_xlfn.IFS(Table1[[#This Row],[Wealthier_Winner]]=-1,"Wealthier Nation Loses",Table1[[#This Row],[Wealthier_Winner]]=0,"Tie",Table1[[#This Row],[Wealthier_Winner]]=1,"Wealthier Nation Wins")</f>
        <v>Wealthier Nation Wins</v>
      </c>
    </row>
    <row r="110" spans="1:17" x14ac:dyDescent="0.2">
      <c r="A110" s="1">
        <v>567</v>
      </c>
      <c r="B110" s="2">
        <v>24027</v>
      </c>
      <c r="C110" s="7">
        <f>_xlfn.FLOOR.MATH(Table1[[#This Row],[year]],10)</f>
        <v>1960</v>
      </c>
      <c r="D110" t="s">
        <v>14</v>
      </c>
      <c r="E110" t="s">
        <v>57</v>
      </c>
      <c r="F110">
        <v>2</v>
      </c>
      <c r="G110">
        <v>1</v>
      </c>
      <c r="H110" t="s">
        <v>224</v>
      </c>
      <c r="I110" t="s">
        <v>242</v>
      </c>
      <c r="J110" t="s">
        <v>31</v>
      </c>
      <c r="K110" t="b">
        <v>1</v>
      </c>
      <c r="L110">
        <v>1965</v>
      </c>
      <c r="M110">
        <v>6183988944</v>
      </c>
      <c r="N110">
        <v>2387047395</v>
      </c>
      <c r="O110" t="b">
        <v>1</v>
      </c>
      <c r="P110">
        <v>1</v>
      </c>
      <c r="Q110" t="str" cm="1">
        <f t="array" ref="Q110">_xlfn.IFS(Table1[[#This Row],[Wealthier_Winner]]=-1,"Wealthier Nation Loses",Table1[[#This Row],[Wealthier_Winner]]=0,"Tie",Table1[[#This Row],[Wealthier_Winner]]=1,"Wealthier Nation Wins")</f>
        <v>Wealthier Nation Wins</v>
      </c>
    </row>
    <row r="111" spans="1:17" x14ac:dyDescent="0.2">
      <c r="A111" s="1">
        <v>570</v>
      </c>
      <c r="B111" s="2">
        <v>24032</v>
      </c>
      <c r="C111" s="7">
        <f>_xlfn.FLOOR.MATH(Table1[[#This Row],[year]],10)</f>
        <v>1960</v>
      </c>
      <c r="D111" t="s">
        <v>27</v>
      </c>
      <c r="E111" t="s">
        <v>46</v>
      </c>
      <c r="F111">
        <v>0</v>
      </c>
      <c r="G111">
        <v>0</v>
      </c>
      <c r="H111" t="s">
        <v>224</v>
      </c>
      <c r="I111" t="s">
        <v>263</v>
      </c>
      <c r="J111" t="s">
        <v>27</v>
      </c>
      <c r="K111" t="b">
        <v>0</v>
      </c>
      <c r="L111">
        <v>1965</v>
      </c>
      <c r="M111">
        <v>22721869808</v>
      </c>
      <c r="N111">
        <v>16780226225</v>
      </c>
      <c r="O111" t="b">
        <v>0</v>
      </c>
      <c r="P111">
        <v>0</v>
      </c>
      <c r="Q111" t="str" cm="1">
        <f t="array" ref="Q111">_xlfn.IFS(Table1[[#This Row],[Wealthier_Winner]]=-1,"Wealthier Nation Loses",Table1[[#This Row],[Wealthier_Winner]]=0,"Tie",Table1[[#This Row],[Wealthier_Winner]]=1,"Wealthier Nation Wins")</f>
        <v>Tie</v>
      </c>
    </row>
    <row r="112" spans="1:17" x14ac:dyDescent="0.2">
      <c r="A112" s="1">
        <v>574</v>
      </c>
      <c r="B112" s="2">
        <v>24042</v>
      </c>
      <c r="C112" s="7">
        <f>_xlfn.FLOOR.MATH(Table1[[#This Row],[year]],10)</f>
        <v>1960</v>
      </c>
      <c r="D112" t="s">
        <v>36</v>
      </c>
      <c r="E112" t="s">
        <v>48</v>
      </c>
      <c r="F112">
        <v>1</v>
      </c>
      <c r="G112">
        <v>1</v>
      </c>
      <c r="H112" t="s">
        <v>224</v>
      </c>
      <c r="I112" t="s">
        <v>264</v>
      </c>
      <c r="J112" t="s">
        <v>36</v>
      </c>
      <c r="K112" t="b">
        <v>0</v>
      </c>
      <c r="L112">
        <v>1965</v>
      </c>
      <c r="M112">
        <v>10870670865</v>
      </c>
      <c r="N112">
        <v>7582209670</v>
      </c>
      <c r="O112" t="b">
        <v>0</v>
      </c>
      <c r="P112">
        <v>0</v>
      </c>
      <c r="Q112" t="str" cm="1">
        <f t="array" ref="Q112">_xlfn.IFS(Table1[[#This Row],[Wealthier_Winner]]=-1,"Wealthier Nation Loses",Table1[[#This Row],[Wealthier_Winner]]=0,"Tie",Table1[[#This Row],[Wealthier_Winner]]=1,"Wealthier Nation Wins")</f>
        <v>Tie</v>
      </c>
    </row>
    <row r="113" spans="1:17" x14ac:dyDescent="0.2">
      <c r="A113" s="1">
        <v>580</v>
      </c>
      <c r="B113" s="2">
        <v>24052</v>
      </c>
      <c r="C113" s="7">
        <f>_xlfn.FLOOR.MATH(Table1[[#This Row],[year]],10)</f>
        <v>1960</v>
      </c>
      <c r="D113" t="s">
        <v>20</v>
      </c>
      <c r="E113" t="s">
        <v>232</v>
      </c>
      <c r="F113">
        <v>4</v>
      </c>
      <c r="G113">
        <v>1</v>
      </c>
      <c r="H113" t="s">
        <v>224</v>
      </c>
      <c r="I113" t="s">
        <v>130</v>
      </c>
      <c r="J113" t="s">
        <v>20</v>
      </c>
      <c r="K113" t="b">
        <v>0</v>
      </c>
      <c r="L113">
        <v>1965</v>
      </c>
      <c r="M113">
        <v>100927668584</v>
      </c>
      <c r="N113">
        <v>929477284</v>
      </c>
      <c r="O113" t="b">
        <v>1</v>
      </c>
      <c r="P113">
        <v>1</v>
      </c>
      <c r="Q113" t="str" cm="1">
        <f t="array" ref="Q113">_xlfn.IFS(Table1[[#This Row],[Wealthier_Winner]]=-1,"Wealthier Nation Loses",Table1[[#This Row],[Wealthier_Winner]]=0,"Tie",Table1[[#This Row],[Wealthier_Winner]]=1,"Wealthier Nation Wins")</f>
        <v>Wealthier Nation Wins</v>
      </c>
    </row>
    <row r="114" spans="1:17" x14ac:dyDescent="0.2">
      <c r="A114" s="1">
        <v>585</v>
      </c>
      <c r="B114" s="2">
        <v>24056</v>
      </c>
      <c r="C114" s="7">
        <f>_xlfn.FLOOR.MATH(Table1[[#This Row],[year]],10)</f>
        <v>1960</v>
      </c>
      <c r="D114" t="s">
        <v>22</v>
      </c>
      <c r="E114" t="s">
        <v>23</v>
      </c>
      <c r="F114">
        <v>0</v>
      </c>
      <c r="G114">
        <v>5</v>
      </c>
      <c r="H114" t="s">
        <v>224</v>
      </c>
      <c r="I114" t="s">
        <v>239</v>
      </c>
      <c r="J114" t="s">
        <v>22</v>
      </c>
      <c r="K114" t="b">
        <v>0</v>
      </c>
      <c r="L114">
        <v>1965</v>
      </c>
      <c r="M114">
        <v>4329084428</v>
      </c>
      <c r="N114">
        <v>17597783297</v>
      </c>
      <c r="O114" t="b">
        <v>1</v>
      </c>
      <c r="P114">
        <v>1</v>
      </c>
      <c r="Q114" t="str" cm="1">
        <f t="array" ref="Q114">_xlfn.IFS(Table1[[#This Row],[Wealthier_Winner]]=-1,"Wealthier Nation Loses",Table1[[#This Row],[Wealthier_Winner]]=0,"Tie",Table1[[#This Row],[Wealthier_Winner]]=1,"Wealthier Nation Wins")</f>
        <v>Wealthier Nation Wins</v>
      </c>
    </row>
    <row r="115" spans="1:17" x14ac:dyDescent="0.2">
      <c r="A115" s="1">
        <v>587</v>
      </c>
      <c r="B115" s="2">
        <v>24060</v>
      </c>
      <c r="C115" s="7">
        <f>_xlfn.FLOOR.MATH(Table1[[#This Row],[year]],10)</f>
        <v>1960</v>
      </c>
      <c r="D115" t="s">
        <v>46</v>
      </c>
      <c r="E115" t="s">
        <v>27</v>
      </c>
      <c r="F115">
        <v>2</v>
      </c>
      <c r="G115">
        <v>1</v>
      </c>
      <c r="H115" t="s">
        <v>224</v>
      </c>
      <c r="I115" t="s">
        <v>249</v>
      </c>
      <c r="J115" t="s">
        <v>46</v>
      </c>
      <c r="K115" t="b">
        <v>0</v>
      </c>
      <c r="L115">
        <v>1965</v>
      </c>
      <c r="M115">
        <v>16780226225</v>
      </c>
      <c r="N115">
        <v>22721869808</v>
      </c>
      <c r="O115" t="b">
        <v>0</v>
      </c>
      <c r="P115">
        <v>-1</v>
      </c>
      <c r="Q115" t="str" cm="1">
        <f t="array" ref="Q115">_xlfn.IFS(Table1[[#This Row],[Wealthier_Winner]]=-1,"Wealthier Nation Loses",Table1[[#This Row],[Wealthier_Winner]]=0,"Tie",Table1[[#This Row],[Wealthier_Winner]]=1,"Wealthier Nation Wins")</f>
        <v>Wealthier Nation Loses</v>
      </c>
    </row>
    <row r="116" spans="1:17" x14ac:dyDescent="0.2">
      <c r="A116" s="1">
        <v>597</v>
      </c>
      <c r="B116" s="2">
        <v>24299</v>
      </c>
      <c r="C116" s="7">
        <f>_xlfn.FLOOR.MATH(Table1[[#This Row],[year]],10)</f>
        <v>1960</v>
      </c>
      <c r="D116" t="s">
        <v>194</v>
      </c>
      <c r="E116" t="s">
        <v>26</v>
      </c>
      <c r="F116">
        <v>0</v>
      </c>
      <c r="G116">
        <v>0</v>
      </c>
      <c r="H116" t="s">
        <v>74</v>
      </c>
      <c r="I116" t="s">
        <v>80</v>
      </c>
      <c r="J116" t="s">
        <v>194</v>
      </c>
      <c r="K116" t="b">
        <v>0</v>
      </c>
      <c r="L116">
        <v>1966</v>
      </c>
      <c r="M116">
        <v>108572752102</v>
      </c>
      <c r="N116">
        <v>1809185093</v>
      </c>
      <c r="O116" t="b">
        <v>1</v>
      </c>
      <c r="P116">
        <v>0</v>
      </c>
      <c r="Q116" t="str" cm="1">
        <f t="array" ref="Q116">_xlfn.IFS(Table1[[#This Row],[Wealthier_Winner]]=-1,"Wealthier Nation Loses",Table1[[#This Row],[Wealthier_Winner]]=0,"Tie",Table1[[#This Row],[Wealthier_Winner]]=1,"Wealthier Nation Wins")</f>
        <v>Tie</v>
      </c>
    </row>
    <row r="117" spans="1:17" x14ac:dyDescent="0.2">
      <c r="A117" s="1">
        <v>599</v>
      </c>
      <c r="B117" s="2">
        <v>24300</v>
      </c>
      <c r="C117" s="7">
        <f>_xlfn.FLOOR.MATH(Table1[[#This Row],[year]],10)</f>
        <v>1960</v>
      </c>
      <c r="D117" t="s">
        <v>16</v>
      </c>
      <c r="E117" t="s">
        <v>46</v>
      </c>
      <c r="F117">
        <v>5</v>
      </c>
      <c r="G117">
        <v>0</v>
      </c>
      <c r="H117" t="s">
        <v>74</v>
      </c>
      <c r="I117" t="s">
        <v>77</v>
      </c>
      <c r="J117" t="s">
        <v>194</v>
      </c>
      <c r="K117" t="b">
        <v>1</v>
      </c>
      <c r="L117">
        <v>1966</v>
      </c>
      <c r="M117">
        <v>143304275683</v>
      </c>
      <c r="N117">
        <v>18019402373</v>
      </c>
      <c r="O117" t="b">
        <v>1</v>
      </c>
      <c r="P117">
        <v>1</v>
      </c>
      <c r="Q117" t="str" cm="1">
        <f t="array" ref="Q117">_xlfn.IFS(Table1[[#This Row],[Wealthier_Winner]]=-1,"Wealthier Nation Loses",Table1[[#This Row],[Wealthier_Winner]]=0,"Tie",Table1[[#This Row],[Wealthier_Winner]]=1,"Wealthier Nation Wins")</f>
        <v>Wealthier Nation Wins</v>
      </c>
    </row>
    <row r="118" spans="1:17" x14ac:dyDescent="0.2">
      <c r="A118" s="1">
        <v>601</v>
      </c>
      <c r="B118" s="2">
        <v>24301</v>
      </c>
      <c r="C118" s="7">
        <f>_xlfn.FLOOR.MATH(Table1[[#This Row],[year]],10)</f>
        <v>1960</v>
      </c>
      <c r="D118" t="s">
        <v>19</v>
      </c>
      <c r="E118" t="s">
        <v>21</v>
      </c>
      <c r="F118">
        <v>2</v>
      </c>
      <c r="G118">
        <v>1</v>
      </c>
      <c r="H118" t="s">
        <v>74</v>
      </c>
      <c r="I118" t="s">
        <v>78</v>
      </c>
      <c r="J118" t="s">
        <v>194</v>
      </c>
      <c r="K118" t="b">
        <v>1</v>
      </c>
      <c r="L118">
        <v>1966</v>
      </c>
      <c r="M118">
        <v>28630474727</v>
      </c>
      <c r="N118">
        <v>29559436182</v>
      </c>
      <c r="O118" t="b">
        <v>0</v>
      </c>
      <c r="P118">
        <v>-1</v>
      </c>
      <c r="Q118" t="str" cm="1">
        <f t="array" ref="Q118">_xlfn.IFS(Table1[[#This Row],[Wealthier_Winner]]=-1,"Wealthier Nation Loses",Table1[[#This Row],[Wealthier_Winner]]=0,"Tie",Table1[[#This Row],[Wealthier_Winner]]=1,"Wealthier Nation Wins")</f>
        <v>Wealthier Nation Loses</v>
      </c>
    </row>
    <row r="119" spans="1:17" x14ac:dyDescent="0.2">
      <c r="A119" s="1">
        <v>602</v>
      </c>
      <c r="B119" s="2">
        <v>24301</v>
      </c>
      <c r="C119" s="7">
        <f>_xlfn.FLOOR.MATH(Table1[[#This Row],[year]],10)</f>
        <v>1960</v>
      </c>
      <c r="D119" t="s">
        <v>14</v>
      </c>
      <c r="E119" t="s">
        <v>18</v>
      </c>
      <c r="F119">
        <v>0</v>
      </c>
      <c r="G119">
        <v>2</v>
      </c>
      <c r="H119" t="s">
        <v>74</v>
      </c>
      <c r="I119" t="s">
        <v>79</v>
      </c>
      <c r="J119" t="s">
        <v>194</v>
      </c>
      <c r="K119" t="b">
        <v>1</v>
      </c>
      <c r="L119">
        <v>1966</v>
      </c>
      <c r="M119">
        <v>7256882086</v>
      </c>
      <c r="N119">
        <v>76622444787</v>
      </c>
      <c r="O119" t="b">
        <v>1</v>
      </c>
      <c r="P119">
        <v>1</v>
      </c>
      <c r="Q119" t="str" cm="1">
        <f t="array" ref="Q119">_xlfn.IFS(Table1[[#This Row],[Wealthier_Winner]]=-1,"Wealthier Nation Loses",Table1[[#This Row],[Wealthier_Winner]]=0,"Tie",Table1[[#This Row],[Wealthier_Winner]]=1,"Wealthier Nation Wins")</f>
        <v>Wealthier Nation Wins</v>
      </c>
    </row>
    <row r="120" spans="1:17" x14ac:dyDescent="0.2">
      <c r="A120" s="1">
        <v>603</v>
      </c>
      <c r="B120" s="2">
        <v>24301</v>
      </c>
      <c r="C120" s="7">
        <f>_xlfn.FLOOR.MATH(Table1[[#This Row],[year]],10)</f>
        <v>1960</v>
      </c>
      <c r="D120" t="s">
        <v>20</v>
      </c>
      <c r="E120" t="s">
        <v>17</v>
      </c>
      <c r="F120">
        <v>1</v>
      </c>
      <c r="G120">
        <v>1</v>
      </c>
      <c r="H120" t="s">
        <v>74</v>
      </c>
      <c r="I120" t="s">
        <v>80</v>
      </c>
      <c r="J120" t="s">
        <v>194</v>
      </c>
      <c r="K120" t="b">
        <v>1</v>
      </c>
      <c r="L120">
        <v>1966</v>
      </c>
      <c r="M120">
        <v>109306730313</v>
      </c>
      <c r="N120">
        <v>24320000000</v>
      </c>
      <c r="O120" t="b">
        <v>1</v>
      </c>
      <c r="P120">
        <v>0</v>
      </c>
      <c r="Q120" t="str" cm="1">
        <f t="array" ref="Q120">_xlfn.IFS(Table1[[#This Row],[Wealthier_Winner]]=-1,"Wealthier Nation Loses",Table1[[#This Row],[Wealthier_Winner]]=0,"Tie",Table1[[#This Row],[Wealthier_Winner]]=1,"Wealthier Nation Wins")</f>
        <v>Tie</v>
      </c>
    </row>
    <row r="121" spans="1:17" x14ac:dyDescent="0.2">
      <c r="A121" s="1">
        <v>607</v>
      </c>
      <c r="B121" s="2">
        <v>24303</v>
      </c>
      <c r="C121" s="7">
        <f>_xlfn.FLOOR.MATH(Table1[[#This Row],[year]],10)</f>
        <v>1960</v>
      </c>
      <c r="D121" t="s">
        <v>20</v>
      </c>
      <c r="E121" t="s">
        <v>26</v>
      </c>
      <c r="F121">
        <v>1</v>
      </c>
      <c r="G121">
        <v>2</v>
      </c>
      <c r="H121" t="s">
        <v>74</v>
      </c>
      <c r="I121" t="s">
        <v>80</v>
      </c>
      <c r="J121" t="s">
        <v>194</v>
      </c>
      <c r="K121" t="b">
        <v>1</v>
      </c>
      <c r="L121">
        <v>1966</v>
      </c>
      <c r="M121">
        <v>109306730313</v>
      </c>
      <c r="N121">
        <v>1809185093</v>
      </c>
      <c r="O121" t="b">
        <v>1</v>
      </c>
      <c r="P121">
        <v>-1</v>
      </c>
      <c r="Q121" t="str" cm="1">
        <f t="array" ref="Q121">_xlfn.IFS(Table1[[#This Row],[Wealthier_Winner]]=-1,"Wealthier Nation Loses",Table1[[#This Row],[Wealthier_Winner]]=0,"Tie",Table1[[#This Row],[Wealthier_Winner]]=1,"Wealthier Nation Wins")</f>
        <v>Wealthier Nation Loses</v>
      </c>
    </row>
    <row r="122" spans="1:17" x14ac:dyDescent="0.2">
      <c r="A122" s="1">
        <v>608</v>
      </c>
      <c r="B122" s="2">
        <v>24303</v>
      </c>
      <c r="C122" s="7">
        <f>_xlfn.FLOOR.MATH(Table1[[#This Row],[year]],10)</f>
        <v>1960</v>
      </c>
      <c r="D122" t="s">
        <v>21</v>
      </c>
      <c r="E122" t="s">
        <v>46</v>
      </c>
      <c r="F122">
        <v>2</v>
      </c>
      <c r="G122">
        <v>1</v>
      </c>
      <c r="H122" t="s">
        <v>74</v>
      </c>
      <c r="I122" t="s">
        <v>77</v>
      </c>
      <c r="J122" t="s">
        <v>194</v>
      </c>
      <c r="K122" t="b">
        <v>1</v>
      </c>
      <c r="L122">
        <v>1966</v>
      </c>
      <c r="M122">
        <v>29559436182</v>
      </c>
      <c r="N122">
        <v>18019402373</v>
      </c>
      <c r="O122" t="b">
        <v>0</v>
      </c>
      <c r="P122">
        <v>1</v>
      </c>
      <c r="Q122" t="str" cm="1">
        <f t="array" ref="Q122">_xlfn.IFS(Table1[[#This Row],[Wealthier_Winner]]=-1,"Wealthier Nation Loses",Table1[[#This Row],[Wealthier_Winner]]=0,"Tie",Table1[[#This Row],[Wealthier_Winner]]=1,"Wealthier Nation Wins")</f>
        <v>Wealthier Nation Wins</v>
      </c>
    </row>
    <row r="123" spans="1:17" x14ac:dyDescent="0.2">
      <c r="A123" s="1">
        <v>609</v>
      </c>
      <c r="B123" s="2">
        <v>24304</v>
      </c>
      <c r="C123" s="7">
        <f>_xlfn.FLOOR.MATH(Table1[[#This Row],[year]],10)</f>
        <v>1960</v>
      </c>
      <c r="D123" t="s">
        <v>19</v>
      </c>
      <c r="E123" t="s">
        <v>16</v>
      </c>
      <c r="F123">
        <v>0</v>
      </c>
      <c r="G123">
        <v>0</v>
      </c>
      <c r="H123" t="s">
        <v>74</v>
      </c>
      <c r="I123" t="s">
        <v>78</v>
      </c>
      <c r="J123" t="s">
        <v>194</v>
      </c>
      <c r="K123" t="b">
        <v>1</v>
      </c>
      <c r="L123">
        <v>1966</v>
      </c>
      <c r="M123">
        <v>28630474727</v>
      </c>
      <c r="N123">
        <v>143304275683</v>
      </c>
      <c r="O123" t="b">
        <v>1</v>
      </c>
      <c r="P123">
        <v>0</v>
      </c>
      <c r="Q123" t="str" cm="1">
        <f t="array" ref="Q123">_xlfn.IFS(Table1[[#This Row],[Wealthier_Winner]]=-1,"Wealthier Nation Loses",Table1[[#This Row],[Wealthier_Winner]]=0,"Tie",Table1[[#This Row],[Wealthier_Winner]]=1,"Wealthier Nation Wins")</f>
        <v>Tie</v>
      </c>
    </row>
    <row r="124" spans="1:17" x14ac:dyDescent="0.2">
      <c r="A124" s="1">
        <v>611</v>
      </c>
      <c r="B124" s="2">
        <v>24304</v>
      </c>
      <c r="C124" s="7">
        <f>_xlfn.FLOOR.MATH(Table1[[#This Row],[year]],10)</f>
        <v>1960</v>
      </c>
      <c r="D124" t="s">
        <v>194</v>
      </c>
      <c r="E124" t="s">
        <v>17</v>
      </c>
      <c r="F124">
        <v>2</v>
      </c>
      <c r="G124">
        <v>0</v>
      </c>
      <c r="H124" t="s">
        <v>74</v>
      </c>
      <c r="I124" t="s">
        <v>80</v>
      </c>
      <c r="J124" t="s">
        <v>194</v>
      </c>
      <c r="K124" t="b">
        <v>0</v>
      </c>
      <c r="L124">
        <v>1966</v>
      </c>
      <c r="M124">
        <v>108572752102</v>
      </c>
      <c r="N124">
        <v>24320000000</v>
      </c>
      <c r="O124" t="b">
        <v>1</v>
      </c>
      <c r="P124">
        <v>1</v>
      </c>
      <c r="Q124" t="str" cm="1">
        <f t="array" ref="Q124">_xlfn.IFS(Table1[[#This Row],[Wealthier_Winner]]=-1,"Wealthier Nation Loses",Table1[[#This Row],[Wealthier_Winner]]=0,"Tie",Table1[[#This Row],[Wealthier_Winner]]=1,"Wealthier Nation Wins")</f>
        <v>Wealthier Nation Wins</v>
      </c>
    </row>
    <row r="125" spans="1:17" x14ac:dyDescent="0.2">
      <c r="A125" s="1">
        <v>613</v>
      </c>
      <c r="B125" s="2">
        <v>24307</v>
      </c>
      <c r="C125" s="7">
        <f>_xlfn.FLOOR.MATH(Table1[[#This Row],[year]],10)</f>
        <v>1960</v>
      </c>
      <c r="D125" t="s">
        <v>19</v>
      </c>
      <c r="E125" t="s">
        <v>46</v>
      </c>
      <c r="F125">
        <v>2</v>
      </c>
      <c r="G125">
        <v>0</v>
      </c>
      <c r="H125" t="s">
        <v>74</v>
      </c>
      <c r="I125" t="s">
        <v>77</v>
      </c>
      <c r="J125" t="s">
        <v>194</v>
      </c>
      <c r="K125" t="b">
        <v>1</v>
      </c>
      <c r="L125">
        <v>1966</v>
      </c>
      <c r="M125">
        <v>28630474727</v>
      </c>
      <c r="N125">
        <v>18019402373</v>
      </c>
      <c r="O125" t="b">
        <v>0</v>
      </c>
      <c r="P125">
        <v>1</v>
      </c>
      <c r="Q125" t="str" cm="1">
        <f t="array" ref="Q125">_xlfn.IFS(Table1[[#This Row],[Wealthier_Winner]]=-1,"Wealthier Nation Loses",Table1[[#This Row],[Wealthier_Winner]]=0,"Tie",Table1[[#This Row],[Wealthier_Winner]]=1,"Wealthier Nation Wins")</f>
        <v>Wealthier Nation Wins</v>
      </c>
    </row>
    <row r="126" spans="1:17" x14ac:dyDescent="0.2">
      <c r="A126" s="1">
        <v>614</v>
      </c>
      <c r="B126" s="2">
        <v>24307</v>
      </c>
      <c r="C126" s="7">
        <f>_xlfn.FLOOR.MATH(Table1[[#This Row],[year]],10)</f>
        <v>1960</v>
      </c>
      <c r="D126" t="s">
        <v>13</v>
      </c>
      <c r="E126" t="s">
        <v>38</v>
      </c>
      <c r="F126">
        <v>1</v>
      </c>
      <c r="G126">
        <v>3</v>
      </c>
      <c r="H126" t="s">
        <v>74</v>
      </c>
      <c r="I126" t="s">
        <v>81</v>
      </c>
      <c r="J126" t="s">
        <v>194</v>
      </c>
      <c r="K126" t="b">
        <v>1</v>
      </c>
      <c r="L126">
        <v>1966</v>
      </c>
      <c r="M126">
        <v>28283323733</v>
      </c>
      <c r="N126">
        <v>5370108031</v>
      </c>
      <c r="O126" t="b">
        <v>1</v>
      </c>
      <c r="P126">
        <v>-1</v>
      </c>
      <c r="Q126" t="str" cm="1">
        <f t="array" ref="Q126">_xlfn.IFS(Table1[[#This Row],[Wealthier_Winner]]=-1,"Wealthier Nation Loses",Table1[[#This Row],[Wealthier_Winner]]=0,"Tie",Table1[[#This Row],[Wealthier_Winner]]=1,"Wealthier Nation Wins")</f>
        <v>Wealthier Nation Loses</v>
      </c>
    </row>
    <row r="127" spans="1:17" x14ac:dyDescent="0.2">
      <c r="A127" s="1">
        <v>616</v>
      </c>
      <c r="B127" s="2">
        <v>24307</v>
      </c>
      <c r="C127" s="7">
        <f>_xlfn.FLOOR.MATH(Table1[[#This Row],[year]],10)</f>
        <v>1960</v>
      </c>
      <c r="D127" t="s">
        <v>17</v>
      </c>
      <c r="E127" t="s">
        <v>26</v>
      </c>
      <c r="F127">
        <v>0</v>
      </c>
      <c r="G127">
        <v>0</v>
      </c>
      <c r="H127" t="s">
        <v>74</v>
      </c>
      <c r="I127" t="s">
        <v>80</v>
      </c>
      <c r="J127" t="s">
        <v>194</v>
      </c>
      <c r="K127" t="b">
        <v>1</v>
      </c>
      <c r="L127">
        <v>1966</v>
      </c>
      <c r="M127">
        <v>24320000000</v>
      </c>
      <c r="N127">
        <v>1809185093</v>
      </c>
      <c r="O127" t="b">
        <v>1</v>
      </c>
      <c r="P127">
        <v>0</v>
      </c>
      <c r="Q127" t="str" cm="1">
        <f t="array" ref="Q127">_xlfn.IFS(Table1[[#This Row],[Wealthier_Winner]]=-1,"Wealthier Nation Loses",Table1[[#This Row],[Wealthier_Winner]]=0,"Tie",Table1[[#This Row],[Wealthier_Winner]]=1,"Wealthier Nation Wins")</f>
        <v>Tie</v>
      </c>
    </row>
    <row r="128" spans="1:17" x14ac:dyDescent="0.2">
      <c r="A128" s="1">
        <v>619</v>
      </c>
      <c r="B128" s="2">
        <v>24308</v>
      </c>
      <c r="C128" s="7">
        <f>_xlfn.FLOOR.MATH(Table1[[#This Row],[year]],10)</f>
        <v>1960</v>
      </c>
      <c r="D128" t="s">
        <v>194</v>
      </c>
      <c r="E128" t="s">
        <v>20</v>
      </c>
      <c r="F128">
        <v>2</v>
      </c>
      <c r="G128">
        <v>0</v>
      </c>
      <c r="H128" t="s">
        <v>74</v>
      </c>
      <c r="I128" t="s">
        <v>80</v>
      </c>
      <c r="J128" t="s">
        <v>194</v>
      </c>
      <c r="K128" t="b">
        <v>0</v>
      </c>
      <c r="L128">
        <v>1966</v>
      </c>
      <c r="M128">
        <v>108572752102</v>
      </c>
      <c r="N128">
        <v>109306730313</v>
      </c>
      <c r="O128" t="b">
        <v>0</v>
      </c>
      <c r="P128">
        <v>-1</v>
      </c>
      <c r="Q128" t="str" cm="1">
        <f t="array" ref="Q128">_xlfn.IFS(Table1[[#This Row],[Wealthier_Winner]]=-1,"Wealthier Nation Loses",Table1[[#This Row],[Wealthier_Winner]]=0,"Tie",Table1[[#This Row],[Wealthier_Winner]]=1,"Wealthier Nation Wins")</f>
        <v>Wealthier Nation Loses</v>
      </c>
    </row>
    <row r="129" spans="1:17" x14ac:dyDescent="0.2">
      <c r="A129" s="1">
        <v>620</v>
      </c>
      <c r="B129" s="2">
        <v>24308</v>
      </c>
      <c r="C129" s="7">
        <f>_xlfn.FLOOR.MATH(Table1[[#This Row],[year]],10)</f>
        <v>1960</v>
      </c>
      <c r="D129" t="s">
        <v>16</v>
      </c>
      <c r="E129" t="s">
        <v>21</v>
      </c>
      <c r="F129">
        <v>2</v>
      </c>
      <c r="G129">
        <v>1</v>
      </c>
      <c r="H129" t="s">
        <v>74</v>
      </c>
      <c r="I129" t="s">
        <v>78</v>
      </c>
      <c r="J129" t="s">
        <v>194</v>
      </c>
      <c r="K129" t="b">
        <v>1</v>
      </c>
      <c r="L129">
        <v>1966</v>
      </c>
      <c r="M129">
        <v>143304275683</v>
      </c>
      <c r="N129">
        <v>29559436182</v>
      </c>
      <c r="O129" t="b">
        <v>1</v>
      </c>
      <c r="P129">
        <v>1</v>
      </c>
      <c r="Q129" t="str" cm="1">
        <f t="array" ref="Q129">_xlfn.IFS(Table1[[#This Row],[Wealthier_Winner]]=-1,"Wealthier Nation Loses",Table1[[#This Row],[Wealthier_Winner]]=0,"Tie",Table1[[#This Row],[Wealthier_Winner]]=1,"Wealthier Nation Wins")</f>
        <v>Wealthier Nation Wins</v>
      </c>
    </row>
    <row r="130" spans="1:17" x14ac:dyDescent="0.2">
      <c r="A130" s="1">
        <v>621</v>
      </c>
      <c r="B130" s="2">
        <v>24311</v>
      </c>
      <c r="C130" s="7">
        <f>_xlfn.FLOOR.MATH(Table1[[#This Row],[year]],10)</f>
        <v>1960</v>
      </c>
      <c r="D130" t="s">
        <v>194</v>
      </c>
      <c r="E130" t="s">
        <v>19</v>
      </c>
      <c r="F130">
        <v>1</v>
      </c>
      <c r="G130">
        <v>0</v>
      </c>
      <c r="H130" t="s">
        <v>74</v>
      </c>
      <c r="I130" t="s">
        <v>80</v>
      </c>
      <c r="J130" t="s">
        <v>194</v>
      </c>
      <c r="K130" t="b">
        <v>0</v>
      </c>
      <c r="L130">
        <v>1966</v>
      </c>
      <c r="M130">
        <v>108572752102</v>
      </c>
      <c r="N130">
        <v>28630474727</v>
      </c>
      <c r="O130" t="b">
        <v>1</v>
      </c>
      <c r="P130">
        <v>1</v>
      </c>
      <c r="Q130" t="str" cm="1">
        <f t="array" ref="Q130">_xlfn.IFS(Table1[[#This Row],[Wealthier_Winner]]=-1,"Wealthier Nation Loses",Table1[[#This Row],[Wealthier_Winner]]=0,"Tie",Table1[[#This Row],[Wealthier_Winner]]=1,"Wealthier Nation Wins")</f>
        <v>Wealthier Nation Wins</v>
      </c>
    </row>
    <row r="131" spans="1:17" x14ac:dyDescent="0.2">
      <c r="A131" s="1">
        <v>622</v>
      </c>
      <c r="B131" s="2">
        <v>24311</v>
      </c>
      <c r="C131" s="7">
        <f>_xlfn.FLOOR.MATH(Table1[[#This Row],[year]],10)</f>
        <v>1960</v>
      </c>
      <c r="D131" t="s">
        <v>16</v>
      </c>
      <c r="E131" t="s">
        <v>26</v>
      </c>
      <c r="F131">
        <v>4</v>
      </c>
      <c r="G131">
        <v>0</v>
      </c>
      <c r="H131" t="s">
        <v>74</v>
      </c>
      <c r="I131" t="s">
        <v>77</v>
      </c>
      <c r="J131" t="s">
        <v>194</v>
      </c>
      <c r="K131" t="b">
        <v>1</v>
      </c>
      <c r="L131">
        <v>1966</v>
      </c>
      <c r="M131">
        <v>143304275683</v>
      </c>
      <c r="N131">
        <v>1809185093</v>
      </c>
      <c r="O131" t="b">
        <v>1</v>
      </c>
      <c r="P131">
        <v>1</v>
      </c>
      <c r="Q131" t="str" cm="1">
        <f t="array" ref="Q131">_xlfn.IFS(Table1[[#This Row],[Wealthier_Winner]]=-1,"Wealthier Nation Loses",Table1[[#This Row],[Wealthier_Winner]]=0,"Tie",Table1[[#This Row],[Wealthier_Winner]]=1,"Wealthier Nation Wins")</f>
        <v>Wealthier Nation Wins</v>
      </c>
    </row>
    <row r="132" spans="1:17" x14ac:dyDescent="0.2">
      <c r="A132" s="1">
        <v>626</v>
      </c>
      <c r="B132" s="2">
        <v>24314</v>
      </c>
      <c r="C132" s="7">
        <f>_xlfn.FLOOR.MATH(Table1[[#This Row],[year]],10)</f>
        <v>1960</v>
      </c>
      <c r="D132" t="s">
        <v>194</v>
      </c>
      <c r="E132" t="s">
        <v>38</v>
      </c>
      <c r="F132">
        <v>2</v>
      </c>
      <c r="G132">
        <v>1</v>
      </c>
      <c r="H132" t="s">
        <v>74</v>
      </c>
      <c r="I132" t="s">
        <v>80</v>
      </c>
      <c r="J132" t="s">
        <v>194</v>
      </c>
      <c r="K132" t="b">
        <v>0</v>
      </c>
      <c r="L132">
        <v>1966</v>
      </c>
      <c r="M132">
        <v>108572752102</v>
      </c>
      <c r="N132">
        <v>5370108031</v>
      </c>
      <c r="O132" t="b">
        <v>1</v>
      </c>
      <c r="P132">
        <v>1</v>
      </c>
      <c r="Q132" t="str" cm="1">
        <f t="array" ref="Q132">_xlfn.IFS(Table1[[#This Row],[Wealthier_Winner]]=-1,"Wealthier Nation Loses",Table1[[#This Row],[Wealthier_Winner]]=0,"Tie",Table1[[#This Row],[Wealthier_Winner]]=1,"Wealthier Nation Wins")</f>
        <v>Wealthier Nation Wins</v>
      </c>
    </row>
    <row r="133" spans="1:17" x14ac:dyDescent="0.2">
      <c r="A133" s="1">
        <v>628</v>
      </c>
      <c r="B133" s="2">
        <v>24318</v>
      </c>
      <c r="C133" s="7">
        <f>_xlfn.FLOOR.MATH(Table1[[#This Row],[year]],10)</f>
        <v>1960</v>
      </c>
      <c r="D133" t="s">
        <v>194</v>
      </c>
      <c r="E133" t="s">
        <v>16</v>
      </c>
      <c r="F133">
        <v>4</v>
      </c>
      <c r="G133">
        <v>2</v>
      </c>
      <c r="H133" t="s">
        <v>74</v>
      </c>
      <c r="I133" t="s">
        <v>80</v>
      </c>
      <c r="J133" t="s">
        <v>194</v>
      </c>
      <c r="K133" t="b">
        <v>0</v>
      </c>
      <c r="L133">
        <v>1966</v>
      </c>
      <c r="M133">
        <v>108572752102</v>
      </c>
      <c r="N133">
        <v>143304275683</v>
      </c>
      <c r="O133" t="b">
        <v>0</v>
      </c>
      <c r="P133">
        <v>-1</v>
      </c>
      <c r="Q133" t="str" cm="1">
        <f t="array" ref="Q133">_xlfn.IFS(Table1[[#This Row],[Wealthier_Winner]]=-1,"Wealthier Nation Loses",Table1[[#This Row],[Wealthier_Winner]]=0,"Tie",Table1[[#This Row],[Wealthier_Winner]]=1,"Wealthier Nation Wins")</f>
        <v>Wealthier Nation Loses</v>
      </c>
    </row>
    <row r="134" spans="1:17" x14ac:dyDescent="0.2">
      <c r="A134" s="1">
        <v>630</v>
      </c>
      <c r="B134" s="2">
        <v>25008</v>
      </c>
      <c r="C134" s="7">
        <f>_xlfn.FLOOR.MATH(Table1[[#This Row],[year]],10)</f>
        <v>1960</v>
      </c>
      <c r="D134" t="s">
        <v>230</v>
      </c>
      <c r="E134" t="s">
        <v>23</v>
      </c>
      <c r="F134">
        <v>1</v>
      </c>
      <c r="G134">
        <v>2</v>
      </c>
      <c r="H134" t="s">
        <v>224</v>
      </c>
      <c r="I134" t="s">
        <v>231</v>
      </c>
      <c r="J134" t="s">
        <v>230</v>
      </c>
      <c r="K134" t="b">
        <v>0</v>
      </c>
      <c r="L134">
        <v>1968</v>
      </c>
      <c r="M134">
        <v>8916565040</v>
      </c>
      <c r="N134">
        <v>21654856965</v>
      </c>
      <c r="O134" t="b">
        <v>1</v>
      </c>
      <c r="P134">
        <v>1</v>
      </c>
      <c r="Q134" t="str" cm="1">
        <f t="array" ref="Q134">_xlfn.IFS(Table1[[#This Row],[Wealthier_Winner]]=-1,"Wealthier Nation Loses",Table1[[#This Row],[Wealthier_Winner]]=0,"Tie",Table1[[#This Row],[Wealthier_Winner]]=1,"Wealthier Nation Wins")</f>
        <v>Wealthier Nation Wins</v>
      </c>
    </row>
    <row r="135" spans="1:17" x14ac:dyDescent="0.2">
      <c r="A135" s="1">
        <v>631</v>
      </c>
      <c r="B135" s="2">
        <v>25085</v>
      </c>
      <c r="C135" s="7">
        <f>_xlfn.FLOOR.MATH(Table1[[#This Row],[year]],10)</f>
        <v>1960</v>
      </c>
      <c r="D135" t="s">
        <v>27</v>
      </c>
      <c r="E135" t="s">
        <v>232</v>
      </c>
      <c r="F135">
        <v>2</v>
      </c>
      <c r="G135">
        <v>0</v>
      </c>
      <c r="H135" t="s">
        <v>224</v>
      </c>
      <c r="I135" t="s">
        <v>265</v>
      </c>
      <c r="J135" t="s">
        <v>27</v>
      </c>
      <c r="K135" t="b">
        <v>0</v>
      </c>
      <c r="L135">
        <v>1968</v>
      </c>
      <c r="M135">
        <v>30097635750</v>
      </c>
      <c r="N135">
        <v>1075561622</v>
      </c>
      <c r="O135" t="b">
        <v>1</v>
      </c>
      <c r="P135">
        <v>1</v>
      </c>
      <c r="Q135" t="str" cm="1">
        <f t="array" ref="Q135">_xlfn.IFS(Table1[[#This Row],[Wealthier_Winner]]=-1,"Wealthier Nation Loses",Table1[[#This Row],[Wealthier_Winner]]=0,"Tie",Table1[[#This Row],[Wealthier_Winner]]=1,"Wealthier Nation Wins")</f>
        <v>Wealthier Nation Wins</v>
      </c>
    </row>
    <row r="136" spans="1:17" x14ac:dyDescent="0.2">
      <c r="A136" s="1">
        <v>634</v>
      </c>
      <c r="B136" s="2">
        <v>25117</v>
      </c>
      <c r="C136" s="7">
        <f>_xlfn.FLOOR.MATH(Table1[[#This Row],[year]],10)</f>
        <v>1960</v>
      </c>
      <c r="D136" t="s">
        <v>34</v>
      </c>
      <c r="E136" t="s">
        <v>266</v>
      </c>
      <c r="F136">
        <v>4</v>
      </c>
      <c r="G136">
        <v>0</v>
      </c>
      <c r="H136" t="s">
        <v>224</v>
      </c>
      <c r="I136" t="s">
        <v>267</v>
      </c>
      <c r="J136" t="s">
        <v>34</v>
      </c>
      <c r="K136" t="b">
        <v>0</v>
      </c>
      <c r="L136">
        <v>1968</v>
      </c>
      <c r="M136">
        <v>72048833006</v>
      </c>
      <c r="N136">
        <v>150000000</v>
      </c>
      <c r="O136" t="b">
        <v>1</v>
      </c>
      <c r="P136">
        <v>1</v>
      </c>
      <c r="Q136" t="str" cm="1">
        <f t="array" ref="Q136">_xlfn.IFS(Table1[[#This Row],[Wealthier_Winner]]=-1,"Wealthier Nation Loses",Table1[[#This Row],[Wealthier_Winner]]=0,"Tie",Table1[[#This Row],[Wealthier_Winner]]=1,"Wealthier Nation Wins")</f>
        <v>Wealthier Nation Wins</v>
      </c>
    </row>
    <row r="137" spans="1:17" x14ac:dyDescent="0.2">
      <c r="A137" s="1">
        <v>635</v>
      </c>
      <c r="B137" s="2">
        <v>25120</v>
      </c>
      <c r="C137" s="7">
        <f>_xlfn.FLOOR.MATH(Table1[[#This Row],[year]],10)</f>
        <v>1960</v>
      </c>
      <c r="D137" t="s">
        <v>23</v>
      </c>
      <c r="E137" t="s">
        <v>230</v>
      </c>
      <c r="F137">
        <v>6</v>
      </c>
      <c r="G137">
        <v>1</v>
      </c>
      <c r="H137" t="s">
        <v>224</v>
      </c>
      <c r="I137" t="s">
        <v>268</v>
      </c>
      <c r="J137" t="s">
        <v>23</v>
      </c>
      <c r="K137" t="b">
        <v>0</v>
      </c>
      <c r="L137">
        <v>1968</v>
      </c>
      <c r="M137">
        <v>21654856965</v>
      </c>
      <c r="N137">
        <v>8916565040</v>
      </c>
      <c r="O137" t="b">
        <v>1</v>
      </c>
      <c r="P137">
        <v>1</v>
      </c>
      <c r="Q137" t="str" cm="1">
        <f t="array" ref="Q137">_xlfn.IFS(Table1[[#This Row],[Wealthier_Winner]]=-1,"Wealthier Nation Loses",Table1[[#This Row],[Wealthier_Winner]]=0,"Tie",Table1[[#This Row],[Wealthier_Winner]]=1,"Wealthier Nation Wins")</f>
        <v>Wealthier Nation Wins</v>
      </c>
    </row>
    <row r="138" spans="1:17" x14ac:dyDescent="0.2">
      <c r="A138" s="1">
        <v>636</v>
      </c>
      <c r="B138" s="2">
        <v>25120</v>
      </c>
      <c r="C138" s="7">
        <f>_xlfn.FLOOR.MATH(Table1[[#This Row],[year]],10)</f>
        <v>1960</v>
      </c>
      <c r="D138" t="s">
        <v>25</v>
      </c>
      <c r="E138" t="s">
        <v>42</v>
      </c>
      <c r="F138">
        <v>5</v>
      </c>
      <c r="G138">
        <v>0</v>
      </c>
      <c r="H138" t="s">
        <v>224</v>
      </c>
      <c r="I138" t="s">
        <v>233</v>
      </c>
      <c r="J138" t="s">
        <v>25</v>
      </c>
      <c r="K138" t="b">
        <v>0</v>
      </c>
      <c r="L138">
        <v>1968</v>
      </c>
      <c r="M138">
        <v>31277871668</v>
      </c>
      <c r="N138">
        <v>10227087165</v>
      </c>
      <c r="O138" t="b">
        <v>1</v>
      </c>
      <c r="P138">
        <v>1</v>
      </c>
      <c r="Q138" t="str" cm="1">
        <f t="array" ref="Q138">_xlfn.IFS(Table1[[#This Row],[Wealthier_Winner]]=-1,"Wealthier Nation Loses",Table1[[#This Row],[Wealthier_Winner]]=0,"Tie",Table1[[#This Row],[Wealthier_Winner]]=1,"Wealthier Nation Wins")</f>
        <v>Wealthier Nation Wins</v>
      </c>
    </row>
    <row r="139" spans="1:17" x14ac:dyDescent="0.2">
      <c r="A139" s="1">
        <v>637</v>
      </c>
      <c r="B139" s="2">
        <v>25123</v>
      </c>
      <c r="C139" s="7">
        <f>_xlfn.FLOOR.MATH(Table1[[#This Row],[year]],10)</f>
        <v>1960</v>
      </c>
      <c r="D139" t="s">
        <v>46</v>
      </c>
      <c r="E139" t="s">
        <v>48</v>
      </c>
      <c r="F139">
        <v>1</v>
      </c>
      <c r="G139">
        <v>0</v>
      </c>
      <c r="H139" t="s">
        <v>224</v>
      </c>
      <c r="I139" t="s">
        <v>269</v>
      </c>
      <c r="J139" t="s">
        <v>46</v>
      </c>
      <c r="K139" t="b">
        <v>0</v>
      </c>
      <c r="L139">
        <v>1968</v>
      </c>
      <c r="M139">
        <v>20712102793</v>
      </c>
      <c r="N139">
        <v>9950331205</v>
      </c>
      <c r="O139" t="b">
        <v>1</v>
      </c>
      <c r="P139">
        <v>1</v>
      </c>
      <c r="Q139" t="str" cm="1">
        <f t="array" ref="Q139">_xlfn.IFS(Table1[[#This Row],[Wealthier_Winner]]=-1,"Wealthier Nation Loses",Table1[[#This Row],[Wealthier_Winner]]=0,"Tie",Table1[[#This Row],[Wealthier_Winner]]=1,"Wealthier Nation Wins")</f>
        <v>Wealthier Nation Wins</v>
      </c>
    </row>
    <row r="140" spans="1:17" x14ac:dyDescent="0.2">
      <c r="A140" s="1">
        <v>638</v>
      </c>
      <c r="B140" s="2">
        <v>25124</v>
      </c>
      <c r="C140" s="7">
        <f>_xlfn.FLOOR.MATH(Table1[[#This Row],[year]],10)</f>
        <v>1960</v>
      </c>
      <c r="D140" t="s">
        <v>29</v>
      </c>
      <c r="E140" t="s">
        <v>16</v>
      </c>
      <c r="F140">
        <v>0</v>
      </c>
      <c r="G140">
        <v>2</v>
      </c>
      <c r="H140" t="s">
        <v>224</v>
      </c>
      <c r="I140" t="s">
        <v>270</v>
      </c>
      <c r="J140" t="s">
        <v>29</v>
      </c>
      <c r="K140" t="b">
        <v>0</v>
      </c>
      <c r="L140">
        <v>1968</v>
      </c>
      <c r="M140">
        <v>12499863917</v>
      </c>
      <c r="N140">
        <v>156527292653</v>
      </c>
      <c r="O140" t="b">
        <v>1</v>
      </c>
      <c r="P140">
        <v>1</v>
      </c>
      <c r="Q140" t="str" cm="1">
        <f t="array" ref="Q140">_xlfn.IFS(Table1[[#This Row],[Wealthier_Winner]]=-1,"Wealthier Nation Loses",Table1[[#This Row],[Wealthier_Winner]]=0,"Tie",Table1[[#This Row],[Wealthier_Winner]]=1,"Wealthier Nation Wins")</f>
        <v>Wealthier Nation Wins</v>
      </c>
    </row>
    <row r="141" spans="1:17" x14ac:dyDescent="0.2">
      <c r="A141" s="1">
        <v>639</v>
      </c>
      <c r="B141" s="2">
        <v>25124</v>
      </c>
      <c r="C141" s="7">
        <f>_xlfn.FLOOR.MATH(Table1[[#This Row],[year]],10)</f>
        <v>1960</v>
      </c>
      <c r="D141" t="s">
        <v>34</v>
      </c>
      <c r="E141" t="s">
        <v>41</v>
      </c>
      <c r="F141">
        <v>4</v>
      </c>
      <c r="G141">
        <v>2</v>
      </c>
      <c r="H141" t="s">
        <v>224</v>
      </c>
      <c r="I141" t="s">
        <v>267</v>
      </c>
      <c r="J141" t="s">
        <v>34</v>
      </c>
      <c r="K141" t="b">
        <v>0</v>
      </c>
      <c r="L141">
        <v>1968</v>
      </c>
      <c r="M141">
        <v>72048833006</v>
      </c>
      <c r="N141">
        <v>940225000000</v>
      </c>
      <c r="O141" t="b">
        <v>1</v>
      </c>
      <c r="P141">
        <v>-1</v>
      </c>
      <c r="Q141" t="str" cm="1">
        <f t="array" ref="Q141">_xlfn.IFS(Table1[[#This Row],[Wealthier_Winner]]=-1,"Wealthier Nation Loses",Table1[[#This Row],[Wealthier_Winner]]=0,"Tie",Table1[[#This Row],[Wealthier_Winner]]=1,"Wealthier Nation Wins")</f>
        <v>Wealthier Nation Loses</v>
      </c>
    </row>
    <row r="142" spans="1:17" x14ac:dyDescent="0.2">
      <c r="A142" s="1">
        <v>641</v>
      </c>
      <c r="B142" s="2">
        <v>25131</v>
      </c>
      <c r="C142" s="7">
        <f>_xlfn.FLOOR.MATH(Table1[[#This Row],[year]],10)</f>
        <v>1960</v>
      </c>
      <c r="D142" t="s">
        <v>266</v>
      </c>
      <c r="E142" t="s">
        <v>34</v>
      </c>
      <c r="F142">
        <v>0</v>
      </c>
      <c r="G142">
        <v>0</v>
      </c>
      <c r="H142" t="s">
        <v>224</v>
      </c>
      <c r="I142" t="s">
        <v>271</v>
      </c>
      <c r="J142" t="s">
        <v>266</v>
      </c>
      <c r="K142" t="b">
        <v>0</v>
      </c>
      <c r="L142">
        <v>1968</v>
      </c>
      <c r="M142">
        <v>150000000</v>
      </c>
      <c r="N142">
        <v>72048833006</v>
      </c>
      <c r="O142" t="b">
        <v>1</v>
      </c>
      <c r="P142">
        <v>0</v>
      </c>
      <c r="Q142" t="str" cm="1">
        <f t="array" ref="Q142">_xlfn.IFS(Table1[[#This Row],[Wealthier_Winner]]=-1,"Wealthier Nation Loses",Table1[[#This Row],[Wealthier_Winner]]=0,"Tie",Table1[[#This Row],[Wealthier_Winner]]=1,"Wealthier Nation Wins")</f>
        <v>Tie</v>
      </c>
    </row>
    <row r="143" spans="1:17" x14ac:dyDescent="0.2">
      <c r="A143" s="1">
        <v>645</v>
      </c>
      <c r="B143" s="2">
        <v>25137</v>
      </c>
      <c r="C143" s="7">
        <f>_xlfn.FLOOR.MATH(Table1[[#This Row],[year]],10)</f>
        <v>1960</v>
      </c>
      <c r="D143" t="s">
        <v>41</v>
      </c>
      <c r="E143" t="s">
        <v>34</v>
      </c>
      <c r="F143">
        <v>1</v>
      </c>
      <c r="G143">
        <v>0</v>
      </c>
      <c r="H143" t="s">
        <v>224</v>
      </c>
      <c r="I143" t="s">
        <v>272</v>
      </c>
      <c r="J143" t="s">
        <v>41</v>
      </c>
      <c r="K143" t="b">
        <v>0</v>
      </c>
      <c r="L143">
        <v>1968</v>
      </c>
      <c r="M143">
        <v>940225000000</v>
      </c>
      <c r="N143">
        <v>72048833006</v>
      </c>
      <c r="O143" t="b">
        <v>1</v>
      </c>
      <c r="P143">
        <v>1</v>
      </c>
      <c r="Q143" t="str" cm="1">
        <f t="array" ref="Q143">_xlfn.IFS(Table1[[#This Row],[Wealthier_Winner]]=-1,"Wealthier Nation Loses",Table1[[#This Row],[Wealthier_Winner]]=0,"Tie",Table1[[#This Row],[Wealthier_Winner]]=1,"Wealthier Nation Wins")</f>
        <v>Wealthier Nation Wins</v>
      </c>
    </row>
    <row r="144" spans="1:17" x14ac:dyDescent="0.2">
      <c r="A144" s="1">
        <v>649</v>
      </c>
      <c r="B144" s="2">
        <v>25138</v>
      </c>
      <c r="C144" s="7">
        <f>_xlfn.FLOOR.MATH(Table1[[#This Row],[year]],10)</f>
        <v>1960</v>
      </c>
      <c r="D144" t="s">
        <v>273</v>
      </c>
      <c r="E144" t="s">
        <v>274</v>
      </c>
      <c r="F144">
        <v>4</v>
      </c>
      <c r="G144">
        <v>2</v>
      </c>
      <c r="H144" t="s">
        <v>224</v>
      </c>
      <c r="I144" t="s">
        <v>275</v>
      </c>
      <c r="J144" t="s">
        <v>273</v>
      </c>
      <c r="K144" t="b">
        <v>0</v>
      </c>
      <c r="L144">
        <v>1968</v>
      </c>
      <c r="M144">
        <v>1573739371</v>
      </c>
      <c r="N144">
        <v>1677771400</v>
      </c>
      <c r="O144" t="b">
        <v>0</v>
      </c>
      <c r="P144">
        <v>-1</v>
      </c>
      <c r="Q144" t="str" cm="1">
        <f t="array" ref="Q144">_xlfn.IFS(Table1[[#This Row],[Wealthier_Winner]]=-1,"Wealthier Nation Loses",Table1[[#This Row],[Wealthier_Winner]]=0,"Tie",Table1[[#This Row],[Wealthier_Winner]]=1,"Wealthier Nation Wins")</f>
        <v>Wealthier Nation Loses</v>
      </c>
    </row>
    <row r="145" spans="1:17" x14ac:dyDescent="0.2">
      <c r="A145" s="1">
        <v>650</v>
      </c>
      <c r="B145" s="2">
        <v>25144</v>
      </c>
      <c r="C145" s="7">
        <f>_xlfn.FLOOR.MATH(Table1[[#This Row],[year]],10)</f>
        <v>1960</v>
      </c>
      <c r="D145" t="s">
        <v>41</v>
      </c>
      <c r="E145" t="s">
        <v>266</v>
      </c>
      <c r="F145">
        <v>6</v>
      </c>
      <c r="G145">
        <v>2</v>
      </c>
      <c r="H145" t="s">
        <v>224</v>
      </c>
      <c r="I145" t="s">
        <v>276</v>
      </c>
      <c r="J145" t="s">
        <v>41</v>
      </c>
      <c r="K145" t="b">
        <v>0</v>
      </c>
      <c r="L145">
        <v>1968</v>
      </c>
      <c r="M145">
        <v>940225000000</v>
      </c>
      <c r="N145">
        <v>150000000</v>
      </c>
      <c r="O145" t="b">
        <v>1</v>
      </c>
      <c r="P145">
        <v>1</v>
      </c>
      <c r="Q145" t="str" cm="1">
        <f t="array" ref="Q145">_xlfn.IFS(Table1[[#This Row],[Wealthier_Winner]]=-1,"Wealthier Nation Loses",Table1[[#This Row],[Wealthier_Winner]]=0,"Tie",Table1[[#This Row],[Wealthier_Winner]]=1,"Wealthier Nation Wins")</f>
        <v>Wealthier Nation Wins</v>
      </c>
    </row>
    <row r="146" spans="1:17" x14ac:dyDescent="0.2">
      <c r="A146" s="1">
        <v>651</v>
      </c>
      <c r="B146" s="2">
        <v>25145</v>
      </c>
      <c r="C146" s="7">
        <f>_xlfn.FLOOR.MATH(Table1[[#This Row],[year]],10)</f>
        <v>1960</v>
      </c>
      <c r="D146" t="s">
        <v>24</v>
      </c>
      <c r="E146" t="s">
        <v>54</v>
      </c>
      <c r="F146">
        <v>1</v>
      </c>
      <c r="G146">
        <v>0</v>
      </c>
      <c r="H146" t="s">
        <v>224</v>
      </c>
      <c r="I146" t="s">
        <v>244</v>
      </c>
      <c r="J146" t="s">
        <v>24</v>
      </c>
      <c r="K146" t="b">
        <v>0</v>
      </c>
      <c r="L146">
        <v>1968</v>
      </c>
      <c r="M146">
        <v>3271422332</v>
      </c>
      <c r="N146">
        <v>1309384861</v>
      </c>
      <c r="O146" t="b">
        <v>1</v>
      </c>
      <c r="P146">
        <v>1</v>
      </c>
      <c r="Q146" t="str" cm="1">
        <f t="array" ref="Q146">_xlfn.IFS(Table1[[#This Row],[Wealthier_Winner]]=-1,"Wealthier Nation Loses",Table1[[#This Row],[Wealthier_Winner]]=0,"Tie",Table1[[#This Row],[Wealthier_Winner]]=1,"Wealthier Nation Wins")</f>
        <v>Wealthier Nation Wins</v>
      </c>
    </row>
    <row r="147" spans="1:17" x14ac:dyDescent="0.2">
      <c r="A147" s="1">
        <v>652</v>
      </c>
      <c r="B147" s="2">
        <v>25148</v>
      </c>
      <c r="C147" s="7">
        <f>_xlfn.FLOOR.MATH(Table1[[#This Row],[year]],10)</f>
        <v>1960</v>
      </c>
      <c r="D147" t="s">
        <v>20</v>
      </c>
      <c r="E147" t="s">
        <v>42</v>
      </c>
      <c r="F147">
        <v>0</v>
      </c>
      <c r="G147">
        <v>1</v>
      </c>
      <c r="H147" t="s">
        <v>224</v>
      </c>
      <c r="I147" t="s">
        <v>277</v>
      </c>
      <c r="J147" t="s">
        <v>20</v>
      </c>
      <c r="K147" t="b">
        <v>0</v>
      </c>
      <c r="L147">
        <v>1968</v>
      </c>
      <c r="M147">
        <v>128710572572</v>
      </c>
      <c r="N147">
        <v>10227087165</v>
      </c>
      <c r="O147" t="b">
        <v>1</v>
      </c>
      <c r="P147">
        <v>-1</v>
      </c>
      <c r="Q147" t="str" cm="1">
        <f t="array" ref="Q147">_xlfn.IFS(Table1[[#This Row],[Wealthier_Winner]]=-1,"Wealthier Nation Loses",Table1[[#This Row],[Wealthier_Winner]]=0,"Tie",Table1[[#This Row],[Wealthier_Winner]]=1,"Wealthier Nation Wins")</f>
        <v>Wealthier Nation Loses</v>
      </c>
    </row>
    <row r="148" spans="1:17" x14ac:dyDescent="0.2">
      <c r="A148" s="1">
        <v>654</v>
      </c>
      <c r="B148" s="2">
        <v>25150</v>
      </c>
      <c r="C148" s="7">
        <f>_xlfn.FLOOR.MATH(Table1[[#This Row],[year]],10)</f>
        <v>1960</v>
      </c>
      <c r="D148" t="s">
        <v>274</v>
      </c>
      <c r="E148" t="s">
        <v>273</v>
      </c>
      <c r="F148">
        <v>4</v>
      </c>
      <c r="G148">
        <v>2</v>
      </c>
      <c r="H148" t="s">
        <v>224</v>
      </c>
      <c r="I148" t="s">
        <v>278</v>
      </c>
      <c r="J148" t="s">
        <v>274</v>
      </c>
      <c r="K148" t="b">
        <v>0</v>
      </c>
      <c r="L148">
        <v>1968</v>
      </c>
      <c r="M148">
        <v>1677771400</v>
      </c>
      <c r="N148">
        <v>1573739371</v>
      </c>
      <c r="O148" t="b">
        <v>0</v>
      </c>
      <c r="P148">
        <v>1</v>
      </c>
      <c r="Q148" t="str" cm="1">
        <f t="array" ref="Q148">_xlfn.IFS(Table1[[#This Row],[Wealthier_Winner]]=-1,"Wealthier Nation Loses",Table1[[#This Row],[Wealthier_Winner]]=0,"Tie",Table1[[#This Row],[Wealthier_Winner]]=1,"Wealthier Nation Wins")</f>
        <v>Wealthier Nation Wins</v>
      </c>
    </row>
    <row r="149" spans="1:17" x14ac:dyDescent="0.2">
      <c r="A149" s="1">
        <v>655</v>
      </c>
      <c r="B149" s="2">
        <v>25153</v>
      </c>
      <c r="C149" s="7">
        <f>_xlfn.FLOOR.MATH(Table1[[#This Row],[year]],10)</f>
        <v>1960</v>
      </c>
      <c r="D149" t="s">
        <v>266</v>
      </c>
      <c r="E149" t="s">
        <v>41</v>
      </c>
      <c r="F149">
        <v>0</v>
      </c>
      <c r="G149">
        <v>2</v>
      </c>
      <c r="H149" t="s">
        <v>224</v>
      </c>
      <c r="I149" t="s">
        <v>271</v>
      </c>
      <c r="J149" t="s">
        <v>266</v>
      </c>
      <c r="K149" t="b">
        <v>0</v>
      </c>
      <c r="L149">
        <v>1968</v>
      </c>
      <c r="M149">
        <v>150000000</v>
      </c>
      <c r="N149">
        <v>940225000000</v>
      </c>
      <c r="O149" t="b">
        <v>1</v>
      </c>
      <c r="P149">
        <v>1</v>
      </c>
      <c r="Q149" t="str" cm="1">
        <f t="array" ref="Q149">_xlfn.IFS(Table1[[#This Row],[Wealthier_Winner]]=-1,"Wealthier Nation Loses",Table1[[#This Row],[Wealthier_Winner]]=0,"Tie",Table1[[#This Row],[Wealthier_Winner]]=1,"Wealthier Nation Wins")</f>
        <v>Wealthier Nation Wins</v>
      </c>
    </row>
    <row r="150" spans="1:17" x14ac:dyDescent="0.2">
      <c r="A150" s="1">
        <v>656</v>
      </c>
      <c r="B150" s="2">
        <v>25159</v>
      </c>
      <c r="C150" s="7">
        <f>_xlfn.FLOOR.MATH(Table1[[#This Row],[year]],10)</f>
        <v>1960</v>
      </c>
      <c r="D150" t="s">
        <v>32</v>
      </c>
      <c r="E150" t="s">
        <v>53</v>
      </c>
      <c r="F150">
        <v>1</v>
      </c>
      <c r="G150">
        <v>2</v>
      </c>
      <c r="H150" t="s">
        <v>224</v>
      </c>
      <c r="I150" t="s">
        <v>279</v>
      </c>
      <c r="J150" t="s">
        <v>32</v>
      </c>
      <c r="K150" t="b">
        <v>0</v>
      </c>
      <c r="L150">
        <v>1968</v>
      </c>
      <c r="M150">
        <v>3852147026</v>
      </c>
      <c r="N150">
        <v>1214666666</v>
      </c>
      <c r="O150" t="b">
        <v>1</v>
      </c>
      <c r="P150">
        <v>-1</v>
      </c>
      <c r="Q150" t="str" cm="1">
        <f t="array" ref="Q150">_xlfn.IFS(Table1[[#This Row],[Wealthier_Winner]]=-1,"Wealthier Nation Loses",Table1[[#This Row],[Wealthier_Winner]]=0,"Tie",Table1[[#This Row],[Wealthier_Winner]]=1,"Wealthier Nation Wins")</f>
        <v>Wealthier Nation Loses</v>
      </c>
    </row>
    <row r="151" spans="1:17" x14ac:dyDescent="0.2">
      <c r="A151" s="1">
        <v>657</v>
      </c>
      <c r="B151" s="2">
        <v>25159</v>
      </c>
      <c r="C151" s="7">
        <f>_xlfn.FLOOR.MATH(Table1[[#This Row],[year]],10)</f>
        <v>1960</v>
      </c>
      <c r="D151" t="s">
        <v>223</v>
      </c>
      <c r="E151" t="s">
        <v>59</v>
      </c>
      <c r="F151">
        <v>4</v>
      </c>
      <c r="G151">
        <v>0</v>
      </c>
      <c r="H151" t="s">
        <v>224</v>
      </c>
      <c r="I151" t="s">
        <v>227</v>
      </c>
      <c r="J151" t="s">
        <v>223</v>
      </c>
      <c r="K151" t="b">
        <v>0</v>
      </c>
      <c r="L151">
        <v>1968</v>
      </c>
      <c r="M151">
        <v>1610500000</v>
      </c>
      <c r="N151">
        <v>758899950</v>
      </c>
      <c r="O151" t="b">
        <v>1</v>
      </c>
      <c r="P151">
        <v>1</v>
      </c>
      <c r="Q151" t="str" cm="1">
        <f t="array" ref="Q151">_xlfn.IFS(Table1[[#This Row],[Wealthier_Winner]]=-1,"Wealthier Nation Loses",Table1[[#This Row],[Wealthier_Winner]]=0,"Tie",Table1[[#This Row],[Wealthier_Winner]]=1,"Wealthier Nation Wins")</f>
        <v>Wealthier Nation Wins</v>
      </c>
    </row>
    <row r="152" spans="1:17" x14ac:dyDescent="0.2">
      <c r="A152" s="1">
        <v>658</v>
      </c>
      <c r="B152" s="2">
        <v>25162</v>
      </c>
      <c r="C152" s="7">
        <f>_xlfn.FLOOR.MATH(Table1[[#This Row],[year]],10)</f>
        <v>1960</v>
      </c>
      <c r="D152" t="s">
        <v>223</v>
      </c>
      <c r="E152" t="s">
        <v>59</v>
      </c>
      <c r="F152">
        <v>0</v>
      </c>
      <c r="G152">
        <v>0</v>
      </c>
      <c r="H152" t="s">
        <v>224</v>
      </c>
      <c r="I152" t="s">
        <v>227</v>
      </c>
      <c r="J152" t="s">
        <v>223</v>
      </c>
      <c r="K152" t="b">
        <v>0</v>
      </c>
      <c r="L152">
        <v>1968</v>
      </c>
      <c r="M152">
        <v>1610500000</v>
      </c>
      <c r="N152">
        <v>758899950</v>
      </c>
      <c r="O152" t="b">
        <v>1</v>
      </c>
      <c r="P152">
        <v>0</v>
      </c>
      <c r="Q152" t="str" cm="1">
        <f t="array" ref="Q152">_xlfn.IFS(Table1[[#This Row],[Wealthier_Winner]]=-1,"Wealthier Nation Loses",Table1[[#This Row],[Wealthier_Winner]]=0,"Tie",Table1[[#This Row],[Wealthier_Winner]]=1,"Wealthier Nation Wins")</f>
        <v>Tie</v>
      </c>
    </row>
    <row r="153" spans="1:17" x14ac:dyDescent="0.2">
      <c r="A153" s="1">
        <v>660</v>
      </c>
      <c r="B153" s="2">
        <v>25165</v>
      </c>
      <c r="C153" s="7">
        <f>_xlfn.FLOOR.MATH(Table1[[#This Row],[year]],10)</f>
        <v>1960</v>
      </c>
      <c r="D153" t="s">
        <v>70</v>
      </c>
      <c r="E153" t="s">
        <v>59</v>
      </c>
      <c r="F153">
        <v>4</v>
      </c>
      <c r="G153">
        <v>0</v>
      </c>
      <c r="H153" t="s">
        <v>224</v>
      </c>
      <c r="I153" t="s">
        <v>280</v>
      </c>
      <c r="J153" t="s">
        <v>70</v>
      </c>
      <c r="K153" t="b">
        <v>0</v>
      </c>
      <c r="L153">
        <v>1968</v>
      </c>
      <c r="M153">
        <v>367968800</v>
      </c>
      <c r="N153">
        <v>758899950</v>
      </c>
      <c r="O153" t="b">
        <v>1</v>
      </c>
      <c r="P153">
        <v>-1</v>
      </c>
      <c r="Q153" t="str" cm="1">
        <f t="array" ref="Q153">_xlfn.IFS(Table1[[#This Row],[Wealthier_Winner]]=-1,"Wealthier Nation Loses",Table1[[#This Row],[Wealthier_Winner]]=0,"Tie",Table1[[#This Row],[Wealthier_Winner]]=1,"Wealthier Nation Wins")</f>
        <v>Wealthier Nation Loses</v>
      </c>
    </row>
    <row r="154" spans="1:17" x14ac:dyDescent="0.2">
      <c r="A154" s="1">
        <v>663</v>
      </c>
      <c r="B154" s="2">
        <v>25167</v>
      </c>
      <c r="C154" s="7">
        <f>_xlfn.FLOOR.MATH(Table1[[#This Row],[year]],10)</f>
        <v>1960</v>
      </c>
      <c r="D154" t="s">
        <v>70</v>
      </c>
      <c r="E154" t="s">
        <v>59</v>
      </c>
      <c r="F154">
        <v>2</v>
      </c>
      <c r="G154">
        <v>4</v>
      </c>
      <c r="H154" t="s">
        <v>224</v>
      </c>
      <c r="I154" t="s">
        <v>280</v>
      </c>
      <c r="J154" t="s">
        <v>70</v>
      </c>
      <c r="K154" t="b">
        <v>0</v>
      </c>
      <c r="L154">
        <v>1968</v>
      </c>
      <c r="M154">
        <v>367968800</v>
      </c>
      <c r="N154">
        <v>758899950</v>
      </c>
      <c r="O154" t="b">
        <v>1</v>
      </c>
      <c r="P154">
        <v>1</v>
      </c>
      <c r="Q154" t="str" cm="1">
        <f t="array" ref="Q154">_xlfn.IFS(Table1[[#This Row],[Wealthier_Winner]]=-1,"Wealthier Nation Loses",Table1[[#This Row],[Wealthier_Winner]]=0,"Tie",Table1[[#This Row],[Wealthier_Winner]]=1,"Wealthier Nation Wins")</f>
        <v>Wealthier Nation Wins</v>
      </c>
    </row>
    <row r="155" spans="1:17" x14ac:dyDescent="0.2">
      <c r="A155" s="1">
        <v>664</v>
      </c>
      <c r="B155" s="2">
        <v>25169</v>
      </c>
      <c r="C155" s="7">
        <f>_xlfn.FLOOR.MATH(Table1[[#This Row],[year]],10)</f>
        <v>1960</v>
      </c>
      <c r="D155" t="s">
        <v>56</v>
      </c>
      <c r="E155" t="s">
        <v>49</v>
      </c>
      <c r="F155">
        <v>3</v>
      </c>
      <c r="G155">
        <v>0</v>
      </c>
      <c r="H155" t="s">
        <v>224</v>
      </c>
      <c r="I155" t="s">
        <v>225</v>
      </c>
      <c r="J155" t="s">
        <v>56</v>
      </c>
      <c r="K155" t="b">
        <v>0</v>
      </c>
      <c r="L155">
        <v>1968</v>
      </c>
      <c r="M155">
        <v>773841494</v>
      </c>
      <c r="N155">
        <v>1083839132</v>
      </c>
      <c r="O155" t="b">
        <v>0</v>
      </c>
      <c r="P155">
        <v>-1</v>
      </c>
      <c r="Q155" t="str" cm="1">
        <f t="array" ref="Q155">_xlfn.IFS(Table1[[#This Row],[Wealthier_Winner]]=-1,"Wealthier Nation Loses",Table1[[#This Row],[Wealthier_Winner]]=0,"Tie",Table1[[#This Row],[Wealthier_Winner]]=1,"Wealthier Nation Wins")</f>
        <v>Wealthier Nation Loses</v>
      </c>
    </row>
    <row r="156" spans="1:17" x14ac:dyDescent="0.2">
      <c r="A156" s="1">
        <v>665</v>
      </c>
      <c r="B156" s="2">
        <v>25173</v>
      </c>
      <c r="C156" s="7">
        <f>_xlfn.FLOOR.MATH(Table1[[#This Row],[year]],10)</f>
        <v>1960</v>
      </c>
      <c r="D156" t="s">
        <v>56</v>
      </c>
      <c r="E156" t="s">
        <v>49</v>
      </c>
      <c r="F156">
        <v>3</v>
      </c>
      <c r="G156">
        <v>1</v>
      </c>
      <c r="H156" t="s">
        <v>224</v>
      </c>
      <c r="I156" t="s">
        <v>225</v>
      </c>
      <c r="J156" t="s">
        <v>56</v>
      </c>
      <c r="K156" t="b">
        <v>0</v>
      </c>
      <c r="L156">
        <v>1968</v>
      </c>
      <c r="M156">
        <v>773841494</v>
      </c>
      <c r="N156">
        <v>1083839132</v>
      </c>
      <c r="O156" t="b">
        <v>0</v>
      </c>
      <c r="P156">
        <v>-1</v>
      </c>
      <c r="Q156" t="str" cm="1">
        <f t="array" ref="Q156">_xlfn.IFS(Table1[[#This Row],[Wealthier_Winner]]=-1,"Wealthier Nation Loses",Table1[[#This Row],[Wealthier_Winner]]=0,"Tie",Table1[[#This Row],[Wealthier_Winner]]=1,"Wealthier Nation Wins")</f>
        <v>Wealthier Nation Loses</v>
      </c>
    </row>
    <row r="157" spans="1:17" x14ac:dyDescent="0.2">
      <c r="A157" s="1">
        <v>666</v>
      </c>
      <c r="B157" s="2">
        <v>25173</v>
      </c>
      <c r="C157" s="7">
        <f>_xlfn.FLOOR.MATH(Table1[[#This Row],[year]],10)</f>
        <v>1960</v>
      </c>
      <c r="D157" t="s">
        <v>69</v>
      </c>
      <c r="E157" t="s">
        <v>252</v>
      </c>
      <c r="F157">
        <v>6</v>
      </c>
      <c r="G157">
        <v>0</v>
      </c>
      <c r="H157" t="s">
        <v>224</v>
      </c>
      <c r="I157" t="s">
        <v>281</v>
      </c>
      <c r="J157" t="s">
        <v>69</v>
      </c>
      <c r="K157" t="b">
        <v>0</v>
      </c>
      <c r="L157">
        <v>1968</v>
      </c>
      <c r="M157">
        <v>1009760100</v>
      </c>
      <c r="N157">
        <v>241350000</v>
      </c>
      <c r="O157" t="b">
        <v>1</v>
      </c>
      <c r="P157">
        <v>1</v>
      </c>
      <c r="Q157" t="str" cm="1">
        <f t="array" ref="Q157">_xlfn.IFS(Table1[[#This Row],[Wealthier_Winner]]=-1,"Wealthier Nation Loses",Table1[[#This Row],[Wealthier_Winner]]=0,"Tie",Table1[[#This Row],[Wealthier_Winner]]=1,"Wealthier Nation Wins")</f>
        <v>Wealthier Nation Wins</v>
      </c>
    </row>
    <row r="158" spans="1:17" x14ac:dyDescent="0.2">
      <c r="A158" s="1">
        <v>668</v>
      </c>
      <c r="B158" s="2">
        <v>25177</v>
      </c>
      <c r="C158" s="7">
        <f>_xlfn.FLOOR.MATH(Table1[[#This Row],[year]],10)</f>
        <v>1960</v>
      </c>
      <c r="D158" t="s">
        <v>65</v>
      </c>
      <c r="E158" t="s">
        <v>49</v>
      </c>
      <c r="F158">
        <v>3</v>
      </c>
      <c r="G158">
        <v>1</v>
      </c>
      <c r="H158" t="s">
        <v>224</v>
      </c>
      <c r="I158" t="s">
        <v>228</v>
      </c>
      <c r="J158" t="s">
        <v>65</v>
      </c>
      <c r="K158" t="b">
        <v>0</v>
      </c>
      <c r="L158">
        <v>1968</v>
      </c>
      <c r="M158">
        <v>815450000</v>
      </c>
      <c r="N158">
        <v>1083839132</v>
      </c>
      <c r="O158" t="b">
        <v>0</v>
      </c>
      <c r="P158">
        <v>-1</v>
      </c>
      <c r="Q158" t="str" cm="1">
        <f t="array" ref="Q158">_xlfn.IFS(Table1[[#This Row],[Wealthier_Winner]]=-1,"Wealthier Nation Loses",Table1[[#This Row],[Wealthier_Winner]]=0,"Tie",Table1[[#This Row],[Wealthier_Winner]]=1,"Wealthier Nation Wins")</f>
        <v>Wealthier Nation Loses</v>
      </c>
    </row>
    <row r="159" spans="1:17" x14ac:dyDescent="0.2">
      <c r="A159" s="1">
        <v>669</v>
      </c>
      <c r="B159" s="2">
        <v>25179</v>
      </c>
      <c r="C159" s="7">
        <f>_xlfn.FLOOR.MATH(Table1[[#This Row],[year]],10)</f>
        <v>1960</v>
      </c>
      <c r="D159" t="s">
        <v>43</v>
      </c>
      <c r="E159" t="s">
        <v>40</v>
      </c>
      <c r="F159">
        <v>1</v>
      </c>
      <c r="G159">
        <v>1</v>
      </c>
      <c r="H159" t="s">
        <v>224</v>
      </c>
      <c r="I159" t="s">
        <v>229</v>
      </c>
      <c r="J159" t="s">
        <v>43</v>
      </c>
      <c r="K159" t="b">
        <v>0</v>
      </c>
      <c r="L159">
        <v>1968</v>
      </c>
      <c r="M159">
        <v>5200997919</v>
      </c>
      <c r="N159">
        <v>1046191217</v>
      </c>
      <c r="O159" t="b">
        <v>1</v>
      </c>
      <c r="P159">
        <v>0</v>
      </c>
      <c r="Q159" t="str" cm="1">
        <f t="array" ref="Q159">_xlfn.IFS(Table1[[#This Row],[Wealthier_Winner]]=-1,"Wealthier Nation Loses",Table1[[#This Row],[Wealthier_Winner]]=0,"Tie",Table1[[#This Row],[Wealthier_Winner]]=1,"Wealthier Nation Wins")</f>
        <v>Tie</v>
      </c>
    </row>
    <row r="160" spans="1:17" x14ac:dyDescent="0.2">
      <c r="A160" s="1">
        <v>670</v>
      </c>
      <c r="B160" s="2">
        <v>25180</v>
      </c>
      <c r="C160" s="7">
        <f>_xlfn.FLOOR.MATH(Table1[[#This Row],[year]],10)</f>
        <v>1960</v>
      </c>
      <c r="D160" t="s">
        <v>70</v>
      </c>
      <c r="E160" t="s">
        <v>223</v>
      </c>
      <c r="F160">
        <v>2</v>
      </c>
      <c r="G160">
        <v>0</v>
      </c>
      <c r="H160" t="s">
        <v>224</v>
      </c>
      <c r="I160" t="s">
        <v>280</v>
      </c>
      <c r="J160" t="s">
        <v>70</v>
      </c>
      <c r="K160" t="b">
        <v>0</v>
      </c>
      <c r="L160">
        <v>1968</v>
      </c>
      <c r="M160">
        <v>367968800</v>
      </c>
      <c r="N160">
        <v>1610500000</v>
      </c>
      <c r="O160" t="b">
        <v>1</v>
      </c>
      <c r="P160">
        <v>-1</v>
      </c>
      <c r="Q160" t="str" cm="1">
        <f t="array" ref="Q160">_xlfn.IFS(Table1[[#This Row],[Wealthier_Winner]]=-1,"Wealthier Nation Loses",Table1[[#This Row],[Wealthier_Winner]]=0,"Tie",Table1[[#This Row],[Wealthier_Winner]]=1,"Wealthier Nation Wins")</f>
        <v>Wealthier Nation Loses</v>
      </c>
    </row>
    <row r="161" spans="1:17" x14ac:dyDescent="0.2">
      <c r="A161" s="1">
        <v>671</v>
      </c>
      <c r="B161" s="2">
        <v>25180</v>
      </c>
      <c r="C161" s="7">
        <f>_xlfn.FLOOR.MATH(Table1[[#This Row],[year]],10)</f>
        <v>1960</v>
      </c>
      <c r="D161" t="s">
        <v>65</v>
      </c>
      <c r="E161" t="s">
        <v>49</v>
      </c>
      <c r="F161">
        <v>2</v>
      </c>
      <c r="G161">
        <v>0</v>
      </c>
      <c r="H161" t="s">
        <v>224</v>
      </c>
      <c r="I161" t="s">
        <v>228</v>
      </c>
      <c r="J161" t="s">
        <v>65</v>
      </c>
      <c r="K161" t="b">
        <v>0</v>
      </c>
      <c r="L161">
        <v>1968</v>
      </c>
      <c r="M161">
        <v>815450000</v>
      </c>
      <c r="N161">
        <v>1083839132</v>
      </c>
      <c r="O161" t="b">
        <v>0</v>
      </c>
      <c r="P161">
        <v>-1</v>
      </c>
      <c r="Q161" t="str" cm="1">
        <f t="array" ref="Q161">_xlfn.IFS(Table1[[#This Row],[Wealthier_Winner]]=-1,"Wealthier Nation Loses",Table1[[#This Row],[Wealthier_Winner]]=0,"Tie",Table1[[#This Row],[Wealthier_Winner]]=1,"Wealthier Nation Wins")</f>
        <v>Wealthier Nation Loses</v>
      </c>
    </row>
    <row r="162" spans="1:17" x14ac:dyDescent="0.2">
      <c r="A162" s="1">
        <v>673</v>
      </c>
      <c r="B162" s="2">
        <v>25183</v>
      </c>
      <c r="C162" s="7">
        <f>_xlfn.FLOOR.MATH(Table1[[#This Row],[year]],10)</f>
        <v>1960</v>
      </c>
      <c r="D162" t="s">
        <v>48</v>
      </c>
      <c r="E162" t="s">
        <v>38</v>
      </c>
      <c r="F162">
        <v>4</v>
      </c>
      <c r="G162">
        <v>2</v>
      </c>
      <c r="H162" t="s">
        <v>224</v>
      </c>
      <c r="I162" t="s">
        <v>282</v>
      </c>
      <c r="J162" t="s">
        <v>48</v>
      </c>
      <c r="K162" t="b">
        <v>0</v>
      </c>
      <c r="L162">
        <v>1968</v>
      </c>
      <c r="M162">
        <v>9950331205</v>
      </c>
      <c r="N162">
        <v>6644693214</v>
      </c>
      <c r="O162" t="b">
        <v>0</v>
      </c>
      <c r="P162">
        <v>1</v>
      </c>
      <c r="Q162" t="str" cm="1">
        <f t="array" ref="Q162">_xlfn.IFS(Table1[[#This Row],[Wealthier_Winner]]=-1,"Wealthier Nation Loses",Table1[[#This Row],[Wealthier_Winner]]=0,"Tie",Table1[[#This Row],[Wealthier_Winner]]=1,"Wealthier Nation Wins")</f>
        <v>Wealthier Nation Wins</v>
      </c>
    </row>
    <row r="163" spans="1:17" x14ac:dyDescent="0.2">
      <c r="A163" s="1">
        <v>674</v>
      </c>
      <c r="B163" s="2">
        <v>25183</v>
      </c>
      <c r="C163" s="7">
        <f>_xlfn.FLOOR.MATH(Table1[[#This Row],[year]],10)</f>
        <v>1960</v>
      </c>
      <c r="D163" t="s">
        <v>21</v>
      </c>
      <c r="E163" t="s">
        <v>23</v>
      </c>
      <c r="F163">
        <v>1</v>
      </c>
      <c r="G163">
        <v>1</v>
      </c>
      <c r="H163" t="s">
        <v>224</v>
      </c>
      <c r="I163" t="s">
        <v>105</v>
      </c>
      <c r="J163" t="s">
        <v>21</v>
      </c>
      <c r="K163" t="b">
        <v>0</v>
      </c>
      <c r="L163">
        <v>1968</v>
      </c>
      <c r="M163">
        <v>32394326463</v>
      </c>
      <c r="N163">
        <v>21654856965</v>
      </c>
      <c r="O163" t="b">
        <v>0</v>
      </c>
      <c r="P163">
        <v>0</v>
      </c>
      <c r="Q163" t="str" cm="1">
        <f t="array" ref="Q163">_xlfn.IFS(Table1[[#This Row],[Wealthier_Winner]]=-1,"Wealthier Nation Loses",Table1[[#This Row],[Wealthier_Winner]]=0,"Tie",Table1[[#This Row],[Wealthier_Winner]]=1,"Wealthier Nation Wins")</f>
        <v>Tie</v>
      </c>
    </row>
    <row r="164" spans="1:17" x14ac:dyDescent="0.2">
      <c r="A164" s="1">
        <v>678</v>
      </c>
      <c r="B164" s="2">
        <v>25194</v>
      </c>
      <c r="C164" s="7">
        <f>_xlfn.FLOOR.MATH(Table1[[#This Row],[year]],10)</f>
        <v>1960</v>
      </c>
      <c r="D164" t="s">
        <v>40</v>
      </c>
      <c r="E164" t="s">
        <v>43</v>
      </c>
      <c r="F164">
        <v>2</v>
      </c>
      <c r="G164">
        <v>3</v>
      </c>
      <c r="H164" t="s">
        <v>224</v>
      </c>
      <c r="I164" t="s">
        <v>283</v>
      </c>
      <c r="J164" t="s">
        <v>40</v>
      </c>
      <c r="K164" t="b">
        <v>0</v>
      </c>
      <c r="L164">
        <v>1968</v>
      </c>
      <c r="M164">
        <v>1046191217</v>
      </c>
      <c r="N164">
        <v>5200997919</v>
      </c>
      <c r="O164" t="b">
        <v>1</v>
      </c>
      <c r="P164">
        <v>1</v>
      </c>
      <c r="Q164" t="str" cm="1">
        <f t="array" ref="Q164">_xlfn.IFS(Table1[[#This Row],[Wealthier_Winner]]=-1,"Wealthier Nation Loses",Table1[[#This Row],[Wealthier_Winner]]=0,"Tie",Table1[[#This Row],[Wealthier_Winner]]=1,"Wealthier Nation Wins")</f>
        <v>Wealthier Nation Wins</v>
      </c>
    </row>
    <row r="165" spans="1:17" x14ac:dyDescent="0.2">
      <c r="A165" s="1">
        <v>679</v>
      </c>
      <c r="B165" s="2">
        <v>25194</v>
      </c>
      <c r="C165" s="7">
        <f>_xlfn.FLOOR.MATH(Table1[[#This Row],[year]],10)</f>
        <v>1960</v>
      </c>
      <c r="D165" t="s">
        <v>65</v>
      </c>
      <c r="E165" t="s">
        <v>56</v>
      </c>
      <c r="F165">
        <v>1</v>
      </c>
      <c r="G165">
        <v>0</v>
      </c>
      <c r="H165" t="s">
        <v>224</v>
      </c>
      <c r="I165" t="s">
        <v>228</v>
      </c>
      <c r="J165" t="s">
        <v>65</v>
      </c>
      <c r="K165" t="b">
        <v>0</v>
      </c>
      <c r="L165">
        <v>1968</v>
      </c>
      <c r="M165">
        <v>815450000</v>
      </c>
      <c r="N165">
        <v>773841494</v>
      </c>
      <c r="O165" t="b">
        <v>0</v>
      </c>
      <c r="P165">
        <v>1</v>
      </c>
      <c r="Q165" t="str" cm="1">
        <f t="array" ref="Q165">_xlfn.IFS(Table1[[#This Row],[Wealthier_Winner]]=-1,"Wealthier Nation Loses",Table1[[#This Row],[Wealthier_Winner]]=0,"Tie",Table1[[#This Row],[Wealthier_Winner]]=1,"Wealthier Nation Wins")</f>
        <v>Wealthier Nation Wins</v>
      </c>
    </row>
    <row r="166" spans="1:17" x14ac:dyDescent="0.2">
      <c r="A166" s="1">
        <v>680</v>
      </c>
      <c r="B166" s="2">
        <v>25194</v>
      </c>
      <c r="C166" s="7">
        <f>_xlfn.FLOOR.MATH(Table1[[#This Row],[year]],10)</f>
        <v>1960</v>
      </c>
      <c r="D166" t="s">
        <v>252</v>
      </c>
      <c r="E166" t="s">
        <v>69</v>
      </c>
      <c r="F166">
        <v>4</v>
      </c>
      <c r="G166">
        <v>1</v>
      </c>
      <c r="H166" t="s">
        <v>224</v>
      </c>
      <c r="I166" t="s">
        <v>255</v>
      </c>
      <c r="J166" t="s">
        <v>256</v>
      </c>
      <c r="K166" t="b">
        <v>0</v>
      </c>
      <c r="L166">
        <v>1968</v>
      </c>
      <c r="M166">
        <v>241350000</v>
      </c>
      <c r="N166">
        <v>1009760100</v>
      </c>
      <c r="O166" t="b">
        <v>1</v>
      </c>
      <c r="P166">
        <v>-1</v>
      </c>
      <c r="Q166" t="str" cm="1">
        <f t="array" ref="Q166">_xlfn.IFS(Table1[[#This Row],[Wealthier_Winner]]=-1,"Wealthier Nation Loses",Table1[[#This Row],[Wealthier_Winner]]=0,"Tie",Table1[[#This Row],[Wealthier_Winner]]=1,"Wealthier Nation Wins")</f>
        <v>Wealthier Nation Loses</v>
      </c>
    </row>
    <row r="167" spans="1:17" x14ac:dyDescent="0.2">
      <c r="A167" s="1">
        <v>681</v>
      </c>
      <c r="B167" s="2">
        <v>25201</v>
      </c>
      <c r="C167" s="7">
        <f>_xlfn.FLOOR.MATH(Table1[[#This Row],[year]],10)</f>
        <v>1960</v>
      </c>
      <c r="D167" t="s">
        <v>56</v>
      </c>
      <c r="E167" t="s">
        <v>65</v>
      </c>
      <c r="F167">
        <v>1</v>
      </c>
      <c r="G167">
        <v>1</v>
      </c>
      <c r="H167" t="s">
        <v>224</v>
      </c>
      <c r="I167" t="s">
        <v>225</v>
      </c>
      <c r="J167" t="s">
        <v>56</v>
      </c>
      <c r="K167" t="b">
        <v>0</v>
      </c>
      <c r="L167">
        <v>1968</v>
      </c>
      <c r="M167">
        <v>773841494</v>
      </c>
      <c r="N167">
        <v>815450000</v>
      </c>
      <c r="O167" t="b">
        <v>0</v>
      </c>
      <c r="P167">
        <v>0</v>
      </c>
      <c r="Q167" t="str" cm="1">
        <f t="array" ref="Q167">_xlfn.IFS(Table1[[#This Row],[Wealthier_Winner]]=-1,"Wealthier Nation Loses",Table1[[#This Row],[Wealthier_Winner]]=0,"Tie",Table1[[#This Row],[Wealthier_Winner]]=1,"Wealthier Nation Wins")</f>
        <v>Tie</v>
      </c>
    </row>
    <row r="168" spans="1:17" x14ac:dyDescent="0.2">
      <c r="A168" s="1">
        <v>682</v>
      </c>
      <c r="B168" s="2">
        <v>25201</v>
      </c>
      <c r="C168" s="7">
        <f>_xlfn.FLOOR.MATH(Table1[[#This Row],[year]],10)</f>
        <v>1960</v>
      </c>
      <c r="D168" t="s">
        <v>53</v>
      </c>
      <c r="E168" t="s">
        <v>32</v>
      </c>
      <c r="F168">
        <v>0</v>
      </c>
      <c r="G168">
        <v>0</v>
      </c>
      <c r="H168" t="s">
        <v>224</v>
      </c>
      <c r="I168" t="s">
        <v>284</v>
      </c>
      <c r="J168" t="s">
        <v>53</v>
      </c>
      <c r="K168" t="b">
        <v>0</v>
      </c>
      <c r="L168">
        <v>1968</v>
      </c>
      <c r="M168">
        <v>1214666666</v>
      </c>
      <c r="N168">
        <v>3852147026</v>
      </c>
      <c r="O168" t="b">
        <v>1</v>
      </c>
      <c r="P168">
        <v>0</v>
      </c>
      <c r="Q168" t="str" cm="1">
        <f t="array" ref="Q168">_xlfn.IFS(Table1[[#This Row],[Wealthier_Winner]]=-1,"Wealthier Nation Loses",Table1[[#This Row],[Wealthier_Winner]]=0,"Tie",Table1[[#This Row],[Wealthier_Winner]]=1,"Wealthier Nation Wins")</f>
        <v>Tie</v>
      </c>
    </row>
    <row r="169" spans="1:17" x14ac:dyDescent="0.2">
      <c r="A169" s="1">
        <v>683</v>
      </c>
      <c r="B169" s="2">
        <v>25208</v>
      </c>
      <c r="C169" s="7">
        <f>_xlfn.FLOOR.MATH(Table1[[#This Row],[year]],10)</f>
        <v>1960</v>
      </c>
      <c r="D169" t="s">
        <v>54</v>
      </c>
      <c r="E169" t="s">
        <v>24</v>
      </c>
      <c r="F169">
        <v>2</v>
      </c>
      <c r="G169">
        <v>1</v>
      </c>
      <c r="H169" t="s">
        <v>224</v>
      </c>
      <c r="I169" t="s">
        <v>285</v>
      </c>
      <c r="J169" t="s">
        <v>54</v>
      </c>
      <c r="K169" t="b">
        <v>0</v>
      </c>
      <c r="L169">
        <v>1969</v>
      </c>
      <c r="M169">
        <v>1245234931</v>
      </c>
      <c r="N169">
        <v>3651622668</v>
      </c>
      <c r="O169" t="b">
        <v>1</v>
      </c>
      <c r="P169">
        <v>-1</v>
      </c>
      <c r="Q169" t="str" cm="1">
        <f t="array" ref="Q169">_xlfn.IFS(Table1[[#This Row],[Wealthier_Winner]]=-1,"Wealthier Nation Loses",Table1[[#This Row],[Wealthier_Winner]]=0,"Tie",Table1[[#This Row],[Wealthier_Winner]]=1,"Wealthier Nation Wins")</f>
        <v>Wealthier Nation Loses</v>
      </c>
    </row>
    <row r="170" spans="1:17" x14ac:dyDescent="0.2">
      <c r="A170" s="1">
        <v>684</v>
      </c>
      <c r="B170" s="2">
        <v>25229</v>
      </c>
      <c r="C170" s="7">
        <f>_xlfn.FLOOR.MATH(Table1[[#This Row],[year]],10)</f>
        <v>1960</v>
      </c>
      <c r="D170" t="s">
        <v>286</v>
      </c>
      <c r="E170" t="s">
        <v>238</v>
      </c>
      <c r="F170">
        <v>2</v>
      </c>
      <c r="G170">
        <v>0</v>
      </c>
      <c r="H170" t="s">
        <v>224</v>
      </c>
      <c r="I170" t="s">
        <v>287</v>
      </c>
      <c r="J170" t="s">
        <v>286</v>
      </c>
      <c r="K170" t="b">
        <v>0</v>
      </c>
      <c r="L170">
        <v>1969</v>
      </c>
      <c r="M170">
        <v>4380987481</v>
      </c>
      <c r="N170">
        <v>2768987372</v>
      </c>
      <c r="O170" t="b">
        <v>0</v>
      </c>
      <c r="P170">
        <v>1</v>
      </c>
      <c r="Q170" t="str" cm="1">
        <f t="array" ref="Q170">_xlfn.IFS(Table1[[#This Row],[Wealthier_Winner]]=-1,"Wealthier Nation Loses",Table1[[#This Row],[Wealthier_Winner]]=0,"Tie",Table1[[#This Row],[Wealthier_Winner]]=1,"Wealthier Nation Wins")</f>
        <v>Wealthier Nation Wins</v>
      </c>
    </row>
    <row r="171" spans="1:17" x14ac:dyDescent="0.2">
      <c r="A171" s="1">
        <v>685</v>
      </c>
      <c r="B171" s="2">
        <v>25243</v>
      </c>
      <c r="C171" s="7">
        <f>_xlfn.FLOOR.MATH(Table1[[#This Row],[year]],10)</f>
        <v>1960</v>
      </c>
      <c r="D171" t="s">
        <v>238</v>
      </c>
      <c r="E171" t="s">
        <v>286</v>
      </c>
      <c r="F171">
        <v>5</v>
      </c>
      <c r="G171">
        <v>1</v>
      </c>
      <c r="H171" t="s">
        <v>224</v>
      </c>
      <c r="I171" t="s">
        <v>288</v>
      </c>
      <c r="J171" t="s">
        <v>238</v>
      </c>
      <c r="K171" t="b">
        <v>0</v>
      </c>
      <c r="L171">
        <v>1969</v>
      </c>
      <c r="M171">
        <v>2768987372</v>
      </c>
      <c r="N171">
        <v>4380987481</v>
      </c>
      <c r="O171" t="b">
        <v>0</v>
      </c>
      <c r="P171">
        <v>-1</v>
      </c>
      <c r="Q171" t="str" cm="1">
        <f t="array" ref="Q171">_xlfn.IFS(Table1[[#This Row],[Wealthier_Winner]]=-1,"Wealthier Nation Loses",Table1[[#This Row],[Wealthier_Winner]]=0,"Tie",Table1[[#This Row],[Wealthier_Winner]]=1,"Wealthier Nation Wins")</f>
        <v>Wealthier Nation Loses</v>
      </c>
    </row>
    <row r="172" spans="1:17" x14ac:dyDescent="0.2">
      <c r="A172" s="1">
        <v>686</v>
      </c>
      <c r="B172" s="2">
        <v>25247</v>
      </c>
      <c r="C172" s="7">
        <f>_xlfn.FLOOR.MATH(Table1[[#This Row],[year]],10)</f>
        <v>1960</v>
      </c>
      <c r="D172" t="s">
        <v>24</v>
      </c>
      <c r="E172" t="s">
        <v>54</v>
      </c>
      <c r="F172">
        <v>2</v>
      </c>
      <c r="G172">
        <v>0</v>
      </c>
      <c r="H172" t="s">
        <v>224</v>
      </c>
      <c r="I172" t="s">
        <v>289</v>
      </c>
      <c r="J172" t="s">
        <v>21</v>
      </c>
      <c r="K172" t="b">
        <v>1</v>
      </c>
      <c r="L172">
        <v>1969</v>
      </c>
      <c r="M172">
        <v>3651622668</v>
      </c>
      <c r="N172">
        <v>1245234931</v>
      </c>
      <c r="O172" t="b">
        <v>1</v>
      </c>
      <c r="P172">
        <v>1</v>
      </c>
      <c r="Q172" t="str" cm="1">
        <f t="array" ref="Q172">_xlfn.IFS(Table1[[#This Row],[Wealthier_Winner]]=-1,"Wealthier Nation Loses",Table1[[#This Row],[Wealthier_Winner]]=0,"Tie",Table1[[#This Row],[Wealthier_Winner]]=1,"Wealthier Nation Wins")</f>
        <v>Wealthier Nation Wins</v>
      </c>
    </row>
    <row r="173" spans="1:17" x14ac:dyDescent="0.2">
      <c r="A173" s="1">
        <v>687</v>
      </c>
      <c r="B173" s="2">
        <v>25257</v>
      </c>
      <c r="C173" s="7">
        <f>_xlfn.FLOOR.MATH(Table1[[#This Row],[year]],10)</f>
        <v>1960</v>
      </c>
      <c r="D173" t="s">
        <v>23</v>
      </c>
      <c r="E173" t="s">
        <v>21</v>
      </c>
      <c r="F173">
        <v>2</v>
      </c>
      <c r="G173">
        <v>1</v>
      </c>
      <c r="H173" t="s">
        <v>224</v>
      </c>
      <c r="I173" t="s">
        <v>290</v>
      </c>
      <c r="J173" t="s">
        <v>23</v>
      </c>
      <c r="K173" t="b">
        <v>0</v>
      </c>
      <c r="L173">
        <v>1969</v>
      </c>
      <c r="M173">
        <v>24019653474</v>
      </c>
      <c r="N173">
        <v>37090689287</v>
      </c>
      <c r="O173" t="b">
        <v>0</v>
      </c>
      <c r="P173">
        <v>-1</v>
      </c>
      <c r="Q173" t="str" cm="1">
        <f t="array" ref="Q173">_xlfn.IFS(Table1[[#This Row],[Wealthier_Winner]]=-1,"Wealthier Nation Loses",Table1[[#This Row],[Wealthier_Winner]]=0,"Tie",Table1[[#This Row],[Wealthier_Winner]]=1,"Wealthier Nation Wins")</f>
        <v>Wealthier Nation Loses</v>
      </c>
    </row>
    <row r="174" spans="1:17" x14ac:dyDescent="0.2">
      <c r="A174" s="1">
        <v>688</v>
      </c>
      <c r="B174" s="2">
        <v>25257</v>
      </c>
      <c r="C174" s="7">
        <f>_xlfn.FLOOR.MATH(Table1[[#This Row],[year]],10)</f>
        <v>1960</v>
      </c>
      <c r="D174" t="s">
        <v>223</v>
      </c>
      <c r="E174" t="s">
        <v>70</v>
      </c>
      <c r="F174">
        <v>1</v>
      </c>
      <c r="G174">
        <v>1</v>
      </c>
      <c r="H174" t="s">
        <v>224</v>
      </c>
      <c r="I174" t="s">
        <v>227</v>
      </c>
      <c r="J174" t="s">
        <v>223</v>
      </c>
      <c r="K174" t="b">
        <v>0</v>
      </c>
      <c r="L174">
        <v>1969</v>
      </c>
      <c r="M174">
        <v>1715399900</v>
      </c>
      <c r="N174">
        <v>391820400</v>
      </c>
      <c r="O174" t="b">
        <v>1</v>
      </c>
      <c r="P174">
        <v>0</v>
      </c>
      <c r="Q174" t="str" cm="1">
        <f t="array" ref="Q174">_xlfn.IFS(Table1[[#This Row],[Wealthier_Winner]]=-1,"Wealthier Nation Loses",Table1[[#This Row],[Wealthier_Winner]]=0,"Tie",Table1[[#This Row],[Wealthier_Winner]]=1,"Wealthier Nation Wins")</f>
        <v>Tie</v>
      </c>
    </row>
    <row r="175" spans="1:17" x14ac:dyDescent="0.2">
      <c r="A175" s="1">
        <v>689</v>
      </c>
      <c r="B175" s="2">
        <v>25288</v>
      </c>
      <c r="C175" s="7">
        <f>_xlfn.FLOOR.MATH(Table1[[#This Row],[year]],10)</f>
        <v>1960</v>
      </c>
      <c r="D175" t="s">
        <v>27</v>
      </c>
      <c r="E175" t="s">
        <v>232</v>
      </c>
      <c r="F175">
        <v>4</v>
      </c>
      <c r="G175">
        <v>0</v>
      </c>
      <c r="H175" t="s">
        <v>224</v>
      </c>
      <c r="I175" t="s">
        <v>265</v>
      </c>
      <c r="J175" t="s">
        <v>27</v>
      </c>
      <c r="K175" t="b">
        <v>0</v>
      </c>
      <c r="L175">
        <v>1969</v>
      </c>
      <c r="M175">
        <v>34086038090</v>
      </c>
      <c r="N175">
        <v>1245432991</v>
      </c>
      <c r="O175" t="b">
        <v>1</v>
      </c>
      <c r="P175">
        <v>1</v>
      </c>
      <c r="Q175" t="str" cm="1">
        <f t="array" ref="Q175">_xlfn.IFS(Table1[[#This Row],[Wealthier_Winner]]=-1,"Wealthier Nation Loses",Table1[[#This Row],[Wealthier_Winner]]=0,"Tie",Table1[[#This Row],[Wealthier_Winner]]=1,"Wealthier Nation Wins")</f>
        <v>Wealthier Nation Wins</v>
      </c>
    </row>
    <row r="176" spans="1:17" x14ac:dyDescent="0.2">
      <c r="A176" s="1">
        <v>693</v>
      </c>
      <c r="B176" s="2">
        <v>25309</v>
      </c>
      <c r="C176" s="7">
        <f>_xlfn.FLOOR.MATH(Table1[[#This Row],[year]],10)</f>
        <v>1960</v>
      </c>
      <c r="D176" t="s">
        <v>38</v>
      </c>
      <c r="E176" t="s">
        <v>46</v>
      </c>
      <c r="F176">
        <v>0</v>
      </c>
      <c r="G176">
        <v>2</v>
      </c>
      <c r="H176" t="s">
        <v>224</v>
      </c>
      <c r="I176" t="s">
        <v>291</v>
      </c>
      <c r="J176" t="s">
        <v>38</v>
      </c>
      <c r="K176" t="b">
        <v>0</v>
      </c>
      <c r="L176">
        <v>1969</v>
      </c>
      <c r="M176">
        <v>7287555035</v>
      </c>
      <c r="N176">
        <v>22442043274</v>
      </c>
      <c r="O176" t="b">
        <v>1</v>
      </c>
      <c r="P176">
        <v>1</v>
      </c>
      <c r="Q176" t="str" cm="1">
        <f t="array" ref="Q176">_xlfn.IFS(Table1[[#This Row],[Wealthier_Winner]]=-1,"Wealthier Nation Loses",Table1[[#This Row],[Wealthier_Winner]]=0,"Tie",Table1[[#This Row],[Wealthier_Winner]]=1,"Wealthier Nation Wins")</f>
        <v>Wealthier Nation Wins</v>
      </c>
    </row>
    <row r="177" spans="1:17" x14ac:dyDescent="0.2">
      <c r="A177" s="1">
        <v>696</v>
      </c>
      <c r="B177" s="2">
        <v>25313</v>
      </c>
      <c r="C177" s="7">
        <f>_xlfn.FLOOR.MATH(Table1[[#This Row],[year]],10)</f>
        <v>1960</v>
      </c>
      <c r="D177" t="s">
        <v>70</v>
      </c>
      <c r="E177" t="s">
        <v>41</v>
      </c>
      <c r="F177">
        <v>2</v>
      </c>
      <c r="G177">
        <v>0</v>
      </c>
      <c r="H177" t="s">
        <v>224</v>
      </c>
      <c r="I177" t="s">
        <v>280</v>
      </c>
      <c r="J177" t="s">
        <v>70</v>
      </c>
      <c r="K177" t="b">
        <v>0</v>
      </c>
      <c r="L177">
        <v>1969</v>
      </c>
      <c r="M177">
        <v>391820400</v>
      </c>
      <c r="N177">
        <v>1017438172413</v>
      </c>
      <c r="O177" t="b">
        <v>1</v>
      </c>
      <c r="P177">
        <v>-1</v>
      </c>
      <c r="Q177" t="str" cm="1">
        <f t="array" ref="Q177">_xlfn.IFS(Table1[[#This Row],[Wealthier_Winner]]=-1,"Wealthier Nation Loses",Table1[[#This Row],[Wealthier_Winner]]=0,"Tie",Table1[[#This Row],[Wealthier_Winner]]=1,"Wealthier Nation Wins")</f>
        <v>Wealthier Nation Loses</v>
      </c>
    </row>
    <row r="178" spans="1:17" x14ac:dyDescent="0.2">
      <c r="A178" s="1">
        <v>699</v>
      </c>
      <c r="B178" s="2">
        <v>25320</v>
      </c>
      <c r="C178" s="7">
        <f>_xlfn.FLOOR.MATH(Table1[[#This Row],[year]],10)</f>
        <v>1960</v>
      </c>
      <c r="D178" t="s">
        <v>53</v>
      </c>
      <c r="E178" t="s">
        <v>24</v>
      </c>
      <c r="F178">
        <v>0</v>
      </c>
      <c r="G178">
        <v>0</v>
      </c>
      <c r="H178" t="s">
        <v>224</v>
      </c>
      <c r="I178" t="s">
        <v>284</v>
      </c>
      <c r="J178" t="s">
        <v>53</v>
      </c>
      <c r="K178" t="b">
        <v>0</v>
      </c>
      <c r="L178">
        <v>1969</v>
      </c>
      <c r="M178">
        <v>1289904761</v>
      </c>
      <c r="N178">
        <v>3651622668</v>
      </c>
      <c r="O178" t="b">
        <v>1</v>
      </c>
      <c r="P178">
        <v>0</v>
      </c>
      <c r="Q178" t="str" cm="1">
        <f t="array" ref="Q178">_xlfn.IFS(Table1[[#This Row],[Wealthier_Winner]]=-1,"Wealthier Nation Loses",Table1[[#This Row],[Wealthier_Winner]]=0,"Tie",Table1[[#This Row],[Wealthier_Winner]]=1,"Wealthier Nation Wins")</f>
        <v>Tie</v>
      </c>
    </row>
    <row r="179" spans="1:17" x14ac:dyDescent="0.2">
      <c r="A179" s="1">
        <v>701</v>
      </c>
      <c r="B179" s="2">
        <v>25327</v>
      </c>
      <c r="C179" s="7">
        <f>_xlfn.FLOOR.MATH(Table1[[#This Row],[year]],10)</f>
        <v>1960</v>
      </c>
      <c r="D179" t="s">
        <v>238</v>
      </c>
      <c r="E179" t="s">
        <v>274</v>
      </c>
      <c r="F179">
        <v>1</v>
      </c>
      <c r="G179">
        <v>1</v>
      </c>
      <c r="H179" t="s">
        <v>224</v>
      </c>
      <c r="I179" t="s">
        <v>288</v>
      </c>
      <c r="J179" t="s">
        <v>238</v>
      </c>
      <c r="K179" t="b">
        <v>0</v>
      </c>
      <c r="L179">
        <v>1969</v>
      </c>
      <c r="M179">
        <v>2768987372</v>
      </c>
      <c r="N179">
        <v>1847501441</v>
      </c>
      <c r="O179" t="b">
        <v>0</v>
      </c>
      <c r="P179">
        <v>0</v>
      </c>
      <c r="Q179" t="str" cm="1">
        <f t="array" ref="Q179">_xlfn.IFS(Table1[[#This Row],[Wealthier_Winner]]=-1,"Wealthier Nation Loses",Table1[[#This Row],[Wealthier_Winner]]=0,"Tie",Table1[[#This Row],[Wealthier_Winner]]=1,"Wealthier Nation Wins")</f>
        <v>Tie</v>
      </c>
    </row>
    <row r="180" spans="1:17" x14ac:dyDescent="0.2">
      <c r="A180" s="1">
        <v>703</v>
      </c>
      <c r="B180" s="2">
        <v>25327</v>
      </c>
      <c r="C180" s="7">
        <f>_xlfn.FLOOR.MATH(Table1[[#This Row],[year]],10)</f>
        <v>1960</v>
      </c>
      <c r="D180" t="s">
        <v>38</v>
      </c>
      <c r="E180" t="s">
        <v>48</v>
      </c>
      <c r="F180">
        <v>2</v>
      </c>
      <c r="G180">
        <v>2</v>
      </c>
      <c r="H180" t="s">
        <v>224</v>
      </c>
      <c r="I180" t="s">
        <v>292</v>
      </c>
      <c r="J180" t="s">
        <v>38</v>
      </c>
      <c r="K180" t="b">
        <v>0</v>
      </c>
      <c r="L180">
        <v>1969</v>
      </c>
      <c r="M180">
        <v>7287555035</v>
      </c>
      <c r="N180">
        <v>11454106327</v>
      </c>
      <c r="O180" t="b">
        <v>0</v>
      </c>
      <c r="P180">
        <v>0</v>
      </c>
      <c r="Q180" t="str" cm="1">
        <f t="array" ref="Q180">_xlfn.IFS(Table1[[#This Row],[Wealthier_Winner]]=-1,"Wealthier Nation Loses",Table1[[#This Row],[Wealthier_Winner]]=0,"Tie",Table1[[#This Row],[Wealthier_Winner]]=1,"Wealthier Nation Wins")</f>
        <v>Tie</v>
      </c>
    </row>
    <row r="181" spans="1:17" x14ac:dyDescent="0.2">
      <c r="A181" s="1">
        <v>705</v>
      </c>
      <c r="B181" s="2">
        <v>25333</v>
      </c>
      <c r="C181" s="7">
        <f>_xlfn.FLOOR.MATH(Table1[[#This Row],[year]],10)</f>
        <v>1960</v>
      </c>
      <c r="D181" t="s">
        <v>16</v>
      </c>
      <c r="E181" t="s">
        <v>29</v>
      </c>
      <c r="F181">
        <v>1</v>
      </c>
      <c r="G181">
        <v>0</v>
      </c>
      <c r="H181" t="s">
        <v>224</v>
      </c>
      <c r="I181" t="s">
        <v>158</v>
      </c>
      <c r="J181" t="s">
        <v>16</v>
      </c>
      <c r="K181" t="b">
        <v>0</v>
      </c>
      <c r="L181">
        <v>1969</v>
      </c>
      <c r="M181">
        <v>177733486326</v>
      </c>
      <c r="N181">
        <v>13647475854</v>
      </c>
      <c r="O181" t="b">
        <v>1</v>
      </c>
      <c r="P181">
        <v>1</v>
      </c>
      <c r="Q181" t="str" cm="1">
        <f t="array" ref="Q181">_xlfn.IFS(Table1[[#This Row],[Wealthier_Winner]]=-1,"Wealthier Nation Loses",Table1[[#This Row],[Wealthier_Winner]]=0,"Tie",Table1[[#This Row],[Wealthier_Winner]]=1,"Wealthier Nation Wins")</f>
        <v>Wealthier Nation Wins</v>
      </c>
    </row>
    <row r="182" spans="1:17" x14ac:dyDescent="0.2">
      <c r="A182" s="1">
        <v>706</v>
      </c>
      <c r="B182" s="2">
        <v>25333</v>
      </c>
      <c r="C182" s="7">
        <f>_xlfn.FLOOR.MATH(Table1[[#This Row],[year]],10)</f>
        <v>1960</v>
      </c>
      <c r="D182" t="s">
        <v>43</v>
      </c>
      <c r="E182" t="s">
        <v>63</v>
      </c>
      <c r="F182">
        <v>2</v>
      </c>
      <c r="G182">
        <v>1</v>
      </c>
      <c r="H182" t="s">
        <v>224</v>
      </c>
      <c r="I182" t="s">
        <v>293</v>
      </c>
      <c r="J182" t="s">
        <v>43</v>
      </c>
      <c r="K182" t="b">
        <v>0</v>
      </c>
      <c r="L182">
        <v>1969</v>
      </c>
      <c r="M182">
        <v>6634317346</v>
      </c>
      <c r="N182">
        <v>1962050555</v>
      </c>
      <c r="O182" t="b">
        <v>1</v>
      </c>
      <c r="P182">
        <v>1</v>
      </c>
      <c r="Q182" t="str" cm="1">
        <f t="array" ref="Q182">_xlfn.IFS(Table1[[#This Row],[Wealthier_Winner]]=-1,"Wealthier Nation Loses",Table1[[#This Row],[Wealthier_Winner]]=0,"Tie",Table1[[#This Row],[Wealthier_Winner]]=1,"Wealthier Nation Wins")</f>
        <v>Wealthier Nation Wins</v>
      </c>
    </row>
    <row r="183" spans="1:17" x14ac:dyDescent="0.2">
      <c r="A183" s="1">
        <v>707</v>
      </c>
      <c r="B183" s="2">
        <v>25334</v>
      </c>
      <c r="C183" s="7">
        <f>_xlfn.FLOOR.MATH(Table1[[#This Row],[year]],10)</f>
        <v>1960</v>
      </c>
      <c r="D183" t="s">
        <v>274</v>
      </c>
      <c r="E183" t="s">
        <v>238</v>
      </c>
      <c r="F183">
        <v>3</v>
      </c>
      <c r="G183">
        <v>1</v>
      </c>
      <c r="H183" t="s">
        <v>224</v>
      </c>
      <c r="I183" t="s">
        <v>278</v>
      </c>
      <c r="J183" t="s">
        <v>274</v>
      </c>
      <c r="K183" t="b">
        <v>0</v>
      </c>
      <c r="L183">
        <v>1969</v>
      </c>
      <c r="M183">
        <v>1847501441</v>
      </c>
      <c r="N183">
        <v>2768987372</v>
      </c>
      <c r="O183" t="b">
        <v>0</v>
      </c>
      <c r="P183">
        <v>-1</v>
      </c>
      <c r="Q183" t="str" cm="1">
        <f t="array" ref="Q183">_xlfn.IFS(Table1[[#This Row],[Wealthier_Winner]]=-1,"Wealthier Nation Loses",Table1[[#This Row],[Wealthier_Winner]]=0,"Tie",Table1[[#This Row],[Wealthier_Winner]]=1,"Wealthier Nation Wins")</f>
        <v>Wealthier Nation Loses</v>
      </c>
    </row>
    <row r="184" spans="1:17" x14ac:dyDescent="0.2">
      <c r="A184" s="1">
        <v>708</v>
      </c>
      <c r="B184" s="2">
        <v>25334</v>
      </c>
      <c r="C184" s="7">
        <f>_xlfn.FLOOR.MATH(Table1[[#This Row],[year]],10)</f>
        <v>1960</v>
      </c>
      <c r="D184" t="s">
        <v>41</v>
      </c>
      <c r="E184" t="s">
        <v>70</v>
      </c>
      <c r="F184">
        <v>0</v>
      </c>
      <c r="G184">
        <v>1</v>
      </c>
      <c r="H184" t="s">
        <v>224</v>
      </c>
      <c r="I184" t="s">
        <v>294</v>
      </c>
      <c r="J184" t="s">
        <v>41</v>
      </c>
      <c r="K184" t="b">
        <v>0</v>
      </c>
      <c r="L184">
        <v>1969</v>
      </c>
      <c r="M184">
        <v>1017438172413</v>
      </c>
      <c r="N184">
        <v>391820400</v>
      </c>
      <c r="O184" t="b">
        <v>1</v>
      </c>
      <c r="P184">
        <v>-1</v>
      </c>
      <c r="Q184" t="str" cm="1">
        <f t="array" ref="Q184">_xlfn.IFS(Table1[[#This Row],[Wealthier_Winner]]=-1,"Wealthier Nation Loses",Table1[[#This Row],[Wealthier_Winner]]=0,"Tie",Table1[[#This Row],[Wealthier_Winner]]=1,"Wealthier Nation Wins")</f>
        <v>Wealthier Nation Loses</v>
      </c>
    </row>
    <row r="185" spans="1:17" x14ac:dyDescent="0.2">
      <c r="A185" s="1">
        <v>711</v>
      </c>
      <c r="B185" s="2">
        <v>25341</v>
      </c>
      <c r="C185" s="7">
        <f>_xlfn.FLOOR.MATH(Table1[[#This Row],[year]],10)</f>
        <v>1960</v>
      </c>
      <c r="D185" t="s">
        <v>63</v>
      </c>
      <c r="E185" t="s">
        <v>43</v>
      </c>
      <c r="F185">
        <v>1</v>
      </c>
      <c r="G185">
        <v>1</v>
      </c>
      <c r="H185" t="s">
        <v>224</v>
      </c>
      <c r="I185" t="s">
        <v>226</v>
      </c>
      <c r="J185" t="s">
        <v>63</v>
      </c>
      <c r="K185" t="b">
        <v>0</v>
      </c>
      <c r="L185">
        <v>1969</v>
      </c>
      <c r="M185">
        <v>1962050555</v>
      </c>
      <c r="N185">
        <v>6634317346</v>
      </c>
      <c r="O185" t="b">
        <v>1</v>
      </c>
      <c r="P185">
        <v>0</v>
      </c>
      <c r="Q185" t="str" cm="1">
        <f t="array" ref="Q185">_xlfn.IFS(Table1[[#This Row],[Wealthier_Winner]]=-1,"Wealthier Nation Loses",Table1[[#This Row],[Wealthier_Winner]]=0,"Tie",Table1[[#This Row],[Wealthier_Winner]]=1,"Wealthier Nation Wins")</f>
        <v>Tie</v>
      </c>
    </row>
    <row r="186" spans="1:17" x14ac:dyDescent="0.2">
      <c r="A186" s="1">
        <v>712</v>
      </c>
      <c r="B186" s="2">
        <v>25341</v>
      </c>
      <c r="C186" s="7">
        <f>_xlfn.FLOOR.MATH(Table1[[#This Row],[year]],10)</f>
        <v>1960</v>
      </c>
      <c r="D186" t="s">
        <v>24</v>
      </c>
      <c r="E186" t="s">
        <v>53</v>
      </c>
      <c r="F186">
        <v>0</v>
      </c>
      <c r="G186">
        <v>0</v>
      </c>
      <c r="H186" t="s">
        <v>224</v>
      </c>
      <c r="I186" t="s">
        <v>244</v>
      </c>
      <c r="J186" t="s">
        <v>24</v>
      </c>
      <c r="K186" t="b">
        <v>0</v>
      </c>
      <c r="L186">
        <v>1969</v>
      </c>
      <c r="M186">
        <v>3651622668</v>
      </c>
      <c r="N186">
        <v>1289904761</v>
      </c>
      <c r="O186" t="b">
        <v>1</v>
      </c>
      <c r="P186">
        <v>0</v>
      </c>
      <c r="Q186" t="str" cm="1">
        <f t="array" ref="Q186">_xlfn.IFS(Table1[[#This Row],[Wealthier_Winner]]=-1,"Wealthier Nation Loses",Table1[[#This Row],[Wealthier_Winner]]=0,"Tie",Table1[[#This Row],[Wealthier_Winner]]=1,"Wealthier Nation Wins")</f>
        <v>Tie</v>
      </c>
    </row>
    <row r="187" spans="1:17" x14ac:dyDescent="0.2">
      <c r="A187" s="1">
        <v>717</v>
      </c>
      <c r="B187" s="2">
        <v>25362</v>
      </c>
      <c r="C187" s="7">
        <f>_xlfn.FLOOR.MATH(Table1[[#This Row],[year]],10)</f>
        <v>1960</v>
      </c>
      <c r="D187" t="s">
        <v>65</v>
      </c>
      <c r="E187" t="s">
        <v>69</v>
      </c>
      <c r="F187">
        <v>1</v>
      </c>
      <c r="G187">
        <v>0</v>
      </c>
      <c r="H187" t="s">
        <v>224</v>
      </c>
      <c r="I187" t="s">
        <v>228</v>
      </c>
      <c r="J187" t="s">
        <v>65</v>
      </c>
      <c r="K187" t="b">
        <v>0</v>
      </c>
      <c r="L187">
        <v>1969</v>
      </c>
      <c r="M187">
        <v>844400000</v>
      </c>
      <c r="N187">
        <v>1049400000</v>
      </c>
      <c r="O187" t="b">
        <v>0</v>
      </c>
      <c r="P187">
        <v>-1</v>
      </c>
      <c r="Q187" t="str" cm="1">
        <f t="array" ref="Q187">_xlfn.IFS(Table1[[#This Row],[Wealthier_Winner]]=-1,"Wealthier Nation Loses",Table1[[#This Row],[Wealthier_Winner]]=0,"Tie",Table1[[#This Row],[Wealthier_Winner]]=1,"Wealthier Nation Wins")</f>
        <v>Wealthier Nation Loses</v>
      </c>
    </row>
    <row r="188" spans="1:17" x14ac:dyDescent="0.2">
      <c r="A188" s="1">
        <v>719</v>
      </c>
      <c r="B188" s="2">
        <v>25367</v>
      </c>
      <c r="C188" s="7">
        <f>_xlfn.FLOOR.MATH(Table1[[#This Row],[year]],10)</f>
        <v>1960</v>
      </c>
      <c r="D188" t="s">
        <v>53</v>
      </c>
      <c r="E188" t="s">
        <v>24</v>
      </c>
      <c r="F188">
        <v>2</v>
      </c>
      <c r="G188">
        <v>2</v>
      </c>
      <c r="H188" t="s">
        <v>224</v>
      </c>
      <c r="I188" t="s">
        <v>130</v>
      </c>
      <c r="J188" t="s">
        <v>20</v>
      </c>
      <c r="K188" t="b">
        <v>1</v>
      </c>
      <c r="L188">
        <v>1969</v>
      </c>
      <c r="M188">
        <v>1289904761</v>
      </c>
      <c r="N188">
        <v>3651622668</v>
      </c>
      <c r="O188" t="b">
        <v>1</v>
      </c>
      <c r="P188">
        <v>0</v>
      </c>
      <c r="Q188" t="str" cm="1">
        <f t="array" ref="Q188">_xlfn.IFS(Table1[[#This Row],[Wealthier_Winner]]=-1,"Wealthier Nation Loses",Table1[[#This Row],[Wealthier_Winner]]=0,"Tie",Table1[[#This Row],[Wealthier_Winner]]=1,"Wealthier Nation Wins")</f>
        <v>Tie</v>
      </c>
    </row>
    <row r="189" spans="1:17" x14ac:dyDescent="0.2">
      <c r="A189" s="1">
        <v>721</v>
      </c>
      <c r="B189" s="2">
        <v>25369</v>
      </c>
      <c r="C189" s="7">
        <f>_xlfn.FLOOR.MATH(Table1[[#This Row],[year]],10)</f>
        <v>1960</v>
      </c>
      <c r="D189" t="s">
        <v>36</v>
      </c>
      <c r="E189" t="s">
        <v>30</v>
      </c>
      <c r="F189">
        <v>3</v>
      </c>
      <c r="G189">
        <v>2</v>
      </c>
      <c r="H189" t="s">
        <v>224</v>
      </c>
      <c r="I189" t="s">
        <v>264</v>
      </c>
      <c r="J189" t="s">
        <v>36</v>
      </c>
      <c r="K189" t="b">
        <v>0</v>
      </c>
      <c r="L189">
        <v>1969</v>
      </c>
      <c r="M189">
        <v>15414902666</v>
      </c>
      <c r="N189">
        <v>5429812386</v>
      </c>
      <c r="O189" t="b">
        <v>1</v>
      </c>
      <c r="P189">
        <v>1</v>
      </c>
      <c r="Q189" t="str" cm="1">
        <f t="array" ref="Q189">_xlfn.IFS(Table1[[#This Row],[Wealthier_Winner]]=-1,"Wealthier Nation Loses",Table1[[#This Row],[Wealthier_Winner]]=0,"Tie",Table1[[#This Row],[Wealthier_Winner]]=1,"Wealthier Nation Wins")</f>
        <v>Wealthier Nation Wins</v>
      </c>
    </row>
    <row r="190" spans="1:17" x14ac:dyDescent="0.2">
      <c r="A190" s="1">
        <v>722</v>
      </c>
      <c r="B190" s="2">
        <v>25369</v>
      </c>
      <c r="C190" s="7">
        <f>_xlfn.FLOOR.MATH(Table1[[#This Row],[year]],10)</f>
        <v>1960</v>
      </c>
      <c r="D190" t="s">
        <v>69</v>
      </c>
      <c r="E190" t="s">
        <v>65</v>
      </c>
      <c r="F190">
        <v>3</v>
      </c>
      <c r="G190">
        <v>0</v>
      </c>
      <c r="H190" t="s">
        <v>224</v>
      </c>
      <c r="I190" t="s">
        <v>281</v>
      </c>
      <c r="J190" t="s">
        <v>69</v>
      </c>
      <c r="K190" t="b">
        <v>0</v>
      </c>
      <c r="L190">
        <v>1969</v>
      </c>
      <c r="M190">
        <v>1049400000</v>
      </c>
      <c r="N190">
        <v>844400000</v>
      </c>
      <c r="O190" t="b">
        <v>0</v>
      </c>
      <c r="P190">
        <v>1</v>
      </c>
      <c r="Q190" t="str" cm="1">
        <f t="array" ref="Q190">_xlfn.IFS(Table1[[#This Row],[Wealthier_Winner]]=-1,"Wealthier Nation Loses",Table1[[#This Row],[Wealthier_Winner]]=0,"Tie",Table1[[#This Row],[Wealthier_Winner]]=1,"Wealthier Nation Wins")</f>
        <v>Wealthier Nation Wins</v>
      </c>
    </row>
    <row r="191" spans="1:17" x14ac:dyDescent="0.2">
      <c r="A191" s="1">
        <v>723</v>
      </c>
      <c r="B191" s="2">
        <v>25373</v>
      </c>
      <c r="C191" s="7">
        <f>_xlfn.FLOOR.MATH(Table1[[#This Row],[year]],10)</f>
        <v>1960</v>
      </c>
      <c r="D191" t="s">
        <v>42</v>
      </c>
      <c r="E191" t="s">
        <v>25</v>
      </c>
      <c r="F191">
        <v>2</v>
      </c>
      <c r="G191">
        <v>5</v>
      </c>
      <c r="H191" t="s">
        <v>224</v>
      </c>
      <c r="I191" t="s">
        <v>262</v>
      </c>
      <c r="J191" t="s">
        <v>42</v>
      </c>
      <c r="K191" t="b">
        <v>0</v>
      </c>
      <c r="L191">
        <v>1969</v>
      </c>
      <c r="M191">
        <v>11136187439</v>
      </c>
      <c r="N191">
        <v>33967301561</v>
      </c>
      <c r="O191" t="b">
        <v>1</v>
      </c>
      <c r="P191">
        <v>1</v>
      </c>
      <c r="Q191" t="str" cm="1">
        <f t="array" ref="Q191">_xlfn.IFS(Table1[[#This Row],[Wealthier_Winner]]=-1,"Wealthier Nation Loses",Table1[[#This Row],[Wealthier_Winner]]=0,"Tie",Table1[[#This Row],[Wealthier_Winner]]=1,"Wealthier Nation Wins")</f>
        <v>Wealthier Nation Wins</v>
      </c>
    </row>
    <row r="192" spans="1:17" x14ac:dyDescent="0.2">
      <c r="A192" s="1">
        <v>724</v>
      </c>
      <c r="B192" s="2">
        <v>25379</v>
      </c>
      <c r="C192" s="7">
        <f>_xlfn.FLOOR.MATH(Table1[[#This Row],[year]],10)</f>
        <v>1960</v>
      </c>
      <c r="D192" t="s">
        <v>230</v>
      </c>
      <c r="E192" t="s">
        <v>21</v>
      </c>
      <c r="F192">
        <v>2</v>
      </c>
      <c r="G192">
        <v>0</v>
      </c>
      <c r="H192" t="s">
        <v>224</v>
      </c>
      <c r="I192" t="s">
        <v>231</v>
      </c>
      <c r="J192" t="s">
        <v>230</v>
      </c>
      <c r="K192" t="b">
        <v>0</v>
      </c>
      <c r="L192">
        <v>1969</v>
      </c>
      <c r="M192">
        <v>10177524838</v>
      </c>
      <c r="N192">
        <v>37090689287</v>
      </c>
      <c r="O192" t="b">
        <v>1</v>
      </c>
      <c r="P192">
        <v>-1</v>
      </c>
      <c r="Q192" t="str" cm="1">
        <f t="array" ref="Q192">_xlfn.IFS(Table1[[#This Row],[Wealthier_Winner]]=-1,"Wealthier Nation Loses",Table1[[#This Row],[Wealthier_Winner]]=0,"Tie",Table1[[#This Row],[Wealthier_Winner]]=1,"Wealthier Nation Wins")</f>
        <v>Wealthier Nation Loses</v>
      </c>
    </row>
    <row r="193" spans="1:17" x14ac:dyDescent="0.2">
      <c r="A193" s="1">
        <v>725</v>
      </c>
      <c r="B193" s="2">
        <v>25381</v>
      </c>
      <c r="C193" s="7">
        <f>_xlfn.FLOOR.MATH(Table1[[#This Row],[year]],10)</f>
        <v>1960</v>
      </c>
      <c r="D193" t="s">
        <v>65</v>
      </c>
      <c r="E193" t="s">
        <v>69</v>
      </c>
      <c r="F193">
        <v>2</v>
      </c>
      <c r="G193">
        <v>3</v>
      </c>
      <c r="H193" t="s">
        <v>224</v>
      </c>
      <c r="I193" t="s">
        <v>83</v>
      </c>
      <c r="J193" t="s">
        <v>17</v>
      </c>
      <c r="K193" t="b">
        <v>1</v>
      </c>
      <c r="L193">
        <v>1969</v>
      </c>
      <c r="M193">
        <v>844400000</v>
      </c>
      <c r="N193">
        <v>1049400000</v>
      </c>
      <c r="O193" t="b">
        <v>0</v>
      </c>
      <c r="P193">
        <v>1</v>
      </c>
      <c r="Q193" t="str" cm="1">
        <f t="array" ref="Q193">_xlfn.IFS(Table1[[#This Row],[Wealthier_Winner]]=-1,"Wealthier Nation Loses",Table1[[#This Row],[Wealthier_Winner]]=0,"Tie",Table1[[#This Row],[Wealthier_Winner]]=1,"Wealthier Nation Wins")</f>
        <v>Wealthier Nation Wins</v>
      </c>
    </row>
    <row r="194" spans="1:17" x14ac:dyDescent="0.2">
      <c r="A194" s="1">
        <v>726</v>
      </c>
      <c r="B194" s="2">
        <v>25390</v>
      </c>
      <c r="C194" s="7">
        <f>_xlfn.FLOOR.MATH(Table1[[#This Row],[year]],10)</f>
        <v>1960</v>
      </c>
      <c r="D194" t="s">
        <v>57</v>
      </c>
      <c r="E194" t="s">
        <v>26</v>
      </c>
      <c r="F194">
        <v>0</v>
      </c>
      <c r="G194">
        <v>2</v>
      </c>
      <c r="H194" t="s">
        <v>224</v>
      </c>
      <c r="I194" t="s">
        <v>237</v>
      </c>
      <c r="J194" t="s">
        <v>57</v>
      </c>
      <c r="K194" t="b">
        <v>0</v>
      </c>
      <c r="L194">
        <v>1969</v>
      </c>
      <c r="M194">
        <v>3112165727</v>
      </c>
      <c r="N194">
        <v>2004435483</v>
      </c>
      <c r="O194" t="b">
        <v>0</v>
      </c>
      <c r="P194">
        <v>-1</v>
      </c>
      <c r="Q194" t="str" cm="1">
        <f t="array" ref="Q194">_xlfn.IFS(Table1[[#This Row],[Wealthier_Winner]]=-1,"Wealthier Nation Loses",Table1[[#This Row],[Wealthier_Winner]]=0,"Tie",Table1[[#This Row],[Wealthier_Winner]]=1,"Wealthier Nation Wins")</f>
        <v>Wealthier Nation Loses</v>
      </c>
    </row>
    <row r="195" spans="1:17" x14ac:dyDescent="0.2">
      <c r="A195" s="1">
        <v>727</v>
      </c>
      <c r="B195" s="2">
        <v>25397</v>
      </c>
      <c r="C195" s="7">
        <f>_xlfn.FLOOR.MATH(Table1[[#This Row],[year]],10)</f>
        <v>1960</v>
      </c>
      <c r="D195" t="s">
        <v>14</v>
      </c>
      <c r="E195" t="s">
        <v>26</v>
      </c>
      <c r="F195">
        <v>0</v>
      </c>
      <c r="G195">
        <v>0</v>
      </c>
      <c r="H195" t="s">
        <v>224</v>
      </c>
      <c r="I195" t="s">
        <v>75</v>
      </c>
      <c r="J195" t="s">
        <v>14</v>
      </c>
      <c r="K195" t="b">
        <v>0</v>
      </c>
      <c r="L195">
        <v>1969</v>
      </c>
      <c r="M195">
        <v>8456519044</v>
      </c>
      <c r="N195">
        <v>2004435483</v>
      </c>
      <c r="O195" t="b">
        <v>1</v>
      </c>
      <c r="P195">
        <v>0</v>
      </c>
      <c r="Q195" t="str" cm="1">
        <f t="array" ref="Q195">_xlfn.IFS(Table1[[#This Row],[Wealthier_Winner]]=-1,"Wealthier Nation Loses",Table1[[#This Row],[Wealthier_Winner]]=0,"Tie",Table1[[#This Row],[Wealthier_Winner]]=1,"Wealthier Nation Wins")</f>
        <v>Tie</v>
      </c>
    </row>
    <row r="196" spans="1:17" x14ac:dyDescent="0.2">
      <c r="A196" s="1">
        <v>728</v>
      </c>
      <c r="B196" s="2">
        <v>25404</v>
      </c>
      <c r="C196" s="7">
        <f>_xlfn.FLOOR.MATH(Table1[[#This Row],[year]],10)</f>
        <v>1960</v>
      </c>
      <c r="D196" t="s">
        <v>26</v>
      </c>
      <c r="E196" t="s">
        <v>57</v>
      </c>
      <c r="F196">
        <v>1</v>
      </c>
      <c r="G196">
        <v>0</v>
      </c>
      <c r="H196" t="s">
        <v>224</v>
      </c>
      <c r="I196" t="s">
        <v>247</v>
      </c>
      <c r="J196" t="s">
        <v>26</v>
      </c>
      <c r="K196" t="b">
        <v>0</v>
      </c>
      <c r="L196">
        <v>1969</v>
      </c>
      <c r="M196">
        <v>2004435483</v>
      </c>
      <c r="N196">
        <v>3112165727</v>
      </c>
      <c r="O196" t="b">
        <v>0</v>
      </c>
      <c r="P196">
        <v>-1</v>
      </c>
      <c r="Q196" t="str" cm="1">
        <f t="array" ref="Q196">_xlfn.IFS(Table1[[#This Row],[Wealthier_Winner]]=-1,"Wealthier Nation Loses",Table1[[#This Row],[Wealthier_Winner]]=0,"Tie",Table1[[#This Row],[Wealthier_Winner]]=1,"Wealthier Nation Wins")</f>
        <v>Wealthier Nation Loses</v>
      </c>
    </row>
    <row r="197" spans="1:17" x14ac:dyDescent="0.2">
      <c r="A197" s="1">
        <v>729</v>
      </c>
      <c r="B197" s="2">
        <v>25411</v>
      </c>
      <c r="C197" s="7">
        <f>_xlfn.FLOOR.MATH(Table1[[#This Row],[year]],10)</f>
        <v>1960</v>
      </c>
      <c r="D197" t="s">
        <v>47</v>
      </c>
      <c r="E197" t="s">
        <v>19</v>
      </c>
      <c r="F197">
        <v>3</v>
      </c>
      <c r="G197">
        <v>1</v>
      </c>
      <c r="H197" t="s">
        <v>224</v>
      </c>
      <c r="I197" t="s">
        <v>246</v>
      </c>
      <c r="J197" t="s">
        <v>47</v>
      </c>
      <c r="K197" t="b">
        <v>0</v>
      </c>
      <c r="L197">
        <v>1969</v>
      </c>
      <c r="M197">
        <v>929629629</v>
      </c>
      <c r="N197">
        <v>31256284543</v>
      </c>
      <c r="O197" t="b">
        <v>1</v>
      </c>
      <c r="P197">
        <v>-1</v>
      </c>
      <c r="Q197" t="str" cm="1">
        <f t="array" ref="Q197">_xlfn.IFS(Table1[[#This Row],[Wealthier_Winner]]=-1,"Wealthier Nation Loses",Table1[[#This Row],[Wealthier_Winner]]=0,"Tie",Table1[[#This Row],[Wealthier_Winner]]=1,"Wealthier Nation Wins")</f>
        <v>Wealthier Nation Loses</v>
      </c>
    </row>
    <row r="198" spans="1:17" x14ac:dyDescent="0.2">
      <c r="A198" s="1">
        <v>730</v>
      </c>
      <c r="B198" s="2">
        <v>25411</v>
      </c>
      <c r="C198" s="7">
        <f>_xlfn.FLOOR.MATH(Table1[[#This Row],[year]],10)</f>
        <v>1960</v>
      </c>
      <c r="D198" t="s">
        <v>14</v>
      </c>
      <c r="E198" t="s">
        <v>57</v>
      </c>
      <c r="F198">
        <v>4</v>
      </c>
      <c r="G198">
        <v>1</v>
      </c>
      <c r="H198" t="s">
        <v>224</v>
      </c>
      <c r="I198" t="s">
        <v>75</v>
      </c>
      <c r="J198" t="s">
        <v>14</v>
      </c>
      <c r="K198" t="b">
        <v>0</v>
      </c>
      <c r="L198">
        <v>1969</v>
      </c>
      <c r="M198">
        <v>8456519044</v>
      </c>
      <c r="N198">
        <v>3112165727</v>
      </c>
      <c r="O198" t="b">
        <v>1</v>
      </c>
      <c r="P198">
        <v>1</v>
      </c>
      <c r="Q198" t="str" cm="1">
        <f t="array" ref="Q198">_xlfn.IFS(Table1[[#This Row],[Wealthier_Winner]]=-1,"Wealthier Nation Loses",Table1[[#This Row],[Wealthier_Winner]]=0,"Tie",Table1[[#This Row],[Wealthier_Winner]]=1,"Wealthier Nation Wins")</f>
        <v>Wealthier Nation Wins</v>
      </c>
    </row>
    <row r="199" spans="1:17" x14ac:dyDescent="0.2">
      <c r="A199" s="1">
        <v>731</v>
      </c>
      <c r="B199" s="2">
        <v>25411</v>
      </c>
      <c r="C199" s="7">
        <f>_xlfn.FLOOR.MATH(Table1[[#This Row],[year]],10)</f>
        <v>1960</v>
      </c>
      <c r="D199" t="s">
        <v>15</v>
      </c>
      <c r="E199" t="s">
        <v>258</v>
      </c>
      <c r="F199">
        <v>3</v>
      </c>
      <c r="G199">
        <v>0</v>
      </c>
      <c r="H199" t="s">
        <v>224</v>
      </c>
      <c r="I199" t="s">
        <v>241</v>
      </c>
      <c r="J199" t="s">
        <v>15</v>
      </c>
      <c r="K199" t="b">
        <v>0</v>
      </c>
      <c r="L199">
        <v>1969</v>
      </c>
      <c r="M199">
        <v>6450175213</v>
      </c>
      <c r="N199">
        <v>10285111111</v>
      </c>
      <c r="O199" t="b">
        <v>0</v>
      </c>
      <c r="P199">
        <v>-1</v>
      </c>
      <c r="Q199" t="str" cm="1">
        <f t="array" ref="Q199">_xlfn.IFS(Table1[[#This Row],[Wealthier_Winner]]=-1,"Wealthier Nation Loses",Table1[[#This Row],[Wealthier_Winner]]=0,"Tie",Table1[[#This Row],[Wealthier_Winner]]=1,"Wealthier Nation Wins")</f>
        <v>Wealthier Nation Loses</v>
      </c>
    </row>
    <row r="200" spans="1:17" x14ac:dyDescent="0.2">
      <c r="A200" s="1">
        <v>732</v>
      </c>
      <c r="B200" s="2">
        <v>25417</v>
      </c>
      <c r="C200" s="7">
        <f>_xlfn.FLOOR.MATH(Table1[[#This Row],[year]],10)</f>
        <v>1960</v>
      </c>
      <c r="D200" t="s">
        <v>258</v>
      </c>
      <c r="E200" t="s">
        <v>15</v>
      </c>
      <c r="F200">
        <v>1</v>
      </c>
      <c r="G200">
        <v>1</v>
      </c>
      <c r="H200" t="s">
        <v>224</v>
      </c>
      <c r="I200" t="s">
        <v>260</v>
      </c>
      <c r="J200" t="s">
        <v>258</v>
      </c>
      <c r="K200" t="b">
        <v>0</v>
      </c>
      <c r="L200">
        <v>1969</v>
      </c>
      <c r="M200">
        <v>10285111111</v>
      </c>
      <c r="N200">
        <v>6450175213</v>
      </c>
      <c r="O200" t="b">
        <v>0</v>
      </c>
      <c r="P200">
        <v>0</v>
      </c>
      <c r="Q200" t="str" cm="1">
        <f t="array" ref="Q200">_xlfn.IFS(Table1[[#This Row],[Wealthier_Winner]]=-1,"Wealthier Nation Loses",Table1[[#This Row],[Wealthier_Winner]]=0,"Tie",Table1[[#This Row],[Wealthier_Winner]]=1,"Wealthier Nation Wins")</f>
        <v>Tie</v>
      </c>
    </row>
    <row r="201" spans="1:17" x14ac:dyDescent="0.2">
      <c r="A201" s="1">
        <v>733</v>
      </c>
      <c r="B201" s="2">
        <v>25418</v>
      </c>
      <c r="C201" s="7">
        <f>_xlfn.FLOOR.MATH(Table1[[#This Row],[year]],10)</f>
        <v>1960</v>
      </c>
      <c r="D201" t="s">
        <v>57</v>
      </c>
      <c r="E201" t="s">
        <v>14</v>
      </c>
      <c r="F201">
        <v>1</v>
      </c>
      <c r="G201">
        <v>1</v>
      </c>
      <c r="H201" t="s">
        <v>224</v>
      </c>
      <c r="I201" t="s">
        <v>237</v>
      </c>
      <c r="J201" t="s">
        <v>57</v>
      </c>
      <c r="K201" t="b">
        <v>0</v>
      </c>
      <c r="L201">
        <v>1969</v>
      </c>
      <c r="M201">
        <v>3112165727</v>
      </c>
      <c r="N201">
        <v>8456519044</v>
      </c>
      <c r="O201" t="b">
        <v>1</v>
      </c>
      <c r="P201">
        <v>0</v>
      </c>
      <c r="Q201" t="str" cm="1">
        <f t="array" ref="Q201">_xlfn.IFS(Table1[[#This Row],[Wealthier_Winner]]=-1,"Wealthier Nation Loses",Table1[[#This Row],[Wealthier_Winner]]=0,"Tie",Table1[[#This Row],[Wealthier_Winner]]=1,"Wealthier Nation Wins")</f>
        <v>Tie</v>
      </c>
    </row>
    <row r="202" spans="1:17" x14ac:dyDescent="0.2">
      <c r="A202" s="1">
        <v>734</v>
      </c>
      <c r="B202" s="2">
        <v>25418</v>
      </c>
      <c r="C202" s="7">
        <f>_xlfn.FLOOR.MATH(Table1[[#This Row],[year]],10)</f>
        <v>1960</v>
      </c>
      <c r="D202" t="s">
        <v>31</v>
      </c>
      <c r="E202" t="s">
        <v>19</v>
      </c>
      <c r="F202">
        <v>1</v>
      </c>
      <c r="G202">
        <v>0</v>
      </c>
      <c r="H202" t="s">
        <v>224</v>
      </c>
      <c r="I202" t="s">
        <v>242</v>
      </c>
      <c r="J202" t="s">
        <v>31</v>
      </c>
      <c r="K202" t="b">
        <v>0</v>
      </c>
      <c r="L202">
        <v>1969</v>
      </c>
      <c r="M202">
        <v>6420909789</v>
      </c>
      <c r="N202">
        <v>31256284543</v>
      </c>
      <c r="O202" t="b">
        <v>1</v>
      </c>
      <c r="P202">
        <v>-1</v>
      </c>
      <c r="Q202" t="str" cm="1">
        <f t="array" ref="Q202">_xlfn.IFS(Table1[[#This Row],[Wealthier_Winner]]=-1,"Wealthier Nation Loses",Table1[[#This Row],[Wealthier_Winner]]=0,"Tie",Table1[[#This Row],[Wealthier_Winner]]=1,"Wealthier Nation Wins")</f>
        <v>Wealthier Nation Loses</v>
      </c>
    </row>
    <row r="203" spans="1:17" x14ac:dyDescent="0.2">
      <c r="A203" s="1">
        <v>735</v>
      </c>
      <c r="B203" s="2">
        <v>25421</v>
      </c>
      <c r="C203" s="7">
        <f>_xlfn.FLOOR.MATH(Table1[[#This Row],[year]],10)</f>
        <v>1960</v>
      </c>
      <c r="D203" t="s">
        <v>15</v>
      </c>
      <c r="E203" t="s">
        <v>13</v>
      </c>
      <c r="F203">
        <v>0</v>
      </c>
      <c r="G203">
        <v>2</v>
      </c>
      <c r="H203" t="s">
        <v>224</v>
      </c>
      <c r="I203" t="s">
        <v>241</v>
      </c>
      <c r="J203" t="s">
        <v>15</v>
      </c>
      <c r="K203" t="b">
        <v>0</v>
      </c>
      <c r="L203">
        <v>1969</v>
      </c>
      <c r="M203">
        <v>6450175213</v>
      </c>
      <c r="N203">
        <v>37171640818</v>
      </c>
      <c r="O203" t="b">
        <v>1</v>
      </c>
      <c r="P203">
        <v>1</v>
      </c>
      <c r="Q203" t="str" cm="1">
        <f t="array" ref="Q203">_xlfn.IFS(Table1[[#This Row],[Wealthier_Winner]]=-1,"Wealthier Nation Loses",Table1[[#This Row],[Wealthier_Winner]]=0,"Tie",Table1[[#This Row],[Wealthier_Winner]]=1,"Wealthier Nation Wins")</f>
        <v>Wealthier Nation Wins</v>
      </c>
    </row>
    <row r="204" spans="1:17" x14ac:dyDescent="0.2">
      <c r="A204" s="1">
        <v>736</v>
      </c>
      <c r="B204" s="2">
        <v>25421</v>
      </c>
      <c r="C204" s="7">
        <f>_xlfn.FLOOR.MATH(Table1[[#This Row],[year]],10)</f>
        <v>1960</v>
      </c>
      <c r="D204" t="s">
        <v>258</v>
      </c>
      <c r="E204" t="s">
        <v>35</v>
      </c>
      <c r="F204">
        <v>0</v>
      </c>
      <c r="G204">
        <v>2</v>
      </c>
      <c r="H204" t="s">
        <v>224</v>
      </c>
      <c r="I204" t="s">
        <v>260</v>
      </c>
      <c r="J204" t="s">
        <v>258</v>
      </c>
      <c r="K204" t="b">
        <v>0</v>
      </c>
      <c r="L204">
        <v>1969</v>
      </c>
      <c r="M204">
        <v>10285111111</v>
      </c>
      <c r="N204">
        <v>556293650</v>
      </c>
      <c r="O204" t="b">
        <v>1</v>
      </c>
      <c r="P204">
        <v>-1</v>
      </c>
      <c r="Q204" t="str" cm="1">
        <f t="array" ref="Q204">_xlfn.IFS(Table1[[#This Row],[Wealthier_Winner]]=-1,"Wealthier Nation Loses",Table1[[#This Row],[Wealthier_Winner]]=0,"Tie",Table1[[#This Row],[Wealthier_Winner]]=1,"Wealthier Nation Wins")</f>
        <v>Wealthier Nation Loses</v>
      </c>
    </row>
    <row r="205" spans="1:17" x14ac:dyDescent="0.2">
      <c r="A205" s="1">
        <v>737</v>
      </c>
      <c r="B205" s="2">
        <v>25425</v>
      </c>
      <c r="C205" s="7">
        <f>_xlfn.FLOOR.MATH(Table1[[#This Row],[year]],10)</f>
        <v>1960</v>
      </c>
      <c r="D205" t="s">
        <v>47</v>
      </c>
      <c r="E205" t="s">
        <v>31</v>
      </c>
      <c r="F205">
        <v>2</v>
      </c>
      <c r="G205">
        <v>1</v>
      </c>
      <c r="H205" t="s">
        <v>224</v>
      </c>
      <c r="I205" t="s">
        <v>246</v>
      </c>
      <c r="J205" t="s">
        <v>47</v>
      </c>
      <c r="K205" t="b">
        <v>0</v>
      </c>
      <c r="L205">
        <v>1969</v>
      </c>
      <c r="M205">
        <v>929629629</v>
      </c>
      <c r="N205">
        <v>6420909789</v>
      </c>
      <c r="O205" t="b">
        <v>1</v>
      </c>
      <c r="P205">
        <v>-1</v>
      </c>
      <c r="Q205" t="str" cm="1">
        <f t="array" ref="Q205">_xlfn.IFS(Table1[[#This Row],[Wealthier_Winner]]=-1,"Wealthier Nation Loses",Table1[[#This Row],[Wealthier_Winner]]=0,"Tie",Table1[[#This Row],[Wealthier_Winner]]=1,"Wealthier Nation Wins")</f>
        <v>Wealthier Nation Loses</v>
      </c>
    </row>
    <row r="206" spans="1:17" x14ac:dyDescent="0.2">
      <c r="A206" s="1">
        <v>738</v>
      </c>
      <c r="B206" s="2">
        <v>25425</v>
      </c>
      <c r="C206" s="7">
        <f>_xlfn.FLOOR.MATH(Table1[[#This Row],[year]],10)</f>
        <v>1960</v>
      </c>
      <c r="D206" t="s">
        <v>15</v>
      </c>
      <c r="E206" t="s">
        <v>35</v>
      </c>
      <c r="F206">
        <v>0</v>
      </c>
      <c r="G206">
        <v>1</v>
      </c>
      <c r="H206" t="s">
        <v>224</v>
      </c>
      <c r="I206" t="s">
        <v>241</v>
      </c>
      <c r="J206" t="s">
        <v>15</v>
      </c>
      <c r="K206" t="b">
        <v>0</v>
      </c>
      <c r="L206">
        <v>1969</v>
      </c>
      <c r="M206">
        <v>6450175213</v>
      </c>
      <c r="N206">
        <v>556293650</v>
      </c>
      <c r="O206" t="b">
        <v>1</v>
      </c>
      <c r="P206">
        <v>-1</v>
      </c>
      <c r="Q206" t="str" cm="1">
        <f t="array" ref="Q206">_xlfn.IFS(Table1[[#This Row],[Wealthier_Winner]]=-1,"Wealthier Nation Loses",Table1[[#This Row],[Wealthier_Winner]]=0,"Tie",Table1[[#This Row],[Wealthier_Winner]]=1,"Wealthier Nation Wins")</f>
        <v>Wealthier Nation Loses</v>
      </c>
    </row>
    <row r="207" spans="1:17" x14ac:dyDescent="0.2">
      <c r="A207" s="1">
        <v>739</v>
      </c>
      <c r="B207" s="2">
        <v>25425</v>
      </c>
      <c r="C207" s="7">
        <f>_xlfn.FLOOR.MATH(Table1[[#This Row],[year]],10)</f>
        <v>1960</v>
      </c>
      <c r="D207" t="s">
        <v>26</v>
      </c>
      <c r="E207" t="s">
        <v>14</v>
      </c>
      <c r="F207">
        <v>2</v>
      </c>
      <c r="G207">
        <v>0</v>
      </c>
      <c r="H207" t="s">
        <v>224</v>
      </c>
      <c r="I207" t="s">
        <v>247</v>
      </c>
      <c r="J207" t="s">
        <v>26</v>
      </c>
      <c r="K207" t="b">
        <v>0</v>
      </c>
      <c r="L207">
        <v>1969</v>
      </c>
      <c r="M207">
        <v>2004435483</v>
      </c>
      <c r="N207">
        <v>8456519044</v>
      </c>
      <c r="O207" t="b">
        <v>1</v>
      </c>
      <c r="P207">
        <v>-1</v>
      </c>
      <c r="Q207" t="str" cm="1">
        <f t="array" ref="Q207">_xlfn.IFS(Table1[[#This Row],[Wealthier_Winner]]=-1,"Wealthier Nation Loses",Table1[[#This Row],[Wealthier_Winner]]=0,"Tie",Table1[[#This Row],[Wealthier_Winner]]=1,"Wealthier Nation Wins")</f>
        <v>Wealthier Nation Loses</v>
      </c>
    </row>
    <row r="208" spans="1:17" x14ac:dyDescent="0.2">
      <c r="A208" s="1">
        <v>740</v>
      </c>
      <c r="B208" s="2">
        <v>25425</v>
      </c>
      <c r="C208" s="7">
        <f>_xlfn.FLOOR.MATH(Table1[[#This Row],[year]],10)</f>
        <v>1960</v>
      </c>
      <c r="D208" t="s">
        <v>258</v>
      </c>
      <c r="E208" t="s">
        <v>13</v>
      </c>
      <c r="F208">
        <v>0</v>
      </c>
      <c r="G208">
        <v>5</v>
      </c>
      <c r="H208" t="s">
        <v>224</v>
      </c>
      <c r="I208" t="s">
        <v>260</v>
      </c>
      <c r="J208" t="s">
        <v>258</v>
      </c>
      <c r="K208" t="b">
        <v>0</v>
      </c>
      <c r="L208">
        <v>1969</v>
      </c>
      <c r="M208">
        <v>10285111111</v>
      </c>
      <c r="N208">
        <v>37171640818</v>
      </c>
      <c r="O208" t="b">
        <v>1</v>
      </c>
      <c r="P208">
        <v>1</v>
      </c>
      <c r="Q208" t="str" cm="1">
        <f t="array" ref="Q208">_xlfn.IFS(Table1[[#This Row],[Wealthier_Winner]]=-1,"Wealthier Nation Loses",Table1[[#This Row],[Wealthier_Winner]]=0,"Tie",Table1[[#This Row],[Wealthier_Winner]]=1,"Wealthier Nation Wins")</f>
        <v>Wealthier Nation Wins</v>
      </c>
    </row>
    <row r="209" spans="1:17" x14ac:dyDescent="0.2">
      <c r="A209" s="1">
        <v>741</v>
      </c>
      <c r="B209" s="2">
        <v>25432</v>
      </c>
      <c r="C209" s="7">
        <f>_xlfn.FLOOR.MATH(Table1[[#This Row],[year]],10)</f>
        <v>1960</v>
      </c>
      <c r="D209" t="s">
        <v>35</v>
      </c>
      <c r="E209" t="s">
        <v>13</v>
      </c>
      <c r="F209">
        <v>0</v>
      </c>
      <c r="G209">
        <v>3</v>
      </c>
      <c r="H209" t="s">
        <v>224</v>
      </c>
      <c r="I209" t="s">
        <v>250</v>
      </c>
      <c r="J209" t="s">
        <v>35</v>
      </c>
      <c r="K209" t="b">
        <v>0</v>
      </c>
      <c r="L209">
        <v>1969</v>
      </c>
      <c r="M209">
        <v>556293650</v>
      </c>
      <c r="N209">
        <v>37171640818</v>
      </c>
      <c r="O209" t="b">
        <v>1</v>
      </c>
      <c r="P209">
        <v>1</v>
      </c>
      <c r="Q209" t="str" cm="1">
        <f t="array" ref="Q209">_xlfn.IFS(Table1[[#This Row],[Wealthier_Winner]]=-1,"Wealthier Nation Loses",Table1[[#This Row],[Wealthier_Winner]]=0,"Tie",Table1[[#This Row],[Wealthier_Winner]]=1,"Wealthier Nation Wins")</f>
        <v>Wealthier Nation Wins</v>
      </c>
    </row>
    <row r="210" spans="1:17" x14ac:dyDescent="0.2">
      <c r="A210" s="1">
        <v>742</v>
      </c>
      <c r="B210" s="2">
        <v>25432</v>
      </c>
      <c r="C210" s="7">
        <f>_xlfn.FLOOR.MATH(Table1[[#This Row],[year]],10)</f>
        <v>1960</v>
      </c>
      <c r="D210" t="s">
        <v>31</v>
      </c>
      <c r="E210" t="s">
        <v>47</v>
      </c>
      <c r="F210">
        <v>3</v>
      </c>
      <c r="G210">
        <v>0</v>
      </c>
      <c r="H210" t="s">
        <v>224</v>
      </c>
      <c r="I210" t="s">
        <v>242</v>
      </c>
      <c r="J210" t="s">
        <v>31</v>
      </c>
      <c r="K210" t="b">
        <v>0</v>
      </c>
      <c r="L210">
        <v>1969</v>
      </c>
      <c r="M210">
        <v>6420909789</v>
      </c>
      <c r="N210">
        <v>929629629</v>
      </c>
      <c r="O210" t="b">
        <v>1</v>
      </c>
      <c r="P210">
        <v>1</v>
      </c>
      <c r="Q210" t="str" cm="1">
        <f t="array" ref="Q210">_xlfn.IFS(Table1[[#This Row],[Wealthier_Winner]]=-1,"Wealthier Nation Loses",Table1[[#This Row],[Wealthier_Winner]]=0,"Tie",Table1[[#This Row],[Wealthier_Winner]]=1,"Wealthier Nation Wins")</f>
        <v>Wealthier Nation Wins</v>
      </c>
    </row>
    <row r="211" spans="1:17" x14ac:dyDescent="0.2">
      <c r="A211" s="1">
        <v>743</v>
      </c>
      <c r="B211" s="2">
        <v>25436</v>
      </c>
      <c r="C211" s="7">
        <f>_xlfn.FLOOR.MATH(Table1[[#This Row],[year]],10)</f>
        <v>1960</v>
      </c>
      <c r="D211" t="s">
        <v>13</v>
      </c>
      <c r="E211" t="s">
        <v>15</v>
      </c>
      <c r="F211">
        <v>6</v>
      </c>
      <c r="G211">
        <v>2</v>
      </c>
      <c r="H211" t="s">
        <v>224</v>
      </c>
      <c r="I211" t="s">
        <v>173</v>
      </c>
      <c r="J211" t="s">
        <v>13</v>
      </c>
      <c r="K211" t="b">
        <v>0</v>
      </c>
      <c r="L211">
        <v>1969</v>
      </c>
      <c r="M211">
        <v>37171640818</v>
      </c>
      <c r="N211">
        <v>6450175213</v>
      </c>
      <c r="O211" t="b">
        <v>1</v>
      </c>
      <c r="P211">
        <v>1</v>
      </c>
      <c r="Q211" t="str" cm="1">
        <f t="array" ref="Q211">_xlfn.IFS(Table1[[#This Row],[Wealthier_Winner]]=-1,"Wealthier Nation Loses",Table1[[#This Row],[Wealthier_Winner]]=0,"Tie",Table1[[#This Row],[Wealthier_Winner]]=1,"Wealthier Nation Wins")</f>
        <v>Wealthier Nation Wins</v>
      </c>
    </row>
    <row r="212" spans="1:17" x14ac:dyDescent="0.2">
      <c r="A212" s="1">
        <v>744</v>
      </c>
      <c r="B212" s="2">
        <v>25436</v>
      </c>
      <c r="C212" s="7">
        <f>_xlfn.FLOOR.MATH(Table1[[#This Row],[year]],10)</f>
        <v>1960</v>
      </c>
      <c r="D212" t="s">
        <v>35</v>
      </c>
      <c r="E212" t="s">
        <v>258</v>
      </c>
      <c r="F212">
        <v>1</v>
      </c>
      <c r="G212">
        <v>0</v>
      </c>
      <c r="H212" t="s">
        <v>224</v>
      </c>
      <c r="I212" t="s">
        <v>250</v>
      </c>
      <c r="J212" t="s">
        <v>35</v>
      </c>
      <c r="K212" t="b">
        <v>0</v>
      </c>
      <c r="L212">
        <v>1969</v>
      </c>
      <c r="M212">
        <v>556293650</v>
      </c>
      <c r="N212">
        <v>10285111111</v>
      </c>
      <c r="O212" t="b">
        <v>1</v>
      </c>
      <c r="P212">
        <v>-1</v>
      </c>
      <c r="Q212" t="str" cm="1">
        <f t="array" ref="Q212">_xlfn.IFS(Table1[[#This Row],[Wealthier_Winner]]=-1,"Wealthier Nation Loses",Table1[[#This Row],[Wealthier_Winner]]=0,"Tie",Table1[[#This Row],[Wealthier_Winner]]=1,"Wealthier Nation Wins")</f>
        <v>Wealthier Nation Loses</v>
      </c>
    </row>
    <row r="213" spans="1:17" x14ac:dyDescent="0.2">
      <c r="A213" s="1">
        <v>745</v>
      </c>
      <c r="B213" s="2">
        <v>25439</v>
      </c>
      <c r="C213" s="7">
        <f>_xlfn.FLOOR.MATH(Table1[[#This Row],[year]],10)</f>
        <v>1960</v>
      </c>
      <c r="D213" t="s">
        <v>19</v>
      </c>
      <c r="E213" t="s">
        <v>47</v>
      </c>
      <c r="F213">
        <v>1</v>
      </c>
      <c r="G213">
        <v>0</v>
      </c>
      <c r="H213" t="s">
        <v>224</v>
      </c>
      <c r="I213" t="s">
        <v>93</v>
      </c>
      <c r="J213" t="s">
        <v>19</v>
      </c>
      <c r="K213" t="b">
        <v>0</v>
      </c>
      <c r="L213">
        <v>1969</v>
      </c>
      <c r="M213">
        <v>31256284543</v>
      </c>
      <c r="N213">
        <v>929629629</v>
      </c>
      <c r="O213" t="b">
        <v>1</v>
      </c>
      <c r="P213">
        <v>1</v>
      </c>
      <c r="Q213" t="str" cm="1">
        <f t="array" ref="Q213">_xlfn.IFS(Table1[[#This Row],[Wealthier_Winner]]=-1,"Wealthier Nation Loses",Table1[[#This Row],[Wealthier_Winner]]=0,"Tie",Table1[[#This Row],[Wealthier_Winner]]=1,"Wealthier Nation Wins")</f>
        <v>Wealthier Nation Wins</v>
      </c>
    </row>
    <row r="214" spans="1:17" x14ac:dyDescent="0.2">
      <c r="A214" s="1">
        <v>746</v>
      </c>
      <c r="B214" s="2">
        <v>25439</v>
      </c>
      <c r="C214" s="7">
        <f>_xlfn.FLOOR.MATH(Table1[[#This Row],[year]],10)</f>
        <v>1960</v>
      </c>
      <c r="D214" t="s">
        <v>13</v>
      </c>
      <c r="E214" t="s">
        <v>258</v>
      </c>
      <c r="F214">
        <v>6</v>
      </c>
      <c r="G214">
        <v>0</v>
      </c>
      <c r="H214" t="s">
        <v>224</v>
      </c>
      <c r="I214" t="s">
        <v>173</v>
      </c>
      <c r="J214" t="s">
        <v>13</v>
      </c>
      <c r="K214" t="b">
        <v>0</v>
      </c>
      <c r="L214">
        <v>1969</v>
      </c>
      <c r="M214">
        <v>37171640818</v>
      </c>
      <c r="N214">
        <v>10285111111</v>
      </c>
      <c r="O214" t="b">
        <v>1</v>
      </c>
      <c r="P214">
        <v>1</v>
      </c>
      <c r="Q214" t="str" cm="1">
        <f t="array" ref="Q214">_xlfn.IFS(Table1[[#This Row],[Wealthier_Winner]]=-1,"Wealthier Nation Loses",Table1[[#This Row],[Wealthier_Winner]]=0,"Tie",Table1[[#This Row],[Wealthier_Winner]]=1,"Wealthier Nation Wins")</f>
        <v>Wealthier Nation Wins</v>
      </c>
    </row>
    <row r="215" spans="1:17" x14ac:dyDescent="0.2">
      <c r="A215" s="1">
        <v>747</v>
      </c>
      <c r="B215" s="2">
        <v>25439</v>
      </c>
      <c r="C215" s="7">
        <f>_xlfn.FLOOR.MATH(Table1[[#This Row],[year]],10)</f>
        <v>1960</v>
      </c>
      <c r="D215" t="s">
        <v>35</v>
      </c>
      <c r="E215" t="s">
        <v>15</v>
      </c>
      <c r="F215">
        <v>2</v>
      </c>
      <c r="G215">
        <v>1</v>
      </c>
      <c r="H215" t="s">
        <v>224</v>
      </c>
      <c r="I215" t="s">
        <v>250</v>
      </c>
      <c r="J215" t="s">
        <v>35</v>
      </c>
      <c r="K215" t="b">
        <v>0</v>
      </c>
      <c r="L215">
        <v>1969</v>
      </c>
      <c r="M215">
        <v>556293650</v>
      </c>
      <c r="N215">
        <v>6450175213</v>
      </c>
      <c r="O215" t="b">
        <v>1</v>
      </c>
      <c r="P215">
        <v>-1</v>
      </c>
      <c r="Q215" t="str" cm="1">
        <f t="array" ref="Q215">_xlfn.IFS(Table1[[#This Row],[Wealthier_Winner]]=-1,"Wealthier Nation Loses",Table1[[#This Row],[Wealthier_Winner]]=0,"Tie",Table1[[#This Row],[Wealthier_Winner]]=1,"Wealthier Nation Wins")</f>
        <v>Wealthier Nation Loses</v>
      </c>
    </row>
    <row r="216" spans="1:17" x14ac:dyDescent="0.2">
      <c r="A216" s="1">
        <v>748</v>
      </c>
      <c r="B216" s="2">
        <v>25446</v>
      </c>
      <c r="C216" s="7">
        <f>_xlfn.FLOOR.MATH(Table1[[#This Row],[year]],10)</f>
        <v>1960</v>
      </c>
      <c r="D216" t="s">
        <v>19</v>
      </c>
      <c r="E216" t="s">
        <v>31</v>
      </c>
      <c r="F216">
        <v>2</v>
      </c>
      <c r="G216">
        <v>2</v>
      </c>
      <c r="H216" t="s">
        <v>224</v>
      </c>
      <c r="I216" t="s">
        <v>93</v>
      </c>
      <c r="J216" t="s">
        <v>19</v>
      </c>
      <c r="K216" t="b">
        <v>0</v>
      </c>
      <c r="L216">
        <v>1969</v>
      </c>
      <c r="M216">
        <v>31256284543</v>
      </c>
      <c r="N216">
        <v>6420909789</v>
      </c>
      <c r="O216" t="b">
        <v>1</v>
      </c>
      <c r="P216">
        <v>0</v>
      </c>
      <c r="Q216" t="str" cm="1">
        <f t="array" ref="Q216">_xlfn.IFS(Table1[[#This Row],[Wealthier_Winner]]=-1,"Wealthier Nation Loses",Table1[[#This Row],[Wealthier_Winner]]=0,"Tie",Table1[[#This Row],[Wealthier_Winner]]=1,"Wealthier Nation Wins")</f>
        <v>Tie</v>
      </c>
    </row>
    <row r="217" spans="1:17" x14ac:dyDescent="0.2">
      <c r="A217" s="1">
        <v>749</v>
      </c>
      <c r="B217" s="2">
        <v>25446</v>
      </c>
      <c r="C217" s="7">
        <f>_xlfn.FLOOR.MATH(Table1[[#This Row],[year]],10)</f>
        <v>1960</v>
      </c>
      <c r="D217" t="s">
        <v>13</v>
      </c>
      <c r="E217" t="s">
        <v>35</v>
      </c>
      <c r="F217">
        <v>1</v>
      </c>
      <c r="G217">
        <v>0</v>
      </c>
      <c r="H217" t="s">
        <v>224</v>
      </c>
      <c r="I217" t="s">
        <v>173</v>
      </c>
      <c r="J217" t="s">
        <v>13</v>
      </c>
      <c r="K217" t="b">
        <v>0</v>
      </c>
      <c r="L217">
        <v>1969</v>
      </c>
      <c r="M217">
        <v>37171640818</v>
      </c>
      <c r="N217">
        <v>556293650</v>
      </c>
      <c r="O217" t="b">
        <v>1</v>
      </c>
      <c r="P217">
        <v>1</v>
      </c>
      <c r="Q217" t="str" cm="1">
        <f t="array" ref="Q217">_xlfn.IFS(Table1[[#This Row],[Wealthier_Winner]]=-1,"Wealthier Nation Loses",Table1[[#This Row],[Wealthier_Winner]]=0,"Tie",Table1[[#This Row],[Wealthier_Winner]]=1,"Wealthier Nation Wins")</f>
        <v>Wealthier Nation Wins</v>
      </c>
    </row>
    <row r="218" spans="1:17" x14ac:dyDescent="0.2">
      <c r="A218" s="1">
        <v>752</v>
      </c>
      <c r="B218" s="2">
        <v>25456</v>
      </c>
      <c r="C218" s="7">
        <f>_xlfn.FLOOR.MATH(Table1[[#This Row],[year]],10)</f>
        <v>1960</v>
      </c>
      <c r="D218" t="s">
        <v>42</v>
      </c>
      <c r="E218" t="s">
        <v>20</v>
      </c>
      <c r="F218">
        <v>1</v>
      </c>
      <c r="G218">
        <v>3</v>
      </c>
      <c r="H218" t="s">
        <v>224</v>
      </c>
      <c r="I218" t="s">
        <v>262</v>
      </c>
      <c r="J218" t="s">
        <v>42</v>
      </c>
      <c r="K218" t="b">
        <v>0</v>
      </c>
      <c r="L218">
        <v>1969</v>
      </c>
      <c r="M218">
        <v>11136187439</v>
      </c>
      <c r="N218">
        <v>140660914840</v>
      </c>
      <c r="O218" t="b">
        <v>1</v>
      </c>
      <c r="P218">
        <v>1</v>
      </c>
      <c r="Q218" t="str" cm="1">
        <f t="array" ref="Q218">_xlfn.IFS(Table1[[#This Row],[Wealthier_Winner]]=-1,"Wealthier Nation Loses",Table1[[#This Row],[Wealthier_Winner]]=0,"Tie",Table1[[#This Row],[Wealthier_Winner]]=1,"Wealthier Nation Wins")</f>
        <v>Wealthier Nation Wins</v>
      </c>
    </row>
    <row r="219" spans="1:17" x14ac:dyDescent="0.2">
      <c r="A219" s="1">
        <v>753</v>
      </c>
      <c r="B219" s="2">
        <v>25459</v>
      </c>
      <c r="C219" s="7">
        <f>_xlfn.FLOOR.MATH(Table1[[#This Row],[year]],10)</f>
        <v>1960</v>
      </c>
      <c r="D219" t="s">
        <v>43</v>
      </c>
      <c r="E219" t="s">
        <v>274</v>
      </c>
      <c r="F219">
        <v>2</v>
      </c>
      <c r="G219">
        <v>2</v>
      </c>
      <c r="H219" t="s">
        <v>224</v>
      </c>
      <c r="I219" t="s">
        <v>293</v>
      </c>
      <c r="J219" t="s">
        <v>43</v>
      </c>
      <c r="K219" t="b">
        <v>0</v>
      </c>
      <c r="L219">
        <v>1969</v>
      </c>
      <c r="M219">
        <v>6634317346</v>
      </c>
      <c r="N219">
        <v>1847501441</v>
      </c>
      <c r="O219" t="b">
        <v>1</v>
      </c>
      <c r="P219">
        <v>0</v>
      </c>
      <c r="Q219" t="str" cm="1">
        <f t="array" ref="Q219">_xlfn.IFS(Table1[[#This Row],[Wealthier_Winner]]=-1,"Wealthier Nation Loses",Table1[[#This Row],[Wealthier_Winner]]=0,"Tie",Table1[[#This Row],[Wealthier_Winner]]=1,"Wealthier Nation Wins")</f>
        <v>Tie</v>
      </c>
    </row>
    <row r="220" spans="1:17" x14ac:dyDescent="0.2">
      <c r="A220" s="1">
        <v>755</v>
      </c>
      <c r="B220" s="2">
        <v>25467</v>
      </c>
      <c r="C220" s="7">
        <f>_xlfn.FLOOR.MATH(Table1[[#This Row],[year]],10)</f>
        <v>1960</v>
      </c>
      <c r="D220" t="s">
        <v>70</v>
      </c>
      <c r="E220" t="s">
        <v>69</v>
      </c>
      <c r="F220">
        <v>1</v>
      </c>
      <c r="G220">
        <v>2</v>
      </c>
      <c r="H220" t="s">
        <v>224</v>
      </c>
      <c r="I220" t="s">
        <v>280</v>
      </c>
      <c r="J220" t="s">
        <v>70</v>
      </c>
      <c r="K220" t="b">
        <v>0</v>
      </c>
      <c r="L220">
        <v>1969</v>
      </c>
      <c r="M220">
        <v>391820400</v>
      </c>
      <c r="N220">
        <v>1049400000</v>
      </c>
      <c r="O220" t="b">
        <v>1</v>
      </c>
      <c r="P220">
        <v>1</v>
      </c>
      <c r="Q220" t="str" cm="1">
        <f t="array" ref="Q220">_xlfn.IFS(Table1[[#This Row],[Wealthier_Winner]]=-1,"Wealthier Nation Loses",Table1[[#This Row],[Wealthier_Winner]]=0,"Tie",Table1[[#This Row],[Wealthier_Winner]]=1,"Wealthier Nation Wins")</f>
        <v>Wealthier Nation Wins</v>
      </c>
    </row>
    <row r="221" spans="1:17" x14ac:dyDescent="0.2">
      <c r="A221" s="1">
        <v>756</v>
      </c>
      <c r="B221" s="2">
        <v>25467</v>
      </c>
      <c r="C221" s="7">
        <f>_xlfn.FLOOR.MATH(Table1[[#This Row],[year]],10)</f>
        <v>1960</v>
      </c>
      <c r="D221" t="s">
        <v>24</v>
      </c>
      <c r="E221" t="s">
        <v>43</v>
      </c>
      <c r="F221">
        <v>2</v>
      </c>
      <c r="G221">
        <v>1</v>
      </c>
      <c r="H221" t="s">
        <v>224</v>
      </c>
      <c r="I221" t="s">
        <v>244</v>
      </c>
      <c r="J221" t="s">
        <v>24</v>
      </c>
      <c r="K221" t="b">
        <v>0</v>
      </c>
      <c r="L221">
        <v>1969</v>
      </c>
      <c r="M221">
        <v>3651622668</v>
      </c>
      <c r="N221">
        <v>6634317346</v>
      </c>
      <c r="O221" t="b">
        <v>0</v>
      </c>
      <c r="P221">
        <v>-1</v>
      </c>
      <c r="Q221" t="str" cm="1">
        <f t="array" ref="Q221">_xlfn.IFS(Table1[[#This Row],[Wealthier_Winner]]=-1,"Wealthier Nation Loses",Table1[[#This Row],[Wealthier_Winner]]=0,"Tie",Table1[[#This Row],[Wealthier_Winner]]=1,"Wealthier Nation Wins")</f>
        <v>Wealthier Nation Loses</v>
      </c>
    </row>
    <row r="222" spans="1:17" x14ac:dyDescent="0.2">
      <c r="A222" s="1">
        <v>757</v>
      </c>
      <c r="B222" s="2">
        <v>25474</v>
      </c>
      <c r="C222" s="7">
        <f>_xlfn.FLOOR.MATH(Table1[[#This Row],[year]],10)</f>
        <v>1960</v>
      </c>
      <c r="D222" t="s">
        <v>69</v>
      </c>
      <c r="E222" t="s">
        <v>70</v>
      </c>
      <c r="F222">
        <v>0</v>
      </c>
      <c r="G222">
        <v>3</v>
      </c>
      <c r="H222" t="s">
        <v>224</v>
      </c>
      <c r="I222" t="s">
        <v>281</v>
      </c>
      <c r="J222" t="s">
        <v>69</v>
      </c>
      <c r="K222" t="b">
        <v>0</v>
      </c>
      <c r="L222">
        <v>1969</v>
      </c>
      <c r="M222">
        <v>1049400000</v>
      </c>
      <c r="N222">
        <v>391820400</v>
      </c>
      <c r="O222" t="b">
        <v>1</v>
      </c>
      <c r="P222">
        <v>-1</v>
      </c>
      <c r="Q222" t="str" cm="1">
        <f t="array" ref="Q222">_xlfn.IFS(Table1[[#This Row],[Wealthier_Winner]]=-1,"Wealthier Nation Loses",Table1[[#This Row],[Wealthier_Winner]]=0,"Tie",Table1[[#This Row],[Wealthier_Winner]]=1,"Wealthier Nation Wins")</f>
        <v>Wealthier Nation Loses</v>
      </c>
    </row>
    <row r="223" spans="1:17" x14ac:dyDescent="0.2">
      <c r="A223" s="1">
        <v>758</v>
      </c>
      <c r="B223" s="2">
        <v>25474</v>
      </c>
      <c r="C223" s="7">
        <f>_xlfn.FLOOR.MATH(Table1[[#This Row],[year]],10)</f>
        <v>1960</v>
      </c>
      <c r="D223" t="s">
        <v>22</v>
      </c>
      <c r="E223" t="s">
        <v>72</v>
      </c>
      <c r="F223">
        <v>4</v>
      </c>
      <c r="G223">
        <v>0</v>
      </c>
      <c r="H223" t="s">
        <v>224</v>
      </c>
      <c r="I223" t="s">
        <v>239</v>
      </c>
      <c r="J223" t="s">
        <v>22</v>
      </c>
      <c r="K223" t="b">
        <v>0</v>
      </c>
      <c r="L223">
        <v>1969</v>
      </c>
      <c r="M223">
        <v>6297852761</v>
      </c>
      <c r="N223">
        <v>5814357708</v>
      </c>
      <c r="O223" t="b">
        <v>0</v>
      </c>
      <c r="P223">
        <v>1</v>
      </c>
      <c r="Q223" t="str" cm="1">
        <f t="array" ref="Q223">_xlfn.IFS(Table1[[#This Row],[Wealthier_Winner]]=-1,"Wealthier Nation Loses",Table1[[#This Row],[Wealthier_Winner]]=0,"Tie",Table1[[#This Row],[Wealthier_Winner]]=1,"Wealthier Nation Wins")</f>
        <v>Wealthier Nation Wins</v>
      </c>
    </row>
    <row r="224" spans="1:17" x14ac:dyDescent="0.2">
      <c r="A224" s="1">
        <v>759</v>
      </c>
      <c r="B224" s="2">
        <v>25477</v>
      </c>
      <c r="C224" s="7">
        <f>_xlfn.FLOOR.MATH(Table1[[#This Row],[year]],10)</f>
        <v>1960</v>
      </c>
      <c r="D224" t="s">
        <v>22</v>
      </c>
      <c r="E224" t="s">
        <v>72</v>
      </c>
      <c r="F224">
        <v>2</v>
      </c>
      <c r="G224">
        <v>0</v>
      </c>
      <c r="H224" t="s">
        <v>224</v>
      </c>
      <c r="I224" t="s">
        <v>239</v>
      </c>
      <c r="J224" t="s">
        <v>22</v>
      </c>
      <c r="K224" t="b">
        <v>0</v>
      </c>
      <c r="L224">
        <v>1969</v>
      </c>
      <c r="M224">
        <v>6297852761</v>
      </c>
      <c r="N224">
        <v>5814357708</v>
      </c>
      <c r="O224" t="b">
        <v>0</v>
      </c>
      <c r="P224">
        <v>1</v>
      </c>
      <c r="Q224" t="str" cm="1">
        <f t="array" ref="Q224">_xlfn.IFS(Table1[[#This Row],[Wealthier_Winner]]=-1,"Wealthier Nation Loses",Table1[[#This Row],[Wealthier_Winner]]=0,"Tie",Table1[[#This Row],[Wealthier_Winner]]=1,"Wealthier Nation Wins")</f>
        <v>Wealthier Nation Wins</v>
      </c>
    </row>
    <row r="225" spans="1:17" x14ac:dyDescent="0.2">
      <c r="A225" s="1">
        <v>760</v>
      </c>
      <c r="B225" s="2">
        <v>25479</v>
      </c>
      <c r="C225" s="7">
        <f>_xlfn.FLOOR.MATH(Table1[[#This Row],[year]],10)</f>
        <v>1960</v>
      </c>
      <c r="D225" t="s">
        <v>274</v>
      </c>
      <c r="E225" t="s">
        <v>43</v>
      </c>
      <c r="F225">
        <v>3</v>
      </c>
      <c r="G225">
        <v>3</v>
      </c>
      <c r="H225" t="s">
        <v>224</v>
      </c>
      <c r="I225" t="s">
        <v>278</v>
      </c>
      <c r="J225" t="s">
        <v>274</v>
      </c>
      <c r="K225" t="b">
        <v>0</v>
      </c>
      <c r="L225">
        <v>1969</v>
      </c>
      <c r="M225">
        <v>1847501441</v>
      </c>
      <c r="N225">
        <v>6634317346</v>
      </c>
      <c r="O225" t="b">
        <v>1</v>
      </c>
      <c r="P225">
        <v>0</v>
      </c>
      <c r="Q225" t="str" cm="1">
        <f t="array" ref="Q225">_xlfn.IFS(Table1[[#This Row],[Wealthier_Winner]]=-1,"Wealthier Nation Loses",Table1[[#This Row],[Wealthier_Winner]]=0,"Tie",Table1[[#This Row],[Wealthier_Winner]]=1,"Wealthier Nation Wins")</f>
        <v>Tie</v>
      </c>
    </row>
    <row r="226" spans="1:17" x14ac:dyDescent="0.2">
      <c r="A226" s="1">
        <v>762</v>
      </c>
      <c r="B226" s="2">
        <v>25484</v>
      </c>
      <c r="C226" s="7">
        <f>_xlfn.FLOOR.MATH(Table1[[#This Row],[year]],10)</f>
        <v>1960</v>
      </c>
      <c r="D226" t="s">
        <v>70</v>
      </c>
      <c r="E226" t="s">
        <v>69</v>
      </c>
      <c r="F226">
        <v>0</v>
      </c>
      <c r="G226">
        <v>1</v>
      </c>
      <c r="H226" t="s">
        <v>224</v>
      </c>
      <c r="I226" t="s">
        <v>257</v>
      </c>
      <c r="J226" t="s">
        <v>49</v>
      </c>
      <c r="K226" t="b">
        <v>1</v>
      </c>
      <c r="L226">
        <v>1969</v>
      </c>
      <c r="M226">
        <v>391820400</v>
      </c>
      <c r="N226">
        <v>1049400000</v>
      </c>
      <c r="O226" t="b">
        <v>1</v>
      </c>
      <c r="P226">
        <v>1</v>
      </c>
      <c r="Q226" t="str" cm="1">
        <f t="array" ref="Q226">_xlfn.IFS(Table1[[#This Row],[Wealthier_Winner]]=-1,"Wealthier Nation Loses",Table1[[#This Row],[Wealthier_Winner]]=0,"Tie",Table1[[#This Row],[Wealthier_Winner]]=1,"Wealthier Nation Wins")</f>
        <v>Wealthier Nation Wins</v>
      </c>
    </row>
    <row r="227" spans="1:17" x14ac:dyDescent="0.2">
      <c r="A227" s="1">
        <v>763</v>
      </c>
      <c r="B227" s="2">
        <v>25486</v>
      </c>
      <c r="C227" s="7">
        <f>_xlfn.FLOOR.MATH(Table1[[#This Row],[year]],10)</f>
        <v>1960</v>
      </c>
      <c r="D227" t="s">
        <v>51</v>
      </c>
      <c r="E227" t="s">
        <v>28</v>
      </c>
      <c r="F227">
        <v>1</v>
      </c>
      <c r="G227">
        <v>3</v>
      </c>
      <c r="H227" t="s">
        <v>224</v>
      </c>
      <c r="I227" t="s">
        <v>136</v>
      </c>
      <c r="J227" t="s">
        <v>195</v>
      </c>
      <c r="K227" t="b">
        <v>1</v>
      </c>
      <c r="L227">
        <v>1969</v>
      </c>
      <c r="M227">
        <v>184298841304</v>
      </c>
      <c r="N227">
        <v>36738245878</v>
      </c>
      <c r="O227" t="b">
        <v>1</v>
      </c>
      <c r="P227">
        <v>-1</v>
      </c>
      <c r="Q227" t="str" cm="1">
        <f t="array" ref="Q227">_xlfn.IFS(Table1[[#This Row],[Wealthier_Winner]]=-1,"Wealthier Nation Loses",Table1[[#This Row],[Wealthier_Winner]]=0,"Tie",Table1[[#This Row],[Wealthier_Winner]]=1,"Wealthier Nation Wins")</f>
        <v>Wealthier Nation Loses</v>
      </c>
    </row>
    <row r="228" spans="1:17" x14ac:dyDescent="0.2">
      <c r="A228" s="1">
        <v>764</v>
      </c>
      <c r="B228" s="2">
        <v>25486</v>
      </c>
      <c r="C228" s="7">
        <f>_xlfn.FLOOR.MATH(Table1[[#This Row],[year]],10)</f>
        <v>1960</v>
      </c>
      <c r="D228" t="s">
        <v>274</v>
      </c>
      <c r="E228" t="s">
        <v>24</v>
      </c>
      <c r="F228">
        <v>0</v>
      </c>
      <c r="G228">
        <v>0</v>
      </c>
      <c r="H228" t="s">
        <v>224</v>
      </c>
      <c r="I228" t="s">
        <v>278</v>
      </c>
      <c r="J228" t="s">
        <v>274</v>
      </c>
      <c r="K228" t="b">
        <v>0</v>
      </c>
      <c r="L228">
        <v>1969</v>
      </c>
      <c r="M228">
        <v>1847501441</v>
      </c>
      <c r="N228">
        <v>3651622668</v>
      </c>
      <c r="O228" t="b">
        <v>0</v>
      </c>
      <c r="P228">
        <v>0</v>
      </c>
      <c r="Q228" t="str" cm="1">
        <f t="array" ref="Q228">_xlfn.IFS(Table1[[#This Row],[Wealthier_Winner]]=-1,"Wealthier Nation Loses",Table1[[#This Row],[Wealthier_Winner]]=0,"Tie",Table1[[#This Row],[Wealthier_Winner]]=1,"Wealthier Nation Wins")</f>
        <v>Tie</v>
      </c>
    </row>
    <row r="229" spans="1:17" x14ac:dyDescent="0.2">
      <c r="A229" s="1">
        <v>766</v>
      </c>
      <c r="B229" s="2">
        <v>25488</v>
      </c>
      <c r="C229" s="7">
        <f>_xlfn.FLOOR.MATH(Table1[[#This Row],[year]],10)</f>
        <v>1960</v>
      </c>
      <c r="D229" t="s">
        <v>195</v>
      </c>
      <c r="E229" t="s">
        <v>51</v>
      </c>
      <c r="F229">
        <v>2</v>
      </c>
      <c r="G229">
        <v>2</v>
      </c>
      <c r="H229" t="s">
        <v>224</v>
      </c>
      <c r="I229" t="s">
        <v>136</v>
      </c>
      <c r="J229" t="s">
        <v>195</v>
      </c>
      <c r="K229" t="b">
        <v>0</v>
      </c>
      <c r="L229">
        <v>1969</v>
      </c>
      <c r="M229">
        <v>7743940188</v>
      </c>
      <c r="N229">
        <v>184298841304</v>
      </c>
      <c r="O229" t="b">
        <v>1</v>
      </c>
      <c r="P229">
        <v>0</v>
      </c>
      <c r="Q229" t="str" cm="1">
        <f t="array" ref="Q229">_xlfn.IFS(Table1[[#This Row],[Wealthier_Winner]]=-1,"Wealthier Nation Loses",Table1[[#This Row],[Wealthier_Winner]]=0,"Tie",Table1[[#This Row],[Wealthier_Winner]]=1,"Wealthier Nation Wins")</f>
        <v>Tie</v>
      </c>
    </row>
    <row r="230" spans="1:17" x14ac:dyDescent="0.2">
      <c r="A230" s="1">
        <v>768</v>
      </c>
      <c r="B230" s="2">
        <v>25490</v>
      </c>
      <c r="C230" s="7">
        <f>_xlfn.FLOOR.MATH(Table1[[#This Row],[year]],10)</f>
        <v>1960</v>
      </c>
      <c r="D230" t="s">
        <v>195</v>
      </c>
      <c r="E230" t="s">
        <v>28</v>
      </c>
      <c r="F230">
        <v>1</v>
      </c>
      <c r="G230">
        <v>2</v>
      </c>
      <c r="H230" t="s">
        <v>224</v>
      </c>
      <c r="I230" t="s">
        <v>136</v>
      </c>
      <c r="J230" t="s">
        <v>195</v>
      </c>
      <c r="K230" t="b">
        <v>0</v>
      </c>
      <c r="L230">
        <v>1969</v>
      </c>
      <c r="M230">
        <v>7743940188</v>
      </c>
      <c r="N230">
        <v>36738245878</v>
      </c>
      <c r="O230" t="b">
        <v>1</v>
      </c>
      <c r="P230">
        <v>1</v>
      </c>
      <c r="Q230" t="str" cm="1">
        <f t="array" ref="Q230">_xlfn.IFS(Table1[[#This Row],[Wealthier_Winner]]=-1,"Wealthier Nation Loses",Table1[[#This Row],[Wealthier_Winner]]=0,"Tie",Table1[[#This Row],[Wealthier_Winner]]=1,"Wealthier Nation Wins")</f>
        <v>Wealthier Nation Wins</v>
      </c>
    </row>
    <row r="231" spans="1:17" x14ac:dyDescent="0.2">
      <c r="A231" s="1">
        <v>769</v>
      </c>
      <c r="B231" s="2">
        <v>25491</v>
      </c>
      <c r="C231" s="7">
        <f>_xlfn.FLOOR.MATH(Table1[[#This Row],[year]],10)</f>
        <v>1960</v>
      </c>
      <c r="D231" t="s">
        <v>48</v>
      </c>
      <c r="E231" t="s">
        <v>46</v>
      </c>
      <c r="F231">
        <v>4</v>
      </c>
      <c r="G231">
        <v>1</v>
      </c>
      <c r="H231" t="s">
        <v>224</v>
      </c>
      <c r="I231" t="s">
        <v>295</v>
      </c>
      <c r="J231" t="s">
        <v>48</v>
      </c>
      <c r="K231" t="b">
        <v>0</v>
      </c>
      <c r="L231">
        <v>1969</v>
      </c>
      <c r="M231">
        <v>11454106327</v>
      </c>
      <c r="N231">
        <v>22442043274</v>
      </c>
      <c r="O231" t="b">
        <v>0</v>
      </c>
      <c r="P231">
        <v>-1</v>
      </c>
      <c r="Q231" t="str" cm="1">
        <f t="array" ref="Q231">_xlfn.IFS(Table1[[#This Row],[Wealthier_Winner]]=-1,"Wealthier Nation Loses",Table1[[#This Row],[Wealthier_Winner]]=0,"Tie",Table1[[#This Row],[Wealthier_Winner]]=1,"Wealthier Nation Wins")</f>
        <v>Wealthier Nation Loses</v>
      </c>
    </row>
    <row r="232" spans="1:17" x14ac:dyDescent="0.2">
      <c r="A232" s="1">
        <v>772</v>
      </c>
      <c r="B232" s="2">
        <v>25491</v>
      </c>
      <c r="C232" s="7">
        <f>_xlfn.FLOOR.MATH(Table1[[#This Row],[year]],10)</f>
        <v>1960</v>
      </c>
      <c r="D232" t="s">
        <v>21</v>
      </c>
      <c r="E232" t="s">
        <v>230</v>
      </c>
      <c r="F232">
        <v>6</v>
      </c>
      <c r="G232">
        <v>0</v>
      </c>
      <c r="H232" t="s">
        <v>224</v>
      </c>
      <c r="I232" t="s">
        <v>296</v>
      </c>
      <c r="J232" t="s">
        <v>21</v>
      </c>
      <c r="K232" t="b">
        <v>0</v>
      </c>
      <c r="L232">
        <v>1969</v>
      </c>
      <c r="M232">
        <v>37090689287</v>
      </c>
      <c r="N232">
        <v>10177524838</v>
      </c>
      <c r="O232" t="b">
        <v>1</v>
      </c>
      <c r="P232">
        <v>1</v>
      </c>
      <c r="Q232" t="str" cm="1">
        <f t="array" ref="Q232">_xlfn.IFS(Table1[[#This Row],[Wealthier_Winner]]=-1,"Wealthier Nation Loses",Table1[[#This Row],[Wealthier_Winner]]=0,"Tie",Table1[[#This Row],[Wealthier_Winner]]=1,"Wealthier Nation Wins")</f>
        <v>Wealthier Nation Wins</v>
      </c>
    </row>
    <row r="233" spans="1:17" x14ac:dyDescent="0.2">
      <c r="A233" s="1">
        <v>773</v>
      </c>
      <c r="B233" s="2">
        <v>25491</v>
      </c>
      <c r="C233" s="7">
        <f>_xlfn.FLOOR.MATH(Table1[[#This Row],[year]],10)</f>
        <v>1960</v>
      </c>
      <c r="D233" t="s">
        <v>25</v>
      </c>
      <c r="E233" t="s">
        <v>20</v>
      </c>
      <c r="F233">
        <v>2</v>
      </c>
      <c r="G233">
        <v>0</v>
      </c>
      <c r="H233" t="s">
        <v>224</v>
      </c>
      <c r="I233" t="s">
        <v>233</v>
      </c>
      <c r="J233" t="s">
        <v>25</v>
      </c>
      <c r="K233" t="b">
        <v>0</v>
      </c>
      <c r="L233">
        <v>1969</v>
      </c>
      <c r="M233">
        <v>33967301561</v>
      </c>
      <c r="N233">
        <v>140660914840</v>
      </c>
      <c r="O233" t="b">
        <v>1</v>
      </c>
      <c r="P233">
        <v>-1</v>
      </c>
      <c r="Q233" t="str" cm="1">
        <f t="array" ref="Q233">_xlfn.IFS(Table1[[#This Row],[Wealthier_Winner]]=-1,"Wealthier Nation Loses",Table1[[#This Row],[Wealthier_Winner]]=0,"Tie",Table1[[#This Row],[Wealthier_Winner]]=1,"Wealthier Nation Wins")</f>
        <v>Wealthier Nation Loses</v>
      </c>
    </row>
    <row r="234" spans="1:17" x14ac:dyDescent="0.2">
      <c r="A234" s="1">
        <v>774</v>
      </c>
      <c r="B234" s="2">
        <v>25492</v>
      </c>
      <c r="C234" s="7">
        <f>_xlfn.FLOOR.MATH(Table1[[#This Row],[year]],10)</f>
        <v>1960</v>
      </c>
      <c r="D234" t="s">
        <v>28</v>
      </c>
      <c r="E234" t="s">
        <v>51</v>
      </c>
      <c r="F234">
        <v>1</v>
      </c>
      <c r="G234">
        <v>1</v>
      </c>
      <c r="H234" t="s">
        <v>224</v>
      </c>
      <c r="I234" t="s">
        <v>136</v>
      </c>
      <c r="J234" t="s">
        <v>195</v>
      </c>
      <c r="K234" t="b">
        <v>1</v>
      </c>
      <c r="L234">
        <v>1969</v>
      </c>
      <c r="M234">
        <v>36738245878</v>
      </c>
      <c r="N234">
        <v>184298841304</v>
      </c>
      <c r="O234" t="b">
        <v>1</v>
      </c>
      <c r="P234">
        <v>0</v>
      </c>
      <c r="Q234" t="str" cm="1">
        <f t="array" ref="Q234">_xlfn.IFS(Table1[[#This Row],[Wealthier_Winner]]=-1,"Wealthier Nation Loses",Table1[[#This Row],[Wealthier_Winner]]=0,"Tie",Table1[[#This Row],[Wealthier_Winner]]=1,"Wealthier Nation Wins")</f>
        <v>Tie</v>
      </c>
    </row>
    <row r="235" spans="1:17" x14ac:dyDescent="0.2">
      <c r="A235" s="1">
        <v>775</v>
      </c>
      <c r="B235" s="2">
        <v>25494</v>
      </c>
      <c r="C235" s="7">
        <f>_xlfn.FLOOR.MATH(Table1[[#This Row],[year]],10)</f>
        <v>1960</v>
      </c>
      <c r="D235" t="s">
        <v>195</v>
      </c>
      <c r="E235" t="s">
        <v>51</v>
      </c>
      <c r="F235">
        <v>2</v>
      </c>
      <c r="G235">
        <v>0</v>
      </c>
      <c r="H235" t="s">
        <v>224</v>
      </c>
      <c r="I235" t="s">
        <v>136</v>
      </c>
      <c r="J235" t="s">
        <v>195</v>
      </c>
      <c r="K235" t="b">
        <v>0</v>
      </c>
      <c r="L235">
        <v>1969</v>
      </c>
      <c r="M235">
        <v>7743940188</v>
      </c>
      <c r="N235">
        <v>184298841304</v>
      </c>
      <c r="O235" t="b">
        <v>1</v>
      </c>
      <c r="P235">
        <v>-1</v>
      </c>
      <c r="Q235" t="str" cm="1">
        <f t="array" ref="Q235">_xlfn.IFS(Table1[[#This Row],[Wealthier_Winner]]=-1,"Wealthier Nation Loses",Table1[[#This Row],[Wealthier_Winner]]=0,"Tie",Table1[[#This Row],[Wealthier_Winner]]=1,"Wealthier Nation Wins")</f>
        <v>Wealthier Nation Loses</v>
      </c>
    </row>
    <row r="236" spans="1:17" x14ac:dyDescent="0.2">
      <c r="A236" s="1">
        <v>777</v>
      </c>
      <c r="B236" s="2">
        <v>25496</v>
      </c>
      <c r="C236" s="7">
        <f>_xlfn.FLOOR.MATH(Table1[[#This Row],[year]],10)</f>
        <v>1960</v>
      </c>
      <c r="D236" t="s">
        <v>195</v>
      </c>
      <c r="E236" t="s">
        <v>28</v>
      </c>
      <c r="F236">
        <v>1</v>
      </c>
      <c r="G236">
        <v>1</v>
      </c>
      <c r="H236" t="s">
        <v>224</v>
      </c>
      <c r="I236" t="s">
        <v>136</v>
      </c>
      <c r="J236" t="s">
        <v>195</v>
      </c>
      <c r="K236" t="b">
        <v>0</v>
      </c>
      <c r="L236">
        <v>1969</v>
      </c>
      <c r="M236">
        <v>7743940188</v>
      </c>
      <c r="N236">
        <v>36738245878</v>
      </c>
      <c r="O236" t="b">
        <v>1</v>
      </c>
      <c r="P236">
        <v>0</v>
      </c>
      <c r="Q236" t="str" cm="1">
        <f t="array" ref="Q236">_xlfn.IFS(Table1[[#This Row],[Wealthier_Winner]]=-1,"Wealthier Nation Loses",Table1[[#This Row],[Wealthier_Winner]]=0,"Tie",Table1[[#This Row],[Wealthier_Winner]]=1,"Wealthier Nation Wins")</f>
        <v>Tie</v>
      </c>
    </row>
    <row r="237" spans="1:17" x14ac:dyDescent="0.2">
      <c r="A237" s="1">
        <v>779</v>
      </c>
      <c r="B237" s="2">
        <v>25498</v>
      </c>
      <c r="C237" s="7">
        <f>_xlfn.FLOOR.MATH(Table1[[#This Row],[year]],10)</f>
        <v>1960</v>
      </c>
      <c r="D237" t="s">
        <v>30</v>
      </c>
      <c r="E237" t="s">
        <v>36</v>
      </c>
      <c r="F237">
        <v>3</v>
      </c>
      <c r="G237">
        <v>0</v>
      </c>
      <c r="H237" t="s">
        <v>224</v>
      </c>
      <c r="I237" t="s">
        <v>297</v>
      </c>
      <c r="J237" t="s">
        <v>30</v>
      </c>
      <c r="K237" t="b">
        <v>0</v>
      </c>
      <c r="L237">
        <v>1969</v>
      </c>
      <c r="M237">
        <v>5429812386</v>
      </c>
      <c r="N237">
        <v>15414902666</v>
      </c>
      <c r="O237" t="b">
        <v>1</v>
      </c>
      <c r="P237">
        <v>-1</v>
      </c>
      <c r="Q237" t="str" cm="1">
        <f t="array" ref="Q237">_xlfn.IFS(Table1[[#This Row],[Wealthier_Winner]]=-1,"Wealthier Nation Loses",Table1[[#This Row],[Wealthier_Winner]]=0,"Tie",Table1[[#This Row],[Wealthier_Winner]]=1,"Wealthier Nation Wins")</f>
        <v>Wealthier Nation Loses</v>
      </c>
    </row>
    <row r="238" spans="1:17" x14ac:dyDescent="0.2">
      <c r="A238" s="1">
        <v>783</v>
      </c>
      <c r="B238" s="2">
        <v>25502</v>
      </c>
      <c r="C238" s="7">
        <f>_xlfn.FLOOR.MATH(Table1[[#This Row],[year]],10)</f>
        <v>1960</v>
      </c>
      <c r="D238" t="s">
        <v>24</v>
      </c>
      <c r="E238" t="s">
        <v>274</v>
      </c>
      <c r="F238">
        <v>3</v>
      </c>
      <c r="G238">
        <v>0</v>
      </c>
      <c r="H238" t="s">
        <v>224</v>
      </c>
      <c r="I238" t="s">
        <v>244</v>
      </c>
      <c r="J238" t="s">
        <v>24</v>
      </c>
      <c r="K238" t="b">
        <v>0</v>
      </c>
      <c r="L238">
        <v>1969</v>
      </c>
      <c r="M238">
        <v>3651622668</v>
      </c>
      <c r="N238">
        <v>1847501441</v>
      </c>
      <c r="O238" t="b">
        <v>0</v>
      </c>
      <c r="P238">
        <v>1</v>
      </c>
      <c r="Q238" t="str" cm="1">
        <f t="array" ref="Q238">_xlfn.IFS(Table1[[#This Row],[Wealthier_Winner]]=-1,"Wealthier Nation Loses",Table1[[#This Row],[Wealthier_Winner]]=0,"Tie",Table1[[#This Row],[Wealthier_Winner]]=1,"Wealthier Nation Wins")</f>
        <v>Wealthier Nation Wins</v>
      </c>
    </row>
    <row r="239" spans="1:17" x14ac:dyDescent="0.2">
      <c r="A239" s="1">
        <v>784</v>
      </c>
      <c r="B239" s="2">
        <v>25508</v>
      </c>
      <c r="C239" s="7">
        <f>_xlfn.FLOOR.MATH(Table1[[#This Row],[year]],10)</f>
        <v>1960</v>
      </c>
      <c r="D239" t="s">
        <v>20</v>
      </c>
      <c r="E239" t="s">
        <v>25</v>
      </c>
      <c r="F239">
        <v>3</v>
      </c>
      <c r="G239">
        <v>0</v>
      </c>
      <c r="H239" t="s">
        <v>224</v>
      </c>
      <c r="I239" t="s">
        <v>134</v>
      </c>
      <c r="J239" t="s">
        <v>20</v>
      </c>
      <c r="K239" t="b">
        <v>0</v>
      </c>
      <c r="L239">
        <v>1969</v>
      </c>
      <c r="M239">
        <v>140660914840</v>
      </c>
      <c r="N239">
        <v>33967301561</v>
      </c>
      <c r="O239" t="b">
        <v>1</v>
      </c>
      <c r="P239">
        <v>1</v>
      </c>
      <c r="Q239" t="str" cm="1">
        <f t="array" ref="Q239">_xlfn.IFS(Table1[[#This Row],[Wealthier_Winner]]=-1,"Wealthier Nation Loses",Table1[[#This Row],[Wealthier_Winner]]=0,"Tie",Table1[[#This Row],[Wealthier_Winner]]=1,"Wealthier Nation Wins")</f>
        <v>Wealthier Nation Wins</v>
      </c>
    </row>
    <row r="240" spans="1:17" x14ac:dyDescent="0.2">
      <c r="A240" s="1">
        <v>785</v>
      </c>
      <c r="B240" s="2">
        <v>25509</v>
      </c>
      <c r="C240" s="7">
        <f>_xlfn.FLOOR.MATH(Table1[[#This Row],[year]],10)</f>
        <v>1960</v>
      </c>
      <c r="D240" t="s">
        <v>46</v>
      </c>
      <c r="E240" t="s">
        <v>38</v>
      </c>
      <c r="F240">
        <v>1</v>
      </c>
      <c r="G240">
        <v>1</v>
      </c>
      <c r="H240" t="s">
        <v>224</v>
      </c>
      <c r="I240" t="s">
        <v>249</v>
      </c>
      <c r="J240" t="s">
        <v>46</v>
      </c>
      <c r="K240" t="b">
        <v>0</v>
      </c>
      <c r="L240">
        <v>1969</v>
      </c>
      <c r="M240">
        <v>22442043274</v>
      </c>
      <c r="N240">
        <v>7287555035</v>
      </c>
      <c r="O240" t="b">
        <v>1</v>
      </c>
      <c r="P240">
        <v>0</v>
      </c>
      <c r="Q240" t="str" cm="1">
        <f t="array" ref="Q240">_xlfn.IFS(Table1[[#This Row],[Wealthier_Winner]]=-1,"Wealthier Nation Loses",Table1[[#This Row],[Wealthier_Winner]]=0,"Tie",Table1[[#This Row],[Wealthier_Winner]]=1,"Wealthier Nation Wins")</f>
        <v>Tie</v>
      </c>
    </row>
    <row r="241" spans="1:17" x14ac:dyDescent="0.2">
      <c r="A241" s="1">
        <v>789</v>
      </c>
      <c r="B241" s="2">
        <v>25515</v>
      </c>
      <c r="C241" s="7">
        <f>_xlfn.FLOOR.MATH(Table1[[#This Row],[year]],10)</f>
        <v>1960</v>
      </c>
      <c r="D241" t="s">
        <v>43</v>
      </c>
      <c r="E241" t="s">
        <v>24</v>
      </c>
      <c r="F241">
        <v>2</v>
      </c>
      <c r="G241">
        <v>0</v>
      </c>
      <c r="H241" t="s">
        <v>224</v>
      </c>
      <c r="I241" t="s">
        <v>293</v>
      </c>
      <c r="J241" t="s">
        <v>43</v>
      </c>
      <c r="K241" t="b">
        <v>0</v>
      </c>
      <c r="L241">
        <v>1969</v>
      </c>
      <c r="M241">
        <v>6634317346</v>
      </c>
      <c r="N241">
        <v>3651622668</v>
      </c>
      <c r="O241" t="b">
        <v>0</v>
      </c>
      <c r="P241">
        <v>1</v>
      </c>
      <c r="Q241" t="str" cm="1">
        <f t="array" ref="Q241">_xlfn.IFS(Table1[[#This Row],[Wealthier_Winner]]=-1,"Wealthier Nation Loses",Table1[[#This Row],[Wealthier_Winner]]=0,"Tie",Table1[[#This Row],[Wealthier_Winner]]=1,"Wealthier Nation Wins")</f>
        <v>Wealthier Nation Wins</v>
      </c>
    </row>
    <row r="242" spans="1:17" x14ac:dyDescent="0.2">
      <c r="A242" s="1">
        <v>794</v>
      </c>
      <c r="B242" s="2">
        <v>25530</v>
      </c>
      <c r="C242" s="7">
        <f>_xlfn.FLOOR.MATH(Table1[[#This Row],[year]],10)</f>
        <v>1960</v>
      </c>
      <c r="D242" t="s">
        <v>298</v>
      </c>
      <c r="E242" t="s">
        <v>28</v>
      </c>
      <c r="F242">
        <v>1</v>
      </c>
      <c r="G242">
        <v>1</v>
      </c>
      <c r="H242" t="s">
        <v>224</v>
      </c>
      <c r="I242" t="s">
        <v>299</v>
      </c>
      <c r="J242" t="s">
        <v>300</v>
      </c>
      <c r="K242" t="b">
        <v>1</v>
      </c>
      <c r="L242">
        <v>1969</v>
      </c>
      <c r="M242">
        <v>1748891294</v>
      </c>
      <c r="N242">
        <v>36738245878</v>
      </c>
      <c r="O242" t="b">
        <v>1</v>
      </c>
      <c r="P242">
        <v>0</v>
      </c>
      <c r="Q242" t="str" cm="1">
        <f t="array" ref="Q242">_xlfn.IFS(Table1[[#This Row],[Wealthier_Winner]]=-1,"Wealthier Nation Loses",Table1[[#This Row],[Wealthier_Winner]]=0,"Tie",Table1[[#This Row],[Wealthier_Winner]]=1,"Wealthier Nation Wins")</f>
        <v>Tie</v>
      </c>
    </row>
    <row r="243" spans="1:17" x14ac:dyDescent="0.2">
      <c r="A243" s="1">
        <v>795</v>
      </c>
      <c r="B243" s="2">
        <v>25534</v>
      </c>
      <c r="C243" s="7">
        <f>_xlfn.FLOOR.MATH(Table1[[#This Row],[year]],10)</f>
        <v>1960</v>
      </c>
      <c r="D243" t="s">
        <v>28</v>
      </c>
      <c r="E243" t="s">
        <v>298</v>
      </c>
      <c r="F243">
        <v>0</v>
      </c>
      <c r="G243">
        <v>0</v>
      </c>
      <c r="H243" t="s">
        <v>224</v>
      </c>
      <c r="I243" t="s">
        <v>299</v>
      </c>
      <c r="J243" t="s">
        <v>300</v>
      </c>
      <c r="K243" t="b">
        <v>1</v>
      </c>
      <c r="L243">
        <v>1969</v>
      </c>
      <c r="M243">
        <v>36738245878</v>
      </c>
      <c r="N243">
        <v>1748891294</v>
      </c>
      <c r="O243" t="b">
        <v>1</v>
      </c>
      <c r="P243">
        <v>0</v>
      </c>
      <c r="Q243" t="str" cm="1">
        <f t="array" ref="Q243">_xlfn.IFS(Table1[[#This Row],[Wealthier_Winner]]=-1,"Wealthier Nation Loses",Table1[[#This Row],[Wealthier_Winner]]=0,"Tie",Table1[[#This Row],[Wealthier_Winner]]=1,"Wealthier Nation Wins")</f>
        <v>Tie</v>
      </c>
    </row>
    <row r="244" spans="1:17" x14ac:dyDescent="0.2">
      <c r="A244" s="1">
        <v>796</v>
      </c>
      <c r="B244" s="2">
        <v>25536</v>
      </c>
      <c r="C244" s="7">
        <f>_xlfn.FLOOR.MATH(Table1[[#This Row],[year]],10)</f>
        <v>1960</v>
      </c>
      <c r="D244" t="s">
        <v>298</v>
      </c>
      <c r="E244" t="s">
        <v>28</v>
      </c>
      <c r="F244">
        <v>1</v>
      </c>
      <c r="G244">
        <v>3</v>
      </c>
      <c r="H244" t="s">
        <v>224</v>
      </c>
      <c r="I244" t="s">
        <v>299</v>
      </c>
      <c r="J244" t="s">
        <v>300</v>
      </c>
      <c r="K244" t="b">
        <v>1</v>
      </c>
      <c r="L244">
        <v>1969</v>
      </c>
      <c r="M244">
        <v>1748891294</v>
      </c>
      <c r="N244">
        <v>36738245878</v>
      </c>
      <c r="O244" t="b">
        <v>1</v>
      </c>
      <c r="P244">
        <v>1</v>
      </c>
      <c r="Q244" t="str" cm="1">
        <f t="array" ref="Q244">_xlfn.IFS(Table1[[#This Row],[Wealthier_Winner]]=-1,"Wealthier Nation Loses",Table1[[#This Row],[Wealthier_Winner]]=0,"Tie",Table1[[#This Row],[Wealthier_Winner]]=1,"Wealthier Nation Wins")</f>
        <v>Wealthier Nation Wins</v>
      </c>
    </row>
    <row r="245" spans="1:17" x14ac:dyDescent="0.2">
      <c r="A245" s="1">
        <v>798</v>
      </c>
      <c r="B245" s="2">
        <v>25541</v>
      </c>
      <c r="C245" s="7">
        <f>_xlfn.FLOOR.MATH(Table1[[#This Row],[year]],10)</f>
        <v>1960</v>
      </c>
      <c r="D245" t="s">
        <v>22</v>
      </c>
      <c r="E245" t="s">
        <v>28</v>
      </c>
      <c r="F245">
        <v>1</v>
      </c>
      <c r="G245">
        <v>0</v>
      </c>
      <c r="H245" t="s">
        <v>224</v>
      </c>
      <c r="I245" t="s">
        <v>239</v>
      </c>
      <c r="J245" t="s">
        <v>22</v>
      </c>
      <c r="K245" t="b">
        <v>0</v>
      </c>
      <c r="L245">
        <v>1969</v>
      </c>
      <c r="M245">
        <v>6297852761</v>
      </c>
      <c r="N245">
        <v>36738245878</v>
      </c>
      <c r="O245" t="b">
        <v>1</v>
      </c>
      <c r="P245">
        <v>-1</v>
      </c>
      <c r="Q245" t="str" cm="1">
        <f t="array" ref="Q245">_xlfn.IFS(Table1[[#This Row],[Wealthier_Winner]]=-1,"Wealthier Nation Loses",Table1[[#This Row],[Wealthier_Winner]]=0,"Tie",Table1[[#This Row],[Wealthier_Winner]]=1,"Wealthier Nation Wins")</f>
        <v>Wealthier Nation Loses</v>
      </c>
    </row>
    <row r="246" spans="1:17" x14ac:dyDescent="0.2">
      <c r="A246" s="1">
        <v>800</v>
      </c>
      <c r="B246" s="2">
        <v>25551</v>
      </c>
      <c r="C246" s="7">
        <f>_xlfn.FLOOR.MATH(Table1[[#This Row],[year]],10)</f>
        <v>1960</v>
      </c>
      <c r="D246" t="s">
        <v>28</v>
      </c>
      <c r="E246" t="s">
        <v>22</v>
      </c>
      <c r="F246">
        <v>1</v>
      </c>
      <c r="G246">
        <v>1</v>
      </c>
      <c r="H246" t="s">
        <v>224</v>
      </c>
      <c r="I246" t="s">
        <v>301</v>
      </c>
      <c r="J246" t="s">
        <v>28</v>
      </c>
      <c r="K246" t="b">
        <v>0</v>
      </c>
      <c r="L246">
        <v>1969</v>
      </c>
      <c r="M246">
        <v>36738245878</v>
      </c>
      <c r="N246">
        <v>6297852761</v>
      </c>
      <c r="O246" t="b">
        <v>1</v>
      </c>
      <c r="P246">
        <v>0</v>
      </c>
      <c r="Q246" t="str" cm="1">
        <f t="array" ref="Q246">_xlfn.IFS(Table1[[#This Row],[Wealthier_Winner]]=-1,"Wealthier Nation Loses",Table1[[#This Row],[Wealthier_Winner]]=0,"Tie",Table1[[#This Row],[Wealthier_Winner]]=1,"Wealthier Nation Wins")</f>
        <v>Tie</v>
      </c>
    </row>
    <row r="247" spans="1:17" x14ac:dyDescent="0.2">
      <c r="A247" s="1">
        <v>804</v>
      </c>
      <c r="B247" s="2">
        <v>25721</v>
      </c>
      <c r="C247" s="7">
        <f>_xlfn.FLOOR.MATH(Table1[[#This Row],[year]],10)</f>
        <v>1970</v>
      </c>
      <c r="D247" t="s">
        <v>22</v>
      </c>
      <c r="E247" t="s">
        <v>26</v>
      </c>
      <c r="F247">
        <v>0</v>
      </c>
      <c r="G247">
        <v>2</v>
      </c>
      <c r="H247" t="s">
        <v>74</v>
      </c>
      <c r="I247" t="s">
        <v>82</v>
      </c>
      <c r="J247" t="s">
        <v>17</v>
      </c>
      <c r="K247" t="b">
        <v>1</v>
      </c>
      <c r="L247">
        <v>1970</v>
      </c>
      <c r="M247">
        <v>7406712876</v>
      </c>
      <c r="N247">
        <v>2137096774</v>
      </c>
      <c r="O247" t="b">
        <v>1</v>
      </c>
      <c r="P247">
        <v>-1</v>
      </c>
      <c r="Q247" t="str" cm="1">
        <f t="array" ref="Q247">_xlfn.IFS(Table1[[#This Row],[Wealthier_Winner]]=-1,"Wealthier Nation Loses",Table1[[#This Row],[Wealthier_Winner]]=0,"Tie",Table1[[#This Row],[Wealthier_Winner]]=1,"Wealthier Nation Wins")</f>
        <v>Wealthier Nation Loses</v>
      </c>
    </row>
    <row r="248" spans="1:17" x14ac:dyDescent="0.2">
      <c r="A248" s="1">
        <v>805</v>
      </c>
      <c r="B248" s="2">
        <v>25722</v>
      </c>
      <c r="C248" s="7">
        <f>_xlfn.FLOOR.MATH(Table1[[#This Row],[year]],10)</f>
        <v>1970</v>
      </c>
      <c r="D248" t="s">
        <v>23</v>
      </c>
      <c r="E248" t="s">
        <v>69</v>
      </c>
      <c r="F248">
        <v>3</v>
      </c>
      <c r="G248">
        <v>0</v>
      </c>
      <c r="H248" t="s">
        <v>74</v>
      </c>
      <c r="I248" t="s">
        <v>83</v>
      </c>
      <c r="J248" t="s">
        <v>17</v>
      </c>
      <c r="K248" t="b">
        <v>1</v>
      </c>
      <c r="L248">
        <v>1970</v>
      </c>
      <c r="M248">
        <v>26706196046</v>
      </c>
      <c r="N248">
        <v>1132920000</v>
      </c>
      <c r="O248" t="b">
        <v>1</v>
      </c>
      <c r="P248">
        <v>1</v>
      </c>
      <c r="Q248" t="str" cm="1">
        <f t="array" ref="Q248">_xlfn.IFS(Table1[[#This Row],[Wealthier_Winner]]=-1,"Wealthier Nation Loses",Table1[[#This Row],[Wealthier_Winner]]=0,"Tie",Table1[[#This Row],[Wealthier_Winner]]=1,"Wealthier Nation Wins")</f>
        <v>Wealthier Nation Wins</v>
      </c>
    </row>
    <row r="249" spans="1:17" x14ac:dyDescent="0.2">
      <c r="A249" s="1">
        <v>807</v>
      </c>
      <c r="B249" s="2">
        <v>25722</v>
      </c>
      <c r="C249" s="7">
        <f>_xlfn.FLOOR.MATH(Table1[[#This Row],[year]],10)</f>
        <v>1970</v>
      </c>
      <c r="D249" t="s">
        <v>16</v>
      </c>
      <c r="E249" t="s">
        <v>24</v>
      </c>
      <c r="F249">
        <v>2</v>
      </c>
      <c r="G249">
        <v>1</v>
      </c>
      <c r="H249" t="s">
        <v>74</v>
      </c>
      <c r="I249" t="s">
        <v>302</v>
      </c>
      <c r="J249" t="s">
        <v>17</v>
      </c>
      <c r="K249" t="b">
        <v>1</v>
      </c>
      <c r="L249">
        <v>1970</v>
      </c>
      <c r="M249">
        <v>216629229947</v>
      </c>
      <c r="N249">
        <v>3956336244</v>
      </c>
      <c r="O249" t="b">
        <v>1</v>
      </c>
      <c r="P249">
        <v>1</v>
      </c>
      <c r="Q249" t="str" cm="1">
        <f t="array" ref="Q249">_xlfn.IFS(Table1[[#This Row],[Wealthier_Winner]]=-1,"Wealthier Nation Loses",Table1[[#This Row],[Wealthier_Winner]]=0,"Tie",Table1[[#This Row],[Wealthier_Winner]]=1,"Wealthier Nation Wins")</f>
        <v>Wealthier Nation Wins</v>
      </c>
    </row>
    <row r="250" spans="1:17" x14ac:dyDescent="0.2">
      <c r="A250" s="1">
        <v>808</v>
      </c>
      <c r="B250" s="2">
        <v>25722</v>
      </c>
      <c r="C250" s="7">
        <f>_xlfn.FLOOR.MATH(Table1[[#This Row],[year]],10)</f>
        <v>1970</v>
      </c>
      <c r="D250" t="s">
        <v>18</v>
      </c>
      <c r="E250" t="s">
        <v>25</v>
      </c>
      <c r="F250">
        <v>1</v>
      </c>
      <c r="G250">
        <v>0</v>
      </c>
      <c r="H250" t="s">
        <v>74</v>
      </c>
      <c r="I250" t="s">
        <v>84</v>
      </c>
      <c r="J250" t="s">
        <v>17</v>
      </c>
      <c r="K250" t="b">
        <v>1</v>
      </c>
      <c r="L250">
        <v>1970</v>
      </c>
      <c r="M250">
        <v>113656669764</v>
      </c>
      <c r="N250">
        <v>38037226668</v>
      </c>
      <c r="O250" t="b">
        <v>1</v>
      </c>
      <c r="P250">
        <v>1</v>
      </c>
      <c r="Q250" t="str" cm="1">
        <f t="array" ref="Q250">_xlfn.IFS(Table1[[#This Row],[Wealthier_Winner]]=-1,"Wealthier Nation Loses",Table1[[#This Row],[Wealthier_Winner]]=0,"Tie",Table1[[#This Row],[Wealthier_Winner]]=1,"Wealthier Nation Wins")</f>
        <v>Wealthier Nation Wins</v>
      </c>
    </row>
    <row r="251" spans="1:17" x14ac:dyDescent="0.2">
      <c r="A251" s="1">
        <v>811</v>
      </c>
      <c r="B251" s="2">
        <v>25725</v>
      </c>
      <c r="C251" s="7">
        <f>_xlfn.FLOOR.MATH(Table1[[#This Row],[year]],10)</f>
        <v>1970</v>
      </c>
      <c r="D251" t="s">
        <v>18</v>
      </c>
      <c r="E251" t="s">
        <v>26</v>
      </c>
      <c r="F251">
        <v>0</v>
      </c>
      <c r="G251">
        <v>0</v>
      </c>
      <c r="H251" t="s">
        <v>74</v>
      </c>
      <c r="I251" t="s">
        <v>82</v>
      </c>
      <c r="J251" t="s">
        <v>17</v>
      </c>
      <c r="K251" t="b">
        <v>1</v>
      </c>
      <c r="L251">
        <v>1970</v>
      </c>
      <c r="M251">
        <v>113656669764</v>
      </c>
      <c r="N251">
        <v>2137096774</v>
      </c>
      <c r="O251" t="b">
        <v>1</v>
      </c>
      <c r="P251">
        <v>0</v>
      </c>
      <c r="Q251" t="str" cm="1">
        <f t="array" ref="Q251">_xlfn.IFS(Table1[[#This Row],[Wealthier_Winner]]=-1,"Wealthier Nation Loses",Table1[[#This Row],[Wealthier_Winner]]=0,"Tie",Table1[[#This Row],[Wealthier_Winner]]=1,"Wealthier Nation Wins")</f>
        <v>Tie</v>
      </c>
    </row>
    <row r="252" spans="1:17" x14ac:dyDescent="0.2">
      <c r="A252" s="1">
        <v>812</v>
      </c>
      <c r="B252" s="2">
        <v>25725</v>
      </c>
      <c r="C252" s="7">
        <f>_xlfn.FLOOR.MATH(Table1[[#This Row],[year]],10)</f>
        <v>1970</v>
      </c>
      <c r="D252" t="s">
        <v>24</v>
      </c>
      <c r="E252" t="s">
        <v>31</v>
      </c>
      <c r="F252">
        <v>0</v>
      </c>
      <c r="G252">
        <v>3</v>
      </c>
      <c r="H252" t="s">
        <v>74</v>
      </c>
      <c r="I252" t="s">
        <v>302</v>
      </c>
      <c r="J252" t="s">
        <v>17</v>
      </c>
      <c r="K252" t="b">
        <v>1</v>
      </c>
      <c r="L252">
        <v>1970</v>
      </c>
      <c r="M252">
        <v>3956336244</v>
      </c>
      <c r="N252">
        <v>7432223176</v>
      </c>
      <c r="O252" t="b">
        <v>0</v>
      </c>
      <c r="P252">
        <v>1</v>
      </c>
      <c r="Q252" t="str" cm="1">
        <f t="array" ref="Q252">_xlfn.IFS(Table1[[#This Row],[Wealthier_Winner]]=-1,"Wealthier Nation Loses",Table1[[#This Row],[Wealthier_Winner]]=0,"Tie",Table1[[#This Row],[Wealthier_Winner]]=1,"Wealthier Nation Wins")</f>
        <v>Wealthier Nation Wins</v>
      </c>
    </row>
    <row r="253" spans="1:17" x14ac:dyDescent="0.2">
      <c r="A253" s="1">
        <v>813</v>
      </c>
      <c r="B253" s="2">
        <v>25726</v>
      </c>
      <c r="C253" s="7">
        <f>_xlfn.FLOOR.MATH(Table1[[#This Row],[year]],10)</f>
        <v>1970</v>
      </c>
      <c r="D253" t="s">
        <v>13</v>
      </c>
      <c r="E253" t="s">
        <v>194</v>
      </c>
      <c r="F253">
        <v>1</v>
      </c>
      <c r="G253">
        <v>0</v>
      </c>
      <c r="H253" t="s">
        <v>74</v>
      </c>
      <c r="I253" t="s">
        <v>85</v>
      </c>
      <c r="J253" t="s">
        <v>17</v>
      </c>
      <c r="K253" t="b">
        <v>1</v>
      </c>
      <c r="L253">
        <v>1970</v>
      </c>
      <c r="M253">
        <v>42327664793</v>
      </c>
      <c r="N253">
        <v>130671946244</v>
      </c>
      <c r="O253" t="b">
        <v>1</v>
      </c>
      <c r="P253">
        <v>-1</v>
      </c>
      <c r="Q253" t="str" cm="1">
        <f t="array" ref="Q253">_xlfn.IFS(Table1[[#This Row],[Wealthier_Winner]]=-1,"Wealthier Nation Loses",Table1[[#This Row],[Wealthier_Winner]]=0,"Tie",Table1[[#This Row],[Wealthier_Winner]]=1,"Wealthier Nation Wins")</f>
        <v>Wealthier Nation Loses</v>
      </c>
    </row>
    <row r="254" spans="1:17" x14ac:dyDescent="0.2">
      <c r="A254" s="1">
        <v>815</v>
      </c>
      <c r="B254" s="2">
        <v>25726</v>
      </c>
      <c r="C254" s="7">
        <f>_xlfn.FLOOR.MATH(Table1[[#This Row],[year]],10)</f>
        <v>1970</v>
      </c>
      <c r="D254" t="s">
        <v>22</v>
      </c>
      <c r="E254" t="s">
        <v>25</v>
      </c>
      <c r="F254">
        <v>1</v>
      </c>
      <c r="G254">
        <v>1</v>
      </c>
      <c r="H254" t="s">
        <v>74</v>
      </c>
      <c r="I254" t="s">
        <v>84</v>
      </c>
      <c r="J254" t="s">
        <v>17</v>
      </c>
      <c r="K254" t="b">
        <v>1</v>
      </c>
      <c r="L254">
        <v>1970</v>
      </c>
      <c r="M254">
        <v>7406712876</v>
      </c>
      <c r="N254">
        <v>38037226668</v>
      </c>
      <c r="O254" t="b">
        <v>1</v>
      </c>
      <c r="P254">
        <v>0</v>
      </c>
      <c r="Q254" t="str" cm="1">
        <f t="array" ref="Q254">_xlfn.IFS(Table1[[#This Row],[Wealthier_Winner]]=-1,"Wealthier Nation Loses",Table1[[#This Row],[Wealthier_Winner]]=0,"Tie",Table1[[#This Row],[Wealthier_Winner]]=1,"Wealthier Nation Wins")</f>
        <v>Tie</v>
      </c>
    </row>
    <row r="255" spans="1:17" x14ac:dyDescent="0.2">
      <c r="A255" s="1">
        <v>816</v>
      </c>
      <c r="B255" s="2">
        <v>25726</v>
      </c>
      <c r="C255" s="7">
        <f>_xlfn.FLOOR.MATH(Table1[[#This Row],[year]],10)</f>
        <v>1970</v>
      </c>
      <c r="D255" t="s">
        <v>17</v>
      </c>
      <c r="E255" t="s">
        <v>69</v>
      </c>
      <c r="F255">
        <v>4</v>
      </c>
      <c r="G255">
        <v>0</v>
      </c>
      <c r="H255" t="s">
        <v>74</v>
      </c>
      <c r="I255" t="s">
        <v>83</v>
      </c>
      <c r="J255" t="s">
        <v>17</v>
      </c>
      <c r="K255" t="b">
        <v>0</v>
      </c>
      <c r="L255">
        <v>1970</v>
      </c>
      <c r="M255">
        <v>35520000000</v>
      </c>
      <c r="N255">
        <v>1132920000</v>
      </c>
      <c r="O255" t="b">
        <v>1</v>
      </c>
      <c r="P255">
        <v>1</v>
      </c>
      <c r="Q255" t="str" cm="1">
        <f t="array" ref="Q255">_xlfn.IFS(Table1[[#This Row],[Wealthier_Winner]]=-1,"Wealthier Nation Loses",Table1[[#This Row],[Wealthier_Winner]]=0,"Tie",Table1[[#This Row],[Wealthier_Winner]]=1,"Wealthier Nation Wins")</f>
        <v>Wealthier Nation Wins</v>
      </c>
    </row>
    <row r="256" spans="1:17" x14ac:dyDescent="0.2">
      <c r="A256" s="1">
        <v>819</v>
      </c>
      <c r="B256" s="2">
        <v>25729</v>
      </c>
      <c r="C256" s="7">
        <f>_xlfn.FLOOR.MATH(Table1[[#This Row],[year]],10)</f>
        <v>1970</v>
      </c>
      <c r="D256" t="s">
        <v>16</v>
      </c>
      <c r="E256" t="s">
        <v>31</v>
      </c>
      <c r="F256">
        <v>3</v>
      </c>
      <c r="G256">
        <v>1</v>
      </c>
      <c r="H256" t="s">
        <v>74</v>
      </c>
      <c r="I256" t="s">
        <v>302</v>
      </c>
      <c r="J256" t="s">
        <v>17</v>
      </c>
      <c r="K256" t="b">
        <v>1</v>
      </c>
      <c r="L256">
        <v>1970</v>
      </c>
      <c r="M256">
        <v>216629229947</v>
      </c>
      <c r="N256">
        <v>7432223176</v>
      </c>
      <c r="O256" t="b">
        <v>1</v>
      </c>
      <c r="P256">
        <v>1</v>
      </c>
      <c r="Q256" t="str" cm="1">
        <f t="array" ref="Q256">_xlfn.IFS(Table1[[#This Row],[Wealthier_Winner]]=-1,"Wealthier Nation Loses",Table1[[#This Row],[Wealthier_Winner]]=0,"Tie",Table1[[#This Row],[Wealthier_Winner]]=1,"Wealthier Nation Wins")</f>
        <v>Wealthier Nation Wins</v>
      </c>
    </row>
    <row r="257" spans="1:17" x14ac:dyDescent="0.2">
      <c r="A257" s="1">
        <v>820</v>
      </c>
      <c r="B257" s="2">
        <v>25729</v>
      </c>
      <c r="C257" s="7">
        <f>_xlfn.FLOOR.MATH(Table1[[#This Row],[year]],10)</f>
        <v>1970</v>
      </c>
      <c r="D257" t="s">
        <v>25</v>
      </c>
      <c r="E257" t="s">
        <v>26</v>
      </c>
      <c r="F257">
        <v>1</v>
      </c>
      <c r="G257">
        <v>0</v>
      </c>
      <c r="H257" t="s">
        <v>74</v>
      </c>
      <c r="I257" t="s">
        <v>82</v>
      </c>
      <c r="J257" t="s">
        <v>17</v>
      </c>
      <c r="K257" t="b">
        <v>1</v>
      </c>
      <c r="L257">
        <v>1970</v>
      </c>
      <c r="M257">
        <v>38037226668</v>
      </c>
      <c r="N257">
        <v>2137096774</v>
      </c>
      <c r="O257" t="b">
        <v>1</v>
      </c>
      <c r="P257">
        <v>1</v>
      </c>
      <c r="Q257" t="str" cm="1">
        <f t="array" ref="Q257">_xlfn.IFS(Table1[[#This Row],[Wealthier_Winner]]=-1,"Wealthier Nation Loses",Table1[[#This Row],[Wealthier_Winner]]=0,"Tie",Table1[[#This Row],[Wealthier_Winner]]=1,"Wealthier Nation Wins")</f>
        <v>Wealthier Nation Wins</v>
      </c>
    </row>
    <row r="258" spans="1:17" x14ac:dyDescent="0.2">
      <c r="A258" s="1">
        <v>823</v>
      </c>
      <c r="B258" s="2">
        <v>25730</v>
      </c>
      <c r="C258" s="7">
        <f>_xlfn.FLOOR.MATH(Table1[[#This Row],[year]],10)</f>
        <v>1970</v>
      </c>
      <c r="D258" t="s">
        <v>22</v>
      </c>
      <c r="E258" t="s">
        <v>18</v>
      </c>
      <c r="F258">
        <v>0</v>
      </c>
      <c r="G258">
        <v>0</v>
      </c>
      <c r="H258" t="s">
        <v>74</v>
      </c>
      <c r="I258" t="s">
        <v>84</v>
      </c>
      <c r="J258" t="s">
        <v>17</v>
      </c>
      <c r="K258" t="b">
        <v>1</v>
      </c>
      <c r="L258">
        <v>1970</v>
      </c>
      <c r="M258">
        <v>7406712876</v>
      </c>
      <c r="N258">
        <v>113656669764</v>
      </c>
      <c r="O258" t="b">
        <v>1</v>
      </c>
      <c r="P258">
        <v>0</v>
      </c>
      <c r="Q258" t="str" cm="1">
        <f t="array" ref="Q258">_xlfn.IFS(Table1[[#This Row],[Wealthier_Winner]]=-1,"Wealthier Nation Loses",Table1[[#This Row],[Wealthier_Winner]]=0,"Tie",Table1[[#This Row],[Wealthier_Winner]]=1,"Wealthier Nation Wins")</f>
        <v>Tie</v>
      </c>
    </row>
    <row r="259" spans="1:17" x14ac:dyDescent="0.2">
      <c r="A259" s="1">
        <v>824</v>
      </c>
      <c r="B259" s="2">
        <v>25730</v>
      </c>
      <c r="C259" s="7">
        <f>_xlfn.FLOOR.MATH(Table1[[#This Row],[year]],10)</f>
        <v>1970</v>
      </c>
      <c r="D259" t="s">
        <v>17</v>
      </c>
      <c r="E259" t="s">
        <v>23</v>
      </c>
      <c r="F259">
        <v>1</v>
      </c>
      <c r="G259">
        <v>0</v>
      </c>
      <c r="H259" t="s">
        <v>74</v>
      </c>
      <c r="I259" t="s">
        <v>83</v>
      </c>
      <c r="J259" t="s">
        <v>17</v>
      </c>
      <c r="K259" t="b">
        <v>0</v>
      </c>
      <c r="L259">
        <v>1970</v>
      </c>
      <c r="M259">
        <v>35520000000</v>
      </c>
      <c r="N259">
        <v>26706196046</v>
      </c>
      <c r="O259" t="b">
        <v>0</v>
      </c>
      <c r="P259">
        <v>1</v>
      </c>
      <c r="Q259" t="str" cm="1">
        <f t="array" ref="Q259">_xlfn.IFS(Table1[[#This Row],[Wealthier_Winner]]=-1,"Wealthier Nation Loses",Table1[[#This Row],[Wealthier_Winner]]=0,"Tie",Table1[[#This Row],[Wealthier_Winner]]=1,"Wealthier Nation Wins")</f>
        <v>Wealthier Nation Wins</v>
      </c>
    </row>
    <row r="260" spans="1:17" x14ac:dyDescent="0.2">
      <c r="A260" s="1">
        <v>825</v>
      </c>
      <c r="B260" s="2">
        <v>25733</v>
      </c>
      <c r="C260" s="7">
        <f>_xlfn.FLOOR.MATH(Table1[[#This Row],[year]],10)</f>
        <v>1970</v>
      </c>
      <c r="D260" t="s">
        <v>13</v>
      </c>
      <c r="E260" t="s">
        <v>31</v>
      </c>
      <c r="F260">
        <v>4</v>
      </c>
      <c r="G260">
        <v>2</v>
      </c>
      <c r="H260" t="s">
        <v>74</v>
      </c>
      <c r="I260" t="s">
        <v>85</v>
      </c>
      <c r="J260" t="s">
        <v>17</v>
      </c>
      <c r="K260" t="b">
        <v>1</v>
      </c>
      <c r="L260">
        <v>1970</v>
      </c>
      <c r="M260">
        <v>42327664793</v>
      </c>
      <c r="N260">
        <v>7432223176</v>
      </c>
      <c r="O260" t="b">
        <v>1</v>
      </c>
      <c r="P260">
        <v>1</v>
      </c>
      <c r="Q260" t="str" cm="1">
        <f t="array" ref="Q260">_xlfn.IFS(Table1[[#This Row],[Wealthier_Winner]]=-1,"Wealthier Nation Loses",Table1[[#This Row],[Wealthier_Winner]]=0,"Tie",Table1[[#This Row],[Wealthier_Winner]]=1,"Wealthier Nation Wins")</f>
        <v>Wealthier Nation Wins</v>
      </c>
    </row>
    <row r="261" spans="1:17" x14ac:dyDescent="0.2">
      <c r="A261" s="1">
        <v>826</v>
      </c>
      <c r="B261" s="2">
        <v>25733</v>
      </c>
      <c r="C261" s="7">
        <f>_xlfn.FLOOR.MATH(Table1[[#This Row],[year]],10)</f>
        <v>1970</v>
      </c>
      <c r="D261" t="s">
        <v>194</v>
      </c>
      <c r="E261" t="s">
        <v>16</v>
      </c>
      <c r="F261">
        <v>2</v>
      </c>
      <c r="G261">
        <v>3</v>
      </c>
      <c r="H261" t="s">
        <v>74</v>
      </c>
      <c r="I261" t="s">
        <v>302</v>
      </c>
      <c r="J261" t="s">
        <v>17</v>
      </c>
      <c r="K261" t="b">
        <v>1</v>
      </c>
      <c r="L261">
        <v>1970</v>
      </c>
      <c r="M261">
        <v>130671946244</v>
      </c>
      <c r="N261">
        <v>216629229947</v>
      </c>
      <c r="O261" t="b">
        <v>0</v>
      </c>
      <c r="P261">
        <v>1</v>
      </c>
      <c r="Q261" t="str" cm="1">
        <f t="array" ref="Q261">_xlfn.IFS(Table1[[#This Row],[Wealthier_Winner]]=-1,"Wealthier Nation Loses",Table1[[#This Row],[Wealthier_Winner]]=0,"Tie",Table1[[#This Row],[Wealthier_Winner]]=1,"Wealthier Nation Wins")</f>
        <v>Wealthier Nation Wins</v>
      </c>
    </row>
    <row r="262" spans="1:17" x14ac:dyDescent="0.2">
      <c r="A262" s="1">
        <v>827</v>
      </c>
      <c r="B262" s="2">
        <v>25733</v>
      </c>
      <c r="C262" s="7">
        <f>_xlfn.FLOOR.MATH(Table1[[#This Row],[year]],10)</f>
        <v>1970</v>
      </c>
      <c r="D262" t="s">
        <v>17</v>
      </c>
      <c r="E262" t="s">
        <v>18</v>
      </c>
      <c r="F262">
        <v>1</v>
      </c>
      <c r="G262">
        <v>4</v>
      </c>
      <c r="H262" t="s">
        <v>74</v>
      </c>
      <c r="I262" t="s">
        <v>84</v>
      </c>
      <c r="J262" t="s">
        <v>17</v>
      </c>
      <c r="K262" t="b">
        <v>0</v>
      </c>
      <c r="L262">
        <v>1970</v>
      </c>
      <c r="M262">
        <v>35520000000</v>
      </c>
      <c r="N262">
        <v>113656669764</v>
      </c>
      <c r="O262" t="b">
        <v>1</v>
      </c>
      <c r="P262">
        <v>1</v>
      </c>
      <c r="Q262" t="str" cm="1">
        <f t="array" ref="Q262">_xlfn.IFS(Table1[[#This Row],[Wealthier_Winner]]=-1,"Wealthier Nation Loses",Table1[[#This Row],[Wealthier_Winner]]=0,"Tie",Table1[[#This Row],[Wealthier_Winner]]=1,"Wealthier Nation Wins")</f>
        <v>Wealthier Nation Wins</v>
      </c>
    </row>
    <row r="263" spans="1:17" x14ac:dyDescent="0.2">
      <c r="A263" s="1">
        <v>829</v>
      </c>
      <c r="B263" s="2">
        <v>25736</v>
      </c>
      <c r="C263" s="7">
        <f>_xlfn.FLOOR.MATH(Table1[[#This Row],[year]],10)</f>
        <v>1970</v>
      </c>
      <c r="D263" t="s">
        <v>13</v>
      </c>
      <c r="E263" t="s">
        <v>26</v>
      </c>
      <c r="F263">
        <v>3</v>
      </c>
      <c r="G263">
        <v>1</v>
      </c>
      <c r="H263" t="s">
        <v>74</v>
      </c>
      <c r="I263" t="s">
        <v>85</v>
      </c>
      <c r="J263" t="s">
        <v>17</v>
      </c>
      <c r="K263" t="b">
        <v>1</v>
      </c>
      <c r="L263">
        <v>1970</v>
      </c>
      <c r="M263">
        <v>42327664793</v>
      </c>
      <c r="N263">
        <v>2137096774</v>
      </c>
      <c r="O263" t="b">
        <v>1</v>
      </c>
      <c r="P263">
        <v>1</v>
      </c>
      <c r="Q263" t="str" cm="1">
        <f t="array" ref="Q263">_xlfn.IFS(Table1[[#This Row],[Wealthier_Winner]]=-1,"Wealthier Nation Loses",Table1[[#This Row],[Wealthier_Winner]]=0,"Tie",Table1[[#This Row],[Wealthier_Winner]]=1,"Wealthier Nation Wins")</f>
        <v>Wealthier Nation Wins</v>
      </c>
    </row>
    <row r="264" spans="1:17" x14ac:dyDescent="0.2">
      <c r="A264" s="1">
        <v>830</v>
      </c>
      <c r="B264" s="2">
        <v>25736</v>
      </c>
      <c r="C264" s="7">
        <f>_xlfn.FLOOR.MATH(Table1[[#This Row],[year]],10)</f>
        <v>1970</v>
      </c>
      <c r="D264" t="s">
        <v>16</v>
      </c>
      <c r="E264" t="s">
        <v>18</v>
      </c>
      <c r="F264">
        <v>3</v>
      </c>
      <c r="G264">
        <v>4</v>
      </c>
      <c r="H264" t="s">
        <v>74</v>
      </c>
      <c r="I264" t="s">
        <v>83</v>
      </c>
      <c r="J264" t="s">
        <v>17</v>
      </c>
      <c r="K264" t="b">
        <v>1</v>
      </c>
      <c r="L264">
        <v>1970</v>
      </c>
      <c r="M264">
        <v>216629229947</v>
      </c>
      <c r="N264">
        <v>113656669764</v>
      </c>
      <c r="O264" t="b">
        <v>0</v>
      </c>
      <c r="P264">
        <v>-1</v>
      </c>
      <c r="Q264" t="str" cm="1">
        <f t="array" ref="Q264">_xlfn.IFS(Table1[[#This Row],[Wealthier_Winner]]=-1,"Wealthier Nation Loses",Table1[[#This Row],[Wealthier_Winner]]=0,"Tie",Table1[[#This Row],[Wealthier_Winner]]=1,"Wealthier Nation Wins")</f>
        <v>Wealthier Nation Loses</v>
      </c>
    </row>
    <row r="265" spans="1:17" x14ac:dyDescent="0.2">
      <c r="A265" s="1">
        <v>831</v>
      </c>
      <c r="B265" s="2">
        <v>25739</v>
      </c>
      <c r="C265" s="7">
        <f>_xlfn.FLOOR.MATH(Table1[[#This Row],[year]],10)</f>
        <v>1970</v>
      </c>
      <c r="D265" t="s">
        <v>16</v>
      </c>
      <c r="E265" t="s">
        <v>26</v>
      </c>
      <c r="F265">
        <v>1</v>
      </c>
      <c r="G265">
        <v>0</v>
      </c>
      <c r="H265" t="s">
        <v>74</v>
      </c>
      <c r="I265" t="s">
        <v>83</v>
      </c>
      <c r="J265" t="s">
        <v>17</v>
      </c>
      <c r="K265" t="b">
        <v>1</v>
      </c>
      <c r="L265">
        <v>1970</v>
      </c>
      <c r="M265">
        <v>216629229947</v>
      </c>
      <c r="N265">
        <v>2137096774</v>
      </c>
      <c r="O265" t="b">
        <v>1</v>
      </c>
      <c r="P265">
        <v>1</v>
      </c>
      <c r="Q265" t="str" cm="1">
        <f t="array" ref="Q265">_xlfn.IFS(Table1[[#This Row],[Wealthier_Winner]]=-1,"Wealthier Nation Loses",Table1[[#This Row],[Wealthier_Winner]]=0,"Tie",Table1[[#This Row],[Wealthier_Winner]]=1,"Wealthier Nation Wins")</f>
        <v>Wealthier Nation Wins</v>
      </c>
    </row>
    <row r="266" spans="1:17" x14ac:dyDescent="0.2">
      <c r="A266" s="1">
        <v>832</v>
      </c>
      <c r="B266" s="2">
        <v>25740</v>
      </c>
      <c r="C266" s="7">
        <f>_xlfn.FLOOR.MATH(Table1[[#This Row],[year]],10)</f>
        <v>1970</v>
      </c>
      <c r="D266" t="s">
        <v>13</v>
      </c>
      <c r="E266" t="s">
        <v>18</v>
      </c>
      <c r="F266">
        <v>4</v>
      </c>
      <c r="G266">
        <v>1</v>
      </c>
      <c r="H266" t="s">
        <v>74</v>
      </c>
      <c r="I266" t="s">
        <v>83</v>
      </c>
      <c r="J266" t="s">
        <v>17</v>
      </c>
      <c r="K266" t="b">
        <v>1</v>
      </c>
      <c r="L266">
        <v>1970</v>
      </c>
      <c r="M266">
        <v>42327664793</v>
      </c>
      <c r="N266">
        <v>113656669764</v>
      </c>
      <c r="O266" t="b">
        <v>1</v>
      </c>
      <c r="P266">
        <v>-1</v>
      </c>
      <c r="Q266" t="str" cm="1">
        <f t="array" ref="Q266">_xlfn.IFS(Table1[[#This Row],[Wealthier_Winner]]=-1,"Wealthier Nation Loses",Table1[[#This Row],[Wealthier_Winner]]=0,"Tie",Table1[[#This Row],[Wealthier_Winner]]=1,"Wealthier Nation Wins")</f>
        <v>Wealthier Nation Loses</v>
      </c>
    </row>
    <row r="267" spans="1:17" x14ac:dyDescent="0.2">
      <c r="A267" s="1">
        <v>833</v>
      </c>
      <c r="B267" s="2">
        <v>26251</v>
      </c>
      <c r="C267" s="7">
        <f>_xlfn.FLOOR.MATH(Table1[[#This Row],[year]],10)</f>
        <v>1970</v>
      </c>
      <c r="D267" t="s">
        <v>303</v>
      </c>
      <c r="E267" t="s">
        <v>30</v>
      </c>
      <c r="F267">
        <v>0</v>
      </c>
      <c r="G267">
        <v>2</v>
      </c>
      <c r="H267" t="s">
        <v>224</v>
      </c>
      <c r="I267" t="s">
        <v>304</v>
      </c>
      <c r="J267" t="s">
        <v>303</v>
      </c>
      <c r="K267" t="b">
        <v>0</v>
      </c>
      <c r="L267">
        <v>1971</v>
      </c>
      <c r="M267">
        <v>264578484</v>
      </c>
      <c r="N267">
        <v>6291568220</v>
      </c>
      <c r="O267" t="b">
        <v>1</v>
      </c>
      <c r="P267">
        <v>1</v>
      </c>
      <c r="Q267" t="str" cm="1">
        <f t="array" ref="Q267">_xlfn.IFS(Table1[[#This Row],[Wealthier_Winner]]=-1,"Wealthier Nation Loses",Table1[[#This Row],[Wealthier_Winner]]=0,"Tie",Table1[[#This Row],[Wealthier_Winner]]=1,"Wealthier Nation Wins")</f>
        <v>Wealthier Nation Wins</v>
      </c>
    </row>
    <row r="268" spans="1:17" x14ac:dyDescent="0.2">
      <c r="A268" s="1">
        <v>834</v>
      </c>
      <c r="B268" s="2">
        <v>26360</v>
      </c>
      <c r="C268" s="7">
        <f>_xlfn.FLOOR.MATH(Table1[[#This Row],[year]],10)</f>
        <v>1970</v>
      </c>
      <c r="D268" t="s">
        <v>32</v>
      </c>
      <c r="E268" t="s">
        <v>305</v>
      </c>
      <c r="F268">
        <v>1</v>
      </c>
      <c r="G268">
        <v>0</v>
      </c>
      <c r="H268" t="s">
        <v>224</v>
      </c>
      <c r="I268" t="s">
        <v>279</v>
      </c>
      <c r="J268" t="s">
        <v>32</v>
      </c>
      <c r="K268" t="b">
        <v>0</v>
      </c>
      <c r="L268">
        <v>1972</v>
      </c>
      <c r="M268">
        <v>6766743956</v>
      </c>
      <c r="N268">
        <v>4203069035</v>
      </c>
      <c r="O268" t="b">
        <v>0</v>
      </c>
      <c r="P268">
        <v>1</v>
      </c>
      <c r="Q268" t="str" cm="1">
        <f t="array" ref="Q268">_xlfn.IFS(Table1[[#This Row],[Wealthier_Winner]]=-1,"Wealthier Nation Loses",Table1[[#This Row],[Wealthier_Winner]]=0,"Tie",Table1[[#This Row],[Wealthier_Winner]]=1,"Wealthier Nation Wins")</f>
        <v>Wealthier Nation Wins</v>
      </c>
    </row>
    <row r="269" spans="1:17" x14ac:dyDescent="0.2">
      <c r="A269" s="1">
        <v>835</v>
      </c>
      <c r="B269" s="2">
        <v>26370</v>
      </c>
      <c r="C269" s="7">
        <f>_xlfn.FLOOR.MATH(Table1[[#This Row],[year]],10)</f>
        <v>1970</v>
      </c>
      <c r="D269" t="s">
        <v>305</v>
      </c>
      <c r="E269" t="s">
        <v>32</v>
      </c>
      <c r="F269">
        <v>5</v>
      </c>
      <c r="G269">
        <v>1</v>
      </c>
      <c r="H269" t="s">
        <v>224</v>
      </c>
      <c r="I269" t="s">
        <v>306</v>
      </c>
      <c r="J269" t="s">
        <v>305</v>
      </c>
      <c r="K269" t="b">
        <v>0</v>
      </c>
      <c r="L269">
        <v>1972</v>
      </c>
      <c r="M269">
        <v>4203069035</v>
      </c>
      <c r="N269">
        <v>6766743956</v>
      </c>
      <c r="O269" t="b">
        <v>0</v>
      </c>
      <c r="P269">
        <v>-1</v>
      </c>
      <c r="Q269" t="str" cm="1">
        <f t="array" ref="Q269">_xlfn.IFS(Table1[[#This Row],[Wealthier_Winner]]=-1,"Wealthier Nation Loses",Table1[[#This Row],[Wealthier_Winner]]=0,"Tie",Table1[[#This Row],[Wealthier_Winner]]=1,"Wealthier Nation Wins")</f>
        <v>Wealthier Nation Loses</v>
      </c>
    </row>
    <row r="270" spans="1:17" x14ac:dyDescent="0.2">
      <c r="A270" s="1">
        <v>837</v>
      </c>
      <c r="B270" s="2">
        <v>26419</v>
      </c>
      <c r="C270" s="7">
        <f>_xlfn.FLOOR.MATH(Table1[[#This Row],[year]],10)</f>
        <v>1970</v>
      </c>
      <c r="D270" t="s">
        <v>29</v>
      </c>
      <c r="E270" t="s">
        <v>303</v>
      </c>
      <c r="F270">
        <v>4</v>
      </c>
      <c r="G270">
        <v>0</v>
      </c>
      <c r="H270" t="s">
        <v>224</v>
      </c>
      <c r="I270" t="s">
        <v>270</v>
      </c>
      <c r="J270" t="s">
        <v>29</v>
      </c>
      <c r="K270" t="b">
        <v>0</v>
      </c>
      <c r="L270">
        <v>1972</v>
      </c>
      <c r="M270">
        <v>21973207929</v>
      </c>
      <c r="N270">
        <v>295106628</v>
      </c>
      <c r="O270" t="b">
        <v>1</v>
      </c>
      <c r="P270">
        <v>1</v>
      </c>
      <c r="Q270" t="str" cm="1">
        <f t="array" ref="Q270">_xlfn.IFS(Table1[[#This Row],[Wealthier_Winner]]=-1,"Wealthier Nation Loses",Table1[[#This Row],[Wealthier_Winner]]=0,"Tie",Table1[[#This Row],[Wealthier_Winner]]=1,"Wealthier Nation Wins")</f>
        <v>Wealthier Nation Wins</v>
      </c>
    </row>
    <row r="271" spans="1:17" x14ac:dyDescent="0.2">
      <c r="A271" s="1">
        <v>838</v>
      </c>
      <c r="B271" s="2">
        <v>26419</v>
      </c>
      <c r="C271" s="7">
        <f>_xlfn.FLOOR.MATH(Table1[[#This Row],[year]],10)</f>
        <v>1970</v>
      </c>
      <c r="D271" t="s">
        <v>307</v>
      </c>
      <c r="E271" t="s">
        <v>273</v>
      </c>
      <c r="F271">
        <v>0</v>
      </c>
      <c r="G271">
        <v>0</v>
      </c>
      <c r="H271" t="s">
        <v>224</v>
      </c>
      <c r="I271" t="s">
        <v>308</v>
      </c>
      <c r="J271" t="s">
        <v>307</v>
      </c>
      <c r="K271" t="b">
        <v>0</v>
      </c>
      <c r="L271">
        <v>1972</v>
      </c>
      <c r="M271">
        <v>80913200</v>
      </c>
      <c r="N271">
        <v>1872416680</v>
      </c>
      <c r="O271" t="b">
        <v>1</v>
      </c>
      <c r="P271">
        <v>0</v>
      </c>
      <c r="Q271" t="str" cm="1">
        <f t="array" ref="Q271">_xlfn.IFS(Table1[[#This Row],[Wealthier_Winner]]=-1,"Wealthier Nation Loses",Table1[[#This Row],[Wealthier_Winner]]=0,"Tie",Table1[[#This Row],[Wealthier_Winner]]=1,"Wealthier Nation Wins")</f>
        <v>Tie</v>
      </c>
    </row>
    <row r="272" spans="1:17" x14ac:dyDescent="0.2">
      <c r="A272" s="1">
        <v>839</v>
      </c>
      <c r="B272" s="2">
        <v>26425</v>
      </c>
      <c r="C272" s="7">
        <f>_xlfn.FLOOR.MATH(Table1[[#This Row],[year]],10)</f>
        <v>1970</v>
      </c>
      <c r="D272" t="s">
        <v>30</v>
      </c>
      <c r="E272" t="s">
        <v>303</v>
      </c>
      <c r="F272">
        <v>3</v>
      </c>
      <c r="G272">
        <v>0</v>
      </c>
      <c r="H272" t="s">
        <v>224</v>
      </c>
      <c r="I272" t="s">
        <v>297</v>
      </c>
      <c r="J272" t="s">
        <v>30</v>
      </c>
      <c r="K272" t="b">
        <v>0</v>
      </c>
      <c r="L272">
        <v>1972</v>
      </c>
      <c r="M272">
        <v>7379313742</v>
      </c>
      <c r="N272">
        <v>295106628</v>
      </c>
      <c r="O272" t="b">
        <v>1</v>
      </c>
      <c r="P272">
        <v>1</v>
      </c>
      <c r="Q272" t="str" cm="1">
        <f t="array" ref="Q272">_xlfn.IFS(Table1[[#This Row],[Wealthier_Winner]]=-1,"Wealthier Nation Loses",Table1[[#This Row],[Wealthier_Winner]]=0,"Tie",Table1[[#This Row],[Wealthier_Winner]]=1,"Wealthier Nation Wins")</f>
        <v>Wealthier Nation Wins</v>
      </c>
    </row>
    <row r="273" spans="1:17" x14ac:dyDescent="0.2">
      <c r="A273" s="1">
        <v>841</v>
      </c>
      <c r="B273" s="2">
        <v>26437</v>
      </c>
      <c r="C273" s="7">
        <f>_xlfn.FLOOR.MATH(Table1[[#This Row],[year]],10)</f>
        <v>1970</v>
      </c>
      <c r="D273" t="s">
        <v>23</v>
      </c>
      <c r="E273" t="s">
        <v>66</v>
      </c>
      <c r="F273">
        <v>4</v>
      </c>
      <c r="G273">
        <v>0</v>
      </c>
      <c r="H273" t="s">
        <v>224</v>
      </c>
      <c r="I273" t="s">
        <v>290</v>
      </c>
      <c r="J273" t="s">
        <v>23</v>
      </c>
      <c r="K273" t="b">
        <v>0</v>
      </c>
      <c r="L273">
        <v>1972</v>
      </c>
      <c r="M273">
        <v>37209418018</v>
      </c>
      <c r="N273">
        <v>869002945</v>
      </c>
      <c r="O273" t="b">
        <v>1</v>
      </c>
      <c r="P273">
        <v>1</v>
      </c>
      <c r="Q273" t="str" cm="1">
        <f t="array" ref="Q273">_xlfn.IFS(Table1[[#This Row],[Wealthier_Winner]]=-1,"Wealthier Nation Loses",Table1[[#This Row],[Wealthier_Winner]]=0,"Tie",Table1[[#This Row],[Wealthier_Winner]]=1,"Wealthier Nation Wins")</f>
        <v>Wealthier Nation Wins</v>
      </c>
    </row>
    <row r="274" spans="1:17" x14ac:dyDescent="0.2">
      <c r="A274" s="1">
        <v>842</v>
      </c>
      <c r="B274" s="2">
        <v>26441</v>
      </c>
      <c r="C274" s="7">
        <f>_xlfn.FLOOR.MATH(Table1[[#This Row],[year]],10)</f>
        <v>1970</v>
      </c>
      <c r="D274" t="s">
        <v>23</v>
      </c>
      <c r="E274" t="s">
        <v>66</v>
      </c>
      <c r="F274">
        <v>4</v>
      </c>
      <c r="G274">
        <v>0</v>
      </c>
      <c r="H274" t="s">
        <v>224</v>
      </c>
      <c r="I274" t="s">
        <v>309</v>
      </c>
      <c r="J274" t="s">
        <v>23</v>
      </c>
      <c r="K274" t="b">
        <v>0</v>
      </c>
      <c r="L274">
        <v>1972</v>
      </c>
      <c r="M274">
        <v>37209418018</v>
      </c>
      <c r="N274">
        <v>869002945</v>
      </c>
      <c r="O274" t="b">
        <v>1</v>
      </c>
      <c r="P274">
        <v>1</v>
      </c>
      <c r="Q274" t="str" cm="1">
        <f t="array" ref="Q274">_xlfn.IFS(Table1[[#This Row],[Wealthier_Winner]]=-1,"Wealthier Nation Loses",Table1[[#This Row],[Wealthier_Winner]]=0,"Tie",Table1[[#This Row],[Wealthier_Winner]]=1,"Wealthier Nation Wins")</f>
        <v>Wealthier Nation Wins</v>
      </c>
    </row>
    <row r="275" spans="1:17" x14ac:dyDescent="0.2">
      <c r="A275" s="1">
        <v>843</v>
      </c>
      <c r="B275" s="2">
        <v>26444</v>
      </c>
      <c r="C275" s="7">
        <f>_xlfn.FLOOR.MATH(Table1[[#This Row],[year]],10)</f>
        <v>1970</v>
      </c>
      <c r="D275" t="s">
        <v>25</v>
      </c>
      <c r="E275" t="s">
        <v>30</v>
      </c>
      <c r="F275">
        <v>0</v>
      </c>
      <c r="G275">
        <v>0</v>
      </c>
      <c r="H275" t="s">
        <v>224</v>
      </c>
      <c r="I275" t="s">
        <v>233</v>
      </c>
      <c r="J275" t="s">
        <v>25</v>
      </c>
      <c r="K275" t="b">
        <v>0</v>
      </c>
      <c r="L275">
        <v>1972</v>
      </c>
      <c r="M275">
        <v>48883173399</v>
      </c>
      <c r="N275">
        <v>7379313742</v>
      </c>
      <c r="O275" t="b">
        <v>1</v>
      </c>
      <c r="P275">
        <v>0</v>
      </c>
      <c r="Q275" t="str" cm="1">
        <f t="array" ref="Q275">_xlfn.IFS(Table1[[#This Row],[Wealthier_Winner]]=-1,"Wealthier Nation Loses",Table1[[#This Row],[Wealthier_Winner]]=0,"Tie",Table1[[#This Row],[Wealthier_Winner]]=1,"Wealthier Nation Wins")</f>
        <v>Tie</v>
      </c>
    </row>
    <row r="276" spans="1:17" x14ac:dyDescent="0.2">
      <c r="A276" s="1">
        <v>844</v>
      </c>
      <c r="B276" s="2">
        <v>26454</v>
      </c>
      <c r="C276" s="7">
        <f>_xlfn.FLOOR.MATH(Table1[[#This Row],[year]],10)</f>
        <v>1970</v>
      </c>
      <c r="D276" t="s">
        <v>273</v>
      </c>
      <c r="E276" t="s">
        <v>307</v>
      </c>
      <c r="F276">
        <v>6</v>
      </c>
      <c r="G276">
        <v>1</v>
      </c>
      <c r="H276" t="s">
        <v>224</v>
      </c>
      <c r="I276" t="s">
        <v>275</v>
      </c>
      <c r="J276" t="s">
        <v>273</v>
      </c>
      <c r="K276" t="b">
        <v>0</v>
      </c>
      <c r="L276">
        <v>1972</v>
      </c>
      <c r="M276">
        <v>1872416680</v>
      </c>
      <c r="N276">
        <v>80913200</v>
      </c>
      <c r="O276" t="b">
        <v>1</v>
      </c>
      <c r="P276">
        <v>1</v>
      </c>
      <c r="Q276" t="str" cm="1">
        <f t="array" ref="Q276">_xlfn.IFS(Table1[[#This Row],[Wealthier_Winner]]=-1,"Wealthier Nation Loses",Table1[[#This Row],[Wealthier_Winner]]=0,"Tie",Table1[[#This Row],[Wealthier_Winner]]=1,"Wealthier Nation Wins")</f>
        <v>Wealthier Nation Wins</v>
      </c>
    </row>
    <row r="277" spans="1:17" x14ac:dyDescent="0.2">
      <c r="A277" s="1">
        <v>846</v>
      </c>
      <c r="B277" s="2">
        <v>26460</v>
      </c>
      <c r="C277" s="7">
        <f>_xlfn.FLOOR.MATH(Table1[[#This Row],[year]],10)</f>
        <v>1970</v>
      </c>
      <c r="D277" t="s">
        <v>29</v>
      </c>
      <c r="E277" t="s">
        <v>25</v>
      </c>
      <c r="F277">
        <v>2</v>
      </c>
      <c r="G277">
        <v>0</v>
      </c>
      <c r="H277" t="s">
        <v>224</v>
      </c>
      <c r="I277" t="s">
        <v>270</v>
      </c>
      <c r="J277" t="s">
        <v>29</v>
      </c>
      <c r="K277" t="b">
        <v>0</v>
      </c>
      <c r="L277">
        <v>1972</v>
      </c>
      <c r="M277">
        <v>21973207929</v>
      </c>
      <c r="N277">
        <v>48883173399</v>
      </c>
      <c r="O277" t="b">
        <v>1</v>
      </c>
      <c r="P277">
        <v>-1</v>
      </c>
      <c r="Q277" t="str" cm="1">
        <f t="array" ref="Q277">_xlfn.IFS(Table1[[#This Row],[Wealthier_Winner]]=-1,"Wealthier Nation Loses",Table1[[#This Row],[Wealthier_Winner]]=0,"Tie",Table1[[#This Row],[Wealthier_Winner]]=1,"Wealthier Nation Wins")</f>
        <v>Wealthier Nation Loses</v>
      </c>
    </row>
    <row r="278" spans="1:17" x14ac:dyDescent="0.2">
      <c r="A278" s="1">
        <v>847</v>
      </c>
      <c r="B278" s="2">
        <v>26468</v>
      </c>
      <c r="C278" s="7">
        <f>_xlfn.FLOOR.MATH(Table1[[#This Row],[year]],10)</f>
        <v>1970</v>
      </c>
      <c r="D278" t="s">
        <v>310</v>
      </c>
      <c r="E278" t="s">
        <v>63</v>
      </c>
      <c r="F278">
        <v>0</v>
      </c>
      <c r="G278">
        <v>5</v>
      </c>
      <c r="H278" t="s">
        <v>224</v>
      </c>
      <c r="I278" t="s">
        <v>311</v>
      </c>
      <c r="J278" t="s">
        <v>312</v>
      </c>
      <c r="K278" t="b">
        <v>1</v>
      </c>
      <c r="L278">
        <v>1972</v>
      </c>
      <c r="M278">
        <v>410331856</v>
      </c>
      <c r="N278">
        <v>2112293279</v>
      </c>
      <c r="O278" t="b">
        <v>1</v>
      </c>
      <c r="P278">
        <v>1</v>
      </c>
      <c r="Q278" t="str" cm="1">
        <f t="array" ref="Q278">_xlfn.IFS(Table1[[#This Row],[Wealthier_Winner]]=-1,"Wealthier Nation Loses",Table1[[#This Row],[Wealthier_Winner]]=0,"Tie",Table1[[#This Row],[Wealthier_Winner]]=1,"Wealthier Nation Wins")</f>
        <v>Wealthier Nation Wins</v>
      </c>
    </row>
    <row r="279" spans="1:17" x14ac:dyDescent="0.2">
      <c r="A279" s="1">
        <v>850</v>
      </c>
      <c r="B279" s="2">
        <v>26482</v>
      </c>
      <c r="C279" s="7">
        <f>_xlfn.FLOOR.MATH(Table1[[#This Row],[year]],10)</f>
        <v>1970</v>
      </c>
      <c r="D279" t="s">
        <v>63</v>
      </c>
      <c r="E279" t="s">
        <v>310</v>
      </c>
      <c r="F279">
        <v>5</v>
      </c>
      <c r="G279">
        <v>1</v>
      </c>
      <c r="H279" t="s">
        <v>224</v>
      </c>
      <c r="I279" t="s">
        <v>313</v>
      </c>
      <c r="J279" t="s">
        <v>63</v>
      </c>
      <c r="K279" t="b">
        <v>0</v>
      </c>
      <c r="L279">
        <v>1972</v>
      </c>
      <c r="M279">
        <v>2112293279</v>
      </c>
      <c r="N279">
        <v>410331856</v>
      </c>
      <c r="O279" t="b">
        <v>1</v>
      </c>
      <c r="P279">
        <v>1</v>
      </c>
      <c r="Q279" t="str" cm="1">
        <f t="array" ref="Q279">_xlfn.IFS(Table1[[#This Row],[Wealthier_Winner]]=-1,"Wealthier Nation Loses",Table1[[#This Row],[Wealthier_Winner]]=0,"Tie",Table1[[#This Row],[Wealthier_Winner]]=1,"Wealthier Nation Wins")</f>
        <v>Wealthier Nation Wins</v>
      </c>
    </row>
    <row r="280" spans="1:17" x14ac:dyDescent="0.2">
      <c r="A280" s="1">
        <v>851</v>
      </c>
      <c r="B280" s="2">
        <v>26496</v>
      </c>
      <c r="C280" s="7">
        <f>_xlfn.FLOOR.MATH(Table1[[#This Row],[year]],10)</f>
        <v>1970</v>
      </c>
      <c r="D280" t="s">
        <v>314</v>
      </c>
      <c r="E280" t="s">
        <v>274</v>
      </c>
      <c r="F280">
        <v>2</v>
      </c>
      <c r="G280">
        <v>0</v>
      </c>
      <c r="H280" t="s">
        <v>224</v>
      </c>
      <c r="I280" t="s">
        <v>315</v>
      </c>
      <c r="J280" t="s">
        <v>314</v>
      </c>
      <c r="K280" t="b">
        <v>0</v>
      </c>
      <c r="L280">
        <v>1972</v>
      </c>
      <c r="M280">
        <v>2107279157</v>
      </c>
      <c r="N280">
        <v>2483055722</v>
      </c>
      <c r="O280" t="b">
        <v>0</v>
      </c>
      <c r="P280">
        <v>-1</v>
      </c>
      <c r="Q280" t="str" cm="1">
        <f t="array" ref="Q280">_xlfn.IFS(Table1[[#This Row],[Wealthier_Winner]]=-1,"Wealthier Nation Loses",Table1[[#This Row],[Wealthier_Winner]]=0,"Tie",Table1[[#This Row],[Wealthier_Winner]]=1,"Wealthier Nation Wins")</f>
        <v>Wealthier Nation Loses</v>
      </c>
    </row>
    <row r="281" spans="1:17" x14ac:dyDescent="0.2">
      <c r="A281" s="1">
        <v>852</v>
      </c>
      <c r="B281" s="2">
        <v>26503</v>
      </c>
      <c r="C281" s="7">
        <f>_xlfn.FLOOR.MATH(Table1[[#This Row],[year]],10)</f>
        <v>1970</v>
      </c>
      <c r="D281" t="s">
        <v>274</v>
      </c>
      <c r="E281" t="s">
        <v>314</v>
      </c>
      <c r="F281">
        <v>1</v>
      </c>
      <c r="G281">
        <v>0</v>
      </c>
      <c r="H281" t="s">
        <v>224</v>
      </c>
      <c r="I281" t="s">
        <v>278</v>
      </c>
      <c r="J281" t="s">
        <v>274</v>
      </c>
      <c r="K281" t="b">
        <v>0</v>
      </c>
      <c r="L281">
        <v>1972</v>
      </c>
      <c r="M281">
        <v>2483055722</v>
      </c>
      <c r="N281">
        <v>2107279157</v>
      </c>
      <c r="O281" t="b">
        <v>0</v>
      </c>
      <c r="P281">
        <v>1</v>
      </c>
      <c r="Q281" t="str" cm="1">
        <f t="array" ref="Q281">_xlfn.IFS(Table1[[#This Row],[Wealthier_Winner]]=-1,"Wealthier Nation Loses",Table1[[#This Row],[Wealthier_Winner]]=0,"Tie",Table1[[#This Row],[Wealthier_Winner]]=1,"Wealthier Nation Wins")</f>
        <v>Wealthier Nation Wins</v>
      </c>
    </row>
    <row r="282" spans="1:17" x14ac:dyDescent="0.2">
      <c r="A282" s="1">
        <v>853</v>
      </c>
      <c r="B282" s="2">
        <v>26514</v>
      </c>
      <c r="C282" s="7">
        <f>_xlfn.FLOOR.MATH(Table1[[#This Row],[year]],10)</f>
        <v>1970</v>
      </c>
      <c r="D282" t="s">
        <v>42</v>
      </c>
      <c r="E282" t="s">
        <v>66</v>
      </c>
      <c r="F282">
        <v>4</v>
      </c>
      <c r="G282">
        <v>1</v>
      </c>
      <c r="H282" t="s">
        <v>224</v>
      </c>
      <c r="I282" t="s">
        <v>316</v>
      </c>
      <c r="J282" t="s">
        <v>42</v>
      </c>
      <c r="K282" t="b">
        <v>0</v>
      </c>
      <c r="L282">
        <v>1972</v>
      </c>
      <c r="M282">
        <v>17358610849</v>
      </c>
      <c r="N282">
        <v>869002945</v>
      </c>
      <c r="O282" t="b">
        <v>1</v>
      </c>
      <c r="P282">
        <v>1</v>
      </c>
      <c r="Q282" t="str" cm="1">
        <f t="array" ref="Q282">_xlfn.IFS(Table1[[#This Row],[Wealthier_Winner]]=-1,"Wealthier Nation Loses",Table1[[#This Row],[Wealthier_Winner]]=0,"Tie",Table1[[#This Row],[Wealthier_Winner]]=1,"Wealthier Nation Wins")</f>
        <v>Wealthier Nation Wins</v>
      </c>
    </row>
    <row r="283" spans="1:17" x14ac:dyDescent="0.2">
      <c r="A283" s="1">
        <v>857</v>
      </c>
      <c r="B283" s="2">
        <v>26576</v>
      </c>
      <c r="C283" s="7">
        <f>_xlfn.FLOOR.MATH(Table1[[#This Row],[year]],10)</f>
        <v>1970</v>
      </c>
      <c r="D283" t="s">
        <v>42</v>
      </c>
      <c r="E283" t="s">
        <v>23</v>
      </c>
      <c r="F283">
        <v>0</v>
      </c>
      <c r="G283">
        <v>2</v>
      </c>
      <c r="H283" t="s">
        <v>224</v>
      </c>
      <c r="I283" t="s">
        <v>262</v>
      </c>
      <c r="J283" t="s">
        <v>42</v>
      </c>
      <c r="K283" t="b">
        <v>0</v>
      </c>
      <c r="L283">
        <v>1972</v>
      </c>
      <c r="M283">
        <v>17358610849</v>
      </c>
      <c r="N283">
        <v>37209418018</v>
      </c>
      <c r="O283" t="b">
        <v>1</v>
      </c>
      <c r="P283">
        <v>1</v>
      </c>
      <c r="Q283" t="str" cm="1">
        <f t="array" ref="Q283">_xlfn.IFS(Table1[[#This Row],[Wealthier_Winner]]=-1,"Wealthier Nation Loses",Table1[[#This Row],[Wealthier_Winner]]=0,"Tie",Table1[[#This Row],[Wealthier_Winner]]=1,"Wealthier Nation Wins")</f>
        <v>Wealthier Nation Wins</v>
      </c>
    </row>
    <row r="284" spans="1:17" x14ac:dyDescent="0.2">
      <c r="A284" s="1">
        <v>859</v>
      </c>
      <c r="B284" s="2">
        <v>26579</v>
      </c>
      <c r="C284" s="7">
        <f>_xlfn.FLOOR.MATH(Table1[[#This Row],[year]],10)</f>
        <v>1970</v>
      </c>
      <c r="D284" t="s">
        <v>232</v>
      </c>
      <c r="E284" t="s">
        <v>18</v>
      </c>
      <c r="F284">
        <v>0</v>
      </c>
      <c r="G284">
        <v>4</v>
      </c>
      <c r="H284" t="s">
        <v>224</v>
      </c>
      <c r="I284" t="s">
        <v>232</v>
      </c>
      <c r="J284" t="s">
        <v>232</v>
      </c>
      <c r="K284" t="b">
        <v>0</v>
      </c>
      <c r="L284">
        <v>1972</v>
      </c>
      <c r="M284">
        <v>1901697369</v>
      </c>
      <c r="N284">
        <v>145594833997</v>
      </c>
      <c r="O284" t="b">
        <v>1</v>
      </c>
      <c r="P284">
        <v>1</v>
      </c>
      <c r="Q284" t="str" cm="1">
        <f t="array" ref="Q284">_xlfn.IFS(Table1[[#This Row],[Wealthier_Winner]]=-1,"Wealthier Nation Loses",Table1[[#This Row],[Wealthier_Winner]]=0,"Tie",Table1[[#This Row],[Wealthier_Winner]]=1,"Wealthier Nation Wins")</f>
        <v>Wealthier Nation Wins</v>
      </c>
    </row>
    <row r="285" spans="1:17" x14ac:dyDescent="0.2">
      <c r="A285" s="1">
        <v>861</v>
      </c>
      <c r="B285" s="2">
        <v>26587</v>
      </c>
      <c r="C285" s="7">
        <f>_xlfn.FLOOR.MATH(Table1[[#This Row],[year]],10)</f>
        <v>1970</v>
      </c>
      <c r="D285" t="s">
        <v>29</v>
      </c>
      <c r="E285" t="s">
        <v>30</v>
      </c>
      <c r="F285">
        <v>2</v>
      </c>
      <c r="G285">
        <v>2</v>
      </c>
      <c r="H285" t="s">
        <v>224</v>
      </c>
      <c r="I285" t="s">
        <v>270</v>
      </c>
      <c r="J285" t="s">
        <v>29</v>
      </c>
      <c r="K285" t="b">
        <v>0</v>
      </c>
      <c r="L285">
        <v>1972</v>
      </c>
      <c r="M285">
        <v>21973207929</v>
      </c>
      <c r="N285">
        <v>7379313742</v>
      </c>
      <c r="O285" t="b">
        <v>1</v>
      </c>
      <c r="P285">
        <v>0</v>
      </c>
      <c r="Q285" t="str" cm="1">
        <f t="array" ref="Q285">_xlfn.IFS(Table1[[#This Row],[Wealthier_Winner]]=-1,"Wealthier Nation Loses",Table1[[#This Row],[Wealthier_Winner]]=0,"Tie",Table1[[#This Row],[Wealthier_Winner]]=1,"Wealthier Nation Wins")</f>
        <v>Tie</v>
      </c>
    </row>
    <row r="286" spans="1:17" x14ac:dyDescent="0.2">
      <c r="A286" s="1">
        <v>863</v>
      </c>
      <c r="B286" s="2">
        <v>26587</v>
      </c>
      <c r="C286" s="7">
        <f>_xlfn.FLOOR.MATH(Table1[[#This Row],[year]],10)</f>
        <v>1970</v>
      </c>
      <c r="D286" t="s">
        <v>25</v>
      </c>
      <c r="E286" t="s">
        <v>303</v>
      </c>
      <c r="F286">
        <v>7</v>
      </c>
      <c r="G286">
        <v>0</v>
      </c>
      <c r="H286" t="s">
        <v>224</v>
      </c>
      <c r="I286" t="s">
        <v>317</v>
      </c>
      <c r="J286" t="s">
        <v>25</v>
      </c>
      <c r="K286" t="b">
        <v>0</v>
      </c>
      <c r="L286">
        <v>1972</v>
      </c>
      <c r="M286">
        <v>48883173399</v>
      </c>
      <c r="N286">
        <v>295106628</v>
      </c>
      <c r="O286" t="b">
        <v>1</v>
      </c>
      <c r="P286">
        <v>1</v>
      </c>
      <c r="Q286" t="str" cm="1">
        <f t="array" ref="Q286">_xlfn.IFS(Table1[[#This Row],[Wealthier_Winner]]=-1,"Wealthier Nation Loses",Table1[[#This Row],[Wealthier_Winner]]=0,"Tie",Table1[[#This Row],[Wealthier_Winner]]=1,"Wealthier Nation Wins")</f>
        <v>Wealthier Nation Wins</v>
      </c>
    </row>
    <row r="287" spans="1:17" x14ac:dyDescent="0.2">
      <c r="A287" s="1">
        <v>868</v>
      </c>
      <c r="B287" s="2">
        <v>26593</v>
      </c>
      <c r="C287" s="7">
        <f>_xlfn.FLOOR.MATH(Table1[[#This Row],[year]],10)</f>
        <v>1970</v>
      </c>
      <c r="D287" t="s">
        <v>46</v>
      </c>
      <c r="E287" t="s">
        <v>18</v>
      </c>
      <c r="F287">
        <v>0</v>
      </c>
      <c r="G287">
        <v>0</v>
      </c>
      <c r="H287" t="s">
        <v>224</v>
      </c>
      <c r="I287" t="s">
        <v>249</v>
      </c>
      <c r="J287" t="s">
        <v>46</v>
      </c>
      <c r="K287" t="b">
        <v>0</v>
      </c>
      <c r="L287">
        <v>1972</v>
      </c>
      <c r="M287">
        <v>36844318854</v>
      </c>
      <c r="N287">
        <v>145594833997</v>
      </c>
      <c r="O287" t="b">
        <v>1</v>
      </c>
      <c r="P287">
        <v>0</v>
      </c>
      <c r="Q287" t="str" cm="1">
        <f t="array" ref="Q287">_xlfn.IFS(Table1[[#This Row],[Wealthier_Winner]]=-1,"Wealthier Nation Loses",Table1[[#This Row],[Wealthier_Winner]]=0,"Tie",Table1[[#This Row],[Wealthier_Winner]]=1,"Wealthier Nation Wins")</f>
        <v>Tie</v>
      </c>
    </row>
    <row r="288" spans="1:17" x14ac:dyDescent="0.2">
      <c r="A288" s="1">
        <v>872</v>
      </c>
      <c r="B288" s="2">
        <v>26604</v>
      </c>
      <c r="C288" s="7">
        <f>_xlfn.FLOOR.MATH(Table1[[#This Row],[year]],10)</f>
        <v>1970</v>
      </c>
      <c r="D288" t="s">
        <v>27</v>
      </c>
      <c r="E288" t="s">
        <v>42</v>
      </c>
      <c r="F288">
        <v>9</v>
      </c>
      <c r="G288">
        <v>0</v>
      </c>
      <c r="H288" t="s">
        <v>224</v>
      </c>
      <c r="I288" t="s">
        <v>265</v>
      </c>
      <c r="J288" t="s">
        <v>27</v>
      </c>
      <c r="K288" t="b">
        <v>0</v>
      </c>
      <c r="L288">
        <v>1972</v>
      </c>
      <c r="M288">
        <v>54787070173</v>
      </c>
      <c r="N288">
        <v>17358610849</v>
      </c>
      <c r="O288" t="b">
        <v>1</v>
      </c>
      <c r="P288">
        <v>1</v>
      </c>
      <c r="Q288" t="str" cm="1">
        <f t="array" ref="Q288">_xlfn.IFS(Table1[[#This Row],[Wealthier_Winner]]=-1,"Wealthier Nation Loses",Table1[[#This Row],[Wealthier_Winner]]=0,"Tie",Table1[[#This Row],[Wealthier_Winner]]=1,"Wealthier Nation Wins")</f>
        <v>Wealthier Nation Wins</v>
      </c>
    </row>
    <row r="289" spans="1:17" x14ac:dyDescent="0.2">
      <c r="A289" s="1">
        <v>877</v>
      </c>
      <c r="B289" s="2">
        <v>26622</v>
      </c>
      <c r="C289" s="7">
        <f>_xlfn.FLOOR.MATH(Table1[[#This Row],[year]],10)</f>
        <v>1970</v>
      </c>
      <c r="D289" t="s">
        <v>23</v>
      </c>
      <c r="E289" t="s">
        <v>27</v>
      </c>
      <c r="F289">
        <v>0</v>
      </c>
      <c r="G289">
        <v>0</v>
      </c>
      <c r="H289" t="s">
        <v>224</v>
      </c>
      <c r="I289" t="s">
        <v>318</v>
      </c>
      <c r="J289" t="s">
        <v>23</v>
      </c>
      <c r="K289" t="b">
        <v>0</v>
      </c>
      <c r="L289">
        <v>1972</v>
      </c>
      <c r="M289">
        <v>37209418018</v>
      </c>
      <c r="N289">
        <v>54787070173</v>
      </c>
      <c r="O289" t="b">
        <v>0</v>
      </c>
      <c r="P289">
        <v>0</v>
      </c>
      <c r="Q289" t="str" cm="1">
        <f t="array" ref="Q289">_xlfn.IFS(Table1[[#This Row],[Wealthier_Winner]]=-1,"Wealthier Nation Loses",Table1[[#This Row],[Wealthier_Winner]]=0,"Tie",Table1[[#This Row],[Wealthier_Winner]]=1,"Wealthier Nation Wins")</f>
        <v>Tie</v>
      </c>
    </row>
    <row r="290" spans="1:17" x14ac:dyDescent="0.2">
      <c r="A290" s="1">
        <v>879</v>
      </c>
      <c r="B290" s="2">
        <v>26622</v>
      </c>
      <c r="C290" s="7">
        <f>_xlfn.FLOOR.MATH(Table1[[#This Row],[year]],10)</f>
        <v>1970</v>
      </c>
      <c r="D290" t="s">
        <v>24</v>
      </c>
      <c r="E290" t="s">
        <v>54</v>
      </c>
      <c r="F290">
        <v>0</v>
      </c>
      <c r="G290">
        <v>0</v>
      </c>
      <c r="H290" t="s">
        <v>224</v>
      </c>
      <c r="I290" t="s">
        <v>319</v>
      </c>
      <c r="J290" t="s">
        <v>24</v>
      </c>
      <c r="K290" t="b">
        <v>0</v>
      </c>
      <c r="L290">
        <v>1972</v>
      </c>
      <c r="M290">
        <v>5074117544</v>
      </c>
      <c r="N290">
        <v>1620857103</v>
      </c>
      <c r="O290" t="b">
        <v>1</v>
      </c>
      <c r="P290">
        <v>0</v>
      </c>
      <c r="Q290" t="str" cm="1">
        <f t="array" ref="Q290">_xlfn.IFS(Table1[[#This Row],[Wealthier_Winner]]=-1,"Wealthier Nation Loses",Table1[[#This Row],[Wealthier_Winner]]=0,"Tie",Table1[[#This Row],[Wealthier_Winner]]=1,"Wealthier Nation Wins")</f>
        <v>Tie</v>
      </c>
    </row>
    <row r="291" spans="1:17" x14ac:dyDescent="0.2">
      <c r="A291" s="1">
        <v>880</v>
      </c>
      <c r="B291" s="2">
        <v>26628</v>
      </c>
      <c r="C291" s="7">
        <f>_xlfn.FLOOR.MATH(Table1[[#This Row],[year]],10)</f>
        <v>1970</v>
      </c>
      <c r="D291" t="s">
        <v>303</v>
      </c>
      <c r="E291" t="s">
        <v>29</v>
      </c>
      <c r="F291">
        <v>0</v>
      </c>
      <c r="G291">
        <v>2</v>
      </c>
      <c r="H291" t="s">
        <v>224</v>
      </c>
      <c r="I291" t="s">
        <v>304</v>
      </c>
      <c r="J291" t="s">
        <v>303</v>
      </c>
      <c r="K291" t="b">
        <v>0</v>
      </c>
      <c r="L291">
        <v>1972</v>
      </c>
      <c r="M291">
        <v>295106628</v>
      </c>
      <c r="N291">
        <v>21973207929</v>
      </c>
      <c r="O291" t="b">
        <v>1</v>
      </c>
      <c r="P291">
        <v>1</v>
      </c>
      <c r="Q291" t="str" cm="1">
        <f t="array" ref="Q291">_xlfn.IFS(Table1[[#This Row],[Wealthier_Winner]]=-1,"Wealthier Nation Loses",Table1[[#This Row],[Wealthier_Winner]]=0,"Tie",Table1[[#This Row],[Wealthier_Winner]]=1,"Wealthier Nation Wins")</f>
        <v>Wealthier Nation Wins</v>
      </c>
    </row>
    <row r="292" spans="1:17" x14ac:dyDescent="0.2">
      <c r="A292" s="1">
        <v>881</v>
      </c>
      <c r="B292" s="2">
        <v>26628</v>
      </c>
      <c r="C292" s="7">
        <f>_xlfn.FLOOR.MATH(Table1[[#This Row],[year]],10)</f>
        <v>1970</v>
      </c>
      <c r="D292" t="s">
        <v>320</v>
      </c>
      <c r="E292" t="s">
        <v>238</v>
      </c>
      <c r="F292">
        <v>1</v>
      </c>
      <c r="G292">
        <v>1</v>
      </c>
      <c r="H292" t="s">
        <v>224</v>
      </c>
      <c r="I292" t="s">
        <v>321</v>
      </c>
      <c r="J292" t="s">
        <v>320</v>
      </c>
      <c r="K292" t="b">
        <v>0</v>
      </c>
      <c r="L292">
        <v>1972</v>
      </c>
      <c r="M292">
        <v>3472787266</v>
      </c>
      <c r="N292">
        <v>3520252938</v>
      </c>
      <c r="O292" t="b">
        <v>0</v>
      </c>
      <c r="P292">
        <v>0</v>
      </c>
      <c r="Q292" t="str" cm="1">
        <f t="array" ref="Q292">_xlfn.IFS(Table1[[#This Row],[Wealthier_Winner]]=-1,"Wealthier Nation Loses",Table1[[#This Row],[Wealthier_Winner]]=0,"Tie",Table1[[#This Row],[Wealthier_Winner]]=1,"Wealthier Nation Wins")</f>
        <v>Tie</v>
      </c>
    </row>
    <row r="293" spans="1:17" x14ac:dyDescent="0.2">
      <c r="A293" s="1">
        <v>882</v>
      </c>
      <c r="B293" s="2">
        <v>26636</v>
      </c>
      <c r="C293" s="7">
        <f>_xlfn.FLOOR.MATH(Table1[[#This Row],[year]],10)</f>
        <v>1970</v>
      </c>
      <c r="D293" t="s">
        <v>238</v>
      </c>
      <c r="E293" t="s">
        <v>320</v>
      </c>
      <c r="F293">
        <v>0</v>
      </c>
      <c r="G293">
        <v>0</v>
      </c>
      <c r="H293" t="s">
        <v>224</v>
      </c>
      <c r="I293" t="s">
        <v>288</v>
      </c>
      <c r="J293" t="s">
        <v>238</v>
      </c>
      <c r="K293" t="b">
        <v>0</v>
      </c>
      <c r="L293">
        <v>1972</v>
      </c>
      <c r="M293">
        <v>3520252938</v>
      </c>
      <c r="N293">
        <v>3472787266</v>
      </c>
      <c r="O293" t="b">
        <v>0</v>
      </c>
      <c r="P293">
        <v>0</v>
      </c>
      <c r="Q293" t="str" cm="1">
        <f t="array" ref="Q293">_xlfn.IFS(Table1[[#This Row],[Wealthier_Winner]]=-1,"Wealthier Nation Loses",Table1[[#This Row],[Wealthier_Winner]]=0,"Tie",Table1[[#This Row],[Wealthier_Winner]]=1,"Wealthier Nation Wins")</f>
        <v>Tie</v>
      </c>
    </row>
    <row r="294" spans="1:17" x14ac:dyDescent="0.2">
      <c r="A294" s="1">
        <v>883</v>
      </c>
      <c r="B294" s="2">
        <v>26636</v>
      </c>
      <c r="C294" s="7">
        <f>_xlfn.FLOOR.MATH(Table1[[#This Row],[year]],10)</f>
        <v>1970</v>
      </c>
      <c r="D294" t="s">
        <v>54</v>
      </c>
      <c r="E294" t="s">
        <v>24</v>
      </c>
      <c r="F294">
        <v>1</v>
      </c>
      <c r="G294">
        <v>2</v>
      </c>
      <c r="H294" t="s">
        <v>224</v>
      </c>
      <c r="I294" t="s">
        <v>285</v>
      </c>
      <c r="J294" t="s">
        <v>54</v>
      </c>
      <c r="K294" t="b">
        <v>0</v>
      </c>
      <c r="L294">
        <v>1972</v>
      </c>
      <c r="M294">
        <v>1620857103</v>
      </c>
      <c r="N294">
        <v>5074117544</v>
      </c>
      <c r="O294" t="b">
        <v>1</v>
      </c>
      <c r="P294">
        <v>1</v>
      </c>
      <c r="Q294" t="str" cm="1">
        <f t="array" ref="Q294">_xlfn.IFS(Table1[[#This Row],[Wealthier_Winner]]=-1,"Wealthier Nation Loses",Table1[[#This Row],[Wealthier_Winner]]=0,"Tie",Table1[[#This Row],[Wealthier_Winner]]=1,"Wealthier Nation Wins")</f>
        <v>Wealthier Nation Wins</v>
      </c>
    </row>
    <row r="295" spans="1:17" x14ac:dyDescent="0.2">
      <c r="A295" s="1">
        <v>884</v>
      </c>
      <c r="B295" s="2">
        <v>26641</v>
      </c>
      <c r="C295" s="7">
        <f>_xlfn.FLOOR.MATH(Table1[[#This Row],[year]],10)</f>
        <v>1970</v>
      </c>
      <c r="D295" t="s">
        <v>212</v>
      </c>
      <c r="E295" t="s">
        <v>53</v>
      </c>
      <c r="F295">
        <v>2</v>
      </c>
      <c r="G295">
        <v>1</v>
      </c>
      <c r="H295" t="s">
        <v>224</v>
      </c>
      <c r="I295" t="s">
        <v>322</v>
      </c>
      <c r="J295" t="s">
        <v>212</v>
      </c>
      <c r="K295" t="b">
        <v>0</v>
      </c>
      <c r="L295">
        <v>1972</v>
      </c>
      <c r="M295">
        <v>9299638055</v>
      </c>
      <c r="N295">
        <v>2237556148</v>
      </c>
      <c r="O295" t="b">
        <v>1</v>
      </c>
      <c r="P295">
        <v>1</v>
      </c>
      <c r="Q295" t="str" cm="1">
        <f t="array" ref="Q295">_xlfn.IFS(Table1[[#This Row],[Wealthier_Winner]]=-1,"Wealthier Nation Loses",Table1[[#This Row],[Wealthier_Winner]]=0,"Tie",Table1[[#This Row],[Wealthier_Winner]]=1,"Wealthier Nation Wins")</f>
        <v>Wealthier Nation Wins</v>
      </c>
    </row>
    <row r="296" spans="1:17" x14ac:dyDescent="0.2">
      <c r="A296" s="1">
        <v>885</v>
      </c>
      <c r="B296" s="2">
        <v>26643</v>
      </c>
      <c r="C296" s="7">
        <f>_xlfn.FLOOR.MATH(Table1[[#This Row],[year]],10)</f>
        <v>1970</v>
      </c>
      <c r="D296" t="s">
        <v>238</v>
      </c>
      <c r="E296" t="s">
        <v>320</v>
      </c>
      <c r="F296">
        <v>3</v>
      </c>
      <c r="G296">
        <v>0</v>
      </c>
      <c r="H296" t="s">
        <v>224</v>
      </c>
      <c r="I296" t="s">
        <v>288</v>
      </c>
      <c r="J296" t="s">
        <v>238</v>
      </c>
      <c r="K296" t="b">
        <v>0</v>
      </c>
      <c r="L296">
        <v>1972</v>
      </c>
      <c r="M296">
        <v>3520252938</v>
      </c>
      <c r="N296">
        <v>3472787266</v>
      </c>
      <c r="O296" t="b">
        <v>0</v>
      </c>
      <c r="P296">
        <v>1</v>
      </c>
      <c r="Q296" t="str" cm="1">
        <f t="array" ref="Q296">_xlfn.IFS(Table1[[#This Row],[Wealthier_Winner]]=-1,"Wealthier Nation Loses",Table1[[#This Row],[Wealthier_Winner]]=0,"Tie",Table1[[#This Row],[Wealthier_Winner]]=1,"Wealthier Nation Wins")</f>
        <v>Wealthier Nation Wins</v>
      </c>
    </row>
    <row r="297" spans="1:17" x14ac:dyDescent="0.2">
      <c r="A297" s="1">
        <v>886</v>
      </c>
      <c r="B297" s="2">
        <v>26643</v>
      </c>
      <c r="C297" s="7">
        <f>_xlfn.FLOOR.MATH(Table1[[#This Row],[year]],10)</f>
        <v>1970</v>
      </c>
      <c r="D297" t="s">
        <v>323</v>
      </c>
      <c r="E297" t="s">
        <v>314</v>
      </c>
      <c r="F297">
        <v>1</v>
      </c>
      <c r="G297">
        <v>3</v>
      </c>
      <c r="H297" t="s">
        <v>224</v>
      </c>
      <c r="I297" t="s">
        <v>324</v>
      </c>
      <c r="J297" t="s">
        <v>323</v>
      </c>
      <c r="K297" t="b">
        <v>0</v>
      </c>
      <c r="L297">
        <v>1972</v>
      </c>
      <c r="M297">
        <v>318664899</v>
      </c>
      <c r="N297">
        <v>2107279157</v>
      </c>
      <c r="O297" t="b">
        <v>1</v>
      </c>
      <c r="P297">
        <v>1</v>
      </c>
      <c r="Q297" t="str" cm="1">
        <f t="array" ref="Q297">_xlfn.IFS(Table1[[#This Row],[Wealthier_Winner]]=-1,"Wealthier Nation Loses",Table1[[#This Row],[Wealthier_Winner]]=0,"Tie",Table1[[#This Row],[Wealthier_Winner]]=1,"Wealthier Nation Wins")</f>
        <v>Wealthier Nation Wins</v>
      </c>
    </row>
    <row r="298" spans="1:17" x14ac:dyDescent="0.2">
      <c r="A298" s="1">
        <v>888</v>
      </c>
      <c r="B298" s="2">
        <v>26650</v>
      </c>
      <c r="C298" s="7">
        <f>_xlfn.FLOOR.MATH(Table1[[#This Row],[year]],10)</f>
        <v>1970</v>
      </c>
      <c r="D298" t="s">
        <v>314</v>
      </c>
      <c r="E298" t="s">
        <v>323</v>
      </c>
      <c r="F298">
        <v>2</v>
      </c>
      <c r="G298">
        <v>2</v>
      </c>
      <c r="H298" t="s">
        <v>224</v>
      </c>
      <c r="I298" t="s">
        <v>315</v>
      </c>
      <c r="J298" t="s">
        <v>314</v>
      </c>
      <c r="K298" t="b">
        <v>0</v>
      </c>
      <c r="L298">
        <v>1972</v>
      </c>
      <c r="M298">
        <v>2107279157</v>
      </c>
      <c r="N298">
        <v>318664899</v>
      </c>
      <c r="O298" t="b">
        <v>1</v>
      </c>
      <c r="P298">
        <v>0</v>
      </c>
      <c r="Q298" t="str" cm="1">
        <f t="array" ref="Q298">_xlfn.IFS(Table1[[#This Row],[Wealthier_Winner]]=-1,"Wealthier Nation Loses",Table1[[#This Row],[Wealthier_Winner]]=0,"Tie",Table1[[#This Row],[Wealthier_Winner]]=1,"Wealthier Nation Wins")</f>
        <v>Tie</v>
      </c>
    </row>
    <row r="299" spans="1:17" x14ac:dyDescent="0.2">
      <c r="A299" s="1">
        <v>889</v>
      </c>
      <c r="B299" s="2">
        <v>26650</v>
      </c>
      <c r="C299" s="7">
        <f>_xlfn.FLOOR.MATH(Table1[[#This Row],[year]],10)</f>
        <v>1970</v>
      </c>
      <c r="D299" t="s">
        <v>53</v>
      </c>
      <c r="E299" t="s">
        <v>212</v>
      </c>
      <c r="F299">
        <v>2</v>
      </c>
      <c r="G299">
        <v>0</v>
      </c>
      <c r="H299" t="s">
        <v>224</v>
      </c>
      <c r="I299" t="s">
        <v>284</v>
      </c>
      <c r="J299" t="s">
        <v>53</v>
      </c>
      <c r="K299" t="b">
        <v>0</v>
      </c>
      <c r="L299">
        <v>1972</v>
      </c>
      <c r="M299">
        <v>2237556148</v>
      </c>
      <c r="N299">
        <v>9299638055</v>
      </c>
      <c r="O299" t="b">
        <v>1</v>
      </c>
      <c r="P299">
        <v>-1</v>
      </c>
      <c r="Q299" t="str" cm="1">
        <f t="array" ref="Q299">_xlfn.IFS(Table1[[#This Row],[Wealthier_Winner]]=-1,"Wealthier Nation Loses",Table1[[#This Row],[Wealthier_Winner]]=0,"Tie",Table1[[#This Row],[Wealthier_Winner]]=1,"Wealthier Nation Wins")</f>
        <v>Wealthier Nation Loses</v>
      </c>
    </row>
    <row r="300" spans="1:17" x14ac:dyDescent="0.2">
      <c r="A300" s="1">
        <v>891</v>
      </c>
      <c r="B300" s="2">
        <v>26681</v>
      </c>
      <c r="C300" s="7">
        <f>_xlfn.FLOOR.MATH(Table1[[#This Row],[year]],10)</f>
        <v>1970</v>
      </c>
      <c r="D300" t="s">
        <v>48</v>
      </c>
      <c r="E300" t="s">
        <v>21</v>
      </c>
      <c r="F300">
        <v>2</v>
      </c>
      <c r="G300">
        <v>3</v>
      </c>
      <c r="H300" t="s">
        <v>224</v>
      </c>
      <c r="I300" t="s">
        <v>236</v>
      </c>
      <c r="J300" t="s">
        <v>48</v>
      </c>
      <c r="K300" t="b">
        <v>0</v>
      </c>
      <c r="L300">
        <v>1973</v>
      </c>
      <c r="M300">
        <v>22037019562</v>
      </c>
      <c r="N300">
        <v>78583355225</v>
      </c>
      <c r="O300" t="b">
        <v>1</v>
      </c>
      <c r="P300">
        <v>1</v>
      </c>
      <c r="Q300" t="str" cm="1">
        <f t="array" ref="Q300">_xlfn.IFS(Table1[[#This Row],[Wealthier_Winner]]=-1,"Wealthier Nation Loses",Table1[[#This Row],[Wealthier_Winner]]=0,"Tie",Table1[[#This Row],[Wealthier_Winner]]=1,"Wealthier Nation Wins")</f>
        <v>Wealthier Nation Wins</v>
      </c>
    </row>
    <row r="301" spans="1:17" x14ac:dyDescent="0.2">
      <c r="A301" s="1">
        <v>894</v>
      </c>
      <c r="B301" s="2">
        <v>26705</v>
      </c>
      <c r="C301" s="7">
        <f>_xlfn.FLOOR.MATH(Table1[[#This Row],[year]],10)</f>
        <v>1970</v>
      </c>
      <c r="D301" t="s">
        <v>43</v>
      </c>
      <c r="E301" t="s">
        <v>63</v>
      </c>
      <c r="F301">
        <v>2</v>
      </c>
      <c r="G301">
        <v>3</v>
      </c>
      <c r="H301" t="s">
        <v>224</v>
      </c>
      <c r="I301" t="s">
        <v>229</v>
      </c>
      <c r="J301" t="s">
        <v>43</v>
      </c>
      <c r="K301" t="b">
        <v>0</v>
      </c>
      <c r="L301">
        <v>1973</v>
      </c>
      <c r="M301">
        <v>15162871287</v>
      </c>
      <c r="N301">
        <v>3006766758</v>
      </c>
      <c r="O301" t="b">
        <v>1</v>
      </c>
      <c r="P301">
        <v>-1</v>
      </c>
      <c r="Q301" t="str" cm="1">
        <f t="array" ref="Q301">_xlfn.IFS(Table1[[#This Row],[Wealthier_Winner]]=-1,"Wealthier Nation Loses",Table1[[#This Row],[Wealthier_Winner]]=0,"Tie",Table1[[#This Row],[Wealthier_Winner]]=1,"Wealthier Nation Wins")</f>
        <v>Wealthier Nation Loses</v>
      </c>
    </row>
    <row r="302" spans="1:17" x14ac:dyDescent="0.2">
      <c r="A302" s="1">
        <v>895</v>
      </c>
      <c r="B302" s="2">
        <v>26706</v>
      </c>
      <c r="C302" s="7">
        <f>_xlfn.FLOOR.MATH(Table1[[#This Row],[year]],10)</f>
        <v>1970</v>
      </c>
      <c r="D302" t="s">
        <v>305</v>
      </c>
      <c r="E302" t="s">
        <v>24</v>
      </c>
      <c r="F302">
        <v>1</v>
      </c>
      <c r="G302">
        <v>1</v>
      </c>
      <c r="H302" t="s">
        <v>224</v>
      </c>
      <c r="I302" t="s">
        <v>306</v>
      </c>
      <c r="J302" t="s">
        <v>305</v>
      </c>
      <c r="K302" t="b">
        <v>0</v>
      </c>
      <c r="L302">
        <v>1973</v>
      </c>
      <c r="M302">
        <v>5152080387</v>
      </c>
      <c r="N302">
        <v>6242145880</v>
      </c>
      <c r="O302" t="b">
        <v>0</v>
      </c>
      <c r="P302">
        <v>0</v>
      </c>
      <c r="Q302" t="str" cm="1">
        <f t="array" ref="Q302">_xlfn.IFS(Table1[[#This Row],[Wealthier_Winner]]=-1,"Wealthier Nation Loses",Table1[[#This Row],[Wealthier_Winner]]=0,"Tie",Table1[[#This Row],[Wealthier_Winner]]=1,"Wealthier Nation Wins")</f>
        <v>Tie</v>
      </c>
    </row>
    <row r="303" spans="1:17" x14ac:dyDescent="0.2">
      <c r="A303" s="1">
        <v>898</v>
      </c>
      <c r="B303" s="2">
        <v>26716</v>
      </c>
      <c r="C303" s="7">
        <f>_xlfn.FLOOR.MATH(Table1[[#This Row],[year]],10)</f>
        <v>1970</v>
      </c>
      <c r="D303" t="s">
        <v>21</v>
      </c>
      <c r="E303" t="s">
        <v>48</v>
      </c>
      <c r="F303">
        <v>3</v>
      </c>
      <c r="G303">
        <v>1</v>
      </c>
      <c r="H303" t="s">
        <v>224</v>
      </c>
      <c r="I303" t="s">
        <v>325</v>
      </c>
      <c r="J303" t="s">
        <v>21</v>
      </c>
      <c r="K303" t="b">
        <v>0</v>
      </c>
      <c r="L303">
        <v>1973</v>
      </c>
      <c r="M303">
        <v>78583355225</v>
      </c>
      <c r="N303">
        <v>22037019562</v>
      </c>
      <c r="O303" t="b">
        <v>1</v>
      </c>
      <c r="P303">
        <v>1</v>
      </c>
      <c r="Q303" t="str" cm="1">
        <f t="array" ref="Q303">_xlfn.IFS(Table1[[#This Row],[Wealthier_Winner]]=-1,"Wealthier Nation Loses",Table1[[#This Row],[Wealthier_Winner]]=0,"Tie",Table1[[#This Row],[Wealthier_Winner]]=1,"Wealthier Nation Wins")</f>
        <v>Wealthier Nation Wins</v>
      </c>
    </row>
    <row r="304" spans="1:17" x14ac:dyDescent="0.2">
      <c r="A304" s="1">
        <v>900</v>
      </c>
      <c r="B304" s="2">
        <v>26720</v>
      </c>
      <c r="C304" s="7">
        <f>_xlfn.FLOOR.MATH(Table1[[#This Row],[year]],10)</f>
        <v>1970</v>
      </c>
      <c r="D304" t="s">
        <v>63</v>
      </c>
      <c r="E304" t="s">
        <v>43</v>
      </c>
      <c r="F304">
        <v>0</v>
      </c>
      <c r="G304">
        <v>0</v>
      </c>
      <c r="H304" t="s">
        <v>224</v>
      </c>
      <c r="I304" t="s">
        <v>226</v>
      </c>
      <c r="J304" t="s">
        <v>63</v>
      </c>
      <c r="K304" t="b">
        <v>0</v>
      </c>
      <c r="L304">
        <v>1973</v>
      </c>
      <c r="M304">
        <v>3006766758</v>
      </c>
      <c r="N304">
        <v>15162871287</v>
      </c>
      <c r="O304" t="b">
        <v>1</v>
      </c>
      <c r="P304">
        <v>0</v>
      </c>
      <c r="Q304" t="str" cm="1">
        <f t="array" ref="Q304">_xlfn.IFS(Table1[[#This Row],[Wealthier_Winner]]=-1,"Wealthier Nation Loses",Table1[[#This Row],[Wealthier_Winner]]=0,"Tie",Table1[[#This Row],[Wealthier_Winner]]=1,"Wealthier Nation Wins")</f>
        <v>Tie</v>
      </c>
    </row>
    <row r="305" spans="1:17" x14ac:dyDescent="0.2">
      <c r="A305" s="1">
        <v>902</v>
      </c>
      <c r="B305" s="2">
        <v>26720</v>
      </c>
      <c r="C305" s="7">
        <f>_xlfn.FLOOR.MATH(Table1[[#This Row],[year]],10)</f>
        <v>1970</v>
      </c>
      <c r="D305" t="s">
        <v>24</v>
      </c>
      <c r="E305" t="s">
        <v>305</v>
      </c>
      <c r="F305">
        <v>2</v>
      </c>
      <c r="G305">
        <v>0</v>
      </c>
      <c r="H305" t="s">
        <v>224</v>
      </c>
      <c r="I305" t="s">
        <v>326</v>
      </c>
      <c r="J305" t="s">
        <v>24</v>
      </c>
      <c r="K305" t="b">
        <v>0</v>
      </c>
      <c r="L305">
        <v>1973</v>
      </c>
      <c r="M305">
        <v>6242145880</v>
      </c>
      <c r="N305">
        <v>5152080387</v>
      </c>
      <c r="O305" t="b">
        <v>0</v>
      </c>
      <c r="P305">
        <v>1</v>
      </c>
      <c r="Q305" t="str" cm="1">
        <f t="array" ref="Q305">_xlfn.IFS(Table1[[#This Row],[Wealthier_Winner]]=-1,"Wealthier Nation Loses",Table1[[#This Row],[Wealthier_Winner]]=0,"Tie",Table1[[#This Row],[Wealthier_Winner]]=1,"Wealthier Nation Wins")</f>
        <v>Wealthier Nation Wins</v>
      </c>
    </row>
    <row r="306" spans="1:17" x14ac:dyDescent="0.2">
      <c r="A306" s="1">
        <v>905</v>
      </c>
      <c r="B306" s="2">
        <v>26727</v>
      </c>
      <c r="C306" s="7">
        <f>_xlfn.FLOOR.MATH(Table1[[#This Row],[year]],10)</f>
        <v>1970</v>
      </c>
      <c r="D306" t="s">
        <v>72</v>
      </c>
      <c r="E306" t="s">
        <v>28</v>
      </c>
      <c r="F306">
        <v>1</v>
      </c>
      <c r="G306">
        <v>1</v>
      </c>
      <c r="H306" t="s">
        <v>224</v>
      </c>
      <c r="I306" t="s">
        <v>327</v>
      </c>
      <c r="J306" t="s">
        <v>72</v>
      </c>
      <c r="K306" t="b">
        <v>0</v>
      </c>
      <c r="L306">
        <v>1973</v>
      </c>
      <c r="M306">
        <v>12802281897</v>
      </c>
      <c r="N306">
        <v>63923126201</v>
      </c>
      <c r="O306" t="b">
        <v>1</v>
      </c>
      <c r="P306">
        <v>0</v>
      </c>
      <c r="Q306" t="str" cm="1">
        <f t="array" ref="Q306">_xlfn.IFS(Table1[[#This Row],[Wealthier_Winner]]=-1,"Wealthier Nation Loses",Table1[[#This Row],[Wealthier_Winner]]=0,"Tie",Table1[[#This Row],[Wealthier_Winner]]=1,"Wealthier Nation Wins")</f>
        <v>Tie</v>
      </c>
    </row>
    <row r="307" spans="1:17" x14ac:dyDescent="0.2">
      <c r="A307" s="1">
        <v>906</v>
      </c>
      <c r="B307" s="2">
        <v>26734</v>
      </c>
      <c r="C307" s="7">
        <f>_xlfn.FLOOR.MATH(Table1[[#This Row],[year]],10)</f>
        <v>1970</v>
      </c>
      <c r="D307" t="s">
        <v>28</v>
      </c>
      <c r="E307" t="s">
        <v>37</v>
      </c>
      <c r="F307">
        <v>3</v>
      </c>
      <c r="G307">
        <v>1</v>
      </c>
      <c r="H307" t="s">
        <v>224</v>
      </c>
      <c r="I307" t="s">
        <v>301</v>
      </c>
      <c r="J307" t="s">
        <v>28</v>
      </c>
      <c r="K307" t="b">
        <v>0</v>
      </c>
      <c r="L307">
        <v>1973</v>
      </c>
      <c r="M307">
        <v>63923126201</v>
      </c>
      <c r="N307">
        <v>5134367778</v>
      </c>
      <c r="O307" t="b">
        <v>1</v>
      </c>
      <c r="P307">
        <v>1</v>
      </c>
      <c r="Q307" t="str" cm="1">
        <f t="array" ref="Q307">_xlfn.IFS(Table1[[#This Row],[Wealthier_Winner]]=-1,"Wealthier Nation Loses",Table1[[#This Row],[Wealthier_Winner]]=0,"Tie",Table1[[#This Row],[Wealthier_Winner]]=1,"Wealthier Nation Wins")</f>
        <v>Wealthier Nation Wins</v>
      </c>
    </row>
    <row r="308" spans="1:17" x14ac:dyDescent="0.2">
      <c r="A308" s="1">
        <v>907</v>
      </c>
      <c r="B308" s="2">
        <v>26734</v>
      </c>
      <c r="C308" s="7">
        <f>_xlfn.FLOOR.MATH(Table1[[#This Row],[year]],10)</f>
        <v>1970</v>
      </c>
      <c r="D308" t="s">
        <v>328</v>
      </c>
      <c r="E308" t="s">
        <v>72</v>
      </c>
      <c r="F308">
        <v>1</v>
      </c>
      <c r="G308">
        <v>1</v>
      </c>
      <c r="H308" t="s">
        <v>224</v>
      </c>
      <c r="I308" t="s">
        <v>301</v>
      </c>
      <c r="J308" t="s">
        <v>28</v>
      </c>
      <c r="K308" t="b">
        <v>1</v>
      </c>
      <c r="L308">
        <v>1973</v>
      </c>
      <c r="M308">
        <v>16273253012</v>
      </c>
      <c r="N308">
        <v>12802281897</v>
      </c>
      <c r="O308" t="b">
        <v>0</v>
      </c>
      <c r="P308">
        <v>0</v>
      </c>
      <c r="Q308" t="str" cm="1">
        <f t="array" ref="Q308">_xlfn.IFS(Table1[[#This Row],[Wealthier_Winner]]=-1,"Wealthier Nation Loses",Table1[[#This Row],[Wealthier_Winner]]=0,"Tie",Table1[[#This Row],[Wealthier_Winner]]=1,"Wealthier Nation Wins")</f>
        <v>Tie</v>
      </c>
    </row>
    <row r="309" spans="1:17" x14ac:dyDescent="0.2">
      <c r="A309" s="1">
        <v>908</v>
      </c>
      <c r="B309" s="2">
        <v>26736</v>
      </c>
      <c r="C309" s="7">
        <f>_xlfn.FLOOR.MATH(Table1[[#This Row],[year]],10)</f>
        <v>1970</v>
      </c>
      <c r="D309" t="s">
        <v>28</v>
      </c>
      <c r="E309" t="s">
        <v>328</v>
      </c>
      <c r="F309">
        <v>2</v>
      </c>
      <c r="G309">
        <v>1</v>
      </c>
      <c r="H309" t="s">
        <v>224</v>
      </c>
      <c r="I309" t="s">
        <v>301</v>
      </c>
      <c r="J309" t="s">
        <v>28</v>
      </c>
      <c r="K309" t="b">
        <v>0</v>
      </c>
      <c r="L309">
        <v>1973</v>
      </c>
      <c r="M309">
        <v>63923126201</v>
      </c>
      <c r="N309">
        <v>16273253012</v>
      </c>
      <c r="O309" t="b">
        <v>1</v>
      </c>
      <c r="P309">
        <v>1</v>
      </c>
      <c r="Q309" t="str" cm="1">
        <f t="array" ref="Q309">_xlfn.IFS(Table1[[#This Row],[Wealthier_Winner]]=-1,"Wealthier Nation Loses",Table1[[#This Row],[Wealthier_Winner]]=0,"Tie",Table1[[#This Row],[Wealthier_Winner]]=1,"Wealthier Nation Wins")</f>
        <v>Wealthier Nation Wins</v>
      </c>
    </row>
    <row r="310" spans="1:17" x14ac:dyDescent="0.2">
      <c r="A310" s="1">
        <v>909</v>
      </c>
      <c r="B310" s="2">
        <v>26736</v>
      </c>
      <c r="C310" s="7">
        <f>_xlfn.FLOOR.MATH(Table1[[#This Row],[year]],10)</f>
        <v>1970</v>
      </c>
      <c r="D310" t="s">
        <v>37</v>
      </c>
      <c r="E310" t="s">
        <v>72</v>
      </c>
      <c r="F310">
        <v>2</v>
      </c>
      <c r="G310">
        <v>0</v>
      </c>
      <c r="H310" t="s">
        <v>224</v>
      </c>
      <c r="I310" t="s">
        <v>301</v>
      </c>
      <c r="J310" t="s">
        <v>28</v>
      </c>
      <c r="K310" t="b">
        <v>1</v>
      </c>
      <c r="L310">
        <v>1973</v>
      </c>
      <c r="M310">
        <v>5134367778</v>
      </c>
      <c r="N310">
        <v>12802281897</v>
      </c>
      <c r="O310" t="b">
        <v>1</v>
      </c>
      <c r="P310">
        <v>-1</v>
      </c>
      <c r="Q310" t="str" cm="1">
        <f t="array" ref="Q310">_xlfn.IFS(Table1[[#This Row],[Wealthier_Winner]]=-1,"Wealthier Nation Loses",Table1[[#This Row],[Wealthier_Winner]]=0,"Tie",Table1[[#This Row],[Wealthier_Winner]]=1,"Wealthier Nation Wins")</f>
        <v>Wealthier Nation Loses</v>
      </c>
    </row>
    <row r="311" spans="1:17" x14ac:dyDescent="0.2">
      <c r="A311" s="1">
        <v>910</v>
      </c>
      <c r="B311" s="2">
        <v>26739</v>
      </c>
      <c r="C311" s="7">
        <f>_xlfn.FLOOR.MATH(Table1[[#This Row],[year]],10)</f>
        <v>1970</v>
      </c>
      <c r="D311" t="s">
        <v>28</v>
      </c>
      <c r="E311" t="s">
        <v>72</v>
      </c>
      <c r="F311">
        <v>3</v>
      </c>
      <c r="G311">
        <v>3</v>
      </c>
      <c r="H311" t="s">
        <v>224</v>
      </c>
      <c r="I311" t="s">
        <v>301</v>
      </c>
      <c r="J311" t="s">
        <v>28</v>
      </c>
      <c r="K311" t="b">
        <v>0</v>
      </c>
      <c r="L311">
        <v>1973</v>
      </c>
      <c r="M311">
        <v>63923126201</v>
      </c>
      <c r="N311">
        <v>12802281897</v>
      </c>
      <c r="O311" t="b">
        <v>1</v>
      </c>
      <c r="P311">
        <v>0</v>
      </c>
      <c r="Q311" t="str" cm="1">
        <f t="array" ref="Q311">_xlfn.IFS(Table1[[#This Row],[Wealthier_Winner]]=-1,"Wealthier Nation Loses",Table1[[#This Row],[Wealthier_Winner]]=0,"Tie",Table1[[#This Row],[Wealthier_Winner]]=1,"Wealthier Nation Wins")</f>
        <v>Tie</v>
      </c>
    </row>
    <row r="312" spans="1:17" x14ac:dyDescent="0.2">
      <c r="A312" s="1">
        <v>911</v>
      </c>
      <c r="B312" s="2">
        <v>26739</v>
      </c>
      <c r="C312" s="7">
        <f>_xlfn.FLOOR.MATH(Table1[[#This Row],[year]],10)</f>
        <v>1970</v>
      </c>
      <c r="D312" t="s">
        <v>37</v>
      </c>
      <c r="E312" t="s">
        <v>328</v>
      </c>
      <c r="F312">
        <v>1</v>
      </c>
      <c r="G312">
        <v>1</v>
      </c>
      <c r="H312" t="s">
        <v>224</v>
      </c>
      <c r="I312" t="s">
        <v>301</v>
      </c>
      <c r="J312" t="s">
        <v>28</v>
      </c>
      <c r="K312" t="b">
        <v>1</v>
      </c>
      <c r="L312">
        <v>1973</v>
      </c>
      <c r="M312">
        <v>5134367778</v>
      </c>
      <c r="N312">
        <v>16273253012</v>
      </c>
      <c r="O312" t="b">
        <v>1</v>
      </c>
      <c r="P312">
        <v>0</v>
      </c>
      <c r="Q312" t="str" cm="1">
        <f t="array" ref="Q312">_xlfn.IFS(Table1[[#This Row],[Wealthier_Winner]]=-1,"Wealthier Nation Loses",Table1[[#This Row],[Wealthier_Winner]]=0,"Tie",Table1[[#This Row],[Wealthier_Winner]]=1,"Wealthier Nation Wins")</f>
        <v>Tie</v>
      </c>
    </row>
    <row r="313" spans="1:17" x14ac:dyDescent="0.2">
      <c r="A313" s="1">
        <v>912</v>
      </c>
      <c r="B313" s="2">
        <v>26741</v>
      </c>
      <c r="C313" s="7">
        <f>_xlfn.FLOOR.MATH(Table1[[#This Row],[year]],10)</f>
        <v>1970</v>
      </c>
      <c r="D313" t="s">
        <v>28</v>
      </c>
      <c r="E313" t="s">
        <v>37</v>
      </c>
      <c r="F313">
        <v>0</v>
      </c>
      <c r="G313">
        <v>0</v>
      </c>
      <c r="H313" t="s">
        <v>224</v>
      </c>
      <c r="I313" t="s">
        <v>329</v>
      </c>
      <c r="J313" t="s">
        <v>28</v>
      </c>
      <c r="K313" t="b">
        <v>0</v>
      </c>
      <c r="L313">
        <v>1973</v>
      </c>
      <c r="M313">
        <v>63923126201</v>
      </c>
      <c r="N313">
        <v>5134367778</v>
      </c>
      <c r="O313" t="b">
        <v>1</v>
      </c>
      <c r="P313">
        <v>0</v>
      </c>
      <c r="Q313" t="str" cm="1">
        <f t="array" ref="Q313">_xlfn.IFS(Table1[[#This Row],[Wealthier_Winner]]=-1,"Wealthier Nation Loses",Table1[[#This Row],[Wealthier_Winner]]=0,"Tie",Table1[[#This Row],[Wealthier_Winner]]=1,"Wealthier Nation Wins")</f>
        <v>Tie</v>
      </c>
    </row>
    <row r="314" spans="1:17" x14ac:dyDescent="0.2">
      <c r="A314" s="1">
        <v>913</v>
      </c>
      <c r="B314" s="2">
        <v>26741</v>
      </c>
      <c r="C314" s="7">
        <f>_xlfn.FLOOR.MATH(Table1[[#This Row],[year]],10)</f>
        <v>1970</v>
      </c>
      <c r="D314" t="s">
        <v>328</v>
      </c>
      <c r="E314" t="s">
        <v>72</v>
      </c>
      <c r="F314">
        <v>1</v>
      </c>
      <c r="G314">
        <v>0</v>
      </c>
      <c r="H314" t="s">
        <v>224</v>
      </c>
      <c r="I314" t="s">
        <v>329</v>
      </c>
      <c r="J314" t="s">
        <v>28</v>
      </c>
      <c r="K314" t="b">
        <v>1</v>
      </c>
      <c r="L314">
        <v>1973</v>
      </c>
      <c r="M314">
        <v>16273253012</v>
      </c>
      <c r="N314">
        <v>12802281897</v>
      </c>
      <c r="O314" t="b">
        <v>0</v>
      </c>
      <c r="P314">
        <v>1</v>
      </c>
      <c r="Q314" t="str" cm="1">
        <f t="array" ref="Q314">_xlfn.IFS(Table1[[#This Row],[Wealthier_Winner]]=-1,"Wealthier Nation Loses",Table1[[#This Row],[Wealthier_Winner]]=0,"Tie",Table1[[#This Row],[Wealthier_Winner]]=1,"Wealthier Nation Wins")</f>
        <v>Wealthier Nation Wins</v>
      </c>
    </row>
    <row r="315" spans="1:17" x14ac:dyDescent="0.2">
      <c r="A315" s="1">
        <v>914</v>
      </c>
      <c r="B315" s="2">
        <v>26744</v>
      </c>
      <c r="C315" s="7">
        <f>_xlfn.FLOOR.MATH(Table1[[#This Row],[year]],10)</f>
        <v>1970</v>
      </c>
      <c r="D315" t="s">
        <v>37</v>
      </c>
      <c r="E315" t="s">
        <v>328</v>
      </c>
      <c r="F315">
        <v>3</v>
      </c>
      <c r="G315">
        <v>2</v>
      </c>
      <c r="H315" t="s">
        <v>224</v>
      </c>
      <c r="I315" t="s">
        <v>301</v>
      </c>
      <c r="J315" t="s">
        <v>28</v>
      </c>
      <c r="K315" t="b">
        <v>1</v>
      </c>
      <c r="L315">
        <v>1973</v>
      </c>
      <c r="M315">
        <v>5134367778</v>
      </c>
      <c r="N315">
        <v>16273253012</v>
      </c>
      <c r="O315" t="b">
        <v>1</v>
      </c>
      <c r="P315">
        <v>-1</v>
      </c>
      <c r="Q315" t="str" cm="1">
        <f t="array" ref="Q315">_xlfn.IFS(Table1[[#This Row],[Wealthier_Winner]]=-1,"Wealthier Nation Loses",Table1[[#This Row],[Wealthier_Winner]]=0,"Tie",Table1[[#This Row],[Wealthier_Winner]]=1,"Wealthier Nation Wins")</f>
        <v>Wealthier Nation Loses</v>
      </c>
    </row>
    <row r="316" spans="1:17" x14ac:dyDescent="0.2">
      <c r="A316" s="1">
        <v>915</v>
      </c>
      <c r="B316" s="2">
        <v>26747</v>
      </c>
      <c r="C316" s="7">
        <f>_xlfn.FLOOR.MATH(Table1[[#This Row],[year]],10)</f>
        <v>1970</v>
      </c>
      <c r="D316" t="s">
        <v>28</v>
      </c>
      <c r="E316" t="s">
        <v>328</v>
      </c>
      <c r="F316">
        <v>6</v>
      </c>
      <c r="G316">
        <v>0</v>
      </c>
      <c r="H316" t="s">
        <v>224</v>
      </c>
      <c r="I316" t="s">
        <v>301</v>
      </c>
      <c r="J316" t="s">
        <v>28</v>
      </c>
      <c r="K316" t="b">
        <v>0</v>
      </c>
      <c r="L316">
        <v>1973</v>
      </c>
      <c r="M316">
        <v>63923126201</v>
      </c>
      <c r="N316">
        <v>16273253012</v>
      </c>
      <c r="O316" t="b">
        <v>1</v>
      </c>
      <c r="P316">
        <v>1</v>
      </c>
      <c r="Q316" t="str" cm="1">
        <f t="array" ref="Q316">_xlfn.IFS(Table1[[#This Row],[Wealthier_Winner]]=-1,"Wealthier Nation Loses",Table1[[#This Row],[Wealthier_Winner]]=0,"Tie",Table1[[#This Row],[Wealthier_Winner]]=1,"Wealthier Nation Wins")</f>
        <v>Wealthier Nation Wins</v>
      </c>
    </row>
    <row r="317" spans="1:17" x14ac:dyDescent="0.2">
      <c r="A317" s="1">
        <v>916</v>
      </c>
      <c r="B317" s="2">
        <v>26747</v>
      </c>
      <c r="C317" s="7">
        <f>_xlfn.FLOOR.MATH(Table1[[#This Row],[year]],10)</f>
        <v>1970</v>
      </c>
      <c r="D317" t="s">
        <v>37</v>
      </c>
      <c r="E317" t="s">
        <v>72</v>
      </c>
      <c r="F317">
        <v>4</v>
      </c>
      <c r="G317">
        <v>0</v>
      </c>
      <c r="H317" t="s">
        <v>224</v>
      </c>
      <c r="I317" t="s">
        <v>301</v>
      </c>
      <c r="J317" t="s">
        <v>28</v>
      </c>
      <c r="K317" t="b">
        <v>1</v>
      </c>
      <c r="L317">
        <v>1973</v>
      </c>
      <c r="M317">
        <v>5134367778</v>
      </c>
      <c r="N317">
        <v>12802281897</v>
      </c>
      <c r="O317" t="b">
        <v>1</v>
      </c>
      <c r="P317">
        <v>-1</v>
      </c>
      <c r="Q317" t="str" cm="1">
        <f t="array" ref="Q317">_xlfn.IFS(Table1[[#This Row],[Wealthier_Winner]]=-1,"Wealthier Nation Loses",Table1[[#This Row],[Wealthier_Winner]]=0,"Tie",Table1[[#This Row],[Wealthier_Winner]]=1,"Wealthier Nation Wins")</f>
        <v>Wealthier Nation Loses</v>
      </c>
    </row>
    <row r="318" spans="1:17" x14ac:dyDescent="0.2">
      <c r="A318" s="1">
        <v>919</v>
      </c>
      <c r="B318" s="2">
        <v>26754</v>
      </c>
      <c r="C318" s="7">
        <f>_xlfn.FLOOR.MATH(Table1[[#This Row],[year]],10)</f>
        <v>1970</v>
      </c>
      <c r="D318" t="s">
        <v>18</v>
      </c>
      <c r="E318" t="s">
        <v>232</v>
      </c>
      <c r="F318">
        <v>5</v>
      </c>
      <c r="G318">
        <v>0</v>
      </c>
      <c r="H318" t="s">
        <v>224</v>
      </c>
      <c r="I318" t="s">
        <v>117</v>
      </c>
      <c r="J318" t="s">
        <v>18</v>
      </c>
      <c r="K318" t="b">
        <v>0</v>
      </c>
      <c r="L318">
        <v>1973</v>
      </c>
      <c r="M318">
        <v>175896529392</v>
      </c>
      <c r="N318">
        <v>2609875802</v>
      </c>
      <c r="O318" t="b">
        <v>1</v>
      </c>
      <c r="P318">
        <v>1</v>
      </c>
      <c r="Q318" t="str" cm="1">
        <f t="array" ref="Q318">_xlfn.IFS(Table1[[#This Row],[Wealthier_Winner]]=-1,"Wealthier Nation Loses",Table1[[#This Row],[Wealthier_Winner]]=0,"Tie",Table1[[#This Row],[Wealthier_Winner]]=1,"Wealthier Nation Wins")</f>
        <v>Wealthier Nation Wins</v>
      </c>
    </row>
    <row r="319" spans="1:17" x14ac:dyDescent="0.2">
      <c r="A319" s="1">
        <v>920</v>
      </c>
      <c r="B319" s="2">
        <v>26755</v>
      </c>
      <c r="C319" s="7">
        <f>_xlfn.FLOOR.MATH(Table1[[#This Row],[year]],10)</f>
        <v>1970</v>
      </c>
      <c r="D319" t="s">
        <v>238</v>
      </c>
      <c r="E319" t="s">
        <v>273</v>
      </c>
      <c r="F319">
        <v>0</v>
      </c>
      <c r="G319">
        <v>0</v>
      </c>
      <c r="H319" t="s">
        <v>224</v>
      </c>
      <c r="I319" t="s">
        <v>288</v>
      </c>
      <c r="J319" t="s">
        <v>238</v>
      </c>
      <c r="K319" t="b">
        <v>0</v>
      </c>
      <c r="L319">
        <v>1973</v>
      </c>
      <c r="M319">
        <v>4070570549</v>
      </c>
      <c r="N319">
        <v>2434255236</v>
      </c>
      <c r="O319" t="b">
        <v>0</v>
      </c>
      <c r="P319">
        <v>0</v>
      </c>
      <c r="Q319" t="str" cm="1">
        <f t="array" ref="Q319">_xlfn.IFS(Table1[[#This Row],[Wealthier_Winner]]=-1,"Wealthier Nation Loses",Table1[[#This Row],[Wealthier_Winner]]=0,"Tie",Table1[[#This Row],[Wealthier_Winner]]=1,"Wealthier Nation Wins")</f>
        <v>Tie</v>
      </c>
    </row>
    <row r="320" spans="1:17" x14ac:dyDescent="0.2">
      <c r="A320" s="1">
        <v>922</v>
      </c>
      <c r="B320" s="2">
        <v>26762</v>
      </c>
      <c r="C320" s="7">
        <f>_xlfn.FLOOR.MATH(Table1[[#This Row],[year]],10)</f>
        <v>1970</v>
      </c>
      <c r="D320" t="s">
        <v>232</v>
      </c>
      <c r="E320" t="s">
        <v>46</v>
      </c>
      <c r="F320">
        <v>0</v>
      </c>
      <c r="G320">
        <v>1</v>
      </c>
      <c r="H320" t="s">
        <v>224</v>
      </c>
      <c r="I320" t="s">
        <v>232</v>
      </c>
      <c r="J320" t="s">
        <v>232</v>
      </c>
      <c r="K320" t="b">
        <v>0</v>
      </c>
      <c r="L320">
        <v>1973</v>
      </c>
      <c r="M320">
        <v>2609875802</v>
      </c>
      <c r="N320">
        <v>49550006319</v>
      </c>
      <c r="O320" t="b">
        <v>1</v>
      </c>
      <c r="P320">
        <v>1</v>
      </c>
      <c r="Q320" t="str" cm="1">
        <f t="array" ref="Q320">_xlfn.IFS(Table1[[#This Row],[Wealthier_Winner]]=-1,"Wealthier Nation Loses",Table1[[#This Row],[Wealthier_Winner]]=0,"Tie",Table1[[#This Row],[Wealthier_Winner]]=1,"Wealthier Nation Wins")</f>
        <v>Wealthier Nation Wins</v>
      </c>
    </row>
    <row r="321" spans="1:17" x14ac:dyDescent="0.2">
      <c r="A321" s="1">
        <v>923</v>
      </c>
      <c r="B321" s="2">
        <v>26769</v>
      </c>
      <c r="C321" s="7">
        <f>_xlfn.FLOOR.MATH(Table1[[#This Row],[year]],10)</f>
        <v>1970</v>
      </c>
      <c r="D321" t="s">
        <v>273</v>
      </c>
      <c r="E321" t="s">
        <v>238</v>
      </c>
      <c r="F321">
        <v>4</v>
      </c>
      <c r="G321">
        <v>2</v>
      </c>
      <c r="H321" t="s">
        <v>224</v>
      </c>
      <c r="I321" t="s">
        <v>330</v>
      </c>
      <c r="J321" t="s">
        <v>273</v>
      </c>
      <c r="K321" t="b">
        <v>0</v>
      </c>
      <c r="L321">
        <v>1973</v>
      </c>
      <c r="M321">
        <v>2434255236</v>
      </c>
      <c r="N321">
        <v>4070570549</v>
      </c>
      <c r="O321" t="b">
        <v>0</v>
      </c>
      <c r="P321">
        <v>-1</v>
      </c>
      <c r="Q321" t="str" cm="1">
        <f t="array" ref="Q321">_xlfn.IFS(Table1[[#This Row],[Wealthier_Winner]]=-1,"Wealthier Nation Loses",Table1[[#This Row],[Wealthier_Winner]]=0,"Tie",Table1[[#This Row],[Wealthier_Winner]]=1,"Wealthier Nation Wins")</f>
        <v>Wealthier Nation Loses</v>
      </c>
    </row>
    <row r="322" spans="1:17" x14ac:dyDescent="0.2">
      <c r="A322" s="1">
        <v>924</v>
      </c>
      <c r="B322" s="2">
        <v>26783</v>
      </c>
      <c r="C322" s="7">
        <f>_xlfn.FLOOR.MATH(Table1[[#This Row],[year]],10)</f>
        <v>1970</v>
      </c>
      <c r="D322" t="s">
        <v>30</v>
      </c>
      <c r="E322" t="s">
        <v>29</v>
      </c>
      <c r="F322">
        <v>2</v>
      </c>
      <c r="G322">
        <v>2</v>
      </c>
      <c r="H322" t="s">
        <v>224</v>
      </c>
      <c r="I322" t="s">
        <v>297</v>
      </c>
      <c r="J322" t="s">
        <v>30</v>
      </c>
      <c r="K322" t="b">
        <v>0</v>
      </c>
      <c r="L322">
        <v>1973</v>
      </c>
      <c r="M322">
        <v>9138292402</v>
      </c>
      <c r="N322">
        <v>29399860144</v>
      </c>
      <c r="O322" t="b">
        <v>1</v>
      </c>
      <c r="P322">
        <v>0</v>
      </c>
      <c r="Q322" t="str" cm="1">
        <f t="array" ref="Q322">_xlfn.IFS(Table1[[#This Row],[Wealthier_Winner]]=-1,"Wealthier Nation Loses",Table1[[#This Row],[Wealthier_Winner]]=0,"Tie",Table1[[#This Row],[Wealthier_Winner]]=1,"Wealthier Nation Wins")</f>
        <v>Tie</v>
      </c>
    </row>
    <row r="323" spans="1:17" x14ac:dyDescent="0.2">
      <c r="A323" s="1">
        <v>925</v>
      </c>
      <c r="B323" s="2">
        <v>26783</v>
      </c>
      <c r="C323" s="7">
        <f>_xlfn.FLOOR.MATH(Table1[[#This Row],[year]],10)</f>
        <v>1970</v>
      </c>
      <c r="D323" t="s">
        <v>31</v>
      </c>
      <c r="E323" t="s">
        <v>14</v>
      </c>
      <c r="F323">
        <v>2</v>
      </c>
      <c r="G323">
        <v>0</v>
      </c>
      <c r="H323" t="s">
        <v>224</v>
      </c>
      <c r="I323" t="s">
        <v>242</v>
      </c>
      <c r="J323" t="s">
        <v>31</v>
      </c>
      <c r="K323" t="b">
        <v>0</v>
      </c>
      <c r="L323">
        <v>1973</v>
      </c>
      <c r="M323">
        <v>10994381895</v>
      </c>
      <c r="N323">
        <v>17237336172</v>
      </c>
      <c r="O323" t="b">
        <v>0</v>
      </c>
      <c r="P323">
        <v>-1</v>
      </c>
      <c r="Q323" t="str" cm="1">
        <f t="array" ref="Q323">_xlfn.IFS(Table1[[#This Row],[Wealthier_Winner]]=-1,"Wealthier Nation Loses",Table1[[#This Row],[Wealthier_Winner]]=0,"Tie",Table1[[#This Row],[Wealthier_Winner]]=1,"Wealthier Nation Wins")</f>
        <v>Wealthier Nation Loses</v>
      </c>
    </row>
    <row r="324" spans="1:17" x14ac:dyDescent="0.2">
      <c r="A324" s="1">
        <v>929</v>
      </c>
      <c r="B324" s="2">
        <v>26788</v>
      </c>
      <c r="C324" s="7">
        <f>_xlfn.FLOOR.MATH(Table1[[#This Row],[year]],10)</f>
        <v>1970</v>
      </c>
      <c r="D324" t="s">
        <v>331</v>
      </c>
      <c r="E324" t="s">
        <v>71</v>
      </c>
      <c r="F324">
        <v>2</v>
      </c>
      <c r="G324">
        <v>1</v>
      </c>
      <c r="H324" t="s">
        <v>224</v>
      </c>
      <c r="I324" t="s">
        <v>332</v>
      </c>
      <c r="J324" t="s">
        <v>210</v>
      </c>
      <c r="K324" t="b">
        <v>1</v>
      </c>
      <c r="L324">
        <v>1973</v>
      </c>
      <c r="M324">
        <v>3239487516</v>
      </c>
      <c r="N324">
        <v>5408804607</v>
      </c>
      <c r="O324" t="b">
        <v>0</v>
      </c>
      <c r="P324">
        <v>-1</v>
      </c>
      <c r="Q324" t="str" cm="1">
        <f t="array" ref="Q324">_xlfn.IFS(Table1[[#This Row],[Wealthier_Winner]]=-1,"Wealthier Nation Loses",Table1[[#This Row],[Wealthier_Winner]]=0,"Tie",Table1[[#This Row],[Wealthier_Winner]]=1,"Wealthier Nation Wins")</f>
        <v>Wealthier Nation Loses</v>
      </c>
    </row>
    <row r="325" spans="1:17" x14ac:dyDescent="0.2">
      <c r="A325" s="1">
        <v>931</v>
      </c>
      <c r="B325" s="2">
        <v>26790</v>
      </c>
      <c r="C325" s="7">
        <f>_xlfn.FLOOR.MATH(Table1[[#This Row],[year]],10)</f>
        <v>1970</v>
      </c>
      <c r="D325" t="s">
        <v>210</v>
      </c>
      <c r="E325" t="s">
        <v>71</v>
      </c>
      <c r="F325">
        <v>2</v>
      </c>
      <c r="G325">
        <v>1</v>
      </c>
      <c r="H325" t="s">
        <v>224</v>
      </c>
      <c r="I325" t="s">
        <v>332</v>
      </c>
      <c r="J325" t="s">
        <v>210</v>
      </c>
      <c r="K325" t="b">
        <v>0</v>
      </c>
      <c r="L325">
        <v>1973</v>
      </c>
      <c r="M325">
        <v>27081698249</v>
      </c>
      <c r="N325">
        <v>5408804607</v>
      </c>
      <c r="O325" t="b">
        <v>1</v>
      </c>
      <c r="P325">
        <v>1</v>
      </c>
      <c r="Q325" t="str" cm="1">
        <f t="array" ref="Q325">_xlfn.IFS(Table1[[#This Row],[Wealthier_Winner]]=-1,"Wealthier Nation Loses",Table1[[#This Row],[Wealthier_Winner]]=0,"Tie",Table1[[#This Row],[Wealthier_Winner]]=1,"Wealthier Nation Wins")</f>
        <v>Wealthier Nation Wins</v>
      </c>
    </row>
    <row r="326" spans="1:17" x14ac:dyDescent="0.2">
      <c r="A326" s="1">
        <v>933</v>
      </c>
      <c r="B326" s="2">
        <v>26792</v>
      </c>
      <c r="C326" s="7">
        <f>_xlfn.FLOOR.MATH(Table1[[#This Row],[year]],10)</f>
        <v>1970</v>
      </c>
      <c r="D326" t="s">
        <v>210</v>
      </c>
      <c r="E326" t="s">
        <v>331</v>
      </c>
      <c r="F326">
        <v>1</v>
      </c>
      <c r="G326">
        <v>0</v>
      </c>
      <c r="H326" t="s">
        <v>224</v>
      </c>
      <c r="I326" t="s">
        <v>332</v>
      </c>
      <c r="J326" t="s">
        <v>210</v>
      </c>
      <c r="K326" t="b">
        <v>0</v>
      </c>
      <c r="L326">
        <v>1973</v>
      </c>
      <c r="M326">
        <v>27081698249</v>
      </c>
      <c r="N326">
        <v>3239487516</v>
      </c>
      <c r="O326" t="b">
        <v>1</v>
      </c>
      <c r="P326">
        <v>1</v>
      </c>
      <c r="Q326" t="str" cm="1">
        <f t="array" ref="Q326">_xlfn.IFS(Table1[[#This Row],[Wealthier_Winner]]=-1,"Wealthier Nation Loses",Table1[[#This Row],[Wealthier_Winner]]=0,"Tie",Table1[[#This Row],[Wealthier_Winner]]=1,"Wealthier Nation Wins")</f>
        <v>Wealthier Nation Wins</v>
      </c>
    </row>
    <row r="327" spans="1:17" x14ac:dyDescent="0.2">
      <c r="A327" s="1">
        <v>938</v>
      </c>
      <c r="B327" s="2">
        <v>26795</v>
      </c>
      <c r="C327" s="7">
        <f>_xlfn.FLOOR.MATH(Table1[[#This Row],[year]],10)</f>
        <v>1970</v>
      </c>
      <c r="D327" t="s">
        <v>331</v>
      </c>
      <c r="E327" t="s">
        <v>71</v>
      </c>
      <c r="F327">
        <v>2</v>
      </c>
      <c r="G327">
        <v>0</v>
      </c>
      <c r="H327" t="s">
        <v>224</v>
      </c>
      <c r="I327" t="s">
        <v>332</v>
      </c>
      <c r="J327" t="s">
        <v>210</v>
      </c>
      <c r="K327" t="b">
        <v>1</v>
      </c>
      <c r="L327">
        <v>1973</v>
      </c>
      <c r="M327">
        <v>3239487516</v>
      </c>
      <c r="N327">
        <v>5408804607</v>
      </c>
      <c r="O327" t="b">
        <v>0</v>
      </c>
      <c r="P327">
        <v>-1</v>
      </c>
      <c r="Q327" t="str" cm="1">
        <f t="array" ref="Q327">_xlfn.IFS(Table1[[#This Row],[Wealthier_Winner]]=-1,"Wealthier Nation Loses",Table1[[#This Row],[Wealthier_Winner]]=0,"Tie",Table1[[#This Row],[Wealthier_Winner]]=1,"Wealthier Nation Wins")</f>
        <v>Wealthier Nation Loses</v>
      </c>
    </row>
    <row r="328" spans="1:17" x14ac:dyDescent="0.2">
      <c r="A328" s="1">
        <v>939</v>
      </c>
      <c r="B328" s="2">
        <v>26797</v>
      </c>
      <c r="C328" s="7">
        <f>_xlfn.FLOOR.MATH(Table1[[#This Row],[year]],10)</f>
        <v>1970</v>
      </c>
      <c r="D328" t="s">
        <v>14</v>
      </c>
      <c r="E328" t="s">
        <v>31</v>
      </c>
      <c r="F328">
        <v>2</v>
      </c>
      <c r="G328">
        <v>0</v>
      </c>
      <c r="H328" t="s">
        <v>224</v>
      </c>
      <c r="I328" t="s">
        <v>75</v>
      </c>
      <c r="J328" t="s">
        <v>14</v>
      </c>
      <c r="K328" t="b">
        <v>0</v>
      </c>
      <c r="L328">
        <v>1973</v>
      </c>
      <c r="M328">
        <v>17237336172</v>
      </c>
      <c r="N328">
        <v>10994381895</v>
      </c>
      <c r="O328" t="b">
        <v>0</v>
      </c>
      <c r="P328">
        <v>1</v>
      </c>
      <c r="Q328" t="str" cm="1">
        <f t="array" ref="Q328">_xlfn.IFS(Table1[[#This Row],[Wealthier_Winner]]=-1,"Wealthier Nation Loses",Table1[[#This Row],[Wealthier_Winner]]=0,"Tie",Table1[[#This Row],[Wealthier_Winner]]=1,"Wealthier Nation Wins")</f>
        <v>Wealthier Nation Wins</v>
      </c>
    </row>
    <row r="329" spans="1:17" x14ac:dyDescent="0.2">
      <c r="A329" s="1">
        <v>940</v>
      </c>
      <c r="B329" s="2">
        <v>26797</v>
      </c>
      <c r="C329" s="7">
        <f>_xlfn.FLOOR.MATH(Table1[[#This Row],[year]],10)</f>
        <v>1970</v>
      </c>
      <c r="D329" t="s">
        <v>210</v>
      </c>
      <c r="E329" t="s">
        <v>71</v>
      </c>
      <c r="F329">
        <v>2</v>
      </c>
      <c r="G329">
        <v>0</v>
      </c>
      <c r="H329" t="s">
        <v>224</v>
      </c>
      <c r="I329" t="s">
        <v>332</v>
      </c>
      <c r="J329" t="s">
        <v>210</v>
      </c>
      <c r="K329" t="b">
        <v>0</v>
      </c>
      <c r="L329">
        <v>1973</v>
      </c>
      <c r="M329">
        <v>27081698249</v>
      </c>
      <c r="N329">
        <v>5408804607</v>
      </c>
      <c r="O329" t="b">
        <v>1</v>
      </c>
      <c r="P329">
        <v>1</v>
      </c>
      <c r="Q329" t="str" cm="1">
        <f t="array" ref="Q329">_xlfn.IFS(Table1[[#This Row],[Wealthier_Winner]]=-1,"Wealthier Nation Loses",Table1[[#This Row],[Wealthier_Winner]]=0,"Tie",Table1[[#This Row],[Wealthier_Winner]]=1,"Wealthier Nation Wins")</f>
        <v>Wealthier Nation Wins</v>
      </c>
    </row>
    <row r="330" spans="1:17" x14ac:dyDescent="0.2">
      <c r="A330" s="1">
        <v>943</v>
      </c>
      <c r="B330" s="2">
        <v>26799</v>
      </c>
      <c r="C330" s="7">
        <f>_xlfn.FLOOR.MATH(Table1[[#This Row],[year]],10)</f>
        <v>1970</v>
      </c>
      <c r="D330" t="s">
        <v>210</v>
      </c>
      <c r="E330" t="s">
        <v>331</v>
      </c>
      <c r="F330">
        <v>0</v>
      </c>
      <c r="G330">
        <v>1</v>
      </c>
      <c r="H330" t="s">
        <v>224</v>
      </c>
      <c r="I330" t="s">
        <v>332</v>
      </c>
      <c r="J330" t="s">
        <v>210</v>
      </c>
      <c r="K330" t="b">
        <v>0</v>
      </c>
      <c r="L330">
        <v>1973</v>
      </c>
      <c r="M330">
        <v>27081698249</v>
      </c>
      <c r="N330">
        <v>3239487516</v>
      </c>
      <c r="O330" t="b">
        <v>1</v>
      </c>
      <c r="P330">
        <v>-1</v>
      </c>
      <c r="Q330" t="str" cm="1">
        <f t="array" ref="Q330">_xlfn.IFS(Table1[[#This Row],[Wealthier_Winner]]=-1,"Wealthier Nation Loses",Table1[[#This Row],[Wealthier_Winner]]=0,"Tie",Table1[[#This Row],[Wealthier_Winner]]=1,"Wealthier Nation Wins")</f>
        <v>Wealthier Nation Loses</v>
      </c>
    </row>
    <row r="331" spans="1:17" x14ac:dyDescent="0.2">
      <c r="A331" s="1">
        <v>945</v>
      </c>
      <c r="B331" s="2">
        <v>26800</v>
      </c>
      <c r="C331" s="7">
        <f>_xlfn.FLOOR.MATH(Table1[[#This Row],[year]],10)</f>
        <v>1970</v>
      </c>
      <c r="D331" t="s">
        <v>22</v>
      </c>
      <c r="E331" t="s">
        <v>51</v>
      </c>
      <c r="F331">
        <v>2</v>
      </c>
      <c r="G331">
        <v>1</v>
      </c>
      <c r="H331" t="s">
        <v>224</v>
      </c>
      <c r="I331" t="s">
        <v>136</v>
      </c>
      <c r="J331" t="s">
        <v>195</v>
      </c>
      <c r="K331" t="b">
        <v>1</v>
      </c>
      <c r="L331">
        <v>1973</v>
      </c>
      <c r="M331">
        <v>11902574258</v>
      </c>
      <c r="N331">
        <v>441460582535</v>
      </c>
      <c r="O331" t="b">
        <v>1</v>
      </c>
      <c r="P331">
        <v>-1</v>
      </c>
      <c r="Q331" t="str" cm="1">
        <f t="array" ref="Q331">_xlfn.IFS(Table1[[#This Row],[Wealthier_Winner]]=-1,"Wealthier Nation Loses",Table1[[#This Row],[Wealthier_Winner]]=0,"Tie",Table1[[#This Row],[Wealthier_Winner]]=1,"Wealthier Nation Wins")</f>
        <v>Wealthier Nation Loses</v>
      </c>
    </row>
    <row r="332" spans="1:17" x14ac:dyDescent="0.2">
      <c r="A332" s="1">
        <v>949</v>
      </c>
      <c r="B332" s="2">
        <v>26803</v>
      </c>
      <c r="C332" s="7">
        <f>_xlfn.FLOOR.MATH(Table1[[#This Row],[year]],10)</f>
        <v>1970</v>
      </c>
      <c r="D332" t="s">
        <v>22</v>
      </c>
      <c r="E332" t="s">
        <v>333</v>
      </c>
      <c r="F332">
        <v>3</v>
      </c>
      <c r="G332">
        <v>0</v>
      </c>
      <c r="H332" t="s">
        <v>224</v>
      </c>
      <c r="I332" t="s">
        <v>136</v>
      </c>
      <c r="J332" t="s">
        <v>195</v>
      </c>
      <c r="K332" t="b">
        <v>1</v>
      </c>
      <c r="L332">
        <v>1973</v>
      </c>
      <c r="M332">
        <v>11902574258</v>
      </c>
      <c r="N332">
        <v>7662902677</v>
      </c>
      <c r="O332" t="b">
        <v>0</v>
      </c>
      <c r="P332">
        <v>1</v>
      </c>
      <c r="Q332" t="str" cm="1">
        <f t="array" ref="Q332">_xlfn.IFS(Table1[[#This Row],[Wealthier_Winner]]=-1,"Wealthier Nation Loses",Table1[[#This Row],[Wealthier_Winner]]=0,"Tie",Table1[[#This Row],[Wealthier_Winner]]=1,"Wealthier Nation Wins")</f>
        <v>Wealthier Nation Wins</v>
      </c>
    </row>
    <row r="333" spans="1:17" x14ac:dyDescent="0.2">
      <c r="A333" s="1">
        <v>950</v>
      </c>
      <c r="B333" s="2">
        <v>26803</v>
      </c>
      <c r="C333" s="7">
        <f>_xlfn.FLOOR.MATH(Table1[[#This Row],[year]],10)</f>
        <v>1970</v>
      </c>
      <c r="D333" t="s">
        <v>195</v>
      </c>
      <c r="E333" t="s">
        <v>334</v>
      </c>
      <c r="F333">
        <v>4</v>
      </c>
      <c r="G333">
        <v>0</v>
      </c>
      <c r="H333" t="s">
        <v>224</v>
      </c>
      <c r="I333" t="s">
        <v>136</v>
      </c>
      <c r="J333" t="s">
        <v>195</v>
      </c>
      <c r="K333" t="b">
        <v>0</v>
      </c>
      <c r="L333">
        <v>1973</v>
      </c>
      <c r="M333">
        <v>14067523813</v>
      </c>
      <c r="N333">
        <v>10838587357</v>
      </c>
      <c r="O333" t="b">
        <v>0</v>
      </c>
      <c r="P333">
        <v>1</v>
      </c>
      <c r="Q333" t="str" cm="1">
        <f t="array" ref="Q333">_xlfn.IFS(Table1[[#This Row],[Wealthier_Winner]]=-1,"Wealthier Nation Loses",Table1[[#This Row],[Wealthier_Winner]]=0,"Tie",Table1[[#This Row],[Wealthier_Winner]]=1,"Wealthier Nation Wins")</f>
        <v>Wealthier Nation Wins</v>
      </c>
    </row>
    <row r="334" spans="1:17" x14ac:dyDescent="0.2">
      <c r="A334" s="1">
        <v>953</v>
      </c>
      <c r="B334" s="2">
        <v>26805</v>
      </c>
      <c r="C334" s="7">
        <f>_xlfn.FLOOR.MATH(Table1[[#This Row],[year]],10)</f>
        <v>1970</v>
      </c>
      <c r="D334" t="s">
        <v>22</v>
      </c>
      <c r="E334" t="s">
        <v>334</v>
      </c>
      <c r="F334">
        <v>6</v>
      </c>
      <c r="G334">
        <v>0</v>
      </c>
      <c r="H334" t="s">
        <v>224</v>
      </c>
      <c r="I334" t="s">
        <v>136</v>
      </c>
      <c r="J334" t="s">
        <v>195</v>
      </c>
      <c r="K334" t="b">
        <v>1</v>
      </c>
      <c r="L334">
        <v>1973</v>
      </c>
      <c r="M334">
        <v>11902574258</v>
      </c>
      <c r="N334">
        <v>10838587357</v>
      </c>
      <c r="O334" t="b">
        <v>0</v>
      </c>
      <c r="P334">
        <v>1</v>
      </c>
      <c r="Q334" t="str" cm="1">
        <f t="array" ref="Q334">_xlfn.IFS(Table1[[#This Row],[Wealthier_Winner]]=-1,"Wealthier Nation Loses",Table1[[#This Row],[Wealthier_Winner]]=0,"Tie",Table1[[#This Row],[Wealthier_Winner]]=1,"Wealthier Nation Wins")</f>
        <v>Wealthier Nation Wins</v>
      </c>
    </row>
    <row r="335" spans="1:17" x14ac:dyDescent="0.2">
      <c r="A335" s="1">
        <v>954</v>
      </c>
      <c r="B335" s="2">
        <v>26805</v>
      </c>
      <c r="C335" s="7">
        <f>_xlfn.FLOOR.MATH(Table1[[#This Row],[year]],10)</f>
        <v>1970</v>
      </c>
      <c r="D335" t="s">
        <v>195</v>
      </c>
      <c r="E335" t="s">
        <v>333</v>
      </c>
      <c r="F335">
        <v>0</v>
      </c>
      <c r="G335">
        <v>0</v>
      </c>
      <c r="H335" t="s">
        <v>224</v>
      </c>
      <c r="I335" t="s">
        <v>136</v>
      </c>
      <c r="J335" t="s">
        <v>195</v>
      </c>
      <c r="K335" t="b">
        <v>0</v>
      </c>
      <c r="L335">
        <v>1973</v>
      </c>
      <c r="M335">
        <v>14067523813</v>
      </c>
      <c r="N335">
        <v>7662902677</v>
      </c>
      <c r="O335" t="b">
        <v>0</v>
      </c>
      <c r="P335">
        <v>0</v>
      </c>
      <c r="Q335" t="str" cm="1">
        <f t="array" ref="Q335">_xlfn.IFS(Table1[[#This Row],[Wealthier_Winner]]=-1,"Wealthier Nation Loses",Table1[[#This Row],[Wealthier_Winner]]=0,"Tie",Table1[[#This Row],[Wealthier_Winner]]=1,"Wealthier Nation Wins")</f>
        <v>Tie</v>
      </c>
    </row>
    <row r="336" spans="1:17" x14ac:dyDescent="0.2">
      <c r="A336" s="1">
        <v>956</v>
      </c>
      <c r="B336" s="2">
        <v>26807</v>
      </c>
      <c r="C336" s="7">
        <f>_xlfn.FLOOR.MATH(Table1[[#This Row],[year]],10)</f>
        <v>1970</v>
      </c>
      <c r="D336" t="s">
        <v>195</v>
      </c>
      <c r="E336" t="s">
        <v>22</v>
      </c>
      <c r="F336">
        <v>0</v>
      </c>
      <c r="G336">
        <v>0</v>
      </c>
      <c r="H336" t="s">
        <v>224</v>
      </c>
      <c r="I336" t="s">
        <v>136</v>
      </c>
      <c r="J336" t="s">
        <v>195</v>
      </c>
      <c r="K336" t="b">
        <v>0</v>
      </c>
      <c r="L336">
        <v>1973</v>
      </c>
      <c r="M336">
        <v>14067523813</v>
      </c>
      <c r="N336">
        <v>11902574258</v>
      </c>
      <c r="O336" t="b">
        <v>0</v>
      </c>
      <c r="P336">
        <v>0</v>
      </c>
      <c r="Q336" t="str" cm="1">
        <f t="array" ref="Q336">_xlfn.IFS(Table1[[#This Row],[Wealthier_Winner]]=-1,"Wealthier Nation Loses",Table1[[#This Row],[Wealthier_Winner]]=0,"Tie",Table1[[#This Row],[Wealthier_Winner]]=1,"Wealthier Nation Wins")</f>
        <v>Tie</v>
      </c>
    </row>
    <row r="337" spans="1:17" x14ac:dyDescent="0.2">
      <c r="A337" s="1">
        <v>957</v>
      </c>
      <c r="B337" s="2">
        <v>26807</v>
      </c>
      <c r="C337" s="7">
        <f>_xlfn.FLOOR.MATH(Table1[[#This Row],[year]],10)</f>
        <v>1970</v>
      </c>
      <c r="D337" t="s">
        <v>25</v>
      </c>
      <c r="E337" t="s">
        <v>29</v>
      </c>
      <c r="F337">
        <v>3</v>
      </c>
      <c r="G337">
        <v>2</v>
      </c>
      <c r="H337" t="s">
        <v>224</v>
      </c>
      <c r="I337" t="s">
        <v>317</v>
      </c>
      <c r="J337" t="s">
        <v>25</v>
      </c>
      <c r="K337" t="b">
        <v>0</v>
      </c>
      <c r="L337">
        <v>1973</v>
      </c>
      <c r="M337">
        <v>59318842992</v>
      </c>
      <c r="N337">
        <v>29399860144</v>
      </c>
      <c r="O337" t="b">
        <v>1</v>
      </c>
      <c r="P337">
        <v>1</v>
      </c>
      <c r="Q337" t="str" cm="1">
        <f t="array" ref="Q337">_xlfn.IFS(Table1[[#This Row],[Wealthier_Winner]]=-1,"Wealthier Nation Loses",Table1[[#This Row],[Wealthier_Winner]]=0,"Tie",Table1[[#This Row],[Wealthier_Winner]]=1,"Wealthier Nation Wins")</f>
        <v>Wealthier Nation Wins</v>
      </c>
    </row>
    <row r="338" spans="1:17" x14ac:dyDescent="0.2">
      <c r="A338" s="1">
        <v>958</v>
      </c>
      <c r="B338" s="2">
        <v>26807</v>
      </c>
      <c r="C338" s="7">
        <f>_xlfn.FLOOR.MATH(Table1[[#This Row],[year]],10)</f>
        <v>1970</v>
      </c>
      <c r="D338" t="s">
        <v>334</v>
      </c>
      <c r="E338" t="s">
        <v>333</v>
      </c>
      <c r="F338">
        <v>0</v>
      </c>
      <c r="G338">
        <v>2</v>
      </c>
      <c r="H338" t="s">
        <v>224</v>
      </c>
      <c r="I338" t="s">
        <v>136</v>
      </c>
      <c r="J338" t="s">
        <v>195</v>
      </c>
      <c r="K338" t="b">
        <v>1</v>
      </c>
      <c r="L338">
        <v>1973</v>
      </c>
      <c r="M338">
        <v>10838587357</v>
      </c>
      <c r="N338">
        <v>7662902677</v>
      </c>
      <c r="O338" t="b">
        <v>0</v>
      </c>
      <c r="P338">
        <v>-1</v>
      </c>
      <c r="Q338" t="str" cm="1">
        <f t="array" ref="Q338">_xlfn.IFS(Table1[[#This Row],[Wealthier_Winner]]=-1,"Wealthier Nation Loses",Table1[[#This Row],[Wealthier_Winner]]=0,"Tie",Table1[[#This Row],[Wealthier_Winner]]=1,"Wealthier Nation Wins")</f>
        <v>Wealthier Nation Loses</v>
      </c>
    </row>
    <row r="339" spans="1:17" x14ac:dyDescent="0.2">
      <c r="A339" s="1">
        <v>960</v>
      </c>
      <c r="B339" s="2">
        <v>26810</v>
      </c>
      <c r="C339" s="7">
        <f>_xlfn.FLOOR.MATH(Table1[[#This Row],[year]],10)</f>
        <v>1970</v>
      </c>
      <c r="D339" t="s">
        <v>22</v>
      </c>
      <c r="E339" t="s">
        <v>51</v>
      </c>
      <c r="F339">
        <v>1</v>
      </c>
      <c r="G339">
        <v>0</v>
      </c>
      <c r="H339" t="s">
        <v>224</v>
      </c>
      <c r="I339" t="s">
        <v>136</v>
      </c>
      <c r="J339" t="s">
        <v>195</v>
      </c>
      <c r="K339" t="b">
        <v>1</v>
      </c>
      <c r="L339">
        <v>1973</v>
      </c>
      <c r="M339">
        <v>11902574258</v>
      </c>
      <c r="N339">
        <v>441460582535</v>
      </c>
      <c r="O339" t="b">
        <v>1</v>
      </c>
      <c r="P339">
        <v>-1</v>
      </c>
      <c r="Q339" t="str" cm="1">
        <f t="array" ref="Q339">_xlfn.IFS(Table1[[#This Row],[Wealthier_Winner]]=-1,"Wealthier Nation Loses",Table1[[#This Row],[Wealthier_Winner]]=0,"Tie",Table1[[#This Row],[Wealthier_Winner]]=1,"Wealthier Nation Wins")</f>
        <v>Wealthier Nation Loses</v>
      </c>
    </row>
    <row r="340" spans="1:17" x14ac:dyDescent="0.2">
      <c r="A340" s="1">
        <v>964</v>
      </c>
      <c r="B340" s="2">
        <v>26812</v>
      </c>
      <c r="C340" s="7">
        <f>_xlfn.FLOOR.MATH(Table1[[#This Row],[year]],10)</f>
        <v>1970</v>
      </c>
      <c r="D340" t="s">
        <v>195</v>
      </c>
      <c r="E340" t="s">
        <v>22</v>
      </c>
      <c r="F340">
        <v>1</v>
      </c>
      <c r="G340">
        <v>0</v>
      </c>
      <c r="H340" t="s">
        <v>224</v>
      </c>
      <c r="I340" t="s">
        <v>136</v>
      </c>
      <c r="J340" t="s">
        <v>195</v>
      </c>
      <c r="K340" t="b">
        <v>0</v>
      </c>
      <c r="L340">
        <v>1973</v>
      </c>
      <c r="M340">
        <v>14067523813</v>
      </c>
      <c r="N340">
        <v>11902574258</v>
      </c>
      <c r="O340" t="b">
        <v>0</v>
      </c>
      <c r="P340">
        <v>1</v>
      </c>
      <c r="Q340" t="str" cm="1">
        <f t="array" ref="Q340">_xlfn.IFS(Table1[[#This Row],[Wealthier_Winner]]=-1,"Wealthier Nation Loses",Table1[[#This Row],[Wealthier_Winner]]=0,"Tie",Table1[[#This Row],[Wealthier_Winner]]=1,"Wealthier Nation Wins")</f>
        <v>Wealthier Nation Wins</v>
      </c>
    </row>
    <row r="341" spans="1:17" x14ac:dyDescent="0.2">
      <c r="A341" s="1">
        <v>969</v>
      </c>
      <c r="B341" s="2">
        <v>26828</v>
      </c>
      <c r="C341" s="7">
        <f>_xlfn.FLOOR.MATH(Table1[[#This Row],[year]],10)</f>
        <v>1970</v>
      </c>
      <c r="D341" t="s">
        <v>30</v>
      </c>
      <c r="E341" t="s">
        <v>25</v>
      </c>
      <c r="F341">
        <v>3</v>
      </c>
      <c r="G341">
        <v>3</v>
      </c>
      <c r="H341" t="s">
        <v>224</v>
      </c>
      <c r="I341" t="s">
        <v>297</v>
      </c>
      <c r="J341" t="s">
        <v>30</v>
      </c>
      <c r="K341" t="b">
        <v>0</v>
      </c>
      <c r="L341">
        <v>1973</v>
      </c>
      <c r="M341">
        <v>9138292402</v>
      </c>
      <c r="N341">
        <v>59318842992</v>
      </c>
      <c r="O341" t="b">
        <v>1</v>
      </c>
      <c r="P341">
        <v>0</v>
      </c>
      <c r="Q341" t="str" cm="1">
        <f t="array" ref="Q341">_xlfn.IFS(Table1[[#This Row],[Wealthier_Winner]]=-1,"Wealthier Nation Loses",Table1[[#This Row],[Wealthier_Winner]]=0,"Tie",Table1[[#This Row],[Wealthier_Winner]]=1,"Wealthier Nation Wins")</f>
        <v>Tie</v>
      </c>
    </row>
    <row r="342" spans="1:17" x14ac:dyDescent="0.2">
      <c r="A342" s="1">
        <v>970</v>
      </c>
      <c r="B342" s="2">
        <v>26836</v>
      </c>
      <c r="C342" s="7">
        <f>_xlfn.FLOOR.MATH(Table1[[#This Row],[year]],10)</f>
        <v>1970</v>
      </c>
      <c r="D342" t="s">
        <v>15</v>
      </c>
      <c r="E342" t="s">
        <v>57</v>
      </c>
      <c r="F342">
        <v>1</v>
      </c>
      <c r="G342">
        <v>1</v>
      </c>
      <c r="H342" t="s">
        <v>224</v>
      </c>
      <c r="I342" t="s">
        <v>241</v>
      </c>
      <c r="J342" t="s">
        <v>15</v>
      </c>
      <c r="K342" t="b">
        <v>0</v>
      </c>
      <c r="L342">
        <v>1973</v>
      </c>
      <c r="M342">
        <v>10315760000</v>
      </c>
      <c r="N342">
        <v>3891754150</v>
      </c>
      <c r="O342" t="b">
        <v>1</v>
      </c>
      <c r="P342">
        <v>0</v>
      </c>
      <c r="Q342" t="str" cm="1">
        <f t="array" ref="Q342">_xlfn.IFS(Table1[[#This Row],[Wealthier_Winner]]=-1,"Wealthier Nation Loses",Table1[[#This Row],[Wealthier_Winner]]=0,"Tie",Table1[[#This Row],[Wealthier_Winner]]=1,"Wealthier Nation Wins")</f>
        <v>Tie</v>
      </c>
    </row>
    <row r="343" spans="1:17" x14ac:dyDescent="0.2">
      <c r="A343" s="1">
        <v>971</v>
      </c>
      <c r="B343" s="2">
        <v>26839</v>
      </c>
      <c r="C343" s="7">
        <f>_xlfn.FLOOR.MATH(Table1[[#This Row],[year]],10)</f>
        <v>1970</v>
      </c>
      <c r="D343" t="s">
        <v>15</v>
      </c>
      <c r="E343" t="s">
        <v>26</v>
      </c>
      <c r="F343">
        <v>0</v>
      </c>
      <c r="G343">
        <v>0</v>
      </c>
      <c r="H343" t="s">
        <v>224</v>
      </c>
      <c r="I343" t="s">
        <v>241</v>
      </c>
      <c r="J343" t="s">
        <v>15</v>
      </c>
      <c r="K343" t="b">
        <v>0</v>
      </c>
      <c r="L343">
        <v>1973</v>
      </c>
      <c r="M343">
        <v>10315760000</v>
      </c>
      <c r="N343">
        <v>3964296443</v>
      </c>
      <c r="O343" t="b">
        <v>1</v>
      </c>
      <c r="P343">
        <v>0</v>
      </c>
      <c r="Q343" t="str" cm="1">
        <f t="array" ref="Q343">_xlfn.IFS(Table1[[#This Row],[Wealthier_Winner]]=-1,"Wealthier Nation Loses",Table1[[#This Row],[Wealthier_Winner]]=0,"Tie",Table1[[#This Row],[Wealthier_Winner]]=1,"Wealthier Nation Wins")</f>
        <v>Tie</v>
      </c>
    </row>
    <row r="344" spans="1:17" x14ac:dyDescent="0.2">
      <c r="A344" s="1">
        <v>972</v>
      </c>
      <c r="B344" s="2">
        <v>26843</v>
      </c>
      <c r="C344" s="7">
        <f>_xlfn.FLOOR.MATH(Table1[[#This Row],[year]],10)</f>
        <v>1970</v>
      </c>
      <c r="D344" t="s">
        <v>57</v>
      </c>
      <c r="E344" t="s">
        <v>15</v>
      </c>
      <c r="F344">
        <v>1</v>
      </c>
      <c r="G344">
        <v>1</v>
      </c>
      <c r="H344" t="s">
        <v>224</v>
      </c>
      <c r="I344" t="s">
        <v>237</v>
      </c>
      <c r="J344" t="s">
        <v>57</v>
      </c>
      <c r="K344" t="b">
        <v>0</v>
      </c>
      <c r="L344">
        <v>1973</v>
      </c>
      <c r="M344">
        <v>3891754150</v>
      </c>
      <c r="N344">
        <v>10315760000</v>
      </c>
      <c r="O344" t="b">
        <v>1</v>
      </c>
      <c r="P344">
        <v>0</v>
      </c>
      <c r="Q344" t="str" cm="1">
        <f t="array" ref="Q344">_xlfn.IFS(Table1[[#This Row],[Wealthier_Winner]]=-1,"Wealthier Nation Loses",Table1[[#This Row],[Wealthier_Winner]]=0,"Tie",Table1[[#This Row],[Wealthier_Winner]]=1,"Wealthier Nation Wins")</f>
        <v>Tie</v>
      </c>
    </row>
    <row r="345" spans="1:17" x14ac:dyDescent="0.2">
      <c r="A345" s="1">
        <v>973</v>
      </c>
      <c r="B345" s="2">
        <v>26846</v>
      </c>
      <c r="C345" s="7">
        <f>_xlfn.FLOOR.MATH(Table1[[#This Row],[year]],10)</f>
        <v>1970</v>
      </c>
      <c r="D345" t="s">
        <v>57</v>
      </c>
      <c r="E345" t="s">
        <v>26</v>
      </c>
      <c r="F345">
        <v>1</v>
      </c>
      <c r="G345">
        <v>2</v>
      </c>
      <c r="H345" t="s">
        <v>224</v>
      </c>
      <c r="I345" t="s">
        <v>335</v>
      </c>
      <c r="J345" t="s">
        <v>57</v>
      </c>
      <c r="K345" t="b">
        <v>0</v>
      </c>
      <c r="L345">
        <v>1973</v>
      </c>
      <c r="M345">
        <v>3891754150</v>
      </c>
      <c r="N345">
        <v>3964296443</v>
      </c>
      <c r="O345" t="b">
        <v>0</v>
      </c>
      <c r="P345">
        <v>1</v>
      </c>
      <c r="Q345" t="str" cm="1">
        <f t="array" ref="Q345">_xlfn.IFS(Table1[[#This Row],[Wealthier_Winner]]=-1,"Wealthier Nation Loses",Table1[[#This Row],[Wealthier_Winner]]=0,"Tie",Table1[[#This Row],[Wealthier_Winner]]=1,"Wealthier Nation Wins")</f>
        <v>Wealthier Nation Wins</v>
      </c>
    </row>
    <row r="346" spans="1:17" x14ac:dyDescent="0.2">
      <c r="A346" s="1">
        <v>974</v>
      </c>
      <c r="B346" s="2">
        <v>26850</v>
      </c>
      <c r="C346" s="7">
        <f>_xlfn.FLOOR.MATH(Table1[[#This Row],[year]],10)</f>
        <v>1970</v>
      </c>
      <c r="D346" t="s">
        <v>26</v>
      </c>
      <c r="E346" t="s">
        <v>15</v>
      </c>
      <c r="F346">
        <v>0</v>
      </c>
      <c r="G346">
        <v>1</v>
      </c>
      <c r="H346" t="s">
        <v>224</v>
      </c>
      <c r="I346" t="s">
        <v>247</v>
      </c>
      <c r="J346" t="s">
        <v>26</v>
      </c>
      <c r="K346" t="b">
        <v>0</v>
      </c>
      <c r="L346">
        <v>1973</v>
      </c>
      <c r="M346">
        <v>3964296443</v>
      </c>
      <c r="N346">
        <v>10315760000</v>
      </c>
      <c r="O346" t="b">
        <v>1</v>
      </c>
      <c r="P346">
        <v>1</v>
      </c>
      <c r="Q346" t="str" cm="1">
        <f t="array" ref="Q346">_xlfn.IFS(Table1[[#This Row],[Wealthier_Winner]]=-1,"Wealthier Nation Loses",Table1[[#This Row],[Wealthier_Winner]]=0,"Tie",Table1[[#This Row],[Wealthier_Winner]]=1,"Wealthier Nation Wins")</f>
        <v>Wealthier Nation Wins</v>
      </c>
    </row>
    <row r="347" spans="1:17" x14ac:dyDescent="0.2">
      <c r="A347" s="1">
        <v>975</v>
      </c>
      <c r="B347" s="2">
        <v>26853</v>
      </c>
      <c r="C347" s="7">
        <f>_xlfn.FLOOR.MATH(Table1[[#This Row],[year]],10)</f>
        <v>1970</v>
      </c>
      <c r="D347" t="s">
        <v>26</v>
      </c>
      <c r="E347" t="s">
        <v>57</v>
      </c>
      <c r="F347">
        <v>4</v>
      </c>
      <c r="G347">
        <v>0</v>
      </c>
      <c r="H347" t="s">
        <v>224</v>
      </c>
      <c r="I347" t="s">
        <v>247</v>
      </c>
      <c r="J347" t="s">
        <v>26</v>
      </c>
      <c r="K347" t="b">
        <v>0</v>
      </c>
      <c r="L347">
        <v>1973</v>
      </c>
      <c r="M347">
        <v>3964296443</v>
      </c>
      <c r="N347">
        <v>3891754150</v>
      </c>
      <c r="O347" t="b">
        <v>0</v>
      </c>
      <c r="P347">
        <v>1</v>
      </c>
      <c r="Q347" t="str" cm="1">
        <f t="array" ref="Q347">_xlfn.IFS(Table1[[#This Row],[Wealthier_Winner]]=-1,"Wealthier Nation Loses",Table1[[#This Row],[Wealthier_Winner]]=0,"Tie",Table1[[#This Row],[Wealthier_Winner]]=1,"Wealthier Nation Wins")</f>
        <v>Wealthier Nation Wins</v>
      </c>
    </row>
    <row r="348" spans="1:17" x14ac:dyDescent="0.2">
      <c r="A348" s="1">
        <v>976</v>
      </c>
      <c r="B348" s="2">
        <v>26878</v>
      </c>
      <c r="C348" s="7">
        <f>_xlfn.FLOOR.MATH(Table1[[#This Row],[year]],10)</f>
        <v>1970</v>
      </c>
      <c r="D348" t="s">
        <v>66</v>
      </c>
      <c r="E348" t="s">
        <v>42</v>
      </c>
      <c r="F348">
        <v>0</v>
      </c>
      <c r="G348">
        <v>4</v>
      </c>
      <c r="H348" t="s">
        <v>224</v>
      </c>
      <c r="I348" t="s">
        <v>336</v>
      </c>
      <c r="J348" t="s">
        <v>66</v>
      </c>
      <c r="K348" t="b">
        <v>0</v>
      </c>
      <c r="L348">
        <v>1973</v>
      </c>
      <c r="M348">
        <v>1194794186</v>
      </c>
      <c r="N348">
        <v>22534253702</v>
      </c>
      <c r="O348" t="b">
        <v>1</v>
      </c>
      <c r="P348">
        <v>1</v>
      </c>
      <c r="Q348" t="str" cm="1">
        <f t="array" ref="Q348">_xlfn.IFS(Table1[[#This Row],[Wealthier_Winner]]=-1,"Wealthier Nation Loses",Table1[[#This Row],[Wealthier_Winner]]=0,"Tie",Table1[[#This Row],[Wealthier_Winner]]=1,"Wealthier Nation Wins")</f>
        <v>Wealthier Nation Wins</v>
      </c>
    </row>
    <row r="349" spans="1:17" x14ac:dyDescent="0.2">
      <c r="A349" s="1">
        <v>977</v>
      </c>
      <c r="B349" s="2">
        <v>26881</v>
      </c>
      <c r="C349" s="7">
        <f>_xlfn.FLOOR.MATH(Table1[[#This Row],[year]],10)</f>
        <v>1970</v>
      </c>
      <c r="D349" t="s">
        <v>14</v>
      </c>
      <c r="E349" t="s">
        <v>31</v>
      </c>
      <c r="F349">
        <v>2</v>
      </c>
      <c r="G349">
        <v>1</v>
      </c>
      <c r="H349" t="s">
        <v>224</v>
      </c>
      <c r="I349" t="s">
        <v>247</v>
      </c>
      <c r="J349" t="s">
        <v>26</v>
      </c>
      <c r="K349" t="b">
        <v>1</v>
      </c>
      <c r="L349">
        <v>1973</v>
      </c>
      <c r="M349">
        <v>17237336172</v>
      </c>
      <c r="N349">
        <v>10994381895</v>
      </c>
      <c r="O349" t="b">
        <v>0</v>
      </c>
      <c r="P349">
        <v>1</v>
      </c>
      <c r="Q349" t="str" cm="1">
        <f t="array" ref="Q349">_xlfn.IFS(Table1[[#This Row],[Wealthier_Winner]]=-1,"Wealthier Nation Loses",Table1[[#This Row],[Wealthier_Winner]]=0,"Tie",Table1[[#This Row],[Wealthier_Winner]]=1,"Wealthier Nation Wins")</f>
        <v>Wealthier Nation Wins</v>
      </c>
    </row>
    <row r="350" spans="1:17" x14ac:dyDescent="0.2">
      <c r="A350" s="1">
        <v>979</v>
      </c>
      <c r="B350" s="2">
        <v>26888</v>
      </c>
      <c r="C350" s="7">
        <f>_xlfn.FLOOR.MATH(Table1[[#This Row],[year]],10)</f>
        <v>1970</v>
      </c>
      <c r="D350" t="s">
        <v>273</v>
      </c>
      <c r="E350" t="s">
        <v>314</v>
      </c>
      <c r="F350">
        <v>2</v>
      </c>
      <c r="G350">
        <v>0</v>
      </c>
      <c r="H350" t="s">
        <v>224</v>
      </c>
      <c r="I350" t="s">
        <v>275</v>
      </c>
      <c r="J350" t="s">
        <v>273</v>
      </c>
      <c r="K350" t="b">
        <v>0</v>
      </c>
      <c r="L350">
        <v>1973</v>
      </c>
      <c r="M350">
        <v>2434255236</v>
      </c>
      <c r="N350">
        <v>2509001324</v>
      </c>
      <c r="O350" t="b">
        <v>0</v>
      </c>
      <c r="P350">
        <v>-1</v>
      </c>
      <c r="Q350" t="str" cm="1">
        <f t="array" ref="Q350">_xlfn.IFS(Table1[[#This Row],[Wealthier_Winner]]=-1,"Wealthier Nation Loses",Table1[[#This Row],[Wealthier_Winner]]=0,"Tie",Table1[[#This Row],[Wealthier_Winner]]=1,"Wealthier Nation Wins")</f>
        <v>Wealthier Nation Loses</v>
      </c>
    </row>
    <row r="351" spans="1:17" x14ac:dyDescent="0.2">
      <c r="A351" s="1">
        <v>980</v>
      </c>
      <c r="B351" s="2">
        <v>26894</v>
      </c>
      <c r="C351" s="7">
        <f>_xlfn.FLOOR.MATH(Table1[[#This Row],[year]],10)</f>
        <v>1970</v>
      </c>
      <c r="D351" t="s">
        <v>28</v>
      </c>
      <c r="E351" t="s">
        <v>210</v>
      </c>
      <c r="F351">
        <v>3</v>
      </c>
      <c r="G351">
        <v>0</v>
      </c>
      <c r="H351" t="s">
        <v>224</v>
      </c>
      <c r="I351" t="s">
        <v>301</v>
      </c>
      <c r="J351" t="s">
        <v>28</v>
      </c>
      <c r="K351" t="b">
        <v>0</v>
      </c>
      <c r="L351">
        <v>1973</v>
      </c>
      <c r="M351">
        <v>63923126201</v>
      </c>
      <c r="N351">
        <v>27081698249</v>
      </c>
      <c r="O351" t="b">
        <v>1</v>
      </c>
      <c r="P351">
        <v>1</v>
      </c>
      <c r="Q351" t="str" cm="1">
        <f t="array" ref="Q351">_xlfn.IFS(Table1[[#This Row],[Wealthier_Winner]]=-1,"Wealthier Nation Loses",Table1[[#This Row],[Wealthier_Winner]]=0,"Tie",Table1[[#This Row],[Wealthier_Winner]]=1,"Wealthier Nation Wins")</f>
        <v>Wealthier Nation Wins</v>
      </c>
    </row>
    <row r="352" spans="1:17" x14ac:dyDescent="0.2">
      <c r="A352" s="1">
        <v>982</v>
      </c>
      <c r="B352" s="2">
        <v>26895</v>
      </c>
      <c r="C352" s="7">
        <f>_xlfn.FLOOR.MATH(Table1[[#This Row],[year]],10)</f>
        <v>1970</v>
      </c>
      <c r="D352" t="s">
        <v>314</v>
      </c>
      <c r="E352" t="s">
        <v>273</v>
      </c>
      <c r="F352">
        <v>2</v>
      </c>
      <c r="G352">
        <v>2</v>
      </c>
      <c r="H352" t="s">
        <v>224</v>
      </c>
      <c r="I352" t="s">
        <v>315</v>
      </c>
      <c r="J352" t="s">
        <v>314</v>
      </c>
      <c r="K352" t="b">
        <v>0</v>
      </c>
      <c r="L352">
        <v>1973</v>
      </c>
      <c r="M352">
        <v>2509001324</v>
      </c>
      <c r="N352">
        <v>2434255236</v>
      </c>
      <c r="O352" t="b">
        <v>0</v>
      </c>
      <c r="P352">
        <v>0</v>
      </c>
      <c r="Q352" t="str" cm="1">
        <f t="array" ref="Q352">_xlfn.IFS(Table1[[#This Row],[Wealthier_Winner]]=-1,"Wealthier Nation Loses",Table1[[#This Row],[Wealthier_Winner]]=0,"Tie",Table1[[#This Row],[Wealthier_Winner]]=1,"Wealthier Nation Wins")</f>
        <v>Tie</v>
      </c>
    </row>
    <row r="353" spans="1:17" x14ac:dyDescent="0.2">
      <c r="A353" s="1">
        <v>983</v>
      </c>
      <c r="B353" s="2">
        <v>26898</v>
      </c>
      <c r="C353" s="7">
        <f>_xlfn.FLOOR.MATH(Table1[[#This Row],[year]],10)</f>
        <v>1970</v>
      </c>
      <c r="D353" t="s">
        <v>27</v>
      </c>
      <c r="E353" t="s">
        <v>66</v>
      </c>
      <c r="F353">
        <v>5</v>
      </c>
      <c r="G353">
        <v>0</v>
      </c>
      <c r="H353" t="s">
        <v>224</v>
      </c>
      <c r="I353" t="s">
        <v>263</v>
      </c>
      <c r="J353" t="s">
        <v>27</v>
      </c>
      <c r="K353" t="b">
        <v>0</v>
      </c>
      <c r="L353">
        <v>1973</v>
      </c>
      <c r="M353">
        <v>71946639602</v>
      </c>
      <c r="N353">
        <v>1194794186</v>
      </c>
      <c r="O353" t="b">
        <v>1</v>
      </c>
      <c r="P353">
        <v>1</v>
      </c>
      <c r="Q353" t="str" cm="1">
        <f t="array" ref="Q353">_xlfn.IFS(Table1[[#This Row],[Wealthier_Winner]]=-1,"Wealthier Nation Loses",Table1[[#This Row],[Wealthier_Winner]]=0,"Tie",Table1[[#This Row],[Wealthier_Winner]]=1,"Wealthier Nation Wins")</f>
        <v>Wealthier Nation Wins</v>
      </c>
    </row>
    <row r="354" spans="1:17" x14ac:dyDescent="0.2">
      <c r="A354" s="1">
        <v>984</v>
      </c>
      <c r="B354" s="2">
        <v>26900</v>
      </c>
      <c r="C354" s="7">
        <f>_xlfn.FLOOR.MATH(Table1[[#This Row],[year]],10)</f>
        <v>1970</v>
      </c>
      <c r="D354" t="s">
        <v>210</v>
      </c>
      <c r="E354" t="s">
        <v>28</v>
      </c>
      <c r="F354">
        <v>2</v>
      </c>
      <c r="G354">
        <v>0</v>
      </c>
      <c r="H354" t="s">
        <v>224</v>
      </c>
      <c r="I354" t="s">
        <v>332</v>
      </c>
      <c r="J354" t="s">
        <v>210</v>
      </c>
      <c r="K354" t="b">
        <v>0</v>
      </c>
      <c r="L354">
        <v>1973</v>
      </c>
      <c r="M354">
        <v>27081698249</v>
      </c>
      <c r="N354">
        <v>63923126201</v>
      </c>
      <c r="O354" t="b">
        <v>1</v>
      </c>
      <c r="P354">
        <v>-1</v>
      </c>
      <c r="Q354" t="str" cm="1">
        <f t="array" ref="Q354">_xlfn.IFS(Table1[[#This Row],[Wealthier_Winner]]=-1,"Wealthier Nation Loses",Table1[[#This Row],[Wealthier_Winner]]=0,"Tie",Table1[[#This Row],[Wealthier_Winner]]=1,"Wealthier Nation Wins")</f>
        <v>Wealthier Nation Loses</v>
      </c>
    </row>
    <row r="355" spans="1:17" x14ac:dyDescent="0.2">
      <c r="A355" s="1">
        <v>985</v>
      </c>
      <c r="B355" s="2">
        <v>26905</v>
      </c>
      <c r="C355" s="7">
        <f>_xlfn.FLOOR.MATH(Table1[[#This Row],[year]],10)</f>
        <v>1970</v>
      </c>
      <c r="D355" t="s">
        <v>27</v>
      </c>
      <c r="E355" t="s">
        <v>66</v>
      </c>
      <c r="F355">
        <v>8</v>
      </c>
      <c r="G355">
        <v>1</v>
      </c>
      <c r="H355" t="s">
        <v>224</v>
      </c>
      <c r="I355" t="s">
        <v>337</v>
      </c>
      <c r="J355" t="s">
        <v>27</v>
      </c>
      <c r="K355" t="b">
        <v>0</v>
      </c>
      <c r="L355">
        <v>1973</v>
      </c>
      <c r="M355">
        <v>71946639602</v>
      </c>
      <c r="N355">
        <v>1194794186</v>
      </c>
      <c r="O355" t="b">
        <v>1</v>
      </c>
      <c r="P355">
        <v>1</v>
      </c>
      <c r="Q355" t="str" cm="1">
        <f t="array" ref="Q355">_xlfn.IFS(Table1[[#This Row],[Wealthier_Winner]]=-1,"Wealthier Nation Loses",Table1[[#This Row],[Wealthier_Winner]]=0,"Tie",Table1[[#This Row],[Wealthier_Winner]]=1,"Wealthier Nation Wins")</f>
        <v>Wealthier Nation Wins</v>
      </c>
    </row>
    <row r="356" spans="1:17" x14ac:dyDescent="0.2">
      <c r="A356" s="1">
        <v>986</v>
      </c>
      <c r="B356" s="2">
        <v>26909</v>
      </c>
      <c r="C356" s="7">
        <f>_xlfn.FLOOR.MATH(Table1[[#This Row],[year]],10)</f>
        <v>1970</v>
      </c>
      <c r="D356" t="s">
        <v>47</v>
      </c>
      <c r="E356" t="s">
        <v>35</v>
      </c>
      <c r="F356">
        <v>1</v>
      </c>
      <c r="G356">
        <v>2</v>
      </c>
      <c r="H356" t="s">
        <v>224</v>
      </c>
      <c r="I356" t="s">
        <v>246</v>
      </c>
      <c r="J356" t="s">
        <v>47</v>
      </c>
      <c r="K356" t="b">
        <v>0</v>
      </c>
      <c r="L356">
        <v>1973</v>
      </c>
      <c r="M356">
        <v>1262968515</v>
      </c>
      <c r="N356">
        <v>995531746</v>
      </c>
      <c r="O356" t="b">
        <v>0</v>
      </c>
      <c r="P356">
        <v>-1</v>
      </c>
      <c r="Q356" t="str" cm="1">
        <f t="array" ref="Q356">_xlfn.IFS(Table1[[#This Row],[Wealthier_Winner]]=-1,"Wealthier Nation Loses",Table1[[#This Row],[Wealthier_Winner]]=0,"Tie",Table1[[#This Row],[Wealthier_Winner]]=1,"Wealthier Nation Wins")</f>
        <v>Wealthier Nation Loses</v>
      </c>
    </row>
    <row r="357" spans="1:17" x14ac:dyDescent="0.2">
      <c r="A357" s="1">
        <v>987</v>
      </c>
      <c r="B357" s="2">
        <v>26916</v>
      </c>
      <c r="C357" s="7">
        <f>_xlfn.FLOOR.MATH(Table1[[#This Row],[year]],10)</f>
        <v>1970</v>
      </c>
      <c r="D357" t="s">
        <v>19</v>
      </c>
      <c r="E357" t="s">
        <v>47</v>
      </c>
      <c r="F357">
        <v>4</v>
      </c>
      <c r="G357">
        <v>0</v>
      </c>
      <c r="H357" t="s">
        <v>224</v>
      </c>
      <c r="I357" t="s">
        <v>93</v>
      </c>
      <c r="J357" t="s">
        <v>19</v>
      </c>
      <c r="K357" t="b">
        <v>0</v>
      </c>
      <c r="L357">
        <v>1973</v>
      </c>
      <c r="M357">
        <v>52544000116</v>
      </c>
      <c r="N357">
        <v>1262968515</v>
      </c>
      <c r="O357" t="b">
        <v>1</v>
      </c>
      <c r="P357">
        <v>1</v>
      </c>
      <c r="Q357" t="str" cm="1">
        <f t="array" ref="Q357">_xlfn.IFS(Table1[[#This Row],[Wealthier_Winner]]=-1,"Wealthier Nation Loses",Table1[[#This Row],[Wealthier_Winner]]=0,"Tie",Table1[[#This Row],[Wealthier_Winner]]=1,"Wealthier Nation Wins")</f>
        <v>Wealthier Nation Wins</v>
      </c>
    </row>
    <row r="358" spans="1:17" x14ac:dyDescent="0.2">
      <c r="A358" s="1">
        <v>988</v>
      </c>
      <c r="B358" s="2">
        <v>26919</v>
      </c>
      <c r="C358" s="7">
        <f>_xlfn.FLOOR.MATH(Table1[[#This Row],[year]],10)</f>
        <v>1970</v>
      </c>
      <c r="D358" t="s">
        <v>42</v>
      </c>
      <c r="E358" t="s">
        <v>27</v>
      </c>
      <c r="F358">
        <v>1</v>
      </c>
      <c r="G358">
        <v>2</v>
      </c>
      <c r="H358" t="s">
        <v>224</v>
      </c>
      <c r="I358" t="s">
        <v>262</v>
      </c>
      <c r="J358" t="s">
        <v>42</v>
      </c>
      <c r="K358" t="b">
        <v>0</v>
      </c>
      <c r="L358">
        <v>1973</v>
      </c>
      <c r="M358">
        <v>22534253702</v>
      </c>
      <c r="N358">
        <v>71946639602</v>
      </c>
      <c r="O358" t="b">
        <v>1</v>
      </c>
      <c r="P358">
        <v>1</v>
      </c>
      <c r="Q358" t="str" cm="1">
        <f t="array" ref="Q358">_xlfn.IFS(Table1[[#This Row],[Wealthier_Winner]]=-1,"Wealthier Nation Loses",Table1[[#This Row],[Wealthier_Winner]]=0,"Tie",Table1[[#This Row],[Wealthier_Winner]]=1,"Wealthier Nation Wins")</f>
        <v>Wealthier Nation Wins</v>
      </c>
    </row>
    <row r="359" spans="1:17" x14ac:dyDescent="0.2">
      <c r="A359" s="1">
        <v>989</v>
      </c>
      <c r="B359" s="2">
        <v>26923</v>
      </c>
      <c r="C359" s="7">
        <f>_xlfn.FLOOR.MATH(Table1[[#This Row],[year]],10)</f>
        <v>1970</v>
      </c>
      <c r="D359" t="s">
        <v>35</v>
      </c>
      <c r="E359" t="s">
        <v>19</v>
      </c>
      <c r="F359">
        <v>1</v>
      </c>
      <c r="G359">
        <v>1</v>
      </c>
      <c r="H359" t="s">
        <v>224</v>
      </c>
      <c r="I359" t="s">
        <v>250</v>
      </c>
      <c r="J359" t="s">
        <v>35</v>
      </c>
      <c r="K359" t="b">
        <v>0</v>
      </c>
      <c r="L359">
        <v>1973</v>
      </c>
      <c r="M359">
        <v>995531746</v>
      </c>
      <c r="N359">
        <v>52544000116</v>
      </c>
      <c r="O359" t="b">
        <v>1</v>
      </c>
      <c r="P359">
        <v>0</v>
      </c>
      <c r="Q359" t="str" cm="1">
        <f t="array" ref="Q359">_xlfn.IFS(Table1[[#This Row],[Wealthier_Winner]]=-1,"Wealthier Nation Loses",Table1[[#This Row],[Wealthier_Winner]]=0,"Tie",Table1[[#This Row],[Wealthier_Winner]]=1,"Wealthier Nation Wins")</f>
        <v>Tie</v>
      </c>
    </row>
    <row r="360" spans="1:17" x14ac:dyDescent="0.2">
      <c r="A360" s="1">
        <v>990</v>
      </c>
      <c r="B360" s="2">
        <v>26930</v>
      </c>
      <c r="C360" s="7">
        <f>_xlfn.FLOOR.MATH(Table1[[#This Row],[year]],10)</f>
        <v>1970</v>
      </c>
      <c r="D360" t="s">
        <v>47</v>
      </c>
      <c r="E360" t="s">
        <v>19</v>
      </c>
      <c r="F360">
        <v>0</v>
      </c>
      <c r="G360">
        <v>1</v>
      </c>
      <c r="H360" t="s">
        <v>224</v>
      </c>
      <c r="I360" t="s">
        <v>246</v>
      </c>
      <c r="J360" t="s">
        <v>47</v>
      </c>
      <c r="K360" t="b">
        <v>0</v>
      </c>
      <c r="L360">
        <v>1973</v>
      </c>
      <c r="M360">
        <v>1262968515</v>
      </c>
      <c r="N360">
        <v>52544000116</v>
      </c>
      <c r="O360" t="b">
        <v>1</v>
      </c>
      <c r="P360">
        <v>1</v>
      </c>
      <c r="Q360" t="str" cm="1">
        <f t="array" ref="Q360">_xlfn.IFS(Table1[[#This Row],[Wealthier_Winner]]=-1,"Wealthier Nation Loses",Table1[[#This Row],[Wealthier_Winner]]=0,"Tie",Table1[[#This Row],[Wealthier_Winner]]=1,"Wealthier Nation Wins")</f>
        <v>Wealthier Nation Wins</v>
      </c>
    </row>
    <row r="361" spans="1:17" x14ac:dyDescent="0.2">
      <c r="A361" s="1">
        <v>996</v>
      </c>
      <c r="B361" s="2">
        <v>26933</v>
      </c>
      <c r="C361" s="7">
        <f>_xlfn.FLOOR.MATH(Table1[[#This Row],[year]],10)</f>
        <v>1970</v>
      </c>
      <c r="D361" t="s">
        <v>46</v>
      </c>
      <c r="E361" t="s">
        <v>232</v>
      </c>
      <c r="F361">
        <v>1</v>
      </c>
      <c r="G361">
        <v>0</v>
      </c>
      <c r="H361" t="s">
        <v>224</v>
      </c>
      <c r="I361" t="s">
        <v>338</v>
      </c>
      <c r="J361" t="s">
        <v>46</v>
      </c>
      <c r="K361" t="b">
        <v>0</v>
      </c>
      <c r="L361">
        <v>1973</v>
      </c>
      <c r="M361">
        <v>49550006319</v>
      </c>
      <c r="N361">
        <v>2609875802</v>
      </c>
      <c r="O361" t="b">
        <v>1</v>
      </c>
      <c r="P361">
        <v>1</v>
      </c>
      <c r="Q361" t="str" cm="1">
        <f t="array" ref="Q361">_xlfn.IFS(Table1[[#This Row],[Wealthier_Winner]]=-1,"Wealthier Nation Loses",Table1[[#This Row],[Wealthier_Winner]]=0,"Tie",Table1[[#This Row],[Wealthier_Winner]]=1,"Wealthier Nation Wins")</f>
        <v>Wealthier Nation Wins</v>
      </c>
    </row>
    <row r="362" spans="1:17" x14ac:dyDescent="0.2">
      <c r="A362" s="1">
        <v>997</v>
      </c>
      <c r="B362" s="2">
        <v>26937</v>
      </c>
      <c r="C362" s="7">
        <f>_xlfn.FLOOR.MATH(Table1[[#This Row],[year]],10)</f>
        <v>1970</v>
      </c>
      <c r="D362" t="s">
        <v>35</v>
      </c>
      <c r="E362" t="s">
        <v>47</v>
      </c>
      <c r="F362">
        <v>4</v>
      </c>
      <c r="G362">
        <v>0</v>
      </c>
      <c r="H362" t="s">
        <v>224</v>
      </c>
      <c r="I362" t="s">
        <v>250</v>
      </c>
      <c r="J362" t="s">
        <v>35</v>
      </c>
      <c r="K362" t="b">
        <v>0</v>
      </c>
      <c r="L362">
        <v>1973</v>
      </c>
      <c r="M362">
        <v>995531746</v>
      </c>
      <c r="N362">
        <v>1262968515</v>
      </c>
      <c r="O362" t="b">
        <v>0</v>
      </c>
      <c r="P362">
        <v>-1</v>
      </c>
      <c r="Q362" t="str" cm="1">
        <f t="array" ref="Q362">_xlfn.IFS(Table1[[#This Row],[Wealthier_Winner]]=-1,"Wealthier Nation Loses",Table1[[#This Row],[Wealthier_Winner]]=0,"Tie",Table1[[#This Row],[Wealthier_Winner]]=1,"Wealthier Nation Wins")</f>
        <v>Wealthier Nation Loses</v>
      </c>
    </row>
    <row r="363" spans="1:17" x14ac:dyDescent="0.2">
      <c r="A363" s="1">
        <v>998</v>
      </c>
      <c r="B363" s="2">
        <v>26944</v>
      </c>
      <c r="C363" s="7">
        <f>_xlfn.FLOOR.MATH(Table1[[#This Row],[year]],10)</f>
        <v>1970</v>
      </c>
      <c r="D363" t="s">
        <v>19</v>
      </c>
      <c r="E363" t="s">
        <v>35</v>
      </c>
      <c r="F363">
        <v>3</v>
      </c>
      <c r="G363">
        <v>1</v>
      </c>
      <c r="H363" t="s">
        <v>224</v>
      </c>
      <c r="I363" t="s">
        <v>93</v>
      </c>
      <c r="J363" t="s">
        <v>19</v>
      </c>
      <c r="K363" t="b">
        <v>0</v>
      </c>
      <c r="L363">
        <v>1973</v>
      </c>
      <c r="M363">
        <v>52544000116</v>
      </c>
      <c r="N363">
        <v>995531746</v>
      </c>
      <c r="O363" t="b">
        <v>1</v>
      </c>
      <c r="P363">
        <v>1</v>
      </c>
      <c r="Q363" t="str" cm="1">
        <f t="array" ref="Q363">_xlfn.IFS(Table1[[#This Row],[Wealthier_Winner]]=-1,"Wealthier Nation Loses",Table1[[#This Row],[Wealthier_Winner]]=0,"Tie",Table1[[#This Row],[Wealthier_Winner]]=1,"Wealthier Nation Wins")</f>
        <v>Wealthier Nation Wins</v>
      </c>
    </row>
    <row r="364" spans="1:17" x14ac:dyDescent="0.2">
      <c r="A364" s="1">
        <v>1004</v>
      </c>
      <c r="B364" s="2">
        <v>26957</v>
      </c>
      <c r="C364" s="7">
        <f>_xlfn.FLOOR.MATH(Table1[[#This Row],[year]],10)</f>
        <v>1970</v>
      </c>
      <c r="D364" t="s">
        <v>18</v>
      </c>
      <c r="E364" t="s">
        <v>46</v>
      </c>
      <c r="F364">
        <v>2</v>
      </c>
      <c r="G364">
        <v>0</v>
      </c>
      <c r="H364" t="s">
        <v>224</v>
      </c>
      <c r="I364" t="s">
        <v>109</v>
      </c>
      <c r="J364" t="s">
        <v>18</v>
      </c>
      <c r="K364" t="b">
        <v>0</v>
      </c>
      <c r="L364">
        <v>1973</v>
      </c>
      <c r="M364">
        <v>175896529392</v>
      </c>
      <c r="N364">
        <v>49550006319</v>
      </c>
      <c r="O364" t="b">
        <v>1</v>
      </c>
      <c r="P364">
        <v>1</v>
      </c>
      <c r="Q364" t="str" cm="1">
        <f t="array" ref="Q364">_xlfn.IFS(Table1[[#This Row],[Wealthier_Winner]]=-1,"Wealthier Nation Loses",Table1[[#This Row],[Wealthier_Winner]]=0,"Tie",Table1[[#This Row],[Wealthier_Winner]]=1,"Wealthier Nation Wins")</f>
        <v>Wealthier Nation Wins</v>
      </c>
    </row>
    <row r="365" spans="1:17" x14ac:dyDescent="0.2">
      <c r="A365" s="1">
        <v>1006</v>
      </c>
      <c r="B365" s="2">
        <v>26958</v>
      </c>
      <c r="C365" s="7">
        <f>_xlfn.FLOOR.MATH(Table1[[#This Row],[year]],10)</f>
        <v>1970</v>
      </c>
      <c r="D365" t="s">
        <v>273</v>
      </c>
      <c r="E365" t="s">
        <v>24</v>
      </c>
      <c r="F365">
        <v>4</v>
      </c>
      <c r="G365">
        <v>0</v>
      </c>
      <c r="H365" t="s">
        <v>224</v>
      </c>
      <c r="I365" t="s">
        <v>330</v>
      </c>
      <c r="J365" t="s">
        <v>273</v>
      </c>
      <c r="K365" t="b">
        <v>0</v>
      </c>
      <c r="L365">
        <v>1973</v>
      </c>
      <c r="M365">
        <v>2434255236</v>
      </c>
      <c r="N365">
        <v>6242145880</v>
      </c>
      <c r="O365" t="b">
        <v>1</v>
      </c>
      <c r="P365">
        <v>-1</v>
      </c>
      <c r="Q365" t="str" cm="1">
        <f t="array" ref="Q365">_xlfn.IFS(Table1[[#This Row],[Wealthier_Winner]]=-1,"Wealthier Nation Loses",Table1[[#This Row],[Wealthier_Winner]]=0,"Tie",Table1[[#This Row],[Wealthier_Winner]]=1,"Wealthier Nation Wins")</f>
        <v>Wealthier Nation Loses</v>
      </c>
    </row>
    <row r="366" spans="1:17" x14ac:dyDescent="0.2">
      <c r="A366" s="1">
        <v>1007</v>
      </c>
      <c r="B366" s="2">
        <v>26965</v>
      </c>
      <c r="C366" s="7">
        <f>_xlfn.FLOOR.MATH(Table1[[#This Row],[year]],10)</f>
        <v>1970</v>
      </c>
      <c r="D366" t="s">
        <v>28</v>
      </c>
      <c r="E366" t="s">
        <v>195</v>
      </c>
      <c r="F366">
        <v>0</v>
      </c>
      <c r="G366">
        <v>0</v>
      </c>
      <c r="H366" t="s">
        <v>224</v>
      </c>
      <c r="I366" t="s">
        <v>301</v>
      </c>
      <c r="J366" t="s">
        <v>28</v>
      </c>
      <c r="K366" t="b">
        <v>0</v>
      </c>
      <c r="L366">
        <v>1973</v>
      </c>
      <c r="M366">
        <v>63923126201</v>
      </c>
      <c r="N366">
        <v>14067523813</v>
      </c>
      <c r="O366" t="b">
        <v>1</v>
      </c>
      <c r="P366">
        <v>0</v>
      </c>
      <c r="Q366" t="str" cm="1">
        <f t="array" ref="Q366">_xlfn.IFS(Table1[[#This Row],[Wealthier_Winner]]=-1,"Wealthier Nation Loses",Table1[[#This Row],[Wealthier_Winner]]=0,"Tie",Table1[[#This Row],[Wealthier_Winner]]=1,"Wealthier Nation Wins")</f>
        <v>Tie</v>
      </c>
    </row>
    <row r="367" spans="1:17" x14ac:dyDescent="0.2">
      <c r="A367" s="1">
        <v>1008</v>
      </c>
      <c r="B367" s="2">
        <v>26968</v>
      </c>
      <c r="C367" s="7">
        <f>_xlfn.FLOOR.MATH(Table1[[#This Row],[year]],10)</f>
        <v>1970</v>
      </c>
      <c r="D367" t="s">
        <v>23</v>
      </c>
      <c r="E367" t="s">
        <v>42</v>
      </c>
      <c r="F367">
        <v>2</v>
      </c>
      <c r="G367">
        <v>0</v>
      </c>
      <c r="H367" t="s">
        <v>224</v>
      </c>
      <c r="I367" t="s">
        <v>235</v>
      </c>
      <c r="J367" t="s">
        <v>23</v>
      </c>
      <c r="K367" t="b">
        <v>0</v>
      </c>
      <c r="L367">
        <v>1973</v>
      </c>
      <c r="M367">
        <v>47743801490</v>
      </c>
      <c r="N367">
        <v>22534253702</v>
      </c>
      <c r="O367" t="b">
        <v>1</v>
      </c>
      <c r="P367">
        <v>1</v>
      </c>
      <c r="Q367" t="str" cm="1">
        <f t="array" ref="Q367">_xlfn.IFS(Table1[[#This Row],[Wealthier_Winner]]=-1,"Wealthier Nation Loses",Table1[[#This Row],[Wealthier_Winner]]=0,"Tie",Table1[[#This Row],[Wealthier_Winner]]=1,"Wealthier Nation Wins")</f>
        <v>Wealthier Nation Wins</v>
      </c>
    </row>
    <row r="368" spans="1:17" x14ac:dyDescent="0.2">
      <c r="A368" s="1">
        <v>1010</v>
      </c>
      <c r="B368" s="2">
        <v>26978</v>
      </c>
      <c r="C368" s="7">
        <f>_xlfn.FLOOR.MATH(Table1[[#This Row],[year]],10)</f>
        <v>1970</v>
      </c>
      <c r="D368" t="s">
        <v>195</v>
      </c>
      <c r="E368" t="s">
        <v>28</v>
      </c>
      <c r="F368">
        <v>2</v>
      </c>
      <c r="G368">
        <v>2</v>
      </c>
      <c r="H368" t="s">
        <v>224</v>
      </c>
      <c r="I368" t="s">
        <v>136</v>
      </c>
      <c r="J368" t="s">
        <v>195</v>
      </c>
      <c r="K368" t="b">
        <v>0</v>
      </c>
      <c r="L368">
        <v>1973</v>
      </c>
      <c r="M368">
        <v>14067523813</v>
      </c>
      <c r="N368">
        <v>63923126201</v>
      </c>
      <c r="O368" t="b">
        <v>1</v>
      </c>
      <c r="P368">
        <v>0</v>
      </c>
      <c r="Q368" t="str" cm="1">
        <f t="array" ref="Q368">_xlfn.IFS(Table1[[#This Row],[Wealthier_Winner]]=-1,"Wealthier Nation Loses",Table1[[#This Row],[Wealthier_Winner]]=0,"Tie",Table1[[#This Row],[Wealthier_Winner]]=1,"Wealthier Nation Wins")</f>
        <v>Tie</v>
      </c>
    </row>
    <row r="369" spans="1:17" x14ac:dyDescent="0.2">
      <c r="A369" s="1">
        <v>1011</v>
      </c>
      <c r="B369" s="2">
        <v>26979</v>
      </c>
      <c r="C369" s="7">
        <f>_xlfn.FLOOR.MATH(Table1[[#This Row],[year]],10)</f>
        <v>1970</v>
      </c>
      <c r="D369" t="s">
        <v>303</v>
      </c>
      <c r="E369" t="s">
        <v>25</v>
      </c>
      <c r="F369">
        <v>1</v>
      </c>
      <c r="G369">
        <v>2</v>
      </c>
      <c r="H369" t="s">
        <v>224</v>
      </c>
      <c r="I369" t="s">
        <v>304</v>
      </c>
      <c r="J369" t="s">
        <v>303</v>
      </c>
      <c r="K369" t="b">
        <v>0</v>
      </c>
      <c r="L369">
        <v>1973</v>
      </c>
      <c r="M369">
        <v>345616105</v>
      </c>
      <c r="N369">
        <v>59318842992</v>
      </c>
      <c r="O369" t="b">
        <v>1</v>
      </c>
      <c r="P369">
        <v>1</v>
      </c>
      <c r="Q369" t="str" cm="1">
        <f t="array" ref="Q369">_xlfn.IFS(Table1[[#This Row],[Wealthier_Winner]]=-1,"Wealthier Nation Loses",Table1[[#This Row],[Wealthier_Winner]]=0,"Tie",Table1[[#This Row],[Wealthier_Winner]]=1,"Wealthier Nation Wins")</f>
        <v>Wealthier Nation Wins</v>
      </c>
    </row>
    <row r="370" spans="1:17" x14ac:dyDescent="0.2">
      <c r="A370" s="1">
        <v>1013</v>
      </c>
      <c r="B370" s="2">
        <v>26981</v>
      </c>
      <c r="C370" s="7">
        <f>_xlfn.FLOOR.MATH(Table1[[#This Row],[year]],10)</f>
        <v>1970</v>
      </c>
      <c r="D370" t="s">
        <v>28</v>
      </c>
      <c r="E370" t="s">
        <v>195</v>
      </c>
      <c r="F370">
        <v>1</v>
      </c>
      <c r="G370">
        <v>0</v>
      </c>
      <c r="H370" t="s">
        <v>224</v>
      </c>
      <c r="I370" t="s">
        <v>339</v>
      </c>
      <c r="J370" t="s">
        <v>340</v>
      </c>
      <c r="K370" t="b">
        <v>1</v>
      </c>
      <c r="L370">
        <v>1973</v>
      </c>
      <c r="M370">
        <v>63923126201</v>
      </c>
      <c r="N370">
        <v>14067523813</v>
      </c>
      <c r="O370" t="b">
        <v>1</v>
      </c>
      <c r="P370">
        <v>1</v>
      </c>
      <c r="Q370" t="str" cm="1">
        <f t="array" ref="Q370">_xlfn.IFS(Table1[[#This Row],[Wealthier_Winner]]=-1,"Wealthier Nation Loses",Table1[[#This Row],[Wealthier_Winner]]=0,"Tie",Table1[[#This Row],[Wealthier_Winner]]=1,"Wealthier Nation Wins")</f>
        <v>Wealthier Nation Wins</v>
      </c>
    </row>
    <row r="371" spans="1:17" x14ac:dyDescent="0.2">
      <c r="A371" s="1">
        <v>1017</v>
      </c>
      <c r="B371" s="2">
        <v>26986</v>
      </c>
      <c r="C371" s="7">
        <f>_xlfn.FLOOR.MATH(Table1[[#This Row],[year]],10)</f>
        <v>1970</v>
      </c>
      <c r="D371" t="s">
        <v>27</v>
      </c>
      <c r="E371" t="s">
        <v>23</v>
      </c>
      <c r="F371">
        <v>0</v>
      </c>
      <c r="G371">
        <v>0</v>
      </c>
      <c r="H371" t="s">
        <v>224</v>
      </c>
      <c r="I371" t="s">
        <v>263</v>
      </c>
      <c r="J371" t="s">
        <v>27</v>
      </c>
      <c r="K371" t="b">
        <v>0</v>
      </c>
      <c r="L371">
        <v>1973</v>
      </c>
      <c r="M371">
        <v>71946639602</v>
      </c>
      <c r="N371">
        <v>47743801490</v>
      </c>
      <c r="O371" t="b">
        <v>0</v>
      </c>
      <c r="P371">
        <v>0</v>
      </c>
      <c r="Q371" t="str" cm="1">
        <f t="array" ref="Q371">_xlfn.IFS(Table1[[#This Row],[Wealthier_Winner]]=-1,"Wealthier Nation Loses",Table1[[#This Row],[Wealthier_Winner]]=0,"Tie",Table1[[#This Row],[Wealthier_Winner]]=1,"Wealthier Nation Wins")</f>
        <v>Tie</v>
      </c>
    </row>
    <row r="372" spans="1:17" x14ac:dyDescent="0.2">
      <c r="A372" s="1">
        <v>1020</v>
      </c>
      <c r="B372" s="2">
        <v>26993</v>
      </c>
      <c r="C372" s="7">
        <f>_xlfn.FLOOR.MATH(Table1[[#This Row],[year]],10)</f>
        <v>1970</v>
      </c>
      <c r="D372" t="s">
        <v>24</v>
      </c>
      <c r="E372" t="s">
        <v>273</v>
      </c>
      <c r="F372">
        <v>2</v>
      </c>
      <c r="G372">
        <v>0</v>
      </c>
      <c r="H372" t="s">
        <v>224</v>
      </c>
      <c r="I372" t="s">
        <v>326</v>
      </c>
      <c r="J372" t="s">
        <v>24</v>
      </c>
      <c r="K372" t="b">
        <v>0</v>
      </c>
      <c r="L372">
        <v>1973</v>
      </c>
      <c r="M372">
        <v>6242145880</v>
      </c>
      <c r="N372">
        <v>2434255236</v>
      </c>
      <c r="O372" t="b">
        <v>1</v>
      </c>
      <c r="P372">
        <v>1</v>
      </c>
      <c r="Q372" t="str" cm="1">
        <f t="array" ref="Q372">_xlfn.IFS(Table1[[#This Row],[Wealthier_Winner]]=-1,"Wealthier Nation Loses",Table1[[#This Row],[Wealthier_Winner]]=0,"Tie",Table1[[#This Row],[Wealthier_Winner]]=1,"Wealthier Nation Wins")</f>
        <v>Wealthier Nation Wins</v>
      </c>
    </row>
    <row r="373" spans="1:17" x14ac:dyDescent="0.2">
      <c r="A373" s="1">
        <v>1021</v>
      </c>
      <c r="B373" s="2">
        <v>26995</v>
      </c>
      <c r="C373" s="7">
        <f>_xlfn.FLOOR.MATH(Table1[[#This Row],[year]],10)</f>
        <v>1970</v>
      </c>
      <c r="D373" t="s">
        <v>29</v>
      </c>
      <c r="E373" t="s">
        <v>25</v>
      </c>
      <c r="F373">
        <v>1</v>
      </c>
      <c r="G373">
        <v>2</v>
      </c>
      <c r="H373" t="s">
        <v>224</v>
      </c>
      <c r="I373" t="s">
        <v>92</v>
      </c>
      <c r="J373" t="s">
        <v>16</v>
      </c>
      <c r="K373" t="b">
        <v>1</v>
      </c>
      <c r="L373">
        <v>1973</v>
      </c>
      <c r="M373">
        <v>29399860144</v>
      </c>
      <c r="N373">
        <v>59318842992</v>
      </c>
      <c r="O373" t="b">
        <v>1</v>
      </c>
      <c r="P373">
        <v>1</v>
      </c>
      <c r="Q373" t="str" cm="1">
        <f t="array" ref="Q373">_xlfn.IFS(Table1[[#This Row],[Wealthier_Winner]]=-1,"Wealthier Nation Loses",Table1[[#This Row],[Wealthier_Winner]]=0,"Tie",Table1[[#This Row],[Wealthier_Winner]]=1,"Wealthier Nation Wins")</f>
        <v>Wealthier Nation Wins</v>
      </c>
    </row>
    <row r="374" spans="1:17" x14ac:dyDescent="0.2">
      <c r="A374" s="1">
        <v>1028</v>
      </c>
      <c r="B374" s="2">
        <v>27194</v>
      </c>
      <c r="C374" s="7">
        <f>_xlfn.FLOOR.MATH(Table1[[#This Row],[year]],10)</f>
        <v>1970</v>
      </c>
      <c r="D374" t="s">
        <v>16</v>
      </c>
      <c r="E374" t="s">
        <v>14</v>
      </c>
      <c r="F374">
        <v>1</v>
      </c>
      <c r="G374">
        <v>0</v>
      </c>
      <c r="H374" t="s">
        <v>74</v>
      </c>
      <c r="I374" t="s">
        <v>86</v>
      </c>
      <c r="J374" t="s">
        <v>16</v>
      </c>
      <c r="K374" t="b">
        <v>0</v>
      </c>
      <c r="L374">
        <v>1974</v>
      </c>
      <c r="M374">
        <v>446934971657</v>
      </c>
      <c r="N374">
        <v>16584311220</v>
      </c>
      <c r="O374" t="b">
        <v>1</v>
      </c>
      <c r="P374">
        <v>1</v>
      </c>
      <c r="Q374" t="str" cm="1">
        <f t="array" ref="Q374">_xlfn.IFS(Table1[[#This Row],[Wealthier_Winner]]=-1,"Wealthier Nation Loses",Table1[[#This Row],[Wealthier_Winner]]=0,"Tie",Table1[[#This Row],[Wealthier_Winner]]=1,"Wealthier Nation Wins")</f>
        <v>Wealthier Nation Wins</v>
      </c>
    </row>
    <row r="375" spans="1:17" x14ac:dyDescent="0.2">
      <c r="A375" s="1">
        <v>1029</v>
      </c>
      <c r="B375" s="2">
        <v>27195</v>
      </c>
      <c r="C375" s="7">
        <f>_xlfn.FLOOR.MATH(Table1[[#This Row],[year]],10)</f>
        <v>1970</v>
      </c>
      <c r="D375" t="s">
        <v>18</v>
      </c>
      <c r="E375" t="s">
        <v>70</v>
      </c>
      <c r="F375">
        <v>3</v>
      </c>
      <c r="G375">
        <v>1</v>
      </c>
      <c r="H375" t="s">
        <v>74</v>
      </c>
      <c r="I375" t="s">
        <v>87</v>
      </c>
      <c r="J375" t="s">
        <v>16</v>
      </c>
      <c r="K375" t="b">
        <v>1</v>
      </c>
      <c r="L375">
        <v>1974</v>
      </c>
      <c r="M375">
        <v>200024444775</v>
      </c>
      <c r="N375">
        <v>565399321</v>
      </c>
      <c r="O375" t="b">
        <v>1</v>
      </c>
      <c r="P375">
        <v>1</v>
      </c>
      <c r="Q375" t="str" cm="1">
        <f t="array" ref="Q375">_xlfn.IFS(Table1[[#This Row],[Wealthier_Winner]]=-1,"Wealthier Nation Loses",Table1[[#This Row],[Wealthier_Winner]]=0,"Tie",Table1[[#This Row],[Wealthier_Winner]]=1,"Wealthier Nation Wins")</f>
        <v>Wealthier Nation Wins</v>
      </c>
    </row>
    <row r="376" spans="1:17" x14ac:dyDescent="0.2">
      <c r="A376" s="1">
        <v>1032</v>
      </c>
      <c r="B376" s="2">
        <v>27195</v>
      </c>
      <c r="C376" s="7">
        <f>_xlfn.FLOOR.MATH(Table1[[#This Row],[year]],10)</f>
        <v>1970</v>
      </c>
      <c r="D376" t="s">
        <v>26</v>
      </c>
      <c r="E376" t="s">
        <v>27</v>
      </c>
      <c r="F376">
        <v>0</v>
      </c>
      <c r="G376">
        <v>2</v>
      </c>
      <c r="H376" t="s">
        <v>74</v>
      </c>
      <c r="I376" t="s">
        <v>88</v>
      </c>
      <c r="J376" t="s">
        <v>16</v>
      </c>
      <c r="K376" t="b">
        <v>1</v>
      </c>
      <c r="L376">
        <v>1974</v>
      </c>
      <c r="M376">
        <v>4090209681</v>
      </c>
      <c r="N376">
        <v>87371810804</v>
      </c>
      <c r="O376" t="b">
        <v>1</v>
      </c>
      <c r="P376">
        <v>1</v>
      </c>
      <c r="Q376" t="str" cm="1">
        <f t="array" ref="Q376">_xlfn.IFS(Table1[[#This Row],[Wealthier_Winner]]=-1,"Wealthier Nation Loses",Table1[[#This Row],[Wealthier_Winner]]=0,"Tie",Table1[[#This Row],[Wealthier_Winner]]=1,"Wealthier Nation Wins")</f>
        <v>Wealthier Nation Wins</v>
      </c>
    </row>
    <row r="377" spans="1:17" x14ac:dyDescent="0.2">
      <c r="A377" s="1">
        <v>1034</v>
      </c>
      <c r="B377" s="2">
        <v>27198</v>
      </c>
      <c r="C377" s="7">
        <f>_xlfn.FLOOR.MATH(Table1[[#This Row],[year]],10)</f>
        <v>1970</v>
      </c>
      <c r="D377" t="s">
        <v>16</v>
      </c>
      <c r="E377" t="s">
        <v>28</v>
      </c>
      <c r="F377">
        <v>3</v>
      </c>
      <c r="G377">
        <v>0</v>
      </c>
      <c r="H377" t="s">
        <v>74</v>
      </c>
      <c r="I377" t="s">
        <v>89</v>
      </c>
      <c r="J377" t="s">
        <v>16</v>
      </c>
      <c r="K377" t="b">
        <v>0</v>
      </c>
      <c r="L377">
        <v>1974</v>
      </c>
      <c r="M377">
        <v>446934971657</v>
      </c>
      <c r="N377">
        <v>89086219602</v>
      </c>
      <c r="O377" t="b">
        <v>1</v>
      </c>
      <c r="P377">
        <v>1</v>
      </c>
      <c r="Q377" t="str" cm="1">
        <f t="array" ref="Q377">_xlfn.IFS(Table1[[#This Row],[Wealthier_Winner]]=-1,"Wealthier Nation Loses",Table1[[#This Row],[Wealthier_Winner]]=0,"Tie",Table1[[#This Row],[Wealthier_Winner]]=1,"Wealthier Nation Wins")</f>
        <v>Wealthier Nation Wins</v>
      </c>
    </row>
    <row r="378" spans="1:17" x14ac:dyDescent="0.2">
      <c r="A378" s="1">
        <v>1037</v>
      </c>
      <c r="B378" s="2">
        <v>27199</v>
      </c>
      <c r="C378" s="7">
        <f>_xlfn.FLOOR.MATH(Table1[[#This Row],[year]],10)</f>
        <v>1970</v>
      </c>
      <c r="D378" t="s">
        <v>19</v>
      </c>
      <c r="E378" t="s">
        <v>18</v>
      </c>
      <c r="F378">
        <v>1</v>
      </c>
      <c r="G378">
        <v>1</v>
      </c>
      <c r="H378" t="s">
        <v>74</v>
      </c>
      <c r="I378" t="s">
        <v>90</v>
      </c>
      <c r="J378" t="s">
        <v>16</v>
      </c>
      <c r="K378" t="b">
        <v>1</v>
      </c>
      <c r="L378">
        <v>1974</v>
      </c>
      <c r="M378">
        <v>72436777342</v>
      </c>
      <c r="N378">
        <v>200024444775</v>
      </c>
      <c r="O378" t="b">
        <v>1</v>
      </c>
      <c r="P378">
        <v>0</v>
      </c>
      <c r="Q378" t="str" cm="1">
        <f t="array" ref="Q378">_xlfn.IFS(Table1[[#This Row],[Wealthier_Winner]]=-1,"Wealthier Nation Loses",Table1[[#This Row],[Wealthier_Winner]]=0,"Tie",Table1[[#This Row],[Wealthier_Winner]]=1,"Wealthier Nation Wins")</f>
        <v>Tie</v>
      </c>
    </row>
    <row r="379" spans="1:17" x14ac:dyDescent="0.2">
      <c r="A379" s="1">
        <v>1040</v>
      </c>
      <c r="B379" s="2">
        <v>27199</v>
      </c>
      <c r="C379" s="7">
        <f>_xlfn.FLOOR.MATH(Table1[[#This Row],[year]],10)</f>
        <v>1970</v>
      </c>
      <c r="D379" t="s">
        <v>27</v>
      </c>
      <c r="E379" t="s">
        <v>25</v>
      </c>
      <c r="F379">
        <v>0</v>
      </c>
      <c r="G379">
        <v>0</v>
      </c>
      <c r="H379" t="s">
        <v>74</v>
      </c>
      <c r="I379" t="s">
        <v>91</v>
      </c>
      <c r="J379" t="s">
        <v>16</v>
      </c>
      <c r="K379" t="b">
        <v>1</v>
      </c>
      <c r="L379">
        <v>1974</v>
      </c>
      <c r="M379">
        <v>87371810804</v>
      </c>
      <c r="N379">
        <v>65917634590</v>
      </c>
      <c r="O379" t="b">
        <v>0</v>
      </c>
      <c r="P379">
        <v>0</v>
      </c>
      <c r="Q379" t="str" cm="1">
        <f t="array" ref="Q379">_xlfn.IFS(Table1[[#This Row],[Wealthier_Winner]]=-1,"Wealthier Nation Loses",Table1[[#This Row],[Wealthier_Winner]]=0,"Tie",Table1[[#This Row],[Wealthier_Winner]]=1,"Wealthier Nation Wins")</f>
        <v>Tie</v>
      </c>
    </row>
    <row r="380" spans="1:17" x14ac:dyDescent="0.2">
      <c r="A380" s="1">
        <v>1041</v>
      </c>
      <c r="B380" s="2">
        <v>27202</v>
      </c>
      <c r="C380" s="7">
        <f>_xlfn.FLOOR.MATH(Table1[[#This Row],[year]],10)</f>
        <v>1970</v>
      </c>
      <c r="D380" t="s">
        <v>28</v>
      </c>
      <c r="E380" t="s">
        <v>14</v>
      </c>
      <c r="F380">
        <v>0</v>
      </c>
      <c r="G380">
        <v>0</v>
      </c>
      <c r="H380" t="s">
        <v>74</v>
      </c>
      <c r="I380" t="s">
        <v>86</v>
      </c>
      <c r="J380" t="s">
        <v>16</v>
      </c>
      <c r="K380" t="b">
        <v>1</v>
      </c>
      <c r="L380">
        <v>1974</v>
      </c>
      <c r="M380">
        <v>89086219602</v>
      </c>
      <c r="N380">
        <v>16584311220</v>
      </c>
      <c r="O380" t="b">
        <v>1</v>
      </c>
      <c r="P380">
        <v>0</v>
      </c>
      <c r="Q380" t="str" cm="1">
        <f t="array" ref="Q380">_xlfn.IFS(Table1[[#This Row],[Wealthier_Winner]]=-1,"Wealthier Nation Loses",Table1[[#This Row],[Wealthier_Winner]]=0,"Tie",Table1[[#This Row],[Wealthier_Winner]]=1,"Wealthier Nation Wins")</f>
        <v>Tie</v>
      </c>
    </row>
    <row r="381" spans="1:17" x14ac:dyDescent="0.2">
      <c r="A381" s="1">
        <v>1045</v>
      </c>
      <c r="B381" s="2">
        <v>27203</v>
      </c>
      <c r="C381" s="7">
        <f>_xlfn.FLOOR.MATH(Table1[[#This Row],[year]],10)</f>
        <v>1970</v>
      </c>
      <c r="D381" t="s">
        <v>19</v>
      </c>
      <c r="E381" t="s">
        <v>70</v>
      </c>
      <c r="F381">
        <v>4</v>
      </c>
      <c r="G381">
        <v>1</v>
      </c>
      <c r="H381" t="s">
        <v>74</v>
      </c>
      <c r="I381" t="s">
        <v>87</v>
      </c>
      <c r="J381" t="s">
        <v>16</v>
      </c>
      <c r="K381" t="b">
        <v>1</v>
      </c>
      <c r="L381">
        <v>1974</v>
      </c>
      <c r="M381">
        <v>72436777342</v>
      </c>
      <c r="N381">
        <v>565399321</v>
      </c>
      <c r="O381" t="b">
        <v>1</v>
      </c>
      <c r="P381">
        <v>1</v>
      </c>
      <c r="Q381" t="str" cm="1">
        <f t="array" ref="Q381">_xlfn.IFS(Table1[[#This Row],[Wealthier_Winner]]=-1,"Wealthier Nation Loses",Table1[[#This Row],[Wealthier_Winner]]=0,"Tie",Table1[[#This Row],[Wealthier_Winner]]=1,"Wealthier Nation Wins")</f>
        <v>Wealthier Nation Wins</v>
      </c>
    </row>
    <row r="382" spans="1:17" x14ac:dyDescent="0.2">
      <c r="A382" s="1">
        <v>1048</v>
      </c>
      <c r="B382" s="2">
        <v>27203</v>
      </c>
      <c r="C382" s="7">
        <f>_xlfn.FLOOR.MATH(Table1[[#This Row],[year]],10)</f>
        <v>1970</v>
      </c>
      <c r="D382" t="s">
        <v>25</v>
      </c>
      <c r="E382" t="s">
        <v>26</v>
      </c>
      <c r="F382">
        <v>3</v>
      </c>
      <c r="G382">
        <v>0</v>
      </c>
      <c r="H382" t="s">
        <v>74</v>
      </c>
      <c r="I382" t="s">
        <v>341</v>
      </c>
      <c r="J382" t="s">
        <v>16</v>
      </c>
      <c r="K382" t="b">
        <v>1</v>
      </c>
      <c r="L382">
        <v>1974</v>
      </c>
      <c r="M382">
        <v>65917634590</v>
      </c>
      <c r="N382">
        <v>4090209681</v>
      </c>
      <c r="O382" t="b">
        <v>1</v>
      </c>
      <c r="P382">
        <v>1</v>
      </c>
      <c r="Q382" t="str" cm="1">
        <f t="array" ref="Q382">_xlfn.IFS(Table1[[#This Row],[Wealthier_Winner]]=-1,"Wealthier Nation Loses",Table1[[#This Row],[Wealthier_Winner]]=0,"Tie",Table1[[#This Row],[Wealthier_Winner]]=1,"Wealthier Nation Wins")</f>
        <v>Wealthier Nation Wins</v>
      </c>
    </row>
    <row r="383" spans="1:17" x14ac:dyDescent="0.2">
      <c r="A383" s="1">
        <v>1051</v>
      </c>
      <c r="B383" s="2">
        <v>27206</v>
      </c>
      <c r="C383" s="7">
        <f>_xlfn.FLOOR.MATH(Table1[[#This Row],[year]],10)</f>
        <v>1970</v>
      </c>
      <c r="D383" t="s">
        <v>27</v>
      </c>
      <c r="E383" t="s">
        <v>19</v>
      </c>
      <c r="F383">
        <v>4</v>
      </c>
      <c r="G383">
        <v>0</v>
      </c>
      <c r="H383" t="s">
        <v>74</v>
      </c>
      <c r="I383" t="s">
        <v>92</v>
      </c>
      <c r="J383" t="s">
        <v>16</v>
      </c>
      <c r="K383" t="b">
        <v>1</v>
      </c>
      <c r="L383">
        <v>1974</v>
      </c>
      <c r="M383">
        <v>87371810804</v>
      </c>
      <c r="N383">
        <v>72436777342</v>
      </c>
      <c r="O383" t="b">
        <v>0</v>
      </c>
      <c r="P383">
        <v>1</v>
      </c>
      <c r="Q383" t="str" cm="1">
        <f t="array" ref="Q383">_xlfn.IFS(Table1[[#This Row],[Wealthier_Winner]]=-1,"Wealthier Nation Loses",Table1[[#This Row],[Wealthier_Winner]]=0,"Tie",Table1[[#This Row],[Wealthier_Winner]]=1,"Wealthier Nation Wins")</f>
        <v>Wealthier Nation Wins</v>
      </c>
    </row>
    <row r="384" spans="1:17" x14ac:dyDescent="0.2">
      <c r="A384" s="1">
        <v>1053</v>
      </c>
      <c r="B384" s="2">
        <v>27210</v>
      </c>
      <c r="C384" s="7">
        <f>_xlfn.FLOOR.MATH(Table1[[#This Row],[year]],10)</f>
        <v>1970</v>
      </c>
      <c r="D384" t="s">
        <v>19</v>
      </c>
      <c r="E384" t="s">
        <v>13</v>
      </c>
      <c r="F384">
        <v>1</v>
      </c>
      <c r="G384">
        <v>2</v>
      </c>
      <c r="H384" t="s">
        <v>74</v>
      </c>
      <c r="I384" t="s">
        <v>88</v>
      </c>
      <c r="J384" t="s">
        <v>16</v>
      </c>
      <c r="K384" t="b">
        <v>1</v>
      </c>
      <c r="L384">
        <v>1974</v>
      </c>
      <c r="M384">
        <v>72436777342</v>
      </c>
      <c r="N384">
        <v>109794519727</v>
      </c>
      <c r="O384" t="b">
        <v>0</v>
      </c>
      <c r="P384">
        <v>1</v>
      </c>
      <c r="Q384" t="str" cm="1">
        <f t="array" ref="Q384">_xlfn.IFS(Table1[[#This Row],[Wealthier_Winner]]=-1,"Wealthier Nation Loses",Table1[[#This Row],[Wealthier_Winner]]=0,"Tie",Table1[[#This Row],[Wealthier_Winner]]=1,"Wealthier Nation Wins")</f>
        <v>Wealthier Nation Wins</v>
      </c>
    </row>
    <row r="385" spans="1:17" x14ac:dyDescent="0.2">
      <c r="A385" s="1">
        <v>1055</v>
      </c>
      <c r="B385" s="2">
        <v>27210</v>
      </c>
      <c r="C385" s="7">
        <f>_xlfn.FLOOR.MATH(Table1[[#This Row],[year]],10)</f>
        <v>1970</v>
      </c>
      <c r="D385" t="s">
        <v>16</v>
      </c>
      <c r="E385" t="s">
        <v>25</v>
      </c>
      <c r="F385">
        <v>4</v>
      </c>
      <c r="G385">
        <v>2</v>
      </c>
      <c r="H385" t="s">
        <v>74</v>
      </c>
      <c r="I385" t="s">
        <v>341</v>
      </c>
      <c r="J385" t="s">
        <v>16</v>
      </c>
      <c r="K385" t="b">
        <v>0</v>
      </c>
      <c r="L385">
        <v>1974</v>
      </c>
      <c r="M385">
        <v>446934971657</v>
      </c>
      <c r="N385">
        <v>65917634590</v>
      </c>
      <c r="O385" t="b">
        <v>1</v>
      </c>
      <c r="P385">
        <v>1</v>
      </c>
      <c r="Q385" t="str" cm="1">
        <f t="array" ref="Q385">_xlfn.IFS(Table1[[#This Row],[Wealthier_Winner]]=-1,"Wealthier Nation Loses",Table1[[#This Row],[Wealthier_Winner]]=0,"Tie",Table1[[#This Row],[Wealthier_Winner]]=1,"Wealthier Nation Wins")</f>
        <v>Wealthier Nation Wins</v>
      </c>
    </row>
    <row r="386" spans="1:17" x14ac:dyDescent="0.2">
      <c r="A386" s="1">
        <v>1059</v>
      </c>
      <c r="B386" s="2">
        <v>27213</v>
      </c>
      <c r="C386" s="7">
        <f>_xlfn.FLOOR.MATH(Table1[[#This Row],[year]],10)</f>
        <v>1970</v>
      </c>
      <c r="D386" t="s">
        <v>27</v>
      </c>
      <c r="E386" t="s">
        <v>13</v>
      </c>
      <c r="F386">
        <v>2</v>
      </c>
      <c r="G386">
        <v>0</v>
      </c>
      <c r="H386" t="s">
        <v>74</v>
      </c>
      <c r="I386" t="s">
        <v>91</v>
      </c>
      <c r="J386" t="s">
        <v>16</v>
      </c>
      <c r="K386" t="b">
        <v>1</v>
      </c>
      <c r="L386">
        <v>1974</v>
      </c>
      <c r="M386">
        <v>87371810804</v>
      </c>
      <c r="N386">
        <v>109794519727</v>
      </c>
      <c r="O386" t="b">
        <v>0</v>
      </c>
      <c r="P386">
        <v>-1</v>
      </c>
      <c r="Q386" t="str" cm="1">
        <f t="array" ref="Q386">_xlfn.IFS(Table1[[#This Row],[Wealthier_Winner]]=-1,"Wealthier Nation Loses",Table1[[#This Row],[Wealthier_Winner]]=0,"Tie",Table1[[#This Row],[Wealthier_Winner]]=1,"Wealthier Nation Wins")</f>
        <v>Wealthier Nation Loses</v>
      </c>
    </row>
    <row r="387" spans="1:17" x14ac:dyDescent="0.2">
      <c r="A387" s="1">
        <v>1062</v>
      </c>
      <c r="B387" s="2">
        <v>27217</v>
      </c>
      <c r="C387" s="7">
        <f>_xlfn.FLOOR.MATH(Table1[[#This Row],[year]],10)</f>
        <v>1970</v>
      </c>
      <c r="D387" t="s">
        <v>16</v>
      </c>
      <c r="E387" t="s">
        <v>27</v>
      </c>
      <c r="F387">
        <v>2</v>
      </c>
      <c r="G387">
        <v>1</v>
      </c>
      <c r="H387" t="s">
        <v>74</v>
      </c>
      <c r="I387" t="s">
        <v>87</v>
      </c>
      <c r="J387" t="s">
        <v>16</v>
      </c>
      <c r="K387" t="b">
        <v>0</v>
      </c>
      <c r="L387">
        <v>1974</v>
      </c>
      <c r="M387">
        <v>446934971657</v>
      </c>
      <c r="N387">
        <v>87371810804</v>
      </c>
      <c r="O387" t="b">
        <v>1</v>
      </c>
      <c r="P387">
        <v>1</v>
      </c>
      <c r="Q387" t="str" cm="1">
        <f t="array" ref="Q387">_xlfn.IFS(Table1[[#This Row],[Wealthier_Winner]]=-1,"Wealthier Nation Loses",Table1[[#This Row],[Wealthier_Winner]]=0,"Tie",Table1[[#This Row],[Wealthier_Winner]]=1,"Wealthier Nation Wins")</f>
        <v>Wealthier Nation Wins</v>
      </c>
    </row>
    <row r="388" spans="1:17" x14ac:dyDescent="0.2">
      <c r="A388" s="1">
        <v>1063</v>
      </c>
      <c r="B388" s="2">
        <v>27826</v>
      </c>
      <c r="C388" s="7">
        <f>_xlfn.FLOOR.MATH(Table1[[#This Row],[year]],10)</f>
        <v>1970</v>
      </c>
      <c r="D388" t="s">
        <v>342</v>
      </c>
      <c r="E388" t="s">
        <v>343</v>
      </c>
      <c r="F388">
        <v>5</v>
      </c>
      <c r="G388">
        <v>1</v>
      </c>
      <c r="H388" t="s">
        <v>224</v>
      </c>
      <c r="I388" t="s">
        <v>344</v>
      </c>
      <c r="J388" t="s">
        <v>342</v>
      </c>
      <c r="K388" t="b">
        <v>0</v>
      </c>
      <c r="L388">
        <v>1976</v>
      </c>
      <c r="M388">
        <v>594895941</v>
      </c>
      <c r="N388">
        <v>1064517601</v>
      </c>
      <c r="O388" t="b">
        <v>0</v>
      </c>
      <c r="P388">
        <v>-1</v>
      </c>
      <c r="Q388" t="str" cm="1">
        <f t="array" ref="Q388">_xlfn.IFS(Table1[[#This Row],[Wealthier_Winner]]=-1,"Wealthier Nation Loses",Table1[[#This Row],[Wealthier_Winner]]=0,"Tie",Table1[[#This Row],[Wealthier_Winner]]=1,"Wealthier Nation Wins")</f>
        <v>Wealthier Nation Loses</v>
      </c>
    </row>
    <row r="389" spans="1:17" x14ac:dyDescent="0.2">
      <c r="A389" s="1">
        <v>1064</v>
      </c>
      <c r="B389" s="2">
        <v>27832</v>
      </c>
      <c r="C389" s="7">
        <f>_xlfn.FLOOR.MATH(Table1[[#This Row],[year]],10)</f>
        <v>1970</v>
      </c>
      <c r="D389" t="s">
        <v>345</v>
      </c>
      <c r="E389" t="s">
        <v>346</v>
      </c>
      <c r="F389">
        <v>1</v>
      </c>
      <c r="G389">
        <v>1</v>
      </c>
      <c r="H389" t="s">
        <v>224</v>
      </c>
      <c r="I389" t="s">
        <v>347</v>
      </c>
      <c r="J389" t="s">
        <v>348</v>
      </c>
      <c r="K389" t="b">
        <v>1</v>
      </c>
      <c r="L389">
        <v>1976</v>
      </c>
      <c r="M389">
        <v>976547188</v>
      </c>
      <c r="N389">
        <v>775045516</v>
      </c>
      <c r="O389" t="b">
        <v>0</v>
      </c>
      <c r="P389">
        <v>0</v>
      </c>
      <c r="Q389" t="str" cm="1">
        <f t="array" ref="Q389">_xlfn.IFS(Table1[[#This Row],[Wealthier_Winner]]=-1,"Wealthier Nation Loses",Table1[[#This Row],[Wealthier_Winner]]=0,"Tie",Table1[[#This Row],[Wealthier_Winner]]=1,"Wealthier Nation Wins")</f>
        <v>Tie</v>
      </c>
    </row>
    <row r="390" spans="1:17" x14ac:dyDescent="0.2">
      <c r="A390" s="1">
        <v>1065</v>
      </c>
      <c r="B390" s="2">
        <v>27840</v>
      </c>
      <c r="C390" s="7">
        <f>_xlfn.FLOOR.MATH(Table1[[#This Row],[year]],10)</f>
        <v>1970</v>
      </c>
      <c r="D390" t="s">
        <v>343</v>
      </c>
      <c r="E390" t="s">
        <v>342</v>
      </c>
      <c r="F390">
        <v>2</v>
      </c>
      <c r="G390">
        <v>1</v>
      </c>
      <c r="H390" t="s">
        <v>224</v>
      </c>
      <c r="I390" t="s">
        <v>349</v>
      </c>
      <c r="J390" t="s">
        <v>343</v>
      </c>
      <c r="K390" t="b">
        <v>0</v>
      </c>
      <c r="L390">
        <v>1976</v>
      </c>
      <c r="M390">
        <v>1064517601</v>
      </c>
      <c r="N390">
        <v>594895941</v>
      </c>
      <c r="O390" t="b">
        <v>0</v>
      </c>
      <c r="P390">
        <v>1</v>
      </c>
      <c r="Q390" t="str" cm="1">
        <f t="array" ref="Q390">_xlfn.IFS(Table1[[#This Row],[Wealthier_Winner]]=-1,"Wealthier Nation Loses",Table1[[#This Row],[Wealthier_Winner]]=0,"Tie",Table1[[#This Row],[Wealthier_Winner]]=1,"Wealthier Nation Wins")</f>
        <v>Wealthier Nation Wins</v>
      </c>
    </row>
    <row r="391" spans="1:17" x14ac:dyDescent="0.2">
      <c r="A391" s="1">
        <v>1066</v>
      </c>
      <c r="B391" s="2">
        <v>27847</v>
      </c>
      <c r="C391" s="7">
        <f>_xlfn.FLOOR.MATH(Table1[[#This Row],[year]],10)</f>
        <v>1970</v>
      </c>
      <c r="D391" t="s">
        <v>346</v>
      </c>
      <c r="E391" t="s">
        <v>345</v>
      </c>
      <c r="F391">
        <v>0</v>
      </c>
      <c r="G391">
        <v>2</v>
      </c>
      <c r="H391" t="s">
        <v>224</v>
      </c>
      <c r="I391" t="s">
        <v>350</v>
      </c>
      <c r="J391" t="s">
        <v>346</v>
      </c>
      <c r="K391" t="b">
        <v>0</v>
      </c>
      <c r="L391">
        <v>1976</v>
      </c>
      <c r="M391">
        <v>775045516</v>
      </c>
      <c r="N391">
        <v>976547188</v>
      </c>
      <c r="O391" t="b">
        <v>0</v>
      </c>
      <c r="P391">
        <v>1</v>
      </c>
      <c r="Q391" t="str" cm="1">
        <f t="array" ref="Q391">_xlfn.IFS(Table1[[#This Row],[Wealthier_Winner]]=-1,"Wealthier Nation Loses",Table1[[#This Row],[Wealthier_Winner]]=0,"Tie",Table1[[#This Row],[Wealthier_Winner]]=1,"Wealthier Nation Wins")</f>
        <v>Wealthier Nation Wins</v>
      </c>
    </row>
    <row r="392" spans="1:17" x14ac:dyDescent="0.2">
      <c r="A392" s="1">
        <v>1067</v>
      </c>
      <c r="B392" s="2">
        <v>27851</v>
      </c>
      <c r="C392" s="7">
        <f>_xlfn.FLOOR.MATH(Table1[[#This Row],[year]],10)</f>
        <v>1970</v>
      </c>
      <c r="D392" t="s">
        <v>32</v>
      </c>
      <c r="E392" t="s">
        <v>286</v>
      </c>
      <c r="F392">
        <v>1</v>
      </c>
      <c r="G392">
        <v>0</v>
      </c>
      <c r="H392" t="s">
        <v>224</v>
      </c>
      <c r="I392" t="s">
        <v>279</v>
      </c>
      <c r="J392" t="s">
        <v>32</v>
      </c>
      <c r="K392" t="b">
        <v>0</v>
      </c>
      <c r="L392">
        <v>1976</v>
      </c>
      <c r="M392">
        <v>17728240932</v>
      </c>
      <c r="N392">
        <v>19096943016</v>
      </c>
      <c r="O392" t="b">
        <v>0</v>
      </c>
      <c r="P392">
        <v>-1</v>
      </c>
      <c r="Q392" t="str" cm="1">
        <f t="array" ref="Q392">_xlfn.IFS(Table1[[#This Row],[Wealthier_Winner]]=-1,"Wealthier Nation Loses",Table1[[#This Row],[Wealthier_Winner]]=0,"Tie",Table1[[#This Row],[Wealthier_Winner]]=1,"Wealthier Nation Wins")</f>
        <v>Wealthier Nation Loses</v>
      </c>
    </row>
    <row r="393" spans="1:17" x14ac:dyDescent="0.2">
      <c r="A393" s="1">
        <v>1068</v>
      </c>
      <c r="B393" s="2">
        <v>27866</v>
      </c>
      <c r="C393" s="7">
        <f>_xlfn.FLOOR.MATH(Table1[[#This Row],[year]],10)</f>
        <v>1970</v>
      </c>
      <c r="D393" t="s">
        <v>286</v>
      </c>
      <c r="E393" t="s">
        <v>32</v>
      </c>
      <c r="F393">
        <v>0</v>
      </c>
      <c r="G393">
        <v>0</v>
      </c>
      <c r="H393" t="s">
        <v>224</v>
      </c>
      <c r="I393" t="s">
        <v>287</v>
      </c>
      <c r="J393" t="s">
        <v>286</v>
      </c>
      <c r="K393" t="b">
        <v>0</v>
      </c>
      <c r="L393">
        <v>1976</v>
      </c>
      <c r="M393">
        <v>19096943016</v>
      </c>
      <c r="N393">
        <v>17728240932</v>
      </c>
      <c r="O393" t="b">
        <v>0</v>
      </c>
      <c r="P393">
        <v>0</v>
      </c>
      <c r="Q393" t="str" cm="1">
        <f t="array" ref="Q393">_xlfn.IFS(Table1[[#This Row],[Wealthier_Winner]]=-1,"Wealthier Nation Loses",Table1[[#This Row],[Wealthier_Winner]]=0,"Tie",Table1[[#This Row],[Wealthier_Winner]]=1,"Wealthier Nation Wins")</f>
        <v>Tie</v>
      </c>
    </row>
    <row r="394" spans="1:17" x14ac:dyDescent="0.2">
      <c r="A394" s="1">
        <v>1070</v>
      </c>
      <c r="B394" s="2">
        <v>27903</v>
      </c>
      <c r="C394" s="7">
        <f>_xlfn.FLOOR.MATH(Table1[[#This Row],[year]],10)</f>
        <v>1970</v>
      </c>
      <c r="D394" t="s">
        <v>351</v>
      </c>
      <c r="E394" t="s">
        <v>36</v>
      </c>
      <c r="F394">
        <v>1</v>
      </c>
      <c r="G394">
        <v>5</v>
      </c>
      <c r="H394" t="s">
        <v>224</v>
      </c>
      <c r="I394" t="s">
        <v>352</v>
      </c>
      <c r="J394" t="s">
        <v>351</v>
      </c>
      <c r="K394" t="b">
        <v>0</v>
      </c>
      <c r="L394">
        <v>1976</v>
      </c>
      <c r="M394">
        <v>576090073</v>
      </c>
      <c r="N394">
        <v>44503607444</v>
      </c>
      <c r="O394" t="b">
        <v>1</v>
      </c>
      <c r="P394">
        <v>1</v>
      </c>
      <c r="Q394" t="str" cm="1">
        <f t="array" ref="Q394">_xlfn.IFS(Table1[[#This Row],[Wealthier_Winner]]=-1,"Wealthier Nation Loses",Table1[[#This Row],[Wealthier_Winner]]=0,"Tie",Table1[[#This Row],[Wealthier_Winner]]=1,"Wealthier Nation Wins")</f>
        <v>Wealthier Nation Wins</v>
      </c>
    </row>
    <row r="395" spans="1:17" x14ac:dyDescent="0.2">
      <c r="A395" s="1">
        <v>1072</v>
      </c>
      <c r="B395" s="2">
        <v>27924</v>
      </c>
      <c r="C395" s="7">
        <f>_xlfn.FLOOR.MATH(Table1[[#This Row],[year]],10)</f>
        <v>1970</v>
      </c>
      <c r="D395" t="s">
        <v>230</v>
      </c>
      <c r="E395" t="s">
        <v>194</v>
      </c>
      <c r="F395">
        <v>1</v>
      </c>
      <c r="G395">
        <v>4</v>
      </c>
      <c r="H395" t="s">
        <v>224</v>
      </c>
      <c r="I395" t="s">
        <v>231</v>
      </c>
      <c r="J395" t="s">
        <v>230</v>
      </c>
      <c r="K395" t="b">
        <v>0</v>
      </c>
      <c r="L395">
        <v>1976</v>
      </c>
      <c r="M395">
        <v>31852352669</v>
      </c>
      <c r="N395">
        <v>232614555256</v>
      </c>
      <c r="O395" t="b">
        <v>1</v>
      </c>
      <c r="P395">
        <v>1</v>
      </c>
      <c r="Q395" t="str" cm="1">
        <f t="array" ref="Q395">_xlfn.IFS(Table1[[#This Row],[Wealthier_Winner]]=-1,"Wealthier Nation Loses",Table1[[#This Row],[Wealthier_Winner]]=0,"Tie",Table1[[#This Row],[Wealthier_Winner]]=1,"Wealthier Nation Wins")</f>
        <v>Wealthier Nation Wins</v>
      </c>
    </row>
    <row r="396" spans="1:17" x14ac:dyDescent="0.2">
      <c r="A396" s="1">
        <v>1073</v>
      </c>
      <c r="B396" s="2">
        <v>27927</v>
      </c>
      <c r="C396" s="7">
        <f>_xlfn.FLOOR.MATH(Table1[[#This Row],[year]],10)</f>
        <v>1970</v>
      </c>
      <c r="D396" t="s">
        <v>25</v>
      </c>
      <c r="E396" t="s">
        <v>42</v>
      </c>
      <c r="F396">
        <v>2</v>
      </c>
      <c r="G396">
        <v>0</v>
      </c>
      <c r="H396" t="s">
        <v>224</v>
      </c>
      <c r="I396" t="s">
        <v>233</v>
      </c>
      <c r="J396" t="s">
        <v>25</v>
      </c>
      <c r="K396" t="b">
        <v>0</v>
      </c>
      <c r="L396">
        <v>1976</v>
      </c>
      <c r="M396">
        <v>89232517045</v>
      </c>
      <c r="N396">
        <v>35942270686</v>
      </c>
      <c r="O396" t="b">
        <v>1</v>
      </c>
      <c r="P396">
        <v>1</v>
      </c>
      <c r="Q396" t="str" cm="1">
        <f t="array" ref="Q396">_xlfn.IFS(Table1[[#This Row],[Wealthier_Winner]]=-1,"Wealthier Nation Loses",Table1[[#This Row],[Wealthier_Winner]]=0,"Tie",Table1[[#This Row],[Wealthier_Winner]]=1,"Wealthier Nation Wins")</f>
        <v>Wealthier Nation Wins</v>
      </c>
    </row>
    <row r="397" spans="1:17" x14ac:dyDescent="0.2">
      <c r="A397" s="1">
        <v>1075</v>
      </c>
      <c r="B397" s="2">
        <v>28008</v>
      </c>
      <c r="C397" s="7">
        <f>_xlfn.FLOOR.MATH(Table1[[#This Row],[year]],10)</f>
        <v>1970</v>
      </c>
      <c r="D397" t="s">
        <v>66</v>
      </c>
      <c r="E397" t="s">
        <v>23</v>
      </c>
      <c r="F397">
        <v>0</v>
      </c>
      <c r="G397">
        <v>1</v>
      </c>
      <c r="H397" t="s">
        <v>224</v>
      </c>
      <c r="I397" t="s">
        <v>336</v>
      </c>
      <c r="J397" t="s">
        <v>66</v>
      </c>
      <c r="K397" t="b">
        <v>0</v>
      </c>
      <c r="L397">
        <v>1976</v>
      </c>
      <c r="M397">
        <v>1727845419</v>
      </c>
      <c r="N397">
        <v>71113882967</v>
      </c>
      <c r="O397" t="b">
        <v>1</v>
      </c>
      <c r="P397">
        <v>1</v>
      </c>
      <c r="Q397" t="str" cm="1">
        <f t="array" ref="Q397">_xlfn.IFS(Table1[[#This Row],[Wealthier_Winner]]=-1,"Wealthier Nation Loses",Table1[[#This Row],[Wealthier_Winner]]=0,"Tie",Table1[[#This Row],[Wealthier_Winner]]=1,"Wealthier Nation Wins")</f>
        <v>Wealthier Nation Wins</v>
      </c>
    </row>
    <row r="398" spans="1:17" x14ac:dyDescent="0.2">
      <c r="A398" s="1">
        <v>1076</v>
      </c>
      <c r="B398" s="2">
        <v>28011</v>
      </c>
      <c r="C398" s="7">
        <f>_xlfn.FLOOR.MATH(Table1[[#This Row],[year]],10)</f>
        <v>1970</v>
      </c>
      <c r="D398" t="s">
        <v>66</v>
      </c>
      <c r="E398" t="s">
        <v>27</v>
      </c>
      <c r="F398">
        <v>0</v>
      </c>
      <c r="G398">
        <v>1</v>
      </c>
      <c r="H398" t="s">
        <v>224</v>
      </c>
      <c r="I398" t="s">
        <v>336</v>
      </c>
      <c r="J398" t="s">
        <v>66</v>
      </c>
      <c r="K398" t="b">
        <v>0</v>
      </c>
      <c r="L398">
        <v>1976</v>
      </c>
      <c r="M398">
        <v>1727845419</v>
      </c>
      <c r="N398">
        <v>109329386564</v>
      </c>
      <c r="O398" t="b">
        <v>1</v>
      </c>
      <c r="P398">
        <v>1</v>
      </c>
      <c r="Q398" t="str" cm="1">
        <f t="array" ref="Q398">_xlfn.IFS(Table1[[#This Row],[Wealthier_Winner]]=-1,"Wealthier Nation Loses",Table1[[#This Row],[Wealthier_Winner]]=0,"Tie",Table1[[#This Row],[Wealthier_Winner]]=1,"Wealthier Nation Wins")</f>
        <v>Wealthier Nation Wins</v>
      </c>
    </row>
    <row r="399" spans="1:17" x14ac:dyDescent="0.2">
      <c r="A399" s="1">
        <v>1077</v>
      </c>
      <c r="B399" s="2">
        <v>28011</v>
      </c>
      <c r="C399" s="7">
        <f>_xlfn.FLOOR.MATH(Table1[[#This Row],[year]],10)</f>
        <v>1970</v>
      </c>
      <c r="D399" t="s">
        <v>42</v>
      </c>
      <c r="E399" t="s">
        <v>46</v>
      </c>
      <c r="F399">
        <v>1</v>
      </c>
      <c r="G399">
        <v>0</v>
      </c>
      <c r="H399" t="s">
        <v>224</v>
      </c>
      <c r="I399" t="s">
        <v>262</v>
      </c>
      <c r="J399" t="s">
        <v>42</v>
      </c>
      <c r="K399" t="b">
        <v>0</v>
      </c>
      <c r="L399">
        <v>1976</v>
      </c>
      <c r="M399">
        <v>35942270686</v>
      </c>
      <c r="N399">
        <v>68476524643</v>
      </c>
      <c r="O399" t="b">
        <v>0</v>
      </c>
      <c r="P399">
        <v>-1</v>
      </c>
      <c r="Q399" t="str" cm="1">
        <f t="array" ref="Q399">_xlfn.IFS(Table1[[#This Row],[Wealthier_Winner]]=-1,"Wealthier Nation Loses",Table1[[#This Row],[Wealthier_Winner]]=0,"Tie",Table1[[#This Row],[Wealthier_Winner]]=1,"Wealthier Nation Wins")</f>
        <v>Wealthier Nation Loses</v>
      </c>
    </row>
    <row r="400" spans="1:17" x14ac:dyDescent="0.2">
      <c r="A400" s="1">
        <v>1078</v>
      </c>
      <c r="B400" s="2">
        <v>28025</v>
      </c>
      <c r="C400" s="7">
        <f>_xlfn.FLOOR.MATH(Table1[[#This Row],[year]],10)</f>
        <v>1970</v>
      </c>
      <c r="D400" t="s">
        <v>230</v>
      </c>
      <c r="E400" t="s">
        <v>232</v>
      </c>
      <c r="F400">
        <v>7</v>
      </c>
      <c r="G400">
        <v>1</v>
      </c>
      <c r="H400" t="s">
        <v>224</v>
      </c>
      <c r="I400" t="s">
        <v>231</v>
      </c>
      <c r="J400" t="s">
        <v>230</v>
      </c>
      <c r="K400" t="b">
        <v>0</v>
      </c>
      <c r="L400">
        <v>1976</v>
      </c>
      <c r="M400">
        <v>31852352669</v>
      </c>
      <c r="N400">
        <v>3423586206</v>
      </c>
      <c r="O400" t="b">
        <v>1</v>
      </c>
      <c r="P400">
        <v>1</v>
      </c>
      <c r="Q400" t="str" cm="1">
        <f t="array" ref="Q400">_xlfn.IFS(Table1[[#This Row],[Wealthier_Winner]]=-1,"Wealthier Nation Loses",Table1[[#This Row],[Wealthier_Winner]]=0,"Tie",Table1[[#This Row],[Wealthier_Winner]]=1,"Wealthier Nation Wins")</f>
        <v>Wealthier Nation Wins</v>
      </c>
    </row>
    <row r="401" spans="1:17" x14ac:dyDescent="0.2">
      <c r="A401" s="1">
        <v>1081</v>
      </c>
      <c r="B401" s="2">
        <v>28042</v>
      </c>
      <c r="C401" s="7">
        <f>_xlfn.FLOOR.MATH(Table1[[#This Row],[year]],10)</f>
        <v>1970</v>
      </c>
      <c r="D401" t="s">
        <v>48</v>
      </c>
      <c r="E401" t="s">
        <v>30</v>
      </c>
      <c r="F401">
        <v>1</v>
      </c>
      <c r="G401">
        <v>1</v>
      </c>
      <c r="H401" t="s">
        <v>224</v>
      </c>
      <c r="I401" t="s">
        <v>282</v>
      </c>
      <c r="J401" t="s">
        <v>48</v>
      </c>
      <c r="K401" t="b">
        <v>0</v>
      </c>
      <c r="L401">
        <v>1976</v>
      </c>
      <c r="M401">
        <v>30719552238</v>
      </c>
      <c r="N401">
        <v>13235612078</v>
      </c>
      <c r="O401" t="b">
        <v>1</v>
      </c>
      <c r="P401">
        <v>0</v>
      </c>
      <c r="Q401" t="str" cm="1">
        <f t="array" ref="Q401">_xlfn.IFS(Table1[[#This Row],[Wealthier_Winner]]=-1,"Wealthier Nation Loses",Table1[[#This Row],[Wealthier_Winner]]=0,"Tie",Table1[[#This Row],[Wealthier_Winner]]=1,"Wealthier Nation Wins")</f>
        <v>Tie</v>
      </c>
    </row>
    <row r="402" spans="1:17" x14ac:dyDescent="0.2">
      <c r="A402" s="1">
        <v>1082</v>
      </c>
      <c r="B402" s="2">
        <v>28042</v>
      </c>
      <c r="C402" s="7">
        <f>_xlfn.FLOOR.MATH(Table1[[#This Row],[year]],10)</f>
        <v>1970</v>
      </c>
      <c r="D402" t="s">
        <v>46</v>
      </c>
      <c r="E402" t="s">
        <v>25</v>
      </c>
      <c r="F402">
        <v>1</v>
      </c>
      <c r="G402">
        <v>2</v>
      </c>
      <c r="H402" t="s">
        <v>224</v>
      </c>
      <c r="I402" t="s">
        <v>269</v>
      </c>
      <c r="J402" t="s">
        <v>46</v>
      </c>
      <c r="K402" t="b">
        <v>0</v>
      </c>
      <c r="L402">
        <v>1976</v>
      </c>
      <c r="M402">
        <v>68476524643</v>
      </c>
      <c r="N402">
        <v>89232517045</v>
      </c>
      <c r="O402" t="b">
        <v>0</v>
      </c>
      <c r="P402">
        <v>1</v>
      </c>
      <c r="Q402" t="str" cm="1">
        <f t="array" ref="Q402">_xlfn.IFS(Table1[[#This Row],[Wealthier_Winner]]=-1,"Wealthier Nation Loses",Table1[[#This Row],[Wealthier_Winner]]=0,"Tie",Table1[[#This Row],[Wealthier_Winner]]=1,"Wealthier Nation Wins")</f>
        <v>Wealthier Nation Wins</v>
      </c>
    </row>
    <row r="403" spans="1:17" x14ac:dyDescent="0.2">
      <c r="A403" s="1">
        <v>1083</v>
      </c>
      <c r="B403" s="2">
        <v>28043</v>
      </c>
      <c r="C403" s="7">
        <f>_xlfn.FLOOR.MATH(Table1[[#This Row],[year]],10)</f>
        <v>1970</v>
      </c>
      <c r="D403" t="s">
        <v>63</v>
      </c>
      <c r="E403" t="s">
        <v>305</v>
      </c>
      <c r="F403">
        <v>2</v>
      </c>
      <c r="G403">
        <v>1</v>
      </c>
      <c r="H403" t="s">
        <v>224</v>
      </c>
      <c r="I403" t="s">
        <v>226</v>
      </c>
      <c r="J403" t="s">
        <v>63</v>
      </c>
      <c r="K403" t="b">
        <v>0</v>
      </c>
      <c r="L403">
        <v>1976</v>
      </c>
      <c r="M403">
        <v>2765254237</v>
      </c>
      <c r="N403">
        <v>6762781870</v>
      </c>
      <c r="O403" t="b">
        <v>1</v>
      </c>
      <c r="P403">
        <v>-1</v>
      </c>
      <c r="Q403" t="str" cm="1">
        <f t="array" ref="Q403">_xlfn.IFS(Table1[[#This Row],[Wealthier_Winner]]=-1,"Wealthier Nation Loses",Table1[[#This Row],[Wealthier_Winner]]=0,"Tie",Table1[[#This Row],[Wealthier_Winner]]=1,"Wealthier Nation Wins")</f>
        <v>Wealthier Nation Loses</v>
      </c>
    </row>
    <row r="404" spans="1:17" x14ac:dyDescent="0.2">
      <c r="A404" s="1">
        <v>1086</v>
      </c>
      <c r="B404" s="2">
        <v>28046</v>
      </c>
      <c r="C404" s="7">
        <f>_xlfn.FLOOR.MATH(Table1[[#This Row],[year]],10)</f>
        <v>1970</v>
      </c>
      <c r="D404" t="s">
        <v>194</v>
      </c>
      <c r="E404" t="s">
        <v>230</v>
      </c>
      <c r="F404">
        <v>2</v>
      </c>
      <c r="G404">
        <v>1</v>
      </c>
      <c r="H404" t="s">
        <v>224</v>
      </c>
      <c r="I404" t="s">
        <v>80</v>
      </c>
      <c r="J404" t="s">
        <v>194</v>
      </c>
      <c r="K404" t="b">
        <v>0</v>
      </c>
      <c r="L404">
        <v>1976</v>
      </c>
      <c r="M404">
        <v>232614555256</v>
      </c>
      <c r="N404">
        <v>31852352669</v>
      </c>
      <c r="O404" t="b">
        <v>1</v>
      </c>
      <c r="P404">
        <v>1</v>
      </c>
      <c r="Q404" t="str" cm="1">
        <f t="array" ref="Q404">_xlfn.IFS(Table1[[#This Row],[Wealthier_Winner]]=-1,"Wealthier Nation Loses",Table1[[#This Row],[Wealthier_Winner]]=0,"Tie",Table1[[#This Row],[Wealthier_Winner]]=1,"Wealthier Nation Wins")</f>
        <v>Wealthier Nation Wins</v>
      </c>
    </row>
    <row r="405" spans="1:17" x14ac:dyDescent="0.2">
      <c r="A405" s="1">
        <v>1088</v>
      </c>
      <c r="B405" s="2">
        <v>28049</v>
      </c>
      <c r="C405" s="7">
        <f>_xlfn.FLOOR.MATH(Table1[[#This Row],[year]],10)</f>
        <v>1970</v>
      </c>
      <c r="D405" t="s">
        <v>232</v>
      </c>
      <c r="E405" t="s">
        <v>18</v>
      </c>
      <c r="F405">
        <v>1</v>
      </c>
      <c r="G405">
        <v>4</v>
      </c>
      <c r="H405" t="s">
        <v>224</v>
      </c>
      <c r="I405" t="s">
        <v>232</v>
      </c>
      <c r="J405" t="s">
        <v>232</v>
      </c>
      <c r="K405" t="b">
        <v>0</v>
      </c>
      <c r="L405">
        <v>1976</v>
      </c>
      <c r="M405">
        <v>3423586206</v>
      </c>
      <c r="N405">
        <v>225235205861</v>
      </c>
      <c r="O405" t="b">
        <v>1</v>
      </c>
      <c r="P405">
        <v>1</v>
      </c>
      <c r="Q405" t="str" cm="1">
        <f t="array" ref="Q405">_xlfn.IFS(Table1[[#This Row],[Wealthier_Winner]]=-1,"Wealthier Nation Loses",Table1[[#This Row],[Wealthier_Winner]]=0,"Tie",Table1[[#This Row],[Wealthier_Winner]]=1,"Wealthier Nation Wins")</f>
        <v>Wealthier Nation Wins</v>
      </c>
    </row>
    <row r="406" spans="1:17" x14ac:dyDescent="0.2">
      <c r="A406" s="1">
        <v>1090</v>
      </c>
      <c r="B406" s="2">
        <v>28049</v>
      </c>
      <c r="C406" s="7">
        <f>_xlfn.FLOOR.MATH(Table1[[#This Row],[year]],10)</f>
        <v>1970</v>
      </c>
      <c r="D406" t="s">
        <v>342</v>
      </c>
      <c r="E406" t="s">
        <v>43</v>
      </c>
      <c r="F406">
        <v>0</v>
      </c>
      <c r="G406">
        <v>0</v>
      </c>
      <c r="H406" t="s">
        <v>224</v>
      </c>
      <c r="I406" t="s">
        <v>344</v>
      </c>
      <c r="J406" t="s">
        <v>342</v>
      </c>
      <c r="K406" t="b">
        <v>0</v>
      </c>
      <c r="L406">
        <v>1976</v>
      </c>
      <c r="M406">
        <v>594895941</v>
      </c>
      <c r="N406">
        <v>36308883248</v>
      </c>
      <c r="O406" t="b">
        <v>1</v>
      </c>
      <c r="P406">
        <v>0</v>
      </c>
      <c r="Q406" t="str" cm="1">
        <f t="array" ref="Q406">_xlfn.IFS(Table1[[#This Row],[Wealthier_Winner]]=-1,"Wealthier Nation Loses",Table1[[#This Row],[Wealthier_Winner]]=0,"Tie",Table1[[#This Row],[Wealthier_Winner]]=1,"Wealthier Nation Wins")</f>
        <v>Tie</v>
      </c>
    </row>
    <row r="407" spans="1:17" x14ac:dyDescent="0.2">
      <c r="A407" s="1">
        <v>1092</v>
      </c>
      <c r="B407" s="2">
        <v>28050</v>
      </c>
      <c r="C407" s="7">
        <f>_xlfn.FLOOR.MATH(Table1[[#This Row],[year]],10)</f>
        <v>1970</v>
      </c>
      <c r="D407" t="s">
        <v>62</v>
      </c>
      <c r="E407" t="s">
        <v>54</v>
      </c>
      <c r="F407">
        <v>1</v>
      </c>
      <c r="G407">
        <v>0</v>
      </c>
      <c r="H407" t="s">
        <v>224</v>
      </c>
      <c r="I407" t="s">
        <v>353</v>
      </c>
      <c r="J407" t="s">
        <v>62</v>
      </c>
      <c r="K407" t="b">
        <v>0</v>
      </c>
      <c r="L407">
        <v>1976</v>
      </c>
      <c r="M407">
        <v>874681611</v>
      </c>
      <c r="N407">
        <v>2869777884</v>
      </c>
      <c r="O407" t="b">
        <v>1</v>
      </c>
      <c r="P407">
        <v>-1</v>
      </c>
      <c r="Q407" t="str" cm="1">
        <f t="array" ref="Q407">_xlfn.IFS(Table1[[#This Row],[Wealthier_Winner]]=-1,"Wealthier Nation Loses",Table1[[#This Row],[Wealthier_Winner]]=0,"Tie",Table1[[#This Row],[Wealthier_Winner]]=1,"Wealthier Nation Wins")</f>
        <v>Wealthier Nation Loses</v>
      </c>
    </row>
    <row r="408" spans="1:17" x14ac:dyDescent="0.2">
      <c r="A408" s="1">
        <v>1093</v>
      </c>
      <c r="B408" s="2">
        <v>28060</v>
      </c>
      <c r="C408" s="7">
        <f>_xlfn.FLOOR.MATH(Table1[[#This Row],[year]],10)</f>
        <v>1970</v>
      </c>
      <c r="D408" t="s">
        <v>36</v>
      </c>
      <c r="E408" t="s">
        <v>351</v>
      </c>
      <c r="F408">
        <v>5</v>
      </c>
      <c r="G408">
        <v>0</v>
      </c>
      <c r="H408" t="s">
        <v>224</v>
      </c>
      <c r="I408" t="s">
        <v>264</v>
      </c>
      <c r="J408" t="s">
        <v>36</v>
      </c>
      <c r="K408" t="b">
        <v>0</v>
      </c>
      <c r="L408">
        <v>1976</v>
      </c>
      <c r="M408">
        <v>44503607444</v>
      </c>
      <c r="N408">
        <v>576090073</v>
      </c>
      <c r="O408" t="b">
        <v>1</v>
      </c>
      <c r="P408">
        <v>1</v>
      </c>
      <c r="Q408" t="str" cm="1">
        <f t="array" ref="Q408">_xlfn.IFS(Table1[[#This Row],[Wealthier_Winner]]=-1,"Wealthier Nation Loses",Table1[[#This Row],[Wealthier_Winner]]=0,"Tie",Table1[[#This Row],[Wealthier_Winner]]=1,"Wealthier Nation Wins")</f>
        <v>Wealthier Nation Wins</v>
      </c>
    </row>
    <row r="409" spans="1:17" x14ac:dyDescent="0.2">
      <c r="A409" s="1">
        <v>1094</v>
      </c>
      <c r="B409" s="2">
        <v>28062</v>
      </c>
      <c r="C409" s="7">
        <f>_xlfn.FLOOR.MATH(Table1[[#This Row],[year]],10)</f>
        <v>1970</v>
      </c>
      <c r="D409" t="s">
        <v>212</v>
      </c>
      <c r="E409" t="s">
        <v>238</v>
      </c>
      <c r="F409">
        <v>3</v>
      </c>
      <c r="G409">
        <v>0</v>
      </c>
      <c r="H409" t="s">
        <v>224</v>
      </c>
      <c r="I409" t="s">
        <v>322</v>
      </c>
      <c r="J409" t="s">
        <v>212</v>
      </c>
      <c r="K409" t="b">
        <v>0</v>
      </c>
      <c r="L409">
        <v>1976</v>
      </c>
      <c r="M409">
        <v>13315988083</v>
      </c>
      <c r="N409">
        <v>4943806093</v>
      </c>
      <c r="O409" t="b">
        <v>1</v>
      </c>
      <c r="P409">
        <v>1</v>
      </c>
      <c r="Q409" t="str" cm="1">
        <f t="array" ref="Q409">_xlfn.IFS(Table1[[#This Row],[Wealthier_Winner]]=-1,"Wealthier Nation Loses",Table1[[#This Row],[Wealthier_Winner]]=0,"Tie",Table1[[#This Row],[Wealthier_Winner]]=1,"Wealthier Nation Wins")</f>
        <v>Wealthier Nation Wins</v>
      </c>
    </row>
    <row r="410" spans="1:17" x14ac:dyDescent="0.2">
      <c r="A410" s="1">
        <v>1095</v>
      </c>
      <c r="B410" s="2">
        <v>28063</v>
      </c>
      <c r="C410" s="7">
        <f>_xlfn.FLOOR.MATH(Table1[[#This Row],[year]],10)</f>
        <v>1970</v>
      </c>
      <c r="D410" t="s">
        <v>43</v>
      </c>
      <c r="E410" t="s">
        <v>342</v>
      </c>
      <c r="F410">
        <v>6</v>
      </c>
      <c r="G410">
        <v>2</v>
      </c>
      <c r="H410" t="s">
        <v>224</v>
      </c>
      <c r="I410" t="s">
        <v>229</v>
      </c>
      <c r="J410" t="s">
        <v>43</v>
      </c>
      <c r="K410" t="b">
        <v>0</v>
      </c>
      <c r="L410">
        <v>1976</v>
      </c>
      <c r="M410">
        <v>36308883248</v>
      </c>
      <c r="N410">
        <v>594895941</v>
      </c>
      <c r="O410" t="b">
        <v>1</v>
      </c>
      <c r="P410">
        <v>1</v>
      </c>
      <c r="Q410" t="str" cm="1">
        <f t="array" ref="Q410">_xlfn.IFS(Table1[[#This Row],[Wealthier_Winner]]=-1,"Wealthier Nation Loses",Table1[[#This Row],[Wealthier_Winner]]=0,"Tie",Table1[[#This Row],[Wealthier_Winner]]=1,"Wealthier Nation Wins")</f>
        <v>Wealthier Nation Wins</v>
      </c>
    </row>
    <row r="411" spans="1:17" x14ac:dyDescent="0.2">
      <c r="A411" s="1">
        <v>1097</v>
      </c>
      <c r="B411" s="2">
        <v>28064</v>
      </c>
      <c r="C411" s="7">
        <f>_xlfn.FLOOR.MATH(Table1[[#This Row],[year]],10)</f>
        <v>1970</v>
      </c>
      <c r="D411" t="s">
        <v>305</v>
      </c>
      <c r="E411" t="s">
        <v>63</v>
      </c>
      <c r="F411">
        <v>2</v>
      </c>
      <c r="G411">
        <v>1</v>
      </c>
      <c r="H411" t="s">
        <v>224</v>
      </c>
      <c r="I411" t="s">
        <v>306</v>
      </c>
      <c r="J411" t="s">
        <v>305</v>
      </c>
      <c r="K411" t="b">
        <v>0</v>
      </c>
      <c r="L411">
        <v>1976</v>
      </c>
      <c r="M411">
        <v>6762781870</v>
      </c>
      <c r="N411">
        <v>2765254237</v>
      </c>
      <c r="O411" t="b">
        <v>1</v>
      </c>
      <c r="P411">
        <v>1</v>
      </c>
      <c r="Q411" t="str" cm="1">
        <f t="array" ref="Q411">_xlfn.IFS(Table1[[#This Row],[Wealthier_Winner]]=-1,"Wealthier Nation Loses",Table1[[#This Row],[Wealthier_Winner]]=0,"Tie",Table1[[#This Row],[Wealthier_Winner]]=1,"Wealthier Nation Wins")</f>
        <v>Wealthier Nation Wins</v>
      </c>
    </row>
    <row r="412" spans="1:17" x14ac:dyDescent="0.2">
      <c r="A412" s="1">
        <v>1099</v>
      </c>
      <c r="B412" s="2">
        <v>28064</v>
      </c>
      <c r="C412" s="7">
        <f>_xlfn.FLOOR.MATH(Table1[[#This Row],[year]],10)</f>
        <v>1970</v>
      </c>
      <c r="D412" t="s">
        <v>54</v>
      </c>
      <c r="E412" t="s">
        <v>62</v>
      </c>
      <c r="F412">
        <v>1</v>
      </c>
      <c r="G412">
        <v>1</v>
      </c>
      <c r="H412" t="s">
        <v>224</v>
      </c>
      <c r="I412" t="s">
        <v>285</v>
      </c>
      <c r="J412" t="s">
        <v>54</v>
      </c>
      <c r="K412" t="b">
        <v>0</v>
      </c>
      <c r="L412">
        <v>1976</v>
      </c>
      <c r="M412">
        <v>2869777884</v>
      </c>
      <c r="N412">
        <v>874681611</v>
      </c>
      <c r="O412" t="b">
        <v>1</v>
      </c>
      <c r="P412">
        <v>0</v>
      </c>
      <c r="Q412" t="str" cm="1">
        <f t="array" ref="Q412">_xlfn.IFS(Table1[[#This Row],[Wealthier_Winner]]=-1,"Wealthier Nation Loses",Table1[[#This Row],[Wealthier_Winner]]=0,"Tie",Table1[[#This Row],[Wealthier_Winner]]=1,"Wealthier Nation Wins")</f>
        <v>Tie</v>
      </c>
    </row>
    <row r="413" spans="1:17" x14ac:dyDescent="0.2">
      <c r="A413" s="1">
        <v>1102</v>
      </c>
      <c r="B413" s="2">
        <v>28076</v>
      </c>
      <c r="C413" s="7">
        <f>_xlfn.FLOOR.MATH(Table1[[#This Row],[year]],10)</f>
        <v>1970</v>
      </c>
      <c r="D413" t="s">
        <v>45</v>
      </c>
      <c r="E413" t="s">
        <v>331</v>
      </c>
      <c r="F413">
        <v>2</v>
      </c>
      <c r="G413">
        <v>0</v>
      </c>
      <c r="H413" t="s">
        <v>224</v>
      </c>
      <c r="I413" t="s">
        <v>354</v>
      </c>
      <c r="J413" t="s">
        <v>45</v>
      </c>
      <c r="K413" t="b">
        <v>0</v>
      </c>
      <c r="L413">
        <v>1976</v>
      </c>
      <c r="M413">
        <v>64005665722</v>
      </c>
      <c r="N413">
        <v>7633528866</v>
      </c>
      <c r="O413" t="b">
        <v>1</v>
      </c>
      <c r="P413">
        <v>1</v>
      </c>
      <c r="Q413" t="str" cm="1">
        <f t="array" ref="Q413">_xlfn.IFS(Table1[[#This Row],[Wealthier_Winner]]=-1,"Wealthier Nation Loses",Table1[[#This Row],[Wealthier_Winner]]=0,"Tie",Table1[[#This Row],[Wealthier_Winner]]=1,"Wealthier Nation Wins")</f>
        <v>Wealthier Nation Wins</v>
      </c>
    </row>
    <row r="414" spans="1:17" x14ac:dyDescent="0.2">
      <c r="A414" s="1">
        <v>1103</v>
      </c>
      <c r="B414" s="2">
        <v>28078</v>
      </c>
      <c r="C414" s="7">
        <f>_xlfn.FLOOR.MATH(Table1[[#This Row],[year]],10)</f>
        <v>1970</v>
      </c>
      <c r="D414" t="s">
        <v>238</v>
      </c>
      <c r="E414" t="s">
        <v>212</v>
      </c>
      <c r="F414">
        <v>1</v>
      </c>
      <c r="G414">
        <v>2</v>
      </c>
      <c r="H414" t="s">
        <v>224</v>
      </c>
      <c r="I414" t="s">
        <v>288</v>
      </c>
      <c r="J414" t="s">
        <v>238</v>
      </c>
      <c r="K414" t="b">
        <v>0</v>
      </c>
      <c r="L414">
        <v>1976</v>
      </c>
      <c r="M414">
        <v>4943806093</v>
      </c>
      <c r="N414">
        <v>13315988083</v>
      </c>
      <c r="O414" t="b">
        <v>1</v>
      </c>
      <c r="P414">
        <v>1</v>
      </c>
      <c r="Q414" t="str" cm="1">
        <f t="array" ref="Q414">_xlfn.IFS(Table1[[#This Row],[Wealthier_Winner]]=-1,"Wealthier Nation Loses",Table1[[#This Row],[Wealthier_Winner]]=0,"Tie",Table1[[#This Row],[Wealthier_Winner]]=1,"Wealthier Nation Wins")</f>
        <v>Wealthier Nation Wins</v>
      </c>
    </row>
    <row r="415" spans="1:17" x14ac:dyDescent="0.2">
      <c r="A415" s="1">
        <v>1106</v>
      </c>
      <c r="B415" s="2">
        <v>28081</v>
      </c>
      <c r="C415" s="7">
        <f>_xlfn.FLOOR.MATH(Table1[[#This Row],[year]],10)</f>
        <v>1970</v>
      </c>
      <c r="D415" t="s">
        <v>18</v>
      </c>
      <c r="E415" t="s">
        <v>194</v>
      </c>
      <c r="F415">
        <v>2</v>
      </c>
      <c r="G415">
        <v>0</v>
      </c>
      <c r="H415" t="s">
        <v>224</v>
      </c>
      <c r="I415" t="s">
        <v>109</v>
      </c>
      <c r="J415" t="s">
        <v>18</v>
      </c>
      <c r="K415" t="b">
        <v>0</v>
      </c>
      <c r="L415">
        <v>1976</v>
      </c>
      <c r="M415">
        <v>225235205861</v>
      </c>
      <c r="N415">
        <v>232614555256</v>
      </c>
      <c r="O415" t="b">
        <v>0</v>
      </c>
      <c r="P415">
        <v>-1</v>
      </c>
      <c r="Q415" t="str" cm="1">
        <f t="array" ref="Q415">_xlfn.IFS(Table1[[#This Row],[Wealthier_Winner]]=-1,"Wealthier Nation Loses",Table1[[#This Row],[Wealthier_Winner]]=0,"Tie",Table1[[#This Row],[Wealthier_Winner]]=1,"Wealthier Nation Wins")</f>
        <v>Wealthier Nation Loses</v>
      </c>
    </row>
    <row r="416" spans="1:17" x14ac:dyDescent="0.2">
      <c r="A416" s="1">
        <v>1107</v>
      </c>
      <c r="B416" s="2">
        <v>28081</v>
      </c>
      <c r="C416" s="7">
        <f>_xlfn.FLOOR.MATH(Table1[[#This Row],[year]],10)</f>
        <v>1970</v>
      </c>
      <c r="D416" t="s">
        <v>38</v>
      </c>
      <c r="E416" t="s">
        <v>36</v>
      </c>
      <c r="F416">
        <v>1</v>
      </c>
      <c r="G416">
        <v>0</v>
      </c>
      <c r="H416" t="s">
        <v>224</v>
      </c>
      <c r="I416" t="s">
        <v>291</v>
      </c>
      <c r="J416" t="s">
        <v>38</v>
      </c>
      <c r="K416" t="b">
        <v>0</v>
      </c>
      <c r="L416">
        <v>1976</v>
      </c>
      <c r="M416">
        <v>20332831564</v>
      </c>
      <c r="N416">
        <v>44503607444</v>
      </c>
      <c r="O416" t="b">
        <v>1</v>
      </c>
      <c r="P416">
        <v>-1</v>
      </c>
      <c r="Q416" t="str" cm="1">
        <f t="array" ref="Q416">_xlfn.IFS(Table1[[#This Row],[Wealthier_Winner]]=-1,"Wealthier Nation Loses",Table1[[#This Row],[Wealthier_Winner]]=0,"Tie",Table1[[#This Row],[Wealthier_Winner]]=1,"Wealthier Nation Wins")</f>
        <v>Wealthier Nation Loses</v>
      </c>
    </row>
    <row r="417" spans="1:17" x14ac:dyDescent="0.2">
      <c r="A417" s="1">
        <v>1109</v>
      </c>
      <c r="B417" s="2">
        <v>28090</v>
      </c>
      <c r="C417" s="7">
        <f>_xlfn.FLOOR.MATH(Table1[[#This Row],[year]],10)</f>
        <v>1970</v>
      </c>
      <c r="D417" t="s">
        <v>331</v>
      </c>
      <c r="E417" t="s">
        <v>45</v>
      </c>
      <c r="F417">
        <v>2</v>
      </c>
      <c r="G417">
        <v>1</v>
      </c>
      <c r="H417" t="s">
        <v>224</v>
      </c>
      <c r="I417" t="s">
        <v>355</v>
      </c>
      <c r="J417" t="s">
        <v>331</v>
      </c>
      <c r="K417" t="b">
        <v>0</v>
      </c>
      <c r="L417">
        <v>1976</v>
      </c>
      <c r="M417">
        <v>7633528866</v>
      </c>
      <c r="N417">
        <v>64005665722</v>
      </c>
      <c r="O417" t="b">
        <v>1</v>
      </c>
      <c r="P417">
        <v>-1</v>
      </c>
      <c r="Q417" t="str" cm="1">
        <f t="array" ref="Q417">_xlfn.IFS(Table1[[#This Row],[Wealthier_Winner]]=-1,"Wealthier Nation Loses",Table1[[#This Row],[Wealthier_Winner]]=0,"Tie",Table1[[#This Row],[Wealthier_Winner]]=1,"Wealthier Nation Wins")</f>
        <v>Wealthier Nation Loses</v>
      </c>
    </row>
    <row r="418" spans="1:17" x14ac:dyDescent="0.2">
      <c r="A418" s="1">
        <v>1110</v>
      </c>
      <c r="B418" s="2">
        <v>28099</v>
      </c>
      <c r="C418" s="7">
        <f>_xlfn.FLOOR.MATH(Table1[[#This Row],[year]],10)</f>
        <v>1970</v>
      </c>
      <c r="D418" t="s">
        <v>351</v>
      </c>
      <c r="E418" t="s">
        <v>38</v>
      </c>
      <c r="F418">
        <v>1</v>
      </c>
      <c r="G418">
        <v>2</v>
      </c>
      <c r="H418" t="s">
        <v>224</v>
      </c>
      <c r="I418" t="s">
        <v>352</v>
      </c>
      <c r="J418" t="s">
        <v>351</v>
      </c>
      <c r="K418" t="b">
        <v>0</v>
      </c>
      <c r="L418">
        <v>1976</v>
      </c>
      <c r="M418">
        <v>576090073</v>
      </c>
      <c r="N418">
        <v>20332831564</v>
      </c>
      <c r="O418" t="b">
        <v>1</v>
      </c>
      <c r="P418">
        <v>1</v>
      </c>
      <c r="Q418" t="str" cm="1">
        <f t="array" ref="Q418">_xlfn.IFS(Table1[[#This Row],[Wealthier_Winner]]=-1,"Wealthier Nation Loses",Table1[[#This Row],[Wealthier_Winner]]=0,"Tie",Table1[[#This Row],[Wealthier_Winner]]=1,"Wealthier Nation Wins")</f>
        <v>Wealthier Nation Wins</v>
      </c>
    </row>
    <row r="419" spans="1:17" x14ac:dyDescent="0.2">
      <c r="A419" s="1">
        <v>1111</v>
      </c>
      <c r="B419" s="2">
        <v>28099</v>
      </c>
      <c r="C419" s="7">
        <f>_xlfn.FLOOR.MATH(Table1[[#This Row],[year]],10)</f>
        <v>1970</v>
      </c>
      <c r="D419" t="s">
        <v>303</v>
      </c>
      <c r="E419" t="s">
        <v>29</v>
      </c>
      <c r="F419">
        <v>0</v>
      </c>
      <c r="G419">
        <v>1</v>
      </c>
      <c r="H419" t="s">
        <v>224</v>
      </c>
      <c r="I419" t="s">
        <v>304</v>
      </c>
      <c r="J419" t="s">
        <v>303</v>
      </c>
      <c r="K419" t="b">
        <v>0</v>
      </c>
      <c r="L419">
        <v>1976</v>
      </c>
      <c r="M419">
        <v>527936988</v>
      </c>
      <c r="N419">
        <v>42791707448</v>
      </c>
      <c r="O419" t="b">
        <v>1</v>
      </c>
      <c r="P419">
        <v>1</v>
      </c>
      <c r="Q419" t="str" cm="1">
        <f t="array" ref="Q419">_xlfn.IFS(Table1[[#This Row],[Wealthier_Winner]]=-1,"Wealthier Nation Loses",Table1[[#This Row],[Wealthier_Winner]]=0,"Tie",Table1[[#This Row],[Wealthier_Winner]]=1,"Wealthier Nation Wins")</f>
        <v>Wealthier Nation Wins</v>
      </c>
    </row>
    <row r="420" spans="1:17" x14ac:dyDescent="0.2">
      <c r="A420" s="1">
        <v>1112</v>
      </c>
      <c r="B420" s="2">
        <v>28106</v>
      </c>
      <c r="C420" s="7">
        <f>_xlfn.FLOOR.MATH(Table1[[#This Row],[year]],10)</f>
        <v>1970</v>
      </c>
      <c r="D420" t="s">
        <v>24</v>
      </c>
      <c r="E420" t="s">
        <v>53</v>
      </c>
      <c r="F420">
        <v>1</v>
      </c>
      <c r="G420">
        <v>1</v>
      </c>
      <c r="H420" t="s">
        <v>224</v>
      </c>
      <c r="I420" t="s">
        <v>244</v>
      </c>
      <c r="J420" t="s">
        <v>24</v>
      </c>
      <c r="K420" t="b">
        <v>0</v>
      </c>
      <c r="L420">
        <v>1976</v>
      </c>
      <c r="M420">
        <v>9584297284</v>
      </c>
      <c r="N420">
        <v>4508191942</v>
      </c>
      <c r="O420" t="b">
        <v>1</v>
      </c>
      <c r="P420">
        <v>0</v>
      </c>
      <c r="Q420" t="str" cm="1">
        <f t="array" ref="Q420">_xlfn.IFS(Table1[[#This Row],[Wealthier_Winner]]=-1,"Wealthier Nation Loses",Table1[[#This Row],[Wealthier_Winner]]=0,"Tie",Table1[[#This Row],[Wealthier_Winner]]=1,"Wealthier Nation Wins")</f>
        <v>Tie</v>
      </c>
    </row>
    <row r="421" spans="1:17" x14ac:dyDescent="0.2">
      <c r="A421" s="1">
        <v>1113</v>
      </c>
      <c r="B421" s="2">
        <v>28132</v>
      </c>
      <c r="C421" s="7">
        <f>_xlfn.FLOOR.MATH(Table1[[#This Row],[year]],10)</f>
        <v>1970</v>
      </c>
      <c r="D421" t="s">
        <v>45</v>
      </c>
      <c r="E421" t="s">
        <v>210</v>
      </c>
      <c r="F421">
        <v>0</v>
      </c>
      <c r="G421">
        <v>3</v>
      </c>
      <c r="H421" t="s">
        <v>224</v>
      </c>
      <c r="I421" t="s">
        <v>356</v>
      </c>
      <c r="J421" t="s">
        <v>45</v>
      </c>
      <c r="K421" t="b">
        <v>0</v>
      </c>
      <c r="L421">
        <v>1977</v>
      </c>
      <c r="M421">
        <v>74188986586</v>
      </c>
      <c r="N421">
        <v>80600122701</v>
      </c>
      <c r="O421" t="b">
        <v>0</v>
      </c>
      <c r="P421">
        <v>1</v>
      </c>
      <c r="Q421" t="str" cm="1">
        <f t="array" ref="Q421">_xlfn.IFS(Table1[[#This Row],[Wealthier_Winner]]=-1,"Wealthier Nation Loses",Table1[[#This Row],[Wealthier_Winner]]=0,"Tie",Table1[[#This Row],[Wealthier_Winner]]=1,"Wealthier Nation Wins")</f>
        <v>Wealthier Nation Wins</v>
      </c>
    </row>
    <row r="422" spans="1:17" x14ac:dyDescent="0.2">
      <c r="A422" s="1">
        <v>1114</v>
      </c>
      <c r="B422" s="2">
        <v>28134</v>
      </c>
      <c r="C422" s="7">
        <f>_xlfn.FLOOR.MATH(Table1[[#This Row],[year]],10)</f>
        <v>1970</v>
      </c>
      <c r="D422" t="s">
        <v>53</v>
      </c>
      <c r="E422" t="s">
        <v>24</v>
      </c>
      <c r="F422">
        <v>1</v>
      </c>
      <c r="G422">
        <v>1</v>
      </c>
      <c r="H422" t="s">
        <v>224</v>
      </c>
      <c r="I422" t="s">
        <v>284</v>
      </c>
      <c r="J422" t="s">
        <v>53</v>
      </c>
      <c r="K422" t="b">
        <v>0</v>
      </c>
      <c r="L422">
        <v>1977</v>
      </c>
      <c r="M422">
        <v>5109324009</v>
      </c>
      <c r="N422">
        <v>11049783871</v>
      </c>
      <c r="O422" t="b">
        <v>1</v>
      </c>
      <c r="P422">
        <v>0</v>
      </c>
      <c r="Q422" t="str" cm="1">
        <f t="array" ref="Q422">_xlfn.IFS(Table1[[#This Row],[Wealthier_Winner]]=-1,"Wealthier Nation Loses",Table1[[#This Row],[Wealthier_Winner]]=0,"Tie",Table1[[#This Row],[Wealthier_Winner]]=1,"Wealthier Nation Wins")</f>
        <v>Tie</v>
      </c>
    </row>
    <row r="423" spans="1:17" x14ac:dyDescent="0.2">
      <c r="A423" s="1">
        <v>1115</v>
      </c>
      <c r="B423" s="2">
        <v>28141</v>
      </c>
      <c r="C423" s="7">
        <f>_xlfn.FLOOR.MATH(Table1[[#This Row],[year]],10)</f>
        <v>1970</v>
      </c>
      <c r="D423" t="s">
        <v>305</v>
      </c>
      <c r="E423" t="s">
        <v>63</v>
      </c>
      <c r="F423">
        <v>2</v>
      </c>
      <c r="G423">
        <v>0</v>
      </c>
      <c r="H423" t="s">
        <v>224</v>
      </c>
      <c r="I423" t="s">
        <v>353</v>
      </c>
      <c r="J423" t="s">
        <v>62</v>
      </c>
      <c r="K423" t="b">
        <v>1</v>
      </c>
      <c r="L423">
        <v>1977</v>
      </c>
      <c r="M423">
        <v>6914381290</v>
      </c>
      <c r="N423">
        <v>3189428571</v>
      </c>
      <c r="O423" t="b">
        <v>1</v>
      </c>
      <c r="P423">
        <v>1</v>
      </c>
      <c r="Q423" t="str" cm="1">
        <f t="array" ref="Q423">_xlfn.IFS(Table1[[#This Row],[Wealthier_Winner]]=-1,"Wealthier Nation Loses",Table1[[#This Row],[Wealthier_Winner]]=0,"Tie",Table1[[#This Row],[Wealthier_Winner]]=1,"Wealthier Nation Wins")</f>
        <v>Wealthier Nation Wins</v>
      </c>
    </row>
    <row r="424" spans="1:17" x14ac:dyDescent="0.2">
      <c r="A424" s="1">
        <v>1116</v>
      </c>
      <c r="B424" s="2">
        <v>28153</v>
      </c>
      <c r="C424" s="7">
        <f>_xlfn.FLOOR.MATH(Table1[[#This Row],[year]],10)</f>
        <v>1970</v>
      </c>
      <c r="D424" t="s">
        <v>331</v>
      </c>
      <c r="E424" t="s">
        <v>210</v>
      </c>
      <c r="F424">
        <v>0</v>
      </c>
      <c r="G424">
        <v>1</v>
      </c>
      <c r="H424" t="s">
        <v>224</v>
      </c>
      <c r="I424" t="s">
        <v>355</v>
      </c>
      <c r="J424" t="s">
        <v>331</v>
      </c>
      <c r="K424" t="b">
        <v>0</v>
      </c>
      <c r="L424">
        <v>1977</v>
      </c>
      <c r="M424">
        <v>7696011396</v>
      </c>
      <c r="N424">
        <v>80600122701</v>
      </c>
      <c r="O424" t="b">
        <v>1</v>
      </c>
      <c r="P424">
        <v>1</v>
      </c>
      <c r="Q424" t="str" cm="1">
        <f t="array" ref="Q424">_xlfn.IFS(Table1[[#This Row],[Wealthier_Winner]]=-1,"Wealthier Nation Loses",Table1[[#This Row],[Wealthier_Winner]]=0,"Tie",Table1[[#This Row],[Wealthier_Winner]]=1,"Wealthier Nation Wins")</f>
        <v>Wealthier Nation Wins</v>
      </c>
    </row>
    <row r="425" spans="1:17" x14ac:dyDescent="0.2">
      <c r="A425" s="1">
        <v>1117</v>
      </c>
      <c r="B425" s="2">
        <v>28162</v>
      </c>
      <c r="C425" s="7">
        <f>_xlfn.FLOOR.MATH(Table1[[#This Row],[year]],10)</f>
        <v>1970</v>
      </c>
      <c r="D425" t="s">
        <v>314</v>
      </c>
      <c r="E425" t="s">
        <v>212</v>
      </c>
      <c r="F425">
        <v>0</v>
      </c>
      <c r="G425">
        <v>0</v>
      </c>
      <c r="H425" t="s">
        <v>224</v>
      </c>
      <c r="I425" t="s">
        <v>315</v>
      </c>
      <c r="J425" t="s">
        <v>314</v>
      </c>
      <c r="K425" t="b">
        <v>0</v>
      </c>
      <c r="L425">
        <v>1977</v>
      </c>
      <c r="M425">
        <v>4494378764</v>
      </c>
      <c r="N425">
        <v>14400806875</v>
      </c>
      <c r="O425" t="b">
        <v>1</v>
      </c>
      <c r="P425">
        <v>0</v>
      </c>
      <c r="Q425" t="str" cm="1">
        <f t="array" ref="Q425">_xlfn.IFS(Table1[[#This Row],[Wealthier_Winner]]=-1,"Wealthier Nation Loses",Table1[[#This Row],[Wealthier_Winner]]=0,"Tie",Table1[[#This Row],[Wealthier_Winner]]=1,"Wealthier Nation Wins")</f>
        <v>Tie</v>
      </c>
    </row>
    <row r="426" spans="1:17" x14ac:dyDescent="0.2">
      <c r="A426" s="1">
        <v>1118</v>
      </c>
      <c r="B426" s="2">
        <v>28162</v>
      </c>
      <c r="C426" s="7">
        <f>_xlfn.FLOOR.MATH(Table1[[#This Row],[year]],10)</f>
        <v>1970</v>
      </c>
      <c r="D426" t="s">
        <v>53</v>
      </c>
      <c r="E426" t="s">
        <v>32</v>
      </c>
      <c r="F426">
        <v>2</v>
      </c>
      <c r="G426">
        <v>0</v>
      </c>
      <c r="H426" t="s">
        <v>224</v>
      </c>
      <c r="I426" t="s">
        <v>284</v>
      </c>
      <c r="J426" t="s">
        <v>53</v>
      </c>
      <c r="K426" t="b">
        <v>0</v>
      </c>
      <c r="L426">
        <v>1977</v>
      </c>
      <c r="M426">
        <v>5109324009</v>
      </c>
      <c r="N426">
        <v>20972113684</v>
      </c>
      <c r="O426" t="b">
        <v>1</v>
      </c>
      <c r="P426">
        <v>-1</v>
      </c>
      <c r="Q426" t="str" cm="1">
        <f t="array" ref="Q426">_xlfn.IFS(Table1[[#This Row],[Wealthier_Winner]]=-1,"Wealthier Nation Loses",Table1[[#This Row],[Wealthier_Winner]]=0,"Tie",Table1[[#This Row],[Wealthier_Winner]]=1,"Wealthier Nation Wins")</f>
        <v>Wealthier Nation Loses</v>
      </c>
    </row>
    <row r="427" spans="1:17" x14ac:dyDescent="0.2">
      <c r="A427" s="1">
        <v>1119</v>
      </c>
      <c r="B427" s="2">
        <v>28165</v>
      </c>
      <c r="C427" s="7">
        <f>_xlfn.FLOOR.MATH(Table1[[#This Row],[year]],10)</f>
        <v>1970</v>
      </c>
      <c r="D427" t="s">
        <v>258</v>
      </c>
      <c r="E427" t="s">
        <v>26</v>
      </c>
      <c r="F427">
        <v>1</v>
      </c>
      <c r="G427">
        <v>1</v>
      </c>
      <c r="H427" t="s">
        <v>224</v>
      </c>
      <c r="I427" t="s">
        <v>260</v>
      </c>
      <c r="J427" t="s">
        <v>258</v>
      </c>
      <c r="K427" t="b">
        <v>0</v>
      </c>
      <c r="L427">
        <v>1977</v>
      </c>
      <c r="M427">
        <v>36210697674</v>
      </c>
      <c r="N427">
        <v>4114670014</v>
      </c>
      <c r="O427" t="b">
        <v>1</v>
      </c>
      <c r="P427">
        <v>0</v>
      </c>
      <c r="Q427" t="str" cm="1">
        <f t="array" ref="Q427">_xlfn.IFS(Table1[[#This Row],[Wealthier_Winner]]=-1,"Wealthier Nation Loses",Table1[[#This Row],[Wealthier_Winner]]=0,"Tie",Table1[[#This Row],[Wealthier_Winner]]=1,"Wealthier Nation Wins")</f>
        <v>Tie</v>
      </c>
    </row>
    <row r="428" spans="1:17" x14ac:dyDescent="0.2">
      <c r="A428" s="1">
        <v>1121</v>
      </c>
      <c r="B428" s="2">
        <v>28169</v>
      </c>
      <c r="C428" s="7">
        <f>_xlfn.FLOOR.MATH(Table1[[#This Row],[year]],10)</f>
        <v>1970</v>
      </c>
      <c r="D428" t="s">
        <v>62</v>
      </c>
      <c r="E428" t="s">
        <v>305</v>
      </c>
      <c r="F428">
        <v>0</v>
      </c>
      <c r="G428">
        <v>2</v>
      </c>
      <c r="H428" t="s">
        <v>224</v>
      </c>
      <c r="I428" t="s">
        <v>353</v>
      </c>
      <c r="J428" t="s">
        <v>62</v>
      </c>
      <c r="K428" t="b">
        <v>0</v>
      </c>
      <c r="L428">
        <v>1977</v>
      </c>
      <c r="M428">
        <v>1097893825</v>
      </c>
      <c r="N428">
        <v>6914381290</v>
      </c>
      <c r="O428" t="b">
        <v>1</v>
      </c>
      <c r="P428">
        <v>1</v>
      </c>
      <c r="Q428" t="str" cm="1">
        <f t="array" ref="Q428">_xlfn.IFS(Table1[[#This Row],[Wealthier_Winner]]=-1,"Wealthier Nation Loses",Table1[[#This Row],[Wealthier_Winner]]=0,"Tie",Table1[[#This Row],[Wealthier_Winner]]=1,"Wealthier Nation Wins")</f>
        <v>Wealthier Nation Wins</v>
      </c>
    </row>
    <row r="429" spans="1:17" x14ac:dyDescent="0.2">
      <c r="A429" s="1">
        <v>1122</v>
      </c>
      <c r="B429" s="2">
        <v>28169</v>
      </c>
      <c r="C429" s="7">
        <f>_xlfn.FLOOR.MATH(Table1[[#This Row],[year]],10)</f>
        <v>1970</v>
      </c>
      <c r="D429" t="s">
        <v>357</v>
      </c>
      <c r="E429" t="s">
        <v>273</v>
      </c>
      <c r="F429">
        <v>1</v>
      </c>
      <c r="G429">
        <v>0</v>
      </c>
      <c r="H429" t="s">
        <v>224</v>
      </c>
      <c r="I429" t="s">
        <v>358</v>
      </c>
      <c r="J429" t="s">
        <v>357</v>
      </c>
      <c r="K429" t="b">
        <v>0</v>
      </c>
      <c r="L429">
        <v>1977</v>
      </c>
      <c r="M429">
        <v>2936470588</v>
      </c>
      <c r="N429">
        <v>2515296939</v>
      </c>
      <c r="O429" t="b">
        <v>0</v>
      </c>
      <c r="P429">
        <v>1</v>
      </c>
      <c r="Q429" t="str" cm="1">
        <f t="array" ref="Q429">_xlfn.IFS(Table1[[#This Row],[Wealthier_Winner]]=-1,"Wealthier Nation Loses",Table1[[#This Row],[Wealthier_Winner]]=0,"Tie",Table1[[#This Row],[Wealthier_Winner]]=1,"Wealthier Nation Wins")</f>
        <v>Wealthier Nation Wins</v>
      </c>
    </row>
    <row r="430" spans="1:17" x14ac:dyDescent="0.2">
      <c r="A430" s="1">
        <v>1123</v>
      </c>
      <c r="B430" s="2">
        <v>28176</v>
      </c>
      <c r="C430" s="7">
        <f>_xlfn.FLOOR.MATH(Table1[[#This Row],[year]],10)</f>
        <v>1970</v>
      </c>
      <c r="D430" t="s">
        <v>15</v>
      </c>
      <c r="E430" t="s">
        <v>13</v>
      </c>
      <c r="F430">
        <v>0</v>
      </c>
      <c r="G430">
        <v>0</v>
      </c>
      <c r="H430" t="s">
        <v>224</v>
      </c>
      <c r="I430" t="s">
        <v>241</v>
      </c>
      <c r="J430" t="s">
        <v>15</v>
      </c>
      <c r="K430" t="b">
        <v>0</v>
      </c>
      <c r="L430">
        <v>1977</v>
      </c>
      <c r="M430">
        <v>19470960619</v>
      </c>
      <c r="N430">
        <v>176344101401</v>
      </c>
      <c r="O430" t="b">
        <v>1</v>
      </c>
      <c r="P430">
        <v>0</v>
      </c>
      <c r="Q430" t="str" cm="1">
        <f t="array" ref="Q430">_xlfn.IFS(Table1[[#This Row],[Wealthier_Winner]]=-1,"Wealthier Nation Loses",Table1[[#This Row],[Wealthier_Winner]]=0,"Tie",Table1[[#This Row],[Wealthier_Winner]]=1,"Wealthier Nation Wins")</f>
        <v>Tie</v>
      </c>
    </row>
    <row r="431" spans="1:17" x14ac:dyDescent="0.2">
      <c r="A431" s="1">
        <v>1124</v>
      </c>
      <c r="B431" s="2">
        <v>28176</v>
      </c>
      <c r="C431" s="7">
        <f>_xlfn.FLOOR.MATH(Table1[[#This Row],[year]],10)</f>
        <v>1970</v>
      </c>
      <c r="D431" t="s">
        <v>57</v>
      </c>
      <c r="E431" t="s">
        <v>31</v>
      </c>
      <c r="F431">
        <v>1</v>
      </c>
      <c r="G431">
        <v>1</v>
      </c>
      <c r="H431" t="s">
        <v>224</v>
      </c>
      <c r="I431" t="s">
        <v>335</v>
      </c>
      <c r="J431" t="s">
        <v>57</v>
      </c>
      <c r="K431" t="b">
        <v>0</v>
      </c>
      <c r="L431">
        <v>1977</v>
      </c>
      <c r="M431">
        <v>11026342618</v>
      </c>
      <c r="N431">
        <v>14544913960</v>
      </c>
      <c r="O431" t="b">
        <v>0</v>
      </c>
      <c r="P431">
        <v>0</v>
      </c>
      <c r="Q431" t="str" cm="1">
        <f t="array" ref="Q431">_xlfn.IFS(Table1[[#This Row],[Wealthier_Winner]]=-1,"Wealthier Nation Loses",Table1[[#This Row],[Wealthier_Winner]]=0,"Tie",Table1[[#This Row],[Wealthier_Winner]]=1,"Wealthier Nation Wins")</f>
        <v>Tie</v>
      </c>
    </row>
    <row r="432" spans="1:17" x14ac:dyDescent="0.2">
      <c r="A432" s="1">
        <v>1125</v>
      </c>
      <c r="B432" s="2">
        <v>28180</v>
      </c>
      <c r="C432" s="7">
        <f>_xlfn.FLOOR.MATH(Table1[[#This Row],[year]],10)</f>
        <v>1970</v>
      </c>
      <c r="D432" t="s">
        <v>15</v>
      </c>
      <c r="E432" t="s">
        <v>35</v>
      </c>
      <c r="F432">
        <v>0</v>
      </c>
      <c r="G432">
        <v>1</v>
      </c>
      <c r="H432" t="s">
        <v>224</v>
      </c>
      <c r="I432" t="s">
        <v>241</v>
      </c>
      <c r="J432" t="s">
        <v>15</v>
      </c>
      <c r="K432" t="b">
        <v>0</v>
      </c>
      <c r="L432">
        <v>1977</v>
      </c>
      <c r="M432">
        <v>19470960619</v>
      </c>
      <c r="N432">
        <v>2092158730</v>
      </c>
      <c r="O432" t="b">
        <v>1</v>
      </c>
      <c r="P432">
        <v>-1</v>
      </c>
      <c r="Q432" t="str" cm="1">
        <f t="array" ref="Q432">_xlfn.IFS(Table1[[#This Row],[Wealthier_Winner]]=-1,"Wealthier Nation Loses",Table1[[#This Row],[Wealthier_Winner]]=0,"Tie",Table1[[#This Row],[Wealthier_Winner]]=1,"Wealthier Nation Wins")</f>
        <v>Wealthier Nation Loses</v>
      </c>
    </row>
    <row r="433" spans="1:17" x14ac:dyDescent="0.2">
      <c r="A433" s="1">
        <v>1126</v>
      </c>
      <c r="B433" s="2">
        <v>28183</v>
      </c>
      <c r="C433" s="7">
        <f>_xlfn.FLOOR.MATH(Table1[[#This Row],[year]],10)</f>
        <v>1970</v>
      </c>
      <c r="D433" t="s">
        <v>47</v>
      </c>
      <c r="E433" t="s">
        <v>26</v>
      </c>
      <c r="F433">
        <v>1</v>
      </c>
      <c r="G433">
        <v>0</v>
      </c>
      <c r="H433" t="s">
        <v>224</v>
      </c>
      <c r="I433" t="s">
        <v>246</v>
      </c>
      <c r="J433" t="s">
        <v>47</v>
      </c>
      <c r="K433" t="b">
        <v>0</v>
      </c>
      <c r="L433">
        <v>1977</v>
      </c>
      <c r="M433">
        <v>3227436281</v>
      </c>
      <c r="N433">
        <v>4114670014</v>
      </c>
      <c r="O433" t="b">
        <v>0</v>
      </c>
      <c r="P433">
        <v>-1</v>
      </c>
      <c r="Q433" t="str" cm="1">
        <f t="array" ref="Q433">_xlfn.IFS(Table1[[#This Row],[Wealthier_Winner]]=-1,"Wealthier Nation Loses",Table1[[#This Row],[Wealthier_Winner]]=0,"Tie",Table1[[#This Row],[Wealthier_Winner]]=1,"Wealthier Nation Wins")</f>
        <v>Wealthier Nation Loses</v>
      </c>
    </row>
    <row r="434" spans="1:17" x14ac:dyDescent="0.2">
      <c r="A434" s="1">
        <v>1128</v>
      </c>
      <c r="B434" s="2">
        <v>28183</v>
      </c>
      <c r="C434" s="7">
        <f>_xlfn.FLOOR.MATH(Table1[[#This Row],[year]],10)</f>
        <v>1970</v>
      </c>
      <c r="D434" t="s">
        <v>57</v>
      </c>
      <c r="E434" t="s">
        <v>14</v>
      </c>
      <c r="F434">
        <v>0</v>
      </c>
      <c r="G434">
        <v>1</v>
      </c>
      <c r="H434" t="s">
        <v>224</v>
      </c>
      <c r="I434" t="s">
        <v>237</v>
      </c>
      <c r="J434" t="s">
        <v>57</v>
      </c>
      <c r="K434" t="b">
        <v>0</v>
      </c>
      <c r="L434">
        <v>1977</v>
      </c>
      <c r="M434">
        <v>11026342618</v>
      </c>
      <c r="N434">
        <v>14272711436</v>
      </c>
      <c r="O434" t="b">
        <v>0</v>
      </c>
      <c r="P434">
        <v>1</v>
      </c>
      <c r="Q434" t="str" cm="1">
        <f t="array" ref="Q434">_xlfn.IFS(Table1[[#This Row],[Wealthier_Winner]]=-1,"Wealthier Nation Loses",Table1[[#This Row],[Wealthier_Winner]]=0,"Tie",Table1[[#This Row],[Wealthier_Winner]]=1,"Wealthier Nation Wins")</f>
        <v>Wealthier Nation Wins</v>
      </c>
    </row>
    <row r="435" spans="1:17" x14ac:dyDescent="0.2">
      <c r="A435" s="1">
        <v>1129</v>
      </c>
      <c r="B435" s="2">
        <v>28183</v>
      </c>
      <c r="C435" s="7">
        <f>_xlfn.FLOOR.MATH(Table1[[#This Row],[year]],10)</f>
        <v>1970</v>
      </c>
      <c r="D435" t="s">
        <v>212</v>
      </c>
      <c r="E435" t="s">
        <v>314</v>
      </c>
      <c r="F435">
        <v>1</v>
      </c>
      <c r="G435">
        <v>0</v>
      </c>
      <c r="H435" t="s">
        <v>224</v>
      </c>
      <c r="I435" t="s">
        <v>322</v>
      </c>
      <c r="J435" t="s">
        <v>212</v>
      </c>
      <c r="K435" t="b">
        <v>0</v>
      </c>
      <c r="L435">
        <v>1977</v>
      </c>
      <c r="M435">
        <v>14400806875</v>
      </c>
      <c r="N435">
        <v>4494378764</v>
      </c>
      <c r="O435" t="b">
        <v>1</v>
      </c>
      <c r="P435">
        <v>1</v>
      </c>
      <c r="Q435" t="str" cm="1">
        <f t="array" ref="Q435">_xlfn.IFS(Table1[[#This Row],[Wealthier_Winner]]=-1,"Wealthier Nation Loses",Table1[[#This Row],[Wealthier_Winner]]=0,"Tie",Table1[[#This Row],[Wealthier_Winner]]=1,"Wealthier Nation Wins")</f>
        <v>Wealthier Nation Wins</v>
      </c>
    </row>
    <row r="436" spans="1:17" x14ac:dyDescent="0.2">
      <c r="A436" s="1">
        <v>1130</v>
      </c>
      <c r="B436" s="2">
        <v>28183</v>
      </c>
      <c r="C436" s="7">
        <f>_xlfn.FLOOR.MATH(Table1[[#This Row],[year]],10)</f>
        <v>1970</v>
      </c>
      <c r="D436" t="s">
        <v>305</v>
      </c>
      <c r="E436" t="s">
        <v>62</v>
      </c>
      <c r="F436">
        <v>2</v>
      </c>
      <c r="G436">
        <v>1</v>
      </c>
      <c r="H436" t="s">
        <v>224</v>
      </c>
      <c r="I436" t="s">
        <v>306</v>
      </c>
      <c r="J436" t="s">
        <v>305</v>
      </c>
      <c r="K436" t="b">
        <v>0</v>
      </c>
      <c r="L436">
        <v>1977</v>
      </c>
      <c r="M436">
        <v>6914381290</v>
      </c>
      <c r="N436">
        <v>1097893825</v>
      </c>
      <c r="O436" t="b">
        <v>1</v>
      </c>
      <c r="P436">
        <v>1</v>
      </c>
      <c r="Q436" t="str" cm="1">
        <f t="array" ref="Q436">_xlfn.IFS(Table1[[#This Row],[Wealthier_Winner]]=-1,"Wealthier Nation Loses",Table1[[#This Row],[Wealthier_Winner]]=0,"Tie",Table1[[#This Row],[Wealthier_Winner]]=1,"Wealthier Nation Wins")</f>
        <v>Wealthier Nation Wins</v>
      </c>
    </row>
    <row r="437" spans="1:17" x14ac:dyDescent="0.2">
      <c r="A437" s="1">
        <v>1131</v>
      </c>
      <c r="B437" s="2">
        <v>28183</v>
      </c>
      <c r="C437" s="7">
        <f>_xlfn.FLOOR.MATH(Table1[[#This Row],[year]],10)</f>
        <v>1970</v>
      </c>
      <c r="D437" t="s">
        <v>22</v>
      </c>
      <c r="E437" t="s">
        <v>195</v>
      </c>
      <c r="F437">
        <v>0</v>
      </c>
      <c r="G437">
        <v>0</v>
      </c>
      <c r="H437" t="s">
        <v>224</v>
      </c>
      <c r="I437" t="s">
        <v>239</v>
      </c>
      <c r="J437" t="s">
        <v>22</v>
      </c>
      <c r="K437" t="b">
        <v>0</v>
      </c>
      <c r="L437">
        <v>1977</v>
      </c>
      <c r="M437">
        <v>18257113904</v>
      </c>
      <c r="N437">
        <v>39064462809</v>
      </c>
      <c r="O437" t="b">
        <v>1</v>
      </c>
      <c r="P437">
        <v>0</v>
      </c>
      <c r="Q437" t="str" cm="1">
        <f t="array" ref="Q437">_xlfn.IFS(Table1[[#This Row],[Wealthier_Winner]]=-1,"Wealthier Nation Loses",Table1[[#This Row],[Wealthier_Winner]]=0,"Tie",Table1[[#This Row],[Wealthier_Winner]]=1,"Wealthier Nation Wins")</f>
        <v>Tie</v>
      </c>
    </row>
    <row r="438" spans="1:17" x14ac:dyDescent="0.2">
      <c r="A438" s="1">
        <v>1132</v>
      </c>
      <c r="B438" s="2">
        <v>28183</v>
      </c>
      <c r="C438" s="7">
        <f>_xlfn.FLOOR.MATH(Table1[[#This Row],[year]],10)</f>
        <v>1970</v>
      </c>
      <c r="D438" t="s">
        <v>359</v>
      </c>
      <c r="E438" t="s">
        <v>334</v>
      </c>
      <c r="F438">
        <v>2</v>
      </c>
      <c r="G438">
        <v>0</v>
      </c>
      <c r="H438" t="s">
        <v>224</v>
      </c>
      <c r="I438" t="s">
        <v>360</v>
      </c>
      <c r="J438" t="s">
        <v>359</v>
      </c>
      <c r="K438" t="b">
        <v>0</v>
      </c>
      <c r="L438">
        <v>1977</v>
      </c>
      <c r="M438">
        <v>6618585073</v>
      </c>
      <c r="N438">
        <v>19779312261</v>
      </c>
      <c r="O438" t="b">
        <v>1</v>
      </c>
      <c r="P438">
        <v>-1</v>
      </c>
      <c r="Q438" t="str" cm="1">
        <f t="array" ref="Q438">_xlfn.IFS(Table1[[#This Row],[Wealthier_Winner]]=-1,"Wealthier Nation Loses",Table1[[#This Row],[Wealthier_Winner]]=0,"Tie",Table1[[#This Row],[Wealthier_Winner]]=1,"Wealthier Nation Wins")</f>
        <v>Wealthier Nation Loses</v>
      </c>
    </row>
    <row r="439" spans="1:17" x14ac:dyDescent="0.2">
      <c r="A439" s="1">
        <v>1133</v>
      </c>
      <c r="B439" s="2">
        <v>28183</v>
      </c>
      <c r="C439" s="7">
        <f>_xlfn.FLOOR.MATH(Table1[[#This Row],[year]],10)</f>
        <v>1970</v>
      </c>
      <c r="D439" t="s">
        <v>273</v>
      </c>
      <c r="E439" t="s">
        <v>357</v>
      </c>
      <c r="F439">
        <v>4</v>
      </c>
      <c r="G439">
        <v>2</v>
      </c>
      <c r="H439" t="s">
        <v>224</v>
      </c>
      <c r="I439" t="s">
        <v>275</v>
      </c>
      <c r="J439" t="s">
        <v>273</v>
      </c>
      <c r="K439" t="b">
        <v>0</v>
      </c>
      <c r="L439">
        <v>1977</v>
      </c>
      <c r="M439">
        <v>2515296939</v>
      </c>
      <c r="N439">
        <v>2936470588</v>
      </c>
      <c r="O439" t="b">
        <v>0</v>
      </c>
      <c r="P439">
        <v>-1</v>
      </c>
      <c r="Q439" t="str" cm="1">
        <f t="array" ref="Q439">_xlfn.IFS(Table1[[#This Row],[Wealthier_Winner]]=-1,"Wealthier Nation Loses",Table1[[#This Row],[Wealthier_Winner]]=0,"Tie",Table1[[#This Row],[Wealthier_Winner]]=1,"Wealthier Nation Wins")</f>
        <v>Wealthier Nation Loses</v>
      </c>
    </row>
    <row r="440" spans="1:17" x14ac:dyDescent="0.2">
      <c r="A440" s="1">
        <v>1134</v>
      </c>
      <c r="B440" s="2">
        <v>28184</v>
      </c>
      <c r="C440" s="7">
        <f>_xlfn.FLOOR.MATH(Table1[[#This Row],[year]],10)</f>
        <v>1970</v>
      </c>
      <c r="D440" t="s">
        <v>32</v>
      </c>
      <c r="E440" t="s">
        <v>53</v>
      </c>
      <c r="F440">
        <v>1</v>
      </c>
      <c r="G440">
        <v>1</v>
      </c>
      <c r="H440" t="s">
        <v>224</v>
      </c>
      <c r="I440" t="s">
        <v>279</v>
      </c>
      <c r="J440" t="s">
        <v>32</v>
      </c>
      <c r="K440" t="b">
        <v>0</v>
      </c>
      <c r="L440">
        <v>1977</v>
      </c>
      <c r="M440">
        <v>20972113684</v>
      </c>
      <c r="N440">
        <v>5109324009</v>
      </c>
      <c r="O440" t="b">
        <v>1</v>
      </c>
      <c r="P440">
        <v>0</v>
      </c>
      <c r="Q440" t="str" cm="1">
        <f t="array" ref="Q440">_xlfn.IFS(Table1[[#This Row],[Wealthier_Winner]]=-1,"Wealthier Nation Loses",Table1[[#This Row],[Wealthier_Winner]]=0,"Tie",Table1[[#This Row],[Wealthier_Winner]]=1,"Wealthier Nation Wins")</f>
        <v>Tie</v>
      </c>
    </row>
    <row r="441" spans="1:17" x14ac:dyDescent="0.2">
      <c r="A441" s="1">
        <v>1136</v>
      </c>
      <c r="B441" s="2">
        <v>28185</v>
      </c>
      <c r="C441" s="7">
        <f>_xlfn.FLOOR.MATH(Table1[[#This Row],[year]],10)</f>
        <v>1970</v>
      </c>
      <c r="D441" t="s">
        <v>333</v>
      </c>
      <c r="E441" t="s">
        <v>334</v>
      </c>
      <c r="F441">
        <v>6</v>
      </c>
      <c r="G441">
        <v>4</v>
      </c>
      <c r="H441" t="s">
        <v>224</v>
      </c>
      <c r="I441" t="s">
        <v>360</v>
      </c>
      <c r="J441" t="s">
        <v>359</v>
      </c>
      <c r="K441" t="b">
        <v>1</v>
      </c>
      <c r="L441">
        <v>1977</v>
      </c>
      <c r="M441">
        <v>13139488632</v>
      </c>
      <c r="N441">
        <v>19779312261</v>
      </c>
      <c r="O441" t="b">
        <v>0</v>
      </c>
      <c r="P441">
        <v>-1</v>
      </c>
      <c r="Q441" t="str" cm="1">
        <f t="array" ref="Q441">_xlfn.IFS(Table1[[#This Row],[Wealthier_Winner]]=-1,"Wealthier Nation Loses",Table1[[#This Row],[Wealthier_Winner]]=0,"Tie",Table1[[#This Row],[Wealthier_Winner]]=1,"Wealthier Nation Wins")</f>
        <v>Wealthier Nation Loses</v>
      </c>
    </row>
    <row r="442" spans="1:17" x14ac:dyDescent="0.2">
      <c r="A442" s="1">
        <v>1138</v>
      </c>
      <c r="B442" s="2">
        <v>28187</v>
      </c>
      <c r="C442" s="7">
        <f>_xlfn.FLOOR.MATH(Table1[[#This Row],[year]],10)</f>
        <v>1970</v>
      </c>
      <c r="D442" t="s">
        <v>328</v>
      </c>
      <c r="E442" t="s">
        <v>333</v>
      </c>
      <c r="F442">
        <v>0</v>
      </c>
      <c r="G442">
        <v>0</v>
      </c>
      <c r="H442" t="s">
        <v>224</v>
      </c>
      <c r="I442" t="s">
        <v>360</v>
      </c>
      <c r="J442" t="s">
        <v>359</v>
      </c>
      <c r="K442" t="b">
        <v>1</v>
      </c>
      <c r="L442">
        <v>1977</v>
      </c>
      <c r="M442">
        <v>45808915662</v>
      </c>
      <c r="N442">
        <v>13139488632</v>
      </c>
      <c r="O442" t="b">
        <v>1</v>
      </c>
      <c r="P442">
        <v>0</v>
      </c>
      <c r="Q442" t="str" cm="1">
        <f t="array" ref="Q442">_xlfn.IFS(Table1[[#This Row],[Wealthier_Winner]]=-1,"Wealthier Nation Loses",Table1[[#This Row],[Wealthier_Winner]]=0,"Tie",Table1[[#This Row],[Wealthier_Winner]]=1,"Wealthier Nation Wins")</f>
        <v>Tie</v>
      </c>
    </row>
    <row r="443" spans="1:17" x14ac:dyDescent="0.2">
      <c r="A443" s="1">
        <v>1140</v>
      </c>
      <c r="B443" s="2">
        <v>28190</v>
      </c>
      <c r="C443" s="7">
        <f>_xlfn.FLOOR.MATH(Table1[[#This Row],[year]],10)</f>
        <v>1970</v>
      </c>
      <c r="D443" t="s">
        <v>14</v>
      </c>
      <c r="E443" t="s">
        <v>31</v>
      </c>
      <c r="F443">
        <v>1</v>
      </c>
      <c r="G443">
        <v>1</v>
      </c>
      <c r="H443" t="s">
        <v>224</v>
      </c>
      <c r="I443" t="s">
        <v>75</v>
      </c>
      <c r="J443" t="s">
        <v>14</v>
      </c>
      <c r="K443" t="b">
        <v>0</v>
      </c>
      <c r="L443">
        <v>1977</v>
      </c>
      <c r="M443">
        <v>14272711436</v>
      </c>
      <c r="N443">
        <v>14544913960</v>
      </c>
      <c r="O443" t="b">
        <v>0</v>
      </c>
      <c r="P443">
        <v>0</v>
      </c>
      <c r="Q443" t="str" cm="1">
        <f t="array" ref="Q443">_xlfn.IFS(Table1[[#This Row],[Wealthier_Winner]]=-1,"Wealthier Nation Loses",Table1[[#This Row],[Wealthier_Winner]]=0,"Tie",Table1[[#This Row],[Wealthier_Winner]]=1,"Wealthier Nation Wins")</f>
        <v>Tie</v>
      </c>
    </row>
    <row r="444" spans="1:17" x14ac:dyDescent="0.2">
      <c r="A444" s="1">
        <v>1141</v>
      </c>
      <c r="B444" s="2">
        <v>28190</v>
      </c>
      <c r="C444" s="7">
        <f>_xlfn.FLOOR.MATH(Table1[[#This Row],[year]],10)</f>
        <v>1970</v>
      </c>
      <c r="D444" t="s">
        <v>22</v>
      </c>
      <c r="E444" t="s">
        <v>51</v>
      </c>
      <c r="F444">
        <v>2</v>
      </c>
      <c r="G444">
        <v>0</v>
      </c>
      <c r="H444" t="s">
        <v>224</v>
      </c>
      <c r="I444" t="s">
        <v>239</v>
      </c>
      <c r="J444" t="s">
        <v>22</v>
      </c>
      <c r="K444" t="b">
        <v>0</v>
      </c>
      <c r="L444">
        <v>1977</v>
      </c>
      <c r="M444">
        <v>18257113904</v>
      </c>
      <c r="N444">
        <v>737069290927</v>
      </c>
      <c r="O444" t="b">
        <v>1</v>
      </c>
      <c r="P444">
        <v>-1</v>
      </c>
      <c r="Q444" t="str" cm="1">
        <f t="array" ref="Q444">_xlfn.IFS(Table1[[#This Row],[Wealthier_Winner]]=-1,"Wealthier Nation Loses",Table1[[#This Row],[Wealthier_Winner]]=0,"Tie",Table1[[#This Row],[Wealthier_Winner]]=1,"Wealthier Nation Wins")</f>
        <v>Wealthier Nation Loses</v>
      </c>
    </row>
    <row r="445" spans="1:17" x14ac:dyDescent="0.2">
      <c r="A445" s="1">
        <v>1142</v>
      </c>
      <c r="B445" s="2">
        <v>28190</v>
      </c>
      <c r="C445" s="7">
        <f>_xlfn.FLOOR.MATH(Table1[[#This Row],[year]],10)</f>
        <v>1970</v>
      </c>
      <c r="D445" t="s">
        <v>35</v>
      </c>
      <c r="E445" t="s">
        <v>15</v>
      </c>
      <c r="F445">
        <v>1</v>
      </c>
      <c r="G445">
        <v>1</v>
      </c>
      <c r="H445" t="s">
        <v>224</v>
      </c>
      <c r="I445" t="s">
        <v>250</v>
      </c>
      <c r="J445" t="s">
        <v>35</v>
      </c>
      <c r="K445" t="b">
        <v>0</v>
      </c>
      <c r="L445">
        <v>1977</v>
      </c>
      <c r="M445">
        <v>2092158730</v>
      </c>
      <c r="N445">
        <v>19470960619</v>
      </c>
      <c r="O445" t="b">
        <v>1</v>
      </c>
      <c r="P445">
        <v>0</v>
      </c>
      <c r="Q445" t="str" cm="1">
        <f t="array" ref="Q445">_xlfn.IFS(Table1[[#This Row],[Wealthier_Winner]]=-1,"Wealthier Nation Loses",Table1[[#This Row],[Wealthier_Winner]]=0,"Tie",Table1[[#This Row],[Wealthier_Winner]]=1,"Wealthier Nation Wins")</f>
        <v>Tie</v>
      </c>
    </row>
    <row r="446" spans="1:17" x14ac:dyDescent="0.2">
      <c r="A446" s="1">
        <v>1143</v>
      </c>
      <c r="B446" s="2">
        <v>28190</v>
      </c>
      <c r="C446" s="7">
        <f>_xlfn.FLOOR.MATH(Table1[[#This Row],[year]],10)</f>
        <v>1970</v>
      </c>
      <c r="D446" t="s">
        <v>359</v>
      </c>
      <c r="E446" t="s">
        <v>333</v>
      </c>
      <c r="F446">
        <v>1</v>
      </c>
      <c r="G446">
        <v>0</v>
      </c>
      <c r="H446" t="s">
        <v>224</v>
      </c>
      <c r="I446" t="s">
        <v>360</v>
      </c>
      <c r="J446" t="s">
        <v>359</v>
      </c>
      <c r="K446" t="b">
        <v>0</v>
      </c>
      <c r="L446">
        <v>1977</v>
      </c>
      <c r="M446">
        <v>6618585073</v>
      </c>
      <c r="N446">
        <v>13139488632</v>
      </c>
      <c r="O446" t="b">
        <v>0</v>
      </c>
      <c r="P446">
        <v>-1</v>
      </c>
      <c r="Q446" t="str" cm="1">
        <f t="array" ref="Q446">_xlfn.IFS(Table1[[#This Row],[Wealthier_Winner]]=-1,"Wealthier Nation Loses",Table1[[#This Row],[Wealthier_Winner]]=0,"Tie",Table1[[#This Row],[Wealthier_Winner]]=1,"Wealthier Nation Wins")</f>
        <v>Wealthier Nation Loses</v>
      </c>
    </row>
    <row r="447" spans="1:17" x14ac:dyDescent="0.2">
      <c r="A447" s="1">
        <v>1144</v>
      </c>
      <c r="B447" s="2">
        <v>28190</v>
      </c>
      <c r="C447" s="7">
        <f>_xlfn.FLOOR.MATH(Table1[[#This Row],[year]],10)</f>
        <v>1970</v>
      </c>
      <c r="D447" t="s">
        <v>258</v>
      </c>
      <c r="E447" t="s">
        <v>47</v>
      </c>
      <c r="F447">
        <v>1</v>
      </c>
      <c r="G447">
        <v>3</v>
      </c>
      <c r="H447" t="s">
        <v>224</v>
      </c>
      <c r="I447" t="s">
        <v>260</v>
      </c>
      <c r="J447" t="s">
        <v>258</v>
      </c>
      <c r="K447" t="b">
        <v>0</v>
      </c>
      <c r="L447">
        <v>1977</v>
      </c>
      <c r="M447">
        <v>36210697674</v>
      </c>
      <c r="N447">
        <v>3227436281</v>
      </c>
      <c r="O447" t="b">
        <v>1</v>
      </c>
      <c r="P447">
        <v>-1</v>
      </c>
      <c r="Q447" t="str" cm="1">
        <f t="array" ref="Q447">_xlfn.IFS(Table1[[#This Row],[Wealthier_Winner]]=-1,"Wealthier Nation Loses",Table1[[#This Row],[Wealthier_Winner]]=0,"Tie",Table1[[#This Row],[Wealthier_Winner]]=1,"Wealthier Nation Wins")</f>
        <v>Wealthier Nation Loses</v>
      </c>
    </row>
    <row r="448" spans="1:17" x14ac:dyDescent="0.2">
      <c r="A448" s="1">
        <v>1145</v>
      </c>
      <c r="B448" s="2">
        <v>28191</v>
      </c>
      <c r="C448" s="7">
        <f>_xlfn.FLOOR.MATH(Table1[[#This Row],[year]],10)</f>
        <v>1970</v>
      </c>
      <c r="D448" t="s">
        <v>334</v>
      </c>
      <c r="E448" t="s">
        <v>328</v>
      </c>
      <c r="F448">
        <v>3</v>
      </c>
      <c r="G448">
        <v>2</v>
      </c>
      <c r="H448" t="s">
        <v>224</v>
      </c>
      <c r="I448" t="s">
        <v>360</v>
      </c>
      <c r="J448" t="s">
        <v>359</v>
      </c>
      <c r="K448" t="b">
        <v>1</v>
      </c>
      <c r="L448">
        <v>1977</v>
      </c>
      <c r="M448">
        <v>19779312261</v>
      </c>
      <c r="N448">
        <v>45808915662</v>
      </c>
      <c r="O448" t="b">
        <v>1</v>
      </c>
      <c r="P448">
        <v>-1</v>
      </c>
      <c r="Q448" t="str" cm="1">
        <f t="array" ref="Q448">_xlfn.IFS(Table1[[#This Row],[Wealthier_Winner]]=-1,"Wealthier Nation Loses",Table1[[#This Row],[Wealthier_Winner]]=0,"Tie",Table1[[#This Row],[Wealthier_Winner]]=1,"Wealthier Nation Wins")</f>
        <v>Wealthier Nation Loses</v>
      </c>
    </row>
    <row r="449" spans="1:17" x14ac:dyDescent="0.2">
      <c r="A449" s="1">
        <v>1147</v>
      </c>
      <c r="B449" s="2">
        <v>28193</v>
      </c>
      <c r="C449" s="7">
        <f>_xlfn.FLOOR.MATH(Table1[[#This Row],[year]],10)</f>
        <v>1970</v>
      </c>
      <c r="D449" t="s">
        <v>13</v>
      </c>
      <c r="E449" t="s">
        <v>15</v>
      </c>
      <c r="F449">
        <v>6</v>
      </c>
      <c r="G449">
        <v>0</v>
      </c>
      <c r="H449" t="s">
        <v>224</v>
      </c>
      <c r="I449" t="s">
        <v>173</v>
      </c>
      <c r="J449" t="s">
        <v>13</v>
      </c>
      <c r="K449" t="b">
        <v>0</v>
      </c>
      <c r="L449">
        <v>1977</v>
      </c>
      <c r="M449">
        <v>176344101401</v>
      </c>
      <c r="N449">
        <v>19470960619</v>
      </c>
      <c r="O449" t="b">
        <v>1</v>
      </c>
      <c r="P449">
        <v>1</v>
      </c>
      <c r="Q449" t="str" cm="1">
        <f t="array" ref="Q449">_xlfn.IFS(Table1[[#This Row],[Wealthier_Winner]]=-1,"Wealthier Nation Loses",Table1[[#This Row],[Wealthier_Winner]]=0,"Tie",Table1[[#This Row],[Wealthier_Winner]]=1,"Wealthier Nation Wins")</f>
        <v>Wealthier Nation Wins</v>
      </c>
    </row>
    <row r="450" spans="1:17" x14ac:dyDescent="0.2">
      <c r="A450" s="1">
        <v>1148</v>
      </c>
      <c r="B450" s="2">
        <v>28193</v>
      </c>
      <c r="C450" s="7">
        <f>_xlfn.FLOOR.MATH(Table1[[#This Row],[year]],10)</f>
        <v>1970</v>
      </c>
      <c r="D450" t="s">
        <v>359</v>
      </c>
      <c r="E450" t="s">
        <v>328</v>
      </c>
      <c r="F450">
        <v>0</v>
      </c>
      <c r="G450">
        <v>4</v>
      </c>
      <c r="H450" t="s">
        <v>224</v>
      </c>
      <c r="I450" t="s">
        <v>360</v>
      </c>
      <c r="J450" t="s">
        <v>359</v>
      </c>
      <c r="K450" t="b">
        <v>0</v>
      </c>
      <c r="L450">
        <v>1977</v>
      </c>
      <c r="M450">
        <v>6618585073</v>
      </c>
      <c r="N450">
        <v>45808915662</v>
      </c>
      <c r="O450" t="b">
        <v>1</v>
      </c>
      <c r="P450">
        <v>1</v>
      </c>
      <c r="Q450" t="str" cm="1">
        <f t="array" ref="Q450">_xlfn.IFS(Table1[[#This Row],[Wealthier_Winner]]=-1,"Wealthier Nation Loses",Table1[[#This Row],[Wealthier_Winner]]=0,"Tie",Table1[[#This Row],[Wealthier_Winner]]=1,"Wealthier Nation Wins")</f>
        <v>Wealthier Nation Wins</v>
      </c>
    </row>
    <row r="451" spans="1:17" x14ac:dyDescent="0.2">
      <c r="A451" s="1">
        <v>1149</v>
      </c>
      <c r="B451" s="2">
        <v>28194</v>
      </c>
      <c r="C451" s="7">
        <f>_xlfn.FLOOR.MATH(Table1[[#This Row],[year]],10)</f>
        <v>1970</v>
      </c>
      <c r="D451" t="s">
        <v>22</v>
      </c>
      <c r="E451" t="s">
        <v>51</v>
      </c>
      <c r="F451">
        <v>2</v>
      </c>
      <c r="G451">
        <v>0</v>
      </c>
      <c r="H451" t="s">
        <v>224</v>
      </c>
      <c r="I451" t="s">
        <v>239</v>
      </c>
      <c r="J451" t="s">
        <v>22</v>
      </c>
      <c r="K451" t="b">
        <v>0</v>
      </c>
      <c r="L451">
        <v>1977</v>
      </c>
      <c r="M451">
        <v>18257113904</v>
      </c>
      <c r="N451">
        <v>737069290927</v>
      </c>
      <c r="O451" t="b">
        <v>1</v>
      </c>
      <c r="P451">
        <v>-1</v>
      </c>
      <c r="Q451" t="str" cm="1">
        <f t="array" ref="Q451">_xlfn.IFS(Table1[[#This Row],[Wealthier_Winner]]=-1,"Wealthier Nation Loses",Table1[[#This Row],[Wealthier_Winner]]=0,"Tie",Table1[[#This Row],[Wealthier_Winner]]=1,"Wealthier Nation Wins")</f>
        <v>Wealthier Nation Loses</v>
      </c>
    </row>
    <row r="452" spans="1:17" x14ac:dyDescent="0.2">
      <c r="A452" s="1">
        <v>1150</v>
      </c>
      <c r="B452" s="2">
        <v>28195</v>
      </c>
      <c r="C452" s="7">
        <f>_xlfn.FLOOR.MATH(Table1[[#This Row],[year]],10)</f>
        <v>1970</v>
      </c>
      <c r="D452" t="s">
        <v>361</v>
      </c>
      <c r="E452" t="s">
        <v>71</v>
      </c>
      <c r="F452">
        <v>0</v>
      </c>
      <c r="G452">
        <v>2</v>
      </c>
      <c r="H452" t="s">
        <v>224</v>
      </c>
      <c r="I452" t="s">
        <v>190</v>
      </c>
      <c r="J452" t="s">
        <v>68</v>
      </c>
      <c r="K452" t="b">
        <v>1</v>
      </c>
      <c r="L452">
        <v>1977</v>
      </c>
      <c r="M452">
        <v>1989060283</v>
      </c>
      <c r="N452">
        <v>14137406740</v>
      </c>
      <c r="O452" t="b">
        <v>1</v>
      </c>
      <c r="P452">
        <v>1</v>
      </c>
      <c r="Q452" t="str" cm="1">
        <f t="array" ref="Q452">_xlfn.IFS(Table1[[#This Row],[Wealthier_Winner]]=-1,"Wealthier Nation Loses",Table1[[#This Row],[Wealthier_Winner]]=0,"Tie",Table1[[#This Row],[Wealthier_Winner]]=1,"Wealthier Nation Wins")</f>
        <v>Wealthier Nation Wins</v>
      </c>
    </row>
    <row r="453" spans="1:17" x14ac:dyDescent="0.2">
      <c r="A453" s="1">
        <v>1151</v>
      </c>
      <c r="B453" s="2">
        <v>28196</v>
      </c>
      <c r="C453" s="7">
        <f>_xlfn.FLOOR.MATH(Table1[[#This Row],[year]],10)</f>
        <v>1970</v>
      </c>
      <c r="D453" t="s">
        <v>31</v>
      </c>
      <c r="E453" t="s">
        <v>57</v>
      </c>
      <c r="F453">
        <v>4</v>
      </c>
      <c r="G453">
        <v>0</v>
      </c>
      <c r="H453" t="s">
        <v>224</v>
      </c>
      <c r="I453" t="s">
        <v>242</v>
      </c>
      <c r="J453" t="s">
        <v>31</v>
      </c>
      <c r="K453" t="b">
        <v>0</v>
      </c>
      <c r="L453">
        <v>1977</v>
      </c>
      <c r="M453">
        <v>14544913960</v>
      </c>
      <c r="N453">
        <v>11026342618</v>
      </c>
      <c r="O453" t="b">
        <v>0</v>
      </c>
      <c r="P453">
        <v>1</v>
      </c>
      <c r="Q453" t="str" cm="1">
        <f t="array" ref="Q453">_xlfn.IFS(Table1[[#This Row],[Wealthier_Winner]]=-1,"Wealthier Nation Loses",Table1[[#This Row],[Wealthier_Winner]]=0,"Tie",Table1[[#This Row],[Wealthier_Winner]]=1,"Wealthier Nation Wins")</f>
        <v>Wealthier Nation Wins</v>
      </c>
    </row>
    <row r="454" spans="1:17" x14ac:dyDescent="0.2">
      <c r="A454" s="1">
        <v>1154</v>
      </c>
      <c r="B454" s="2">
        <v>28197</v>
      </c>
      <c r="C454" s="7">
        <f>_xlfn.FLOOR.MATH(Table1[[#This Row],[year]],10)</f>
        <v>1970</v>
      </c>
      <c r="D454" t="s">
        <v>47</v>
      </c>
      <c r="E454" t="s">
        <v>258</v>
      </c>
      <c r="F454">
        <v>2</v>
      </c>
      <c r="G454">
        <v>0</v>
      </c>
      <c r="H454" t="s">
        <v>224</v>
      </c>
      <c r="I454" t="s">
        <v>246</v>
      </c>
      <c r="J454" t="s">
        <v>47</v>
      </c>
      <c r="K454" t="b">
        <v>0</v>
      </c>
      <c r="L454">
        <v>1977</v>
      </c>
      <c r="M454">
        <v>3227436281</v>
      </c>
      <c r="N454">
        <v>36210697674</v>
      </c>
      <c r="O454" t="b">
        <v>1</v>
      </c>
      <c r="P454">
        <v>-1</v>
      </c>
      <c r="Q454" t="str" cm="1">
        <f t="array" ref="Q454">_xlfn.IFS(Table1[[#This Row],[Wealthier_Winner]]=-1,"Wealthier Nation Loses",Table1[[#This Row],[Wealthier_Winner]]=0,"Tie",Table1[[#This Row],[Wealthier_Winner]]=1,"Wealthier Nation Wins")</f>
        <v>Wealthier Nation Loses</v>
      </c>
    </row>
    <row r="455" spans="1:17" x14ac:dyDescent="0.2">
      <c r="A455" s="1">
        <v>1155</v>
      </c>
      <c r="B455" s="2">
        <v>28197</v>
      </c>
      <c r="C455" s="7">
        <f>_xlfn.FLOOR.MATH(Table1[[#This Row],[year]],10)</f>
        <v>1970</v>
      </c>
      <c r="D455" t="s">
        <v>35</v>
      </c>
      <c r="E455" t="s">
        <v>13</v>
      </c>
      <c r="F455">
        <v>0</v>
      </c>
      <c r="G455">
        <v>1</v>
      </c>
      <c r="H455" t="s">
        <v>224</v>
      </c>
      <c r="I455" t="s">
        <v>250</v>
      </c>
      <c r="J455" t="s">
        <v>35</v>
      </c>
      <c r="K455" t="b">
        <v>0</v>
      </c>
      <c r="L455">
        <v>1977</v>
      </c>
      <c r="M455">
        <v>2092158730</v>
      </c>
      <c r="N455">
        <v>176344101401</v>
      </c>
      <c r="O455" t="b">
        <v>1</v>
      </c>
      <c r="P455">
        <v>1</v>
      </c>
      <c r="Q455" t="str" cm="1">
        <f t="array" ref="Q455">_xlfn.IFS(Table1[[#This Row],[Wealthier_Winner]]=-1,"Wealthier Nation Loses",Table1[[#This Row],[Wealthier_Winner]]=0,"Tie",Table1[[#This Row],[Wealthier_Winner]]=1,"Wealthier Nation Wins")</f>
        <v>Wealthier Nation Wins</v>
      </c>
    </row>
    <row r="456" spans="1:17" x14ac:dyDescent="0.2">
      <c r="A456" s="1">
        <v>1156</v>
      </c>
      <c r="B456" s="2">
        <v>28197</v>
      </c>
      <c r="C456" s="7">
        <f>_xlfn.FLOOR.MATH(Table1[[#This Row],[year]],10)</f>
        <v>1970</v>
      </c>
      <c r="D456" t="s">
        <v>68</v>
      </c>
      <c r="E456" t="s">
        <v>361</v>
      </c>
      <c r="F456">
        <v>2</v>
      </c>
      <c r="G456">
        <v>0</v>
      </c>
      <c r="H456" t="s">
        <v>224</v>
      </c>
      <c r="I456" t="s">
        <v>190</v>
      </c>
      <c r="J456" t="s">
        <v>68</v>
      </c>
      <c r="K456" t="b">
        <v>0</v>
      </c>
      <c r="L456">
        <v>1977</v>
      </c>
      <c r="M456">
        <v>3617564637</v>
      </c>
      <c r="N456">
        <v>1989060283</v>
      </c>
      <c r="O456" t="b">
        <v>0</v>
      </c>
      <c r="P456">
        <v>1</v>
      </c>
      <c r="Q456" t="str" cm="1">
        <f t="array" ref="Q456">_xlfn.IFS(Table1[[#This Row],[Wealthier_Winner]]=-1,"Wealthier Nation Loses",Table1[[#This Row],[Wealthier_Winner]]=0,"Tie",Table1[[#This Row],[Wealthier_Winner]]=1,"Wealthier Nation Wins")</f>
        <v>Wealthier Nation Wins</v>
      </c>
    </row>
    <row r="457" spans="1:17" x14ac:dyDescent="0.2">
      <c r="A457" s="1">
        <v>1157</v>
      </c>
      <c r="B457" s="2">
        <v>28199</v>
      </c>
      <c r="C457" s="7">
        <f>_xlfn.FLOOR.MATH(Table1[[#This Row],[year]],10)</f>
        <v>1970</v>
      </c>
      <c r="D457" t="s">
        <v>68</v>
      </c>
      <c r="E457" t="s">
        <v>71</v>
      </c>
      <c r="F457">
        <v>0</v>
      </c>
      <c r="G457">
        <v>2</v>
      </c>
      <c r="H457" t="s">
        <v>224</v>
      </c>
      <c r="I457" t="s">
        <v>190</v>
      </c>
      <c r="J457" t="s">
        <v>68</v>
      </c>
      <c r="K457" t="b">
        <v>0</v>
      </c>
      <c r="L457">
        <v>1977</v>
      </c>
      <c r="M457">
        <v>3617564637</v>
      </c>
      <c r="N457">
        <v>14137406740</v>
      </c>
      <c r="O457" t="b">
        <v>1</v>
      </c>
      <c r="P457">
        <v>1</v>
      </c>
      <c r="Q457" t="str" cm="1">
        <f t="array" ref="Q457">_xlfn.IFS(Table1[[#This Row],[Wealthier_Winner]]=-1,"Wealthier Nation Loses",Table1[[#This Row],[Wealthier_Winner]]=0,"Tie",Table1[[#This Row],[Wealthier_Winner]]=1,"Wealthier Nation Wins")</f>
        <v>Wealthier Nation Wins</v>
      </c>
    </row>
    <row r="458" spans="1:17" x14ac:dyDescent="0.2">
      <c r="A458" s="1">
        <v>1159</v>
      </c>
      <c r="B458" s="2">
        <v>28201</v>
      </c>
      <c r="C458" s="7">
        <f>_xlfn.FLOOR.MATH(Table1[[#This Row],[year]],10)</f>
        <v>1970</v>
      </c>
      <c r="D458" t="s">
        <v>361</v>
      </c>
      <c r="E458" t="s">
        <v>71</v>
      </c>
      <c r="F458">
        <v>1</v>
      </c>
      <c r="G458">
        <v>2</v>
      </c>
      <c r="H458" t="s">
        <v>224</v>
      </c>
      <c r="I458" t="s">
        <v>190</v>
      </c>
      <c r="J458" t="s">
        <v>68</v>
      </c>
      <c r="K458" t="b">
        <v>1</v>
      </c>
      <c r="L458">
        <v>1977</v>
      </c>
      <c r="M458">
        <v>1989060283</v>
      </c>
      <c r="N458">
        <v>14137406740</v>
      </c>
      <c r="O458" t="b">
        <v>1</v>
      </c>
      <c r="P458">
        <v>1</v>
      </c>
      <c r="Q458" t="str" cm="1">
        <f t="array" ref="Q458">_xlfn.IFS(Table1[[#This Row],[Wealthier_Winner]]=-1,"Wealthier Nation Loses",Table1[[#This Row],[Wealthier_Winner]]=0,"Tie",Table1[[#This Row],[Wealthier_Winner]]=1,"Wealthier Nation Wins")</f>
        <v>Wealthier Nation Wins</v>
      </c>
    </row>
    <row r="459" spans="1:17" x14ac:dyDescent="0.2">
      <c r="A459" s="1">
        <v>1160</v>
      </c>
      <c r="B459" s="2">
        <v>28201</v>
      </c>
      <c r="C459" s="7">
        <f>_xlfn.FLOOR.MATH(Table1[[#This Row],[year]],10)</f>
        <v>1970</v>
      </c>
      <c r="D459" t="s">
        <v>26</v>
      </c>
      <c r="E459" t="s">
        <v>258</v>
      </c>
      <c r="F459">
        <v>2</v>
      </c>
      <c r="G459">
        <v>0</v>
      </c>
      <c r="H459" t="s">
        <v>224</v>
      </c>
      <c r="I459" t="s">
        <v>247</v>
      </c>
      <c r="J459" t="s">
        <v>26</v>
      </c>
      <c r="K459" t="b">
        <v>0</v>
      </c>
      <c r="L459">
        <v>1977</v>
      </c>
      <c r="M459">
        <v>4114670014</v>
      </c>
      <c r="N459">
        <v>36210697674</v>
      </c>
      <c r="O459" t="b">
        <v>1</v>
      </c>
      <c r="P459">
        <v>-1</v>
      </c>
      <c r="Q459" t="str" cm="1">
        <f t="array" ref="Q459">_xlfn.IFS(Table1[[#This Row],[Wealthier_Winner]]=-1,"Wealthier Nation Loses",Table1[[#This Row],[Wealthier_Winner]]=0,"Tie",Table1[[#This Row],[Wealthier_Winner]]=1,"Wealthier Nation Wins")</f>
        <v>Wealthier Nation Loses</v>
      </c>
    </row>
    <row r="460" spans="1:17" x14ac:dyDescent="0.2">
      <c r="A460" s="1">
        <v>1161</v>
      </c>
      <c r="B460" s="2">
        <v>28203</v>
      </c>
      <c r="C460" s="7">
        <f>_xlfn.FLOOR.MATH(Table1[[#This Row],[year]],10)</f>
        <v>1970</v>
      </c>
      <c r="D460" t="s">
        <v>68</v>
      </c>
      <c r="E460" t="s">
        <v>361</v>
      </c>
      <c r="F460">
        <v>0</v>
      </c>
      <c r="G460">
        <v>3</v>
      </c>
      <c r="H460" t="s">
        <v>224</v>
      </c>
      <c r="I460" t="s">
        <v>190</v>
      </c>
      <c r="J460" t="s">
        <v>68</v>
      </c>
      <c r="K460" t="b">
        <v>0</v>
      </c>
      <c r="L460">
        <v>1977</v>
      </c>
      <c r="M460">
        <v>3617564637</v>
      </c>
      <c r="N460">
        <v>1989060283</v>
      </c>
      <c r="O460" t="b">
        <v>0</v>
      </c>
      <c r="P460">
        <v>-1</v>
      </c>
      <c r="Q460" t="str" cm="1">
        <f t="array" ref="Q460">_xlfn.IFS(Table1[[#This Row],[Wealthier_Winner]]=-1,"Wealthier Nation Loses",Table1[[#This Row],[Wealthier_Winner]]=0,"Tie",Table1[[#This Row],[Wealthier_Winner]]=1,"Wealthier Nation Wins")</f>
        <v>Wealthier Nation Loses</v>
      </c>
    </row>
    <row r="461" spans="1:17" x14ac:dyDescent="0.2">
      <c r="A461" s="1">
        <v>1162</v>
      </c>
      <c r="B461" s="2">
        <v>28204</v>
      </c>
      <c r="C461" s="7">
        <f>_xlfn.FLOOR.MATH(Table1[[#This Row],[year]],10)</f>
        <v>1970</v>
      </c>
      <c r="D461" t="s">
        <v>13</v>
      </c>
      <c r="E461" t="s">
        <v>35</v>
      </c>
      <c r="F461">
        <v>1</v>
      </c>
      <c r="G461">
        <v>1</v>
      </c>
      <c r="H461" t="s">
        <v>224</v>
      </c>
      <c r="I461" t="s">
        <v>173</v>
      </c>
      <c r="J461" t="s">
        <v>13</v>
      </c>
      <c r="K461" t="b">
        <v>0</v>
      </c>
      <c r="L461">
        <v>1977</v>
      </c>
      <c r="M461">
        <v>176344101401</v>
      </c>
      <c r="N461">
        <v>2092158730</v>
      </c>
      <c r="O461" t="b">
        <v>1</v>
      </c>
      <c r="P461">
        <v>0</v>
      </c>
      <c r="Q461" t="str" cm="1">
        <f t="array" ref="Q461">_xlfn.IFS(Table1[[#This Row],[Wealthier_Winner]]=-1,"Wealthier Nation Loses",Table1[[#This Row],[Wealthier_Winner]]=0,"Tie",Table1[[#This Row],[Wealthier_Winner]]=1,"Wealthier Nation Wins")</f>
        <v>Tie</v>
      </c>
    </row>
    <row r="462" spans="1:17" x14ac:dyDescent="0.2">
      <c r="A462" s="1">
        <v>1163</v>
      </c>
      <c r="B462" s="2">
        <v>28204</v>
      </c>
      <c r="C462" s="7">
        <f>_xlfn.FLOOR.MATH(Table1[[#This Row],[year]],10)</f>
        <v>1970</v>
      </c>
      <c r="D462" t="s">
        <v>14</v>
      </c>
      <c r="E462" t="s">
        <v>57</v>
      </c>
      <c r="F462">
        <v>3</v>
      </c>
      <c r="G462">
        <v>0</v>
      </c>
      <c r="H462" t="s">
        <v>224</v>
      </c>
      <c r="I462" t="s">
        <v>75</v>
      </c>
      <c r="J462" t="s">
        <v>14</v>
      </c>
      <c r="K462" t="b">
        <v>0</v>
      </c>
      <c r="L462">
        <v>1977</v>
      </c>
      <c r="M462">
        <v>14272711436</v>
      </c>
      <c r="N462">
        <v>11026342618</v>
      </c>
      <c r="O462" t="b">
        <v>0</v>
      </c>
      <c r="P462">
        <v>1</v>
      </c>
      <c r="Q462" t="str" cm="1">
        <f t="array" ref="Q462">_xlfn.IFS(Table1[[#This Row],[Wealthier_Winner]]=-1,"Wealthier Nation Loses",Table1[[#This Row],[Wealthier_Winner]]=0,"Tie",Table1[[#This Row],[Wealthier_Winner]]=1,"Wealthier Nation Wins")</f>
        <v>Wealthier Nation Wins</v>
      </c>
    </row>
    <row r="463" spans="1:17" x14ac:dyDescent="0.2">
      <c r="A463" s="1">
        <v>1164</v>
      </c>
      <c r="B463" s="2">
        <v>28204</v>
      </c>
      <c r="C463" s="7">
        <f>_xlfn.FLOOR.MATH(Table1[[#This Row],[year]],10)</f>
        <v>1970</v>
      </c>
      <c r="D463" t="s">
        <v>195</v>
      </c>
      <c r="E463" t="s">
        <v>22</v>
      </c>
      <c r="F463">
        <v>3</v>
      </c>
      <c r="G463">
        <v>1</v>
      </c>
      <c r="H463" t="s">
        <v>224</v>
      </c>
      <c r="I463" t="s">
        <v>136</v>
      </c>
      <c r="J463" t="s">
        <v>195</v>
      </c>
      <c r="K463" t="b">
        <v>0</v>
      </c>
      <c r="L463">
        <v>1977</v>
      </c>
      <c r="M463">
        <v>39064462809</v>
      </c>
      <c r="N463">
        <v>18257113904</v>
      </c>
      <c r="O463" t="b">
        <v>1</v>
      </c>
      <c r="P463">
        <v>1</v>
      </c>
      <c r="Q463" t="str" cm="1">
        <f t="array" ref="Q463">_xlfn.IFS(Table1[[#This Row],[Wealthier_Winner]]=-1,"Wealthier Nation Loses",Table1[[#This Row],[Wealthier_Winner]]=0,"Tie",Table1[[#This Row],[Wealthier_Winner]]=1,"Wealthier Nation Wins")</f>
        <v>Wealthier Nation Wins</v>
      </c>
    </row>
    <row r="464" spans="1:17" x14ac:dyDescent="0.2">
      <c r="A464" s="1">
        <v>1166</v>
      </c>
      <c r="B464" s="2">
        <v>28205</v>
      </c>
      <c r="C464" s="7">
        <f>_xlfn.FLOOR.MATH(Table1[[#This Row],[year]],10)</f>
        <v>1970</v>
      </c>
      <c r="D464" t="s">
        <v>68</v>
      </c>
      <c r="E464" t="s">
        <v>71</v>
      </c>
      <c r="F464">
        <v>1</v>
      </c>
      <c r="G464">
        <v>4</v>
      </c>
      <c r="H464" t="s">
        <v>224</v>
      </c>
      <c r="I464" t="s">
        <v>190</v>
      </c>
      <c r="J464" t="s">
        <v>68</v>
      </c>
      <c r="K464" t="b">
        <v>0</v>
      </c>
      <c r="L464">
        <v>1977</v>
      </c>
      <c r="M464">
        <v>3617564637</v>
      </c>
      <c r="N464">
        <v>14137406740</v>
      </c>
      <c r="O464" t="b">
        <v>1</v>
      </c>
      <c r="P464">
        <v>1</v>
      </c>
      <c r="Q464" t="str" cm="1">
        <f t="array" ref="Q464">_xlfn.IFS(Table1[[#This Row],[Wealthier_Winner]]=-1,"Wealthier Nation Loses",Table1[[#This Row],[Wealthier_Winner]]=0,"Tie",Table1[[#This Row],[Wealthier_Winner]]=1,"Wealthier Nation Wins")</f>
        <v>Wealthier Nation Wins</v>
      </c>
    </row>
    <row r="465" spans="1:17" x14ac:dyDescent="0.2">
      <c r="A465" s="1">
        <v>1168</v>
      </c>
      <c r="B465" s="2">
        <v>28210</v>
      </c>
      <c r="C465" s="7">
        <f>_xlfn.FLOOR.MATH(Table1[[#This Row],[year]],10)</f>
        <v>1970</v>
      </c>
      <c r="D465" t="s">
        <v>23</v>
      </c>
      <c r="E465" t="s">
        <v>27</v>
      </c>
      <c r="F465">
        <v>0</v>
      </c>
      <c r="G465">
        <v>2</v>
      </c>
      <c r="H465" t="s">
        <v>224</v>
      </c>
      <c r="I465" t="s">
        <v>318</v>
      </c>
      <c r="J465" t="s">
        <v>23</v>
      </c>
      <c r="K465" t="b">
        <v>0</v>
      </c>
      <c r="L465">
        <v>1977</v>
      </c>
      <c r="M465">
        <v>82839905458</v>
      </c>
      <c r="N465">
        <v>127203923857</v>
      </c>
      <c r="O465" t="b">
        <v>0</v>
      </c>
      <c r="P465">
        <v>1</v>
      </c>
      <c r="Q465" t="str" cm="1">
        <f t="array" ref="Q465">_xlfn.IFS(Table1[[#This Row],[Wealthier_Winner]]=-1,"Wealthier Nation Loses",Table1[[#This Row],[Wealthier_Winner]]=0,"Tie",Table1[[#This Row],[Wealthier_Winner]]=1,"Wealthier Nation Wins")</f>
        <v>Wealthier Nation Wins</v>
      </c>
    </row>
    <row r="466" spans="1:17" x14ac:dyDescent="0.2">
      <c r="A466" s="1">
        <v>1169</v>
      </c>
      <c r="B466" s="2">
        <v>28210</v>
      </c>
      <c r="C466" s="7">
        <f>_xlfn.FLOOR.MATH(Table1[[#This Row],[year]],10)</f>
        <v>1970</v>
      </c>
      <c r="D466" t="s">
        <v>51</v>
      </c>
      <c r="E466" t="s">
        <v>195</v>
      </c>
      <c r="F466">
        <v>0</v>
      </c>
      <c r="G466">
        <v>0</v>
      </c>
      <c r="H466" t="s">
        <v>224</v>
      </c>
      <c r="I466" t="s">
        <v>245</v>
      </c>
      <c r="J466" t="s">
        <v>51</v>
      </c>
      <c r="K466" t="b">
        <v>0</v>
      </c>
      <c r="L466">
        <v>1977</v>
      </c>
      <c r="M466">
        <v>737069290927</v>
      </c>
      <c r="N466">
        <v>39064462809</v>
      </c>
      <c r="O466" t="b">
        <v>1</v>
      </c>
      <c r="P466">
        <v>0</v>
      </c>
      <c r="Q466" t="str" cm="1">
        <f t="array" ref="Q466">_xlfn.IFS(Table1[[#This Row],[Wealthier_Winner]]=-1,"Wealthier Nation Loses",Table1[[#This Row],[Wealthier_Winner]]=0,"Tie",Table1[[#This Row],[Wealthier_Winner]]=1,"Wealthier Nation Wins")</f>
        <v>Tie</v>
      </c>
    </row>
    <row r="467" spans="1:17" x14ac:dyDescent="0.2">
      <c r="A467" s="1">
        <v>1170</v>
      </c>
      <c r="B467" s="2">
        <v>28210</v>
      </c>
      <c r="C467" s="7">
        <f>_xlfn.FLOOR.MATH(Table1[[#This Row],[year]],10)</f>
        <v>1970</v>
      </c>
      <c r="D467" t="s">
        <v>31</v>
      </c>
      <c r="E467" t="s">
        <v>14</v>
      </c>
      <c r="F467">
        <v>2</v>
      </c>
      <c r="G467">
        <v>0</v>
      </c>
      <c r="H467" t="s">
        <v>224</v>
      </c>
      <c r="I467" t="s">
        <v>242</v>
      </c>
      <c r="J467" t="s">
        <v>31</v>
      </c>
      <c r="K467" t="b">
        <v>0</v>
      </c>
      <c r="L467">
        <v>1977</v>
      </c>
      <c r="M467">
        <v>14544913960</v>
      </c>
      <c r="N467">
        <v>14272711436</v>
      </c>
      <c r="O467" t="b">
        <v>0</v>
      </c>
      <c r="P467">
        <v>1</v>
      </c>
      <c r="Q467" t="str" cm="1">
        <f t="array" ref="Q467">_xlfn.IFS(Table1[[#This Row],[Wealthier_Winner]]=-1,"Wealthier Nation Loses",Table1[[#This Row],[Wealthier_Winner]]=0,"Tie",Table1[[#This Row],[Wealthier_Winner]]=1,"Wealthier Nation Wins")</f>
        <v>Wealthier Nation Wins</v>
      </c>
    </row>
    <row r="468" spans="1:17" x14ac:dyDescent="0.2">
      <c r="A468" s="1">
        <v>1171</v>
      </c>
      <c r="B468" s="2">
        <v>28211</v>
      </c>
      <c r="C468" s="7">
        <f>_xlfn.FLOOR.MATH(Table1[[#This Row],[year]],10)</f>
        <v>1970</v>
      </c>
      <c r="D468" t="s">
        <v>28</v>
      </c>
      <c r="E468" t="s">
        <v>72</v>
      </c>
      <c r="F468">
        <v>3</v>
      </c>
      <c r="G468">
        <v>1</v>
      </c>
      <c r="H468" t="s">
        <v>224</v>
      </c>
      <c r="I468" t="s">
        <v>301</v>
      </c>
      <c r="J468" t="s">
        <v>28</v>
      </c>
      <c r="K468" t="b">
        <v>0</v>
      </c>
      <c r="L468">
        <v>1977</v>
      </c>
      <c r="M468">
        <v>110504702913</v>
      </c>
      <c r="N468">
        <v>15446825318</v>
      </c>
      <c r="O468" t="b">
        <v>1</v>
      </c>
      <c r="P468">
        <v>1</v>
      </c>
      <c r="Q468" t="str" cm="1">
        <f t="array" ref="Q468">_xlfn.IFS(Table1[[#This Row],[Wealthier_Winner]]=-1,"Wealthier Nation Loses",Table1[[#This Row],[Wealthier_Winner]]=0,"Tie",Table1[[#This Row],[Wealthier_Winner]]=1,"Wealthier Nation Wins")</f>
        <v>Wealthier Nation Wins</v>
      </c>
    </row>
    <row r="469" spans="1:17" x14ac:dyDescent="0.2">
      <c r="A469" s="1">
        <v>1172</v>
      </c>
      <c r="B469" s="2">
        <v>28211</v>
      </c>
      <c r="C469" s="7">
        <f>_xlfn.FLOOR.MATH(Table1[[#This Row],[year]],10)</f>
        <v>1970</v>
      </c>
      <c r="D469" t="s">
        <v>26</v>
      </c>
      <c r="E469" t="s">
        <v>47</v>
      </c>
      <c r="F469">
        <v>2</v>
      </c>
      <c r="G469">
        <v>2</v>
      </c>
      <c r="H469" t="s">
        <v>224</v>
      </c>
      <c r="I469" t="s">
        <v>247</v>
      </c>
      <c r="J469" t="s">
        <v>26</v>
      </c>
      <c r="K469" t="b">
        <v>0</v>
      </c>
      <c r="L469">
        <v>1977</v>
      </c>
      <c r="M469">
        <v>4114670014</v>
      </c>
      <c r="N469">
        <v>3227436281</v>
      </c>
      <c r="O469" t="b">
        <v>0</v>
      </c>
      <c r="P469">
        <v>0</v>
      </c>
      <c r="Q469" t="str" cm="1">
        <f t="array" ref="Q469">_xlfn.IFS(Table1[[#This Row],[Wealthier_Winner]]=-1,"Wealthier Nation Loses",Table1[[#This Row],[Wealthier_Winner]]=0,"Tie",Table1[[#This Row],[Wealthier_Winner]]=1,"Wealthier Nation Wins")</f>
        <v>Tie</v>
      </c>
    </row>
    <row r="470" spans="1:17" x14ac:dyDescent="0.2">
      <c r="A470" s="1">
        <v>1173</v>
      </c>
      <c r="B470" s="2">
        <v>28214</v>
      </c>
      <c r="C470" s="7">
        <f>_xlfn.FLOOR.MATH(Table1[[#This Row],[year]],10)</f>
        <v>1970</v>
      </c>
      <c r="D470" t="s">
        <v>194</v>
      </c>
      <c r="E470" t="s">
        <v>232</v>
      </c>
      <c r="F470">
        <v>5</v>
      </c>
      <c r="G470">
        <v>0</v>
      </c>
      <c r="H470" t="s">
        <v>224</v>
      </c>
      <c r="I470" t="s">
        <v>80</v>
      </c>
      <c r="J470" t="s">
        <v>194</v>
      </c>
      <c r="K470" t="b">
        <v>0</v>
      </c>
      <c r="L470">
        <v>1977</v>
      </c>
      <c r="M470">
        <v>263066457352</v>
      </c>
      <c r="N470">
        <v>3789321328</v>
      </c>
      <c r="O470" t="b">
        <v>1</v>
      </c>
      <c r="P470">
        <v>1</v>
      </c>
      <c r="Q470" t="str" cm="1">
        <f t="array" ref="Q470">_xlfn.IFS(Table1[[#This Row],[Wealthier_Winner]]=-1,"Wealthier Nation Loses",Table1[[#This Row],[Wealthier_Winner]]=0,"Tie",Table1[[#This Row],[Wealthier_Winner]]=1,"Wealthier Nation Wins")</f>
        <v>Wealthier Nation Wins</v>
      </c>
    </row>
    <row r="471" spans="1:17" x14ac:dyDescent="0.2">
      <c r="A471" s="1">
        <v>1175</v>
      </c>
      <c r="B471" s="2">
        <v>28214</v>
      </c>
      <c r="C471" s="7">
        <f>_xlfn.FLOOR.MATH(Table1[[#This Row],[year]],10)</f>
        <v>1970</v>
      </c>
      <c r="D471" t="s">
        <v>72</v>
      </c>
      <c r="E471" t="s">
        <v>28</v>
      </c>
      <c r="F471">
        <v>1</v>
      </c>
      <c r="G471">
        <v>1</v>
      </c>
      <c r="H471" t="s">
        <v>224</v>
      </c>
      <c r="I471" t="s">
        <v>327</v>
      </c>
      <c r="J471" t="s">
        <v>72</v>
      </c>
      <c r="K471" t="b">
        <v>0</v>
      </c>
      <c r="L471">
        <v>1977</v>
      </c>
      <c r="M471">
        <v>15446825318</v>
      </c>
      <c r="N471">
        <v>110504702913</v>
      </c>
      <c r="O471" t="b">
        <v>1</v>
      </c>
      <c r="P471">
        <v>0</v>
      </c>
      <c r="Q471" t="str" cm="1">
        <f t="array" ref="Q471">_xlfn.IFS(Table1[[#This Row],[Wealthier_Winner]]=-1,"Wealthier Nation Loses",Table1[[#This Row],[Wealthier_Winner]]=0,"Tie",Table1[[#This Row],[Wealthier_Winner]]=1,"Wealthier Nation Wins")</f>
        <v>Tie</v>
      </c>
    </row>
    <row r="472" spans="1:17" x14ac:dyDescent="0.2">
      <c r="A472" s="1">
        <v>1178</v>
      </c>
      <c r="B472" s="2">
        <v>28218</v>
      </c>
      <c r="C472" s="7">
        <f>_xlfn.FLOOR.MATH(Table1[[#This Row],[year]],10)</f>
        <v>1970</v>
      </c>
      <c r="D472" t="s">
        <v>195</v>
      </c>
      <c r="E472" t="s">
        <v>51</v>
      </c>
      <c r="F472">
        <v>1</v>
      </c>
      <c r="G472">
        <v>0</v>
      </c>
      <c r="H472" t="s">
        <v>224</v>
      </c>
      <c r="I472" t="s">
        <v>136</v>
      </c>
      <c r="J472" t="s">
        <v>195</v>
      </c>
      <c r="K472" t="b">
        <v>0</v>
      </c>
      <c r="L472">
        <v>1977</v>
      </c>
      <c r="M472">
        <v>39064462809</v>
      </c>
      <c r="N472">
        <v>737069290927</v>
      </c>
      <c r="O472" t="b">
        <v>1</v>
      </c>
      <c r="P472">
        <v>-1</v>
      </c>
      <c r="Q472" t="str" cm="1">
        <f t="array" ref="Q472">_xlfn.IFS(Table1[[#This Row],[Wealthier_Winner]]=-1,"Wealthier Nation Loses",Table1[[#This Row],[Wealthier_Winner]]=0,"Tie",Table1[[#This Row],[Wealthier_Winner]]=1,"Wealthier Nation Wins")</f>
        <v>Wealthier Nation Loses</v>
      </c>
    </row>
    <row r="473" spans="1:17" x14ac:dyDescent="0.2">
      <c r="A473" s="1">
        <v>1181</v>
      </c>
      <c r="B473" s="2">
        <v>28237</v>
      </c>
      <c r="C473" s="7">
        <f>_xlfn.FLOOR.MATH(Table1[[#This Row],[year]],10)</f>
        <v>1970</v>
      </c>
      <c r="D473" t="s">
        <v>210</v>
      </c>
      <c r="E473" t="s">
        <v>45</v>
      </c>
      <c r="F473">
        <v>2</v>
      </c>
      <c r="G473">
        <v>0</v>
      </c>
      <c r="H473" t="s">
        <v>224</v>
      </c>
      <c r="I473" t="s">
        <v>362</v>
      </c>
      <c r="J473" t="s">
        <v>210</v>
      </c>
      <c r="K473" t="b">
        <v>0</v>
      </c>
      <c r="L473">
        <v>1977</v>
      </c>
      <c r="M473">
        <v>80600122701</v>
      </c>
      <c r="N473">
        <v>74188986586</v>
      </c>
      <c r="O473" t="b">
        <v>0</v>
      </c>
      <c r="P473">
        <v>1</v>
      </c>
      <c r="Q473" t="str" cm="1">
        <f t="array" ref="Q473">_xlfn.IFS(Table1[[#This Row],[Wealthier_Winner]]=-1,"Wealthier Nation Loses",Table1[[#This Row],[Wealthier_Winner]]=0,"Tie",Table1[[#This Row],[Wealthier_Winner]]=1,"Wealthier Nation Wins")</f>
        <v>Wealthier Nation Wins</v>
      </c>
    </row>
    <row r="474" spans="1:17" x14ac:dyDescent="0.2">
      <c r="A474" s="1">
        <v>1183</v>
      </c>
      <c r="B474" s="2">
        <v>28245</v>
      </c>
      <c r="C474" s="7">
        <f>_xlfn.FLOOR.MATH(Table1[[#This Row],[year]],10)</f>
        <v>1970</v>
      </c>
      <c r="D474" t="s">
        <v>29</v>
      </c>
      <c r="E474" t="s">
        <v>303</v>
      </c>
      <c r="F474">
        <v>9</v>
      </c>
      <c r="G474">
        <v>0</v>
      </c>
      <c r="H474" t="s">
        <v>224</v>
      </c>
      <c r="I474" t="s">
        <v>363</v>
      </c>
      <c r="J474" t="s">
        <v>29</v>
      </c>
      <c r="K474" t="b">
        <v>0</v>
      </c>
      <c r="L474">
        <v>1977</v>
      </c>
      <c r="M474">
        <v>51343861460</v>
      </c>
      <c r="N474">
        <v>625563170</v>
      </c>
      <c r="O474" t="b">
        <v>1</v>
      </c>
      <c r="P474">
        <v>1</v>
      </c>
      <c r="Q474" t="str" cm="1">
        <f t="array" ref="Q474">_xlfn.IFS(Table1[[#This Row],[Wealthier_Winner]]=-1,"Wealthier Nation Loses",Table1[[#This Row],[Wealthier_Winner]]=0,"Tie",Table1[[#This Row],[Wealthier_Winner]]=1,"Wealthier Nation Wins")</f>
        <v>Wealthier Nation Wins</v>
      </c>
    </row>
    <row r="475" spans="1:17" x14ac:dyDescent="0.2">
      <c r="A475" s="1">
        <v>1190</v>
      </c>
      <c r="B475" s="2">
        <v>28271</v>
      </c>
      <c r="C475" s="7">
        <f>_xlfn.FLOOR.MATH(Table1[[#This Row],[year]],10)</f>
        <v>1970</v>
      </c>
      <c r="D475" t="s">
        <v>232</v>
      </c>
      <c r="E475" t="s">
        <v>230</v>
      </c>
      <c r="F475">
        <v>0</v>
      </c>
      <c r="G475">
        <v>1</v>
      </c>
      <c r="H475" t="s">
        <v>224</v>
      </c>
      <c r="I475" t="s">
        <v>232</v>
      </c>
      <c r="J475" t="s">
        <v>232</v>
      </c>
      <c r="K475" t="b">
        <v>0</v>
      </c>
      <c r="L475">
        <v>1977</v>
      </c>
      <c r="M475">
        <v>3789321328</v>
      </c>
      <c r="N475">
        <v>33502784417</v>
      </c>
      <c r="O475" t="b">
        <v>1</v>
      </c>
      <c r="P475">
        <v>1</v>
      </c>
      <c r="Q475" t="str" cm="1">
        <f t="array" ref="Q475">_xlfn.IFS(Table1[[#This Row],[Wealthier_Winner]]=-1,"Wealthier Nation Loses",Table1[[#This Row],[Wealthier_Winner]]=0,"Tie",Table1[[#This Row],[Wealthier_Winner]]=1,"Wealthier Nation Wins")</f>
        <v>Wealthier Nation Wins</v>
      </c>
    </row>
    <row r="476" spans="1:17" x14ac:dyDescent="0.2">
      <c r="A476" s="1">
        <v>1191</v>
      </c>
      <c r="B476" s="2">
        <v>28273</v>
      </c>
      <c r="C476" s="7">
        <f>_xlfn.FLOOR.MATH(Table1[[#This Row],[year]],10)</f>
        <v>1970</v>
      </c>
      <c r="D476" t="s">
        <v>30</v>
      </c>
      <c r="E476" t="s">
        <v>48</v>
      </c>
      <c r="F476">
        <v>3</v>
      </c>
      <c r="G476">
        <v>0</v>
      </c>
      <c r="H476" t="s">
        <v>224</v>
      </c>
      <c r="I476" t="s">
        <v>297</v>
      </c>
      <c r="J476" t="s">
        <v>30</v>
      </c>
      <c r="K476" t="b">
        <v>0</v>
      </c>
      <c r="L476">
        <v>1977</v>
      </c>
      <c r="M476">
        <v>14783674054</v>
      </c>
      <c r="N476">
        <v>35673080481</v>
      </c>
      <c r="O476" t="b">
        <v>1</v>
      </c>
      <c r="P476">
        <v>-1</v>
      </c>
      <c r="Q476" t="str" cm="1">
        <f t="array" ref="Q476">_xlfn.IFS(Table1[[#This Row],[Wealthier_Winner]]=-1,"Wealthier Nation Loses",Table1[[#This Row],[Wealthier_Winner]]=0,"Tie",Table1[[#This Row],[Wealthier_Winner]]=1,"Wealthier Nation Wins")</f>
        <v>Wealthier Nation Loses</v>
      </c>
    </row>
    <row r="477" spans="1:17" x14ac:dyDescent="0.2">
      <c r="A477" s="1">
        <v>1193</v>
      </c>
      <c r="B477" s="2">
        <v>28281</v>
      </c>
      <c r="C477" s="7">
        <f>_xlfn.FLOOR.MATH(Table1[[#This Row],[year]],10)</f>
        <v>1970</v>
      </c>
      <c r="D477" t="s">
        <v>305</v>
      </c>
      <c r="E477" t="s">
        <v>53</v>
      </c>
      <c r="F477">
        <v>1</v>
      </c>
      <c r="G477">
        <v>0</v>
      </c>
      <c r="H477" t="s">
        <v>224</v>
      </c>
      <c r="I477" t="s">
        <v>306</v>
      </c>
      <c r="J477" t="s">
        <v>305</v>
      </c>
      <c r="K477" t="b">
        <v>0</v>
      </c>
      <c r="L477">
        <v>1977</v>
      </c>
      <c r="M477">
        <v>6914381290</v>
      </c>
      <c r="N477">
        <v>5109324009</v>
      </c>
      <c r="O477" t="b">
        <v>0</v>
      </c>
      <c r="P477">
        <v>1</v>
      </c>
      <c r="Q477" t="str" cm="1">
        <f t="array" ref="Q477">_xlfn.IFS(Table1[[#This Row],[Wealthier_Winner]]=-1,"Wealthier Nation Loses",Table1[[#This Row],[Wealthier_Winner]]=0,"Tie",Table1[[#This Row],[Wealthier_Winner]]=1,"Wealthier Nation Wins")</f>
        <v>Wealthier Nation Wins</v>
      </c>
    </row>
    <row r="478" spans="1:17" x14ac:dyDescent="0.2">
      <c r="A478" s="1">
        <v>1194</v>
      </c>
      <c r="B478" s="2">
        <v>28284</v>
      </c>
      <c r="C478" s="7">
        <f>_xlfn.FLOOR.MATH(Table1[[#This Row],[year]],10)</f>
        <v>1970</v>
      </c>
      <c r="D478" t="s">
        <v>230</v>
      </c>
      <c r="E478" t="s">
        <v>18</v>
      </c>
      <c r="F478">
        <v>0</v>
      </c>
      <c r="G478">
        <v>3</v>
      </c>
      <c r="H478" t="s">
        <v>224</v>
      </c>
      <c r="I478" t="s">
        <v>231</v>
      </c>
      <c r="J478" t="s">
        <v>230</v>
      </c>
      <c r="K478" t="b">
        <v>0</v>
      </c>
      <c r="L478">
        <v>1977</v>
      </c>
      <c r="M478">
        <v>33502784417</v>
      </c>
      <c r="N478">
        <v>258190019749</v>
      </c>
      <c r="O478" t="b">
        <v>1</v>
      </c>
      <c r="P478">
        <v>1</v>
      </c>
      <c r="Q478" t="str" cm="1">
        <f t="array" ref="Q478">_xlfn.IFS(Table1[[#This Row],[Wealthier_Winner]]=-1,"Wealthier Nation Loses",Table1[[#This Row],[Wealthier_Winner]]=0,"Tie",Table1[[#This Row],[Wealthier_Winner]]=1,"Wealthier Nation Wins")</f>
        <v>Wealthier Nation Wins</v>
      </c>
    </row>
    <row r="479" spans="1:17" x14ac:dyDescent="0.2">
      <c r="A479" s="1">
        <v>1195</v>
      </c>
      <c r="B479" s="2">
        <v>28284</v>
      </c>
      <c r="C479" s="7">
        <f>_xlfn.FLOOR.MATH(Table1[[#This Row],[year]],10)</f>
        <v>1970</v>
      </c>
      <c r="D479" t="s">
        <v>25</v>
      </c>
      <c r="E479" t="s">
        <v>46</v>
      </c>
      <c r="F479">
        <v>2</v>
      </c>
      <c r="G479">
        <v>1</v>
      </c>
      <c r="H479" t="s">
        <v>224</v>
      </c>
      <c r="I479" t="s">
        <v>233</v>
      </c>
      <c r="J479" t="s">
        <v>25</v>
      </c>
      <c r="K479" t="b">
        <v>0</v>
      </c>
      <c r="L479">
        <v>1977</v>
      </c>
      <c r="M479">
        <v>94331782622</v>
      </c>
      <c r="N479">
        <v>73135771167</v>
      </c>
      <c r="O479" t="b">
        <v>0</v>
      </c>
      <c r="P479">
        <v>1</v>
      </c>
      <c r="Q479" t="str" cm="1">
        <f t="array" ref="Q479">_xlfn.IFS(Table1[[#This Row],[Wealthier_Winner]]=-1,"Wealthier Nation Loses",Table1[[#This Row],[Wealthier_Winner]]=0,"Tie",Table1[[#This Row],[Wealthier_Winner]]=1,"Wealthier Nation Wins")</f>
        <v>Wealthier Nation Wins</v>
      </c>
    </row>
    <row r="480" spans="1:17" x14ac:dyDescent="0.2">
      <c r="A480" s="1">
        <v>1198</v>
      </c>
      <c r="B480" s="2">
        <v>28295</v>
      </c>
      <c r="C480" s="7">
        <f>_xlfn.FLOOR.MATH(Table1[[#This Row],[year]],10)</f>
        <v>1970</v>
      </c>
      <c r="D480" t="s">
        <v>53</v>
      </c>
      <c r="E480" t="s">
        <v>305</v>
      </c>
      <c r="F480">
        <v>3</v>
      </c>
      <c r="G480">
        <v>1</v>
      </c>
      <c r="H480" t="s">
        <v>224</v>
      </c>
      <c r="I480" t="s">
        <v>284</v>
      </c>
      <c r="J480" t="s">
        <v>53</v>
      </c>
      <c r="K480" t="b">
        <v>0</v>
      </c>
      <c r="L480">
        <v>1977</v>
      </c>
      <c r="M480">
        <v>5109324009</v>
      </c>
      <c r="N480">
        <v>6914381290</v>
      </c>
      <c r="O480" t="b">
        <v>0</v>
      </c>
      <c r="P480">
        <v>-1</v>
      </c>
      <c r="Q480" t="str" cm="1">
        <f t="array" ref="Q480">_xlfn.IFS(Table1[[#This Row],[Wealthier_Winner]]=-1,"Wealthier Nation Loses",Table1[[#This Row],[Wealthier_Winner]]=0,"Tie",Table1[[#This Row],[Wealthier_Winner]]=1,"Wealthier Nation Wins")</f>
        <v>Wealthier Nation Loses</v>
      </c>
    </row>
    <row r="481" spans="1:17" x14ac:dyDescent="0.2">
      <c r="A481" s="1">
        <v>1200</v>
      </c>
      <c r="B481" s="2">
        <v>28309</v>
      </c>
      <c r="C481" s="7">
        <f>_xlfn.FLOOR.MATH(Table1[[#This Row],[year]],10)</f>
        <v>1970</v>
      </c>
      <c r="D481" t="s">
        <v>195</v>
      </c>
      <c r="E481" t="s">
        <v>210</v>
      </c>
      <c r="F481">
        <v>0</v>
      </c>
      <c r="G481">
        <v>0</v>
      </c>
      <c r="H481" t="s">
        <v>224</v>
      </c>
      <c r="I481" t="s">
        <v>140</v>
      </c>
      <c r="J481" t="s">
        <v>195</v>
      </c>
      <c r="K481" t="b">
        <v>0</v>
      </c>
      <c r="L481">
        <v>1977</v>
      </c>
      <c r="M481">
        <v>39064462809</v>
      </c>
      <c r="N481">
        <v>80600122701</v>
      </c>
      <c r="O481" t="b">
        <v>1</v>
      </c>
      <c r="P481">
        <v>0</v>
      </c>
      <c r="Q481" t="str" cm="1">
        <f t="array" ref="Q481">_xlfn.IFS(Table1[[#This Row],[Wealthier_Winner]]=-1,"Wealthier Nation Loses",Table1[[#This Row],[Wealthier_Winner]]=0,"Tie",Table1[[#This Row],[Wealthier_Winner]]=1,"Wealthier Nation Wins")</f>
        <v>Tie</v>
      </c>
    </row>
    <row r="482" spans="1:17" x14ac:dyDescent="0.2">
      <c r="A482" s="1">
        <v>1203</v>
      </c>
      <c r="B482" s="2">
        <v>28316</v>
      </c>
      <c r="C482" s="7">
        <f>_xlfn.FLOOR.MATH(Table1[[#This Row],[year]],10)</f>
        <v>1970</v>
      </c>
      <c r="D482" t="s">
        <v>31</v>
      </c>
      <c r="E482" t="s">
        <v>13</v>
      </c>
      <c r="F482">
        <v>0</v>
      </c>
      <c r="G482">
        <v>1</v>
      </c>
      <c r="H482" t="s">
        <v>224</v>
      </c>
      <c r="I482" t="s">
        <v>364</v>
      </c>
      <c r="J482" t="s">
        <v>15</v>
      </c>
      <c r="K482" t="b">
        <v>1</v>
      </c>
      <c r="L482">
        <v>1977</v>
      </c>
      <c r="M482">
        <v>14544913960</v>
      </c>
      <c r="N482">
        <v>176344101401</v>
      </c>
      <c r="O482" t="b">
        <v>1</v>
      </c>
      <c r="P482">
        <v>1</v>
      </c>
      <c r="Q482" t="str" cm="1">
        <f t="array" ref="Q482">_xlfn.IFS(Table1[[#This Row],[Wealthier_Winner]]=-1,"Wealthier Nation Loses",Table1[[#This Row],[Wealthier_Winner]]=0,"Tie",Table1[[#This Row],[Wealthier_Winner]]=1,"Wealthier Nation Wins")</f>
        <v>Wealthier Nation Wins</v>
      </c>
    </row>
    <row r="483" spans="1:17" x14ac:dyDescent="0.2">
      <c r="A483" s="1">
        <v>1204</v>
      </c>
      <c r="B483" s="2">
        <v>28320</v>
      </c>
      <c r="C483" s="7">
        <f>_xlfn.FLOOR.MATH(Table1[[#This Row],[year]],10)</f>
        <v>1970</v>
      </c>
      <c r="D483" t="s">
        <v>13</v>
      </c>
      <c r="E483" t="s">
        <v>47</v>
      </c>
      <c r="F483">
        <v>8</v>
      </c>
      <c r="G483">
        <v>0</v>
      </c>
      <c r="H483" t="s">
        <v>224</v>
      </c>
      <c r="I483" t="s">
        <v>364</v>
      </c>
      <c r="J483" t="s">
        <v>15</v>
      </c>
      <c r="K483" t="b">
        <v>1</v>
      </c>
      <c r="L483">
        <v>1977</v>
      </c>
      <c r="M483">
        <v>176344101401</v>
      </c>
      <c r="N483">
        <v>3227436281</v>
      </c>
      <c r="O483" t="b">
        <v>1</v>
      </c>
      <c r="P483">
        <v>1</v>
      </c>
      <c r="Q483" t="str" cm="1">
        <f t="array" ref="Q483">_xlfn.IFS(Table1[[#This Row],[Wealthier_Winner]]=-1,"Wealthier Nation Loses",Table1[[#This Row],[Wealthier_Winner]]=0,"Tie",Table1[[#This Row],[Wealthier_Winner]]=1,"Wealthier Nation Wins")</f>
        <v>Wealthier Nation Wins</v>
      </c>
    </row>
    <row r="484" spans="1:17" x14ac:dyDescent="0.2">
      <c r="A484" s="1">
        <v>1205</v>
      </c>
      <c r="B484" s="2">
        <v>28321</v>
      </c>
      <c r="C484" s="7">
        <f>_xlfn.FLOOR.MATH(Table1[[#This Row],[year]],10)</f>
        <v>1970</v>
      </c>
      <c r="D484" t="s">
        <v>212</v>
      </c>
      <c r="E484" t="s">
        <v>273</v>
      </c>
      <c r="F484">
        <v>2</v>
      </c>
      <c r="G484">
        <v>0</v>
      </c>
      <c r="H484" t="s">
        <v>224</v>
      </c>
      <c r="I484" t="s">
        <v>322</v>
      </c>
      <c r="J484" t="s">
        <v>212</v>
      </c>
      <c r="K484" t="b">
        <v>0</v>
      </c>
      <c r="L484">
        <v>1977</v>
      </c>
      <c r="M484">
        <v>14400806875</v>
      </c>
      <c r="N484">
        <v>2515296939</v>
      </c>
      <c r="O484" t="b">
        <v>1</v>
      </c>
      <c r="P484">
        <v>1</v>
      </c>
      <c r="Q484" t="str" cm="1">
        <f t="array" ref="Q484">_xlfn.IFS(Table1[[#This Row],[Wealthier_Winner]]=-1,"Wealthier Nation Loses",Table1[[#This Row],[Wealthier_Winner]]=0,"Tie",Table1[[#This Row],[Wealthier_Winner]]=1,"Wealthier Nation Wins")</f>
        <v>Wealthier Nation Wins</v>
      </c>
    </row>
    <row r="485" spans="1:17" x14ac:dyDescent="0.2">
      <c r="A485" s="1">
        <v>1206</v>
      </c>
      <c r="B485" s="2">
        <v>28323</v>
      </c>
      <c r="C485" s="7">
        <f>_xlfn.FLOOR.MATH(Table1[[#This Row],[year]],10)</f>
        <v>1970</v>
      </c>
      <c r="D485" t="s">
        <v>31</v>
      </c>
      <c r="E485" t="s">
        <v>47</v>
      </c>
      <c r="F485">
        <v>5</v>
      </c>
      <c r="G485">
        <v>0</v>
      </c>
      <c r="H485" t="s">
        <v>224</v>
      </c>
      <c r="I485" t="s">
        <v>364</v>
      </c>
      <c r="J485" t="s">
        <v>15</v>
      </c>
      <c r="K485" t="b">
        <v>1</v>
      </c>
      <c r="L485">
        <v>1977</v>
      </c>
      <c r="M485">
        <v>14544913960</v>
      </c>
      <c r="N485">
        <v>3227436281</v>
      </c>
      <c r="O485" t="b">
        <v>1</v>
      </c>
      <c r="P485">
        <v>1</v>
      </c>
      <c r="Q485" t="str" cm="1">
        <f t="array" ref="Q485">_xlfn.IFS(Table1[[#This Row],[Wealthier_Winner]]=-1,"Wealthier Nation Loses",Table1[[#This Row],[Wealthier_Winner]]=0,"Tie",Table1[[#This Row],[Wealthier_Winner]]=1,"Wealthier Nation Wins")</f>
        <v>Wealthier Nation Wins</v>
      </c>
    </row>
    <row r="486" spans="1:17" x14ac:dyDescent="0.2">
      <c r="A486" s="1">
        <v>1208</v>
      </c>
      <c r="B486" s="2">
        <v>28337</v>
      </c>
      <c r="C486" s="7">
        <f>_xlfn.FLOOR.MATH(Table1[[#This Row],[year]],10)</f>
        <v>1970</v>
      </c>
      <c r="D486" t="s">
        <v>273</v>
      </c>
      <c r="E486" t="s">
        <v>212</v>
      </c>
      <c r="F486">
        <v>0</v>
      </c>
      <c r="G486">
        <v>0</v>
      </c>
      <c r="H486" t="s">
        <v>224</v>
      </c>
      <c r="I486" t="s">
        <v>330</v>
      </c>
      <c r="J486" t="s">
        <v>273</v>
      </c>
      <c r="K486" t="b">
        <v>0</v>
      </c>
      <c r="L486">
        <v>1977</v>
      </c>
      <c r="M486">
        <v>2515296939</v>
      </c>
      <c r="N486">
        <v>14400806875</v>
      </c>
      <c r="O486" t="b">
        <v>1</v>
      </c>
      <c r="P486">
        <v>0</v>
      </c>
      <c r="Q486" t="str" cm="1">
        <f t="array" ref="Q486">_xlfn.IFS(Table1[[#This Row],[Wealthier_Winner]]=-1,"Wealthier Nation Loses",Table1[[#This Row],[Wealthier_Winner]]=0,"Tie",Table1[[#This Row],[Wealthier_Winner]]=1,"Wealthier Nation Wins")</f>
        <v>Tie</v>
      </c>
    </row>
    <row r="487" spans="1:17" x14ac:dyDescent="0.2">
      <c r="A487" s="1">
        <v>1209</v>
      </c>
      <c r="B487" s="2">
        <v>28351</v>
      </c>
      <c r="C487" s="7">
        <f>_xlfn.FLOOR.MATH(Table1[[#This Row],[year]],10)</f>
        <v>1970</v>
      </c>
      <c r="D487" t="s">
        <v>28</v>
      </c>
      <c r="E487" t="s">
        <v>210</v>
      </c>
      <c r="F487">
        <v>0</v>
      </c>
      <c r="G487">
        <v>1</v>
      </c>
      <c r="H487" t="s">
        <v>224</v>
      </c>
      <c r="I487" t="s">
        <v>329</v>
      </c>
      <c r="J487" t="s">
        <v>28</v>
      </c>
      <c r="K487" t="b">
        <v>0</v>
      </c>
      <c r="L487">
        <v>1977</v>
      </c>
      <c r="M487">
        <v>110504702913</v>
      </c>
      <c r="N487">
        <v>80600122701</v>
      </c>
      <c r="O487" t="b">
        <v>0</v>
      </c>
      <c r="P487">
        <v>-1</v>
      </c>
      <c r="Q487" t="str" cm="1">
        <f t="array" ref="Q487">_xlfn.IFS(Table1[[#This Row],[Wealthier_Winner]]=-1,"Wealthier Nation Loses",Table1[[#This Row],[Wealthier_Winner]]=0,"Tie",Table1[[#This Row],[Wealthier_Winner]]=1,"Wealthier Nation Wins")</f>
        <v>Wealthier Nation Loses</v>
      </c>
    </row>
    <row r="488" spans="1:17" x14ac:dyDescent="0.2">
      <c r="A488" s="1">
        <v>1210</v>
      </c>
      <c r="B488" s="2">
        <v>28364</v>
      </c>
      <c r="C488" s="7">
        <f>_xlfn.FLOOR.MATH(Table1[[#This Row],[year]],10)</f>
        <v>1970</v>
      </c>
      <c r="D488" t="s">
        <v>28</v>
      </c>
      <c r="E488" t="s">
        <v>195</v>
      </c>
      <c r="F488">
        <v>2</v>
      </c>
      <c r="G488">
        <v>1</v>
      </c>
      <c r="H488" t="s">
        <v>224</v>
      </c>
      <c r="I488" t="s">
        <v>301</v>
      </c>
      <c r="J488" t="s">
        <v>28</v>
      </c>
      <c r="K488" t="b">
        <v>0</v>
      </c>
      <c r="L488">
        <v>1977</v>
      </c>
      <c r="M488">
        <v>110504702913</v>
      </c>
      <c r="N488">
        <v>39064462809</v>
      </c>
      <c r="O488" t="b">
        <v>1</v>
      </c>
      <c r="P488">
        <v>1</v>
      </c>
      <c r="Q488" t="str" cm="1">
        <f t="array" ref="Q488">_xlfn.IFS(Table1[[#This Row],[Wealthier_Winner]]=-1,"Wealthier Nation Loses",Table1[[#This Row],[Wealthier_Winner]]=0,"Tie",Table1[[#This Row],[Wealthier_Winner]]=1,"Wealthier Nation Wins")</f>
        <v>Wealthier Nation Wins</v>
      </c>
    </row>
    <row r="489" spans="1:17" x14ac:dyDescent="0.2">
      <c r="A489" s="1">
        <v>1211</v>
      </c>
      <c r="B489" s="2">
        <v>28368</v>
      </c>
      <c r="C489" s="7">
        <f>_xlfn.FLOOR.MATH(Table1[[#This Row],[year]],10)</f>
        <v>1970</v>
      </c>
      <c r="D489" t="s">
        <v>27</v>
      </c>
      <c r="E489" t="s">
        <v>66</v>
      </c>
      <c r="F489">
        <v>4</v>
      </c>
      <c r="G489">
        <v>1</v>
      </c>
      <c r="H489" t="s">
        <v>224</v>
      </c>
      <c r="I489" t="s">
        <v>365</v>
      </c>
      <c r="J489" t="s">
        <v>27</v>
      </c>
      <c r="K489" t="b">
        <v>0</v>
      </c>
      <c r="L489">
        <v>1977</v>
      </c>
      <c r="M489">
        <v>127203923857</v>
      </c>
      <c r="N489">
        <v>2285707748</v>
      </c>
      <c r="O489" t="b">
        <v>1</v>
      </c>
      <c r="P489">
        <v>1</v>
      </c>
      <c r="Q489" t="str" cm="1">
        <f t="array" ref="Q489">_xlfn.IFS(Table1[[#This Row],[Wealthier_Winner]]=-1,"Wealthier Nation Loses",Table1[[#This Row],[Wealthier_Winner]]=0,"Tie",Table1[[#This Row],[Wealthier_Winner]]=1,"Wealthier Nation Wins")</f>
        <v>Wealthier Nation Wins</v>
      </c>
    </row>
    <row r="490" spans="1:17" x14ac:dyDescent="0.2">
      <c r="A490" s="1">
        <v>1212</v>
      </c>
      <c r="B490" s="2">
        <v>28371</v>
      </c>
      <c r="C490" s="7">
        <f>_xlfn.FLOOR.MATH(Table1[[#This Row],[year]],10)</f>
        <v>1970</v>
      </c>
      <c r="D490" t="s">
        <v>23</v>
      </c>
      <c r="E490" t="s">
        <v>66</v>
      </c>
      <c r="F490">
        <v>4</v>
      </c>
      <c r="G490">
        <v>0</v>
      </c>
      <c r="H490" t="s">
        <v>224</v>
      </c>
      <c r="I490" t="s">
        <v>235</v>
      </c>
      <c r="J490" t="s">
        <v>23</v>
      </c>
      <c r="K490" t="b">
        <v>0</v>
      </c>
      <c r="L490">
        <v>1977</v>
      </c>
      <c r="M490">
        <v>82839905458</v>
      </c>
      <c r="N490">
        <v>2285707748</v>
      </c>
      <c r="O490" t="b">
        <v>1</v>
      </c>
      <c r="P490">
        <v>1</v>
      </c>
      <c r="Q490" t="str" cm="1">
        <f t="array" ref="Q490">_xlfn.IFS(Table1[[#This Row],[Wealthier_Winner]]=-1,"Wealthier Nation Loses",Table1[[#This Row],[Wealthier_Winner]]=0,"Tie",Table1[[#This Row],[Wealthier_Winner]]=1,"Wealthier Nation Wins")</f>
        <v>Wealthier Nation Wins</v>
      </c>
    </row>
    <row r="491" spans="1:17" x14ac:dyDescent="0.2">
      <c r="A491" s="1">
        <v>1213</v>
      </c>
      <c r="B491" s="2">
        <v>28375</v>
      </c>
      <c r="C491" s="7">
        <f>_xlfn.FLOOR.MATH(Table1[[#This Row],[year]],10)</f>
        <v>1970</v>
      </c>
      <c r="D491" t="s">
        <v>42</v>
      </c>
      <c r="E491" t="s">
        <v>25</v>
      </c>
      <c r="F491">
        <v>2</v>
      </c>
      <c r="G491">
        <v>1</v>
      </c>
      <c r="H491" t="s">
        <v>224</v>
      </c>
      <c r="I491" t="s">
        <v>262</v>
      </c>
      <c r="J491" t="s">
        <v>42</v>
      </c>
      <c r="K491" t="b">
        <v>0</v>
      </c>
      <c r="L491">
        <v>1977</v>
      </c>
      <c r="M491">
        <v>41508030431</v>
      </c>
      <c r="N491">
        <v>94331782622</v>
      </c>
      <c r="O491" t="b">
        <v>1</v>
      </c>
      <c r="P491">
        <v>-1</v>
      </c>
      <c r="Q491" t="str" cm="1">
        <f t="array" ref="Q491">_xlfn.IFS(Table1[[#This Row],[Wealthier_Winner]]=-1,"Wealthier Nation Loses",Table1[[#This Row],[Wealthier_Winner]]=0,"Tie",Table1[[#This Row],[Wealthier_Winner]]=1,"Wealthier Nation Wins")</f>
        <v>Wealthier Nation Loses</v>
      </c>
    </row>
    <row r="492" spans="1:17" x14ac:dyDescent="0.2">
      <c r="A492" s="1">
        <v>1218</v>
      </c>
      <c r="B492" s="2">
        <v>28393</v>
      </c>
      <c r="C492" s="7">
        <f>_xlfn.FLOOR.MATH(Table1[[#This Row],[year]],10)</f>
        <v>1970</v>
      </c>
      <c r="D492" t="s">
        <v>53</v>
      </c>
      <c r="E492" t="s">
        <v>43</v>
      </c>
      <c r="F492">
        <v>0</v>
      </c>
      <c r="G492">
        <v>0</v>
      </c>
      <c r="H492" t="s">
        <v>224</v>
      </c>
      <c r="I492" t="s">
        <v>284</v>
      </c>
      <c r="J492" t="s">
        <v>53</v>
      </c>
      <c r="K492" t="b">
        <v>0</v>
      </c>
      <c r="L492">
        <v>1977</v>
      </c>
      <c r="M492">
        <v>5109324009</v>
      </c>
      <c r="N492">
        <v>36035407725</v>
      </c>
      <c r="O492" t="b">
        <v>1</v>
      </c>
      <c r="P492">
        <v>0</v>
      </c>
      <c r="Q492" t="str" cm="1">
        <f t="array" ref="Q492">_xlfn.IFS(Table1[[#This Row],[Wealthier_Winner]]=-1,"Wealthier Nation Loses",Table1[[#This Row],[Wealthier_Winner]]=0,"Tie",Table1[[#This Row],[Wealthier_Winner]]=1,"Wealthier Nation Wins")</f>
        <v>Tie</v>
      </c>
    </row>
    <row r="493" spans="1:17" x14ac:dyDescent="0.2">
      <c r="A493" s="1">
        <v>1220</v>
      </c>
      <c r="B493" s="2">
        <v>28406</v>
      </c>
      <c r="C493" s="7">
        <f>_xlfn.FLOOR.MATH(Table1[[#This Row],[year]],10)</f>
        <v>1970</v>
      </c>
      <c r="D493" t="s">
        <v>43</v>
      </c>
      <c r="E493" t="s">
        <v>212</v>
      </c>
      <c r="F493">
        <v>4</v>
      </c>
      <c r="G493">
        <v>0</v>
      </c>
      <c r="H493" t="s">
        <v>224</v>
      </c>
      <c r="I493" t="s">
        <v>229</v>
      </c>
      <c r="J493" t="s">
        <v>43</v>
      </c>
      <c r="K493" t="b">
        <v>0</v>
      </c>
      <c r="L493">
        <v>1977</v>
      </c>
      <c r="M493">
        <v>36035407725</v>
      </c>
      <c r="N493">
        <v>14400806875</v>
      </c>
      <c r="O493" t="b">
        <v>1</v>
      </c>
      <c r="P493">
        <v>1</v>
      </c>
      <c r="Q493" t="str" cm="1">
        <f t="array" ref="Q493">_xlfn.IFS(Table1[[#This Row],[Wealthier_Winner]]=-1,"Wealthier Nation Loses",Table1[[#This Row],[Wealthier_Winner]]=0,"Tie",Table1[[#This Row],[Wealthier_Winner]]=1,"Wealthier Nation Wins")</f>
        <v>Wealthier Nation Wins</v>
      </c>
    </row>
    <row r="494" spans="1:17" x14ac:dyDescent="0.2">
      <c r="A494" s="1">
        <v>1221</v>
      </c>
      <c r="B494" s="2">
        <v>28407</v>
      </c>
      <c r="C494" s="7">
        <f>_xlfn.FLOOR.MATH(Table1[[#This Row],[year]],10)</f>
        <v>1970</v>
      </c>
      <c r="D494" t="s">
        <v>36</v>
      </c>
      <c r="E494" t="s">
        <v>38</v>
      </c>
      <c r="F494">
        <v>2</v>
      </c>
      <c r="G494">
        <v>4</v>
      </c>
      <c r="H494" t="s">
        <v>224</v>
      </c>
      <c r="I494" t="s">
        <v>264</v>
      </c>
      <c r="J494" t="s">
        <v>36</v>
      </c>
      <c r="K494" t="b">
        <v>0</v>
      </c>
      <c r="L494">
        <v>1977</v>
      </c>
      <c r="M494">
        <v>49711709588</v>
      </c>
      <c r="N494">
        <v>21439523310</v>
      </c>
      <c r="O494" t="b">
        <v>1</v>
      </c>
      <c r="P494">
        <v>-1</v>
      </c>
      <c r="Q494" t="str" cm="1">
        <f t="array" ref="Q494">_xlfn.IFS(Table1[[#This Row],[Wealthier_Winner]]=-1,"Wealthier Nation Loses",Table1[[#This Row],[Wealthier_Winner]]=0,"Tie",Table1[[#This Row],[Wealthier_Winner]]=1,"Wealthier Nation Wins")</f>
        <v>Wealthier Nation Loses</v>
      </c>
    </row>
    <row r="495" spans="1:17" x14ac:dyDescent="0.2">
      <c r="A495" s="1">
        <v>1222</v>
      </c>
      <c r="B495" s="2">
        <v>28407</v>
      </c>
      <c r="C495" s="7">
        <f>_xlfn.FLOOR.MATH(Table1[[#This Row],[year]],10)</f>
        <v>1970</v>
      </c>
      <c r="D495" t="s">
        <v>195</v>
      </c>
      <c r="E495" t="s">
        <v>71</v>
      </c>
      <c r="F495">
        <v>1</v>
      </c>
      <c r="G495">
        <v>0</v>
      </c>
      <c r="H495" t="s">
        <v>224</v>
      </c>
      <c r="I495" t="s">
        <v>136</v>
      </c>
      <c r="J495" t="s">
        <v>195</v>
      </c>
      <c r="K495" t="b">
        <v>0</v>
      </c>
      <c r="L495">
        <v>1977</v>
      </c>
      <c r="M495">
        <v>39064462809</v>
      </c>
      <c r="N495">
        <v>14137406740</v>
      </c>
      <c r="O495" t="b">
        <v>1</v>
      </c>
      <c r="P495">
        <v>1</v>
      </c>
      <c r="Q495" t="str" cm="1">
        <f t="array" ref="Q495">_xlfn.IFS(Table1[[#This Row],[Wealthier_Winner]]=-1,"Wealthier Nation Loses",Table1[[#This Row],[Wealthier_Winner]]=0,"Tie",Table1[[#This Row],[Wealthier_Winner]]=1,"Wealthier Nation Wins")</f>
        <v>Wealthier Nation Wins</v>
      </c>
    </row>
    <row r="496" spans="1:17" x14ac:dyDescent="0.2">
      <c r="A496" s="1">
        <v>1225</v>
      </c>
      <c r="B496" s="2">
        <v>28410</v>
      </c>
      <c r="C496" s="7">
        <f>_xlfn.FLOOR.MATH(Table1[[#This Row],[year]],10)</f>
        <v>1970</v>
      </c>
      <c r="D496" t="s">
        <v>232</v>
      </c>
      <c r="E496" t="s">
        <v>194</v>
      </c>
      <c r="F496">
        <v>0</v>
      </c>
      <c r="G496">
        <v>2</v>
      </c>
      <c r="H496" t="s">
        <v>224</v>
      </c>
      <c r="I496" t="s">
        <v>232</v>
      </c>
      <c r="J496" t="s">
        <v>232</v>
      </c>
      <c r="K496" t="b">
        <v>0</v>
      </c>
      <c r="L496">
        <v>1977</v>
      </c>
      <c r="M496">
        <v>3789321328</v>
      </c>
      <c r="N496">
        <v>263066457352</v>
      </c>
      <c r="O496" t="b">
        <v>1</v>
      </c>
      <c r="P496">
        <v>1</v>
      </c>
      <c r="Q496" t="str" cm="1">
        <f t="array" ref="Q496">_xlfn.IFS(Table1[[#This Row],[Wealthier_Winner]]=-1,"Wealthier Nation Loses",Table1[[#This Row],[Wealthier_Winner]]=0,"Tie",Table1[[#This Row],[Wealthier_Winner]]=1,"Wealthier Nation Wins")</f>
        <v>Wealthier Nation Wins</v>
      </c>
    </row>
    <row r="497" spans="1:17" x14ac:dyDescent="0.2">
      <c r="A497" s="1">
        <v>1228</v>
      </c>
      <c r="B497" s="2">
        <v>28413</v>
      </c>
      <c r="C497" s="7">
        <f>_xlfn.FLOOR.MATH(Table1[[#This Row],[year]],10)</f>
        <v>1970</v>
      </c>
      <c r="D497" t="s">
        <v>18</v>
      </c>
      <c r="E497" t="s">
        <v>230</v>
      </c>
      <c r="F497">
        <v>6</v>
      </c>
      <c r="G497">
        <v>1</v>
      </c>
      <c r="H497" t="s">
        <v>224</v>
      </c>
      <c r="I497" t="s">
        <v>111</v>
      </c>
      <c r="J497" t="s">
        <v>18</v>
      </c>
      <c r="K497" t="b">
        <v>0</v>
      </c>
      <c r="L497">
        <v>1977</v>
      </c>
      <c r="M497">
        <v>258190019749</v>
      </c>
      <c r="N497">
        <v>33502784417</v>
      </c>
      <c r="O497" t="b">
        <v>1</v>
      </c>
      <c r="P497">
        <v>1</v>
      </c>
      <c r="Q497" t="str" cm="1">
        <f t="array" ref="Q497">_xlfn.IFS(Table1[[#This Row],[Wealthier_Winner]]=-1,"Wealthier Nation Loses",Table1[[#This Row],[Wealthier_Winner]]=0,"Tie",Table1[[#This Row],[Wealthier_Winner]]=1,"Wealthier Nation Wins")</f>
        <v>Wealthier Nation Wins</v>
      </c>
    </row>
    <row r="498" spans="1:17" x14ac:dyDescent="0.2">
      <c r="A498" s="1">
        <v>1229</v>
      </c>
      <c r="B498" s="2">
        <v>28414</v>
      </c>
      <c r="C498" s="7">
        <f>_xlfn.FLOOR.MATH(Table1[[#This Row],[year]],10)</f>
        <v>1970</v>
      </c>
      <c r="D498" t="s">
        <v>28</v>
      </c>
      <c r="E498" t="s">
        <v>71</v>
      </c>
      <c r="F498">
        <v>1</v>
      </c>
      <c r="G498">
        <v>2</v>
      </c>
      <c r="H498" t="s">
        <v>224</v>
      </c>
      <c r="I498" t="s">
        <v>301</v>
      </c>
      <c r="J498" t="s">
        <v>28</v>
      </c>
      <c r="K498" t="b">
        <v>0</v>
      </c>
      <c r="L498">
        <v>1977</v>
      </c>
      <c r="M498">
        <v>110504702913</v>
      </c>
      <c r="N498">
        <v>14137406740</v>
      </c>
      <c r="O498" t="b">
        <v>1</v>
      </c>
      <c r="P498">
        <v>-1</v>
      </c>
      <c r="Q498" t="str" cm="1">
        <f t="array" ref="Q498">_xlfn.IFS(Table1[[#This Row],[Wealthier_Winner]]=-1,"Wealthier Nation Loses",Table1[[#This Row],[Wealthier_Winner]]=0,"Tie",Table1[[#This Row],[Wealthier_Winner]]=1,"Wealthier Nation Wins")</f>
        <v>Wealthier Nation Loses</v>
      </c>
    </row>
    <row r="499" spans="1:17" x14ac:dyDescent="0.2">
      <c r="A499" s="1">
        <v>1230</v>
      </c>
      <c r="B499" s="2">
        <v>28419</v>
      </c>
      <c r="C499" s="7">
        <f>_xlfn.FLOOR.MATH(Table1[[#This Row],[year]],10)</f>
        <v>1970</v>
      </c>
      <c r="D499" t="s">
        <v>212</v>
      </c>
      <c r="E499" t="s">
        <v>43</v>
      </c>
      <c r="F499">
        <v>3</v>
      </c>
      <c r="G499">
        <v>1</v>
      </c>
      <c r="H499" t="s">
        <v>224</v>
      </c>
      <c r="I499" t="s">
        <v>322</v>
      </c>
      <c r="J499" t="s">
        <v>212</v>
      </c>
      <c r="K499" t="b">
        <v>0</v>
      </c>
      <c r="L499">
        <v>1977</v>
      </c>
      <c r="M499">
        <v>14400806875</v>
      </c>
      <c r="N499">
        <v>36035407725</v>
      </c>
      <c r="O499" t="b">
        <v>1</v>
      </c>
      <c r="P499">
        <v>-1</v>
      </c>
      <c r="Q499" t="str" cm="1">
        <f t="array" ref="Q499">_xlfn.IFS(Table1[[#This Row],[Wealthier_Winner]]=-1,"Wealthier Nation Loses",Table1[[#This Row],[Wealthier_Winner]]=0,"Tie",Table1[[#This Row],[Wealthier_Winner]]=1,"Wealthier Nation Wins")</f>
        <v>Wealthier Nation Loses</v>
      </c>
    </row>
    <row r="500" spans="1:17" x14ac:dyDescent="0.2">
      <c r="A500" s="1">
        <v>1231</v>
      </c>
      <c r="B500" s="2">
        <v>28421</v>
      </c>
      <c r="C500" s="7">
        <f>_xlfn.FLOOR.MATH(Table1[[#This Row],[year]],10)</f>
        <v>1970</v>
      </c>
      <c r="D500" t="s">
        <v>195</v>
      </c>
      <c r="E500" t="s">
        <v>28</v>
      </c>
      <c r="F500">
        <v>0</v>
      </c>
      <c r="G500">
        <v>0</v>
      </c>
      <c r="H500" t="s">
        <v>224</v>
      </c>
      <c r="I500" t="s">
        <v>136</v>
      </c>
      <c r="J500" t="s">
        <v>195</v>
      </c>
      <c r="K500" t="b">
        <v>0</v>
      </c>
      <c r="L500">
        <v>1977</v>
      </c>
      <c r="M500">
        <v>39064462809</v>
      </c>
      <c r="N500">
        <v>110504702913</v>
      </c>
      <c r="O500" t="b">
        <v>1</v>
      </c>
      <c r="P500">
        <v>0</v>
      </c>
      <c r="Q500" t="str" cm="1">
        <f t="array" ref="Q500">_xlfn.IFS(Table1[[#This Row],[Wealthier_Winner]]=-1,"Wealthier Nation Loses",Table1[[#This Row],[Wealthier_Winner]]=0,"Tie",Table1[[#This Row],[Wealthier_Winner]]=1,"Wealthier Nation Wins")</f>
        <v>Tie</v>
      </c>
    </row>
    <row r="501" spans="1:17" x14ac:dyDescent="0.2">
      <c r="A501" s="1">
        <v>1232</v>
      </c>
      <c r="B501" s="2">
        <v>28424</v>
      </c>
      <c r="C501" s="7">
        <f>_xlfn.FLOOR.MATH(Table1[[#This Row],[year]],10)</f>
        <v>1970</v>
      </c>
      <c r="D501" t="s">
        <v>27</v>
      </c>
      <c r="E501" t="s">
        <v>23</v>
      </c>
      <c r="F501">
        <v>1</v>
      </c>
      <c r="G501">
        <v>0</v>
      </c>
      <c r="H501" t="s">
        <v>224</v>
      </c>
      <c r="I501" t="s">
        <v>263</v>
      </c>
      <c r="J501" t="s">
        <v>27</v>
      </c>
      <c r="K501" t="b">
        <v>0</v>
      </c>
      <c r="L501">
        <v>1977</v>
      </c>
      <c r="M501">
        <v>127203923857</v>
      </c>
      <c r="N501">
        <v>82839905458</v>
      </c>
      <c r="O501" t="b">
        <v>0</v>
      </c>
      <c r="P501">
        <v>1</v>
      </c>
      <c r="Q501" t="str" cm="1">
        <f t="array" ref="Q501">_xlfn.IFS(Table1[[#This Row],[Wealthier_Winner]]=-1,"Wealthier Nation Loses",Table1[[#This Row],[Wealthier_Winner]]=0,"Tie",Table1[[#This Row],[Wealthier_Winner]]=1,"Wealthier Nation Wins")</f>
        <v>Wealthier Nation Wins</v>
      </c>
    </row>
    <row r="502" spans="1:17" x14ac:dyDescent="0.2">
      <c r="A502" s="1">
        <v>1234</v>
      </c>
      <c r="B502" s="2">
        <v>28426</v>
      </c>
      <c r="C502" s="7">
        <f>_xlfn.FLOOR.MATH(Table1[[#This Row],[year]],10)</f>
        <v>1970</v>
      </c>
      <c r="D502" t="s">
        <v>210</v>
      </c>
      <c r="E502" t="s">
        <v>71</v>
      </c>
      <c r="F502">
        <v>1</v>
      </c>
      <c r="G502">
        <v>0</v>
      </c>
      <c r="H502" t="s">
        <v>224</v>
      </c>
      <c r="I502" t="s">
        <v>332</v>
      </c>
      <c r="J502" t="s">
        <v>210</v>
      </c>
      <c r="K502" t="b">
        <v>0</v>
      </c>
      <c r="L502">
        <v>1977</v>
      </c>
      <c r="M502">
        <v>80600122701</v>
      </c>
      <c r="N502">
        <v>14137406740</v>
      </c>
      <c r="O502" t="b">
        <v>1</v>
      </c>
      <c r="P502">
        <v>1</v>
      </c>
      <c r="Q502" t="str" cm="1">
        <f t="array" ref="Q502">_xlfn.IFS(Table1[[#This Row],[Wealthier_Winner]]=-1,"Wealthier Nation Loses",Table1[[#This Row],[Wealthier_Winner]]=0,"Tie",Table1[[#This Row],[Wealthier_Winner]]=1,"Wealthier Nation Wins")</f>
        <v>Wealthier Nation Wins</v>
      </c>
    </row>
    <row r="503" spans="1:17" x14ac:dyDescent="0.2">
      <c r="A503" s="1">
        <v>1236</v>
      </c>
      <c r="B503" s="2">
        <v>28427</v>
      </c>
      <c r="C503" s="7">
        <f>_xlfn.FLOOR.MATH(Table1[[#This Row],[year]],10)</f>
        <v>1970</v>
      </c>
      <c r="D503" t="s">
        <v>30</v>
      </c>
      <c r="E503" t="s">
        <v>47</v>
      </c>
      <c r="F503">
        <v>6</v>
      </c>
      <c r="G503">
        <v>0</v>
      </c>
      <c r="H503" t="s">
        <v>224</v>
      </c>
      <c r="I503" t="s">
        <v>297</v>
      </c>
      <c r="J503" t="s">
        <v>30</v>
      </c>
      <c r="K503" t="b">
        <v>0</v>
      </c>
      <c r="L503">
        <v>1977</v>
      </c>
      <c r="M503">
        <v>14783674054</v>
      </c>
      <c r="N503">
        <v>3227436281</v>
      </c>
      <c r="O503" t="b">
        <v>1</v>
      </c>
      <c r="P503">
        <v>1</v>
      </c>
      <c r="Q503" t="str" cm="1">
        <f t="array" ref="Q503">_xlfn.IFS(Table1[[#This Row],[Wealthier_Winner]]=-1,"Wealthier Nation Loses",Table1[[#This Row],[Wealthier_Winner]]=0,"Tie",Table1[[#This Row],[Wealthier_Winner]]=1,"Wealthier Nation Wins")</f>
        <v>Wealthier Nation Wins</v>
      </c>
    </row>
    <row r="504" spans="1:17" x14ac:dyDescent="0.2">
      <c r="A504" s="1">
        <v>1239</v>
      </c>
      <c r="B504" s="2">
        <v>28428</v>
      </c>
      <c r="C504" s="7">
        <f>_xlfn.FLOOR.MATH(Table1[[#This Row],[year]],10)</f>
        <v>1970</v>
      </c>
      <c r="D504" t="s">
        <v>46</v>
      </c>
      <c r="E504" t="s">
        <v>42</v>
      </c>
      <c r="F504">
        <v>1</v>
      </c>
      <c r="G504">
        <v>0</v>
      </c>
      <c r="H504" t="s">
        <v>224</v>
      </c>
      <c r="I504" t="s">
        <v>249</v>
      </c>
      <c r="J504" t="s">
        <v>46</v>
      </c>
      <c r="K504" t="b">
        <v>0</v>
      </c>
      <c r="L504">
        <v>1977</v>
      </c>
      <c r="M504">
        <v>73135771167</v>
      </c>
      <c r="N504">
        <v>41508030431</v>
      </c>
      <c r="O504" t="b">
        <v>0</v>
      </c>
      <c r="P504">
        <v>1</v>
      </c>
      <c r="Q504" t="str" cm="1">
        <f t="array" ref="Q504">_xlfn.IFS(Table1[[#This Row],[Wealthier_Winner]]=-1,"Wealthier Nation Loses",Table1[[#This Row],[Wealthier_Winner]]=0,"Tie",Table1[[#This Row],[Wealthier_Winner]]=1,"Wealthier Nation Wins")</f>
        <v>Wealthier Nation Wins</v>
      </c>
    </row>
    <row r="505" spans="1:17" x14ac:dyDescent="0.2">
      <c r="A505" s="1">
        <v>1241</v>
      </c>
      <c r="B505" s="2">
        <v>28434</v>
      </c>
      <c r="C505" s="7">
        <f>_xlfn.FLOOR.MATH(Table1[[#This Row],[year]],10)</f>
        <v>1970</v>
      </c>
      <c r="D505" t="s">
        <v>71</v>
      </c>
      <c r="E505" t="s">
        <v>195</v>
      </c>
      <c r="F505">
        <v>2</v>
      </c>
      <c r="G505">
        <v>2</v>
      </c>
      <c r="H505" t="s">
        <v>224</v>
      </c>
      <c r="I505" t="s">
        <v>366</v>
      </c>
      <c r="J505" t="s">
        <v>71</v>
      </c>
      <c r="K505" t="b">
        <v>0</v>
      </c>
      <c r="L505">
        <v>1977</v>
      </c>
      <c r="M505">
        <v>14137406740</v>
      </c>
      <c r="N505">
        <v>39064462809</v>
      </c>
      <c r="O505" t="b">
        <v>1</v>
      </c>
      <c r="P505">
        <v>0</v>
      </c>
      <c r="Q505" t="str" cm="1">
        <f t="array" ref="Q505">_xlfn.IFS(Table1[[#This Row],[Wealthier_Winner]]=-1,"Wealthier Nation Loses",Table1[[#This Row],[Wealthier_Winner]]=0,"Tie",Table1[[#This Row],[Wealthier_Winner]]=1,"Wealthier Nation Wins")</f>
        <v>Tie</v>
      </c>
    </row>
    <row r="506" spans="1:17" x14ac:dyDescent="0.2">
      <c r="A506" s="1">
        <v>1242</v>
      </c>
      <c r="B506" s="2">
        <v>28440</v>
      </c>
      <c r="C506" s="7">
        <f>_xlfn.FLOOR.MATH(Table1[[#This Row],[year]],10)</f>
        <v>1970</v>
      </c>
      <c r="D506" t="s">
        <v>210</v>
      </c>
      <c r="E506" t="s">
        <v>195</v>
      </c>
      <c r="F506">
        <v>2</v>
      </c>
      <c r="G506">
        <v>2</v>
      </c>
      <c r="H506" t="s">
        <v>224</v>
      </c>
      <c r="I506" t="s">
        <v>332</v>
      </c>
      <c r="J506" t="s">
        <v>210</v>
      </c>
      <c r="K506" t="b">
        <v>0</v>
      </c>
      <c r="L506">
        <v>1977</v>
      </c>
      <c r="M506">
        <v>80600122701</v>
      </c>
      <c r="N506">
        <v>39064462809</v>
      </c>
      <c r="O506" t="b">
        <v>1</v>
      </c>
      <c r="P506">
        <v>0</v>
      </c>
      <c r="Q506" t="str" cm="1">
        <f t="array" ref="Q506">_xlfn.IFS(Table1[[#This Row],[Wealthier_Winner]]=-1,"Wealthier Nation Loses",Table1[[#This Row],[Wealthier_Winner]]=0,"Tie",Table1[[#This Row],[Wealthier_Winner]]=1,"Wealthier Nation Wins")</f>
        <v>Tie</v>
      </c>
    </row>
    <row r="507" spans="1:17" x14ac:dyDescent="0.2">
      <c r="A507" s="1">
        <v>1244</v>
      </c>
      <c r="B507" s="2">
        <v>28441</v>
      </c>
      <c r="C507" s="7">
        <f>_xlfn.FLOOR.MATH(Table1[[#This Row],[year]],10)</f>
        <v>1970</v>
      </c>
      <c r="D507" t="s">
        <v>43</v>
      </c>
      <c r="E507" t="s">
        <v>53</v>
      </c>
      <c r="F507">
        <v>0</v>
      </c>
      <c r="G507">
        <v>1</v>
      </c>
      <c r="H507" t="s">
        <v>224</v>
      </c>
      <c r="I507" t="s">
        <v>229</v>
      </c>
      <c r="J507" t="s">
        <v>43</v>
      </c>
      <c r="K507" t="b">
        <v>0</v>
      </c>
      <c r="L507">
        <v>1977</v>
      </c>
      <c r="M507">
        <v>36035407725</v>
      </c>
      <c r="N507">
        <v>5109324009</v>
      </c>
      <c r="O507" t="b">
        <v>1</v>
      </c>
      <c r="P507">
        <v>-1</v>
      </c>
      <c r="Q507" t="str" cm="1">
        <f t="array" ref="Q507">_xlfn.IFS(Table1[[#This Row],[Wealthier_Winner]]=-1,"Wealthier Nation Loses",Table1[[#This Row],[Wealthier_Winner]]=0,"Tie",Table1[[#This Row],[Wealthier_Winner]]=1,"Wealthier Nation Wins")</f>
        <v>Wealthier Nation Loses</v>
      </c>
    </row>
    <row r="508" spans="1:17" x14ac:dyDescent="0.2">
      <c r="A508" s="1">
        <v>1247</v>
      </c>
      <c r="B508" s="2">
        <v>28445</v>
      </c>
      <c r="C508" s="7">
        <f>_xlfn.FLOOR.MATH(Table1[[#This Row],[year]],10)</f>
        <v>1970</v>
      </c>
      <c r="D508" t="s">
        <v>194</v>
      </c>
      <c r="E508" t="s">
        <v>18</v>
      </c>
      <c r="F508">
        <v>2</v>
      </c>
      <c r="G508">
        <v>0</v>
      </c>
      <c r="H508" t="s">
        <v>224</v>
      </c>
      <c r="I508" t="s">
        <v>80</v>
      </c>
      <c r="J508" t="s">
        <v>194</v>
      </c>
      <c r="K508" t="b">
        <v>0</v>
      </c>
      <c r="L508">
        <v>1977</v>
      </c>
      <c r="M508">
        <v>263066457352</v>
      </c>
      <c r="N508">
        <v>258190019749</v>
      </c>
      <c r="O508" t="b">
        <v>0</v>
      </c>
      <c r="P508">
        <v>1</v>
      </c>
      <c r="Q508" t="str" cm="1">
        <f t="array" ref="Q508">_xlfn.IFS(Table1[[#This Row],[Wealthier_Winner]]=-1,"Wealthier Nation Loses",Table1[[#This Row],[Wealthier_Winner]]=0,"Tie",Table1[[#This Row],[Wealthier_Winner]]=1,"Wealthier Nation Wins")</f>
        <v>Wealthier Nation Wins</v>
      </c>
    </row>
    <row r="509" spans="1:17" x14ac:dyDescent="0.2">
      <c r="A509" s="1">
        <v>1250</v>
      </c>
      <c r="B509" s="2">
        <v>28445</v>
      </c>
      <c r="C509" s="7">
        <f>_xlfn.FLOOR.MATH(Table1[[#This Row],[year]],10)</f>
        <v>1970</v>
      </c>
      <c r="D509" t="s">
        <v>38</v>
      </c>
      <c r="E509" t="s">
        <v>351</v>
      </c>
      <c r="F509">
        <v>4</v>
      </c>
      <c r="G509">
        <v>0</v>
      </c>
      <c r="H509" t="s">
        <v>224</v>
      </c>
      <c r="I509" t="s">
        <v>367</v>
      </c>
      <c r="J509" t="s">
        <v>38</v>
      </c>
      <c r="K509" t="b">
        <v>0</v>
      </c>
      <c r="L509">
        <v>1977</v>
      </c>
      <c r="M509">
        <v>21439523310</v>
      </c>
      <c r="N509">
        <v>734876021</v>
      </c>
      <c r="O509" t="b">
        <v>1</v>
      </c>
      <c r="P509">
        <v>1</v>
      </c>
      <c r="Q509" t="str" cm="1">
        <f t="array" ref="Q509">_xlfn.IFS(Table1[[#This Row],[Wealthier_Winner]]=-1,"Wealthier Nation Loses",Table1[[#This Row],[Wealthier_Winner]]=0,"Tie",Table1[[#This Row],[Wealthier_Winner]]=1,"Wealthier Nation Wins")</f>
        <v>Wealthier Nation Wins</v>
      </c>
    </row>
    <row r="510" spans="1:17" x14ac:dyDescent="0.2">
      <c r="A510" s="1">
        <v>1253</v>
      </c>
      <c r="B510" s="2">
        <v>28448</v>
      </c>
      <c r="C510" s="7">
        <f>_xlfn.FLOOR.MATH(Table1[[#This Row],[year]],10)</f>
        <v>1970</v>
      </c>
      <c r="D510" t="s">
        <v>71</v>
      </c>
      <c r="E510" t="s">
        <v>28</v>
      </c>
      <c r="F510">
        <v>1</v>
      </c>
      <c r="G510">
        <v>0</v>
      </c>
      <c r="H510" t="s">
        <v>224</v>
      </c>
      <c r="I510" t="s">
        <v>366</v>
      </c>
      <c r="J510" t="s">
        <v>71</v>
      </c>
      <c r="K510" t="b">
        <v>0</v>
      </c>
      <c r="L510">
        <v>1977</v>
      </c>
      <c r="M510">
        <v>14137406740</v>
      </c>
      <c r="N510">
        <v>110504702913</v>
      </c>
      <c r="O510" t="b">
        <v>1</v>
      </c>
      <c r="P510">
        <v>-1</v>
      </c>
      <c r="Q510" t="str" cm="1">
        <f t="array" ref="Q510">_xlfn.IFS(Table1[[#This Row],[Wealthier_Winner]]=-1,"Wealthier Nation Loses",Table1[[#This Row],[Wealthier_Winner]]=0,"Tie",Table1[[#This Row],[Wealthier_Winner]]=1,"Wealthier Nation Wins")</f>
        <v>Wealthier Nation Loses</v>
      </c>
    </row>
    <row r="511" spans="1:17" x14ac:dyDescent="0.2">
      <c r="A511" s="1">
        <v>1254</v>
      </c>
      <c r="B511" s="2">
        <v>28454</v>
      </c>
      <c r="C511" s="7">
        <f>_xlfn.FLOOR.MATH(Table1[[#This Row],[year]],10)</f>
        <v>1970</v>
      </c>
      <c r="D511" t="s">
        <v>212</v>
      </c>
      <c r="E511" t="s">
        <v>53</v>
      </c>
      <c r="F511">
        <v>3</v>
      </c>
      <c r="G511">
        <v>2</v>
      </c>
      <c r="H511" t="s">
        <v>224</v>
      </c>
      <c r="I511" t="s">
        <v>322</v>
      </c>
      <c r="J511" t="s">
        <v>212</v>
      </c>
      <c r="K511" t="b">
        <v>0</v>
      </c>
      <c r="L511">
        <v>1977</v>
      </c>
      <c r="M511">
        <v>14400806875</v>
      </c>
      <c r="N511">
        <v>5109324009</v>
      </c>
      <c r="O511" t="b">
        <v>1</v>
      </c>
      <c r="P511">
        <v>1</v>
      </c>
      <c r="Q511" t="str" cm="1">
        <f t="array" ref="Q511">_xlfn.IFS(Table1[[#This Row],[Wealthier_Winner]]=-1,"Wealthier Nation Loses",Table1[[#This Row],[Wealthier_Winner]]=0,"Tie",Table1[[#This Row],[Wealthier_Winner]]=1,"Wealthier Nation Wins")</f>
        <v>Wealthier Nation Wins</v>
      </c>
    </row>
    <row r="512" spans="1:17" x14ac:dyDescent="0.2">
      <c r="A512" s="1">
        <v>1255</v>
      </c>
      <c r="B512" s="2">
        <v>28454</v>
      </c>
      <c r="C512" s="7">
        <f>_xlfn.FLOOR.MATH(Table1[[#This Row],[year]],10)</f>
        <v>1970</v>
      </c>
      <c r="D512" t="s">
        <v>210</v>
      </c>
      <c r="E512" t="s">
        <v>28</v>
      </c>
      <c r="F512">
        <v>1</v>
      </c>
      <c r="G512">
        <v>0</v>
      </c>
      <c r="H512" t="s">
        <v>224</v>
      </c>
      <c r="I512" t="s">
        <v>332</v>
      </c>
      <c r="J512" t="s">
        <v>210</v>
      </c>
      <c r="K512" t="b">
        <v>0</v>
      </c>
      <c r="L512">
        <v>1977</v>
      </c>
      <c r="M512">
        <v>80600122701</v>
      </c>
      <c r="N512">
        <v>110504702913</v>
      </c>
      <c r="O512" t="b">
        <v>0</v>
      </c>
      <c r="P512">
        <v>-1</v>
      </c>
      <c r="Q512" t="str" cm="1">
        <f t="array" ref="Q512">_xlfn.IFS(Table1[[#This Row],[Wealthier_Winner]]=-1,"Wealthier Nation Loses",Table1[[#This Row],[Wealthier_Winner]]=0,"Tie",Table1[[#This Row],[Wealthier_Winner]]=1,"Wealthier Nation Wins")</f>
        <v>Wealthier Nation Loses</v>
      </c>
    </row>
    <row r="513" spans="1:17" x14ac:dyDescent="0.2">
      <c r="A513" s="1">
        <v>1257</v>
      </c>
      <c r="B513" s="2">
        <v>28459</v>
      </c>
      <c r="C513" s="7">
        <f>_xlfn.FLOOR.MATH(Table1[[#This Row],[year]],10)</f>
        <v>1970</v>
      </c>
      <c r="D513" t="s">
        <v>47</v>
      </c>
      <c r="E513" t="s">
        <v>30</v>
      </c>
      <c r="F513">
        <v>2</v>
      </c>
      <c r="G513">
        <v>3</v>
      </c>
      <c r="H513" t="s">
        <v>224</v>
      </c>
      <c r="I513" t="s">
        <v>246</v>
      </c>
      <c r="J513" t="s">
        <v>47</v>
      </c>
      <c r="K513" t="b">
        <v>0</v>
      </c>
      <c r="L513">
        <v>1977</v>
      </c>
      <c r="M513">
        <v>3227436281</v>
      </c>
      <c r="N513">
        <v>14783674054</v>
      </c>
      <c r="O513" t="b">
        <v>1</v>
      </c>
      <c r="P513">
        <v>1</v>
      </c>
      <c r="Q513" t="str" cm="1">
        <f t="array" ref="Q513">_xlfn.IFS(Table1[[#This Row],[Wealthier_Winner]]=-1,"Wealthier Nation Loses",Table1[[#This Row],[Wealthier_Winner]]=0,"Tie",Table1[[#This Row],[Wealthier_Winner]]=1,"Wealthier Nation Wins")</f>
        <v>Wealthier Nation Wins</v>
      </c>
    </row>
    <row r="514" spans="1:17" x14ac:dyDescent="0.2">
      <c r="A514" s="1">
        <v>1259</v>
      </c>
      <c r="B514" s="2">
        <v>28462</v>
      </c>
      <c r="C514" s="7">
        <f>_xlfn.FLOOR.MATH(Table1[[#This Row],[year]],10)</f>
        <v>1970</v>
      </c>
      <c r="D514" t="s">
        <v>18</v>
      </c>
      <c r="E514" t="s">
        <v>232</v>
      </c>
      <c r="F514">
        <v>3</v>
      </c>
      <c r="G514">
        <v>0</v>
      </c>
      <c r="H514" t="s">
        <v>224</v>
      </c>
      <c r="I514" t="s">
        <v>109</v>
      </c>
      <c r="J514" t="s">
        <v>18</v>
      </c>
      <c r="K514" t="b">
        <v>0</v>
      </c>
      <c r="L514">
        <v>1977</v>
      </c>
      <c r="M514">
        <v>258190019749</v>
      </c>
      <c r="N514">
        <v>3789321328</v>
      </c>
      <c r="O514" t="b">
        <v>1</v>
      </c>
      <c r="P514">
        <v>1</v>
      </c>
      <c r="Q514" t="str" cm="1">
        <f t="array" ref="Q514">_xlfn.IFS(Table1[[#This Row],[Wealthier_Winner]]=-1,"Wealthier Nation Loses",Table1[[#This Row],[Wealthier_Winner]]=0,"Tie",Table1[[#This Row],[Wealthier_Winner]]=1,"Wealthier Nation Wins")</f>
        <v>Wealthier Nation Wins</v>
      </c>
    </row>
    <row r="515" spans="1:17" x14ac:dyDescent="0.2">
      <c r="A515" s="1">
        <v>1260</v>
      </c>
      <c r="B515" s="2">
        <v>28462</v>
      </c>
      <c r="C515" s="7">
        <f>_xlfn.FLOOR.MATH(Table1[[#This Row],[year]],10)</f>
        <v>1970</v>
      </c>
      <c r="D515" t="s">
        <v>71</v>
      </c>
      <c r="E515" t="s">
        <v>210</v>
      </c>
      <c r="F515">
        <v>1</v>
      </c>
      <c r="G515">
        <v>2</v>
      </c>
      <c r="H515" t="s">
        <v>224</v>
      </c>
      <c r="I515" t="s">
        <v>366</v>
      </c>
      <c r="J515" t="s">
        <v>71</v>
      </c>
      <c r="K515" t="b">
        <v>0</v>
      </c>
      <c r="L515">
        <v>1977</v>
      </c>
      <c r="M515">
        <v>14137406740</v>
      </c>
      <c r="N515">
        <v>80600122701</v>
      </c>
      <c r="O515" t="b">
        <v>1</v>
      </c>
      <c r="P515">
        <v>1</v>
      </c>
      <c r="Q515" t="str" cm="1">
        <f t="array" ref="Q515">_xlfn.IFS(Table1[[#This Row],[Wealthier_Winner]]=-1,"Wealthier Nation Loses",Table1[[#This Row],[Wealthier_Winner]]=0,"Tie",Table1[[#This Row],[Wealthier_Winner]]=1,"Wealthier Nation Wins")</f>
        <v>Wealthier Nation Wins</v>
      </c>
    </row>
    <row r="516" spans="1:17" x14ac:dyDescent="0.2">
      <c r="A516" s="1">
        <v>1262</v>
      </c>
      <c r="B516" s="2">
        <v>28470</v>
      </c>
      <c r="C516" s="7">
        <f>_xlfn.FLOOR.MATH(Table1[[#This Row],[year]],10)</f>
        <v>1970</v>
      </c>
      <c r="D516" t="s">
        <v>53</v>
      </c>
      <c r="E516" t="s">
        <v>212</v>
      </c>
      <c r="F516">
        <v>4</v>
      </c>
      <c r="G516">
        <v>1</v>
      </c>
      <c r="H516" t="s">
        <v>224</v>
      </c>
      <c r="I516" t="s">
        <v>284</v>
      </c>
      <c r="J516" t="s">
        <v>53</v>
      </c>
      <c r="K516" t="b">
        <v>0</v>
      </c>
      <c r="L516">
        <v>1977</v>
      </c>
      <c r="M516">
        <v>5109324009</v>
      </c>
      <c r="N516">
        <v>14400806875</v>
      </c>
      <c r="O516" t="b">
        <v>1</v>
      </c>
      <c r="P516">
        <v>-1</v>
      </c>
      <c r="Q516" t="str" cm="1">
        <f t="array" ref="Q516">_xlfn.IFS(Table1[[#This Row],[Wealthier_Winner]]=-1,"Wealthier Nation Loses",Table1[[#This Row],[Wealthier_Winner]]=0,"Tie",Table1[[#This Row],[Wealthier_Winner]]=1,"Wealthier Nation Wins")</f>
        <v>Wealthier Nation Loses</v>
      </c>
    </row>
    <row r="517" spans="1:17" x14ac:dyDescent="0.2">
      <c r="A517" s="1">
        <v>1264</v>
      </c>
      <c r="B517" s="2">
        <v>28643</v>
      </c>
      <c r="C517" s="7">
        <f>_xlfn.FLOOR.MATH(Table1[[#This Row],[year]],10)</f>
        <v>1970</v>
      </c>
      <c r="D517" t="s">
        <v>19</v>
      </c>
      <c r="E517" t="s">
        <v>30</v>
      </c>
      <c r="F517">
        <v>2</v>
      </c>
      <c r="G517">
        <v>1</v>
      </c>
      <c r="H517" t="s">
        <v>74</v>
      </c>
      <c r="I517" t="s">
        <v>93</v>
      </c>
      <c r="J517" t="s">
        <v>19</v>
      </c>
      <c r="K517" t="b">
        <v>0</v>
      </c>
      <c r="L517">
        <v>1978</v>
      </c>
      <c r="M517">
        <v>89049453088</v>
      </c>
      <c r="N517">
        <v>17286744153</v>
      </c>
      <c r="O517" t="b">
        <v>1</v>
      </c>
      <c r="P517">
        <v>1</v>
      </c>
      <c r="Q517" t="str" cm="1">
        <f t="array" ref="Q517">_xlfn.IFS(Table1[[#This Row],[Wealthier_Winner]]=-1,"Wealthier Nation Loses",Table1[[#This Row],[Wealthier_Winner]]=0,"Tie",Table1[[#This Row],[Wealthier_Winner]]=1,"Wealthier Nation Wins")</f>
        <v>Wealthier Nation Wins</v>
      </c>
    </row>
    <row r="518" spans="1:17" x14ac:dyDescent="0.2">
      <c r="A518" s="1">
        <v>1265</v>
      </c>
      <c r="B518" s="2">
        <v>28643</v>
      </c>
      <c r="C518" s="7">
        <f>_xlfn.FLOOR.MATH(Table1[[#This Row],[year]],10)</f>
        <v>1970</v>
      </c>
      <c r="D518" t="s">
        <v>20</v>
      </c>
      <c r="E518" t="s">
        <v>18</v>
      </c>
      <c r="F518">
        <v>1</v>
      </c>
      <c r="G518">
        <v>2</v>
      </c>
      <c r="H518" t="s">
        <v>74</v>
      </c>
      <c r="I518" t="s">
        <v>94</v>
      </c>
      <c r="J518" t="s">
        <v>19</v>
      </c>
      <c r="K518" t="b">
        <v>1</v>
      </c>
      <c r="L518">
        <v>1978</v>
      </c>
      <c r="M518">
        <v>501724418604</v>
      </c>
      <c r="N518">
        <v>315784469541</v>
      </c>
      <c r="O518" t="b">
        <v>0</v>
      </c>
      <c r="P518">
        <v>-1</v>
      </c>
      <c r="Q518" t="str" cm="1">
        <f t="array" ref="Q518">_xlfn.IFS(Table1[[#This Row],[Wealthier_Winner]]=-1,"Wealthier Nation Loses",Table1[[#This Row],[Wealthier_Winner]]=0,"Tie",Table1[[#This Row],[Wealthier_Winner]]=1,"Wealthier Nation Wins")</f>
        <v>Wealthier Nation Loses</v>
      </c>
    </row>
    <row r="519" spans="1:17" x14ac:dyDescent="0.2">
      <c r="A519" s="1">
        <v>1266</v>
      </c>
      <c r="B519" s="2">
        <v>28643</v>
      </c>
      <c r="C519" s="7">
        <f>_xlfn.FLOOR.MATH(Table1[[#This Row],[year]],10)</f>
        <v>1970</v>
      </c>
      <c r="D519" t="s">
        <v>17</v>
      </c>
      <c r="E519" t="s">
        <v>53</v>
      </c>
      <c r="F519">
        <v>1</v>
      </c>
      <c r="G519">
        <v>3</v>
      </c>
      <c r="H519" t="s">
        <v>74</v>
      </c>
      <c r="I519" t="s">
        <v>95</v>
      </c>
      <c r="J519" t="s">
        <v>19</v>
      </c>
      <c r="K519" t="b">
        <v>1</v>
      </c>
      <c r="L519">
        <v>1978</v>
      </c>
      <c r="M519">
        <v>102648570299</v>
      </c>
      <c r="N519">
        <v>5968460080</v>
      </c>
      <c r="O519" t="b">
        <v>1</v>
      </c>
      <c r="P519">
        <v>-1</v>
      </c>
      <c r="Q519" t="str" cm="1">
        <f t="array" ref="Q519">_xlfn.IFS(Table1[[#This Row],[Wealthier_Winner]]=-1,"Wealthier Nation Loses",Table1[[#This Row],[Wealthier_Winner]]=0,"Tie",Table1[[#This Row],[Wealthier_Winner]]=1,"Wealthier Nation Wins")</f>
        <v>Wealthier Nation Loses</v>
      </c>
    </row>
    <row r="520" spans="1:17" x14ac:dyDescent="0.2">
      <c r="A520" s="1">
        <v>1267</v>
      </c>
      <c r="B520" s="2">
        <v>28644</v>
      </c>
      <c r="C520" s="7">
        <f>_xlfn.FLOOR.MATH(Table1[[#This Row],[year]],10)</f>
        <v>1970</v>
      </c>
      <c r="D520" t="s">
        <v>29</v>
      </c>
      <c r="E520" t="s">
        <v>21</v>
      </c>
      <c r="F520">
        <v>2</v>
      </c>
      <c r="G520">
        <v>1</v>
      </c>
      <c r="H520" t="s">
        <v>74</v>
      </c>
      <c r="I520" t="s">
        <v>93</v>
      </c>
      <c r="J520" t="s">
        <v>19</v>
      </c>
      <c r="K520" t="b">
        <v>1</v>
      </c>
      <c r="L520">
        <v>1978</v>
      </c>
      <c r="M520">
        <v>61809208755</v>
      </c>
      <c r="N520">
        <v>160484969618</v>
      </c>
      <c r="O520" t="b">
        <v>1</v>
      </c>
      <c r="P520">
        <v>-1</v>
      </c>
      <c r="Q520" t="str" cm="1">
        <f t="array" ref="Q520">_xlfn.IFS(Table1[[#This Row],[Wealthier_Winner]]=-1,"Wealthier Nation Loses",Table1[[#This Row],[Wealthier_Winner]]=0,"Tie",Table1[[#This Row],[Wealthier_Winner]]=1,"Wealthier Nation Wins")</f>
        <v>Wealthier Nation Loses</v>
      </c>
    </row>
    <row r="521" spans="1:17" x14ac:dyDescent="0.2">
      <c r="A521" s="1">
        <v>1268</v>
      </c>
      <c r="B521" s="2">
        <v>28644</v>
      </c>
      <c r="C521" s="7">
        <f>_xlfn.FLOOR.MATH(Table1[[#This Row],[year]],10)</f>
        <v>1970</v>
      </c>
      <c r="D521" t="s">
        <v>13</v>
      </c>
      <c r="E521" t="s">
        <v>25</v>
      </c>
      <c r="F521">
        <v>1</v>
      </c>
      <c r="G521">
        <v>1</v>
      </c>
      <c r="H521" t="s">
        <v>74</v>
      </c>
      <c r="I521" t="s">
        <v>94</v>
      </c>
      <c r="J521" t="s">
        <v>19</v>
      </c>
      <c r="K521" t="b">
        <v>1</v>
      </c>
      <c r="L521">
        <v>1978</v>
      </c>
      <c r="M521">
        <v>200278646123</v>
      </c>
      <c r="N521">
        <v>104290933495</v>
      </c>
      <c r="O521" t="b">
        <v>0</v>
      </c>
      <c r="P521">
        <v>0</v>
      </c>
      <c r="Q521" t="str" cm="1">
        <f t="array" ref="Q521">_xlfn.IFS(Table1[[#This Row],[Wealthier_Winner]]=-1,"Wealthier Nation Loses",Table1[[#This Row],[Wealthier_Winner]]=0,"Tie",Table1[[#This Row],[Wealthier_Winner]]=1,"Wealthier Nation Wins")</f>
        <v>Tie</v>
      </c>
    </row>
    <row r="522" spans="1:17" x14ac:dyDescent="0.2">
      <c r="A522" s="1">
        <v>1269</v>
      </c>
      <c r="B522" s="2">
        <v>28644</v>
      </c>
      <c r="C522" s="7">
        <f>_xlfn.FLOOR.MATH(Table1[[#This Row],[year]],10)</f>
        <v>1970</v>
      </c>
      <c r="D522" t="s">
        <v>210</v>
      </c>
      <c r="E522" t="s">
        <v>27</v>
      </c>
      <c r="F522">
        <v>0</v>
      </c>
      <c r="G522">
        <v>3</v>
      </c>
      <c r="H522" t="s">
        <v>74</v>
      </c>
      <c r="I522" t="s">
        <v>96</v>
      </c>
      <c r="J522" t="s">
        <v>19</v>
      </c>
      <c r="K522" t="b">
        <v>1</v>
      </c>
      <c r="L522">
        <v>1978</v>
      </c>
      <c r="M522">
        <v>77994316621</v>
      </c>
      <c r="N522">
        <v>156089077205</v>
      </c>
      <c r="O522" t="b">
        <v>1</v>
      </c>
      <c r="P522">
        <v>1</v>
      </c>
      <c r="Q522" t="str" cm="1">
        <f t="array" ref="Q522">_xlfn.IFS(Table1[[#This Row],[Wealthier_Winner]]=-1,"Wealthier Nation Loses",Table1[[#This Row],[Wealthier_Winner]]=0,"Tie",Table1[[#This Row],[Wealthier_Winner]]=1,"Wealthier Nation Wins")</f>
        <v>Wealthier Nation Wins</v>
      </c>
    </row>
    <row r="523" spans="1:17" x14ac:dyDescent="0.2">
      <c r="A523" s="1">
        <v>1271</v>
      </c>
      <c r="B523" s="2">
        <v>28647</v>
      </c>
      <c r="C523" s="7">
        <f>_xlfn.FLOOR.MATH(Table1[[#This Row],[year]],10)</f>
        <v>1970</v>
      </c>
      <c r="D523" t="s">
        <v>19</v>
      </c>
      <c r="E523" t="s">
        <v>20</v>
      </c>
      <c r="F523">
        <v>2</v>
      </c>
      <c r="G523">
        <v>1</v>
      </c>
      <c r="H523" t="s">
        <v>74</v>
      </c>
      <c r="I523" t="s">
        <v>93</v>
      </c>
      <c r="J523" t="s">
        <v>19</v>
      </c>
      <c r="K523" t="b">
        <v>0</v>
      </c>
      <c r="L523">
        <v>1978</v>
      </c>
      <c r="M523">
        <v>89049453088</v>
      </c>
      <c r="N523">
        <v>501724418604</v>
      </c>
      <c r="O523" t="b">
        <v>1</v>
      </c>
      <c r="P523">
        <v>-1</v>
      </c>
      <c r="Q523" t="str" cm="1">
        <f t="array" ref="Q523">_xlfn.IFS(Table1[[#This Row],[Wealthier_Winner]]=-1,"Wealthier Nation Loses",Table1[[#This Row],[Wealthier_Winner]]=0,"Tie",Table1[[#This Row],[Wealthier_Winner]]=1,"Wealthier Nation Wins")</f>
        <v>Wealthier Nation Loses</v>
      </c>
    </row>
    <row r="524" spans="1:17" x14ac:dyDescent="0.2">
      <c r="A524" s="1">
        <v>1272</v>
      </c>
      <c r="B524" s="2">
        <v>28647</v>
      </c>
      <c r="C524" s="7">
        <f>_xlfn.FLOOR.MATH(Table1[[#This Row],[year]],10)</f>
        <v>1970</v>
      </c>
      <c r="D524" t="s">
        <v>16</v>
      </c>
      <c r="E524" t="s">
        <v>17</v>
      </c>
      <c r="F524">
        <v>6</v>
      </c>
      <c r="G524">
        <v>0</v>
      </c>
      <c r="H524" t="s">
        <v>74</v>
      </c>
      <c r="I524" t="s">
        <v>368</v>
      </c>
      <c r="J524" t="s">
        <v>19</v>
      </c>
      <c r="K524" t="b">
        <v>1</v>
      </c>
      <c r="L524">
        <v>1978</v>
      </c>
      <c r="M524">
        <v>743182891918</v>
      </c>
      <c r="N524">
        <v>102648570299</v>
      </c>
      <c r="O524" t="b">
        <v>1</v>
      </c>
      <c r="P524">
        <v>1</v>
      </c>
      <c r="Q524" t="str" cm="1">
        <f t="array" ref="Q524">_xlfn.IFS(Table1[[#This Row],[Wealthier_Winner]]=-1,"Wealthier Nation Loses",Table1[[#This Row],[Wealthier_Winner]]=0,"Tie",Table1[[#This Row],[Wealthier_Winner]]=1,"Wealthier Nation Wins")</f>
        <v>Wealthier Nation Wins</v>
      </c>
    </row>
    <row r="525" spans="1:17" x14ac:dyDescent="0.2">
      <c r="A525" s="1">
        <v>1273</v>
      </c>
      <c r="B525" s="2">
        <v>28647</v>
      </c>
      <c r="C525" s="7">
        <f>_xlfn.FLOOR.MATH(Table1[[#This Row],[year]],10)</f>
        <v>1970</v>
      </c>
      <c r="D525" t="s">
        <v>30</v>
      </c>
      <c r="E525" t="s">
        <v>18</v>
      </c>
      <c r="F525">
        <v>1</v>
      </c>
      <c r="G525">
        <v>3</v>
      </c>
      <c r="H525" t="s">
        <v>74</v>
      </c>
      <c r="I525" t="s">
        <v>94</v>
      </c>
      <c r="J525" t="s">
        <v>19</v>
      </c>
      <c r="K525" t="b">
        <v>1</v>
      </c>
      <c r="L525">
        <v>1978</v>
      </c>
      <c r="M525">
        <v>17286744153</v>
      </c>
      <c r="N525">
        <v>315784469541</v>
      </c>
      <c r="O525" t="b">
        <v>1</v>
      </c>
      <c r="P525">
        <v>1</v>
      </c>
      <c r="Q525" t="str" cm="1">
        <f t="array" ref="Q525">_xlfn.IFS(Table1[[#This Row],[Wealthier_Winner]]=-1,"Wealthier Nation Loses",Table1[[#This Row],[Wealthier_Winner]]=0,"Tie",Table1[[#This Row],[Wealthier_Winner]]=1,"Wealthier Nation Wins")</f>
        <v>Wealthier Nation Wins</v>
      </c>
    </row>
    <row r="526" spans="1:17" x14ac:dyDescent="0.2">
      <c r="A526" s="1">
        <v>1275</v>
      </c>
      <c r="B526" s="2">
        <v>28648</v>
      </c>
      <c r="C526" s="7">
        <f>_xlfn.FLOOR.MATH(Table1[[#This Row],[year]],10)</f>
        <v>1970</v>
      </c>
      <c r="D526" t="s">
        <v>29</v>
      </c>
      <c r="E526" t="s">
        <v>25</v>
      </c>
      <c r="F526">
        <v>1</v>
      </c>
      <c r="G526">
        <v>0</v>
      </c>
      <c r="H526" t="s">
        <v>74</v>
      </c>
      <c r="I526" t="s">
        <v>93</v>
      </c>
      <c r="J526" t="s">
        <v>19</v>
      </c>
      <c r="K526" t="b">
        <v>1</v>
      </c>
      <c r="L526">
        <v>1978</v>
      </c>
      <c r="M526">
        <v>61809208755</v>
      </c>
      <c r="N526">
        <v>104290933495</v>
      </c>
      <c r="O526" t="b">
        <v>0</v>
      </c>
      <c r="P526">
        <v>-1</v>
      </c>
      <c r="Q526" t="str" cm="1">
        <f t="array" ref="Q526">_xlfn.IFS(Table1[[#This Row],[Wealthier_Winner]]=-1,"Wealthier Nation Loses",Table1[[#This Row],[Wealthier_Winner]]=0,"Tie",Table1[[#This Row],[Wealthier_Winner]]=1,"Wealthier Nation Wins")</f>
        <v>Wealthier Nation Loses</v>
      </c>
    </row>
    <row r="527" spans="1:17" x14ac:dyDescent="0.2">
      <c r="A527" s="1">
        <v>1276</v>
      </c>
      <c r="B527" s="2">
        <v>28648</v>
      </c>
      <c r="C527" s="7">
        <f>_xlfn.FLOOR.MATH(Table1[[#This Row],[year]],10)</f>
        <v>1970</v>
      </c>
      <c r="D527" t="s">
        <v>13</v>
      </c>
      <c r="E527" t="s">
        <v>21</v>
      </c>
      <c r="F527">
        <v>0</v>
      </c>
      <c r="G527">
        <v>0</v>
      </c>
      <c r="H527" t="s">
        <v>74</v>
      </c>
      <c r="I527" t="s">
        <v>94</v>
      </c>
      <c r="J527" t="s">
        <v>19</v>
      </c>
      <c r="K527" t="b">
        <v>1</v>
      </c>
      <c r="L527">
        <v>1978</v>
      </c>
      <c r="M527">
        <v>200278646123</v>
      </c>
      <c r="N527">
        <v>160484969618</v>
      </c>
      <c r="O527" t="b">
        <v>0</v>
      </c>
      <c r="P527">
        <v>0</v>
      </c>
      <c r="Q527" t="str" cm="1">
        <f t="array" ref="Q527">_xlfn.IFS(Table1[[#This Row],[Wealthier_Winner]]=-1,"Wealthier Nation Loses",Table1[[#This Row],[Wealthier_Winner]]=0,"Tie",Table1[[#This Row],[Wealthier_Winner]]=1,"Wealthier Nation Wins")</f>
        <v>Tie</v>
      </c>
    </row>
    <row r="528" spans="1:17" x14ac:dyDescent="0.2">
      <c r="A528" s="1">
        <v>1278</v>
      </c>
      <c r="B528" s="2">
        <v>28648</v>
      </c>
      <c r="C528" s="7">
        <f>_xlfn.FLOOR.MATH(Table1[[#This Row],[year]],10)</f>
        <v>1970</v>
      </c>
      <c r="D528" t="s">
        <v>27</v>
      </c>
      <c r="E528" t="s">
        <v>31</v>
      </c>
      <c r="F528">
        <v>0</v>
      </c>
      <c r="G528">
        <v>0</v>
      </c>
      <c r="H528" t="s">
        <v>74</v>
      </c>
      <c r="I528" t="s">
        <v>96</v>
      </c>
      <c r="J528" t="s">
        <v>19</v>
      </c>
      <c r="K528" t="b">
        <v>1</v>
      </c>
      <c r="L528">
        <v>1978</v>
      </c>
      <c r="M528">
        <v>156089077205</v>
      </c>
      <c r="N528">
        <v>12491876742</v>
      </c>
      <c r="O528" t="b">
        <v>1</v>
      </c>
      <c r="P528">
        <v>0</v>
      </c>
      <c r="Q528" t="str" cm="1">
        <f t="array" ref="Q528">_xlfn.IFS(Table1[[#This Row],[Wealthier_Winner]]=-1,"Wealthier Nation Loses",Table1[[#This Row],[Wealthier_Winner]]=0,"Tie",Table1[[#This Row],[Wealthier_Winner]]=1,"Wealthier Nation Wins")</f>
        <v>Tie</v>
      </c>
    </row>
    <row r="529" spans="1:17" x14ac:dyDescent="0.2">
      <c r="A529" s="1">
        <v>1279</v>
      </c>
      <c r="B529" s="2">
        <v>28651</v>
      </c>
      <c r="C529" s="7">
        <f>_xlfn.FLOOR.MATH(Table1[[#This Row],[year]],10)</f>
        <v>1970</v>
      </c>
      <c r="D529" t="s">
        <v>19</v>
      </c>
      <c r="E529" t="s">
        <v>18</v>
      </c>
      <c r="F529">
        <v>0</v>
      </c>
      <c r="G529">
        <v>1</v>
      </c>
      <c r="H529" t="s">
        <v>74</v>
      </c>
      <c r="I529" t="s">
        <v>93</v>
      </c>
      <c r="J529" t="s">
        <v>19</v>
      </c>
      <c r="K529" t="b">
        <v>0</v>
      </c>
      <c r="L529">
        <v>1978</v>
      </c>
      <c r="M529">
        <v>89049453088</v>
      </c>
      <c r="N529">
        <v>315784469541</v>
      </c>
      <c r="O529" t="b">
        <v>1</v>
      </c>
      <c r="P529">
        <v>1</v>
      </c>
      <c r="Q529" t="str" cm="1">
        <f t="array" ref="Q529">_xlfn.IFS(Table1[[#This Row],[Wealthier_Winner]]=-1,"Wealthier Nation Loses",Table1[[#This Row],[Wealthier_Winner]]=0,"Tie",Table1[[#This Row],[Wealthier_Winner]]=1,"Wealthier Nation Wins")</f>
        <v>Wealthier Nation Wins</v>
      </c>
    </row>
    <row r="530" spans="1:17" x14ac:dyDescent="0.2">
      <c r="A530" s="1">
        <v>1280</v>
      </c>
      <c r="B530" s="2">
        <v>28651</v>
      </c>
      <c r="C530" s="7">
        <f>_xlfn.FLOOR.MATH(Table1[[#This Row],[year]],10)</f>
        <v>1970</v>
      </c>
      <c r="D530" t="s">
        <v>20</v>
      </c>
      <c r="E530" t="s">
        <v>30</v>
      </c>
      <c r="F530">
        <v>3</v>
      </c>
      <c r="G530">
        <v>1</v>
      </c>
      <c r="H530" t="s">
        <v>74</v>
      </c>
      <c r="I530" t="s">
        <v>94</v>
      </c>
      <c r="J530" t="s">
        <v>19</v>
      </c>
      <c r="K530" t="b">
        <v>1</v>
      </c>
      <c r="L530">
        <v>1978</v>
      </c>
      <c r="M530">
        <v>501724418604</v>
      </c>
      <c r="N530">
        <v>17286744153</v>
      </c>
      <c r="O530" t="b">
        <v>1</v>
      </c>
      <c r="P530">
        <v>1</v>
      </c>
      <c r="Q530" t="str" cm="1">
        <f t="array" ref="Q530">_xlfn.IFS(Table1[[#This Row],[Wealthier_Winner]]=-1,"Wealthier Nation Loses",Table1[[#This Row],[Wealthier_Winner]]=0,"Tie",Table1[[#This Row],[Wealthier_Winner]]=1,"Wealthier Nation Wins")</f>
        <v>Wealthier Nation Wins</v>
      </c>
    </row>
    <row r="531" spans="1:17" x14ac:dyDescent="0.2">
      <c r="A531" s="1">
        <v>1281</v>
      </c>
      <c r="B531" s="2">
        <v>28651</v>
      </c>
      <c r="C531" s="7">
        <f>_xlfn.FLOOR.MATH(Table1[[#This Row],[year]],10)</f>
        <v>1970</v>
      </c>
      <c r="D531" t="s">
        <v>16</v>
      </c>
      <c r="E531" t="s">
        <v>53</v>
      </c>
      <c r="F531">
        <v>0</v>
      </c>
      <c r="G531">
        <v>0</v>
      </c>
      <c r="H531" t="s">
        <v>74</v>
      </c>
      <c r="I531" t="s">
        <v>368</v>
      </c>
      <c r="J531" t="s">
        <v>19</v>
      </c>
      <c r="K531" t="b">
        <v>1</v>
      </c>
      <c r="L531">
        <v>1978</v>
      </c>
      <c r="M531">
        <v>743182891918</v>
      </c>
      <c r="N531">
        <v>5968460080</v>
      </c>
      <c r="O531" t="b">
        <v>1</v>
      </c>
      <c r="P531">
        <v>0</v>
      </c>
      <c r="Q531" t="str" cm="1">
        <f t="array" ref="Q531">_xlfn.IFS(Table1[[#This Row],[Wealthier_Winner]]=-1,"Wealthier Nation Loses",Table1[[#This Row],[Wealthier_Winner]]=0,"Tie",Table1[[#This Row],[Wealthier_Winner]]=1,"Wealthier Nation Wins")</f>
        <v>Tie</v>
      </c>
    </row>
    <row r="532" spans="1:17" x14ac:dyDescent="0.2">
      <c r="A532" s="1">
        <v>1283</v>
      </c>
      <c r="B532" s="2">
        <v>28652</v>
      </c>
      <c r="C532" s="7">
        <f>_xlfn.FLOOR.MATH(Table1[[#This Row],[year]],10)</f>
        <v>1970</v>
      </c>
      <c r="D532" t="s">
        <v>29</v>
      </c>
      <c r="E532" t="s">
        <v>13</v>
      </c>
      <c r="F532">
        <v>0</v>
      </c>
      <c r="G532">
        <v>1</v>
      </c>
      <c r="H532" t="s">
        <v>74</v>
      </c>
      <c r="I532" t="s">
        <v>94</v>
      </c>
      <c r="J532" t="s">
        <v>19</v>
      </c>
      <c r="K532" t="b">
        <v>1</v>
      </c>
      <c r="L532">
        <v>1978</v>
      </c>
      <c r="M532">
        <v>61809208755</v>
      </c>
      <c r="N532">
        <v>200278646123</v>
      </c>
      <c r="O532" t="b">
        <v>1</v>
      </c>
      <c r="P532">
        <v>1</v>
      </c>
      <c r="Q532" t="str" cm="1">
        <f t="array" ref="Q532">_xlfn.IFS(Table1[[#This Row],[Wealthier_Winner]]=-1,"Wealthier Nation Loses",Table1[[#This Row],[Wealthier_Winner]]=0,"Tie",Table1[[#This Row],[Wealthier_Winner]]=1,"Wealthier Nation Wins")</f>
        <v>Wealthier Nation Wins</v>
      </c>
    </row>
    <row r="533" spans="1:17" x14ac:dyDescent="0.2">
      <c r="A533" s="1">
        <v>1284</v>
      </c>
      <c r="B533" s="2">
        <v>28652</v>
      </c>
      <c r="C533" s="7">
        <f>_xlfn.FLOOR.MATH(Table1[[#This Row],[year]],10)</f>
        <v>1970</v>
      </c>
      <c r="D533" t="s">
        <v>210</v>
      </c>
      <c r="E533" t="s">
        <v>31</v>
      </c>
      <c r="F533">
        <v>1</v>
      </c>
      <c r="G533">
        <v>4</v>
      </c>
      <c r="H533" t="s">
        <v>74</v>
      </c>
      <c r="I533" t="s">
        <v>368</v>
      </c>
      <c r="J533" t="s">
        <v>19</v>
      </c>
      <c r="K533" t="b">
        <v>1</v>
      </c>
      <c r="L533">
        <v>1978</v>
      </c>
      <c r="M533">
        <v>77994316621</v>
      </c>
      <c r="N533">
        <v>12491876742</v>
      </c>
      <c r="O533" t="b">
        <v>1</v>
      </c>
      <c r="P533">
        <v>-1</v>
      </c>
      <c r="Q533" t="str" cm="1">
        <f t="array" ref="Q533">_xlfn.IFS(Table1[[#This Row],[Wealthier_Winner]]=-1,"Wealthier Nation Loses",Table1[[#This Row],[Wealthier_Winner]]=0,"Tie",Table1[[#This Row],[Wealthier_Winner]]=1,"Wealthier Nation Wins")</f>
        <v>Wealthier Nation Loses</v>
      </c>
    </row>
    <row r="534" spans="1:17" x14ac:dyDescent="0.2">
      <c r="A534" s="1">
        <v>1286</v>
      </c>
      <c r="B534" s="2">
        <v>28652</v>
      </c>
      <c r="C534" s="7">
        <f>_xlfn.FLOOR.MATH(Table1[[#This Row],[year]],10)</f>
        <v>1970</v>
      </c>
      <c r="D534" t="s">
        <v>21</v>
      </c>
      <c r="E534" t="s">
        <v>25</v>
      </c>
      <c r="F534">
        <v>1</v>
      </c>
      <c r="G534">
        <v>0</v>
      </c>
      <c r="H534" t="s">
        <v>74</v>
      </c>
      <c r="I534" t="s">
        <v>93</v>
      </c>
      <c r="J534" t="s">
        <v>19</v>
      </c>
      <c r="K534" t="b">
        <v>1</v>
      </c>
      <c r="L534">
        <v>1978</v>
      </c>
      <c r="M534">
        <v>160484969618</v>
      </c>
      <c r="N534">
        <v>104290933495</v>
      </c>
      <c r="O534" t="b">
        <v>0</v>
      </c>
      <c r="P534">
        <v>1</v>
      </c>
      <c r="Q534" t="str" cm="1">
        <f t="array" ref="Q534">_xlfn.IFS(Table1[[#This Row],[Wealthier_Winner]]=-1,"Wealthier Nation Loses",Table1[[#This Row],[Wealthier_Winner]]=0,"Tie",Table1[[#This Row],[Wealthier_Winner]]=1,"Wealthier Nation Wins")</f>
        <v>Wealthier Nation Wins</v>
      </c>
    </row>
    <row r="535" spans="1:17" x14ac:dyDescent="0.2">
      <c r="A535" s="1">
        <v>1288</v>
      </c>
      <c r="B535" s="2">
        <v>28655</v>
      </c>
      <c r="C535" s="7">
        <f>_xlfn.FLOOR.MATH(Table1[[#This Row],[year]],10)</f>
        <v>1970</v>
      </c>
      <c r="D535" t="s">
        <v>29</v>
      </c>
      <c r="E535" t="s">
        <v>27</v>
      </c>
      <c r="F535">
        <v>1</v>
      </c>
      <c r="G535">
        <v>5</v>
      </c>
      <c r="H535" t="s">
        <v>74</v>
      </c>
      <c r="I535" t="s">
        <v>368</v>
      </c>
      <c r="J535" t="s">
        <v>19</v>
      </c>
      <c r="K535" t="b">
        <v>1</v>
      </c>
      <c r="L535">
        <v>1978</v>
      </c>
      <c r="M535">
        <v>61809208755</v>
      </c>
      <c r="N535">
        <v>156089077205</v>
      </c>
      <c r="O535" t="b">
        <v>1</v>
      </c>
      <c r="P535">
        <v>1</v>
      </c>
      <c r="Q535" t="str" cm="1">
        <f t="array" ref="Q535">_xlfn.IFS(Table1[[#This Row],[Wealthier_Winner]]=-1,"Wealthier Nation Loses",Table1[[#This Row],[Wealthier_Winner]]=0,"Tie",Table1[[#This Row],[Wealthier_Winner]]=1,"Wealthier Nation Wins")</f>
        <v>Wealthier Nation Wins</v>
      </c>
    </row>
    <row r="536" spans="1:17" x14ac:dyDescent="0.2">
      <c r="A536" s="1">
        <v>1289</v>
      </c>
      <c r="B536" s="2">
        <v>28655</v>
      </c>
      <c r="C536" s="7">
        <f>_xlfn.FLOOR.MATH(Table1[[#This Row],[year]],10)</f>
        <v>1970</v>
      </c>
      <c r="D536" t="s">
        <v>13</v>
      </c>
      <c r="E536" t="s">
        <v>31</v>
      </c>
      <c r="F536">
        <v>3</v>
      </c>
      <c r="G536">
        <v>0</v>
      </c>
      <c r="H536" t="s">
        <v>74</v>
      </c>
      <c r="I536" t="s">
        <v>96</v>
      </c>
      <c r="J536" t="s">
        <v>19</v>
      </c>
      <c r="K536" t="b">
        <v>1</v>
      </c>
      <c r="L536">
        <v>1978</v>
      </c>
      <c r="M536">
        <v>200278646123</v>
      </c>
      <c r="N536">
        <v>12491876742</v>
      </c>
      <c r="O536" t="b">
        <v>1</v>
      </c>
      <c r="P536">
        <v>1</v>
      </c>
      <c r="Q536" t="str" cm="1">
        <f t="array" ref="Q536">_xlfn.IFS(Table1[[#This Row],[Wealthier_Winner]]=-1,"Wealthier Nation Loses",Table1[[#This Row],[Wealthier_Winner]]=0,"Tie",Table1[[#This Row],[Wealthier_Winner]]=1,"Wealthier Nation Wins")</f>
        <v>Wealthier Nation Wins</v>
      </c>
    </row>
    <row r="537" spans="1:17" x14ac:dyDescent="0.2">
      <c r="A537" s="1">
        <v>1290</v>
      </c>
      <c r="B537" s="2">
        <v>28655</v>
      </c>
      <c r="C537" s="7">
        <f>_xlfn.FLOOR.MATH(Table1[[#This Row],[year]],10)</f>
        <v>1970</v>
      </c>
      <c r="D537" t="s">
        <v>16</v>
      </c>
      <c r="E537" t="s">
        <v>18</v>
      </c>
      <c r="F537">
        <v>0</v>
      </c>
      <c r="G537">
        <v>0</v>
      </c>
      <c r="H537" t="s">
        <v>74</v>
      </c>
      <c r="I537" t="s">
        <v>93</v>
      </c>
      <c r="J537" t="s">
        <v>19</v>
      </c>
      <c r="K537" t="b">
        <v>1</v>
      </c>
      <c r="L537">
        <v>1978</v>
      </c>
      <c r="M537">
        <v>743182891918</v>
      </c>
      <c r="N537">
        <v>315784469541</v>
      </c>
      <c r="O537" t="b">
        <v>1</v>
      </c>
      <c r="P537">
        <v>0</v>
      </c>
      <c r="Q537" t="str" cm="1">
        <f t="array" ref="Q537">_xlfn.IFS(Table1[[#This Row],[Wealthier_Winner]]=-1,"Wealthier Nation Loses",Table1[[#This Row],[Wealthier_Winner]]=0,"Tie",Table1[[#This Row],[Wealthier_Winner]]=1,"Wealthier Nation Wins")</f>
        <v>Tie</v>
      </c>
    </row>
    <row r="538" spans="1:17" x14ac:dyDescent="0.2">
      <c r="A538" s="1">
        <v>1291</v>
      </c>
      <c r="B538" s="2">
        <v>28659</v>
      </c>
      <c r="C538" s="7">
        <f>_xlfn.FLOOR.MATH(Table1[[#This Row],[year]],10)</f>
        <v>1970</v>
      </c>
      <c r="D538" t="s">
        <v>19</v>
      </c>
      <c r="E538" t="s">
        <v>13</v>
      </c>
      <c r="F538">
        <v>0</v>
      </c>
      <c r="G538">
        <v>0</v>
      </c>
      <c r="H538" t="s">
        <v>74</v>
      </c>
      <c r="I538" t="s">
        <v>95</v>
      </c>
      <c r="J538" t="s">
        <v>19</v>
      </c>
      <c r="K538" t="b">
        <v>0</v>
      </c>
      <c r="L538">
        <v>1978</v>
      </c>
      <c r="M538">
        <v>89049453088</v>
      </c>
      <c r="N538">
        <v>200278646123</v>
      </c>
      <c r="O538" t="b">
        <v>1</v>
      </c>
      <c r="P538">
        <v>0</v>
      </c>
      <c r="Q538" t="str" cm="1">
        <f t="array" ref="Q538">_xlfn.IFS(Table1[[#This Row],[Wealthier_Winner]]=-1,"Wealthier Nation Loses",Table1[[#This Row],[Wealthier_Winner]]=0,"Tie",Table1[[#This Row],[Wealthier_Winner]]=1,"Wealthier Nation Wins")</f>
        <v>Tie</v>
      </c>
    </row>
    <row r="539" spans="1:17" x14ac:dyDescent="0.2">
      <c r="A539" s="1">
        <v>1292</v>
      </c>
      <c r="B539" s="2">
        <v>28659</v>
      </c>
      <c r="C539" s="7">
        <f>_xlfn.FLOOR.MATH(Table1[[#This Row],[year]],10)</f>
        <v>1970</v>
      </c>
      <c r="D539" t="s">
        <v>29</v>
      </c>
      <c r="E539" t="s">
        <v>18</v>
      </c>
      <c r="F539">
        <v>0</v>
      </c>
      <c r="G539">
        <v>1</v>
      </c>
      <c r="H539" t="s">
        <v>74</v>
      </c>
      <c r="I539" t="s">
        <v>93</v>
      </c>
      <c r="J539" t="s">
        <v>19</v>
      </c>
      <c r="K539" t="b">
        <v>1</v>
      </c>
      <c r="L539">
        <v>1978</v>
      </c>
      <c r="M539">
        <v>61809208755</v>
      </c>
      <c r="N539">
        <v>315784469541</v>
      </c>
      <c r="O539" t="b">
        <v>1</v>
      </c>
      <c r="P539">
        <v>1</v>
      </c>
      <c r="Q539" t="str" cm="1">
        <f t="array" ref="Q539">_xlfn.IFS(Table1[[#This Row],[Wealthier_Winner]]=-1,"Wealthier Nation Loses",Table1[[#This Row],[Wealthier_Winner]]=0,"Tie",Table1[[#This Row],[Wealthier_Winner]]=1,"Wealthier Nation Wins")</f>
        <v>Wealthier Nation Wins</v>
      </c>
    </row>
    <row r="540" spans="1:17" x14ac:dyDescent="0.2">
      <c r="A540" s="1">
        <v>1293</v>
      </c>
      <c r="B540" s="2">
        <v>28659</v>
      </c>
      <c r="C540" s="7">
        <f>_xlfn.FLOOR.MATH(Table1[[#This Row],[year]],10)</f>
        <v>1970</v>
      </c>
      <c r="D540" t="s">
        <v>16</v>
      </c>
      <c r="E540" t="s">
        <v>27</v>
      </c>
      <c r="F540">
        <v>2</v>
      </c>
      <c r="G540">
        <v>2</v>
      </c>
      <c r="H540" t="s">
        <v>74</v>
      </c>
      <c r="I540" t="s">
        <v>368</v>
      </c>
      <c r="J540" t="s">
        <v>19</v>
      </c>
      <c r="K540" t="b">
        <v>1</v>
      </c>
      <c r="L540">
        <v>1978</v>
      </c>
      <c r="M540">
        <v>743182891918</v>
      </c>
      <c r="N540">
        <v>156089077205</v>
      </c>
      <c r="O540" t="b">
        <v>1</v>
      </c>
      <c r="P540">
        <v>0</v>
      </c>
      <c r="Q540" t="str" cm="1">
        <f t="array" ref="Q540">_xlfn.IFS(Table1[[#This Row],[Wealthier_Winner]]=-1,"Wealthier Nation Loses",Table1[[#This Row],[Wealthier_Winner]]=0,"Tie",Table1[[#This Row],[Wealthier_Winner]]=1,"Wealthier Nation Wins")</f>
        <v>Tie</v>
      </c>
    </row>
    <row r="541" spans="1:17" x14ac:dyDescent="0.2">
      <c r="A541" s="1">
        <v>1295</v>
      </c>
      <c r="B541" s="2">
        <v>28662</v>
      </c>
      <c r="C541" s="7">
        <f>_xlfn.FLOOR.MATH(Table1[[#This Row],[year]],10)</f>
        <v>1970</v>
      </c>
      <c r="D541" t="s">
        <v>19</v>
      </c>
      <c r="E541" t="s">
        <v>31</v>
      </c>
      <c r="F541">
        <v>6</v>
      </c>
      <c r="G541">
        <v>0</v>
      </c>
      <c r="H541" t="s">
        <v>74</v>
      </c>
      <c r="I541" t="s">
        <v>95</v>
      </c>
      <c r="J541" t="s">
        <v>19</v>
      </c>
      <c r="K541" t="b">
        <v>0</v>
      </c>
      <c r="L541">
        <v>1978</v>
      </c>
      <c r="M541">
        <v>89049453088</v>
      </c>
      <c r="N541">
        <v>12491876742</v>
      </c>
      <c r="O541" t="b">
        <v>1</v>
      </c>
      <c r="P541">
        <v>1</v>
      </c>
      <c r="Q541" t="str" cm="1">
        <f t="array" ref="Q541">_xlfn.IFS(Table1[[#This Row],[Wealthier_Winner]]=-1,"Wealthier Nation Loses",Table1[[#This Row],[Wealthier_Winner]]=0,"Tie",Table1[[#This Row],[Wealthier_Winner]]=1,"Wealthier Nation Wins")</f>
        <v>Wealthier Nation Wins</v>
      </c>
    </row>
    <row r="542" spans="1:17" x14ac:dyDescent="0.2">
      <c r="A542" s="1">
        <v>1296</v>
      </c>
      <c r="B542" s="2">
        <v>28662</v>
      </c>
      <c r="C542" s="7">
        <f>_xlfn.FLOOR.MATH(Table1[[#This Row],[year]],10)</f>
        <v>1970</v>
      </c>
      <c r="D542" t="s">
        <v>29</v>
      </c>
      <c r="E542" t="s">
        <v>16</v>
      </c>
      <c r="F542">
        <v>3</v>
      </c>
      <c r="G542">
        <v>2</v>
      </c>
      <c r="H542" t="s">
        <v>74</v>
      </c>
      <c r="I542" t="s">
        <v>368</v>
      </c>
      <c r="J542" t="s">
        <v>19</v>
      </c>
      <c r="K542" t="b">
        <v>1</v>
      </c>
      <c r="L542">
        <v>1978</v>
      </c>
      <c r="M542">
        <v>61809208755</v>
      </c>
      <c r="N542">
        <v>743182891918</v>
      </c>
      <c r="O542" t="b">
        <v>1</v>
      </c>
      <c r="P542">
        <v>-1</v>
      </c>
      <c r="Q542" t="str" cm="1">
        <f t="array" ref="Q542">_xlfn.IFS(Table1[[#This Row],[Wealthier_Winner]]=-1,"Wealthier Nation Loses",Table1[[#This Row],[Wealthier_Winner]]=0,"Tie",Table1[[#This Row],[Wealthier_Winner]]=1,"Wealthier Nation Wins")</f>
        <v>Wealthier Nation Loses</v>
      </c>
    </row>
    <row r="543" spans="1:17" x14ac:dyDescent="0.2">
      <c r="A543" s="1">
        <v>1298</v>
      </c>
      <c r="B543" s="2">
        <v>28662</v>
      </c>
      <c r="C543" s="7">
        <f>_xlfn.FLOOR.MATH(Table1[[#This Row],[year]],10)</f>
        <v>1970</v>
      </c>
      <c r="D543" t="s">
        <v>18</v>
      </c>
      <c r="E543" t="s">
        <v>27</v>
      </c>
      <c r="F543">
        <v>1</v>
      </c>
      <c r="G543">
        <v>2</v>
      </c>
      <c r="H543" t="s">
        <v>74</v>
      </c>
      <c r="I543" t="s">
        <v>93</v>
      </c>
      <c r="J543" t="s">
        <v>19</v>
      </c>
      <c r="K543" t="b">
        <v>1</v>
      </c>
      <c r="L543">
        <v>1978</v>
      </c>
      <c r="M543">
        <v>315784469541</v>
      </c>
      <c r="N543">
        <v>156089077205</v>
      </c>
      <c r="O543" t="b">
        <v>1</v>
      </c>
      <c r="P543">
        <v>-1</v>
      </c>
      <c r="Q543" t="str" cm="1">
        <f t="array" ref="Q543">_xlfn.IFS(Table1[[#This Row],[Wealthier_Winner]]=-1,"Wealthier Nation Loses",Table1[[#This Row],[Wealthier_Winner]]=0,"Tie",Table1[[#This Row],[Wealthier_Winner]]=1,"Wealthier Nation Wins")</f>
        <v>Wealthier Nation Loses</v>
      </c>
    </row>
    <row r="544" spans="1:17" x14ac:dyDescent="0.2">
      <c r="A544" s="1">
        <v>1299</v>
      </c>
      <c r="B544" s="2">
        <v>28665</v>
      </c>
      <c r="C544" s="7">
        <f>_xlfn.FLOOR.MATH(Table1[[#This Row],[year]],10)</f>
        <v>1970</v>
      </c>
      <c r="D544" t="s">
        <v>13</v>
      </c>
      <c r="E544" t="s">
        <v>18</v>
      </c>
      <c r="F544">
        <v>2</v>
      </c>
      <c r="G544">
        <v>1</v>
      </c>
      <c r="H544" t="s">
        <v>74</v>
      </c>
      <c r="I544" t="s">
        <v>93</v>
      </c>
      <c r="J544" t="s">
        <v>19</v>
      </c>
      <c r="K544" t="b">
        <v>1</v>
      </c>
      <c r="L544">
        <v>1978</v>
      </c>
      <c r="M544">
        <v>200278646123</v>
      </c>
      <c r="N544">
        <v>315784469541</v>
      </c>
      <c r="O544" t="b">
        <v>0</v>
      </c>
      <c r="P544">
        <v>-1</v>
      </c>
      <c r="Q544" t="str" cm="1">
        <f t="array" ref="Q544">_xlfn.IFS(Table1[[#This Row],[Wealthier_Winner]]=-1,"Wealthier Nation Loses",Table1[[#This Row],[Wealthier_Winner]]=0,"Tie",Table1[[#This Row],[Wealthier_Winner]]=1,"Wealthier Nation Wins")</f>
        <v>Wealthier Nation Loses</v>
      </c>
    </row>
    <row r="545" spans="1:17" x14ac:dyDescent="0.2">
      <c r="A545" s="1">
        <v>1300</v>
      </c>
      <c r="B545" s="2">
        <v>28666</v>
      </c>
      <c r="C545" s="7">
        <f>_xlfn.FLOOR.MATH(Table1[[#This Row],[year]],10)</f>
        <v>1970</v>
      </c>
      <c r="D545" t="s">
        <v>19</v>
      </c>
      <c r="E545" t="s">
        <v>27</v>
      </c>
      <c r="F545">
        <v>3</v>
      </c>
      <c r="G545">
        <v>1</v>
      </c>
      <c r="H545" t="s">
        <v>74</v>
      </c>
      <c r="I545" t="s">
        <v>93</v>
      </c>
      <c r="J545" t="s">
        <v>19</v>
      </c>
      <c r="K545" t="b">
        <v>0</v>
      </c>
      <c r="L545">
        <v>1978</v>
      </c>
      <c r="M545">
        <v>89049453088</v>
      </c>
      <c r="N545">
        <v>156089077205</v>
      </c>
      <c r="O545" t="b">
        <v>0</v>
      </c>
      <c r="P545">
        <v>-1</v>
      </c>
      <c r="Q545" t="str" cm="1">
        <f t="array" ref="Q545">_xlfn.IFS(Table1[[#This Row],[Wealthier_Winner]]=-1,"Wealthier Nation Loses",Table1[[#This Row],[Wealthier_Winner]]=0,"Tie",Table1[[#This Row],[Wealthier_Winner]]=1,"Wealthier Nation Wins")</f>
        <v>Wealthier Nation Loses</v>
      </c>
    </row>
    <row r="546" spans="1:17" x14ac:dyDescent="0.2">
      <c r="A546" s="1">
        <v>1304</v>
      </c>
      <c r="B546" s="2">
        <v>29359</v>
      </c>
      <c r="C546" s="7">
        <f>_xlfn.FLOOR.MATH(Table1[[#This Row],[year]],10)</f>
        <v>1980</v>
      </c>
      <c r="D546" t="s">
        <v>238</v>
      </c>
      <c r="E546" t="s">
        <v>273</v>
      </c>
      <c r="F546">
        <v>0</v>
      </c>
      <c r="G546">
        <v>0</v>
      </c>
      <c r="H546" t="s">
        <v>224</v>
      </c>
      <c r="I546" t="s">
        <v>288</v>
      </c>
      <c r="J546" t="s">
        <v>238</v>
      </c>
      <c r="K546" t="b">
        <v>0</v>
      </c>
      <c r="L546">
        <v>1980</v>
      </c>
      <c r="M546">
        <v>7012585454</v>
      </c>
      <c r="N546">
        <v>3884530853</v>
      </c>
      <c r="O546" t="b">
        <v>0</v>
      </c>
      <c r="P546">
        <v>0</v>
      </c>
      <c r="Q546" t="str" cm="1">
        <f t="array" ref="Q546">_xlfn.IFS(Table1[[#This Row],[Wealthier_Winner]]=-1,"Wealthier Nation Loses",Table1[[#This Row],[Wealthier_Winner]]=0,"Tie",Table1[[#This Row],[Wealthier_Winner]]=1,"Wealthier Nation Wins")</f>
        <v>Tie</v>
      </c>
    </row>
    <row r="547" spans="1:17" x14ac:dyDescent="0.2">
      <c r="A547" s="1">
        <v>1305</v>
      </c>
      <c r="B547" s="2">
        <v>29372</v>
      </c>
      <c r="C547" s="7">
        <f>_xlfn.FLOOR.MATH(Table1[[#This Row],[year]],10)</f>
        <v>1980</v>
      </c>
      <c r="D547" t="s">
        <v>342</v>
      </c>
      <c r="E547" t="s">
        <v>32</v>
      </c>
      <c r="F547">
        <v>2</v>
      </c>
      <c r="G547">
        <v>2</v>
      </c>
      <c r="H547" t="s">
        <v>224</v>
      </c>
      <c r="I547" t="s">
        <v>344</v>
      </c>
      <c r="J547" t="s">
        <v>342</v>
      </c>
      <c r="K547" t="b">
        <v>0</v>
      </c>
      <c r="L547">
        <v>1980</v>
      </c>
      <c r="M547">
        <v>1100685844</v>
      </c>
      <c r="N547">
        <v>42345829079</v>
      </c>
      <c r="O547" t="b">
        <v>1</v>
      </c>
      <c r="P547">
        <v>0</v>
      </c>
      <c r="Q547" t="str" cm="1">
        <f t="array" ref="Q547">_xlfn.IFS(Table1[[#This Row],[Wealthier_Winner]]=-1,"Wealthier Nation Loses",Table1[[#This Row],[Wealthier_Winner]]=0,"Tie",Table1[[#This Row],[Wealthier_Winner]]=1,"Wealthier Nation Wins")</f>
        <v>Tie</v>
      </c>
    </row>
    <row r="548" spans="1:17" x14ac:dyDescent="0.2">
      <c r="A548" s="1">
        <v>1306</v>
      </c>
      <c r="B548" s="2">
        <v>29373</v>
      </c>
      <c r="C548" s="7">
        <f>_xlfn.FLOOR.MATH(Table1[[#This Row],[year]],10)</f>
        <v>1980</v>
      </c>
      <c r="D548" t="s">
        <v>273</v>
      </c>
      <c r="E548" t="s">
        <v>238</v>
      </c>
      <c r="F548">
        <v>4</v>
      </c>
      <c r="G548">
        <v>0</v>
      </c>
      <c r="H548" t="s">
        <v>224</v>
      </c>
      <c r="I548" t="s">
        <v>275</v>
      </c>
      <c r="J548" t="s">
        <v>273</v>
      </c>
      <c r="K548" t="b">
        <v>0</v>
      </c>
      <c r="L548">
        <v>1980</v>
      </c>
      <c r="M548">
        <v>3884530853</v>
      </c>
      <c r="N548">
        <v>7012585454</v>
      </c>
      <c r="O548" t="b">
        <v>0</v>
      </c>
      <c r="P548">
        <v>-1</v>
      </c>
      <c r="Q548" t="str" cm="1">
        <f t="array" ref="Q548">_xlfn.IFS(Table1[[#This Row],[Wealthier_Winner]]=-1,"Wealthier Nation Loses",Table1[[#This Row],[Wealthier_Winner]]=0,"Tie",Table1[[#This Row],[Wealthier_Winner]]=1,"Wealthier Nation Wins")</f>
        <v>Wealthier Nation Loses</v>
      </c>
    </row>
    <row r="549" spans="1:17" x14ac:dyDescent="0.2">
      <c r="A549" s="1">
        <v>1308</v>
      </c>
      <c r="B549" s="2">
        <v>29376</v>
      </c>
      <c r="C549" s="7">
        <f>_xlfn.FLOOR.MATH(Table1[[#This Row],[year]],10)</f>
        <v>1980</v>
      </c>
      <c r="D549" t="s">
        <v>230</v>
      </c>
      <c r="E549" t="s">
        <v>33</v>
      </c>
      <c r="F549">
        <v>0</v>
      </c>
      <c r="G549">
        <v>2</v>
      </c>
      <c r="H549" t="s">
        <v>224</v>
      </c>
      <c r="I549" t="s">
        <v>231</v>
      </c>
      <c r="J549" t="s">
        <v>230</v>
      </c>
      <c r="K549" t="b">
        <v>0</v>
      </c>
      <c r="L549">
        <v>1980</v>
      </c>
      <c r="M549">
        <v>53649984061</v>
      </c>
      <c r="N549">
        <v>19839230769</v>
      </c>
      <c r="O549" t="b">
        <v>1</v>
      </c>
      <c r="P549">
        <v>-1</v>
      </c>
      <c r="Q549" t="str" cm="1">
        <f t="array" ref="Q549">_xlfn.IFS(Table1[[#This Row],[Wealthier_Winner]]=-1,"Wealthier Nation Loses",Table1[[#This Row],[Wealthier_Winner]]=0,"Tie",Table1[[#This Row],[Wealthier_Winner]]=1,"Wealthier Nation Wins")</f>
        <v>Wealthier Nation Loses</v>
      </c>
    </row>
    <row r="550" spans="1:17" x14ac:dyDescent="0.2">
      <c r="A550" s="1">
        <v>1309</v>
      </c>
      <c r="B550" s="2">
        <v>29385</v>
      </c>
      <c r="C550" s="7">
        <f>_xlfn.FLOOR.MATH(Table1[[#This Row],[year]],10)</f>
        <v>1980</v>
      </c>
      <c r="D550" t="s">
        <v>32</v>
      </c>
      <c r="E550" t="s">
        <v>342</v>
      </c>
      <c r="F550">
        <v>3</v>
      </c>
      <c r="G550">
        <v>1</v>
      </c>
      <c r="H550" t="s">
        <v>224</v>
      </c>
      <c r="I550" t="s">
        <v>369</v>
      </c>
      <c r="J550" t="s">
        <v>32</v>
      </c>
      <c r="K550" t="b">
        <v>0</v>
      </c>
      <c r="L550">
        <v>1980</v>
      </c>
      <c r="M550">
        <v>42345829079</v>
      </c>
      <c r="N550">
        <v>1100685844</v>
      </c>
      <c r="O550" t="b">
        <v>1</v>
      </c>
      <c r="P550">
        <v>1</v>
      </c>
      <c r="Q550" t="str" cm="1">
        <f t="array" ref="Q550">_xlfn.IFS(Table1[[#This Row],[Wealthier_Winner]]=-1,"Wealthier Nation Loses",Table1[[#This Row],[Wealthier_Winner]]=0,"Tie",Table1[[#This Row],[Wealthier_Winner]]=1,"Wealthier Nation Wins")</f>
        <v>Wealthier Nation Wins</v>
      </c>
    </row>
    <row r="551" spans="1:17" x14ac:dyDescent="0.2">
      <c r="A551" s="1">
        <v>1310</v>
      </c>
      <c r="B551" s="2">
        <v>29390</v>
      </c>
      <c r="C551" s="7">
        <f>_xlfn.FLOOR.MATH(Table1[[#This Row],[year]],10)</f>
        <v>1980</v>
      </c>
      <c r="D551" t="s">
        <v>25</v>
      </c>
      <c r="E551" t="s">
        <v>22</v>
      </c>
      <c r="F551">
        <v>1</v>
      </c>
      <c r="G551">
        <v>1</v>
      </c>
      <c r="H551" t="s">
        <v>224</v>
      </c>
      <c r="I551" t="s">
        <v>233</v>
      </c>
      <c r="J551" t="s">
        <v>25</v>
      </c>
      <c r="K551" t="b">
        <v>0</v>
      </c>
      <c r="L551">
        <v>1980</v>
      </c>
      <c r="M551">
        <v>141886067003</v>
      </c>
      <c r="N551">
        <v>25395256477</v>
      </c>
      <c r="O551" t="b">
        <v>1</v>
      </c>
      <c r="P551">
        <v>0</v>
      </c>
      <c r="Q551" t="str" cm="1">
        <f t="array" ref="Q551">_xlfn.IFS(Table1[[#This Row],[Wealthier_Winner]]=-1,"Wealthier Nation Loses",Table1[[#This Row],[Wealthier_Winner]]=0,"Tie",Table1[[#This Row],[Wealthier_Winner]]=1,"Wealthier Nation Wins")</f>
        <v>Tie</v>
      </c>
    </row>
    <row r="552" spans="1:17" x14ac:dyDescent="0.2">
      <c r="A552" s="1">
        <v>1311</v>
      </c>
      <c r="B552" s="2">
        <v>29394</v>
      </c>
      <c r="C552" s="7">
        <f>_xlfn.FLOOR.MATH(Table1[[#This Row],[year]],10)</f>
        <v>1980</v>
      </c>
      <c r="D552" t="s">
        <v>305</v>
      </c>
      <c r="E552" t="s">
        <v>307</v>
      </c>
      <c r="F552">
        <v>3</v>
      </c>
      <c r="G552">
        <v>1</v>
      </c>
      <c r="H552" t="s">
        <v>224</v>
      </c>
      <c r="I552" t="s">
        <v>306</v>
      </c>
      <c r="J552" t="s">
        <v>305</v>
      </c>
      <c r="K552" t="b">
        <v>0</v>
      </c>
      <c r="L552">
        <v>1980</v>
      </c>
      <c r="M552">
        <v>9746524915</v>
      </c>
      <c r="N552">
        <v>431542536</v>
      </c>
      <c r="O552" t="b">
        <v>1</v>
      </c>
      <c r="P552">
        <v>1</v>
      </c>
      <c r="Q552" t="str" cm="1">
        <f t="array" ref="Q552">_xlfn.IFS(Table1[[#This Row],[Wealthier_Winner]]=-1,"Wealthier Nation Loses",Table1[[#This Row],[Wealthier_Winner]]=0,"Tie",Table1[[#This Row],[Wealthier_Winner]]=1,"Wealthier Nation Wins")</f>
        <v>Wealthier Nation Wins</v>
      </c>
    </row>
    <row r="553" spans="1:17" x14ac:dyDescent="0.2">
      <c r="A553" s="1">
        <v>1312</v>
      </c>
      <c r="B553" s="2">
        <v>29394</v>
      </c>
      <c r="C553" s="7">
        <f>_xlfn.FLOOR.MATH(Table1[[#This Row],[year]],10)</f>
        <v>1980</v>
      </c>
      <c r="D553" t="s">
        <v>54</v>
      </c>
      <c r="E553" t="s">
        <v>24</v>
      </c>
      <c r="F553">
        <v>0</v>
      </c>
      <c r="G553">
        <v>1</v>
      </c>
      <c r="H553" t="s">
        <v>224</v>
      </c>
      <c r="I553" t="s">
        <v>285</v>
      </c>
      <c r="J553" t="s">
        <v>54</v>
      </c>
      <c r="K553" t="b">
        <v>0</v>
      </c>
      <c r="L553">
        <v>1980</v>
      </c>
      <c r="M553">
        <v>4510108290</v>
      </c>
      <c r="N553">
        <v>21728516153</v>
      </c>
      <c r="O553" t="b">
        <v>1</v>
      </c>
      <c r="P553">
        <v>1</v>
      </c>
      <c r="Q553" t="str" cm="1">
        <f t="array" ref="Q553">_xlfn.IFS(Table1[[#This Row],[Wealthier_Winner]]=-1,"Wealthier Nation Loses",Table1[[#This Row],[Wealthier_Winner]]=0,"Tie",Table1[[#This Row],[Wealthier_Winner]]=1,"Wealthier Nation Wins")</f>
        <v>Wealthier Nation Wins</v>
      </c>
    </row>
    <row r="554" spans="1:17" x14ac:dyDescent="0.2">
      <c r="A554" s="1">
        <v>1313</v>
      </c>
      <c r="B554" s="2">
        <v>29401</v>
      </c>
      <c r="C554" s="7">
        <f>_xlfn.FLOOR.MATH(Table1[[#This Row],[year]],10)</f>
        <v>1980</v>
      </c>
      <c r="D554" t="s">
        <v>40</v>
      </c>
      <c r="E554" t="s">
        <v>370</v>
      </c>
      <c r="F554">
        <v>3</v>
      </c>
      <c r="G554">
        <v>0</v>
      </c>
      <c r="H554" t="s">
        <v>224</v>
      </c>
      <c r="I554" t="s">
        <v>371</v>
      </c>
      <c r="J554" t="s">
        <v>40</v>
      </c>
      <c r="K554" t="b">
        <v>0</v>
      </c>
      <c r="L554">
        <v>1980</v>
      </c>
      <c r="M554">
        <v>6674569046</v>
      </c>
      <c r="N554">
        <v>1801156774</v>
      </c>
      <c r="O554" t="b">
        <v>1</v>
      </c>
      <c r="P554">
        <v>1</v>
      </c>
      <c r="Q554" t="str" cm="1">
        <f t="array" ref="Q554">_xlfn.IFS(Table1[[#This Row],[Wealthier_Winner]]=-1,"Wealthier Nation Loses",Table1[[#This Row],[Wealthier_Winner]]=0,"Tie",Table1[[#This Row],[Wealthier_Winner]]=1,"Wealthier Nation Wins")</f>
        <v>Wealthier Nation Wins</v>
      </c>
    </row>
    <row r="555" spans="1:17" x14ac:dyDescent="0.2">
      <c r="A555" s="1">
        <v>1314</v>
      </c>
      <c r="B555" s="2">
        <v>29401</v>
      </c>
      <c r="C555" s="7">
        <f>_xlfn.FLOOR.MATH(Table1[[#This Row],[year]],10)</f>
        <v>1980</v>
      </c>
      <c r="D555" t="s">
        <v>53</v>
      </c>
      <c r="E555" t="s">
        <v>43</v>
      </c>
      <c r="F555">
        <v>2</v>
      </c>
      <c r="G555">
        <v>0</v>
      </c>
      <c r="H555" t="s">
        <v>224</v>
      </c>
      <c r="I555" t="s">
        <v>284</v>
      </c>
      <c r="J555" t="s">
        <v>53</v>
      </c>
      <c r="K555" t="b">
        <v>0</v>
      </c>
      <c r="L555">
        <v>1980</v>
      </c>
      <c r="M555">
        <v>8744134354</v>
      </c>
      <c r="N555">
        <v>64201788122</v>
      </c>
      <c r="O555" t="b">
        <v>1</v>
      </c>
      <c r="P555">
        <v>-1</v>
      </c>
      <c r="Q555" t="str" cm="1">
        <f t="array" ref="Q555">_xlfn.IFS(Table1[[#This Row],[Wealthier_Winner]]=-1,"Wealthier Nation Loses",Table1[[#This Row],[Wealthier_Winner]]=0,"Tie",Table1[[#This Row],[Wealthier_Winner]]=1,"Wealthier Nation Wins")</f>
        <v>Wealthier Nation Loses</v>
      </c>
    </row>
    <row r="556" spans="1:17" x14ac:dyDescent="0.2">
      <c r="A556" s="1">
        <v>1315</v>
      </c>
      <c r="B556" s="2">
        <v>29407</v>
      </c>
      <c r="C556" s="7">
        <f>_xlfn.FLOOR.MATH(Table1[[#This Row],[year]],10)</f>
        <v>1980</v>
      </c>
      <c r="D556" t="s">
        <v>314</v>
      </c>
      <c r="E556" t="s">
        <v>320</v>
      </c>
      <c r="F556">
        <v>3</v>
      </c>
      <c r="G556">
        <v>1</v>
      </c>
      <c r="H556" t="s">
        <v>224</v>
      </c>
      <c r="I556" t="s">
        <v>315</v>
      </c>
      <c r="J556" t="s">
        <v>314</v>
      </c>
      <c r="K556" t="b">
        <v>0</v>
      </c>
      <c r="L556">
        <v>1980</v>
      </c>
      <c r="M556">
        <v>7265315820</v>
      </c>
      <c r="N556">
        <v>11409228086</v>
      </c>
      <c r="O556" t="b">
        <v>0</v>
      </c>
      <c r="P556">
        <v>-1</v>
      </c>
      <c r="Q556" t="str" cm="1">
        <f t="array" ref="Q556">_xlfn.IFS(Table1[[#This Row],[Wealthier_Winner]]=-1,"Wealthier Nation Loses",Table1[[#This Row],[Wealthier_Winner]]=0,"Tie",Table1[[#This Row],[Wealthier_Winner]]=1,"Wealthier Nation Wins")</f>
        <v>Wealthier Nation Loses</v>
      </c>
    </row>
    <row r="557" spans="1:17" x14ac:dyDescent="0.2">
      <c r="A557" s="1">
        <v>1317</v>
      </c>
      <c r="B557" s="2">
        <v>29408</v>
      </c>
      <c r="C557" s="7">
        <f>_xlfn.FLOOR.MATH(Table1[[#This Row],[year]],10)</f>
        <v>1980</v>
      </c>
      <c r="D557" t="s">
        <v>307</v>
      </c>
      <c r="E557" t="s">
        <v>305</v>
      </c>
      <c r="F557">
        <v>1</v>
      </c>
      <c r="G557">
        <v>1</v>
      </c>
      <c r="H557" t="s">
        <v>224</v>
      </c>
      <c r="I557" t="s">
        <v>308</v>
      </c>
      <c r="J557" t="s">
        <v>307</v>
      </c>
      <c r="K557" t="b">
        <v>0</v>
      </c>
      <c r="L557">
        <v>1980</v>
      </c>
      <c r="M557">
        <v>431542536</v>
      </c>
      <c r="N557">
        <v>9746524915</v>
      </c>
      <c r="O557" t="b">
        <v>1</v>
      </c>
      <c r="P557">
        <v>0</v>
      </c>
      <c r="Q557" t="str" cm="1">
        <f t="array" ref="Q557">_xlfn.IFS(Table1[[#This Row],[Wealthier_Winner]]=-1,"Wealthier Nation Loses",Table1[[#This Row],[Wealthier_Winner]]=0,"Tie",Table1[[#This Row],[Wealthier_Winner]]=1,"Wealthier Nation Wins")</f>
        <v>Tie</v>
      </c>
    </row>
    <row r="558" spans="1:17" x14ac:dyDescent="0.2">
      <c r="A558" s="1">
        <v>1318</v>
      </c>
      <c r="B558" s="2">
        <v>29408</v>
      </c>
      <c r="C558" s="7">
        <f>_xlfn.FLOOR.MATH(Table1[[#This Row],[year]],10)</f>
        <v>1980</v>
      </c>
      <c r="D558" t="s">
        <v>24</v>
      </c>
      <c r="E558" t="s">
        <v>54</v>
      </c>
      <c r="F558">
        <v>0</v>
      </c>
      <c r="G558">
        <v>0</v>
      </c>
      <c r="H558" t="s">
        <v>224</v>
      </c>
      <c r="I558" t="s">
        <v>244</v>
      </c>
      <c r="J558" t="s">
        <v>24</v>
      </c>
      <c r="K558" t="b">
        <v>0</v>
      </c>
      <c r="L558">
        <v>1980</v>
      </c>
      <c r="M558">
        <v>21728516153</v>
      </c>
      <c r="N558">
        <v>4510108290</v>
      </c>
      <c r="O558" t="b">
        <v>1</v>
      </c>
      <c r="P558">
        <v>0</v>
      </c>
      <c r="Q558" t="str" cm="1">
        <f t="array" ref="Q558">_xlfn.IFS(Table1[[#This Row],[Wealthier_Winner]]=-1,"Wealthier Nation Loses",Table1[[#This Row],[Wealthier_Winner]]=0,"Tie",Table1[[#This Row],[Wealthier_Winner]]=1,"Wealthier Nation Wins")</f>
        <v>Tie</v>
      </c>
    </row>
    <row r="559" spans="1:17" x14ac:dyDescent="0.2">
      <c r="A559" s="1">
        <v>1319</v>
      </c>
      <c r="B559" s="2">
        <v>29414</v>
      </c>
      <c r="C559" s="7">
        <f>_xlfn.FLOOR.MATH(Table1[[#This Row],[year]],10)</f>
        <v>1980</v>
      </c>
      <c r="D559" t="s">
        <v>43</v>
      </c>
      <c r="E559" t="s">
        <v>53</v>
      </c>
      <c r="F559">
        <v>2</v>
      </c>
      <c r="G559">
        <v>0</v>
      </c>
      <c r="H559" t="s">
        <v>224</v>
      </c>
      <c r="I559" t="s">
        <v>229</v>
      </c>
      <c r="J559" t="s">
        <v>43</v>
      </c>
      <c r="K559" t="b">
        <v>0</v>
      </c>
      <c r="L559">
        <v>1980</v>
      </c>
      <c r="M559">
        <v>64201788122</v>
      </c>
      <c r="N559">
        <v>8744134354</v>
      </c>
      <c r="O559" t="b">
        <v>1</v>
      </c>
      <c r="P559">
        <v>1</v>
      </c>
      <c r="Q559" t="str" cm="1">
        <f t="array" ref="Q559">_xlfn.IFS(Table1[[#This Row],[Wealthier_Winner]]=-1,"Wealthier Nation Loses",Table1[[#This Row],[Wealthier_Winner]]=0,"Tie",Table1[[#This Row],[Wealthier_Winner]]=1,"Wealthier Nation Wins")</f>
        <v>Wealthier Nation Wins</v>
      </c>
    </row>
    <row r="560" spans="1:17" x14ac:dyDescent="0.2">
      <c r="A560" s="1">
        <v>1322</v>
      </c>
      <c r="B560" s="2">
        <v>29421</v>
      </c>
      <c r="C560" s="7">
        <f>_xlfn.FLOOR.MATH(Table1[[#This Row],[year]],10)</f>
        <v>1980</v>
      </c>
      <c r="D560" t="s">
        <v>320</v>
      </c>
      <c r="E560" t="s">
        <v>314</v>
      </c>
      <c r="F560">
        <v>5</v>
      </c>
      <c r="G560">
        <v>0</v>
      </c>
      <c r="H560" t="s">
        <v>224</v>
      </c>
      <c r="I560" t="s">
        <v>321</v>
      </c>
      <c r="J560" t="s">
        <v>320</v>
      </c>
      <c r="K560" t="b">
        <v>0</v>
      </c>
      <c r="L560">
        <v>1980</v>
      </c>
      <c r="M560">
        <v>11409228086</v>
      </c>
      <c r="N560">
        <v>7265315820</v>
      </c>
      <c r="O560" t="b">
        <v>0</v>
      </c>
      <c r="P560">
        <v>1</v>
      </c>
      <c r="Q560" t="str" cm="1">
        <f t="array" ref="Q560">_xlfn.IFS(Table1[[#This Row],[Wealthier_Winner]]=-1,"Wealthier Nation Loses",Table1[[#This Row],[Wealthier_Winner]]=0,"Tie",Table1[[#This Row],[Wealthier_Winner]]=1,"Wealthier Nation Wins")</f>
        <v>Wealthier Nation Wins</v>
      </c>
    </row>
    <row r="561" spans="1:17" x14ac:dyDescent="0.2">
      <c r="A561" s="1">
        <v>1323</v>
      </c>
      <c r="B561" s="2">
        <v>29422</v>
      </c>
      <c r="C561" s="7">
        <f>_xlfn.FLOOR.MATH(Table1[[#This Row],[year]],10)</f>
        <v>1980</v>
      </c>
      <c r="D561" t="s">
        <v>370</v>
      </c>
      <c r="E561" t="s">
        <v>40</v>
      </c>
      <c r="F561">
        <v>1</v>
      </c>
      <c r="G561">
        <v>1</v>
      </c>
      <c r="H561" t="s">
        <v>224</v>
      </c>
      <c r="I561" t="s">
        <v>372</v>
      </c>
      <c r="J561" t="s">
        <v>370</v>
      </c>
      <c r="K561" t="b">
        <v>0</v>
      </c>
      <c r="L561">
        <v>1980</v>
      </c>
      <c r="M561">
        <v>1801156774</v>
      </c>
      <c r="N561">
        <v>6674569046</v>
      </c>
      <c r="O561" t="b">
        <v>1</v>
      </c>
      <c r="P561">
        <v>0</v>
      </c>
      <c r="Q561" t="str" cm="1">
        <f t="array" ref="Q561">_xlfn.IFS(Table1[[#This Row],[Wealthier_Winner]]=-1,"Wealthier Nation Loses",Table1[[#This Row],[Wealthier_Winner]]=0,"Tie",Table1[[#This Row],[Wealthier_Winner]]=1,"Wealthier Nation Wins")</f>
        <v>Tie</v>
      </c>
    </row>
    <row r="562" spans="1:17" x14ac:dyDescent="0.2">
      <c r="A562" s="1">
        <v>1326</v>
      </c>
      <c r="B562" s="2">
        <v>29467</v>
      </c>
      <c r="C562" s="7">
        <f>_xlfn.FLOOR.MATH(Table1[[#This Row],[year]],10)</f>
        <v>1980</v>
      </c>
      <c r="D562" t="s">
        <v>373</v>
      </c>
      <c r="E562" t="s">
        <v>230</v>
      </c>
      <c r="F562">
        <v>2</v>
      </c>
      <c r="G562">
        <v>0</v>
      </c>
      <c r="H562" t="s">
        <v>224</v>
      </c>
      <c r="I562" t="s">
        <v>374</v>
      </c>
      <c r="J562" t="s">
        <v>373</v>
      </c>
      <c r="K562" t="b">
        <v>0</v>
      </c>
      <c r="L562">
        <v>1980</v>
      </c>
      <c r="M562">
        <v>1578102105</v>
      </c>
      <c r="N562">
        <v>53649984061</v>
      </c>
      <c r="O562" t="b">
        <v>1</v>
      </c>
      <c r="P562">
        <v>-1</v>
      </c>
      <c r="Q562" t="str" cm="1">
        <f t="array" ref="Q562">_xlfn.IFS(Table1[[#This Row],[Wealthier_Winner]]=-1,"Wealthier Nation Loses",Table1[[#This Row],[Wealthier_Winner]]=0,"Tie",Table1[[#This Row],[Wealthier_Winner]]=1,"Wealthier Nation Wins")</f>
        <v>Wealthier Nation Loses</v>
      </c>
    </row>
    <row r="563" spans="1:17" x14ac:dyDescent="0.2">
      <c r="A563" s="1">
        <v>1328</v>
      </c>
      <c r="B563" s="2">
        <v>29474</v>
      </c>
      <c r="C563" s="7">
        <f>_xlfn.FLOOR.MATH(Table1[[#This Row],[year]],10)</f>
        <v>1980</v>
      </c>
      <c r="D563" t="s">
        <v>194</v>
      </c>
      <c r="E563" t="s">
        <v>42</v>
      </c>
      <c r="F563">
        <v>4</v>
      </c>
      <c r="G563">
        <v>0</v>
      </c>
      <c r="H563" t="s">
        <v>224</v>
      </c>
      <c r="I563" t="s">
        <v>80</v>
      </c>
      <c r="J563" t="s">
        <v>194</v>
      </c>
      <c r="K563" t="b">
        <v>0</v>
      </c>
      <c r="L563">
        <v>1980</v>
      </c>
      <c r="M563">
        <v>564947710899</v>
      </c>
      <c r="N563">
        <v>64439382896</v>
      </c>
      <c r="O563" t="b">
        <v>1</v>
      </c>
      <c r="P563">
        <v>1</v>
      </c>
      <c r="Q563" t="str" cm="1">
        <f t="array" ref="Q563">_xlfn.IFS(Table1[[#This Row],[Wealthier_Winner]]=-1,"Wealthier Nation Loses",Table1[[#This Row],[Wealthier_Winner]]=0,"Tie",Table1[[#This Row],[Wealthier_Winner]]=1,"Wealthier Nation Wins")</f>
        <v>Wealthier Nation Wins</v>
      </c>
    </row>
    <row r="564" spans="1:17" x14ac:dyDescent="0.2">
      <c r="A564" s="1">
        <v>1332</v>
      </c>
      <c r="B564" s="2">
        <v>29488</v>
      </c>
      <c r="C564" s="7">
        <f>_xlfn.FLOOR.MATH(Table1[[#This Row],[year]],10)</f>
        <v>1980</v>
      </c>
      <c r="D564" t="s">
        <v>230</v>
      </c>
      <c r="E564" t="s">
        <v>29</v>
      </c>
      <c r="F564">
        <v>0</v>
      </c>
      <c r="G564">
        <v>2</v>
      </c>
      <c r="H564" t="s">
        <v>224</v>
      </c>
      <c r="I564" t="s">
        <v>231</v>
      </c>
      <c r="J564" t="s">
        <v>230</v>
      </c>
      <c r="K564" t="b">
        <v>0</v>
      </c>
      <c r="L564">
        <v>1980</v>
      </c>
      <c r="M564">
        <v>53649984061</v>
      </c>
      <c r="N564">
        <v>81737498404</v>
      </c>
      <c r="O564" t="b">
        <v>0</v>
      </c>
      <c r="P564">
        <v>1</v>
      </c>
      <c r="Q564" t="str" cm="1">
        <f t="array" ref="Q564">_xlfn.IFS(Table1[[#This Row],[Wealthier_Winner]]=-1,"Wealthier Nation Loses",Table1[[#This Row],[Wealthier_Winner]]=0,"Tie",Table1[[#This Row],[Wealthier_Winner]]=1,"Wealthier Nation Wins")</f>
        <v>Wealthier Nation Wins</v>
      </c>
    </row>
    <row r="565" spans="1:17" x14ac:dyDescent="0.2">
      <c r="A565" s="1">
        <v>1336</v>
      </c>
      <c r="B565" s="2">
        <v>29505</v>
      </c>
      <c r="C565" s="7">
        <f>_xlfn.FLOOR.MATH(Table1[[#This Row],[year]],10)</f>
        <v>1980</v>
      </c>
      <c r="D565" t="s">
        <v>351</v>
      </c>
      <c r="E565" t="s">
        <v>20</v>
      </c>
      <c r="F565">
        <v>0</v>
      </c>
      <c r="G565">
        <v>7</v>
      </c>
      <c r="H565" t="s">
        <v>224</v>
      </c>
      <c r="I565" t="s">
        <v>352</v>
      </c>
      <c r="J565" t="s">
        <v>351</v>
      </c>
      <c r="K565" t="b">
        <v>0</v>
      </c>
      <c r="L565">
        <v>1980</v>
      </c>
      <c r="M565">
        <v>2154311276</v>
      </c>
      <c r="N565">
        <v>694529183483</v>
      </c>
      <c r="O565" t="b">
        <v>1</v>
      </c>
      <c r="P565">
        <v>1</v>
      </c>
      <c r="Q565" t="str" cm="1">
        <f t="array" ref="Q565">_xlfn.IFS(Table1[[#This Row],[Wealthier_Winner]]=-1,"Wealthier Nation Loses",Table1[[#This Row],[Wealthier_Winner]]=0,"Tie",Table1[[#This Row],[Wealthier_Winner]]=1,"Wealthier Nation Wins")</f>
        <v>Wealthier Nation Wins</v>
      </c>
    </row>
    <row r="566" spans="1:17" x14ac:dyDescent="0.2">
      <c r="A566" s="1">
        <v>1337</v>
      </c>
      <c r="B566" s="2">
        <v>29505</v>
      </c>
      <c r="C566" s="7">
        <f>_xlfn.FLOOR.MATH(Table1[[#This Row],[year]],10)</f>
        <v>1980</v>
      </c>
      <c r="D566" t="s">
        <v>232</v>
      </c>
      <c r="E566" t="s">
        <v>18</v>
      </c>
      <c r="F566">
        <v>0</v>
      </c>
      <c r="G566">
        <v>2</v>
      </c>
      <c r="H566" t="s">
        <v>224</v>
      </c>
      <c r="I566" t="s">
        <v>232</v>
      </c>
      <c r="J566" t="s">
        <v>232</v>
      </c>
      <c r="K566" t="b">
        <v>0</v>
      </c>
      <c r="L566">
        <v>1980</v>
      </c>
      <c r="M566">
        <v>6019805490</v>
      </c>
      <c r="N566">
        <v>478356755595</v>
      </c>
      <c r="O566" t="b">
        <v>1</v>
      </c>
      <c r="P566">
        <v>1</v>
      </c>
      <c r="Q566" t="str" cm="1">
        <f t="array" ref="Q566">_xlfn.IFS(Table1[[#This Row],[Wealthier_Winner]]=-1,"Wealthier Nation Loses",Table1[[#This Row],[Wealthier_Winner]]=0,"Tie",Table1[[#This Row],[Wealthier_Winner]]=1,"Wealthier Nation Wins")</f>
        <v>Wealthier Nation Wins</v>
      </c>
    </row>
    <row r="567" spans="1:17" x14ac:dyDescent="0.2">
      <c r="A567" s="1">
        <v>1338</v>
      </c>
      <c r="B567" s="2">
        <v>29506</v>
      </c>
      <c r="C567" s="7">
        <f>_xlfn.FLOOR.MATH(Table1[[#This Row],[year]],10)</f>
        <v>1980</v>
      </c>
      <c r="D567" t="s">
        <v>40</v>
      </c>
      <c r="E567" t="s">
        <v>298</v>
      </c>
      <c r="F567">
        <v>2</v>
      </c>
      <c r="G567">
        <v>0</v>
      </c>
      <c r="H567" t="s">
        <v>224</v>
      </c>
      <c r="I567" t="s">
        <v>283</v>
      </c>
      <c r="J567" t="s">
        <v>40</v>
      </c>
      <c r="K567" t="b">
        <v>0</v>
      </c>
      <c r="L567">
        <v>1980</v>
      </c>
      <c r="M567">
        <v>6674569046</v>
      </c>
      <c r="N567">
        <v>6682278300</v>
      </c>
      <c r="O567" t="b">
        <v>0</v>
      </c>
      <c r="P567">
        <v>-1</v>
      </c>
      <c r="Q567" t="str" cm="1">
        <f t="array" ref="Q567">_xlfn.IFS(Table1[[#This Row],[Wealthier_Winner]]=-1,"Wealthier Nation Loses",Table1[[#This Row],[Wealthier_Winner]]=0,"Tie",Table1[[#This Row],[Wealthier_Winner]]=1,"Wealthier Nation Wins")</f>
        <v>Wealthier Nation Loses</v>
      </c>
    </row>
    <row r="568" spans="1:17" x14ac:dyDescent="0.2">
      <c r="A568" s="1">
        <v>1339</v>
      </c>
      <c r="B568" s="2">
        <v>29509</v>
      </c>
      <c r="C568" s="7">
        <f>_xlfn.FLOOR.MATH(Table1[[#This Row],[year]],10)</f>
        <v>1980</v>
      </c>
      <c r="D568" t="s">
        <v>36</v>
      </c>
      <c r="E568" t="s">
        <v>48</v>
      </c>
      <c r="F568">
        <v>0</v>
      </c>
      <c r="G568">
        <v>1</v>
      </c>
      <c r="H568" t="s">
        <v>224</v>
      </c>
      <c r="I568" t="s">
        <v>264</v>
      </c>
      <c r="J568" t="s">
        <v>36</v>
      </c>
      <c r="K568" t="b">
        <v>0</v>
      </c>
      <c r="L568">
        <v>1980</v>
      </c>
      <c r="M568">
        <v>70811287815</v>
      </c>
      <c r="N568">
        <v>56039256594</v>
      </c>
      <c r="O568" t="b">
        <v>0</v>
      </c>
      <c r="P568">
        <v>-1</v>
      </c>
      <c r="Q568" t="str" cm="1">
        <f t="array" ref="Q568">_xlfn.IFS(Table1[[#This Row],[Wealthier_Winner]]=-1,"Wealthier Nation Loses",Table1[[#This Row],[Wealthier_Winner]]=0,"Tie",Table1[[#This Row],[Wealthier_Winner]]=1,"Wealthier Nation Wins")</f>
        <v>Wealthier Nation Loses</v>
      </c>
    </row>
    <row r="569" spans="1:17" x14ac:dyDescent="0.2">
      <c r="A569" s="1">
        <v>1346</v>
      </c>
      <c r="B569" s="2">
        <v>29513</v>
      </c>
      <c r="C569" s="7">
        <f>_xlfn.FLOOR.MATH(Table1[[#This Row],[year]],10)</f>
        <v>1980</v>
      </c>
      <c r="D569" t="s">
        <v>33</v>
      </c>
      <c r="E569" t="s">
        <v>373</v>
      </c>
      <c r="F569">
        <v>2</v>
      </c>
      <c r="G569">
        <v>1</v>
      </c>
      <c r="H569" t="s">
        <v>224</v>
      </c>
      <c r="I569" t="s">
        <v>375</v>
      </c>
      <c r="J569" t="s">
        <v>33</v>
      </c>
      <c r="K569" t="b">
        <v>0</v>
      </c>
      <c r="L569">
        <v>1980</v>
      </c>
      <c r="M569">
        <v>19839230769</v>
      </c>
      <c r="N569">
        <v>1578102105</v>
      </c>
      <c r="O569" t="b">
        <v>1</v>
      </c>
      <c r="P569">
        <v>1</v>
      </c>
      <c r="Q569" t="str" cm="1">
        <f t="array" ref="Q569">_xlfn.IFS(Table1[[#This Row],[Wealthier_Winner]]=-1,"Wealthier Nation Loses",Table1[[#This Row],[Wealthier_Winner]]=0,"Tie",Table1[[#This Row],[Wealthier_Winner]]=1,"Wealthier Nation Wins")</f>
        <v>Wealthier Nation Wins</v>
      </c>
    </row>
    <row r="570" spans="1:17" x14ac:dyDescent="0.2">
      <c r="A570" s="1">
        <v>1348</v>
      </c>
      <c r="B570" s="2">
        <v>29523</v>
      </c>
      <c r="C570" s="7">
        <f>_xlfn.FLOOR.MATH(Table1[[#This Row],[year]],10)</f>
        <v>1980</v>
      </c>
      <c r="D570" t="s">
        <v>46</v>
      </c>
      <c r="E570" t="s">
        <v>42</v>
      </c>
      <c r="F570">
        <v>1</v>
      </c>
      <c r="G570">
        <v>2</v>
      </c>
      <c r="H570" t="s">
        <v>224</v>
      </c>
      <c r="I570" t="s">
        <v>249</v>
      </c>
      <c r="J570" t="s">
        <v>46</v>
      </c>
      <c r="K570" t="b">
        <v>0</v>
      </c>
      <c r="L570">
        <v>1980</v>
      </c>
      <c r="M570">
        <v>122557843886</v>
      </c>
      <c r="N570">
        <v>64439382896</v>
      </c>
      <c r="O570" t="b">
        <v>0</v>
      </c>
      <c r="P570">
        <v>-1</v>
      </c>
      <c r="Q570" t="str" cm="1">
        <f t="array" ref="Q570">_xlfn.IFS(Table1[[#This Row],[Wealthier_Winner]]=-1,"Wealthier Nation Loses",Table1[[#This Row],[Wealthier_Winner]]=0,"Tie",Table1[[#This Row],[Wealthier_Winner]]=1,"Wealthier Nation Wins")</f>
        <v>Wealthier Nation Loses</v>
      </c>
    </row>
    <row r="571" spans="1:17" x14ac:dyDescent="0.2">
      <c r="A571" s="1">
        <v>1349</v>
      </c>
      <c r="B571" s="2">
        <v>29526</v>
      </c>
      <c r="C571" s="7">
        <f>_xlfn.FLOOR.MATH(Table1[[#This Row],[year]],10)</f>
        <v>1980</v>
      </c>
      <c r="D571" t="s">
        <v>18</v>
      </c>
      <c r="E571" t="s">
        <v>36</v>
      </c>
      <c r="F571">
        <v>2</v>
      </c>
      <c r="G571">
        <v>0</v>
      </c>
      <c r="H571" t="s">
        <v>224</v>
      </c>
      <c r="I571" t="s">
        <v>109</v>
      </c>
      <c r="J571" t="s">
        <v>18</v>
      </c>
      <c r="K571" t="b">
        <v>0</v>
      </c>
      <c r="L571">
        <v>1980</v>
      </c>
      <c r="M571">
        <v>478356755595</v>
      </c>
      <c r="N571">
        <v>70811287815</v>
      </c>
      <c r="O571" t="b">
        <v>1</v>
      </c>
      <c r="P571">
        <v>1</v>
      </c>
      <c r="Q571" t="str" cm="1">
        <f t="array" ref="Q571">_xlfn.IFS(Table1[[#This Row],[Wealthier_Winner]]=-1,"Wealthier Nation Loses",Table1[[#This Row],[Wealthier_Winner]]=0,"Tie",Table1[[#This Row],[Wealthier_Winner]]=1,"Wealthier Nation Wins")</f>
        <v>Wealthier Nation Wins</v>
      </c>
    </row>
    <row r="572" spans="1:17" x14ac:dyDescent="0.2">
      <c r="A572" s="1">
        <v>1350</v>
      </c>
      <c r="B572" s="2">
        <v>29537</v>
      </c>
      <c r="C572" s="7">
        <f>_xlfn.FLOOR.MATH(Table1[[#This Row],[year]],10)</f>
        <v>1980</v>
      </c>
      <c r="D572" t="s">
        <v>22</v>
      </c>
      <c r="E572" t="s">
        <v>25</v>
      </c>
      <c r="F572">
        <v>0</v>
      </c>
      <c r="G572">
        <v>0</v>
      </c>
      <c r="H572" t="s">
        <v>224</v>
      </c>
      <c r="I572" t="s">
        <v>239</v>
      </c>
      <c r="J572" t="s">
        <v>22</v>
      </c>
      <c r="K572" t="b">
        <v>0</v>
      </c>
      <c r="L572">
        <v>1980</v>
      </c>
      <c r="M572">
        <v>25395256477</v>
      </c>
      <c r="N572">
        <v>141886067003</v>
      </c>
      <c r="O572" t="b">
        <v>1</v>
      </c>
      <c r="P572">
        <v>0</v>
      </c>
      <c r="Q572" t="str" cm="1">
        <f t="array" ref="Q572">_xlfn.IFS(Table1[[#This Row],[Wealthier_Winner]]=-1,"Wealthier Nation Loses",Table1[[#This Row],[Wealthier_Winner]]=0,"Tie",Table1[[#This Row],[Wealthier_Winner]]=1,"Wealthier Nation Wins")</f>
        <v>Tie</v>
      </c>
    </row>
    <row r="573" spans="1:17" x14ac:dyDescent="0.2">
      <c r="A573" s="1">
        <v>1351</v>
      </c>
      <c r="B573" s="2">
        <v>29540</v>
      </c>
      <c r="C573" s="7">
        <f>_xlfn.FLOOR.MATH(Table1[[#This Row],[year]],10)</f>
        <v>1980</v>
      </c>
      <c r="D573" t="s">
        <v>29</v>
      </c>
      <c r="E573" t="s">
        <v>373</v>
      </c>
      <c r="F573">
        <v>5</v>
      </c>
      <c r="G573">
        <v>0</v>
      </c>
      <c r="H573" t="s">
        <v>224</v>
      </c>
      <c r="I573" t="s">
        <v>270</v>
      </c>
      <c r="J573" t="s">
        <v>29</v>
      </c>
      <c r="K573" t="b">
        <v>0</v>
      </c>
      <c r="L573">
        <v>1980</v>
      </c>
      <c r="M573">
        <v>81737498404</v>
      </c>
      <c r="N573">
        <v>1578102105</v>
      </c>
      <c r="O573" t="b">
        <v>1</v>
      </c>
      <c r="P573">
        <v>1</v>
      </c>
      <c r="Q573" t="str" cm="1">
        <f t="array" ref="Q573">_xlfn.IFS(Table1[[#This Row],[Wealthier_Winner]]=-1,"Wealthier Nation Loses",Table1[[#This Row],[Wealthier_Winner]]=0,"Tie",Table1[[#This Row],[Wealthier_Winner]]=1,"Wealthier Nation Wins")</f>
        <v>Wealthier Nation Wins</v>
      </c>
    </row>
    <row r="574" spans="1:17" x14ac:dyDescent="0.2">
      <c r="A574" s="1">
        <v>1354</v>
      </c>
      <c r="B574" s="2">
        <v>29541</v>
      </c>
      <c r="C574" s="7">
        <f>_xlfn.FLOOR.MATH(Table1[[#This Row],[year]],10)</f>
        <v>1980</v>
      </c>
      <c r="D574" t="s">
        <v>24</v>
      </c>
      <c r="E574" t="s">
        <v>273</v>
      </c>
      <c r="F574">
        <v>2</v>
      </c>
      <c r="G574">
        <v>0</v>
      </c>
      <c r="H574" t="s">
        <v>224</v>
      </c>
      <c r="I574" t="s">
        <v>376</v>
      </c>
      <c r="J574" t="s">
        <v>24</v>
      </c>
      <c r="K574" t="b">
        <v>0</v>
      </c>
      <c r="L574">
        <v>1980</v>
      </c>
      <c r="M574">
        <v>21728516153</v>
      </c>
      <c r="N574">
        <v>3884530853</v>
      </c>
      <c r="O574" t="b">
        <v>1</v>
      </c>
      <c r="P574">
        <v>1</v>
      </c>
      <c r="Q574" t="str" cm="1">
        <f t="array" ref="Q574">_xlfn.IFS(Table1[[#This Row],[Wealthier_Winner]]=-1,"Wealthier Nation Loses",Table1[[#This Row],[Wealthier_Winner]]=0,"Tie",Table1[[#This Row],[Wealthier_Winner]]=1,"Wealthier Nation Wins")</f>
        <v>Wealthier Nation Wins</v>
      </c>
    </row>
    <row r="575" spans="1:17" x14ac:dyDescent="0.2">
      <c r="A575" s="1">
        <v>1355</v>
      </c>
      <c r="B575" s="2">
        <v>29541</v>
      </c>
      <c r="C575" s="7">
        <f>_xlfn.FLOOR.MATH(Table1[[#This Row],[year]],10)</f>
        <v>1980</v>
      </c>
      <c r="D575" t="s">
        <v>298</v>
      </c>
      <c r="E575" t="s">
        <v>40</v>
      </c>
      <c r="F575">
        <v>1</v>
      </c>
      <c r="G575">
        <v>0</v>
      </c>
      <c r="H575" t="s">
        <v>224</v>
      </c>
      <c r="I575" t="s">
        <v>377</v>
      </c>
      <c r="J575" t="s">
        <v>298</v>
      </c>
      <c r="K575" t="b">
        <v>0</v>
      </c>
      <c r="L575">
        <v>1980</v>
      </c>
      <c r="M575">
        <v>6682278300</v>
      </c>
      <c r="N575">
        <v>6674569046</v>
      </c>
      <c r="O575" t="b">
        <v>0</v>
      </c>
      <c r="P575">
        <v>1</v>
      </c>
      <c r="Q575" t="str" cm="1">
        <f t="array" ref="Q575">_xlfn.IFS(Table1[[#This Row],[Wealthier_Winner]]=-1,"Wealthier Nation Loses",Table1[[#This Row],[Wealthier_Winner]]=0,"Tie",Table1[[#This Row],[Wealthier_Winner]]=1,"Wealthier Nation Wins")</f>
        <v>Wealthier Nation Wins</v>
      </c>
    </row>
    <row r="576" spans="1:17" x14ac:dyDescent="0.2">
      <c r="A576" s="1">
        <v>1356</v>
      </c>
      <c r="B576" s="2">
        <v>29544</v>
      </c>
      <c r="C576" s="7">
        <f>_xlfn.FLOOR.MATH(Table1[[#This Row],[year]],10)</f>
        <v>1980</v>
      </c>
      <c r="D576" t="s">
        <v>23</v>
      </c>
      <c r="E576" t="s">
        <v>27</v>
      </c>
      <c r="F576">
        <v>1</v>
      </c>
      <c r="G576">
        <v>0</v>
      </c>
      <c r="H576" t="s">
        <v>224</v>
      </c>
      <c r="I576" t="s">
        <v>235</v>
      </c>
      <c r="J576" t="s">
        <v>23</v>
      </c>
      <c r="K576" t="b">
        <v>0</v>
      </c>
      <c r="L576">
        <v>1980</v>
      </c>
      <c r="M576">
        <v>126829314388</v>
      </c>
      <c r="N576">
        <v>195439301706</v>
      </c>
      <c r="O576" t="b">
        <v>0</v>
      </c>
      <c r="P576">
        <v>-1</v>
      </c>
      <c r="Q576" t="str" cm="1">
        <f t="array" ref="Q576">_xlfn.IFS(Table1[[#This Row],[Wealthier_Winner]]=-1,"Wealthier Nation Loses",Table1[[#This Row],[Wealthier_Winner]]=0,"Tie",Table1[[#This Row],[Wealthier_Winner]]=1,"Wealthier Nation Wins")</f>
        <v>Wealthier Nation Loses</v>
      </c>
    </row>
    <row r="577" spans="1:17" x14ac:dyDescent="0.2">
      <c r="A577" s="1">
        <v>1357</v>
      </c>
      <c r="B577" s="2">
        <v>29544</v>
      </c>
      <c r="C577" s="7">
        <f>_xlfn.FLOOR.MATH(Table1[[#This Row],[year]],10)</f>
        <v>1980</v>
      </c>
      <c r="D577" t="s">
        <v>36</v>
      </c>
      <c r="E577" t="s">
        <v>232</v>
      </c>
      <c r="F577">
        <v>4</v>
      </c>
      <c r="G577">
        <v>0</v>
      </c>
      <c r="H577" t="s">
        <v>224</v>
      </c>
      <c r="I577" t="s">
        <v>264</v>
      </c>
      <c r="J577" t="s">
        <v>36</v>
      </c>
      <c r="K577" t="b">
        <v>0</v>
      </c>
      <c r="L577">
        <v>1980</v>
      </c>
      <c r="M577">
        <v>70811287815</v>
      </c>
      <c r="N577">
        <v>6019805490</v>
      </c>
      <c r="O577" t="b">
        <v>1</v>
      </c>
      <c r="P577">
        <v>1</v>
      </c>
      <c r="Q577" t="str" cm="1">
        <f t="array" ref="Q577">_xlfn.IFS(Table1[[#This Row],[Wealthier_Winner]]=-1,"Wealthier Nation Loses",Table1[[#This Row],[Wealthier_Winner]]=0,"Tie",Table1[[#This Row],[Wealthier_Winner]]=1,"Wealthier Nation Wins")</f>
        <v>Wealthier Nation Wins</v>
      </c>
    </row>
    <row r="578" spans="1:17" x14ac:dyDescent="0.2">
      <c r="A578" s="1">
        <v>1358</v>
      </c>
      <c r="B578" s="2">
        <v>29544</v>
      </c>
      <c r="C578" s="7">
        <f>_xlfn.FLOOR.MATH(Table1[[#This Row],[year]],10)</f>
        <v>1980</v>
      </c>
      <c r="D578" t="s">
        <v>194</v>
      </c>
      <c r="E578" t="s">
        <v>46</v>
      </c>
      <c r="F578">
        <v>2</v>
      </c>
      <c r="G578">
        <v>1</v>
      </c>
      <c r="H578" t="s">
        <v>224</v>
      </c>
      <c r="I578" t="s">
        <v>80</v>
      </c>
      <c r="J578" t="s">
        <v>194</v>
      </c>
      <c r="K578" t="b">
        <v>0</v>
      </c>
      <c r="L578">
        <v>1980</v>
      </c>
      <c r="M578">
        <v>564947710899</v>
      </c>
      <c r="N578">
        <v>122557843886</v>
      </c>
      <c r="O578" t="b">
        <v>1</v>
      </c>
      <c r="P578">
        <v>1</v>
      </c>
      <c r="Q578" t="str" cm="1">
        <f t="array" ref="Q578">_xlfn.IFS(Table1[[#This Row],[Wealthier_Winner]]=-1,"Wealthier Nation Loses",Table1[[#This Row],[Wealthier_Winner]]=0,"Tie",Table1[[#This Row],[Wealthier_Winner]]=1,"Wealthier Nation Wins")</f>
        <v>Wealthier Nation Wins</v>
      </c>
    </row>
    <row r="579" spans="1:17" x14ac:dyDescent="0.2">
      <c r="A579" s="1">
        <v>1362</v>
      </c>
      <c r="B579" s="2">
        <v>29555</v>
      </c>
      <c r="C579" s="7">
        <f>_xlfn.FLOOR.MATH(Table1[[#This Row],[year]],10)</f>
        <v>1980</v>
      </c>
      <c r="D579" t="s">
        <v>273</v>
      </c>
      <c r="E579" t="s">
        <v>24</v>
      </c>
      <c r="F579">
        <v>2</v>
      </c>
      <c r="G579">
        <v>0</v>
      </c>
      <c r="H579" t="s">
        <v>224</v>
      </c>
      <c r="I579" t="s">
        <v>330</v>
      </c>
      <c r="J579" t="s">
        <v>273</v>
      </c>
      <c r="K579" t="b">
        <v>0</v>
      </c>
      <c r="L579">
        <v>1980</v>
      </c>
      <c r="M579">
        <v>3884530853</v>
      </c>
      <c r="N579">
        <v>21728516153</v>
      </c>
      <c r="O579" t="b">
        <v>1</v>
      </c>
      <c r="P579">
        <v>-1</v>
      </c>
      <c r="Q579" t="str" cm="1">
        <f t="array" ref="Q579">_xlfn.IFS(Table1[[#This Row],[Wealthier_Winner]]=-1,"Wealthier Nation Loses",Table1[[#This Row],[Wealthier_Winner]]=0,"Tie",Table1[[#This Row],[Wealthier_Winner]]=1,"Wealthier Nation Wins")</f>
        <v>Wealthier Nation Loses</v>
      </c>
    </row>
    <row r="580" spans="1:17" x14ac:dyDescent="0.2">
      <c r="A580" s="1">
        <v>1363</v>
      </c>
      <c r="B580" s="2">
        <v>29558</v>
      </c>
      <c r="C580" s="7">
        <f>_xlfn.FLOOR.MATH(Table1[[#This Row],[year]],10)</f>
        <v>1980</v>
      </c>
      <c r="D580" t="s">
        <v>33</v>
      </c>
      <c r="E580" t="s">
        <v>16</v>
      </c>
      <c r="F580">
        <v>1</v>
      </c>
      <c r="G580">
        <v>3</v>
      </c>
      <c r="H580" t="s">
        <v>224</v>
      </c>
      <c r="I580" t="s">
        <v>375</v>
      </c>
      <c r="J580" t="s">
        <v>33</v>
      </c>
      <c r="K580" t="b">
        <v>0</v>
      </c>
      <c r="L580">
        <v>1980</v>
      </c>
      <c r="M580">
        <v>19839230769</v>
      </c>
      <c r="N580">
        <v>953772499462</v>
      </c>
      <c r="O580" t="b">
        <v>1</v>
      </c>
      <c r="P580">
        <v>1</v>
      </c>
      <c r="Q580" t="str" cm="1">
        <f t="array" ref="Q580">_xlfn.IFS(Table1[[#This Row],[Wealthier_Winner]]=-1,"Wealthier Nation Loses",Table1[[#This Row],[Wealthier_Winner]]=0,"Tie",Table1[[#This Row],[Wealthier_Winner]]=1,"Wealthier Nation Wins")</f>
        <v>Wealthier Nation Wins</v>
      </c>
    </row>
    <row r="581" spans="1:17" x14ac:dyDescent="0.2">
      <c r="A581" s="1">
        <v>1365</v>
      </c>
      <c r="B581" s="2">
        <v>29561</v>
      </c>
      <c r="C581" s="7">
        <f>_xlfn.FLOOR.MATH(Table1[[#This Row],[year]],10)</f>
        <v>1980</v>
      </c>
      <c r="D581" t="s">
        <v>373</v>
      </c>
      <c r="E581" t="s">
        <v>29</v>
      </c>
      <c r="F581">
        <v>0</v>
      </c>
      <c r="G581">
        <v>1</v>
      </c>
      <c r="H581" t="s">
        <v>224</v>
      </c>
      <c r="I581" t="s">
        <v>374</v>
      </c>
      <c r="J581" t="s">
        <v>373</v>
      </c>
      <c r="K581" t="b">
        <v>0</v>
      </c>
      <c r="L581">
        <v>1980</v>
      </c>
      <c r="M581">
        <v>1578102105</v>
      </c>
      <c r="N581">
        <v>81737498404</v>
      </c>
      <c r="O581" t="b">
        <v>1</v>
      </c>
      <c r="P581">
        <v>1</v>
      </c>
      <c r="Q581" t="str" cm="1">
        <f t="array" ref="Q581">_xlfn.IFS(Table1[[#This Row],[Wealthier_Winner]]=-1,"Wealthier Nation Loses",Table1[[#This Row],[Wealthier_Winner]]=0,"Tie",Table1[[#This Row],[Wealthier_Winner]]=1,"Wealthier Nation Wins")</f>
        <v>Wealthier Nation Wins</v>
      </c>
    </row>
    <row r="582" spans="1:17" x14ac:dyDescent="0.2">
      <c r="A582" s="1">
        <v>1366</v>
      </c>
      <c r="B582" s="2">
        <v>29561</v>
      </c>
      <c r="C582" s="7">
        <f>_xlfn.FLOOR.MATH(Table1[[#This Row],[year]],10)</f>
        <v>1980</v>
      </c>
      <c r="D582" t="s">
        <v>48</v>
      </c>
      <c r="E582" t="s">
        <v>18</v>
      </c>
      <c r="F582">
        <v>0</v>
      </c>
      <c r="G582">
        <v>2</v>
      </c>
      <c r="H582" t="s">
        <v>224</v>
      </c>
      <c r="I582" t="s">
        <v>236</v>
      </c>
      <c r="J582" t="s">
        <v>48</v>
      </c>
      <c r="K582" t="b">
        <v>0</v>
      </c>
      <c r="L582">
        <v>1980</v>
      </c>
      <c r="M582">
        <v>56039256594</v>
      </c>
      <c r="N582">
        <v>478356755595</v>
      </c>
      <c r="O582" t="b">
        <v>1</v>
      </c>
      <c r="P582">
        <v>1</v>
      </c>
      <c r="Q582" t="str" cm="1">
        <f t="array" ref="Q582">_xlfn.IFS(Table1[[#This Row],[Wealthier_Winner]]=-1,"Wealthier Nation Loses",Table1[[#This Row],[Wealthier_Winner]]=0,"Tie",Table1[[#This Row],[Wealthier_Winner]]=1,"Wealthier Nation Wins")</f>
        <v>Wealthier Nation Wins</v>
      </c>
    </row>
    <row r="583" spans="1:17" x14ac:dyDescent="0.2">
      <c r="A583" s="1">
        <v>1367</v>
      </c>
      <c r="B583" s="2">
        <v>29561</v>
      </c>
      <c r="C583" s="7">
        <f>_xlfn.FLOOR.MATH(Table1[[#This Row],[year]],10)</f>
        <v>1980</v>
      </c>
      <c r="D583" t="s">
        <v>43</v>
      </c>
      <c r="E583" t="s">
        <v>320</v>
      </c>
      <c r="F583">
        <v>1</v>
      </c>
      <c r="G583">
        <v>1</v>
      </c>
      <c r="H583" t="s">
        <v>224</v>
      </c>
      <c r="I583" t="s">
        <v>229</v>
      </c>
      <c r="J583" t="s">
        <v>43</v>
      </c>
      <c r="K583" t="b">
        <v>0</v>
      </c>
      <c r="L583">
        <v>1980</v>
      </c>
      <c r="M583">
        <v>64201788122</v>
      </c>
      <c r="N583">
        <v>11409228086</v>
      </c>
      <c r="O583" t="b">
        <v>1</v>
      </c>
      <c r="P583">
        <v>0</v>
      </c>
      <c r="Q583" t="str" cm="1">
        <f t="array" ref="Q583">_xlfn.IFS(Table1[[#This Row],[Wealthier_Winner]]=-1,"Wealthier Nation Loses",Table1[[#This Row],[Wealthier_Winner]]=0,"Tie",Table1[[#This Row],[Wealthier_Winner]]=1,"Wealthier Nation Wins")</f>
        <v>Tie</v>
      </c>
    </row>
    <row r="584" spans="1:17" x14ac:dyDescent="0.2">
      <c r="A584" s="1">
        <v>1368</v>
      </c>
      <c r="B584" s="2">
        <v>29562</v>
      </c>
      <c r="C584" s="7">
        <f>_xlfn.FLOOR.MATH(Table1[[#This Row],[year]],10)</f>
        <v>1980</v>
      </c>
      <c r="D584" t="s">
        <v>378</v>
      </c>
      <c r="E584" t="s">
        <v>305</v>
      </c>
      <c r="F584">
        <v>0</v>
      </c>
      <c r="G584">
        <v>0</v>
      </c>
      <c r="H584" t="s">
        <v>224</v>
      </c>
      <c r="I584" t="s">
        <v>379</v>
      </c>
      <c r="J584" t="s">
        <v>378</v>
      </c>
      <c r="K584" t="b">
        <v>0</v>
      </c>
      <c r="L584">
        <v>1980</v>
      </c>
      <c r="M584">
        <v>854711500</v>
      </c>
      <c r="N584">
        <v>9746524915</v>
      </c>
      <c r="O584" t="b">
        <v>1</v>
      </c>
      <c r="P584">
        <v>0</v>
      </c>
      <c r="Q584" t="str" cm="1">
        <f t="array" ref="Q584">_xlfn.IFS(Table1[[#This Row],[Wealthier_Winner]]=-1,"Wealthier Nation Loses",Table1[[#This Row],[Wealthier_Winner]]=0,"Tie",Table1[[#This Row],[Wealthier_Winner]]=1,"Wealthier Nation Wins")</f>
        <v>Tie</v>
      </c>
    </row>
    <row r="585" spans="1:17" x14ac:dyDescent="0.2">
      <c r="A585" s="1">
        <v>1370</v>
      </c>
      <c r="B585" s="2">
        <v>29567</v>
      </c>
      <c r="C585" s="7">
        <f>_xlfn.FLOOR.MATH(Table1[[#This Row],[year]],10)</f>
        <v>1980</v>
      </c>
      <c r="D585" t="s">
        <v>32</v>
      </c>
      <c r="E585" t="s">
        <v>274</v>
      </c>
      <c r="F585">
        <v>2</v>
      </c>
      <c r="G585">
        <v>0</v>
      </c>
      <c r="H585" t="s">
        <v>224</v>
      </c>
      <c r="I585" t="s">
        <v>380</v>
      </c>
      <c r="J585" t="s">
        <v>32</v>
      </c>
      <c r="K585" t="b">
        <v>0</v>
      </c>
      <c r="L585">
        <v>1980</v>
      </c>
      <c r="M585">
        <v>42345829079</v>
      </c>
      <c r="N585">
        <v>8951800000</v>
      </c>
      <c r="O585" t="b">
        <v>1</v>
      </c>
      <c r="P585">
        <v>1</v>
      </c>
      <c r="Q585" t="str" cm="1">
        <f t="array" ref="Q585">_xlfn.IFS(Table1[[#This Row],[Wealthier_Winner]]=-1,"Wealthier Nation Loses",Table1[[#This Row],[Wealthier_Winner]]=0,"Tie",Table1[[#This Row],[Wealthier_Winner]]=1,"Wealthier Nation Wins")</f>
        <v>Wealthier Nation Wins</v>
      </c>
    </row>
    <row r="586" spans="1:17" x14ac:dyDescent="0.2">
      <c r="A586" s="1">
        <v>1371</v>
      </c>
      <c r="B586" s="2">
        <v>29569</v>
      </c>
      <c r="C586" s="7">
        <f>_xlfn.FLOOR.MATH(Table1[[#This Row],[year]],10)</f>
        <v>1980</v>
      </c>
      <c r="D586" t="s">
        <v>343</v>
      </c>
      <c r="E586" t="s">
        <v>62</v>
      </c>
      <c r="F586">
        <v>0</v>
      </c>
      <c r="G586">
        <v>1</v>
      </c>
      <c r="H586" t="s">
        <v>224</v>
      </c>
      <c r="I586" t="s">
        <v>349</v>
      </c>
      <c r="J586" t="s">
        <v>343</v>
      </c>
      <c r="K586" t="b">
        <v>0</v>
      </c>
      <c r="L586">
        <v>1980</v>
      </c>
      <c r="M586">
        <v>2508524720</v>
      </c>
      <c r="N586">
        <v>1604836915</v>
      </c>
      <c r="O586" t="b">
        <v>0</v>
      </c>
      <c r="P586">
        <v>-1</v>
      </c>
      <c r="Q586" t="str" cm="1">
        <f t="array" ref="Q586">_xlfn.IFS(Table1[[#This Row],[Wealthier_Winner]]=-1,"Wealthier Nation Loses",Table1[[#This Row],[Wealthier_Winner]]=0,"Tie",Table1[[#This Row],[Wealthier_Winner]]=1,"Wealthier Nation Wins")</f>
        <v>Wealthier Nation Loses</v>
      </c>
    </row>
    <row r="587" spans="1:17" x14ac:dyDescent="0.2">
      <c r="A587" s="1">
        <v>1372</v>
      </c>
      <c r="B587" s="2">
        <v>29572</v>
      </c>
      <c r="C587" s="7">
        <f>_xlfn.FLOOR.MATH(Table1[[#This Row],[year]],10)</f>
        <v>1980</v>
      </c>
      <c r="D587" t="s">
        <v>38</v>
      </c>
      <c r="E587" t="s">
        <v>22</v>
      </c>
      <c r="F587">
        <v>3</v>
      </c>
      <c r="G587">
        <v>0</v>
      </c>
      <c r="H587" t="s">
        <v>224</v>
      </c>
      <c r="I587" t="s">
        <v>291</v>
      </c>
      <c r="J587" t="s">
        <v>38</v>
      </c>
      <c r="K587" t="b">
        <v>0</v>
      </c>
      <c r="L587">
        <v>1980</v>
      </c>
      <c r="M587">
        <v>32896519823</v>
      </c>
      <c r="N587">
        <v>25395256477</v>
      </c>
      <c r="O587" t="b">
        <v>0</v>
      </c>
      <c r="P587">
        <v>1</v>
      </c>
      <c r="Q587" t="str" cm="1">
        <f t="array" ref="Q587">_xlfn.IFS(Table1[[#This Row],[Wealthier_Winner]]=-1,"Wealthier Nation Loses",Table1[[#This Row],[Wealthier_Winner]]=0,"Tie",Table1[[#This Row],[Wealthier_Winner]]=1,"Wealthier Nation Wins")</f>
        <v>Wealthier Nation Wins</v>
      </c>
    </row>
    <row r="588" spans="1:17" x14ac:dyDescent="0.2">
      <c r="A588" s="1">
        <v>1373</v>
      </c>
      <c r="B588" s="2">
        <v>29575</v>
      </c>
      <c r="C588" s="7">
        <f>_xlfn.FLOOR.MATH(Table1[[#This Row],[year]],10)</f>
        <v>1980</v>
      </c>
      <c r="D588" t="s">
        <v>320</v>
      </c>
      <c r="E588" t="s">
        <v>43</v>
      </c>
      <c r="F588">
        <v>0</v>
      </c>
      <c r="G588">
        <v>2</v>
      </c>
      <c r="H588" t="s">
        <v>224</v>
      </c>
      <c r="I588" t="s">
        <v>321</v>
      </c>
      <c r="J588" t="s">
        <v>320</v>
      </c>
      <c r="K588" t="b">
        <v>0</v>
      </c>
      <c r="L588">
        <v>1980</v>
      </c>
      <c r="M588">
        <v>11409228086</v>
      </c>
      <c r="N588">
        <v>64201788122</v>
      </c>
      <c r="O588" t="b">
        <v>1</v>
      </c>
      <c r="P588">
        <v>1</v>
      </c>
      <c r="Q588" t="str" cm="1">
        <f t="array" ref="Q588">_xlfn.IFS(Table1[[#This Row],[Wealthier_Winner]]=-1,"Wealthier Nation Loses",Table1[[#This Row],[Wealthier_Winner]]=0,"Tie",Table1[[#This Row],[Wealthier_Winner]]=1,"Wealthier Nation Wins")</f>
        <v>Wealthier Nation Wins</v>
      </c>
    </row>
    <row r="589" spans="1:17" x14ac:dyDescent="0.2">
      <c r="A589" s="1">
        <v>1375</v>
      </c>
      <c r="B589" s="2">
        <v>29576</v>
      </c>
      <c r="C589" s="7">
        <f>_xlfn.FLOOR.MATH(Table1[[#This Row],[year]],10)</f>
        <v>1980</v>
      </c>
      <c r="D589" t="s">
        <v>351</v>
      </c>
      <c r="E589" t="s">
        <v>23</v>
      </c>
      <c r="F589">
        <v>0</v>
      </c>
      <c r="G589">
        <v>2</v>
      </c>
      <c r="H589" t="s">
        <v>224</v>
      </c>
      <c r="I589" t="s">
        <v>381</v>
      </c>
      <c r="J589" t="s">
        <v>351</v>
      </c>
      <c r="K589" t="b">
        <v>0</v>
      </c>
      <c r="L589">
        <v>1980</v>
      </c>
      <c r="M589">
        <v>2154311276</v>
      </c>
      <c r="N589">
        <v>126829314388</v>
      </c>
      <c r="O589" t="b">
        <v>1</v>
      </c>
      <c r="P589">
        <v>1</v>
      </c>
      <c r="Q589" t="str" cm="1">
        <f t="array" ref="Q589">_xlfn.IFS(Table1[[#This Row],[Wealthier_Winner]]=-1,"Wealthier Nation Loses",Table1[[#This Row],[Wealthier_Winner]]=0,"Tie",Table1[[#This Row],[Wealthier_Winner]]=1,"Wealthier Nation Wins")</f>
        <v>Wealthier Nation Wins</v>
      </c>
    </row>
    <row r="590" spans="1:17" x14ac:dyDescent="0.2">
      <c r="A590" s="1">
        <v>1376</v>
      </c>
      <c r="B590" s="2">
        <v>29576</v>
      </c>
      <c r="C590" s="7">
        <f>_xlfn.FLOOR.MATH(Table1[[#This Row],[year]],10)</f>
        <v>1980</v>
      </c>
      <c r="D590" t="s">
        <v>305</v>
      </c>
      <c r="E590" t="s">
        <v>378</v>
      </c>
      <c r="F590">
        <v>1</v>
      </c>
      <c r="G590">
        <v>0</v>
      </c>
      <c r="H590" t="s">
        <v>224</v>
      </c>
      <c r="I590" t="s">
        <v>306</v>
      </c>
      <c r="J590" t="s">
        <v>305</v>
      </c>
      <c r="K590" t="b">
        <v>0</v>
      </c>
      <c r="L590">
        <v>1980</v>
      </c>
      <c r="M590">
        <v>9746524915</v>
      </c>
      <c r="N590">
        <v>854711500</v>
      </c>
      <c r="O590" t="b">
        <v>1</v>
      </c>
      <c r="P590">
        <v>1</v>
      </c>
      <c r="Q590" t="str" cm="1">
        <f t="array" ref="Q590">_xlfn.IFS(Table1[[#This Row],[Wealthier_Winner]]=-1,"Wealthier Nation Loses",Table1[[#This Row],[Wealthier_Winner]]=0,"Tie",Table1[[#This Row],[Wealthier_Winner]]=1,"Wealthier Nation Wins")</f>
        <v>Wealthier Nation Wins</v>
      </c>
    </row>
    <row r="591" spans="1:17" x14ac:dyDescent="0.2">
      <c r="A591" s="1">
        <v>1379</v>
      </c>
      <c r="B591" s="2">
        <v>29577</v>
      </c>
      <c r="C591" s="7">
        <f>_xlfn.FLOOR.MATH(Table1[[#This Row],[year]],10)</f>
        <v>1980</v>
      </c>
      <c r="D591" t="s">
        <v>359</v>
      </c>
      <c r="E591" t="s">
        <v>51</v>
      </c>
      <c r="F591">
        <v>0</v>
      </c>
      <c r="G591">
        <v>1</v>
      </c>
      <c r="H591" t="s">
        <v>224</v>
      </c>
      <c r="I591" t="s">
        <v>339</v>
      </c>
      <c r="J591" t="s">
        <v>340</v>
      </c>
      <c r="K591" t="b">
        <v>1</v>
      </c>
      <c r="L591">
        <v>1980</v>
      </c>
      <c r="M591">
        <v>11896256782</v>
      </c>
      <c r="N591">
        <v>1129377244854</v>
      </c>
      <c r="O591" t="b">
        <v>1</v>
      </c>
      <c r="P591">
        <v>1</v>
      </c>
      <c r="Q591" t="str" cm="1">
        <f t="array" ref="Q591">_xlfn.IFS(Table1[[#This Row],[Wealthier_Winner]]=-1,"Wealthier Nation Loses",Table1[[#This Row],[Wealthier_Winner]]=0,"Tie",Table1[[#This Row],[Wealthier_Winner]]=1,"Wealthier Nation Wins")</f>
        <v>Wealthier Nation Wins</v>
      </c>
    </row>
    <row r="592" spans="1:17" x14ac:dyDescent="0.2">
      <c r="A592" s="1">
        <v>1386</v>
      </c>
      <c r="B592" s="2">
        <v>29583</v>
      </c>
      <c r="C592" s="7">
        <f>_xlfn.FLOOR.MATH(Table1[[#This Row],[year]],10)</f>
        <v>1980</v>
      </c>
      <c r="D592" t="s">
        <v>274</v>
      </c>
      <c r="E592" t="s">
        <v>32</v>
      </c>
      <c r="F592">
        <v>1</v>
      </c>
      <c r="G592">
        <v>1</v>
      </c>
      <c r="H592" t="s">
        <v>224</v>
      </c>
      <c r="I592" t="s">
        <v>278</v>
      </c>
      <c r="J592" t="s">
        <v>274</v>
      </c>
      <c r="K592" t="b">
        <v>0</v>
      </c>
      <c r="L592">
        <v>1980</v>
      </c>
      <c r="M592">
        <v>8951800000</v>
      </c>
      <c r="N592">
        <v>42345829079</v>
      </c>
      <c r="O592" t="b">
        <v>1</v>
      </c>
      <c r="P592">
        <v>0</v>
      </c>
      <c r="Q592" t="str" cm="1">
        <f t="array" ref="Q592">_xlfn.IFS(Table1[[#This Row],[Wealthier_Winner]]=-1,"Wealthier Nation Loses",Table1[[#This Row],[Wealthier_Winner]]=0,"Tie",Table1[[#This Row],[Wealthier_Winner]]=1,"Wealthier Nation Wins")</f>
        <v>Tie</v>
      </c>
    </row>
    <row r="593" spans="1:17" x14ac:dyDescent="0.2">
      <c r="A593" s="1">
        <v>1387</v>
      </c>
      <c r="B593" s="2">
        <v>29583</v>
      </c>
      <c r="C593" s="7">
        <f>_xlfn.FLOOR.MATH(Table1[[#This Row],[year]],10)</f>
        <v>1980</v>
      </c>
      <c r="D593" t="s">
        <v>62</v>
      </c>
      <c r="E593" t="s">
        <v>343</v>
      </c>
      <c r="F593">
        <v>1</v>
      </c>
      <c r="G593">
        <v>2</v>
      </c>
      <c r="H593" t="s">
        <v>224</v>
      </c>
      <c r="I593" t="s">
        <v>353</v>
      </c>
      <c r="J593" t="s">
        <v>62</v>
      </c>
      <c r="K593" t="b">
        <v>0</v>
      </c>
      <c r="L593">
        <v>1980</v>
      </c>
      <c r="M593">
        <v>1604836915</v>
      </c>
      <c r="N593">
        <v>2508524720</v>
      </c>
      <c r="O593" t="b">
        <v>0</v>
      </c>
      <c r="P593">
        <v>1</v>
      </c>
      <c r="Q593" t="str" cm="1">
        <f t="array" ref="Q593">_xlfn.IFS(Table1[[#This Row],[Wealthier_Winner]]=-1,"Wealthier Nation Loses",Table1[[#This Row],[Wealthier_Winner]]=0,"Tie",Table1[[#This Row],[Wealthier_Winner]]=1,"Wealthier Nation Wins")</f>
        <v>Wealthier Nation Wins</v>
      </c>
    </row>
    <row r="594" spans="1:17" x14ac:dyDescent="0.2">
      <c r="A594" s="1">
        <v>1391</v>
      </c>
      <c r="B594" s="2">
        <v>29614</v>
      </c>
      <c r="C594" s="7">
        <f>_xlfn.FLOOR.MATH(Table1[[#This Row],[year]],10)</f>
        <v>1980</v>
      </c>
      <c r="D594" t="s">
        <v>48</v>
      </c>
      <c r="E594" t="s">
        <v>232</v>
      </c>
      <c r="F594">
        <v>2</v>
      </c>
      <c r="G594">
        <v>0</v>
      </c>
      <c r="H594" t="s">
        <v>224</v>
      </c>
      <c r="I594" t="s">
        <v>295</v>
      </c>
      <c r="J594" t="s">
        <v>48</v>
      </c>
      <c r="K594" t="b">
        <v>0</v>
      </c>
      <c r="L594">
        <v>1981</v>
      </c>
      <c r="M594">
        <v>51618456334</v>
      </c>
      <c r="N594">
        <v>5053665797</v>
      </c>
      <c r="O594" t="b">
        <v>1</v>
      </c>
      <c r="P594">
        <v>1</v>
      </c>
      <c r="Q594" t="str" cm="1">
        <f t="array" ref="Q594">_xlfn.IFS(Table1[[#This Row],[Wealthier_Winner]]=-1,"Wealthier Nation Loses",Table1[[#This Row],[Wealthier_Winner]]=0,"Tie",Table1[[#This Row],[Wealthier_Winner]]=1,"Wealthier Nation Wins")</f>
        <v>Wealthier Nation Wins</v>
      </c>
    </row>
    <row r="595" spans="1:17" x14ac:dyDescent="0.2">
      <c r="A595" s="1">
        <v>1392</v>
      </c>
      <c r="B595" s="2">
        <v>29625</v>
      </c>
      <c r="C595" s="7">
        <f>_xlfn.FLOOR.MATH(Table1[[#This Row],[year]],10)</f>
        <v>1980</v>
      </c>
      <c r="D595" t="s">
        <v>258</v>
      </c>
      <c r="E595" t="s">
        <v>13</v>
      </c>
      <c r="F595">
        <v>0</v>
      </c>
      <c r="G595">
        <v>1</v>
      </c>
      <c r="H595" t="s">
        <v>224</v>
      </c>
      <c r="I595" t="s">
        <v>260</v>
      </c>
      <c r="J595" t="s">
        <v>258</v>
      </c>
      <c r="K595" t="b">
        <v>0</v>
      </c>
      <c r="L595">
        <v>1981</v>
      </c>
      <c r="M595">
        <v>66327441860</v>
      </c>
      <c r="N595">
        <v>258015174748</v>
      </c>
      <c r="O595" t="b">
        <v>1</v>
      </c>
      <c r="P595">
        <v>1</v>
      </c>
      <c r="Q595" t="str" cm="1">
        <f t="array" ref="Q595">_xlfn.IFS(Table1[[#This Row],[Wealthier_Winner]]=-1,"Wealthier Nation Loses",Table1[[#This Row],[Wealthier_Winner]]=0,"Tie",Table1[[#This Row],[Wealthier_Winner]]=1,"Wealthier Nation Wins")</f>
        <v>Wealthier Nation Wins</v>
      </c>
    </row>
    <row r="596" spans="1:17" x14ac:dyDescent="0.2">
      <c r="A596" s="1">
        <v>1393</v>
      </c>
      <c r="B596" s="2">
        <v>29632</v>
      </c>
      <c r="C596" s="7">
        <f>_xlfn.FLOOR.MATH(Table1[[#This Row],[year]],10)</f>
        <v>1980</v>
      </c>
      <c r="D596" t="s">
        <v>47</v>
      </c>
      <c r="E596" t="s">
        <v>258</v>
      </c>
      <c r="F596">
        <v>3</v>
      </c>
      <c r="G596">
        <v>0</v>
      </c>
      <c r="H596" t="s">
        <v>224</v>
      </c>
      <c r="I596" t="s">
        <v>246</v>
      </c>
      <c r="J596" t="s">
        <v>47</v>
      </c>
      <c r="K596" t="b">
        <v>0</v>
      </c>
      <c r="L596">
        <v>1981</v>
      </c>
      <c r="M596">
        <v>5891598694</v>
      </c>
      <c r="N596">
        <v>66327441860</v>
      </c>
      <c r="O596" t="b">
        <v>1</v>
      </c>
      <c r="P596">
        <v>-1</v>
      </c>
      <c r="Q596" t="str" cm="1">
        <f t="array" ref="Q596">_xlfn.IFS(Table1[[#This Row],[Wealthier_Winner]]=-1,"Wealthier Nation Loses",Table1[[#This Row],[Wealthier_Winner]]=0,"Tie",Table1[[#This Row],[Wealthier_Winner]]=1,"Wealthier Nation Wins")</f>
        <v>Wealthier Nation Loses</v>
      </c>
    </row>
    <row r="597" spans="1:17" x14ac:dyDescent="0.2">
      <c r="A597" s="1">
        <v>1394</v>
      </c>
      <c r="B597" s="2">
        <v>29635</v>
      </c>
      <c r="C597" s="7">
        <f>_xlfn.FLOOR.MATH(Table1[[#This Row],[year]],10)</f>
        <v>1980</v>
      </c>
      <c r="D597" t="s">
        <v>23</v>
      </c>
      <c r="E597" t="s">
        <v>351</v>
      </c>
      <c r="F597">
        <v>3</v>
      </c>
      <c r="G597">
        <v>2</v>
      </c>
      <c r="H597" t="s">
        <v>224</v>
      </c>
      <c r="I597" t="s">
        <v>235</v>
      </c>
      <c r="J597" t="s">
        <v>23</v>
      </c>
      <c r="K597" t="b">
        <v>0</v>
      </c>
      <c r="L597">
        <v>1981</v>
      </c>
      <c r="M597">
        <v>104730018470</v>
      </c>
      <c r="N597">
        <v>2087496373</v>
      </c>
      <c r="O597" t="b">
        <v>1</v>
      </c>
      <c r="P597">
        <v>1</v>
      </c>
      <c r="Q597" t="str" cm="1">
        <f t="array" ref="Q597">_xlfn.IFS(Table1[[#This Row],[Wealthier_Winner]]=-1,"Wealthier Nation Loses",Table1[[#This Row],[Wealthier_Winner]]=0,"Tie",Table1[[#This Row],[Wealthier_Winner]]=1,"Wealthier Nation Wins")</f>
        <v>Wealthier Nation Wins</v>
      </c>
    </row>
    <row r="598" spans="1:17" x14ac:dyDescent="0.2">
      <c r="A598" s="1">
        <v>1395</v>
      </c>
      <c r="B598" s="2">
        <v>29639</v>
      </c>
      <c r="C598" s="7">
        <f>_xlfn.FLOOR.MATH(Table1[[#This Row],[year]],10)</f>
        <v>1980</v>
      </c>
      <c r="D598" t="s">
        <v>47</v>
      </c>
      <c r="E598" t="s">
        <v>13</v>
      </c>
      <c r="F598">
        <v>1</v>
      </c>
      <c r="G598">
        <v>2</v>
      </c>
      <c r="H598" t="s">
        <v>224</v>
      </c>
      <c r="I598" t="s">
        <v>246</v>
      </c>
      <c r="J598" t="s">
        <v>47</v>
      </c>
      <c r="K598" t="b">
        <v>0</v>
      </c>
      <c r="L598">
        <v>1981</v>
      </c>
      <c r="M598">
        <v>5891598694</v>
      </c>
      <c r="N598">
        <v>258015174748</v>
      </c>
      <c r="O598" t="b">
        <v>1</v>
      </c>
      <c r="P598">
        <v>1</v>
      </c>
      <c r="Q598" t="str" cm="1">
        <f t="array" ref="Q598">_xlfn.IFS(Table1[[#This Row],[Wealthier_Winner]]=-1,"Wealthier Nation Loses",Table1[[#This Row],[Wealthier_Winner]]=0,"Tie",Table1[[#This Row],[Wealthier_Winner]]=1,"Wealthier Nation Wins")</f>
        <v>Wealthier Nation Wins</v>
      </c>
    </row>
    <row r="599" spans="1:17" x14ac:dyDescent="0.2">
      <c r="A599" s="1">
        <v>1396</v>
      </c>
      <c r="B599" s="2">
        <v>29639</v>
      </c>
      <c r="C599" s="7">
        <f>_xlfn.FLOOR.MATH(Table1[[#This Row],[year]],10)</f>
        <v>1980</v>
      </c>
      <c r="D599" t="s">
        <v>27</v>
      </c>
      <c r="E599" t="s">
        <v>351</v>
      </c>
      <c r="F599">
        <v>3</v>
      </c>
      <c r="G599">
        <v>0</v>
      </c>
      <c r="H599" t="s">
        <v>224</v>
      </c>
      <c r="I599" t="s">
        <v>382</v>
      </c>
      <c r="J599" t="s">
        <v>27</v>
      </c>
      <c r="K599" t="b">
        <v>0</v>
      </c>
      <c r="L599">
        <v>1981</v>
      </c>
      <c r="M599">
        <v>164375775854</v>
      </c>
      <c r="N599">
        <v>2087496373</v>
      </c>
      <c r="O599" t="b">
        <v>1</v>
      </c>
      <c r="P599">
        <v>1</v>
      </c>
      <c r="Q599" t="str" cm="1">
        <f t="array" ref="Q599">_xlfn.IFS(Table1[[#This Row],[Wealthier_Winner]]=-1,"Wealthier Nation Loses",Table1[[#This Row],[Wealthier_Winner]]=0,"Tie",Table1[[#This Row],[Wealthier_Winner]]=1,"Wealthier Nation Wins")</f>
        <v>Wealthier Nation Wins</v>
      </c>
    </row>
    <row r="600" spans="1:17" x14ac:dyDescent="0.2">
      <c r="A600" s="1">
        <v>1398</v>
      </c>
      <c r="B600" s="2">
        <v>29656</v>
      </c>
      <c r="C600" s="7">
        <f>_xlfn.FLOOR.MATH(Table1[[#This Row],[year]],10)</f>
        <v>1980</v>
      </c>
      <c r="D600" t="s">
        <v>232</v>
      </c>
      <c r="E600" t="s">
        <v>48</v>
      </c>
      <c r="F600">
        <v>0</v>
      </c>
      <c r="G600">
        <v>2</v>
      </c>
      <c r="H600" t="s">
        <v>224</v>
      </c>
      <c r="I600" t="s">
        <v>232</v>
      </c>
      <c r="J600" t="s">
        <v>232</v>
      </c>
      <c r="K600" t="b">
        <v>0</v>
      </c>
      <c r="L600">
        <v>1981</v>
      </c>
      <c r="M600">
        <v>5053665797</v>
      </c>
      <c r="N600">
        <v>51618456334</v>
      </c>
      <c r="O600" t="b">
        <v>1</v>
      </c>
      <c r="P600">
        <v>1</v>
      </c>
      <c r="Q600" t="str" cm="1">
        <f t="array" ref="Q600">_xlfn.IFS(Table1[[#This Row],[Wealthier_Winner]]=-1,"Wealthier Nation Loses",Table1[[#This Row],[Wealthier_Winner]]=0,"Tie",Table1[[#This Row],[Wealthier_Winner]]=1,"Wealthier Nation Wins")</f>
        <v>Wealthier Nation Wins</v>
      </c>
    </row>
    <row r="601" spans="1:17" x14ac:dyDescent="0.2">
      <c r="A601" s="1">
        <v>1399</v>
      </c>
      <c r="B601" s="2">
        <v>29660</v>
      </c>
      <c r="C601" s="7">
        <f>_xlfn.FLOOR.MATH(Table1[[#This Row],[year]],10)</f>
        <v>1980</v>
      </c>
      <c r="D601" t="s">
        <v>258</v>
      </c>
      <c r="E601" t="s">
        <v>47</v>
      </c>
      <c r="F601">
        <v>1</v>
      </c>
      <c r="G601">
        <v>0</v>
      </c>
      <c r="H601" t="s">
        <v>224</v>
      </c>
      <c r="I601" t="s">
        <v>260</v>
      </c>
      <c r="J601" t="s">
        <v>258</v>
      </c>
      <c r="K601" t="b">
        <v>0</v>
      </c>
      <c r="L601">
        <v>1981</v>
      </c>
      <c r="M601">
        <v>66327441860</v>
      </c>
      <c r="N601">
        <v>5891598694</v>
      </c>
      <c r="O601" t="b">
        <v>1</v>
      </c>
      <c r="P601">
        <v>1</v>
      </c>
      <c r="Q601" t="str" cm="1">
        <f t="array" ref="Q601">_xlfn.IFS(Table1[[#This Row],[Wealthier_Winner]]=-1,"Wealthier Nation Loses",Table1[[#This Row],[Wealthier_Winner]]=0,"Tie",Table1[[#This Row],[Wealthier_Winner]]=1,"Wealthier Nation Wins")</f>
        <v>Wealthier Nation Wins</v>
      </c>
    </row>
    <row r="602" spans="1:17" x14ac:dyDescent="0.2">
      <c r="A602" s="1">
        <v>1400</v>
      </c>
      <c r="B602" s="2">
        <v>29663</v>
      </c>
      <c r="C602" s="7">
        <f>_xlfn.FLOOR.MATH(Table1[[#This Row],[year]],10)</f>
        <v>1980</v>
      </c>
      <c r="D602" t="s">
        <v>68</v>
      </c>
      <c r="E602" t="s">
        <v>37</v>
      </c>
      <c r="F602">
        <v>0</v>
      </c>
      <c r="G602">
        <v>1</v>
      </c>
      <c r="H602" t="s">
        <v>224</v>
      </c>
      <c r="I602" t="s">
        <v>356</v>
      </c>
      <c r="J602" t="s">
        <v>45</v>
      </c>
      <c r="K602" t="b">
        <v>1</v>
      </c>
      <c r="L602">
        <v>1981</v>
      </c>
      <c r="M602">
        <v>8661263763</v>
      </c>
      <c r="N602">
        <v>37823000000</v>
      </c>
      <c r="O602" t="b">
        <v>1</v>
      </c>
      <c r="P602">
        <v>1</v>
      </c>
      <c r="Q602" t="str" cm="1">
        <f t="array" ref="Q602">_xlfn.IFS(Table1[[#This Row],[Wealthier_Winner]]=-1,"Wealthier Nation Loses",Table1[[#This Row],[Wealthier_Winner]]=0,"Tie",Table1[[#This Row],[Wealthier_Winner]]=1,"Wealthier Nation Wins")</f>
        <v>Wealthier Nation Wins</v>
      </c>
    </row>
    <row r="603" spans="1:17" x14ac:dyDescent="0.2">
      <c r="A603" s="1">
        <v>1401</v>
      </c>
      <c r="B603" s="2">
        <v>29664</v>
      </c>
      <c r="C603" s="7">
        <f>_xlfn.FLOOR.MATH(Table1[[#This Row],[year]],10)</f>
        <v>1980</v>
      </c>
      <c r="D603" t="s">
        <v>331</v>
      </c>
      <c r="E603" t="s">
        <v>361</v>
      </c>
      <c r="F603">
        <v>0</v>
      </c>
      <c r="G603">
        <v>1</v>
      </c>
      <c r="H603" t="s">
        <v>224</v>
      </c>
      <c r="I603" t="s">
        <v>356</v>
      </c>
      <c r="J603" t="s">
        <v>45</v>
      </c>
      <c r="K603" t="b">
        <v>1</v>
      </c>
      <c r="L603">
        <v>1981</v>
      </c>
      <c r="M603">
        <v>15518201335</v>
      </c>
      <c r="N603">
        <v>3943109531</v>
      </c>
      <c r="O603" t="b">
        <v>1</v>
      </c>
      <c r="P603">
        <v>-1</v>
      </c>
      <c r="Q603" t="str" cm="1">
        <f t="array" ref="Q603">_xlfn.IFS(Table1[[#This Row],[Wealthier_Winner]]=-1,"Wealthier Nation Loses",Table1[[#This Row],[Wealthier_Winner]]=0,"Tie",Table1[[#This Row],[Wealthier_Winner]]=1,"Wealthier Nation Wins")</f>
        <v>Wealthier Nation Loses</v>
      </c>
    </row>
    <row r="604" spans="1:17" x14ac:dyDescent="0.2">
      <c r="A604" s="1">
        <v>1402</v>
      </c>
      <c r="B604" s="2">
        <v>29666</v>
      </c>
      <c r="C604" s="7">
        <f>_xlfn.FLOOR.MATH(Table1[[#This Row],[year]],10)</f>
        <v>1980</v>
      </c>
      <c r="D604" t="s">
        <v>45</v>
      </c>
      <c r="E604" t="s">
        <v>37</v>
      </c>
      <c r="F604">
        <v>1</v>
      </c>
      <c r="G604">
        <v>0</v>
      </c>
      <c r="H604" t="s">
        <v>224</v>
      </c>
      <c r="I604" t="s">
        <v>356</v>
      </c>
      <c r="J604" t="s">
        <v>45</v>
      </c>
      <c r="K604" t="b">
        <v>0</v>
      </c>
      <c r="L604">
        <v>1981</v>
      </c>
      <c r="M604">
        <v>184291360138</v>
      </c>
      <c r="N604">
        <v>37823000000</v>
      </c>
      <c r="O604" t="b">
        <v>1</v>
      </c>
      <c r="P604">
        <v>1</v>
      </c>
      <c r="Q604" t="str" cm="1">
        <f t="array" ref="Q604">_xlfn.IFS(Table1[[#This Row],[Wealthier_Winner]]=-1,"Wealthier Nation Loses",Table1[[#This Row],[Wealthier_Winner]]=0,"Tie",Table1[[#This Row],[Wealthier_Winner]]=1,"Wealthier Nation Wins")</f>
        <v>Wealthier Nation Wins</v>
      </c>
    </row>
    <row r="605" spans="1:17" x14ac:dyDescent="0.2">
      <c r="A605" s="1">
        <v>1403</v>
      </c>
      <c r="B605" s="2">
        <v>29667</v>
      </c>
      <c r="C605" s="7">
        <f>_xlfn.FLOOR.MATH(Table1[[#This Row],[year]],10)</f>
        <v>1980</v>
      </c>
      <c r="D605" t="s">
        <v>13</v>
      </c>
      <c r="E605" t="s">
        <v>47</v>
      </c>
      <c r="F605">
        <v>3</v>
      </c>
      <c r="G605">
        <v>1</v>
      </c>
      <c r="H605" t="s">
        <v>224</v>
      </c>
      <c r="I605" t="s">
        <v>173</v>
      </c>
      <c r="J605" t="s">
        <v>13</v>
      </c>
      <c r="K605" t="b">
        <v>0</v>
      </c>
      <c r="L605">
        <v>1981</v>
      </c>
      <c r="M605">
        <v>258015174748</v>
      </c>
      <c r="N605">
        <v>5891598694</v>
      </c>
      <c r="O605" t="b">
        <v>1</v>
      </c>
      <c r="P605">
        <v>1</v>
      </c>
      <c r="Q605" t="str" cm="1">
        <f t="array" ref="Q605">_xlfn.IFS(Table1[[#This Row],[Wealthier_Winner]]=-1,"Wealthier Nation Loses",Table1[[#This Row],[Wealthier_Winner]]=0,"Tie",Table1[[#This Row],[Wealthier_Winner]]=1,"Wealthier Nation Wins")</f>
        <v>Wealthier Nation Wins</v>
      </c>
    </row>
    <row r="606" spans="1:17" x14ac:dyDescent="0.2">
      <c r="A606" s="1">
        <v>1404</v>
      </c>
      <c r="B606" s="2">
        <v>29667</v>
      </c>
      <c r="C606" s="7">
        <f>_xlfn.FLOOR.MATH(Table1[[#This Row],[year]],10)</f>
        <v>1980</v>
      </c>
      <c r="D606" t="s">
        <v>68</v>
      </c>
      <c r="E606" t="s">
        <v>361</v>
      </c>
      <c r="F606">
        <v>3</v>
      </c>
      <c r="G606">
        <v>0</v>
      </c>
      <c r="H606" t="s">
        <v>224</v>
      </c>
      <c r="I606" t="s">
        <v>356</v>
      </c>
      <c r="J606" t="s">
        <v>45</v>
      </c>
      <c r="K606" t="b">
        <v>1</v>
      </c>
      <c r="L606">
        <v>1981</v>
      </c>
      <c r="M606">
        <v>8661263763</v>
      </c>
      <c r="N606">
        <v>3943109531</v>
      </c>
      <c r="O606" t="b">
        <v>1</v>
      </c>
      <c r="P606">
        <v>1</v>
      </c>
      <c r="Q606" t="str" cm="1">
        <f t="array" ref="Q606">_xlfn.IFS(Table1[[#This Row],[Wealthier_Winner]]=-1,"Wealthier Nation Loses",Table1[[#This Row],[Wealthier_Winner]]=0,"Tie",Table1[[#This Row],[Wealthier_Winner]]=1,"Wealthier Nation Wins")</f>
        <v>Wealthier Nation Wins</v>
      </c>
    </row>
    <row r="607" spans="1:17" x14ac:dyDescent="0.2">
      <c r="A607" s="1">
        <v>1405</v>
      </c>
      <c r="B607" s="2">
        <v>29669</v>
      </c>
      <c r="C607" s="7">
        <f>_xlfn.FLOOR.MATH(Table1[[#This Row],[year]],10)</f>
        <v>1980</v>
      </c>
      <c r="D607" t="s">
        <v>45</v>
      </c>
      <c r="E607" t="s">
        <v>331</v>
      </c>
      <c r="F607">
        <v>2</v>
      </c>
      <c r="G607">
        <v>0</v>
      </c>
      <c r="H607" t="s">
        <v>224</v>
      </c>
      <c r="I607" t="s">
        <v>356</v>
      </c>
      <c r="J607" t="s">
        <v>45</v>
      </c>
      <c r="K607" t="b">
        <v>0</v>
      </c>
      <c r="L607">
        <v>1981</v>
      </c>
      <c r="M607">
        <v>184291360138</v>
      </c>
      <c r="N607">
        <v>15518201335</v>
      </c>
      <c r="O607" t="b">
        <v>1</v>
      </c>
      <c r="P607">
        <v>1</v>
      </c>
      <c r="Q607" t="str" cm="1">
        <f t="array" ref="Q607">_xlfn.IFS(Table1[[#This Row],[Wealthier_Winner]]=-1,"Wealthier Nation Loses",Table1[[#This Row],[Wealthier_Winner]]=0,"Tie",Table1[[#This Row],[Wealthier_Winner]]=1,"Wealthier Nation Wins")</f>
        <v>Wealthier Nation Wins</v>
      </c>
    </row>
    <row r="608" spans="1:17" x14ac:dyDescent="0.2">
      <c r="A608" s="1">
        <v>1407</v>
      </c>
      <c r="B608" s="2">
        <v>29670</v>
      </c>
      <c r="C608" s="7">
        <f>_xlfn.FLOOR.MATH(Table1[[#This Row],[year]],10)</f>
        <v>1980</v>
      </c>
      <c r="D608" t="s">
        <v>37</v>
      </c>
      <c r="E608" t="s">
        <v>361</v>
      </c>
      <c r="F608">
        <v>2</v>
      </c>
      <c r="G608">
        <v>0</v>
      </c>
      <c r="H608" t="s">
        <v>224</v>
      </c>
      <c r="I608" t="s">
        <v>356</v>
      </c>
      <c r="J608" t="s">
        <v>45</v>
      </c>
      <c r="K608" t="b">
        <v>1</v>
      </c>
      <c r="L608">
        <v>1981</v>
      </c>
      <c r="M608">
        <v>37823000000</v>
      </c>
      <c r="N608">
        <v>3943109531</v>
      </c>
      <c r="O608" t="b">
        <v>1</v>
      </c>
      <c r="P608">
        <v>1</v>
      </c>
      <c r="Q608" t="str" cm="1">
        <f t="array" ref="Q608">_xlfn.IFS(Table1[[#This Row],[Wealthier_Winner]]=-1,"Wealthier Nation Loses",Table1[[#This Row],[Wealthier_Winner]]=0,"Tie",Table1[[#This Row],[Wealthier_Winner]]=1,"Wealthier Nation Wins")</f>
        <v>Wealthier Nation Wins</v>
      </c>
    </row>
    <row r="609" spans="1:17" x14ac:dyDescent="0.2">
      <c r="A609" s="1">
        <v>1408</v>
      </c>
      <c r="B609" s="2">
        <v>29670</v>
      </c>
      <c r="C609" s="7">
        <f>_xlfn.FLOOR.MATH(Table1[[#This Row],[year]],10)</f>
        <v>1980</v>
      </c>
      <c r="D609" t="s">
        <v>27</v>
      </c>
      <c r="E609" t="s">
        <v>20</v>
      </c>
      <c r="F609">
        <v>1</v>
      </c>
      <c r="G609">
        <v>0</v>
      </c>
      <c r="H609" t="s">
        <v>224</v>
      </c>
      <c r="I609" t="s">
        <v>265</v>
      </c>
      <c r="J609" t="s">
        <v>27</v>
      </c>
      <c r="K609" t="b">
        <v>0</v>
      </c>
      <c r="L609">
        <v>1981</v>
      </c>
      <c r="M609">
        <v>164375775854</v>
      </c>
      <c r="N609">
        <v>609184791792</v>
      </c>
      <c r="O609" t="b">
        <v>1</v>
      </c>
      <c r="P609">
        <v>-1</v>
      </c>
      <c r="Q609" t="str" cm="1">
        <f t="array" ref="Q609">_xlfn.IFS(Table1[[#This Row],[Wealthier_Winner]]=-1,"Wealthier Nation Loses",Table1[[#This Row],[Wealthier_Winner]]=0,"Tie",Table1[[#This Row],[Wealthier_Winner]]=1,"Wealthier Nation Wins")</f>
        <v>Wealthier Nation Loses</v>
      </c>
    </row>
    <row r="610" spans="1:17" x14ac:dyDescent="0.2">
      <c r="A610" s="1">
        <v>1411</v>
      </c>
      <c r="B610" s="2">
        <v>29672</v>
      </c>
      <c r="C610" s="7">
        <f>_xlfn.FLOOR.MATH(Table1[[#This Row],[year]],10)</f>
        <v>1980</v>
      </c>
      <c r="D610" t="s">
        <v>68</v>
      </c>
      <c r="E610" t="s">
        <v>331</v>
      </c>
      <c r="F610">
        <v>2</v>
      </c>
      <c r="G610">
        <v>1</v>
      </c>
      <c r="H610" t="s">
        <v>224</v>
      </c>
      <c r="I610" t="s">
        <v>356</v>
      </c>
      <c r="J610" t="s">
        <v>45</v>
      </c>
      <c r="K610" t="b">
        <v>1</v>
      </c>
      <c r="L610">
        <v>1981</v>
      </c>
      <c r="M610">
        <v>8661263763</v>
      </c>
      <c r="N610">
        <v>15518201335</v>
      </c>
      <c r="O610" t="b">
        <v>0</v>
      </c>
      <c r="P610">
        <v>-1</v>
      </c>
      <c r="Q610" t="str" cm="1">
        <f t="array" ref="Q610">_xlfn.IFS(Table1[[#This Row],[Wealthier_Winner]]=-1,"Wealthier Nation Loses",Table1[[#This Row],[Wealthier_Winner]]=0,"Tie",Table1[[#This Row],[Wealthier_Winner]]=1,"Wealthier Nation Wins")</f>
        <v>Wealthier Nation Loses</v>
      </c>
    </row>
    <row r="611" spans="1:17" x14ac:dyDescent="0.2">
      <c r="A611" s="1">
        <v>1412</v>
      </c>
      <c r="B611" s="2">
        <v>29673</v>
      </c>
      <c r="C611" s="7">
        <f>_xlfn.FLOOR.MATH(Table1[[#This Row],[year]],10)</f>
        <v>1980</v>
      </c>
      <c r="D611" t="s">
        <v>45</v>
      </c>
      <c r="E611" t="s">
        <v>361</v>
      </c>
      <c r="F611">
        <v>1</v>
      </c>
      <c r="G611">
        <v>0</v>
      </c>
      <c r="H611" t="s">
        <v>224</v>
      </c>
      <c r="I611" t="s">
        <v>356</v>
      </c>
      <c r="J611" t="s">
        <v>45</v>
      </c>
      <c r="K611" t="b">
        <v>0</v>
      </c>
      <c r="L611">
        <v>1981</v>
      </c>
      <c r="M611">
        <v>184291360138</v>
      </c>
      <c r="N611">
        <v>3943109531</v>
      </c>
      <c r="O611" t="b">
        <v>1</v>
      </c>
      <c r="P611">
        <v>1</v>
      </c>
      <c r="Q611" t="str" cm="1">
        <f t="array" ref="Q611">_xlfn.IFS(Table1[[#This Row],[Wealthier_Winner]]=-1,"Wealthier Nation Loses",Table1[[#This Row],[Wealthier_Winner]]=0,"Tie",Table1[[#This Row],[Wealthier_Winner]]=1,"Wealthier Nation Wins")</f>
        <v>Wealthier Nation Wins</v>
      </c>
    </row>
    <row r="612" spans="1:17" x14ac:dyDescent="0.2">
      <c r="A612" s="1">
        <v>1413</v>
      </c>
      <c r="B612" s="2">
        <v>29674</v>
      </c>
      <c r="C612" s="7">
        <f>_xlfn.FLOOR.MATH(Table1[[#This Row],[year]],10)</f>
        <v>1980</v>
      </c>
      <c r="D612" t="s">
        <v>13</v>
      </c>
      <c r="E612" t="s">
        <v>258</v>
      </c>
      <c r="F612">
        <v>5</v>
      </c>
      <c r="G612">
        <v>0</v>
      </c>
      <c r="H612" t="s">
        <v>224</v>
      </c>
      <c r="I612" t="s">
        <v>383</v>
      </c>
      <c r="J612" t="s">
        <v>13</v>
      </c>
      <c r="K612" t="b">
        <v>0</v>
      </c>
      <c r="L612">
        <v>1981</v>
      </c>
      <c r="M612">
        <v>258015174748</v>
      </c>
      <c r="N612">
        <v>66327441860</v>
      </c>
      <c r="O612" t="b">
        <v>1</v>
      </c>
      <c r="P612">
        <v>1</v>
      </c>
      <c r="Q612" t="str" cm="1">
        <f t="array" ref="Q612">_xlfn.IFS(Table1[[#This Row],[Wealthier_Winner]]=-1,"Wealthier Nation Loses",Table1[[#This Row],[Wealthier_Winner]]=0,"Tie",Table1[[#This Row],[Wealthier_Winner]]=1,"Wealthier Nation Wins")</f>
        <v>Wealthier Nation Wins</v>
      </c>
    </row>
    <row r="613" spans="1:17" x14ac:dyDescent="0.2">
      <c r="A613" s="1">
        <v>1414</v>
      </c>
      <c r="B613" s="2">
        <v>29675</v>
      </c>
      <c r="C613" s="7">
        <f>_xlfn.FLOOR.MATH(Table1[[#This Row],[year]],10)</f>
        <v>1980</v>
      </c>
      <c r="D613" t="s">
        <v>37</v>
      </c>
      <c r="E613" t="s">
        <v>331</v>
      </c>
      <c r="F613">
        <v>2</v>
      </c>
      <c r="G613">
        <v>1</v>
      </c>
      <c r="H613" t="s">
        <v>224</v>
      </c>
      <c r="I613" t="s">
        <v>356</v>
      </c>
      <c r="J613" t="s">
        <v>45</v>
      </c>
      <c r="K613" t="b">
        <v>1</v>
      </c>
      <c r="L613">
        <v>1981</v>
      </c>
      <c r="M613">
        <v>37823000000</v>
      </c>
      <c r="N613">
        <v>15518201335</v>
      </c>
      <c r="O613" t="b">
        <v>1</v>
      </c>
      <c r="P613">
        <v>1</v>
      </c>
      <c r="Q613" t="str" cm="1">
        <f t="array" ref="Q613">_xlfn.IFS(Table1[[#This Row],[Wealthier_Winner]]=-1,"Wealthier Nation Loses",Table1[[#This Row],[Wealthier_Winner]]=0,"Tie",Table1[[#This Row],[Wealthier_Winner]]=1,"Wealthier Nation Wins")</f>
        <v>Wealthier Nation Wins</v>
      </c>
    </row>
    <row r="614" spans="1:17" x14ac:dyDescent="0.2">
      <c r="A614" s="1">
        <v>1415</v>
      </c>
      <c r="B614" s="2">
        <v>29676</v>
      </c>
      <c r="C614" s="7">
        <f>_xlfn.FLOOR.MATH(Table1[[#This Row],[year]],10)</f>
        <v>1980</v>
      </c>
      <c r="D614" t="s">
        <v>45</v>
      </c>
      <c r="E614" t="s">
        <v>68</v>
      </c>
      <c r="F614">
        <v>1</v>
      </c>
      <c r="G614">
        <v>0</v>
      </c>
      <c r="H614" t="s">
        <v>224</v>
      </c>
      <c r="I614" t="s">
        <v>356</v>
      </c>
      <c r="J614" t="s">
        <v>45</v>
      </c>
      <c r="K614" t="b">
        <v>0</v>
      </c>
      <c r="L614">
        <v>1981</v>
      </c>
      <c r="M614">
        <v>184291360138</v>
      </c>
      <c r="N614">
        <v>8661263763</v>
      </c>
      <c r="O614" t="b">
        <v>1</v>
      </c>
      <c r="P614">
        <v>1</v>
      </c>
      <c r="Q614" t="str" cm="1">
        <f t="array" ref="Q614">_xlfn.IFS(Table1[[#This Row],[Wealthier_Winner]]=-1,"Wealthier Nation Loses",Table1[[#This Row],[Wealthier_Winner]]=0,"Tie",Table1[[#This Row],[Wealthier_Winner]]=1,"Wealthier Nation Wins")</f>
        <v>Wealthier Nation Wins</v>
      </c>
    </row>
    <row r="615" spans="1:17" x14ac:dyDescent="0.2">
      <c r="A615" s="1">
        <v>1416</v>
      </c>
      <c r="B615" s="2">
        <v>29677</v>
      </c>
      <c r="C615" s="7">
        <f>_xlfn.FLOOR.MATH(Table1[[#This Row],[year]],10)</f>
        <v>1980</v>
      </c>
      <c r="D615" t="s">
        <v>373</v>
      </c>
      <c r="E615" t="s">
        <v>16</v>
      </c>
      <c r="F615">
        <v>0</v>
      </c>
      <c r="G615">
        <v>2</v>
      </c>
      <c r="H615" t="s">
        <v>224</v>
      </c>
      <c r="I615" t="s">
        <v>374</v>
      </c>
      <c r="J615" t="s">
        <v>373</v>
      </c>
      <c r="K615" t="b">
        <v>0</v>
      </c>
      <c r="L615">
        <v>1981</v>
      </c>
      <c r="M615">
        <v>1808177156</v>
      </c>
      <c r="N615">
        <v>803404797057</v>
      </c>
      <c r="O615" t="b">
        <v>1</v>
      </c>
      <c r="P615">
        <v>1</v>
      </c>
      <c r="Q615" t="str" cm="1">
        <f t="array" ref="Q615">_xlfn.IFS(Table1[[#This Row],[Wealthier_Winner]]=-1,"Wealthier Nation Loses",Table1[[#This Row],[Wealthier_Winner]]=0,"Tie",Table1[[#This Row],[Wealthier_Winner]]=1,"Wealthier Nation Wins")</f>
        <v>Wealthier Nation Wins</v>
      </c>
    </row>
    <row r="616" spans="1:17" x14ac:dyDescent="0.2">
      <c r="A616" s="1">
        <v>1419</v>
      </c>
      <c r="B616" s="2">
        <v>29688</v>
      </c>
      <c r="C616" s="7">
        <f>_xlfn.FLOOR.MATH(Table1[[#This Row],[year]],10)</f>
        <v>1980</v>
      </c>
      <c r="D616" t="s">
        <v>305</v>
      </c>
      <c r="E616" t="s">
        <v>43</v>
      </c>
      <c r="F616">
        <v>1</v>
      </c>
      <c r="G616">
        <v>1</v>
      </c>
      <c r="H616" t="s">
        <v>224</v>
      </c>
      <c r="I616" t="s">
        <v>306</v>
      </c>
      <c r="J616" t="s">
        <v>305</v>
      </c>
      <c r="K616" t="b">
        <v>0</v>
      </c>
      <c r="L616">
        <v>1981</v>
      </c>
      <c r="M616">
        <v>9646440666</v>
      </c>
      <c r="N616">
        <v>164475209515</v>
      </c>
      <c r="O616" t="b">
        <v>1</v>
      </c>
      <c r="P616">
        <v>0</v>
      </c>
      <c r="Q616" t="str" cm="1">
        <f t="array" ref="Q616">_xlfn.IFS(Table1[[#This Row],[Wealthier_Winner]]=-1,"Wealthier Nation Loses",Table1[[#This Row],[Wealthier_Winner]]=0,"Tie",Table1[[#This Row],[Wealthier_Winner]]=1,"Wealthier Nation Wins")</f>
        <v>Tie</v>
      </c>
    </row>
    <row r="617" spans="1:17" x14ac:dyDescent="0.2">
      <c r="A617" s="1">
        <v>1421</v>
      </c>
      <c r="B617" s="2">
        <v>29691</v>
      </c>
      <c r="C617" s="7">
        <f>_xlfn.FLOOR.MATH(Table1[[#This Row],[year]],10)</f>
        <v>1980</v>
      </c>
      <c r="D617" t="s">
        <v>43</v>
      </c>
      <c r="E617" t="s">
        <v>305</v>
      </c>
      <c r="F617">
        <v>1</v>
      </c>
      <c r="G617">
        <v>0</v>
      </c>
      <c r="H617" t="s">
        <v>224</v>
      </c>
      <c r="I617" t="s">
        <v>229</v>
      </c>
      <c r="J617" t="s">
        <v>43</v>
      </c>
      <c r="K617" t="b">
        <v>0</v>
      </c>
      <c r="L617">
        <v>1981</v>
      </c>
      <c r="M617">
        <v>164475209515</v>
      </c>
      <c r="N617">
        <v>9646440666</v>
      </c>
      <c r="O617" t="b">
        <v>1</v>
      </c>
      <c r="P617">
        <v>1</v>
      </c>
      <c r="Q617" t="str" cm="1">
        <f t="array" ref="Q617">_xlfn.IFS(Table1[[#This Row],[Wealthier_Winner]]=-1,"Wealthier Nation Loses",Table1[[#This Row],[Wealthier_Winner]]=0,"Tie",Table1[[#This Row],[Wealthier_Winner]]=1,"Wealthier Nation Wins")</f>
        <v>Wealthier Nation Wins</v>
      </c>
    </row>
    <row r="618" spans="1:17" x14ac:dyDescent="0.2">
      <c r="A618" s="1">
        <v>1422</v>
      </c>
      <c r="B618" s="2">
        <v>29697</v>
      </c>
      <c r="C618" s="7">
        <f>_xlfn.FLOOR.MATH(Table1[[#This Row],[year]],10)</f>
        <v>1980</v>
      </c>
      <c r="D618" t="s">
        <v>195</v>
      </c>
      <c r="E618" t="s">
        <v>333</v>
      </c>
      <c r="F618">
        <v>2</v>
      </c>
      <c r="G618">
        <v>1</v>
      </c>
      <c r="H618" t="s">
        <v>224</v>
      </c>
      <c r="I618" t="s">
        <v>366</v>
      </c>
      <c r="J618" t="s">
        <v>71</v>
      </c>
      <c r="K618" t="b">
        <v>1</v>
      </c>
      <c r="L618">
        <v>1981</v>
      </c>
      <c r="M618">
        <v>74287368087</v>
      </c>
      <c r="N618">
        <v>25004285791</v>
      </c>
      <c r="O618" t="b">
        <v>1</v>
      </c>
      <c r="P618">
        <v>1</v>
      </c>
      <c r="Q618" t="str" cm="1">
        <f t="array" ref="Q618">_xlfn.IFS(Table1[[#This Row],[Wealthier_Winner]]=-1,"Wealthier Nation Loses",Table1[[#This Row],[Wealthier_Winner]]=0,"Tie",Table1[[#This Row],[Wealthier_Winner]]=1,"Wealthier Nation Wins")</f>
        <v>Wealthier Nation Wins</v>
      </c>
    </row>
    <row r="619" spans="1:17" x14ac:dyDescent="0.2">
      <c r="A619" s="1">
        <v>1423</v>
      </c>
      <c r="B619" s="2">
        <v>29698</v>
      </c>
      <c r="C619" s="7">
        <f>_xlfn.FLOOR.MATH(Table1[[#This Row],[year]],10)</f>
        <v>1980</v>
      </c>
      <c r="D619" t="s">
        <v>71</v>
      </c>
      <c r="E619" t="s">
        <v>334</v>
      </c>
      <c r="F619">
        <v>6</v>
      </c>
      <c r="G619">
        <v>0</v>
      </c>
      <c r="H619" t="s">
        <v>224</v>
      </c>
      <c r="I619" t="s">
        <v>366</v>
      </c>
      <c r="J619" t="s">
        <v>71</v>
      </c>
      <c r="K619" t="b">
        <v>0</v>
      </c>
      <c r="L619">
        <v>1981</v>
      </c>
      <c r="M619">
        <v>25058020338</v>
      </c>
      <c r="N619">
        <v>34846039193</v>
      </c>
      <c r="O619" t="b">
        <v>0</v>
      </c>
      <c r="P619">
        <v>-1</v>
      </c>
      <c r="Q619" t="str" cm="1">
        <f t="array" ref="Q619">_xlfn.IFS(Table1[[#This Row],[Wealthier_Winner]]=-1,"Wealthier Nation Loses",Table1[[#This Row],[Wealthier_Winner]]=0,"Tie",Table1[[#This Row],[Wealthier_Winner]]=1,"Wealthier Nation Wins")</f>
        <v>Wealthier Nation Loses</v>
      </c>
    </row>
    <row r="620" spans="1:17" x14ac:dyDescent="0.2">
      <c r="A620" s="1">
        <v>1424</v>
      </c>
      <c r="B620" s="2">
        <v>29700</v>
      </c>
      <c r="C620" s="7">
        <f>_xlfn.FLOOR.MATH(Table1[[#This Row],[year]],10)</f>
        <v>1980</v>
      </c>
      <c r="D620" t="s">
        <v>195</v>
      </c>
      <c r="E620" t="s">
        <v>334</v>
      </c>
      <c r="F620">
        <v>5</v>
      </c>
      <c r="G620">
        <v>1</v>
      </c>
      <c r="H620" t="s">
        <v>224</v>
      </c>
      <c r="I620" t="s">
        <v>366</v>
      </c>
      <c r="J620" t="s">
        <v>71</v>
      </c>
      <c r="K620" t="b">
        <v>1</v>
      </c>
      <c r="L620">
        <v>1981</v>
      </c>
      <c r="M620">
        <v>74287368087</v>
      </c>
      <c r="N620">
        <v>34846039193</v>
      </c>
      <c r="O620" t="b">
        <v>1</v>
      </c>
      <c r="P620">
        <v>1</v>
      </c>
      <c r="Q620" t="str" cm="1">
        <f t="array" ref="Q620">_xlfn.IFS(Table1[[#This Row],[Wealthier_Winner]]=-1,"Wealthier Nation Loses",Table1[[#This Row],[Wealthier_Winner]]=0,"Tie",Table1[[#This Row],[Wealthier_Winner]]=1,"Wealthier Nation Wins")</f>
        <v>Wealthier Nation Wins</v>
      </c>
    </row>
    <row r="621" spans="1:17" x14ac:dyDescent="0.2">
      <c r="A621" s="1">
        <v>1425</v>
      </c>
      <c r="B621" s="2">
        <v>29701</v>
      </c>
      <c r="C621" s="7">
        <f>_xlfn.FLOOR.MATH(Table1[[#This Row],[year]],10)</f>
        <v>1980</v>
      </c>
      <c r="D621" t="s">
        <v>71</v>
      </c>
      <c r="E621" t="s">
        <v>333</v>
      </c>
      <c r="F621">
        <v>4</v>
      </c>
      <c r="G621">
        <v>0</v>
      </c>
      <c r="H621" t="s">
        <v>224</v>
      </c>
      <c r="I621" t="s">
        <v>366</v>
      </c>
      <c r="J621" t="s">
        <v>71</v>
      </c>
      <c r="K621" t="b">
        <v>0</v>
      </c>
      <c r="L621">
        <v>1981</v>
      </c>
      <c r="M621">
        <v>25058020338</v>
      </c>
      <c r="N621">
        <v>25004285791</v>
      </c>
      <c r="O621" t="b">
        <v>0</v>
      </c>
      <c r="P621">
        <v>1</v>
      </c>
      <c r="Q621" t="str" cm="1">
        <f t="array" ref="Q621">_xlfn.IFS(Table1[[#This Row],[Wealthier_Winner]]=-1,"Wealthier Nation Loses",Table1[[#This Row],[Wealthier_Winner]]=0,"Tie",Table1[[#This Row],[Wealthier_Winner]]=1,"Wealthier Nation Wins")</f>
        <v>Wealthier Nation Wins</v>
      </c>
    </row>
    <row r="622" spans="1:17" x14ac:dyDescent="0.2">
      <c r="A622" s="1">
        <v>1426</v>
      </c>
      <c r="B622" s="2">
        <v>29701</v>
      </c>
      <c r="C622" s="7">
        <f>_xlfn.FLOOR.MATH(Table1[[#This Row],[year]],10)</f>
        <v>1980</v>
      </c>
      <c r="D622" t="s">
        <v>72</v>
      </c>
      <c r="E622" t="s">
        <v>28</v>
      </c>
      <c r="F622">
        <v>3</v>
      </c>
      <c r="G622">
        <v>3</v>
      </c>
      <c r="H622" t="s">
        <v>224</v>
      </c>
      <c r="I622" t="s">
        <v>327</v>
      </c>
      <c r="J622" t="s">
        <v>72</v>
      </c>
      <c r="K622" t="b">
        <v>0</v>
      </c>
      <c r="L622">
        <v>1981</v>
      </c>
      <c r="M622">
        <v>24417617184</v>
      </c>
      <c r="N622">
        <v>177151979565</v>
      </c>
      <c r="O622" t="b">
        <v>1</v>
      </c>
      <c r="P622">
        <v>0</v>
      </c>
      <c r="Q622" t="str" cm="1">
        <f t="array" ref="Q622">_xlfn.IFS(Table1[[#This Row],[Wealthier_Winner]]=-1,"Wealthier Nation Loses",Table1[[#This Row],[Wealthier_Winner]]=0,"Tie",Table1[[#This Row],[Wealthier_Winner]]=1,"Wealthier Nation Wins")</f>
        <v>Tie</v>
      </c>
    </row>
    <row r="623" spans="1:17" x14ac:dyDescent="0.2">
      <c r="A623" s="1">
        <v>1428</v>
      </c>
      <c r="B623" s="2">
        <v>29702</v>
      </c>
      <c r="C623" s="7">
        <f>_xlfn.FLOOR.MATH(Table1[[#This Row],[year]],10)</f>
        <v>1980</v>
      </c>
      <c r="D623" t="s">
        <v>24</v>
      </c>
      <c r="E623" t="s">
        <v>212</v>
      </c>
      <c r="F623">
        <v>1</v>
      </c>
      <c r="G623">
        <v>0</v>
      </c>
      <c r="H623" t="s">
        <v>224</v>
      </c>
      <c r="I623" t="s">
        <v>244</v>
      </c>
      <c r="J623" t="s">
        <v>24</v>
      </c>
      <c r="K623" t="b">
        <v>0</v>
      </c>
      <c r="L623">
        <v>1981</v>
      </c>
      <c r="M623">
        <v>17788185478</v>
      </c>
      <c r="N623">
        <v>22136081081</v>
      </c>
      <c r="O623" t="b">
        <v>0</v>
      </c>
      <c r="P623">
        <v>-1</v>
      </c>
      <c r="Q623" t="str" cm="1">
        <f t="array" ref="Q623">_xlfn.IFS(Table1[[#This Row],[Wealthier_Winner]]=-1,"Wealthier Nation Loses",Table1[[#This Row],[Wealthier_Winner]]=0,"Tie",Table1[[#This Row],[Wealthier_Winner]]=1,"Wealthier Nation Wins")</f>
        <v>Wealthier Nation Loses</v>
      </c>
    </row>
    <row r="624" spans="1:17" x14ac:dyDescent="0.2">
      <c r="A624" s="1">
        <v>1429</v>
      </c>
      <c r="B624" s="2">
        <v>29703</v>
      </c>
      <c r="C624" s="7">
        <f>_xlfn.FLOOR.MATH(Table1[[#This Row],[year]],10)</f>
        <v>1980</v>
      </c>
      <c r="D624" t="s">
        <v>333</v>
      </c>
      <c r="E624" t="s">
        <v>334</v>
      </c>
      <c r="F624">
        <v>2</v>
      </c>
      <c r="G624">
        <v>2</v>
      </c>
      <c r="H624" t="s">
        <v>224</v>
      </c>
      <c r="I624" t="s">
        <v>366</v>
      </c>
      <c r="J624" t="s">
        <v>71</v>
      </c>
      <c r="K624" t="b">
        <v>1</v>
      </c>
      <c r="L624">
        <v>1981</v>
      </c>
      <c r="M624">
        <v>25004285791</v>
      </c>
      <c r="N624">
        <v>34846039193</v>
      </c>
      <c r="O624" t="b">
        <v>0</v>
      </c>
      <c r="P624">
        <v>0</v>
      </c>
      <c r="Q624" t="str" cm="1">
        <f t="array" ref="Q624">_xlfn.IFS(Table1[[#This Row],[Wealthier_Winner]]=-1,"Wealthier Nation Loses",Table1[[#This Row],[Wealthier_Winner]]=0,"Tie",Table1[[#This Row],[Wealthier_Winner]]=1,"Wealthier Nation Wins")</f>
        <v>Tie</v>
      </c>
    </row>
    <row r="625" spans="1:17" x14ac:dyDescent="0.2">
      <c r="A625" s="1">
        <v>1431</v>
      </c>
      <c r="B625" s="2">
        <v>29704</v>
      </c>
      <c r="C625" s="7">
        <f>_xlfn.FLOOR.MATH(Table1[[#This Row],[year]],10)</f>
        <v>1980</v>
      </c>
      <c r="D625" t="s">
        <v>46</v>
      </c>
      <c r="E625" t="s">
        <v>30</v>
      </c>
      <c r="F625">
        <v>2</v>
      </c>
      <c r="G625">
        <v>2</v>
      </c>
      <c r="H625" t="s">
        <v>224</v>
      </c>
      <c r="I625" t="s">
        <v>338</v>
      </c>
      <c r="J625" t="s">
        <v>46</v>
      </c>
      <c r="K625" t="b">
        <v>0</v>
      </c>
      <c r="L625">
        <v>1981</v>
      </c>
      <c r="M625">
        <v>112244805518</v>
      </c>
      <c r="N625">
        <v>23705883891</v>
      </c>
      <c r="O625" t="b">
        <v>1</v>
      </c>
      <c r="P625">
        <v>0</v>
      </c>
      <c r="Q625" t="str" cm="1">
        <f t="array" ref="Q625">_xlfn.IFS(Table1[[#This Row],[Wealthier_Winner]]=-1,"Wealthier Nation Loses",Table1[[#This Row],[Wealthier_Winner]]=0,"Tie",Table1[[#This Row],[Wealthier_Winner]]=1,"Wealthier Nation Wins")</f>
        <v>Tie</v>
      </c>
    </row>
    <row r="626" spans="1:17" x14ac:dyDescent="0.2">
      <c r="A626" s="1">
        <v>1432</v>
      </c>
      <c r="B626" s="2">
        <v>29705</v>
      </c>
      <c r="C626" s="7">
        <f>_xlfn.FLOOR.MATH(Table1[[#This Row],[year]],10)</f>
        <v>1980</v>
      </c>
      <c r="D626" t="s">
        <v>351</v>
      </c>
      <c r="E626" t="s">
        <v>27</v>
      </c>
      <c r="F626">
        <v>0</v>
      </c>
      <c r="G626">
        <v>1</v>
      </c>
      <c r="H626" t="s">
        <v>224</v>
      </c>
      <c r="I626" t="s">
        <v>381</v>
      </c>
      <c r="J626" t="s">
        <v>351</v>
      </c>
      <c r="K626" t="b">
        <v>0</v>
      </c>
      <c r="L626">
        <v>1981</v>
      </c>
      <c r="M626">
        <v>2087496373</v>
      </c>
      <c r="N626">
        <v>164375775854</v>
      </c>
      <c r="O626" t="b">
        <v>1</v>
      </c>
      <c r="P626">
        <v>1</v>
      </c>
      <c r="Q626" t="str" cm="1">
        <f t="array" ref="Q626">_xlfn.IFS(Table1[[#This Row],[Wealthier_Winner]]=-1,"Wealthier Nation Loses",Table1[[#This Row],[Wealthier_Winner]]=0,"Tie",Table1[[#This Row],[Wealthier_Winner]]=1,"Wealthier Nation Wins")</f>
        <v>Wealthier Nation Wins</v>
      </c>
    </row>
    <row r="627" spans="1:17" x14ac:dyDescent="0.2">
      <c r="A627" s="1">
        <v>1434</v>
      </c>
      <c r="B627" s="2">
        <v>29705</v>
      </c>
      <c r="C627" s="7">
        <f>_xlfn.FLOOR.MATH(Table1[[#This Row],[year]],10)</f>
        <v>1980</v>
      </c>
      <c r="D627" t="s">
        <v>20</v>
      </c>
      <c r="E627" t="s">
        <v>23</v>
      </c>
      <c r="F627">
        <v>3</v>
      </c>
      <c r="G627">
        <v>2</v>
      </c>
      <c r="H627" t="s">
        <v>224</v>
      </c>
      <c r="I627" t="s">
        <v>134</v>
      </c>
      <c r="J627" t="s">
        <v>20</v>
      </c>
      <c r="K627" t="b">
        <v>0</v>
      </c>
      <c r="L627">
        <v>1981</v>
      </c>
      <c r="M627">
        <v>609184791792</v>
      </c>
      <c r="N627">
        <v>104730018470</v>
      </c>
      <c r="O627" t="b">
        <v>1</v>
      </c>
      <c r="P627">
        <v>1</v>
      </c>
      <c r="Q627" t="str" cm="1">
        <f t="array" ref="Q627">_xlfn.IFS(Table1[[#This Row],[Wealthier_Winner]]=-1,"Wealthier Nation Loses",Table1[[#This Row],[Wealthier_Winner]]=0,"Tie",Table1[[#This Row],[Wealthier_Winner]]=1,"Wealthier Nation Wins")</f>
        <v>Wealthier Nation Wins</v>
      </c>
    </row>
    <row r="628" spans="1:17" x14ac:dyDescent="0.2">
      <c r="A628" s="1">
        <v>1435</v>
      </c>
      <c r="B628" s="2">
        <v>29705</v>
      </c>
      <c r="C628" s="7">
        <f>_xlfn.FLOOR.MATH(Table1[[#This Row],[year]],10)</f>
        <v>1980</v>
      </c>
      <c r="D628" t="s">
        <v>16</v>
      </c>
      <c r="E628" t="s">
        <v>29</v>
      </c>
      <c r="F628">
        <v>2</v>
      </c>
      <c r="G628">
        <v>0</v>
      </c>
      <c r="H628" t="s">
        <v>224</v>
      </c>
      <c r="I628" t="s">
        <v>89</v>
      </c>
      <c r="J628" t="s">
        <v>16</v>
      </c>
      <c r="K628" t="b">
        <v>0</v>
      </c>
      <c r="L628">
        <v>1981</v>
      </c>
      <c r="M628">
        <v>803404797057</v>
      </c>
      <c r="N628">
        <v>70755997062</v>
      </c>
      <c r="O628" t="b">
        <v>1</v>
      </c>
      <c r="P628">
        <v>1</v>
      </c>
      <c r="Q628" t="str" cm="1">
        <f t="array" ref="Q628">_xlfn.IFS(Table1[[#This Row],[Wealthier_Winner]]=-1,"Wealthier Nation Loses",Table1[[#This Row],[Wealthier_Winner]]=0,"Tie",Table1[[#This Row],[Wealthier_Winner]]=1,"Wealthier Nation Wins")</f>
        <v>Wealthier Nation Wins</v>
      </c>
    </row>
    <row r="629" spans="1:17" x14ac:dyDescent="0.2">
      <c r="A629" s="1">
        <v>1436</v>
      </c>
      <c r="B629" s="2">
        <v>29705</v>
      </c>
      <c r="C629" s="7">
        <f>_xlfn.FLOOR.MATH(Table1[[#This Row],[year]],10)</f>
        <v>1980</v>
      </c>
      <c r="D629" t="s">
        <v>71</v>
      </c>
      <c r="E629" t="s">
        <v>195</v>
      </c>
      <c r="F629">
        <v>2</v>
      </c>
      <c r="G629">
        <v>0</v>
      </c>
      <c r="H629" t="s">
        <v>224</v>
      </c>
      <c r="I629" t="s">
        <v>366</v>
      </c>
      <c r="J629" t="s">
        <v>71</v>
      </c>
      <c r="K629" t="b">
        <v>0</v>
      </c>
      <c r="L629">
        <v>1981</v>
      </c>
      <c r="M629">
        <v>25058020338</v>
      </c>
      <c r="N629">
        <v>74287368087</v>
      </c>
      <c r="O629" t="b">
        <v>1</v>
      </c>
      <c r="P629">
        <v>-1</v>
      </c>
      <c r="Q629" t="str" cm="1">
        <f t="array" ref="Q629">_xlfn.IFS(Table1[[#This Row],[Wealthier_Winner]]=-1,"Wealthier Nation Loses",Table1[[#This Row],[Wealthier_Winner]]=0,"Tie",Table1[[#This Row],[Wealthier_Winner]]=1,"Wealthier Nation Wins")</f>
        <v>Wealthier Nation Loses</v>
      </c>
    </row>
    <row r="630" spans="1:17" x14ac:dyDescent="0.2">
      <c r="A630" s="1">
        <v>1439</v>
      </c>
      <c r="B630" s="2">
        <v>29707</v>
      </c>
      <c r="C630" s="7">
        <f>_xlfn.FLOOR.MATH(Table1[[#This Row],[year]],10)</f>
        <v>1980</v>
      </c>
      <c r="D630" t="s">
        <v>32</v>
      </c>
      <c r="E630" t="s">
        <v>343</v>
      </c>
      <c r="F630">
        <v>4</v>
      </c>
      <c r="G630">
        <v>0</v>
      </c>
      <c r="H630" t="s">
        <v>224</v>
      </c>
      <c r="I630" t="s">
        <v>380</v>
      </c>
      <c r="J630" t="s">
        <v>32</v>
      </c>
      <c r="K630" t="b">
        <v>0</v>
      </c>
      <c r="L630">
        <v>1981</v>
      </c>
      <c r="M630">
        <v>44348590460</v>
      </c>
      <c r="N630">
        <v>2170893414</v>
      </c>
      <c r="O630" t="b">
        <v>1</v>
      </c>
      <c r="P630">
        <v>1</v>
      </c>
      <c r="Q630" t="str" cm="1">
        <f t="array" ref="Q630">_xlfn.IFS(Table1[[#This Row],[Wealthier_Winner]]=-1,"Wealthier Nation Loses",Table1[[#This Row],[Wealthier_Winner]]=0,"Tie",Table1[[#This Row],[Wealthier_Winner]]=1,"Wealthier Nation Wins")</f>
        <v>Wealthier Nation Wins</v>
      </c>
    </row>
    <row r="631" spans="1:17" x14ac:dyDescent="0.2">
      <c r="A631" s="1">
        <v>1440</v>
      </c>
      <c r="B631" s="2">
        <v>29707</v>
      </c>
      <c r="C631" s="7">
        <f>_xlfn.FLOOR.MATH(Table1[[#This Row],[year]],10)</f>
        <v>1980</v>
      </c>
      <c r="D631" t="s">
        <v>232</v>
      </c>
      <c r="E631" t="s">
        <v>36</v>
      </c>
      <c r="F631">
        <v>1</v>
      </c>
      <c r="G631">
        <v>2</v>
      </c>
      <c r="H631" t="s">
        <v>224</v>
      </c>
      <c r="I631" t="s">
        <v>232</v>
      </c>
      <c r="J631" t="s">
        <v>232</v>
      </c>
      <c r="K631" t="b">
        <v>0</v>
      </c>
      <c r="L631">
        <v>1981</v>
      </c>
      <c r="M631">
        <v>5053665797</v>
      </c>
      <c r="N631">
        <v>61459941460</v>
      </c>
      <c r="O631" t="b">
        <v>1</v>
      </c>
      <c r="P631">
        <v>1</v>
      </c>
      <c r="Q631" t="str" cm="1">
        <f t="array" ref="Q631">_xlfn.IFS(Table1[[#This Row],[Wealthier_Winner]]=-1,"Wealthier Nation Loses",Table1[[#This Row],[Wealthier_Winner]]=0,"Tie",Table1[[#This Row],[Wealthier_Winner]]=1,"Wealthier Nation Wins")</f>
        <v>Wealthier Nation Wins</v>
      </c>
    </row>
    <row r="632" spans="1:17" x14ac:dyDescent="0.2">
      <c r="A632" s="1">
        <v>1442</v>
      </c>
      <c r="B632" s="2">
        <v>29709</v>
      </c>
      <c r="C632" s="7">
        <f>_xlfn.FLOOR.MATH(Table1[[#This Row],[year]],10)</f>
        <v>1980</v>
      </c>
      <c r="D632" t="s">
        <v>384</v>
      </c>
      <c r="E632" t="s">
        <v>72</v>
      </c>
      <c r="F632">
        <v>0</v>
      </c>
      <c r="G632">
        <v>4</v>
      </c>
      <c r="H632" t="s">
        <v>224</v>
      </c>
      <c r="I632" t="s">
        <v>385</v>
      </c>
      <c r="J632" t="s">
        <v>384</v>
      </c>
      <c r="K632" t="b">
        <v>0</v>
      </c>
      <c r="L632">
        <v>1981</v>
      </c>
      <c r="M632">
        <v>1235626770</v>
      </c>
      <c r="N632">
        <v>24417617184</v>
      </c>
      <c r="O632" t="b">
        <v>1</v>
      </c>
      <c r="P632">
        <v>1</v>
      </c>
      <c r="Q632" t="str" cm="1">
        <f t="array" ref="Q632">_xlfn.IFS(Table1[[#This Row],[Wealthier_Winner]]=-1,"Wealthier Nation Loses",Table1[[#This Row],[Wealthier_Winner]]=0,"Tie",Table1[[#This Row],[Wealthier_Winner]]=1,"Wealthier Nation Wins")</f>
        <v>Wealthier Nation Wins</v>
      </c>
    </row>
    <row r="633" spans="1:17" x14ac:dyDescent="0.2">
      <c r="A633" s="1">
        <v>1444</v>
      </c>
      <c r="B633" s="2">
        <v>29714</v>
      </c>
      <c r="C633" s="7">
        <f>_xlfn.FLOOR.MATH(Table1[[#This Row],[year]],10)</f>
        <v>1980</v>
      </c>
      <c r="D633" t="s">
        <v>212</v>
      </c>
      <c r="E633" t="s">
        <v>24</v>
      </c>
      <c r="F633">
        <v>0</v>
      </c>
      <c r="G633">
        <v>0</v>
      </c>
      <c r="H633" t="s">
        <v>224</v>
      </c>
      <c r="I633" t="s">
        <v>322</v>
      </c>
      <c r="J633" t="s">
        <v>212</v>
      </c>
      <c r="K633" t="b">
        <v>0</v>
      </c>
      <c r="L633">
        <v>1981</v>
      </c>
      <c r="M633">
        <v>22136081081</v>
      </c>
      <c r="N633">
        <v>17788185478</v>
      </c>
      <c r="O633" t="b">
        <v>0</v>
      </c>
      <c r="P633">
        <v>0</v>
      </c>
      <c r="Q633" t="str" cm="1">
        <f t="array" ref="Q633">_xlfn.IFS(Table1[[#This Row],[Wealthier_Winner]]=-1,"Wealthier Nation Loses",Table1[[#This Row],[Wealthier_Winner]]=0,"Tie",Table1[[#This Row],[Wealthier_Winner]]=1,"Wealthier Nation Wins")</f>
        <v>Tie</v>
      </c>
    </row>
    <row r="634" spans="1:17" x14ac:dyDescent="0.2">
      <c r="A634" s="1">
        <v>1445</v>
      </c>
      <c r="B634" s="2">
        <v>29717</v>
      </c>
      <c r="C634" s="7">
        <f>_xlfn.FLOOR.MATH(Table1[[#This Row],[year]],10)</f>
        <v>1980</v>
      </c>
      <c r="D634" t="s">
        <v>328</v>
      </c>
      <c r="E634" t="s">
        <v>72</v>
      </c>
      <c r="F634">
        <v>0</v>
      </c>
      <c r="G634">
        <v>2</v>
      </c>
      <c r="H634" t="s">
        <v>224</v>
      </c>
      <c r="I634" t="s">
        <v>386</v>
      </c>
      <c r="J634" t="s">
        <v>328</v>
      </c>
      <c r="K634" t="b">
        <v>0</v>
      </c>
      <c r="L634">
        <v>1981</v>
      </c>
      <c r="M634">
        <v>85518233419</v>
      </c>
      <c r="N634">
        <v>24417617184</v>
      </c>
      <c r="O634" t="b">
        <v>1</v>
      </c>
      <c r="P634">
        <v>-1</v>
      </c>
      <c r="Q634" t="str" cm="1">
        <f t="array" ref="Q634">_xlfn.IFS(Table1[[#This Row],[Wealthier_Winner]]=-1,"Wealthier Nation Loses",Table1[[#This Row],[Wealthier_Winner]]=0,"Tie",Table1[[#This Row],[Wealthier_Winner]]=1,"Wealthier Nation Wins")</f>
        <v>Wealthier Nation Loses</v>
      </c>
    </row>
    <row r="635" spans="1:17" x14ac:dyDescent="0.2">
      <c r="A635" s="1">
        <v>1446</v>
      </c>
      <c r="B635" s="2">
        <v>29719</v>
      </c>
      <c r="C635" s="7">
        <f>_xlfn.FLOOR.MATH(Table1[[#This Row],[year]],10)</f>
        <v>1980</v>
      </c>
      <c r="D635" t="s">
        <v>33</v>
      </c>
      <c r="E635" t="s">
        <v>230</v>
      </c>
      <c r="F635">
        <v>4</v>
      </c>
      <c r="G635">
        <v>0</v>
      </c>
      <c r="H635" t="s">
        <v>224</v>
      </c>
      <c r="I635" t="s">
        <v>375</v>
      </c>
      <c r="J635" t="s">
        <v>33</v>
      </c>
      <c r="K635" t="b">
        <v>0</v>
      </c>
      <c r="L635">
        <v>1981</v>
      </c>
      <c r="M635">
        <v>19870000000</v>
      </c>
      <c r="N635">
        <v>52440066133</v>
      </c>
      <c r="O635" t="b">
        <v>1</v>
      </c>
      <c r="P635">
        <v>-1</v>
      </c>
      <c r="Q635" t="str" cm="1">
        <f t="array" ref="Q635">_xlfn.IFS(Table1[[#This Row],[Wealthier_Winner]]=-1,"Wealthier Nation Loses",Table1[[#This Row],[Wealthier_Winner]]=0,"Tie",Table1[[#This Row],[Wealthier_Winner]]=1,"Wealthier Nation Wins")</f>
        <v>Wealthier Nation Loses</v>
      </c>
    </row>
    <row r="636" spans="1:17" x14ac:dyDescent="0.2">
      <c r="A636" s="1">
        <v>1448</v>
      </c>
      <c r="B636" s="2">
        <v>29722</v>
      </c>
      <c r="C636" s="7">
        <f>_xlfn.FLOOR.MATH(Table1[[#This Row],[year]],10)</f>
        <v>1980</v>
      </c>
      <c r="D636" t="s">
        <v>28</v>
      </c>
      <c r="E636" t="s">
        <v>72</v>
      </c>
      <c r="F636">
        <v>0</v>
      </c>
      <c r="G636">
        <v>2</v>
      </c>
      <c r="H636" t="s">
        <v>224</v>
      </c>
      <c r="I636" t="s">
        <v>301</v>
      </c>
      <c r="J636" t="s">
        <v>28</v>
      </c>
      <c r="K636" t="b">
        <v>0</v>
      </c>
      <c r="L636">
        <v>1981</v>
      </c>
      <c r="M636">
        <v>177151979565</v>
      </c>
      <c r="N636">
        <v>24417617184</v>
      </c>
      <c r="O636" t="b">
        <v>1</v>
      </c>
      <c r="P636">
        <v>-1</v>
      </c>
      <c r="Q636" t="str" cm="1">
        <f t="array" ref="Q636">_xlfn.IFS(Table1[[#This Row],[Wealthier_Winner]]=-1,"Wealthier Nation Loses",Table1[[#This Row],[Wealthier_Winner]]=0,"Tie",Table1[[#This Row],[Wealthier_Winner]]=1,"Wealthier Nation Wins")</f>
        <v>Wealthier Nation Loses</v>
      </c>
    </row>
    <row r="637" spans="1:17" x14ac:dyDescent="0.2">
      <c r="A637" s="1">
        <v>1449</v>
      </c>
      <c r="B637" s="2">
        <v>29723</v>
      </c>
      <c r="C637" s="7">
        <f>_xlfn.FLOOR.MATH(Table1[[#This Row],[year]],10)</f>
        <v>1980</v>
      </c>
      <c r="D637" t="s">
        <v>57</v>
      </c>
      <c r="E637" t="s">
        <v>35</v>
      </c>
      <c r="F637">
        <v>1</v>
      </c>
      <c r="G637">
        <v>0</v>
      </c>
      <c r="H637" t="s">
        <v>224</v>
      </c>
      <c r="I637" t="s">
        <v>237</v>
      </c>
      <c r="J637" t="s">
        <v>57</v>
      </c>
      <c r="K637" t="b">
        <v>0</v>
      </c>
      <c r="L637">
        <v>1981</v>
      </c>
      <c r="M637">
        <v>21810759353</v>
      </c>
      <c r="N637">
        <v>5624515873</v>
      </c>
      <c r="O637" t="b">
        <v>1</v>
      </c>
      <c r="P637">
        <v>1</v>
      </c>
      <c r="Q637" t="str" cm="1">
        <f t="array" ref="Q637">_xlfn.IFS(Table1[[#This Row],[Wealthier_Winner]]=-1,"Wealthier Nation Loses",Table1[[#This Row],[Wealthier_Winner]]=0,"Tie",Table1[[#This Row],[Wealthier_Winner]]=1,"Wealthier Nation Wins")</f>
        <v>Wealthier Nation Wins</v>
      </c>
    </row>
    <row r="638" spans="1:17" x14ac:dyDescent="0.2">
      <c r="A638" s="1">
        <v>1450</v>
      </c>
      <c r="B638" s="2">
        <v>29726</v>
      </c>
      <c r="C638" s="7">
        <f>_xlfn.FLOOR.MATH(Table1[[#This Row],[year]],10)</f>
        <v>1980</v>
      </c>
      <c r="D638" t="s">
        <v>28</v>
      </c>
      <c r="E638" t="s">
        <v>328</v>
      </c>
      <c r="F638">
        <v>2</v>
      </c>
      <c r="G638">
        <v>0</v>
      </c>
      <c r="H638" t="s">
        <v>224</v>
      </c>
      <c r="I638" t="s">
        <v>329</v>
      </c>
      <c r="J638" t="s">
        <v>28</v>
      </c>
      <c r="K638" t="b">
        <v>0</v>
      </c>
      <c r="L638">
        <v>1981</v>
      </c>
      <c r="M638">
        <v>177151979565</v>
      </c>
      <c r="N638">
        <v>85518233419</v>
      </c>
      <c r="O638" t="b">
        <v>1</v>
      </c>
      <c r="P638">
        <v>1</v>
      </c>
      <c r="Q638" t="str" cm="1">
        <f t="array" ref="Q638">_xlfn.IFS(Table1[[#This Row],[Wealthier_Winner]]=-1,"Wealthier Nation Loses",Table1[[#This Row],[Wealthier_Winner]]=0,"Tie",Table1[[#This Row],[Wealthier_Winner]]=1,"Wealthier Nation Wins")</f>
        <v>Wealthier Nation Wins</v>
      </c>
    </row>
    <row r="639" spans="1:17" x14ac:dyDescent="0.2">
      <c r="A639" s="1">
        <v>1451</v>
      </c>
      <c r="B639" s="2">
        <v>29726</v>
      </c>
      <c r="C639" s="7">
        <f>_xlfn.FLOOR.MATH(Table1[[#This Row],[year]],10)</f>
        <v>1980</v>
      </c>
      <c r="D639" t="s">
        <v>42</v>
      </c>
      <c r="E639" t="s">
        <v>30</v>
      </c>
      <c r="F639">
        <v>1</v>
      </c>
      <c r="G639">
        <v>2</v>
      </c>
      <c r="H639" t="s">
        <v>224</v>
      </c>
      <c r="I639" t="s">
        <v>262</v>
      </c>
      <c r="J639" t="s">
        <v>42</v>
      </c>
      <c r="K639" t="b">
        <v>0</v>
      </c>
      <c r="L639">
        <v>1981</v>
      </c>
      <c r="M639">
        <v>63596654760</v>
      </c>
      <c r="N639">
        <v>23705883891</v>
      </c>
      <c r="O639" t="b">
        <v>1</v>
      </c>
      <c r="P639">
        <v>-1</v>
      </c>
      <c r="Q639" t="str" cm="1">
        <f t="array" ref="Q639">_xlfn.IFS(Table1[[#This Row],[Wealthier_Winner]]=-1,"Wealthier Nation Loses",Table1[[#This Row],[Wealthier_Winner]]=0,"Tie",Table1[[#This Row],[Wealthier_Winner]]=1,"Wealthier Nation Wins")</f>
        <v>Wealthier Nation Loses</v>
      </c>
    </row>
    <row r="640" spans="1:17" x14ac:dyDescent="0.2">
      <c r="A640" s="1">
        <v>1452</v>
      </c>
      <c r="B640" s="2">
        <v>29729</v>
      </c>
      <c r="C640" s="7">
        <f>_xlfn.FLOOR.MATH(Table1[[#This Row],[year]],10)</f>
        <v>1980</v>
      </c>
      <c r="D640" t="s">
        <v>72</v>
      </c>
      <c r="E640" t="s">
        <v>328</v>
      </c>
      <c r="F640">
        <v>5</v>
      </c>
      <c r="G640">
        <v>0</v>
      </c>
      <c r="H640" t="s">
        <v>224</v>
      </c>
      <c r="I640" t="s">
        <v>327</v>
      </c>
      <c r="J640" t="s">
        <v>72</v>
      </c>
      <c r="K640" t="b">
        <v>0</v>
      </c>
      <c r="L640">
        <v>1981</v>
      </c>
      <c r="M640">
        <v>24417617184</v>
      </c>
      <c r="N640">
        <v>85518233419</v>
      </c>
      <c r="O640" t="b">
        <v>1</v>
      </c>
      <c r="P640">
        <v>-1</v>
      </c>
      <c r="Q640" t="str" cm="1">
        <f t="array" ref="Q640">_xlfn.IFS(Table1[[#This Row],[Wealthier_Winner]]=-1,"Wealthier Nation Loses",Table1[[#This Row],[Wealthier_Winner]]=0,"Tie",Table1[[#This Row],[Wealthier_Winner]]=1,"Wealthier Nation Wins")</f>
        <v>Wealthier Nation Loses</v>
      </c>
    </row>
    <row r="641" spans="1:17" x14ac:dyDescent="0.2">
      <c r="A641" s="1">
        <v>1453</v>
      </c>
      <c r="B641" s="2">
        <v>29730</v>
      </c>
      <c r="C641" s="7">
        <f>_xlfn.FLOOR.MATH(Table1[[#This Row],[year]],10)</f>
        <v>1980</v>
      </c>
      <c r="D641" t="s">
        <v>57</v>
      </c>
      <c r="E641" t="s">
        <v>14</v>
      </c>
      <c r="F641">
        <v>0</v>
      </c>
      <c r="G641">
        <v>0</v>
      </c>
      <c r="H641" t="s">
        <v>224</v>
      </c>
      <c r="I641" t="s">
        <v>237</v>
      </c>
      <c r="J641" t="s">
        <v>57</v>
      </c>
      <c r="K641" t="b">
        <v>0</v>
      </c>
      <c r="L641">
        <v>1981</v>
      </c>
      <c r="M641">
        <v>21810759353</v>
      </c>
      <c r="N641">
        <v>35180322211</v>
      </c>
      <c r="O641" t="b">
        <v>0</v>
      </c>
      <c r="P641">
        <v>0</v>
      </c>
      <c r="Q641" t="str" cm="1">
        <f t="array" ref="Q641">_xlfn.IFS(Table1[[#This Row],[Wealthier_Winner]]=-1,"Wealthier Nation Loses",Table1[[#This Row],[Wealthier_Winner]]=0,"Tie",Table1[[#This Row],[Wealthier_Winner]]=1,"Wealthier Nation Wins")</f>
        <v>Tie</v>
      </c>
    </row>
    <row r="642" spans="1:17" x14ac:dyDescent="0.2">
      <c r="A642" s="1">
        <v>1454</v>
      </c>
      <c r="B642" s="2">
        <v>29730</v>
      </c>
      <c r="C642" s="7">
        <f>_xlfn.FLOOR.MATH(Table1[[#This Row],[year]],10)</f>
        <v>1980</v>
      </c>
      <c r="D642" t="s">
        <v>230</v>
      </c>
      <c r="E642" t="s">
        <v>16</v>
      </c>
      <c r="F642">
        <v>0</v>
      </c>
      <c r="G642">
        <v>4</v>
      </c>
      <c r="H642" t="s">
        <v>224</v>
      </c>
      <c r="I642" t="s">
        <v>387</v>
      </c>
      <c r="J642" t="s">
        <v>230</v>
      </c>
      <c r="K642" t="b">
        <v>0</v>
      </c>
      <c r="L642">
        <v>1981</v>
      </c>
      <c r="M642">
        <v>52440066133</v>
      </c>
      <c r="N642">
        <v>803404797057</v>
      </c>
      <c r="O642" t="b">
        <v>1</v>
      </c>
      <c r="P642">
        <v>1</v>
      </c>
      <c r="Q642" t="str" cm="1">
        <f t="array" ref="Q642">_xlfn.IFS(Table1[[#This Row],[Wealthier_Winner]]=-1,"Wealthier Nation Loses",Table1[[#This Row],[Wealthier_Winner]]=0,"Tie",Table1[[#This Row],[Wealthier_Winner]]=1,"Wealthier Nation Wins")</f>
        <v>Wealthier Nation Wins</v>
      </c>
    </row>
    <row r="643" spans="1:17" x14ac:dyDescent="0.2">
      <c r="A643" s="1">
        <v>1456</v>
      </c>
      <c r="B643" s="2">
        <v>29734</v>
      </c>
      <c r="C643" s="7">
        <f>_xlfn.FLOOR.MATH(Table1[[#This Row],[year]],10)</f>
        <v>1980</v>
      </c>
      <c r="D643" t="s">
        <v>29</v>
      </c>
      <c r="E643" t="s">
        <v>33</v>
      </c>
      <c r="F643">
        <v>2</v>
      </c>
      <c r="G643">
        <v>0</v>
      </c>
      <c r="H643" t="s">
        <v>224</v>
      </c>
      <c r="I643" t="s">
        <v>270</v>
      </c>
      <c r="J643" t="s">
        <v>29</v>
      </c>
      <c r="K643" t="b">
        <v>0</v>
      </c>
      <c r="L643">
        <v>1981</v>
      </c>
      <c r="M643">
        <v>70755997062</v>
      </c>
      <c r="N643">
        <v>19870000000</v>
      </c>
      <c r="O643" t="b">
        <v>1</v>
      </c>
      <c r="P643">
        <v>1</v>
      </c>
      <c r="Q643" t="str" cm="1">
        <f t="array" ref="Q643">_xlfn.IFS(Table1[[#This Row],[Wealthier_Winner]]=-1,"Wealthier Nation Loses",Table1[[#This Row],[Wealthier_Winner]]=0,"Tie",Table1[[#This Row],[Wealthier_Winner]]=1,"Wealthier Nation Wins")</f>
        <v>Wealthier Nation Wins</v>
      </c>
    </row>
    <row r="644" spans="1:17" x14ac:dyDescent="0.2">
      <c r="A644" s="1">
        <v>1458</v>
      </c>
      <c r="B644" s="2">
        <v>29736</v>
      </c>
      <c r="C644" s="7">
        <f>_xlfn.FLOOR.MATH(Table1[[#This Row],[year]],10)</f>
        <v>1980</v>
      </c>
      <c r="D644" t="s">
        <v>46</v>
      </c>
      <c r="E644" t="s">
        <v>194</v>
      </c>
      <c r="F644">
        <v>2</v>
      </c>
      <c r="G644">
        <v>1</v>
      </c>
      <c r="H644" t="s">
        <v>224</v>
      </c>
      <c r="I644" t="s">
        <v>269</v>
      </c>
      <c r="J644" t="s">
        <v>46</v>
      </c>
      <c r="K644" t="b">
        <v>0</v>
      </c>
      <c r="L644">
        <v>1981</v>
      </c>
      <c r="M644">
        <v>112244805518</v>
      </c>
      <c r="N644">
        <v>540765675241</v>
      </c>
      <c r="O644" t="b">
        <v>1</v>
      </c>
      <c r="P644">
        <v>-1</v>
      </c>
      <c r="Q644" t="str" cm="1">
        <f t="array" ref="Q644">_xlfn.IFS(Table1[[#This Row],[Wealthier_Winner]]=-1,"Wealthier Nation Loses",Table1[[#This Row],[Wealthier_Winner]]=0,"Tie",Table1[[#This Row],[Wealthier_Winner]]=1,"Wealthier Nation Wins")</f>
        <v>Wealthier Nation Loses</v>
      </c>
    </row>
    <row r="645" spans="1:17" x14ac:dyDescent="0.2">
      <c r="A645" s="1">
        <v>1460</v>
      </c>
      <c r="B645" s="2">
        <v>29737</v>
      </c>
      <c r="C645" s="7">
        <f>_xlfn.FLOOR.MATH(Table1[[#This Row],[year]],10)</f>
        <v>1980</v>
      </c>
      <c r="D645" t="s">
        <v>384</v>
      </c>
      <c r="E645" t="s">
        <v>328</v>
      </c>
      <c r="F645">
        <v>0</v>
      </c>
      <c r="G645">
        <v>0</v>
      </c>
      <c r="H645" t="s">
        <v>224</v>
      </c>
      <c r="I645" t="s">
        <v>385</v>
      </c>
      <c r="J645" t="s">
        <v>384</v>
      </c>
      <c r="K645" t="b">
        <v>0</v>
      </c>
      <c r="L645">
        <v>1981</v>
      </c>
      <c r="M645">
        <v>1235626770</v>
      </c>
      <c r="N645">
        <v>85518233419</v>
      </c>
      <c r="O645" t="b">
        <v>1</v>
      </c>
      <c r="P645">
        <v>0</v>
      </c>
      <c r="Q645" t="str" cm="1">
        <f t="array" ref="Q645">_xlfn.IFS(Table1[[#This Row],[Wealthier_Winner]]=-1,"Wealthier Nation Loses",Table1[[#This Row],[Wealthier_Winner]]=0,"Tie",Table1[[#This Row],[Wealthier_Winner]]=1,"Wealthier Nation Wins")</f>
        <v>Tie</v>
      </c>
    </row>
    <row r="646" spans="1:17" x14ac:dyDescent="0.2">
      <c r="A646" s="1">
        <v>1461</v>
      </c>
      <c r="B646" s="2">
        <v>29737</v>
      </c>
      <c r="C646" s="7">
        <f>_xlfn.FLOOR.MATH(Table1[[#This Row],[year]],10)</f>
        <v>1980</v>
      </c>
      <c r="D646" t="s">
        <v>343</v>
      </c>
      <c r="E646" t="s">
        <v>32</v>
      </c>
      <c r="F646">
        <v>1</v>
      </c>
      <c r="G646">
        <v>0</v>
      </c>
      <c r="H646" t="s">
        <v>224</v>
      </c>
      <c r="I646" t="s">
        <v>349</v>
      </c>
      <c r="J646" t="s">
        <v>343</v>
      </c>
      <c r="K646" t="b">
        <v>0</v>
      </c>
      <c r="L646">
        <v>1981</v>
      </c>
      <c r="M646">
        <v>2170893414</v>
      </c>
      <c r="N646">
        <v>44348590460</v>
      </c>
      <c r="O646" t="b">
        <v>1</v>
      </c>
      <c r="P646">
        <v>-1</v>
      </c>
      <c r="Q646" t="str" cm="1">
        <f t="array" ref="Q646">_xlfn.IFS(Table1[[#This Row],[Wealthier_Winner]]=-1,"Wealthier Nation Loses",Table1[[#This Row],[Wealthier_Winner]]=0,"Tie",Table1[[#This Row],[Wealthier_Winner]]=1,"Wealthier Nation Wins")</f>
        <v>Wealthier Nation Loses</v>
      </c>
    </row>
    <row r="647" spans="1:17" x14ac:dyDescent="0.2">
      <c r="A647" s="1">
        <v>1462</v>
      </c>
      <c r="B647" s="2">
        <v>29737</v>
      </c>
      <c r="C647" s="7">
        <f>_xlfn.FLOOR.MATH(Table1[[#This Row],[year]],10)</f>
        <v>1980</v>
      </c>
      <c r="D647" t="s">
        <v>35</v>
      </c>
      <c r="E647" t="s">
        <v>57</v>
      </c>
      <c r="F647">
        <v>3</v>
      </c>
      <c r="G647">
        <v>1</v>
      </c>
      <c r="H647" t="s">
        <v>224</v>
      </c>
      <c r="I647" t="s">
        <v>250</v>
      </c>
      <c r="J647" t="s">
        <v>35</v>
      </c>
      <c r="K647" t="b">
        <v>0</v>
      </c>
      <c r="L647">
        <v>1981</v>
      </c>
      <c r="M647">
        <v>5624515873</v>
      </c>
      <c r="N647">
        <v>21810759353</v>
      </c>
      <c r="O647" t="b">
        <v>1</v>
      </c>
      <c r="P647">
        <v>-1</v>
      </c>
      <c r="Q647" t="str" cm="1">
        <f t="array" ref="Q647">_xlfn.IFS(Table1[[#This Row],[Wealthier_Winner]]=-1,"Wealthier Nation Loses",Table1[[#This Row],[Wealthier_Winner]]=0,"Tie",Table1[[#This Row],[Wealthier_Winner]]=1,"Wealthier Nation Wins")</f>
        <v>Wealthier Nation Loses</v>
      </c>
    </row>
    <row r="648" spans="1:17" x14ac:dyDescent="0.2">
      <c r="A648" s="1">
        <v>1463</v>
      </c>
      <c r="B648" s="2">
        <v>29740</v>
      </c>
      <c r="C648" s="7">
        <f>_xlfn.FLOOR.MATH(Table1[[#This Row],[year]],10)</f>
        <v>1980</v>
      </c>
      <c r="D648" t="s">
        <v>36</v>
      </c>
      <c r="E648" t="s">
        <v>18</v>
      </c>
      <c r="F648">
        <v>3</v>
      </c>
      <c r="G648">
        <v>1</v>
      </c>
      <c r="H648" t="s">
        <v>224</v>
      </c>
      <c r="I648" t="s">
        <v>264</v>
      </c>
      <c r="J648" t="s">
        <v>36</v>
      </c>
      <c r="K648" t="b">
        <v>0</v>
      </c>
      <c r="L648">
        <v>1981</v>
      </c>
      <c r="M648">
        <v>61459941460</v>
      </c>
      <c r="N648">
        <v>431695533980</v>
      </c>
      <c r="O648" t="b">
        <v>1</v>
      </c>
      <c r="P648">
        <v>-1</v>
      </c>
      <c r="Q648" t="str" cm="1">
        <f t="array" ref="Q648">_xlfn.IFS(Table1[[#This Row],[Wealthier_Winner]]=-1,"Wealthier Nation Loses",Table1[[#This Row],[Wealthier_Winner]]=0,"Tie",Table1[[#This Row],[Wealthier_Winner]]=1,"Wealthier Nation Wins")</f>
        <v>Wealthier Nation Loses</v>
      </c>
    </row>
    <row r="649" spans="1:17" x14ac:dyDescent="0.2">
      <c r="A649" s="1">
        <v>1467</v>
      </c>
      <c r="B649" s="2">
        <v>29743</v>
      </c>
      <c r="C649" s="7">
        <f>_xlfn.FLOOR.MATH(Table1[[#This Row],[year]],10)</f>
        <v>1980</v>
      </c>
      <c r="D649" t="s">
        <v>30</v>
      </c>
      <c r="E649" t="s">
        <v>194</v>
      </c>
      <c r="F649">
        <v>1</v>
      </c>
      <c r="G649">
        <v>3</v>
      </c>
      <c r="H649" t="s">
        <v>224</v>
      </c>
      <c r="I649" t="s">
        <v>297</v>
      </c>
      <c r="J649" t="s">
        <v>30</v>
      </c>
      <c r="K649" t="b">
        <v>0</v>
      </c>
      <c r="L649">
        <v>1981</v>
      </c>
      <c r="M649">
        <v>23705883891</v>
      </c>
      <c r="N649">
        <v>540765675241</v>
      </c>
      <c r="O649" t="b">
        <v>1</v>
      </c>
      <c r="P649">
        <v>1</v>
      </c>
      <c r="Q649" t="str" cm="1">
        <f t="array" ref="Q649">_xlfn.IFS(Table1[[#This Row],[Wealthier_Winner]]=-1,"Wealthier Nation Loses",Table1[[#This Row],[Wealthier_Winner]]=0,"Tie",Table1[[#This Row],[Wealthier_Winner]]=1,"Wealthier Nation Wins")</f>
        <v>Wealthier Nation Wins</v>
      </c>
    </row>
    <row r="650" spans="1:17" x14ac:dyDescent="0.2">
      <c r="A650" s="1">
        <v>1468</v>
      </c>
      <c r="B650" s="2">
        <v>29744</v>
      </c>
      <c r="C650" s="7">
        <f>_xlfn.FLOOR.MATH(Table1[[#This Row],[year]],10)</f>
        <v>1980</v>
      </c>
      <c r="D650" t="s">
        <v>35</v>
      </c>
      <c r="E650" t="s">
        <v>14</v>
      </c>
      <c r="F650">
        <v>0</v>
      </c>
      <c r="G650">
        <v>1</v>
      </c>
      <c r="H650" t="s">
        <v>224</v>
      </c>
      <c r="I650" t="s">
        <v>250</v>
      </c>
      <c r="J650" t="s">
        <v>35</v>
      </c>
      <c r="K650" t="b">
        <v>0</v>
      </c>
      <c r="L650">
        <v>1981</v>
      </c>
      <c r="M650">
        <v>5624515873</v>
      </c>
      <c r="N650">
        <v>35180322211</v>
      </c>
      <c r="O650" t="b">
        <v>1</v>
      </c>
      <c r="P650">
        <v>1</v>
      </c>
      <c r="Q650" t="str" cm="1">
        <f t="array" ref="Q650">_xlfn.IFS(Table1[[#This Row],[Wealthier_Winner]]=-1,"Wealthier Nation Loses",Table1[[#This Row],[Wealthier_Winner]]=0,"Tie",Table1[[#This Row],[Wealthier_Winner]]=1,"Wealthier Nation Wins")</f>
        <v>Wealthier Nation Wins</v>
      </c>
    </row>
    <row r="651" spans="1:17" x14ac:dyDescent="0.2">
      <c r="A651" s="1">
        <v>1470</v>
      </c>
      <c r="B651" s="2">
        <v>29751</v>
      </c>
      <c r="C651" s="7">
        <f>_xlfn.FLOOR.MATH(Table1[[#This Row],[year]],10)</f>
        <v>1980</v>
      </c>
      <c r="D651" t="s">
        <v>14</v>
      </c>
      <c r="E651" t="s">
        <v>57</v>
      </c>
      <c r="F651">
        <v>2</v>
      </c>
      <c r="G651">
        <v>0</v>
      </c>
      <c r="H651" t="s">
        <v>224</v>
      </c>
      <c r="I651" t="s">
        <v>75</v>
      </c>
      <c r="J651" t="s">
        <v>14</v>
      </c>
      <c r="K651" t="b">
        <v>0</v>
      </c>
      <c r="L651">
        <v>1981</v>
      </c>
      <c r="M651">
        <v>35180322211</v>
      </c>
      <c r="N651">
        <v>21810759353</v>
      </c>
      <c r="O651" t="b">
        <v>0</v>
      </c>
      <c r="P651">
        <v>1</v>
      </c>
      <c r="Q651" t="str" cm="1">
        <f t="array" ref="Q651">_xlfn.IFS(Table1[[#This Row],[Wealthier_Winner]]=-1,"Wealthier Nation Loses",Table1[[#This Row],[Wealthier_Winner]]=0,"Tie",Table1[[#This Row],[Wealthier_Winner]]=1,"Wealthier Nation Wins")</f>
        <v>Wealthier Nation Wins</v>
      </c>
    </row>
    <row r="652" spans="1:17" x14ac:dyDescent="0.2">
      <c r="A652" s="1">
        <v>1472</v>
      </c>
      <c r="B652" s="2">
        <v>29754</v>
      </c>
      <c r="C652" s="7">
        <f>_xlfn.FLOOR.MATH(Table1[[#This Row],[year]],10)</f>
        <v>1980</v>
      </c>
      <c r="D652" t="s">
        <v>29</v>
      </c>
      <c r="E652" t="s">
        <v>230</v>
      </c>
      <c r="F652">
        <v>5</v>
      </c>
      <c r="G652">
        <v>1</v>
      </c>
      <c r="H652" t="s">
        <v>224</v>
      </c>
      <c r="I652" t="s">
        <v>388</v>
      </c>
      <c r="J652" t="s">
        <v>29</v>
      </c>
      <c r="K652" t="b">
        <v>0</v>
      </c>
      <c r="L652">
        <v>1981</v>
      </c>
      <c r="M652">
        <v>70755997062</v>
      </c>
      <c r="N652">
        <v>52440066133</v>
      </c>
      <c r="O652" t="b">
        <v>0</v>
      </c>
      <c r="P652">
        <v>1</v>
      </c>
      <c r="Q652" t="str" cm="1">
        <f t="array" ref="Q652">_xlfn.IFS(Table1[[#This Row],[Wealthier_Winner]]=-1,"Wealthier Nation Loses",Table1[[#This Row],[Wealthier_Winner]]=0,"Tie",Table1[[#This Row],[Wealthier_Winner]]=1,"Wealthier Nation Wins")</f>
        <v>Wealthier Nation Wins</v>
      </c>
    </row>
    <row r="653" spans="1:17" x14ac:dyDescent="0.2">
      <c r="A653" s="1">
        <v>1473</v>
      </c>
      <c r="B653" s="2">
        <v>29754</v>
      </c>
      <c r="C653" s="7">
        <f>_xlfn.FLOOR.MATH(Table1[[#This Row],[year]],10)</f>
        <v>1980</v>
      </c>
      <c r="D653" t="s">
        <v>42</v>
      </c>
      <c r="E653" t="s">
        <v>46</v>
      </c>
      <c r="F653">
        <v>1</v>
      </c>
      <c r="G653">
        <v>1</v>
      </c>
      <c r="H653" t="s">
        <v>224</v>
      </c>
      <c r="I653" t="s">
        <v>262</v>
      </c>
      <c r="J653" t="s">
        <v>42</v>
      </c>
      <c r="K653" t="b">
        <v>0</v>
      </c>
      <c r="L653">
        <v>1981</v>
      </c>
      <c r="M653">
        <v>63596654760</v>
      </c>
      <c r="N653">
        <v>112244805518</v>
      </c>
      <c r="O653" t="b">
        <v>0</v>
      </c>
      <c r="P653">
        <v>0</v>
      </c>
      <c r="Q653" t="str" cm="1">
        <f t="array" ref="Q653">_xlfn.IFS(Table1[[#This Row],[Wealthier_Winner]]=-1,"Wealthier Nation Loses",Table1[[#This Row],[Wealthier_Winner]]=0,"Tie",Table1[[#This Row],[Wealthier_Winner]]=1,"Wealthier Nation Wins")</f>
        <v>Tie</v>
      </c>
    </row>
    <row r="654" spans="1:17" x14ac:dyDescent="0.2">
      <c r="A654" s="1">
        <v>1474</v>
      </c>
      <c r="B654" s="2">
        <v>29758</v>
      </c>
      <c r="C654" s="7">
        <f>_xlfn.FLOOR.MATH(Table1[[#This Row],[year]],10)</f>
        <v>1980</v>
      </c>
      <c r="D654" t="s">
        <v>14</v>
      </c>
      <c r="E654" t="s">
        <v>35</v>
      </c>
      <c r="F654">
        <v>3</v>
      </c>
      <c r="G654">
        <v>0</v>
      </c>
      <c r="H654" t="s">
        <v>224</v>
      </c>
      <c r="I654" t="s">
        <v>75</v>
      </c>
      <c r="J654" t="s">
        <v>14</v>
      </c>
      <c r="K654" t="b">
        <v>0</v>
      </c>
      <c r="L654">
        <v>1981</v>
      </c>
      <c r="M654">
        <v>35180322211</v>
      </c>
      <c r="N654">
        <v>5624515873</v>
      </c>
      <c r="O654" t="b">
        <v>1</v>
      </c>
      <c r="P654">
        <v>1</v>
      </c>
      <c r="Q654" t="str" cm="1">
        <f t="array" ref="Q654">_xlfn.IFS(Table1[[#This Row],[Wealthier_Winner]]=-1,"Wealthier Nation Loses",Table1[[#This Row],[Wealthier_Winner]]=0,"Tie",Table1[[#This Row],[Wealthier_Winner]]=1,"Wealthier Nation Wins")</f>
        <v>Wealthier Nation Wins</v>
      </c>
    </row>
    <row r="655" spans="1:17" x14ac:dyDescent="0.2">
      <c r="A655" s="1">
        <v>1475</v>
      </c>
      <c r="B655" s="2">
        <v>29761</v>
      </c>
      <c r="C655" s="7">
        <f>_xlfn.FLOOR.MATH(Table1[[#This Row],[year]],10)</f>
        <v>1980</v>
      </c>
      <c r="D655" t="s">
        <v>25</v>
      </c>
      <c r="E655" t="s">
        <v>38</v>
      </c>
      <c r="F655">
        <v>3</v>
      </c>
      <c r="G655">
        <v>0</v>
      </c>
      <c r="H655" t="s">
        <v>224</v>
      </c>
      <c r="I655" t="s">
        <v>233</v>
      </c>
      <c r="J655" t="s">
        <v>25</v>
      </c>
      <c r="K655" t="b">
        <v>0</v>
      </c>
      <c r="L655">
        <v>1981</v>
      </c>
      <c r="M655">
        <v>129498921475</v>
      </c>
      <c r="N655">
        <v>31977276872</v>
      </c>
      <c r="O655" t="b">
        <v>1</v>
      </c>
      <c r="P655">
        <v>1</v>
      </c>
      <c r="Q655" t="str" cm="1">
        <f t="array" ref="Q655">_xlfn.IFS(Table1[[#This Row],[Wealthier_Winner]]=-1,"Wealthier Nation Loses",Table1[[#This Row],[Wealthier_Winner]]=0,"Tie",Table1[[#This Row],[Wealthier_Winner]]=1,"Wealthier Nation Wins")</f>
        <v>Wealthier Nation Wins</v>
      </c>
    </row>
    <row r="656" spans="1:17" x14ac:dyDescent="0.2">
      <c r="A656" s="1">
        <v>1477</v>
      </c>
      <c r="B656" s="2">
        <v>29793</v>
      </c>
      <c r="C656" s="7">
        <f>_xlfn.FLOOR.MATH(Table1[[#This Row],[year]],10)</f>
        <v>1980</v>
      </c>
      <c r="D656" t="s">
        <v>15</v>
      </c>
      <c r="E656" t="s">
        <v>31</v>
      </c>
      <c r="F656">
        <v>1</v>
      </c>
      <c r="G656">
        <v>1</v>
      </c>
      <c r="H656" t="s">
        <v>224</v>
      </c>
      <c r="I656" t="s">
        <v>241</v>
      </c>
      <c r="J656" t="s">
        <v>15</v>
      </c>
      <c r="K656" t="b">
        <v>0</v>
      </c>
      <c r="L656">
        <v>1981</v>
      </c>
      <c r="M656">
        <v>36388366869</v>
      </c>
      <c r="N656">
        <v>21648214892</v>
      </c>
      <c r="O656" t="b">
        <v>0</v>
      </c>
      <c r="P656">
        <v>0</v>
      </c>
      <c r="Q656" t="str" cm="1">
        <f t="array" ref="Q656">_xlfn.IFS(Table1[[#This Row],[Wealthier_Winner]]=-1,"Wealthier Nation Loses",Table1[[#This Row],[Wealthier_Winner]]=0,"Tie",Table1[[#This Row],[Wealthier_Winner]]=1,"Wealthier Nation Wins")</f>
        <v>Tie</v>
      </c>
    </row>
    <row r="657" spans="1:17" x14ac:dyDescent="0.2">
      <c r="A657" s="1">
        <v>1478</v>
      </c>
      <c r="B657" s="2">
        <v>29793</v>
      </c>
      <c r="C657" s="7">
        <f>_xlfn.FLOOR.MATH(Table1[[#This Row],[year]],10)</f>
        <v>1980</v>
      </c>
      <c r="D657" t="s">
        <v>384</v>
      </c>
      <c r="E657" t="s">
        <v>28</v>
      </c>
      <c r="F657">
        <v>1</v>
      </c>
      <c r="G657">
        <v>4</v>
      </c>
      <c r="H657" t="s">
        <v>224</v>
      </c>
      <c r="I657" t="s">
        <v>385</v>
      </c>
      <c r="J657" t="s">
        <v>384</v>
      </c>
      <c r="K657" t="b">
        <v>0</v>
      </c>
      <c r="L657">
        <v>1981</v>
      </c>
      <c r="M657">
        <v>1235626770</v>
      </c>
      <c r="N657">
        <v>177151979565</v>
      </c>
      <c r="O657" t="b">
        <v>1</v>
      </c>
      <c r="P657">
        <v>1</v>
      </c>
      <c r="Q657" t="str" cm="1">
        <f t="array" ref="Q657">_xlfn.IFS(Table1[[#This Row],[Wealthier_Winner]]=-1,"Wealthier Nation Loses",Table1[[#This Row],[Wealthier_Winner]]=0,"Tie",Table1[[#This Row],[Wealthier_Winner]]=1,"Wealthier Nation Wins")</f>
        <v>Wealthier Nation Wins</v>
      </c>
    </row>
    <row r="658" spans="1:17" x14ac:dyDescent="0.2">
      <c r="A658" s="1">
        <v>1479</v>
      </c>
      <c r="B658" s="2">
        <v>29807</v>
      </c>
      <c r="C658" s="7">
        <f>_xlfn.FLOOR.MATH(Table1[[#This Row],[year]],10)</f>
        <v>1980</v>
      </c>
      <c r="D658" t="s">
        <v>26</v>
      </c>
      <c r="E658" t="s">
        <v>15</v>
      </c>
      <c r="F658">
        <v>3</v>
      </c>
      <c r="G658">
        <v>2</v>
      </c>
      <c r="H658" t="s">
        <v>224</v>
      </c>
      <c r="I658" t="s">
        <v>247</v>
      </c>
      <c r="J658" t="s">
        <v>26</v>
      </c>
      <c r="K658" t="b">
        <v>0</v>
      </c>
      <c r="L658">
        <v>1981</v>
      </c>
      <c r="M658">
        <v>11048301420</v>
      </c>
      <c r="N658">
        <v>36388366869</v>
      </c>
      <c r="O658" t="b">
        <v>1</v>
      </c>
      <c r="P658">
        <v>-1</v>
      </c>
      <c r="Q658" t="str" cm="1">
        <f t="array" ref="Q658">_xlfn.IFS(Table1[[#This Row],[Wealthier_Winner]]=-1,"Wealthier Nation Loses",Table1[[#This Row],[Wealthier_Winner]]=0,"Tie",Table1[[#This Row],[Wealthier_Winner]]=1,"Wealthier Nation Wins")</f>
        <v>Wealthier Nation Loses</v>
      </c>
    </row>
    <row r="659" spans="1:17" x14ac:dyDescent="0.2">
      <c r="A659" s="1">
        <v>1480</v>
      </c>
      <c r="B659" s="2">
        <v>29808</v>
      </c>
      <c r="C659" s="7">
        <f>_xlfn.FLOOR.MATH(Table1[[#This Row],[year]],10)</f>
        <v>1980</v>
      </c>
      <c r="D659" t="s">
        <v>328</v>
      </c>
      <c r="E659" t="s">
        <v>384</v>
      </c>
      <c r="F659">
        <v>3</v>
      </c>
      <c r="G659">
        <v>3</v>
      </c>
      <c r="H659" t="s">
        <v>224</v>
      </c>
      <c r="I659" t="s">
        <v>386</v>
      </c>
      <c r="J659" t="s">
        <v>328</v>
      </c>
      <c r="K659" t="b">
        <v>0</v>
      </c>
      <c r="L659">
        <v>1981</v>
      </c>
      <c r="M659">
        <v>85518233419</v>
      </c>
      <c r="N659">
        <v>1235626770</v>
      </c>
      <c r="O659" t="b">
        <v>1</v>
      </c>
      <c r="P659">
        <v>0</v>
      </c>
      <c r="Q659" t="str" cm="1">
        <f t="array" ref="Q659">_xlfn.IFS(Table1[[#This Row],[Wealthier_Winner]]=-1,"Wealthier Nation Loses",Table1[[#This Row],[Wealthier_Winner]]=0,"Tie",Table1[[#This Row],[Wealthier_Winner]]=1,"Wealthier Nation Wins")</f>
        <v>Tie</v>
      </c>
    </row>
    <row r="660" spans="1:17" x14ac:dyDescent="0.2">
      <c r="A660" s="1">
        <v>1481</v>
      </c>
      <c r="B660" s="2">
        <v>29812</v>
      </c>
      <c r="C660" s="7">
        <f>_xlfn.FLOOR.MATH(Table1[[#This Row],[year]],10)</f>
        <v>1980</v>
      </c>
      <c r="D660" t="s">
        <v>28</v>
      </c>
      <c r="E660" t="s">
        <v>384</v>
      </c>
      <c r="F660">
        <v>10</v>
      </c>
      <c r="G660">
        <v>0</v>
      </c>
      <c r="H660" t="s">
        <v>224</v>
      </c>
      <c r="I660" t="s">
        <v>329</v>
      </c>
      <c r="J660" t="s">
        <v>28</v>
      </c>
      <c r="K660" t="b">
        <v>0</v>
      </c>
      <c r="L660">
        <v>1981</v>
      </c>
      <c r="M660">
        <v>177151979565</v>
      </c>
      <c r="N660">
        <v>1235626770</v>
      </c>
      <c r="O660" t="b">
        <v>1</v>
      </c>
      <c r="P660">
        <v>1</v>
      </c>
      <c r="Q660" t="str" cm="1">
        <f t="array" ref="Q660">_xlfn.IFS(Table1[[#This Row],[Wealthier_Winner]]=-1,"Wealthier Nation Loses",Table1[[#This Row],[Wealthier_Winner]]=0,"Tie",Table1[[#This Row],[Wealthier_Winner]]=1,"Wealthier Nation Wins")</f>
        <v>Wealthier Nation Wins</v>
      </c>
    </row>
    <row r="661" spans="1:17" x14ac:dyDescent="0.2">
      <c r="A661" s="1">
        <v>1482</v>
      </c>
      <c r="B661" s="2">
        <v>29814</v>
      </c>
      <c r="C661" s="7">
        <f>_xlfn.FLOOR.MATH(Table1[[#This Row],[year]],10)</f>
        <v>1980</v>
      </c>
      <c r="D661" t="s">
        <v>72</v>
      </c>
      <c r="E661" t="s">
        <v>384</v>
      </c>
      <c r="F661">
        <v>13</v>
      </c>
      <c r="G661">
        <v>0</v>
      </c>
      <c r="H661" t="s">
        <v>224</v>
      </c>
      <c r="I661" t="s">
        <v>327</v>
      </c>
      <c r="J661" t="s">
        <v>72</v>
      </c>
      <c r="K661" t="b">
        <v>0</v>
      </c>
      <c r="L661">
        <v>1981</v>
      </c>
      <c r="M661">
        <v>24417617184</v>
      </c>
      <c r="N661">
        <v>1235626770</v>
      </c>
      <c r="O661" t="b">
        <v>1</v>
      </c>
      <c r="P661">
        <v>1</v>
      </c>
      <c r="Q661" t="str" cm="1">
        <f t="array" ref="Q661">_xlfn.IFS(Table1[[#This Row],[Wealthier_Winner]]=-1,"Wealthier Nation Loses",Table1[[#This Row],[Wealthier_Winner]]=0,"Tie",Table1[[#This Row],[Wealthier_Winner]]=1,"Wealthier Nation Wins")</f>
        <v>Wealthier Nation Wins</v>
      </c>
    </row>
    <row r="662" spans="1:17" x14ac:dyDescent="0.2">
      <c r="A662" s="1">
        <v>1483</v>
      </c>
      <c r="B662" s="2">
        <v>29814</v>
      </c>
      <c r="C662" s="7">
        <f>_xlfn.FLOOR.MATH(Table1[[#This Row],[year]],10)</f>
        <v>1980</v>
      </c>
      <c r="D662" t="s">
        <v>31</v>
      </c>
      <c r="E662" t="s">
        <v>15</v>
      </c>
      <c r="F662">
        <v>2</v>
      </c>
      <c r="G662">
        <v>0</v>
      </c>
      <c r="H662" t="s">
        <v>224</v>
      </c>
      <c r="I662" t="s">
        <v>242</v>
      </c>
      <c r="J662" t="s">
        <v>31</v>
      </c>
      <c r="K662" t="b">
        <v>0</v>
      </c>
      <c r="L662">
        <v>1981</v>
      </c>
      <c r="M662">
        <v>21648214892</v>
      </c>
      <c r="N662">
        <v>36388366869</v>
      </c>
      <c r="O662" t="b">
        <v>0</v>
      </c>
      <c r="P662">
        <v>-1</v>
      </c>
      <c r="Q662" t="str" cm="1">
        <f t="array" ref="Q662">_xlfn.IFS(Table1[[#This Row],[Wealthier_Winner]]=-1,"Wealthier Nation Loses",Table1[[#This Row],[Wealthier_Winner]]=0,"Tie",Table1[[#This Row],[Wealthier_Winner]]=1,"Wealthier Nation Wins")</f>
        <v>Wealthier Nation Loses</v>
      </c>
    </row>
    <row r="663" spans="1:17" x14ac:dyDescent="0.2">
      <c r="A663" s="1">
        <v>1484</v>
      </c>
      <c r="B663" s="2">
        <v>29821</v>
      </c>
      <c r="C663" s="7">
        <f>_xlfn.FLOOR.MATH(Table1[[#This Row],[year]],10)</f>
        <v>1980</v>
      </c>
      <c r="D663" t="s">
        <v>26</v>
      </c>
      <c r="E663" t="s">
        <v>31</v>
      </c>
      <c r="F663">
        <v>1</v>
      </c>
      <c r="G663">
        <v>2</v>
      </c>
      <c r="H663" t="s">
        <v>224</v>
      </c>
      <c r="I663" t="s">
        <v>247</v>
      </c>
      <c r="J663" t="s">
        <v>26</v>
      </c>
      <c r="K663" t="b">
        <v>0</v>
      </c>
      <c r="L663">
        <v>1981</v>
      </c>
      <c r="M663">
        <v>11048301420</v>
      </c>
      <c r="N663">
        <v>21648214892</v>
      </c>
      <c r="O663" t="b">
        <v>0</v>
      </c>
      <c r="P663">
        <v>1</v>
      </c>
      <c r="Q663" t="str" cm="1">
        <f t="array" ref="Q663">_xlfn.IFS(Table1[[#This Row],[Wealthier_Winner]]=-1,"Wealthier Nation Loses",Table1[[#This Row],[Wealthier_Winner]]=0,"Tie",Table1[[#This Row],[Wealthier_Winner]]=1,"Wealthier Nation Wins")</f>
        <v>Wealthier Nation Wins</v>
      </c>
    </row>
    <row r="664" spans="1:17" x14ac:dyDescent="0.2">
      <c r="A664" s="1">
        <v>1485</v>
      </c>
      <c r="B664" s="2">
        <v>29828</v>
      </c>
      <c r="C664" s="7">
        <f>_xlfn.FLOOR.MATH(Table1[[#This Row],[year]],10)</f>
        <v>1980</v>
      </c>
      <c r="D664" t="s">
        <v>328</v>
      </c>
      <c r="E664" t="s">
        <v>28</v>
      </c>
      <c r="F664">
        <v>1</v>
      </c>
      <c r="G664">
        <v>0</v>
      </c>
      <c r="H664" t="s">
        <v>224</v>
      </c>
      <c r="I664" t="s">
        <v>389</v>
      </c>
      <c r="J664" t="s">
        <v>328</v>
      </c>
      <c r="K664" t="b">
        <v>0</v>
      </c>
      <c r="L664">
        <v>1981</v>
      </c>
      <c r="M664">
        <v>85518233419</v>
      </c>
      <c r="N664">
        <v>177151979565</v>
      </c>
      <c r="O664" t="b">
        <v>1</v>
      </c>
      <c r="P664">
        <v>-1</v>
      </c>
      <c r="Q664" t="str" cm="1">
        <f t="array" ref="Q664">_xlfn.IFS(Table1[[#This Row],[Wealthier_Winner]]=-1,"Wealthier Nation Loses",Table1[[#This Row],[Wealthier_Winner]]=0,"Tie",Table1[[#This Row],[Wealthier_Winner]]=1,"Wealthier Nation Wins")</f>
        <v>Wealthier Nation Loses</v>
      </c>
    </row>
    <row r="665" spans="1:17" x14ac:dyDescent="0.2">
      <c r="A665" s="1">
        <v>1486</v>
      </c>
      <c r="B665" s="2">
        <v>29831</v>
      </c>
      <c r="C665" s="7">
        <f>_xlfn.FLOOR.MATH(Table1[[#This Row],[year]],10)</f>
        <v>1980</v>
      </c>
      <c r="D665" t="s">
        <v>230</v>
      </c>
      <c r="E665" t="s">
        <v>373</v>
      </c>
      <c r="F665">
        <v>2</v>
      </c>
      <c r="G665">
        <v>1</v>
      </c>
      <c r="H665" t="s">
        <v>224</v>
      </c>
      <c r="I665" t="s">
        <v>390</v>
      </c>
      <c r="J665" t="s">
        <v>230</v>
      </c>
      <c r="K665" t="b">
        <v>0</v>
      </c>
      <c r="L665">
        <v>1981</v>
      </c>
      <c r="M665">
        <v>52440066133</v>
      </c>
      <c r="N665">
        <v>1808177156</v>
      </c>
      <c r="O665" t="b">
        <v>1</v>
      </c>
      <c r="P665">
        <v>1</v>
      </c>
      <c r="Q665" t="str" cm="1">
        <f t="array" ref="Q665">_xlfn.IFS(Table1[[#This Row],[Wealthier_Winner]]=-1,"Wealthier Nation Loses",Table1[[#This Row],[Wealthier_Winner]]=0,"Tie",Table1[[#This Row],[Wealthier_Winner]]=1,"Wealthier Nation Wins")</f>
        <v>Wealthier Nation Wins</v>
      </c>
    </row>
    <row r="666" spans="1:17" x14ac:dyDescent="0.2">
      <c r="A666" s="1">
        <v>1487</v>
      </c>
      <c r="B666" s="2">
        <v>29835</v>
      </c>
      <c r="C666" s="7">
        <f>_xlfn.FLOOR.MATH(Table1[[#This Row],[year]],10)</f>
        <v>1980</v>
      </c>
      <c r="D666" t="s">
        <v>31</v>
      </c>
      <c r="E666" t="s">
        <v>26</v>
      </c>
      <c r="F666">
        <v>0</v>
      </c>
      <c r="G666">
        <v>0</v>
      </c>
      <c r="H666" t="s">
        <v>224</v>
      </c>
      <c r="I666" t="s">
        <v>242</v>
      </c>
      <c r="J666" t="s">
        <v>31</v>
      </c>
      <c r="K666" t="b">
        <v>0</v>
      </c>
      <c r="L666">
        <v>1981</v>
      </c>
      <c r="M666">
        <v>21648214892</v>
      </c>
      <c r="N666">
        <v>11048301420</v>
      </c>
      <c r="O666" t="b">
        <v>0</v>
      </c>
      <c r="P666">
        <v>0</v>
      </c>
      <c r="Q666" t="str" cm="1">
        <f t="array" ref="Q666">_xlfn.IFS(Table1[[#This Row],[Wealthier_Winner]]=-1,"Wealthier Nation Loses",Table1[[#This Row],[Wealthier_Winner]]=0,"Tie",Table1[[#This Row],[Wealthier_Winner]]=1,"Wealthier Nation Wins")</f>
        <v>Tie</v>
      </c>
    </row>
    <row r="667" spans="1:17" x14ac:dyDescent="0.2">
      <c r="A667" s="1">
        <v>1488</v>
      </c>
      <c r="B667" s="2">
        <v>29838</v>
      </c>
      <c r="C667" s="7">
        <f>_xlfn.FLOOR.MATH(Table1[[#This Row],[year]],10)</f>
        <v>1980</v>
      </c>
      <c r="D667" t="s">
        <v>23</v>
      </c>
      <c r="E667" t="s">
        <v>20</v>
      </c>
      <c r="F667">
        <v>2</v>
      </c>
      <c r="G667">
        <v>0</v>
      </c>
      <c r="H667" t="s">
        <v>224</v>
      </c>
      <c r="I667" t="s">
        <v>235</v>
      </c>
      <c r="J667" t="s">
        <v>23</v>
      </c>
      <c r="K667" t="b">
        <v>0</v>
      </c>
      <c r="L667">
        <v>1981</v>
      </c>
      <c r="M667">
        <v>104730018470</v>
      </c>
      <c r="N667">
        <v>609184791792</v>
      </c>
      <c r="O667" t="b">
        <v>1</v>
      </c>
      <c r="P667">
        <v>-1</v>
      </c>
      <c r="Q667" t="str" cm="1">
        <f t="array" ref="Q667">_xlfn.IFS(Table1[[#This Row],[Wealthier_Winner]]=-1,"Wealthier Nation Loses",Table1[[#This Row],[Wealthier_Winner]]=0,"Tie",Table1[[#This Row],[Wealthier_Winner]]=1,"Wealthier Nation Wins")</f>
        <v>Wealthier Nation Loses</v>
      </c>
    </row>
    <row r="668" spans="1:17" x14ac:dyDescent="0.2">
      <c r="A668" s="1">
        <v>1493</v>
      </c>
      <c r="B668" s="2">
        <v>29838</v>
      </c>
      <c r="C668" s="7">
        <f>_xlfn.FLOOR.MATH(Table1[[#This Row],[year]],10)</f>
        <v>1980</v>
      </c>
      <c r="D668" t="s">
        <v>42</v>
      </c>
      <c r="E668" t="s">
        <v>194</v>
      </c>
      <c r="F668">
        <v>2</v>
      </c>
      <c r="G668">
        <v>1</v>
      </c>
      <c r="H668" t="s">
        <v>224</v>
      </c>
      <c r="I668" t="s">
        <v>262</v>
      </c>
      <c r="J668" t="s">
        <v>42</v>
      </c>
      <c r="K668" t="b">
        <v>0</v>
      </c>
      <c r="L668">
        <v>1981</v>
      </c>
      <c r="M668">
        <v>63596654760</v>
      </c>
      <c r="N668">
        <v>540765675241</v>
      </c>
      <c r="O668" t="b">
        <v>1</v>
      </c>
      <c r="P668">
        <v>-1</v>
      </c>
      <c r="Q668" t="str" cm="1">
        <f t="array" ref="Q668">_xlfn.IFS(Table1[[#This Row],[Wealthier_Winner]]=-1,"Wealthier Nation Loses",Table1[[#This Row],[Wealthier_Winner]]=0,"Tie",Table1[[#This Row],[Wealthier_Winner]]=1,"Wealthier Nation Wins")</f>
        <v>Wealthier Nation Loses</v>
      </c>
    </row>
    <row r="669" spans="1:17" x14ac:dyDescent="0.2">
      <c r="A669" s="1">
        <v>1495</v>
      </c>
      <c r="B669" s="2">
        <v>29842</v>
      </c>
      <c r="C669" s="7">
        <f>_xlfn.FLOOR.MATH(Table1[[#This Row],[year]],10)</f>
        <v>1980</v>
      </c>
      <c r="D669" t="s">
        <v>15</v>
      </c>
      <c r="E669" t="s">
        <v>26</v>
      </c>
      <c r="F669">
        <v>1</v>
      </c>
      <c r="G669">
        <v>1</v>
      </c>
      <c r="H669" t="s">
        <v>224</v>
      </c>
      <c r="I669" t="s">
        <v>241</v>
      </c>
      <c r="J669" t="s">
        <v>15</v>
      </c>
      <c r="K669" t="b">
        <v>0</v>
      </c>
      <c r="L669">
        <v>1981</v>
      </c>
      <c r="M669">
        <v>36388366869</v>
      </c>
      <c r="N669">
        <v>11048301420</v>
      </c>
      <c r="O669" t="b">
        <v>1</v>
      </c>
      <c r="P669">
        <v>0</v>
      </c>
      <c r="Q669" t="str" cm="1">
        <f t="array" ref="Q669">_xlfn.IFS(Table1[[#This Row],[Wealthier_Winner]]=-1,"Wealthier Nation Loses",Table1[[#This Row],[Wealthier_Winner]]=0,"Tie",Table1[[#This Row],[Wealthier_Winner]]=1,"Wealthier Nation Wins")</f>
        <v>Tie</v>
      </c>
    </row>
    <row r="670" spans="1:17" x14ac:dyDescent="0.2">
      <c r="A670" s="1">
        <v>1496</v>
      </c>
      <c r="B670" s="2">
        <v>29852</v>
      </c>
      <c r="C670" s="7">
        <f>_xlfn.FLOOR.MATH(Table1[[#This Row],[year]],10)</f>
        <v>1980</v>
      </c>
      <c r="D670" t="s">
        <v>16</v>
      </c>
      <c r="E670" t="s">
        <v>230</v>
      </c>
      <c r="F670">
        <v>7</v>
      </c>
      <c r="G670">
        <v>1</v>
      </c>
      <c r="H670" t="s">
        <v>224</v>
      </c>
      <c r="I670" t="s">
        <v>391</v>
      </c>
      <c r="J670" t="s">
        <v>16</v>
      </c>
      <c r="K670" t="b">
        <v>0</v>
      </c>
      <c r="L670">
        <v>1981</v>
      </c>
      <c r="M670">
        <v>803404797057</v>
      </c>
      <c r="N670">
        <v>52440066133</v>
      </c>
      <c r="O670" t="b">
        <v>1</v>
      </c>
      <c r="P670">
        <v>1</v>
      </c>
      <c r="Q670" t="str" cm="1">
        <f t="array" ref="Q670">_xlfn.IFS(Table1[[#This Row],[Wealthier_Winner]]=-1,"Wealthier Nation Loses",Table1[[#This Row],[Wealthier_Winner]]=0,"Tie",Table1[[#This Row],[Wealthier_Winner]]=1,"Wealthier Nation Wins")</f>
        <v>Wealthier Nation Wins</v>
      </c>
    </row>
    <row r="671" spans="1:17" x14ac:dyDescent="0.2">
      <c r="A671" s="1">
        <v>1504</v>
      </c>
      <c r="B671" s="2">
        <v>29869</v>
      </c>
      <c r="C671" s="7">
        <f>_xlfn.FLOOR.MATH(Table1[[#This Row],[year]],10)</f>
        <v>1980</v>
      </c>
      <c r="D671" t="s">
        <v>72</v>
      </c>
      <c r="E671" t="s">
        <v>71</v>
      </c>
      <c r="F671">
        <v>1</v>
      </c>
      <c r="G671">
        <v>2</v>
      </c>
      <c r="H671" t="s">
        <v>224</v>
      </c>
      <c r="I671" t="s">
        <v>327</v>
      </c>
      <c r="J671" t="s">
        <v>72</v>
      </c>
      <c r="K671" t="b">
        <v>0</v>
      </c>
      <c r="L671">
        <v>1981</v>
      </c>
      <c r="M671">
        <v>24417617184</v>
      </c>
      <c r="N671">
        <v>25058020338</v>
      </c>
      <c r="O671" t="b">
        <v>0</v>
      </c>
      <c r="P671">
        <v>1</v>
      </c>
      <c r="Q671" t="str" cm="1">
        <f t="array" ref="Q671">_xlfn.IFS(Table1[[#This Row],[Wealthier_Winner]]=-1,"Wealthier Nation Loses",Table1[[#This Row],[Wealthier_Winner]]=0,"Tie",Table1[[#This Row],[Wealthier_Winner]]=1,"Wealthier Nation Wins")</f>
        <v>Wealthier Nation Wins</v>
      </c>
    </row>
    <row r="672" spans="1:17" x14ac:dyDescent="0.2">
      <c r="A672" s="1">
        <v>1505</v>
      </c>
      <c r="B672" s="2">
        <v>29869</v>
      </c>
      <c r="C672" s="7">
        <f>_xlfn.FLOOR.MATH(Table1[[#This Row],[year]],10)</f>
        <v>1980</v>
      </c>
      <c r="D672" t="s">
        <v>43</v>
      </c>
      <c r="E672" t="s">
        <v>32</v>
      </c>
      <c r="F672">
        <v>0</v>
      </c>
      <c r="G672">
        <v>2</v>
      </c>
      <c r="H672" t="s">
        <v>224</v>
      </c>
      <c r="I672" t="s">
        <v>229</v>
      </c>
      <c r="J672" t="s">
        <v>43</v>
      </c>
      <c r="K672" t="b">
        <v>0</v>
      </c>
      <c r="L672">
        <v>1981</v>
      </c>
      <c r="M672">
        <v>164475209515</v>
      </c>
      <c r="N672">
        <v>44348590460</v>
      </c>
      <c r="O672" t="b">
        <v>1</v>
      </c>
      <c r="P672">
        <v>-1</v>
      </c>
      <c r="Q672" t="str" cm="1">
        <f t="array" ref="Q672">_xlfn.IFS(Table1[[#This Row],[Wealthier_Winner]]=-1,"Wealthier Nation Loses",Table1[[#This Row],[Wealthier_Winner]]=0,"Tie",Table1[[#This Row],[Wealthier_Winner]]=1,"Wealthier Nation Wins")</f>
        <v>Wealthier Nation Loses</v>
      </c>
    </row>
    <row r="673" spans="1:17" x14ac:dyDescent="0.2">
      <c r="A673" s="1">
        <v>1507</v>
      </c>
      <c r="B673" s="2">
        <v>29873</v>
      </c>
      <c r="C673" s="7">
        <f>_xlfn.FLOOR.MATH(Table1[[#This Row],[year]],10)</f>
        <v>1980</v>
      </c>
      <c r="D673" t="s">
        <v>373</v>
      </c>
      <c r="E673" t="s">
        <v>33</v>
      </c>
      <c r="F673">
        <v>0</v>
      </c>
      <c r="G673">
        <v>2</v>
      </c>
      <c r="H673" t="s">
        <v>224</v>
      </c>
      <c r="I673" t="s">
        <v>374</v>
      </c>
      <c r="J673" t="s">
        <v>373</v>
      </c>
      <c r="K673" t="b">
        <v>0</v>
      </c>
      <c r="L673">
        <v>1981</v>
      </c>
      <c r="M673">
        <v>1808177156</v>
      </c>
      <c r="N673">
        <v>19870000000</v>
      </c>
      <c r="O673" t="b">
        <v>1</v>
      </c>
      <c r="P673">
        <v>1</v>
      </c>
      <c r="Q673" t="str" cm="1">
        <f t="array" ref="Q673">_xlfn.IFS(Table1[[#This Row],[Wealthier_Winner]]=-1,"Wealthier Nation Loses",Table1[[#This Row],[Wealthier_Winner]]=0,"Tie",Table1[[#This Row],[Wealthier_Winner]]=1,"Wealthier Nation Wins")</f>
        <v>Wealthier Nation Wins</v>
      </c>
    </row>
    <row r="674" spans="1:17" x14ac:dyDescent="0.2">
      <c r="A674" s="1">
        <v>1508</v>
      </c>
      <c r="B674" s="2">
        <v>29873</v>
      </c>
      <c r="C674" s="7">
        <f>_xlfn.FLOOR.MATH(Table1[[#This Row],[year]],10)</f>
        <v>1980</v>
      </c>
      <c r="D674" t="s">
        <v>29</v>
      </c>
      <c r="E674" t="s">
        <v>16</v>
      </c>
      <c r="F674">
        <v>1</v>
      </c>
      <c r="G674">
        <v>3</v>
      </c>
      <c r="H674" t="s">
        <v>224</v>
      </c>
      <c r="I674" t="s">
        <v>270</v>
      </c>
      <c r="J674" t="s">
        <v>29</v>
      </c>
      <c r="K674" t="b">
        <v>0</v>
      </c>
      <c r="L674">
        <v>1981</v>
      </c>
      <c r="M674">
        <v>70755997062</v>
      </c>
      <c r="N674">
        <v>803404797057</v>
      </c>
      <c r="O674" t="b">
        <v>1</v>
      </c>
      <c r="P674">
        <v>1</v>
      </c>
      <c r="Q674" t="str" cm="1">
        <f t="array" ref="Q674">_xlfn.IFS(Table1[[#This Row],[Wealthier_Winner]]=-1,"Wealthier Nation Loses",Table1[[#This Row],[Wealthier_Winner]]=0,"Tie",Table1[[#This Row],[Wealthier_Winner]]=1,"Wealthier Nation Wins")</f>
        <v>Wealthier Nation Wins</v>
      </c>
    </row>
    <row r="675" spans="1:17" x14ac:dyDescent="0.2">
      <c r="A675" s="1">
        <v>1509</v>
      </c>
      <c r="B675" s="2">
        <v>29873</v>
      </c>
      <c r="C675" s="7">
        <f>_xlfn.FLOOR.MATH(Table1[[#This Row],[year]],10)</f>
        <v>1980</v>
      </c>
      <c r="D675" t="s">
        <v>48</v>
      </c>
      <c r="E675" t="s">
        <v>36</v>
      </c>
      <c r="F675">
        <v>2</v>
      </c>
      <c r="G675">
        <v>3</v>
      </c>
      <c r="H675" t="s">
        <v>224</v>
      </c>
      <c r="I675" t="s">
        <v>295</v>
      </c>
      <c r="J675" t="s">
        <v>48</v>
      </c>
      <c r="K675" t="b">
        <v>0</v>
      </c>
      <c r="L675">
        <v>1981</v>
      </c>
      <c r="M675">
        <v>51618456334</v>
      </c>
      <c r="N675">
        <v>61459941460</v>
      </c>
      <c r="O675" t="b">
        <v>0</v>
      </c>
      <c r="P675">
        <v>1</v>
      </c>
      <c r="Q675" t="str" cm="1">
        <f t="array" ref="Q675">_xlfn.IFS(Table1[[#This Row],[Wealthier_Winner]]=-1,"Wealthier Nation Loses",Table1[[#This Row],[Wealthier_Winner]]=0,"Tie",Table1[[#This Row],[Wealthier_Winner]]=1,"Wealthier Nation Wins")</f>
        <v>Wealthier Nation Wins</v>
      </c>
    </row>
    <row r="676" spans="1:17" x14ac:dyDescent="0.2">
      <c r="A676" s="1">
        <v>1510</v>
      </c>
      <c r="B676" s="2">
        <v>29873</v>
      </c>
      <c r="C676" s="7">
        <f>_xlfn.FLOOR.MATH(Table1[[#This Row],[year]],10)</f>
        <v>1980</v>
      </c>
      <c r="D676" t="s">
        <v>30</v>
      </c>
      <c r="E676" t="s">
        <v>46</v>
      </c>
      <c r="F676">
        <v>3</v>
      </c>
      <c r="G676">
        <v>0</v>
      </c>
      <c r="H676" t="s">
        <v>224</v>
      </c>
      <c r="I676" t="s">
        <v>297</v>
      </c>
      <c r="J676" t="s">
        <v>30</v>
      </c>
      <c r="K676" t="b">
        <v>0</v>
      </c>
      <c r="L676">
        <v>1981</v>
      </c>
      <c r="M676">
        <v>23705883891</v>
      </c>
      <c r="N676">
        <v>112244805518</v>
      </c>
      <c r="O676" t="b">
        <v>1</v>
      </c>
      <c r="P676">
        <v>-1</v>
      </c>
      <c r="Q676" t="str" cm="1">
        <f t="array" ref="Q676">_xlfn.IFS(Table1[[#This Row],[Wealthier_Winner]]=-1,"Wealthier Nation Loses",Table1[[#This Row],[Wealthier_Winner]]=0,"Tie",Table1[[#This Row],[Wealthier_Winner]]=1,"Wealthier Nation Wins")</f>
        <v>Wealthier Nation Loses</v>
      </c>
    </row>
    <row r="677" spans="1:17" x14ac:dyDescent="0.2">
      <c r="A677" s="1">
        <v>1512</v>
      </c>
      <c r="B677" s="2">
        <v>29873</v>
      </c>
      <c r="C677" s="7">
        <f>_xlfn.FLOOR.MATH(Table1[[#This Row],[year]],10)</f>
        <v>1980</v>
      </c>
      <c r="D677" t="s">
        <v>27</v>
      </c>
      <c r="E677" t="s">
        <v>23</v>
      </c>
      <c r="F677">
        <v>3</v>
      </c>
      <c r="G677">
        <v>0</v>
      </c>
      <c r="H677" t="s">
        <v>224</v>
      </c>
      <c r="I677" t="s">
        <v>265</v>
      </c>
      <c r="J677" t="s">
        <v>27</v>
      </c>
      <c r="K677" t="b">
        <v>0</v>
      </c>
      <c r="L677">
        <v>1981</v>
      </c>
      <c r="M677">
        <v>164375775854</v>
      </c>
      <c r="N677">
        <v>104730018470</v>
      </c>
      <c r="O677" t="b">
        <v>0</v>
      </c>
      <c r="P677">
        <v>1</v>
      </c>
      <c r="Q677" t="str" cm="1">
        <f t="array" ref="Q677">_xlfn.IFS(Table1[[#This Row],[Wealthier_Winner]]=-1,"Wealthier Nation Loses",Table1[[#This Row],[Wealthier_Winner]]=0,"Tie",Table1[[#This Row],[Wealthier_Winner]]=1,"Wealthier Nation Wins")</f>
        <v>Wealthier Nation Wins</v>
      </c>
    </row>
    <row r="678" spans="1:17" x14ac:dyDescent="0.2">
      <c r="A678" s="1">
        <v>1514</v>
      </c>
      <c r="B678" s="2">
        <v>29873</v>
      </c>
      <c r="C678" s="7">
        <f>_xlfn.FLOOR.MATH(Table1[[#This Row],[year]],10)</f>
        <v>1980</v>
      </c>
      <c r="D678" t="s">
        <v>38</v>
      </c>
      <c r="E678" t="s">
        <v>25</v>
      </c>
      <c r="F678">
        <v>1</v>
      </c>
      <c r="G678">
        <v>2</v>
      </c>
      <c r="H678" t="s">
        <v>224</v>
      </c>
      <c r="I678" t="s">
        <v>291</v>
      </c>
      <c r="J678" t="s">
        <v>38</v>
      </c>
      <c r="K678" t="b">
        <v>0</v>
      </c>
      <c r="L678">
        <v>1981</v>
      </c>
      <c r="M678">
        <v>31977276872</v>
      </c>
      <c r="N678">
        <v>129498921475</v>
      </c>
      <c r="O678" t="b">
        <v>1</v>
      </c>
      <c r="P678">
        <v>1</v>
      </c>
      <c r="Q678" t="str" cm="1">
        <f t="array" ref="Q678">_xlfn.IFS(Table1[[#This Row],[Wealthier_Winner]]=-1,"Wealthier Nation Loses",Table1[[#This Row],[Wealthier_Winner]]=0,"Tie",Table1[[#This Row],[Wealthier_Winner]]=1,"Wealthier Nation Wins")</f>
        <v>Wealthier Nation Wins</v>
      </c>
    </row>
    <row r="679" spans="1:17" x14ac:dyDescent="0.2">
      <c r="A679" s="1">
        <v>1518</v>
      </c>
      <c r="B679" s="2">
        <v>29887</v>
      </c>
      <c r="C679" s="7">
        <f>_xlfn.FLOOR.MATH(Table1[[#This Row],[year]],10)</f>
        <v>1980</v>
      </c>
      <c r="D679" t="s">
        <v>22</v>
      </c>
      <c r="E679" t="s">
        <v>38</v>
      </c>
      <c r="F679">
        <v>4</v>
      </c>
      <c r="G679">
        <v>1</v>
      </c>
      <c r="H679" t="s">
        <v>224</v>
      </c>
      <c r="I679" t="s">
        <v>239</v>
      </c>
      <c r="J679" t="s">
        <v>22</v>
      </c>
      <c r="K679" t="b">
        <v>0</v>
      </c>
      <c r="L679">
        <v>1981</v>
      </c>
      <c r="M679">
        <v>26882009819</v>
      </c>
      <c r="N679">
        <v>31977276872</v>
      </c>
      <c r="O679" t="b">
        <v>0</v>
      </c>
      <c r="P679">
        <v>-1</v>
      </c>
      <c r="Q679" t="str" cm="1">
        <f t="array" ref="Q679">_xlfn.IFS(Table1[[#This Row],[Wealthier_Winner]]=-1,"Wealthier Nation Loses",Table1[[#This Row],[Wealthier_Winner]]=0,"Tie",Table1[[#This Row],[Wealthier_Winner]]=1,"Wealthier Nation Wins")</f>
        <v>Wealthier Nation Loses</v>
      </c>
    </row>
    <row r="680" spans="1:17" x14ac:dyDescent="0.2">
      <c r="A680" s="1">
        <v>1520</v>
      </c>
      <c r="B680" s="2">
        <v>29889</v>
      </c>
      <c r="C680" s="7">
        <f>_xlfn.FLOOR.MATH(Table1[[#This Row],[year]],10)</f>
        <v>1980</v>
      </c>
      <c r="D680" t="s">
        <v>32</v>
      </c>
      <c r="E680" t="s">
        <v>43</v>
      </c>
      <c r="F680">
        <v>2</v>
      </c>
      <c r="G680">
        <v>1</v>
      </c>
      <c r="H680" t="s">
        <v>224</v>
      </c>
      <c r="I680" t="s">
        <v>380</v>
      </c>
      <c r="J680" t="s">
        <v>32</v>
      </c>
      <c r="K680" t="b">
        <v>0</v>
      </c>
      <c r="L680">
        <v>1981</v>
      </c>
      <c r="M680">
        <v>44348590460</v>
      </c>
      <c r="N680">
        <v>164475209515</v>
      </c>
      <c r="O680" t="b">
        <v>1</v>
      </c>
      <c r="P680">
        <v>-1</v>
      </c>
      <c r="Q680" t="str" cm="1">
        <f t="array" ref="Q680">_xlfn.IFS(Table1[[#This Row],[Wealthier_Winner]]=-1,"Wealthier Nation Loses",Table1[[#This Row],[Wealthier_Winner]]=0,"Tie",Table1[[#This Row],[Wealthier_Winner]]=1,"Wealthier Nation Wins")</f>
        <v>Wealthier Nation Loses</v>
      </c>
    </row>
    <row r="681" spans="1:17" x14ac:dyDescent="0.2">
      <c r="A681" s="1">
        <v>1521</v>
      </c>
      <c r="B681" s="2">
        <v>29890</v>
      </c>
      <c r="C681" s="7">
        <f>_xlfn.FLOOR.MATH(Table1[[#This Row],[year]],10)</f>
        <v>1980</v>
      </c>
      <c r="D681" t="s">
        <v>30</v>
      </c>
      <c r="E681" t="s">
        <v>42</v>
      </c>
      <c r="F681">
        <v>4</v>
      </c>
      <c r="G681">
        <v>1</v>
      </c>
      <c r="H681" t="s">
        <v>224</v>
      </c>
      <c r="I681" t="s">
        <v>297</v>
      </c>
      <c r="J681" t="s">
        <v>30</v>
      </c>
      <c r="K681" t="b">
        <v>0</v>
      </c>
      <c r="L681">
        <v>1981</v>
      </c>
      <c r="M681">
        <v>23705883891</v>
      </c>
      <c r="N681">
        <v>63596654760</v>
      </c>
      <c r="O681" t="b">
        <v>1</v>
      </c>
      <c r="P681">
        <v>-1</v>
      </c>
      <c r="Q681" t="str" cm="1">
        <f t="array" ref="Q681">_xlfn.IFS(Table1[[#This Row],[Wealthier_Winner]]=-1,"Wealthier Nation Loses",Table1[[#This Row],[Wealthier_Winner]]=0,"Tie",Table1[[#This Row],[Wealthier_Winner]]=1,"Wealthier Nation Wins")</f>
        <v>Wealthier Nation Loses</v>
      </c>
    </row>
    <row r="682" spans="1:17" x14ac:dyDescent="0.2">
      <c r="A682" s="1">
        <v>1522</v>
      </c>
      <c r="B682" s="2">
        <v>29894</v>
      </c>
      <c r="C682" s="7">
        <f>_xlfn.FLOOR.MATH(Table1[[#This Row],[year]],10)</f>
        <v>1980</v>
      </c>
      <c r="D682" t="s">
        <v>45</v>
      </c>
      <c r="E682" t="s">
        <v>71</v>
      </c>
      <c r="F682">
        <v>0</v>
      </c>
      <c r="G682">
        <v>1</v>
      </c>
      <c r="H682" t="s">
        <v>224</v>
      </c>
      <c r="I682" t="s">
        <v>356</v>
      </c>
      <c r="J682" t="s">
        <v>45</v>
      </c>
      <c r="K682" t="b">
        <v>0</v>
      </c>
      <c r="L682">
        <v>1981</v>
      </c>
      <c r="M682">
        <v>184291360138</v>
      </c>
      <c r="N682">
        <v>25058020338</v>
      </c>
      <c r="O682" t="b">
        <v>1</v>
      </c>
      <c r="P682">
        <v>-1</v>
      </c>
      <c r="Q682" t="str" cm="1">
        <f t="array" ref="Q682">_xlfn.IFS(Table1[[#This Row],[Wealthier_Winner]]=-1,"Wealthier Nation Loses",Table1[[#This Row],[Wealthier_Winner]]=0,"Tie",Table1[[#This Row],[Wealthier_Winner]]=1,"Wealthier Nation Wins")</f>
        <v>Wealthier Nation Loses</v>
      </c>
    </row>
    <row r="683" spans="1:17" x14ac:dyDescent="0.2">
      <c r="A683" s="1">
        <v>1523</v>
      </c>
      <c r="B683" s="2">
        <v>29901</v>
      </c>
      <c r="C683" s="7">
        <f>_xlfn.FLOOR.MATH(Table1[[#This Row],[year]],10)</f>
        <v>1980</v>
      </c>
      <c r="D683" t="s">
        <v>33</v>
      </c>
      <c r="E683" t="s">
        <v>29</v>
      </c>
      <c r="F683">
        <v>0</v>
      </c>
      <c r="G683">
        <v>0</v>
      </c>
      <c r="H683" t="s">
        <v>224</v>
      </c>
      <c r="I683" t="s">
        <v>375</v>
      </c>
      <c r="J683" t="s">
        <v>33</v>
      </c>
      <c r="K683" t="b">
        <v>0</v>
      </c>
      <c r="L683">
        <v>1981</v>
      </c>
      <c r="M683">
        <v>19870000000</v>
      </c>
      <c r="N683">
        <v>70755997062</v>
      </c>
      <c r="O683" t="b">
        <v>1</v>
      </c>
      <c r="P683">
        <v>0</v>
      </c>
      <c r="Q683" t="str" cm="1">
        <f t="array" ref="Q683">_xlfn.IFS(Table1[[#This Row],[Wealthier_Winner]]=-1,"Wealthier Nation Loses",Table1[[#This Row],[Wealthier_Winner]]=0,"Tie",Table1[[#This Row],[Wealthier_Winner]]=1,"Wealthier Nation Wins")</f>
        <v>Tie</v>
      </c>
    </row>
    <row r="684" spans="1:17" x14ac:dyDescent="0.2">
      <c r="A684" s="1">
        <v>1527</v>
      </c>
      <c r="B684" s="2">
        <v>29904</v>
      </c>
      <c r="C684" s="7">
        <f>_xlfn.FLOOR.MATH(Table1[[#This Row],[year]],10)</f>
        <v>1980</v>
      </c>
      <c r="D684" t="s">
        <v>18</v>
      </c>
      <c r="E684" t="s">
        <v>48</v>
      </c>
      <c r="F684">
        <v>1</v>
      </c>
      <c r="G684">
        <v>1</v>
      </c>
      <c r="H684" t="s">
        <v>224</v>
      </c>
      <c r="I684" t="s">
        <v>111</v>
      </c>
      <c r="J684" t="s">
        <v>18</v>
      </c>
      <c r="K684" t="b">
        <v>0</v>
      </c>
      <c r="L684">
        <v>1981</v>
      </c>
      <c r="M684">
        <v>431695533980</v>
      </c>
      <c r="N684">
        <v>51618456334</v>
      </c>
      <c r="O684" t="b">
        <v>1</v>
      </c>
      <c r="P684">
        <v>0</v>
      </c>
      <c r="Q684" t="str" cm="1">
        <f t="array" ref="Q684">_xlfn.IFS(Table1[[#This Row],[Wealthier_Winner]]=-1,"Wealthier Nation Loses",Table1[[#This Row],[Wealthier_Winner]]=0,"Tie",Table1[[#This Row],[Wealthier_Winner]]=1,"Wealthier Nation Wins")</f>
        <v>Tie</v>
      </c>
    </row>
    <row r="685" spans="1:17" x14ac:dyDescent="0.2">
      <c r="A685" s="1">
        <v>1528</v>
      </c>
      <c r="B685" s="2">
        <v>29905</v>
      </c>
      <c r="C685" s="7">
        <f>_xlfn.FLOOR.MATH(Table1[[#This Row],[year]],10)</f>
        <v>1980</v>
      </c>
      <c r="D685" t="s">
        <v>24</v>
      </c>
      <c r="E685" t="s">
        <v>40</v>
      </c>
      <c r="F685">
        <v>0</v>
      </c>
      <c r="G685">
        <v>2</v>
      </c>
      <c r="H685" t="s">
        <v>224</v>
      </c>
      <c r="I685" t="s">
        <v>392</v>
      </c>
      <c r="J685" t="s">
        <v>24</v>
      </c>
      <c r="K685" t="b">
        <v>0</v>
      </c>
      <c r="L685">
        <v>1981</v>
      </c>
      <c r="M685">
        <v>17788185478</v>
      </c>
      <c r="N685">
        <v>6610938616</v>
      </c>
      <c r="O685" t="b">
        <v>1</v>
      </c>
      <c r="P685">
        <v>-1</v>
      </c>
      <c r="Q685" t="str" cm="1">
        <f t="array" ref="Q685">_xlfn.IFS(Table1[[#This Row],[Wealthier_Winner]]=-1,"Wealthier Nation Loses",Table1[[#This Row],[Wealthier_Winner]]=0,"Tie",Table1[[#This Row],[Wealthier_Winner]]=1,"Wealthier Nation Wins")</f>
        <v>Wealthier Nation Loses</v>
      </c>
    </row>
    <row r="686" spans="1:17" x14ac:dyDescent="0.2">
      <c r="A686" s="1">
        <v>1530</v>
      </c>
      <c r="B686" s="2">
        <v>29908</v>
      </c>
      <c r="C686" s="7">
        <f>_xlfn.FLOOR.MATH(Table1[[#This Row],[year]],10)</f>
        <v>1980</v>
      </c>
      <c r="D686" t="s">
        <v>194</v>
      </c>
      <c r="E686" t="s">
        <v>30</v>
      </c>
      <c r="F686">
        <v>1</v>
      </c>
      <c r="G686">
        <v>0</v>
      </c>
      <c r="H686" t="s">
        <v>224</v>
      </c>
      <c r="I686" t="s">
        <v>80</v>
      </c>
      <c r="J686" t="s">
        <v>194</v>
      </c>
      <c r="K686" t="b">
        <v>0</v>
      </c>
      <c r="L686">
        <v>1981</v>
      </c>
      <c r="M686">
        <v>540765675241</v>
      </c>
      <c r="N686">
        <v>23705883891</v>
      </c>
      <c r="O686" t="b">
        <v>1</v>
      </c>
      <c r="P686">
        <v>1</v>
      </c>
      <c r="Q686" t="str" cm="1">
        <f t="array" ref="Q686">_xlfn.IFS(Table1[[#This Row],[Wealthier_Winner]]=-1,"Wealthier Nation Loses",Table1[[#This Row],[Wealthier_Winner]]=0,"Tie",Table1[[#This Row],[Wealthier_Winner]]=1,"Wealthier Nation Wins")</f>
        <v>Wealthier Nation Wins</v>
      </c>
    </row>
    <row r="687" spans="1:17" x14ac:dyDescent="0.2">
      <c r="A687" s="1">
        <v>1531</v>
      </c>
      <c r="B687" s="2">
        <v>29908</v>
      </c>
      <c r="C687" s="7">
        <f>_xlfn.FLOOR.MATH(Table1[[#This Row],[year]],10)</f>
        <v>1980</v>
      </c>
      <c r="D687" t="s">
        <v>20</v>
      </c>
      <c r="E687" t="s">
        <v>27</v>
      </c>
      <c r="F687">
        <v>2</v>
      </c>
      <c r="G687">
        <v>0</v>
      </c>
      <c r="H687" t="s">
        <v>224</v>
      </c>
      <c r="I687" t="s">
        <v>134</v>
      </c>
      <c r="J687" t="s">
        <v>20</v>
      </c>
      <c r="K687" t="b">
        <v>0</v>
      </c>
      <c r="L687">
        <v>1981</v>
      </c>
      <c r="M687">
        <v>609184791792</v>
      </c>
      <c r="N687">
        <v>164375775854</v>
      </c>
      <c r="O687" t="b">
        <v>1</v>
      </c>
      <c r="P687">
        <v>1</v>
      </c>
      <c r="Q687" t="str" cm="1">
        <f t="array" ref="Q687">_xlfn.IFS(Table1[[#This Row],[Wealthier_Winner]]=-1,"Wealthier Nation Loses",Table1[[#This Row],[Wealthier_Winner]]=0,"Tie",Table1[[#This Row],[Wealthier_Winner]]=1,"Wealthier Nation Wins")</f>
        <v>Wealthier Nation Wins</v>
      </c>
    </row>
    <row r="688" spans="1:17" x14ac:dyDescent="0.2">
      <c r="A688" s="1">
        <v>1532</v>
      </c>
      <c r="B688" s="2">
        <v>29908</v>
      </c>
      <c r="C688" s="7">
        <f>_xlfn.FLOOR.MATH(Table1[[#This Row],[year]],10)</f>
        <v>1980</v>
      </c>
      <c r="D688" t="s">
        <v>16</v>
      </c>
      <c r="E688" t="s">
        <v>373</v>
      </c>
      <c r="F688">
        <v>8</v>
      </c>
      <c r="G688">
        <v>0</v>
      </c>
      <c r="H688" t="s">
        <v>224</v>
      </c>
      <c r="I688" t="s">
        <v>91</v>
      </c>
      <c r="J688" t="s">
        <v>16</v>
      </c>
      <c r="K688" t="b">
        <v>0</v>
      </c>
      <c r="L688">
        <v>1981</v>
      </c>
      <c r="M688">
        <v>803404797057</v>
      </c>
      <c r="N688">
        <v>1808177156</v>
      </c>
      <c r="O688" t="b">
        <v>1</v>
      </c>
      <c r="P688">
        <v>1</v>
      </c>
      <c r="Q688" t="str" cm="1">
        <f t="array" ref="Q688">_xlfn.IFS(Table1[[#This Row],[Wealthier_Winner]]=-1,"Wealthier Nation Loses",Table1[[#This Row],[Wealthier_Winner]]=0,"Tie",Table1[[#This Row],[Wealthier_Winner]]=1,"Wealthier Nation Wins")</f>
        <v>Wealthier Nation Wins</v>
      </c>
    </row>
    <row r="689" spans="1:17" x14ac:dyDescent="0.2">
      <c r="A689" s="1">
        <v>1538</v>
      </c>
      <c r="B689" s="2">
        <v>29912</v>
      </c>
      <c r="C689" s="7">
        <f>_xlfn.FLOOR.MATH(Table1[[#This Row],[year]],10)</f>
        <v>1980</v>
      </c>
      <c r="D689" t="s">
        <v>16</v>
      </c>
      <c r="E689" t="s">
        <v>33</v>
      </c>
      <c r="F689">
        <v>4</v>
      </c>
      <c r="G689">
        <v>0</v>
      </c>
      <c r="H689" t="s">
        <v>224</v>
      </c>
      <c r="I689" t="s">
        <v>341</v>
      </c>
      <c r="J689" t="s">
        <v>16</v>
      </c>
      <c r="K689" t="b">
        <v>0</v>
      </c>
      <c r="L689">
        <v>1981</v>
      </c>
      <c r="M689">
        <v>803404797057</v>
      </c>
      <c r="N689">
        <v>19870000000</v>
      </c>
      <c r="O689" t="b">
        <v>1</v>
      </c>
      <c r="P689">
        <v>1</v>
      </c>
      <c r="Q689" t="str" cm="1">
        <f t="array" ref="Q689">_xlfn.IFS(Table1[[#This Row],[Wealthier_Winner]]=-1,"Wealthier Nation Loses",Table1[[#This Row],[Wealthier_Winner]]=0,"Tie",Table1[[#This Row],[Wealthier_Winner]]=1,"Wealthier Nation Wins")</f>
        <v>Wealthier Nation Wins</v>
      </c>
    </row>
    <row r="690" spans="1:17" x14ac:dyDescent="0.2">
      <c r="A690" s="1">
        <v>1539</v>
      </c>
      <c r="B690" s="2">
        <v>29918</v>
      </c>
      <c r="C690" s="7">
        <f>_xlfn.FLOOR.MATH(Table1[[#This Row],[year]],10)</f>
        <v>1980</v>
      </c>
      <c r="D690" t="s">
        <v>72</v>
      </c>
      <c r="E690" t="s">
        <v>45</v>
      </c>
      <c r="F690">
        <v>2</v>
      </c>
      <c r="G690">
        <v>2</v>
      </c>
      <c r="H690" t="s">
        <v>224</v>
      </c>
      <c r="I690" t="s">
        <v>327</v>
      </c>
      <c r="J690" t="s">
        <v>72</v>
      </c>
      <c r="K690" t="b">
        <v>0</v>
      </c>
      <c r="L690">
        <v>1981</v>
      </c>
      <c r="M690">
        <v>24417617184</v>
      </c>
      <c r="N690">
        <v>184291360138</v>
      </c>
      <c r="O690" t="b">
        <v>1</v>
      </c>
      <c r="P690">
        <v>0</v>
      </c>
      <c r="Q690" t="str" cm="1">
        <f t="array" ref="Q690">_xlfn.IFS(Table1[[#This Row],[Wealthier_Winner]]=-1,"Wealthier Nation Loses",Table1[[#This Row],[Wealthier_Winner]]=0,"Tie",Table1[[#This Row],[Wealthier_Winner]]=1,"Wealthier Nation Wins")</f>
        <v>Tie</v>
      </c>
    </row>
    <row r="691" spans="1:17" x14ac:dyDescent="0.2">
      <c r="A691" s="1">
        <v>1540</v>
      </c>
      <c r="B691" s="2">
        <v>29919</v>
      </c>
      <c r="C691" s="7">
        <f>_xlfn.FLOOR.MATH(Table1[[#This Row],[year]],10)</f>
        <v>1980</v>
      </c>
      <c r="D691" t="s">
        <v>40</v>
      </c>
      <c r="E691" t="s">
        <v>24</v>
      </c>
      <c r="F691">
        <v>2</v>
      </c>
      <c r="G691">
        <v>1</v>
      </c>
      <c r="H691" t="s">
        <v>224</v>
      </c>
      <c r="I691" t="s">
        <v>371</v>
      </c>
      <c r="J691" t="s">
        <v>40</v>
      </c>
      <c r="K691" t="b">
        <v>0</v>
      </c>
      <c r="L691">
        <v>1981</v>
      </c>
      <c r="M691">
        <v>6610938616</v>
      </c>
      <c r="N691">
        <v>17788185478</v>
      </c>
      <c r="O691" t="b">
        <v>1</v>
      </c>
      <c r="P691">
        <v>-1</v>
      </c>
      <c r="Q691" t="str" cm="1">
        <f t="array" ref="Q691">_xlfn.IFS(Table1[[#This Row],[Wealthier_Winner]]=-1,"Wealthier Nation Loses",Table1[[#This Row],[Wealthier_Winner]]=0,"Tie",Table1[[#This Row],[Wealthier_Winner]]=1,"Wealthier Nation Wins")</f>
        <v>Wealthier Nation Loses</v>
      </c>
    </row>
    <row r="692" spans="1:17" x14ac:dyDescent="0.2">
      <c r="A692" s="1">
        <v>1544</v>
      </c>
      <c r="B692" s="2">
        <v>29925</v>
      </c>
      <c r="C692" s="7">
        <f>_xlfn.FLOOR.MATH(Table1[[#This Row],[year]],10)</f>
        <v>1980</v>
      </c>
      <c r="D692" t="s">
        <v>20</v>
      </c>
      <c r="E692" t="s">
        <v>351</v>
      </c>
      <c r="F692">
        <v>4</v>
      </c>
      <c r="G692">
        <v>0</v>
      </c>
      <c r="H692" t="s">
        <v>224</v>
      </c>
      <c r="I692" t="s">
        <v>134</v>
      </c>
      <c r="J692" t="s">
        <v>20</v>
      </c>
      <c r="K692" t="b">
        <v>0</v>
      </c>
      <c r="L692">
        <v>1981</v>
      </c>
      <c r="M692">
        <v>609184791792</v>
      </c>
      <c r="N692">
        <v>2087496373</v>
      </c>
      <c r="O692" t="b">
        <v>1</v>
      </c>
      <c r="P692">
        <v>1</v>
      </c>
      <c r="Q692" t="str" cm="1">
        <f t="array" ref="Q692">_xlfn.IFS(Table1[[#This Row],[Wealthier_Winner]]=-1,"Wealthier Nation Loses",Table1[[#This Row],[Wealthier_Winner]]=0,"Tie",Table1[[#This Row],[Wealthier_Winner]]=1,"Wealthier Nation Wins")</f>
        <v>Wealthier Nation Wins</v>
      </c>
    </row>
    <row r="693" spans="1:17" x14ac:dyDescent="0.2">
      <c r="A693" s="1">
        <v>1545</v>
      </c>
      <c r="B693" s="2">
        <v>29925</v>
      </c>
      <c r="C693" s="7">
        <f>_xlfn.FLOOR.MATH(Table1[[#This Row],[year]],10)</f>
        <v>1980</v>
      </c>
      <c r="D693" t="s">
        <v>18</v>
      </c>
      <c r="E693" t="s">
        <v>232</v>
      </c>
      <c r="F693">
        <v>1</v>
      </c>
      <c r="G693">
        <v>0</v>
      </c>
      <c r="H693" t="s">
        <v>224</v>
      </c>
      <c r="I693" t="s">
        <v>115</v>
      </c>
      <c r="J693" t="s">
        <v>18</v>
      </c>
      <c r="K693" t="b">
        <v>0</v>
      </c>
      <c r="L693">
        <v>1981</v>
      </c>
      <c r="M693">
        <v>431695533980</v>
      </c>
      <c r="N693">
        <v>5053665797</v>
      </c>
      <c r="O693" t="b">
        <v>1</v>
      </c>
      <c r="P693">
        <v>1</v>
      </c>
      <c r="Q693" t="str" cm="1">
        <f t="array" ref="Q693">_xlfn.IFS(Table1[[#This Row],[Wealthier_Winner]]=-1,"Wealthier Nation Loses",Table1[[#This Row],[Wealthier_Winner]]=0,"Tie",Table1[[#This Row],[Wealthier_Winner]]=1,"Wealthier Nation Wins")</f>
        <v>Wealthier Nation Wins</v>
      </c>
    </row>
    <row r="694" spans="1:17" x14ac:dyDescent="0.2">
      <c r="A694" s="1">
        <v>1546</v>
      </c>
      <c r="B694" s="2">
        <v>29927</v>
      </c>
      <c r="C694" s="7">
        <f>_xlfn.FLOOR.MATH(Table1[[#This Row],[year]],10)</f>
        <v>1980</v>
      </c>
      <c r="D694" t="s">
        <v>71</v>
      </c>
      <c r="E694" t="s">
        <v>45</v>
      </c>
      <c r="F694">
        <v>2</v>
      </c>
      <c r="G694">
        <v>0</v>
      </c>
      <c r="H694" t="s">
        <v>224</v>
      </c>
      <c r="I694" t="s">
        <v>366</v>
      </c>
      <c r="J694" t="s">
        <v>71</v>
      </c>
      <c r="K694" t="b">
        <v>0</v>
      </c>
      <c r="L694">
        <v>1981</v>
      </c>
      <c r="M694">
        <v>25058020338</v>
      </c>
      <c r="N694">
        <v>184291360138</v>
      </c>
      <c r="O694" t="b">
        <v>1</v>
      </c>
      <c r="P694">
        <v>-1</v>
      </c>
      <c r="Q694" t="str" cm="1">
        <f t="array" ref="Q694">_xlfn.IFS(Table1[[#This Row],[Wealthier_Winner]]=-1,"Wealthier Nation Loses",Table1[[#This Row],[Wealthier_Winner]]=0,"Tie",Table1[[#This Row],[Wealthier_Winner]]=1,"Wealthier Nation Wins")</f>
        <v>Wealthier Nation Loses</v>
      </c>
    </row>
    <row r="695" spans="1:17" x14ac:dyDescent="0.2">
      <c r="A695" s="1">
        <v>1547</v>
      </c>
      <c r="B695" s="2">
        <v>29934</v>
      </c>
      <c r="C695" s="7">
        <f>_xlfn.FLOOR.MATH(Table1[[#This Row],[year]],10)</f>
        <v>1980</v>
      </c>
      <c r="D695" t="s">
        <v>71</v>
      </c>
      <c r="E695" t="s">
        <v>72</v>
      </c>
      <c r="F695">
        <v>2</v>
      </c>
      <c r="G695">
        <v>2</v>
      </c>
      <c r="H695" t="s">
        <v>224</v>
      </c>
      <c r="I695" t="s">
        <v>366</v>
      </c>
      <c r="J695" t="s">
        <v>71</v>
      </c>
      <c r="K695" t="b">
        <v>0</v>
      </c>
      <c r="L695">
        <v>1981</v>
      </c>
      <c r="M695">
        <v>25058020338</v>
      </c>
      <c r="N695">
        <v>24417617184</v>
      </c>
      <c r="O695" t="b">
        <v>0</v>
      </c>
      <c r="P695">
        <v>0</v>
      </c>
      <c r="Q695" t="str" cm="1">
        <f t="array" ref="Q695">_xlfn.IFS(Table1[[#This Row],[Wealthier_Winner]]=-1,"Wealthier Nation Loses",Table1[[#This Row],[Wealthier_Winner]]=0,"Tie",Table1[[#This Row],[Wealthier_Winner]]=1,"Wealthier Nation Wins")</f>
        <v>Tie</v>
      </c>
    </row>
    <row r="696" spans="1:17" x14ac:dyDescent="0.2">
      <c r="A696" s="1">
        <v>1548</v>
      </c>
      <c r="B696" s="2">
        <v>29939</v>
      </c>
      <c r="C696" s="7">
        <f>_xlfn.FLOOR.MATH(Table1[[#This Row],[year]],10)</f>
        <v>1980</v>
      </c>
      <c r="D696" t="s">
        <v>45</v>
      </c>
      <c r="E696" t="s">
        <v>72</v>
      </c>
      <c r="F696">
        <v>0</v>
      </c>
      <c r="G696">
        <v>5</v>
      </c>
      <c r="H696" t="s">
        <v>224</v>
      </c>
      <c r="I696" t="s">
        <v>356</v>
      </c>
      <c r="J696" t="s">
        <v>45</v>
      </c>
      <c r="K696" t="b">
        <v>0</v>
      </c>
      <c r="L696">
        <v>1981</v>
      </c>
      <c r="M696">
        <v>184291360138</v>
      </c>
      <c r="N696">
        <v>24417617184</v>
      </c>
      <c r="O696" t="b">
        <v>1</v>
      </c>
      <c r="P696">
        <v>-1</v>
      </c>
      <c r="Q696" t="str" cm="1">
        <f t="array" ref="Q696">_xlfn.IFS(Table1[[#This Row],[Wealthier_Winner]]=-1,"Wealthier Nation Loses",Table1[[#This Row],[Wealthier_Winner]]=0,"Tie",Table1[[#This Row],[Wealthier_Winner]]=1,"Wealthier Nation Wins")</f>
        <v>Wealthier Nation Loses</v>
      </c>
    </row>
    <row r="697" spans="1:17" x14ac:dyDescent="0.2">
      <c r="A697" s="1">
        <v>1550</v>
      </c>
      <c r="B697" s="2">
        <v>30115</v>
      </c>
      <c r="C697" s="7">
        <f>_xlfn.FLOOR.MATH(Table1[[#This Row],[year]],10)</f>
        <v>1980</v>
      </c>
      <c r="D697" t="s">
        <v>19</v>
      </c>
      <c r="E697" t="s">
        <v>23</v>
      </c>
      <c r="F697">
        <v>0</v>
      </c>
      <c r="G697">
        <v>1</v>
      </c>
      <c r="H697" t="s">
        <v>74</v>
      </c>
      <c r="I697" t="s">
        <v>97</v>
      </c>
      <c r="J697" t="s">
        <v>21</v>
      </c>
      <c r="K697" t="b">
        <v>1</v>
      </c>
      <c r="L697">
        <v>1982</v>
      </c>
      <c r="M697">
        <v>84307486836</v>
      </c>
      <c r="N697">
        <v>92095926187</v>
      </c>
      <c r="O697" t="b">
        <v>0</v>
      </c>
      <c r="P697">
        <v>1</v>
      </c>
      <c r="Q697" t="str" cm="1">
        <f t="array" ref="Q697">_xlfn.IFS(Table1[[#This Row],[Wealthier_Winner]]=-1,"Wealthier Nation Loses",Table1[[#This Row],[Wealthier_Winner]]=0,"Tie",Table1[[#This Row],[Wealthier_Winner]]=1,"Wealthier Nation Wins")</f>
        <v>Wealthier Nation Wins</v>
      </c>
    </row>
    <row r="698" spans="1:17" x14ac:dyDescent="0.2">
      <c r="A698" s="1">
        <v>1553</v>
      </c>
      <c r="B698" s="2">
        <v>30117</v>
      </c>
      <c r="C698" s="7">
        <f>_xlfn.FLOOR.MATH(Table1[[#This Row],[year]],10)</f>
        <v>1980</v>
      </c>
      <c r="D698" t="s">
        <v>30</v>
      </c>
      <c r="E698" t="s">
        <v>69</v>
      </c>
      <c r="F698">
        <v>10</v>
      </c>
      <c r="G698">
        <v>1</v>
      </c>
      <c r="H698" t="s">
        <v>74</v>
      </c>
      <c r="I698" t="s">
        <v>98</v>
      </c>
      <c r="J698" t="s">
        <v>21</v>
      </c>
      <c r="K698" t="b">
        <v>1</v>
      </c>
      <c r="L698">
        <v>1982</v>
      </c>
      <c r="M698">
        <v>24141667188</v>
      </c>
      <c r="N698">
        <v>3399189100</v>
      </c>
      <c r="O698" t="b">
        <v>1</v>
      </c>
      <c r="P698">
        <v>1</v>
      </c>
      <c r="Q698" t="str" cm="1">
        <f t="array" ref="Q698">_xlfn.IFS(Table1[[#This Row],[Wealthier_Winner]]=-1,"Wealthier Nation Loses",Table1[[#This Row],[Wealthier_Winner]]=0,"Tie",Table1[[#This Row],[Wealthier_Winner]]=1,"Wealthier Nation Wins")</f>
        <v>Wealthier Nation Wins</v>
      </c>
    </row>
    <row r="699" spans="1:17" x14ac:dyDescent="0.2">
      <c r="A699" s="1">
        <v>1554</v>
      </c>
      <c r="B699" s="2">
        <v>30117</v>
      </c>
      <c r="C699" s="7">
        <f>_xlfn.FLOOR.MATH(Table1[[#This Row],[year]],10)</f>
        <v>1980</v>
      </c>
      <c r="D699" t="s">
        <v>31</v>
      </c>
      <c r="E699" t="s">
        <v>40</v>
      </c>
      <c r="F699">
        <v>0</v>
      </c>
      <c r="G699">
        <v>0</v>
      </c>
      <c r="H699" t="s">
        <v>74</v>
      </c>
      <c r="I699" t="s">
        <v>393</v>
      </c>
      <c r="J699" t="s">
        <v>21</v>
      </c>
      <c r="K699" t="b">
        <v>1</v>
      </c>
      <c r="L699">
        <v>1982</v>
      </c>
      <c r="M699">
        <v>21794535621</v>
      </c>
      <c r="N699">
        <v>6611255963</v>
      </c>
      <c r="O699" t="b">
        <v>1</v>
      </c>
      <c r="P699">
        <v>0</v>
      </c>
      <c r="Q699" t="str" cm="1">
        <f t="array" ref="Q699">_xlfn.IFS(Table1[[#This Row],[Wealthier_Winner]]=-1,"Wealthier Nation Loses",Table1[[#This Row],[Wealthier_Winner]]=0,"Tie",Table1[[#This Row],[Wealthier_Winner]]=1,"Wealthier Nation Wins")</f>
        <v>Tie</v>
      </c>
    </row>
    <row r="700" spans="1:17" x14ac:dyDescent="0.2">
      <c r="A700" s="1">
        <v>1556</v>
      </c>
      <c r="B700" s="2">
        <v>30118</v>
      </c>
      <c r="C700" s="7">
        <f>_xlfn.FLOOR.MATH(Table1[[#This Row],[year]],10)</f>
        <v>1980</v>
      </c>
      <c r="D700" t="s">
        <v>194</v>
      </c>
      <c r="E700" t="s">
        <v>20</v>
      </c>
      <c r="F700">
        <v>3</v>
      </c>
      <c r="G700">
        <v>1</v>
      </c>
      <c r="H700" t="s">
        <v>74</v>
      </c>
      <c r="I700" t="s">
        <v>211</v>
      </c>
      <c r="J700" t="s">
        <v>21</v>
      </c>
      <c r="K700" t="b">
        <v>1</v>
      </c>
      <c r="L700">
        <v>1982</v>
      </c>
      <c r="M700">
        <v>515048916841</v>
      </c>
      <c r="N700">
        <v>578152310609</v>
      </c>
      <c r="O700" t="b">
        <v>0</v>
      </c>
      <c r="P700">
        <v>-1</v>
      </c>
      <c r="Q700" t="str" cm="1">
        <f t="array" ref="Q700">_xlfn.IFS(Table1[[#This Row],[Wealthier_Winner]]=-1,"Wealthier Nation Loses",Table1[[#This Row],[Wealthier_Winner]]=0,"Tie",Table1[[#This Row],[Wealthier_Winner]]=1,"Wealthier Nation Wins")</f>
        <v>Wealthier Nation Loses</v>
      </c>
    </row>
    <row r="701" spans="1:17" x14ac:dyDescent="0.2">
      <c r="A701" s="1">
        <v>1557</v>
      </c>
      <c r="B701" s="2">
        <v>30118</v>
      </c>
      <c r="C701" s="7">
        <f>_xlfn.FLOOR.MATH(Table1[[#This Row],[year]],10)</f>
        <v>1980</v>
      </c>
      <c r="D701" t="s">
        <v>16</v>
      </c>
      <c r="E701" t="s">
        <v>32</v>
      </c>
      <c r="F701">
        <v>1</v>
      </c>
      <c r="G701">
        <v>2</v>
      </c>
      <c r="H701" t="s">
        <v>74</v>
      </c>
      <c r="I701" t="s">
        <v>394</v>
      </c>
      <c r="J701" t="s">
        <v>21</v>
      </c>
      <c r="K701" t="b">
        <v>1</v>
      </c>
      <c r="L701">
        <v>1982</v>
      </c>
      <c r="M701">
        <v>779421633755</v>
      </c>
      <c r="N701">
        <v>45207167470</v>
      </c>
      <c r="O701" t="b">
        <v>1</v>
      </c>
      <c r="P701">
        <v>-1</v>
      </c>
      <c r="Q701" t="str" cm="1">
        <f t="array" ref="Q701">_xlfn.IFS(Table1[[#This Row],[Wealthier_Winner]]=-1,"Wealthier Nation Loses",Table1[[#This Row],[Wealthier_Winner]]=0,"Tie",Table1[[#This Row],[Wealthier_Winner]]=1,"Wealthier Nation Wins")</f>
        <v>Wealthier Nation Loses</v>
      </c>
    </row>
    <row r="702" spans="1:17" x14ac:dyDescent="0.2">
      <c r="A702" s="1">
        <v>1558</v>
      </c>
      <c r="B702" s="2">
        <v>30118</v>
      </c>
      <c r="C702" s="7">
        <f>_xlfn.FLOOR.MATH(Table1[[#This Row],[year]],10)</f>
        <v>1980</v>
      </c>
      <c r="D702" t="s">
        <v>21</v>
      </c>
      <c r="E702" t="s">
        <v>65</v>
      </c>
      <c r="F702">
        <v>1</v>
      </c>
      <c r="G702">
        <v>1</v>
      </c>
      <c r="H702" t="s">
        <v>74</v>
      </c>
      <c r="I702" t="s">
        <v>99</v>
      </c>
      <c r="J702" t="s">
        <v>21</v>
      </c>
      <c r="K702" t="b">
        <v>0</v>
      </c>
      <c r="L702">
        <v>1982</v>
      </c>
      <c r="M702">
        <v>195856752991</v>
      </c>
      <c r="N702">
        <v>3619500000</v>
      </c>
      <c r="O702" t="b">
        <v>1</v>
      </c>
      <c r="P702">
        <v>0</v>
      </c>
      <c r="Q702" t="str" cm="1">
        <f t="array" ref="Q702">_xlfn.IFS(Table1[[#This Row],[Wealthier_Winner]]=-1,"Wealthier Nation Loses",Table1[[#This Row],[Wealthier_Winner]]=0,"Tie",Table1[[#This Row],[Wealthier_Winner]]=1,"Wealthier Nation Wins")</f>
        <v>Tie</v>
      </c>
    </row>
    <row r="703" spans="1:17" x14ac:dyDescent="0.2">
      <c r="A703" s="1">
        <v>1559</v>
      </c>
      <c r="B703" s="2">
        <v>30119</v>
      </c>
      <c r="C703" s="7">
        <f>_xlfn.FLOOR.MATH(Table1[[#This Row],[year]],10)</f>
        <v>1980</v>
      </c>
      <c r="D703" t="s">
        <v>14</v>
      </c>
      <c r="E703" t="s">
        <v>29</v>
      </c>
      <c r="F703">
        <v>0</v>
      </c>
      <c r="G703">
        <v>1</v>
      </c>
      <c r="H703" t="s">
        <v>74</v>
      </c>
      <c r="I703" t="s">
        <v>100</v>
      </c>
      <c r="J703" t="s">
        <v>21</v>
      </c>
      <c r="K703" t="b">
        <v>1</v>
      </c>
      <c r="L703">
        <v>1982</v>
      </c>
      <c r="M703">
        <v>19710229067</v>
      </c>
      <c r="N703">
        <v>70996111962</v>
      </c>
      <c r="O703" t="b">
        <v>1</v>
      </c>
      <c r="P703">
        <v>1</v>
      </c>
      <c r="Q703" t="str" cm="1">
        <f t="array" ref="Q703">_xlfn.IFS(Table1[[#This Row],[Wealthier_Winner]]=-1,"Wealthier Nation Loses",Table1[[#This Row],[Wealthier_Winner]]=0,"Tie",Table1[[#This Row],[Wealthier_Winner]]=1,"Wealthier Nation Wins")</f>
        <v>Wealthier Nation Wins</v>
      </c>
    </row>
    <row r="704" spans="1:17" x14ac:dyDescent="0.2">
      <c r="A704" s="1">
        <v>1562</v>
      </c>
      <c r="B704" s="2">
        <v>30120</v>
      </c>
      <c r="C704" s="7">
        <f>_xlfn.FLOOR.MATH(Table1[[#This Row],[year]],10)</f>
        <v>1980</v>
      </c>
      <c r="D704" t="s">
        <v>19</v>
      </c>
      <c r="E704" t="s">
        <v>30</v>
      </c>
      <c r="F704">
        <v>4</v>
      </c>
      <c r="G704">
        <v>1</v>
      </c>
      <c r="H704" t="s">
        <v>74</v>
      </c>
      <c r="I704" t="s">
        <v>101</v>
      </c>
      <c r="J704" t="s">
        <v>21</v>
      </c>
      <c r="K704" t="b">
        <v>1</v>
      </c>
      <c r="L704">
        <v>1982</v>
      </c>
      <c r="M704">
        <v>84307486836</v>
      </c>
      <c r="N704">
        <v>24141667188</v>
      </c>
      <c r="O704" t="b">
        <v>1</v>
      </c>
      <c r="P704">
        <v>1</v>
      </c>
      <c r="Q704" t="str" cm="1">
        <f t="array" ref="Q704">_xlfn.IFS(Table1[[#This Row],[Wealthier_Winner]]=-1,"Wealthier Nation Loses",Table1[[#This Row],[Wealthier_Winner]]=0,"Tie",Table1[[#This Row],[Wealthier_Winner]]=1,"Wealthier Nation Wins")</f>
        <v>Wealthier Nation Wins</v>
      </c>
    </row>
    <row r="705" spans="1:17" x14ac:dyDescent="0.2">
      <c r="A705" s="1">
        <v>1564</v>
      </c>
      <c r="B705" s="2">
        <v>30120</v>
      </c>
      <c r="C705" s="7">
        <f>_xlfn.FLOOR.MATH(Table1[[#This Row],[year]],10)</f>
        <v>1980</v>
      </c>
      <c r="D705" t="s">
        <v>18</v>
      </c>
      <c r="E705" t="s">
        <v>31</v>
      </c>
      <c r="F705">
        <v>1</v>
      </c>
      <c r="G705">
        <v>1</v>
      </c>
      <c r="H705" t="s">
        <v>74</v>
      </c>
      <c r="I705" t="s">
        <v>102</v>
      </c>
      <c r="J705" t="s">
        <v>21</v>
      </c>
      <c r="K705" t="b">
        <v>1</v>
      </c>
      <c r="L705">
        <v>1982</v>
      </c>
      <c r="M705">
        <v>428257421617</v>
      </c>
      <c r="N705">
        <v>21794535621</v>
      </c>
      <c r="O705" t="b">
        <v>1</v>
      </c>
      <c r="P705">
        <v>0</v>
      </c>
      <c r="Q705" t="str" cm="1">
        <f t="array" ref="Q705">_xlfn.IFS(Table1[[#This Row],[Wealthier_Winner]]=-1,"Wealthier Nation Loses",Table1[[#This Row],[Wealthier_Winner]]=0,"Tie",Table1[[#This Row],[Wealthier_Winner]]=1,"Wealthier Nation Wins")</f>
        <v>Tie</v>
      </c>
    </row>
    <row r="706" spans="1:17" x14ac:dyDescent="0.2">
      <c r="A706" s="1">
        <v>1565</v>
      </c>
      <c r="B706" s="2">
        <v>30121</v>
      </c>
      <c r="C706" s="7">
        <f>_xlfn.FLOOR.MATH(Table1[[#This Row],[year]],10)</f>
        <v>1980</v>
      </c>
      <c r="D706" t="s">
        <v>23</v>
      </c>
      <c r="E706" t="s">
        <v>69</v>
      </c>
      <c r="F706">
        <v>1</v>
      </c>
      <c r="G706">
        <v>0</v>
      </c>
      <c r="H706" t="s">
        <v>74</v>
      </c>
      <c r="I706" t="s">
        <v>98</v>
      </c>
      <c r="J706" t="s">
        <v>21</v>
      </c>
      <c r="K706" t="b">
        <v>1</v>
      </c>
      <c r="L706">
        <v>1982</v>
      </c>
      <c r="M706">
        <v>92095926187</v>
      </c>
      <c r="N706">
        <v>3399189100</v>
      </c>
      <c r="O706" t="b">
        <v>1</v>
      </c>
      <c r="P706">
        <v>1</v>
      </c>
      <c r="Q706" t="str" cm="1">
        <f t="array" ref="Q706">_xlfn.IFS(Table1[[#This Row],[Wealthier_Winner]]=-1,"Wealthier Nation Loses",Table1[[#This Row],[Wealthier_Winner]]=0,"Tie",Table1[[#This Row],[Wealthier_Winner]]=1,"Wealthier Nation Wins")</f>
        <v>Wealthier Nation Wins</v>
      </c>
    </row>
    <row r="707" spans="1:17" x14ac:dyDescent="0.2">
      <c r="A707" s="1">
        <v>1569</v>
      </c>
      <c r="B707" s="2">
        <v>30122</v>
      </c>
      <c r="C707" s="7">
        <f>_xlfn.FLOOR.MATH(Table1[[#This Row],[year]],10)</f>
        <v>1980</v>
      </c>
      <c r="D707" t="s">
        <v>16</v>
      </c>
      <c r="E707" t="s">
        <v>14</v>
      </c>
      <c r="F707">
        <v>4</v>
      </c>
      <c r="G707">
        <v>1</v>
      </c>
      <c r="H707" t="s">
        <v>74</v>
      </c>
      <c r="I707" t="s">
        <v>394</v>
      </c>
      <c r="J707" t="s">
        <v>21</v>
      </c>
      <c r="K707" t="b">
        <v>1</v>
      </c>
      <c r="L707">
        <v>1982</v>
      </c>
      <c r="M707">
        <v>779421633755</v>
      </c>
      <c r="N707">
        <v>19710229067</v>
      </c>
      <c r="O707" t="b">
        <v>1</v>
      </c>
      <c r="P707">
        <v>1</v>
      </c>
      <c r="Q707" t="str" cm="1">
        <f t="array" ref="Q707">_xlfn.IFS(Table1[[#This Row],[Wealthier_Winner]]=-1,"Wealthier Nation Loses",Table1[[#This Row],[Wealthier_Winner]]=0,"Tie",Table1[[#This Row],[Wealthier_Winner]]=1,"Wealthier Nation Wins")</f>
        <v>Wealthier Nation Wins</v>
      </c>
    </row>
    <row r="708" spans="1:17" x14ac:dyDescent="0.2">
      <c r="A708" s="1">
        <v>1571</v>
      </c>
      <c r="B708" s="2">
        <v>30123</v>
      </c>
      <c r="C708" s="7">
        <f>_xlfn.FLOOR.MATH(Table1[[#This Row],[year]],10)</f>
        <v>1980</v>
      </c>
      <c r="D708" t="s">
        <v>32</v>
      </c>
      <c r="E708" t="s">
        <v>29</v>
      </c>
      <c r="F708">
        <v>0</v>
      </c>
      <c r="G708">
        <v>2</v>
      </c>
      <c r="H708" t="s">
        <v>74</v>
      </c>
      <c r="I708" t="s">
        <v>100</v>
      </c>
      <c r="J708" t="s">
        <v>21</v>
      </c>
      <c r="K708" t="b">
        <v>1</v>
      </c>
      <c r="L708">
        <v>1982</v>
      </c>
      <c r="M708">
        <v>45207167470</v>
      </c>
      <c r="N708">
        <v>70996111962</v>
      </c>
      <c r="O708" t="b">
        <v>0</v>
      </c>
      <c r="P708">
        <v>1</v>
      </c>
      <c r="Q708" t="str" cm="1">
        <f t="array" ref="Q708">_xlfn.IFS(Table1[[#This Row],[Wealthier_Winner]]=-1,"Wealthier Nation Loses",Table1[[#This Row],[Wealthier_Winner]]=0,"Tie",Table1[[#This Row],[Wealthier_Winner]]=1,"Wealthier Nation Wins")</f>
        <v>Wealthier Nation Wins</v>
      </c>
    </row>
    <row r="709" spans="1:17" x14ac:dyDescent="0.2">
      <c r="A709" s="1">
        <v>1572</v>
      </c>
      <c r="B709" s="2">
        <v>30123</v>
      </c>
      <c r="C709" s="7">
        <f>_xlfn.FLOOR.MATH(Table1[[#This Row],[year]],10)</f>
        <v>1980</v>
      </c>
      <c r="D709" t="s">
        <v>20</v>
      </c>
      <c r="E709" t="s">
        <v>71</v>
      </c>
      <c r="F709">
        <v>4</v>
      </c>
      <c r="G709">
        <v>1</v>
      </c>
      <c r="H709" t="s">
        <v>74</v>
      </c>
      <c r="I709" t="s">
        <v>103</v>
      </c>
      <c r="J709" t="s">
        <v>21</v>
      </c>
      <c r="K709" t="b">
        <v>1</v>
      </c>
      <c r="L709">
        <v>1982</v>
      </c>
      <c r="M709">
        <v>578152310609</v>
      </c>
      <c r="N709">
        <v>21577153356</v>
      </c>
      <c r="O709" t="b">
        <v>1</v>
      </c>
      <c r="P709">
        <v>1</v>
      </c>
      <c r="Q709" t="str" cm="1">
        <f t="array" ref="Q709">_xlfn.IFS(Table1[[#This Row],[Wealthier_Winner]]=-1,"Wealthier Nation Loses",Table1[[#This Row],[Wealthier_Winner]]=0,"Tie",Table1[[#This Row],[Wealthier_Winner]]=1,"Wealthier Nation Wins")</f>
        <v>Wealthier Nation Wins</v>
      </c>
    </row>
    <row r="710" spans="1:17" x14ac:dyDescent="0.2">
      <c r="A710" s="1">
        <v>1574</v>
      </c>
      <c r="B710" s="2">
        <v>30124</v>
      </c>
      <c r="C710" s="7">
        <f>_xlfn.FLOOR.MATH(Table1[[#This Row],[year]],10)</f>
        <v>1980</v>
      </c>
      <c r="D710" t="s">
        <v>23</v>
      </c>
      <c r="E710" t="s">
        <v>30</v>
      </c>
      <c r="F710">
        <v>1</v>
      </c>
      <c r="G710">
        <v>1</v>
      </c>
      <c r="H710" t="s">
        <v>74</v>
      </c>
      <c r="I710" t="s">
        <v>98</v>
      </c>
      <c r="J710" t="s">
        <v>21</v>
      </c>
      <c r="K710" t="b">
        <v>1</v>
      </c>
      <c r="L710">
        <v>1982</v>
      </c>
      <c r="M710">
        <v>92095926187</v>
      </c>
      <c r="N710">
        <v>24141667188</v>
      </c>
      <c r="O710" t="b">
        <v>1</v>
      </c>
      <c r="P710">
        <v>0</v>
      </c>
      <c r="Q710" t="str" cm="1">
        <f t="array" ref="Q710">_xlfn.IFS(Table1[[#This Row],[Wealthier_Winner]]=-1,"Wealthier Nation Loses",Table1[[#This Row],[Wealthier_Winner]]=0,"Tie",Table1[[#This Row],[Wealthier_Winner]]=1,"Wealthier Nation Wins")</f>
        <v>Tie</v>
      </c>
    </row>
    <row r="711" spans="1:17" x14ac:dyDescent="0.2">
      <c r="A711" s="1">
        <v>1577</v>
      </c>
      <c r="B711" s="2">
        <v>30125</v>
      </c>
      <c r="C711" s="7">
        <f>_xlfn.FLOOR.MATH(Table1[[#This Row],[year]],10)</f>
        <v>1980</v>
      </c>
      <c r="D711" t="s">
        <v>19</v>
      </c>
      <c r="E711" t="s">
        <v>69</v>
      </c>
      <c r="F711">
        <v>2</v>
      </c>
      <c r="G711">
        <v>0</v>
      </c>
      <c r="H711" t="s">
        <v>74</v>
      </c>
      <c r="I711" t="s">
        <v>101</v>
      </c>
      <c r="J711" t="s">
        <v>21</v>
      </c>
      <c r="K711" t="b">
        <v>1</v>
      </c>
      <c r="L711">
        <v>1982</v>
      </c>
      <c r="M711">
        <v>84307486836</v>
      </c>
      <c r="N711">
        <v>3399189100</v>
      </c>
      <c r="O711" t="b">
        <v>1</v>
      </c>
      <c r="P711">
        <v>1</v>
      </c>
      <c r="Q711" t="str" cm="1">
        <f t="array" ref="Q711">_xlfn.IFS(Table1[[#This Row],[Wealthier_Winner]]=-1,"Wealthier Nation Loses",Table1[[#This Row],[Wealthier_Winner]]=0,"Tie",Table1[[#This Row],[Wealthier_Winner]]=1,"Wealthier Nation Wins")</f>
        <v>Wealthier Nation Wins</v>
      </c>
    </row>
    <row r="712" spans="1:17" x14ac:dyDescent="0.2">
      <c r="A712" s="1">
        <v>1578</v>
      </c>
      <c r="B712" s="2">
        <v>30125</v>
      </c>
      <c r="C712" s="7">
        <f>_xlfn.FLOOR.MATH(Table1[[#This Row],[year]],10)</f>
        <v>1980</v>
      </c>
      <c r="D712" t="s">
        <v>13</v>
      </c>
      <c r="E712" t="s">
        <v>72</v>
      </c>
      <c r="F712">
        <v>4</v>
      </c>
      <c r="G712">
        <v>0</v>
      </c>
      <c r="H712" t="s">
        <v>74</v>
      </c>
      <c r="I712" t="s">
        <v>104</v>
      </c>
      <c r="J712" t="s">
        <v>21</v>
      </c>
      <c r="K712" t="b">
        <v>1</v>
      </c>
      <c r="L712">
        <v>1982</v>
      </c>
      <c r="M712">
        <v>271314113768</v>
      </c>
      <c r="N712">
        <v>24164603058</v>
      </c>
      <c r="O712" t="b">
        <v>1</v>
      </c>
      <c r="P712">
        <v>1</v>
      </c>
      <c r="Q712" t="str" cm="1">
        <f t="array" ref="Q712">_xlfn.IFS(Table1[[#This Row],[Wealthier_Winner]]=-1,"Wealthier Nation Loses",Table1[[#This Row],[Wealthier_Winner]]=0,"Tie",Table1[[#This Row],[Wealthier_Winner]]=1,"Wealthier Nation Wins")</f>
        <v>Wealthier Nation Wins</v>
      </c>
    </row>
    <row r="713" spans="1:17" x14ac:dyDescent="0.2">
      <c r="A713" s="1">
        <v>1579</v>
      </c>
      <c r="B713" s="2">
        <v>30125</v>
      </c>
      <c r="C713" s="7">
        <f>_xlfn.FLOOR.MATH(Table1[[#This Row],[year]],10)</f>
        <v>1980</v>
      </c>
      <c r="D713" t="s">
        <v>18</v>
      </c>
      <c r="E713" t="s">
        <v>40</v>
      </c>
      <c r="F713">
        <v>1</v>
      </c>
      <c r="G713">
        <v>1</v>
      </c>
      <c r="H713" t="s">
        <v>74</v>
      </c>
      <c r="I713" t="s">
        <v>102</v>
      </c>
      <c r="J713" t="s">
        <v>21</v>
      </c>
      <c r="K713" t="b">
        <v>1</v>
      </c>
      <c r="L713">
        <v>1982</v>
      </c>
      <c r="M713">
        <v>428257421617</v>
      </c>
      <c r="N713">
        <v>6611255963</v>
      </c>
      <c r="O713" t="b">
        <v>1</v>
      </c>
      <c r="P713">
        <v>0</v>
      </c>
      <c r="Q713" t="str" cm="1">
        <f t="array" ref="Q713">_xlfn.IFS(Table1[[#This Row],[Wealthier_Winner]]=-1,"Wealthier Nation Loses",Table1[[#This Row],[Wealthier_Winner]]=0,"Tie",Table1[[#This Row],[Wealthier_Winner]]=1,"Wealthier Nation Wins")</f>
        <v>Tie</v>
      </c>
    </row>
    <row r="714" spans="1:17" x14ac:dyDescent="0.2">
      <c r="A714" s="1">
        <v>1580</v>
      </c>
      <c r="B714" s="2">
        <v>30126</v>
      </c>
      <c r="C714" s="7">
        <f>_xlfn.FLOOR.MATH(Table1[[#This Row],[year]],10)</f>
        <v>1980</v>
      </c>
      <c r="D714" t="s">
        <v>32</v>
      </c>
      <c r="E714" t="s">
        <v>14</v>
      </c>
      <c r="F714">
        <v>3</v>
      </c>
      <c r="G714">
        <v>2</v>
      </c>
      <c r="H714" t="s">
        <v>74</v>
      </c>
      <c r="I714" t="s">
        <v>100</v>
      </c>
      <c r="J714" t="s">
        <v>21</v>
      </c>
      <c r="K714" t="b">
        <v>1</v>
      </c>
      <c r="L714">
        <v>1982</v>
      </c>
      <c r="M714">
        <v>45207167470</v>
      </c>
      <c r="N714">
        <v>19710229067</v>
      </c>
      <c r="O714" t="b">
        <v>1</v>
      </c>
      <c r="P714">
        <v>1</v>
      </c>
      <c r="Q714" t="str" cm="1">
        <f t="array" ref="Q714">_xlfn.IFS(Table1[[#This Row],[Wealthier_Winner]]=-1,"Wealthier Nation Loses",Table1[[#This Row],[Wealthier_Winner]]=0,"Tie",Table1[[#This Row],[Wealthier_Winner]]=1,"Wealthier Nation Wins")</f>
        <v>Wealthier Nation Wins</v>
      </c>
    </row>
    <row r="715" spans="1:17" x14ac:dyDescent="0.2">
      <c r="A715" s="1">
        <v>1583</v>
      </c>
      <c r="B715" s="2">
        <v>30127</v>
      </c>
      <c r="C715" s="7">
        <f>_xlfn.FLOOR.MATH(Table1[[#This Row],[year]],10)</f>
        <v>1980</v>
      </c>
      <c r="D715" t="s">
        <v>194</v>
      </c>
      <c r="E715" t="s">
        <v>71</v>
      </c>
      <c r="F715">
        <v>1</v>
      </c>
      <c r="G715">
        <v>0</v>
      </c>
      <c r="H715" t="s">
        <v>74</v>
      </c>
      <c r="I715" t="s">
        <v>211</v>
      </c>
      <c r="J715" t="s">
        <v>21</v>
      </c>
      <c r="K715" t="b">
        <v>1</v>
      </c>
      <c r="L715">
        <v>1982</v>
      </c>
      <c r="M715">
        <v>515048916841</v>
      </c>
      <c r="N715">
        <v>21577153356</v>
      </c>
      <c r="O715" t="b">
        <v>1</v>
      </c>
      <c r="P715">
        <v>1</v>
      </c>
      <c r="Q715" t="str" cm="1">
        <f t="array" ref="Q715">_xlfn.IFS(Table1[[#This Row],[Wealthier_Winner]]=-1,"Wealthier Nation Loses",Table1[[#This Row],[Wealthier_Winner]]=0,"Tie",Table1[[#This Row],[Wealthier_Winner]]=1,"Wealthier Nation Wins")</f>
        <v>Wealthier Nation Wins</v>
      </c>
    </row>
    <row r="716" spans="1:17" x14ac:dyDescent="0.2">
      <c r="A716" s="1">
        <v>1584</v>
      </c>
      <c r="B716" s="2">
        <v>30127</v>
      </c>
      <c r="C716" s="7">
        <f>_xlfn.FLOOR.MATH(Table1[[#This Row],[year]],10)</f>
        <v>1980</v>
      </c>
      <c r="D716" t="s">
        <v>16</v>
      </c>
      <c r="E716" t="s">
        <v>29</v>
      </c>
      <c r="F716">
        <v>1</v>
      </c>
      <c r="G716">
        <v>0</v>
      </c>
      <c r="H716" t="s">
        <v>74</v>
      </c>
      <c r="I716" t="s">
        <v>394</v>
      </c>
      <c r="J716" t="s">
        <v>21</v>
      </c>
      <c r="K716" t="b">
        <v>1</v>
      </c>
      <c r="L716">
        <v>1982</v>
      </c>
      <c r="M716">
        <v>779421633755</v>
      </c>
      <c r="N716">
        <v>70996111962</v>
      </c>
      <c r="O716" t="b">
        <v>1</v>
      </c>
      <c r="P716">
        <v>1</v>
      </c>
      <c r="Q716" t="str" cm="1">
        <f t="array" ref="Q716">_xlfn.IFS(Table1[[#This Row],[Wealthier_Winner]]=-1,"Wealthier Nation Loses",Table1[[#This Row],[Wealthier_Winner]]=0,"Tie",Table1[[#This Row],[Wealthier_Winner]]=1,"Wealthier Nation Wins")</f>
        <v>Wealthier Nation Wins</v>
      </c>
    </row>
    <row r="717" spans="1:17" x14ac:dyDescent="0.2">
      <c r="A717" s="1">
        <v>1586</v>
      </c>
      <c r="B717" s="2">
        <v>30130</v>
      </c>
      <c r="C717" s="7">
        <f>_xlfn.FLOOR.MATH(Table1[[#This Row],[year]],10)</f>
        <v>1980</v>
      </c>
      <c r="D717" t="s">
        <v>29</v>
      </c>
      <c r="E717" t="s">
        <v>20</v>
      </c>
      <c r="F717">
        <v>0</v>
      </c>
      <c r="G717">
        <v>1</v>
      </c>
      <c r="H717" t="s">
        <v>74</v>
      </c>
      <c r="I717" t="s">
        <v>105</v>
      </c>
      <c r="J717" t="s">
        <v>21</v>
      </c>
      <c r="K717" t="b">
        <v>1</v>
      </c>
      <c r="L717">
        <v>1982</v>
      </c>
      <c r="M717">
        <v>70996111962</v>
      </c>
      <c r="N717">
        <v>578152310609</v>
      </c>
      <c r="O717" t="b">
        <v>1</v>
      </c>
      <c r="P717">
        <v>1</v>
      </c>
      <c r="Q717" t="str" cm="1">
        <f t="array" ref="Q717">_xlfn.IFS(Table1[[#This Row],[Wealthier_Winner]]=-1,"Wealthier Nation Loses",Table1[[#This Row],[Wealthier_Winner]]=0,"Tie",Table1[[#This Row],[Wealthier_Winner]]=1,"Wealthier Nation Wins")</f>
        <v>Wealthier Nation Wins</v>
      </c>
    </row>
    <row r="718" spans="1:17" x14ac:dyDescent="0.2">
      <c r="A718" s="1">
        <v>1588</v>
      </c>
      <c r="B718" s="2">
        <v>30131</v>
      </c>
      <c r="C718" s="7">
        <f>_xlfn.FLOOR.MATH(Table1[[#This Row],[year]],10)</f>
        <v>1980</v>
      </c>
      <c r="D718" t="s">
        <v>16</v>
      </c>
      <c r="E718" t="s">
        <v>194</v>
      </c>
      <c r="F718">
        <v>0</v>
      </c>
      <c r="G718">
        <v>0</v>
      </c>
      <c r="H718" t="s">
        <v>74</v>
      </c>
      <c r="I718" t="s">
        <v>105</v>
      </c>
      <c r="J718" t="s">
        <v>21</v>
      </c>
      <c r="K718" t="b">
        <v>1</v>
      </c>
      <c r="L718">
        <v>1982</v>
      </c>
      <c r="M718">
        <v>779421633755</v>
      </c>
      <c r="N718">
        <v>515048916841</v>
      </c>
      <c r="O718" t="b">
        <v>0</v>
      </c>
      <c r="P718">
        <v>0</v>
      </c>
      <c r="Q718" t="str" cm="1">
        <f t="array" ref="Q718">_xlfn.IFS(Table1[[#This Row],[Wealthier_Winner]]=-1,"Wealthier Nation Loses",Table1[[#This Row],[Wealthier_Winner]]=0,"Tie",Table1[[#This Row],[Wealthier_Winner]]=1,"Wealthier Nation Wins")</f>
        <v>Tie</v>
      </c>
    </row>
    <row r="719" spans="1:17" x14ac:dyDescent="0.2">
      <c r="A719" s="1">
        <v>1589</v>
      </c>
      <c r="B719" s="2">
        <v>30131</v>
      </c>
      <c r="C719" s="7">
        <f>_xlfn.FLOOR.MATH(Table1[[#This Row],[year]],10)</f>
        <v>1980</v>
      </c>
      <c r="D719" t="s">
        <v>18</v>
      </c>
      <c r="E719" t="s">
        <v>19</v>
      </c>
      <c r="F719">
        <v>2</v>
      </c>
      <c r="G719">
        <v>1</v>
      </c>
      <c r="H719" t="s">
        <v>74</v>
      </c>
      <c r="I719" t="s">
        <v>97</v>
      </c>
      <c r="J719" t="s">
        <v>21</v>
      </c>
      <c r="K719" t="b">
        <v>1</v>
      </c>
      <c r="L719">
        <v>1982</v>
      </c>
      <c r="M719">
        <v>428257421617</v>
      </c>
      <c r="N719">
        <v>84307486836</v>
      </c>
      <c r="O719" t="b">
        <v>1</v>
      </c>
      <c r="P719">
        <v>1</v>
      </c>
      <c r="Q719" t="str" cm="1">
        <f t="array" ref="Q719">_xlfn.IFS(Table1[[#This Row],[Wealthier_Winner]]=-1,"Wealthier Nation Loses",Table1[[#This Row],[Wealthier_Winner]]=0,"Tie",Table1[[#This Row],[Wealthier_Winner]]=1,"Wealthier Nation Wins")</f>
        <v>Wealthier Nation Wins</v>
      </c>
    </row>
    <row r="720" spans="1:17" x14ac:dyDescent="0.2">
      <c r="A720" s="1">
        <v>1592</v>
      </c>
      <c r="B720" s="2">
        <v>30134</v>
      </c>
      <c r="C720" s="7">
        <f>_xlfn.FLOOR.MATH(Table1[[#This Row],[year]],10)</f>
        <v>1980</v>
      </c>
      <c r="D720" t="s">
        <v>19</v>
      </c>
      <c r="E720" t="s">
        <v>13</v>
      </c>
      <c r="F720">
        <v>1</v>
      </c>
      <c r="G720">
        <v>3</v>
      </c>
      <c r="H720" t="s">
        <v>74</v>
      </c>
      <c r="I720" t="s">
        <v>97</v>
      </c>
      <c r="J720" t="s">
        <v>21</v>
      </c>
      <c r="K720" t="b">
        <v>1</v>
      </c>
      <c r="L720">
        <v>1982</v>
      </c>
      <c r="M720">
        <v>84307486836</v>
      </c>
      <c r="N720">
        <v>271314113768</v>
      </c>
      <c r="O720" t="b">
        <v>1</v>
      </c>
      <c r="P720">
        <v>1</v>
      </c>
      <c r="Q720" t="str" cm="1">
        <f t="array" ref="Q720">_xlfn.IFS(Table1[[#This Row],[Wealthier_Winner]]=-1,"Wealthier Nation Loses",Table1[[#This Row],[Wealthier_Winner]]=0,"Tie",Table1[[#This Row],[Wealthier_Winner]]=1,"Wealthier Nation Wins")</f>
        <v>Wealthier Nation Wins</v>
      </c>
    </row>
    <row r="721" spans="1:17" x14ac:dyDescent="0.2">
      <c r="A721" s="1">
        <v>1593</v>
      </c>
      <c r="B721" s="2">
        <v>30134</v>
      </c>
      <c r="C721" s="7">
        <f>_xlfn.FLOOR.MATH(Table1[[#This Row],[year]],10)</f>
        <v>1980</v>
      </c>
      <c r="D721" t="s">
        <v>21</v>
      </c>
      <c r="E721" t="s">
        <v>16</v>
      </c>
      <c r="F721">
        <v>1</v>
      </c>
      <c r="G721">
        <v>2</v>
      </c>
      <c r="H721" t="s">
        <v>74</v>
      </c>
      <c r="I721" t="s">
        <v>105</v>
      </c>
      <c r="J721" t="s">
        <v>21</v>
      </c>
      <c r="K721" t="b">
        <v>0</v>
      </c>
      <c r="L721">
        <v>1982</v>
      </c>
      <c r="M721">
        <v>195856752991</v>
      </c>
      <c r="N721">
        <v>779421633755</v>
      </c>
      <c r="O721" t="b">
        <v>1</v>
      </c>
      <c r="P721">
        <v>1</v>
      </c>
      <c r="Q721" t="str" cm="1">
        <f t="array" ref="Q721">_xlfn.IFS(Table1[[#This Row],[Wealthier_Winner]]=-1,"Wealthier Nation Loses",Table1[[#This Row],[Wealthier_Winner]]=0,"Tie",Table1[[#This Row],[Wealthier_Winner]]=1,"Wealthier Nation Wins")</f>
        <v>Wealthier Nation Wins</v>
      </c>
    </row>
    <row r="722" spans="1:17" x14ac:dyDescent="0.2">
      <c r="A722" s="1">
        <v>1596</v>
      </c>
      <c r="B722" s="2">
        <v>30137</v>
      </c>
      <c r="C722" s="7">
        <f>_xlfn.FLOOR.MATH(Table1[[#This Row],[year]],10)</f>
        <v>1980</v>
      </c>
      <c r="D722" t="s">
        <v>18</v>
      </c>
      <c r="E722" t="s">
        <v>13</v>
      </c>
      <c r="F722">
        <v>3</v>
      </c>
      <c r="G722">
        <v>2</v>
      </c>
      <c r="H722" t="s">
        <v>74</v>
      </c>
      <c r="I722" t="s">
        <v>97</v>
      </c>
      <c r="J722" t="s">
        <v>21</v>
      </c>
      <c r="K722" t="b">
        <v>1</v>
      </c>
      <c r="L722">
        <v>1982</v>
      </c>
      <c r="M722">
        <v>428257421617</v>
      </c>
      <c r="N722">
        <v>271314113768</v>
      </c>
      <c r="O722" t="b">
        <v>0</v>
      </c>
      <c r="P722">
        <v>1</v>
      </c>
      <c r="Q722" t="str" cm="1">
        <f t="array" ref="Q722">_xlfn.IFS(Table1[[#This Row],[Wealthier_Winner]]=-1,"Wealthier Nation Loses",Table1[[#This Row],[Wealthier_Winner]]=0,"Tie",Table1[[#This Row],[Wealthier_Winner]]=1,"Wealthier Nation Wins")</f>
        <v>Wealthier Nation Wins</v>
      </c>
    </row>
    <row r="723" spans="1:17" x14ac:dyDescent="0.2">
      <c r="A723" s="1">
        <v>1597</v>
      </c>
      <c r="B723" s="2">
        <v>30137</v>
      </c>
      <c r="C723" s="7">
        <f>_xlfn.FLOOR.MATH(Table1[[#This Row],[year]],10)</f>
        <v>1980</v>
      </c>
      <c r="D723" t="s">
        <v>21</v>
      </c>
      <c r="E723" t="s">
        <v>194</v>
      </c>
      <c r="F723">
        <v>0</v>
      </c>
      <c r="G723">
        <v>0</v>
      </c>
      <c r="H723" t="s">
        <v>74</v>
      </c>
      <c r="I723" t="s">
        <v>105</v>
      </c>
      <c r="J723" t="s">
        <v>21</v>
      </c>
      <c r="K723" t="b">
        <v>0</v>
      </c>
      <c r="L723">
        <v>1982</v>
      </c>
      <c r="M723">
        <v>195856752991</v>
      </c>
      <c r="N723">
        <v>515048916841</v>
      </c>
      <c r="O723" t="b">
        <v>1</v>
      </c>
      <c r="P723">
        <v>0</v>
      </c>
      <c r="Q723" t="str" cm="1">
        <f t="array" ref="Q723">_xlfn.IFS(Table1[[#This Row],[Wealthier_Winner]]=-1,"Wealthier Nation Loses",Table1[[#This Row],[Wealthier_Winner]]=0,"Tie",Table1[[#This Row],[Wealthier_Winner]]=1,"Wealthier Nation Wins")</f>
        <v>Tie</v>
      </c>
    </row>
    <row r="724" spans="1:17" x14ac:dyDescent="0.2">
      <c r="A724" s="1">
        <v>1598</v>
      </c>
      <c r="B724" s="2">
        <v>30140</v>
      </c>
      <c r="C724" s="7">
        <f>_xlfn.FLOOR.MATH(Table1[[#This Row],[year]],10)</f>
        <v>1980</v>
      </c>
      <c r="D724" t="s">
        <v>16</v>
      </c>
      <c r="E724" t="s">
        <v>20</v>
      </c>
      <c r="F724">
        <v>3</v>
      </c>
      <c r="G724">
        <v>3</v>
      </c>
      <c r="H724" t="s">
        <v>74</v>
      </c>
      <c r="I724" t="s">
        <v>104</v>
      </c>
      <c r="J724" t="s">
        <v>21</v>
      </c>
      <c r="K724" t="b">
        <v>1</v>
      </c>
      <c r="L724">
        <v>1982</v>
      </c>
      <c r="M724">
        <v>779421633755</v>
      </c>
      <c r="N724">
        <v>578152310609</v>
      </c>
      <c r="O724" t="b">
        <v>0</v>
      </c>
      <c r="P724">
        <v>0</v>
      </c>
      <c r="Q724" t="str" cm="1">
        <f t="array" ref="Q724">_xlfn.IFS(Table1[[#This Row],[Wealthier_Winner]]=-1,"Wealthier Nation Loses",Table1[[#This Row],[Wealthier_Winner]]=0,"Tie",Table1[[#This Row],[Wealthier_Winner]]=1,"Wealthier Nation Wins")</f>
        <v>Tie</v>
      </c>
    </row>
    <row r="725" spans="1:17" x14ac:dyDescent="0.2">
      <c r="A725" s="1">
        <v>1601</v>
      </c>
      <c r="B725" s="2">
        <v>30143</v>
      </c>
      <c r="C725" s="7">
        <f>_xlfn.FLOOR.MATH(Table1[[#This Row],[year]],10)</f>
        <v>1980</v>
      </c>
      <c r="D725" t="s">
        <v>18</v>
      </c>
      <c r="E725" t="s">
        <v>16</v>
      </c>
      <c r="F725">
        <v>3</v>
      </c>
      <c r="G725">
        <v>1</v>
      </c>
      <c r="H725" t="s">
        <v>74</v>
      </c>
      <c r="I725" t="s">
        <v>105</v>
      </c>
      <c r="J725" t="s">
        <v>21</v>
      </c>
      <c r="K725" t="b">
        <v>1</v>
      </c>
      <c r="L725">
        <v>1982</v>
      </c>
      <c r="M725">
        <v>428257421617</v>
      </c>
      <c r="N725">
        <v>779421633755</v>
      </c>
      <c r="O725" t="b">
        <v>0</v>
      </c>
      <c r="P725">
        <v>-1</v>
      </c>
      <c r="Q725" t="str" cm="1">
        <f t="array" ref="Q725">_xlfn.IFS(Table1[[#This Row],[Wealthier_Winner]]=-1,"Wealthier Nation Loses",Table1[[#This Row],[Wealthier_Winner]]=0,"Tie",Table1[[#This Row],[Wealthier_Winner]]=1,"Wealthier Nation Wins")</f>
        <v>Wealthier Nation Loses</v>
      </c>
    </row>
    <row r="726" spans="1:17" x14ac:dyDescent="0.2">
      <c r="A726" s="1">
        <v>1602</v>
      </c>
      <c r="B726" s="2">
        <v>30804</v>
      </c>
      <c r="C726" s="7">
        <f>_xlfn.FLOOR.MATH(Table1[[#This Row],[year]],10)</f>
        <v>1980</v>
      </c>
      <c r="D726" t="s">
        <v>351</v>
      </c>
      <c r="E726" t="s">
        <v>29</v>
      </c>
      <c r="F726">
        <v>1</v>
      </c>
      <c r="G726">
        <v>2</v>
      </c>
      <c r="H726" t="s">
        <v>224</v>
      </c>
      <c r="I726" t="s">
        <v>381</v>
      </c>
      <c r="J726" t="s">
        <v>351</v>
      </c>
      <c r="K726" t="b">
        <v>0</v>
      </c>
      <c r="L726">
        <v>1984</v>
      </c>
      <c r="M726">
        <v>2278248953</v>
      </c>
      <c r="N726">
        <v>67719055773</v>
      </c>
      <c r="O726" t="b">
        <v>1</v>
      </c>
      <c r="P726">
        <v>1</v>
      </c>
      <c r="Q726" t="str" cm="1">
        <f t="array" ref="Q726">_xlfn.IFS(Table1[[#This Row],[Wealthier_Winner]]=-1,"Wealthier Nation Loses",Table1[[#This Row],[Wealthier_Winner]]=0,"Tie",Table1[[#This Row],[Wealthier_Winner]]=1,"Wealthier Nation Wins")</f>
        <v>Wealthier Nation Wins</v>
      </c>
    </row>
    <row r="727" spans="1:17" x14ac:dyDescent="0.2">
      <c r="A727" s="1">
        <v>1603</v>
      </c>
      <c r="B727" s="2">
        <v>30825</v>
      </c>
      <c r="C727" s="7">
        <f>_xlfn.FLOOR.MATH(Table1[[#This Row],[year]],10)</f>
        <v>1980</v>
      </c>
      <c r="D727" t="s">
        <v>25</v>
      </c>
      <c r="E727" t="s">
        <v>303</v>
      </c>
      <c r="F727">
        <v>4</v>
      </c>
      <c r="G727">
        <v>0</v>
      </c>
      <c r="H727" t="s">
        <v>224</v>
      </c>
      <c r="I727" t="s">
        <v>395</v>
      </c>
      <c r="J727" t="s">
        <v>25</v>
      </c>
      <c r="K727" t="b">
        <v>0</v>
      </c>
      <c r="L727">
        <v>1984</v>
      </c>
      <c r="M727">
        <v>109043045407</v>
      </c>
      <c r="N727">
        <v>1101807023</v>
      </c>
      <c r="O727" t="b">
        <v>1</v>
      </c>
      <c r="P727">
        <v>1</v>
      </c>
      <c r="Q727" t="str" cm="1">
        <f t="array" ref="Q727">_xlfn.IFS(Table1[[#This Row],[Wealthier_Winner]]=-1,"Wealthier Nation Loses",Table1[[#This Row],[Wealthier_Winner]]=0,"Tie",Table1[[#This Row],[Wealthier_Winner]]=1,"Wealthier Nation Wins")</f>
        <v>Wealthier Nation Wins</v>
      </c>
    </row>
    <row r="728" spans="1:17" x14ac:dyDescent="0.2">
      <c r="A728" s="1">
        <v>1605</v>
      </c>
      <c r="B728" s="2">
        <v>30863</v>
      </c>
      <c r="C728" s="7">
        <f>_xlfn.FLOOR.MATH(Table1[[#This Row],[year]],10)</f>
        <v>1980</v>
      </c>
      <c r="D728" t="s">
        <v>342</v>
      </c>
      <c r="E728" t="s">
        <v>24</v>
      </c>
      <c r="F728">
        <v>0</v>
      </c>
      <c r="G728">
        <v>1</v>
      </c>
      <c r="H728" t="s">
        <v>224</v>
      </c>
      <c r="I728" t="s">
        <v>344</v>
      </c>
      <c r="J728" t="s">
        <v>342</v>
      </c>
      <c r="K728" t="b">
        <v>0</v>
      </c>
      <c r="L728">
        <v>1984</v>
      </c>
      <c r="M728">
        <v>1087471861</v>
      </c>
      <c r="N728">
        <v>14824667954</v>
      </c>
      <c r="O728" t="b">
        <v>1</v>
      </c>
      <c r="P728">
        <v>1</v>
      </c>
      <c r="Q728" t="str" cm="1">
        <f t="array" ref="Q728">_xlfn.IFS(Table1[[#This Row],[Wealthier_Winner]]=-1,"Wealthier Nation Loses",Table1[[#This Row],[Wealthier_Winner]]=0,"Tie",Table1[[#This Row],[Wealthier_Winner]]=1,"Wealthier Nation Wins")</f>
        <v>Wealthier Nation Wins</v>
      </c>
    </row>
    <row r="729" spans="1:17" x14ac:dyDescent="0.2">
      <c r="A729" s="1">
        <v>1606</v>
      </c>
      <c r="B729" s="2">
        <v>30864</v>
      </c>
      <c r="C729" s="7">
        <f>_xlfn.FLOOR.MATH(Table1[[#This Row],[year]],10)</f>
        <v>1980</v>
      </c>
      <c r="D729" t="s">
        <v>60</v>
      </c>
      <c r="E729" t="s">
        <v>54</v>
      </c>
      <c r="F729">
        <v>1</v>
      </c>
      <c r="G729">
        <v>0</v>
      </c>
      <c r="H729" t="s">
        <v>224</v>
      </c>
      <c r="I729" t="s">
        <v>396</v>
      </c>
      <c r="J729" t="s">
        <v>60</v>
      </c>
      <c r="K729" t="b">
        <v>0</v>
      </c>
      <c r="L729">
        <v>1984</v>
      </c>
      <c r="M729">
        <v>6131475065</v>
      </c>
      <c r="N729">
        <v>3485165431</v>
      </c>
      <c r="O729" t="b">
        <v>0</v>
      </c>
      <c r="P729">
        <v>1</v>
      </c>
      <c r="Q729" t="str" cm="1">
        <f t="array" ref="Q729">_xlfn.IFS(Table1[[#This Row],[Wealthier_Winner]]=-1,"Wealthier Nation Loses",Table1[[#This Row],[Wealthier_Winner]]=0,"Tie",Table1[[#This Row],[Wealthier_Winner]]=1,"Wealthier Nation Wins")</f>
        <v>Wealthier Nation Wins</v>
      </c>
    </row>
    <row r="730" spans="1:17" x14ac:dyDescent="0.2">
      <c r="A730" s="1">
        <v>1607</v>
      </c>
      <c r="B730" s="2">
        <v>30878</v>
      </c>
      <c r="C730" s="7">
        <f>_xlfn.FLOOR.MATH(Table1[[#This Row],[year]],10)</f>
        <v>1980</v>
      </c>
      <c r="D730" t="s">
        <v>323</v>
      </c>
      <c r="E730" t="s">
        <v>370</v>
      </c>
      <c r="F730">
        <v>0</v>
      </c>
      <c r="G730">
        <v>1</v>
      </c>
      <c r="H730" t="s">
        <v>224</v>
      </c>
      <c r="I730" t="s">
        <v>324</v>
      </c>
      <c r="J730" t="s">
        <v>323</v>
      </c>
      <c r="K730" t="b">
        <v>0</v>
      </c>
      <c r="L730">
        <v>1984</v>
      </c>
      <c r="M730">
        <v>1054564759</v>
      </c>
      <c r="N730">
        <v>1758028656</v>
      </c>
      <c r="O730" t="b">
        <v>0</v>
      </c>
      <c r="P730">
        <v>1</v>
      </c>
      <c r="Q730" t="str" cm="1">
        <f t="array" ref="Q730">_xlfn.IFS(Table1[[#This Row],[Wealthier_Winner]]=-1,"Wealthier Nation Loses",Table1[[#This Row],[Wealthier_Winner]]=0,"Tie",Table1[[#This Row],[Wealthier_Winner]]=1,"Wealthier Nation Wins")</f>
        <v>Wealthier Nation Wins</v>
      </c>
    </row>
    <row r="731" spans="1:17" x14ac:dyDescent="0.2">
      <c r="A731" s="1">
        <v>1608</v>
      </c>
      <c r="B731" s="2">
        <v>30878</v>
      </c>
      <c r="C731" s="7">
        <f>_xlfn.FLOOR.MATH(Table1[[#This Row],[year]],10)</f>
        <v>1980</v>
      </c>
      <c r="D731" t="s">
        <v>24</v>
      </c>
      <c r="E731" t="s">
        <v>342</v>
      </c>
      <c r="F731">
        <v>4</v>
      </c>
      <c r="G731">
        <v>0</v>
      </c>
      <c r="H731" t="s">
        <v>224</v>
      </c>
      <c r="I731" t="s">
        <v>319</v>
      </c>
      <c r="J731" t="s">
        <v>24</v>
      </c>
      <c r="K731" t="b">
        <v>0</v>
      </c>
      <c r="L731">
        <v>1984</v>
      </c>
      <c r="M731">
        <v>14824667954</v>
      </c>
      <c r="N731">
        <v>1087471861</v>
      </c>
      <c r="O731" t="b">
        <v>1</v>
      </c>
      <c r="P731">
        <v>1</v>
      </c>
      <c r="Q731" t="str" cm="1">
        <f t="array" ref="Q731">_xlfn.IFS(Table1[[#This Row],[Wealthier_Winner]]=-1,"Wealthier Nation Loses",Table1[[#This Row],[Wealthier_Winner]]=0,"Tie",Table1[[#This Row],[Wealthier_Winner]]=1,"Wealthier Nation Wins")</f>
        <v>Wealthier Nation Wins</v>
      </c>
    </row>
    <row r="732" spans="1:17" x14ac:dyDescent="0.2">
      <c r="A732" s="1">
        <v>1609</v>
      </c>
      <c r="B732" s="2">
        <v>30878</v>
      </c>
      <c r="C732" s="7">
        <f>_xlfn.FLOOR.MATH(Table1[[#This Row],[year]],10)</f>
        <v>1980</v>
      </c>
      <c r="D732" t="s">
        <v>54</v>
      </c>
      <c r="E732" t="s">
        <v>60</v>
      </c>
      <c r="F732">
        <v>1</v>
      </c>
      <c r="G732">
        <v>0</v>
      </c>
      <c r="H732" t="s">
        <v>224</v>
      </c>
      <c r="I732" t="s">
        <v>285</v>
      </c>
      <c r="J732" t="s">
        <v>54</v>
      </c>
      <c r="K732" t="b">
        <v>0</v>
      </c>
      <c r="L732">
        <v>1984</v>
      </c>
      <c r="M732">
        <v>3485165431</v>
      </c>
      <c r="N732">
        <v>6131475065</v>
      </c>
      <c r="O732" t="b">
        <v>0</v>
      </c>
      <c r="P732">
        <v>-1</v>
      </c>
      <c r="Q732" t="str" cm="1">
        <f t="array" ref="Q732">_xlfn.IFS(Table1[[#This Row],[Wealthier_Winner]]=-1,"Wealthier Nation Loses",Table1[[#This Row],[Wealthier_Winner]]=0,"Tie",Table1[[#This Row],[Wealthier_Winner]]=1,"Wealthier Nation Wins")</f>
        <v>Wealthier Nation Loses</v>
      </c>
    </row>
    <row r="733" spans="1:17" x14ac:dyDescent="0.2">
      <c r="A733" s="1">
        <v>1610</v>
      </c>
      <c r="B733" s="2">
        <v>30891</v>
      </c>
      <c r="C733" s="7">
        <f>_xlfn.FLOOR.MATH(Table1[[#This Row],[year]],10)</f>
        <v>1980</v>
      </c>
      <c r="D733" t="s">
        <v>370</v>
      </c>
      <c r="E733" t="s">
        <v>323</v>
      </c>
      <c r="F733">
        <v>4</v>
      </c>
      <c r="G733">
        <v>0</v>
      </c>
      <c r="H733" t="s">
        <v>224</v>
      </c>
      <c r="I733" t="s">
        <v>397</v>
      </c>
      <c r="J733" t="s">
        <v>370</v>
      </c>
      <c r="K733" t="b">
        <v>0</v>
      </c>
      <c r="L733">
        <v>1984</v>
      </c>
      <c r="M733">
        <v>1758028656</v>
      </c>
      <c r="N733">
        <v>1054564759</v>
      </c>
      <c r="O733" t="b">
        <v>0</v>
      </c>
      <c r="P733">
        <v>1</v>
      </c>
      <c r="Q733" t="str" cm="1">
        <f t="array" ref="Q733">_xlfn.IFS(Table1[[#This Row],[Wealthier_Winner]]=-1,"Wealthier Nation Loses",Table1[[#This Row],[Wealthier_Winner]]=0,"Tie",Table1[[#This Row],[Wealthier_Winner]]=1,"Wealthier Nation Wins")</f>
        <v>Wealthier Nation Wins</v>
      </c>
    </row>
    <row r="734" spans="1:17" x14ac:dyDescent="0.2">
      <c r="A734" s="1">
        <v>1611</v>
      </c>
      <c r="B734" s="2">
        <v>30892</v>
      </c>
      <c r="C734" s="7">
        <f>_xlfn.FLOOR.MATH(Table1[[#This Row],[year]],10)</f>
        <v>1980</v>
      </c>
      <c r="D734" t="s">
        <v>273</v>
      </c>
      <c r="E734" t="s">
        <v>357</v>
      </c>
      <c r="F734">
        <v>3</v>
      </c>
      <c r="G734">
        <v>0</v>
      </c>
      <c r="H734" t="s">
        <v>224</v>
      </c>
      <c r="I734" t="s">
        <v>275</v>
      </c>
      <c r="J734" t="s">
        <v>273</v>
      </c>
      <c r="K734" t="b">
        <v>0</v>
      </c>
      <c r="L734">
        <v>1984</v>
      </c>
      <c r="M734">
        <v>2719518932</v>
      </c>
      <c r="N734">
        <v>3615647477</v>
      </c>
      <c r="O734" t="b">
        <v>0</v>
      </c>
      <c r="P734">
        <v>-1</v>
      </c>
      <c r="Q734" t="str" cm="1">
        <f t="array" ref="Q734">_xlfn.IFS(Table1[[#This Row],[Wealthier_Winner]]=-1,"Wealthier Nation Loses",Table1[[#This Row],[Wealthier_Winner]]=0,"Tie",Table1[[#This Row],[Wealthier_Winner]]=1,"Wealthier Nation Wins")</f>
        <v>Wealthier Nation Loses</v>
      </c>
    </row>
    <row r="735" spans="1:17" x14ac:dyDescent="0.2">
      <c r="A735" s="1">
        <v>1612</v>
      </c>
      <c r="B735" s="2">
        <v>30919</v>
      </c>
      <c r="C735" s="7">
        <f>_xlfn.FLOOR.MATH(Table1[[#This Row],[year]],10)</f>
        <v>1980</v>
      </c>
      <c r="D735" t="s">
        <v>357</v>
      </c>
      <c r="E735" t="s">
        <v>273</v>
      </c>
      <c r="F735">
        <v>1</v>
      </c>
      <c r="G735">
        <v>0</v>
      </c>
      <c r="H735" t="s">
        <v>224</v>
      </c>
      <c r="I735" t="s">
        <v>358</v>
      </c>
      <c r="J735" t="s">
        <v>357</v>
      </c>
      <c r="K735" t="b">
        <v>0</v>
      </c>
      <c r="L735">
        <v>1984</v>
      </c>
      <c r="M735">
        <v>3615647477</v>
      </c>
      <c r="N735">
        <v>2719518932</v>
      </c>
      <c r="O735" t="b">
        <v>0</v>
      </c>
      <c r="P735">
        <v>1</v>
      </c>
      <c r="Q735" t="str" cm="1">
        <f t="array" ref="Q735">_xlfn.IFS(Table1[[#This Row],[Wealthier_Winner]]=-1,"Wealthier Nation Loses",Table1[[#This Row],[Wealthier_Winner]]=0,"Tie",Table1[[#This Row],[Wealthier_Winner]]=1,"Wealthier Nation Wins")</f>
        <v>Wealthier Nation Wins</v>
      </c>
    </row>
    <row r="736" spans="1:17" x14ac:dyDescent="0.2">
      <c r="A736" s="1">
        <v>1613</v>
      </c>
      <c r="B736" s="2">
        <v>30922</v>
      </c>
      <c r="C736" s="7">
        <f>_xlfn.FLOOR.MATH(Table1[[#This Row],[year]],10)</f>
        <v>1980</v>
      </c>
      <c r="D736" t="s">
        <v>212</v>
      </c>
      <c r="E736" t="s">
        <v>298</v>
      </c>
      <c r="F736">
        <v>1</v>
      </c>
      <c r="G736">
        <v>0</v>
      </c>
      <c r="H736" t="s">
        <v>224</v>
      </c>
      <c r="I736" t="s">
        <v>322</v>
      </c>
      <c r="J736" t="s">
        <v>212</v>
      </c>
      <c r="K736" t="b">
        <v>0</v>
      </c>
      <c r="L736">
        <v>1984</v>
      </c>
      <c r="M736">
        <v>33971188991</v>
      </c>
      <c r="N736">
        <v>6355369171</v>
      </c>
      <c r="O736" t="b">
        <v>1</v>
      </c>
      <c r="P736">
        <v>1</v>
      </c>
      <c r="Q736" t="str" cm="1">
        <f t="array" ref="Q736">_xlfn.IFS(Table1[[#This Row],[Wealthier_Winner]]=-1,"Wealthier Nation Loses",Table1[[#This Row],[Wealthier_Winner]]=0,"Tie",Table1[[#This Row],[Wealthier_Winner]]=1,"Wealthier Nation Wins")</f>
        <v>Wealthier Nation Wins</v>
      </c>
    </row>
    <row r="737" spans="1:17" x14ac:dyDescent="0.2">
      <c r="A737" s="1">
        <v>1617</v>
      </c>
      <c r="B737" s="2">
        <v>30937</v>
      </c>
      <c r="C737" s="7">
        <f>_xlfn.FLOOR.MATH(Table1[[#This Row],[year]],10)</f>
        <v>1980</v>
      </c>
      <c r="D737" t="s">
        <v>42</v>
      </c>
      <c r="E737" t="s">
        <v>46</v>
      </c>
      <c r="F737">
        <v>0</v>
      </c>
      <c r="G737">
        <v>1</v>
      </c>
      <c r="H737" t="s">
        <v>224</v>
      </c>
      <c r="I737" t="s">
        <v>262</v>
      </c>
      <c r="J737" t="s">
        <v>42</v>
      </c>
      <c r="K737" t="b">
        <v>0</v>
      </c>
      <c r="L737">
        <v>1984</v>
      </c>
      <c r="M737">
        <v>62057955032</v>
      </c>
      <c r="N737">
        <v>109455312167</v>
      </c>
      <c r="O737" t="b">
        <v>0</v>
      </c>
      <c r="P737">
        <v>1</v>
      </c>
      <c r="Q737" t="str" cm="1">
        <f t="array" ref="Q737">_xlfn.IFS(Table1[[#This Row],[Wealthier_Winner]]=-1,"Wealthier Nation Loses",Table1[[#This Row],[Wealthier_Winner]]=0,"Tie",Table1[[#This Row],[Wealthier_Winner]]=1,"Wealthier Nation Wins")</f>
        <v>Wealthier Nation Wins</v>
      </c>
    </row>
    <row r="738" spans="1:17" x14ac:dyDescent="0.2">
      <c r="A738" s="1">
        <v>1618</v>
      </c>
      <c r="B738" s="2">
        <v>30937</v>
      </c>
      <c r="C738" s="7">
        <f>_xlfn.FLOOR.MATH(Table1[[#This Row],[year]],10)</f>
        <v>1980</v>
      </c>
      <c r="D738" t="s">
        <v>25</v>
      </c>
      <c r="E738" t="s">
        <v>38</v>
      </c>
      <c r="F738">
        <v>0</v>
      </c>
      <c r="G738">
        <v>1</v>
      </c>
      <c r="H738" t="s">
        <v>224</v>
      </c>
      <c r="I738" t="s">
        <v>233</v>
      </c>
      <c r="J738" t="s">
        <v>25</v>
      </c>
      <c r="K738" t="b">
        <v>0</v>
      </c>
      <c r="L738">
        <v>1984</v>
      </c>
      <c r="M738">
        <v>109043045407</v>
      </c>
      <c r="N738">
        <v>25217969049</v>
      </c>
      <c r="O738" t="b">
        <v>1</v>
      </c>
      <c r="P738">
        <v>-1</v>
      </c>
      <c r="Q738" t="str" cm="1">
        <f t="array" ref="Q738">_xlfn.IFS(Table1[[#This Row],[Wealthier_Winner]]=-1,"Wealthier Nation Loses",Table1[[#This Row],[Wealthier_Winner]]=0,"Tie",Table1[[#This Row],[Wealthier_Winner]]=1,"Wealthier Nation Wins")</f>
        <v>Wealthier Nation Loses</v>
      </c>
    </row>
    <row r="739" spans="1:17" x14ac:dyDescent="0.2">
      <c r="A739" s="1">
        <v>1619</v>
      </c>
      <c r="B739" s="2">
        <v>30951</v>
      </c>
      <c r="C739" s="7">
        <f>_xlfn.FLOOR.MATH(Table1[[#This Row],[year]],10)</f>
        <v>1980</v>
      </c>
      <c r="D739" t="s">
        <v>36</v>
      </c>
      <c r="E739" t="s">
        <v>42</v>
      </c>
      <c r="F739">
        <v>1</v>
      </c>
      <c r="G739">
        <v>0</v>
      </c>
      <c r="H739" t="s">
        <v>224</v>
      </c>
      <c r="I739" t="s">
        <v>264</v>
      </c>
      <c r="J739" t="s">
        <v>36</v>
      </c>
      <c r="K739" t="b">
        <v>0</v>
      </c>
      <c r="L739">
        <v>1984</v>
      </c>
      <c r="M739">
        <v>58868891334</v>
      </c>
      <c r="N739">
        <v>62057955032</v>
      </c>
      <c r="O739" t="b">
        <v>0</v>
      </c>
      <c r="P739">
        <v>-1</v>
      </c>
      <c r="Q739" t="str" cm="1">
        <f t="array" ref="Q739">_xlfn.IFS(Table1[[#This Row],[Wealthier_Winner]]=-1,"Wealthier Nation Loses",Table1[[#This Row],[Wealthier_Winner]]=0,"Tie",Table1[[#This Row],[Wealthier_Winner]]=1,"Wealthier Nation Wins")</f>
        <v>Wealthier Nation Loses</v>
      </c>
    </row>
    <row r="740" spans="1:17" x14ac:dyDescent="0.2">
      <c r="A740" s="1">
        <v>1620</v>
      </c>
      <c r="B740" s="2">
        <v>30951</v>
      </c>
      <c r="C740" s="7">
        <f>_xlfn.FLOOR.MATH(Table1[[#This Row],[year]],10)</f>
        <v>1980</v>
      </c>
      <c r="D740" t="s">
        <v>30</v>
      </c>
      <c r="E740" t="s">
        <v>29</v>
      </c>
      <c r="F740">
        <v>3</v>
      </c>
      <c r="G740">
        <v>1</v>
      </c>
      <c r="H740" t="s">
        <v>224</v>
      </c>
      <c r="I740" t="s">
        <v>297</v>
      </c>
      <c r="J740" t="s">
        <v>30</v>
      </c>
      <c r="K740" t="b">
        <v>0</v>
      </c>
      <c r="L740">
        <v>1984</v>
      </c>
      <c r="M740">
        <v>21242726264</v>
      </c>
      <c r="N740">
        <v>67719055773</v>
      </c>
      <c r="O740" t="b">
        <v>1</v>
      </c>
      <c r="P740">
        <v>-1</v>
      </c>
      <c r="Q740" t="str" cm="1">
        <f t="array" ref="Q740">_xlfn.IFS(Table1[[#This Row],[Wealthier_Winner]]=-1,"Wealthier Nation Loses",Table1[[#This Row],[Wealthier_Winner]]=0,"Tie",Table1[[#This Row],[Wealthier_Winner]]=1,"Wealthier Nation Wins")</f>
        <v>Wealthier Nation Loses</v>
      </c>
    </row>
    <row r="741" spans="1:17" x14ac:dyDescent="0.2">
      <c r="A741" s="1">
        <v>1622</v>
      </c>
      <c r="B741" s="2">
        <v>30955</v>
      </c>
      <c r="C741" s="7">
        <f>_xlfn.FLOOR.MATH(Table1[[#This Row],[year]],10)</f>
        <v>1980</v>
      </c>
      <c r="D741" t="s">
        <v>298</v>
      </c>
      <c r="E741" t="s">
        <v>212</v>
      </c>
      <c r="F741">
        <v>1</v>
      </c>
      <c r="G741">
        <v>1</v>
      </c>
      <c r="H741" t="s">
        <v>224</v>
      </c>
      <c r="I741" t="s">
        <v>377</v>
      </c>
      <c r="J741" t="s">
        <v>298</v>
      </c>
      <c r="K741" t="b">
        <v>0</v>
      </c>
      <c r="L741">
        <v>1984</v>
      </c>
      <c r="M741">
        <v>6355369171</v>
      </c>
      <c r="N741">
        <v>33971188991</v>
      </c>
      <c r="O741" t="b">
        <v>1</v>
      </c>
      <c r="P741">
        <v>0</v>
      </c>
      <c r="Q741" t="str" cm="1">
        <f t="array" ref="Q741">_xlfn.IFS(Table1[[#This Row],[Wealthier_Winner]]=-1,"Wealthier Nation Loses",Table1[[#This Row],[Wealthier_Winner]]=0,"Tie",Table1[[#This Row],[Wealthier_Winner]]=1,"Wealthier Nation Wins")</f>
        <v>Tie</v>
      </c>
    </row>
    <row r="742" spans="1:17" x14ac:dyDescent="0.2">
      <c r="A742" s="1">
        <v>1624</v>
      </c>
      <c r="B742" s="2">
        <v>30968</v>
      </c>
      <c r="C742" s="7">
        <f>_xlfn.FLOOR.MATH(Table1[[#This Row],[year]],10)</f>
        <v>1980</v>
      </c>
      <c r="D742" t="s">
        <v>314</v>
      </c>
      <c r="E742" t="s">
        <v>238</v>
      </c>
      <c r="F742">
        <v>2</v>
      </c>
      <c r="G742">
        <v>1</v>
      </c>
      <c r="H742" t="s">
        <v>224</v>
      </c>
      <c r="I742" t="s">
        <v>315</v>
      </c>
      <c r="J742" t="s">
        <v>314</v>
      </c>
      <c r="K742" t="b">
        <v>0</v>
      </c>
      <c r="L742">
        <v>1984</v>
      </c>
      <c r="M742">
        <v>6191437070</v>
      </c>
      <c r="N742">
        <v>8298309580</v>
      </c>
      <c r="O742" t="b">
        <v>0</v>
      </c>
      <c r="P742">
        <v>-1</v>
      </c>
      <c r="Q742" t="str" cm="1">
        <f t="array" ref="Q742">_xlfn.IFS(Table1[[#This Row],[Wealthier_Winner]]=-1,"Wealthier Nation Loses",Table1[[#This Row],[Wealthier_Winner]]=0,"Tie",Table1[[#This Row],[Wealthier_Winner]]=1,"Wealthier Nation Wins")</f>
        <v>Wealthier Nation Loses</v>
      </c>
    </row>
    <row r="743" spans="1:17" x14ac:dyDescent="0.2">
      <c r="A743" s="1">
        <v>1625</v>
      </c>
      <c r="B743" s="2">
        <v>30968</v>
      </c>
      <c r="C743" s="7">
        <f>_xlfn.FLOOR.MATH(Table1[[#This Row],[year]],10)</f>
        <v>1980</v>
      </c>
      <c r="D743" t="s">
        <v>232</v>
      </c>
      <c r="E743" t="s">
        <v>20</v>
      </c>
      <c r="F743">
        <v>0</v>
      </c>
      <c r="G743">
        <v>4</v>
      </c>
      <c r="H743" t="s">
        <v>224</v>
      </c>
      <c r="I743" t="s">
        <v>232</v>
      </c>
      <c r="J743" t="s">
        <v>232</v>
      </c>
      <c r="K743" t="b">
        <v>0</v>
      </c>
      <c r="L743">
        <v>1984</v>
      </c>
      <c r="M743">
        <v>4438435492</v>
      </c>
      <c r="N743">
        <v>525033325827</v>
      </c>
      <c r="O743" t="b">
        <v>1</v>
      </c>
      <c r="P743">
        <v>1</v>
      </c>
      <c r="Q743" t="str" cm="1">
        <f t="array" ref="Q743">_xlfn.IFS(Table1[[#This Row],[Wealthier_Winner]]=-1,"Wealthier Nation Loses",Table1[[#This Row],[Wealthier_Winner]]=0,"Tie",Table1[[#This Row],[Wealthier_Winner]]=1,"Wealthier Nation Wins")</f>
        <v>Wealthier Nation Wins</v>
      </c>
    </row>
    <row r="744" spans="1:17" x14ac:dyDescent="0.2">
      <c r="A744" s="1">
        <v>1626</v>
      </c>
      <c r="B744" s="2">
        <v>30968</v>
      </c>
      <c r="C744" s="7">
        <f>_xlfn.FLOOR.MATH(Table1[[#This Row],[year]],10)</f>
        <v>1980</v>
      </c>
      <c r="D744" t="s">
        <v>320</v>
      </c>
      <c r="E744" t="s">
        <v>274</v>
      </c>
      <c r="F744">
        <v>1</v>
      </c>
      <c r="G744">
        <v>1</v>
      </c>
      <c r="H744" t="s">
        <v>224</v>
      </c>
      <c r="I744" t="s">
        <v>398</v>
      </c>
      <c r="J744" t="s">
        <v>320</v>
      </c>
      <c r="K744" t="b">
        <v>0</v>
      </c>
      <c r="L744">
        <v>1984</v>
      </c>
      <c r="M744">
        <v>12906635133</v>
      </c>
      <c r="N744">
        <v>10447615384</v>
      </c>
      <c r="O744" t="b">
        <v>0</v>
      </c>
      <c r="P744">
        <v>0</v>
      </c>
      <c r="Q744" t="str" cm="1">
        <f t="array" ref="Q744">_xlfn.IFS(Table1[[#This Row],[Wealthier_Winner]]=-1,"Wealthier Nation Loses",Table1[[#This Row],[Wealthier_Winner]]=0,"Tie",Table1[[#This Row],[Wealthier_Winner]]=1,"Wealthier Nation Wins")</f>
        <v>Tie</v>
      </c>
    </row>
    <row r="745" spans="1:17" x14ac:dyDescent="0.2">
      <c r="A745" s="1">
        <v>1628</v>
      </c>
      <c r="B745" s="2">
        <v>30972</v>
      </c>
      <c r="C745" s="7">
        <f>_xlfn.FLOOR.MATH(Table1[[#This Row],[year]],10)</f>
        <v>1980</v>
      </c>
      <c r="D745" t="s">
        <v>23</v>
      </c>
      <c r="E745" t="s">
        <v>373</v>
      </c>
      <c r="F745">
        <v>3</v>
      </c>
      <c r="G745">
        <v>1</v>
      </c>
      <c r="H745" t="s">
        <v>224</v>
      </c>
      <c r="I745" t="s">
        <v>235</v>
      </c>
      <c r="J745" t="s">
        <v>23</v>
      </c>
      <c r="K745" t="b">
        <v>0</v>
      </c>
      <c r="L745">
        <v>1984</v>
      </c>
      <c r="M745">
        <v>83349530159</v>
      </c>
      <c r="N745">
        <v>1857337995</v>
      </c>
      <c r="O745" t="b">
        <v>1</v>
      </c>
      <c r="P745">
        <v>1</v>
      </c>
      <c r="Q745" t="str" cm="1">
        <f t="array" ref="Q745">_xlfn.IFS(Table1[[#This Row],[Wealthier_Winner]]=-1,"Wealthier Nation Loses",Table1[[#This Row],[Wealthier_Winner]]=0,"Tie",Table1[[#This Row],[Wealthier_Winner]]=1,"Wealthier Nation Wins")</f>
        <v>Wealthier Nation Wins</v>
      </c>
    </row>
    <row r="746" spans="1:17" x14ac:dyDescent="0.2">
      <c r="A746" s="1">
        <v>1629</v>
      </c>
      <c r="B746" s="2">
        <v>30972</v>
      </c>
      <c r="C746" s="7">
        <f>_xlfn.FLOOR.MATH(Table1[[#This Row],[year]],10)</f>
        <v>1980</v>
      </c>
      <c r="D746" t="s">
        <v>194</v>
      </c>
      <c r="E746" t="s">
        <v>230</v>
      </c>
      <c r="F746">
        <v>5</v>
      </c>
      <c r="G746">
        <v>0</v>
      </c>
      <c r="H746" t="s">
        <v>224</v>
      </c>
      <c r="I746" t="s">
        <v>80</v>
      </c>
      <c r="J746" t="s">
        <v>194</v>
      </c>
      <c r="K746" t="b">
        <v>0</v>
      </c>
      <c r="L746">
        <v>1984</v>
      </c>
      <c r="M746">
        <v>461487097632</v>
      </c>
      <c r="N746">
        <v>52870993272</v>
      </c>
      <c r="O746" t="b">
        <v>1</v>
      </c>
      <c r="P746">
        <v>1</v>
      </c>
      <c r="Q746" t="str" cm="1">
        <f t="array" ref="Q746">_xlfn.IFS(Table1[[#This Row],[Wealthier_Winner]]=-1,"Wealthier Nation Loses",Table1[[#This Row],[Wealthier_Winner]]=0,"Tie",Table1[[#This Row],[Wealthier_Winner]]=1,"Wealthier Nation Wins")</f>
        <v>Wealthier Nation Wins</v>
      </c>
    </row>
    <row r="747" spans="1:17" x14ac:dyDescent="0.2">
      <c r="A747" s="1">
        <v>1630</v>
      </c>
      <c r="B747" s="2">
        <v>30972</v>
      </c>
      <c r="C747" s="7">
        <f>_xlfn.FLOOR.MATH(Table1[[#This Row],[year]],10)</f>
        <v>1980</v>
      </c>
      <c r="D747" t="s">
        <v>16</v>
      </c>
      <c r="E747" t="s">
        <v>25</v>
      </c>
      <c r="F747">
        <v>2</v>
      </c>
      <c r="G747">
        <v>0</v>
      </c>
      <c r="H747" t="s">
        <v>224</v>
      </c>
      <c r="I747" t="s">
        <v>155</v>
      </c>
      <c r="J747" t="s">
        <v>16</v>
      </c>
      <c r="K747" t="b">
        <v>0</v>
      </c>
      <c r="L747">
        <v>1984</v>
      </c>
      <c r="M747">
        <v>727767760978</v>
      </c>
      <c r="N747">
        <v>109043045407</v>
      </c>
      <c r="O747" t="b">
        <v>1</v>
      </c>
      <c r="P747">
        <v>1</v>
      </c>
      <c r="Q747" t="str" cm="1">
        <f t="array" ref="Q747">_xlfn.IFS(Table1[[#This Row],[Wealthier_Winner]]=-1,"Wealthier Nation Loses",Table1[[#This Row],[Wealthier_Winner]]=0,"Tie",Table1[[#This Row],[Wealthier_Winner]]=1,"Wealthier Nation Wins")</f>
        <v>Wealthier Nation Wins</v>
      </c>
    </row>
    <row r="748" spans="1:17" x14ac:dyDescent="0.2">
      <c r="A748" s="1">
        <v>1631</v>
      </c>
      <c r="B748" s="2">
        <v>30972</v>
      </c>
      <c r="C748" s="7">
        <f>_xlfn.FLOOR.MATH(Table1[[#This Row],[year]],10)</f>
        <v>1980</v>
      </c>
      <c r="D748" t="s">
        <v>27</v>
      </c>
      <c r="E748" t="s">
        <v>30</v>
      </c>
      <c r="F748">
        <v>1</v>
      </c>
      <c r="G748">
        <v>2</v>
      </c>
      <c r="H748" t="s">
        <v>224</v>
      </c>
      <c r="I748" t="s">
        <v>265</v>
      </c>
      <c r="J748" t="s">
        <v>27</v>
      </c>
      <c r="K748" t="b">
        <v>0</v>
      </c>
      <c r="L748">
        <v>1984</v>
      </c>
      <c r="M748">
        <v>144124462912</v>
      </c>
      <c r="N748">
        <v>21242726264</v>
      </c>
      <c r="O748" t="b">
        <v>1</v>
      </c>
      <c r="P748">
        <v>-1</v>
      </c>
      <c r="Q748" t="str" cm="1">
        <f t="array" ref="Q748">_xlfn.IFS(Table1[[#This Row],[Wealthier_Winner]]=-1,"Wealthier Nation Loses",Table1[[#This Row],[Wealthier_Winner]]=0,"Tie",Table1[[#This Row],[Wealthier_Winner]]=1,"Wealthier Nation Wins")</f>
        <v>Wealthier Nation Loses</v>
      </c>
    </row>
    <row r="749" spans="1:17" x14ac:dyDescent="0.2">
      <c r="A749" s="1">
        <v>1636</v>
      </c>
      <c r="B749" s="2">
        <v>30972</v>
      </c>
      <c r="C749" s="7">
        <f>_xlfn.FLOOR.MATH(Table1[[#This Row],[year]],10)</f>
        <v>1980</v>
      </c>
      <c r="D749" t="s">
        <v>46</v>
      </c>
      <c r="E749" t="s">
        <v>36</v>
      </c>
      <c r="F749">
        <v>1</v>
      </c>
      <c r="G749">
        <v>0</v>
      </c>
      <c r="H749" t="s">
        <v>224</v>
      </c>
      <c r="I749" t="s">
        <v>249</v>
      </c>
      <c r="J749" t="s">
        <v>46</v>
      </c>
      <c r="K749" t="b">
        <v>0</v>
      </c>
      <c r="L749">
        <v>1984</v>
      </c>
      <c r="M749">
        <v>109455312167</v>
      </c>
      <c r="N749">
        <v>58868891334</v>
      </c>
      <c r="O749" t="b">
        <v>0</v>
      </c>
      <c r="P749">
        <v>1</v>
      </c>
      <c r="Q749" t="str" cm="1">
        <f t="array" ref="Q749">_xlfn.IFS(Table1[[#This Row],[Wealthier_Winner]]=-1,"Wealthier Nation Loses",Table1[[#This Row],[Wealthier_Winner]]=0,"Tie",Table1[[#This Row],[Wealthier_Winner]]=1,"Wealthier Nation Wins")</f>
        <v>Wealthier Nation Wins</v>
      </c>
    </row>
    <row r="750" spans="1:17" x14ac:dyDescent="0.2">
      <c r="A750" s="1">
        <v>1638</v>
      </c>
      <c r="B750" s="2">
        <v>30975</v>
      </c>
      <c r="C750" s="7">
        <f>_xlfn.FLOOR.MATH(Table1[[#This Row],[year]],10)</f>
        <v>1980</v>
      </c>
      <c r="D750" t="s">
        <v>43</v>
      </c>
      <c r="E750" t="s">
        <v>378</v>
      </c>
      <c r="F750">
        <v>3</v>
      </c>
      <c r="G750">
        <v>0</v>
      </c>
      <c r="H750" t="s">
        <v>224</v>
      </c>
      <c r="I750" t="s">
        <v>229</v>
      </c>
      <c r="J750" t="s">
        <v>43</v>
      </c>
      <c r="K750" t="b">
        <v>0</v>
      </c>
      <c r="L750">
        <v>1984</v>
      </c>
      <c r="M750">
        <v>73484359521</v>
      </c>
      <c r="N750">
        <v>848478300</v>
      </c>
      <c r="O750" t="b">
        <v>1</v>
      </c>
      <c r="P750">
        <v>1</v>
      </c>
      <c r="Q750" t="str" cm="1">
        <f t="array" ref="Q750">_xlfn.IFS(Table1[[#This Row],[Wealthier_Winner]]=-1,"Wealthier Nation Loses",Table1[[#This Row],[Wealthier_Winner]]=0,"Tie",Table1[[#This Row],[Wealthier_Winner]]=1,"Wealthier Nation Wins")</f>
        <v>Wealthier Nation Wins</v>
      </c>
    </row>
    <row r="751" spans="1:17" x14ac:dyDescent="0.2">
      <c r="A751" s="1">
        <v>1640</v>
      </c>
      <c r="B751" s="2">
        <v>30982</v>
      </c>
      <c r="C751" s="7">
        <f>_xlfn.FLOOR.MATH(Table1[[#This Row],[year]],10)</f>
        <v>1980</v>
      </c>
      <c r="D751" t="s">
        <v>274</v>
      </c>
      <c r="E751" t="s">
        <v>320</v>
      </c>
      <c r="F751">
        <v>0</v>
      </c>
      <c r="G751">
        <v>0</v>
      </c>
      <c r="H751" t="s">
        <v>224</v>
      </c>
      <c r="I751" t="s">
        <v>278</v>
      </c>
      <c r="J751" t="s">
        <v>274</v>
      </c>
      <c r="K751" t="b">
        <v>0</v>
      </c>
      <c r="L751">
        <v>1984</v>
      </c>
      <c r="M751">
        <v>10447615384</v>
      </c>
      <c r="N751">
        <v>12906635133</v>
      </c>
      <c r="O751" t="b">
        <v>0</v>
      </c>
      <c r="P751">
        <v>0</v>
      </c>
      <c r="Q751" t="str" cm="1">
        <f t="array" ref="Q751">_xlfn.IFS(Table1[[#This Row],[Wealthier_Winner]]=-1,"Wealthier Nation Loses",Table1[[#This Row],[Wealthier_Winner]]=0,"Tie",Table1[[#This Row],[Wealthier_Winner]]=1,"Wealthier Nation Wins")</f>
        <v>Tie</v>
      </c>
    </row>
    <row r="752" spans="1:17" x14ac:dyDescent="0.2">
      <c r="A752" s="1">
        <v>1641</v>
      </c>
      <c r="B752" s="2">
        <v>30983</v>
      </c>
      <c r="C752" s="7">
        <f>_xlfn.FLOOR.MATH(Table1[[#This Row],[year]],10)</f>
        <v>1980</v>
      </c>
      <c r="D752" t="s">
        <v>310</v>
      </c>
      <c r="E752" t="s">
        <v>53</v>
      </c>
      <c r="F752">
        <v>0</v>
      </c>
      <c r="G752">
        <v>2</v>
      </c>
      <c r="H752" t="s">
        <v>224</v>
      </c>
      <c r="I752" t="s">
        <v>311</v>
      </c>
      <c r="J752" t="s">
        <v>310</v>
      </c>
      <c r="K752" t="b">
        <v>0</v>
      </c>
      <c r="L752">
        <v>1984</v>
      </c>
      <c r="M752">
        <v>1051134008</v>
      </c>
      <c r="N752">
        <v>8254541194</v>
      </c>
      <c r="O752" t="b">
        <v>1</v>
      </c>
      <c r="P752">
        <v>1</v>
      </c>
      <c r="Q752" t="str" cm="1">
        <f t="array" ref="Q752">_xlfn.IFS(Table1[[#This Row],[Wealthier_Winner]]=-1,"Wealthier Nation Loses",Table1[[#This Row],[Wealthier_Winner]]=0,"Tie",Table1[[#This Row],[Wealthier_Winner]]=1,"Wealthier Nation Wins")</f>
        <v>Wealthier Nation Wins</v>
      </c>
    </row>
    <row r="753" spans="1:17" x14ac:dyDescent="0.2">
      <c r="A753" s="1">
        <v>1642</v>
      </c>
      <c r="B753" s="2">
        <v>30983</v>
      </c>
      <c r="C753" s="7">
        <f>_xlfn.FLOOR.MATH(Table1[[#This Row],[year]],10)</f>
        <v>1980</v>
      </c>
      <c r="D753" t="s">
        <v>238</v>
      </c>
      <c r="E753" t="s">
        <v>314</v>
      </c>
      <c r="F753">
        <v>3</v>
      </c>
      <c r="G753">
        <v>3</v>
      </c>
      <c r="H753" t="s">
        <v>224</v>
      </c>
      <c r="I753" t="s">
        <v>288</v>
      </c>
      <c r="J753" t="s">
        <v>238</v>
      </c>
      <c r="K753" t="b">
        <v>0</v>
      </c>
      <c r="L753">
        <v>1984</v>
      </c>
      <c r="M753">
        <v>8298309580</v>
      </c>
      <c r="N753">
        <v>6191437070</v>
      </c>
      <c r="O753" t="b">
        <v>0</v>
      </c>
      <c r="P753">
        <v>0</v>
      </c>
      <c r="Q753" t="str" cm="1">
        <f t="array" ref="Q753">_xlfn.IFS(Table1[[#This Row],[Wealthier_Winner]]=-1,"Wealthier Nation Loses",Table1[[#This Row],[Wealthier_Winner]]=0,"Tie",Table1[[#This Row],[Wealthier_Winner]]=1,"Wealthier Nation Wins")</f>
        <v>Tie</v>
      </c>
    </row>
    <row r="754" spans="1:17" x14ac:dyDescent="0.2">
      <c r="A754" s="1">
        <v>1647</v>
      </c>
      <c r="B754" s="2">
        <v>30990</v>
      </c>
      <c r="C754" s="7">
        <f>_xlfn.FLOOR.MATH(Table1[[#This Row],[year]],10)</f>
        <v>1980</v>
      </c>
      <c r="D754" t="s">
        <v>378</v>
      </c>
      <c r="E754" t="s">
        <v>43</v>
      </c>
      <c r="F754">
        <v>0</v>
      </c>
      <c r="G754">
        <v>1</v>
      </c>
      <c r="H754" t="s">
        <v>224</v>
      </c>
      <c r="I754" t="s">
        <v>379</v>
      </c>
      <c r="J754" t="s">
        <v>378</v>
      </c>
      <c r="K754" t="b">
        <v>0</v>
      </c>
      <c r="L754">
        <v>1984</v>
      </c>
      <c r="M754">
        <v>848478300</v>
      </c>
      <c r="N754">
        <v>73484359521</v>
      </c>
      <c r="O754" t="b">
        <v>1</v>
      </c>
      <c r="P754">
        <v>1</v>
      </c>
      <c r="Q754" t="str" cm="1">
        <f t="array" ref="Q754">_xlfn.IFS(Table1[[#This Row],[Wealthier_Winner]]=-1,"Wealthier Nation Loses",Table1[[#This Row],[Wealthier_Winner]]=0,"Tie",Table1[[#This Row],[Wealthier_Winner]]=1,"Wealthier Nation Wins")</f>
        <v>Wealthier Nation Wins</v>
      </c>
    </row>
    <row r="755" spans="1:17" x14ac:dyDescent="0.2">
      <c r="A755" s="1">
        <v>1648</v>
      </c>
      <c r="B755" s="2">
        <v>30999</v>
      </c>
      <c r="C755" s="7">
        <f>_xlfn.FLOOR.MATH(Table1[[#This Row],[year]],10)</f>
        <v>1980</v>
      </c>
      <c r="D755" t="s">
        <v>53</v>
      </c>
      <c r="E755" t="s">
        <v>310</v>
      </c>
      <c r="F755">
        <v>4</v>
      </c>
      <c r="G755">
        <v>0</v>
      </c>
      <c r="H755" t="s">
        <v>224</v>
      </c>
      <c r="I755" t="s">
        <v>284</v>
      </c>
      <c r="J755" t="s">
        <v>53</v>
      </c>
      <c r="K755" t="b">
        <v>0</v>
      </c>
      <c r="L755">
        <v>1984</v>
      </c>
      <c r="M755">
        <v>8254541194</v>
      </c>
      <c r="N755">
        <v>1051134008</v>
      </c>
      <c r="O755" t="b">
        <v>1</v>
      </c>
      <c r="P755">
        <v>1</v>
      </c>
      <c r="Q755" t="str" cm="1">
        <f t="array" ref="Q755">_xlfn.IFS(Table1[[#This Row],[Wealthier_Winner]]=-1,"Wealthier Nation Loses",Table1[[#This Row],[Wealthier_Winner]]=0,"Tie",Table1[[#This Row],[Wealthier_Winner]]=1,"Wealthier Nation Wins")</f>
        <v>Wealthier Nation Wins</v>
      </c>
    </row>
    <row r="756" spans="1:17" x14ac:dyDescent="0.2">
      <c r="A756" s="1">
        <v>1649</v>
      </c>
      <c r="B756" s="2">
        <v>31000</v>
      </c>
      <c r="C756" s="7">
        <f>_xlfn.FLOOR.MATH(Table1[[#This Row],[year]],10)</f>
        <v>1980</v>
      </c>
      <c r="D756" t="s">
        <v>29</v>
      </c>
      <c r="E756" t="s">
        <v>27</v>
      </c>
      <c r="F756">
        <v>1</v>
      </c>
      <c r="G756">
        <v>0</v>
      </c>
      <c r="H756" t="s">
        <v>224</v>
      </c>
      <c r="I756" t="s">
        <v>270</v>
      </c>
      <c r="J756" t="s">
        <v>29</v>
      </c>
      <c r="K756" t="b">
        <v>0</v>
      </c>
      <c r="L756">
        <v>1984</v>
      </c>
      <c r="M756">
        <v>67719055773</v>
      </c>
      <c r="N756">
        <v>144124462912</v>
      </c>
      <c r="O756" t="b">
        <v>1</v>
      </c>
      <c r="P756">
        <v>-1</v>
      </c>
      <c r="Q756" t="str" cm="1">
        <f t="array" ref="Q756">_xlfn.IFS(Table1[[#This Row],[Wealthier_Winner]]=-1,"Wealthier Nation Loses",Table1[[#This Row],[Wealthier_Winner]]=0,"Tie",Table1[[#This Row],[Wealthier_Winner]]=1,"Wealthier Nation Wins")</f>
        <v>Wealthier Nation Loses</v>
      </c>
    </row>
    <row r="757" spans="1:17" x14ac:dyDescent="0.2">
      <c r="A757" s="1">
        <v>1652</v>
      </c>
      <c r="B757" s="2">
        <v>31000</v>
      </c>
      <c r="C757" s="7">
        <f>_xlfn.FLOOR.MATH(Table1[[#This Row],[year]],10)</f>
        <v>1980</v>
      </c>
      <c r="D757" t="s">
        <v>38</v>
      </c>
      <c r="E757" t="s">
        <v>25</v>
      </c>
      <c r="F757">
        <v>1</v>
      </c>
      <c r="G757">
        <v>3</v>
      </c>
      <c r="H757" t="s">
        <v>224</v>
      </c>
      <c r="I757" t="s">
        <v>291</v>
      </c>
      <c r="J757" t="s">
        <v>38</v>
      </c>
      <c r="K757" t="b">
        <v>0</v>
      </c>
      <c r="L757">
        <v>1984</v>
      </c>
      <c r="M757">
        <v>25217969049</v>
      </c>
      <c r="N757">
        <v>109043045407</v>
      </c>
      <c r="O757" t="b">
        <v>1</v>
      </c>
      <c r="P757">
        <v>1</v>
      </c>
      <c r="Q757" t="str" cm="1">
        <f t="array" ref="Q757">_xlfn.IFS(Table1[[#This Row],[Wealthier_Winner]]=-1,"Wealthier Nation Loses",Table1[[#This Row],[Wealthier_Winner]]=0,"Tie",Table1[[#This Row],[Wealthier_Winner]]=1,"Wealthier Nation Wins")</f>
        <v>Wealthier Nation Wins</v>
      </c>
    </row>
    <row r="758" spans="1:17" x14ac:dyDescent="0.2">
      <c r="A758" s="1">
        <v>1656</v>
      </c>
      <c r="B758" s="2">
        <v>31003</v>
      </c>
      <c r="C758" s="7">
        <f>_xlfn.FLOOR.MATH(Table1[[#This Row],[year]],10)</f>
        <v>1980</v>
      </c>
      <c r="D758" t="s">
        <v>351</v>
      </c>
      <c r="E758" t="s">
        <v>30</v>
      </c>
      <c r="F758">
        <v>1</v>
      </c>
      <c r="G758">
        <v>2</v>
      </c>
      <c r="H758" t="s">
        <v>224</v>
      </c>
      <c r="I758" t="s">
        <v>352</v>
      </c>
      <c r="J758" t="s">
        <v>351</v>
      </c>
      <c r="K758" t="b">
        <v>0</v>
      </c>
      <c r="L758">
        <v>1984</v>
      </c>
      <c r="M758">
        <v>2278248953</v>
      </c>
      <c r="N758">
        <v>21242726264</v>
      </c>
      <c r="O758" t="b">
        <v>1</v>
      </c>
      <c r="P758">
        <v>1</v>
      </c>
      <c r="Q758" t="str" cm="1">
        <f t="array" ref="Q758">_xlfn.IFS(Table1[[#This Row],[Wealthier_Winner]]=-1,"Wealthier Nation Loses",Table1[[#This Row],[Wealthier_Winner]]=0,"Tie",Table1[[#This Row],[Wealthier_Winner]]=1,"Wealthier Nation Wins")</f>
        <v>Wealthier Nation Wins</v>
      </c>
    </row>
    <row r="759" spans="1:17" x14ac:dyDescent="0.2">
      <c r="A759" s="1">
        <v>1658</v>
      </c>
      <c r="B759" s="2">
        <v>31007</v>
      </c>
      <c r="C759" s="7">
        <f>_xlfn.FLOOR.MATH(Table1[[#This Row],[year]],10)</f>
        <v>1980</v>
      </c>
      <c r="D759" t="s">
        <v>20</v>
      </c>
      <c r="E759" t="s">
        <v>33</v>
      </c>
      <c r="F759">
        <v>1</v>
      </c>
      <c r="G759">
        <v>0</v>
      </c>
      <c r="H759" t="s">
        <v>224</v>
      </c>
      <c r="I759" t="s">
        <v>134</v>
      </c>
      <c r="J759" t="s">
        <v>20</v>
      </c>
      <c r="K759" t="b">
        <v>0</v>
      </c>
      <c r="L759">
        <v>1984</v>
      </c>
      <c r="M759">
        <v>525033325827</v>
      </c>
      <c r="N759">
        <v>17594944444</v>
      </c>
      <c r="O759" t="b">
        <v>1</v>
      </c>
      <c r="P759">
        <v>1</v>
      </c>
      <c r="Q759" t="str" cm="1">
        <f t="array" ref="Q759">_xlfn.IFS(Table1[[#This Row],[Wealthier_Winner]]=-1,"Wealthier Nation Loses",Table1[[#This Row],[Wealthier_Winner]]=0,"Tie",Table1[[#This Row],[Wealthier_Winner]]=1,"Wealthier Nation Wins")</f>
        <v>Wealthier Nation Wins</v>
      </c>
    </row>
    <row r="760" spans="1:17" x14ac:dyDescent="0.2">
      <c r="A760" s="1">
        <v>1659</v>
      </c>
      <c r="B760" s="2">
        <v>31021</v>
      </c>
      <c r="C760" s="7">
        <f>_xlfn.FLOOR.MATH(Table1[[#This Row],[year]],10)</f>
        <v>1980</v>
      </c>
      <c r="D760" t="s">
        <v>33</v>
      </c>
      <c r="E760" t="s">
        <v>232</v>
      </c>
      <c r="F760">
        <v>4</v>
      </c>
      <c r="G760">
        <v>0</v>
      </c>
      <c r="H760" t="s">
        <v>224</v>
      </c>
      <c r="I760" t="s">
        <v>375</v>
      </c>
      <c r="J760" t="s">
        <v>33</v>
      </c>
      <c r="K760" t="b">
        <v>0</v>
      </c>
      <c r="L760">
        <v>1984</v>
      </c>
      <c r="M760">
        <v>17594944444</v>
      </c>
      <c r="N760">
        <v>4438435492</v>
      </c>
      <c r="O760" t="b">
        <v>1</v>
      </c>
      <c r="P760">
        <v>1</v>
      </c>
      <c r="Q760" t="str" cm="1">
        <f t="array" ref="Q760">_xlfn.IFS(Table1[[#This Row],[Wealthier_Winner]]=-1,"Wealthier Nation Loses",Table1[[#This Row],[Wealthier_Winner]]=0,"Tie",Table1[[#This Row],[Wealthier_Winner]]=1,"Wealthier Nation Wins")</f>
        <v>Wealthier Nation Wins</v>
      </c>
    </row>
    <row r="761" spans="1:17" x14ac:dyDescent="0.2">
      <c r="A761" s="1">
        <v>1661</v>
      </c>
      <c r="B761" s="2">
        <v>31032</v>
      </c>
      <c r="C761" s="7">
        <f>_xlfn.FLOOR.MATH(Table1[[#This Row],[year]],10)</f>
        <v>1980</v>
      </c>
      <c r="D761" t="s">
        <v>303</v>
      </c>
      <c r="E761" t="s">
        <v>16</v>
      </c>
      <c r="F761">
        <v>2</v>
      </c>
      <c r="G761">
        <v>3</v>
      </c>
      <c r="H761" t="s">
        <v>224</v>
      </c>
      <c r="I761" t="s">
        <v>399</v>
      </c>
      <c r="J761" t="s">
        <v>303</v>
      </c>
      <c r="K761" t="b">
        <v>0</v>
      </c>
      <c r="L761">
        <v>1984</v>
      </c>
      <c r="M761">
        <v>1101807023</v>
      </c>
      <c r="N761">
        <v>727767760978</v>
      </c>
      <c r="O761" t="b">
        <v>1</v>
      </c>
      <c r="P761">
        <v>1</v>
      </c>
      <c r="Q761" t="str" cm="1">
        <f t="array" ref="Q761">_xlfn.IFS(Table1[[#This Row],[Wealthier_Winner]]=-1,"Wealthier Nation Loses",Table1[[#This Row],[Wealthier_Winner]]=0,"Tie",Table1[[#This Row],[Wealthier_Winner]]=1,"Wealthier Nation Wins")</f>
        <v>Wealthier Nation Wins</v>
      </c>
    </row>
    <row r="762" spans="1:17" x14ac:dyDescent="0.2">
      <c r="A762" s="1">
        <v>1662</v>
      </c>
      <c r="B762" s="2">
        <v>31035</v>
      </c>
      <c r="C762" s="7">
        <f>_xlfn.FLOOR.MATH(Table1[[#This Row],[year]],10)</f>
        <v>1980</v>
      </c>
      <c r="D762" t="s">
        <v>48</v>
      </c>
      <c r="E762" t="s">
        <v>23</v>
      </c>
      <c r="F762">
        <v>0</v>
      </c>
      <c r="G762">
        <v>0</v>
      </c>
      <c r="H762" t="s">
        <v>224</v>
      </c>
      <c r="I762" t="s">
        <v>236</v>
      </c>
      <c r="J762" t="s">
        <v>48</v>
      </c>
      <c r="K762" t="b">
        <v>0</v>
      </c>
      <c r="L762">
        <v>1984</v>
      </c>
      <c r="M762">
        <v>47352146311</v>
      </c>
      <c r="N762">
        <v>83349530159</v>
      </c>
      <c r="O762" t="b">
        <v>0</v>
      </c>
      <c r="P762">
        <v>0</v>
      </c>
      <c r="Q762" t="str" cm="1">
        <f t="array" ref="Q762">_xlfn.IFS(Table1[[#This Row],[Wealthier_Winner]]=-1,"Wealthier Nation Loses",Table1[[#This Row],[Wealthier_Winner]]=0,"Tie",Table1[[#This Row],[Wealthier_Winner]]=1,"Wealthier Nation Wins")</f>
        <v>Tie</v>
      </c>
    </row>
    <row r="763" spans="1:17" x14ac:dyDescent="0.2">
      <c r="A763" s="1">
        <v>1663</v>
      </c>
      <c r="B763" s="2">
        <v>31038</v>
      </c>
      <c r="C763" s="7">
        <f>_xlfn.FLOOR.MATH(Table1[[#This Row],[year]],10)</f>
        <v>1980</v>
      </c>
      <c r="D763" t="s">
        <v>373</v>
      </c>
      <c r="E763" t="s">
        <v>23</v>
      </c>
      <c r="F763">
        <v>2</v>
      </c>
      <c r="G763">
        <v>0</v>
      </c>
      <c r="H763" t="s">
        <v>224</v>
      </c>
      <c r="I763" t="s">
        <v>374</v>
      </c>
      <c r="J763" t="s">
        <v>373</v>
      </c>
      <c r="K763" t="b">
        <v>0</v>
      </c>
      <c r="L763">
        <v>1984</v>
      </c>
      <c r="M763">
        <v>1857337995</v>
      </c>
      <c r="N763">
        <v>83349530159</v>
      </c>
      <c r="O763" t="b">
        <v>1</v>
      </c>
      <c r="P763">
        <v>-1</v>
      </c>
      <c r="Q763" t="str" cm="1">
        <f t="array" ref="Q763">_xlfn.IFS(Table1[[#This Row],[Wealthier_Winner]]=-1,"Wealthier Nation Loses",Table1[[#This Row],[Wealthier_Winner]]=0,"Tie",Table1[[#This Row],[Wealthier_Winner]]=1,"Wealthier Nation Wins")</f>
        <v>Wealthier Nation Loses</v>
      </c>
    </row>
    <row r="764" spans="1:17" x14ac:dyDescent="0.2">
      <c r="A764" s="1">
        <v>1664</v>
      </c>
      <c r="B764" s="2">
        <v>31039</v>
      </c>
      <c r="C764" s="7">
        <f>_xlfn.FLOOR.MATH(Table1[[#This Row],[year]],10)</f>
        <v>1980</v>
      </c>
      <c r="D764" t="s">
        <v>351</v>
      </c>
      <c r="E764" t="s">
        <v>27</v>
      </c>
      <c r="F764">
        <v>0</v>
      </c>
      <c r="G764">
        <v>1</v>
      </c>
      <c r="H764" t="s">
        <v>224</v>
      </c>
      <c r="I764" t="s">
        <v>381</v>
      </c>
      <c r="J764" t="s">
        <v>351</v>
      </c>
      <c r="K764" t="b">
        <v>0</v>
      </c>
      <c r="L764">
        <v>1984</v>
      </c>
      <c r="M764">
        <v>2278248953</v>
      </c>
      <c r="N764">
        <v>144124462912</v>
      </c>
      <c r="O764" t="b">
        <v>1</v>
      </c>
      <c r="P764">
        <v>1</v>
      </c>
      <c r="Q764" t="str" cm="1">
        <f t="array" ref="Q764">_xlfn.IFS(Table1[[#This Row],[Wealthier_Winner]]=-1,"Wealthier Nation Loses",Table1[[#This Row],[Wealthier_Winner]]=0,"Tie",Table1[[#This Row],[Wealthier_Winner]]=1,"Wealthier Nation Wins")</f>
        <v>Wealthier Nation Wins</v>
      </c>
    </row>
    <row r="765" spans="1:17" x14ac:dyDescent="0.2">
      <c r="A765" s="1">
        <v>1666</v>
      </c>
      <c r="B765" s="2">
        <v>31088</v>
      </c>
      <c r="C765" s="7">
        <f>_xlfn.FLOOR.MATH(Table1[[#This Row],[year]],10)</f>
        <v>1980</v>
      </c>
      <c r="D765" t="s">
        <v>305</v>
      </c>
      <c r="E765" t="s">
        <v>53</v>
      </c>
      <c r="F765">
        <v>1</v>
      </c>
      <c r="G765">
        <v>0</v>
      </c>
      <c r="H765" t="s">
        <v>224</v>
      </c>
      <c r="I765" t="s">
        <v>306</v>
      </c>
      <c r="J765" t="s">
        <v>305</v>
      </c>
      <c r="K765" t="b">
        <v>0</v>
      </c>
      <c r="L765">
        <v>1985</v>
      </c>
      <c r="M765">
        <v>22787644565</v>
      </c>
      <c r="N765">
        <v>8410226052</v>
      </c>
      <c r="O765" t="b">
        <v>1</v>
      </c>
      <c r="P765">
        <v>1</v>
      </c>
      <c r="Q765" t="str" cm="1">
        <f t="array" ref="Q765">_xlfn.IFS(Table1[[#This Row],[Wealthier_Winner]]=-1,"Wealthier Nation Loses",Table1[[#This Row],[Wealthier_Winner]]=0,"Tie",Table1[[#This Row],[Wealthier_Winner]]=1,"Wealthier Nation Wins")</f>
        <v>Wealthier Nation Wins</v>
      </c>
    </row>
    <row r="766" spans="1:17" x14ac:dyDescent="0.2">
      <c r="A766" s="1">
        <v>1667</v>
      </c>
      <c r="B766" s="2">
        <v>31088</v>
      </c>
      <c r="C766" s="7">
        <f>_xlfn.FLOOR.MATH(Table1[[#This Row],[year]],10)</f>
        <v>1980</v>
      </c>
      <c r="D766" t="s">
        <v>303</v>
      </c>
      <c r="E766" t="s">
        <v>38</v>
      </c>
      <c r="F766">
        <v>1</v>
      </c>
      <c r="G766">
        <v>3</v>
      </c>
      <c r="H766" t="s">
        <v>224</v>
      </c>
      <c r="I766" t="s">
        <v>399</v>
      </c>
      <c r="J766" t="s">
        <v>303</v>
      </c>
      <c r="K766" t="b">
        <v>0</v>
      </c>
      <c r="L766">
        <v>1985</v>
      </c>
      <c r="M766">
        <v>1117797439</v>
      </c>
      <c r="N766">
        <v>27115807742</v>
      </c>
      <c r="O766" t="b">
        <v>1</v>
      </c>
      <c r="P766">
        <v>1</v>
      </c>
      <c r="Q766" t="str" cm="1">
        <f t="array" ref="Q766">_xlfn.IFS(Table1[[#This Row],[Wealthier_Winner]]=-1,"Wealthier Nation Loses",Table1[[#This Row],[Wealthier_Winner]]=0,"Tie",Table1[[#This Row],[Wealthier_Winner]]=1,"Wealthier Nation Wins")</f>
        <v>Wealthier Nation Wins</v>
      </c>
    </row>
    <row r="767" spans="1:17" x14ac:dyDescent="0.2">
      <c r="A767" s="1">
        <v>1671</v>
      </c>
      <c r="B767" s="2">
        <v>31100</v>
      </c>
      <c r="C767" s="7">
        <f>_xlfn.FLOOR.MATH(Table1[[#This Row],[year]],10)</f>
        <v>1980</v>
      </c>
      <c r="D767" t="s">
        <v>274</v>
      </c>
      <c r="E767" t="s">
        <v>286</v>
      </c>
      <c r="F767">
        <v>0</v>
      </c>
      <c r="G767">
        <v>0</v>
      </c>
      <c r="H767" t="s">
        <v>224</v>
      </c>
      <c r="I767" t="s">
        <v>278</v>
      </c>
      <c r="J767" t="s">
        <v>274</v>
      </c>
      <c r="K767" t="b">
        <v>0</v>
      </c>
      <c r="L767">
        <v>1985</v>
      </c>
      <c r="M767">
        <v>8075259600</v>
      </c>
      <c r="N767">
        <v>31530566324</v>
      </c>
      <c r="O767" t="b">
        <v>1</v>
      </c>
      <c r="P767">
        <v>0</v>
      </c>
      <c r="Q767" t="str" cm="1">
        <f t="array" ref="Q767">_xlfn.IFS(Table1[[#This Row],[Wealthier_Winner]]=-1,"Wealthier Nation Loses",Table1[[#This Row],[Wealthier_Winner]]=0,"Tie",Table1[[#This Row],[Wealthier_Winner]]=1,"Wealthier Nation Wins")</f>
        <v>Tie</v>
      </c>
    </row>
    <row r="768" spans="1:17" x14ac:dyDescent="0.2">
      <c r="A768" s="1">
        <v>1673</v>
      </c>
      <c r="B768" s="2">
        <v>31101</v>
      </c>
      <c r="C768" s="7">
        <f>_xlfn.FLOOR.MATH(Table1[[#This Row],[year]],10)</f>
        <v>1980</v>
      </c>
      <c r="D768" t="s">
        <v>359</v>
      </c>
      <c r="E768" t="s">
        <v>51</v>
      </c>
      <c r="F768">
        <v>1</v>
      </c>
      <c r="G768">
        <v>3</v>
      </c>
      <c r="H768" t="s">
        <v>224</v>
      </c>
      <c r="I768" t="s">
        <v>360</v>
      </c>
      <c r="J768" t="s">
        <v>359</v>
      </c>
      <c r="K768" t="b">
        <v>0</v>
      </c>
      <c r="L768">
        <v>1985</v>
      </c>
      <c r="M768">
        <v>19156532745</v>
      </c>
      <c r="N768">
        <v>1427019759717</v>
      </c>
      <c r="O768" t="b">
        <v>1</v>
      </c>
      <c r="P768">
        <v>1</v>
      </c>
      <c r="Q768" t="str" cm="1">
        <f t="array" ref="Q768">_xlfn.IFS(Table1[[#This Row],[Wealthier_Winner]]=-1,"Wealthier Nation Loses",Table1[[#This Row],[Wealthier_Winner]]=0,"Tie",Table1[[#This Row],[Wealthier_Winner]]=1,"Wealthier Nation Wins")</f>
        <v>Wealthier Nation Wins</v>
      </c>
    </row>
    <row r="769" spans="1:17" x14ac:dyDescent="0.2">
      <c r="A769" s="1">
        <v>1674</v>
      </c>
      <c r="B769" s="2">
        <v>31102</v>
      </c>
      <c r="C769" s="7">
        <f>_xlfn.FLOOR.MATH(Table1[[#This Row],[year]],10)</f>
        <v>1980</v>
      </c>
      <c r="D769" t="s">
        <v>38</v>
      </c>
      <c r="E769" t="s">
        <v>16</v>
      </c>
      <c r="F769">
        <v>1</v>
      </c>
      <c r="G769">
        <v>2</v>
      </c>
      <c r="H769" t="s">
        <v>224</v>
      </c>
      <c r="I769" t="s">
        <v>240</v>
      </c>
      <c r="J769" t="s">
        <v>38</v>
      </c>
      <c r="K769" t="b">
        <v>0</v>
      </c>
      <c r="L769">
        <v>1985</v>
      </c>
      <c r="M769">
        <v>27115807742</v>
      </c>
      <c r="N769">
        <v>735218723093</v>
      </c>
      <c r="O769" t="b">
        <v>1</v>
      </c>
      <c r="P769">
        <v>1</v>
      </c>
      <c r="Q769" t="str" cm="1">
        <f t="array" ref="Q769">_xlfn.IFS(Table1[[#This Row],[Wealthier_Winner]]=-1,"Wealthier Nation Loses",Table1[[#This Row],[Wealthier_Winner]]=0,"Tie",Table1[[#This Row],[Wealthier_Winner]]=1,"Wealthier Nation Wins")</f>
        <v>Wealthier Nation Wins</v>
      </c>
    </row>
    <row r="770" spans="1:17" x14ac:dyDescent="0.2">
      <c r="A770" s="1">
        <v>1675</v>
      </c>
      <c r="B770" s="2">
        <v>31102</v>
      </c>
      <c r="C770" s="7">
        <f>_xlfn.FLOOR.MATH(Table1[[#This Row],[year]],10)</f>
        <v>1980</v>
      </c>
      <c r="D770" t="s">
        <v>53</v>
      </c>
      <c r="E770" t="s">
        <v>305</v>
      </c>
      <c r="F770">
        <v>2</v>
      </c>
      <c r="G770">
        <v>0</v>
      </c>
      <c r="H770" t="s">
        <v>224</v>
      </c>
      <c r="I770" t="s">
        <v>284</v>
      </c>
      <c r="J770" t="s">
        <v>53</v>
      </c>
      <c r="K770" t="b">
        <v>0</v>
      </c>
      <c r="L770">
        <v>1985</v>
      </c>
      <c r="M770">
        <v>8410226052</v>
      </c>
      <c r="N770">
        <v>22787644565</v>
      </c>
      <c r="O770" t="b">
        <v>1</v>
      </c>
      <c r="P770">
        <v>-1</v>
      </c>
      <c r="Q770" t="str" cm="1">
        <f t="array" ref="Q770">_xlfn.IFS(Table1[[#This Row],[Wealthier_Winner]]=-1,"Wealthier Nation Loses",Table1[[#This Row],[Wealthier_Winner]]=0,"Tie",Table1[[#This Row],[Wealthier_Winner]]=1,"Wealthier Nation Wins")</f>
        <v>Wealthier Nation Loses</v>
      </c>
    </row>
    <row r="771" spans="1:17" x14ac:dyDescent="0.2">
      <c r="A771" s="1">
        <v>1677</v>
      </c>
      <c r="B771" s="2">
        <v>31105</v>
      </c>
      <c r="C771" s="7">
        <f>_xlfn.FLOOR.MATH(Table1[[#This Row],[year]],10)</f>
        <v>1980</v>
      </c>
      <c r="D771" t="s">
        <v>48</v>
      </c>
      <c r="E771" t="s">
        <v>373</v>
      </c>
      <c r="F771">
        <v>2</v>
      </c>
      <c r="G771">
        <v>0</v>
      </c>
      <c r="H771" t="s">
        <v>224</v>
      </c>
      <c r="I771" t="s">
        <v>236</v>
      </c>
      <c r="J771" t="s">
        <v>48</v>
      </c>
      <c r="K771" t="b">
        <v>0</v>
      </c>
      <c r="L771">
        <v>1985</v>
      </c>
      <c r="M771">
        <v>47155741426</v>
      </c>
      <c r="N771">
        <v>1897050116</v>
      </c>
      <c r="O771" t="b">
        <v>1</v>
      </c>
      <c r="P771">
        <v>1</v>
      </c>
      <c r="Q771" t="str" cm="1">
        <f t="array" ref="Q771">_xlfn.IFS(Table1[[#This Row],[Wealthier_Winner]]=-1,"Wealthier Nation Loses",Table1[[#This Row],[Wealthier_Winner]]=0,"Tie",Table1[[#This Row],[Wealthier_Winner]]=1,"Wealthier Nation Wins")</f>
        <v>Wealthier Nation Wins</v>
      </c>
    </row>
    <row r="772" spans="1:17" x14ac:dyDescent="0.2">
      <c r="A772" s="1">
        <v>1678</v>
      </c>
      <c r="B772" s="2">
        <v>31105</v>
      </c>
      <c r="C772" s="7">
        <f>_xlfn.FLOOR.MATH(Table1[[#This Row],[year]],10)</f>
        <v>1980</v>
      </c>
      <c r="D772" t="s">
        <v>27</v>
      </c>
      <c r="E772" t="s">
        <v>351</v>
      </c>
      <c r="F772">
        <v>7</v>
      </c>
      <c r="G772">
        <v>1</v>
      </c>
      <c r="H772" t="s">
        <v>224</v>
      </c>
      <c r="I772" t="s">
        <v>263</v>
      </c>
      <c r="J772" t="s">
        <v>27</v>
      </c>
      <c r="K772" t="b">
        <v>0</v>
      </c>
      <c r="L772">
        <v>1985</v>
      </c>
      <c r="M772">
        <v>144057523221</v>
      </c>
      <c r="N772">
        <v>2430411900</v>
      </c>
      <c r="O772" t="b">
        <v>1</v>
      </c>
      <c r="P772">
        <v>1</v>
      </c>
      <c r="Q772" t="str" cm="1">
        <f t="array" ref="Q772">_xlfn.IFS(Table1[[#This Row],[Wealthier_Winner]]=-1,"Wealthier Nation Loses",Table1[[#This Row],[Wealthier_Winner]]=0,"Tie",Table1[[#This Row],[Wealthier_Winner]]=1,"Wealthier Nation Wins")</f>
        <v>Wealthier Nation Wins</v>
      </c>
    </row>
    <row r="773" spans="1:17" x14ac:dyDescent="0.2">
      <c r="A773" s="1">
        <v>1682</v>
      </c>
      <c r="B773" s="2">
        <v>31108</v>
      </c>
      <c r="C773" s="7">
        <f>_xlfn.FLOOR.MATH(Table1[[#This Row],[year]],10)</f>
        <v>1980</v>
      </c>
      <c r="D773" t="s">
        <v>400</v>
      </c>
      <c r="E773" t="s">
        <v>195</v>
      </c>
      <c r="F773">
        <v>0</v>
      </c>
      <c r="G773">
        <v>2</v>
      </c>
      <c r="H773" t="s">
        <v>224</v>
      </c>
      <c r="I773" t="s">
        <v>401</v>
      </c>
      <c r="J773" t="s">
        <v>400</v>
      </c>
      <c r="K773" t="b">
        <v>0</v>
      </c>
      <c r="L773">
        <v>1985</v>
      </c>
      <c r="M773">
        <v>2619913955</v>
      </c>
      <c r="N773">
        <v>103764281280</v>
      </c>
      <c r="O773" t="b">
        <v>1</v>
      </c>
      <c r="P773">
        <v>1</v>
      </c>
      <c r="Q773" t="str" cm="1">
        <f t="array" ref="Q773">_xlfn.IFS(Table1[[#This Row],[Wealthier_Winner]]=-1,"Wealthier Nation Loses",Table1[[#This Row],[Wealthier_Winner]]=0,"Tie",Table1[[#This Row],[Wealthier_Winner]]=1,"Wealthier Nation Wins")</f>
        <v>Wealthier Nation Wins</v>
      </c>
    </row>
    <row r="774" spans="1:17" x14ac:dyDescent="0.2">
      <c r="A774" s="1">
        <v>1683</v>
      </c>
      <c r="B774" s="2">
        <v>31109</v>
      </c>
      <c r="C774" s="7">
        <f>_xlfn.FLOOR.MATH(Table1[[#This Row],[year]],10)</f>
        <v>1980</v>
      </c>
      <c r="D774" t="s">
        <v>57</v>
      </c>
      <c r="E774" t="s">
        <v>14</v>
      </c>
      <c r="F774">
        <v>1</v>
      </c>
      <c r="G774">
        <v>1</v>
      </c>
      <c r="H774" t="s">
        <v>224</v>
      </c>
      <c r="I774" t="s">
        <v>335</v>
      </c>
      <c r="J774" t="s">
        <v>57</v>
      </c>
      <c r="K774" t="b">
        <v>0</v>
      </c>
      <c r="L774">
        <v>1985</v>
      </c>
      <c r="M774">
        <v>17149088413</v>
      </c>
      <c r="N774">
        <v>17933557359</v>
      </c>
      <c r="O774" t="b">
        <v>0</v>
      </c>
      <c r="P774">
        <v>0</v>
      </c>
      <c r="Q774" t="str" cm="1">
        <f t="array" ref="Q774">_xlfn.IFS(Table1[[#This Row],[Wealthier_Winner]]=-1,"Wealthier Nation Loses",Table1[[#This Row],[Wealthier_Winner]]=0,"Tie",Table1[[#This Row],[Wealthier_Winner]]=1,"Wealthier Nation Wins")</f>
        <v>Tie</v>
      </c>
    </row>
    <row r="775" spans="1:17" x14ac:dyDescent="0.2">
      <c r="A775" s="1">
        <v>1684</v>
      </c>
      <c r="B775" s="2">
        <v>31114</v>
      </c>
      <c r="C775" s="7">
        <f>_xlfn.FLOOR.MATH(Table1[[#This Row],[year]],10)</f>
        <v>1980</v>
      </c>
      <c r="D775" t="s">
        <v>286</v>
      </c>
      <c r="E775" t="s">
        <v>274</v>
      </c>
      <c r="F775">
        <v>4</v>
      </c>
      <c r="G775">
        <v>0</v>
      </c>
      <c r="H775" t="s">
        <v>224</v>
      </c>
      <c r="I775" t="s">
        <v>287</v>
      </c>
      <c r="J775" t="s">
        <v>286</v>
      </c>
      <c r="K775" t="b">
        <v>0</v>
      </c>
      <c r="L775">
        <v>1985</v>
      </c>
      <c r="M775">
        <v>31530566324</v>
      </c>
      <c r="N775">
        <v>8075259600</v>
      </c>
      <c r="O775" t="b">
        <v>1</v>
      </c>
      <c r="P775">
        <v>1</v>
      </c>
      <c r="Q775" t="str" cm="1">
        <f t="array" ref="Q775">_xlfn.IFS(Table1[[#This Row],[Wealthier_Winner]]=-1,"Wealthier Nation Loses",Table1[[#This Row],[Wealthier_Winner]]=0,"Tie",Table1[[#This Row],[Wealthier_Winner]]=1,"Wealthier Nation Wins")</f>
        <v>Wealthier Nation Wins</v>
      </c>
    </row>
    <row r="776" spans="1:17" x14ac:dyDescent="0.2">
      <c r="A776" s="1">
        <v>1685</v>
      </c>
      <c r="B776" s="2">
        <v>31116</v>
      </c>
      <c r="C776" s="7">
        <f>_xlfn.FLOOR.MATH(Table1[[#This Row],[year]],10)</f>
        <v>1980</v>
      </c>
      <c r="D776" t="s">
        <v>333</v>
      </c>
      <c r="E776" t="s">
        <v>195</v>
      </c>
      <c r="F776">
        <v>1</v>
      </c>
      <c r="G776">
        <v>0</v>
      </c>
      <c r="H776" t="s">
        <v>224</v>
      </c>
      <c r="I776" t="s">
        <v>402</v>
      </c>
      <c r="J776" t="s">
        <v>333</v>
      </c>
      <c r="K776" t="b">
        <v>0</v>
      </c>
      <c r="L776">
        <v>1985</v>
      </c>
      <c r="M776">
        <v>31199633352</v>
      </c>
      <c r="N776">
        <v>103764281280</v>
      </c>
      <c r="O776" t="b">
        <v>1</v>
      </c>
      <c r="P776">
        <v>-1</v>
      </c>
      <c r="Q776" t="str" cm="1">
        <f t="array" ref="Q776">_xlfn.IFS(Table1[[#This Row],[Wealthier_Winner]]=-1,"Wealthier Nation Loses",Table1[[#This Row],[Wealthier_Winner]]=0,"Tie",Table1[[#This Row],[Wealthier_Winner]]=1,"Wealthier Nation Wins")</f>
        <v>Wealthier Nation Loses</v>
      </c>
    </row>
    <row r="777" spans="1:17" x14ac:dyDescent="0.2">
      <c r="A777" s="1">
        <v>1686</v>
      </c>
      <c r="B777" s="2">
        <v>31116</v>
      </c>
      <c r="C777" s="7">
        <f>_xlfn.FLOOR.MATH(Table1[[#This Row],[year]],10)</f>
        <v>1980</v>
      </c>
      <c r="D777" t="s">
        <v>26</v>
      </c>
      <c r="E777" t="s">
        <v>57</v>
      </c>
      <c r="F777">
        <v>2</v>
      </c>
      <c r="G777">
        <v>1</v>
      </c>
      <c r="H777" t="s">
        <v>224</v>
      </c>
      <c r="I777" t="s">
        <v>247</v>
      </c>
      <c r="J777" t="s">
        <v>26</v>
      </c>
      <c r="K777" t="b">
        <v>0</v>
      </c>
      <c r="L777">
        <v>1985</v>
      </c>
      <c r="M777">
        <v>4732017873</v>
      </c>
      <c r="N777">
        <v>17149088413</v>
      </c>
      <c r="O777" t="b">
        <v>1</v>
      </c>
      <c r="P777">
        <v>-1</v>
      </c>
      <c r="Q777" t="str" cm="1">
        <f t="array" ref="Q777">_xlfn.IFS(Table1[[#This Row],[Wealthier_Winner]]=-1,"Wealthier Nation Loses",Table1[[#This Row],[Wealthier_Winner]]=0,"Tie",Table1[[#This Row],[Wealthier_Winner]]=1,"Wealthier Nation Wins")</f>
        <v>Wealthier Nation Loses</v>
      </c>
    </row>
    <row r="778" spans="1:17" x14ac:dyDescent="0.2">
      <c r="A778" s="1">
        <v>1687</v>
      </c>
      <c r="B778" s="2">
        <v>31121</v>
      </c>
      <c r="C778" s="7">
        <f>_xlfn.FLOOR.MATH(Table1[[#This Row],[year]],10)</f>
        <v>1980</v>
      </c>
      <c r="D778" t="s">
        <v>328</v>
      </c>
      <c r="E778" t="s">
        <v>334</v>
      </c>
      <c r="F778">
        <v>1</v>
      </c>
      <c r="G778">
        <v>0</v>
      </c>
      <c r="H778" t="s">
        <v>224</v>
      </c>
      <c r="I778" t="s">
        <v>386</v>
      </c>
      <c r="J778" t="s">
        <v>328</v>
      </c>
      <c r="K778" t="b">
        <v>0</v>
      </c>
      <c r="L778">
        <v>1985</v>
      </c>
      <c r="M778">
        <v>85289488375</v>
      </c>
      <c r="N778">
        <v>38900711332</v>
      </c>
      <c r="O778" t="b">
        <v>1</v>
      </c>
      <c r="P778">
        <v>1</v>
      </c>
      <c r="Q778" t="str" cm="1">
        <f t="array" ref="Q778">_xlfn.IFS(Table1[[#This Row],[Wealthier_Winner]]=-1,"Wealthier Nation Loses",Table1[[#This Row],[Wealthier_Winner]]=0,"Tie",Table1[[#This Row],[Wealthier_Winner]]=1,"Wealthier Nation Wins")</f>
        <v>Wealthier Nation Wins</v>
      </c>
    </row>
    <row r="779" spans="1:17" x14ac:dyDescent="0.2">
      <c r="A779" s="1">
        <v>1688</v>
      </c>
      <c r="B779" s="2">
        <v>31121</v>
      </c>
      <c r="C779" s="7">
        <f>_xlfn.FLOOR.MATH(Table1[[#This Row],[year]],10)</f>
        <v>1980</v>
      </c>
      <c r="D779" t="s">
        <v>403</v>
      </c>
      <c r="E779" t="s">
        <v>68</v>
      </c>
      <c r="F779">
        <v>1</v>
      </c>
      <c r="G779">
        <v>0</v>
      </c>
      <c r="H779" t="s">
        <v>224</v>
      </c>
      <c r="I779" t="s">
        <v>404</v>
      </c>
      <c r="J779" t="s">
        <v>403</v>
      </c>
      <c r="K779" t="b">
        <v>0</v>
      </c>
      <c r="L779">
        <v>1985</v>
      </c>
      <c r="M779">
        <v>4993601520</v>
      </c>
      <c r="N779">
        <v>6153296456</v>
      </c>
      <c r="O779" t="b">
        <v>0</v>
      </c>
      <c r="P779">
        <v>-1</v>
      </c>
      <c r="Q779" t="str" cm="1">
        <f t="array" ref="Q779">_xlfn.IFS(Table1[[#This Row],[Wealthier_Winner]]=-1,"Wealthier Nation Loses",Table1[[#This Row],[Wealthier_Winner]]=0,"Tie",Table1[[#This Row],[Wealthier_Winner]]=1,"Wealthier Nation Wins")</f>
        <v>Wealthier Nation Loses</v>
      </c>
    </row>
    <row r="780" spans="1:17" x14ac:dyDescent="0.2">
      <c r="A780" s="1">
        <v>1689</v>
      </c>
      <c r="B780" s="2">
        <v>31122</v>
      </c>
      <c r="C780" s="7">
        <f>_xlfn.FLOOR.MATH(Table1[[#This Row],[year]],10)</f>
        <v>1980</v>
      </c>
      <c r="D780" t="s">
        <v>400</v>
      </c>
      <c r="E780" t="s">
        <v>333</v>
      </c>
      <c r="F780">
        <v>0</v>
      </c>
      <c r="G780">
        <v>0</v>
      </c>
      <c r="H780" t="s">
        <v>224</v>
      </c>
      <c r="I780" t="s">
        <v>401</v>
      </c>
      <c r="J780" t="s">
        <v>400</v>
      </c>
      <c r="K780" t="b">
        <v>0</v>
      </c>
      <c r="L780">
        <v>1985</v>
      </c>
      <c r="M780">
        <v>2619913955</v>
      </c>
      <c r="N780">
        <v>31199633352</v>
      </c>
      <c r="O780" t="b">
        <v>1</v>
      </c>
      <c r="P780">
        <v>0</v>
      </c>
      <c r="Q780" t="str" cm="1">
        <f t="array" ref="Q780">_xlfn.IFS(Table1[[#This Row],[Wealthier_Winner]]=-1,"Wealthier Nation Loses",Table1[[#This Row],[Wealthier_Winner]]=0,"Tie",Table1[[#This Row],[Wealthier_Winner]]=1,"Wealthier Nation Wins")</f>
        <v>Tie</v>
      </c>
    </row>
    <row r="781" spans="1:17" x14ac:dyDescent="0.2">
      <c r="A781" s="1">
        <v>1690</v>
      </c>
      <c r="B781" s="2">
        <v>31123</v>
      </c>
      <c r="C781" s="7">
        <f>_xlfn.FLOOR.MATH(Table1[[#This Row],[year]],10)</f>
        <v>1980</v>
      </c>
      <c r="D781" t="s">
        <v>14</v>
      </c>
      <c r="E781" t="s">
        <v>57</v>
      </c>
      <c r="F781">
        <v>6</v>
      </c>
      <c r="G781">
        <v>2</v>
      </c>
      <c r="H781" t="s">
        <v>224</v>
      </c>
      <c r="I781" t="s">
        <v>75</v>
      </c>
      <c r="J781" t="s">
        <v>14</v>
      </c>
      <c r="K781" t="b">
        <v>0</v>
      </c>
      <c r="L781">
        <v>1985</v>
      </c>
      <c r="M781">
        <v>17933557359</v>
      </c>
      <c r="N781">
        <v>17149088413</v>
      </c>
      <c r="O781" t="b">
        <v>0</v>
      </c>
      <c r="P781">
        <v>1</v>
      </c>
      <c r="Q781" t="str" cm="1">
        <f t="array" ref="Q781">_xlfn.IFS(Table1[[#This Row],[Wealthier_Winner]]=-1,"Wealthier Nation Loses",Table1[[#This Row],[Wealthier_Winner]]=0,"Tie",Table1[[#This Row],[Wealthier_Winner]]=1,"Wealthier Nation Wins")</f>
        <v>Wealthier Nation Wins</v>
      </c>
    </row>
    <row r="782" spans="1:17" x14ac:dyDescent="0.2">
      <c r="A782" s="1">
        <v>1691</v>
      </c>
      <c r="B782" s="2">
        <v>31124</v>
      </c>
      <c r="C782" s="7">
        <f>_xlfn.FLOOR.MATH(Table1[[#This Row],[year]],10)</f>
        <v>1980</v>
      </c>
      <c r="D782" t="s">
        <v>328</v>
      </c>
      <c r="E782" t="s">
        <v>405</v>
      </c>
      <c r="F782">
        <v>2</v>
      </c>
      <c r="G782">
        <v>0</v>
      </c>
      <c r="H782" t="s">
        <v>224</v>
      </c>
      <c r="I782" t="s">
        <v>386</v>
      </c>
      <c r="J782" t="s">
        <v>328</v>
      </c>
      <c r="K782" t="b">
        <v>0</v>
      </c>
      <c r="L782">
        <v>1985</v>
      </c>
      <c r="M782">
        <v>85289488375</v>
      </c>
      <c r="N782">
        <v>22278423076</v>
      </c>
      <c r="O782" t="b">
        <v>1</v>
      </c>
      <c r="P782">
        <v>1</v>
      </c>
      <c r="Q782" t="str" cm="1">
        <f t="array" ref="Q782">_xlfn.IFS(Table1[[#This Row],[Wealthier_Winner]]=-1,"Wealthier Nation Loses",Table1[[#This Row],[Wealthier_Winner]]=0,"Tie",Table1[[#This Row],[Wealthier_Winner]]=1,"Wealthier Nation Wins")</f>
        <v>Wealthier Nation Wins</v>
      </c>
    </row>
    <row r="783" spans="1:17" x14ac:dyDescent="0.2">
      <c r="A783" s="1">
        <v>1692</v>
      </c>
      <c r="B783" s="2">
        <v>31127</v>
      </c>
      <c r="C783" s="7">
        <f>_xlfn.FLOOR.MATH(Table1[[#This Row],[year]],10)</f>
        <v>1980</v>
      </c>
      <c r="D783" t="s">
        <v>328</v>
      </c>
      <c r="E783" t="s">
        <v>406</v>
      </c>
      <c r="F783">
        <v>2</v>
      </c>
      <c r="G783">
        <v>1</v>
      </c>
      <c r="H783" t="s">
        <v>224</v>
      </c>
      <c r="I783" t="s">
        <v>386</v>
      </c>
      <c r="J783" t="s">
        <v>328</v>
      </c>
      <c r="K783" t="b">
        <v>0</v>
      </c>
      <c r="L783">
        <v>1985</v>
      </c>
      <c r="M783">
        <v>85289488375</v>
      </c>
      <c r="N783">
        <v>232511554840</v>
      </c>
      <c r="O783" t="b">
        <v>1</v>
      </c>
      <c r="P783">
        <v>-1</v>
      </c>
      <c r="Q783" t="str" cm="1">
        <f t="array" ref="Q783">_xlfn.IFS(Table1[[#This Row],[Wealthier_Winner]]=-1,"Wealthier Nation Loses",Table1[[#This Row],[Wealthier_Winner]]=0,"Tie",Table1[[#This Row],[Wealthier_Winner]]=1,"Wealthier Nation Wins")</f>
        <v>Wealthier Nation Loses</v>
      </c>
    </row>
    <row r="784" spans="1:17" x14ac:dyDescent="0.2">
      <c r="A784" s="1">
        <v>1694</v>
      </c>
      <c r="B784" s="2">
        <v>31128</v>
      </c>
      <c r="C784" s="7">
        <f>_xlfn.FLOOR.MATH(Table1[[#This Row],[year]],10)</f>
        <v>1980</v>
      </c>
      <c r="D784" t="s">
        <v>331</v>
      </c>
      <c r="E784" t="s">
        <v>71</v>
      </c>
      <c r="F784">
        <v>1</v>
      </c>
      <c r="G784">
        <v>0</v>
      </c>
      <c r="H784" t="s">
        <v>224</v>
      </c>
      <c r="I784" t="s">
        <v>355</v>
      </c>
      <c r="J784" t="s">
        <v>331</v>
      </c>
      <c r="K784" t="b">
        <v>0</v>
      </c>
      <c r="L784">
        <v>1985</v>
      </c>
      <c r="M784">
        <v>16403539892</v>
      </c>
      <c r="N784">
        <v>21445970613</v>
      </c>
      <c r="O784" t="b">
        <v>0</v>
      </c>
      <c r="P784">
        <v>-1</v>
      </c>
      <c r="Q784" t="str" cm="1">
        <f t="array" ref="Q784">_xlfn.IFS(Table1[[#This Row],[Wealthier_Winner]]=-1,"Wealthier Nation Loses",Table1[[#This Row],[Wealthier_Winner]]=0,"Tie",Table1[[#This Row],[Wealthier_Winner]]=1,"Wealthier Nation Wins")</f>
        <v>Wealthier Nation Loses</v>
      </c>
    </row>
    <row r="785" spans="1:17" x14ac:dyDescent="0.2">
      <c r="A785" s="1">
        <v>1695</v>
      </c>
      <c r="B785" s="2">
        <v>31129</v>
      </c>
      <c r="C785" s="7">
        <f>_xlfn.FLOOR.MATH(Table1[[#This Row],[year]],10)</f>
        <v>1980</v>
      </c>
      <c r="D785" t="s">
        <v>334</v>
      </c>
      <c r="E785" t="s">
        <v>405</v>
      </c>
      <c r="F785">
        <v>3</v>
      </c>
      <c r="G785">
        <v>0</v>
      </c>
      <c r="H785" t="s">
        <v>224</v>
      </c>
      <c r="I785" t="s">
        <v>407</v>
      </c>
      <c r="J785" t="s">
        <v>334</v>
      </c>
      <c r="K785" t="b">
        <v>0</v>
      </c>
      <c r="L785">
        <v>1985</v>
      </c>
      <c r="M785">
        <v>38900711332</v>
      </c>
      <c r="N785">
        <v>22278423076</v>
      </c>
      <c r="O785" t="b">
        <v>0</v>
      </c>
      <c r="P785">
        <v>1</v>
      </c>
      <c r="Q785" t="str" cm="1">
        <f t="array" ref="Q785">_xlfn.IFS(Table1[[#This Row],[Wealthier_Winner]]=-1,"Wealthier Nation Loses",Table1[[#This Row],[Wealthier_Winner]]=0,"Tie",Table1[[#This Row],[Wealthier_Winner]]=1,"Wealthier Nation Wins")</f>
        <v>Wealthier Nation Wins</v>
      </c>
    </row>
    <row r="786" spans="1:17" x14ac:dyDescent="0.2">
      <c r="A786" s="1">
        <v>1696</v>
      </c>
      <c r="B786" s="2">
        <v>31130</v>
      </c>
      <c r="C786" s="7">
        <f>_xlfn.FLOOR.MATH(Table1[[#This Row],[year]],10)</f>
        <v>1980</v>
      </c>
      <c r="D786" t="s">
        <v>14</v>
      </c>
      <c r="E786" t="s">
        <v>26</v>
      </c>
      <c r="F786">
        <v>2</v>
      </c>
      <c r="G786">
        <v>0</v>
      </c>
      <c r="H786" t="s">
        <v>224</v>
      </c>
      <c r="I786" t="s">
        <v>75</v>
      </c>
      <c r="J786" t="s">
        <v>14</v>
      </c>
      <c r="K786" t="b">
        <v>0</v>
      </c>
      <c r="L786">
        <v>1985</v>
      </c>
      <c r="M786">
        <v>17933557359</v>
      </c>
      <c r="N786">
        <v>4732017873</v>
      </c>
      <c r="O786" t="b">
        <v>1</v>
      </c>
      <c r="P786">
        <v>1</v>
      </c>
      <c r="Q786" t="str" cm="1">
        <f t="array" ref="Q786">_xlfn.IFS(Table1[[#This Row],[Wealthier_Winner]]=-1,"Wealthier Nation Loses",Table1[[#This Row],[Wealthier_Winner]]=0,"Tie",Table1[[#This Row],[Wealthier_Winner]]=1,"Wealthier Nation Wins")</f>
        <v>Wealthier Nation Wins</v>
      </c>
    </row>
    <row r="787" spans="1:17" x14ac:dyDescent="0.2">
      <c r="A787" s="1">
        <v>1697</v>
      </c>
      <c r="B787" s="2">
        <v>31132</v>
      </c>
      <c r="C787" s="7">
        <f>_xlfn.FLOOR.MATH(Table1[[#This Row],[year]],10)</f>
        <v>1980</v>
      </c>
      <c r="D787" t="s">
        <v>334</v>
      </c>
      <c r="E787" t="s">
        <v>406</v>
      </c>
      <c r="F787">
        <v>0</v>
      </c>
      <c r="G787">
        <v>0</v>
      </c>
      <c r="H787" t="s">
        <v>224</v>
      </c>
      <c r="I787" t="s">
        <v>407</v>
      </c>
      <c r="J787" t="s">
        <v>334</v>
      </c>
      <c r="K787" t="b">
        <v>0</v>
      </c>
      <c r="L787">
        <v>1985</v>
      </c>
      <c r="M787">
        <v>38900711332</v>
      </c>
      <c r="N787">
        <v>232511554840</v>
      </c>
      <c r="O787" t="b">
        <v>1</v>
      </c>
      <c r="P787">
        <v>0</v>
      </c>
      <c r="Q787" t="str" cm="1">
        <f t="array" ref="Q787">_xlfn.IFS(Table1[[#This Row],[Wealthier_Winner]]=-1,"Wealthier Nation Loses",Table1[[#This Row],[Wealthier_Winner]]=0,"Tie",Table1[[#This Row],[Wealthier_Winner]]=1,"Wealthier Nation Wins")</f>
        <v>Tie</v>
      </c>
    </row>
    <row r="788" spans="1:17" x14ac:dyDescent="0.2">
      <c r="A788" s="1">
        <v>1698</v>
      </c>
      <c r="B788" s="2">
        <v>31133</v>
      </c>
      <c r="C788" s="7">
        <f>_xlfn.FLOOR.MATH(Table1[[#This Row],[year]],10)</f>
        <v>1980</v>
      </c>
      <c r="D788" t="s">
        <v>23</v>
      </c>
      <c r="E788" t="s">
        <v>48</v>
      </c>
      <c r="F788">
        <v>2</v>
      </c>
      <c r="G788">
        <v>0</v>
      </c>
      <c r="H788" t="s">
        <v>224</v>
      </c>
      <c r="I788" t="s">
        <v>235</v>
      </c>
      <c r="J788" t="s">
        <v>23</v>
      </c>
      <c r="K788" t="b">
        <v>0</v>
      </c>
      <c r="L788">
        <v>1985</v>
      </c>
      <c r="M788">
        <v>86268264148</v>
      </c>
      <c r="N788">
        <v>47155741426</v>
      </c>
      <c r="O788" t="b">
        <v>0</v>
      </c>
      <c r="P788">
        <v>1</v>
      </c>
      <c r="Q788" t="str" cm="1">
        <f t="array" ref="Q788">_xlfn.IFS(Table1[[#This Row],[Wealthier_Winner]]=-1,"Wealthier Nation Loses",Table1[[#This Row],[Wealthier_Winner]]=0,"Tie",Table1[[#This Row],[Wealthier_Winner]]=1,"Wealthier Nation Wins")</f>
        <v>Wealthier Nation Wins</v>
      </c>
    </row>
    <row r="789" spans="1:17" x14ac:dyDescent="0.2">
      <c r="A789" s="1">
        <v>1699</v>
      </c>
      <c r="B789" s="2">
        <v>31133</v>
      </c>
      <c r="C789" s="7">
        <f>_xlfn.FLOOR.MATH(Table1[[#This Row],[year]],10)</f>
        <v>1980</v>
      </c>
      <c r="D789" t="s">
        <v>16</v>
      </c>
      <c r="E789" t="s">
        <v>303</v>
      </c>
      <c r="F789">
        <v>6</v>
      </c>
      <c r="G789">
        <v>0</v>
      </c>
      <c r="H789" t="s">
        <v>224</v>
      </c>
      <c r="I789" t="s">
        <v>408</v>
      </c>
      <c r="J789" t="s">
        <v>16</v>
      </c>
      <c r="K789" t="b">
        <v>0</v>
      </c>
      <c r="L789">
        <v>1985</v>
      </c>
      <c r="M789">
        <v>735218723093</v>
      </c>
      <c r="N789">
        <v>1117797439</v>
      </c>
      <c r="O789" t="b">
        <v>1</v>
      </c>
      <c r="P789">
        <v>1</v>
      </c>
      <c r="Q789" t="str" cm="1">
        <f t="array" ref="Q789">_xlfn.IFS(Table1[[#This Row],[Wealthier_Winner]]=-1,"Wealthier Nation Loses",Table1[[#This Row],[Wealthier_Winner]]=0,"Tie",Table1[[#This Row],[Wealthier_Winner]]=1,"Wealthier Nation Wins")</f>
        <v>Wealthier Nation Wins</v>
      </c>
    </row>
    <row r="790" spans="1:17" x14ac:dyDescent="0.2">
      <c r="A790" s="1">
        <v>1702</v>
      </c>
      <c r="B790" s="2">
        <v>31135</v>
      </c>
      <c r="C790" s="7">
        <f>_xlfn.FLOOR.MATH(Table1[[#This Row],[year]],10)</f>
        <v>1980</v>
      </c>
      <c r="D790" t="s">
        <v>403</v>
      </c>
      <c r="E790" t="s">
        <v>37</v>
      </c>
      <c r="F790">
        <v>2</v>
      </c>
      <c r="G790">
        <v>3</v>
      </c>
      <c r="H790" t="s">
        <v>224</v>
      </c>
      <c r="I790" t="s">
        <v>404</v>
      </c>
      <c r="J790" t="s">
        <v>403</v>
      </c>
      <c r="K790" t="b">
        <v>0</v>
      </c>
      <c r="L790">
        <v>1985</v>
      </c>
      <c r="M790">
        <v>4993601520</v>
      </c>
      <c r="N790">
        <v>48425161290</v>
      </c>
      <c r="O790" t="b">
        <v>1</v>
      </c>
      <c r="P790">
        <v>1</v>
      </c>
      <c r="Q790" t="str" cm="1">
        <f t="array" ref="Q790">_xlfn.IFS(Table1[[#This Row],[Wealthier_Winner]]=-1,"Wealthier Nation Loses",Table1[[#This Row],[Wealthier_Winner]]=0,"Tie",Table1[[#This Row],[Wealthier_Winner]]=1,"Wealthier Nation Wins")</f>
        <v>Wealthier Nation Wins</v>
      </c>
    </row>
    <row r="791" spans="1:17" x14ac:dyDescent="0.2">
      <c r="A791" s="1">
        <v>1703</v>
      </c>
      <c r="B791" s="2">
        <v>31135</v>
      </c>
      <c r="C791" s="7">
        <f>_xlfn.FLOOR.MATH(Table1[[#This Row],[year]],10)</f>
        <v>1980</v>
      </c>
      <c r="D791" t="s">
        <v>334</v>
      </c>
      <c r="E791" t="s">
        <v>328</v>
      </c>
      <c r="F791">
        <v>0</v>
      </c>
      <c r="G791">
        <v>1</v>
      </c>
      <c r="H791" t="s">
        <v>224</v>
      </c>
      <c r="I791" t="s">
        <v>407</v>
      </c>
      <c r="J791" t="s">
        <v>334</v>
      </c>
      <c r="K791" t="b">
        <v>0</v>
      </c>
      <c r="L791">
        <v>1985</v>
      </c>
      <c r="M791">
        <v>38900711332</v>
      </c>
      <c r="N791">
        <v>85289488375</v>
      </c>
      <c r="O791" t="b">
        <v>1</v>
      </c>
      <c r="P791">
        <v>1</v>
      </c>
      <c r="Q791" t="str" cm="1">
        <f t="array" ref="Q791">_xlfn.IFS(Table1[[#This Row],[Wealthier_Winner]]=-1,"Wealthier Nation Loses",Table1[[#This Row],[Wealthier_Winner]]=0,"Tie",Table1[[#This Row],[Wealthier_Winner]]=1,"Wealthier Nation Wins")</f>
        <v>Wealthier Nation Wins</v>
      </c>
    </row>
    <row r="792" spans="1:17" x14ac:dyDescent="0.2">
      <c r="A792" s="1">
        <v>1706</v>
      </c>
      <c r="B792" s="2">
        <v>31136</v>
      </c>
      <c r="C792" s="7">
        <f>_xlfn.FLOOR.MATH(Table1[[#This Row],[year]],10)</f>
        <v>1980</v>
      </c>
      <c r="D792" t="s">
        <v>405</v>
      </c>
      <c r="E792" t="s">
        <v>406</v>
      </c>
      <c r="F792">
        <v>1</v>
      </c>
      <c r="G792">
        <v>2</v>
      </c>
      <c r="H792" t="s">
        <v>224</v>
      </c>
      <c r="I792" t="s">
        <v>409</v>
      </c>
      <c r="J792" t="s">
        <v>405</v>
      </c>
      <c r="K792" t="b">
        <v>0</v>
      </c>
      <c r="L792">
        <v>1985</v>
      </c>
      <c r="M792">
        <v>22278423076</v>
      </c>
      <c r="N792">
        <v>232511554840</v>
      </c>
      <c r="O792" t="b">
        <v>1</v>
      </c>
      <c r="P792">
        <v>1</v>
      </c>
      <c r="Q792" t="str" cm="1">
        <f t="array" ref="Q792">_xlfn.IFS(Table1[[#This Row],[Wealthier_Winner]]=-1,"Wealthier Nation Loses",Table1[[#This Row],[Wealthier_Winner]]=0,"Tie",Table1[[#This Row],[Wealthier_Winner]]=1,"Wealthier Nation Wins")</f>
        <v>Wealthier Nation Wins</v>
      </c>
    </row>
    <row r="793" spans="1:17" x14ac:dyDescent="0.2">
      <c r="A793" s="1">
        <v>1707</v>
      </c>
      <c r="B793" s="2">
        <v>31137</v>
      </c>
      <c r="C793" s="7">
        <f>_xlfn.FLOOR.MATH(Table1[[#This Row],[year]],10)</f>
        <v>1980</v>
      </c>
      <c r="D793" t="s">
        <v>60</v>
      </c>
      <c r="E793" t="s">
        <v>32</v>
      </c>
      <c r="F793">
        <v>0</v>
      </c>
      <c r="G793">
        <v>0</v>
      </c>
      <c r="H793" t="s">
        <v>224</v>
      </c>
      <c r="I793" t="s">
        <v>396</v>
      </c>
      <c r="J793" t="s">
        <v>60</v>
      </c>
      <c r="K793" t="b">
        <v>0</v>
      </c>
      <c r="L793">
        <v>1985</v>
      </c>
      <c r="M793">
        <v>7554065410</v>
      </c>
      <c r="N793">
        <v>57937868670</v>
      </c>
      <c r="O793" t="b">
        <v>1</v>
      </c>
      <c r="P793">
        <v>0</v>
      </c>
      <c r="Q793" t="str" cm="1">
        <f t="array" ref="Q793">_xlfn.IFS(Table1[[#This Row],[Wealthier_Winner]]=-1,"Wealthier Nation Loses",Table1[[#This Row],[Wealthier_Winner]]=0,"Tie",Table1[[#This Row],[Wealthier_Winner]]=1,"Wealthier Nation Wins")</f>
        <v>Tie</v>
      </c>
    </row>
    <row r="794" spans="1:17" x14ac:dyDescent="0.2">
      <c r="A794" s="1">
        <v>1708</v>
      </c>
      <c r="B794" s="2">
        <v>31137</v>
      </c>
      <c r="C794" s="7">
        <f>_xlfn.FLOOR.MATH(Table1[[#This Row],[year]],10)</f>
        <v>1980</v>
      </c>
      <c r="D794" t="s">
        <v>57</v>
      </c>
      <c r="E794" t="s">
        <v>26</v>
      </c>
      <c r="F794">
        <v>0</v>
      </c>
      <c r="G794">
        <v>2</v>
      </c>
      <c r="H794" t="s">
        <v>224</v>
      </c>
      <c r="I794" t="s">
        <v>335</v>
      </c>
      <c r="J794" t="s">
        <v>57</v>
      </c>
      <c r="K794" t="b">
        <v>0</v>
      </c>
      <c r="L794">
        <v>1985</v>
      </c>
      <c r="M794">
        <v>17149088413</v>
      </c>
      <c r="N794">
        <v>4732017873</v>
      </c>
      <c r="O794" t="b">
        <v>1</v>
      </c>
      <c r="P794">
        <v>-1</v>
      </c>
      <c r="Q794" t="str" cm="1">
        <f t="array" ref="Q794">_xlfn.IFS(Table1[[#This Row],[Wealthier_Winner]]=-1,"Wealthier Nation Loses",Table1[[#This Row],[Wealthier_Winner]]=0,"Tie",Table1[[#This Row],[Wealthier_Winner]]=1,"Wealthier Nation Wins")</f>
        <v>Wealthier Nation Loses</v>
      </c>
    </row>
    <row r="795" spans="1:17" x14ac:dyDescent="0.2">
      <c r="A795" s="1">
        <v>1709</v>
      </c>
      <c r="B795" s="2">
        <v>31137</v>
      </c>
      <c r="C795" s="7">
        <f>_xlfn.FLOOR.MATH(Table1[[#This Row],[year]],10)</f>
        <v>1980</v>
      </c>
      <c r="D795" t="s">
        <v>333</v>
      </c>
      <c r="E795" t="s">
        <v>400</v>
      </c>
      <c r="F795">
        <v>5</v>
      </c>
      <c r="G795">
        <v>0</v>
      </c>
      <c r="H795" t="s">
        <v>224</v>
      </c>
      <c r="I795" t="s">
        <v>402</v>
      </c>
      <c r="J795" t="s">
        <v>333</v>
      </c>
      <c r="K795" t="b">
        <v>0</v>
      </c>
      <c r="L795">
        <v>1985</v>
      </c>
      <c r="M795">
        <v>31199633352</v>
      </c>
      <c r="N795">
        <v>2619913955</v>
      </c>
      <c r="O795" t="b">
        <v>1</v>
      </c>
      <c r="P795">
        <v>1</v>
      </c>
      <c r="Q795" t="str" cm="1">
        <f t="array" ref="Q795">_xlfn.IFS(Table1[[#This Row],[Wealthier_Winner]]=-1,"Wealthier Nation Loses",Table1[[#This Row],[Wealthier_Winner]]=0,"Tie",Table1[[#This Row],[Wealthier_Winner]]=1,"Wealthier Nation Wins")</f>
        <v>Wealthier Nation Wins</v>
      </c>
    </row>
    <row r="796" spans="1:17" x14ac:dyDescent="0.2">
      <c r="A796" s="1">
        <v>1710</v>
      </c>
      <c r="B796" s="2">
        <v>31139</v>
      </c>
      <c r="C796" s="7">
        <f>_xlfn.FLOOR.MATH(Table1[[#This Row],[year]],10)</f>
        <v>1980</v>
      </c>
      <c r="D796" t="s">
        <v>405</v>
      </c>
      <c r="E796" t="s">
        <v>328</v>
      </c>
      <c r="F796">
        <v>2</v>
      </c>
      <c r="G796">
        <v>1</v>
      </c>
      <c r="H796" t="s">
        <v>224</v>
      </c>
      <c r="I796" t="s">
        <v>409</v>
      </c>
      <c r="J796" t="s">
        <v>405</v>
      </c>
      <c r="K796" t="b">
        <v>0</v>
      </c>
      <c r="L796">
        <v>1985</v>
      </c>
      <c r="M796">
        <v>22278423076</v>
      </c>
      <c r="N796">
        <v>85289488375</v>
      </c>
      <c r="O796" t="b">
        <v>1</v>
      </c>
      <c r="P796">
        <v>-1</v>
      </c>
      <c r="Q796" t="str" cm="1">
        <f t="array" ref="Q796">_xlfn.IFS(Table1[[#This Row],[Wealthier_Winner]]=-1,"Wealthier Nation Loses",Table1[[#This Row],[Wealthier_Winner]]=0,"Tie",Table1[[#This Row],[Wealthier_Winner]]=1,"Wealthier Nation Wins")</f>
        <v>Wealthier Nation Loses</v>
      </c>
    </row>
    <row r="797" spans="1:17" x14ac:dyDescent="0.2">
      <c r="A797" s="1">
        <v>1711</v>
      </c>
      <c r="B797" s="2">
        <v>31140</v>
      </c>
      <c r="C797" s="7">
        <f>_xlfn.FLOOR.MATH(Table1[[#This Row],[year]],10)</f>
        <v>1980</v>
      </c>
      <c r="D797" t="s">
        <v>30</v>
      </c>
      <c r="E797" t="s">
        <v>351</v>
      </c>
      <c r="F797">
        <v>2</v>
      </c>
      <c r="G797">
        <v>0</v>
      </c>
      <c r="H797" t="s">
        <v>224</v>
      </c>
      <c r="I797" t="s">
        <v>297</v>
      </c>
      <c r="J797" t="s">
        <v>30</v>
      </c>
      <c r="K797" t="b">
        <v>0</v>
      </c>
      <c r="L797">
        <v>1985</v>
      </c>
      <c r="M797">
        <v>21510643750</v>
      </c>
      <c r="N797">
        <v>2430411900</v>
      </c>
      <c r="O797" t="b">
        <v>1</v>
      </c>
      <c r="P797">
        <v>1</v>
      </c>
      <c r="Q797" t="str" cm="1">
        <f t="array" ref="Q797">_xlfn.IFS(Table1[[#This Row],[Wealthier_Winner]]=-1,"Wealthier Nation Loses",Table1[[#This Row],[Wealthier_Winner]]=0,"Tie",Table1[[#This Row],[Wealthier_Winner]]=1,"Wealthier Nation Wins")</f>
        <v>Wealthier Nation Wins</v>
      </c>
    </row>
    <row r="798" spans="1:17" x14ac:dyDescent="0.2">
      <c r="A798" s="1">
        <v>1714</v>
      </c>
      <c r="B798" s="2">
        <v>31142</v>
      </c>
      <c r="C798" s="7">
        <f>_xlfn.FLOOR.MATH(Table1[[#This Row],[year]],10)</f>
        <v>1980</v>
      </c>
      <c r="D798" t="s">
        <v>405</v>
      </c>
      <c r="E798" t="s">
        <v>334</v>
      </c>
      <c r="F798">
        <v>1</v>
      </c>
      <c r="G798">
        <v>0</v>
      </c>
      <c r="H798" t="s">
        <v>224</v>
      </c>
      <c r="I798" t="s">
        <v>409</v>
      </c>
      <c r="J798" t="s">
        <v>405</v>
      </c>
      <c r="K798" t="b">
        <v>0</v>
      </c>
      <c r="L798">
        <v>1985</v>
      </c>
      <c r="M798">
        <v>22278423076</v>
      </c>
      <c r="N798">
        <v>38900711332</v>
      </c>
      <c r="O798" t="b">
        <v>0</v>
      </c>
      <c r="P798">
        <v>-1</v>
      </c>
      <c r="Q798" t="str" cm="1">
        <f t="array" ref="Q798">_xlfn.IFS(Table1[[#This Row],[Wealthier_Winner]]=-1,"Wealthier Nation Loses",Table1[[#This Row],[Wealthier_Winner]]=0,"Tie",Table1[[#This Row],[Wealthier_Winner]]=1,"Wealthier Nation Wins")</f>
        <v>Wealthier Nation Loses</v>
      </c>
    </row>
    <row r="799" spans="1:17" x14ac:dyDescent="0.2">
      <c r="A799" s="1">
        <v>1715</v>
      </c>
      <c r="B799" s="2">
        <v>31142</v>
      </c>
      <c r="C799" s="7">
        <f>_xlfn.FLOOR.MATH(Table1[[#This Row],[year]],10)</f>
        <v>1980</v>
      </c>
      <c r="D799" t="s">
        <v>212</v>
      </c>
      <c r="E799" t="s">
        <v>410</v>
      </c>
      <c r="F799">
        <v>1</v>
      </c>
      <c r="G799">
        <v>0</v>
      </c>
      <c r="H799" t="s">
        <v>224</v>
      </c>
      <c r="I799" t="s">
        <v>322</v>
      </c>
      <c r="J799" t="s">
        <v>212</v>
      </c>
      <c r="K799" t="b">
        <v>0</v>
      </c>
      <c r="L799">
        <v>1985</v>
      </c>
      <c r="M799">
        <v>39053502251</v>
      </c>
      <c r="N799">
        <v>3802557894</v>
      </c>
      <c r="O799" t="b">
        <v>1</v>
      </c>
      <c r="P799">
        <v>1</v>
      </c>
      <c r="Q799" t="str" cm="1">
        <f t="array" ref="Q799">_xlfn.IFS(Table1[[#This Row],[Wealthier_Winner]]=-1,"Wealthier Nation Loses",Table1[[#This Row],[Wealthier_Winner]]=0,"Tie",Table1[[#This Row],[Wealthier_Winner]]=1,"Wealthier Nation Wins")</f>
        <v>Wealthier Nation Wins</v>
      </c>
    </row>
    <row r="800" spans="1:17" x14ac:dyDescent="0.2">
      <c r="A800" s="1">
        <v>1717</v>
      </c>
      <c r="B800" s="2">
        <v>31142</v>
      </c>
      <c r="C800" s="7">
        <f>_xlfn.FLOOR.MATH(Table1[[#This Row],[year]],10)</f>
        <v>1980</v>
      </c>
      <c r="D800" t="s">
        <v>68</v>
      </c>
      <c r="E800" t="s">
        <v>37</v>
      </c>
      <c r="F800">
        <v>3</v>
      </c>
      <c r="G800">
        <v>0</v>
      </c>
      <c r="H800" t="s">
        <v>224</v>
      </c>
      <c r="I800" t="s">
        <v>190</v>
      </c>
      <c r="J800" t="s">
        <v>68</v>
      </c>
      <c r="K800" t="b">
        <v>0</v>
      </c>
      <c r="L800">
        <v>1985</v>
      </c>
      <c r="M800">
        <v>6153296456</v>
      </c>
      <c r="N800">
        <v>48425161290</v>
      </c>
      <c r="O800" t="b">
        <v>1</v>
      </c>
      <c r="P800">
        <v>-1</v>
      </c>
      <c r="Q800" t="str" cm="1">
        <f t="array" ref="Q800">_xlfn.IFS(Table1[[#This Row],[Wealthier_Winner]]=-1,"Wealthier Nation Loses",Table1[[#This Row],[Wealthier_Winner]]=0,"Tie",Table1[[#This Row],[Wealthier_Winner]]=1,"Wealthier Nation Wins")</f>
        <v>Wealthier Nation Loses</v>
      </c>
    </row>
    <row r="801" spans="1:17" x14ac:dyDescent="0.2">
      <c r="A801" s="1">
        <v>1720</v>
      </c>
      <c r="B801" s="2">
        <v>31143</v>
      </c>
      <c r="C801" s="7">
        <f>_xlfn.FLOOR.MATH(Table1[[#This Row],[year]],10)</f>
        <v>1980</v>
      </c>
      <c r="D801" t="s">
        <v>406</v>
      </c>
      <c r="E801" t="s">
        <v>328</v>
      </c>
      <c r="F801">
        <v>1</v>
      </c>
      <c r="G801">
        <v>1</v>
      </c>
      <c r="H801" t="s">
        <v>224</v>
      </c>
      <c r="I801" t="s">
        <v>411</v>
      </c>
      <c r="J801" t="s">
        <v>406</v>
      </c>
      <c r="K801" t="b">
        <v>0</v>
      </c>
      <c r="L801">
        <v>1985</v>
      </c>
      <c r="M801">
        <v>232511554840</v>
      </c>
      <c r="N801">
        <v>85289488375</v>
      </c>
      <c r="O801" t="b">
        <v>1</v>
      </c>
      <c r="P801">
        <v>0</v>
      </c>
      <c r="Q801" t="str" cm="1">
        <f t="array" ref="Q801">_xlfn.IFS(Table1[[#This Row],[Wealthier_Winner]]=-1,"Wealthier Nation Loses",Table1[[#This Row],[Wealthier_Winner]]=0,"Tie",Table1[[#This Row],[Wealthier_Winner]]=1,"Wealthier Nation Wins")</f>
        <v>Tie</v>
      </c>
    </row>
    <row r="802" spans="1:17" x14ac:dyDescent="0.2">
      <c r="A802" s="1">
        <v>1721</v>
      </c>
      <c r="B802" s="2">
        <v>31143</v>
      </c>
      <c r="C802" s="7">
        <f>_xlfn.FLOOR.MATH(Table1[[#This Row],[year]],10)</f>
        <v>1980</v>
      </c>
      <c r="D802" t="s">
        <v>314</v>
      </c>
      <c r="E802" t="s">
        <v>43</v>
      </c>
      <c r="F802">
        <v>0</v>
      </c>
      <c r="G802">
        <v>3</v>
      </c>
      <c r="H802" t="s">
        <v>224</v>
      </c>
      <c r="I802" t="s">
        <v>315</v>
      </c>
      <c r="J802" t="s">
        <v>314</v>
      </c>
      <c r="K802" t="b">
        <v>0</v>
      </c>
      <c r="L802">
        <v>1985</v>
      </c>
      <c r="M802">
        <v>6135034213</v>
      </c>
      <c r="N802">
        <v>73745821158</v>
      </c>
      <c r="O802" t="b">
        <v>1</v>
      </c>
      <c r="P802">
        <v>1</v>
      </c>
      <c r="Q802" t="str" cm="1">
        <f t="array" ref="Q802">_xlfn.IFS(Table1[[#This Row],[Wealthier_Winner]]=-1,"Wealthier Nation Loses",Table1[[#This Row],[Wealthier_Winner]]=0,"Tie",Table1[[#This Row],[Wealthier_Winner]]=1,"Wealthier Nation Wins")</f>
        <v>Wealthier Nation Wins</v>
      </c>
    </row>
    <row r="803" spans="1:17" x14ac:dyDescent="0.2">
      <c r="A803" s="1">
        <v>1722</v>
      </c>
      <c r="B803" s="2">
        <v>31143</v>
      </c>
      <c r="C803" s="7">
        <f>_xlfn.FLOOR.MATH(Table1[[#This Row],[year]],10)</f>
        <v>1980</v>
      </c>
      <c r="D803" t="s">
        <v>195</v>
      </c>
      <c r="E803" t="s">
        <v>400</v>
      </c>
      <c r="F803">
        <v>4</v>
      </c>
      <c r="G803">
        <v>0</v>
      </c>
      <c r="H803" t="s">
        <v>224</v>
      </c>
      <c r="I803" t="s">
        <v>136</v>
      </c>
      <c r="J803" t="s">
        <v>195</v>
      </c>
      <c r="K803" t="b">
        <v>0</v>
      </c>
      <c r="L803">
        <v>1985</v>
      </c>
      <c r="M803">
        <v>103764281280</v>
      </c>
      <c r="N803">
        <v>2619913955</v>
      </c>
      <c r="O803" t="b">
        <v>1</v>
      </c>
      <c r="P803">
        <v>1</v>
      </c>
      <c r="Q803" t="str" cm="1">
        <f t="array" ref="Q803">_xlfn.IFS(Table1[[#This Row],[Wealthier_Winner]]=-1,"Wealthier Nation Loses",Table1[[#This Row],[Wealthier_Winner]]=0,"Tie",Table1[[#This Row],[Wealthier_Winner]]=1,"Wealthier Nation Wins")</f>
        <v>Wealthier Nation Wins</v>
      </c>
    </row>
    <row r="804" spans="1:17" x14ac:dyDescent="0.2">
      <c r="A804" s="1">
        <v>1724</v>
      </c>
      <c r="B804" s="2">
        <v>31144</v>
      </c>
      <c r="C804" s="7">
        <f>_xlfn.FLOOR.MATH(Table1[[#This Row],[year]],10)</f>
        <v>1980</v>
      </c>
      <c r="D804" t="s">
        <v>24</v>
      </c>
      <c r="E804" t="s">
        <v>370</v>
      </c>
      <c r="F804">
        <v>2</v>
      </c>
      <c r="G804">
        <v>0</v>
      </c>
      <c r="H804" t="s">
        <v>224</v>
      </c>
      <c r="I804" t="s">
        <v>319</v>
      </c>
      <c r="J804" t="s">
        <v>24</v>
      </c>
      <c r="K804" t="b">
        <v>0</v>
      </c>
      <c r="L804">
        <v>1985</v>
      </c>
      <c r="M804">
        <v>14991283215</v>
      </c>
      <c r="N804">
        <v>1646442272</v>
      </c>
      <c r="O804" t="b">
        <v>1</v>
      </c>
      <c r="P804">
        <v>1</v>
      </c>
      <c r="Q804" t="str" cm="1">
        <f t="array" ref="Q804">_xlfn.IFS(Table1[[#This Row],[Wealthier_Winner]]=-1,"Wealthier Nation Loses",Table1[[#This Row],[Wealthier_Winner]]=0,"Tie",Table1[[#This Row],[Wealthier_Winner]]=1,"Wealthier Nation Wins")</f>
        <v>Wealthier Nation Wins</v>
      </c>
    </row>
    <row r="805" spans="1:17" x14ac:dyDescent="0.2">
      <c r="A805" s="1">
        <v>1725</v>
      </c>
      <c r="B805" s="2">
        <v>31144</v>
      </c>
      <c r="C805" s="7">
        <f>_xlfn.FLOOR.MATH(Table1[[#This Row],[year]],10)</f>
        <v>1980</v>
      </c>
      <c r="D805" t="s">
        <v>26</v>
      </c>
      <c r="E805" t="s">
        <v>14</v>
      </c>
      <c r="F805">
        <v>2</v>
      </c>
      <c r="G805">
        <v>1</v>
      </c>
      <c r="H805" t="s">
        <v>224</v>
      </c>
      <c r="I805" t="s">
        <v>247</v>
      </c>
      <c r="J805" t="s">
        <v>26</v>
      </c>
      <c r="K805" t="b">
        <v>0</v>
      </c>
      <c r="L805">
        <v>1985</v>
      </c>
      <c r="M805">
        <v>4732017873</v>
      </c>
      <c r="N805">
        <v>17933557359</v>
      </c>
      <c r="O805" t="b">
        <v>1</v>
      </c>
      <c r="P805">
        <v>-1</v>
      </c>
      <c r="Q805" t="str" cm="1">
        <f t="array" ref="Q805">_xlfn.IFS(Table1[[#This Row],[Wealthier_Winner]]=-1,"Wealthier Nation Loses",Table1[[#This Row],[Wealthier_Winner]]=0,"Tie",Table1[[#This Row],[Wealthier_Winner]]=1,"Wealthier Nation Wins")</f>
        <v>Wealthier Nation Loses</v>
      </c>
    </row>
    <row r="806" spans="1:17" x14ac:dyDescent="0.2">
      <c r="A806" s="1">
        <v>1726</v>
      </c>
      <c r="B806" s="2">
        <v>31144</v>
      </c>
      <c r="C806" s="7">
        <f>_xlfn.FLOOR.MATH(Table1[[#This Row],[year]],10)</f>
        <v>1980</v>
      </c>
      <c r="D806" t="s">
        <v>273</v>
      </c>
      <c r="E806" t="s">
        <v>40</v>
      </c>
      <c r="F806">
        <v>4</v>
      </c>
      <c r="G806">
        <v>1</v>
      </c>
      <c r="H806" t="s">
        <v>224</v>
      </c>
      <c r="I806" t="s">
        <v>330</v>
      </c>
      <c r="J806" t="s">
        <v>273</v>
      </c>
      <c r="K806" t="b">
        <v>0</v>
      </c>
      <c r="L806">
        <v>1985</v>
      </c>
      <c r="M806">
        <v>2252454500</v>
      </c>
      <c r="N806">
        <v>8544810497</v>
      </c>
      <c r="O806" t="b">
        <v>1</v>
      </c>
      <c r="P806">
        <v>-1</v>
      </c>
      <c r="Q806" t="str" cm="1">
        <f t="array" ref="Q806">_xlfn.IFS(Table1[[#This Row],[Wealthier_Winner]]=-1,"Wealthier Nation Loses",Table1[[#This Row],[Wealthier_Winner]]=0,"Tie",Table1[[#This Row],[Wealthier_Winner]]=1,"Wealthier Nation Wins")</f>
        <v>Wealthier Nation Loses</v>
      </c>
    </row>
    <row r="807" spans="1:17" x14ac:dyDescent="0.2">
      <c r="A807" s="1">
        <v>1727</v>
      </c>
      <c r="B807" s="2">
        <v>31146</v>
      </c>
      <c r="C807" s="7">
        <f>_xlfn.FLOOR.MATH(Table1[[#This Row],[year]],10)</f>
        <v>1980</v>
      </c>
      <c r="D807" t="s">
        <v>406</v>
      </c>
      <c r="E807" t="s">
        <v>334</v>
      </c>
      <c r="F807">
        <v>1</v>
      </c>
      <c r="G807">
        <v>1</v>
      </c>
      <c r="H807" t="s">
        <v>224</v>
      </c>
      <c r="I807" t="s">
        <v>411</v>
      </c>
      <c r="J807" t="s">
        <v>406</v>
      </c>
      <c r="K807" t="b">
        <v>0</v>
      </c>
      <c r="L807">
        <v>1985</v>
      </c>
      <c r="M807">
        <v>232511554840</v>
      </c>
      <c r="N807">
        <v>38900711332</v>
      </c>
      <c r="O807" t="b">
        <v>1</v>
      </c>
      <c r="P807">
        <v>0</v>
      </c>
      <c r="Q807" t="str" cm="1">
        <f t="array" ref="Q807">_xlfn.IFS(Table1[[#This Row],[Wealthier_Winner]]=-1,"Wealthier Nation Loses",Table1[[#This Row],[Wealthier_Winner]]=0,"Tie",Table1[[#This Row],[Wealthier_Winner]]=1,"Wealthier Nation Wins")</f>
        <v>Tie</v>
      </c>
    </row>
    <row r="808" spans="1:17" x14ac:dyDescent="0.2">
      <c r="A808" s="1">
        <v>1729</v>
      </c>
      <c r="B808" s="2">
        <v>31149</v>
      </c>
      <c r="C808" s="7">
        <f>_xlfn.FLOOR.MATH(Table1[[#This Row],[year]],10)</f>
        <v>1980</v>
      </c>
      <c r="D808" t="s">
        <v>406</v>
      </c>
      <c r="E808" t="s">
        <v>405</v>
      </c>
      <c r="F808">
        <v>2</v>
      </c>
      <c r="G808">
        <v>1</v>
      </c>
      <c r="H808" t="s">
        <v>224</v>
      </c>
      <c r="I808" t="s">
        <v>411</v>
      </c>
      <c r="J808" t="s">
        <v>406</v>
      </c>
      <c r="K808" t="b">
        <v>0</v>
      </c>
      <c r="L808">
        <v>1985</v>
      </c>
      <c r="M808">
        <v>232511554840</v>
      </c>
      <c r="N808">
        <v>22278423076</v>
      </c>
      <c r="O808" t="b">
        <v>1</v>
      </c>
      <c r="P808">
        <v>1</v>
      </c>
      <c r="Q808" t="str" cm="1">
        <f t="array" ref="Q808">_xlfn.IFS(Table1[[#This Row],[Wealthier_Winner]]=-1,"Wealthier Nation Loses",Table1[[#This Row],[Wealthier_Winner]]=0,"Tie",Table1[[#This Row],[Wealthier_Winner]]=1,"Wealthier Nation Wins")</f>
        <v>Wealthier Nation Wins</v>
      </c>
    </row>
    <row r="809" spans="1:17" x14ac:dyDescent="0.2">
      <c r="A809" s="1">
        <v>1730</v>
      </c>
      <c r="B809" s="2">
        <v>31149</v>
      </c>
      <c r="C809" s="7">
        <f>_xlfn.FLOOR.MATH(Table1[[#This Row],[year]],10)</f>
        <v>1980</v>
      </c>
      <c r="D809" t="s">
        <v>71</v>
      </c>
      <c r="E809" t="s">
        <v>331</v>
      </c>
      <c r="F809">
        <v>0</v>
      </c>
      <c r="G809">
        <v>0</v>
      </c>
      <c r="H809" t="s">
        <v>224</v>
      </c>
      <c r="I809" t="s">
        <v>366</v>
      </c>
      <c r="J809" t="s">
        <v>71</v>
      </c>
      <c r="K809" t="b">
        <v>0</v>
      </c>
      <c r="L809">
        <v>1985</v>
      </c>
      <c r="M809">
        <v>21445970613</v>
      </c>
      <c r="N809">
        <v>16403539892</v>
      </c>
      <c r="O809" t="b">
        <v>0</v>
      </c>
      <c r="P809">
        <v>0</v>
      </c>
      <c r="Q809" t="str" cm="1">
        <f t="array" ref="Q809">_xlfn.IFS(Table1[[#This Row],[Wealthier_Winner]]=-1,"Wealthier Nation Loses",Table1[[#This Row],[Wealthier_Winner]]=0,"Tie",Table1[[#This Row],[Wealthier_Winner]]=1,"Wealthier Nation Wins")</f>
        <v>Tie</v>
      </c>
    </row>
    <row r="810" spans="1:17" x14ac:dyDescent="0.2">
      <c r="A810" s="1">
        <v>1731</v>
      </c>
      <c r="B810" s="2">
        <v>31149</v>
      </c>
      <c r="C810" s="7">
        <f>_xlfn.FLOOR.MATH(Table1[[#This Row],[year]],10)</f>
        <v>1980</v>
      </c>
      <c r="D810" t="s">
        <v>68</v>
      </c>
      <c r="E810" t="s">
        <v>403</v>
      </c>
      <c r="F810">
        <v>2</v>
      </c>
      <c r="G810">
        <v>0</v>
      </c>
      <c r="H810" t="s">
        <v>224</v>
      </c>
      <c r="I810" t="s">
        <v>190</v>
      </c>
      <c r="J810" t="s">
        <v>68</v>
      </c>
      <c r="K810" t="b">
        <v>0</v>
      </c>
      <c r="L810">
        <v>1985</v>
      </c>
      <c r="M810">
        <v>6153296456</v>
      </c>
      <c r="N810">
        <v>4993601520</v>
      </c>
      <c r="O810" t="b">
        <v>0</v>
      </c>
      <c r="P810">
        <v>1</v>
      </c>
      <c r="Q810" t="str" cm="1">
        <f t="array" ref="Q810">_xlfn.IFS(Table1[[#This Row],[Wealthier_Winner]]=-1,"Wealthier Nation Loses",Table1[[#This Row],[Wealthier_Winner]]=0,"Tie",Table1[[#This Row],[Wealthier_Winner]]=1,"Wealthier Nation Wins")</f>
        <v>Wealthier Nation Wins</v>
      </c>
    </row>
    <row r="811" spans="1:17" x14ac:dyDescent="0.2">
      <c r="A811" s="1">
        <v>1732</v>
      </c>
      <c r="B811" s="2">
        <v>31149</v>
      </c>
      <c r="C811" s="7">
        <f>_xlfn.FLOOR.MATH(Table1[[#This Row],[year]],10)</f>
        <v>1980</v>
      </c>
      <c r="D811" t="s">
        <v>45</v>
      </c>
      <c r="E811" t="s">
        <v>39</v>
      </c>
      <c r="F811">
        <v>0</v>
      </c>
      <c r="G811">
        <v>0</v>
      </c>
      <c r="H811" t="s">
        <v>224</v>
      </c>
      <c r="I811" t="s">
        <v>356</v>
      </c>
      <c r="J811" t="s">
        <v>45</v>
      </c>
      <c r="K811" t="b">
        <v>0</v>
      </c>
      <c r="L811">
        <v>1985</v>
      </c>
      <c r="M811">
        <v>103897846493</v>
      </c>
      <c r="N811">
        <v>40603650231</v>
      </c>
      <c r="O811" t="b">
        <v>1</v>
      </c>
      <c r="P811">
        <v>0</v>
      </c>
      <c r="Q811" t="str" cm="1">
        <f t="array" ref="Q811">_xlfn.IFS(Table1[[#This Row],[Wealthier_Winner]]=-1,"Wealthier Nation Loses",Table1[[#This Row],[Wealthier_Winner]]=0,"Tie",Table1[[#This Row],[Wealthier_Winner]]=1,"Wealthier Nation Wins")</f>
        <v>Tie</v>
      </c>
    </row>
    <row r="812" spans="1:17" x14ac:dyDescent="0.2">
      <c r="A812" s="1">
        <v>1734</v>
      </c>
      <c r="B812" s="2">
        <v>31154</v>
      </c>
      <c r="C812" s="7">
        <f>_xlfn.FLOOR.MATH(Table1[[#This Row],[year]],10)</f>
        <v>1980</v>
      </c>
      <c r="D812" t="s">
        <v>29</v>
      </c>
      <c r="E812" t="s">
        <v>30</v>
      </c>
      <c r="F812">
        <v>0</v>
      </c>
      <c r="G812">
        <v>3</v>
      </c>
      <c r="H812" t="s">
        <v>224</v>
      </c>
      <c r="I812" t="s">
        <v>270</v>
      </c>
      <c r="J812" t="s">
        <v>29</v>
      </c>
      <c r="K812" t="b">
        <v>0</v>
      </c>
      <c r="L812">
        <v>1985</v>
      </c>
      <c r="M812">
        <v>69114996009</v>
      </c>
      <c r="N812">
        <v>21510643750</v>
      </c>
      <c r="O812" t="b">
        <v>1</v>
      </c>
      <c r="P812">
        <v>-1</v>
      </c>
      <c r="Q812" t="str" cm="1">
        <f t="array" ref="Q812">_xlfn.IFS(Table1[[#This Row],[Wealthier_Winner]]=-1,"Wealthier Nation Loses",Table1[[#This Row],[Wealthier_Winner]]=0,"Tie",Table1[[#This Row],[Wealthier_Winner]]=1,"Wealthier Nation Wins")</f>
        <v>Wealthier Nation Loses</v>
      </c>
    </row>
    <row r="813" spans="1:17" x14ac:dyDescent="0.2">
      <c r="A813" s="1">
        <v>1736</v>
      </c>
      <c r="B813" s="2">
        <v>31156</v>
      </c>
      <c r="C813" s="7">
        <f>_xlfn.FLOOR.MATH(Table1[[#This Row],[year]],10)</f>
        <v>1980</v>
      </c>
      <c r="D813" t="s">
        <v>32</v>
      </c>
      <c r="E813" t="s">
        <v>60</v>
      </c>
      <c r="F813">
        <v>3</v>
      </c>
      <c r="G813">
        <v>2</v>
      </c>
      <c r="H813" t="s">
        <v>224</v>
      </c>
      <c r="I813" t="s">
        <v>279</v>
      </c>
      <c r="J813" t="s">
        <v>32</v>
      </c>
      <c r="K813" t="b">
        <v>0</v>
      </c>
      <c r="L813">
        <v>1985</v>
      </c>
      <c r="M813">
        <v>57937868670</v>
      </c>
      <c r="N813">
        <v>7554065410</v>
      </c>
      <c r="O813" t="b">
        <v>1</v>
      </c>
      <c r="P813">
        <v>1</v>
      </c>
      <c r="Q813" t="str" cm="1">
        <f t="array" ref="Q813">_xlfn.IFS(Table1[[#This Row],[Wealthier_Winner]]=-1,"Wealthier Nation Loses",Table1[[#This Row],[Wealthier_Winner]]=0,"Tie",Table1[[#This Row],[Wealthier_Winner]]=1,"Wealthier Nation Wins")</f>
        <v>Wealthier Nation Wins</v>
      </c>
    </row>
    <row r="814" spans="1:17" x14ac:dyDescent="0.2">
      <c r="A814" s="1">
        <v>1737</v>
      </c>
      <c r="B814" s="2">
        <v>31156</v>
      </c>
      <c r="C814" s="7">
        <f>_xlfn.FLOOR.MATH(Table1[[#This Row],[year]],10)</f>
        <v>1980</v>
      </c>
      <c r="D814" t="s">
        <v>37</v>
      </c>
      <c r="E814" t="s">
        <v>403</v>
      </c>
      <c r="F814">
        <v>2</v>
      </c>
      <c r="G814">
        <v>0</v>
      </c>
      <c r="H814" t="s">
        <v>224</v>
      </c>
      <c r="I814" t="s">
        <v>366</v>
      </c>
      <c r="J814" t="s">
        <v>71</v>
      </c>
      <c r="K814" t="b">
        <v>1</v>
      </c>
      <c r="L814">
        <v>1985</v>
      </c>
      <c r="M814">
        <v>48425161290</v>
      </c>
      <c r="N814">
        <v>4993601520</v>
      </c>
      <c r="O814" t="b">
        <v>1</v>
      </c>
      <c r="P814">
        <v>1</v>
      </c>
      <c r="Q814" t="str" cm="1">
        <f t="array" ref="Q814">_xlfn.IFS(Table1[[#This Row],[Wealthier_Winner]]=-1,"Wealthier Nation Loses",Table1[[#This Row],[Wealthier_Winner]]=0,"Tie",Table1[[#This Row],[Wealthier_Winner]]=1,"Wealthier Nation Wins")</f>
        <v>Wealthier Nation Wins</v>
      </c>
    </row>
    <row r="815" spans="1:17" x14ac:dyDescent="0.2">
      <c r="A815" s="1">
        <v>1739</v>
      </c>
      <c r="B815" s="2">
        <v>31156</v>
      </c>
      <c r="C815" s="7">
        <f>_xlfn.FLOOR.MATH(Table1[[#This Row],[year]],10)</f>
        <v>1980</v>
      </c>
      <c r="D815" t="s">
        <v>39</v>
      </c>
      <c r="E815" t="s">
        <v>45</v>
      </c>
      <c r="F815">
        <v>1</v>
      </c>
      <c r="G815">
        <v>0</v>
      </c>
      <c r="H815" t="s">
        <v>224</v>
      </c>
      <c r="I815" t="s">
        <v>412</v>
      </c>
      <c r="J815" t="s">
        <v>39</v>
      </c>
      <c r="K815" t="b">
        <v>0</v>
      </c>
      <c r="L815">
        <v>1985</v>
      </c>
      <c r="M815">
        <v>40603650231</v>
      </c>
      <c r="N815">
        <v>103897846493</v>
      </c>
      <c r="O815" t="b">
        <v>1</v>
      </c>
      <c r="P815">
        <v>-1</v>
      </c>
      <c r="Q815" t="str" cm="1">
        <f t="array" ref="Q815">_xlfn.IFS(Table1[[#This Row],[Wealthier_Winner]]=-1,"Wealthier Nation Loses",Table1[[#This Row],[Wealthier_Winner]]=0,"Tie",Table1[[#This Row],[Wealthier_Winner]]=1,"Wealthier Nation Wins")</f>
        <v>Wealthier Nation Loses</v>
      </c>
    </row>
    <row r="816" spans="1:17" x14ac:dyDescent="0.2">
      <c r="A816" s="1">
        <v>1740</v>
      </c>
      <c r="B816" s="2">
        <v>31157</v>
      </c>
      <c r="C816" s="7">
        <f>_xlfn.FLOOR.MATH(Table1[[#This Row],[year]],10)</f>
        <v>1980</v>
      </c>
      <c r="D816" t="s">
        <v>43</v>
      </c>
      <c r="E816" t="s">
        <v>314</v>
      </c>
      <c r="F816">
        <v>3</v>
      </c>
      <c r="G816">
        <v>1</v>
      </c>
      <c r="H816" t="s">
        <v>224</v>
      </c>
      <c r="I816" t="s">
        <v>229</v>
      </c>
      <c r="J816" t="s">
        <v>43</v>
      </c>
      <c r="K816" t="b">
        <v>0</v>
      </c>
      <c r="L816">
        <v>1985</v>
      </c>
      <c r="M816">
        <v>73745821158</v>
      </c>
      <c r="N816">
        <v>6135034213</v>
      </c>
      <c r="O816" t="b">
        <v>1</v>
      </c>
      <c r="P816">
        <v>1</v>
      </c>
      <c r="Q816" t="str" cm="1">
        <f t="array" ref="Q816">_xlfn.IFS(Table1[[#This Row],[Wealthier_Winner]]=-1,"Wealthier Nation Loses",Table1[[#This Row],[Wealthier_Winner]]=0,"Tie",Table1[[#This Row],[Wealthier_Winner]]=1,"Wealthier Nation Wins")</f>
        <v>Wealthier Nation Wins</v>
      </c>
    </row>
    <row r="817" spans="1:17" x14ac:dyDescent="0.2">
      <c r="A817" s="1">
        <v>1741</v>
      </c>
      <c r="B817" s="2">
        <v>31158</v>
      </c>
      <c r="C817" s="7">
        <f>_xlfn.FLOOR.MATH(Table1[[#This Row],[year]],10)</f>
        <v>1980</v>
      </c>
      <c r="D817" t="s">
        <v>40</v>
      </c>
      <c r="E817" t="s">
        <v>273</v>
      </c>
      <c r="F817">
        <v>1</v>
      </c>
      <c r="G817">
        <v>1</v>
      </c>
      <c r="H817" t="s">
        <v>224</v>
      </c>
      <c r="I817" t="s">
        <v>371</v>
      </c>
      <c r="J817" t="s">
        <v>40</v>
      </c>
      <c r="K817" t="b">
        <v>0</v>
      </c>
      <c r="L817">
        <v>1985</v>
      </c>
      <c r="M817">
        <v>8544810497</v>
      </c>
      <c r="N817">
        <v>2252454500</v>
      </c>
      <c r="O817" t="b">
        <v>1</v>
      </c>
      <c r="P817">
        <v>0</v>
      </c>
      <c r="Q817" t="str" cm="1">
        <f t="array" ref="Q817">_xlfn.IFS(Table1[[#This Row],[Wealthier_Winner]]=-1,"Wealthier Nation Loses",Table1[[#This Row],[Wealthier_Winner]]=0,"Tie",Table1[[#This Row],[Wealthier_Winner]]=1,"Wealthier Nation Wins")</f>
        <v>Tie</v>
      </c>
    </row>
    <row r="818" spans="1:17" x14ac:dyDescent="0.2">
      <c r="A818" s="1">
        <v>1743</v>
      </c>
      <c r="B818" s="2">
        <v>31158</v>
      </c>
      <c r="C818" s="7">
        <f>_xlfn.FLOOR.MATH(Table1[[#This Row],[year]],10)</f>
        <v>1980</v>
      </c>
      <c r="D818" t="s">
        <v>410</v>
      </c>
      <c r="E818" t="s">
        <v>212</v>
      </c>
      <c r="F818">
        <v>1</v>
      </c>
      <c r="G818">
        <v>0</v>
      </c>
      <c r="H818" t="s">
        <v>224</v>
      </c>
      <c r="I818" t="s">
        <v>413</v>
      </c>
      <c r="J818" t="s">
        <v>410</v>
      </c>
      <c r="K818" t="b">
        <v>0</v>
      </c>
      <c r="L818">
        <v>1985</v>
      </c>
      <c r="M818">
        <v>3802557894</v>
      </c>
      <c r="N818">
        <v>39053502251</v>
      </c>
      <c r="O818" t="b">
        <v>1</v>
      </c>
      <c r="P818">
        <v>-1</v>
      </c>
      <c r="Q818" t="str" cm="1">
        <f t="array" ref="Q818">_xlfn.IFS(Table1[[#This Row],[Wealthier_Winner]]=-1,"Wealthier Nation Loses",Table1[[#This Row],[Wealthier_Winner]]=0,"Tie",Table1[[#This Row],[Wealthier_Winner]]=1,"Wealthier Nation Wins")</f>
        <v>Wealthier Nation Loses</v>
      </c>
    </row>
    <row r="819" spans="1:17" x14ac:dyDescent="0.2">
      <c r="A819" s="1">
        <v>1744</v>
      </c>
      <c r="B819" s="2">
        <v>31158</v>
      </c>
      <c r="C819" s="7">
        <f>_xlfn.FLOOR.MATH(Table1[[#This Row],[year]],10)</f>
        <v>1980</v>
      </c>
      <c r="D819" t="s">
        <v>370</v>
      </c>
      <c r="E819" t="s">
        <v>24</v>
      </c>
      <c r="F819">
        <v>0</v>
      </c>
      <c r="G819">
        <v>0</v>
      </c>
      <c r="H819" t="s">
        <v>224</v>
      </c>
      <c r="I819" t="s">
        <v>372</v>
      </c>
      <c r="J819" t="s">
        <v>370</v>
      </c>
      <c r="K819" t="b">
        <v>0</v>
      </c>
      <c r="L819">
        <v>1985</v>
      </c>
      <c r="M819">
        <v>1646442272</v>
      </c>
      <c r="N819">
        <v>14991283215</v>
      </c>
      <c r="O819" t="b">
        <v>1</v>
      </c>
      <c r="P819">
        <v>0</v>
      </c>
      <c r="Q819" t="str" cm="1">
        <f t="array" ref="Q819">_xlfn.IFS(Table1[[#This Row],[Wealthier_Winner]]=-1,"Wealthier Nation Loses",Table1[[#This Row],[Wealthier_Winner]]=0,"Tie",Table1[[#This Row],[Wealthier_Winner]]=1,"Wealthier Nation Wins")</f>
        <v>Tie</v>
      </c>
    </row>
    <row r="820" spans="1:17" x14ac:dyDescent="0.2">
      <c r="A820" s="1">
        <v>1754</v>
      </c>
      <c r="B820" s="2">
        <v>31168</v>
      </c>
      <c r="C820" s="7">
        <f>_xlfn.FLOOR.MATH(Table1[[#This Row],[year]],10)</f>
        <v>1980</v>
      </c>
      <c r="D820" t="s">
        <v>27</v>
      </c>
      <c r="E820" t="s">
        <v>29</v>
      </c>
      <c r="F820">
        <v>1</v>
      </c>
      <c r="G820">
        <v>1</v>
      </c>
      <c r="H820" t="s">
        <v>224</v>
      </c>
      <c r="I820" t="s">
        <v>265</v>
      </c>
      <c r="J820" t="s">
        <v>27</v>
      </c>
      <c r="K820" t="b">
        <v>0</v>
      </c>
      <c r="L820">
        <v>1985</v>
      </c>
      <c r="M820">
        <v>144057523221</v>
      </c>
      <c r="N820">
        <v>69114996009</v>
      </c>
      <c r="O820" t="b">
        <v>1</v>
      </c>
      <c r="P820">
        <v>0</v>
      </c>
      <c r="Q820" t="str" cm="1">
        <f t="array" ref="Q820">_xlfn.IFS(Table1[[#This Row],[Wealthier_Winner]]=-1,"Wealthier Nation Loses",Table1[[#This Row],[Wealthier_Winner]]=0,"Tie",Table1[[#This Row],[Wealthier_Winner]]=1,"Wealthier Nation Wins")</f>
        <v>Tie</v>
      </c>
    </row>
    <row r="821" spans="1:17" x14ac:dyDescent="0.2">
      <c r="A821" s="1">
        <v>1757</v>
      </c>
      <c r="B821" s="2">
        <v>31169</v>
      </c>
      <c r="C821" s="7">
        <f>_xlfn.FLOOR.MATH(Table1[[#This Row],[year]],10)</f>
        <v>1980</v>
      </c>
      <c r="D821" t="s">
        <v>33</v>
      </c>
      <c r="E821" t="s">
        <v>20</v>
      </c>
      <c r="F821">
        <v>2</v>
      </c>
      <c r="G821">
        <v>0</v>
      </c>
      <c r="H821" t="s">
        <v>224</v>
      </c>
      <c r="I821" t="s">
        <v>375</v>
      </c>
      <c r="J821" t="s">
        <v>33</v>
      </c>
      <c r="K821" t="b">
        <v>0</v>
      </c>
      <c r="L821">
        <v>1985</v>
      </c>
      <c r="M821">
        <v>17155421052</v>
      </c>
      <c r="N821">
        <v>547220981165</v>
      </c>
      <c r="O821" t="b">
        <v>1</v>
      </c>
      <c r="P821">
        <v>-1</v>
      </c>
      <c r="Q821" t="str" cm="1">
        <f t="array" ref="Q821">_xlfn.IFS(Table1[[#This Row],[Wealthier_Winner]]=-1,"Wealthier Nation Loses",Table1[[#This Row],[Wealthier_Winner]]=0,"Tie",Table1[[#This Row],[Wealthier_Winner]]=1,"Wealthier Nation Wins")</f>
        <v>Wealthier Nation Loses</v>
      </c>
    </row>
    <row r="822" spans="1:17" x14ac:dyDescent="0.2">
      <c r="A822" s="1">
        <v>1760</v>
      </c>
      <c r="B822" s="2">
        <v>31172</v>
      </c>
      <c r="C822" s="7">
        <f>_xlfn.FLOOR.MATH(Table1[[#This Row],[year]],10)</f>
        <v>1980</v>
      </c>
      <c r="D822" t="s">
        <v>37</v>
      </c>
      <c r="E822" t="s">
        <v>68</v>
      </c>
      <c r="F822">
        <v>2</v>
      </c>
      <c r="G822">
        <v>1</v>
      </c>
      <c r="H822" t="s">
        <v>224</v>
      </c>
      <c r="I822" t="s">
        <v>411</v>
      </c>
      <c r="J822" t="s">
        <v>406</v>
      </c>
      <c r="K822" t="b">
        <v>1</v>
      </c>
      <c r="L822">
        <v>1985</v>
      </c>
      <c r="M822">
        <v>48425161290</v>
      </c>
      <c r="N822">
        <v>6153296456</v>
      </c>
      <c r="O822" t="b">
        <v>1</v>
      </c>
      <c r="P822">
        <v>1</v>
      </c>
      <c r="Q822" t="str" cm="1">
        <f t="array" ref="Q822">_xlfn.IFS(Table1[[#This Row],[Wealthier_Winner]]=-1,"Wealthier Nation Loses",Table1[[#This Row],[Wealthier_Winner]]=0,"Tie",Table1[[#This Row],[Wealthier_Winner]]=1,"Wealthier Nation Wins")</f>
        <v>Wealthier Nation Wins</v>
      </c>
    </row>
    <row r="823" spans="1:17" x14ac:dyDescent="0.2">
      <c r="A823" s="1">
        <v>1761</v>
      </c>
      <c r="B823" s="2">
        <v>31174</v>
      </c>
      <c r="C823" s="7">
        <f>_xlfn.FLOOR.MATH(Table1[[#This Row],[year]],10)</f>
        <v>1980</v>
      </c>
      <c r="D823" t="s">
        <v>29</v>
      </c>
      <c r="E823" t="s">
        <v>351</v>
      </c>
      <c r="F823">
        <v>4</v>
      </c>
      <c r="G823">
        <v>0</v>
      </c>
      <c r="H823" t="s">
        <v>224</v>
      </c>
      <c r="I823" t="s">
        <v>414</v>
      </c>
      <c r="J823" t="s">
        <v>29</v>
      </c>
      <c r="K823" t="b">
        <v>0</v>
      </c>
      <c r="L823">
        <v>1985</v>
      </c>
      <c r="M823">
        <v>69114996009</v>
      </c>
      <c r="N823">
        <v>2430411900</v>
      </c>
      <c r="O823" t="b">
        <v>1</v>
      </c>
      <c r="P823">
        <v>1</v>
      </c>
      <c r="Q823" t="str" cm="1">
        <f t="array" ref="Q823">_xlfn.IFS(Table1[[#This Row],[Wealthier_Winner]]=-1,"Wealthier Nation Loses",Table1[[#This Row],[Wealthier_Winner]]=0,"Tie",Table1[[#This Row],[Wealthier_Winner]]=1,"Wealthier Nation Wins")</f>
        <v>Wealthier Nation Wins</v>
      </c>
    </row>
    <row r="824" spans="1:17" x14ac:dyDescent="0.2">
      <c r="A824" s="1">
        <v>1763</v>
      </c>
      <c r="B824" s="2">
        <v>31181</v>
      </c>
      <c r="C824" s="7">
        <f>_xlfn.FLOOR.MATH(Table1[[#This Row],[year]],10)</f>
        <v>1980</v>
      </c>
      <c r="D824" t="s">
        <v>30</v>
      </c>
      <c r="E824" t="s">
        <v>27</v>
      </c>
      <c r="F824">
        <v>0</v>
      </c>
      <c r="G824">
        <v>1</v>
      </c>
      <c r="H824" t="s">
        <v>224</v>
      </c>
      <c r="I824" t="s">
        <v>297</v>
      </c>
      <c r="J824" t="s">
        <v>30</v>
      </c>
      <c r="K824" t="b">
        <v>0</v>
      </c>
      <c r="L824">
        <v>1985</v>
      </c>
      <c r="M824">
        <v>21510643750</v>
      </c>
      <c r="N824">
        <v>144057523221</v>
      </c>
      <c r="O824" t="b">
        <v>1</v>
      </c>
      <c r="P824">
        <v>1</v>
      </c>
      <c r="Q824" t="str" cm="1">
        <f t="array" ref="Q824">_xlfn.IFS(Table1[[#This Row],[Wealthier_Winner]]=-1,"Wealthier Nation Loses",Table1[[#This Row],[Wealthier_Winner]]=0,"Tie",Table1[[#This Row],[Wealthier_Winner]]=1,"Wealthier Nation Wins")</f>
        <v>Wealthier Nation Wins</v>
      </c>
    </row>
    <row r="825" spans="1:17" x14ac:dyDescent="0.2">
      <c r="A825" s="1">
        <v>1765</v>
      </c>
      <c r="B825" s="2">
        <v>31185</v>
      </c>
      <c r="C825" s="7">
        <f>_xlfn.FLOOR.MATH(Table1[[#This Row],[year]],10)</f>
        <v>1980</v>
      </c>
      <c r="D825" t="s">
        <v>51</v>
      </c>
      <c r="E825" t="s">
        <v>359</v>
      </c>
      <c r="F825">
        <v>5</v>
      </c>
      <c r="G825">
        <v>0</v>
      </c>
      <c r="H825" t="s">
        <v>224</v>
      </c>
      <c r="I825" t="s">
        <v>245</v>
      </c>
      <c r="J825" t="s">
        <v>51</v>
      </c>
      <c r="K825" t="b">
        <v>0</v>
      </c>
      <c r="L825">
        <v>1985</v>
      </c>
      <c r="M825">
        <v>1427019759717</v>
      </c>
      <c r="N825">
        <v>19156532745</v>
      </c>
      <c r="O825" t="b">
        <v>1</v>
      </c>
      <c r="P825">
        <v>1</v>
      </c>
      <c r="Q825" t="str" cm="1">
        <f t="array" ref="Q825">_xlfn.IFS(Table1[[#This Row],[Wealthier_Winner]]=-1,"Wealthier Nation Loses",Table1[[#This Row],[Wealthier_Winner]]=0,"Tie",Table1[[#This Row],[Wealthier_Winner]]=1,"Wealthier Nation Wins")</f>
        <v>Wealthier Nation Wins</v>
      </c>
    </row>
    <row r="826" spans="1:17" x14ac:dyDescent="0.2">
      <c r="A826" s="1">
        <v>1768</v>
      </c>
      <c r="B826" s="2">
        <v>31186</v>
      </c>
      <c r="C826" s="7">
        <f>_xlfn.FLOOR.MATH(Table1[[#This Row],[year]],10)</f>
        <v>1980</v>
      </c>
      <c r="D826" t="s">
        <v>195</v>
      </c>
      <c r="E826" t="s">
        <v>333</v>
      </c>
      <c r="F826">
        <v>2</v>
      </c>
      <c r="G826">
        <v>0</v>
      </c>
      <c r="H826" t="s">
        <v>224</v>
      </c>
      <c r="I826" t="s">
        <v>136</v>
      </c>
      <c r="J826" t="s">
        <v>195</v>
      </c>
      <c r="K826" t="b">
        <v>0</v>
      </c>
      <c r="L826">
        <v>1985</v>
      </c>
      <c r="M826">
        <v>103764281280</v>
      </c>
      <c r="N826">
        <v>31199633352</v>
      </c>
      <c r="O826" t="b">
        <v>1</v>
      </c>
      <c r="P826">
        <v>1</v>
      </c>
      <c r="Q826" t="str" cm="1">
        <f t="array" ref="Q826">_xlfn.IFS(Table1[[#This Row],[Wealthier_Winner]]=-1,"Wealthier Nation Loses",Table1[[#This Row],[Wealthier_Winner]]=0,"Tie",Table1[[#This Row],[Wealthier_Winner]]=1,"Wealthier Nation Wins")</f>
        <v>Wealthier Nation Wins</v>
      </c>
    </row>
    <row r="827" spans="1:17" x14ac:dyDescent="0.2">
      <c r="A827" s="1">
        <v>1769</v>
      </c>
      <c r="B827" s="2">
        <v>31189</v>
      </c>
      <c r="C827" s="7">
        <f>_xlfn.FLOOR.MATH(Table1[[#This Row],[year]],10)</f>
        <v>1980</v>
      </c>
      <c r="D827" t="s">
        <v>230</v>
      </c>
      <c r="E827" t="s">
        <v>194</v>
      </c>
      <c r="F827">
        <v>1</v>
      </c>
      <c r="G827">
        <v>1</v>
      </c>
      <c r="H827" t="s">
        <v>224</v>
      </c>
      <c r="I827" t="s">
        <v>231</v>
      </c>
      <c r="J827" t="s">
        <v>230</v>
      </c>
      <c r="K827" t="b">
        <v>0</v>
      </c>
      <c r="L827">
        <v>1985</v>
      </c>
      <c r="M827">
        <v>55856676899</v>
      </c>
      <c r="N827">
        <v>489285164271</v>
      </c>
      <c r="O827" t="b">
        <v>1</v>
      </c>
      <c r="P827">
        <v>0</v>
      </c>
      <c r="Q827" t="str" cm="1">
        <f t="array" ref="Q827">_xlfn.IFS(Table1[[#This Row],[Wealthier_Winner]]=-1,"Wealthier Nation Loses",Table1[[#This Row],[Wealthier_Winner]]=0,"Tie",Table1[[#This Row],[Wealthier_Winner]]=1,"Wealthier Nation Wins")</f>
        <v>Tie</v>
      </c>
    </row>
    <row r="828" spans="1:17" x14ac:dyDescent="0.2">
      <c r="A828" s="1">
        <v>1771</v>
      </c>
      <c r="B828" s="2">
        <v>31193</v>
      </c>
      <c r="C828" s="7">
        <f>_xlfn.FLOOR.MATH(Table1[[#This Row],[year]],10)</f>
        <v>1980</v>
      </c>
      <c r="D828" t="s">
        <v>47</v>
      </c>
      <c r="E828" t="s">
        <v>35</v>
      </c>
      <c r="F828">
        <v>1</v>
      </c>
      <c r="G828">
        <v>1</v>
      </c>
      <c r="H828" t="s">
        <v>224</v>
      </c>
      <c r="I828" t="s">
        <v>415</v>
      </c>
      <c r="J828" t="s">
        <v>47</v>
      </c>
      <c r="K828" t="b">
        <v>0</v>
      </c>
      <c r="L828">
        <v>1985</v>
      </c>
      <c r="M828">
        <v>5377276554</v>
      </c>
      <c r="N828">
        <v>3282449235</v>
      </c>
      <c r="O828" t="b">
        <v>0</v>
      </c>
      <c r="P828">
        <v>0</v>
      </c>
      <c r="Q828" t="str" cm="1">
        <f t="array" ref="Q828">_xlfn.IFS(Table1[[#This Row],[Wealthier_Winner]]=-1,"Wealthier Nation Loses",Table1[[#This Row],[Wealthier_Winner]]=0,"Tie",Table1[[#This Row],[Wealthier_Winner]]=1,"Wealthier Nation Wins")</f>
        <v>Tie</v>
      </c>
    </row>
    <row r="829" spans="1:17" x14ac:dyDescent="0.2">
      <c r="A829" s="1">
        <v>1772</v>
      </c>
      <c r="B829" s="2">
        <v>31193</v>
      </c>
      <c r="C829" s="7">
        <f>_xlfn.FLOOR.MATH(Table1[[#This Row],[year]],10)</f>
        <v>1980</v>
      </c>
      <c r="D829" t="s">
        <v>15</v>
      </c>
      <c r="E829" t="s">
        <v>31</v>
      </c>
      <c r="F829">
        <v>1</v>
      </c>
      <c r="G829">
        <v>0</v>
      </c>
      <c r="H829" t="s">
        <v>224</v>
      </c>
      <c r="I829" t="s">
        <v>241</v>
      </c>
      <c r="J829" t="s">
        <v>15</v>
      </c>
      <c r="K829" t="b">
        <v>0</v>
      </c>
      <c r="L829">
        <v>1985</v>
      </c>
      <c r="M829">
        <v>34894411351</v>
      </c>
      <c r="N829">
        <v>15078736875</v>
      </c>
      <c r="O829" t="b">
        <v>1</v>
      </c>
      <c r="P829">
        <v>1</v>
      </c>
      <c r="Q829" t="str" cm="1">
        <f t="array" ref="Q829">_xlfn.IFS(Table1[[#This Row],[Wealthier_Winner]]=-1,"Wealthier Nation Loses",Table1[[#This Row],[Wealthier_Winner]]=0,"Tie",Table1[[#This Row],[Wealthier_Winner]]=1,"Wealthier Nation Wins")</f>
        <v>Wealthier Nation Wins</v>
      </c>
    </row>
    <row r="830" spans="1:17" x14ac:dyDescent="0.2">
      <c r="A830" s="1">
        <v>1773</v>
      </c>
      <c r="B830" s="2">
        <v>31193</v>
      </c>
      <c r="C830" s="7">
        <f>_xlfn.FLOOR.MATH(Table1[[#This Row],[year]],10)</f>
        <v>1980</v>
      </c>
      <c r="D830" t="s">
        <v>258</v>
      </c>
      <c r="E830" t="s">
        <v>19</v>
      </c>
      <c r="F830">
        <v>2</v>
      </c>
      <c r="G830">
        <v>3</v>
      </c>
      <c r="H830" t="s">
        <v>224</v>
      </c>
      <c r="I830" t="s">
        <v>416</v>
      </c>
      <c r="J830" t="s">
        <v>258</v>
      </c>
      <c r="K830" t="b">
        <v>0</v>
      </c>
      <c r="L830">
        <v>1985</v>
      </c>
      <c r="M830">
        <v>61965466666</v>
      </c>
      <c r="N830">
        <v>88150891728</v>
      </c>
      <c r="O830" t="b">
        <v>0</v>
      </c>
      <c r="P830">
        <v>1</v>
      </c>
      <c r="Q830" t="str" cm="1">
        <f t="array" ref="Q830">_xlfn.IFS(Table1[[#This Row],[Wealthier_Winner]]=-1,"Wealthier Nation Loses",Table1[[#This Row],[Wealthier_Winner]]=0,"Tie",Table1[[#This Row],[Wealthier_Winner]]=1,"Wealthier Nation Wins")</f>
        <v>Wealthier Nation Wins</v>
      </c>
    </row>
    <row r="831" spans="1:17" x14ac:dyDescent="0.2">
      <c r="A831" s="1">
        <v>1777</v>
      </c>
      <c r="B831" s="2">
        <v>31200</v>
      </c>
      <c r="C831" s="7">
        <f>_xlfn.FLOOR.MATH(Table1[[#This Row],[year]],10)</f>
        <v>1980</v>
      </c>
      <c r="D831" t="s">
        <v>47</v>
      </c>
      <c r="E831" t="s">
        <v>13</v>
      </c>
      <c r="F831">
        <v>0</v>
      </c>
      <c r="G831">
        <v>2</v>
      </c>
      <c r="H831" t="s">
        <v>224</v>
      </c>
      <c r="I831" t="s">
        <v>415</v>
      </c>
      <c r="J831" t="s">
        <v>47</v>
      </c>
      <c r="K831" t="b">
        <v>0</v>
      </c>
      <c r="L831">
        <v>1985</v>
      </c>
      <c r="M831">
        <v>5377276554</v>
      </c>
      <c r="N831">
        <v>210879844638</v>
      </c>
      <c r="O831" t="b">
        <v>1</v>
      </c>
      <c r="P831">
        <v>1</v>
      </c>
      <c r="Q831" t="str" cm="1">
        <f t="array" ref="Q831">_xlfn.IFS(Table1[[#This Row],[Wealthier_Winner]]=-1,"Wealthier Nation Loses",Table1[[#This Row],[Wealthier_Winner]]=0,"Tie",Table1[[#This Row],[Wealthier_Winner]]=1,"Wealthier Nation Wins")</f>
        <v>Wealthier Nation Wins</v>
      </c>
    </row>
    <row r="832" spans="1:17" x14ac:dyDescent="0.2">
      <c r="A832" s="1">
        <v>1778</v>
      </c>
      <c r="B832" s="2">
        <v>31200</v>
      </c>
      <c r="C832" s="7">
        <f>_xlfn.FLOOR.MATH(Table1[[#This Row],[year]],10)</f>
        <v>1980</v>
      </c>
      <c r="D832" t="s">
        <v>15</v>
      </c>
      <c r="E832" t="s">
        <v>19</v>
      </c>
      <c r="F832">
        <v>1</v>
      </c>
      <c r="G832">
        <v>3</v>
      </c>
      <c r="H832" t="s">
        <v>224</v>
      </c>
      <c r="I832" t="s">
        <v>241</v>
      </c>
      <c r="J832" t="s">
        <v>15</v>
      </c>
      <c r="K832" t="b">
        <v>0</v>
      </c>
      <c r="L832">
        <v>1985</v>
      </c>
      <c r="M832">
        <v>34894411351</v>
      </c>
      <c r="N832">
        <v>88150891728</v>
      </c>
      <c r="O832" t="b">
        <v>1</v>
      </c>
      <c r="P832">
        <v>1</v>
      </c>
      <c r="Q832" t="str" cm="1">
        <f t="array" ref="Q832">_xlfn.IFS(Table1[[#This Row],[Wealthier_Winner]]=-1,"Wealthier Nation Loses",Table1[[#This Row],[Wealthier_Winner]]=0,"Tie",Table1[[#This Row],[Wealthier_Winner]]=1,"Wealthier Nation Wins")</f>
        <v>Wealthier Nation Wins</v>
      </c>
    </row>
    <row r="833" spans="1:17" x14ac:dyDescent="0.2">
      <c r="A833" s="1">
        <v>1780</v>
      </c>
      <c r="B833" s="2">
        <v>31200</v>
      </c>
      <c r="C833" s="7">
        <f>_xlfn.FLOOR.MATH(Table1[[#This Row],[year]],10)</f>
        <v>1980</v>
      </c>
      <c r="D833" t="s">
        <v>258</v>
      </c>
      <c r="E833" t="s">
        <v>31</v>
      </c>
      <c r="F833">
        <v>0</v>
      </c>
      <c r="G833">
        <v>1</v>
      </c>
      <c r="H833" t="s">
        <v>224</v>
      </c>
      <c r="I833" t="s">
        <v>416</v>
      </c>
      <c r="J833" t="s">
        <v>258</v>
      </c>
      <c r="K833" t="b">
        <v>0</v>
      </c>
      <c r="L833">
        <v>1985</v>
      </c>
      <c r="M833">
        <v>61965466666</v>
      </c>
      <c r="N833">
        <v>15078736875</v>
      </c>
      <c r="O833" t="b">
        <v>1</v>
      </c>
      <c r="P833">
        <v>-1</v>
      </c>
      <c r="Q833" t="str" cm="1">
        <f t="array" ref="Q833">_xlfn.IFS(Table1[[#This Row],[Wealthier_Winner]]=-1,"Wealthier Nation Loses",Table1[[#This Row],[Wealthier_Winner]]=0,"Tie",Table1[[#This Row],[Wealthier_Winner]]=1,"Wealthier Nation Wins")</f>
        <v>Wealthier Nation Loses</v>
      </c>
    </row>
    <row r="834" spans="1:17" x14ac:dyDescent="0.2">
      <c r="A834" s="1">
        <v>1784</v>
      </c>
      <c r="B834" s="2">
        <v>31207</v>
      </c>
      <c r="C834" s="7">
        <f>_xlfn.FLOOR.MATH(Table1[[#This Row],[year]],10)</f>
        <v>1980</v>
      </c>
      <c r="D834" t="s">
        <v>19</v>
      </c>
      <c r="E834" t="s">
        <v>258</v>
      </c>
      <c r="F834">
        <v>3</v>
      </c>
      <c r="G834">
        <v>0</v>
      </c>
      <c r="H834" t="s">
        <v>224</v>
      </c>
      <c r="I834" t="s">
        <v>93</v>
      </c>
      <c r="J834" t="s">
        <v>19</v>
      </c>
      <c r="K834" t="b">
        <v>0</v>
      </c>
      <c r="L834">
        <v>1985</v>
      </c>
      <c r="M834">
        <v>88150891728</v>
      </c>
      <c r="N834">
        <v>61965466666</v>
      </c>
      <c r="O834" t="b">
        <v>0</v>
      </c>
      <c r="P834">
        <v>1</v>
      </c>
      <c r="Q834" t="str" cm="1">
        <f t="array" ref="Q834">_xlfn.IFS(Table1[[#This Row],[Wealthier_Winner]]=-1,"Wealthier Nation Loses",Table1[[#This Row],[Wealthier_Winner]]=0,"Tie",Table1[[#This Row],[Wealthier_Winner]]=1,"Wealthier Nation Wins")</f>
        <v>Wealthier Nation Wins</v>
      </c>
    </row>
    <row r="835" spans="1:17" x14ac:dyDescent="0.2">
      <c r="A835" s="1">
        <v>1785</v>
      </c>
      <c r="B835" s="2">
        <v>31207</v>
      </c>
      <c r="C835" s="7">
        <f>_xlfn.FLOOR.MATH(Table1[[#This Row],[year]],10)</f>
        <v>1980</v>
      </c>
      <c r="D835" t="s">
        <v>35</v>
      </c>
      <c r="E835" t="s">
        <v>47</v>
      </c>
      <c r="F835">
        <v>3</v>
      </c>
      <c r="G835">
        <v>0</v>
      </c>
      <c r="H835" t="s">
        <v>224</v>
      </c>
      <c r="I835" t="s">
        <v>250</v>
      </c>
      <c r="J835" t="s">
        <v>35</v>
      </c>
      <c r="K835" t="b">
        <v>0</v>
      </c>
      <c r="L835">
        <v>1985</v>
      </c>
      <c r="M835">
        <v>3282449235</v>
      </c>
      <c r="N835">
        <v>5377276554</v>
      </c>
      <c r="O835" t="b">
        <v>0</v>
      </c>
      <c r="P835">
        <v>-1</v>
      </c>
      <c r="Q835" t="str" cm="1">
        <f t="array" ref="Q835">_xlfn.IFS(Table1[[#This Row],[Wealthier_Winner]]=-1,"Wealthier Nation Loses",Table1[[#This Row],[Wealthier_Winner]]=0,"Tie",Table1[[#This Row],[Wealthier_Winner]]=1,"Wealthier Nation Wins")</f>
        <v>Wealthier Nation Loses</v>
      </c>
    </row>
    <row r="836" spans="1:17" x14ac:dyDescent="0.2">
      <c r="A836" s="1">
        <v>1786</v>
      </c>
      <c r="B836" s="2">
        <v>31207</v>
      </c>
      <c r="C836" s="7">
        <f>_xlfn.FLOOR.MATH(Table1[[#This Row],[year]],10)</f>
        <v>1980</v>
      </c>
      <c r="D836" t="s">
        <v>31</v>
      </c>
      <c r="E836" t="s">
        <v>15</v>
      </c>
      <c r="F836">
        <v>0</v>
      </c>
      <c r="G836">
        <v>0</v>
      </c>
      <c r="H836" t="s">
        <v>224</v>
      </c>
      <c r="I836" t="s">
        <v>242</v>
      </c>
      <c r="J836" t="s">
        <v>31</v>
      </c>
      <c r="K836" t="b">
        <v>0</v>
      </c>
      <c r="L836">
        <v>1985</v>
      </c>
      <c r="M836">
        <v>15078736875</v>
      </c>
      <c r="N836">
        <v>34894411351</v>
      </c>
      <c r="O836" t="b">
        <v>1</v>
      </c>
      <c r="P836">
        <v>0</v>
      </c>
      <c r="Q836" t="str" cm="1">
        <f t="array" ref="Q836">_xlfn.IFS(Table1[[#This Row],[Wealthier_Winner]]=-1,"Wealthier Nation Loses",Table1[[#This Row],[Wealthier_Winner]]=0,"Tie",Table1[[#This Row],[Wealthier_Winner]]=1,"Wealthier Nation Wins")</f>
        <v>Tie</v>
      </c>
    </row>
    <row r="837" spans="1:17" x14ac:dyDescent="0.2">
      <c r="A837" s="1">
        <v>1787</v>
      </c>
      <c r="B837" s="2">
        <v>31210</v>
      </c>
      <c r="C837" s="7">
        <f>_xlfn.FLOOR.MATH(Table1[[#This Row],[year]],10)</f>
        <v>1980</v>
      </c>
      <c r="D837" t="s">
        <v>66</v>
      </c>
      <c r="E837" t="s">
        <v>21</v>
      </c>
      <c r="F837">
        <v>1</v>
      </c>
      <c r="G837">
        <v>2</v>
      </c>
      <c r="H837" t="s">
        <v>224</v>
      </c>
      <c r="I837" t="s">
        <v>336</v>
      </c>
      <c r="J837" t="s">
        <v>66</v>
      </c>
      <c r="K837" t="b">
        <v>0</v>
      </c>
      <c r="L837">
        <v>1985</v>
      </c>
      <c r="M837">
        <v>3088359966</v>
      </c>
      <c r="N837">
        <v>180664322896</v>
      </c>
      <c r="O837" t="b">
        <v>1</v>
      </c>
      <c r="P837">
        <v>1</v>
      </c>
      <c r="Q837" t="str" cm="1">
        <f t="array" ref="Q837">_xlfn.IFS(Table1[[#This Row],[Wealthier_Winner]]=-1,"Wealthier Nation Loses",Table1[[#This Row],[Wealthier_Winner]]=0,"Tie",Table1[[#This Row],[Wealthier_Winner]]=1,"Wealthier Nation Wins")</f>
        <v>Wealthier Nation Wins</v>
      </c>
    </row>
    <row r="838" spans="1:17" x14ac:dyDescent="0.2">
      <c r="A838" s="1">
        <v>1788</v>
      </c>
      <c r="B838" s="2">
        <v>31214</v>
      </c>
      <c r="C838" s="7">
        <f>_xlfn.FLOOR.MATH(Table1[[#This Row],[year]],10)</f>
        <v>1980</v>
      </c>
      <c r="D838" t="s">
        <v>19</v>
      </c>
      <c r="E838" t="s">
        <v>15</v>
      </c>
      <c r="F838">
        <v>1</v>
      </c>
      <c r="G838">
        <v>0</v>
      </c>
      <c r="H838" t="s">
        <v>224</v>
      </c>
      <c r="I838" t="s">
        <v>93</v>
      </c>
      <c r="J838" t="s">
        <v>19</v>
      </c>
      <c r="K838" t="b">
        <v>0</v>
      </c>
      <c r="L838">
        <v>1985</v>
      </c>
      <c r="M838">
        <v>88150891728</v>
      </c>
      <c r="N838">
        <v>34894411351</v>
      </c>
      <c r="O838" t="b">
        <v>1</v>
      </c>
      <c r="P838">
        <v>1</v>
      </c>
      <c r="Q838" t="str" cm="1">
        <f t="array" ref="Q838">_xlfn.IFS(Table1[[#This Row],[Wealthier_Winner]]=-1,"Wealthier Nation Loses",Table1[[#This Row],[Wealthier_Winner]]=0,"Tie",Table1[[#This Row],[Wealthier_Winner]]=1,"Wealthier Nation Wins")</f>
        <v>Wealthier Nation Wins</v>
      </c>
    </row>
    <row r="839" spans="1:17" x14ac:dyDescent="0.2">
      <c r="A839" s="1">
        <v>1789</v>
      </c>
      <c r="B839" s="2">
        <v>31214</v>
      </c>
      <c r="C839" s="7">
        <f>_xlfn.FLOOR.MATH(Table1[[#This Row],[year]],10)</f>
        <v>1980</v>
      </c>
      <c r="D839" t="s">
        <v>35</v>
      </c>
      <c r="E839" t="s">
        <v>13</v>
      </c>
      <c r="F839">
        <v>0</v>
      </c>
      <c r="G839">
        <v>2</v>
      </c>
      <c r="H839" t="s">
        <v>224</v>
      </c>
      <c r="I839" t="s">
        <v>250</v>
      </c>
      <c r="J839" t="s">
        <v>35</v>
      </c>
      <c r="K839" t="b">
        <v>0</v>
      </c>
      <c r="L839">
        <v>1985</v>
      </c>
      <c r="M839">
        <v>3282449235</v>
      </c>
      <c r="N839">
        <v>210879844638</v>
      </c>
      <c r="O839" t="b">
        <v>1</v>
      </c>
      <c r="P839">
        <v>1</v>
      </c>
      <c r="Q839" t="str" cm="1">
        <f t="array" ref="Q839">_xlfn.IFS(Table1[[#This Row],[Wealthier_Winner]]=-1,"Wealthier Nation Loses",Table1[[#This Row],[Wealthier_Winner]]=0,"Tie",Table1[[#This Row],[Wealthier_Winner]]=1,"Wealthier Nation Wins")</f>
        <v>Wealthier Nation Wins</v>
      </c>
    </row>
    <row r="840" spans="1:17" x14ac:dyDescent="0.2">
      <c r="A840" s="1">
        <v>1790</v>
      </c>
      <c r="B840" s="2">
        <v>31214</v>
      </c>
      <c r="C840" s="7">
        <f>_xlfn.FLOOR.MATH(Table1[[#This Row],[year]],10)</f>
        <v>1980</v>
      </c>
      <c r="D840" t="s">
        <v>31</v>
      </c>
      <c r="E840" t="s">
        <v>258</v>
      </c>
      <c r="F840">
        <v>4</v>
      </c>
      <c r="G840">
        <v>1</v>
      </c>
      <c r="H840" t="s">
        <v>224</v>
      </c>
      <c r="I840" t="s">
        <v>242</v>
      </c>
      <c r="J840" t="s">
        <v>31</v>
      </c>
      <c r="K840" t="b">
        <v>0</v>
      </c>
      <c r="L840">
        <v>1985</v>
      </c>
      <c r="M840">
        <v>15078736875</v>
      </c>
      <c r="N840">
        <v>61965466666</v>
      </c>
      <c r="O840" t="b">
        <v>1</v>
      </c>
      <c r="P840">
        <v>-1</v>
      </c>
      <c r="Q840" t="str" cm="1">
        <f t="array" ref="Q840">_xlfn.IFS(Table1[[#This Row],[Wealthier_Winner]]=-1,"Wealthier Nation Loses",Table1[[#This Row],[Wealthier_Winner]]=0,"Tie",Table1[[#This Row],[Wealthier_Winner]]=1,"Wealthier Nation Wins")</f>
        <v>Wealthier Nation Loses</v>
      </c>
    </row>
    <row r="841" spans="1:17" x14ac:dyDescent="0.2">
      <c r="A841" s="1">
        <v>1791</v>
      </c>
      <c r="B841" s="2">
        <v>31221</v>
      </c>
      <c r="C841" s="7">
        <f>_xlfn.FLOOR.MATH(Table1[[#This Row],[year]],10)</f>
        <v>1980</v>
      </c>
      <c r="D841" t="s">
        <v>13</v>
      </c>
      <c r="E841" t="s">
        <v>35</v>
      </c>
      <c r="F841">
        <v>1</v>
      </c>
      <c r="G841">
        <v>1</v>
      </c>
      <c r="H841" t="s">
        <v>224</v>
      </c>
      <c r="I841" t="s">
        <v>173</v>
      </c>
      <c r="J841" t="s">
        <v>13</v>
      </c>
      <c r="K841" t="b">
        <v>0</v>
      </c>
      <c r="L841">
        <v>1985</v>
      </c>
      <c r="M841">
        <v>210879844638</v>
      </c>
      <c r="N841">
        <v>3282449235</v>
      </c>
      <c r="O841" t="b">
        <v>1</v>
      </c>
      <c r="P841">
        <v>0</v>
      </c>
      <c r="Q841" t="str" cm="1">
        <f t="array" ref="Q841">_xlfn.IFS(Table1[[#This Row],[Wealthier_Winner]]=-1,"Wealthier Nation Loses",Table1[[#This Row],[Wealthier_Winner]]=0,"Tie",Table1[[#This Row],[Wealthier_Winner]]=1,"Wealthier Nation Wins")</f>
        <v>Tie</v>
      </c>
    </row>
    <row r="842" spans="1:17" x14ac:dyDescent="0.2">
      <c r="A842" s="1">
        <v>1792</v>
      </c>
      <c r="B842" s="2">
        <v>31221</v>
      </c>
      <c r="C842" s="7">
        <f>_xlfn.FLOOR.MATH(Table1[[#This Row],[year]],10)</f>
        <v>1980</v>
      </c>
      <c r="D842" t="s">
        <v>31</v>
      </c>
      <c r="E842" t="s">
        <v>19</v>
      </c>
      <c r="F842">
        <v>1</v>
      </c>
      <c r="G842">
        <v>0</v>
      </c>
      <c r="H842" t="s">
        <v>224</v>
      </c>
      <c r="I842" t="s">
        <v>242</v>
      </c>
      <c r="J842" t="s">
        <v>31</v>
      </c>
      <c r="K842" t="b">
        <v>0</v>
      </c>
      <c r="L842">
        <v>1985</v>
      </c>
      <c r="M842">
        <v>15078736875</v>
      </c>
      <c r="N842">
        <v>88150891728</v>
      </c>
      <c r="O842" t="b">
        <v>1</v>
      </c>
      <c r="P842">
        <v>-1</v>
      </c>
      <c r="Q842" t="str" cm="1">
        <f t="array" ref="Q842">_xlfn.IFS(Table1[[#This Row],[Wealthier_Winner]]=-1,"Wealthier Nation Loses",Table1[[#This Row],[Wealthier_Winner]]=0,"Tie",Table1[[#This Row],[Wealthier_Winner]]=1,"Wealthier Nation Wins")</f>
        <v>Wealthier Nation Loses</v>
      </c>
    </row>
    <row r="843" spans="1:17" x14ac:dyDescent="0.2">
      <c r="A843" s="1">
        <v>1793</v>
      </c>
      <c r="B843" s="2">
        <v>31221</v>
      </c>
      <c r="C843" s="7">
        <f>_xlfn.FLOOR.MATH(Table1[[#This Row],[year]],10)</f>
        <v>1980</v>
      </c>
      <c r="D843" t="s">
        <v>258</v>
      </c>
      <c r="E843" t="s">
        <v>15</v>
      </c>
      <c r="F843">
        <v>2</v>
      </c>
      <c r="G843">
        <v>2</v>
      </c>
      <c r="H843" t="s">
        <v>224</v>
      </c>
      <c r="I843" t="s">
        <v>416</v>
      </c>
      <c r="J843" t="s">
        <v>258</v>
      </c>
      <c r="K843" t="b">
        <v>0</v>
      </c>
      <c r="L843">
        <v>1985</v>
      </c>
      <c r="M843">
        <v>61965466666</v>
      </c>
      <c r="N843">
        <v>34894411351</v>
      </c>
      <c r="O843" t="b">
        <v>0</v>
      </c>
      <c r="P843">
        <v>0</v>
      </c>
      <c r="Q843" t="str" cm="1">
        <f t="array" ref="Q843">_xlfn.IFS(Table1[[#This Row],[Wealthier_Winner]]=-1,"Wealthier Nation Loses",Table1[[#This Row],[Wealthier_Winner]]=0,"Tie",Table1[[#This Row],[Wealthier_Winner]]=1,"Wealthier Nation Wins")</f>
        <v>Tie</v>
      </c>
    </row>
    <row r="844" spans="1:17" x14ac:dyDescent="0.2">
      <c r="A844" s="1">
        <v>1794</v>
      </c>
      <c r="B844" s="2">
        <v>31228</v>
      </c>
      <c r="C844" s="7">
        <f>_xlfn.FLOOR.MATH(Table1[[#This Row],[year]],10)</f>
        <v>1980</v>
      </c>
      <c r="D844" t="s">
        <v>19</v>
      </c>
      <c r="E844" t="s">
        <v>31</v>
      </c>
      <c r="F844">
        <v>2</v>
      </c>
      <c r="G844">
        <v>2</v>
      </c>
      <c r="H844" t="s">
        <v>224</v>
      </c>
      <c r="I844" t="s">
        <v>93</v>
      </c>
      <c r="J844" t="s">
        <v>19</v>
      </c>
      <c r="K844" t="b">
        <v>0</v>
      </c>
      <c r="L844">
        <v>1985</v>
      </c>
      <c r="M844">
        <v>88150891728</v>
      </c>
      <c r="N844">
        <v>15078736875</v>
      </c>
      <c r="O844" t="b">
        <v>1</v>
      </c>
      <c r="P844">
        <v>0</v>
      </c>
      <c r="Q844" t="str" cm="1">
        <f t="array" ref="Q844">_xlfn.IFS(Table1[[#This Row],[Wealthier_Winner]]=-1,"Wealthier Nation Loses",Table1[[#This Row],[Wealthier_Winner]]=0,"Tie",Table1[[#This Row],[Wealthier_Winner]]=1,"Wealthier Nation Wins")</f>
        <v>Tie</v>
      </c>
    </row>
    <row r="845" spans="1:17" x14ac:dyDescent="0.2">
      <c r="A845" s="1">
        <v>1795</v>
      </c>
      <c r="B845" s="2">
        <v>31228</v>
      </c>
      <c r="C845" s="7">
        <f>_xlfn.FLOOR.MATH(Table1[[#This Row],[year]],10)</f>
        <v>1980</v>
      </c>
      <c r="D845" t="s">
        <v>13</v>
      </c>
      <c r="E845" t="s">
        <v>47</v>
      </c>
      <c r="F845">
        <v>1</v>
      </c>
      <c r="G845">
        <v>1</v>
      </c>
      <c r="H845" t="s">
        <v>224</v>
      </c>
      <c r="I845" t="s">
        <v>417</v>
      </c>
      <c r="J845" t="s">
        <v>13</v>
      </c>
      <c r="K845" t="b">
        <v>0</v>
      </c>
      <c r="L845">
        <v>1985</v>
      </c>
      <c r="M845">
        <v>210879844638</v>
      </c>
      <c r="N845">
        <v>5377276554</v>
      </c>
      <c r="O845" t="b">
        <v>1</v>
      </c>
      <c r="P845">
        <v>0</v>
      </c>
      <c r="Q845" t="str" cm="1">
        <f t="array" ref="Q845">_xlfn.IFS(Table1[[#This Row],[Wealthier_Winner]]=-1,"Wealthier Nation Loses",Table1[[#This Row],[Wealthier_Winner]]=0,"Tie",Table1[[#This Row],[Wealthier_Winner]]=1,"Wealthier Nation Wins")</f>
        <v>Tie</v>
      </c>
    </row>
    <row r="846" spans="1:17" x14ac:dyDescent="0.2">
      <c r="A846" s="1">
        <v>1796</v>
      </c>
      <c r="B846" s="2">
        <v>31228</v>
      </c>
      <c r="C846" s="7">
        <f>_xlfn.FLOOR.MATH(Table1[[#This Row],[year]],10)</f>
        <v>1980</v>
      </c>
      <c r="D846" t="s">
        <v>15</v>
      </c>
      <c r="E846" t="s">
        <v>258</v>
      </c>
      <c r="F846">
        <v>2</v>
      </c>
      <c r="G846">
        <v>0</v>
      </c>
      <c r="H846" t="s">
        <v>224</v>
      </c>
      <c r="I846" t="s">
        <v>241</v>
      </c>
      <c r="J846" t="s">
        <v>15</v>
      </c>
      <c r="K846" t="b">
        <v>0</v>
      </c>
      <c r="L846">
        <v>1985</v>
      </c>
      <c r="M846">
        <v>34894411351</v>
      </c>
      <c r="N846">
        <v>61965466666</v>
      </c>
      <c r="O846" t="b">
        <v>0</v>
      </c>
      <c r="P846">
        <v>-1</v>
      </c>
      <c r="Q846" t="str" cm="1">
        <f t="array" ref="Q846">_xlfn.IFS(Table1[[#This Row],[Wealthier_Winner]]=-1,"Wealthier Nation Loses",Table1[[#This Row],[Wealthier_Winner]]=0,"Tie",Table1[[#This Row],[Wealthier_Winner]]=1,"Wealthier Nation Wins")</f>
        <v>Wealthier Nation Loses</v>
      </c>
    </row>
    <row r="847" spans="1:17" x14ac:dyDescent="0.2">
      <c r="A847" s="1">
        <v>1797</v>
      </c>
      <c r="B847" s="2">
        <v>31234</v>
      </c>
      <c r="C847" s="7">
        <f>_xlfn.FLOOR.MATH(Table1[[#This Row],[year]],10)</f>
        <v>1980</v>
      </c>
      <c r="D847" t="s">
        <v>43</v>
      </c>
      <c r="E847" t="s">
        <v>53</v>
      </c>
      <c r="F847">
        <v>1</v>
      </c>
      <c r="G847">
        <v>0</v>
      </c>
      <c r="H847" t="s">
        <v>224</v>
      </c>
      <c r="I847" t="s">
        <v>229</v>
      </c>
      <c r="J847" t="s">
        <v>43</v>
      </c>
      <c r="K847" t="b">
        <v>0</v>
      </c>
      <c r="L847">
        <v>1985</v>
      </c>
      <c r="M847">
        <v>73745821158</v>
      </c>
      <c r="N847">
        <v>8410226052</v>
      </c>
      <c r="O847" t="b">
        <v>1</v>
      </c>
      <c r="P847">
        <v>1</v>
      </c>
      <c r="Q847" t="str" cm="1">
        <f t="array" ref="Q847">_xlfn.IFS(Table1[[#This Row],[Wealthier_Winner]]=-1,"Wealthier Nation Loses",Table1[[#This Row],[Wealthier_Winner]]=0,"Tie",Table1[[#This Row],[Wealthier_Winner]]=1,"Wealthier Nation Wins")</f>
        <v>Wealthier Nation Wins</v>
      </c>
    </row>
    <row r="848" spans="1:17" x14ac:dyDescent="0.2">
      <c r="A848" s="1">
        <v>1798</v>
      </c>
      <c r="B848" s="2">
        <v>31240</v>
      </c>
      <c r="C848" s="7">
        <f>_xlfn.FLOOR.MATH(Table1[[#This Row],[year]],10)</f>
        <v>1980</v>
      </c>
      <c r="D848" t="s">
        <v>212</v>
      </c>
      <c r="E848" t="s">
        <v>24</v>
      </c>
      <c r="F848">
        <v>0</v>
      </c>
      <c r="G848">
        <v>0</v>
      </c>
      <c r="H848" t="s">
        <v>224</v>
      </c>
      <c r="I848" t="s">
        <v>322</v>
      </c>
      <c r="J848" t="s">
        <v>212</v>
      </c>
      <c r="K848" t="b">
        <v>0</v>
      </c>
      <c r="L848">
        <v>1985</v>
      </c>
      <c r="M848">
        <v>39053502251</v>
      </c>
      <c r="N848">
        <v>14991283215</v>
      </c>
      <c r="O848" t="b">
        <v>1</v>
      </c>
      <c r="P848">
        <v>0</v>
      </c>
      <c r="Q848" t="str" cm="1">
        <f t="array" ref="Q848">_xlfn.IFS(Table1[[#This Row],[Wealthier_Winner]]=-1,"Wealthier Nation Loses",Table1[[#This Row],[Wealthier_Winner]]=0,"Tie",Table1[[#This Row],[Wealthier_Winner]]=1,"Wealthier Nation Wins")</f>
        <v>Tie</v>
      </c>
    </row>
    <row r="849" spans="1:17" x14ac:dyDescent="0.2">
      <c r="A849" s="1">
        <v>1799</v>
      </c>
      <c r="B849" s="2">
        <v>31241</v>
      </c>
      <c r="C849" s="7">
        <f>_xlfn.FLOOR.MATH(Table1[[#This Row],[year]],10)</f>
        <v>1980</v>
      </c>
      <c r="D849" t="s">
        <v>32</v>
      </c>
      <c r="E849" t="s">
        <v>273</v>
      </c>
      <c r="F849">
        <v>2</v>
      </c>
      <c r="G849">
        <v>0</v>
      </c>
      <c r="H849" t="s">
        <v>224</v>
      </c>
      <c r="I849" t="s">
        <v>279</v>
      </c>
      <c r="J849" t="s">
        <v>32</v>
      </c>
      <c r="K849" t="b">
        <v>0</v>
      </c>
      <c r="L849">
        <v>1985</v>
      </c>
      <c r="M849">
        <v>57937868670</v>
      </c>
      <c r="N849">
        <v>2252454500</v>
      </c>
      <c r="O849" t="b">
        <v>1</v>
      </c>
      <c r="P849">
        <v>1</v>
      </c>
      <c r="Q849" t="str" cm="1">
        <f t="array" ref="Q849">_xlfn.IFS(Table1[[#This Row],[Wealthier_Winner]]=-1,"Wealthier Nation Loses",Table1[[#This Row],[Wealthier_Winner]]=0,"Tie",Table1[[#This Row],[Wealthier_Winner]]=1,"Wealthier Nation Wins")</f>
        <v>Wealthier Nation Wins</v>
      </c>
    </row>
    <row r="850" spans="1:17" x14ac:dyDescent="0.2">
      <c r="A850" s="1">
        <v>1800</v>
      </c>
      <c r="B850" s="2">
        <v>31242</v>
      </c>
      <c r="C850" s="7">
        <f>_xlfn.FLOOR.MATH(Table1[[#This Row],[year]],10)</f>
        <v>1980</v>
      </c>
      <c r="D850" t="s">
        <v>63</v>
      </c>
      <c r="E850" t="s">
        <v>286</v>
      </c>
      <c r="F850">
        <v>0</v>
      </c>
      <c r="G850">
        <v>0</v>
      </c>
      <c r="H850" t="s">
        <v>224</v>
      </c>
      <c r="I850" t="s">
        <v>226</v>
      </c>
      <c r="J850" t="s">
        <v>63</v>
      </c>
      <c r="K850" t="b">
        <v>0</v>
      </c>
      <c r="L850">
        <v>1985</v>
      </c>
      <c r="M850">
        <v>4504306722</v>
      </c>
      <c r="N850">
        <v>31530566324</v>
      </c>
      <c r="O850" t="b">
        <v>1</v>
      </c>
      <c r="P850">
        <v>0</v>
      </c>
      <c r="Q850" t="str" cm="1">
        <f t="array" ref="Q850">_xlfn.IFS(Table1[[#This Row],[Wealthier_Winner]]=-1,"Wealthier Nation Loses",Table1[[#This Row],[Wealthier_Winner]]=0,"Tie",Table1[[#This Row],[Wealthier_Winner]]=1,"Wealthier Nation Wins")</f>
        <v>Tie</v>
      </c>
    </row>
    <row r="851" spans="1:17" x14ac:dyDescent="0.2">
      <c r="A851" s="1">
        <v>1801</v>
      </c>
      <c r="B851" s="2">
        <v>31248</v>
      </c>
      <c r="C851" s="7">
        <f>_xlfn.FLOOR.MATH(Table1[[#This Row],[year]],10)</f>
        <v>1980</v>
      </c>
      <c r="D851" t="s">
        <v>53</v>
      </c>
      <c r="E851" t="s">
        <v>43</v>
      </c>
      <c r="F851">
        <v>2</v>
      </c>
      <c r="G851">
        <v>0</v>
      </c>
      <c r="H851" t="s">
        <v>224</v>
      </c>
      <c r="I851" t="s">
        <v>284</v>
      </c>
      <c r="J851" t="s">
        <v>53</v>
      </c>
      <c r="K851" t="b">
        <v>0</v>
      </c>
      <c r="L851">
        <v>1985</v>
      </c>
      <c r="M851">
        <v>8410226052</v>
      </c>
      <c r="N851">
        <v>73745821158</v>
      </c>
      <c r="O851" t="b">
        <v>1</v>
      </c>
      <c r="P851">
        <v>-1</v>
      </c>
      <c r="Q851" t="str" cm="1">
        <f t="array" ref="Q851">_xlfn.IFS(Table1[[#This Row],[Wealthier_Winner]]=-1,"Wealthier Nation Loses",Table1[[#This Row],[Wealthier_Winner]]=0,"Tie",Table1[[#This Row],[Wealthier_Winner]]=1,"Wealthier Nation Wins")</f>
        <v>Wealthier Nation Loses</v>
      </c>
    </row>
    <row r="852" spans="1:17" x14ac:dyDescent="0.2">
      <c r="A852" s="1">
        <v>1802</v>
      </c>
      <c r="B852" s="2">
        <v>31249</v>
      </c>
      <c r="C852" s="7">
        <f>_xlfn.FLOOR.MATH(Table1[[#This Row],[year]],10)</f>
        <v>1980</v>
      </c>
      <c r="D852" t="s">
        <v>195</v>
      </c>
      <c r="E852" t="s">
        <v>328</v>
      </c>
      <c r="F852">
        <v>2</v>
      </c>
      <c r="G852">
        <v>0</v>
      </c>
      <c r="H852" t="s">
        <v>224</v>
      </c>
      <c r="I852" t="s">
        <v>136</v>
      </c>
      <c r="J852" t="s">
        <v>195</v>
      </c>
      <c r="K852" t="b">
        <v>0</v>
      </c>
      <c r="L852">
        <v>1985</v>
      </c>
      <c r="M852">
        <v>103764281280</v>
      </c>
      <c r="N852">
        <v>85289488375</v>
      </c>
      <c r="O852" t="b">
        <v>0</v>
      </c>
      <c r="P852">
        <v>1</v>
      </c>
      <c r="Q852" t="str" cm="1">
        <f t="array" ref="Q852">_xlfn.IFS(Table1[[#This Row],[Wealthier_Winner]]=-1,"Wealthier Nation Loses",Table1[[#This Row],[Wealthier_Winner]]=0,"Tie",Table1[[#This Row],[Wealthier_Winner]]=1,"Wealthier Nation Wins")</f>
        <v>Wealthier Nation Wins</v>
      </c>
    </row>
    <row r="853" spans="1:17" x14ac:dyDescent="0.2">
      <c r="A853" s="1">
        <v>1803</v>
      </c>
      <c r="B853" s="2">
        <v>31254</v>
      </c>
      <c r="C853" s="7">
        <f>_xlfn.FLOOR.MATH(Table1[[#This Row],[year]],10)</f>
        <v>1980</v>
      </c>
      <c r="D853" t="s">
        <v>286</v>
      </c>
      <c r="E853" t="s">
        <v>63</v>
      </c>
      <c r="F853">
        <v>2</v>
      </c>
      <c r="G853">
        <v>0</v>
      </c>
      <c r="H853" t="s">
        <v>224</v>
      </c>
      <c r="I853" t="s">
        <v>418</v>
      </c>
      <c r="J853" t="s">
        <v>286</v>
      </c>
      <c r="K853" t="b">
        <v>0</v>
      </c>
      <c r="L853">
        <v>1985</v>
      </c>
      <c r="M853">
        <v>31530566324</v>
      </c>
      <c r="N853">
        <v>4504306722</v>
      </c>
      <c r="O853" t="b">
        <v>1</v>
      </c>
      <c r="P853">
        <v>1</v>
      </c>
      <c r="Q853" t="str" cm="1">
        <f t="array" ref="Q853">_xlfn.IFS(Table1[[#This Row],[Wealthier_Winner]]=-1,"Wealthier Nation Loses",Table1[[#This Row],[Wealthier_Winner]]=0,"Tie",Table1[[#This Row],[Wealthier_Winner]]=1,"Wealthier Nation Wins")</f>
        <v>Wealthier Nation Wins</v>
      </c>
    </row>
    <row r="854" spans="1:17" x14ac:dyDescent="0.2">
      <c r="A854" s="1">
        <v>1804</v>
      </c>
      <c r="B854" s="2">
        <v>31256</v>
      </c>
      <c r="C854" s="7">
        <f>_xlfn.FLOOR.MATH(Table1[[#This Row],[year]],10)</f>
        <v>1980</v>
      </c>
      <c r="D854" t="s">
        <v>24</v>
      </c>
      <c r="E854" t="s">
        <v>212</v>
      </c>
      <c r="F854">
        <v>2</v>
      </c>
      <c r="G854">
        <v>0</v>
      </c>
      <c r="H854" t="s">
        <v>224</v>
      </c>
      <c r="I854" t="s">
        <v>244</v>
      </c>
      <c r="J854" t="s">
        <v>24</v>
      </c>
      <c r="K854" t="b">
        <v>0</v>
      </c>
      <c r="L854">
        <v>1985</v>
      </c>
      <c r="M854">
        <v>14991283215</v>
      </c>
      <c r="N854">
        <v>39053502251</v>
      </c>
      <c r="O854" t="b">
        <v>1</v>
      </c>
      <c r="P854">
        <v>-1</v>
      </c>
      <c r="Q854" t="str" cm="1">
        <f t="array" ref="Q854">_xlfn.IFS(Table1[[#This Row],[Wealthier_Winner]]=-1,"Wealthier Nation Loses",Table1[[#This Row],[Wealthier_Winner]]=0,"Tie",Table1[[#This Row],[Wealthier_Winner]]=1,"Wealthier Nation Wins")</f>
        <v>Wealthier Nation Loses</v>
      </c>
    </row>
    <row r="855" spans="1:17" x14ac:dyDescent="0.2">
      <c r="A855" s="1">
        <v>1805</v>
      </c>
      <c r="B855" s="2">
        <v>31256</v>
      </c>
      <c r="C855" s="7">
        <f>_xlfn.FLOOR.MATH(Table1[[#This Row],[year]],10)</f>
        <v>1980</v>
      </c>
      <c r="D855" t="s">
        <v>273</v>
      </c>
      <c r="E855" t="s">
        <v>32</v>
      </c>
      <c r="F855">
        <v>0</v>
      </c>
      <c r="G855">
        <v>1</v>
      </c>
      <c r="H855" t="s">
        <v>224</v>
      </c>
      <c r="I855" t="s">
        <v>330</v>
      </c>
      <c r="J855" t="s">
        <v>273</v>
      </c>
      <c r="K855" t="b">
        <v>0</v>
      </c>
      <c r="L855">
        <v>1985</v>
      </c>
      <c r="M855">
        <v>2252454500</v>
      </c>
      <c r="N855">
        <v>57937868670</v>
      </c>
      <c r="O855" t="b">
        <v>1</v>
      </c>
      <c r="P855">
        <v>1</v>
      </c>
      <c r="Q855" t="str" cm="1">
        <f t="array" ref="Q855">_xlfn.IFS(Table1[[#This Row],[Wealthier_Winner]]=-1,"Wealthier Nation Loses",Table1[[#This Row],[Wealthier_Winner]]=0,"Tie",Table1[[#This Row],[Wealthier_Winner]]=1,"Wealthier Nation Wins")</f>
        <v>Wealthier Nation Wins</v>
      </c>
    </row>
    <row r="856" spans="1:17" x14ac:dyDescent="0.2">
      <c r="A856" s="1">
        <v>1806</v>
      </c>
      <c r="B856" s="2">
        <v>31258</v>
      </c>
      <c r="C856" s="7">
        <f>_xlfn.FLOOR.MATH(Table1[[#This Row],[year]],10)</f>
        <v>1980</v>
      </c>
      <c r="D856" t="s">
        <v>328</v>
      </c>
      <c r="E856" t="s">
        <v>195</v>
      </c>
      <c r="F856">
        <v>1</v>
      </c>
      <c r="G856">
        <v>4</v>
      </c>
      <c r="H856" t="s">
        <v>224</v>
      </c>
      <c r="I856" t="s">
        <v>386</v>
      </c>
      <c r="J856" t="s">
        <v>328</v>
      </c>
      <c r="K856" t="b">
        <v>0</v>
      </c>
      <c r="L856">
        <v>1985</v>
      </c>
      <c r="M856">
        <v>85289488375</v>
      </c>
      <c r="N856">
        <v>103764281280</v>
      </c>
      <c r="O856" t="b">
        <v>0</v>
      </c>
      <c r="P856">
        <v>1</v>
      </c>
      <c r="Q856" t="str" cm="1">
        <f t="array" ref="Q856">_xlfn.IFS(Table1[[#This Row],[Wealthier_Winner]]=-1,"Wealthier Nation Loses",Table1[[#This Row],[Wealthier_Winner]]=0,"Tie",Table1[[#This Row],[Wealthier_Winner]]=1,"Wealthier Nation Wins")</f>
        <v>Wealthier Nation Wins</v>
      </c>
    </row>
    <row r="857" spans="1:17" x14ac:dyDescent="0.2">
      <c r="A857" s="1">
        <v>1810</v>
      </c>
      <c r="B857" s="2">
        <v>31296</v>
      </c>
      <c r="C857" s="7">
        <f>_xlfn.FLOOR.MATH(Table1[[#This Row],[year]],10)</f>
        <v>1980</v>
      </c>
      <c r="D857" t="s">
        <v>361</v>
      </c>
      <c r="E857" t="s">
        <v>331</v>
      </c>
      <c r="F857">
        <v>1</v>
      </c>
      <c r="G857">
        <v>1</v>
      </c>
      <c r="H857" t="s">
        <v>224</v>
      </c>
      <c r="I857" t="s">
        <v>419</v>
      </c>
      <c r="J857" t="s">
        <v>361</v>
      </c>
      <c r="K857" t="b">
        <v>0</v>
      </c>
      <c r="L857">
        <v>1985</v>
      </c>
      <c r="M857">
        <v>4152376484</v>
      </c>
      <c r="N857">
        <v>16403539892</v>
      </c>
      <c r="O857" t="b">
        <v>1</v>
      </c>
      <c r="P857">
        <v>0</v>
      </c>
      <c r="Q857" t="str" cm="1">
        <f t="array" ref="Q857">_xlfn.IFS(Table1[[#This Row],[Wealthier_Winner]]=-1,"Wealthier Nation Loses",Table1[[#This Row],[Wealthier_Winner]]=0,"Tie",Table1[[#This Row],[Wealthier_Winner]]=1,"Wealthier Nation Wins")</f>
        <v>Tie</v>
      </c>
    </row>
    <row r="858" spans="1:17" x14ac:dyDescent="0.2">
      <c r="A858" s="1">
        <v>1818</v>
      </c>
      <c r="B858" s="2">
        <v>31310</v>
      </c>
      <c r="C858" s="7">
        <f>_xlfn.FLOOR.MATH(Table1[[#This Row],[year]],10)</f>
        <v>1980</v>
      </c>
      <c r="D858" t="s">
        <v>331</v>
      </c>
      <c r="E858" t="s">
        <v>361</v>
      </c>
      <c r="F858">
        <v>1</v>
      </c>
      <c r="G858">
        <v>0</v>
      </c>
      <c r="H858" t="s">
        <v>224</v>
      </c>
      <c r="I858" t="s">
        <v>355</v>
      </c>
      <c r="J858" t="s">
        <v>331</v>
      </c>
      <c r="K858" t="b">
        <v>0</v>
      </c>
      <c r="L858">
        <v>1985</v>
      </c>
      <c r="M858">
        <v>16403539892</v>
      </c>
      <c r="N858">
        <v>4152376484</v>
      </c>
      <c r="O858" t="b">
        <v>1</v>
      </c>
      <c r="P858">
        <v>1</v>
      </c>
      <c r="Q858" t="str" cm="1">
        <f t="array" ref="Q858">_xlfn.IFS(Table1[[#This Row],[Wealthier_Winner]]=-1,"Wealthier Nation Loses",Table1[[#This Row],[Wealthier_Winner]]=0,"Tie",Table1[[#This Row],[Wealthier_Winner]]=1,"Wealthier Nation Wins")</f>
        <v>Wealthier Nation Wins</v>
      </c>
    </row>
    <row r="859" spans="1:17" x14ac:dyDescent="0.2">
      <c r="A859" s="1">
        <v>1819</v>
      </c>
      <c r="B859" s="2">
        <v>31310</v>
      </c>
      <c r="C859" s="7">
        <f>_xlfn.FLOOR.MATH(Table1[[#This Row],[year]],10)</f>
        <v>1980</v>
      </c>
      <c r="D859" t="s">
        <v>39</v>
      </c>
      <c r="E859" t="s">
        <v>37</v>
      </c>
      <c r="F859">
        <v>2</v>
      </c>
      <c r="G859">
        <v>3</v>
      </c>
      <c r="H859" t="s">
        <v>224</v>
      </c>
      <c r="I859" t="s">
        <v>412</v>
      </c>
      <c r="J859" t="s">
        <v>39</v>
      </c>
      <c r="K859" t="b">
        <v>0</v>
      </c>
      <c r="L859">
        <v>1985</v>
      </c>
      <c r="M859">
        <v>40603650231</v>
      </c>
      <c r="N859">
        <v>48425161290</v>
      </c>
      <c r="O859" t="b">
        <v>0</v>
      </c>
      <c r="P859">
        <v>1</v>
      </c>
      <c r="Q859" t="str" cm="1">
        <f t="array" ref="Q859">_xlfn.IFS(Table1[[#This Row],[Wealthier_Winner]]=-1,"Wealthier Nation Loses",Table1[[#This Row],[Wealthier_Winner]]=0,"Tie",Table1[[#This Row],[Wealthier_Winner]]=1,"Wealthier Nation Wins")</f>
        <v>Wealthier Nation Wins</v>
      </c>
    </row>
    <row r="860" spans="1:17" x14ac:dyDescent="0.2">
      <c r="A860" s="1">
        <v>1820</v>
      </c>
      <c r="B860" s="2">
        <v>31311</v>
      </c>
      <c r="C860" s="7">
        <f>_xlfn.FLOOR.MATH(Table1[[#This Row],[year]],10)</f>
        <v>1980</v>
      </c>
      <c r="D860" t="s">
        <v>72</v>
      </c>
      <c r="E860" t="s">
        <v>28</v>
      </c>
      <c r="F860">
        <v>0</v>
      </c>
      <c r="G860">
        <v>0</v>
      </c>
      <c r="H860" t="s">
        <v>224</v>
      </c>
      <c r="I860" t="s">
        <v>327</v>
      </c>
      <c r="J860" t="s">
        <v>72</v>
      </c>
      <c r="K860" t="b">
        <v>0</v>
      </c>
      <c r="L860">
        <v>1985</v>
      </c>
      <c r="M860">
        <v>24679795396</v>
      </c>
      <c r="N860">
        <v>180861108959</v>
      </c>
      <c r="O860" t="b">
        <v>1</v>
      </c>
      <c r="P860">
        <v>0</v>
      </c>
      <c r="Q860" t="str" cm="1">
        <f t="array" ref="Q860">_xlfn.IFS(Table1[[#This Row],[Wealthier_Winner]]=-1,"Wealthier Nation Loses",Table1[[#This Row],[Wealthier_Winner]]=0,"Tie",Table1[[#This Row],[Wealthier_Winner]]=1,"Wealthier Nation Wins")</f>
        <v>Tie</v>
      </c>
    </row>
    <row r="861" spans="1:17" x14ac:dyDescent="0.2">
      <c r="A861" s="1">
        <v>1824</v>
      </c>
      <c r="B861" s="2">
        <v>31315</v>
      </c>
      <c r="C861" s="7">
        <f>_xlfn.FLOOR.MATH(Table1[[#This Row],[year]],10)</f>
        <v>1980</v>
      </c>
      <c r="D861" t="s">
        <v>232</v>
      </c>
      <c r="E861" t="s">
        <v>33</v>
      </c>
      <c r="F861">
        <v>1</v>
      </c>
      <c r="G861">
        <v>3</v>
      </c>
      <c r="H861" t="s">
        <v>224</v>
      </c>
      <c r="I861" t="s">
        <v>232</v>
      </c>
      <c r="J861" t="s">
        <v>232</v>
      </c>
      <c r="K861" t="b">
        <v>0</v>
      </c>
      <c r="L861">
        <v>1985</v>
      </c>
      <c r="M861">
        <v>4577211767</v>
      </c>
      <c r="N861">
        <v>17155421052</v>
      </c>
      <c r="O861" t="b">
        <v>1</v>
      </c>
      <c r="P861">
        <v>1</v>
      </c>
      <c r="Q861" t="str" cm="1">
        <f t="array" ref="Q861">_xlfn.IFS(Table1[[#This Row],[Wealthier_Winner]]=-1,"Wealthier Nation Loses",Table1[[#This Row],[Wealthier_Winner]]=0,"Tie",Table1[[#This Row],[Wealthier_Winner]]=1,"Wealthier Nation Wins")</f>
        <v>Wealthier Nation Wins</v>
      </c>
    </row>
    <row r="862" spans="1:17" x14ac:dyDescent="0.2">
      <c r="A862" s="1">
        <v>1826</v>
      </c>
      <c r="B862" s="2">
        <v>31315</v>
      </c>
      <c r="C862" s="7">
        <f>_xlfn.FLOOR.MATH(Table1[[#This Row],[year]],10)</f>
        <v>1980</v>
      </c>
      <c r="D862" t="s">
        <v>21</v>
      </c>
      <c r="E862" t="s">
        <v>66</v>
      </c>
      <c r="F862">
        <v>2</v>
      </c>
      <c r="G862">
        <v>1</v>
      </c>
      <c r="H862" t="s">
        <v>224</v>
      </c>
      <c r="I862" t="s">
        <v>104</v>
      </c>
      <c r="J862" t="s">
        <v>21</v>
      </c>
      <c r="K862" t="b">
        <v>0</v>
      </c>
      <c r="L862">
        <v>1985</v>
      </c>
      <c r="M862">
        <v>180664322896</v>
      </c>
      <c r="N862">
        <v>3088359966</v>
      </c>
      <c r="O862" t="b">
        <v>1</v>
      </c>
      <c r="P862">
        <v>1</v>
      </c>
      <c r="Q862" t="str" cm="1">
        <f t="array" ref="Q862">_xlfn.IFS(Table1[[#This Row],[Wealthier_Winner]]=-1,"Wealthier Nation Loses",Table1[[#This Row],[Wealthier_Winner]]=0,"Tie",Table1[[#This Row],[Wealthier_Winner]]=1,"Wealthier Nation Wins")</f>
        <v>Wealthier Nation Wins</v>
      </c>
    </row>
    <row r="863" spans="1:17" x14ac:dyDescent="0.2">
      <c r="A863" s="1">
        <v>1827</v>
      </c>
      <c r="B863" s="2">
        <v>31315</v>
      </c>
      <c r="C863" s="7">
        <f>_xlfn.FLOOR.MATH(Table1[[#This Row],[year]],10)</f>
        <v>1980</v>
      </c>
      <c r="D863" t="s">
        <v>25</v>
      </c>
      <c r="E863" t="s">
        <v>16</v>
      </c>
      <c r="F863">
        <v>2</v>
      </c>
      <c r="G863">
        <v>2</v>
      </c>
      <c r="H863" t="s">
        <v>224</v>
      </c>
      <c r="I863" t="s">
        <v>233</v>
      </c>
      <c r="J863" t="s">
        <v>25</v>
      </c>
      <c r="K863" t="b">
        <v>0</v>
      </c>
      <c r="L863">
        <v>1985</v>
      </c>
      <c r="M863">
        <v>113958084357</v>
      </c>
      <c r="N863">
        <v>735218723093</v>
      </c>
      <c r="O863" t="b">
        <v>1</v>
      </c>
      <c r="P863">
        <v>0</v>
      </c>
      <c r="Q863" t="str" cm="1">
        <f t="array" ref="Q863">_xlfn.IFS(Table1[[#This Row],[Wealthier_Winner]]=-1,"Wealthier Nation Loses",Table1[[#This Row],[Wealthier_Winner]]=0,"Tie",Table1[[#This Row],[Wealthier_Winner]]=1,"Wealthier Nation Wins")</f>
        <v>Tie</v>
      </c>
    </row>
    <row r="864" spans="1:17" x14ac:dyDescent="0.2">
      <c r="A864" s="1">
        <v>1828</v>
      </c>
      <c r="B864" s="2">
        <v>31317</v>
      </c>
      <c r="C864" s="7">
        <f>_xlfn.FLOOR.MATH(Table1[[#This Row],[year]],10)</f>
        <v>1980</v>
      </c>
      <c r="D864" t="s">
        <v>37</v>
      </c>
      <c r="E864" t="s">
        <v>39</v>
      </c>
      <c r="F864">
        <v>1</v>
      </c>
      <c r="G864">
        <v>2</v>
      </c>
      <c r="H864" t="s">
        <v>224</v>
      </c>
      <c r="I864" t="s">
        <v>420</v>
      </c>
      <c r="J864" t="s">
        <v>45</v>
      </c>
      <c r="K864" t="b">
        <v>1</v>
      </c>
      <c r="L864">
        <v>1985</v>
      </c>
      <c r="M864">
        <v>48425161290</v>
      </c>
      <c r="N864">
        <v>40603650231</v>
      </c>
      <c r="O864" t="b">
        <v>0</v>
      </c>
      <c r="P864">
        <v>-1</v>
      </c>
      <c r="Q864" t="str" cm="1">
        <f t="array" ref="Q864">_xlfn.IFS(Table1[[#This Row],[Wealthier_Winner]]=-1,"Wealthier Nation Loses",Table1[[#This Row],[Wealthier_Winner]]=0,"Tie",Table1[[#This Row],[Wealthier_Winner]]=1,"Wealthier Nation Wins")</f>
        <v>Wealthier Nation Loses</v>
      </c>
    </row>
    <row r="865" spans="1:17" x14ac:dyDescent="0.2">
      <c r="A865" s="1">
        <v>1831</v>
      </c>
      <c r="B865" s="2">
        <v>31326</v>
      </c>
      <c r="C865" s="7">
        <f>_xlfn.FLOOR.MATH(Table1[[#This Row],[year]],10)</f>
        <v>1980</v>
      </c>
      <c r="D865" t="s">
        <v>24</v>
      </c>
      <c r="E865" t="s">
        <v>286</v>
      </c>
      <c r="F865">
        <v>3</v>
      </c>
      <c r="G865">
        <v>0</v>
      </c>
      <c r="H865" t="s">
        <v>224</v>
      </c>
      <c r="I865" t="s">
        <v>319</v>
      </c>
      <c r="J865" t="s">
        <v>24</v>
      </c>
      <c r="K865" t="b">
        <v>0</v>
      </c>
      <c r="L865">
        <v>1985</v>
      </c>
      <c r="M865">
        <v>14991283215</v>
      </c>
      <c r="N865">
        <v>31530566324</v>
      </c>
      <c r="O865" t="b">
        <v>1</v>
      </c>
      <c r="P865">
        <v>-1</v>
      </c>
      <c r="Q865" t="str" cm="1">
        <f t="array" ref="Q865">_xlfn.IFS(Table1[[#This Row],[Wealthier_Winner]]=-1,"Wealthier Nation Loses",Table1[[#This Row],[Wealthier_Winner]]=0,"Tie",Table1[[#This Row],[Wealthier_Winner]]=1,"Wealthier Nation Wins")</f>
        <v>Wealthier Nation Loses</v>
      </c>
    </row>
    <row r="866" spans="1:17" x14ac:dyDescent="0.2">
      <c r="A866" s="1">
        <v>1832</v>
      </c>
      <c r="B866" s="2">
        <v>31326</v>
      </c>
      <c r="C866" s="7">
        <f>_xlfn.FLOOR.MATH(Table1[[#This Row],[year]],10)</f>
        <v>1980</v>
      </c>
      <c r="D866" t="s">
        <v>53</v>
      </c>
      <c r="E866" t="s">
        <v>32</v>
      </c>
      <c r="F866">
        <v>1</v>
      </c>
      <c r="G866">
        <v>4</v>
      </c>
      <c r="H866" t="s">
        <v>224</v>
      </c>
      <c r="I866" t="s">
        <v>284</v>
      </c>
      <c r="J866" t="s">
        <v>53</v>
      </c>
      <c r="K866" t="b">
        <v>0</v>
      </c>
      <c r="L866">
        <v>1985</v>
      </c>
      <c r="M866">
        <v>8410226052</v>
      </c>
      <c r="N866">
        <v>57937868670</v>
      </c>
      <c r="O866" t="b">
        <v>1</v>
      </c>
      <c r="P866">
        <v>1</v>
      </c>
      <c r="Q866" t="str" cm="1">
        <f t="array" ref="Q866">_xlfn.IFS(Table1[[#This Row],[Wealthier_Winner]]=-1,"Wealthier Nation Loses",Table1[[#This Row],[Wealthier_Winner]]=0,"Tie",Table1[[#This Row],[Wealthier_Winner]]=1,"Wealthier Nation Wins")</f>
        <v>Wealthier Nation Wins</v>
      </c>
    </row>
    <row r="867" spans="1:17" x14ac:dyDescent="0.2">
      <c r="A867" s="1">
        <v>1833</v>
      </c>
      <c r="B867" s="2">
        <v>31328</v>
      </c>
      <c r="C867" s="7">
        <f>_xlfn.FLOOR.MATH(Table1[[#This Row],[year]],10)</f>
        <v>1980</v>
      </c>
      <c r="D867" t="s">
        <v>22</v>
      </c>
      <c r="E867" t="s">
        <v>28</v>
      </c>
      <c r="F867">
        <v>1</v>
      </c>
      <c r="G867">
        <v>2</v>
      </c>
      <c r="H867" t="s">
        <v>224</v>
      </c>
      <c r="I867" t="s">
        <v>239</v>
      </c>
      <c r="J867" t="s">
        <v>22</v>
      </c>
      <c r="K867" t="b">
        <v>0</v>
      </c>
      <c r="L867">
        <v>1985</v>
      </c>
      <c r="M867">
        <v>28905736366</v>
      </c>
      <c r="N867">
        <v>180861108959</v>
      </c>
      <c r="O867" t="b">
        <v>1</v>
      </c>
      <c r="P867">
        <v>1</v>
      </c>
      <c r="Q867" t="str" cm="1">
        <f t="array" ref="Q867">_xlfn.IFS(Table1[[#This Row],[Wealthier_Winner]]=-1,"Wealthier Nation Loses",Table1[[#This Row],[Wealthier_Winner]]=0,"Tie",Table1[[#This Row],[Wealthier_Winner]]=1,"Wealthier Nation Wins")</f>
        <v>Wealthier Nation Wins</v>
      </c>
    </row>
    <row r="868" spans="1:17" x14ac:dyDescent="0.2">
      <c r="A868" s="1">
        <v>1834</v>
      </c>
      <c r="B868" s="2">
        <v>31329</v>
      </c>
      <c r="C868" s="7">
        <f>_xlfn.FLOOR.MATH(Table1[[#This Row],[year]],10)</f>
        <v>1980</v>
      </c>
      <c r="D868" t="s">
        <v>36</v>
      </c>
      <c r="E868" t="s">
        <v>46</v>
      </c>
      <c r="F868">
        <v>0</v>
      </c>
      <c r="G868">
        <v>0</v>
      </c>
      <c r="H868" t="s">
        <v>224</v>
      </c>
      <c r="I868" t="s">
        <v>264</v>
      </c>
      <c r="J868" t="s">
        <v>36</v>
      </c>
      <c r="K868" t="b">
        <v>0</v>
      </c>
      <c r="L868">
        <v>1985</v>
      </c>
      <c r="M868">
        <v>62452421010</v>
      </c>
      <c r="N868">
        <v>110980314191</v>
      </c>
      <c r="O868" t="b">
        <v>0</v>
      </c>
      <c r="P868">
        <v>0</v>
      </c>
      <c r="Q868" t="str" cm="1">
        <f t="array" ref="Q868">_xlfn.IFS(Table1[[#This Row],[Wealthier_Winner]]=-1,"Wealthier Nation Loses",Table1[[#This Row],[Wealthier_Winner]]=0,"Tie",Table1[[#This Row],[Wealthier_Winner]]=1,"Wealthier Nation Wins")</f>
        <v>Tie</v>
      </c>
    </row>
    <row r="869" spans="1:17" x14ac:dyDescent="0.2">
      <c r="A869" s="1">
        <v>1836</v>
      </c>
      <c r="B869" s="2">
        <v>31332</v>
      </c>
      <c r="C869" s="7">
        <f>_xlfn.FLOOR.MATH(Table1[[#This Row],[year]],10)</f>
        <v>1980</v>
      </c>
      <c r="D869" t="s">
        <v>38</v>
      </c>
      <c r="E869" t="s">
        <v>303</v>
      </c>
      <c r="F869">
        <v>3</v>
      </c>
      <c r="G869">
        <v>2</v>
      </c>
      <c r="H869" t="s">
        <v>224</v>
      </c>
      <c r="I869" t="s">
        <v>291</v>
      </c>
      <c r="J869" t="s">
        <v>38</v>
      </c>
      <c r="K869" t="b">
        <v>0</v>
      </c>
      <c r="L869">
        <v>1985</v>
      </c>
      <c r="M869">
        <v>27115807742</v>
      </c>
      <c r="N869">
        <v>1117797439</v>
      </c>
      <c r="O869" t="b">
        <v>1</v>
      </c>
      <c r="P869">
        <v>1</v>
      </c>
      <c r="Q869" t="str" cm="1">
        <f t="array" ref="Q869">_xlfn.IFS(Table1[[#This Row],[Wealthier_Winner]]=-1,"Wealthier Nation Loses",Table1[[#This Row],[Wealthier_Winner]]=0,"Tie",Table1[[#This Row],[Wealthier_Winner]]=1,"Wealthier Nation Wins")</f>
        <v>Wealthier Nation Wins</v>
      </c>
    </row>
    <row r="870" spans="1:17" x14ac:dyDescent="0.2">
      <c r="A870" s="1">
        <v>1837</v>
      </c>
      <c r="B870" s="2">
        <v>31336</v>
      </c>
      <c r="C870" s="7">
        <f>_xlfn.FLOOR.MATH(Table1[[#This Row],[year]],10)</f>
        <v>1980</v>
      </c>
      <c r="D870" t="s">
        <v>23</v>
      </c>
      <c r="E870" t="s">
        <v>27</v>
      </c>
      <c r="F870">
        <v>1</v>
      </c>
      <c r="G870">
        <v>0</v>
      </c>
      <c r="H870" t="s">
        <v>224</v>
      </c>
      <c r="I870" t="s">
        <v>235</v>
      </c>
      <c r="J870" t="s">
        <v>23</v>
      </c>
      <c r="K870" t="b">
        <v>0</v>
      </c>
      <c r="L870">
        <v>1985</v>
      </c>
      <c r="M870">
        <v>86268264148</v>
      </c>
      <c r="N870">
        <v>144057523221</v>
      </c>
      <c r="O870" t="b">
        <v>0</v>
      </c>
      <c r="P870">
        <v>-1</v>
      </c>
      <c r="Q870" t="str" cm="1">
        <f t="array" ref="Q870">_xlfn.IFS(Table1[[#This Row],[Wealthier_Winner]]=-1,"Wealthier Nation Loses",Table1[[#This Row],[Wealthier_Winner]]=0,"Tie",Table1[[#This Row],[Wealthier_Winner]]=1,"Wealthier Nation Wins")</f>
        <v>Wealthier Nation Loses</v>
      </c>
    </row>
    <row r="871" spans="1:17" x14ac:dyDescent="0.2">
      <c r="A871" s="1">
        <v>1840</v>
      </c>
      <c r="B871" s="2">
        <v>31336</v>
      </c>
      <c r="C871" s="7">
        <f>_xlfn.FLOOR.MATH(Table1[[#This Row],[year]],10)</f>
        <v>1980</v>
      </c>
      <c r="D871" t="s">
        <v>16</v>
      </c>
      <c r="E871" t="s">
        <v>38</v>
      </c>
      <c r="F871">
        <v>0</v>
      </c>
      <c r="G871">
        <v>1</v>
      </c>
      <c r="H871" t="s">
        <v>224</v>
      </c>
      <c r="I871" t="s">
        <v>90</v>
      </c>
      <c r="J871" t="s">
        <v>16</v>
      </c>
      <c r="K871" t="b">
        <v>0</v>
      </c>
      <c r="L871">
        <v>1985</v>
      </c>
      <c r="M871">
        <v>735218723093</v>
      </c>
      <c r="N871">
        <v>27115807742</v>
      </c>
      <c r="O871" t="b">
        <v>1</v>
      </c>
      <c r="P871">
        <v>-1</v>
      </c>
      <c r="Q871" t="str" cm="1">
        <f t="array" ref="Q871">_xlfn.IFS(Table1[[#This Row],[Wealthier_Winner]]=-1,"Wealthier Nation Loses",Table1[[#This Row],[Wealthier_Winner]]=0,"Tie",Table1[[#This Row],[Wealthier_Winner]]=1,"Wealthier Nation Wins")</f>
        <v>Wealthier Nation Loses</v>
      </c>
    </row>
    <row r="872" spans="1:17" x14ac:dyDescent="0.2">
      <c r="A872" s="1">
        <v>1841</v>
      </c>
      <c r="B872" s="2">
        <v>31336</v>
      </c>
      <c r="C872" s="7">
        <f>_xlfn.FLOOR.MATH(Table1[[#This Row],[year]],10)</f>
        <v>1980</v>
      </c>
      <c r="D872" t="s">
        <v>42</v>
      </c>
      <c r="E872" t="s">
        <v>36</v>
      </c>
      <c r="F872">
        <v>1</v>
      </c>
      <c r="G872">
        <v>5</v>
      </c>
      <c r="H872" t="s">
        <v>224</v>
      </c>
      <c r="I872" t="s">
        <v>262</v>
      </c>
      <c r="J872" t="s">
        <v>42</v>
      </c>
      <c r="K872" t="b">
        <v>0</v>
      </c>
      <c r="L872">
        <v>1985</v>
      </c>
      <c r="M872">
        <v>65416879914</v>
      </c>
      <c r="N872">
        <v>62452421010</v>
      </c>
      <c r="O872" t="b">
        <v>0</v>
      </c>
      <c r="P872">
        <v>-1</v>
      </c>
      <c r="Q872" t="str" cm="1">
        <f t="array" ref="Q872">_xlfn.IFS(Table1[[#This Row],[Wealthier_Winner]]=-1,"Wealthier Nation Loses",Table1[[#This Row],[Wealthier_Winner]]=0,"Tie",Table1[[#This Row],[Wealthier_Winner]]=1,"Wealthier Nation Wins")</f>
        <v>Wealthier Nation Loses</v>
      </c>
    </row>
    <row r="873" spans="1:17" x14ac:dyDescent="0.2">
      <c r="A873" s="1">
        <v>1844</v>
      </c>
      <c r="B873" s="2">
        <v>31338</v>
      </c>
      <c r="C873" s="7">
        <f>_xlfn.FLOOR.MATH(Table1[[#This Row],[year]],10)</f>
        <v>1980</v>
      </c>
      <c r="D873" t="s">
        <v>32</v>
      </c>
      <c r="E873" t="s">
        <v>53</v>
      </c>
      <c r="F873">
        <v>3</v>
      </c>
      <c r="G873">
        <v>0</v>
      </c>
      <c r="H873" t="s">
        <v>224</v>
      </c>
      <c r="I873" t="s">
        <v>279</v>
      </c>
      <c r="J873" t="s">
        <v>32</v>
      </c>
      <c r="K873" t="b">
        <v>0</v>
      </c>
      <c r="L873">
        <v>1985</v>
      </c>
      <c r="M873">
        <v>57937868670</v>
      </c>
      <c r="N873">
        <v>8410226052</v>
      </c>
      <c r="O873" t="b">
        <v>1</v>
      </c>
      <c r="P873">
        <v>1</v>
      </c>
      <c r="Q873" t="str" cm="1">
        <f t="array" ref="Q873">_xlfn.IFS(Table1[[#This Row],[Wealthier_Winner]]=-1,"Wealthier Nation Loses",Table1[[#This Row],[Wealthier_Winner]]=0,"Tie",Table1[[#This Row],[Wealthier_Winner]]=1,"Wealthier Nation Wins")</f>
        <v>Wealthier Nation Wins</v>
      </c>
    </row>
    <row r="874" spans="1:17" x14ac:dyDescent="0.2">
      <c r="A874" s="1">
        <v>1845</v>
      </c>
      <c r="B874" s="2">
        <v>31338</v>
      </c>
      <c r="C874" s="7">
        <f>_xlfn.FLOOR.MATH(Table1[[#This Row],[year]],10)</f>
        <v>1980</v>
      </c>
      <c r="D874" t="s">
        <v>286</v>
      </c>
      <c r="E874" t="s">
        <v>24</v>
      </c>
      <c r="F874">
        <v>1</v>
      </c>
      <c r="G874">
        <v>0</v>
      </c>
      <c r="H874" t="s">
        <v>224</v>
      </c>
      <c r="I874" t="s">
        <v>418</v>
      </c>
      <c r="J874" t="s">
        <v>286</v>
      </c>
      <c r="K874" t="b">
        <v>0</v>
      </c>
      <c r="L874">
        <v>1985</v>
      </c>
      <c r="M874">
        <v>31530566324</v>
      </c>
      <c r="N874">
        <v>14991283215</v>
      </c>
      <c r="O874" t="b">
        <v>1</v>
      </c>
      <c r="P874">
        <v>1</v>
      </c>
      <c r="Q874" t="str" cm="1">
        <f t="array" ref="Q874">_xlfn.IFS(Table1[[#This Row],[Wealthier_Winner]]=-1,"Wealthier Nation Loses",Table1[[#This Row],[Wealthier_Winner]]=0,"Tie",Table1[[#This Row],[Wealthier_Winner]]=1,"Wealthier Nation Wins")</f>
        <v>Wealthier Nation Wins</v>
      </c>
    </row>
    <row r="875" spans="1:17" x14ac:dyDescent="0.2">
      <c r="A875" s="1">
        <v>1846</v>
      </c>
      <c r="B875" s="2">
        <v>31340</v>
      </c>
      <c r="C875" s="7">
        <f>_xlfn.FLOOR.MATH(Table1[[#This Row],[year]],10)</f>
        <v>1980</v>
      </c>
      <c r="D875" t="s">
        <v>28</v>
      </c>
      <c r="E875" t="s">
        <v>22</v>
      </c>
      <c r="F875">
        <v>1</v>
      </c>
      <c r="G875">
        <v>1</v>
      </c>
      <c r="H875" t="s">
        <v>224</v>
      </c>
      <c r="I875" t="s">
        <v>329</v>
      </c>
      <c r="J875" t="s">
        <v>28</v>
      </c>
      <c r="K875" t="b">
        <v>0</v>
      </c>
      <c r="L875">
        <v>1985</v>
      </c>
      <c r="M875">
        <v>180861108959</v>
      </c>
      <c r="N875">
        <v>28905736366</v>
      </c>
      <c r="O875" t="b">
        <v>1</v>
      </c>
      <c r="P875">
        <v>0</v>
      </c>
      <c r="Q875" t="str" cm="1">
        <f t="array" ref="Q875">_xlfn.IFS(Table1[[#This Row],[Wealthier_Winner]]=-1,"Wealthier Nation Loses",Table1[[#This Row],[Wealthier_Winner]]=0,"Tie",Table1[[#This Row],[Wealthier_Winner]]=1,"Wealthier Nation Wins")</f>
        <v>Tie</v>
      </c>
    </row>
    <row r="876" spans="1:17" x14ac:dyDescent="0.2">
      <c r="A876" s="1">
        <v>1848</v>
      </c>
      <c r="B876" s="2">
        <v>31346</v>
      </c>
      <c r="C876" s="7">
        <f>_xlfn.FLOOR.MATH(Table1[[#This Row],[year]],10)</f>
        <v>1980</v>
      </c>
      <c r="D876" t="s">
        <v>51</v>
      </c>
      <c r="E876" t="s">
        <v>195</v>
      </c>
      <c r="F876">
        <v>1</v>
      </c>
      <c r="G876">
        <v>2</v>
      </c>
      <c r="H876" t="s">
        <v>224</v>
      </c>
      <c r="I876" t="s">
        <v>245</v>
      </c>
      <c r="J876" t="s">
        <v>51</v>
      </c>
      <c r="K876" t="b">
        <v>0</v>
      </c>
      <c r="L876">
        <v>1985</v>
      </c>
      <c r="M876">
        <v>1427019759717</v>
      </c>
      <c r="N876">
        <v>103764281280</v>
      </c>
      <c r="O876" t="b">
        <v>1</v>
      </c>
      <c r="P876">
        <v>-1</v>
      </c>
      <c r="Q876" t="str" cm="1">
        <f t="array" ref="Q876">_xlfn.IFS(Table1[[#This Row],[Wealthier_Winner]]=-1,"Wealthier Nation Loses",Table1[[#This Row],[Wealthier_Winner]]=0,"Tie",Table1[[#This Row],[Wealthier_Winner]]=1,"Wealthier Nation Wins")</f>
        <v>Wealthier Nation Loses</v>
      </c>
    </row>
    <row r="877" spans="1:17" x14ac:dyDescent="0.2">
      <c r="A877" s="1">
        <v>1849</v>
      </c>
      <c r="B877" s="2">
        <v>31346</v>
      </c>
      <c r="C877" s="7">
        <f>_xlfn.FLOOR.MATH(Table1[[#This Row],[year]],10)</f>
        <v>1980</v>
      </c>
      <c r="D877" t="s">
        <v>72</v>
      </c>
      <c r="E877" t="s">
        <v>22</v>
      </c>
      <c r="F877">
        <v>3</v>
      </c>
      <c r="G877">
        <v>1</v>
      </c>
      <c r="H877" t="s">
        <v>224</v>
      </c>
      <c r="I877" t="s">
        <v>327</v>
      </c>
      <c r="J877" t="s">
        <v>72</v>
      </c>
      <c r="K877" t="b">
        <v>0</v>
      </c>
      <c r="L877">
        <v>1985</v>
      </c>
      <c r="M877">
        <v>24679795396</v>
      </c>
      <c r="N877">
        <v>28905736366</v>
      </c>
      <c r="O877" t="b">
        <v>0</v>
      </c>
      <c r="P877">
        <v>-1</v>
      </c>
      <c r="Q877" t="str" cm="1">
        <f t="array" ref="Q877">_xlfn.IFS(Table1[[#This Row],[Wealthier_Winner]]=-1,"Wealthier Nation Loses",Table1[[#This Row],[Wealthier_Winner]]=0,"Tie",Table1[[#This Row],[Wealthier_Winner]]=1,"Wealthier Nation Wins")</f>
        <v>Wealthier Nation Loses</v>
      </c>
    </row>
    <row r="878" spans="1:17" x14ac:dyDescent="0.2">
      <c r="A878" s="1">
        <v>1851</v>
      </c>
      <c r="B878" s="2">
        <v>31347</v>
      </c>
      <c r="C878" s="7">
        <f>_xlfn.FLOOR.MATH(Table1[[#This Row],[year]],10)</f>
        <v>1980</v>
      </c>
      <c r="D878" t="s">
        <v>14</v>
      </c>
      <c r="E878" t="s">
        <v>31</v>
      </c>
      <c r="F878">
        <v>4</v>
      </c>
      <c r="G878">
        <v>2</v>
      </c>
      <c r="H878" t="s">
        <v>224</v>
      </c>
      <c r="I878" t="s">
        <v>75</v>
      </c>
      <c r="J878" t="s">
        <v>14</v>
      </c>
      <c r="K878" t="b">
        <v>0</v>
      </c>
      <c r="L878">
        <v>1985</v>
      </c>
      <c r="M878">
        <v>17933557359</v>
      </c>
      <c r="N878">
        <v>15078736875</v>
      </c>
      <c r="O878" t="b">
        <v>0</v>
      </c>
      <c r="P878">
        <v>1</v>
      </c>
      <c r="Q878" t="str" cm="1">
        <f t="array" ref="Q878">_xlfn.IFS(Table1[[#This Row],[Wealthier_Winner]]=-1,"Wealthier Nation Loses",Table1[[#This Row],[Wealthier_Winner]]=0,"Tie",Table1[[#This Row],[Wealthier_Winner]]=1,"Wealthier Nation Wins")</f>
        <v>Wealthier Nation Wins</v>
      </c>
    </row>
    <row r="879" spans="1:17" x14ac:dyDescent="0.2">
      <c r="A879" s="1">
        <v>1852</v>
      </c>
      <c r="B879" s="2">
        <v>31347</v>
      </c>
      <c r="C879" s="7">
        <f>_xlfn.FLOOR.MATH(Table1[[#This Row],[year]],10)</f>
        <v>1980</v>
      </c>
      <c r="D879" t="s">
        <v>35</v>
      </c>
      <c r="E879" t="s">
        <v>15</v>
      </c>
      <c r="F879">
        <v>3</v>
      </c>
      <c r="G879">
        <v>0</v>
      </c>
      <c r="H879" t="s">
        <v>224</v>
      </c>
      <c r="I879" t="s">
        <v>250</v>
      </c>
      <c r="J879" t="s">
        <v>35</v>
      </c>
      <c r="K879" t="b">
        <v>0</v>
      </c>
      <c r="L879">
        <v>1985</v>
      </c>
      <c r="M879">
        <v>3282449235</v>
      </c>
      <c r="N879">
        <v>34894411351</v>
      </c>
      <c r="O879" t="b">
        <v>1</v>
      </c>
      <c r="P879">
        <v>-1</v>
      </c>
      <c r="Q879" t="str" cm="1">
        <f t="array" ref="Q879">_xlfn.IFS(Table1[[#This Row],[Wealthier_Winner]]=-1,"Wealthier Nation Loses",Table1[[#This Row],[Wealthier_Winner]]=0,"Tie",Table1[[#This Row],[Wealthier_Winner]]=1,"Wealthier Nation Wins")</f>
        <v>Wealthier Nation Loses</v>
      </c>
    </row>
    <row r="880" spans="1:17" x14ac:dyDescent="0.2">
      <c r="A880" s="1">
        <v>1853</v>
      </c>
      <c r="B880" s="2">
        <v>31350</v>
      </c>
      <c r="C880" s="7">
        <f>_xlfn.FLOOR.MATH(Table1[[#This Row],[year]],10)</f>
        <v>1980</v>
      </c>
      <c r="D880" t="s">
        <v>373</v>
      </c>
      <c r="E880" t="s">
        <v>48</v>
      </c>
      <c r="F880">
        <v>1</v>
      </c>
      <c r="G880">
        <v>1</v>
      </c>
      <c r="H880" t="s">
        <v>224</v>
      </c>
      <c r="I880" t="s">
        <v>374</v>
      </c>
      <c r="J880" t="s">
        <v>373</v>
      </c>
      <c r="K880" t="b">
        <v>0</v>
      </c>
      <c r="L880">
        <v>1985</v>
      </c>
      <c r="M880">
        <v>1897050116</v>
      </c>
      <c r="N880">
        <v>47155741426</v>
      </c>
      <c r="O880" t="b">
        <v>1</v>
      </c>
      <c r="P880">
        <v>0</v>
      </c>
      <c r="Q880" t="str" cm="1">
        <f t="array" ref="Q880">_xlfn.IFS(Table1[[#This Row],[Wealthier_Winner]]=-1,"Wealthier Nation Loses",Table1[[#This Row],[Wealthier_Winner]]=0,"Tie",Table1[[#This Row],[Wealthier_Winner]]=1,"Wealthier Nation Wins")</f>
        <v>Tie</v>
      </c>
    </row>
    <row r="881" spans="1:17" x14ac:dyDescent="0.2">
      <c r="A881" s="1">
        <v>1854</v>
      </c>
      <c r="B881" s="2">
        <v>31350</v>
      </c>
      <c r="C881" s="7">
        <f>_xlfn.FLOOR.MATH(Table1[[#This Row],[year]],10)</f>
        <v>1980</v>
      </c>
      <c r="D881" t="s">
        <v>20</v>
      </c>
      <c r="E881" t="s">
        <v>232</v>
      </c>
      <c r="F881">
        <v>6</v>
      </c>
      <c r="G881">
        <v>0</v>
      </c>
      <c r="H881" t="s">
        <v>224</v>
      </c>
      <c r="I881" t="s">
        <v>134</v>
      </c>
      <c r="J881" t="s">
        <v>20</v>
      </c>
      <c r="K881" t="b">
        <v>0</v>
      </c>
      <c r="L881">
        <v>1985</v>
      </c>
      <c r="M881">
        <v>547220981165</v>
      </c>
      <c r="N881">
        <v>4577211767</v>
      </c>
      <c r="O881" t="b">
        <v>1</v>
      </c>
      <c r="P881">
        <v>1</v>
      </c>
      <c r="Q881" t="str" cm="1">
        <f t="array" ref="Q881">_xlfn.IFS(Table1[[#This Row],[Wealthier_Winner]]=-1,"Wealthier Nation Loses",Table1[[#This Row],[Wealthier_Winner]]=0,"Tie",Table1[[#This Row],[Wealthier_Winner]]=1,"Wealthier Nation Wins")</f>
        <v>Wealthier Nation Wins</v>
      </c>
    </row>
    <row r="882" spans="1:17" x14ac:dyDescent="0.2">
      <c r="A882" s="1">
        <v>1856</v>
      </c>
      <c r="B882" s="2">
        <v>31354</v>
      </c>
      <c r="C882" s="7">
        <f>_xlfn.FLOOR.MATH(Table1[[#This Row],[year]],10)</f>
        <v>1980</v>
      </c>
      <c r="D882" t="s">
        <v>28</v>
      </c>
      <c r="E882" t="s">
        <v>72</v>
      </c>
      <c r="F882">
        <v>2</v>
      </c>
      <c r="G882">
        <v>0</v>
      </c>
      <c r="H882" t="s">
        <v>224</v>
      </c>
      <c r="I882" t="s">
        <v>301</v>
      </c>
      <c r="J882" t="s">
        <v>28</v>
      </c>
      <c r="K882" t="b">
        <v>0</v>
      </c>
      <c r="L882">
        <v>1985</v>
      </c>
      <c r="M882">
        <v>180861108959</v>
      </c>
      <c r="N882">
        <v>24679795396</v>
      </c>
      <c r="O882" t="b">
        <v>1</v>
      </c>
      <c r="P882">
        <v>1</v>
      </c>
      <c r="Q882" t="str" cm="1">
        <f t="array" ref="Q882">_xlfn.IFS(Table1[[#This Row],[Wealthier_Winner]]=-1,"Wealthier Nation Loses",Table1[[#This Row],[Wealthier_Winner]]=0,"Tie",Table1[[#This Row],[Wealthier_Winner]]=1,"Wealthier Nation Wins")</f>
        <v>Wealthier Nation Wins</v>
      </c>
    </row>
    <row r="883" spans="1:17" x14ac:dyDescent="0.2">
      <c r="A883" s="1">
        <v>1857</v>
      </c>
      <c r="B883" s="2">
        <v>31354</v>
      </c>
      <c r="C883" s="7">
        <f>_xlfn.FLOOR.MATH(Table1[[#This Row],[year]],10)</f>
        <v>1980</v>
      </c>
      <c r="D883" t="s">
        <v>15</v>
      </c>
      <c r="E883" t="s">
        <v>35</v>
      </c>
      <c r="F883">
        <v>2</v>
      </c>
      <c r="G883">
        <v>1</v>
      </c>
      <c r="H883" t="s">
        <v>224</v>
      </c>
      <c r="I883" t="s">
        <v>364</v>
      </c>
      <c r="J883" t="s">
        <v>15</v>
      </c>
      <c r="K883" t="b">
        <v>0</v>
      </c>
      <c r="L883">
        <v>1985</v>
      </c>
      <c r="M883">
        <v>34894411351</v>
      </c>
      <c r="N883">
        <v>3282449235</v>
      </c>
      <c r="O883" t="b">
        <v>1</v>
      </c>
      <c r="P883">
        <v>1</v>
      </c>
      <c r="Q883" t="str" cm="1">
        <f t="array" ref="Q883">_xlfn.IFS(Table1[[#This Row],[Wealthier_Winner]]=-1,"Wealthier Nation Loses",Table1[[#This Row],[Wealthier_Winner]]=0,"Tie",Table1[[#This Row],[Wealthier_Winner]]=1,"Wealthier Nation Wins")</f>
        <v>Wealthier Nation Wins</v>
      </c>
    </row>
    <row r="884" spans="1:17" x14ac:dyDescent="0.2">
      <c r="A884" s="1">
        <v>1858</v>
      </c>
      <c r="B884" s="2">
        <v>31354</v>
      </c>
      <c r="C884" s="7">
        <f>_xlfn.FLOOR.MATH(Table1[[#This Row],[year]],10)</f>
        <v>1980</v>
      </c>
      <c r="D884" t="s">
        <v>195</v>
      </c>
      <c r="E884" t="s">
        <v>51</v>
      </c>
      <c r="F884">
        <v>1</v>
      </c>
      <c r="G884">
        <v>0</v>
      </c>
      <c r="H884" t="s">
        <v>224</v>
      </c>
      <c r="I884" t="s">
        <v>136</v>
      </c>
      <c r="J884" t="s">
        <v>195</v>
      </c>
      <c r="K884" t="b">
        <v>0</v>
      </c>
      <c r="L884">
        <v>1985</v>
      </c>
      <c r="M884">
        <v>103764281280</v>
      </c>
      <c r="N884">
        <v>1427019759717</v>
      </c>
      <c r="O884" t="b">
        <v>1</v>
      </c>
      <c r="P884">
        <v>-1</v>
      </c>
      <c r="Q884" t="str" cm="1">
        <f t="array" ref="Q884">_xlfn.IFS(Table1[[#This Row],[Wealthier_Winner]]=-1,"Wealthier Nation Loses",Table1[[#This Row],[Wealthier_Winner]]=0,"Tie",Table1[[#This Row],[Wealthier_Winner]]=1,"Wealthier Nation Wins")</f>
        <v>Wealthier Nation Loses</v>
      </c>
    </row>
    <row r="885" spans="1:17" x14ac:dyDescent="0.2">
      <c r="A885" s="1">
        <v>1859</v>
      </c>
      <c r="B885" s="2">
        <v>31354</v>
      </c>
      <c r="C885" s="7">
        <f>_xlfn.FLOOR.MATH(Table1[[#This Row],[year]],10)</f>
        <v>1980</v>
      </c>
      <c r="D885" t="s">
        <v>31</v>
      </c>
      <c r="E885" t="s">
        <v>14</v>
      </c>
      <c r="F885">
        <v>0</v>
      </c>
      <c r="G885">
        <v>1</v>
      </c>
      <c r="H885" t="s">
        <v>224</v>
      </c>
      <c r="I885" t="s">
        <v>242</v>
      </c>
      <c r="J885" t="s">
        <v>31</v>
      </c>
      <c r="K885" t="b">
        <v>0</v>
      </c>
      <c r="L885">
        <v>1985</v>
      </c>
      <c r="M885">
        <v>15078736875</v>
      </c>
      <c r="N885">
        <v>17933557359</v>
      </c>
      <c r="O885" t="b">
        <v>0</v>
      </c>
      <c r="P885">
        <v>1</v>
      </c>
      <c r="Q885" t="str" cm="1">
        <f t="array" ref="Q885">_xlfn.IFS(Table1[[#This Row],[Wealthier_Winner]]=-1,"Wealthier Nation Loses",Table1[[#This Row],[Wealthier_Winner]]=0,"Tie",Table1[[#This Row],[Wealthier_Winner]]=1,"Wealthier Nation Wins")</f>
        <v>Wealthier Nation Wins</v>
      </c>
    </row>
    <row r="886" spans="1:17" x14ac:dyDescent="0.2">
      <c r="A886" s="1">
        <v>1861</v>
      </c>
      <c r="B886" s="2">
        <v>31361</v>
      </c>
      <c r="C886" s="7">
        <f>_xlfn.FLOOR.MATH(Table1[[#This Row],[year]],10)</f>
        <v>1980</v>
      </c>
      <c r="D886" t="s">
        <v>22</v>
      </c>
      <c r="E886" t="s">
        <v>72</v>
      </c>
      <c r="F886">
        <v>3</v>
      </c>
      <c r="G886">
        <v>0</v>
      </c>
      <c r="H886" t="s">
        <v>224</v>
      </c>
      <c r="I886" t="s">
        <v>239</v>
      </c>
      <c r="J886" t="s">
        <v>22</v>
      </c>
      <c r="K886" t="b">
        <v>0</v>
      </c>
      <c r="L886">
        <v>1985</v>
      </c>
      <c r="M886">
        <v>28905736366</v>
      </c>
      <c r="N886">
        <v>24679795396</v>
      </c>
      <c r="O886" t="b">
        <v>0</v>
      </c>
      <c r="P886">
        <v>1</v>
      </c>
      <c r="Q886" t="str" cm="1">
        <f t="array" ref="Q886">_xlfn.IFS(Table1[[#This Row],[Wealthier_Winner]]=-1,"Wealthier Nation Loses",Table1[[#This Row],[Wealthier_Winner]]=0,"Tie",Table1[[#This Row],[Wealthier_Winner]]=1,"Wealthier Nation Wins")</f>
        <v>Wealthier Nation Wins</v>
      </c>
    </row>
    <row r="887" spans="1:17" x14ac:dyDescent="0.2">
      <c r="A887" s="1">
        <v>1862</v>
      </c>
      <c r="B887" s="2">
        <v>31361</v>
      </c>
      <c r="C887" s="7">
        <f>_xlfn.FLOOR.MATH(Table1[[#This Row],[year]],10)</f>
        <v>1980</v>
      </c>
      <c r="D887" t="s">
        <v>35</v>
      </c>
      <c r="E887" t="s">
        <v>14</v>
      </c>
      <c r="F887">
        <v>3</v>
      </c>
      <c r="G887">
        <v>0</v>
      </c>
      <c r="H887" t="s">
        <v>224</v>
      </c>
      <c r="I887" t="s">
        <v>250</v>
      </c>
      <c r="J887" t="s">
        <v>35</v>
      </c>
      <c r="K887" t="b">
        <v>0</v>
      </c>
      <c r="L887">
        <v>1985</v>
      </c>
      <c r="M887">
        <v>3282449235</v>
      </c>
      <c r="N887">
        <v>17933557359</v>
      </c>
      <c r="O887" t="b">
        <v>1</v>
      </c>
      <c r="P887">
        <v>-1</v>
      </c>
      <c r="Q887" t="str" cm="1">
        <f t="array" ref="Q887">_xlfn.IFS(Table1[[#This Row],[Wealthier_Winner]]=-1,"Wealthier Nation Loses",Table1[[#This Row],[Wealthier_Winner]]=0,"Tie",Table1[[#This Row],[Wealthier_Winner]]=1,"Wealthier Nation Wins")</f>
        <v>Wealthier Nation Loses</v>
      </c>
    </row>
    <row r="888" spans="1:17" x14ac:dyDescent="0.2">
      <c r="A888" s="1">
        <v>1865</v>
      </c>
      <c r="B888" s="2">
        <v>31364</v>
      </c>
      <c r="C888" s="7">
        <f>_xlfn.FLOOR.MATH(Table1[[#This Row],[year]],10)</f>
        <v>1980</v>
      </c>
      <c r="D888" t="s">
        <v>46</v>
      </c>
      <c r="E888" t="s">
        <v>42</v>
      </c>
      <c r="F888">
        <v>1</v>
      </c>
      <c r="G888">
        <v>1</v>
      </c>
      <c r="H888" t="s">
        <v>224</v>
      </c>
      <c r="I888" t="s">
        <v>338</v>
      </c>
      <c r="J888" t="s">
        <v>46</v>
      </c>
      <c r="K888" t="b">
        <v>0</v>
      </c>
      <c r="L888">
        <v>1985</v>
      </c>
      <c r="M888">
        <v>110980314191</v>
      </c>
      <c r="N888">
        <v>65416879914</v>
      </c>
      <c r="O888" t="b">
        <v>0</v>
      </c>
      <c r="P888">
        <v>0</v>
      </c>
      <c r="Q888" t="str" cm="1">
        <f t="array" ref="Q888">_xlfn.IFS(Table1[[#This Row],[Wealthier_Winner]]=-1,"Wealthier Nation Loses",Table1[[#This Row],[Wealthier_Winner]]=0,"Tie",Table1[[#This Row],[Wealthier_Winner]]=1,"Wealthier Nation Wins")</f>
        <v>Tie</v>
      </c>
    </row>
    <row r="889" spans="1:17" x14ac:dyDescent="0.2">
      <c r="A889" s="1">
        <v>1867</v>
      </c>
      <c r="B889" s="2">
        <v>31366</v>
      </c>
      <c r="C889" s="7">
        <f>_xlfn.FLOOR.MATH(Table1[[#This Row],[year]],10)</f>
        <v>1980</v>
      </c>
      <c r="D889" t="s">
        <v>331</v>
      </c>
      <c r="E889" t="s">
        <v>37</v>
      </c>
      <c r="F889">
        <v>0</v>
      </c>
      <c r="G889">
        <v>0</v>
      </c>
      <c r="H889" t="s">
        <v>224</v>
      </c>
      <c r="I889" t="s">
        <v>355</v>
      </c>
      <c r="J889" t="s">
        <v>331</v>
      </c>
      <c r="K889" t="b">
        <v>0</v>
      </c>
      <c r="L889">
        <v>1985</v>
      </c>
      <c r="M889">
        <v>16403539892</v>
      </c>
      <c r="N889">
        <v>48425161290</v>
      </c>
      <c r="O889" t="b">
        <v>1</v>
      </c>
      <c r="P889">
        <v>0</v>
      </c>
      <c r="Q889" t="str" cm="1">
        <f t="array" ref="Q889">_xlfn.IFS(Table1[[#This Row],[Wealthier_Winner]]=-1,"Wealthier Nation Loses",Table1[[#This Row],[Wealthier_Winner]]=0,"Tie",Table1[[#This Row],[Wealthier_Winner]]=1,"Wealthier Nation Wins")</f>
        <v>Tie</v>
      </c>
    </row>
    <row r="890" spans="1:17" x14ac:dyDescent="0.2">
      <c r="A890" s="1">
        <v>1869</v>
      </c>
      <c r="B890" s="2">
        <v>31368</v>
      </c>
      <c r="C890" s="7">
        <f>_xlfn.FLOOR.MATH(Table1[[#This Row],[year]],10)</f>
        <v>1980</v>
      </c>
      <c r="D890" t="s">
        <v>14</v>
      </c>
      <c r="E890" t="s">
        <v>35</v>
      </c>
      <c r="F890">
        <v>2</v>
      </c>
      <c r="G890">
        <v>2</v>
      </c>
      <c r="H890" t="s">
        <v>224</v>
      </c>
      <c r="I890" t="s">
        <v>75</v>
      </c>
      <c r="J890" t="s">
        <v>14</v>
      </c>
      <c r="K890" t="b">
        <v>0</v>
      </c>
      <c r="L890">
        <v>1985</v>
      </c>
      <c r="M890">
        <v>17933557359</v>
      </c>
      <c r="N890">
        <v>3282449235</v>
      </c>
      <c r="O890" t="b">
        <v>1</v>
      </c>
      <c r="P890">
        <v>0</v>
      </c>
      <c r="Q890" t="str" cm="1">
        <f t="array" ref="Q890">_xlfn.IFS(Table1[[#This Row],[Wealthier_Winner]]=-1,"Wealthier Nation Loses",Table1[[#This Row],[Wealthier_Winner]]=0,"Tie",Table1[[#This Row],[Wealthier_Winner]]=1,"Wealthier Nation Wins")</f>
        <v>Tie</v>
      </c>
    </row>
    <row r="891" spans="1:17" x14ac:dyDescent="0.2">
      <c r="A891" s="1">
        <v>1871</v>
      </c>
      <c r="B891" s="2">
        <v>31368</v>
      </c>
      <c r="C891" s="7">
        <f>_xlfn.FLOOR.MATH(Table1[[#This Row],[year]],10)</f>
        <v>1980</v>
      </c>
      <c r="D891" t="s">
        <v>303</v>
      </c>
      <c r="E891" t="s">
        <v>25</v>
      </c>
      <c r="F891">
        <v>1</v>
      </c>
      <c r="G891">
        <v>2</v>
      </c>
      <c r="H891" t="s">
        <v>224</v>
      </c>
      <c r="I891" t="s">
        <v>399</v>
      </c>
      <c r="J891" t="s">
        <v>303</v>
      </c>
      <c r="K891" t="b">
        <v>0</v>
      </c>
      <c r="L891">
        <v>1985</v>
      </c>
      <c r="M891">
        <v>1117797439</v>
      </c>
      <c r="N891">
        <v>113958084357</v>
      </c>
      <c r="O891" t="b">
        <v>1</v>
      </c>
      <c r="P891">
        <v>1</v>
      </c>
      <c r="Q891" t="str" cm="1">
        <f t="array" ref="Q891">_xlfn.IFS(Table1[[#This Row],[Wealthier_Winner]]=-1,"Wealthier Nation Loses",Table1[[#This Row],[Wealthier_Winner]]=0,"Tie",Table1[[#This Row],[Wealthier_Winner]]=1,"Wealthier Nation Wins")</f>
        <v>Wealthier Nation Wins</v>
      </c>
    </row>
    <row r="892" spans="1:17" x14ac:dyDescent="0.2">
      <c r="A892" s="1">
        <v>1872</v>
      </c>
      <c r="B892" s="2">
        <v>31371</v>
      </c>
      <c r="C892" s="7">
        <f>_xlfn.FLOOR.MATH(Table1[[#This Row],[year]],10)</f>
        <v>1980</v>
      </c>
      <c r="D892" t="s">
        <v>27</v>
      </c>
      <c r="E892" t="s">
        <v>23</v>
      </c>
      <c r="F892">
        <v>2</v>
      </c>
      <c r="G892">
        <v>1</v>
      </c>
      <c r="H892" t="s">
        <v>224</v>
      </c>
      <c r="I892" t="s">
        <v>265</v>
      </c>
      <c r="J892" t="s">
        <v>27</v>
      </c>
      <c r="K892" t="b">
        <v>0</v>
      </c>
      <c r="L892">
        <v>1985</v>
      </c>
      <c r="M892">
        <v>144057523221</v>
      </c>
      <c r="N892">
        <v>86268264148</v>
      </c>
      <c r="O892" t="b">
        <v>0</v>
      </c>
      <c r="P892">
        <v>1</v>
      </c>
      <c r="Q892" t="str" cm="1">
        <f t="array" ref="Q892">_xlfn.IFS(Table1[[#This Row],[Wealthier_Winner]]=-1,"Wealthier Nation Loses",Table1[[#This Row],[Wealthier_Winner]]=0,"Tie",Table1[[#This Row],[Wealthier_Winner]]=1,"Wealthier Nation Wins")</f>
        <v>Wealthier Nation Wins</v>
      </c>
    </row>
    <row r="893" spans="1:17" x14ac:dyDescent="0.2">
      <c r="A893" s="1">
        <v>1874</v>
      </c>
      <c r="B893" s="2">
        <v>31380</v>
      </c>
      <c r="C893" s="7">
        <f>_xlfn.FLOOR.MATH(Table1[[#This Row],[year]],10)</f>
        <v>1980</v>
      </c>
      <c r="D893" t="s">
        <v>37</v>
      </c>
      <c r="E893" t="s">
        <v>331</v>
      </c>
      <c r="F893">
        <v>3</v>
      </c>
      <c r="G893">
        <v>1</v>
      </c>
      <c r="H893" t="s">
        <v>224</v>
      </c>
      <c r="I893" t="s">
        <v>420</v>
      </c>
      <c r="J893" t="s">
        <v>45</v>
      </c>
      <c r="K893" t="b">
        <v>1</v>
      </c>
      <c r="L893">
        <v>1985</v>
      </c>
      <c r="M893">
        <v>48425161290</v>
      </c>
      <c r="N893">
        <v>16403539892</v>
      </c>
      <c r="O893" t="b">
        <v>1</v>
      </c>
      <c r="P893">
        <v>1</v>
      </c>
      <c r="Q893" t="str" cm="1">
        <f t="array" ref="Q893">_xlfn.IFS(Table1[[#This Row],[Wealthier_Winner]]=-1,"Wealthier Nation Loses",Table1[[#This Row],[Wealthier_Winner]]=0,"Tie",Table1[[#This Row],[Wealthier_Winner]]=1,"Wealthier Nation Wins")</f>
        <v>Wealthier Nation Wins</v>
      </c>
    </row>
    <row r="894" spans="1:17" x14ac:dyDescent="0.2">
      <c r="A894" s="1">
        <v>1876</v>
      </c>
      <c r="B894" s="2">
        <v>31563</v>
      </c>
      <c r="C894" s="7">
        <f>_xlfn.FLOOR.MATH(Table1[[#This Row],[year]],10)</f>
        <v>1980</v>
      </c>
      <c r="D894" t="s">
        <v>33</v>
      </c>
      <c r="E894" t="s">
        <v>18</v>
      </c>
      <c r="F894">
        <v>1</v>
      </c>
      <c r="G894">
        <v>1</v>
      </c>
      <c r="H894" t="s">
        <v>74</v>
      </c>
      <c r="I894" t="s">
        <v>83</v>
      </c>
      <c r="J894" t="s">
        <v>17</v>
      </c>
      <c r="K894" t="b">
        <v>1</v>
      </c>
      <c r="L894">
        <v>1986</v>
      </c>
      <c r="M894">
        <v>20249294117</v>
      </c>
      <c r="N894">
        <v>641862313287</v>
      </c>
      <c r="O894" t="b">
        <v>1</v>
      </c>
      <c r="P894">
        <v>0</v>
      </c>
      <c r="Q894" t="str" cm="1">
        <f t="array" ref="Q894">_xlfn.IFS(Table1[[#This Row],[Wealthier_Winner]]=-1,"Wealthier Nation Loses",Table1[[#This Row],[Wealthier_Winner]]=0,"Tie",Table1[[#This Row],[Wealthier_Winner]]=1,"Wealthier Nation Wins")</f>
        <v>Tie</v>
      </c>
    </row>
    <row r="895" spans="1:17" x14ac:dyDescent="0.2">
      <c r="A895" s="1">
        <v>1877</v>
      </c>
      <c r="B895" s="2">
        <v>31564</v>
      </c>
      <c r="C895" s="7">
        <f>_xlfn.FLOOR.MATH(Table1[[#This Row],[year]],10)</f>
        <v>1980</v>
      </c>
      <c r="D895" t="s">
        <v>34</v>
      </c>
      <c r="E895" t="s">
        <v>20</v>
      </c>
      <c r="F895">
        <v>0</v>
      </c>
      <c r="G895">
        <v>1</v>
      </c>
      <c r="H895" t="s">
        <v>74</v>
      </c>
      <c r="I895" t="s">
        <v>302</v>
      </c>
      <c r="J895" t="s">
        <v>17</v>
      </c>
      <c r="K895" t="b">
        <v>1</v>
      </c>
      <c r="L895">
        <v>1986</v>
      </c>
      <c r="M895">
        <v>379006836991</v>
      </c>
      <c r="N895">
        <v>764946585850</v>
      </c>
      <c r="O895" t="b">
        <v>1</v>
      </c>
      <c r="P895">
        <v>1</v>
      </c>
      <c r="Q895" t="str" cm="1">
        <f t="array" ref="Q895">_xlfn.IFS(Table1[[#This Row],[Wealthier_Winner]]=-1,"Wealthier Nation Loses",Table1[[#This Row],[Wealthier_Winner]]=0,"Tie",Table1[[#This Row],[Wealthier_Winner]]=1,"Wealthier Nation Wins")</f>
        <v>Wealthier Nation Wins</v>
      </c>
    </row>
    <row r="896" spans="1:17" x14ac:dyDescent="0.2">
      <c r="A896" s="1">
        <v>1878</v>
      </c>
      <c r="B896" s="2">
        <v>31564</v>
      </c>
      <c r="C896" s="7">
        <f>_xlfn.FLOOR.MATH(Table1[[#This Row],[year]],10)</f>
        <v>1980</v>
      </c>
      <c r="D896" t="s">
        <v>21</v>
      </c>
      <c r="E896" t="s">
        <v>13</v>
      </c>
      <c r="F896">
        <v>0</v>
      </c>
      <c r="G896">
        <v>1</v>
      </c>
      <c r="H896" t="s">
        <v>74</v>
      </c>
      <c r="I896" t="s">
        <v>85</v>
      </c>
      <c r="J896" t="s">
        <v>17</v>
      </c>
      <c r="K896" t="b">
        <v>1</v>
      </c>
      <c r="L896">
        <v>1986</v>
      </c>
      <c r="M896">
        <v>251141555185</v>
      </c>
      <c r="N896">
        <v>256480852471</v>
      </c>
      <c r="O896" t="b">
        <v>0</v>
      </c>
      <c r="P896">
        <v>1</v>
      </c>
      <c r="Q896" t="str" cm="1">
        <f t="array" ref="Q896">_xlfn.IFS(Table1[[#This Row],[Wealthier_Winner]]=-1,"Wealthier Nation Loses",Table1[[#This Row],[Wealthier_Winner]]=0,"Tie",Table1[[#This Row],[Wealthier_Winner]]=1,"Wealthier Nation Wins")</f>
        <v>Wealthier Nation Wins</v>
      </c>
    </row>
    <row r="897" spans="1:17" x14ac:dyDescent="0.2">
      <c r="A897" s="1">
        <v>1879</v>
      </c>
      <c r="B897" s="2">
        <v>31565</v>
      </c>
      <c r="C897" s="7">
        <f>_xlfn.FLOOR.MATH(Table1[[#This Row],[year]],10)</f>
        <v>1980</v>
      </c>
      <c r="D897" t="s">
        <v>19</v>
      </c>
      <c r="E897" t="s">
        <v>195</v>
      </c>
      <c r="F897">
        <v>3</v>
      </c>
      <c r="G897">
        <v>1</v>
      </c>
      <c r="H897" t="s">
        <v>74</v>
      </c>
      <c r="I897" t="s">
        <v>83</v>
      </c>
      <c r="J897" t="s">
        <v>17</v>
      </c>
      <c r="K897" t="b">
        <v>1</v>
      </c>
      <c r="L897">
        <v>1986</v>
      </c>
      <c r="M897">
        <v>105872372613</v>
      </c>
      <c r="N897">
        <v>119965960795</v>
      </c>
      <c r="O897" t="b">
        <v>0</v>
      </c>
      <c r="P897">
        <v>-1</v>
      </c>
      <c r="Q897" t="str" cm="1">
        <f t="array" ref="Q897">_xlfn.IFS(Table1[[#This Row],[Wealthier_Winner]]=-1,"Wealthier Nation Loses",Table1[[#This Row],[Wealthier_Winner]]=0,"Tie",Table1[[#This Row],[Wealthier_Winner]]=1,"Wealthier Nation Wins")</f>
        <v>Wealthier Nation Loses</v>
      </c>
    </row>
    <row r="898" spans="1:17" x14ac:dyDescent="0.2">
      <c r="A898" s="1">
        <v>1883</v>
      </c>
      <c r="B898" s="2">
        <v>31566</v>
      </c>
      <c r="C898" s="7">
        <f>_xlfn.FLOOR.MATH(Table1[[#This Row],[year]],10)</f>
        <v>1980</v>
      </c>
      <c r="D898" t="s">
        <v>17</v>
      </c>
      <c r="E898" t="s">
        <v>23</v>
      </c>
      <c r="F898">
        <v>2</v>
      </c>
      <c r="G898">
        <v>1</v>
      </c>
      <c r="H898" t="s">
        <v>74</v>
      </c>
      <c r="I898" t="s">
        <v>83</v>
      </c>
      <c r="J898" t="s">
        <v>17</v>
      </c>
      <c r="K898" t="b">
        <v>0</v>
      </c>
      <c r="L898">
        <v>1986</v>
      </c>
      <c r="M898">
        <v>134556034672</v>
      </c>
      <c r="N898">
        <v>120018787249</v>
      </c>
      <c r="O898" t="b">
        <v>0</v>
      </c>
      <c r="P898">
        <v>1</v>
      </c>
      <c r="Q898" t="str" cm="1">
        <f t="array" ref="Q898">_xlfn.IFS(Table1[[#This Row],[Wealthier_Winner]]=-1,"Wealthier Nation Loses",Table1[[#This Row],[Wealthier_Winner]]=0,"Tie",Table1[[#This Row],[Wealthier_Winner]]=1,"Wealthier Nation Wins")</f>
        <v>Wealthier Nation Wins</v>
      </c>
    </row>
    <row r="899" spans="1:17" x14ac:dyDescent="0.2">
      <c r="A899" s="1">
        <v>1884</v>
      </c>
      <c r="B899" s="2">
        <v>31566</v>
      </c>
      <c r="C899" s="7">
        <f>_xlfn.FLOOR.MATH(Table1[[#This Row],[year]],10)</f>
        <v>1980</v>
      </c>
      <c r="D899" t="s">
        <v>38</v>
      </c>
      <c r="E899" t="s">
        <v>194</v>
      </c>
      <c r="F899">
        <v>1</v>
      </c>
      <c r="G899">
        <v>0</v>
      </c>
      <c r="H899" t="s">
        <v>74</v>
      </c>
      <c r="I899" t="s">
        <v>107</v>
      </c>
      <c r="J899" t="s">
        <v>17</v>
      </c>
      <c r="K899" t="b">
        <v>1</v>
      </c>
      <c r="L899">
        <v>1986</v>
      </c>
      <c r="M899">
        <v>38745901353</v>
      </c>
      <c r="N899">
        <v>601452653180</v>
      </c>
      <c r="O899" t="b">
        <v>1</v>
      </c>
      <c r="P899">
        <v>-1</v>
      </c>
      <c r="Q899" t="str" cm="1">
        <f t="array" ref="Q899">_xlfn.IFS(Table1[[#This Row],[Wealthier_Winner]]=-1,"Wealthier Nation Loses",Table1[[#This Row],[Wealthier_Winner]]=0,"Tie",Table1[[#This Row],[Wealthier_Winner]]=1,"Wealthier Nation Wins")</f>
        <v>Wealthier Nation Loses</v>
      </c>
    </row>
    <row r="900" spans="1:17" x14ac:dyDescent="0.2">
      <c r="A900" s="1">
        <v>1885</v>
      </c>
      <c r="B900" s="2">
        <v>31567</v>
      </c>
      <c r="C900" s="7">
        <f>_xlfn.FLOOR.MATH(Table1[[#This Row],[year]],10)</f>
        <v>1980</v>
      </c>
      <c r="D900" t="s">
        <v>35</v>
      </c>
      <c r="E900" t="s">
        <v>37</v>
      </c>
      <c r="F900">
        <v>1</v>
      </c>
      <c r="G900">
        <v>0</v>
      </c>
      <c r="H900" t="s">
        <v>74</v>
      </c>
      <c r="I900" t="s">
        <v>84</v>
      </c>
      <c r="J900" t="s">
        <v>17</v>
      </c>
      <c r="K900" t="b">
        <v>1</v>
      </c>
      <c r="L900">
        <v>1986</v>
      </c>
      <c r="M900">
        <v>3723993942</v>
      </c>
      <c r="N900">
        <v>47264516129</v>
      </c>
      <c r="O900" t="b">
        <v>1</v>
      </c>
      <c r="P900">
        <v>-1</v>
      </c>
      <c r="Q900" t="str" cm="1">
        <f t="array" ref="Q900">_xlfn.IFS(Table1[[#This Row],[Wealthier_Winner]]=-1,"Wealthier Nation Loses",Table1[[#This Row],[Wealthier_Winner]]=0,"Tie",Table1[[#This Row],[Wealthier_Winner]]=1,"Wealthier Nation Wins")</f>
        <v>Wealthier Nation Loses</v>
      </c>
    </row>
    <row r="901" spans="1:17" x14ac:dyDescent="0.2">
      <c r="A901" s="1">
        <v>1887</v>
      </c>
      <c r="B901" s="2">
        <v>31567</v>
      </c>
      <c r="C901" s="7">
        <f>_xlfn.FLOOR.MATH(Table1[[#This Row],[year]],10)</f>
        <v>1980</v>
      </c>
      <c r="D901" t="s">
        <v>26</v>
      </c>
      <c r="E901" t="s">
        <v>16</v>
      </c>
      <c r="F901">
        <v>1</v>
      </c>
      <c r="G901">
        <v>1</v>
      </c>
      <c r="H901" t="s">
        <v>74</v>
      </c>
      <c r="I901" t="s">
        <v>421</v>
      </c>
      <c r="J901" t="s">
        <v>17</v>
      </c>
      <c r="K901" t="b">
        <v>1</v>
      </c>
      <c r="L901">
        <v>1986</v>
      </c>
      <c r="M901">
        <v>5880112788</v>
      </c>
      <c r="N901">
        <v>1050092624515</v>
      </c>
      <c r="O901" t="b">
        <v>1</v>
      </c>
      <c r="P901">
        <v>0</v>
      </c>
      <c r="Q901" t="str" cm="1">
        <f t="array" ref="Q901">_xlfn.IFS(Table1[[#This Row],[Wealthier_Winner]]=-1,"Wealthier Nation Loses",Table1[[#This Row],[Wealthier_Winner]]=0,"Tie",Table1[[#This Row],[Wealthier_Winner]]=1,"Wealthier Nation Wins")</f>
        <v>Tie</v>
      </c>
    </row>
    <row r="902" spans="1:17" x14ac:dyDescent="0.2">
      <c r="A902" s="1">
        <v>1889</v>
      </c>
      <c r="B902" s="2">
        <v>31568</v>
      </c>
      <c r="C902" s="7">
        <f>_xlfn.FLOOR.MATH(Table1[[#This Row],[year]],10)</f>
        <v>1980</v>
      </c>
      <c r="D902" t="s">
        <v>18</v>
      </c>
      <c r="E902" t="s">
        <v>19</v>
      </c>
      <c r="F902">
        <v>1</v>
      </c>
      <c r="G902">
        <v>1</v>
      </c>
      <c r="H902" t="s">
        <v>74</v>
      </c>
      <c r="I902" t="s">
        <v>82</v>
      </c>
      <c r="J902" t="s">
        <v>17</v>
      </c>
      <c r="K902" t="b">
        <v>1</v>
      </c>
      <c r="L902">
        <v>1986</v>
      </c>
      <c r="M902">
        <v>641862313287</v>
      </c>
      <c r="N902">
        <v>105872372613</v>
      </c>
      <c r="O902" t="b">
        <v>1</v>
      </c>
      <c r="P902">
        <v>0</v>
      </c>
      <c r="Q902" t="str" cm="1">
        <f t="array" ref="Q902">_xlfn.IFS(Table1[[#This Row],[Wealthier_Winner]]=-1,"Wealthier Nation Loses",Table1[[#This Row],[Wealthier_Winner]]=0,"Tie",Table1[[#This Row],[Wealthier_Winner]]=1,"Wealthier Nation Wins")</f>
        <v>Tie</v>
      </c>
    </row>
    <row r="903" spans="1:17" x14ac:dyDescent="0.2">
      <c r="A903" s="1">
        <v>1890</v>
      </c>
      <c r="B903" s="2">
        <v>31568</v>
      </c>
      <c r="C903" s="7">
        <f>_xlfn.FLOOR.MATH(Table1[[#This Row],[year]],10)</f>
        <v>1980</v>
      </c>
      <c r="D903" t="s">
        <v>195</v>
      </c>
      <c r="E903" t="s">
        <v>33</v>
      </c>
      <c r="F903">
        <v>1</v>
      </c>
      <c r="G903">
        <v>1</v>
      </c>
      <c r="H903" t="s">
        <v>74</v>
      </c>
      <c r="I903" t="s">
        <v>83</v>
      </c>
      <c r="J903" t="s">
        <v>17</v>
      </c>
      <c r="K903" t="b">
        <v>1</v>
      </c>
      <c r="L903">
        <v>1986</v>
      </c>
      <c r="M903">
        <v>119965960795</v>
      </c>
      <c r="N903">
        <v>20249294117</v>
      </c>
      <c r="O903" t="b">
        <v>1</v>
      </c>
      <c r="P903">
        <v>0</v>
      </c>
      <c r="Q903" t="str" cm="1">
        <f t="array" ref="Q903">_xlfn.IFS(Table1[[#This Row],[Wealthier_Winner]]=-1,"Wealthier Nation Loses",Table1[[#This Row],[Wealthier_Winner]]=0,"Tie",Table1[[#This Row],[Wealthier_Winner]]=1,"Wealthier Nation Wins")</f>
        <v>Tie</v>
      </c>
    </row>
    <row r="904" spans="1:17" x14ac:dyDescent="0.2">
      <c r="A904" s="1">
        <v>1891</v>
      </c>
      <c r="B904" s="2">
        <v>31569</v>
      </c>
      <c r="C904" s="7">
        <f>_xlfn.FLOOR.MATH(Table1[[#This Row],[year]],10)</f>
        <v>1980</v>
      </c>
      <c r="D904" t="s">
        <v>13</v>
      </c>
      <c r="E904" t="s">
        <v>32</v>
      </c>
      <c r="F904">
        <v>1</v>
      </c>
      <c r="G904">
        <v>0</v>
      </c>
      <c r="H904" t="s">
        <v>74</v>
      </c>
      <c r="I904" t="s">
        <v>85</v>
      </c>
      <c r="J904" t="s">
        <v>17</v>
      </c>
      <c r="K904" t="b">
        <v>1</v>
      </c>
      <c r="L904">
        <v>1986</v>
      </c>
      <c r="M904">
        <v>256480852471</v>
      </c>
      <c r="N904">
        <v>63692007897</v>
      </c>
      <c r="O904" t="b">
        <v>1</v>
      </c>
      <c r="P904">
        <v>1</v>
      </c>
      <c r="Q904" t="str" cm="1">
        <f t="array" ref="Q904">_xlfn.IFS(Table1[[#This Row],[Wealthier_Winner]]=-1,"Wealthier Nation Loses",Table1[[#This Row],[Wealthier_Winner]]=0,"Tie",Table1[[#This Row],[Wealthier_Winner]]=1,"Wealthier Nation Wins")</f>
        <v>Wealthier Nation Wins</v>
      </c>
    </row>
    <row r="905" spans="1:17" x14ac:dyDescent="0.2">
      <c r="A905" s="1">
        <v>1892</v>
      </c>
      <c r="B905" s="2">
        <v>31569</v>
      </c>
      <c r="C905" s="7">
        <f>_xlfn.FLOOR.MATH(Table1[[#This Row],[year]],10)</f>
        <v>1980</v>
      </c>
      <c r="D905" t="s">
        <v>194</v>
      </c>
      <c r="E905" t="s">
        <v>24</v>
      </c>
      <c r="F905">
        <v>0</v>
      </c>
      <c r="G905">
        <v>0</v>
      </c>
      <c r="H905" t="s">
        <v>74</v>
      </c>
      <c r="I905" t="s">
        <v>107</v>
      </c>
      <c r="J905" t="s">
        <v>17</v>
      </c>
      <c r="K905" t="b">
        <v>1</v>
      </c>
      <c r="L905">
        <v>1986</v>
      </c>
      <c r="M905">
        <v>601452653180</v>
      </c>
      <c r="N905">
        <v>19462085540</v>
      </c>
      <c r="O905" t="b">
        <v>1</v>
      </c>
      <c r="P905">
        <v>0</v>
      </c>
      <c r="Q905" t="str" cm="1">
        <f t="array" ref="Q905">_xlfn.IFS(Table1[[#This Row],[Wealthier_Winner]]=-1,"Wealthier Nation Loses",Table1[[#This Row],[Wealthier_Winner]]=0,"Tie",Table1[[#This Row],[Wealthier_Winner]]=1,"Wealthier Nation Wins")</f>
        <v>Tie</v>
      </c>
    </row>
    <row r="906" spans="1:17" x14ac:dyDescent="0.2">
      <c r="A906" s="1">
        <v>1893</v>
      </c>
      <c r="B906" s="2">
        <v>31569</v>
      </c>
      <c r="C906" s="7">
        <f>_xlfn.FLOOR.MATH(Table1[[#This Row],[year]],10)</f>
        <v>1980</v>
      </c>
      <c r="D906" t="s">
        <v>30</v>
      </c>
      <c r="E906" t="s">
        <v>34</v>
      </c>
      <c r="F906">
        <v>2</v>
      </c>
      <c r="G906">
        <v>0</v>
      </c>
      <c r="H906" t="s">
        <v>74</v>
      </c>
      <c r="I906" t="s">
        <v>106</v>
      </c>
      <c r="J906" t="s">
        <v>17</v>
      </c>
      <c r="K906" t="b">
        <v>1</v>
      </c>
      <c r="L906">
        <v>1986</v>
      </c>
      <c r="M906">
        <v>24778163812</v>
      </c>
      <c r="N906">
        <v>379006836991</v>
      </c>
      <c r="O906" t="b">
        <v>1</v>
      </c>
      <c r="P906">
        <v>-1</v>
      </c>
      <c r="Q906" t="str" cm="1">
        <f t="array" ref="Q906">_xlfn.IFS(Table1[[#This Row],[Wealthier_Winner]]=-1,"Wealthier Nation Loses",Table1[[#This Row],[Wealthier_Winner]]=0,"Tie",Table1[[#This Row],[Wealthier_Winner]]=1,"Wealthier Nation Wins")</f>
        <v>Wealthier Nation Loses</v>
      </c>
    </row>
    <row r="907" spans="1:17" x14ac:dyDescent="0.2">
      <c r="A907" s="1">
        <v>1894</v>
      </c>
      <c r="B907" s="2">
        <v>31570</v>
      </c>
      <c r="C907" s="7">
        <f>_xlfn.FLOOR.MATH(Table1[[#This Row],[year]],10)</f>
        <v>1980</v>
      </c>
      <c r="D907" t="s">
        <v>17</v>
      </c>
      <c r="E907" t="s">
        <v>35</v>
      </c>
      <c r="F907">
        <v>1</v>
      </c>
      <c r="G907">
        <v>1</v>
      </c>
      <c r="H907" t="s">
        <v>74</v>
      </c>
      <c r="I907" t="s">
        <v>83</v>
      </c>
      <c r="J907" t="s">
        <v>17</v>
      </c>
      <c r="K907" t="b">
        <v>0</v>
      </c>
      <c r="L907">
        <v>1986</v>
      </c>
      <c r="M907">
        <v>134556034672</v>
      </c>
      <c r="N907">
        <v>3723993942</v>
      </c>
      <c r="O907" t="b">
        <v>1</v>
      </c>
      <c r="P907">
        <v>0</v>
      </c>
      <c r="Q907" t="str" cm="1">
        <f t="array" ref="Q907">_xlfn.IFS(Table1[[#This Row],[Wealthier_Winner]]=-1,"Wealthier Nation Loses",Table1[[#This Row],[Wealthier_Winner]]=0,"Tie",Table1[[#This Row],[Wealthier_Winner]]=1,"Wealthier Nation Wins")</f>
        <v>Tie</v>
      </c>
    </row>
    <row r="908" spans="1:17" x14ac:dyDescent="0.2">
      <c r="A908" s="1">
        <v>1897</v>
      </c>
      <c r="B908" s="2">
        <v>31571</v>
      </c>
      <c r="C908" s="7">
        <f>_xlfn.FLOOR.MATH(Table1[[#This Row],[year]],10)</f>
        <v>1980</v>
      </c>
      <c r="D908" t="s">
        <v>36</v>
      </c>
      <c r="E908" t="s">
        <v>26</v>
      </c>
      <c r="F908">
        <v>6</v>
      </c>
      <c r="G908">
        <v>1</v>
      </c>
      <c r="H908" t="s">
        <v>74</v>
      </c>
      <c r="I908" t="s">
        <v>422</v>
      </c>
      <c r="J908" t="s">
        <v>17</v>
      </c>
      <c r="K908" t="b">
        <v>1</v>
      </c>
      <c r="L908">
        <v>1986</v>
      </c>
      <c r="M908">
        <v>87748695216</v>
      </c>
      <c r="N908">
        <v>5880112788</v>
      </c>
      <c r="O908" t="b">
        <v>1</v>
      </c>
      <c r="P908">
        <v>1</v>
      </c>
      <c r="Q908" t="str" cm="1">
        <f t="array" ref="Q908">_xlfn.IFS(Table1[[#This Row],[Wealthier_Winner]]=-1,"Wealthier Nation Loses",Table1[[#This Row],[Wealthier_Winner]]=0,"Tie",Table1[[#This Row],[Wealthier_Winner]]=1,"Wealthier Nation Wins")</f>
        <v>Wealthier Nation Wins</v>
      </c>
    </row>
    <row r="909" spans="1:17" x14ac:dyDescent="0.2">
      <c r="A909" s="1">
        <v>1899</v>
      </c>
      <c r="B909" s="2">
        <v>31571</v>
      </c>
      <c r="C909" s="7">
        <f>_xlfn.FLOOR.MATH(Table1[[#This Row],[year]],10)</f>
        <v>1980</v>
      </c>
      <c r="D909" t="s">
        <v>37</v>
      </c>
      <c r="E909" t="s">
        <v>23</v>
      </c>
      <c r="F909">
        <v>1</v>
      </c>
      <c r="G909">
        <v>2</v>
      </c>
      <c r="H909" t="s">
        <v>74</v>
      </c>
      <c r="I909" t="s">
        <v>84</v>
      </c>
      <c r="J909" t="s">
        <v>17</v>
      </c>
      <c r="K909" t="b">
        <v>1</v>
      </c>
      <c r="L909">
        <v>1986</v>
      </c>
      <c r="M909">
        <v>47264516129</v>
      </c>
      <c r="N909">
        <v>120018787249</v>
      </c>
      <c r="O909" t="b">
        <v>1</v>
      </c>
      <c r="P909">
        <v>1</v>
      </c>
      <c r="Q909" t="str" cm="1">
        <f t="array" ref="Q909">_xlfn.IFS(Table1[[#This Row],[Wealthier_Winner]]=-1,"Wealthier Nation Loses",Table1[[#This Row],[Wealthier_Winner]]=0,"Tie",Table1[[#This Row],[Wealthier_Winner]]=1,"Wealthier Nation Wins")</f>
        <v>Wealthier Nation Wins</v>
      </c>
    </row>
    <row r="910" spans="1:17" x14ac:dyDescent="0.2">
      <c r="A910" s="1">
        <v>1900</v>
      </c>
      <c r="B910" s="2">
        <v>31572</v>
      </c>
      <c r="C910" s="7">
        <f>_xlfn.FLOOR.MATH(Table1[[#This Row],[year]],10)</f>
        <v>1980</v>
      </c>
      <c r="D910" t="s">
        <v>30</v>
      </c>
      <c r="E910" t="s">
        <v>20</v>
      </c>
      <c r="F910">
        <v>0</v>
      </c>
      <c r="G910">
        <v>3</v>
      </c>
      <c r="H910" t="s">
        <v>74</v>
      </c>
      <c r="I910" t="s">
        <v>302</v>
      </c>
      <c r="J910" t="s">
        <v>17</v>
      </c>
      <c r="K910" t="b">
        <v>1</v>
      </c>
      <c r="L910">
        <v>1986</v>
      </c>
      <c r="M910">
        <v>24778163812</v>
      </c>
      <c r="N910">
        <v>764946585850</v>
      </c>
      <c r="O910" t="b">
        <v>1</v>
      </c>
      <c r="P910">
        <v>1</v>
      </c>
      <c r="Q910" t="str" cm="1">
        <f t="array" ref="Q910">_xlfn.IFS(Table1[[#This Row],[Wealthier_Winner]]=-1,"Wealthier Nation Loses",Table1[[#This Row],[Wealthier_Winner]]=0,"Tie",Table1[[#This Row],[Wealthier_Winner]]=1,"Wealthier Nation Wins")</f>
        <v>Wealthier Nation Wins</v>
      </c>
    </row>
    <row r="911" spans="1:17" x14ac:dyDescent="0.2">
      <c r="A911" s="1">
        <v>1902</v>
      </c>
      <c r="B911" s="2">
        <v>31573</v>
      </c>
      <c r="C911" s="7">
        <f>_xlfn.FLOOR.MATH(Table1[[#This Row],[year]],10)</f>
        <v>1980</v>
      </c>
      <c r="D911" t="s">
        <v>19</v>
      </c>
      <c r="E911" t="s">
        <v>33</v>
      </c>
      <c r="F911">
        <v>2</v>
      </c>
      <c r="G911">
        <v>0</v>
      </c>
      <c r="H911" t="s">
        <v>74</v>
      </c>
      <c r="I911" t="s">
        <v>83</v>
      </c>
      <c r="J911" t="s">
        <v>17</v>
      </c>
      <c r="K911" t="b">
        <v>1</v>
      </c>
      <c r="L911">
        <v>1986</v>
      </c>
      <c r="M911">
        <v>105872372613</v>
      </c>
      <c r="N911">
        <v>20249294117</v>
      </c>
      <c r="O911" t="b">
        <v>1</v>
      </c>
      <c r="P911">
        <v>1</v>
      </c>
      <c r="Q911" t="str" cm="1">
        <f t="array" ref="Q911">_xlfn.IFS(Table1[[#This Row],[Wealthier_Winner]]=-1,"Wealthier Nation Loses",Table1[[#This Row],[Wealthier_Winner]]=0,"Tie",Table1[[#This Row],[Wealthier_Winner]]=1,"Wealthier Nation Wins")</f>
        <v>Wealthier Nation Wins</v>
      </c>
    </row>
    <row r="912" spans="1:17" x14ac:dyDescent="0.2">
      <c r="A912" s="1">
        <v>1903</v>
      </c>
      <c r="B912" s="2">
        <v>31573</v>
      </c>
      <c r="C912" s="7">
        <f>_xlfn.FLOOR.MATH(Table1[[#This Row],[year]],10)</f>
        <v>1980</v>
      </c>
      <c r="D912" t="s">
        <v>195</v>
      </c>
      <c r="E912" t="s">
        <v>18</v>
      </c>
      <c r="F912">
        <v>2</v>
      </c>
      <c r="G912">
        <v>3</v>
      </c>
      <c r="H912" t="s">
        <v>74</v>
      </c>
      <c r="I912" t="s">
        <v>82</v>
      </c>
      <c r="J912" t="s">
        <v>17</v>
      </c>
      <c r="K912" t="b">
        <v>1</v>
      </c>
      <c r="L912">
        <v>1986</v>
      </c>
      <c r="M912">
        <v>119965960795</v>
      </c>
      <c r="N912">
        <v>641862313287</v>
      </c>
      <c r="O912" t="b">
        <v>1</v>
      </c>
      <c r="P912">
        <v>1</v>
      </c>
      <c r="Q912" t="str" cm="1">
        <f t="array" ref="Q912">_xlfn.IFS(Table1[[#This Row],[Wealthier_Winner]]=-1,"Wealthier Nation Loses",Table1[[#This Row],[Wealthier_Winner]]=0,"Tie",Table1[[#This Row],[Wealthier_Winner]]=1,"Wealthier Nation Wins")</f>
        <v>Wealthier Nation Wins</v>
      </c>
    </row>
    <row r="913" spans="1:17" x14ac:dyDescent="0.2">
      <c r="A913" s="1">
        <v>1905</v>
      </c>
      <c r="B913" s="2">
        <v>31574</v>
      </c>
      <c r="C913" s="7">
        <f>_xlfn.FLOOR.MATH(Table1[[#This Row],[year]],10)</f>
        <v>1980</v>
      </c>
      <c r="D913" t="s">
        <v>17</v>
      </c>
      <c r="E913" t="s">
        <v>37</v>
      </c>
      <c r="F913">
        <v>1</v>
      </c>
      <c r="G913">
        <v>0</v>
      </c>
      <c r="H913" t="s">
        <v>74</v>
      </c>
      <c r="I913" t="s">
        <v>83</v>
      </c>
      <c r="J913" t="s">
        <v>17</v>
      </c>
      <c r="K913" t="b">
        <v>0</v>
      </c>
      <c r="L913">
        <v>1986</v>
      </c>
      <c r="M913">
        <v>134556034672</v>
      </c>
      <c r="N913">
        <v>47264516129</v>
      </c>
      <c r="O913" t="b">
        <v>1</v>
      </c>
      <c r="P913">
        <v>1</v>
      </c>
      <c r="Q913" t="str" cm="1">
        <f t="array" ref="Q913">_xlfn.IFS(Table1[[#This Row],[Wealthier_Winner]]=-1,"Wealthier Nation Loses",Table1[[#This Row],[Wealthier_Winner]]=0,"Tie",Table1[[#This Row],[Wealthier_Winner]]=1,"Wealthier Nation Wins")</f>
        <v>Wealthier Nation Wins</v>
      </c>
    </row>
    <row r="914" spans="1:17" x14ac:dyDescent="0.2">
      <c r="A914" s="1">
        <v>1906</v>
      </c>
      <c r="B914" s="2">
        <v>31574</v>
      </c>
      <c r="C914" s="7">
        <f>_xlfn.FLOOR.MATH(Table1[[#This Row],[year]],10)</f>
        <v>1980</v>
      </c>
      <c r="D914" t="s">
        <v>35</v>
      </c>
      <c r="E914" t="s">
        <v>23</v>
      </c>
      <c r="F914">
        <v>2</v>
      </c>
      <c r="G914">
        <v>2</v>
      </c>
      <c r="H914" t="s">
        <v>74</v>
      </c>
      <c r="I914" t="s">
        <v>84</v>
      </c>
      <c r="J914" t="s">
        <v>17</v>
      </c>
      <c r="K914" t="b">
        <v>1</v>
      </c>
      <c r="L914">
        <v>1986</v>
      </c>
      <c r="M914">
        <v>3723993942</v>
      </c>
      <c r="N914">
        <v>120018787249</v>
      </c>
      <c r="O914" t="b">
        <v>1</v>
      </c>
      <c r="P914">
        <v>0</v>
      </c>
      <c r="Q914" t="str" cm="1">
        <f t="array" ref="Q914">_xlfn.IFS(Table1[[#This Row],[Wealthier_Winner]]=-1,"Wealthier Nation Loses",Table1[[#This Row],[Wealthier_Winner]]=0,"Tie",Table1[[#This Row],[Wealthier_Winner]]=1,"Wealthier Nation Wins")</f>
        <v>Tie</v>
      </c>
    </row>
    <row r="915" spans="1:17" x14ac:dyDescent="0.2">
      <c r="A915" s="1">
        <v>1907</v>
      </c>
      <c r="B915" s="2">
        <v>31574</v>
      </c>
      <c r="C915" s="7">
        <f>_xlfn.FLOOR.MATH(Table1[[#This Row],[year]],10)</f>
        <v>1980</v>
      </c>
      <c r="D915" t="s">
        <v>38</v>
      </c>
      <c r="E915" t="s">
        <v>24</v>
      </c>
      <c r="F915">
        <v>1</v>
      </c>
      <c r="G915">
        <v>3</v>
      </c>
      <c r="H915" t="s">
        <v>74</v>
      </c>
      <c r="I915" t="s">
        <v>85</v>
      </c>
      <c r="J915" t="s">
        <v>17</v>
      </c>
      <c r="K915" t="b">
        <v>1</v>
      </c>
      <c r="L915">
        <v>1986</v>
      </c>
      <c r="M915">
        <v>38745901353</v>
      </c>
      <c r="N915">
        <v>19462085540</v>
      </c>
      <c r="O915" t="b">
        <v>0</v>
      </c>
      <c r="P915">
        <v>-1</v>
      </c>
      <c r="Q915" t="str" cm="1">
        <f t="array" ref="Q915">_xlfn.IFS(Table1[[#This Row],[Wealthier_Winner]]=-1,"Wealthier Nation Loses",Table1[[#This Row],[Wealthier_Winner]]=0,"Tie",Table1[[#This Row],[Wealthier_Winner]]=1,"Wealthier Nation Wins")</f>
        <v>Wealthier Nation Loses</v>
      </c>
    </row>
    <row r="916" spans="1:17" x14ac:dyDescent="0.2">
      <c r="A916" s="1">
        <v>1908</v>
      </c>
      <c r="B916" s="2">
        <v>31575</v>
      </c>
      <c r="C916" s="7">
        <f>_xlfn.FLOOR.MATH(Table1[[#This Row],[year]],10)</f>
        <v>1980</v>
      </c>
      <c r="D916" t="s">
        <v>32</v>
      </c>
      <c r="E916" t="s">
        <v>21</v>
      </c>
      <c r="F916">
        <v>0</v>
      </c>
      <c r="G916">
        <v>3</v>
      </c>
      <c r="H916" t="s">
        <v>74</v>
      </c>
      <c r="I916" t="s">
        <v>107</v>
      </c>
      <c r="J916" t="s">
        <v>17</v>
      </c>
      <c r="K916" t="b">
        <v>1</v>
      </c>
      <c r="L916">
        <v>1986</v>
      </c>
      <c r="M916">
        <v>63692007897</v>
      </c>
      <c r="N916">
        <v>251141555185</v>
      </c>
      <c r="O916" t="b">
        <v>1</v>
      </c>
      <c r="P916">
        <v>1</v>
      </c>
      <c r="Q916" t="str" cm="1">
        <f t="array" ref="Q916">_xlfn.IFS(Table1[[#This Row],[Wealthier_Winner]]=-1,"Wealthier Nation Loses",Table1[[#This Row],[Wealthier_Winner]]=0,"Tie",Table1[[#This Row],[Wealthier_Winner]]=1,"Wealthier Nation Wins")</f>
        <v>Wealthier Nation Wins</v>
      </c>
    </row>
    <row r="917" spans="1:17" x14ac:dyDescent="0.2">
      <c r="A917" s="1">
        <v>1910</v>
      </c>
      <c r="B917" s="2">
        <v>31576</v>
      </c>
      <c r="C917" s="7">
        <f>_xlfn.FLOOR.MATH(Table1[[#This Row],[year]],10)</f>
        <v>1980</v>
      </c>
      <c r="D917" t="s">
        <v>36</v>
      </c>
      <c r="E917" t="s">
        <v>16</v>
      </c>
      <c r="F917">
        <v>2</v>
      </c>
      <c r="G917">
        <v>0</v>
      </c>
      <c r="H917" t="s">
        <v>74</v>
      </c>
      <c r="I917" t="s">
        <v>421</v>
      </c>
      <c r="J917" t="s">
        <v>17</v>
      </c>
      <c r="K917" t="b">
        <v>1</v>
      </c>
      <c r="L917">
        <v>1986</v>
      </c>
      <c r="M917">
        <v>87748695216</v>
      </c>
      <c r="N917">
        <v>1050092624515</v>
      </c>
      <c r="O917" t="b">
        <v>1</v>
      </c>
      <c r="P917">
        <v>-1</v>
      </c>
      <c r="Q917" t="str" cm="1">
        <f t="array" ref="Q917">_xlfn.IFS(Table1[[#This Row],[Wealthier_Winner]]=-1,"Wealthier Nation Loses",Table1[[#This Row],[Wealthier_Winner]]=0,"Tie",Table1[[#This Row],[Wealthier_Winner]]=1,"Wealthier Nation Wins")</f>
        <v>Wealthier Nation Loses</v>
      </c>
    </row>
    <row r="918" spans="1:17" x14ac:dyDescent="0.2">
      <c r="A918" s="1">
        <v>1912</v>
      </c>
      <c r="B918" s="2">
        <v>31578</v>
      </c>
      <c r="C918" s="7">
        <f>_xlfn.FLOOR.MATH(Table1[[#This Row],[year]],10)</f>
        <v>1980</v>
      </c>
      <c r="D918" t="s">
        <v>17</v>
      </c>
      <c r="E918" t="s">
        <v>33</v>
      </c>
      <c r="F918">
        <v>2</v>
      </c>
      <c r="G918">
        <v>0</v>
      </c>
      <c r="H918" t="s">
        <v>74</v>
      </c>
      <c r="I918" t="s">
        <v>83</v>
      </c>
      <c r="J918" t="s">
        <v>17</v>
      </c>
      <c r="K918" t="b">
        <v>0</v>
      </c>
      <c r="L918">
        <v>1986</v>
      </c>
      <c r="M918">
        <v>134556034672</v>
      </c>
      <c r="N918">
        <v>20249294117</v>
      </c>
      <c r="O918" t="b">
        <v>1</v>
      </c>
      <c r="P918">
        <v>1</v>
      </c>
      <c r="Q918" t="str" cm="1">
        <f t="array" ref="Q918">_xlfn.IFS(Table1[[#This Row],[Wealthier_Winner]]=-1,"Wealthier Nation Loses",Table1[[#This Row],[Wealthier_Winner]]=0,"Tie",Table1[[#This Row],[Wealthier_Winner]]=1,"Wealthier Nation Wins")</f>
        <v>Wealthier Nation Wins</v>
      </c>
    </row>
    <row r="919" spans="1:17" x14ac:dyDescent="0.2">
      <c r="A919" s="1">
        <v>1914</v>
      </c>
      <c r="B919" s="2">
        <v>31579</v>
      </c>
      <c r="C919" s="7">
        <f>_xlfn.FLOOR.MATH(Table1[[#This Row],[year]],10)</f>
        <v>1980</v>
      </c>
      <c r="D919" t="s">
        <v>19</v>
      </c>
      <c r="E919" t="s">
        <v>26</v>
      </c>
      <c r="F919">
        <v>1</v>
      </c>
      <c r="G919">
        <v>0</v>
      </c>
      <c r="H919" t="s">
        <v>74</v>
      </c>
      <c r="I919" t="s">
        <v>82</v>
      </c>
      <c r="J919" t="s">
        <v>17</v>
      </c>
      <c r="K919" t="b">
        <v>1</v>
      </c>
      <c r="L919">
        <v>1986</v>
      </c>
      <c r="M919">
        <v>105872372613</v>
      </c>
      <c r="N919">
        <v>5880112788</v>
      </c>
      <c r="O919" t="b">
        <v>1</v>
      </c>
      <c r="P919">
        <v>1</v>
      </c>
      <c r="Q919" t="str" cm="1">
        <f t="array" ref="Q919">_xlfn.IFS(Table1[[#This Row],[Wealthier_Winner]]=-1,"Wealthier Nation Loses",Table1[[#This Row],[Wealthier_Winner]]=0,"Tie",Table1[[#This Row],[Wealthier_Winner]]=1,"Wealthier Nation Wins")</f>
        <v>Wealthier Nation Wins</v>
      </c>
    </row>
    <row r="920" spans="1:17" x14ac:dyDescent="0.2">
      <c r="A920" s="1">
        <v>1916</v>
      </c>
      <c r="B920" s="2">
        <v>31580</v>
      </c>
      <c r="C920" s="7">
        <f>_xlfn.FLOOR.MATH(Table1[[#This Row],[year]],10)</f>
        <v>1980</v>
      </c>
      <c r="D920" t="s">
        <v>18</v>
      </c>
      <c r="E920" t="s">
        <v>20</v>
      </c>
      <c r="F920">
        <v>0</v>
      </c>
      <c r="G920">
        <v>2</v>
      </c>
      <c r="H920" t="s">
        <v>74</v>
      </c>
      <c r="I920" t="s">
        <v>83</v>
      </c>
      <c r="J920" t="s">
        <v>17</v>
      </c>
      <c r="K920" t="b">
        <v>1</v>
      </c>
      <c r="L920">
        <v>1986</v>
      </c>
      <c r="M920">
        <v>641862313287</v>
      </c>
      <c r="N920">
        <v>764946585850</v>
      </c>
      <c r="O920" t="b">
        <v>0</v>
      </c>
      <c r="P920">
        <v>1</v>
      </c>
      <c r="Q920" t="str" cm="1">
        <f t="array" ref="Q920">_xlfn.IFS(Table1[[#This Row],[Wealthier_Winner]]=-1,"Wealthier Nation Loses",Table1[[#This Row],[Wealthier_Winner]]=0,"Tie",Table1[[#This Row],[Wealthier_Winner]]=1,"Wealthier Nation Wins")</f>
        <v>Wealthier Nation Wins</v>
      </c>
    </row>
    <row r="921" spans="1:17" x14ac:dyDescent="0.2">
      <c r="A921" s="1">
        <v>1917</v>
      </c>
      <c r="B921" s="2">
        <v>31580</v>
      </c>
      <c r="C921" s="7">
        <f>_xlfn.FLOOR.MATH(Table1[[#This Row],[year]],10)</f>
        <v>1980</v>
      </c>
      <c r="D921" t="s">
        <v>24</v>
      </c>
      <c r="E921" t="s">
        <v>16</v>
      </c>
      <c r="F921">
        <v>0</v>
      </c>
      <c r="G921">
        <v>1</v>
      </c>
      <c r="H921" t="s">
        <v>74</v>
      </c>
      <c r="I921" t="s">
        <v>107</v>
      </c>
      <c r="J921" t="s">
        <v>17</v>
      </c>
      <c r="K921" t="b">
        <v>1</v>
      </c>
      <c r="L921">
        <v>1986</v>
      </c>
      <c r="M921">
        <v>19462085540</v>
      </c>
      <c r="N921">
        <v>1050092624515</v>
      </c>
      <c r="O921" t="b">
        <v>1</v>
      </c>
      <c r="P921">
        <v>1</v>
      </c>
      <c r="Q921" t="str" cm="1">
        <f t="array" ref="Q921">_xlfn.IFS(Table1[[#This Row],[Wealthier_Winner]]=-1,"Wealthier Nation Loses",Table1[[#This Row],[Wealthier_Winner]]=0,"Tie",Table1[[#This Row],[Wealthier_Winner]]=1,"Wealthier Nation Wins")</f>
        <v>Wealthier Nation Wins</v>
      </c>
    </row>
    <row r="922" spans="1:17" x14ac:dyDescent="0.2">
      <c r="A922" s="1">
        <v>1918</v>
      </c>
      <c r="B922" s="2">
        <v>31581</v>
      </c>
      <c r="C922" s="7">
        <f>_xlfn.FLOOR.MATH(Table1[[#This Row],[year]],10)</f>
        <v>1980</v>
      </c>
      <c r="D922" t="s">
        <v>36</v>
      </c>
      <c r="E922" t="s">
        <v>21</v>
      </c>
      <c r="F922">
        <v>1</v>
      </c>
      <c r="G922">
        <v>5</v>
      </c>
      <c r="H922" t="s">
        <v>74</v>
      </c>
      <c r="I922" t="s">
        <v>421</v>
      </c>
      <c r="J922" t="s">
        <v>17</v>
      </c>
      <c r="K922" t="b">
        <v>1</v>
      </c>
      <c r="L922">
        <v>1986</v>
      </c>
      <c r="M922">
        <v>87748695216</v>
      </c>
      <c r="N922">
        <v>251141555185</v>
      </c>
      <c r="O922" t="b">
        <v>1</v>
      </c>
      <c r="P922">
        <v>1</v>
      </c>
      <c r="Q922" t="str" cm="1">
        <f t="array" ref="Q922">_xlfn.IFS(Table1[[#This Row],[Wealthier_Winner]]=-1,"Wealthier Nation Loses",Table1[[#This Row],[Wealthier_Winner]]=0,"Tie",Table1[[#This Row],[Wealthier_Winner]]=1,"Wealthier Nation Wins")</f>
        <v>Wealthier Nation Wins</v>
      </c>
    </row>
    <row r="923" spans="1:17" x14ac:dyDescent="0.2">
      <c r="A923" s="1">
        <v>1919</v>
      </c>
      <c r="B923" s="2">
        <v>31581</v>
      </c>
      <c r="C923" s="7">
        <f>_xlfn.FLOOR.MATH(Table1[[#This Row],[year]],10)</f>
        <v>1980</v>
      </c>
      <c r="D923" t="s">
        <v>194</v>
      </c>
      <c r="E923" t="s">
        <v>35</v>
      </c>
      <c r="F923">
        <v>3</v>
      </c>
      <c r="G923">
        <v>0</v>
      </c>
      <c r="H923" t="s">
        <v>74</v>
      </c>
      <c r="I923" t="s">
        <v>83</v>
      </c>
      <c r="J923" t="s">
        <v>17</v>
      </c>
      <c r="K923" t="b">
        <v>1</v>
      </c>
      <c r="L923">
        <v>1986</v>
      </c>
      <c r="M923">
        <v>601452653180</v>
      </c>
      <c r="N923">
        <v>3723993942</v>
      </c>
      <c r="O923" t="b">
        <v>1</v>
      </c>
      <c r="P923">
        <v>1</v>
      </c>
      <c r="Q923" t="str" cm="1">
        <f t="array" ref="Q923">_xlfn.IFS(Table1[[#This Row],[Wealthier_Winner]]=-1,"Wealthier Nation Loses",Table1[[#This Row],[Wealthier_Winner]]=0,"Tie",Table1[[#This Row],[Wealthier_Winner]]=1,"Wealthier Nation Wins")</f>
        <v>Wealthier Nation Wins</v>
      </c>
    </row>
    <row r="924" spans="1:17" x14ac:dyDescent="0.2">
      <c r="A924" s="1">
        <v>1920</v>
      </c>
      <c r="B924" s="2">
        <v>31584</v>
      </c>
      <c r="C924" s="7">
        <f>_xlfn.FLOOR.MATH(Table1[[#This Row],[year]],10)</f>
        <v>1980</v>
      </c>
      <c r="D924" t="s">
        <v>13</v>
      </c>
      <c r="E924" t="s">
        <v>20</v>
      </c>
      <c r="F924">
        <v>1</v>
      </c>
      <c r="G924">
        <v>1</v>
      </c>
      <c r="H924" t="s">
        <v>74</v>
      </c>
      <c r="I924" t="s">
        <v>85</v>
      </c>
      <c r="J924" t="s">
        <v>17</v>
      </c>
      <c r="K924" t="b">
        <v>1</v>
      </c>
      <c r="L924">
        <v>1986</v>
      </c>
      <c r="M924">
        <v>256480852471</v>
      </c>
      <c r="N924">
        <v>764946585850</v>
      </c>
      <c r="O924" t="b">
        <v>1</v>
      </c>
      <c r="P924">
        <v>0</v>
      </c>
      <c r="Q924" t="str" cm="1">
        <f t="array" ref="Q924">_xlfn.IFS(Table1[[#This Row],[Wealthier_Winner]]=-1,"Wealthier Nation Loses",Table1[[#This Row],[Wealthier_Winner]]=0,"Tie",Table1[[#This Row],[Wealthier_Winner]]=1,"Wealthier Nation Wins")</f>
        <v>Tie</v>
      </c>
    </row>
    <row r="925" spans="1:17" x14ac:dyDescent="0.2">
      <c r="A925" s="1">
        <v>1921</v>
      </c>
      <c r="B925" s="2">
        <v>31584</v>
      </c>
      <c r="C925" s="7">
        <f>_xlfn.FLOOR.MATH(Table1[[#This Row],[year]],10)</f>
        <v>1980</v>
      </c>
      <c r="D925" t="s">
        <v>17</v>
      </c>
      <c r="E925" t="s">
        <v>16</v>
      </c>
      <c r="F925">
        <v>0</v>
      </c>
      <c r="G925">
        <v>0</v>
      </c>
      <c r="H925" t="s">
        <v>74</v>
      </c>
      <c r="I925" t="s">
        <v>107</v>
      </c>
      <c r="J925" t="s">
        <v>17</v>
      </c>
      <c r="K925" t="b">
        <v>0</v>
      </c>
      <c r="L925">
        <v>1986</v>
      </c>
      <c r="M925">
        <v>134556034672</v>
      </c>
      <c r="N925">
        <v>1050092624515</v>
      </c>
      <c r="O925" t="b">
        <v>1</v>
      </c>
      <c r="P925">
        <v>0</v>
      </c>
      <c r="Q925" t="str" cm="1">
        <f t="array" ref="Q925">_xlfn.IFS(Table1[[#This Row],[Wealthier_Winner]]=-1,"Wealthier Nation Loses",Table1[[#This Row],[Wealthier_Winner]]=0,"Tie",Table1[[#This Row],[Wealthier_Winner]]=1,"Wealthier Nation Wins")</f>
        <v>Tie</v>
      </c>
    </row>
    <row r="926" spans="1:17" x14ac:dyDescent="0.2">
      <c r="A926" s="1">
        <v>1922</v>
      </c>
      <c r="B926" s="2">
        <v>31585</v>
      </c>
      <c r="C926" s="7">
        <f>_xlfn.FLOOR.MATH(Table1[[#This Row],[year]],10)</f>
        <v>1980</v>
      </c>
      <c r="D926" t="s">
        <v>19</v>
      </c>
      <c r="E926" t="s">
        <v>194</v>
      </c>
      <c r="F926">
        <v>2</v>
      </c>
      <c r="G926">
        <v>1</v>
      </c>
      <c r="H926" t="s">
        <v>74</v>
      </c>
      <c r="I926" t="s">
        <v>83</v>
      </c>
      <c r="J926" t="s">
        <v>17</v>
      </c>
      <c r="K926" t="b">
        <v>1</v>
      </c>
      <c r="L926">
        <v>1986</v>
      </c>
      <c r="M926">
        <v>105872372613</v>
      </c>
      <c r="N926">
        <v>601452653180</v>
      </c>
      <c r="O926" t="b">
        <v>1</v>
      </c>
      <c r="P926">
        <v>-1</v>
      </c>
      <c r="Q926" t="str" cm="1">
        <f t="array" ref="Q926">_xlfn.IFS(Table1[[#This Row],[Wealthier_Winner]]=-1,"Wealthier Nation Loses",Table1[[#This Row],[Wealthier_Winner]]=0,"Tie",Table1[[#This Row],[Wealthier_Winner]]=1,"Wealthier Nation Wins")</f>
        <v>Wealthier Nation Loses</v>
      </c>
    </row>
    <row r="927" spans="1:17" x14ac:dyDescent="0.2">
      <c r="A927" s="1">
        <v>1923</v>
      </c>
      <c r="B927" s="2">
        <v>31585</v>
      </c>
      <c r="C927" s="7">
        <f>_xlfn.FLOOR.MATH(Table1[[#This Row],[year]],10)</f>
        <v>1980</v>
      </c>
      <c r="D927" t="s">
        <v>21</v>
      </c>
      <c r="E927" t="s">
        <v>23</v>
      </c>
      <c r="F927">
        <v>1</v>
      </c>
      <c r="G927">
        <v>1</v>
      </c>
      <c r="H927" t="s">
        <v>74</v>
      </c>
      <c r="I927" t="s">
        <v>82</v>
      </c>
      <c r="J927" t="s">
        <v>17</v>
      </c>
      <c r="K927" t="b">
        <v>1</v>
      </c>
      <c r="L927">
        <v>1986</v>
      </c>
      <c r="M927">
        <v>251141555185</v>
      </c>
      <c r="N927">
        <v>120018787249</v>
      </c>
      <c r="O927" t="b">
        <v>1</v>
      </c>
      <c r="P927">
        <v>0</v>
      </c>
      <c r="Q927" t="str" cm="1">
        <f t="array" ref="Q927">_xlfn.IFS(Table1[[#This Row],[Wealthier_Winner]]=-1,"Wealthier Nation Loses",Table1[[#This Row],[Wealthier_Winner]]=0,"Tie",Table1[[#This Row],[Wealthier_Winner]]=1,"Wealthier Nation Wins")</f>
        <v>Tie</v>
      </c>
    </row>
    <row r="928" spans="1:17" x14ac:dyDescent="0.2">
      <c r="A928" s="1">
        <v>1924</v>
      </c>
      <c r="B928" s="2">
        <v>31588</v>
      </c>
      <c r="C928" s="7">
        <f>_xlfn.FLOOR.MATH(Table1[[#This Row],[year]],10)</f>
        <v>1980</v>
      </c>
      <c r="D928" t="s">
        <v>19</v>
      </c>
      <c r="E928" t="s">
        <v>23</v>
      </c>
      <c r="F928">
        <v>2</v>
      </c>
      <c r="G928">
        <v>0</v>
      </c>
      <c r="H928" t="s">
        <v>74</v>
      </c>
      <c r="I928" t="s">
        <v>83</v>
      </c>
      <c r="J928" t="s">
        <v>17</v>
      </c>
      <c r="K928" t="b">
        <v>1</v>
      </c>
      <c r="L928">
        <v>1986</v>
      </c>
      <c r="M928">
        <v>105872372613</v>
      </c>
      <c r="N928">
        <v>120018787249</v>
      </c>
      <c r="O928" t="b">
        <v>0</v>
      </c>
      <c r="P928">
        <v>-1</v>
      </c>
      <c r="Q928" t="str" cm="1">
        <f t="array" ref="Q928">_xlfn.IFS(Table1[[#This Row],[Wealthier_Winner]]=-1,"Wealthier Nation Loses",Table1[[#This Row],[Wealthier_Winner]]=0,"Tie",Table1[[#This Row],[Wealthier_Winner]]=1,"Wealthier Nation Wins")</f>
        <v>Wealthier Nation Loses</v>
      </c>
    </row>
    <row r="929" spans="1:17" x14ac:dyDescent="0.2">
      <c r="A929" s="1">
        <v>1925</v>
      </c>
      <c r="B929" s="2">
        <v>31588</v>
      </c>
      <c r="C929" s="7">
        <f>_xlfn.FLOOR.MATH(Table1[[#This Row],[year]],10)</f>
        <v>1980</v>
      </c>
      <c r="D929" t="s">
        <v>20</v>
      </c>
      <c r="E929" t="s">
        <v>16</v>
      </c>
      <c r="F929">
        <v>0</v>
      </c>
      <c r="G929">
        <v>2</v>
      </c>
      <c r="H929" t="s">
        <v>74</v>
      </c>
      <c r="I929" t="s">
        <v>85</v>
      </c>
      <c r="J929" t="s">
        <v>17</v>
      </c>
      <c r="K929" t="b">
        <v>1</v>
      </c>
      <c r="L929">
        <v>1986</v>
      </c>
      <c r="M929">
        <v>764946585850</v>
      </c>
      <c r="N929">
        <v>1050092624515</v>
      </c>
      <c r="O929" t="b">
        <v>0</v>
      </c>
      <c r="P929">
        <v>1</v>
      </c>
      <c r="Q929" t="str" cm="1">
        <f t="array" ref="Q929">_xlfn.IFS(Table1[[#This Row],[Wealthier_Winner]]=-1,"Wealthier Nation Loses",Table1[[#This Row],[Wealthier_Winner]]=0,"Tie",Table1[[#This Row],[Wealthier_Winner]]=1,"Wealthier Nation Wins")</f>
        <v>Wealthier Nation Wins</v>
      </c>
    </row>
    <row r="930" spans="1:17" x14ac:dyDescent="0.2">
      <c r="A930" s="1">
        <v>1926</v>
      </c>
      <c r="B930" s="2">
        <v>31591</v>
      </c>
      <c r="C930" s="7">
        <f>_xlfn.FLOOR.MATH(Table1[[#This Row],[year]],10)</f>
        <v>1980</v>
      </c>
      <c r="D930" t="s">
        <v>20</v>
      </c>
      <c r="E930" t="s">
        <v>23</v>
      </c>
      <c r="F930">
        <v>4</v>
      </c>
      <c r="G930">
        <v>2</v>
      </c>
      <c r="H930" t="s">
        <v>74</v>
      </c>
      <c r="I930" t="s">
        <v>82</v>
      </c>
      <c r="J930" t="s">
        <v>17</v>
      </c>
      <c r="K930" t="b">
        <v>1</v>
      </c>
      <c r="L930">
        <v>1986</v>
      </c>
      <c r="M930">
        <v>764946585850</v>
      </c>
      <c r="N930">
        <v>120018787249</v>
      </c>
      <c r="O930" t="b">
        <v>1</v>
      </c>
      <c r="P930">
        <v>1</v>
      </c>
      <c r="Q930" t="str" cm="1">
        <f t="array" ref="Q930">_xlfn.IFS(Table1[[#This Row],[Wealthier_Winner]]=-1,"Wealthier Nation Loses",Table1[[#This Row],[Wealthier_Winner]]=0,"Tie",Table1[[#This Row],[Wealthier_Winner]]=1,"Wealthier Nation Wins")</f>
        <v>Wealthier Nation Wins</v>
      </c>
    </row>
    <row r="931" spans="1:17" x14ac:dyDescent="0.2">
      <c r="A931" s="1">
        <v>1927</v>
      </c>
      <c r="B931" s="2">
        <v>31592</v>
      </c>
      <c r="C931" s="7">
        <f>_xlfn.FLOOR.MATH(Table1[[#This Row],[year]],10)</f>
        <v>1980</v>
      </c>
      <c r="D931" t="s">
        <v>19</v>
      </c>
      <c r="E931" t="s">
        <v>16</v>
      </c>
      <c r="F931">
        <v>3</v>
      </c>
      <c r="G931">
        <v>2</v>
      </c>
      <c r="H931" t="s">
        <v>74</v>
      </c>
      <c r="I931" t="s">
        <v>83</v>
      </c>
      <c r="J931" t="s">
        <v>17</v>
      </c>
      <c r="K931" t="b">
        <v>1</v>
      </c>
      <c r="L931">
        <v>1986</v>
      </c>
      <c r="M931">
        <v>105872372613</v>
      </c>
      <c r="N931">
        <v>1050092624515</v>
      </c>
      <c r="O931" t="b">
        <v>1</v>
      </c>
      <c r="P931">
        <v>-1</v>
      </c>
      <c r="Q931" t="str" cm="1">
        <f t="array" ref="Q931">_xlfn.IFS(Table1[[#This Row],[Wealthier_Winner]]=-1,"Wealthier Nation Loses",Table1[[#This Row],[Wealthier_Winner]]=0,"Tie",Table1[[#This Row],[Wealthier_Winner]]=1,"Wealthier Nation Wins")</f>
        <v>Wealthier Nation Loses</v>
      </c>
    </row>
    <row r="932" spans="1:17" x14ac:dyDescent="0.2">
      <c r="A932" s="1">
        <v>1929</v>
      </c>
      <c r="B932" s="2">
        <v>32297</v>
      </c>
      <c r="C932" s="7">
        <f>_xlfn.FLOOR.MATH(Table1[[#This Row],[year]],10)</f>
        <v>1980</v>
      </c>
      <c r="D932" t="s">
        <v>286</v>
      </c>
      <c r="E932" t="s">
        <v>345</v>
      </c>
      <c r="F932">
        <v>3</v>
      </c>
      <c r="G932">
        <v>0</v>
      </c>
      <c r="H932" t="s">
        <v>224</v>
      </c>
      <c r="I932" t="s">
        <v>287</v>
      </c>
      <c r="J932" t="s">
        <v>286</v>
      </c>
      <c r="K932" t="b">
        <v>0</v>
      </c>
      <c r="L932">
        <v>1988</v>
      </c>
      <c r="M932">
        <v>24308959591</v>
      </c>
      <c r="N932">
        <v>2616040478</v>
      </c>
      <c r="O932" t="b">
        <v>1</v>
      </c>
      <c r="P932">
        <v>1</v>
      </c>
      <c r="Q932" t="str" cm="1">
        <f t="array" ref="Q932">_xlfn.IFS(Table1[[#This Row],[Wealthier_Winner]]=-1,"Wealthier Nation Loses",Table1[[#This Row],[Wealthier_Winner]]=0,"Tie",Table1[[#This Row],[Wealthier_Winner]]=1,"Wealthier Nation Wins")</f>
        <v>Wealthier Nation Wins</v>
      </c>
    </row>
    <row r="933" spans="1:17" x14ac:dyDescent="0.2">
      <c r="A933" s="1">
        <v>1930</v>
      </c>
      <c r="B933" s="2">
        <v>32327</v>
      </c>
      <c r="C933" s="7">
        <f>_xlfn.FLOOR.MATH(Table1[[#This Row],[year]],10)</f>
        <v>1980</v>
      </c>
      <c r="D933" t="s">
        <v>345</v>
      </c>
      <c r="E933" t="s">
        <v>286</v>
      </c>
      <c r="F933">
        <v>2</v>
      </c>
      <c r="G933">
        <v>0</v>
      </c>
      <c r="H933" t="s">
        <v>224</v>
      </c>
      <c r="I933" t="s">
        <v>347</v>
      </c>
      <c r="J933" t="s">
        <v>345</v>
      </c>
      <c r="K933" t="b">
        <v>0</v>
      </c>
      <c r="L933">
        <v>1988</v>
      </c>
      <c r="M933">
        <v>2616040478</v>
      </c>
      <c r="N933">
        <v>24308959591</v>
      </c>
      <c r="O933" t="b">
        <v>1</v>
      </c>
      <c r="P933">
        <v>-1</v>
      </c>
      <c r="Q933" t="str" cm="1">
        <f t="array" ref="Q933">_xlfn.IFS(Table1[[#This Row],[Wealthier_Winner]]=-1,"Wealthier Nation Loses",Table1[[#This Row],[Wealthier_Winner]]=0,"Tie",Table1[[#This Row],[Wealthier_Winner]]=1,"Wealthier Nation Wins")</f>
        <v>Wealthier Nation Loses</v>
      </c>
    </row>
    <row r="934" spans="1:17" x14ac:dyDescent="0.2">
      <c r="A934" s="1">
        <v>1931</v>
      </c>
      <c r="B934" s="2">
        <v>32340</v>
      </c>
      <c r="C934" s="7">
        <f>_xlfn.FLOOR.MATH(Table1[[#This Row],[year]],10)</f>
        <v>1980</v>
      </c>
      <c r="D934" t="s">
        <v>357</v>
      </c>
      <c r="E934" t="s">
        <v>370</v>
      </c>
      <c r="F934">
        <v>1</v>
      </c>
      <c r="G934">
        <v>0</v>
      </c>
      <c r="H934" t="s">
        <v>224</v>
      </c>
      <c r="I934" t="s">
        <v>358</v>
      </c>
      <c r="J934" t="s">
        <v>357</v>
      </c>
      <c r="K934" t="b">
        <v>0</v>
      </c>
      <c r="L934">
        <v>1988</v>
      </c>
      <c r="M934">
        <v>6508931651</v>
      </c>
      <c r="N934">
        <v>2008189508</v>
      </c>
      <c r="O934" t="b">
        <v>1</v>
      </c>
      <c r="P934">
        <v>1</v>
      </c>
      <c r="Q934" t="str" cm="1">
        <f t="array" ref="Q934">_xlfn.IFS(Table1[[#This Row],[Wealthier_Winner]]=-1,"Wealthier Nation Loses",Table1[[#This Row],[Wealthier_Winner]]=0,"Tie",Table1[[#This Row],[Wealthier_Winner]]=1,"Wealthier Nation Wins")</f>
        <v>Wealthier Nation Wins</v>
      </c>
    </row>
    <row r="935" spans="1:17" x14ac:dyDescent="0.2">
      <c r="A935" s="1">
        <v>1932</v>
      </c>
      <c r="B935" s="2">
        <v>32354</v>
      </c>
      <c r="C935" s="7">
        <f>_xlfn.FLOOR.MATH(Table1[[#This Row],[year]],10)</f>
        <v>1980</v>
      </c>
      <c r="D935" t="s">
        <v>370</v>
      </c>
      <c r="E935" t="s">
        <v>357</v>
      </c>
      <c r="F935">
        <v>3</v>
      </c>
      <c r="G935">
        <v>1</v>
      </c>
      <c r="H935" t="s">
        <v>224</v>
      </c>
      <c r="I935" t="s">
        <v>397</v>
      </c>
      <c r="J935" t="s">
        <v>370</v>
      </c>
      <c r="K935" t="b">
        <v>0</v>
      </c>
      <c r="L935">
        <v>1988</v>
      </c>
      <c r="M935">
        <v>2008189508</v>
      </c>
      <c r="N935">
        <v>6508931651</v>
      </c>
      <c r="O935" t="b">
        <v>1</v>
      </c>
      <c r="P935">
        <v>-1</v>
      </c>
      <c r="Q935" t="str" cm="1">
        <f t="array" ref="Q935">_xlfn.IFS(Table1[[#This Row],[Wealthier_Winner]]=-1,"Wealthier Nation Loses",Table1[[#This Row],[Wealthier_Winner]]=0,"Tie",Table1[[#This Row],[Wealthier_Winner]]=1,"Wealthier Nation Wins")</f>
        <v>Wealthier Nation Loses</v>
      </c>
    </row>
    <row r="936" spans="1:17" x14ac:dyDescent="0.2">
      <c r="A936" s="1">
        <v>1933</v>
      </c>
      <c r="B936" s="2">
        <v>32360</v>
      </c>
      <c r="C936" s="7">
        <f>_xlfn.FLOOR.MATH(Table1[[#This Row],[year]],10)</f>
        <v>1980</v>
      </c>
      <c r="D936" t="s">
        <v>53</v>
      </c>
      <c r="E936" t="s">
        <v>305</v>
      </c>
      <c r="F936">
        <v>5</v>
      </c>
      <c r="G936">
        <v>0</v>
      </c>
      <c r="H936" t="s">
        <v>224</v>
      </c>
      <c r="I936" t="s">
        <v>284</v>
      </c>
      <c r="J936" t="s">
        <v>53</v>
      </c>
      <c r="K936" t="b">
        <v>0</v>
      </c>
      <c r="L936">
        <v>1988</v>
      </c>
      <c r="M936">
        <v>10096245762</v>
      </c>
      <c r="N936">
        <v>3476480303</v>
      </c>
      <c r="O936" t="b">
        <v>1</v>
      </c>
      <c r="P936">
        <v>1</v>
      </c>
      <c r="Q936" t="str" cm="1">
        <f t="array" ref="Q936">_xlfn.IFS(Table1[[#This Row],[Wealthier_Winner]]=-1,"Wealthier Nation Loses",Table1[[#This Row],[Wealthier_Winner]]=0,"Tie",Table1[[#This Row],[Wealthier_Winner]]=1,"Wealthier Nation Wins")</f>
        <v>Wealthier Nation Wins</v>
      </c>
    </row>
    <row r="937" spans="1:17" x14ac:dyDescent="0.2">
      <c r="A937" s="1">
        <v>1934</v>
      </c>
      <c r="B937" s="2">
        <v>32362</v>
      </c>
      <c r="C937" s="7">
        <f>_xlfn.FLOOR.MATH(Table1[[#This Row],[year]],10)</f>
        <v>1980</v>
      </c>
      <c r="D937" t="s">
        <v>60</v>
      </c>
      <c r="E937" t="s">
        <v>274</v>
      </c>
      <c r="F937">
        <v>0</v>
      </c>
      <c r="G937">
        <v>0</v>
      </c>
      <c r="H937" t="s">
        <v>224</v>
      </c>
      <c r="I937" t="s">
        <v>396</v>
      </c>
      <c r="J937" t="s">
        <v>60</v>
      </c>
      <c r="K937" t="b">
        <v>0</v>
      </c>
      <c r="L937">
        <v>1988</v>
      </c>
      <c r="M937">
        <v>8769836768</v>
      </c>
      <c r="N937">
        <v>14372555555</v>
      </c>
      <c r="O937" t="b">
        <v>0</v>
      </c>
      <c r="P937">
        <v>0</v>
      </c>
      <c r="Q937" t="str" cm="1">
        <f t="array" ref="Q937">_xlfn.IFS(Table1[[#This Row],[Wealthier_Winner]]=-1,"Wealthier Nation Loses",Table1[[#This Row],[Wealthier_Winner]]=0,"Tie",Table1[[#This Row],[Wealthier_Winner]]=1,"Wealthier Nation Wins")</f>
        <v>Tie</v>
      </c>
    </row>
    <row r="938" spans="1:17" x14ac:dyDescent="0.2">
      <c r="A938" s="1">
        <v>1935</v>
      </c>
      <c r="B938" s="2">
        <v>32362</v>
      </c>
      <c r="C938" s="7">
        <f>_xlfn.FLOOR.MATH(Table1[[#This Row],[year]],10)</f>
        <v>1980</v>
      </c>
      <c r="D938" t="s">
        <v>63</v>
      </c>
      <c r="E938" t="s">
        <v>378</v>
      </c>
      <c r="F938">
        <v>0</v>
      </c>
      <c r="G938">
        <v>0</v>
      </c>
      <c r="H938" t="s">
        <v>224</v>
      </c>
      <c r="I938" t="s">
        <v>226</v>
      </c>
      <c r="J938" t="s">
        <v>63</v>
      </c>
      <c r="K938" t="b">
        <v>0</v>
      </c>
      <c r="L938">
        <v>1988</v>
      </c>
      <c r="M938">
        <v>5197765031</v>
      </c>
      <c r="N938">
        <v>1038300000</v>
      </c>
      <c r="O938" t="b">
        <v>1</v>
      </c>
      <c r="P938">
        <v>0</v>
      </c>
      <c r="Q938" t="str" cm="1">
        <f t="array" ref="Q938">_xlfn.IFS(Table1[[#This Row],[Wealthier_Winner]]=-1,"Wealthier Nation Loses",Table1[[#This Row],[Wealthier_Winner]]=0,"Tie",Table1[[#This Row],[Wealthier_Winner]]=1,"Wealthier Nation Wins")</f>
        <v>Tie</v>
      </c>
    </row>
    <row r="939" spans="1:17" x14ac:dyDescent="0.2">
      <c r="A939" s="1">
        <v>1936</v>
      </c>
      <c r="B939" s="2">
        <v>32376</v>
      </c>
      <c r="C939" s="7">
        <f>_xlfn.FLOOR.MATH(Table1[[#This Row],[year]],10)</f>
        <v>1980</v>
      </c>
      <c r="D939" t="s">
        <v>305</v>
      </c>
      <c r="E939" t="s">
        <v>53</v>
      </c>
      <c r="F939">
        <v>3</v>
      </c>
      <c r="G939">
        <v>0</v>
      </c>
      <c r="H939" t="s">
        <v>224</v>
      </c>
      <c r="I939" t="s">
        <v>306</v>
      </c>
      <c r="J939" t="s">
        <v>305</v>
      </c>
      <c r="K939" t="b">
        <v>0</v>
      </c>
      <c r="L939">
        <v>1988</v>
      </c>
      <c r="M939">
        <v>3476480303</v>
      </c>
      <c r="N939">
        <v>10096245762</v>
      </c>
      <c r="O939" t="b">
        <v>1</v>
      </c>
      <c r="P939">
        <v>-1</v>
      </c>
      <c r="Q939" t="str" cm="1">
        <f t="array" ref="Q939">_xlfn.IFS(Table1[[#This Row],[Wealthier_Winner]]=-1,"Wealthier Nation Loses",Table1[[#This Row],[Wealthier_Winner]]=0,"Tie",Table1[[#This Row],[Wealthier_Winner]]=1,"Wealthier Nation Wins")</f>
        <v>Wealthier Nation Loses</v>
      </c>
    </row>
    <row r="940" spans="1:17" x14ac:dyDescent="0.2">
      <c r="A940" s="1">
        <v>1937</v>
      </c>
      <c r="B940" s="2">
        <v>32376</v>
      </c>
      <c r="C940" s="7">
        <f>_xlfn.FLOOR.MATH(Table1[[#This Row],[year]],10)</f>
        <v>1980</v>
      </c>
      <c r="D940" t="s">
        <v>378</v>
      </c>
      <c r="E940" t="s">
        <v>63</v>
      </c>
      <c r="F940">
        <v>2</v>
      </c>
      <c r="G940">
        <v>0</v>
      </c>
      <c r="H940" t="s">
        <v>224</v>
      </c>
      <c r="I940" t="s">
        <v>379</v>
      </c>
      <c r="J940" t="s">
        <v>378</v>
      </c>
      <c r="K940" t="b">
        <v>0</v>
      </c>
      <c r="L940">
        <v>1988</v>
      </c>
      <c r="M940">
        <v>1038300000</v>
      </c>
      <c r="N940">
        <v>5197765031</v>
      </c>
      <c r="O940" t="b">
        <v>1</v>
      </c>
      <c r="P940">
        <v>-1</v>
      </c>
      <c r="Q940" t="str" cm="1">
        <f t="array" ref="Q940">_xlfn.IFS(Table1[[#This Row],[Wealthier_Winner]]=-1,"Wealthier Nation Loses",Table1[[#This Row],[Wealthier_Winner]]=0,"Tie",Table1[[#This Row],[Wealthier_Winner]]=1,"Wealthier Nation Wins")</f>
        <v>Wealthier Nation Loses</v>
      </c>
    </row>
    <row r="941" spans="1:17" x14ac:dyDescent="0.2">
      <c r="A941" s="1">
        <v>1938</v>
      </c>
      <c r="B941" s="2">
        <v>32386</v>
      </c>
      <c r="C941" s="7">
        <f>_xlfn.FLOOR.MATH(Table1[[#This Row],[year]],10)</f>
        <v>1980</v>
      </c>
      <c r="D941" t="s">
        <v>230</v>
      </c>
      <c r="E941" t="s">
        <v>16</v>
      </c>
      <c r="F941">
        <v>0</v>
      </c>
      <c r="G941">
        <v>4</v>
      </c>
      <c r="H941" t="s">
        <v>224</v>
      </c>
      <c r="I941" t="s">
        <v>231</v>
      </c>
      <c r="J941" t="s">
        <v>230</v>
      </c>
      <c r="K941" t="b">
        <v>0</v>
      </c>
      <c r="L941">
        <v>1988</v>
      </c>
      <c r="M941">
        <v>109039090262</v>
      </c>
      <c r="N941">
        <v>1406367016371</v>
      </c>
      <c r="O941" t="b">
        <v>1</v>
      </c>
      <c r="P941">
        <v>1</v>
      </c>
      <c r="Q941" t="str" cm="1">
        <f t="array" ref="Q941">_xlfn.IFS(Table1[[#This Row],[Wealthier_Winner]]=-1,"Wealthier Nation Loses",Table1[[#This Row],[Wealthier_Winner]]=0,"Tie",Table1[[#This Row],[Wealthier_Winner]]=1,"Wealthier Nation Wins")</f>
        <v>Wealthier Nation Wins</v>
      </c>
    </row>
    <row r="942" spans="1:17" x14ac:dyDescent="0.2">
      <c r="A942" s="1">
        <v>1939</v>
      </c>
      <c r="B942" s="2">
        <v>32386</v>
      </c>
      <c r="C942" s="7">
        <f>_xlfn.FLOOR.MATH(Table1[[#This Row],[year]],10)</f>
        <v>1980</v>
      </c>
      <c r="D942" t="s">
        <v>66</v>
      </c>
      <c r="E942" t="s">
        <v>196</v>
      </c>
      <c r="F942">
        <v>1</v>
      </c>
      <c r="G942">
        <v>1</v>
      </c>
      <c r="H942" t="s">
        <v>224</v>
      </c>
      <c r="I942" t="s">
        <v>336</v>
      </c>
      <c r="J942" t="s">
        <v>66</v>
      </c>
      <c r="K942" t="b">
        <v>0</v>
      </c>
      <c r="L942">
        <v>1988</v>
      </c>
      <c r="M942">
        <v>6320093411</v>
      </c>
      <c r="N942">
        <v>554828660436</v>
      </c>
      <c r="O942" t="b">
        <v>1</v>
      </c>
      <c r="P942">
        <v>0</v>
      </c>
      <c r="Q942" t="str" cm="1">
        <f t="array" ref="Q942">_xlfn.IFS(Table1[[#This Row],[Wealthier_Winner]]=-1,"Wealthier Nation Loses",Table1[[#This Row],[Wealthier_Winner]]=0,"Tie",Table1[[#This Row],[Wealthier_Winner]]=1,"Wealthier Nation Wins")</f>
        <v>Tie</v>
      </c>
    </row>
    <row r="943" spans="1:17" x14ac:dyDescent="0.2">
      <c r="A943" s="1">
        <v>1943</v>
      </c>
      <c r="B943" s="2">
        <v>32407</v>
      </c>
      <c r="C943" s="7">
        <f>_xlfn.FLOOR.MATH(Table1[[#This Row],[year]],10)</f>
        <v>1980</v>
      </c>
      <c r="D943" t="s">
        <v>232</v>
      </c>
      <c r="E943" t="s">
        <v>46</v>
      </c>
      <c r="F943">
        <v>1</v>
      </c>
      <c r="G943">
        <v>4</v>
      </c>
      <c r="H943" t="s">
        <v>224</v>
      </c>
      <c r="I943" t="s">
        <v>232</v>
      </c>
      <c r="J943" t="s">
        <v>232</v>
      </c>
      <c r="K943" t="b">
        <v>0</v>
      </c>
      <c r="L943">
        <v>1988</v>
      </c>
      <c r="M943">
        <v>9418167855</v>
      </c>
      <c r="N943">
        <v>215540625298</v>
      </c>
      <c r="O943" t="b">
        <v>1</v>
      </c>
      <c r="P943">
        <v>1</v>
      </c>
      <c r="Q943" t="str" cm="1">
        <f t="array" ref="Q943">_xlfn.IFS(Table1[[#This Row],[Wealthier_Winner]]=-1,"Wealthier Nation Loses",Table1[[#This Row],[Wealthier_Winner]]=0,"Tie",Table1[[#This Row],[Wealthier_Winner]]=1,"Wealthier Nation Wins")</f>
        <v>Wealthier Nation Wins</v>
      </c>
    </row>
    <row r="944" spans="1:17" x14ac:dyDescent="0.2">
      <c r="A944" s="1">
        <v>1944</v>
      </c>
      <c r="B944" s="2">
        <v>32414</v>
      </c>
      <c r="C944" s="7">
        <f>_xlfn.FLOOR.MATH(Table1[[#This Row],[year]],10)</f>
        <v>1980</v>
      </c>
      <c r="D944" t="s">
        <v>20</v>
      </c>
      <c r="E944" t="s">
        <v>42</v>
      </c>
      <c r="F944">
        <v>1</v>
      </c>
      <c r="G944">
        <v>0</v>
      </c>
      <c r="H944" t="s">
        <v>224</v>
      </c>
      <c r="I944" t="s">
        <v>134</v>
      </c>
      <c r="J944" t="s">
        <v>20</v>
      </c>
      <c r="K944" t="b">
        <v>0</v>
      </c>
      <c r="L944">
        <v>1988</v>
      </c>
      <c r="M944">
        <v>1010827662151</v>
      </c>
      <c r="N944">
        <v>101900260856</v>
      </c>
      <c r="O944" t="b">
        <v>1</v>
      </c>
      <c r="P944">
        <v>1</v>
      </c>
      <c r="Q944" t="str" cm="1">
        <f t="array" ref="Q944">_xlfn.IFS(Table1[[#This Row],[Wealthier_Winner]]=-1,"Wealthier Nation Loses",Table1[[#This Row],[Wealthier_Winner]]=0,"Tie",Table1[[#This Row],[Wealthier_Winner]]=1,"Wealthier Nation Wins")</f>
        <v>Wealthier Nation Wins</v>
      </c>
    </row>
    <row r="945" spans="1:17" x14ac:dyDescent="0.2">
      <c r="A945" s="1">
        <v>1947</v>
      </c>
      <c r="B945" s="2">
        <v>32435</v>
      </c>
      <c r="C945" s="7">
        <f>_xlfn.FLOOR.MATH(Table1[[#This Row],[year]],10)</f>
        <v>1980</v>
      </c>
      <c r="D945" t="s">
        <v>23</v>
      </c>
      <c r="E945" t="s">
        <v>46</v>
      </c>
      <c r="F945">
        <v>1</v>
      </c>
      <c r="G945">
        <v>0</v>
      </c>
      <c r="H945" t="s">
        <v>224</v>
      </c>
      <c r="I945" t="s">
        <v>235</v>
      </c>
      <c r="J945" t="s">
        <v>23</v>
      </c>
      <c r="K945" t="b">
        <v>0</v>
      </c>
      <c r="L945">
        <v>1988</v>
      </c>
      <c r="M945">
        <v>162299103675</v>
      </c>
      <c r="N945">
        <v>215540625298</v>
      </c>
      <c r="O945" t="b">
        <v>0</v>
      </c>
      <c r="P945">
        <v>-1</v>
      </c>
      <c r="Q945" t="str" cm="1">
        <f t="array" ref="Q945">_xlfn.IFS(Table1[[#This Row],[Wealthier_Winner]]=-1,"Wealthier Nation Loses",Table1[[#This Row],[Wealthier_Winner]]=0,"Tie",Table1[[#This Row],[Wealthier_Winner]]=1,"Wealthier Nation Wins")</f>
        <v>Wealthier Nation Loses</v>
      </c>
    </row>
    <row r="946" spans="1:17" x14ac:dyDescent="0.2">
      <c r="A946" s="1">
        <v>1948</v>
      </c>
      <c r="B946" s="2">
        <v>32435</v>
      </c>
      <c r="C946" s="7">
        <f>_xlfn.FLOOR.MATH(Table1[[#This Row],[year]],10)</f>
        <v>1980</v>
      </c>
      <c r="D946" t="s">
        <v>33</v>
      </c>
      <c r="E946" t="s">
        <v>44</v>
      </c>
      <c r="F946">
        <v>1</v>
      </c>
      <c r="G946">
        <v>3</v>
      </c>
      <c r="H946" t="s">
        <v>224</v>
      </c>
      <c r="I946" t="s">
        <v>375</v>
      </c>
      <c r="J946" t="s">
        <v>33</v>
      </c>
      <c r="K946" t="b">
        <v>0</v>
      </c>
      <c r="L946">
        <v>1988</v>
      </c>
      <c r="M946">
        <v>22555941176</v>
      </c>
      <c r="N946">
        <v>40424528301</v>
      </c>
      <c r="O946" t="b">
        <v>0</v>
      </c>
      <c r="P946">
        <v>1</v>
      </c>
      <c r="Q946" t="str" cm="1">
        <f t="array" ref="Q946">_xlfn.IFS(Table1[[#This Row],[Wealthier_Winner]]=-1,"Wealthier Nation Loses",Table1[[#This Row],[Wealthier_Winner]]=0,"Tie",Table1[[#This Row],[Wealthier_Winner]]=1,"Wealthier Nation Wins")</f>
        <v>Wealthier Nation Wins</v>
      </c>
    </row>
    <row r="947" spans="1:17" x14ac:dyDescent="0.2">
      <c r="A947" s="1">
        <v>1949</v>
      </c>
      <c r="B947" s="2">
        <v>32435</v>
      </c>
      <c r="C947" s="7">
        <f>_xlfn.FLOOR.MATH(Table1[[#This Row],[year]],10)</f>
        <v>1980</v>
      </c>
      <c r="D947" t="s">
        <v>194</v>
      </c>
      <c r="E947" t="s">
        <v>25</v>
      </c>
      <c r="F947">
        <v>0</v>
      </c>
      <c r="G947">
        <v>0</v>
      </c>
      <c r="H947" t="s">
        <v>224</v>
      </c>
      <c r="I947" t="s">
        <v>80</v>
      </c>
      <c r="J947" t="s">
        <v>194</v>
      </c>
      <c r="K947" t="b">
        <v>0</v>
      </c>
      <c r="L947">
        <v>1988</v>
      </c>
      <c r="M947">
        <v>910122732123</v>
      </c>
      <c r="N947">
        <v>206686590775</v>
      </c>
      <c r="O947" t="b">
        <v>1</v>
      </c>
      <c r="P947">
        <v>0</v>
      </c>
      <c r="Q947" t="str" cm="1">
        <f t="array" ref="Q947">_xlfn.IFS(Table1[[#This Row],[Wealthier_Winner]]=-1,"Wealthier Nation Loses",Table1[[#This Row],[Wealthier_Winner]]=0,"Tie",Table1[[#This Row],[Wealthier_Winner]]=1,"Wealthier Nation Wins")</f>
        <v>Tie</v>
      </c>
    </row>
    <row r="948" spans="1:17" x14ac:dyDescent="0.2">
      <c r="A948" s="1">
        <v>1951</v>
      </c>
      <c r="B948" s="2">
        <v>32435</v>
      </c>
      <c r="C948" s="7">
        <f>_xlfn.FLOOR.MATH(Table1[[#This Row],[year]],10)</f>
        <v>1980</v>
      </c>
      <c r="D948" t="s">
        <v>16</v>
      </c>
      <c r="E948" t="s">
        <v>27</v>
      </c>
      <c r="F948">
        <v>0</v>
      </c>
      <c r="G948">
        <v>0</v>
      </c>
      <c r="H948" t="s">
        <v>224</v>
      </c>
      <c r="I948" t="s">
        <v>87</v>
      </c>
      <c r="J948" t="s">
        <v>16</v>
      </c>
      <c r="K948" t="b">
        <v>0</v>
      </c>
      <c r="L948">
        <v>1988</v>
      </c>
      <c r="M948">
        <v>1406367016371</v>
      </c>
      <c r="N948">
        <v>262295966105</v>
      </c>
      <c r="O948" t="b">
        <v>1</v>
      </c>
      <c r="P948">
        <v>0</v>
      </c>
      <c r="Q948" t="str" cm="1">
        <f t="array" ref="Q948">_xlfn.IFS(Table1[[#This Row],[Wealthier_Winner]]=-1,"Wealthier Nation Loses",Table1[[#This Row],[Wealthier_Winner]]=0,"Tie",Table1[[#This Row],[Wealthier_Winner]]=1,"Wealthier Nation Wins")</f>
        <v>Tie</v>
      </c>
    </row>
    <row r="949" spans="1:17" x14ac:dyDescent="0.2">
      <c r="A949" s="1">
        <v>1952</v>
      </c>
      <c r="B949" s="2">
        <v>32435</v>
      </c>
      <c r="C949" s="7">
        <f>_xlfn.FLOOR.MATH(Table1[[#This Row],[year]],10)</f>
        <v>1980</v>
      </c>
      <c r="D949" t="s">
        <v>48</v>
      </c>
      <c r="E949" t="s">
        <v>36</v>
      </c>
      <c r="F949">
        <v>1</v>
      </c>
      <c r="G949">
        <v>1</v>
      </c>
      <c r="H949" t="s">
        <v>224</v>
      </c>
      <c r="I949" t="s">
        <v>236</v>
      </c>
      <c r="J949" t="s">
        <v>48</v>
      </c>
      <c r="K949" t="b">
        <v>0</v>
      </c>
      <c r="L949">
        <v>1988</v>
      </c>
      <c r="M949">
        <v>75200610136</v>
      </c>
      <c r="N949">
        <v>115540189705</v>
      </c>
      <c r="O949" t="b">
        <v>0</v>
      </c>
      <c r="P949">
        <v>0</v>
      </c>
      <c r="Q949" t="str" cm="1">
        <f t="array" ref="Q949">_xlfn.IFS(Table1[[#This Row],[Wealthier_Winner]]=-1,"Wealthier Nation Loses",Table1[[#This Row],[Wealthier_Winner]]=0,"Tie",Table1[[#This Row],[Wealthier_Winner]]=1,"Wealthier Nation Wins")</f>
        <v>Tie</v>
      </c>
    </row>
    <row r="950" spans="1:17" x14ac:dyDescent="0.2">
      <c r="A950" s="1">
        <v>1955</v>
      </c>
      <c r="B950" s="2">
        <v>32435</v>
      </c>
      <c r="C950" s="7">
        <f>_xlfn.FLOOR.MATH(Table1[[#This Row],[year]],10)</f>
        <v>1980</v>
      </c>
      <c r="D950" t="s">
        <v>196</v>
      </c>
      <c r="E950" t="s">
        <v>29</v>
      </c>
      <c r="F950">
        <v>2</v>
      </c>
      <c r="G950">
        <v>0</v>
      </c>
      <c r="H950" t="s">
        <v>224</v>
      </c>
      <c r="I950" t="s">
        <v>423</v>
      </c>
      <c r="J950" t="s">
        <v>424</v>
      </c>
      <c r="K950" t="b">
        <v>1</v>
      </c>
      <c r="L950">
        <v>1988</v>
      </c>
      <c r="M950">
        <v>554828660436</v>
      </c>
      <c r="N950">
        <v>132817124707</v>
      </c>
      <c r="O950" t="b">
        <v>1</v>
      </c>
      <c r="P950">
        <v>1</v>
      </c>
      <c r="Q950" t="str" cm="1">
        <f t="array" ref="Q950">_xlfn.IFS(Table1[[#This Row],[Wealthier_Winner]]=-1,"Wealthier Nation Loses",Table1[[#This Row],[Wealthier_Winner]]=0,"Tie",Table1[[#This Row],[Wealthier_Winner]]=1,"Wealthier Nation Wins")</f>
        <v>Wealthier Nation Wins</v>
      </c>
    </row>
    <row r="951" spans="1:17" x14ac:dyDescent="0.2">
      <c r="A951" s="1">
        <v>1958</v>
      </c>
      <c r="B951" s="2">
        <v>32438</v>
      </c>
      <c r="C951" s="7">
        <f>_xlfn.FLOOR.MATH(Table1[[#This Row],[year]],10)</f>
        <v>1980</v>
      </c>
      <c r="D951" t="s">
        <v>351</v>
      </c>
      <c r="E951" t="s">
        <v>20</v>
      </c>
      <c r="F951">
        <v>1</v>
      </c>
      <c r="G951">
        <v>1</v>
      </c>
      <c r="H951" t="s">
        <v>224</v>
      </c>
      <c r="I951" t="s">
        <v>381</v>
      </c>
      <c r="J951" t="s">
        <v>351</v>
      </c>
      <c r="K951" t="b">
        <v>0</v>
      </c>
      <c r="L951">
        <v>1988</v>
      </c>
      <c r="M951">
        <v>4278792597</v>
      </c>
      <c r="N951">
        <v>1010827662151</v>
      </c>
      <c r="O951" t="b">
        <v>1</v>
      </c>
      <c r="P951">
        <v>0</v>
      </c>
      <c r="Q951" t="str" cm="1">
        <f t="array" ref="Q951">_xlfn.IFS(Table1[[#This Row],[Wealthier_Winner]]=-1,"Wealthier Nation Loses",Table1[[#This Row],[Wealthier_Winner]]=0,"Tie",Table1[[#This Row],[Wealthier_Winner]]=1,"Wealthier Nation Wins")</f>
        <v>Tie</v>
      </c>
    </row>
    <row r="952" spans="1:17" x14ac:dyDescent="0.2">
      <c r="A952" s="1">
        <v>1960</v>
      </c>
      <c r="B952" s="2">
        <v>32449</v>
      </c>
      <c r="C952" s="7">
        <f>_xlfn.FLOOR.MATH(Table1[[#This Row],[year]],10)</f>
        <v>1980</v>
      </c>
      <c r="D952" t="s">
        <v>351</v>
      </c>
      <c r="E952" t="s">
        <v>42</v>
      </c>
      <c r="F952">
        <v>0</v>
      </c>
      <c r="G952">
        <v>3</v>
      </c>
      <c r="H952" t="s">
        <v>224</v>
      </c>
      <c r="I952" t="s">
        <v>352</v>
      </c>
      <c r="J952" t="s">
        <v>351</v>
      </c>
      <c r="K952" t="b">
        <v>0</v>
      </c>
      <c r="L952">
        <v>1988</v>
      </c>
      <c r="M952">
        <v>4278792597</v>
      </c>
      <c r="N952">
        <v>101900260856</v>
      </c>
      <c r="O952" t="b">
        <v>1</v>
      </c>
      <c r="P952">
        <v>1</v>
      </c>
      <c r="Q952" t="str" cm="1">
        <f t="array" ref="Q952">_xlfn.IFS(Table1[[#This Row],[Wealthier_Winner]]=-1,"Wealthier Nation Loses",Table1[[#This Row],[Wealthier_Winner]]=0,"Tie",Table1[[#This Row],[Wealthier_Winner]]=1,"Wealthier Nation Wins")</f>
        <v>Wealthier Nation Wins</v>
      </c>
    </row>
    <row r="953" spans="1:17" x14ac:dyDescent="0.2">
      <c r="A953" s="1">
        <v>1961</v>
      </c>
      <c r="B953" s="2">
        <v>32449</v>
      </c>
      <c r="C953" s="7">
        <f>_xlfn.FLOOR.MATH(Table1[[#This Row],[year]],10)</f>
        <v>1980</v>
      </c>
      <c r="D953" t="s">
        <v>36</v>
      </c>
      <c r="E953" t="s">
        <v>33</v>
      </c>
      <c r="F953">
        <v>1</v>
      </c>
      <c r="G953">
        <v>1</v>
      </c>
      <c r="H953" t="s">
        <v>224</v>
      </c>
      <c r="I953" t="s">
        <v>264</v>
      </c>
      <c r="J953" t="s">
        <v>36</v>
      </c>
      <c r="K953" t="b">
        <v>0</v>
      </c>
      <c r="L953">
        <v>1988</v>
      </c>
      <c r="M953">
        <v>115540189705</v>
      </c>
      <c r="N953">
        <v>22555941176</v>
      </c>
      <c r="O953" t="b">
        <v>1</v>
      </c>
      <c r="P953">
        <v>0</v>
      </c>
      <c r="Q953" t="str" cm="1">
        <f t="array" ref="Q953">_xlfn.IFS(Table1[[#This Row],[Wealthier_Winner]]=-1,"Wealthier Nation Loses",Table1[[#This Row],[Wealthier_Winner]]=0,"Tie",Table1[[#This Row],[Wealthier_Winner]]=1,"Wealthier Nation Wins")</f>
        <v>Tie</v>
      </c>
    </row>
    <row r="954" spans="1:17" x14ac:dyDescent="0.2">
      <c r="A954" s="1">
        <v>1962</v>
      </c>
      <c r="B954" s="2">
        <v>32449</v>
      </c>
      <c r="C954" s="7">
        <f>_xlfn.FLOOR.MATH(Table1[[#This Row],[year]],10)</f>
        <v>1980</v>
      </c>
      <c r="D954" t="s">
        <v>44</v>
      </c>
      <c r="E954" t="s">
        <v>48</v>
      </c>
      <c r="F954">
        <v>3</v>
      </c>
      <c r="G954">
        <v>0</v>
      </c>
      <c r="H954" t="s">
        <v>224</v>
      </c>
      <c r="I954" t="s">
        <v>425</v>
      </c>
      <c r="J954" t="s">
        <v>44</v>
      </c>
      <c r="K954" t="b">
        <v>0</v>
      </c>
      <c r="L954">
        <v>1988</v>
      </c>
      <c r="M954">
        <v>40424528301</v>
      </c>
      <c r="N954">
        <v>75200610136</v>
      </c>
      <c r="O954" t="b">
        <v>0</v>
      </c>
      <c r="P954">
        <v>-1</v>
      </c>
      <c r="Q954" t="str" cm="1">
        <f t="array" ref="Q954">_xlfn.IFS(Table1[[#This Row],[Wealthier_Winner]]=-1,"Wealthier Nation Loses",Table1[[#This Row],[Wealthier_Winner]]=0,"Tie",Table1[[#This Row],[Wealthier_Winner]]=1,"Wealthier Nation Wins")</f>
        <v>Wealthier Nation Loses</v>
      </c>
    </row>
    <row r="955" spans="1:17" x14ac:dyDescent="0.2">
      <c r="A955" s="1">
        <v>1963</v>
      </c>
      <c r="B955" s="2">
        <v>32452</v>
      </c>
      <c r="C955" s="7">
        <f>_xlfn.FLOOR.MATH(Table1[[#This Row],[year]],10)</f>
        <v>1980</v>
      </c>
      <c r="D955" t="s">
        <v>373</v>
      </c>
      <c r="E955" t="s">
        <v>25</v>
      </c>
      <c r="F955">
        <v>1</v>
      </c>
      <c r="G955">
        <v>2</v>
      </c>
      <c r="H955" t="s">
        <v>224</v>
      </c>
      <c r="I955" t="s">
        <v>374</v>
      </c>
      <c r="J955" t="s">
        <v>373</v>
      </c>
      <c r="K955" t="b">
        <v>0</v>
      </c>
      <c r="L955">
        <v>1988</v>
      </c>
      <c r="M955">
        <v>2051236250</v>
      </c>
      <c r="N955">
        <v>206686590775</v>
      </c>
      <c r="O955" t="b">
        <v>1</v>
      </c>
      <c r="P955">
        <v>1</v>
      </c>
      <c r="Q955" t="str" cm="1">
        <f t="array" ref="Q955">_xlfn.IFS(Table1[[#This Row],[Wealthier_Winner]]=-1,"Wealthier Nation Loses",Table1[[#This Row],[Wealthier_Winner]]=0,"Tie",Table1[[#This Row],[Wealthier_Winner]]=1,"Wealthier Nation Wins")</f>
        <v>Wealthier Nation Wins</v>
      </c>
    </row>
    <row r="956" spans="1:17" x14ac:dyDescent="0.2">
      <c r="A956" s="1">
        <v>1964</v>
      </c>
      <c r="B956" s="2">
        <v>32458</v>
      </c>
      <c r="C956" s="7">
        <f>_xlfn.FLOOR.MATH(Table1[[#This Row],[year]],10)</f>
        <v>1980</v>
      </c>
      <c r="D956" t="s">
        <v>274</v>
      </c>
      <c r="E956" t="s">
        <v>60</v>
      </c>
      <c r="F956">
        <v>1</v>
      </c>
      <c r="G956">
        <v>2</v>
      </c>
      <c r="H956" t="s">
        <v>224</v>
      </c>
      <c r="I956" t="s">
        <v>278</v>
      </c>
      <c r="J956" t="s">
        <v>274</v>
      </c>
      <c r="K956" t="b">
        <v>0</v>
      </c>
      <c r="L956">
        <v>1988</v>
      </c>
      <c r="M956">
        <v>14372555555</v>
      </c>
      <c r="N956">
        <v>8769836768</v>
      </c>
      <c r="O956" t="b">
        <v>0</v>
      </c>
      <c r="P956">
        <v>-1</v>
      </c>
      <c r="Q956" t="str" cm="1">
        <f t="array" ref="Q956">_xlfn.IFS(Table1[[#This Row],[Wealthier_Winner]]=-1,"Wealthier Nation Loses",Table1[[#This Row],[Wealthier_Winner]]=0,"Tie",Table1[[#This Row],[Wealthier_Winner]]=1,"Wealthier Nation Wins")</f>
        <v>Wealthier Nation Loses</v>
      </c>
    </row>
    <row r="957" spans="1:17" x14ac:dyDescent="0.2">
      <c r="A957" s="1">
        <v>1966</v>
      </c>
      <c r="B957" s="2">
        <v>32463</v>
      </c>
      <c r="C957" s="7">
        <f>_xlfn.FLOOR.MATH(Table1[[#This Row],[year]],10)</f>
        <v>1980</v>
      </c>
      <c r="D957" t="s">
        <v>38</v>
      </c>
      <c r="E957" t="s">
        <v>232</v>
      </c>
      <c r="F957">
        <v>1</v>
      </c>
      <c r="G957">
        <v>0</v>
      </c>
      <c r="H957" t="s">
        <v>224</v>
      </c>
      <c r="I957" t="s">
        <v>292</v>
      </c>
      <c r="J957" t="s">
        <v>38</v>
      </c>
      <c r="K957" t="b">
        <v>0</v>
      </c>
      <c r="L957">
        <v>1988</v>
      </c>
      <c r="M957">
        <v>56347250696</v>
      </c>
      <c r="N957">
        <v>9418167855</v>
      </c>
      <c r="O957" t="b">
        <v>1</v>
      </c>
      <c r="P957">
        <v>1</v>
      </c>
      <c r="Q957" t="str" cm="1">
        <f t="array" ref="Q957">_xlfn.IFS(Table1[[#This Row],[Wealthier_Winner]]=-1,"Wealthier Nation Loses",Table1[[#This Row],[Wealthier_Winner]]=0,"Tie",Table1[[#This Row],[Wealthier_Winner]]=1,"Wealthier Nation Wins")</f>
        <v>Wealthier Nation Wins</v>
      </c>
    </row>
    <row r="958" spans="1:17" x14ac:dyDescent="0.2">
      <c r="A958" s="1">
        <v>1969</v>
      </c>
      <c r="B958" s="2">
        <v>32473</v>
      </c>
      <c r="C958" s="7">
        <f>_xlfn.FLOOR.MATH(Table1[[#This Row],[year]],10)</f>
        <v>1980</v>
      </c>
      <c r="D958" t="s">
        <v>384</v>
      </c>
      <c r="E958" t="s">
        <v>28</v>
      </c>
      <c r="F958">
        <v>1</v>
      </c>
      <c r="G958">
        <v>0</v>
      </c>
      <c r="H958" t="s">
        <v>224</v>
      </c>
      <c r="I958" t="s">
        <v>426</v>
      </c>
      <c r="J958" t="s">
        <v>384</v>
      </c>
      <c r="K958" t="b">
        <v>0</v>
      </c>
      <c r="L958">
        <v>1988</v>
      </c>
      <c r="M958">
        <v>1110009522</v>
      </c>
      <c r="N958">
        <v>236461079970</v>
      </c>
      <c r="O958" t="b">
        <v>1</v>
      </c>
      <c r="P958">
        <v>-1</v>
      </c>
      <c r="Q958" t="str" cm="1">
        <f t="array" ref="Q958">_xlfn.IFS(Table1[[#This Row],[Wealthier_Winner]]=-1,"Wealthier Nation Loses",Table1[[#This Row],[Wealthier_Winner]]=0,"Tie",Table1[[#This Row],[Wealthier_Winner]]=1,"Wealthier Nation Wins")</f>
        <v>Wealthier Nation Loses</v>
      </c>
    </row>
    <row r="959" spans="1:17" x14ac:dyDescent="0.2">
      <c r="A959" s="1">
        <v>1971</v>
      </c>
      <c r="B959" s="2">
        <v>32480</v>
      </c>
      <c r="C959" s="7">
        <f>_xlfn.FLOOR.MATH(Table1[[#This Row],[year]],10)</f>
        <v>1980</v>
      </c>
      <c r="D959" t="s">
        <v>28</v>
      </c>
      <c r="E959" t="s">
        <v>384</v>
      </c>
      <c r="F959">
        <v>5</v>
      </c>
      <c r="G959">
        <v>1</v>
      </c>
      <c r="H959" t="s">
        <v>224</v>
      </c>
      <c r="I959" t="s">
        <v>427</v>
      </c>
      <c r="J959" t="s">
        <v>28</v>
      </c>
      <c r="K959" t="b">
        <v>0</v>
      </c>
      <c r="L959">
        <v>1988</v>
      </c>
      <c r="M959">
        <v>236461079970</v>
      </c>
      <c r="N959">
        <v>1110009522</v>
      </c>
      <c r="O959" t="b">
        <v>1</v>
      </c>
      <c r="P959">
        <v>1</v>
      </c>
      <c r="Q959" t="str" cm="1">
        <f t="array" ref="Q959">_xlfn.IFS(Table1[[#This Row],[Wealthier_Winner]]=-1,"Wealthier Nation Loses",Table1[[#This Row],[Wealthier_Winner]]=0,"Tie",Table1[[#This Row],[Wealthier_Winner]]=1,"Wealthier Nation Wins")</f>
        <v>Wealthier Nation Wins</v>
      </c>
    </row>
    <row r="960" spans="1:17" x14ac:dyDescent="0.2">
      <c r="A960" s="1">
        <v>1972</v>
      </c>
      <c r="B960" s="2">
        <v>32488</v>
      </c>
      <c r="C960" s="7">
        <f>_xlfn.FLOOR.MATH(Table1[[#This Row],[year]],10)</f>
        <v>1980</v>
      </c>
      <c r="D960" t="s">
        <v>303</v>
      </c>
      <c r="E960" t="s">
        <v>30</v>
      </c>
      <c r="F960">
        <v>2</v>
      </c>
      <c r="G960">
        <v>2</v>
      </c>
      <c r="H960" t="s">
        <v>224</v>
      </c>
      <c r="I960" t="s">
        <v>399</v>
      </c>
      <c r="J960" t="s">
        <v>303</v>
      </c>
      <c r="K960" t="b">
        <v>0</v>
      </c>
      <c r="L960">
        <v>1988</v>
      </c>
      <c r="M960">
        <v>2019503068</v>
      </c>
      <c r="N960">
        <v>29799838597</v>
      </c>
      <c r="O960" t="b">
        <v>1</v>
      </c>
      <c r="P960">
        <v>0</v>
      </c>
      <c r="Q960" t="str" cm="1">
        <f t="array" ref="Q960">_xlfn.IFS(Table1[[#This Row],[Wealthier_Winner]]=-1,"Wealthier Nation Loses",Table1[[#This Row],[Wealthier_Winner]]=0,"Tie",Table1[[#This Row],[Wealthier_Winner]]=1,"Wealthier Nation Wins")</f>
        <v>Tie</v>
      </c>
    </row>
    <row r="961" spans="1:17" x14ac:dyDescent="0.2">
      <c r="A961" s="1">
        <v>1977</v>
      </c>
      <c r="B961" s="2">
        <v>32514</v>
      </c>
      <c r="C961" s="7">
        <f>_xlfn.FLOOR.MATH(Table1[[#This Row],[year]],10)</f>
        <v>1980</v>
      </c>
      <c r="D961" t="s">
        <v>32</v>
      </c>
      <c r="E961" t="s">
        <v>298</v>
      </c>
      <c r="F961">
        <v>3</v>
      </c>
      <c r="G961">
        <v>0</v>
      </c>
      <c r="H961" t="s">
        <v>224</v>
      </c>
      <c r="I961" t="s">
        <v>428</v>
      </c>
      <c r="J961" t="s">
        <v>32</v>
      </c>
      <c r="K961" t="b">
        <v>0</v>
      </c>
      <c r="L961">
        <v>1989</v>
      </c>
      <c r="M961">
        <v>55634721572</v>
      </c>
      <c r="N961">
        <v>8290553535</v>
      </c>
      <c r="O961" t="b">
        <v>1</v>
      </c>
      <c r="P961">
        <v>1</v>
      </c>
      <c r="Q961" t="str" cm="1">
        <f t="array" ref="Q961">_xlfn.IFS(Table1[[#This Row],[Wealthier_Winner]]=-1,"Wealthier Nation Loses",Table1[[#This Row],[Wealthier_Winner]]=0,"Tie",Table1[[#This Row],[Wealthier_Winner]]=1,"Wealthier Nation Wins")</f>
        <v>Wealthier Nation Wins</v>
      </c>
    </row>
    <row r="962" spans="1:17" x14ac:dyDescent="0.2">
      <c r="A962" s="1">
        <v>1978</v>
      </c>
      <c r="B962" s="2">
        <v>32514</v>
      </c>
      <c r="C962" s="7">
        <f>_xlfn.FLOOR.MATH(Table1[[#This Row],[year]],10)</f>
        <v>1980</v>
      </c>
      <c r="D962" t="s">
        <v>212</v>
      </c>
      <c r="E962" t="s">
        <v>378</v>
      </c>
      <c r="F962">
        <v>2</v>
      </c>
      <c r="G962">
        <v>0</v>
      </c>
      <c r="H962" t="s">
        <v>224</v>
      </c>
      <c r="I962" t="s">
        <v>322</v>
      </c>
      <c r="J962" t="s">
        <v>212</v>
      </c>
      <c r="K962" t="b">
        <v>0</v>
      </c>
      <c r="L962">
        <v>1989</v>
      </c>
      <c r="M962">
        <v>39756299049</v>
      </c>
      <c r="N962">
        <v>786300000</v>
      </c>
      <c r="O962" t="b">
        <v>1</v>
      </c>
      <c r="P962">
        <v>1</v>
      </c>
      <c r="Q962" t="str" cm="1">
        <f t="array" ref="Q962">_xlfn.IFS(Table1[[#This Row],[Wealthier_Winner]]=-1,"Wealthier Nation Loses",Table1[[#This Row],[Wealthier_Winner]]=0,"Tie",Table1[[#This Row],[Wealthier_Winner]]=1,"Wealthier Nation Wins")</f>
        <v>Wealthier Nation Wins</v>
      </c>
    </row>
    <row r="963" spans="1:17" x14ac:dyDescent="0.2">
      <c r="A963" s="1">
        <v>1979</v>
      </c>
      <c r="B963" s="2">
        <v>32514</v>
      </c>
      <c r="C963" s="7">
        <f>_xlfn.FLOOR.MATH(Table1[[#This Row],[year]],10)</f>
        <v>1980</v>
      </c>
      <c r="D963" t="s">
        <v>429</v>
      </c>
      <c r="E963" t="s">
        <v>37</v>
      </c>
      <c r="F963">
        <v>1</v>
      </c>
      <c r="G963">
        <v>1</v>
      </c>
      <c r="H963" t="s">
        <v>224</v>
      </c>
      <c r="I963" t="s">
        <v>430</v>
      </c>
      <c r="J963" t="s">
        <v>429</v>
      </c>
      <c r="K963" t="b">
        <v>0</v>
      </c>
      <c r="L963">
        <v>1989</v>
      </c>
      <c r="M963">
        <v>9372171651</v>
      </c>
      <c r="N963">
        <v>65831935483</v>
      </c>
      <c r="O963" t="b">
        <v>1</v>
      </c>
      <c r="P963">
        <v>0</v>
      </c>
      <c r="Q963" t="str" cm="1">
        <f t="array" ref="Q963">_xlfn.IFS(Table1[[#This Row],[Wealthier_Winner]]=-1,"Wealthier Nation Loses",Table1[[#This Row],[Wealthier_Winner]]=0,"Tie",Table1[[#This Row],[Wealthier_Winner]]=1,"Wealthier Nation Wins")</f>
        <v>Tie</v>
      </c>
    </row>
    <row r="964" spans="1:17" x14ac:dyDescent="0.2">
      <c r="A964" s="1">
        <v>1980</v>
      </c>
      <c r="B964" s="2">
        <v>32514</v>
      </c>
      <c r="C964" s="7">
        <f>_xlfn.FLOOR.MATH(Table1[[#This Row],[year]],10)</f>
        <v>1980</v>
      </c>
      <c r="D964" t="s">
        <v>431</v>
      </c>
      <c r="E964" t="s">
        <v>71</v>
      </c>
      <c r="F964">
        <v>0</v>
      </c>
      <c r="G964">
        <v>1</v>
      </c>
      <c r="H964" t="s">
        <v>224</v>
      </c>
      <c r="I964" t="s">
        <v>432</v>
      </c>
      <c r="J964" t="s">
        <v>431</v>
      </c>
      <c r="K964" t="b">
        <v>0</v>
      </c>
      <c r="L964">
        <v>1989</v>
      </c>
      <c r="M964">
        <v>40171106279</v>
      </c>
      <c r="N964">
        <v>24313855653</v>
      </c>
      <c r="O964" t="b">
        <v>0</v>
      </c>
      <c r="P964">
        <v>-1</v>
      </c>
      <c r="Q964" t="str" cm="1">
        <f t="array" ref="Q964">_xlfn.IFS(Table1[[#This Row],[Wealthier_Winner]]=-1,"Wealthier Nation Loses",Table1[[#This Row],[Wealthier_Winner]]=0,"Tie",Table1[[#This Row],[Wealthier_Winner]]=1,"Wealthier Nation Wins")</f>
        <v>Wealthier Nation Loses</v>
      </c>
    </row>
    <row r="965" spans="1:17" x14ac:dyDescent="0.2">
      <c r="A965" s="1">
        <v>1981</v>
      </c>
      <c r="B965" s="2">
        <v>32514</v>
      </c>
      <c r="C965" s="7">
        <f>_xlfn.FLOOR.MATH(Table1[[#This Row],[year]],10)</f>
        <v>1980</v>
      </c>
      <c r="D965" t="s">
        <v>68</v>
      </c>
      <c r="E965" t="s">
        <v>403</v>
      </c>
      <c r="F965">
        <v>1</v>
      </c>
      <c r="G965">
        <v>0</v>
      </c>
      <c r="H965" t="s">
        <v>224</v>
      </c>
      <c r="I965" t="s">
        <v>190</v>
      </c>
      <c r="J965" t="s">
        <v>68</v>
      </c>
      <c r="K965" t="b">
        <v>0</v>
      </c>
      <c r="L965">
        <v>1989</v>
      </c>
      <c r="M965">
        <v>6487912087</v>
      </c>
      <c r="N965">
        <v>4221373673</v>
      </c>
      <c r="O965" t="b">
        <v>0</v>
      </c>
      <c r="P965">
        <v>1</v>
      </c>
      <c r="Q965" t="str" cm="1">
        <f t="array" ref="Q965">_xlfn.IFS(Table1[[#This Row],[Wealthier_Winner]]=-1,"Wealthier Nation Loses",Table1[[#This Row],[Wealthier_Winner]]=0,"Tie",Table1[[#This Row],[Wealthier_Winner]]=1,"Wealthier Nation Wins")</f>
        <v>Wealthier Nation Wins</v>
      </c>
    </row>
    <row r="966" spans="1:17" x14ac:dyDescent="0.2">
      <c r="A966" s="1">
        <v>1982</v>
      </c>
      <c r="B966" s="2">
        <v>32515</v>
      </c>
      <c r="C966" s="7">
        <f>_xlfn.FLOOR.MATH(Table1[[#This Row],[year]],10)</f>
        <v>1980</v>
      </c>
      <c r="D966" t="s">
        <v>314</v>
      </c>
      <c r="E966" t="s">
        <v>370</v>
      </c>
      <c r="F966">
        <v>1</v>
      </c>
      <c r="G966">
        <v>1</v>
      </c>
      <c r="H966" t="s">
        <v>224</v>
      </c>
      <c r="I966" t="s">
        <v>315</v>
      </c>
      <c r="J966" t="s">
        <v>314</v>
      </c>
      <c r="K966" t="b">
        <v>0</v>
      </c>
      <c r="L966">
        <v>1989</v>
      </c>
      <c r="M966">
        <v>8283114514</v>
      </c>
      <c r="N966">
        <v>2314205129</v>
      </c>
      <c r="O966" t="b">
        <v>1</v>
      </c>
      <c r="P966">
        <v>0</v>
      </c>
      <c r="Q966" t="str" cm="1">
        <f t="array" ref="Q966">_xlfn.IFS(Table1[[#This Row],[Wealthier_Winner]]=-1,"Wealthier Nation Loses",Table1[[#This Row],[Wealthier_Winner]]=0,"Tie",Table1[[#This Row],[Wealthier_Winner]]=1,"Wealthier Nation Wins")</f>
        <v>Tie</v>
      </c>
    </row>
    <row r="967" spans="1:17" x14ac:dyDescent="0.2">
      <c r="A967" s="1">
        <v>1983</v>
      </c>
      <c r="B967" s="2">
        <v>32515</v>
      </c>
      <c r="C967" s="7">
        <f>_xlfn.FLOOR.MATH(Table1[[#This Row],[year]],10)</f>
        <v>1980</v>
      </c>
      <c r="D967" t="s">
        <v>43</v>
      </c>
      <c r="E967" t="s">
        <v>433</v>
      </c>
      <c r="F967">
        <v>1</v>
      </c>
      <c r="G967">
        <v>0</v>
      </c>
      <c r="H967" t="s">
        <v>224</v>
      </c>
      <c r="I967" t="s">
        <v>434</v>
      </c>
      <c r="J967" t="s">
        <v>43</v>
      </c>
      <c r="K967" t="b">
        <v>0</v>
      </c>
      <c r="L967">
        <v>1989</v>
      </c>
      <c r="M967">
        <v>44003061108</v>
      </c>
      <c r="N967">
        <v>4186411463</v>
      </c>
      <c r="O967" t="b">
        <v>1</v>
      </c>
      <c r="P967">
        <v>1</v>
      </c>
      <c r="Q967" t="str" cm="1">
        <f t="array" ref="Q967">_xlfn.IFS(Table1[[#This Row],[Wealthier_Winner]]=-1,"Wealthier Nation Loses",Table1[[#This Row],[Wealthier_Winner]]=0,"Tie",Table1[[#This Row],[Wealthier_Winner]]=1,"Wealthier Nation Wins")</f>
        <v>Wealthier Nation Wins</v>
      </c>
    </row>
    <row r="968" spans="1:17" x14ac:dyDescent="0.2">
      <c r="A968" s="1">
        <v>1984</v>
      </c>
      <c r="B968" s="2">
        <v>32516</v>
      </c>
      <c r="C968" s="7">
        <f>_xlfn.FLOOR.MATH(Table1[[#This Row],[year]],10)</f>
        <v>1980</v>
      </c>
      <c r="D968" t="s">
        <v>40</v>
      </c>
      <c r="E968" t="s">
        <v>60</v>
      </c>
      <c r="F968">
        <v>1</v>
      </c>
      <c r="G968">
        <v>1</v>
      </c>
      <c r="H968" t="s">
        <v>224</v>
      </c>
      <c r="I968" t="s">
        <v>371</v>
      </c>
      <c r="J968" t="s">
        <v>40</v>
      </c>
      <c r="K968" t="b">
        <v>0</v>
      </c>
      <c r="L968">
        <v>1989</v>
      </c>
      <c r="M968">
        <v>11012566195</v>
      </c>
      <c r="N968">
        <v>10201780976</v>
      </c>
      <c r="O968" t="b">
        <v>0</v>
      </c>
      <c r="P968">
        <v>0</v>
      </c>
      <c r="Q968" t="str" cm="1">
        <f t="array" ref="Q968">_xlfn.IFS(Table1[[#This Row],[Wealthier_Winner]]=-1,"Wealthier Nation Loses",Table1[[#This Row],[Wealthier_Winner]]=0,"Tie",Table1[[#This Row],[Wealthier_Winner]]=1,"Wealthier Nation Wins")</f>
        <v>Tie</v>
      </c>
    </row>
    <row r="969" spans="1:17" x14ac:dyDescent="0.2">
      <c r="A969" s="1">
        <v>1987</v>
      </c>
      <c r="B969" s="2">
        <v>32516</v>
      </c>
      <c r="C969" s="7">
        <f>_xlfn.FLOOR.MATH(Table1[[#This Row],[year]],10)</f>
        <v>1980</v>
      </c>
      <c r="D969" t="s">
        <v>24</v>
      </c>
      <c r="E969" t="s">
        <v>273</v>
      </c>
      <c r="F969">
        <v>1</v>
      </c>
      <c r="G969">
        <v>0</v>
      </c>
      <c r="H969" t="s">
        <v>224</v>
      </c>
      <c r="I969" t="s">
        <v>319</v>
      </c>
      <c r="J969" t="s">
        <v>24</v>
      </c>
      <c r="K969" t="b">
        <v>0</v>
      </c>
      <c r="L969">
        <v>1989</v>
      </c>
      <c r="M969">
        <v>26314313191</v>
      </c>
      <c r="N969">
        <v>3994673161</v>
      </c>
      <c r="O969" t="b">
        <v>1</v>
      </c>
      <c r="P969">
        <v>1</v>
      </c>
      <c r="Q969" t="str" cm="1">
        <f t="array" ref="Q969">_xlfn.IFS(Table1[[#This Row],[Wealthier_Winner]]=-1,"Wealthier Nation Loses",Table1[[#This Row],[Wealthier_Winner]]=0,"Tie",Table1[[#This Row],[Wealthier_Winner]]=1,"Wealthier Nation Wins")</f>
        <v>Wealthier Nation Wins</v>
      </c>
    </row>
    <row r="970" spans="1:17" x14ac:dyDescent="0.2">
      <c r="A970" s="1">
        <v>1988</v>
      </c>
      <c r="B970" s="2">
        <v>32521</v>
      </c>
      <c r="C970" s="7">
        <f>_xlfn.FLOOR.MATH(Table1[[#This Row],[year]],10)</f>
        <v>1980</v>
      </c>
      <c r="D970" t="s">
        <v>403</v>
      </c>
      <c r="E970" t="s">
        <v>37</v>
      </c>
      <c r="F970">
        <v>0</v>
      </c>
      <c r="G970">
        <v>1</v>
      </c>
      <c r="H970" t="s">
        <v>224</v>
      </c>
      <c r="I970" t="s">
        <v>404</v>
      </c>
      <c r="J970" t="s">
        <v>403</v>
      </c>
      <c r="K970" t="b">
        <v>0</v>
      </c>
      <c r="L970">
        <v>1989</v>
      </c>
      <c r="M970">
        <v>4221373673</v>
      </c>
      <c r="N970">
        <v>65831935483</v>
      </c>
      <c r="O970" t="b">
        <v>1</v>
      </c>
      <c r="P970">
        <v>1</v>
      </c>
      <c r="Q970" t="str" cm="1">
        <f t="array" ref="Q970">_xlfn.IFS(Table1[[#This Row],[Wealthier_Winner]]=-1,"Wealthier Nation Loses",Table1[[#This Row],[Wealthier_Winner]]=0,"Tie",Table1[[#This Row],[Wealthier_Winner]]=1,"Wealthier Nation Wins")</f>
        <v>Wealthier Nation Wins</v>
      </c>
    </row>
    <row r="971" spans="1:17" x14ac:dyDescent="0.2">
      <c r="A971" s="1">
        <v>1989</v>
      </c>
      <c r="B971" s="2">
        <v>32521</v>
      </c>
      <c r="C971" s="7">
        <f>_xlfn.FLOOR.MATH(Table1[[#This Row],[year]],10)</f>
        <v>1980</v>
      </c>
      <c r="D971" t="s">
        <v>71</v>
      </c>
      <c r="E971" t="s">
        <v>39</v>
      </c>
      <c r="F971">
        <v>3</v>
      </c>
      <c r="G971">
        <v>2</v>
      </c>
      <c r="H971" t="s">
        <v>224</v>
      </c>
      <c r="I971" t="s">
        <v>366</v>
      </c>
      <c r="J971" t="s">
        <v>71</v>
      </c>
      <c r="K971" t="b">
        <v>0</v>
      </c>
      <c r="L971">
        <v>1989</v>
      </c>
      <c r="M971">
        <v>24313855653</v>
      </c>
      <c r="N971">
        <v>41464995913</v>
      </c>
      <c r="O971" t="b">
        <v>0</v>
      </c>
      <c r="P971">
        <v>-1</v>
      </c>
      <c r="Q971" t="str" cm="1">
        <f t="array" ref="Q971">_xlfn.IFS(Table1[[#This Row],[Wealthier_Winner]]=-1,"Wealthier Nation Loses",Table1[[#This Row],[Wealthier_Winner]]=0,"Tie",Table1[[#This Row],[Wealthier_Winner]]=1,"Wealthier Nation Wins")</f>
        <v>Wealthier Nation Loses</v>
      </c>
    </row>
    <row r="972" spans="1:17" x14ac:dyDescent="0.2">
      <c r="A972" s="1">
        <v>1990</v>
      </c>
      <c r="B972" s="2">
        <v>32521</v>
      </c>
      <c r="C972" s="7">
        <f>_xlfn.FLOOR.MATH(Table1[[#This Row],[year]],10)</f>
        <v>1980</v>
      </c>
      <c r="D972" t="s">
        <v>429</v>
      </c>
      <c r="E972" t="s">
        <v>68</v>
      </c>
      <c r="F972">
        <v>0</v>
      </c>
      <c r="G972">
        <v>0</v>
      </c>
      <c r="H972" t="s">
        <v>224</v>
      </c>
      <c r="I972" t="s">
        <v>430</v>
      </c>
      <c r="J972" t="s">
        <v>429</v>
      </c>
      <c r="K972" t="b">
        <v>0</v>
      </c>
      <c r="L972">
        <v>1989</v>
      </c>
      <c r="M972">
        <v>9372171651</v>
      </c>
      <c r="N972">
        <v>6487912087</v>
      </c>
      <c r="O972" t="b">
        <v>0</v>
      </c>
      <c r="P972">
        <v>0</v>
      </c>
      <c r="Q972" t="str" cm="1">
        <f t="array" ref="Q972">_xlfn.IFS(Table1[[#This Row],[Wealthier_Winner]]=-1,"Wealthier Nation Loses",Table1[[#This Row],[Wealthier_Winner]]=0,"Tie",Table1[[#This Row],[Wealthier_Winner]]=1,"Wealthier Nation Wins")</f>
        <v>Tie</v>
      </c>
    </row>
    <row r="973" spans="1:17" x14ac:dyDescent="0.2">
      <c r="A973" s="1">
        <v>1991</v>
      </c>
      <c r="B973" s="2">
        <v>32528</v>
      </c>
      <c r="C973" s="7">
        <f>_xlfn.FLOOR.MATH(Table1[[#This Row],[year]],10)</f>
        <v>1980</v>
      </c>
      <c r="D973" t="s">
        <v>403</v>
      </c>
      <c r="E973" t="s">
        <v>429</v>
      </c>
      <c r="F973">
        <v>2</v>
      </c>
      <c r="G973">
        <v>0</v>
      </c>
      <c r="H973" t="s">
        <v>224</v>
      </c>
      <c r="I973" t="s">
        <v>404</v>
      </c>
      <c r="J973" t="s">
        <v>403</v>
      </c>
      <c r="K973" t="b">
        <v>0</v>
      </c>
      <c r="L973">
        <v>1989</v>
      </c>
      <c r="M973">
        <v>4221373673</v>
      </c>
      <c r="N973">
        <v>9372171651</v>
      </c>
      <c r="O973" t="b">
        <v>1</v>
      </c>
      <c r="P973">
        <v>-1</v>
      </c>
      <c r="Q973" t="str" cm="1">
        <f t="array" ref="Q973">_xlfn.IFS(Table1[[#This Row],[Wealthier_Winner]]=-1,"Wealthier Nation Loses",Table1[[#This Row],[Wealthier_Winner]]=0,"Tie",Table1[[#This Row],[Wealthier_Winner]]=1,"Wealthier Nation Wins")</f>
        <v>Wealthier Nation Loses</v>
      </c>
    </row>
    <row r="974" spans="1:17" x14ac:dyDescent="0.2">
      <c r="A974" s="1">
        <v>1992</v>
      </c>
      <c r="B974" s="2">
        <v>32528</v>
      </c>
      <c r="C974" s="7">
        <f>_xlfn.FLOOR.MATH(Table1[[#This Row],[year]],10)</f>
        <v>1980</v>
      </c>
      <c r="D974" t="s">
        <v>68</v>
      </c>
      <c r="E974" t="s">
        <v>37</v>
      </c>
      <c r="F974">
        <v>1</v>
      </c>
      <c r="G974">
        <v>0</v>
      </c>
      <c r="H974" t="s">
        <v>224</v>
      </c>
      <c r="I974" t="s">
        <v>190</v>
      </c>
      <c r="J974" t="s">
        <v>68</v>
      </c>
      <c r="K974" t="b">
        <v>0</v>
      </c>
      <c r="L974">
        <v>1989</v>
      </c>
      <c r="M974">
        <v>6487912087</v>
      </c>
      <c r="N974">
        <v>65831935483</v>
      </c>
      <c r="O974" t="b">
        <v>1</v>
      </c>
      <c r="P974">
        <v>-1</v>
      </c>
      <c r="Q974" t="str" cm="1">
        <f t="array" ref="Q974">_xlfn.IFS(Table1[[#This Row],[Wealthier_Winner]]=-1,"Wealthier Nation Loses",Table1[[#This Row],[Wealthier_Winner]]=0,"Tie",Table1[[#This Row],[Wealthier_Winner]]=1,"Wealthier Nation Wins")</f>
        <v>Wealthier Nation Loses</v>
      </c>
    </row>
    <row r="975" spans="1:17" x14ac:dyDescent="0.2">
      <c r="A975" s="1">
        <v>1993</v>
      </c>
      <c r="B975" s="2">
        <v>32528</v>
      </c>
      <c r="C975" s="7">
        <f>_xlfn.FLOOR.MATH(Table1[[#This Row],[year]],10)</f>
        <v>1980</v>
      </c>
      <c r="D975" t="s">
        <v>39</v>
      </c>
      <c r="E975" t="s">
        <v>431</v>
      </c>
      <c r="F975">
        <v>5</v>
      </c>
      <c r="G975">
        <v>0</v>
      </c>
      <c r="H975" t="s">
        <v>224</v>
      </c>
      <c r="I975" t="s">
        <v>435</v>
      </c>
      <c r="J975" t="s">
        <v>39</v>
      </c>
      <c r="K975" t="b">
        <v>0</v>
      </c>
      <c r="L975">
        <v>1989</v>
      </c>
      <c r="M975">
        <v>41464995913</v>
      </c>
      <c r="N975">
        <v>40171106279</v>
      </c>
      <c r="O975" t="b">
        <v>0</v>
      </c>
      <c r="P975">
        <v>1</v>
      </c>
      <c r="Q975" t="str" cm="1">
        <f t="array" ref="Q975">_xlfn.IFS(Table1[[#This Row],[Wealthier_Winner]]=-1,"Wealthier Nation Loses",Table1[[#This Row],[Wealthier_Winner]]=0,"Tie",Table1[[#This Row],[Wealthier_Winner]]=1,"Wealthier Nation Wins")</f>
        <v>Wealthier Nation Wins</v>
      </c>
    </row>
    <row r="976" spans="1:17" x14ac:dyDescent="0.2">
      <c r="A976" s="1">
        <v>1994</v>
      </c>
      <c r="B976" s="2">
        <v>32529</v>
      </c>
      <c r="C976" s="7">
        <f>_xlfn.FLOOR.MATH(Table1[[#This Row],[year]],10)</f>
        <v>1980</v>
      </c>
      <c r="D976" t="s">
        <v>370</v>
      </c>
      <c r="E976" t="s">
        <v>212</v>
      </c>
      <c r="F976">
        <v>1</v>
      </c>
      <c r="G976">
        <v>1</v>
      </c>
      <c r="H976" t="s">
        <v>224</v>
      </c>
      <c r="I976" t="s">
        <v>397</v>
      </c>
      <c r="J976" t="s">
        <v>370</v>
      </c>
      <c r="K976" t="b">
        <v>0</v>
      </c>
      <c r="L976">
        <v>1989</v>
      </c>
      <c r="M976">
        <v>2314205129</v>
      </c>
      <c r="N976">
        <v>39756299049</v>
      </c>
      <c r="O976" t="b">
        <v>1</v>
      </c>
      <c r="P976">
        <v>0</v>
      </c>
      <c r="Q976" t="str" cm="1">
        <f t="array" ref="Q976">_xlfn.IFS(Table1[[#This Row],[Wealthier_Winner]]=-1,"Wealthier Nation Loses",Table1[[#This Row],[Wealthier_Winner]]=0,"Tie",Table1[[#This Row],[Wealthier_Winner]]=1,"Wealthier Nation Wins")</f>
        <v>Tie</v>
      </c>
    </row>
    <row r="977" spans="1:17" x14ac:dyDescent="0.2">
      <c r="A977" s="1">
        <v>1995</v>
      </c>
      <c r="B977" s="2">
        <v>32530</v>
      </c>
      <c r="C977" s="7">
        <f>_xlfn.FLOOR.MATH(Table1[[#This Row],[year]],10)</f>
        <v>1980</v>
      </c>
      <c r="D977" t="s">
        <v>60</v>
      </c>
      <c r="E977" t="s">
        <v>43</v>
      </c>
      <c r="F977">
        <v>2</v>
      </c>
      <c r="G977">
        <v>2</v>
      </c>
      <c r="H977" t="s">
        <v>224</v>
      </c>
      <c r="I977" t="s">
        <v>396</v>
      </c>
      <c r="J977" t="s">
        <v>60</v>
      </c>
      <c r="K977" t="b">
        <v>0</v>
      </c>
      <c r="L977">
        <v>1989</v>
      </c>
      <c r="M977">
        <v>10201780976</v>
      </c>
      <c r="N977">
        <v>44003061108</v>
      </c>
      <c r="O977" t="b">
        <v>1</v>
      </c>
      <c r="P977">
        <v>0</v>
      </c>
      <c r="Q977" t="str" cm="1">
        <f t="array" ref="Q977">_xlfn.IFS(Table1[[#This Row],[Wealthier_Winner]]=-1,"Wealthier Nation Loses",Table1[[#This Row],[Wealthier_Winner]]=0,"Tie",Table1[[#This Row],[Wealthier_Winner]]=1,"Wealthier Nation Wins")</f>
        <v>Tie</v>
      </c>
    </row>
    <row r="978" spans="1:17" x14ac:dyDescent="0.2">
      <c r="A978" s="1">
        <v>1996</v>
      </c>
      <c r="B978" s="2">
        <v>32530</v>
      </c>
      <c r="C978" s="7">
        <f>_xlfn.FLOOR.MATH(Table1[[#This Row],[year]],10)</f>
        <v>1980</v>
      </c>
      <c r="D978" t="s">
        <v>433</v>
      </c>
      <c r="E978" t="s">
        <v>40</v>
      </c>
      <c r="F978">
        <v>1</v>
      </c>
      <c r="G978">
        <v>3</v>
      </c>
      <c r="H978" t="s">
        <v>224</v>
      </c>
      <c r="I978" t="s">
        <v>436</v>
      </c>
      <c r="J978" t="s">
        <v>433</v>
      </c>
      <c r="K978" t="b">
        <v>0</v>
      </c>
      <c r="L978">
        <v>1989</v>
      </c>
      <c r="M978">
        <v>4186411463</v>
      </c>
      <c r="N978">
        <v>11012566195</v>
      </c>
      <c r="O978" t="b">
        <v>1</v>
      </c>
      <c r="P978">
        <v>1</v>
      </c>
      <c r="Q978" t="str" cm="1">
        <f t="array" ref="Q978">_xlfn.IFS(Table1[[#This Row],[Wealthier_Winner]]=-1,"Wealthier Nation Loses",Table1[[#This Row],[Wealthier_Winner]]=0,"Tie",Table1[[#This Row],[Wealthier_Winner]]=1,"Wealthier Nation Wins")</f>
        <v>Wealthier Nation Wins</v>
      </c>
    </row>
    <row r="979" spans="1:17" x14ac:dyDescent="0.2">
      <c r="A979" s="1">
        <v>1997</v>
      </c>
      <c r="B979" s="2">
        <v>32530</v>
      </c>
      <c r="C979" s="7">
        <f>_xlfn.FLOOR.MATH(Table1[[#This Row],[year]],10)</f>
        <v>1980</v>
      </c>
      <c r="D979" t="s">
        <v>378</v>
      </c>
      <c r="E979" t="s">
        <v>314</v>
      </c>
      <c r="F979">
        <v>0</v>
      </c>
      <c r="G979">
        <v>0</v>
      </c>
      <c r="H979" t="s">
        <v>224</v>
      </c>
      <c r="I979" t="s">
        <v>379</v>
      </c>
      <c r="J979" t="s">
        <v>378</v>
      </c>
      <c r="K979" t="b">
        <v>0</v>
      </c>
      <c r="L979">
        <v>1989</v>
      </c>
      <c r="M979">
        <v>786300000</v>
      </c>
      <c r="N979">
        <v>8283114514</v>
      </c>
      <c r="O979" t="b">
        <v>1</v>
      </c>
      <c r="P979">
        <v>0</v>
      </c>
      <c r="Q979" t="str" cm="1">
        <f t="array" ref="Q979">_xlfn.IFS(Table1[[#This Row],[Wealthier_Winner]]=-1,"Wealthier Nation Loses",Table1[[#This Row],[Wealthier_Winner]]=0,"Tie",Table1[[#This Row],[Wealthier_Winner]]=1,"Wealthier Nation Wins")</f>
        <v>Tie</v>
      </c>
    </row>
    <row r="980" spans="1:17" x14ac:dyDescent="0.2">
      <c r="A980" s="1">
        <v>1998</v>
      </c>
      <c r="B980" s="2">
        <v>32530</v>
      </c>
      <c r="C980" s="7">
        <f>_xlfn.FLOOR.MATH(Table1[[#This Row],[year]],10)</f>
        <v>1980</v>
      </c>
      <c r="D980" t="s">
        <v>303</v>
      </c>
      <c r="E980" t="s">
        <v>21</v>
      </c>
      <c r="F980">
        <v>0</v>
      </c>
      <c r="G980">
        <v>2</v>
      </c>
      <c r="H980" t="s">
        <v>224</v>
      </c>
      <c r="I980" t="s">
        <v>399</v>
      </c>
      <c r="J980" t="s">
        <v>303</v>
      </c>
      <c r="K980" t="b">
        <v>0</v>
      </c>
      <c r="L980">
        <v>1989</v>
      </c>
      <c r="M980">
        <v>2118655676</v>
      </c>
      <c r="N980">
        <v>414460794096</v>
      </c>
      <c r="O980" t="b">
        <v>1</v>
      </c>
      <c r="P980">
        <v>1</v>
      </c>
      <c r="Q980" t="str" cm="1">
        <f t="array" ref="Q980">_xlfn.IFS(Table1[[#This Row],[Wealthier_Winner]]=-1,"Wealthier Nation Loses",Table1[[#This Row],[Wealthier_Winner]]=0,"Tie",Table1[[#This Row],[Wealthier_Winner]]=1,"Wealthier Nation Wins")</f>
        <v>Wealthier Nation Wins</v>
      </c>
    </row>
    <row r="981" spans="1:17" x14ac:dyDescent="0.2">
      <c r="A981" s="1">
        <v>1999</v>
      </c>
      <c r="B981" s="2">
        <v>32530</v>
      </c>
      <c r="C981" s="7">
        <f>_xlfn.FLOOR.MATH(Table1[[#This Row],[year]],10)</f>
        <v>1980</v>
      </c>
      <c r="D981" t="s">
        <v>53</v>
      </c>
      <c r="E981" t="s">
        <v>24</v>
      </c>
      <c r="F981">
        <v>2</v>
      </c>
      <c r="G981">
        <v>1</v>
      </c>
      <c r="H981" t="s">
        <v>224</v>
      </c>
      <c r="I981" t="s">
        <v>284</v>
      </c>
      <c r="J981" t="s">
        <v>53</v>
      </c>
      <c r="K981" t="b">
        <v>0</v>
      </c>
      <c r="L981">
        <v>1989</v>
      </c>
      <c r="M981">
        <v>10101851744</v>
      </c>
      <c r="N981">
        <v>26314313191</v>
      </c>
      <c r="O981" t="b">
        <v>1</v>
      </c>
      <c r="P981">
        <v>-1</v>
      </c>
      <c r="Q981" t="str" cm="1">
        <f t="array" ref="Q981">_xlfn.IFS(Table1[[#This Row],[Wealthier_Winner]]=-1,"Wealthier Nation Loses",Table1[[#This Row],[Wealthier_Winner]]=0,"Tie",Table1[[#This Row],[Wealthier_Winner]]=1,"Wealthier Nation Wins")</f>
        <v>Wealthier Nation Loses</v>
      </c>
    </row>
    <row r="982" spans="1:17" x14ac:dyDescent="0.2">
      <c r="A982" s="1">
        <v>2002</v>
      </c>
      <c r="B982" s="2">
        <v>32535</v>
      </c>
      <c r="C982" s="7">
        <f>_xlfn.FLOOR.MATH(Table1[[#This Row],[year]],10)</f>
        <v>1980</v>
      </c>
      <c r="D982" t="s">
        <v>37</v>
      </c>
      <c r="E982" t="s">
        <v>429</v>
      </c>
      <c r="F982">
        <v>3</v>
      </c>
      <c r="G982">
        <v>1</v>
      </c>
      <c r="H982" t="s">
        <v>224</v>
      </c>
      <c r="I982" t="s">
        <v>437</v>
      </c>
      <c r="J982" t="s">
        <v>37</v>
      </c>
      <c r="K982" t="b">
        <v>0</v>
      </c>
      <c r="L982">
        <v>1989</v>
      </c>
      <c r="M982">
        <v>65831935483</v>
      </c>
      <c r="N982">
        <v>9372171651</v>
      </c>
      <c r="O982" t="b">
        <v>1</v>
      </c>
      <c r="P982">
        <v>1</v>
      </c>
      <c r="Q982" t="str" cm="1">
        <f t="array" ref="Q982">_xlfn.IFS(Table1[[#This Row],[Wealthier_Winner]]=-1,"Wealthier Nation Loses",Table1[[#This Row],[Wealthier_Winner]]=0,"Tie",Table1[[#This Row],[Wealthier_Winner]]=1,"Wealthier Nation Wins")</f>
        <v>Wealthier Nation Wins</v>
      </c>
    </row>
    <row r="983" spans="1:17" x14ac:dyDescent="0.2">
      <c r="A983" s="1">
        <v>2003</v>
      </c>
      <c r="B983" s="2">
        <v>32535</v>
      </c>
      <c r="C983" s="7">
        <f>_xlfn.FLOOR.MATH(Table1[[#This Row],[year]],10)</f>
        <v>1980</v>
      </c>
      <c r="D983" t="s">
        <v>403</v>
      </c>
      <c r="E983" t="s">
        <v>68</v>
      </c>
      <c r="F983">
        <v>1</v>
      </c>
      <c r="G983">
        <v>1</v>
      </c>
      <c r="H983" t="s">
        <v>224</v>
      </c>
      <c r="I983" t="s">
        <v>404</v>
      </c>
      <c r="J983" t="s">
        <v>403</v>
      </c>
      <c r="K983" t="b">
        <v>0</v>
      </c>
      <c r="L983">
        <v>1989</v>
      </c>
      <c r="M983">
        <v>4221373673</v>
      </c>
      <c r="N983">
        <v>6487912087</v>
      </c>
      <c r="O983" t="b">
        <v>0</v>
      </c>
      <c r="P983">
        <v>0</v>
      </c>
      <c r="Q983" t="str" cm="1">
        <f t="array" ref="Q983">_xlfn.IFS(Table1[[#This Row],[Wealthier_Winner]]=-1,"Wealthier Nation Loses",Table1[[#This Row],[Wealthier_Winner]]=0,"Tie",Table1[[#This Row],[Wealthier_Winner]]=1,"Wealthier Nation Wins")</f>
        <v>Tie</v>
      </c>
    </row>
    <row r="984" spans="1:17" x14ac:dyDescent="0.2">
      <c r="A984" s="1">
        <v>2004</v>
      </c>
      <c r="B984" s="2">
        <v>32535</v>
      </c>
      <c r="C984" s="7">
        <f>_xlfn.FLOOR.MATH(Table1[[#This Row],[year]],10)</f>
        <v>1980</v>
      </c>
      <c r="D984" t="s">
        <v>71</v>
      </c>
      <c r="E984" t="s">
        <v>431</v>
      </c>
      <c r="F984">
        <v>2</v>
      </c>
      <c r="G984">
        <v>0</v>
      </c>
      <c r="H984" t="s">
        <v>224</v>
      </c>
      <c r="I984" t="s">
        <v>366</v>
      </c>
      <c r="J984" t="s">
        <v>71</v>
      </c>
      <c r="K984" t="b">
        <v>0</v>
      </c>
      <c r="L984">
        <v>1989</v>
      </c>
      <c r="M984">
        <v>24313855653</v>
      </c>
      <c r="N984">
        <v>40171106279</v>
      </c>
      <c r="O984" t="b">
        <v>0</v>
      </c>
      <c r="P984">
        <v>-1</v>
      </c>
      <c r="Q984" t="str" cm="1">
        <f t="array" ref="Q984">_xlfn.IFS(Table1[[#This Row],[Wealthier_Winner]]=-1,"Wealthier Nation Loses",Table1[[#This Row],[Wealthier_Winner]]=0,"Tie",Table1[[#This Row],[Wealthier_Winner]]=1,"Wealthier Nation Wins")</f>
        <v>Wealthier Nation Loses</v>
      </c>
    </row>
    <row r="985" spans="1:17" x14ac:dyDescent="0.2">
      <c r="A985" s="1">
        <v>2005</v>
      </c>
      <c r="B985" s="2">
        <v>32542</v>
      </c>
      <c r="C985" s="7">
        <f>_xlfn.FLOOR.MATH(Table1[[#This Row],[year]],10)</f>
        <v>1980</v>
      </c>
      <c r="D985" t="s">
        <v>37</v>
      </c>
      <c r="E985" t="s">
        <v>403</v>
      </c>
      <c r="F985">
        <v>4</v>
      </c>
      <c r="G985">
        <v>0</v>
      </c>
      <c r="H985" t="s">
        <v>224</v>
      </c>
      <c r="I985" t="s">
        <v>437</v>
      </c>
      <c r="J985" t="s">
        <v>37</v>
      </c>
      <c r="K985" t="b">
        <v>0</v>
      </c>
      <c r="L985">
        <v>1989</v>
      </c>
      <c r="M985">
        <v>65831935483</v>
      </c>
      <c r="N985">
        <v>4221373673</v>
      </c>
      <c r="O985" t="b">
        <v>1</v>
      </c>
      <c r="P985">
        <v>1</v>
      </c>
      <c r="Q985" t="str" cm="1">
        <f t="array" ref="Q985">_xlfn.IFS(Table1[[#This Row],[Wealthier_Winner]]=-1,"Wealthier Nation Loses",Table1[[#This Row],[Wealthier_Winner]]=0,"Tie",Table1[[#This Row],[Wealthier_Winner]]=1,"Wealthier Nation Wins")</f>
        <v>Wealthier Nation Wins</v>
      </c>
    </row>
    <row r="986" spans="1:17" x14ac:dyDescent="0.2">
      <c r="A986" s="1">
        <v>2006</v>
      </c>
      <c r="B986" s="2">
        <v>32542</v>
      </c>
      <c r="C986" s="7">
        <f>_xlfn.FLOOR.MATH(Table1[[#This Row],[year]],10)</f>
        <v>1980</v>
      </c>
      <c r="D986" t="s">
        <v>68</v>
      </c>
      <c r="E986" t="s">
        <v>429</v>
      </c>
      <c r="F986">
        <v>3</v>
      </c>
      <c r="G986">
        <v>0</v>
      </c>
      <c r="H986" t="s">
        <v>224</v>
      </c>
      <c r="I986" t="s">
        <v>190</v>
      </c>
      <c r="J986" t="s">
        <v>68</v>
      </c>
      <c r="K986" t="b">
        <v>0</v>
      </c>
      <c r="L986">
        <v>1989</v>
      </c>
      <c r="M986">
        <v>6487912087</v>
      </c>
      <c r="N986">
        <v>9372171651</v>
      </c>
      <c r="O986" t="b">
        <v>0</v>
      </c>
      <c r="P986">
        <v>-1</v>
      </c>
      <c r="Q986" t="str" cm="1">
        <f t="array" ref="Q986">_xlfn.IFS(Table1[[#This Row],[Wealthier_Winner]]=-1,"Wealthier Nation Loses",Table1[[#This Row],[Wealthier_Winner]]=0,"Tie",Table1[[#This Row],[Wealthier_Winner]]=1,"Wealthier Nation Wins")</f>
        <v>Wealthier Nation Loses</v>
      </c>
    </row>
    <row r="987" spans="1:17" x14ac:dyDescent="0.2">
      <c r="A987" s="1">
        <v>2007</v>
      </c>
      <c r="B987" s="2">
        <v>32542</v>
      </c>
      <c r="C987" s="7">
        <f>_xlfn.FLOOR.MATH(Table1[[#This Row],[year]],10)</f>
        <v>1980</v>
      </c>
      <c r="D987" t="s">
        <v>39</v>
      </c>
      <c r="E987" t="s">
        <v>71</v>
      </c>
      <c r="F987">
        <v>1</v>
      </c>
      <c r="G987">
        <v>0</v>
      </c>
      <c r="H987" t="s">
        <v>224</v>
      </c>
      <c r="I987" t="s">
        <v>435</v>
      </c>
      <c r="J987" t="s">
        <v>39</v>
      </c>
      <c r="K987" t="b">
        <v>0</v>
      </c>
      <c r="L987">
        <v>1989</v>
      </c>
      <c r="M987">
        <v>41464995913</v>
      </c>
      <c r="N987">
        <v>24313855653</v>
      </c>
      <c r="O987" t="b">
        <v>0</v>
      </c>
      <c r="P987">
        <v>1</v>
      </c>
      <c r="Q987" t="str" cm="1">
        <f t="array" ref="Q987">_xlfn.IFS(Table1[[#This Row],[Wealthier_Winner]]=-1,"Wealthier Nation Loses",Table1[[#This Row],[Wealthier_Winner]]=0,"Tie",Table1[[#This Row],[Wealthier_Winner]]=1,"Wealthier Nation Wins")</f>
        <v>Wealthier Nation Wins</v>
      </c>
    </row>
    <row r="988" spans="1:17" x14ac:dyDescent="0.2">
      <c r="A988" s="1">
        <v>2010</v>
      </c>
      <c r="B988" s="2">
        <v>32549</v>
      </c>
      <c r="C988" s="7">
        <f>_xlfn.FLOOR.MATH(Table1[[#This Row],[year]],10)</f>
        <v>1980</v>
      </c>
      <c r="D988" t="s">
        <v>37</v>
      </c>
      <c r="E988" t="s">
        <v>68</v>
      </c>
      <c r="F988">
        <v>2</v>
      </c>
      <c r="G988">
        <v>2</v>
      </c>
      <c r="H988" t="s">
        <v>224</v>
      </c>
      <c r="I988" t="s">
        <v>437</v>
      </c>
      <c r="J988" t="s">
        <v>37</v>
      </c>
      <c r="K988" t="b">
        <v>0</v>
      </c>
      <c r="L988">
        <v>1989</v>
      </c>
      <c r="M988">
        <v>65831935483</v>
      </c>
      <c r="N988">
        <v>6487912087</v>
      </c>
      <c r="O988" t="b">
        <v>1</v>
      </c>
      <c r="P988">
        <v>0</v>
      </c>
      <c r="Q988" t="str" cm="1">
        <f t="array" ref="Q988">_xlfn.IFS(Table1[[#This Row],[Wealthier_Winner]]=-1,"Wealthier Nation Loses",Table1[[#This Row],[Wealthier_Winner]]=0,"Tie",Table1[[#This Row],[Wealthier_Winner]]=1,"Wealthier Nation Wins")</f>
        <v>Tie</v>
      </c>
    </row>
    <row r="989" spans="1:17" x14ac:dyDescent="0.2">
      <c r="A989" s="1">
        <v>2011</v>
      </c>
      <c r="B989" s="2">
        <v>32549</v>
      </c>
      <c r="C989" s="7">
        <f>_xlfn.FLOOR.MATH(Table1[[#This Row],[year]],10)</f>
        <v>1980</v>
      </c>
      <c r="D989" t="s">
        <v>429</v>
      </c>
      <c r="E989" t="s">
        <v>403</v>
      </c>
      <c r="F989">
        <v>0</v>
      </c>
      <c r="G989">
        <v>2</v>
      </c>
      <c r="H989" t="s">
        <v>224</v>
      </c>
      <c r="I989" t="s">
        <v>430</v>
      </c>
      <c r="J989" t="s">
        <v>429</v>
      </c>
      <c r="K989" t="b">
        <v>0</v>
      </c>
      <c r="L989">
        <v>1989</v>
      </c>
      <c r="M989">
        <v>9372171651</v>
      </c>
      <c r="N989">
        <v>4221373673</v>
      </c>
      <c r="O989" t="b">
        <v>1</v>
      </c>
      <c r="P989">
        <v>-1</v>
      </c>
      <c r="Q989" t="str" cm="1">
        <f t="array" ref="Q989">_xlfn.IFS(Table1[[#This Row],[Wealthier_Winner]]=-1,"Wealthier Nation Loses",Table1[[#This Row],[Wealthier_Winner]]=0,"Tie",Table1[[#This Row],[Wealthier_Winner]]=1,"Wealthier Nation Wins")</f>
        <v>Wealthier Nation Loses</v>
      </c>
    </row>
    <row r="990" spans="1:17" x14ac:dyDescent="0.2">
      <c r="A990" s="1">
        <v>2012</v>
      </c>
      <c r="B990" s="2">
        <v>32549</v>
      </c>
      <c r="C990" s="7">
        <f>_xlfn.FLOOR.MATH(Table1[[#This Row],[year]],10)</f>
        <v>1980</v>
      </c>
      <c r="D990" t="s">
        <v>431</v>
      </c>
      <c r="E990" t="s">
        <v>39</v>
      </c>
      <c r="F990">
        <v>1</v>
      </c>
      <c r="G990">
        <v>4</v>
      </c>
      <c r="H990" t="s">
        <v>224</v>
      </c>
      <c r="I990" t="s">
        <v>432</v>
      </c>
      <c r="J990" t="s">
        <v>431</v>
      </c>
      <c r="K990" t="b">
        <v>0</v>
      </c>
      <c r="L990">
        <v>1989</v>
      </c>
      <c r="M990">
        <v>40171106279</v>
      </c>
      <c r="N990">
        <v>41464995913</v>
      </c>
      <c r="O990" t="b">
        <v>0</v>
      </c>
      <c r="P990">
        <v>1</v>
      </c>
      <c r="Q990" t="str" cm="1">
        <f t="array" ref="Q990">_xlfn.IFS(Table1[[#This Row],[Wealthier_Winner]]=-1,"Wealthier Nation Loses",Table1[[#This Row],[Wealthier_Winner]]=0,"Tie",Table1[[#This Row],[Wealthier_Winner]]=1,"Wealthier Nation Wins")</f>
        <v>Wealthier Nation Wins</v>
      </c>
    </row>
    <row r="991" spans="1:17" x14ac:dyDescent="0.2">
      <c r="A991" s="1">
        <v>2013</v>
      </c>
      <c r="B991" s="2">
        <v>32554</v>
      </c>
      <c r="C991" s="7">
        <f>_xlfn.FLOOR.MATH(Table1[[#This Row],[year]],10)</f>
        <v>1980</v>
      </c>
      <c r="D991" t="s">
        <v>38</v>
      </c>
      <c r="E991" t="s">
        <v>23</v>
      </c>
      <c r="F991">
        <v>1</v>
      </c>
      <c r="G991">
        <v>1</v>
      </c>
      <c r="H991" t="s">
        <v>224</v>
      </c>
      <c r="I991" t="s">
        <v>291</v>
      </c>
      <c r="J991" t="s">
        <v>38</v>
      </c>
      <c r="K991" t="b">
        <v>0</v>
      </c>
      <c r="L991">
        <v>1989</v>
      </c>
      <c r="M991">
        <v>60594092182</v>
      </c>
      <c r="N991">
        <v>164221056511</v>
      </c>
      <c r="O991" t="b">
        <v>1</v>
      </c>
      <c r="P991">
        <v>0</v>
      </c>
      <c r="Q991" t="str" cm="1">
        <f t="array" ref="Q991">_xlfn.IFS(Table1[[#This Row],[Wealthier_Winner]]=-1,"Wealthier Nation Loses",Table1[[#This Row],[Wealthier_Winner]]=0,"Tie",Table1[[#This Row],[Wealthier_Winner]]=1,"Wealthier Nation Wins")</f>
        <v>Tie</v>
      </c>
    </row>
    <row r="992" spans="1:17" x14ac:dyDescent="0.2">
      <c r="A992" s="1">
        <v>2014</v>
      </c>
      <c r="B992" s="2">
        <v>32558</v>
      </c>
      <c r="C992" s="7">
        <f>_xlfn.FLOOR.MATH(Table1[[#This Row],[year]],10)</f>
        <v>1980</v>
      </c>
      <c r="D992" t="s">
        <v>334</v>
      </c>
      <c r="E992" t="s">
        <v>405</v>
      </c>
      <c r="F992">
        <v>1</v>
      </c>
      <c r="G992">
        <v>0</v>
      </c>
      <c r="H992" t="s">
        <v>224</v>
      </c>
      <c r="I992" t="s">
        <v>407</v>
      </c>
      <c r="J992" t="s">
        <v>334</v>
      </c>
      <c r="K992" t="b">
        <v>0</v>
      </c>
      <c r="L992">
        <v>1989</v>
      </c>
      <c r="M992">
        <v>72250748099</v>
      </c>
      <c r="N992">
        <v>28781715188</v>
      </c>
      <c r="O992" t="b">
        <v>1</v>
      </c>
      <c r="P992">
        <v>1</v>
      </c>
      <c r="Q992" t="str" cm="1">
        <f t="array" ref="Q992">_xlfn.IFS(Table1[[#This Row],[Wealthier_Winner]]=-1,"Wealthier Nation Loses",Table1[[#This Row],[Wealthier_Winner]]=0,"Tie",Table1[[#This Row],[Wealthier_Winner]]=1,"Wealthier Nation Wins")</f>
        <v>Wealthier Nation Wins</v>
      </c>
    </row>
    <row r="993" spans="1:17" x14ac:dyDescent="0.2">
      <c r="A993" s="1">
        <v>2016</v>
      </c>
      <c r="B993" s="2">
        <v>32562</v>
      </c>
      <c r="C993" s="7">
        <f>_xlfn.FLOOR.MATH(Table1[[#This Row],[year]],10)</f>
        <v>1980</v>
      </c>
      <c r="D993" t="s">
        <v>334</v>
      </c>
      <c r="E993" t="s">
        <v>210</v>
      </c>
      <c r="F993">
        <v>0</v>
      </c>
      <c r="G993">
        <v>3</v>
      </c>
      <c r="H993" t="s">
        <v>224</v>
      </c>
      <c r="I993" t="s">
        <v>407</v>
      </c>
      <c r="J993" t="s">
        <v>334</v>
      </c>
      <c r="K993" t="b">
        <v>0</v>
      </c>
      <c r="L993">
        <v>1989</v>
      </c>
      <c r="M993">
        <v>72250748099</v>
      </c>
      <c r="N993">
        <v>120496362916</v>
      </c>
      <c r="O993" t="b">
        <v>0</v>
      </c>
      <c r="P993">
        <v>1</v>
      </c>
      <c r="Q993" t="str" cm="1">
        <f t="array" ref="Q993">_xlfn.IFS(Table1[[#This Row],[Wealthier_Winner]]=-1,"Wealthier Nation Loses",Table1[[#This Row],[Wealthier_Winner]]=0,"Tie",Table1[[#This Row],[Wealthier_Winner]]=1,"Wealthier Nation Wins")</f>
        <v>Wealthier Nation Wins</v>
      </c>
    </row>
    <row r="994" spans="1:17" x14ac:dyDescent="0.2">
      <c r="A994" s="1">
        <v>2017</v>
      </c>
      <c r="B994" s="2">
        <v>32566</v>
      </c>
      <c r="C994" s="7">
        <f>_xlfn.FLOOR.MATH(Table1[[#This Row],[year]],10)</f>
        <v>1980</v>
      </c>
      <c r="D994" t="s">
        <v>405</v>
      </c>
      <c r="E994" t="s">
        <v>210</v>
      </c>
      <c r="F994">
        <v>1</v>
      </c>
      <c r="G994">
        <v>2</v>
      </c>
      <c r="H994" t="s">
        <v>224</v>
      </c>
      <c r="I994" t="s">
        <v>409</v>
      </c>
      <c r="J994" t="s">
        <v>405</v>
      </c>
      <c r="K994" t="b">
        <v>0</v>
      </c>
      <c r="L994">
        <v>1989</v>
      </c>
      <c r="M994">
        <v>28781715188</v>
      </c>
      <c r="N994">
        <v>120496362916</v>
      </c>
      <c r="O994" t="b">
        <v>1</v>
      </c>
      <c r="P994">
        <v>1</v>
      </c>
      <c r="Q994" t="str" cm="1">
        <f t="array" ref="Q994">_xlfn.IFS(Table1[[#This Row],[Wealthier_Winner]]=-1,"Wealthier Nation Loses",Table1[[#This Row],[Wealthier_Winner]]=0,"Tie",Table1[[#This Row],[Wealthier_Winner]]=1,"Wealthier Nation Wins")</f>
        <v>Wealthier Nation Wins</v>
      </c>
    </row>
    <row r="995" spans="1:17" x14ac:dyDescent="0.2">
      <c r="A995" s="1">
        <v>2020</v>
      </c>
      <c r="B995" s="2">
        <v>32572</v>
      </c>
      <c r="C995" s="7">
        <f>_xlfn.FLOOR.MATH(Table1[[#This Row],[year]],10)</f>
        <v>1980</v>
      </c>
      <c r="D995" t="s">
        <v>22</v>
      </c>
      <c r="E995" t="s">
        <v>72</v>
      </c>
      <c r="F995">
        <v>1</v>
      </c>
      <c r="G995">
        <v>0</v>
      </c>
      <c r="H995" t="s">
        <v>224</v>
      </c>
      <c r="I995" t="s">
        <v>239</v>
      </c>
      <c r="J995" t="s">
        <v>22</v>
      </c>
      <c r="K995" t="b">
        <v>0</v>
      </c>
      <c r="L995">
        <v>1989</v>
      </c>
      <c r="M995">
        <v>52443479454</v>
      </c>
      <c r="N995">
        <v>43920222524</v>
      </c>
      <c r="O995" t="b">
        <v>0</v>
      </c>
      <c r="P995">
        <v>1</v>
      </c>
      <c r="Q995" t="str" cm="1">
        <f t="array" ref="Q995">_xlfn.IFS(Table1[[#This Row],[Wealthier_Winner]]=-1,"Wealthier Nation Loses",Table1[[#This Row],[Wealthier_Winner]]=0,"Tie",Table1[[#This Row],[Wealthier_Winner]]=1,"Wealthier Nation Wins")</f>
        <v>Wealthier Nation Wins</v>
      </c>
    </row>
    <row r="996" spans="1:17" x14ac:dyDescent="0.2">
      <c r="A996" s="1">
        <v>2021</v>
      </c>
      <c r="B996" s="2">
        <v>32575</v>
      </c>
      <c r="C996" s="7">
        <f>_xlfn.FLOOR.MATH(Table1[[#This Row],[year]],10)</f>
        <v>1980</v>
      </c>
      <c r="D996" t="s">
        <v>373</v>
      </c>
      <c r="E996" t="s">
        <v>194</v>
      </c>
      <c r="F996">
        <v>0</v>
      </c>
      <c r="G996">
        <v>2</v>
      </c>
      <c r="H996" t="s">
        <v>224</v>
      </c>
      <c r="I996" t="s">
        <v>374</v>
      </c>
      <c r="J996" t="s">
        <v>373</v>
      </c>
      <c r="K996" t="b">
        <v>0</v>
      </c>
      <c r="L996">
        <v>1989</v>
      </c>
      <c r="M996">
        <v>2253090000</v>
      </c>
      <c r="N996">
        <v>926884816753</v>
      </c>
      <c r="O996" t="b">
        <v>1</v>
      </c>
      <c r="P996">
        <v>1</v>
      </c>
      <c r="Q996" t="str" cm="1">
        <f t="array" ref="Q996">_xlfn.IFS(Table1[[#This Row],[Wealthier_Winner]]=-1,"Wealthier Nation Loses",Table1[[#This Row],[Wealthier_Winner]]=0,"Tie",Table1[[#This Row],[Wealthier_Winner]]=1,"Wealthier Nation Wins")</f>
        <v>Wealthier Nation Wins</v>
      </c>
    </row>
    <row r="997" spans="1:17" x14ac:dyDescent="0.2">
      <c r="A997" s="1">
        <v>2022</v>
      </c>
      <c r="B997" s="2">
        <v>32575</v>
      </c>
      <c r="C997" s="7">
        <f>_xlfn.FLOOR.MATH(Table1[[#This Row],[year]],10)</f>
        <v>1980</v>
      </c>
      <c r="D997" t="s">
        <v>405</v>
      </c>
      <c r="E997" t="s">
        <v>334</v>
      </c>
      <c r="F997">
        <v>3</v>
      </c>
      <c r="G997">
        <v>1</v>
      </c>
      <c r="H997" t="s">
        <v>224</v>
      </c>
      <c r="I997" t="s">
        <v>409</v>
      </c>
      <c r="J997" t="s">
        <v>405</v>
      </c>
      <c r="K997" t="b">
        <v>0</v>
      </c>
      <c r="L997">
        <v>1989</v>
      </c>
      <c r="M997">
        <v>28781715188</v>
      </c>
      <c r="N997">
        <v>72250748099</v>
      </c>
      <c r="O997" t="b">
        <v>1</v>
      </c>
      <c r="P997">
        <v>-1</v>
      </c>
      <c r="Q997" t="str" cm="1">
        <f t="array" ref="Q997">_xlfn.IFS(Table1[[#This Row],[Wealthier_Winner]]=-1,"Wealthier Nation Loses",Table1[[#This Row],[Wealthier_Winner]]=0,"Tie",Table1[[#This Row],[Wealthier_Winner]]=1,"Wealthier Nation Wins")</f>
        <v>Wealthier Nation Loses</v>
      </c>
    </row>
    <row r="998" spans="1:17" x14ac:dyDescent="0.2">
      <c r="A998" s="1">
        <v>2026</v>
      </c>
      <c r="B998" s="2">
        <v>32579</v>
      </c>
      <c r="C998" s="7">
        <f>_xlfn.FLOOR.MATH(Table1[[#This Row],[year]],10)</f>
        <v>1980</v>
      </c>
      <c r="D998" t="s">
        <v>28</v>
      </c>
      <c r="E998" t="s">
        <v>72</v>
      </c>
      <c r="F998">
        <v>4</v>
      </c>
      <c r="G998">
        <v>1</v>
      </c>
      <c r="H998" t="s">
        <v>224</v>
      </c>
      <c r="I998" t="s">
        <v>301</v>
      </c>
      <c r="J998" t="s">
        <v>28</v>
      </c>
      <c r="K998" t="b">
        <v>0</v>
      </c>
      <c r="L998">
        <v>1989</v>
      </c>
      <c r="M998">
        <v>300264309002</v>
      </c>
      <c r="N998">
        <v>43920222524</v>
      </c>
      <c r="O998" t="b">
        <v>1</v>
      </c>
      <c r="P998">
        <v>1</v>
      </c>
      <c r="Q998" t="str" cm="1">
        <f t="array" ref="Q998">_xlfn.IFS(Table1[[#This Row],[Wealthier_Winner]]=-1,"Wealthier Nation Loses",Table1[[#This Row],[Wealthier_Winner]]=0,"Tie",Table1[[#This Row],[Wealthier_Winner]]=1,"Wealthier Nation Wins")</f>
        <v>Wealthier Nation Wins</v>
      </c>
    </row>
    <row r="999" spans="1:17" x14ac:dyDescent="0.2">
      <c r="A999" s="1">
        <v>2027</v>
      </c>
      <c r="B999" s="2">
        <v>32582</v>
      </c>
      <c r="C999" s="7">
        <f>_xlfn.FLOOR.MATH(Table1[[#This Row],[year]],10)</f>
        <v>1980</v>
      </c>
      <c r="D999" t="s">
        <v>45</v>
      </c>
      <c r="E999" t="s">
        <v>331</v>
      </c>
      <c r="F999">
        <v>5</v>
      </c>
      <c r="G999">
        <v>4</v>
      </c>
      <c r="H999" t="s">
        <v>224</v>
      </c>
      <c r="I999" t="s">
        <v>354</v>
      </c>
      <c r="J999" t="s">
        <v>45</v>
      </c>
      <c r="K999" t="b">
        <v>0</v>
      </c>
      <c r="L999">
        <v>1989</v>
      </c>
      <c r="M999">
        <v>95344459279</v>
      </c>
      <c r="N999">
        <v>9853395761</v>
      </c>
      <c r="O999" t="b">
        <v>1</v>
      </c>
      <c r="P999">
        <v>1</v>
      </c>
      <c r="Q999" t="str" cm="1">
        <f t="array" ref="Q999">_xlfn.IFS(Table1[[#This Row],[Wealthier_Winner]]=-1,"Wealthier Nation Loses",Table1[[#This Row],[Wealthier_Winner]]=0,"Tie",Table1[[#This Row],[Wealthier_Winner]]=1,"Wealthier Nation Wins")</f>
        <v>Wealthier Nation Wins</v>
      </c>
    </row>
    <row r="1000" spans="1:17" x14ac:dyDescent="0.2">
      <c r="A1000" s="1">
        <v>2028</v>
      </c>
      <c r="B1000" s="2">
        <v>32584</v>
      </c>
      <c r="C1000" s="7">
        <f>_xlfn.FLOOR.MATH(Table1[[#This Row],[year]],10)</f>
        <v>1980</v>
      </c>
      <c r="D1000" t="s">
        <v>210</v>
      </c>
      <c r="E1000" t="s">
        <v>405</v>
      </c>
      <c r="F1000">
        <v>1</v>
      </c>
      <c r="G1000">
        <v>0</v>
      </c>
      <c r="H1000" t="s">
        <v>224</v>
      </c>
      <c r="I1000" t="s">
        <v>332</v>
      </c>
      <c r="J1000" t="s">
        <v>210</v>
      </c>
      <c r="K1000" t="b">
        <v>0</v>
      </c>
      <c r="L1000">
        <v>1989</v>
      </c>
      <c r="M1000">
        <v>120496362916</v>
      </c>
      <c r="N1000">
        <v>28781715188</v>
      </c>
      <c r="O1000" t="b">
        <v>1</v>
      </c>
      <c r="P1000">
        <v>1</v>
      </c>
      <c r="Q1000" t="str" cm="1">
        <f t="array" ref="Q1000">_xlfn.IFS(Table1[[#This Row],[Wealthier_Winner]]=-1,"Wealthier Nation Loses",Table1[[#This Row],[Wealthier_Winner]]=0,"Tie",Table1[[#This Row],[Wealthier_Winner]]=1,"Wealthier Nation Wins")</f>
        <v>Wealthier Nation Wins</v>
      </c>
    </row>
    <row r="1001" spans="1:17" x14ac:dyDescent="0.2">
      <c r="A1001" s="1">
        <v>2029</v>
      </c>
      <c r="B1001" s="2">
        <v>32586</v>
      </c>
      <c r="C1001" s="7">
        <f>_xlfn.FLOOR.MATH(Table1[[#This Row],[year]],10)</f>
        <v>1980</v>
      </c>
      <c r="D1001" t="s">
        <v>22</v>
      </c>
      <c r="E1001" t="s">
        <v>28</v>
      </c>
      <c r="F1001">
        <v>1</v>
      </c>
      <c r="G1001">
        <v>1</v>
      </c>
      <c r="H1001" t="s">
        <v>224</v>
      </c>
      <c r="I1001" t="s">
        <v>239</v>
      </c>
      <c r="J1001" t="s">
        <v>22</v>
      </c>
      <c r="K1001" t="b">
        <v>0</v>
      </c>
      <c r="L1001">
        <v>1989</v>
      </c>
      <c r="M1001">
        <v>52443479454</v>
      </c>
      <c r="N1001">
        <v>300264309002</v>
      </c>
      <c r="O1001" t="b">
        <v>1</v>
      </c>
      <c r="P1001">
        <v>0</v>
      </c>
      <c r="Q1001" t="str" cm="1">
        <f t="array" ref="Q1001">_xlfn.IFS(Table1[[#This Row],[Wealthier_Winner]]=-1,"Wealthier Nation Loses",Table1[[#This Row],[Wealthier_Winner]]=0,"Tie",Table1[[#This Row],[Wealthier_Winner]]=1,"Wealthier Nation Wins")</f>
        <v>Tie</v>
      </c>
    </row>
    <row r="1002" spans="1:17" x14ac:dyDescent="0.2">
      <c r="A1002" s="1">
        <v>2031</v>
      </c>
      <c r="B1002" s="2">
        <v>32590</v>
      </c>
      <c r="C1002" s="7">
        <f>_xlfn.FLOOR.MATH(Table1[[#This Row],[year]],10)</f>
        <v>1980</v>
      </c>
      <c r="D1002" t="s">
        <v>21</v>
      </c>
      <c r="E1002" t="s">
        <v>303</v>
      </c>
      <c r="F1002">
        <v>4</v>
      </c>
      <c r="G1002">
        <v>0</v>
      </c>
      <c r="H1002" t="s">
        <v>224</v>
      </c>
      <c r="I1002" t="s">
        <v>104</v>
      </c>
      <c r="J1002" t="s">
        <v>21</v>
      </c>
      <c r="K1002" t="b">
        <v>0</v>
      </c>
      <c r="L1002">
        <v>1989</v>
      </c>
      <c r="M1002">
        <v>414460794096</v>
      </c>
      <c r="N1002">
        <v>2118655676</v>
      </c>
      <c r="O1002" t="b">
        <v>1</v>
      </c>
      <c r="P1002">
        <v>1</v>
      </c>
      <c r="Q1002" t="str" cm="1">
        <f t="array" ref="Q1002">_xlfn.IFS(Table1[[#This Row],[Wealthier_Winner]]=-1,"Wealthier Nation Loses",Table1[[#This Row],[Wealthier_Winner]]=0,"Tie",Table1[[#This Row],[Wealthier_Winner]]=1,"Wealthier Nation Wins")</f>
        <v>Wealthier Nation Wins</v>
      </c>
    </row>
    <row r="1003" spans="1:17" x14ac:dyDescent="0.2">
      <c r="A1003" s="1">
        <v>2033</v>
      </c>
      <c r="B1003" s="2">
        <v>32597</v>
      </c>
      <c r="C1003" s="7">
        <f>_xlfn.FLOOR.MATH(Table1[[#This Row],[year]],10)</f>
        <v>1980</v>
      </c>
      <c r="D1003" t="s">
        <v>331</v>
      </c>
      <c r="E1003" t="s">
        <v>45</v>
      </c>
      <c r="F1003">
        <v>0</v>
      </c>
      <c r="G1003">
        <v>0</v>
      </c>
      <c r="H1003" t="s">
        <v>224</v>
      </c>
      <c r="I1003" t="s">
        <v>438</v>
      </c>
      <c r="J1003" t="s">
        <v>331</v>
      </c>
      <c r="K1003" t="b">
        <v>0</v>
      </c>
      <c r="L1003">
        <v>1989</v>
      </c>
      <c r="M1003">
        <v>9853395761</v>
      </c>
      <c r="N1003">
        <v>95344459279</v>
      </c>
      <c r="O1003" t="b">
        <v>1</v>
      </c>
      <c r="P1003">
        <v>0</v>
      </c>
      <c r="Q1003" t="str" cm="1">
        <f t="array" ref="Q1003">_xlfn.IFS(Table1[[#This Row],[Wealthier_Winner]]=-1,"Wealthier Nation Loses",Table1[[#This Row],[Wealthier_Winner]]=0,"Tie",Table1[[#This Row],[Wealthier_Winner]]=1,"Wealthier Nation Wins")</f>
        <v>Tie</v>
      </c>
    </row>
    <row r="1004" spans="1:17" x14ac:dyDescent="0.2">
      <c r="A1004" s="1">
        <v>2034</v>
      </c>
      <c r="B1004" s="2">
        <v>32600</v>
      </c>
      <c r="C1004" s="7">
        <f>_xlfn.FLOOR.MATH(Table1[[#This Row],[year]],10)</f>
        <v>1980</v>
      </c>
      <c r="D1004" t="s">
        <v>72</v>
      </c>
      <c r="E1004" t="s">
        <v>28</v>
      </c>
      <c r="F1004">
        <v>2</v>
      </c>
      <c r="G1004">
        <v>0</v>
      </c>
      <c r="H1004" t="s">
        <v>224</v>
      </c>
      <c r="I1004" t="s">
        <v>327</v>
      </c>
      <c r="J1004" t="s">
        <v>72</v>
      </c>
      <c r="K1004" t="b">
        <v>0</v>
      </c>
      <c r="L1004">
        <v>1989</v>
      </c>
      <c r="M1004">
        <v>43920222524</v>
      </c>
      <c r="N1004">
        <v>300264309002</v>
      </c>
      <c r="O1004" t="b">
        <v>1</v>
      </c>
      <c r="P1004">
        <v>-1</v>
      </c>
      <c r="Q1004" t="str" cm="1">
        <f t="array" ref="Q1004">_xlfn.IFS(Table1[[#This Row],[Wealthier_Winner]]=-1,"Wealthier Nation Loses",Table1[[#This Row],[Wealthier_Winner]]=0,"Tie",Table1[[#This Row],[Wealthier_Winner]]=1,"Wealthier Nation Wins")</f>
        <v>Wealthier Nation Loses</v>
      </c>
    </row>
    <row r="1005" spans="1:17" x14ac:dyDescent="0.2">
      <c r="A1005" s="1">
        <v>2036</v>
      </c>
      <c r="B1005" s="2">
        <v>32607</v>
      </c>
      <c r="C1005" s="7">
        <f>_xlfn.FLOOR.MATH(Table1[[#This Row],[year]],10)</f>
        <v>1980</v>
      </c>
      <c r="D1005" t="s">
        <v>72</v>
      </c>
      <c r="E1005" t="s">
        <v>22</v>
      </c>
      <c r="F1005">
        <v>2</v>
      </c>
      <c r="G1005">
        <v>2</v>
      </c>
      <c r="H1005" t="s">
        <v>224</v>
      </c>
      <c r="I1005" t="s">
        <v>327</v>
      </c>
      <c r="J1005" t="s">
        <v>72</v>
      </c>
      <c r="K1005" t="b">
        <v>0</v>
      </c>
      <c r="L1005">
        <v>1989</v>
      </c>
      <c r="M1005">
        <v>43920222524</v>
      </c>
      <c r="N1005">
        <v>52443479454</v>
      </c>
      <c r="O1005" t="b">
        <v>0</v>
      </c>
      <c r="P1005">
        <v>0</v>
      </c>
      <c r="Q1005" t="str" cm="1">
        <f t="array" ref="Q1005">_xlfn.IFS(Table1[[#This Row],[Wealthier_Winner]]=-1,"Wealthier Nation Loses",Table1[[#This Row],[Wealthier_Winner]]=0,"Tie",Table1[[#This Row],[Wealthier_Winner]]=1,"Wealthier Nation Wins")</f>
        <v>Tie</v>
      </c>
    </row>
    <row r="1006" spans="1:17" x14ac:dyDescent="0.2">
      <c r="A1006" s="1">
        <v>2038</v>
      </c>
      <c r="B1006" s="2">
        <v>32610</v>
      </c>
      <c r="C1006" s="7">
        <f>_xlfn.FLOOR.MATH(Table1[[#This Row],[year]],10)</f>
        <v>1980</v>
      </c>
      <c r="D1006" t="s">
        <v>30</v>
      </c>
      <c r="E1006" t="s">
        <v>303</v>
      </c>
      <c r="F1006">
        <v>1</v>
      </c>
      <c r="G1006">
        <v>1</v>
      </c>
      <c r="H1006" t="s">
        <v>224</v>
      </c>
      <c r="I1006" t="s">
        <v>297</v>
      </c>
      <c r="J1006" t="s">
        <v>30</v>
      </c>
      <c r="K1006" t="b">
        <v>0</v>
      </c>
      <c r="L1006">
        <v>1989</v>
      </c>
      <c r="M1006">
        <v>30422508937</v>
      </c>
      <c r="N1006">
        <v>2118655676</v>
      </c>
      <c r="O1006" t="b">
        <v>1</v>
      </c>
      <c r="P1006">
        <v>0</v>
      </c>
      <c r="Q1006" t="str" cm="1">
        <f t="array" ref="Q1006">_xlfn.IFS(Table1[[#This Row],[Wealthier_Winner]]=-1,"Wealthier Nation Loses",Table1[[#This Row],[Wealthier_Winner]]=0,"Tie",Table1[[#This Row],[Wealthier_Winner]]=1,"Wealthier Nation Wins")</f>
        <v>Tie</v>
      </c>
    </row>
    <row r="1007" spans="1:17" x14ac:dyDescent="0.2">
      <c r="A1007" s="1">
        <v>2039</v>
      </c>
      <c r="B1007" s="2">
        <v>32614</v>
      </c>
      <c r="C1007" s="7">
        <f>_xlfn.FLOOR.MATH(Table1[[#This Row],[year]],10)</f>
        <v>1980</v>
      </c>
      <c r="D1007" t="s">
        <v>28</v>
      </c>
      <c r="E1007" t="s">
        <v>22</v>
      </c>
      <c r="F1007">
        <v>1</v>
      </c>
      <c r="G1007">
        <v>1</v>
      </c>
      <c r="H1007" t="s">
        <v>224</v>
      </c>
      <c r="I1007" t="s">
        <v>301</v>
      </c>
      <c r="J1007" t="s">
        <v>28</v>
      </c>
      <c r="K1007" t="b">
        <v>0</v>
      </c>
      <c r="L1007">
        <v>1989</v>
      </c>
      <c r="M1007">
        <v>300264309002</v>
      </c>
      <c r="N1007">
        <v>52443479454</v>
      </c>
      <c r="O1007" t="b">
        <v>1</v>
      </c>
      <c r="P1007">
        <v>0</v>
      </c>
      <c r="Q1007" t="str" cm="1">
        <f t="array" ref="Q1007">_xlfn.IFS(Table1[[#This Row],[Wealthier_Winner]]=-1,"Wealthier Nation Loses",Table1[[#This Row],[Wealthier_Winner]]=0,"Tie",Table1[[#This Row],[Wealthier_Winner]]=1,"Wealthier Nation Wins")</f>
        <v>Tie</v>
      </c>
    </row>
    <row r="1008" spans="1:17" x14ac:dyDescent="0.2">
      <c r="A1008" s="1">
        <v>2040</v>
      </c>
      <c r="B1008" s="2">
        <v>32624</v>
      </c>
      <c r="C1008" s="7">
        <f>_xlfn.FLOOR.MATH(Table1[[#This Row],[year]],10)</f>
        <v>1980</v>
      </c>
      <c r="D1008" t="s">
        <v>33</v>
      </c>
      <c r="E1008" t="s">
        <v>36</v>
      </c>
      <c r="F1008">
        <v>0</v>
      </c>
      <c r="G1008">
        <v>2</v>
      </c>
      <c r="H1008" t="s">
        <v>224</v>
      </c>
      <c r="I1008" t="s">
        <v>375</v>
      </c>
      <c r="J1008" t="s">
        <v>33</v>
      </c>
      <c r="K1008" t="b">
        <v>0</v>
      </c>
      <c r="L1008">
        <v>1989</v>
      </c>
      <c r="M1008">
        <v>21988444444</v>
      </c>
      <c r="N1008">
        <v>112312200760</v>
      </c>
      <c r="O1008" t="b">
        <v>1</v>
      </c>
      <c r="P1008">
        <v>1</v>
      </c>
      <c r="Q1008" t="str" cm="1">
        <f t="array" ref="Q1008">_xlfn.IFS(Table1[[#This Row],[Wealthier_Winner]]=-1,"Wealthier Nation Loses",Table1[[#This Row],[Wealthier_Winner]]=0,"Tie",Table1[[#This Row],[Wealthier_Winner]]=1,"Wealthier Nation Wins")</f>
        <v>Wealthier Nation Wins</v>
      </c>
    </row>
    <row r="1009" spans="1:17" x14ac:dyDescent="0.2">
      <c r="A1009" s="1">
        <v>2041</v>
      </c>
      <c r="B1009" s="2">
        <v>32624</v>
      </c>
      <c r="C1009" s="7">
        <f>_xlfn.FLOOR.MATH(Table1[[#This Row],[year]],10)</f>
        <v>1980</v>
      </c>
      <c r="D1009" t="s">
        <v>194</v>
      </c>
      <c r="E1009" t="s">
        <v>373</v>
      </c>
      <c r="F1009">
        <v>5</v>
      </c>
      <c r="G1009">
        <v>0</v>
      </c>
      <c r="H1009" t="s">
        <v>224</v>
      </c>
      <c r="I1009" t="s">
        <v>80</v>
      </c>
      <c r="J1009" t="s">
        <v>194</v>
      </c>
      <c r="K1009" t="b">
        <v>0</v>
      </c>
      <c r="L1009">
        <v>1989</v>
      </c>
      <c r="M1009">
        <v>926884816753</v>
      </c>
      <c r="N1009">
        <v>2253090000</v>
      </c>
      <c r="O1009" t="b">
        <v>1</v>
      </c>
      <c r="P1009">
        <v>1</v>
      </c>
      <c r="Q1009" t="str" cm="1">
        <f t="array" ref="Q1009">_xlfn.IFS(Table1[[#This Row],[Wealthier_Winner]]=-1,"Wealthier Nation Loses",Table1[[#This Row],[Wealthier_Winner]]=0,"Tie",Table1[[#This Row],[Wealthier_Winner]]=1,"Wealthier Nation Wins")</f>
        <v>Wealthier Nation Wins</v>
      </c>
    </row>
    <row r="1010" spans="1:17" x14ac:dyDescent="0.2">
      <c r="A1010" s="1">
        <v>2042</v>
      </c>
      <c r="B1010" s="2">
        <v>32624</v>
      </c>
      <c r="C1010" s="7">
        <f>_xlfn.FLOOR.MATH(Table1[[#This Row],[year]],10)</f>
        <v>1980</v>
      </c>
      <c r="D1010" t="s">
        <v>48</v>
      </c>
      <c r="E1010" t="s">
        <v>44</v>
      </c>
      <c r="F1010">
        <v>0</v>
      </c>
      <c r="G1010">
        <v>0</v>
      </c>
      <c r="H1010" t="s">
        <v>224</v>
      </c>
      <c r="I1010" t="s">
        <v>236</v>
      </c>
      <c r="J1010" t="s">
        <v>48</v>
      </c>
      <c r="K1010" t="b">
        <v>0</v>
      </c>
      <c r="L1010">
        <v>1989</v>
      </c>
      <c r="M1010">
        <v>78067933277</v>
      </c>
      <c r="N1010">
        <v>41450777202</v>
      </c>
      <c r="O1010" t="b">
        <v>0</v>
      </c>
      <c r="P1010">
        <v>0</v>
      </c>
      <c r="Q1010" t="str" cm="1">
        <f t="array" ref="Q1010">_xlfn.IFS(Table1[[#This Row],[Wealthier_Winner]]=-1,"Wealthier Nation Loses",Table1[[#This Row],[Wealthier_Winner]]=0,"Tie",Table1[[#This Row],[Wealthier_Winner]]=1,"Wealthier Nation Wins")</f>
        <v>Tie</v>
      </c>
    </row>
    <row r="1011" spans="1:17" x14ac:dyDescent="0.2">
      <c r="A1011" s="1">
        <v>2045</v>
      </c>
      <c r="B1011" s="2">
        <v>32624</v>
      </c>
      <c r="C1011" s="7">
        <f>_xlfn.FLOOR.MATH(Table1[[#This Row],[year]],10)</f>
        <v>1980</v>
      </c>
      <c r="D1011" t="s">
        <v>27</v>
      </c>
      <c r="E1011" t="s">
        <v>16</v>
      </c>
      <c r="F1011">
        <v>1</v>
      </c>
      <c r="G1011">
        <v>1</v>
      </c>
      <c r="H1011" t="s">
        <v>224</v>
      </c>
      <c r="I1011" t="s">
        <v>265</v>
      </c>
      <c r="J1011" t="s">
        <v>27</v>
      </c>
      <c r="K1011" t="b">
        <v>0</v>
      </c>
      <c r="L1011">
        <v>1989</v>
      </c>
      <c r="M1011">
        <v>258716904291</v>
      </c>
      <c r="N1011">
        <v>1404092925205</v>
      </c>
      <c r="O1011" t="b">
        <v>1</v>
      </c>
      <c r="P1011">
        <v>0</v>
      </c>
      <c r="Q1011" t="str" cm="1">
        <f t="array" ref="Q1011">_xlfn.IFS(Table1[[#This Row],[Wealthier_Winner]]=-1,"Wealthier Nation Loses",Table1[[#This Row],[Wealthier_Winner]]=0,"Tie",Table1[[#This Row],[Wealthier_Winner]]=1,"Wealthier Nation Wins")</f>
        <v>Tie</v>
      </c>
    </row>
    <row r="1012" spans="1:17" x14ac:dyDescent="0.2">
      <c r="A1012" s="1">
        <v>2046</v>
      </c>
      <c r="B1012" s="2">
        <v>32624</v>
      </c>
      <c r="C1012" s="7">
        <f>_xlfn.FLOOR.MATH(Table1[[#This Row],[year]],10)</f>
        <v>1980</v>
      </c>
      <c r="D1012" t="s">
        <v>38</v>
      </c>
      <c r="E1012" t="s">
        <v>46</v>
      </c>
      <c r="F1012">
        <v>3</v>
      </c>
      <c r="G1012">
        <v>1</v>
      </c>
      <c r="H1012" t="s">
        <v>224</v>
      </c>
      <c r="I1012" t="s">
        <v>291</v>
      </c>
      <c r="J1012" t="s">
        <v>38</v>
      </c>
      <c r="K1012" t="b">
        <v>0</v>
      </c>
      <c r="L1012">
        <v>1989</v>
      </c>
      <c r="M1012">
        <v>60594092182</v>
      </c>
      <c r="N1012">
        <v>208105846934</v>
      </c>
      <c r="O1012" t="b">
        <v>1</v>
      </c>
      <c r="P1012">
        <v>-1</v>
      </c>
      <c r="Q1012" t="str" cm="1">
        <f t="array" ref="Q1012">_xlfn.IFS(Table1[[#This Row],[Wealthier_Winner]]=-1,"Wealthier Nation Loses",Table1[[#This Row],[Wealthier_Winner]]=0,"Tie",Table1[[#This Row],[Wealthier_Winner]]=1,"Wealthier Nation Wins")</f>
        <v>Wealthier Nation Loses</v>
      </c>
    </row>
    <row r="1013" spans="1:17" x14ac:dyDescent="0.2">
      <c r="A1013" s="1">
        <v>2054</v>
      </c>
      <c r="B1013" s="2">
        <v>32645</v>
      </c>
      <c r="C1013" s="7">
        <f>_xlfn.FLOOR.MATH(Table1[[#This Row],[year]],10)</f>
        <v>1980</v>
      </c>
      <c r="D1013" t="s">
        <v>36</v>
      </c>
      <c r="E1013" t="s">
        <v>48</v>
      </c>
      <c r="F1013">
        <v>7</v>
      </c>
      <c r="G1013">
        <v>1</v>
      </c>
      <c r="H1013" t="s">
        <v>224</v>
      </c>
      <c r="I1013" t="s">
        <v>264</v>
      </c>
      <c r="J1013" t="s">
        <v>36</v>
      </c>
      <c r="K1013" t="b">
        <v>0</v>
      </c>
      <c r="L1013">
        <v>1989</v>
      </c>
      <c r="M1013">
        <v>112312200760</v>
      </c>
      <c r="N1013">
        <v>78067933277</v>
      </c>
      <c r="O1013" t="b">
        <v>0</v>
      </c>
      <c r="P1013">
        <v>1</v>
      </c>
      <c r="Q1013" t="str" cm="1">
        <f t="array" ref="Q1013">_xlfn.IFS(Table1[[#This Row],[Wealthier_Winner]]=-1,"Wealthier Nation Loses",Table1[[#This Row],[Wealthier_Winner]]=0,"Tie",Table1[[#This Row],[Wealthier_Winner]]=1,"Wealthier Nation Wins")</f>
        <v>Wealthier Nation Wins</v>
      </c>
    </row>
    <row r="1014" spans="1:17" x14ac:dyDescent="0.2">
      <c r="A1014" s="1">
        <v>2055</v>
      </c>
      <c r="B1014" s="2">
        <v>32645</v>
      </c>
      <c r="C1014" s="7">
        <f>_xlfn.FLOOR.MATH(Table1[[#This Row],[year]],10)</f>
        <v>1980</v>
      </c>
      <c r="D1014" t="s">
        <v>44</v>
      </c>
      <c r="E1014" t="s">
        <v>33</v>
      </c>
      <c r="F1014">
        <v>1</v>
      </c>
      <c r="G1014">
        <v>0</v>
      </c>
      <c r="H1014" t="s">
        <v>224</v>
      </c>
      <c r="I1014" t="s">
        <v>425</v>
      </c>
      <c r="J1014" t="s">
        <v>44</v>
      </c>
      <c r="K1014" t="b">
        <v>0</v>
      </c>
      <c r="L1014">
        <v>1989</v>
      </c>
      <c r="M1014">
        <v>41450777202</v>
      </c>
      <c r="N1014">
        <v>21988444444</v>
      </c>
      <c r="O1014" t="b">
        <v>0</v>
      </c>
      <c r="P1014">
        <v>1</v>
      </c>
      <c r="Q1014" t="str" cm="1">
        <f t="array" ref="Q1014">_xlfn.IFS(Table1[[#This Row],[Wealthier_Winner]]=-1,"Wealthier Nation Loses",Table1[[#This Row],[Wealthier_Winner]]=0,"Tie",Table1[[#This Row],[Wealthier_Winner]]=1,"Wealthier Nation Wins")</f>
        <v>Wealthier Nation Wins</v>
      </c>
    </row>
    <row r="1015" spans="1:17" x14ac:dyDescent="0.2">
      <c r="A1015" s="1">
        <v>2058</v>
      </c>
      <c r="B1015" s="2">
        <v>32649</v>
      </c>
      <c r="C1015" s="7">
        <f>_xlfn.FLOOR.MATH(Table1[[#This Row],[year]],10)</f>
        <v>1980</v>
      </c>
      <c r="D1015" t="s">
        <v>42</v>
      </c>
      <c r="E1015" t="s">
        <v>351</v>
      </c>
      <c r="F1015">
        <v>3</v>
      </c>
      <c r="G1015">
        <v>1</v>
      </c>
      <c r="H1015" t="s">
        <v>224</v>
      </c>
      <c r="I1015" t="s">
        <v>262</v>
      </c>
      <c r="J1015" t="s">
        <v>42</v>
      </c>
      <c r="K1015" t="b">
        <v>0</v>
      </c>
      <c r="L1015">
        <v>1989</v>
      </c>
      <c r="M1015">
        <v>102633934390</v>
      </c>
      <c r="N1015">
        <v>4563482603</v>
      </c>
      <c r="O1015" t="b">
        <v>1</v>
      </c>
      <c r="P1015">
        <v>1</v>
      </c>
      <c r="Q1015" t="str" cm="1">
        <f t="array" ref="Q1015">_xlfn.IFS(Table1[[#This Row],[Wealthier_Winner]]=-1,"Wealthier Nation Loses",Table1[[#This Row],[Wealthier_Winner]]=0,"Tie",Table1[[#This Row],[Wealthier_Winner]]=1,"Wealthier Nation Wins")</f>
        <v>Wealthier Nation Wins</v>
      </c>
    </row>
    <row r="1016" spans="1:17" x14ac:dyDescent="0.2">
      <c r="A1016" s="1">
        <v>2060</v>
      </c>
      <c r="B1016" s="2">
        <v>32651</v>
      </c>
      <c r="C1016" s="7">
        <f>_xlfn.FLOOR.MATH(Table1[[#This Row],[year]],10)</f>
        <v>1980</v>
      </c>
      <c r="D1016" t="s">
        <v>195</v>
      </c>
      <c r="E1016" t="s">
        <v>359</v>
      </c>
      <c r="F1016">
        <v>3</v>
      </c>
      <c r="G1016">
        <v>0</v>
      </c>
      <c r="H1016" t="s">
        <v>224</v>
      </c>
      <c r="I1016" t="s">
        <v>136</v>
      </c>
      <c r="J1016" t="s">
        <v>195</v>
      </c>
      <c r="K1016" t="b">
        <v>0</v>
      </c>
      <c r="L1016">
        <v>1989</v>
      </c>
      <c r="M1016">
        <v>254236243100</v>
      </c>
      <c r="N1016">
        <v>30465364738</v>
      </c>
      <c r="O1016" t="b">
        <v>1</v>
      </c>
      <c r="P1016">
        <v>1</v>
      </c>
      <c r="Q1016" t="str" cm="1">
        <f t="array" ref="Q1016">_xlfn.IFS(Table1[[#This Row],[Wealthier_Winner]]=-1,"Wealthier Nation Loses",Table1[[#This Row],[Wealthier_Winner]]=0,"Tie",Table1[[#This Row],[Wealthier_Winner]]=1,"Wealthier Nation Wins")</f>
        <v>Wealthier Nation Wins</v>
      </c>
    </row>
    <row r="1017" spans="1:17" x14ac:dyDescent="0.2">
      <c r="A1017" s="1">
        <v>2061</v>
      </c>
      <c r="B1017" s="2">
        <v>32651</v>
      </c>
      <c r="C1017" s="7">
        <f>_xlfn.FLOOR.MATH(Table1[[#This Row],[year]],10)</f>
        <v>1980</v>
      </c>
      <c r="D1017" t="s">
        <v>333</v>
      </c>
      <c r="E1017" t="s">
        <v>400</v>
      </c>
      <c r="F1017">
        <v>2</v>
      </c>
      <c r="G1017">
        <v>0</v>
      </c>
      <c r="H1017" t="s">
        <v>224</v>
      </c>
      <c r="I1017" t="s">
        <v>136</v>
      </c>
      <c r="J1017" t="s">
        <v>195</v>
      </c>
      <c r="K1017" t="b">
        <v>1</v>
      </c>
      <c r="L1017">
        <v>1989</v>
      </c>
      <c r="M1017">
        <v>38847965292</v>
      </c>
      <c r="N1017">
        <v>3525225786</v>
      </c>
      <c r="O1017" t="b">
        <v>1</v>
      </c>
      <c r="P1017">
        <v>1</v>
      </c>
      <c r="Q1017" t="str" cm="1">
        <f t="array" ref="Q1017">_xlfn.IFS(Table1[[#This Row],[Wealthier_Winner]]=-1,"Wealthier Nation Loses",Table1[[#This Row],[Wealthier_Winner]]=0,"Tie",Table1[[#This Row],[Wealthier_Winner]]=1,"Wealthier Nation Wins")</f>
        <v>Wealthier Nation Wins</v>
      </c>
    </row>
    <row r="1018" spans="1:17" x14ac:dyDescent="0.2">
      <c r="A1018" s="1">
        <v>2062</v>
      </c>
      <c r="B1018" s="2">
        <v>32653</v>
      </c>
      <c r="C1018" s="7">
        <f>_xlfn.FLOOR.MATH(Table1[[#This Row],[year]],10)</f>
        <v>1980</v>
      </c>
      <c r="D1018" t="s">
        <v>195</v>
      </c>
      <c r="E1018" t="s">
        <v>400</v>
      </c>
      <c r="F1018">
        <v>9</v>
      </c>
      <c r="G1018">
        <v>0</v>
      </c>
      <c r="H1018" t="s">
        <v>224</v>
      </c>
      <c r="I1018" t="s">
        <v>136</v>
      </c>
      <c r="J1018" t="s">
        <v>195</v>
      </c>
      <c r="K1018" t="b">
        <v>0</v>
      </c>
      <c r="L1018">
        <v>1989</v>
      </c>
      <c r="M1018">
        <v>254236243100</v>
      </c>
      <c r="N1018">
        <v>3525225786</v>
      </c>
      <c r="O1018" t="b">
        <v>1</v>
      </c>
      <c r="P1018">
        <v>1</v>
      </c>
      <c r="Q1018" t="str" cm="1">
        <f t="array" ref="Q1018">_xlfn.IFS(Table1[[#This Row],[Wealthier_Winner]]=-1,"Wealthier Nation Loses",Table1[[#This Row],[Wealthier_Winner]]=0,"Tie",Table1[[#This Row],[Wealthier_Winner]]=1,"Wealthier Nation Wins")</f>
        <v>Wealthier Nation Wins</v>
      </c>
    </row>
    <row r="1019" spans="1:17" x14ac:dyDescent="0.2">
      <c r="A1019" s="1">
        <v>2063</v>
      </c>
      <c r="B1019" s="2">
        <v>32653</v>
      </c>
      <c r="C1019" s="7">
        <f>_xlfn.FLOOR.MATH(Table1[[#This Row],[year]],10)</f>
        <v>1980</v>
      </c>
      <c r="D1019" t="s">
        <v>333</v>
      </c>
      <c r="E1019" t="s">
        <v>359</v>
      </c>
      <c r="F1019">
        <v>1</v>
      </c>
      <c r="G1019">
        <v>0</v>
      </c>
      <c r="H1019" t="s">
        <v>224</v>
      </c>
      <c r="I1019" t="s">
        <v>136</v>
      </c>
      <c r="J1019" t="s">
        <v>195</v>
      </c>
      <c r="K1019" t="b">
        <v>1</v>
      </c>
      <c r="L1019">
        <v>1989</v>
      </c>
      <c r="M1019">
        <v>38847965292</v>
      </c>
      <c r="N1019">
        <v>30465364738</v>
      </c>
      <c r="O1019" t="b">
        <v>0</v>
      </c>
      <c r="P1019">
        <v>1</v>
      </c>
      <c r="Q1019" t="str" cm="1">
        <f t="array" ref="Q1019">_xlfn.IFS(Table1[[#This Row],[Wealthier_Winner]]=-1,"Wealthier Nation Loses",Table1[[#This Row],[Wealthier_Winner]]=0,"Tie",Table1[[#This Row],[Wealthier_Winner]]=1,"Wealthier Nation Wins")</f>
        <v>Wealthier Nation Wins</v>
      </c>
    </row>
    <row r="1020" spans="1:17" x14ac:dyDescent="0.2">
      <c r="A1020" s="1">
        <v>2065</v>
      </c>
      <c r="B1020" s="2">
        <v>32655</v>
      </c>
      <c r="C1020" s="7">
        <f>_xlfn.FLOOR.MATH(Table1[[#This Row],[year]],10)</f>
        <v>1980</v>
      </c>
      <c r="D1020" t="s">
        <v>195</v>
      </c>
      <c r="E1020" t="s">
        <v>333</v>
      </c>
      <c r="F1020">
        <v>3</v>
      </c>
      <c r="G1020">
        <v>0</v>
      </c>
      <c r="H1020" t="s">
        <v>224</v>
      </c>
      <c r="I1020" t="s">
        <v>136</v>
      </c>
      <c r="J1020" t="s">
        <v>195</v>
      </c>
      <c r="K1020" t="b">
        <v>0</v>
      </c>
      <c r="L1020">
        <v>1989</v>
      </c>
      <c r="M1020">
        <v>254236243100</v>
      </c>
      <c r="N1020">
        <v>38847965292</v>
      </c>
      <c r="O1020" t="b">
        <v>1</v>
      </c>
      <c r="P1020">
        <v>1</v>
      </c>
      <c r="Q1020" t="str" cm="1">
        <f t="array" ref="Q1020">_xlfn.IFS(Table1[[#This Row],[Wealthier_Winner]]=-1,"Wealthier Nation Loses",Table1[[#This Row],[Wealthier_Winner]]=0,"Tie",Table1[[#This Row],[Wealthier_Winner]]=1,"Wealthier Nation Wins")</f>
        <v>Wealthier Nation Wins</v>
      </c>
    </row>
    <row r="1021" spans="1:17" x14ac:dyDescent="0.2">
      <c r="A1021" s="1">
        <v>2066</v>
      </c>
      <c r="B1021" s="2">
        <v>32655</v>
      </c>
      <c r="C1021" s="7">
        <f>_xlfn.FLOOR.MATH(Table1[[#This Row],[year]],10)</f>
        <v>1980</v>
      </c>
      <c r="D1021" t="s">
        <v>359</v>
      </c>
      <c r="E1021" t="s">
        <v>400</v>
      </c>
      <c r="F1021">
        <v>3</v>
      </c>
      <c r="G1021">
        <v>0</v>
      </c>
      <c r="H1021" t="s">
        <v>224</v>
      </c>
      <c r="I1021" t="s">
        <v>136</v>
      </c>
      <c r="J1021" t="s">
        <v>195</v>
      </c>
      <c r="K1021" t="b">
        <v>1</v>
      </c>
      <c r="L1021">
        <v>1989</v>
      </c>
      <c r="M1021">
        <v>30465364738</v>
      </c>
      <c r="N1021">
        <v>3525225786</v>
      </c>
      <c r="O1021" t="b">
        <v>1</v>
      </c>
      <c r="P1021">
        <v>1</v>
      </c>
      <c r="Q1021" t="str" cm="1">
        <f t="array" ref="Q1021">_xlfn.IFS(Table1[[#This Row],[Wealthier_Winner]]=-1,"Wealthier Nation Loses",Table1[[#This Row],[Wealthier_Winner]]=0,"Tie",Table1[[#This Row],[Wealthier_Winner]]=1,"Wealthier Nation Wins")</f>
        <v>Wealthier Nation Wins</v>
      </c>
    </row>
    <row r="1022" spans="1:17" x14ac:dyDescent="0.2">
      <c r="A1022" s="1">
        <v>2067</v>
      </c>
      <c r="B1022" s="2">
        <v>32656</v>
      </c>
      <c r="C1022" s="7">
        <f>_xlfn.FLOOR.MATH(Table1[[#This Row],[year]],10)</f>
        <v>1980</v>
      </c>
      <c r="D1022" t="s">
        <v>328</v>
      </c>
      <c r="E1022" t="s">
        <v>51</v>
      </c>
      <c r="F1022">
        <v>0</v>
      </c>
      <c r="G1022">
        <v>0</v>
      </c>
      <c r="H1022" t="s">
        <v>224</v>
      </c>
      <c r="I1022" t="s">
        <v>386</v>
      </c>
      <c r="J1022" t="s">
        <v>328</v>
      </c>
      <c r="K1022" t="b">
        <v>0</v>
      </c>
      <c r="L1022">
        <v>1989</v>
      </c>
      <c r="M1022">
        <v>94451427876</v>
      </c>
      <c r="N1022">
        <v>3109455047823</v>
      </c>
      <c r="O1022" t="b">
        <v>1</v>
      </c>
      <c r="P1022">
        <v>0</v>
      </c>
      <c r="Q1022" t="str" cm="1">
        <f t="array" ref="Q1022">_xlfn.IFS(Table1[[#This Row],[Wealthier_Winner]]=-1,"Wealthier Nation Loses",Table1[[#This Row],[Wealthier_Winner]]=0,"Tie",Table1[[#This Row],[Wealthier_Winner]]=1,"Wealthier Nation Wins")</f>
        <v>Tie</v>
      </c>
    </row>
    <row r="1023" spans="1:17" x14ac:dyDescent="0.2">
      <c r="A1023" s="1">
        <v>2069</v>
      </c>
      <c r="B1023" s="2">
        <v>32658</v>
      </c>
      <c r="C1023" s="7">
        <f>_xlfn.FLOOR.MATH(Table1[[#This Row],[year]],10)</f>
        <v>1980</v>
      </c>
      <c r="D1023" t="s">
        <v>210</v>
      </c>
      <c r="E1023" t="s">
        <v>334</v>
      </c>
      <c r="F1023">
        <v>3</v>
      </c>
      <c r="G1023">
        <v>0</v>
      </c>
      <c r="H1023" t="s">
        <v>224</v>
      </c>
      <c r="I1023" t="s">
        <v>332</v>
      </c>
      <c r="J1023" t="s">
        <v>210</v>
      </c>
      <c r="K1023" t="b">
        <v>0</v>
      </c>
      <c r="L1023">
        <v>1989</v>
      </c>
      <c r="M1023">
        <v>120496362916</v>
      </c>
      <c r="N1023">
        <v>72250748099</v>
      </c>
      <c r="O1023" t="b">
        <v>0</v>
      </c>
      <c r="P1023">
        <v>1</v>
      </c>
      <c r="Q1023" t="str" cm="1">
        <f t="array" ref="Q1023">_xlfn.IFS(Table1[[#This Row],[Wealthier_Winner]]=-1,"Wealthier Nation Loses",Table1[[#This Row],[Wealthier_Winner]]=0,"Tie",Table1[[#This Row],[Wealthier_Winner]]=1,"Wealthier Nation Wins")</f>
        <v>Wealthier Nation Wins</v>
      </c>
    </row>
    <row r="1024" spans="1:17" x14ac:dyDescent="0.2">
      <c r="A1024" s="1">
        <v>2070</v>
      </c>
      <c r="B1024" s="2">
        <v>32659</v>
      </c>
      <c r="C1024" s="7">
        <f>_xlfn.FLOOR.MATH(Table1[[#This Row],[year]],10)</f>
        <v>1980</v>
      </c>
      <c r="D1024" t="s">
        <v>230</v>
      </c>
      <c r="E1024" t="s">
        <v>27</v>
      </c>
      <c r="F1024">
        <v>0</v>
      </c>
      <c r="G1024">
        <v>1</v>
      </c>
      <c r="H1024" t="s">
        <v>224</v>
      </c>
      <c r="I1024" t="s">
        <v>231</v>
      </c>
      <c r="J1024" t="s">
        <v>230</v>
      </c>
      <c r="K1024" t="b">
        <v>0</v>
      </c>
      <c r="L1024">
        <v>1989</v>
      </c>
      <c r="M1024">
        <v>118991270611</v>
      </c>
      <c r="N1024">
        <v>258716904291</v>
      </c>
      <c r="O1024" t="b">
        <v>1</v>
      </c>
      <c r="P1024">
        <v>1</v>
      </c>
      <c r="Q1024" t="str" cm="1">
        <f t="array" ref="Q1024">_xlfn.IFS(Table1[[#This Row],[Wealthier_Winner]]=-1,"Wealthier Nation Loses",Table1[[#This Row],[Wealthier_Winner]]=0,"Tie",Table1[[#This Row],[Wealthier_Winner]]=1,"Wealthier Nation Wins")</f>
        <v>Wealthier Nation Wins</v>
      </c>
    </row>
    <row r="1025" spans="1:17" x14ac:dyDescent="0.2">
      <c r="A1025" s="1">
        <v>2071</v>
      </c>
      <c r="B1025" s="2">
        <v>32659</v>
      </c>
      <c r="C1025" s="7">
        <f>_xlfn.FLOOR.MATH(Table1[[#This Row],[year]],10)</f>
        <v>1980</v>
      </c>
      <c r="D1025" t="s">
        <v>196</v>
      </c>
      <c r="E1025" t="s">
        <v>66</v>
      </c>
      <c r="F1025">
        <v>1</v>
      </c>
      <c r="G1025">
        <v>1</v>
      </c>
      <c r="H1025" t="s">
        <v>224</v>
      </c>
      <c r="I1025" t="s">
        <v>180</v>
      </c>
      <c r="J1025" t="s">
        <v>424</v>
      </c>
      <c r="K1025" t="b">
        <v>1</v>
      </c>
      <c r="L1025">
        <v>1989</v>
      </c>
      <c r="M1025">
        <v>506631299734</v>
      </c>
      <c r="N1025">
        <v>5870854233</v>
      </c>
      <c r="O1025" t="b">
        <v>1</v>
      </c>
      <c r="P1025">
        <v>0</v>
      </c>
      <c r="Q1025" t="str" cm="1">
        <f t="array" ref="Q1025">_xlfn.IFS(Table1[[#This Row],[Wealthier_Winner]]=-1,"Wealthier Nation Loses",Table1[[#This Row],[Wealthier_Winner]]=0,"Tie",Table1[[#This Row],[Wealthier_Winner]]=1,"Wealthier Nation Wins")</f>
        <v>Tie</v>
      </c>
    </row>
    <row r="1026" spans="1:17" x14ac:dyDescent="0.2">
      <c r="A1026" s="1">
        <v>2073</v>
      </c>
      <c r="B1026" s="2">
        <v>32660</v>
      </c>
      <c r="C1026" s="7">
        <f>_xlfn.FLOOR.MATH(Table1[[#This Row],[year]],10)</f>
        <v>1980</v>
      </c>
      <c r="D1026" t="s">
        <v>232</v>
      </c>
      <c r="E1026" t="s">
        <v>23</v>
      </c>
      <c r="F1026">
        <v>0</v>
      </c>
      <c r="G1026">
        <v>5</v>
      </c>
      <c r="H1026" t="s">
        <v>224</v>
      </c>
      <c r="I1026" t="s">
        <v>439</v>
      </c>
      <c r="J1026" t="s">
        <v>20</v>
      </c>
      <c r="K1026" t="b">
        <v>1</v>
      </c>
      <c r="L1026">
        <v>1989</v>
      </c>
      <c r="M1026">
        <v>10037674037</v>
      </c>
      <c r="N1026">
        <v>164221056511</v>
      </c>
      <c r="O1026" t="b">
        <v>1</v>
      </c>
      <c r="P1026">
        <v>1</v>
      </c>
      <c r="Q1026" t="str" cm="1">
        <f t="array" ref="Q1026">_xlfn.IFS(Table1[[#This Row],[Wealthier_Winner]]=-1,"Wealthier Nation Loses",Table1[[#This Row],[Wealthier_Winner]]=0,"Tie",Table1[[#This Row],[Wealthier_Winner]]=1,"Wealthier Nation Wins")</f>
        <v>Wealthier Nation Wins</v>
      </c>
    </row>
    <row r="1027" spans="1:17" x14ac:dyDescent="0.2">
      <c r="A1027" s="1">
        <v>2075</v>
      </c>
      <c r="B1027" s="2">
        <v>32662</v>
      </c>
      <c r="C1027" s="7">
        <f>_xlfn.FLOOR.MATH(Table1[[#This Row],[year]],10)</f>
        <v>1980</v>
      </c>
      <c r="D1027" t="s">
        <v>400</v>
      </c>
      <c r="E1027" t="s">
        <v>195</v>
      </c>
      <c r="F1027">
        <v>0</v>
      </c>
      <c r="G1027">
        <v>4</v>
      </c>
      <c r="H1027" t="s">
        <v>224</v>
      </c>
      <c r="I1027" t="s">
        <v>359</v>
      </c>
      <c r="J1027" t="s">
        <v>359</v>
      </c>
      <c r="K1027" t="b">
        <v>1</v>
      </c>
      <c r="L1027">
        <v>1989</v>
      </c>
      <c r="M1027">
        <v>3525225786</v>
      </c>
      <c r="N1027">
        <v>254236243100</v>
      </c>
      <c r="O1027" t="b">
        <v>1</v>
      </c>
      <c r="P1027">
        <v>1</v>
      </c>
      <c r="Q1027" t="str" cm="1">
        <f t="array" ref="Q1027">_xlfn.IFS(Table1[[#This Row],[Wealthier_Winner]]=-1,"Wealthier Nation Loses",Table1[[#This Row],[Wealthier_Winner]]=0,"Tie",Table1[[#This Row],[Wealthier_Winner]]=1,"Wealthier Nation Wins")</f>
        <v>Wealthier Nation Wins</v>
      </c>
    </row>
    <row r="1028" spans="1:17" x14ac:dyDescent="0.2">
      <c r="A1028" s="1">
        <v>2076</v>
      </c>
      <c r="B1028" s="2">
        <v>32662</v>
      </c>
      <c r="C1028" s="7">
        <f>_xlfn.FLOOR.MATH(Table1[[#This Row],[year]],10)</f>
        <v>1980</v>
      </c>
      <c r="D1028" t="s">
        <v>359</v>
      </c>
      <c r="E1028" t="s">
        <v>333</v>
      </c>
      <c r="F1028">
        <v>2</v>
      </c>
      <c r="G1028">
        <v>2</v>
      </c>
      <c r="H1028" t="s">
        <v>224</v>
      </c>
      <c r="I1028" t="s">
        <v>359</v>
      </c>
      <c r="J1028" t="s">
        <v>359</v>
      </c>
      <c r="K1028" t="b">
        <v>0</v>
      </c>
      <c r="L1028">
        <v>1989</v>
      </c>
      <c r="M1028">
        <v>30465364738</v>
      </c>
      <c r="N1028">
        <v>38847965292</v>
      </c>
      <c r="O1028" t="b">
        <v>0</v>
      </c>
      <c r="P1028">
        <v>0</v>
      </c>
      <c r="Q1028" t="str" cm="1">
        <f t="array" ref="Q1028">_xlfn.IFS(Table1[[#This Row],[Wealthier_Winner]]=-1,"Wealthier Nation Loses",Table1[[#This Row],[Wealthier_Winner]]=0,"Tie",Table1[[#This Row],[Wealthier_Winner]]=1,"Wealthier Nation Wins")</f>
        <v>Tie</v>
      </c>
    </row>
    <row r="1029" spans="1:17" x14ac:dyDescent="0.2">
      <c r="A1029" s="1">
        <v>2080</v>
      </c>
      <c r="B1029" s="2">
        <v>32664</v>
      </c>
      <c r="C1029" s="7">
        <f>_xlfn.FLOOR.MATH(Table1[[#This Row],[year]],10)</f>
        <v>1980</v>
      </c>
      <c r="D1029" t="s">
        <v>333</v>
      </c>
      <c r="E1029" t="s">
        <v>195</v>
      </c>
      <c r="F1029">
        <v>0</v>
      </c>
      <c r="G1029">
        <v>3</v>
      </c>
      <c r="H1029" t="s">
        <v>224</v>
      </c>
      <c r="I1029" t="s">
        <v>359</v>
      </c>
      <c r="J1029" t="s">
        <v>359</v>
      </c>
      <c r="K1029" t="b">
        <v>1</v>
      </c>
      <c r="L1029">
        <v>1989</v>
      </c>
      <c r="M1029">
        <v>38847965292</v>
      </c>
      <c r="N1029">
        <v>254236243100</v>
      </c>
      <c r="O1029" t="b">
        <v>1</v>
      </c>
      <c r="P1029">
        <v>1</v>
      </c>
      <c r="Q1029" t="str" cm="1">
        <f t="array" ref="Q1029">_xlfn.IFS(Table1[[#This Row],[Wealthier_Winner]]=-1,"Wealthier Nation Loses",Table1[[#This Row],[Wealthier_Winner]]=0,"Tie",Table1[[#This Row],[Wealthier_Winner]]=1,"Wealthier Nation Wins")</f>
        <v>Wealthier Nation Wins</v>
      </c>
    </row>
    <row r="1030" spans="1:17" x14ac:dyDescent="0.2">
      <c r="A1030" s="1">
        <v>2081</v>
      </c>
      <c r="B1030" s="2">
        <v>32664</v>
      </c>
      <c r="C1030" s="7">
        <f>_xlfn.FLOOR.MATH(Table1[[#This Row],[year]],10)</f>
        <v>1980</v>
      </c>
      <c r="D1030" t="s">
        <v>359</v>
      </c>
      <c r="E1030" t="s">
        <v>400</v>
      </c>
      <c r="F1030">
        <v>7</v>
      </c>
      <c r="G1030">
        <v>0</v>
      </c>
      <c r="H1030" t="s">
        <v>224</v>
      </c>
      <c r="I1030" t="s">
        <v>359</v>
      </c>
      <c r="J1030" t="s">
        <v>359</v>
      </c>
      <c r="K1030" t="b">
        <v>0</v>
      </c>
      <c r="L1030">
        <v>1989</v>
      </c>
      <c r="M1030">
        <v>30465364738</v>
      </c>
      <c r="N1030">
        <v>3525225786</v>
      </c>
      <c r="O1030" t="b">
        <v>1</v>
      </c>
      <c r="P1030">
        <v>1</v>
      </c>
      <c r="Q1030" t="str" cm="1">
        <f t="array" ref="Q1030">_xlfn.IFS(Table1[[#This Row],[Wealthier_Winner]]=-1,"Wealthier Nation Loses",Table1[[#This Row],[Wealthier_Winner]]=0,"Tie",Table1[[#This Row],[Wealthier_Winner]]=1,"Wealthier Nation Wins")</f>
        <v>Wealthier Nation Wins</v>
      </c>
    </row>
    <row r="1031" spans="1:17" x14ac:dyDescent="0.2">
      <c r="A1031" s="1">
        <v>2082</v>
      </c>
      <c r="B1031" s="2">
        <v>32666</v>
      </c>
      <c r="C1031" s="7">
        <f>_xlfn.FLOOR.MATH(Table1[[#This Row],[year]],10)</f>
        <v>1980</v>
      </c>
      <c r="D1031" t="s">
        <v>333</v>
      </c>
      <c r="E1031" t="s">
        <v>400</v>
      </c>
      <c r="F1031">
        <v>3</v>
      </c>
      <c r="G1031">
        <v>0</v>
      </c>
      <c r="H1031" t="s">
        <v>224</v>
      </c>
      <c r="I1031" t="s">
        <v>359</v>
      </c>
      <c r="J1031" t="s">
        <v>359</v>
      </c>
      <c r="K1031" t="b">
        <v>1</v>
      </c>
      <c r="L1031">
        <v>1989</v>
      </c>
      <c r="M1031">
        <v>38847965292</v>
      </c>
      <c r="N1031">
        <v>3525225786</v>
      </c>
      <c r="O1031" t="b">
        <v>1</v>
      </c>
      <c r="P1031">
        <v>1</v>
      </c>
      <c r="Q1031" t="str" cm="1">
        <f t="array" ref="Q1031">_xlfn.IFS(Table1[[#This Row],[Wealthier_Winner]]=-1,"Wealthier Nation Loses",Table1[[#This Row],[Wealthier_Winner]]=0,"Tie",Table1[[#This Row],[Wealthier_Winner]]=1,"Wealthier Nation Wins")</f>
        <v>Wealthier Nation Wins</v>
      </c>
    </row>
    <row r="1032" spans="1:17" x14ac:dyDescent="0.2">
      <c r="A1032" s="1">
        <v>2083</v>
      </c>
      <c r="B1032" s="2">
        <v>32666</v>
      </c>
      <c r="C1032" s="7">
        <f>_xlfn.FLOOR.MATH(Table1[[#This Row],[year]],10)</f>
        <v>1980</v>
      </c>
      <c r="D1032" t="s">
        <v>359</v>
      </c>
      <c r="E1032" t="s">
        <v>195</v>
      </c>
      <c r="F1032">
        <v>0</v>
      </c>
      <c r="G1032">
        <v>3</v>
      </c>
      <c r="H1032" t="s">
        <v>224</v>
      </c>
      <c r="I1032" t="s">
        <v>359</v>
      </c>
      <c r="J1032" t="s">
        <v>359</v>
      </c>
      <c r="K1032" t="b">
        <v>0</v>
      </c>
      <c r="L1032">
        <v>1989</v>
      </c>
      <c r="M1032">
        <v>30465364738</v>
      </c>
      <c r="N1032">
        <v>254236243100</v>
      </c>
      <c r="O1032" t="b">
        <v>1</v>
      </c>
      <c r="P1032">
        <v>1</v>
      </c>
      <c r="Q1032" t="str" cm="1">
        <f t="array" ref="Q1032">_xlfn.IFS(Table1[[#This Row],[Wealthier_Winner]]=-1,"Wealthier Nation Loses",Table1[[#This Row],[Wealthier_Winner]]=0,"Tie",Table1[[#This Row],[Wealthier_Winner]]=1,"Wealthier Nation Wins")</f>
        <v>Wealthier Nation Wins</v>
      </c>
    </row>
    <row r="1033" spans="1:17" x14ac:dyDescent="0.2">
      <c r="A1033" s="1">
        <v>2085</v>
      </c>
      <c r="B1033" s="2">
        <v>32669</v>
      </c>
      <c r="C1033" s="7">
        <f>_xlfn.FLOOR.MATH(Table1[[#This Row],[year]],10)</f>
        <v>1980</v>
      </c>
      <c r="D1033" t="s">
        <v>314</v>
      </c>
      <c r="E1033" t="s">
        <v>212</v>
      </c>
      <c r="F1033">
        <v>0</v>
      </c>
      <c r="G1033">
        <v>0</v>
      </c>
      <c r="H1033" t="s">
        <v>224</v>
      </c>
      <c r="I1033" t="s">
        <v>315</v>
      </c>
      <c r="J1033" t="s">
        <v>314</v>
      </c>
      <c r="K1033" t="b">
        <v>0</v>
      </c>
      <c r="L1033">
        <v>1989</v>
      </c>
      <c r="M1033">
        <v>8283114514</v>
      </c>
      <c r="N1033">
        <v>39756299049</v>
      </c>
      <c r="O1033" t="b">
        <v>1</v>
      </c>
      <c r="P1033">
        <v>0</v>
      </c>
      <c r="Q1033" t="str" cm="1">
        <f t="array" ref="Q1033">_xlfn.IFS(Table1[[#This Row],[Wealthier_Winner]]=-1,"Wealthier Nation Loses",Table1[[#This Row],[Wealthier_Winner]]=0,"Tie",Table1[[#This Row],[Wealthier_Winner]]=1,"Wealthier Nation Wins")</f>
        <v>Tie</v>
      </c>
    </row>
    <row r="1034" spans="1:17" x14ac:dyDescent="0.2">
      <c r="A1034" s="1">
        <v>2086</v>
      </c>
      <c r="B1034" s="2">
        <v>32669</v>
      </c>
      <c r="C1034" s="7">
        <f>_xlfn.FLOOR.MATH(Table1[[#This Row],[year]],10)</f>
        <v>1980</v>
      </c>
      <c r="D1034" t="s">
        <v>43</v>
      </c>
      <c r="E1034" t="s">
        <v>40</v>
      </c>
      <c r="F1034">
        <v>2</v>
      </c>
      <c r="G1034">
        <v>0</v>
      </c>
      <c r="H1034" t="s">
        <v>224</v>
      </c>
      <c r="I1034" t="s">
        <v>293</v>
      </c>
      <c r="J1034" t="s">
        <v>43</v>
      </c>
      <c r="K1034" t="b">
        <v>0</v>
      </c>
      <c r="L1034">
        <v>1989</v>
      </c>
      <c r="M1034">
        <v>44003061108</v>
      </c>
      <c r="N1034">
        <v>11012566195</v>
      </c>
      <c r="O1034" t="b">
        <v>1</v>
      </c>
      <c r="P1034">
        <v>1</v>
      </c>
      <c r="Q1034" t="str" cm="1">
        <f t="array" ref="Q1034">_xlfn.IFS(Table1[[#This Row],[Wealthier_Winner]]=-1,"Wealthier Nation Loses",Table1[[#This Row],[Wealthier_Winner]]=0,"Tie",Table1[[#This Row],[Wealthier_Winner]]=1,"Wealthier Nation Wins")</f>
        <v>Wealthier Nation Wins</v>
      </c>
    </row>
    <row r="1035" spans="1:17" x14ac:dyDescent="0.2">
      <c r="A1035" s="1">
        <v>2087</v>
      </c>
      <c r="B1035" s="2">
        <v>32670</v>
      </c>
      <c r="C1035" s="7">
        <f>_xlfn.FLOOR.MATH(Table1[[#This Row],[year]],10)</f>
        <v>1980</v>
      </c>
      <c r="D1035" t="s">
        <v>60</v>
      </c>
      <c r="E1035" t="s">
        <v>433</v>
      </c>
      <c r="F1035">
        <v>2</v>
      </c>
      <c r="G1035">
        <v>0</v>
      </c>
      <c r="H1035" t="s">
        <v>224</v>
      </c>
      <c r="I1035" t="s">
        <v>396</v>
      </c>
      <c r="J1035" t="s">
        <v>60</v>
      </c>
      <c r="K1035" t="b">
        <v>0</v>
      </c>
      <c r="L1035">
        <v>1989</v>
      </c>
      <c r="M1035">
        <v>10201780976</v>
      </c>
      <c r="N1035">
        <v>4186411463</v>
      </c>
      <c r="O1035" t="b">
        <v>1</v>
      </c>
      <c r="P1035">
        <v>1</v>
      </c>
      <c r="Q1035" t="str" cm="1">
        <f t="array" ref="Q1035">_xlfn.IFS(Table1[[#This Row],[Wealthier_Winner]]=-1,"Wealthier Nation Loses",Table1[[#This Row],[Wealthier_Winner]]=0,"Tie",Table1[[#This Row],[Wealthier_Winner]]=1,"Wealthier Nation Wins")</f>
        <v>Wealthier Nation Wins</v>
      </c>
    </row>
    <row r="1036" spans="1:17" x14ac:dyDescent="0.2">
      <c r="A1036" s="1">
        <v>2090</v>
      </c>
      <c r="B1036" s="2">
        <v>32670</v>
      </c>
      <c r="C1036" s="7">
        <f>_xlfn.FLOOR.MATH(Table1[[#This Row],[year]],10)</f>
        <v>1980</v>
      </c>
      <c r="D1036" t="s">
        <v>51</v>
      </c>
      <c r="E1036" t="s">
        <v>328</v>
      </c>
      <c r="F1036">
        <v>5</v>
      </c>
      <c r="G1036">
        <v>0</v>
      </c>
      <c r="H1036" t="s">
        <v>224</v>
      </c>
      <c r="I1036" t="s">
        <v>245</v>
      </c>
      <c r="J1036" t="s">
        <v>51</v>
      </c>
      <c r="K1036" t="b">
        <v>0</v>
      </c>
      <c r="L1036">
        <v>1989</v>
      </c>
      <c r="M1036">
        <v>3109455047823</v>
      </c>
      <c r="N1036">
        <v>94451427876</v>
      </c>
      <c r="O1036" t="b">
        <v>1</v>
      </c>
      <c r="P1036">
        <v>1</v>
      </c>
      <c r="Q1036" t="str" cm="1">
        <f t="array" ref="Q1036">_xlfn.IFS(Table1[[#This Row],[Wealthier_Winner]]=-1,"Wealthier Nation Loses",Table1[[#This Row],[Wealthier_Winner]]=0,"Tie",Table1[[#This Row],[Wealthier_Winner]]=1,"Wealthier Nation Wins")</f>
        <v>Wealthier Nation Wins</v>
      </c>
    </row>
    <row r="1037" spans="1:17" x14ac:dyDescent="0.2">
      <c r="A1037" s="1">
        <v>2091</v>
      </c>
      <c r="B1037" s="2">
        <v>32670</v>
      </c>
      <c r="C1037" s="7">
        <f>_xlfn.FLOOR.MATH(Table1[[#This Row],[year]],10)</f>
        <v>1980</v>
      </c>
      <c r="D1037" t="s">
        <v>378</v>
      </c>
      <c r="E1037" t="s">
        <v>370</v>
      </c>
      <c r="F1037">
        <v>1</v>
      </c>
      <c r="G1037">
        <v>0</v>
      </c>
      <c r="H1037" t="s">
        <v>224</v>
      </c>
      <c r="I1037" t="s">
        <v>379</v>
      </c>
      <c r="J1037" t="s">
        <v>378</v>
      </c>
      <c r="K1037" t="b">
        <v>0</v>
      </c>
      <c r="L1037">
        <v>1989</v>
      </c>
      <c r="M1037">
        <v>786300000</v>
      </c>
      <c r="N1037">
        <v>2314205129</v>
      </c>
      <c r="O1037" t="b">
        <v>1</v>
      </c>
      <c r="P1037">
        <v>-1</v>
      </c>
      <c r="Q1037" t="str" cm="1">
        <f t="array" ref="Q1037">_xlfn.IFS(Table1[[#This Row],[Wealthier_Winner]]=-1,"Wealthier Nation Loses",Table1[[#This Row],[Wealthier_Winner]]=0,"Tie",Table1[[#This Row],[Wealthier_Winner]]=1,"Wealthier Nation Wins")</f>
        <v>Wealthier Nation Loses</v>
      </c>
    </row>
    <row r="1038" spans="1:17" x14ac:dyDescent="0.2">
      <c r="A1038" s="1">
        <v>2092</v>
      </c>
      <c r="B1038" s="2">
        <v>32670</v>
      </c>
      <c r="C1038" s="7">
        <f>_xlfn.FLOOR.MATH(Table1[[#This Row],[year]],10)</f>
        <v>1980</v>
      </c>
      <c r="D1038" t="s">
        <v>273</v>
      </c>
      <c r="E1038" t="s">
        <v>53</v>
      </c>
      <c r="F1038">
        <v>1</v>
      </c>
      <c r="G1038">
        <v>0</v>
      </c>
      <c r="H1038" t="s">
        <v>224</v>
      </c>
      <c r="I1038" t="s">
        <v>330</v>
      </c>
      <c r="J1038" t="s">
        <v>273</v>
      </c>
      <c r="K1038" t="b">
        <v>0</v>
      </c>
      <c r="L1038">
        <v>1989</v>
      </c>
      <c r="M1038">
        <v>3994673161</v>
      </c>
      <c r="N1038">
        <v>10101851744</v>
      </c>
      <c r="O1038" t="b">
        <v>1</v>
      </c>
      <c r="P1038">
        <v>-1</v>
      </c>
      <c r="Q1038" t="str" cm="1">
        <f t="array" ref="Q1038">_xlfn.IFS(Table1[[#This Row],[Wealthier_Winner]]=-1,"Wealthier Nation Loses",Table1[[#This Row],[Wealthier_Winner]]=0,"Tie",Table1[[#This Row],[Wealthier_Winner]]=1,"Wealthier Nation Wins")</f>
        <v>Wealthier Nation Loses</v>
      </c>
    </row>
    <row r="1039" spans="1:17" x14ac:dyDescent="0.2">
      <c r="A1039" s="1">
        <v>2093</v>
      </c>
      <c r="B1039" s="2">
        <v>32673</v>
      </c>
      <c r="C1039" s="7">
        <f>_xlfn.FLOOR.MATH(Table1[[#This Row],[year]],10)</f>
        <v>1980</v>
      </c>
      <c r="D1039" t="s">
        <v>66</v>
      </c>
      <c r="E1039" t="s">
        <v>29</v>
      </c>
      <c r="F1039">
        <v>0</v>
      </c>
      <c r="G1039">
        <v>0</v>
      </c>
      <c r="H1039" t="s">
        <v>224</v>
      </c>
      <c r="I1039" t="s">
        <v>336</v>
      </c>
      <c r="J1039" t="s">
        <v>66</v>
      </c>
      <c r="K1039" t="b">
        <v>0</v>
      </c>
      <c r="L1039">
        <v>1989</v>
      </c>
      <c r="M1039">
        <v>5870854233</v>
      </c>
      <c r="N1039">
        <v>132584448257</v>
      </c>
      <c r="O1039" t="b">
        <v>1</v>
      </c>
      <c r="P1039">
        <v>0</v>
      </c>
      <c r="Q1039" t="str" cm="1">
        <f t="array" ref="Q1039">_xlfn.IFS(Table1[[#This Row],[Wealthier_Winner]]=-1,"Wealthier Nation Loses",Table1[[#This Row],[Wealthier_Winner]]=0,"Tie",Table1[[#This Row],[Wealthier_Winner]]=1,"Wealthier Nation Wins")</f>
        <v>Tie</v>
      </c>
    </row>
    <row r="1040" spans="1:17" x14ac:dyDescent="0.2">
      <c r="A1040" s="1">
        <v>2096</v>
      </c>
      <c r="B1040" s="2">
        <v>32683</v>
      </c>
      <c r="C1040" s="7">
        <f>_xlfn.FLOOR.MATH(Table1[[#This Row],[year]],10)</f>
        <v>1980</v>
      </c>
      <c r="D1040" t="s">
        <v>370</v>
      </c>
      <c r="E1040" t="s">
        <v>314</v>
      </c>
      <c r="F1040">
        <v>1</v>
      </c>
      <c r="G1040">
        <v>0</v>
      </c>
      <c r="H1040" t="s">
        <v>224</v>
      </c>
      <c r="I1040" t="s">
        <v>397</v>
      </c>
      <c r="J1040" t="s">
        <v>370</v>
      </c>
      <c r="K1040" t="b">
        <v>0</v>
      </c>
      <c r="L1040">
        <v>1989</v>
      </c>
      <c r="M1040">
        <v>2314205129</v>
      </c>
      <c r="N1040">
        <v>8283114514</v>
      </c>
      <c r="O1040" t="b">
        <v>1</v>
      </c>
      <c r="P1040">
        <v>-1</v>
      </c>
      <c r="Q1040" t="str" cm="1">
        <f t="array" ref="Q1040">_xlfn.IFS(Table1[[#This Row],[Wealthier_Winner]]=-1,"Wealthier Nation Loses",Table1[[#This Row],[Wealthier_Winner]]=0,"Tie",Table1[[#This Row],[Wealthier_Winner]]=1,"Wealthier Nation Wins")</f>
        <v>Wealthier Nation Loses</v>
      </c>
    </row>
    <row r="1041" spans="1:17" x14ac:dyDescent="0.2">
      <c r="A1041" s="1">
        <v>2097</v>
      </c>
      <c r="B1041" s="2">
        <v>32684</v>
      </c>
      <c r="C1041" s="7">
        <f>_xlfn.FLOOR.MATH(Table1[[#This Row],[year]],10)</f>
        <v>1980</v>
      </c>
      <c r="D1041" t="s">
        <v>60</v>
      </c>
      <c r="E1041" t="s">
        <v>40</v>
      </c>
      <c r="F1041">
        <v>1</v>
      </c>
      <c r="G1041">
        <v>2</v>
      </c>
      <c r="H1041" t="s">
        <v>224</v>
      </c>
      <c r="I1041" t="s">
        <v>396</v>
      </c>
      <c r="J1041" t="s">
        <v>60</v>
      </c>
      <c r="K1041" t="b">
        <v>0</v>
      </c>
      <c r="L1041">
        <v>1989</v>
      </c>
      <c r="M1041">
        <v>10201780976</v>
      </c>
      <c r="N1041">
        <v>11012566195</v>
      </c>
      <c r="O1041" t="b">
        <v>0</v>
      </c>
      <c r="P1041">
        <v>1</v>
      </c>
      <c r="Q1041" t="str" cm="1">
        <f t="array" ref="Q1041">_xlfn.IFS(Table1[[#This Row],[Wealthier_Winner]]=-1,"Wealthier Nation Loses",Table1[[#This Row],[Wealthier_Winner]]=0,"Tie",Table1[[#This Row],[Wealthier_Winner]]=1,"Wealthier Nation Wins")</f>
        <v>Wealthier Nation Wins</v>
      </c>
    </row>
    <row r="1042" spans="1:17" x14ac:dyDescent="0.2">
      <c r="A1042" s="1">
        <v>2098</v>
      </c>
      <c r="B1042" s="2">
        <v>32684</v>
      </c>
      <c r="C1042" s="7">
        <f>_xlfn.FLOOR.MATH(Table1[[#This Row],[year]],10)</f>
        <v>1980</v>
      </c>
      <c r="D1042" t="s">
        <v>433</v>
      </c>
      <c r="E1042" t="s">
        <v>43</v>
      </c>
      <c r="F1042">
        <v>2</v>
      </c>
      <c r="G1042">
        <v>1</v>
      </c>
      <c r="H1042" t="s">
        <v>224</v>
      </c>
      <c r="I1042" t="s">
        <v>436</v>
      </c>
      <c r="J1042" t="s">
        <v>433</v>
      </c>
      <c r="K1042" t="b">
        <v>0</v>
      </c>
      <c r="L1042">
        <v>1989</v>
      </c>
      <c r="M1042">
        <v>4186411463</v>
      </c>
      <c r="N1042">
        <v>44003061108</v>
      </c>
      <c r="O1042" t="b">
        <v>1</v>
      </c>
      <c r="P1042">
        <v>-1</v>
      </c>
      <c r="Q1042" t="str" cm="1">
        <f t="array" ref="Q1042">_xlfn.IFS(Table1[[#This Row],[Wealthier_Winner]]=-1,"Wealthier Nation Loses",Table1[[#This Row],[Wealthier_Winner]]=0,"Tie",Table1[[#This Row],[Wealthier_Winner]]=1,"Wealthier Nation Wins")</f>
        <v>Wealthier Nation Loses</v>
      </c>
    </row>
    <row r="1043" spans="1:17" x14ac:dyDescent="0.2">
      <c r="A1043" s="1">
        <v>2101</v>
      </c>
      <c r="B1043" s="2">
        <v>32684</v>
      </c>
      <c r="C1043" s="7">
        <f>_xlfn.FLOOR.MATH(Table1[[#This Row],[year]],10)</f>
        <v>1980</v>
      </c>
      <c r="D1043" t="s">
        <v>378</v>
      </c>
      <c r="E1043" t="s">
        <v>212</v>
      </c>
      <c r="F1043">
        <v>1</v>
      </c>
      <c r="G1043">
        <v>0</v>
      </c>
      <c r="H1043" t="s">
        <v>224</v>
      </c>
      <c r="I1043" t="s">
        <v>379</v>
      </c>
      <c r="J1043" t="s">
        <v>378</v>
      </c>
      <c r="K1043" t="b">
        <v>0</v>
      </c>
      <c r="L1043">
        <v>1989</v>
      </c>
      <c r="M1043">
        <v>786300000</v>
      </c>
      <c r="N1043">
        <v>39756299049</v>
      </c>
      <c r="O1043" t="b">
        <v>1</v>
      </c>
      <c r="P1043">
        <v>-1</v>
      </c>
      <c r="Q1043" t="str" cm="1">
        <f t="array" ref="Q1043">_xlfn.IFS(Table1[[#This Row],[Wealthier_Winner]]=-1,"Wealthier Nation Loses",Table1[[#This Row],[Wealthier_Winner]]=0,"Tie",Table1[[#This Row],[Wealthier_Winner]]=1,"Wealthier Nation Wins")</f>
        <v>Wealthier Nation Loses</v>
      </c>
    </row>
    <row r="1044" spans="1:17" x14ac:dyDescent="0.2">
      <c r="A1044" s="1">
        <v>2103</v>
      </c>
      <c r="B1044" s="2">
        <v>32684</v>
      </c>
      <c r="C1044" s="7">
        <f>_xlfn.FLOOR.MATH(Table1[[#This Row],[year]],10)</f>
        <v>1980</v>
      </c>
      <c r="D1044" t="s">
        <v>273</v>
      </c>
      <c r="E1044" t="s">
        <v>24</v>
      </c>
      <c r="F1044">
        <v>2</v>
      </c>
      <c r="G1044">
        <v>1</v>
      </c>
      <c r="H1044" t="s">
        <v>224</v>
      </c>
      <c r="I1044" t="s">
        <v>330</v>
      </c>
      <c r="J1044" t="s">
        <v>273</v>
      </c>
      <c r="K1044" t="b">
        <v>0</v>
      </c>
      <c r="L1044">
        <v>1989</v>
      </c>
      <c r="M1044">
        <v>3994673161</v>
      </c>
      <c r="N1044">
        <v>26314313191</v>
      </c>
      <c r="O1044" t="b">
        <v>1</v>
      </c>
      <c r="P1044">
        <v>-1</v>
      </c>
      <c r="Q1044" t="str" cm="1">
        <f t="array" ref="Q1044">_xlfn.IFS(Table1[[#This Row],[Wealthier_Winner]]=-1,"Wealthier Nation Loses",Table1[[#This Row],[Wealthier_Winner]]=0,"Tie",Table1[[#This Row],[Wealthier_Winner]]=1,"Wealthier Nation Wins")</f>
        <v>Wealthier Nation Loses</v>
      </c>
    </row>
    <row r="1045" spans="1:17" x14ac:dyDescent="0.2">
      <c r="A1045" s="1">
        <v>2104</v>
      </c>
      <c r="B1045" s="2">
        <v>32684</v>
      </c>
      <c r="C1045" s="7">
        <f>_xlfn.FLOOR.MATH(Table1[[#This Row],[year]],10)</f>
        <v>1980</v>
      </c>
      <c r="D1045" t="s">
        <v>298</v>
      </c>
      <c r="E1045" t="s">
        <v>32</v>
      </c>
      <c r="F1045">
        <v>1</v>
      </c>
      <c r="G1045">
        <v>2</v>
      </c>
      <c r="H1045" t="s">
        <v>224</v>
      </c>
      <c r="I1045" t="s">
        <v>377</v>
      </c>
      <c r="J1045" t="s">
        <v>298</v>
      </c>
      <c r="K1045" t="b">
        <v>0</v>
      </c>
      <c r="L1045">
        <v>1989</v>
      </c>
      <c r="M1045">
        <v>8290553535</v>
      </c>
      <c r="N1045">
        <v>55634721572</v>
      </c>
      <c r="O1045" t="b">
        <v>1</v>
      </c>
      <c r="P1045">
        <v>1</v>
      </c>
      <c r="Q1045" t="str" cm="1">
        <f t="array" ref="Q1045">_xlfn.IFS(Table1[[#This Row],[Wealthier_Winner]]=-1,"Wealthier Nation Loses",Table1[[#This Row],[Wealthier_Winner]]=0,"Tie",Table1[[#This Row],[Wealthier_Winner]]=1,"Wealthier Nation Wins")</f>
        <v>Wealthier Nation Wins</v>
      </c>
    </row>
    <row r="1046" spans="1:17" x14ac:dyDescent="0.2">
      <c r="A1046" s="1">
        <v>2110</v>
      </c>
      <c r="B1046" s="2">
        <v>32719</v>
      </c>
      <c r="C1046" s="7">
        <f>_xlfn.FLOOR.MATH(Table1[[#This Row],[year]],10)</f>
        <v>1980</v>
      </c>
      <c r="D1046" t="s">
        <v>258</v>
      </c>
      <c r="E1046" t="s">
        <v>13</v>
      </c>
      <c r="F1046">
        <v>0</v>
      </c>
      <c r="G1046">
        <v>4</v>
      </c>
      <c r="H1046" t="s">
        <v>224</v>
      </c>
      <c r="I1046" t="s">
        <v>260</v>
      </c>
      <c r="J1046" t="s">
        <v>258</v>
      </c>
      <c r="K1046" t="b">
        <v>0</v>
      </c>
      <c r="L1046">
        <v>1989</v>
      </c>
      <c r="M1046">
        <v>43536709104</v>
      </c>
      <c r="N1046">
        <v>412990820287</v>
      </c>
      <c r="O1046" t="b">
        <v>1</v>
      </c>
      <c r="P1046">
        <v>1</v>
      </c>
      <c r="Q1046" t="str" cm="1">
        <f t="array" ref="Q1046">_xlfn.IFS(Table1[[#This Row],[Wealthier_Winner]]=-1,"Wealthier Nation Loses",Table1[[#This Row],[Wealthier_Winner]]=0,"Tie",Table1[[#This Row],[Wealthier_Winner]]=1,"Wealthier Nation Wins")</f>
        <v>Wealthier Nation Wins</v>
      </c>
    </row>
    <row r="1047" spans="1:17" x14ac:dyDescent="0.2">
      <c r="A1047" s="1">
        <v>2111</v>
      </c>
      <c r="B1047" s="2">
        <v>32726</v>
      </c>
      <c r="C1047" s="7">
        <f>_xlfn.FLOOR.MATH(Table1[[#This Row],[year]],10)</f>
        <v>1980</v>
      </c>
      <c r="D1047" t="s">
        <v>258</v>
      </c>
      <c r="E1047" t="s">
        <v>14</v>
      </c>
      <c r="F1047">
        <v>1</v>
      </c>
      <c r="G1047">
        <v>3</v>
      </c>
      <c r="H1047" t="s">
        <v>224</v>
      </c>
      <c r="I1047" t="s">
        <v>260</v>
      </c>
      <c r="J1047" t="s">
        <v>258</v>
      </c>
      <c r="K1047" t="b">
        <v>0</v>
      </c>
      <c r="L1047">
        <v>1989</v>
      </c>
      <c r="M1047">
        <v>43536709104</v>
      </c>
      <c r="N1047">
        <v>30101767991</v>
      </c>
      <c r="O1047" t="b">
        <v>0</v>
      </c>
      <c r="P1047">
        <v>-1</v>
      </c>
      <c r="Q1047" t="str" cm="1">
        <f t="array" ref="Q1047">_xlfn.IFS(Table1[[#This Row],[Wealthier_Winner]]=-1,"Wealthier Nation Loses",Table1[[#This Row],[Wealthier_Winner]]=0,"Tie",Table1[[#This Row],[Wealthier_Winner]]=1,"Wealthier Nation Wins")</f>
        <v>Wealthier Nation Loses</v>
      </c>
    </row>
    <row r="1048" spans="1:17" x14ac:dyDescent="0.2">
      <c r="A1048" s="1">
        <v>2112</v>
      </c>
      <c r="B1048" s="2">
        <v>32732</v>
      </c>
      <c r="C1048" s="7">
        <f>_xlfn.FLOOR.MATH(Table1[[#This Row],[year]],10)</f>
        <v>1980</v>
      </c>
      <c r="D1048" t="s">
        <v>212</v>
      </c>
      <c r="E1048" t="s">
        <v>370</v>
      </c>
      <c r="F1048">
        <v>1</v>
      </c>
      <c r="G1048">
        <v>0</v>
      </c>
      <c r="H1048" t="s">
        <v>224</v>
      </c>
      <c r="I1048" t="s">
        <v>322</v>
      </c>
      <c r="J1048" t="s">
        <v>212</v>
      </c>
      <c r="K1048" t="b">
        <v>0</v>
      </c>
      <c r="L1048">
        <v>1989</v>
      </c>
      <c r="M1048">
        <v>39756299049</v>
      </c>
      <c r="N1048">
        <v>2314205129</v>
      </c>
      <c r="O1048" t="b">
        <v>1</v>
      </c>
      <c r="P1048">
        <v>1</v>
      </c>
      <c r="Q1048" t="str" cm="1">
        <f t="array" ref="Q1048">_xlfn.IFS(Table1[[#This Row],[Wealthier_Winner]]=-1,"Wealthier Nation Loses",Table1[[#This Row],[Wealthier_Winner]]=0,"Tie",Table1[[#This Row],[Wealthier_Winner]]=1,"Wealthier Nation Wins")</f>
        <v>Wealthier Nation Wins</v>
      </c>
    </row>
    <row r="1049" spans="1:17" x14ac:dyDescent="0.2">
      <c r="A1049" s="1">
        <v>2113</v>
      </c>
      <c r="B1049" s="2">
        <v>32732</v>
      </c>
      <c r="C1049" s="7">
        <f>_xlfn.FLOOR.MATH(Table1[[#This Row],[year]],10)</f>
        <v>1980</v>
      </c>
      <c r="D1049" t="s">
        <v>314</v>
      </c>
      <c r="E1049" t="s">
        <v>378</v>
      </c>
      <c r="F1049">
        <v>1</v>
      </c>
      <c r="G1049">
        <v>0</v>
      </c>
      <c r="H1049" t="s">
        <v>224</v>
      </c>
      <c r="I1049" t="s">
        <v>315</v>
      </c>
      <c r="J1049" t="s">
        <v>314</v>
      </c>
      <c r="K1049" t="b">
        <v>0</v>
      </c>
      <c r="L1049">
        <v>1989</v>
      </c>
      <c r="M1049">
        <v>8283114514</v>
      </c>
      <c r="N1049">
        <v>786300000</v>
      </c>
      <c r="O1049" t="b">
        <v>1</v>
      </c>
      <c r="P1049">
        <v>1</v>
      </c>
      <c r="Q1049" t="str" cm="1">
        <f t="array" ref="Q1049">_xlfn.IFS(Table1[[#This Row],[Wealthier_Winner]]=-1,"Wealthier Nation Loses",Table1[[#This Row],[Wealthier_Winner]]=0,"Tie",Table1[[#This Row],[Wealthier_Winner]]=1,"Wealthier Nation Wins")</f>
        <v>Wealthier Nation Wins</v>
      </c>
    </row>
    <row r="1050" spans="1:17" x14ac:dyDescent="0.2">
      <c r="A1050" s="1">
        <v>2114</v>
      </c>
      <c r="B1050" s="2">
        <v>32732</v>
      </c>
      <c r="C1050" s="7">
        <f>_xlfn.FLOOR.MATH(Table1[[#This Row],[year]],10)</f>
        <v>1980</v>
      </c>
      <c r="D1050" t="s">
        <v>43</v>
      </c>
      <c r="E1050" t="s">
        <v>60</v>
      </c>
      <c r="F1050">
        <v>1</v>
      </c>
      <c r="G1050">
        <v>0</v>
      </c>
      <c r="H1050" t="s">
        <v>224</v>
      </c>
      <c r="I1050" t="s">
        <v>229</v>
      </c>
      <c r="J1050" t="s">
        <v>43</v>
      </c>
      <c r="K1050" t="b">
        <v>0</v>
      </c>
      <c r="L1050">
        <v>1989</v>
      </c>
      <c r="M1050">
        <v>44003061108</v>
      </c>
      <c r="N1050">
        <v>10201780976</v>
      </c>
      <c r="O1050" t="b">
        <v>1</v>
      </c>
      <c r="P1050">
        <v>1</v>
      </c>
      <c r="Q1050" t="str" cm="1">
        <f t="array" ref="Q1050">_xlfn.IFS(Table1[[#This Row],[Wealthier_Winner]]=-1,"Wealthier Nation Loses",Table1[[#This Row],[Wealthier_Winner]]=0,"Tie",Table1[[#This Row],[Wealthier_Winner]]=1,"Wealthier Nation Wins")</f>
        <v>Wealthier Nation Wins</v>
      </c>
    </row>
    <row r="1051" spans="1:17" x14ac:dyDescent="0.2">
      <c r="A1051" s="1">
        <v>2115</v>
      </c>
      <c r="B1051" s="2">
        <v>32733</v>
      </c>
      <c r="C1051" s="7">
        <f>_xlfn.FLOOR.MATH(Table1[[#This Row],[year]],10)</f>
        <v>1980</v>
      </c>
      <c r="D1051" t="s">
        <v>40</v>
      </c>
      <c r="E1051" t="s">
        <v>433</v>
      </c>
      <c r="F1051">
        <v>2</v>
      </c>
      <c r="G1051">
        <v>1</v>
      </c>
      <c r="H1051" t="s">
        <v>224</v>
      </c>
      <c r="I1051" t="s">
        <v>371</v>
      </c>
      <c r="J1051" t="s">
        <v>40</v>
      </c>
      <c r="K1051" t="b">
        <v>0</v>
      </c>
      <c r="L1051">
        <v>1989</v>
      </c>
      <c r="M1051">
        <v>11012566195</v>
      </c>
      <c r="N1051">
        <v>4186411463</v>
      </c>
      <c r="O1051" t="b">
        <v>1</v>
      </c>
      <c r="P1051">
        <v>1</v>
      </c>
      <c r="Q1051" t="str" cm="1">
        <f t="array" ref="Q1051">_xlfn.IFS(Table1[[#This Row],[Wealthier_Winner]]=-1,"Wealthier Nation Loses",Table1[[#This Row],[Wealthier_Winner]]=0,"Tie",Table1[[#This Row],[Wealthier_Winner]]=1,"Wealthier Nation Wins")</f>
        <v>Wealthier Nation Wins</v>
      </c>
    </row>
    <row r="1052" spans="1:17" x14ac:dyDescent="0.2">
      <c r="A1052" s="1">
        <v>2116</v>
      </c>
      <c r="B1052" s="2">
        <v>32733</v>
      </c>
      <c r="C1052" s="7">
        <f>_xlfn.FLOOR.MATH(Table1[[#This Row],[year]],10)</f>
        <v>1980</v>
      </c>
      <c r="D1052" t="s">
        <v>14</v>
      </c>
      <c r="E1052" t="s">
        <v>13</v>
      </c>
      <c r="F1052">
        <v>1</v>
      </c>
      <c r="G1052">
        <v>1</v>
      </c>
      <c r="H1052" t="s">
        <v>224</v>
      </c>
      <c r="I1052" t="s">
        <v>75</v>
      </c>
      <c r="J1052" t="s">
        <v>14</v>
      </c>
      <c r="K1052" t="b">
        <v>0</v>
      </c>
      <c r="L1052">
        <v>1989</v>
      </c>
      <c r="M1052">
        <v>30101767991</v>
      </c>
      <c r="N1052">
        <v>412990820287</v>
      </c>
      <c r="O1052" t="b">
        <v>1</v>
      </c>
      <c r="P1052">
        <v>0</v>
      </c>
      <c r="Q1052" t="str" cm="1">
        <f t="array" ref="Q1052">_xlfn.IFS(Table1[[#This Row],[Wealthier_Winner]]=-1,"Wealthier Nation Loses",Table1[[#This Row],[Wealthier_Winner]]=0,"Tie",Table1[[#This Row],[Wealthier_Winner]]=1,"Wealthier Nation Wins")</f>
        <v>Tie</v>
      </c>
    </row>
    <row r="1053" spans="1:17" x14ac:dyDescent="0.2">
      <c r="A1053" s="1">
        <v>2119</v>
      </c>
      <c r="B1053" s="2">
        <v>32733</v>
      </c>
      <c r="C1053" s="7">
        <f>_xlfn.FLOOR.MATH(Table1[[#This Row],[year]],10)</f>
        <v>1980</v>
      </c>
      <c r="D1053" t="s">
        <v>24</v>
      </c>
      <c r="E1053" t="s">
        <v>53</v>
      </c>
      <c r="F1053">
        <v>0</v>
      </c>
      <c r="G1053">
        <v>0</v>
      </c>
      <c r="H1053" t="s">
        <v>224</v>
      </c>
      <c r="I1053" t="s">
        <v>244</v>
      </c>
      <c r="J1053" t="s">
        <v>24</v>
      </c>
      <c r="K1053" t="b">
        <v>0</v>
      </c>
      <c r="L1053">
        <v>1989</v>
      </c>
      <c r="M1053">
        <v>26314313191</v>
      </c>
      <c r="N1053">
        <v>10101851744</v>
      </c>
      <c r="O1053" t="b">
        <v>1</v>
      </c>
      <c r="P1053">
        <v>0</v>
      </c>
      <c r="Q1053" t="str" cm="1">
        <f t="array" ref="Q1053">_xlfn.IFS(Table1[[#This Row],[Wealthier_Winner]]=-1,"Wealthier Nation Loses",Table1[[#This Row],[Wealthier_Winner]]=0,"Tie",Table1[[#This Row],[Wealthier_Winner]]=1,"Wealthier Nation Wins")</f>
        <v>Tie</v>
      </c>
    </row>
    <row r="1054" spans="1:17" x14ac:dyDescent="0.2">
      <c r="A1054" s="1">
        <v>2120</v>
      </c>
      <c r="B1054" s="2">
        <v>32740</v>
      </c>
      <c r="C1054" s="7">
        <f>_xlfn.FLOOR.MATH(Table1[[#This Row],[year]],10)</f>
        <v>1980</v>
      </c>
      <c r="D1054" t="s">
        <v>47</v>
      </c>
      <c r="E1054" t="s">
        <v>31</v>
      </c>
      <c r="F1054">
        <v>2</v>
      </c>
      <c r="G1054">
        <v>1</v>
      </c>
      <c r="H1054" t="s">
        <v>224</v>
      </c>
      <c r="I1054" t="s">
        <v>246</v>
      </c>
      <c r="J1054" t="s">
        <v>47</v>
      </c>
      <c r="K1054" t="b">
        <v>0</v>
      </c>
      <c r="L1054">
        <v>1989</v>
      </c>
      <c r="M1054">
        <v>4715973437</v>
      </c>
      <c r="N1054">
        <v>22499558526</v>
      </c>
      <c r="O1054" t="b">
        <v>1</v>
      </c>
      <c r="P1054">
        <v>-1</v>
      </c>
      <c r="Q1054" t="str" cm="1">
        <f t="array" ref="Q1054">_xlfn.IFS(Table1[[#This Row],[Wealthier_Winner]]=-1,"Wealthier Nation Loses",Table1[[#This Row],[Wealthier_Winner]]=0,"Tie",Table1[[#This Row],[Wealthier_Winner]]=1,"Wealthier Nation Wins")</f>
        <v>Wealthier Nation Loses</v>
      </c>
    </row>
    <row r="1055" spans="1:17" x14ac:dyDescent="0.2">
      <c r="A1055" s="1">
        <v>2121</v>
      </c>
      <c r="B1055" s="2">
        <v>32740</v>
      </c>
      <c r="C1055" s="7">
        <f>_xlfn.FLOOR.MATH(Table1[[#This Row],[year]],10)</f>
        <v>1980</v>
      </c>
      <c r="D1055" t="s">
        <v>13</v>
      </c>
      <c r="E1055" t="s">
        <v>258</v>
      </c>
      <c r="F1055">
        <v>6</v>
      </c>
      <c r="G1055">
        <v>0</v>
      </c>
      <c r="H1055" t="s">
        <v>224</v>
      </c>
      <c r="I1055" t="s">
        <v>417</v>
      </c>
      <c r="J1055" t="s">
        <v>13</v>
      </c>
      <c r="K1055" t="b">
        <v>0</v>
      </c>
      <c r="L1055">
        <v>1989</v>
      </c>
      <c r="M1055">
        <v>412990820287</v>
      </c>
      <c r="N1055">
        <v>43536709104</v>
      </c>
      <c r="O1055" t="b">
        <v>1</v>
      </c>
      <c r="P1055">
        <v>1</v>
      </c>
      <c r="Q1055" t="str" cm="1">
        <f t="array" ref="Q1055">_xlfn.IFS(Table1[[#This Row],[Wealthier_Winner]]=-1,"Wealthier Nation Loses",Table1[[#This Row],[Wealthier_Winner]]=0,"Tie",Table1[[#This Row],[Wealthier_Winner]]=1,"Wealthier Nation Wins")</f>
        <v>Wealthier Nation Wins</v>
      </c>
    </row>
    <row r="1056" spans="1:17" x14ac:dyDescent="0.2">
      <c r="A1056" s="1">
        <v>2122</v>
      </c>
      <c r="B1056" s="2">
        <v>32740</v>
      </c>
      <c r="C1056" s="7">
        <f>_xlfn.FLOOR.MATH(Table1[[#This Row],[year]],10)</f>
        <v>1980</v>
      </c>
      <c r="D1056" t="s">
        <v>15</v>
      </c>
      <c r="E1056" t="s">
        <v>57</v>
      </c>
      <c r="F1056">
        <v>2</v>
      </c>
      <c r="G1056">
        <v>0</v>
      </c>
      <c r="H1056" t="s">
        <v>224</v>
      </c>
      <c r="I1056" t="s">
        <v>261</v>
      </c>
      <c r="J1056" t="s">
        <v>15</v>
      </c>
      <c r="K1056" t="b">
        <v>0</v>
      </c>
      <c r="L1056">
        <v>1989</v>
      </c>
      <c r="M1056">
        <v>39540080200</v>
      </c>
      <c r="N1056">
        <v>13890823704</v>
      </c>
      <c r="O1056" t="b">
        <v>1</v>
      </c>
      <c r="P1056">
        <v>1</v>
      </c>
      <c r="Q1056" t="str" cm="1">
        <f t="array" ref="Q1056">_xlfn.IFS(Table1[[#This Row],[Wealthier_Winner]]=-1,"Wealthier Nation Loses",Table1[[#This Row],[Wealthier_Winner]]=0,"Tie",Table1[[#This Row],[Wealthier_Winner]]=1,"Wealthier Nation Wins")</f>
        <v>Wealthier Nation Wins</v>
      </c>
    </row>
    <row r="1057" spans="1:17" x14ac:dyDescent="0.2">
      <c r="A1057" s="1">
        <v>2123</v>
      </c>
      <c r="B1057" s="2">
        <v>32743</v>
      </c>
      <c r="C1057" s="7">
        <f>_xlfn.FLOOR.MATH(Table1[[#This Row],[year]],10)</f>
        <v>1980</v>
      </c>
      <c r="D1057" t="s">
        <v>29</v>
      </c>
      <c r="E1057" t="s">
        <v>66</v>
      </c>
      <c r="F1057">
        <v>2</v>
      </c>
      <c r="G1057">
        <v>1</v>
      </c>
      <c r="H1057" t="s">
        <v>224</v>
      </c>
      <c r="I1057" t="s">
        <v>363</v>
      </c>
      <c r="J1057" t="s">
        <v>29</v>
      </c>
      <c r="K1057" t="b">
        <v>0</v>
      </c>
      <c r="L1057">
        <v>1989</v>
      </c>
      <c r="M1057">
        <v>132584448257</v>
      </c>
      <c r="N1057">
        <v>5870854233</v>
      </c>
      <c r="O1057" t="b">
        <v>1</v>
      </c>
      <c r="P1057">
        <v>1</v>
      </c>
      <c r="Q1057" t="str" cm="1">
        <f t="array" ref="Q1057">_xlfn.IFS(Table1[[#This Row],[Wealthier_Winner]]=-1,"Wealthier Nation Loses",Table1[[#This Row],[Wealthier_Winner]]=0,"Tie",Table1[[#This Row],[Wealthier_Winner]]=1,"Wealthier Nation Wins")</f>
        <v>Wealthier Nation Wins</v>
      </c>
    </row>
    <row r="1058" spans="1:17" x14ac:dyDescent="0.2">
      <c r="A1058" s="1">
        <v>2125</v>
      </c>
      <c r="B1058" s="2">
        <v>32746</v>
      </c>
      <c r="C1058" s="7">
        <f>_xlfn.FLOOR.MATH(Table1[[#This Row],[year]],10)</f>
        <v>1980</v>
      </c>
      <c r="D1058" t="s">
        <v>212</v>
      </c>
      <c r="E1058" t="s">
        <v>314</v>
      </c>
      <c r="F1058">
        <v>2</v>
      </c>
      <c r="G1058">
        <v>0</v>
      </c>
      <c r="H1058" t="s">
        <v>224</v>
      </c>
      <c r="I1058" t="s">
        <v>322</v>
      </c>
      <c r="J1058" t="s">
        <v>212</v>
      </c>
      <c r="K1058" t="b">
        <v>0</v>
      </c>
      <c r="L1058">
        <v>1989</v>
      </c>
      <c r="M1058">
        <v>39756299049</v>
      </c>
      <c r="N1058">
        <v>8283114514</v>
      </c>
      <c r="O1058" t="b">
        <v>1</v>
      </c>
      <c r="P1058">
        <v>1</v>
      </c>
      <c r="Q1058" t="str" cm="1">
        <f t="array" ref="Q1058">_xlfn.IFS(Table1[[#This Row],[Wealthier_Winner]]=-1,"Wealthier Nation Loses",Table1[[#This Row],[Wealthier_Winner]]=0,"Tie",Table1[[#This Row],[Wealthier_Winner]]=1,"Wealthier Nation Wins")</f>
        <v>Wealthier Nation Wins</v>
      </c>
    </row>
    <row r="1059" spans="1:17" x14ac:dyDescent="0.2">
      <c r="A1059" s="1">
        <v>2126</v>
      </c>
      <c r="B1059" s="2">
        <v>32746</v>
      </c>
      <c r="C1059" s="7">
        <f>_xlfn.FLOOR.MATH(Table1[[#This Row],[year]],10)</f>
        <v>1980</v>
      </c>
      <c r="D1059" t="s">
        <v>370</v>
      </c>
      <c r="E1059" t="s">
        <v>378</v>
      </c>
      <c r="F1059">
        <v>0</v>
      </c>
      <c r="G1059">
        <v>0</v>
      </c>
      <c r="H1059" t="s">
        <v>224</v>
      </c>
      <c r="I1059" t="s">
        <v>397</v>
      </c>
      <c r="J1059" t="s">
        <v>370</v>
      </c>
      <c r="K1059" t="b">
        <v>0</v>
      </c>
      <c r="L1059">
        <v>1989</v>
      </c>
      <c r="M1059">
        <v>2314205129</v>
      </c>
      <c r="N1059">
        <v>786300000</v>
      </c>
      <c r="O1059" t="b">
        <v>1</v>
      </c>
      <c r="P1059">
        <v>0</v>
      </c>
      <c r="Q1059" t="str" cm="1">
        <f t="array" ref="Q1059">_xlfn.IFS(Table1[[#This Row],[Wealthier_Winner]]=-1,"Wealthier Nation Loses",Table1[[#This Row],[Wealthier_Winner]]=0,"Tie",Table1[[#This Row],[Wealthier_Winner]]=1,"Wealthier Nation Wins")</f>
        <v>Tie</v>
      </c>
    </row>
    <row r="1060" spans="1:17" x14ac:dyDescent="0.2">
      <c r="A1060" s="1">
        <v>2127</v>
      </c>
      <c r="B1060" s="2">
        <v>32747</v>
      </c>
      <c r="C1060" s="7">
        <f>_xlfn.FLOOR.MATH(Table1[[#This Row],[year]],10)</f>
        <v>1980</v>
      </c>
      <c r="D1060" t="s">
        <v>40</v>
      </c>
      <c r="E1060" t="s">
        <v>43</v>
      </c>
      <c r="F1060">
        <v>1</v>
      </c>
      <c r="G1060">
        <v>0</v>
      </c>
      <c r="H1060" t="s">
        <v>224</v>
      </c>
      <c r="I1060" t="s">
        <v>371</v>
      </c>
      <c r="J1060" t="s">
        <v>40</v>
      </c>
      <c r="K1060" t="b">
        <v>0</v>
      </c>
      <c r="L1060">
        <v>1989</v>
      </c>
      <c r="M1060">
        <v>11012566195</v>
      </c>
      <c r="N1060">
        <v>44003061108</v>
      </c>
      <c r="O1060" t="b">
        <v>1</v>
      </c>
      <c r="P1060">
        <v>-1</v>
      </c>
      <c r="Q1060" t="str" cm="1">
        <f t="array" ref="Q1060">_xlfn.IFS(Table1[[#This Row],[Wealthier_Winner]]=-1,"Wealthier Nation Loses",Table1[[#This Row],[Wealthier_Winner]]=0,"Tie",Table1[[#This Row],[Wealthier_Winner]]=1,"Wealthier Nation Wins")</f>
        <v>Wealthier Nation Loses</v>
      </c>
    </row>
    <row r="1061" spans="1:17" x14ac:dyDescent="0.2">
      <c r="A1061" s="1">
        <v>2128</v>
      </c>
      <c r="B1061" s="2">
        <v>32747</v>
      </c>
      <c r="C1061" s="7">
        <f>_xlfn.FLOOR.MATH(Table1[[#This Row],[year]],10)</f>
        <v>1980</v>
      </c>
      <c r="D1061" t="s">
        <v>14</v>
      </c>
      <c r="E1061" t="s">
        <v>258</v>
      </c>
      <c r="F1061">
        <v>5</v>
      </c>
      <c r="G1061">
        <v>0</v>
      </c>
      <c r="H1061" t="s">
        <v>224</v>
      </c>
      <c r="I1061" t="s">
        <v>96</v>
      </c>
      <c r="J1061" t="s">
        <v>19</v>
      </c>
      <c r="K1061" t="b">
        <v>1</v>
      </c>
      <c r="L1061">
        <v>1989</v>
      </c>
      <c r="M1061">
        <v>30101767991</v>
      </c>
      <c r="N1061">
        <v>43536709104</v>
      </c>
      <c r="O1061" t="b">
        <v>0</v>
      </c>
      <c r="P1061">
        <v>-1</v>
      </c>
      <c r="Q1061" t="str" cm="1">
        <f t="array" ref="Q1061">_xlfn.IFS(Table1[[#This Row],[Wealthier_Winner]]=-1,"Wealthier Nation Loses",Table1[[#This Row],[Wealthier_Winner]]=0,"Tie",Table1[[#This Row],[Wealthier_Winner]]=1,"Wealthier Nation Wins")</f>
        <v>Wealthier Nation Loses</v>
      </c>
    </row>
    <row r="1062" spans="1:17" x14ac:dyDescent="0.2">
      <c r="A1062" s="1">
        <v>2129</v>
      </c>
      <c r="B1062" s="2">
        <v>32747</v>
      </c>
      <c r="C1062" s="7">
        <f>_xlfn.FLOOR.MATH(Table1[[#This Row],[year]],10)</f>
        <v>1980</v>
      </c>
      <c r="D1062" t="s">
        <v>433</v>
      </c>
      <c r="E1062" t="s">
        <v>60</v>
      </c>
      <c r="F1062">
        <v>1</v>
      </c>
      <c r="G1062">
        <v>0</v>
      </c>
      <c r="H1062" t="s">
        <v>224</v>
      </c>
      <c r="I1062" t="s">
        <v>436</v>
      </c>
      <c r="J1062" t="s">
        <v>433</v>
      </c>
      <c r="K1062" t="b">
        <v>0</v>
      </c>
      <c r="L1062">
        <v>1989</v>
      </c>
      <c r="M1062">
        <v>4186411463</v>
      </c>
      <c r="N1062">
        <v>10201780976</v>
      </c>
      <c r="O1062" t="b">
        <v>1</v>
      </c>
      <c r="P1062">
        <v>-1</v>
      </c>
      <c r="Q1062" t="str" cm="1">
        <f t="array" ref="Q1062">_xlfn.IFS(Table1[[#This Row],[Wealthier_Winner]]=-1,"Wealthier Nation Loses",Table1[[#This Row],[Wealthier_Winner]]=0,"Tie",Table1[[#This Row],[Wealthier_Winner]]=1,"Wealthier Nation Wins")</f>
        <v>Wealthier Nation Loses</v>
      </c>
    </row>
    <row r="1063" spans="1:17" x14ac:dyDescent="0.2">
      <c r="A1063" s="1">
        <v>2131</v>
      </c>
      <c r="B1063" s="2">
        <v>32747</v>
      </c>
      <c r="C1063" s="7">
        <f>_xlfn.FLOOR.MATH(Table1[[#This Row],[year]],10)</f>
        <v>1980</v>
      </c>
      <c r="D1063" t="s">
        <v>35</v>
      </c>
      <c r="E1063" t="s">
        <v>15</v>
      </c>
      <c r="F1063">
        <v>2</v>
      </c>
      <c r="G1063">
        <v>1</v>
      </c>
      <c r="H1063" t="s">
        <v>224</v>
      </c>
      <c r="I1063" t="s">
        <v>250</v>
      </c>
      <c r="J1063" t="s">
        <v>35</v>
      </c>
      <c r="K1063" t="b">
        <v>0</v>
      </c>
      <c r="L1063">
        <v>1989</v>
      </c>
      <c r="M1063">
        <v>4757732199</v>
      </c>
      <c r="N1063">
        <v>39540080200</v>
      </c>
      <c r="O1063" t="b">
        <v>1</v>
      </c>
      <c r="P1063">
        <v>-1</v>
      </c>
      <c r="Q1063" t="str" cm="1">
        <f t="array" ref="Q1063">_xlfn.IFS(Table1[[#This Row],[Wealthier_Winner]]=-1,"Wealthier Nation Loses",Table1[[#This Row],[Wealthier_Winner]]=0,"Tie",Table1[[#This Row],[Wealthier_Winner]]=1,"Wealthier Nation Wins")</f>
        <v>Wealthier Nation Loses</v>
      </c>
    </row>
    <row r="1064" spans="1:17" x14ac:dyDescent="0.2">
      <c r="A1064" s="1">
        <v>2132</v>
      </c>
      <c r="B1064" s="2">
        <v>32747</v>
      </c>
      <c r="C1064" s="7">
        <f>_xlfn.FLOOR.MATH(Table1[[#This Row],[year]],10)</f>
        <v>1980</v>
      </c>
      <c r="D1064" t="s">
        <v>31</v>
      </c>
      <c r="E1064" t="s">
        <v>26</v>
      </c>
      <c r="F1064">
        <v>0</v>
      </c>
      <c r="G1064">
        <v>2</v>
      </c>
      <c r="H1064" t="s">
        <v>224</v>
      </c>
      <c r="I1064" t="s">
        <v>242</v>
      </c>
      <c r="J1064" t="s">
        <v>31</v>
      </c>
      <c r="K1064" t="b">
        <v>0</v>
      </c>
      <c r="L1064">
        <v>1989</v>
      </c>
      <c r="M1064">
        <v>22499558526</v>
      </c>
      <c r="N1064">
        <v>8438951476</v>
      </c>
      <c r="O1064" t="b">
        <v>1</v>
      </c>
      <c r="P1064">
        <v>-1</v>
      </c>
      <c r="Q1064" t="str" cm="1">
        <f t="array" ref="Q1064">_xlfn.IFS(Table1[[#This Row],[Wealthier_Winner]]=-1,"Wealthier Nation Loses",Table1[[#This Row],[Wealthier_Winner]]=0,"Tie",Table1[[#This Row],[Wealthier_Winner]]=1,"Wealthier Nation Wins")</f>
        <v>Wealthier Nation Loses</v>
      </c>
    </row>
    <row r="1065" spans="1:17" x14ac:dyDescent="0.2">
      <c r="A1065" s="1">
        <v>2133</v>
      </c>
      <c r="B1065" s="2">
        <v>32747</v>
      </c>
      <c r="C1065" s="7">
        <f>_xlfn.FLOOR.MATH(Table1[[#This Row],[year]],10)</f>
        <v>1980</v>
      </c>
      <c r="D1065" t="s">
        <v>53</v>
      </c>
      <c r="E1065" t="s">
        <v>273</v>
      </c>
      <c r="F1065">
        <v>1</v>
      </c>
      <c r="G1065">
        <v>0</v>
      </c>
      <c r="H1065" t="s">
        <v>224</v>
      </c>
      <c r="I1065" t="s">
        <v>284</v>
      </c>
      <c r="J1065" t="s">
        <v>53</v>
      </c>
      <c r="K1065" t="b">
        <v>0</v>
      </c>
      <c r="L1065">
        <v>1989</v>
      </c>
      <c r="M1065">
        <v>10101851744</v>
      </c>
      <c r="N1065">
        <v>3994673161</v>
      </c>
      <c r="O1065" t="b">
        <v>1</v>
      </c>
      <c r="P1065">
        <v>1</v>
      </c>
      <c r="Q1065" t="str" cm="1">
        <f t="array" ref="Q1065">_xlfn.IFS(Table1[[#This Row],[Wealthier_Winner]]=-1,"Wealthier Nation Loses",Table1[[#This Row],[Wealthier_Winner]]=0,"Tie",Table1[[#This Row],[Wealthier_Winner]]=1,"Wealthier Nation Wins")</f>
        <v>Wealthier Nation Wins</v>
      </c>
    </row>
    <row r="1066" spans="1:17" x14ac:dyDescent="0.2">
      <c r="A1066" s="1">
        <v>2134</v>
      </c>
      <c r="B1066" s="2">
        <v>32754</v>
      </c>
      <c r="C1066" s="7">
        <f>_xlfn.FLOOR.MATH(Table1[[#This Row],[year]],10)</f>
        <v>1980</v>
      </c>
      <c r="D1066" t="s">
        <v>47</v>
      </c>
      <c r="E1066" t="s">
        <v>26</v>
      </c>
      <c r="F1066">
        <v>2</v>
      </c>
      <c r="G1066">
        <v>1</v>
      </c>
      <c r="H1066" t="s">
        <v>224</v>
      </c>
      <c r="I1066" t="s">
        <v>246</v>
      </c>
      <c r="J1066" t="s">
        <v>47</v>
      </c>
      <c r="K1066" t="b">
        <v>0</v>
      </c>
      <c r="L1066">
        <v>1989</v>
      </c>
      <c r="M1066">
        <v>4715973437</v>
      </c>
      <c r="N1066">
        <v>8438951476</v>
      </c>
      <c r="O1066" t="b">
        <v>0</v>
      </c>
      <c r="P1066">
        <v>-1</v>
      </c>
      <c r="Q1066" t="str" cm="1">
        <f t="array" ref="Q1066">_xlfn.IFS(Table1[[#This Row],[Wealthier_Winner]]=-1,"Wealthier Nation Loses",Table1[[#This Row],[Wealthier_Winner]]=0,"Tie",Table1[[#This Row],[Wealthier_Winner]]=1,"Wealthier Nation Wins")</f>
        <v>Wealthier Nation Loses</v>
      </c>
    </row>
    <row r="1067" spans="1:17" x14ac:dyDescent="0.2">
      <c r="A1067" s="1">
        <v>2135</v>
      </c>
      <c r="B1067" s="2">
        <v>32754</v>
      </c>
      <c r="C1067" s="7">
        <f>_xlfn.FLOOR.MATH(Table1[[#This Row],[year]],10)</f>
        <v>1980</v>
      </c>
      <c r="D1067" t="s">
        <v>13</v>
      </c>
      <c r="E1067" t="s">
        <v>14</v>
      </c>
      <c r="F1067">
        <v>1</v>
      </c>
      <c r="G1067">
        <v>0</v>
      </c>
      <c r="H1067" t="s">
        <v>224</v>
      </c>
      <c r="I1067" t="s">
        <v>173</v>
      </c>
      <c r="J1067" t="s">
        <v>13</v>
      </c>
      <c r="K1067" t="b">
        <v>0</v>
      </c>
      <c r="L1067">
        <v>1989</v>
      </c>
      <c r="M1067">
        <v>412990820287</v>
      </c>
      <c r="N1067">
        <v>30101767991</v>
      </c>
      <c r="O1067" t="b">
        <v>1</v>
      </c>
      <c r="P1067">
        <v>1</v>
      </c>
      <c r="Q1067" t="str" cm="1">
        <f t="array" ref="Q1067">_xlfn.IFS(Table1[[#This Row],[Wealthier_Winner]]=-1,"Wealthier Nation Loses",Table1[[#This Row],[Wealthier_Winner]]=0,"Tie",Table1[[#This Row],[Wealthier_Winner]]=1,"Wealthier Nation Wins")</f>
        <v>Wealthier Nation Wins</v>
      </c>
    </row>
    <row r="1068" spans="1:17" x14ac:dyDescent="0.2">
      <c r="A1068" s="1">
        <v>2136</v>
      </c>
      <c r="B1068" s="2">
        <v>32754</v>
      </c>
      <c r="C1068" s="7">
        <f>_xlfn.FLOOR.MATH(Table1[[#This Row],[year]],10)</f>
        <v>1980</v>
      </c>
      <c r="D1068" t="s">
        <v>57</v>
      </c>
      <c r="E1068" t="s">
        <v>15</v>
      </c>
      <c r="F1068">
        <v>0</v>
      </c>
      <c r="G1068">
        <v>0</v>
      </c>
      <c r="H1068" t="s">
        <v>224</v>
      </c>
      <c r="I1068" t="s">
        <v>237</v>
      </c>
      <c r="J1068" t="s">
        <v>57</v>
      </c>
      <c r="K1068" t="b">
        <v>0</v>
      </c>
      <c r="L1068">
        <v>1989</v>
      </c>
      <c r="M1068">
        <v>13890823704</v>
      </c>
      <c r="N1068">
        <v>39540080200</v>
      </c>
      <c r="O1068" t="b">
        <v>1</v>
      </c>
      <c r="P1068">
        <v>0</v>
      </c>
      <c r="Q1068" t="str" cm="1">
        <f t="array" ref="Q1068">_xlfn.IFS(Table1[[#This Row],[Wealthier_Winner]]=-1,"Wealthier Nation Loses",Table1[[#This Row],[Wealthier_Winner]]=0,"Tie",Table1[[#This Row],[Wealthier_Winner]]=1,"Wealthier Nation Wins")</f>
        <v>Tie</v>
      </c>
    </row>
    <row r="1069" spans="1:17" x14ac:dyDescent="0.2">
      <c r="A1069" s="1">
        <v>2137</v>
      </c>
      <c r="B1069" s="2">
        <v>32756</v>
      </c>
      <c r="C1069" s="7">
        <f>_xlfn.FLOOR.MATH(Table1[[#This Row],[year]],10)</f>
        <v>1980</v>
      </c>
      <c r="D1069" t="s">
        <v>42</v>
      </c>
      <c r="E1069" t="s">
        <v>20</v>
      </c>
      <c r="F1069">
        <v>1</v>
      </c>
      <c r="G1069">
        <v>1</v>
      </c>
      <c r="H1069" t="s">
        <v>224</v>
      </c>
      <c r="I1069" t="s">
        <v>262</v>
      </c>
      <c r="J1069" t="s">
        <v>42</v>
      </c>
      <c r="K1069" t="b">
        <v>0</v>
      </c>
      <c r="L1069">
        <v>1989</v>
      </c>
      <c r="M1069">
        <v>102633934390</v>
      </c>
      <c r="N1069">
        <v>1016742237302</v>
      </c>
      <c r="O1069" t="b">
        <v>1</v>
      </c>
      <c r="P1069">
        <v>0</v>
      </c>
      <c r="Q1069" t="str" cm="1">
        <f t="array" ref="Q1069">_xlfn.IFS(Table1[[#This Row],[Wealthier_Winner]]=-1,"Wealthier Nation Loses",Table1[[#This Row],[Wealthier_Winner]]=0,"Tie",Table1[[#This Row],[Wealthier_Winner]]=1,"Wealthier Nation Wins")</f>
        <v>Tie</v>
      </c>
    </row>
    <row r="1070" spans="1:17" x14ac:dyDescent="0.2">
      <c r="A1070" s="1">
        <v>2138</v>
      </c>
      <c r="B1070" s="2">
        <v>32757</v>
      </c>
      <c r="C1070" s="7">
        <f>_xlfn.FLOOR.MATH(Table1[[#This Row],[year]],10)</f>
        <v>1980</v>
      </c>
      <c r="D1070" t="s">
        <v>29</v>
      </c>
      <c r="E1070" t="s">
        <v>196</v>
      </c>
      <c r="F1070">
        <v>0</v>
      </c>
      <c r="G1070">
        <v>0</v>
      </c>
      <c r="H1070" t="s">
        <v>224</v>
      </c>
      <c r="I1070" t="s">
        <v>270</v>
      </c>
      <c r="J1070" t="s">
        <v>29</v>
      </c>
      <c r="K1070" t="b">
        <v>0</v>
      </c>
      <c r="L1070">
        <v>1989</v>
      </c>
      <c r="M1070">
        <v>132584448257</v>
      </c>
      <c r="N1070">
        <v>506631299734</v>
      </c>
      <c r="O1070" t="b">
        <v>1</v>
      </c>
      <c r="P1070">
        <v>0</v>
      </c>
      <c r="Q1070" t="str" cm="1">
        <f t="array" ref="Q1070">_xlfn.IFS(Table1[[#This Row],[Wealthier_Winner]]=-1,"Wealthier Nation Loses",Table1[[#This Row],[Wealthier_Winner]]=0,"Tie",Table1[[#This Row],[Wealthier_Winner]]=1,"Wealthier Nation Wins")</f>
        <v>Tie</v>
      </c>
    </row>
    <row r="1071" spans="1:17" x14ac:dyDescent="0.2">
      <c r="A1071" s="1">
        <v>2139</v>
      </c>
      <c r="B1071" s="2">
        <v>32757</v>
      </c>
      <c r="C1071" s="7">
        <f>_xlfn.FLOOR.MATH(Table1[[#This Row],[year]],10)</f>
        <v>1980</v>
      </c>
      <c r="D1071" t="s">
        <v>23</v>
      </c>
      <c r="E1071" t="s">
        <v>38</v>
      </c>
      <c r="F1071">
        <v>3</v>
      </c>
      <c r="G1071">
        <v>0</v>
      </c>
      <c r="H1071" t="s">
        <v>224</v>
      </c>
      <c r="I1071" t="s">
        <v>235</v>
      </c>
      <c r="J1071" t="s">
        <v>23</v>
      </c>
      <c r="K1071" t="b">
        <v>0</v>
      </c>
      <c r="L1071">
        <v>1989</v>
      </c>
      <c r="M1071">
        <v>164221056511</v>
      </c>
      <c r="N1071">
        <v>60594092182</v>
      </c>
      <c r="O1071" t="b">
        <v>1</v>
      </c>
      <c r="P1071">
        <v>1</v>
      </c>
      <c r="Q1071" t="str" cm="1">
        <f t="array" ref="Q1071">_xlfn.IFS(Table1[[#This Row],[Wealthier_Winner]]=-1,"Wealthier Nation Loses",Table1[[#This Row],[Wealthier_Winner]]=0,"Tie",Table1[[#This Row],[Wealthier_Winner]]=1,"Wealthier Nation Wins")</f>
        <v>Wealthier Nation Wins</v>
      </c>
    </row>
    <row r="1072" spans="1:17" x14ac:dyDescent="0.2">
      <c r="A1072" s="1">
        <v>2143</v>
      </c>
      <c r="B1072" s="2">
        <v>32757</v>
      </c>
      <c r="C1072" s="7">
        <f>_xlfn.FLOOR.MATH(Table1[[#This Row],[year]],10)</f>
        <v>1980</v>
      </c>
      <c r="D1072" t="s">
        <v>25</v>
      </c>
      <c r="E1072" t="s">
        <v>194</v>
      </c>
      <c r="F1072">
        <v>0</v>
      </c>
      <c r="G1072">
        <v>0</v>
      </c>
      <c r="H1072" t="s">
        <v>224</v>
      </c>
      <c r="I1072" t="s">
        <v>233</v>
      </c>
      <c r="J1072" t="s">
        <v>25</v>
      </c>
      <c r="K1072" t="b">
        <v>0</v>
      </c>
      <c r="L1072">
        <v>1989</v>
      </c>
      <c r="M1072">
        <v>217632340194</v>
      </c>
      <c r="N1072">
        <v>926884816753</v>
      </c>
      <c r="O1072" t="b">
        <v>1</v>
      </c>
      <c r="P1072">
        <v>0</v>
      </c>
      <c r="Q1072" t="str" cm="1">
        <f t="array" ref="Q1072">_xlfn.IFS(Table1[[#This Row],[Wealthier_Winner]]=-1,"Wealthier Nation Loses",Table1[[#This Row],[Wealthier_Winner]]=0,"Tie",Table1[[#This Row],[Wealthier_Winner]]=1,"Wealthier Nation Wins")</f>
        <v>Tie</v>
      </c>
    </row>
    <row r="1073" spans="1:17" x14ac:dyDescent="0.2">
      <c r="A1073" s="1">
        <v>2145</v>
      </c>
      <c r="B1073" s="2">
        <v>32761</v>
      </c>
      <c r="C1073" s="7">
        <f>_xlfn.FLOOR.MATH(Table1[[#This Row],[year]],10)</f>
        <v>1980</v>
      </c>
      <c r="D1073" t="s">
        <v>35</v>
      </c>
      <c r="E1073" t="s">
        <v>57</v>
      </c>
      <c r="F1073">
        <v>2</v>
      </c>
      <c r="G1073">
        <v>1</v>
      </c>
      <c r="H1073" t="s">
        <v>224</v>
      </c>
      <c r="I1073" t="s">
        <v>250</v>
      </c>
      <c r="J1073" t="s">
        <v>35</v>
      </c>
      <c r="K1073" t="b">
        <v>0</v>
      </c>
      <c r="L1073">
        <v>1989</v>
      </c>
      <c r="M1073">
        <v>4757732199</v>
      </c>
      <c r="N1073">
        <v>13890823704</v>
      </c>
      <c r="O1073" t="b">
        <v>1</v>
      </c>
      <c r="P1073">
        <v>-1</v>
      </c>
      <c r="Q1073" t="str" cm="1">
        <f t="array" ref="Q1073">_xlfn.IFS(Table1[[#This Row],[Wealthier_Winner]]=-1,"Wealthier Nation Loses",Table1[[#This Row],[Wealthier_Winner]]=0,"Tie",Table1[[#This Row],[Wealthier_Winner]]=1,"Wealthier Nation Wins")</f>
        <v>Wealthier Nation Loses</v>
      </c>
    </row>
    <row r="1074" spans="1:17" x14ac:dyDescent="0.2">
      <c r="A1074" s="1">
        <v>2146</v>
      </c>
      <c r="B1074" s="2">
        <v>32761</v>
      </c>
      <c r="C1074" s="7">
        <f>_xlfn.FLOOR.MATH(Table1[[#This Row],[year]],10)</f>
        <v>1980</v>
      </c>
      <c r="D1074" t="s">
        <v>31</v>
      </c>
      <c r="E1074" t="s">
        <v>47</v>
      </c>
      <c r="F1074">
        <v>1</v>
      </c>
      <c r="G1074">
        <v>2</v>
      </c>
      <c r="H1074" t="s">
        <v>224</v>
      </c>
      <c r="I1074" t="s">
        <v>242</v>
      </c>
      <c r="J1074" t="s">
        <v>31</v>
      </c>
      <c r="K1074" t="b">
        <v>0</v>
      </c>
      <c r="L1074">
        <v>1989</v>
      </c>
      <c r="M1074">
        <v>22499558526</v>
      </c>
      <c r="N1074">
        <v>4715973437</v>
      </c>
      <c r="O1074" t="b">
        <v>1</v>
      </c>
      <c r="P1074">
        <v>-1</v>
      </c>
      <c r="Q1074" t="str" cm="1">
        <f t="array" ref="Q1074">_xlfn.IFS(Table1[[#This Row],[Wealthier_Winner]]=-1,"Wealthier Nation Loses",Table1[[#This Row],[Wealthier_Winner]]=0,"Tie",Table1[[#This Row],[Wealthier_Winner]]=1,"Wealthier Nation Wins")</f>
        <v>Wealthier Nation Loses</v>
      </c>
    </row>
    <row r="1075" spans="1:17" x14ac:dyDescent="0.2">
      <c r="A1075" s="1">
        <v>2147</v>
      </c>
      <c r="B1075" s="2">
        <v>32768</v>
      </c>
      <c r="C1075" s="7">
        <f>_xlfn.FLOOR.MATH(Table1[[#This Row],[year]],10)</f>
        <v>1980</v>
      </c>
      <c r="D1075" t="s">
        <v>15</v>
      </c>
      <c r="E1075" t="s">
        <v>35</v>
      </c>
      <c r="F1075">
        <v>2</v>
      </c>
      <c r="G1075">
        <v>1</v>
      </c>
      <c r="H1075" t="s">
        <v>224</v>
      </c>
      <c r="I1075" t="s">
        <v>261</v>
      </c>
      <c r="J1075" t="s">
        <v>15</v>
      </c>
      <c r="K1075" t="b">
        <v>0</v>
      </c>
      <c r="L1075">
        <v>1989</v>
      </c>
      <c r="M1075">
        <v>39540080200</v>
      </c>
      <c r="N1075">
        <v>4757732199</v>
      </c>
      <c r="O1075" t="b">
        <v>1</v>
      </c>
      <c r="P1075">
        <v>1</v>
      </c>
      <c r="Q1075" t="str" cm="1">
        <f t="array" ref="Q1075">_xlfn.IFS(Table1[[#This Row],[Wealthier_Winner]]=-1,"Wealthier Nation Loses",Table1[[#This Row],[Wealthier_Winner]]=0,"Tie",Table1[[#This Row],[Wealthier_Winner]]=1,"Wealthier Nation Wins")</f>
        <v>Wealthier Nation Wins</v>
      </c>
    </row>
    <row r="1076" spans="1:17" x14ac:dyDescent="0.2">
      <c r="A1076" s="1">
        <v>2148</v>
      </c>
      <c r="B1076" s="2">
        <v>32768</v>
      </c>
      <c r="C1076" s="7">
        <f>_xlfn.FLOOR.MATH(Table1[[#This Row],[year]],10)</f>
        <v>1980</v>
      </c>
      <c r="D1076" t="s">
        <v>26</v>
      </c>
      <c r="E1076" t="s">
        <v>47</v>
      </c>
      <c r="F1076">
        <v>2</v>
      </c>
      <c r="G1076">
        <v>0</v>
      </c>
      <c r="H1076" t="s">
        <v>224</v>
      </c>
      <c r="I1076" t="s">
        <v>247</v>
      </c>
      <c r="J1076" t="s">
        <v>26</v>
      </c>
      <c r="K1076" t="b">
        <v>0</v>
      </c>
      <c r="L1076">
        <v>1989</v>
      </c>
      <c r="M1076">
        <v>8438951476</v>
      </c>
      <c r="N1076">
        <v>4715973437</v>
      </c>
      <c r="O1076" t="b">
        <v>0</v>
      </c>
      <c r="P1076">
        <v>1</v>
      </c>
      <c r="Q1076" t="str" cm="1">
        <f t="array" ref="Q1076">_xlfn.IFS(Table1[[#This Row],[Wealthier_Winner]]=-1,"Wealthier Nation Loses",Table1[[#This Row],[Wealthier_Winner]]=0,"Tie",Table1[[#This Row],[Wealthier_Winner]]=1,"Wealthier Nation Wins")</f>
        <v>Wealthier Nation Wins</v>
      </c>
    </row>
    <row r="1077" spans="1:17" x14ac:dyDescent="0.2">
      <c r="A1077" s="1">
        <v>2150</v>
      </c>
      <c r="B1077" s="2">
        <v>32771</v>
      </c>
      <c r="C1077" s="7">
        <f>_xlfn.FLOOR.MATH(Table1[[#This Row],[year]],10)</f>
        <v>1980</v>
      </c>
      <c r="D1077" t="s">
        <v>46</v>
      </c>
      <c r="E1077" t="s">
        <v>38</v>
      </c>
      <c r="F1077">
        <v>1</v>
      </c>
      <c r="G1077">
        <v>2</v>
      </c>
      <c r="H1077" t="s">
        <v>224</v>
      </c>
      <c r="I1077" t="s">
        <v>440</v>
      </c>
      <c r="J1077" t="s">
        <v>46</v>
      </c>
      <c r="K1077" t="b">
        <v>0</v>
      </c>
      <c r="L1077">
        <v>1989</v>
      </c>
      <c r="M1077">
        <v>208105846934</v>
      </c>
      <c r="N1077">
        <v>60594092182</v>
      </c>
      <c r="O1077" t="b">
        <v>1</v>
      </c>
      <c r="P1077">
        <v>-1</v>
      </c>
      <c r="Q1077" t="str" cm="1">
        <f t="array" ref="Q1077">_xlfn.IFS(Table1[[#This Row],[Wealthier_Winner]]=-1,"Wealthier Nation Loses",Table1[[#This Row],[Wealthier_Winner]]=0,"Tie",Table1[[#This Row],[Wealthier_Winner]]=1,"Wealthier Nation Wins")</f>
        <v>Wealthier Nation Loses</v>
      </c>
    </row>
    <row r="1078" spans="1:17" x14ac:dyDescent="0.2">
      <c r="A1078" s="1">
        <v>2151</v>
      </c>
      <c r="B1078" s="2">
        <v>32775</v>
      </c>
      <c r="C1078" s="7">
        <f>_xlfn.FLOOR.MATH(Table1[[#This Row],[year]],10)</f>
        <v>1980</v>
      </c>
      <c r="D1078" t="s">
        <v>57</v>
      </c>
      <c r="E1078" t="s">
        <v>35</v>
      </c>
      <c r="F1078">
        <v>3</v>
      </c>
      <c r="G1078">
        <v>1</v>
      </c>
      <c r="H1078" t="s">
        <v>224</v>
      </c>
      <c r="I1078" t="s">
        <v>237</v>
      </c>
      <c r="J1078" t="s">
        <v>57</v>
      </c>
      <c r="K1078" t="b">
        <v>0</v>
      </c>
      <c r="L1078">
        <v>1989</v>
      </c>
      <c r="M1078">
        <v>13890823704</v>
      </c>
      <c r="N1078">
        <v>4757732199</v>
      </c>
      <c r="O1078" t="b">
        <v>1</v>
      </c>
      <c r="P1078">
        <v>1</v>
      </c>
      <c r="Q1078" t="str" cm="1">
        <f t="array" ref="Q1078">_xlfn.IFS(Table1[[#This Row],[Wealthier_Winner]]=-1,"Wealthier Nation Loses",Table1[[#This Row],[Wealthier_Winner]]=0,"Tie",Table1[[#This Row],[Wealthier_Winner]]=1,"Wealthier Nation Wins")</f>
        <v>Wealthier Nation Wins</v>
      </c>
    </row>
    <row r="1079" spans="1:17" x14ac:dyDescent="0.2">
      <c r="A1079" s="1">
        <v>2152</v>
      </c>
      <c r="B1079" s="2">
        <v>32775</v>
      </c>
      <c r="C1079" s="7">
        <f>_xlfn.FLOOR.MATH(Table1[[#This Row],[year]],10)</f>
        <v>1980</v>
      </c>
      <c r="D1079" t="s">
        <v>26</v>
      </c>
      <c r="E1079" t="s">
        <v>31</v>
      </c>
      <c r="F1079">
        <v>2</v>
      </c>
      <c r="G1079">
        <v>0</v>
      </c>
      <c r="H1079" t="s">
        <v>224</v>
      </c>
      <c r="I1079" t="s">
        <v>247</v>
      </c>
      <c r="J1079" t="s">
        <v>26</v>
      </c>
      <c r="K1079" t="b">
        <v>0</v>
      </c>
      <c r="L1079">
        <v>1989</v>
      </c>
      <c r="M1079">
        <v>8438951476</v>
      </c>
      <c r="N1079">
        <v>22499558526</v>
      </c>
      <c r="O1079" t="b">
        <v>1</v>
      </c>
      <c r="P1079">
        <v>-1</v>
      </c>
      <c r="Q1079" t="str" cm="1">
        <f t="array" ref="Q1079">_xlfn.IFS(Table1[[#This Row],[Wealthier_Winner]]=-1,"Wealthier Nation Loses",Table1[[#This Row],[Wealthier_Winner]]=0,"Tie",Table1[[#This Row],[Wealthier_Winner]]=1,"Wealthier Nation Wins")</f>
        <v>Wealthier Nation Loses</v>
      </c>
    </row>
    <row r="1080" spans="1:17" x14ac:dyDescent="0.2">
      <c r="A1080" s="1">
        <v>2153</v>
      </c>
      <c r="B1080" s="2">
        <v>32785</v>
      </c>
      <c r="C1080" s="7">
        <f>_xlfn.FLOOR.MATH(Table1[[#This Row],[year]],10)</f>
        <v>1980</v>
      </c>
      <c r="D1080" t="s">
        <v>16</v>
      </c>
      <c r="E1080" t="s">
        <v>230</v>
      </c>
      <c r="F1080">
        <v>6</v>
      </c>
      <c r="G1080">
        <v>1</v>
      </c>
      <c r="H1080" t="s">
        <v>224</v>
      </c>
      <c r="I1080" t="s">
        <v>91</v>
      </c>
      <c r="J1080" t="s">
        <v>16</v>
      </c>
      <c r="K1080" t="b">
        <v>0</v>
      </c>
      <c r="L1080">
        <v>1989</v>
      </c>
      <c r="M1080">
        <v>1404092925205</v>
      </c>
      <c r="N1080">
        <v>118991270611</v>
      </c>
      <c r="O1080" t="b">
        <v>1</v>
      </c>
      <c r="P1080">
        <v>1</v>
      </c>
      <c r="Q1080" t="str" cm="1">
        <f t="array" ref="Q1080">_xlfn.IFS(Table1[[#This Row],[Wealthier_Winner]]=-1,"Wealthier Nation Loses",Table1[[#This Row],[Wealthier_Winner]]=0,"Tie",Table1[[#This Row],[Wealthier_Winner]]=1,"Wealthier Nation Wins")</f>
        <v>Wealthier Nation Wins</v>
      </c>
    </row>
    <row r="1081" spans="1:17" x14ac:dyDescent="0.2">
      <c r="A1081" s="1">
        <v>2155</v>
      </c>
      <c r="B1081" s="2">
        <v>32789</v>
      </c>
      <c r="C1081" s="7">
        <f>_xlfn.FLOOR.MATH(Table1[[#This Row],[year]],10)</f>
        <v>1980</v>
      </c>
      <c r="D1081" t="s">
        <v>32</v>
      </c>
      <c r="E1081" t="s">
        <v>212</v>
      </c>
      <c r="F1081">
        <v>0</v>
      </c>
      <c r="G1081">
        <v>0</v>
      </c>
      <c r="H1081" t="s">
        <v>224</v>
      </c>
      <c r="I1081" t="s">
        <v>380</v>
      </c>
      <c r="J1081" t="s">
        <v>32</v>
      </c>
      <c r="K1081" t="b">
        <v>0</v>
      </c>
      <c r="L1081">
        <v>1989</v>
      </c>
      <c r="M1081">
        <v>55634721572</v>
      </c>
      <c r="N1081">
        <v>39756299049</v>
      </c>
      <c r="O1081" t="b">
        <v>0</v>
      </c>
      <c r="P1081">
        <v>0</v>
      </c>
      <c r="Q1081" t="str" cm="1">
        <f t="array" ref="Q1081">_xlfn.IFS(Table1[[#This Row],[Wealthier_Winner]]=-1,"Wealthier Nation Loses",Table1[[#This Row],[Wealthier_Winner]]=0,"Tie",Table1[[#This Row],[Wealthier_Winner]]=1,"Wealthier Nation Wins")</f>
        <v>Tie</v>
      </c>
    </row>
    <row r="1082" spans="1:17" x14ac:dyDescent="0.2">
      <c r="A1082" s="1">
        <v>2156</v>
      </c>
      <c r="B1082" s="2">
        <v>32789</v>
      </c>
      <c r="C1082" s="7">
        <f>_xlfn.FLOOR.MATH(Table1[[#This Row],[year]],10)</f>
        <v>1980</v>
      </c>
      <c r="D1082" t="s">
        <v>40</v>
      </c>
      <c r="E1082" t="s">
        <v>53</v>
      </c>
      <c r="F1082">
        <v>2</v>
      </c>
      <c r="G1082">
        <v>0</v>
      </c>
      <c r="H1082" t="s">
        <v>224</v>
      </c>
      <c r="I1082" t="s">
        <v>371</v>
      </c>
      <c r="J1082" t="s">
        <v>40</v>
      </c>
      <c r="K1082" t="b">
        <v>0</v>
      </c>
      <c r="L1082">
        <v>1989</v>
      </c>
      <c r="M1082">
        <v>11012566195</v>
      </c>
      <c r="N1082">
        <v>10101851744</v>
      </c>
      <c r="O1082" t="b">
        <v>0</v>
      </c>
      <c r="P1082">
        <v>1</v>
      </c>
      <c r="Q1082" t="str" cm="1">
        <f t="array" ref="Q1082">_xlfn.IFS(Table1[[#This Row],[Wealthier_Winner]]=-1,"Wealthier Nation Loses",Table1[[#This Row],[Wealthier_Winner]]=0,"Tie",Table1[[#This Row],[Wealthier_Winner]]=1,"Wealthier Nation Wins")</f>
        <v>Wealthier Nation Wins</v>
      </c>
    </row>
    <row r="1083" spans="1:17" x14ac:dyDescent="0.2">
      <c r="A1083" s="1">
        <v>2158</v>
      </c>
      <c r="B1083" s="2">
        <v>32789</v>
      </c>
      <c r="C1083" s="7">
        <f>_xlfn.FLOOR.MATH(Table1[[#This Row],[year]],10)</f>
        <v>1980</v>
      </c>
      <c r="D1083" t="s">
        <v>25</v>
      </c>
      <c r="E1083" t="s">
        <v>373</v>
      </c>
      <c r="F1083">
        <v>3</v>
      </c>
      <c r="G1083">
        <v>1</v>
      </c>
      <c r="H1083" t="s">
        <v>224</v>
      </c>
      <c r="I1083" t="s">
        <v>233</v>
      </c>
      <c r="J1083" t="s">
        <v>25</v>
      </c>
      <c r="K1083" t="b">
        <v>0</v>
      </c>
      <c r="L1083">
        <v>1989</v>
      </c>
      <c r="M1083">
        <v>217632340194</v>
      </c>
      <c r="N1083">
        <v>2253090000</v>
      </c>
      <c r="O1083" t="b">
        <v>1</v>
      </c>
      <c r="P1083">
        <v>1</v>
      </c>
      <c r="Q1083" t="str" cm="1">
        <f t="array" ref="Q1083">_xlfn.IFS(Table1[[#This Row],[Wealthier_Winner]]=-1,"Wealthier Nation Loses",Table1[[#This Row],[Wealthier_Winner]]=0,"Tie",Table1[[#This Row],[Wealthier_Winner]]=1,"Wealthier Nation Wins")</f>
        <v>Wealthier Nation Wins</v>
      </c>
    </row>
    <row r="1084" spans="1:17" x14ac:dyDescent="0.2">
      <c r="A1084" s="1">
        <v>2159</v>
      </c>
      <c r="B1084" s="2">
        <v>32792</v>
      </c>
      <c r="C1084" s="7">
        <f>_xlfn.FLOOR.MATH(Table1[[#This Row],[year]],10)</f>
        <v>1980</v>
      </c>
      <c r="D1084" t="s">
        <v>33</v>
      </c>
      <c r="E1084" t="s">
        <v>48</v>
      </c>
      <c r="F1084">
        <v>4</v>
      </c>
      <c r="G1084">
        <v>0</v>
      </c>
      <c r="H1084" t="s">
        <v>224</v>
      </c>
      <c r="I1084" t="s">
        <v>441</v>
      </c>
      <c r="J1084" t="s">
        <v>33</v>
      </c>
      <c r="K1084" t="b">
        <v>0</v>
      </c>
      <c r="L1084">
        <v>1989</v>
      </c>
      <c r="M1084">
        <v>21988444444</v>
      </c>
      <c r="N1084">
        <v>78067933277</v>
      </c>
      <c r="O1084" t="b">
        <v>1</v>
      </c>
      <c r="P1084">
        <v>-1</v>
      </c>
      <c r="Q1084" t="str" cm="1">
        <f t="array" ref="Q1084">_xlfn.IFS(Table1[[#This Row],[Wealthier_Winner]]=-1,"Wealthier Nation Loses",Table1[[#This Row],[Wealthier_Winner]]=0,"Tie",Table1[[#This Row],[Wealthier_Winner]]=1,"Wealthier Nation Wins")</f>
        <v>Wealthier Nation Loses</v>
      </c>
    </row>
    <row r="1085" spans="1:17" x14ac:dyDescent="0.2">
      <c r="A1085" s="1">
        <v>2160</v>
      </c>
      <c r="B1085" s="2">
        <v>32792</v>
      </c>
      <c r="C1085" s="7">
        <f>_xlfn.FLOOR.MATH(Table1[[#This Row],[year]],10)</f>
        <v>1980</v>
      </c>
      <c r="D1085" t="s">
        <v>36</v>
      </c>
      <c r="E1085" t="s">
        <v>44</v>
      </c>
      <c r="F1085">
        <v>3</v>
      </c>
      <c r="G1085">
        <v>0</v>
      </c>
      <c r="H1085" t="s">
        <v>224</v>
      </c>
      <c r="I1085" t="s">
        <v>264</v>
      </c>
      <c r="J1085" t="s">
        <v>36</v>
      </c>
      <c r="K1085" t="b">
        <v>0</v>
      </c>
      <c r="L1085">
        <v>1989</v>
      </c>
      <c r="M1085">
        <v>112312200760</v>
      </c>
      <c r="N1085">
        <v>41450777202</v>
      </c>
      <c r="O1085" t="b">
        <v>1</v>
      </c>
      <c r="P1085">
        <v>1</v>
      </c>
      <c r="Q1085" t="str" cm="1">
        <f t="array" ref="Q1085">_xlfn.IFS(Table1[[#This Row],[Wealthier_Winner]]=-1,"Wealthier Nation Loses",Table1[[#This Row],[Wealthier_Winner]]=0,"Tie",Table1[[#This Row],[Wealthier_Winner]]=1,"Wealthier Nation Wins")</f>
        <v>Wealthier Nation Wins</v>
      </c>
    </row>
    <row r="1086" spans="1:17" x14ac:dyDescent="0.2">
      <c r="A1086" s="1">
        <v>2162</v>
      </c>
      <c r="B1086" s="2">
        <v>32792</v>
      </c>
      <c r="C1086" s="7">
        <f>_xlfn.FLOOR.MATH(Table1[[#This Row],[year]],10)</f>
        <v>1980</v>
      </c>
      <c r="D1086" t="s">
        <v>30</v>
      </c>
      <c r="E1086" t="s">
        <v>21</v>
      </c>
      <c r="F1086">
        <v>2</v>
      </c>
      <c r="G1086">
        <v>2</v>
      </c>
      <c r="H1086" t="s">
        <v>224</v>
      </c>
      <c r="I1086" t="s">
        <v>297</v>
      </c>
      <c r="J1086" t="s">
        <v>30</v>
      </c>
      <c r="K1086" t="b">
        <v>0</v>
      </c>
      <c r="L1086">
        <v>1989</v>
      </c>
      <c r="M1086">
        <v>30422508937</v>
      </c>
      <c r="N1086">
        <v>414460794096</v>
      </c>
      <c r="O1086" t="b">
        <v>1</v>
      </c>
      <c r="P1086">
        <v>0</v>
      </c>
      <c r="Q1086" t="str" cm="1">
        <f t="array" ref="Q1086">_xlfn.IFS(Table1[[#This Row],[Wealthier_Winner]]=-1,"Wealthier Nation Loses",Table1[[#This Row],[Wealthier_Winner]]=0,"Tie",Table1[[#This Row],[Wealthier_Winner]]=1,"Wealthier Nation Wins")</f>
        <v>Tie</v>
      </c>
    </row>
    <row r="1087" spans="1:17" x14ac:dyDescent="0.2">
      <c r="A1087" s="1">
        <v>2164</v>
      </c>
      <c r="B1087" s="2">
        <v>32792</v>
      </c>
      <c r="C1087" s="7">
        <f>_xlfn.FLOOR.MATH(Table1[[#This Row],[year]],10)</f>
        <v>1980</v>
      </c>
      <c r="D1087" t="s">
        <v>232</v>
      </c>
      <c r="E1087" t="s">
        <v>38</v>
      </c>
      <c r="F1087">
        <v>0</v>
      </c>
      <c r="G1087">
        <v>3</v>
      </c>
      <c r="H1087" t="s">
        <v>224</v>
      </c>
      <c r="I1087" t="s">
        <v>408</v>
      </c>
      <c r="J1087" t="s">
        <v>16</v>
      </c>
      <c r="K1087" t="b">
        <v>1</v>
      </c>
      <c r="L1087">
        <v>1989</v>
      </c>
      <c r="M1087">
        <v>10037674037</v>
      </c>
      <c r="N1087">
        <v>60594092182</v>
      </c>
      <c r="O1087" t="b">
        <v>1</v>
      </c>
      <c r="P1087">
        <v>1</v>
      </c>
      <c r="Q1087" t="str" cm="1">
        <f t="array" ref="Q1087">_xlfn.IFS(Table1[[#This Row],[Wealthier_Winner]]=-1,"Wealthier Nation Loses",Table1[[#This Row],[Wealthier_Winner]]=0,"Tie",Table1[[#This Row],[Wealthier_Winner]]=1,"Wealthier Nation Wins")</f>
        <v>Wealthier Nation Wins</v>
      </c>
    </row>
    <row r="1088" spans="1:17" x14ac:dyDescent="0.2">
      <c r="A1088" s="1">
        <v>2166</v>
      </c>
      <c r="B1088" s="2">
        <v>32792</v>
      </c>
      <c r="C1088" s="7">
        <f>_xlfn.FLOOR.MATH(Table1[[#This Row],[year]],10)</f>
        <v>1980</v>
      </c>
      <c r="D1088" t="s">
        <v>46</v>
      </c>
      <c r="E1088" t="s">
        <v>23</v>
      </c>
      <c r="F1088">
        <v>2</v>
      </c>
      <c r="G1088">
        <v>2</v>
      </c>
      <c r="H1088" t="s">
        <v>224</v>
      </c>
      <c r="I1088" t="s">
        <v>269</v>
      </c>
      <c r="J1088" t="s">
        <v>46</v>
      </c>
      <c r="K1088" t="b">
        <v>0</v>
      </c>
      <c r="L1088">
        <v>1989</v>
      </c>
      <c r="M1088">
        <v>208105846934</v>
      </c>
      <c r="N1088">
        <v>164221056511</v>
      </c>
      <c r="O1088" t="b">
        <v>0</v>
      </c>
      <c r="P1088">
        <v>0</v>
      </c>
      <c r="Q1088" t="str" cm="1">
        <f t="array" ref="Q1088">_xlfn.IFS(Table1[[#This Row],[Wealthier_Winner]]=-1,"Wealthier Nation Loses",Table1[[#This Row],[Wealthier_Winner]]=0,"Tie",Table1[[#This Row],[Wealthier_Winner]]=1,"Wealthier Nation Wins")</f>
        <v>Tie</v>
      </c>
    </row>
    <row r="1089" spans="1:17" x14ac:dyDescent="0.2">
      <c r="A1089" s="1">
        <v>2171</v>
      </c>
      <c r="B1089" s="2">
        <v>32794</v>
      </c>
      <c r="C1089" s="7">
        <f>_xlfn.FLOOR.MATH(Table1[[#This Row],[year]],10)</f>
        <v>1980</v>
      </c>
      <c r="D1089" t="s">
        <v>195</v>
      </c>
      <c r="E1089" t="s">
        <v>68</v>
      </c>
      <c r="F1089">
        <v>0</v>
      </c>
      <c r="G1089">
        <v>0</v>
      </c>
      <c r="H1089" t="s">
        <v>224</v>
      </c>
      <c r="I1089" t="s">
        <v>359</v>
      </c>
      <c r="J1089" t="s">
        <v>359</v>
      </c>
      <c r="K1089" t="b">
        <v>1</v>
      </c>
      <c r="L1089">
        <v>1989</v>
      </c>
      <c r="M1089">
        <v>254236243100</v>
      </c>
      <c r="N1089">
        <v>6487912087</v>
      </c>
      <c r="O1089" t="b">
        <v>1</v>
      </c>
      <c r="P1089">
        <v>0</v>
      </c>
      <c r="Q1089" t="str" cm="1">
        <f t="array" ref="Q1089">_xlfn.IFS(Table1[[#This Row],[Wealthier_Winner]]=-1,"Wealthier Nation Loses",Table1[[#This Row],[Wealthier_Winner]]=0,"Tie",Table1[[#This Row],[Wealthier_Winner]]=1,"Wealthier Nation Wins")</f>
        <v>Tie</v>
      </c>
    </row>
    <row r="1090" spans="1:17" x14ac:dyDescent="0.2">
      <c r="A1090" s="1">
        <v>2172</v>
      </c>
      <c r="B1090" s="2">
        <v>32796</v>
      </c>
      <c r="C1090" s="7">
        <f>_xlfn.FLOOR.MATH(Table1[[#This Row],[year]],10)</f>
        <v>1980</v>
      </c>
      <c r="D1090" t="s">
        <v>15</v>
      </c>
      <c r="E1090" t="s">
        <v>22</v>
      </c>
      <c r="F1090">
        <v>1</v>
      </c>
      <c r="G1090">
        <v>0</v>
      </c>
      <c r="H1090" t="s">
        <v>224</v>
      </c>
      <c r="I1090" t="s">
        <v>261</v>
      </c>
      <c r="J1090" t="s">
        <v>15</v>
      </c>
      <c r="K1090" t="b">
        <v>0</v>
      </c>
      <c r="L1090">
        <v>1989</v>
      </c>
      <c r="M1090">
        <v>39540080200</v>
      </c>
      <c r="N1090">
        <v>52443479454</v>
      </c>
      <c r="O1090" t="b">
        <v>0</v>
      </c>
      <c r="P1090">
        <v>-1</v>
      </c>
      <c r="Q1090" t="str" cm="1">
        <f t="array" ref="Q1090">_xlfn.IFS(Table1[[#This Row],[Wealthier_Winner]]=-1,"Wealthier Nation Loses",Table1[[#This Row],[Wealthier_Winner]]=0,"Tie",Table1[[#This Row],[Wealthier_Winner]]=1,"Wealthier Nation Wins")</f>
        <v>Wealthier Nation Loses</v>
      </c>
    </row>
    <row r="1091" spans="1:17" x14ac:dyDescent="0.2">
      <c r="A1091" s="1">
        <v>2174</v>
      </c>
      <c r="B1091" s="2">
        <v>32797</v>
      </c>
      <c r="C1091" s="7">
        <f>_xlfn.FLOOR.MATH(Table1[[#This Row],[year]],10)</f>
        <v>1980</v>
      </c>
      <c r="D1091" t="s">
        <v>68</v>
      </c>
      <c r="E1091" t="s">
        <v>45</v>
      </c>
      <c r="F1091">
        <v>1</v>
      </c>
      <c r="G1091">
        <v>1</v>
      </c>
      <c r="H1091" t="s">
        <v>224</v>
      </c>
      <c r="I1091" t="s">
        <v>359</v>
      </c>
      <c r="J1091" t="s">
        <v>359</v>
      </c>
      <c r="K1091" t="b">
        <v>1</v>
      </c>
      <c r="L1091">
        <v>1989</v>
      </c>
      <c r="M1091">
        <v>6487912087</v>
      </c>
      <c r="N1091">
        <v>95344459279</v>
      </c>
      <c r="O1091" t="b">
        <v>1</v>
      </c>
      <c r="P1091">
        <v>0</v>
      </c>
      <c r="Q1091" t="str" cm="1">
        <f t="array" ref="Q1091">_xlfn.IFS(Table1[[#This Row],[Wealthier_Winner]]=-1,"Wealthier Nation Loses",Table1[[#This Row],[Wealthier_Winner]]=0,"Tie",Table1[[#This Row],[Wealthier_Winner]]=1,"Wealthier Nation Wins")</f>
        <v>Tie</v>
      </c>
    </row>
    <row r="1092" spans="1:17" x14ac:dyDescent="0.2">
      <c r="A1092" s="1">
        <v>2178</v>
      </c>
      <c r="B1092" s="2">
        <v>32802</v>
      </c>
      <c r="C1092" s="7">
        <f>_xlfn.FLOOR.MATH(Table1[[#This Row],[year]],10)</f>
        <v>1980</v>
      </c>
      <c r="D1092" t="s">
        <v>45</v>
      </c>
      <c r="E1092" t="s">
        <v>39</v>
      </c>
      <c r="F1092">
        <v>0</v>
      </c>
      <c r="G1092">
        <v>0</v>
      </c>
      <c r="H1092" t="s">
        <v>224</v>
      </c>
      <c r="I1092" t="s">
        <v>359</v>
      </c>
      <c r="J1092" t="s">
        <v>359</v>
      </c>
      <c r="K1092" t="b">
        <v>1</v>
      </c>
      <c r="L1092">
        <v>1989</v>
      </c>
      <c r="M1092">
        <v>95344459279</v>
      </c>
      <c r="N1092">
        <v>41464995913</v>
      </c>
      <c r="O1092" t="b">
        <v>1</v>
      </c>
      <c r="P1092">
        <v>0</v>
      </c>
      <c r="Q1092" t="str" cm="1">
        <f t="array" ref="Q1092">_xlfn.IFS(Table1[[#This Row],[Wealthier_Winner]]=-1,"Wealthier Nation Loses",Table1[[#This Row],[Wealthier_Winner]]=0,"Tie",Table1[[#This Row],[Wealthier_Winner]]=1,"Wealthier Nation Wins")</f>
        <v>Tie</v>
      </c>
    </row>
    <row r="1093" spans="1:17" x14ac:dyDescent="0.2">
      <c r="A1093" s="1">
        <v>2180</v>
      </c>
      <c r="B1093" s="2">
        <v>32805</v>
      </c>
      <c r="C1093" s="7">
        <f>_xlfn.FLOOR.MATH(Table1[[#This Row],[year]],10)</f>
        <v>1980</v>
      </c>
      <c r="D1093" t="s">
        <v>39</v>
      </c>
      <c r="E1093" t="s">
        <v>68</v>
      </c>
      <c r="F1093">
        <v>1</v>
      </c>
      <c r="G1093">
        <v>1</v>
      </c>
      <c r="H1093" t="s">
        <v>224</v>
      </c>
      <c r="I1093" t="s">
        <v>359</v>
      </c>
      <c r="J1093" t="s">
        <v>359</v>
      </c>
      <c r="K1093" t="b">
        <v>1</v>
      </c>
      <c r="L1093">
        <v>1989</v>
      </c>
      <c r="M1093">
        <v>41464995913</v>
      </c>
      <c r="N1093">
        <v>6487912087</v>
      </c>
      <c r="O1093" t="b">
        <v>1</v>
      </c>
      <c r="P1093">
        <v>0</v>
      </c>
      <c r="Q1093" t="str" cm="1">
        <f t="array" ref="Q1093">_xlfn.IFS(Table1[[#This Row],[Wealthier_Winner]]=-1,"Wealthier Nation Loses",Table1[[#This Row],[Wealthier_Winner]]=0,"Tie",Table1[[#This Row],[Wealthier_Winner]]=1,"Wealthier Nation Wins")</f>
        <v>Tie</v>
      </c>
    </row>
    <row r="1094" spans="1:17" x14ac:dyDescent="0.2">
      <c r="A1094" s="1">
        <v>2181</v>
      </c>
      <c r="B1094" s="2">
        <v>32806</v>
      </c>
      <c r="C1094" s="7">
        <f>_xlfn.FLOOR.MATH(Table1[[#This Row],[year]],10)</f>
        <v>1980</v>
      </c>
      <c r="D1094" t="s">
        <v>23</v>
      </c>
      <c r="E1094" t="s">
        <v>232</v>
      </c>
      <c r="F1094">
        <v>1</v>
      </c>
      <c r="G1094">
        <v>1</v>
      </c>
      <c r="H1094" t="s">
        <v>224</v>
      </c>
      <c r="I1094" t="s">
        <v>235</v>
      </c>
      <c r="J1094" t="s">
        <v>23</v>
      </c>
      <c r="K1094" t="b">
        <v>0</v>
      </c>
      <c r="L1094">
        <v>1989</v>
      </c>
      <c r="M1094">
        <v>164221056511</v>
      </c>
      <c r="N1094">
        <v>10037674037</v>
      </c>
      <c r="O1094" t="b">
        <v>1</v>
      </c>
      <c r="P1094">
        <v>0</v>
      </c>
      <c r="Q1094" t="str" cm="1">
        <f t="array" ref="Q1094">_xlfn.IFS(Table1[[#This Row],[Wealthier_Winner]]=-1,"Wealthier Nation Loses",Table1[[#This Row],[Wealthier_Winner]]=0,"Tie",Table1[[#This Row],[Wealthier_Winner]]=1,"Wealthier Nation Wins")</f>
        <v>Tie</v>
      </c>
    </row>
    <row r="1095" spans="1:17" x14ac:dyDescent="0.2">
      <c r="A1095" s="1">
        <v>2184</v>
      </c>
      <c r="B1095" s="2">
        <v>32806</v>
      </c>
      <c r="C1095" s="7">
        <f>_xlfn.FLOOR.MATH(Table1[[#This Row],[year]],10)</f>
        <v>1980</v>
      </c>
      <c r="D1095" t="s">
        <v>45</v>
      </c>
      <c r="E1095" t="s">
        <v>195</v>
      </c>
      <c r="F1095">
        <v>0</v>
      </c>
      <c r="G1095">
        <v>2</v>
      </c>
      <c r="H1095" t="s">
        <v>224</v>
      </c>
      <c r="I1095" t="s">
        <v>359</v>
      </c>
      <c r="J1095" t="s">
        <v>359</v>
      </c>
      <c r="K1095" t="b">
        <v>1</v>
      </c>
      <c r="L1095">
        <v>1989</v>
      </c>
      <c r="M1095">
        <v>95344459279</v>
      </c>
      <c r="N1095">
        <v>254236243100</v>
      </c>
      <c r="O1095" t="b">
        <v>1</v>
      </c>
      <c r="P1095">
        <v>1</v>
      </c>
      <c r="Q1095" t="str" cm="1">
        <f t="array" ref="Q1095">_xlfn.IFS(Table1[[#This Row],[Wealthier_Winner]]=-1,"Wealthier Nation Loses",Table1[[#This Row],[Wealthier_Winner]]=0,"Tie",Table1[[#This Row],[Wealthier_Winner]]=1,"Wealthier Nation Wins")</f>
        <v>Wealthier Nation Wins</v>
      </c>
    </row>
    <row r="1096" spans="1:17" x14ac:dyDescent="0.2">
      <c r="A1096" s="1">
        <v>2189</v>
      </c>
      <c r="B1096" s="2">
        <v>32809</v>
      </c>
      <c r="C1096" s="7">
        <f>_xlfn.FLOOR.MATH(Table1[[#This Row],[year]],10)</f>
        <v>1980</v>
      </c>
      <c r="D1096" t="s">
        <v>39</v>
      </c>
      <c r="E1096" t="s">
        <v>195</v>
      </c>
      <c r="F1096">
        <v>1</v>
      </c>
      <c r="G1096">
        <v>1</v>
      </c>
      <c r="H1096" t="s">
        <v>224</v>
      </c>
      <c r="I1096" t="s">
        <v>402</v>
      </c>
      <c r="J1096" t="s">
        <v>333</v>
      </c>
      <c r="K1096" t="b">
        <v>1</v>
      </c>
      <c r="L1096">
        <v>1989</v>
      </c>
      <c r="M1096">
        <v>41464995913</v>
      </c>
      <c r="N1096">
        <v>254236243100</v>
      </c>
      <c r="O1096" t="b">
        <v>1</v>
      </c>
      <c r="P1096">
        <v>0</v>
      </c>
      <c r="Q1096" t="str" cm="1">
        <f t="array" ref="Q1096">_xlfn.IFS(Table1[[#This Row],[Wealthier_Winner]]=-1,"Wealthier Nation Loses",Table1[[#This Row],[Wealthier_Winner]]=0,"Tie",Table1[[#This Row],[Wealthier_Winner]]=1,"Wealthier Nation Wins")</f>
        <v>Tie</v>
      </c>
    </row>
    <row r="1097" spans="1:17" x14ac:dyDescent="0.2">
      <c r="A1097" s="1">
        <v>2190</v>
      </c>
      <c r="B1097" s="2">
        <v>32811</v>
      </c>
      <c r="C1097" s="7">
        <f>_xlfn.FLOOR.MATH(Table1[[#This Row],[year]],10)</f>
        <v>1980</v>
      </c>
      <c r="D1097" t="s">
        <v>22</v>
      </c>
      <c r="E1097" t="s">
        <v>15</v>
      </c>
      <c r="F1097">
        <v>0</v>
      </c>
      <c r="G1097">
        <v>0</v>
      </c>
      <c r="H1097" t="s">
        <v>224</v>
      </c>
      <c r="I1097" t="s">
        <v>239</v>
      </c>
      <c r="J1097" t="s">
        <v>22</v>
      </c>
      <c r="K1097" t="b">
        <v>0</v>
      </c>
      <c r="L1097">
        <v>1989</v>
      </c>
      <c r="M1097">
        <v>52443479454</v>
      </c>
      <c r="N1097">
        <v>39540080200</v>
      </c>
      <c r="O1097" t="b">
        <v>0</v>
      </c>
      <c r="P1097">
        <v>0</v>
      </c>
      <c r="Q1097" t="str" cm="1">
        <f t="array" ref="Q1097">_xlfn.IFS(Table1[[#This Row],[Wealthier_Winner]]=-1,"Wealthier Nation Loses",Table1[[#This Row],[Wealthier_Winner]]=0,"Tie",Table1[[#This Row],[Wealthier_Winner]]=1,"Wealthier Nation Wins")</f>
        <v>Tie</v>
      </c>
    </row>
    <row r="1098" spans="1:17" x14ac:dyDescent="0.2">
      <c r="A1098" s="1">
        <v>2194</v>
      </c>
      <c r="B1098" s="2">
        <v>32827</v>
      </c>
      <c r="C1098" s="7">
        <f>_xlfn.FLOOR.MATH(Table1[[#This Row],[year]],10)</f>
        <v>1980</v>
      </c>
      <c r="D1098" t="s">
        <v>48</v>
      </c>
      <c r="E1098" t="s">
        <v>33</v>
      </c>
      <c r="F1098">
        <v>1</v>
      </c>
      <c r="G1098">
        <v>0</v>
      </c>
      <c r="H1098" t="s">
        <v>224</v>
      </c>
      <c r="I1098" t="s">
        <v>236</v>
      </c>
      <c r="J1098" t="s">
        <v>48</v>
      </c>
      <c r="K1098" t="b">
        <v>0</v>
      </c>
      <c r="L1098">
        <v>1989</v>
      </c>
      <c r="M1098">
        <v>78067933277</v>
      </c>
      <c r="N1098">
        <v>21988444444</v>
      </c>
      <c r="O1098" t="b">
        <v>1</v>
      </c>
      <c r="P1098">
        <v>1</v>
      </c>
      <c r="Q1098" t="str" cm="1">
        <f t="array" ref="Q1098">_xlfn.IFS(Table1[[#This Row],[Wealthier_Winner]]=-1,"Wealthier Nation Loses",Table1[[#This Row],[Wealthier_Winner]]=0,"Tie",Table1[[#This Row],[Wealthier_Winner]]=1,"Wealthier Nation Wins")</f>
        <v>Wealthier Nation Wins</v>
      </c>
    </row>
    <row r="1099" spans="1:17" x14ac:dyDescent="0.2">
      <c r="A1099" s="1">
        <v>2196</v>
      </c>
      <c r="B1099" s="2">
        <v>32827</v>
      </c>
      <c r="C1099" s="7">
        <f>_xlfn.FLOOR.MATH(Table1[[#This Row],[year]],10)</f>
        <v>1980</v>
      </c>
      <c r="D1099" t="s">
        <v>27</v>
      </c>
      <c r="E1099" t="s">
        <v>230</v>
      </c>
      <c r="F1099">
        <v>3</v>
      </c>
      <c r="G1099">
        <v>0</v>
      </c>
      <c r="H1099" t="s">
        <v>224</v>
      </c>
      <c r="I1099" t="s">
        <v>265</v>
      </c>
      <c r="J1099" t="s">
        <v>27</v>
      </c>
      <c r="K1099" t="b">
        <v>0</v>
      </c>
      <c r="L1099">
        <v>1989</v>
      </c>
      <c r="M1099">
        <v>258716904291</v>
      </c>
      <c r="N1099">
        <v>118991270611</v>
      </c>
      <c r="O1099" t="b">
        <v>1</v>
      </c>
      <c r="P1099">
        <v>1</v>
      </c>
      <c r="Q1099" t="str" cm="1">
        <f t="array" ref="Q1099">_xlfn.IFS(Table1[[#This Row],[Wealthier_Winner]]=-1,"Wealthier Nation Loses",Table1[[#This Row],[Wealthier_Winner]]=0,"Tie",Table1[[#This Row],[Wealthier_Winner]]=1,"Wealthier Nation Wins")</f>
        <v>Wealthier Nation Wins</v>
      </c>
    </row>
    <row r="1100" spans="1:17" x14ac:dyDescent="0.2">
      <c r="A1100" s="1">
        <v>2198</v>
      </c>
      <c r="B1100" s="2">
        <v>32827</v>
      </c>
      <c r="C1100" s="7">
        <f>_xlfn.FLOOR.MATH(Table1[[#This Row],[year]],10)</f>
        <v>1980</v>
      </c>
      <c r="D1100" t="s">
        <v>44</v>
      </c>
      <c r="E1100" t="s">
        <v>36</v>
      </c>
      <c r="F1100">
        <v>3</v>
      </c>
      <c r="G1100">
        <v>1</v>
      </c>
      <c r="H1100" t="s">
        <v>224</v>
      </c>
      <c r="I1100" t="s">
        <v>425</v>
      </c>
      <c r="J1100" t="s">
        <v>44</v>
      </c>
      <c r="K1100" t="b">
        <v>0</v>
      </c>
      <c r="L1100">
        <v>1989</v>
      </c>
      <c r="M1100">
        <v>41450777202</v>
      </c>
      <c r="N1100">
        <v>112312200760</v>
      </c>
      <c r="O1100" t="b">
        <v>1</v>
      </c>
      <c r="P1100">
        <v>-1</v>
      </c>
      <c r="Q1100" t="str" cm="1">
        <f t="array" ref="Q1100">_xlfn.IFS(Table1[[#This Row],[Wealthier_Winner]]=-1,"Wealthier Nation Loses",Table1[[#This Row],[Wealthier_Winner]]=0,"Tie",Table1[[#This Row],[Wealthier_Winner]]=1,"Wealthier Nation Wins")</f>
        <v>Wealthier Nation Loses</v>
      </c>
    </row>
    <row r="1101" spans="1:17" x14ac:dyDescent="0.2">
      <c r="A1101" s="1">
        <v>2201</v>
      </c>
      <c r="B1101" s="2">
        <v>32827</v>
      </c>
      <c r="C1101" s="7">
        <f>_xlfn.FLOOR.MATH(Table1[[#This Row],[year]],10)</f>
        <v>1980</v>
      </c>
      <c r="D1101" t="s">
        <v>21</v>
      </c>
      <c r="E1101" t="s">
        <v>30</v>
      </c>
      <c r="F1101">
        <v>4</v>
      </c>
      <c r="G1101">
        <v>0</v>
      </c>
      <c r="H1101" t="s">
        <v>224</v>
      </c>
      <c r="I1101" t="s">
        <v>104</v>
      </c>
      <c r="J1101" t="s">
        <v>21</v>
      </c>
      <c r="K1101" t="b">
        <v>0</v>
      </c>
      <c r="L1101">
        <v>1989</v>
      </c>
      <c r="M1101">
        <v>414460794096</v>
      </c>
      <c r="N1101">
        <v>30422508937</v>
      </c>
      <c r="O1101" t="b">
        <v>1</v>
      </c>
      <c r="P1101">
        <v>1</v>
      </c>
      <c r="Q1101" t="str" cm="1">
        <f t="array" ref="Q1101">_xlfn.IFS(Table1[[#This Row],[Wealthier_Winner]]=-1,"Wealthier Nation Loses",Table1[[#This Row],[Wealthier_Winner]]=0,"Tie",Table1[[#This Row],[Wealthier_Winner]]=1,"Wealthier Nation Wins")</f>
        <v>Wealthier Nation Wins</v>
      </c>
    </row>
    <row r="1102" spans="1:17" x14ac:dyDescent="0.2">
      <c r="A1102" s="1">
        <v>2202</v>
      </c>
      <c r="B1102" s="2">
        <v>32827</v>
      </c>
      <c r="C1102" s="7">
        <f>_xlfn.FLOOR.MATH(Table1[[#This Row],[year]],10)</f>
        <v>1980</v>
      </c>
      <c r="D1102" t="s">
        <v>46</v>
      </c>
      <c r="E1102" t="s">
        <v>232</v>
      </c>
      <c r="F1102">
        <v>2</v>
      </c>
      <c r="G1102">
        <v>1</v>
      </c>
      <c r="H1102" t="s">
        <v>224</v>
      </c>
      <c r="I1102" t="s">
        <v>442</v>
      </c>
      <c r="J1102" t="s">
        <v>46</v>
      </c>
      <c r="K1102" t="b">
        <v>0</v>
      </c>
      <c r="L1102">
        <v>1989</v>
      </c>
      <c r="M1102">
        <v>208105846934</v>
      </c>
      <c r="N1102">
        <v>10037674037</v>
      </c>
      <c r="O1102" t="b">
        <v>1</v>
      </c>
      <c r="P1102">
        <v>1</v>
      </c>
      <c r="Q1102" t="str" cm="1">
        <f t="array" ref="Q1102">_xlfn.IFS(Table1[[#This Row],[Wealthier_Winner]]=-1,"Wealthier Nation Loses",Table1[[#This Row],[Wealthier_Winner]]=0,"Tie",Table1[[#This Row],[Wealthier_Winner]]=1,"Wealthier Nation Wins")</f>
        <v>Wealthier Nation Wins</v>
      </c>
    </row>
    <row r="1103" spans="1:17" x14ac:dyDescent="0.2">
      <c r="A1103" s="1">
        <v>2203</v>
      </c>
      <c r="B1103" s="2">
        <v>32829</v>
      </c>
      <c r="C1103" s="7">
        <f>_xlfn.FLOOR.MATH(Table1[[#This Row],[year]],10)</f>
        <v>1980</v>
      </c>
      <c r="D1103" t="s">
        <v>212</v>
      </c>
      <c r="E1103" t="s">
        <v>32</v>
      </c>
      <c r="F1103">
        <v>1</v>
      </c>
      <c r="G1103">
        <v>0</v>
      </c>
      <c r="H1103" t="s">
        <v>224</v>
      </c>
      <c r="I1103" t="s">
        <v>322</v>
      </c>
      <c r="J1103" t="s">
        <v>212</v>
      </c>
      <c r="K1103" t="b">
        <v>0</v>
      </c>
      <c r="L1103">
        <v>1989</v>
      </c>
      <c r="M1103">
        <v>39756299049</v>
      </c>
      <c r="N1103">
        <v>55634721572</v>
      </c>
      <c r="O1103" t="b">
        <v>0</v>
      </c>
      <c r="P1103">
        <v>-1</v>
      </c>
      <c r="Q1103" t="str" cm="1">
        <f t="array" ref="Q1103">_xlfn.IFS(Table1[[#This Row],[Wealthier_Winner]]=-1,"Wealthier Nation Loses",Table1[[#This Row],[Wealthier_Winner]]=0,"Tie",Table1[[#This Row],[Wealthier_Winner]]=1,"Wealthier Nation Wins")</f>
        <v>Wealthier Nation Loses</v>
      </c>
    </row>
    <row r="1104" spans="1:17" x14ac:dyDescent="0.2">
      <c r="A1104" s="1">
        <v>2204</v>
      </c>
      <c r="B1104" s="2">
        <v>32830</v>
      </c>
      <c r="C1104" s="7">
        <f>_xlfn.FLOOR.MATH(Table1[[#This Row],[year]],10)</f>
        <v>1980</v>
      </c>
      <c r="D1104" t="s">
        <v>20</v>
      </c>
      <c r="E1104" t="s">
        <v>351</v>
      </c>
      <c r="F1104">
        <v>2</v>
      </c>
      <c r="G1104">
        <v>0</v>
      </c>
      <c r="H1104" t="s">
        <v>224</v>
      </c>
      <c r="I1104" t="s">
        <v>128</v>
      </c>
      <c r="J1104" t="s">
        <v>20</v>
      </c>
      <c r="K1104" t="b">
        <v>0</v>
      </c>
      <c r="L1104">
        <v>1989</v>
      </c>
      <c r="M1104">
        <v>1016742237302</v>
      </c>
      <c r="N1104">
        <v>4563482603</v>
      </c>
      <c r="O1104" t="b">
        <v>1</v>
      </c>
      <c r="P1104">
        <v>1</v>
      </c>
      <c r="Q1104" t="str" cm="1">
        <f t="array" ref="Q1104">_xlfn.IFS(Table1[[#This Row],[Wealthier_Winner]]=-1,"Wealthier Nation Loses",Table1[[#This Row],[Wealthier_Winner]]=0,"Tie",Table1[[#This Row],[Wealthier_Winner]]=1,"Wealthier Nation Wins")</f>
        <v>Wealthier Nation Wins</v>
      </c>
    </row>
    <row r="1105" spans="1:17" x14ac:dyDescent="0.2">
      <c r="A1105" s="1">
        <v>2205</v>
      </c>
      <c r="B1105" s="2">
        <v>32831</v>
      </c>
      <c r="C1105" s="7">
        <f>_xlfn.FLOOR.MATH(Table1[[#This Row],[year]],10)</f>
        <v>1980</v>
      </c>
      <c r="D1105" t="s">
        <v>53</v>
      </c>
      <c r="E1105" t="s">
        <v>40</v>
      </c>
      <c r="F1105">
        <v>0</v>
      </c>
      <c r="G1105">
        <v>1</v>
      </c>
      <c r="H1105" t="s">
        <v>224</v>
      </c>
      <c r="I1105" t="s">
        <v>284</v>
      </c>
      <c r="J1105" t="s">
        <v>53</v>
      </c>
      <c r="K1105" t="b">
        <v>0</v>
      </c>
      <c r="L1105">
        <v>1989</v>
      </c>
      <c r="M1105">
        <v>10101851744</v>
      </c>
      <c r="N1105">
        <v>11012566195</v>
      </c>
      <c r="O1105" t="b">
        <v>0</v>
      </c>
      <c r="P1105">
        <v>1</v>
      </c>
      <c r="Q1105" t="str" cm="1">
        <f t="array" ref="Q1105">_xlfn.IFS(Table1[[#This Row],[Wealthier_Winner]]=-1,"Wealthier Nation Loses",Table1[[#This Row],[Wealthier_Winner]]=0,"Tie",Table1[[#This Row],[Wealthier_Winner]]=1,"Wealthier Nation Wins")</f>
        <v>Wealthier Nation Wins</v>
      </c>
    </row>
    <row r="1106" spans="1:17" x14ac:dyDescent="0.2">
      <c r="A1106" s="1">
        <v>2206</v>
      </c>
      <c r="B1106" s="2">
        <v>33032</v>
      </c>
      <c r="C1106" s="7">
        <f>_xlfn.FLOOR.MATH(Table1[[#This Row],[year]],10)</f>
        <v>1990</v>
      </c>
      <c r="D1106" t="s">
        <v>19</v>
      </c>
      <c r="E1106" t="s">
        <v>40</v>
      </c>
      <c r="F1106">
        <v>0</v>
      </c>
      <c r="G1106">
        <v>1</v>
      </c>
      <c r="H1106" t="s">
        <v>74</v>
      </c>
      <c r="I1106" t="s">
        <v>108</v>
      </c>
      <c r="J1106" t="s">
        <v>18</v>
      </c>
      <c r="K1106" t="b">
        <v>1</v>
      </c>
      <c r="L1106">
        <v>1990</v>
      </c>
      <c r="M1106">
        <v>141352654305</v>
      </c>
      <c r="N1106">
        <v>12314482627</v>
      </c>
      <c r="O1106" t="b">
        <v>1</v>
      </c>
      <c r="P1106">
        <v>-1</v>
      </c>
      <c r="Q1106" t="str" cm="1">
        <f t="array" ref="Q1106">_xlfn.IFS(Table1[[#This Row],[Wealthier_Winner]]=-1,"Wealthier Nation Loses",Table1[[#This Row],[Wealthier_Winner]]=0,"Tie",Table1[[#This Row],[Wealthier_Winner]]=1,"Wealthier Nation Wins")</f>
        <v>Wealthier Nation Loses</v>
      </c>
    </row>
    <row r="1107" spans="1:17" x14ac:dyDescent="0.2">
      <c r="A1107" s="1">
        <v>2207</v>
      </c>
      <c r="B1107" s="2">
        <v>33033</v>
      </c>
      <c r="C1107" s="7">
        <f>_xlfn.FLOOR.MATH(Table1[[#This Row],[year]],10)</f>
        <v>1990</v>
      </c>
      <c r="D1107" t="s">
        <v>18</v>
      </c>
      <c r="E1107" t="s">
        <v>29</v>
      </c>
      <c r="F1107">
        <v>1</v>
      </c>
      <c r="G1107">
        <v>0</v>
      </c>
      <c r="H1107" t="s">
        <v>74</v>
      </c>
      <c r="I1107" t="s">
        <v>109</v>
      </c>
      <c r="J1107" t="s">
        <v>18</v>
      </c>
      <c r="K1107" t="b">
        <v>0</v>
      </c>
      <c r="L1107">
        <v>1990</v>
      </c>
      <c r="M1107">
        <v>1183945130898</v>
      </c>
      <c r="N1107">
        <v>165811372382</v>
      </c>
      <c r="O1107" t="b">
        <v>1</v>
      </c>
      <c r="P1107">
        <v>1</v>
      </c>
      <c r="Q1107" t="str" cm="1">
        <f t="array" ref="Q1107">_xlfn.IFS(Table1[[#This Row],[Wealthier_Winner]]=-1,"Wealthier Nation Loses",Table1[[#This Row],[Wealthier_Winner]]=0,"Tie",Table1[[#This Row],[Wealthier_Winner]]=1,"Wealthier Nation Wins")</f>
        <v>Wealthier Nation Wins</v>
      </c>
    </row>
    <row r="1108" spans="1:17" x14ac:dyDescent="0.2">
      <c r="A1108" s="1">
        <v>2208</v>
      </c>
      <c r="B1108" s="2">
        <v>33033</v>
      </c>
      <c r="C1108" s="7">
        <f>_xlfn.FLOOR.MATH(Table1[[#This Row],[year]],10)</f>
        <v>1990</v>
      </c>
      <c r="D1108" t="s">
        <v>196</v>
      </c>
      <c r="E1108" t="s">
        <v>44</v>
      </c>
      <c r="F1108">
        <v>0</v>
      </c>
      <c r="G1108">
        <v>2</v>
      </c>
      <c r="H1108" t="s">
        <v>74</v>
      </c>
      <c r="I1108" t="s">
        <v>113</v>
      </c>
      <c r="J1108" t="s">
        <v>18</v>
      </c>
      <c r="K1108" t="b">
        <v>1</v>
      </c>
      <c r="L1108">
        <v>1990</v>
      </c>
      <c r="M1108">
        <v>517014446227</v>
      </c>
      <c r="N1108">
        <v>38247882300</v>
      </c>
      <c r="O1108" t="b">
        <v>1</v>
      </c>
      <c r="P1108">
        <v>-1</v>
      </c>
      <c r="Q1108" t="str" cm="1">
        <f t="array" ref="Q1108">_xlfn.IFS(Table1[[#This Row],[Wealthier_Winner]]=-1,"Wealthier Nation Loses",Table1[[#This Row],[Wealthier_Winner]]=0,"Tie",Table1[[#This Row],[Wealthier_Winner]]=1,"Wealthier Nation Wins")</f>
        <v>Wealthier Nation Loses</v>
      </c>
    </row>
    <row r="1109" spans="1:17" x14ac:dyDescent="0.2">
      <c r="A1109" s="1">
        <v>2209</v>
      </c>
      <c r="B1109" s="2">
        <v>33033</v>
      </c>
      <c r="C1109" s="7">
        <f>_xlfn.FLOOR.MATH(Table1[[#This Row],[year]],10)</f>
        <v>1990</v>
      </c>
      <c r="D1109" t="s">
        <v>39</v>
      </c>
      <c r="E1109" t="s">
        <v>15</v>
      </c>
      <c r="F1109">
        <v>0</v>
      </c>
      <c r="G1109">
        <v>2</v>
      </c>
      <c r="H1109" t="s">
        <v>74</v>
      </c>
      <c r="I1109" t="s">
        <v>110</v>
      </c>
      <c r="J1109" t="s">
        <v>18</v>
      </c>
      <c r="K1109" t="b">
        <v>1</v>
      </c>
      <c r="L1109">
        <v>1990</v>
      </c>
      <c r="M1109">
        <v>50701443748</v>
      </c>
      <c r="N1109">
        <v>47844090709</v>
      </c>
      <c r="O1109" t="b">
        <v>0</v>
      </c>
      <c r="P1109">
        <v>-1</v>
      </c>
      <c r="Q1109" t="str" cm="1">
        <f t="array" ref="Q1109">_xlfn.IFS(Table1[[#This Row],[Wealthier_Winner]]=-1,"Wealthier Nation Loses",Table1[[#This Row],[Wealthier_Winner]]=0,"Tie",Table1[[#This Row],[Wealthier_Winner]]=1,"Wealthier Nation Wins")</f>
        <v>Wealthier Nation Loses</v>
      </c>
    </row>
    <row r="1110" spans="1:17" x14ac:dyDescent="0.2">
      <c r="A1110" s="1">
        <v>2210</v>
      </c>
      <c r="B1110" s="2">
        <v>33034</v>
      </c>
      <c r="C1110" s="7">
        <f>_xlfn.FLOOR.MATH(Table1[[#This Row],[year]],10)</f>
        <v>1990</v>
      </c>
      <c r="D1110" t="s">
        <v>13</v>
      </c>
      <c r="E1110" t="s">
        <v>25</v>
      </c>
      <c r="F1110">
        <v>2</v>
      </c>
      <c r="G1110">
        <v>1</v>
      </c>
      <c r="H1110" t="s">
        <v>74</v>
      </c>
      <c r="I1110" t="s">
        <v>111</v>
      </c>
      <c r="J1110" t="s">
        <v>18</v>
      </c>
      <c r="K1110" t="b">
        <v>1</v>
      </c>
      <c r="L1110">
        <v>1990</v>
      </c>
      <c r="M1110">
        <v>390725626002</v>
      </c>
      <c r="N1110">
        <v>261466577008</v>
      </c>
      <c r="O1110" t="b">
        <v>0</v>
      </c>
      <c r="P1110">
        <v>1</v>
      </c>
      <c r="Q1110" t="str" cm="1">
        <f t="array" ref="Q1110">_xlfn.IFS(Table1[[#This Row],[Wealthier_Winner]]=-1,"Wealthier Nation Loses",Table1[[#This Row],[Wealthier_Winner]]=0,"Tie",Table1[[#This Row],[Wealthier_Winner]]=1,"Wealthier Nation Wins")</f>
        <v>Wealthier Nation Wins</v>
      </c>
    </row>
    <row r="1111" spans="1:17" x14ac:dyDescent="0.2">
      <c r="A1111" s="1">
        <v>2215</v>
      </c>
      <c r="B1111" s="2">
        <v>33036</v>
      </c>
      <c r="C1111" s="7">
        <f>_xlfn.FLOOR.MATH(Table1[[#This Row],[year]],10)</f>
        <v>1990</v>
      </c>
      <c r="D1111" t="s">
        <v>23</v>
      </c>
      <c r="E1111" t="s">
        <v>195</v>
      </c>
      <c r="F1111">
        <v>2</v>
      </c>
      <c r="G1111">
        <v>0</v>
      </c>
      <c r="H1111" t="s">
        <v>74</v>
      </c>
      <c r="I1111" t="s">
        <v>114</v>
      </c>
      <c r="J1111" t="s">
        <v>18</v>
      </c>
      <c r="K1111" t="b">
        <v>1</v>
      </c>
      <c r="L1111">
        <v>1990</v>
      </c>
      <c r="M1111">
        <v>205331747947</v>
      </c>
      <c r="N1111">
        <v>292064221388</v>
      </c>
      <c r="O1111" t="b">
        <v>0</v>
      </c>
      <c r="P1111">
        <v>-1</v>
      </c>
      <c r="Q1111" t="str" cm="1">
        <f t="array" ref="Q1111">_xlfn.IFS(Table1[[#This Row],[Wealthier_Winner]]=-1,"Wealthier Nation Loses",Table1[[#This Row],[Wealthier_Winner]]=0,"Tie",Table1[[#This Row],[Wealthier_Winner]]=1,"Wealthier Nation Wins")</f>
        <v>Wealthier Nation Loses</v>
      </c>
    </row>
    <row r="1112" spans="1:17" x14ac:dyDescent="0.2">
      <c r="A1112" s="1">
        <v>2216</v>
      </c>
      <c r="B1112" s="2">
        <v>33036</v>
      </c>
      <c r="C1112" s="7">
        <f>_xlfn.FLOOR.MATH(Table1[[#This Row],[year]],10)</f>
        <v>1990</v>
      </c>
      <c r="D1112" t="s">
        <v>27</v>
      </c>
      <c r="E1112" t="s">
        <v>212</v>
      </c>
      <c r="F1112">
        <v>1</v>
      </c>
      <c r="G1112">
        <v>1</v>
      </c>
      <c r="H1112" t="s">
        <v>74</v>
      </c>
      <c r="I1112" t="s">
        <v>213</v>
      </c>
      <c r="J1112" t="s">
        <v>18</v>
      </c>
      <c r="K1112" t="b">
        <v>1</v>
      </c>
      <c r="L1112">
        <v>1990</v>
      </c>
      <c r="M1112">
        <v>318799003993</v>
      </c>
      <c r="N1112">
        <v>42978914311</v>
      </c>
      <c r="O1112" t="b">
        <v>1</v>
      </c>
      <c r="P1112">
        <v>0</v>
      </c>
      <c r="Q1112" t="str" cm="1">
        <f t="array" ref="Q1112">_xlfn.IFS(Table1[[#This Row],[Wealthier_Winner]]=-1,"Wealthier Nation Loses",Table1[[#This Row],[Wealthier_Winner]]=0,"Tie",Table1[[#This Row],[Wealthier_Winner]]=1,"Wealthier Nation Wins")</f>
        <v>Tie</v>
      </c>
    </row>
    <row r="1113" spans="1:17" x14ac:dyDescent="0.2">
      <c r="A1113" s="1">
        <v>2217</v>
      </c>
      <c r="B1113" s="2">
        <v>33037</v>
      </c>
      <c r="C1113" s="7">
        <f>_xlfn.FLOOR.MATH(Table1[[#This Row],[year]],10)</f>
        <v>1990</v>
      </c>
      <c r="D1113" t="s">
        <v>19</v>
      </c>
      <c r="E1113" t="s">
        <v>196</v>
      </c>
      <c r="F1113">
        <v>2</v>
      </c>
      <c r="G1113">
        <v>0</v>
      </c>
      <c r="H1113" t="s">
        <v>74</v>
      </c>
      <c r="I1113" t="s">
        <v>115</v>
      </c>
      <c r="J1113" t="s">
        <v>18</v>
      </c>
      <c r="K1113" t="b">
        <v>1</v>
      </c>
      <c r="L1113">
        <v>1990</v>
      </c>
      <c r="M1113">
        <v>141352654305</v>
      </c>
      <c r="N1113">
        <v>517014446227</v>
      </c>
      <c r="O1113" t="b">
        <v>1</v>
      </c>
      <c r="P1113">
        <v>-1</v>
      </c>
      <c r="Q1113" t="str" cm="1">
        <f t="array" ref="Q1113">_xlfn.IFS(Table1[[#This Row],[Wealthier_Winner]]=-1,"Wealthier Nation Loses",Table1[[#This Row],[Wealthier_Winner]]=0,"Tie",Table1[[#This Row],[Wealthier_Winner]]=1,"Wealthier Nation Wins")</f>
        <v>Wealthier Nation Loses</v>
      </c>
    </row>
    <row r="1114" spans="1:17" x14ac:dyDescent="0.2">
      <c r="A1114" s="1">
        <v>2218</v>
      </c>
      <c r="B1114" s="2">
        <v>33037</v>
      </c>
      <c r="C1114" s="7">
        <f>_xlfn.FLOOR.MATH(Table1[[#This Row],[year]],10)</f>
        <v>1990</v>
      </c>
      <c r="D1114" t="s">
        <v>26</v>
      </c>
      <c r="E1114" t="s">
        <v>21</v>
      </c>
      <c r="F1114">
        <v>0</v>
      </c>
      <c r="G1114">
        <v>0</v>
      </c>
      <c r="H1114" t="s">
        <v>74</v>
      </c>
      <c r="I1114" t="s">
        <v>112</v>
      </c>
      <c r="J1114" t="s">
        <v>18</v>
      </c>
      <c r="K1114" t="b">
        <v>1</v>
      </c>
      <c r="L1114">
        <v>1990</v>
      </c>
      <c r="M1114">
        <v>9298807850</v>
      </c>
      <c r="N1114">
        <v>536175326477</v>
      </c>
      <c r="O1114" t="b">
        <v>1</v>
      </c>
      <c r="P1114">
        <v>0</v>
      </c>
      <c r="Q1114" t="str" cm="1">
        <f t="array" ref="Q1114">_xlfn.IFS(Table1[[#This Row],[Wealthier_Winner]]=-1,"Wealthier Nation Loses",Table1[[#This Row],[Wealthier_Winner]]=0,"Tie",Table1[[#This Row],[Wealthier_Winner]]=1,"Wealthier Nation Wins")</f>
        <v>Tie</v>
      </c>
    </row>
    <row r="1115" spans="1:17" x14ac:dyDescent="0.2">
      <c r="A1115" s="1">
        <v>2219</v>
      </c>
      <c r="B1115" s="2">
        <v>33038</v>
      </c>
      <c r="C1115" s="7">
        <f>_xlfn.FLOOR.MATH(Table1[[#This Row],[year]],10)</f>
        <v>1990</v>
      </c>
      <c r="D1115" t="s">
        <v>40</v>
      </c>
      <c r="E1115" t="s">
        <v>44</v>
      </c>
      <c r="F1115">
        <v>2</v>
      </c>
      <c r="G1115">
        <v>1</v>
      </c>
      <c r="H1115" t="s">
        <v>74</v>
      </c>
      <c r="I1115" t="s">
        <v>113</v>
      </c>
      <c r="J1115" t="s">
        <v>18</v>
      </c>
      <c r="K1115" t="b">
        <v>1</v>
      </c>
      <c r="L1115">
        <v>1990</v>
      </c>
      <c r="M1115">
        <v>12314482627</v>
      </c>
      <c r="N1115">
        <v>38247882300</v>
      </c>
      <c r="O1115" t="b">
        <v>1</v>
      </c>
      <c r="P1115">
        <v>-1</v>
      </c>
      <c r="Q1115" t="str" cm="1">
        <f t="array" ref="Q1115">_xlfn.IFS(Table1[[#This Row],[Wealthier_Winner]]=-1,"Wealthier Nation Loses",Table1[[#This Row],[Wealthier_Winner]]=0,"Tie",Table1[[#This Row],[Wealthier_Winner]]=1,"Wealthier Nation Wins")</f>
        <v>Wealthier Nation Loses</v>
      </c>
    </row>
    <row r="1116" spans="1:17" x14ac:dyDescent="0.2">
      <c r="A1116" s="1">
        <v>2220</v>
      </c>
      <c r="B1116" s="2">
        <v>33038</v>
      </c>
      <c r="C1116" s="7">
        <f>_xlfn.FLOOR.MATH(Table1[[#This Row],[year]],10)</f>
        <v>1990</v>
      </c>
      <c r="D1116" t="s">
        <v>18</v>
      </c>
      <c r="E1116" t="s">
        <v>41</v>
      </c>
      <c r="F1116">
        <v>1</v>
      </c>
      <c r="G1116">
        <v>0</v>
      </c>
      <c r="H1116" t="s">
        <v>74</v>
      </c>
      <c r="I1116" t="s">
        <v>109</v>
      </c>
      <c r="J1116" t="s">
        <v>18</v>
      </c>
      <c r="K1116" t="b">
        <v>0</v>
      </c>
      <c r="L1116">
        <v>1990</v>
      </c>
      <c r="M1116">
        <v>1183945130898</v>
      </c>
      <c r="N1116">
        <v>5963144000000</v>
      </c>
      <c r="O1116" t="b">
        <v>1</v>
      </c>
      <c r="P1116">
        <v>-1</v>
      </c>
      <c r="Q1116" t="str" cm="1">
        <f t="array" ref="Q1116">_xlfn.IFS(Table1[[#This Row],[Wealthier_Winner]]=-1,"Wealthier Nation Loses",Table1[[#This Row],[Wealthier_Winner]]=0,"Tie",Table1[[#This Row],[Wealthier_Winner]]=1,"Wealthier Nation Wins")</f>
        <v>Wealthier Nation Loses</v>
      </c>
    </row>
    <row r="1117" spans="1:17" x14ac:dyDescent="0.2">
      <c r="A1117" s="1">
        <v>2223</v>
      </c>
      <c r="B1117" s="2">
        <v>33039</v>
      </c>
      <c r="C1117" s="7">
        <f>_xlfn.FLOOR.MATH(Table1[[#This Row],[year]],10)</f>
        <v>1990</v>
      </c>
      <c r="D1117" t="s">
        <v>16</v>
      </c>
      <c r="E1117" t="s">
        <v>39</v>
      </c>
      <c r="F1117">
        <v>5</v>
      </c>
      <c r="G1117">
        <v>1</v>
      </c>
      <c r="H1117" t="s">
        <v>74</v>
      </c>
      <c r="I1117" t="s">
        <v>108</v>
      </c>
      <c r="J1117" t="s">
        <v>18</v>
      </c>
      <c r="K1117" t="b">
        <v>1</v>
      </c>
      <c r="L1117">
        <v>1990</v>
      </c>
      <c r="M1117">
        <v>1778162195860</v>
      </c>
      <c r="N1117">
        <v>50701443748</v>
      </c>
      <c r="O1117" t="b">
        <v>1</v>
      </c>
      <c r="P1117">
        <v>1</v>
      </c>
      <c r="Q1117" t="str" cm="1">
        <f t="array" ref="Q1117">_xlfn.IFS(Table1[[#This Row],[Wealthier_Winner]]=-1,"Wealthier Nation Loses",Table1[[#This Row],[Wealthier_Winner]]=0,"Tie",Table1[[#This Row],[Wealthier_Winner]]=1,"Wealthier Nation Wins")</f>
        <v>Wealthier Nation Wins</v>
      </c>
    </row>
    <row r="1118" spans="1:17" x14ac:dyDescent="0.2">
      <c r="A1118" s="1">
        <v>2224</v>
      </c>
      <c r="B1118" s="2">
        <v>33040</v>
      </c>
      <c r="C1118" s="7">
        <f>_xlfn.FLOOR.MATH(Table1[[#This Row],[year]],10)</f>
        <v>1990</v>
      </c>
      <c r="D1118" t="s">
        <v>13</v>
      </c>
      <c r="E1118" t="s">
        <v>56</v>
      </c>
      <c r="F1118">
        <v>1</v>
      </c>
      <c r="G1118">
        <v>0</v>
      </c>
      <c r="H1118" t="s">
        <v>74</v>
      </c>
      <c r="I1118" t="s">
        <v>111</v>
      </c>
      <c r="J1118" t="s">
        <v>18</v>
      </c>
      <c r="K1118" t="b">
        <v>1</v>
      </c>
      <c r="L1118">
        <v>1990</v>
      </c>
      <c r="M1118">
        <v>390725626002</v>
      </c>
      <c r="N1118">
        <v>5711687786</v>
      </c>
      <c r="O1118" t="b">
        <v>1</v>
      </c>
      <c r="P1118">
        <v>1</v>
      </c>
      <c r="Q1118" t="str" cm="1">
        <f t="array" ref="Q1118">_xlfn.IFS(Table1[[#This Row],[Wealthier_Winner]]=-1,"Wealthier Nation Loses",Table1[[#This Row],[Wealthier_Winner]]=0,"Tie",Table1[[#This Row],[Wealthier_Winner]]=1,"Wealthier Nation Wins")</f>
        <v>Wealthier Nation Wins</v>
      </c>
    </row>
    <row r="1119" spans="1:17" x14ac:dyDescent="0.2">
      <c r="A1119" s="1">
        <v>2225</v>
      </c>
      <c r="B1119" s="2">
        <v>33040</v>
      </c>
      <c r="C1119" s="7">
        <f>_xlfn.FLOOR.MATH(Table1[[#This Row],[year]],10)</f>
        <v>1990</v>
      </c>
      <c r="D1119" t="s">
        <v>194</v>
      </c>
      <c r="E1119" t="s">
        <v>27</v>
      </c>
      <c r="F1119">
        <v>0</v>
      </c>
      <c r="G1119">
        <v>0</v>
      </c>
      <c r="H1119" t="s">
        <v>74</v>
      </c>
      <c r="I1119" t="s">
        <v>214</v>
      </c>
      <c r="J1119" t="s">
        <v>18</v>
      </c>
      <c r="K1119" t="b">
        <v>1</v>
      </c>
      <c r="L1119">
        <v>1990</v>
      </c>
      <c r="M1119">
        <v>1093169389204</v>
      </c>
      <c r="N1119">
        <v>318799003993</v>
      </c>
      <c r="O1119" t="b">
        <v>1</v>
      </c>
      <c r="P1119">
        <v>0</v>
      </c>
      <c r="Q1119" t="str" cm="1">
        <f t="array" ref="Q1119">_xlfn.IFS(Table1[[#This Row],[Wealthier_Winner]]=-1,"Wealthier Nation Loses",Table1[[#This Row],[Wealthier_Winner]]=0,"Tie",Table1[[#This Row],[Wealthier_Winner]]=1,"Wealthier Nation Wins")</f>
        <v>Tie</v>
      </c>
    </row>
    <row r="1120" spans="1:17" x14ac:dyDescent="0.2">
      <c r="A1120" s="1">
        <v>2227</v>
      </c>
      <c r="B1120" s="2">
        <v>33041</v>
      </c>
      <c r="C1120" s="7">
        <f>_xlfn.FLOOR.MATH(Table1[[#This Row],[year]],10)</f>
        <v>1990</v>
      </c>
      <c r="D1120" t="s">
        <v>23</v>
      </c>
      <c r="E1120" t="s">
        <v>26</v>
      </c>
      <c r="F1120">
        <v>3</v>
      </c>
      <c r="G1120">
        <v>1</v>
      </c>
      <c r="H1120" t="s">
        <v>74</v>
      </c>
      <c r="I1120" t="s">
        <v>114</v>
      </c>
      <c r="J1120" t="s">
        <v>18</v>
      </c>
      <c r="K1120" t="b">
        <v>1</v>
      </c>
      <c r="L1120">
        <v>1990</v>
      </c>
      <c r="M1120">
        <v>205331747947</v>
      </c>
      <c r="N1120">
        <v>9298807850</v>
      </c>
      <c r="O1120" t="b">
        <v>1</v>
      </c>
      <c r="P1120">
        <v>1</v>
      </c>
      <c r="Q1120" t="str" cm="1">
        <f t="array" ref="Q1120">_xlfn.IFS(Table1[[#This Row],[Wealthier_Winner]]=-1,"Wealthier Nation Loses",Table1[[#This Row],[Wealthier_Winner]]=0,"Tie",Table1[[#This Row],[Wealthier_Winner]]=1,"Wealthier Nation Wins")</f>
        <v>Wealthier Nation Wins</v>
      </c>
    </row>
    <row r="1121" spans="1:17" x14ac:dyDescent="0.2">
      <c r="A1121" s="1">
        <v>2229</v>
      </c>
      <c r="B1121" s="2">
        <v>33041</v>
      </c>
      <c r="C1121" s="7">
        <f>_xlfn.FLOOR.MATH(Table1[[#This Row],[year]],10)</f>
        <v>1990</v>
      </c>
      <c r="D1121" t="s">
        <v>195</v>
      </c>
      <c r="E1121" t="s">
        <v>21</v>
      </c>
      <c r="F1121">
        <v>1</v>
      </c>
      <c r="G1121">
        <v>3</v>
      </c>
      <c r="H1121" t="s">
        <v>74</v>
      </c>
      <c r="I1121" t="s">
        <v>112</v>
      </c>
      <c r="J1121" t="s">
        <v>18</v>
      </c>
      <c r="K1121" t="b">
        <v>1</v>
      </c>
      <c r="L1121">
        <v>1990</v>
      </c>
      <c r="M1121">
        <v>292064221388</v>
      </c>
      <c r="N1121">
        <v>536175326477</v>
      </c>
      <c r="O1121" t="b">
        <v>0</v>
      </c>
      <c r="P1121">
        <v>1</v>
      </c>
      <c r="Q1121" t="str" cm="1">
        <f t="array" ref="Q1121">_xlfn.IFS(Table1[[#This Row],[Wealthier_Winner]]=-1,"Wealthier Nation Loses",Table1[[#This Row],[Wealthier_Winner]]=0,"Tie",Table1[[#This Row],[Wealthier_Winner]]=1,"Wealthier Nation Wins")</f>
        <v>Wealthier Nation Wins</v>
      </c>
    </row>
    <row r="1122" spans="1:17" x14ac:dyDescent="0.2">
      <c r="A1122" s="1">
        <v>2230</v>
      </c>
      <c r="B1122" s="2">
        <v>33042</v>
      </c>
      <c r="C1122" s="7">
        <f>_xlfn.FLOOR.MATH(Table1[[#This Row],[year]],10)</f>
        <v>1990</v>
      </c>
      <c r="D1122" t="s">
        <v>19</v>
      </c>
      <c r="E1122" t="s">
        <v>44</v>
      </c>
      <c r="F1122">
        <v>1</v>
      </c>
      <c r="G1122">
        <v>1</v>
      </c>
      <c r="H1122" t="s">
        <v>74</v>
      </c>
      <c r="I1122" t="s">
        <v>115</v>
      </c>
      <c r="J1122" t="s">
        <v>18</v>
      </c>
      <c r="K1122" t="b">
        <v>1</v>
      </c>
      <c r="L1122">
        <v>1990</v>
      </c>
      <c r="M1122">
        <v>141352654305</v>
      </c>
      <c r="N1122">
        <v>38247882300</v>
      </c>
      <c r="O1122" t="b">
        <v>1</v>
      </c>
      <c r="P1122">
        <v>0</v>
      </c>
      <c r="Q1122" t="str" cm="1">
        <f t="array" ref="Q1122">_xlfn.IFS(Table1[[#This Row],[Wealthier_Winner]]=-1,"Wealthier Nation Loses",Table1[[#This Row],[Wealthier_Winner]]=0,"Tie",Table1[[#This Row],[Wealthier_Winner]]=1,"Wealthier Nation Wins")</f>
        <v>Tie</v>
      </c>
    </row>
    <row r="1123" spans="1:17" x14ac:dyDescent="0.2">
      <c r="A1123" s="1">
        <v>2231</v>
      </c>
      <c r="B1123" s="2">
        <v>33042</v>
      </c>
      <c r="C1123" s="7">
        <f>_xlfn.FLOOR.MATH(Table1[[#This Row],[year]],10)</f>
        <v>1990</v>
      </c>
      <c r="D1123" t="s">
        <v>40</v>
      </c>
      <c r="E1123" t="s">
        <v>196</v>
      </c>
      <c r="F1123">
        <v>0</v>
      </c>
      <c r="G1123">
        <v>4</v>
      </c>
      <c r="H1123" t="s">
        <v>74</v>
      </c>
      <c r="I1123" t="s">
        <v>113</v>
      </c>
      <c r="J1123" t="s">
        <v>18</v>
      </c>
      <c r="K1123" t="b">
        <v>1</v>
      </c>
      <c r="L1123">
        <v>1990</v>
      </c>
      <c r="M1123">
        <v>12314482627</v>
      </c>
      <c r="N1123">
        <v>517014446227</v>
      </c>
      <c r="O1123" t="b">
        <v>1</v>
      </c>
      <c r="P1123">
        <v>1</v>
      </c>
      <c r="Q1123" t="str" cm="1">
        <f t="array" ref="Q1123">_xlfn.IFS(Table1[[#This Row],[Wealthier_Winner]]=-1,"Wealthier Nation Loses",Table1[[#This Row],[Wealthier_Winner]]=0,"Tie",Table1[[#This Row],[Wealthier_Winner]]=1,"Wealthier Nation Wins")</f>
        <v>Wealthier Nation Wins</v>
      </c>
    </row>
    <row r="1124" spans="1:17" x14ac:dyDescent="0.2">
      <c r="A1124" s="1">
        <v>2232</v>
      </c>
      <c r="B1124" s="2">
        <v>33043</v>
      </c>
      <c r="C1124" s="7">
        <f>_xlfn.FLOOR.MATH(Table1[[#This Row],[year]],10)</f>
        <v>1990</v>
      </c>
      <c r="D1124" t="s">
        <v>29</v>
      </c>
      <c r="E1124" t="s">
        <v>41</v>
      </c>
      <c r="F1124">
        <v>2</v>
      </c>
      <c r="G1124">
        <v>1</v>
      </c>
      <c r="H1124" t="s">
        <v>74</v>
      </c>
      <c r="I1124" t="s">
        <v>116</v>
      </c>
      <c r="J1124" t="s">
        <v>18</v>
      </c>
      <c r="K1124" t="b">
        <v>1</v>
      </c>
      <c r="L1124">
        <v>1990</v>
      </c>
      <c r="M1124">
        <v>165811372382</v>
      </c>
      <c r="N1124">
        <v>5963144000000</v>
      </c>
      <c r="O1124" t="b">
        <v>1</v>
      </c>
      <c r="P1124">
        <v>-1</v>
      </c>
      <c r="Q1124" t="str" cm="1">
        <f t="array" ref="Q1124">_xlfn.IFS(Table1[[#This Row],[Wealthier_Winner]]=-1,"Wealthier Nation Loses",Table1[[#This Row],[Wealthier_Winner]]=0,"Tie",Table1[[#This Row],[Wealthier_Winner]]=1,"Wealthier Nation Wins")</f>
        <v>Wealthier Nation Loses</v>
      </c>
    </row>
    <row r="1125" spans="1:17" x14ac:dyDescent="0.2">
      <c r="A1125" s="1">
        <v>2233</v>
      </c>
      <c r="B1125" s="2">
        <v>33043</v>
      </c>
      <c r="C1125" s="7">
        <f>_xlfn.FLOOR.MATH(Table1[[#This Row],[year]],10)</f>
        <v>1990</v>
      </c>
      <c r="D1125" t="s">
        <v>16</v>
      </c>
      <c r="E1125" t="s">
        <v>15</v>
      </c>
      <c r="F1125">
        <v>1</v>
      </c>
      <c r="G1125">
        <v>1</v>
      </c>
      <c r="H1125" t="s">
        <v>74</v>
      </c>
      <c r="I1125" t="s">
        <v>108</v>
      </c>
      <c r="J1125" t="s">
        <v>18</v>
      </c>
      <c r="K1125" t="b">
        <v>1</v>
      </c>
      <c r="L1125">
        <v>1990</v>
      </c>
      <c r="M1125">
        <v>1778162195860</v>
      </c>
      <c r="N1125">
        <v>47844090709</v>
      </c>
      <c r="O1125" t="b">
        <v>1</v>
      </c>
      <c r="P1125">
        <v>0</v>
      </c>
      <c r="Q1125" t="str" cm="1">
        <f t="array" ref="Q1125">_xlfn.IFS(Table1[[#This Row],[Wealthier_Winner]]=-1,"Wealthier Nation Loses",Table1[[#This Row],[Wealthier_Winner]]=0,"Tie",Table1[[#This Row],[Wealthier_Winner]]=1,"Wealthier Nation Wins")</f>
        <v>Tie</v>
      </c>
    </row>
    <row r="1126" spans="1:17" x14ac:dyDescent="0.2">
      <c r="A1126" s="1">
        <v>2237</v>
      </c>
      <c r="B1126" s="2">
        <v>33044</v>
      </c>
      <c r="C1126" s="7">
        <f>_xlfn.FLOOR.MATH(Table1[[#This Row],[year]],10)</f>
        <v>1990</v>
      </c>
      <c r="D1126" t="s">
        <v>25</v>
      </c>
      <c r="E1126" t="s">
        <v>56</v>
      </c>
      <c r="F1126">
        <v>1</v>
      </c>
      <c r="G1126">
        <v>2</v>
      </c>
      <c r="H1126" t="s">
        <v>74</v>
      </c>
      <c r="I1126" t="s">
        <v>117</v>
      </c>
      <c r="J1126" t="s">
        <v>18</v>
      </c>
      <c r="K1126" t="b">
        <v>1</v>
      </c>
      <c r="L1126">
        <v>1990</v>
      </c>
      <c r="M1126">
        <v>261466577008</v>
      </c>
      <c r="N1126">
        <v>5711687786</v>
      </c>
      <c r="O1126" t="b">
        <v>1</v>
      </c>
      <c r="P1126">
        <v>-1</v>
      </c>
      <c r="Q1126" t="str" cm="1">
        <f t="array" ref="Q1126">_xlfn.IFS(Table1[[#This Row],[Wealthier_Winner]]=-1,"Wealthier Nation Loses",Table1[[#This Row],[Wealthier_Winner]]=0,"Tie",Table1[[#This Row],[Wealthier_Winner]]=1,"Wealthier Nation Wins")</f>
        <v>Wealthier Nation Loses</v>
      </c>
    </row>
    <row r="1127" spans="1:17" x14ac:dyDescent="0.2">
      <c r="A1127" s="1">
        <v>2238</v>
      </c>
      <c r="B1127" s="2">
        <v>33045</v>
      </c>
      <c r="C1127" s="7">
        <f>_xlfn.FLOOR.MATH(Table1[[#This Row],[year]],10)</f>
        <v>1990</v>
      </c>
      <c r="D1127" t="s">
        <v>23</v>
      </c>
      <c r="E1127" t="s">
        <v>21</v>
      </c>
      <c r="F1127">
        <v>1</v>
      </c>
      <c r="G1127">
        <v>2</v>
      </c>
      <c r="H1127" t="s">
        <v>74</v>
      </c>
      <c r="I1127" t="s">
        <v>114</v>
      </c>
      <c r="J1127" t="s">
        <v>18</v>
      </c>
      <c r="K1127" t="b">
        <v>1</v>
      </c>
      <c r="L1127">
        <v>1990</v>
      </c>
      <c r="M1127">
        <v>205331747947</v>
      </c>
      <c r="N1127">
        <v>536175326477</v>
      </c>
      <c r="O1127" t="b">
        <v>1</v>
      </c>
      <c r="P1127">
        <v>1</v>
      </c>
      <c r="Q1127" t="str" cm="1">
        <f t="array" ref="Q1127">_xlfn.IFS(Table1[[#This Row],[Wealthier_Winner]]=-1,"Wealthier Nation Loses",Table1[[#This Row],[Wealthier_Winner]]=0,"Tie",Table1[[#This Row],[Wealthier_Winner]]=1,"Wealthier Nation Wins")</f>
        <v>Wealthier Nation Wins</v>
      </c>
    </row>
    <row r="1128" spans="1:17" x14ac:dyDescent="0.2">
      <c r="A1128" s="1">
        <v>2239</v>
      </c>
      <c r="B1128" s="2">
        <v>33045</v>
      </c>
      <c r="C1128" s="7">
        <f>_xlfn.FLOOR.MATH(Table1[[#This Row],[year]],10)</f>
        <v>1990</v>
      </c>
      <c r="D1128" t="s">
        <v>194</v>
      </c>
      <c r="E1128" t="s">
        <v>212</v>
      </c>
      <c r="F1128">
        <v>1</v>
      </c>
      <c r="G1128">
        <v>0</v>
      </c>
      <c r="H1128" t="s">
        <v>74</v>
      </c>
      <c r="I1128" t="s">
        <v>214</v>
      </c>
      <c r="J1128" t="s">
        <v>18</v>
      </c>
      <c r="K1128" t="b">
        <v>1</v>
      </c>
      <c r="L1128">
        <v>1990</v>
      </c>
      <c r="M1128">
        <v>1093169389204</v>
      </c>
      <c r="N1128">
        <v>42978914311</v>
      </c>
      <c r="O1128" t="b">
        <v>1</v>
      </c>
      <c r="P1128">
        <v>1</v>
      </c>
      <c r="Q1128" t="str" cm="1">
        <f t="array" ref="Q1128">_xlfn.IFS(Table1[[#This Row],[Wealthier_Winner]]=-1,"Wealthier Nation Loses",Table1[[#This Row],[Wealthier_Winner]]=0,"Tie",Table1[[#This Row],[Wealthier_Winner]]=1,"Wealthier Nation Wins")</f>
        <v>Wealthier Nation Wins</v>
      </c>
    </row>
    <row r="1129" spans="1:17" x14ac:dyDescent="0.2">
      <c r="A1129" s="1">
        <v>2241</v>
      </c>
      <c r="B1129" s="2">
        <v>33045</v>
      </c>
      <c r="C1129" s="7">
        <f>_xlfn.FLOOR.MATH(Table1[[#This Row],[year]],10)</f>
        <v>1990</v>
      </c>
      <c r="D1129" t="s">
        <v>195</v>
      </c>
      <c r="E1129" t="s">
        <v>26</v>
      </c>
      <c r="F1129">
        <v>0</v>
      </c>
      <c r="G1129">
        <v>1</v>
      </c>
      <c r="H1129" t="s">
        <v>74</v>
      </c>
      <c r="I1129" t="s">
        <v>112</v>
      </c>
      <c r="J1129" t="s">
        <v>18</v>
      </c>
      <c r="K1129" t="b">
        <v>1</v>
      </c>
      <c r="L1129">
        <v>1990</v>
      </c>
      <c r="M1129">
        <v>292064221388</v>
      </c>
      <c r="N1129">
        <v>9298807850</v>
      </c>
      <c r="O1129" t="b">
        <v>1</v>
      </c>
      <c r="P1129">
        <v>-1</v>
      </c>
      <c r="Q1129" t="str" cm="1">
        <f t="array" ref="Q1129">_xlfn.IFS(Table1[[#This Row],[Wealthier_Winner]]=-1,"Wealthier Nation Loses",Table1[[#This Row],[Wealthier_Winner]]=0,"Tie",Table1[[#This Row],[Wealthier_Winner]]=1,"Wealthier Nation Wins")</f>
        <v>Wealthier Nation Loses</v>
      </c>
    </row>
    <row r="1130" spans="1:17" x14ac:dyDescent="0.2">
      <c r="A1130" s="1">
        <v>2242</v>
      </c>
      <c r="B1130" s="2">
        <v>33047</v>
      </c>
      <c r="C1130" s="7">
        <f>_xlfn.FLOOR.MATH(Table1[[#This Row],[year]],10)</f>
        <v>1990</v>
      </c>
      <c r="D1130" t="s">
        <v>40</v>
      </c>
      <c r="E1130" t="s">
        <v>15</v>
      </c>
      <c r="F1130">
        <v>2</v>
      </c>
      <c r="G1130">
        <v>1</v>
      </c>
      <c r="H1130" t="s">
        <v>74</v>
      </c>
      <c r="I1130" t="s">
        <v>115</v>
      </c>
      <c r="J1130" t="s">
        <v>18</v>
      </c>
      <c r="K1130" t="b">
        <v>1</v>
      </c>
      <c r="L1130">
        <v>1990</v>
      </c>
      <c r="M1130">
        <v>12314482627</v>
      </c>
      <c r="N1130">
        <v>47844090709</v>
      </c>
      <c r="O1130" t="b">
        <v>1</v>
      </c>
      <c r="P1130">
        <v>-1</v>
      </c>
      <c r="Q1130" t="str" cm="1">
        <f t="array" ref="Q1130">_xlfn.IFS(Table1[[#This Row],[Wealthier_Winner]]=-1,"Wealthier Nation Loses",Table1[[#This Row],[Wealthier_Winner]]=0,"Tie",Table1[[#This Row],[Wealthier_Winner]]=1,"Wealthier Nation Wins")</f>
        <v>Wealthier Nation Loses</v>
      </c>
    </row>
    <row r="1131" spans="1:17" x14ac:dyDescent="0.2">
      <c r="A1131" s="1">
        <v>2244</v>
      </c>
      <c r="B1131" s="2">
        <v>33048</v>
      </c>
      <c r="C1131" s="7">
        <f>_xlfn.FLOOR.MATH(Table1[[#This Row],[year]],10)</f>
        <v>1990</v>
      </c>
      <c r="D1131" t="s">
        <v>13</v>
      </c>
      <c r="E1131" t="s">
        <v>19</v>
      </c>
      <c r="F1131">
        <v>0</v>
      </c>
      <c r="G1131">
        <v>1</v>
      </c>
      <c r="H1131" t="s">
        <v>74</v>
      </c>
      <c r="I1131" t="s">
        <v>111</v>
      </c>
      <c r="J1131" t="s">
        <v>18</v>
      </c>
      <c r="K1131" t="b">
        <v>1</v>
      </c>
      <c r="L1131">
        <v>1990</v>
      </c>
      <c r="M1131">
        <v>390725626002</v>
      </c>
      <c r="N1131">
        <v>141352654305</v>
      </c>
      <c r="O1131" t="b">
        <v>1</v>
      </c>
      <c r="P1131">
        <v>-1</v>
      </c>
      <c r="Q1131" t="str" cm="1">
        <f t="array" ref="Q1131">_xlfn.IFS(Table1[[#This Row],[Wealthier_Winner]]=-1,"Wealthier Nation Loses",Table1[[#This Row],[Wealthier_Winner]]=0,"Tie",Table1[[#This Row],[Wealthier_Winner]]=1,"Wealthier Nation Wins")</f>
        <v>Wealthier Nation Loses</v>
      </c>
    </row>
    <row r="1132" spans="1:17" x14ac:dyDescent="0.2">
      <c r="A1132" s="1">
        <v>2245</v>
      </c>
      <c r="B1132" s="2">
        <v>33048</v>
      </c>
      <c r="C1132" s="7">
        <f>_xlfn.FLOOR.MATH(Table1[[#This Row],[year]],10)</f>
        <v>1990</v>
      </c>
      <c r="D1132" t="s">
        <v>16</v>
      </c>
      <c r="E1132" t="s">
        <v>27</v>
      </c>
      <c r="F1132">
        <v>2</v>
      </c>
      <c r="G1132">
        <v>1</v>
      </c>
      <c r="H1132" t="s">
        <v>74</v>
      </c>
      <c r="I1132" t="s">
        <v>108</v>
      </c>
      <c r="J1132" t="s">
        <v>18</v>
      </c>
      <c r="K1132" t="b">
        <v>1</v>
      </c>
      <c r="L1132">
        <v>1990</v>
      </c>
      <c r="M1132">
        <v>1778162195860</v>
      </c>
      <c r="N1132">
        <v>318799003993</v>
      </c>
      <c r="O1132" t="b">
        <v>1</v>
      </c>
      <c r="P1132">
        <v>1</v>
      </c>
      <c r="Q1132" t="str" cm="1">
        <f t="array" ref="Q1132">_xlfn.IFS(Table1[[#This Row],[Wealthier_Winner]]=-1,"Wealthier Nation Loses",Table1[[#This Row],[Wealthier_Winner]]=0,"Tie",Table1[[#This Row],[Wealthier_Winner]]=1,"Wealthier Nation Wins")</f>
        <v>Wealthier Nation Wins</v>
      </c>
    </row>
    <row r="1133" spans="1:17" x14ac:dyDescent="0.2">
      <c r="A1133" s="1">
        <v>2247</v>
      </c>
      <c r="B1133" s="2">
        <v>33049</v>
      </c>
      <c r="C1133" s="7">
        <f>_xlfn.FLOOR.MATH(Table1[[#This Row],[year]],10)</f>
        <v>1990</v>
      </c>
      <c r="D1133" t="s">
        <v>18</v>
      </c>
      <c r="E1133" t="s">
        <v>26</v>
      </c>
      <c r="F1133">
        <v>2</v>
      </c>
      <c r="G1133">
        <v>0</v>
      </c>
      <c r="H1133" t="s">
        <v>74</v>
      </c>
      <c r="I1133" t="s">
        <v>109</v>
      </c>
      <c r="J1133" t="s">
        <v>18</v>
      </c>
      <c r="K1133" t="b">
        <v>0</v>
      </c>
      <c r="L1133">
        <v>1990</v>
      </c>
      <c r="M1133">
        <v>1183945130898</v>
      </c>
      <c r="N1133">
        <v>9298807850</v>
      </c>
      <c r="O1133" t="b">
        <v>1</v>
      </c>
      <c r="P1133">
        <v>1</v>
      </c>
      <c r="Q1133" t="str" cm="1">
        <f t="array" ref="Q1133">_xlfn.IFS(Table1[[#This Row],[Wealthier_Winner]]=-1,"Wealthier Nation Loses",Table1[[#This Row],[Wealthier_Winner]]=0,"Tie",Table1[[#This Row],[Wealthier_Winner]]=1,"Wealthier Nation Wins")</f>
        <v>Wealthier Nation Wins</v>
      </c>
    </row>
    <row r="1134" spans="1:17" x14ac:dyDescent="0.2">
      <c r="A1134" s="1">
        <v>2248</v>
      </c>
      <c r="B1134" s="2">
        <v>33050</v>
      </c>
      <c r="C1134" s="7">
        <f>_xlfn.FLOOR.MATH(Table1[[#This Row],[year]],10)</f>
        <v>1990</v>
      </c>
      <c r="D1134" t="s">
        <v>194</v>
      </c>
      <c r="E1134" t="s">
        <v>23</v>
      </c>
      <c r="F1134">
        <v>1</v>
      </c>
      <c r="G1134">
        <v>0</v>
      </c>
      <c r="H1134" t="s">
        <v>74</v>
      </c>
      <c r="I1134" t="s">
        <v>110</v>
      </c>
      <c r="J1134" t="s">
        <v>18</v>
      </c>
      <c r="K1134" t="b">
        <v>1</v>
      </c>
      <c r="L1134">
        <v>1990</v>
      </c>
      <c r="M1134">
        <v>1093169389204</v>
      </c>
      <c r="N1134">
        <v>205331747947</v>
      </c>
      <c r="O1134" t="b">
        <v>1</v>
      </c>
      <c r="P1134">
        <v>1</v>
      </c>
      <c r="Q1134" t="str" cm="1">
        <f t="array" ref="Q1134">_xlfn.IFS(Table1[[#This Row],[Wealthier_Winner]]=-1,"Wealthier Nation Loses",Table1[[#This Row],[Wealthier_Winner]]=0,"Tie",Table1[[#This Row],[Wealthier_Winner]]=1,"Wealthier Nation Wins")</f>
        <v>Wealthier Nation Wins</v>
      </c>
    </row>
    <row r="1135" spans="1:17" x14ac:dyDescent="0.2">
      <c r="A1135" s="1">
        <v>2252</v>
      </c>
      <c r="B1135" s="2">
        <v>33055</v>
      </c>
      <c r="C1135" s="7">
        <f>_xlfn.FLOOR.MATH(Table1[[#This Row],[year]],10)</f>
        <v>1990</v>
      </c>
      <c r="D1135" t="s">
        <v>40</v>
      </c>
      <c r="E1135" t="s">
        <v>194</v>
      </c>
      <c r="F1135">
        <v>2</v>
      </c>
      <c r="G1135">
        <v>3</v>
      </c>
      <c r="H1135" t="s">
        <v>74</v>
      </c>
      <c r="I1135" t="s">
        <v>115</v>
      </c>
      <c r="J1135" t="s">
        <v>18</v>
      </c>
      <c r="K1135" t="b">
        <v>1</v>
      </c>
      <c r="L1135">
        <v>1990</v>
      </c>
      <c r="M1135">
        <v>12314482627</v>
      </c>
      <c r="N1135">
        <v>1093169389204</v>
      </c>
      <c r="O1135" t="b">
        <v>1</v>
      </c>
      <c r="P1135">
        <v>1</v>
      </c>
      <c r="Q1135" t="str" cm="1">
        <f t="array" ref="Q1135">_xlfn.IFS(Table1[[#This Row],[Wealthier_Winner]]=-1,"Wealthier Nation Loses",Table1[[#This Row],[Wealthier_Winner]]=0,"Tie",Table1[[#This Row],[Wealthier_Winner]]=1,"Wealthier Nation Wins")</f>
        <v>Wealthier Nation Wins</v>
      </c>
    </row>
    <row r="1136" spans="1:17" x14ac:dyDescent="0.2">
      <c r="A1136" s="1">
        <v>2254</v>
      </c>
      <c r="B1136" s="2">
        <v>33057</v>
      </c>
      <c r="C1136" s="7">
        <f>_xlfn.FLOOR.MATH(Table1[[#This Row],[year]],10)</f>
        <v>1990</v>
      </c>
      <c r="D1136" t="s">
        <v>18</v>
      </c>
      <c r="E1136" t="s">
        <v>19</v>
      </c>
      <c r="F1136">
        <v>1</v>
      </c>
      <c r="G1136">
        <v>1</v>
      </c>
      <c r="H1136" t="s">
        <v>74</v>
      </c>
      <c r="I1136" t="s">
        <v>115</v>
      </c>
      <c r="J1136" t="s">
        <v>18</v>
      </c>
      <c r="K1136" t="b">
        <v>0</v>
      </c>
      <c r="L1136">
        <v>1990</v>
      </c>
      <c r="M1136">
        <v>1183945130898</v>
      </c>
      <c r="N1136">
        <v>141352654305</v>
      </c>
      <c r="O1136" t="b">
        <v>1</v>
      </c>
      <c r="P1136">
        <v>0</v>
      </c>
      <c r="Q1136" t="str" cm="1">
        <f t="array" ref="Q1136">_xlfn.IFS(Table1[[#This Row],[Wealthier_Winner]]=-1,"Wealthier Nation Loses",Table1[[#This Row],[Wealthier_Winner]]=0,"Tie",Table1[[#This Row],[Wealthier_Winner]]=1,"Wealthier Nation Wins")</f>
        <v>Tie</v>
      </c>
    </row>
    <row r="1137" spans="1:17" x14ac:dyDescent="0.2">
      <c r="A1137" s="1">
        <v>2255</v>
      </c>
      <c r="B1137" s="2">
        <v>33058</v>
      </c>
      <c r="C1137" s="7">
        <f>_xlfn.FLOOR.MATH(Table1[[#This Row],[year]],10)</f>
        <v>1990</v>
      </c>
      <c r="D1137" t="s">
        <v>16</v>
      </c>
      <c r="E1137" t="s">
        <v>194</v>
      </c>
      <c r="F1137">
        <v>1</v>
      </c>
      <c r="G1137">
        <v>1</v>
      </c>
      <c r="H1137" t="s">
        <v>74</v>
      </c>
      <c r="I1137" t="s">
        <v>111</v>
      </c>
      <c r="J1137" t="s">
        <v>18</v>
      </c>
      <c r="K1137" t="b">
        <v>1</v>
      </c>
      <c r="L1137">
        <v>1990</v>
      </c>
      <c r="M1137">
        <v>1778162195860</v>
      </c>
      <c r="N1137">
        <v>1093169389204</v>
      </c>
      <c r="O1137" t="b">
        <v>0</v>
      </c>
      <c r="P1137">
        <v>0</v>
      </c>
      <c r="Q1137" t="str" cm="1">
        <f t="array" ref="Q1137">_xlfn.IFS(Table1[[#This Row],[Wealthier_Winner]]=-1,"Wealthier Nation Loses",Table1[[#This Row],[Wealthier_Winner]]=0,"Tie",Table1[[#This Row],[Wealthier_Winner]]=1,"Wealthier Nation Wins")</f>
        <v>Tie</v>
      </c>
    </row>
    <row r="1138" spans="1:17" x14ac:dyDescent="0.2">
      <c r="A1138" s="1">
        <v>2256</v>
      </c>
      <c r="B1138" s="2">
        <v>33061</v>
      </c>
      <c r="C1138" s="7">
        <f>_xlfn.FLOOR.MATH(Table1[[#This Row],[year]],10)</f>
        <v>1990</v>
      </c>
      <c r="D1138" t="s">
        <v>18</v>
      </c>
      <c r="E1138" t="s">
        <v>194</v>
      </c>
      <c r="F1138">
        <v>2</v>
      </c>
      <c r="G1138">
        <v>1</v>
      </c>
      <c r="H1138" t="s">
        <v>74</v>
      </c>
      <c r="I1138" t="s">
        <v>113</v>
      </c>
      <c r="J1138" t="s">
        <v>18</v>
      </c>
      <c r="K1138" t="b">
        <v>0</v>
      </c>
      <c r="L1138">
        <v>1990</v>
      </c>
      <c r="M1138">
        <v>1183945130898</v>
      </c>
      <c r="N1138">
        <v>1093169389204</v>
      </c>
      <c r="O1138" t="b">
        <v>0</v>
      </c>
      <c r="P1138">
        <v>1</v>
      </c>
      <c r="Q1138" t="str" cm="1">
        <f t="array" ref="Q1138">_xlfn.IFS(Table1[[#This Row],[Wealthier_Winner]]=-1,"Wealthier Nation Loses",Table1[[#This Row],[Wealthier_Winner]]=0,"Tie",Table1[[#This Row],[Wealthier_Winner]]=1,"Wealthier Nation Wins")</f>
        <v>Wealthier Nation Wins</v>
      </c>
    </row>
    <row r="1139" spans="1:17" x14ac:dyDescent="0.2">
      <c r="A1139" s="1">
        <v>2257</v>
      </c>
      <c r="B1139" s="2">
        <v>33062</v>
      </c>
      <c r="C1139" s="7">
        <f>_xlfn.FLOOR.MATH(Table1[[#This Row],[year]],10)</f>
        <v>1990</v>
      </c>
      <c r="D1139" t="s">
        <v>16</v>
      </c>
      <c r="E1139" t="s">
        <v>19</v>
      </c>
      <c r="F1139">
        <v>1</v>
      </c>
      <c r="G1139">
        <v>0</v>
      </c>
      <c r="H1139" t="s">
        <v>74</v>
      </c>
      <c r="I1139" t="s">
        <v>109</v>
      </c>
      <c r="J1139" t="s">
        <v>18</v>
      </c>
      <c r="K1139" t="b">
        <v>1</v>
      </c>
      <c r="L1139">
        <v>1990</v>
      </c>
      <c r="M1139">
        <v>1778162195860</v>
      </c>
      <c r="N1139">
        <v>141352654305</v>
      </c>
      <c r="O1139" t="b">
        <v>1</v>
      </c>
      <c r="P1139">
        <v>1</v>
      </c>
      <c r="Q1139" t="str" cm="1">
        <f t="array" ref="Q1139">_xlfn.IFS(Table1[[#This Row],[Wealthier_Winner]]=-1,"Wealthier Nation Loses",Table1[[#This Row],[Wealthier_Winner]]=0,"Tie",Table1[[#This Row],[Wealthier_Winner]]=1,"Wealthier Nation Wins")</f>
        <v>Wealthier Nation Wins</v>
      </c>
    </row>
    <row r="1140" spans="1:17" x14ac:dyDescent="0.2">
      <c r="A1140" s="1">
        <v>2262</v>
      </c>
      <c r="B1140" s="2">
        <v>33713</v>
      </c>
      <c r="C1140" s="7">
        <f>_xlfn.FLOOR.MATH(Table1[[#This Row],[year]],10)</f>
        <v>1990</v>
      </c>
      <c r="D1140" t="s">
        <v>443</v>
      </c>
      <c r="E1140" t="s">
        <v>59</v>
      </c>
      <c r="F1140">
        <v>1</v>
      </c>
      <c r="G1140">
        <v>2</v>
      </c>
      <c r="H1140" t="s">
        <v>224</v>
      </c>
      <c r="I1140" t="s">
        <v>444</v>
      </c>
      <c r="J1140" t="s">
        <v>443</v>
      </c>
      <c r="K1140" t="b">
        <v>0</v>
      </c>
      <c r="L1140">
        <v>1992</v>
      </c>
      <c r="M1140">
        <v>1957000000</v>
      </c>
      <c r="N1140">
        <v>5439552941</v>
      </c>
      <c r="O1140" t="b">
        <v>1</v>
      </c>
      <c r="P1140">
        <v>1</v>
      </c>
      <c r="Q1140" t="str" cm="1">
        <f t="array" ref="Q1140">_xlfn.IFS(Table1[[#This Row],[Wealthier_Winner]]=-1,"Wealthier Nation Loses",Table1[[#This Row],[Wealthier_Winner]]=0,"Tie",Table1[[#This Row],[Wealthier_Winner]]=1,"Wealthier Nation Wins")</f>
        <v>Wealthier Nation Wins</v>
      </c>
    </row>
    <row r="1141" spans="1:17" x14ac:dyDescent="0.2">
      <c r="A1141" s="1">
        <v>2264</v>
      </c>
      <c r="B1141" s="2">
        <v>33716</v>
      </c>
      <c r="C1141" s="7">
        <f>_xlfn.FLOOR.MATH(Table1[[#This Row],[year]],10)</f>
        <v>1990</v>
      </c>
      <c r="D1141" t="s">
        <v>23</v>
      </c>
      <c r="E1141" t="s">
        <v>351</v>
      </c>
      <c r="F1141">
        <v>1</v>
      </c>
      <c r="G1141">
        <v>0</v>
      </c>
      <c r="H1141" t="s">
        <v>224</v>
      </c>
      <c r="I1141" t="s">
        <v>235</v>
      </c>
      <c r="J1141" t="s">
        <v>23</v>
      </c>
      <c r="K1141" t="b">
        <v>0</v>
      </c>
      <c r="L1141">
        <v>1992</v>
      </c>
      <c r="M1141">
        <v>234781652446</v>
      </c>
      <c r="N1141">
        <v>6912150456</v>
      </c>
      <c r="O1141" t="b">
        <v>1</v>
      </c>
      <c r="P1141">
        <v>1</v>
      </c>
      <c r="Q1141" t="str" cm="1">
        <f t="array" ref="Q1141">_xlfn.IFS(Table1[[#This Row],[Wealthier_Winner]]=-1,"Wealthier Nation Loses",Table1[[#This Row],[Wealthier_Winner]]=0,"Tie",Table1[[#This Row],[Wealthier_Winner]]=1,"Wealthier Nation Wins")</f>
        <v>Wealthier Nation Wins</v>
      </c>
    </row>
    <row r="1142" spans="1:17" x14ac:dyDescent="0.2">
      <c r="A1142" s="1">
        <v>2265</v>
      </c>
      <c r="B1142" s="2">
        <v>33716</v>
      </c>
      <c r="C1142" s="7">
        <f>_xlfn.FLOOR.MATH(Table1[[#This Row],[year]],10)</f>
        <v>1990</v>
      </c>
      <c r="D1142" t="s">
        <v>21</v>
      </c>
      <c r="E1142" t="s">
        <v>373</v>
      </c>
      <c r="F1142">
        <v>3</v>
      </c>
      <c r="G1142">
        <v>0</v>
      </c>
      <c r="H1142" t="s">
        <v>224</v>
      </c>
      <c r="I1142" t="s">
        <v>104</v>
      </c>
      <c r="J1142" t="s">
        <v>21</v>
      </c>
      <c r="K1142" t="b">
        <v>0</v>
      </c>
      <c r="L1142">
        <v>1992</v>
      </c>
      <c r="M1142">
        <v>630465353486</v>
      </c>
      <c r="N1142">
        <v>652174990</v>
      </c>
      <c r="O1142" t="b">
        <v>1</v>
      </c>
      <c r="P1142">
        <v>1</v>
      </c>
      <c r="Q1142" t="str" cm="1">
        <f t="array" ref="Q1142">_xlfn.IFS(Table1[[#This Row],[Wealthier_Winner]]=-1,"Wealthier Nation Loses",Table1[[#This Row],[Wealthier_Winner]]=0,"Tie",Table1[[#This Row],[Wealthier_Winner]]=1,"Wealthier Nation Wins")</f>
        <v>Wealthier Nation Wins</v>
      </c>
    </row>
    <row r="1143" spans="1:17" x14ac:dyDescent="0.2">
      <c r="A1143" s="1">
        <v>2266</v>
      </c>
      <c r="B1143" s="2">
        <v>33718</v>
      </c>
      <c r="C1143" s="7">
        <f>_xlfn.FLOOR.MATH(Table1[[#This Row],[year]],10)</f>
        <v>1990</v>
      </c>
      <c r="D1143" t="s">
        <v>445</v>
      </c>
      <c r="E1143" t="s">
        <v>252</v>
      </c>
      <c r="F1143">
        <v>1</v>
      </c>
      <c r="G1143">
        <v>2</v>
      </c>
      <c r="H1143" t="s">
        <v>224</v>
      </c>
      <c r="I1143" t="s">
        <v>446</v>
      </c>
      <c r="J1143" t="s">
        <v>445</v>
      </c>
      <c r="K1143" t="b">
        <v>0</v>
      </c>
      <c r="L1143">
        <v>1992</v>
      </c>
      <c r="M1143">
        <v>373573141</v>
      </c>
      <c r="N1143">
        <v>404600000</v>
      </c>
      <c r="O1143" t="b">
        <v>0</v>
      </c>
      <c r="P1143">
        <v>1</v>
      </c>
      <c r="Q1143" t="str" cm="1">
        <f t="array" ref="Q1143">_xlfn.IFS(Table1[[#This Row],[Wealthier_Winner]]=-1,"Wealthier Nation Loses",Table1[[#This Row],[Wealthier_Winner]]=0,"Tie",Table1[[#This Row],[Wealthier_Winner]]=1,"Wealthier Nation Wins")</f>
        <v>Wealthier Nation Wins</v>
      </c>
    </row>
    <row r="1144" spans="1:17" x14ac:dyDescent="0.2">
      <c r="A1144" s="1">
        <v>2268</v>
      </c>
      <c r="B1144" s="2">
        <v>33720</v>
      </c>
      <c r="C1144" s="7">
        <f>_xlfn.FLOOR.MATH(Table1[[#This Row],[year]],10)</f>
        <v>1990</v>
      </c>
      <c r="D1144" t="s">
        <v>266</v>
      </c>
      <c r="E1144" t="s">
        <v>70</v>
      </c>
      <c r="F1144">
        <v>1</v>
      </c>
      <c r="G1144">
        <v>0</v>
      </c>
      <c r="H1144" t="s">
        <v>224</v>
      </c>
      <c r="I1144" t="s">
        <v>271</v>
      </c>
      <c r="J1144" t="s">
        <v>266</v>
      </c>
      <c r="K1144" t="b">
        <v>0</v>
      </c>
      <c r="L1144">
        <v>1992</v>
      </c>
      <c r="M1144">
        <v>1679900000</v>
      </c>
      <c r="N1144">
        <v>2257129791</v>
      </c>
      <c r="O1144" t="b">
        <v>0</v>
      </c>
      <c r="P1144">
        <v>-1</v>
      </c>
      <c r="Q1144" t="str" cm="1">
        <f t="array" ref="Q1144">_xlfn.IFS(Table1[[#This Row],[Wealthier_Winner]]=-1,"Wealthier Nation Loses",Table1[[#This Row],[Wealthier_Winner]]=0,"Tie",Table1[[#This Row],[Wealthier_Winner]]=1,"Wealthier Nation Wins")</f>
        <v>Wealthier Nation Loses</v>
      </c>
    </row>
    <row r="1145" spans="1:17" x14ac:dyDescent="0.2">
      <c r="A1145" s="1">
        <v>2270</v>
      </c>
      <c r="B1145" s="2">
        <v>33730</v>
      </c>
      <c r="C1145" s="7">
        <f>_xlfn.FLOOR.MATH(Table1[[#This Row],[year]],10)</f>
        <v>1990</v>
      </c>
      <c r="D1145" t="s">
        <v>44</v>
      </c>
      <c r="E1145" t="s">
        <v>447</v>
      </c>
      <c r="F1145">
        <v>7</v>
      </c>
      <c r="G1145">
        <v>0</v>
      </c>
      <c r="H1145" t="s">
        <v>224</v>
      </c>
      <c r="I1145" t="s">
        <v>425</v>
      </c>
      <c r="J1145" t="s">
        <v>44</v>
      </c>
      <c r="K1145" t="b">
        <v>0</v>
      </c>
      <c r="L1145">
        <v>1992</v>
      </c>
      <c r="M1145">
        <v>25121666666</v>
      </c>
      <c r="N1145">
        <v>912670413</v>
      </c>
      <c r="O1145" t="b">
        <v>1</v>
      </c>
      <c r="P1145">
        <v>1</v>
      </c>
      <c r="Q1145" t="str" cm="1">
        <f t="array" ref="Q1145">_xlfn.IFS(Table1[[#This Row],[Wealthier_Winner]]=-1,"Wealthier Nation Loses",Table1[[#This Row],[Wealthier_Winner]]=0,"Tie",Table1[[#This Row],[Wealthier_Winner]]=1,"Wealthier Nation Wins")</f>
        <v>Wealthier Nation Wins</v>
      </c>
    </row>
    <row r="1146" spans="1:17" x14ac:dyDescent="0.2">
      <c r="A1146" s="1">
        <v>2271</v>
      </c>
      <c r="B1146" s="2">
        <v>33737</v>
      </c>
      <c r="C1146" s="7">
        <f>_xlfn.FLOOR.MATH(Table1[[#This Row],[year]],10)</f>
        <v>1990</v>
      </c>
      <c r="D1146" t="s">
        <v>48</v>
      </c>
      <c r="E1146" t="s">
        <v>66</v>
      </c>
      <c r="F1146">
        <v>1</v>
      </c>
      <c r="G1146">
        <v>0</v>
      </c>
      <c r="H1146" t="s">
        <v>224</v>
      </c>
      <c r="I1146" t="s">
        <v>236</v>
      </c>
      <c r="J1146" t="s">
        <v>48</v>
      </c>
      <c r="K1146" t="b">
        <v>0</v>
      </c>
      <c r="L1146">
        <v>1992</v>
      </c>
      <c r="M1146">
        <v>114608178405</v>
      </c>
      <c r="N1146">
        <v>7328497599</v>
      </c>
      <c r="O1146" t="b">
        <v>1</v>
      </c>
      <c r="P1146">
        <v>1</v>
      </c>
      <c r="Q1146" t="str" cm="1">
        <f t="array" ref="Q1146">_xlfn.IFS(Table1[[#This Row],[Wealthier_Winner]]=-1,"Wealthier Nation Loses",Table1[[#This Row],[Wealthier_Winner]]=0,"Tie",Table1[[#This Row],[Wealthier_Winner]]=1,"Wealthier Nation Wins")</f>
        <v>Wealthier Nation Wins</v>
      </c>
    </row>
    <row r="1147" spans="1:17" x14ac:dyDescent="0.2">
      <c r="A1147" s="1">
        <v>2272</v>
      </c>
      <c r="B1147" s="2">
        <v>33738</v>
      </c>
      <c r="C1147" s="7">
        <f>_xlfn.FLOOR.MATH(Table1[[#This Row],[year]],10)</f>
        <v>1990</v>
      </c>
      <c r="D1147" t="s">
        <v>230</v>
      </c>
      <c r="E1147" t="s">
        <v>33</v>
      </c>
      <c r="F1147">
        <v>0</v>
      </c>
      <c r="G1147">
        <v>3</v>
      </c>
      <c r="H1147" t="s">
        <v>224</v>
      </c>
      <c r="I1147" t="s">
        <v>231</v>
      </c>
      <c r="J1147" t="s">
        <v>230</v>
      </c>
      <c r="K1147" t="b">
        <v>0</v>
      </c>
      <c r="L1147">
        <v>1992</v>
      </c>
      <c r="M1147">
        <v>112537828510</v>
      </c>
      <c r="N1147">
        <v>8602887622</v>
      </c>
      <c r="O1147" t="b">
        <v>1</v>
      </c>
      <c r="P1147">
        <v>-1</v>
      </c>
      <c r="Q1147" t="str" cm="1">
        <f t="array" ref="Q1147">_xlfn.IFS(Table1[[#This Row],[Wealthier_Winner]]=-1,"Wealthier Nation Loses",Table1[[#This Row],[Wealthier_Winner]]=0,"Tie",Table1[[#This Row],[Wealthier_Winner]]=1,"Wealthier Nation Wins")</f>
        <v>Wealthier Nation Loses</v>
      </c>
    </row>
    <row r="1148" spans="1:17" x14ac:dyDescent="0.2">
      <c r="A1148" s="1">
        <v>2275</v>
      </c>
      <c r="B1148" s="2">
        <v>33749</v>
      </c>
      <c r="C1148" s="7">
        <f>_xlfn.FLOOR.MATH(Table1[[#This Row],[year]],10)</f>
        <v>1990</v>
      </c>
      <c r="D1148" t="s">
        <v>70</v>
      </c>
      <c r="E1148" t="s">
        <v>266</v>
      </c>
      <c r="F1148">
        <v>2</v>
      </c>
      <c r="G1148">
        <v>1</v>
      </c>
      <c r="H1148" t="s">
        <v>224</v>
      </c>
      <c r="I1148" t="s">
        <v>280</v>
      </c>
      <c r="J1148" t="s">
        <v>70</v>
      </c>
      <c r="K1148" t="b">
        <v>0</v>
      </c>
      <c r="L1148">
        <v>1992</v>
      </c>
      <c r="M1148">
        <v>2257129791</v>
      </c>
      <c r="N1148">
        <v>1679900000</v>
      </c>
      <c r="O1148" t="b">
        <v>0</v>
      </c>
      <c r="P1148">
        <v>1</v>
      </c>
      <c r="Q1148" t="str" cm="1">
        <f t="array" ref="Q1148">_xlfn.IFS(Table1[[#This Row],[Wealthier_Winner]]=-1,"Wealthier Nation Loses",Table1[[#This Row],[Wealthier_Winner]]=0,"Tie",Table1[[#This Row],[Wealthier_Winner]]=1,"Wealthier Nation Wins")</f>
        <v>Wealthier Nation Wins</v>
      </c>
    </row>
    <row r="1149" spans="1:17" x14ac:dyDescent="0.2">
      <c r="A1149" s="1">
        <v>2276</v>
      </c>
      <c r="B1149" s="2">
        <v>33749</v>
      </c>
      <c r="C1149" s="7">
        <f>_xlfn.FLOOR.MATH(Table1[[#This Row],[year]],10)</f>
        <v>1990</v>
      </c>
      <c r="D1149" t="s">
        <v>252</v>
      </c>
      <c r="E1149" t="s">
        <v>445</v>
      </c>
      <c r="F1149">
        <v>1</v>
      </c>
      <c r="G1149">
        <v>1</v>
      </c>
      <c r="H1149" t="s">
        <v>224</v>
      </c>
      <c r="I1149" t="s">
        <v>255</v>
      </c>
      <c r="J1149" t="s">
        <v>252</v>
      </c>
      <c r="K1149" t="b">
        <v>0</v>
      </c>
      <c r="L1149">
        <v>1992</v>
      </c>
      <c r="M1149">
        <v>404600000</v>
      </c>
      <c r="N1149">
        <v>373573141</v>
      </c>
      <c r="O1149" t="b">
        <v>0</v>
      </c>
      <c r="P1149">
        <v>0</v>
      </c>
      <c r="Q1149" t="str" cm="1">
        <f t="array" ref="Q1149">_xlfn.IFS(Table1[[#This Row],[Wealthier_Winner]]=-1,"Wealthier Nation Loses",Table1[[#This Row],[Wealthier_Winner]]=0,"Tie",Table1[[#This Row],[Wealthier_Winner]]=1,"Wealthier Nation Wins")</f>
        <v>Tie</v>
      </c>
    </row>
    <row r="1150" spans="1:17" x14ac:dyDescent="0.2">
      <c r="A1150" s="1">
        <v>2279</v>
      </c>
      <c r="B1150" s="2">
        <v>33755</v>
      </c>
      <c r="C1150" s="7">
        <f>_xlfn.FLOOR.MATH(Table1[[#This Row],[year]],10)</f>
        <v>1990</v>
      </c>
      <c r="D1150" t="s">
        <v>59</v>
      </c>
      <c r="E1150" t="s">
        <v>443</v>
      </c>
      <c r="F1150">
        <v>3</v>
      </c>
      <c r="G1150">
        <v>0</v>
      </c>
      <c r="H1150" t="s">
        <v>224</v>
      </c>
      <c r="I1150" t="s">
        <v>253</v>
      </c>
      <c r="J1150" t="s">
        <v>59</v>
      </c>
      <c r="K1150" t="b">
        <v>0</v>
      </c>
      <c r="L1150">
        <v>1992</v>
      </c>
      <c r="M1150">
        <v>5439552941</v>
      </c>
      <c r="N1150">
        <v>1957000000</v>
      </c>
      <c r="O1150" t="b">
        <v>1</v>
      </c>
      <c r="P1150">
        <v>1</v>
      </c>
      <c r="Q1150" t="str" cm="1">
        <f t="array" ref="Q1150">_xlfn.IFS(Table1[[#This Row],[Wealthier_Winner]]=-1,"Wealthier Nation Loses",Table1[[#This Row],[Wealthier_Winner]]=0,"Tie",Table1[[#This Row],[Wealthier_Winner]]=1,"Wealthier Nation Wins")</f>
        <v>Wealthier Nation Wins</v>
      </c>
    </row>
    <row r="1151" spans="1:17" x14ac:dyDescent="0.2">
      <c r="A1151" s="1">
        <v>2281</v>
      </c>
      <c r="B1151" s="2">
        <v>33758</v>
      </c>
      <c r="C1151" s="7">
        <f>_xlfn.FLOOR.MATH(Table1[[#This Row],[year]],10)</f>
        <v>1990</v>
      </c>
      <c r="D1151" t="s">
        <v>447</v>
      </c>
      <c r="E1151" t="s">
        <v>23</v>
      </c>
      <c r="F1151">
        <v>0</v>
      </c>
      <c r="G1151">
        <v>3</v>
      </c>
      <c r="H1151" t="s">
        <v>224</v>
      </c>
      <c r="I1151" t="s">
        <v>448</v>
      </c>
      <c r="J1151" t="s">
        <v>447</v>
      </c>
      <c r="K1151" t="b">
        <v>0</v>
      </c>
      <c r="L1151">
        <v>1992</v>
      </c>
      <c r="M1151">
        <v>912670413</v>
      </c>
      <c r="N1151">
        <v>234781652446</v>
      </c>
      <c r="O1151" t="b">
        <v>1</v>
      </c>
      <c r="P1151">
        <v>1</v>
      </c>
      <c r="Q1151" t="str" cm="1">
        <f t="array" ref="Q1151">_xlfn.IFS(Table1[[#This Row],[Wealthier_Winner]]=-1,"Wealthier Nation Loses",Table1[[#This Row],[Wealthier_Winner]]=0,"Tie",Table1[[#This Row],[Wealthier_Winner]]=1,"Wealthier Nation Wins")</f>
        <v>Wealthier Nation Wins</v>
      </c>
    </row>
    <row r="1152" spans="1:17" x14ac:dyDescent="0.2">
      <c r="A1152" s="1">
        <v>2282</v>
      </c>
      <c r="B1152" s="2">
        <v>33758</v>
      </c>
      <c r="C1152" s="7">
        <f>_xlfn.FLOOR.MATH(Table1[[#This Row],[year]],10)</f>
        <v>1990</v>
      </c>
      <c r="D1152" t="s">
        <v>30</v>
      </c>
      <c r="E1152" t="s">
        <v>66</v>
      </c>
      <c r="F1152">
        <v>1</v>
      </c>
      <c r="G1152">
        <v>2</v>
      </c>
      <c r="H1152" t="s">
        <v>224</v>
      </c>
      <c r="I1152" t="s">
        <v>297</v>
      </c>
      <c r="J1152" t="s">
        <v>30</v>
      </c>
      <c r="K1152" t="b">
        <v>0</v>
      </c>
      <c r="L1152">
        <v>1992</v>
      </c>
      <c r="M1152">
        <v>38857339124</v>
      </c>
      <c r="N1152">
        <v>7328497599</v>
      </c>
      <c r="O1152" t="b">
        <v>1</v>
      </c>
      <c r="P1152">
        <v>-1</v>
      </c>
      <c r="Q1152" t="str" cm="1">
        <f t="array" ref="Q1152">_xlfn.IFS(Table1[[#This Row],[Wealthier_Winner]]=-1,"Wealthier Nation Loses",Table1[[#This Row],[Wealthier_Winner]]=0,"Tie",Table1[[#This Row],[Wealthier_Winner]]=1,"Wealthier Nation Wins")</f>
        <v>Wealthier Nation Loses</v>
      </c>
    </row>
    <row r="1153" spans="1:17" x14ac:dyDescent="0.2">
      <c r="A1153" s="1">
        <v>2283</v>
      </c>
      <c r="B1153" s="2">
        <v>33762</v>
      </c>
      <c r="C1153" s="7">
        <f>_xlfn.FLOOR.MATH(Table1[[#This Row],[year]],10)</f>
        <v>1990</v>
      </c>
      <c r="D1153" t="s">
        <v>72</v>
      </c>
      <c r="E1153" t="s">
        <v>384</v>
      </c>
      <c r="F1153">
        <v>3</v>
      </c>
      <c r="G1153">
        <v>0</v>
      </c>
      <c r="H1153" t="s">
        <v>224</v>
      </c>
      <c r="I1153" t="s">
        <v>327</v>
      </c>
      <c r="J1153" t="s">
        <v>72</v>
      </c>
      <c r="K1153" t="b">
        <v>0</v>
      </c>
      <c r="L1153">
        <v>1992</v>
      </c>
      <c r="M1153">
        <v>41649829859</v>
      </c>
      <c r="N1153">
        <v>1532411039</v>
      </c>
      <c r="O1153" t="b">
        <v>1</v>
      </c>
      <c r="P1153">
        <v>1</v>
      </c>
      <c r="Q1153" t="str" cm="1">
        <f t="array" ref="Q1153">_xlfn.IFS(Table1[[#This Row],[Wealthier_Winner]]=-1,"Wealthier Nation Loses",Table1[[#This Row],[Wealthier_Winner]]=0,"Tie",Table1[[#This Row],[Wealthier_Winner]]=1,"Wealthier Nation Wins")</f>
        <v>Wealthier Nation Wins</v>
      </c>
    </row>
    <row r="1154" spans="1:17" x14ac:dyDescent="0.2">
      <c r="A1154" s="1">
        <v>2284</v>
      </c>
      <c r="B1154" s="2">
        <v>33769</v>
      </c>
      <c r="C1154" s="7">
        <f>_xlfn.FLOOR.MATH(Table1[[#This Row],[year]],10)</f>
        <v>1990</v>
      </c>
      <c r="D1154" t="s">
        <v>449</v>
      </c>
      <c r="E1154" t="s">
        <v>266</v>
      </c>
      <c r="F1154">
        <v>0</v>
      </c>
      <c r="G1154">
        <v>3</v>
      </c>
      <c r="H1154" t="s">
        <v>224</v>
      </c>
      <c r="I1154" t="s">
        <v>450</v>
      </c>
      <c r="J1154" t="s">
        <v>449</v>
      </c>
      <c r="K1154" t="b">
        <v>0</v>
      </c>
      <c r="L1154">
        <v>1992</v>
      </c>
      <c r="M1154">
        <v>525133333</v>
      </c>
      <c r="N1154">
        <v>1679900000</v>
      </c>
      <c r="O1154" t="b">
        <v>1</v>
      </c>
      <c r="P1154">
        <v>1</v>
      </c>
      <c r="Q1154" t="str" cm="1">
        <f t="array" ref="Q1154">_xlfn.IFS(Table1[[#This Row],[Wealthier_Winner]]=-1,"Wealthier Nation Loses",Table1[[#This Row],[Wealthier_Winner]]=0,"Tie",Table1[[#This Row],[Wealthier_Winner]]=1,"Wealthier Nation Wins")</f>
        <v>Wealthier Nation Wins</v>
      </c>
    </row>
    <row r="1155" spans="1:17" x14ac:dyDescent="0.2">
      <c r="A1155" s="1">
        <v>2285</v>
      </c>
      <c r="B1155" s="2">
        <v>33771</v>
      </c>
      <c r="C1155" s="7">
        <f>_xlfn.FLOOR.MATH(Table1[[#This Row],[year]],10)</f>
        <v>1990</v>
      </c>
      <c r="D1155" t="s">
        <v>447</v>
      </c>
      <c r="E1155" t="s">
        <v>351</v>
      </c>
      <c r="F1155">
        <v>0</v>
      </c>
      <c r="G1155">
        <v>2</v>
      </c>
      <c r="H1155" t="s">
        <v>224</v>
      </c>
      <c r="I1155" t="s">
        <v>448</v>
      </c>
      <c r="J1155" t="s">
        <v>447</v>
      </c>
      <c r="K1155" t="b">
        <v>0</v>
      </c>
      <c r="L1155">
        <v>1992</v>
      </c>
      <c r="M1155">
        <v>912670413</v>
      </c>
      <c r="N1155">
        <v>6912150456</v>
      </c>
      <c r="O1155" t="b">
        <v>1</v>
      </c>
      <c r="P1155">
        <v>1</v>
      </c>
      <c r="Q1155" t="str" cm="1">
        <f t="array" ref="Q1155">_xlfn.IFS(Table1[[#This Row],[Wealthier_Winner]]=-1,"Wealthier Nation Loses",Table1[[#This Row],[Wealthier_Winner]]=0,"Tie",Table1[[#This Row],[Wealthier_Winner]]=1,"Wealthier Nation Wins")</f>
        <v>Wealthier Nation Wins</v>
      </c>
    </row>
    <row r="1156" spans="1:17" x14ac:dyDescent="0.2">
      <c r="A1156" s="1">
        <v>2286</v>
      </c>
      <c r="B1156" s="2">
        <v>33782</v>
      </c>
      <c r="C1156" s="7">
        <f>_xlfn.FLOOR.MATH(Table1[[#This Row],[year]],10)</f>
        <v>1990</v>
      </c>
      <c r="D1156" t="s">
        <v>451</v>
      </c>
      <c r="E1156" t="s">
        <v>72</v>
      </c>
      <c r="F1156">
        <v>1</v>
      </c>
      <c r="G1156">
        <v>4</v>
      </c>
      <c r="H1156" t="s">
        <v>224</v>
      </c>
      <c r="I1156" t="s">
        <v>452</v>
      </c>
      <c r="J1156" t="s">
        <v>451</v>
      </c>
      <c r="K1156" t="b">
        <v>0</v>
      </c>
      <c r="L1156">
        <v>1992</v>
      </c>
      <c r="M1156">
        <v>209088824</v>
      </c>
      <c r="N1156">
        <v>41649829859</v>
      </c>
      <c r="O1156" t="b">
        <v>1</v>
      </c>
      <c r="P1156">
        <v>1</v>
      </c>
      <c r="Q1156" t="str" cm="1">
        <f t="array" ref="Q1156">_xlfn.IFS(Table1[[#This Row],[Wealthier_Winner]]=-1,"Wealthier Nation Loses",Table1[[#This Row],[Wealthier_Winner]]=0,"Tie",Table1[[#This Row],[Wealthier_Winner]]=1,"Wealthier Nation Wins")</f>
        <v>Wealthier Nation Wins</v>
      </c>
    </row>
    <row r="1157" spans="1:17" x14ac:dyDescent="0.2">
      <c r="A1157" s="1">
        <v>2287</v>
      </c>
      <c r="B1157" s="2">
        <v>33786</v>
      </c>
      <c r="C1157" s="7">
        <f>_xlfn.FLOOR.MATH(Table1[[#This Row],[year]],10)</f>
        <v>1990</v>
      </c>
      <c r="D1157" t="s">
        <v>72</v>
      </c>
      <c r="E1157" t="s">
        <v>451</v>
      </c>
      <c r="F1157">
        <v>8</v>
      </c>
      <c r="G1157">
        <v>0</v>
      </c>
      <c r="H1157" t="s">
        <v>224</v>
      </c>
      <c r="I1157" t="s">
        <v>327</v>
      </c>
      <c r="J1157" t="s">
        <v>72</v>
      </c>
      <c r="K1157" t="b">
        <v>0</v>
      </c>
      <c r="L1157">
        <v>1992</v>
      </c>
      <c r="M1157">
        <v>41649829859</v>
      </c>
      <c r="N1157">
        <v>209088824</v>
      </c>
      <c r="O1157" t="b">
        <v>1</v>
      </c>
      <c r="P1157">
        <v>1</v>
      </c>
      <c r="Q1157" t="str" cm="1">
        <f t="array" ref="Q1157">_xlfn.IFS(Table1[[#This Row],[Wealthier_Winner]]=-1,"Wealthier Nation Loses",Table1[[#This Row],[Wealthier_Winner]]=0,"Tie",Table1[[#This Row],[Wealthier_Winner]]=1,"Wealthier Nation Wins")</f>
        <v>Wealthier Nation Wins</v>
      </c>
    </row>
    <row r="1158" spans="1:17" x14ac:dyDescent="0.2">
      <c r="A1158" s="1">
        <v>2288</v>
      </c>
      <c r="B1158" s="2">
        <v>33789</v>
      </c>
      <c r="C1158" s="7">
        <f>_xlfn.FLOOR.MATH(Table1[[#This Row],[year]],10)</f>
        <v>1990</v>
      </c>
      <c r="D1158" t="s">
        <v>266</v>
      </c>
      <c r="E1158" t="s">
        <v>449</v>
      </c>
      <c r="F1158">
        <v>2</v>
      </c>
      <c r="G1158">
        <v>1</v>
      </c>
      <c r="H1158" t="s">
        <v>224</v>
      </c>
      <c r="I1158" t="s">
        <v>271</v>
      </c>
      <c r="J1158" t="s">
        <v>266</v>
      </c>
      <c r="K1158" t="b">
        <v>0</v>
      </c>
      <c r="L1158">
        <v>1992</v>
      </c>
      <c r="M1158">
        <v>1679900000</v>
      </c>
      <c r="N1158">
        <v>525133333</v>
      </c>
      <c r="O1158" t="b">
        <v>1</v>
      </c>
      <c r="P1158">
        <v>1</v>
      </c>
      <c r="Q1158" t="str" cm="1">
        <f t="array" ref="Q1158">_xlfn.IFS(Table1[[#This Row],[Wealthier_Winner]]=-1,"Wealthier Nation Loses",Table1[[#This Row],[Wealthier_Winner]]=0,"Tie",Table1[[#This Row],[Wealthier_Winner]]=1,"Wealthier Nation Wins")</f>
        <v>Wealthier Nation Wins</v>
      </c>
    </row>
    <row r="1159" spans="1:17" x14ac:dyDescent="0.2">
      <c r="A1159" s="1">
        <v>2289</v>
      </c>
      <c r="B1159" s="2">
        <v>33790</v>
      </c>
      <c r="C1159" s="7">
        <f>_xlfn.FLOOR.MATH(Table1[[#This Row],[year]],10)</f>
        <v>1990</v>
      </c>
      <c r="D1159" t="s">
        <v>59</v>
      </c>
      <c r="E1159" t="s">
        <v>49</v>
      </c>
      <c r="F1159">
        <v>1</v>
      </c>
      <c r="G1159">
        <v>2</v>
      </c>
      <c r="H1159" t="s">
        <v>224</v>
      </c>
      <c r="I1159" t="s">
        <v>253</v>
      </c>
      <c r="J1159" t="s">
        <v>59</v>
      </c>
      <c r="K1159" t="b">
        <v>0</v>
      </c>
      <c r="L1159">
        <v>1992</v>
      </c>
      <c r="M1159">
        <v>5439552941</v>
      </c>
      <c r="N1159">
        <v>3535460089</v>
      </c>
      <c r="O1159" t="b">
        <v>0</v>
      </c>
      <c r="P1159">
        <v>-1</v>
      </c>
      <c r="Q1159" t="str" cm="1">
        <f t="array" ref="Q1159">_xlfn.IFS(Table1[[#This Row],[Wealthier_Winner]]=-1,"Wealthier Nation Loses",Table1[[#This Row],[Wealthier_Winner]]=0,"Tie",Table1[[#This Row],[Wealthier_Winner]]=1,"Wealthier Nation Wins")</f>
        <v>Wealthier Nation Loses</v>
      </c>
    </row>
    <row r="1160" spans="1:17" x14ac:dyDescent="0.2">
      <c r="A1160" s="1">
        <v>2291</v>
      </c>
      <c r="B1160" s="2">
        <v>33804</v>
      </c>
      <c r="C1160" s="7">
        <f>_xlfn.FLOOR.MATH(Table1[[#This Row],[year]],10)</f>
        <v>1990</v>
      </c>
      <c r="D1160" t="s">
        <v>223</v>
      </c>
      <c r="E1160" t="s">
        <v>65</v>
      </c>
      <c r="F1160">
        <v>0</v>
      </c>
      <c r="G1160">
        <v>0</v>
      </c>
      <c r="H1160" t="s">
        <v>224</v>
      </c>
      <c r="I1160" t="s">
        <v>227</v>
      </c>
      <c r="J1160" t="s">
        <v>223</v>
      </c>
      <c r="K1160" t="b">
        <v>0</v>
      </c>
      <c r="L1160">
        <v>1992</v>
      </c>
      <c r="M1160">
        <v>10440781587</v>
      </c>
      <c r="N1160">
        <v>4122846905</v>
      </c>
      <c r="O1160" t="b">
        <v>1</v>
      </c>
      <c r="P1160">
        <v>0</v>
      </c>
      <c r="Q1160" t="str" cm="1">
        <f t="array" ref="Q1160">_xlfn.IFS(Table1[[#This Row],[Wealthier_Winner]]=-1,"Wealthier Nation Loses",Table1[[#This Row],[Wealthier_Winner]]=0,"Tie",Table1[[#This Row],[Wealthier_Winner]]=1,"Wealthier Nation Wins")</f>
        <v>Tie</v>
      </c>
    </row>
    <row r="1161" spans="1:17" x14ac:dyDescent="0.2">
      <c r="A1161" s="1">
        <v>2292</v>
      </c>
      <c r="B1161" s="2">
        <v>33804</v>
      </c>
      <c r="C1161" s="7">
        <f>_xlfn.FLOOR.MATH(Table1[[#This Row],[year]],10)</f>
        <v>1990</v>
      </c>
      <c r="D1161" t="s">
        <v>453</v>
      </c>
      <c r="E1161" t="s">
        <v>69</v>
      </c>
      <c r="F1161">
        <v>0</v>
      </c>
      <c r="G1161">
        <v>5</v>
      </c>
      <c r="H1161" t="s">
        <v>224</v>
      </c>
      <c r="I1161" t="s">
        <v>454</v>
      </c>
      <c r="J1161" t="s">
        <v>453</v>
      </c>
      <c r="K1161" t="b">
        <v>0</v>
      </c>
      <c r="L1161">
        <v>1992</v>
      </c>
      <c r="M1161">
        <v>1792800000</v>
      </c>
      <c r="N1161">
        <v>5813399300</v>
      </c>
      <c r="O1161" t="b">
        <v>1</v>
      </c>
      <c r="P1161">
        <v>1</v>
      </c>
      <c r="Q1161" t="str" cm="1">
        <f t="array" ref="Q1161">_xlfn.IFS(Table1[[#This Row],[Wealthier_Winner]]=-1,"Wealthier Nation Loses",Table1[[#This Row],[Wealthier_Winner]]=0,"Tie",Table1[[#This Row],[Wealthier_Winner]]=1,"Wealthier Nation Wins")</f>
        <v>Wealthier Nation Wins</v>
      </c>
    </row>
    <row r="1162" spans="1:17" x14ac:dyDescent="0.2">
      <c r="A1162" s="1">
        <v>2293</v>
      </c>
      <c r="B1162" s="2">
        <v>33808</v>
      </c>
      <c r="C1162" s="7">
        <f>_xlfn.FLOOR.MATH(Table1[[#This Row],[year]],10)</f>
        <v>1990</v>
      </c>
      <c r="D1162" t="s">
        <v>69</v>
      </c>
      <c r="E1162" t="s">
        <v>453</v>
      </c>
      <c r="F1162">
        <v>5</v>
      </c>
      <c r="G1162">
        <v>1</v>
      </c>
      <c r="H1162" t="s">
        <v>224</v>
      </c>
      <c r="I1162" t="s">
        <v>281</v>
      </c>
      <c r="J1162" t="s">
        <v>69</v>
      </c>
      <c r="K1162" t="b">
        <v>0</v>
      </c>
      <c r="L1162">
        <v>1992</v>
      </c>
      <c r="M1162">
        <v>5813399300</v>
      </c>
      <c r="N1162">
        <v>1792800000</v>
      </c>
      <c r="O1162" t="b">
        <v>1</v>
      </c>
      <c r="P1162">
        <v>1</v>
      </c>
      <c r="Q1162" t="str" cm="1">
        <f t="array" ref="Q1162">_xlfn.IFS(Table1[[#This Row],[Wealthier_Winner]]=-1,"Wealthier Nation Loses",Table1[[#This Row],[Wealthier_Winner]]=0,"Tie",Table1[[#This Row],[Wealthier_Winner]]=1,"Wealthier Nation Wins")</f>
        <v>Wealthier Nation Wins</v>
      </c>
    </row>
    <row r="1163" spans="1:17" x14ac:dyDescent="0.2">
      <c r="A1163" s="1">
        <v>2294</v>
      </c>
      <c r="B1163" s="2">
        <v>33811</v>
      </c>
      <c r="C1163" s="7">
        <f>_xlfn.FLOOR.MATH(Table1[[#This Row],[year]],10)</f>
        <v>1990</v>
      </c>
      <c r="D1163" t="s">
        <v>65</v>
      </c>
      <c r="E1163" t="s">
        <v>223</v>
      </c>
      <c r="F1163">
        <v>2</v>
      </c>
      <c r="G1163">
        <v>0</v>
      </c>
      <c r="H1163" t="s">
        <v>224</v>
      </c>
      <c r="I1163" t="s">
        <v>228</v>
      </c>
      <c r="J1163" t="s">
        <v>65</v>
      </c>
      <c r="K1163" t="b">
        <v>0</v>
      </c>
      <c r="L1163">
        <v>1992</v>
      </c>
      <c r="M1163">
        <v>4122846905</v>
      </c>
      <c r="N1163">
        <v>10440781587</v>
      </c>
      <c r="O1163" t="b">
        <v>1</v>
      </c>
      <c r="P1163">
        <v>-1</v>
      </c>
      <c r="Q1163" t="str" cm="1">
        <f t="array" ref="Q1163">_xlfn.IFS(Table1[[#This Row],[Wealthier_Winner]]=-1,"Wealthier Nation Loses",Table1[[#This Row],[Wealthier_Winner]]=0,"Tie",Table1[[#This Row],[Wealthier_Winner]]=1,"Wealthier Nation Wins")</f>
        <v>Wealthier Nation Loses</v>
      </c>
    </row>
    <row r="1164" spans="1:17" x14ac:dyDescent="0.2">
      <c r="A1164" s="1">
        <v>2297</v>
      </c>
      <c r="B1164" s="2">
        <v>33832</v>
      </c>
      <c r="C1164" s="7">
        <f>_xlfn.FLOOR.MATH(Table1[[#This Row],[year]],10)</f>
        <v>1990</v>
      </c>
      <c r="D1164" t="s">
        <v>49</v>
      </c>
      <c r="E1164" t="s">
        <v>59</v>
      </c>
      <c r="F1164">
        <v>1</v>
      </c>
      <c r="G1164">
        <v>1</v>
      </c>
      <c r="H1164" t="s">
        <v>224</v>
      </c>
      <c r="I1164" t="s">
        <v>257</v>
      </c>
      <c r="J1164" t="s">
        <v>49</v>
      </c>
      <c r="K1164" t="b">
        <v>0</v>
      </c>
      <c r="L1164">
        <v>1992</v>
      </c>
      <c r="M1164">
        <v>3535460089</v>
      </c>
      <c r="N1164">
        <v>5439552941</v>
      </c>
      <c r="O1164" t="b">
        <v>0</v>
      </c>
      <c r="P1164">
        <v>0</v>
      </c>
      <c r="Q1164" t="str" cm="1">
        <f t="array" ref="Q1164">_xlfn.IFS(Table1[[#This Row],[Wealthier_Winner]]=-1,"Wealthier Nation Loses",Table1[[#This Row],[Wealthier_Winner]]=0,"Tie",Table1[[#This Row],[Wealthier_Winner]]=1,"Wealthier Nation Wins")</f>
        <v>Tie</v>
      </c>
    </row>
    <row r="1165" spans="1:17" x14ac:dyDescent="0.2">
      <c r="A1165" s="1">
        <v>2299</v>
      </c>
      <c r="B1165" s="2">
        <v>33832</v>
      </c>
      <c r="C1165" s="7">
        <f>_xlfn.FLOOR.MATH(Table1[[#This Row],[year]],10)</f>
        <v>1990</v>
      </c>
      <c r="D1165" t="s">
        <v>67</v>
      </c>
      <c r="E1165" t="s">
        <v>56</v>
      </c>
      <c r="F1165">
        <v>1</v>
      </c>
      <c r="G1165">
        <v>0</v>
      </c>
      <c r="H1165" t="s">
        <v>224</v>
      </c>
      <c r="I1165" t="s">
        <v>455</v>
      </c>
      <c r="J1165" t="s">
        <v>67</v>
      </c>
      <c r="K1165" t="b">
        <v>0</v>
      </c>
      <c r="L1165">
        <v>1992</v>
      </c>
      <c r="M1165">
        <v>8042337700</v>
      </c>
      <c r="N1165">
        <v>8579754757</v>
      </c>
      <c r="O1165" t="b">
        <v>0</v>
      </c>
      <c r="P1165">
        <v>-1</v>
      </c>
      <c r="Q1165" t="str" cm="1">
        <f t="array" ref="Q1165">_xlfn.IFS(Table1[[#This Row],[Wealthier_Winner]]=-1,"Wealthier Nation Loses",Table1[[#This Row],[Wealthier_Winner]]=0,"Tie",Table1[[#This Row],[Wealthier_Winner]]=1,"Wealthier Nation Wins")</f>
        <v>Wealthier Nation Loses</v>
      </c>
    </row>
    <row r="1166" spans="1:17" x14ac:dyDescent="0.2">
      <c r="A1166" s="1">
        <v>2300</v>
      </c>
      <c r="B1166" s="2">
        <v>33839</v>
      </c>
      <c r="C1166" s="7">
        <f>_xlfn.FLOOR.MATH(Table1[[#This Row],[year]],10)</f>
        <v>1990</v>
      </c>
      <c r="D1166" t="s">
        <v>56</v>
      </c>
      <c r="E1166" t="s">
        <v>67</v>
      </c>
      <c r="F1166">
        <v>5</v>
      </c>
      <c r="G1166">
        <v>1</v>
      </c>
      <c r="H1166" t="s">
        <v>224</v>
      </c>
      <c r="I1166" t="s">
        <v>225</v>
      </c>
      <c r="J1166" t="s">
        <v>56</v>
      </c>
      <c r="K1166" t="b">
        <v>0</v>
      </c>
      <c r="L1166">
        <v>1992</v>
      </c>
      <c r="M1166">
        <v>8579754757</v>
      </c>
      <c r="N1166">
        <v>8042337700</v>
      </c>
      <c r="O1166" t="b">
        <v>0</v>
      </c>
      <c r="P1166">
        <v>1</v>
      </c>
      <c r="Q1166" t="str" cm="1">
        <f t="array" ref="Q1166">_xlfn.IFS(Table1[[#This Row],[Wealthier_Winner]]=-1,"Wealthier Nation Loses",Table1[[#This Row],[Wealthier_Winner]]=0,"Tie",Table1[[#This Row],[Wealthier_Winner]]=1,"Wealthier Nation Wins")</f>
        <v>Wealthier Nation Wins</v>
      </c>
    </row>
    <row r="1167" spans="1:17" x14ac:dyDescent="0.2">
      <c r="A1167" s="1">
        <v>2304</v>
      </c>
      <c r="B1167" s="2">
        <v>33851</v>
      </c>
      <c r="C1167" s="7">
        <f>_xlfn.FLOOR.MATH(Table1[[#This Row],[year]],10)</f>
        <v>1990</v>
      </c>
      <c r="D1167" t="s">
        <v>456</v>
      </c>
      <c r="E1167" t="s">
        <v>28</v>
      </c>
      <c r="F1167">
        <v>1</v>
      </c>
      <c r="G1167">
        <v>2</v>
      </c>
      <c r="H1167" t="s">
        <v>224</v>
      </c>
      <c r="I1167" t="s">
        <v>457</v>
      </c>
      <c r="J1167" t="s">
        <v>456</v>
      </c>
      <c r="K1167" t="b">
        <v>0</v>
      </c>
      <c r="L1167">
        <v>1992</v>
      </c>
      <c r="M1167">
        <v>269034595</v>
      </c>
      <c r="N1167">
        <v>325982966981</v>
      </c>
      <c r="O1167" t="b">
        <v>1</v>
      </c>
      <c r="P1167">
        <v>1</v>
      </c>
      <c r="Q1167" t="str" cm="1">
        <f t="array" ref="Q1167">_xlfn.IFS(Table1[[#This Row],[Wealthier_Winner]]=-1,"Wealthier Nation Loses",Table1[[#This Row],[Wealthier_Winner]]=0,"Tie",Table1[[#This Row],[Wealthier_Winner]]=1,"Wealthier Nation Wins")</f>
        <v>Wealthier Nation Wins</v>
      </c>
    </row>
    <row r="1168" spans="1:17" x14ac:dyDescent="0.2">
      <c r="A1168" s="1">
        <v>2305</v>
      </c>
      <c r="B1168" s="2">
        <v>33856</v>
      </c>
      <c r="C1168" s="7">
        <f>_xlfn.FLOOR.MATH(Table1[[#This Row],[year]],10)</f>
        <v>1990</v>
      </c>
      <c r="D1168" t="s">
        <v>33</v>
      </c>
      <c r="E1168" t="s">
        <v>20</v>
      </c>
      <c r="F1168">
        <v>2</v>
      </c>
      <c r="G1168">
        <v>0</v>
      </c>
      <c r="H1168" t="s">
        <v>224</v>
      </c>
      <c r="I1168" t="s">
        <v>375</v>
      </c>
      <c r="J1168" t="s">
        <v>33</v>
      </c>
      <c r="K1168" t="b">
        <v>0</v>
      </c>
      <c r="L1168">
        <v>1992</v>
      </c>
      <c r="M1168">
        <v>8602887622</v>
      </c>
      <c r="N1168">
        <v>1389663073110</v>
      </c>
      <c r="O1168" t="b">
        <v>1</v>
      </c>
      <c r="P1168">
        <v>-1</v>
      </c>
      <c r="Q1168" t="str" cm="1">
        <f t="array" ref="Q1168">_xlfn.IFS(Table1[[#This Row],[Wealthier_Winner]]=-1,"Wealthier Nation Loses",Table1[[#This Row],[Wealthier_Winner]]=0,"Tie",Table1[[#This Row],[Wealthier_Winner]]=1,"Wealthier Nation Wins")</f>
        <v>Wealthier Nation Loses</v>
      </c>
    </row>
    <row r="1169" spans="1:17" x14ac:dyDescent="0.2">
      <c r="A1169" s="1">
        <v>2306</v>
      </c>
      <c r="B1169" s="2">
        <v>33856</v>
      </c>
      <c r="C1169" s="7">
        <f>_xlfn.FLOOR.MATH(Table1[[#This Row],[year]],10)</f>
        <v>1990</v>
      </c>
      <c r="D1169" t="s">
        <v>230</v>
      </c>
      <c r="E1169" t="s">
        <v>25</v>
      </c>
      <c r="F1169">
        <v>0</v>
      </c>
      <c r="G1169">
        <v>1</v>
      </c>
      <c r="H1169" t="s">
        <v>224</v>
      </c>
      <c r="I1169" t="s">
        <v>231</v>
      </c>
      <c r="J1169" t="s">
        <v>230</v>
      </c>
      <c r="K1169" t="b">
        <v>0</v>
      </c>
      <c r="L1169">
        <v>1992</v>
      </c>
      <c r="M1169">
        <v>112537828510</v>
      </c>
      <c r="N1169">
        <v>283908914454</v>
      </c>
      <c r="O1169" t="b">
        <v>1</v>
      </c>
      <c r="P1169">
        <v>1</v>
      </c>
      <c r="Q1169" t="str" cm="1">
        <f t="array" ref="Q1169">_xlfn.IFS(Table1[[#This Row],[Wealthier_Winner]]=-1,"Wealthier Nation Loses",Table1[[#This Row],[Wealthier_Winner]]=0,"Tie",Table1[[#This Row],[Wealthier_Winner]]=1,"Wealthier Nation Wins")</f>
        <v>Wealthier Nation Wins</v>
      </c>
    </row>
    <row r="1170" spans="1:17" x14ac:dyDescent="0.2">
      <c r="A1170" s="1">
        <v>2308</v>
      </c>
      <c r="B1170" s="2">
        <v>33856</v>
      </c>
      <c r="C1170" s="7">
        <f>_xlfn.FLOOR.MATH(Table1[[#This Row],[year]],10)</f>
        <v>1990</v>
      </c>
      <c r="D1170" t="s">
        <v>232</v>
      </c>
      <c r="E1170" t="s">
        <v>30</v>
      </c>
      <c r="F1170">
        <v>0</v>
      </c>
      <c r="G1170">
        <v>3</v>
      </c>
      <c r="H1170" t="s">
        <v>224</v>
      </c>
      <c r="I1170" t="s">
        <v>232</v>
      </c>
      <c r="J1170" t="s">
        <v>232</v>
      </c>
      <c r="K1170" t="b">
        <v>0</v>
      </c>
      <c r="L1170">
        <v>1992</v>
      </c>
      <c r="M1170">
        <v>15518702634</v>
      </c>
      <c r="N1170">
        <v>38857339124</v>
      </c>
      <c r="O1170" t="b">
        <v>1</v>
      </c>
      <c r="P1170">
        <v>1</v>
      </c>
      <c r="Q1170" t="str" cm="1">
        <f t="array" ref="Q1170">_xlfn.IFS(Table1[[#This Row],[Wealthier_Winner]]=-1,"Wealthier Nation Loses",Table1[[#This Row],[Wealthier_Winner]]=0,"Tie",Table1[[#This Row],[Wealthier_Winner]]=1,"Wealthier Nation Wins")</f>
        <v>Wealthier Nation Wins</v>
      </c>
    </row>
    <row r="1171" spans="1:17" x14ac:dyDescent="0.2">
      <c r="A1171" s="1">
        <v>2314</v>
      </c>
      <c r="B1171" s="2">
        <v>33859</v>
      </c>
      <c r="C1171" s="7">
        <f>_xlfn.FLOOR.MATH(Table1[[#This Row],[year]],10)</f>
        <v>1990</v>
      </c>
      <c r="D1171" t="s">
        <v>384</v>
      </c>
      <c r="E1171" t="s">
        <v>451</v>
      </c>
      <c r="F1171">
        <v>3</v>
      </c>
      <c r="G1171">
        <v>0</v>
      </c>
      <c r="H1171" t="s">
        <v>224</v>
      </c>
      <c r="I1171" t="s">
        <v>458</v>
      </c>
      <c r="J1171" t="s">
        <v>384</v>
      </c>
      <c r="K1171" t="b">
        <v>0</v>
      </c>
      <c r="L1171">
        <v>1992</v>
      </c>
      <c r="M1171">
        <v>1532411039</v>
      </c>
      <c r="N1171">
        <v>209088824</v>
      </c>
      <c r="O1171" t="b">
        <v>1</v>
      </c>
      <c r="P1171">
        <v>1</v>
      </c>
      <c r="Q1171" t="str" cm="1">
        <f t="array" ref="Q1171">_xlfn.IFS(Table1[[#This Row],[Wealthier_Winner]]=-1,"Wealthier Nation Loses",Table1[[#This Row],[Wealthier_Winner]]=0,"Tie",Table1[[#This Row],[Wealthier_Winner]]=1,"Wealthier Nation Wins")</f>
        <v>Wealthier Nation Wins</v>
      </c>
    </row>
    <row r="1172" spans="1:17" x14ac:dyDescent="0.2">
      <c r="A1172" s="1">
        <v>2319</v>
      </c>
      <c r="B1172" s="2">
        <v>33870</v>
      </c>
      <c r="C1172" s="7">
        <f>_xlfn.FLOOR.MATH(Table1[[#This Row],[year]],10)</f>
        <v>1990</v>
      </c>
      <c r="D1172" t="s">
        <v>42</v>
      </c>
      <c r="E1172" t="s">
        <v>27</v>
      </c>
      <c r="F1172">
        <v>2</v>
      </c>
      <c r="G1172">
        <v>1</v>
      </c>
      <c r="H1172" t="s">
        <v>224</v>
      </c>
      <c r="I1172" t="s">
        <v>262</v>
      </c>
      <c r="J1172" t="s">
        <v>42</v>
      </c>
      <c r="K1172" t="b">
        <v>0</v>
      </c>
      <c r="L1172">
        <v>1992</v>
      </c>
      <c r="M1172">
        <v>130838040067</v>
      </c>
      <c r="N1172">
        <v>363497050125</v>
      </c>
      <c r="O1172" t="b">
        <v>1</v>
      </c>
      <c r="P1172">
        <v>-1</v>
      </c>
      <c r="Q1172" t="str" cm="1">
        <f t="array" ref="Q1172">_xlfn.IFS(Table1[[#This Row],[Wealthier_Winner]]=-1,"Wealthier Nation Loses",Table1[[#This Row],[Wealthier_Winner]]=0,"Tie",Table1[[#This Row],[Wealthier_Winner]]=1,"Wealthier Nation Wins")</f>
        <v>Wealthier Nation Loses</v>
      </c>
    </row>
    <row r="1173" spans="1:17" x14ac:dyDescent="0.2">
      <c r="A1173" s="1">
        <v>2321</v>
      </c>
      <c r="B1173" s="2">
        <v>33873</v>
      </c>
      <c r="C1173" s="7">
        <f>_xlfn.FLOOR.MATH(Table1[[#This Row],[year]],10)</f>
        <v>1990</v>
      </c>
      <c r="D1173" t="s">
        <v>28</v>
      </c>
      <c r="E1173" t="s">
        <v>456</v>
      </c>
      <c r="F1173">
        <v>6</v>
      </c>
      <c r="G1173">
        <v>1</v>
      </c>
      <c r="H1173" t="s">
        <v>224</v>
      </c>
      <c r="I1173" t="s">
        <v>459</v>
      </c>
      <c r="J1173" t="s">
        <v>28</v>
      </c>
      <c r="K1173" t="b">
        <v>0</v>
      </c>
      <c r="L1173">
        <v>1992</v>
      </c>
      <c r="M1173">
        <v>325982966981</v>
      </c>
      <c r="N1173">
        <v>269034595</v>
      </c>
      <c r="O1173" t="b">
        <v>1</v>
      </c>
      <c r="P1173">
        <v>1</v>
      </c>
      <c r="Q1173" t="str" cm="1">
        <f t="array" ref="Q1173">_xlfn.IFS(Table1[[#This Row],[Wealthier_Winner]]=-1,"Wealthier Nation Loses",Table1[[#This Row],[Wealthier_Winner]]=0,"Tie",Table1[[#This Row],[Wealthier_Winner]]=1,"Wealthier Nation Wins")</f>
        <v>Wealthier Nation Wins</v>
      </c>
    </row>
    <row r="1174" spans="1:17" x14ac:dyDescent="0.2">
      <c r="A1174" s="1">
        <v>2322</v>
      </c>
      <c r="B1174" s="2">
        <v>33873</v>
      </c>
      <c r="C1174" s="7">
        <f>_xlfn.FLOOR.MATH(Table1[[#This Row],[year]],10)</f>
        <v>1990</v>
      </c>
      <c r="D1174" t="s">
        <v>451</v>
      </c>
      <c r="E1174" t="s">
        <v>384</v>
      </c>
      <c r="F1174">
        <v>0</v>
      </c>
      <c r="G1174">
        <v>3</v>
      </c>
      <c r="H1174" t="s">
        <v>224</v>
      </c>
      <c r="I1174" t="s">
        <v>452</v>
      </c>
      <c r="J1174" t="s">
        <v>451</v>
      </c>
      <c r="K1174" t="b">
        <v>0</v>
      </c>
      <c r="L1174">
        <v>1992</v>
      </c>
      <c r="M1174">
        <v>209088824</v>
      </c>
      <c r="N1174">
        <v>1532411039</v>
      </c>
      <c r="O1174" t="b">
        <v>1</v>
      </c>
      <c r="P1174">
        <v>1</v>
      </c>
      <c r="Q1174" t="str" cm="1">
        <f t="array" ref="Q1174">_xlfn.IFS(Table1[[#This Row],[Wealthier_Winner]]=-1,"Wealthier Nation Loses",Table1[[#This Row],[Wealthier_Winner]]=0,"Tie",Table1[[#This Row],[Wealthier_Winner]]=1,"Wealthier Nation Wins")</f>
        <v>Wealthier Nation Wins</v>
      </c>
    </row>
    <row r="1175" spans="1:17" x14ac:dyDescent="0.2">
      <c r="A1175" s="1">
        <v>2323</v>
      </c>
      <c r="B1175" s="2">
        <v>33884</v>
      </c>
      <c r="C1175" s="7">
        <f>_xlfn.FLOOR.MATH(Table1[[#This Row],[year]],10)</f>
        <v>1990</v>
      </c>
      <c r="D1175" t="s">
        <v>66</v>
      </c>
      <c r="E1175" t="s">
        <v>48</v>
      </c>
      <c r="F1175">
        <v>0</v>
      </c>
      <c r="G1175">
        <v>1</v>
      </c>
      <c r="H1175" t="s">
        <v>224</v>
      </c>
      <c r="I1175" t="s">
        <v>336</v>
      </c>
      <c r="J1175" t="s">
        <v>66</v>
      </c>
      <c r="K1175" t="b">
        <v>0</v>
      </c>
      <c r="L1175">
        <v>1992</v>
      </c>
      <c r="M1175">
        <v>7328497599</v>
      </c>
      <c r="N1175">
        <v>114608178405</v>
      </c>
      <c r="O1175" t="b">
        <v>1</v>
      </c>
      <c r="P1175">
        <v>1</v>
      </c>
      <c r="Q1175" t="str" cm="1">
        <f t="array" ref="Q1175">_xlfn.IFS(Table1[[#This Row],[Wealthier_Winner]]=-1,"Wealthier Nation Loses",Table1[[#This Row],[Wealthier_Winner]]=0,"Tie",Table1[[#This Row],[Wealthier_Winner]]=1,"Wealthier Nation Wins")</f>
        <v>Wealthier Nation Wins</v>
      </c>
    </row>
    <row r="1176" spans="1:17" x14ac:dyDescent="0.2">
      <c r="A1176" s="1">
        <v>2325</v>
      </c>
      <c r="B1176" s="2">
        <v>33884</v>
      </c>
      <c r="C1176" s="7">
        <f>_xlfn.FLOOR.MATH(Table1[[#This Row],[year]],10)</f>
        <v>1990</v>
      </c>
      <c r="D1176" t="s">
        <v>25</v>
      </c>
      <c r="E1176" t="s">
        <v>33</v>
      </c>
      <c r="F1176">
        <v>2</v>
      </c>
      <c r="G1176">
        <v>0</v>
      </c>
      <c r="H1176" t="s">
        <v>224</v>
      </c>
      <c r="I1176" t="s">
        <v>233</v>
      </c>
      <c r="J1176" t="s">
        <v>25</v>
      </c>
      <c r="K1176" t="b">
        <v>0</v>
      </c>
      <c r="L1176">
        <v>1992</v>
      </c>
      <c r="M1176">
        <v>283908914454</v>
      </c>
      <c r="N1176">
        <v>8602887622</v>
      </c>
      <c r="O1176" t="b">
        <v>1</v>
      </c>
      <c r="P1176">
        <v>1</v>
      </c>
      <c r="Q1176" t="str" cm="1">
        <f t="array" ref="Q1176">_xlfn.IFS(Table1[[#This Row],[Wealthier_Winner]]=-1,"Wealthier Nation Loses",Table1[[#This Row],[Wealthier_Winner]]=0,"Tie",Table1[[#This Row],[Wealthier_Winner]]=1,"Wealthier Nation Wins")</f>
        <v>Wealthier Nation Wins</v>
      </c>
    </row>
    <row r="1177" spans="1:17" x14ac:dyDescent="0.2">
      <c r="A1177" s="1">
        <v>2326</v>
      </c>
      <c r="B1177" s="2">
        <v>33886</v>
      </c>
      <c r="C1177" s="7">
        <f>_xlfn.FLOOR.MATH(Table1[[#This Row],[year]],10)</f>
        <v>1990</v>
      </c>
      <c r="D1177" t="s">
        <v>32</v>
      </c>
      <c r="E1177" t="s">
        <v>460</v>
      </c>
      <c r="F1177">
        <v>3</v>
      </c>
      <c r="G1177">
        <v>1</v>
      </c>
      <c r="H1177" t="s">
        <v>224</v>
      </c>
      <c r="I1177" t="s">
        <v>461</v>
      </c>
      <c r="J1177" t="s">
        <v>32</v>
      </c>
      <c r="K1177" t="b">
        <v>0</v>
      </c>
      <c r="L1177">
        <v>1992</v>
      </c>
      <c r="M1177">
        <v>48003133346</v>
      </c>
      <c r="N1177">
        <v>1083037670</v>
      </c>
      <c r="O1177" t="b">
        <v>1</v>
      </c>
      <c r="P1177">
        <v>1</v>
      </c>
      <c r="Q1177" t="str" cm="1">
        <f t="array" ref="Q1177">_xlfn.IFS(Table1[[#This Row],[Wealthier_Winner]]=-1,"Wealthier Nation Loses",Table1[[#This Row],[Wealthier_Winner]]=0,"Tie",Table1[[#This Row],[Wealthier_Winner]]=1,"Wealthier Nation Wins")</f>
        <v>Wealthier Nation Wins</v>
      </c>
    </row>
    <row r="1178" spans="1:17" x14ac:dyDescent="0.2">
      <c r="A1178" s="1">
        <v>2328</v>
      </c>
      <c r="B1178" s="2">
        <v>33886</v>
      </c>
      <c r="C1178" s="7">
        <f>_xlfn.FLOOR.MATH(Table1[[#This Row],[year]],10)</f>
        <v>1990</v>
      </c>
      <c r="D1178" t="s">
        <v>298</v>
      </c>
      <c r="E1178" t="s">
        <v>62</v>
      </c>
      <c r="F1178">
        <v>1</v>
      </c>
      <c r="G1178">
        <v>0</v>
      </c>
      <c r="H1178" t="s">
        <v>224</v>
      </c>
      <c r="I1178" t="s">
        <v>377</v>
      </c>
      <c r="J1178" t="s">
        <v>298</v>
      </c>
      <c r="K1178" t="b">
        <v>0</v>
      </c>
      <c r="L1178">
        <v>1992</v>
      </c>
      <c r="M1178">
        <v>6755000000</v>
      </c>
      <c r="N1178">
        <v>2390796915</v>
      </c>
      <c r="O1178" t="b">
        <v>1</v>
      </c>
      <c r="P1178">
        <v>1</v>
      </c>
      <c r="Q1178" t="str" cm="1">
        <f t="array" ref="Q1178">_xlfn.IFS(Table1[[#This Row],[Wealthier_Winner]]=-1,"Wealthier Nation Loses",Table1[[#This Row],[Wealthier_Winner]]=0,"Tie",Table1[[#This Row],[Wealthier_Winner]]=1,"Wealthier Nation Wins")</f>
        <v>Wealthier Nation Wins</v>
      </c>
    </row>
    <row r="1179" spans="1:17" x14ac:dyDescent="0.2">
      <c r="A1179" s="1">
        <v>2329</v>
      </c>
      <c r="B1179" s="2">
        <v>33887</v>
      </c>
      <c r="C1179" s="7">
        <f>_xlfn.FLOOR.MATH(Table1[[#This Row],[year]],10)</f>
        <v>1990</v>
      </c>
      <c r="D1179" t="s">
        <v>43</v>
      </c>
      <c r="E1179" t="s">
        <v>50</v>
      </c>
      <c r="F1179">
        <v>4</v>
      </c>
      <c r="G1179">
        <v>0</v>
      </c>
      <c r="H1179" t="s">
        <v>224</v>
      </c>
      <c r="I1179" t="s">
        <v>229</v>
      </c>
      <c r="J1179" t="s">
        <v>43</v>
      </c>
      <c r="K1179" t="b">
        <v>0</v>
      </c>
      <c r="L1179">
        <v>1992</v>
      </c>
      <c r="M1179">
        <v>52058181853</v>
      </c>
      <c r="N1179">
        <v>146956150986</v>
      </c>
      <c r="O1179" t="b">
        <v>1</v>
      </c>
      <c r="P1179">
        <v>-1</v>
      </c>
      <c r="Q1179" t="str" cm="1">
        <f t="array" ref="Q1179">_xlfn.IFS(Table1[[#This Row],[Wealthier_Winner]]=-1,"Wealthier Nation Loses",Table1[[#This Row],[Wealthier_Winner]]=0,"Tie",Table1[[#This Row],[Wealthier_Winner]]=1,"Wealthier Nation Wins")</f>
        <v>Wealthier Nation Loses</v>
      </c>
    </row>
    <row r="1180" spans="1:17" x14ac:dyDescent="0.2">
      <c r="A1180" s="1">
        <v>2332</v>
      </c>
      <c r="B1180" s="2">
        <v>33888</v>
      </c>
      <c r="C1180" s="7">
        <f>_xlfn.FLOOR.MATH(Table1[[#This Row],[year]],10)</f>
        <v>1990</v>
      </c>
      <c r="D1180" t="s">
        <v>212</v>
      </c>
      <c r="E1180" t="s">
        <v>60</v>
      </c>
      <c r="F1180">
        <v>1</v>
      </c>
      <c r="G1180">
        <v>0</v>
      </c>
      <c r="H1180" t="s">
        <v>224</v>
      </c>
      <c r="I1180" t="s">
        <v>322</v>
      </c>
      <c r="J1180" t="s">
        <v>212</v>
      </c>
      <c r="K1180" t="b">
        <v>0</v>
      </c>
      <c r="L1180">
        <v>1992</v>
      </c>
      <c r="M1180">
        <v>41855986519</v>
      </c>
      <c r="N1180">
        <v>8307810973</v>
      </c>
      <c r="O1180" t="b">
        <v>1</v>
      </c>
      <c r="P1180">
        <v>1</v>
      </c>
      <c r="Q1180" t="str" cm="1">
        <f t="array" ref="Q1180">_xlfn.IFS(Table1[[#This Row],[Wealthier_Winner]]=-1,"Wealthier Nation Loses",Table1[[#This Row],[Wealthier_Winner]]=0,"Tie",Table1[[#This Row],[Wealthier_Winner]]=1,"Wealthier Nation Wins")</f>
        <v>Wealthier Nation Wins</v>
      </c>
    </row>
    <row r="1181" spans="1:17" x14ac:dyDescent="0.2">
      <c r="A1181" s="1">
        <v>2333</v>
      </c>
      <c r="B1181" s="2">
        <v>33888</v>
      </c>
      <c r="C1181" s="7">
        <f>_xlfn.FLOOR.MATH(Table1[[#This Row],[year]],10)</f>
        <v>1990</v>
      </c>
      <c r="D1181" t="s">
        <v>433</v>
      </c>
      <c r="E1181" t="s">
        <v>300</v>
      </c>
      <c r="F1181">
        <v>3</v>
      </c>
      <c r="G1181">
        <v>1</v>
      </c>
      <c r="H1181" t="s">
        <v>224</v>
      </c>
      <c r="I1181" t="s">
        <v>436</v>
      </c>
      <c r="J1181" t="s">
        <v>433</v>
      </c>
      <c r="K1181" t="b">
        <v>0</v>
      </c>
      <c r="L1181">
        <v>1992</v>
      </c>
      <c r="M1181">
        <v>5592390827</v>
      </c>
      <c r="N1181">
        <v>2798696511</v>
      </c>
      <c r="O1181" t="b">
        <v>0</v>
      </c>
      <c r="P1181">
        <v>1</v>
      </c>
      <c r="Q1181" t="str" cm="1">
        <f t="array" ref="Q1181">_xlfn.IFS(Table1[[#This Row],[Wealthier_Winner]]=-1,"Wealthier Nation Loses",Table1[[#This Row],[Wealthier_Winner]]=0,"Tie",Table1[[#This Row],[Wealthier_Winner]]=1,"Wealthier Nation Wins")</f>
        <v>Wealthier Nation Wins</v>
      </c>
    </row>
    <row r="1182" spans="1:17" x14ac:dyDescent="0.2">
      <c r="A1182" s="1">
        <v>2334</v>
      </c>
      <c r="B1182" s="2">
        <v>33888</v>
      </c>
      <c r="C1182" s="7">
        <f>_xlfn.FLOOR.MATH(Table1[[#This Row],[year]],10)</f>
        <v>1990</v>
      </c>
      <c r="D1182" t="s">
        <v>410</v>
      </c>
      <c r="E1182" t="s">
        <v>462</v>
      </c>
      <c r="F1182">
        <v>3</v>
      </c>
      <c r="G1182">
        <v>0</v>
      </c>
      <c r="H1182" t="s">
        <v>224</v>
      </c>
      <c r="I1182" t="s">
        <v>413</v>
      </c>
      <c r="J1182" t="s">
        <v>410</v>
      </c>
      <c r="K1182" t="b">
        <v>0</v>
      </c>
      <c r="L1182">
        <v>1992</v>
      </c>
      <c r="M1182">
        <v>3714966678</v>
      </c>
      <c r="N1182">
        <v>3429521699</v>
      </c>
      <c r="O1182" t="b">
        <v>0</v>
      </c>
      <c r="P1182">
        <v>1</v>
      </c>
      <c r="Q1182" t="str" cm="1">
        <f t="array" ref="Q1182">_xlfn.IFS(Table1[[#This Row],[Wealthier_Winner]]=-1,"Wealthier Nation Loses",Table1[[#This Row],[Wealthier_Winner]]=0,"Tie",Table1[[#This Row],[Wealthier_Winner]]=1,"Wealthier Nation Wins")</f>
        <v>Wealthier Nation Wins</v>
      </c>
    </row>
    <row r="1183" spans="1:17" x14ac:dyDescent="0.2">
      <c r="A1183" s="1">
        <v>2335</v>
      </c>
      <c r="B1183" s="2">
        <v>33888</v>
      </c>
      <c r="C1183" s="7">
        <f>_xlfn.FLOOR.MATH(Table1[[#This Row],[year]],10)</f>
        <v>1990</v>
      </c>
      <c r="D1183" t="s">
        <v>24</v>
      </c>
      <c r="E1183" t="s">
        <v>238</v>
      </c>
      <c r="F1183">
        <v>5</v>
      </c>
      <c r="G1183">
        <v>0</v>
      </c>
      <c r="H1183" t="s">
        <v>224</v>
      </c>
      <c r="I1183" t="s">
        <v>244</v>
      </c>
      <c r="J1183" t="s">
        <v>24</v>
      </c>
      <c r="K1183" t="b">
        <v>0</v>
      </c>
      <c r="L1183">
        <v>1992</v>
      </c>
      <c r="M1183">
        <v>33711069430</v>
      </c>
      <c r="N1183">
        <v>10754799036</v>
      </c>
      <c r="O1183" t="b">
        <v>1</v>
      </c>
      <c r="P1183">
        <v>1</v>
      </c>
      <c r="Q1183" t="str" cm="1">
        <f t="array" ref="Q1183">_xlfn.IFS(Table1[[#This Row],[Wealthier_Winner]]=-1,"Wealthier Nation Loses",Table1[[#This Row],[Wealthier_Winner]]=0,"Tie",Table1[[#This Row],[Wealthier_Winner]]=1,"Wealthier Nation Wins")</f>
        <v>Wealthier Nation Wins</v>
      </c>
    </row>
    <row r="1184" spans="1:17" x14ac:dyDescent="0.2">
      <c r="A1184" s="1">
        <v>2336</v>
      </c>
      <c r="B1184" s="2">
        <v>33888</v>
      </c>
      <c r="C1184" s="7">
        <f>_xlfn.FLOOR.MATH(Table1[[#This Row],[year]],10)</f>
        <v>1990</v>
      </c>
      <c r="D1184" t="s">
        <v>53</v>
      </c>
      <c r="E1184" t="s">
        <v>310</v>
      </c>
      <c r="F1184">
        <v>5</v>
      </c>
      <c r="G1184">
        <v>1</v>
      </c>
      <c r="H1184" t="s">
        <v>224</v>
      </c>
      <c r="I1184" t="s">
        <v>284</v>
      </c>
      <c r="J1184" t="s">
        <v>53</v>
      </c>
      <c r="K1184" t="b">
        <v>0</v>
      </c>
      <c r="L1184">
        <v>1992</v>
      </c>
      <c r="M1184">
        <v>15496708060</v>
      </c>
      <c r="N1184">
        <v>1695315305</v>
      </c>
      <c r="O1184" t="b">
        <v>1</v>
      </c>
      <c r="P1184">
        <v>1</v>
      </c>
      <c r="Q1184" t="str" cm="1">
        <f t="array" ref="Q1184">_xlfn.IFS(Table1[[#This Row],[Wealthier_Winner]]=-1,"Wealthier Nation Loses",Table1[[#This Row],[Wealthier_Winner]]=0,"Tie",Table1[[#This Row],[Wealthier_Winner]]=1,"Wealthier Nation Wins")</f>
        <v>Wealthier Nation Wins</v>
      </c>
    </row>
    <row r="1185" spans="1:17" x14ac:dyDescent="0.2">
      <c r="A1185" s="1">
        <v>2337</v>
      </c>
      <c r="B1185" s="2">
        <v>33888</v>
      </c>
      <c r="C1185" s="7">
        <f>_xlfn.FLOOR.MATH(Table1[[#This Row],[year]],10)</f>
        <v>1990</v>
      </c>
      <c r="D1185" t="s">
        <v>273</v>
      </c>
      <c r="E1185" t="s">
        <v>320</v>
      </c>
      <c r="F1185">
        <v>2</v>
      </c>
      <c r="G1185">
        <v>0</v>
      </c>
      <c r="H1185" t="s">
        <v>224</v>
      </c>
      <c r="I1185" t="s">
        <v>330</v>
      </c>
      <c r="J1185" t="s">
        <v>273</v>
      </c>
      <c r="K1185" t="b">
        <v>0</v>
      </c>
      <c r="L1185">
        <v>1992</v>
      </c>
      <c r="M1185">
        <v>3182810841</v>
      </c>
      <c r="N1185">
        <v>6681997469</v>
      </c>
      <c r="O1185" t="b">
        <v>1</v>
      </c>
      <c r="P1185">
        <v>-1</v>
      </c>
      <c r="Q1185" t="str" cm="1">
        <f t="array" ref="Q1185">_xlfn.IFS(Table1[[#This Row],[Wealthier_Winner]]=-1,"Wealthier Nation Loses",Table1[[#This Row],[Wealthier_Winner]]=0,"Tie",Table1[[#This Row],[Wealthier_Winner]]=1,"Wealthier Nation Wins")</f>
        <v>Wealthier Nation Loses</v>
      </c>
    </row>
    <row r="1186" spans="1:17" x14ac:dyDescent="0.2">
      <c r="A1186" s="1">
        <v>2338</v>
      </c>
      <c r="B1186" s="2">
        <v>33891</v>
      </c>
      <c r="C1186" s="7">
        <f>_xlfn.FLOOR.MATH(Table1[[#This Row],[year]],10)</f>
        <v>1990</v>
      </c>
      <c r="D1186" t="s">
        <v>23</v>
      </c>
      <c r="E1186" t="s">
        <v>44</v>
      </c>
      <c r="F1186">
        <v>1</v>
      </c>
      <c r="G1186">
        <v>0</v>
      </c>
      <c r="H1186" t="s">
        <v>224</v>
      </c>
      <c r="I1186" t="s">
        <v>235</v>
      </c>
      <c r="J1186" t="s">
        <v>23</v>
      </c>
      <c r="K1186" t="b">
        <v>0</v>
      </c>
      <c r="L1186">
        <v>1992</v>
      </c>
      <c r="M1186">
        <v>234781652446</v>
      </c>
      <c r="N1186">
        <v>25121666666</v>
      </c>
      <c r="O1186" t="b">
        <v>1</v>
      </c>
      <c r="P1186">
        <v>1</v>
      </c>
      <c r="Q1186" t="str" cm="1">
        <f t="array" ref="Q1186">_xlfn.IFS(Table1[[#This Row],[Wealthier_Winner]]=-1,"Wealthier Nation Loses",Table1[[#This Row],[Wealthier_Winner]]=0,"Tie",Table1[[#This Row],[Wealthier_Winner]]=1,"Wealthier Nation Wins")</f>
        <v>Wealthier Nation Wins</v>
      </c>
    </row>
    <row r="1187" spans="1:17" x14ac:dyDescent="0.2">
      <c r="A1187" s="1">
        <v>2341</v>
      </c>
      <c r="B1187" s="2">
        <v>33891</v>
      </c>
      <c r="C1187" s="7">
        <f>_xlfn.FLOOR.MATH(Table1[[#This Row],[year]],10)</f>
        <v>1990</v>
      </c>
      <c r="D1187" t="s">
        <v>194</v>
      </c>
      <c r="E1187" t="s">
        <v>42</v>
      </c>
      <c r="F1187">
        <v>1</v>
      </c>
      <c r="G1187">
        <v>1</v>
      </c>
      <c r="H1187" t="s">
        <v>224</v>
      </c>
      <c r="I1187" t="s">
        <v>80</v>
      </c>
      <c r="J1187" t="s">
        <v>194</v>
      </c>
      <c r="K1187" t="b">
        <v>0</v>
      </c>
      <c r="L1187">
        <v>1992</v>
      </c>
      <c r="M1187">
        <v>1179659529659</v>
      </c>
      <c r="N1187">
        <v>130838040067</v>
      </c>
      <c r="O1187" t="b">
        <v>1</v>
      </c>
      <c r="P1187">
        <v>0</v>
      </c>
      <c r="Q1187" t="str" cm="1">
        <f t="array" ref="Q1187">_xlfn.IFS(Table1[[#This Row],[Wealthier_Winner]]=-1,"Wealthier Nation Loses",Table1[[#This Row],[Wealthier_Winner]]=0,"Tie",Table1[[#This Row],[Wealthier_Winner]]=1,"Wealthier Nation Wins")</f>
        <v>Tie</v>
      </c>
    </row>
    <row r="1188" spans="1:17" x14ac:dyDescent="0.2">
      <c r="A1188" s="1">
        <v>2342</v>
      </c>
      <c r="B1188" s="2">
        <v>33891</v>
      </c>
      <c r="C1188" s="7">
        <f>_xlfn.FLOOR.MATH(Table1[[#This Row],[year]],10)</f>
        <v>1990</v>
      </c>
      <c r="D1188" t="s">
        <v>20</v>
      </c>
      <c r="E1188" t="s">
        <v>29</v>
      </c>
      <c r="F1188">
        <v>2</v>
      </c>
      <c r="G1188">
        <v>0</v>
      </c>
      <c r="H1188" t="s">
        <v>224</v>
      </c>
      <c r="I1188" t="s">
        <v>134</v>
      </c>
      <c r="J1188" t="s">
        <v>20</v>
      </c>
      <c r="K1188" t="b">
        <v>0</v>
      </c>
      <c r="L1188">
        <v>1992</v>
      </c>
      <c r="M1188">
        <v>1389663073110</v>
      </c>
      <c r="N1188">
        <v>194314032056</v>
      </c>
      <c r="O1188" t="b">
        <v>1</v>
      </c>
      <c r="P1188">
        <v>1</v>
      </c>
      <c r="Q1188" t="str" cm="1">
        <f t="array" ref="Q1188">_xlfn.IFS(Table1[[#This Row],[Wealthier_Winner]]=-1,"Wealthier Nation Loses",Table1[[#This Row],[Wealthier_Winner]]=0,"Tie",Table1[[#This Row],[Wealthier_Winner]]=1,"Wealthier Nation Wins")</f>
        <v>Wealthier Nation Wins</v>
      </c>
    </row>
    <row r="1189" spans="1:17" x14ac:dyDescent="0.2">
      <c r="A1189" s="1">
        <v>2343</v>
      </c>
      <c r="B1189" s="2">
        <v>33891</v>
      </c>
      <c r="C1189" s="7">
        <f>_xlfn.FLOOR.MATH(Table1[[#This Row],[year]],10)</f>
        <v>1990</v>
      </c>
      <c r="D1189" t="s">
        <v>18</v>
      </c>
      <c r="E1189" t="s">
        <v>46</v>
      </c>
      <c r="F1189">
        <v>2</v>
      </c>
      <c r="G1189">
        <v>2</v>
      </c>
      <c r="H1189" t="s">
        <v>224</v>
      </c>
      <c r="I1189" t="s">
        <v>214</v>
      </c>
      <c r="J1189" t="s">
        <v>18</v>
      </c>
      <c r="K1189" t="b">
        <v>0</v>
      </c>
      <c r="L1189">
        <v>1992</v>
      </c>
      <c r="M1189">
        <v>1323204350353</v>
      </c>
      <c r="N1189">
        <v>279921425828</v>
      </c>
      <c r="O1189" t="b">
        <v>1</v>
      </c>
      <c r="P1189">
        <v>0</v>
      </c>
      <c r="Q1189" t="str" cm="1">
        <f t="array" ref="Q1189">_xlfn.IFS(Table1[[#This Row],[Wealthier_Winner]]=-1,"Wealthier Nation Loses",Table1[[#This Row],[Wealthier_Winner]]=0,"Tie",Table1[[#This Row],[Wealthier_Winner]]=1,"Wealthier Nation Wins")</f>
        <v>Tie</v>
      </c>
    </row>
    <row r="1190" spans="1:17" x14ac:dyDescent="0.2">
      <c r="A1190" s="1">
        <v>2344</v>
      </c>
      <c r="B1190" s="2">
        <v>33891</v>
      </c>
      <c r="C1190" s="7">
        <f>_xlfn.FLOOR.MATH(Table1[[#This Row],[year]],10)</f>
        <v>1990</v>
      </c>
      <c r="D1190" t="s">
        <v>27</v>
      </c>
      <c r="E1190" t="s">
        <v>58</v>
      </c>
      <c r="F1190">
        <v>2</v>
      </c>
      <c r="G1190">
        <v>2</v>
      </c>
      <c r="H1190" t="s">
        <v>224</v>
      </c>
      <c r="I1190" t="s">
        <v>265</v>
      </c>
      <c r="J1190" t="s">
        <v>27</v>
      </c>
      <c r="K1190" t="b">
        <v>0</v>
      </c>
      <c r="L1190">
        <v>1992</v>
      </c>
      <c r="M1190">
        <v>363497050125</v>
      </c>
      <c r="N1190">
        <v>94337050693</v>
      </c>
      <c r="O1190" t="b">
        <v>1</v>
      </c>
      <c r="P1190">
        <v>0</v>
      </c>
      <c r="Q1190" t="str" cm="1">
        <f t="array" ref="Q1190">_xlfn.IFS(Table1[[#This Row],[Wealthier_Winner]]=-1,"Wealthier Nation Loses",Table1[[#This Row],[Wealthier_Winner]]=0,"Tie",Table1[[#This Row],[Wealthier_Winner]]=1,"Wealthier Nation Wins")</f>
        <v>Tie</v>
      </c>
    </row>
    <row r="1191" spans="1:17" x14ac:dyDescent="0.2">
      <c r="A1191" s="1">
        <v>2346</v>
      </c>
      <c r="B1191" s="2">
        <v>33891</v>
      </c>
      <c r="C1191" s="7">
        <f>_xlfn.FLOOR.MATH(Table1[[#This Row],[year]],10)</f>
        <v>1990</v>
      </c>
      <c r="D1191" t="s">
        <v>196</v>
      </c>
      <c r="E1191" t="s">
        <v>66</v>
      </c>
      <c r="F1191">
        <v>1</v>
      </c>
      <c r="G1191">
        <v>0</v>
      </c>
      <c r="H1191" t="s">
        <v>224</v>
      </c>
      <c r="I1191" t="s">
        <v>180</v>
      </c>
      <c r="J1191" t="s">
        <v>196</v>
      </c>
      <c r="K1191" t="b">
        <v>0</v>
      </c>
      <c r="L1191">
        <v>1992</v>
      </c>
      <c r="M1191">
        <v>460290556900</v>
      </c>
      <c r="N1191">
        <v>7328497599</v>
      </c>
      <c r="O1191" t="b">
        <v>1</v>
      </c>
      <c r="P1191">
        <v>1</v>
      </c>
      <c r="Q1191" t="str" cm="1">
        <f t="array" ref="Q1191">_xlfn.IFS(Table1[[#This Row],[Wealthier_Winner]]=-1,"Wealthier Nation Loses",Table1[[#This Row],[Wealthier_Winner]]=0,"Tie",Table1[[#This Row],[Wealthier_Winner]]=1,"Wealthier Nation Wins")</f>
        <v>Wealthier Nation Wins</v>
      </c>
    </row>
    <row r="1192" spans="1:17" x14ac:dyDescent="0.2">
      <c r="A1192" s="1">
        <v>2348</v>
      </c>
      <c r="B1192" s="2">
        <v>33895</v>
      </c>
      <c r="C1192" s="7">
        <f>_xlfn.FLOOR.MATH(Table1[[#This Row],[year]],10)</f>
        <v>1990</v>
      </c>
      <c r="D1192" t="s">
        <v>266</v>
      </c>
      <c r="E1192" t="s">
        <v>69</v>
      </c>
      <c r="F1192">
        <v>1</v>
      </c>
      <c r="G1192">
        <v>0</v>
      </c>
      <c r="H1192" t="s">
        <v>224</v>
      </c>
      <c r="I1192" t="s">
        <v>271</v>
      </c>
      <c r="J1192" t="s">
        <v>266</v>
      </c>
      <c r="K1192" t="b">
        <v>0</v>
      </c>
      <c r="L1192">
        <v>1992</v>
      </c>
      <c r="M1192">
        <v>1679900000</v>
      </c>
      <c r="N1192">
        <v>5813399300</v>
      </c>
      <c r="O1192" t="b">
        <v>1</v>
      </c>
      <c r="P1192">
        <v>-1</v>
      </c>
      <c r="Q1192" t="str" cm="1">
        <f t="array" ref="Q1192">_xlfn.IFS(Table1[[#This Row],[Wealthier_Winner]]=-1,"Wealthier Nation Loses",Table1[[#This Row],[Wealthier_Winner]]=0,"Tie",Table1[[#This Row],[Wealthier_Winner]]=1,"Wealthier Nation Wins")</f>
        <v>Wealthier Nation Loses</v>
      </c>
    </row>
    <row r="1193" spans="1:17" x14ac:dyDescent="0.2">
      <c r="A1193" s="1">
        <v>2349</v>
      </c>
      <c r="B1193" s="2">
        <v>33895</v>
      </c>
      <c r="C1193" s="7">
        <f>_xlfn.FLOOR.MATH(Table1[[#This Row],[year]],10)</f>
        <v>1990</v>
      </c>
      <c r="D1193" t="s">
        <v>40</v>
      </c>
      <c r="E1193" t="s">
        <v>463</v>
      </c>
      <c r="F1193">
        <v>5</v>
      </c>
      <c r="G1193">
        <v>0</v>
      </c>
      <c r="H1193" t="s">
        <v>224</v>
      </c>
      <c r="I1193" t="s">
        <v>371</v>
      </c>
      <c r="J1193" t="s">
        <v>40</v>
      </c>
      <c r="K1193" t="b">
        <v>0</v>
      </c>
      <c r="L1193">
        <v>1992</v>
      </c>
      <c r="M1193">
        <v>12071775335</v>
      </c>
      <c r="N1193">
        <v>1284759927</v>
      </c>
      <c r="O1193" t="b">
        <v>1</v>
      </c>
      <c r="P1193">
        <v>1</v>
      </c>
      <c r="Q1193" t="str" cm="1">
        <f t="array" ref="Q1193">_xlfn.IFS(Table1[[#This Row],[Wealthier_Winner]]=-1,"Wealthier Nation Loses",Table1[[#This Row],[Wealthier_Winner]]=0,"Tie",Table1[[#This Row],[Wealthier_Winner]]=1,"Wealthier Nation Wins")</f>
        <v>Wealthier Nation Wins</v>
      </c>
    </row>
    <row r="1194" spans="1:17" x14ac:dyDescent="0.2">
      <c r="A1194" s="1">
        <v>2350</v>
      </c>
      <c r="B1194" s="2">
        <v>33895</v>
      </c>
      <c r="C1194" s="7">
        <f>_xlfn.FLOOR.MATH(Table1[[#This Row],[year]],10)</f>
        <v>1990</v>
      </c>
      <c r="D1194" t="s">
        <v>49</v>
      </c>
      <c r="E1194" t="s">
        <v>34</v>
      </c>
      <c r="F1194">
        <v>1</v>
      </c>
      <c r="G1194">
        <v>1</v>
      </c>
      <c r="H1194" t="s">
        <v>224</v>
      </c>
      <c r="I1194" t="s">
        <v>257</v>
      </c>
      <c r="J1194" t="s">
        <v>49</v>
      </c>
      <c r="K1194" t="b">
        <v>0</v>
      </c>
      <c r="L1194">
        <v>1992</v>
      </c>
      <c r="M1194">
        <v>3535460089</v>
      </c>
      <c r="N1194">
        <v>594387358318</v>
      </c>
      <c r="O1194" t="b">
        <v>1</v>
      </c>
      <c r="P1194">
        <v>0</v>
      </c>
      <c r="Q1194" t="str" cm="1">
        <f t="array" ref="Q1194">_xlfn.IFS(Table1[[#This Row],[Wealthier_Winner]]=-1,"Wealthier Nation Loses",Table1[[#This Row],[Wealthier_Winner]]=0,"Tie",Table1[[#This Row],[Wealthier_Winner]]=1,"Wealthier Nation Wins")</f>
        <v>Tie</v>
      </c>
    </row>
    <row r="1195" spans="1:17" x14ac:dyDescent="0.2">
      <c r="A1195" s="1">
        <v>2352</v>
      </c>
      <c r="B1195" s="2">
        <v>33902</v>
      </c>
      <c r="C1195" s="7">
        <f>_xlfn.FLOOR.MATH(Table1[[#This Row],[year]],10)</f>
        <v>1990</v>
      </c>
      <c r="D1195" t="s">
        <v>310</v>
      </c>
      <c r="E1195" t="s">
        <v>24</v>
      </c>
      <c r="F1195">
        <v>0</v>
      </c>
      <c r="G1195">
        <v>1</v>
      </c>
      <c r="H1195" t="s">
        <v>224</v>
      </c>
      <c r="I1195" t="s">
        <v>311</v>
      </c>
      <c r="J1195" t="s">
        <v>310</v>
      </c>
      <c r="K1195" t="b">
        <v>0</v>
      </c>
      <c r="L1195">
        <v>1992</v>
      </c>
      <c r="M1195">
        <v>1695315305</v>
      </c>
      <c r="N1195">
        <v>33711069430</v>
      </c>
      <c r="O1195" t="b">
        <v>1</v>
      </c>
      <c r="P1195">
        <v>1</v>
      </c>
      <c r="Q1195" t="str" cm="1">
        <f t="array" ref="Q1195">_xlfn.IFS(Table1[[#This Row],[Wealthier_Winner]]=-1,"Wealthier Nation Loses",Table1[[#This Row],[Wealthier_Winner]]=0,"Tie",Table1[[#This Row],[Wealthier_Winner]]=1,"Wealthier Nation Wins")</f>
        <v>Wealthier Nation Wins</v>
      </c>
    </row>
    <row r="1196" spans="1:17" x14ac:dyDescent="0.2">
      <c r="A1196" s="1">
        <v>2353</v>
      </c>
      <c r="B1196" s="2">
        <v>33902</v>
      </c>
      <c r="C1196" s="7">
        <f>_xlfn.FLOOR.MATH(Table1[[#This Row],[year]],10)</f>
        <v>1990</v>
      </c>
      <c r="D1196" t="s">
        <v>266</v>
      </c>
      <c r="E1196" t="s">
        <v>49</v>
      </c>
      <c r="F1196">
        <v>1</v>
      </c>
      <c r="G1196">
        <v>1</v>
      </c>
      <c r="H1196" t="s">
        <v>224</v>
      </c>
      <c r="I1196" t="s">
        <v>271</v>
      </c>
      <c r="J1196" t="s">
        <v>266</v>
      </c>
      <c r="K1196" t="b">
        <v>0</v>
      </c>
      <c r="L1196">
        <v>1992</v>
      </c>
      <c r="M1196">
        <v>1679900000</v>
      </c>
      <c r="N1196">
        <v>3535460089</v>
      </c>
      <c r="O1196" t="b">
        <v>1</v>
      </c>
      <c r="P1196">
        <v>0</v>
      </c>
      <c r="Q1196" t="str" cm="1">
        <f t="array" ref="Q1196">_xlfn.IFS(Table1[[#This Row],[Wealthier_Winner]]=-1,"Wealthier Nation Loses",Table1[[#This Row],[Wealthier_Winner]]=0,"Tie",Table1[[#This Row],[Wealthier_Winner]]=1,"Wealthier Nation Wins")</f>
        <v>Tie</v>
      </c>
    </row>
    <row r="1197" spans="1:17" x14ac:dyDescent="0.2">
      <c r="A1197" s="1">
        <v>2354</v>
      </c>
      <c r="B1197" s="2">
        <v>33902</v>
      </c>
      <c r="C1197" s="7">
        <f>_xlfn.FLOOR.MATH(Table1[[#This Row],[year]],10)</f>
        <v>1990</v>
      </c>
      <c r="D1197" t="s">
        <v>460</v>
      </c>
      <c r="E1197" t="s">
        <v>63</v>
      </c>
      <c r="F1197">
        <v>1</v>
      </c>
      <c r="G1197">
        <v>0</v>
      </c>
      <c r="H1197" t="s">
        <v>224</v>
      </c>
      <c r="I1197" t="s">
        <v>464</v>
      </c>
      <c r="J1197" t="s">
        <v>460</v>
      </c>
      <c r="K1197" t="b">
        <v>0</v>
      </c>
      <c r="L1197">
        <v>1992</v>
      </c>
      <c r="M1197">
        <v>1083037670</v>
      </c>
      <c r="N1197">
        <v>6416103925</v>
      </c>
      <c r="O1197" t="b">
        <v>1</v>
      </c>
      <c r="P1197">
        <v>-1</v>
      </c>
      <c r="Q1197" t="str" cm="1">
        <f t="array" ref="Q1197">_xlfn.IFS(Table1[[#This Row],[Wealthier_Winner]]=-1,"Wealthier Nation Loses",Table1[[#This Row],[Wealthier_Winner]]=0,"Tie",Table1[[#This Row],[Wealthier_Winner]]=1,"Wealthier Nation Wins")</f>
        <v>Wealthier Nation Loses</v>
      </c>
    </row>
    <row r="1198" spans="1:17" x14ac:dyDescent="0.2">
      <c r="A1198" s="1">
        <v>2355</v>
      </c>
      <c r="B1198" s="2">
        <v>33902</v>
      </c>
      <c r="C1198" s="7">
        <f>_xlfn.FLOOR.MATH(Table1[[#This Row],[year]],10)</f>
        <v>1990</v>
      </c>
      <c r="D1198" t="s">
        <v>69</v>
      </c>
      <c r="E1198" t="s">
        <v>34</v>
      </c>
      <c r="F1198">
        <v>1</v>
      </c>
      <c r="G1198">
        <v>1</v>
      </c>
      <c r="H1198" t="s">
        <v>224</v>
      </c>
      <c r="I1198" t="s">
        <v>281</v>
      </c>
      <c r="J1198" t="s">
        <v>69</v>
      </c>
      <c r="K1198" t="b">
        <v>0</v>
      </c>
      <c r="L1198">
        <v>1992</v>
      </c>
      <c r="M1198">
        <v>5813399300</v>
      </c>
      <c r="N1198">
        <v>594387358318</v>
      </c>
      <c r="O1198" t="b">
        <v>1</v>
      </c>
      <c r="P1198">
        <v>0</v>
      </c>
      <c r="Q1198" t="str" cm="1">
        <f t="array" ref="Q1198">_xlfn.IFS(Table1[[#This Row],[Wealthier_Winner]]=-1,"Wealthier Nation Loses",Table1[[#This Row],[Wealthier_Winner]]=0,"Tie",Table1[[#This Row],[Wealthier_Winner]]=1,"Wealthier Nation Wins")</f>
        <v>Tie</v>
      </c>
    </row>
    <row r="1199" spans="1:17" x14ac:dyDescent="0.2">
      <c r="A1199" s="1">
        <v>2356</v>
      </c>
      <c r="B1199" s="2">
        <v>33902</v>
      </c>
      <c r="C1199" s="7">
        <f>_xlfn.FLOOR.MATH(Table1[[#This Row],[year]],10)</f>
        <v>1990</v>
      </c>
      <c r="D1199" t="s">
        <v>238</v>
      </c>
      <c r="E1199" t="s">
        <v>53</v>
      </c>
      <c r="F1199">
        <v>0</v>
      </c>
      <c r="G1199">
        <v>0</v>
      </c>
      <c r="H1199" t="s">
        <v>224</v>
      </c>
      <c r="I1199" t="s">
        <v>288</v>
      </c>
      <c r="J1199" t="s">
        <v>238</v>
      </c>
      <c r="K1199" t="b">
        <v>0</v>
      </c>
      <c r="L1199">
        <v>1992</v>
      </c>
      <c r="M1199">
        <v>10754799036</v>
      </c>
      <c r="N1199">
        <v>15496708060</v>
      </c>
      <c r="O1199" t="b">
        <v>0</v>
      </c>
      <c r="P1199">
        <v>0</v>
      </c>
      <c r="Q1199" t="str" cm="1">
        <f t="array" ref="Q1199">_xlfn.IFS(Table1[[#This Row],[Wealthier_Winner]]=-1,"Wealthier Nation Loses",Table1[[#This Row],[Wealthier_Winner]]=0,"Tie",Table1[[#This Row],[Wealthier_Winner]]=1,"Wealthier Nation Wins")</f>
        <v>Tie</v>
      </c>
    </row>
    <row r="1200" spans="1:17" x14ac:dyDescent="0.2">
      <c r="A1200" s="1">
        <v>2358</v>
      </c>
      <c r="B1200" s="2">
        <v>33902</v>
      </c>
      <c r="C1200" s="7">
        <f>_xlfn.FLOOR.MATH(Table1[[#This Row],[year]],10)</f>
        <v>1990</v>
      </c>
      <c r="D1200" t="s">
        <v>300</v>
      </c>
      <c r="E1200" t="s">
        <v>54</v>
      </c>
      <c r="F1200">
        <v>0</v>
      </c>
      <c r="G1200">
        <v>1</v>
      </c>
      <c r="H1200" t="s">
        <v>224</v>
      </c>
      <c r="I1200" t="s">
        <v>299</v>
      </c>
      <c r="J1200" t="s">
        <v>300</v>
      </c>
      <c r="K1200" t="b">
        <v>0</v>
      </c>
      <c r="L1200">
        <v>1992</v>
      </c>
      <c r="M1200">
        <v>2798696511</v>
      </c>
      <c r="N1200">
        <v>7769817839</v>
      </c>
      <c r="O1200" t="b">
        <v>1</v>
      </c>
      <c r="P1200">
        <v>1</v>
      </c>
      <c r="Q1200" t="str" cm="1">
        <f t="array" ref="Q1200">_xlfn.IFS(Table1[[#This Row],[Wealthier_Winner]]=-1,"Wealthier Nation Loses",Table1[[#This Row],[Wealthier_Winner]]=0,"Tie",Table1[[#This Row],[Wealthier_Winner]]=1,"Wealthier Nation Wins")</f>
        <v>Wealthier Nation Wins</v>
      </c>
    </row>
    <row r="1201" spans="1:17" x14ac:dyDescent="0.2">
      <c r="A1201" s="1">
        <v>2359</v>
      </c>
      <c r="B1201" s="2">
        <v>33902</v>
      </c>
      <c r="C1201" s="7">
        <f>_xlfn.FLOOR.MATH(Table1[[#This Row],[year]],10)</f>
        <v>1990</v>
      </c>
      <c r="D1201" t="s">
        <v>462</v>
      </c>
      <c r="E1201" t="s">
        <v>273</v>
      </c>
      <c r="F1201">
        <v>0</v>
      </c>
      <c r="G1201">
        <v>4</v>
      </c>
      <c r="H1201" t="s">
        <v>224</v>
      </c>
      <c r="I1201" t="s">
        <v>465</v>
      </c>
      <c r="J1201" t="s">
        <v>462</v>
      </c>
      <c r="K1201" t="b">
        <v>0</v>
      </c>
      <c r="L1201">
        <v>1992</v>
      </c>
      <c r="M1201">
        <v>3429521699</v>
      </c>
      <c r="N1201">
        <v>3182810841</v>
      </c>
      <c r="O1201" t="b">
        <v>0</v>
      </c>
      <c r="P1201">
        <v>-1</v>
      </c>
      <c r="Q1201" t="str" cm="1">
        <f t="array" ref="Q1201">_xlfn.IFS(Table1[[#This Row],[Wealthier_Winner]]=-1,"Wealthier Nation Loses",Table1[[#This Row],[Wealthier_Winner]]=0,"Tie",Table1[[#This Row],[Wealthier_Winner]]=1,"Wealthier Nation Wins")</f>
        <v>Wealthier Nation Loses</v>
      </c>
    </row>
    <row r="1202" spans="1:17" x14ac:dyDescent="0.2">
      <c r="A1202" s="1">
        <v>2362</v>
      </c>
      <c r="B1202" s="2">
        <v>33902</v>
      </c>
      <c r="C1202" s="7">
        <f>_xlfn.FLOOR.MATH(Table1[[#This Row],[year]],10)</f>
        <v>1990</v>
      </c>
      <c r="D1202" t="s">
        <v>320</v>
      </c>
      <c r="E1202" t="s">
        <v>410</v>
      </c>
      <c r="F1202">
        <v>0</v>
      </c>
      <c r="G1202">
        <v>0</v>
      </c>
      <c r="H1202" t="s">
        <v>224</v>
      </c>
      <c r="I1202" t="s">
        <v>466</v>
      </c>
      <c r="J1202" t="s">
        <v>320</v>
      </c>
      <c r="K1202" t="b">
        <v>0</v>
      </c>
      <c r="L1202">
        <v>1992</v>
      </c>
      <c r="M1202">
        <v>6681997469</v>
      </c>
      <c r="N1202">
        <v>3714966678</v>
      </c>
      <c r="O1202" t="b">
        <v>0</v>
      </c>
      <c r="P1202">
        <v>0</v>
      </c>
      <c r="Q1202" t="str" cm="1">
        <f t="array" ref="Q1202">_xlfn.IFS(Table1[[#This Row],[Wealthier_Winner]]=-1,"Wealthier Nation Loses",Table1[[#This Row],[Wealthier_Winner]]=0,"Tie",Table1[[#This Row],[Wealthier_Winner]]=1,"Wealthier Nation Wins")</f>
        <v>Tie</v>
      </c>
    </row>
    <row r="1203" spans="1:17" x14ac:dyDescent="0.2">
      <c r="A1203" s="1">
        <v>2363</v>
      </c>
      <c r="B1203" s="2">
        <v>33902</v>
      </c>
      <c r="C1203" s="7">
        <f>_xlfn.FLOOR.MATH(Table1[[#This Row],[year]],10)</f>
        <v>1990</v>
      </c>
      <c r="D1203" t="s">
        <v>62</v>
      </c>
      <c r="E1203" t="s">
        <v>212</v>
      </c>
      <c r="F1203">
        <v>1</v>
      </c>
      <c r="G1203">
        <v>4</v>
      </c>
      <c r="H1203" t="s">
        <v>224</v>
      </c>
      <c r="I1203" t="s">
        <v>353</v>
      </c>
      <c r="J1203" t="s">
        <v>62</v>
      </c>
      <c r="K1203" t="b">
        <v>0</v>
      </c>
      <c r="L1203">
        <v>1992</v>
      </c>
      <c r="M1203">
        <v>2390796915</v>
      </c>
      <c r="N1203">
        <v>41855986519</v>
      </c>
      <c r="O1203" t="b">
        <v>1</v>
      </c>
      <c r="P1203">
        <v>1</v>
      </c>
      <c r="Q1203" t="str" cm="1">
        <f t="array" ref="Q1203">_xlfn.IFS(Table1[[#This Row],[Wealthier_Winner]]=-1,"Wealthier Nation Loses",Table1[[#This Row],[Wealthier_Winner]]=0,"Tie",Table1[[#This Row],[Wealthier_Winner]]=1,"Wealthier Nation Wins")</f>
        <v>Wealthier Nation Wins</v>
      </c>
    </row>
    <row r="1204" spans="1:17" x14ac:dyDescent="0.2">
      <c r="A1204" s="1">
        <v>2364</v>
      </c>
      <c r="B1204" s="2">
        <v>33905</v>
      </c>
      <c r="C1204" s="7">
        <f>_xlfn.FLOOR.MATH(Table1[[#This Row],[year]],10)</f>
        <v>1990</v>
      </c>
      <c r="D1204" t="s">
        <v>29</v>
      </c>
      <c r="E1204" t="s">
        <v>22</v>
      </c>
      <c r="F1204">
        <v>5</v>
      </c>
      <c r="G1204">
        <v>2</v>
      </c>
      <c r="H1204" t="s">
        <v>224</v>
      </c>
      <c r="I1204" t="s">
        <v>270</v>
      </c>
      <c r="J1204" t="s">
        <v>29</v>
      </c>
      <c r="K1204" t="b">
        <v>0</v>
      </c>
      <c r="L1204">
        <v>1992</v>
      </c>
      <c r="M1204">
        <v>194314032056</v>
      </c>
      <c r="N1204">
        <v>79457685757</v>
      </c>
      <c r="O1204" t="b">
        <v>1</v>
      </c>
      <c r="P1204">
        <v>1</v>
      </c>
      <c r="Q1204" t="str" cm="1">
        <f t="array" ref="Q1204">_xlfn.IFS(Table1[[#This Row],[Wealthier_Winner]]=-1,"Wealthier Nation Loses",Table1[[#This Row],[Wealthier_Winner]]=0,"Tie",Table1[[#This Row],[Wealthier_Winner]]=1,"Wealthier Nation Wins")</f>
        <v>Wealthier Nation Wins</v>
      </c>
    </row>
    <row r="1205" spans="1:17" x14ac:dyDescent="0.2">
      <c r="A1205" s="1">
        <v>2366</v>
      </c>
      <c r="B1205" s="2">
        <v>33905</v>
      </c>
      <c r="C1205" s="7">
        <f>_xlfn.FLOOR.MATH(Table1[[#This Row],[year]],10)</f>
        <v>1990</v>
      </c>
      <c r="D1205" t="s">
        <v>196</v>
      </c>
      <c r="E1205" t="s">
        <v>232</v>
      </c>
      <c r="F1205">
        <v>2</v>
      </c>
      <c r="G1205">
        <v>0</v>
      </c>
      <c r="H1205" t="s">
        <v>224</v>
      </c>
      <c r="I1205" t="s">
        <v>180</v>
      </c>
      <c r="J1205" t="s">
        <v>196</v>
      </c>
      <c r="K1205" t="b">
        <v>0</v>
      </c>
      <c r="L1205">
        <v>1992</v>
      </c>
      <c r="M1205">
        <v>460290556900</v>
      </c>
      <c r="N1205">
        <v>15518702634</v>
      </c>
      <c r="O1205" t="b">
        <v>1</v>
      </c>
      <c r="P1205">
        <v>1</v>
      </c>
      <c r="Q1205" t="str" cm="1">
        <f t="array" ref="Q1205">_xlfn.IFS(Table1[[#This Row],[Wealthier_Winner]]=-1,"Wealthier Nation Loses",Table1[[#This Row],[Wealthier_Winner]]=0,"Tie",Table1[[#This Row],[Wealthier_Winner]]=1,"Wealthier Nation Wins")</f>
        <v>Wealthier Nation Wins</v>
      </c>
    </row>
    <row r="1206" spans="1:17" x14ac:dyDescent="0.2">
      <c r="A1206" s="1">
        <v>2368</v>
      </c>
      <c r="B1206" s="2">
        <v>33909</v>
      </c>
      <c r="C1206" s="7">
        <f>_xlfn.FLOOR.MATH(Table1[[#This Row],[year]],10)</f>
        <v>1990</v>
      </c>
      <c r="D1206" t="s">
        <v>34</v>
      </c>
      <c r="E1206" t="s">
        <v>49</v>
      </c>
      <c r="F1206">
        <v>1</v>
      </c>
      <c r="G1206">
        <v>0</v>
      </c>
      <c r="H1206" t="s">
        <v>224</v>
      </c>
      <c r="I1206" t="s">
        <v>267</v>
      </c>
      <c r="J1206" t="s">
        <v>34</v>
      </c>
      <c r="K1206" t="b">
        <v>0</v>
      </c>
      <c r="L1206">
        <v>1992</v>
      </c>
      <c r="M1206">
        <v>594387358318</v>
      </c>
      <c r="N1206">
        <v>3535460089</v>
      </c>
      <c r="O1206" t="b">
        <v>1</v>
      </c>
      <c r="P1206">
        <v>1</v>
      </c>
      <c r="Q1206" t="str" cm="1">
        <f t="array" ref="Q1206">_xlfn.IFS(Table1[[#This Row],[Wealthier_Winner]]=-1,"Wealthier Nation Loses",Table1[[#This Row],[Wealthier_Winner]]=0,"Tie",Table1[[#This Row],[Wealthier_Winner]]=1,"Wealthier Nation Wins")</f>
        <v>Wealthier Nation Wins</v>
      </c>
    </row>
    <row r="1207" spans="1:17" x14ac:dyDescent="0.2">
      <c r="A1207" s="1">
        <v>2369</v>
      </c>
      <c r="B1207" s="2">
        <v>33909</v>
      </c>
      <c r="C1207" s="7">
        <f>_xlfn.FLOOR.MATH(Table1[[#This Row],[year]],10)</f>
        <v>1990</v>
      </c>
      <c r="D1207" t="s">
        <v>69</v>
      </c>
      <c r="E1207" t="s">
        <v>266</v>
      </c>
      <c r="F1207">
        <v>4</v>
      </c>
      <c r="G1207">
        <v>1</v>
      </c>
      <c r="H1207" t="s">
        <v>224</v>
      </c>
      <c r="I1207" t="s">
        <v>281</v>
      </c>
      <c r="J1207" t="s">
        <v>69</v>
      </c>
      <c r="K1207" t="b">
        <v>0</v>
      </c>
      <c r="L1207">
        <v>1992</v>
      </c>
      <c r="M1207">
        <v>5813399300</v>
      </c>
      <c r="N1207">
        <v>1679900000</v>
      </c>
      <c r="O1207" t="b">
        <v>1</v>
      </c>
      <c r="P1207">
        <v>1</v>
      </c>
      <c r="Q1207" t="str" cm="1">
        <f t="array" ref="Q1207">_xlfn.IFS(Table1[[#This Row],[Wealthier_Winner]]=-1,"Wealthier Nation Loses",Table1[[#This Row],[Wealthier_Winner]]=0,"Tie",Table1[[#This Row],[Wealthier_Winner]]=1,"Wealthier Nation Wins")</f>
        <v>Wealthier Nation Wins</v>
      </c>
    </row>
    <row r="1208" spans="1:17" x14ac:dyDescent="0.2">
      <c r="A1208" s="1">
        <v>2371</v>
      </c>
      <c r="B1208" s="2">
        <v>33916</v>
      </c>
      <c r="C1208" s="7">
        <f>_xlfn.FLOOR.MATH(Table1[[#This Row],[year]],10)</f>
        <v>1990</v>
      </c>
      <c r="D1208" t="s">
        <v>34</v>
      </c>
      <c r="E1208" t="s">
        <v>69</v>
      </c>
      <c r="F1208">
        <v>2</v>
      </c>
      <c r="G1208">
        <v>3</v>
      </c>
      <c r="H1208" t="s">
        <v>224</v>
      </c>
      <c r="I1208" t="s">
        <v>467</v>
      </c>
      <c r="J1208" t="s">
        <v>34</v>
      </c>
      <c r="K1208" t="b">
        <v>0</v>
      </c>
      <c r="L1208">
        <v>1992</v>
      </c>
      <c r="M1208">
        <v>594387358318</v>
      </c>
      <c r="N1208">
        <v>5813399300</v>
      </c>
      <c r="O1208" t="b">
        <v>1</v>
      </c>
      <c r="P1208">
        <v>-1</v>
      </c>
      <c r="Q1208" t="str" cm="1">
        <f t="array" ref="Q1208">_xlfn.IFS(Table1[[#This Row],[Wealthier_Winner]]=-1,"Wealthier Nation Loses",Table1[[#This Row],[Wealthier_Winner]]=0,"Tie",Table1[[#This Row],[Wealthier_Winner]]=1,"Wealthier Nation Wins")</f>
        <v>Wealthier Nation Loses</v>
      </c>
    </row>
    <row r="1209" spans="1:17" x14ac:dyDescent="0.2">
      <c r="A1209" s="1">
        <v>2372</v>
      </c>
      <c r="B1209" s="2">
        <v>33916</v>
      </c>
      <c r="C1209" s="7">
        <f>_xlfn.FLOOR.MATH(Table1[[#This Row],[year]],10)</f>
        <v>1990</v>
      </c>
      <c r="D1209" t="s">
        <v>56</v>
      </c>
      <c r="E1209" t="s">
        <v>65</v>
      </c>
      <c r="F1209">
        <v>2</v>
      </c>
      <c r="G1209">
        <v>3</v>
      </c>
      <c r="H1209" t="s">
        <v>224</v>
      </c>
      <c r="I1209" t="s">
        <v>225</v>
      </c>
      <c r="J1209" t="s">
        <v>56</v>
      </c>
      <c r="K1209" t="b">
        <v>0</v>
      </c>
      <c r="L1209">
        <v>1992</v>
      </c>
      <c r="M1209">
        <v>8579754757</v>
      </c>
      <c r="N1209">
        <v>4122846905</v>
      </c>
      <c r="O1209" t="b">
        <v>1</v>
      </c>
      <c r="P1209">
        <v>-1</v>
      </c>
      <c r="Q1209" t="str" cm="1">
        <f t="array" ref="Q1209">_xlfn.IFS(Table1[[#This Row],[Wealthier_Winner]]=-1,"Wealthier Nation Loses",Table1[[#This Row],[Wealthier_Winner]]=0,"Tie",Table1[[#This Row],[Wealthier_Winner]]=1,"Wealthier Nation Wins")</f>
        <v>Wealthier Nation Loses</v>
      </c>
    </row>
    <row r="1210" spans="1:17" x14ac:dyDescent="0.2">
      <c r="A1210" s="1">
        <v>2373</v>
      </c>
      <c r="B1210" s="2">
        <v>33916</v>
      </c>
      <c r="C1210" s="7">
        <f>_xlfn.FLOOR.MATH(Table1[[#This Row],[year]],10)</f>
        <v>1990</v>
      </c>
      <c r="D1210" t="s">
        <v>49</v>
      </c>
      <c r="E1210" t="s">
        <v>266</v>
      </c>
      <c r="F1210">
        <v>3</v>
      </c>
      <c r="G1210">
        <v>2</v>
      </c>
      <c r="H1210" t="s">
        <v>224</v>
      </c>
      <c r="I1210" t="s">
        <v>257</v>
      </c>
      <c r="J1210" t="s">
        <v>49</v>
      </c>
      <c r="K1210" t="b">
        <v>0</v>
      </c>
      <c r="L1210">
        <v>1992</v>
      </c>
      <c r="M1210">
        <v>3535460089</v>
      </c>
      <c r="N1210">
        <v>1679900000</v>
      </c>
      <c r="O1210" t="b">
        <v>1</v>
      </c>
      <c r="P1210">
        <v>1</v>
      </c>
      <c r="Q1210" t="str" cm="1">
        <f t="array" ref="Q1210">_xlfn.IFS(Table1[[#This Row],[Wealthier_Winner]]=-1,"Wealthier Nation Loses",Table1[[#This Row],[Wealthier_Winner]]=0,"Tie",Table1[[#This Row],[Wealthier_Winner]]=1,"Wealthier Nation Wins")</f>
        <v>Wealthier Nation Wins</v>
      </c>
    </row>
    <row r="1211" spans="1:17" x14ac:dyDescent="0.2">
      <c r="A1211" s="1">
        <v>2375</v>
      </c>
      <c r="B1211" s="2">
        <v>33919</v>
      </c>
      <c r="C1211" s="7">
        <f>_xlfn.FLOOR.MATH(Table1[[#This Row],[year]],10)</f>
        <v>1990</v>
      </c>
      <c r="D1211" t="s">
        <v>48</v>
      </c>
      <c r="E1211" t="s">
        <v>30</v>
      </c>
      <c r="F1211">
        <v>0</v>
      </c>
      <c r="G1211">
        <v>0</v>
      </c>
      <c r="H1211" t="s">
        <v>224</v>
      </c>
      <c r="I1211" t="s">
        <v>295</v>
      </c>
      <c r="J1211" t="s">
        <v>48</v>
      </c>
      <c r="K1211" t="b">
        <v>0</v>
      </c>
      <c r="L1211">
        <v>1992</v>
      </c>
      <c r="M1211">
        <v>114608178405</v>
      </c>
      <c r="N1211">
        <v>38857339124</v>
      </c>
      <c r="O1211" t="b">
        <v>1</v>
      </c>
      <c r="P1211">
        <v>0</v>
      </c>
      <c r="Q1211" t="str" cm="1">
        <f t="array" ref="Q1211">_xlfn.IFS(Table1[[#This Row],[Wealthier_Winner]]=-1,"Wealthier Nation Loses",Table1[[#This Row],[Wealthier_Winner]]=0,"Tie",Table1[[#This Row],[Wealthier_Winner]]=1,"Wealthier Nation Wins")</f>
        <v>Tie</v>
      </c>
    </row>
    <row r="1212" spans="1:17" x14ac:dyDescent="0.2">
      <c r="A1212" s="1">
        <v>2376</v>
      </c>
      <c r="B1212" s="2">
        <v>33919</v>
      </c>
      <c r="C1212" s="7">
        <f>_xlfn.FLOOR.MATH(Table1[[#This Row],[year]],10)</f>
        <v>1990</v>
      </c>
      <c r="D1212" t="s">
        <v>22</v>
      </c>
      <c r="E1212" t="s">
        <v>25</v>
      </c>
      <c r="F1212">
        <v>1</v>
      </c>
      <c r="G1212">
        <v>3</v>
      </c>
      <c r="H1212" t="s">
        <v>224</v>
      </c>
      <c r="I1212" t="s">
        <v>239</v>
      </c>
      <c r="J1212" t="s">
        <v>22</v>
      </c>
      <c r="K1212" t="b">
        <v>0</v>
      </c>
      <c r="L1212">
        <v>1992</v>
      </c>
      <c r="M1212">
        <v>79457685757</v>
      </c>
      <c r="N1212">
        <v>283908914454</v>
      </c>
      <c r="O1212" t="b">
        <v>1</v>
      </c>
      <c r="P1212">
        <v>1</v>
      </c>
      <c r="Q1212" t="str" cm="1">
        <f t="array" ref="Q1212">_xlfn.IFS(Table1[[#This Row],[Wealthier_Winner]]=-1,"Wealthier Nation Loses",Table1[[#This Row],[Wealthier_Winner]]=0,"Tie",Table1[[#This Row],[Wealthier_Winner]]=1,"Wealthier Nation Wins")</f>
        <v>Wealthier Nation Wins</v>
      </c>
    </row>
    <row r="1213" spans="1:17" x14ac:dyDescent="0.2">
      <c r="A1213" s="1">
        <v>2377</v>
      </c>
      <c r="B1213" s="2">
        <v>33922</v>
      </c>
      <c r="C1213" s="7">
        <f>_xlfn.FLOOR.MATH(Table1[[#This Row],[year]],10)</f>
        <v>1990</v>
      </c>
      <c r="D1213" t="s">
        <v>20</v>
      </c>
      <c r="E1213" t="s">
        <v>230</v>
      </c>
      <c r="F1213">
        <v>2</v>
      </c>
      <c r="G1213">
        <v>1</v>
      </c>
      <c r="H1213" t="s">
        <v>224</v>
      </c>
      <c r="I1213" t="s">
        <v>134</v>
      </c>
      <c r="J1213" t="s">
        <v>20</v>
      </c>
      <c r="K1213" t="b">
        <v>0</v>
      </c>
      <c r="L1213">
        <v>1992</v>
      </c>
      <c r="M1213">
        <v>1389663073110</v>
      </c>
      <c r="N1213">
        <v>112537828510</v>
      </c>
      <c r="O1213" t="b">
        <v>1</v>
      </c>
      <c r="P1213">
        <v>1</v>
      </c>
      <c r="Q1213" t="str" cm="1">
        <f t="array" ref="Q1213">_xlfn.IFS(Table1[[#This Row],[Wealthier_Winner]]=-1,"Wealthier Nation Loses",Table1[[#This Row],[Wealthier_Winner]]=0,"Tie",Table1[[#This Row],[Wealthier_Winner]]=1,"Wealthier Nation Wins")</f>
        <v>Wealthier Nation Wins</v>
      </c>
    </row>
    <row r="1214" spans="1:17" x14ac:dyDescent="0.2">
      <c r="A1214" s="1">
        <v>2380</v>
      </c>
      <c r="B1214" s="2">
        <v>33923</v>
      </c>
      <c r="C1214" s="7">
        <f>_xlfn.FLOOR.MATH(Table1[[#This Row],[year]],10)</f>
        <v>1990</v>
      </c>
      <c r="D1214" t="s">
        <v>34</v>
      </c>
      <c r="E1214" t="s">
        <v>266</v>
      </c>
      <c r="F1214">
        <v>4</v>
      </c>
      <c r="G1214">
        <v>2</v>
      </c>
      <c r="H1214" t="s">
        <v>224</v>
      </c>
      <c r="I1214" t="s">
        <v>467</v>
      </c>
      <c r="J1214" t="s">
        <v>34</v>
      </c>
      <c r="K1214" t="b">
        <v>0</v>
      </c>
      <c r="L1214">
        <v>1992</v>
      </c>
      <c r="M1214">
        <v>594387358318</v>
      </c>
      <c r="N1214">
        <v>1679900000</v>
      </c>
      <c r="O1214" t="b">
        <v>1</v>
      </c>
      <c r="P1214">
        <v>1</v>
      </c>
      <c r="Q1214" t="str" cm="1">
        <f t="array" ref="Q1214">_xlfn.IFS(Table1[[#This Row],[Wealthier_Winner]]=-1,"Wealthier Nation Loses",Table1[[#This Row],[Wealthier_Winner]]=0,"Tie",Table1[[#This Row],[Wealthier_Winner]]=1,"Wealthier Nation Wins")</f>
        <v>Wealthier Nation Wins</v>
      </c>
    </row>
    <row r="1215" spans="1:17" x14ac:dyDescent="0.2">
      <c r="A1215" s="1">
        <v>2381</v>
      </c>
      <c r="B1215" s="2">
        <v>33923</v>
      </c>
      <c r="C1215" s="7">
        <f>_xlfn.FLOOR.MATH(Table1[[#This Row],[year]],10)</f>
        <v>1990</v>
      </c>
      <c r="D1215" t="s">
        <v>17</v>
      </c>
      <c r="E1215" t="s">
        <v>65</v>
      </c>
      <c r="F1215">
        <v>2</v>
      </c>
      <c r="G1215">
        <v>0</v>
      </c>
      <c r="H1215" t="s">
        <v>224</v>
      </c>
      <c r="I1215" t="s">
        <v>83</v>
      </c>
      <c r="J1215" t="s">
        <v>17</v>
      </c>
      <c r="K1215" t="b">
        <v>0</v>
      </c>
      <c r="L1215">
        <v>1992</v>
      </c>
      <c r="M1215">
        <v>363157832923</v>
      </c>
      <c r="N1215">
        <v>4122846905</v>
      </c>
      <c r="O1215" t="b">
        <v>1</v>
      </c>
      <c r="P1215">
        <v>1</v>
      </c>
      <c r="Q1215" t="str" cm="1">
        <f t="array" ref="Q1215">_xlfn.IFS(Table1[[#This Row],[Wealthier_Winner]]=-1,"Wealthier Nation Loses",Table1[[#This Row],[Wealthier_Winner]]=0,"Tie",Table1[[#This Row],[Wealthier_Winner]]=1,"Wealthier Nation Wins")</f>
        <v>Wealthier Nation Wins</v>
      </c>
    </row>
    <row r="1216" spans="1:17" x14ac:dyDescent="0.2">
      <c r="A1216" s="1">
        <v>2387</v>
      </c>
      <c r="B1216" s="2">
        <v>33926</v>
      </c>
      <c r="C1216" s="7">
        <f>_xlfn.FLOOR.MATH(Table1[[#This Row],[year]],10)</f>
        <v>1990</v>
      </c>
      <c r="D1216" t="s">
        <v>46</v>
      </c>
      <c r="E1216" t="s">
        <v>303</v>
      </c>
      <c r="F1216">
        <v>3</v>
      </c>
      <c r="G1216">
        <v>0</v>
      </c>
      <c r="H1216" t="s">
        <v>224</v>
      </c>
      <c r="I1216" t="s">
        <v>249</v>
      </c>
      <c r="J1216" t="s">
        <v>46</v>
      </c>
      <c r="K1216" t="b">
        <v>0</v>
      </c>
      <c r="L1216">
        <v>1992</v>
      </c>
      <c r="M1216">
        <v>279921425828</v>
      </c>
      <c r="N1216">
        <v>3021942758</v>
      </c>
      <c r="O1216" t="b">
        <v>1</v>
      </c>
      <c r="P1216">
        <v>1</v>
      </c>
      <c r="Q1216" t="str" cm="1">
        <f t="array" ref="Q1216">_xlfn.IFS(Table1[[#This Row],[Wealthier_Winner]]=-1,"Wealthier Nation Loses",Table1[[#This Row],[Wealthier_Winner]]=0,"Tie",Table1[[#This Row],[Wealthier_Winner]]=1,"Wealthier Nation Wins")</f>
        <v>Wealthier Nation Wins</v>
      </c>
    </row>
    <row r="1217" spans="1:17" x14ac:dyDescent="0.2">
      <c r="A1217" s="1">
        <v>2389</v>
      </c>
      <c r="B1217" s="2">
        <v>33930</v>
      </c>
      <c r="C1217" s="7">
        <f>_xlfn.FLOOR.MATH(Table1[[#This Row],[year]],10)</f>
        <v>1990</v>
      </c>
      <c r="D1217" t="s">
        <v>49</v>
      </c>
      <c r="E1217" t="s">
        <v>69</v>
      </c>
      <c r="F1217">
        <v>0</v>
      </c>
      <c r="G1217">
        <v>2</v>
      </c>
      <c r="H1217" t="s">
        <v>224</v>
      </c>
      <c r="I1217" t="s">
        <v>257</v>
      </c>
      <c r="J1217" t="s">
        <v>49</v>
      </c>
      <c r="K1217" t="b">
        <v>0</v>
      </c>
      <c r="L1217">
        <v>1992</v>
      </c>
      <c r="M1217">
        <v>3535460089</v>
      </c>
      <c r="N1217">
        <v>5813399300</v>
      </c>
      <c r="O1217" t="b">
        <v>0</v>
      </c>
      <c r="P1217">
        <v>1</v>
      </c>
      <c r="Q1217" t="str" cm="1">
        <f t="array" ref="Q1217">_xlfn.IFS(Table1[[#This Row],[Wealthier_Winner]]=-1,"Wealthier Nation Loses",Table1[[#This Row],[Wealthier_Winner]]=0,"Tie",Table1[[#This Row],[Wealthier_Winner]]=1,"Wealthier Nation Wins")</f>
        <v>Wealthier Nation Wins</v>
      </c>
    </row>
    <row r="1218" spans="1:17" x14ac:dyDescent="0.2">
      <c r="A1218" s="1">
        <v>2390</v>
      </c>
      <c r="B1218" s="2">
        <v>33930</v>
      </c>
      <c r="C1218" s="7">
        <f>_xlfn.FLOOR.MATH(Table1[[#This Row],[year]],10)</f>
        <v>1990</v>
      </c>
      <c r="D1218" t="s">
        <v>17</v>
      </c>
      <c r="E1218" t="s">
        <v>56</v>
      </c>
      <c r="F1218">
        <v>4</v>
      </c>
      <c r="G1218">
        <v>0</v>
      </c>
      <c r="H1218" t="s">
        <v>224</v>
      </c>
      <c r="I1218" t="s">
        <v>83</v>
      </c>
      <c r="J1218" t="s">
        <v>17</v>
      </c>
      <c r="K1218" t="b">
        <v>0</v>
      </c>
      <c r="L1218">
        <v>1992</v>
      </c>
      <c r="M1218">
        <v>363157832923</v>
      </c>
      <c r="N1218">
        <v>8579754757</v>
      </c>
      <c r="O1218" t="b">
        <v>1</v>
      </c>
      <c r="P1218">
        <v>1</v>
      </c>
      <c r="Q1218" t="str" cm="1">
        <f t="array" ref="Q1218">_xlfn.IFS(Table1[[#This Row],[Wealthier_Winner]]=-1,"Wealthier Nation Loses",Table1[[#This Row],[Wealthier_Winner]]=0,"Tie",Table1[[#This Row],[Wealthier_Winner]]=1,"Wealthier Nation Wins")</f>
        <v>Wealthier Nation Wins</v>
      </c>
    </row>
    <row r="1219" spans="1:17" x14ac:dyDescent="0.2">
      <c r="A1219" s="1">
        <v>2392</v>
      </c>
      <c r="B1219" s="2">
        <v>33937</v>
      </c>
      <c r="C1219" s="7">
        <f>_xlfn.FLOOR.MATH(Table1[[#This Row],[year]],10)</f>
        <v>1990</v>
      </c>
      <c r="D1219" t="s">
        <v>56</v>
      </c>
      <c r="E1219" t="s">
        <v>17</v>
      </c>
      <c r="F1219">
        <v>2</v>
      </c>
      <c r="G1219">
        <v>0</v>
      </c>
      <c r="H1219" t="s">
        <v>224</v>
      </c>
      <c r="I1219" t="s">
        <v>225</v>
      </c>
      <c r="J1219" t="s">
        <v>56</v>
      </c>
      <c r="K1219" t="b">
        <v>0</v>
      </c>
      <c r="L1219">
        <v>1992</v>
      </c>
      <c r="M1219">
        <v>8579754757</v>
      </c>
      <c r="N1219">
        <v>363157832923</v>
      </c>
      <c r="O1219" t="b">
        <v>1</v>
      </c>
      <c r="P1219">
        <v>-1</v>
      </c>
      <c r="Q1219" t="str" cm="1">
        <f t="array" ref="Q1219">_xlfn.IFS(Table1[[#This Row],[Wealthier_Winner]]=-1,"Wealthier Nation Loses",Table1[[#This Row],[Wealthier_Winner]]=0,"Tie",Table1[[#This Row],[Wealthier_Winner]]=1,"Wealthier Nation Wins")</f>
        <v>Wealthier Nation Loses</v>
      </c>
    </row>
    <row r="1220" spans="1:17" x14ac:dyDescent="0.2">
      <c r="A1220" s="1">
        <v>2393</v>
      </c>
      <c r="B1220" s="2">
        <v>33937</v>
      </c>
      <c r="C1220" s="7">
        <f>_xlfn.FLOOR.MATH(Table1[[#This Row],[year]],10)</f>
        <v>1990</v>
      </c>
      <c r="D1220" t="s">
        <v>351</v>
      </c>
      <c r="E1220" t="s">
        <v>44</v>
      </c>
      <c r="F1220">
        <v>1</v>
      </c>
      <c r="G1220">
        <v>4</v>
      </c>
      <c r="H1220" t="s">
        <v>224</v>
      </c>
      <c r="I1220" t="s">
        <v>468</v>
      </c>
      <c r="J1220" t="s">
        <v>351</v>
      </c>
      <c r="K1220" t="b">
        <v>0</v>
      </c>
      <c r="L1220">
        <v>1992</v>
      </c>
      <c r="M1220">
        <v>6912150456</v>
      </c>
      <c r="N1220">
        <v>25121666666</v>
      </c>
      <c r="O1220" t="b">
        <v>1</v>
      </c>
      <c r="P1220">
        <v>1</v>
      </c>
      <c r="Q1220" t="str" cm="1">
        <f t="array" ref="Q1220">_xlfn.IFS(Table1[[#This Row],[Wealthier_Winner]]=-1,"Wealthier Nation Loses",Table1[[#This Row],[Wealthier_Winner]]=0,"Tie",Table1[[#This Row],[Wealthier_Winner]]=1,"Wealthier Nation Wins")</f>
        <v>Wealthier Nation Wins</v>
      </c>
    </row>
    <row r="1221" spans="1:17" x14ac:dyDescent="0.2">
      <c r="A1221" s="1">
        <v>2394</v>
      </c>
      <c r="B1221" s="2">
        <v>33940</v>
      </c>
      <c r="C1221" s="7">
        <f>_xlfn.FLOOR.MATH(Table1[[#This Row],[year]],10)</f>
        <v>1990</v>
      </c>
      <c r="D1221" t="s">
        <v>22</v>
      </c>
      <c r="E1221" t="s">
        <v>33</v>
      </c>
      <c r="F1221">
        <v>0</v>
      </c>
      <c r="G1221">
        <v>2</v>
      </c>
      <c r="H1221" t="s">
        <v>224</v>
      </c>
      <c r="I1221" t="s">
        <v>239</v>
      </c>
      <c r="J1221" t="s">
        <v>22</v>
      </c>
      <c r="K1221" t="b">
        <v>0</v>
      </c>
      <c r="L1221">
        <v>1992</v>
      </c>
      <c r="M1221">
        <v>79457685757</v>
      </c>
      <c r="N1221">
        <v>8602887622</v>
      </c>
      <c r="O1221" t="b">
        <v>1</v>
      </c>
      <c r="P1221">
        <v>-1</v>
      </c>
      <c r="Q1221" t="str" cm="1">
        <f t="array" ref="Q1221">_xlfn.IFS(Table1[[#This Row],[Wealthier_Winner]]=-1,"Wealthier Nation Loses",Table1[[#This Row],[Wealthier_Winner]]=0,"Tie",Table1[[#This Row],[Wealthier_Winner]]=1,"Wealthier Nation Wins")</f>
        <v>Wealthier Nation Loses</v>
      </c>
    </row>
    <row r="1222" spans="1:17" x14ac:dyDescent="0.2">
      <c r="A1222" s="1">
        <v>2395</v>
      </c>
      <c r="B1222" s="2">
        <v>33943</v>
      </c>
      <c r="C1222" s="7">
        <f>_xlfn.FLOOR.MATH(Table1[[#This Row],[year]],10)</f>
        <v>1990</v>
      </c>
      <c r="D1222" t="s">
        <v>65</v>
      </c>
      <c r="E1222" t="s">
        <v>56</v>
      </c>
      <c r="F1222">
        <v>2</v>
      </c>
      <c r="G1222">
        <v>1</v>
      </c>
      <c r="H1222" t="s">
        <v>224</v>
      </c>
      <c r="I1222" t="s">
        <v>228</v>
      </c>
      <c r="J1222" t="s">
        <v>65</v>
      </c>
      <c r="K1222" t="b">
        <v>0</v>
      </c>
      <c r="L1222">
        <v>1992</v>
      </c>
      <c r="M1222">
        <v>4122846905</v>
      </c>
      <c r="N1222">
        <v>8579754757</v>
      </c>
      <c r="O1222" t="b">
        <v>1</v>
      </c>
      <c r="P1222">
        <v>-1</v>
      </c>
      <c r="Q1222" t="str" cm="1">
        <f t="array" ref="Q1222">_xlfn.IFS(Table1[[#This Row],[Wealthier_Winner]]=-1,"Wealthier Nation Loses",Table1[[#This Row],[Wealthier_Winner]]=0,"Tie",Table1[[#This Row],[Wealthier_Winner]]=1,"Wealthier Nation Wins")</f>
        <v>Wealthier Nation Loses</v>
      </c>
    </row>
    <row r="1223" spans="1:17" x14ac:dyDescent="0.2">
      <c r="A1223" s="1">
        <v>2397</v>
      </c>
      <c r="B1223" s="2">
        <v>33944</v>
      </c>
      <c r="C1223" s="7">
        <f>_xlfn.FLOOR.MATH(Table1[[#This Row],[year]],10)</f>
        <v>1990</v>
      </c>
      <c r="D1223" t="s">
        <v>266</v>
      </c>
      <c r="E1223" t="s">
        <v>34</v>
      </c>
      <c r="F1223">
        <v>0</v>
      </c>
      <c r="G1223">
        <v>0</v>
      </c>
      <c r="H1223" t="s">
        <v>224</v>
      </c>
      <c r="I1223" t="s">
        <v>271</v>
      </c>
      <c r="J1223" t="s">
        <v>266</v>
      </c>
      <c r="K1223" t="b">
        <v>0</v>
      </c>
      <c r="L1223">
        <v>1992</v>
      </c>
      <c r="M1223">
        <v>1679900000</v>
      </c>
      <c r="N1223">
        <v>594387358318</v>
      </c>
      <c r="O1223" t="b">
        <v>1</v>
      </c>
      <c r="P1223">
        <v>0</v>
      </c>
      <c r="Q1223" t="str" cm="1">
        <f t="array" ref="Q1223">_xlfn.IFS(Table1[[#This Row],[Wealthier_Winner]]=-1,"Wealthier Nation Loses",Table1[[#This Row],[Wealthier_Winner]]=0,"Tie",Table1[[#This Row],[Wealthier_Winner]]=1,"Wealthier Nation Wins")</f>
        <v>Tie</v>
      </c>
    </row>
    <row r="1224" spans="1:17" x14ac:dyDescent="0.2">
      <c r="A1224" s="1">
        <v>2398</v>
      </c>
      <c r="B1224" s="2">
        <v>33944</v>
      </c>
      <c r="C1224" s="7">
        <f>_xlfn.FLOOR.MATH(Table1[[#This Row],[year]],10)</f>
        <v>1990</v>
      </c>
      <c r="D1224" t="s">
        <v>69</v>
      </c>
      <c r="E1224" t="s">
        <v>49</v>
      </c>
      <c r="F1224">
        <v>2</v>
      </c>
      <c r="G1224">
        <v>1</v>
      </c>
      <c r="H1224" t="s">
        <v>224</v>
      </c>
      <c r="I1224" t="s">
        <v>281</v>
      </c>
      <c r="J1224" t="s">
        <v>69</v>
      </c>
      <c r="K1224" t="b">
        <v>0</v>
      </c>
      <c r="L1224">
        <v>1992</v>
      </c>
      <c r="M1224">
        <v>5813399300</v>
      </c>
      <c r="N1224">
        <v>3535460089</v>
      </c>
      <c r="O1224" t="b">
        <v>0</v>
      </c>
      <c r="P1224">
        <v>1</v>
      </c>
      <c r="Q1224" t="str" cm="1">
        <f t="array" ref="Q1224">_xlfn.IFS(Table1[[#This Row],[Wealthier_Winner]]=-1,"Wealthier Nation Loses",Table1[[#This Row],[Wealthier_Winner]]=0,"Tie",Table1[[#This Row],[Wealthier_Winner]]=1,"Wealthier Nation Wins")</f>
        <v>Wealthier Nation Wins</v>
      </c>
    </row>
    <row r="1225" spans="1:17" x14ac:dyDescent="0.2">
      <c r="A1225" s="1">
        <v>2400</v>
      </c>
      <c r="B1225" s="2">
        <v>33951</v>
      </c>
      <c r="C1225" s="7">
        <f>_xlfn.FLOOR.MATH(Table1[[#This Row],[year]],10)</f>
        <v>1990</v>
      </c>
      <c r="D1225" t="s">
        <v>65</v>
      </c>
      <c r="E1225" t="s">
        <v>17</v>
      </c>
      <c r="F1225">
        <v>1</v>
      </c>
      <c r="G1225">
        <v>1</v>
      </c>
      <c r="H1225" t="s">
        <v>224</v>
      </c>
      <c r="I1225" t="s">
        <v>228</v>
      </c>
      <c r="J1225" t="s">
        <v>65</v>
      </c>
      <c r="K1225" t="b">
        <v>0</v>
      </c>
      <c r="L1225">
        <v>1992</v>
      </c>
      <c r="M1225">
        <v>4122846905</v>
      </c>
      <c r="N1225">
        <v>363157832923</v>
      </c>
      <c r="O1225" t="b">
        <v>1</v>
      </c>
      <c r="P1225">
        <v>0</v>
      </c>
      <c r="Q1225" t="str" cm="1">
        <f t="array" ref="Q1225">_xlfn.IFS(Table1[[#This Row],[Wealthier_Winner]]=-1,"Wealthier Nation Loses",Table1[[#This Row],[Wealthier_Winner]]=0,"Tie",Table1[[#This Row],[Wealthier_Winner]]=1,"Wealthier Nation Wins")</f>
        <v>Tie</v>
      </c>
    </row>
    <row r="1226" spans="1:17" x14ac:dyDescent="0.2">
      <c r="A1226" s="1">
        <v>2403</v>
      </c>
      <c r="B1226" s="2">
        <v>33957</v>
      </c>
      <c r="C1226" s="7">
        <f>_xlfn.FLOOR.MATH(Table1[[#This Row],[year]],10)</f>
        <v>1990</v>
      </c>
      <c r="D1226" t="s">
        <v>303</v>
      </c>
      <c r="E1226" t="s">
        <v>18</v>
      </c>
      <c r="F1226">
        <v>1</v>
      </c>
      <c r="G1226">
        <v>2</v>
      </c>
      <c r="H1226" t="s">
        <v>224</v>
      </c>
      <c r="I1226" t="s">
        <v>399</v>
      </c>
      <c r="J1226" t="s">
        <v>303</v>
      </c>
      <c r="K1226" t="b">
        <v>0</v>
      </c>
      <c r="L1226">
        <v>1992</v>
      </c>
      <c r="M1226">
        <v>3021942758</v>
      </c>
      <c r="N1226">
        <v>1323204350353</v>
      </c>
      <c r="O1226" t="b">
        <v>1</v>
      </c>
      <c r="P1226">
        <v>1</v>
      </c>
      <c r="Q1226" t="str" cm="1">
        <f t="array" ref="Q1226">_xlfn.IFS(Table1[[#This Row],[Wealthier_Winner]]=-1,"Wealthier Nation Loses",Table1[[#This Row],[Wealthier_Winner]]=0,"Tie",Table1[[#This Row],[Wealthier_Winner]]=1,"Wealthier Nation Wins")</f>
        <v>Wealthier Nation Wins</v>
      </c>
    </row>
    <row r="1227" spans="1:17" x14ac:dyDescent="0.2">
      <c r="A1227" s="1">
        <v>2404</v>
      </c>
      <c r="B1227" s="2">
        <v>33957</v>
      </c>
      <c r="C1227" s="7">
        <f>_xlfn.FLOOR.MATH(Table1[[#This Row],[year]],10)</f>
        <v>1990</v>
      </c>
      <c r="D1227" t="s">
        <v>320</v>
      </c>
      <c r="E1227" t="s">
        <v>462</v>
      </c>
      <c r="F1227">
        <v>2</v>
      </c>
      <c r="G1227">
        <v>0</v>
      </c>
      <c r="H1227" t="s">
        <v>224</v>
      </c>
      <c r="I1227" t="s">
        <v>398</v>
      </c>
      <c r="J1227" t="s">
        <v>320</v>
      </c>
      <c r="K1227" t="b">
        <v>0</v>
      </c>
      <c r="L1227">
        <v>1992</v>
      </c>
      <c r="M1227">
        <v>6681997469</v>
      </c>
      <c r="N1227">
        <v>3429521699</v>
      </c>
      <c r="O1227" t="b">
        <v>0</v>
      </c>
      <c r="P1227">
        <v>1</v>
      </c>
      <c r="Q1227" t="str" cm="1">
        <f t="array" ref="Q1227">_xlfn.IFS(Table1[[#This Row],[Wealthier_Winner]]=-1,"Wealthier Nation Loses",Table1[[#This Row],[Wealthier_Winner]]=0,"Tie",Table1[[#This Row],[Wealthier_Winner]]=1,"Wealthier Nation Wins")</f>
        <v>Wealthier Nation Wins</v>
      </c>
    </row>
    <row r="1228" spans="1:17" x14ac:dyDescent="0.2">
      <c r="A1228" s="1">
        <v>2405</v>
      </c>
      <c r="B1228" s="2">
        <v>33957</v>
      </c>
      <c r="C1228" s="7">
        <f>_xlfn.FLOOR.MATH(Table1[[#This Row],[year]],10)</f>
        <v>1990</v>
      </c>
      <c r="D1228" t="s">
        <v>433</v>
      </c>
      <c r="E1228" t="s">
        <v>54</v>
      </c>
      <c r="F1228">
        <v>3</v>
      </c>
      <c r="G1228">
        <v>2</v>
      </c>
      <c r="H1228" t="s">
        <v>224</v>
      </c>
      <c r="I1228" t="s">
        <v>436</v>
      </c>
      <c r="J1228" t="s">
        <v>433</v>
      </c>
      <c r="K1228" t="b">
        <v>0</v>
      </c>
      <c r="L1228">
        <v>1992</v>
      </c>
      <c r="M1228">
        <v>5592390827</v>
      </c>
      <c r="N1228">
        <v>7769817839</v>
      </c>
      <c r="O1228" t="b">
        <v>0</v>
      </c>
      <c r="P1228">
        <v>-1</v>
      </c>
      <c r="Q1228" t="str" cm="1">
        <f t="array" ref="Q1228">_xlfn.IFS(Table1[[#This Row],[Wealthier_Winner]]=-1,"Wealthier Nation Loses",Table1[[#This Row],[Wealthier_Winner]]=0,"Tie",Table1[[#This Row],[Wealthier_Winner]]=1,"Wealthier Nation Wins")</f>
        <v>Wealthier Nation Loses</v>
      </c>
    </row>
    <row r="1229" spans="1:17" x14ac:dyDescent="0.2">
      <c r="A1229" s="1">
        <v>2406</v>
      </c>
      <c r="B1229" s="2">
        <v>33958</v>
      </c>
      <c r="C1229" s="7">
        <f>_xlfn.FLOOR.MATH(Table1[[#This Row],[year]],10)</f>
        <v>1990</v>
      </c>
      <c r="D1229" t="s">
        <v>469</v>
      </c>
      <c r="E1229" t="s">
        <v>343</v>
      </c>
      <c r="F1229">
        <v>0</v>
      </c>
      <c r="G1229">
        <v>1</v>
      </c>
      <c r="H1229" t="s">
        <v>224</v>
      </c>
      <c r="I1229" t="s">
        <v>470</v>
      </c>
      <c r="J1229" t="s">
        <v>469</v>
      </c>
      <c r="K1229" t="b">
        <v>0</v>
      </c>
      <c r="L1229">
        <v>1992</v>
      </c>
      <c r="M1229">
        <v>4146464586</v>
      </c>
      <c r="N1229">
        <v>3386232579</v>
      </c>
      <c r="O1229" t="b">
        <v>0</v>
      </c>
      <c r="P1229">
        <v>-1</v>
      </c>
      <c r="Q1229" t="str" cm="1">
        <f t="array" ref="Q1229">_xlfn.IFS(Table1[[#This Row],[Wealthier_Winner]]=-1,"Wealthier Nation Loses",Table1[[#This Row],[Wealthier_Winner]]=0,"Tie",Table1[[#This Row],[Wealthier_Winner]]=1,"Wealthier Nation Wins")</f>
        <v>Wealthier Nation Loses</v>
      </c>
    </row>
    <row r="1230" spans="1:17" x14ac:dyDescent="0.2">
      <c r="A1230" s="1">
        <v>2408</v>
      </c>
      <c r="B1230" s="2">
        <v>33958</v>
      </c>
      <c r="C1230" s="7">
        <f>_xlfn.FLOOR.MATH(Table1[[#This Row],[year]],10)</f>
        <v>1990</v>
      </c>
      <c r="D1230" t="s">
        <v>238</v>
      </c>
      <c r="E1230" t="s">
        <v>310</v>
      </c>
      <c r="F1230">
        <v>3</v>
      </c>
      <c r="G1230">
        <v>1</v>
      </c>
      <c r="H1230" t="s">
        <v>224</v>
      </c>
      <c r="I1230" t="s">
        <v>288</v>
      </c>
      <c r="J1230" t="s">
        <v>238</v>
      </c>
      <c r="K1230" t="b">
        <v>0</v>
      </c>
      <c r="L1230">
        <v>1992</v>
      </c>
      <c r="M1230">
        <v>10754799036</v>
      </c>
      <c r="N1230">
        <v>1695315305</v>
      </c>
      <c r="O1230" t="b">
        <v>1</v>
      </c>
      <c r="P1230">
        <v>1</v>
      </c>
      <c r="Q1230" t="str" cm="1">
        <f t="array" ref="Q1230">_xlfn.IFS(Table1[[#This Row],[Wealthier_Winner]]=-1,"Wealthier Nation Loses",Table1[[#This Row],[Wealthier_Winner]]=0,"Tie",Table1[[#This Row],[Wealthier_Winner]]=1,"Wealthier Nation Wins")</f>
        <v>Wealthier Nation Wins</v>
      </c>
    </row>
    <row r="1231" spans="1:17" x14ac:dyDescent="0.2">
      <c r="A1231" s="1">
        <v>2409</v>
      </c>
      <c r="B1231" s="2">
        <v>33958</v>
      </c>
      <c r="C1231" s="7">
        <f>_xlfn.FLOOR.MATH(Table1[[#This Row],[year]],10)</f>
        <v>1990</v>
      </c>
      <c r="D1231" t="s">
        <v>63</v>
      </c>
      <c r="E1231" t="s">
        <v>32</v>
      </c>
      <c r="F1231">
        <v>2</v>
      </c>
      <c r="G1231">
        <v>0</v>
      </c>
      <c r="H1231" t="s">
        <v>224</v>
      </c>
      <c r="I1231" t="s">
        <v>226</v>
      </c>
      <c r="J1231" t="s">
        <v>63</v>
      </c>
      <c r="K1231" t="b">
        <v>0</v>
      </c>
      <c r="L1231">
        <v>1992</v>
      </c>
      <c r="M1231">
        <v>6416103925</v>
      </c>
      <c r="N1231">
        <v>48003133346</v>
      </c>
      <c r="O1231" t="b">
        <v>1</v>
      </c>
      <c r="P1231">
        <v>-1</v>
      </c>
      <c r="Q1231" t="str" cm="1">
        <f t="array" ref="Q1231">_xlfn.IFS(Table1[[#This Row],[Wealthier_Winner]]=-1,"Wealthier Nation Loses",Table1[[#This Row],[Wealthier_Winner]]=0,"Tie",Table1[[#This Row],[Wealthier_Winner]]=1,"Wealthier Nation Wins")</f>
        <v>Wealthier Nation Loses</v>
      </c>
    </row>
    <row r="1232" spans="1:17" x14ac:dyDescent="0.2">
      <c r="A1232" s="1">
        <v>2410</v>
      </c>
      <c r="B1232" s="2">
        <v>33958</v>
      </c>
      <c r="C1232" s="7">
        <f>_xlfn.FLOOR.MATH(Table1[[#This Row],[year]],10)</f>
        <v>1990</v>
      </c>
      <c r="D1232" t="s">
        <v>305</v>
      </c>
      <c r="E1232" t="s">
        <v>314</v>
      </c>
      <c r="F1232">
        <v>4</v>
      </c>
      <c r="G1232">
        <v>0</v>
      </c>
      <c r="H1232" t="s">
        <v>224</v>
      </c>
      <c r="I1232" t="s">
        <v>306</v>
      </c>
      <c r="J1232" t="s">
        <v>305</v>
      </c>
      <c r="K1232" t="b">
        <v>0</v>
      </c>
      <c r="L1232">
        <v>1992</v>
      </c>
      <c r="M1232">
        <v>4789220416</v>
      </c>
      <c r="N1232">
        <v>8209120763</v>
      </c>
      <c r="O1232" t="b">
        <v>0</v>
      </c>
      <c r="P1232">
        <v>-1</v>
      </c>
      <c r="Q1232" t="str" cm="1">
        <f t="array" ref="Q1232">_xlfn.IFS(Table1[[#This Row],[Wealthier_Winner]]=-1,"Wealthier Nation Loses",Table1[[#This Row],[Wealthier_Winner]]=0,"Tie",Table1[[#This Row],[Wealthier_Winner]]=1,"Wealthier Nation Wins")</f>
        <v>Wealthier Nation Loses</v>
      </c>
    </row>
    <row r="1233" spans="1:17" x14ac:dyDescent="0.2">
      <c r="A1233" s="1">
        <v>2411</v>
      </c>
      <c r="B1233" s="2">
        <v>33958</v>
      </c>
      <c r="C1233" s="7">
        <f>_xlfn.FLOOR.MATH(Table1[[#This Row],[year]],10)</f>
        <v>1990</v>
      </c>
      <c r="D1233" t="s">
        <v>410</v>
      </c>
      <c r="E1233" t="s">
        <v>273</v>
      </c>
      <c r="F1233">
        <v>2</v>
      </c>
      <c r="G1233">
        <v>0</v>
      </c>
      <c r="H1233" t="s">
        <v>224</v>
      </c>
      <c r="I1233" t="s">
        <v>413</v>
      </c>
      <c r="J1233" t="s">
        <v>410</v>
      </c>
      <c r="K1233" t="b">
        <v>0</v>
      </c>
      <c r="L1233">
        <v>1992</v>
      </c>
      <c r="M1233">
        <v>3714966678</v>
      </c>
      <c r="N1233">
        <v>3182810841</v>
      </c>
      <c r="O1233" t="b">
        <v>0</v>
      </c>
      <c r="P1233">
        <v>1</v>
      </c>
      <c r="Q1233" t="str" cm="1">
        <f t="array" ref="Q1233">_xlfn.IFS(Table1[[#This Row],[Wealthier_Winner]]=-1,"Wealthier Nation Loses",Table1[[#This Row],[Wealthier_Winner]]=0,"Tie",Table1[[#This Row],[Wealthier_Winner]]=1,"Wealthier Nation Wins")</f>
        <v>Wealthier Nation Wins</v>
      </c>
    </row>
    <row r="1234" spans="1:17" x14ac:dyDescent="0.2">
      <c r="A1234" s="1">
        <v>2412</v>
      </c>
      <c r="B1234" s="2">
        <v>33958</v>
      </c>
      <c r="C1234" s="7">
        <f>_xlfn.FLOOR.MATH(Table1[[#This Row],[year]],10)</f>
        <v>1990</v>
      </c>
      <c r="D1234" t="s">
        <v>53</v>
      </c>
      <c r="E1234" t="s">
        <v>24</v>
      </c>
      <c r="F1234">
        <v>1</v>
      </c>
      <c r="G1234">
        <v>1</v>
      </c>
      <c r="H1234" t="s">
        <v>224</v>
      </c>
      <c r="I1234" t="s">
        <v>284</v>
      </c>
      <c r="J1234" t="s">
        <v>53</v>
      </c>
      <c r="K1234" t="b">
        <v>0</v>
      </c>
      <c r="L1234">
        <v>1992</v>
      </c>
      <c r="M1234">
        <v>15496708060</v>
      </c>
      <c r="N1234">
        <v>33711069430</v>
      </c>
      <c r="O1234" t="b">
        <v>1</v>
      </c>
      <c r="P1234">
        <v>0</v>
      </c>
      <c r="Q1234" t="str" cm="1">
        <f t="array" ref="Q1234">_xlfn.IFS(Table1[[#This Row],[Wealthier_Winner]]=-1,"Wealthier Nation Loses",Table1[[#This Row],[Wealthier_Winner]]=0,"Tie",Table1[[#This Row],[Wealthier_Winner]]=1,"Wealthier Nation Wins")</f>
        <v>Tie</v>
      </c>
    </row>
    <row r="1235" spans="1:17" x14ac:dyDescent="0.2">
      <c r="A1235" s="1">
        <v>2413</v>
      </c>
      <c r="B1235" s="2">
        <v>33958</v>
      </c>
      <c r="C1235" s="7">
        <f>_xlfn.FLOOR.MATH(Table1[[#This Row],[year]],10)</f>
        <v>1990</v>
      </c>
      <c r="D1235" t="s">
        <v>298</v>
      </c>
      <c r="E1235" t="s">
        <v>212</v>
      </c>
      <c r="F1235">
        <v>2</v>
      </c>
      <c r="G1235">
        <v>1</v>
      </c>
      <c r="H1235" t="s">
        <v>224</v>
      </c>
      <c r="I1235" t="s">
        <v>377</v>
      </c>
      <c r="J1235" t="s">
        <v>298</v>
      </c>
      <c r="K1235" t="b">
        <v>0</v>
      </c>
      <c r="L1235">
        <v>1992</v>
      </c>
      <c r="M1235">
        <v>6755000000</v>
      </c>
      <c r="N1235">
        <v>41855986519</v>
      </c>
      <c r="O1235" t="b">
        <v>1</v>
      </c>
      <c r="P1235">
        <v>-1</v>
      </c>
      <c r="Q1235" t="str" cm="1">
        <f t="array" ref="Q1235">_xlfn.IFS(Table1[[#This Row],[Wealthier_Winner]]=-1,"Wealthier Nation Loses",Table1[[#This Row],[Wealthier_Winner]]=0,"Tie",Table1[[#This Row],[Wealthier_Winner]]=1,"Wealthier Nation Wins")</f>
        <v>Wealthier Nation Loses</v>
      </c>
    </row>
    <row r="1236" spans="1:17" x14ac:dyDescent="0.2">
      <c r="A1236" s="1">
        <v>2414</v>
      </c>
      <c r="B1236" s="2">
        <v>33979</v>
      </c>
      <c r="C1236" s="7">
        <f>_xlfn.FLOOR.MATH(Table1[[#This Row],[year]],10)</f>
        <v>1990</v>
      </c>
      <c r="D1236" t="s">
        <v>60</v>
      </c>
      <c r="E1236" t="s">
        <v>298</v>
      </c>
      <c r="F1236">
        <v>1</v>
      </c>
      <c r="G1236">
        <v>1</v>
      </c>
      <c r="H1236" t="s">
        <v>224</v>
      </c>
      <c r="I1236" t="s">
        <v>396</v>
      </c>
      <c r="J1236" t="s">
        <v>60</v>
      </c>
      <c r="K1236" t="b">
        <v>0</v>
      </c>
      <c r="L1236">
        <v>1993</v>
      </c>
      <c r="M1236">
        <v>5768720421</v>
      </c>
      <c r="N1236">
        <v>6567250000</v>
      </c>
      <c r="O1236" t="b">
        <v>0</v>
      </c>
      <c r="P1236">
        <v>0</v>
      </c>
      <c r="Q1236" t="str" cm="1">
        <f t="array" ref="Q1236">_xlfn.IFS(Table1[[#This Row],[Wealthier_Winner]]=-1,"Wealthier Nation Loses",Table1[[#This Row],[Wealthier_Winner]]=0,"Tie",Table1[[#This Row],[Wealthier_Winner]]=1,"Wealthier Nation Wins")</f>
        <v>Tie</v>
      </c>
    </row>
    <row r="1237" spans="1:17" x14ac:dyDescent="0.2">
      <c r="A1237" s="1">
        <v>2416</v>
      </c>
      <c r="B1237" s="2">
        <v>33985</v>
      </c>
      <c r="C1237" s="7">
        <f>_xlfn.FLOOR.MATH(Table1[[#This Row],[year]],10)</f>
        <v>1990</v>
      </c>
      <c r="D1237" t="s">
        <v>50</v>
      </c>
      <c r="E1237" t="s">
        <v>43</v>
      </c>
      <c r="F1237">
        <v>0</v>
      </c>
      <c r="G1237">
        <v>0</v>
      </c>
      <c r="H1237" t="s">
        <v>224</v>
      </c>
      <c r="I1237" t="s">
        <v>160</v>
      </c>
      <c r="J1237" t="s">
        <v>50</v>
      </c>
      <c r="K1237" t="b">
        <v>0</v>
      </c>
      <c r="L1237">
        <v>1993</v>
      </c>
      <c r="M1237">
        <v>147194747565</v>
      </c>
      <c r="N1237">
        <v>56721051402</v>
      </c>
      <c r="O1237" t="b">
        <v>1</v>
      </c>
      <c r="P1237">
        <v>0</v>
      </c>
      <c r="Q1237" t="str" cm="1">
        <f t="array" ref="Q1237">_xlfn.IFS(Table1[[#This Row],[Wealthier_Winner]]=-1,"Wealthier Nation Loses",Table1[[#This Row],[Wealthier_Winner]]=0,"Tie",Table1[[#This Row],[Wealthier_Winner]]=1,"Wealthier Nation Wins")</f>
        <v>Tie</v>
      </c>
    </row>
    <row r="1238" spans="1:17" x14ac:dyDescent="0.2">
      <c r="A1238" s="1">
        <v>2417</v>
      </c>
      <c r="B1238" s="2">
        <v>33985</v>
      </c>
      <c r="C1238" s="7">
        <f>_xlfn.FLOOR.MATH(Table1[[#This Row],[year]],10)</f>
        <v>1990</v>
      </c>
      <c r="D1238" t="s">
        <v>320</v>
      </c>
      <c r="E1238" t="s">
        <v>273</v>
      </c>
      <c r="F1238">
        <v>1</v>
      </c>
      <c r="G1238">
        <v>3</v>
      </c>
      <c r="H1238" t="s">
        <v>224</v>
      </c>
      <c r="I1238" t="s">
        <v>398</v>
      </c>
      <c r="J1238" t="s">
        <v>320</v>
      </c>
      <c r="K1238" t="b">
        <v>0</v>
      </c>
      <c r="L1238">
        <v>1993</v>
      </c>
      <c r="M1238">
        <v>6182872707</v>
      </c>
      <c r="N1238">
        <v>3273505343</v>
      </c>
      <c r="O1238" t="b">
        <v>0</v>
      </c>
      <c r="P1238">
        <v>-1</v>
      </c>
      <c r="Q1238" t="str" cm="1">
        <f t="array" ref="Q1238">_xlfn.IFS(Table1[[#This Row],[Wealthier_Winner]]=-1,"Wealthier Nation Loses",Table1[[#This Row],[Wealthier_Winner]]=0,"Tie",Table1[[#This Row],[Wealthier_Winner]]=1,"Wealthier Nation Wins")</f>
        <v>Wealthier Nation Loses</v>
      </c>
    </row>
    <row r="1239" spans="1:17" x14ac:dyDescent="0.2">
      <c r="A1239" s="1">
        <v>2418</v>
      </c>
      <c r="B1239" s="2">
        <v>33986</v>
      </c>
      <c r="C1239" s="7">
        <f>_xlfn.FLOOR.MATH(Table1[[#This Row],[year]],10)</f>
        <v>1990</v>
      </c>
      <c r="D1239" t="s">
        <v>310</v>
      </c>
      <c r="E1239" t="s">
        <v>53</v>
      </c>
      <c r="F1239">
        <v>0</v>
      </c>
      <c r="G1239">
        <v>5</v>
      </c>
      <c r="H1239" t="s">
        <v>224</v>
      </c>
      <c r="I1239" t="s">
        <v>311</v>
      </c>
      <c r="J1239" t="s">
        <v>310</v>
      </c>
      <c r="K1239" t="b">
        <v>0</v>
      </c>
      <c r="L1239">
        <v>1993</v>
      </c>
      <c r="M1239">
        <v>2274558082</v>
      </c>
      <c r="N1239">
        <v>14608335608</v>
      </c>
      <c r="O1239" t="b">
        <v>1</v>
      </c>
      <c r="P1239">
        <v>1</v>
      </c>
      <c r="Q1239" t="str" cm="1">
        <f t="array" ref="Q1239">_xlfn.IFS(Table1[[#This Row],[Wealthier_Winner]]=-1,"Wealthier Nation Loses",Table1[[#This Row],[Wealthier_Winner]]=0,"Tie",Table1[[#This Row],[Wealthier_Winner]]=1,"Wealthier Nation Wins")</f>
        <v>Wealthier Nation Wins</v>
      </c>
    </row>
    <row r="1240" spans="1:17" x14ac:dyDescent="0.2">
      <c r="A1240" s="1">
        <v>2420</v>
      </c>
      <c r="B1240" s="2">
        <v>33986</v>
      </c>
      <c r="C1240" s="7">
        <f>_xlfn.FLOOR.MATH(Table1[[#This Row],[year]],10)</f>
        <v>1990</v>
      </c>
      <c r="D1240" t="s">
        <v>460</v>
      </c>
      <c r="E1240" t="s">
        <v>32</v>
      </c>
      <c r="F1240">
        <v>0</v>
      </c>
      <c r="G1240">
        <v>0</v>
      </c>
      <c r="H1240" t="s">
        <v>224</v>
      </c>
      <c r="I1240" t="s">
        <v>464</v>
      </c>
      <c r="J1240" t="s">
        <v>460</v>
      </c>
      <c r="K1240" t="b">
        <v>0</v>
      </c>
      <c r="L1240">
        <v>1993</v>
      </c>
      <c r="M1240">
        <v>938632612</v>
      </c>
      <c r="N1240">
        <v>49945584452</v>
      </c>
      <c r="O1240" t="b">
        <v>1</v>
      </c>
      <c r="P1240">
        <v>0</v>
      </c>
      <c r="Q1240" t="str" cm="1">
        <f t="array" ref="Q1240">_xlfn.IFS(Table1[[#This Row],[Wealthier_Winner]]=-1,"Wealthier Nation Loses",Table1[[#This Row],[Wealthier_Winner]]=0,"Tie",Table1[[#This Row],[Wealthier_Winner]]=1,"Wealthier Nation Wins")</f>
        <v>Tie</v>
      </c>
    </row>
    <row r="1241" spans="1:17" x14ac:dyDescent="0.2">
      <c r="A1241" s="1">
        <v>2421</v>
      </c>
      <c r="B1241" s="2">
        <v>33986</v>
      </c>
      <c r="C1241" s="7">
        <f>_xlfn.FLOOR.MATH(Table1[[#This Row],[year]],10)</f>
        <v>1990</v>
      </c>
      <c r="D1241" t="s">
        <v>238</v>
      </c>
      <c r="E1241" t="s">
        <v>24</v>
      </c>
      <c r="F1241">
        <v>0</v>
      </c>
      <c r="G1241">
        <v>1</v>
      </c>
      <c r="H1241" t="s">
        <v>224</v>
      </c>
      <c r="I1241" t="s">
        <v>288</v>
      </c>
      <c r="J1241" t="s">
        <v>238</v>
      </c>
      <c r="K1241" t="b">
        <v>0</v>
      </c>
      <c r="L1241">
        <v>1993</v>
      </c>
      <c r="M1241">
        <v>9051043870</v>
      </c>
      <c r="N1241">
        <v>31655473663</v>
      </c>
      <c r="O1241" t="b">
        <v>1</v>
      </c>
      <c r="P1241">
        <v>1</v>
      </c>
      <c r="Q1241" t="str" cm="1">
        <f t="array" ref="Q1241">_xlfn.IFS(Table1[[#This Row],[Wealthier_Winner]]=-1,"Wealthier Nation Loses",Table1[[#This Row],[Wealthier_Winner]]=0,"Tie",Table1[[#This Row],[Wealthier_Winner]]=1,"Wealthier Nation Wins")</f>
        <v>Wealthier Nation Wins</v>
      </c>
    </row>
    <row r="1242" spans="1:17" x14ac:dyDescent="0.2">
      <c r="A1242" s="1">
        <v>2422</v>
      </c>
      <c r="B1242" s="2">
        <v>33986</v>
      </c>
      <c r="C1242" s="7">
        <f>_xlfn.FLOOR.MATH(Table1[[#This Row],[year]],10)</f>
        <v>1990</v>
      </c>
      <c r="D1242" t="s">
        <v>300</v>
      </c>
      <c r="E1242" t="s">
        <v>433</v>
      </c>
      <c r="F1242">
        <v>1</v>
      </c>
      <c r="G1242">
        <v>1</v>
      </c>
      <c r="H1242" t="s">
        <v>224</v>
      </c>
      <c r="I1242" t="s">
        <v>299</v>
      </c>
      <c r="J1242" t="s">
        <v>300</v>
      </c>
      <c r="K1242" t="b">
        <v>0</v>
      </c>
      <c r="L1242">
        <v>1993</v>
      </c>
      <c r="M1242">
        <v>2883161897</v>
      </c>
      <c r="N1242">
        <v>4378645081</v>
      </c>
      <c r="O1242" t="b">
        <v>0</v>
      </c>
      <c r="P1242">
        <v>0</v>
      </c>
      <c r="Q1242" t="str" cm="1">
        <f t="array" ref="Q1242">_xlfn.IFS(Table1[[#This Row],[Wealthier_Winner]]=-1,"Wealthier Nation Loses",Table1[[#This Row],[Wealthier_Winner]]=0,"Tie",Table1[[#This Row],[Wealthier_Winner]]=1,"Wealthier Nation Wins")</f>
        <v>Tie</v>
      </c>
    </row>
    <row r="1243" spans="1:17" x14ac:dyDescent="0.2">
      <c r="A1243" s="1">
        <v>2423</v>
      </c>
      <c r="B1243" s="2">
        <v>33986</v>
      </c>
      <c r="C1243" s="7">
        <f>_xlfn.FLOOR.MATH(Table1[[#This Row],[year]],10)</f>
        <v>1990</v>
      </c>
      <c r="D1243" t="s">
        <v>462</v>
      </c>
      <c r="E1243" t="s">
        <v>410</v>
      </c>
      <c r="F1243">
        <v>0</v>
      </c>
      <c r="G1243">
        <v>1</v>
      </c>
      <c r="H1243" t="s">
        <v>224</v>
      </c>
      <c r="I1243" t="s">
        <v>465</v>
      </c>
      <c r="J1243" t="s">
        <v>462</v>
      </c>
      <c r="K1243" t="b">
        <v>0</v>
      </c>
      <c r="L1243">
        <v>1993</v>
      </c>
      <c r="M1243">
        <v>3251188833</v>
      </c>
      <c r="N1243">
        <v>4063298919</v>
      </c>
      <c r="O1243" t="b">
        <v>0</v>
      </c>
      <c r="P1243">
        <v>1</v>
      </c>
      <c r="Q1243" t="str" cm="1">
        <f t="array" ref="Q1243">_xlfn.IFS(Table1[[#This Row],[Wealthier_Winner]]=-1,"Wealthier Nation Loses",Table1[[#This Row],[Wealthier_Winner]]=0,"Tie",Table1[[#This Row],[Wealthier_Winner]]=1,"Wealthier Nation Wins")</f>
        <v>Wealthier Nation Wins</v>
      </c>
    </row>
    <row r="1244" spans="1:17" x14ac:dyDescent="0.2">
      <c r="A1244" s="1">
        <v>2424</v>
      </c>
      <c r="B1244" s="2">
        <v>33986</v>
      </c>
      <c r="C1244" s="7">
        <f>_xlfn.FLOOR.MATH(Table1[[#This Row],[year]],10)</f>
        <v>1990</v>
      </c>
      <c r="D1244" t="s">
        <v>463</v>
      </c>
      <c r="E1244" t="s">
        <v>40</v>
      </c>
      <c r="F1244">
        <v>0</v>
      </c>
      <c r="G1244">
        <v>0</v>
      </c>
      <c r="H1244" t="s">
        <v>224</v>
      </c>
      <c r="I1244" t="s">
        <v>471</v>
      </c>
      <c r="J1244" t="s">
        <v>472</v>
      </c>
      <c r="K1244" t="b">
        <v>0</v>
      </c>
      <c r="L1244">
        <v>1993</v>
      </c>
      <c r="M1244">
        <v>1357189551</v>
      </c>
      <c r="N1244">
        <v>16181814712</v>
      </c>
      <c r="O1244" t="b">
        <v>1</v>
      </c>
      <c r="P1244">
        <v>0</v>
      </c>
      <c r="Q1244" t="str" cm="1">
        <f t="array" ref="Q1244">_xlfn.IFS(Table1[[#This Row],[Wealthier_Winner]]=-1,"Wealthier Nation Loses",Table1[[#This Row],[Wealthier_Winner]]=0,"Tie",Table1[[#This Row],[Wealthier_Winner]]=1,"Wealthier Nation Wins")</f>
        <v>Tie</v>
      </c>
    </row>
    <row r="1245" spans="1:17" x14ac:dyDescent="0.2">
      <c r="A1245" s="1">
        <v>2425</v>
      </c>
      <c r="B1245" s="2">
        <v>33986</v>
      </c>
      <c r="C1245" s="7">
        <f>_xlfn.FLOOR.MATH(Table1[[#This Row],[year]],10)</f>
        <v>1990</v>
      </c>
      <c r="D1245" t="s">
        <v>62</v>
      </c>
      <c r="E1245" t="s">
        <v>298</v>
      </c>
      <c r="F1245">
        <v>1</v>
      </c>
      <c r="G1245">
        <v>2</v>
      </c>
      <c r="H1245" t="s">
        <v>224</v>
      </c>
      <c r="I1245" t="s">
        <v>353</v>
      </c>
      <c r="J1245" t="s">
        <v>62</v>
      </c>
      <c r="K1245" t="b">
        <v>0</v>
      </c>
      <c r="L1245">
        <v>1993</v>
      </c>
      <c r="M1245">
        <v>1741944426</v>
      </c>
      <c r="N1245">
        <v>6567250000</v>
      </c>
      <c r="O1245" t="b">
        <v>1</v>
      </c>
      <c r="P1245">
        <v>1</v>
      </c>
      <c r="Q1245" t="str" cm="1">
        <f t="array" ref="Q1245">_xlfn.IFS(Table1[[#This Row],[Wealthier_Winner]]=-1,"Wealthier Nation Loses",Table1[[#This Row],[Wealthier_Winner]]=0,"Tie",Table1[[#This Row],[Wealthier_Winner]]=1,"Wealthier Nation Wins")</f>
        <v>Wealthier Nation Wins</v>
      </c>
    </row>
    <row r="1246" spans="1:17" x14ac:dyDescent="0.2">
      <c r="A1246" s="1">
        <v>2426</v>
      </c>
      <c r="B1246" s="2">
        <v>33987</v>
      </c>
      <c r="C1246" s="7">
        <f>_xlfn.FLOOR.MATH(Table1[[#This Row],[year]],10)</f>
        <v>1990</v>
      </c>
      <c r="D1246" t="s">
        <v>60</v>
      </c>
      <c r="E1246" t="s">
        <v>212</v>
      </c>
      <c r="F1246">
        <v>0</v>
      </c>
      <c r="G1246">
        <v>0</v>
      </c>
      <c r="H1246" t="s">
        <v>224</v>
      </c>
      <c r="I1246" t="s">
        <v>396</v>
      </c>
      <c r="J1246" t="s">
        <v>60</v>
      </c>
      <c r="K1246" t="b">
        <v>0</v>
      </c>
      <c r="L1246">
        <v>1993</v>
      </c>
      <c r="M1246">
        <v>5768720421</v>
      </c>
      <c r="N1246">
        <v>46578631452</v>
      </c>
      <c r="O1246" t="b">
        <v>1</v>
      </c>
      <c r="P1246">
        <v>0</v>
      </c>
      <c r="Q1246" t="str" cm="1">
        <f t="array" ref="Q1246">_xlfn.IFS(Table1[[#This Row],[Wealthier_Winner]]=-1,"Wealthier Nation Loses",Table1[[#This Row],[Wealthier_Winner]]=0,"Tie",Table1[[#This Row],[Wealthier_Winner]]=1,"Wealthier Nation Wins")</f>
        <v>Tie</v>
      </c>
    </row>
    <row r="1247" spans="1:17" x14ac:dyDescent="0.2">
      <c r="A1247" s="1">
        <v>2427</v>
      </c>
      <c r="B1247" s="2">
        <v>33989</v>
      </c>
      <c r="C1247" s="7">
        <f>_xlfn.FLOOR.MATH(Table1[[#This Row],[year]],10)</f>
        <v>1990</v>
      </c>
      <c r="D1247" t="s">
        <v>273</v>
      </c>
      <c r="E1247" t="s">
        <v>462</v>
      </c>
      <c r="F1247">
        <v>4</v>
      </c>
      <c r="G1247">
        <v>0</v>
      </c>
      <c r="H1247" t="s">
        <v>224</v>
      </c>
      <c r="I1247" t="s">
        <v>330</v>
      </c>
      <c r="J1247" t="s">
        <v>273</v>
      </c>
      <c r="K1247" t="b">
        <v>0</v>
      </c>
      <c r="L1247">
        <v>1993</v>
      </c>
      <c r="M1247">
        <v>3273505343</v>
      </c>
      <c r="N1247">
        <v>3251188833</v>
      </c>
      <c r="O1247" t="b">
        <v>0</v>
      </c>
      <c r="P1247">
        <v>1</v>
      </c>
      <c r="Q1247" t="str" cm="1">
        <f t="array" ref="Q1247">_xlfn.IFS(Table1[[#This Row],[Wealthier_Winner]]=-1,"Wealthier Nation Loses",Table1[[#This Row],[Wealthier_Winner]]=0,"Tie",Table1[[#This Row],[Wealthier_Winner]]=1,"Wealthier Nation Wins")</f>
        <v>Wealthier Nation Wins</v>
      </c>
    </row>
    <row r="1248" spans="1:17" x14ac:dyDescent="0.2">
      <c r="A1248" s="1">
        <v>2428</v>
      </c>
      <c r="B1248" s="2">
        <v>33993</v>
      </c>
      <c r="C1248" s="7">
        <f>_xlfn.FLOOR.MATH(Table1[[#This Row],[year]],10)</f>
        <v>1990</v>
      </c>
      <c r="D1248" t="s">
        <v>303</v>
      </c>
      <c r="E1248" t="s">
        <v>38</v>
      </c>
      <c r="F1248">
        <v>0</v>
      </c>
      <c r="G1248">
        <v>1</v>
      </c>
      <c r="H1248" t="s">
        <v>224</v>
      </c>
      <c r="I1248" t="s">
        <v>399</v>
      </c>
      <c r="J1248" t="s">
        <v>303</v>
      </c>
      <c r="K1248" t="b">
        <v>0</v>
      </c>
      <c r="L1248">
        <v>1993</v>
      </c>
      <c r="M1248">
        <v>2709193538</v>
      </c>
      <c r="N1248">
        <v>95009751901</v>
      </c>
      <c r="O1248" t="b">
        <v>1</v>
      </c>
      <c r="P1248">
        <v>1</v>
      </c>
      <c r="Q1248" t="str" cm="1">
        <f t="array" ref="Q1248">_xlfn.IFS(Table1[[#This Row],[Wealthier_Winner]]=-1,"Wealthier Nation Loses",Table1[[#This Row],[Wealthier_Winner]]=0,"Tie",Table1[[#This Row],[Wealthier_Winner]]=1,"Wealthier Nation Wins")</f>
        <v>Wealthier Nation Wins</v>
      </c>
    </row>
    <row r="1249" spans="1:17" x14ac:dyDescent="0.2">
      <c r="A1249" s="1">
        <v>2429</v>
      </c>
      <c r="B1249" s="2">
        <v>33999</v>
      </c>
      <c r="C1249" s="7">
        <f>_xlfn.FLOOR.MATH(Table1[[#This Row],[year]],10)</f>
        <v>1990</v>
      </c>
      <c r="D1249" t="s">
        <v>54</v>
      </c>
      <c r="E1249" t="s">
        <v>300</v>
      </c>
      <c r="F1249">
        <v>6</v>
      </c>
      <c r="G1249">
        <v>1</v>
      </c>
      <c r="H1249" t="s">
        <v>224</v>
      </c>
      <c r="I1249" t="s">
        <v>285</v>
      </c>
      <c r="J1249" t="s">
        <v>54</v>
      </c>
      <c r="K1249" t="b">
        <v>0</v>
      </c>
      <c r="L1249">
        <v>1993</v>
      </c>
      <c r="M1249">
        <v>7367986241</v>
      </c>
      <c r="N1249">
        <v>2883161897</v>
      </c>
      <c r="O1249" t="b">
        <v>1</v>
      </c>
      <c r="P1249">
        <v>1</v>
      </c>
      <c r="Q1249" t="str" cm="1">
        <f t="array" ref="Q1249">_xlfn.IFS(Table1[[#This Row],[Wealthier_Winner]]=-1,"Wealthier Nation Loses",Table1[[#This Row],[Wealthier_Winner]]=0,"Tie",Table1[[#This Row],[Wealthier_Winner]]=1,"Wealthier Nation Wins")</f>
        <v>Wealthier Nation Wins</v>
      </c>
    </row>
    <row r="1250" spans="1:17" x14ac:dyDescent="0.2">
      <c r="A1250" s="1">
        <v>2431</v>
      </c>
      <c r="B1250" s="2">
        <v>34000</v>
      </c>
      <c r="C1250" s="7">
        <f>_xlfn.FLOOR.MATH(Table1[[#This Row],[year]],10)</f>
        <v>1990</v>
      </c>
      <c r="D1250" t="s">
        <v>212</v>
      </c>
      <c r="E1250" t="s">
        <v>62</v>
      </c>
      <c r="F1250">
        <v>3</v>
      </c>
      <c r="G1250">
        <v>0</v>
      </c>
      <c r="H1250" t="s">
        <v>224</v>
      </c>
      <c r="I1250" t="s">
        <v>322</v>
      </c>
      <c r="J1250" t="s">
        <v>212</v>
      </c>
      <c r="K1250" t="b">
        <v>0</v>
      </c>
      <c r="L1250">
        <v>1993</v>
      </c>
      <c r="M1250">
        <v>46578631452</v>
      </c>
      <c r="N1250">
        <v>1741944426</v>
      </c>
      <c r="O1250" t="b">
        <v>1</v>
      </c>
      <c r="P1250">
        <v>1</v>
      </c>
      <c r="Q1250" t="str" cm="1">
        <f t="array" ref="Q1250">_xlfn.IFS(Table1[[#This Row],[Wealthier_Winner]]=-1,"Wealthier Nation Loses",Table1[[#This Row],[Wealthier_Winner]]=0,"Tie",Table1[[#This Row],[Wealthier_Winner]]=1,"Wealthier Nation Wins")</f>
        <v>Wealthier Nation Wins</v>
      </c>
    </row>
    <row r="1251" spans="1:17" x14ac:dyDescent="0.2">
      <c r="A1251" s="1">
        <v>2432</v>
      </c>
      <c r="B1251" s="2">
        <v>34000</v>
      </c>
      <c r="C1251" s="7">
        <f>_xlfn.FLOOR.MATH(Table1[[#This Row],[year]],10)</f>
        <v>1990</v>
      </c>
      <c r="D1251" t="s">
        <v>63</v>
      </c>
      <c r="E1251" t="s">
        <v>460</v>
      </c>
      <c r="F1251">
        <v>1</v>
      </c>
      <c r="G1251">
        <v>0</v>
      </c>
      <c r="H1251" t="s">
        <v>224</v>
      </c>
      <c r="I1251" t="s">
        <v>313</v>
      </c>
      <c r="J1251" t="s">
        <v>63</v>
      </c>
      <c r="K1251" t="b">
        <v>0</v>
      </c>
      <c r="L1251">
        <v>1993</v>
      </c>
      <c r="M1251">
        <v>5968922939</v>
      </c>
      <c r="N1251">
        <v>938632612</v>
      </c>
      <c r="O1251" t="b">
        <v>1</v>
      </c>
      <c r="P1251">
        <v>1</v>
      </c>
      <c r="Q1251" t="str" cm="1">
        <f t="array" ref="Q1251">_xlfn.IFS(Table1[[#This Row],[Wealthier_Winner]]=-1,"Wealthier Nation Loses",Table1[[#This Row],[Wealthier_Winner]]=0,"Tie",Table1[[#This Row],[Wealthier_Winner]]=1,"Wealthier Nation Wins")</f>
        <v>Wealthier Nation Wins</v>
      </c>
    </row>
    <row r="1252" spans="1:17" x14ac:dyDescent="0.2">
      <c r="A1252" s="1">
        <v>2434</v>
      </c>
      <c r="B1252" s="2">
        <v>34000</v>
      </c>
      <c r="C1252" s="7">
        <f>_xlfn.FLOOR.MATH(Table1[[#This Row],[year]],10)</f>
        <v>1990</v>
      </c>
      <c r="D1252" t="s">
        <v>24</v>
      </c>
      <c r="E1252" t="s">
        <v>310</v>
      </c>
      <c r="F1252">
        <v>5</v>
      </c>
      <c r="G1252">
        <v>0</v>
      </c>
      <c r="H1252" t="s">
        <v>224</v>
      </c>
      <c r="I1252" t="s">
        <v>319</v>
      </c>
      <c r="J1252" t="s">
        <v>24</v>
      </c>
      <c r="K1252" t="b">
        <v>0</v>
      </c>
      <c r="L1252">
        <v>1993</v>
      </c>
      <c r="M1252">
        <v>31655473663</v>
      </c>
      <c r="N1252">
        <v>2274558082</v>
      </c>
      <c r="O1252" t="b">
        <v>1</v>
      </c>
      <c r="P1252">
        <v>1</v>
      </c>
      <c r="Q1252" t="str" cm="1">
        <f t="array" ref="Q1252">_xlfn.IFS(Table1[[#This Row],[Wealthier_Winner]]=-1,"Wealthier Nation Loses",Table1[[#This Row],[Wealthier_Winner]]=0,"Tie",Table1[[#This Row],[Wealthier_Winner]]=1,"Wealthier Nation Wins")</f>
        <v>Wealthier Nation Wins</v>
      </c>
    </row>
    <row r="1253" spans="1:17" x14ac:dyDescent="0.2">
      <c r="A1253" s="1">
        <v>2435</v>
      </c>
      <c r="B1253" s="2">
        <v>34000</v>
      </c>
      <c r="C1253" s="7">
        <f>_xlfn.FLOOR.MATH(Table1[[#This Row],[year]],10)</f>
        <v>1990</v>
      </c>
      <c r="D1253" t="s">
        <v>53</v>
      </c>
      <c r="E1253" t="s">
        <v>238</v>
      </c>
      <c r="F1253">
        <v>3</v>
      </c>
      <c r="G1253">
        <v>0</v>
      </c>
      <c r="H1253" t="s">
        <v>224</v>
      </c>
      <c r="I1253" t="s">
        <v>284</v>
      </c>
      <c r="J1253" t="s">
        <v>53</v>
      </c>
      <c r="K1253" t="b">
        <v>0</v>
      </c>
      <c r="L1253">
        <v>1993</v>
      </c>
      <c r="M1253">
        <v>14608335608</v>
      </c>
      <c r="N1253">
        <v>9051043870</v>
      </c>
      <c r="O1253" t="b">
        <v>0</v>
      </c>
      <c r="P1253">
        <v>1</v>
      </c>
      <c r="Q1253" t="str" cm="1">
        <f t="array" ref="Q1253">_xlfn.IFS(Table1[[#This Row],[Wealthier_Winner]]=-1,"Wealthier Nation Loses",Table1[[#This Row],[Wealthier_Winner]]=0,"Tie",Table1[[#This Row],[Wealthier_Winner]]=1,"Wealthier Nation Wins")</f>
        <v>Wealthier Nation Wins</v>
      </c>
    </row>
    <row r="1254" spans="1:17" x14ac:dyDescent="0.2">
      <c r="A1254" s="1">
        <v>2436</v>
      </c>
      <c r="B1254" s="2">
        <v>34000</v>
      </c>
      <c r="C1254" s="7">
        <f>_xlfn.FLOOR.MATH(Table1[[#This Row],[year]],10)</f>
        <v>1990</v>
      </c>
      <c r="D1254" t="s">
        <v>298</v>
      </c>
      <c r="E1254" t="s">
        <v>60</v>
      </c>
      <c r="F1254">
        <v>2</v>
      </c>
      <c r="G1254">
        <v>1</v>
      </c>
      <c r="H1254" t="s">
        <v>224</v>
      </c>
      <c r="I1254" t="s">
        <v>377</v>
      </c>
      <c r="J1254" t="s">
        <v>298</v>
      </c>
      <c r="K1254" t="b">
        <v>0</v>
      </c>
      <c r="L1254">
        <v>1993</v>
      </c>
      <c r="M1254">
        <v>6567250000</v>
      </c>
      <c r="N1254">
        <v>5768720421</v>
      </c>
      <c r="O1254" t="b">
        <v>0</v>
      </c>
      <c r="P1254">
        <v>1</v>
      </c>
      <c r="Q1254" t="str" cm="1">
        <f t="array" ref="Q1254">_xlfn.IFS(Table1[[#This Row],[Wealthier_Winner]]=-1,"Wealthier Nation Loses",Table1[[#This Row],[Wealthier_Winner]]=0,"Tie",Table1[[#This Row],[Wealthier_Winner]]=1,"Wealthier Nation Wins")</f>
        <v>Wealthier Nation Wins</v>
      </c>
    </row>
    <row r="1255" spans="1:17" x14ac:dyDescent="0.2">
      <c r="A1255" s="1">
        <v>2437</v>
      </c>
      <c r="B1255" s="2">
        <v>34013</v>
      </c>
      <c r="C1255" s="7">
        <f>_xlfn.FLOOR.MATH(Table1[[#This Row],[year]],10)</f>
        <v>1990</v>
      </c>
      <c r="D1255" t="s">
        <v>351</v>
      </c>
      <c r="E1255" t="s">
        <v>23</v>
      </c>
      <c r="F1255">
        <v>0</v>
      </c>
      <c r="G1255">
        <v>3</v>
      </c>
      <c r="H1255" t="s">
        <v>224</v>
      </c>
      <c r="I1255" t="s">
        <v>381</v>
      </c>
      <c r="J1255" t="s">
        <v>351</v>
      </c>
      <c r="K1255" t="b">
        <v>0</v>
      </c>
      <c r="L1255">
        <v>1993</v>
      </c>
      <c r="M1255">
        <v>6590291048</v>
      </c>
      <c r="N1255">
        <v>224721795708</v>
      </c>
      <c r="O1255" t="b">
        <v>1</v>
      </c>
      <c r="P1255">
        <v>1</v>
      </c>
      <c r="Q1255" t="str" cm="1">
        <f t="array" ref="Q1255">_xlfn.IFS(Table1[[#This Row],[Wealthier_Winner]]=-1,"Wealthier Nation Loses",Table1[[#This Row],[Wealthier_Winner]]=0,"Tie",Table1[[#This Row],[Wealthier_Winner]]=1,"Wealthier Nation Wins")</f>
        <v>Wealthier Nation Wins</v>
      </c>
    </row>
    <row r="1256" spans="1:17" x14ac:dyDescent="0.2">
      <c r="A1256" s="1">
        <v>2440</v>
      </c>
      <c r="B1256" s="2">
        <v>34017</v>
      </c>
      <c r="C1256" s="7">
        <f>_xlfn.FLOOR.MATH(Table1[[#This Row],[year]],10)</f>
        <v>1990</v>
      </c>
      <c r="D1256" t="s">
        <v>48</v>
      </c>
      <c r="E1256" t="s">
        <v>232</v>
      </c>
      <c r="F1256">
        <v>2</v>
      </c>
      <c r="G1256">
        <v>0</v>
      </c>
      <c r="H1256" t="s">
        <v>224</v>
      </c>
      <c r="I1256" t="s">
        <v>236</v>
      </c>
      <c r="J1256" t="s">
        <v>48</v>
      </c>
      <c r="K1256" t="b">
        <v>0</v>
      </c>
      <c r="L1256">
        <v>1993</v>
      </c>
      <c r="M1256">
        <v>107295704518</v>
      </c>
      <c r="N1256">
        <v>15925521222</v>
      </c>
      <c r="O1256" t="b">
        <v>1</v>
      </c>
      <c r="P1256">
        <v>1</v>
      </c>
      <c r="Q1256" t="str" cm="1">
        <f t="array" ref="Q1256">_xlfn.IFS(Table1[[#This Row],[Wealthier_Winner]]=-1,"Wealthier Nation Loses",Table1[[#This Row],[Wealthier_Winner]]=0,"Tie",Table1[[#This Row],[Wealthier_Winner]]=1,"Wealthier Nation Wins")</f>
        <v>Wealthier Nation Wins</v>
      </c>
    </row>
    <row r="1257" spans="1:17" x14ac:dyDescent="0.2">
      <c r="A1257" s="1">
        <v>2441</v>
      </c>
      <c r="B1257" s="2">
        <v>34017</v>
      </c>
      <c r="C1257" s="7">
        <f>_xlfn.FLOOR.MATH(Table1[[#This Row],[year]],10)</f>
        <v>1990</v>
      </c>
      <c r="D1257" t="s">
        <v>22</v>
      </c>
      <c r="E1257" t="s">
        <v>20</v>
      </c>
      <c r="F1257">
        <v>0</v>
      </c>
      <c r="G1257">
        <v>4</v>
      </c>
      <c r="H1257" t="s">
        <v>224</v>
      </c>
      <c r="I1257" t="s">
        <v>239</v>
      </c>
      <c r="J1257" t="s">
        <v>22</v>
      </c>
      <c r="K1257" t="b">
        <v>0</v>
      </c>
      <c r="L1257">
        <v>1993</v>
      </c>
      <c r="M1257">
        <v>79855877174</v>
      </c>
      <c r="N1257">
        <v>1314383368079</v>
      </c>
      <c r="O1257" t="b">
        <v>1</v>
      </c>
      <c r="P1257">
        <v>1</v>
      </c>
      <c r="Q1257" t="str" cm="1">
        <f t="array" ref="Q1257">_xlfn.IFS(Table1[[#This Row],[Wealthier_Winner]]=-1,"Wealthier Nation Loses",Table1[[#This Row],[Wealthier_Winner]]=0,"Tie",Table1[[#This Row],[Wealthier_Winner]]=1,"Wealthier Nation Wins")</f>
        <v>Wealthier Nation Wins</v>
      </c>
    </row>
    <row r="1258" spans="1:17" x14ac:dyDescent="0.2">
      <c r="A1258" s="1">
        <v>2444</v>
      </c>
      <c r="B1258" s="2">
        <v>34024</v>
      </c>
      <c r="C1258" s="7">
        <f>_xlfn.FLOOR.MATH(Table1[[#This Row],[year]],10)</f>
        <v>1990</v>
      </c>
      <c r="D1258" t="s">
        <v>38</v>
      </c>
      <c r="E1258" t="s">
        <v>18</v>
      </c>
      <c r="F1258">
        <v>1</v>
      </c>
      <c r="G1258">
        <v>3</v>
      </c>
      <c r="H1258" t="s">
        <v>224</v>
      </c>
      <c r="I1258" t="s">
        <v>292</v>
      </c>
      <c r="J1258" t="s">
        <v>38</v>
      </c>
      <c r="K1258" t="b">
        <v>0</v>
      </c>
      <c r="L1258">
        <v>1993</v>
      </c>
      <c r="M1258">
        <v>95009751901</v>
      </c>
      <c r="N1258">
        <v>1067412587670</v>
      </c>
      <c r="O1258" t="b">
        <v>1</v>
      </c>
      <c r="P1258">
        <v>1</v>
      </c>
      <c r="Q1258" t="str" cm="1">
        <f t="array" ref="Q1258">_xlfn.IFS(Table1[[#This Row],[Wealthier_Winner]]=-1,"Wealthier Nation Loses",Table1[[#This Row],[Wealthier_Winner]]=0,"Tie",Table1[[#This Row],[Wealthier_Winner]]=1,"Wealthier Nation Wins")</f>
        <v>Wealthier Nation Wins</v>
      </c>
    </row>
    <row r="1259" spans="1:17" x14ac:dyDescent="0.2">
      <c r="A1259" s="1">
        <v>2446</v>
      </c>
      <c r="B1259" s="2">
        <v>34026</v>
      </c>
      <c r="C1259" s="7">
        <f>_xlfn.FLOOR.MATH(Table1[[#This Row],[year]],10)</f>
        <v>1990</v>
      </c>
      <c r="D1259" t="s">
        <v>32</v>
      </c>
      <c r="E1259" t="s">
        <v>63</v>
      </c>
      <c r="F1259">
        <v>2</v>
      </c>
      <c r="G1259">
        <v>1</v>
      </c>
      <c r="H1259" t="s">
        <v>224</v>
      </c>
      <c r="I1259" t="s">
        <v>461</v>
      </c>
      <c r="J1259" t="s">
        <v>32</v>
      </c>
      <c r="K1259" t="b">
        <v>0</v>
      </c>
      <c r="L1259">
        <v>1993</v>
      </c>
      <c r="M1259">
        <v>49945584452</v>
      </c>
      <c r="N1259">
        <v>5968922939</v>
      </c>
      <c r="O1259" t="b">
        <v>1</v>
      </c>
      <c r="P1259">
        <v>1</v>
      </c>
      <c r="Q1259" t="str" cm="1">
        <f t="array" ref="Q1259">_xlfn.IFS(Table1[[#This Row],[Wealthier_Winner]]=-1,"Wealthier Nation Loses",Table1[[#This Row],[Wealthier_Winner]]=0,"Tie",Table1[[#This Row],[Wealthier_Winner]]=1,"Wealthier Nation Wins")</f>
        <v>Wealthier Nation Wins</v>
      </c>
    </row>
    <row r="1260" spans="1:17" x14ac:dyDescent="0.2">
      <c r="A1260" s="1">
        <v>2447</v>
      </c>
      <c r="B1260" s="2">
        <v>34027</v>
      </c>
      <c r="C1260" s="7">
        <f>_xlfn.FLOOR.MATH(Table1[[#This Row],[year]],10)</f>
        <v>1990</v>
      </c>
      <c r="D1260" t="s">
        <v>314</v>
      </c>
      <c r="E1260" t="s">
        <v>305</v>
      </c>
      <c r="F1260">
        <v>2</v>
      </c>
      <c r="G1260">
        <v>0</v>
      </c>
      <c r="H1260" t="s">
        <v>224</v>
      </c>
      <c r="I1260" t="s">
        <v>315</v>
      </c>
      <c r="J1260" t="s">
        <v>314</v>
      </c>
      <c r="K1260" t="b">
        <v>0</v>
      </c>
      <c r="L1260">
        <v>1993</v>
      </c>
      <c r="M1260">
        <v>5751786642</v>
      </c>
      <c r="N1260">
        <v>4781166116</v>
      </c>
      <c r="O1260" t="b">
        <v>0</v>
      </c>
      <c r="P1260">
        <v>1</v>
      </c>
      <c r="Q1260" t="str" cm="1">
        <f t="array" ref="Q1260">_xlfn.IFS(Table1[[#This Row],[Wealthier_Winner]]=-1,"Wealthier Nation Loses",Table1[[#This Row],[Wealthier_Winner]]=0,"Tie",Table1[[#This Row],[Wealthier_Winner]]=1,"Wealthier Nation Wins")</f>
        <v>Wealthier Nation Wins</v>
      </c>
    </row>
    <row r="1261" spans="1:17" x14ac:dyDescent="0.2">
      <c r="A1261" s="1">
        <v>2449</v>
      </c>
      <c r="B1261" s="2">
        <v>34027</v>
      </c>
      <c r="C1261" s="7">
        <f>_xlfn.FLOOR.MATH(Table1[[#This Row],[year]],10)</f>
        <v>1990</v>
      </c>
      <c r="D1261" t="s">
        <v>54</v>
      </c>
      <c r="E1261" t="s">
        <v>433</v>
      </c>
      <c r="F1261">
        <v>1</v>
      </c>
      <c r="G1261">
        <v>0</v>
      </c>
      <c r="H1261" t="s">
        <v>224</v>
      </c>
      <c r="I1261" t="s">
        <v>285</v>
      </c>
      <c r="J1261" t="s">
        <v>54</v>
      </c>
      <c r="K1261" t="b">
        <v>0</v>
      </c>
      <c r="L1261">
        <v>1993</v>
      </c>
      <c r="M1261">
        <v>7367986241</v>
      </c>
      <c r="N1261">
        <v>4378645081</v>
      </c>
      <c r="O1261" t="b">
        <v>0</v>
      </c>
      <c r="P1261">
        <v>1</v>
      </c>
      <c r="Q1261" t="str" cm="1">
        <f t="array" ref="Q1261">_xlfn.IFS(Table1[[#This Row],[Wealthier_Winner]]=-1,"Wealthier Nation Loses",Table1[[#This Row],[Wealthier_Winner]]=0,"Tie",Table1[[#This Row],[Wealthier_Winner]]=1,"Wealthier Nation Wins")</f>
        <v>Wealthier Nation Wins</v>
      </c>
    </row>
    <row r="1262" spans="1:17" x14ac:dyDescent="0.2">
      <c r="A1262" s="1">
        <v>2450</v>
      </c>
      <c r="B1262" s="2">
        <v>34027</v>
      </c>
      <c r="C1262" s="7">
        <f>_xlfn.FLOOR.MATH(Table1[[#This Row],[year]],10)</f>
        <v>1990</v>
      </c>
      <c r="D1262" t="s">
        <v>273</v>
      </c>
      <c r="E1262" t="s">
        <v>410</v>
      </c>
      <c r="F1262">
        <v>3</v>
      </c>
      <c r="G1262">
        <v>1</v>
      </c>
      <c r="H1262" t="s">
        <v>224</v>
      </c>
      <c r="I1262" t="s">
        <v>330</v>
      </c>
      <c r="J1262" t="s">
        <v>273</v>
      </c>
      <c r="K1262" t="b">
        <v>0</v>
      </c>
      <c r="L1262">
        <v>1993</v>
      </c>
      <c r="M1262">
        <v>3273505343</v>
      </c>
      <c r="N1262">
        <v>4063298919</v>
      </c>
      <c r="O1262" t="b">
        <v>0</v>
      </c>
      <c r="P1262">
        <v>-1</v>
      </c>
      <c r="Q1262" t="str" cm="1">
        <f t="array" ref="Q1262">_xlfn.IFS(Table1[[#This Row],[Wealthier_Winner]]=-1,"Wealthier Nation Loses",Table1[[#This Row],[Wealthier_Winner]]=0,"Tie",Table1[[#This Row],[Wealthier_Winner]]=1,"Wealthier Nation Wins")</f>
        <v>Wealthier Nation Loses</v>
      </c>
    </row>
    <row r="1263" spans="1:17" x14ac:dyDescent="0.2">
      <c r="A1263" s="1">
        <v>2451</v>
      </c>
      <c r="B1263" s="2">
        <v>34028</v>
      </c>
      <c r="C1263" s="7">
        <f>_xlfn.FLOOR.MATH(Table1[[#This Row],[year]],10)</f>
        <v>1990</v>
      </c>
      <c r="D1263" t="s">
        <v>310</v>
      </c>
      <c r="E1263" t="s">
        <v>238</v>
      </c>
      <c r="F1263">
        <v>1</v>
      </c>
      <c r="G1263">
        <v>0</v>
      </c>
      <c r="H1263" t="s">
        <v>224</v>
      </c>
      <c r="I1263" t="s">
        <v>311</v>
      </c>
      <c r="J1263" t="s">
        <v>310</v>
      </c>
      <c r="K1263" t="b">
        <v>0</v>
      </c>
      <c r="L1263">
        <v>1993</v>
      </c>
      <c r="M1263">
        <v>2274558082</v>
      </c>
      <c r="N1263">
        <v>9051043870</v>
      </c>
      <c r="O1263" t="b">
        <v>1</v>
      </c>
      <c r="P1263">
        <v>-1</v>
      </c>
      <c r="Q1263" t="str" cm="1">
        <f t="array" ref="Q1263">_xlfn.IFS(Table1[[#This Row],[Wealthier_Winner]]=-1,"Wealthier Nation Loses",Table1[[#This Row],[Wealthier_Winner]]=0,"Tie",Table1[[#This Row],[Wealthier_Winner]]=1,"Wealthier Nation Wins")</f>
        <v>Wealthier Nation Loses</v>
      </c>
    </row>
    <row r="1264" spans="1:17" x14ac:dyDescent="0.2">
      <c r="A1264" s="1">
        <v>2452</v>
      </c>
      <c r="B1264" s="2">
        <v>34028</v>
      </c>
      <c r="C1264" s="7">
        <f>_xlfn.FLOOR.MATH(Table1[[#This Row],[year]],10)</f>
        <v>1990</v>
      </c>
      <c r="D1264" t="s">
        <v>24</v>
      </c>
      <c r="E1264" t="s">
        <v>53</v>
      </c>
      <c r="F1264">
        <v>0</v>
      </c>
      <c r="G1264">
        <v>0</v>
      </c>
      <c r="H1264" t="s">
        <v>224</v>
      </c>
      <c r="I1264" t="s">
        <v>244</v>
      </c>
      <c r="J1264" t="s">
        <v>24</v>
      </c>
      <c r="K1264" t="b">
        <v>0</v>
      </c>
      <c r="L1264">
        <v>1993</v>
      </c>
      <c r="M1264">
        <v>31655473663</v>
      </c>
      <c r="N1264">
        <v>14608335608</v>
      </c>
      <c r="O1264" t="b">
        <v>1</v>
      </c>
      <c r="P1264">
        <v>0</v>
      </c>
      <c r="Q1264" t="str" cm="1">
        <f t="array" ref="Q1264">_xlfn.IFS(Table1[[#This Row],[Wealthier_Winner]]=-1,"Wealthier Nation Loses",Table1[[#This Row],[Wealthier_Winner]]=0,"Tie",Table1[[#This Row],[Wealthier_Winner]]=1,"Wealthier Nation Wins")</f>
        <v>Tie</v>
      </c>
    </row>
    <row r="1265" spans="1:17" x14ac:dyDescent="0.2">
      <c r="A1265" s="1">
        <v>2453</v>
      </c>
      <c r="B1265" s="2">
        <v>34028</v>
      </c>
      <c r="C1265" s="7">
        <f>_xlfn.FLOOR.MATH(Table1[[#This Row],[year]],10)</f>
        <v>1990</v>
      </c>
      <c r="D1265" t="s">
        <v>343</v>
      </c>
      <c r="E1265" t="s">
        <v>469</v>
      </c>
      <c r="F1265">
        <v>2</v>
      </c>
      <c r="G1265">
        <v>1</v>
      </c>
      <c r="H1265" t="s">
        <v>224</v>
      </c>
      <c r="I1265" t="s">
        <v>349</v>
      </c>
      <c r="J1265" t="s">
        <v>343</v>
      </c>
      <c r="K1265" t="b">
        <v>0</v>
      </c>
      <c r="L1265">
        <v>1993</v>
      </c>
      <c r="M1265">
        <v>3052673849</v>
      </c>
      <c r="N1265">
        <v>4160129174</v>
      </c>
      <c r="O1265" t="b">
        <v>0</v>
      </c>
      <c r="P1265">
        <v>-1</v>
      </c>
      <c r="Q1265" t="str" cm="1">
        <f t="array" ref="Q1265">_xlfn.IFS(Table1[[#This Row],[Wealthier_Winner]]=-1,"Wealthier Nation Loses",Table1[[#This Row],[Wealthier_Winner]]=0,"Tie",Table1[[#This Row],[Wealthier_Winner]]=1,"Wealthier Nation Wins")</f>
        <v>Wealthier Nation Loses</v>
      </c>
    </row>
    <row r="1266" spans="1:17" x14ac:dyDescent="0.2">
      <c r="A1266" s="1">
        <v>2454</v>
      </c>
      <c r="B1266" s="2">
        <v>34028</v>
      </c>
      <c r="C1266" s="7">
        <f>_xlfn.FLOOR.MATH(Table1[[#This Row],[year]],10)</f>
        <v>1990</v>
      </c>
      <c r="D1266" t="s">
        <v>62</v>
      </c>
      <c r="E1266" t="s">
        <v>60</v>
      </c>
      <c r="F1266">
        <v>0</v>
      </c>
      <c r="G1266">
        <v>1</v>
      </c>
      <c r="H1266" t="s">
        <v>224</v>
      </c>
      <c r="I1266" t="s">
        <v>353</v>
      </c>
      <c r="J1266" t="s">
        <v>62</v>
      </c>
      <c r="K1266" t="b">
        <v>0</v>
      </c>
      <c r="L1266">
        <v>1993</v>
      </c>
      <c r="M1266">
        <v>1741944426</v>
      </c>
      <c r="N1266">
        <v>5768720421</v>
      </c>
      <c r="O1266" t="b">
        <v>1</v>
      </c>
      <c r="P1266">
        <v>1</v>
      </c>
      <c r="Q1266" t="str" cm="1">
        <f t="array" ref="Q1266">_xlfn.IFS(Table1[[#This Row],[Wealthier_Winner]]=-1,"Wealthier Nation Loses",Table1[[#This Row],[Wealthier_Winner]]=0,"Tie",Table1[[#This Row],[Wealthier_Winner]]=1,"Wealthier Nation Wins")</f>
        <v>Wealthier Nation Wins</v>
      </c>
    </row>
    <row r="1267" spans="1:17" x14ac:dyDescent="0.2">
      <c r="A1267" s="1">
        <v>2458</v>
      </c>
      <c r="B1267" s="2">
        <v>34052</v>
      </c>
      <c r="C1267" s="7">
        <f>_xlfn.FLOOR.MATH(Table1[[#This Row],[year]],10)</f>
        <v>1990</v>
      </c>
      <c r="D1267" t="s">
        <v>18</v>
      </c>
      <c r="E1267" t="s">
        <v>303</v>
      </c>
      <c r="F1267">
        <v>6</v>
      </c>
      <c r="G1267">
        <v>1</v>
      </c>
      <c r="H1267" t="s">
        <v>224</v>
      </c>
      <c r="I1267" t="s">
        <v>213</v>
      </c>
      <c r="J1267" t="s">
        <v>18</v>
      </c>
      <c r="K1267" t="b">
        <v>0</v>
      </c>
      <c r="L1267">
        <v>1993</v>
      </c>
      <c r="M1267">
        <v>1067412587670</v>
      </c>
      <c r="N1267">
        <v>2709193538</v>
      </c>
      <c r="O1267" t="b">
        <v>1</v>
      </c>
      <c r="P1267">
        <v>1</v>
      </c>
      <c r="Q1267" t="str" cm="1">
        <f t="array" ref="Q1267">_xlfn.IFS(Table1[[#This Row],[Wealthier_Winner]]=-1,"Wealthier Nation Loses",Table1[[#This Row],[Wealthier_Winner]]=0,"Tie",Table1[[#This Row],[Wealthier_Winner]]=1,"Wealthier Nation Wins")</f>
        <v>Wealthier Nation Wins</v>
      </c>
    </row>
    <row r="1268" spans="1:17" x14ac:dyDescent="0.2">
      <c r="A1268" s="1">
        <v>2460</v>
      </c>
      <c r="B1268" s="2">
        <v>34055</v>
      </c>
      <c r="C1268" s="7">
        <f>_xlfn.FLOOR.MATH(Table1[[#This Row],[year]],10)</f>
        <v>1990</v>
      </c>
      <c r="D1268" t="s">
        <v>29</v>
      </c>
      <c r="E1268" t="s">
        <v>20</v>
      </c>
      <c r="F1268">
        <v>0</v>
      </c>
      <c r="G1268">
        <v>1</v>
      </c>
      <c r="H1268" t="s">
        <v>224</v>
      </c>
      <c r="I1268" t="s">
        <v>270</v>
      </c>
      <c r="J1268" t="s">
        <v>29</v>
      </c>
      <c r="K1268" t="b">
        <v>0</v>
      </c>
      <c r="L1268">
        <v>1993</v>
      </c>
      <c r="M1268">
        <v>189634029338</v>
      </c>
      <c r="N1268">
        <v>1314383368079</v>
      </c>
      <c r="O1268" t="b">
        <v>1</v>
      </c>
      <c r="P1268">
        <v>1</v>
      </c>
      <c r="Q1268" t="str" cm="1">
        <f t="array" ref="Q1268">_xlfn.IFS(Table1[[#This Row],[Wealthier_Winner]]=-1,"Wealthier Nation Loses",Table1[[#This Row],[Wealthier_Winner]]=0,"Tie",Table1[[#This Row],[Wealthier_Winner]]=1,"Wealthier Nation Wins")</f>
        <v>Wealthier Nation Wins</v>
      </c>
    </row>
    <row r="1269" spans="1:17" x14ac:dyDescent="0.2">
      <c r="A1269" s="1">
        <v>2461</v>
      </c>
      <c r="B1269" s="2">
        <v>34059</v>
      </c>
      <c r="C1269" s="7">
        <f>_xlfn.FLOOR.MATH(Table1[[#This Row],[year]],10)</f>
        <v>1990</v>
      </c>
      <c r="D1269" t="s">
        <v>36</v>
      </c>
      <c r="E1269" t="s">
        <v>21</v>
      </c>
      <c r="F1269">
        <v>1</v>
      </c>
      <c r="G1269">
        <v>0</v>
      </c>
      <c r="H1269" t="s">
        <v>224</v>
      </c>
      <c r="I1269" t="s">
        <v>264</v>
      </c>
      <c r="J1269" t="s">
        <v>36</v>
      </c>
      <c r="K1269" t="b">
        <v>0</v>
      </c>
      <c r="L1269">
        <v>1993</v>
      </c>
      <c r="M1269">
        <v>143111306004</v>
      </c>
      <c r="N1269">
        <v>524700572623</v>
      </c>
      <c r="O1269" t="b">
        <v>1</v>
      </c>
      <c r="P1269">
        <v>-1</v>
      </c>
      <c r="Q1269" t="str" cm="1">
        <f t="array" ref="Q1269">_xlfn.IFS(Table1[[#This Row],[Wealthier_Winner]]=-1,"Wealthier Nation Loses",Table1[[#This Row],[Wealthier_Winner]]=0,"Tie",Table1[[#This Row],[Wealthier_Winner]]=1,"Wealthier Nation Wins")</f>
        <v>Wealthier Nation Loses</v>
      </c>
    </row>
    <row r="1270" spans="1:17" x14ac:dyDescent="0.2">
      <c r="A1270" s="1">
        <v>2462</v>
      </c>
      <c r="B1270" s="2">
        <v>34059</v>
      </c>
      <c r="C1270" s="7">
        <f>_xlfn.FLOOR.MATH(Table1[[#This Row],[year]],10)</f>
        <v>1990</v>
      </c>
      <c r="D1270" t="s">
        <v>30</v>
      </c>
      <c r="E1270" t="s">
        <v>48</v>
      </c>
      <c r="F1270">
        <v>0</v>
      </c>
      <c r="G1270">
        <v>1</v>
      </c>
      <c r="H1270" t="s">
        <v>224</v>
      </c>
      <c r="I1270" t="s">
        <v>297</v>
      </c>
      <c r="J1270" t="s">
        <v>30</v>
      </c>
      <c r="K1270" t="b">
        <v>0</v>
      </c>
      <c r="L1270">
        <v>1993</v>
      </c>
      <c r="M1270">
        <v>40256233360</v>
      </c>
      <c r="N1270">
        <v>107295704518</v>
      </c>
      <c r="O1270" t="b">
        <v>1</v>
      </c>
      <c r="P1270">
        <v>1</v>
      </c>
      <c r="Q1270" t="str" cm="1">
        <f t="array" ref="Q1270">_xlfn.IFS(Table1[[#This Row],[Wealthier_Winner]]=-1,"Wealthier Nation Loses",Table1[[#This Row],[Wealthier_Winner]]=0,"Tie",Table1[[#This Row],[Wealthier_Winner]]=1,"Wealthier Nation Wins")</f>
        <v>Wealthier Nation Wins</v>
      </c>
    </row>
    <row r="1271" spans="1:17" x14ac:dyDescent="0.2">
      <c r="A1271" s="1">
        <v>2464</v>
      </c>
      <c r="B1271" s="2">
        <v>34059</v>
      </c>
      <c r="C1271" s="7">
        <f>_xlfn.FLOOR.MATH(Table1[[#This Row],[year]],10)</f>
        <v>1990</v>
      </c>
      <c r="D1271" t="s">
        <v>46</v>
      </c>
      <c r="E1271" t="s">
        <v>38</v>
      </c>
      <c r="F1271">
        <v>1</v>
      </c>
      <c r="G1271">
        <v>1</v>
      </c>
      <c r="H1271" t="s">
        <v>224</v>
      </c>
      <c r="I1271" t="s">
        <v>249</v>
      </c>
      <c r="J1271" t="s">
        <v>46</v>
      </c>
      <c r="K1271" t="b">
        <v>0</v>
      </c>
      <c r="L1271">
        <v>1993</v>
      </c>
      <c r="M1271">
        <v>272237527070</v>
      </c>
      <c r="N1271">
        <v>95009751901</v>
      </c>
      <c r="O1271" t="b">
        <v>1</v>
      </c>
      <c r="P1271">
        <v>0</v>
      </c>
      <c r="Q1271" t="str" cm="1">
        <f t="array" ref="Q1271">_xlfn.IFS(Table1[[#This Row],[Wealthier_Winner]]=-1,"Wealthier Nation Loses",Table1[[#This Row],[Wealthier_Winner]]=0,"Tie",Table1[[#This Row],[Wealthier_Winner]]=1,"Wealthier Nation Wins")</f>
        <v>Tie</v>
      </c>
    </row>
    <row r="1272" spans="1:17" x14ac:dyDescent="0.2">
      <c r="A1272" s="1">
        <v>2467</v>
      </c>
      <c r="B1272" s="2">
        <v>34063</v>
      </c>
      <c r="C1272" s="7">
        <f>_xlfn.FLOOR.MATH(Table1[[#This Row],[year]],10)</f>
        <v>1990</v>
      </c>
      <c r="D1272" t="s">
        <v>69</v>
      </c>
      <c r="E1272" t="s">
        <v>17</v>
      </c>
      <c r="F1272">
        <v>2</v>
      </c>
      <c r="G1272">
        <v>1</v>
      </c>
      <c r="H1272" t="s">
        <v>224</v>
      </c>
      <c r="I1272" t="s">
        <v>281</v>
      </c>
      <c r="J1272" t="s">
        <v>69</v>
      </c>
      <c r="K1272" t="b">
        <v>0</v>
      </c>
      <c r="L1272">
        <v>1993</v>
      </c>
      <c r="M1272">
        <v>6680269200</v>
      </c>
      <c r="N1272">
        <v>530160763662</v>
      </c>
      <c r="O1272" t="b">
        <v>1</v>
      </c>
      <c r="P1272">
        <v>-1</v>
      </c>
      <c r="Q1272" t="str" cm="1">
        <f t="array" ref="Q1272">_xlfn.IFS(Table1[[#This Row],[Wealthier_Winner]]=-1,"Wealthier Nation Loses",Table1[[#This Row],[Wealthier_Winner]]=0,"Tie",Table1[[#This Row],[Wealthier_Winner]]=1,"Wealthier Nation Wins")</f>
        <v>Wealthier Nation Loses</v>
      </c>
    </row>
    <row r="1273" spans="1:17" x14ac:dyDescent="0.2">
      <c r="A1273" s="1">
        <v>2468</v>
      </c>
      <c r="B1273" s="2">
        <v>34063</v>
      </c>
      <c r="C1273" s="7">
        <f>_xlfn.FLOOR.MATH(Table1[[#This Row],[year]],10)</f>
        <v>1990</v>
      </c>
      <c r="D1273" t="s">
        <v>65</v>
      </c>
      <c r="E1273" t="s">
        <v>34</v>
      </c>
      <c r="F1273">
        <v>2</v>
      </c>
      <c r="G1273">
        <v>2</v>
      </c>
      <c r="H1273" t="s">
        <v>224</v>
      </c>
      <c r="I1273" t="s">
        <v>228</v>
      </c>
      <c r="J1273" t="s">
        <v>65</v>
      </c>
      <c r="K1273" t="b">
        <v>0</v>
      </c>
      <c r="L1273">
        <v>1993</v>
      </c>
      <c r="M1273">
        <v>4190773622</v>
      </c>
      <c r="N1273">
        <v>579053561739</v>
      </c>
      <c r="O1273" t="b">
        <v>1</v>
      </c>
      <c r="P1273">
        <v>0</v>
      </c>
      <c r="Q1273" t="str" cm="1">
        <f t="array" ref="Q1273">_xlfn.IFS(Table1[[#This Row],[Wealthier_Winner]]=-1,"Wealthier Nation Loses",Table1[[#This Row],[Wealthier_Winner]]=0,"Tie",Table1[[#This Row],[Wealthier_Winner]]=1,"Wealthier Nation Wins")</f>
        <v>Tie</v>
      </c>
    </row>
    <row r="1274" spans="1:17" x14ac:dyDescent="0.2">
      <c r="A1274" s="1">
        <v>2469</v>
      </c>
      <c r="B1274" s="2">
        <v>34067</v>
      </c>
      <c r="C1274" s="7">
        <f>_xlfn.FLOOR.MATH(Table1[[#This Row],[year]],10)</f>
        <v>1990</v>
      </c>
      <c r="D1274" t="s">
        <v>51</v>
      </c>
      <c r="E1274" t="s">
        <v>334</v>
      </c>
      <c r="F1274">
        <v>1</v>
      </c>
      <c r="G1274">
        <v>0</v>
      </c>
      <c r="H1274" t="s">
        <v>224</v>
      </c>
      <c r="I1274" t="s">
        <v>147</v>
      </c>
      <c r="J1274" t="s">
        <v>51</v>
      </c>
      <c r="K1274" t="b">
        <v>0</v>
      </c>
      <c r="L1274">
        <v>1993</v>
      </c>
      <c r="M1274">
        <v>4536940479038</v>
      </c>
      <c r="N1274">
        <v>128889262951</v>
      </c>
      <c r="O1274" t="b">
        <v>1</v>
      </c>
      <c r="P1274">
        <v>1</v>
      </c>
      <c r="Q1274" t="str" cm="1">
        <f t="array" ref="Q1274">_xlfn.IFS(Table1[[#This Row],[Wealthier_Winner]]=-1,"Wealthier Nation Loses",Table1[[#This Row],[Wealthier_Winner]]=0,"Tie",Table1[[#This Row],[Wealthier_Winner]]=1,"Wealthier Nation Wins")</f>
        <v>Wealthier Nation Wins</v>
      </c>
    </row>
    <row r="1275" spans="1:17" x14ac:dyDescent="0.2">
      <c r="A1275" s="1">
        <v>2470</v>
      </c>
      <c r="B1275" s="2">
        <v>34067</v>
      </c>
      <c r="C1275" s="7">
        <f>_xlfn.FLOOR.MATH(Table1[[#This Row],[year]],10)</f>
        <v>1990</v>
      </c>
      <c r="D1275" t="s">
        <v>473</v>
      </c>
      <c r="E1275" t="s">
        <v>39</v>
      </c>
      <c r="F1275">
        <v>0</v>
      </c>
      <c r="G1275">
        <v>4</v>
      </c>
      <c r="H1275" t="s">
        <v>224</v>
      </c>
      <c r="I1275" t="s">
        <v>474</v>
      </c>
      <c r="J1275" t="s">
        <v>51</v>
      </c>
      <c r="K1275" t="b">
        <v>1</v>
      </c>
      <c r="L1275">
        <v>1993</v>
      </c>
      <c r="M1275">
        <v>10338679635</v>
      </c>
      <c r="N1275">
        <v>55625170253</v>
      </c>
      <c r="O1275" t="b">
        <v>1</v>
      </c>
      <c r="P1275">
        <v>1</v>
      </c>
      <c r="Q1275" t="str" cm="1">
        <f t="array" ref="Q1275">_xlfn.IFS(Table1[[#This Row],[Wealthier_Winner]]=-1,"Wealthier Nation Loses",Table1[[#This Row],[Wealthier_Winner]]=0,"Tie",Table1[[#This Row],[Wealthier_Winner]]=1,"Wealthier Nation Wins")</f>
        <v>Wealthier Nation Wins</v>
      </c>
    </row>
    <row r="1276" spans="1:17" x14ac:dyDescent="0.2">
      <c r="A1276" s="1">
        <v>2472</v>
      </c>
      <c r="B1276" s="2">
        <v>34068</v>
      </c>
      <c r="C1276" s="7">
        <f>_xlfn.FLOOR.MATH(Table1[[#This Row],[year]],10)</f>
        <v>1990</v>
      </c>
      <c r="D1276" t="s">
        <v>68</v>
      </c>
      <c r="E1276" t="s">
        <v>328</v>
      </c>
      <c r="F1276">
        <v>3</v>
      </c>
      <c r="G1276">
        <v>1</v>
      </c>
      <c r="H1276" t="s">
        <v>224</v>
      </c>
      <c r="I1276" t="s">
        <v>190</v>
      </c>
      <c r="J1276" t="s">
        <v>68</v>
      </c>
      <c r="K1276" t="b">
        <v>0</v>
      </c>
      <c r="L1276">
        <v>1993</v>
      </c>
      <c r="M1276">
        <v>7156593653</v>
      </c>
      <c r="N1276">
        <v>158006700301</v>
      </c>
      <c r="O1276" t="b">
        <v>1</v>
      </c>
      <c r="P1276">
        <v>-1</v>
      </c>
      <c r="Q1276" t="str" cm="1">
        <f t="array" ref="Q1276">_xlfn.IFS(Table1[[#This Row],[Wealthier_Winner]]=-1,"Wealthier Nation Loses",Table1[[#This Row],[Wealthier_Winner]]=0,"Tie",Table1[[#This Row],[Wealthier_Winner]]=1,"Wealthier Nation Wins")</f>
        <v>Wealthier Nation Loses</v>
      </c>
    </row>
    <row r="1277" spans="1:17" x14ac:dyDescent="0.2">
      <c r="A1277" s="1">
        <v>2473</v>
      </c>
      <c r="B1277" s="2">
        <v>34070</v>
      </c>
      <c r="C1277" s="7">
        <f>_xlfn.FLOOR.MATH(Table1[[#This Row],[year]],10)</f>
        <v>1990</v>
      </c>
      <c r="D1277" t="s">
        <v>34</v>
      </c>
      <c r="E1277" t="s">
        <v>69</v>
      </c>
      <c r="F1277">
        <v>2</v>
      </c>
      <c r="G1277">
        <v>0</v>
      </c>
      <c r="H1277" t="s">
        <v>224</v>
      </c>
      <c r="I1277" t="s">
        <v>467</v>
      </c>
      <c r="J1277" t="s">
        <v>34</v>
      </c>
      <c r="K1277" t="b">
        <v>0</v>
      </c>
      <c r="L1277">
        <v>1993</v>
      </c>
      <c r="M1277">
        <v>579053561739</v>
      </c>
      <c r="N1277">
        <v>6680269200</v>
      </c>
      <c r="O1277" t="b">
        <v>1</v>
      </c>
      <c r="P1277">
        <v>1</v>
      </c>
      <c r="Q1277" t="str" cm="1">
        <f t="array" ref="Q1277">_xlfn.IFS(Table1[[#This Row],[Wealthier_Winner]]=-1,"Wealthier Nation Loses",Table1[[#This Row],[Wealthier_Winner]]=0,"Tie",Table1[[#This Row],[Wealthier_Winner]]=1,"Wealthier Nation Wins")</f>
        <v>Wealthier Nation Wins</v>
      </c>
    </row>
    <row r="1278" spans="1:17" x14ac:dyDescent="0.2">
      <c r="A1278" s="1">
        <v>2474</v>
      </c>
      <c r="B1278" s="2">
        <v>34070</v>
      </c>
      <c r="C1278" s="7">
        <f>_xlfn.FLOOR.MATH(Table1[[#This Row],[year]],10)</f>
        <v>1990</v>
      </c>
      <c r="D1278" t="s">
        <v>51</v>
      </c>
      <c r="E1278" t="s">
        <v>405</v>
      </c>
      <c r="F1278">
        <v>8</v>
      </c>
      <c r="G1278">
        <v>0</v>
      </c>
      <c r="H1278" t="s">
        <v>224</v>
      </c>
      <c r="I1278" t="s">
        <v>245</v>
      </c>
      <c r="J1278" t="s">
        <v>51</v>
      </c>
      <c r="K1278" t="b">
        <v>0</v>
      </c>
      <c r="L1278">
        <v>1993</v>
      </c>
      <c r="M1278">
        <v>4536940479038</v>
      </c>
      <c r="N1278">
        <v>33166519417</v>
      </c>
      <c r="O1278" t="b">
        <v>1</v>
      </c>
      <c r="P1278">
        <v>1</v>
      </c>
      <c r="Q1278" t="str" cm="1">
        <f t="array" ref="Q1278">_xlfn.IFS(Table1[[#This Row],[Wealthier_Winner]]=-1,"Wealthier Nation Loses",Table1[[#This Row],[Wealthier_Winner]]=0,"Tie",Table1[[#This Row],[Wealthier_Winner]]=1,"Wealthier Nation Wins")</f>
        <v>Wealthier Nation Wins</v>
      </c>
    </row>
    <row r="1279" spans="1:17" x14ac:dyDescent="0.2">
      <c r="A1279" s="1">
        <v>2476</v>
      </c>
      <c r="B1279" s="2">
        <v>34070</v>
      </c>
      <c r="C1279" s="7">
        <f>_xlfn.FLOOR.MATH(Table1[[#This Row],[year]],10)</f>
        <v>1990</v>
      </c>
      <c r="D1279" t="s">
        <v>17</v>
      </c>
      <c r="E1279" t="s">
        <v>65</v>
      </c>
      <c r="F1279">
        <v>3</v>
      </c>
      <c r="G1279">
        <v>0</v>
      </c>
      <c r="H1279" t="s">
        <v>224</v>
      </c>
      <c r="I1279" t="s">
        <v>83</v>
      </c>
      <c r="J1279" t="s">
        <v>17</v>
      </c>
      <c r="K1279" t="b">
        <v>0</v>
      </c>
      <c r="L1279">
        <v>1993</v>
      </c>
      <c r="M1279">
        <v>530160763662</v>
      </c>
      <c r="N1279">
        <v>4190773622</v>
      </c>
      <c r="O1279" t="b">
        <v>1</v>
      </c>
      <c r="P1279">
        <v>1</v>
      </c>
      <c r="Q1279" t="str" cm="1">
        <f t="array" ref="Q1279">_xlfn.IFS(Table1[[#This Row],[Wealthier_Winner]]=-1,"Wealthier Nation Loses",Table1[[#This Row],[Wealthier_Winner]]=0,"Tie",Table1[[#This Row],[Wealthier_Winner]]=1,"Wealthier Nation Wins")</f>
        <v>Wealthier Nation Wins</v>
      </c>
    </row>
    <row r="1280" spans="1:17" x14ac:dyDescent="0.2">
      <c r="A1280" s="1">
        <v>2477</v>
      </c>
      <c r="B1280" s="2">
        <v>34070</v>
      </c>
      <c r="C1280" s="7">
        <f>_xlfn.FLOOR.MATH(Table1[[#This Row],[year]],10)</f>
        <v>1990</v>
      </c>
      <c r="D1280" t="s">
        <v>68</v>
      </c>
      <c r="E1280" t="s">
        <v>475</v>
      </c>
      <c r="F1280">
        <v>4</v>
      </c>
      <c r="G1280">
        <v>0</v>
      </c>
      <c r="H1280" t="s">
        <v>224</v>
      </c>
      <c r="I1280" t="s">
        <v>190</v>
      </c>
      <c r="J1280" t="s">
        <v>68</v>
      </c>
      <c r="K1280" t="b">
        <v>0</v>
      </c>
      <c r="L1280">
        <v>1993</v>
      </c>
      <c r="M1280">
        <v>7156593653</v>
      </c>
      <c r="N1280">
        <v>13180953598</v>
      </c>
      <c r="O1280" t="b">
        <v>0</v>
      </c>
      <c r="P1280">
        <v>-1</v>
      </c>
      <c r="Q1280" t="str" cm="1">
        <f t="array" ref="Q1280">_xlfn.IFS(Table1[[#This Row],[Wealthier_Winner]]=-1,"Wealthier Nation Loses",Table1[[#This Row],[Wealthier_Winner]]=0,"Tie",Table1[[#This Row],[Wealthier_Winner]]=1,"Wealthier Nation Wins")</f>
        <v>Wealthier Nation Loses</v>
      </c>
    </row>
    <row r="1281" spans="1:17" x14ac:dyDescent="0.2">
      <c r="A1281" s="1">
        <v>2478</v>
      </c>
      <c r="B1281" s="2">
        <v>34070</v>
      </c>
      <c r="C1281" s="7">
        <f>_xlfn.FLOOR.MATH(Table1[[#This Row],[year]],10)</f>
        <v>1990</v>
      </c>
      <c r="D1281" t="s">
        <v>334</v>
      </c>
      <c r="E1281" t="s">
        <v>473</v>
      </c>
      <c r="F1281">
        <v>1</v>
      </c>
      <c r="G1281">
        <v>0</v>
      </c>
      <c r="H1281" t="s">
        <v>224</v>
      </c>
      <c r="I1281" t="s">
        <v>147</v>
      </c>
      <c r="J1281" t="s">
        <v>51</v>
      </c>
      <c r="K1281" t="b">
        <v>1</v>
      </c>
      <c r="L1281">
        <v>1993</v>
      </c>
      <c r="M1281">
        <v>128889262951</v>
      </c>
      <c r="N1281">
        <v>10338679635</v>
      </c>
      <c r="O1281" t="b">
        <v>1</v>
      </c>
      <c r="P1281">
        <v>1</v>
      </c>
      <c r="Q1281" t="str" cm="1">
        <f t="array" ref="Q1281">_xlfn.IFS(Table1[[#This Row],[Wealthier_Winner]]=-1,"Wealthier Nation Loses",Table1[[#This Row],[Wealthier_Winner]]=0,"Tie",Table1[[#This Row],[Wealthier_Winner]]=1,"Wealthier Nation Wins")</f>
        <v>Wealthier Nation Wins</v>
      </c>
    </row>
    <row r="1282" spans="1:17" x14ac:dyDescent="0.2">
      <c r="A1282" s="1">
        <v>2480</v>
      </c>
      <c r="B1282" s="2">
        <v>34072</v>
      </c>
      <c r="C1282" s="7">
        <f>_xlfn.FLOOR.MATH(Table1[[#This Row],[year]],10)</f>
        <v>1990</v>
      </c>
      <c r="D1282" t="s">
        <v>473</v>
      </c>
      <c r="E1282" t="s">
        <v>405</v>
      </c>
      <c r="F1282">
        <v>0</v>
      </c>
      <c r="G1282">
        <v>1</v>
      </c>
      <c r="H1282" t="s">
        <v>224</v>
      </c>
      <c r="I1282" t="s">
        <v>153</v>
      </c>
      <c r="J1282" t="s">
        <v>51</v>
      </c>
      <c r="K1282" t="b">
        <v>1</v>
      </c>
      <c r="L1282">
        <v>1993</v>
      </c>
      <c r="M1282">
        <v>10338679635</v>
      </c>
      <c r="N1282">
        <v>33166519417</v>
      </c>
      <c r="O1282" t="b">
        <v>1</v>
      </c>
      <c r="P1282">
        <v>1</v>
      </c>
      <c r="Q1282" t="str" cm="1">
        <f t="array" ref="Q1282">_xlfn.IFS(Table1[[#This Row],[Wealthier_Winner]]=-1,"Wealthier Nation Loses",Table1[[#This Row],[Wealthier_Winner]]=0,"Tie",Table1[[#This Row],[Wealthier_Winner]]=1,"Wealthier Nation Wins")</f>
        <v>Wealthier Nation Wins</v>
      </c>
    </row>
    <row r="1283" spans="1:17" x14ac:dyDescent="0.2">
      <c r="A1283" s="1">
        <v>2481</v>
      </c>
      <c r="B1283" s="2">
        <v>34072</v>
      </c>
      <c r="C1283" s="7">
        <f>_xlfn.FLOOR.MATH(Table1[[#This Row],[year]],10)</f>
        <v>1990</v>
      </c>
      <c r="D1283" t="s">
        <v>39</v>
      </c>
      <c r="E1283" t="s">
        <v>334</v>
      </c>
      <c r="F1283">
        <v>1</v>
      </c>
      <c r="G1283">
        <v>0</v>
      </c>
      <c r="H1283" t="s">
        <v>224</v>
      </c>
      <c r="I1283" t="s">
        <v>245</v>
      </c>
      <c r="J1283" t="s">
        <v>51</v>
      </c>
      <c r="K1283" t="b">
        <v>1</v>
      </c>
      <c r="L1283">
        <v>1993</v>
      </c>
      <c r="M1283">
        <v>55625170253</v>
      </c>
      <c r="N1283">
        <v>128889262951</v>
      </c>
      <c r="O1283" t="b">
        <v>1</v>
      </c>
      <c r="P1283">
        <v>-1</v>
      </c>
      <c r="Q1283" t="str" cm="1">
        <f t="array" ref="Q1283">_xlfn.IFS(Table1[[#This Row],[Wealthier_Winner]]=-1,"Wealthier Nation Loses",Table1[[#This Row],[Wealthier_Winner]]=0,"Tie",Table1[[#This Row],[Wealthier_Winner]]=1,"Wealthier Nation Wins")</f>
        <v>Wealthier Nation Loses</v>
      </c>
    </row>
    <row r="1284" spans="1:17" x14ac:dyDescent="0.2">
      <c r="A1284" s="1">
        <v>2482</v>
      </c>
      <c r="B1284" s="2">
        <v>34072</v>
      </c>
      <c r="C1284" s="7">
        <f>_xlfn.FLOOR.MATH(Table1[[#This Row],[year]],10)</f>
        <v>1990</v>
      </c>
      <c r="D1284" t="s">
        <v>475</v>
      </c>
      <c r="E1284" t="s">
        <v>359</v>
      </c>
      <c r="F1284">
        <v>2</v>
      </c>
      <c r="G1284">
        <v>3</v>
      </c>
      <c r="H1284" t="s">
        <v>224</v>
      </c>
      <c r="I1284" t="s">
        <v>190</v>
      </c>
      <c r="J1284" t="s">
        <v>68</v>
      </c>
      <c r="K1284" t="b">
        <v>1</v>
      </c>
      <c r="L1284">
        <v>1993</v>
      </c>
      <c r="M1284">
        <v>13180953598</v>
      </c>
      <c r="N1284">
        <v>60603815716</v>
      </c>
      <c r="O1284" t="b">
        <v>1</v>
      </c>
      <c r="P1284">
        <v>1</v>
      </c>
      <c r="Q1284" t="str" cm="1">
        <f t="array" ref="Q1284">_xlfn.IFS(Table1[[#This Row],[Wealthier_Winner]]=-1,"Wealthier Nation Loses",Table1[[#This Row],[Wealthier_Winner]]=0,"Tie",Table1[[#This Row],[Wealthier_Winner]]=1,"Wealthier Nation Wins")</f>
        <v>Wealthier Nation Wins</v>
      </c>
    </row>
    <row r="1285" spans="1:17" x14ac:dyDescent="0.2">
      <c r="A1285" s="1">
        <v>2483</v>
      </c>
      <c r="B1285" s="2">
        <v>34073</v>
      </c>
      <c r="C1285" s="7">
        <f>_xlfn.FLOOR.MATH(Table1[[#This Row],[year]],10)</f>
        <v>1990</v>
      </c>
      <c r="D1285" t="s">
        <v>29</v>
      </c>
      <c r="E1285" t="s">
        <v>33</v>
      </c>
      <c r="F1285">
        <v>3</v>
      </c>
      <c r="G1285">
        <v>1</v>
      </c>
      <c r="H1285" t="s">
        <v>224</v>
      </c>
      <c r="I1285" t="s">
        <v>270</v>
      </c>
      <c r="J1285" t="s">
        <v>29</v>
      </c>
      <c r="K1285" t="b">
        <v>0</v>
      </c>
      <c r="L1285">
        <v>1993</v>
      </c>
      <c r="M1285">
        <v>189634029338</v>
      </c>
      <c r="N1285">
        <v>10832064941</v>
      </c>
      <c r="O1285" t="b">
        <v>1</v>
      </c>
      <c r="P1285">
        <v>1</v>
      </c>
      <c r="Q1285" t="str" cm="1">
        <f t="array" ref="Q1285">_xlfn.IFS(Table1[[#This Row],[Wealthier_Winner]]=-1,"Wealthier Nation Loses",Table1[[#This Row],[Wealthier_Winner]]=0,"Tie",Table1[[#This Row],[Wealthier_Winner]]=1,"Wealthier Nation Wins")</f>
        <v>Wealthier Nation Wins</v>
      </c>
    </row>
    <row r="1286" spans="1:17" x14ac:dyDescent="0.2">
      <c r="A1286" s="1">
        <v>2485</v>
      </c>
      <c r="B1286" s="2">
        <v>34073</v>
      </c>
      <c r="C1286" s="7">
        <f>_xlfn.FLOOR.MATH(Table1[[#This Row],[year]],10)</f>
        <v>1990</v>
      </c>
      <c r="D1286" t="s">
        <v>18</v>
      </c>
      <c r="E1286" t="s">
        <v>476</v>
      </c>
      <c r="F1286">
        <v>2</v>
      </c>
      <c r="G1286">
        <v>0</v>
      </c>
      <c r="H1286" t="s">
        <v>224</v>
      </c>
      <c r="I1286" t="s">
        <v>477</v>
      </c>
      <c r="J1286" t="s">
        <v>18</v>
      </c>
      <c r="K1286" t="b">
        <v>0</v>
      </c>
      <c r="L1286">
        <v>1993</v>
      </c>
      <c r="M1286">
        <v>1067412587670</v>
      </c>
      <c r="N1286">
        <v>4013091682</v>
      </c>
      <c r="O1286" t="b">
        <v>1</v>
      </c>
      <c r="P1286">
        <v>1</v>
      </c>
      <c r="Q1286" t="str" cm="1">
        <f t="array" ref="Q1286">_xlfn.IFS(Table1[[#This Row],[Wealthier_Winner]]=-1,"Wealthier Nation Loses",Table1[[#This Row],[Wealthier_Winner]]=0,"Tie",Table1[[#This Row],[Wealthier_Winner]]=1,"Wealthier Nation Wins")</f>
        <v>Wealthier Nation Wins</v>
      </c>
    </row>
    <row r="1287" spans="1:17" x14ac:dyDescent="0.2">
      <c r="A1287" s="1">
        <v>2487</v>
      </c>
      <c r="B1287" s="2">
        <v>34073</v>
      </c>
      <c r="C1287" s="7">
        <f>_xlfn.FLOOR.MATH(Table1[[#This Row],[year]],10)</f>
        <v>1990</v>
      </c>
      <c r="D1287" t="s">
        <v>232</v>
      </c>
      <c r="E1287" t="s">
        <v>196</v>
      </c>
      <c r="F1287">
        <v>0</v>
      </c>
      <c r="G1287">
        <v>4</v>
      </c>
      <c r="H1287" t="s">
        <v>224</v>
      </c>
      <c r="I1287" t="s">
        <v>232</v>
      </c>
      <c r="J1287" t="s">
        <v>232</v>
      </c>
      <c r="K1287" t="b">
        <v>0</v>
      </c>
      <c r="L1287">
        <v>1993</v>
      </c>
      <c r="M1287">
        <v>15925521222</v>
      </c>
      <c r="N1287">
        <v>435083713850</v>
      </c>
      <c r="O1287" t="b">
        <v>1</v>
      </c>
      <c r="P1287">
        <v>1</v>
      </c>
      <c r="Q1287" t="str" cm="1">
        <f t="array" ref="Q1287">_xlfn.IFS(Table1[[#This Row],[Wealthier_Winner]]=-1,"Wealthier Nation Loses",Table1[[#This Row],[Wealthier_Winner]]=0,"Tie",Table1[[#This Row],[Wealthier_Winner]]=1,"Wealthier Nation Wins")</f>
        <v>Wealthier Nation Wins</v>
      </c>
    </row>
    <row r="1288" spans="1:17" x14ac:dyDescent="0.2">
      <c r="A1288" s="1">
        <v>2488</v>
      </c>
      <c r="B1288" s="2">
        <v>34073</v>
      </c>
      <c r="C1288" s="7">
        <f>_xlfn.FLOOR.MATH(Table1[[#This Row],[year]],10)</f>
        <v>1990</v>
      </c>
      <c r="D1288" t="s">
        <v>44</v>
      </c>
      <c r="E1288" t="s">
        <v>351</v>
      </c>
      <c r="F1288">
        <v>2</v>
      </c>
      <c r="G1288">
        <v>1</v>
      </c>
      <c r="H1288" t="s">
        <v>224</v>
      </c>
      <c r="I1288" t="s">
        <v>425</v>
      </c>
      <c r="J1288" t="s">
        <v>44</v>
      </c>
      <c r="K1288" t="b">
        <v>0</v>
      </c>
      <c r="L1288">
        <v>1993</v>
      </c>
      <c r="M1288">
        <v>26361160449</v>
      </c>
      <c r="N1288">
        <v>6590291048</v>
      </c>
      <c r="O1288" t="b">
        <v>1</v>
      </c>
      <c r="P1288">
        <v>1</v>
      </c>
      <c r="Q1288" t="str" cm="1">
        <f t="array" ref="Q1288">_xlfn.IFS(Table1[[#This Row],[Wealthier_Winner]]=-1,"Wealthier Nation Loses",Table1[[#This Row],[Wealthier_Winner]]=0,"Tie",Table1[[#This Row],[Wealthier_Winner]]=1,"Wealthier Nation Wins")</f>
        <v>Wealthier Nation Wins</v>
      </c>
    </row>
    <row r="1289" spans="1:17" x14ac:dyDescent="0.2">
      <c r="A1289" s="1">
        <v>2489</v>
      </c>
      <c r="B1289" s="2">
        <v>34074</v>
      </c>
      <c r="C1289" s="7">
        <f>_xlfn.FLOOR.MATH(Table1[[#This Row],[year]],10)</f>
        <v>1990</v>
      </c>
      <c r="D1289" t="s">
        <v>212</v>
      </c>
      <c r="E1289" t="s">
        <v>298</v>
      </c>
      <c r="F1289">
        <v>0</v>
      </c>
      <c r="G1289">
        <v>0</v>
      </c>
      <c r="H1289" t="s">
        <v>224</v>
      </c>
      <c r="I1289" t="s">
        <v>135</v>
      </c>
      <c r="J1289" t="s">
        <v>20</v>
      </c>
      <c r="K1289" t="b">
        <v>1</v>
      </c>
      <c r="L1289">
        <v>1993</v>
      </c>
      <c r="M1289">
        <v>46578631452</v>
      </c>
      <c r="N1289">
        <v>6567250000</v>
      </c>
      <c r="O1289" t="b">
        <v>1</v>
      </c>
      <c r="P1289">
        <v>0</v>
      </c>
      <c r="Q1289" t="str" cm="1">
        <f t="array" ref="Q1289">_xlfn.IFS(Table1[[#This Row],[Wealthier_Winner]]=-1,"Wealthier Nation Loses",Table1[[#This Row],[Wealthier_Winner]]=0,"Tie",Table1[[#This Row],[Wealthier_Winner]]=1,"Wealthier Nation Wins")</f>
        <v>Tie</v>
      </c>
    </row>
    <row r="1290" spans="1:17" x14ac:dyDescent="0.2">
      <c r="A1290" s="1">
        <v>2490</v>
      </c>
      <c r="B1290" s="2">
        <v>34074</v>
      </c>
      <c r="C1290" s="7">
        <f>_xlfn.FLOOR.MATH(Table1[[#This Row],[year]],10)</f>
        <v>1990</v>
      </c>
      <c r="D1290" t="s">
        <v>51</v>
      </c>
      <c r="E1290" t="s">
        <v>473</v>
      </c>
      <c r="F1290">
        <v>5</v>
      </c>
      <c r="G1290">
        <v>0</v>
      </c>
      <c r="H1290" t="s">
        <v>224</v>
      </c>
      <c r="I1290" t="s">
        <v>245</v>
      </c>
      <c r="J1290" t="s">
        <v>51</v>
      </c>
      <c r="K1290" t="b">
        <v>0</v>
      </c>
      <c r="L1290">
        <v>1993</v>
      </c>
      <c r="M1290">
        <v>4536940479038</v>
      </c>
      <c r="N1290">
        <v>10338679635</v>
      </c>
      <c r="O1290" t="b">
        <v>1</v>
      </c>
      <c r="P1290">
        <v>1</v>
      </c>
      <c r="Q1290" t="str" cm="1">
        <f t="array" ref="Q1290">_xlfn.IFS(Table1[[#This Row],[Wealthier_Winner]]=-1,"Wealthier Nation Loses",Table1[[#This Row],[Wealthier_Winner]]=0,"Tie",Table1[[#This Row],[Wealthier_Winner]]=1,"Wealthier Nation Wins")</f>
        <v>Wealthier Nation Wins</v>
      </c>
    </row>
    <row r="1291" spans="1:17" x14ac:dyDescent="0.2">
      <c r="A1291" s="1">
        <v>2491</v>
      </c>
      <c r="B1291" s="2">
        <v>34074</v>
      </c>
      <c r="C1291" s="7">
        <f>_xlfn.FLOOR.MATH(Table1[[#This Row],[year]],10)</f>
        <v>1990</v>
      </c>
      <c r="D1291" t="s">
        <v>39</v>
      </c>
      <c r="E1291" t="s">
        <v>405</v>
      </c>
      <c r="F1291">
        <v>1</v>
      </c>
      <c r="G1291">
        <v>0</v>
      </c>
      <c r="H1291" t="s">
        <v>224</v>
      </c>
      <c r="I1291" t="s">
        <v>153</v>
      </c>
      <c r="J1291" t="s">
        <v>51</v>
      </c>
      <c r="K1291" t="b">
        <v>1</v>
      </c>
      <c r="L1291">
        <v>1993</v>
      </c>
      <c r="M1291">
        <v>55625170253</v>
      </c>
      <c r="N1291">
        <v>33166519417</v>
      </c>
      <c r="O1291" t="b">
        <v>0</v>
      </c>
      <c r="P1291">
        <v>1</v>
      </c>
      <c r="Q1291" t="str" cm="1">
        <f t="array" ref="Q1291">_xlfn.IFS(Table1[[#This Row],[Wealthier_Winner]]=-1,"Wealthier Nation Loses",Table1[[#This Row],[Wealthier_Winner]]=0,"Tie",Table1[[#This Row],[Wealthier_Winner]]=1,"Wealthier Nation Wins")</f>
        <v>Wealthier Nation Wins</v>
      </c>
    </row>
    <row r="1292" spans="1:17" x14ac:dyDescent="0.2">
      <c r="A1292" s="1">
        <v>2493</v>
      </c>
      <c r="B1292" s="2">
        <v>34075</v>
      </c>
      <c r="C1292" s="7">
        <f>_xlfn.FLOOR.MATH(Table1[[#This Row],[year]],10)</f>
        <v>1990</v>
      </c>
      <c r="D1292" t="s">
        <v>68</v>
      </c>
      <c r="E1292" t="s">
        <v>359</v>
      </c>
      <c r="F1292">
        <v>4</v>
      </c>
      <c r="G1292">
        <v>1</v>
      </c>
      <c r="H1292" t="s">
        <v>224</v>
      </c>
      <c r="I1292" t="s">
        <v>190</v>
      </c>
      <c r="J1292" t="s">
        <v>68</v>
      </c>
      <c r="K1292" t="b">
        <v>0</v>
      </c>
      <c r="L1292">
        <v>1993</v>
      </c>
      <c r="M1292">
        <v>7156593653</v>
      </c>
      <c r="N1292">
        <v>60603815716</v>
      </c>
      <c r="O1292" t="b">
        <v>1</v>
      </c>
      <c r="P1292">
        <v>-1</v>
      </c>
      <c r="Q1292" t="str" cm="1">
        <f t="array" ref="Q1292">_xlfn.IFS(Table1[[#This Row],[Wealthier_Winner]]=-1,"Wealthier Nation Loses",Table1[[#This Row],[Wealthier_Winner]]=0,"Tie",Table1[[#This Row],[Wealthier_Winner]]=1,"Wealthier Nation Wins")</f>
        <v>Wealthier Nation Loses</v>
      </c>
    </row>
    <row r="1293" spans="1:17" x14ac:dyDescent="0.2">
      <c r="A1293" s="1">
        <v>2494</v>
      </c>
      <c r="B1293" s="2">
        <v>34075</v>
      </c>
      <c r="C1293" s="7">
        <f>_xlfn.FLOOR.MATH(Table1[[#This Row],[year]],10)</f>
        <v>1990</v>
      </c>
      <c r="D1293" t="s">
        <v>475</v>
      </c>
      <c r="E1293" t="s">
        <v>328</v>
      </c>
      <c r="F1293">
        <v>1</v>
      </c>
      <c r="G1293">
        <v>0</v>
      </c>
      <c r="H1293" t="s">
        <v>224</v>
      </c>
      <c r="I1293" t="s">
        <v>190</v>
      </c>
      <c r="J1293" t="s">
        <v>68</v>
      </c>
      <c r="K1293" t="b">
        <v>1</v>
      </c>
      <c r="L1293">
        <v>1993</v>
      </c>
      <c r="M1293">
        <v>13180953598</v>
      </c>
      <c r="N1293">
        <v>158006700301</v>
      </c>
      <c r="O1293" t="b">
        <v>1</v>
      </c>
      <c r="P1293">
        <v>-1</v>
      </c>
      <c r="Q1293" t="str" cm="1">
        <f t="array" ref="Q1293">_xlfn.IFS(Table1[[#This Row],[Wealthier_Winner]]=-1,"Wealthier Nation Loses",Table1[[#This Row],[Wealthier_Winner]]=0,"Tie",Table1[[#This Row],[Wealthier_Winner]]=1,"Wealthier Nation Wins")</f>
        <v>Wealthier Nation Loses</v>
      </c>
    </row>
    <row r="1294" spans="1:17" x14ac:dyDescent="0.2">
      <c r="A1294" s="1">
        <v>2495</v>
      </c>
      <c r="B1294" s="2">
        <v>34076</v>
      </c>
      <c r="C1294" s="7">
        <f>_xlfn.FLOOR.MATH(Table1[[#This Row],[year]],10)</f>
        <v>1990</v>
      </c>
      <c r="D1294" t="s">
        <v>303</v>
      </c>
      <c r="E1294" t="s">
        <v>46</v>
      </c>
      <c r="F1294">
        <v>0</v>
      </c>
      <c r="G1294">
        <v>2</v>
      </c>
      <c r="H1294" t="s">
        <v>224</v>
      </c>
      <c r="I1294" t="s">
        <v>399</v>
      </c>
      <c r="J1294" t="s">
        <v>303</v>
      </c>
      <c r="K1294" t="b">
        <v>0</v>
      </c>
      <c r="L1294">
        <v>1993</v>
      </c>
      <c r="M1294">
        <v>2709193538</v>
      </c>
      <c r="N1294">
        <v>272237527070</v>
      </c>
      <c r="O1294" t="b">
        <v>1</v>
      </c>
      <c r="P1294">
        <v>1</v>
      </c>
      <c r="Q1294" t="str" cm="1">
        <f t="array" ref="Q1294">_xlfn.IFS(Table1[[#This Row],[Wealthier_Winner]]=-1,"Wealthier Nation Loses",Table1[[#This Row],[Wealthier_Winner]]=0,"Tie",Table1[[#This Row],[Wealthier_Winner]]=1,"Wealthier Nation Wins")</f>
        <v>Wealthier Nation Wins</v>
      </c>
    </row>
    <row r="1295" spans="1:17" x14ac:dyDescent="0.2">
      <c r="A1295" s="1">
        <v>2496</v>
      </c>
      <c r="B1295" s="2">
        <v>34077</v>
      </c>
      <c r="C1295" s="7">
        <f>_xlfn.FLOOR.MATH(Table1[[#This Row],[year]],10)</f>
        <v>1990</v>
      </c>
      <c r="D1295" t="s">
        <v>40</v>
      </c>
      <c r="E1295" t="s">
        <v>305</v>
      </c>
      <c r="F1295">
        <v>3</v>
      </c>
      <c r="G1295">
        <v>1</v>
      </c>
      <c r="H1295" t="s">
        <v>224</v>
      </c>
      <c r="I1295" t="s">
        <v>371</v>
      </c>
      <c r="J1295" t="s">
        <v>40</v>
      </c>
      <c r="K1295" t="b">
        <v>0</v>
      </c>
      <c r="L1295">
        <v>1993</v>
      </c>
      <c r="M1295">
        <v>16181814712</v>
      </c>
      <c r="N1295">
        <v>4781166116</v>
      </c>
      <c r="O1295" t="b">
        <v>1</v>
      </c>
      <c r="P1295">
        <v>1</v>
      </c>
      <c r="Q1295" t="str" cm="1">
        <f t="array" ref="Q1295">_xlfn.IFS(Table1[[#This Row],[Wealthier_Winner]]=-1,"Wealthier Nation Loses",Table1[[#This Row],[Wealthier_Winner]]=0,"Tie",Table1[[#This Row],[Wealthier_Winner]]=1,"Wealthier Nation Wins")</f>
        <v>Wealthier Nation Wins</v>
      </c>
    </row>
    <row r="1296" spans="1:17" x14ac:dyDescent="0.2">
      <c r="A1296" s="1">
        <v>2497</v>
      </c>
      <c r="B1296" s="2">
        <v>34077</v>
      </c>
      <c r="C1296" s="7">
        <f>_xlfn.FLOOR.MATH(Table1[[#This Row],[year]],10)</f>
        <v>1990</v>
      </c>
      <c r="D1296" t="s">
        <v>34</v>
      </c>
      <c r="E1296" t="s">
        <v>65</v>
      </c>
      <c r="F1296">
        <v>3</v>
      </c>
      <c r="G1296">
        <v>1</v>
      </c>
      <c r="H1296" t="s">
        <v>224</v>
      </c>
      <c r="I1296" t="s">
        <v>467</v>
      </c>
      <c r="J1296" t="s">
        <v>34</v>
      </c>
      <c r="K1296" t="b">
        <v>0</v>
      </c>
      <c r="L1296">
        <v>1993</v>
      </c>
      <c r="M1296">
        <v>579053561739</v>
      </c>
      <c r="N1296">
        <v>4190773622</v>
      </c>
      <c r="O1296" t="b">
        <v>1</v>
      </c>
      <c r="P1296">
        <v>1</v>
      </c>
      <c r="Q1296" t="str" cm="1">
        <f t="array" ref="Q1296">_xlfn.IFS(Table1[[#This Row],[Wealthier_Winner]]=-1,"Wealthier Nation Loses",Table1[[#This Row],[Wealthier_Winner]]=0,"Tie",Table1[[#This Row],[Wealthier_Winner]]=1,"Wealthier Nation Wins")</f>
        <v>Wealthier Nation Wins</v>
      </c>
    </row>
    <row r="1297" spans="1:17" x14ac:dyDescent="0.2">
      <c r="A1297" s="1">
        <v>2498</v>
      </c>
      <c r="B1297" s="2">
        <v>34077</v>
      </c>
      <c r="C1297" s="7">
        <f>_xlfn.FLOOR.MATH(Table1[[#This Row],[year]],10)</f>
        <v>1990</v>
      </c>
      <c r="D1297" t="s">
        <v>328</v>
      </c>
      <c r="E1297" t="s">
        <v>359</v>
      </c>
      <c r="F1297">
        <v>0</v>
      </c>
      <c r="G1297">
        <v>2</v>
      </c>
      <c r="H1297" t="s">
        <v>224</v>
      </c>
      <c r="I1297" t="s">
        <v>190</v>
      </c>
      <c r="J1297" t="s">
        <v>68</v>
      </c>
      <c r="K1297" t="b">
        <v>1</v>
      </c>
      <c r="L1297">
        <v>1993</v>
      </c>
      <c r="M1297">
        <v>158006700301</v>
      </c>
      <c r="N1297">
        <v>60603815716</v>
      </c>
      <c r="O1297" t="b">
        <v>1</v>
      </c>
      <c r="P1297">
        <v>-1</v>
      </c>
      <c r="Q1297" t="str" cm="1">
        <f t="array" ref="Q1297">_xlfn.IFS(Table1[[#This Row],[Wealthier_Winner]]=-1,"Wealthier Nation Loses",Table1[[#This Row],[Wealthier_Winner]]=0,"Tie",Table1[[#This Row],[Wealthier_Winner]]=1,"Wealthier Nation Wins")</f>
        <v>Wealthier Nation Loses</v>
      </c>
    </row>
    <row r="1298" spans="1:17" x14ac:dyDescent="0.2">
      <c r="A1298" s="1">
        <v>2499</v>
      </c>
      <c r="B1298" s="2">
        <v>34077</v>
      </c>
      <c r="C1298" s="7">
        <f>_xlfn.FLOOR.MATH(Table1[[#This Row],[year]],10)</f>
        <v>1990</v>
      </c>
      <c r="D1298" t="s">
        <v>51</v>
      </c>
      <c r="E1298" t="s">
        <v>39</v>
      </c>
      <c r="F1298">
        <v>2</v>
      </c>
      <c r="G1298">
        <v>0</v>
      </c>
      <c r="H1298" t="s">
        <v>224</v>
      </c>
      <c r="I1298" t="s">
        <v>245</v>
      </c>
      <c r="J1298" t="s">
        <v>51</v>
      </c>
      <c r="K1298" t="b">
        <v>0</v>
      </c>
      <c r="L1298">
        <v>1993</v>
      </c>
      <c r="M1298">
        <v>4536940479038</v>
      </c>
      <c r="N1298">
        <v>55625170253</v>
      </c>
      <c r="O1298" t="b">
        <v>1</v>
      </c>
      <c r="P1298">
        <v>1</v>
      </c>
      <c r="Q1298" t="str" cm="1">
        <f t="array" ref="Q1298">_xlfn.IFS(Table1[[#This Row],[Wealthier_Winner]]=-1,"Wealthier Nation Loses",Table1[[#This Row],[Wealthier_Winner]]=0,"Tie",Table1[[#This Row],[Wealthier_Winner]]=1,"Wealthier Nation Wins")</f>
        <v>Wealthier Nation Wins</v>
      </c>
    </row>
    <row r="1299" spans="1:17" x14ac:dyDescent="0.2">
      <c r="A1299" s="1">
        <v>2500</v>
      </c>
      <c r="B1299" s="2">
        <v>34077</v>
      </c>
      <c r="C1299" s="7">
        <f>_xlfn.FLOOR.MATH(Table1[[#This Row],[year]],10)</f>
        <v>1990</v>
      </c>
      <c r="D1299" t="s">
        <v>17</v>
      </c>
      <c r="E1299" t="s">
        <v>69</v>
      </c>
      <c r="F1299">
        <v>3</v>
      </c>
      <c r="G1299">
        <v>1</v>
      </c>
      <c r="H1299" t="s">
        <v>224</v>
      </c>
      <c r="I1299" t="s">
        <v>83</v>
      </c>
      <c r="J1299" t="s">
        <v>17</v>
      </c>
      <c r="K1299" t="b">
        <v>0</v>
      </c>
      <c r="L1299">
        <v>1993</v>
      </c>
      <c r="M1299">
        <v>530160763662</v>
      </c>
      <c r="N1299">
        <v>6680269200</v>
      </c>
      <c r="O1299" t="b">
        <v>1</v>
      </c>
      <c r="P1299">
        <v>1</v>
      </c>
      <c r="Q1299" t="str" cm="1">
        <f t="array" ref="Q1299">_xlfn.IFS(Table1[[#This Row],[Wealthier_Winner]]=-1,"Wealthier Nation Loses",Table1[[#This Row],[Wealthier_Winner]]=0,"Tie",Table1[[#This Row],[Wealthier_Winner]]=1,"Wealthier Nation Wins")</f>
        <v>Wealthier Nation Wins</v>
      </c>
    </row>
    <row r="1300" spans="1:17" x14ac:dyDescent="0.2">
      <c r="A1300" s="1">
        <v>2501</v>
      </c>
      <c r="B1300" s="2">
        <v>34077</v>
      </c>
      <c r="C1300" s="7">
        <f>_xlfn.FLOOR.MATH(Table1[[#This Row],[year]],10)</f>
        <v>1990</v>
      </c>
      <c r="D1300" t="s">
        <v>24</v>
      </c>
      <c r="E1300" t="s">
        <v>54</v>
      </c>
      <c r="F1300">
        <v>1</v>
      </c>
      <c r="G1300">
        <v>0</v>
      </c>
      <c r="H1300" t="s">
        <v>224</v>
      </c>
      <c r="I1300" t="s">
        <v>244</v>
      </c>
      <c r="J1300" t="s">
        <v>24</v>
      </c>
      <c r="K1300" t="b">
        <v>0</v>
      </c>
      <c r="L1300">
        <v>1993</v>
      </c>
      <c r="M1300">
        <v>31655473663</v>
      </c>
      <c r="N1300">
        <v>7367986241</v>
      </c>
      <c r="O1300" t="b">
        <v>1</v>
      </c>
      <c r="P1300">
        <v>1</v>
      </c>
      <c r="Q1300" t="str" cm="1">
        <f t="array" ref="Q1300">_xlfn.IFS(Table1[[#This Row],[Wealthier_Winner]]=-1,"Wealthier Nation Loses",Table1[[#This Row],[Wealthier_Winner]]=0,"Tie",Table1[[#This Row],[Wealthier_Winner]]=1,"Wealthier Nation Wins")</f>
        <v>Wealthier Nation Wins</v>
      </c>
    </row>
    <row r="1301" spans="1:17" x14ac:dyDescent="0.2">
      <c r="A1301" s="1">
        <v>2503</v>
      </c>
      <c r="B1301" s="2">
        <v>34077</v>
      </c>
      <c r="C1301" s="7">
        <f>_xlfn.FLOOR.MATH(Table1[[#This Row],[year]],10)</f>
        <v>1990</v>
      </c>
      <c r="D1301" t="s">
        <v>334</v>
      </c>
      <c r="E1301" t="s">
        <v>405</v>
      </c>
      <c r="F1301">
        <v>4</v>
      </c>
      <c r="G1301">
        <v>1</v>
      </c>
      <c r="H1301" t="s">
        <v>224</v>
      </c>
      <c r="I1301" t="s">
        <v>245</v>
      </c>
      <c r="J1301" t="s">
        <v>51</v>
      </c>
      <c r="K1301" t="b">
        <v>1</v>
      </c>
      <c r="L1301">
        <v>1993</v>
      </c>
      <c r="M1301">
        <v>128889262951</v>
      </c>
      <c r="N1301">
        <v>33166519417</v>
      </c>
      <c r="O1301" t="b">
        <v>1</v>
      </c>
      <c r="P1301">
        <v>1</v>
      </c>
      <c r="Q1301" t="str" cm="1">
        <f t="array" ref="Q1301">_xlfn.IFS(Table1[[#This Row],[Wealthier_Winner]]=-1,"Wealthier Nation Loses",Table1[[#This Row],[Wealthier_Winner]]=0,"Tie",Table1[[#This Row],[Wealthier_Winner]]=1,"Wealthier Nation Wins")</f>
        <v>Wealthier Nation Wins</v>
      </c>
    </row>
    <row r="1302" spans="1:17" x14ac:dyDescent="0.2">
      <c r="A1302" s="1">
        <v>2504</v>
      </c>
      <c r="B1302" s="2">
        <v>34083</v>
      </c>
      <c r="C1302" s="7">
        <f>_xlfn.FLOOR.MATH(Table1[[#This Row],[year]],10)</f>
        <v>1990</v>
      </c>
      <c r="D1302" t="s">
        <v>328</v>
      </c>
      <c r="E1302" t="s">
        <v>68</v>
      </c>
      <c r="F1302">
        <v>1</v>
      </c>
      <c r="G1302">
        <v>4</v>
      </c>
      <c r="H1302" t="s">
        <v>224</v>
      </c>
      <c r="I1302" t="s">
        <v>359</v>
      </c>
      <c r="J1302" t="s">
        <v>359</v>
      </c>
      <c r="K1302" t="b">
        <v>1</v>
      </c>
      <c r="L1302">
        <v>1993</v>
      </c>
      <c r="M1302">
        <v>158006700301</v>
      </c>
      <c r="N1302">
        <v>7156593653</v>
      </c>
      <c r="O1302" t="b">
        <v>1</v>
      </c>
      <c r="P1302">
        <v>-1</v>
      </c>
      <c r="Q1302" t="str" cm="1">
        <f t="array" ref="Q1302">_xlfn.IFS(Table1[[#This Row],[Wealthier_Winner]]=-1,"Wealthier Nation Loses",Table1[[#This Row],[Wealthier_Winner]]=0,"Tie",Table1[[#This Row],[Wealthier_Winner]]=1,"Wealthier Nation Wins")</f>
        <v>Wealthier Nation Loses</v>
      </c>
    </row>
    <row r="1303" spans="1:17" x14ac:dyDescent="0.2">
      <c r="A1303" s="1">
        <v>2506</v>
      </c>
      <c r="B1303" s="2">
        <v>34084</v>
      </c>
      <c r="C1303" s="7">
        <f>_xlfn.FLOOR.MATH(Table1[[#This Row],[year]],10)</f>
        <v>1990</v>
      </c>
      <c r="D1303" t="s">
        <v>351</v>
      </c>
      <c r="E1303" t="s">
        <v>447</v>
      </c>
      <c r="F1303">
        <v>3</v>
      </c>
      <c r="G1303">
        <v>1</v>
      </c>
      <c r="H1303" t="s">
        <v>224</v>
      </c>
      <c r="I1303" t="s">
        <v>352</v>
      </c>
      <c r="J1303" t="s">
        <v>351</v>
      </c>
      <c r="K1303" t="b">
        <v>0</v>
      </c>
      <c r="L1303">
        <v>1993</v>
      </c>
      <c r="M1303">
        <v>6590291048</v>
      </c>
      <c r="N1303">
        <v>760957189</v>
      </c>
      <c r="O1303" t="b">
        <v>1</v>
      </c>
      <c r="P1303">
        <v>1</v>
      </c>
      <c r="Q1303" t="str" cm="1">
        <f t="array" ref="Q1303">_xlfn.IFS(Table1[[#This Row],[Wealthier_Winner]]=-1,"Wealthier Nation Loses",Table1[[#This Row],[Wealthier_Winner]]=0,"Tie",Table1[[#This Row],[Wealthier_Winner]]=1,"Wealthier Nation Wins")</f>
        <v>Wealthier Nation Wins</v>
      </c>
    </row>
    <row r="1304" spans="1:17" x14ac:dyDescent="0.2">
      <c r="A1304" s="1">
        <v>2507</v>
      </c>
      <c r="B1304" s="2">
        <v>34084</v>
      </c>
      <c r="C1304" s="7">
        <f>_xlfn.FLOOR.MATH(Table1[[#This Row],[year]],10)</f>
        <v>1990</v>
      </c>
      <c r="D1304" t="s">
        <v>65</v>
      </c>
      <c r="E1304" t="s">
        <v>69</v>
      </c>
      <c r="F1304">
        <v>2</v>
      </c>
      <c r="G1304">
        <v>0</v>
      </c>
      <c r="H1304" t="s">
        <v>224</v>
      </c>
      <c r="I1304" t="s">
        <v>228</v>
      </c>
      <c r="J1304" t="s">
        <v>65</v>
      </c>
      <c r="K1304" t="b">
        <v>0</v>
      </c>
      <c r="L1304">
        <v>1993</v>
      </c>
      <c r="M1304">
        <v>4190773622</v>
      </c>
      <c r="N1304">
        <v>6680269200</v>
      </c>
      <c r="O1304" t="b">
        <v>0</v>
      </c>
      <c r="P1304">
        <v>-1</v>
      </c>
      <c r="Q1304" t="str" cm="1">
        <f t="array" ref="Q1304">_xlfn.IFS(Table1[[#This Row],[Wealthier_Winner]]=-1,"Wealthier Nation Loses",Table1[[#This Row],[Wealthier_Winner]]=0,"Tie",Table1[[#This Row],[Wealthier_Winner]]=1,"Wealthier Nation Wins")</f>
        <v>Wealthier Nation Loses</v>
      </c>
    </row>
    <row r="1305" spans="1:17" x14ac:dyDescent="0.2">
      <c r="A1305" s="1">
        <v>2508</v>
      </c>
      <c r="B1305" s="2">
        <v>34084</v>
      </c>
      <c r="C1305" s="7">
        <f>_xlfn.FLOOR.MATH(Table1[[#This Row],[year]],10)</f>
        <v>1990</v>
      </c>
      <c r="D1305" t="s">
        <v>17</v>
      </c>
      <c r="E1305" t="s">
        <v>34</v>
      </c>
      <c r="F1305">
        <v>4</v>
      </c>
      <c r="G1305">
        <v>0</v>
      </c>
      <c r="H1305" t="s">
        <v>224</v>
      </c>
      <c r="I1305" t="s">
        <v>83</v>
      </c>
      <c r="J1305" t="s">
        <v>17</v>
      </c>
      <c r="K1305" t="b">
        <v>0</v>
      </c>
      <c r="L1305">
        <v>1993</v>
      </c>
      <c r="M1305">
        <v>530160763662</v>
      </c>
      <c r="N1305">
        <v>579053561739</v>
      </c>
      <c r="O1305" t="b">
        <v>0</v>
      </c>
      <c r="P1305">
        <v>-1</v>
      </c>
      <c r="Q1305" t="str" cm="1">
        <f t="array" ref="Q1305">_xlfn.IFS(Table1[[#This Row],[Wealthier_Winner]]=-1,"Wealthier Nation Loses",Table1[[#This Row],[Wealthier_Winner]]=0,"Tie",Table1[[#This Row],[Wealthier_Winner]]=1,"Wealthier Nation Wins")</f>
        <v>Wealthier Nation Loses</v>
      </c>
    </row>
    <row r="1306" spans="1:17" x14ac:dyDescent="0.2">
      <c r="A1306" s="1">
        <v>2510</v>
      </c>
      <c r="B1306" s="2">
        <v>34085</v>
      </c>
      <c r="C1306" s="7">
        <f>_xlfn.FLOOR.MATH(Table1[[#This Row],[year]],10)</f>
        <v>1990</v>
      </c>
      <c r="D1306" t="s">
        <v>475</v>
      </c>
      <c r="E1306" t="s">
        <v>68</v>
      </c>
      <c r="F1306">
        <v>0</v>
      </c>
      <c r="G1306">
        <v>4</v>
      </c>
      <c r="H1306" t="s">
        <v>224</v>
      </c>
      <c r="I1306" t="s">
        <v>359</v>
      </c>
      <c r="J1306" t="s">
        <v>359</v>
      </c>
      <c r="K1306" t="b">
        <v>1</v>
      </c>
      <c r="L1306">
        <v>1993</v>
      </c>
      <c r="M1306">
        <v>13180953598</v>
      </c>
      <c r="N1306">
        <v>7156593653</v>
      </c>
      <c r="O1306" t="b">
        <v>0</v>
      </c>
      <c r="P1306">
        <v>-1</v>
      </c>
      <c r="Q1306" t="str" cm="1">
        <f t="array" ref="Q1306">_xlfn.IFS(Table1[[#This Row],[Wealthier_Winner]]=-1,"Wealthier Nation Loses",Table1[[#This Row],[Wealthier_Winner]]=0,"Tie",Table1[[#This Row],[Wealthier_Winner]]=1,"Wealthier Nation Wins")</f>
        <v>Wealthier Nation Loses</v>
      </c>
    </row>
    <row r="1307" spans="1:17" x14ac:dyDescent="0.2">
      <c r="A1307" s="1">
        <v>2511</v>
      </c>
      <c r="B1307" s="2">
        <v>34087</v>
      </c>
      <c r="C1307" s="7">
        <f>_xlfn.FLOOR.MATH(Table1[[#This Row],[year]],10)</f>
        <v>1990</v>
      </c>
      <c r="D1307" t="s">
        <v>33</v>
      </c>
      <c r="E1307" t="s">
        <v>230</v>
      </c>
      <c r="F1307">
        <v>2</v>
      </c>
      <c r="G1307">
        <v>0</v>
      </c>
      <c r="H1307" t="s">
        <v>224</v>
      </c>
      <c r="I1307" t="s">
        <v>375</v>
      </c>
      <c r="J1307" t="s">
        <v>33</v>
      </c>
      <c r="K1307" t="b">
        <v>0</v>
      </c>
      <c r="L1307">
        <v>1993</v>
      </c>
      <c r="M1307">
        <v>10832064941</v>
      </c>
      <c r="N1307">
        <v>89112105756</v>
      </c>
      <c r="O1307" t="b">
        <v>1</v>
      </c>
      <c r="P1307">
        <v>-1</v>
      </c>
      <c r="Q1307" t="str" cm="1">
        <f t="array" ref="Q1307">_xlfn.IFS(Table1[[#This Row],[Wealthier_Winner]]=-1,"Wealthier Nation Loses",Table1[[#This Row],[Wealthier_Winner]]=0,"Tie",Table1[[#This Row],[Wealthier_Winner]]=1,"Wealthier Nation Wins")</f>
        <v>Wealthier Nation Loses</v>
      </c>
    </row>
    <row r="1308" spans="1:17" x14ac:dyDescent="0.2">
      <c r="A1308" s="1">
        <v>2513</v>
      </c>
      <c r="B1308" s="2">
        <v>34087</v>
      </c>
      <c r="C1308" s="7">
        <f>_xlfn.FLOOR.MATH(Table1[[#This Row],[year]],10)</f>
        <v>1990</v>
      </c>
      <c r="D1308" t="s">
        <v>194</v>
      </c>
      <c r="E1308" t="s">
        <v>27</v>
      </c>
      <c r="F1308">
        <v>2</v>
      </c>
      <c r="G1308">
        <v>2</v>
      </c>
      <c r="H1308" t="s">
        <v>224</v>
      </c>
      <c r="I1308" t="s">
        <v>80</v>
      </c>
      <c r="J1308" t="s">
        <v>194</v>
      </c>
      <c r="K1308" t="b">
        <v>0</v>
      </c>
      <c r="L1308">
        <v>1993</v>
      </c>
      <c r="M1308">
        <v>1061388722255</v>
      </c>
      <c r="N1308">
        <v>354070495965</v>
      </c>
      <c r="O1308" t="b">
        <v>1</v>
      </c>
      <c r="P1308">
        <v>0</v>
      </c>
      <c r="Q1308" t="str" cm="1">
        <f t="array" ref="Q1308">_xlfn.IFS(Table1[[#This Row],[Wealthier_Winner]]=-1,"Wealthier Nation Loses",Table1[[#This Row],[Wealthier_Winner]]=0,"Tie",Table1[[#This Row],[Wealthier_Winner]]=1,"Wealthier Nation Wins")</f>
        <v>Tie</v>
      </c>
    </row>
    <row r="1309" spans="1:17" x14ac:dyDescent="0.2">
      <c r="A1309" s="1">
        <v>2514</v>
      </c>
      <c r="B1309" s="2">
        <v>34087</v>
      </c>
      <c r="C1309" s="7">
        <f>_xlfn.FLOOR.MATH(Table1[[#This Row],[year]],10)</f>
        <v>1990</v>
      </c>
      <c r="D1309" t="s">
        <v>20</v>
      </c>
      <c r="E1309" t="s">
        <v>25</v>
      </c>
      <c r="F1309">
        <v>2</v>
      </c>
      <c r="G1309">
        <v>1</v>
      </c>
      <c r="H1309" t="s">
        <v>224</v>
      </c>
      <c r="I1309" t="s">
        <v>134</v>
      </c>
      <c r="J1309" t="s">
        <v>20</v>
      </c>
      <c r="K1309" t="b">
        <v>0</v>
      </c>
      <c r="L1309">
        <v>1993</v>
      </c>
      <c r="M1309">
        <v>1314383368079</v>
      </c>
      <c r="N1309">
        <v>212644602615</v>
      </c>
      <c r="O1309" t="b">
        <v>1</v>
      </c>
      <c r="P1309">
        <v>1</v>
      </c>
      <c r="Q1309" t="str" cm="1">
        <f t="array" ref="Q1309">_xlfn.IFS(Table1[[#This Row],[Wealthier_Winner]]=-1,"Wealthier Nation Loses",Table1[[#This Row],[Wealthier_Winner]]=0,"Tie",Table1[[#This Row],[Wealthier_Winner]]=1,"Wealthier Nation Wins")</f>
        <v>Wealthier Nation Wins</v>
      </c>
    </row>
    <row r="1310" spans="1:17" x14ac:dyDescent="0.2">
      <c r="A1310" s="1">
        <v>2520</v>
      </c>
      <c r="B1310" s="2">
        <v>34087</v>
      </c>
      <c r="C1310" s="7">
        <f>_xlfn.FLOOR.MATH(Table1[[#This Row],[year]],10)</f>
        <v>1990</v>
      </c>
      <c r="D1310" t="s">
        <v>196</v>
      </c>
      <c r="E1310" t="s">
        <v>30</v>
      </c>
      <c r="F1310">
        <v>3</v>
      </c>
      <c r="G1310">
        <v>0</v>
      </c>
      <c r="H1310" t="s">
        <v>224</v>
      </c>
      <c r="I1310" t="s">
        <v>180</v>
      </c>
      <c r="J1310" t="s">
        <v>196</v>
      </c>
      <c r="K1310" t="b">
        <v>0</v>
      </c>
      <c r="L1310">
        <v>1993</v>
      </c>
      <c r="M1310">
        <v>435083713850</v>
      </c>
      <c r="N1310">
        <v>40256233360</v>
      </c>
      <c r="O1310" t="b">
        <v>1</v>
      </c>
      <c r="P1310">
        <v>1</v>
      </c>
      <c r="Q1310" t="str" cm="1">
        <f t="array" ref="Q1310">_xlfn.IFS(Table1[[#This Row],[Wealthier_Winner]]=-1,"Wealthier Nation Loses",Table1[[#This Row],[Wealthier_Winner]]=0,"Tie",Table1[[#This Row],[Wealthier_Winner]]=1,"Wealthier Nation Wins")</f>
        <v>Wealthier Nation Wins</v>
      </c>
    </row>
    <row r="1311" spans="1:17" x14ac:dyDescent="0.2">
      <c r="A1311" s="1">
        <v>2521</v>
      </c>
      <c r="B1311" s="2">
        <v>34087</v>
      </c>
      <c r="C1311" s="7">
        <f>_xlfn.FLOOR.MATH(Table1[[#This Row],[year]],10)</f>
        <v>1990</v>
      </c>
      <c r="D1311" t="s">
        <v>359</v>
      </c>
      <c r="E1311" t="s">
        <v>475</v>
      </c>
      <c r="F1311">
        <v>1</v>
      </c>
      <c r="G1311">
        <v>0</v>
      </c>
      <c r="H1311" t="s">
        <v>224</v>
      </c>
      <c r="I1311" t="s">
        <v>359</v>
      </c>
      <c r="J1311" t="s">
        <v>359</v>
      </c>
      <c r="K1311" t="b">
        <v>0</v>
      </c>
      <c r="L1311">
        <v>1993</v>
      </c>
      <c r="M1311">
        <v>60603815716</v>
      </c>
      <c r="N1311">
        <v>13180953598</v>
      </c>
      <c r="O1311" t="b">
        <v>1</v>
      </c>
      <c r="P1311">
        <v>1</v>
      </c>
      <c r="Q1311" t="str" cm="1">
        <f t="array" ref="Q1311">_xlfn.IFS(Table1[[#This Row],[Wealthier_Winner]]=-1,"Wealthier Nation Loses",Table1[[#This Row],[Wealthier_Winner]]=0,"Tie",Table1[[#This Row],[Wealthier_Winner]]=1,"Wealthier Nation Wins")</f>
        <v>Wealthier Nation Wins</v>
      </c>
    </row>
    <row r="1312" spans="1:17" x14ac:dyDescent="0.2">
      <c r="A1312" s="1">
        <v>2523</v>
      </c>
      <c r="B1312" s="2">
        <v>34087</v>
      </c>
      <c r="C1312" s="7">
        <f>_xlfn.FLOOR.MATH(Table1[[#This Row],[year]],10)</f>
        <v>1990</v>
      </c>
      <c r="D1312" t="s">
        <v>334</v>
      </c>
      <c r="E1312" t="s">
        <v>51</v>
      </c>
      <c r="F1312">
        <v>0</v>
      </c>
      <c r="G1312">
        <v>1</v>
      </c>
      <c r="H1312" t="s">
        <v>224</v>
      </c>
      <c r="I1312" t="s">
        <v>412</v>
      </c>
      <c r="J1312" t="s">
        <v>39</v>
      </c>
      <c r="K1312" t="b">
        <v>1</v>
      </c>
      <c r="L1312">
        <v>1993</v>
      </c>
      <c r="M1312">
        <v>128889262951</v>
      </c>
      <c r="N1312">
        <v>4536940479038</v>
      </c>
      <c r="O1312" t="b">
        <v>1</v>
      </c>
      <c r="P1312">
        <v>1</v>
      </c>
      <c r="Q1312" t="str" cm="1">
        <f t="array" ref="Q1312">_xlfn.IFS(Table1[[#This Row],[Wealthier_Winner]]=-1,"Wealthier Nation Loses",Table1[[#This Row],[Wealthier_Winner]]=0,"Tie",Table1[[#This Row],[Wealthier_Winner]]=1,"Wealthier Nation Wins")</f>
        <v>Wealthier Nation Wins</v>
      </c>
    </row>
    <row r="1313" spans="1:17" x14ac:dyDescent="0.2">
      <c r="A1313" s="1">
        <v>2524</v>
      </c>
      <c r="B1313" s="2">
        <v>34087</v>
      </c>
      <c r="C1313" s="7">
        <f>_xlfn.FLOOR.MATH(Table1[[#This Row],[year]],10)</f>
        <v>1990</v>
      </c>
      <c r="D1313" t="s">
        <v>39</v>
      </c>
      <c r="E1313" t="s">
        <v>473</v>
      </c>
      <c r="F1313">
        <v>3</v>
      </c>
      <c r="G1313">
        <v>0</v>
      </c>
      <c r="H1313" t="s">
        <v>224</v>
      </c>
      <c r="I1313" t="s">
        <v>478</v>
      </c>
      <c r="J1313" t="s">
        <v>39</v>
      </c>
      <c r="K1313" t="b">
        <v>0</v>
      </c>
      <c r="L1313">
        <v>1993</v>
      </c>
      <c r="M1313">
        <v>55625170253</v>
      </c>
      <c r="N1313">
        <v>10338679635</v>
      </c>
      <c r="O1313" t="b">
        <v>1</v>
      </c>
      <c r="P1313">
        <v>1</v>
      </c>
      <c r="Q1313" t="str" cm="1">
        <f t="array" ref="Q1313">_xlfn.IFS(Table1[[#This Row],[Wealthier_Winner]]=-1,"Wealthier Nation Loses",Table1[[#This Row],[Wealthier_Winner]]=0,"Tie",Table1[[#This Row],[Wealthier_Winner]]=1,"Wealthier Nation Wins")</f>
        <v>Wealthier Nation Wins</v>
      </c>
    </row>
    <row r="1314" spans="1:17" x14ac:dyDescent="0.2">
      <c r="A1314" s="1">
        <v>2525</v>
      </c>
      <c r="B1314" s="2">
        <v>34089</v>
      </c>
      <c r="C1314" s="7">
        <f>_xlfn.FLOOR.MATH(Table1[[#This Row],[year]],10)</f>
        <v>1990</v>
      </c>
      <c r="D1314" t="s">
        <v>405</v>
      </c>
      <c r="E1314" t="s">
        <v>51</v>
      </c>
      <c r="F1314">
        <v>1</v>
      </c>
      <c r="G1314">
        <v>4</v>
      </c>
      <c r="H1314" t="s">
        <v>224</v>
      </c>
      <c r="I1314" t="s">
        <v>412</v>
      </c>
      <c r="J1314" t="s">
        <v>39</v>
      </c>
      <c r="K1314" t="b">
        <v>1</v>
      </c>
      <c r="L1314">
        <v>1993</v>
      </c>
      <c r="M1314">
        <v>33166519417</v>
      </c>
      <c r="N1314">
        <v>4536940479038</v>
      </c>
      <c r="O1314" t="b">
        <v>1</v>
      </c>
      <c r="P1314">
        <v>1</v>
      </c>
      <c r="Q1314" t="str" cm="1">
        <f t="array" ref="Q1314">_xlfn.IFS(Table1[[#This Row],[Wealthier_Winner]]=-1,"Wealthier Nation Loses",Table1[[#This Row],[Wealthier_Winner]]=0,"Tie",Table1[[#This Row],[Wealthier_Winner]]=1,"Wealthier Nation Wins")</f>
        <v>Wealthier Nation Wins</v>
      </c>
    </row>
    <row r="1315" spans="1:17" x14ac:dyDescent="0.2">
      <c r="A1315" s="1">
        <v>2526</v>
      </c>
      <c r="B1315" s="2">
        <v>34089</v>
      </c>
      <c r="C1315" s="7">
        <f>_xlfn.FLOOR.MATH(Table1[[#This Row],[year]],10)</f>
        <v>1990</v>
      </c>
      <c r="D1315" t="s">
        <v>328</v>
      </c>
      <c r="E1315" t="s">
        <v>475</v>
      </c>
      <c r="F1315">
        <v>2</v>
      </c>
      <c r="G1315">
        <v>1</v>
      </c>
      <c r="H1315" t="s">
        <v>224</v>
      </c>
      <c r="I1315" t="s">
        <v>359</v>
      </c>
      <c r="J1315" t="s">
        <v>359</v>
      </c>
      <c r="K1315" t="b">
        <v>1</v>
      </c>
      <c r="L1315">
        <v>1993</v>
      </c>
      <c r="M1315">
        <v>158006700301</v>
      </c>
      <c r="N1315">
        <v>13180953598</v>
      </c>
      <c r="O1315" t="b">
        <v>1</v>
      </c>
      <c r="P1315">
        <v>1</v>
      </c>
      <c r="Q1315" t="str" cm="1">
        <f t="array" ref="Q1315">_xlfn.IFS(Table1[[#This Row],[Wealthier_Winner]]=-1,"Wealthier Nation Loses",Table1[[#This Row],[Wealthier_Winner]]=0,"Tie",Table1[[#This Row],[Wealthier_Winner]]=1,"Wealthier Nation Wins")</f>
        <v>Wealthier Nation Wins</v>
      </c>
    </row>
    <row r="1316" spans="1:17" x14ac:dyDescent="0.2">
      <c r="A1316" s="1">
        <v>2527</v>
      </c>
      <c r="B1316" s="2">
        <v>34089</v>
      </c>
      <c r="C1316" s="7">
        <f>_xlfn.FLOOR.MATH(Table1[[#This Row],[year]],10)</f>
        <v>1990</v>
      </c>
      <c r="D1316" t="s">
        <v>359</v>
      </c>
      <c r="E1316" t="s">
        <v>68</v>
      </c>
      <c r="F1316">
        <v>1</v>
      </c>
      <c r="G1316">
        <v>0</v>
      </c>
      <c r="H1316" t="s">
        <v>224</v>
      </c>
      <c r="I1316" t="s">
        <v>359</v>
      </c>
      <c r="J1316" t="s">
        <v>359</v>
      </c>
      <c r="K1316" t="b">
        <v>0</v>
      </c>
      <c r="L1316">
        <v>1993</v>
      </c>
      <c r="M1316">
        <v>60603815716</v>
      </c>
      <c r="N1316">
        <v>7156593653</v>
      </c>
      <c r="O1316" t="b">
        <v>1</v>
      </c>
      <c r="P1316">
        <v>1</v>
      </c>
      <c r="Q1316" t="str" cm="1">
        <f t="array" ref="Q1316">_xlfn.IFS(Table1[[#This Row],[Wealthier_Winner]]=-1,"Wealthier Nation Loses",Table1[[#This Row],[Wealthier_Winner]]=0,"Tie",Table1[[#This Row],[Wealthier_Winner]]=1,"Wealthier Nation Wins")</f>
        <v>Wealthier Nation Wins</v>
      </c>
    </row>
    <row r="1317" spans="1:17" x14ac:dyDescent="0.2">
      <c r="A1317" s="1">
        <v>2528</v>
      </c>
      <c r="B1317" s="2">
        <v>34089</v>
      </c>
      <c r="C1317" s="7">
        <f>_xlfn.FLOOR.MATH(Table1[[#This Row],[year]],10)</f>
        <v>1990</v>
      </c>
      <c r="D1317" t="s">
        <v>39</v>
      </c>
      <c r="E1317" t="s">
        <v>334</v>
      </c>
      <c r="F1317">
        <v>2</v>
      </c>
      <c r="G1317">
        <v>1</v>
      </c>
      <c r="H1317" t="s">
        <v>224</v>
      </c>
      <c r="I1317" t="s">
        <v>478</v>
      </c>
      <c r="J1317" t="s">
        <v>39</v>
      </c>
      <c r="K1317" t="b">
        <v>0</v>
      </c>
      <c r="L1317">
        <v>1993</v>
      </c>
      <c r="M1317">
        <v>55625170253</v>
      </c>
      <c r="N1317">
        <v>128889262951</v>
      </c>
      <c r="O1317" t="b">
        <v>1</v>
      </c>
      <c r="P1317">
        <v>-1</v>
      </c>
      <c r="Q1317" t="str" cm="1">
        <f t="array" ref="Q1317">_xlfn.IFS(Table1[[#This Row],[Wealthier_Winner]]=-1,"Wealthier Nation Loses",Table1[[#This Row],[Wealthier_Winner]]=0,"Tie",Table1[[#This Row],[Wealthier_Winner]]=1,"Wealthier Nation Wins")</f>
        <v>Wealthier Nation Loses</v>
      </c>
    </row>
    <row r="1318" spans="1:17" x14ac:dyDescent="0.2">
      <c r="A1318" s="1">
        <v>2530</v>
      </c>
      <c r="B1318" s="2">
        <v>34090</v>
      </c>
      <c r="C1318" s="7">
        <f>_xlfn.FLOOR.MATH(Table1[[#This Row],[year]],10)</f>
        <v>1990</v>
      </c>
      <c r="D1318" t="s">
        <v>333</v>
      </c>
      <c r="E1318" t="s">
        <v>71</v>
      </c>
      <c r="F1318">
        <v>1</v>
      </c>
      <c r="G1318">
        <v>1</v>
      </c>
      <c r="H1318" t="s">
        <v>224</v>
      </c>
      <c r="I1318" t="s">
        <v>402</v>
      </c>
      <c r="J1318" t="s">
        <v>333</v>
      </c>
      <c r="K1318" t="b">
        <v>0</v>
      </c>
      <c r="L1318">
        <v>1993</v>
      </c>
      <c r="M1318">
        <v>66894966968</v>
      </c>
      <c r="N1318">
        <v>23941391390</v>
      </c>
      <c r="O1318" t="b">
        <v>1</v>
      </c>
      <c r="P1318">
        <v>0</v>
      </c>
      <c r="Q1318" t="str" cm="1">
        <f t="array" ref="Q1318">_xlfn.IFS(Table1[[#This Row],[Wealthier_Winner]]=-1,"Wealthier Nation Loses",Table1[[#This Row],[Wealthier_Winner]]=0,"Tie",Table1[[#This Row],[Wealthier_Winner]]=1,"Wealthier Nation Wins")</f>
        <v>Tie</v>
      </c>
    </row>
    <row r="1319" spans="1:17" x14ac:dyDescent="0.2">
      <c r="A1319" s="1">
        <v>2531</v>
      </c>
      <c r="B1319" s="2">
        <v>34090</v>
      </c>
      <c r="C1319" s="7">
        <f>_xlfn.FLOOR.MATH(Table1[[#This Row],[year]],10)</f>
        <v>1990</v>
      </c>
      <c r="D1319" t="s">
        <v>46</v>
      </c>
      <c r="E1319" t="s">
        <v>18</v>
      </c>
      <c r="F1319">
        <v>1</v>
      </c>
      <c r="G1319">
        <v>0</v>
      </c>
      <c r="H1319" t="s">
        <v>224</v>
      </c>
      <c r="I1319" t="s">
        <v>249</v>
      </c>
      <c r="J1319" t="s">
        <v>46</v>
      </c>
      <c r="K1319" t="b">
        <v>0</v>
      </c>
      <c r="L1319">
        <v>1993</v>
      </c>
      <c r="M1319">
        <v>272237527070</v>
      </c>
      <c r="N1319">
        <v>1067412587670</v>
      </c>
      <c r="O1319" t="b">
        <v>1</v>
      </c>
      <c r="P1319">
        <v>-1</v>
      </c>
      <c r="Q1319" t="str" cm="1">
        <f t="array" ref="Q1319">_xlfn.IFS(Table1[[#This Row],[Wealthier_Winner]]=-1,"Wealthier Nation Loses",Table1[[#This Row],[Wealthier_Winner]]=0,"Tie",Table1[[#This Row],[Wealthier_Winner]]=1,"Wealthier Nation Wins")</f>
        <v>Wealthier Nation Loses</v>
      </c>
    </row>
    <row r="1320" spans="1:17" x14ac:dyDescent="0.2">
      <c r="A1320" s="1">
        <v>2532</v>
      </c>
      <c r="B1320" s="2">
        <v>34091</v>
      </c>
      <c r="C1320" s="7">
        <f>_xlfn.FLOOR.MATH(Table1[[#This Row],[year]],10)</f>
        <v>1990</v>
      </c>
      <c r="D1320" t="s">
        <v>69</v>
      </c>
      <c r="E1320" t="s">
        <v>34</v>
      </c>
      <c r="F1320">
        <v>1</v>
      </c>
      <c r="G1320">
        <v>2</v>
      </c>
      <c r="H1320" t="s">
        <v>224</v>
      </c>
      <c r="I1320" t="s">
        <v>281</v>
      </c>
      <c r="J1320" t="s">
        <v>69</v>
      </c>
      <c r="K1320" t="b">
        <v>0</v>
      </c>
      <c r="L1320">
        <v>1993</v>
      </c>
      <c r="M1320">
        <v>6680269200</v>
      </c>
      <c r="N1320">
        <v>579053561739</v>
      </c>
      <c r="O1320" t="b">
        <v>1</v>
      </c>
      <c r="P1320">
        <v>1</v>
      </c>
      <c r="Q1320" t="str" cm="1">
        <f t="array" ref="Q1320">_xlfn.IFS(Table1[[#This Row],[Wealthier_Winner]]=-1,"Wealthier Nation Loses",Table1[[#This Row],[Wealthier_Winner]]=0,"Tie",Table1[[#This Row],[Wealthier_Winner]]=1,"Wealthier Nation Wins")</f>
        <v>Wealthier Nation Wins</v>
      </c>
    </row>
    <row r="1321" spans="1:17" x14ac:dyDescent="0.2">
      <c r="A1321" s="1">
        <v>2533</v>
      </c>
      <c r="B1321" s="2">
        <v>34091</v>
      </c>
      <c r="C1321" s="7">
        <f>_xlfn.FLOOR.MATH(Table1[[#This Row],[year]],10)</f>
        <v>1990</v>
      </c>
      <c r="D1321" t="s">
        <v>305</v>
      </c>
      <c r="E1321" t="s">
        <v>298</v>
      </c>
      <c r="F1321">
        <v>3</v>
      </c>
      <c r="G1321">
        <v>0</v>
      </c>
      <c r="H1321" t="s">
        <v>224</v>
      </c>
      <c r="I1321" t="s">
        <v>306</v>
      </c>
      <c r="J1321" t="s">
        <v>305</v>
      </c>
      <c r="K1321" t="b">
        <v>0</v>
      </c>
      <c r="L1321">
        <v>1993</v>
      </c>
      <c r="M1321">
        <v>4781166116</v>
      </c>
      <c r="N1321">
        <v>6567250000</v>
      </c>
      <c r="O1321" t="b">
        <v>0</v>
      </c>
      <c r="P1321">
        <v>-1</v>
      </c>
      <c r="Q1321" t="str" cm="1">
        <f t="array" ref="Q1321">_xlfn.IFS(Table1[[#This Row],[Wealthier_Winner]]=-1,"Wealthier Nation Loses",Table1[[#This Row],[Wealthier_Winner]]=0,"Tie",Table1[[#This Row],[Wealthier_Winner]]=1,"Wealthier Nation Wins")</f>
        <v>Wealthier Nation Loses</v>
      </c>
    </row>
    <row r="1322" spans="1:17" x14ac:dyDescent="0.2">
      <c r="A1322" s="1">
        <v>2534</v>
      </c>
      <c r="B1322" s="2">
        <v>34091</v>
      </c>
      <c r="C1322" s="7">
        <f>_xlfn.FLOOR.MATH(Table1[[#This Row],[year]],10)</f>
        <v>1990</v>
      </c>
      <c r="D1322" t="s">
        <v>65</v>
      </c>
      <c r="E1322" t="s">
        <v>17</v>
      </c>
      <c r="F1322">
        <v>1</v>
      </c>
      <c r="G1322">
        <v>4</v>
      </c>
      <c r="H1322" t="s">
        <v>224</v>
      </c>
      <c r="I1322" t="s">
        <v>228</v>
      </c>
      <c r="J1322" t="s">
        <v>65</v>
      </c>
      <c r="K1322" t="b">
        <v>0</v>
      </c>
      <c r="L1322">
        <v>1993</v>
      </c>
      <c r="M1322">
        <v>4190773622</v>
      </c>
      <c r="N1322">
        <v>530160763662</v>
      </c>
      <c r="O1322" t="b">
        <v>1</v>
      </c>
      <c r="P1322">
        <v>1</v>
      </c>
      <c r="Q1322" t="str" cm="1">
        <f t="array" ref="Q1322">_xlfn.IFS(Table1[[#This Row],[Wealthier_Winner]]=-1,"Wealthier Nation Loses",Table1[[#This Row],[Wealthier_Winner]]=0,"Tie",Table1[[#This Row],[Wealthier_Winner]]=1,"Wealthier Nation Wins")</f>
        <v>Wealthier Nation Wins</v>
      </c>
    </row>
    <row r="1323" spans="1:17" x14ac:dyDescent="0.2">
      <c r="A1323" s="1">
        <v>2537</v>
      </c>
      <c r="B1323" s="2">
        <v>34091</v>
      </c>
      <c r="C1323" s="7">
        <f>_xlfn.FLOOR.MATH(Table1[[#This Row],[year]],10)</f>
        <v>1990</v>
      </c>
      <c r="D1323" t="s">
        <v>359</v>
      </c>
      <c r="E1323" t="s">
        <v>328</v>
      </c>
      <c r="F1323">
        <v>2</v>
      </c>
      <c r="G1323">
        <v>1</v>
      </c>
      <c r="H1323" t="s">
        <v>224</v>
      </c>
      <c r="I1323" t="s">
        <v>359</v>
      </c>
      <c r="J1323" t="s">
        <v>359</v>
      </c>
      <c r="K1323" t="b">
        <v>0</v>
      </c>
      <c r="L1323">
        <v>1993</v>
      </c>
      <c r="M1323">
        <v>60603815716</v>
      </c>
      <c r="N1323">
        <v>158006700301</v>
      </c>
      <c r="O1323" t="b">
        <v>1</v>
      </c>
      <c r="P1323">
        <v>-1</v>
      </c>
      <c r="Q1323" t="str" cm="1">
        <f t="array" ref="Q1323">_xlfn.IFS(Table1[[#This Row],[Wealthier_Winner]]=-1,"Wealthier Nation Loses",Table1[[#This Row],[Wealthier_Winner]]=0,"Tie",Table1[[#This Row],[Wealthier_Winner]]=1,"Wealthier Nation Wins")</f>
        <v>Wealthier Nation Loses</v>
      </c>
    </row>
    <row r="1324" spans="1:17" x14ac:dyDescent="0.2">
      <c r="A1324" s="1">
        <v>2539</v>
      </c>
      <c r="B1324" s="2">
        <v>34092</v>
      </c>
      <c r="C1324" s="7">
        <f>_xlfn.FLOOR.MATH(Table1[[#This Row],[year]],10)</f>
        <v>1990</v>
      </c>
      <c r="D1324" t="s">
        <v>333</v>
      </c>
      <c r="E1324" t="s">
        <v>45</v>
      </c>
      <c r="F1324">
        <v>1</v>
      </c>
      <c r="G1324">
        <v>1</v>
      </c>
      <c r="H1324" t="s">
        <v>224</v>
      </c>
      <c r="I1324" t="s">
        <v>402</v>
      </c>
      <c r="J1324" t="s">
        <v>333</v>
      </c>
      <c r="K1324" t="b">
        <v>0</v>
      </c>
      <c r="L1324">
        <v>1993</v>
      </c>
      <c r="M1324">
        <v>66894966968</v>
      </c>
      <c r="N1324">
        <v>132967957276</v>
      </c>
      <c r="O1324" t="b">
        <v>0</v>
      </c>
      <c r="P1324">
        <v>0</v>
      </c>
      <c r="Q1324" t="str" cm="1">
        <f t="array" ref="Q1324">_xlfn.IFS(Table1[[#This Row],[Wealthier_Winner]]=-1,"Wealthier Nation Loses",Table1[[#This Row],[Wealthier_Winner]]=0,"Tie",Table1[[#This Row],[Wealthier_Winner]]=1,"Wealthier Nation Wins")</f>
        <v>Tie</v>
      </c>
    </row>
    <row r="1325" spans="1:17" x14ac:dyDescent="0.2">
      <c r="A1325" s="1">
        <v>2540</v>
      </c>
      <c r="B1325" s="2">
        <v>34092</v>
      </c>
      <c r="C1325" s="7">
        <f>_xlfn.FLOOR.MATH(Table1[[#This Row],[year]],10)</f>
        <v>1990</v>
      </c>
      <c r="D1325" t="s">
        <v>473</v>
      </c>
      <c r="E1325" t="s">
        <v>334</v>
      </c>
      <c r="F1325">
        <v>0</v>
      </c>
      <c r="G1325">
        <v>3</v>
      </c>
      <c r="H1325" t="s">
        <v>224</v>
      </c>
      <c r="I1325" t="s">
        <v>412</v>
      </c>
      <c r="J1325" t="s">
        <v>39</v>
      </c>
      <c r="K1325" t="b">
        <v>1</v>
      </c>
      <c r="L1325">
        <v>1993</v>
      </c>
      <c r="M1325">
        <v>10338679635</v>
      </c>
      <c r="N1325">
        <v>128889262951</v>
      </c>
      <c r="O1325" t="b">
        <v>1</v>
      </c>
      <c r="P1325">
        <v>1</v>
      </c>
      <c r="Q1325" t="str" cm="1">
        <f t="array" ref="Q1325">_xlfn.IFS(Table1[[#This Row],[Wealthier_Winner]]=-1,"Wealthier Nation Loses",Table1[[#This Row],[Wealthier_Winner]]=0,"Tie",Table1[[#This Row],[Wealthier_Winner]]=1,"Wealthier Nation Wins")</f>
        <v>Wealthier Nation Wins</v>
      </c>
    </row>
    <row r="1326" spans="1:17" x14ac:dyDescent="0.2">
      <c r="A1326" s="1">
        <v>2541</v>
      </c>
      <c r="B1326" s="2">
        <v>34092</v>
      </c>
      <c r="C1326" s="7">
        <f>_xlfn.FLOOR.MATH(Table1[[#This Row],[year]],10)</f>
        <v>1990</v>
      </c>
      <c r="D1326" t="s">
        <v>39</v>
      </c>
      <c r="E1326" t="s">
        <v>405</v>
      </c>
      <c r="F1326">
        <v>7</v>
      </c>
      <c r="G1326">
        <v>0</v>
      </c>
      <c r="H1326" t="s">
        <v>224</v>
      </c>
      <c r="I1326" t="s">
        <v>478</v>
      </c>
      <c r="J1326" t="s">
        <v>39</v>
      </c>
      <c r="K1326" t="b">
        <v>0</v>
      </c>
      <c r="L1326">
        <v>1993</v>
      </c>
      <c r="M1326">
        <v>55625170253</v>
      </c>
      <c r="N1326">
        <v>33166519417</v>
      </c>
      <c r="O1326" t="b">
        <v>0</v>
      </c>
      <c r="P1326">
        <v>1</v>
      </c>
      <c r="Q1326" t="str" cm="1">
        <f t="array" ref="Q1326">_xlfn.IFS(Table1[[#This Row],[Wealthier_Winner]]=-1,"Wealthier Nation Loses",Table1[[#This Row],[Wealthier_Winner]]=0,"Tie",Table1[[#This Row],[Wealthier_Winner]]=1,"Wealthier Nation Wins")</f>
        <v>Wealthier Nation Wins</v>
      </c>
    </row>
    <row r="1327" spans="1:17" x14ac:dyDescent="0.2">
      <c r="A1327" s="1">
        <v>2542</v>
      </c>
      <c r="B1327" s="2">
        <v>34094</v>
      </c>
      <c r="C1327" s="7">
        <f>_xlfn.FLOOR.MATH(Table1[[#This Row],[year]],10)</f>
        <v>1990</v>
      </c>
      <c r="D1327" t="s">
        <v>405</v>
      </c>
      <c r="E1327" t="s">
        <v>334</v>
      </c>
      <c r="F1327">
        <v>1</v>
      </c>
      <c r="G1327">
        <v>4</v>
      </c>
      <c r="H1327" t="s">
        <v>224</v>
      </c>
      <c r="I1327" t="s">
        <v>412</v>
      </c>
      <c r="J1327" t="s">
        <v>39</v>
      </c>
      <c r="K1327" t="b">
        <v>1</v>
      </c>
      <c r="L1327">
        <v>1993</v>
      </c>
      <c r="M1327">
        <v>33166519417</v>
      </c>
      <c r="N1327">
        <v>128889262951</v>
      </c>
      <c r="O1327" t="b">
        <v>1</v>
      </c>
      <c r="P1327">
        <v>1</v>
      </c>
      <c r="Q1327" t="str" cm="1">
        <f t="array" ref="Q1327">_xlfn.IFS(Table1[[#This Row],[Wealthier_Winner]]=-1,"Wealthier Nation Loses",Table1[[#This Row],[Wealthier_Winner]]=0,"Tie",Table1[[#This Row],[Wealthier_Winner]]=1,"Wealthier Nation Wins")</f>
        <v>Wealthier Nation Wins</v>
      </c>
    </row>
    <row r="1328" spans="1:17" x14ac:dyDescent="0.2">
      <c r="A1328" s="1">
        <v>2543</v>
      </c>
      <c r="B1328" s="2">
        <v>34094</v>
      </c>
      <c r="C1328" s="7">
        <f>_xlfn.FLOOR.MATH(Table1[[#This Row],[year]],10)</f>
        <v>1990</v>
      </c>
      <c r="D1328" t="s">
        <v>71</v>
      </c>
      <c r="E1328" t="s">
        <v>45</v>
      </c>
      <c r="F1328">
        <v>0</v>
      </c>
      <c r="G1328">
        <v>0</v>
      </c>
      <c r="H1328" t="s">
        <v>224</v>
      </c>
      <c r="I1328" t="s">
        <v>402</v>
      </c>
      <c r="J1328" t="s">
        <v>333</v>
      </c>
      <c r="K1328" t="b">
        <v>1</v>
      </c>
      <c r="L1328">
        <v>1993</v>
      </c>
      <c r="M1328">
        <v>23941391390</v>
      </c>
      <c r="N1328">
        <v>132967957276</v>
      </c>
      <c r="O1328" t="b">
        <v>1</v>
      </c>
      <c r="P1328">
        <v>0</v>
      </c>
      <c r="Q1328" t="str" cm="1">
        <f t="array" ref="Q1328">_xlfn.IFS(Table1[[#This Row],[Wealthier_Winner]]=-1,"Wealthier Nation Loses",Table1[[#This Row],[Wealthier_Winner]]=0,"Tie",Table1[[#This Row],[Wealthier_Winner]]=1,"Wealthier Nation Wins")</f>
        <v>Tie</v>
      </c>
    </row>
    <row r="1329" spans="1:17" x14ac:dyDescent="0.2">
      <c r="A1329" s="1">
        <v>2545</v>
      </c>
      <c r="B1329" s="2">
        <v>34094</v>
      </c>
      <c r="C1329" s="7">
        <f>_xlfn.FLOOR.MATH(Table1[[#This Row],[year]],10)</f>
        <v>1990</v>
      </c>
      <c r="D1329" t="s">
        <v>473</v>
      </c>
      <c r="E1329" t="s">
        <v>51</v>
      </c>
      <c r="F1329">
        <v>0</v>
      </c>
      <c r="G1329">
        <v>6</v>
      </c>
      <c r="H1329" t="s">
        <v>224</v>
      </c>
      <c r="I1329" t="s">
        <v>412</v>
      </c>
      <c r="J1329" t="s">
        <v>39</v>
      </c>
      <c r="K1329" t="b">
        <v>1</v>
      </c>
      <c r="L1329">
        <v>1993</v>
      </c>
      <c r="M1329">
        <v>10338679635</v>
      </c>
      <c r="N1329">
        <v>4536940479038</v>
      </c>
      <c r="O1329" t="b">
        <v>1</v>
      </c>
      <c r="P1329">
        <v>1</v>
      </c>
      <c r="Q1329" t="str" cm="1">
        <f t="array" ref="Q1329">_xlfn.IFS(Table1[[#This Row],[Wealthier_Winner]]=-1,"Wealthier Nation Loses",Table1[[#This Row],[Wealthier_Winner]]=0,"Tie",Table1[[#This Row],[Wealthier_Winner]]=1,"Wealthier Nation Wins")</f>
        <v>Wealthier Nation Wins</v>
      </c>
    </row>
    <row r="1330" spans="1:17" x14ac:dyDescent="0.2">
      <c r="A1330" s="1">
        <v>2546</v>
      </c>
      <c r="B1330" s="2">
        <v>34096</v>
      </c>
      <c r="C1330" s="7">
        <f>_xlfn.FLOOR.MATH(Table1[[#This Row],[year]],10)</f>
        <v>1990</v>
      </c>
      <c r="D1330" t="s">
        <v>405</v>
      </c>
      <c r="E1330" t="s">
        <v>473</v>
      </c>
      <c r="F1330">
        <v>3</v>
      </c>
      <c r="G1330">
        <v>0</v>
      </c>
      <c r="H1330" t="s">
        <v>224</v>
      </c>
      <c r="I1330" t="s">
        <v>412</v>
      </c>
      <c r="J1330" t="s">
        <v>39</v>
      </c>
      <c r="K1330" t="b">
        <v>1</v>
      </c>
      <c r="L1330">
        <v>1993</v>
      </c>
      <c r="M1330">
        <v>33166519417</v>
      </c>
      <c r="N1330">
        <v>10338679635</v>
      </c>
      <c r="O1330" t="b">
        <v>1</v>
      </c>
      <c r="P1330">
        <v>1</v>
      </c>
      <c r="Q1330" t="str" cm="1">
        <f t="array" ref="Q1330">_xlfn.IFS(Table1[[#This Row],[Wealthier_Winner]]=-1,"Wealthier Nation Loses",Table1[[#This Row],[Wealthier_Winner]]=0,"Tie",Table1[[#This Row],[Wealthier_Winner]]=1,"Wealthier Nation Wins")</f>
        <v>Wealthier Nation Wins</v>
      </c>
    </row>
    <row r="1331" spans="1:17" x14ac:dyDescent="0.2">
      <c r="A1331" s="1">
        <v>2548</v>
      </c>
      <c r="B1331" s="2">
        <v>34096</v>
      </c>
      <c r="C1331" s="7">
        <f>_xlfn.FLOOR.MATH(Table1[[#This Row],[year]],10)</f>
        <v>1990</v>
      </c>
      <c r="D1331" t="s">
        <v>479</v>
      </c>
      <c r="E1331" t="s">
        <v>406</v>
      </c>
      <c r="F1331">
        <v>2</v>
      </c>
      <c r="G1331">
        <v>2</v>
      </c>
      <c r="H1331" t="s">
        <v>224</v>
      </c>
      <c r="I1331" t="s">
        <v>480</v>
      </c>
      <c r="J1331" t="s">
        <v>479</v>
      </c>
      <c r="K1331" t="b">
        <v>0</v>
      </c>
      <c r="L1331">
        <v>1993</v>
      </c>
      <c r="M1331">
        <v>7941744492</v>
      </c>
      <c r="N1331">
        <v>279295648982</v>
      </c>
      <c r="O1331" t="b">
        <v>1</v>
      </c>
      <c r="P1331">
        <v>0</v>
      </c>
      <c r="Q1331" t="str" cm="1">
        <f t="array" ref="Q1331">_xlfn.IFS(Table1[[#This Row],[Wealthier_Winner]]=-1,"Wealthier Nation Loses",Table1[[#This Row],[Wealthier_Winner]]=0,"Tie",Table1[[#This Row],[Wealthier_Winner]]=1,"Wealthier Nation Wins")</f>
        <v>Tie</v>
      </c>
    </row>
    <row r="1332" spans="1:17" x14ac:dyDescent="0.2">
      <c r="A1332" s="1">
        <v>2549</v>
      </c>
      <c r="B1332" s="2">
        <v>34096</v>
      </c>
      <c r="C1332" s="7">
        <f>_xlfn.FLOOR.MATH(Table1[[#This Row],[year]],10)</f>
        <v>1990</v>
      </c>
      <c r="D1332" t="s">
        <v>39</v>
      </c>
      <c r="E1332" t="s">
        <v>51</v>
      </c>
      <c r="F1332">
        <v>1</v>
      </c>
      <c r="G1332">
        <v>1</v>
      </c>
      <c r="H1332" t="s">
        <v>224</v>
      </c>
      <c r="I1332" t="s">
        <v>478</v>
      </c>
      <c r="J1332" t="s">
        <v>39</v>
      </c>
      <c r="K1332" t="b">
        <v>0</v>
      </c>
      <c r="L1332">
        <v>1993</v>
      </c>
      <c r="M1332">
        <v>55625170253</v>
      </c>
      <c r="N1332">
        <v>4536940479038</v>
      </c>
      <c r="O1332" t="b">
        <v>1</v>
      </c>
      <c r="P1332">
        <v>0</v>
      </c>
      <c r="Q1332" t="str" cm="1">
        <f t="array" ref="Q1332">_xlfn.IFS(Table1[[#This Row],[Wealthier_Winner]]=-1,"Wealthier Nation Loses",Table1[[#This Row],[Wealthier_Winner]]=0,"Tie",Table1[[#This Row],[Wealthier_Winner]]=1,"Wealthier Nation Wins")</f>
        <v>Tie</v>
      </c>
    </row>
    <row r="1333" spans="1:17" x14ac:dyDescent="0.2">
      <c r="A1333" s="1">
        <v>2550</v>
      </c>
      <c r="B1333" s="2">
        <v>34098</v>
      </c>
      <c r="C1333" s="7">
        <f>_xlfn.FLOOR.MATH(Table1[[#This Row],[year]],10)</f>
        <v>1990</v>
      </c>
      <c r="D1333" t="s">
        <v>361</v>
      </c>
      <c r="E1333" t="s">
        <v>195</v>
      </c>
      <c r="F1333">
        <v>0</v>
      </c>
      <c r="G1333">
        <v>0</v>
      </c>
      <c r="H1333" t="s">
        <v>224</v>
      </c>
      <c r="I1333" t="s">
        <v>480</v>
      </c>
      <c r="J1333" t="s">
        <v>479</v>
      </c>
      <c r="K1333" t="b">
        <v>1</v>
      </c>
      <c r="L1333">
        <v>1993</v>
      </c>
      <c r="M1333">
        <v>5913001063</v>
      </c>
      <c r="N1333">
        <v>405705302846</v>
      </c>
      <c r="O1333" t="b">
        <v>1</v>
      </c>
      <c r="P1333">
        <v>0</v>
      </c>
      <c r="Q1333" t="str" cm="1">
        <f t="array" ref="Q1333">_xlfn.IFS(Table1[[#This Row],[Wealthier_Winner]]=-1,"Wealthier Nation Loses",Table1[[#This Row],[Wealthier_Winner]]=0,"Tie",Table1[[#This Row],[Wealthier_Winner]]=1,"Wealthier Nation Wins")</f>
        <v>Tie</v>
      </c>
    </row>
    <row r="1334" spans="1:17" x14ac:dyDescent="0.2">
      <c r="A1334" s="1">
        <v>2551</v>
      </c>
      <c r="B1334" s="2">
        <v>34098</v>
      </c>
      <c r="C1334" s="7">
        <f>_xlfn.FLOOR.MATH(Table1[[#This Row],[year]],10)</f>
        <v>1990</v>
      </c>
      <c r="D1334" t="s">
        <v>34</v>
      </c>
      <c r="E1334" t="s">
        <v>17</v>
      </c>
      <c r="F1334">
        <v>1</v>
      </c>
      <c r="G1334">
        <v>2</v>
      </c>
      <c r="H1334" t="s">
        <v>224</v>
      </c>
      <c r="I1334" t="s">
        <v>267</v>
      </c>
      <c r="J1334" t="s">
        <v>34</v>
      </c>
      <c r="K1334" t="b">
        <v>0</v>
      </c>
      <c r="L1334">
        <v>1993</v>
      </c>
      <c r="M1334">
        <v>579053561739</v>
      </c>
      <c r="N1334">
        <v>530160763662</v>
      </c>
      <c r="O1334" t="b">
        <v>0</v>
      </c>
      <c r="P1334">
        <v>-1</v>
      </c>
      <c r="Q1334" t="str" cm="1">
        <f t="array" ref="Q1334">_xlfn.IFS(Table1[[#This Row],[Wealthier_Winner]]=-1,"Wealthier Nation Loses",Table1[[#This Row],[Wealthier_Winner]]=0,"Tie",Table1[[#This Row],[Wealthier_Winner]]=1,"Wealthier Nation Wins")</f>
        <v>Wealthier Nation Loses</v>
      </c>
    </row>
    <row r="1335" spans="1:17" x14ac:dyDescent="0.2">
      <c r="A1335" s="1">
        <v>2552</v>
      </c>
      <c r="B1335" s="2">
        <v>34098</v>
      </c>
      <c r="C1335" s="7">
        <f>_xlfn.FLOOR.MATH(Table1[[#This Row],[year]],10)</f>
        <v>1990</v>
      </c>
      <c r="D1335" t="s">
        <v>69</v>
      </c>
      <c r="E1335" t="s">
        <v>65</v>
      </c>
      <c r="F1335">
        <v>2</v>
      </c>
      <c r="G1335">
        <v>1</v>
      </c>
      <c r="H1335" t="s">
        <v>224</v>
      </c>
      <c r="I1335" t="s">
        <v>281</v>
      </c>
      <c r="J1335" t="s">
        <v>69</v>
      </c>
      <c r="K1335" t="b">
        <v>0</v>
      </c>
      <c r="L1335">
        <v>1993</v>
      </c>
      <c r="M1335">
        <v>6680269200</v>
      </c>
      <c r="N1335">
        <v>4190773622</v>
      </c>
      <c r="O1335" t="b">
        <v>0</v>
      </c>
      <c r="P1335">
        <v>1</v>
      </c>
      <c r="Q1335" t="str" cm="1">
        <f t="array" ref="Q1335">_xlfn.IFS(Table1[[#This Row],[Wealthier_Winner]]=-1,"Wealthier Nation Loses",Table1[[#This Row],[Wealthier_Winner]]=0,"Tie",Table1[[#This Row],[Wealthier_Winner]]=1,"Wealthier Nation Wins")</f>
        <v>Wealthier Nation Wins</v>
      </c>
    </row>
    <row r="1336" spans="1:17" x14ac:dyDescent="0.2">
      <c r="A1336" s="1">
        <v>2555</v>
      </c>
      <c r="B1336" s="2">
        <v>34100</v>
      </c>
      <c r="C1336" s="7">
        <f>_xlfn.FLOOR.MATH(Table1[[#This Row],[year]],10)</f>
        <v>1990</v>
      </c>
      <c r="D1336" t="s">
        <v>479</v>
      </c>
      <c r="E1336" t="s">
        <v>195</v>
      </c>
      <c r="F1336">
        <v>0</v>
      </c>
      <c r="G1336">
        <v>1</v>
      </c>
      <c r="H1336" t="s">
        <v>224</v>
      </c>
      <c r="I1336" t="s">
        <v>480</v>
      </c>
      <c r="J1336" t="s">
        <v>479</v>
      </c>
      <c r="K1336" t="b">
        <v>0</v>
      </c>
      <c r="L1336">
        <v>1993</v>
      </c>
      <c r="M1336">
        <v>7941744492</v>
      </c>
      <c r="N1336">
        <v>405705302846</v>
      </c>
      <c r="O1336" t="b">
        <v>1</v>
      </c>
      <c r="P1336">
        <v>1</v>
      </c>
      <c r="Q1336" t="str" cm="1">
        <f t="array" ref="Q1336">_xlfn.IFS(Table1[[#This Row],[Wealthier_Winner]]=-1,"Wealthier Nation Loses",Table1[[#This Row],[Wealthier_Winner]]=0,"Tie",Table1[[#This Row],[Wealthier_Winner]]=1,"Wealthier Nation Wins")</f>
        <v>Wealthier Nation Wins</v>
      </c>
    </row>
    <row r="1337" spans="1:17" x14ac:dyDescent="0.2">
      <c r="A1337" s="1">
        <v>2556</v>
      </c>
      <c r="B1337" s="2">
        <v>34101</v>
      </c>
      <c r="C1337" s="7">
        <f>_xlfn.FLOOR.MATH(Table1[[#This Row],[year]],10)</f>
        <v>1990</v>
      </c>
      <c r="D1337" t="s">
        <v>33</v>
      </c>
      <c r="E1337" t="s">
        <v>22</v>
      </c>
      <c r="F1337">
        <v>2</v>
      </c>
      <c r="G1337">
        <v>2</v>
      </c>
      <c r="H1337" t="s">
        <v>224</v>
      </c>
      <c r="I1337" t="s">
        <v>375</v>
      </c>
      <c r="J1337" t="s">
        <v>33</v>
      </c>
      <c r="K1337" t="b">
        <v>0</v>
      </c>
      <c r="L1337">
        <v>1993</v>
      </c>
      <c r="M1337">
        <v>10832064941</v>
      </c>
      <c r="N1337">
        <v>79855877174</v>
      </c>
      <c r="O1337" t="b">
        <v>1</v>
      </c>
      <c r="P1337">
        <v>0</v>
      </c>
      <c r="Q1337" t="str" cm="1">
        <f t="array" ref="Q1337">_xlfn.IFS(Table1[[#This Row],[Wealthier_Winner]]=-1,"Wealthier Nation Loses",Table1[[#This Row],[Wealthier_Winner]]=0,"Tie",Table1[[#This Row],[Wealthier_Winner]]=1,"Wealthier Nation Wins")</f>
        <v>Tie</v>
      </c>
    </row>
    <row r="1338" spans="1:17" x14ac:dyDescent="0.2">
      <c r="A1338" s="1">
        <v>2557</v>
      </c>
      <c r="B1338" s="2">
        <v>34101</v>
      </c>
      <c r="C1338" s="7">
        <f>_xlfn.FLOOR.MATH(Table1[[#This Row],[year]],10)</f>
        <v>1990</v>
      </c>
      <c r="D1338" t="s">
        <v>476</v>
      </c>
      <c r="E1338" t="s">
        <v>303</v>
      </c>
      <c r="F1338">
        <v>0</v>
      </c>
      <c r="G1338">
        <v>1</v>
      </c>
      <c r="H1338" t="s">
        <v>224</v>
      </c>
      <c r="I1338" t="s">
        <v>481</v>
      </c>
      <c r="J1338" t="s">
        <v>476</v>
      </c>
      <c r="K1338" t="b">
        <v>0</v>
      </c>
      <c r="L1338">
        <v>1993</v>
      </c>
      <c r="M1338">
        <v>4013091682</v>
      </c>
      <c r="N1338">
        <v>2709193538</v>
      </c>
      <c r="O1338" t="b">
        <v>0</v>
      </c>
      <c r="P1338">
        <v>-1</v>
      </c>
      <c r="Q1338" t="str" cm="1">
        <f t="array" ref="Q1338">_xlfn.IFS(Table1[[#This Row],[Wealthier_Winner]]=-1,"Wealthier Nation Loses",Table1[[#This Row],[Wealthier_Winner]]=0,"Tie",Table1[[#This Row],[Wealthier_Winner]]=1,"Wealthier Nation Wins")</f>
        <v>Wealthier Nation Loses</v>
      </c>
    </row>
    <row r="1339" spans="1:17" x14ac:dyDescent="0.2">
      <c r="A1339" s="1">
        <v>2558</v>
      </c>
      <c r="B1339" s="2">
        <v>34102</v>
      </c>
      <c r="C1339" s="7">
        <f>_xlfn.FLOOR.MATH(Table1[[#This Row],[year]],10)</f>
        <v>1990</v>
      </c>
      <c r="D1339" t="s">
        <v>230</v>
      </c>
      <c r="E1339" t="s">
        <v>29</v>
      </c>
      <c r="F1339">
        <v>3</v>
      </c>
      <c r="G1339">
        <v>1</v>
      </c>
      <c r="H1339" t="s">
        <v>224</v>
      </c>
      <c r="I1339" t="s">
        <v>482</v>
      </c>
      <c r="J1339" t="s">
        <v>230</v>
      </c>
      <c r="K1339" t="b">
        <v>0</v>
      </c>
      <c r="L1339">
        <v>1993</v>
      </c>
      <c r="M1339">
        <v>89112105756</v>
      </c>
      <c r="N1339">
        <v>189634029338</v>
      </c>
      <c r="O1339" t="b">
        <v>1</v>
      </c>
      <c r="P1339">
        <v>-1</v>
      </c>
      <c r="Q1339" t="str" cm="1">
        <f t="array" ref="Q1339">_xlfn.IFS(Table1[[#This Row],[Wealthier_Winner]]=-1,"Wealthier Nation Loses",Table1[[#This Row],[Wealthier_Winner]]=0,"Tie",Table1[[#This Row],[Wealthier_Winner]]=1,"Wealthier Nation Wins")</f>
        <v>Wealthier Nation Loses</v>
      </c>
    </row>
    <row r="1340" spans="1:17" x14ac:dyDescent="0.2">
      <c r="A1340" s="1">
        <v>2559</v>
      </c>
      <c r="B1340" s="2">
        <v>34102</v>
      </c>
      <c r="C1340" s="7">
        <f>_xlfn.FLOOR.MATH(Table1[[#This Row],[year]],10)</f>
        <v>1990</v>
      </c>
      <c r="D1340" t="s">
        <v>406</v>
      </c>
      <c r="E1340" t="s">
        <v>195</v>
      </c>
      <c r="F1340">
        <v>0</v>
      </c>
      <c r="G1340">
        <v>3</v>
      </c>
      <c r="H1340" t="s">
        <v>224</v>
      </c>
      <c r="I1340" t="s">
        <v>480</v>
      </c>
      <c r="J1340" t="s">
        <v>479</v>
      </c>
      <c r="K1340" t="b">
        <v>1</v>
      </c>
      <c r="L1340">
        <v>1993</v>
      </c>
      <c r="M1340">
        <v>279295648982</v>
      </c>
      <c r="N1340">
        <v>405705302846</v>
      </c>
      <c r="O1340" t="b">
        <v>0</v>
      </c>
      <c r="P1340">
        <v>1</v>
      </c>
      <c r="Q1340" t="str" cm="1">
        <f t="array" ref="Q1340">_xlfn.IFS(Table1[[#This Row],[Wealthier_Winner]]=-1,"Wealthier Nation Loses",Table1[[#This Row],[Wealthier_Winner]]=0,"Tie",Table1[[#This Row],[Wealthier_Winner]]=1,"Wealthier Nation Wins")</f>
        <v>Wealthier Nation Wins</v>
      </c>
    </row>
    <row r="1341" spans="1:17" x14ac:dyDescent="0.2">
      <c r="A1341" s="1">
        <v>2560</v>
      </c>
      <c r="B1341" s="2">
        <v>34102</v>
      </c>
      <c r="C1341" s="7">
        <f>_xlfn.FLOOR.MATH(Table1[[#This Row],[year]],10)</f>
        <v>1990</v>
      </c>
      <c r="D1341" t="s">
        <v>479</v>
      </c>
      <c r="E1341" t="s">
        <v>361</v>
      </c>
      <c r="F1341">
        <v>0</v>
      </c>
      <c r="G1341">
        <v>0</v>
      </c>
      <c r="H1341" t="s">
        <v>224</v>
      </c>
      <c r="I1341" t="s">
        <v>480</v>
      </c>
      <c r="J1341" t="s">
        <v>479</v>
      </c>
      <c r="K1341" t="b">
        <v>0</v>
      </c>
      <c r="L1341">
        <v>1993</v>
      </c>
      <c r="M1341">
        <v>7941744492</v>
      </c>
      <c r="N1341">
        <v>5913001063</v>
      </c>
      <c r="O1341" t="b">
        <v>0</v>
      </c>
      <c r="P1341">
        <v>0</v>
      </c>
      <c r="Q1341" t="str" cm="1">
        <f t="array" ref="Q1341">_xlfn.IFS(Table1[[#This Row],[Wealthier_Winner]]=-1,"Wealthier Nation Loses",Table1[[#This Row],[Wealthier_Winner]]=0,"Tie",Table1[[#This Row],[Wealthier_Winner]]=1,"Wealthier Nation Wins")</f>
        <v>Tie</v>
      </c>
    </row>
    <row r="1342" spans="1:17" x14ac:dyDescent="0.2">
      <c r="A1342" s="1">
        <v>2561</v>
      </c>
      <c r="B1342" s="2">
        <v>34103</v>
      </c>
      <c r="C1342" s="7">
        <f>_xlfn.FLOOR.MATH(Table1[[#This Row],[year]],10)</f>
        <v>1990</v>
      </c>
      <c r="D1342" t="s">
        <v>71</v>
      </c>
      <c r="E1342" t="s">
        <v>333</v>
      </c>
      <c r="F1342">
        <v>2</v>
      </c>
      <c r="G1342">
        <v>0</v>
      </c>
      <c r="H1342" t="s">
        <v>224</v>
      </c>
      <c r="I1342" t="s">
        <v>420</v>
      </c>
      <c r="J1342" t="s">
        <v>45</v>
      </c>
      <c r="K1342" t="b">
        <v>1</v>
      </c>
      <c r="L1342">
        <v>1993</v>
      </c>
      <c r="M1342">
        <v>23941391390</v>
      </c>
      <c r="N1342">
        <v>66894966968</v>
      </c>
      <c r="O1342" t="b">
        <v>1</v>
      </c>
      <c r="P1342">
        <v>-1</v>
      </c>
      <c r="Q1342" t="str" cm="1">
        <f t="array" ref="Q1342">_xlfn.IFS(Table1[[#This Row],[Wealthier_Winner]]=-1,"Wealthier Nation Loses",Table1[[#This Row],[Wealthier_Winner]]=0,"Tie",Table1[[#This Row],[Wealthier_Winner]]=1,"Wealthier Nation Wins")</f>
        <v>Wealthier Nation Loses</v>
      </c>
    </row>
    <row r="1343" spans="1:17" x14ac:dyDescent="0.2">
      <c r="A1343" s="1">
        <v>2563</v>
      </c>
      <c r="B1343" s="2">
        <v>34104</v>
      </c>
      <c r="C1343" s="7">
        <f>_xlfn.FLOOR.MATH(Table1[[#This Row],[year]],10)</f>
        <v>1990</v>
      </c>
      <c r="D1343" t="s">
        <v>361</v>
      </c>
      <c r="E1343" t="s">
        <v>406</v>
      </c>
      <c r="F1343">
        <v>2</v>
      </c>
      <c r="G1343">
        <v>1</v>
      </c>
      <c r="H1343" t="s">
        <v>224</v>
      </c>
      <c r="I1343" t="s">
        <v>480</v>
      </c>
      <c r="J1343" t="s">
        <v>479</v>
      </c>
      <c r="K1343" t="b">
        <v>1</v>
      </c>
      <c r="L1343">
        <v>1993</v>
      </c>
      <c r="M1343">
        <v>5913001063</v>
      </c>
      <c r="N1343">
        <v>279295648982</v>
      </c>
      <c r="O1343" t="b">
        <v>1</v>
      </c>
      <c r="P1343">
        <v>-1</v>
      </c>
      <c r="Q1343" t="str" cm="1">
        <f t="array" ref="Q1343">_xlfn.IFS(Table1[[#This Row],[Wealthier_Winner]]=-1,"Wealthier Nation Loses",Table1[[#This Row],[Wealthier_Winner]]=0,"Tie",Table1[[#This Row],[Wealthier_Winner]]=1,"Wealthier Nation Wins")</f>
        <v>Wealthier Nation Loses</v>
      </c>
    </row>
    <row r="1344" spans="1:17" x14ac:dyDescent="0.2">
      <c r="A1344" s="1">
        <v>2567</v>
      </c>
      <c r="B1344" s="2">
        <v>34105</v>
      </c>
      <c r="C1344" s="7">
        <f>_xlfn.FLOOR.MATH(Table1[[#This Row],[year]],10)</f>
        <v>1990</v>
      </c>
      <c r="D1344" t="s">
        <v>45</v>
      </c>
      <c r="E1344" t="s">
        <v>333</v>
      </c>
      <c r="F1344">
        <v>3</v>
      </c>
      <c r="G1344">
        <v>0</v>
      </c>
      <c r="H1344" t="s">
        <v>224</v>
      </c>
      <c r="I1344" t="s">
        <v>420</v>
      </c>
      <c r="J1344" t="s">
        <v>45</v>
      </c>
      <c r="K1344" t="b">
        <v>0</v>
      </c>
      <c r="L1344">
        <v>1993</v>
      </c>
      <c r="M1344">
        <v>132967957276</v>
      </c>
      <c r="N1344">
        <v>66894966968</v>
      </c>
      <c r="O1344" t="b">
        <v>0</v>
      </c>
      <c r="P1344">
        <v>1</v>
      </c>
      <c r="Q1344" t="str" cm="1">
        <f t="array" ref="Q1344">_xlfn.IFS(Table1[[#This Row],[Wealthier_Winner]]=-1,"Wealthier Nation Loses",Table1[[#This Row],[Wealthier_Winner]]=0,"Tie",Table1[[#This Row],[Wealthier_Winner]]=1,"Wealthier Nation Wins")</f>
        <v>Wealthier Nation Wins</v>
      </c>
    </row>
    <row r="1345" spans="1:17" x14ac:dyDescent="0.2">
      <c r="A1345" s="1">
        <v>2569</v>
      </c>
      <c r="B1345" s="2">
        <v>34107</v>
      </c>
      <c r="C1345" s="7">
        <f>_xlfn.FLOOR.MATH(Table1[[#This Row],[year]],10)</f>
        <v>1990</v>
      </c>
      <c r="D1345" t="s">
        <v>45</v>
      </c>
      <c r="E1345" t="s">
        <v>71</v>
      </c>
      <c r="F1345">
        <v>2</v>
      </c>
      <c r="G1345">
        <v>0</v>
      </c>
      <c r="H1345" t="s">
        <v>224</v>
      </c>
      <c r="I1345" t="s">
        <v>420</v>
      </c>
      <c r="J1345" t="s">
        <v>45</v>
      </c>
      <c r="K1345" t="b">
        <v>0</v>
      </c>
      <c r="L1345">
        <v>1993</v>
      </c>
      <c r="M1345">
        <v>132967957276</v>
      </c>
      <c r="N1345">
        <v>23941391390</v>
      </c>
      <c r="O1345" t="b">
        <v>1</v>
      </c>
      <c r="P1345">
        <v>1</v>
      </c>
      <c r="Q1345" t="str" cm="1">
        <f t="array" ref="Q1345">_xlfn.IFS(Table1[[#This Row],[Wealthier_Winner]]=-1,"Wealthier Nation Loses",Table1[[#This Row],[Wealthier_Winner]]=0,"Tie",Table1[[#This Row],[Wealthier_Winner]]=1,"Wealthier Nation Wins")</f>
        <v>Wealthier Nation Wins</v>
      </c>
    </row>
    <row r="1346" spans="1:17" x14ac:dyDescent="0.2">
      <c r="A1346" s="1">
        <v>2572</v>
      </c>
      <c r="B1346" s="2">
        <v>34108</v>
      </c>
      <c r="C1346" s="7">
        <f>_xlfn.FLOOR.MATH(Table1[[#This Row],[year]],10)</f>
        <v>1990</v>
      </c>
      <c r="D1346" t="s">
        <v>25</v>
      </c>
      <c r="E1346" t="s">
        <v>29</v>
      </c>
      <c r="F1346">
        <v>1</v>
      </c>
      <c r="G1346">
        <v>0</v>
      </c>
      <c r="H1346" t="s">
        <v>224</v>
      </c>
      <c r="I1346" t="s">
        <v>233</v>
      </c>
      <c r="J1346" t="s">
        <v>25</v>
      </c>
      <c r="K1346" t="b">
        <v>0</v>
      </c>
      <c r="L1346">
        <v>1993</v>
      </c>
      <c r="M1346">
        <v>212644602615</v>
      </c>
      <c r="N1346">
        <v>189634029338</v>
      </c>
      <c r="O1346" t="b">
        <v>0</v>
      </c>
      <c r="P1346">
        <v>1</v>
      </c>
      <c r="Q1346" t="str" cm="1">
        <f t="array" ref="Q1346">_xlfn.IFS(Table1[[#This Row],[Wealthier_Winner]]=-1,"Wealthier Nation Loses",Table1[[#This Row],[Wealthier_Winner]]=0,"Tie",Table1[[#This Row],[Wealthier_Winner]]=1,"Wealthier Nation Wins")</f>
        <v>Wealthier Nation Wins</v>
      </c>
    </row>
    <row r="1347" spans="1:17" x14ac:dyDescent="0.2">
      <c r="A1347" s="1">
        <v>2573</v>
      </c>
      <c r="B1347" s="2">
        <v>34109</v>
      </c>
      <c r="C1347" s="7">
        <f>_xlfn.FLOOR.MATH(Table1[[#This Row],[year]],10)</f>
        <v>1990</v>
      </c>
      <c r="D1347" t="s">
        <v>232</v>
      </c>
      <c r="E1347" t="s">
        <v>66</v>
      </c>
      <c r="F1347">
        <v>1</v>
      </c>
      <c r="G1347">
        <v>1</v>
      </c>
      <c r="H1347" t="s">
        <v>224</v>
      </c>
      <c r="I1347" t="s">
        <v>232</v>
      </c>
      <c r="J1347" t="s">
        <v>232</v>
      </c>
      <c r="K1347" t="b">
        <v>0</v>
      </c>
      <c r="L1347">
        <v>1993</v>
      </c>
      <c r="M1347">
        <v>15925521222</v>
      </c>
      <c r="N1347">
        <v>6435952173</v>
      </c>
      <c r="O1347" t="b">
        <v>1</v>
      </c>
      <c r="P1347">
        <v>0</v>
      </c>
      <c r="Q1347" t="str" cm="1">
        <f t="array" ref="Q1347">_xlfn.IFS(Table1[[#This Row],[Wealthier_Winner]]=-1,"Wealthier Nation Loses",Table1[[#This Row],[Wealthier_Winner]]=0,"Tie",Table1[[#This Row],[Wealthier_Winner]]=1,"Wealthier Nation Wins")</f>
        <v>Tie</v>
      </c>
    </row>
    <row r="1348" spans="1:17" x14ac:dyDescent="0.2">
      <c r="A1348" s="1">
        <v>2574</v>
      </c>
      <c r="B1348" s="2">
        <v>34111</v>
      </c>
      <c r="C1348" s="7">
        <f>_xlfn.FLOOR.MATH(Table1[[#This Row],[year]],10)</f>
        <v>1990</v>
      </c>
      <c r="D1348" t="s">
        <v>23</v>
      </c>
      <c r="E1348" t="s">
        <v>447</v>
      </c>
      <c r="F1348">
        <v>3</v>
      </c>
      <c r="G1348">
        <v>0</v>
      </c>
      <c r="H1348" t="s">
        <v>224</v>
      </c>
      <c r="I1348" t="s">
        <v>235</v>
      </c>
      <c r="J1348" t="s">
        <v>23</v>
      </c>
      <c r="K1348" t="b">
        <v>0</v>
      </c>
      <c r="L1348">
        <v>1993</v>
      </c>
      <c r="M1348">
        <v>224721795708</v>
      </c>
      <c r="N1348">
        <v>760957189</v>
      </c>
      <c r="O1348" t="b">
        <v>1</v>
      </c>
      <c r="P1348">
        <v>1</v>
      </c>
      <c r="Q1348" t="str" cm="1">
        <f t="array" ref="Q1348">_xlfn.IFS(Table1[[#This Row],[Wealthier_Winner]]=-1,"Wealthier Nation Loses",Table1[[#This Row],[Wealthier_Winner]]=0,"Tie",Table1[[#This Row],[Wealthier_Winner]]=1,"Wealthier Nation Wins")</f>
        <v>Wealthier Nation Wins</v>
      </c>
    </row>
    <row r="1349" spans="1:17" x14ac:dyDescent="0.2">
      <c r="A1349" s="1">
        <v>2577</v>
      </c>
      <c r="B1349" s="2">
        <v>34112</v>
      </c>
      <c r="C1349" s="7">
        <f>_xlfn.FLOOR.MATH(Table1[[#This Row],[year]],10)</f>
        <v>1990</v>
      </c>
      <c r="D1349" t="s">
        <v>196</v>
      </c>
      <c r="E1349" t="s">
        <v>48</v>
      </c>
      <c r="F1349">
        <v>1</v>
      </c>
      <c r="G1349">
        <v>1</v>
      </c>
      <c r="H1349" t="s">
        <v>224</v>
      </c>
      <c r="I1349" t="s">
        <v>180</v>
      </c>
      <c r="J1349" t="s">
        <v>196</v>
      </c>
      <c r="K1349" t="b">
        <v>0</v>
      </c>
      <c r="L1349">
        <v>1993</v>
      </c>
      <c r="M1349">
        <v>435083713850</v>
      </c>
      <c r="N1349">
        <v>107295704518</v>
      </c>
      <c r="O1349" t="b">
        <v>1</v>
      </c>
      <c r="P1349">
        <v>0</v>
      </c>
      <c r="Q1349" t="str" cm="1">
        <f t="array" ref="Q1349">_xlfn.IFS(Table1[[#This Row],[Wealthier_Winner]]=-1,"Wealthier Nation Loses",Table1[[#This Row],[Wealthier_Winner]]=0,"Tie",Table1[[#This Row],[Wealthier_Winner]]=1,"Wealthier Nation Wins")</f>
        <v>Tie</v>
      </c>
    </row>
    <row r="1350" spans="1:17" x14ac:dyDescent="0.2">
      <c r="A1350" s="1">
        <v>2578</v>
      </c>
      <c r="B1350" s="2">
        <v>34113</v>
      </c>
      <c r="C1350" s="7">
        <f>_xlfn.FLOOR.MATH(Table1[[#This Row],[year]],10)</f>
        <v>1990</v>
      </c>
      <c r="D1350" t="s">
        <v>403</v>
      </c>
      <c r="E1350" t="s">
        <v>37</v>
      </c>
      <c r="F1350">
        <v>1</v>
      </c>
      <c r="G1350">
        <v>1</v>
      </c>
      <c r="H1350" t="s">
        <v>224</v>
      </c>
      <c r="I1350" t="s">
        <v>483</v>
      </c>
      <c r="J1350" t="s">
        <v>403</v>
      </c>
      <c r="K1350" t="b">
        <v>0</v>
      </c>
      <c r="L1350">
        <v>1993</v>
      </c>
      <c r="M1350">
        <v>5606400221</v>
      </c>
      <c r="N1350">
        <v>1031944881</v>
      </c>
      <c r="O1350" t="b">
        <v>1</v>
      </c>
      <c r="P1350">
        <v>0</v>
      </c>
      <c r="Q1350" t="str" cm="1">
        <f t="array" ref="Q1350">_xlfn.IFS(Table1[[#This Row],[Wealthier_Winner]]=-1,"Wealthier Nation Loses",Table1[[#This Row],[Wealthier_Winner]]=0,"Tie",Table1[[#This Row],[Wealthier_Winner]]=1,"Wealthier Nation Wins")</f>
        <v>Tie</v>
      </c>
    </row>
    <row r="1351" spans="1:17" x14ac:dyDescent="0.2">
      <c r="A1351" s="1">
        <v>2584</v>
      </c>
      <c r="B1351" s="2">
        <v>34117</v>
      </c>
      <c r="C1351" s="7">
        <f>_xlfn.FLOOR.MATH(Table1[[#This Row],[year]],10)</f>
        <v>1990</v>
      </c>
      <c r="D1351" t="s">
        <v>431</v>
      </c>
      <c r="E1351" t="s">
        <v>37</v>
      </c>
      <c r="F1351">
        <v>0</v>
      </c>
      <c r="G1351">
        <v>8</v>
      </c>
      <c r="H1351" t="s">
        <v>224</v>
      </c>
      <c r="I1351" t="s">
        <v>483</v>
      </c>
      <c r="J1351" t="s">
        <v>403</v>
      </c>
      <c r="K1351" t="b">
        <v>1</v>
      </c>
      <c r="L1351">
        <v>1993</v>
      </c>
      <c r="M1351">
        <v>51809999353</v>
      </c>
      <c r="N1351">
        <v>1031944881</v>
      </c>
      <c r="O1351" t="b">
        <v>1</v>
      </c>
      <c r="P1351">
        <v>-1</v>
      </c>
      <c r="Q1351" t="str" cm="1">
        <f t="array" ref="Q1351">_xlfn.IFS(Table1[[#This Row],[Wealthier_Winner]]=-1,"Wealthier Nation Loses",Table1[[#This Row],[Wealthier_Winner]]=0,"Tie",Table1[[#This Row],[Wealthier_Winner]]=1,"Wealthier Nation Wins")</f>
        <v>Wealthier Nation Loses</v>
      </c>
    </row>
    <row r="1352" spans="1:17" x14ac:dyDescent="0.2">
      <c r="A1352" s="1">
        <v>2586</v>
      </c>
      <c r="B1352" s="2">
        <v>34118</v>
      </c>
      <c r="C1352" s="7">
        <f>_xlfn.FLOOR.MATH(Table1[[#This Row],[year]],10)</f>
        <v>1990</v>
      </c>
      <c r="D1352" t="s">
        <v>58</v>
      </c>
      <c r="E1352" t="s">
        <v>194</v>
      </c>
      <c r="F1352">
        <v>1</v>
      </c>
      <c r="G1352">
        <v>1</v>
      </c>
      <c r="H1352" t="s">
        <v>224</v>
      </c>
      <c r="I1352" t="s">
        <v>484</v>
      </c>
      <c r="J1352" t="s">
        <v>58</v>
      </c>
      <c r="K1352" t="b">
        <v>0</v>
      </c>
      <c r="L1352">
        <v>1993</v>
      </c>
      <c r="M1352">
        <v>96043157272</v>
      </c>
      <c r="N1352">
        <v>1061388722255</v>
      </c>
      <c r="O1352" t="b">
        <v>1</v>
      </c>
      <c r="P1352">
        <v>0</v>
      </c>
      <c r="Q1352" t="str" cm="1">
        <f t="array" ref="Q1352">_xlfn.IFS(Table1[[#This Row],[Wealthier_Winner]]=-1,"Wealthier Nation Loses",Table1[[#This Row],[Wealthier_Winner]]=0,"Tie",Table1[[#This Row],[Wealthier_Winner]]=1,"Wealthier Nation Wins")</f>
        <v>Tie</v>
      </c>
    </row>
    <row r="1353" spans="1:17" x14ac:dyDescent="0.2">
      <c r="A1353" s="1">
        <v>2588</v>
      </c>
      <c r="B1353" s="2">
        <v>34119</v>
      </c>
      <c r="C1353" s="7">
        <f>_xlfn.FLOOR.MATH(Table1[[#This Row],[year]],10)</f>
        <v>1990</v>
      </c>
      <c r="D1353" t="s">
        <v>403</v>
      </c>
      <c r="E1353" t="s">
        <v>431</v>
      </c>
      <c r="F1353">
        <v>3</v>
      </c>
      <c r="G1353">
        <v>1</v>
      </c>
      <c r="H1353" t="s">
        <v>224</v>
      </c>
      <c r="I1353" t="s">
        <v>483</v>
      </c>
      <c r="J1353" t="s">
        <v>403</v>
      </c>
      <c r="K1353" t="b">
        <v>0</v>
      </c>
      <c r="L1353">
        <v>1993</v>
      </c>
      <c r="M1353">
        <v>5606400221</v>
      </c>
      <c r="N1353">
        <v>51809999353</v>
      </c>
      <c r="O1353" t="b">
        <v>1</v>
      </c>
      <c r="P1353">
        <v>-1</v>
      </c>
      <c r="Q1353" t="str" cm="1">
        <f t="array" ref="Q1353">_xlfn.IFS(Table1[[#This Row],[Wealthier_Winner]]=-1,"Wealthier Nation Loses",Table1[[#This Row],[Wealthier_Winner]]=0,"Tie",Table1[[#This Row],[Wealthier_Winner]]=1,"Wealthier Nation Wins")</f>
        <v>Wealthier Nation Loses</v>
      </c>
    </row>
    <row r="1354" spans="1:17" x14ac:dyDescent="0.2">
      <c r="A1354" s="1">
        <v>2589</v>
      </c>
      <c r="B1354" s="2">
        <v>34119</v>
      </c>
      <c r="C1354" s="7">
        <f>_xlfn.FLOOR.MATH(Table1[[#This Row],[year]],10)</f>
        <v>1990</v>
      </c>
      <c r="D1354" t="s">
        <v>72</v>
      </c>
      <c r="E1354" t="s">
        <v>28</v>
      </c>
      <c r="F1354">
        <v>0</v>
      </c>
      <c r="G1354">
        <v>1</v>
      </c>
      <c r="H1354" t="s">
        <v>224</v>
      </c>
      <c r="I1354" t="s">
        <v>327</v>
      </c>
      <c r="J1354" t="s">
        <v>72</v>
      </c>
      <c r="K1354" t="b">
        <v>0</v>
      </c>
      <c r="L1354">
        <v>1993</v>
      </c>
      <c r="M1354">
        <v>46775620817</v>
      </c>
      <c r="N1354">
        <v>312568858909</v>
      </c>
      <c r="O1354" t="b">
        <v>1</v>
      </c>
      <c r="P1354">
        <v>1</v>
      </c>
      <c r="Q1354" t="str" cm="1">
        <f t="array" ref="Q1354">_xlfn.IFS(Table1[[#This Row],[Wealthier_Winner]]=-1,"Wealthier Nation Loses",Table1[[#This Row],[Wealthier_Winner]]=0,"Tie",Table1[[#This Row],[Wealthier_Winner]]=1,"Wealthier Nation Wins")</f>
        <v>Wealthier Nation Wins</v>
      </c>
    </row>
    <row r="1355" spans="1:17" x14ac:dyDescent="0.2">
      <c r="A1355" s="1">
        <v>2591</v>
      </c>
      <c r="B1355" s="2">
        <v>34122</v>
      </c>
      <c r="C1355" s="7">
        <f>_xlfn.FLOOR.MATH(Table1[[#This Row],[year]],10)</f>
        <v>1990</v>
      </c>
      <c r="D1355" t="s">
        <v>36</v>
      </c>
      <c r="E1355" t="s">
        <v>373</v>
      </c>
      <c r="F1355">
        <v>4</v>
      </c>
      <c r="G1355">
        <v>0</v>
      </c>
      <c r="H1355" t="s">
        <v>224</v>
      </c>
      <c r="I1355" t="s">
        <v>264</v>
      </c>
      <c r="J1355" t="s">
        <v>36</v>
      </c>
      <c r="K1355" t="b">
        <v>0</v>
      </c>
      <c r="L1355">
        <v>1993</v>
      </c>
      <c r="M1355">
        <v>143111306004</v>
      </c>
      <c r="N1355">
        <v>1185315468</v>
      </c>
      <c r="O1355" t="b">
        <v>1</v>
      </c>
      <c r="P1355">
        <v>1</v>
      </c>
      <c r="Q1355" t="str" cm="1">
        <f t="array" ref="Q1355">_xlfn.IFS(Table1[[#This Row],[Wealthier_Winner]]=-1,"Wealthier Nation Loses",Table1[[#This Row],[Wealthier_Winner]]=0,"Tie",Table1[[#This Row],[Wealthier_Winner]]=1,"Wealthier Nation Wins")</f>
        <v>Wealthier Nation Wins</v>
      </c>
    </row>
    <row r="1356" spans="1:17" x14ac:dyDescent="0.2">
      <c r="A1356" s="1">
        <v>2592</v>
      </c>
      <c r="B1356" s="2">
        <v>34122</v>
      </c>
      <c r="C1356" s="7">
        <f>_xlfn.FLOOR.MATH(Table1[[#This Row],[year]],10)</f>
        <v>1990</v>
      </c>
      <c r="D1356" t="s">
        <v>66</v>
      </c>
      <c r="E1356" t="s">
        <v>196</v>
      </c>
      <c r="F1356">
        <v>1</v>
      </c>
      <c r="G1356">
        <v>1</v>
      </c>
      <c r="H1356" t="s">
        <v>224</v>
      </c>
      <c r="I1356" t="s">
        <v>336</v>
      </c>
      <c r="J1356" t="s">
        <v>66</v>
      </c>
      <c r="K1356" t="b">
        <v>0</v>
      </c>
      <c r="L1356">
        <v>1993</v>
      </c>
      <c r="M1356">
        <v>6435952173</v>
      </c>
      <c r="N1356">
        <v>435083713850</v>
      </c>
      <c r="O1356" t="b">
        <v>1</v>
      </c>
      <c r="P1356">
        <v>0</v>
      </c>
      <c r="Q1356" t="str" cm="1">
        <f t="array" ref="Q1356">_xlfn.IFS(Table1[[#This Row],[Wealthier_Winner]]=-1,"Wealthier Nation Loses",Table1[[#This Row],[Wealthier_Winner]]=0,"Tie",Table1[[#This Row],[Wealthier_Winner]]=1,"Wealthier Nation Wins")</f>
        <v>Tie</v>
      </c>
    </row>
    <row r="1357" spans="1:17" x14ac:dyDescent="0.2">
      <c r="A1357" s="1">
        <v>2595</v>
      </c>
      <c r="B1357" s="2">
        <v>34122</v>
      </c>
      <c r="C1357" s="7">
        <f>_xlfn.FLOOR.MATH(Table1[[#This Row],[year]],10)</f>
        <v>1990</v>
      </c>
      <c r="D1357" t="s">
        <v>42</v>
      </c>
      <c r="E1357" t="s">
        <v>194</v>
      </c>
      <c r="F1357">
        <v>2</v>
      </c>
      <c r="G1357">
        <v>0</v>
      </c>
      <c r="H1357" t="s">
        <v>224</v>
      </c>
      <c r="I1357" t="s">
        <v>262</v>
      </c>
      <c r="J1357" t="s">
        <v>42</v>
      </c>
      <c r="K1357" t="b">
        <v>0</v>
      </c>
      <c r="L1357">
        <v>1993</v>
      </c>
      <c r="M1357">
        <v>120579213712</v>
      </c>
      <c r="N1357">
        <v>1061388722255</v>
      </c>
      <c r="O1357" t="b">
        <v>1</v>
      </c>
      <c r="P1357">
        <v>-1</v>
      </c>
      <c r="Q1357" t="str" cm="1">
        <f t="array" ref="Q1357">_xlfn.IFS(Table1[[#This Row],[Wealthier_Winner]]=-1,"Wealthier Nation Loses",Table1[[#This Row],[Wealthier_Winner]]=0,"Tie",Table1[[#This Row],[Wealthier_Winner]]=1,"Wealthier Nation Wins")</f>
        <v>Wealthier Nation Loses</v>
      </c>
    </row>
    <row r="1358" spans="1:17" x14ac:dyDescent="0.2">
      <c r="A1358" s="1">
        <v>2597</v>
      </c>
      <c r="B1358" s="2">
        <v>34122</v>
      </c>
      <c r="C1358" s="7">
        <f>_xlfn.FLOOR.MATH(Table1[[#This Row],[year]],10)</f>
        <v>1990</v>
      </c>
      <c r="D1358" t="s">
        <v>25</v>
      </c>
      <c r="E1358" t="s">
        <v>22</v>
      </c>
      <c r="F1358">
        <v>5</v>
      </c>
      <c r="G1358">
        <v>0</v>
      </c>
      <c r="H1358" t="s">
        <v>224</v>
      </c>
      <c r="I1358" t="s">
        <v>233</v>
      </c>
      <c r="J1358" t="s">
        <v>25</v>
      </c>
      <c r="K1358" t="b">
        <v>0</v>
      </c>
      <c r="L1358">
        <v>1993</v>
      </c>
      <c r="M1358">
        <v>212644602615</v>
      </c>
      <c r="N1358">
        <v>79855877174</v>
      </c>
      <c r="O1358" t="b">
        <v>1</v>
      </c>
      <c r="P1358">
        <v>1</v>
      </c>
      <c r="Q1358" t="str" cm="1">
        <f t="array" ref="Q1358">_xlfn.IFS(Table1[[#This Row],[Wealthier_Winner]]=-1,"Wealthier Nation Loses",Table1[[#This Row],[Wealthier_Winner]]=0,"Tie",Table1[[#This Row],[Wealthier_Winner]]=1,"Wealthier Nation Wins")</f>
        <v>Wealthier Nation Wins</v>
      </c>
    </row>
    <row r="1359" spans="1:17" x14ac:dyDescent="0.2">
      <c r="A1359" s="1">
        <v>2598</v>
      </c>
      <c r="B1359" s="2">
        <v>34125</v>
      </c>
      <c r="C1359" s="7">
        <f>_xlfn.FLOOR.MATH(Table1[[#This Row],[year]],10)</f>
        <v>1990</v>
      </c>
      <c r="D1359" t="s">
        <v>361</v>
      </c>
      <c r="E1359" t="s">
        <v>479</v>
      </c>
      <c r="F1359">
        <v>0</v>
      </c>
      <c r="G1359">
        <v>0</v>
      </c>
      <c r="H1359" t="s">
        <v>224</v>
      </c>
      <c r="I1359" t="s">
        <v>136</v>
      </c>
      <c r="J1359" t="s">
        <v>195</v>
      </c>
      <c r="K1359" t="b">
        <v>1</v>
      </c>
      <c r="L1359">
        <v>1993</v>
      </c>
      <c r="M1359">
        <v>5913001063</v>
      </c>
      <c r="N1359">
        <v>7941744492</v>
      </c>
      <c r="O1359" t="b">
        <v>0</v>
      </c>
      <c r="P1359">
        <v>0</v>
      </c>
      <c r="Q1359" t="str" cm="1">
        <f t="array" ref="Q1359">_xlfn.IFS(Table1[[#This Row],[Wealthier_Winner]]=-1,"Wealthier Nation Loses",Table1[[#This Row],[Wealthier_Winner]]=0,"Tie",Table1[[#This Row],[Wealthier_Winner]]=1,"Wealthier Nation Wins")</f>
        <v>Tie</v>
      </c>
    </row>
    <row r="1360" spans="1:17" x14ac:dyDescent="0.2">
      <c r="A1360" s="1">
        <v>2600</v>
      </c>
      <c r="B1360" s="2">
        <v>34126</v>
      </c>
      <c r="C1360" s="7">
        <f>_xlfn.FLOOR.MATH(Table1[[#This Row],[year]],10)</f>
        <v>1990</v>
      </c>
      <c r="D1360" t="s">
        <v>28</v>
      </c>
      <c r="E1360" t="s">
        <v>72</v>
      </c>
      <c r="F1360">
        <v>3</v>
      </c>
      <c r="G1360">
        <v>0</v>
      </c>
      <c r="H1360" t="s">
        <v>224</v>
      </c>
      <c r="I1360" t="s">
        <v>329</v>
      </c>
      <c r="J1360" t="s">
        <v>28</v>
      </c>
      <c r="K1360" t="b">
        <v>0</v>
      </c>
      <c r="L1360">
        <v>1993</v>
      </c>
      <c r="M1360">
        <v>312568858909</v>
      </c>
      <c r="N1360">
        <v>46775620817</v>
      </c>
      <c r="O1360" t="b">
        <v>1</v>
      </c>
      <c r="P1360">
        <v>1</v>
      </c>
      <c r="Q1360" t="str" cm="1">
        <f t="array" ref="Q1360">_xlfn.IFS(Table1[[#This Row],[Wealthier_Winner]]=-1,"Wealthier Nation Loses",Table1[[#This Row],[Wealthier_Winner]]=0,"Tie",Table1[[#This Row],[Wealthier_Winner]]=1,"Wealthier Nation Wins")</f>
        <v>Wealthier Nation Wins</v>
      </c>
    </row>
    <row r="1361" spans="1:17" x14ac:dyDescent="0.2">
      <c r="A1361" s="1">
        <v>2602</v>
      </c>
      <c r="B1361" s="2">
        <v>34127</v>
      </c>
      <c r="C1361" s="7">
        <f>_xlfn.FLOOR.MATH(Table1[[#This Row],[year]],10)</f>
        <v>1990</v>
      </c>
      <c r="D1361" t="s">
        <v>406</v>
      </c>
      <c r="E1361" t="s">
        <v>361</v>
      </c>
      <c r="F1361">
        <v>0</v>
      </c>
      <c r="G1361">
        <v>3</v>
      </c>
      <c r="H1361" t="s">
        <v>224</v>
      </c>
      <c r="I1361" t="s">
        <v>136</v>
      </c>
      <c r="J1361" t="s">
        <v>195</v>
      </c>
      <c r="K1361" t="b">
        <v>1</v>
      </c>
      <c r="L1361">
        <v>1993</v>
      </c>
      <c r="M1361">
        <v>279295648982</v>
      </c>
      <c r="N1361">
        <v>5913001063</v>
      </c>
      <c r="O1361" t="b">
        <v>1</v>
      </c>
      <c r="P1361">
        <v>-1</v>
      </c>
      <c r="Q1361" t="str" cm="1">
        <f t="array" ref="Q1361">_xlfn.IFS(Table1[[#This Row],[Wealthier_Winner]]=-1,"Wealthier Nation Loses",Table1[[#This Row],[Wealthier_Winner]]=0,"Tie",Table1[[#This Row],[Wealthier_Winner]]=1,"Wealthier Nation Wins")</f>
        <v>Wealthier Nation Loses</v>
      </c>
    </row>
    <row r="1362" spans="1:17" x14ac:dyDescent="0.2">
      <c r="A1362" s="1">
        <v>2603</v>
      </c>
      <c r="B1362" s="2">
        <v>34127</v>
      </c>
      <c r="C1362" s="7">
        <f>_xlfn.FLOOR.MATH(Table1[[#This Row],[year]],10)</f>
        <v>1990</v>
      </c>
      <c r="D1362" t="s">
        <v>195</v>
      </c>
      <c r="E1362" t="s">
        <v>479</v>
      </c>
      <c r="F1362">
        <v>2</v>
      </c>
      <c r="G1362">
        <v>0</v>
      </c>
      <c r="H1362" t="s">
        <v>224</v>
      </c>
      <c r="I1362" t="s">
        <v>136</v>
      </c>
      <c r="J1362" t="s">
        <v>195</v>
      </c>
      <c r="K1362" t="b">
        <v>0</v>
      </c>
      <c r="L1362">
        <v>1993</v>
      </c>
      <c r="M1362">
        <v>405705302846</v>
      </c>
      <c r="N1362">
        <v>7941744492</v>
      </c>
      <c r="O1362" t="b">
        <v>1</v>
      </c>
      <c r="P1362">
        <v>1</v>
      </c>
      <c r="Q1362" t="str" cm="1">
        <f t="array" ref="Q1362">_xlfn.IFS(Table1[[#This Row],[Wealthier_Winner]]=-1,"Wealthier Nation Loses",Table1[[#This Row],[Wealthier_Winner]]=0,"Tie",Table1[[#This Row],[Wealthier_Winner]]=1,"Wealthier Nation Wins")</f>
        <v>Wealthier Nation Wins</v>
      </c>
    </row>
    <row r="1363" spans="1:17" x14ac:dyDescent="0.2">
      <c r="A1363" s="1">
        <v>2605</v>
      </c>
      <c r="B1363" s="2">
        <v>34129</v>
      </c>
      <c r="C1363" s="7">
        <f>_xlfn.FLOOR.MATH(Table1[[#This Row],[year]],10)</f>
        <v>1990</v>
      </c>
      <c r="D1363" t="s">
        <v>195</v>
      </c>
      <c r="E1363" t="s">
        <v>406</v>
      </c>
      <c r="F1363">
        <v>7</v>
      </c>
      <c r="G1363">
        <v>0</v>
      </c>
      <c r="H1363" t="s">
        <v>224</v>
      </c>
      <c r="I1363" t="s">
        <v>136</v>
      </c>
      <c r="J1363" t="s">
        <v>195</v>
      </c>
      <c r="K1363" t="b">
        <v>0</v>
      </c>
      <c r="L1363">
        <v>1993</v>
      </c>
      <c r="M1363">
        <v>405705302846</v>
      </c>
      <c r="N1363">
        <v>279295648982</v>
      </c>
      <c r="O1363" t="b">
        <v>0</v>
      </c>
      <c r="P1363">
        <v>1</v>
      </c>
      <c r="Q1363" t="str" cm="1">
        <f t="array" ref="Q1363">_xlfn.IFS(Table1[[#This Row],[Wealthier_Winner]]=-1,"Wealthier Nation Loses",Table1[[#This Row],[Wealthier_Winner]]=0,"Tie",Table1[[#This Row],[Wealthier_Winner]]=1,"Wealthier Nation Wins")</f>
        <v>Wealthier Nation Wins</v>
      </c>
    </row>
    <row r="1364" spans="1:17" x14ac:dyDescent="0.2">
      <c r="A1364" s="1">
        <v>2607</v>
      </c>
      <c r="B1364" s="2">
        <v>34129</v>
      </c>
      <c r="C1364" s="7">
        <f>_xlfn.FLOOR.MATH(Table1[[#This Row],[year]],10)</f>
        <v>1990</v>
      </c>
      <c r="D1364" t="s">
        <v>27</v>
      </c>
      <c r="E1364" t="s">
        <v>42</v>
      </c>
      <c r="F1364">
        <v>0</v>
      </c>
      <c r="G1364">
        <v>0</v>
      </c>
      <c r="H1364" t="s">
        <v>224</v>
      </c>
      <c r="I1364" t="s">
        <v>265</v>
      </c>
      <c r="J1364" t="s">
        <v>27</v>
      </c>
      <c r="K1364" t="b">
        <v>0</v>
      </c>
      <c r="L1364">
        <v>1993</v>
      </c>
      <c r="M1364">
        <v>354070495965</v>
      </c>
      <c r="N1364">
        <v>120579213712</v>
      </c>
      <c r="O1364" t="b">
        <v>1</v>
      </c>
      <c r="P1364">
        <v>0</v>
      </c>
      <c r="Q1364" t="str" cm="1">
        <f t="array" ref="Q1364">_xlfn.IFS(Table1[[#This Row],[Wealthier_Winner]]=-1,"Wealthier Nation Loses",Table1[[#This Row],[Wealthier_Winner]]=0,"Tie",Table1[[#This Row],[Wealthier_Winner]]=1,"Wealthier Nation Wins")</f>
        <v>Tie</v>
      </c>
    </row>
    <row r="1365" spans="1:17" x14ac:dyDescent="0.2">
      <c r="A1365" s="1">
        <v>2609</v>
      </c>
      <c r="B1365" s="2">
        <v>34131</v>
      </c>
      <c r="C1365" s="7">
        <f>_xlfn.FLOOR.MATH(Table1[[#This Row],[year]],10)</f>
        <v>1990</v>
      </c>
      <c r="D1365" t="s">
        <v>406</v>
      </c>
      <c r="E1365" t="s">
        <v>479</v>
      </c>
      <c r="F1365">
        <v>1</v>
      </c>
      <c r="G1365">
        <v>2</v>
      </c>
      <c r="H1365" t="s">
        <v>224</v>
      </c>
      <c r="I1365" t="s">
        <v>136</v>
      </c>
      <c r="J1365" t="s">
        <v>195</v>
      </c>
      <c r="K1365" t="b">
        <v>1</v>
      </c>
      <c r="L1365">
        <v>1993</v>
      </c>
      <c r="M1365">
        <v>279295648982</v>
      </c>
      <c r="N1365">
        <v>7941744492</v>
      </c>
      <c r="O1365" t="b">
        <v>1</v>
      </c>
      <c r="P1365">
        <v>-1</v>
      </c>
      <c r="Q1365" t="str" cm="1">
        <f t="array" ref="Q1365">_xlfn.IFS(Table1[[#This Row],[Wealthier_Winner]]=-1,"Wealthier Nation Loses",Table1[[#This Row],[Wealthier_Winner]]=0,"Tie",Table1[[#This Row],[Wealthier_Winner]]=1,"Wealthier Nation Wins")</f>
        <v>Wealthier Nation Loses</v>
      </c>
    </row>
    <row r="1366" spans="1:17" x14ac:dyDescent="0.2">
      <c r="A1366" s="1">
        <v>2613</v>
      </c>
      <c r="B1366" s="2">
        <v>34133</v>
      </c>
      <c r="C1366" s="7">
        <f>_xlfn.FLOOR.MATH(Table1[[#This Row],[year]],10)</f>
        <v>1990</v>
      </c>
      <c r="D1366" t="s">
        <v>195</v>
      </c>
      <c r="E1366" t="s">
        <v>361</v>
      </c>
      <c r="F1366">
        <v>3</v>
      </c>
      <c r="G1366">
        <v>0</v>
      </c>
      <c r="H1366" t="s">
        <v>224</v>
      </c>
      <c r="I1366" t="s">
        <v>136</v>
      </c>
      <c r="J1366" t="s">
        <v>195</v>
      </c>
      <c r="K1366" t="b">
        <v>0</v>
      </c>
      <c r="L1366">
        <v>1993</v>
      </c>
      <c r="M1366">
        <v>405705302846</v>
      </c>
      <c r="N1366">
        <v>5913001063</v>
      </c>
      <c r="O1366" t="b">
        <v>1</v>
      </c>
      <c r="P1366">
        <v>1</v>
      </c>
      <c r="Q1366" t="str" cm="1">
        <f t="array" ref="Q1366">_xlfn.IFS(Table1[[#This Row],[Wealthier_Winner]]=-1,"Wealthier Nation Loses",Table1[[#This Row],[Wealthier_Winner]]=0,"Tie",Table1[[#This Row],[Wealthier_Winner]]=1,"Wealthier Nation Wins")</f>
        <v>Wealthier Nation Wins</v>
      </c>
    </row>
    <row r="1367" spans="1:17" x14ac:dyDescent="0.2">
      <c r="A1367" s="1">
        <v>2614</v>
      </c>
      <c r="B1367" s="2">
        <v>34134</v>
      </c>
      <c r="C1367" s="7">
        <f>_xlfn.FLOOR.MATH(Table1[[#This Row],[year]],10)</f>
        <v>1990</v>
      </c>
      <c r="D1367" t="s">
        <v>37</v>
      </c>
      <c r="E1367" t="s">
        <v>403</v>
      </c>
      <c r="F1367">
        <v>4</v>
      </c>
      <c r="G1367">
        <v>0</v>
      </c>
      <c r="H1367" t="s">
        <v>224</v>
      </c>
      <c r="I1367" t="s">
        <v>485</v>
      </c>
      <c r="J1367" t="s">
        <v>486</v>
      </c>
      <c r="K1367" t="b">
        <v>1</v>
      </c>
      <c r="L1367">
        <v>1993</v>
      </c>
      <c r="M1367">
        <v>1031944881</v>
      </c>
      <c r="N1367">
        <v>5606400221</v>
      </c>
      <c r="O1367" t="b">
        <v>1</v>
      </c>
      <c r="P1367">
        <v>-1</v>
      </c>
      <c r="Q1367" t="str" cm="1">
        <f t="array" ref="Q1367">_xlfn.IFS(Table1[[#This Row],[Wealthier_Winner]]=-1,"Wealthier Nation Loses",Table1[[#This Row],[Wealthier_Winner]]=0,"Tie",Table1[[#This Row],[Wealthier_Winner]]=1,"Wealthier Nation Wins")</f>
        <v>Wealthier Nation Loses</v>
      </c>
    </row>
    <row r="1368" spans="1:17" x14ac:dyDescent="0.2">
      <c r="A1368" s="1">
        <v>2618</v>
      </c>
      <c r="B1368" s="2">
        <v>34136</v>
      </c>
      <c r="C1368" s="7">
        <f>_xlfn.FLOOR.MATH(Table1[[#This Row],[year]],10)</f>
        <v>1990</v>
      </c>
      <c r="D1368" t="s">
        <v>230</v>
      </c>
      <c r="E1368" t="s">
        <v>22</v>
      </c>
      <c r="F1368">
        <v>0</v>
      </c>
      <c r="G1368">
        <v>0</v>
      </c>
      <c r="H1368" t="s">
        <v>224</v>
      </c>
      <c r="I1368" t="s">
        <v>387</v>
      </c>
      <c r="J1368" t="s">
        <v>230</v>
      </c>
      <c r="K1368" t="b">
        <v>0</v>
      </c>
      <c r="L1368">
        <v>1993</v>
      </c>
      <c r="M1368">
        <v>89112105756</v>
      </c>
      <c r="N1368">
        <v>79855877174</v>
      </c>
      <c r="O1368" t="b">
        <v>0</v>
      </c>
      <c r="P1368">
        <v>0</v>
      </c>
      <c r="Q1368" t="str" cm="1">
        <f t="array" ref="Q1368">_xlfn.IFS(Table1[[#This Row],[Wealthier_Winner]]=-1,"Wealthier Nation Loses",Table1[[#This Row],[Wealthier_Winner]]=0,"Tie",Table1[[#This Row],[Wealthier_Winner]]=1,"Wealthier Nation Wins")</f>
        <v>Tie</v>
      </c>
    </row>
    <row r="1369" spans="1:17" x14ac:dyDescent="0.2">
      <c r="A1369" s="1">
        <v>2619</v>
      </c>
      <c r="B1369" s="2">
        <v>34136</v>
      </c>
      <c r="C1369" s="7">
        <f>_xlfn.FLOOR.MATH(Table1[[#This Row],[year]],10)</f>
        <v>1990</v>
      </c>
      <c r="D1369" t="s">
        <v>66</v>
      </c>
      <c r="E1369" t="s">
        <v>30</v>
      </c>
      <c r="F1369">
        <v>2</v>
      </c>
      <c r="G1369">
        <v>0</v>
      </c>
      <c r="H1369" t="s">
        <v>224</v>
      </c>
      <c r="I1369" t="s">
        <v>336</v>
      </c>
      <c r="J1369" t="s">
        <v>66</v>
      </c>
      <c r="K1369" t="b">
        <v>0</v>
      </c>
      <c r="L1369">
        <v>1993</v>
      </c>
      <c r="M1369">
        <v>6435952173</v>
      </c>
      <c r="N1369">
        <v>40256233360</v>
      </c>
      <c r="O1369" t="b">
        <v>1</v>
      </c>
      <c r="P1369">
        <v>-1</v>
      </c>
      <c r="Q1369" t="str" cm="1">
        <f t="array" ref="Q1369">_xlfn.IFS(Table1[[#This Row],[Wealthier_Winner]]=-1,"Wealthier Nation Loses",Table1[[#This Row],[Wealthier_Winner]]=0,"Tie",Table1[[#This Row],[Wealthier_Winner]]=1,"Wealthier Nation Wins")</f>
        <v>Wealthier Nation Loses</v>
      </c>
    </row>
    <row r="1370" spans="1:17" x14ac:dyDescent="0.2">
      <c r="A1370" s="1">
        <v>2623</v>
      </c>
      <c r="B1370" s="2">
        <v>34138</v>
      </c>
      <c r="C1370" s="7">
        <f>_xlfn.FLOOR.MATH(Table1[[#This Row],[year]],10)</f>
        <v>1990</v>
      </c>
      <c r="D1370" t="s">
        <v>37</v>
      </c>
      <c r="E1370" t="s">
        <v>431</v>
      </c>
      <c r="F1370">
        <v>4</v>
      </c>
      <c r="G1370">
        <v>0</v>
      </c>
      <c r="H1370" t="s">
        <v>224</v>
      </c>
      <c r="I1370" t="s">
        <v>485</v>
      </c>
      <c r="J1370" t="s">
        <v>486</v>
      </c>
      <c r="K1370" t="b">
        <v>1</v>
      </c>
      <c r="L1370">
        <v>1993</v>
      </c>
      <c r="M1370">
        <v>1031944881</v>
      </c>
      <c r="N1370">
        <v>51809999353</v>
      </c>
      <c r="O1370" t="b">
        <v>1</v>
      </c>
      <c r="P1370">
        <v>-1</v>
      </c>
      <c r="Q1370" t="str" cm="1">
        <f t="array" ref="Q1370">_xlfn.IFS(Table1[[#This Row],[Wealthier_Winner]]=-1,"Wealthier Nation Loses",Table1[[#This Row],[Wealthier_Winner]]=0,"Tie",Table1[[#This Row],[Wealthier_Winner]]=1,"Wealthier Nation Wins")</f>
        <v>Wealthier Nation Loses</v>
      </c>
    </row>
    <row r="1371" spans="1:17" x14ac:dyDescent="0.2">
      <c r="A1371" s="1">
        <v>2624</v>
      </c>
      <c r="B1371" s="2">
        <v>34139</v>
      </c>
      <c r="C1371" s="7">
        <f>_xlfn.FLOOR.MATH(Table1[[#This Row],[year]],10)</f>
        <v>1990</v>
      </c>
      <c r="D1371" t="s">
        <v>38</v>
      </c>
      <c r="E1371" t="s">
        <v>303</v>
      </c>
      <c r="F1371">
        <v>4</v>
      </c>
      <c r="G1371">
        <v>0</v>
      </c>
      <c r="H1371" t="s">
        <v>224</v>
      </c>
      <c r="I1371" t="s">
        <v>292</v>
      </c>
      <c r="J1371" t="s">
        <v>38</v>
      </c>
      <c r="K1371" t="b">
        <v>0</v>
      </c>
      <c r="L1371">
        <v>1993</v>
      </c>
      <c r="M1371">
        <v>95009751901</v>
      </c>
      <c r="N1371">
        <v>2709193538</v>
      </c>
      <c r="O1371" t="b">
        <v>1</v>
      </c>
      <c r="P1371">
        <v>1</v>
      </c>
      <c r="Q1371" t="str" cm="1">
        <f t="array" ref="Q1371">_xlfn.IFS(Table1[[#This Row],[Wealthier_Winner]]=-1,"Wealthier Nation Loses",Table1[[#This Row],[Wealthier_Winner]]=0,"Tie",Table1[[#This Row],[Wealthier_Winner]]=1,"Wealthier Nation Wins")</f>
        <v>Wealthier Nation Wins</v>
      </c>
    </row>
    <row r="1372" spans="1:17" x14ac:dyDescent="0.2">
      <c r="A1372" s="1">
        <v>2626</v>
      </c>
      <c r="B1372" s="2">
        <v>34140</v>
      </c>
      <c r="C1372" s="7">
        <f>_xlfn.FLOOR.MATH(Table1[[#This Row],[year]],10)</f>
        <v>1990</v>
      </c>
      <c r="D1372" t="s">
        <v>431</v>
      </c>
      <c r="E1372" t="s">
        <v>403</v>
      </c>
      <c r="F1372">
        <v>0</v>
      </c>
      <c r="G1372">
        <v>5</v>
      </c>
      <c r="H1372" t="s">
        <v>224</v>
      </c>
      <c r="I1372" t="s">
        <v>485</v>
      </c>
      <c r="J1372" t="s">
        <v>486</v>
      </c>
      <c r="K1372" t="b">
        <v>1</v>
      </c>
      <c r="L1372">
        <v>1993</v>
      </c>
      <c r="M1372">
        <v>51809999353</v>
      </c>
      <c r="N1372">
        <v>5606400221</v>
      </c>
      <c r="O1372" t="b">
        <v>1</v>
      </c>
      <c r="P1372">
        <v>-1</v>
      </c>
      <c r="Q1372" t="str" cm="1">
        <f t="array" ref="Q1372">_xlfn.IFS(Table1[[#This Row],[Wealthier_Winner]]=-1,"Wealthier Nation Loses",Table1[[#This Row],[Wealthier_Winner]]=0,"Tie",Table1[[#This Row],[Wealthier_Winner]]=1,"Wealthier Nation Wins")</f>
        <v>Wealthier Nation Loses</v>
      </c>
    </row>
    <row r="1373" spans="1:17" x14ac:dyDescent="0.2">
      <c r="A1373" s="1">
        <v>2628</v>
      </c>
      <c r="B1373" s="2">
        <v>34143</v>
      </c>
      <c r="C1373" s="7">
        <f>_xlfn.FLOOR.MATH(Table1[[#This Row],[year]],10)</f>
        <v>1990</v>
      </c>
      <c r="D1373" t="s">
        <v>210</v>
      </c>
      <c r="E1373" t="s">
        <v>429</v>
      </c>
      <c r="F1373">
        <v>0</v>
      </c>
      <c r="G1373">
        <v>0</v>
      </c>
      <c r="H1373" t="s">
        <v>224</v>
      </c>
      <c r="I1373" t="s">
        <v>332</v>
      </c>
      <c r="J1373" t="s">
        <v>210</v>
      </c>
      <c r="K1373" t="b">
        <v>0</v>
      </c>
      <c r="L1373">
        <v>1993</v>
      </c>
      <c r="M1373">
        <v>63743623232</v>
      </c>
      <c r="N1373">
        <v>14230429128</v>
      </c>
      <c r="O1373" t="b">
        <v>1</v>
      </c>
      <c r="P1373">
        <v>0</v>
      </c>
      <c r="Q1373" t="str" cm="1">
        <f t="array" ref="Q1373">_xlfn.IFS(Table1[[#This Row],[Wealthier_Winner]]=-1,"Wealthier Nation Loses",Table1[[#This Row],[Wealthier_Winner]]=0,"Tie",Table1[[#This Row],[Wealthier_Winner]]=1,"Wealthier Nation Wins")</f>
        <v>Tie</v>
      </c>
    </row>
    <row r="1374" spans="1:17" x14ac:dyDescent="0.2">
      <c r="A1374" s="1">
        <v>2630</v>
      </c>
      <c r="B1374" s="2">
        <v>34145</v>
      </c>
      <c r="C1374" s="7">
        <f>_xlfn.FLOOR.MATH(Table1[[#This Row],[year]],10)</f>
        <v>1990</v>
      </c>
      <c r="D1374" t="s">
        <v>429</v>
      </c>
      <c r="E1374" t="s">
        <v>331</v>
      </c>
      <c r="F1374">
        <v>0</v>
      </c>
      <c r="G1374">
        <v>0</v>
      </c>
      <c r="H1374" t="s">
        <v>224</v>
      </c>
      <c r="I1374" t="s">
        <v>332</v>
      </c>
      <c r="J1374" t="s">
        <v>210</v>
      </c>
      <c r="K1374" t="b">
        <v>1</v>
      </c>
      <c r="L1374">
        <v>1993</v>
      </c>
      <c r="M1374">
        <v>14230429128</v>
      </c>
      <c r="N1374">
        <v>13695962055</v>
      </c>
      <c r="O1374" t="b">
        <v>0</v>
      </c>
      <c r="P1374">
        <v>0</v>
      </c>
      <c r="Q1374" t="str" cm="1">
        <f t="array" ref="Q1374">_xlfn.IFS(Table1[[#This Row],[Wealthier_Winner]]=-1,"Wealthier Nation Loses",Table1[[#This Row],[Wealthier_Winner]]=0,"Tie",Table1[[#This Row],[Wealthier_Winner]]=1,"Wealthier Nation Wins")</f>
        <v>Tie</v>
      </c>
    </row>
    <row r="1375" spans="1:17" x14ac:dyDescent="0.2">
      <c r="A1375" s="1">
        <v>2631</v>
      </c>
      <c r="B1375" s="2">
        <v>34147</v>
      </c>
      <c r="C1375" s="7">
        <f>_xlfn.FLOOR.MATH(Table1[[#This Row],[year]],10)</f>
        <v>1990</v>
      </c>
      <c r="D1375" t="s">
        <v>210</v>
      </c>
      <c r="E1375" t="s">
        <v>331</v>
      </c>
      <c r="F1375">
        <v>1</v>
      </c>
      <c r="G1375">
        <v>1</v>
      </c>
      <c r="H1375" t="s">
        <v>224</v>
      </c>
      <c r="I1375" t="s">
        <v>332</v>
      </c>
      <c r="J1375" t="s">
        <v>210</v>
      </c>
      <c r="K1375" t="b">
        <v>0</v>
      </c>
      <c r="L1375">
        <v>1993</v>
      </c>
      <c r="M1375">
        <v>63743623232</v>
      </c>
      <c r="N1375">
        <v>13695962055</v>
      </c>
      <c r="O1375" t="b">
        <v>1</v>
      </c>
      <c r="P1375">
        <v>0</v>
      </c>
      <c r="Q1375" t="str" cm="1">
        <f t="array" ref="Q1375">_xlfn.IFS(Table1[[#This Row],[Wealthier_Winner]]=-1,"Wealthier Nation Loses",Table1[[#This Row],[Wealthier_Winner]]=0,"Tie",Table1[[#This Row],[Wealthier_Winner]]=1,"Wealthier Nation Wins")</f>
        <v>Tie</v>
      </c>
    </row>
    <row r="1376" spans="1:17" x14ac:dyDescent="0.2">
      <c r="A1376" s="1">
        <v>2633</v>
      </c>
      <c r="B1376" s="2">
        <v>34152</v>
      </c>
      <c r="C1376" s="7">
        <f>_xlfn.FLOOR.MATH(Table1[[#This Row],[year]],10)</f>
        <v>1990</v>
      </c>
      <c r="D1376" t="s">
        <v>429</v>
      </c>
      <c r="E1376" t="s">
        <v>210</v>
      </c>
      <c r="F1376">
        <v>0</v>
      </c>
      <c r="G1376">
        <v>1</v>
      </c>
      <c r="H1376" t="s">
        <v>224</v>
      </c>
      <c r="I1376" t="s">
        <v>355</v>
      </c>
      <c r="J1376" t="s">
        <v>331</v>
      </c>
      <c r="K1376" t="b">
        <v>1</v>
      </c>
      <c r="L1376">
        <v>1993</v>
      </c>
      <c r="M1376">
        <v>14230429128</v>
      </c>
      <c r="N1376">
        <v>63743623232</v>
      </c>
      <c r="O1376" t="b">
        <v>1</v>
      </c>
      <c r="P1376">
        <v>1</v>
      </c>
      <c r="Q1376" t="str" cm="1">
        <f t="array" ref="Q1376">_xlfn.IFS(Table1[[#This Row],[Wealthier_Winner]]=-1,"Wealthier Nation Loses",Table1[[#This Row],[Wealthier_Winner]]=0,"Tie",Table1[[#This Row],[Wealthier_Winner]]=1,"Wealthier Nation Wins")</f>
        <v>Wealthier Nation Wins</v>
      </c>
    </row>
    <row r="1377" spans="1:17" x14ac:dyDescent="0.2">
      <c r="A1377" s="1">
        <v>2635</v>
      </c>
      <c r="B1377" s="2">
        <v>34153</v>
      </c>
      <c r="C1377" s="7">
        <f>_xlfn.FLOOR.MATH(Table1[[#This Row],[year]],10)</f>
        <v>1990</v>
      </c>
      <c r="D1377" t="s">
        <v>43</v>
      </c>
      <c r="E1377" t="s">
        <v>32</v>
      </c>
      <c r="F1377">
        <v>4</v>
      </c>
      <c r="G1377">
        <v>1</v>
      </c>
      <c r="H1377" t="s">
        <v>224</v>
      </c>
      <c r="I1377" t="s">
        <v>229</v>
      </c>
      <c r="J1377" t="s">
        <v>43</v>
      </c>
      <c r="K1377" t="b">
        <v>0</v>
      </c>
      <c r="L1377">
        <v>1993</v>
      </c>
      <c r="M1377">
        <v>56721051402</v>
      </c>
      <c r="N1377">
        <v>49945584452</v>
      </c>
      <c r="O1377" t="b">
        <v>0</v>
      </c>
      <c r="P1377">
        <v>1</v>
      </c>
      <c r="Q1377" t="str" cm="1">
        <f t="array" ref="Q1377">_xlfn.IFS(Table1[[#This Row],[Wealthier_Winner]]=-1,"Wealthier Nation Loses",Table1[[#This Row],[Wealthier_Winner]]=0,"Tie",Table1[[#This Row],[Wealthier_Winner]]=1,"Wealthier Nation Wins")</f>
        <v>Wealthier Nation Wins</v>
      </c>
    </row>
    <row r="1378" spans="1:17" x14ac:dyDescent="0.2">
      <c r="A1378" s="1">
        <v>2637</v>
      </c>
      <c r="B1378" s="2">
        <v>34154</v>
      </c>
      <c r="C1378" s="7">
        <f>_xlfn.FLOOR.MATH(Table1[[#This Row],[year]],10)</f>
        <v>1990</v>
      </c>
      <c r="D1378" t="s">
        <v>331</v>
      </c>
      <c r="E1378" t="s">
        <v>429</v>
      </c>
      <c r="F1378">
        <v>2</v>
      </c>
      <c r="G1378">
        <v>1</v>
      </c>
      <c r="H1378" t="s">
        <v>224</v>
      </c>
      <c r="I1378" t="s">
        <v>355</v>
      </c>
      <c r="J1378" t="s">
        <v>331</v>
      </c>
      <c r="K1378" t="b">
        <v>0</v>
      </c>
      <c r="L1378">
        <v>1993</v>
      </c>
      <c r="M1378">
        <v>13695962055</v>
      </c>
      <c r="N1378">
        <v>14230429128</v>
      </c>
      <c r="O1378" t="b">
        <v>0</v>
      </c>
      <c r="P1378">
        <v>-1</v>
      </c>
      <c r="Q1378" t="str" cm="1">
        <f t="array" ref="Q1378">_xlfn.IFS(Table1[[#This Row],[Wealthier_Winner]]=-1,"Wealthier Nation Loses",Table1[[#This Row],[Wealthier_Winner]]=0,"Tie",Table1[[#This Row],[Wealthier_Winner]]=1,"Wealthier Nation Wins")</f>
        <v>Wealthier Nation Loses</v>
      </c>
    </row>
    <row r="1379" spans="1:17" x14ac:dyDescent="0.2">
      <c r="A1379" s="1">
        <v>2638</v>
      </c>
      <c r="B1379" s="2">
        <v>34154</v>
      </c>
      <c r="C1379" s="7">
        <f>_xlfn.FLOOR.MATH(Table1[[#This Row],[year]],10)</f>
        <v>1990</v>
      </c>
      <c r="D1379" t="s">
        <v>273</v>
      </c>
      <c r="E1379" t="s">
        <v>24</v>
      </c>
      <c r="F1379">
        <v>2</v>
      </c>
      <c r="G1379">
        <v>1</v>
      </c>
      <c r="H1379" t="s">
        <v>224</v>
      </c>
      <c r="I1379" t="s">
        <v>330</v>
      </c>
      <c r="J1379" t="s">
        <v>273</v>
      </c>
      <c r="K1379" t="b">
        <v>0</v>
      </c>
      <c r="L1379">
        <v>1993</v>
      </c>
      <c r="M1379">
        <v>3273505343</v>
      </c>
      <c r="N1379">
        <v>31655473663</v>
      </c>
      <c r="O1379" t="b">
        <v>1</v>
      </c>
      <c r="P1379">
        <v>-1</v>
      </c>
      <c r="Q1379" t="str" cm="1">
        <f t="array" ref="Q1379">_xlfn.IFS(Table1[[#This Row],[Wealthier_Winner]]=-1,"Wealthier Nation Loses",Table1[[#This Row],[Wealthier_Winner]]=0,"Tie",Table1[[#This Row],[Wealthier_Winner]]=1,"Wealthier Nation Wins")</f>
        <v>Wealthier Nation Loses</v>
      </c>
    </row>
    <row r="1380" spans="1:17" x14ac:dyDescent="0.2">
      <c r="A1380" s="1">
        <v>2639</v>
      </c>
      <c r="B1380" s="2">
        <v>34154</v>
      </c>
      <c r="C1380" s="7">
        <f>_xlfn.FLOOR.MATH(Table1[[#This Row],[year]],10)</f>
        <v>1990</v>
      </c>
      <c r="D1380" t="s">
        <v>298</v>
      </c>
      <c r="E1380" t="s">
        <v>40</v>
      </c>
      <c r="F1380">
        <v>1</v>
      </c>
      <c r="G1380">
        <v>0</v>
      </c>
      <c r="H1380" t="s">
        <v>224</v>
      </c>
      <c r="I1380" t="s">
        <v>377</v>
      </c>
      <c r="J1380" t="s">
        <v>298</v>
      </c>
      <c r="K1380" t="b">
        <v>0</v>
      </c>
      <c r="L1380">
        <v>1993</v>
      </c>
      <c r="M1380">
        <v>6567250000</v>
      </c>
      <c r="N1380">
        <v>16181814712</v>
      </c>
      <c r="O1380" t="b">
        <v>1</v>
      </c>
      <c r="P1380">
        <v>-1</v>
      </c>
      <c r="Q1380" t="str" cm="1">
        <f t="array" ref="Q1380">_xlfn.IFS(Table1[[#This Row],[Wealthier_Winner]]=-1,"Wealthier Nation Loses",Table1[[#This Row],[Wealthier_Winner]]=0,"Tie",Table1[[#This Row],[Wealthier_Winner]]=1,"Wealthier Nation Wins")</f>
        <v>Wealthier Nation Loses</v>
      </c>
    </row>
    <row r="1381" spans="1:17" x14ac:dyDescent="0.2">
      <c r="A1381" s="1">
        <v>2640</v>
      </c>
      <c r="B1381" s="2">
        <v>34157</v>
      </c>
      <c r="C1381" s="7">
        <f>_xlfn.FLOOR.MATH(Table1[[#This Row],[year]],10)</f>
        <v>1990</v>
      </c>
      <c r="D1381" t="s">
        <v>331</v>
      </c>
      <c r="E1381" t="s">
        <v>210</v>
      </c>
      <c r="F1381">
        <v>1</v>
      </c>
      <c r="G1381">
        <v>1</v>
      </c>
      <c r="H1381" t="s">
        <v>224</v>
      </c>
      <c r="I1381" t="s">
        <v>355</v>
      </c>
      <c r="J1381" t="s">
        <v>331</v>
      </c>
      <c r="K1381" t="b">
        <v>0</v>
      </c>
      <c r="L1381">
        <v>1993</v>
      </c>
      <c r="M1381">
        <v>13695962055</v>
      </c>
      <c r="N1381">
        <v>63743623232</v>
      </c>
      <c r="O1381" t="b">
        <v>1</v>
      </c>
      <c r="P1381">
        <v>0</v>
      </c>
      <c r="Q1381" t="str" cm="1">
        <f t="array" ref="Q1381">_xlfn.IFS(Table1[[#This Row],[Wealthier_Winner]]=-1,"Wealthier Nation Loses",Table1[[#This Row],[Wealthier_Winner]]=0,"Tie",Table1[[#This Row],[Wealthier_Winner]]=1,"Wealthier Nation Wins")</f>
        <v>Tie</v>
      </c>
    </row>
    <row r="1382" spans="1:17" x14ac:dyDescent="0.2">
      <c r="A1382" s="1">
        <v>2642</v>
      </c>
      <c r="B1382" s="2">
        <v>34167</v>
      </c>
      <c r="C1382" s="7">
        <f>_xlfn.FLOOR.MATH(Table1[[#This Row],[year]],10)</f>
        <v>1990</v>
      </c>
      <c r="D1382" t="s">
        <v>54</v>
      </c>
      <c r="E1382" t="s">
        <v>24</v>
      </c>
      <c r="F1382">
        <v>1</v>
      </c>
      <c r="G1382">
        <v>3</v>
      </c>
      <c r="H1382" t="s">
        <v>224</v>
      </c>
      <c r="I1382" t="s">
        <v>285</v>
      </c>
      <c r="J1382" t="s">
        <v>54</v>
      </c>
      <c r="K1382" t="b">
        <v>0</v>
      </c>
      <c r="L1382">
        <v>1993</v>
      </c>
      <c r="M1382">
        <v>7367986241</v>
      </c>
      <c r="N1382">
        <v>31655473663</v>
      </c>
      <c r="O1382" t="b">
        <v>1</v>
      </c>
      <c r="P1382">
        <v>1</v>
      </c>
      <c r="Q1382" t="str" cm="1">
        <f t="array" ref="Q1382">_xlfn.IFS(Table1[[#This Row],[Wealthier_Winner]]=-1,"Wealthier Nation Loses",Table1[[#This Row],[Wealthier_Winner]]=0,"Tie",Table1[[#This Row],[Wealthier_Winner]]=1,"Wealthier Nation Wins")</f>
        <v>Wealthier Nation Wins</v>
      </c>
    </row>
    <row r="1383" spans="1:17" x14ac:dyDescent="0.2">
      <c r="A1383" s="1">
        <v>2643</v>
      </c>
      <c r="B1383" s="2">
        <v>34168</v>
      </c>
      <c r="C1383" s="7">
        <f>_xlfn.FLOOR.MATH(Table1[[#This Row],[year]],10)</f>
        <v>1990</v>
      </c>
      <c r="D1383" t="s">
        <v>57</v>
      </c>
      <c r="E1383" t="s">
        <v>13</v>
      </c>
      <c r="F1383">
        <v>0</v>
      </c>
      <c r="G1383">
        <v>0</v>
      </c>
      <c r="H1383" t="s">
        <v>224</v>
      </c>
      <c r="I1383" t="s">
        <v>237</v>
      </c>
      <c r="J1383" t="s">
        <v>57</v>
      </c>
      <c r="K1383" t="b">
        <v>0</v>
      </c>
      <c r="L1383">
        <v>1993</v>
      </c>
      <c r="M1383">
        <v>18938717358</v>
      </c>
      <c r="N1383">
        <v>368295778245</v>
      </c>
      <c r="O1383" t="b">
        <v>1</v>
      </c>
      <c r="P1383">
        <v>0</v>
      </c>
      <c r="Q1383" t="str" cm="1">
        <f t="array" ref="Q1383">_xlfn.IFS(Table1[[#This Row],[Wealthier_Winner]]=-1,"Wealthier Nation Loses",Table1[[#This Row],[Wealthier_Winner]]=0,"Tie",Table1[[#This Row],[Wealthier_Winner]]=1,"Wealthier Nation Wins")</f>
        <v>Tie</v>
      </c>
    </row>
    <row r="1384" spans="1:17" x14ac:dyDescent="0.2">
      <c r="A1384" s="1">
        <v>2644</v>
      </c>
      <c r="B1384" s="2">
        <v>34168</v>
      </c>
      <c r="C1384" s="7">
        <f>_xlfn.FLOOR.MATH(Table1[[#This Row],[year]],10)</f>
        <v>1990</v>
      </c>
      <c r="D1384" t="s">
        <v>305</v>
      </c>
      <c r="E1384" t="s">
        <v>40</v>
      </c>
      <c r="F1384">
        <v>0</v>
      </c>
      <c r="G1384">
        <v>1</v>
      </c>
      <c r="H1384" t="s">
        <v>224</v>
      </c>
      <c r="I1384" t="s">
        <v>306</v>
      </c>
      <c r="J1384" t="s">
        <v>305</v>
      </c>
      <c r="K1384" t="b">
        <v>0</v>
      </c>
      <c r="L1384">
        <v>1993</v>
      </c>
      <c r="M1384">
        <v>4781166116</v>
      </c>
      <c r="N1384">
        <v>16181814712</v>
      </c>
      <c r="O1384" t="b">
        <v>1</v>
      </c>
      <c r="P1384">
        <v>1</v>
      </c>
      <c r="Q1384" t="str" cm="1">
        <f t="array" ref="Q1384">_xlfn.IFS(Table1[[#This Row],[Wealthier_Winner]]=-1,"Wealthier Nation Loses",Table1[[#This Row],[Wealthier_Winner]]=0,"Tie",Table1[[#This Row],[Wealthier_Winner]]=1,"Wealthier Nation Wins")</f>
        <v>Wealthier Nation Wins</v>
      </c>
    </row>
    <row r="1385" spans="1:17" x14ac:dyDescent="0.2">
      <c r="A1385" s="1">
        <v>2646</v>
      </c>
      <c r="B1385" s="2">
        <v>34168</v>
      </c>
      <c r="C1385" s="7">
        <f>_xlfn.FLOOR.MATH(Table1[[#This Row],[year]],10)</f>
        <v>1990</v>
      </c>
      <c r="D1385" t="s">
        <v>258</v>
      </c>
      <c r="E1385" t="s">
        <v>47</v>
      </c>
      <c r="F1385">
        <v>1</v>
      </c>
      <c r="G1385">
        <v>7</v>
      </c>
      <c r="H1385" t="s">
        <v>224</v>
      </c>
      <c r="I1385" t="s">
        <v>487</v>
      </c>
      <c r="J1385" t="s">
        <v>258</v>
      </c>
      <c r="K1385" t="b">
        <v>0</v>
      </c>
      <c r="L1385">
        <v>1993</v>
      </c>
      <c r="M1385">
        <v>60037460783</v>
      </c>
      <c r="N1385">
        <v>5734699488</v>
      </c>
      <c r="O1385" t="b">
        <v>1</v>
      </c>
      <c r="P1385">
        <v>-1</v>
      </c>
      <c r="Q1385" t="str" cm="1">
        <f t="array" ref="Q1385">_xlfn.IFS(Table1[[#This Row],[Wealthier_Winner]]=-1,"Wealthier Nation Loses",Table1[[#This Row],[Wealthier_Winner]]=0,"Tie",Table1[[#This Row],[Wealthier_Winner]]=1,"Wealthier Nation Wins")</f>
        <v>Wealthier Nation Loses</v>
      </c>
    </row>
    <row r="1386" spans="1:17" x14ac:dyDescent="0.2">
      <c r="A1386" s="1">
        <v>2647</v>
      </c>
      <c r="B1386" s="2">
        <v>34175</v>
      </c>
      <c r="C1386" s="7">
        <f>_xlfn.FLOOR.MATH(Table1[[#This Row],[year]],10)</f>
        <v>1990</v>
      </c>
      <c r="D1386" t="s">
        <v>47</v>
      </c>
      <c r="E1386" t="s">
        <v>13</v>
      </c>
      <c r="F1386">
        <v>2</v>
      </c>
      <c r="G1386">
        <v>0</v>
      </c>
      <c r="H1386" t="s">
        <v>224</v>
      </c>
      <c r="I1386" t="s">
        <v>246</v>
      </c>
      <c r="J1386" t="s">
        <v>47</v>
      </c>
      <c r="K1386" t="b">
        <v>0</v>
      </c>
      <c r="L1386">
        <v>1993</v>
      </c>
      <c r="M1386">
        <v>5734699488</v>
      </c>
      <c r="N1386">
        <v>368295778245</v>
      </c>
      <c r="O1386" t="b">
        <v>1</v>
      </c>
      <c r="P1386">
        <v>-1</v>
      </c>
      <c r="Q1386" t="str" cm="1">
        <f t="array" ref="Q1386">_xlfn.IFS(Table1[[#This Row],[Wealthier_Winner]]=-1,"Wealthier Nation Loses",Table1[[#This Row],[Wealthier_Winner]]=0,"Tie",Table1[[#This Row],[Wealthier_Winner]]=1,"Wealthier Nation Wins")</f>
        <v>Wealthier Nation Loses</v>
      </c>
    </row>
    <row r="1387" spans="1:17" x14ac:dyDescent="0.2">
      <c r="A1387" s="1">
        <v>2648</v>
      </c>
      <c r="B1387" s="2">
        <v>34175</v>
      </c>
      <c r="C1387" s="7">
        <f>_xlfn.FLOOR.MATH(Table1[[#This Row],[year]],10)</f>
        <v>1990</v>
      </c>
      <c r="D1387" t="s">
        <v>258</v>
      </c>
      <c r="E1387" t="s">
        <v>26</v>
      </c>
      <c r="F1387">
        <v>0</v>
      </c>
      <c r="G1387">
        <v>1</v>
      </c>
      <c r="H1387" t="s">
        <v>224</v>
      </c>
      <c r="I1387" t="s">
        <v>416</v>
      </c>
      <c r="J1387" t="s">
        <v>258</v>
      </c>
      <c r="K1387" t="b">
        <v>0</v>
      </c>
      <c r="L1387">
        <v>1993</v>
      </c>
      <c r="M1387">
        <v>60037460783</v>
      </c>
      <c r="N1387">
        <v>15002136971</v>
      </c>
      <c r="O1387" t="b">
        <v>1</v>
      </c>
      <c r="P1387">
        <v>-1</v>
      </c>
      <c r="Q1387" t="str" cm="1">
        <f t="array" ref="Q1387">_xlfn.IFS(Table1[[#This Row],[Wealthier_Winner]]=-1,"Wealthier Nation Loses",Table1[[#This Row],[Wealthier_Winner]]=0,"Tie",Table1[[#This Row],[Wealthier_Winner]]=1,"Wealthier Nation Wins")</f>
        <v>Wealthier Nation Loses</v>
      </c>
    </row>
    <row r="1388" spans="1:17" x14ac:dyDescent="0.2">
      <c r="A1388" s="1">
        <v>2649</v>
      </c>
      <c r="B1388" s="2">
        <v>34181</v>
      </c>
      <c r="C1388" s="7">
        <f>_xlfn.FLOOR.MATH(Table1[[#This Row],[year]],10)</f>
        <v>1990</v>
      </c>
      <c r="D1388" t="s">
        <v>34</v>
      </c>
      <c r="E1388" t="s">
        <v>28</v>
      </c>
      <c r="F1388">
        <v>2</v>
      </c>
      <c r="G1388">
        <v>1</v>
      </c>
      <c r="H1388" t="s">
        <v>224</v>
      </c>
      <c r="I1388" t="s">
        <v>488</v>
      </c>
      <c r="J1388" t="s">
        <v>34</v>
      </c>
      <c r="K1388" t="b">
        <v>0</v>
      </c>
      <c r="L1388">
        <v>1993</v>
      </c>
      <c r="M1388">
        <v>579053561739</v>
      </c>
      <c r="N1388">
        <v>312568858909</v>
      </c>
      <c r="O1388" t="b">
        <v>0</v>
      </c>
      <c r="P1388">
        <v>1</v>
      </c>
      <c r="Q1388" t="str" cm="1">
        <f t="array" ref="Q1388">_xlfn.IFS(Table1[[#This Row],[Wealthier_Winner]]=-1,"Wealthier Nation Loses",Table1[[#This Row],[Wealthier_Winner]]=0,"Tie",Table1[[#This Row],[Wealthier_Winner]]=1,"Wealthier Nation Wins")</f>
        <v>Wealthier Nation Wins</v>
      </c>
    </row>
    <row r="1389" spans="1:17" x14ac:dyDescent="0.2">
      <c r="A1389" s="1">
        <v>2650</v>
      </c>
      <c r="B1389" s="2">
        <v>34182</v>
      </c>
      <c r="C1389" s="7">
        <f>_xlfn.FLOOR.MATH(Table1[[#This Row],[year]],10)</f>
        <v>1990</v>
      </c>
      <c r="D1389" t="s">
        <v>15</v>
      </c>
      <c r="E1389" t="s">
        <v>35</v>
      </c>
      <c r="F1389">
        <v>0</v>
      </c>
      <c r="G1389">
        <v>0</v>
      </c>
      <c r="H1389" t="s">
        <v>224</v>
      </c>
      <c r="I1389" t="s">
        <v>261</v>
      </c>
      <c r="J1389" t="s">
        <v>15</v>
      </c>
      <c r="K1389" t="b">
        <v>0</v>
      </c>
      <c r="L1389">
        <v>1993</v>
      </c>
      <c r="M1389">
        <v>66446804802</v>
      </c>
      <c r="N1389">
        <v>7249533620</v>
      </c>
      <c r="O1389" t="b">
        <v>1</v>
      </c>
      <c r="P1389">
        <v>0</v>
      </c>
      <c r="Q1389" t="str" cm="1">
        <f t="array" ref="Q1389">_xlfn.IFS(Table1[[#This Row],[Wealthier_Winner]]=-1,"Wealthier Nation Loses",Table1[[#This Row],[Wealthier_Winner]]=0,"Tie",Table1[[#This Row],[Wealthier_Winner]]=1,"Wealthier Nation Wins")</f>
        <v>Tie</v>
      </c>
    </row>
    <row r="1390" spans="1:17" x14ac:dyDescent="0.2">
      <c r="A1390" s="1">
        <v>2651</v>
      </c>
      <c r="B1390" s="2">
        <v>34182</v>
      </c>
      <c r="C1390" s="7">
        <f>_xlfn.FLOOR.MATH(Table1[[#This Row],[year]],10)</f>
        <v>1990</v>
      </c>
      <c r="D1390" t="s">
        <v>31</v>
      </c>
      <c r="E1390" t="s">
        <v>19</v>
      </c>
      <c r="F1390">
        <v>0</v>
      </c>
      <c r="G1390">
        <v>1</v>
      </c>
      <c r="H1390" t="s">
        <v>224</v>
      </c>
      <c r="I1390" t="s">
        <v>242</v>
      </c>
      <c r="J1390" t="s">
        <v>31</v>
      </c>
      <c r="K1390" t="b">
        <v>0</v>
      </c>
      <c r="L1390">
        <v>1993</v>
      </c>
      <c r="M1390">
        <v>34832077220</v>
      </c>
      <c r="N1390">
        <v>236741715015</v>
      </c>
      <c r="O1390" t="b">
        <v>1</v>
      </c>
      <c r="P1390">
        <v>1</v>
      </c>
      <c r="Q1390" t="str" cm="1">
        <f t="array" ref="Q1390">_xlfn.IFS(Table1[[#This Row],[Wealthier_Winner]]=-1,"Wealthier Nation Loses",Table1[[#This Row],[Wealthier_Winner]]=0,"Tie",Table1[[#This Row],[Wealthier_Winner]]=1,"Wealthier Nation Wins")</f>
        <v>Wealthier Nation Wins</v>
      </c>
    </row>
    <row r="1391" spans="1:17" x14ac:dyDescent="0.2">
      <c r="A1391" s="1">
        <v>2652</v>
      </c>
      <c r="B1391" s="2">
        <v>34182</v>
      </c>
      <c r="C1391" s="7">
        <f>_xlfn.FLOOR.MATH(Table1[[#This Row],[year]],10)</f>
        <v>1990</v>
      </c>
      <c r="D1391" t="s">
        <v>26</v>
      </c>
      <c r="E1391" t="s">
        <v>57</v>
      </c>
      <c r="F1391">
        <v>0</v>
      </c>
      <c r="G1391">
        <v>0</v>
      </c>
      <c r="H1391" t="s">
        <v>224</v>
      </c>
      <c r="I1391" t="s">
        <v>247</v>
      </c>
      <c r="J1391" t="s">
        <v>26</v>
      </c>
      <c r="K1391" t="b">
        <v>0</v>
      </c>
      <c r="L1391">
        <v>1993</v>
      </c>
      <c r="M1391">
        <v>15002136971</v>
      </c>
      <c r="N1391">
        <v>18938717358</v>
      </c>
      <c r="O1391" t="b">
        <v>0</v>
      </c>
      <c r="P1391">
        <v>0</v>
      </c>
      <c r="Q1391" t="str" cm="1">
        <f t="array" ref="Q1391">_xlfn.IFS(Table1[[#This Row],[Wealthier_Winner]]=-1,"Wealthier Nation Loses",Table1[[#This Row],[Wealthier_Winner]]=0,"Tie",Table1[[#This Row],[Wealthier_Winner]]=1,"Wealthier Nation Wins")</f>
        <v>Tie</v>
      </c>
    </row>
    <row r="1392" spans="1:17" x14ac:dyDescent="0.2">
      <c r="A1392" s="1">
        <v>2653</v>
      </c>
      <c r="B1392" s="2">
        <v>34182</v>
      </c>
      <c r="C1392" s="7">
        <f>_xlfn.FLOOR.MATH(Table1[[#This Row],[year]],10)</f>
        <v>1990</v>
      </c>
      <c r="D1392" t="s">
        <v>258</v>
      </c>
      <c r="E1392" t="s">
        <v>13</v>
      </c>
      <c r="F1392">
        <v>1</v>
      </c>
      <c r="G1392">
        <v>5</v>
      </c>
      <c r="H1392" t="s">
        <v>224</v>
      </c>
      <c r="I1392" t="s">
        <v>416</v>
      </c>
      <c r="J1392" t="s">
        <v>258</v>
      </c>
      <c r="K1392" t="b">
        <v>0</v>
      </c>
      <c r="L1392">
        <v>1993</v>
      </c>
      <c r="M1392">
        <v>60037460783</v>
      </c>
      <c r="N1392">
        <v>368295778245</v>
      </c>
      <c r="O1392" t="b">
        <v>1</v>
      </c>
      <c r="P1392">
        <v>1</v>
      </c>
      <c r="Q1392" t="str" cm="1">
        <f t="array" ref="Q1392">_xlfn.IFS(Table1[[#This Row],[Wealthier_Winner]]=-1,"Wealthier Nation Loses",Table1[[#This Row],[Wealthier_Winner]]=0,"Tie",Table1[[#This Row],[Wealthier_Winner]]=1,"Wealthier Nation Wins")</f>
        <v>Wealthier Nation Wins</v>
      </c>
    </row>
    <row r="1393" spans="1:17" x14ac:dyDescent="0.2">
      <c r="A1393" s="1">
        <v>2654</v>
      </c>
      <c r="B1393" s="2">
        <v>34188</v>
      </c>
      <c r="C1393" s="7">
        <f>_xlfn.FLOOR.MATH(Table1[[#This Row],[year]],10)</f>
        <v>1990</v>
      </c>
      <c r="D1393" t="s">
        <v>54</v>
      </c>
      <c r="E1393" t="s">
        <v>273</v>
      </c>
      <c r="F1393">
        <v>0</v>
      </c>
      <c r="G1393">
        <v>0</v>
      </c>
      <c r="H1393" t="s">
        <v>224</v>
      </c>
      <c r="I1393" t="s">
        <v>489</v>
      </c>
      <c r="J1393" t="s">
        <v>490</v>
      </c>
      <c r="K1393" t="b">
        <v>1</v>
      </c>
      <c r="L1393">
        <v>1993</v>
      </c>
      <c r="M1393">
        <v>7367986241</v>
      </c>
      <c r="N1393">
        <v>3273505343</v>
      </c>
      <c r="O1393" t="b">
        <v>1</v>
      </c>
      <c r="P1393">
        <v>0</v>
      </c>
      <c r="Q1393" t="str" cm="1">
        <f t="array" ref="Q1393">_xlfn.IFS(Table1[[#This Row],[Wealthier_Winner]]=-1,"Wealthier Nation Loses",Table1[[#This Row],[Wealthier_Winner]]=0,"Tie",Table1[[#This Row],[Wealthier_Winner]]=1,"Wealthier Nation Wins")</f>
        <v>Tie</v>
      </c>
    </row>
    <row r="1394" spans="1:17" x14ac:dyDescent="0.2">
      <c r="A1394" s="1">
        <v>2655</v>
      </c>
      <c r="B1394" s="2">
        <v>34189</v>
      </c>
      <c r="C1394" s="7">
        <f>_xlfn.FLOOR.MATH(Table1[[#This Row],[year]],10)</f>
        <v>1990</v>
      </c>
      <c r="D1394" t="s">
        <v>47</v>
      </c>
      <c r="E1394" t="s">
        <v>26</v>
      </c>
      <c r="F1394">
        <v>3</v>
      </c>
      <c r="G1394">
        <v>1</v>
      </c>
      <c r="H1394" t="s">
        <v>224</v>
      </c>
      <c r="I1394" t="s">
        <v>246</v>
      </c>
      <c r="J1394" t="s">
        <v>47</v>
      </c>
      <c r="K1394" t="b">
        <v>0</v>
      </c>
      <c r="L1394">
        <v>1993</v>
      </c>
      <c r="M1394">
        <v>5734699488</v>
      </c>
      <c r="N1394">
        <v>15002136971</v>
      </c>
      <c r="O1394" t="b">
        <v>1</v>
      </c>
      <c r="P1394">
        <v>-1</v>
      </c>
      <c r="Q1394" t="str" cm="1">
        <f t="array" ref="Q1394">_xlfn.IFS(Table1[[#This Row],[Wealthier_Winner]]=-1,"Wealthier Nation Loses",Table1[[#This Row],[Wealthier_Winner]]=0,"Tie",Table1[[#This Row],[Wealthier_Winner]]=1,"Wealthier Nation Wins")</f>
        <v>Wealthier Nation Loses</v>
      </c>
    </row>
    <row r="1395" spans="1:17" x14ac:dyDescent="0.2">
      <c r="A1395" s="1">
        <v>2656</v>
      </c>
      <c r="B1395" s="2">
        <v>34189</v>
      </c>
      <c r="C1395" s="7">
        <f>_xlfn.FLOOR.MATH(Table1[[#This Row],[year]],10)</f>
        <v>1990</v>
      </c>
      <c r="D1395" t="s">
        <v>57</v>
      </c>
      <c r="E1395" t="s">
        <v>258</v>
      </c>
      <c r="F1395">
        <v>5</v>
      </c>
      <c r="G1395">
        <v>0</v>
      </c>
      <c r="H1395" t="s">
        <v>224</v>
      </c>
      <c r="I1395" t="s">
        <v>335</v>
      </c>
      <c r="J1395" t="s">
        <v>57</v>
      </c>
      <c r="K1395" t="b">
        <v>0</v>
      </c>
      <c r="L1395">
        <v>1993</v>
      </c>
      <c r="M1395">
        <v>18938717358</v>
      </c>
      <c r="N1395">
        <v>60037460783</v>
      </c>
      <c r="O1395" t="b">
        <v>1</v>
      </c>
      <c r="P1395">
        <v>-1</v>
      </c>
      <c r="Q1395" t="str" cm="1">
        <f t="array" ref="Q1395">_xlfn.IFS(Table1[[#This Row],[Wealthier_Winner]]=-1,"Wealthier Nation Loses",Table1[[#This Row],[Wealthier_Winner]]=0,"Tie",Table1[[#This Row],[Wealthier_Winner]]=1,"Wealthier Nation Wins")</f>
        <v>Wealthier Nation Loses</v>
      </c>
    </row>
    <row r="1396" spans="1:17" x14ac:dyDescent="0.2">
      <c r="A1396" s="1">
        <v>2657</v>
      </c>
      <c r="B1396" s="2">
        <v>34189</v>
      </c>
      <c r="C1396" s="7">
        <f>_xlfn.FLOOR.MATH(Table1[[#This Row],[year]],10)</f>
        <v>1990</v>
      </c>
      <c r="D1396" t="s">
        <v>35</v>
      </c>
      <c r="E1396" t="s">
        <v>19</v>
      </c>
      <c r="F1396">
        <v>1</v>
      </c>
      <c r="G1396">
        <v>3</v>
      </c>
      <c r="H1396" t="s">
        <v>224</v>
      </c>
      <c r="I1396" t="s">
        <v>250</v>
      </c>
      <c r="J1396" t="s">
        <v>35</v>
      </c>
      <c r="K1396" t="b">
        <v>0</v>
      </c>
      <c r="L1396">
        <v>1993</v>
      </c>
      <c r="M1396">
        <v>7249533620</v>
      </c>
      <c r="N1396">
        <v>236741715015</v>
      </c>
      <c r="O1396" t="b">
        <v>1</v>
      </c>
      <c r="P1396">
        <v>1</v>
      </c>
      <c r="Q1396" t="str" cm="1">
        <f t="array" ref="Q1396">_xlfn.IFS(Table1[[#This Row],[Wealthier_Winner]]=-1,"Wealthier Nation Loses",Table1[[#This Row],[Wealthier_Winner]]=0,"Tie",Table1[[#This Row],[Wealthier_Winner]]=1,"Wealthier Nation Wins")</f>
        <v>Wealthier Nation Wins</v>
      </c>
    </row>
    <row r="1397" spans="1:17" x14ac:dyDescent="0.2">
      <c r="A1397" s="1">
        <v>2658</v>
      </c>
      <c r="B1397" s="2">
        <v>34189</v>
      </c>
      <c r="C1397" s="7">
        <f>_xlfn.FLOOR.MATH(Table1[[#This Row],[year]],10)</f>
        <v>1990</v>
      </c>
      <c r="D1397" t="s">
        <v>31</v>
      </c>
      <c r="E1397" t="s">
        <v>15</v>
      </c>
      <c r="F1397">
        <v>0</v>
      </c>
      <c r="G1397">
        <v>1</v>
      </c>
      <c r="H1397" t="s">
        <v>224</v>
      </c>
      <c r="I1397" t="s">
        <v>242</v>
      </c>
      <c r="J1397" t="s">
        <v>31</v>
      </c>
      <c r="K1397" t="b">
        <v>0</v>
      </c>
      <c r="L1397">
        <v>1993</v>
      </c>
      <c r="M1397">
        <v>34832077220</v>
      </c>
      <c r="N1397">
        <v>66446804802</v>
      </c>
      <c r="O1397" t="b">
        <v>0</v>
      </c>
      <c r="P1397">
        <v>1</v>
      </c>
      <c r="Q1397" t="str" cm="1">
        <f t="array" ref="Q1397">_xlfn.IFS(Table1[[#This Row],[Wealthier_Winner]]=-1,"Wealthier Nation Loses",Table1[[#This Row],[Wealthier_Winner]]=0,"Tie",Table1[[#This Row],[Wealthier_Winner]]=1,"Wealthier Nation Wins")</f>
        <v>Wealthier Nation Wins</v>
      </c>
    </row>
    <row r="1398" spans="1:17" x14ac:dyDescent="0.2">
      <c r="A1398" s="1">
        <v>2659</v>
      </c>
      <c r="B1398" s="2">
        <v>34196</v>
      </c>
      <c r="C1398" s="7">
        <f>_xlfn.FLOOR.MATH(Table1[[#This Row],[year]],10)</f>
        <v>1990</v>
      </c>
      <c r="D1398" t="s">
        <v>35</v>
      </c>
      <c r="E1398" t="s">
        <v>31</v>
      </c>
      <c r="F1398">
        <v>2</v>
      </c>
      <c r="G1398">
        <v>1</v>
      </c>
      <c r="H1398" t="s">
        <v>224</v>
      </c>
      <c r="I1398" t="s">
        <v>250</v>
      </c>
      <c r="J1398" t="s">
        <v>35</v>
      </c>
      <c r="K1398" t="b">
        <v>0</v>
      </c>
      <c r="L1398">
        <v>1993</v>
      </c>
      <c r="M1398">
        <v>7249533620</v>
      </c>
      <c r="N1398">
        <v>34832077220</v>
      </c>
      <c r="O1398" t="b">
        <v>1</v>
      </c>
      <c r="P1398">
        <v>-1</v>
      </c>
      <c r="Q1398" t="str" cm="1">
        <f t="array" ref="Q1398">_xlfn.IFS(Table1[[#This Row],[Wealthier_Winner]]=-1,"Wealthier Nation Loses",Table1[[#This Row],[Wealthier_Winner]]=0,"Tie",Table1[[#This Row],[Wealthier_Winner]]=1,"Wealthier Nation Wins")</f>
        <v>Wealthier Nation Loses</v>
      </c>
    </row>
    <row r="1399" spans="1:17" x14ac:dyDescent="0.2">
      <c r="A1399" s="1">
        <v>2660</v>
      </c>
      <c r="B1399" s="2">
        <v>34196</v>
      </c>
      <c r="C1399" s="7">
        <f>_xlfn.FLOOR.MATH(Table1[[#This Row],[year]],10)</f>
        <v>1990</v>
      </c>
      <c r="D1399" t="s">
        <v>28</v>
      </c>
      <c r="E1399" t="s">
        <v>34</v>
      </c>
      <c r="F1399">
        <v>2</v>
      </c>
      <c r="G1399">
        <v>1</v>
      </c>
      <c r="H1399" t="s">
        <v>224</v>
      </c>
      <c r="I1399" t="s">
        <v>301</v>
      </c>
      <c r="J1399" t="s">
        <v>28</v>
      </c>
      <c r="K1399" t="b">
        <v>0</v>
      </c>
      <c r="L1399">
        <v>1993</v>
      </c>
      <c r="M1399">
        <v>312568858909</v>
      </c>
      <c r="N1399">
        <v>579053561739</v>
      </c>
      <c r="O1399" t="b">
        <v>0</v>
      </c>
      <c r="P1399">
        <v>-1</v>
      </c>
      <c r="Q1399" t="str" cm="1">
        <f t="array" ref="Q1399">_xlfn.IFS(Table1[[#This Row],[Wealthier_Winner]]=-1,"Wealthier Nation Loses",Table1[[#This Row],[Wealthier_Winner]]=0,"Tie",Table1[[#This Row],[Wealthier_Winner]]=1,"Wealthier Nation Wins")</f>
        <v>Wealthier Nation Loses</v>
      </c>
    </row>
    <row r="1400" spans="1:17" x14ac:dyDescent="0.2">
      <c r="A1400" s="1">
        <v>2661</v>
      </c>
      <c r="B1400" s="2">
        <v>34196</v>
      </c>
      <c r="C1400" s="7">
        <f>_xlfn.FLOOR.MATH(Table1[[#This Row],[year]],10)</f>
        <v>1990</v>
      </c>
      <c r="D1400" t="s">
        <v>47</v>
      </c>
      <c r="E1400" t="s">
        <v>57</v>
      </c>
      <c r="F1400">
        <v>1</v>
      </c>
      <c r="G1400">
        <v>0</v>
      </c>
      <c r="H1400" t="s">
        <v>224</v>
      </c>
      <c r="I1400" t="s">
        <v>246</v>
      </c>
      <c r="J1400" t="s">
        <v>47</v>
      </c>
      <c r="K1400" t="b">
        <v>0</v>
      </c>
      <c r="L1400">
        <v>1993</v>
      </c>
      <c r="M1400">
        <v>5734699488</v>
      </c>
      <c r="N1400">
        <v>18938717358</v>
      </c>
      <c r="O1400" t="b">
        <v>1</v>
      </c>
      <c r="P1400">
        <v>-1</v>
      </c>
      <c r="Q1400" t="str" cm="1">
        <f t="array" ref="Q1400">_xlfn.IFS(Table1[[#This Row],[Wealthier_Winner]]=-1,"Wealthier Nation Loses",Table1[[#This Row],[Wealthier_Winner]]=0,"Tie",Table1[[#This Row],[Wealthier_Winner]]=1,"Wealthier Nation Wins")</f>
        <v>Wealthier Nation Loses</v>
      </c>
    </row>
    <row r="1401" spans="1:17" x14ac:dyDescent="0.2">
      <c r="A1401" s="1">
        <v>2662</v>
      </c>
      <c r="B1401" s="2">
        <v>34196</v>
      </c>
      <c r="C1401" s="7">
        <f>_xlfn.FLOOR.MATH(Table1[[#This Row],[year]],10)</f>
        <v>1990</v>
      </c>
      <c r="D1401" t="s">
        <v>15</v>
      </c>
      <c r="E1401" t="s">
        <v>19</v>
      </c>
      <c r="F1401">
        <v>2</v>
      </c>
      <c r="G1401">
        <v>1</v>
      </c>
      <c r="H1401" t="s">
        <v>224</v>
      </c>
      <c r="I1401" t="s">
        <v>261</v>
      </c>
      <c r="J1401" t="s">
        <v>15</v>
      </c>
      <c r="K1401" t="b">
        <v>0</v>
      </c>
      <c r="L1401">
        <v>1993</v>
      </c>
      <c r="M1401">
        <v>66446804802</v>
      </c>
      <c r="N1401">
        <v>236741715015</v>
      </c>
      <c r="O1401" t="b">
        <v>1</v>
      </c>
      <c r="P1401">
        <v>-1</v>
      </c>
      <c r="Q1401" t="str" cm="1">
        <f t="array" ref="Q1401">_xlfn.IFS(Table1[[#This Row],[Wealthier_Winner]]=-1,"Wealthier Nation Loses",Table1[[#This Row],[Wealthier_Winner]]=0,"Tie",Table1[[#This Row],[Wealthier_Winner]]=1,"Wealthier Nation Wins")</f>
        <v>Wealthier Nation Loses</v>
      </c>
    </row>
    <row r="1402" spans="1:17" x14ac:dyDescent="0.2">
      <c r="A1402" s="1">
        <v>2663</v>
      </c>
      <c r="B1402" s="2">
        <v>34196</v>
      </c>
      <c r="C1402" s="7">
        <f>_xlfn.FLOOR.MATH(Table1[[#This Row],[year]],10)</f>
        <v>1990</v>
      </c>
      <c r="D1402" t="s">
        <v>26</v>
      </c>
      <c r="E1402" t="s">
        <v>13</v>
      </c>
      <c r="F1402">
        <v>1</v>
      </c>
      <c r="G1402">
        <v>1</v>
      </c>
      <c r="H1402" t="s">
        <v>224</v>
      </c>
      <c r="I1402" t="s">
        <v>247</v>
      </c>
      <c r="J1402" t="s">
        <v>26</v>
      </c>
      <c r="K1402" t="b">
        <v>0</v>
      </c>
      <c r="L1402">
        <v>1993</v>
      </c>
      <c r="M1402">
        <v>15002136971</v>
      </c>
      <c r="N1402">
        <v>368295778245</v>
      </c>
      <c r="O1402" t="b">
        <v>1</v>
      </c>
      <c r="P1402">
        <v>0</v>
      </c>
      <c r="Q1402" t="str" cm="1">
        <f t="array" ref="Q1402">_xlfn.IFS(Table1[[#This Row],[Wealthier_Winner]]=-1,"Wealthier Nation Loses",Table1[[#This Row],[Wealthier_Winner]]=0,"Tie",Table1[[#This Row],[Wealthier_Winner]]=1,"Wealthier Nation Wins")</f>
        <v>Tie</v>
      </c>
    </row>
    <row r="1403" spans="1:17" x14ac:dyDescent="0.2">
      <c r="A1403" s="1">
        <v>2664</v>
      </c>
      <c r="B1403" s="2">
        <v>34203</v>
      </c>
      <c r="C1403" s="7">
        <f>_xlfn.FLOOR.MATH(Table1[[#This Row],[year]],10)</f>
        <v>1990</v>
      </c>
      <c r="D1403" t="s">
        <v>19</v>
      </c>
      <c r="E1403" t="s">
        <v>31</v>
      </c>
      <c r="F1403">
        <v>2</v>
      </c>
      <c r="G1403">
        <v>1</v>
      </c>
      <c r="H1403" t="s">
        <v>224</v>
      </c>
      <c r="I1403" t="s">
        <v>93</v>
      </c>
      <c r="J1403" t="s">
        <v>19</v>
      </c>
      <c r="K1403" t="b">
        <v>0</v>
      </c>
      <c r="L1403">
        <v>1993</v>
      </c>
      <c r="M1403">
        <v>236741715015</v>
      </c>
      <c r="N1403">
        <v>34832077220</v>
      </c>
      <c r="O1403" t="b">
        <v>1</v>
      </c>
      <c r="P1403">
        <v>1</v>
      </c>
      <c r="Q1403" t="str" cm="1">
        <f t="array" ref="Q1403">_xlfn.IFS(Table1[[#This Row],[Wealthier_Winner]]=-1,"Wealthier Nation Loses",Table1[[#This Row],[Wealthier_Winner]]=0,"Tie",Table1[[#This Row],[Wealthier_Winner]]=1,"Wealthier Nation Wins")</f>
        <v>Wealthier Nation Wins</v>
      </c>
    </row>
    <row r="1404" spans="1:17" x14ac:dyDescent="0.2">
      <c r="A1404" s="1">
        <v>2665</v>
      </c>
      <c r="B1404" s="2">
        <v>34203</v>
      </c>
      <c r="C1404" s="7">
        <f>_xlfn.FLOOR.MATH(Table1[[#This Row],[year]],10)</f>
        <v>1990</v>
      </c>
      <c r="D1404" t="s">
        <v>47</v>
      </c>
      <c r="E1404" t="s">
        <v>258</v>
      </c>
      <c r="F1404">
        <v>7</v>
      </c>
      <c r="G1404">
        <v>0</v>
      </c>
      <c r="H1404" t="s">
        <v>224</v>
      </c>
      <c r="I1404" t="s">
        <v>246</v>
      </c>
      <c r="J1404" t="s">
        <v>47</v>
      </c>
      <c r="K1404" t="b">
        <v>0</v>
      </c>
      <c r="L1404">
        <v>1993</v>
      </c>
      <c r="M1404">
        <v>5734699488</v>
      </c>
      <c r="N1404">
        <v>60037460783</v>
      </c>
      <c r="O1404" t="b">
        <v>1</v>
      </c>
      <c r="P1404">
        <v>-1</v>
      </c>
      <c r="Q1404" t="str" cm="1">
        <f t="array" ref="Q1404">_xlfn.IFS(Table1[[#This Row],[Wealthier_Winner]]=-1,"Wealthier Nation Loses",Table1[[#This Row],[Wealthier_Winner]]=0,"Tie",Table1[[#This Row],[Wealthier_Winner]]=1,"Wealthier Nation Wins")</f>
        <v>Wealthier Nation Loses</v>
      </c>
    </row>
    <row r="1405" spans="1:17" x14ac:dyDescent="0.2">
      <c r="A1405" s="1">
        <v>2666</v>
      </c>
      <c r="B1405" s="2">
        <v>34203</v>
      </c>
      <c r="C1405" s="7">
        <f>_xlfn.FLOOR.MATH(Table1[[#This Row],[year]],10)</f>
        <v>1990</v>
      </c>
      <c r="D1405" t="s">
        <v>13</v>
      </c>
      <c r="E1405" t="s">
        <v>57</v>
      </c>
      <c r="F1405">
        <v>2</v>
      </c>
      <c r="G1405">
        <v>0</v>
      </c>
      <c r="H1405" t="s">
        <v>224</v>
      </c>
      <c r="I1405" t="s">
        <v>417</v>
      </c>
      <c r="J1405" t="s">
        <v>13</v>
      </c>
      <c r="K1405" t="b">
        <v>0</v>
      </c>
      <c r="L1405">
        <v>1993</v>
      </c>
      <c r="M1405">
        <v>368295778245</v>
      </c>
      <c r="N1405">
        <v>18938717358</v>
      </c>
      <c r="O1405" t="b">
        <v>1</v>
      </c>
      <c r="P1405">
        <v>1</v>
      </c>
      <c r="Q1405" t="str" cm="1">
        <f t="array" ref="Q1405">_xlfn.IFS(Table1[[#This Row],[Wealthier_Winner]]=-1,"Wealthier Nation Loses",Table1[[#This Row],[Wealthier_Winner]]=0,"Tie",Table1[[#This Row],[Wealthier_Winner]]=1,"Wealthier Nation Wins")</f>
        <v>Wealthier Nation Wins</v>
      </c>
    </row>
    <row r="1406" spans="1:17" x14ac:dyDescent="0.2">
      <c r="A1406" s="1">
        <v>2667</v>
      </c>
      <c r="B1406" s="2">
        <v>34203</v>
      </c>
      <c r="C1406" s="7">
        <f>_xlfn.FLOOR.MATH(Table1[[#This Row],[year]],10)</f>
        <v>1990</v>
      </c>
      <c r="D1406" t="s">
        <v>35</v>
      </c>
      <c r="E1406" t="s">
        <v>15</v>
      </c>
      <c r="F1406">
        <v>1</v>
      </c>
      <c r="G1406">
        <v>1</v>
      </c>
      <c r="H1406" t="s">
        <v>224</v>
      </c>
      <c r="I1406" t="s">
        <v>250</v>
      </c>
      <c r="J1406" t="s">
        <v>35</v>
      </c>
      <c r="K1406" t="b">
        <v>0</v>
      </c>
      <c r="L1406">
        <v>1993</v>
      </c>
      <c r="M1406">
        <v>7249533620</v>
      </c>
      <c r="N1406">
        <v>66446804802</v>
      </c>
      <c r="O1406" t="b">
        <v>1</v>
      </c>
      <c r="P1406">
        <v>0</v>
      </c>
      <c r="Q1406" t="str" cm="1">
        <f t="array" ref="Q1406">_xlfn.IFS(Table1[[#This Row],[Wealthier_Winner]]=-1,"Wealthier Nation Loses",Table1[[#This Row],[Wealthier_Winner]]=0,"Tie",Table1[[#This Row],[Wealthier_Winner]]=1,"Wealthier Nation Wins")</f>
        <v>Tie</v>
      </c>
    </row>
    <row r="1407" spans="1:17" x14ac:dyDescent="0.2">
      <c r="A1407" s="1">
        <v>2668</v>
      </c>
      <c r="B1407" s="2">
        <v>34203</v>
      </c>
      <c r="C1407" s="7">
        <f>_xlfn.FLOOR.MATH(Table1[[#This Row],[year]],10)</f>
        <v>1990</v>
      </c>
      <c r="D1407" t="s">
        <v>25</v>
      </c>
      <c r="E1407" t="s">
        <v>20</v>
      </c>
      <c r="F1407">
        <v>1</v>
      </c>
      <c r="G1407">
        <v>1</v>
      </c>
      <c r="H1407" t="s">
        <v>224</v>
      </c>
      <c r="I1407" t="s">
        <v>233</v>
      </c>
      <c r="J1407" t="s">
        <v>25</v>
      </c>
      <c r="K1407" t="b">
        <v>0</v>
      </c>
      <c r="L1407">
        <v>1993</v>
      </c>
      <c r="M1407">
        <v>212644602615</v>
      </c>
      <c r="N1407">
        <v>1314383368079</v>
      </c>
      <c r="O1407" t="b">
        <v>1</v>
      </c>
      <c r="P1407">
        <v>0</v>
      </c>
      <c r="Q1407" t="str" cm="1">
        <f t="array" ref="Q1407">_xlfn.IFS(Table1[[#This Row],[Wealthier_Winner]]=-1,"Wealthier Nation Loses",Table1[[#This Row],[Wealthier_Winner]]=0,"Tie",Table1[[#This Row],[Wealthier_Winner]]=1,"Wealthier Nation Wins")</f>
        <v>Tie</v>
      </c>
    </row>
    <row r="1408" spans="1:17" x14ac:dyDescent="0.2">
      <c r="A1408" s="1">
        <v>2669</v>
      </c>
      <c r="B1408" s="2">
        <v>34206</v>
      </c>
      <c r="C1408" s="7">
        <f>_xlfn.FLOOR.MATH(Table1[[#This Row],[year]],10)</f>
        <v>1990</v>
      </c>
      <c r="D1408" t="s">
        <v>29</v>
      </c>
      <c r="E1408" t="s">
        <v>230</v>
      </c>
      <c r="F1408">
        <v>3</v>
      </c>
      <c r="G1408">
        <v>0</v>
      </c>
      <c r="H1408" t="s">
        <v>224</v>
      </c>
      <c r="I1408" t="s">
        <v>270</v>
      </c>
      <c r="J1408" t="s">
        <v>29</v>
      </c>
      <c r="K1408" t="b">
        <v>0</v>
      </c>
      <c r="L1408">
        <v>1993</v>
      </c>
      <c r="M1408">
        <v>189634029338</v>
      </c>
      <c r="N1408">
        <v>89112105756</v>
      </c>
      <c r="O1408" t="b">
        <v>1</v>
      </c>
      <c r="P1408">
        <v>1</v>
      </c>
      <c r="Q1408" t="str" cm="1">
        <f t="array" ref="Q1408">_xlfn.IFS(Table1[[#This Row],[Wealthier_Winner]]=-1,"Wealthier Nation Loses",Table1[[#This Row],[Wealthier_Winner]]=0,"Tie",Table1[[#This Row],[Wealthier_Winner]]=1,"Wealthier Nation Wins")</f>
        <v>Wealthier Nation Wins</v>
      </c>
    </row>
    <row r="1409" spans="1:17" x14ac:dyDescent="0.2">
      <c r="A1409" s="1">
        <v>2671</v>
      </c>
      <c r="B1409" s="2">
        <v>34210</v>
      </c>
      <c r="C1409" s="7">
        <f>_xlfn.FLOOR.MATH(Table1[[#This Row],[year]],10)</f>
        <v>1990</v>
      </c>
      <c r="D1409" t="s">
        <v>19</v>
      </c>
      <c r="E1409" t="s">
        <v>35</v>
      </c>
      <c r="F1409">
        <v>0</v>
      </c>
      <c r="G1409">
        <v>0</v>
      </c>
      <c r="H1409" t="s">
        <v>224</v>
      </c>
      <c r="I1409" t="s">
        <v>93</v>
      </c>
      <c r="J1409" t="s">
        <v>19</v>
      </c>
      <c r="K1409" t="b">
        <v>0</v>
      </c>
      <c r="L1409">
        <v>1993</v>
      </c>
      <c r="M1409">
        <v>236741715015</v>
      </c>
      <c r="N1409">
        <v>7249533620</v>
      </c>
      <c r="O1409" t="b">
        <v>1</v>
      </c>
      <c r="P1409">
        <v>0</v>
      </c>
      <c r="Q1409" t="str" cm="1">
        <f t="array" ref="Q1409">_xlfn.IFS(Table1[[#This Row],[Wealthier_Winner]]=-1,"Wealthier Nation Loses",Table1[[#This Row],[Wealthier_Winner]]=0,"Tie",Table1[[#This Row],[Wealthier_Winner]]=1,"Wealthier Nation Wins")</f>
        <v>Tie</v>
      </c>
    </row>
    <row r="1410" spans="1:17" x14ac:dyDescent="0.2">
      <c r="A1410" s="1">
        <v>2672</v>
      </c>
      <c r="B1410" s="2">
        <v>34210</v>
      </c>
      <c r="C1410" s="7">
        <f>_xlfn.FLOOR.MATH(Table1[[#This Row],[year]],10)</f>
        <v>1990</v>
      </c>
      <c r="D1410" t="s">
        <v>13</v>
      </c>
      <c r="E1410" t="s">
        <v>47</v>
      </c>
      <c r="F1410">
        <v>6</v>
      </c>
      <c r="G1410">
        <v>0</v>
      </c>
      <c r="H1410" t="s">
        <v>224</v>
      </c>
      <c r="I1410" t="s">
        <v>177</v>
      </c>
      <c r="J1410" t="s">
        <v>13</v>
      </c>
      <c r="K1410" t="b">
        <v>0</v>
      </c>
      <c r="L1410">
        <v>1993</v>
      </c>
      <c r="M1410">
        <v>368295778245</v>
      </c>
      <c r="N1410">
        <v>5734699488</v>
      </c>
      <c r="O1410" t="b">
        <v>1</v>
      </c>
      <c r="P1410">
        <v>1</v>
      </c>
      <c r="Q1410" t="str" cm="1">
        <f t="array" ref="Q1410">_xlfn.IFS(Table1[[#This Row],[Wealthier_Winner]]=-1,"Wealthier Nation Loses",Table1[[#This Row],[Wealthier_Winner]]=0,"Tie",Table1[[#This Row],[Wealthier_Winner]]=1,"Wealthier Nation Wins")</f>
        <v>Wealthier Nation Wins</v>
      </c>
    </row>
    <row r="1411" spans="1:17" x14ac:dyDescent="0.2">
      <c r="A1411" s="1">
        <v>2673</v>
      </c>
      <c r="B1411" s="2">
        <v>34210</v>
      </c>
      <c r="C1411" s="7">
        <f>_xlfn.FLOOR.MATH(Table1[[#This Row],[year]],10)</f>
        <v>1990</v>
      </c>
      <c r="D1411" t="s">
        <v>15</v>
      </c>
      <c r="E1411" t="s">
        <v>31</v>
      </c>
      <c r="F1411">
        <v>4</v>
      </c>
      <c r="G1411">
        <v>0</v>
      </c>
      <c r="H1411" t="s">
        <v>224</v>
      </c>
      <c r="I1411" t="s">
        <v>261</v>
      </c>
      <c r="J1411" t="s">
        <v>15</v>
      </c>
      <c r="K1411" t="b">
        <v>0</v>
      </c>
      <c r="L1411">
        <v>1993</v>
      </c>
      <c r="M1411">
        <v>66446804802</v>
      </c>
      <c r="N1411">
        <v>34832077220</v>
      </c>
      <c r="O1411" t="b">
        <v>0</v>
      </c>
      <c r="P1411">
        <v>1</v>
      </c>
      <c r="Q1411" t="str" cm="1">
        <f t="array" ref="Q1411">_xlfn.IFS(Table1[[#This Row],[Wealthier_Winner]]=-1,"Wealthier Nation Loses",Table1[[#This Row],[Wealthier_Winner]]=0,"Tie",Table1[[#This Row],[Wealthier_Winner]]=1,"Wealthier Nation Wins")</f>
        <v>Wealthier Nation Wins</v>
      </c>
    </row>
    <row r="1412" spans="1:17" x14ac:dyDescent="0.2">
      <c r="A1412" s="1">
        <v>2674</v>
      </c>
      <c r="B1412" s="2">
        <v>34210</v>
      </c>
      <c r="C1412" s="7">
        <f>_xlfn.FLOOR.MATH(Table1[[#This Row],[year]],10)</f>
        <v>1990</v>
      </c>
      <c r="D1412" t="s">
        <v>26</v>
      </c>
      <c r="E1412" t="s">
        <v>258</v>
      </c>
      <c r="F1412">
        <v>4</v>
      </c>
      <c r="G1412">
        <v>0</v>
      </c>
      <c r="H1412" t="s">
        <v>224</v>
      </c>
      <c r="I1412" t="s">
        <v>247</v>
      </c>
      <c r="J1412" t="s">
        <v>26</v>
      </c>
      <c r="K1412" t="b">
        <v>0</v>
      </c>
      <c r="L1412">
        <v>1993</v>
      </c>
      <c r="M1412">
        <v>15002136971</v>
      </c>
      <c r="N1412">
        <v>60037460783</v>
      </c>
      <c r="O1412" t="b">
        <v>1</v>
      </c>
      <c r="P1412">
        <v>-1</v>
      </c>
      <c r="Q1412" t="str" cm="1">
        <f t="array" ref="Q1412">_xlfn.IFS(Table1[[#This Row],[Wealthier_Winner]]=-1,"Wealthier Nation Loses",Table1[[#This Row],[Wealthier_Winner]]=0,"Tie",Table1[[#This Row],[Wealthier_Winner]]=1,"Wealthier Nation Wins")</f>
        <v>Wealthier Nation Loses</v>
      </c>
    </row>
    <row r="1413" spans="1:17" x14ac:dyDescent="0.2">
      <c r="A1413" s="1">
        <v>2675</v>
      </c>
      <c r="B1413" s="2">
        <v>34217</v>
      </c>
      <c r="C1413" s="7">
        <f>_xlfn.FLOOR.MATH(Table1[[#This Row],[year]],10)</f>
        <v>1990</v>
      </c>
      <c r="D1413" t="s">
        <v>19</v>
      </c>
      <c r="E1413" t="s">
        <v>15</v>
      </c>
      <c r="F1413">
        <v>0</v>
      </c>
      <c r="G1413">
        <v>5</v>
      </c>
      <c r="H1413" t="s">
        <v>224</v>
      </c>
      <c r="I1413" t="s">
        <v>93</v>
      </c>
      <c r="J1413" t="s">
        <v>19</v>
      </c>
      <c r="K1413" t="b">
        <v>0</v>
      </c>
      <c r="L1413">
        <v>1993</v>
      </c>
      <c r="M1413">
        <v>236741715015</v>
      </c>
      <c r="N1413">
        <v>66446804802</v>
      </c>
      <c r="O1413" t="b">
        <v>1</v>
      </c>
      <c r="P1413">
        <v>-1</v>
      </c>
      <c r="Q1413" t="str" cm="1">
        <f t="array" ref="Q1413">_xlfn.IFS(Table1[[#This Row],[Wealthier_Winner]]=-1,"Wealthier Nation Loses",Table1[[#This Row],[Wealthier_Winner]]=0,"Tie",Table1[[#This Row],[Wealthier_Winner]]=1,"Wealthier Nation Wins")</f>
        <v>Wealthier Nation Loses</v>
      </c>
    </row>
    <row r="1414" spans="1:17" x14ac:dyDescent="0.2">
      <c r="A1414" s="1">
        <v>2676</v>
      </c>
      <c r="B1414" s="2">
        <v>34217</v>
      </c>
      <c r="C1414" s="7">
        <f>_xlfn.FLOOR.MATH(Table1[[#This Row],[year]],10)</f>
        <v>1990</v>
      </c>
      <c r="D1414" t="s">
        <v>13</v>
      </c>
      <c r="E1414" t="s">
        <v>258</v>
      </c>
      <c r="F1414">
        <v>4</v>
      </c>
      <c r="G1414">
        <v>0</v>
      </c>
      <c r="H1414" t="s">
        <v>224</v>
      </c>
      <c r="I1414" t="s">
        <v>171</v>
      </c>
      <c r="J1414" t="s">
        <v>13</v>
      </c>
      <c r="K1414" t="b">
        <v>0</v>
      </c>
      <c r="L1414">
        <v>1993</v>
      </c>
      <c r="M1414">
        <v>368295778245</v>
      </c>
      <c r="N1414">
        <v>60037460783</v>
      </c>
      <c r="O1414" t="b">
        <v>1</v>
      </c>
      <c r="P1414">
        <v>1</v>
      </c>
      <c r="Q1414" t="str" cm="1">
        <f t="array" ref="Q1414">_xlfn.IFS(Table1[[#This Row],[Wealthier_Winner]]=-1,"Wealthier Nation Loses",Table1[[#This Row],[Wealthier_Winner]]=0,"Tie",Table1[[#This Row],[Wealthier_Winner]]=1,"Wealthier Nation Wins")</f>
        <v>Wealthier Nation Wins</v>
      </c>
    </row>
    <row r="1415" spans="1:17" x14ac:dyDescent="0.2">
      <c r="A1415" s="1">
        <v>2677</v>
      </c>
      <c r="B1415" s="2">
        <v>34217</v>
      </c>
      <c r="C1415" s="7">
        <f>_xlfn.FLOOR.MATH(Table1[[#This Row],[year]],10)</f>
        <v>1990</v>
      </c>
      <c r="D1415" t="s">
        <v>57</v>
      </c>
      <c r="E1415" t="s">
        <v>26</v>
      </c>
      <c r="F1415">
        <v>0</v>
      </c>
      <c r="G1415">
        <v>1</v>
      </c>
      <c r="H1415" t="s">
        <v>224</v>
      </c>
      <c r="I1415" t="s">
        <v>237</v>
      </c>
      <c r="J1415" t="s">
        <v>57</v>
      </c>
      <c r="K1415" t="b">
        <v>0</v>
      </c>
      <c r="L1415">
        <v>1993</v>
      </c>
      <c r="M1415">
        <v>18938717358</v>
      </c>
      <c r="N1415">
        <v>15002136971</v>
      </c>
      <c r="O1415" t="b">
        <v>0</v>
      </c>
      <c r="P1415">
        <v>-1</v>
      </c>
      <c r="Q1415" t="str" cm="1">
        <f t="array" ref="Q1415">_xlfn.IFS(Table1[[#This Row],[Wealthier_Winner]]=-1,"Wealthier Nation Loses",Table1[[#This Row],[Wealthier_Winner]]=0,"Tie",Table1[[#This Row],[Wealthier_Winner]]=1,"Wealthier Nation Wins")</f>
        <v>Wealthier Nation Loses</v>
      </c>
    </row>
    <row r="1416" spans="1:17" x14ac:dyDescent="0.2">
      <c r="A1416" s="1">
        <v>2678</v>
      </c>
      <c r="B1416" s="2">
        <v>34217</v>
      </c>
      <c r="C1416" s="7">
        <f>_xlfn.FLOOR.MATH(Table1[[#This Row],[year]],10)</f>
        <v>1990</v>
      </c>
      <c r="D1416" t="s">
        <v>476</v>
      </c>
      <c r="E1416" t="s">
        <v>38</v>
      </c>
      <c r="F1416">
        <v>0</v>
      </c>
      <c r="G1416">
        <v>2</v>
      </c>
      <c r="H1416" t="s">
        <v>224</v>
      </c>
      <c r="I1416" t="s">
        <v>481</v>
      </c>
      <c r="J1416" t="s">
        <v>476</v>
      </c>
      <c r="K1416" t="b">
        <v>0</v>
      </c>
      <c r="L1416">
        <v>1993</v>
      </c>
      <c r="M1416">
        <v>4013091682</v>
      </c>
      <c r="N1416">
        <v>95009751901</v>
      </c>
      <c r="O1416" t="b">
        <v>1</v>
      </c>
      <c r="P1416">
        <v>1</v>
      </c>
      <c r="Q1416" t="str" cm="1">
        <f t="array" ref="Q1416">_xlfn.IFS(Table1[[#This Row],[Wealthier_Winner]]=-1,"Wealthier Nation Loses",Table1[[#This Row],[Wealthier_Winner]]=0,"Tie",Table1[[#This Row],[Wealthier_Winner]]=1,"Wealthier Nation Wins")</f>
        <v>Wealthier Nation Wins</v>
      </c>
    </row>
    <row r="1417" spans="1:17" x14ac:dyDescent="0.2">
      <c r="A1417" s="1">
        <v>2679</v>
      </c>
      <c r="B1417" s="2">
        <v>34217</v>
      </c>
      <c r="C1417" s="7">
        <f>_xlfn.FLOOR.MATH(Table1[[#This Row],[year]],10)</f>
        <v>1990</v>
      </c>
      <c r="D1417" t="s">
        <v>31</v>
      </c>
      <c r="E1417" t="s">
        <v>35</v>
      </c>
      <c r="F1417">
        <v>2</v>
      </c>
      <c r="G1417">
        <v>2</v>
      </c>
      <c r="H1417" t="s">
        <v>224</v>
      </c>
      <c r="I1417" t="s">
        <v>242</v>
      </c>
      <c r="J1417" t="s">
        <v>31</v>
      </c>
      <c r="K1417" t="b">
        <v>0</v>
      </c>
      <c r="L1417">
        <v>1993</v>
      </c>
      <c r="M1417">
        <v>34832077220</v>
      </c>
      <c r="N1417">
        <v>7249533620</v>
      </c>
      <c r="O1417" t="b">
        <v>1</v>
      </c>
      <c r="P1417">
        <v>0</v>
      </c>
      <c r="Q1417" t="str" cm="1">
        <f t="array" ref="Q1417">_xlfn.IFS(Table1[[#This Row],[Wealthier_Winner]]=-1,"Wealthier Nation Loses",Table1[[#This Row],[Wealthier_Winner]]=0,"Tie",Table1[[#This Row],[Wealthier_Winner]]=1,"Wealthier Nation Wins")</f>
        <v>Tie</v>
      </c>
    </row>
    <row r="1418" spans="1:17" x14ac:dyDescent="0.2">
      <c r="A1418" s="1">
        <v>2680</v>
      </c>
      <c r="B1418" s="2">
        <v>34220</v>
      </c>
      <c r="C1418" s="7">
        <f>_xlfn.FLOOR.MATH(Table1[[#This Row],[year]],10)</f>
        <v>1990</v>
      </c>
      <c r="D1418" t="s">
        <v>373</v>
      </c>
      <c r="E1418" t="s">
        <v>36</v>
      </c>
      <c r="F1418">
        <v>0</v>
      </c>
      <c r="G1418">
        <v>1</v>
      </c>
      <c r="H1418" t="s">
        <v>224</v>
      </c>
      <c r="I1418" t="s">
        <v>374</v>
      </c>
      <c r="J1418" t="s">
        <v>373</v>
      </c>
      <c r="K1418" t="b">
        <v>0</v>
      </c>
      <c r="L1418">
        <v>1993</v>
      </c>
      <c r="M1418">
        <v>1185315468</v>
      </c>
      <c r="N1418">
        <v>143111306004</v>
      </c>
      <c r="O1418" t="b">
        <v>1</v>
      </c>
      <c r="P1418">
        <v>1</v>
      </c>
      <c r="Q1418" t="str" cm="1">
        <f t="array" ref="Q1418">_xlfn.IFS(Table1[[#This Row],[Wealthier_Winner]]=-1,"Wealthier Nation Loses",Table1[[#This Row],[Wealthier_Winner]]=0,"Tie",Table1[[#This Row],[Wealthier_Winner]]=1,"Wealthier Nation Wins")</f>
        <v>Wealthier Nation Wins</v>
      </c>
    </row>
    <row r="1419" spans="1:17" x14ac:dyDescent="0.2">
      <c r="A1419" s="1">
        <v>2681</v>
      </c>
      <c r="B1419" s="2">
        <v>34220</v>
      </c>
      <c r="C1419" s="7">
        <f>_xlfn.FLOOR.MATH(Table1[[#This Row],[year]],10)</f>
        <v>1990</v>
      </c>
      <c r="D1419" t="s">
        <v>33</v>
      </c>
      <c r="E1419" t="s">
        <v>25</v>
      </c>
      <c r="F1419">
        <v>1</v>
      </c>
      <c r="G1419">
        <v>1</v>
      </c>
      <c r="H1419" t="s">
        <v>224</v>
      </c>
      <c r="I1419" t="s">
        <v>375</v>
      </c>
      <c r="J1419" t="s">
        <v>33</v>
      </c>
      <c r="K1419" t="b">
        <v>0</v>
      </c>
      <c r="L1419">
        <v>1993</v>
      </c>
      <c r="M1419">
        <v>10832064941</v>
      </c>
      <c r="N1419">
        <v>212644602615</v>
      </c>
      <c r="O1419" t="b">
        <v>1</v>
      </c>
      <c r="P1419">
        <v>0</v>
      </c>
      <c r="Q1419" t="str" cm="1">
        <f t="array" ref="Q1419">_xlfn.IFS(Table1[[#This Row],[Wealthier_Winner]]=-1,"Wealthier Nation Loses",Table1[[#This Row],[Wealthier_Winner]]=0,"Tie",Table1[[#This Row],[Wealthier_Winner]]=1,"Wealthier Nation Wins")</f>
        <v>Tie</v>
      </c>
    </row>
    <row r="1420" spans="1:17" x14ac:dyDescent="0.2">
      <c r="A1420" s="1">
        <v>2682</v>
      </c>
      <c r="B1420" s="2">
        <v>34220</v>
      </c>
      <c r="C1420" s="7">
        <f>_xlfn.FLOOR.MATH(Table1[[#This Row],[year]],10)</f>
        <v>1990</v>
      </c>
      <c r="D1420" t="s">
        <v>194</v>
      </c>
      <c r="E1420" t="s">
        <v>58</v>
      </c>
      <c r="F1420">
        <v>3</v>
      </c>
      <c r="G1420">
        <v>0</v>
      </c>
      <c r="H1420" t="s">
        <v>224</v>
      </c>
      <c r="I1420" t="s">
        <v>80</v>
      </c>
      <c r="J1420" t="s">
        <v>194</v>
      </c>
      <c r="K1420" t="b">
        <v>0</v>
      </c>
      <c r="L1420">
        <v>1993</v>
      </c>
      <c r="M1420">
        <v>1061388722255</v>
      </c>
      <c r="N1420">
        <v>96043157272</v>
      </c>
      <c r="O1420" t="b">
        <v>1</v>
      </c>
      <c r="P1420">
        <v>1</v>
      </c>
      <c r="Q1420" t="str" cm="1">
        <f t="array" ref="Q1420">_xlfn.IFS(Table1[[#This Row],[Wealthier_Winner]]=-1,"Wealthier Nation Loses",Table1[[#This Row],[Wealthier_Winner]]=0,"Tie",Table1[[#This Row],[Wealthier_Winner]]=1,"Wealthier Nation Wins")</f>
        <v>Wealthier Nation Wins</v>
      </c>
    </row>
    <row r="1421" spans="1:17" x14ac:dyDescent="0.2">
      <c r="A1421" s="1">
        <v>2683</v>
      </c>
      <c r="B1421" s="2">
        <v>34220</v>
      </c>
      <c r="C1421" s="7">
        <f>_xlfn.FLOOR.MATH(Table1[[#This Row],[year]],10)</f>
        <v>1990</v>
      </c>
      <c r="D1421" t="s">
        <v>447</v>
      </c>
      <c r="E1421" t="s">
        <v>44</v>
      </c>
      <c r="F1421">
        <v>0</v>
      </c>
      <c r="G1421">
        <v>4</v>
      </c>
      <c r="H1421" t="s">
        <v>224</v>
      </c>
      <c r="I1421" t="s">
        <v>448</v>
      </c>
      <c r="J1421" t="s">
        <v>447</v>
      </c>
      <c r="K1421" t="b">
        <v>0</v>
      </c>
      <c r="L1421">
        <v>1993</v>
      </c>
      <c r="M1421">
        <v>760957189</v>
      </c>
      <c r="N1421">
        <v>26361160449</v>
      </c>
      <c r="O1421" t="b">
        <v>1</v>
      </c>
      <c r="P1421">
        <v>1</v>
      </c>
      <c r="Q1421" t="str" cm="1">
        <f t="array" ref="Q1421">_xlfn.IFS(Table1[[#This Row],[Wealthier_Winner]]=-1,"Wealthier Nation Loses",Table1[[#This Row],[Wealthier_Winner]]=0,"Tie",Table1[[#This Row],[Wealthier_Winner]]=1,"Wealthier Nation Wins")</f>
        <v>Wealthier Nation Wins</v>
      </c>
    </row>
    <row r="1422" spans="1:17" x14ac:dyDescent="0.2">
      <c r="A1422" s="1">
        <v>2684</v>
      </c>
      <c r="B1422" s="2">
        <v>34220</v>
      </c>
      <c r="C1422" s="7">
        <f>_xlfn.FLOOR.MATH(Table1[[#This Row],[year]],10)</f>
        <v>1990</v>
      </c>
      <c r="D1422" t="s">
        <v>230</v>
      </c>
      <c r="E1422" t="s">
        <v>20</v>
      </c>
      <c r="F1422">
        <v>0</v>
      </c>
      <c r="G1422">
        <v>2</v>
      </c>
      <c r="H1422" t="s">
        <v>224</v>
      </c>
      <c r="I1422" t="s">
        <v>491</v>
      </c>
      <c r="J1422" t="s">
        <v>230</v>
      </c>
      <c r="K1422" t="b">
        <v>0</v>
      </c>
      <c r="L1422">
        <v>1993</v>
      </c>
      <c r="M1422">
        <v>89112105756</v>
      </c>
      <c r="N1422">
        <v>1314383368079</v>
      </c>
      <c r="O1422" t="b">
        <v>1</v>
      </c>
      <c r="P1422">
        <v>1</v>
      </c>
      <c r="Q1422" t="str" cm="1">
        <f t="array" ref="Q1422">_xlfn.IFS(Table1[[#This Row],[Wealthier_Winner]]=-1,"Wealthier Nation Loses",Table1[[#This Row],[Wealthier_Winner]]=0,"Tie",Table1[[#This Row],[Wealthier_Winner]]=1,"Wealthier Nation Wins")</f>
        <v>Wealthier Nation Wins</v>
      </c>
    </row>
    <row r="1423" spans="1:17" x14ac:dyDescent="0.2">
      <c r="A1423" s="1">
        <v>2685</v>
      </c>
      <c r="B1423" s="2">
        <v>34220</v>
      </c>
      <c r="C1423" s="7">
        <f>_xlfn.FLOOR.MATH(Table1[[#This Row],[year]],10)</f>
        <v>1990</v>
      </c>
      <c r="D1423" t="s">
        <v>30</v>
      </c>
      <c r="E1423" t="s">
        <v>196</v>
      </c>
      <c r="F1423">
        <v>1</v>
      </c>
      <c r="G1423">
        <v>3</v>
      </c>
      <c r="H1423" t="s">
        <v>224</v>
      </c>
      <c r="I1423" t="s">
        <v>297</v>
      </c>
      <c r="J1423" t="s">
        <v>30</v>
      </c>
      <c r="K1423" t="b">
        <v>0</v>
      </c>
      <c r="L1423">
        <v>1993</v>
      </c>
      <c r="M1423">
        <v>40256233360</v>
      </c>
      <c r="N1423">
        <v>435083713850</v>
      </c>
      <c r="O1423" t="b">
        <v>1</v>
      </c>
      <c r="P1423">
        <v>1</v>
      </c>
      <c r="Q1423" t="str" cm="1">
        <f t="array" ref="Q1423">_xlfn.IFS(Table1[[#This Row],[Wealthier_Winner]]=-1,"Wealthier Nation Loses",Table1[[#This Row],[Wealthier_Winner]]=0,"Tie",Table1[[#This Row],[Wealthier_Winner]]=1,"Wealthier Nation Wins")</f>
        <v>Wealthier Nation Wins</v>
      </c>
    </row>
    <row r="1424" spans="1:17" x14ac:dyDescent="0.2">
      <c r="A1424" s="1">
        <v>2686</v>
      </c>
      <c r="B1424" s="2">
        <v>34220</v>
      </c>
      <c r="C1424" s="7">
        <f>_xlfn.FLOOR.MATH(Table1[[#This Row],[year]],10)</f>
        <v>1990</v>
      </c>
      <c r="D1424" t="s">
        <v>66</v>
      </c>
      <c r="E1424" t="s">
        <v>232</v>
      </c>
      <c r="F1424">
        <v>1</v>
      </c>
      <c r="G1424">
        <v>0</v>
      </c>
      <c r="H1424" t="s">
        <v>224</v>
      </c>
      <c r="I1424" t="s">
        <v>336</v>
      </c>
      <c r="J1424" t="s">
        <v>66</v>
      </c>
      <c r="K1424" t="b">
        <v>0</v>
      </c>
      <c r="L1424">
        <v>1993</v>
      </c>
      <c r="M1424">
        <v>6435952173</v>
      </c>
      <c r="N1424">
        <v>15925521222</v>
      </c>
      <c r="O1424" t="b">
        <v>1</v>
      </c>
      <c r="P1424">
        <v>-1</v>
      </c>
      <c r="Q1424" t="str" cm="1">
        <f t="array" ref="Q1424">_xlfn.IFS(Table1[[#This Row],[Wealthier_Winner]]=-1,"Wealthier Nation Loses",Table1[[#This Row],[Wealthier_Winner]]=0,"Tie",Table1[[#This Row],[Wealthier_Winner]]=1,"Wealthier Nation Wins")</f>
        <v>Wealthier Nation Loses</v>
      </c>
    </row>
    <row r="1425" spans="1:17" x14ac:dyDescent="0.2">
      <c r="A1425" s="1">
        <v>2691</v>
      </c>
      <c r="B1425" s="2">
        <v>34224</v>
      </c>
      <c r="C1425" s="7">
        <f>_xlfn.FLOOR.MATH(Table1[[#This Row],[year]],10)</f>
        <v>1990</v>
      </c>
      <c r="D1425" t="s">
        <v>26</v>
      </c>
      <c r="E1425" t="s">
        <v>47</v>
      </c>
      <c r="F1425">
        <v>2</v>
      </c>
      <c r="G1425">
        <v>1</v>
      </c>
      <c r="H1425" t="s">
        <v>224</v>
      </c>
      <c r="I1425" t="s">
        <v>247</v>
      </c>
      <c r="J1425" t="s">
        <v>26</v>
      </c>
      <c r="K1425" t="b">
        <v>0</v>
      </c>
      <c r="L1425">
        <v>1993</v>
      </c>
      <c r="M1425">
        <v>15002136971</v>
      </c>
      <c r="N1425">
        <v>5734699488</v>
      </c>
      <c r="O1425" t="b">
        <v>1</v>
      </c>
      <c r="P1425">
        <v>1</v>
      </c>
      <c r="Q1425" t="str" cm="1">
        <f t="array" ref="Q1425">_xlfn.IFS(Table1[[#This Row],[Wealthier_Winner]]=-1,"Wealthier Nation Loses",Table1[[#This Row],[Wealthier_Winner]]=0,"Tie",Table1[[#This Row],[Wealthier_Winner]]=1,"Wealthier Nation Wins")</f>
        <v>Wealthier Nation Wins</v>
      </c>
    </row>
    <row r="1426" spans="1:17" x14ac:dyDescent="0.2">
      <c r="A1426" s="1">
        <v>2692</v>
      </c>
      <c r="B1426" s="2">
        <v>34224</v>
      </c>
      <c r="C1426" s="7">
        <f>_xlfn.FLOOR.MATH(Table1[[#This Row],[year]],10)</f>
        <v>1990</v>
      </c>
      <c r="D1426" t="s">
        <v>258</v>
      </c>
      <c r="E1426" t="s">
        <v>57</v>
      </c>
      <c r="F1426">
        <v>2</v>
      </c>
      <c r="G1426">
        <v>1</v>
      </c>
      <c r="H1426" t="s">
        <v>224</v>
      </c>
      <c r="I1426" t="s">
        <v>487</v>
      </c>
      <c r="J1426" t="s">
        <v>258</v>
      </c>
      <c r="K1426" t="b">
        <v>0</v>
      </c>
      <c r="L1426">
        <v>1993</v>
      </c>
      <c r="M1426">
        <v>60037460783</v>
      </c>
      <c r="N1426">
        <v>18938717358</v>
      </c>
      <c r="O1426" t="b">
        <v>1</v>
      </c>
      <c r="P1426">
        <v>1</v>
      </c>
      <c r="Q1426" t="str" cm="1">
        <f t="array" ref="Q1426">_xlfn.IFS(Table1[[#This Row],[Wealthier_Winner]]=-1,"Wealthier Nation Loses",Table1[[#This Row],[Wealthier_Winner]]=0,"Tie",Table1[[#This Row],[Wealthier_Winner]]=1,"Wealthier Nation Wins")</f>
        <v>Wealthier Nation Wins</v>
      </c>
    </row>
    <row r="1427" spans="1:17" x14ac:dyDescent="0.2">
      <c r="A1427" s="1">
        <v>2693</v>
      </c>
      <c r="B1427" s="2">
        <v>34231</v>
      </c>
      <c r="C1427" s="7">
        <f>_xlfn.FLOOR.MATH(Table1[[#This Row],[year]],10)</f>
        <v>1990</v>
      </c>
      <c r="D1427" t="s">
        <v>13</v>
      </c>
      <c r="E1427" t="s">
        <v>26</v>
      </c>
      <c r="F1427">
        <v>2</v>
      </c>
      <c r="G1427">
        <v>0</v>
      </c>
      <c r="H1427" t="s">
        <v>224</v>
      </c>
      <c r="I1427" t="s">
        <v>173</v>
      </c>
      <c r="J1427" t="s">
        <v>13</v>
      </c>
      <c r="K1427" t="b">
        <v>0</v>
      </c>
      <c r="L1427">
        <v>1993</v>
      </c>
      <c r="M1427">
        <v>368295778245</v>
      </c>
      <c r="N1427">
        <v>15002136971</v>
      </c>
      <c r="O1427" t="b">
        <v>1</v>
      </c>
      <c r="P1427">
        <v>1</v>
      </c>
      <c r="Q1427" t="str" cm="1">
        <f t="array" ref="Q1427">_xlfn.IFS(Table1[[#This Row],[Wealthier_Winner]]=-1,"Wealthier Nation Loses",Table1[[#This Row],[Wealthier_Winner]]=0,"Tie",Table1[[#This Row],[Wealthier_Winner]]=1,"Wealthier Nation Wins")</f>
        <v>Wealthier Nation Wins</v>
      </c>
    </row>
    <row r="1428" spans="1:17" x14ac:dyDescent="0.2">
      <c r="A1428" s="1">
        <v>2694</v>
      </c>
      <c r="B1428" s="2">
        <v>34231</v>
      </c>
      <c r="C1428" s="7">
        <f>_xlfn.FLOOR.MATH(Table1[[#This Row],[year]],10)</f>
        <v>1990</v>
      </c>
      <c r="D1428" t="s">
        <v>57</v>
      </c>
      <c r="E1428" t="s">
        <v>47</v>
      </c>
      <c r="F1428">
        <v>1</v>
      </c>
      <c r="G1428">
        <v>1</v>
      </c>
      <c r="H1428" t="s">
        <v>224</v>
      </c>
      <c r="I1428" t="s">
        <v>237</v>
      </c>
      <c r="J1428" t="s">
        <v>57</v>
      </c>
      <c r="K1428" t="b">
        <v>0</v>
      </c>
      <c r="L1428">
        <v>1993</v>
      </c>
      <c r="M1428">
        <v>18938717358</v>
      </c>
      <c r="N1428">
        <v>5734699488</v>
      </c>
      <c r="O1428" t="b">
        <v>1</v>
      </c>
      <c r="P1428">
        <v>0</v>
      </c>
      <c r="Q1428" t="str" cm="1">
        <f t="array" ref="Q1428">_xlfn.IFS(Table1[[#This Row],[Wealthier_Winner]]=-1,"Wealthier Nation Loses",Table1[[#This Row],[Wealthier_Winner]]=0,"Tie",Table1[[#This Row],[Wealthier_Winner]]=1,"Wealthier Nation Wins")</f>
        <v>Tie</v>
      </c>
    </row>
    <row r="1429" spans="1:17" x14ac:dyDescent="0.2">
      <c r="A1429" s="1">
        <v>2695</v>
      </c>
      <c r="B1429" s="2">
        <v>34234</v>
      </c>
      <c r="C1429" s="7">
        <f>_xlfn.FLOOR.MATH(Table1[[#This Row],[year]],10)</f>
        <v>1990</v>
      </c>
      <c r="D1429" t="s">
        <v>373</v>
      </c>
      <c r="E1429" t="s">
        <v>21</v>
      </c>
      <c r="F1429">
        <v>1</v>
      </c>
      <c r="G1429">
        <v>5</v>
      </c>
      <c r="H1429" t="s">
        <v>224</v>
      </c>
      <c r="I1429" t="s">
        <v>374</v>
      </c>
      <c r="J1429" t="s">
        <v>373</v>
      </c>
      <c r="K1429" t="b">
        <v>0</v>
      </c>
      <c r="L1429">
        <v>1993</v>
      </c>
      <c r="M1429">
        <v>1185315468</v>
      </c>
      <c r="N1429">
        <v>524700572623</v>
      </c>
      <c r="O1429" t="b">
        <v>1</v>
      </c>
      <c r="P1429">
        <v>1</v>
      </c>
      <c r="Q1429" t="str" cm="1">
        <f t="array" ref="Q1429">_xlfn.IFS(Table1[[#This Row],[Wealthier_Winner]]=-1,"Wealthier Nation Loses",Table1[[#This Row],[Wealthier_Winner]]=0,"Tie",Table1[[#This Row],[Wealthier_Winner]]=1,"Wealthier Nation Wins")</f>
        <v>Wealthier Nation Wins</v>
      </c>
    </row>
    <row r="1430" spans="1:17" x14ac:dyDescent="0.2">
      <c r="A1430" s="1">
        <v>2696</v>
      </c>
      <c r="B1430" s="2">
        <v>34234</v>
      </c>
      <c r="C1430" s="7">
        <f>_xlfn.FLOOR.MATH(Table1[[#This Row],[year]],10)</f>
        <v>1990</v>
      </c>
      <c r="D1430" t="s">
        <v>476</v>
      </c>
      <c r="E1430" t="s">
        <v>18</v>
      </c>
      <c r="F1430">
        <v>0</v>
      </c>
      <c r="G1430">
        <v>3</v>
      </c>
      <c r="H1430" t="s">
        <v>224</v>
      </c>
      <c r="I1430" t="s">
        <v>481</v>
      </c>
      <c r="J1430" t="s">
        <v>476</v>
      </c>
      <c r="K1430" t="b">
        <v>0</v>
      </c>
      <c r="L1430">
        <v>1993</v>
      </c>
      <c r="M1430">
        <v>4013091682</v>
      </c>
      <c r="N1430">
        <v>1067412587670</v>
      </c>
      <c r="O1430" t="b">
        <v>1</v>
      </c>
      <c r="P1430">
        <v>1</v>
      </c>
      <c r="Q1430" t="str" cm="1">
        <f t="array" ref="Q1430">_xlfn.IFS(Table1[[#This Row],[Wealthier_Winner]]=-1,"Wealthier Nation Loses",Table1[[#This Row],[Wealthier_Winner]]=0,"Tie",Table1[[#This Row],[Wealthier_Winner]]=1,"Wealthier Nation Wins")</f>
        <v>Wealthier Nation Wins</v>
      </c>
    </row>
    <row r="1431" spans="1:17" x14ac:dyDescent="0.2">
      <c r="A1431" s="1">
        <v>2697</v>
      </c>
      <c r="B1431" s="2">
        <v>34234</v>
      </c>
      <c r="C1431" s="7">
        <f>_xlfn.FLOOR.MATH(Table1[[#This Row],[year]],10)</f>
        <v>1990</v>
      </c>
      <c r="D1431" t="s">
        <v>42</v>
      </c>
      <c r="E1431" t="s">
        <v>58</v>
      </c>
      <c r="F1431">
        <v>1</v>
      </c>
      <c r="G1431">
        <v>0</v>
      </c>
      <c r="H1431" t="s">
        <v>224</v>
      </c>
      <c r="I1431" t="s">
        <v>262</v>
      </c>
      <c r="J1431" t="s">
        <v>42</v>
      </c>
      <c r="K1431" t="b">
        <v>0</v>
      </c>
      <c r="L1431">
        <v>1993</v>
      </c>
      <c r="M1431">
        <v>120579213712</v>
      </c>
      <c r="N1431">
        <v>96043157272</v>
      </c>
      <c r="O1431" t="b">
        <v>0</v>
      </c>
      <c r="P1431">
        <v>1</v>
      </c>
      <c r="Q1431" t="str" cm="1">
        <f t="array" ref="Q1431">_xlfn.IFS(Table1[[#This Row],[Wealthier_Winner]]=-1,"Wealthier Nation Loses",Table1[[#This Row],[Wealthier_Winner]]=0,"Tie",Table1[[#This Row],[Wealthier_Winner]]=1,"Wealthier Nation Wins")</f>
        <v>Wealthier Nation Wins</v>
      </c>
    </row>
    <row r="1432" spans="1:17" x14ac:dyDescent="0.2">
      <c r="A1432" s="1">
        <v>2700</v>
      </c>
      <c r="B1432" s="2">
        <v>34238</v>
      </c>
      <c r="C1432" s="7">
        <f>_xlfn.FLOOR.MATH(Table1[[#This Row],[year]],10)</f>
        <v>1990</v>
      </c>
      <c r="D1432" t="s">
        <v>273</v>
      </c>
      <c r="E1432" t="s">
        <v>54</v>
      </c>
      <c r="F1432">
        <v>4</v>
      </c>
      <c r="G1432">
        <v>0</v>
      </c>
      <c r="H1432" t="s">
        <v>224</v>
      </c>
      <c r="I1432" t="s">
        <v>330</v>
      </c>
      <c r="J1432" t="s">
        <v>273</v>
      </c>
      <c r="K1432" t="b">
        <v>0</v>
      </c>
      <c r="L1432">
        <v>1993</v>
      </c>
      <c r="M1432">
        <v>3273505343</v>
      </c>
      <c r="N1432">
        <v>7367986241</v>
      </c>
      <c r="O1432" t="b">
        <v>1</v>
      </c>
      <c r="P1432">
        <v>-1</v>
      </c>
      <c r="Q1432" t="str" cm="1">
        <f t="array" ref="Q1432">_xlfn.IFS(Table1[[#This Row],[Wealthier_Winner]]=-1,"Wealthier Nation Loses",Table1[[#This Row],[Wealthier_Winner]]=0,"Tie",Table1[[#This Row],[Wealthier_Winner]]=1,"Wealthier Nation Wins")</f>
        <v>Wealthier Nation Loses</v>
      </c>
    </row>
    <row r="1433" spans="1:17" x14ac:dyDescent="0.2">
      <c r="A1433" s="1">
        <v>2701</v>
      </c>
      <c r="B1433" s="2">
        <v>34238</v>
      </c>
      <c r="C1433" s="7">
        <f>_xlfn.FLOOR.MATH(Table1[[#This Row],[year]],10)</f>
        <v>1990</v>
      </c>
      <c r="D1433" t="s">
        <v>298</v>
      </c>
      <c r="E1433" t="s">
        <v>305</v>
      </c>
      <c r="F1433">
        <v>1</v>
      </c>
      <c r="G1433">
        <v>0</v>
      </c>
      <c r="H1433" t="s">
        <v>224</v>
      </c>
      <c r="I1433" t="s">
        <v>377</v>
      </c>
      <c r="J1433" t="s">
        <v>298</v>
      </c>
      <c r="K1433" t="b">
        <v>0</v>
      </c>
      <c r="L1433">
        <v>1993</v>
      </c>
      <c r="M1433">
        <v>6567250000</v>
      </c>
      <c r="N1433">
        <v>4781166116</v>
      </c>
      <c r="O1433" t="b">
        <v>0</v>
      </c>
      <c r="P1433">
        <v>1</v>
      </c>
      <c r="Q1433" t="str" cm="1">
        <f t="array" ref="Q1433">_xlfn.IFS(Table1[[#This Row],[Wealthier_Winner]]=-1,"Wealthier Nation Loses",Table1[[#This Row],[Wealthier_Winner]]=0,"Tie",Table1[[#This Row],[Wealthier_Winner]]=1,"Wealthier Nation Wins")</f>
        <v>Wealthier Nation Wins</v>
      </c>
    </row>
    <row r="1434" spans="1:17" x14ac:dyDescent="0.2">
      <c r="A1434" s="1">
        <v>2702</v>
      </c>
      <c r="B1434" s="2">
        <v>34250</v>
      </c>
      <c r="C1434" s="7">
        <f>_xlfn.FLOOR.MATH(Table1[[#This Row],[year]],10)</f>
        <v>1990</v>
      </c>
      <c r="D1434" t="s">
        <v>32</v>
      </c>
      <c r="E1434" t="s">
        <v>43</v>
      </c>
      <c r="F1434">
        <v>1</v>
      </c>
      <c r="G1434">
        <v>1</v>
      </c>
      <c r="H1434" t="s">
        <v>224</v>
      </c>
      <c r="I1434" t="s">
        <v>279</v>
      </c>
      <c r="J1434" t="s">
        <v>32</v>
      </c>
      <c r="K1434" t="b">
        <v>0</v>
      </c>
      <c r="L1434">
        <v>1993</v>
      </c>
      <c r="M1434">
        <v>49945584452</v>
      </c>
      <c r="N1434">
        <v>56721051402</v>
      </c>
      <c r="O1434" t="b">
        <v>0</v>
      </c>
      <c r="P1434">
        <v>0</v>
      </c>
      <c r="Q1434" t="str" cm="1">
        <f t="array" ref="Q1434">_xlfn.IFS(Table1[[#This Row],[Wealthier_Winner]]=-1,"Wealthier Nation Loses",Table1[[#This Row],[Wealthier_Winner]]=0,"Tie",Table1[[#This Row],[Wealthier_Winner]]=1,"Wealthier Nation Wins")</f>
        <v>Tie</v>
      </c>
    </row>
    <row r="1435" spans="1:17" x14ac:dyDescent="0.2">
      <c r="A1435" s="1">
        <v>2703</v>
      </c>
      <c r="B1435" s="2">
        <v>34252</v>
      </c>
      <c r="C1435" s="7">
        <f>_xlfn.FLOOR.MATH(Table1[[#This Row],[year]],10)</f>
        <v>1990</v>
      </c>
      <c r="D1435" t="s">
        <v>40</v>
      </c>
      <c r="E1435" t="s">
        <v>298</v>
      </c>
      <c r="F1435">
        <v>3</v>
      </c>
      <c r="G1435">
        <v>1</v>
      </c>
      <c r="H1435" t="s">
        <v>224</v>
      </c>
      <c r="I1435" t="s">
        <v>371</v>
      </c>
      <c r="J1435" t="s">
        <v>40</v>
      </c>
      <c r="K1435" t="b">
        <v>0</v>
      </c>
      <c r="L1435">
        <v>1993</v>
      </c>
      <c r="M1435">
        <v>16181814712</v>
      </c>
      <c r="N1435">
        <v>6567250000</v>
      </c>
      <c r="O1435" t="b">
        <v>1</v>
      </c>
      <c r="P1435">
        <v>1</v>
      </c>
      <c r="Q1435" t="str" cm="1">
        <f t="array" ref="Q1435">_xlfn.IFS(Table1[[#This Row],[Wealthier_Winner]]=-1,"Wealthier Nation Loses",Table1[[#This Row],[Wealthier_Winner]]=0,"Tie",Table1[[#This Row],[Wealthier_Winner]]=1,"Wealthier Nation Wins")</f>
        <v>Wealthier Nation Wins</v>
      </c>
    </row>
    <row r="1436" spans="1:17" x14ac:dyDescent="0.2">
      <c r="A1436" s="1">
        <v>2704</v>
      </c>
      <c r="B1436" s="2">
        <v>34252</v>
      </c>
      <c r="C1436" s="7">
        <f>_xlfn.FLOOR.MATH(Table1[[#This Row],[year]],10)</f>
        <v>1990</v>
      </c>
      <c r="D1436" t="s">
        <v>24</v>
      </c>
      <c r="E1436" t="s">
        <v>273</v>
      </c>
      <c r="F1436">
        <v>1</v>
      </c>
      <c r="G1436">
        <v>0</v>
      </c>
      <c r="H1436" t="s">
        <v>224</v>
      </c>
      <c r="I1436" t="s">
        <v>244</v>
      </c>
      <c r="J1436" t="s">
        <v>24</v>
      </c>
      <c r="K1436" t="b">
        <v>0</v>
      </c>
      <c r="L1436">
        <v>1993</v>
      </c>
      <c r="M1436">
        <v>31655473663</v>
      </c>
      <c r="N1436">
        <v>3273505343</v>
      </c>
      <c r="O1436" t="b">
        <v>1</v>
      </c>
      <c r="P1436">
        <v>1</v>
      </c>
      <c r="Q1436" t="str" cm="1">
        <f t="array" ref="Q1436">_xlfn.IFS(Table1[[#This Row],[Wealthier_Winner]]=-1,"Wealthier Nation Loses",Table1[[#This Row],[Wealthier_Winner]]=0,"Tie",Table1[[#This Row],[Wealthier_Winner]]=1,"Wealthier Nation Wins")</f>
        <v>Wealthier Nation Wins</v>
      </c>
    </row>
    <row r="1437" spans="1:17" x14ac:dyDescent="0.2">
      <c r="A1437" s="1">
        <v>2705</v>
      </c>
      <c r="B1437" s="2">
        <v>34254</v>
      </c>
      <c r="C1437" s="7">
        <f>_xlfn.FLOOR.MATH(Table1[[#This Row],[year]],10)</f>
        <v>1990</v>
      </c>
      <c r="D1437" t="s">
        <v>232</v>
      </c>
      <c r="E1437" t="s">
        <v>48</v>
      </c>
      <c r="F1437">
        <v>1</v>
      </c>
      <c r="G1437">
        <v>3</v>
      </c>
      <c r="H1437" t="s">
        <v>224</v>
      </c>
      <c r="I1437" t="s">
        <v>232</v>
      </c>
      <c r="J1437" t="s">
        <v>232</v>
      </c>
      <c r="K1437" t="b">
        <v>0</v>
      </c>
      <c r="L1437">
        <v>1993</v>
      </c>
      <c r="M1437">
        <v>15925521222</v>
      </c>
      <c r="N1437">
        <v>107295704518</v>
      </c>
      <c r="O1437" t="b">
        <v>1</v>
      </c>
      <c r="P1437">
        <v>1</v>
      </c>
      <c r="Q1437" t="str" cm="1">
        <f t="array" ref="Q1437">_xlfn.IFS(Table1[[#This Row],[Wealthier_Winner]]=-1,"Wealthier Nation Loses",Table1[[#This Row],[Wealthier_Winner]]=0,"Tie",Table1[[#This Row],[Wealthier_Winner]]=1,"Wealthier Nation Wins")</f>
        <v>Wealthier Nation Wins</v>
      </c>
    </row>
    <row r="1438" spans="1:17" x14ac:dyDescent="0.2">
      <c r="A1438" s="1">
        <v>2706</v>
      </c>
      <c r="B1438" s="2">
        <v>34255</v>
      </c>
      <c r="C1438" s="7">
        <f>_xlfn.FLOOR.MATH(Table1[[#This Row],[year]],10)</f>
        <v>1990</v>
      </c>
      <c r="D1438" t="s">
        <v>33</v>
      </c>
      <c r="E1438" t="s">
        <v>29</v>
      </c>
      <c r="F1438">
        <v>4</v>
      </c>
      <c r="G1438">
        <v>1</v>
      </c>
      <c r="H1438" t="s">
        <v>224</v>
      </c>
      <c r="I1438" t="s">
        <v>375</v>
      </c>
      <c r="J1438" t="s">
        <v>33</v>
      </c>
      <c r="K1438" t="b">
        <v>0</v>
      </c>
      <c r="L1438">
        <v>1993</v>
      </c>
      <c r="M1438">
        <v>10832064941</v>
      </c>
      <c r="N1438">
        <v>189634029338</v>
      </c>
      <c r="O1438" t="b">
        <v>1</v>
      </c>
      <c r="P1438">
        <v>-1</v>
      </c>
      <c r="Q1438" t="str" cm="1">
        <f t="array" ref="Q1438">_xlfn.IFS(Table1[[#This Row],[Wealthier_Winner]]=-1,"Wealthier Nation Loses",Table1[[#This Row],[Wealthier_Winner]]=0,"Tie",Table1[[#This Row],[Wealthier_Winner]]=1,"Wealthier Nation Wins")</f>
        <v>Wealthier Nation Loses</v>
      </c>
    </row>
    <row r="1439" spans="1:17" x14ac:dyDescent="0.2">
      <c r="A1439" s="1">
        <v>2708</v>
      </c>
      <c r="B1439" s="2">
        <v>34255</v>
      </c>
      <c r="C1439" s="7">
        <f>_xlfn.FLOOR.MATH(Table1[[#This Row],[year]],10)</f>
        <v>1990</v>
      </c>
      <c r="D1439" t="s">
        <v>20</v>
      </c>
      <c r="E1439" t="s">
        <v>22</v>
      </c>
      <c r="F1439">
        <v>2</v>
      </c>
      <c r="G1439">
        <v>3</v>
      </c>
      <c r="H1439" t="s">
        <v>224</v>
      </c>
      <c r="I1439" t="s">
        <v>134</v>
      </c>
      <c r="J1439" t="s">
        <v>20</v>
      </c>
      <c r="K1439" t="b">
        <v>0</v>
      </c>
      <c r="L1439">
        <v>1993</v>
      </c>
      <c r="M1439">
        <v>1314383368079</v>
      </c>
      <c r="N1439">
        <v>79855877174</v>
      </c>
      <c r="O1439" t="b">
        <v>1</v>
      </c>
      <c r="P1439">
        <v>-1</v>
      </c>
      <c r="Q1439" t="str" cm="1">
        <f t="array" ref="Q1439">_xlfn.IFS(Table1[[#This Row],[Wealthier_Winner]]=-1,"Wealthier Nation Loses",Table1[[#This Row],[Wealthier_Winner]]=0,"Tie",Table1[[#This Row],[Wealthier_Winner]]=1,"Wealthier Nation Wins")</f>
        <v>Wealthier Nation Loses</v>
      </c>
    </row>
    <row r="1440" spans="1:17" x14ac:dyDescent="0.2">
      <c r="A1440" s="1">
        <v>2711</v>
      </c>
      <c r="B1440" s="2">
        <v>34255</v>
      </c>
      <c r="C1440" s="7">
        <f>_xlfn.FLOOR.MATH(Table1[[#This Row],[year]],10)</f>
        <v>1990</v>
      </c>
      <c r="D1440" t="s">
        <v>27</v>
      </c>
      <c r="E1440" t="s">
        <v>194</v>
      </c>
      <c r="F1440">
        <v>2</v>
      </c>
      <c r="G1440">
        <v>0</v>
      </c>
      <c r="H1440" t="s">
        <v>224</v>
      </c>
      <c r="I1440" t="s">
        <v>265</v>
      </c>
      <c r="J1440" t="s">
        <v>27</v>
      </c>
      <c r="K1440" t="b">
        <v>0</v>
      </c>
      <c r="L1440">
        <v>1993</v>
      </c>
      <c r="M1440">
        <v>354070495965</v>
      </c>
      <c r="N1440">
        <v>1061388722255</v>
      </c>
      <c r="O1440" t="b">
        <v>1</v>
      </c>
      <c r="P1440">
        <v>-1</v>
      </c>
      <c r="Q1440" t="str" cm="1">
        <f t="array" ref="Q1440">_xlfn.IFS(Table1[[#This Row],[Wealthier_Winner]]=-1,"Wealthier Nation Loses",Table1[[#This Row],[Wealthier_Winner]]=0,"Tie",Table1[[#This Row],[Wealthier_Winner]]=1,"Wealthier Nation Wins")</f>
        <v>Wealthier Nation Loses</v>
      </c>
    </row>
    <row r="1441" spans="1:17" x14ac:dyDescent="0.2">
      <c r="A1441" s="1">
        <v>2712</v>
      </c>
      <c r="B1441" s="2">
        <v>34255</v>
      </c>
      <c r="C1441" s="7">
        <f>_xlfn.FLOOR.MATH(Table1[[#This Row],[year]],10)</f>
        <v>1990</v>
      </c>
      <c r="D1441" t="s">
        <v>58</v>
      </c>
      <c r="E1441" t="s">
        <v>42</v>
      </c>
      <c r="F1441">
        <v>0</v>
      </c>
      <c r="G1441">
        <v>3</v>
      </c>
      <c r="H1441" t="s">
        <v>224</v>
      </c>
      <c r="I1441" t="s">
        <v>492</v>
      </c>
      <c r="J1441" t="s">
        <v>58</v>
      </c>
      <c r="K1441" t="b">
        <v>0</v>
      </c>
      <c r="L1441">
        <v>1993</v>
      </c>
      <c r="M1441">
        <v>96043157272</v>
      </c>
      <c r="N1441">
        <v>120579213712</v>
      </c>
      <c r="O1441" t="b">
        <v>0</v>
      </c>
      <c r="P1441">
        <v>1</v>
      </c>
      <c r="Q1441" t="str" cm="1">
        <f t="array" ref="Q1441">_xlfn.IFS(Table1[[#This Row],[Wealthier_Winner]]=-1,"Wealthier Nation Loses",Table1[[#This Row],[Wealthier_Winner]]=0,"Tie",Table1[[#This Row],[Wealthier_Winner]]=1,"Wealthier Nation Wins")</f>
        <v>Wealthier Nation Wins</v>
      </c>
    </row>
    <row r="1442" spans="1:17" x14ac:dyDescent="0.2">
      <c r="A1442" s="1">
        <v>2713</v>
      </c>
      <c r="B1442" s="2">
        <v>34255</v>
      </c>
      <c r="C1442" s="7">
        <f>_xlfn.FLOOR.MATH(Table1[[#This Row],[year]],10)</f>
        <v>1990</v>
      </c>
      <c r="D1442" t="s">
        <v>38</v>
      </c>
      <c r="E1442" t="s">
        <v>46</v>
      </c>
      <c r="F1442">
        <v>1</v>
      </c>
      <c r="G1442">
        <v>0</v>
      </c>
      <c r="H1442" t="s">
        <v>224</v>
      </c>
      <c r="I1442" t="s">
        <v>292</v>
      </c>
      <c r="J1442" t="s">
        <v>38</v>
      </c>
      <c r="K1442" t="b">
        <v>0</v>
      </c>
      <c r="L1442">
        <v>1993</v>
      </c>
      <c r="M1442">
        <v>95009751901</v>
      </c>
      <c r="N1442">
        <v>272237527070</v>
      </c>
      <c r="O1442" t="b">
        <v>1</v>
      </c>
      <c r="P1442">
        <v>-1</v>
      </c>
      <c r="Q1442" t="str" cm="1">
        <f t="array" ref="Q1442">_xlfn.IFS(Table1[[#This Row],[Wealthier_Winner]]=-1,"Wealthier Nation Loses",Table1[[#This Row],[Wealthier_Winner]]=0,"Tie",Table1[[#This Row],[Wealthier_Winner]]=1,"Wealthier Nation Wins")</f>
        <v>Wealthier Nation Loses</v>
      </c>
    </row>
    <row r="1443" spans="1:17" x14ac:dyDescent="0.2">
      <c r="A1443" s="1">
        <v>2714</v>
      </c>
      <c r="B1443" s="2">
        <v>34255</v>
      </c>
      <c r="C1443" s="7">
        <f>_xlfn.FLOOR.MATH(Table1[[#This Row],[year]],10)</f>
        <v>1990</v>
      </c>
      <c r="D1443" t="s">
        <v>44</v>
      </c>
      <c r="E1443" t="s">
        <v>23</v>
      </c>
      <c r="F1443">
        <v>2</v>
      </c>
      <c r="G1443">
        <v>1</v>
      </c>
      <c r="H1443" t="s">
        <v>224</v>
      </c>
      <c r="I1443" t="s">
        <v>425</v>
      </c>
      <c r="J1443" t="s">
        <v>44</v>
      </c>
      <c r="K1443" t="b">
        <v>0</v>
      </c>
      <c r="L1443">
        <v>1993</v>
      </c>
      <c r="M1443">
        <v>26361160449</v>
      </c>
      <c r="N1443">
        <v>224721795708</v>
      </c>
      <c r="O1443" t="b">
        <v>1</v>
      </c>
      <c r="P1443">
        <v>-1</v>
      </c>
      <c r="Q1443" t="str" cm="1">
        <f t="array" ref="Q1443">_xlfn.IFS(Table1[[#This Row],[Wealthier_Winner]]=-1,"Wealthier Nation Loses",Table1[[#This Row],[Wealthier_Winner]]=0,"Tie",Table1[[#This Row],[Wealthier_Winner]]=1,"Wealthier Nation Wins")</f>
        <v>Wealthier Nation Loses</v>
      </c>
    </row>
    <row r="1444" spans="1:17" x14ac:dyDescent="0.2">
      <c r="A1444" s="1">
        <v>2715</v>
      </c>
      <c r="B1444" s="2">
        <v>34255</v>
      </c>
      <c r="C1444" s="7">
        <f>_xlfn.FLOOR.MATH(Table1[[#This Row],[year]],10)</f>
        <v>1990</v>
      </c>
      <c r="D1444" t="s">
        <v>25</v>
      </c>
      <c r="E1444" t="s">
        <v>230</v>
      </c>
      <c r="F1444">
        <v>3</v>
      </c>
      <c r="G1444">
        <v>2</v>
      </c>
      <c r="H1444" t="s">
        <v>224</v>
      </c>
      <c r="I1444" t="s">
        <v>233</v>
      </c>
      <c r="J1444" t="s">
        <v>25</v>
      </c>
      <c r="K1444" t="b">
        <v>0</v>
      </c>
      <c r="L1444">
        <v>1993</v>
      </c>
      <c r="M1444">
        <v>212644602615</v>
      </c>
      <c r="N1444">
        <v>89112105756</v>
      </c>
      <c r="O1444" t="b">
        <v>1</v>
      </c>
      <c r="P1444">
        <v>1</v>
      </c>
      <c r="Q1444" t="str" cm="1">
        <f t="array" ref="Q1444">_xlfn.IFS(Table1[[#This Row],[Wealthier_Winner]]=-1,"Wealthier Nation Loses",Table1[[#This Row],[Wealthier_Winner]]=0,"Tie",Table1[[#This Row],[Wealthier_Winner]]=1,"Wealthier Nation Wins")</f>
        <v>Wealthier Nation Wins</v>
      </c>
    </row>
    <row r="1445" spans="1:17" x14ac:dyDescent="0.2">
      <c r="A1445" s="1">
        <v>2718</v>
      </c>
      <c r="B1445" s="2">
        <v>34257</v>
      </c>
      <c r="C1445" s="7">
        <f>_xlfn.FLOOR.MATH(Table1[[#This Row],[year]],10)</f>
        <v>1990</v>
      </c>
      <c r="D1445" t="s">
        <v>45</v>
      </c>
      <c r="E1445" t="s">
        <v>51</v>
      </c>
      <c r="F1445">
        <v>0</v>
      </c>
      <c r="G1445">
        <v>0</v>
      </c>
      <c r="H1445" t="s">
        <v>224</v>
      </c>
      <c r="I1445" t="s">
        <v>190</v>
      </c>
      <c r="J1445" t="s">
        <v>68</v>
      </c>
      <c r="K1445" t="b">
        <v>1</v>
      </c>
      <c r="L1445">
        <v>1993</v>
      </c>
      <c r="M1445">
        <v>132967957276</v>
      </c>
      <c r="N1445">
        <v>4536940479038</v>
      </c>
      <c r="O1445" t="b">
        <v>1</v>
      </c>
      <c r="P1445">
        <v>0</v>
      </c>
      <c r="Q1445" t="str" cm="1">
        <f t="array" ref="Q1445">_xlfn.IFS(Table1[[#This Row],[Wealthier_Winner]]=-1,"Wealthier Nation Loses",Table1[[#This Row],[Wealthier_Winner]]=0,"Tie",Table1[[#This Row],[Wealthier_Winner]]=1,"Wealthier Nation Wins")</f>
        <v>Tie</v>
      </c>
    </row>
    <row r="1446" spans="1:17" x14ac:dyDescent="0.2">
      <c r="A1446" s="1">
        <v>2719</v>
      </c>
      <c r="B1446" s="2">
        <v>34258</v>
      </c>
      <c r="C1446" s="7">
        <f>_xlfn.FLOOR.MATH(Table1[[#This Row],[year]],10)</f>
        <v>1990</v>
      </c>
      <c r="D1446" t="s">
        <v>210</v>
      </c>
      <c r="E1446" t="s">
        <v>195</v>
      </c>
      <c r="F1446">
        <v>0</v>
      </c>
      <c r="G1446">
        <v>3</v>
      </c>
      <c r="H1446" t="s">
        <v>224</v>
      </c>
      <c r="I1446" t="s">
        <v>190</v>
      </c>
      <c r="J1446" t="s">
        <v>68</v>
      </c>
      <c r="K1446" t="b">
        <v>1</v>
      </c>
      <c r="L1446">
        <v>1993</v>
      </c>
      <c r="M1446">
        <v>63743623232</v>
      </c>
      <c r="N1446">
        <v>405705302846</v>
      </c>
      <c r="O1446" t="b">
        <v>1</v>
      </c>
      <c r="P1446">
        <v>1</v>
      </c>
      <c r="Q1446" t="str" cm="1">
        <f t="array" ref="Q1446">_xlfn.IFS(Table1[[#This Row],[Wealthier_Winner]]=-1,"Wealthier Nation Loses",Table1[[#This Row],[Wealthier_Winner]]=0,"Tie",Table1[[#This Row],[Wealthier_Winner]]=1,"Wealthier Nation Wins")</f>
        <v>Wealthier Nation Wins</v>
      </c>
    </row>
    <row r="1447" spans="1:17" x14ac:dyDescent="0.2">
      <c r="A1447" s="1">
        <v>2720</v>
      </c>
      <c r="B1447" s="2">
        <v>34260</v>
      </c>
      <c r="C1447" s="7">
        <f>_xlfn.FLOOR.MATH(Table1[[#This Row],[year]],10)</f>
        <v>1990</v>
      </c>
      <c r="D1447" t="s">
        <v>51</v>
      </c>
      <c r="E1447" t="s">
        <v>210</v>
      </c>
      <c r="F1447">
        <v>1</v>
      </c>
      <c r="G1447">
        <v>2</v>
      </c>
      <c r="H1447" t="s">
        <v>224</v>
      </c>
      <c r="I1447" t="s">
        <v>190</v>
      </c>
      <c r="J1447" t="s">
        <v>68</v>
      </c>
      <c r="K1447" t="b">
        <v>1</v>
      </c>
      <c r="L1447">
        <v>1993</v>
      </c>
      <c r="M1447">
        <v>4536940479038</v>
      </c>
      <c r="N1447">
        <v>63743623232</v>
      </c>
      <c r="O1447" t="b">
        <v>1</v>
      </c>
      <c r="P1447">
        <v>-1</v>
      </c>
      <c r="Q1447" t="str" cm="1">
        <f t="array" ref="Q1447">_xlfn.IFS(Table1[[#This Row],[Wealthier_Winner]]=-1,"Wealthier Nation Loses",Table1[[#This Row],[Wealthier_Winner]]=0,"Tie",Table1[[#This Row],[Wealthier_Winner]]=1,"Wealthier Nation Wins")</f>
        <v>Wealthier Nation Loses</v>
      </c>
    </row>
    <row r="1448" spans="1:17" x14ac:dyDescent="0.2">
      <c r="A1448" s="1">
        <v>2722</v>
      </c>
      <c r="B1448" s="2">
        <v>34261</v>
      </c>
      <c r="C1448" s="7">
        <f>_xlfn.FLOOR.MATH(Table1[[#This Row],[year]],10)</f>
        <v>1990</v>
      </c>
      <c r="D1448" t="s">
        <v>37</v>
      </c>
      <c r="E1448" t="s">
        <v>195</v>
      </c>
      <c r="F1448">
        <v>2</v>
      </c>
      <c r="G1448">
        <v>2</v>
      </c>
      <c r="H1448" t="s">
        <v>224</v>
      </c>
      <c r="I1448" t="s">
        <v>190</v>
      </c>
      <c r="J1448" t="s">
        <v>68</v>
      </c>
      <c r="K1448" t="b">
        <v>1</v>
      </c>
      <c r="L1448">
        <v>1993</v>
      </c>
      <c r="M1448">
        <v>1031944881</v>
      </c>
      <c r="N1448">
        <v>405705302846</v>
      </c>
      <c r="O1448" t="b">
        <v>1</v>
      </c>
      <c r="P1448">
        <v>0</v>
      </c>
      <c r="Q1448" t="str" cm="1">
        <f t="array" ref="Q1448">_xlfn.IFS(Table1[[#This Row],[Wealthier_Winner]]=-1,"Wealthier Nation Loses",Table1[[#This Row],[Wealthier_Winner]]=0,"Tie",Table1[[#This Row],[Wealthier_Winner]]=1,"Wealthier Nation Wins")</f>
        <v>Tie</v>
      </c>
    </row>
    <row r="1449" spans="1:17" x14ac:dyDescent="0.2">
      <c r="A1449" s="1">
        <v>2724</v>
      </c>
      <c r="B1449" s="2">
        <v>34264</v>
      </c>
      <c r="C1449" s="7">
        <f>_xlfn.FLOOR.MATH(Table1[[#This Row],[year]],10)</f>
        <v>1990</v>
      </c>
      <c r="D1449" t="s">
        <v>210</v>
      </c>
      <c r="E1449" t="s">
        <v>37</v>
      </c>
      <c r="F1449">
        <v>1</v>
      </c>
      <c r="G1449">
        <v>2</v>
      </c>
      <c r="H1449" t="s">
        <v>224</v>
      </c>
      <c r="I1449" t="s">
        <v>190</v>
      </c>
      <c r="J1449" t="s">
        <v>68</v>
      </c>
      <c r="K1449" t="b">
        <v>1</v>
      </c>
      <c r="L1449">
        <v>1993</v>
      </c>
      <c r="M1449">
        <v>63743623232</v>
      </c>
      <c r="N1449">
        <v>1031944881</v>
      </c>
      <c r="O1449" t="b">
        <v>1</v>
      </c>
      <c r="P1449">
        <v>-1</v>
      </c>
      <c r="Q1449" t="str" cm="1">
        <f t="array" ref="Q1449">_xlfn.IFS(Table1[[#This Row],[Wealthier_Winner]]=-1,"Wealthier Nation Loses",Table1[[#This Row],[Wealthier_Winner]]=0,"Tie",Table1[[#This Row],[Wealthier_Winner]]=1,"Wealthier Nation Wins")</f>
        <v>Wealthier Nation Loses</v>
      </c>
    </row>
    <row r="1450" spans="1:17" x14ac:dyDescent="0.2">
      <c r="A1450" s="1">
        <v>2725</v>
      </c>
      <c r="B1450" s="2">
        <v>34264</v>
      </c>
      <c r="C1450" s="7">
        <f>_xlfn.FLOOR.MATH(Table1[[#This Row],[year]],10)</f>
        <v>1990</v>
      </c>
      <c r="D1450" t="s">
        <v>195</v>
      </c>
      <c r="E1450" t="s">
        <v>45</v>
      </c>
      <c r="F1450">
        <v>1</v>
      </c>
      <c r="G1450">
        <v>1</v>
      </c>
      <c r="H1450" t="s">
        <v>224</v>
      </c>
      <c r="I1450" t="s">
        <v>190</v>
      </c>
      <c r="J1450" t="s">
        <v>68</v>
      </c>
      <c r="K1450" t="b">
        <v>1</v>
      </c>
      <c r="L1450">
        <v>1993</v>
      </c>
      <c r="M1450">
        <v>405705302846</v>
      </c>
      <c r="N1450">
        <v>132967957276</v>
      </c>
      <c r="O1450" t="b">
        <v>1</v>
      </c>
      <c r="P1450">
        <v>0</v>
      </c>
      <c r="Q1450" t="str" cm="1">
        <f t="array" ref="Q1450">_xlfn.IFS(Table1[[#This Row],[Wealthier_Winner]]=-1,"Wealthier Nation Loses",Table1[[#This Row],[Wealthier_Winner]]=0,"Tie",Table1[[#This Row],[Wealthier_Winner]]=1,"Wealthier Nation Wins")</f>
        <v>Tie</v>
      </c>
    </row>
    <row r="1451" spans="1:17" x14ac:dyDescent="0.2">
      <c r="A1451" s="1">
        <v>2726</v>
      </c>
      <c r="B1451" s="2">
        <v>34266</v>
      </c>
      <c r="C1451" s="7">
        <f>_xlfn.FLOOR.MATH(Table1[[#This Row],[year]],10)</f>
        <v>1990</v>
      </c>
      <c r="D1451" t="s">
        <v>37</v>
      </c>
      <c r="E1451" t="s">
        <v>45</v>
      </c>
      <c r="F1451">
        <v>1</v>
      </c>
      <c r="G1451">
        <v>1</v>
      </c>
      <c r="H1451" t="s">
        <v>224</v>
      </c>
      <c r="I1451" t="s">
        <v>190</v>
      </c>
      <c r="J1451" t="s">
        <v>68</v>
      </c>
      <c r="K1451" t="b">
        <v>1</v>
      </c>
      <c r="L1451">
        <v>1993</v>
      </c>
      <c r="M1451">
        <v>1031944881</v>
      </c>
      <c r="N1451">
        <v>132967957276</v>
      </c>
      <c r="O1451" t="b">
        <v>1</v>
      </c>
      <c r="P1451">
        <v>0</v>
      </c>
      <c r="Q1451" t="str" cm="1">
        <f t="array" ref="Q1451">_xlfn.IFS(Table1[[#This Row],[Wealthier_Winner]]=-1,"Wealthier Nation Loses",Table1[[#This Row],[Wealthier_Winner]]=0,"Tie",Table1[[#This Row],[Wealthier_Winner]]=1,"Wealthier Nation Wins")</f>
        <v>Tie</v>
      </c>
    </row>
    <row r="1452" spans="1:17" x14ac:dyDescent="0.2">
      <c r="A1452" s="1">
        <v>2728</v>
      </c>
      <c r="B1452" s="2">
        <v>34267</v>
      </c>
      <c r="C1452" s="7">
        <f>_xlfn.FLOOR.MATH(Table1[[#This Row],[year]],10)</f>
        <v>1990</v>
      </c>
      <c r="D1452" t="s">
        <v>51</v>
      </c>
      <c r="E1452" t="s">
        <v>195</v>
      </c>
      <c r="F1452">
        <v>1</v>
      </c>
      <c r="G1452">
        <v>0</v>
      </c>
      <c r="H1452" t="s">
        <v>224</v>
      </c>
      <c r="I1452" t="s">
        <v>190</v>
      </c>
      <c r="J1452" t="s">
        <v>68</v>
      </c>
      <c r="K1452" t="b">
        <v>1</v>
      </c>
      <c r="L1452">
        <v>1993</v>
      </c>
      <c r="M1452">
        <v>4536940479038</v>
      </c>
      <c r="N1452">
        <v>405705302846</v>
      </c>
      <c r="O1452" t="b">
        <v>1</v>
      </c>
      <c r="P1452">
        <v>1</v>
      </c>
      <c r="Q1452" t="str" cm="1">
        <f t="array" ref="Q1452">_xlfn.IFS(Table1[[#This Row],[Wealthier_Winner]]=-1,"Wealthier Nation Loses",Table1[[#This Row],[Wealthier_Winner]]=0,"Tie",Table1[[#This Row],[Wealthier_Winner]]=1,"Wealthier Nation Wins")</f>
        <v>Wealthier Nation Wins</v>
      </c>
    </row>
    <row r="1453" spans="1:17" x14ac:dyDescent="0.2">
      <c r="A1453" s="1">
        <v>2730</v>
      </c>
      <c r="B1453" s="2">
        <v>34269</v>
      </c>
      <c r="C1453" s="7">
        <f>_xlfn.FLOOR.MATH(Table1[[#This Row],[year]],10)</f>
        <v>1990</v>
      </c>
      <c r="D1453" t="s">
        <v>30</v>
      </c>
      <c r="E1453" t="s">
        <v>232</v>
      </c>
      <c r="F1453">
        <v>1</v>
      </c>
      <c r="G1453">
        <v>0</v>
      </c>
      <c r="H1453" t="s">
        <v>224</v>
      </c>
      <c r="I1453" t="s">
        <v>297</v>
      </c>
      <c r="J1453" t="s">
        <v>30</v>
      </c>
      <c r="K1453" t="b">
        <v>0</v>
      </c>
      <c r="L1453">
        <v>1993</v>
      </c>
      <c r="M1453">
        <v>40256233360</v>
      </c>
      <c r="N1453">
        <v>15925521222</v>
      </c>
      <c r="O1453" t="b">
        <v>1</v>
      </c>
      <c r="P1453">
        <v>1</v>
      </c>
      <c r="Q1453" t="str" cm="1">
        <f t="array" ref="Q1453">_xlfn.IFS(Table1[[#This Row],[Wealthier_Winner]]=-1,"Wealthier Nation Loses",Table1[[#This Row],[Wealthier_Winner]]=0,"Tie",Table1[[#This Row],[Wealthier_Winner]]=1,"Wealthier Nation Wins")</f>
        <v>Wealthier Nation Wins</v>
      </c>
    </row>
    <row r="1454" spans="1:17" x14ac:dyDescent="0.2">
      <c r="A1454" s="1">
        <v>2731</v>
      </c>
      <c r="B1454" s="2">
        <v>34269</v>
      </c>
      <c r="C1454" s="7">
        <f>_xlfn.FLOOR.MATH(Table1[[#This Row],[year]],10)</f>
        <v>1990</v>
      </c>
      <c r="D1454" t="s">
        <v>22</v>
      </c>
      <c r="E1454" t="s">
        <v>29</v>
      </c>
      <c r="F1454">
        <v>1</v>
      </c>
      <c r="G1454">
        <v>1</v>
      </c>
      <c r="H1454" t="s">
        <v>224</v>
      </c>
      <c r="I1454" t="s">
        <v>239</v>
      </c>
      <c r="J1454" t="s">
        <v>22</v>
      </c>
      <c r="K1454" t="b">
        <v>0</v>
      </c>
      <c r="L1454">
        <v>1993</v>
      </c>
      <c r="M1454">
        <v>79855877174</v>
      </c>
      <c r="N1454">
        <v>189634029338</v>
      </c>
      <c r="O1454" t="b">
        <v>1</v>
      </c>
      <c r="P1454">
        <v>0</v>
      </c>
      <c r="Q1454" t="str" cm="1">
        <f t="array" ref="Q1454">_xlfn.IFS(Table1[[#This Row],[Wealthier_Winner]]=-1,"Wealthier Nation Loses",Table1[[#This Row],[Wealthier_Winner]]=0,"Tie",Table1[[#This Row],[Wealthier_Winner]]=1,"Wealthier Nation Wins")</f>
        <v>Tie</v>
      </c>
    </row>
    <row r="1455" spans="1:17" x14ac:dyDescent="0.2">
      <c r="A1455" s="1">
        <v>2733</v>
      </c>
      <c r="B1455" s="2">
        <v>34270</v>
      </c>
      <c r="C1455" s="7">
        <f>_xlfn.FLOOR.MATH(Table1[[#This Row],[year]],10)</f>
        <v>1990</v>
      </c>
      <c r="D1455" t="s">
        <v>37</v>
      </c>
      <c r="E1455" t="s">
        <v>51</v>
      </c>
      <c r="F1455">
        <v>2</v>
      </c>
      <c r="G1455">
        <v>2</v>
      </c>
      <c r="H1455" t="s">
        <v>224</v>
      </c>
      <c r="I1455" t="s">
        <v>190</v>
      </c>
      <c r="J1455" t="s">
        <v>68</v>
      </c>
      <c r="K1455" t="b">
        <v>1</v>
      </c>
      <c r="L1455">
        <v>1993</v>
      </c>
      <c r="M1455">
        <v>1031944881</v>
      </c>
      <c r="N1455">
        <v>4536940479038</v>
      </c>
      <c r="O1455" t="b">
        <v>1</v>
      </c>
      <c r="P1455">
        <v>0</v>
      </c>
      <c r="Q1455" t="str" cm="1">
        <f t="array" ref="Q1455">_xlfn.IFS(Table1[[#This Row],[Wealthier_Winner]]=-1,"Wealthier Nation Loses",Table1[[#This Row],[Wealthier_Winner]]=0,"Tie",Table1[[#This Row],[Wealthier_Winner]]=1,"Wealthier Nation Wins")</f>
        <v>Tie</v>
      </c>
    </row>
    <row r="1456" spans="1:17" x14ac:dyDescent="0.2">
      <c r="A1456" s="1">
        <v>2735</v>
      </c>
      <c r="B1456" s="2">
        <v>34270</v>
      </c>
      <c r="C1456" s="7">
        <f>_xlfn.FLOOR.MATH(Table1[[#This Row],[year]],10)</f>
        <v>1990</v>
      </c>
      <c r="D1456" t="s">
        <v>45</v>
      </c>
      <c r="E1456" t="s">
        <v>210</v>
      </c>
      <c r="F1456">
        <v>4</v>
      </c>
      <c r="G1456">
        <v>3</v>
      </c>
      <c r="H1456" t="s">
        <v>224</v>
      </c>
      <c r="I1456" t="s">
        <v>190</v>
      </c>
      <c r="J1456" t="s">
        <v>68</v>
      </c>
      <c r="K1456" t="b">
        <v>1</v>
      </c>
      <c r="L1456">
        <v>1993</v>
      </c>
      <c r="M1456">
        <v>132967957276</v>
      </c>
      <c r="N1456">
        <v>63743623232</v>
      </c>
      <c r="O1456" t="b">
        <v>1</v>
      </c>
      <c r="P1456">
        <v>1</v>
      </c>
      <c r="Q1456" t="str" cm="1">
        <f t="array" ref="Q1456">_xlfn.IFS(Table1[[#This Row],[Wealthier_Winner]]=-1,"Wealthier Nation Loses",Table1[[#This Row],[Wealthier_Winner]]=0,"Tie",Table1[[#This Row],[Wealthier_Winner]]=1,"Wealthier Nation Wins")</f>
        <v>Wealthier Nation Wins</v>
      </c>
    </row>
    <row r="1457" spans="1:17" x14ac:dyDescent="0.2">
      <c r="A1457" s="1">
        <v>2736</v>
      </c>
      <c r="B1457" s="2">
        <v>34273</v>
      </c>
      <c r="C1457" s="7">
        <f>_xlfn.FLOOR.MATH(Table1[[#This Row],[year]],10)</f>
        <v>1990</v>
      </c>
      <c r="D1457" t="s">
        <v>28</v>
      </c>
      <c r="E1457" t="s">
        <v>19</v>
      </c>
      <c r="F1457">
        <v>1</v>
      </c>
      <c r="G1457">
        <v>1</v>
      </c>
      <c r="H1457" t="s">
        <v>224</v>
      </c>
      <c r="I1457" t="s">
        <v>301</v>
      </c>
      <c r="J1457" t="s">
        <v>28</v>
      </c>
      <c r="K1457" t="b">
        <v>0</v>
      </c>
      <c r="L1457">
        <v>1993</v>
      </c>
      <c r="M1457">
        <v>312568858909</v>
      </c>
      <c r="N1457">
        <v>236741715015</v>
      </c>
      <c r="O1457" t="b">
        <v>0</v>
      </c>
      <c r="P1457">
        <v>0</v>
      </c>
      <c r="Q1457" t="str" cm="1">
        <f t="array" ref="Q1457">_xlfn.IFS(Table1[[#This Row],[Wealthier_Winner]]=-1,"Wealthier Nation Loses",Table1[[#This Row],[Wealthier_Winner]]=0,"Tie",Table1[[#This Row],[Wealthier_Winner]]=1,"Wealthier Nation Wins")</f>
        <v>Tie</v>
      </c>
    </row>
    <row r="1458" spans="1:17" x14ac:dyDescent="0.2">
      <c r="A1458" s="1">
        <v>2737</v>
      </c>
      <c r="B1458" s="2">
        <v>34283</v>
      </c>
      <c r="C1458" s="7">
        <f>_xlfn.FLOOR.MATH(Table1[[#This Row],[year]],10)</f>
        <v>1990</v>
      </c>
      <c r="D1458" t="s">
        <v>29</v>
      </c>
      <c r="E1458" t="s">
        <v>25</v>
      </c>
      <c r="F1458">
        <v>1</v>
      </c>
      <c r="G1458">
        <v>1</v>
      </c>
      <c r="H1458" t="s">
        <v>224</v>
      </c>
      <c r="I1458" t="s">
        <v>270</v>
      </c>
      <c r="J1458" t="s">
        <v>29</v>
      </c>
      <c r="K1458" t="b">
        <v>0</v>
      </c>
      <c r="L1458">
        <v>1993</v>
      </c>
      <c r="M1458">
        <v>189634029338</v>
      </c>
      <c r="N1458">
        <v>212644602615</v>
      </c>
      <c r="O1458" t="b">
        <v>0</v>
      </c>
      <c r="P1458">
        <v>0</v>
      </c>
      <c r="Q1458" t="str" cm="1">
        <f t="array" ref="Q1458">_xlfn.IFS(Table1[[#This Row],[Wealthier_Winner]]=-1,"Wealthier Nation Loses",Table1[[#This Row],[Wealthier_Winner]]=0,"Tie",Table1[[#This Row],[Wealthier_Winner]]=1,"Wealthier Nation Wins")</f>
        <v>Tie</v>
      </c>
    </row>
    <row r="1459" spans="1:17" x14ac:dyDescent="0.2">
      <c r="A1459" s="1">
        <v>2738</v>
      </c>
      <c r="B1459" s="2">
        <v>34283</v>
      </c>
      <c r="C1459" s="7">
        <f>_xlfn.FLOOR.MATH(Table1[[#This Row],[year]],10)</f>
        <v>1990</v>
      </c>
      <c r="D1459" t="s">
        <v>22</v>
      </c>
      <c r="E1459" t="s">
        <v>230</v>
      </c>
      <c r="F1459">
        <v>1</v>
      </c>
      <c r="G1459">
        <v>3</v>
      </c>
      <c r="H1459" t="s">
        <v>224</v>
      </c>
      <c r="I1459" t="s">
        <v>239</v>
      </c>
      <c r="J1459" t="s">
        <v>22</v>
      </c>
      <c r="K1459" t="b">
        <v>0</v>
      </c>
      <c r="L1459">
        <v>1993</v>
      </c>
      <c r="M1459">
        <v>79855877174</v>
      </c>
      <c r="N1459">
        <v>89112105756</v>
      </c>
      <c r="O1459" t="b">
        <v>0</v>
      </c>
      <c r="P1459">
        <v>1</v>
      </c>
      <c r="Q1459" t="str" cm="1">
        <f t="array" ref="Q1459">_xlfn.IFS(Table1[[#This Row],[Wealthier_Winner]]=-1,"Wealthier Nation Loses",Table1[[#This Row],[Wealthier_Winner]]=0,"Tie",Table1[[#This Row],[Wealthier_Winner]]=1,"Wealthier Nation Wins")</f>
        <v>Wealthier Nation Wins</v>
      </c>
    </row>
    <row r="1460" spans="1:17" x14ac:dyDescent="0.2">
      <c r="A1460" s="1">
        <v>2739</v>
      </c>
      <c r="B1460" s="2">
        <v>34283</v>
      </c>
      <c r="C1460" s="7">
        <f>_xlfn.FLOOR.MATH(Table1[[#This Row],[year]],10)</f>
        <v>1990</v>
      </c>
      <c r="D1460" t="s">
        <v>38</v>
      </c>
      <c r="E1460" t="s">
        <v>476</v>
      </c>
      <c r="F1460">
        <v>3</v>
      </c>
      <c r="G1460">
        <v>0</v>
      </c>
      <c r="H1460" t="s">
        <v>224</v>
      </c>
      <c r="I1460" t="s">
        <v>291</v>
      </c>
      <c r="J1460" t="s">
        <v>38</v>
      </c>
      <c r="K1460" t="b">
        <v>0</v>
      </c>
      <c r="L1460">
        <v>1993</v>
      </c>
      <c r="M1460">
        <v>95009751901</v>
      </c>
      <c r="N1460">
        <v>4013091682</v>
      </c>
      <c r="O1460" t="b">
        <v>1</v>
      </c>
      <c r="P1460">
        <v>1</v>
      </c>
      <c r="Q1460" t="str" cm="1">
        <f t="array" ref="Q1460">_xlfn.IFS(Table1[[#This Row],[Wealthier_Winner]]=-1,"Wealthier Nation Loses",Table1[[#This Row],[Wealthier_Winner]]=0,"Tie",Table1[[#This Row],[Wealthier_Winner]]=1,"Wealthier Nation Wins")</f>
        <v>Wealthier Nation Wins</v>
      </c>
    </row>
    <row r="1461" spans="1:17" x14ac:dyDescent="0.2">
      <c r="A1461" s="1">
        <v>2741</v>
      </c>
      <c r="B1461" s="2">
        <v>34290</v>
      </c>
      <c r="C1461" s="7">
        <f>_xlfn.FLOOR.MATH(Table1[[#This Row],[year]],10)</f>
        <v>1990</v>
      </c>
      <c r="D1461" t="s">
        <v>19</v>
      </c>
      <c r="E1461" t="s">
        <v>28</v>
      </c>
      <c r="F1461">
        <v>1</v>
      </c>
      <c r="G1461">
        <v>0</v>
      </c>
      <c r="H1461" t="s">
        <v>224</v>
      </c>
      <c r="I1461" t="s">
        <v>93</v>
      </c>
      <c r="J1461" t="s">
        <v>19</v>
      </c>
      <c r="K1461" t="b">
        <v>0</v>
      </c>
      <c r="L1461">
        <v>1993</v>
      </c>
      <c r="M1461">
        <v>236741715015</v>
      </c>
      <c r="N1461">
        <v>312568858909</v>
      </c>
      <c r="O1461" t="b">
        <v>0</v>
      </c>
      <c r="P1461">
        <v>-1</v>
      </c>
      <c r="Q1461" t="str" cm="1">
        <f t="array" ref="Q1461">_xlfn.IFS(Table1[[#This Row],[Wealthier_Winner]]=-1,"Wealthier Nation Loses",Table1[[#This Row],[Wealthier_Winner]]=0,"Tie",Table1[[#This Row],[Wealthier_Winner]]=1,"Wealthier Nation Wins")</f>
        <v>Wealthier Nation Loses</v>
      </c>
    </row>
    <row r="1462" spans="1:17" x14ac:dyDescent="0.2">
      <c r="A1462" s="1">
        <v>2743</v>
      </c>
      <c r="B1462" s="2">
        <v>34290</v>
      </c>
      <c r="C1462" s="7">
        <f>_xlfn.FLOOR.MATH(Table1[[#This Row],[year]],10)</f>
        <v>1990</v>
      </c>
      <c r="D1462" t="s">
        <v>20</v>
      </c>
      <c r="E1462" t="s">
        <v>33</v>
      </c>
      <c r="F1462">
        <v>1</v>
      </c>
      <c r="G1462">
        <v>2</v>
      </c>
      <c r="H1462" t="s">
        <v>224</v>
      </c>
      <c r="I1462" t="s">
        <v>134</v>
      </c>
      <c r="J1462" t="s">
        <v>20</v>
      </c>
      <c r="K1462" t="b">
        <v>0</v>
      </c>
      <c r="L1462">
        <v>1993</v>
      </c>
      <c r="M1462">
        <v>1314383368079</v>
      </c>
      <c r="N1462">
        <v>10832064941</v>
      </c>
      <c r="O1462" t="b">
        <v>1</v>
      </c>
      <c r="P1462">
        <v>-1</v>
      </c>
      <c r="Q1462" t="str" cm="1">
        <f t="array" ref="Q1462">_xlfn.IFS(Table1[[#This Row],[Wealthier_Winner]]=-1,"Wealthier Nation Loses",Table1[[#This Row],[Wealthier_Winner]]=0,"Tie",Table1[[#This Row],[Wealthier_Winner]]=1,"Wealthier Nation Wins")</f>
        <v>Wealthier Nation Loses</v>
      </c>
    </row>
    <row r="1463" spans="1:17" x14ac:dyDescent="0.2">
      <c r="A1463" s="1">
        <v>2744</v>
      </c>
      <c r="B1463" s="2">
        <v>34290</v>
      </c>
      <c r="C1463" s="7">
        <f>_xlfn.FLOOR.MATH(Table1[[#This Row],[year]],10)</f>
        <v>1990</v>
      </c>
      <c r="D1463" t="s">
        <v>48</v>
      </c>
      <c r="E1463" t="s">
        <v>196</v>
      </c>
      <c r="F1463">
        <v>1</v>
      </c>
      <c r="G1463">
        <v>0</v>
      </c>
      <c r="H1463" t="s">
        <v>224</v>
      </c>
      <c r="I1463" t="s">
        <v>236</v>
      </c>
      <c r="J1463" t="s">
        <v>48</v>
      </c>
      <c r="K1463" t="b">
        <v>0</v>
      </c>
      <c r="L1463">
        <v>1993</v>
      </c>
      <c r="M1463">
        <v>107295704518</v>
      </c>
      <c r="N1463">
        <v>435083713850</v>
      </c>
      <c r="O1463" t="b">
        <v>1</v>
      </c>
      <c r="P1463">
        <v>-1</v>
      </c>
      <c r="Q1463" t="str" cm="1">
        <f t="array" ref="Q1463">_xlfn.IFS(Table1[[#This Row],[Wealthier_Winner]]=-1,"Wealthier Nation Loses",Table1[[#This Row],[Wealthier_Winner]]=0,"Tie",Table1[[#This Row],[Wealthier_Winner]]=1,"Wealthier Nation Wins")</f>
        <v>Wealthier Nation Loses</v>
      </c>
    </row>
    <row r="1464" spans="1:17" x14ac:dyDescent="0.2">
      <c r="A1464" s="1">
        <v>2745</v>
      </c>
      <c r="B1464" s="2">
        <v>34290</v>
      </c>
      <c r="C1464" s="7">
        <f>_xlfn.FLOOR.MATH(Table1[[#This Row],[year]],10)</f>
        <v>1990</v>
      </c>
      <c r="D1464" t="s">
        <v>18</v>
      </c>
      <c r="E1464" t="s">
        <v>38</v>
      </c>
      <c r="F1464">
        <v>1</v>
      </c>
      <c r="G1464">
        <v>0</v>
      </c>
      <c r="H1464" t="s">
        <v>224</v>
      </c>
      <c r="I1464" t="s">
        <v>108</v>
      </c>
      <c r="J1464" t="s">
        <v>18</v>
      </c>
      <c r="K1464" t="b">
        <v>0</v>
      </c>
      <c r="L1464">
        <v>1993</v>
      </c>
      <c r="M1464">
        <v>1067412587670</v>
      </c>
      <c r="N1464">
        <v>95009751901</v>
      </c>
      <c r="O1464" t="b">
        <v>1</v>
      </c>
      <c r="P1464">
        <v>1</v>
      </c>
      <c r="Q1464" t="str" cm="1">
        <f t="array" ref="Q1464">_xlfn.IFS(Table1[[#This Row],[Wealthier_Winner]]=-1,"Wealthier Nation Loses",Table1[[#This Row],[Wealthier_Winner]]=0,"Tie",Table1[[#This Row],[Wealthier_Winner]]=1,"Wealthier Nation Wins")</f>
        <v>Wealthier Nation Wins</v>
      </c>
    </row>
    <row r="1465" spans="1:17" x14ac:dyDescent="0.2">
      <c r="A1465" s="1">
        <v>2748</v>
      </c>
      <c r="B1465" s="2">
        <v>34290</v>
      </c>
      <c r="C1465" s="7">
        <f>_xlfn.FLOOR.MATH(Table1[[#This Row],[year]],10)</f>
        <v>1990</v>
      </c>
      <c r="D1465" t="s">
        <v>58</v>
      </c>
      <c r="E1465" t="s">
        <v>27</v>
      </c>
      <c r="F1465">
        <v>1</v>
      </c>
      <c r="G1465">
        <v>3</v>
      </c>
      <c r="H1465" t="s">
        <v>224</v>
      </c>
      <c r="I1465" t="s">
        <v>492</v>
      </c>
      <c r="J1465" t="s">
        <v>58</v>
      </c>
      <c r="K1465" t="b">
        <v>0</v>
      </c>
      <c r="L1465">
        <v>1993</v>
      </c>
      <c r="M1465">
        <v>96043157272</v>
      </c>
      <c r="N1465">
        <v>354070495965</v>
      </c>
      <c r="O1465" t="b">
        <v>1</v>
      </c>
      <c r="P1465">
        <v>1</v>
      </c>
      <c r="Q1465" t="str" cm="1">
        <f t="array" ref="Q1465">_xlfn.IFS(Table1[[#This Row],[Wealthier_Winner]]=-1,"Wealthier Nation Loses",Table1[[#This Row],[Wealthier_Winner]]=0,"Tie",Table1[[#This Row],[Wealthier_Winner]]=1,"Wealthier Nation Wins")</f>
        <v>Wealthier Nation Wins</v>
      </c>
    </row>
    <row r="1466" spans="1:17" x14ac:dyDescent="0.2">
      <c r="A1466" s="1">
        <v>2750</v>
      </c>
      <c r="B1466" s="2">
        <v>34290</v>
      </c>
      <c r="C1466" s="7">
        <f>_xlfn.FLOOR.MATH(Table1[[#This Row],[year]],10)</f>
        <v>1990</v>
      </c>
      <c r="D1466" t="s">
        <v>21</v>
      </c>
      <c r="E1466" t="s">
        <v>36</v>
      </c>
      <c r="F1466">
        <v>1</v>
      </c>
      <c r="G1466">
        <v>0</v>
      </c>
      <c r="H1466" t="s">
        <v>224</v>
      </c>
      <c r="I1466" t="s">
        <v>104</v>
      </c>
      <c r="J1466" t="s">
        <v>21</v>
      </c>
      <c r="K1466" t="b">
        <v>0</v>
      </c>
      <c r="L1466">
        <v>1993</v>
      </c>
      <c r="M1466">
        <v>524700572623</v>
      </c>
      <c r="N1466">
        <v>143111306004</v>
      </c>
      <c r="O1466" t="b">
        <v>1</v>
      </c>
      <c r="P1466">
        <v>1</v>
      </c>
      <c r="Q1466" t="str" cm="1">
        <f t="array" ref="Q1466">_xlfn.IFS(Table1[[#This Row],[Wealthier_Winner]]=-1,"Wealthier Nation Loses",Table1[[#This Row],[Wealthier_Winner]]=0,"Tie",Table1[[#This Row],[Wealthier_Winner]]=1,"Wealthier Nation Wins")</f>
        <v>Wealthier Nation Wins</v>
      </c>
    </row>
    <row r="1467" spans="1:17" x14ac:dyDescent="0.2">
      <c r="A1467" s="1">
        <v>2751</v>
      </c>
      <c r="B1467" s="2">
        <v>34290</v>
      </c>
      <c r="C1467" s="7">
        <f>_xlfn.FLOOR.MATH(Table1[[#This Row],[year]],10)</f>
        <v>1990</v>
      </c>
      <c r="D1467" t="s">
        <v>46</v>
      </c>
      <c r="E1467" t="s">
        <v>476</v>
      </c>
      <c r="F1467">
        <v>4</v>
      </c>
      <c r="G1467">
        <v>0</v>
      </c>
      <c r="H1467" t="s">
        <v>224</v>
      </c>
      <c r="I1467" t="s">
        <v>493</v>
      </c>
      <c r="J1467" t="s">
        <v>46</v>
      </c>
      <c r="K1467" t="b">
        <v>0</v>
      </c>
      <c r="L1467">
        <v>1993</v>
      </c>
      <c r="M1467">
        <v>272237527070</v>
      </c>
      <c r="N1467">
        <v>4013091682</v>
      </c>
      <c r="O1467" t="b">
        <v>1</v>
      </c>
      <c r="P1467">
        <v>1</v>
      </c>
      <c r="Q1467" t="str" cm="1">
        <f t="array" ref="Q1467">_xlfn.IFS(Table1[[#This Row],[Wealthier_Winner]]=-1,"Wealthier Nation Loses",Table1[[#This Row],[Wealthier_Winner]]=0,"Tie",Table1[[#This Row],[Wealthier_Winner]]=1,"Wealthier Nation Wins")</f>
        <v>Wealthier Nation Wins</v>
      </c>
    </row>
    <row r="1468" spans="1:17" x14ac:dyDescent="0.2">
      <c r="A1468" s="1">
        <v>2753</v>
      </c>
      <c r="B1468" s="2">
        <v>34502</v>
      </c>
      <c r="C1468" s="7">
        <f>_xlfn.FLOOR.MATH(Table1[[#This Row],[year]],10)</f>
        <v>1990</v>
      </c>
      <c r="D1468" t="s">
        <v>16</v>
      </c>
      <c r="E1468" t="s">
        <v>47</v>
      </c>
      <c r="F1468">
        <v>1</v>
      </c>
      <c r="G1468">
        <v>0</v>
      </c>
      <c r="H1468" t="s">
        <v>74</v>
      </c>
      <c r="I1468" t="s">
        <v>118</v>
      </c>
      <c r="J1468" t="s">
        <v>41</v>
      </c>
      <c r="K1468" t="b">
        <v>1</v>
      </c>
      <c r="L1468">
        <v>1994</v>
      </c>
      <c r="M1468">
        <v>2215282632276</v>
      </c>
      <c r="N1468">
        <v>5981222858</v>
      </c>
      <c r="O1468" t="b">
        <v>1</v>
      </c>
      <c r="P1468">
        <v>1</v>
      </c>
      <c r="Q1468" t="str" cm="1">
        <f t="array" ref="Q1468">_xlfn.IFS(Table1[[#This Row],[Wealthier_Winner]]=-1,"Wealthier Nation Loses",Table1[[#This Row],[Wealthier_Winner]]=0,"Tie",Table1[[#This Row],[Wealthier_Winner]]=1,"Wealthier Nation Wins")</f>
        <v>Wealthier Nation Wins</v>
      </c>
    </row>
    <row r="1469" spans="1:17" x14ac:dyDescent="0.2">
      <c r="A1469" s="1">
        <v>2754</v>
      </c>
      <c r="B1469" s="2">
        <v>34502</v>
      </c>
      <c r="C1469" s="7">
        <f>_xlfn.FLOOR.MATH(Table1[[#This Row],[year]],10)</f>
        <v>1990</v>
      </c>
      <c r="D1469" t="s">
        <v>21</v>
      </c>
      <c r="E1469" t="s">
        <v>195</v>
      </c>
      <c r="F1469">
        <v>2</v>
      </c>
      <c r="G1469">
        <v>2</v>
      </c>
      <c r="H1469" t="s">
        <v>74</v>
      </c>
      <c r="I1469" t="s">
        <v>124</v>
      </c>
      <c r="J1469" t="s">
        <v>41</v>
      </c>
      <c r="K1469" t="b">
        <v>1</v>
      </c>
      <c r="L1469">
        <v>1994</v>
      </c>
      <c r="M1469">
        <v>530183651720</v>
      </c>
      <c r="N1469">
        <v>479181794216</v>
      </c>
      <c r="O1469" t="b">
        <v>0</v>
      </c>
      <c r="P1469">
        <v>0</v>
      </c>
      <c r="Q1469" t="str" cm="1">
        <f t="array" ref="Q1469">_xlfn.IFS(Table1[[#This Row],[Wealthier_Winner]]=-1,"Wealthier Nation Loses",Table1[[#This Row],[Wealthier_Winner]]=0,"Tie",Table1[[#This Row],[Wealthier_Winner]]=1,"Wealthier Nation Wins")</f>
        <v>Tie</v>
      </c>
    </row>
    <row r="1470" spans="1:17" x14ac:dyDescent="0.2">
      <c r="A1470" s="1">
        <v>2755</v>
      </c>
      <c r="B1470" s="2">
        <v>34503</v>
      </c>
      <c r="C1470" s="7">
        <f>_xlfn.FLOOR.MATH(Table1[[#This Row],[year]],10)</f>
        <v>1990</v>
      </c>
      <c r="D1470" t="s">
        <v>15</v>
      </c>
      <c r="E1470" t="s">
        <v>44</v>
      </c>
      <c r="F1470">
        <v>1</v>
      </c>
      <c r="G1470">
        <v>3</v>
      </c>
      <c r="H1470" t="s">
        <v>74</v>
      </c>
      <c r="I1470" t="s">
        <v>119</v>
      </c>
      <c r="J1470" t="s">
        <v>41</v>
      </c>
      <c r="K1470" t="b">
        <v>1</v>
      </c>
      <c r="L1470">
        <v>1994</v>
      </c>
      <c r="M1470">
        <v>81703500846</v>
      </c>
      <c r="N1470">
        <v>30072805104</v>
      </c>
      <c r="O1470" t="b">
        <v>1</v>
      </c>
      <c r="P1470">
        <v>-1</v>
      </c>
      <c r="Q1470" t="str" cm="1">
        <f t="array" ref="Q1470">_xlfn.IFS(Table1[[#This Row],[Wealthier_Winner]]=-1,"Wealthier Nation Loses",Table1[[#This Row],[Wealthier_Winner]]=0,"Tie",Table1[[#This Row],[Wealthier_Winner]]=1,"Wealthier Nation Wins")</f>
        <v>Wealthier Nation Loses</v>
      </c>
    </row>
    <row r="1471" spans="1:17" x14ac:dyDescent="0.2">
      <c r="A1471" s="1">
        <v>2757</v>
      </c>
      <c r="B1471" s="2">
        <v>34503</v>
      </c>
      <c r="C1471" s="7">
        <f>_xlfn.FLOOR.MATH(Table1[[#This Row],[year]],10)</f>
        <v>1990</v>
      </c>
      <c r="D1471" t="s">
        <v>41</v>
      </c>
      <c r="E1471" t="s">
        <v>46</v>
      </c>
      <c r="F1471">
        <v>1</v>
      </c>
      <c r="G1471">
        <v>1</v>
      </c>
      <c r="H1471" t="s">
        <v>74</v>
      </c>
      <c r="I1471" t="s">
        <v>120</v>
      </c>
      <c r="J1471" t="s">
        <v>41</v>
      </c>
      <c r="K1471" t="b">
        <v>0</v>
      </c>
      <c r="L1471">
        <v>1994</v>
      </c>
      <c r="M1471">
        <v>7287236000000</v>
      </c>
      <c r="N1471">
        <v>301375055202</v>
      </c>
      <c r="O1471" t="b">
        <v>1</v>
      </c>
      <c r="P1471">
        <v>0</v>
      </c>
      <c r="Q1471" t="str" cm="1">
        <f t="array" ref="Q1471">_xlfn.IFS(Table1[[#This Row],[Wealthier_Winner]]=-1,"Wealthier Nation Loses",Table1[[#This Row],[Wealthier_Winner]]=0,"Tie",Table1[[#This Row],[Wealthier_Winner]]=1,"Wealthier Nation Wins")</f>
        <v>Tie</v>
      </c>
    </row>
    <row r="1472" spans="1:17" x14ac:dyDescent="0.2">
      <c r="A1472" s="1">
        <v>2758</v>
      </c>
      <c r="B1472" s="2">
        <v>34504</v>
      </c>
      <c r="C1472" s="7">
        <f>_xlfn.FLOOR.MATH(Table1[[#This Row],[year]],10)</f>
        <v>1990</v>
      </c>
      <c r="D1472" t="s">
        <v>23</v>
      </c>
      <c r="E1472" t="s">
        <v>24</v>
      </c>
      <c r="F1472">
        <v>1</v>
      </c>
      <c r="G1472">
        <v>0</v>
      </c>
      <c r="H1472" t="s">
        <v>74</v>
      </c>
      <c r="I1472" t="s">
        <v>121</v>
      </c>
      <c r="J1472" t="s">
        <v>41</v>
      </c>
      <c r="K1472" t="b">
        <v>1</v>
      </c>
      <c r="L1472">
        <v>1994</v>
      </c>
      <c r="M1472">
        <v>244884129491</v>
      </c>
      <c r="N1472">
        <v>35604137422</v>
      </c>
      <c r="O1472" t="b">
        <v>1</v>
      </c>
      <c r="P1472">
        <v>1</v>
      </c>
      <c r="Q1472" t="str" cm="1">
        <f t="array" ref="Q1472">_xlfn.IFS(Table1[[#This Row],[Wealthier_Winner]]=-1,"Wealthier Nation Loses",Table1[[#This Row],[Wealthier_Winner]]=0,"Tie",Table1[[#This Row],[Wealthier_Winner]]=1,"Wealthier Nation Wins")</f>
        <v>Wealthier Nation Wins</v>
      </c>
    </row>
    <row r="1473" spans="1:17" x14ac:dyDescent="0.2">
      <c r="A1473" s="1">
        <v>2759</v>
      </c>
      <c r="B1473" s="2">
        <v>34504</v>
      </c>
      <c r="C1473" s="7">
        <f>_xlfn.FLOOR.MATH(Table1[[#This Row],[year]],10)</f>
        <v>1990</v>
      </c>
      <c r="D1473" t="s">
        <v>40</v>
      </c>
      <c r="E1473" t="s">
        <v>25</v>
      </c>
      <c r="F1473">
        <v>2</v>
      </c>
      <c r="G1473">
        <v>2</v>
      </c>
      <c r="H1473" t="s">
        <v>74</v>
      </c>
      <c r="I1473" t="s">
        <v>119</v>
      </c>
      <c r="J1473" t="s">
        <v>41</v>
      </c>
      <c r="K1473" t="b">
        <v>1</v>
      </c>
      <c r="L1473">
        <v>1994</v>
      </c>
      <c r="M1473">
        <v>8902446252</v>
      </c>
      <c r="N1473">
        <v>228699066874</v>
      </c>
      <c r="O1473" t="b">
        <v>1</v>
      </c>
      <c r="P1473">
        <v>0</v>
      </c>
      <c r="Q1473" t="str" cm="1">
        <f t="array" ref="Q1473">_xlfn.IFS(Table1[[#This Row],[Wealthier_Winner]]=-1,"Wealthier Nation Loses",Table1[[#This Row],[Wealthier_Winner]]=0,"Tie",Table1[[#This Row],[Wealthier_Winner]]=1,"Wealthier Nation Wins")</f>
        <v>Tie</v>
      </c>
    </row>
    <row r="1474" spans="1:17" x14ac:dyDescent="0.2">
      <c r="A1474" s="1">
        <v>2760</v>
      </c>
      <c r="B1474" s="2">
        <v>34504</v>
      </c>
      <c r="C1474" s="7">
        <f>_xlfn.FLOOR.MATH(Table1[[#This Row],[year]],10)</f>
        <v>1990</v>
      </c>
      <c r="D1474" t="s">
        <v>42</v>
      </c>
      <c r="E1474" t="s">
        <v>17</v>
      </c>
      <c r="F1474">
        <v>1</v>
      </c>
      <c r="G1474">
        <v>0</v>
      </c>
      <c r="H1474" t="s">
        <v>74</v>
      </c>
      <c r="I1474" t="s">
        <v>122</v>
      </c>
      <c r="J1474" t="s">
        <v>41</v>
      </c>
      <c r="K1474" t="b">
        <v>1</v>
      </c>
      <c r="L1474">
        <v>1994</v>
      </c>
      <c r="M1474">
        <v>127131319428</v>
      </c>
      <c r="N1474">
        <v>553618247900</v>
      </c>
      <c r="O1474" t="b">
        <v>1</v>
      </c>
      <c r="P1474">
        <v>-1</v>
      </c>
      <c r="Q1474" t="str" cm="1">
        <f t="array" ref="Q1474">_xlfn.IFS(Table1[[#This Row],[Wealthier_Winner]]=-1,"Wealthier Nation Loses",Table1[[#This Row],[Wealthier_Winner]]=0,"Tie",Table1[[#This Row],[Wealthier_Winner]]=1,"Wealthier Nation Wins")</f>
        <v>Wealthier Nation Loses</v>
      </c>
    </row>
    <row r="1475" spans="1:17" x14ac:dyDescent="0.2">
      <c r="A1475" s="1">
        <v>2761</v>
      </c>
      <c r="B1475" s="2">
        <v>34505</v>
      </c>
      <c r="C1475" s="7">
        <f>_xlfn.FLOOR.MATH(Table1[[#This Row],[year]],10)</f>
        <v>1990</v>
      </c>
      <c r="D1475" t="s">
        <v>13</v>
      </c>
      <c r="E1475" t="s">
        <v>196</v>
      </c>
      <c r="F1475">
        <v>2</v>
      </c>
      <c r="G1475">
        <v>0</v>
      </c>
      <c r="H1475" t="s">
        <v>74</v>
      </c>
      <c r="I1475" t="s">
        <v>126</v>
      </c>
      <c r="J1475" t="s">
        <v>41</v>
      </c>
      <c r="K1475" t="b">
        <v>1</v>
      </c>
      <c r="L1475">
        <v>1994</v>
      </c>
      <c r="M1475">
        <v>525369851353</v>
      </c>
      <c r="N1475">
        <v>395077301248</v>
      </c>
      <c r="O1475" t="b">
        <v>0</v>
      </c>
      <c r="P1475">
        <v>1</v>
      </c>
      <c r="Q1475" t="str" cm="1">
        <f t="array" ref="Q1475">_xlfn.IFS(Table1[[#This Row],[Wealthier_Winner]]=-1,"Wealthier Nation Loses",Table1[[#This Row],[Wealthier_Winner]]=0,"Tie",Table1[[#This Row],[Wealthier_Winner]]=1,"Wealthier Nation Wins")</f>
        <v>Wealthier Nation Wins</v>
      </c>
    </row>
    <row r="1476" spans="1:17" x14ac:dyDescent="0.2">
      <c r="A1476" s="1">
        <v>2762</v>
      </c>
      <c r="B1476" s="2">
        <v>34505</v>
      </c>
      <c r="C1476" s="7">
        <f>_xlfn.FLOOR.MATH(Table1[[#This Row],[year]],10)</f>
        <v>1990</v>
      </c>
      <c r="D1476" t="s">
        <v>27</v>
      </c>
      <c r="E1476" t="s">
        <v>45</v>
      </c>
      <c r="F1476">
        <v>2</v>
      </c>
      <c r="G1476">
        <v>1</v>
      </c>
      <c r="H1476" t="s">
        <v>74</v>
      </c>
      <c r="I1476" t="s">
        <v>122</v>
      </c>
      <c r="J1476" t="s">
        <v>41</v>
      </c>
      <c r="K1476" t="b">
        <v>1</v>
      </c>
      <c r="L1476">
        <v>1994</v>
      </c>
      <c r="M1476">
        <v>379688232231</v>
      </c>
      <c r="N1476">
        <v>135174899866</v>
      </c>
      <c r="O1476" t="b">
        <v>1</v>
      </c>
      <c r="P1476">
        <v>1</v>
      </c>
      <c r="Q1476" t="str" cm="1">
        <f t="array" ref="Q1476">_xlfn.IFS(Table1[[#This Row],[Wealthier_Winner]]=-1,"Wealthier Nation Loses",Table1[[#This Row],[Wealthier_Winner]]=0,"Tie",Table1[[#This Row],[Wealthier_Winner]]=1,"Wealthier Nation Wins")</f>
        <v>Wealthier Nation Wins</v>
      </c>
    </row>
    <row r="1477" spans="1:17" x14ac:dyDescent="0.2">
      <c r="A1477" s="1">
        <v>2763</v>
      </c>
      <c r="B1477" s="2">
        <v>34506</v>
      </c>
      <c r="C1477" s="7">
        <f>_xlfn.FLOOR.MATH(Table1[[#This Row],[year]],10)</f>
        <v>1990</v>
      </c>
      <c r="D1477" t="s">
        <v>19</v>
      </c>
      <c r="E1477" t="s">
        <v>48</v>
      </c>
      <c r="F1477">
        <v>4</v>
      </c>
      <c r="G1477">
        <v>0</v>
      </c>
      <c r="H1477" t="s">
        <v>74</v>
      </c>
      <c r="I1477" t="s">
        <v>123</v>
      </c>
      <c r="J1477" t="s">
        <v>41</v>
      </c>
      <c r="K1477" t="b">
        <v>1</v>
      </c>
      <c r="L1477">
        <v>1994</v>
      </c>
      <c r="M1477">
        <v>257440000000</v>
      </c>
      <c r="N1477">
        <v>114980063202</v>
      </c>
      <c r="O1477" t="b">
        <v>1</v>
      </c>
      <c r="P1477">
        <v>1</v>
      </c>
      <c r="Q1477" t="str" cm="1">
        <f t="array" ref="Q1477">_xlfn.IFS(Table1[[#This Row],[Wealthier_Winner]]=-1,"Wealthier Nation Loses",Table1[[#This Row],[Wealthier_Winner]]=0,"Tie",Table1[[#This Row],[Wealthier_Winner]]=1,"Wealthier Nation Wins")</f>
        <v>Wealthier Nation Wins</v>
      </c>
    </row>
    <row r="1478" spans="1:17" x14ac:dyDescent="0.2">
      <c r="A1478" s="1">
        <v>2764</v>
      </c>
      <c r="B1478" s="2">
        <v>34506</v>
      </c>
      <c r="C1478" s="7">
        <f>_xlfn.FLOOR.MATH(Table1[[#This Row],[year]],10)</f>
        <v>1990</v>
      </c>
      <c r="D1478" t="s">
        <v>16</v>
      </c>
      <c r="E1478" t="s">
        <v>21</v>
      </c>
      <c r="F1478">
        <v>1</v>
      </c>
      <c r="G1478">
        <v>1</v>
      </c>
      <c r="H1478" t="s">
        <v>74</v>
      </c>
      <c r="I1478" t="s">
        <v>118</v>
      </c>
      <c r="J1478" t="s">
        <v>41</v>
      </c>
      <c r="K1478" t="b">
        <v>1</v>
      </c>
      <c r="L1478">
        <v>1994</v>
      </c>
      <c r="M1478">
        <v>2215282632276</v>
      </c>
      <c r="N1478">
        <v>530183651720</v>
      </c>
      <c r="O1478" t="b">
        <v>1</v>
      </c>
      <c r="P1478">
        <v>0</v>
      </c>
      <c r="Q1478" t="str" cm="1">
        <f t="array" ref="Q1478">_xlfn.IFS(Table1[[#This Row],[Wealthier_Winner]]=-1,"Wealthier Nation Loses",Table1[[#This Row],[Wealthier_Winner]]=0,"Tie",Table1[[#This Row],[Wealthier_Winner]]=1,"Wealthier Nation Wins")</f>
        <v>Tie</v>
      </c>
    </row>
    <row r="1479" spans="1:17" x14ac:dyDescent="0.2">
      <c r="A1479" s="1">
        <v>2765</v>
      </c>
      <c r="B1479" s="2">
        <v>34506</v>
      </c>
      <c r="C1479" s="7">
        <f>_xlfn.FLOOR.MATH(Table1[[#This Row],[year]],10)</f>
        <v>1990</v>
      </c>
      <c r="D1479" t="s">
        <v>43</v>
      </c>
      <c r="E1479" t="s">
        <v>33</v>
      </c>
      <c r="F1479">
        <v>3</v>
      </c>
      <c r="G1479">
        <v>0</v>
      </c>
      <c r="H1479" t="s">
        <v>74</v>
      </c>
      <c r="I1479" t="s">
        <v>124</v>
      </c>
      <c r="J1479" t="s">
        <v>41</v>
      </c>
      <c r="K1479" t="b">
        <v>1</v>
      </c>
      <c r="L1479">
        <v>1994</v>
      </c>
      <c r="M1479">
        <v>80399613063</v>
      </c>
      <c r="N1479">
        <v>9709240033</v>
      </c>
      <c r="O1479" t="b">
        <v>1</v>
      </c>
      <c r="P1479">
        <v>1</v>
      </c>
      <c r="Q1479" t="str" cm="1">
        <f t="array" ref="Q1479">_xlfn.IFS(Table1[[#This Row],[Wealthier_Winner]]=-1,"Wealthier Nation Loses",Table1[[#This Row],[Wealthier_Winner]]=0,"Tie",Table1[[#This Row],[Wealthier_Winner]]=1,"Wealthier Nation Wins")</f>
        <v>Wealthier Nation Wins</v>
      </c>
    </row>
    <row r="1480" spans="1:17" x14ac:dyDescent="0.2">
      <c r="A1480" s="1">
        <v>2766</v>
      </c>
      <c r="B1480" s="2">
        <v>34507</v>
      </c>
      <c r="C1480" s="7">
        <f>_xlfn.FLOOR.MATH(Table1[[#This Row],[year]],10)</f>
        <v>1990</v>
      </c>
      <c r="D1480" t="s">
        <v>44</v>
      </c>
      <c r="E1480" t="s">
        <v>46</v>
      </c>
      <c r="F1480">
        <v>1</v>
      </c>
      <c r="G1480">
        <v>4</v>
      </c>
      <c r="H1480" t="s">
        <v>74</v>
      </c>
      <c r="I1480" t="s">
        <v>120</v>
      </c>
      <c r="J1480" t="s">
        <v>41</v>
      </c>
      <c r="K1480" t="b">
        <v>1</v>
      </c>
      <c r="L1480">
        <v>1994</v>
      </c>
      <c r="M1480">
        <v>30072805104</v>
      </c>
      <c r="N1480">
        <v>301375055202</v>
      </c>
      <c r="O1480" t="b">
        <v>1</v>
      </c>
      <c r="P1480">
        <v>1</v>
      </c>
      <c r="Q1480" t="str" cm="1">
        <f t="array" ref="Q1480">_xlfn.IFS(Table1[[#This Row],[Wealthier_Winner]]=-1,"Wealthier Nation Loses",Table1[[#This Row],[Wealthier_Winner]]=0,"Tie",Table1[[#This Row],[Wealthier_Winner]]=1,"Wealthier Nation Wins")</f>
        <v>Wealthier Nation Wins</v>
      </c>
    </row>
    <row r="1481" spans="1:17" x14ac:dyDescent="0.2">
      <c r="A1481" s="1">
        <v>2767</v>
      </c>
      <c r="B1481" s="2">
        <v>34507</v>
      </c>
      <c r="C1481" s="7">
        <f>_xlfn.FLOOR.MATH(Table1[[#This Row],[year]],10)</f>
        <v>1990</v>
      </c>
      <c r="D1481" t="s">
        <v>41</v>
      </c>
      <c r="E1481" t="s">
        <v>15</v>
      </c>
      <c r="F1481">
        <v>2</v>
      </c>
      <c r="G1481">
        <v>1</v>
      </c>
      <c r="H1481" t="s">
        <v>74</v>
      </c>
      <c r="I1481" t="s">
        <v>119</v>
      </c>
      <c r="J1481" t="s">
        <v>41</v>
      </c>
      <c r="K1481" t="b">
        <v>0</v>
      </c>
      <c r="L1481">
        <v>1994</v>
      </c>
      <c r="M1481">
        <v>7287236000000</v>
      </c>
      <c r="N1481">
        <v>81703500846</v>
      </c>
      <c r="O1481" t="b">
        <v>1</v>
      </c>
      <c r="P1481">
        <v>1</v>
      </c>
      <c r="Q1481" t="str" cm="1">
        <f t="array" ref="Q1481">_xlfn.IFS(Table1[[#This Row],[Wealthier_Winner]]=-1,"Wealthier Nation Loses",Table1[[#This Row],[Wealthier_Winner]]=0,"Tie",Table1[[#This Row],[Wealthier_Winner]]=1,"Wealthier Nation Wins")</f>
        <v>Wealthier Nation Wins</v>
      </c>
    </row>
    <row r="1482" spans="1:17" x14ac:dyDescent="0.2">
      <c r="A1482" s="1">
        <v>2768</v>
      </c>
      <c r="B1482" s="2">
        <v>34508</v>
      </c>
      <c r="C1482" s="7">
        <f>_xlfn.FLOOR.MATH(Table1[[#This Row],[year]],10)</f>
        <v>1990</v>
      </c>
      <c r="D1482" t="s">
        <v>18</v>
      </c>
      <c r="E1482" t="s">
        <v>42</v>
      </c>
      <c r="F1482">
        <v>1</v>
      </c>
      <c r="G1482">
        <v>0</v>
      </c>
      <c r="H1482" t="s">
        <v>74</v>
      </c>
      <c r="I1482" t="s">
        <v>125</v>
      </c>
      <c r="J1482" t="s">
        <v>41</v>
      </c>
      <c r="K1482" t="b">
        <v>1</v>
      </c>
      <c r="L1482">
        <v>1994</v>
      </c>
      <c r="M1482">
        <v>1101750159702</v>
      </c>
      <c r="N1482">
        <v>127131319428</v>
      </c>
      <c r="O1482" t="b">
        <v>1</v>
      </c>
      <c r="P1482">
        <v>1</v>
      </c>
      <c r="Q1482" t="str" cm="1">
        <f t="array" ref="Q1482">_xlfn.IFS(Table1[[#This Row],[Wealthier_Winner]]=-1,"Wealthier Nation Loses",Table1[[#This Row],[Wealthier_Winner]]=0,"Tie",Table1[[#This Row],[Wealthier_Winner]]=1,"Wealthier Nation Wins")</f>
        <v>Wealthier Nation Wins</v>
      </c>
    </row>
    <row r="1483" spans="1:17" x14ac:dyDescent="0.2">
      <c r="A1483" s="1">
        <v>2769</v>
      </c>
      <c r="B1483" s="2">
        <v>34508</v>
      </c>
      <c r="C1483" s="7">
        <f>_xlfn.FLOOR.MATH(Table1[[#This Row],[year]],10)</f>
        <v>1990</v>
      </c>
      <c r="D1483" t="s">
        <v>195</v>
      </c>
      <c r="E1483" t="s">
        <v>47</v>
      </c>
      <c r="F1483">
        <v>0</v>
      </c>
      <c r="G1483">
        <v>0</v>
      </c>
      <c r="H1483" t="s">
        <v>74</v>
      </c>
      <c r="I1483" t="s">
        <v>123</v>
      </c>
      <c r="J1483" t="s">
        <v>41</v>
      </c>
      <c r="K1483" t="b">
        <v>1</v>
      </c>
      <c r="L1483">
        <v>1994</v>
      </c>
      <c r="M1483">
        <v>479181794216</v>
      </c>
      <c r="N1483">
        <v>5981222858</v>
      </c>
      <c r="O1483" t="b">
        <v>1</v>
      </c>
      <c r="P1483">
        <v>0</v>
      </c>
      <c r="Q1483" t="str" cm="1">
        <f t="array" ref="Q1483">_xlfn.IFS(Table1[[#This Row],[Wealthier_Winner]]=-1,"Wealthier Nation Loses",Table1[[#This Row],[Wealthier_Winner]]=0,"Tie",Table1[[#This Row],[Wealthier_Winner]]=1,"Wealthier Nation Wins")</f>
        <v>Tie</v>
      </c>
    </row>
    <row r="1484" spans="1:17" x14ac:dyDescent="0.2">
      <c r="A1484" s="1">
        <v>2770</v>
      </c>
      <c r="B1484" s="2">
        <v>34509</v>
      </c>
      <c r="C1484" s="7">
        <f>_xlfn.FLOOR.MATH(Table1[[#This Row],[year]],10)</f>
        <v>1990</v>
      </c>
      <c r="D1484" t="s">
        <v>13</v>
      </c>
      <c r="E1484" t="s">
        <v>40</v>
      </c>
      <c r="F1484">
        <v>3</v>
      </c>
      <c r="G1484">
        <v>0</v>
      </c>
      <c r="H1484" t="s">
        <v>74</v>
      </c>
      <c r="I1484" t="s">
        <v>126</v>
      </c>
      <c r="J1484" t="s">
        <v>41</v>
      </c>
      <c r="K1484" t="b">
        <v>1</v>
      </c>
      <c r="L1484">
        <v>1994</v>
      </c>
      <c r="M1484">
        <v>525369851353</v>
      </c>
      <c r="N1484">
        <v>8902446252</v>
      </c>
      <c r="O1484" t="b">
        <v>1</v>
      </c>
      <c r="P1484">
        <v>1</v>
      </c>
      <c r="Q1484" t="str" cm="1">
        <f t="array" ref="Q1484">_xlfn.IFS(Table1[[#This Row],[Wealthier_Winner]]=-1,"Wealthier Nation Loses",Table1[[#This Row],[Wealthier_Winner]]=0,"Tie",Table1[[#This Row],[Wealthier_Winner]]=1,"Wealthier Nation Wins")</f>
        <v>Wealthier Nation Wins</v>
      </c>
    </row>
    <row r="1485" spans="1:17" x14ac:dyDescent="0.2">
      <c r="A1485" s="1">
        <v>2772</v>
      </c>
      <c r="B1485" s="2">
        <v>34509</v>
      </c>
      <c r="C1485" s="7">
        <f>_xlfn.FLOOR.MATH(Table1[[#This Row],[year]],10)</f>
        <v>1990</v>
      </c>
      <c r="D1485" t="s">
        <v>25</v>
      </c>
      <c r="E1485" t="s">
        <v>196</v>
      </c>
      <c r="F1485">
        <v>3</v>
      </c>
      <c r="G1485">
        <v>1</v>
      </c>
      <c r="H1485" t="s">
        <v>74</v>
      </c>
      <c r="I1485" t="s">
        <v>120</v>
      </c>
      <c r="J1485" t="s">
        <v>41</v>
      </c>
      <c r="K1485" t="b">
        <v>1</v>
      </c>
      <c r="L1485">
        <v>1994</v>
      </c>
      <c r="M1485">
        <v>228699066874</v>
      </c>
      <c r="N1485">
        <v>395077301248</v>
      </c>
      <c r="O1485" t="b">
        <v>0</v>
      </c>
      <c r="P1485">
        <v>-1</v>
      </c>
      <c r="Q1485" t="str" cm="1">
        <f t="array" ref="Q1485">_xlfn.IFS(Table1[[#This Row],[Wealthier_Winner]]=-1,"Wealthier Nation Loses",Table1[[#This Row],[Wealthier_Winner]]=0,"Tie",Table1[[#This Row],[Wealthier_Winner]]=1,"Wealthier Nation Wins")</f>
        <v>Wealthier Nation Loses</v>
      </c>
    </row>
    <row r="1486" spans="1:17" x14ac:dyDescent="0.2">
      <c r="A1486" s="1">
        <v>2773</v>
      </c>
      <c r="B1486" s="2">
        <v>34510</v>
      </c>
      <c r="C1486" s="7">
        <f>_xlfn.FLOOR.MATH(Table1[[#This Row],[year]],10)</f>
        <v>1990</v>
      </c>
      <c r="D1486" t="s">
        <v>19</v>
      </c>
      <c r="E1486" t="s">
        <v>43</v>
      </c>
      <c r="F1486">
        <v>2</v>
      </c>
      <c r="G1486">
        <v>1</v>
      </c>
      <c r="H1486" t="s">
        <v>74</v>
      </c>
      <c r="I1486" t="s">
        <v>123</v>
      </c>
      <c r="J1486" t="s">
        <v>41</v>
      </c>
      <c r="K1486" t="b">
        <v>1</v>
      </c>
      <c r="L1486">
        <v>1994</v>
      </c>
      <c r="M1486">
        <v>257440000000</v>
      </c>
      <c r="N1486">
        <v>80399613063</v>
      </c>
      <c r="O1486" t="b">
        <v>1</v>
      </c>
      <c r="P1486">
        <v>1</v>
      </c>
      <c r="Q1486" t="str" cm="1">
        <f t="array" ref="Q1486">_xlfn.IFS(Table1[[#This Row],[Wealthier_Winner]]=-1,"Wealthier Nation Loses",Table1[[#This Row],[Wealthier_Winner]]=0,"Tie",Table1[[#This Row],[Wealthier_Winner]]=1,"Wealthier Nation Wins")</f>
        <v>Wealthier Nation Wins</v>
      </c>
    </row>
    <row r="1487" spans="1:17" x14ac:dyDescent="0.2">
      <c r="A1487" s="1">
        <v>2774</v>
      </c>
      <c r="B1487" s="2">
        <v>34510</v>
      </c>
      <c r="C1487" s="7">
        <f>_xlfn.FLOOR.MATH(Table1[[#This Row],[year]],10)</f>
        <v>1990</v>
      </c>
      <c r="D1487" t="s">
        <v>23</v>
      </c>
      <c r="E1487" t="s">
        <v>27</v>
      </c>
      <c r="F1487">
        <v>1</v>
      </c>
      <c r="G1487">
        <v>0</v>
      </c>
      <c r="H1487" t="s">
        <v>74</v>
      </c>
      <c r="I1487" t="s">
        <v>121</v>
      </c>
      <c r="J1487" t="s">
        <v>41</v>
      </c>
      <c r="K1487" t="b">
        <v>1</v>
      </c>
      <c r="L1487">
        <v>1994</v>
      </c>
      <c r="M1487">
        <v>244884129491</v>
      </c>
      <c r="N1487">
        <v>379688232231</v>
      </c>
      <c r="O1487" t="b">
        <v>0</v>
      </c>
      <c r="P1487">
        <v>-1</v>
      </c>
      <c r="Q1487" t="str" cm="1">
        <f t="array" ref="Q1487">_xlfn.IFS(Table1[[#This Row],[Wealthier_Winner]]=-1,"Wealthier Nation Loses",Table1[[#This Row],[Wealthier_Winner]]=0,"Tie",Table1[[#This Row],[Wealthier_Winner]]=1,"Wealthier Nation Wins")</f>
        <v>Wealthier Nation Loses</v>
      </c>
    </row>
    <row r="1488" spans="1:17" x14ac:dyDescent="0.2">
      <c r="A1488" s="1">
        <v>2775</v>
      </c>
      <c r="B1488" s="2">
        <v>34510</v>
      </c>
      <c r="C1488" s="7">
        <f>_xlfn.FLOOR.MATH(Table1[[#This Row],[year]],10)</f>
        <v>1990</v>
      </c>
      <c r="D1488" t="s">
        <v>45</v>
      </c>
      <c r="E1488" t="s">
        <v>24</v>
      </c>
      <c r="F1488">
        <v>2</v>
      </c>
      <c r="G1488">
        <v>1</v>
      </c>
      <c r="H1488" t="s">
        <v>74</v>
      </c>
      <c r="I1488" t="s">
        <v>125</v>
      </c>
      <c r="J1488" t="s">
        <v>41</v>
      </c>
      <c r="K1488" t="b">
        <v>1</v>
      </c>
      <c r="L1488">
        <v>1994</v>
      </c>
      <c r="M1488">
        <v>135174899866</v>
      </c>
      <c r="N1488">
        <v>35604137422</v>
      </c>
      <c r="O1488" t="b">
        <v>1</v>
      </c>
      <c r="P1488">
        <v>1</v>
      </c>
      <c r="Q1488" t="str" cm="1">
        <f t="array" ref="Q1488">_xlfn.IFS(Table1[[#This Row],[Wealthier_Winner]]=-1,"Wealthier Nation Loses",Table1[[#This Row],[Wealthier_Winner]]=0,"Tie",Table1[[#This Row],[Wealthier_Winner]]=1,"Wealthier Nation Wins")</f>
        <v>Wealthier Nation Wins</v>
      </c>
    </row>
    <row r="1489" spans="1:17" x14ac:dyDescent="0.2">
      <c r="A1489" s="1">
        <v>2776</v>
      </c>
      <c r="B1489" s="2">
        <v>34511</v>
      </c>
      <c r="C1489" s="7">
        <f>_xlfn.FLOOR.MATH(Table1[[#This Row],[year]],10)</f>
        <v>1990</v>
      </c>
      <c r="D1489" t="s">
        <v>33</v>
      </c>
      <c r="E1489" t="s">
        <v>48</v>
      </c>
      <c r="F1489">
        <v>4</v>
      </c>
      <c r="G1489">
        <v>0</v>
      </c>
      <c r="H1489" t="s">
        <v>74</v>
      </c>
      <c r="I1489" t="s">
        <v>118</v>
      </c>
      <c r="J1489" t="s">
        <v>41</v>
      </c>
      <c r="K1489" t="b">
        <v>1</v>
      </c>
      <c r="L1489">
        <v>1994</v>
      </c>
      <c r="M1489">
        <v>9709240033</v>
      </c>
      <c r="N1489">
        <v>114980063202</v>
      </c>
      <c r="O1489" t="b">
        <v>1</v>
      </c>
      <c r="P1489">
        <v>-1</v>
      </c>
      <c r="Q1489" t="str" cm="1">
        <f t="array" ref="Q1489">_xlfn.IFS(Table1[[#This Row],[Wealthier_Winner]]=-1,"Wealthier Nation Loses",Table1[[#This Row],[Wealthier_Winner]]=0,"Tie",Table1[[#This Row],[Wealthier_Winner]]=1,"Wealthier Nation Wins")</f>
        <v>Wealthier Nation Loses</v>
      </c>
    </row>
    <row r="1490" spans="1:17" x14ac:dyDescent="0.2">
      <c r="A1490" s="1">
        <v>2777</v>
      </c>
      <c r="B1490" s="2">
        <v>34511</v>
      </c>
      <c r="C1490" s="7">
        <f>_xlfn.FLOOR.MATH(Table1[[#This Row],[year]],10)</f>
        <v>1990</v>
      </c>
      <c r="D1490" t="s">
        <v>46</v>
      </c>
      <c r="E1490" t="s">
        <v>15</v>
      </c>
      <c r="F1490">
        <v>0</v>
      </c>
      <c r="G1490">
        <v>2</v>
      </c>
      <c r="H1490" t="s">
        <v>74</v>
      </c>
      <c r="I1490" t="s">
        <v>126</v>
      </c>
      <c r="J1490" t="s">
        <v>41</v>
      </c>
      <c r="K1490" t="b">
        <v>1</v>
      </c>
      <c r="L1490">
        <v>1994</v>
      </c>
      <c r="M1490">
        <v>301375055202</v>
      </c>
      <c r="N1490">
        <v>81703500846</v>
      </c>
      <c r="O1490" t="b">
        <v>1</v>
      </c>
      <c r="P1490">
        <v>-1</v>
      </c>
      <c r="Q1490" t="str" cm="1">
        <f t="array" ref="Q1490">_xlfn.IFS(Table1[[#This Row],[Wealthier_Winner]]=-1,"Wealthier Nation Loses",Table1[[#This Row],[Wealthier_Winner]]=0,"Tie",Table1[[#This Row],[Wealthier_Winner]]=1,"Wealthier Nation Wins")</f>
        <v>Wealthier Nation Loses</v>
      </c>
    </row>
    <row r="1491" spans="1:17" x14ac:dyDescent="0.2">
      <c r="A1491" s="1">
        <v>2778</v>
      </c>
      <c r="B1491" s="2">
        <v>34511</v>
      </c>
      <c r="C1491" s="7">
        <f>_xlfn.FLOOR.MATH(Table1[[#This Row],[year]],10)</f>
        <v>1990</v>
      </c>
      <c r="D1491" t="s">
        <v>41</v>
      </c>
      <c r="E1491" t="s">
        <v>44</v>
      </c>
      <c r="F1491">
        <v>0</v>
      </c>
      <c r="G1491">
        <v>1</v>
      </c>
      <c r="H1491" t="s">
        <v>74</v>
      </c>
      <c r="I1491" t="s">
        <v>119</v>
      </c>
      <c r="J1491" t="s">
        <v>41</v>
      </c>
      <c r="K1491" t="b">
        <v>0</v>
      </c>
      <c r="L1491">
        <v>1994</v>
      </c>
      <c r="M1491">
        <v>7287236000000</v>
      </c>
      <c r="N1491">
        <v>30072805104</v>
      </c>
      <c r="O1491" t="b">
        <v>1</v>
      </c>
      <c r="P1491">
        <v>-1</v>
      </c>
      <c r="Q1491" t="str" cm="1">
        <f t="array" ref="Q1491">_xlfn.IFS(Table1[[#This Row],[Wealthier_Winner]]=-1,"Wealthier Nation Loses",Table1[[#This Row],[Wealthier_Winner]]=0,"Tie",Table1[[#This Row],[Wealthier_Winner]]=1,"Wealthier Nation Wins")</f>
        <v>Wealthier Nation Loses</v>
      </c>
    </row>
    <row r="1492" spans="1:17" x14ac:dyDescent="0.2">
      <c r="A1492" s="1">
        <v>2779</v>
      </c>
      <c r="B1492" s="2">
        <v>34512</v>
      </c>
      <c r="C1492" s="7">
        <f>_xlfn.FLOOR.MATH(Table1[[#This Row],[year]],10)</f>
        <v>1990</v>
      </c>
      <c r="D1492" t="s">
        <v>47</v>
      </c>
      <c r="E1492" t="s">
        <v>21</v>
      </c>
      <c r="F1492">
        <v>1</v>
      </c>
      <c r="G1492">
        <v>3</v>
      </c>
      <c r="H1492" t="s">
        <v>74</v>
      </c>
      <c r="I1492" t="s">
        <v>118</v>
      </c>
      <c r="J1492" t="s">
        <v>41</v>
      </c>
      <c r="K1492" t="b">
        <v>1</v>
      </c>
      <c r="L1492">
        <v>1994</v>
      </c>
      <c r="M1492">
        <v>5981222858</v>
      </c>
      <c r="N1492">
        <v>530183651720</v>
      </c>
      <c r="O1492" t="b">
        <v>1</v>
      </c>
      <c r="P1492">
        <v>1</v>
      </c>
      <c r="Q1492" t="str" cm="1">
        <f t="array" ref="Q1492">_xlfn.IFS(Table1[[#This Row],[Wealthier_Winner]]=-1,"Wealthier Nation Loses",Table1[[#This Row],[Wealthier_Winner]]=0,"Tie",Table1[[#This Row],[Wealthier_Winner]]=1,"Wealthier Nation Wins")</f>
        <v>Wealthier Nation Wins</v>
      </c>
    </row>
    <row r="1493" spans="1:17" x14ac:dyDescent="0.2">
      <c r="A1493" s="1">
        <v>2780</v>
      </c>
      <c r="B1493" s="2">
        <v>34512</v>
      </c>
      <c r="C1493" s="7">
        <f>_xlfn.FLOOR.MATH(Table1[[#This Row],[year]],10)</f>
        <v>1990</v>
      </c>
      <c r="D1493" t="s">
        <v>16</v>
      </c>
      <c r="E1493" t="s">
        <v>195</v>
      </c>
      <c r="F1493">
        <v>3</v>
      </c>
      <c r="G1493">
        <v>2</v>
      </c>
      <c r="H1493" t="s">
        <v>74</v>
      </c>
      <c r="I1493" t="s">
        <v>124</v>
      </c>
      <c r="J1493" t="s">
        <v>41</v>
      </c>
      <c r="K1493" t="b">
        <v>1</v>
      </c>
      <c r="L1493">
        <v>1994</v>
      </c>
      <c r="M1493">
        <v>2215282632276</v>
      </c>
      <c r="N1493">
        <v>479181794216</v>
      </c>
      <c r="O1493" t="b">
        <v>1</v>
      </c>
      <c r="P1493">
        <v>1</v>
      </c>
      <c r="Q1493" t="str" cm="1">
        <f t="array" ref="Q1493">_xlfn.IFS(Table1[[#This Row],[Wealthier_Winner]]=-1,"Wealthier Nation Loses",Table1[[#This Row],[Wealthier_Winner]]=0,"Tie",Table1[[#This Row],[Wealthier_Winner]]=1,"Wealthier Nation Wins")</f>
        <v>Wealthier Nation Wins</v>
      </c>
    </row>
    <row r="1494" spans="1:17" x14ac:dyDescent="0.2">
      <c r="A1494" s="1">
        <v>2781</v>
      </c>
      <c r="B1494" s="2">
        <v>34513</v>
      </c>
      <c r="C1494" s="7">
        <f>_xlfn.FLOOR.MATH(Table1[[#This Row],[year]],10)</f>
        <v>1990</v>
      </c>
      <c r="D1494" t="s">
        <v>13</v>
      </c>
      <c r="E1494" t="s">
        <v>25</v>
      </c>
      <c r="F1494">
        <v>1</v>
      </c>
      <c r="G1494">
        <v>1</v>
      </c>
      <c r="H1494" t="s">
        <v>74</v>
      </c>
      <c r="I1494" t="s">
        <v>120</v>
      </c>
      <c r="J1494" t="s">
        <v>41</v>
      </c>
      <c r="K1494" t="b">
        <v>1</v>
      </c>
      <c r="L1494">
        <v>1994</v>
      </c>
      <c r="M1494">
        <v>525369851353</v>
      </c>
      <c r="N1494">
        <v>228699066874</v>
      </c>
      <c r="O1494" t="b">
        <v>1</v>
      </c>
      <c r="P1494">
        <v>0</v>
      </c>
      <c r="Q1494" t="str" cm="1">
        <f t="array" ref="Q1494">_xlfn.IFS(Table1[[#This Row],[Wealthier_Winner]]=-1,"Wealthier Nation Loses",Table1[[#This Row],[Wealthier_Winner]]=0,"Tie",Table1[[#This Row],[Wealthier_Winner]]=1,"Wealthier Nation Wins")</f>
        <v>Tie</v>
      </c>
    </row>
    <row r="1495" spans="1:17" x14ac:dyDescent="0.2">
      <c r="A1495" s="1">
        <v>2783</v>
      </c>
      <c r="B1495" s="2">
        <v>34513</v>
      </c>
      <c r="C1495" s="7">
        <f>_xlfn.FLOOR.MATH(Table1[[#This Row],[year]],10)</f>
        <v>1990</v>
      </c>
      <c r="D1495" t="s">
        <v>18</v>
      </c>
      <c r="E1495" t="s">
        <v>17</v>
      </c>
      <c r="F1495">
        <v>1</v>
      </c>
      <c r="G1495">
        <v>1</v>
      </c>
      <c r="H1495" t="s">
        <v>74</v>
      </c>
      <c r="I1495" t="s">
        <v>122</v>
      </c>
      <c r="J1495" t="s">
        <v>41</v>
      </c>
      <c r="K1495" t="b">
        <v>1</v>
      </c>
      <c r="L1495">
        <v>1994</v>
      </c>
      <c r="M1495">
        <v>1101750159702</v>
      </c>
      <c r="N1495">
        <v>553618247900</v>
      </c>
      <c r="O1495" t="b">
        <v>0</v>
      </c>
      <c r="P1495">
        <v>0</v>
      </c>
      <c r="Q1495" t="str" cm="1">
        <f t="array" ref="Q1495">_xlfn.IFS(Table1[[#This Row],[Wealthier_Winner]]=-1,"Wealthier Nation Loses",Table1[[#This Row],[Wealthier_Winner]]=0,"Tie",Table1[[#This Row],[Wealthier_Winner]]=1,"Wealthier Nation Wins")</f>
        <v>Tie</v>
      </c>
    </row>
    <row r="1496" spans="1:17" x14ac:dyDescent="0.2">
      <c r="A1496" s="1">
        <v>2784</v>
      </c>
      <c r="B1496" s="2">
        <v>34513</v>
      </c>
      <c r="C1496" s="7">
        <f>_xlfn.FLOOR.MATH(Table1[[#This Row],[year]],10)</f>
        <v>1990</v>
      </c>
      <c r="D1496" t="s">
        <v>196</v>
      </c>
      <c r="E1496" t="s">
        <v>40</v>
      </c>
      <c r="F1496">
        <v>6</v>
      </c>
      <c r="G1496">
        <v>1</v>
      </c>
      <c r="H1496" t="s">
        <v>74</v>
      </c>
      <c r="I1496" t="s">
        <v>126</v>
      </c>
      <c r="J1496" t="s">
        <v>41</v>
      </c>
      <c r="K1496" t="b">
        <v>1</v>
      </c>
      <c r="L1496">
        <v>1994</v>
      </c>
      <c r="M1496">
        <v>395077301248</v>
      </c>
      <c r="N1496">
        <v>8902446252</v>
      </c>
      <c r="O1496" t="b">
        <v>1</v>
      </c>
      <c r="P1496">
        <v>1</v>
      </c>
      <c r="Q1496" t="str" cm="1">
        <f t="array" ref="Q1496">_xlfn.IFS(Table1[[#This Row],[Wealthier_Winner]]=-1,"Wealthier Nation Loses",Table1[[#This Row],[Wealthier_Winner]]=0,"Tie",Table1[[#This Row],[Wealthier_Winner]]=1,"Wealthier Nation Wins")</f>
        <v>Wealthier Nation Wins</v>
      </c>
    </row>
    <row r="1497" spans="1:17" x14ac:dyDescent="0.2">
      <c r="A1497" s="1">
        <v>2785</v>
      </c>
      <c r="B1497" s="2">
        <v>34514</v>
      </c>
      <c r="C1497" s="7">
        <f>_xlfn.FLOOR.MATH(Table1[[#This Row],[year]],10)</f>
        <v>1990</v>
      </c>
      <c r="D1497" t="s">
        <v>23</v>
      </c>
      <c r="E1497" t="s">
        <v>45</v>
      </c>
      <c r="F1497">
        <v>0</v>
      </c>
      <c r="G1497">
        <v>1</v>
      </c>
      <c r="H1497" t="s">
        <v>74</v>
      </c>
      <c r="I1497" t="s">
        <v>122</v>
      </c>
      <c r="J1497" t="s">
        <v>41</v>
      </c>
      <c r="K1497" t="b">
        <v>1</v>
      </c>
      <c r="L1497">
        <v>1994</v>
      </c>
      <c r="M1497">
        <v>244884129491</v>
      </c>
      <c r="N1497">
        <v>135174899866</v>
      </c>
      <c r="O1497" t="b">
        <v>0</v>
      </c>
      <c r="P1497">
        <v>-1</v>
      </c>
      <c r="Q1497" t="str" cm="1">
        <f t="array" ref="Q1497">_xlfn.IFS(Table1[[#This Row],[Wealthier_Winner]]=-1,"Wealthier Nation Loses",Table1[[#This Row],[Wealthier_Winner]]=0,"Tie",Table1[[#This Row],[Wealthier_Winner]]=1,"Wealthier Nation Wins")</f>
        <v>Wealthier Nation Loses</v>
      </c>
    </row>
    <row r="1498" spans="1:17" x14ac:dyDescent="0.2">
      <c r="A1498" s="1">
        <v>2786</v>
      </c>
      <c r="B1498" s="2">
        <v>34514</v>
      </c>
      <c r="C1498" s="7">
        <f>_xlfn.FLOOR.MATH(Table1[[#This Row],[year]],10)</f>
        <v>1990</v>
      </c>
      <c r="D1498" t="s">
        <v>24</v>
      </c>
      <c r="E1498" t="s">
        <v>27</v>
      </c>
      <c r="F1498">
        <v>1</v>
      </c>
      <c r="G1498">
        <v>2</v>
      </c>
      <c r="H1498" t="s">
        <v>74</v>
      </c>
      <c r="I1498" t="s">
        <v>121</v>
      </c>
      <c r="J1498" t="s">
        <v>41</v>
      </c>
      <c r="K1498" t="b">
        <v>1</v>
      </c>
      <c r="L1498">
        <v>1994</v>
      </c>
      <c r="M1498">
        <v>35604137422</v>
      </c>
      <c r="N1498">
        <v>379688232231</v>
      </c>
      <c r="O1498" t="b">
        <v>1</v>
      </c>
      <c r="P1498">
        <v>1</v>
      </c>
      <c r="Q1498" t="str" cm="1">
        <f t="array" ref="Q1498">_xlfn.IFS(Table1[[#This Row],[Wealthier_Winner]]=-1,"Wealthier Nation Loses",Table1[[#This Row],[Wealthier_Winner]]=0,"Tie",Table1[[#This Row],[Wealthier_Winner]]=1,"Wealthier Nation Wins")</f>
        <v>Wealthier Nation Wins</v>
      </c>
    </row>
    <row r="1499" spans="1:17" x14ac:dyDescent="0.2">
      <c r="A1499" s="1">
        <v>2787</v>
      </c>
      <c r="B1499" s="2">
        <v>34515</v>
      </c>
      <c r="C1499" s="7">
        <f>_xlfn.FLOOR.MATH(Table1[[#This Row],[year]],10)</f>
        <v>1990</v>
      </c>
      <c r="D1499" t="s">
        <v>19</v>
      </c>
      <c r="E1499" t="s">
        <v>33</v>
      </c>
      <c r="F1499">
        <v>0</v>
      </c>
      <c r="G1499">
        <v>2</v>
      </c>
      <c r="H1499" t="s">
        <v>74</v>
      </c>
      <c r="I1499" t="s">
        <v>124</v>
      </c>
      <c r="J1499" t="s">
        <v>41</v>
      </c>
      <c r="K1499" t="b">
        <v>1</v>
      </c>
      <c r="L1499">
        <v>1994</v>
      </c>
      <c r="M1499">
        <v>257440000000</v>
      </c>
      <c r="N1499">
        <v>9709240033</v>
      </c>
      <c r="O1499" t="b">
        <v>1</v>
      </c>
      <c r="P1499">
        <v>-1</v>
      </c>
      <c r="Q1499" t="str" cm="1">
        <f t="array" ref="Q1499">_xlfn.IFS(Table1[[#This Row],[Wealthier_Winner]]=-1,"Wealthier Nation Loses",Table1[[#This Row],[Wealthier_Winner]]=0,"Tie",Table1[[#This Row],[Wealthier_Winner]]=1,"Wealthier Nation Wins")</f>
        <v>Wealthier Nation Loses</v>
      </c>
    </row>
    <row r="1500" spans="1:17" x14ac:dyDescent="0.2">
      <c r="A1500" s="1">
        <v>2788</v>
      </c>
      <c r="B1500" s="2">
        <v>34515</v>
      </c>
      <c r="C1500" s="7">
        <f>_xlfn.FLOOR.MATH(Table1[[#This Row],[year]],10)</f>
        <v>1990</v>
      </c>
      <c r="D1500" t="s">
        <v>48</v>
      </c>
      <c r="E1500" t="s">
        <v>43</v>
      </c>
      <c r="F1500">
        <v>0</v>
      </c>
      <c r="G1500">
        <v>2</v>
      </c>
      <c r="H1500" t="s">
        <v>74</v>
      </c>
      <c r="I1500" t="s">
        <v>123</v>
      </c>
      <c r="J1500" t="s">
        <v>41</v>
      </c>
      <c r="K1500" t="b">
        <v>1</v>
      </c>
      <c r="L1500">
        <v>1994</v>
      </c>
      <c r="M1500">
        <v>114980063202</v>
      </c>
      <c r="N1500">
        <v>80399613063</v>
      </c>
      <c r="O1500" t="b">
        <v>0</v>
      </c>
      <c r="P1500">
        <v>-1</v>
      </c>
      <c r="Q1500" t="str" cm="1">
        <f t="array" ref="Q1500">_xlfn.IFS(Table1[[#This Row],[Wealthier_Winner]]=-1,"Wealthier Nation Loses",Table1[[#This Row],[Wealthier_Winner]]=0,"Tie",Table1[[#This Row],[Wealthier_Winner]]=1,"Wealthier Nation Wins")</f>
        <v>Wealthier Nation Loses</v>
      </c>
    </row>
    <row r="1501" spans="1:17" x14ac:dyDescent="0.2">
      <c r="A1501" s="1">
        <v>2789</v>
      </c>
      <c r="B1501" s="2">
        <v>34517</v>
      </c>
      <c r="C1501" s="7">
        <f>_xlfn.FLOOR.MATH(Table1[[#This Row],[year]],10)</f>
        <v>1990</v>
      </c>
      <c r="D1501" t="s">
        <v>16</v>
      </c>
      <c r="E1501" t="s">
        <v>23</v>
      </c>
      <c r="F1501">
        <v>3</v>
      </c>
      <c r="G1501">
        <v>2</v>
      </c>
      <c r="H1501" t="s">
        <v>74</v>
      </c>
      <c r="I1501" t="s">
        <v>118</v>
      </c>
      <c r="J1501" t="s">
        <v>41</v>
      </c>
      <c r="K1501" t="b">
        <v>1</v>
      </c>
      <c r="L1501">
        <v>1994</v>
      </c>
      <c r="M1501">
        <v>2215282632276</v>
      </c>
      <c r="N1501">
        <v>244884129491</v>
      </c>
      <c r="O1501" t="b">
        <v>1</v>
      </c>
      <c r="P1501">
        <v>1</v>
      </c>
      <c r="Q1501" t="str" cm="1">
        <f t="array" ref="Q1501">_xlfn.IFS(Table1[[#This Row],[Wealthier_Winner]]=-1,"Wealthier Nation Loses",Table1[[#This Row],[Wealthier_Winner]]=0,"Tie",Table1[[#This Row],[Wealthier_Winner]]=1,"Wealthier Nation Wins")</f>
        <v>Wealthier Nation Wins</v>
      </c>
    </row>
    <row r="1502" spans="1:17" x14ac:dyDescent="0.2">
      <c r="A1502" s="1">
        <v>2790</v>
      </c>
      <c r="B1502" s="2">
        <v>34517</v>
      </c>
      <c r="C1502" s="7">
        <f>_xlfn.FLOOR.MATH(Table1[[#This Row],[year]],10)</f>
        <v>1990</v>
      </c>
      <c r="D1502" t="s">
        <v>21</v>
      </c>
      <c r="E1502" t="s">
        <v>46</v>
      </c>
      <c r="F1502">
        <v>3</v>
      </c>
      <c r="G1502">
        <v>0</v>
      </c>
      <c r="H1502" t="s">
        <v>74</v>
      </c>
      <c r="I1502" t="s">
        <v>122</v>
      </c>
      <c r="J1502" t="s">
        <v>41</v>
      </c>
      <c r="K1502" t="b">
        <v>1</v>
      </c>
      <c r="L1502">
        <v>1994</v>
      </c>
      <c r="M1502">
        <v>530183651720</v>
      </c>
      <c r="N1502">
        <v>301375055202</v>
      </c>
      <c r="O1502" t="b">
        <v>0</v>
      </c>
      <c r="P1502">
        <v>1</v>
      </c>
      <c r="Q1502" t="str" cm="1">
        <f t="array" ref="Q1502">_xlfn.IFS(Table1[[#This Row],[Wealthier_Winner]]=-1,"Wealthier Nation Loses",Table1[[#This Row],[Wealthier_Winner]]=0,"Tie",Table1[[#This Row],[Wealthier_Winner]]=1,"Wealthier Nation Wins")</f>
        <v>Wealthier Nation Wins</v>
      </c>
    </row>
    <row r="1503" spans="1:17" x14ac:dyDescent="0.2">
      <c r="A1503" s="1">
        <v>2791</v>
      </c>
      <c r="B1503" s="2">
        <v>34518</v>
      </c>
      <c r="C1503" s="7">
        <f>_xlfn.FLOOR.MATH(Table1[[#This Row],[year]],10)</f>
        <v>1990</v>
      </c>
      <c r="D1503" t="s">
        <v>44</v>
      </c>
      <c r="E1503" t="s">
        <v>19</v>
      </c>
      <c r="F1503">
        <v>3</v>
      </c>
      <c r="G1503">
        <v>2</v>
      </c>
      <c r="H1503" t="s">
        <v>74</v>
      </c>
      <c r="I1503" t="s">
        <v>119</v>
      </c>
      <c r="J1503" t="s">
        <v>41</v>
      </c>
      <c r="K1503" t="b">
        <v>1</v>
      </c>
      <c r="L1503">
        <v>1994</v>
      </c>
      <c r="M1503">
        <v>30072805104</v>
      </c>
      <c r="N1503">
        <v>257440000000</v>
      </c>
      <c r="O1503" t="b">
        <v>1</v>
      </c>
      <c r="P1503">
        <v>-1</v>
      </c>
      <c r="Q1503" t="str" cm="1">
        <f t="array" ref="Q1503">_xlfn.IFS(Table1[[#This Row],[Wealthier_Winner]]=-1,"Wealthier Nation Loses",Table1[[#This Row],[Wealthier_Winner]]=0,"Tie",Table1[[#This Row],[Wealthier_Winner]]=1,"Wealthier Nation Wins")</f>
        <v>Wealthier Nation Loses</v>
      </c>
    </row>
    <row r="1504" spans="1:17" x14ac:dyDescent="0.2">
      <c r="A1504" s="1">
        <v>2792</v>
      </c>
      <c r="B1504" s="2">
        <v>34518</v>
      </c>
      <c r="C1504" s="7">
        <f>_xlfn.FLOOR.MATH(Table1[[#This Row],[year]],10)</f>
        <v>1990</v>
      </c>
      <c r="D1504" t="s">
        <v>45</v>
      </c>
      <c r="E1504" t="s">
        <v>25</v>
      </c>
      <c r="F1504">
        <v>1</v>
      </c>
      <c r="G1504">
        <v>3</v>
      </c>
      <c r="H1504" t="s">
        <v>74</v>
      </c>
      <c r="I1504" t="s">
        <v>124</v>
      </c>
      <c r="J1504" t="s">
        <v>41</v>
      </c>
      <c r="K1504" t="b">
        <v>1</v>
      </c>
      <c r="L1504">
        <v>1994</v>
      </c>
      <c r="M1504">
        <v>135174899866</v>
      </c>
      <c r="N1504">
        <v>228699066874</v>
      </c>
      <c r="O1504" t="b">
        <v>0</v>
      </c>
      <c r="P1504">
        <v>1</v>
      </c>
      <c r="Q1504" t="str" cm="1">
        <f t="array" ref="Q1504">_xlfn.IFS(Table1[[#This Row],[Wealthier_Winner]]=-1,"Wealthier Nation Loses",Table1[[#This Row],[Wealthier_Winner]]=0,"Tie",Table1[[#This Row],[Wealthier_Winner]]=1,"Wealthier Nation Wins")</f>
        <v>Wealthier Nation Wins</v>
      </c>
    </row>
    <row r="1505" spans="1:17" x14ac:dyDescent="0.2">
      <c r="A1505" s="1">
        <v>2794</v>
      </c>
      <c r="B1505" s="2">
        <v>34519</v>
      </c>
      <c r="C1505" s="7">
        <f>_xlfn.FLOOR.MATH(Table1[[#This Row],[year]],10)</f>
        <v>1990</v>
      </c>
      <c r="D1505" t="s">
        <v>41</v>
      </c>
      <c r="E1505" t="s">
        <v>13</v>
      </c>
      <c r="F1505">
        <v>0</v>
      </c>
      <c r="G1505">
        <v>1</v>
      </c>
      <c r="H1505" t="s">
        <v>74</v>
      </c>
      <c r="I1505" t="s">
        <v>126</v>
      </c>
      <c r="J1505" t="s">
        <v>41</v>
      </c>
      <c r="K1505" t="b">
        <v>0</v>
      </c>
      <c r="L1505">
        <v>1994</v>
      </c>
      <c r="M1505">
        <v>7287236000000</v>
      </c>
      <c r="N1505">
        <v>525369851353</v>
      </c>
      <c r="O1505" t="b">
        <v>1</v>
      </c>
      <c r="P1505">
        <v>-1</v>
      </c>
      <c r="Q1505" t="str" cm="1">
        <f t="array" ref="Q1505">_xlfn.IFS(Table1[[#This Row],[Wealthier_Winner]]=-1,"Wealthier Nation Loses",Table1[[#This Row],[Wealthier_Winner]]=0,"Tie",Table1[[#This Row],[Wealthier_Winner]]=1,"Wealthier Nation Wins")</f>
        <v>Wealthier Nation Loses</v>
      </c>
    </row>
    <row r="1506" spans="1:17" x14ac:dyDescent="0.2">
      <c r="A1506" s="1">
        <v>2795</v>
      </c>
      <c r="B1506" s="2">
        <v>34520</v>
      </c>
      <c r="C1506" s="7">
        <f>_xlfn.FLOOR.MATH(Table1[[#This Row],[year]],10)</f>
        <v>1990</v>
      </c>
      <c r="D1506" t="s">
        <v>17</v>
      </c>
      <c r="E1506" t="s">
        <v>33</v>
      </c>
      <c r="F1506">
        <v>1</v>
      </c>
      <c r="G1506">
        <v>1</v>
      </c>
      <c r="H1506" t="s">
        <v>74</v>
      </c>
      <c r="I1506" t="s">
        <v>125</v>
      </c>
      <c r="J1506" t="s">
        <v>41</v>
      </c>
      <c r="K1506" t="b">
        <v>1</v>
      </c>
      <c r="L1506">
        <v>1994</v>
      </c>
      <c r="M1506">
        <v>553618247900</v>
      </c>
      <c r="N1506">
        <v>9709240033</v>
      </c>
      <c r="O1506" t="b">
        <v>1</v>
      </c>
      <c r="P1506">
        <v>0</v>
      </c>
      <c r="Q1506" t="str" cm="1">
        <f t="array" ref="Q1506">_xlfn.IFS(Table1[[#This Row],[Wealthier_Winner]]=-1,"Wealthier Nation Loses",Table1[[#This Row],[Wealthier_Winner]]=0,"Tie",Table1[[#This Row],[Wealthier_Winner]]=1,"Wealthier Nation Wins")</f>
        <v>Tie</v>
      </c>
    </row>
    <row r="1507" spans="1:17" x14ac:dyDescent="0.2">
      <c r="A1507" s="1">
        <v>2796</v>
      </c>
      <c r="B1507" s="2">
        <v>34520</v>
      </c>
      <c r="C1507" s="7">
        <f>_xlfn.FLOOR.MATH(Table1[[#This Row],[year]],10)</f>
        <v>1990</v>
      </c>
      <c r="D1507" t="s">
        <v>43</v>
      </c>
      <c r="E1507" t="s">
        <v>18</v>
      </c>
      <c r="F1507">
        <v>1</v>
      </c>
      <c r="G1507">
        <v>2</v>
      </c>
      <c r="H1507" t="s">
        <v>74</v>
      </c>
      <c r="I1507" t="s">
        <v>123</v>
      </c>
      <c r="J1507" t="s">
        <v>41</v>
      </c>
      <c r="K1507" t="b">
        <v>1</v>
      </c>
      <c r="L1507">
        <v>1994</v>
      </c>
      <c r="M1507">
        <v>80399613063</v>
      </c>
      <c r="N1507">
        <v>1101750159702</v>
      </c>
      <c r="O1507" t="b">
        <v>1</v>
      </c>
      <c r="P1507">
        <v>1</v>
      </c>
      <c r="Q1507" t="str" cm="1">
        <f t="array" ref="Q1507">_xlfn.IFS(Table1[[#This Row],[Wealthier_Winner]]=-1,"Wealthier Nation Loses",Table1[[#This Row],[Wealthier_Winner]]=0,"Tie",Table1[[#This Row],[Wealthier_Winner]]=1,"Wealthier Nation Wins")</f>
        <v>Wealthier Nation Wins</v>
      </c>
    </row>
    <row r="1508" spans="1:17" x14ac:dyDescent="0.2">
      <c r="A1508" s="1">
        <v>2797</v>
      </c>
      <c r="B1508" s="2">
        <v>34524</v>
      </c>
      <c r="C1508" s="7">
        <f>_xlfn.FLOOR.MATH(Table1[[#This Row],[year]],10)</f>
        <v>1990</v>
      </c>
      <c r="D1508" t="s">
        <v>18</v>
      </c>
      <c r="E1508" t="s">
        <v>21</v>
      </c>
      <c r="F1508">
        <v>2</v>
      </c>
      <c r="G1508">
        <v>1</v>
      </c>
      <c r="H1508" t="s">
        <v>74</v>
      </c>
      <c r="I1508" t="s">
        <v>123</v>
      </c>
      <c r="J1508" t="s">
        <v>41</v>
      </c>
      <c r="K1508" t="b">
        <v>1</v>
      </c>
      <c r="L1508">
        <v>1994</v>
      </c>
      <c r="M1508">
        <v>1101750159702</v>
      </c>
      <c r="N1508">
        <v>530183651720</v>
      </c>
      <c r="O1508" t="b">
        <v>1</v>
      </c>
      <c r="P1508">
        <v>1</v>
      </c>
      <c r="Q1508" t="str" cm="1">
        <f t="array" ref="Q1508">_xlfn.IFS(Table1[[#This Row],[Wealthier_Winner]]=-1,"Wealthier Nation Loses",Table1[[#This Row],[Wealthier_Winner]]=0,"Tie",Table1[[#This Row],[Wealthier_Winner]]=1,"Wealthier Nation Wins")</f>
        <v>Wealthier Nation Wins</v>
      </c>
    </row>
    <row r="1509" spans="1:17" x14ac:dyDescent="0.2">
      <c r="A1509" s="1">
        <v>2798</v>
      </c>
      <c r="B1509" s="2">
        <v>34524</v>
      </c>
      <c r="C1509" s="7">
        <f>_xlfn.FLOOR.MATH(Table1[[#This Row],[year]],10)</f>
        <v>1990</v>
      </c>
      <c r="D1509" t="s">
        <v>27</v>
      </c>
      <c r="E1509" t="s">
        <v>13</v>
      </c>
      <c r="F1509">
        <v>2</v>
      </c>
      <c r="G1509">
        <v>3</v>
      </c>
      <c r="H1509" t="s">
        <v>74</v>
      </c>
      <c r="I1509" t="s">
        <v>124</v>
      </c>
      <c r="J1509" t="s">
        <v>41</v>
      </c>
      <c r="K1509" t="b">
        <v>1</v>
      </c>
      <c r="L1509">
        <v>1994</v>
      </c>
      <c r="M1509">
        <v>379688232231</v>
      </c>
      <c r="N1509">
        <v>525369851353</v>
      </c>
      <c r="O1509" t="b">
        <v>0</v>
      </c>
      <c r="P1509">
        <v>1</v>
      </c>
      <c r="Q1509" t="str" cm="1">
        <f t="array" ref="Q1509">_xlfn.IFS(Table1[[#This Row],[Wealthier_Winner]]=-1,"Wealthier Nation Loses",Table1[[#This Row],[Wealthier_Winner]]=0,"Tie",Table1[[#This Row],[Wealthier_Winner]]=1,"Wealthier Nation Wins")</f>
        <v>Wealthier Nation Wins</v>
      </c>
    </row>
    <row r="1510" spans="1:17" x14ac:dyDescent="0.2">
      <c r="A1510" s="1">
        <v>2799</v>
      </c>
      <c r="B1510" s="2">
        <v>34525</v>
      </c>
      <c r="C1510" s="7">
        <f>_xlfn.FLOOR.MATH(Table1[[#This Row],[year]],10)</f>
        <v>1990</v>
      </c>
      <c r="D1510" t="s">
        <v>33</v>
      </c>
      <c r="E1510" t="s">
        <v>16</v>
      </c>
      <c r="F1510">
        <v>2</v>
      </c>
      <c r="G1510">
        <v>1</v>
      </c>
      <c r="H1510" t="s">
        <v>74</v>
      </c>
      <c r="I1510" t="s">
        <v>125</v>
      </c>
      <c r="J1510" t="s">
        <v>41</v>
      </c>
      <c r="K1510" t="b">
        <v>1</v>
      </c>
      <c r="L1510">
        <v>1994</v>
      </c>
      <c r="M1510">
        <v>9709240033</v>
      </c>
      <c r="N1510">
        <v>2215282632276</v>
      </c>
      <c r="O1510" t="b">
        <v>1</v>
      </c>
      <c r="P1510">
        <v>-1</v>
      </c>
      <c r="Q1510" t="str" cm="1">
        <f t="array" ref="Q1510">_xlfn.IFS(Table1[[#This Row],[Wealthier_Winner]]=-1,"Wealthier Nation Loses",Table1[[#This Row],[Wealthier_Winner]]=0,"Tie",Table1[[#This Row],[Wealthier_Winner]]=1,"Wealthier Nation Wins")</f>
        <v>Wealthier Nation Loses</v>
      </c>
    </row>
    <row r="1511" spans="1:17" x14ac:dyDescent="0.2">
      <c r="A1511" s="1">
        <v>2800</v>
      </c>
      <c r="B1511" s="2">
        <v>34525</v>
      </c>
      <c r="C1511" s="7">
        <f>_xlfn.FLOOR.MATH(Table1[[#This Row],[year]],10)</f>
        <v>1990</v>
      </c>
      <c r="D1511" t="s">
        <v>44</v>
      </c>
      <c r="E1511" t="s">
        <v>25</v>
      </c>
      <c r="F1511">
        <v>2</v>
      </c>
      <c r="G1511">
        <v>2</v>
      </c>
      <c r="H1511" t="s">
        <v>74</v>
      </c>
      <c r="I1511" t="s">
        <v>126</v>
      </c>
      <c r="J1511" t="s">
        <v>41</v>
      </c>
      <c r="K1511" t="b">
        <v>1</v>
      </c>
      <c r="L1511">
        <v>1994</v>
      </c>
      <c r="M1511">
        <v>30072805104</v>
      </c>
      <c r="N1511">
        <v>228699066874</v>
      </c>
      <c r="O1511" t="b">
        <v>1</v>
      </c>
      <c r="P1511">
        <v>0</v>
      </c>
      <c r="Q1511" t="str" cm="1">
        <f t="array" ref="Q1511">_xlfn.IFS(Table1[[#This Row],[Wealthier_Winner]]=-1,"Wealthier Nation Loses",Table1[[#This Row],[Wealthier_Winner]]=0,"Tie",Table1[[#This Row],[Wealthier_Winner]]=1,"Wealthier Nation Wins")</f>
        <v>Tie</v>
      </c>
    </row>
    <row r="1512" spans="1:17" x14ac:dyDescent="0.2">
      <c r="A1512" s="1">
        <v>2801</v>
      </c>
      <c r="B1512" s="2">
        <v>34528</v>
      </c>
      <c r="C1512" s="7">
        <f>_xlfn.FLOOR.MATH(Table1[[#This Row],[year]],10)</f>
        <v>1990</v>
      </c>
      <c r="D1512" t="s">
        <v>33</v>
      </c>
      <c r="E1512" t="s">
        <v>18</v>
      </c>
      <c r="F1512">
        <v>1</v>
      </c>
      <c r="G1512">
        <v>2</v>
      </c>
      <c r="H1512" t="s">
        <v>74</v>
      </c>
      <c r="I1512" t="s">
        <v>125</v>
      </c>
      <c r="J1512" t="s">
        <v>41</v>
      </c>
      <c r="K1512" t="b">
        <v>1</v>
      </c>
      <c r="L1512">
        <v>1994</v>
      </c>
      <c r="M1512">
        <v>9709240033</v>
      </c>
      <c r="N1512">
        <v>1101750159702</v>
      </c>
      <c r="O1512" t="b">
        <v>1</v>
      </c>
      <c r="P1512">
        <v>1</v>
      </c>
      <c r="Q1512" t="str" cm="1">
        <f t="array" ref="Q1512">_xlfn.IFS(Table1[[#This Row],[Wealthier_Winner]]=-1,"Wealthier Nation Loses",Table1[[#This Row],[Wealthier_Winner]]=0,"Tie",Table1[[#This Row],[Wealthier_Winner]]=1,"Wealthier Nation Wins")</f>
        <v>Wealthier Nation Wins</v>
      </c>
    </row>
    <row r="1513" spans="1:17" x14ac:dyDescent="0.2">
      <c r="A1513" s="1">
        <v>2802</v>
      </c>
      <c r="B1513" s="2">
        <v>34528</v>
      </c>
      <c r="C1513" s="7">
        <f>_xlfn.FLOOR.MATH(Table1[[#This Row],[year]],10)</f>
        <v>1990</v>
      </c>
      <c r="D1513" t="s">
        <v>25</v>
      </c>
      <c r="E1513" t="s">
        <v>13</v>
      </c>
      <c r="F1513">
        <v>0</v>
      </c>
      <c r="G1513">
        <v>1</v>
      </c>
      <c r="H1513" t="s">
        <v>74</v>
      </c>
      <c r="I1513" t="s">
        <v>119</v>
      </c>
      <c r="J1513" t="s">
        <v>41</v>
      </c>
      <c r="K1513" t="b">
        <v>1</v>
      </c>
      <c r="L1513">
        <v>1994</v>
      </c>
      <c r="M1513">
        <v>228699066874</v>
      </c>
      <c r="N1513">
        <v>525369851353</v>
      </c>
      <c r="O1513" t="b">
        <v>1</v>
      </c>
      <c r="P1513">
        <v>1</v>
      </c>
      <c r="Q1513" t="str" cm="1">
        <f t="array" ref="Q1513">_xlfn.IFS(Table1[[#This Row],[Wealthier_Winner]]=-1,"Wealthier Nation Loses",Table1[[#This Row],[Wealthier_Winner]]=0,"Tie",Table1[[#This Row],[Wealthier_Winner]]=1,"Wealthier Nation Wins")</f>
        <v>Wealthier Nation Wins</v>
      </c>
    </row>
    <row r="1514" spans="1:17" x14ac:dyDescent="0.2">
      <c r="A1514" s="1">
        <v>2803</v>
      </c>
      <c r="B1514" s="2">
        <v>34531</v>
      </c>
      <c r="C1514" s="7">
        <f>_xlfn.FLOOR.MATH(Table1[[#This Row],[year]],10)</f>
        <v>1990</v>
      </c>
      <c r="D1514" t="s">
        <v>25</v>
      </c>
      <c r="E1514" t="s">
        <v>33</v>
      </c>
      <c r="F1514">
        <v>4</v>
      </c>
      <c r="G1514">
        <v>0</v>
      </c>
      <c r="H1514" t="s">
        <v>74</v>
      </c>
      <c r="I1514" t="s">
        <v>119</v>
      </c>
      <c r="J1514" t="s">
        <v>41</v>
      </c>
      <c r="K1514" t="b">
        <v>1</v>
      </c>
      <c r="L1514">
        <v>1994</v>
      </c>
      <c r="M1514">
        <v>228699066874</v>
      </c>
      <c r="N1514">
        <v>9709240033</v>
      </c>
      <c r="O1514" t="b">
        <v>1</v>
      </c>
      <c r="P1514">
        <v>1</v>
      </c>
      <c r="Q1514" t="str" cm="1">
        <f t="array" ref="Q1514">_xlfn.IFS(Table1[[#This Row],[Wealthier_Winner]]=-1,"Wealthier Nation Loses",Table1[[#This Row],[Wealthier_Winner]]=0,"Tie",Table1[[#This Row],[Wealthier_Winner]]=1,"Wealthier Nation Wins")</f>
        <v>Wealthier Nation Wins</v>
      </c>
    </row>
    <row r="1515" spans="1:17" x14ac:dyDescent="0.2">
      <c r="A1515" s="1">
        <v>2804</v>
      </c>
      <c r="B1515" s="2">
        <v>34532</v>
      </c>
      <c r="C1515" s="7">
        <f>_xlfn.FLOOR.MATH(Table1[[#This Row],[year]],10)</f>
        <v>1990</v>
      </c>
      <c r="D1515" t="s">
        <v>13</v>
      </c>
      <c r="E1515" t="s">
        <v>18</v>
      </c>
      <c r="F1515">
        <v>0</v>
      </c>
      <c r="G1515">
        <v>0</v>
      </c>
      <c r="H1515" t="s">
        <v>74</v>
      </c>
      <c r="I1515" t="s">
        <v>119</v>
      </c>
      <c r="J1515" t="s">
        <v>41</v>
      </c>
      <c r="K1515" t="b">
        <v>1</v>
      </c>
      <c r="L1515">
        <v>1994</v>
      </c>
      <c r="M1515">
        <v>525369851353</v>
      </c>
      <c r="N1515">
        <v>1101750159702</v>
      </c>
      <c r="O1515" t="b">
        <v>1</v>
      </c>
      <c r="P1515">
        <v>0</v>
      </c>
      <c r="Q1515" t="str" cm="1">
        <f t="array" ref="Q1515">_xlfn.IFS(Table1[[#This Row],[Wealthier_Winner]]=-1,"Wealthier Nation Loses",Table1[[#This Row],[Wealthier_Winner]]=0,"Tie",Table1[[#This Row],[Wealthier_Winner]]=1,"Wealthier Nation Wins")</f>
        <v>Tie</v>
      </c>
    </row>
    <row r="1516" spans="1:17" x14ac:dyDescent="0.2">
      <c r="A1516" s="1">
        <v>2805</v>
      </c>
      <c r="B1516" s="2">
        <v>35134</v>
      </c>
      <c r="C1516" s="7">
        <f>_xlfn.FLOOR.MATH(Table1[[#This Row],[year]],10)</f>
        <v>1990</v>
      </c>
      <c r="D1516" t="s">
        <v>494</v>
      </c>
      <c r="E1516" t="s">
        <v>449</v>
      </c>
      <c r="F1516">
        <v>3</v>
      </c>
      <c r="G1516">
        <v>3</v>
      </c>
      <c r="H1516" t="s">
        <v>224</v>
      </c>
      <c r="I1516" t="s">
        <v>495</v>
      </c>
      <c r="J1516" t="s">
        <v>494</v>
      </c>
      <c r="K1516" t="b">
        <v>0</v>
      </c>
      <c r="L1516">
        <v>1996</v>
      </c>
      <c r="M1516">
        <v>292285185</v>
      </c>
      <c r="N1516">
        <v>679140740</v>
      </c>
      <c r="O1516" t="b">
        <v>1</v>
      </c>
      <c r="P1516">
        <v>0</v>
      </c>
      <c r="Q1516" t="str" cm="1">
        <f t="array" ref="Q1516">_xlfn.IFS(Table1[[#This Row],[Wealthier_Winner]]=-1,"Wealthier Nation Loses",Table1[[#This Row],[Wealthier_Winner]]=0,"Tie",Table1[[#This Row],[Wealthier_Winner]]=1,"Wealthier Nation Wins")</f>
        <v>Tie</v>
      </c>
    </row>
    <row r="1517" spans="1:17" x14ac:dyDescent="0.2">
      <c r="A1517" s="1">
        <v>2806</v>
      </c>
      <c r="B1517" s="2">
        <v>35148</v>
      </c>
      <c r="C1517" s="7">
        <f>_xlfn.FLOOR.MATH(Table1[[#This Row],[year]],10)</f>
        <v>1990</v>
      </c>
      <c r="D1517" t="s">
        <v>496</v>
      </c>
      <c r="E1517" t="s">
        <v>497</v>
      </c>
      <c r="F1517">
        <v>3</v>
      </c>
      <c r="G1517">
        <v>2</v>
      </c>
      <c r="H1517" t="s">
        <v>224</v>
      </c>
      <c r="I1517" t="s">
        <v>498</v>
      </c>
      <c r="J1517" t="s">
        <v>496</v>
      </c>
      <c r="K1517" t="b">
        <v>0</v>
      </c>
      <c r="L1517">
        <v>1996</v>
      </c>
      <c r="M1517">
        <v>18241622547</v>
      </c>
      <c r="N1517">
        <v>1379888268</v>
      </c>
      <c r="O1517" t="b">
        <v>1</v>
      </c>
      <c r="P1517">
        <v>1</v>
      </c>
      <c r="Q1517" t="str" cm="1">
        <f t="array" ref="Q1517">_xlfn.IFS(Table1[[#This Row],[Wealthier_Winner]]=-1,"Wealthier Nation Loses",Table1[[#This Row],[Wealthier_Winner]]=0,"Tie",Table1[[#This Row],[Wealthier_Winner]]=1,"Wealthier Nation Wins")</f>
        <v>Wealthier Nation Wins</v>
      </c>
    </row>
    <row r="1518" spans="1:17" x14ac:dyDescent="0.2">
      <c r="A1518" s="1">
        <v>2807</v>
      </c>
      <c r="B1518" s="2">
        <v>35153</v>
      </c>
      <c r="C1518" s="7">
        <f>_xlfn.FLOOR.MATH(Table1[[#This Row],[year]],10)</f>
        <v>1990</v>
      </c>
      <c r="D1518" t="s">
        <v>445</v>
      </c>
      <c r="E1518" t="s">
        <v>499</v>
      </c>
      <c r="F1518">
        <v>1</v>
      </c>
      <c r="G1518">
        <v>2</v>
      </c>
      <c r="H1518" t="s">
        <v>224</v>
      </c>
      <c r="I1518" t="s">
        <v>446</v>
      </c>
      <c r="J1518" t="s">
        <v>445</v>
      </c>
      <c r="K1518" t="b">
        <v>0</v>
      </c>
      <c r="L1518">
        <v>1996</v>
      </c>
      <c r="M1518">
        <v>705406001</v>
      </c>
      <c r="N1518">
        <v>366911444</v>
      </c>
      <c r="O1518" t="b">
        <v>0</v>
      </c>
      <c r="P1518">
        <v>-1</v>
      </c>
      <c r="Q1518" t="str" cm="1">
        <f t="array" ref="Q1518">_xlfn.IFS(Table1[[#This Row],[Wealthier_Winner]]=-1,"Wealthier Nation Loses",Table1[[#This Row],[Wealthier_Winner]]=0,"Tie",Table1[[#This Row],[Wealthier_Winner]]=1,"Wealthier Nation Wins")</f>
        <v>Wealthier Nation Loses</v>
      </c>
    </row>
    <row r="1519" spans="1:17" x14ac:dyDescent="0.2">
      <c r="A1519" s="1">
        <v>2808</v>
      </c>
      <c r="B1519" s="2">
        <v>35155</v>
      </c>
      <c r="C1519" s="7">
        <f>_xlfn.FLOOR.MATH(Table1[[#This Row],[year]],10)</f>
        <v>1990</v>
      </c>
      <c r="D1519" t="s">
        <v>449</v>
      </c>
      <c r="E1519" t="s">
        <v>494</v>
      </c>
      <c r="F1519">
        <v>1</v>
      </c>
      <c r="G1519">
        <v>3</v>
      </c>
      <c r="H1519" t="s">
        <v>224</v>
      </c>
      <c r="I1519" t="s">
        <v>450</v>
      </c>
      <c r="J1519" t="s">
        <v>449</v>
      </c>
      <c r="K1519" t="b">
        <v>0</v>
      </c>
      <c r="L1519">
        <v>1996</v>
      </c>
      <c r="M1519">
        <v>679140740</v>
      </c>
      <c r="N1519">
        <v>292285185</v>
      </c>
      <c r="O1519" t="b">
        <v>1</v>
      </c>
      <c r="P1519">
        <v>-1</v>
      </c>
      <c r="Q1519" t="str" cm="1">
        <f t="array" ref="Q1519">_xlfn.IFS(Table1[[#This Row],[Wealthier_Winner]]=-1,"Wealthier Nation Loses",Table1[[#This Row],[Wealthier_Winner]]=0,"Tie",Table1[[#This Row],[Wealthier_Winner]]=1,"Wealthier Nation Wins")</f>
        <v>Wealthier Nation Loses</v>
      </c>
    </row>
    <row r="1520" spans="1:17" x14ac:dyDescent="0.2">
      <c r="A1520" s="1">
        <v>2809</v>
      </c>
      <c r="B1520" s="2">
        <v>35155</v>
      </c>
      <c r="C1520" s="7">
        <f>_xlfn.FLOOR.MATH(Table1[[#This Row],[year]],10)</f>
        <v>1990</v>
      </c>
      <c r="D1520" t="s">
        <v>497</v>
      </c>
      <c r="E1520" t="s">
        <v>496</v>
      </c>
      <c r="F1520">
        <v>1</v>
      </c>
      <c r="G1520">
        <v>3</v>
      </c>
      <c r="H1520" t="s">
        <v>224</v>
      </c>
      <c r="I1520" t="s">
        <v>500</v>
      </c>
      <c r="J1520" t="s">
        <v>497</v>
      </c>
      <c r="K1520" t="b">
        <v>0</v>
      </c>
      <c r="L1520">
        <v>1996</v>
      </c>
      <c r="M1520">
        <v>1379888268</v>
      </c>
      <c r="N1520">
        <v>18241622547</v>
      </c>
      <c r="O1520" t="b">
        <v>1</v>
      </c>
      <c r="P1520">
        <v>1</v>
      </c>
      <c r="Q1520" t="str" cm="1">
        <f t="array" ref="Q1520">_xlfn.IFS(Table1[[#This Row],[Wealthier_Winner]]=-1,"Wealthier Nation Loses",Table1[[#This Row],[Wealthier_Winner]]=0,"Tie",Table1[[#This Row],[Wealthier_Winner]]=1,"Wealthier Nation Wins")</f>
        <v>Wealthier Nation Wins</v>
      </c>
    </row>
    <row r="1521" spans="1:17" x14ac:dyDescent="0.2">
      <c r="A1521" s="1">
        <v>2810</v>
      </c>
      <c r="B1521" s="2">
        <v>35155</v>
      </c>
      <c r="C1521" s="7">
        <f>_xlfn.FLOOR.MATH(Table1[[#This Row],[year]],10)</f>
        <v>1990</v>
      </c>
      <c r="D1521" t="s">
        <v>252</v>
      </c>
      <c r="E1521" t="s">
        <v>49</v>
      </c>
      <c r="F1521">
        <v>0</v>
      </c>
      <c r="G1521">
        <v>1</v>
      </c>
      <c r="H1521" t="s">
        <v>224</v>
      </c>
      <c r="I1521" t="s">
        <v>255</v>
      </c>
      <c r="J1521" t="s">
        <v>252</v>
      </c>
      <c r="K1521" t="b">
        <v>0</v>
      </c>
      <c r="L1521">
        <v>1996</v>
      </c>
      <c r="M1521">
        <v>861372806</v>
      </c>
      <c r="N1521">
        <v>7393891920</v>
      </c>
      <c r="O1521" t="b">
        <v>1</v>
      </c>
      <c r="P1521">
        <v>1</v>
      </c>
      <c r="Q1521" t="str" cm="1">
        <f t="array" ref="Q1521">_xlfn.IFS(Table1[[#This Row],[Wealthier_Winner]]=-1,"Wealthier Nation Loses",Table1[[#This Row],[Wealthier_Winner]]=0,"Tie",Table1[[#This Row],[Wealthier_Winner]]=1,"Wealthier Nation Wins")</f>
        <v>Wealthier Nation Wins</v>
      </c>
    </row>
    <row r="1522" spans="1:17" x14ac:dyDescent="0.2">
      <c r="A1522" s="1">
        <v>2811</v>
      </c>
      <c r="B1522" s="2">
        <v>35162</v>
      </c>
      <c r="C1522" s="7">
        <f>_xlfn.FLOOR.MATH(Table1[[#This Row],[year]],10)</f>
        <v>1990</v>
      </c>
      <c r="D1522" t="s">
        <v>499</v>
      </c>
      <c r="E1522" t="s">
        <v>445</v>
      </c>
      <c r="F1522">
        <v>6</v>
      </c>
      <c r="G1522">
        <v>0</v>
      </c>
      <c r="H1522" t="s">
        <v>224</v>
      </c>
      <c r="I1522" t="s">
        <v>501</v>
      </c>
      <c r="J1522" t="s">
        <v>499</v>
      </c>
      <c r="K1522" t="b">
        <v>0</v>
      </c>
      <c r="L1522">
        <v>1996</v>
      </c>
      <c r="M1522">
        <v>366911444</v>
      </c>
      <c r="N1522">
        <v>705406001</v>
      </c>
      <c r="O1522" t="b">
        <v>0</v>
      </c>
      <c r="P1522">
        <v>-1</v>
      </c>
      <c r="Q1522" t="str" cm="1">
        <f t="array" ref="Q1522">_xlfn.IFS(Table1[[#This Row],[Wealthier_Winner]]=-1,"Wealthier Nation Loses",Table1[[#This Row],[Wealthier_Winner]]=0,"Tie",Table1[[#This Row],[Wealthier_Winner]]=1,"Wealthier Nation Wins")</f>
        <v>Wealthier Nation Loses</v>
      </c>
    </row>
    <row r="1523" spans="1:17" x14ac:dyDescent="0.2">
      <c r="A1523" s="1">
        <v>2812</v>
      </c>
      <c r="B1523" s="2">
        <v>35176</v>
      </c>
      <c r="C1523" s="7">
        <f>_xlfn.FLOOR.MATH(Table1[[#This Row],[year]],10)</f>
        <v>1990</v>
      </c>
      <c r="D1523" t="s">
        <v>49</v>
      </c>
      <c r="E1523" t="s">
        <v>252</v>
      </c>
      <c r="F1523">
        <v>1</v>
      </c>
      <c r="G1523">
        <v>0</v>
      </c>
      <c r="H1523" t="s">
        <v>224</v>
      </c>
      <c r="I1523" t="s">
        <v>257</v>
      </c>
      <c r="J1523" t="s">
        <v>49</v>
      </c>
      <c r="K1523" t="b">
        <v>0</v>
      </c>
      <c r="L1523">
        <v>1996</v>
      </c>
      <c r="M1523">
        <v>7393891920</v>
      </c>
      <c r="N1523">
        <v>861372806</v>
      </c>
      <c r="O1523" t="b">
        <v>1</v>
      </c>
      <c r="P1523">
        <v>1</v>
      </c>
      <c r="Q1523" t="str" cm="1">
        <f t="array" ref="Q1523">_xlfn.IFS(Table1[[#This Row],[Wealthier_Winner]]=-1,"Wealthier Nation Loses",Table1[[#This Row],[Wealthier_Winner]]=0,"Tie",Table1[[#This Row],[Wealthier_Winner]]=1,"Wealthier Nation Wins")</f>
        <v>Wealthier Nation Wins</v>
      </c>
    </row>
    <row r="1524" spans="1:17" x14ac:dyDescent="0.2">
      <c r="A1524" s="1">
        <v>2813</v>
      </c>
      <c r="B1524" s="2">
        <v>35179</v>
      </c>
      <c r="C1524" s="7">
        <f>_xlfn.FLOOR.MATH(Table1[[#This Row],[year]],10)</f>
        <v>1990</v>
      </c>
      <c r="D1524" t="s">
        <v>19</v>
      </c>
      <c r="E1524" t="s">
        <v>47</v>
      </c>
      <c r="F1524">
        <v>3</v>
      </c>
      <c r="G1524">
        <v>1</v>
      </c>
      <c r="H1524" t="s">
        <v>224</v>
      </c>
      <c r="I1524" t="s">
        <v>93</v>
      </c>
      <c r="J1524" t="s">
        <v>19</v>
      </c>
      <c r="K1524" t="b">
        <v>0</v>
      </c>
      <c r="L1524">
        <v>1996</v>
      </c>
      <c r="M1524">
        <v>272149750000</v>
      </c>
      <c r="N1524">
        <v>7396949126</v>
      </c>
      <c r="O1524" t="b">
        <v>1</v>
      </c>
      <c r="P1524">
        <v>1</v>
      </c>
      <c r="Q1524" t="str" cm="1">
        <f t="array" ref="Q1524">_xlfn.IFS(Table1[[#This Row],[Wealthier_Winner]]=-1,"Wealthier Nation Loses",Table1[[#This Row],[Wealthier_Winner]]=0,"Tie",Table1[[#This Row],[Wealthier_Winner]]=1,"Wealthier Nation Wins")</f>
        <v>Wealthier Nation Wins</v>
      </c>
    </row>
    <row r="1525" spans="1:17" x14ac:dyDescent="0.2">
      <c r="A1525" s="1">
        <v>2814</v>
      </c>
      <c r="B1525" s="2">
        <v>35179</v>
      </c>
      <c r="C1525" s="7">
        <f>_xlfn.FLOOR.MATH(Table1[[#This Row],[year]],10)</f>
        <v>1990</v>
      </c>
      <c r="D1525" t="s">
        <v>15</v>
      </c>
      <c r="E1525" t="s">
        <v>35</v>
      </c>
      <c r="F1525">
        <v>1</v>
      </c>
      <c r="G1525">
        <v>0</v>
      </c>
      <c r="H1525" t="s">
        <v>224</v>
      </c>
      <c r="I1525" t="s">
        <v>261</v>
      </c>
      <c r="J1525" t="s">
        <v>15</v>
      </c>
      <c r="K1525" t="b">
        <v>0</v>
      </c>
      <c r="L1525">
        <v>1996</v>
      </c>
      <c r="M1525">
        <v>97160109277</v>
      </c>
      <c r="N1525">
        <v>9788391780</v>
      </c>
      <c r="O1525" t="b">
        <v>1</v>
      </c>
      <c r="P1525">
        <v>1</v>
      </c>
      <c r="Q1525" t="str" cm="1">
        <f t="array" ref="Q1525">_xlfn.IFS(Table1[[#This Row],[Wealthier_Winner]]=-1,"Wealthier Nation Loses",Table1[[#This Row],[Wealthier_Winner]]=0,"Tie",Table1[[#This Row],[Wealthier_Winner]]=1,"Wealthier Nation Wins")</f>
        <v>Wealthier Nation Wins</v>
      </c>
    </row>
    <row r="1526" spans="1:17" x14ac:dyDescent="0.2">
      <c r="A1526" s="1">
        <v>2815</v>
      </c>
      <c r="B1526" s="2">
        <v>35179</v>
      </c>
      <c r="C1526" s="7">
        <f>_xlfn.FLOOR.MATH(Table1[[#This Row],[year]],10)</f>
        <v>1990</v>
      </c>
      <c r="D1526" t="s">
        <v>57</v>
      </c>
      <c r="E1526" t="s">
        <v>31</v>
      </c>
      <c r="F1526">
        <v>4</v>
      </c>
      <c r="G1526">
        <v>1</v>
      </c>
      <c r="H1526" t="s">
        <v>224</v>
      </c>
      <c r="I1526" t="s">
        <v>237</v>
      </c>
      <c r="J1526" t="s">
        <v>57</v>
      </c>
      <c r="K1526" t="b">
        <v>0</v>
      </c>
      <c r="L1526">
        <v>1996</v>
      </c>
      <c r="M1526">
        <v>25226393196</v>
      </c>
      <c r="N1526">
        <v>55252414130</v>
      </c>
      <c r="O1526" t="b">
        <v>1</v>
      </c>
      <c r="P1526">
        <v>-1</v>
      </c>
      <c r="Q1526" t="str" cm="1">
        <f t="array" ref="Q1526">_xlfn.IFS(Table1[[#This Row],[Wealthier_Winner]]=-1,"Wealthier Nation Loses",Table1[[#This Row],[Wealthier_Winner]]=0,"Tie",Table1[[#This Row],[Wealthier_Winner]]=1,"Wealthier Nation Wins")</f>
        <v>Wealthier Nation Loses</v>
      </c>
    </row>
    <row r="1527" spans="1:17" x14ac:dyDescent="0.2">
      <c r="A1527" s="1">
        <v>2816</v>
      </c>
      <c r="B1527" s="2">
        <v>35179</v>
      </c>
      <c r="C1527" s="7">
        <f>_xlfn.FLOOR.MATH(Table1[[#This Row],[year]],10)</f>
        <v>1990</v>
      </c>
      <c r="D1527" t="s">
        <v>48</v>
      </c>
      <c r="E1527" t="s">
        <v>55</v>
      </c>
      <c r="F1527">
        <v>2</v>
      </c>
      <c r="G1527">
        <v>0</v>
      </c>
      <c r="H1527" t="s">
        <v>224</v>
      </c>
      <c r="I1527" t="s">
        <v>236</v>
      </c>
      <c r="J1527" t="s">
        <v>48</v>
      </c>
      <c r="K1527" t="b">
        <v>0</v>
      </c>
      <c r="L1527">
        <v>1996</v>
      </c>
      <c r="M1527">
        <v>142502984144</v>
      </c>
      <c r="N1527">
        <v>21470699362</v>
      </c>
      <c r="O1527" t="b">
        <v>1</v>
      </c>
      <c r="P1527">
        <v>1</v>
      </c>
      <c r="Q1527" t="str" cm="1">
        <f t="array" ref="Q1527">_xlfn.IFS(Table1[[#This Row],[Wealthier_Winner]]=-1,"Wealthier Nation Loses",Table1[[#This Row],[Wealthier_Winner]]=0,"Tie",Table1[[#This Row],[Wealthier_Winner]]=1,"Wealthier Nation Wins")</f>
        <v>Wealthier Nation Wins</v>
      </c>
    </row>
    <row r="1528" spans="1:17" x14ac:dyDescent="0.2">
      <c r="A1528" s="1">
        <v>2817</v>
      </c>
      <c r="B1528" s="2">
        <v>35179</v>
      </c>
      <c r="C1528" s="7">
        <f>_xlfn.FLOOR.MATH(Table1[[#This Row],[year]],10)</f>
        <v>1990</v>
      </c>
      <c r="D1528" t="s">
        <v>502</v>
      </c>
      <c r="E1528" t="s">
        <v>503</v>
      </c>
      <c r="F1528">
        <v>3</v>
      </c>
      <c r="G1528">
        <v>0</v>
      </c>
      <c r="H1528" t="s">
        <v>224</v>
      </c>
      <c r="I1528" t="s">
        <v>504</v>
      </c>
      <c r="J1528" t="s">
        <v>502</v>
      </c>
      <c r="K1528" t="b">
        <v>0</v>
      </c>
      <c r="L1528">
        <v>1996</v>
      </c>
      <c r="M1528">
        <v>4642021256</v>
      </c>
      <c r="N1528">
        <v>2504012993</v>
      </c>
      <c r="O1528" t="b">
        <v>0</v>
      </c>
      <c r="P1528">
        <v>1</v>
      </c>
      <c r="Q1528" t="str" cm="1">
        <f t="array" ref="Q1528">_xlfn.IFS(Table1[[#This Row],[Wealthier_Winner]]=-1,"Wealthier Nation Loses",Table1[[#This Row],[Wealthier_Winner]]=0,"Tie",Table1[[#This Row],[Wealthier_Winner]]=1,"Wealthier Nation Wins")</f>
        <v>Wealthier Nation Wins</v>
      </c>
    </row>
    <row r="1529" spans="1:17" x14ac:dyDescent="0.2">
      <c r="A1529" s="1">
        <v>2818</v>
      </c>
      <c r="B1529" s="2">
        <v>35179</v>
      </c>
      <c r="C1529" s="7">
        <f>_xlfn.FLOOR.MATH(Table1[[#This Row],[year]],10)</f>
        <v>1990</v>
      </c>
      <c r="D1529" t="s">
        <v>61</v>
      </c>
      <c r="E1529" t="s">
        <v>447</v>
      </c>
      <c r="F1529">
        <v>3</v>
      </c>
      <c r="G1529">
        <v>1</v>
      </c>
      <c r="H1529" t="s">
        <v>224</v>
      </c>
      <c r="I1529" t="s">
        <v>505</v>
      </c>
      <c r="J1529" t="s">
        <v>506</v>
      </c>
      <c r="K1529" t="b">
        <v>0</v>
      </c>
      <c r="L1529">
        <v>1996</v>
      </c>
      <c r="M1529">
        <v>23277430167</v>
      </c>
      <c r="N1529">
        <v>989536914</v>
      </c>
      <c r="O1529" t="b">
        <v>1</v>
      </c>
      <c r="P1529">
        <v>1</v>
      </c>
      <c r="Q1529" t="str" cm="1">
        <f t="array" ref="Q1529">_xlfn.IFS(Table1[[#This Row],[Wealthier_Winner]]=-1,"Wealthier Nation Loses",Table1[[#This Row],[Wealthier_Winner]]=0,"Tie",Table1[[#This Row],[Wealthier_Winner]]=1,"Wealthier Nation Wins")</f>
        <v>Wealthier Nation Wins</v>
      </c>
    </row>
    <row r="1530" spans="1:17" x14ac:dyDescent="0.2">
      <c r="A1530" s="1">
        <v>2819</v>
      </c>
      <c r="B1530" s="2">
        <v>35179</v>
      </c>
      <c r="C1530" s="7">
        <f>_xlfn.FLOOR.MATH(Table1[[#This Row],[year]],10)</f>
        <v>1990</v>
      </c>
      <c r="D1530" t="s">
        <v>258</v>
      </c>
      <c r="E1530" t="s">
        <v>26</v>
      </c>
      <c r="F1530">
        <v>0</v>
      </c>
      <c r="G1530">
        <v>2</v>
      </c>
      <c r="H1530" t="s">
        <v>224</v>
      </c>
      <c r="I1530" t="s">
        <v>260</v>
      </c>
      <c r="J1530" t="s">
        <v>258</v>
      </c>
      <c r="K1530" t="b">
        <v>0</v>
      </c>
      <c r="L1530">
        <v>1996</v>
      </c>
      <c r="M1530">
        <v>70543211119</v>
      </c>
      <c r="N1530">
        <v>20515458113</v>
      </c>
      <c r="O1530" t="b">
        <v>1</v>
      </c>
      <c r="P1530">
        <v>-1</v>
      </c>
      <c r="Q1530" t="str" cm="1">
        <f t="array" ref="Q1530">_xlfn.IFS(Table1[[#This Row],[Wealthier_Winner]]=-1,"Wealthier Nation Loses",Table1[[#This Row],[Wealthier_Winner]]=0,"Tie",Table1[[#This Row],[Wealthier_Winner]]=1,"Wealthier Nation Wins")</f>
        <v>Wealthier Nation Loses</v>
      </c>
    </row>
    <row r="1531" spans="1:17" x14ac:dyDescent="0.2">
      <c r="A1531" s="1">
        <v>2822</v>
      </c>
      <c r="B1531" s="2">
        <v>35190</v>
      </c>
      <c r="C1531" s="7">
        <f>_xlfn.FLOOR.MATH(Table1[[#This Row],[year]],10)</f>
        <v>1990</v>
      </c>
      <c r="D1531" t="s">
        <v>453</v>
      </c>
      <c r="E1531" t="s">
        <v>223</v>
      </c>
      <c r="F1531">
        <v>0</v>
      </c>
      <c r="G1531">
        <v>1</v>
      </c>
      <c r="H1531" t="s">
        <v>224</v>
      </c>
      <c r="I1531" t="s">
        <v>507</v>
      </c>
      <c r="J1531" t="s">
        <v>453</v>
      </c>
      <c r="K1531" t="b">
        <v>0</v>
      </c>
      <c r="L1531">
        <v>1996</v>
      </c>
      <c r="M1531">
        <v>4308351902</v>
      </c>
      <c r="N1531">
        <v>15674835615</v>
      </c>
      <c r="O1531" t="b">
        <v>1</v>
      </c>
      <c r="P1531">
        <v>1</v>
      </c>
      <c r="Q1531" t="str" cm="1">
        <f t="array" ref="Q1531">_xlfn.IFS(Table1[[#This Row],[Wealthier_Winner]]=-1,"Wealthier Nation Loses",Table1[[#This Row],[Wealthier_Winner]]=0,"Tie",Table1[[#This Row],[Wealthier_Winner]]=1,"Wealthier Nation Wins")</f>
        <v>Wealthier Nation Wins</v>
      </c>
    </row>
    <row r="1532" spans="1:17" x14ac:dyDescent="0.2">
      <c r="A1532" s="1">
        <v>2824</v>
      </c>
      <c r="B1532" s="2">
        <v>35195</v>
      </c>
      <c r="C1532" s="7">
        <f>_xlfn.FLOOR.MATH(Table1[[#This Row],[year]],10)</f>
        <v>1990</v>
      </c>
      <c r="D1532" t="s">
        <v>223</v>
      </c>
      <c r="E1532" t="s">
        <v>453</v>
      </c>
      <c r="F1532">
        <v>2</v>
      </c>
      <c r="G1532">
        <v>1</v>
      </c>
      <c r="H1532" t="s">
        <v>224</v>
      </c>
      <c r="I1532" t="s">
        <v>227</v>
      </c>
      <c r="J1532" t="s">
        <v>223</v>
      </c>
      <c r="K1532" t="b">
        <v>0</v>
      </c>
      <c r="L1532">
        <v>1996</v>
      </c>
      <c r="M1532">
        <v>15674835615</v>
      </c>
      <c r="N1532">
        <v>4308351902</v>
      </c>
      <c r="O1532" t="b">
        <v>1</v>
      </c>
      <c r="P1532">
        <v>1</v>
      </c>
      <c r="Q1532" t="str" cm="1">
        <f t="array" ref="Q1532">_xlfn.IFS(Table1[[#This Row],[Wealthier_Winner]]=-1,"Wealthier Nation Loses",Table1[[#This Row],[Wealthier_Winner]]=0,"Tie",Table1[[#This Row],[Wealthier_Winner]]=1,"Wealthier Nation Wins")</f>
        <v>Wealthier Nation Wins</v>
      </c>
    </row>
    <row r="1533" spans="1:17" x14ac:dyDescent="0.2">
      <c r="A1533" s="1">
        <v>2828</v>
      </c>
      <c r="B1533" s="2">
        <v>35197</v>
      </c>
      <c r="C1533" s="7">
        <f>_xlfn.FLOOR.MATH(Table1[[#This Row],[year]],10)</f>
        <v>1990</v>
      </c>
      <c r="D1533" t="s">
        <v>70</v>
      </c>
      <c r="E1533" t="s">
        <v>499</v>
      </c>
      <c r="F1533">
        <v>6</v>
      </c>
      <c r="G1533">
        <v>1</v>
      </c>
      <c r="H1533" t="s">
        <v>224</v>
      </c>
      <c r="I1533" t="s">
        <v>280</v>
      </c>
      <c r="J1533" t="s">
        <v>70</v>
      </c>
      <c r="K1533" t="b">
        <v>0</v>
      </c>
      <c r="L1533">
        <v>1996</v>
      </c>
      <c r="M1533">
        <v>2907517603</v>
      </c>
      <c r="N1533">
        <v>366911444</v>
      </c>
      <c r="O1533" t="b">
        <v>1</v>
      </c>
      <c r="P1533">
        <v>1</v>
      </c>
      <c r="Q1533" t="str" cm="1">
        <f t="array" ref="Q1533">_xlfn.IFS(Table1[[#This Row],[Wealthier_Winner]]=-1,"Wealthier Nation Loses",Table1[[#This Row],[Wealthier_Winner]]=0,"Tie",Table1[[#This Row],[Wealthier_Winner]]=1,"Wealthier Nation Wins")</f>
        <v>Wealthier Nation Wins</v>
      </c>
    </row>
    <row r="1534" spans="1:17" x14ac:dyDescent="0.2">
      <c r="A1534" s="1">
        <v>2830</v>
      </c>
      <c r="B1534" s="2">
        <v>35199</v>
      </c>
      <c r="C1534" s="7">
        <f>_xlfn.FLOOR.MATH(Table1[[#This Row],[year]],10)</f>
        <v>1990</v>
      </c>
      <c r="D1534" t="s">
        <v>494</v>
      </c>
      <c r="E1534" t="s">
        <v>443</v>
      </c>
      <c r="F1534">
        <v>0</v>
      </c>
      <c r="G1534">
        <v>1</v>
      </c>
      <c r="H1534" t="s">
        <v>224</v>
      </c>
      <c r="I1534" t="s">
        <v>495</v>
      </c>
      <c r="J1534" t="s">
        <v>494</v>
      </c>
      <c r="K1534" t="b">
        <v>0</v>
      </c>
      <c r="L1534">
        <v>1996</v>
      </c>
      <c r="M1534">
        <v>292285185</v>
      </c>
      <c r="N1534">
        <v>2363645403</v>
      </c>
      <c r="O1534" t="b">
        <v>1</v>
      </c>
      <c r="P1534">
        <v>1</v>
      </c>
      <c r="Q1534" t="str" cm="1">
        <f t="array" ref="Q1534">_xlfn.IFS(Table1[[#This Row],[Wealthier_Winner]]=-1,"Wealthier Nation Loses",Table1[[#This Row],[Wealthier_Winner]]=0,"Tie",Table1[[#This Row],[Wealthier_Winner]]=1,"Wealthier Nation Wins")</f>
        <v>Wealthier Nation Wins</v>
      </c>
    </row>
    <row r="1535" spans="1:17" x14ac:dyDescent="0.2">
      <c r="A1535" s="1">
        <v>2831</v>
      </c>
      <c r="B1535" s="2">
        <v>35203</v>
      </c>
      <c r="C1535" s="7">
        <f>_xlfn.FLOOR.MATH(Table1[[#This Row],[year]],10)</f>
        <v>1990</v>
      </c>
      <c r="D1535" t="s">
        <v>499</v>
      </c>
      <c r="E1535" t="s">
        <v>70</v>
      </c>
      <c r="F1535">
        <v>0</v>
      </c>
      <c r="G1535">
        <v>1</v>
      </c>
      <c r="H1535" t="s">
        <v>224</v>
      </c>
      <c r="I1535" t="s">
        <v>501</v>
      </c>
      <c r="J1535" t="s">
        <v>499</v>
      </c>
      <c r="K1535" t="b">
        <v>0</v>
      </c>
      <c r="L1535">
        <v>1996</v>
      </c>
      <c r="M1535">
        <v>366911444</v>
      </c>
      <c r="N1535">
        <v>2907517603</v>
      </c>
      <c r="O1535" t="b">
        <v>1</v>
      </c>
      <c r="P1535">
        <v>1</v>
      </c>
      <c r="Q1535" t="str" cm="1">
        <f t="array" ref="Q1535">_xlfn.IFS(Table1[[#This Row],[Wealthier_Winner]]=-1,"Wealthier Nation Loses",Table1[[#This Row],[Wealthier_Winner]]=0,"Tie",Table1[[#This Row],[Wealthier_Winner]]=1,"Wealthier Nation Wins")</f>
        <v>Wealthier Nation Wins</v>
      </c>
    </row>
    <row r="1536" spans="1:17" x14ac:dyDescent="0.2">
      <c r="A1536" s="1">
        <v>2832</v>
      </c>
      <c r="B1536" s="2">
        <v>35204</v>
      </c>
      <c r="C1536" s="7">
        <f>_xlfn.FLOOR.MATH(Table1[[#This Row],[year]],10)</f>
        <v>1990</v>
      </c>
      <c r="D1536" t="s">
        <v>443</v>
      </c>
      <c r="E1536" t="s">
        <v>494</v>
      </c>
      <c r="F1536">
        <v>1</v>
      </c>
      <c r="G1536">
        <v>0</v>
      </c>
      <c r="H1536" t="s">
        <v>224</v>
      </c>
      <c r="I1536" t="s">
        <v>444</v>
      </c>
      <c r="J1536" t="s">
        <v>443</v>
      </c>
      <c r="K1536" t="b">
        <v>0</v>
      </c>
      <c r="L1536">
        <v>1996</v>
      </c>
      <c r="M1536">
        <v>2363645403</v>
      </c>
      <c r="N1536">
        <v>292285185</v>
      </c>
      <c r="O1536" t="b">
        <v>1</v>
      </c>
      <c r="P1536">
        <v>1</v>
      </c>
      <c r="Q1536" t="str" cm="1">
        <f t="array" ref="Q1536">_xlfn.IFS(Table1[[#This Row],[Wealthier_Winner]]=-1,"Wealthier Nation Loses",Table1[[#This Row],[Wealthier_Winner]]=0,"Tie",Table1[[#This Row],[Wealthier_Winner]]=1,"Wealthier Nation Wins")</f>
        <v>Wealthier Nation Wins</v>
      </c>
    </row>
    <row r="1537" spans="1:17" x14ac:dyDescent="0.2">
      <c r="A1537" s="1">
        <v>2834</v>
      </c>
      <c r="B1537" s="2">
        <v>35216</v>
      </c>
      <c r="C1537" s="7">
        <f>_xlfn.FLOOR.MATH(Table1[[#This Row],[year]],10)</f>
        <v>1990</v>
      </c>
      <c r="D1537" t="s">
        <v>346</v>
      </c>
      <c r="E1537" t="s">
        <v>345</v>
      </c>
      <c r="F1537">
        <v>0</v>
      </c>
      <c r="G1537">
        <v>0</v>
      </c>
      <c r="H1537" t="s">
        <v>224</v>
      </c>
      <c r="I1537" t="s">
        <v>350</v>
      </c>
      <c r="J1537" t="s">
        <v>346</v>
      </c>
      <c r="K1537" t="b">
        <v>0</v>
      </c>
      <c r="L1537">
        <v>1996</v>
      </c>
      <c r="M1537">
        <v>2132087009</v>
      </c>
      <c r="N1537">
        <v>2586550595</v>
      </c>
      <c r="O1537" t="b">
        <v>0</v>
      </c>
      <c r="P1537">
        <v>0</v>
      </c>
      <c r="Q1537" t="str" cm="1">
        <f t="array" ref="Q1537">_xlfn.IFS(Table1[[#This Row],[Wealthier_Winner]]=-1,"Wealthier Nation Loses",Table1[[#This Row],[Wealthier_Winner]]=0,"Tie",Table1[[#This Row],[Wealthier_Winner]]=1,"Wealthier Nation Wins")</f>
        <v>Tie</v>
      </c>
    </row>
    <row r="1538" spans="1:17" x14ac:dyDescent="0.2">
      <c r="A1538" s="1">
        <v>2836</v>
      </c>
      <c r="B1538" s="2">
        <v>35217</v>
      </c>
      <c r="C1538" s="7">
        <f>_xlfn.FLOOR.MATH(Table1[[#This Row],[year]],10)</f>
        <v>1990</v>
      </c>
      <c r="D1538" t="s">
        <v>508</v>
      </c>
      <c r="E1538" t="s">
        <v>305</v>
      </c>
      <c r="F1538">
        <v>3</v>
      </c>
      <c r="G1538">
        <v>2</v>
      </c>
      <c r="H1538" t="s">
        <v>224</v>
      </c>
      <c r="I1538" t="s">
        <v>509</v>
      </c>
      <c r="J1538" t="s">
        <v>508</v>
      </c>
      <c r="K1538" t="b">
        <v>0</v>
      </c>
      <c r="L1538">
        <v>1996</v>
      </c>
      <c r="M1538">
        <v>702965147</v>
      </c>
      <c r="N1538">
        <v>5641243099</v>
      </c>
      <c r="O1538" t="b">
        <v>1</v>
      </c>
      <c r="P1538">
        <v>-1</v>
      </c>
      <c r="Q1538" t="str" cm="1">
        <f t="array" ref="Q1538">_xlfn.IFS(Table1[[#This Row],[Wealthier_Winner]]=-1,"Wealthier Nation Loses",Table1[[#This Row],[Wealthier_Winner]]=0,"Tie",Table1[[#This Row],[Wealthier_Winner]]=1,"Wealthier Nation Wins")</f>
        <v>Wealthier Nation Loses</v>
      </c>
    </row>
    <row r="1539" spans="1:17" x14ac:dyDescent="0.2">
      <c r="A1539" s="1">
        <v>2837</v>
      </c>
      <c r="B1539" s="2">
        <v>35217</v>
      </c>
      <c r="C1539" s="7">
        <f>_xlfn.FLOOR.MATH(Table1[[#This Row],[year]],10)</f>
        <v>1990</v>
      </c>
      <c r="D1539" t="s">
        <v>66</v>
      </c>
      <c r="E1539" t="s">
        <v>502</v>
      </c>
      <c r="F1539">
        <v>1</v>
      </c>
      <c r="G1539">
        <v>1</v>
      </c>
      <c r="H1539" t="s">
        <v>224</v>
      </c>
      <c r="I1539" t="s">
        <v>336</v>
      </c>
      <c r="J1539" t="s">
        <v>66</v>
      </c>
      <c r="K1539" t="b">
        <v>0</v>
      </c>
      <c r="L1539">
        <v>1996</v>
      </c>
      <c r="M1539">
        <v>7686566105</v>
      </c>
      <c r="N1539">
        <v>4642021256</v>
      </c>
      <c r="O1539" t="b">
        <v>0</v>
      </c>
      <c r="P1539">
        <v>0</v>
      </c>
      <c r="Q1539" t="str" cm="1">
        <f t="array" ref="Q1539">_xlfn.IFS(Table1[[#This Row],[Wealthier_Winner]]=-1,"Wealthier Nation Loses",Table1[[#This Row],[Wealthier_Winner]]=0,"Tie",Table1[[#This Row],[Wealthier_Winner]]=1,"Wealthier Nation Wins")</f>
        <v>Tie</v>
      </c>
    </row>
    <row r="1540" spans="1:17" x14ac:dyDescent="0.2">
      <c r="A1540" s="1">
        <v>2838</v>
      </c>
      <c r="B1540" s="2">
        <v>35217</v>
      </c>
      <c r="C1540" s="7">
        <f>_xlfn.FLOOR.MATH(Table1[[#This Row],[year]],10)</f>
        <v>1990</v>
      </c>
      <c r="D1540" t="s">
        <v>370</v>
      </c>
      <c r="E1540" t="s">
        <v>50</v>
      </c>
      <c r="F1540">
        <v>0</v>
      </c>
      <c r="G1540">
        <v>1</v>
      </c>
      <c r="H1540" t="s">
        <v>224</v>
      </c>
      <c r="I1540" t="s">
        <v>372</v>
      </c>
      <c r="J1540" t="s">
        <v>370</v>
      </c>
      <c r="K1540" t="b">
        <v>0</v>
      </c>
      <c r="L1540">
        <v>1996</v>
      </c>
      <c r="M1540">
        <v>3319573749</v>
      </c>
      <c r="N1540">
        <v>163234925380</v>
      </c>
      <c r="O1540" t="b">
        <v>1</v>
      </c>
      <c r="P1540">
        <v>1</v>
      </c>
      <c r="Q1540" t="str" cm="1">
        <f t="array" ref="Q1540">_xlfn.IFS(Table1[[#This Row],[Wealthier_Winner]]=-1,"Wealthier Nation Loses",Table1[[#This Row],[Wealthier_Winner]]=0,"Tie",Table1[[#This Row],[Wealthier_Winner]]=1,"Wealthier Nation Wins")</f>
        <v>Wealthier Nation Wins</v>
      </c>
    </row>
    <row r="1541" spans="1:17" x14ac:dyDescent="0.2">
      <c r="A1541" s="1">
        <v>2839</v>
      </c>
      <c r="B1541" s="2">
        <v>35217</v>
      </c>
      <c r="C1541" s="7">
        <f>_xlfn.FLOOR.MATH(Table1[[#This Row],[year]],10)</f>
        <v>1990</v>
      </c>
      <c r="D1541" t="s">
        <v>462</v>
      </c>
      <c r="E1541" t="s">
        <v>300</v>
      </c>
      <c r="F1541">
        <v>2</v>
      </c>
      <c r="G1541">
        <v>0</v>
      </c>
      <c r="H1541" t="s">
        <v>224</v>
      </c>
      <c r="I1541" t="s">
        <v>465</v>
      </c>
      <c r="J1541" t="s">
        <v>462</v>
      </c>
      <c r="K1541" t="b">
        <v>0</v>
      </c>
      <c r="L1541">
        <v>1996</v>
      </c>
      <c r="M1541">
        <v>3989163196</v>
      </c>
      <c r="N1541">
        <v>4030146134</v>
      </c>
      <c r="O1541" t="b">
        <v>0</v>
      </c>
      <c r="P1541">
        <v>-1</v>
      </c>
      <c r="Q1541" t="str" cm="1">
        <f t="array" ref="Q1541">_xlfn.IFS(Table1[[#This Row],[Wealthier_Winner]]=-1,"Wealthier Nation Loses",Table1[[#This Row],[Wealthier_Winner]]=0,"Tie",Table1[[#This Row],[Wealthier_Winner]]=1,"Wealthier Nation Wins")</f>
        <v>Wealthier Nation Loses</v>
      </c>
    </row>
    <row r="1542" spans="1:17" x14ac:dyDescent="0.2">
      <c r="A1542" s="1">
        <v>2840</v>
      </c>
      <c r="B1542" s="2">
        <v>35217</v>
      </c>
      <c r="C1542" s="7">
        <f>_xlfn.FLOOR.MATH(Table1[[#This Row],[year]],10)</f>
        <v>1990</v>
      </c>
      <c r="D1542" t="s">
        <v>274</v>
      </c>
      <c r="E1542" t="s">
        <v>273</v>
      </c>
      <c r="F1542">
        <v>2</v>
      </c>
      <c r="G1542">
        <v>0</v>
      </c>
      <c r="H1542" t="s">
        <v>224</v>
      </c>
      <c r="I1542" t="s">
        <v>278</v>
      </c>
      <c r="J1542" t="s">
        <v>274</v>
      </c>
      <c r="K1542" t="b">
        <v>0</v>
      </c>
      <c r="L1542">
        <v>1996</v>
      </c>
      <c r="M1542">
        <v>9018300724</v>
      </c>
      <c r="N1542">
        <v>3597220962</v>
      </c>
      <c r="O1542" t="b">
        <v>1</v>
      </c>
      <c r="P1542">
        <v>1</v>
      </c>
      <c r="Q1542" t="str" cm="1">
        <f t="array" ref="Q1542">_xlfn.IFS(Table1[[#This Row],[Wealthier_Winner]]=-1,"Wealthier Nation Loses",Table1[[#This Row],[Wealthier_Winner]]=0,"Tie",Table1[[#This Row],[Wealthier_Winner]]=1,"Wealthier Nation Wins")</f>
        <v>Wealthier Nation Wins</v>
      </c>
    </row>
    <row r="1543" spans="1:17" x14ac:dyDescent="0.2">
      <c r="A1543" s="1">
        <v>2841</v>
      </c>
      <c r="B1543" s="2">
        <v>35217</v>
      </c>
      <c r="C1543" s="7">
        <f>_xlfn.FLOOR.MATH(Table1[[#This Row],[year]],10)</f>
        <v>1990</v>
      </c>
      <c r="D1543" t="s">
        <v>25</v>
      </c>
      <c r="E1543" t="s">
        <v>510</v>
      </c>
      <c r="F1543">
        <v>5</v>
      </c>
      <c r="G1543">
        <v>1</v>
      </c>
      <c r="H1543" t="s">
        <v>224</v>
      </c>
      <c r="I1543" t="s">
        <v>233</v>
      </c>
      <c r="J1543" t="s">
        <v>25</v>
      </c>
      <c r="K1543" t="b">
        <v>0</v>
      </c>
      <c r="L1543">
        <v>1996</v>
      </c>
      <c r="M1543">
        <v>291949597375</v>
      </c>
      <c r="N1543">
        <v>14500437519</v>
      </c>
      <c r="O1543" t="b">
        <v>1</v>
      </c>
      <c r="P1543">
        <v>1</v>
      </c>
      <c r="Q1543" t="str" cm="1">
        <f t="array" ref="Q1543">_xlfn.IFS(Table1[[#This Row],[Wealthier_Winner]]=-1,"Wealthier Nation Loses",Table1[[#This Row],[Wealthier_Winner]]=0,"Tie",Table1[[#This Row],[Wealthier_Winner]]=1,"Wealthier Nation Wins")</f>
        <v>Wealthier Nation Wins</v>
      </c>
    </row>
    <row r="1544" spans="1:17" x14ac:dyDescent="0.2">
      <c r="A1544" s="1">
        <v>2842</v>
      </c>
      <c r="B1544" s="2">
        <v>35217</v>
      </c>
      <c r="C1544" s="7">
        <f>_xlfn.FLOOR.MATH(Table1[[#This Row],[year]],10)</f>
        <v>1990</v>
      </c>
      <c r="D1544" t="s">
        <v>357</v>
      </c>
      <c r="E1544" t="s">
        <v>60</v>
      </c>
      <c r="F1544">
        <v>0</v>
      </c>
      <c r="G1544">
        <v>2</v>
      </c>
      <c r="H1544" t="s">
        <v>224</v>
      </c>
      <c r="I1544" t="s">
        <v>358</v>
      </c>
      <c r="J1544" t="s">
        <v>357</v>
      </c>
      <c r="K1544" t="b">
        <v>0</v>
      </c>
      <c r="L1544">
        <v>1996</v>
      </c>
      <c r="M1544">
        <v>6044585326</v>
      </c>
      <c r="N1544">
        <v>7526421519</v>
      </c>
      <c r="O1544" t="b">
        <v>0</v>
      </c>
      <c r="P1544">
        <v>1</v>
      </c>
      <c r="Q1544" t="str" cm="1">
        <f t="array" ref="Q1544">_xlfn.IFS(Table1[[#This Row],[Wealthier_Winner]]=-1,"Wealthier Nation Loses",Table1[[#This Row],[Wealthier_Winner]]=0,"Tie",Table1[[#This Row],[Wealthier_Winner]]=1,"Wealthier Nation Wins")</f>
        <v>Wealthier Nation Wins</v>
      </c>
    </row>
    <row r="1545" spans="1:17" x14ac:dyDescent="0.2">
      <c r="A1545" s="1">
        <v>2843</v>
      </c>
      <c r="B1545" s="2">
        <v>35218</v>
      </c>
      <c r="C1545" s="7">
        <f>_xlfn.FLOOR.MATH(Table1[[#This Row],[year]],10)</f>
        <v>1990</v>
      </c>
      <c r="D1545" t="s">
        <v>511</v>
      </c>
      <c r="E1545" t="s">
        <v>67</v>
      </c>
      <c r="F1545">
        <v>1</v>
      </c>
      <c r="G1545">
        <v>2</v>
      </c>
      <c r="H1545" t="s">
        <v>224</v>
      </c>
      <c r="I1545" t="s">
        <v>512</v>
      </c>
      <c r="J1545" t="s">
        <v>511</v>
      </c>
      <c r="K1545" t="b">
        <v>0</v>
      </c>
      <c r="L1545">
        <v>1996</v>
      </c>
      <c r="M1545">
        <v>850339100</v>
      </c>
      <c r="N1545">
        <v>9197503322</v>
      </c>
      <c r="O1545" t="b">
        <v>1</v>
      </c>
      <c r="P1545">
        <v>1</v>
      </c>
      <c r="Q1545" t="str" cm="1">
        <f t="array" ref="Q1545">_xlfn.IFS(Table1[[#This Row],[Wealthier_Winner]]=-1,"Wealthier Nation Loses",Table1[[#This Row],[Wealthier_Winner]]=0,"Tie",Table1[[#This Row],[Wealthier_Winner]]=1,"Wealthier Nation Wins")</f>
        <v>Wealthier Nation Wins</v>
      </c>
    </row>
    <row r="1546" spans="1:17" x14ac:dyDescent="0.2">
      <c r="A1546" s="1">
        <v>2844</v>
      </c>
      <c r="B1546" s="2">
        <v>35218</v>
      </c>
      <c r="C1546" s="7">
        <f>_xlfn.FLOOR.MATH(Table1[[#This Row],[year]],10)</f>
        <v>1990</v>
      </c>
      <c r="D1546" t="s">
        <v>460</v>
      </c>
      <c r="E1546" t="s">
        <v>342</v>
      </c>
      <c r="F1546">
        <v>1</v>
      </c>
      <c r="G1546">
        <v>0</v>
      </c>
      <c r="H1546" t="s">
        <v>224</v>
      </c>
      <c r="I1546" t="s">
        <v>464</v>
      </c>
      <c r="J1546" t="s">
        <v>460</v>
      </c>
      <c r="K1546" t="b">
        <v>0</v>
      </c>
      <c r="L1546">
        <v>1996</v>
      </c>
      <c r="M1546">
        <v>869033856</v>
      </c>
      <c r="N1546">
        <v>941709422</v>
      </c>
      <c r="O1546" t="b">
        <v>0</v>
      </c>
      <c r="P1546">
        <v>-1</v>
      </c>
      <c r="Q1546" t="str" cm="1">
        <f t="array" ref="Q1546">_xlfn.IFS(Table1[[#This Row],[Wealthier_Winner]]=-1,"Wealthier Nation Loses",Table1[[#This Row],[Wealthier_Winner]]=0,"Tie",Table1[[#This Row],[Wealthier_Winner]]=1,"Wealthier Nation Wins")</f>
        <v>Wealthier Nation Loses</v>
      </c>
    </row>
    <row r="1547" spans="1:17" x14ac:dyDescent="0.2">
      <c r="A1547" s="1">
        <v>2846</v>
      </c>
      <c r="B1547" s="2">
        <v>35218</v>
      </c>
      <c r="C1547" s="7">
        <f>_xlfn.FLOOR.MATH(Table1[[#This Row],[year]],10)</f>
        <v>1990</v>
      </c>
      <c r="D1547" t="s">
        <v>57</v>
      </c>
      <c r="E1547" t="s">
        <v>19</v>
      </c>
      <c r="F1547">
        <v>2</v>
      </c>
      <c r="G1547">
        <v>0</v>
      </c>
      <c r="H1547" t="s">
        <v>224</v>
      </c>
      <c r="I1547" t="s">
        <v>335</v>
      </c>
      <c r="J1547" t="s">
        <v>57</v>
      </c>
      <c r="K1547" t="b">
        <v>0</v>
      </c>
      <c r="L1547">
        <v>1996</v>
      </c>
      <c r="M1547">
        <v>25226393196</v>
      </c>
      <c r="N1547">
        <v>272149750000</v>
      </c>
      <c r="O1547" t="b">
        <v>1</v>
      </c>
      <c r="P1547">
        <v>-1</v>
      </c>
      <c r="Q1547" t="str" cm="1">
        <f t="array" ref="Q1547">_xlfn.IFS(Table1[[#This Row],[Wealthier_Winner]]=-1,"Wealthier Nation Loses",Table1[[#This Row],[Wealthier_Winner]]=0,"Tie",Table1[[#This Row],[Wealthier_Winner]]=1,"Wealthier Nation Wins")</f>
        <v>Wealthier Nation Loses</v>
      </c>
    </row>
    <row r="1548" spans="1:17" x14ac:dyDescent="0.2">
      <c r="A1548" s="1">
        <v>2847</v>
      </c>
      <c r="B1548" s="2">
        <v>35218</v>
      </c>
      <c r="C1548" s="7">
        <f>_xlfn.FLOOR.MATH(Table1[[#This Row],[year]],10)</f>
        <v>1990</v>
      </c>
      <c r="D1548" t="s">
        <v>314</v>
      </c>
      <c r="E1548" t="s">
        <v>32</v>
      </c>
      <c r="F1548">
        <v>3</v>
      </c>
      <c r="G1548">
        <v>1</v>
      </c>
      <c r="H1548" t="s">
        <v>224</v>
      </c>
      <c r="I1548" t="s">
        <v>315</v>
      </c>
      <c r="J1548" t="s">
        <v>314</v>
      </c>
      <c r="K1548" t="b">
        <v>0</v>
      </c>
      <c r="L1548">
        <v>1996</v>
      </c>
      <c r="M1548">
        <v>12045865396</v>
      </c>
      <c r="N1548">
        <v>46941554225</v>
      </c>
      <c r="O1548" t="b">
        <v>1</v>
      </c>
      <c r="P1548">
        <v>-1</v>
      </c>
      <c r="Q1548" t="str" cm="1">
        <f t="array" ref="Q1548">_xlfn.IFS(Table1[[#This Row],[Wealthier_Winner]]=-1,"Wealthier Nation Loses",Table1[[#This Row],[Wealthier_Winner]]=0,"Tie",Table1[[#This Row],[Wealthier_Winner]]=1,"Wealthier Nation Wins")</f>
        <v>Wealthier Nation Loses</v>
      </c>
    </row>
    <row r="1549" spans="1:17" x14ac:dyDescent="0.2">
      <c r="A1549" s="1">
        <v>2848</v>
      </c>
      <c r="B1549" s="2">
        <v>35218</v>
      </c>
      <c r="C1549" s="7">
        <f>_xlfn.FLOOR.MATH(Table1[[#This Row],[year]],10)</f>
        <v>1990</v>
      </c>
      <c r="D1549" t="s">
        <v>410</v>
      </c>
      <c r="E1549" t="s">
        <v>298</v>
      </c>
      <c r="F1549">
        <v>1</v>
      </c>
      <c r="G1549">
        <v>2</v>
      </c>
      <c r="H1549" t="s">
        <v>224</v>
      </c>
      <c r="I1549" t="s">
        <v>413</v>
      </c>
      <c r="J1549" t="s">
        <v>410</v>
      </c>
      <c r="K1549" t="b">
        <v>0</v>
      </c>
      <c r="L1549">
        <v>1996</v>
      </c>
      <c r="M1549">
        <v>4931861038</v>
      </c>
      <c r="N1549">
        <v>8557500000</v>
      </c>
      <c r="O1549" t="b">
        <v>0</v>
      </c>
      <c r="P1549">
        <v>1</v>
      </c>
      <c r="Q1549" t="str" cm="1">
        <f t="array" ref="Q1549">_xlfn.IFS(Table1[[#This Row],[Wealthier_Winner]]=-1,"Wealthier Nation Loses",Table1[[#This Row],[Wealthier_Winner]]=0,"Tie",Table1[[#This Row],[Wealthier_Winner]]=1,"Wealthier Nation Wins")</f>
        <v>Wealthier Nation Wins</v>
      </c>
    </row>
    <row r="1550" spans="1:17" x14ac:dyDescent="0.2">
      <c r="A1550" s="1">
        <v>2850</v>
      </c>
      <c r="B1550" s="2">
        <v>35218</v>
      </c>
      <c r="C1550" s="7">
        <f>_xlfn.FLOOR.MATH(Table1[[#This Row],[year]],10)</f>
        <v>1990</v>
      </c>
      <c r="D1550" t="s">
        <v>42</v>
      </c>
      <c r="E1550" t="s">
        <v>513</v>
      </c>
      <c r="F1550">
        <v>5</v>
      </c>
      <c r="G1550">
        <v>0</v>
      </c>
      <c r="H1550" t="s">
        <v>224</v>
      </c>
      <c r="I1550" t="s">
        <v>262</v>
      </c>
      <c r="J1550" t="s">
        <v>42</v>
      </c>
      <c r="K1550" t="b">
        <v>0</v>
      </c>
      <c r="L1550">
        <v>1996</v>
      </c>
      <c r="M1550">
        <v>163520109150</v>
      </c>
      <c r="N1550">
        <v>3176507376</v>
      </c>
      <c r="O1550" t="b">
        <v>1</v>
      </c>
      <c r="P1550">
        <v>1</v>
      </c>
      <c r="Q1550" t="str" cm="1">
        <f t="array" ref="Q1550">_xlfn.IFS(Table1[[#This Row],[Wealthier_Winner]]=-1,"Wealthier Nation Loses",Table1[[#This Row],[Wealthier_Winner]]=0,"Tie",Table1[[#This Row],[Wealthier_Winner]]=1,"Wealthier Nation Wins")</f>
        <v>Wealthier Nation Wins</v>
      </c>
    </row>
    <row r="1551" spans="1:17" x14ac:dyDescent="0.2">
      <c r="A1551" s="1">
        <v>2851</v>
      </c>
      <c r="B1551" s="2">
        <v>35218</v>
      </c>
      <c r="C1551" s="7">
        <f>_xlfn.FLOOR.MATH(Table1[[#This Row],[year]],10)</f>
        <v>1990</v>
      </c>
      <c r="D1551" t="s">
        <v>31</v>
      </c>
      <c r="E1551" t="s">
        <v>15</v>
      </c>
      <c r="F1551">
        <v>1</v>
      </c>
      <c r="G1551">
        <v>1</v>
      </c>
      <c r="H1551" t="s">
        <v>224</v>
      </c>
      <c r="I1551" t="s">
        <v>242</v>
      </c>
      <c r="J1551" t="s">
        <v>31</v>
      </c>
      <c r="K1551" t="b">
        <v>0</v>
      </c>
      <c r="L1551">
        <v>1996</v>
      </c>
      <c r="M1551">
        <v>55252414130</v>
      </c>
      <c r="N1551">
        <v>97160109277</v>
      </c>
      <c r="O1551" t="b">
        <v>0</v>
      </c>
      <c r="P1551">
        <v>0</v>
      </c>
      <c r="Q1551" t="str" cm="1">
        <f t="array" ref="Q1551">_xlfn.IFS(Table1[[#This Row],[Wealthier_Winner]]=-1,"Wealthier Nation Loses",Table1[[#This Row],[Wealthier_Winner]]=0,"Tie",Table1[[#This Row],[Wealthier_Winner]]=1,"Wealthier Nation Wins")</f>
        <v>Tie</v>
      </c>
    </row>
    <row r="1552" spans="1:17" x14ac:dyDescent="0.2">
      <c r="A1552" s="1">
        <v>2852</v>
      </c>
      <c r="B1552" s="2">
        <v>35218</v>
      </c>
      <c r="C1552" s="7">
        <f>_xlfn.FLOOR.MATH(Table1[[#This Row],[year]],10)</f>
        <v>1990</v>
      </c>
      <c r="D1552" t="s">
        <v>514</v>
      </c>
      <c r="E1552" t="s">
        <v>53</v>
      </c>
      <c r="F1552">
        <v>1</v>
      </c>
      <c r="G1552">
        <v>3</v>
      </c>
      <c r="H1552" t="s">
        <v>224</v>
      </c>
      <c r="I1552" t="s">
        <v>515</v>
      </c>
      <c r="J1552" t="s">
        <v>514</v>
      </c>
      <c r="K1552" t="b">
        <v>0</v>
      </c>
      <c r="L1552">
        <v>1996</v>
      </c>
      <c r="M1552">
        <v>1382334879</v>
      </c>
      <c r="N1552">
        <v>19587161806</v>
      </c>
      <c r="O1552" t="b">
        <v>1</v>
      </c>
      <c r="P1552">
        <v>1</v>
      </c>
      <c r="Q1552" t="str" cm="1">
        <f t="array" ref="Q1552">_xlfn.IFS(Table1[[#This Row],[Wealthier_Winner]]=-1,"Wealthier Nation Loses",Table1[[#This Row],[Wealthier_Winner]]=0,"Tie",Table1[[#This Row],[Wealthier_Winner]]=1,"Wealthier Nation Wins")</f>
        <v>Wealthier Nation Wins</v>
      </c>
    </row>
    <row r="1553" spans="1:17" x14ac:dyDescent="0.2">
      <c r="A1553" s="1">
        <v>2854</v>
      </c>
      <c r="B1553" s="2">
        <v>35218</v>
      </c>
      <c r="C1553" s="7">
        <f>_xlfn.FLOOR.MATH(Table1[[#This Row],[year]],10)</f>
        <v>1990</v>
      </c>
      <c r="D1553" t="s">
        <v>61</v>
      </c>
      <c r="E1553" t="s">
        <v>303</v>
      </c>
      <c r="F1553">
        <v>6</v>
      </c>
      <c r="G1553">
        <v>0</v>
      </c>
      <c r="H1553" t="s">
        <v>224</v>
      </c>
      <c r="I1553" t="s">
        <v>505</v>
      </c>
      <c r="J1553" t="s">
        <v>506</v>
      </c>
      <c r="K1553" t="b">
        <v>0</v>
      </c>
      <c r="L1553">
        <v>1996</v>
      </c>
      <c r="M1553">
        <v>23277430167</v>
      </c>
      <c r="N1553">
        <v>3822547197</v>
      </c>
      <c r="O1553" t="b">
        <v>1</v>
      </c>
      <c r="P1553">
        <v>1</v>
      </c>
      <c r="Q1553" t="str" cm="1">
        <f t="array" ref="Q1553">_xlfn.IFS(Table1[[#This Row],[Wealthier_Winner]]=-1,"Wealthier Nation Loses",Table1[[#This Row],[Wealthier_Winner]]=0,"Tie",Table1[[#This Row],[Wealthier_Winner]]=1,"Wealthier Nation Wins")</f>
        <v>Wealthier Nation Wins</v>
      </c>
    </row>
    <row r="1554" spans="1:17" x14ac:dyDescent="0.2">
      <c r="A1554" s="1">
        <v>2855</v>
      </c>
      <c r="B1554" s="2">
        <v>35218</v>
      </c>
      <c r="C1554" s="7">
        <f>_xlfn.FLOOR.MATH(Table1[[#This Row],[year]],10)</f>
        <v>1990</v>
      </c>
      <c r="D1554" t="s">
        <v>463</v>
      </c>
      <c r="E1554" t="s">
        <v>433</v>
      </c>
      <c r="F1554">
        <v>0</v>
      </c>
      <c r="G1554">
        <v>1</v>
      </c>
      <c r="H1554" t="s">
        <v>224</v>
      </c>
      <c r="I1554" t="s">
        <v>471</v>
      </c>
      <c r="J1554" t="s">
        <v>472</v>
      </c>
      <c r="K1554" t="b">
        <v>0</v>
      </c>
      <c r="L1554">
        <v>1996</v>
      </c>
      <c r="M1554">
        <v>1602741833</v>
      </c>
      <c r="N1554">
        <v>5694040002</v>
      </c>
      <c r="O1554" t="b">
        <v>1</v>
      </c>
      <c r="P1554">
        <v>1</v>
      </c>
      <c r="Q1554" t="str" cm="1">
        <f t="array" ref="Q1554">_xlfn.IFS(Table1[[#This Row],[Wealthier_Winner]]=-1,"Wealthier Nation Loses",Table1[[#This Row],[Wealthier_Winner]]=0,"Tie",Table1[[#This Row],[Wealthier_Winner]]=1,"Wealthier Nation Wins")</f>
        <v>Wealthier Nation Wins</v>
      </c>
    </row>
    <row r="1555" spans="1:17" x14ac:dyDescent="0.2">
      <c r="A1555" s="1">
        <v>2856</v>
      </c>
      <c r="B1555" s="2">
        <v>35218</v>
      </c>
      <c r="C1555" s="7">
        <f>_xlfn.FLOOR.MATH(Table1[[#This Row],[year]],10)</f>
        <v>1990</v>
      </c>
      <c r="D1555" t="s">
        <v>62</v>
      </c>
      <c r="E1555" t="s">
        <v>54</v>
      </c>
      <c r="F1555">
        <v>2</v>
      </c>
      <c r="G1555">
        <v>1</v>
      </c>
      <c r="H1555" t="s">
        <v>224</v>
      </c>
      <c r="I1555" t="s">
        <v>353</v>
      </c>
      <c r="J1555" t="s">
        <v>62</v>
      </c>
      <c r="K1555" t="b">
        <v>0</v>
      </c>
      <c r="L1555">
        <v>1996</v>
      </c>
      <c r="M1555">
        <v>2069506014</v>
      </c>
      <c r="N1555">
        <v>6559712165</v>
      </c>
      <c r="O1555" t="b">
        <v>1</v>
      </c>
      <c r="P1555">
        <v>-1</v>
      </c>
      <c r="Q1555" t="str" cm="1">
        <f t="array" ref="Q1555">_xlfn.IFS(Table1[[#This Row],[Wealthier_Winner]]=-1,"Wealthier Nation Loses",Table1[[#This Row],[Wealthier_Winner]]=0,"Tie",Table1[[#This Row],[Wealthier_Winner]]=1,"Wealthier Nation Wins")</f>
        <v>Wealthier Nation Loses</v>
      </c>
    </row>
    <row r="1556" spans="1:17" x14ac:dyDescent="0.2">
      <c r="A1556" s="1">
        <v>2857</v>
      </c>
      <c r="B1556" s="2">
        <v>35218</v>
      </c>
      <c r="C1556" s="7">
        <f>_xlfn.FLOOR.MATH(Table1[[#This Row],[year]],10)</f>
        <v>1990</v>
      </c>
      <c r="D1556" t="s">
        <v>26</v>
      </c>
      <c r="E1556" t="s">
        <v>35</v>
      </c>
      <c r="F1556">
        <v>0</v>
      </c>
      <c r="G1556">
        <v>2</v>
      </c>
      <c r="H1556" t="s">
        <v>224</v>
      </c>
      <c r="I1556" t="s">
        <v>247</v>
      </c>
      <c r="J1556" t="s">
        <v>26</v>
      </c>
      <c r="K1556" t="b">
        <v>0</v>
      </c>
      <c r="L1556">
        <v>1996</v>
      </c>
      <c r="M1556">
        <v>20515458113</v>
      </c>
      <c r="N1556">
        <v>9788391780</v>
      </c>
      <c r="O1556" t="b">
        <v>1</v>
      </c>
      <c r="P1556">
        <v>-1</v>
      </c>
      <c r="Q1556" t="str" cm="1">
        <f t="array" ref="Q1556">_xlfn.IFS(Table1[[#This Row],[Wealthier_Winner]]=-1,"Wealthier Nation Loses",Table1[[#This Row],[Wealthier_Winner]]=0,"Tie",Table1[[#This Row],[Wealthier_Winner]]=1,"Wealthier Nation Wins")</f>
        <v>Wealthier Nation Loses</v>
      </c>
    </row>
    <row r="1557" spans="1:17" x14ac:dyDescent="0.2">
      <c r="A1557" s="1">
        <v>2858</v>
      </c>
      <c r="B1557" s="2">
        <v>35218</v>
      </c>
      <c r="C1557" s="7">
        <f>_xlfn.FLOOR.MATH(Table1[[#This Row],[year]],10)</f>
        <v>1990</v>
      </c>
      <c r="D1557" t="s">
        <v>258</v>
      </c>
      <c r="E1557" t="s">
        <v>14</v>
      </c>
      <c r="F1557">
        <v>1</v>
      </c>
      <c r="G1557">
        <v>1</v>
      </c>
      <c r="H1557" t="s">
        <v>224</v>
      </c>
      <c r="I1557" t="s">
        <v>516</v>
      </c>
      <c r="J1557" t="s">
        <v>258</v>
      </c>
      <c r="K1557" t="b">
        <v>0</v>
      </c>
      <c r="L1557">
        <v>1996</v>
      </c>
      <c r="M1557">
        <v>70543211119</v>
      </c>
      <c r="N1557">
        <v>78584098983</v>
      </c>
      <c r="O1557" t="b">
        <v>0</v>
      </c>
      <c r="P1557">
        <v>0</v>
      </c>
      <c r="Q1557" t="str" cm="1">
        <f t="array" ref="Q1557">_xlfn.IFS(Table1[[#This Row],[Wealthier_Winner]]=-1,"Wealthier Nation Loses",Table1[[#This Row],[Wealthier_Winner]]=0,"Tie",Table1[[#This Row],[Wealthier_Winner]]=1,"Wealthier Nation Wins")</f>
        <v>Tie</v>
      </c>
    </row>
    <row r="1558" spans="1:17" x14ac:dyDescent="0.2">
      <c r="A1558" s="1">
        <v>2859</v>
      </c>
      <c r="B1558" s="2">
        <v>35224</v>
      </c>
      <c r="C1558" s="7">
        <f>_xlfn.FLOOR.MATH(Table1[[#This Row],[year]],10)</f>
        <v>1990</v>
      </c>
      <c r="D1558" t="s">
        <v>320</v>
      </c>
      <c r="E1558" t="s">
        <v>63</v>
      </c>
      <c r="F1558">
        <v>0</v>
      </c>
      <c r="G1558">
        <v>0</v>
      </c>
      <c r="H1558" t="s">
        <v>224</v>
      </c>
      <c r="I1558" t="s">
        <v>321</v>
      </c>
      <c r="J1558" t="s">
        <v>320</v>
      </c>
      <c r="K1558" t="b">
        <v>0</v>
      </c>
      <c r="L1558">
        <v>1996</v>
      </c>
      <c r="M1558">
        <v>9433528150</v>
      </c>
      <c r="N1558">
        <v>6932991739</v>
      </c>
      <c r="O1558" t="b">
        <v>0</v>
      </c>
      <c r="P1558">
        <v>0</v>
      </c>
      <c r="Q1558" t="str" cm="1">
        <f t="array" ref="Q1558">_xlfn.IFS(Table1[[#This Row],[Wealthier_Winner]]=-1,"Wealthier Nation Loses",Table1[[#This Row],[Wealthier_Winner]]=0,"Tie",Table1[[#This Row],[Wealthier_Winner]]=1,"Wealthier Nation Wins")</f>
        <v>Tie</v>
      </c>
    </row>
    <row r="1559" spans="1:17" x14ac:dyDescent="0.2">
      <c r="A1559" s="1">
        <v>2860</v>
      </c>
      <c r="B1559" s="2">
        <v>35225</v>
      </c>
      <c r="C1559" s="7">
        <f>_xlfn.FLOOR.MATH(Table1[[#This Row],[year]],10)</f>
        <v>1990</v>
      </c>
      <c r="D1559" t="s">
        <v>67</v>
      </c>
      <c r="E1559" t="s">
        <v>511</v>
      </c>
      <c r="F1559">
        <v>4</v>
      </c>
      <c r="G1559">
        <v>1</v>
      </c>
      <c r="H1559" t="s">
        <v>224</v>
      </c>
      <c r="I1559" t="s">
        <v>455</v>
      </c>
      <c r="J1559" t="s">
        <v>67</v>
      </c>
      <c r="K1559" t="b">
        <v>0</v>
      </c>
      <c r="L1559">
        <v>1996</v>
      </c>
      <c r="M1559">
        <v>9197503322</v>
      </c>
      <c r="N1559">
        <v>850339100</v>
      </c>
      <c r="O1559" t="b">
        <v>1</v>
      </c>
      <c r="P1559">
        <v>1</v>
      </c>
      <c r="Q1559" t="str" cm="1">
        <f t="array" ref="Q1559">_xlfn.IFS(Table1[[#This Row],[Wealthier_Winner]]=-1,"Wealthier Nation Loses",Table1[[#This Row],[Wealthier_Winner]]=0,"Tie",Table1[[#This Row],[Wealthier_Winner]]=1,"Wealthier Nation Wins")</f>
        <v>Wealthier Nation Wins</v>
      </c>
    </row>
    <row r="1560" spans="1:17" x14ac:dyDescent="0.2">
      <c r="A1560" s="1">
        <v>2861</v>
      </c>
      <c r="B1560" s="2">
        <v>35230</v>
      </c>
      <c r="C1560" s="7">
        <f>_xlfn.FLOOR.MATH(Table1[[#This Row],[year]],10)</f>
        <v>1990</v>
      </c>
      <c r="D1560" t="s">
        <v>32</v>
      </c>
      <c r="E1560" t="s">
        <v>314</v>
      </c>
      <c r="F1560">
        <v>1</v>
      </c>
      <c r="G1560">
        <v>0</v>
      </c>
      <c r="H1560" t="s">
        <v>224</v>
      </c>
      <c r="I1560" t="s">
        <v>279</v>
      </c>
      <c r="J1560" t="s">
        <v>32</v>
      </c>
      <c r="K1560" t="b">
        <v>0</v>
      </c>
      <c r="L1560">
        <v>1996</v>
      </c>
      <c r="M1560">
        <v>46941554225</v>
      </c>
      <c r="N1560">
        <v>12045865396</v>
      </c>
      <c r="O1560" t="b">
        <v>1</v>
      </c>
      <c r="P1560">
        <v>1</v>
      </c>
      <c r="Q1560" t="str" cm="1">
        <f t="array" ref="Q1560">_xlfn.IFS(Table1[[#This Row],[Wealthier_Winner]]=-1,"Wealthier Nation Loses",Table1[[#This Row],[Wealthier_Winner]]=0,"Tie",Table1[[#This Row],[Wealthier_Winner]]=1,"Wealthier Nation Wins")</f>
        <v>Wealthier Nation Wins</v>
      </c>
    </row>
    <row r="1561" spans="1:17" x14ac:dyDescent="0.2">
      <c r="A1561" s="1">
        <v>2862</v>
      </c>
      <c r="B1561" s="2">
        <v>35231</v>
      </c>
      <c r="C1561" s="7">
        <f>_xlfn.FLOOR.MATH(Table1[[#This Row],[year]],10)</f>
        <v>1990</v>
      </c>
      <c r="D1561" t="s">
        <v>496</v>
      </c>
      <c r="E1561" t="s">
        <v>59</v>
      </c>
      <c r="F1561">
        <v>1</v>
      </c>
      <c r="G1561">
        <v>4</v>
      </c>
      <c r="H1561" t="s">
        <v>224</v>
      </c>
      <c r="I1561" t="s">
        <v>498</v>
      </c>
      <c r="J1561" t="s">
        <v>496</v>
      </c>
      <c r="K1561" t="b">
        <v>0</v>
      </c>
      <c r="L1561">
        <v>1996</v>
      </c>
      <c r="M1561">
        <v>18241622547</v>
      </c>
      <c r="N1561">
        <v>5759570336</v>
      </c>
      <c r="O1561" t="b">
        <v>1</v>
      </c>
      <c r="P1561">
        <v>-1</v>
      </c>
      <c r="Q1561" t="str" cm="1">
        <f t="array" ref="Q1561">_xlfn.IFS(Table1[[#This Row],[Wealthier_Winner]]=-1,"Wealthier Nation Loses",Table1[[#This Row],[Wealthier_Winner]]=0,"Tie",Table1[[#This Row],[Wealthier_Winner]]=1,"Wealthier Nation Wins")</f>
        <v>Wealthier Nation Loses</v>
      </c>
    </row>
    <row r="1562" spans="1:17" x14ac:dyDescent="0.2">
      <c r="A1562" s="1">
        <v>2863</v>
      </c>
      <c r="B1562" s="2">
        <v>35231</v>
      </c>
      <c r="C1562" s="7">
        <f>_xlfn.FLOOR.MATH(Table1[[#This Row],[year]],10)</f>
        <v>1990</v>
      </c>
      <c r="D1562" t="s">
        <v>50</v>
      </c>
      <c r="E1562" t="s">
        <v>370</v>
      </c>
      <c r="F1562">
        <v>3</v>
      </c>
      <c r="G1562">
        <v>0</v>
      </c>
      <c r="H1562" t="s">
        <v>224</v>
      </c>
      <c r="I1562" t="s">
        <v>160</v>
      </c>
      <c r="J1562" t="s">
        <v>50</v>
      </c>
      <c r="K1562" t="b">
        <v>0</v>
      </c>
      <c r="L1562">
        <v>1996</v>
      </c>
      <c r="M1562">
        <v>163234925380</v>
      </c>
      <c r="N1562">
        <v>3319573749</v>
      </c>
      <c r="O1562" t="b">
        <v>1</v>
      </c>
      <c r="P1562">
        <v>1</v>
      </c>
      <c r="Q1562" t="str" cm="1">
        <f t="array" ref="Q1562">_xlfn.IFS(Table1[[#This Row],[Wealthier_Winner]]=-1,"Wealthier Nation Loses",Table1[[#This Row],[Wealthier_Winner]]=0,"Tie",Table1[[#This Row],[Wealthier_Winner]]=1,"Wealthier Nation Wins")</f>
        <v>Wealthier Nation Wins</v>
      </c>
    </row>
    <row r="1563" spans="1:17" x14ac:dyDescent="0.2">
      <c r="A1563" s="1">
        <v>2864</v>
      </c>
      <c r="B1563" s="2">
        <v>35232</v>
      </c>
      <c r="C1563" s="7">
        <f>_xlfn.FLOOR.MATH(Table1[[#This Row],[year]],10)</f>
        <v>1990</v>
      </c>
      <c r="D1563" t="s">
        <v>54</v>
      </c>
      <c r="E1563" t="s">
        <v>62</v>
      </c>
      <c r="F1563">
        <v>1</v>
      </c>
      <c r="G1563">
        <v>1</v>
      </c>
      <c r="H1563" t="s">
        <v>224</v>
      </c>
      <c r="I1563" t="s">
        <v>285</v>
      </c>
      <c r="J1563" t="s">
        <v>54</v>
      </c>
      <c r="K1563" t="b">
        <v>0</v>
      </c>
      <c r="L1563">
        <v>1996</v>
      </c>
      <c r="M1563">
        <v>6559712165</v>
      </c>
      <c r="N1563">
        <v>2069506014</v>
      </c>
      <c r="O1563" t="b">
        <v>1</v>
      </c>
      <c r="P1563">
        <v>0</v>
      </c>
      <c r="Q1563" t="str" cm="1">
        <f t="array" ref="Q1563">_xlfn.IFS(Table1[[#This Row],[Wealthier_Winner]]=-1,"Wealthier Nation Loses",Table1[[#This Row],[Wealthier_Winner]]=0,"Tie",Table1[[#This Row],[Wealthier_Winner]]=1,"Wealthier Nation Wins")</f>
        <v>Tie</v>
      </c>
    </row>
    <row r="1564" spans="1:17" x14ac:dyDescent="0.2">
      <c r="A1564" s="1">
        <v>2865</v>
      </c>
      <c r="B1564" s="2">
        <v>35232</v>
      </c>
      <c r="C1564" s="7">
        <f>_xlfn.FLOOR.MATH(Table1[[#This Row],[year]],10)</f>
        <v>1990</v>
      </c>
      <c r="D1564" t="s">
        <v>60</v>
      </c>
      <c r="E1564" t="s">
        <v>357</v>
      </c>
      <c r="F1564">
        <v>3</v>
      </c>
      <c r="G1564">
        <v>1</v>
      </c>
      <c r="H1564" t="s">
        <v>224</v>
      </c>
      <c r="I1564" t="s">
        <v>396</v>
      </c>
      <c r="J1564" t="s">
        <v>60</v>
      </c>
      <c r="K1564" t="b">
        <v>0</v>
      </c>
      <c r="L1564">
        <v>1996</v>
      </c>
      <c r="M1564">
        <v>7526421519</v>
      </c>
      <c r="N1564">
        <v>6044585326</v>
      </c>
      <c r="O1564" t="b">
        <v>0</v>
      </c>
      <c r="P1564">
        <v>1</v>
      </c>
      <c r="Q1564" t="str" cm="1">
        <f t="array" ref="Q1564">_xlfn.IFS(Table1[[#This Row],[Wealthier_Winner]]=-1,"Wealthier Nation Loses",Table1[[#This Row],[Wealthier_Winner]]=0,"Tie",Table1[[#This Row],[Wealthier_Winner]]=1,"Wealthier Nation Wins")</f>
        <v>Wealthier Nation Wins</v>
      </c>
    </row>
    <row r="1565" spans="1:17" x14ac:dyDescent="0.2">
      <c r="A1565" s="1">
        <v>2866</v>
      </c>
      <c r="B1565" s="2">
        <v>35232</v>
      </c>
      <c r="C1565" s="7">
        <f>_xlfn.FLOOR.MATH(Table1[[#This Row],[year]],10)</f>
        <v>1990</v>
      </c>
      <c r="D1565" t="s">
        <v>345</v>
      </c>
      <c r="E1565" t="s">
        <v>346</v>
      </c>
      <c r="F1565">
        <v>2</v>
      </c>
      <c r="G1565">
        <v>0</v>
      </c>
      <c r="H1565" t="s">
        <v>224</v>
      </c>
      <c r="I1565" t="s">
        <v>347</v>
      </c>
      <c r="J1565" t="s">
        <v>345</v>
      </c>
      <c r="K1565" t="b">
        <v>0</v>
      </c>
      <c r="L1565">
        <v>1996</v>
      </c>
      <c r="M1565">
        <v>2586550595</v>
      </c>
      <c r="N1565">
        <v>2132087009</v>
      </c>
      <c r="O1565" t="b">
        <v>0</v>
      </c>
      <c r="P1565">
        <v>1</v>
      </c>
      <c r="Q1565" t="str" cm="1">
        <f t="array" ref="Q1565">_xlfn.IFS(Table1[[#This Row],[Wealthier_Winner]]=-1,"Wealthier Nation Loses",Table1[[#This Row],[Wealthier_Winner]]=0,"Tie",Table1[[#This Row],[Wealthier_Winner]]=1,"Wealthier Nation Wins")</f>
        <v>Wealthier Nation Wins</v>
      </c>
    </row>
    <row r="1566" spans="1:17" x14ac:dyDescent="0.2">
      <c r="A1566" s="1">
        <v>2868</v>
      </c>
      <c r="B1566" s="2">
        <v>35232</v>
      </c>
      <c r="C1566" s="7">
        <f>_xlfn.FLOOR.MATH(Table1[[#This Row],[year]],10)</f>
        <v>1990</v>
      </c>
      <c r="D1566" t="s">
        <v>433</v>
      </c>
      <c r="E1566" t="s">
        <v>463</v>
      </c>
      <c r="F1566">
        <v>2</v>
      </c>
      <c r="G1566">
        <v>0</v>
      </c>
      <c r="H1566" t="s">
        <v>224</v>
      </c>
      <c r="I1566" t="s">
        <v>436</v>
      </c>
      <c r="J1566" t="s">
        <v>433</v>
      </c>
      <c r="K1566" t="b">
        <v>0</v>
      </c>
      <c r="L1566">
        <v>1996</v>
      </c>
      <c r="M1566">
        <v>5694040002</v>
      </c>
      <c r="N1566">
        <v>1602741833</v>
      </c>
      <c r="O1566" t="b">
        <v>1</v>
      </c>
      <c r="P1566">
        <v>1</v>
      </c>
      <c r="Q1566" t="str" cm="1">
        <f t="array" ref="Q1566">_xlfn.IFS(Table1[[#This Row],[Wealthier_Winner]]=-1,"Wealthier Nation Loses",Table1[[#This Row],[Wealthier_Winner]]=0,"Tie",Table1[[#This Row],[Wealthier_Winner]]=1,"Wealthier Nation Wins")</f>
        <v>Wealthier Nation Wins</v>
      </c>
    </row>
    <row r="1567" spans="1:17" x14ac:dyDescent="0.2">
      <c r="A1567" s="1">
        <v>2869</v>
      </c>
      <c r="B1567" s="2">
        <v>35232</v>
      </c>
      <c r="C1567" s="7">
        <f>_xlfn.FLOOR.MATH(Table1[[#This Row],[year]],10)</f>
        <v>1990</v>
      </c>
      <c r="D1567" t="s">
        <v>305</v>
      </c>
      <c r="E1567" t="s">
        <v>508</v>
      </c>
      <c r="F1567">
        <v>3</v>
      </c>
      <c r="G1567">
        <v>1</v>
      </c>
      <c r="H1567" t="s">
        <v>224</v>
      </c>
      <c r="I1567" t="s">
        <v>306</v>
      </c>
      <c r="J1567" t="s">
        <v>305</v>
      </c>
      <c r="K1567" t="b">
        <v>0</v>
      </c>
      <c r="L1567">
        <v>1996</v>
      </c>
      <c r="M1567">
        <v>5641243099</v>
      </c>
      <c r="N1567">
        <v>702965147</v>
      </c>
      <c r="O1567" t="b">
        <v>1</v>
      </c>
      <c r="P1567">
        <v>1</v>
      </c>
      <c r="Q1567" t="str" cm="1">
        <f t="array" ref="Q1567">_xlfn.IFS(Table1[[#This Row],[Wealthier_Winner]]=-1,"Wealthier Nation Loses",Table1[[#This Row],[Wealthier_Winner]]=0,"Tie",Table1[[#This Row],[Wealthier_Winner]]=1,"Wealthier Nation Wins")</f>
        <v>Wealthier Nation Wins</v>
      </c>
    </row>
    <row r="1568" spans="1:17" x14ac:dyDescent="0.2">
      <c r="A1568" s="1">
        <v>2871</v>
      </c>
      <c r="B1568" s="2">
        <v>35232</v>
      </c>
      <c r="C1568" s="7">
        <f>_xlfn.FLOOR.MATH(Table1[[#This Row],[year]],10)</f>
        <v>1990</v>
      </c>
      <c r="D1568" t="s">
        <v>300</v>
      </c>
      <c r="E1568" t="s">
        <v>462</v>
      </c>
      <c r="F1568">
        <v>1</v>
      </c>
      <c r="G1568">
        <v>1</v>
      </c>
      <c r="H1568" t="s">
        <v>224</v>
      </c>
      <c r="I1568" t="s">
        <v>299</v>
      </c>
      <c r="J1568" t="s">
        <v>300</v>
      </c>
      <c r="K1568" t="b">
        <v>0</v>
      </c>
      <c r="L1568">
        <v>1996</v>
      </c>
      <c r="M1568">
        <v>4030146134</v>
      </c>
      <c r="N1568">
        <v>3989163196</v>
      </c>
      <c r="O1568" t="b">
        <v>0</v>
      </c>
      <c r="P1568">
        <v>0</v>
      </c>
      <c r="Q1568" t="str" cm="1">
        <f t="array" ref="Q1568">_xlfn.IFS(Table1[[#This Row],[Wealthier_Winner]]=-1,"Wealthier Nation Loses",Table1[[#This Row],[Wealthier_Winner]]=0,"Tie",Table1[[#This Row],[Wealthier_Winner]]=1,"Wealthier Nation Wins")</f>
        <v>Tie</v>
      </c>
    </row>
    <row r="1569" spans="1:17" x14ac:dyDescent="0.2">
      <c r="A1569" s="1">
        <v>2872</v>
      </c>
      <c r="B1569" s="2">
        <v>35232</v>
      </c>
      <c r="C1569" s="7">
        <f>_xlfn.FLOOR.MATH(Table1[[#This Row],[year]],10)</f>
        <v>1990</v>
      </c>
      <c r="D1569" t="s">
        <v>342</v>
      </c>
      <c r="E1569" t="s">
        <v>460</v>
      </c>
      <c r="F1569">
        <v>0</v>
      </c>
      <c r="G1569">
        <v>1</v>
      </c>
      <c r="H1569" t="s">
        <v>224</v>
      </c>
      <c r="I1569" t="s">
        <v>344</v>
      </c>
      <c r="J1569" t="s">
        <v>342</v>
      </c>
      <c r="K1569" t="b">
        <v>0</v>
      </c>
      <c r="L1569">
        <v>1996</v>
      </c>
      <c r="M1569">
        <v>941709422</v>
      </c>
      <c r="N1569">
        <v>869033856</v>
      </c>
      <c r="O1569" t="b">
        <v>0</v>
      </c>
      <c r="P1569">
        <v>-1</v>
      </c>
      <c r="Q1569" t="str" cm="1">
        <f t="array" ref="Q1569">_xlfn.IFS(Table1[[#This Row],[Wealthier_Winner]]=-1,"Wealthier Nation Loses",Table1[[#This Row],[Wealthier_Winner]]=0,"Tie",Table1[[#This Row],[Wealthier_Winner]]=1,"Wealthier Nation Wins")</f>
        <v>Wealthier Nation Loses</v>
      </c>
    </row>
    <row r="1570" spans="1:17" x14ac:dyDescent="0.2">
      <c r="A1570" s="1">
        <v>2873</v>
      </c>
      <c r="B1570" s="2">
        <v>35232</v>
      </c>
      <c r="C1570" s="7">
        <f>_xlfn.FLOOR.MATH(Table1[[#This Row],[year]],10)</f>
        <v>1990</v>
      </c>
      <c r="D1570" t="s">
        <v>53</v>
      </c>
      <c r="E1570" t="s">
        <v>514</v>
      </c>
      <c r="F1570">
        <v>2</v>
      </c>
      <c r="G1570">
        <v>0</v>
      </c>
      <c r="H1570" t="s">
        <v>224</v>
      </c>
      <c r="I1570" t="s">
        <v>284</v>
      </c>
      <c r="J1570" t="s">
        <v>53</v>
      </c>
      <c r="K1570" t="b">
        <v>0</v>
      </c>
      <c r="L1570">
        <v>1996</v>
      </c>
      <c r="M1570">
        <v>19587161806</v>
      </c>
      <c r="N1570">
        <v>1382334879</v>
      </c>
      <c r="O1570" t="b">
        <v>1</v>
      </c>
      <c r="P1570">
        <v>1</v>
      </c>
      <c r="Q1570" t="str" cm="1">
        <f t="array" ref="Q1570">_xlfn.IFS(Table1[[#This Row],[Wealthier_Winner]]=-1,"Wealthier Nation Loses",Table1[[#This Row],[Wealthier_Winner]]=0,"Tie",Table1[[#This Row],[Wealthier_Winner]]=1,"Wealthier Nation Wins")</f>
        <v>Wealthier Nation Wins</v>
      </c>
    </row>
    <row r="1571" spans="1:17" x14ac:dyDescent="0.2">
      <c r="A1571" s="1">
        <v>2874</v>
      </c>
      <c r="B1571" s="2">
        <v>35232</v>
      </c>
      <c r="C1571" s="7">
        <f>_xlfn.FLOOR.MATH(Table1[[#This Row],[year]],10)</f>
        <v>1990</v>
      </c>
      <c r="D1571" t="s">
        <v>273</v>
      </c>
      <c r="E1571" t="s">
        <v>274</v>
      </c>
      <c r="F1571">
        <v>3</v>
      </c>
      <c r="G1571">
        <v>0</v>
      </c>
      <c r="H1571" t="s">
        <v>224</v>
      </c>
      <c r="I1571" t="s">
        <v>330</v>
      </c>
      <c r="J1571" t="s">
        <v>273</v>
      </c>
      <c r="K1571" t="b">
        <v>0</v>
      </c>
      <c r="L1571">
        <v>1996</v>
      </c>
      <c r="M1571">
        <v>3597220962</v>
      </c>
      <c r="N1571">
        <v>9018300724</v>
      </c>
      <c r="O1571" t="b">
        <v>1</v>
      </c>
      <c r="P1571">
        <v>-1</v>
      </c>
      <c r="Q1571" t="str" cm="1">
        <f t="array" ref="Q1571">_xlfn.IFS(Table1[[#This Row],[Wealthier_Winner]]=-1,"Wealthier Nation Loses",Table1[[#This Row],[Wealthier_Winner]]=0,"Tie",Table1[[#This Row],[Wealthier_Winner]]=1,"Wealthier Nation Wins")</f>
        <v>Wealthier Nation Loses</v>
      </c>
    </row>
    <row r="1572" spans="1:17" x14ac:dyDescent="0.2">
      <c r="A1572" s="1">
        <v>2875</v>
      </c>
      <c r="B1572" s="2">
        <v>35232</v>
      </c>
      <c r="C1572" s="7">
        <f>_xlfn.FLOOR.MATH(Table1[[#This Row],[year]],10)</f>
        <v>1990</v>
      </c>
      <c r="D1572" t="s">
        <v>298</v>
      </c>
      <c r="E1572" t="s">
        <v>410</v>
      </c>
      <c r="F1572">
        <v>2</v>
      </c>
      <c r="G1572">
        <v>2</v>
      </c>
      <c r="H1572" t="s">
        <v>224</v>
      </c>
      <c r="I1572" t="s">
        <v>377</v>
      </c>
      <c r="J1572" t="s">
        <v>298</v>
      </c>
      <c r="K1572" t="b">
        <v>0</v>
      </c>
      <c r="L1572">
        <v>1996</v>
      </c>
      <c r="M1572">
        <v>8557500000</v>
      </c>
      <c r="N1572">
        <v>4931861038</v>
      </c>
      <c r="O1572" t="b">
        <v>0</v>
      </c>
      <c r="P1572">
        <v>0</v>
      </c>
      <c r="Q1572" t="str" cm="1">
        <f t="array" ref="Q1572">_xlfn.IFS(Table1[[#This Row],[Wealthier_Winner]]=-1,"Wealthier Nation Loses",Table1[[#This Row],[Wealthier_Winner]]=0,"Tie",Table1[[#This Row],[Wealthier_Winner]]=1,"Wealthier Nation Wins")</f>
        <v>Tie</v>
      </c>
    </row>
    <row r="1573" spans="1:17" x14ac:dyDescent="0.2">
      <c r="A1573" s="1">
        <v>2876</v>
      </c>
      <c r="B1573" s="2">
        <v>35233</v>
      </c>
      <c r="C1573" s="7">
        <f>_xlfn.FLOOR.MATH(Table1[[#This Row],[year]],10)</f>
        <v>1990</v>
      </c>
      <c r="D1573" t="s">
        <v>63</v>
      </c>
      <c r="E1573" t="s">
        <v>320</v>
      </c>
      <c r="F1573">
        <v>2</v>
      </c>
      <c r="G1573">
        <v>1</v>
      </c>
      <c r="H1573" t="s">
        <v>224</v>
      </c>
      <c r="I1573" t="s">
        <v>313</v>
      </c>
      <c r="J1573" t="s">
        <v>63</v>
      </c>
      <c r="K1573" t="b">
        <v>0</v>
      </c>
      <c r="L1573">
        <v>1996</v>
      </c>
      <c r="M1573">
        <v>6932991739</v>
      </c>
      <c r="N1573">
        <v>9433528150</v>
      </c>
      <c r="O1573" t="b">
        <v>0</v>
      </c>
      <c r="P1573">
        <v>-1</v>
      </c>
      <c r="Q1573" t="str" cm="1">
        <f t="array" ref="Q1573">_xlfn.IFS(Table1[[#This Row],[Wealthier_Winner]]=-1,"Wealthier Nation Loses",Table1[[#This Row],[Wealthier_Winner]]=0,"Tie",Table1[[#This Row],[Wealthier_Winner]]=1,"Wealthier Nation Wins")</f>
        <v>Wealthier Nation Loses</v>
      </c>
    </row>
    <row r="1574" spans="1:17" x14ac:dyDescent="0.2">
      <c r="A1574" s="1">
        <v>2877</v>
      </c>
      <c r="B1574" s="2">
        <v>35239</v>
      </c>
      <c r="C1574" s="7">
        <f>_xlfn.FLOOR.MATH(Table1[[#This Row],[year]],10)</f>
        <v>1990</v>
      </c>
      <c r="D1574" t="s">
        <v>517</v>
      </c>
      <c r="E1574" t="s">
        <v>70</v>
      </c>
      <c r="F1574">
        <v>6</v>
      </c>
      <c r="G1574">
        <v>1</v>
      </c>
      <c r="H1574" t="s">
        <v>224</v>
      </c>
      <c r="I1574" t="s">
        <v>253</v>
      </c>
      <c r="J1574" t="s">
        <v>59</v>
      </c>
      <c r="K1574" t="b">
        <v>1</v>
      </c>
      <c r="L1574">
        <v>1996</v>
      </c>
      <c r="M1574">
        <v>25017368700</v>
      </c>
      <c r="N1574">
        <v>2907517603</v>
      </c>
      <c r="O1574" t="b">
        <v>1</v>
      </c>
      <c r="P1574">
        <v>1</v>
      </c>
      <c r="Q1574" t="str" cm="1">
        <f t="array" ref="Q1574">_xlfn.IFS(Table1[[#This Row],[Wealthier_Winner]]=-1,"Wealthier Nation Loses",Table1[[#This Row],[Wealthier_Winner]]=0,"Tie",Table1[[#This Row],[Wealthier_Winner]]=1,"Wealthier Nation Wins")</f>
        <v>Wealthier Nation Wins</v>
      </c>
    </row>
    <row r="1575" spans="1:17" x14ac:dyDescent="0.2">
      <c r="A1575" s="1">
        <v>2878</v>
      </c>
      <c r="B1575" s="2">
        <v>35239</v>
      </c>
      <c r="C1575" s="7">
        <f>_xlfn.FLOOR.MATH(Table1[[#This Row],[year]],10)</f>
        <v>1990</v>
      </c>
      <c r="D1575" t="s">
        <v>443</v>
      </c>
      <c r="E1575" t="s">
        <v>49</v>
      </c>
      <c r="F1575">
        <v>0</v>
      </c>
      <c r="G1575">
        <v>1</v>
      </c>
      <c r="H1575" t="s">
        <v>224</v>
      </c>
      <c r="I1575" t="s">
        <v>444</v>
      </c>
      <c r="J1575" t="s">
        <v>443</v>
      </c>
      <c r="K1575" t="b">
        <v>0</v>
      </c>
      <c r="L1575">
        <v>1996</v>
      </c>
      <c r="M1575">
        <v>2363645403</v>
      </c>
      <c r="N1575">
        <v>7393891920</v>
      </c>
      <c r="O1575" t="b">
        <v>1</v>
      </c>
      <c r="P1575">
        <v>1</v>
      </c>
      <c r="Q1575" t="str" cm="1">
        <f t="array" ref="Q1575">_xlfn.IFS(Table1[[#This Row],[Wealthier_Winner]]=-1,"Wealthier Nation Loses",Table1[[#This Row],[Wealthier_Winner]]=0,"Tie",Table1[[#This Row],[Wealthier_Winner]]=1,"Wealthier Nation Wins")</f>
        <v>Wealthier Nation Wins</v>
      </c>
    </row>
    <row r="1576" spans="1:17" x14ac:dyDescent="0.2">
      <c r="A1576" s="1">
        <v>2881</v>
      </c>
      <c r="B1576" s="2">
        <v>35239</v>
      </c>
      <c r="C1576" s="7">
        <f>_xlfn.FLOOR.MATH(Table1[[#This Row],[year]],10)</f>
        <v>1990</v>
      </c>
      <c r="D1576" t="s">
        <v>59</v>
      </c>
      <c r="E1576" t="s">
        <v>496</v>
      </c>
      <c r="F1576">
        <v>8</v>
      </c>
      <c r="G1576">
        <v>0</v>
      </c>
      <c r="H1576" t="s">
        <v>224</v>
      </c>
      <c r="I1576" t="s">
        <v>253</v>
      </c>
      <c r="J1576" t="s">
        <v>59</v>
      </c>
      <c r="K1576" t="b">
        <v>0</v>
      </c>
      <c r="L1576">
        <v>1996</v>
      </c>
      <c r="M1576">
        <v>5759570336</v>
      </c>
      <c r="N1576">
        <v>18241622547</v>
      </c>
      <c r="O1576" t="b">
        <v>1</v>
      </c>
      <c r="P1576">
        <v>-1</v>
      </c>
      <c r="Q1576" t="str" cm="1">
        <f t="array" ref="Q1576">_xlfn.IFS(Table1[[#This Row],[Wealthier_Winner]]=-1,"Wealthier Nation Loses",Table1[[#This Row],[Wealthier_Winner]]=0,"Tie",Table1[[#This Row],[Wealthier_Winner]]=1,"Wealthier Nation Wins")</f>
        <v>Wealthier Nation Loses</v>
      </c>
    </row>
    <row r="1577" spans="1:17" x14ac:dyDescent="0.2">
      <c r="A1577" s="1">
        <v>2882</v>
      </c>
      <c r="B1577" s="2">
        <v>35246</v>
      </c>
      <c r="C1577" s="7">
        <f>_xlfn.FLOOR.MATH(Table1[[#This Row],[year]],10)</f>
        <v>1990</v>
      </c>
      <c r="D1577" t="s">
        <v>70</v>
      </c>
      <c r="E1577" t="s">
        <v>517</v>
      </c>
      <c r="F1577">
        <v>1</v>
      </c>
      <c r="G1577">
        <v>1</v>
      </c>
      <c r="H1577" t="s">
        <v>224</v>
      </c>
      <c r="I1577" t="s">
        <v>518</v>
      </c>
      <c r="J1577" t="s">
        <v>70</v>
      </c>
      <c r="K1577" t="b">
        <v>0</v>
      </c>
      <c r="L1577">
        <v>1996</v>
      </c>
      <c r="M1577">
        <v>2907517603</v>
      </c>
      <c r="N1577">
        <v>25017368700</v>
      </c>
      <c r="O1577" t="b">
        <v>1</v>
      </c>
      <c r="P1577">
        <v>0</v>
      </c>
      <c r="Q1577" t="str" cm="1">
        <f t="array" ref="Q1577">_xlfn.IFS(Table1[[#This Row],[Wealthier_Winner]]=-1,"Wealthier Nation Loses",Table1[[#This Row],[Wealthier_Winner]]=0,"Tie",Table1[[#This Row],[Wealthier_Winner]]=1,"Wealthier Nation Wins")</f>
        <v>Tie</v>
      </c>
    </row>
    <row r="1578" spans="1:17" x14ac:dyDescent="0.2">
      <c r="A1578" s="1">
        <v>2883</v>
      </c>
      <c r="B1578" s="2">
        <v>35246</v>
      </c>
      <c r="C1578" s="7">
        <f>_xlfn.FLOOR.MATH(Table1[[#This Row],[year]],10)</f>
        <v>1990</v>
      </c>
      <c r="D1578" t="s">
        <v>49</v>
      </c>
      <c r="E1578" t="s">
        <v>443</v>
      </c>
      <c r="F1578">
        <v>2</v>
      </c>
      <c r="G1578">
        <v>0</v>
      </c>
      <c r="H1578" t="s">
        <v>224</v>
      </c>
      <c r="I1578" t="s">
        <v>257</v>
      </c>
      <c r="J1578" t="s">
        <v>49</v>
      </c>
      <c r="K1578" t="b">
        <v>0</v>
      </c>
      <c r="L1578">
        <v>1996</v>
      </c>
      <c r="M1578">
        <v>7393891920</v>
      </c>
      <c r="N1578">
        <v>2363645403</v>
      </c>
      <c r="O1578" t="b">
        <v>1</v>
      </c>
      <c r="P1578">
        <v>1</v>
      </c>
      <c r="Q1578" t="str" cm="1">
        <f t="array" ref="Q1578">_xlfn.IFS(Table1[[#This Row],[Wealthier_Winner]]=-1,"Wealthier Nation Loses",Table1[[#This Row],[Wealthier_Winner]]=0,"Tie",Table1[[#This Row],[Wealthier_Winner]]=1,"Wealthier Nation Wins")</f>
        <v>Wealthier Nation Wins</v>
      </c>
    </row>
    <row r="1579" spans="1:17" x14ac:dyDescent="0.2">
      <c r="A1579" s="1">
        <v>2885</v>
      </c>
      <c r="B1579" s="2">
        <v>35252</v>
      </c>
      <c r="C1579" s="7">
        <f>_xlfn.FLOOR.MATH(Table1[[#This Row],[year]],10)</f>
        <v>1990</v>
      </c>
      <c r="D1579" t="s">
        <v>14</v>
      </c>
      <c r="E1579" t="s">
        <v>57</v>
      </c>
      <c r="F1579">
        <v>4</v>
      </c>
      <c r="G1579">
        <v>1</v>
      </c>
      <c r="H1579" t="s">
        <v>224</v>
      </c>
      <c r="I1579" t="s">
        <v>75</v>
      </c>
      <c r="J1579" t="s">
        <v>14</v>
      </c>
      <c r="K1579" t="b">
        <v>0</v>
      </c>
      <c r="L1579">
        <v>1996</v>
      </c>
      <c r="M1579">
        <v>78584098983</v>
      </c>
      <c r="N1579">
        <v>25226393196</v>
      </c>
      <c r="O1579" t="b">
        <v>1</v>
      </c>
      <c r="P1579">
        <v>1</v>
      </c>
      <c r="Q1579" t="str" cm="1">
        <f t="array" ref="Q1579">_xlfn.IFS(Table1[[#This Row],[Wealthier_Winner]]=-1,"Wealthier Nation Loses",Table1[[#This Row],[Wealthier_Winner]]=0,"Tie",Table1[[#This Row],[Wealthier_Winner]]=1,"Wealthier Nation Wins")</f>
        <v>Wealthier Nation Wins</v>
      </c>
    </row>
    <row r="1580" spans="1:17" x14ac:dyDescent="0.2">
      <c r="A1580" s="1">
        <v>2886</v>
      </c>
      <c r="B1580" s="2">
        <v>35253</v>
      </c>
      <c r="C1580" s="7">
        <f>_xlfn.FLOOR.MATH(Table1[[#This Row],[year]],10)</f>
        <v>1990</v>
      </c>
      <c r="D1580" t="s">
        <v>47</v>
      </c>
      <c r="E1580" t="s">
        <v>258</v>
      </c>
      <c r="F1580">
        <v>6</v>
      </c>
      <c r="G1580">
        <v>1</v>
      </c>
      <c r="H1580" t="s">
        <v>224</v>
      </c>
      <c r="I1580" t="s">
        <v>246</v>
      </c>
      <c r="J1580" t="s">
        <v>47</v>
      </c>
      <c r="K1580" t="b">
        <v>0</v>
      </c>
      <c r="L1580">
        <v>1996</v>
      </c>
      <c r="M1580">
        <v>7396949126</v>
      </c>
      <c r="N1580">
        <v>70543211119</v>
      </c>
      <c r="O1580" t="b">
        <v>1</v>
      </c>
      <c r="P1580">
        <v>-1</v>
      </c>
      <c r="Q1580" t="str" cm="1">
        <f t="array" ref="Q1580">_xlfn.IFS(Table1[[#This Row],[Wealthier_Winner]]=-1,"Wealthier Nation Loses",Table1[[#This Row],[Wealthier_Winner]]=0,"Tie",Table1[[#This Row],[Wealthier_Winner]]=1,"Wealthier Nation Wins")</f>
        <v>Wealthier Nation Loses</v>
      </c>
    </row>
    <row r="1581" spans="1:17" x14ac:dyDescent="0.2">
      <c r="A1581" s="1">
        <v>2887</v>
      </c>
      <c r="B1581" s="2">
        <v>35253</v>
      </c>
      <c r="C1581" s="7">
        <f>_xlfn.FLOOR.MATH(Table1[[#This Row],[year]],10)</f>
        <v>1990</v>
      </c>
      <c r="D1581" t="s">
        <v>15</v>
      </c>
      <c r="E1581" t="s">
        <v>26</v>
      </c>
      <c r="F1581">
        <v>3</v>
      </c>
      <c r="G1581">
        <v>1</v>
      </c>
      <c r="H1581" t="s">
        <v>224</v>
      </c>
      <c r="I1581" t="s">
        <v>261</v>
      </c>
      <c r="J1581" t="s">
        <v>15</v>
      </c>
      <c r="K1581" t="b">
        <v>0</v>
      </c>
      <c r="L1581">
        <v>1996</v>
      </c>
      <c r="M1581">
        <v>97160109277</v>
      </c>
      <c r="N1581">
        <v>20515458113</v>
      </c>
      <c r="O1581" t="b">
        <v>1</v>
      </c>
      <c r="P1581">
        <v>1</v>
      </c>
      <c r="Q1581" t="str" cm="1">
        <f t="array" ref="Q1581">_xlfn.IFS(Table1[[#This Row],[Wealthier_Winner]]=-1,"Wealthier Nation Loses",Table1[[#This Row],[Wealthier_Winner]]=0,"Tie",Table1[[#This Row],[Wealthier_Winner]]=1,"Wealthier Nation Wins")</f>
        <v>Wealthier Nation Wins</v>
      </c>
    </row>
    <row r="1582" spans="1:17" x14ac:dyDescent="0.2">
      <c r="A1582" s="1">
        <v>2888</v>
      </c>
      <c r="B1582" s="2">
        <v>35253</v>
      </c>
      <c r="C1582" s="7">
        <f>_xlfn.FLOOR.MATH(Table1[[#This Row],[year]],10)</f>
        <v>1990</v>
      </c>
      <c r="D1582" t="s">
        <v>31</v>
      </c>
      <c r="E1582" t="s">
        <v>19</v>
      </c>
      <c r="F1582">
        <v>0</v>
      </c>
      <c r="G1582">
        <v>0</v>
      </c>
      <c r="H1582" t="s">
        <v>224</v>
      </c>
      <c r="I1582" t="s">
        <v>242</v>
      </c>
      <c r="J1582" t="s">
        <v>31</v>
      </c>
      <c r="K1582" t="b">
        <v>0</v>
      </c>
      <c r="L1582">
        <v>1996</v>
      </c>
      <c r="M1582">
        <v>55252414130</v>
      </c>
      <c r="N1582">
        <v>272149750000</v>
      </c>
      <c r="O1582" t="b">
        <v>1</v>
      </c>
      <c r="P1582">
        <v>0</v>
      </c>
      <c r="Q1582" t="str" cm="1">
        <f t="array" ref="Q1582">_xlfn.IFS(Table1[[#This Row],[Wealthier_Winner]]=-1,"Wealthier Nation Loses",Table1[[#This Row],[Wealthier_Winner]]=0,"Tie",Table1[[#This Row],[Wealthier_Winner]]=1,"Wealthier Nation Wins")</f>
        <v>Tie</v>
      </c>
    </row>
    <row r="1583" spans="1:17" x14ac:dyDescent="0.2">
      <c r="A1583" s="1">
        <v>2889</v>
      </c>
      <c r="B1583" s="2">
        <v>35307</v>
      </c>
      <c r="C1583" s="7">
        <f>_xlfn.FLOOR.MATH(Table1[[#This Row],[year]],10)</f>
        <v>1990</v>
      </c>
      <c r="D1583" t="s">
        <v>34</v>
      </c>
      <c r="E1583" t="s">
        <v>67</v>
      </c>
      <c r="F1583">
        <v>3</v>
      </c>
      <c r="G1583">
        <v>1</v>
      </c>
      <c r="H1583" t="s">
        <v>224</v>
      </c>
      <c r="I1583" t="s">
        <v>488</v>
      </c>
      <c r="J1583" t="s">
        <v>34</v>
      </c>
      <c r="K1583" t="b">
        <v>0</v>
      </c>
      <c r="L1583">
        <v>1996</v>
      </c>
      <c r="M1583">
        <v>630607994132</v>
      </c>
      <c r="N1583">
        <v>9197503322</v>
      </c>
      <c r="O1583" t="b">
        <v>1</v>
      </c>
      <c r="P1583">
        <v>1</v>
      </c>
      <c r="Q1583" t="str" cm="1">
        <f t="array" ref="Q1583">_xlfn.IFS(Table1[[#This Row],[Wealthier_Winner]]=-1,"Wealthier Nation Loses",Table1[[#This Row],[Wealthier_Winner]]=0,"Tie",Table1[[#This Row],[Wealthier_Winner]]=1,"Wealthier Nation Wins")</f>
        <v>Wealthier Nation Wins</v>
      </c>
    </row>
    <row r="1584" spans="1:17" x14ac:dyDescent="0.2">
      <c r="A1584" s="1">
        <v>2890</v>
      </c>
      <c r="B1584" s="2">
        <v>35308</v>
      </c>
      <c r="C1584" s="7">
        <f>_xlfn.FLOOR.MATH(Table1[[#This Row],[year]],10)</f>
        <v>1990</v>
      </c>
      <c r="D1584" t="s">
        <v>519</v>
      </c>
      <c r="E1584" t="s">
        <v>38</v>
      </c>
      <c r="F1584">
        <v>0</v>
      </c>
      <c r="G1584">
        <v>0</v>
      </c>
      <c r="H1584" t="s">
        <v>224</v>
      </c>
      <c r="I1584" t="s">
        <v>520</v>
      </c>
      <c r="J1584" t="s">
        <v>519</v>
      </c>
      <c r="K1584" t="b">
        <v>0</v>
      </c>
      <c r="L1584">
        <v>1996</v>
      </c>
      <c r="M1584">
        <v>1596968946</v>
      </c>
      <c r="N1584">
        <v>122630089680</v>
      </c>
      <c r="O1584" t="b">
        <v>1</v>
      </c>
      <c r="P1584">
        <v>0</v>
      </c>
      <c r="Q1584" t="str" cm="1">
        <f t="array" ref="Q1584">_xlfn.IFS(Table1[[#This Row],[Wealthier_Winner]]=-1,"Wealthier Nation Loses",Table1[[#This Row],[Wealthier_Winner]]=0,"Tie",Table1[[#This Row],[Wealthier_Winner]]=1,"Wealthier Nation Wins")</f>
        <v>Tie</v>
      </c>
    </row>
    <row r="1585" spans="1:17" x14ac:dyDescent="0.2">
      <c r="A1585" s="1">
        <v>2892</v>
      </c>
      <c r="B1585" s="2">
        <v>35308</v>
      </c>
      <c r="C1585" s="7">
        <f>_xlfn.FLOOR.MATH(Table1[[#This Row],[year]],10)</f>
        <v>1990</v>
      </c>
      <c r="D1585" t="s">
        <v>513</v>
      </c>
      <c r="E1585" t="s">
        <v>46</v>
      </c>
      <c r="F1585">
        <v>1</v>
      </c>
      <c r="G1585">
        <v>0</v>
      </c>
      <c r="H1585" t="s">
        <v>224</v>
      </c>
      <c r="I1585" t="s">
        <v>521</v>
      </c>
      <c r="J1585" t="s">
        <v>513</v>
      </c>
      <c r="K1585" t="b">
        <v>0</v>
      </c>
      <c r="L1585">
        <v>1996</v>
      </c>
      <c r="M1585">
        <v>3176507376</v>
      </c>
      <c r="N1585">
        <v>340103959546</v>
      </c>
      <c r="O1585" t="b">
        <v>1</v>
      </c>
      <c r="P1585">
        <v>-1</v>
      </c>
      <c r="Q1585" t="str" cm="1">
        <f t="array" ref="Q1585">_xlfn.IFS(Table1[[#This Row],[Wealthier_Winner]]=-1,"Wealthier Nation Loses",Table1[[#This Row],[Wealthier_Winner]]=0,"Tie",Table1[[#This Row],[Wealthier_Winner]]=1,"Wealthier Nation Wins")</f>
        <v>Wealthier Nation Loses</v>
      </c>
    </row>
    <row r="1586" spans="1:17" x14ac:dyDescent="0.2">
      <c r="A1586" s="1">
        <v>2893</v>
      </c>
      <c r="B1586" s="2">
        <v>35308</v>
      </c>
      <c r="C1586" s="7">
        <f>_xlfn.FLOOR.MATH(Table1[[#This Row],[year]],10)</f>
        <v>1990</v>
      </c>
      <c r="D1586" t="s">
        <v>510</v>
      </c>
      <c r="E1586" t="s">
        <v>476</v>
      </c>
      <c r="F1586">
        <v>1</v>
      </c>
      <c r="G1586">
        <v>0</v>
      </c>
      <c r="H1586" t="s">
        <v>224</v>
      </c>
      <c r="I1586" t="s">
        <v>522</v>
      </c>
      <c r="J1586" t="s">
        <v>510</v>
      </c>
      <c r="K1586" t="b">
        <v>0</v>
      </c>
      <c r="L1586">
        <v>1996</v>
      </c>
      <c r="M1586">
        <v>14500437519</v>
      </c>
      <c r="N1586">
        <v>4786018988</v>
      </c>
      <c r="O1586" t="b">
        <v>1</v>
      </c>
      <c r="P1586">
        <v>1</v>
      </c>
      <c r="Q1586" t="str" cm="1">
        <f t="array" ref="Q1586">_xlfn.IFS(Table1[[#This Row],[Wealthier_Winner]]=-1,"Wealthier Nation Loses",Table1[[#This Row],[Wealthier_Winner]]=0,"Tie",Table1[[#This Row],[Wealthier_Winner]]=1,"Wealthier Nation Wins")</f>
        <v>Wealthier Nation Wins</v>
      </c>
    </row>
    <row r="1587" spans="1:17" x14ac:dyDescent="0.2">
      <c r="A1587" s="1">
        <v>2898</v>
      </c>
      <c r="B1587" s="2">
        <v>35308</v>
      </c>
      <c r="C1587" s="7">
        <f>_xlfn.FLOOR.MATH(Table1[[#This Row],[year]],10)</f>
        <v>1990</v>
      </c>
      <c r="D1587" t="s">
        <v>44</v>
      </c>
      <c r="E1587" t="s">
        <v>523</v>
      </c>
      <c r="F1587">
        <v>3</v>
      </c>
      <c r="G1587">
        <v>0</v>
      </c>
      <c r="H1587" t="s">
        <v>224</v>
      </c>
      <c r="I1587" t="s">
        <v>425</v>
      </c>
      <c r="J1587" t="s">
        <v>44</v>
      </c>
      <c r="K1587" t="b">
        <v>0</v>
      </c>
      <c r="L1587">
        <v>1996</v>
      </c>
      <c r="M1587">
        <v>36937074278</v>
      </c>
      <c r="N1587">
        <v>8430207164</v>
      </c>
      <c r="O1587" t="b">
        <v>1</v>
      </c>
      <c r="P1587">
        <v>1</v>
      </c>
      <c r="Q1587" t="str" cm="1">
        <f t="array" ref="Q1587">_xlfn.IFS(Table1[[#This Row],[Wealthier_Winner]]=-1,"Wealthier Nation Loses",Table1[[#This Row],[Wealthier_Winner]]=0,"Tie",Table1[[#This Row],[Wealthier_Winner]]=1,"Wealthier Nation Wins")</f>
        <v>Wealthier Nation Wins</v>
      </c>
    </row>
    <row r="1588" spans="1:17" x14ac:dyDescent="0.2">
      <c r="A1588" s="1">
        <v>2900</v>
      </c>
      <c r="B1588" s="2">
        <v>35309</v>
      </c>
      <c r="C1588" s="7">
        <f>_xlfn.FLOOR.MATH(Table1[[#This Row],[year]],10)</f>
        <v>1990</v>
      </c>
      <c r="D1588" t="s">
        <v>19</v>
      </c>
      <c r="E1588" t="s">
        <v>35</v>
      </c>
      <c r="F1588">
        <v>1</v>
      </c>
      <c r="G1588">
        <v>1</v>
      </c>
      <c r="H1588" t="s">
        <v>224</v>
      </c>
      <c r="I1588" t="s">
        <v>93</v>
      </c>
      <c r="J1588" t="s">
        <v>19</v>
      </c>
      <c r="K1588" t="b">
        <v>0</v>
      </c>
      <c r="L1588">
        <v>1996</v>
      </c>
      <c r="M1588">
        <v>272149750000</v>
      </c>
      <c r="N1588">
        <v>9788391780</v>
      </c>
      <c r="O1588" t="b">
        <v>1</v>
      </c>
      <c r="P1588">
        <v>0</v>
      </c>
      <c r="Q1588" t="str" cm="1">
        <f t="array" ref="Q1588">_xlfn.IFS(Table1[[#This Row],[Wealthier_Winner]]=-1,"Wealthier Nation Loses",Table1[[#This Row],[Wealthier_Winner]]=0,"Tie",Table1[[#This Row],[Wealthier_Winner]]=1,"Wealthier Nation Wins")</f>
        <v>Tie</v>
      </c>
    </row>
    <row r="1589" spans="1:17" x14ac:dyDescent="0.2">
      <c r="A1589" s="1">
        <v>2901</v>
      </c>
      <c r="B1589" s="2">
        <v>35309</v>
      </c>
      <c r="C1589" s="7">
        <f>_xlfn.FLOOR.MATH(Table1[[#This Row],[year]],10)</f>
        <v>1990</v>
      </c>
      <c r="D1589" t="s">
        <v>47</v>
      </c>
      <c r="E1589" t="s">
        <v>31</v>
      </c>
      <c r="F1589">
        <v>0</v>
      </c>
      <c r="G1589">
        <v>0</v>
      </c>
      <c r="H1589" t="s">
        <v>224</v>
      </c>
      <c r="I1589" t="s">
        <v>246</v>
      </c>
      <c r="J1589" t="s">
        <v>47</v>
      </c>
      <c r="K1589" t="b">
        <v>0</v>
      </c>
      <c r="L1589">
        <v>1996</v>
      </c>
      <c r="M1589">
        <v>7396949126</v>
      </c>
      <c r="N1589">
        <v>55252414130</v>
      </c>
      <c r="O1589" t="b">
        <v>1</v>
      </c>
      <c r="P1589">
        <v>0</v>
      </c>
      <c r="Q1589" t="str" cm="1">
        <f t="array" ref="Q1589">_xlfn.IFS(Table1[[#This Row],[Wealthier_Winner]]=-1,"Wealthier Nation Loses",Table1[[#This Row],[Wealthier_Winner]]=0,"Tie",Table1[[#This Row],[Wealthier_Winner]]=1,"Wealthier Nation Wins")</f>
        <v>Tie</v>
      </c>
    </row>
    <row r="1590" spans="1:17" x14ac:dyDescent="0.2">
      <c r="A1590" s="1">
        <v>2902</v>
      </c>
      <c r="B1590" s="2">
        <v>35309</v>
      </c>
      <c r="C1590" s="7">
        <f>_xlfn.FLOOR.MATH(Table1[[#This Row],[year]],10)</f>
        <v>1990</v>
      </c>
      <c r="D1590" t="s">
        <v>15</v>
      </c>
      <c r="E1590" t="s">
        <v>14</v>
      </c>
      <c r="F1590">
        <v>4</v>
      </c>
      <c r="G1590">
        <v>1</v>
      </c>
      <c r="H1590" t="s">
        <v>224</v>
      </c>
      <c r="I1590" t="s">
        <v>261</v>
      </c>
      <c r="J1590" t="s">
        <v>15</v>
      </c>
      <c r="K1590" t="b">
        <v>0</v>
      </c>
      <c r="L1590">
        <v>1996</v>
      </c>
      <c r="M1590">
        <v>97160109277</v>
      </c>
      <c r="N1590">
        <v>78584098983</v>
      </c>
      <c r="O1590" t="b">
        <v>0</v>
      </c>
      <c r="P1590">
        <v>1</v>
      </c>
      <c r="Q1590" t="str" cm="1">
        <f t="array" ref="Q1590">_xlfn.IFS(Table1[[#This Row],[Wealthier_Winner]]=-1,"Wealthier Nation Loses",Table1[[#This Row],[Wealthier_Winner]]=0,"Tie",Table1[[#This Row],[Wealthier_Winner]]=1,"Wealthier Nation Wins")</f>
        <v>Wealthier Nation Wins</v>
      </c>
    </row>
    <row r="1591" spans="1:17" x14ac:dyDescent="0.2">
      <c r="A1591" s="1">
        <v>2903</v>
      </c>
      <c r="B1591" s="2">
        <v>35309</v>
      </c>
      <c r="C1591" s="7">
        <f>_xlfn.FLOOR.MATH(Table1[[#This Row],[year]],10)</f>
        <v>1990</v>
      </c>
      <c r="D1591" t="s">
        <v>57</v>
      </c>
      <c r="E1591" t="s">
        <v>258</v>
      </c>
      <c r="F1591">
        <v>1</v>
      </c>
      <c r="G1591">
        <v>0</v>
      </c>
      <c r="H1591" t="s">
        <v>224</v>
      </c>
      <c r="I1591" t="s">
        <v>335</v>
      </c>
      <c r="J1591" t="s">
        <v>57</v>
      </c>
      <c r="K1591" t="b">
        <v>0</v>
      </c>
      <c r="L1591">
        <v>1996</v>
      </c>
      <c r="M1591">
        <v>25226393196</v>
      </c>
      <c r="N1591">
        <v>70543211119</v>
      </c>
      <c r="O1591" t="b">
        <v>1</v>
      </c>
      <c r="P1591">
        <v>-1</v>
      </c>
      <c r="Q1591" t="str" cm="1">
        <f t="array" ref="Q1591">_xlfn.IFS(Table1[[#This Row],[Wealthier_Winner]]=-1,"Wealthier Nation Loses",Table1[[#This Row],[Wealthier_Winner]]=0,"Tie",Table1[[#This Row],[Wealthier_Winner]]=1,"Wealthier Nation Wins")</f>
        <v>Wealthier Nation Loses</v>
      </c>
    </row>
    <row r="1592" spans="1:17" x14ac:dyDescent="0.2">
      <c r="A1592" s="1">
        <v>2904</v>
      </c>
      <c r="B1592" s="2">
        <v>35309</v>
      </c>
      <c r="C1592" s="7">
        <f>_xlfn.FLOOR.MATH(Table1[[#This Row],[year]],10)</f>
        <v>1990</v>
      </c>
      <c r="D1592" t="s">
        <v>48</v>
      </c>
      <c r="E1592" t="s">
        <v>73</v>
      </c>
      <c r="F1592">
        <v>3</v>
      </c>
      <c r="G1592">
        <v>0</v>
      </c>
      <c r="H1592" t="s">
        <v>224</v>
      </c>
      <c r="I1592" t="s">
        <v>524</v>
      </c>
      <c r="J1592" t="s">
        <v>48</v>
      </c>
      <c r="K1592" t="b">
        <v>0</v>
      </c>
      <c r="L1592">
        <v>1996</v>
      </c>
      <c r="M1592">
        <v>142502984144</v>
      </c>
      <c r="N1592">
        <v>2786045321</v>
      </c>
      <c r="O1592" t="b">
        <v>1</v>
      </c>
      <c r="P1592">
        <v>1</v>
      </c>
      <c r="Q1592" t="str" cm="1">
        <f t="array" ref="Q1592">_xlfn.IFS(Table1[[#This Row],[Wealthier_Winner]]=-1,"Wealthier Nation Loses",Table1[[#This Row],[Wealthier_Winner]]=0,"Tie",Table1[[#This Row],[Wealthier_Winner]]=1,"Wealthier Nation Wins")</f>
        <v>Wealthier Nation Wins</v>
      </c>
    </row>
    <row r="1593" spans="1:17" x14ac:dyDescent="0.2">
      <c r="A1593" s="1">
        <v>2905</v>
      </c>
      <c r="B1593" s="2">
        <v>35309</v>
      </c>
      <c r="C1593" s="7">
        <f>_xlfn.FLOOR.MATH(Table1[[#This Row],[year]],10)</f>
        <v>1990</v>
      </c>
      <c r="D1593" t="s">
        <v>30</v>
      </c>
      <c r="E1593" t="s">
        <v>230</v>
      </c>
      <c r="F1593">
        <v>1</v>
      </c>
      <c r="G1593">
        <v>0</v>
      </c>
      <c r="H1593" t="s">
        <v>224</v>
      </c>
      <c r="I1593" t="s">
        <v>297</v>
      </c>
      <c r="J1593" t="s">
        <v>30</v>
      </c>
      <c r="K1593" t="b">
        <v>0</v>
      </c>
      <c r="L1593">
        <v>1996</v>
      </c>
      <c r="M1593">
        <v>46833767123</v>
      </c>
      <c r="N1593">
        <v>131991975148</v>
      </c>
      <c r="O1593" t="b">
        <v>1</v>
      </c>
      <c r="P1593">
        <v>-1</v>
      </c>
      <c r="Q1593" t="str" cm="1">
        <f t="array" ref="Q1593">_xlfn.IFS(Table1[[#This Row],[Wealthier_Winner]]=-1,"Wealthier Nation Loses",Table1[[#This Row],[Wealthier_Winner]]=0,"Tie",Table1[[#This Row],[Wealthier_Winner]]=1,"Wealthier Nation Wins")</f>
        <v>Wealthier Nation Loses</v>
      </c>
    </row>
    <row r="1594" spans="1:17" x14ac:dyDescent="0.2">
      <c r="A1594" s="1">
        <v>2906</v>
      </c>
      <c r="B1594" s="2">
        <v>35309</v>
      </c>
      <c r="C1594" s="7">
        <f>_xlfn.FLOOR.MATH(Table1[[#This Row],[year]],10)</f>
        <v>1990</v>
      </c>
      <c r="D1594" t="s">
        <v>22</v>
      </c>
      <c r="E1594" t="s">
        <v>33</v>
      </c>
      <c r="F1594">
        <v>2</v>
      </c>
      <c r="G1594">
        <v>1</v>
      </c>
      <c r="H1594" t="s">
        <v>224</v>
      </c>
      <c r="I1594" t="s">
        <v>239</v>
      </c>
      <c r="J1594" t="s">
        <v>22</v>
      </c>
      <c r="K1594" t="b">
        <v>0</v>
      </c>
      <c r="L1594">
        <v>1996</v>
      </c>
      <c r="M1594">
        <v>115116595544</v>
      </c>
      <c r="N1594">
        <v>12294964837</v>
      </c>
      <c r="O1594" t="b">
        <v>1</v>
      </c>
      <c r="P1594">
        <v>1</v>
      </c>
      <c r="Q1594" t="str" cm="1">
        <f t="array" ref="Q1594">_xlfn.IFS(Table1[[#This Row],[Wealthier_Winner]]=-1,"Wealthier Nation Loses",Table1[[#This Row],[Wealthier_Winner]]=0,"Tie",Table1[[#This Row],[Wealthier_Winner]]=1,"Wealthier Nation Wins")</f>
        <v>Wealthier Nation Wins</v>
      </c>
    </row>
    <row r="1595" spans="1:17" x14ac:dyDescent="0.2">
      <c r="A1595" s="1">
        <v>2907</v>
      </c>
      <c r="B1595" s="2">
        <v>35309</v>
      </c>
      <c r="C1595" s="7">
        <f>_xlfn.FLOOR.MATH(Table1[[#This Row],[year]],10)</f>
        <v>1990</v>
      </c>
      <c r="D1595" t="s">
        <v>525</v>
      </c>
      <c r="E1595" t="s">
        <v>25</v>
      </c>
      <c r="F1595">
        <v>1</v>
      </c>
      <c r="G1595">
        <v>2</v>
      </c>
      <c r="H1595" t="s">
        <v>224</v>
      </c>
      <c r="I1595" t="s">
        <v>526</v>
      </c>
      <c r="J1595" t="s">
        <v>525</v>
      </c>
      <c r="K1595" t="b">
        <v>0</v>
      </c>
      <c r="L1595">
        <v>1996</v>
      </c>
      <c r="M1595">
        <v>5799465288</v>
      </c>
      <c r="N1595">
        <v>291949597375</v>
      </c>
      <c r="O1595" t="b">
        <v>1</v>
      </c>
      <c r="P1595">
        <v>1</v>
      </c>
      <c r="Q1595" t="str" cm="1">
        <f t="array" ref="Q1595">_xlfn.IFS(Table1[[#This Row],[Wealthier_Winner]]=-1,"Wealthier Nation Loses",Table1[[#This Row],[Wealthier_Winner]]=0,"Tie",Table1[[#This Row],[Wealthier_Winner]]=1,"Wealthier Nation Wins")</f>
        <v>Wealthier Nation Wins</v>
      </c>
    </row>
    <row r="1596" spans="1:17" x14ac:dyDescent="0.2">
      <c r="A1596" s="1">
        <v>2908</v>
      </c>
      <c r="B1596" s="2">
        <v>35309</v>
      </c>
      <c r="C1596" s="7">
        <f>_xlfn.FLOOR.MATH(Table1[[#This Row],[year]],10)</f>
        <v>1990</v>
      </c>
      <c r="D1596" t="s">
        <v>527</v>
      </c>
      <c r="E1596" t="s">
        <v>194</v>
      </c>
      <c r="F1596">
        <v>0</v>
      </c>
      <c r="G1596">
        <v>3</v>
      </c>
      <c r="H1596" t="s">
        <v>224</v>
      </c>
      <c r="I1596" t="s">
        <v>528</v>
      </c>
      <c r="J1596" t="s">
        <v>527</v>
      </c>
      <c r="K1596" t="b">
        <v>0</v>
      </c>
      <c r="L1596">
        <v>1996</v>
      </c>
      <c r="M1596">
        <v>1695122173</v>
      </c>
      <c r="N1596">
        <v>1425287051482</v>
      </c>
      <c r="O1596" t="b">
        <v>1</v>
      </c>
      <c r="P1596">
        <v>1</v>
      </c>
      <c r="Q1596" t="str" cm="1">
        <f t="array" ref="Q1596">_xlfn.IFS(Table1[[#This Row],[Wealthier_Winner]]=-1,"Wealthier Nation Loses",Table1[[#This Row],[Wealthier_Winner]]=0,"Tie",Table1[[#This Row],[Wealthier_Winner]]=1,"Wealthier Nation Wins")</f>
        <v>Wealthier Nation Wins</v>
      </c>
    </row>
    <row r="1597" spans="1:17" x14ac:dyDescent="0.2">
      <c r="A1597" s="1">
        <v>2909</v>
      </c>
      <c r="B1597" s="2">
        <v>35309</v>
      </c>
      <c r="C1597" s="7">
        <f>_xlfn.FLOOR.MATH(Table1[[#This Row],[year]],10)</f>
        <v>1990</v>
      </c>
      <c r="D1597" t="s">
        <v>196</v>
      </c>
      <c r="E1597" t="s">
        <v>351</v>
      </c>
      <c r="F1597">
        <v>4</v>
      </c>
      <c r="G1597">
        <v>0</v>
      </c>
      <c r="H1597" t="s">
        <v>224</v>
      </c>
      <c r="I1597" t="s">
        <v>180</v>
      </c>
      <c r="J1597" t="s">
        <v>196</v>
      </c>
      <c r="K1597" t="b">
        <v>0</v>
      </c>
      <c r="L1597">
        <v>1996</v>
      </c>
      <c r="M1597">
        <v>391724890744</v>
      </c>
      <c r="N1597">
        <v>10011914680</v>
      </c>
      <c r="O1597" t="b">
        <v>1</v>
      </c>
      <c r="P1597">
        <v>1</v>
      </c>
      <c r="Q1597" t="str" cm="1">
        <f t="array" ref="Q1597">_xlfn.IFS(Table1[[#This Row],[Wealthier_Winner]]=-1,"Wealthier Nation Loses",Table1[[#This Row],[Wealthier_Winner]]=0,"Tie",Table1[[#This Row],[Wealthier_Winner]]=1,"Wealthier Nation Wins")</f>
        <v>Wealthier Nation Wins</v>
      </c>
    </row>
    <row r="1598" spans="1:17" x14ac:dyDescent="0.2">
      <c r="A1598" s="1">
        <v>2910</v>
      </c>
      <c r="B1598" s="2">
        <v>35309</v>
      </c>
      <c r="C1598" s="7">
        <f>_xlfn.FLOOR.MATH(Table1[[#This Row],[year]],10)</f>
        <v>1990</v>
      </c>
      <c r="D1598" t="s">
        <v>55</v>
      </c>
      <c r="E1598" t="s">
        <v>36</v>
      </c>
      <c r="F1598">
        <v>0</v>
      </c>
      <c r="G1598">
        <v>2</v>
      </c>
      <c r="H1598" t="s">
        <v>224</v>
      </c>
      <c r="I1598" t="s">
        <v>529</v>
      </c>
      <c r="J1598" t="s">
        <v>55</v>
      </c>
      <c r="K1598" t="b">
        <v>0</v>
      </c>
      <c r="L1598">
        <v>1996</v>
      </c>
      <c r="M1598">
        <v>21470699362</v>
      </c>
      <c r="N1598">
        <v>187481157845</v>
      </c>
      <c r="O1598" t="b">
        <v>1</v>
      </c>
      <c r="P1598">
        <v>1</v>
      </c>
      <c r="Q1598" t="str" cm="1">
        <f t="array" ref="Q1598">_xlfn.IFS(Table1[[#This Row],[Wealthier_Winner]]=-1,"Wealthier Nation Loses",Table1[[#This Row],[Wealthier_Winner]]=0,"Tie",Table1[[#This Row],[Wealthier_Winner]]=1,"Wealthier Nation Wins")</f>
        <v>Wealthier Nation Wins</v>
      </c>
    </row>
    <row r="1599" spans="1:17" x14ac:dyDescent="0.2">
      <c r="A1599" s="1">
        <v>2911</v>
      </c>
      <c r="B1599" s="2">
        <v>35309</v>
      </c>
      <c r="C1599" s="7">
        <f>_xlfn.FLOOR.MATH(Table1[[#This Row],[year]],10)</f>
        <v>1990</v>
      </c>
      <c r="D1599" t="s">
        <v>59</v>
      </c>
      <c r="E1599" t="s">
        <v>56</v>
      </c>
      <c r="F1599">
        <v>0</v>
      </c>
      <c r="G1599">
        <v>1</v>
      </c>
      <c r="H1599" t="s">
        <v>224</v>
      </c>
      <c r="I1599" t="s">
        <v>253</v>
      </c>
      <c r="J1599" t="s">
        <v>59</v>
      </c>
      <c r="K1599" t="b">
        <v>0</v>
      </c>
      <c r="L1599">
        <v>1996</v>
      </c>
      <c r="M1599">
        <v>5759570336</v>
      </c>
      <c r="N1599">
        <v>11678424507</v>
      </c>
      <c r="O1599" t="b">
        <v>1</v>
      </c>
      <c r="P1599">
        <v>1</v>
      </c>
      <c r="Q1599" t="str" cm="1">
        <f t="array" ref="Q1599">_xlfn.IFS(Table1[[#This Row],[Wealthier_Winner]]=-1,"Wealthier Nation Loses",Table1[[#This Row],[Wealthier_Winner]]=0,"Tie",Table1[[#This Row],[Wealthier_Winner]]=1,"Wealthier Nation Wins")</f>
        <v>Wealthier Nation Wins</v>
      </c>
    </row>
    <row r="1600" spans="1:17" x14ac:dyDescent="0.2">
      <c r="A1600" s="1">
        <v>2912</v>
      </c>
      <c r="B1600" s="2">
        <v>35312</v>
      </c>
      <c r="C1600" s="7">
        <f>_xlfn.FLOOR.MATH(Table1[[#This Row],[year]],10)</f>
        <v>1990</v>
      </c>
      <c r="D1600" t="s">
        <v>447</v>
      </c>
      <c r="E1600" t="s">
        <v>21</v>
      </c>
      <c r="F1600">
        <v>2</v>
      </c>
      <c r="G1600">
        <v>6</v>
      </c>
      <c r="H1600" t="s">
        <v>224</v>
      </c>
      <c r="I1600" t="s">
        <v>448</v>
      </c>
      <c r="J1600" t="s">
        <v>447</v>
      </c>
      <c r="K1600" t="b">
        <v>0</v>
      </c>
      <c r="L1600">
        <v>1996</v>
      </c>
      <c r="M1600">
        <v>989536914</v>
      </c>
      <c r="N1600">
        <v>642251412058</v>
      </c>
      <c r="O1600" t="b">
        <v>1</v>
      </c>
      <c r="P1600">
        <v>1</v>
      </c>
      <c r="Q1600" t="str" cm="1">
        <f t="array" ref="Q1600">_xlfn.IFS(Table1[[#This Row],[Wealthier_Winner]]=-1,"Wealthier Nation Loses",Table1[[#This Row],[Wealthier_Winner]]=0,"Tie",Table1[[#This Row],[Wealthier_Winner]]=1,"Wealthier Nation Wins")</f>
        <v>Wealthier Nation Wins</v>
      </c>
    </row>
    <row r="1601" spans="1:17" x14ac:dyDescent="0.2">
      <c r="A1601" s="1">
        <v>2913</v>
      </c>
      <c r="B1601" s="2">
        <v>35316</v>
      </c>
      <c r="C1601" s="7">
        <f>_xlfn.FLOOR.MATH(Table1[[#This Row],[year]],10)</f>
        <v>1990</v>
      </c>
      <c r="D1601" t="s">
        <v>69</v>
      </c>
      <c r="E1601" t="s">
        <v>517</v>
      </c>
      <c r="F1601">
        <v>5</v>
      </c>
      <c r="G1601">
        <v>0</v>
      </c>
      <c r="H1601" t="s">
        <v>224</v>
      </c>
      <c r="I1601" t="s">
        <v>281</v>
      </c>
      <c r="J1601" t="s">
        <v>69</v>
      </c>
      <c r="K1601" t="b">
        <v>0</v>
      </c>
      <c r="L1601">
        <v>1996</v>
      </c>
      <c r="M1601">
        <v>9586327800</v>
      </c>
      <c r="N1601">
        <v>25017368700</v>
      </c>
      <c r="O1601" t="b">
        <v>1</v>
      </c>
      <c r="P1601">
        <v>-1</v>
      </c>
      <c r="Q1601" t="str" cm="1">
        <f t="array" ref="Q1601">_xlfn.IFS(Table1[[#This Row],[Wealthier_Winner]]=-1,"Wealthier Nation Loses",Table1[[#This Row],[Wealthier_Winner]]=0,"Tie",Table1[[#This Row],[Wealthier_Winner]]=1,"Wealthier Nation Wins")</f>
        <v>Wealthier Nation Loses</v>
      </c>
    </row>
    <row r="1602" spans="1:17" x14ac:dyDescent="0.2">
      <c r="A1602" s="1">
        <v>2915</v>
      </c>
      <c r="B1602" s="2">
        <v>35323</v>
      </c>
      <c r="C1602" s="7">
        <f>_xlfn.FLOOR.MATH(Table1[[#This Row],[year]],10)</f>
        <v>1990</v>
      </c>
      <c r="D1602" t="s">
        <v>49</v>
      </c>
      <c r="E1602" t="s">
        <v>65</v>
      </c>
      <c r="F1602">
        <v>3</v>
      </c>
      <c r="G1602">
        <v>0</v>
      </c>
      <c r="H1602" t="s">
        <v>224</v>
      </c>
      <c r="I1602" t="s">
        <v>257</v>
      </c>
      <c r="J1602" t="s">
        <v>49</v>
      </c>
      <c r="K1602" t="b">
        <v>0</v>
      </c>
      <c r="L1602">
        <v>1996</v>
      </c>
      <c r="M1602">
        <v>7393891920</v>
      </c>
      <c r="N1602">
        <v>4798834459</v>
      </c>
      <c r="O1602" t="b">
        <v>0</v>
      </c>
      <c r="P1602">
        <v>1</v>
      </c>
      <c r="Q1602" t="str" cm="1">
        <f t="array" ref="Q1602">_xlfn.IFS(Table1[[#This Row],[Wealthier_Winner]]=-1,"Wealthier Nation Loses",Table1[[#This Row],[Wealthier_Winner]]=0,"Tie",Table1[[#This Row],[Wealthier_Winner]]=1,"Wealthier Nation Wins")</f>
        <v>Wealthier Nation Wins</v>
      </c>
    </row>
    <row r="1603" spans="1:17" x14ac:dyDescent="0.2">
      <c r="A1603" s="1">
        <v>2916</v>
      </c>
      <c r="B1603" s="2">
        <v>35324</v>
      </c>
      <c r="C1603" s="7">
        <f>_xlfn.FLOOR.MATH(Table1[[#This Row],[year]],10)</f>
        <v>1990</v>
      </c>
      <c r="D1603" t="s">
        <v>530</v>
      </c>
      <c r="E1603" t="s">
        <v>456</v>
      </c>
      <c r="F1603">
        <v>1</v>
      </c>
      <c r="G1603">
        <v>1</v>
      </c>
      <c r="H1603" t="s">
        <v>224</v>
      </c>
      <c r="I1603" t="s">
        <v>531</v>
      </c>
      <c r="J1603" t="s">
        <v>530</v>
      </c>
      <c r="K1603" t="b">
        <v>0</v>
      </c>
      <c r="L1603">
        <v>1996</v>
      </c>
      <c r="M1603">
        <v>5155311077</v>
      </c>
      <c r="N1603">
        <v>510586430</v>
      </c>
      <c r="O1603" t="b">
        <v>1</v>
      </c>
      <c r="P1603">
        <v>0</v>
      </c>
      <c r="Q1603" t="str" cm="1">
        <f t="array" ref="Q1603">_xlfn.IFS(Table1[[#This Row],[Wealthier_Winner]]=-1,"Wealthier Nation Loses",Table1[[#This Row],[Wealthier_Winner]]=0,"Tie",Table1[[#This Row],[Wealthier_Winner]]=1,"Wealthier Nation Wins")</f>
        <v>Tie</v>
      </c>
    </row>
    <row r="1604" spans="1:17" x14ac:dyDescent="0.2">
      <c r="A1604" s="1">
        <v>2918</v>
      </c>
      <c r="B1604" s="2">
        <v>35326</v>
      </c>
      <c r="C1604" s="7">
        <f>_xlfn.FLOOR.MATH(Table1[[#This Row],[year]],10)</f>
        <v>1990</v>
      </c>
      <c r="D1604" t="s">
        <v>456</v>
      </c>
      <c r="E1604" t="s">
        <v>451</v>
      </c>
      <c r="F1604">
        <v>1</v>
      </c>
      <c r="G1604">
        <v>1</v>
      </c>
      <c r="H1604" t="s">
        <v>224</v>
      </c>
      <c r="I1604" t="s">
        <v>531</v>
      </c>
      <c r="J1604" t="s">
        <v>530</v>
      </c>
      <c r="K1604" t="b">
        <v>1</v>
      </c>
      <c r="L1604">
        <v>1996</v>
      </c>
      <c r="M1604">
        <v>510586430</v>
      </c>
      <c r="N1604">
        <v>261370044</v>
      </c>
      <c r="O1604" t="b">
        <v>0</v>
      </c>
      <c r="P1604">
        <v>0</v>
      </c>
      <c r="Q1604" t="str" cm="1">
        <f t="array" ref="Q1604">_xlfn.IFS(Table1[[#This Row],[Wealthier_Winner]]=-1,"Wealthier Nation Loses",Table1[[#This Row],[Wealthier_Winner]]=0,"Tie",Table1[[#This Row],[Wealthier_Winner]]=1,"Wealthier Nation Wins")</f>
        <v>Tie</v>
      </c>
    </row>
    <row r="1605" spans="1:17" x14ac:dyDescent="0.2">
      <c r="A1605" s="1">
        <v>2919</v>
      </c>
      <c r="B1605" s="2">
        <v>35328</v>
      </c>
      <c r="C1605" s="7">
        <f>_xlfn.FLOOR.MATH(Table1[[#This Row],[year]],10)</f>
        <v>1990</v>
      </c>
      <c r="D1605" t="s">
        <v>530</v>
      </c>
      <c r="E1605" t="s">
        <v>451</v>
      </c>
      <c r="F1605">
        <v>2</v>
      </c>
      <c r="G1605">
        <v>1</v>
      </c>
      <c r="H1605" t="s">
        <v>224</v>
      </c>
      <c r="I1605" t="s">
        <v>531</v>
      </c>
      <c r="J1605" t="s">
        <v>530</v>
      </c>
      <c r="K1605" t="b">
        <v>0</v>
      </c>
      <c r="L1605">
        <v>1996</v>
      </c>
      <c r="M1605">
        <v>5155311077</v>
      </c>
      <c r="N1605">
        <v>261370044</v>
      </c>
      <c r="O1605" t="b">
        <v>1</v>
      </c>
      <c r="P1605">
        <v>1</v>
      </c>
      <c r="Q1605" t="str" cm="1">
        <f t="array" ref="Q1605">_xlfn.IFS(Table1[[#This Row],[Wealthier_Winner]]=-1,"Wealthier Nation Loses",Table1[[#This Row],[Wealthier_Winner]]=0,"Tie",Table1[[#This Row],[Wealthier_Winner]]=1,"Wealthier Nation Wins")</f>
        <v>Wealthier Nation Wins</v>
      </c>
    </row>
    <row r="1606" spans="1:17" x14ac:dyDescent="0.2">
      <c r="A1606" s="1">
        <v>2920</v>
      </c>
      <c r="B1606" s="2">
        <v>35328</v>
      </c>
      <c r="C1606" s="7">
        <f>_xlfn.FLOOR.MATH(Table1[[#This Row],[year]],10)</f>
        <v>1990</v>
      </c>
      <c r="D1606" t="s">
        <v>68</v>
      </c>
      <c r="E1606" t="s">
        <v>473</v>
      </c>
      <c r="F1606">
        <v>3</v>
      </c>
      <c r="G1606">
        <v>0</v>
      </c>
      <c r="H1606" t="s">
        <v>224</v>
      </c>
      <c r="I1606" t="s">
        <v>190</v>
      </c>
      <c r="J1606" t="s">
        <v>68</v>
      </c>
      <c r="K1606" t="b">
        <v>0</v>
      </c>
      <c r="L1606">
        <v>1996</v>
      </c>
      <c r="M1606">
        <v>9059340384</v>
      </c>
      <c r="N1606">
        <v>13897738375</v>
      </c>
      <c r="O1606" t="b">
        <v>0</v>
      </c>
      <c r="P1606">
        <v>-1</v>
      </c>
      <c r="Q1606" t="str" cm="1">
        <f t="array" ref="Q1606">_xlfn.IFS(Table1[[#This Row],[Wealthier_Winner]]=-1,"Wealthier Nation Loses",Table1[[#This Row],[Wealthier_Winner]]=0,"Tie",Table1[[#This Row],[Wealthier_Winner]]=1,"Wealthier Nation Wins")</f>
        <v>Wealthier Nation Loses</v>
      </c>
    </row>
    <row r="1607" spans="1:17" x14ac:dyDescent="0.2">
      <c r="A1607" s="1">
        <v>2921</v>
      </c>
      <c r="B1607" s="2">
        <v>35329</v>
      </c>
      <c r="C1607" s="7">
        <f>_xlfn.FLOOR.MATH(Table1[[#This Row],[year]],10)</f>
        <v>1990</v>
      </c>
      <c r="D1607" t="s">
        <v>65</v>
      </c>
      <c r="E1607" t="s">
        <v>17</v>
      </c>
      <c r="F1607">
        <v>2</v>
      </c>
      <c r="G1607">
        <v>1</v>
      </c>
      <c r="H1607" t="s">
        <v>224</v>
      </c>
      <c r="I1607" t="s">
        <v>254</v>
      </c>
      <c r="J1607" t="s">
        <v>65</v>
      </c>
      <c r="K1607" t="b">
        <v>0</v>
      </c>
      <c r="L1607">
        <v>1996</v>
      </c>
      <c r="M1607">
        <v>4798834459</v>
      </c>
      <c r="N1607">
        <v>432157945024</v>
      </c>
      <c r="O1607" t="b">
        <v>1</v>
      </c>
      <c r="P1607">
        <v>-1</v>
      </c>
      <c r="Q1607" t="str" cm="1">
        <f t="array" ref="Q1607">_xlfn.IFS(Table1[[#This Row],[Wealthier_Winner]]=-1,"Wealthier Nation Loses",Table1[[#This Row],[Wealthier_Winner]]=0,"Tie",Table1[[#This Row],[Wealthier_Winner]]=1,"Wealthier Nation Wins")</f>
        <v>Wealthier Nation Loses</v>
      </c>
    </row>
    <row r="1608" spans="1:17" x14ac:dyDescent="0.2">
      <c r="A1608" s="1">
        <v>2922</v>
      </c>
      <c r="B1608" s="2">
        <v>35329</v>
      </c>
      <c r="C1608" s="7">
        <f>_xlfn.FLOOR.MATH(Table1[[#This Row],[year]],10)</f>
        <v>1990</v>
      </c>
      <c r="D1608" t="s">
        <v>406</v>
      </c>
      <c r="E1608" t="s">
        <v>532</v>
      </c>
      <c r="F1608">
        <v>2</v>
      </c>
      <c r="G1608">
        <v>0</v>
      </c>
      <c r="H1608" t="s">
        <v>224</v>
      </c>
      <c r="I1608" t="s">
        <v>190</v>
      </c>
      <c r="J1608" t="s">
        <v>68</v>
      </c>
      <c r="K1608" t="b">
        <v>1</v>
      </c>
      <c r="L1608">
        <v>1996</v>
      </c>
      <c r="M1608">
        <v>392896866204</v>
      </c>
      <c r="N1608">
        <v>94648084429</v>
      </c>
      <c r="O1608" t="b">
        <v>1</v>
      </c>
      <c r="P1608">
        <v>1</v>
      </c>
      <c r="Q1608" t="str" cm="1">
        <f t="array" ref="Q1608">_xlfn.IFS(Table1[[#This Row],[Wealthier_Winner]]=-1,"Wealthier Nation Loses",Table1[[#This Row],[Wealthier_Winner]]=0,"Tie",Table1[[#This Row],[Wealthier_Winner]]=1,"Wealthier Nation Wins")</f>
        <v>Wealthier Nation Wins</v>
      </c>
    </row>
    <row r="1609" spans="1:17" x14ac:dyDescent="0.2">
      <c r="A1609" s="1">
        <v>2923</v>
      </c>
      <c r="B1609" s="2">
        <v>35330</v>
      </c>
      <c r="C1609" s="7">
        <f>_xlfn.FLOOR.MATH(Table1[[#This Row],[year]],10)</f>
        <v>1990</v>
      </c>
      <c r="D1609" t="s">
        <v>67</v>
      </c>
      <c r="E1609" t="s">
        <v>517</v>
      </c>
      <c r="F1609">
        <v>1</v>
      </c>
      <c r="G1609">
        <v>3</v>
      </c>
      <c r="H1609" t="s">
        <v>224</v>
      </c>
      <c r="I1609" t="s">
        <v>455</v>
      </c>
      <c r="J1609" t="s">
        <v>67</v>
      </c>
      <c r="K1609" t="b">
        <v>0</v>
      </c>
      <c r="L1609">
        <v>1996</v>
      </c>
      <c r="M1609">
        <v>9197503322</v>
      </c>
      <c r="N1609">
        <v>25017368700</v>
      </c>
      <c r="O1609" t="b">
        <v>1</v>
      </c>
      <c r="P1609">
        <v>1</v>
      </c>
      <c r="Q1609" t="str" cm="1">
        <f t="array" ref="Q1609">_xlfn.IFS(Table1[[#This Row],[Wealthier_Winner]]=-1,"Wealthier Nation Loses",Table1[[#This Row],[Wealthier_Winner]]=0,"Tie",Table1[[#This Row],[Wealthier_Winner]]=1,"Wealthier Nation Wins")</f>
        <v>Wealthier Nation Wins</v>
      </c>
    </row>
    <row r="1610" spans="1:17" x14ac:dyDescent="0.2">
      <c r="A1610" s="1">
        <v>2926</v>
      </c>
      <c r="B1610" s="2">
        <v>35331</v>
      </c>
      <c r="C1610" s="7">
        <f>_xlfn.FLOOR.MATH(Table1[[#This Row],[year]],10)</f>
        <v>1990</v>
      </c>
      <c r="D1610" t="s">
        <v>68</v>
      </c>
      <c r="E1610" t="s">
        <v>532</v>
      </c>
      <c r="F1610">
        <v>5</v>
      </c>
      <c r="G1610">
        <v>0</v>
      </c>
      <c r="H1610" t="s">
        <v>224</v>
      </c>
      <c r="I1610" t="s">
        <v>190</v>
      </c>
      <c r="J1610" t="s">
        <v>68</v>
      </c>
      <c r="K1610" t="b">
        <v>0</v>
      </c>
      <c r="L1610">
        <v>1996</v>
      </c>
      <c r="M1610">
        <v>9059340384</v>
      </c>
      <c r="N1610">
        <v>94648084429</v>
      </c>
      <c r="O1610" t="b">
        <v>1</v>
      </c>
      <c r="P1610">
        <v>-1</v>
      </c>
      <c r="Q1610" t="str" cm="1">
        <f t="array" ref="Q1610">_xlfn.IFS(Table1[[#This Row],[Wealthier_Winner]]=-1,"Wealthier Nation Loses",Table1[[#This Row],[Wealthier_Winner]]=0,"Tie",Table1[[#This Row],[Wealthier_Winner]]=1,"Wealthier Nation Wins")</f>
        <v>Wealthier Nation Loses</v>
      </c>
    </row>
    <row r="1611" spans="1:17" x14ac:dyDescent="0.2">
      <c r="A1611" s="1">
        <v>2927</v>
      </c>
      <c r="B1611" s="2">
        <v>35332</v>
      </c>
      <c r="C1611" s="7">
        <f>_xlfn.FLOOR.MATH(Table1[[#This Row],[year]],10)</f>
        <v>1990</v>
      </c>
      <c r="D1611" t="s">
        <v>473</v>
      </c>
      <c r="E1611" t="s">
        <v>406</v>
      </c>
      <c r="F1611">
        <v>1</v>
      </c>
      <c r="G1611">
        <v>1</v>
      </c>
      <c r="H1611" t="s">
        <v>224</v>
      </c>
      <c r="I1611" t="s">
        <v>190</v>
      </c>
      <c r="J1611" t="s">
        <v>68</v>
      </c>
      <c r="K1611" t="b">
        <v>1</v>
      </c>
      <c r="L1611">
        <v>1996</v>
      </c>
      <c r="M1611">
        <v>13897738375</v>
      </c>
      <c r="N1611">
        <v>392896866204</v>
      </c>
      <c r="O1611" t="b">
        <v>1</v>
      </c>
      <c r="P1611">
        <v>0</v>
      </c>
      <c r="Q1611" t="str" cm="1">
        <f t="array" ref="Q1611">_xlfn.IFS(Table1[[#This Row],[Wealthier_Winner]]=-1,"Wealthier Nation Loses",Table1[[#This Row],[Wealthier_Winner]]=0,"Tie",Table1[[#This Row],[Wealthier_Winner]]=1,"Wealthier Nation Wins")</f>
        <v>Tie</v>
      </c>
    </row>
    <row r="1612" spans="1:17" x14ac:dyDescent="0.2">
      <c r="A1612" s="1">
        <v>2928</v>
      </c>
      <c r="B1612" s="2">
        <v>35334</v>
      </c>
      <c r="C1612" s="7">
        <f>_xlfn.FLOOR.MATH(Table1[[#This Row],[year]],10)</f>
        <v>1990</v>
      </c>
      <c r="D1612" t="s">
        <v>532</v>
      </c>
      <c r="E1612" t="s">
        <v>473</v>
      </c>
      <c r="F1612">
        <v>0</v>
      </c>
      <c r="G1612">
        <v>3</v>
      </c>
      <c r="H1612" t="s">
        <v>224</v>
      </c>
      <c r="I1612" t="s">
        <v>190</v>
      </c>
      <c r="J1612" t="s">
        <v>68</v>
      </c>
      <c r="K1612" t="b">
        <v>1</v>
      </c>
      <c r="L1612">
        <v>1996</v>
      </c>
      <c r="M1612">
        <v>94648084429</v>
      </c>
      <c r="N1612">
        <v>13897738375</v>
      </c>
      <c r="O1612" t="b">
        <v>1</v>
      </c>
      <c r="P1612">
        <v>-1</v>
      </c>
      <c r="Q1612" t="str" cm="1">
        <f t="array" ref="Q1612">_xlfn.IFS(Table1[[#This Row],[Wealthier_Winner]]=-1,"Wealthier Nation Loses",Table1[[#This Row],[Wealthier_Winner]]=0,"Tie",Table1[[#This Row],[Wealthier_Winner]]=1,"Wealthier Nation Wins")</f>
        <v>Wealthier Nation Loses</v>
      </c>
    </row>
    <row r="1613" spans="1:17" x14ac:dyDescent="0.2">
      <c r="A1613" s="1">
        <v>2929</v>
      </c>
      <c r="B1613" s="2">
        <v>35335</v>
      </c>
      <c r="C1613" s="7">
        <f>_xlfn.FLOOR.MATH(Table1[[#This Row],[year]],10)</f>
        <v>1990</v>
      </c>
      <c r="D1613" t="s">
        <v>68</v>
      </c>
      <c r="E1613" t="s">
        <v>406</v>
      </c>
      <c r="F1613">
        <v>6</v>
      </c>
      <c r="G1613">
        <v>0</v>
      </c>
      <c r="H1613" t="s">
        <v>224</v>
      </c>
      <c r="I1613" t="s">
        <v>190</v>
      </c>
      <c r="J1613" t="s">
        <v>68</v>
      </c>
      <c r="K1613" t="b">
        <v>0</v>
      </c>
      <c r="L1613">
        <v>1996</v>
      </c>
      <c r="M1613">
        <v>9059340384</v>
      </c>
      <c r="N1613">
        <v>392896866204</v>
      </c>
      <c r="O1613" t="b">
        <v>1</v>
      </c>
      <c r="P1613">
        <v>-1</v>
      </c>
      <c r="Q1613" t="str" cm="1">
        <f t="array" ref="Q1613">_xlfn.IFS(Table1[[#This Row],[Wealthier_Winner]]=-1,"Wealthier Nation Loses",Table1[[#This Row],[Wealthier_Winner]]=0,"Tie",Table1[[#This Row],[Wealthier_Winner]]=1,"Wealthier Nation Wins")</f>
        <v>Wealthier Nation Loses</v>
      </c>
    </row>
    <row r="1614" spans="1:17" x14ac:dyDescent="0.2">
      <c r="A1614" s="1">
        <v>2930</v>
      </c>
      <c r="B1614" s="2">
        <v>35343</v>
      </c>
      <c r="C1614" s="7">
        <f>_xlfn.FLOOR.MATH(Table1[[#This Row],[year]],10)</f>
        <v>1990</v>
      </c>
      <c r="D1614" t="s">
        <v>476</v>
      </c>
      <c r="E1614" t="s">
        <v>510</v>
      </c>
      <c r="F1614">
        <v>1</v>
      </c>
      <c r="G1614">
        <v>0</v>
      </c>
      <c r="H1614" t="s">
        <v>224</v>
      </c>
      <c r="I1614" t="s">
        <v>481</v>
      </c>
      <c r="J1614" t="s">
        <v>476</v>
      </c>
      <c r="K1614" t="b">
        <v>0</v>
      </c>
      <c r="L1614">
        <v>1996</v>
      </c>
      <c r="M1614">
        <v>4786018988</v>
      </c>
      <c r="N1614">
        <v>14500437519</v>
      </c>
      <c r="O1614" t="b">
        <v>1</v>
      </c>
      <c r="P1614">
        <v>-1</v>
      </c>
      <c r="Q1614" t="str" cm="1">
        <f t="array" ref="Q1614">_xlfn.IFS(Table1[[#This Row],[Wealthier_Winner]]=-1,"Wealthier Nation Loses",Table1[[#This Row],[Wealthier_Winner]]=0,"Tie",Table1[[#This Row],[Wealthier_Winner]]=1,"Wealthier Nation Wins")</f>
        <v>Wealthier Nation Loses</v>
      </c>
    </row>
    <row r="1615" spans="1:17" x14ac:dyDescent="0.2">
      <c r="A1615" s="1">
        <v>2932</v>
      </c>
      <c r="B1615" s="2">
        <v>35343</v>
      </c>
      <c r="C1615" s="7">
        <f>_xlfn.FLOOR.MATH(Table1[[#This Row],[year]],10)</f>
        <v>1990</v>
      </c>
      <c r="D1615" t="s">
        <v>523</v>
      </c>
      <c r="E1615" t="s">
        <v>66</v>
      </c>
      <c r="F1615">
        <v>2</v>
      </c>
      <c r="G1615">
        <v>0</v>
      </c>
      <c r="H1615" t="s">
        <v>224</v>
      </c>
      <c r="I1615" t="s">
        <v>533</v>
      </c>
      <c r="J1615" t="s">
        <v>523</v>
      </c>
      <c r="K1615" t="b">
        <v>0</v>
      </c>
      <c r="L1615">
        <v>1996</v>
      </c>
      <c r="M1615">
        <v>8430207164</v>
      </c>
      <c r="N1615">
        <v>7686566105</v>
      </c>
      <c r="O1615" t="b">
        <v>0</v>
      </c>
      <c r="P1615">
        <v>1</v>
      </c>
      <c r="Q1615" t="str" cm="1">
        <f t="array" ref="Q1615">_xlfn.IFS(Table1[[#This Row],[Wealthier_Winner]]=-1,"Wealthier Nation Loses",Table1[[#This Row],[Wealthier_Winner]]=0,"Tie",Table1[[#This Row],[Wealthier_Winner]]=1,"Wealthier Nation Wins")</f>
        <v>Wealthier Nation Wins</v>
      </c>
    </row>
    <row r="1616" spans="1:17" x14ac:dyDescent="0.2">
      <c r="A1616" s="1">
        <v>2933</v>
      </c>
      <c r="B1616" s="2">
        <v>35343</v>
      </c>
      <c r="C1616" s="7">
        <f>_xlfn.FLOOR.MATH(Table1[[#This Row],[year]],10)</f>
        <v>1990</v>
      </c>
      <c r="D1616" t="s">
        <v>527</v>
      </c>
      <c r="E1616" t="s">
        <v>18</v>
      </c>
      <c r="F1616">
        <v>1</v>
      </c>
      <c r="G1616">
        <v>3</v>
      </c>
      <c r="H1616" t="s">
        <v>224</v>
      </c>
      <c r="I1616" t="s">
        <v>528</v>
      </c>
      <c r="J1616" t="s">
        <v>527</v>
      </c>
      <c r="K1616" t="b">
        <v>0</v>
      </c>
      <c r="L1616">
        <v>1996</v>
      </c>
      <c r="M1616">
        <v>1695122173</v>
      </c>
      <c r="N1616">
        <v>1314776508972</v>
      </c>
      <c r="O1616" t="b">
        <v>1</v>
      </c>
      <c r="P1616">
        <v>1</v>
      </c>
      <c r="Q1616" t="str" cm="1">
        <f t="array" ref="Q1616">_xlfn.IFS(Table1[[#This Row],[Wealthier_Winner]]=-1,"Wealthier Nation Loses",Table1[[#This Row],[Wealthier_Winner]]=0,"Tie",Table1[[#This Row],[Wealthier_Winner]]=1,"Wealthier Nation Wins")</f>
        <v>Wealthier Nation Wins</v>
      </c>
    </row>
    <row r="1617" spans="1:17" x14ac:dyDescent="0.2">
      <c r="A1617" s="1">
        <v>2935</v>
      </c>
      <c r="B1617" s="2">
        <v>35343</v>
      </c>
      <c r="C1617" s="7">
        <f>_xlfn.FLOOR.MATH(Table1[[#This Row],[year]],10)</f>
        <v>1990</v>
      </c>
      <c r="D1617" t="s">
        <v>64</v>
      </c>
      <c r="E1617" t="s">
        <v>38</v>
      </c>
      <c r="F1617">
        <v>2</v>
      </c>
      <c r="G1617">
        <v>1</v>
      </c>
      <c r="H1617" t="s">
        <v>224</v>
      </c>
      <c r="I1617" t="s">
        <v>423</v>
      </c>
      <c r="J1617" t="s">
        <v>64</v>
      </c>
      <c r="K1617" t="b">
        <v>0</v>
      </c>
      <c r="L1617">
        <v>1996</v>
      </c>
      <c r="M1617">
        <v>44558831005</v>
      </c>
      <c r="N1617">
        <v>122630089680</v>
      </c>
      <c r="O1617" t="b">
        <v>1</v>
      </c>
      <c r="P1617">
        <v>-1</v>
      </c>
      <c r="Q1617" t="str" cm="1">
        <f t="array" ref="Q1617">_xlfn.IFS(Table1[[#This Row],[Wealthier_Winner]]=-1,"Wealthier Nation Loses",Table1[[#This Row],[Wealthier_Winner]]=0,"Tie",Table1[[#This Row],[Wealthier_Winner]]=1,"Wealthier Nation Wins")</f>
        <v>Wealthier Nation Loses</v>
      </c>
    </row>
    <row r="1618" spans="1:17" x14ac:dyDescent="0.2">
      <c r="A1618" s="1">
        <v>2937</v>
      </c>
      <c r="B1618" s="2">
        <v>35344</v>
      </c>
      <c r="C1618" s="7">
        <f>_xlfn.FLOOR.MATH(Table1[[#This Row],[year]],10)</f>
        <v>1990</v>
      </c>
      <c r="D1618" t="s">
        <v>447</v>
      </c>
      <c r="E1618" t="s">
        <v>61</v>
      </c>
      <c r="F1618">
        <v>1</v>
      </c>
      <c r="G1618">
        <v>8</v>
      </c>
      <c r="H1618" t="s">
        <v>224</v>
      </c>
      <c r="I1618" t="s">
        <v>448</v>
      </c>
      <c r="J1618" t="s">
        <v>447</v>
      </c>
      <c r="K1618" t="b">
        <v>0</v>
      </c>
      <c r="L1618">
        <v>1996</v>
      </c>
      <c r="M1618">
        <v>989536914</v>
      </c>
      <c r="N1618">
        <v>23277430167</v>
      </c>
      <c r="O1618" t="b">
        <v>1</v>
      </c>
      <c r="P1618">
        <v>1</v>
      </c>
      <c r="Q1618" t="str" cm="1">
        <f t="array" ref="Q1618">_xlfn.IFS(Table1[[#This Row],[Wealthier_Winner]]=-1,"Wealthier Nation Loses",Table1[[#This Row],[Wealthier_Winner]]=0,"Tie",Table1[[#This Row],[Wealthier_Winner]]=1,"Wealthier Nation Wins")</f>
        <v>Wealthier Nation Wins</v>
      </c>
    </row>
    <row r="1619" spans="1:17" x14ac:dyDescent="0.2">
      <c r="A1619" s="1">
        <v>2938</v>
      </c>
      <c r="B1619" s="2">
        <v>35344</v>
      </c>
      <c r="C1619" s="7">
        <f>_xlfn.FLOOR.MATH(Table1[[#This Row],[year]],10)</f>
        <v>1990</v>
      </c>
      <c r="D1619" t="s">
        <v>230</v>
      </c>
      <c r="E1619" t="s">
        <v>46</v>
      </c>
      <c r="F1619">
        <v>2</v>
      </c>
      <c r="G1619">
        <v>3</v>
      </c>
      <c r="H1619" t="s">
        <v>224</v>
      </c>
      <c r="I1619" t="s">
        <v>231</v>
      </c>
      <c r="J1619" t="s">
        <v>230</v>
      </c>
      <c r="K1619" t="b">
        <v>0</v>
      </c>
      <c r="L1619">
        <v>1996</v>
      </c>
      <c r="M1619">
        <v>131991975148</v>
      </c>
      <c r="N1619">
        <v>340103959546</v>
      </c>
      <c r="O1619" t="b">
        <v>1</v>
      </c>
      <c r="P1619">
        <v>1</v>
      </c>
      <c r="Q1619" t="str" cm="1">
        <f t="array" ref="Q1619">_xlfn.IFS(Table1[[#This Row],[Wealthier_Winner]]=-1,"Wealthier Nation Loses",Table1[[#This Row],[Wealthier_Winner]]=0,"Tie",Table1[[#This Row],[Wealthier_Winner]]=1,"Wealthier Nation Wins")</f>
        <v>Wealthier Nation Wins</v>
      </c>
    </row>
    <row r="1620" spans="1:17" x14ac:dyDescent="0.2">
      <c r="A1620" s="1">
        <v>2939</v>
      </c>
      <c r="B1620" s="2">
        <v>35344</v>
      </c>
      <c r="C1620" s="7">
        <f>_xlfn.FLOOR.MATH(Table1[[#This Row],[year]],10)</f>
        <v>1990</v>
      </c>
      <c r="D1620" t="s">
        <v>67</v>
      </c>
      <c r="E1620" t="s">
        <v>69</v>
      </c>
      <c r="F1620">
        <v>1</v>
      </c>
      <c r="G1620">
        <v>1</v>
      </c>
      <c r="H1620" t="s">
        <v>224</v>
      </c>
      <c r="I1620" t="s">
        <v>455</v>
      </c>
      <c r="J1620" t="s">
        <v>67</v>
      </c>
      <c r="K1620" t="b">
        <v>0</v>
      </c>
      <c r="L1620">
        <v>1996</v>
      </c>
      <c r="M1620">
        <v>9197503322</v>
      </c>
      <c r="N1620">
        <v>9586327800</v>
      </c>
      <c r="O1620" t="b">
        <v>0</v>
      </c>
      <c r="P1620">
        <v>0</v>
      </c>
      <c r="Q1620" t="str" cm="1">
        <f t="array" ref="Q1620">_xlfn.IFS(Table1[[#This Row],[Wealthier_Winner]]=-1,"Wealthier Nation Loses",Table1[[#This Row],[Wealthier_Winner]]=0,"Tie",Table1[[#This Row],[Wealthier_Winner]]=1,"Wealthier Nation Wins")</f>
        <v>Tie</v>
      </c>
    </row>
    <row r="1621" spans="1:17" x14ac:dyDescent="0.2">
      <c r="A1621" s="1">
        <v>2940</v>
      </c>
      <c r="B1621" s="2">
        <v>35344</v>
      </c>
      <c r="C1621" s="7">
        <f>_xlfn.FLOOR.MATH(Table1[[#This Row],[year]],10)</f>
        <v>1990</v>
      </c>
      <c r="D1621" t="s">
        <v>59</v>
      </c>
      <c r="E1621" t="s">
        <v>223</v>
      </c>
      <c r="F1621">
        <v>1</v>
      </c>
      <c r="G1621">
        <v>1</v>
      </c>
      <c r="H1621" t="s">
        <v>224</v>
      </c>
      <c r="I1621" t="s">
        <v>253</v>
      </c>
      <c r="J1621" t="s">
        <v>59</v>
      </c>
      <c r="K1621" t="b">
        <v>0</v>
      </c>
      <c r="L1621">
        <v>1996</v>
      </c>
      <c r="M1621">
        <v>5759570336</v>
      </c>
      <c r="N1621">
        <v>15674835615</v>
      </c>
      <c r="O1621" t="b">
        <v>1</v>
      </c>
      <c r="P1621">
        <v>0</v>
      </c>
      <c r="Q1621" t="str" cm="1">
        <f t="array" ref="Q1621">_xlfn.IFS(Table1[[#This Row],[Wealthier_Winner]]=-1,"Wealthier Nation Loses",Table1[[#This Row],[Wealthier_Winner]]=0,"Tie",Table1[[#This Row],[Wealthier_Winner]]=1,"Wealthier Nation Wins")</f>
        <v>Tie</v>
      </c>
    </row>
    <row r="1622" spans="1:17" x14ac:dyDescent="0.2">
      <c r="A1622" s="1">
        <v>2941</v>
      </c>
      <c r="B1622" s="2">
        <v>35346</v>
      </c>
      <c r="C1622" s="7">
        <f>_xlfn.FLOOR.MATH(Table1[[#This Row],[year]],10)</f>
        <v>1990</v>
      </c>
      <c r="D1622" t="s">
        <v>73</v>
      </c>
      <c r="E1622" t="s">
        <v>52</v>
      </c>
      <c r="F1622">
        <v>1</v>
      </c>
      <c r="G1622">
        <v>4</v>
      </c>
      <c r="H1622" t="s">
        <v>224</v>
      </c>
      <c r="I1622" t="s">
        <v>110</v>
      </c>
      <c r="J1622" t="s">
        <v>18</v>
      </c>
      <c r="K1622" t="b">
        <v>1</v>
      </c>
      <c r="L1622">
        <v>1996</v>
      </c>
      <c r="M1622">
        <v>2786045321</v>
      </c>
      <c r="N1622">
        <v>24150978346</v>
      </c>
      <c r="O1622" t="b">
        <v>1</v>
      </c>
      <c r="P1622">
        <v>1</v>
      </c>
      <c r="Q1622" t="str" cm="1">
        <f t="array" ref="Q1622">_xlfn.IFS(Table1[[#This Row],[Wealthier_Winner]]=-1,"Wealthier Nation Loses",Table1[[#This Row],[Wealthier_Winner]]=0,"Tie",Table1[[#This Row],[Wealthier_Winner]]=1,"Wealthier Nation Wins")</f>
        <v>Wealthier Nation Wins</v>
      </c>
    </row>
    <row r="1623" spans="1:17" x14ac:dyDescent="0.2">
      <c r="A1623" s="1">
        <v>2942</v>
      </c>
      <c r="B1623" s="2">
        <v>35346</v>
      </c>
      <c r="C1623" s="7">
        <f>_xlfn.FLOOR.MATH(Table1[[#This Row],[year]],10)</f>
        <v>1990</v>
      </c>
      <c r="D1623" t="s">
        <v>232</v>
      </c>
      <c r="E1623" t="s">
        <v>33</v>
      </c>
      <c r="F1623">
        <v>1</v>
      </c>
      <c r="G1623">
        <v>2</v>
      </c>
      <c r="H1623" t="s">
        <v>224</v>
      </c>
      <c r="I1623" t="s">
        <v>232</v>
      </c>
      <c r="J1623" t="s">
        <v>232</v>
      </c>
      <c r="K1623" t="b">
        <v>0</v>
      </c>
      <c r="L1623">
        <v>1996</v>
      </c>
      <c r="M1623">
        <v>20895314657</v>
      </c>
      <c r="N1623">
        <v>12294964837</v>
      </c>
      <c r="O1623" t="b">
        <v>0</v>
      </c>
      <c r="P1623">
        <v>-1</v>
      </c>
      <c r="Q1623" t="str" cm="1">
        <f t="array" ref="Q1623">_xlfn.IFS(Table1[[#This Row],[Wealthier_Winner]]=-1,"Wealthier Nation Loses",Table1[[#This Row],[Wealthier_Winner]]=0,"Tie",Table1[[#This Row],[Wealthier_Winner]]=1,"Wealthier Nation Wins")</f>
        <v>Wealthier Nation Loses</v>
      </c>
    </row>
    <row r="1624" spans="1:17" x14ac:dyDescent="0.2">
      <c r="A1624" s="1">
        <v>2943</v>
      </c>
      <c r="B1624" s="2">
        <v>35346</v>
      </c>
      <c r="C1624" s="7">
        <f>_xlfn.FLOOR.MATH(Table1[[#This Row],[year]],10)</f>
        <v>1990</v>
      </c>
      <c r="D1624" t="s">
        <v>26</v>
      </c>
      <c r="E1624" t="s">
        <v>47</v>
      </c>
      <c r="F1624">
        <v>1</v>
      </c>
      <c r="G1624">
        <v>0</v>
      </c>
      <c r="H1624" t="s">
        <v>224</v>
      </c>
      <c r="I1624" t="s">
        <v>247</v>
      </c>
      <c r="J1624" t="s">
        <v>26</v>
      </c>
      <c r="K1624" t="b">
        <v>0</v>
      </c>
      <c r="L1624">
        <v>1996</v>
      </c>
      <c r="M1624">
        <v>20515458113</v>
      </c>
      <c r="N1624">
        <v>7396949126</v>
      </c>
      <c r="O1624" t="b">
        <v>1</v>
      </c>
      <c r="P1624">
        <v>1</v>
      </c>
      <c r="Q1624" t="str" cm="1">
        <f t="array" ref="Q1624">_xlfn.IFS(Table1[[#This Row],[Wealthier_Winner]]=-1,"Wealthier Nation Loses",Table1[[#This Row],[Wealthier_Winner]]=0,"Tie",Table1[[#This Row],[Wealthier_Winner]]=1,"Wealthier Nation Wins")</f>
        <v>Wealthier Nation Wins</v>
      </c>
    </row>
    <row r="1625" spans="1:17" x14ac:dyDescent="0.2">
      <c r="A1625" s="1">
        <v>2944</v>
      </c>
      <c r="B1625" s="2">
        <v>35347</v>
      </c>
      <c r="C1625" s="7">
        <f>_xlfn.FLOOR.MATH(Table1[[#This Row],[year]],10)</f>
        <v>1990</v>
      </c>
      <c r="D1625" t="s">
        <v>373</v>
      </c>
      <c r="E1625" t="s">
        <v>38</v>
      </c>
      <c r="F1625">
        <v>0</v>
      </c>
      <c r="G1625">
        <v>3</v>
      </c>
      <c r="H1625" t="s">
        <v>224</v>
      </c>
      <c r="I1625" t="s">
        <v>374</v>
      </c>
      <c r="J1625" t="s">
        <v>373</v>
      </c>
      <c r="K1625" t="b">
        <v>0</v>
      </c>
      <c r="L1625">
        <v>1996</v>
      </c>
      <c r="M1625">
        <v>3234486232</v>
      </c>
      <c r="N1625">
        <v>122630089680</v>
      </c>
      <c r="O1625" t="b">
        <v>1</v>
      </c>
      <c r="P1625">
        <v>1</v>
      </c>
      <c r="Q1625" t="str" cm="1">
        <f t="array" ref="Q1625">_xlfn.IFS(Table1[[#This Row],[Wealthier_Winner]]=-1,"Wealthier Nation Loses",Table1[[#This Row],[Wealthier_Winner]]=0,"Tie",Table1[[#This Row],[Wealthier_Winner]]=1,"Wealthier Nation Wins")</f>
        <v>Wealthier Nation Wins</v>
      </c>
    </row>
    <row r="1626" spans="1:17" x14ac:dyDescent="0.2">
      <c r="A1626" s="1">
        <v>2945</v>
      </c>
      <c r="B1626" s="2">
        <v>35347</v>
      </c>
      <c r="C1626" s="7">
        <f>_xlfn.FLOOR.MATH(Table1[[#This Row],[year]],10)</f>
        <v>1990</v>
      </c>
      <c r="D1626" t="s">
        <v>519</v>
      </c>
      <c r="E1626" t="s">
        <v>16</v>
      </c>
      <c r="F1626">
        <v>1</v>
      </c>
      <c r="G1626">
        <v>5</v>
      </c>
      <c r="H1626" t="s">
        <v>224</v>
      </c>
      <c r="I1626" t="s">
        <v>520</v>
      </c>
      <c r="J1626" t="s">
        <v>519</v>
      </c>
      <c r="K1626" t="b">
        <v>0</v>
      </c>
      <c r="L1626">
        <v>1996</v>
      </c>
      <c r="M1626">
        <v>1596968946</v>
      </c>
      <c r="N1626">
        <v>2506576553158</v>
      </c>
      <c r="O1626" t="b">
        <v>1</v>
      </c>
      <c r="P1626">
        <v>1</v>
      </c>
      <c r="Q1626" t="str" cm="1">
        <f t="array" ref="Q1626">_xlfn.IFS(Table1[[#This Row],[Wealthier_Winner]]=-1,"Wealthier Nation Loses",Table1[[#This Row],[Wealthier_Winner]]=0,"Tie",Table1[[#This Row],[Wealthier_Winner]]=1,"Wealthier Nation Wins")</f>
        <v>Wealthier Nation Wins</v>
      </c>
    </row>
    <row r="1627" spans="1:17" x14ac:dyDescent="0.2">
      <c r="A1627" s="1">
        <v>2946</v>
      </c>
      <c r="B1627" s="2">
        <v>35347</v>
      </c>
      <c r="C1627" s="7">
        <f>_xlfn.FLOOR.MATH(Table1[[#This Row],[year]],10)</f>
        <v>1990</v>
      </c>
      <c r="D1627" t="s">
        <v>510</v>
      </c>
      <c r="E1627" t="s">
        <v>525</v>
      </c>
      <c r="F1627">
        <v>1</v>
      </c>
      <c r="G1627">
        <v>1</v>
      </c>
      <c r="H1627" t="s">
        <v>224</v>
      </c>
      <c r="I1627" t="s">
        <v>522</v>
      </c>
      <c r="J1627" t="s">
        <v>510</v>
      </c>
      <c r="K1627" t="b">
        <v>0</v>
      </c>
      <c r="L1627">
        <v>1996</v>
      </c>
      <c r="M1627">
        <v>14500437519</v>
      </c>
      <c r="N1627">
        <v>5799465288</v>
      </c>
      <c r="O1627" t="b">
        <v>1</v>
      </c>
      <c r="P1627">
        <v>0</v>
      </c>
      <c r="Q1627" t="str" cm="1">
        <f t="array" ref="Q1627">_xlfn.IFS(Table1[[#This Row],[Wealthier_Winner]]=-1,"Wealthier Nation Loses",Table1[[#This Row],[Wealthier_Winner]]=0,"Tie",Table1[[#This Row],[Wealthier_Winner]]=1,"Wealthier Nation Wins")</f>
        <v>Tie</v>
      </c>
    </row>
    <row r="1628" spans="1:17" x14ac:dyDescent="0.2">
      <c r="A1628" s="1">
        <v>2948</v>
      </c>
      <c r="B1628" s="2">
        <v>35347</v>
      </c>
      <c r="C1628" s="7">
        <f>_xlfn.FLOOR.MATH(Table1[[#This Row],[year]],10)</f>
        <v>1990</v>
      </c>
      <c r="D1628" t="s">
        <v>36</v>
      </c>
      <c r="E1628" t="s">
        <v>48</v>
      </c>
      <c r="F1628">
        <v>2</v>
      </c>
      <c r="G1628">
        <v>1</v>
      </c>
      <c r="H1628" t="s">
        <v>224</v>
      </c>
      <c r="I1628" t="s">
        <v>264</v>
      </c>
      <c r="J1628" t="s">
        <v>36</v>
      </c>
      <c r="K1628" t="b">
        <v>0</v>
      </c>
      <c r="L1628">
        <v>1996</v>
      </c>
      <c r="M1628">
        <v>187481157845</v>
      </c>
      <c r="N1628">
        <v>142502984144</v>
      </c>
      <c r="O1628" t="b">
        <v>0</v>
      </c>
      <c r="P1628">
        <v>1</v>
      </c>
      <c r="Q1628" t="str" cm="1">
        <f t="array" ref="Q1628">_xlfn.IFS(Table1[[#This Row],[Wealthier_Winner]]=-1,"Wealthier Nation Loses",Table1[[#This Row],[Wealthier_Winner]]=0,"Tie",Table1[[#This Row],[Wealthier_Winner]]=1,"Wealthier Nation Wins")</f>
        <v>Wealthier Nation Wins</v>
      </c>
    </row>
    <row r="1629" spans="1:17" x14ac:dyDescent="0.2">
      <c r="A1629" s="1">
        <v>2949</v>
      </c>
      <c r="B1629" s="2">
        <v>35347</v>
      </c>
      <c r="C1629" s="7">
        <f>_xlfn.FLOOR.MATH(Table1[[#This Row],[year]],10)</f>
        <v>1990</v>
      </c>
      <c r="D1629" t="s">
        <v>57</v>
      </c>
      <c r="E1629" t="s">
        <v>15</v>
      </c>
      <c r="F1629">
        <v>0</v>
      </c>
      <c r="G1629">
        <v>1</v>
      </c>
      <c r="H1629" t="s">
        <v>224</v>
      </c>
      <c r="I1629" t="s">
        <v>335</v>
      </c>
      <c r="J1629" t="s">
        <v>57</v>
      </c>
      <c r="K1629" t="b">
        <v>0</v>
      </c>
      <c r="L1629">
        <v>1996</v>
      </c>
      <c r="M1629">
        <v>25226393196</v>
      </c>
      <c r="N1629">
        <v>97160109277</v>
      </c>
      <c r="O1629" t="b">
        <v>1</v>
      </c>
      <c r="P1629">
        <v>1</v>
      </c>
      <c r="Q1629" t="str" cm="1">
        <f t="array" ref="Q1629">_xlfn.IFS(Table1[[#This Row],[Wealthier_Winner]]=-1,"Wealthier Nation Loses",Table1[[#This Row],[Wealthier_Winner]]=0,"Tie",Table1[[#This Row],[Wealthier_Winner]]=1,"Wealthier Nation Wins")</f>
        <v>Wealthier Nation Wins</v>
      </c>
    </row>
    <row r="1630" spans="1:17" x14ac:dyDescent="0.2">
      <c r="A1630" s="1">
        <v>2950</v>
      </c>
      <c r="B1630" s="2">
        <v>35347</v>
      </c>
      <c r="C1630" s="7">
        <f>_xlfn.FLOOR.MATH(Table1[[#This Row],[year]],10)</f>
        <v>1990</v>
      </c>
      <c r="D1630" t="s">
        <v>194</v>
      </c>
      <c r="E1630" t="s">
        <v>58</v>
      </c>
      <c r="F1630">
        <v>2</v>
      </c>
      <c r="G1630">
        <v>1</v>
      </c>
      <c r="H1630" t="s">
        <v>224</v>
      </c>
      <c r="I1630" t="s">
        <v>80</v>
      </c>
      <c r="J1630" t="s">
        <v>194</v>
      </c>
      <c r="K1630" t="b">
        <v>0</v>
      </c>
      <c r="L1630">
        <v>1996</v>
      </c>
      <c r="M1630">
        <v>1425287051482</v>
      </c>
      <c r="N1630">
        <v>160813026223</v>
      </c>
      <c r="O1630" t="b">
        <v>1</v>
      </c>
      <c r="P1630">
        <v>1</v>
      </c>
      <c r="Q1630" t="str" cm="1">
        <f t="array" ref="Q1630">_xlfn.IFS(Table1[[#This Row],[Wealthier_Winner]]=-1,"Wealthier Nation Loses",Table1[[#This Row],[Wealthier_Winner]]=0,"Tie",Table1[[#This Row],[Wealthier_Winner]]=1,"Wealthier Nation Wins")</f>
        <v>Wealthier Nation Wins</v>
      </c>
    </row>
    <row r="1631" spans="1:17" x14ac:dyDescent="0.2">
      <c r="A1631" s="1">
        <v>2951</v>
      </c>
      <c r="B1631" s="2">
        <v>35347</v>
      </c>
      <c r="C1631" s="7">
        <f>_xlfn.FLOOR.MATH(Table1[[#This Row],[year]],10)</f>
        <v>1990</v>
      </c>
      <c r="D1631" t="s">
        <v>66</v>
      </c>
      <c r="E1631" t="s">
        <v>44</v>
      </c>
      <c r="F1631">
        <v>0</v>
      </c>
      <c r="G1631">
        <v>4</v>
      </c>
      <c r="H1631" t="s">
        <v>224</v>
      </c>
      <c r="I1631" t="s">
        <v>336</v>
      </c>
      <c r="J1631" t="s">
        <v>66</v>
      </c>
      <c r="K1631" t="b">
        <v>0</v>
      </c>
      <c r="L1631">
        <v>1996</v>
      </c>
      <c r="M1631">
        <v>7686566105</v>
      </c>
      <c r="N1631">
        <v>36937074278</v>
      </c>
      <c r="O1631" t="b">
        <v>1</v>
      </c>
      <c r="P1631">
        <v>1</v>
      </c>
      <c r="Q1631" t="str" cm="1">
        <f t="array" ref="Q1631">_xlfn.IFS(Table1[[#This Row],[Wealthier_Winner]]=-1,"Wealthier Nation Loses",Table1[[#This Row],[Wealthier_Winner]]=0,"Tie",Table1[[#This Row],[Wealthier_Winner]]=1,"Wealthier Nation Wins")</f>
        <v>Wealthier Nation Wins</v>
      </c>
    </row>
    <row r="1632" spans="1:17" x14ac:dyDescent="0.2">
      <c r="A1632" s="1">
        <v>2953</v>
      </c>
      <c r="B1632" s="2">
        <v>35347</v>
      </c>
      <c r="C1632" s="7">
        <f>_xlfn.FLOOR.MATH(Table1[[#This Row],[year]],10)</f>
        <v>1990</v>
      </c>
      <c r="D1632" t="s">
        <v>22</v>
      </c>
      <c r="E1632" t="s">
        <v>196</v>
      </c>
      <c r="F1632">
        <v>1</v>
      </c>
      <c r="G1632">
        <v>1</v>
      </c>
      <c r="H1632" t="s">
        <v>224</v>
      </c>
      <c r="I1632" t="s">
        <v>239</v>
      </c>
      <c r="J1632" t="s">
        <v>22</v>
      </c>
      <c r="K1632" t="b">
        <v>0</v>
      </c>
      <c r="L1632">
        <v>1996</v>
      </c>
      <c r="M1632">
        <v>115116595544</v>
      </c>
      <c r="N1632">
        <v>391724890744</v>
      </c>
      <c r="O1632" t="b">
        <v>1</v>
      </c>
      <c r="P1632">
        <v>0</v>
      </c>
      <c r="Q1632" t="str" cm="1">
        <f t="array" ref="Q1632">_xlfn.IFS(Table1[[#This Row],[Wealthier_Winner]]=-1,"Wealthier Nation Loses",Table1[[#This Row],[Wealthier_Winner]]=0,"Tie",Table1[[#This Row],[Wealthier_Winner]]=1,"Wealthier Nation Wins")</f>
        <v>Tie</v>
      </c>
    </row>
    <row r="1633" spans="1:17" x14ac:dyDescent="0.2">
      <c r="A1633" s="1">
        <v>2954</v>
      </c>
      <c r="B1633" s="2">
        <v>35347</v>
      </c>
      <c r="C1633" s="7">
        <f>_xlfn.FLOOR.MATH(Table1[[#This Row],[year]],10)</f>
        <v>1990</v>
      </c>
      <c r="D1633" t="s">
        <v>18</v>
      </c>
      <c r="E1633" t="s">
        <v>534</v>
      </c>
      <c r="F1633">
        <v>1</v>
      </c>
      <c r="G1633">
        <v>0</v>
      </c>
      <c r="H1633" t="s">
        <v>224</v>
      </c>
      <c r="I1633" t="s">
        <v>535</v>
      </c>
      <c r="J1633" t="s">
        <v>18</v>
      </c>
      <c r="K1633" t="b">
        <v>0</v>
      </c>
      <c r="L1633">
        <v>1996</v>
      </c>
      <c r="M1633">
        <v>1314776508972</v>
      </c>
      <c r="N1633">
        <v>3094936177</v>
      </c>
      <c r="O1633" t="b">
        <v>1</v>
      </c>
      <c r="P1633">
        <v>1</v>
      </c>
      <c r="Q1633" t="str" cm="1">
        <f t="array" ref="Q1633">_xlfn.IFS(Table1[[#This Row],[Wealthier_Winner]]=-1,"Wealthier Nation Loses",Table1[[#This Row],[Wealthier_Winner]]=0,"Tie",Table1[[#This Row],[Wealthier_Winner]]=1,"Wealthier Nation Wins")</f>
        <v>Wealthier Nation Wins</v>
      </c>
    </row>
    <row r="1634" spans="1:17" x14ac:dyDescent="0.2">
      <c r="A1634" s="1">
        <v>2955</v>
      </c>
      <c r="B1634" s="2">
        <v>35347</v>
      </c>
      <c r="C1634" s="7">
        <f>_xlfn.FLOOR.MATH(Table1[[#This Row],[year]],10)</f>
        <v>1990</v>
      </c>
      <c r="D1634" t="s">
        <v>523</v>
      </c>
      <c r="E1634" t="s">
        <v>503</v>
      </c>
      <c r="F1634">
        <v>2</v>
      </c>
      <c r="G1634">
        <v>1</v>
      </c>
      <c r="H1634" t="s">
        <v>224</v>
      </c>
      <c r="I1634" t="s">
        <v>533</v>
      </c>
      <c r="J1634" t="s">
        <v>523</v>
      </c>
      <c r="K1634" t="b">
        <v>0</v>
      </c>
      <c r="L1634">
        <v>1996</v>
      </c>
      <c r="M1634">
        <v>8430207164</v>
      </c>
      <c r="N1634">
        <v>2504012993</v>
      </c>
      <c r="O1634" t="b">
        <v>1</v>
      </c>
      <c r="P1634">
        <v>1</v>
      </c>
      <c r="Q1634" t="str" cm="1">
        <f t="array" ref="Q1634">_xlfn.IFS(Table1[[#This Row],[Wealthier_Winner]]=-1,"Wealthier Nation Loses",Table1[[#This Row],[Wealthier_Winner]]=0,"Tie",Table1[[#This Row],[Wealthier_Winner]]=1,"Wealthier Nation Wins")</f>
        <v>Wealthier Nation Wins</v>
      </c>
    </row>
    <row r="1635" spans="1:17" x14ac:dyDescent="0.2">
      <c r="A1635" s="1">
        <v>2956</v>
      </c>
      <c r="B1635" s="2">
        <v>35347</v>
      </c>
      <c r="C1635" s="7">
        <f>_xlfn.FLOOR.MATH(Table1[[#This Row],[year]],10)</f>
        <v>1990</v>
      </c>
      <c r="D1635" t="s">
        <v>42</v>
      </c>
      <c r="E1635" t="s">
        <v>30</v>
      </c>
      <c r="F1635">
        <v>3</v>
      </c>
      <c r="G1635">
        <v>0</v>
      </c>
      <c r="H1635" t="s">
        <v>224</v>
      </c>
      <c r="I1635" t="s">
        <v>262</v>
      </c>
      <c r="J1635" t="s">
        <v>42</v>
      </c>
      <c r="K1635" t="b">
        <v>0</v>
      </c>
      <c r="L1635">
        <v>1996</v>
      </c>
      <c r="M1635">
        <v>163520109150</v>
      </c>
      <c r="N1635">
        <v>46833767123</v>
      </c>
      <c r="O1635" t="b">
        <v>1</v>
      </c>
      <c r="P1635">
        <v>1</v>
      </c>
      <c r="Q1635" t="str" cm="1">
        <f t="array" ref="Q1635">_xlfn.IFS(Table1[[#This Row],[Wealthier_Winner]]=-1,"Wealthier Nation Loses",Table1[[#This Row],[Wealthier_Winner]]=0,"Tie",Table1[[#This Row],[Wealthier_Winner]]=1,"Wealthier Nation Wins")</f>
        <v>Wealthier Nation Wins</v>
      </c>
    </row>
    <row r="1636" spans="1:17" x14ac:dyDescent="0.2">
      <c r="A1636" s="1">
        <v>2957</v>
      </c>
      <c r="B1636" s="2">
        <v>35347</v>
      </c>
      <c r="C1636" s="7">
        <f>_xlfn.FLOOR.MATH(Table1[[#This Row],[year]],10)</f>
        <v>1990</v>
      </c>
      <c r="D1636" t="s">
        <v>35</v>
      </c>
      <c r="E1636" t="s">
        <v>14</v>
      </c>
      <c r="F1636">
        <v>2</v>
      </c>
      <c r="G1636">
        <v>1</v>
      </c>
      <c r="H1636" t="s">
        <v>224</v>
      </c>
      <c r="I1636" t="s">
        <v>250</v>
      </c>
      <c r="J1636" t="s">
        <v>35</v>
      </c>
      <c r="K1636" t="b">
        <v>0</v>
      </c>
      <c r="L1636">
        <v>1996</v>
      </c>
      <c r="M1636">
        <v>9788391780</v>
      </c>
      <c r="N1636">
        <v>78584098983</v>
      </c>
      <c r="O1636" t="b">
        <v>1</v>
      </c>
      <c r="P1636">
        <v>-1</v>
      </c>
      <c r="Q1636" t="str" cm="1">
        <f t="array" ref="Q1636">_xlfn.IFS(Table1[[#This Row],[Wealthier_Winner]]=-1,"Wealthier Nation Loses",Table1[[#This Row],[Wealthier_Winner]]=0,"Tie",Table1[[#This Row],[Wealthier_Winner]]=1,"Wealthier Nation Wins")</f>
        <v>Wealthier Nation Loses</v>
      </c>
    </row>
    <row r="1637" spans="1:17" x14ac:dyDescent="0.2">
      <c r="A1637" s="1">
        <v>2959</v>
      </c>
      <c r="B1637" s="2">
        <v>35347</v>
      </c>
      <c r="C1637" s="7">
        <f>_xlfn.FLOOR.MATH(Table1[[#This Row],[year]],10)</f>
        <v>1990</v>
      </c>
      <c r="D1637" t="s">
        <v>25</v>
      </c>
      <c r="E1637" t="s">
        <v>29</v>
      </c>
      <c r="F1637">
        <v>0</v>
      </c>
      <c r="G1637">
        <v>1</v>
      </c>
      <c r="H1637" t="s">
        <v>224</v>
      </c>
      <c r="I1637" t="s">
        <v>233</v>
      </c>
      <c r="J1637" t="s">
        <v>25</v>
      </c>
      <c r="K1637" t="b">
        <v>0</v>
      </c>
      <c r="L1637">
        <v>1996</v>
      </c>
      <c r="M1637">
        <v>291949597375</v>
      </c>
      <c r="N1637">
        <v>235952581232</v>
      </c>
      <c r="O1637" t="b">
        <v>0</v>
      </c>
      <c r="P1637">
        <v>-1</v>
      </c>
      <c r="Q1637" t="str" cm="1">
        <f t="array" ref="Q1637">_xlfn.IFS(Table1[[#This Row],[Wealthier_Winner]]=-1,"Wealthier Nation Loses",Table1[[#This Row],[Wealthier_Winner]]=0,"Tie",Table1[[#This Row],[Wealthier_Winner]]=1,"Wealthier Nation Wins")</f>
        <v>Wealthier Nation Loses</v>
      </c>
    </row>
    <row r="1638" spans="1:17" x14ac:dyDescent="0.2">
      <c r="A1638" s="1">
        <v>2960</v>
      </c>
      <c r="B1638" s="2">
        <v>35347</v>
      </c>
      <c r="C1638" s="7">
        <f>_xlfn.FLOOR.MATH(Table1[[#This Row],[year]],10)</f>
        <v>1990</v>
      </c>
      <c r="D1638" t="s">
        <v>258</v>
      </c>
      <c r="E1638" t="s">
        <v>19</v>
      </c>
      <c r="F1638">
        <v>2</v>
      </c>
      <c r="G1638">
        <v>5</v>
      </c>
      <c r="H1638" t="s">
        <v>224</v>
      </c>
      <c r="I1638" t="s">
        <v>416</v>
      </c>
      <c r="J1638" t="s">
        <v>258</v>
      </c>
      <c r="K1638" t="b">
        <v>0</v>
      </c>
      <c r="L1638">
        <v>1996</v>
      </c>
      <c r="M1638">
        <v>70543211119</v>
      </c>
      <c r="N1638">
        <v>272149750000</v>
      </c>
      <c r="O1638" t="b">
        <v>1</v>
      </c>
      <c r="P1638">
        <v>1</v>
      </c>
      <c r="Q1638" t="str" cm="1">
        <f t="array" ref="Q1638">_xlfn.IFS(Table1[[#This Row],[Wealthier_Winner]]=-1,"Wealthier Nation Loses",Table1[[#This Row],[Wealthier_Winner]]=0,"Tie",Table1[[#This Row],[Wealthier_Winner]]=1,"Wealthier Nation Wins")</f>
        <v>Wealthier Nation Wins</v>
      </c>
    </row>
    <row r="1639" spans="1:17" x14ac:dyDescent="0.2">
      <c r="A1639" s="1">
        <v>2961</v>
      </c>
      <c r="B1639" s="2">
        <v>35348</v>
      </c>
      <c r="C1639" s="7">
        <f>_xlfn.FLOOR.MATH(Table1[[#This Row],[year]],10)</f>
        <v>1990</v>
      </c>
      <c r="D1639" t="s">
        <v>34</v>
      </c>
      <c r="E1639" t="s">
        <v>517</v>
      </c>
      <c r="F1639">
        <v>2</v>
      </c>
      <c r="G1639">
        <v>0</v>
      </c>
      <c r="H1639" t="s">
        <v>224</v>
      </c>
      <c r="I1639" t="s">
        <v>488</v>
      </c>
      <c r="J1639" t="s">
        <v>34</v>
      </c>
      <c r="K1639" t="b">
        <v>0</v>
      </c>
      <c r="L1639">
        <v>1996</v>
      </c>
      <c r="M1639">
        <v>630607994132</v>
      </c>
      <c r="N1639">
        <v>25017368700</v>
      </c>
      <c r="O1639" t="b">
        <v>1</v>
      </c>
      <c r="P1639">
        <v>1</v>
      </c>
      <c r="Q1639" t="str" cm="1">
        <f t="array" ref="Q1639">_xlfn.IFS(Table1[[#This Row],[Wealthier_Winner]]=-1,"Wealthier Nation Loses",Table1[[#This Row],[Wealthier_Winner]]=0,"Tie",Table1[[#This Row],[Wealthier_Winner]]=1,"Wealthier Nation Wins")</f>
        <v>Wealthier Nation Wins</v>
      </c>
    </row>
    <row r="1640" spans="1:17" x14ac:dyDescent="0.2">
      <c r="A1640" s="1">
        <v>2963</v>
      </c>
      <c r="B1640" s="2">
        <v>35351</v>
      </c>
      <c r="C1640" s="7">
        <f>_xlfn.FLOOR.MATH(Table1[[#This Row],[year]],10)</f>
        <v>1990</v>
      </c>
      <c r="D1640" t="s">
        <v>34</v>
      </c>
      <c r="E1640" t="s">
        <v>517</v>
      </c>
      <c r="F1640">
        <v>2</v>
      </c>
      <c r="G1640">
        <v>0</v>
      </c>
      <c r="H1640" t="s">
        <v>224</v>
      </c>
      <c r="I1640" t="s">
        <v>488</v>
      </c>
      <c r="J1640" t="s">
        <v>34</v>
      </c>
      <c r="K1640" t="b">
        <v>0</v>
      </c>
      <c r="L1640">
        <v>1996</v>
      </c>
      <c r="M1640">
        <v>630607994132</v>
      </c>
      <c r="N1640">
        <v>25017368700</v>
      </c>
      <c r="O1640" t="b">
        <v>1</v>
      </c>
      <c r="P1640">
        <v>1</v>
      </c>
      <c r="Q1640" t="str" cm="1">
        <f t="array" ref="Q1640">_xlfn.IFS(Table1[[#This Row],[Wealthier_Winner]]=-1,"Wealthier Nation Loses",Table1[[#This Row],[Wealthier_Winner]]=0,"Tie",Table1[[#This Row],[Wealthier_Winner]]=1,"Wealthier Nation Wins")</f>
        <v>Wealthier Nation Wins</v>
      </c>
    </row>
    <row r="1641" spans="1:17" x14ac:dyDescent="0.2">
      <c r="A1641" s="1">
        <v>2964</v>
      </c>
      <c r="B1641" s="2">
        <v>35354</v>
      </c>
      <c r="C1641" s="7">
        <f>_xlfn.FLOOR.MATH(Table1[[#This Row],[year]],10)</f>
        <v>1990</v>
      </c>
      <c r="D1641" t="s">
        <v>17</v>
      </c>
      <c r="E1641" t="s">
        <v>49</v>
      </c>
      <c r="F1641">
        <v>2</v>
      </c>
      <c r="G1641">
        <v>1</v>
      </c>
      <c r="H1641" t="s">
        <v>224</v>
      </c>
      <c r="I1641" t="s">
        <v>83</v>
      </c>
      <c r="J1641" t="s">
        <v>17</v>
      </c>
      <c r="K1641" t="b">
        <v>0</v>
      </c>
      <c r="L1641">
        <v>1996</v>
      </c>
      <c r="M1641">
        <v>432157945024</v>
      </c>
      <c r="N1641">
        <v>7393891920</v>
      </c>
      <c r="O1641" t="b">
        <v>1</v>
      </c>
      <c r="P1641">
        <v>1</v>
      </c>
      <c r="Q1641" t="str" cm="1">
        <f t="array" ref="Q1641">_xlfn.IFS(Table1[[#This Row],[Wealthier_Winner]]=-1,"Wealthier Nation Loses",Table1[[#This Row],[Wealthier_Winner]]=0,"Tie",Table1[[#This Row],[Wealthier_Winner]]=1,"Wealthier Nation Wins")</f>
        <v>Wealthier Nation Wins</v>
      </c>
    </row>
    <row r="1642" spans="1:17" x14ac:dyDescent="0.2">
      <c r="A1642" s="1">
        <v>2966</v>
      </c>
      <c r="B1642" s="2">
        <v>35364</v>
      </c>
      <c r="C1642" s="7">
        <f>_xlfn.FLOOR.MATH(Table1[[#This Row],[year]],10)</f>
        <v>1990</v>
      </c>
      <c r="D1642" t="s">
        <v>65</v>
      </c>
      <c r="E1642" t="s">
        <v>49</v>
      </c>
      <c r="F1642">
        <v>0</v>
      </c>
      <c r="G1642">
        <v>0</v>
      </c>
      <c r="H1642" t="s">
        <v>224</v>
      </c>
      <c r="I1642" t="s">
        <v>254</v>
      </c>
      <c r="J1642" t="s">
        <v>65</v>
      </c>
      <c r="K1642" t="b">
        <v>0</v>
      </c>
      <c r="L1642">
        <v>1996</v>
      </c>
      <c r="M1642">
        <v>4798834459</v>
      </c>
      <c r="N1642">
        <v>7393891920</v>
      </c>
      <c r="O1642" t="b">
        <v>0</v>
      </c>
      <c r="P1642">
        <v>0</v>
      </c>
      <c r="Q1642" t="str" cm="1">
        <f t="array" ref="Q1642">_xlfn.IFS(Table1[[#This Row],[Wealthier_Winner]]=-1,"Wealthier Nation Loses",Table1[[#This Row],[Wealthier_Winner]]=0,"Tie",Table1[[#This Row],[Wealthier_Winner]]=1,"Wealthier Nation Wins")</f>
        <v>Tie</v>
      </c>
    </row>
    <row r="1643" spans="1:17" x14ac:dyDescent="0.2">
      <c r="A1643" s="1">
        <v>2967</v>
      </c>
      <c r="B1643" s="2">
        <v>35365</v>
      </c>
      <c r="C1643" s="7">
        <f>_xlfn.FLOOR.MATH(Table1[[#This Row],[year]],10)</f>
        <v>1990</v>
      </c>
      <c r="D1643" t="s">
        <v>67</v>
      </c>
      <c r="E1643" t="s">
        <v>34</v>
      </c>
      <c r="F1643">
        <v>0</v>
      </c>
      <c r="G1643">
        <v>0</v>
      </c>
      <c r="H1643" t="s">
        <v>224</v>
      </c>
      <c r="I1643" t="s">
        <v>455</v>
      </c>
      <c r="J1643" t="s">
        <v>67</v>
      </c>
      <c r="K1643" t="b">
        <v>0</v>
      </c>
      <c r="L1643">
        <v>1996</v>
      </c>
      <c r="M1643">
        <v>9197503322</v>
      </c>
      <c r="N1643">
        <v>630607994132</v>
      </c>
      <c r="O1643" t="b">
        <v>1</v>
      </c>
      <c r="P1643">
        <v>0</v>
      </c>
      <c r="Q1643" t="str" cm="1">
        <f t="array" ref="Q1643">_xlfn.IFS(Table1[[#This Row],[Wealthier_Winner]]=-1,"Wealthier Nation Loses",Table1[[#This Row],[Wealthier_Winner]]=0,"Tie",Table1[[#This Row],[Wealthier_Winner]]=1,"Wealthier Nation Wins")</f>
        <v>Tie</v>
      </c>
    </row>
    <row r="1644" spans="1:17" x14ac:dyDescent="0.2">
      <c r="A1644" s="1">
        <v>2969</v>
      </c>
      <c r="B1644" s="2">
        <v>35372</v>
      </c>
      <c r="C1644" s="7">
        <f>_xlfn.FLOOR.MATH(Table1[[#This Row],[year]],10)</f>
        <v>1990</v>
      </c>
      <c r="D1644" t="s">
        <v>34</v>
      </c>
      <c r="E1644" t="s">
        <v>69</v>
      </c>
      <c r="F1644">
        <v>1</v>
      </c>
      <c r="G1644">
        <v>0</v>
      </c>
      <c r="H1644" t="s">
        <v>224</v>
      </c>
      <c r="I1644" t="s">
        <v>467</v>
      </c>
      <c r="J1644" t="s">
        <v>34</v>
      </c>
      <c r="K1644" t="b">
        <v>0</v>
      </c>
      <c r="L1644">
        <v>1996</v>
      </c>
      <c r="M1644">
        <v>630607994132</v>
      </c>
      <c r="N1644">
        <v>9586327800</v>
      </c>
      <c r="O1644" t="b">
        <v>1</v>
      </c>
      <c r="P1644">
        <v>1</v>
      </c>
      <c r="Q1644" t="str" cm="1">
        <f t="array" ref="Q1644">_xlfn.IFS(Table1[[#This Row],[Wealthier_Winner]]=-1,"Wealthier Nation Loses",Table1[[#This Row],[Wealthier_Winner]]=0,"Tie",Table1[[#This Row],[Wealthier_Winner]]=1,"Wealthier Nation Wins")</f>
        <v>Wealthier Nation Wins</v>
      </c>
    </row>
    <row r="1645" spans="1:17" x14ac:dyDescent="0.2">
      <c r="A1645" s="1">
        <v>2970</v>
      </c>
      <c r="B1645" s="2">
        <v>35372</v>
      </c>
      <c r="C1645" s="7">
        <f>_xlfn.FLOOR.MATH(Table1[[#This Row],[year]],10)</f>
        <v>1990</v>
      </c>
      <c r="D1645" t="s">
        <v>41</v>
      </c>
      <c r="E1645" t="s">
        <v>223</v>
      </c>
      <c r="F1645">
        <v>2</v>
      </c>
      <c r="G1645">
        <v>0</v>
      </c>
      <c r="H1645" t="s">
        <v>224</v>
      </c>
      <c r="I1645" t="s">
        <v>122</v>
      </c>
      <c r="J1645" t="s">
        <v>41</v>
      </c>
      <c r="K1645" t="b">
        <v>0</v>
      </c>
      <c r="L1645">
        <v>1996</v>
      </c>
      <c r="M1645">
        <v>8073122000000</v>
      </c>
      <c r="N1645">
        <v>15674835615</v>
      </c>
      <c r="O1645" t="b">
        <v>1</v>
      </c>
      <c r="P1645">
        <v>1</v>
      </c>
      <c r="Q1645" t="str" cm="1">
        <f t="array" ref="Q1645">_xlfn.IFS(Table1[[#This Row],[Wealthier_Winner]]=-1,"Wealthier Nation Loses",Table1[[#This Row],[Wealthier_Winner]]=0,"Tie",Table1[[#This Row],[Wealthier_Winner]]=1,"Wealthier Nation Wins")</f>
        <v>Wealthier Nation Wins</v>
      </c>
    </row>
    <row r="1646" spans="1:17" x14ac:dyDescent="0.2">
      <c r="A1646" s="1">
        <v>2971</v>
      </c>
      <c r="B1646" s="2">
        <v>35375</v>
      </c>
      <c r="C1646" s="7">
        <f>_xlfn.FLOOR.MATH(Table1[[#This Row],[year]],10)</f>
        <v>1990</v>
      </c>
      <c r="D1646" t="s">
        <v>17</v>
      </c>
      <c r="E1646" t="s">
        <v>65</v>
      </c>
      <c r="F1646">
        <v>3</v>
      </c>
      <c r="G1646">
        <v>1</v>
      </c>
      <c r="H1646" t="s">
        <v>224</v>
      </c>
      <c r="I1646" t="s">
        <v>83</v>
      </c>
      <c r="J1646" t="s">
        <v>17</v>
      </c>
      <c r="K1646" t="b">
        <v>0</v>
      </c>
      <c r="L1646">
        <v>1996</v>
      </c>
      <c r="M1646">
        <v>432157945024</v>
      </c>
      <c r="N1646">
        <v>4798834459</v>
      </c>
      <c r="O1646" t="b">
        <v>1</v>
      </c>
      <c r="P1646">
        <v>1</v>
      </c>
      <c r="Q1646" t="str" cm="1">
        <f t="array" ref="Q1646">_xlfn.IFS(Table1[[#This Row],[Wealthier_Winner]]=-1,"Wealthier Nation Loses",Table1[[#This Row],[Wealthier_Winner]]=0,"Tie",Table1[[#This Row],[Wealthier_Winner]]=1,"Wealthier Nation Wins")</f>
        <v>Wealthier Nation Wins</v>
      </c>
    </row>
    <row r="1647" spans="1:17" x14ac:dyDescent="0.2">
      <c r="A1647" s="1">
        <v>2972</v>
      </c>
      <c r="B1647" s="2">
        <v>35377</v>
      </c>
      <c r="C1647" s="7">
        <f>_xlfn.FLOOR.MATH(Table1[[#This Row],[year]],10)</f>
        <v>1990</v>
      </c>
      <c r="D1647" t="s">
        <v>212</v>
      </c>
      <c r="E1647" t="s">
        <v>462</v>
      </c>
      <c r="F1647">
        <v>7</v>
      </c>
      <c r="G1647">
        <v>1</v>
      </c>
      <c r="H1647" t="s">
        <v>224</v>
      </c>
      <c r="I1647" t="s">
        <v>322</v>
      </c>
      <c r="J1647" t="s">
        <v>212</v>
      </c>
      <c r="K1647" t="b">
        <v>0</v>
      </c>
      <c r="L1647">
        <v>1996</v>
      </c>
      <c r="M1647">
        <v>67629716981</v>
      </c>
      <c r="N1647">
        <v>3989163196</v>
      </c>
      <c r="O1647" t="b">
        <v>1</v>
      </c>
      <c r="P1647">
        <v>1</v>
      </c>
      <c r="Q1647" t="str" cm="1">
        <f t="array" ref="Q1647">_xlfn.IFS(Table1[[#This Row],[Wealthier_Winner]]=-1,"Wealthier Nation Loses",Table1[[#This Row],[Wealthier_Winner]]=0,"Tie",Table1[[#This Row],[Wealthier_Winner]]=1,"Wealthier Nation Wins")</f>
        <v>Wealthier Nation Wins</v>
      </c>
    </row>
    <row r="1648" spans="1:17" x14ac:dyDescent="0.2">
      <c r="A1648" s="1">
        <v>2973</v>
      </c>
      <c r="B1648" s="2">
        <v>35378</v>
      </c>
      <c r="C1648" s="7">
        <f>_xlfn.FLOOR.MATH(Table1[[#This Row],[year]],10)</f>
        <v>1990</v>
      </c>
      <c r="D1648" t="s">
        <v>373</v>
      </c>
      <c r="E1648" t="s">
        <v>519</v>
      </c>
      <c r="F1648">
        <v>1</v>
      </c>
      <c r="G1648">
        <v>1</v>
      </c>
      <c r="H1648" t="s">
        <v>224</v>
      </c>
      <c r="I1648" t="s">
        <v>374</v>
      </c>
      <c r="J1648" t="s">
        <v>373</v>
      </c>
      <c r="K1648" t="b">
        <v>0</v>
      </c>
      <c r="L1648">
        <v>1996</v>
      </c>
      <c r="M1648">
        <v>3234486232</v>
      </c>
      <c r="N1648">
        <v>1596968946</v>
      </c>
      <c r="O1648" t="b">
        <v>1</v>
      </c>
      <c r="P1648">
        <v>0</v>
      </c>
      <c r="Q1648" t="str" cm="1">
        <f t="array" ref="Q1648">_xlfn.IFS(Table1[[#This Row],[Wealthier_Winner]]=-1,"Wealthier Nation Loses",Table1[[#This Row],[Wealthier_Winner]]=0,"Tie",Table1[[#This Row],[Wealthier_Winner]]=1,"Wealthier Nation Wins")</f>
        <v>Tie</v>
      </c>
    </row>
    <row r="1649" spans="1:17" x14ac:dyDescent="0.2">
      <c r="A1649" s="1">
        <v>2974</v>
      </c>
      <c r="B1649" s="2">
        <v>35378</v>
      </c>
      <c r="C1649" s="7">
        <f>_xlfn.FLOOR.MATH(Table1[[#This Row],[year]],10)</f>
        <v>1990</v>
      </c>
      <c r="D1649" t="s">
        <v>29</v>
      </c>
      <c r="E1649" t="s">
        <v>525</v>
      </c>
      <c r="F1649">
        <v>2</v>
      </c>
      <c r="G1649">
        <v>1</v>
      </c>
      <c r="H1649" t="s">
        <v>224</v>
      </c>
      <c r="I1649" t="s">
        <v>270</v>
      </c>
      <c r="J1649" t="s">
        <v>29</v>
      </c>
      <c r="K1649" t="b">
        <v>0</v>
      </c>
      <c r="L1649">
        <v>1996</v>
      </c>
      <c r="M1649">
        <v>235952581232</v>
      </c>
      <c r="N1649">
        <v>5799465288</v>
      </c>
      <c r="O1649" t="b">
        <v>1</v>
      </c>
      <c r="P1649">
        <v>1</v>
      </c>
      <c r="Q1649" t="str" cm="1">
        <f t="array" ref="Q1649">_xlfn.IFS(Table1[[#This Row],[Wealthier_Winner]]=-1,"Wealthier Nation Loses",Table1[[#This Row],[Wealthier_Winner]]=0,"Tie",Table1[[#This Row],[Wealthier_Winner]]=1,"Wealthier Nation Wins")</f>
        <v>Wealthier Nation Wins</v>
      </c>
    </row>
    <row r="1650" spans="1:17" x14ac:dyDescent="0.2">
      <c r="A1650" s="1">
        <v>2975</v>
      </c>
      <c r="B1650" s="2">
        <v>35378</v>
      </c>
      <c r="C1650" s="7">
        <f>_xlfn.FLOOR.MATH(Table1[[#This Row],[year]],10)</f>
        <v>1990</v>
      </c>
      <c r="D1650" t="s">
        <v>534</v>
      </c>
      <c r="E1650" t="s">
        <v>194</v>
      </c>
      <c r="F1650">
        <v>0</v>
      </c>
      <c r="G1650">
        <v>2</v>
      </c>
      <c r="H1650" t="s">
        <v>224</v>
      </c>
      <c r="I1650" t="s">
        <v>536</v>
      </c>
      <c r="J1650" t="s">
        <v>534</v>
      </c>
      <c r="K1650" t="b">
        <v>0</v>
      </c>
      <c r="L1650">
        <v>1996</v>
      </c>
      <c r="M1650">
        <v>3094936177</v>
      </c>
      <c r="N1650">
        <v>1425287051482</v>
      </c>
      <c r="O1650" t="b">
        <v>1</v>
      </c>
      <c r="P1650">
        <v>1</v>
      </c>
      <c r="Q1650" t="str" cm="1">
        <f t="array" ref="Q1650">_xlfn.IFS(Table1[[#This Row],[Wealthier_Winner]]=-1,"Wealthier Nation Loses",Table1[[#This Row],[Wealthier_Winner]]=0,"Tie",Table1[[#This Row],[Wealthier_Winner]]=1,"Wealthier Nation Wins")</f>
        <v>Wealthier Nation Wins</v>
      </c>
    </row>
    <row r="1651" spans="1:17" x14ac:dyDescent="0.2">
      <c r="A1651" s="1">
        <v>2977</v>
      </c>
      <c r="B1651" s="2">
        <v>35378</v>
      </c>
      <c r="C1651" s="7">
        <f>_xlfn.FLOOR.MATH(Table1[[#This Row],[year]],10)</f>
        <v>1990</v>
      </c>
      <c r="D1651" t="s">
        <v>503</v>
      </c>
      <c r="E1651" t="s">
        <v>502</v>
      </c>
      <c r="F1651">
        <v>1</v>
      </c>
      <c r="G1651">
        <v>11</v>
      </c>
      <c r="H1651" t="s">
        <v>224</v>
      </c>
      <c r="I1651" t="s">
        <v>537</v>
      </c>
      <c r="J1651" t="s">
        <v>503</v>
      </c>
      <c r="K1651" t="b">
        <v>0</v>
      </c>
      <c r="L1651">
        <v>1996</v>
      </c>
      <c r="M1651">
        <v>2504012993</v>
      </c>
      <c r="N1651">
        <v>4642021256</v>
      </c>
      <c r="O1651" t="b">
        <v>0</v>
      </c>
      <c r="P1651">
        <v>1</v>
      </c>
      <c r="Q1651" t="str" cm="1">
        <f t="array" ref="Q1651">_xlfn.IFS(Table1[[#This Row],[Wealthier_Winner]]=-1,"Wealthier Nation Loses",Table1[[#This Row],[Wealthier_Winner]]=0,"Tie",Table1[[#This Row],[Wealthier_Winner]]=1,"Wealthier Nation Wins")</f>
        <v>Wealthier Nation Wins</v>
      </c>
    </row>
    <row r="1652" spans="1:17" x14ac:dyDescent="0.2">
      <c r="A1652" s="1">
        <v>2978</v>
      </c>
      <c r="B1652" s="2">
        <v>35378</v>
      </c>
      <c r="C1652" s="7">
        <f>_xlfn.FLOOR.MATH(Table1[[#This Row],[year]],10)</f>
        <v>1990</v>
      </c>
      <c r="D1652" t="s">
        <v>24</v>
      </c>
      <c r="E1652" t="s">
        <v>342</v>
      </c>
      <c r="F1652">
        <v>4</v>
      </c>
      <c r="G1652">
        <v>0</v>
      </c>
      <c r="H1652" t="s">
        <v>224</v>
      </c>
      <c r="I1652" t="s">
        <v>319</v>
      </c>
      <c r="J1652" t="s">
        <v>24</v>
      </c>
      <c r="K1652" t="b">
        <v>0</v>
      </c>
      <c r="L1652">
        <v>1996</v>
      </c>
      <c r="M1652">
        <v>43161571527</v>
      </c>
      <c r="N1652">
        <v>941709422</v>
      </c>
      <c r="O1652" t="b">
        <v>1</v>
      </c>
      <c r="P1652">
        <v>1</v>
      </c>
      <c r="Q1652" t="str" cm="1">
        <f t="array" ref="Q1652">_xlfn.IFS(Table1[[#This Row],[Wealthier_Winner]]=-1,"Wealthier Nation Loses",Table1[[#This Row],[Wealthier_Winner]]=0,"Tie",Table1[[#This Row],[Wealthier_Winner]]=1,"Wealthier Nation Wins")</f>
        <v>Wealthier Nation Wins</v>
      </c>
    </row>
    <row r="1653" spans="1:17" x14ac:dyDescent="0.2">
      <c r="A1653" s="1">
        <v>2980</v>
      </c>
      <c r="B1653" s="2">
        <v>35378</v>
      </c>
      <c r="C1653" s="7">
        <f>_xlfn.FLOOR.MATH(Table1[[#This Row],[year]],10)</f>
        <v>1990</v>
      </c>
      <c r="D1653" t="s">
        <v>43</v>
      </c>
      <c r="E1653" t="s">
        <v>345</v>
      </c>
      <c r="F1653">
        <v>2</v>
      </c>
      <c r="G1653">
        <v>0</v>
      </c>
      <c r="H1653" t="s">
        <v>224</v>
      </c>
      <c r="I1653" t="s">
        <v>229</v>
      </c>
      <c r="J1653" t="s">
        <v>43</v>
      </c>
      <c r="K1653" t="b">
        <v>0</v>
      </c>
      <c r="L1653">
        <v>1996</v>
      </c>
      <c r="M1653">
        <v>185730236700</v>
      </c>
      <c r="N1653">
        <v>2586550595</v>
      </c>
      <c r="O1653" t="b">
        <v>1</v>
      </c>
      <c r="P1653">
        <v>1</v>
      </c>
      <c r="Q1653" t="str" cm="1">
        <f t="array" ref="Q1653">_xlfn.IFS(Table1[[#This Row],[Wealthier_Winner]]=-1,"Wealthier Nation Loses",Table1[[#This Row],[Wealthier_Winner]]=0,"Tie",Table1[[#This Row],[Wealthier_Winner]]=1,"Wealthier Nation Wins")</f>
        <v>Wealthier Nation Wins</v>
      </c>
    </row>
    <row r="1654" spans="1:17" x14ac:dyDescent="0.2">
      <c r="A1654" s="1">
        <v>2981</v>
      </c>
      <c r="B1654" s="2">
        <v>35378</v>
      </c>
      <c r="C1654" s="7">
        <f>_xlfn.FLOOR.MATH(Table1[[#This Row],[year]],10)</f>
        <v>1990</v>
      </c>
      <c r="D1654" t="s">
        <v>38</v>
      </c>
      <c r="E1654" t="s">
        <v>64</v>
      </c>
      <c r="F1654">
        <v>1</v>
      </c>
      <c r="G1654">
        <v>0</v>
      </c>
      <c r="H1654" t="s">
        <v>224</v>
      </c>
      <c r="I1654" t="s">
        <v>292</v>
      </c>
      <c r="J1654" t="s">
        <v>38</v>
      </c>
      <c r="K1654" t="b">
        <v>0</v>
      </c>
      <c r="L1654">
        <v>1996</v>
      </c>
      <c r="M1654">
        <v>122630089680</v>
      </c>
      <c r="N1654">
        <v>44558831005</v>
      </c>
      <c r="O1654" t="b">
        <v>1</v>
      </c>
      <c r="P1654">
        <v>1</v>
      </c>
      <c r="Q1654" t="str" cm="1">
        <f t="array" ref="Q1654">_xlfn.IFS(Table1[[#This Row],[Wealthier_Winner]]=-1,"Wealthier Nation Loses",Table1[[#This Row],[Wealthier_Winner]]=0,"Tie",Table1[[#This Row],[Wealthier_Winner]]=1,"Wealthier Nation Wins")</f>
        <v>Wealthier Nation Wins</v>
      </c>
    </row>
    <row r="1655" spans="1:17" x14ac:dyDescent="0.2">
      <c r="A1655" s="1">
        <v>2983</v>
      </c>
      <c r="B1655" s="2">
        <v>35379</v>
      </c>
      <c r="C1655" s="7">
        <f>_xlfn.FLOOR.MATH(Table1[[#This Row],[year]],10)</f>
        <v>1990</v>
      </c>
      <c r="D1655" t="s">
        <v>56</v>
      </c>
      <c r="E1655" t="s">
        <v>223</v>
      </c>
      <c r="F1655">
        <v>3</v>
      </c>
      <c r="G1655">
        <v>0</v>
      </c>
      <c r="H1655" t="s">
        <v>224</v>
      </c>
      <c r="I1655" t="s">
        <v>225</v>
      </c>
      <c r="J1655" t="s">
        <v>56</v>
      </c>
      <c r="K1655" t="b">
        <v>0</v>
      </c>
      <c r="L1655">
        <v>1996</v>
      </c>
      <c r="M1655">
        <v>11678424507</v>
      </c>
      <c r="N1655">
        <v>15674835615</v>
      </c>
      <c r="O1655" t="b">
        <v>0</v>
      </c>
      <c r="P1655">
        <v>-1</v>
      </c>
      <c r="Q1655" t="str" cm="1">
        <f t="array" ref="Q1655">_xlfn.IFS(Table1[[#This Row],[Wealthier_Winner]]=-1,"Wealthier Nation Loses",Table1[[#This Row],[Wealthier_Winner]]=0,"Tie",Table1[[#This Row],[Wealthier_Winner]]=1,"Wealthier Nation Wins")</f>
        <v>Wealthier Nation Loses</v>
      </c>
    </row>
    <row r="1656" spans="1:17" x14ac:dyDescent="0.2">
      <c r="A1656" s="1">
        <v>2985</v>
      </c>
      <c r="B1656" s="2">
        <v>35379</v>
      </c>
      <c r="C1656" s="7">
        <f>_xlfn.FLOOR.MATH(Table1[[#This Row],[year]],10)</f>
        <v>1990</v>
      </c>
      <c r="D1656" t="s">
        <v>60</v>
      </c>
      <c r="E1656" t="s">
        <v>298</v>
      </c>
      <c r="F1656">
        <v>2</v>
      </c>
      <c r="G1656">
        <v>1</v>
      </c>
      <c r="H1656" t="s">
        <v>224</v>
      </c>
      <c r="I1656" t="s">
        <v>396</v>
      </c>
      <c r="J1656" t="s">
        <v>60</v>
      </c>
      <c r="K1656" t="b">
        <v>0</v>
      </c>
      <c r="L1656">
        <v>1996</v>
      </c>
      <c r="M1656">
        <v>7526421519</v>
      </c>
      <c r="N1656">
        <v>8557500000</v>
      </c>
      <c r="O1656" t="b">
        <v>0</v>
      </c>
      <c r="P1656">
        <v>-1</v>
      </c>
      <c r="Q1656" t="str" cm="1">
        <f t="array" ref="Q1656">_xlfn.IFS(Table1[[#This Row],[Wealthier_Winner]]=-1,"Wealthier Nation Loses",Table1[[#This Row],[Wealthier_Winner]]=0,"Tie",Table1[[#This Row],[Wealthier_Winner]]=1,"Wealthier Nation Wins")</f>
        <v>Wealthier Nation Loses</v>
      </c>
    </row>
    <row r="1657" spans="1:17" x14ac:dyDescent="0.2">
      <c r="A1657" s="1">
        <v>2986</v>
      </c>
      <c r="B1657" s="2">
        <v>35379</v>
      </c>
      <c r="C1657" s="7">
        <f>_xlfn.FLOOR.MATH(Table1[[#This Row],[year]],10)</f>
        <v>1990</v>
      </c>
      <c r="D1657" t="s">
        <v>513</v>
      </c>
      <c r="E1657" t="s">
        <v>30</v>
      </c>
      <c r="F1657">
        <v>0</v>
      </c>
      <c r="G1657">
        <v>3</v>
      </c>
      <c r="H1657" t="s">
        <v>224</v>
      </c>
      <c r="I1657" t="s">
        <v>521</v>
      </c>
      <c r="J1657" t="s">
        <v>513</v>
      </c>
      <c r="K1657" t="b">
        <v>0</v>
      </c>
      <c r="L1657">
        <v>1996</v>
      </c>
      <c r="M1657">
        <v>3176507376</v>
      </c>
      <c r="N1657">
        <v>46833767123</v>
      </c>
      <c r="O1657" t="b">
        <v>1</v>
      </c>
      <c r="P1657">
        <v>1</v>
      </c>
      <c r="Q1657" t="str" cm="1">
        <f t="array" ref="Q1657">_xlfn.IFS(Table1[[#This Row],[Wealthier_Winner]]=-1,"Wealthier Nation Loses",Table1[[#This Row],[Wealthier_Winner]]=0,"Tie",Table1[[#This Row],[Wealthier_Winner]]=1,"Wealthier Nation Wins")</f>
        <v>Wealthier Nation Wins</v>
      </c>
    </row>
    <row r="1658" spans="1:17" x14ac:dyDescent="0.2">
      <c r="A1658" s="1">
        <v>2987</v>
      </c>
      <c r="B1658" s="2">
        <v>35379</v>
      </c>
      <c r="C1658" s="7">
        <f>_xlfn.FLOOR.MATH(Table1[[#This Row],[year]],10)</f>
        <v>1990</v>
      </c>
      <c r="D1658" t="s">
        <v>47</v>
      </c>
      <c r="E1658" t="s">
        <v>15</v>
      </c>
      <c r="F1658">
        <v>2</v>
      </c>
      <c r="G1658">
        <v>2</v>
      </c>
      <c r="H1658" t="s">
        <v>224</v>
      </c>
      <c r="I1658" t="s">
        <v>246</v>
      </c>
      <c r="J1658" t="s">
        <v>47</v>
      </c>
      <c r="K1658" t="b">
        <v>0</v>
      </c>
      <c r="L1658">
        <v>1996</v>
      </c>
      <c r="M1658">
        <v>7396949126</v>
      </c>
      <c r="N1658">
        <v>97160109277</v>
      </c>
      <c r="O1658" t="b">
        <v>1</v>
      </c>
      <c r="P1658">
        <v>0</v>
      </c>
      <c r="Q1658" t="str" cm="1">
        <f t="array" ref="Q1658">_xlfn.IFS(Table1[[#This Row],[Wealthier_Winner]]=-1,"Wealthier Nation Loses",Table1[[#This Row],[Wealthier_Winner]]=0,"Tie",Table1[[#This Row],[Wealthier_Winner]]=1,"Wealthier Nation Wins")</f>
        <v>Tie</v>
      </c>
    </row>
    <row r="1659" spans="1:17" x14ac:dyDescent="0.2">
      <c r="A1659" s="1">
        <v>2989</v>
      </c>
      <c r="B1659" s="2">
        <v>35379</v>
      </c>
      <c r="C1659" s="7">
        <f>_xlfn.FLOOR.MATH(Table1[[#This Row],[year]],10)</f>
        <v>1990</v>
      </c>
      <c r="D1659" t="s">
        <v>52</v>
      </c>
      <c r="E1659" t="s">
        <v>48</v>
      </c>
      <c r="F1659">
        <v>1</v>
      </c>
      <c r="G1659">
        <v>1</v>
      </c>
      <c r="H1659" t="s">
        <v>224</v>
      </c>
      <c r="I1659" t="s">
        <v>538</v>
      </c>
      <c r="J1659" t="s">
        <v>52</v>
      </c>
      <c r="K1659" t="b">
        <v>0</v>
      </c>
      <c r="L1659">
        <v>1996</v>
      </c>
      <c r="M1659">
        <v>24150978346</v>
      </c>
      <c r="N1659">
        <v>142502984144</v>
      </c>
      <c r="O1659" t="b">
        <v>1</v>
      </c>
      <c r="P1659">
        <v>0</v>
      </c>
      <c r="Q1659" t="str" cm="1">
        <f t="array" ref="Q1659">_xlfn.IFS(Table1[[#This Row],[Wealthier_Winner]]=-1,"Wealthier Nation Loses",Table1[[#This Row],[Wealthier_Winner]]=0,"Tie",Table1[[#This Row],[Wealthier_Winner]]=1,"Wealthier Nation Wins")</f>
        <v>Tie</v>
      </c>
    </row>
    <row r="1660" spans="1:17" x14ac:dyDescent="0.2">
      <c r="A1660" s="1">
        <v>2990</v>
      </c>
      <c r="B1660" s="2">
        <v>35379</v>
      </c>
      <c r="C1660" s="7">
        <f>_xlfn.FLOOR.MATH(Table1[[#This Row],[year]],10)</f>
        <v>1990</v>
      </c>
      <c r="D1660" t="s">
        <v>351</v>
      </c>
      <c r="E1660" t="s">
        <v>22</v>
      </c>
      <c r="F1660">
        <v>2</v>
      </c>
      <c r="G1660">
        <v>0</v>
      </c>
      <c r="H1660" t="s">
        <v>224</v>
      </c>
      <c r="I1660" t="s">
        <v>352</v>
      </c>
      <c r="J1660" t="s">
        <v>351</v>
      </c>
      <c r="K1660" t="b">
        <v>0</v>
      </c>
      <c r="L1660">
        <v>1996</v>
      </c>
      <c r="M1660">
        <v>10011914680</v>
      </c>
      <c r="N1660">
        <v>115116595544</v>
      </c>
      <c r="O1660" t="b">
        <v>1</v>
      </c>
      <c r="P1660">
        <v>-1</v>
      </c>
      <c r="Q1660" t="str" cm="1">
        <f t="array" ref="Q1660">_xlfn.IFS(Table1[[#This Row],[Wealthier_Winner]]=-1,"Wealthier Nation Loses",Table1[[#This Row],[Wealthier_Winner]]=0,"Tie",Table1[[#This Row],[Wealthier_Winner]]=1,"Wealthier Nation Wins")</f>
        <v>Wealthier Nation Loses</v>
      </c>
    </row>
    <row r="1661" spans="1:17" x14ac:dyDescent="0.2">
      <c r="A1661" s="1">
        <v>2991</v>
      </c>
      <c r="B1661" s="2">
        <v>35379</v>
      </c>
      <c r="C1661" s="7">
        <f>_xlfn.FLOOR.MATH(Table1[[#This Row],[year]],10)</f>
        <v>1990</v>
      </c>
      <c r="D1661" t="s">
        <v>69</v>
      </c>
      <c r="E1661" t="s">
        <v>67</v>
      </c>
      <c r="F1661">
        <v>3</v>
      </c>
      <c r="G1661">
        <v>2</v>
      </c>
      <c r="H1661" t="s">
        <v>224</v>
      </c>
      <c r="I1661" t="s">
        <v>281</v>
      </c>
      <c r="J1661" t="s">
        <v>69</v>
      </c>
      <c r="K1661" t="b">
        <v>0</v>
      </c>
      <c r="L1661">
        <v>1996</v>
      </c>
      <c r="M1661">
        <v>9586327800</v>
      </c>
      <c r="N1661">
        <v>9197503322</v>
      </c>
      <c r="O1661" t="b">
        <v>0</v>
      </c>
      <c r="P1661">
        <v>1</v>
      </c>
      <c r="Q1661" t="str" cm="1">
        <f t="array" ref="Q1661">_xlfn.IFS(Table1[[#This Row],[Wealthier_Winner]]=-1,"Wealthier Nation Loses",Table1[[#This Row],[Wealthier_Winner]]=0,"Tie",Table1[[#This Row],[Wealthier_Winner]]=1,"Wealthier Nation Wins")</f>
        <v>Wealthier Nation Wins</v>
      </c>
    </row>
    <row r="1662" spans="1:17" x14ac:dyDescent="0.2">
      <c r="A1662" s="1">
        <v>2992</v>
      </c>
      <c r="B1662" s="2">
        <v>35379</v>
      </c>
      <c r="C1662" s="7">
        <f>_xlfn.FLOOR.MATH(Table1[[#This Row],[year]],10)</f>
        <v>1990</v>
      </c>
      <c r="D1662" t="s">
        <v>433</v>
      </c>
      <c r="E1662" t="s">
        <v>63</v>
      </c>
      <c r="F1662">
        <v>1</v>
      </c>
      <c r="G1662">
        <v>1</v>
      </c>
      <c r="H1662" t="s">
        <v>224</v>
      </c>
      <c r="I1662" t="s">
        <v>436</v>
      </c>
      <c r="J1662" t="s">
        <v>433</v>
      </c>
      <c r="K1662" t="b">
        <v>0</v>
      </c>
      <c r="L1662">
        <v>1996</v>
      </c>
      <c r="M1662">
        <v>5694040002</v>
      </c>
      <c r="N1662">
        <v>6932991739</v>
      </c>
      <c r="O1662" t="b">
        <v>0</v>
      </c>
      <c r="P1662">
        <v>0</v>
      </c>
      <c r="Q1662" t="str" cm="1">
        <f t="array" ref="Q1662">_xlfn.IFS(Table1[[#This Row],[Wealthier_Winner]]=-1,"Wealthier Nation Loses",Table1[[#This Row],[Wealthier_Winner]]=0,"Tie",Table1[[#This Row],[Wealthier_Winner]]=1,"Wealthier Nation Wins")</f>
        <v>Tie</v>
      </c>
    </row>
    <row r="1663" spans="1:17" x14ac:dyDescent="0.2">
      <c r="A1663" s="1">
        <v>2993</v>
      </c>
      <c r="B1663" s="2">
        <v>35379</v>
      </c>
      <c r="C1663" s="7">
        <f>_xlfn.FLOOR.MATH(Table1[[#This Row],[year]],10)</f>
        <v>1990</v>
      </c>
      <c r="D1663" t="s">
        <v>305</v>
      </c>
      <c r="E1663" t="s">
        <v>314</v>
      </c>
      <c r="F1663">
        <v>3</v>
      </c>
      <c r="G1663">
        <v>1</v>
      </c>
      <c r="H1663" t="s">
        <v>224</v>
      </c>
      <c r="I1663" t="s">
        <v>306</v>
      </c>
      <c r="J1663" t="s">
        <v>305</v>
      </c>
      <c r="K1663" t="b">
        <v>0</v>
      </c>
      <c r="L1663">
        <v>1996</v>
      </c>
      <c r="M1663">
        <v>5641243099</v>
      </c>
      <c r="N1663">
        <v>12045865396</v>
      </c>
      <c r="O1663" t="b">
        <v>1</v>
      </c>
      <c r="P1663">
        <v>-1</v>
      </c>
      <c r="Q1663" t="str" cm="1">
        <f t="array" ref="Q1663">_xlfn.IFS(Table1[[#This Row],[Wealthier_Winner]]=-1,"Wealthier Nation Loses",Table1[[#This Row],[Wealthier_Winner]]=0,"Tie",Table1[[#This Row],[Wealthier_Winner]]=1,"Wealthier Nation Wins")</f>
        <v>Wealthier Nation Loses</v>
      </c>
    </row>
    <row r="1664" spans="1:17" x14ac:dyDescent="0.2">
      <c r="A1664" s="1">
        <v>2995</v>
      </c>
      <c r="B1664" s="2">
        <v>35379</v>
      </c>
      <c r="C1664" s="7">
        <f>_xlfn.FLOOR.MATH(Table1[[#This Row],[year]],10)</f>
        <v>1990</v>
      </c>
      <c r="D1664" t="s">
        <v>378</v>
      </c>
      <c r="E1664" t="s">
        <v>53</v>
      </c>
      <c r="F1664">
        <v>0</v>
      </c>
      <c r="G1664">
        <v>1</v>
      </c>
      <c r="H1664" t="s">
        <v>224</v>
      </c>
      <c r="I1664" t="s">
        <v>226</v>
      </c>
      <c r="J1664" t="s">
        <v>63</v>
      </c>
      <c r="K1664" t="b">
        <v>1</v>
      </c>
      <c r="L1664">
        <v>1996</v>
      </c>
      <c r="M1664">
        <v>159400000</v>
      </c>
      <c r="N1664">
        <v>19587161806</v>
      </c>
      <c r="O1664" t="b">
        <v>1</v>
      </c>
      <c r="P1664">
        <v>1</v>
      </c>
      <c r="Q1664" t="str" cm="1">
        <f t="array" ref="Q1664">_xlfn.IFS(Table1[[#This Row],[Wealthier_Winner]]=-1,"Wealthier Nation Loses",Table1[[#This Row],[Wealthier_Winner]]=0,"Tie",Table1[[#This Row],[Wealthier_Winner]]=1,"Wealthier Nation Wins")</f>
        <v>Wealthier Nation Wins</v>
      </c>
    </row>
    <row r="1665" spans="1:17" x14ac:dyDescent="0.2">
      <c r="A1665" s="1">
        <v>2996</v>
      </c>
      <c r="B1665" s="2">
        <v>35379</v>
      </c>
      <c r="C1665" s="7">
        <f>_xlfn.FLOOR.MATH(Table1[[#This Row],[year]],10)</f>
        <v>1990</v>
      </c>
      <c r="D1665" t="s">
        <v>232</v>
      </c>
      <c r="E1665" t="s">
        <v>196</v>
      </c>
      <c r="F1665">
        <v>0</v>
      </c>
      <c r="G1665">
        <v>4</v>
      </c>
      <c r="H1665" t="s">
        <v>224</v>
      </c>
      <c r="I1665" t="s">
        <v>232</v>
      </c>
      <c r="J1665" t="s">
        <v>232</v>
      </c>
      <c r="K1665" t="b">
        <v>0</v>
      </c>
      <c r="L1665">
        <v>1996</v>
      </c>
      <c r="M1665">
        <v>20895314657</v>
      </c>
      <c r="N1665">
        <v>391724890744</v>
      </c>
      <c r="O1665" t="b">
        <v>1</v>
      </c>
      <c r="P1665">
        <v>1</v>
      </c>
      <c r="Q1665" t="str" cm="1">
        <f t="array" ref="Q1665">_xlfn.IFS(Table1[[#This Row],[Wealthier_Winner]]=-1,"Wealthier Nation Loses",Table1[[#This Row],[Wealthier_Winner]]=0,"Tie",Table1[[#This Row],[Wealthier_Winner]]=1,"Wealthier Nation Wins")</f>
        <v>Wealthier Nation Wins</v>
      </c>
    </row>
    <row r="1666" spans="1:17" x14ac:dyDescent="0.2">
      <c r="A1666" s="1">
        <v>2997</v>
      </c>
      <c r="B1666" s="2">
        <v>35379</v>
      </c>
      <c r="C1666" s="7">
        <f>_xlfn.FLOOR.MATH(Table1[[#This Row],[year]],10)</f>
        <v>1990</v>
      </c>
      <c r="D1666" t="s">
        <v>35</v>
      </c>
      <c r="E1666" t="s">
        <v>57</v>
      </c>
      <c r="F1666">
        <v>1</v>
      </c>
      <c r="G1666">
        <v>0</v>
      </c>
      <c r="H1666" t="s">
        <v>224</v>
      </c>
      <c r="I1666" t="s">
        <v>250</v>
      </c>
      <c r="J1666" t="s">
        <v>35</v>
      </c>
      <c r="K1666" t="b">
        <v>0</v>
      </c>
      <c r="L1666">
        <v>1996</v>
      </c>
      <c r="M1666">
        <v>9788391780</v>
      </c>
      <c r="N1666">
        <v>25226393196</v>
      </c>
      <c r="O1666" t="b">
        <v>1</v>
      </c>
      <c r="P1666">
        <v>-1</v>
      </c>
      <c r="Q1666" t="str" cm="1">
        <f t="array" ref="Q1666">_xlfn.IFS(Table1[[#This Row],[Wealthier_Winner]]=-1,"Wealthier Nation Loses",Table1[[#This Row],[Wealthier_Winner]]=0,"Tie",Table1[[#This Row],[Wealthier_Winner]]=1,"Wealthier Nation Wins")</f>
        <v>Wealthier Nation Loses</v>
      </c>
    </row>
    <row r="1667" spans="1:17" x14ac:dyDescent="0.2">
      <c r="A1667" s="1">
        <v>2998</v>
      </c>
      <c r="B1667" s="2">
        <v>35379</v>
      </c>
      <c r="C1667" s="7">
        <f>_xlfn.FLOOR.MATH(Table1[[#This Row],[year]],10)</f>
        <v>1990</v>
      </c>
      <c r="D1667" t="s">
        <v>31</v>
      </c>
      <c r="E1667" t="s">
        <v>258</v>
      </c>
      <c r="F1667">
        <v>4</v>
      </c>
      <c r="G1667">
        <v>1</v>
      </c>
      <c r="H1667" t="s">
        <v>224</v>
      </c>
      <c r="I1667" t="s">
        <v>242</v>
      </c>
      <c r="J1667" t="s">
        <v>31</v>
      </c>
      <c r="K1667" t="b">
        <v>0</v>
      </c>
      <c r="L1667">
        <v>1996</v>
      </c>
      <c r="M1667">
        <v>55252414130</v>
      </c>
      <c r="N1667">
        <v>70543211119</v>
      </c>
      <c r="O1667" t="b">
        <v>0</v>
      </c>
      <c r="P1667">
        <v>-1</v>
      </c>
      <c r="Q1667" t="str" cm="1">
        <f t="array" ref="Q1667">_xlfn.IFS(Table1[[#This Row],[Wealthier_Winner]]=-1,"Wealthier Nation Loses",Table1[[#This Row],[Wealthier_Winner]]=0,"Tie",Table1[[#This Row],[Wealthier_Winner]]=1,"Wealthier Nation Wins")</f>
        <v>Wealthier Nation Loses</v>
      </c>
    </row>
    <row r="1668" spans="1:17" x14ac:dyDescent="0.2">
      <c r="A1668" s="1">
        <v>2999</v>
      </c>
      <c r="B1668" s="2">
        <v>35379</v>
      </c>
      <c r="C1668" s="7">
        <f>_xlfn.FLOOR.MATH(Table1[[#This Row],[year]],10)</f>
        <v>1990</v>
      </c>
      <c r="D1668" t="s">
        <v>58</v>
      </c>
      <c r="E1668" t="s">
        <v>527</v>
      </c>
      <c r="F1668">
        <v>2</v>
      </c>
      <c r="G1668">
        <v>1</v>
      </c>
      <c r="H1668" t="s">
        <v>224</v>
      </c>
      <c r="I1668" t="s">
        <v>539</v>
      </c>
      <c r="J1668" t="s">
        <v>58</v>
      </c>
      <c r="K1668" t="b">
        <v>0</v>
      </c>
      <c r="L1668">
        <v>1996</v>
      </c>
      <c r="M1668">
        <v>160813026223</v>
      </c>
      <c r="N1668">
        <v>1695122173</v>
      </c>
      <c r="O1668" t="b">
        <v>1</v>
      </c>
      <c r="P1668">
        <v>1</v>
      </c>
      <c r="Q1668" t="str" cm="1">
        <f t="array" ref="Q1668">_xlfn.IFS(Table1[[#This Row],[Wealthier_Winner]]=-1,"Wealthier Nation Loses",Table1[[#This Row],[Wealthier_Winner]]=0,"Tie",Table1[[#This Row],[Wealthier_Winner]]=1,"Wealthier Nation Wins")</f>
        <v>Wealthier Nation Wins</v>
      </c>
    </row>
    <row r="1669" spans="1:17" x14ac:dyDescent="0.2">
      <c r="A1669" s="1">
        <v>3002</v>
      </c>
      <c r="B1669" s="2">
        <v>35379</v>
      </c>
      <c r="C1669" s="7">
        <f>_xlfn.FLOOR.MATH(Table1[[#This Row],[year]],10)</f>
        <v>1990</v>
      </c>
      <c r="D1669" t="s">
        <v>55</v>
      </c>
      <c r="E1669" t="s">
        <v>73</v>
      </c>
      <c r="F1669">
        <v>1</v>
      </c>
      <c r="G1669">
        <v>2</v>
      </c>
      <c r="H1669" t="s">
        <v>224</v>
      </c>
      <c r="I1669" t="s">
        <v>529</v>
      </c>
      <c r="J1669" t="s">
        <v>55</v>
      </c>
      <c r="K1669" t="b">
        <v>0</v>
      </c>
      <c r="L1669">
        <v>1996</v>
      </c>
      <c r="M1669">
        <v>21470699362</v>
      </c>
      <c r="N1669">
        <v>2786045321</v>
      </c>
      <c r="O1669" t="b">
        <v>1</v>
      </c>
      <c r="P1669">
        <v>-1</v>
      </c>
      <c r="Q1669" t="str" cm="1">
        <f t="array" ref="Q1669">_xlfn.IFS(Table1[[#This Row],[Wealthier_Winner]]=-1,"Wealthier Nation Loses",Table1[[#This Row],[Wealthier_Winner]]=0,"Tie",Table1[[#This Row],[Wealthier_Winner]]=1,"Wealthier Nation Wins")</f>
        <v>Wealthier Nation Loses</v>
      </c>
    </row>
    <row r="1670" spans="1:17" x14ac:dyDescent="0.2">
      <c r="A1670" s="1">
        <v>3003</v>
      </c>
      <c r="B1670" s="2">
        <v>35379</v>
      </c>
      <c r="C1670" s="7">
        <f>_xlfn.FLOOR.MATH(Table1[[#This Row],[year]],10)</f>
        <v>1990</v>
      </c>
      <c r="D1670" t="s">
        <v>46</v>
      </c>
      <c r="E1670" t="s">
        <v>42</v>
      </c>
      <c r="F1670">
        <v>0</v>
      </c>
      <c r="G1670">
        <v>1</v>
      </c>
      <c r="H1670" t="s">
        <v>224</v>
      </c>
      <c r="I1670" t="s">
        <v>249</v>
      </c>
      <c r="J1670" t="s">
        <v>46</v>
      </c>
      <c r="K1670" t="b">
        <v>0</v>
      </c>
      <c r="L1670">
        <v>1996</v>
      </c>
      <c r="M1670">
        <v>340103959546</v>
      </c>
      <c r="N1670">
        <v>163520109150</v>
      </c>
      <c r="O1670" t="b">
        <v>1</v>
      </c>
      <c r="P1670">
        <v>-1</v>
      </c>
      <c r="Q1670" t="str" cm="1">
        <f t="array" ref="Q1670">_xlfn.IFS(Table1[[#This Row],[Wealthier_Winner]]=-1,"Wealthier Nation Loses",Table1[[#This Row],[Wealthier_Winner]]=0,"Tie",Table1[[#This Row],[Wealthier_Winner]]=1,"Wealthier Nation Wins")</f>
        <v>Wealthier Nation Loses</v>
      </c>
    </row>
    <row r="1671" spans="1:17" x14ac:dyDescent="0.2">
      <c r="A1671" s="1">
        <v>3004</v>
      </c>
      <c r="B1671" s="2">
        <v>35379</v>
      </c>
      <c r="C1671" s="7">
        <f>_xlfn.FLOOR.MATH(Table1[[#This Row],[year]],10)</f>
        <v>1990</v>
      </c>
      <c r="D1671" t="s">
        <v>62</v>
      </c>
      <c r="E1671" t="s">
        <v>40</v>
      </c>
      <c r="F1671">
        <v>2</v>
      </c>
      <c r="G1671">
        <v>4</v>
      </c>
      <c r="H1671" t="s">
        <v>224</v>
      </c>
      <c r="I1671" t="s">
        <v>353</v>
      </c>
      <c r="J1671" t="s">
        <v>62</v>
      </c>
      <c r="K1671" t="b">
        <v>0</v>
      </c>
      <c r="L1671">
        <v>1996</v>
      </c>
      <c r="M1671">
        <v>2069506014</v>
      </c>
      <c r="N1671">
        <v>11093538846</v>
      </c>
      <c r="O1671" t="b">
        <v>1</v>
      </c>
      <c r="P1671">
        <v>1</v>
      </c>
      <c r="Q1671" t="str" cm="1">
        <f t="array" ref="Q1671">_xlfn.IFS(Table1[[#This Row],[Wealthier_Winner]]=-1,"Wealthier Nation Loses",Table1[[#This Row],[Wealthier_Winner]]=0,"Tie",Table1[[#This Row],[Wealthier_Winner]]=1,"Wealthier Nation Wins")</f>
        <v>Wealthier Nation Wins</v>
      </c>
    </row>
    <row r="1672" spans="1:17" x14ac:dyDescent="0.2">
      <c r="A1672" s="1">
        <v>3006</v>
      </c>
      <c r="B1672" s="2">
        <v>35379</v>
      </c>
      <c r="C1672" s="7">
        <f>_xlfn.FLOOR.MATH(Table1[[#This Row],[year]],10)</f>
        <v>1990</v>
      </c>
      <c r="D1672" t="s">
        <v>41</v>
      </c>
      <c r="E1672" t="s">
        <v>59</v>
      </c>
      <c r="F1672">
        <v>2</v>
      </c>
      <c r="G1672">
        <v>0</v>
      </c>
      <c r="H1672" t="s">
        <v>224</v>
      </c>
      <c r="I1672" t="s">
        <v>540</v>
      </c>
      <c r="J1672" t="s">
        <v>41</v>
      </c>
      <c r="K1672" t="b">
        <v>0</v>
      </c>
      <c r="L1672">
        <v>1996</v>
      </c>
      <c r="M1672">
        <v>8073122000000</v>
      </c>
      <c r="N1672">
        <v>5759570336</v>
      </c>
      <c r="O1672" t="b">
        <v>1</v>
      </c>
      <c r="P1672">
        <v>1</v>
      </c>
      <c r="Q1672" t="str" cm="1">
        <f t="array" ref="Q1672">_xlfn.IFS(Table1[[#This Row],[Wealthier_Winner]]=-1,"Wealthier Nation Loses",Table1[[#This Row],[Wealthier_Winner]]=0,"Tie",Table1[[#This Row],[Wealthier_Winner]]=1,"Wealthier Nation Wins")</f>
        <v>Wealthier Nation Wins</v>
      </c>
    </row>
    <row r="1673" spans="1:17" x14ac:dyDescent="0.2">
      <c r="A1673" s="1">
        <v>3008</v>
      </c>
      <c r="B1673" s="2">
        <v>35381</v>
      </c>
      <c r="C1673" s="7">
        <f>_xlfn.FLOOR.MATH(Table1[[#This Row],[year]],10)</f>
        <v>1990</v>
      </c>
      <c r="D1673" t="s">
        <v>14</v>
      </c>
      <c r="E1673" t="s">
        <v>26</v>
      </c>
      <c r="F1673">
        <v>1</v>
      </c>
      <c r="G1673">
        <v>0</v>
      </c>
      <c r="H1673" t="s">
        <v>224</v>
      </c>
      <c r="I1673" t="s">
        <v>75</v>
      </c>
      <c r="J1673" t="s">
        <v>14</v>
      </c>
      <c r="K1673" t="b">
        <v>0</v>
      </c>
      <c r="L1673">
        <v>1996</v>
      </c>
      <c r="M1673">
        <v>78584098983</v>
      </c>
      <c r="N1673">
        <v>20515458113</v>
      </c>
      <c r="O1673" t="b">
        <v>1</v>
      </c>
      <c r="P1673">
        <v>1</v>
      </c>
      <c r="Q1673" t="str" cm="1">
        <f t="array" ref="Q1673">_xlfn.IFS(Table1[[#This Row],[Wealthier_Winner]]=-1,"Wealthier Nation Loses",Table1[[#This Row],[Wealthier_Winner]]=0,"Tie",Table1[[#This Row],[Wealthier_Winner]]=1,"Wealthier Nation Wins")</f>
        <v>Wealthier Nation Wins</v>
      </c>
    </row>
    <row r="1674" spans="1:17" x14ac:dyDescent="0.2">
      <c r="A1674" s="1">
        <v>3011</v>
      </c>
      <c r="B1674" s="2">
        <v>35384</v>
      </c>
      <c r="C1674" s="7">
        <f>_xlfn.FLOOR.MATH(Table1[[#This Row],[year]],10)</f>
        <v>1990</v>
      </c>
      <c r="D1674" t="s">
        <v>541</v>
      </c>
      <c r="E1674" t="s">
        <v>542</v>
      </c>
      <c r="F1674">
        <v>1</v>
      </c>
      <c r="G1674">
        <v>0</v>
      </c>
      <c r="H1674" t="s">
        <v>224</v>
      </c>
      <c r="I1674" t="s">
        <v>543</v>
      </c>
      <c r="J1674" t="s">
        <v>541</v>
      </c>
      <c r="K1674" t="b">
        <v>0</v>
      </c>
      <c r="L1674">
        <v>1996</v>
      </c>
      <c r="M1674">
        <v>222100576</v>
      </c>
      <c r="N1674">
        <v>249907868</v>
      </c>
      <c r="O1674" t="b">
        <v>0</v>
      </c>
      <c r="P1674">
        <v>-1</v>
      </c>
      <c r="Q1674" t="str" cm="1">
        <f t="array" ref="Q1674">_xlfn.IFS(Table1[[#This Row],[Wealthier_Winner]]=-1,"Wealthier Nation Loses",Table1[[#This Row],[Wealthier_Winner]]=0,"Tie",Table1[[#This Row],[Wealthier_Winner]]=1,"Wealthier Nation Wins")</f>
        <v>Wealthier Nation Loses</v>
      </c>
    </row>
    <row r="1675" spans="1:17" x14ac:dyDescent="0.2">
      <c r="A1675" s="1">
        <v>3013</v>
      </c>
      <c r="B1675" s="2">
        <v>35386</v>
      </c>
      <c r="C1675" s="7">
        <f>_xlfn.FLOOR.MATH(Table1[[#This Row],[year]],10)</f>
        <v>1990</v>
      </c>
      <c r="D1675" t="s">
        <v>49</v>
      </c>
      <c r="E1675" t="s">
        <v>17</v>
      </c>
      <c r="F1675">
        <v>1</v>
      </c>
      <c r="G1675">
        <v>0</v>
      </c>
      <c r="H1675" t="s">
        <v>224</v>
      </c>
      <c r="I1675" t="s">
        <v>257</v>
      </c>
      <c r="J1675" t="s">
        <v>49</v>
      </c>
      <c r="K1675" t="b">
        <v>0</v>
      </c>
      <c r="L1675">
        <v>1996</v>
      </c>
      <c r="M1675">
        <v>7393891920</v>
      </c>
      <c r="N1675">
        <v>432157945024</v>
      </c>
      <c r="O1675" t="b">
        <v>1</v>
      </c>
      <c r="P1675">
        <v>-1</v>
      </c>
      <c r="Q1675" t="str" cm="1">
        <f t="array" ref="Q1675">_xlfn.IFS(Table1[[#This Row],[Wealthier_Winner]]=-1,"Wealthier Nation Loses",Table1[[#This Row],[Wealthier_Winner]]=0,"Tie",Table1[[#This Row],[Wealthier_Winner]]=1,"Wealthier Nation Wins")</f>
        <v>Wealthier Nation Loses</v>
      </c>
    </row>
    <row r="1676" spans="1:17" x14ac:dyDescent="0.2">
      <c r="A1676" s="1">
        <v>3014</v>
      </c>
      <c r="B1676" s="2">
        <v>35393</v>
      </c>
      <c r="C1676" s="7">
        <f>_xlfn.FLOOR.MATH(Table1[[#This Row],[year]],10)</f>
        <v>1990</v>
      </c>
      <c r="D1676" t="s">
        <v>223</v>
      </c>
      <c r="E1676" t="s">
        <v>56</v>
      </c>
      <c r="F1676">
        <v>1</v>
      </c>
      <c r="G1676">
        <v>0</v>
      </c>
      <c r="H1676" t="s">
        <v>224</v>
      </c>
      <c r="I1676" t="s">
        <v>234</v>
      </c>
      <c r="J1676" t="s">
        <v>41</v>
      </c>
      <c r="K1676" t="b">
        <v>1</v>
      </c>
      <c r="L1676">
        <v>1996</v>
      </c>
      <c r="M1676">
        <v>15674835615</v>
      </c>
      <c r="N1676">
        <v>11678424507</v>
      </c>
      <c r="O1676" t="b">
        <v>0</v>
      </c>
      <c r="P1676">
        <v>1</v>
      </c>
      <c r="Q1676" t="str" cm="1">
        <f t="array" ref="Q1676">_xlfn.IFS(Table1[[#This Row],[Wealthier_Winner]]=-1,"Wealthier Nation Loses",Table1[[#This Row],[Wealthier_Winner]]=0,"Tie",Table1[[#This Row],[Wealthier_Winner]]=1,"Wealthier Nation Wins")</f>
        <v>Wealthier Nation Wins</v>
      </c>
    </row>
    <row r="1677" spans="1:17" x14ac:dyDescent="0.2">
      <c r="A1677" s="1">
        <v>3015</v>
      </c>
      <c r="B1677" s="2">
        <v>35393</v>
      </c>
      <c r="C1677" s="7">
        <f>_xlfn.FLOOR.MATH(Table1[[#This Row],[year]],10)</f>
        <v>1990</v>
      </c>
      <c r="D1677" t="s">
        <v>59</v>
      </c>
      <c r="E1677" t="s">
        <v>41</v>
      </c>
      <c r="F1677">
        <v>0</v>
      </c>
      <c r="G1677">
        <v>1</v>
      </c>
      <c r="H1677" t="s">
        <v>224</v>
      </c>
      <c r="I1677" t="s">
        <v>253</v>
      </c>
      <c r="J1677" t="s">
        <v>59</v>
      </c>
      <c r="K1677" t="b">
        <v>0</v>
      </c>
      <c r="L1677">
        <v>1996</v>
      </c>
      <c r="M1677">
        <v>5759570336</v>
      </c>
      <c r="N1677">
        <v>8073122000000</v>
      </c>
      <c r="O1677" t="b">
        <v>1</v>
      </c>
      <c r="P1677">
        <v>1</v>
      </c>
      <c r="Q1677" t="str" cm="1">
        <f t="array" ref="Q1677">_xlfn.IFS(Table1[[#This Row],[Wealthier_Winner]]=-1,"Wealthier Nation Loses",Table1[[#This Row],[Wealthier_Winner]]=0,"Tie",Table1[[#This Row],[Wealthier_Winner]]=1,"Wealthier Nation Wins")</f>
        <v>Wealthier Nation Wins</v>
      </c>
    </row>
    <row r="1678" spans="1:17" x14ac:dyDescent="0.2">
      <c r="A1678" s="1">
        <v>3016</v>
      </c>
      <c r="B1678" s="2">
        <v>35400</v>
      </c>
      <c r="C1678" s="7">
        <f>_xlfn.FLOOR.MATH(Table1[[#This Row],[year]],10)</f>
        <v>1990</v>
      </c>
      <c r="D1678" t="s">
        <v>56</v>
      </c>
      <c r="E1678" t="s">
        <v>41</v>
      </c>
      <c r="F1678">
        <v>2</v>
      </c>
      <c r="G1678">
        <v>1</v>
      </c>
      <c r="H1678" t="s">
        <v>224</v>
      </c>
      <c r="I1678" t="s">
        <v>225</v>
      </c>
      <c r="J1678" t="s">
        <v>56</v>
      </c>
      <c r="K1678" t="b">
        <v>0</v>
      </c>
      <c r="L1678">
        <v>1996</v>
      </c>
      <c r="M1678">
        <v>11678424507</v>
      </c>
      <c r="N1678">
        <v>8073122000000</v>
      </c>
      <c r="O1678" t="b">
        <v>1</v>
      </c>
      <c r="P1678">
        <v>-1</v>
      </c>
      <c r="Q1678" t="str" cm="1">
        <f t="array" ref="Q1678">_xlfn.IFS(Table1[[#This Row],[Wealthier_Winner]]=-1,"Wealthier Nation Loses",Table1[[#This Row],[Wealthier_Winner]]=0,"Tie",Table1[[#This Row],[Wealthier_Winner]]=1,"Wealthier Nation Wins")</f>
        <v>Wealthier Nation Loses</v>
      </c>
    </row>
    <row r="1679" spans="1:17" x14ac:dyDescent="0.2">
      <c r="A1679" s="1">
        <v>3017</v>
      </c>
      <c r="B1679" s="2">
        <v>35400</v>
      </c>
      <c r="C1679" s="7">
        <f>_xlfn.FLOOR.MATH(Table1[[#This Row],[year]],10)</f>
        <v>1990</v>
      </c>
      <c r="D1679" t="s">
        <v>69</v>
      </c>
      <c r="E1679" t="s">
        <v>517</v>
      </c>
      <c r="F1679">
        <v>3</v>
      </c>
      <c r="G1679">
        <v>0</v>
      </c>
      <c r="H1679" t="s">
        <v>224</v>
      </c>
      <c r="I1679" t="s">
        <v>281</v>
      </c>
      <c r="J1679" t="s">
        <v>69</v>
      </c>
      <c r="K1679" t="b">
        <v>0</v>
      </c>
      <c r="L1679">
        <v>1996</v>
      </c>
      <c r="M1679">
        <v>9586327800</v>
      </c>
      <c r="N1679">
        <v>25017368700</v>
      </c>
      <c r="O1679" t="b">
        <v>1</v>
      </c>
      <c r="P1679">
        <v>-1</v>
      </c>
      <c r="Q1679" t="str" cm="1">
        <f t="array" ref="Q1679">_xlfn.IFS(Table1[[#This Row],[Wealthier_Winner]]=-1,"Wealthier Nation Loses",Table1[[#This Row],[Wealthier_Winner]]=0,"Tie",Table1[[#This Row],[Wealthier_Winner]]=1,"Wealthier Nation Wins")</f>
        <v>Wealthier Nation Loses</v>
      </c>
    </row>
    <row r="1680" spans="1:17" x14ac:dyDescent="0.2">
      <c r="A1680" s="1">
        <v>3018</v>
      </c>
      <c r="B1680" s="2">
        <v>35407</v>
      </c>
      <c r="C1680" s="7">
        <f>_xlfn.FLOOR.MATH(Table1[[#This Row],[year]],10)</f>
        <v>1990</v>
      </c>
      <c r="D1680" t="s">
        <v>223</v>
      </c>
      <c r="E1680" t="s">
        <v>59</v>
      </c>
      <c r="F1680">
        <v>2</v>
      </c>
      <c r="G1680">
        <v>1</v>
      </c>
      <c r="H1680" t="s">
        <v>224</v>
      </c>
      <c r="I1680" t="s">
        <v>234</v>
      </c>
      <c r="J1680" t="s">
        <v>41</v>
      </c>
      <c r="K1680" t="b">
        <v>1</v>
      </c>
      <c r="L1680">
        <v>1996</v>
      </c>
      <c r="M1680">
        <v>15674835615</v>
      </c>
      <c r="N1680">
        <v>5759570336</v>
      </c>
      <c r="O1680" t="b">
        <v>1</v>
      </c>
      <c r="P1680">
        <v>1</v>
      </c>
      <c r="Q1680" t="str" cm="1">
        <f t="array" ref="Q1680">_xlfn.IFS(Table1[[#This Row],[Wealthier_Winner]]=-1,"Wealthier Nation Loses",Table1[[#This Row],[Wealthier_Winner]]=0,"Tie",Table1[[#This Row],[Wealthier_Winner]]=1,"Wealthier Nation Wins")</f>
        <v>Wealthier Nation Wins</v>
      </c>
    </row>
    <row r="1681" spans="1:17" x14ac:dyDescent="0.2">
      <c r="A1681" s="1">
        <v>3019</v>
      </c>
      <c r="B1681" s="2">
        <v>35413</v>
      </c>
      <c r="C1681" s="7">
        <f>_xlfn.FLOOR.MATH(Table1[[#This Row],[year]],10)</f>
        <v>1990</v>
      </c>
      <c r="D1681" t="s">
        <v>23</v>
      </c>
      <c r="E1681" t="s">
        <v>27</v>
      </c>
      <c r="F1681">
        <v>0</v>
      </c>
      <c r="G1681">
        <v>3</v>
      </c>
      <c r="H1681" t="s">
        <v>224</v>
      </c>
      <c r="I1681" t="s">
        <v>235</v>
      </c>
      <c r="J1681" t="s">
        <v>23</v>
      </c>
      <c r="K1681" t="b">
        <v>0</v>
      </c>
      <c r="L1681">
        <v>1996</v>
      </c>
      <c r="M1681">
        <v>279201433224</v>
      </c>
      <c r="N1681">
        <v>451372549019</v>
      </c>
      <c r="O1681" t="b">
        <v>0</v>
      </c>
      <c r="P1681">
        <v>1</v>
      </c>
      <c r="Q1681" t="str" cm="1">
        <f t="array" ref="Q1681">_xlfn.IFS(Table1[[#This Row],[Wealthier_Winner]]=-1,"Wealthier Nation Loses",Table1[[#This Row],[Wealthier_Winner]]=0,"Tie",Table1[[#This Row],[Wealthier_Winner]]=1,"Wealthier Nation Wins")</f>
        <v>Wealthier Nation Wins</v>
      </c>
    </row>
    <row r="1682" spans="1:17" x14ac:dyDescent="0.2">
      <c r="A1682" s="1">
        <v>3020</v>
      </c>
      <c r="B1682" s="2">
        <v>35413</v>
      </c>
      <c r="C1682" s="7">
        <f>_xlfn.FLOOR.MATH(Table1[[#This Row],[year]],10)</f>
        <v>1990</v>
      </c>
      <c r="D1682" t="s">
        <v>351</v>
      </c>
      <c r="E1682" t="s">
        <v>33</v>
      </c>
      <c r="F1682">
        <v>1</v>
      </c>
      <c r="G1682">
        <v>3</v>
      </c>
      <c r="H1682" t="s">
        <v>224</v>
      </c>
      <c r="I1682" t="s">
        <v>352</v>
      </c>
      <c r="J1682" t="s">
        <v>351</v>
      </c>
      <c r="K1682" t="b">
        <v>0</v>
      </c>
      <c r="L1682">
        <v>1996</v>
      </c>
      <c r="M1682">
        <v>10011914680</v>
      </c>
      <c r="N1682">
        <v>12294964837</v>
      </c>
      <c r="O1682" t="b">
        <v>0</v>
      </c>
      <c r="P1682">
        <v>1</v>
      </c>
      <c r="Q1682" t="str" cm="1">
        <f t="array" ref="Q1682">_xlfn.IFS(Table1[[#This Row],[Wealthier_Winner]]=-1,"Wealthier Nation Loses",Table1[[#This Row],[Wealthier_Winner]]=0,"Tie",Table1[[#This Row],[Wealthier_Winner]]=1,"Wealthier Nation Wins")</f>
        <v>Wealthier Nation Wins</v>
      </c>
    </row>
    <row r="1683" spans="1:17" x14ac:dyDescent="0.2">
      <c r="A1683" s="1">
        <v>3021</v>
      </c>
      <c r="B1683" s="2">
        <v>35413</v>
      </c>
      <c r="C1683" s="7">
        <f>_xlfn.FLOOR.MATH(Table1[[#This Row],[year]],10)</f>
        <v>1990</v>
      </c>
      <c r="D1683" t="s">
        <v>502</v>
      </c>
      <c r="E1683" t="s">
        <v>44</v>
      </c>
      <c r="F1683">
        <v>0</v>
      </c>
      <c r="G1683">
        <v>3</v>
      </c>
      <c r="H1683" t="s">
        <v>224</v>
      </c>
      <c r="I1683" t="s">
        <v>504</v>
      </c>
      <c r="J1683" t="s">
        <v>502</v>
      </c>
      <c r="K1683" t="b">
        <v>0</v>
      </c>
      <c r="L1683">
        <v>1996</v>
      </c>
      <c r="M1683">
        <v>4642021256</v>
      </c>
      <c r="N1683">
        <v>36937074278</v>
      </c>
      <c r="O1683" t="b">
        <v>1</v>
      </c>
      <c r="P1683">
        <v>1</v>
      </c>
      <c r="Q1683" t="str" cm="1">
        <f t="array" ref="Q1683">_xlfn.IFS(Table1[[#This Row],[Wealthier_Winner]]=-1,"Wealthier Nation Loses",Table1[[#This Row],[Wealthier_Winner]]=0,"Tie",Table1[[#This Row],[Wealthier_Winner]]=1,"Wealthier Nation Wins")</f>
        <v>Wealthier Nation Wins</v>
      </c>
    </row>
    <row r="1684" spans="1:17" x14ac:dyDescent="0.2">
      <c r="A1684" s="1">
        <v>3023</v>
      </c>
      <c r="B1684" s="2">
        <v>35413</v>
      </c>
      <c r="C1684" s="7">
        <f>_xlfn.FLOOR.MATH(Table1[[#This Row],[year]],10)</f>
        <v>1990</v>
      </c>
      <c r="D1684" t="s">
        <v>38</v>
      </c>
      <c r="E1684" t="s">
        <v>16</v>
      </c>
      <c r="F1684">
        <v>0</v>
      </c>
      <c r="G1684">
        <v>0</v>
      </c>
      <c r="H1684" t="s">
        <v>224</v>
      </c>
      <c r="I1684" t="s">
        <v>291</v>
      </c>
      <c r="J1684" t="s">
        <v>38</v>
      </c>
      <c r="K1684" t="b">
        <v>0</v>
      </c>
      <c r="L1684">
        <v>1996</v>
      </c>
      <c r="M1684">
        <v>122630089680</v>
      </c>
      <c r="N1684">
        <v>2506576553158</v>
      </c>
      <c r="O1684" t="b">
        <v>1</v>
      </c>
      <c r="P1684">
        <v>0</v>
      </c>
      <c r="Q1684" t="str" cm="1">
        <f t="array" ref="Q1684">_xlfn.IFS(Table1[[#This Row],[Wealthier_Winner]]=-1,"Wealthier Nation Loses",Table1[[#This Row],[Wealthier_Winner]]=0,"Tie",Table1[[#This Row],[Wealthier_Winner]]=1,"Wealthier Nation Wins")</f>
        <v>Tie</v>
      </c>
    </row>
    <row r="1685" spans="1:17" x14ac:dyDescent="0.2">
      <c r="A1685" s="1">
        <v>3024</v>
      </c>
      <c r="B1685" s="2">
        <v>35413</v>
      </c>
      <c r="C1685" s="7">
        <f>_xlfn.FLOOR.MATH(Table1[[#This Row],[year]],10)</f>
        <v>1990</v>
      </c>
      <c r="D1685" t="s">
        <v>21</v>
      </c>
      <c r="E1685" t="s">
        <v>61</v>
      </c>
      <c r="F1685">
        <v>2</v>
      </c>
      <c r="G1685">
        <v>0</v>
      </c>
      <c r="H1685" t="s">
        <v>224</v>
      </c>
      <c r="I1685" t="s">
        <v>99</v>
      </c>
      <c r="J1685" t="s">
        <v>21</v>
      </c>
      <c r="K1685" t="b">
        <v>0</v>
      </c>
      <c r="L1685">
        <v>1996</v>
      </c>
      <c r="M1685">
        <v>642251412058</v>
      </c>
      <c r="N1685">
        <v>23277430167</v>
      </c>
      <c r="O1685" t="b">
        <v>1</v>
      </c>
      <c r="P1685">
        <v>1</v>
      </c>
      <c r="Q1685" t="str" cm="1">
        <f t="array" ref="Q1685">_xlfn.IFS(Table1[[#This Row],[Wealthier_Winner]]=-1,"Wealthier Nation Loses",Table1[[#This Row],[Wealthier_Winner]]=0,"Tie",Table1[[#This Row],[Wealthier_Winner]]=1,"Wealthier Nation Wins")</f>
        <v>Wealthier Nation Wins</v>
      </c>
    </row>
    <row r="1686" spans="1:17" x14ac:dyDescent="0.2">
      <c r="A1686" s="1">
        <v>3025</v>
      </c>
      <c r="B1686" s="2">
        <v>35413</v>
      </c>
      <c r="C1686" s="7">
        <f>_xlfn.FLOOR.MATH(Table1[[#This Row],[year]],10)</f>
        <v>1990</v>
      </c>
      <c r="D1686" t="s">
        <v>41</v>
      </c>
      <c r="E1686" t="s">
        <v>56</v>
      </c>
      <c r="F1686">
        <v>2</v>
      </c>
      <c r="G1686">
        <v>1</v>
      </c>
      <c r="H1686" t="s">
        <v>224</v>
      </c>
      <c r="I1686" t="s">
        <v>126</v>
      </c>
      <c r="J1686" t="s">
        <v>41</v>
      </c>
      <c r="K1686" t="b">
        <v>0</v>
      </c>
      <c r="L1686">
        <v>1996</v>
      </c>
      <c r="M1686">
        <v>8073122000000</v>
      </c>
      <c r="N1686">
        <v>11678424507</v>
      </c>
      <c r="O1686" t="b">
        <v>1</v>
      </c>
      <c r="P1686">
        <v>1</v>
      </c>
      <c r="Q1686" t="str" cm="1">
        <f t="array" ref="Q1686">_xlfn.IFS(Table1[[#This Row],[Wealthier_Winner]]=-1,"Wealthier Nation Loses",Table1[[#This Row],[Wealthier_Winner]]=0,"Tie",Table1[[#This Row],[Wealthier_Winner]]=1,"Wealthier Nation Wins")</f>
        <v>Wealthier Nation Wins</v>
      </c>
    </row>
    <row r="1687" spans="1:17" x14ac:dyDescent="0.2">
      <c r="A1687" s="1">
        <v>3027</v>
      </c>
      <c r="B1687" s="2">
        <v>35414</v>
      </c>
      <c r="C1687" s="7">
        <f>_xlfn.FLOOR.MATH(Table1[[#This Row],[year]],10)</f>
        <v>1990</v>
      </c>
      <c r="D1687" t="s">
        <v>19</v>
      </c>
      <c r="E1687" t="s">
        <v>14</v>
      </c>
      <c r="F1687">
        <v>1</v>
      </c>
      <c r="G1687">
        <v>1</v>
      </c>
      <c r="H1687" t="s">
        <v>224</v>
      </c>
      <c r="I1687" t="s">
        <v>93</v>
      </c>
      <c r="J1687" t="s">
        <v>19</v>
      </c>
      <c r="K1687" t="b">
        <v>0</v>
      </c>
      <c r="L1687">
        <v>1996</v>
      </c>
      <c r="M1687">
        <v>272149750000</v>
      </c>
      <c r="N1687">
        <v>78584098983</v>
      </c>
      <c r="O1687" t="b">
        <v>1</v>
      </c>
      <c r="P1687">
        <v>0</v>
      </c>
      <c r="Q1687" t="str" cm="1">
        <f t="array" ref="Q1687">_xlfn.IFS(Table1[[#This Row],[Wealthier_Winner]]=-1,"Wealthier Nation Loses",Table1[[#This Row],[Wealthier_Winner]]=0,"Tie",Table1[[#This Row],[Wealthier_Winner]]=1,"Wealthier Nation Wins")</f>
        <v>Tie</v>
      </c>
    </row>
    <row r="1688" spans="1:17" x14ac:dyDescent="0.2">
      <c r="A1688" s="1">
        <v>3028</v>
      </c>
      <c r="B1688" s="2">
        <v>35414</v>
      </c>
      <c r="C1688" s="7">
        <f>_xlfn.FLOOR.MATH(Table1[[#This Row],[year]],10)</f>
        <v>1990</v>
      </c>
      <c r="D1688" t="s">
        <v>47</v>
      </c>
      <c r="E1688" t="s">
        <v>35</v>
      </c>
      <c r="F1688">
        <v>0</v>
      </c>
      <c r="G1688">
        <v>0</v>
      </c>
      <c r="H1688" t="s">
        <v>224</v>
      </c>
      <c r="I1688" t="s">
        <v>246</v>
      </c>
      <c r="J1688" t="s">
        <v>47</v>
      </c>
      <c r="K1688" t="b">
        <v>0</v>
      </c>
      <c r="L1688">
        <v>1996</v>
      </c>
      <c r="M1688">
        <v>7396949126</v>
      </c>
      <c r="N1688">
        <v>9788391780</v>
      </c>
      <c r="O1688" t="b">
        <v>0</v>
      </c>
      <c r="P1688">
        <v>0</v>
      </c>
      <c r="Q1688" t="str" cm="1">
        <f t="array" ref="Q1688">_xlfn.IFS(Table1[[#This Row],[Wealthier_Winner]]=-1,"Wealthier Nation Loses",Table1[[#This Row],[Wealthier_Winner]]=0,"Tie",Table1[[#This Row],[Wealthier_Winner]]=1,"Wealthier Nation Wins")</f>
        <v>Tie</v>
      </c>
    </row>
    <row r="1689" spans="1:17" x14ac:dyDescent="0.2">
      <c r="A1689" s="1">
        <v>3029</v>
      </c>
      <c r="B1689" s="2">
        <v>35414</v>
      </c>
      <c r="C1689" s="7">
        <f>_xlfn.FLOOR.MATH(Table1[[#This Row],[year]],10)</f>
        <v>1990</v>
      </c>
      <c r="D1689" t="s">
        <v>69</v>
      </c>
      <c r="E1689" t="s">
        <v>34</v>
      </c>
      <c r="F1689">
        <v>0</v>
      </c>
      <c r="G1689">
        <v>2</v>
      </c>
      <c r="H1689" t="s">
        <v>224</v>
      </c>
      <c r="I1689" t="s">
        <v>281</v>
      </c>
      <c r="J1689" t="s">
        <v>69</v>
      </c>
      <c r="K1689" t="b">
        <v>0</v>
      </c>
      <c r="L1689">
        <v>1996</v>
      </c>
      <c r="M1689">
        <v>9586327800</v>
      </c>
      <c r="N1689">
        <v>630607994132</v>
      </c>
      <c r="O1689" t="b">
        <v>1</v>
      </c>
      <c r="P1689">
        <v>1</v>
      </c>
      <c r="Q1689" t="str" cm="1">
        <f t="array" ref="Q1689">_xlfn.IFS(Table1[[#This Row],[Wealthier_Winner]]=-1,"Wealthier Nation Loses",Table1[[#This Row],[Wealthier_Winner]]=0,"Tie",Table1[[#This Row],[Wealthier_Winner]]=1,"Wealthier Nation Wins")</f>
        <v>Wealthier Nation Wins</v>
      </c>
    </row>
    <row r="1690" spans="1:17" x14ac:dyDescent="0.2">
      <c r="A1690" s="1">
        <v>3030</v>
      </c>
      <c r="B1690" s="2">
        <v>35414</v>
      </c>
      <c r="C1690" s="7">
        <f>_xlfn.FLOOR.MATH(Table1[[#This Row],[year]],10)</f>
        <v>1990</v>
      </c>
      <c r="D1690" t="s">
        <v>22</v>
      </c>
      <c r="E1690" t="s">
        <v>232</v>
      </c>
      <c r="F1690">
        <v>1</v>
      </c>
      <c r="G1690">
        <v>0</v>
      </c>
      <c r="H1690" t="s">
        <v>224</v>
      </c>
      <c r="I1690" t="s">
        <v>239</v>
      </c>
      <c r="J1690" t="s">
        <v>22</v>
      </c>
      <c r="K1690" t="b">
        <v>0</v>
      </c>
      <c r="L1690">
        <v>1996</v>
      </c>
      <c r="M1690">
        <v>115116595544</v>
      </c>
      <c r="N1690">
        <v>20895314657</v>
      </c>
      <c r="O1690" t="b">
        <v>1</v>
      </c>
      <c r="P1690">
        <v>1</v>
      </c>
      <c r="Q1690" t="str" cm="1">
        <f t="array" ref="Q1690">_xlfn.IFS(Table1[[#This Row],[Wealthier_Winner]]=-1,"Wealthier Nation Loses",Table1[[#This Row],[Wealthier_Winner]]=0,"Tie",Table1[[#This Row],[Wealthier_Winner]]=1,"Wealthier Nation Wins")</f>
        <v>Wealthier Nation Wins</v>
      </c>
    </row>
    <row r="1691" spans="1:17" x14ac:dyDescent="0.2">
      <c r="A1691" s="1">
        <v>3031</v>
      </c>
      <c r="B1691" s="2">
        <v>35414</v>
      </c>
      <c r="C1691" s="7">
        <f>_xlfn.FLOOR.MATH(Table1[[#This Row],[year]],10)</f>
        <v>1990</v>
      </c>
      <c r="D1691" t="s">
        <v>67</v>
      </c>
      <c r="E1691" t="s">
        <v>517</v>
      </c>
      <c r="F1691">
        <v>3</v>
      </c>
      <c r="G1691">
        <v>1</v>
      </c>
      <c r="H1691" t="s">
        <v>224</v>
      </c>
      <c r="I1691" t="s">
        <v>455</v>
      </c>
      <c r="J1691" t="s">
        <v>67</v>
      </c>
      <c r="K1691" t="b">
        <v>0</v>
      </c>
      <c r="L1691">
        <v>1996</v>
      </c>
      <c r="M1691">
        <v>9197503322</v>
      </c>
      <c r="N1691">
        <v>25017368700</v>
      </c>
      <c r="O1691" t="b">
        <v>1</v>
      </c>
      <c r="P1691">
        <v>-1</v>
      </c>
      <c r="Q1691" t="str" cm="1">
        <f t="array" ref="Q1691">_xlfn.IFS(Table1[[#This Row],[Wealthier_Winner]]=-1,"Wealthier Nation Loses",Table1[[#This Row],[Wealthier_Winner]]=0,"Tie",Table1[[#This Row],[Wealthier_Winner]]=1,"Wealthier Nation Wins")</f>
        <v>Wealthier Nation Loses</v>
      </c>
    </row>
    <row r="1692" spans="1:17" x14ac:dyDescent="0.2">
      <c r="A1692" s="1">
        <v>3032</v>
      </c>
      <c r="B1692" s="2">
        <v>35414</v>
      </c>
      <c r="C1692" s="7">
        <f>_xlfn.FLOOR.MATH(Table1[[#This Row],[year]],10)</f>
        <v>1990</v>
      </c>
      <c r="D1692" t="s">
        <v>26</v>
      </c>
      <c r="E1692" t="s">
        <v>31</v>
      </c>
      <c r="F1692">
        <v>2</v>
      </c>
      <c r="G1692">
        <v>0</v>
      </c>
      <c r="H1692" t="s">
        <v>224</v>
      </c>
      <c r="I1692" t="s">
        <v>247</v>
      </c>
      <c r="J1692" t="s">
        <v>26</v>
      </c>
      <c r="K1692" t="b">
        <v>0</v>
      </c>
      <c r="L1692">
        <v>1996</v>
      </c>
      <c r="M1692">
        <v>20515458113</v>
      </c>
      <c r="N1692">
        <v>55252414130</v>
      </c>
      <c r="O1692" t="b">
        <v>1</v>
      </c>
      <c r="P1692">
        <v>-1</v>
      </c>
      <c r="Q1692" t="str" cm="1">
        <f t="array" ref="Q1692">_xlfn.IFS(Table1[[#This Row],[Wealthier_Winner]]=-1,"Wealthier Nation Loses",Table1[[#This Row],[Wealthier_Winner]]=0,"Tie",Table1[[#This Row],[Wealthier_Winner]]=1,"Wealthier Nation Wins")</f>
        <v>Wealthier Nation Loses</v>
      </c>
    </row>
    <row r="1693" spans="1:17" x14ac:dyDescent="0.2">
      <c r="A1693" s="1">
        <v>3033</v>
      </c>
      <c r="B1693" s="2">
        <v>35414</v>
      </c>
      <c r="C1693" s="7">
        <f>_xlfn.FLOOR.MATH(Table1[[#This Row],[year]],10)</f>
        <v>1990</v>
      </c>
      <c r="D1693" t="s">
        <v>258</v>
      </c>
      <c r="E1693" t="s">
        <v>15</v>
      </c>
      <c r="F1693">
        <v>0</v>
      </c>
      <c r="G1693">
        <v>2</v>
      </c>
      <c r="H1693" t="s">
        <v>224</v>
      </c>
      <c r="I1693" t="s">
        <v>416</v>
      </c>
      <c r="J1693" t="s">
        <v>258</v>
      </c>
      <c r="K1693" t="b">
        <v>0</v>
      </c>
      <c r="L1693">
        <v>1996</v>
      </c>
      <c r="M1693">
        <v>70543211119</v>
      </c>
      <c r="N1693">
        <v>97160109277</v>
      </c>
      <c r="O1693" t="b">
        <v>0</v>
      </c>
      <c r="P1693">
        <v>1</v>
      </c>
      <c r="Q1693" t="str" cm="1">
        <f t="array" ref="Q1693">_xlfn.IFS(Table1[[#This Row],[Wealthier_Winner]]=-1,"Wealthier Nation Loses",Table1[[#This Row],[Wealthier_Winner]]=0,"Tie",Table1[[#This Row],[Wealthier_Winner]]=1,"Wealthier Nation Wins")</f>
        <v>Wealthier Nation Wins</v>
      </c>
    </row>
    <row r="1694" spans="1:17" x14ac:dyDescent="0.2">
      <c r="A1694" s="1">
        <v>3034</v>
      </c>
      <c r="B1694" s="2">
        <v>35417</v>
      </c>
      <c r="C1694" s="7">
        <f>_xlfn.FLOOR.MATH(Table1[[#This Row],[year]],10)</f>
        <v>1990</v>
      </c>
      <c r="D1694" t="s">
        <v>303</v>
      </c>
      <c r="E1694" t="s">
        <v>21</v>
      </c>
      <c r="F1694">
        <v>0</v>
      </c>
      <c r="G1694">
        <v>3</v>
      </c>
      <c r="H1694" t="s">
        <v>224</v>
      </c>
      <c r="I1694" t="s">
        <v>399</v>
      </c>
      <c r="J1694" t="s">
        <v>303</v>
      </c>
      <c r="K1694" t="b">
        <v>0</v>
      </c>
      <c r="L1694">
        <v>1996</v>
      </c>
      <c r="M1694">
        <v>3822547197</v>
      </c>
      <c r="N1694">
        <v>642251412058</v>
      </c>
      <c r="O1694" t="b">
        <v>1</v>
      </c>
      <c r="P1694">
        <v>1</v>
      </c>
      <c r="Q1694" t="str" cm="1">
        <f t="array" ref="Q1694">_xlfn.IFS(Table1[[#This Row],[Wealthier_Winner]]=-1,"Wealthier Nation Loses",Table1[[#This Row],[Wealthier_Winner]]=0,"Tie",Table1[[#This Row],[Wealthier_Winner]]=1,"Wealthier Nation Wins")</f>
        <v>Wealthier Nation Wins</v>
      </c>
    </row>
    <row r="1695" spans="1:17" x14ac:dyDescent="0.2">
      <c r="A1695" s="1">
        <v>3035</v>
      </c>
      <c r="B1695" s="2">
        <v>35420</v>
      </c>
      <c r="C1695" s="7">
        <f>_xlfn.FLOOR.MATH(Table1[[#This Row],[year]],10)</f>
        <v>1990</v>
      </c>
      <c r="D1695" t="s">
        <v>56</v>
      </c>
      <c r="E1695" t="s">
        <v>59</v>
      </c>
      <c r="F1695">
        <v>2</v>
      </c>
      <c r="G1695">
        <v>1</v>
      </c>
      <c r="H1695" t="s">
        <v>224</v>
      </c>
      <c r="I1695" t="s">
        <v>544</v>
      </c>
      <c r="J1695" t="s">
        <v>56</v>
      </c>
      <c r="K1695" t="b">
        <v>0</v>
      </c>
      <c r="L1695">
        <v>1996</v>
      </c>
      <c r="M1695">
        <v>11678424507</v>
      </c>
      <c r="N1695">
        <v>5759570336</v>
      </c>
      <c r="O1695" t="b">
        <v>1</v>
      </c>
      <c r="P1695">
        <v>1</v>
      </c>
      <c r="Q1695" t="str" cm="1">
        <f t="array" ref="Q1695">_xlfn.IFS(Table1[[#This Row],[Wealthier_Winner]]=-1,"Wealthier Nation Loses",Table1[[#This Row],[Wealthier_Winner]]=0,"Tie",Table1[[#This Row],[Wealthier_Winner]]=1,"Wealthier Nation Wins")</f>
        <v>Wealthier Nation Wins</v>
      </c>
    </row>
    <row r="1696" spans="1:17" x14ac:dyDescent="0.2">
      <c r="A1696" s="1">
        <v>3036</v>
      </c>
      <c r="B1696" s="2">
        <v>35420</v>
      </c>
      <c r="C1696" s="7">
        <f>_xlfn.FLOOR.MATH(Table1[[#This Row],[year]],10)</f>
        <v>1990</v>
      </c>
      <c r="D1696" t="s">
        <v>223</v>
      </c>
      <c r="E1696" t="s">
        <v>41</v>
      </c>
      <c r="F1696">
        <v>2</v>
      </c>
      <c r="G1696">
        <v>2</v>
      </c>
      <c r="H1696" t="s">
        <v>224</v>
      </c>
      <c r="I1696" t="s">
        <v>281</v>
      </c>
      <c r="J1696" t="s">
        <v>69</v>
      </c>
      <c r="K1696" t="b">
        <v>1</v>
      </c>
      <c r="L1696">
        <v>1996</v>
      </c>
      <c r="M1696">
        <v>15674835615</v>
      </c>
      <c r="N1696">
        <v>8073122000000</v>
      </c>
      <c r="O1696" t="b">
        <v>1</v>
      </c>
      <c r="P1696">
        <v>0</v>
      </c>
      <c r="Q1696" t="str" cm="1">
        <f t="array" ref="Q1696">_xlfn.IFS(Table1[[#This Row],[Wealthier_Winner]]=-1,"Wealthier Nation Loses",Table1[[#This Row],[Wealthier_Winner]]=0,"Tie",Table1[[#This Row],[Wealthier_Winner]]=1,"Wealthier Nation Wins")</f>
        <v>Tie</v>
      </c>
    </row>
    <row r="1697" spans="1:17" x14ac:dyDescent="0.2">
      <c r="A1697" s="1">
        <v>3037</v>
      </c>
      <c r="B1697" s="2">
        <v>35441</v>
      </c>
      <c r="C1697" s="7">
        <f>_xlfn.FLOOR.MATH(Table1[[#This Row],[year]],10)</f>
        <v>1990</v>
      </c>
      <c r="D1697" t="s">
        <v>462</v>
      </c>
      <c r="E1697" t="s">
        <v>378</v>
      </c>
      <c r="F1697">
        <v>0</v>
      </c>
      <c r="G1697">
        <v>0</v>
      </c>
      <c r="H1697" t="s">
        <v>224</v>
      </c>
      <c r="I1697" t="s">
        <v>465</v>
      </c>
      <c r="J1697" t="s">
        <v>462</v>
      </c>
      <c r="K1697" t="b">
        <v>0</v>
      </c>
      <c r="L1697">
        <v>1997</v>
      </c>
      <c r="M1697">
        <v>4154989950</v>
      </c>
      <c r="N1697">
        <v>295900000</v>
      </c>
      <c r="O1697" t="b">
        <v>1</v>
      </c>
      <c r="P1697">
        <v>0</v>
      </c>
      <c r="Q1697" t="str" cm="1">
        <f t="array" ref="Q1697">_xlfn.IFS(Table1[[#This Row],[Wealthier_Winner]]=-1,"Wealthier Nation Loses",Table1[[#This Row],[Wealthier_Winner]]=0,"Tie",Table1[[#This Row],[Wealthier_Winner]]=1,"Wealthier Nation Wins")</f>
        <v>Tie</v>
      </c>
    </row>
    <row r="1698" spans="1:17" x14ac:dyDescent="0.2">
      <c r="A1698" s="1">
        <v>3038</v>
      </c>
      <c r="B1698" s="2">
        <v>35441</v>
      </c>
      <c r="C1698" s="7">
        <f>_xlfn.FLOOR.MATH(Table1[[#This Row],[year]],10)</f>
        <v>1990</v>
      </c>
      <c r="D1698" t="s">
        <v>342</v>
      </c>
      <c r="E1698" t="s">
        <v>433</v>
      </c>
      <c r="F1698">
        <v>1</v>
      </c>
      <c r="G1698">
        <v>0</v>
      </c>
      <c r="H1698" t="s">
        <v>224</v>
      </c>
      <c r="I1698" t="s">
        <v>344</v>
      </c>
      <c r="J1698" t="s">
        <v>342</v>
      </c>
      <c r="K1698" t="b">
        <v>0</v>
      </c>
      <c r="L1698">
        <v>1997</v>
      </c>
      <c r="M1698">
        <v>850232760</v>
      </c>
      <c r="N1698">
        <v>5326817114</v>
      </c>
      <c r="O1698" t="b">
        <v>1</v>
      </c>
      <c r="P1698">
        <v>-1</v>
      </c>
      <c r="Q1698" t="str" cm="1">
        <f t="array" ref="Q1698">_xlfn.IFS(Table1[[#This Row],[Wealthier_Winner]]=-1,"Wealthier Nation Loses",Table1[[#This Row],[Wealthier_Winner]]=0,"Tie",Table1[[#This Row],[Wealthier_Winner]]=1,"Wealthier Nation Wins")</f>
        <v>Wealthier Nation Loses</v>
      </c>
    </row>
    <row r="1699" spans="1:17" x14ac:dyDescent="0.2">
      <c r="A1699" s="1">
        <v>3039</v>
      </c>
      <c r="B1699" s="2">
        <v>35441</v>
      </c>
      <c r="C1699" s="7">
        <f>_xlfn.FLOOR.MATH(Table1[[#This Row],[year]],10)</f>
        <v>1990</v>
      </c>
      <c r="D1699" t="s">
        <v>273</v>
      </c>
      <c r="E1699" t="s">
        <v>50</v>
      </c>
      <c r="F1699">
        <v>0</v>
      </c>
      <c r="G1699">
        <v>0</v>
      </c>
      <c r="H1699" t="s">
        <v>224</v>
      </c>
      <c r="I1699" t="s">
        <v>330</v>
      </c>
      <c r="J1699" t="s">
        <v>273</v>
      </c>
      <c r="K1699" t="b">
        <v>0</v>
      </c>
      <c r="L1699">
        <v>1997</v>
      </c>
      <c r="M1699">
        <v>4303288479</v>
      </c>
      <c r="N1699">
        <v>168978057327</v>
      </c>
      <c r="O1699" t="b">
        <v>1</v>
      </c>
      <c r="P1699">
        <v>0</v>
      </c>
      <c r="Q1699" t="str" cm="1">
        <f t="array" ref="Q1699">_xlfn.IFS(Table1[[#This Row],[Wealthier_Winner]]=-1,"Wealthier Nation Loses",Table1[[#This Row],[Wealthier_Winner]]=0,"Tie",Table1[[#This Row],[Wealthier_Winner]]=1,"Wealthier Nation Wins")</f>
        <v>Tie</v>
      </c>
    </row>
    <row r="1700" spans="1:17" x14ac:dyDescent="0.2">
      <c r="A1700" s="1">
        <v>3040</v>
      </c>
      <c r="B1700" s="2">
        <v>35442</v>
      </c>
      <c r="C1700" s="7">
        <f>_xlfn.FLOOR.MATH(Table1[[#This Row],[year]],10)</f>
        <v>1990</v>
      </c>
      <c r="D1700" t="s">
        <v>47</v>
      </c>
      <c r="E1700" t="s">
        <v>57</v>
      </c>
      <c r="F1700">
        <v>2</v>
      </c>
      <c r="G1700">
        <v>0</v>
      </c>
      <c r="H1700" t="s">
        <v>224</v>
      </c>
      <c r="I1700" t="s">
        <v>246</v>
      </c>
      <c r="J1700" t="s">
        <v>47</v>
      </c>
      <c r="K1700" t="b">
        <v>0</v>
      </c>
      <c r="L1700">
        <v>1997</v>
      </c>
      <c r="M1700">
        <v>7925736821</v>
      </c>
      <c r="N1700">
        <v>28162053026</v>
      </c>
      <c r="O1700" t="b">
        <v>1</v>
      </c>
      <c r="P1700">
        <v>-1</v>
      </c>
      <c r="Q1700" t="str" cm="1">
        <f t="array" ref="Q1700">_xlfn.IFS(Table1[[#This Row],[Wealthier_Winner]]=-1,"Wealthier Nation Loses",Table1[[#This Row],[Wealthier_Winner]]=0,"Tie",Table1[[#This Row],[Wealthier_Winner]]=1,"Wealthier Nation Wins")</f>
        <v>Wealthier Nation Loses</v>
      </c>
    </row>
    <row r="1701" spans="1:17" x14ac:dyDescent="0.2">
      <c r="A1701" s="1">
        <v>3041</v>
      </c>
      <c r="B1701" s="2">
        <v>35442</v>
      </c>
      <c r="C1701" s="7">
        <f>_xlfn.FLOOR.MATH(Table1[[#This Row],[year]],10)</f>
        <v>1990</v>
      </c>
      <c r="D1701" t="s">
        <v>345</v>
      </c>
      <c r="E1701" t="s">
        <v>305</v>
      </c>
      <c r="F1701">
        <v>0</v>
      </c>
      <c r="G1701">
        <v>2</v>
      </c>
      <c r="H1701" t="s">
        <v>224</v>
      </c>
      <c r="I1701" t="s">
        <v>347</v>
      </c>
      <c r="J1701" t="s">
        <v>345</v>
      </c>
      <c r="K1701" t="b">
        <v>0</v>
      </c>
      <c r="L1701">
        <v>1997</v>
      </c>
      <c r="M1701">
        <v>2447669101</v>
      </c>
      <c r="N1701">
        <v>5516916163</v>
      </c>
      <c r="O1701" t="b">
        <v>1</v>
      </c>
      <c r="P1701">
        <v>1</v>
      </c>
      <c r="Q1701" t="str" cm="1">
        <f t="array" ref="Q1701">_xlfn.IFS(Table1[[#This Row],[Wealthier_Winner]]=-1,"Wealthier Nation Loses",Table1[[#This Row],[Wealthier_Winner]]=0,"Tie",Table1[[#This Row],[Wealthier_Winner]]=1,"Wealthier Nation Wins")</f>
        <v>Wealthier Nation Wins</v>
      </c>
    </row>
    <row r="1702" spans="1:17" x14ac:dyDescent="0.2">
      <c r="A1702" s="1">
        <v>3042</v>
      </c>
      <c r="B1702" s="2">
        <v>35442</v>
      </c>
      <c r="C1702" s="7">
        <f>_xlfn.FLOOR.MATH(Table1[[#This Row],[year]],10)</f>
        <v>1990</v>
      </c>
      <c r="D1702" t="s">
        <v>40</v>
      </c>
      <c r="E1702" t="s">
        <v>60</v>
      </c>
      <c r="F1702">
        <v>0</v>
      </c>
      <c r="G1702">
        <v>0</v>
      </c>
      <c r="H1702" t="s">
        <v>224</v>
      </c>
      <c r="I1702" t="s">
        <v>371</v>
      </c>
      <c r="J1702" t="s">
        <v>40</v>
      </c>
      <c r="K1702" t="b">
        <v>0</v>
      </c>
      <c r="L1702">
        <v>1997</v>
      </c>
      <c r="M1702">
        <v>10789458432</v>
      </c>
      <c r="N1702">
        <v>7648380195</v>
      </c>
      <c r="O1702" t="b">
        <v>0</v>
      </c>
      <c r="P1702">
        <v>0</v>
      </c>
      <c r="Q1702" t="str" cm="1">
        <f t="array" ref="Q1702">_xlfn.IFS(Table1[[#This Row],[Wealthier_Winner]]=-1,"Wealthier Nation Loses",Table1[[#This Row],[Wealthier_Winner]]=0,"Tie",Table1[[#This Row],[Wealthier_Winner]]=1,"Wealthier Nation Wins")</f>
        <v>Tie</v>
      </c>
    </row>
    <row r="1703" spans="1:17" x14ac:dyDescent="0.2">
      <c r="A1703" s="1">
        <v>3044</v>
      </c>
      <c r="B1703" s="2">
        <v>35442</v>
      </c>
      <c r="C1703" s="7">
        <f>_xlfn.FLOOR.MATH(Table1[[#This Row],[year]],10)</f>
        <v>1990</v>
      </c>
      <c r="D1703" t="s">
        <v>63</v>
      </c>
      <c r="E1703" t="s">
        <v>24</v>
      </c>
      <c r="F1703">
        <v>2</v>
      </c>
      <c r="G1703">
        <v>2</v>
      </c>
      <c r="H1703" t="s">
        <v>224</v>
      </c>
      <c r="I1703" t="s">
        <v>313</v>
      </c>
      <c r="J1703" t="s">
        <v>63</v>
      </c>
      <c r="K1703" t="b">
        <v>0</v>
      </c>
      <c r="L1703">
        <v>1997</v>
      </c>
      <c r="M1703">
        <v>6891443192</v>
      </c>
      <c r="N1703">
        <v>39147844526</v>
      </c>
      <c r="O1703" t="b">
        <v>1</v>
      </c>
      <c r="P1703">
        <v>0</v>
      </c>
      <c r="Q1703" t="str" cm="1">
        <f t="array" ref="Q1703">_xlfn.IFS(Table1[[#This Row],[Wealthier_Winner]]=-1,"Wealthier Nation Loses",Table1[[#This Row],[Wealthier_Winner]]=0,"Tie",Table1[[#This Row],[Wealthier_Winner]]=1,"Wealthier Nation Wins")</f>
        <v>Tie</v>
      </c>
    </row>
    <row r="1704" spans="1:17" x14ac:dyDescent="0.2">
      <c r="A1704" s="1">
        <v>3045</v>
      </c>
      <c r="B1704" s="2">
        <v>35442</v>
      </c>
      <c r="C1704" s="7">
        <f>_xlfn.FLOOR.MATH(Table1[[#This Row],[year]],10)</f>
        <v>1990</v>
      </c>
      <c r="D1704" t="s">
        <v>314</v>
      </c>
      <c r="E1704" t="s">
        <v>43</v>
      </c>
      <c r="F1704">
        <v>1</v>
      </c>
      <c r="G1704">
        <v>1</v>
      </c>
      <c r="H1704" t="s">
        <v>224</v>
      </c>
      <c r="I1704" t="s">
        <v>315</v>
      </c>
      <c r="J1704" t="s">
        <v>314</v>
      </c>
      <c r="K1704" t="b">
        <v>0</v>
      </c>
      <c r="L1704">
        <v>1997</v>
      </c>
      <c r="M1704">
        <v>13115764358</v>
      </c>
      <c r="N1704">
        <v>200850397618</v>
      </c>
      <c r="O1704" t="b">
        <v>1</v>
      </c>
      <c r="P1704">
        <v>0</v>
      </c>
      <c r="Q1704" t="str" cm="1">
        <f t="array" ref="Q1704">_xlfn.IFS(Table1[[#This Row],[Wealthier_Winner]]=-1,"Wealthier Nation Loses",Table1[[#This Row],[Wealthier_Winner]]=0,"Tie",Table1[[#This Row],[Wealthier_Winner]]=1,"Wealthier Nation Wins")</f>
        <v>Tie</v>
      </c>
    </row>
    <row r="1705" spans="1:17" x14ac:dyDescent="0.2">
      <c r="A1705" s="1">
        <v>3046</v>
      </c>
      <c r="B1705" s="2">
        <v>35442</v>
      </c>
      <c r="C1705" s="7">
        <f>_xlfn.FLOOR.MATH(Table1[[#This Row],[year]],10)</f>
        <v>1990</v>
      </c>
      <c r="D1705" t="s">
        <v>31</v>
      </c>
      <c r="E1705" t="s">
        <v>14</v>
      </c>
      <c r="F1705">
        <v>2</v>
      </c>
      <c r="G1705">
        <v>1</v>
      </c>
      <c r="H1705" t="s">
        <v>224</v>
      </c>
      <c r="I1705" t="s">
        <v>242</v>
      </c>
      <c r="J1705" t="s">
        <v>31</v>
      </c>
      <c r="K1705" t="b">
        <v>0</v>
      </c>
      <c r="L1705">
        <v>1997</v>
      </c>
      <c r="M1705">
        <v>58147522522</v>
      </c>
      <c r="N1705">
        <v>85741415285</v>
      </c>
      <c r="O1705" t="b">
        <v>0</v>
      </c>
      <c r="P1705">
        <v>-1</v>
      </c>
      <c r="Q1705" t="str" cm="1">
        <f t="array" ref="Q1705">_xlfn.IFS(Table1[[#This Row],[Wealthier_Winner]]=-1,"Wealthier Nation Loses",Table1[[#This Row],[Wealthier_Winner]]=0,"Tie",Table1[[#This Row],[Wealthier_Winner]]=1,"Wealthier Nation Wins")</f>
        <v>Wealthier Nation Loses</v>
      </c>
    </row>
    <row r="1706" spans="1:17" x14ac:dyDescent="0.2">
      <c r="A1706" s="1">
        <v>3047</v>
      </c>
      <c r="B1706" s="2">
        <v>35442</v>
      </c>
      <c r="C1706" s="7">
        <f>_xlfn.FLOOR.MATH(Table1[[#This Row],[year]],10)</f>
        <v>1990</v>
      </c>
      <c r="D1706" t="s">
        <v>53</v>
      </c>
      <c r="E1706" t="s">
        <v>212</v>
      </c>
      <c r="F1706">
        <v>1</v>
      </c>
      <c r="G1706">
        <v>0</v>
      </c>
      <c r="H1706" t="s">
        <v>224</v>
      </c>
      <c r="I1706" t="s">
        <v>284</v>
      </c>
      <c r="J1706" t="s">
        <v>53</v>
      </c>
      <c r="K1706" t="b">
        <v>0</v>
      </c>
      <c r="L1706">
        <v>1997</v>
      </c>
      <c r="M1706">
        <v>20746210353</v>
      </c>
      <c r="N1706">
        <v>78436578171</v>
      </c>
      <c r="O1706" t="b">
        <v>1</v>
      </c>
      <c r="P1706">
        <v>-1</v>
      </c>
      <c r="Q1706" t="str" cm="1">
        <f t="array" ref="Q1706">_xlfn.IFS(Table1[[#This Row],[Wealthier_Winner]]=-1,"Wealthier Nation Loses",Table1[[#This Row],[Wealthier_Winner]]=0,"Tie",Table1[[#This Row],[Wealthier_Winner]]=1,"Wealthier Nation Wins")</f>
        <v>Wealthier Nation Loses</v>
      </c>
    </row>
    <row r="1707" spans="1:17" x14ac:dyDescent="0.2">
      <c r="A1707" s="1">
        <v>3048</v>
      </c>
      <c r="B1707" s="2">
        <v>35442</v>
      </c>
      <c r="C1707" s="7">
        <f>_xlfn.FLOOR.MATH(Table1[[#This Row],[year]],10)</f>
        <v>1990</v>
      </c>
      <c r="D1707" t="s">
        <v>26</v>
      </c>
      <c r="E1707" t="s">
        <v>19</v>
      </c>
      <c r="F1707">
        <v>0</v>
      </c>
      <c r="G1707">
        <v>0</v>
      </c>
      <c r="H1707" t="s">
        <v>224</v>
      </c>
      <c r="I1707" t="s">
        <v>247</v>
      </c>
      <c r="J1707" t="s">
        <v>26</v>
      </c>
      <c r="K1707" t="b">
        <v>0</v>
      </c>
      <c r="L1707">
        <v>1997</v>
      </c>
      <c r="M1707">
        <v>23969739233</v>
      </c>
      <c r="N1707">
        <v>292859000000</v>
      </c>
      <c r="O1707" t="b">
        <v>1</v>
      </c>
      <c r="P1707">
        <v>0</v>
      </c>
      <c r="Q1707" t="str" cm="1">
        <f t="array" ref="Q1707">_xlfn.IFS(Table1[[#This Row],[Wealthier_Winner]]=-1,"Wealthier Nation Loses",Table1[[#This Row],[Wealthier_Winner]]=0,"Tie",Table1[[#This Row],[Wealthier_Winner]]=1,"Wealthier Nation Wins")</f>
        <v>Tie</v>
      </c>
    </row>
    <row r="1708" spans="1:17" x14ac:dyDescent="0.2">
      <c r="A1708" s="1">
        <v>3049</v>
      </c>
      <c r="B1708" s="2">
        <v>35442</v>
      </c>
      <c r="C1708" s="7">
        <f>_xlfn.FLOOR.MATH(Table1[[#This Row],[year]],10)</f>
        <v>1990</v>
      </c>
      <c r="D1708" t="s">
        <v>258</v>
      </c>
      <c r="E1708" t="s">
        <v>35</v>
      </c>
      <c r="F1708">
        <v>0</v>
      </c>
      <c r="G1708">
        <v>2</v>
      </c>
      <c r="H1708" t="s">
        <v>224</v>
      </c>
      <c r="I1708" t="s">
        <v>545</v>
      </c>
      <c r="J1708" t="s">
        <v>258</v>
      </c>
      <c r="K1708" t="b">
        <v>0</v>
      </c>
      <c r="L1708">
        <v>1997</v>
      </c>
      <c r="M1708">
        <v>85837678559</v>
      </c>
      <c r="N1708">
        <v>9965225678</v>
      </c>
      <c r="O1708" t="b">
        <v>1</v>
      </c>
      <c r="P1708">
        <v>-1</v>
      </c>
      <c r="Q1708" t="str" cm="1">
        <f t="array" ref="Q1708">_xlfn.IFS(Table1[[#This Row],[Wealthier_Winner]]=-1,"Wealthier Nation Loses",Table1[[#This Row],[Wealthier_Winner]]=0,"Tie",Table1[[#This Row],[Wealthier_Winner]]=1,"Wealthier Nation Wins")</f>
        <v>Wealthier Nation Loses</v>
      </c>
    </row>
    <row r="1709" spans="1:17" x14ac:dyDescent="0.2">
      <c r="A1709" s="1">
        <v>3050</v>
      </c>
      <c r="B1709" s="2">
        <v>35442</v>
      </c>
      <c r="C1709" s="7">
        <f>_xlfn.FLOOR.MATH(Table1[[#This Row],[year]],10)</f>
        <v>1990</v>
      </c>
      <c r="D1709" t="s">
        <v>298</v>
      </c>
      <c r="E1709" t="s">
        <v>62</v>
      </c>
      <c r="F1709">
        <v>3</v>
      </c>
      <c r="G1709">
        <v>0</v>
      </c>
      <c r="H1709" t="s">
        <v>224</v>
      </c>
      <c r="I1709" t="s">
        <v>377</v>
      </c>
      <c r="J1709" t="s">
        <v>298</v>
      </c>
      <c r="K1709" t="b">
        <v>0</v>
      </c>
      <c r="L1709">
        <v>1997</v>
      </c>
      <c r="M1709">
        <v>8534000000</v>
      </c>
      <c r="N1709">
        <v>2116818622</v>
      </c>
      <c r="O1709" t="b">
        <v>1</v>
      </c>
      <c r="P1709">
        <v>1</v>
      </c>
      <c r="Q1709" t="str" cm="1">
        <f t="array" ref="Q1709">_xlfn.IFS(Table1[[#This Row],[Wealthier_Winner]]=-1,"Wealthier Nation Loses",Table1[[#This Row],[Wealthier_Winner]]=0,"Tie",Table1[[#This Row],[Wealthier_Winner]]=1,"Wealthier Nation Wins")</f>
        <v>Wealthier Nation Wins</v>
      </c>
    </row>
    <row r="1710" spans="1:17" x14ac:dyDescent="0.2">
      <c r="A1710" s="1">
        <v>3051</v>
      </c>
      <c r="B1710" s="2">
        <v>35472</v>
      </c>
      <c r="C1710" s="7">
        <f>_xlfn.FLOOR.MATH(Table1[[#This Row],[year]],10)</f>
        <v>1990</v>
      </c>
      <c r="D1710" t="s">
        <v>57</v>
      </c>
      <c r="E1710" t="s">
        <v>26</v>
      </c>
      <c r="F1710">
        <v>4</v>
      </c>
      <c r="G1710">
        <v>0</v>
      </c>
      <c r="H1710" t="s">
        <v>224</v>
      </c>
      <c r="I1710" t="s">
        <v>335</v>
      </c>
      <c r="J1710" t="s">
        <v>57</v>
      </c>
      <c r="K1710" t="b">
        <v>0</v>
      </c>
      <c r="L1710">
        <v>1997</v>
      </c>
      <c r="M1710">
        <v>28162053026</v>
      </c>
      <c r="N1710">
        <v>23969739233</v>
      </c>
      <c r="O1710" t="b">
        <v>0</v>
      </c>
      <c r="P1710">
        <v>1</v>
      </c>
      <c r="Q1710" t="str" cm="1">
        <f t="array" ref="Q1710">_xlfn.IFS(Table1[[#This Row],[Wealthier_Winner]]=-1,"Wealthier Nation Loses",Table1[[#This Row],[Wealthier_Winner]]=0,"Tie",Table1[[#This Row],[Wealthier_Winner]]=1,"Wealthier Nation Wins")</f>
        <v>Wealthier Nation Wins</v>
      </c>
    </row>
    <row r="1711" spans="1:17" x14ac:dyDescent="0.2">
      <c r="A1711" s="1">
        <v>3053</v>
      </c>
      <c r="B1711" s="2">
        <v>35473</v>
      </c>
      <c r="C1711" s="7">
        <f>_xlfn.FLOOR.MATH(Table1[[#This Row],[year]],10)</f>
        <v>1990</v>
      </c>
      <c r="D1711" t="s">
        <v>47</v>
      </c>
      <c r="E1711" t="s">
        <v>14</v>
      </c>
      <c r="F1711">
        <v>1</v>
      </c>
      <c r="G1711">
        <v>1</v>
      </c>
      <c r="H1711" t="s">
        <v>224</v>
      </c>
      <c r="I1711" t="s">
        <v>246</v>
      </c>
      <c r="J1711" t="s">
        <v>47</v>
      </c>
      <c r="K1711" t="b">
        <v>0</v>
      </c>
      <c r="L1711">
        <v>1997</v>
      </c>
      <c r="M1711">
        <v>7925736821</v>
      </c>
      <c r="N1711">
        <v>85741415285</v>
      </c>
      <c r="O1711" t="b">
        <v>1</v>
      </c>
      <c r="P1711">
        <v>0</v>
      </c>
      <c r="Q1711" t="str" cm="1">
        <f t="array" ref="Q1711">_xlfn.IFS(Table1[[#This Row],[Wealthier_Winner]]=-1,"Wealthier Nation Loses",Table1[[#This Row],[Wealthier_Winner]]=0,"Tie",Table1[[#This Row],[Wealthier_Winner]]=1,"Wealthier Nation Wins")</f>
        <v>Tie</v>
      </c>
    </row>
    <row r="1712" spans="1:17" x14ac:dyDescent="0.2">
      <c r="A1712" s="1">
        <v>3054</v>
      </c>
      <c r="B1712" s="2">
        <v>35473</v>
      </c>
      <c r="C1712" s="7">
        <f>_xlfn.FLOOR.MATH(Table1[[#This Row],[year]],10)</f>
        <v>1990</v>
      </c>
      <c r="D1712" t="s">
        <v>15</v>
      </c>
      <c r="E1712" t="s">
        <v>19</v>
      </c>
      <c r="F1712">
        <v>0</v>
      </c>
      <c r="G1712">
        <v>1</v>
      </c>
      <c r="H1712" t="s">
        <v>224</v>
      </c>
      <c r="I1712" t="s">
        <v>261</v>
      </c>
      <c r="J1712" t="s">
        <v>15</v>
      </c>
      <c r="K1712" t="b">
        <v>0</v>
      </c>
      <c r="L1712">
        <v>1997</v>
      </c>
      <c r="M1712">
        <v>106659508271</v>
      </c>
      <c r="N1712">
        <v>292859000000</v>
      </c>
      <c r="O1712" t="b">
        <v>1</v>
      </c>
      <c r="P1712">
        <v>1</v>
      </c>
      <c r="Q1712" t="str" cm="1">
        <f t="array" ref="Q1712">_xlfn.IFS(Table1[[#This Row],[Wealthier_Winner]]=-1,"Wealthier Nation Loses",Table1[[#This Row],[Wealthier_Winner]]=0,"Tie",Table1[[#This Row],[Wealthier_Winner]]=1,"Wealthier Nation Wins")</f>
        <v>Wealthier Nation Wins</v>
      </c>
    </row>
    <row r="1713" spans="1:17" x14ac:dyDescent="0.2">
      <c r="A1713" s="1">
        <v>3055</v>
      </c>
      <c r="B1713" s="2">
        <v>35473</v>
      </c>
      <c r="C1713" s="7">
        <f>_xlfn.FLOOR.MATH(Table1[[#This Row],[year]],10)</f>
        <v>1990</v>
      </c>
      <c r="D1713" t="s">
        <v>194</v>
      </c>
      <c r="E1713" t="s">
        <v>18</v>
      </c>
      <c r="F1713">
        <v>0</v>
      </c>
      <c r="G1713">
        <v>1</v>
      </c>
      <c r="H1713" t="s">
        <v>224</v>
      </c>
      <c r="I1713" t="s">
        <v>80</v>
      </c>
      <c r="J1713" t="s">
        <v>194</v>
      </c>
      <c r="K1713" t="b">
        <v>0</v>
      </c>
      <c r="L1713">
        <v>1997</v>
      </c>
      <c r="M1713">
        <v>1569317288801</v>
      </c>
      <c r="N1713">
        <v>1244988176443</v>
      </c>
      <c r="O1713" t="b">
        <v>0</v>
      </c>
      <c r="P1713">
        <v>-1</v>
      </c>
      <c r="Q1713" t="str" cm="1">
        <f t="array" ref="Q1713">_xlfn.IFS(Table1[[#This Row],[Wealthier_Winner]]=-1,"Wealthier Nation Loses",Table1[[#This Row],[Wealthier_Winner]]=0,"Tie",Table1[[#This Row],[Wealthier_Winner]]=1,"Wealthier Nation Wins")</f>
        <v>Wealthier Nation Loses</v>
      </c>
    </row>
    <row r="1714" spans="1:17" x14ac:dyDescent="0.2">
      <c r="A1714" s="1">
        <v>3056</v>
      </c>
      <c r="B1714" s="2">
        <v>35473</v>
      </c>
      <c r="C1714" s="7">
        <f>_xlfn.FLOOR.MATH(Table1[[#This Row],[year]],10)</f>
        <v>1990</v>
      </c>
      <c r="D1714" t="s">
        <v>35</v>
      </c>
      <c r="E1714" t="s">
        <v>31</v>
      </c>
      <c r="F1714">
        <v>2</v>
      </c>
      <c r="G1714">
        <v>1</v>
      </c>
      <c r="H1714" t="s">
        <v>224</v>
      </c>
      <c r="I1714" t="s">
        <v>250</v>
      </c>
      <c r="J1714" t="s">
        <v>35</v>
      </c>
      <c r="K1714" t="b">
        <v>0</v>
      </c>
      <c r="L1714">
        <v>1997</v>
      </c>
      <c r="M1714">
        <v>9965225678</v>
      </c>
      <c r="N1714">
        <v>58147522522</v>
      </c>
      <c r="O1714" t="b">
        <v>1</v>
      </c>
      <c r="P1714">
        <v>-1</v>
      </c>
      <c r="Q1714" t="str" cm="1">
        <f t="array" ref="Q1714">_xlfn.IFS(Table1[[#This Row],[Wealthier_Winner]]=-1,"Wealthier Nation Loses",Table1[[#This Row],[Wealthier_Winner]]=0,"Tie",Table1[[#This Row],[Wealthier_Winner]]=1,"Wealthier Nation Wins")</f>
        <v>Wealthier Nation Loses</v>
      </c>
    </row>
    <row r="1715" spans="1:17" x14ac:dyDescent="0.2">
      <c r="A1715" s="1">
        <v>3057</v>
      </c>
      <c r="B1715" s="2">
        <v>35473</v>
      </c>
      <c r="C1715" s="7">
        <f>_xlfn.FLOOR.MATH(Table1[[#This Row],[year]],10)</f>
        <v>1990</v>
      </c>
      <c r="D1715" t="s">
        <v>21</v>
      </c>
      <c r="E1715" t="s">
        <v>303</v>
      </c>
      <c r="F1715">
        <v>4</v>
      </c>
      <c r="G1715">
        <v>0</v>
      </c>
      <c r="H1715" t="s">
        <v>224</v>
      </c>
      <c r="I1715" t="s">
        <v>101</v>
      </c>
      <c r="J1715" t="s">
        <v>21</v>
      </c>
      <c r="K1715" t="b">
        <v>0</v>
      </c>
      <c r="L1715">
        <v>1997</v>
      </c>
      <c r="M1715">
        <v>589739772727</v>
      </c>
      <c r="N1715">
        <v>3787023706</v>
      </c>
      <c r="O1715" t="b">
        <v>1</v>
      </c>
      <c r="P1715">
        <v>1</v>
      </c>
      <c r="Q1715" t="str" cm="1">
        <f t="array" ref="Q1715">_xlfn.IFS(Table1[[#This Row],[Wealthier_Winner]]=-1,"Wealthier Nation Loses",Table1[[#This Row],[Wealthier_Winner]]=0,"Tie",Table1[[#This Row],[Wealthier_Winner]]=1,"Wealthier Nation Wins")</f>
        <v>Wealthier Nation Wins</v>
      </c>
    </row>
    <row r="1716" spans="1:17" x14ac:dyDescent="0.2">
      <c r="A1716" s="1">
        <v>3058</v>
      </c>
      <c r="B1716" s="2">
        <v>35476</v>
      </c>
      <c r="C1716" s="7">
        <f>_xlfn.FLOOR.MATH(Table1[[#This Row],[year]],10)</f>
        <v>1990</v>
      </c>
      <c r="D1716" t="s">
        <v>541</v>
      </c>
      <c r="E1716" t="s">
        <v>456</v>
      </c>
      <c r="F1716">
        <v>0</v>
      </c>
      <c r="G1716">
        <v>4</v>
      </c>
      <c r="H1716" t="s">
        <v>224</v>
      </c>
      <c r="I1716" t="s">
        <v>543</v>
      </c>
      <c r="J1716" t="s">
        <v>541</v>
      </c>
      <c r="K1716" t="b">
        <v>0</v>
      </c>
      <c r="L1716">
        <v>1997</v>
      </c>
      <c r="M1716">
        <v>214991452</v>
      </c>
      <c r="N1716">
        <v>526554005</v>
      </c>
      <c r="O1716" t="b">
        <v>1</v>
      </c>
      <c r="P1716">
        <v>1</v>
      </c>
      <c r="Q1716" t="str" cm="1">
        <f t="array" ref="Q1716">_xlfn.IFS(Table1[[#This Row],[Wealthier_Winner]]=-1,"Wealthier Nation Loses",Table1[[#This Row],[Wealthier_Winner]]=0,"Tie",Table1[[#This Row],[Wealthier_Winner]]=1,"Wealthier Nation Wins")</f>
        <v>Wealthier Nation Wins</v>
      </c>
    </row>
    <row r="1717" spans="1:17" x14ac:dyDescent="0.2">
      <c r="A1717" s="1">
        <v>3060</v>
      </c>
      <c r="B1717" s="2">
        <v>35490</v>
      </c>
      <c r="C1717" s="7">
        <f>_xlfn.FLOOR.MATH(Table1[[#This Row],[year]],10)</f>
        <v>1990</v>
      </c>
      <c r="D1717" t="s">
        <v>456</v>
      </c>
      <c r="E1717" t="s">
        <v>541</v>
      </c>
      <c r="F1717">
        <v>9</v>
      </c>
      <c r="G1717">
        <v>0</v>
      </c>
      <c r="H1717" t="s">
        <v>224</v>
      </c>
      <c r="I1717" t="s">
        <v>457</v>
      </c>
      <c r="J1717" t="s">
        <v>456</v>
      </c>
      <c r="K1717" t="b">
        <v>0</v>
      </c>
      <c r="L1717">
        <v>1997</v>
      </c>
      <c r="M1717">
        <v>526554005</v>
      </c>
      <c r="N1717">
        <v>214991452</v>
      </c>
      <c r="O1717" t="b">
        <v>1</v>
      </c>
      <c r="P1717">
        <v>1</v>
      </c>
      <c r="Q1717" t="str" cm="1">
        <f t="array" ref="Q1717">_xlfn.IFS(Table1[[#This Row],[Wealthier_Winner]]=-1,"Wealthier Nation Loses",Table1[[#This Row],[Wealthier_Winner]]=0,"Tie",Table1[[#This Row],[Wealthier_Winner]]=1,"Wealthier Nation Wins")</f>
        <v>Wealthier Nation Wins</v>
      </c>
    </row>
    <row r="1718" spans="1:17" x14ac:dyDescent="0.2">
      <c r="A1718" s="1">
        <v>3061</v>
      </c>
      <c r="B1718" s="2">
        <v>35491</v>
      </c>
      <c r="C1718" s="7">
        <f>_xlfn.FLOOR.MATH(Table1[[#This Row],[year]],10)</f>
        <v>1990</v>
      </c>
      <c r="D1718" t="s">
        <v>49</v>
      </c>
      <c r="E1718" t="s">
        <v>41</v>
      </c>
      <c r="F1718">
        <v>0</v>
      </c>
      <c r="G1718">
        <v>0</v>
      </c>
      <c r="H1718" t="s">
        <v>224</v>
      </c>
      <c r="I1718" t="s">
        <v>257</v>
      </c>
      <c r="J1718" t="s">
        <v>49</v>
      </c>
      <c r="K1718" t="b">
        <v>0</v>
      </c>
      <c r="L1718">
        <v>1997</v>
      </c>
      <c r="M1718">
        <v>8400041723</v>
      </c>
      <c r="N1718">
        <v>8577554457000</v>
      </c>
      <c r="O1718" t="b">
        <v>1</v>
      </c>
      <c r="P1718">
        <v>0</v>
      </c>
      <c r="Q1718" t="str" cm="1">
        <f t="array" ref="Q1718">_xlfn.IFS(Table1[[#This Row],[Wealthier_Winner]]=-1,"Wealthier Nation Loses",Table1[[#This Row],[Wealthier_Winner]]=0,"Tie",Table1[[#This Row],[Wealthier_Winner]]=1,"Wealthier Nation Wins")</f>
        <v>Tie</v>
      </c>
    </row>
    <row r="1719" spans="1:17" x14ac:dyDescent="0.2">
      <c r="A1719" s="1">
        <v>3062</v>
      </c>
      <c r="B1719" s="2">
        <v>35491</v>
      </c>
      <c r="C1719" s="7">
        <f>_xlfn.FLOOR.MATH(Table1[[#This Row],[year]],10)</f>
        <v>1990</v>
      </c>
      <c r="D1719" t="s">
        <v>17</v>
      </c>
      <c r="E1719" t="s">
        <v>34</v>
      </c>
      <c r="F1719">
        <v>4</v>
      </c>
      <c r="G1719">
        <v>0</v>
      </c>
      <c r="H1719" t="s">
        <v>224</v>
      </c>
      <c r="I1719" t="s">
        <v>83</v>
      </c>
      <c r="J1719" t="s">
        <v>17</v>
      </c>
      <c r="K1719" t="b">
        <v>0</v>
      </c>
      <c r="L1719">
        <v>1997</v>
      </c>
      <c r="M1719">
        <v>523449530464</v>
      </c>
      <c r="N1719">
        <v>654986999855</v>
      </c>
      <c r="O1719" t="b">
        <v>0</v>
      </c>
      <c r="P1719">
        <v>-1</v>
      </c>
      <c r="Q1719" t="str" cm="1">
        <f t="array" ref="Q1719">_xlfn.IFS(Table1[[#This Row],[Wealthier_Winner]]=-1,"Wealthier Nation Loses",Table1[[#This Row],[Wealthier_Winner]]=0,"Tie",Table1[[#This Row],[Wealthier_Winner]]=1,"Wealthier Nation Wins")</f>
        <v>Wealthier Nation Loses</v>
      </c>
    </row>
    <row r="1720" spans="1:17" x14ac:dyDescent="0.2">
      <c r="A1720" s="1">
        <v>3063</v>
      </c>
      <c r="B1720" s="2">
        <v>35491</v>
      </c>
      <c r="C1720" s="7">
        <f>_xlfn.FLOOR.MATH(Table1[[#This Row],[year]],10)</f>
        <v>1990</v>
      </c>
      <c r="D1720" t="s">
        <v>334</v>
      </c>
      <c r="E1720" t="s">
        <v>195</v>
      </c>
      <c r="F1720">
        <v>1</v>
      </c>
      <c r="G1720">
        <v>3</v>
      </c>
      <c r="H1720" t="s">
        <v>224</v>
      </c>
      <c r="I1720" t="s">
        <v>407</v>
      </c>
      <c r="J1720" t="s">
        <v>334</v>
      </c>
      <c r="K1720" t="b">
        <v>0</v>
      </c>
      <c r="L1720">
        <v>1997</v>
      </c>
      <c r="M1720">
        <v>150180456565</v>
      </c>
      <c r="N1720">
        <v>589202526424</v>
      </c>
      <c r="O1720" t="b">
        <v>1</v>
      </c>
      <c r="P1720">
        <v>1</v>
      </c>
      <c r="Q1720" t="str" cm="1">
        <f t="array" ref="Q1720">_xlfn.IFS(Table1[[#This Row],[Wealthier_Winner]]=-1,"Wealthier Nation Loses",Table1[[#This Row],[Wealthier_Winner]]=0,"Tie",Table1[[#This Row],[Wealthier_Winner]]=1,"Wealthier Nation Wins")</f>
        <v>Wealthier Nation Wins</v>
      </c>
    </row>
    <row r="1721" spans="1:17" x14ac:dyDescent="0.2">
      <c r="A1721" s="1">
        <v>3066</v>
      </c>
      <c r="B1721" s="2">
        <v>35505</v>
      </c>
      <c r="C1721" s="7">
        <f>_xlfn.FLOOR.MATH(Table1[[#This Row],[year]],10)</f>
        <v>1990</v>
      </c>
      <c r="D1721" t="s">
        <v>56</v>
      </c>
      <c r="E1721" t="s">
        <v>17</v>
      </c>
      <c r="F1721">
        <v>0</v>
      </c>
      <c r="G1721">
        <v>0</v>
      </c>
      <c r="H1721" t="s">
        <v>224</v>
      </c>
      <c r="I1721" t="s">
        <v>225</v>
      </c>
      <c r="J1721" t="s">
        <v>56</v>
      </c>
      <c r="K1721" t="b">
        <v>0</v>
      </c>
      <c r="L1721">
        <v>1997</v>
      </c>
      <c r="M1721">
        <v>12614602382</v>
      </c>
      <c r="N1721">
        <v>523449530464</v>
      </c>
      <c r="O1721" t="b">
        <v>1</v>
      </c>
      <c r="P1721">
        <v>0</v>
      </c>
      <c r="Q1721" t="str" cm="1">
        <f t="array" ref="Q1721">_xlfn.IFS(Table1[[#This Row],[Wealthier_Winner]]=-1,"Wealthier Nation Loses",Table1[[#This Row],[Wealthier_Winner]]=0,"Tie",Table1[[#This Row],[Wealthier_Winner]]=1,"Wealthier Nation Wins")</f>
        <v>Tie</v>
      </c>
    </row>
    <row r="1722" spans="1:17" x14ac:dyDescent="0.2">
      <c r="A1722" s="1">
        <v>3067</v>
      </c>
      <c r="B1722" s="2">
        <v>35505</v>
      </c>
      <c r="C1722" s="7">
        <f>_xlfn.FLOOR.MATH(Table1[[#This Row],[year]],10)</f>
        <v>1990</v>
      </c>
      <c r="D1722" t="s">
        <v>333</v>
      </c>
      <c r="E1722" t="s">
        <v>405</v>
      </c>
      <c r="F1722">
        <v>2</v>
      </c>
      <c r="G1722">
        <v>0</v>
      </c>
      <c r="H1722" t="s">
        <v>224</v>
      </c>
      <c r="I1722" t="s">
        <v>402</v>
      </c>
      <c r="J1722" t="s">
        <v>333</v>
      </c>
      <c r="K1722" t="b">
        <v>0</v>
      </c>
      <c r="L1722">
        <v>1997</v>
      </c>
      <c r="M1722">
        <v>100005323301</v>
      </c>
      <c r="N1722">
        <v>48244309133</v>
      </c>
      <c r="O1722" t="b">
        <v>1</v>
      </c>
      <c r="P1722">
        <v>1</v>
      </c>
      <c r="Q1722" t="str" cm="1">
        <f t="array" ref="Q1722">_xlfn.IFS(Table1[[#This Row],[Wealthier_Winner]]=-1,"Wealthier Nation Loses",Table1[[#This Row],[Wealthier_Winner]]=0,"Tie",Table1[[#This Row],[Wealthier_Winner]]=1,"Wealthier Nation Wins")</f>
        <v>Wealthier Nation Wins</v>
      </c>
    </row>
    <row r="1723" spans="1:17" x14ac:dyDescent="0.2">
      <c r="A1723" s="1">
        <v>3068</v>
      </c>
      <c r="B1723" s="2">
        <v>35505</v>
      </c>
      <c r="C1723" s="7">
        <f>_xlfn.FLOOR.MATH(Table1[[#This Row],[year]],10)</f>
        <v>1990</v>
      </c>
      <c r="D1723" t="s">
        <v>41</v>
      </c>
      <c r="E1723" t="s">
        <v>34</v>
      </c>
      <c r="F1723">
        <v>3</v>
      </c>
      <c r="G1723">
        <v>0</v>
      </c>
      <c r="H1723" t="s">
        <v>224</v>
      </c>
      <c r="I1723" t="s">
        <v>126</v>
      </c>
      <c r="J1723" t="s">
        <v>41</v>
      </c>
      <c r="K1723" t="b">
        <v>0</v>
      </c>
      <c r="L1723">
        <v>1997</v>
      </c>
      <c r="M1723">
        <v>8577554457000</v>
      </c>
      <c r="N1723">
        <v>654986999855</v>
      </c>
      <c r="O1723" t="b">
        <v>1</v>
      </c>
      <c r="P1723">
        <v>1</v>
      </c>
      <c r="Q1723" t="str" cm="1">
        <f t="array" ref="Q1723">_xlfn.IFS(Table1[[#This Row],[Wealthier_Winner]]=-1,"Wealthier Nation Loses",Table1[[#This Row],[Wealthier_Winner]]=0,"Tie",Table1[[#This Row],[Wealthier_Winner]]=1,"Wealthier Nation Wins")</f>
        <v>Wealthier Nation Wins</v>
      </c>
    </row>
    <row r="1724" spans="1:17" x14ac:dyDescent="0.2">
      <c r="A1724" s="1">
        <v>3070</v>
      </c>
      <c r="B1724" s="2">
        <v>35507</v>
      </c>
      <c r="C1724" s="7">
        <f>_xlfn.FLOOR.MATH(Table1[[#This Row],[year]],10)</f>
        <v>1990</v>
      </c>
      <c r="D1724" t="s">
        <v>333</v>
      </c>
      <c r="E1724" t="s">
        <v>45</v>
      </c>
      <c r="F1724">
        <v>0</v>
      </c>
      <c r="G1724">
        <v>0</v>
      </c>
      <c r="H1724" t="s">
        <v>224</v>
      </c>
      <c r="I1724" t="s">
        <v>402</v>
      </c>
      <c r="J1724" t="s">
        <v>333</v>
      </c>
      <c r="K1724" t="b">
        <v>0</v>
      </c>
      <c r="L1724">
        <v>1997</v>
      </c>
      <c r="M1724">
        <v>100005323301</v>
      </c>
      <c r="N1724">
        <v>165963684913</v>
      </c>
      <c r="O1724" t="b">
        <v>0</v>
      </c>
      <c r="P1724">
        <v>0</v>
      </c>
      <c r="Q1724" t="str" cm="1">
        <f t="array" ref="Q1724">_xlfn.IFS(Table1[[#This Row],[Wealthier_Winner]]=-1,"Wealthier Nation Loses",Table1[[#This Row],[Wealthier_Winner]]=0,"Tie",Table1[[#This Row],[Wealthier_Winner]]=1,"Wealthier Nation Wins")</f>
        <v>Tie</v>
      </c>
    </row>
    <row r="1725" spans="1:17" x14ac:dyDescent="0.2">
      <c r="A1725" s="1">
        <v>3071</v>
      </c>
      <c r="B1725" s="2">
        <v>35509</v>
      </c>
      <c r="C1725" s="7">
        <f>_xlfn.FLOOR.MATH(Table1[[#This Row],[year]],10)</f>
        <v>1990</v>
      </c>
      <c r="D1725" t="s">
        <v>405</v>
      </c>
      <c r="E1725" t="s">
        <v>45</v>
      </c>
      <c r="F1725">
        <v>1</v>
      </c>
      <c r="G1725">
        <v>4</v>
      </c>
      <c r="H1725" t="s">
        <v>224</v>
      </c>
      <c r="I1725" t="s">
        <v>402</v>
      </c>
      <c r="J1725" t="s">
        <v>333</v>
      </c>
      <c r="K1725" t="b">
        <v>1</v>
      </c>
      <c r="L1725">
        <v>1997</v>
      </c>
      <c r="M1725">
        <v>48244309133</v>
      </c>
      <c r="N1725">
        <v>165963684913</v>
      </c>
      <c r="O1725" t="b">
        <v>1</v>
      </c>
      <c r="P1725">
        <v>1</v>
      </c>
      <c r="Q1725" t="str" cm="1">
        <f t="array" ref="Q1725">_xlfn.IFS(Table1[[#This Row],[Wealthier_Winner]]=-1,"Wealthier Nation Loses",Table1[[#This Row],[Wealthier_Winner]]=0,"Tie",Table1[[#This Row],[Wealthier_Winner]]=1,"Wealthier Nation Wins")</f>
        <v>Wealthier Nation Wins</v>
      </c>
    </row>
    <row r="1726" spans="1:17" x14ac:dyDescent="0.2">
      <c r="A1726" s="1">
        <v>3073</v>
      </c>
      <c r="B1726" s="2">
        <v>35512</v>
      </c>
      <c r="C1726" s="7">
        <f>_xlfn.FLOOR.MATH(Table1[[#This Row],[year]],10)</f>
        <v>1990</v>
      </c>
      <c r="D1726" t="s">
        <v>56</v>
      </c>
      <c r="E1726" t="s">
        <v>41</v>
      </c>
      <c r="F1726">
        <v>3</v>
      </c>
      <c r="G1726">
        <v>2</v>
      </c>
      <c r="H1726" t="s">
        <v>224</v>
      </c>
      <c r="I1726" t="s">
        <v>225</v>
      </c>
      <c r="J1726" t="s">
        <v>56</v>
      </c>
      <c r="K1726" t="b">
        <v>0</v>
      </c>
      <c r="L1726">
        <v>1997</v>
      </c>
      <c r="M1726">
        <v>12614602382</v>
      </c>
      <c r="N1726">
        <v>8577554457000</v>
      </c>
      <c r="O1726" t="b">
        <v>1</v>
      </c>
      <c r="P1726">
        <v>-1</v>
      </c>
      <c r="Q1726" t="str" cm="1">
        <f t="array" ref="Q1726">_xlfn.IFS(Table1[[#This Row],[Wealthier_Winner]]=-1,"Wealthier Nation Loses",Table1[[#This Row],[Wealthier_Winner]]=0,"Tie",Table1[[#This Row],[Wealthier_Winner]]=1,"Wealthier Nation Wins")</f>
        <v>Wealthier Nation Loses</v>
      </c>
    </row>
    <row r="1727" spans="1:17" x14ac:dyDescent="0.2">
      <c r="A1727" s="1">
        <v>3075</v>
      </c>
      <c r="B1727" s="2">
        <v>35512</v>
      </c>
      <c r="C1727" s="7">
        <f>_xlfn.FLOOR.MATH(Table1[[#This Row],[year]],10)</f>
        <v>1990</v>
      </c>
      <c r="D1727" t="s">
        <v>429</v>
      </c>
      <c r="E1727" t="s">
        <v>51</v>
      </c>
      <c r="F1727">
        <v>0</v>
      </c>
      <c r="G1727">
        <v>1</v>
      </c>
      <c r="H1727" t="s">
        <v>224</v>
      </c>
      <c r="I1727" t="s">
        <v>430</v>
      </c>
      <c r="J1727" t="s">
        <v>429</v>
      </c>
      <c r="K1727" t="b">
        <v>0</v>
      </c>
      <c r="L1727">
        <v>1997</v>
      </c>
      <c r="M1727">
        <v>18039791937</v>
      </c>
      <c r="N1727">
        <v>4492448605638</v>
      </c>
      <c r="O1727" t="b">
        <v>1</v>
      </c>
      <c r="P1727">
        <v>1</v>
      </c>
      <c r="Q1727" t="str" cm="1">
        <f t="array" ref="Q1727">_xlfn.IFS(Table1[[#This Row],[Wealthier_Winner]]=-1,"Wealthier Nation Loses",Table1[[#This Row],[Wealthier_Winner]]=0,"Tie",Table1[[#This Row],[Wealthier_Winner]]=1,"Wealthier Nation Wins")</f>
        <v>Wealthier Nation Wins</v>
      </c>
    </row>
    <row r="1728" spans="1:17" x14ac:dyDescent="0.2">
      <c r="A1728" s="1">
        <v>3077</v>
      </c>
      <c r="B1728" s="2">
        <v>35514</v>
      </c>
      <c r="C1728" s="7">
        <f>_xlfn.FLOOR.MATH(Table1[[#This Row],[year]],10)</f>
        <v>1990</v>
      </c>
      <c r="D1728" t="s">
        <v>429</v>
      </c>
      <c r="E1728" t="s">
        <v>400</v>
      </c>
      <c r="F1728">
        <v>1</v>
      </c>
      <c r="G1728">
        <v>0</v>
      </c>
      <c r="H1728" t="s">
        <v>224</v>
      </c>
      <c r="I1728" t="s">
        <v>430</v>
      </c>
      <c r="J1728" t="s">
        <v>429</v>
      </c>
      <c r="K1728" t="b">
        <v>0</v>
      </c>
      <c r="L1728">
        <v>1997</v>
      </c>
      <c r="M1728">
        <v>18039791937</v>
      </c>
      <c r="N1728">
        <v>4918691916</v>
      </c>
      <c r="O1728" t="b">
        <v>1</v>
      </c>
      <c r="P1728">
        <v>1</v>
      </c>
      <c r="Q1728" t="str" cm="1">
        <f t="array" ref="Q1728">_xlfn.IFS(Table1[[#This Row],[Wealthier_Winner]]=-1,"Wealthier Nation Loses",Table1[[#This Row],[Wealthier_Winner]]=0,"Tie",Table1[[#This Row],[Wealthier_Winner]]=1,"Wealthier Nation Wins")</f>
        <v>Wealthier Nation Wins</v>
      </c>
    </row>
    <row r="1729" spans="1:17" x14ac:dyDescent="0.2">
      <c r="A1729" s="1">
        <v>3078</v>
      </c>
      <c r="B1729" s="2">
        <v>35516</v>
      </c>
      <c r="C1729" s="7">
        <f>_xlfn.FLOOR.MATH(Table1[[#This Row],[year]],10)</f>
        <v>1990</v>
      </c>
      <c r="D1729" t="s">
        <v>400</v>
      </c>
      <c r="E1729" t="s">
        <v>51</v>
      </c>
      <c r="F1729">
        <v>0</v>
      </c>
      <c r="G1729">
        <v>6</v>
      </c>
      <c r="H1729" t="s">
        <v>224</v>
      </c>
      <c r="I1729" t="s">
        <v>430</v>
      </c>
      <c r="J1729" t="s">
        <v>429</v>
      </c>
      <c r="K1729" t="b">
        <v>1</v>
      </c>
      <c r="L1729">
        <v>1997</v>
      </c>
      <c r="M1729">
        <v>4918691916</v>
      </c>
      <c r="N1729">
        <v>4492448605638</v>
      </c>
      <c r="O1729" t="b">
        <v>1</v>
      </c>
      <c r="P1729">
        <v>1</v>
      </c>
      <c r="Q1729" t="str" cm="1">
        <f t="array" ref="Q1729">_xlfn.IFS(Table1[[#This Row],[Wealthier_Winner]]=-1,"Wealthier Nation Loses",Table1[[#This Row],[Wealthier_Winner]]=0,"Tie",Table1[[#This Row],[Wealthier_Winner]]=1,"Wealthier Nation Wins")</f>
        <v>Wealthier Nation Wins</v>
      </c>
    </row>
    <row r="1730" spans="1:17" x14ac:dyDescent="0.2">
      <c r="A1730" s="1">
        <v>3080</v>
      </c>
      <c r="B1730" s="2">
        <v>35516</v>
      </c>
      <c r="C1730" s="7">
        <f>_xlfn.FLOOR.MATH(Table1[[#This Row],[year]],10)</f>
        <v>1990</v>
      </c>
      <c r="D1730" t="s">
        <v>45</v>
      </c>
      <c r="E1730" t="s">
        <v>405</v>
      </c>
      <c r="F1730">
        <v>3</v>
      </c>
      <c r="G1730">
        <v>0</v>
      </c>
      <c r="H1730" t="s">
        <v>224</v>
      </c>
      <c r="I1730" t="s">
        <v>354</v>
      </c>
      <c r="J1730" t="s">
        <v>45</v>
      </c>
      <c r="K1730" t="b">
        <v>0</v>
      </c>
      <c r="L1730">
        <v>1997</v>
      </c>
      <c r="M1730">
        <v>165963684913</v>
      </c>
      <c r="N1730">
        <v>48244309133</v>
      </c>
      <c r="O1730" t="b">
        <v>1</v>
      </c>
      <c r="P1730">
        <v>1</v>
      </c>
      <c r="Q1730" t="str" cm="1">
        <f t="array" ref="Q1730">_xlfn.IFS(Table1[[#This Row],[Wealthier_Winner]]=-1,"Wealthier Nation Loses",Table1[[#This Row],[Wealthier_Winner]]=0,"Tie",Table1[[#This Row],[Wealthier_Winner]]=1,"Wealthier Nation Wins")</f>
        <v>Wealthier Nation Wins</v>
      </c>
    </row>
    <row r="1731" spans="1:17" x14ac:dyDescent="0.2">
      <c r="A1731" s="1">
        <v>3082</v>
      </c>
      <c r="B1731" s="2">
        <v>35518</v>
      </c>
      <c r="C1731" s="7">
        <f>_xlfn.FLOOR.MATH(Table1[[#This Row],[year]],10)</f>
        <v>1990</v>
      </c>
      <c r="D1731" t="s">
        <v>373</v>
      </c>
      <c r="E1731" t="s">
        <v>64</v>
      </c>
      <c r="F1731">
        <v>0</v>
      </c>
      <c r="G1731">
        <v>1</v>
      </c>
      <c r="H1731" t="s">
        <v>224</v>
      </c>
      <c r="I1731" t="s">
        <v>546</v>
      </c>
      <c r="J1731" t="s">
        <v>21</v>
      </c>
      <c r="K1731" t="b">
        <v>1</v>
      </c>
      <c r="L1731">
        <v>1997</v>
      </c>
      <c r="M1731">
        <v>2293666029</v>
      </c>
      <c r="N1731">
        <v>50151531591</v>
      </c>
      <c r="O1731" t="b">
        <v>1</v>
      </c>
      <c r="P1731">
        <v>1</v>
      </c>
      <c r="Q1731" t="str" cm="1">
        <f t="array" ref="Q1731">_xlfn.IFS(Table1[[#This Row],[Wealthier_Winner]]=-1,"Wealthier Nation Loses",Table1[[#This Row],[Wealthier_Winner]]=0,"Tie",Table1[[#This Row],[Wealthier_Winner]]=1,"Wealthier Nation Wins")</f>
        <v>Wealthier Nation Wins</v>
      </c>
    </row>
    <row r="1732" spans="1:17" x14ac:dyDescent="0.2">
      <c r="A1732" s="1">
        <v>3083</v>
      </c>
      <c r="B1732" s="2">
        <v>35518</v>
      </c>
      <c r="C1732" s="7">
        <f>_xlfn.FLOOR.MATH(Table1[[#This Row],[year]],10)</f>
        <v>1990</v>
      </c>
      <c r="D1732" t="s">
        <v>52</v>
      </c>
      <c r="E1732" t="s">
        <v>36</v>
      </c>
      <c r="F1732">
        <v>1</v>
      </c>
      <c r="G1732">
        <v>1</v>
      </c>
      <c r="H1732" t="s">
        <v>224</v>
      </c>
      <c r="I1732" t="s">
        <v>547</v>
      </c>
      <c r="J1732" t="s">
        <v>52</v>
      </c>
      <c r="K1732" t="b">
        <v>0</v>
      </c>
      <c r="L1732">
        <v>1997</v>
      </c>
      <c r="M1732">
        <v>24175764812</v>
      </c>
      <c r="N1732">
        <v>173241365735</v>
      </c>
      <c r="O1732" t="b">
        <v>1</v>
      </c>
      <c r="P1732">
        <v>0</v>
      </c>
      <c r="Q1732" t="str" cm="1">
        <f t="array" ref="Q1732">_xlfn.IFS(Table1[[#This Row],[Wealthier_Winner]]=-1,"Wealthier Nation Loses",Table1[[#This Row],[Wealthier_Winner]]=0,"Tie",Table1[[#This Row],[Wealthier_Winner]]=1,"Wealthier Nation Wins")</f>
        <v>Tie</v>
      </c>
    </row>
    <row r="1733" spans="1:17" x14ac:dyDescent="0.2">
      <c r="A1733" s="1">
        <v>3084</v>
      </c>
      <c r="B1733" s="2">
        <v>35518</v>
      </c>
      <c r="C1733" s="7">
        <f>_xlfn.FLOOR.MATH(Table1[[#This Row],[year]],10)</f>
        <v>1990</v>
      </c>
      <c r="D1733" t="s">
        <v>351</v>
      </c>
      <c r="E1733" t="s">
        <v>196</v>
      </c>
      <c r="F1733">
        <v>1</v>
      </c>
      <c r="G1733">
        <v>1</v>
      </c>
      <c r="H1733" t="s">
        <v>224</v>
      </c>
      <c r="I1733" t="s">
        <v>548</v>
      </c>
      <c r="J1733" t="s">
        <v>351</v>
      </c>
      <c r="K1733" t="b">
        <v>0</v>
      </c>
      <c r="L1733">
        <v>1997</v>
      </c>
      <c r="M1733">
        <v>9547816419</v>
      </c>
      <c r="N1733">
        <v>404928954191</v>
      </c>
      <c r="O1733" t="b">
        <v>1</v>
      </c>
      <c r="P1733">
        <v>0</v>
      </c>
      <c r="Q1733" t="str" cm="1">
        <f t="array" ref="Q1733">_xlfn.IFS(Table1[[#This Row],[Wealthier_Winner]]=-1,"Wealthier Nation Loses",Table1[[#This Row],[Wealthier_Winner]]=0,"Tie",Table1[[#This Row],[Wealthier_Winner]]=1,"Wealthier Nation Wins")</f>
        <v>Tie</v>
      </c>
    </row>
    <row r="1734" spans="1:17" x14ac:dyDescent="0.2">
      <c r="A1734" s="1">
        <v>3085</v>
      </c>
      <c r="B1734" s="2">
        <v>35518</v>
      </c>
      <c r="C1734" s="7">
        <f>_xlfn.FLOOR.MATH(Table1[[#This Row],[year]],10)</f>
        <v>1990</v>
      </c>
      <c r="D1734" t="s">
        <v>18</v>
      </c>
      <c r="E1734" t="s">
        <v>527</v>
      </c>
      <c r="F1734">
        <v>3</v>
      </c>
      <c r="G1734">
        <v>0</v>
      </c>
      <c r="H1734" t="s">
        <v>224</v>
      </c>
      <c r="I1734" t="s">
        <v>477</v>
      </c>
      <c r="J1734" t="s">
        <v>18</v>
      </c>
      <c r="K1734" t="b">
        <v>0</v>
      </c>
      <c r="L1734">
        <v>1997</v>
      </c>
      <c r="M1734">
        <v>1244988176443</v>
      </c>
      <c r="N1734">
        <v>1930081168</v>
      </c>
      <c r="O1734" t="b">
        <v>1</v>
      </c>
      <c r="P1734">
        <v>1</v>
      </c>
      <c r="Q1734" t="str" cm="1">
        <f t="array" ref="Q1734">_xlfn.IFS(Table1[[#This Row],[Wealthier_Winner]]=-1,"Wealthier Nation Loses",Table1[[#This Row],[Wealthier_Winner]]=0,"Tie",Table1[[#This Row],[Wealthier_Winner]]=1,"Wealthier Nation Wins")</f>
        <v>Wealthier Nation Wins</v>
      </c>
    </row>
    <row r="1735" spans="1:17" x14ac:dyDescent="0.2">
      <c r="A1735" s="1">
        <v>3086</v>
      </c>
      <c r="B1735" s="2">
        <v>35518</v>
      </c>
      <c r="C1735" s="7">
        <f>_xlfn.FLOOR.MATH(Table1[[#This Row],[year]],10)</f>
        <v>1990</v>
      </c>
      <c r="D1735" t="s">
        <v>27</v>
      </c>
      <c r="E1735" t="s">
        <v>549</v>
      </c>
      <c r="F1735">
        <v>4</v>
      </c>
      <c r="G1735">
        <v>0</v>
      </c>
      <c r="H1735" t="s">
        <v>224</v>
      </c>
      <c r="I1735" t="s">
        <v>263</v>
      </c>
      <c r="J1735" t="s">
        <v>27</v>
      </c>
      <c r="K1735" t="b">
        <v>0</v>
      </c>
      <c r="L1735">
        <v>1997</v>
      </c>
      <c r="M1735">
        <v>417506211881</v>
      </c>
      <c r="N1735">
        <v>976606910</v>
      </c>
      <c r="O1735" t="b">
        <v>1</v>
      </c>
      <c r="P1735">
        <v>1</v>
      </c>
      <c r="Q1735" t="str" cm="1">
        <f t="array" ref="Q1735">_xlfn.IFS(Table1[[#This Row],[Wealthier_Winner]]=-1,"Wealthier Nation Loses",Table1[[#This Row],[Wealthier_Winner]]=0,"Tie",Table1[[#This Row],[Wealthier_Winner]]=1,"Wealthier Nation Wins")</f>
        <v>Wealthier Nation Wins</v>
      </c>
    </row>
    <row r="1736" spans="1:17" x14ac:dyDescent="0.2">
      <c r="A1736" s="1">
        <v>3088</v>
      </c>
      <c r="B1736" s="2">
        <v>35518</v>
      </c>
      <c r="C1736" s="7">
        <f>_xlfn.FLOOR.MATH(Table1[[#This Row],[year]],10)</f>
        <v>1990</v>
      </c>
      <c r="D1736" t="s">
        <v>44</v>
      </c>
      <c r="E1736" t="s">
        <v>503</v>
      </c>
      <c r="F1736">
        <v>8</v>
      </c>
      <c r="G1736">
        <v>0</v>
      </c>
      <c r="H1736" t="s">
        <v>224</v>
      </c>
      <c r="I1736" t="s">
        <v>425</v>
      </c>
      <c r="J1736" t="s">
        <v>44</v>
      </c>
      <c r="K1736" t="b">
        <v>0</v>
      </c>
      <c r="L1736">
        <v>1997</v>
      </c>
      <c r="M1736">
        <v>35575214078</v>
      </c>
      <c r="N1736">
        <v>2298389802</v>
      </c>
      <c r="O1736" t="b">
        <v>1</v>
      </c>
      <c r="P1736">
        <v>1</v>
      </c>
      <c r="Q1736" t="str" cm="1">
        <f t="array" ref="Q1736">_xlfn.IFS(Table1[[#This Row],[Wealthier_Winner]]=-1,"Wealthier Nation Loses",Table1[[#This Row],[Wealthier_Winner]]=0,"Tie",Table1[[#This Row],[Wealthier_Winner]]=1,"Wealthier Nation Wins")</f>
        <v>Wealthier Nation Wins</v>
      </c>
    </row>
    <row r="1737" spans="1:17" x14ac:dyDescent="0.2">
      <c r="A1737" s="1">
        <v>3089</v>
      </c>
      <c r="B1737" s="2">
        <v>35518</v>
      </c>
      <c r="C1737" s="7">
        <f>_xlfn.FLOOR.MATH(Table1[[#This Row],[year]],10)</f>
        <v>1990</v>
      </c>
      <c r="D1737" t="s">
        <v>45</v>
      </c>
      <c r="E1737" t="s">
        <v>333</v>
      </c>
      <c r="F1737">
        <v>3</v>
      </c>
      <c r="G1737">
        <v>0</v>
      </c>
      <c r="H1737" t="s">
        <v>224</v>
      </c>
      <c r="I1737" t="s">
        <v>354</v>
      </c>
      <c r="J1737" t="s">
        <v>45</v>
      </c>
      <c r="K1737" t="b">
        <v>0</v>
      </c>
      <c r="L1737">
        <v>1997</v>
      </c>
      <c r="M1737">
        <v>165963684913</v>
      </c>
      <c r="N1737">
        <v>100005323301</v>
      </c>
      <c r="O1737" t="b">
        <v>0</v>
      </c>
      <c r="P1737">
        <v>1</v>
      </c>
      <c r="Q1737" t="str" cm="1">
        <f t="array" ref="Q1737">_xlfn.IFS(Table1[[#This Row],[Wealthier_Winner]]=-1,"Wealthier Nation Loses",Table1[[#This Row],[Wealthier_Winner]]=0,"Tie",Table1[[#This Row],[Wealthier_Winner]]=1,"Wealthier Nation Wins")</f>
        <v>Wealthier Nation Wins</v>
      </c>
    </row>
    <row r="1738" spans="1:17" x14ac:dyDescent="0.2">
      <c r="A1738" s="1">
        <v>3093</v>
      </c>
      <c r="B1738" s="2">
        <v>35520</v>
      </c>
      <c r="C1738" s="7">
        <f>_xlfn.FLOOR.MATH(Table1[[#This Row],[year]],10)</f>
        <v>1990</v>
      </c>
      <c r="D1738" t="s">
        <v>405</v>
      </c>
      <c r="E1738" t="s">
        <v>333</v>
      </c>
      <c r="F1738">
        <v>0</v>
      </c>
      <c r="G1738">
        <v>1</v>
      </c>
      <c r="H1738" t="s">
        <v>224</v>
      </c>
      <c r="I1738" t="s">
        <v>354</v>
      </c>
      <c r="J1738" t="s">
        <v>45</v>
      </c>
      <c r="K1738" t="b">
        <v>1</v>
      </c>
      <c r="L1738">
        <v>1997</v>
      </c>
      <c r="M1738">
        <v>48244309133</v>
      </c>
      <c r="N1738">
        <v>100005323301</v>
      </c>
      <c r="O1738" t="b">
        <v>1</v>
      </c>
      <c r="P1738">
        <v>1</v>
      </c>
      <c r="Q1738" t="str" cm="1">
        <f t="array" ref="Q1738">_xlfn.IFS(Table1[[#This Row],[Wealthier_Winner]]=-1,"Wealthier Nation Loses",Table1[[#This Row],[Wealthier_Winner]]=0,"Tie",Table1[[#This Row],[Wealthier_Winner]]=1,"Wealthier Nation Wins")</f>
        <v>Wealthier Nation Wins</v>
      </c>
    </row>
    <row r="1739" spans="1:17" x14ac:dyDescent="0.2">
      <c r="A1739" s="1">
        <v>3094</v>
      </c>
      <c r="B1739" s="2">
        <v>35520</v>
      </c>
      <c r="C1739" s="7">
        <f>_xlfn.FLOOR.MATH(Table1[[#This Row],[year]],10)</f>
        <v>1990</v>
      </c>
      <c r="D1739" t="s">
        <v>232</v>
      </c>
      <c r="E1739" t="s">
        <v>22</v>
      </c>
      <c r="F1739">
        <v>0</v>
      </c>
      <c r="G1739">
        <v>3</v>
      </c>
      <c r="H1739" t="s">
        <v>224</v>
      </c>
      <c r="I1739" t="s">
        <v>232</v>
      </c>
      <c r="J1739" t="s">
        <v>232</v>
      </c>
      <c r="K1739" t="b">
        <v>0</v>
      </c>
      <c r="L1739">
        <v>1997</v>
      </c>
      <c r="M1739">
        <v>19563836265</v>
      </c>
      <c r="N1739">
        <v>119459826346</v>
      </c>
      <c r="O1739" t="b">
        <v>1</v>
      </c>
      <c r="P1739">
        <v>1</v>
      </c>
      <c r="Q1739" t="str" cm="1">
        <f t="array" ref="Q1739">_xlfn.IFS(Table1[[#This Row],[Wealthier_Winner]]=-1,"Wealthier Nation Loses",Table1[[#This Row],[Wealthier_Winner]]=0,"Tie",Table1[[#This Row],[Wealthier_Winner]]=1,"Wealthier Nation Wins")</f>
        <v>Wealthier Nation Wins</v>
      </c>
    </row>
    <row r="1740" spans="1:17" x14ac:dyDescent="0.2">
      <c r="A1740" s="1">
        <v>3097</v>
      </c>
      <c r="B1740" s="2">
        <v>35522</v>
      </c>
      <c r="C1740" s="7">
        <f>_xlfn.FLOOR.MATH(Table1[[#This Row],[year]],10)</f>
        <v>1990</v>
      </c>
      <c r="D1740" t="s">
        <v>373</v>
      </c>
      <c r="E1740" t="s">
        <v>16</v>
      </c>
      <c r="F1740">
        <v>2</v>
      </c>
      <c r="G1740">
        <v>3</v>
      </c>
      <c r="H1740" t="s">
        <v>224</v>
      </c>
      <c r="I1740" t="s">
        <v>546</v>
      </c>
      <c r="J1740" t="s">
        <v>21</v>
      </c>
      <c r="K1740" t="b">
        <v>1</v>
      </c>
      <c r="L1740">
        <v>1997</v>
      </c>
      <c r="M1740">
        <v>2293666029</v>
      </c>
      <c r="N1740">
        <v>2218790886532</v>
      </c>
      <c r="O1740" t="b">
        <v>1</v>
      </c>
      <c r="P1740">
        <v>1</v>
      </c>
      <c r="Q1740" t="str" cm="1">
        <f t="array" ref="Q1740">_xlfn.IFS(Table1[[#This Row],[Wealthier_Winner]]=-1,"Wealthier Nation Loses",Table1[[#This Row],[Wealthier_Winner]]=0,"Tie",Table1[[#This Row],[Wealthier_Winner]]=1,"Wealthier Nation Wins")</f>
        <v>Wealthier Nation Wins</v>
      </c>
    </row>
    <row r="1741" spans="1:17" x14ac:dyDescent="0.2">
      <c r="A1741" s="1">
        <v>3098</v>
      </c>
      <c r="B1741" s="2">
        <v>35522</v>
      </c>
      <c r="C1741" s="7">
        <f>_xlfn.FLOOR.MATH(Table1[[#This Row],[year]],10)</f>
        <v>1990</v>
      </c>
      <c r="D1741" t="s">
        <v>513</v>
      </c>
      <c r="E1741" t="s">
        <v>230</v>
      </c>
      <c r="F1741">
        <v>1</v>
      </c>
      <c r="G1741">
        <v>2</v>
      </c>
      <c r="H1741" t="s">
        <v>224</v>
      </c>
      <c r="I1741" t="s">
        <v>521</v>
      </c>
      <c r="J1741" t="s">
        <v>513</v>
      </c>
      <c r="K1741" t="b">
        <v>0</v>
      </c>
      <c r="L1741">
        <v>1997</v>
      </c>
      <c r="M1741">
        <v>3962362387</v>
      </c>
      <c r="N1741">
        <v>126862902302</v>
      </c>
      <c r="O1741" t="b">
        <v>1</v>
      </c>
      <c r="P1741">
        <v>1</v>
      </c>
      <c r="Q1741" t="str" cm="1">
        <f t="array" ref="Q1741">_xlfn.IFS(Table1[[#This Row],[Wealthier_Winner]]=-1,"Wealthier Nation Loses",Table1[[#This Row],[Wealthier_Winner]]=0,"Tie",Table1[[#This Row],[Wealthier_Winner]]=1,"Wealthier Nation Wins")</f>
        <v>Wealthier Nation Wins</v>
      </c>
    </row>
    <row r="1742" spans="1:17" x14ac:dyDescent="0.2">
      <c r="A1742" s="1">
        <v>3099</v>
      </c>
      <c r="B1742" s="2">
        <v>35522</v>
      </c>
      <c r="C1742" s="7">
        <f>_xlfn.FLOOR.MATH(Table1[[#This Row],[year]],10)</f>
        <v>1990</v>
      </c>
      <c r="D1742" t="s">
        <v>47</v>
      </c>
      <c r="E1742" t="s">
        <v>19</v>
      </c>
      <c r="F1742">
        <v>2</v>
      </c>
      <c r="G1742">
        <v>1</v>
      </c>
      <c r="H1742" t="s">
        <v>224</v>
      </c>
      <c r="I1742" t="s">
        <v>246</v>
      </c>
      <c r="J1742" t="s">
        <v>47</v>
      </c>
      <c r="K1742" t="b">
        <v>0</v>
      </c>
      <c r="L1742">
        <v>1997</v>
      </c>
      <c r="M1742">
        <v>7925736821</v>
      </c>
      <c r="N1742">
        <v>292859000000</v>
      </c>
      <c r="O1742" t="b">
        <v>1</v>
      </c>
      <c r="P1742">
        <v>-1</v>
      </c>
      <c r="Q1742" t="str" cm="1">
        <f t="array" ref="Q1742">_xlfn.IFS(Table1[[#This Row],[Wealthier_Winner]]=-1,"Wealthier Nation Loses",Table1[[#This Row],[Wealthier_Winner]]=0,"Tie",Table1[[#This Row],[Wealthier_Winner]]=1,"Wealthier Nation Wins")</f>
        <v>Wealthier Nation Loses</v>
      </c>
    </row>
    <row r="1743" spans="1:17" x14ac:dyDescent="0.2">
      <c r="A1743" s="1">
        <v>3100</v>
      </c>
      <c r="B1743" s="2">
        <v>35522</v>
      </c>
      <c r="C1743" s="7">
        <f>_xlfn.FLOOR.MATH(Table1[[#This Row],[year]],10)</f>
        <v>1990</v>
      </c>
      <c r="D1743" t="s">
        <v>73</v>
      </c>
      <c r="E1743" t="s">
        <v>48</v>
      </c>
      <c r="F1743">
        <v>0</v>
      </c>
      <c r="G1743">
        <v>1</v>
      </c>
      <c r="H1743" t="s">
        <v>224</v>
      </c>
      <c r="I1743" t="s">
        <v>550</v>
      </c>
      <c r="J1743" t="s">
        <v>73</v>
      </c>
      <c r="K1743" t="b">
        <v>0</v>
      </c>
      <c r="L1743">
        <v>1997</v>
      </c>
      <c r="M1743">
        <v>3671909673</v>
      </c>
      <c r="N1743">
        <v>138766067640</v>
      </c>
      <c r="O1743" t="b">
        <v>1</v>
      </c>
      <c r="P1743">
        <v>1</v>
      </c>
      <c r="Q1743" t="str" cm="1">
        <f t="array" ref="Q1743">_xlfn.IFS(Table1[[#This Row],[Wealthier_Winner]]=-1,"Wealthier Nation Loses",Table1[[#This Row],[Wealthier_Winner]]=0,"Tie",Table1[[#This Row],[Wealthier_Winner]]=1,"Wealthier Nation Wins")</f>
        <v>Wealthier Nation Wins</v>
      </c>
    </row>
    <row r="1744" spans="1:17" x14ac:dyDescent="0.2">
      <c r="A1744" s="1">
        <v>3101</v>
      </c>
      <c r="B1744" s="2">
        <v>35522</v>
      </c>
      <c r="C1744" s="7">
        <f>_xlfn.FLOOR.MATH(Table1[[#This Row],[year]],10)</f>
        <v>1990</v>
      </c>
      <c r="D1744" t="s">
        <v>33</v>
      </c>
      <c r="E1744" t="s">
        <v>351</v>
      </c>
      <c r="F1744">
        <v>4</v>
      </c>
      <c r="G1744">
        <v>1</v>
      </c>
      <c r="H1744" t="s">
        <v>224</v>
      </c>
      <c r="I1744" t="s">
        <v>375</v>
      </c>
      <c r="J1744" t="s">
        <v>33</v>
      </c>
      <c r="K1744" t="b">
        <v>0</v>
      </c>
      <c r="L1744">
        <v>1997</v>
      </c>
      <c r="M1744">
        <v>11316127378</v>
      </c>
      <c r="N1744">
        <v>9547816419</v>
      </c>
      <c r="O1744" t="b">
        <v>0</v>
      </c>
      <c r="P1744">
        <v>1</v>
      </c>
      <c r="Q1744" t="str" cm="1">
        <f t="array" ref="Q1744">_xlfn.IFS(Table1[[#This Row],[Wealthier_Winner]]=-1,"Wealthier Nation Loses",Table1[[#This Row],[Wealthier_Winner]]=0,"Tie",Table1[[#This Row],[Wealthier_Winner]]=1,"Wealthier Nation Wins")</f>
        <v>Wealthier Nation Wins</v>
      </c>
    </row>
    <row r="1745" spans="1:17" x14ac:dyDescent="0.2">
      <c r="A1745" s="1">
        <v>3102</v>
      </c>
      <c r="B1745" s="2">
        <v>35522</v>
      </c>
      <c r="C1745" s="7">
        <f>_xlfn.FLOOR.MATH(Table1[[#This Row],[year]],10)</f>
        <v>1990</v>
      </c>
      <c r="D1745" t="s">
        <v>52</v>
      </c>
      <c r="E1745" t="s">
        <v>55</v>
      </c>
      <c r="F1745">
        <v>3</v>
      </c>
      <c r="G1745">
        <v>3</v>
      </c>
      <c r="H1745" t="s">
        <v>224</v>
      </c>
      <c r="I1745" t="s">
        <v>547</v>
      </c>
      <c r="J1745" t="s">
        <v>52</v>
      </c>
      <c r="K1745" t="b">
        <v>0</v>
      </c>
      <c r="L1745">
        <v>1997</v>
      </c>
      <c r="M1745">
        <v>24175764812</v>
      </c>
      <c r="N1745">
        <v>20726878751</v>
      </c>
      <c r="O1745" t="b">
        <v>0</v>
      </c>
      <c r="P1745">
        <v>0</v>
      </c>
      <c r="Q1745" t="str" cm="1">
        <f t="array" ref="Q1745">_xlfn.IFS(Table1[[#This Row],[Wealthier_Winner]]=-1,"Wealthier Nation Loses",Table1[[#This Row],[Wealthier_Winner]]=0,"Tie",Table1[[#This Row],[Wealthier_Winner]]=1,"Wealthier Nation Wins")</f>
        <v>Tie</v>
      </c>
    </row>
    <row r="1746" spans="1:17" x14ac:dyDescent="0.2">
      <c r="A1746" s="1">
        <v>3104</v>
      </c>
      <c r="B1746" s="2">
        <v>35522</v>
      </c>
      <c r="C1746" s="7">
        <f>_xlfn.FLOOR.MATH(Table1[[#This Row],[year]],10)</f>
        <v>1990</v>
      </c>
      <c r="D1746" t="s">
        <v>523</v>
      </c>
      <c r="E1746" t="s">
        <v>44</v>
      </c>
      <c r="F1746">
        <v>0</v>
      </c>
      <c r="G1746">
        <v>1</v>
      </c>
      <c r="H1746" t="s">
        <v>224</v>
      </c>
      <c r="I1746" t="s">
        <v>533</v>
      </c>
      <c r="J1746" t="s">
        <v>523</v>
      </c>
      <c r="K1746" t="b">
        <v>0</v>
      </c>
      <c r="L1746">
        <v>1997</v>
      </c>
      <c r="M1746">
        <v>10168271903</v>
      </c>
      <c r="N1746">
        <v>35575214078</v>
      </c>
      <c r="O1746" t="b">
        <v>1</v>
      </c>
      <c r="P1746">
        <v>1</v>
      </c>
      <c r="Q1746" t="str" cm="1">
        <f t="array" ref="Q1746">_xlfn.IFS(Table1[[#This Row],[Wealthier_Winner]]=-1,"Wealthier Nation Loses",Table1[[#This Row],[Wealthier_Winner]]=0,"Tie",Table1[[#This Row],[Wealthier_Winner]]=1,"Wealthier Nation Wins")</f>
        <v>Wealthier Nation Wins</v>
      </c>
    </row>
    <row r="1747" spans="1:17" x14ac:dyDescent="0.2">
      <c r="A1747" s="1">
        <v>3106</v>
      </c>
      <c r="B1747" s="2">
        <v>35522</v>
      </c>
      <c r="C1747" s="7">
        <f>_xlfn.FLOOR.MATH(Table1[[#This Row],[year]],10)</f>
        <v>1990</v>
      </c>
      <c r="D1747" t="s">
        <v>35</v>
      </c>
      <c r="E1747" t="s">
        <v>15</v>
      </c>
      <c r="F1747">
        <v>2</v>
      </c>
      <c r="G1747">
        <v>1</v>
      </c>
      <c r="H1747" t="s">
        <v>224</v>
      </c>
      <c r="I1747" t="s">
        <v>250</v>
      </c>
      <c r="J1747" t="s">
        <v>35</v>
      </c>
      <c r="K1747" t="b">
        <v>0</v>
      </c>
      <c r="L1747">
        <v>1997</v>
      </c>
      <c r="M1747">
        <v>9965225678</v>
      </c>
      <c r="N1747">
        <v>106659508271</v>
      </c>
      <c r="O1747" t="b">
        <v>1</v>
      </c>
      <c r="P1747">
        <v>-1</v>
      </c>
      <c r="Q1747" t="str" cm="1">
        <f t="array" ref="Q1747">_xlfn.IFS(Table1[[#This Row],[Wealthier_Winner]]=-1,"Wealthier Nation Loses",Table1[[#This Row],[Wealthier_Winner]]=0,"Tie",Table1[[#This Row],[Wealthier_Winner]]=1,"Wealthier Nation Wins")</f>
        <v>Wealthier Nation Loses</v>
      </c>
    </row>
    <row r="1748" spans="1:17" x14ac:dyDescent="0.2">
      <c r="A1748" s="1">
        <v>3107</v>
      </c>
      <c r="B1748" s="2">
        <v>35522</v>
      </c>
      <c r="C1748" s="7">
        <f>_xlfn.FLOOR.MATH(Table1[[#This Row],[year]],10)</f>
        <v>1990</v>
      </c>
      <c r="D1748" t="s">
        <v>31</v>
      </c>
      <c r="E1748" t="s">
        <v>57</v>
      </c>
      <c r="F1748">
        <v>1</v>
      </c>
      <c r="G1748">
        <v>1</v>
      </c>
      <c r="H1748" t="s">
        <v>224</v>
      </c>
      <c r="I1748" t="s">
        <v>242</v>
      </c>
      <c r="J1748" t="s">
        <v>31</v>
      </c>
      <c r="K1748" t="b">
        <v>0</v>
      </c>
      <c r="L1748">
        <v>1997</v>
      </c>
      <c r="M1748">
        <v>58147522522</v>
      </c>
      <c r="N1748">
        <v>28162053026</v>
      </c>
      <c r="O1748" t="b">
        <v>1</v>
      </c>
      <c r="P1748">
        <v>0</v>
      </c>
      <c r="Q1748" t="str" cm="1">
        <f t="array" ref="Q1748">_xlfn.IFS(Table1[[#This Row],[Wealthier_Winner]]=-1,"Wealthier Nation Loses",Table1[[#This Row],[Wealthier_Winner]]=0,"Tie",Table1[[#This Row],[Wealthier_Winner]]=1,"Wealthier Nation Wins")</f>
        <v>Tie</v>
      </c>
    </row>
    <row r="1749" spans="1:17" x14ac:dyDescent="0.2">
      <c r="A1749" s="1">
        <v>3108</v>
      </c>
      <c r="B1749" s="2">
        <v>35522</v>
      </c>
      <c r="C1749" s="7">
        <f>_xlfn.FLOOR.MATH(Table1[[#This Row],[year]],10)</f>
        <v>1990</v>
      </c>
      <c r="D1749" t="s">
        <v>58</v>
      </c>
      <c r="E1749" t="s">
        <v>18</v>
      </c>
      <c r="F1749">
        <v>0</v>
      </c>
      <c r="G1749">
        <v>0</v>
      </c>
      <c r="H1749" t="s">
        <v>224</v>
      </c>
      <c r="I1749" t="s">
        <v>484</v>
      </c>
      <c r="J1749" t="s">
        <v>58</v>
      </c>
      <c r="K1749" t="b">
        <v>0</v>
      </c>
      <c r="L1749">
        <v>1997</v>
      </c>
      <c r="M1749">
        <v>159893964916</v>
      </c>
      <c r="N1749">
        <v>1244988176443</v>
      </c>
      <c r="O1749" t="b">
        <v>1</v>
      </c>
      <c r="P1749">
        <v>0</v>
      </c>
      <c r="Q1749" t="str" cm="1">
        <f t="array" ref="Q1749">_xlfn.IFS(Table1[[#This Row],[Wealthier_Winner]]=-1,"Wealthier Nation Loses",Table1[[#This Row],[Wealthier_Winner]]=0,"Tie",Table1[[#This Row],[Wealthier_Winner]]=1,"Wealthier Nation Wins")</f>
        <v>Tie</v>
      </c>
    </row>
    <row r="1750" spans="1:17" x14ac:dyDescent="0.2">
      <c r="A1750" s="1">
        <v>3112</v>
      </c>
      <c r="B1750" s="2">
        <v>35522</v>
      </c>
      <c r="C1750" s="7">
        <f>_xlfn.FLOOR.MATH(Table1[[#This Row],[year]],10)</f>
        <v>1990</v>
      </c>
      <c r="D1750" t="s">
        <v>26</v>
      </c>
      <c r="E1750" t="s">
        <v>258</v>
      </c>
      <c r="F1750">
        <v>3</v>
      </c>
      <c r="G1750">
        <v>1</v>
      </c>
      <c r="H1750" t="s">
        <v>224</v>
      </c>
      <c r="I1750" t="s">
        <v>247</v>
      </c>
      <c r="J1750" t="s">
        <v>26</v>
      </c>
      <c r="K1750" t="b">
        <v>0</v>
      </c>
      <c r="L1750">
        <v>1997</v>
      </c>
      <c r="M1750">
        <v>23969739233</v>
      </c>
      <c r="N1750">
        <v>85837678559</v>
      </c>
      <c r="O1750" t="b">
        <v>1</v>
      </c>
      <c r="P1750">
        <v>-1</v>
      </c>
      <c r="Q1750" t="str" cm="1">
        <f t="array" ref="Q1750">_xlfn.IFS(Table1[[#This Row],[Wealthier_Winner]]=-1,"Wealthier Nation Loses",Table1[[#This Row],[Wealthier_Winner]]=0,"Tie",Table1[[#This Row],[Wealthier_Winner]]=1,"Wealthier Nation Wins")</f>
        <v>Wealthier Nation Loses</v>
      </c>
    </row>
    <row r="1751" spans="1:17" x14ac:dyDescent="0.2">
      <c r="A1751" s="1">
        <v>3113</v>
      </c>
      <c r="B1751" s="2">
        <v>35525</v>
      </c>
      <c r="C1751" s="7">
        <f>_xlfn.FLOOR.MATH(Table1[[#This Row],[year]],10)</f>
        <v>1990</v>
      </c>
      <c r="D1751" t="s">
        <v>43</v>
      </c>
      <c r="E1751" t="s">
        <v>305</v>
      </c>
      <c r="F1751">
        <v>2</v>
      </c>
      <c r="G1751">
        <v>1</v>
      </c>
      <c r="H1751" t="s">
        <v>224</v>
      </c>
      <c r="I1751" t="s">
        <v>229</v>
      </c>
      <c r="J1751" t="s">
        <v>43</v>
      </c>
      <c r="K1751" t="b">
        <v>0</v>
      </c>
      <c r="L1751">
        <v>1997</v>
      </c>
      <c r="M1751">
        <v>200850397618</v>
      </c>
      <c r="N1751">
        <v>5516916163</v>
      </c>
      <c r="O1751" t="b">
        <v>1</v>
      </c>
      <c r="P1751">
        <v>1</v>
      </c>
      <c r="Q1751" t="str" cm="1">
        <f t="array" ref="Q1751">_xlfn.IFS(Table1[[#This Row],[Wealthier_Winner]]=-1,"Wealthier Nation Loses",Table1[[#This Row],[Wealthier_Winner]]=0,"Tie",Table1[[#This Row],[Wealthier_Winner]]=1,"Wealthier Nation Wins")</f>
        <v>Wealthier Nation Wins</v>
      </c>
    </row>
    <row r="1752" spans="1:17" x14ac:dyDescent="0.2">
      <c r="A1752" s="1">
        <v>3114</v>
      </c>
      <c r="B1752" s="2">
        <v>35525</v>
      </c>
      <c r="C1752" s="7">
        <f>_xlfn.FLOOR.MATH(Table1[[#This Row],[year]],10)</f>
        <v>1990</v>
      </c>
      <c r="D1752" t="s">
        <v>342</v>
      </c>
      <c r="E1752" t="s">
        <v>63</v>
      </c>
      <c r="F1752">
        <v>1</v>
      </c>
      <c r="G1752">
        <v>1</v>
      </c>
      <c r="H1752" t="s">
        <v>224</v>
      </c>
      <c r="I1752" t="s">
        <v>344</v>
      </c>
      <c r="J1752" t="s">
        <v>342</v>
      </c>
      <c r="K1752" t="b">
        <v>0</v>
      </c>
      <c r="L1752">
        <v>1997</v>
      </c>
      <c r="M1752">
        <v>850232760</v>
      </c>
      <c r="N1752">
        <v>6891443192</v>
      </c>
      <c r="O1752" t="b">
        <v>1</v>
      </c>
      <c r="P1752">
        <v>0</v>
      </c>
      <c r="Q1752" t="str" cm="1">
        <f t="array" ref="Q1752">_xlfn.IFS(Table1[[#This Row],[Wealthier_Winner]]=-1,"Wealthier Nation Loses",Table1[[#This Row],[Wealthier_Winner]]=0,"Tie",Table1[[#This Row],[Wealthier_Winner]]=1,"Wealthier Nation Wins")</f>
        <v>Tie</v>
      </c>
    </row>
    <row r="1753" spans="1:17" x14ac:dyDescent="0.2">
      <c r="A1753" s="1">
        <v>3115</v>
      </c>
      <c r="B1753" s="2">
        <v>35526</v>
      </c>
      <c r="C1753" s="7">
        <f>_xlfn.FLOOR.MATH(Table1[[#This Row],[year]],10)</f>
        <v>1990</v>
      </c>
      <c r="D1753" t="s">
        <v>60</v>
      </c>
      <c r="E1753" t="s">
        <v>62</v>
      </c>
      <c r="F1753">
        <v>3</v>
      </c>
      <c r="G1753">
        <v>1</v>
      </c>
      <c r="H1753" t="s">
        <v>224</v>
      </c>
      <c r="I1753" t="s">
        <v>396</v>
      </c>
      <c r="J1753" t="s">
        <v>60</v>
      </c>
      <c r="K1753" t="b">
        <v>0</v>
      </c>
      <c r="L1753">
        <v>1997</v>
      </c>
      <c r="M1753">
        <v>7648380195</v>
      </c>
      <c r="N1753">
        <v>2116818622</v>
      </c>
      <c r="O1753" t="b">
        <v>1</v>
      </c>
      <c r="P1753">
        <v>1</v>
      </c>
      <c r="Q1753" t="str" cm="1">
        <f t="array" ref="Q1753">_xlfn.IFS(Table1[[#This Row],[Wealthier_Winner]]=-1,"Wealthier Nation Loses",Table1[[#This Row],[Wealthier_Winner]]=0,"Tie",Table1[[#This Row],[Wealthier_Winner]]=1,"Wealthier Nation Wins")</f>
        <v>Wealthier Nation Wins</v>
      </c>
    </row>
    <row r="1754" spans="1:17" x14ac:dyDescent="0.2">
      <c r="A1754" s="1">
        <v>3116</v>
      </c>
      <c r="B1754" s="2">
        <v>35526</v>
      </c>
      <c r="C1754" s="7">
        <f>_xlfn.FLOOR.MATH(Table1[[#This Row],[year]],10)</f>
        <v>1990</v>
      </c>
      <c r="D1754" t="s">
        <v>40</v>
      </c>
      <c r="E1754" t="s">
        <v>298</v>
      </c>
      <c r="F1754">
        <v>1</v>
      </c>
      <c r="G1754">
        <v>0</v>
      </c>
      <c r="H1754" t="s">
        <v>224</v>
      </c>
      <c r="I1754" t="s">
        <v>371</v>
      </c>
      <c r="J1754" t="s">
        <v>40</v>
      </c>
      <c r="K1754" t="b">
        <v>0</v>
      </c>
      <c r="L1754">
        <v>1997</v>
      </c>
      <c r="M1754">
        <v>10789458432</v>
      </c>
      <c r="N1754">
        <v>8534000000</v>
      </c>
      <c r="O1754" t="b">
        <v>0</v>
      </c>
      <c r="P1754">
        <v>1</v>
      </c>
      <c r="Q1754" t="str" cm="1">
        <f t="array" ref="Q1754">_xlfn.IFS(Table1[[#This Row],[Wealthier_Winner]]=-1,"Wealthier Nation Loses",Table1[[#This Row],[Wealthier_Winner]]=0,"Tie",Table1[[#This Row],[Wealthier_Winner]]=1,"Wealthier Nation Wins")</f>
        <v>Wealthier Nation Wins</v>
      </c>
    </row>
    <row r="1755" spans="1:17" x14ac:dyDescent="0.2">
      <c r="A1755" s="1">
        <v>3117</v>
      </c>
      <c r="B1755" s="2">
        <v>35526</v>
      </c>
      <c r="C1755" s="7">
        <f>_xlfn.FLOOR.MATH(Table1[[#This Row],[year]],10)</f>
        <v>1990</v>
      </c>
      <c r="D1755" t="s">
        <v>34</v>
      </c>
      <c r="E1755" t="s">
        <v>69</v>
      </c>
      <c r="F1755">
        <v>0</v>
      </c>
      <c r="G1755">
        <v>0</v>
      </c>
      <c r="H1755" t="s">
        <v>224</v>
      </c>
      <c r="I1755" t="s">
        <v>467</v>
      </c>
      <c r="J1755" t="s">
        <v>34</v>
      </c>
      <c r="K1755" t="b">
        <v>0</v>
      </c>
      <c r="L1755">
        <v>1997</v>
      </c>
      <c r="M1755">
        <v>654986999855</v>
      </c>
      <c r="N1755">
        <v>10221705900</v>
      </c>
      <c r="O1755" t="b">
        <v>1</v>
      </c>
      <c r="P1755">
        <v>0</v>
      </c>
      <c r="Q1755" t="str" cm="1">
        <f t="array" ref="Q1755">_xlfn.IFS(Table1[[#This Row],[Wealthier_Winner]]=-1,"Wealthier Nation Loses",Table1[[#This Row],[Wealthier_Winner]]=0,"Tie",Table1[[#This Row],[Wealthier_Winner]]=1,"Wealthier Nation Wins")</f>
        <v>Tie</v>
      </c>
    </row>
    <row r="1756" spans="1:17" x14ac:dyDescent="0.2">
      <c r="A1756" s="1">
        <v>3119</v>
      </c>
      <c r="B1756" s="2">
        <v>35526</v>
      </c>
      <c r="C1756" s="7">
        <f>_xlfn.FLOOR.MATH(Table1[[#This Row],[year]],10)</f>
        <v>1990</v>
      </c>
      <c r="D1756" t="s">
        <v>433</v>
      </c>
      <c r="E1756" t="s">
        <v>24</v>
      </c>
      <c r="F1756">
        <v>0</v>
      </c>
      <c r="G1756">
        <v>4</v>
      </c>
      <c r="H1756" t="s">
        <v>224</v>
      </c>
      <c r="I1756" t="s">
        <v>436</v>
      </c>
      <c r="J1756" t="s">
        <v>433</v>
      </c>
      <c r="K1756" t="b">
        <v>0</v>
      </c>
      <c r="L1756">
        <v>1997</v>
      </c>
      <c r="M1756">
        <v>5326817114</v>
      </c>
      <c r="N1756">
        <v>39147844526</v>
      </c>
      <c r="O1756" t="b">
        <v>1</v>
      </c>
      <c r="P1756">
        <v>1</v>
      </c>
      <c r="Q1756" t="str" cm="1">
        <f t="array" ref="Q1756">_xlfn.IFS(Table1[[#This Row],[Wealthier_Winner]]=-1,"Wealthier Nation Loses",Table1[[#This Row],[Wealthier_Winner]]=0,"Tie",Table1[[#This Row],[Wealthier_Winner]]=1,"Wealthier Nation Wins")</f>
        <v>Wealthier Nation Wins</v>
      </c>
    </row>
    <row r="1757" spans="1:17" x14ac:dyDescent="0.2">
      <c r="A1757" s="1">
        <v>3120</v>
      </c>
      <c r="B1757" s="2">
        <v>35526</v>
      </c>
      <c r="C1757" s="7">
        <f>_xlfn.FLOOR.MATH(Table1[[#This Row],[year]],10)</f>
        <v>1990</v>
      </c>
      <c r="D1757" t="s">
        <v>328</v>
      </c>
      <c r="E1757" t="s">
        <v>551</v>
      </c>
      <c r="F1757">
        <v>8</v>
      </c>
      <c r="G1757">
        <v>0</v>
      </c>
      <c r="H1757" t="s">
        <v>224</v>
      </c>
      <c r="I1757" t="s">
        <v>386</v>
      </c>
      <c r="J1757" t="s">
        <v>328</v>
      </c>
      <c r="K1757" t="b">
        <v>0</v>
      </c>
      <c r="L1757">
        <v>1997</v>
      </c>
      <c r="M1757">
        <v>215748998609</v>
      </c>
      <c r="N1757">
        <v>3443413388</v>
      </c>
      <c r="O1757" t="b">
        <v>1</v>
      </c>
      <c r="P1757">
        <v>1</v>
      </c>
      <c r="Q1757" t="str" cm="1">
        <f t="array" ref="Q1757">_xlfn.IFS(Table1[[#This Row],[Wealthier_Winner]]=-1,"Wealthier Nation Loses",Table1[[#This Row],[Wealthier_Winner]]=0,"Tie",Table1[[#This Row],[Wealthier_Winner]]=1,"Wealthier Nation Wins")</f>
        <v>Wealthier Nation Wins</v>
      </c>
    </row>
    <row r="1758" spans="1:17" x14ac:dyDescent="0.2">
      <c r="A1758" s="1">
        <v>3121</v>
      </c>
      <c r="B1758" s="2">
        <v>35526</v>
      </c>
      <c r="C1758" s="7">
        <f>_xlfn.FLOOR.MATH(Table1[[#This Row],[year]],10)</f>
        <v>1990</v>
      </c>
      <c r="D1758" t="s">
        <v>314</v>
      </c>
      <c r="E1758" t="s">
        <v>345</v>
      </c>
      <c r="F1758">
        <v>4</v>
      </c>
      <c r="G1758">
        <v>3</v>
      </c>
      <c r="H1758" t="s">
        <v>224</v>
      </c>
      <c r="I1758" t="s">
        <v>315</v>
      </c>
      <c r="J1758" t="s">
        <v>314</v>
      </c>
      <c r="K1758" t="b">
        <v>0</v>
      </c>
      <c r="L1758">
        <v>1997</v>
      </c>
      <c r="M1758">
        <v>13115764358</v>
      </c>
      <c r="N1758">
        <v>2447669101</v>
      </c>
      <c r="O1758" t="b">
        <v>1</v>
      </c>
      <c r="P1758">
        <v>1</v>
      </c>
      <c r="Q1758" t="str" cm="1">
        <f t="array" ref="Q1758">_xlfn.IFS(Table1[[#This Row],[Wealthier_Winner]]=-1,"Wealthier Nation Loses",Table1[[#This Row],[Wealthier_Winner]]=0,"Tie",Table1[[#This Row],[Wealthier_Winner]]=1,"Wealthier Nation Wins")</f>
        <v>Wealthier Nation Wins</v>
      </c>
    </row>
    <row r="1759" spans="1:17" x14ac:dyDescent="0.2">
      <c r="A1759" s="1">
        <v>3122</v>
      </c>
      <c r="B1759" s="2">
        <v>35526</v>
      </c>
      <c r="C1759" s="7">
        <f>_xlfn.FLOOR.MATH(Table1[[#This Row],[year]],10)</f>
        <v>1990</v>
      </c>
      <c r="D1759" t="s">
        <v>378</v>
      </c>
      <c r="E1759" t="s">
        <v>212</v>
      </c>
      <c r="F1759">
        <v>1</v>
      </c>
      <c r="G1759">
        <v>0</v>
      </c>
      <c r="H1759" t="s">
        <v>224</v>
      </c>
      <c r="I1759" t="s">
        <v>226</v>
      </c>
      <c r="J1759" t="s">
        <v>63</v>
      </c>
      <c r="K1759" t="b">
        <v>1</v>
      </c>
      <c r="L1759">
        <v>1997</v>
      </c>
      <c r="M1759">
        <v>295900000</v>
      </c>
      <c r="N1759">
        <v>78436578171</v>
      </c>
      <c r="O1759" t="b">
        <v>1</v>
      </c>
      <c r="P1759">
        <v>-1</v>
      </c>
      <c r="Q1759" t="str" cm="1">
        <f t="array" ref="Q1759">_xlfn.IFS(Table1[[#This Row],[Wealthier_Winner]]=-1,"Wealthier Nation Loses",Table1[[#This Row],[Wealthier_Winner]]=0,"Tie",Table1[[#This Row],[Wealthier_Winner]]=1,"Wealthier Nation Wins")</f>
        <v>Wealthier Nation Loses</v>
      </c>
    </row>
    <row r="1760" spans="1:17" x14ac:dyDescent="0.2">
      <c r="A1760" s="1">
        <v>3123</v>
      </c>
      <c r="B1760" s="2">
        <v>35526</v>
      </c>
      <c r="C1760" s="7">
        <f>_xlfn.FLOOR.MATH(Table1[[#This Row],[year]],10)</f>
        <v>1990</v>
      </c>
      <c r="D1760" t="s">
        <v>462</v>
      </c>
      <c r="E1760" t="s">
        <v>53</v>
      </c>
      <c r="F1760">
        <v>1</v>
      </c>
      <c r="G1760">
        <v>2</v>
      </c>
      <c r="H1760" t="s">
        <v>224</v>
      </c>
      <c r="I1760" t="s">
        <v>465</v>
      </c>
      <c r="J1760" t="s">
        <v>462</v>
      </c>
      <c r="K1760" t="b">
        <v>0</v>
      </c>
      <c r="L1760">
        <v>1997</v>
      </c>
      <c r="M1760">
        <v>4154989950</v>
      </c>
      <c r="N1760">
        <v>20746210353</v>
      </c>
      <c r="O1760" t="b">
        <v>1</v>
      </c>
      <c r="P1760">
        <v>1</v>
      </c>
      <c r="Q1760" t="str" cm="1">
        <f t="array" ref="Q1760">_xlfn.IFS(Table1[[#This Row],[Wealthier_Winner]]=-1,"Wealthier Nation Loses",Table1[[#This Row],[Wealthier_Winner]]=0,"Tie",Table1[[#This Row],[Wealthier_Winner]]=1,"Wealthier Nation Wins")</f>
        <v>Wealthier Nation Wins</v>
      </c>
    </row>
    <row r="1761" spans="1:17" x14ac:dyDescent="0.2">
      <c r="A1761" s="1">
        <v>3124</v>
      </c>
      <c r="B1761" s="2">
        <v>35528</v>
      </c>
      <c r="C1761" s="7">
        <f>_xlfn.FLOOR.MATH(Table1[[#This Row],[year]],10)</f>
        <v>1990</v>
      </c>
      <c r="D1761" t="s">
        <v>403</v>
      </c>
      <c r="E1761" t="s">
        <v>39</v>
      </c>
      <c r="F1761">
        <v>0</v>
      </c>
      <c r="G1761">
        <v>0</v>
      </c>
      <c r="H1761" t="s">
        <v>224</v>
      </c>
      <c r="I1761" t="s">
        <v>552</v>
      </c>
      <c r="J1761" t="s">
        <v>361</v>
      </c>
      <c r="K1761" t="b">
        <v>1</v>
      </c>
      <c r="L1761">
        <v>1997</v>
      </c>
      <c r="M1761">
        <v>7245839210</v>
      </c>
      <c r="N1761">
        <v>78839008444</v>
      </c>
      <c r="O1761" t="b">
        <v>1</v>
      </c>
      <c r="P1761">
        <v>0</v>
      </c>
      <c r="Q1761" t="str" cm="1">
        <f t="array" ref="Q1761">_xlfn.IFS(Table1[[#This Row],[Wealthier_Winner]]=-1,"Wealthier Nation Loses",Table1[[#This Row],[Wealthier_Winner]]=0,"Tie",Table1[[#This Row],[Wealthier_Winner]]=1,"Wealthier Nation Wins")</f>
        <v>Tie</v>
      </c>
    </row>
    <row r="1762" spans="1:17" x14ac:dyDescent="0.2">
      <c r="A1762" s="1">
        <v>3126</v>
      </c>
      <c r="B1762" s="2">
        <v>35531</v>
      </c>
      <c r="C1762" s="7">
        <f>_xlfn.FLOOR.MATH(Table1[[#This Row],[year]],10)</f>
        <v>1990</v>
      </c>
      <c r="D1762" t="s">
        <v>361</v>
      </c>
      <c r="E1762" t="s">
        <v>39</v>
      </c>
      <c r="F1762">
        <v>1</v>
      </c>
      <c r="G1762">
        <v>2</v>
      </c>
      <c r="H1762" t="s">
        <v>224</v>
      </c>
      <c r="I1762" t="s">
        <v>552</v>
      </c>
      <c r="J1762" t="s">
        <v>361</v>
      </c>
      <c r="K1762" t="b">
        <v>0</v>
      </c>
      <c r="L1762">
        <v>1997</v>
      </c>
      <c r="M1762">
        <v>7219407712</v>
      </c>
      <c r="N1762">
        <v>78839008444</v>
      </c>
      <c r="O1762" t="b">
        <v>1</v>
      </c>
      <c r="P1762">
        <v>1</v>
      </c>
      <c r="Q1762" t="str" cm="1">
        <f t="array" ref="Q1762">_xlfn.IFS(Table1[[#This Row],[Wealthier_Winner]]=-1,"Wealthier Nation Loses",Table1[[#This Row],[Wealthier_Winner]]=0,"Tie",Table1[[#This Row],[Wealthier_Winner]]=1,"Wealthier Nation Wins")</f>
        <v>Wealthier Nation Wins</v>
      </c>
    </row>
    <row r="1763" spans="1:17" x14ac:dyDescent="0.2">
      <c r="A1763" s="1">
        <v>3128</v>
      </c>
      <c r="B1763" s="2">
        <v>35533</v>
      </c>
      <c r="C1763" s="7">
        <f>_xlfn.FLOOR.MATH(Table1[[#This Row],[year]],10)</f>
        <v>1990</v>
      </c>
      <c r="D1763" t="s">
        <v>479</v>
      </c>
      <c r="E1763" t="s">
        <v>359</v>
      </c>
      <c r="F1763">
        <v>1</v>
      </c>
      <c r="G1763">
        <v>1</v>
      </c>
      <c r="H1763" t="s">
        <v>224</v>
      </c>
      <c r="I1763" t="s">
        <v>480</v>
      </c>
      <c r="J1763" t="s">
        <v>479</v>
      </c>
      <c r="K1763" t="b">
        <v>0</v>
      </c>
      <c r="L1763">
        <v>1997</v>
      </c>
      <c r="M1763">
        <v>15751867489</v>
      </c>
      <c r="N1763">
        <v>100123787215</v>
      </c>
      <c r="O1763" t="b">
        <v>1</v>
      </c>
      <c r="P1763">
        <v>0</v>
      </c>
      <c r="Q1763" t="str" cm="1">
        <f t="array" ref="Q1763">_xlfn.IFS(Table1[[#This Row],[Wealthier_Winner]]=-1,"Wealthier Nation Loses",Table1[[#This Row],[Wealthier_Winner]]=0,"Tie",Table1[[#This Row],[Wealthier_Winner]]=1,"Wealthier Nation Wins")</f>
        <v>Tie</v>
      </c>
    </row>
    <row r="1764" spans="1:17" x14ac:dyDescent="0.2">
      <c r="A1764" s="1">
        <v>3129</v>
      </c>
      <c r="B1764" s="2">
        <v>35533</v>
      </c>
      <c r="C1764" s="7">
        <f>_xlfn.FLOOR.MATH(Table1[[#This Row],[year]],10)</f>
        <v>1990</v>
      </c>
      <c r="D1764" t="s">
        <v>17</v>
      </c>
      <c r="E1764" t="s">
        <v>49</v>
      </c>
      <c r="F1764">
        <v>6</v>
      </c>
      <c r="G1764">
        <v>0</v>
      </c>
      <c r="H1764" t="s">
        <v>224</v>
      </c>
      <c r="I1764" t="s">
        <v>83</v>
      </c>
      <c r="J1764" t="s">
        <v>17</v>
      </c>
      <c r="K1764" t="b">
        <v>0</v>
      </c>
      <c r="L1764">
        <v>1997</v>
      </c>
      <c r="M1764">
        <v>523449530464</v>
      </c>
      <c r="N1764">
        <v>8400041723</v>
      </c>
      <c r="O1764" t="b">
        <v>1</v>
      </c>
      <c r="P1764">
        <v>1</v>
      </c>
      <c r="Q1764" t="str" cm="1">
        <f t="array" ref="Q1764">_xlfn.IFS(Table1[[#This Row],[Wealthier_Winner]]=-1,"Wealthier Nation Loses",Table1[[#This Row],[Wealthier_Winner]]=0,"Tie",Table1[[#This Row],[Wealthier_Winner]]=1,"Wealthier Nation Wins")</f>
        <v>Wealthier Nation Wins</v>
      </c>
    </row>
    <row r="1765" spans="1:17" x14ac:dyDescent="0.2">
      <c r="A1765" s="1">
        <v>3130</v>
      </c>
      <c r="B1765" s="2">
        <v>35534</v>
      </c>
      <c r="C1765" s="7">
        <f>_xlfn.FLOOR.MATH(Table1[[#This Row],[year]],10)</f>
        <v>1990</v>
      </c>
      <c r="D1765" t="s">
        <v>361</v>
      </c>
      <c r="E1765" t="s">
        <v>403</v>
      </c>
      <c r="F1765">
        <v>1</v>
      </c>
      <c r="G1765">
        <v>0</v>
      </c>
      <c r="H1765" t="s">
        <v>224</v>
      </c>
      <c r="I1765" t="s">
        <v>552</v>
      </c>
      <c r="J1765" t="s">
        <v>361</v>
      </c>
      <c r="K1765" t="b">
        <v>0</v>
      </c>
      <c r="L1765">
        <v>1997</v>
      </c>
      <c r="M1765">
        <v>7219407712</v>
      </c>
      <c r="N1765">
        <v>7245839210</v>
      </c>
      <c r="O1765" t="b">
        <v>0</v>
      </c>
      <c r="P1765">
        <v>-1</v>
      </c>
      <c r="Q1765" t="str" cm="1">
        <f t="array" ref="Q1765">_xlfn.IFS(Table1[[#This Row],[Wealthier_Winner]]=-1,"Wealthier Nation Loses",Table1[[#This Row],[Wealthier_Winner]]=0,"Tie",Table1[[#This Row],[Wealthier_Winner]]=1,"Wealthier Nation Wins")</f>
        <v>Wealthier Nation Loses</v>
      </c>
    </row>
    <row r="1766" spans="1:17" x14ac:dyDescent="0.2">
      <c r="A1766" s="1">
        <v>3131</v>
      </c>
      <c r="B1766" s="2">
        <v>35539</v>
      </c>
      <c r="C1766" s="7">
        <f>_xlfn.FLOOR.MATH(Table1[[#This Row],[year]],10)</f>
        <v>1990</v>
      </c>
      <c r="D1766" t="s">
        <v>403</v>
      </c>
      <c r="E1766" t="s">
        <v>361</v>
      </c>
      <c r="F1766">
        <v>4</v>
      </c>
      <c r="G1766">
        <v>1</v>
      </c>
      <c r="H1766" t="s">
        <v>224</v>
      </c>
      <c r="I1766" t="s">
        <v>435</v>
      </c>
      <c r="J1766" t="s">
        <v>39</v>
      </c>
      <c r="K1766" t="b">
        <v>1</v>
      </c>
      <c r="L1766">
        <v>1997</v>
      </c>
      <c r="M1766">
        <v>7245839210</v>
      </c>
      <c r="N1766">
        <v>7219407712</v>
      </c>
      <c r="O1766" t="b">
        <v>0</v>
      </c>
      <c r="P1766">
        <v>1</v>
      </c>
      <c r="Q1766" t="str" cm="1">
        <f t="array" ref="Q1766">_xlfn.IFS(Table1[[#This Row],[Wealthier_Winner]]=-1,"Wealthier Nation Loses",Table1[[#This Row],[Wealthier_Winner]]=0,"Tie",Table1[[#This Row],[Wealthier_Winner]]=1,"Wealthier Nation Wins")</f>
        <v>Wealthier Nation Wins</v>
      </c>
    </row>
    <row r="1767" spans="1:17" x14ac:dyDescent="0.2">
      <c r="A1767" s="1">
        <v>3133</v>
      </c>
      <c r="B1767" s="2">
        <v>35540</v>
      </c>
      <c r="C1767" s="7">
        <f>_xlfn.FLOOR.MATH(Table1[[#This Row],[year]],10)</f>
        <v>1990</v>
      </c>
      <c r="D1767" t="s">
        <v>41</v>
      </c>
      <c r="E1767" t="s">
        <v>17</v>
      </c>
      <c r="F1767">
        <v>2</v>
      </c>
      <c r="G1767">
        <v>2</v>
      </c>
      <c r="H1767" t="s">
        <v>224</v>
      </c>
      <c r="I1767" t="s">
        <v>123</v>
      </c>
      <c r="J1767" t="s">
        <v>41</v>
      </c>
      <c r="K1767" t="b">
        <v>0</v>
      </c>
      <c r="L1767">
        <v>1997</v>
      </c>
      <c r="M1767">
        <v>8577554457000</v>
      </c>
      <c r="N1767">
        <v>523449530464</v>
      </c>
      <c r="O1767" t="b">
        <v>1</v>
      </c>
      <c r="P1767">
        <v>0</v>
      </c>
      <c r="Q1767" t="str" cm="1">
        <f t="array" ref="Q1767">_xlfn.IFS(Table1[[#This Row],[Wealthier_Winner]]=-1,"Wealthier Nation Loses",Table1[[#This Row],[Wealthier_Winner]]=0,"Tie",Table1[[#This Row],[Wealthier_Winner]]=1,"Wealthier Nation Wins")</f>
        <v>Tie</v>
      </c>
    </row>
    <row r="1768" spans="1:17" x14ac:dyDescent="0.2">
      <c r="A1768" s="1">
        <v>3134</v>
      </c>
      <c r="B1768" s="2">
        <v>35542</v>
      </c>
      <c r="C1768" s="7">
        <f>_xlfn.FLOOR.MATH(Table1[[#This Row],[year]],10)</f>
        <v>1990</v>
      </c>
      <c r="D1768" t="s">
        <v>39</v>
      </c>
      <c r="E1768" t="s">
        <v>361</v>
      </c>
      <c r="F1768">
        <v>3</v>
      </c>
      <c r="G1768">
        <v>0</v>
      </c>
      <c r="H1768" t="s">
        <v>224</v>
      </c>
      <c r="I1768" t="s">
        <v>435</v>
      </c>
      <c r="J1768" t="s">
        <v>39</v>
      </c>
      <c r="K1768" t="b">
        <v>0</v>
      </c>
      <c r="L1768">
        <v>1997</v>
      </c>
      <c r="M1768">
        <v>78839008444</v>
      </c>
      <c r="N1768">
        <v>7219407712</v>
      </c>
      <c r="O1768" t="b">
        <v>1</v>
      </c>
      <c r="P1768">
        <v>1</v>
      </c>
      <c r="Q1768" t="str" cm="1">
        <f t="array" ref="Q1768">_xlfn.IFS(Table1[[#This Row],[Wealthier_Winner]]=-1,"Wealthier Nation Loses",Table1[[#This Row],[Wealthier_Winner]]=0,"Tie",Table1[[#This Row],[Wealthier_Winner]]=1,"Wealthier Nation Wins")</f>
        <v>Wealthier Nation Wins</v>
      </c>
    </row>
    <row r="1769" spans="1:17" x14ac:dyDescent="0.2">
      <c r="A1769" s="1">
        <v>3135</v>
      </c>
      <c r="B1769" s="2">
        <v>35546</v>
      </c>
      <c r="C1769" s="7">
        <f>_xlfn.FLOOR.MATH(Table1[[#This Row],[year]],10)</f>
        <v>1990</v>
      </c>
      <c r="D1769" t="s">
        <v>462</v>
      </c>
      <c r="E1769" t="s">
        <v>212</v>
      </c>
      <c r="F1769">
        <v>2</v>
      </c>
      <c r="G1769">
        <v>3</v>
      </c>
      <c r="H1769" t="s">
        <v>224</v>
      </c>
      <c r="I1769" t="s">
        <v>465</v>
      </c>
      <c r="J1769" t="s">
        <v>462</v>
      </c>
      <c r="K1769" t="b">
        <v>0</v>
      </c>
      <c r="L1769">
        <v>1997</v>
      </c>
      <c r="M1769">
        <v>4154989950</v>
      </c>
      <c r="N1769">
        <v>78436578171</v>
      </c>
      <c r="O1769" t="b">
        <v>1</v>
      </c>
      <c r="P1769">
        <v>1</v>
      </c>
      <c r="Q1769" t="str" cm="1">
        <f t="array" ref="Q1769">_xlfn.IFS(Table1[[#This Row],[Wealthier_Winner]]=-1,"Wealthier Nation Loses",Table1[[#This Row],[Wealthier_Winner]]=0,"Tie",Table1[[#This Row],[Wealthier_Winner]]=1,"Wealthier Nation Wins")</f>
        <v>Wealthier Nation Wins</v>
      </c>
    </row>
    <row r="1770" spans="1:17" x14ac:dyDescent="0.2">
      <c r="A1770" s="1">
        <v>3136</v>
      </c>
      <c r="B1770" s="2">
        <v>35546</v>
      </c>
      <c r="C1770" s="7">
        <f>_xlfn.FLOOR.MATH(Table1[[#This Row],[year]],10)</f>
        <v>1990</v>
      </c>
      <c r="D1770" t="s">
        <v>342</v>
      </c>
      <c r="E1770" t="s">
        <v>24</v>
      </c>
      <c r="F1770">
        <v>0</v>
      </c>
      <c r="G1770">
        <v>1</v>
      </c>
      <c r="H1770" t="s">
        <v>224</v>
      </c>
      <c r="I1770" t="s">
        <v>344</v>
      </c>
      <c r="J1770" t="s">
        <v>342</v>
      </c>
      <c r="K1770" t="b">
        <v>0</v>
      </c>
      <c r="L1770">
        <v>1997</v>
      </c>
      <c r="M1770">
        <v>850232760</v>
      </c>
      <c r="N1770">
        <v>39147844526</v>
      </c>
      <c r="O1770" t="b">
        <v>1</v>
      </c>
      <c r="P1770">
        <v>1</v>
      </c>
      <c r="Q1770" t="str" cm="1">
        <f t="array" ref="Q1770">_xlfn.IFS(Table1[[#This Row],[Wealthier_Winner]]=-1,"Wealthier Nation Loses",Table1[[#This Row],[Wealthier_Winner]]=0,"Tie",Table1[[#This Row],[Wealthier_Winner]]=1,"Wealthier Nation Wins")</f>
        <v>Wealthier Nation Wins</v>
      </c>
    </row>
    <row r="1771" spans="1:17" x14ac:dyDescent="0.2">
      <c r="A1771" s="1">
        <v>3137</v>
      </c>
      <c r="B1771" s="2">
        <v>35546</v>
      </c>
      <c r="C1771" s="7">
        <f>_xlfn.FLOOR.MATH(Table1[[#This Row],[year]],10)</f>
        <v>1990</v>
      </c>
      <c r="D1771" t="s">
        <v>359</v>
      </c>
      <c r="E1771" t="s">
        <v>71</v>
      </c>
      <c r="F1771">
        <v>0</v>
      </c>
      <c r="G1771">
        <v>1</v>
      </c>
      <c r="H1771" t="s">
        <v>224</v>
      </c>
      <c r="I1771" t="s">
        <v>359</v>
      </c>
      <c r="J1771" t="s">
        <v>359</v>
      </c>
      <c r="K1771" t="b">
        <v>0</v>
      </c>
      <c r="L1771">
        <v>1997</v>
      </c>
      <c r="M1771">
        <v>100123787215</v>
      </c>
      <c r="N1771">
        <v>30350190704</v>
      </c>
      <c r="O1771" t="b">
        <v>1</v>
      </c>
      <c r="P1771">
        <v>-1</v>
      </c>
      <c r="Q1771" t="str" cm="1">
        <f t="array" ref="Q1771">_xlfn.IFS(Table1[[#This Row],[Wealthier_Winner]]=-1,"Wealthier Nation Loses",Table1[[#This Row],[Wealthier_Winner]]=0,"Tie",Table1[[#This Row],[Wealthier_Winner]]=1,"Wealthier Nation Wins")</f>
        <v>Wealthier Nation Loses</v>
      </c>
    </row>
    <row r="1772" spans="1:17" x14ac:dyDescent="0.2">
      <c r="A1772" s="1">
        <v>3138</v>
      </c>
      <c r="B1772" s="2">
        <v>35546</v>
      </c>
      <c r="C1772" s="7">
        <f>_xlfn.FLOOR.MATH(Table1[[#This Row],[year]],10)</f>
        <v>1990</v>
      </c>
      <c r="D1772" t="s">
        <v>39</v>
      </c>
      <c r="E1772" t="s">
        <v>403</v>
      </c>
      <c r="F1772">
        <v>2</v>
      </c>
      <c r="G1772">
        <v>0</v>
      </c>
      <c r="H1772" t="s">
        <v>224</v>
      </c>
      <c r="I1772" t="s">
        <v>435</v>
      </c>
      <c r="J1772" t="s">
        <v>39</v>
      </c>
      <c r="K1772" t="b">
        <v>0</v>
      </c>
      <c r="L1772">
        <v>1997</v>
      </c>
      <c r="M1772">
        <v>78839008444</v>
      </c>
      <c r="N1772">
        <v>7245839210</v>
      </c>
      <c r="O1772" t="b">
        <v>1</v>
      </c>
      <c r="P1772">
        <v>1</v>
      </c>
      <c r="Q1772" t="str" cm="1">
        <f t="array" ref="Q1772">_xlfn.IFS(Table1[[#This Row],[Wealthier_Winner]]=-1,"Wealthier Nation Loses",Table1[[#This Row],[Wealthier_Winner]]=0,"Tie",Table1[[#This Row],[Wealthier_Winner]]=1,"Wealthier Nation Wins")</f>
        <v>Wealthier Nation Wins</v>
      </c>
    </row>
    <row r="1773" spans="1:17" x14ac:dyDescent="0.2">
      <c r="A1773" s="1">
        <v>3139</v>
      </c>
      <c r="B1773" s="2">
        <v>35547</v>
      </c>
      <c r="C1773" s="7">
        <f>_xlfn.FLOOR.MATH(Table1[[#This Row],[year]],10)</f>
        <v>1990</v>
      </c>
      <c r="D1773" t="s">
        <v>345</v>
      </c>
      <c r="E1773" t="s">
        <v>43</v>
      </c>
      <c r="F1773">
        <v>1</v>
      </c>
      <c r="G1773">
        <v>2</v>
      </c>
      <c r="H1773" t="s">
        <v>224</v>
      </c>
      <c r="I1773" t="s">
        <v>347</v>
      </c>
      <c r="J1773" t="s">
        <v>345</v>
      </c>
      <c r="K1773" t="b">
        <v>0</v>
      </c>
      <c r="L1773">
        <v>1997</v>
      </c>
      <c r="M1773">
        <v>2447669101</v>
      </c>
      <c r="N1773">
        <v>200850397618</v>
      </c>
      <c r="O1773" t="b">
        <v>1</v>
      </c>
      <c r="P1773">
        <v>1</v>
      </c>
      <c r="Q1773" t="str" cm="1">
        <f t="array" ref="Q1773">_xlfn.IFS(Table1[[#This Row],[Wealthier_Winner]]=-1,"Wealthier Nation Loses",Table1[[#This Row],[Wealthier_Winner]]=0,"Tie",Table1[[#This Row],[Wealthier_Winner]]=1,"Wealthier Nation Wins")</f>
        <v>Wealthier Nation Wins</v>
      </c>
    </row>
    <row r="1774" spans="1:17" x14ac:dyDescent="0.2">
      <c r="A1774" s="1">
        <v>3140</v>
      </c>
      <c r="B1774" s="2">
        <v>35547</v>
      </c>
      <c r="C1774" s="7">
        <f>_xlfn.FLOOR.MATH(Table1[[#This Row],[year]],10)</f>
        <v>1990</v>
      </c>
      <c r="D1774" t="s">
        <v>551</v>
      </c>
      <c r="E1774" t="s">
        <v>328</v>
      </c>
      <c r="F1774">
        <v>1</v>
      </c>
      <c r="G1774">
        <v>1</v>
      </c>
      <c r="H1774" t="s">
        <v>224</v>
      </c>
      <c r="I1774" t="s">
        <v>553</v>
      </c>
      <c r="J1774" t="s">
        <v>551</v>
      </c>
      <c r="K1774" t="b">
        <v>0</v>
      </c>
      <c r="L1774">
        <v>1997</v>
      </c>
      <c r="M1774">
        <v>3443413388</v>
      </c>
      <c r="N1774">
        <v>215748998609</v>
      </c>
      <c r="O1774" t="b">
        <v>1</v>
      </c>
      <c r="P1774">
        <v>0</v>
      </c>
      <c r="Q1774" t="str" cm="1">
        <f t="array" ref="Q1774">_xlfn.IFS(Table1[[#This Row],[Wealthier_Winner]]=-1,"Wealthier Nation Loses",Table1[[#This Row],[Wealthier_Winner]]=0,"Tie",Table1[[#This Row],[Wealthier_Winner]]=1,"Wealthier Nation Wins")</f>
        <v>Tie</v>
      </c>
    </row>
    <row r="1775" spans="1:17" x14ac:dyDescent="0.2">
      <c r="A1775" s="1">
        <v>3141</v>
      </c>
      <c r="B1775" s="2">
        <v>35547</v>
      </c>
      <c r="C1775" s="7">
        <f>_xlfn.FLOOR.MATH(Table1[[#This Row],[year]],10)</f>
        <v>1990</v>
      </c>
      <c r="D1775" t="s">
        <v>40</v>
      </c>
      <c r="E1775" t="s">
        <v>62</v>
      </c>
      <c r="F1775">
        <v>2</v>
      </c>
      <c r="G1775">
        <v>0</v>
      </c>
      <c r="H1775" t="s">
        <v>224</v>
      </c>
      <c r="I1775" t="s">
        <v>371</v>
      </c>
      <c r="J1775" t="s">
        <v>40</v>
      </c>
      <c r="K1775" t="b">
        <v>0</v>
      </c>
      <c r="L1775">
        <v>1997</v>
      </c>
      <c r="M1775">
        <v>10789458432</v>
      </c>
      <c r="N1775">
        <v>2116818622</v>
      </c>
      <c r="O1775" t="b">
        <v>1</v>
      </c>
      <c r="P1775">
        <v>1</v>
      </c>
      <c r="Q1775" t="str" cm="1">
        <f t="array" ref="Q1775">_xlfn.IFS(Table1[[#This Row],[Wealthier_Winner]]=-1,"Wealthier Nation Loses",Table1[[#This Row],[Wealthier_Winner]]=0,"Tie",Table1[[#This Row],[Wealthier_Winner]]=1,"Wealthier Nation Wins")</f>
        <v>Wealthier Nation Wins</v>
      </c>
    </row>
    <row r="1776" spans="1:17" x14ac:dyDescent="0.2">
      <c r="A1776" s="1">
        <v>3142</v>
      </c>
      <c r="B1776" s="2">
        <v>35547</v>
      </c>
      <c r="C1776" s="7">
        <f>_xlfn.FLOOR.MATH(Table1[[#This Row],[year]],10)</f>
        <v>1990</v>
      </c>
      <c r="D1776" t="s">
        <v>34</v>
      </c>
      <c r="E1776" t="s">
        <v>49</v>
      </c>
      <c r="F1776">
        <v>0</v>
      </c>
      <c r="G1776">
        <v>0</v>
      </c>
      <c r="H1776" t="s">
        <v>224</v>
      </c>
      <c r="I1776" t="s">
        <v>467</v>
      </c>
      <c r="J1776" t="s">
        <v>34</v>
      </c>
      <c r="K1776" t="b">
        <v>0</v>
      </c>
      <c r="L1776">
        <v>1997</v>
      </c>
      <c r="M1776">
        <v>654986999855</v>
      </c>
      <c r="N1776">
        <v>8400041723</v>
      </c>
      <c r="O1776" t="b">
        <v>1</v>
      </c>
      <c r="P1776">
        <v>0</v>
      </c>
      <c r="Q1776" t="str" cm="1">
        <f t="array" ref="Q1776">_xlfn.IFS(Table1[[#This Row],[Wealthier_Winner]]=-1,"Wealthier Nation Loses",Table1[[#This Row],[Wealthier_Winner]]=0,"Tie",Table1[[#This Row],[Wealthier_Winner]]=1,"Wealthier Nation Wins")</f>
        <v>Tie</v>
      </c>
    </row>
    <row r="1777" spans="1:17" x14ac:dyDescent="0.2">
      <c r="A1777" s="1">
        <v>3144</v>
      </c>
      <c r="B1777" s="2">
        <v>35547</v>
      </c>
      <c r="C1777" s="7">
        <f>_xlfn.FLOOR.MATH(Table1[[#This Row],[year]],10)</f>
        <v>1990</v>
      </c>
      <c r="D1777" t="s">
        <v>63</v>
      </c>
      <c r="E1777" t="s">
        <v>433</v>
      </c>
      <c r="F1777">
        <v>3</v>
      </c>
      <c r="G1777">
        <v>0</v>
      </c>
      <c r="H1777" t="s">
        <v>224</v>
      </c>
      <c r="I1777" t="s">
        <v>226</v>
      </c>
      <c r="J1777" t="s">
        <v>63</v>
      </c>
      <c r="K1777" t="b">
        <v>0</v>
      </c>
      <c r="L1777">
        <v>1997</v>
      </c>
      <c r="M1777">
        <v>6891443192</v>
      </c>
      <c r="N1777">
        <v>5326817114</v>
      </c>
      <c r="O1777" t="b">
        <v>0</v>
      </c>
      <c r="P1777">
        <v>1</v>
      </c>
      <c r="Q1777" t="str" cm="1">
        <f t="array" ref="Q1777">_xlfn.IFS(Table1[[#This Row],[Wealthier_Winner]]=-1,"Wealthier Nation Loses",Table1[[#This Row],[Wealthier_Winner]]=0,"Tie",Table1[[#This Row],[Wealthier_Winner]]=1,"Wealthier Nation Wins")</f>
        <v>Wealthier Nation Wins</v>
      </c>
    </row>
    <row r="1778" spans="1:17" x14ac:dyDescent="0.2">
      <c r="A1778" s="1">
        <v>3145</v>
      </c>
      <c r="B1778" s="2">
        <v>35547</v>
      </c>
      <c r="C1778" s="7">
        <f>_xlfn.FLOOR.MATH(Table1[[#This Row],[year]],10)</f>
        <v>1990</v>
      </c>
      <c r="D1778" t="s">
        <v>314</v>
      </c>
      <c r="E1778" t="s">
        <v>305</v>
      </c>
      <c r="F1778">
        <v>1</v>
      </c>
      <c r="G1778">
        <v>0</v>
      </c>
      <c r="H1778" t="s">
        <v>224</v>
      </c>
      <c r="I1778" t="s">
        <v>315</v>
      </c>
      <c r="J1778" t="s">
        <v>314</v>
      </c>
      <c r="K1778" t="b">
        <v>0</v>
      </c>
      <c r="L1778">
        <v>1997</v>
      </c>
      <c r="M1778">
        <v>13115764358</v>
      </c>
      <c r="N1778">
        <v>5516916163</v>
      </c>
      <c r="O1778" t="b">
        <v>1</v>
      </c>
      <c r="P1778">
        <v>1</v>
      </c>
      <c r="Q1778" t="str" cm="1">
        <f t="array" ref="Q1778">_xlfn.IFS(Table1[[#This Row],[Wealthier_Winner]]=-1,"Wealthier Nation Loses",Table1[[#This Row],[Wealthier_Winner]]=0,"Tie",Table1[[#This Row],[Wealthier_Winner]]=1,"Wealthier Nation Wins")</f>
        <v>Wealthier Nation Wins</v>
      </c>
    </row>
    <row r="1779" spans="1:17" x14ac:dyDescent="0.2">
      <c r="A1779" s="1">
        <v>3146</v>
      </c>
      <c r="B1779" s="2">
        <v>35547</v>
      </c>
      <c r="C1779" s="7">
        <f>_xlfn.FLOOR.MATH(Table1[[#This Row],[year]],10)</f>
        <v>1990</v>
      </c>
      <c r="D1779" t="s">
        <v>53</v>
      </c>
      <c r="E1779" t="s">
        <v>378</v>
      </c>
      <c r="F1779">
        <v>2</v>
      </c>
      <c r="G1779">
        <v>0</v>
      </c>
      <c r="H1779" t="s">
        <v>224</v>
      </c>
      <c r="I1779" t="s">
        <v>284</v>
      </c>
      <c r="J1779" t="s">
        <v>53</v>
      </c>
      <c r="K1779" t="b">
        <v>0</v>
      </c>
      <c r="L1779">
        <v>1997</v>
      </c>
      <c r="M1779">
        <v>20746210353</v>
      </c>
      <c r="N1779">
        <v>295900000</v>
      </c>
      <c r="O1779" t="b">
        <v>1</v>
      </c>
      <c r="P1779">
        <v>1</v>
      </c>
      <c r="Q1779" t="str" cm="1">
        <f t="array" ref="Q1779">_xlfn.IFS(Table1[[#This Row],[Wealthier_Winner]]=-1,"Wealthier Nation Loses",Table1[[#This Row],[Wealthier_Winner]]=0,"Tie",Table1[[#This Row],[Wealthier_Winner]]=1,"Wealthier Nation Wins")</f>
        <v>Wealthier Nation Wins</v>
      </c>
    </row>
    <row r="1780" spans="1:17" x14ac:dyDescent="0.2">
      <c r="A1780" s="1">
        <v>3148</v>
      </c>
      <c r="B1780" s="2">
        <v>35547</v>
      </c>
      <c r="C1780" s="7">
        <f>_xlfn.FLOOR.MATH(Table1[[#This Row],[year]],10)</f>
        <v>1990</v>
      </c>
      <c r="D1780" t="s">
        <v>298</v>
      </c>
      <c r="E1780" t="s">
        <v>60</v>
      </c>
      <c r="F1780">
        <v>0</v>
      </c>
      <c r="G1780">
        <v>0</v>
      </c>
      <c r="H1780" t="s">
        <v>224</v>
      </c>
      <c r="I1780" t="s">
        <v>377</v>
      </c>
      <c r="J1780" t="s">
        <v>298</v>
      </c>
      <c r="K1780" t="b">
        <v>0</v>
      </c>
      <c r="L1780">
        <v>1997</v>
      </c>
      <c r="M1780">
        <v>8534000000</v>
      </c>
      <c r="N1780">
        <v>7648380195</v>
      </c>
      <c r="O1780" t="b">
        <v>0</v>
      </c>
      <c r="P1780">
        <v>0</v>
      </c>
      <c r="Q1780" t="str" cm="1">
        <f t="array" ref="Q1780">_xlfn.IFS(Table1[[#This Row],[Wealthier_Winner]]=-1,"Wealthier Nation Loses",Table1[[#This Row],[Wealthier_Winner]]=0,"Tie",Table1[[#This Row],[Wealthier_Winner]]=1,"Wealthier Nation Wins")</f>
        <v>Tie</v>
      </c>
    </row>
    <row r="1781" spans="1:17" x14ac:dyDescent="0.2">
      <c r="A1781" s="1">
        <v>3149</v>
      </c>
      <c r="B1781" s="2">
        <v>35549</v>
      </c>
      <c r="C1781" s="7">
        <f>_xlfn.FLOOR.MATH(Table1[[#This Row],[year]],10)</f>
        <v>1990</v>
      </c>
      <c r="D1781" t="s">
        <v>14</v>
      </c>
      <c r="E1781" t="s">
        <v>258</v>
      </c>
      <c r="F1781">
        <v>6</v>
      </c>
      <c r="G1781">
        <v>0</v>
      </c>
      <c r="H1781" t="s">
        <v>224</v>
      </c>
      <c r="I1781" t="s">
        <v>75</v>
      </c>
      <c r="J1781" t="s">
        <v>14</v>
      </c>
      <c r="K1781" t="b">
        <v>0</v>
      </c>
      <c r="L1781">
        <v>1997</v>
      </c>
      <c r="M1781">
        <v>85741415285</v>
      </c>
      <c r="N1781">
        <v>85837678559</v>
      </c>
      <c r="O1781" t="b">
        <v>0</v>
      </c>
      <c r="P1781">
        <v>-1</v>
      </c>
      <c r="Q1781" t="str" cm="1">
        <f t="array" ref="Q1781">_xlfn.IFS(Table1[[#This Row],[Wealthier_Winner]]=-1,"Wealthier Nation Loses",Table1[[#This Row],[Wealthier_Winner]]=0,"Tie",Table1[[#This Row],[Wealthier_Winner]]=1,"Wealthier Nation Wins")</f>
        <v>Wealthier Nation Loses</v>
      </c>
    </row>
    <row r="1782" spans="1:17" x14ac:dyDescent="0.2">
      <c r="A1782" s="1">
        <v>3150</v>
      </c>
      <c r="B1782" s="2">
        <v>35550</v>
      </c>
      <c r="C1782" s="7">
        <f>_xlfn.FLOOR.MATH(Table1[[#This Row],[year]],10)</f>
        <v>1990</v>
      </c>
      <c r="D1782" t="s">
        <v>19</v>
      </c>
      <c r="E1782" t="s">
        <v>57</v>
      </c>
      <c r="F1782">
        <v>2</v>
      </c>
      <c r="G1782">
        <v>1</v>
      </c>
      <c r="H1782" t="s">
        <v>224</v>
      </c>
      <c r="I1782" t="s">
        <v>93</v>
      </c>
      <c r="J1782" t="s">
        <v>19</v>
      </c>
      <c r="K1782" t="b">
        <v>0</v>
      </c>
      <c r="L1782">
        <v>1997</v>
      </c>
      <c r="M1782">
        <v>292859000000</v>
      </c>
      <c r="N1782">
        <v>28162053026</v>
      </c>
      <c r="O1782" t="b">
        <v>1</v>
      </c>
      <c r="P1782">
        <v>1</v>
      </c>
      <c r="Q1782" t="str" cm="1">
        <f t="array" ref="Q1782">_xlfn.IFS(Table1[[#This Row],[Wealthier_Winner]]=-1,"Wealthier Nation Loses",Table1[[#This Row],[Wealthier_Winner]]=0,"Tie",Table1[[#This Row],[Wealthier_Winner]]=1,"Wealthier Nation Wins")</f>
        <v>Wealthier Nation Wins</v>
      </c>
    </row>
    <row r="1783" spans="1:17" x14ac:dyDescent="0.2">
      <c r="A1783" s="1">
        <v>3152</v>
      </c>
      <c r="B1783" s="2">
        <v>35550</v>
      </c>
      <c r="C1783" s="7">
        <f>_xlfn.FLOOR.MATH(Table1[[#This Row],[year]],10)</f>
        <v>1990</v>
      </c>
      <c r="D1783" t="s">
        <v>29</v>
      </c>
      <c r="E1783" t="s">
        <v>476</v>
      </c>
      <c r="F1783">
        <v>2</v>
      </c>
      <c r="G1783">
        <v>0</v>
      </c>
      <c r="H1783" t="s">
        <v>224</v>
      </c>
      <c r="I1783" t="s">
        <v>270</v>
      </c>
      <c r="J1783" t="s">
        <v>29</v>
      </c>
      <c r="K1783" t="b">
        <v>0</v>
      </c>
      <c r="L1783">
        <v>1997</v>
      </c>
      <c r="M1783">
        <v>211724812267</v>
      </c>
      <c r="N1783">
        <v>5154420649</v>
      </c>
      <c r="O1783" t="b">
        <v>1</v>
      </c>
      <c r="P1783">
        <v>1</v>
      </c>
      <c r="Q1783" t="str" cm="1">
        <f t="array" ref="Q1783">_xlfn.IFS(Table1[[#This Row],[Wealthier_Winner]]=-1,"Wealthier Nation Loses",Table1[[#This Row],[Wealthier_Winner]]=0,"Tie",Table1[[#This Row],[Wealthier_Winner]]=1,"Wealthier Nation Wins")</f>
        <v>Wealthier Nation Wins</v>
      </c>
    </row>
    <row r="1784" spans="1:17" x14ac:dyDescent="0.2">
      <c r="A1784" s="1">
        <v>3153</v>
      </c>
      <c r="B1784" s="2">
        <v>35550</v>
      </c>
      <c r="C1784" s="7">
        <f>_xlfn.FLOOR.MATH(Table1[[#This Row],[year]],10)</f>
        <v>1990</v>
      </c>
      <c r="D1784" t="s">
        <v>15</v>
      </c>
      <c r="E1784" t="s">
        <v>31</v>
      </c>
      <c r="F1784">
        <v>0</v>
      </c>
      <c r="G1784">
        <v>1</v>
      </c>
      <c r="H1784" t="s">
        <v>224</v>
      </c>
      <c r="I1784" t="s">
        <v>261</v>
      </c>
      <c r="J1784" t="s">
        <v>15</v>
      </c>
      <c r="K1784" t="b">
        <v>0</v>
      </c>
      <c r="L1784">
        <v>1997</v>
      </c>
      <c r="M1784">
        <v>106659508271</v>
      </c>
      <c r="N1784">
        <v>58147522522</v>
      </c>
      <c r="O1784" t="b">
        <v>0</v>
      </c>
      <c r="P1784">
        <v>-1</v>
      </c>
      <c r="Q1784" t="str" cm="1">
        <f t="array" ref="Q1784">_xlfn.IFS(Table1[[#This Row],[Wealthier_Winner]]=-1,"Wealthier Nation Loses",Table1[[#This Row],[Wealthier_Winner]]=0,"Tie",Table1[[#This Row],[Wealthier_Winner]]=1,"Wealthier Nation Wins")</f>
        <v>Wealthier Nation Loses</v>
      </c>
    </row>
    <row r="1785" spans="1:17" x14ac:dyDescent="0.2">
      <c r="A1785" s="1">
        <v>3154</v>
      </c>
      <c r="B1785" s="2">
        <v>35550</v>
      </c>
      <c r="C1785" s="7">
        <f>_xlfn.FLOOR.MATH(Table1[[#This Row],[year]],10)</f>
        <v>1990</v>
      </c>
      <c r="D1785" t="s">
        <v>36</v>
      </c>
      <c r="E1785" t="s">
        <v>55</v>
      </c>
      <c r="F1785">
        <v>4</v>
      </c>
      <c r="G1785">
        <v>0</v>
      </c>
      <c r="H1785" t="s">
        <v>224</v>
      </c>
      <c r="I1785" t="s">
        <v>264</v>
      </c>
      <c r="J1785" t="s">
        <v>36</v>
      </c>
      <c r="K1785" t="b">
        <v>0</v>
      </c>
      <c r="L1785">
        <v>1997</v>
      </c>
      <c r="M1785">
        <v>173241365735</v>
      </c>
      <c r="N1785">
        <v>20726878751</v>
      </c>
      <c r="O1785" t="b">
        <v>1</v>
      </c>
      <c r="P1785">
        <v>1</v>
      </c>
      <c r="Q1785" t="str" cm="1">
        <f t="array" ref="Q1785">_xlfn.IFS(Table1[[#This Row],[Wealthier_Winner]]=-1,"Wealthier Nation Loses",Table1[[#This Row],[Wealthier_Winner]]=0,"Tie",Table1[[#This Row],[Wealthier_Winner]]=1,"Wealthier Nation Wins")</f>
        <v>Wealthier Nation Wins</v>
      </c>
    </row>
    <row r="1786" spans="1:17" x14ac:dyDescent="0.2">
      <c r="A1786" s="1">
        <v>3155</v>
      </c>
      <c r="B1786" s="2">
        <v>35550</v>
      </c>
      <c r="C1786" s="7">
        <f>_xlfn.FLOOR.MATH(Table1[[#This Row],[year]],10)</f>
        <v>1990</v>
      </c>
      <c r="D1786" t="s">
        <v>194</v>
      </c>
      <c r="E1786" t="s">
        <v>534</v>
      </c>
      <c r="F1786">
        <v>2</v>
      </c>
      <c r="G1786">
        <v>0</v>
      </c>
      <c r="H1786" t="s">
        <v>224</v>
      </c>
      <c r="I1786" t="s">
        <v>80</v>
      </c>
      <c r="J1786" t="s">
        <v>194</v>
      </c>
      <c r="K1786" t="b">
        <v>0</v>
      </c>
      <c r="L1786">
        <v>1997</v>
      </c>
      <c r="M1786">
        <v>1569317288801</v>
      </c>
      <c r="N1786">
        <v>3510520231</v>
      </c>
      <c r="O1786" t="b">
        <v>1</v>
      </c>
      <c r="P1786">
        <v>1</v>
      </c>
      <c r="Q1786" t="str" cm="1">
        <f t="array" ref="Q1786">_xlfn.IFS(Table1[[#This Row],[Wealthier_Winner]]=-1,"Wealthier Nation Loses",Table1[[#This Row],[Wealthier_Winner]]=0,"Tie",Table1[[#This Row],[Wealthier_Winner]]=1,"Wealthier Nation Wins")</f>
        <v>Wealthier Nation Wins</v>
      </c>
    </row>
    <row r="1787" spans="1:17" x14ac:dyDescent="0.2">
      <c r="A1787" s="1">
        <v>3156</v>
      </c>
      <c r="B1787" s="2">
        <v>35550</v>
      </c>
      <c r="C1787" s="7">
        <f>_xlfn.FLOOR.MATH(Table1[[#This Row],[year]],10)</f>
        <v>1990</v>
      </c>
      <c r="D1787" t="s">
        <v>16</v>
      </c>
      <c r="E1787" t="s">
        <v>64</v>
      </c>
      <c r="F1787">
        <v>2</v>
      </c>
      <c r="G1787">
        <v>0</v>
      </c>
      <c r="H1787" t="s">
        <v>224</v>
      </c>
      <c r="I1787" t="s">
        <v>554</v>
      </c>
      <c r="J1787" t="s">
        <v>16</v>
      </c>
      <c r="K1787" t="b">
        <v>0</v>
      </c>
      <c r="L1787">
        <v>1997</v>
      </c>
      <c r="M1787">
        <v>2218790886532</v>
      </c>
      <c r="N1787">
        <v>50151531591</v>
      </c>
      <c r="O1787" t="b">
        <v>1</v>
      </c>
      <c r="P1787">
        <v>1</v>
      </c>
      <c r="Q1787" t="str" cm="1">
        <f t="array" ref="Q1787">_xlfn.IFS(Table1[[#This Row],[Wealthier_Winner]]=-1,"Wealthier Nation Loses",Table1[[#This Row],[Wealthier_Winner]]=0,"Tie",Table1[[#This Row],[Wealthier_Winner]]=1,"Wealthier Nation Wins")</f>
        <v>Wealthier Nation Wins</v>
      </c>
    </row>
    <row r="1788" spans="1:17" x14ac:dyDescent="0.2">
      <c r="A1788" s="1">
        <v>3157</v>
      </c>
      <c r="B1788" s="2">
        <v>35550</v>
      </c>
      <c r="C1788" s="7">
        <f>_xlfn.FLOOR.MATH(Table1[[#This Row],[year]],10)</f>
        <v>1990</v>
      </c>
      <c r="D1788" t="s">
        <v>48</v>
      </c>
      <c r="E1788" t="s">
        <v>52</v>
      </c>
      <c r="F1788">
        <v>0</v>
      </c>
      <c r="G1788">
        <v>1</v>
      </c>
      <c r="H1788" t="s">
        <v>224</v>
      </c>
      <c r="I1788" t="s">
        <v>295</v>
      </c>
      <c r="J1788" t="s">
        <v>48</v>
      </c>
      <c r="K1788" t="b">
        <v>0</v>
      </c>
      <c r="L1788">
        <v>1997</v>
      </c>
      <c r="M1788">
        <v>138766067640</v>
      </c>
      <c r="N1788">
        <v>24175764812</v>
      </c>
      <c r="O1788" t="b">
        <v>1</v>
      </c>
      <c r="P1788">
        <v>-1</v>
      </c>
      <c r="Q1788" t="str" cm="1">
        <f t="array" ref="Q1788">_xlfn.IFS(Table1[[#This Row],[Wealthier_Winner]]=-1,"Wealthier Nation Loses",Table1[[#This Row],[Wealthier_Winner]]=0,"Tie",Table1[[#This Row],[Wealthier_Winner]]=1,"Wealthier Nation Wins")</f>
        <v>Wealthier Nation Loses</v>
      </c>
    </row>
    <row r="1789" spans="1:17" x14ac:dyDescent="0.2">
      <c r="A1789" s="1">
        <v>3158</v>
      </c>
      <c r="B1789" s="2">
        <v>35550</v>
      </c>
      <c r="C1789" s="7">
        <f>_xlfn.FLOOR.MATH(Table1[[#This Row],[year]],10)</f>
        <v>1990</v>
      </c>
      <c r="D1789" t="s">
        <v>22</v>
      </c>
      <c r="E1789" t="s">
        <v>351</v>
      </c>
      <c r="F1789">
        <v>2</v>
      </c>
      <c r="G1789">
        <v>0</v>
      </c>
      <c r="H1789" t="s">
        <v>224</v>
      </c>
      <c r="I1789" t="s">
        <v>239</v>
      </c>
      <c r="J1789" t="s">
        <v>22</v>
      </c>
      <c r="K1789" t="b">
        <v>0</v>
      </c>
      <c r="L1789">
        <v>1997</v>
      </c>
      <c r="M1789">
        <v>119459826346</v>
      </c>
      <c r="N1789">
        <v>9547816419</v>
      </c>
      <c r="O1789" t="b">
        <v>1</v>
      </c>
      <c r="P1789">
        <v>1</v>
      </c>
      <c r="Q1789" t="str" cm="1">
        <f t="array" ref="Q1789">_xlfn.IFS(Table1[[#This Row],[Wealthier_Winner]]=-1,"Wealthier Nation Loses",Table1[[#This Row],[Wealthier_Winner]]=0,"Tie",Table1[[#This Row],[Wealthier_Winner]]=1,"Wealthier Nation Wins")</f>
        <v>Wealthier Nation Wins</v>
      </c>
    </row>
    <row r="1790" spans="1:17" x14ac:dyDescent="0.2">
      <c r="A1790" s="1">
        <v>3159</v>
      </c>
      <c r="B1790" s="2">
        <v>35550</v>
      </c>
      <c r="C1790" s="7">
        <f>_xlfn.FLOOR.MATH(Table1[[#This Row],[year]],10)</f>
        <v>1990</v>
      </c>
      <c r="D1790" t="s">
        <v>18</v>
      </c>
      <c r="E1790" t="s">
        <v>58</v>
      </c>
      <c r="F1790">
        <v>3</v>
      </c>
      <c r="G1790">
        <v>0</v>
      </c>
      <c r="H1790" t="s">
        <v>224</v>
      </c>
      <c r="I1790" t="s">
        <v>115</v>
      </c>
      <c r="J1790" t="s">
        <v>18</v>
      </c>
      <c r="K1790" t="b">
        <v>0</v>
      </c>
      <c r="L1790">
        <v>1997</v>
      </c>
      <c r="M1790">
        <v>1244988176443</v>
      </c>
      <c r="N1790">
        <v>159893964916</v>
      </c>
      <c r="O1790" t="b">
        <v>1</v>
      </c>
      <c r="P1790">
        <v>1</v>
      </c>
      <c r="Q1790" t="str" cm="1">
        <f t="array" ref="Q1790">_xlfn.IFS(Table1[[#This Row],[Wealthier_Winner]]=-1,"Wealthier Nation Loses",Table1[[#This Row],[Wealthier_Winner]]=0,"Tie",Table1[[#This Row],[Wealthier_Winner]]=1,"Wealthier Nation Wins")</f>
        <v>Wealthier Nation Wins</v>
      </c>
    </row>
    <row r="1791" spans="1:17" x14ac:dyDescent="0.2">
      <c r="A1791" s="1">
        <v>3160</v>
      </c>
      <c r="B1791" s="2">
        <v>35550</v>
      </c>
      <c r="C1791" s="7">
        <f>_xlfn.FLOOR.MATH(Table1[[#This Row],[year]],10)</f>
        <v>1990</v>
      </c>
      <c r="D1791" t="s">
        <v>525</v>
      </c>
      <c r="E1791" t="s">
        <v>510</v>
      </c>
      <c r="F1791">
        <v>2</v>
      </c>
      <c r="G1791">
        <v>0</v>
      </c>
      <c r="H1791" t="s">
        <v>224</v>
      </c>
      <c r="I1791" t="s">
        <v>526</v>
      </c>
      <c r="J1791" t="s">
        <v>525</v>
      </c>
      <c r="K1791" t="b">
        <v>0</v>
      </c>
      <c r="L1791">
        <v>1997</v>
      </c>
      <c r="M1791">
        <v>6349481006</v>
      </c>
      <c r="N1791">
        <v>14128408565</v>
      </c>
      <c r="O1791" t="b">
        <v>1</v>
      </c>
      <c r="P1791">
        <v>-1</v>
      </c>
      <c r="Q1791" t="str" cm="1">
        <f t="array" ref="Q1791">_xlfn.IFS(Table1[[#This Row],[Wealthier_Winner]]=-1,"Wealthier Nation Loses",Table1[[#This Row],[Wealthier_Winner]]=0,"Tie",Table1[[#This Row],[Wealthier_Winner]]=1,"Wealthier Nation Wins")</f>
        <v>Wealthier Nation Loses</v>
      </c>
    </row>
    <row r="1792" spans="1:17" x14ac:dyDescent="0.2">
      <c r="A1792" s="1">
        <v>3161</v>
      </c>
      <c r="B1792" s="2">
        <v>35550</v>
      </c>
      <c r="C1792" s="7">
        <f>_xlfn.FLOOR.MATH(Table1[[#This Row],[year]],10)</f>
        <v>1990</v>
      </c>
      <c r="D1792" t="s">
        <v>503</v>
      </c>
      <c r="E1792" t="s">
        <v>523</v>
      </c>
      <c r="F1792">
        <v>0</v>
      </c>
      <c r="G1792">
        <v>2</v>
      </c>
      <c r="H1792" t="s">
        <v>224</v>
      </c>
      <c r="I1792" t="s">
        <v>537</v>
      </c>
      <c r="J1792" t="s">
        <v>503</v>
      </c>
      <c r="K1792" t="b">
        <v>0</v>
      </c>
      <c r="L1792">
        <v>1997</v>
      </c>
      <c r="M1792">
        <v>2298389802</v>
      </c>
      <c r="N1792">
        <v>10168271903</v>
      </c>
      <c r="O1792" t="b">
        <v>1</v>
      </c>
      <c r="P1792">
        <v>1</v>
      </c>
      <c r="Q1792" t="str" cm="1">
        <f t="array" ref="Q1792">_xlfn.IFS(Table1[[#This Row],[Wealthier_Winner]]=-1,"Wealthier Nation Loses",Table1[[#This Row],[Wealthier_Winner]]=0,"Tie",Table1[[#This Row],[Wealthier_Winner]]=1,"Wealthier Nation Wins")</f>
        <v>Wealthier Nation Wins</v>
      </c>
    </row>
    <row r="1793" spans="1:17" x14ac:dyDescent="0.2">
      <c r="A1793" s="1">
        <v>3162</v>
      </c>
      <c r="B1793" s="2">
        <v>35550</v>
      </c>
      <c r="C1793" s="7">
        <f>_xlfn.FLOOR.MATH(Table1[[#This Row],[year]],10)</f>
        <v>1990</v>
      </c>
      <c r="D1793" t="s">
        <v>303</v>
      </c>
      <c r="E1793" t="s">
        <v>447</v>
      </c>
      <c r="F1793">
        <v>1</v>
      </c>
      <c r="G1793">
        <v>2</v>
      </c>
      <c r="H1793" t="s">
        <v>224</v>
      </c>
      <c r="I1793" t="s">
        <v>399</v>
      </c>
      <c r="J1793" t="s">
        <v>303</v>
      </c>
      <c r="K1793" t="b">
        <v>0</v>
      </c>
      <c r="L1793">
        <v>1997</v>
      </c>
      <c r="M1793">
        <v>3787023706</v>
      </c>
      <c r="N1793">
        <v>933763083</v>
      </c>
      <c r="O1793" t="b">
        <v>1</v>
      </c>
      <c r="P1793">
        <v>-1</v>
      </c>
      <c r="Q1793" t="str" cm="1">
        <f t="array" ref="Q1793">_xlfn.IFS(Table1[[#This Row],[Wealthier_Winner]]=-1,"Wealthier Nation Loses",Table1[[#This Row],[Wealthier_Winner]]=0,"Tie",Table1[[#This Row],[Wealthier_Winner]]=1,"Wealthier Nation Wins")</f>
        <v>Wealthier Nation Loses</v>
      </c>
    </row>
    <row r="1794" spans="1:17" x14ac:dyDescent="0.2">
      <c r="A1794" s="1">
        <v>3163</v>
      </c>
      <c r="B1794" s="2">
        <v>35550</v>
      </c>
      <c r="C1794" s="7">
        <f>_xlfn.FLOOR.MATH(Table1[[#This Row],[year]],10)</f>
        <v>1990</v>
      </c>
      <c r="D1794" t="s">
        <v>42</v>
      </c>
      <c r="E1794" t="s">
        <v>230</v>
      </c>
      <c r="F1794">
        <v>1</v>
      </c>
      <c r="G1794">
        <v>1</v>
      </c>
      <c r="H1794" t="s">
        <v>224</v>
      </c>
      <c r="I1794" t="s">
        <v>262</v>
      </c>
      <c r="J1794" t="s">
        <v>42</v>
      </c>
      <c r="K1794" t="b">
        <v>0</v>
      </c>
      <c r="L1794">
        <v>1997</v>
      </c>
      <c r="M1794">
        <v>161356631888</v>
      </c>
      <c r="N1794">
        <v>126862902302</v>
      </c>
      <c r="O1794" t="b">
        <v>0</v>
      </c>
      <c r="P1794">
        <v>0</v>
      </c>
      <c r="Q1794" t="str" cm="1">
        <f t="array" ref="Q1794">_xlfn.IFS(Table1[[#This Row],[Wealthier_Winner]]=-1,"Wealthier Nation Loses",Table1[[#This Row],[Wealthier_Winner]]=0,"Tie",Table1[[#This Row],[Wealthier_Winner]]=1,"Wealthier Nation Wins")</f>
        <v>Tie</v>
      </c>
    </row>
    <row r="1795" spans="1:17" x14ac:dyDescent="0.2">
      <c r="A1795" s="1">
        <v>3164</v>
      </c>
      <c r="B1795" s="2">
        <v>35550</v>
      </c>
      <c r="C1795" s="7">
        <f>_xlfn.FLOOR.MATH(Table1[[#This Row],[year]],10)</f>
        <v>1990</v>
      </c>
      <c r="D1795" t="s">
        <v>35</v>
      </c>
      <c r="E1795" t="s">
        <v>26</v>
      </c>
      <c r="F1795">
        <v>3</v>
      </c>
      <c r="G1795">
        <v>1</v>
      </c>
      <c r="H1795" t="s">
        <v>224</v>
      </c>
      <c r="I1795" t="s">
        <v>250</v>
      </c>
      <c r="J1795" t="s">
        <v>35</v>
      </c>
      <c r="K1795" t="b">
        <v>0</v>
      </c>
      <c r="L1795">
        <v>1997</v>
      </c>
      <c r="M1795">
        <v>9965225678</v>
      </c>
      <c r="N1795">
        <v>23969739233</v>
      </c>
      <c r="O1795" t="b">
        <v>1</v>
      </c>
      <c r="P1795">
        <v>-1</v>
      </c>
      <c r="Q1795" t="str" cm="1">
        <f t="array" ref="Q1795">_xlfn.IFS(Table1[[#This Row],[Wealthier_Winner]]=-1,"Wealthier Nation Loses",Table1[[#This Row],[Wealthier_Winner]]=0,"Tie",Table1[[#This Row],[Wealthier_Winner]]=1,"Wealthier Nation Wins")</f>
        <v>Wealthier Nation Loses</v>
      </c>
    </row>
    <row r="1796" spans="1:17" x14ac:dyDescent="0.2">
      <c r="A1796" s="1">
        <v>3166</v>
      </c>
      <c r="B1796" s="2">
        <v>35550</v>
      </c>
      <c r="C1796" s="7">
        <f>_xlfn.FLOOR.MATH(Table1[[#This Row],[year]],10)</f>
        <v>1990</v>
      </c>
      <c r="D1796" t="s">
        <v>196</v>
      </c>
      <c r="E1796" t="s">
        <v>232</v>
      </c>
      <c r="F1796">
        <v>3</v>
      </c>
      <c r="G1796">
        <v>0</v>
      </c>
      <c r="H1796" t="s">
        <v>224</v>
      </c>
      <c r="I1796" t="s">
        <v>180</v>
      </c>
      <c r="J1796" t="s">
        <v>196</v>
      </c>
      <c r="K1796" t="b">
        <v>0</v>
      </c>
      <c r="L1796">
        <v>1997</v>
      </c>
      <c r="M1796">
        <v>404928954191</v>
      </c>
      <c r="N1796">
        <v>19563836265</v>
      </c>
      <c r="O1796" t="b">
        <v>1</v>
      </c>
      <c r="P1796">
        <v>1</v>
      </c>
      <c r="Q1796" t="str" cm="1">
        <f t="array" ref="Q1796">_xlfn.IFS(Table1[[#This Row],[Wealthier_Winner]]=-1,"Wealthier Nation Loses",Table1[[#This Row],[Wealthier_Winner]]=0,"Tie",Table1[[#This Row],[Wealthier_Winner]]=1,"Wealthier Nation Wins")</f>
        <v>Wealthier Nation Wins</v>
      </c>
    </row>
    <row r="1797" spans="1:17" x14ac:dyDescent="0.2">
      <c r="A1797" s="1">
        <v>3167</v>
      </c>
      <c r="B1797" s="2">
        <v>35550</v>
      </c>
      <c r="C1797" s="7">
        <f>_xlfn.FLOOR.MATH(Table1[[#This Row],[year]],10)</f>
        <v>1990</v>
      </c>
      <c r="D1797" t="s">
        <v>549</v>
      </c>
      <c r="E1797" t="s">
        <v>27</v>
      </c>
      <c r="F1797">
        <v>0</v>
      </c>
      <c r="G1797">
        <v>6</v>
      </c>
      <c r="H1797" t="s">
        <v>224</v>
      </c>
      <c r="I1797" t="s">
        <v>555</v>
      </c>
      <c r="J1797" t="s">
        <v>549</v>
      </c>
      <c r="K1797" t="b">
        <v>0</v>
      </c>
      <c r="L1797">
        <v>1997</v>
      </c>
      <c r="M1797">
        <v>976606910</v>
      </c>
      <c r="N1797">
        <v>417506211881</v>
      </c>
      <c r="O1797" t="b">
        <v>1</v>
      </c>
      <c r="P1797">
        <v>1</v>
      </c>
      <c r="Q1797" t="str" cm="1">
        <f t="array" ref="Q1797">_xlfn.IFS(Table1[[#This Row],[Wealthier_Winner]]=-1,"Wealthier Nation Loses",Table1[[#This Row],[Wealthier_Winner]]=0,"Tie",Table1[[#This Row],[Wealthier_Winner]]=1,"Wealthier Nation Wins")</f>
        <v>Wealthier Nation Wins</v>
      </c>
    </row>
    <row r="1798" spans="1:17" x14ac:dyDescent="0.2">
      <c r="A1798" s="1">
        <v>3168</v>
      </c>
      <c r="B1798" s="2">
        <v>35550</v>
      </c>
      <c r="C1798" s="7">
        <f>_xlfn.FLOOR.MATH(Table1[[#This Row],[year]],10)</f>
        <v>1990</v>
      </c>
      <c r="D1798" t="s">
        <v>61</v>
      </c>
      <c r="E1798" t="s">
        <v>21</v>
      </c>
      <c r="F1798">
        <v>1</v>
      </c>
      <c r="G1798">
        <v>1</v>
      </c>
      <c r="H1798" t="s">
        <v>224</v>
      </c>
      <c r="I1798" t="s">
        <v>505</v>
      </c>
      <c r="J1798" t="s">
        <v>506</v>
      </c>
      <c r="K1798" t="b">
        <v>0</v>
      </c>
      <c r="L1798">
        <v>1997</v>
      </c>
      <c r="M1798">
        <v>27153408994</v>
      </c>
      <c r="N1798">
        <v>589739772727</v>
      </c>
      <c r="O1798" t="b">
        <v>1</v>
      </c>
      <c r="P1798">
        <v>0</v>
      </c>
      <c r="Q1798" t="str" cm="1">
        <f t="array" ref="Q1798">_xlfn.IFS(Table1[[#This Row],[Wealthier_Winner]]=-1,"Wealthier Nation Loses",Table1[[#This Row],[Wealthier_Winner]]=0,"Tie",Table1[[#This Row],[Wealthier_Winner]]=1,"Wealthier Nation Wins")</f>
        <v>Tie</v>
      </c>
    </row>
    <row r="1799" spans="1:17" x14ac:dyDescent="0.2">
      <c r="A1799" s="1">
        <v>3170</v>
      </c>
      <c r="B1799" s="2">
        <v>35550</v>
      </c>
      <c r="C1799" s="7">
        <f>_xlfn.FLOOR.MATH(Table1[[#This Row],[year]],10)</f>
        <v>1990</v>
      </c>
      <c r="D1799" t="s">
        <v>46</v>
      </c>
      <c r="E1799" t="s">
        <v>30</v>
      </c>
      <c r="F1799">
        <v>1</v>
      </c>
      <c r="G1799">
        <v>0</v>
      </c>
      <c r="H1799" t="s">
        <v>224</v>
      </c>
      <c r="I1799" t="s">
        <v>493</v>
      </c>
      <c r="J1799" t="s">
        <v>46</v>
      </c>
      <c r="K1799" t="b">
        <v>0</v>
      </c>
      <c r="L1799">
        <v>1997</v>
      </c>
      <c r="M1799">
        <v>294788198856</v>
      </c>
      <c r="N1799">
        <v>47398564799</v>
      </c>
      <c r="O1799" t="b">
        <v>1</v>
      </c>
      <c r="P1799">
        <v>1</v>
      </c>
      <c r="Q1799" t="str" cm="1">
        <f t="array" ref="Q1799">_xlfn.IFS(Table1[[#This Row],[Wealthier_Winner]]=-1,"Wealthier Nation Loses",Table1[[#This Row],[Wealthier_Winner]]=0,"Tie",Table1[[#This Row],[Wealthier_Winner]]=1,"Wealthier Nation Wins")</f>
        <v>Wealthier Nation Wins</v>
      </c>
    </row>
    <row r="1800" spans="1:17" x14ac:dyDescent="0.2">
      <c r="A1800" s="1">
        <v>3172</v>
      </c>
      <c r="B1800" s="2">
        <v>35554</v>
      </c>
      <c r="C1800" s="7">
        <f>_xlfn.FLOOR.MATH(Table1[[#This Row],[year]],10)</f>
        <v>1990</v>
      </c>
      <c r="D1800" t="s">
        <v>69</v>
      </c>
      <c r="E1800" t="s">
        <v>56</v>
      </c>
      <c r="F1800">
        <v>2</v>
      </c>
      <c r="G1800">
        <v>1</v>
      </c>
      <c r="H1800" t="s">
        <v>224</v>
      </c>
      <c r="I1800" t="s">
        <v>281</v>
      </c>
      <c r="J1800" t="s">
        <v>69</v>
      </c>
      <c r="K1800" t="b">
        <v>0</v>
      </c>
      <c r="L1800">
        <v>1997</v>
      </c>
      <c r="M1800">
        <v>10221705900</v>
      </c>
      <c r="N1800">
        <v>12614602382</v>
      </c>
      <c r="O1800" t="b">
        <v>0</v>
      </c>
      <c r="P1800">
        <v>-1</v>
      </c>
      <c r="Q1800" t="str" cm="1">
        <f t="array" ref="Q1800">_xlfn.IFS(Table1[[#This Row],[Wealthier_Winner]]=-1,"Wealthier Nation Loses",Table1[[#This Row],[Wealthier_Winner]]=0,"Tie",Table1[[#This Row],[Wealthier_Winner]]=1,"Wealthier Nation Wins")</f>
        <v>Wealthier Nation Loses</v>
      </c>
    </row>
    <row r="1801" spans="1:17" x14ac:dyDescent="0.2">
      <c r="A1801" s="1">
        <v>3173</v>
      </c>
      <c r="B1801" s="2">
        <v>35554</v>
      </c>
      <c r="C1801" s="7">
        <f>_xlfn.FLOOR.MATH(Table1[[#This Row],[year]],10)</f>
        <v>1990</v>
      </c>
      <c r="D1801" t="s">
        <v>556</v>
      </c>
      <c r="E1801" t="s">
        <v>475</v>
      </c>
      <c r="F1801">
        <v>4</v>
      </c>
      <c r="G1801">
        <v>0</v>
      </c>
      <c r="H1801" t="s">
        <v>224</v>
      </c>
      <c r="I1801" t="s">
        <v>557</v>
      </c>
      <c r="J1801" t="s">
        <v>556</v>
      </c>
      <c r="K1801" t="b">
        <v>0</v>
      </c>
      <c r="L1801">
        <v>1997</v>
      </c>
      <c r="M1801">
        <v>921518032</v>
      </c>
      <c r="N1801">
        <v>26843700441</v>
      </c>
      <c r="O1801" t="b">
        <v>1</v>
      </c>
      <c r="P1801">
        <v>-1</v>
      </c>
      <c r="Q1801" t="str" cm="1">
        <f t="array" ref="Q1801">_xlfn.IFS(Table1[[#This Row],[Wealthier_Winner]]=-1,"Wealthier Nation Loses",Table1[[#This Row],[Wealthier_Winner]]=0,"Tie",Table1[[#This Row],[Wealthier_Winner]]=1,"Wealthier Nation Wins")</f>
        <v>Wealthier Nation Loses</v>
      </c>
    </row>
    <row r="1802" spans="1:17" x14ac:dyDescent="0.2">
      <c r="A1802" s="1">
        <v>3175</v>
      </c>
      <c r="B1802" s="2">
        <v>35557</v>
      </c>
      <c r="C1802" s="7">
        <f>_xlfn.FLOOR.MATH(Table1[[#This Row],[year]],10)</f>
        <v>1990</v>
      </c>
      <c r="D1802" t="s">
        <v>64</v>
      </c>
      <c r="E1802" t="s">
        <v>519</v>
      </c>
      <c r="F1802">
        <v>1</v>
      </c>
      <c r="G1802">
        <v>1</v>
      </c>
      <c r="H1802" t="s">
        <v>224</v>
      </c>
      <c r="I1802" t="s">
        <v>423</v>
      </c>
      <c r="J1802" t="s">
        <v>64</v>
      </c>
      <c r="K1802" t="b">
        <v>0</v>
      </c>
      <c r="L1802">
        <v>1997</v>
      </c>
      <c r="M1802">
        <v>50151531591</v>
      </c>
      <c r="N1802">
        <v>1639492444</v>
      </c>
      <c r="O1802" t="b">
        <v>1</v>
      </c>
      <c r="P1802">
        <v>0</v>
      </c>
      <c r="Q1802" t="str" cm="1">
        <f t="array" ref="Q1802">_xlfn.IFS(Table1[[#This Row],[Wealthier_Winner]]=-1,"Wealthier Nation Loses",Table1[[#This Row],[Wealthier_Winner]]=0,"Tie",Table1[[#This Row],[Wealthier_Winner]]=1,"Wealthier Nation Wins")</f>
        <v>Tie</v>
      </c>
    </row>
    <row r="1803" spans="1:17" x14ac:dyDescent="0.2">
      <c r="A1803" s="1">
        <v>3176</v>
      </c>
      <c r="B1803" s="2">
        <v>35558</v>
      </c>
      <c r="C1803" s="7">
        <f>_xlfn.FLOOR.MATH(Table1[[#This Row],[year]],10)</f>
        <v>1990</v>
      </c>
      <c r="D1803" t="s">
        <v>71</v>
      </c>
      <c r="E1803" t="s">
        <v>479</v>
      </c>
      <c r="F1803">
        <v>2</v>
      </c>
      <c r="G1803">
        <v>0</v>
      </c>
      <c r="H1803" t="s">
        <v>224</v>
      </c>
      <c r="I1803" t="s">
        <v>366</v>
      </c>
      <c r="J1803" t="s">
        <v>71</v>
      </c>
      <c r="K1803" t="b">
        <v>0</v>
      </c>
      <c r="L1803">
        <v>1997</v>
      </c>
      <c r="M1803">
        <v>30350190704</v>
      </c>
      <c r="N1803">
        <v>15751867489</v>
      </c>
      <c r="O1803" t="b">
        <v>0</v>
      </c>
      <c r="P1803">
        <v>1</v>
      </c>
      <c r="Q1803" t="str" cm="1">
        <f t="array" ref="Q1803">_xlfn.IFS(Table1[[#This Row],[Wealthier_Winner]]=-1,"Wealthier Nation Loses",Table1[[#This Row],[Wealthier_Winner]]=0,"Tie",Table1[[#This Row],[Wealthier_Winner]]=1,"Wealthier Nation Wins")</f>
        <v>Wealthier Nation Wins</v>
      </c>
    </row>
    <row r="1804" spans="1:17" x14ac:dyDescent="0.2">
      <c r="A1804" s="1">
        <v>3178</v>
      </c>
      <c r="B1804" s="2">
        <v>35561</v>
      </c>
      <c r="C1804" s="7">
        <f>_xlfn.FLOOR.MATH(Table1[[#This Row],[year]],10)</f>
        <v>1990</v>
      </c>
      <c r="D1804" t="s">
        <v>56</v>
      </c>
      <c r="E1804" t="s">
        <v>49</v>
      </c>
      <c r="F1804">
        <v>3</v>
      </c>
      <c r="G1804">
        <v>1</v>
      </c>
      <c r="H1804" t="s">
        <v>224</v>
      </c>
      <c r="I1804" t="s">
        <v>225</v>
      </c>
      <c r="J1804" t="s">
        <v>56</v>
      </c>
      <c r="K1804" t="b">
        <v>0</v>
      </c>
      <c r="L1804">
        <v>1997</v>
      </c>
      <c r="M1804">
        <v>12614602382</v>
      </c>
      <c r="N1804">
        <v>8400041723</v>
      </c>
      <c r="O1804" t="b">
        <v>0</v>
      </c>
      <c r="P1804">
        <v>1</v>
      </c>
      <c r="Q1804" t="str" cm="1">
        <f t="array" ref="Q1804">_xlfn.IFS(Table1[[#This Row],[Wealthier_Winner]]=-1,"Wealthier Nation Loses",Table1[[#This Row],[Wealthier_Winner]]=0,"Tie",Table1[[#This Row],[Wealthier_Winner]]=1,"Wealthier Nation Wins")</f>
        <v>Wealthier Nation Wins</v>
      </c>
    </row>
    <row r="1805" spans="1:17" x14ac:dyDescent="0.2">
      <c r="A1805" s="1">
        <v>3179</v>
      </c>
      <c r="B1805" s="2">
        <v>35561</v>
      </c>
      <c r="C1805" s="7">
        <f>_xlfn.FLOOR.MATH(Table1[[#This Row],[year]],10)</f>
        <v>1990</v>
      </c>
      <c r="D1805" t="s">
        <v>558</v>
      </c>
      <c r="E1805" t="s">
        <v>431</v>
      </c>
      <c r="F1805">
        <v>3</v>
      </c>
      <c r="G1805">
        <v>0</v>
      </c>
      <c r="H1805" t="s">
        <v>224</v>
      </c>
      <c r="I1805" t="s">
        <v>559</v>
      </c>
      <c r="J1805" t="s">
        <v>558</v>
      </c>
      <c r="K1805" t="b">
        <v>0</v>
      </c>
      <c r="L1805">
        <v>1997</v>
      </c>
      <c r="M1805">
        <v>22165932062</v>
      </c>
      <c r="N1805">
        <v>62433340468</v>
      </c>
      <c r="O1805" t="b">
        <v>1</v>
      </c>
      <c r="P1805">
        <v>-1</v>
      </c>
      <c r="Q1805" t="str" cm="1">
        <f t="array" ref="Q1805">_xlfn.IFS(Table1[[#This Row],[Wealthier_Winner]]=-1,"Wealthier Nation Loses",Table1[[#This Row],[Wealthier_Winner]]=0,"Tie",Table1[[#This Row],[Wealthier_Winner]]=1,"Wealthier Nation Wins")</f>
        <v>Wealthier Nation Loses</v>
      </c>
    </row>
    <row r="1806" spans="1:17" x14ac:dyDescent="0.2">
      <c r="A1806" s="1">
        <v>3181</v>
      </c>
      <c r="B1806" s="2">
        <v>35561</v>
      </c>
      <c r="C1806" s="7">
        <f>_xlfn.FLOOR.MATH(Table1[[#This Row],[year]],10)</f>
        <v>1990</v>
      </c>
      <c r="D1806" t="s">
        <v>560</v>
      </c>
      <c r="E1806" t="s">
        <v>475</v>
      </c>
      <c r="F1806">
        <v>2</v>
      </c>
      <c r="G1806">
        <v>1</v>
      </c>
      <c r="H1806" t="s">
        <v>224</v>
      </c>
      <c r="I1806" t="s">
        <v>561</v>
      </c>
      <c r="J1806" t="s">
        <v>560</v>
      </c>
      <c r="K1806" t="b">
        <v>0</v>
      </c>
      <c r="L1806">
        <v>1997</v>
      </c>
      <c r="M1806">
        <v>2450350625</v>
      </c>
      <c r="N1806">
        <v>26843700441</v>
      </c>
      <c r="O1806" t="b">
        <v>1</v>
      </c>
      <c r="P1806">
        <v>-1</v>
      </c>
      <c r="Q1806" t="str" cm="1">
        <f t="array" ref="Q1806">_xlfn.IFS(Table1[[#This Row],[Wealthier_Winner]]=-1,"Wealthier Nation Loses",Table1[[#This Row],[Wealthier_Winner]]=0,"Tie",Table1[[#This Row],[Wealthier_Winner]]=1,"Wealthier Nation Wins")</f>
        <v>Wealthier Nation Loses</v>
      </c>
    </row>
    <row r="1807" spans="1:17" x14ac:dyDescent="0.2">
      <c r="A1807" s="1">
        <v>3183</v>
      </c>
      <c r="B1807" s="2">
        <v>35568</v>
      </c>
      <c r="C1807" s="7">
        <f>_xlfn.FLOOR.MATH(Table1[[#This Row],[year]],10)</f>
        <v>1990</v>
      </c>
      <c r="D1807" t="s">
        <v>476</v>
      </c>
      <c r="E1807" t="s">
        <v>525</v>
      </c>
      <c r="F1807">
        <v>1</v>
      </c>
      <c r="G1807">
        <v>3</v>
      </c>
      <c r="H1807" t="s">
        <v>224</v>
      </c>
      <c r="I1807" t="s">
        <v>481</v>
      </c>
      <c r="J1807" t="s">
        <v>476</v>
      </c>
      <c r="K1807" t="b">
        <v>0</v>
      </c>
      <c r="L1807">
        <v>1997</v>
      </c>
      <c r="M1807">
        <v>5154420649</v>
      </c>
      <c r="N1807">
        <v>6349481006</v>
      </c>
      <c r="O1807" t="b">
        <v>0</v>
      </c>
      <c r="P1807">
        <v>1</v>
      </c>
      <c r="Q1807" t="str" cm="1">
        <f t="array" ref="Q1807">_xlfn.IFS(Table1[[#This Row],[Wealthier_Winner]]=-1,"Wealthier Nation Loses",Table1[[#This Row],[Wealthier_Winner]]=0,"Tie",Table1[[#This Row],[Wealthier_Winner]]=1,"Wealthier Nation Wins")</f>
        <v>Wealthier Nation Wins</v>
      </c>
    </row>
    <row r="1808" spans="1:17" x14ac:dyDescent="0.2">
      <c r="A1808" s="1">
        <v>3184</v>
      </c>
      <c r="B1808" s="2">
        <v>35568</v>
      </c>
      <c r="C1808" s="7">
        <f>_xlfn.FLOOR.MATH(Table1[[#This Row],[year]],10)</f>
        <v>1990</v>
      </c>
      <c r="D1808" t="s">
        <v>49</v>
      </c>
      <c r="E1808" t="s">
        <v>69</v>
      </c>
      <c r="F1808">
        <v>1</v>
      </c>
      <c r="G1808">
        <v>0</v>
      </c>
      <c r="H1808" t="s">
        <v>224</v>
      </c>
      <c r="I1808" t="s">
        <v>257</v>
      </c>
      <c r="J1808" t="s">
        <v>49</v>
      </c>
      <c r="K1808" t="b">
        <v>0</v>
      </c>
      <c r="L1808">
        <v>1997</v>
      </c>
      <c r="M1808">
        <v>8400041723</v>
      </c>
      <c r="N1808">
        <v>10221705900</v>
      </c>
      <c r="O1808" t="b">
        <v>0</v>
      </c>
      <c r="P1808">
        <v>-1</v>
      </c>
      <c r="Q1808" t="str" cm="1">
        <f t="array" ref="Q1808">_xlfn.IFS(Table1[[#This Row],[Wealthier_Winner]]=-1,"Wealthier Nation Loses",Table1[[#This Row],[Wealthier_Winner]]=0,"Tie",Table1[[#This Row],[Wealthier_Winner]]=1,"Wealthier Nation Wins")</f>
        <v>Wealthier Nation Loses</v>
      </c>
    </row>
    <row r="1809" spans="1:17" x14ac:dyDescent="0.2">
      <c r="A1809" s="1">
        <v>3186</v>
      </c>
      <c r="B1809" s="2">
        <v>35573</v>
      </c>
      <c r="C1809" s="7">
        <f>_xlfn.FLOOR.MATH(Table1[[#This Row],[year]],10)</f>
        <v>1990</v>
      </c>
      <c r="D1809" t="s">
        <v>431</v>
      </c>
      <c r="E1809" t="s">
        <v>37</v>
      </c>
      <c r="F1809">
        <v>2</v>
      </c>
      <c r="G1809">
        <v>6</v>
      </c>
      <c r="H1809" t="s">
        <v>224</v>
      </c>
      <c r="I1809" t="s">
        <v>562</v>
      </c>
      <c r="J1809" t="s">
        <v>431</v>
      </c>
      <c r="K1809" t="b">
        <v>0</v>
      </c>
      <c r="L1809">
        <v>1997</v>
      </c>
      <c r="M1809">
        <v>62433340468</v>
      </c>
      <c r="N1809">
        <v>20764857056</v>
      </c>
      <c r="O1809" t="b">
        <v>1</v>
      </c>
      <c r="P1809">
        <v>-1</v>
      </c>
      <c r="Q1809" t="str" cm="1">
        <f t="array" ref="Q1809">_xlfn.IFS(Table1[[#This Row],[Wealthier_Winner]]=-1,"Wealthier Nation Loses",Table1[[#This Row],[Wealthier_Winner]]=0,"Tie",Table1[[#This Row],[Wealthier_Winner]]=1,"Wealthier Nation Wins")</f>
        <v>Wealthier Nation Loses</v>
      </c>
    </row>
    <row r="1810" spans="1:17" x14ac:dyDescent="0.2">
      <c r="A1810" s="1">
        <v>3187</v>
      </c>
      <c r="B1810" s="2">
        <v>35574</v>
      </c>
      <c r="C1810" s="7">
        <f>_xlfn.FLOOR.MATH(Table1[[#This Row],[year]],10)</f>
        <v>1990</v>
      </c>
      <c r="D1810" t="s">
        <v>359</v>
      </c>
      <c r="E1810" t="s">
        <v>479</v>
      </c>
      <c r="F1810">
        <v>1</v>
      </c>
      <c r="G1810">
        <v>2</v>
      </c>
      <c r="H1810" t="s">
        <v>224</v>
      </c>
      <c r="I1810" t="s">
        <v>359</v>
      </c>
      <c r="J1810" t="s">
        <v>359</v>
      </c>
      <c r="K1810" t="b">
        <v>0</v>
      </c>
      <c r="L1810">
        <v>1997</v>
      </c>
      <c r="M1810">
        <v>100123787215</v>
      </c>
      <c r="N1810">
        <v>15751867489</v>
      </c>
      <c r="O1810" t="b">
        <v>1</v>
      </c>
      <c r="P1810">
        <v>-1</v>
      </c>
      <c r="Q1810" t="str" cm="1">
        <f t="array" ref="Q1810">_xlfn.IFS(Table1[[#This Row],[Wealthier_Winner]]=-1,"Wealthier Nation Loses",Table1[[#This Row],[Wealthier_Winner]]=0,"Tie",Table1[[#This Row],[Wealthier_Winner]]=1,"Wealthier Nation Wins")</f>
        <v>Wealthier Nation Loses</v>
      </c>
    </row>
    <row r="1811" spans="1:17" x14ac:dyDescent="0.2">
      <c r="A1811" s="1">
        <v>3188</v>
      </c>
      <c r="B1811" s="2">
        <v>35575</v>
      </c>
      <c r="C1811" s="7">
        <f>_xlfn.FLOOR.MATH(Table1[[#This Row],[year]],10)</f>
        <v>1990</v>
      </c>
      <c r="D1811" t="s">
        <v>560</v>
      </c>
      <c r="E1811" t="s">
        <v>556</v>
      </c>
      <c r="F1811">
        <v>1</v>
      </c>
      <c r="G1811">
        <v>2</v>
      </c>
      <c r="H1811" t="s">
        <v>224</v>
      </c>
      <c r="I1811" t="s">
        <v>561</v>
      </c>
      <c r="J1811" t="s">
        <v>560</v>
      </c>
      <c r="K1811" t="b">
        <v>0</v>
      </c>
      <c r="L1811">
        <v>1997</v>
      </c>
      <c r="M1811">
        <v>2450350625</v>
      </c>
      <c r="N1811">
        <v>921518032</v>
      </c>
      <c r="O1811" t="b">
        <v>1</v>
      </c>
      <c r="P1811">
        <v>-1</v>
      </c>
      <c r="Q1811" t="str" cm="1">
        <f t="array" ref="Q1811">_xlfn.IFS(Table1[[#This Row],[Wealthier_Winner]]=-1,"Wealthier Nation Loses",Table1[[#This Row],[Wealthier_Winner]]=0,"Tie",Table1[[#This Row],[Wealthier_Winner]]=1,"Wealthier Nation Wins")</f>
        <v>Wealthier Nation Loses</v>
      </c>
    </row>
    <row r="1812" spans="1:17" x14ac:dyDescent="0.2">
      <c r="A1812" s="1">
        <v>3189</v>
      </c>
      <c r="B1812" s="2">
        <v>35575</v>
      </c>
      <c r="C1812" s="7">
        <f>_xlfn.FLOOR.MATH(Table1[[#This Row],[year]],10)</f>
        <v>1990</v>
      </c>
      <c r="D1812" t="s">
        <v>563</v>
      </c>
      <c r="E1812" t="s">
        <v>551</v>
      </c>
      <c r="F1812">
        <v>6</v>
      </c>
      <c r="G1812">
        <v>0</v>
      </c>
      <c r="H1812" t="s">
        <v>224</v>
      </c>
      <c r="I1812" t="s">
        <v>564</v>
      </c>
      <c r="J1812" t="s">
        <v>563</v>
      </c>
      <c r="K1812" t="b">
        <v>0</v>
      </c>
      <c r="L1812">
        <v>1997</v>
      </c>
      <c r="M1812">
        <v>14744603773</v>
      </c>
      <c r="N1812">
        <v>3443413388</v>
      </c>
      <c r="O1812" t="b">
        <v>1</v>
      </c>
      <c r="P1812">
        <v>1</v>
      </c>
      <c r="Q1812" t="str" cm="1">
        <f t="array" ref="Q1812">_xlfn.IFS(Table1[[#This Row],[Wealthier_Winner]]=-1,"Wealthier Nation Loses",Table1[[#This Row],[Wealthier_Winner]]=0,"Tie",Table1[[#This Row],[Wealthier_Winner]]=1,"Wealthier Nation Wins")</f>
        <v>Wealthier Nation Wins</v>
      </c>
    </row>
    <row r="1813" spans="1:17" x14ac:dyDescent="0.2">
      <c r="A1813" s="1">
        <v>3192</v>
      </c>
      <c r="B1813" s="2">
        <v>35581</v>
      </c>
      <c r="C1813" s="7">
        <f>_xlfn.FLOOR.MATH(Table1[[#This Row],[year]],10)</f>
        <v>1990</v>
      </c>
      <c r="D1813" t="s">
        <v>530</v>
      </c>
      <c r="E1813" t="s">
        <v>72</v>
      </c>
      <c r="F1813">
        <v>1</v>
      </c>
      <c r="G1813">
        <v>0</v>
      </c>
      <c r="H1813" t="s">
        <v>224</v>
      </c>
      <c r="I1813" t="s">
        <v>565</v>
      </c>
      <c r="J1813" t="s">
        <v>530</v>
      </c>
      <c r="K1813" t="b">
        <v>0</v>
      </c>
      <c r="L1813">
        <v>1997</v>
      </c>
      <c r="M1813">
        <v>4936615298</v>
      </c>
      <c r="N1813">
        <v>66075143415</v>
      </c>
      <c r="O1813" t="b">
        <v>1</v>
      </c>
      <c r="P1813">
        <v>-1</v>
      </c>
      <c r="Q1813" t="str" cm="1">
        <f t="array" ref="Q1813">_xlfn.IFS(Table1[[#This Row],[Wealthier_Winner]]=-1,"Wealthier Nation Loses",Table1[[#This Row],[Wealthier_Winner]]=0,"Tie",Table1[[#This Row],[Wealthier_Winner]]=1,"Wealthier Nation Wins")</f>
        <v>Wealthier Nation Loses</v>
      </c>
    </row>
    <row r="1814" spans="1:17" x14ac:dyDescent="0.2">
      <c r="A1814" s="1">
        <v>3193</v>
      </c>
      <c r="B1814" s="2">
        <v>35581</v>
      </c>
      <c r="C1814" s="7">
        <f>_xlfn.FLOOR.MATH(Table1[[#This Row],[year]],10)</f>
        <v>1990</v>
      </c>
      <c r="D1814" t="s">
        <v>58</v>
      </c>
      <c r="E1814" t="s">
        <v>194</v>
      </c>
      <c r="F1814">
        <v>0</v>
      </c>
      <c r="G1814">
        <v>2</v>
      </c>
      <c r="H1814" t="s">
        <v>224</v>
      </c>
      <c r="I1814" t="s">
        <v>484</v>
      </c>
      <c r="J1814" t="s">
        <v>58</v>
      </c>
      <c r="K1814" t="b">
        <v>0</v>
      </c>
      <c r="L1814">
        <v>1997</v>
      </c>
      <c r="M1814">
        <v>159893964916</v>
      </c>
      <c r="N1814">
        <v>1569317288801</v>
      </c>
      <c r="O1814" t="b">
        <v>1</v>
      </c>
      <c r="P1814">
        <v>1</v>
      </c>
      <c r="Q1814" t="str" cm="1">
        <f t="array" ref="Q1814">_xlfn.IFS(Table1[[#This Row],[Wealthier_Winner]]=-1,"Wealthier Nation Loses",Table1[[#This Row],[Wealthier_Winner]]=0,"Tie",Table1[[#This Row],[Wealthier_Winner]]=1,"Wealthier Nation Wins")</f>
        <v>Wealthier Nation Wins</v>
      </c>
    </row>
    <row r="1815" spans="1:17" x14ac:dyDescent="0.2">
      <c r="A1815" s="1">
        <v>3194</v>
      </c>
      <c r="B1815" s="2">
        <v>35582</v>
      </c>
      <c r="C1815" s="7">
        <f>_xlfn.FLOOR.MATH(Table1[[#This Row],[year]],10)</f>
        <v>1990</v>
      </c>
      <c r="D1815" t="s">
        <v>34</v>
      </c>
      <c r="E1815" t="s">
        <v>56</v>
      </c>
      <c r="F1815">
        <v>1</v>
      </c>
      <c r="G1815">
        <v>0</v>
      </c>
      <c r="H1815" t="s">
        <v>224</v>
      </c>
      <c r="I1815" t="s">
        <v>488</v>
      </c>
      <c r="J1815" t="s">
        <v>34</v>
      </c>
      <c r="K1815" t="b">
        <v>0</v>
      </c>
      <c r="L1815">
        <v>1997</v>
      </c>
      <c r="M1815">
        <v>654986999855</v>
      </c>
      <c r="N1815">
        <v>12614602382</v>
      </c>
      <c r="O1815" t="b">
        <v>1</v>
      </c>
      <c r="P1815">
        <v>1</v>
      </c>
      <c r="Q1815" t="str" cm="1">
        <f t="array" ref="Q1815">_xlfn.IFS(Table1[[#This Row],[Wealthier_Winner]]=-1,"Wealthier Nation Loses",Table1[[#This Row],[Wealthier_Winner]]=0,"Tie",Table1[[#This Row],[Wealthier_Winner]]=1,"Wealthier Nation Wins")</f>
        <v>Wealthier Nation Wins</v>
      </c>
    </row>
    <row r="1816" spans="1:17" x14ac:dyDescent="0.2">
      <c r="A1816" s="1">
        <v>3196</v>
      </c>
      <c r="B1816" s="2">
        <v>35582</v>
      </c>
      <c r="C1816" s="7">
        <f>_xlfn.FLOOR.MATH(Table1[[#This Row],[year]],10)</f>
        <v>1990</v>
      </c>
      <c r="D1816" t="s">
        <v>328</v>
      </c>
      <c r="E1816" t="s">
        <v>563</v>
      </c>
      <c r="F1816">
        <v>1</v>
      </c>
      <c r="G1816">
        <v>1</v>
      </c>
      <c r="H1816" t="s">
        <v>224</v>
      </c>
      <c r="I1816" t="s">
        <v>386</v>
      </c>
      <c r="J1816" t="s">
        <v>328</v>
      </c>
      <c r="K1816" t="b">
        <v>0</v>
      </c>
      <c r="L1816">
        <v>1997</v>
      </c>
      <c r="M1816">
        <v>215748998609</v>
      </c>
      <c r="N1816">
        <v>14744603773</v>
      </c>
      <c r="O1816" t="b">
        <v>1</v>
      </c>
      <c r="P1816">
        <v>0</v>
      </c>
      <c r="Q1816" t="str" cm="1">
        <f t="array" ref="Q1816">_xlfn.IFS(Table1[[#This Row],[Wealthier_Winner]]=-1,"Wealthier Nation Loses",Table1[[#This Row],[Wealthier_Winner]]=0,"Tie",Table1[[#This Row],[Wealthier_Winner]]=1,"Wealthier Nation Wins")</f>
        <v>Tie</v>
      </c>
    </row>
    <row r="1817" spans="1:17" x14ac:dyDescent="0.2">
      <c r="A1817" s="1">
        <v>3197</v>
      </c>
      <c r="B1817" s="2">
        <v>35582</v>
      </c>
      <c r="C1817" s="7">
        <f>_xlfn.FLOOR.MATH(Table1[[#This Row],[year]],10)</f>
        <v>1990</v>
      </c>
      <c r="D1817" t="s">
        <v>195</v>
      </c>
      <c r="E1817" t="s">
        <v>334</v>
      </c>
      <c r="F1817">
        <v>0</v>
      </c>
      <c r="G1817">
        <v>0</v>
      </c>
      <c r="H1817" t="s">
        <v>224</v>
      </c>
      <c r="I1817" t="s">
        <v>136</v>
      </c>
      <c r="J1817" t="s">
        <v>195</v>
      </c>
      <c r="K1817" t="b">
        <v>0</v>
      </c>
      <c r="L1817">
        <v>1997</v>
      </c>
      <c r="M1817">
        <v>589202526424</v>
      </c>
      <c r="N1817">
        <v>150180456565</v>
      </c>
      <c r="O1817" t="b">
        <v>1</v>
      </c>
      <c r="P1817">
        <v>0</v>
      </c>
      <c r="Q1817" t="str" cm="1">
        <f t="array" ref="Q1817">_xlfn.IFS(Table1[[#This Row],[Wealthier_Winner]]=-1,"Wealthier Nation Loses",Table1[[#This Row],[Wealthier_Winner]]=0,"Tie",Table1[[#This Row],[Wealthier_Winner]]=1,"Wealthier Nation Wins")</f>
        <v>Tie</v>
      </c>
    </row>
    <row r="1818" spans="1:17" x14ac:dyDescent="0.2">
      <c r="A1818" s="1">
        <v>3198</v>
      </c>
      <c r="B1818" s="2">
        <v>35582</v>
      </c>
      <c r="C1818" s="7">
        <f>_xlfn.FLOOR.MATH(Table1[[#This Row],[year]],10)</f>
        <v>1990</v>
      </c>
      <c r="D1818" t="s">
        <v>475</v>
      </c>
      <c r="E1818" t="s">
        <v>556</v>
      </c>
      <c r="F1818">
        <v>0</v>
      </c>
      <c r="G1818">
        <v>4</v>
      </c>
      <c r="H1818" t="s">
        <v>224</v>
      </c>
      <c r="I1818" t="s">
        <v>566</v>
      </c>
      <c r="J1818" t="s">
        <v>475</v>
      </c>
      <c r="K1818" t="b">
        <v>0</v>
      </c>
      <c r="L1818">
        <v>1997</v>
      </c>
      <c r="M1818">
        <v>26843700441</v>
      </c>
      <c r="N1818">
        <v>921518032</v>
      </c>
      <c r="O1818" t="b">
        <v>1</v>
      </c>
      <c r="P1818">
        <v>-1</v>
      </c>
      <c r="Q1818" t="str" cm="1">
        <f t="array" ref="Q1818">_xlfn.IFS(Table1[[#This Row],[Wealthier_Winner]]=-1,"Wealthier Nation Loses",Table1[[#This Row],[Wealthier_Winner]]=0,"Tie",Table1[[#This Row],[Wealthier_Winner]]=1,"Wealthier Nation Wins")</f>
        <v>Wealthier Nation Loses</v>
      </c>
    </row>
    <row r="1819" spans="1:17" x14ac:dyDescent="0.2">
      <c r="A1819" s="1">
        <v>3199</v>
      </c>
      <c r="B1819" s="2">
        <v>35583</v>
      </c>
      <c r="C1819" s="7">
        <f>_xlfn.FLOOR.MATH(Table1[[#This Row],[year]],10)</f>
        <v>1990</v>
      </c>
      <c r="D1819" t="s">
        <v>567</v>
      </c>
      <c r="E1819" t="s">
        <v>210</v>
      </c>
      <c r="F1819">
        <v>0</v>
      </c>
      <c r="G1819">
        <v>17</v>
      </c>
      <c r="H1819" t="s">
        <v>224</v>
      </c>
      <c r="I1819" t="s">
        <v>355</v>
      </c>
      <c r="J1819" t="s">
        <v>331</v>
      </c>
      <c r="K1819" t="b">
        <v>1</v>
      </c>
      <c r="L1819">
        <v>1997</v>
      </c>
      <c r="M1819">
        <v>508223602</v>
      </c>
      <c r="N1819">
        <v>113919163421</v>
      </c>
      <c r="O1819" t="b">
        <v>1</v>
      </c>
      <c r="P1819">
        <v>1</v>
      </c>
      <c r="Q1819" t="str" cm="1">
        <f t="array" ref="Q1819">_xlfn.IFS(Table1[[#This Row],[Wealthier_Winner]]=-1,"Wealthier Nation Loses",Table1[[#This Row],[Wealthier_Winner]]=0,"Tie",Table1[[#This Row],[Wealthier_Winner]]=1,"Wealthier Nation Wins")</f>
        <v>Wealthier Nation Wins</v>
      </c>
    </row>
    <row r="1820" spans="1:17" x14ac:dyDescent="0.2">
      <c r="A1820" s="1">
        <v>3201</v>
      </c>
      <c r="B1820" s="2">
        <v>35585</v>
      </c>
      <c r="C1820" s="7">
        <f>_xlfn.FLOOR.MATH(Table1[[#This Row],[year]],10)</f>
        <v>1990</v>
      </c>
      <c r="D1820" t="s">
        <v>331</v>
      </c>
      <c r="E1820" t="s">
        <v>567</v>
      </c>
      <c r="F1820">
        <v>12</v>
      </c>
      <c r="G1820">
        <v>0</v>
      </c>
      <c r="H1820" t="s">
        <v>224</v>
      </c>
      <c r="I1820" t="s">
        <v>355</v>
      </c>
      <c r="J1820" t="s">
        <v>331</v>
      </c>
      <c r="K1820" t="b">
        <v>0</v>
      </c>
      <c r="L1820">
        <v>1997</v>
      </c>
      <c r="M1820">
        <v>14505233463</v>
      </c>
      <c r="N1820">
        <v>508223602</v>
      </c>
      <c r="O1820" t="b">
        <v>1</v>
      </c>
      <c r="P1820">
        <v>1</v>
      </c>
      <c r="Q1820" t="str" cm="1">
        <f t="array" ref="Q1820">_xlfn.IFS(Table1[[#This Row],[Wealthier_Winner]]=-1,"Wealthier Nation Loses",Table1[[#This Row],[Wealthier_Winner]]=0,"Tie",Table1[[#This Row],[Wealthier_Winner]]=1,"Wealthier Nation Wins")</f>
        <v>Wealthier Nation Wins</v>
      </c>
    </row>
    <row r="1821" spans="1:17" x14ac:dyDescent="0.2">
      <c r="A1821" s="1">
        <v>3202</v>
      </c>
      <c r="B1821" s="2">
        <v>35586</v>
      </c>
      <c r="C1821" s="7">
        <f>_xlfn.FLOOR.MATH(Table1[[#This Row],[year]],10)</f>
        <v>1990</v>
      </c>
      <c r="D1821" t="s">
        <v>71</v>
      </c>
      <c r="E1821" t="s">
        <v>359</v>
      </c>
      <c r="F1821">
        <v>4</v>
      </c>
      <c r="G1821">
        <v>0</v>
      </c>
      <c r="H1821" t="s">
        <v>224</v>
      </c>
      <c r="I1821" t="s">
        <v>366</v>
      </c>
      <c r="J1821" t="s">
        <v>71</v>
      </c>
      <c r="K1821" t="b">
        <v>0</v>
      </c>
      <c r="L1821">
        <v>1997</v>
      </c>
      <c r="M1821">
        <v>30350190704</v>
      </c>
      <c r="N1821">
        <v>100123787215</v>
      </c>
      <c r="O1821" t="b">
        <v>1</v>
      </c>
      <c r="P1821">
        <v>-1</v>
      </c>
      <c r="Q1821" t="str" cm="1">
        <f t="array" ref="Q1821">_xlfn.IFS(Table1[[#This Row],[Wealthier_Winner]]=-1,"Wealthier Nation Loses",Table1[[#This Row],[Wealthier_Winner]]=0,"Tie",Table1[[#This Row],[Wealthier_Winner]]=1,"Wealthier Nation Wins")</f>
        <v>Wealthier Nation Loses</v>
      </c>
    </row>
    <row r="1822" spans="1:17" x14ac:dyDescent="0.2">
      <c r="A1822" s="1">
        <v>3203</v>
      </c>
      <c r="B1822" s="2">
        <v>35587</v>
      </c>
      <c r="C1822" s="7">
        <f>_xlfn.FLOOR.MATH(Table1[[#This Row],[year]],10)</f>
        <v>1990</v>
      </c>
      <c r="D1822" t="s">
        <v>37</v>
      </c>
      <c r="E1822" t="s">
        <v>558</v>
      </c>
      <c r="F1822">
        <v>1</v>
      </c>
      <c r="G1822">
        <v>2</v>
      </c>
      <c r="H1822" t="s">
        <v>224</v>
      </c>
      <c r="I1822" t="s">
        <v>437</v>
      </c>
      <c r="J1822" t="s">
        <v>37</v>
      </c>
      <c r="K1822" t="b">
        <v>0</v>
      </c>
      <c r="L1822">
        <v>1997</v>
      </c>
      <c r="M1822">
        <v>20764857056</v>
      </c>
      <c r="N1822">
        <v>22165932062</v>
      </c>
      <c r="O1822" t="b">
        <v>0</v>
      </c>
      <c r="P1822">
        <v>1</v>
      </c>
      <c r="Q1822" t="str" cm="1">
        <f t="array" ref="Q1822">_xlfn.IFS(Table1[[#This Row],[Wealthier_Winner]]=-1,"Wealthier Nation Loses",Table1[[#This Row],[Wealthier_Winner]]=0,"Tie",Table1[[#This Row],[Wealthier_Winner]]=1,"Wealthier Nation Wins")</f>
        <v>Wealthier Nation Wins</v>
      </c>
    </row>
    <row r="1823" spans="1:17" x14ac:dyDescent="0.2">
      <c r="A1823" s="1">
        <v>3205</v>
      </c>
      <c r="B1823" s="2">
        <v>35587</v>
      </c>
      <c r="C1823" s="7">
        <f>_xlfn.FLOOR.MATH(Table1[[#This Row],[year]],10)</f>
        <v>1990</v>
      </c>
      <c r="D1823" t="s">
        <v>331</v>
      </c>
      <c r="E1823" t="s">
        <v>210</v>
      </c>
      <c r="F1823">
        <v>0</v>
      </c>
      <c r="G1823">
        <v>1</v>
      </c>
      <c r="H1823" t="s">
        <v>224</v>
      </c>
      <c r="I1823" t="s">
        <v>355</v>
      </c>
      <c r="J1823" t="s">
        <v>331</v>
      </c>
      <c r="K1823" t="b">
        <v>0</v>
      </c>
      <c r="L1823">
        <v>1997</v>
      </c>
      <c r="M1823">
        <v>14505233463</v>
      </c>
      <c r="N1823">
        <v>113919163421</v>
      </c>
      <c r="O1823" t="b">
        <v>1</v>
      </c>
      <c r="P1823">
        <v>1</v>
      </c>
      <c r="Q1823" t="str" cm="1">
        <f t="array" ref="Q1823">_xlfn.IFS(Table1[[#This Row],[Wealthier_Winner]]=-1,"Wealthier Nation Loses",Table1[[#This Row],[Wealthier_Winner]]=0,"Tie",Table1[[#This Row],[Wealthier_Winner]]=1,"Wealthier Nation Wins")</f>
        <v>Wealthier Nation Wins</v>
      </c>
    </row>
    <row r="1824" spans="1:17" x14ac:dyDescent="0.2">
      <c r="A1824" s="1">
        <v>3206</v>
      </c>
      <c r="B1824" s="2">
        <v>35588</v>
      </c>
      <c r="C1824" s="7">
        <f>_xlfn.FLOOR.MATH(Table1[[#This Row],[year]],10)</f>
        <v>1990</v>
      </c>
      <c r="D1824" t="s">
        <v>23</v>
      </c>
      <c r="E1824" t="s">
        <v>549</v>
      </c>
      <c r="F1824">
        <v>6</v>
      </c>
      <c r="G1824">
        <v>0</v>
      </c>
      <c r="H1824" t="s">
        <v>224</v>
      </c>
      <c r="I1824" t="s">
        <v>235</v>
      </c>
      <c r="J1824" t="s">
        <v>23</v>
      </c>
      <c r="K1824" t="b">
        <v>0</v>
      </c>
      <c r="L1824">
        <v>1997</v>
      </c>
      <c r="M1824">
        <v>252708051420</v>
      </c>
      <c r="N1824">
        <v>976606910</v>
      </c>
      <c r="O1824" t="b">
        <v>1</v>
      </c>
      <c r="P1824">
        <v>1</v>
      </c>
      <c r="Q1824" t="str" cm="1">
        <f t="array" ref="Q1824">_xlfn.IFS(Table1[[#This Row],[Wealthier_Winner]]=-1,"Wealthier Nation Loses",Table1[[#This Row],[Wealthier_Winner]]=0,"Tie",Table1[[#This Row],[Wealthier_Winner]]=1,"Wealthier Nation Wins")</f>
        <v>Wealthier Nation Wins</v>
      </c>
    </row>
    <row r="1825" spans="1:17" x14ac:dyDescent="0.2">
      <c r="A1825" s="1">
        <v>3207</v>
      </c>
      <c r="B1825" s="2">
        <v>35588</v>
      </c>
      <c r="C1825" s="7">
        <f>_xlfn.FLOOR.MATH(Table1[[#This Row],[year]],10)</f>
        <v>1990</v>
      </c>
      <c r="D1825" t="s">
        <v>384</v>
      </c>
      <c r="E1825" t="s">
        <v>72</v>
      </c>
      <c r="F1825">
        <v>0</v>
      </c>
      <c r="G1825">
        <v>1</v>
      </c>
      <c r="H1825" t="s">
        <v>224</v>
      </c>
      <c r="I1825" t="s">
        <v>568</v>
      </c>
      <c r="J1825" t="s">
        <v>384</v>
      </c>
      <c r="K1825" t="b">
        <v>0</v>
      </c>
      <c r="L1825">
        <v>1997</v>
      </c>
      <c r="M1825">
        <v>2090221137</v>
      </c>
      <c r="N1825">
        <v>66075143415</v>
      </c>
      <c r="O1825" t="b">
        <v>1</v>
      </c>
      <c r="P1825">
        <v>1</v>
      </c>
      <c r="Q1825" t="str" cm="1">
        <f t="array" ref="Q1825">_xlfn.IFS(Table1[[#This Row],[Wealthier_Winner]]=-1,"Wealthier Nation Loses",Table1[[#This Row],[Wealthier_Winner]]=0,"Tie",Table1[[#This Row],[Wealthier_Winner]]=1,"Wealthier Nation Wins")</f>
        <v>Wealthier Nation Wins</v>
      </c>
    </row>
    <row r="1826" spans="1:17" x14ac:dyDescent="0.2">
      <c r="A1826" s="1">
        <v>3208</v>
      </c>
      <c r="B1826" s="2">
        <v>35588</v>
      </c>
      <c r="C1826" s="7">
        <f>_xlfn.FLOOR.MATH(Table1[[#This Row],[year]],10)</f>
        <v>1990</v>
      </c>
      <c r="D1826" t="s">
        <v>534</v>
      </c>
      <c r="E1826" t="s">
        <v>527</v>
      </c>
      <c r="F1826">
        <v>2</v>
      </c>
      <c r="G1826">
        <v>0</v>
      </c>
      <c r="H1826" t="s">
        <v>224</v>
      </c>
      <c r="I1826" t="s">
        <v>569</v>
      </c>
      <c r="J1826" t="s">
        <v>534</v>
      </c>
      <c r="K1826" t="b">
        <v>0</v>
      </c>
      <c r="L1826">
        <v>1997</v>
      </c>
      <c r="M1826">
        <v>3510520231</v>
      </c>
      <c r="N1826">
        <v>1930081168</v>
      </c>
      <c r="O1826" t="b">
        <v>0</v>
      </c>
      <c r="P1826">
        <v>1</v>
      </c>
      <c r="Q1826" t="str" cm="1">
        <f t="array" ref="Q1826">_xlfn.IFS(Table1[[#This Row],[Wealthier_Winner]]=-1,"Wealthier Nation Loses",Table1[[#This Row],[Wealthier_Winner]]=0,"Tie",Table1[[#This Row],[Wealthier_Winner]]=1,"Wealthier Nation Wins")</f>
        <v>Wealthier Nation Wins</v>
      </c>
    </row>
    <row r="1827" spans="1:17" x14ac:dyDescent="0.2">
      <c r="A1827" s="1">
        <v>3209</v>
      </c>
      <c r="B1827" s="2">
        <v>35588</v>
      </c>
      <c r="C1827" s="7">
        <f>_xlfn.FLOOR.MATH(Table1[[#This Row],[year]],10)</f>
        <v>1990</v>
      </c>
      <c r="D1827" t="s">
        <v>502</v>
      </c>
      <c r="E1827" t="s">
        <v>66</v>
      </c>
      <c r="F1827">
        <v>1</v>
      </c>
      <c r="G1827">
        <v>0</v>
      </c>
      <c r="H1827" t="s">
        <v>224</v>
      </c>
      <c r="I1827" t="s">
        <v>504</v>
      </c>
      <c r="J1827" t="s">
        <v>502</v>
      </c>
      <c r="K1827" t="b">
        <v>0</v>
      </c>
      <c r="L1827">
        <v>1997</v>
      </c>
      <c r="M1827">
        <v>3912986090</v>
      </c>
      <c r="N1827">
        <v>7716781803</v>
      </c>
      <c r="O1827" t="b">
        <v>0</v>
      </c>
      <c r="P1827">
        <v>-1</v>
      </c>
      <c r="Q1827" t="str" cm="1">
        <f t="array" ref="Q1827">_xlfn.IFS(Table1[[#This Row],[Wealthier_Winner]]=-1,"Wealthier Nation Loses",Table1[[#This Row],[Wealthier_Winner]]=0,"Tie",Table1[[#This Row],[Wealthier_Winner]]=1,"Wealthier Nation Wins")</f>
        <v>Wealthier Nation Loses</v>
      </c>
    </row>
    <row r="1828" spans="1:17" x14ac:dyDescent="0.2">
      <c r="A1828" s="1">
        <v>3210</v>
      </c>
      <c r="B1828" s="2">
        <v>35588</v>
      </c>
      <c r="C1828" s="7">
        <f>_xlfn.FLOOR.MATH(Table1[[#This Row],[year]],10)</f>
        <v>1990</v>
      </c>
      <c r="D1828" t="s">
        <v>43</v>
      </c>
      <c r="E1828" t="s">
        <v>314</v>
      </c>
      <c r="F1828">
        <v>3</v>
      </c>
      <c r="G1828">
        <v>0</v>
      </c>
      <c r="H1828" t="s">
        <v>224</v>
      </c>
      <c r="I1828" t="s">
        <v>229</v>
      </c>
      <c r="J1828" t="s">
        <v>43</v>
      </c>
      <c r="K1828" t="b">
        <v>0</v>
      </c>
      <c r="L1828">
        <v>1997</v>
      </c>
      <c r="M1828">
        <v>200850397618</v>
      </c>
      <c r="N1828">
        <v>13115764358</v>
      </c>
      <c r="O1828" t="b">
        <v>1</v>
      </c>
      <c r="P1828">
        <v>1</v>
      </c>
      <c r="Q1828" t="str" cm="1">
        <f t="array" ref="Q1828">_xlfn.IFS(Table1[[#This Row],[Wealthier_Winner]]=-1,"Wealthier Nation Loses",Table1[[#This Row],[Wealthier_Winner]]=0,"Tie",Table1[[#This Row],[Wealthier_Winner]]=1,"Wealthier Nation Wins")</f>
        <v>Wealthier Nation Wins</v>
      </c>
    </row>
    <row r="1829" spans="1:17" x14ac:dyDescent="0.2">
      <c r="A1829" s="1">
        <v>3211</v>
      </c>
      <c r="B1829" s="2">
        <v>35588</v>
      </c>
      <c r="C1829" s="7">
        <f>_xlfn.FLOOR.MATH(Table1[[#This Row],[year]],10)</f>
        <v>1990</v>
      </c>
      <c r="D1829" t="s">
        <v>38</v>
      </c>
      <c r="E1829" t="s">
        <v>373</v>
      </c>
      <c r="F1829">
        <v>2</v>
      </c>
      <c r="G1829">
        <v>0</v>
      </c>
      <c r="H1829" t="s">
        <v>224</v>
      </c>
      <c r="I1829" t="s">
        <v>292</v>
      </c>
      <c r="J1829" t="s">
        <v>38</v>
      </c>
      <c r="K1829" t="b">
        <v>0</v>
      </c>
      <c r="L1829">
        <v>1997</v>
      </c>
      <c r="M1829">
        <v>117016535162</v>
      </c>
      <c r="N1829">
        <v>2293666029</v>
      </c>
      <c r="O1829" t="b">
        <v>1</v>
      </c>
      <c r="P1829">
        <v>1</v>
      </c>
      <c r="Q1829" t="str" cm="1">
        <f t="array" ref="Q1829">_xlfn.IFS(Table1[[#This Row],[Wealthier_Winner]]=-1,"Wealthier Nation Loses",Table1[[#This Row],[Wealthier_Winner]]=0,"Tie",Table1[[#This Row],[Wealthier_Winner]]=1,"Wealthier Nation Wins")</f>
        <v>Wealthier Nation Wins</v>
      </c>
    </row>
    <row r="1830" spans="1:17" x14ac:dyDescent="0.2">
      <c r="A1830" s="1">
        <v>3212</v>
      </c>
      <c r="B1830" s="2">
        <v>35588</v>
      </c>
      <c r="C1830" s="7">
        <f>_xlfn.FLOOR.MATH(Table1[[#This Row],[year]],10)</f>
        <v>1990</v>
      </c>
      <c r="D1830" t="s">
        <v>64</v>
      </c>
      <c r="E1830" t="s">
        <v>16</v>
      </c>
      <c r="F1830">
        <v>0</v>
      </c>
      <c r="G1830">
        <v>0</v>
      </c>
      <c r="H1830" t="s">
        <v>224</v>
      </c>
      <c r="I1830" t="s">
        <v>423</v>
      </c>
      <c r="J1830" t="s">
        <v>64</v>
      </c>
      <c r="K1830" t="b">
        <v>0</v>
      </c>
      <c r="L1830">
        <v>1997</v>
      </c>
      <c r="M1830">
        <v>50151531591</v>
      </c>
      <c r="N1830">
        <v>2218790886532</v>
      </c>
      <c r="O1830" t="b">
        <v>1</v>
      </c>
      <c r="P1830">
        <v>0</v>
      </c>
      <c r="Q1830" t="str" cm="1">
        <f t="array" ref="Q1830">_xlfn.IFS(Table1[[#This Row],[Wealthier_Winner]]=-1,"Wealthier Nation Loses",Table1[[#This Row],[Wealthier_Winner]]=0,"Tie",Table1[[#This Row],[Wealthier_Winner]]=1,"Wealthier Nation Wins")</f>
        <v>Tie</v>
      </c>
    </row>
    <row r="1831" spans="1:17" x14ac:dyDescent="0.2">
      <c r="A1831" s="1">
        <v>3213</v>
      </c>
      <c r="B1831" s="2">
        <v>35589</v>
      </c>
      <c r="C1831" s="7">
        <f>_xlfn.FLOOR.MATH(Table1[[#This Row],[year]],10)</f>
        <v>1990</v>
      </c>
      <c r="D1831" t="s">
        <v>24</v>
      </c>
      <c r="E1831" t="s">
        <v>63</v>
      </c>
      <c r="F1831">
        <v>1</v>
      </c>
      <c r="G1831">
        <v>0</v>
      </c>
      <c r="H1831" t="s">
        <v>224</v>
      </c>
      <c r="I1831" t="s">
        <v>244</v>
      </c>
      <c r="J1831" t="s">
        <v>24</v>
      </c>
      <c r="K1831" t="b">
        <v>0</v>
      </c>
      <c r="L1831">
        <v>1997</v>
      </c>
      <c r="M1831">
        <v>39147844526</v>
      </c>
      <c r="N1831">
        <v>6891443192</v>
      </c>
      <c r="O1831" t="b">
        <v>1</v>
      </c>
      <c r="P1831">
        <v>1</v>
      </c>
      <c r="Q1831" t="str" cm="1">
        <f t="array" ref="Q1831">_xlfn.IFS(Table1[[#This Row],[Wealthier_Winner]]=-1,"Wealthier Nation Loses",Table1[[#This Row],[Wealthier_Winner]]=0,"Tie",Table1[[#This Row],[Wealthier_Winner]]=1,"Wealthier Nation Wins")</f>
        <v>Wealthier Nation Wins</v>
      </c>
    </row>
    <row r="1832" spans="1:17" x14ac:dyDescent="0.2">
      <c r="A1832" s="1">
        <v>3214</v>
      </c>
      <c r="B1832" s="2">
        <v>35589</v>
      </c>
      <c r="C1832" s="7">
        <f>_xlfn.FLOOR.MATH(Table1[[#This Row],[year]],10)</f>
        <v>1990</v>
      </c>
      <c r="D1832" t="s">
        <v>60</v>
      </c>
      <c r="E1832" t="s">
        <v>40</v>
      </c>
      <c r="F1832">
        <v>1</v>
      </c>
      <c r="G1832">
        <v>1</v>
      </c>
      <c r="H1832" t="s">
        <v>224</v>
      </c>
      <c r="I1832" t="s">
        <v>396</v>
      </c>
      <c r="J1832" t="s">
        <v>60</v>
      </c>
      <c r="K1832" t="b">
        <v>0</v>
      </c>
      <c r="L1832">
        <v>1997</v>
      </c>
      <c r="M1832">
        <v>7648380195</v>
      </c>
      <c r="N1832">
        <v>10789458432</v>
      </c>
      <c r="O1832" t="b">
        <v>0</v>
      </c>
      <c r="P1832">
        <v>0</v>
      </c>
      <c r="Q1832" t="str" cm="1">
        <f t="array" ref="Q1832">_xlfn.IFS(Table1[[#This Row],[Wealthier_Winner]]=-1,"Wealthier Nation Loses",Table1[[#This Row],[Wealthier_Winner]]=0,"Tie",Table1[[#This Row],[Wealthier_Winner]]=1,"Wealthier Nation Wins")</f>
        <v>Tie</v>
      </c>
    </row>
    <row r="1833" spans="1:17" x14ac:dyDescent="0.2">
      <c r="A1833" s="1">
        <v>3215</v>
      </c>
      <c r="B1833" s="2">
        <v>35589</v>
      </c>
      <c r="C1833" s="7">
        <f>_xlfn.FLOOR.MATH(Table1[[#This Row],[year]],10)</f>
        <v>1990</v>
      </c>
      <c r="D1833" t="s">
        <v>19</v>
      </c>
      <c r="E1833" t="s">
        <v>31</v>
      </c>
      <c r="F1833">
        <v>2</v>
      </c>
      <c r="G1833">
        <v>0</v>
      </c>
      <c r="H1833" t="s">
        <v>224</v>
      </c>
      <c r="I1833" t="s">
        <v>93</v>
      </c>
      <c r="J1833" t="s">
        <v>19</v>
      </c>
      <c r="K1833" t="b">
        <v>0</v>
      </c>
      <c r="L1833">
        <v>1997</v>
      </c>
      <c r="M1833">
        <v>292859000000</v>
      </c>
      <c r="N1833">
        <v>58147522522</v>
      </c>
      <c r="O1833" t="b">
        <v>1</v>
      </c>
      <c r="P1833">
        <v>1</v>
      </c>
      <c r="Q1833" t="str" cm="1">
        <f t="array" ref="Q1833">_xlfn.IFS(Table1[[#This Row],[Wealthier_Winner]]=-1,"Wealthier Nation Loses",Table1[[#This Row],[Wealthier_Winner]]=0,"Tie",Table1[[#This Row],[Wealthier_Winner]]=1,"Wealthier Nation Wins")</f>
        <v>Wealthier Nation Wins</v>
      </c>
    </row>
    <row r="1834" spans="1:17" x14ac:dyDescent="0.2">
      <c r="A1834" s="1">
        <v>3217</v>
      </c>
      <c r="B1834" s="2">
        <v>35589</v>
      </c>
      <c r="C1834" s="7">
        <f>_xlfn.FLOOR.MATH(Table1[[#This Row],[year]],10)</f>
        <v>1990</v>
      </c>
      <c r="D1834" t="s">
        <v>33</v>
      </c>
      <c r="E1834" t="s">
        <v>232</v>
      </c>
      <c r="F1834">
        <v>4</v>
      </c>
      <c r="G1834">
        <v>0</v>
      </c>
      <c r="H1834" t="s">
        <v>224</v>
      </c>
      <c r="I1834" t="s">
        <v>570</v>
      </c>
      <c r="J1834" t="s">
        <v>33</v>
      </c>
      <c r="K1834" t="b">
        <v>0</v>
      </c>
      <c r="L1834">
        <v>1997</v>
      </c>
      <c r="M1834">
        <v>11316127378</v>
      </c>
      <c r="N1834">
        <v>19563836265</v>
      </c>
      <c r="O1834" t="b">
        <v>0</v>
      </c>
      <c r="P1834">
        <v>-1</v>
      </c>
      <c r="Q1834" t="str" cm="1">
        <f t="array" ref="Q1834">_xlfn.IFS(Table1[[#This Row],[Wealthier_Winner]]=-1,"Wealthier Nation Loses",Table1[[#This Row],[Wealthier_Winner]]=0,"Tie",Table1[[#This Row],[Wealthier_Winner]]=1,"Wealthier Nation Wins")</f>
        <v>Wealthier Nation Loses</v>
      </c>
    </row>
    <row r="1835" spans="1:17" x14ac:dyDescent="0.2">
      <c r="A1835" s="1">
        <v>3220</v>
      </c>
      <c r="B1835" s="2">
        <v>35589</v>
      </c>
      <c r="C1835" s="7">
        <f>_xlfn.FLOOR.MATH(Table1[[#This Row],[year]],10)</f>
        <v>1990</v>
      </c>
      <c r="D1835" t="s">
        <v>36</v>
      </c>
      <c r="E1835" t="s">
        <v>73</v>
      </c>
      <c r="F1835">
        <v>2</v>
      </c>
      <c r="G1835">
        <v>0</v>
      </c>
      <c r="H1835" t="s">
        <v>224</v>
      </c>
      <c r="I1835" t="s">
        <v>264</v>
      </c>
      <c r="J1835" t="s">
        <v>36</v>
      </c>
      <c r="K1835" t="b">
        <v>0</v>
      </c>
      <c r="L1835">
        <v>1997</v>
      </c>
      <c r="M1835">
        <v>173241365735</v>
      </c>
      <c r="N1835">
        <v>3671909673</v>
      </c>
      <c r="O1835" t="b">
        <v>1</v>
      </c>
      <c r="P1835">
        <v>1</v>
      </c>
      <c r="Q1835" t="str" cm="1">
        <f t="array" ref="Q1835">_xlfn.IFS(Table1[[#This Row],[Wealthier_Winner]]=-1,"Wealthier Nation Loses",Table1[[#This Row],[Wealthier_Winner]]=0,"Tie",Table1[[#This Row],[Wealthier_Winner]]=1,"Wealthier Nation Wins")</f>
        <v>Wealthier Nation Wins</v>
      </c>
    </row>
    <row r="1836" spans="1:17" x14ac:dyDescent="0.2">
      <c r="A1836" s="1">
        <v>3221</v>
      </c>
      <c r="B1836" s="2">
        <v>35589</v>
      </c>
      <c r="C1836" s="7">
        <f>_xlfn.FLOOR.MATH(Table1[[#This Row],[year]],10)</f>
        <v>1990</v>
      </c>
      <c r="D1836" t="s">
        <v>57</v>
      </c>
      <c r="E1836" t="s">
        <v>14</v>
      </c>
      <c r="F1836">
        <v>1</v>
      </c>
      <c r="G1836">
        <v>1</v>
      </c>
      <c r="H1836" t="s">
        <v>224</v>
      </c>
      <c r="I1836" t="s">
        <v>335</v>
      </c>
      <c r="J1836" t="s">
        <v>57</v>
      </c>
      <c r="K1836" t="b">
        <v>0</v>
      </c>
      <c r="L1836">
        <v>1997</v>
      </c>
      <c r="M1836">
        <v>28162053026</v>
      </c>
      <c r="N1836">
        <v>85741415285</v>
      </c>
      <c r="O1836" t="b">
        <v>1</v>
      </c>
      <c r="P1836">
        <v>0</v>
      </c>
      <c r="Q1836" t="str" cm="1">
        <f t="array" ref="Q1836">_xlfn.IFS(Table1[[#This Row],[Wealthier_Winner]]=-1,"Wealthier Nation Loses",Table1[[#This Row],[Wealthier_Winner]]=0,"Tie",Table1[[#This Row],[Wealthier_Winner]]=1,"Wealthier Nation Wins")</f>
        <v>Tie</v>
      </c>
    </row>
    <row r="1837" spans="1:17" x14ac:dyDescent="0.2">
      <c r="A1837" s="1">
        <v>3222</v>
      </c>
      <c r="B1837" s="2">
        <v>35589</v>
      </c>
      <c r="C1837" s="7">
        <f>_xlfn.FLOOR.MATH(Table1[[#This Row],[year]],10)</f>
        <v>1990</v>
      </c>
      <c r="D1837" t="s">
        <v>212</v>
      </c>
      <c r="E1837" t="s">
        <v>53</v>
      </c>
      <c r="F1837">
        <v>0</v>
      </c>
      <c r="G1837">
        <v>0</v>
      </c>
      <c r="H1837" t="s">
        <v>224</v>
      </c>
      <c r="I1837" t="s">
        <v>322</v>
      </c>
      <c r="J1837" t="s">
        <v>212</v>
      </c>
      <c r="K1837" t="b">
        <v>0</v>
      </c>
      <c r="L1837">
        <v>1997</v>
      </c>
      <c r="M1837">
        <v>78436578171</v>
      </c>
      <c r="N1837">
        <v>20746210353</v>
      </c>
      <c r="O1837" t="b">
        <v>1</v>
      </c>
      <c r="P1837">
        <v>0</v>
      </c>
      <c r="Q1837" t="str" cm="1">
        <f t="array" ref="Q1837">_xlfn.IFS(Table1[[#This Row],[Wealthier_Winner]]=-1,"Wealthier Nation Loses",Table1[[#This Row],[Wealthier_Winner]]=0,"Tie",Table1[[#This Row],[Wealthier_Winner]]=1,"Wealthier Nation Wins")</f>
        <v>Tie</v>
      </c>
    </row>
    <row r="1838" spans="1:17" x14ac:dyDescent="0.2">
      <c r="A1838" s="1">
        <v>3223</v>
      </c>
      <c r="B1838" s="2">
        <v>35589</v>
      </c>
      <c r="C1838" s="7">
        <f>_xlfn.FLOOR.MATH(Table1[[#This Row],[year]],10)</f>
        <v>1990</v>
      </c>
      <c r="D1838" t="s">
        <v>69</v>
      </c>
      <c r="E1838" t="s">
        <v>17</v>
      </c>
      <c r="F1838">
        <v>0</v>
      </c>
      <c r="G1838">
        <v>1</v>
      </c>
      <c r="H1838" t="s">
        <v>224</v>
      </c>
      <c r="I1838" t="s">
        <v>281</v>
      </c>
      <c r="J1838" t="s">
        <v>69</v>
      </c>
      <c r="K1838" t="b">
        <v>0</v>
      </c>
      <c r="L1838">
        <v>1997</v>
      </c>
      <c r="M1838">
        <v>10221705900</v>
      </c>
      <c r="N1838">
        <v>523449530464</v>
      </c>
      <c r="O1838" t="b">
        <v>1</v>
      </c>
      <c r="P1838">
        <v>1</v>
      </c>
      <c r="Q1838" t="str" cm="1">
        <f t="array" ref="Q1838">_xlfn.IFS(Table1[[#This Row],[Wealthier_Winner]]=-1,"Wealthier Nation Loses",Table1[[#This Row],[Wealthier_Winner]]=0,"Tie",Table1[[#This Row],[Wealthier_Winner]]=1,"Wealthier Nation Wins")</f>
        <v>Wealthier Nation Wins</v>
      </c>
    </row>
    <row r="1839" spans="1:17" x14ac:dyDescent="0.2">
      <c r="A1839" s="1">
        <v>3224</v>
      </c>
      <c r="B1839" s="2">
        <v>35589</v>
      </c>
      <c r="C1839" s="7">
        <f>_xlfn.FLOOR.MATH(Table1[[#This Row],[year]],10)</f>
        <v>1990</v>
      </c>
      <c r="D1839" t="s">
        <v>476</v>
      </c>
      <c r="E1839" t="s">
        <v>25</v>
      </c>
      <c r="F1839">
        <v>2</v>
      </c>
      <c r="G1839">
        <v>3</v>
      </c>
      <c r="H1839" t="s">
        <v>224</v>
      </c>
      <c r="I1839" t="s">
        <v>481</v>
      </c>
      <c r="J1839" t="s">
        <v>476</v>
      </c>
      <c r="K1839" t="b">
        <v>0</v>
      </c>
      <c r="L1839">
        <v>1997</v>
      </c>
      <c r="M1839">
        <v>5154420649</v>
      </c>
      <c r="N1839">
        <v>268249616890</v>
      </c>
      <c r="O1839" t="b">
        <v>1</v>
      </c>
      <c r="P1839">
        <v>1</v>
      </c>
      <c r="Q1839" t="str" cm="1">
        <f t="array" ref="Q1839">_xlfn.IFS(Table1[[#This Row],[Wealthier_Winner]]=-1,"Wealthier Nation Loses",Table1[[#This Row],[Wealthier_Winner]]=0,"Tie",Table1[[#This Row],[Wealthier_Winner]]=1,"Wealthier Nation Wins")</f>
        <v>Wealthier Nation Wins</v>
      </c>
    </row>
    <row r="1840" spans="1:17" x14ac:dyDescent="0.2">
      <c r="A1840" s="1">
        <v>3225</v>
      </c>
      <c r="B1840" s="2">
        <v>35589</v>
      </c>
      <c r="C1840" s="7">
        <f>_xlfn.FLOOR.MATH(Table1[[#This Row],[year]],10)</f>
        <v>1990</v>
      </c>
      <c r="D1840" t="s">
        <v>447</v>
      </c>
      <c r="E1840" t="s">
        <v>303</v>
      </c>
      <c r="F1840">
        <v>2</v>
      </c>
      <c r="G1840">
        <v>1</v>
      </c>
      <c r="H1840" t="s">
        <v>224</v>
      </c>
      <c r="I1840" t="s">
        <v>448</v>
      </c>
      <c r="J1840" t="s">
        <v>447</v>
      </c>
      <c r="K1840" t="b">
        <v>0</v>
      </c>
      <c r="L1840">
        <v>1997</v>
      </c>
      <c r="M1840">
        <v>933763083</v>
      </c>
      <c r="N1840">
        <v>3787023706</v>
      </c>
      <c r="O1840" t="b">
        <v>1</v>
      </c>
      <c r="P1840">
        <v>-1</v>
      </c>
      <c r="Q1840" t="str" cm="1">
        <f t="array" ref="Q1840">_xlfn.IFS(Table1[[#This Row],[Wealthier_Winner]]=-1,"Wealthier Nation Loses",Table1[[#This Row],[Wealthier_Winner]]=0,"Tie",Table1[[#This Row],[Wealthier_Winner]]=1,"Wealthier Nation Wins")</f>
        <v>Wealthier Nation Loses</v>
      </c>
    </row>
    <row r="1841" spans="1:17" x14ac:dyDescent="0.2">
      <c r="A1841" s="1">
        <v>3226</v>
      </c>
      <c r="B1841" s="2">
        <v>35589</v>
      </c>
      <c r="C1841" s="7">
        <f>_xlfn.FLOOR.MATH(Table1[[#This Row],[year]],10)</f>
        <v>1990</v>
      </c>
      <c r="D1841" t="s">
        <v>230</v>
      </c>
      <c r="E1841" t="s">
        <v>513</v>
      </c>
      <c r="F1841">
        <v>3</v>
      </c>
      <c r="G1841">
        <v>0</v>
      </c>
      <c r="H1841" t="s">
        <v>224</v>
      </c>
      <c r="I1841" t="s">
        <v>231</v>
      </c>
      <c r="J1841" t="s">
        <v>230</v>
      </c>
      <c r="K1841" t="b">
        <v>0</v>
      </c>
      <c r="L1841">
        <v>1997</v>
      </c>
      <c r="M1841">
        <v>126862902302</v>
      </c>
      <c r="N1841">
        <v>3962362387</v>
      </c>
      <c r="O1841" t="b">
        <v>1</v>
      </c>
      <c r="P1841">
        <v>1</v>
      </c>
      <c r="Q1841" t="str" cm="1">
        <f t="array" ref="Q1841">_xlfn.IFS(Table1[[#This Row],[Wealthier_Winner]]=-1,"Wealthier Nation Loses",Table1[[#This Row],[Wealthier_Winner]]=0,"Tie",Table1[[#This Row],[Wealthier_Winner]]=1,"Wealthier Nation Wins")</f>
        <v>Wealthier Nation Wins</v>
      </c>
    </row>
    <row r="1842" spans="1:17" x14ac:dyDescent="0.2">
      <c r="A1842" s="1">
        <v>3227</v>
      </c>
      <c r="B1842" s="2">
        <v>35589</v>
      </c>
      <c r="C1842" s="7">
        <f>_xlfn.FLOOR.MATH(Table1[[#This Row],[year]],10)</f>
        <v>1990</v>
      </c>
      <c r="D1842" t="s">
        <v>305</v>
      </c>
      <c r="E1842" t="s">
        <v>345</v>
      </c>
      <c r="F1842">
        <v>3</v>
      </c>
      <c r="G1842">
        <v>1</v>
      </c>
      <c r="H1842" t="s">
        <v>224</v>
      </c>
      <c r="I1842" t="s">
        <v>306</v>
      </c>
      <c r="J1842" t="s">
        <v>305</v>
      </c>
      <c r="K1842" t="b">
        <v>0</v>
      </c>
      <c r="L1842">
        <v>1997</v>
      </c>
      <c r="M1842">
        <v>5516916163</v>
      </c>
      <c r="N1842">
        <v>2447669101</v>
      </c>
      <c r="O1842" t="b">
        <v>1</v>
      </c>
      <c r="P1842">
        <v>1</v>
      </c>
      <c r="Q1842" t="str" cm="1">
        <f t="array" ref="Q1842">_xlfn.IFS(Table1[[#This Row],[Wealthier_Winner]]=-1,"Wealthier Nation Loses",Table1[[#This Row],[Wealthier_Winner]]=0,"Tie",Table1[[#This Row],[Wealthier_Winner]]=1,"Wealthier Nation Wins")</f>
        <v>Wealthier Nation Wins</v>
      </c>
    </row>
    <row r="1843" spans="1:17" x14ac:dyDescent="0.2">
      <c r="A1843" s="1">
        <v>3228</v>
      </c>
      <c r="B1843" s="2">
        <v>35589</v>
      </c>
      <c r="C1843" s="7">
        <f>_xlfn.FLOOR.MATH(Table1[[#This Row],[year]],10)</f>
        <v>1990</v>
      </c>
      <c r="D1843" t="s">
        <v>30</v>
      </c>
      <c r="E1843" t="s">
        <v>42</v>
      </c>
      <c r="F1843">
        <v>1</v>
      </c>
      <c r="G1843">
        <v>1</v>
      </c>
      <c r="H1843" t="s">
        <v>224</v>
      </c>
      <c r="I1843" t="s">
        <v>297</v>
      </c>
      <c r="J1843" t="s">
        <v>30</v>
      </c>
      <c r="K1843" t="b">
        <v>0</v>
      </c>
      <c r="L1843">
        <v>1997</v>
      </c>
      <c r="M1843">
        <v>47398564799</v>
      </c>
      <c r="N1843">
        <v>161356631888</v>
      </c>
      <c r="O1843" t="b">
        <v>1</v>
      </c>
      <c r="P1843">
        <v>0</v>
      </c>
      <c r="Q1843" t="str" cm="1">
        <f t="array" ref="Q1843">_xlfn.IFS(Table1[[#This Row],[Wealthier_Winner]]=-1,"Wealthier Nation Loses",Table1[[#This Row],[Wealthier_Winner]]=0,"Tie",Table1[[#This Row],[Wealthier_Winner]]=1,"Wealthier Nation Wins")</f>
        <v>Tie</v>
      </c>
    </row>
    <row r="1844" spans="1:17" x14ac:dyDescent="0.2">
      <c r="A1844" s="1">
        <v>3229</v>
      </c>
      <c r="B1844" s="2">
        <v>35589</v>
      </c>
      <c r="C1844" s="7">
        <f>_xlfn.FLOOR.MATH(Table1[[#This Row],[year]],10)</f>
        <v>1990</v>
      </c>
      <c r="D1844" t="s">
        <v>525</v>
      </c>
      <c r="E1844" t="s">
        <v>29</v>
      </c>
      <c r="F1844">
        <v>1</v>
      </c>
      <c r="G1844">
        <v>3</v>
      </c>
      <c r="H1844" t="s">
        <v>224</v>
      </c>
      <c r="I1844" t="s">
        <v>526</v>
      </c>
      <c r="J1844" t="s">
        <v>525</v>
      </c>
      <c r="K1844" t="b">
        <v>0</v>
      </c>
      <c r="L1844">
        <v>1997</v>
      </c>
      <c r="M1844">
        <v>6349481006</v>
      </c>
      <c r="N1844">
        <v>211724812267</v>
      </c>
      <c r="O1844" t="b">
        <v>1</v>
      </c>
      <c r="P1844">
        <v>1</v>
      </c>
      <c r="Q1844" t="str" cm="1">
        <f t="array" ref="Q1844">_xlfn.IFS(Table1[[#This Row],[Wealthier_Winner]]=-1,"Wealthier Nation Loses",Table1[[#This Row],[Wealthier_Winner]]=0,"Tie",Table1[[#This Row],[Wealthier_Winner]]=1,"Wealthier Nation Wins")</f>
        <v>Wealthier Nation Wins</v>
      </c>
    </row>
    <row r="1845" spans="1:17" x14ac:dyDescent="0.2">
      <c r="A1845" s="1">
        <v>3230</v>
      </c>
      <c r="B1845" s="2">
        <v>35589</v>
      </c>
      <c r="C1845" s="7">
        <f>_xlfn.FLOOR.MATH(Table1[[#This Row],[year]],10)</f>
        <v>1990</v>
      </c>
      <c r="D1845" t="s">
        <v>378</v>
      </c>
      <c r="E1845" t="s">
        <v>462</v>
      </c>
      <c r="F1845">
        <v>1</v>
      </c>
      <c r="G1845">
        <v>2</v>
      </c>
      <c r="H1845" t="s">
        <v>224</v>
      </c>
      <c r="I1845" t="s">
        <v>379</v>
      </c>
      <c r="J1845" t="s">
        <v>378</v>
      </c>
      <c r="K1845" t="b">
        <v>0</v>
      </c>
      <c r="L1845">
        <v>1997</v>
      </c>
      <c r="M1845">
        <v>295900000</v>
      </c>
      <c r="N1845">
        <v>4154989950</v>
      </c>
      <c r="O1845" t="b">
        <v>1</v>
      </c>
      <c r="P1845">
        <v>1</v>
      </c>
      <c r="Q1845" t="str" cm="1">
        <f t="array" ref="Q1845">_xlfn.IFS(Table1[[#This Row],[Wealthier_Winner]]=-1,"Wealthier Nation Loses",Table1[[#This Row],[Wealthier_Winner]]=0,"Tie",Table1[[#This Row],[Wealthier_Winner]]=1,"Wealthier Nation Wins")</f>
        <v>Wealthier Nation Wins</v>
      </c>
    </row>
    <row r="1846" spans="1:17" x14ac:dyDescent="0.2">
      <c r="A1846" s="1">
        <v>3231</v>
      </c>
      <c r="B1846" s="2">
        <v>35589</v>
      </c>
      <c r="C1846" s="7">
        <f>_xlfn.FLOOR.MATH(Table1[[#This Row],[year]],10)</f>
        <v>1990</v>
      </c>
      <c r="D1846" t="s">
        <v>196</v>
      </c>
      <c r="E1846" t="s">
        <v>22</v>
      </c>
      <c r="F1846">
        <v>2</v>
      </c>
      <c r="G1846">
        <v>0</v>
      </c>
      <c r="H1846" t="s">
        <v>224</v>
      </c>
      <c r="I1846" t="s">
        <v>180</v>
      </c>
      <c r="J1846" t="s">
        <v>196</v>
      </c>
      <c r="K1846" t="b">
        <v>0</v>
      </c>
      <c r="L1846">
        <v>1997</v>
      </c>
      <c r="M1846">
        <v>404928954191</v>
      </c>
      <c r="N1846">
        <v>119459826346</v>
      </c>
      <c r="O1846" t="b">
        <v>1</v>
      </c>
      <c r="P1846">
        <v>1</v>
      </c>
      <c r="Q1846" t="str" cm="1">
        <f t="array" ref="Q1846">_xlfn.IFS(Table1[[#This Row],[Wealthier_Winner]]=-1,"Wealthier Nation Loses",Table1[[#This Row],[Wealthier_Winner]]=0,"Tie",Table1[[#This Row],[Wealthier_Winner]]=1,"Wealthier Nation Wins")</f>
        <v>Wealthier Nation Wins</v>
      </c>
    </row>
    <row r="1847" spans="1:17" x14ac:dyDescent="0.2">
      <c r="A1847" s="1">
        <v>3233</v>
      </c>
      <c r="B1847" s="2">
        <v>35589</v>
      </c>
      <c r="C1847" s="7">
        <f>_xlfn.FLOOR.MATH(Table1[[#This Row],[year]],10)</f>
        <v>1990</v>
      </c>
      <c r="D1847" t="s">
        <v>50</v>
      </c>
      <c r="E1847" t="s">
        <v>273</v>
      </c>
      <c r="F1847">
        <v>3</v>
      </c>
      <c r="G1847">
        <v>0</v>
      </c>
      <c r="H1847" t="s">
        <v>224</v>
      </c>
      <c r="I1847" t="s">
        <v>160</v>
      </c>
      <c r="J1847" t="s">
        <v>50</v>
      </c>
      <c r="K1847" t="b">
        <v>0</v>
      </c>
      <c r="L1847">
        <v>1997</v>
      </c>
      <c r="M1847">
        <v>168978057327</v>
      </c>
      <c r="N1847">
        <v>4303288479</v>
      </c>
      <c r="O1847" t="b">
        <v>1</v>
      </c>
      <c r="P1847">
        <v>1</v>
      </c>
      <c r="Q1847" t="str" cm="1">
        <f t="array" ref="Q1847">_xlfn.IFS(Table1[[#This Row],[Wealthier_Winner]]=-1,"Wealthier Nation Loses",Table1[[#This Row],[Wealthier_Winner]]=0,"Tie",Table1[[#This Row],[Wealthier_Winner]]=1,"Wealthier Nation Wins")</f>
        <v>Wealthier Nation Wins</v>
      </c>
    </row>
    <row r="1848" spans="1:17" x14ac:dyDescent="0.2">
      <c r="A1848" s="1">
        <v>3235</v>
      </c>
      <c r="B1848" s="2">
        <v>35589</v>
      </c>
      <c r="C1848" s="7">
        <f>_xlfn.FLOOR.MATH(Table1[[#This Row],[year]],10)</f>
        <v>1990</v>
      </c>
      <c r="D1848" t="s">
        <v>62</v>
      </c>
      <c r="E1848" t="s">
        <v>298</v>
      </c>
      <c r="F1848">
        <v>2</v>
      </c>
      <c r="G1848">
        <v>1</v>
      </c>
      <c r="H1848" t="s">
        <v>224</v>
      </c>
      <c r="I1848" t="s">
        <v>353</v>
      </c>
      <c r="J1848" t="s">
        <v>62</v>
      </c>
      <c r="K1848" t="b">
        <v>0</v>
      </c>
      <c r="L1848">
        <v>1997</v>
      </c>
      <c r="M1848">
        <v>2116818622</v>
      </c>
      <c r="N1848">
        <v>8534000000</v>
      </c>
      <c r="O1848" t="b">
        <v>1</v>
      </c>
      <c r="P1848">
        <v>-1</v>
      </c>
      <c r="Q1848" t="str" cm="1">
        <f t="array" ref="Q1848">_xlfn.IFS(Table1[[#This Row],[Wealthier_Winner]]=-1,"Wealthier Nation Loses",Table1[[#This Row],[Wealthier_Winner]]=0,"Tie",Table1[[#This Row],[Wealthier_Winner]]=1,"Wealthier Nation Wins")</f>
        <v>Wealthier Nation Loses</v>
      </c>
    </row>
    <row r="1849" spans="1:17" x14ac:dyDescent="0.2">
      <c r="A1849" s="1">
        <v>3236</v>
      </c>
      <c r="B1849" s="2">
        <v>35589</v>
      </c>
      <c r="C1849" s="7">
        <f>_xlfn.FLOOR.MATH(Table1[[#This Row],[year]],10)</f>
        <v>1990</v>
      </c>
      <c r="D1849" t="s">
        <v>26</v>
      </c>
      <c r="E1849" t="s">
        <v>15</v>
      </c>
      <c r="F1849">
        <v>1</v>
      </c>
      <c r="G1849">
        <v>1</v>
      </c>
      <c r="H1849" t="s">
        <v>224</v>
      </c>
      <c r="I1849" t="s">
        <v>247</v>
      </c>
      <c r="J1849" t="s">
        <v>26</v>
      </c>
      <c r="K1849" t="b">
        <v>0</v>
      </c>
      <c r="L1849">
        <v>1997</v>
      </c>
      <c r="M1849">
        <v>23969739233</v>
      </c>
      <c r="N1849">
        <v>106659508271</v>
      </c>
      <c r="O1849" t="b">
        <v>1</v>
      </c>
      <c r="P1849">
        <v>0</v>
      </c>
      <c r="Q1849" t="str" cm="1">
        <f t="array" ref="Q1849">_xlfn.IFS(Table1[[#This Row],[Wealthier_Winner]]=-1,"Wealthier Nation Loses",Table1[[#This Row],[Wealthier_Winner]]=0,"Tie",Table1[[#This Row],[Wealthier_Winner]]=1,"Wealthier Nation Wins")</f>
        <v>Tie</v>
      </c>
    </row>
    <row r="1850" spans="1:17" x14ac:dyDescent="0.2">
      <c r="A1850" s="1">
        <v>3237</v>
      </c>
      <c r="B1850" s="2">
        <v>35589</v>
      </c>
      <c r="C1850" s="7">
        <f>_xlfn.FLOOR.MATH(Table1[[#This Row],[year]],10)</f>
        <v>1990</v>
      </c>
      <c r="D1850" t="s">
        <v>258</v>
      </c>
      <c r="E1850" t="s">
        <v>47</v>
      </c>
      <c r="F1850">
        <v>1</v>
      </c>
      <c r="G1850">
        <v>1</v>
      </c>
      <c r="H1850" t="s">
        <v>224</v>
      </c>
      <c r="I1850" t="s">
        <v>571</v>
      </c>
      <c r="J1850" t="s">
        <v>258</v>
      </c>
      <c r="K1850" t="b">
        <v>0</v>
      </c>
      <c r="L1850">
        <v>1997</v>
      </c>
      <c r="M1850">
        <v>85837678559</v>
      </c>
      <c r="N1850">
        <v>7925736821</v>
      </c>
      <c r="O1850" t="b">
        <v>1</v>
      </c>
      <c r="P1850">
        <v>0</v>
      </c>
      <c r="Q1850" t="str" cm="1">
        <f t="array" ref="Q1850">_xlfn.IFS(Table1[[#This Row],[Wealthier_Winner]]=-1,"Wealthier Nation Loses",Table1[[#This Row],[Wealthier_Winner]]=0,"Tie",Table1[[#This Row],[Wealthier_Winner]]=1,"Wealthier Nation Wins")</f>
        <v>Tie</v>
      </c>
    </row>
    <row r="1851" spans="1:17" x14ac:dyDescent="0.2">
      <c r="A1851" s="1">
        <v>3238</v>
      </c>
      <c r="B1851" s="2">
        <v>35589</v>
      </c>
      <c r="C1851" s="7">
        <f>_xlfn.FLOOR.MATH(Table1[[#This Row],[year]],10)</f>
        <v>1990</v>
      </c>
      <c r="D1851" t="s">
        <v>475</v>
      </c>
      <c r="E1851" t="s">
        <v>560</v>
      </c>
      <c r="F1851">
        <v>0</v>
      </c>
      <c r="G1851">
        <v>4</v>
      </c>
      <c r="H1851" t="s">
        <v>224</v>
      </c>
      <c r="I1851" t="s">
        <v>566</v>
      </c>
      <c r="J1851" t="s">
        <v>475</v>
      </c>
      <c r="K1851" t="b">
        <v>0</v>
      </c>
      <c r="L1851">
        <v>1997</v>
      </c>
      <c r="M1851">
        <v>26843700441</v>
      </c>
      <c r="N1851">
        <v>2450350625</v>
      </c>
      <c r="O1851" t="b">
        <v>1</v>
      </c>
      <c r="P1851">
        <v>-1</v>
      </c>
      <c r="Q1851" t="str" cm="1">
        <f t="array" ref="Q1851">_xlfn.IFS(Table1[[#This Row],[Wealthier_Winner]]=-1,"Wealthier Nation Loses",Table1[[#This Row],[Wealthier_Winner]]=0,"Tie",Table1[[#This Row],[Wealthier_Winner]]=1,"Wealthier Nation Wins")</f>
        <v>Wealthier Nation Loses</v>
      </c>
    </row>
    <row r="1852" spans="1:17" x14ac:dyDescent="0.2">
      <c r="A1852" s="1">
        <v>3240</v>
      </c>
      <c r="B1852" s="2">
        <v>35590</v>
      </c>
      <c r="C1852" s="7">
        <f>_xlfn.FLOOR.MATH(Table1[[#This Row],[year]],10)</f>
        <v>1990</v>
      </c>
      <c r="D1852" t="s">
        <v>567</v>
      </c>
      <c r="E1852" t="s">
        <v>331</v>
      </c>
      <c r="F1852">
        <v>0</v>
      </c>
      <c r="G1852">
        <v>12</v>
      </c>
      <c r="H1852" t="s">
        <v>224</v>
      </c>
      <c r="I1852" t="s">
        <v>332</v>
      </c>
      <c r="J1852" t="s">
        <v>210</v>
      </c>
      <c r="K1852" t="b">
        <v>1</v>
      </c>
      <c r="L1852">
        <v>1997</v>
      </c>
      <c r="M1852">
        <v>508223602</v>
      </c>
      <c r="N1852">
        <v>14505233463</v>
      </c>
      <c r="O1852" t="b">
        <v>1</v>
      </c>
      <c r="P1852">
        <v>1</v>
      </c>
      <c r="Q1852" t="str" cm="1">
        <f t="array" ref="Q1852">_xlfn.IFS(Table1[[#This Row],[Wealthier_Winner]]=-1,"Wealthier Nation Loses",Table1[[#This Row],[Wealthier_Winner]]=0,"Tie",Table1[[#This Row],[Wealthier_Winner]]=1,"Wealthier Nation Wins")</f>
        <v>Wealthier Nation Wins</v>
      </c>
    </row>
    <row r="1853" spans="1:17" x14ac:dyDescent="0.2">
      <c r="A1853" s="1">
        <v>3241</v>
      </c>
      <c r="B1853" s="2">
        <v>35592</v>
      </c>
      <c r="C1853" s="7">
        <f>_xlfn.FLOOR.MATH(Table1[[#This Row],[year]],10)</f>
        <v>1990</v>
      </c>
      <c r="D1853" t="s">
        <v>28</v>
      </c>
      <c r="E1853" t="s">
        <v>456</v>
      </c>
      <c r="F1853">
        <v>13</v>
      </c>
      <c r="G1853">
        <v>0</v>
      </c>
      <c r="H1853" t="s">
        <v>224</v>
      </c>
      <c r="I1853" t="s">
        <v>301</v>
      </c>
      <c r="J1853" t="s">
        <v>28</v>
      </c>
      <c r="K1853" t="b">
        <v>0</v>
      </c>
      <c r="L1853">
        <v>1997</v>
      </c>
      <c r="M1853">
        <v>436321902767</v>
      </c>
      <c r="N1853">
        <v>526554005</v>
      </c>
      <c r="O1853" t="b">
        <v>1</v>
      </c>
      <c r="P1853">
        <v>1</v>
      </c>
      <c r="Q1853" t="str" cm="1">
        <f t="array" ref="Q1853">_xlfn.IFS(Table1[[#This Row],[Wealthier_Winner]]=-1,"Wealthier Nation Loses",Table1[[#This Row],[Wealthier_Winner]]=0,"Tie",Table1[[#This Row],[Wealthier_Winner]]=1,"Wealthier Nation Wins")</f>
        <v>Wealthier Nation Wins</v>
      </c>
    </row>
    <row r="1854" spans="1:17" x14ac:dyDescent="0.2">
      <c r="A1854" s="1">
        <v>3242</v>
      </c>
      <c r="B1854" s="2">
        <v>35592</v>
      </c>
      <c r="C1854" s="7">
        <f>_xlfn.FLOOR.MATH(Table1[[#This Row],[year]],10)</f>
        <v>1990</v>
      </c>
      <c r="D1854" t="s">
        <v>66</v>
      </c>
      <c r="E1854" t="s">
        <v>523</v>
      </c>
      <c r="F1854">
        <v>0</v>
      </c>
      <c r="G1854">
        <v>0</v>
      </c>
      <c r="H1854" t="s">
        <v>224</v>
      </c>
      <c r="I1854" t="s">
        <v>336</v>
      </c>
      <c r="J1854" t="s">
        <v>66</v>
      </c>
      <c r="K1854" t="b">
        <v>0</v>
      </c>
      <c r="L1854">
        <v>1997</v>
      </c>
      <c r="M1854">
        <v>7716781803</v>
      </c>
      <c r="N1854">
        <v>10168271903</v>
      </c>
      <c r="O1854" t="b">
        <v>0</v>
      </c>
      <c r="P1854">
        <v>0</v>
      </c>
      <c r="Q1854" t="str" cm="1">
        <f t="array" ref="Q1854">_xlfn.IFS(Table1[[#This Row],[Wealthier_Winner]]=-1,"Wealthier Nation Loses",Table1[[#This Row],[Wealthier_Winner]]=0,"Tie",Table1[[#This Row],[Wealthier_Winner]]=1,"Wealthier Nation Wins")</f>
        <v>Tie</v>
      </c>
    </row>
    <row r="1855" spans="1:17" x14ac:dyDescent="0.2">
      <c r="A1855" s="1">
        <v>3243</v>
      </c>
      <c r="B1855" s="2">
        <v>35592</v>
      </c>
      <c r="C1855" s="7">
        <f>_xlfn.FLOOR.MATH(Table1[[#This Row],[year]],10)</f>
        <v>1990</v>
      </c>
      <c r="D1855" t="s">
        <v>210</v>
      </c>
      <c r="E1855" t="s">
        <v>567</v>
      </c>
      <c r="F1855">
        <v>9</v>
      </c>
      <c r="G1855">
        <v>0</v>
      </c>
      <c r="H1855" t="s">
        <v>224</v>
      </c>
      <c r="I1855" t="s">
        <v>332</v>
      </c>
      <c r="J1855" t="s">
        <v>210</v>
      </c>
      <c r="K1855" t="b">
        <v>0</v>
      </c>
      <c r="L1855">
        <v>1997</v>
      </c>
      <c r="M1855">
        <v>113919163421</v>
      </c>
      <c r="N1855">
        <v>508223602</v>
      </c>
      <c r="O1855" t="b">
        <v>1</v>
      </c>
      <c r="P1855">
        <v>1</v>
      </c>
      <c r="Q1855" t="str" cm="1">
        <f t="array" ref="Q1855">_xlfn.IFS(Table1[[#This Row],[Wealthier_Winner]]=-1,"Wealthier Nation Loses",Table1[[#This Row],[Wealthier_Winner]]=0,"Tie",Table1[[#This Row],[Wealthier_Winner]]=1,"Wealthier Nation Wins")</f>
        <v>Wealthier Nation Wins</v>
      </c>
    </row>
    <row r="1856" spans="1:17" x14ac:dyDescent="0.2">
      <c r="A1856" s="1">
        <v>3245</v>
      </c>
      <c r="B1856" s="2">
        <v>35592</v>
      </c>
      <c r="C1856" s="7">
        <f>_xlfn.FLOOR.MATH(Table1[[#This Row],[year]],10)</f>
        <v>1990</v>
      </c>
      <c r="D1856" t="s">
        <v>72</v>
      </c>
      <c r="E1856" t="s">
        <v>530</v>
      </c>
      <c r="F1856">
        <v>7</v>
      </c>
      <c r="G1856">
        <v>0</v>
      </c>
      <c r="H1856" t="s">
        <v>224</v>
      </c>
      <c r="I1856" t="s">
        <v>327</v>
      </c>
      <c r="J1856" t="s">
        <v>72</v>
      </c>
      <c r="K1856" t="b">
        <v>0</v>
      </c>
      <c r="L1856">
        <v>1997</v>
      </c>
      <c r="M1856">
        <v>66075143415</v>
      </c>
      <c r="N1856">
        <v>4936615298</v>
      </c>
      <c r="O1856" t="b">
        <v>1</v>
      </c>
      <c r="P1856">
        <v>1</v>
      </c>
      <c r="Q1856" t="str" cm="1">
        <f t="array" ref="Q1856">_xlfn.IFS(Table1[[#This Row],[Wealthier_Winner]]=-1,"Wealthier Nation Loses",Table1[[#This Row],[Wealthier_Winner]]=0,"Tie",Table1[[#This Row],[Wealthier_Winner]]=1,"Wealthier Nation Wins")</f>
        <v>Wealthier Nation Wins</v>
      </c>
    </row>
    <row r="1857" spans="1:17" x14ac:dyDescent="0.2">
      <c r="A1857" s="1">
        <v>3246</v>
      </c>
      <c r="B1857" s="2">
        <v>35592</v>
      </c>
      <c r="C1857" s="7">
        <f>_xlfn.FLOOR.MATH(Table1[[#This Row],[year]],10)</f>
        <v>1990</v>
      </c>
      <c r="D1857" t="s">
        <v>431</v>
      </c>
      <c r="E1857" t="s">
        <v>558</v>
      </c>
      <c r="F1857">
        <v>0</v>
      </c>
      <c r="G1857">
        <v>7</v>
      </c>
      <c r="H1857" t="s">
        <v>224</v>
      </c>
      <c r="I1857" t="s">
        <v>562</v>
      </c>
      <c r="J1857" t="s">
        <v>431</v>
      </c>
      <c r="K1857" t="b">
        <v>0</v>
      </c>
      <c r="L1857">
        <v>1997</v>
      </c>
      <c r="M1857">
        <v>62433340468</v>
      </c>
      <c r="N1857">
        <v>22165932062</v>
      </c>
      <c r="O1857" t="b">
        <v>1</v>
      </c>
      <c r="P1857">
        <v>-1</v>
      </c>
      <c r="Q1857" t="str" cm="1">
        <f t="array" ref="Q1857">_xlfn.IFS(Table1[[#This Row],[Wealthier_Winner]]=-1,"Wealthier Nation Loses",Table1[[#This Row],[Wealthier_Winner]]=0,"Tie",Table1[[#This Row],[Wealthier_Winner]]=1,"Wealthier Nation Wins")</f>
        <v>Wealthier Nation Loses</v>
      </c>
    </row>
    <row r="1858" spans="1:17" x14ac:dyDescent="0.2">
      <c r="A1858" s="1">
        <v>3248</v>
      </c>
      <c r="B1858" s="2">
        <v>35594</v>
      </c>
      <c r="C1858" s="7">
        <f>_xlfn.FLOOR.MATH(Table1[[#This Row],[year]],10)</f>
        <v>1990</v>
      </c>
      <c r="D1858" t="s">
        <v>210</v>
      </c>
      <c r="E1858" t="s">
        <v>331</v>
      </c>
      <c r="F1858">
        <v>2</v>
      </c>
      <c r="G1858">
        <v>2</v>
      </c>
      <c r="H1858" t="s">
        <v>224</v>
      </c>
      <c r="I1858" t="s">
        <v>332</v>
      </c>
      <c r="J1858" t="s">
        <v>210</v>
      </c>
      <c r="K1858" t="b">
        <v>0</v>
      </c>
      <c r="L1858">
        <v>1997</v>
      </c>
      <c r="M1858">
        <v>113919163421</v>
      </c>
      <c r="N1858">
        <v>14505233463</v>
      </c>
      <c r="O1858" t="b">
        <v>1</v>
      </c>
      <c r="P1858">
        <v>0</v>
      </c>
      <c r="Q1858" t="str" cm="1">
        <f t="array" ref="Q1858">_xlfn.IFS(Table1[[#This Row],[Wealthier_Winner]]=-1,"Wealthier Nation Loses",Table1[[#This Row],[Wealthier_Winner]]=0,"Tie",Table1[[#This Row],[Wealthier_Winner]]=1,"Wealthier Nation Wins")</f>
        <v>Tie</v>
      </c>
    </row>
    <row r="1859" spans="1:17" x14ac:dyDescent="0.2">
      <c r="A1859" s="1">
        <v>3251</v>
      </c>
      <c r="B1859" s="2">
        <v>35595</v>
      </c>
      <c r="C1859" s="7">
        <f>_xlfn.FLOOR.MATH(Table1[[#This Row],[year]],10)</f>
        <v>1990</v>
      </c>
      <c r="D1859" t="s">
        <v>58</v>
      </c>
      <c r="E1859" t="s">
        <v>534</v>
      </c>
      <c r="F1859">
        <v>4</v>
      </c>
      <c r="G1859">
        <v>1</v>
      </c>
      <c r="H1859" t="s">
        <v>224</v>
      </c>
      <c r="I1859" t="s">
        <v>539</v>
      </c>
      <c r="J1859" t="s">
        <v>58</v>
      </c>
      <c r="K1859" t="b">
        <v>0</v>
      </c>
      <c r="L1859">
        <v>1997</v>
      </c>
      <c r="M1859">
        <v>159893964916</v>
      </c>
      <c r="N1859">
        <v>3510520231</v>
      </c>
      <c r="O1859" t="b">
        <v>1</v>
      </c>
      <c r="P1859">
        <v>1</v>
      </c>
      <c r="Q1859" t="str" cm="1">
        <f t="array" ref="Q1859">_xlfn.IFS(Table1[[#This Row],[Wealthier_Winner]]=-1,"Wealthier Nation Loses",Table1[[#This Row],[Wealthier_Winner]]=0,"Tie",Table1[[#This Row],[Wealthier_Winner]]=1,"Wealthier Nation Wins")</f>
        <v>Wealthier Nation Wins</v>
      </c>
    </row>
    <row r="1860" spans="1:17" x14ac:dyDescent="0.2">
      <c r="A1860" s="1">
        <v>3252</v>
      </c>
      <c r="B1860" s="2">
        <v>35596</v>
      </c>
      <c r="C1860" s="7">
        <f>_xlfn.FLOOR.MATH(Table1[[#This Row],[year]],10)</f>
        <v>1990</v>
      </c>
      <c r="D1860" t="s">
        <v>384</v>
      </c>
      <c r="E1860" t="s">
        <v>530</v>
      </c>
      <c r="F1860">
        <v>3</v>
      </c>
      <c r="G1860">
        <v>1</v>
      </c>
      <c r="H1860" t="s">
        <v>224</v>
      </c>
      <c r="I1860" t="s">
        <v>385</v>
      </c>
      <c r="J1860" t="s">
        <v>384</v>
      </c>
      <c r="K1860" t="b">
        <v>0</v>
      </c>
      <c r="L1860">
        <v>1997</v>
      </c>
      <c r="M1860">
        <v>2090221137</v>
      </c>
      <c r="N1860">
        <v>4936615298</v>
      </c>
      <c r="O1860" t="b">
        <v>1</v>
      </c>
      <c r="P1860">
        <v>-1</v>
      </c>
      <c r="Q1860" t="str" cm="1">
        <f t="array" ref="Q1860">_xlfn.IFS(Table1[[#This Row],[Wealthier_Winner]]=-1,"Wealthier Nation Loses",Table1[[#This Row],[Wealthier_Winner]]=0,"Tie",Table1[[#This Row],[Wealthier_Winner]]=1,"Wealthier Nation Wins")</f>
        <v>Wealthier Nation Loses</v>
      </c>
    </row>
    <row r="1861" spans="1:17" x14ac:dyDescent="0.2">
      <c r="A1861" s="1">
        <v>3254</v>
      </c>
      <c r="B1861" s="2">
        <v>35598</v>
      </c>
      <c r="C1861" s="7">
        <f>_xlfn.FLOOR.MATH(Table1[[#This Row],[year]],10)</f>
        <v>1990</v>
      </c>
      <c r="D1861" t="s">
        <v>28</v>
      </c>
      <c r="E1861" t="s">
        <v>456</v>
      </c>
      <c r="F1861">
        <v>6</v>
      </c>
      <c r="G1861">
        <v>2</v>
      </c>
      <c r="H1861" t="s">
        <v>224</v>
      </c>
      <c r="I1861" t="s">
        <v>301</v>
      </c>
      <c r="J1861" t="s">
        <v>28</v>
      </c>
      <c r="K1861" t="b">
        <v>0</v>
      </c>
      <c r="L1861">
        <v>1997</v>
      </c>
      <c r="M1861">
        <v>436321902767</v>
      </c>
      <c r="N1861">
        <v>526554005</v>
      </c>
      <c r="O1861" t="b">
        <v>1</v>
      </c>
      <c r="P1861">
        <v>1</v>
      </c>
      <c r="Q1861" t="str" cm="1">
        <f t="array" ref="Q1861">_xlfn.IFS(Table1[[#This Row],[Wealthier_Winner]]=-1,"Wealthier Nation Loses",Table1[[#This Row],[Wealthier_Winner]]=0,"Tie",Table1[[#This Row],[Wealthier_Winner]]=1,"Wealthier Nation Wins")</f>
        <v>Wealthier Nation Wins</v>
      </c>
    </row>
    <row r="1862" spans="1:17" x14ac:dyDescent="0.2">
      <c r="A1862" s="1">
        <v>3255</v>
      </c>
      <c r="B1862" s="2">
        <v>35599</v>
      </c>
      <c r="C1862" s="7">
        <f>_xlfn.FLOOR.MATH(Table1[[#This Row],[year]],10)</f>
        <v>1990</v>
      </c>
      <c r="D1862" t="s">
        <v>72</v>
      </c>
      <c r="E1862" t="s">
        <v>384</v>
      </c>
      <c r="F1862">
        <v>5</v>
      </c>
      <c r="G1862">
        <v>0</v>
      </c>
      <c r="H1862" t="s">
        <v>224</v>
      </c>
      <c r="I1862" t="s">
        <v>327</v>
      </c>
      <c r="J1862" t="s">
        <v>72</v>
      </c>
      <c r="K1862" t="b">
        <v>0</v>
      </c>
      <c r="L1862">
        <v>1997</v>
      </c>
      <c r="M1862">
        <v>66075143415</v>
      </c>
      <c r="N1862">
        <v>2090221137</v>
      </c>
      <c r="O1862" t="b">
        <v>1</v>
      </c>
      <c r="P1862">
        <v>1</v>
      </c>
      <c r="Q1862" t="str" cm="1">
        <f t="array" ref="Q1862">_xlfn.IFS(Table1[[#This Row],[Wealthier_Winner]]=-1,"Wealthier Nation Loses",Table1[[#This Row],[Wealthier_Winner]]=0,"Tie",Table1[[#This Row],[Wealthier_Winner]]=1,"Wealthier Nation Wins")</f>
        <v>Wealthier Nation Wins</v>
      </c>
    </row>
    <row r="1863" spans="1:17" x14ac:dyDescent="0.2">
      <c r="A1863" s="1">
        <v>3257</v>
      </c>
      <c r="B1863" s="2">
        <v>35601</v>
      </c>
      <c r="C1863" s="7">
        <f>_xlfn.FLOOR.MATH(Table1[[#This Row],[year]],10)</f>
        <v>1990</v>
      </c>
      <c r="D1863" t="s">
        <v>37</v>
      </c>
      <c r="E1863" t="s">
        <v>431</v>
      </c>
      <c r="F1863">
        <v>6</v>
      </c>
      <c r="G1863">
        <v>1</v>
      </c>
      <c r="H1863" t="s">
        <v>224</v>
      </c>
      <c r="I1863" t="s">
        <v>437</v>
      </c>
      <c r="J1863" t="s">
        <v>37</v>
      </c>
      <c r="K1863" t="b">
        <v>0</v>
      </c>
      <c r="L1863">
        <v>1997</v>
      </c>
      <c r="M1863">
        <v>20764857056</v>
      </c>
      <c r="N1863">
        <v>62433340468</v>
      </c>
      <c r="O1863" t="b">
        <v>1</v>
      </c>
      <c r="P1863">
        <v>-1</v>
      </c>
      <c r="Q1863" t="str" cm="1">
        <f t="array" ref="Q1863">_xlfn.IFS(Table1[[#This Row],[Wealthier_Winner]]=-1,"Wealthier Nation Loses",Table1[[#This Row],[Wealthier_Winner]]=0,"Tie",Table1[[#This Row],[Wealthier_Winner]]=1,"Wealthier Nation Wins")</f>
        <v>Wealthier Nation Loses</v>
      </c>
    </row>
    <row r="1864" spans="1:17" x14ac:dyDescent="0.2">
      <c r="A1864" s="1">
        <v>3258</v>
      </c>
      <c r="B1864" s="2">
        <v>35601</v>
      </c>
      <c r="C1864" s="7">
        <f>_xlfn.FLOOR.MATH(Table1[[#This Row],[year]],10)</f>
        <v>1990</v>
      </c>
      <c r="D1864" t="s">
        <v>563</v>
      </c>
      <c r="E1864" t="s">
        <v>328</v>
      </c>
      <c r="F1864">
        <v>3</v>
      </c>
      <c r="G1864">
        <v>0</v>
      </c>
      <c r="H1864" t="s">
        <v>224</v>
      </c>
      <c r="I1864" t="s">
        <v>564</v>
      </c>
      <c r="J1864" t="s">
        <v>563</v>
      </c>
      <c r="K1864" t="b">
        <v>0</v>
      </c>
      <c r="L1864">
        <v>1997</v>
      </c>
      <c r="M1864">
        <v>14744603773</v>
      </c>
      <c r="N1864">
        <v>215748998609</v>
      </c>
      <c r="O1864" t="b">
        <v>1</v>
      </c>
      <c r="P1864">
        <v>-1</v>
      </c>
      <c r="Q1864" t="str" cm="1">
        <f t="array" ref="Q1864">_xlfn.IFS(Table1[[#This Row],[Wealthier_Winner]]=-1,"Wealthier Nation Loses",Table1[[#This Row],[Wealthier_Winner]]=0,"Tie",Table1[[#This Row],[Wealthier_Winner]]=1,"Wealthier Nation Wins")</f>
        <v>Wealthier Nation Loses</v>
      </c>
    </row>
    <row r="1865" spans="1:17" x14ac:dyDescent="0.2">
      <c r="A1865" s="1">
        <v>3259</v>
      </c>
      <c r="B1865" s="2">
        <v>35602</v>
      </c>
      <c r="C1865" s="7">
        <f>_xlfn.FLOOR.MATH(Table1[[#This Row],[year]],10)</f>
        <v>1990</v>
      </c>
      <c r="D1865" t="s">
        <v>530</v>
      </c>
      <c r="E1865" t="s">
        <v>384</v>
      </c>
      <c r="F1865">
        <v>0</v>
      </c>
      <c r="G1865">
        <v>1</v>
      </c>
      <c r="H1865" t="s">
        <v>224</v>
      </c>
      <c r="I1865" t="s">
        <v>565</v>
      </c>
      <c r="J1865" t="s">
        <v>530</v>
      </c>
      <c r="K1865" t="b">
        <v>0</v>
      </c>
      <c r="L1865">
        <v>1997</v>
      </c>
      <c r="M1865">
        <v>4936615298</v>
      </c>
      <c r="N1865">
        <v>2090221137</v>
      </c>
      <c r="O1865" t="b">
        <v>1</v>
      </c>
      <c r="P1865">
        <v>-1</v>
      </c>
      <c r="Q1865" t="str" cm="1">
        <f t="array" ref="Q1865">_xlfn.IFS(Table1[[#This Row],[Wealthier_Winner]]=-1,"Wealthier Nation Loses",Table1[[#This Row],[Wealthier_Winner]]=0,"Tie",Table1[[#This Row],[Wealthier_Winner]]=1,"Wealthier Nation Wins")</f>
        <v>Wealthier Nation Loses</v>
      </c>
    </row>
    <row r="1866" spans="1:17" x14ac:dyDescent="0.2">
      <c r="A1866" s="1">
        <v>3263</v>
      </c>
      <c r="B1866" s="2">
        <v>35603</v>
      </c>
      <c r="C1866" s="7">
        <f>_xlfn.FLOOR.MATH(Table1[[#This Row],[year]],10)</f>
        <v>1990</v>
      </c>
      <c r="D1866" t="s">
        <v>479</v>
      </c>
      <c r="E1866" t="s">
        <v>71</v>
      </c>
      <c r="F1866">
        <v>1</v>
      </c>
      <c r="G1866">
        <v>3</v>
      </c>
      <c r="H1866" t="s">
        <v>224</v>
      </c>
      <c r="I1866" t="s">
        <v>480</v>
      </c>
      <c r="J1866" t="s">
        <v>479</v>
      </c>
      <c r="K1866" t="b">
        <v>0</v>
      </c>
      <c r="L1866">
        <v>1997</v>
      </c>
      <c r="M1866">
        <v>15751867489</v>
      </c>
      <c r="N1866">
        <v>30350190704</v>
      </c>
      <c r="O1866" t="b">
        <v>0</v>
      </c>
      <c r="P1866">
        <v>1</v>
      </c>
      <c r="Q1866" t="str" cm="1">
        <f t="array" ref="Q1866">_xlfn.IFS(Table1[[#This Row],[Wealthier_Winner]]=-1,"Wealthier Nation Loses",Table1[[#This Row],[Wealthier_Winner]]=0,"Tie",Table1[[#This Row],[Wealthier_Winner]]=1,"Wealthier Nation Wins")</f>
        <v>Wealthier Nation Wins</v>
      </c>
    </row>
    <row r="1867" spans="1:17" x14ac:dyDescent="0.2">
      <c r="A1867" s="1">
        <v>3264</v>
      </c>
      <c r="B1867" s="2">
        <v>35603</v>
      </c>
      <c r="C1867" s="7">
        <f>_xlfn.FLOOR.MATH(Table1[[#This Row],[year]],10)</f>
        <v>1990</v>
      </c>
      <c r="D1867" t="s">
        <v>400</v>
      </c>
      <c r="E1867" t="s">
        <v>429</v>
      </c>
      <c r="F1867">
        <v>0</v>
      </c>
      <c r="G1867">
        <v>6</v>
      </c>
      <c r="H1867" t="s">
        <v>224</v>
      </c>
      <c r="I1867" t="s">
        <v>245</v>
      </c>
      <c r="J1867" t="s">
        <v>51</v>
      </c>
      <c r="K1867" t="b">
        <v>1</v>
      </c>
      <c r="L1867">
        <v>1997</v>
      </c>
      <c r="M1867">
        <v>4918691916</v>
      </c>
      <c r="N1867">
        <v>18039791937</v>
      </c>
      <c r="O1867" t="b">
        <v>1</v>
      </c>
      <c r="P1867">
        <v>1</v>
      </c>
      <c r="Q1867" t="str" cm="1">
        <f t="array" ref="Q1867">_xlfn.IFS(Table1[[#This Row],[Wealthier_Winner]]=-1,"Wealthier Nation Loses",Table1[[#This Row],[Wealthier_Winner]]=0,"Tie",Table1[[#This Row],[Wealthier_Winner]]=1,"Wealthier Nation Wins")</f>
        <v>Wealthier Nation Wins</v>
      </c>
    </row>
    <row r="1868" spans="1:17" x14ac:dyDescent="0.2">
      <c r="A1868" s="1">
        <v>3265</v>
      </c>
      <c r="B1868" s="2">
        <v>35603</v>
      </c>
      <c r="C1868" s="7">
        <f>_xlfn.FLOOR.MATH(Table1[[#This Row],[year]],10)</f>
        <v>1990</v>
      </c>
      <c r="D1868" t="s">
        <v>556</v>
      </c>
      <c r="E1868" t="s">
        <v>560</v>
      </c>
      <c r="F1868">
        <v>5</v>
      </c>
      <c r="G1868">
        <v>0</v>
      </c>
      <c r="H1868" t="s">
        <v>224</v>
      </c>
      <c r="I1868" t="s">
        <v>557</v>
      </c>
      <c r="J1868" t="s">
        <v>556</v>
      </c>
      <c r="K1868" t="b">
        <v>0</v>
      </c>
      <c r="L1868">
        <v>1997</v>
      </c>
      <c r="M1868">
        <v>921518032</v>
      </c>
      <c r="N1868">
        <v>2450350625</v>
      </c>
      <c r="O1868" t="b">
        <v>1</v>
      </c>
      <c r="P1868">
        <v>-1</v>
      </c>
      <c r="Q1868" t="str" cm="1">
        <f t="array" ref="Q1868">_xlfn.IFS(Table1[[#This Row],[Wealthier_Winner]]=-1,"Wealthier Nation Loses",Table1[[#This Row],[Wealthier_Winner]]=0,"Tie",Table1[[#This Row],[Wealthier_Winner]]=1,"Wealthier Nation Wins")</f>
        <v>Wealthier Nation Loses</v>
      </c>
    </row>
    <row r="1869" spans="1:17" x14ac:dyDescent="0.2">
      <c r="A1869" s="1">
        <v>3266</v>
      </c>
      <c r="B1869" s="2">
        <v>35606</v>
      </c>
      <c r="C1869" s="7">
        <f>_xlfn.FLOOR.MATH(Table1[[#This Row],[year]],10)</f>
        <v>1990</v>
      </c>
      <c r="D1869" t="s">
        <v>51</v>
      </c>
      <c r="E1869" t="s">
        <v>400</v>
      </c>
      <c r="F1869">
        <v>3</v>
      </c>
      <c r="G1869">
        <v>0</v>
      </c>
      <c r="H1869" t="s">
        <v>224</v>
      </c>
      <c r="I1869" t="s">
        <v>245</v>
      </c>
      <c r="J1869" t="s">
        <v>51</v>
      </c>
      <c r="K1869" t="b">
        <v>0</v>
      </c>
      <c r="L1869">
        <v>1997</v>
      </c>
      <c r="M1869">
        <v>4492448605638</v>
      </c>
      <c r="N1869">
        <v>4918691916</v>
      </c>
      <c r="O1869" t="b">
        <v>1</v>
      </c>
      <c r="P1869">
        <v>1</v>
      </c>
      <c r="Q1869" t="str" cm="1">
        <f t="array" ref="Q1869">_xlfn.IFS(Table1[[#This Row],[Wealthier_Winner]]=-1,"Wealthier Nation Loses",Table1[[#This Row],[Wealthier_Winner]]=0,"Tie",Table1[[#This Row],[Wealthier_Winner]]=1,"Wealthier Nation Wins")</f>
        <v>Wealthier Nation Wins</v>
      </c>
    </row>
    <row r="1870" spans="1:17" x14ac:dyDescent="0.2">
      <c r="A1870" s="1">
        <v>3268</v>
      </c>
      <c r="B1870" s="2">
        <v>35609</v>
      </c>
      <c r="C1870" s="7">
        <f>_xlfn.FLOOR.MATH(Table1[[#This Row],[year]],10)</f>
        <v>1990</v>
      </c>
      <c r="D1870" t="s">
        <v>51</v>
      </c>
      <c r="E1870" t="s">
        <v>429</v>
      </c>
      <c r="F1870">
        <v>1</v>
      </c>
      <c r="G1870">
        <v>1</v>
      </c>
      <c r="H1870" t="s">
        <v>224</v>
      </c>
      <c r="I1870" t="s">
        <v>245</v>
      </c>
      <c r="J1870" t="s">
        <v>51</v>
      </c>
      <c r="K1870" t="b">
        <v>0</v>
      </c>
      <c r="L1870">
        <v>1997</v>
      </c>
      <c r="M1870">
        <v>4492448605638</v>
      </c>
      <c r="N1870">
        <v>18039791937</v>
      </c>
      <c r="O1870" t="b">
        <v>1</v>
      </c>
      <c r="P1870">
        <v>0</v>
      </c>
      <c r="Q1870" t="str" cm="1">
        <f t="array" ref="Q1870">_xlfn.IFS(Table1[[#This Row],[Wealthier_Winner]]=-1,"Wealthier Nation Loses",Table1[[#This Row],[Wealthier_Winner]]=0,"Tie",Table1[[#This Row],[Wealthier_Winner]]=1,"Wealthier Nation Wins")</f>
        <v>Tie</v>
      </c>
    </row>
    <row r="1871" spans="1:17" x14ac:dyDescent="0.2">
      <c r="A1871" s="1">
        <v>3270</v>
      </c>
      <c r="B1871" s="2">
        <v>35609</v>
      </c>
      <c r="C1871" s="7">
        <f>_xlfn.FLOOR.MATH(Table1[[#This Row],[year]],10)</f>
        <v>1990</v>
      </c>
      <c r="D1871" t="s">
        <v>72</v>
      </c>
      <c r="E1871" t="s">
        <v>28</v>
      </c>
      <c r="F1871">
        <v>0</v>
      </c>
      <c r="G1871">
        <v>3</v>
      </c>
      <c r="H1871" t="s">
        <v>224</v>
      </c>
      <c r="I1871" t="s">
        <v>327</v>
      </c>
      <c r="J1871" t="s">
        <v>72</v>
      </c>
      <c r="K1871" t="b">
        <v>0</v>
      </c>
      <c r="L1871">
        <v>1997</v>
      </c>
      <c r="M1871">
        <v>66075143415</v>
      </c>
      <c r="N1871">
        <v>436321902767</v>
      </c>
      <c r="O1871" t="b">
        <v>1</v>
      </c>
      <c r="P1871">
        <v>1</v>
      </c>
      <c r="Q1871" t="str" cm="1">
        <f t="array" ref="Q1871">_xlfn.IFS(Table1[[#This Row],[Wealthier_Winner]]=-1,"Wealthier Nation Loses",Table1[[#This Row],[Wealthier_Winner]]=0,"Tie",Table1[[#This Row],[Wealthier_Winner]]=1,"Wealthier Nation Wins")</f>
        <v>Wealthier Nation Wins</v>
      </c>
    </row>
    <row r="1872" spans="1:17" x14ac:dyDescent="0.2">
      <c r="A1872" s="1">
        <v>3271</v>
      </c>
      <c r="B1872" s="2">
        <v>35610</v>
      </c>
      <c r="C1872" s="7">
        <f>_xlfn.FLOOR.MATH(Table1[[#This Row],[year]],10)</f>
        <v>1990</v>
      </c>
      <c r="D1872" t="s">
        <v>551</v>
      </c>
      <c r="E1872" t="s">
        <v>563</v>
      </c>
      <c r="F1872">
        <v>1</v>
      </c>
      <c r="G1872">
        <v>4</v>
      </c>
      <c r="H1872" t="s">
        <v>224</v>
      </c>
      <c r="I1872" t="s">
        <v>553</v>
      </c>
      <c r="J1872" t="s">
        <v>551</v>
      </c>
      <c r="K1872" t="b">
        <v>0</v>
      </c>
      <c r="L1872">
        <v>1997</v>
      </c>
      <c r="M1872">
        <v>3443413388</v>
      </c>
      <c r="N1872">
        <v>14744603773</v>
      </c>
      <c r="O1872" t="b">
        <v>1</v>
      </c>
      <c r="P1872">
        <v>1</v>
      </c>
      <c r="Q1872" t="str" cm="1">
        <f t="array" ref="Q1872">_xlfn.IFS(Table1[[#This Row],[Wealthier_Winner]]=-1,"Wealthier Nation Loses",Table1[[#This Row],[Wealthier_Winner]]=0,"Tie",Table1[[#This Row],[Wealthier_Winner]]=1,"Wealthier Nation Wins")</f>
        <v>Wealthier Nation Wins</v>
      </c>
    </row>
    <row r="1873" spans="1:17" x14ac:dyDescent="0.2">
      <c r="A1873" s="1">
        <v>3272</v>
      </c>
      <c r="B1873" s="2">
        <v>35610</v>
      </c>
      <c r="C1873" s="7">
        <f>_xlfn.FLOOR.MATH(Table1[[#This Row],[year]],10)</f>
        <v>1990</v>
      </c>
      <c r="D1873" t="s">
        <v>69</v>
      </c>
      <c r="E1873" t="s">
        <v>41</v>
      </c>
      <c r="F1873">
        <v>1</v>
      </c>
      <c r="G1873">
        <v>1</v>
      </c>
      <c r="H1873" t="s">
        <v>224</v>
      </c>
      <c r="I1873" t="s">
        <v>281</v>
      </c>
      <c r="J1873" t="s">
        <v>69</v>
      </c>
      <c r="K1873" t="b">
        <v>0</v>
      </c>
      <c r="L1873">
        <v>1997</v>
      </c>
      <c r="M1873">
        <v>10221705900</v>
      </c>
      <c r="N1873">
        <v>8577554457000</v>
      </c>
      <c r="O1873" t="b">
        <v>1</v>
      </c>
      <c r="P1873">
        <v>0</v>
      </c>
      <c r="Q1873" t="str" cm="1">
        <f t="array" ref="Q1873">_xlfn.IFS(Table1[[#This Row],[Wealthier_Winner]]=-1,"Wealthier Nation Loses",Table1[[#This Row],[Wealthier_Winner]]=0,"Tie",Table1[[#This Row],[Wealthier_Winner]]=1,"Wealthier Nation Wins")</f>
        <v>Tie</v>
      </c>
    </row>
    <row r="1874" spans="1:17" x14ac:dyDescent="0.2">
      <c r="A1874" s="1">
        <v>3273</v>
      </c>
      <c r="B1874" s="2">
        <v>35610</v>
      </c>
      <c r="C1874" s="7">
        <f>_xlfn.FLOOR.MATH(Table1[[#This Row],[year]],10)</f>
        <v>1990</v>
      </c>
      <c r="D1874" t="s">
        <v>558</v>
      </c>
      <c r="E1874" t="s">
        <v>37</v>
      </c>
      <c r="F1874">
        <v>3</v>
      </c>
      <c r="G1874">
        <v>1</v>
      </c>
      <c r="H1874" t="s">
        <v>224</v>
      </c>
      <c r="I1874" t="s">
        <v>559</v>
      </c>
      <c r="J1874" t="s">
        <v>558</v>
      </c>
      <c r="K1874" t="b">
        <v>0</v>
      </c>
      <c r="L1874">
        <v>1997</v>
      </c>
      <c r="M1874">
        <v>22165932062</v>
      </c>
      <c r="N1874">
        <v>20764857056</v>
      </c>
      <c r="O1874" t="b">
        <v>0</v>
      </c>
      <c r="P1874">
        <v>1</v>
      </c>
      <c r="Q1874" t="str" cm="1">
        <f t="array" ref="Q1874">_xlfn.IFS(Table1[[#This Row],[Wealthier_Winner]]=-1,"Wealthier Nation Loses",Table1[[#This Row],[Wealthier_Winner]]=0,"Tie",Table1[[#This Row],[Wealthier_Winner]]=1,"Wealthier Nation Wins")</f>
        <v>Wealthier Nation Wins</v>
      </c>
    </row>
    <row r="1875" spans="1:17" x14ac:dyDescent="0.2">
      <c r="A1875" s="1">
        <v>3274</v>
      </c>
      <c r="B1875" s="2">
        <v>35616</v>
      </c>
      <c r="C1875" s="7">
        <f>_xlfn.FLOOR.MATH(Table1[[#This Row],[year]],10)</f>
        <v>1990</v>
      </c>
      <c r="D1875" t="s">
        <v>14</v>
      </c>
      <c r="E1875" t="s">
        <v>15</v>
      </c>
      <c r="F1875">
        <v>4</v>
      </c>
      <c r="G1875">
        <v>1</v>
      </c>
      <c r="H1875" t="s">
        <v>224</v>
      </c>
      <c r="I1875" t="s">
        <v>75</v>
      </c>
      <c r="J1875" t="s">
        <v>14</v>
      </c>
      <c r="K1875" t="b">
        <v>0</v>
      </c>
      <c r="L1875">
        <v>1997</v>
      </c>
      <c r="M1875">
        <v>85741415285</v>
      </c>
      <c r="N1875">
        <v>106659508271</v>
      </c>
      <c r="O1875" t="b">
        <v>0</v>
      </c>
      <c r="P1875">
        <v>-1</v>
      </c>
      <c r="Q1875" t="str" cm="1">
        <f t="array" ref="Q1875">_xlfn.IFS(Table1[[#This Row],[Wealthier_Winner]]=-1,"Wealthier Nation Loses",Table1[[#This Row],[Wealthier_Winner]]=0,"Tie",Table1[[#This Row],[Wealthier_Winner]]=1,"Wealthier Nation Wins")</f>
        <v>Wealthier Nation Loses</v>
      </c>
    </row>
    <row r="1876" spans="1:17" x14ac:dyDescent="0.2">
      <c r="A1876" s="1">
        <v>3275</v>
      </c>
      <c r="B1876" s="2">
        <v>35617</v>
      </c>
      <c r="C1876" s="7">
        <f>_xlfn.FLOOR.MATH(Table1[[#This Row],[year]],10)</f>
        <v>1990</v>
      </c>
      <c r="D1876" t="s">
        <v>28</v>
      </c>
      <c r="E1876" t="s">
        <v>72</v>
      </c>
      <c r="F1876">
        <v>2</v>
      </c>
      <c r="G1876">
        <v>0</v>
      </c>
      <c r="H1876" t="s">
        <v>224</v>
      </c>
      <c r="I1876" t="s">
        <v>301</v>
      </c>
      <c r="J1876" t="s">
        <v>28</v>
      </c>
      <c r="K1876" t="b">
        <v>0</v>
      </c>
      <c r="L1876">
        <v>1997</v>
      </c>
      <c r="M1876">
        <v>436321902767</v>
      </c>
      <c r="N1876">
        <v>66075143415</v>
      </c>
      <c r="O1876" t="b">
        <v>1</v>
      </c>
      <c r="P1876">
        <v>1</v>
      </c>
      <c r="Q1876" t="str" cm="1">
        <f t="array" ref="Q1876">_xlfn.IFS(Table1[[#This Row],[Wealthier_Winner]]=-1,"Wealthier Nation Loses",Table1[[#This Row],[Wealthier_Winner]]=0,"Tie",Table1[[#This Row],[Wealthier_Winner]]=1,"Wealthier Nation Wins")</f>
        <v>Wealthier Nation Wins</v>
      </c>
    </row>
    <row r="1877" spans="1:17" x14ac:dyDescent="0.2">
      <c r="A1877" s="1">
        <v>3276</v>
      </c>
      <c r="B1877" s="2">
        <v>35617</v>
      </c>
      <c r="C1877" s="7">
        <f>_xlfn.FLOOR.MATH(Table1[[#This Row],[year]],10)</f>
        <v>1990</v>
      </c>
      <c r="D1877" t="s">
        <v>35</v>
      </c>
      <c r="E1877" t="s">
        <v>19</v>
      </c>
      <c r="F1877">
        <v>1</v>
      </c>
      <c r="G1877">
        <v>2</v>
      </c>
      <c r="H1877" t="s">
        <v>224</v>
      </c>
      <c r="I1877" t="s">
        <v>250</v>
      </c>
      <c r="J1877" t="s">
        <v>35</v>
      </c>
      <c r="K1877" t="b">
        <v>0</v>
      </c>
      <c r="L1877">
        <v>1997</v>
      </c>
      <c r="M1877">
        <v>9965225678</v>
      </c>
      <c r="N1877">
        <v>292859000000</v>
      </c>
      <c r="O1877" t="b">
        <v>1</v>
      </c>
      <c r="P1877">
        <v>1</v>
      </c>
      <c r="Q1877" t="str" cm="1">
        <f t="array" ref="Q1877">_xlfn.IFS(Table1[[#This Row],[Wealthier_Winner]]=-1,"Wealthier Nation Loses",Table1[[#This Row],[Wealthier_Winner]]=0,"Tie",Table1[[#This Row],[Wealthier_Winner]]=1,"Wealthier Nation Wins")</f>
        <v>Wealthier Nation Wins</v>
      </c>
    </row>
    <row r="1878" spans="1:17" x14ac:dyDescent="0.2">
      <c r="A1878" s="1">
        <v>3277</v>
      </c>
      <c r="B1878" s="2">
        <v>35617</v>
      </c>
      <c r="C1878" s="7">
        <f>_xlfn.FLOOR.MATH(Table1[[#This Row],[year]],10)</f>
        <v>1990</v>
      </c>
      <c r="D1878" t="s">
        <v>31</v>
      </c>
      <c r="E1878" t="s">
        <v>47</v>
      </c>
      <c r="F1878">
        <v>2</v>
      </c>
      <c r="G1878">
        <v>1</v>
      </c>
      <c r="H1878" t="s">
        <v>224</v>
      </c>
      <c r="I1878" t="s">
        <v>242</v>
      </c>
      <c r="J1878" t="s">
        <v>31</v>
      </c>
      <c r="K1878" t="b">
        <v>0</v>
      </c>
      <c r="L1878">
        <v>1997</v>
      </c>
      <c r="M1878">
        <v>58147522522</v>
      </c>
      <c r="N1878">
        <v>7925736821</v>
      </c>
      <c r="O1878" t="b">
        <v>1</v>
      </c>
      <c r="P1878">
        <v>1</v>
      </c>
      <c r="Q1878" t="str" cm="1">
        <f t="array" ref="Q1878">_xlfn.IFS(Table1[[#This Row],[Wealthier_Winner]]=-1,"Wealthier Nation Loses",Table1[[#This Row],[Wealthier_Winner]]=0,"Tie",Table1[[#This Row],[Wealthier_Winner]]=1,"Wealthier Nation Wins")</f>
        <v>Wealthier Nation Wins</v>
      </c>
    </row>
    <row r="1879" spans="1:17" x14ac:dyDescent="0.2">
      <c r="A1879" s="1">
        <v>3278</v>
      </c>
      <c r="B1879" s="2">
        <v>35617</v>
      </c>
      <c r="C1879" s="7">
        <f>_xlfn.FLOOR.MATH(Table1[[#This Row],[year]],10)</f>
        <v>1990</v>
      </c>
      <c r="D1879" t="s">
        <v>258</v>
      </c>
      <c r="E1879" t="s">
        <v>57</v>
      </c>
      <c r="F1879">
        <v>1</v>
      </c>
      <c r="G1879">
        <v>1</v>
      </c>
      <c r="H1879" t="s">
        <v>224</v>
      </c>
      <c r="I1879" t="s">
        <v>572</v>
      </c>
      <c r="J1879" t="s">
        <v>258</v>
      </c>
      <c r="K1879" t="b">
        <v>0</v>
      </c>
      <c r="L1879">
        <v>1997</v>
      </c>
      <c r="M1879">
        <v>85837678559</v>
      </c>
      <c r="N1879">
        <v>28162053026</v>
      </c>
      <c r="O1879" t="b">
        <v>1</v>
      </c>
      <c r="P1879">
        <v>0</v>
      </c>
      <c r="Q1879" t="str" cm="1">
        <f t="array" ref="Q1879">_xlfn.IFS(Table1[[#This Row],[Wealthier_Winner]]=-1,"Wealthier Nation Loses",Table1[[#This Row],[Wealthier_Winner]]=0,"Tie",Table1[[#This Row],[Wealthier_Winner]]=1,"Wealthier Nation Wins")</f>
        <v>Tie</v>
      </c>
    </row>
    <row r="1880" spans="1:17" x14ac:dyDescent="0.2">
      <c r="A1880" s="1">
        <v>3279</v>
      </c>
      <c r="B1880" s="2">
        <v>35631</v>
      </c>
      <c r="C1880" s="7">
        <f>_xlfn.FLOOR.MATH(Table1[[#This Row],[year]],10)</f>
        <v>1990</v>
      </c>
      <c r="D1880" t="s">
        <v>19</v>
      </c>
      <c r="E1880" t="s">
        <v>258</v>
      </c>
      <c r="F1880">
        <v>2</v>
      </c>
      <c r="G1880">
        <v>0</v>
      </c>
      <c r="H1880" t="s">
        <v>224</v>
      </c>
      <c r="I1880" t="s">
        <v>93</v>
      </c>
      <c r="J1880" t="s">
        <v>19</v>
      </c>
      <c r="K1880" t="b">
        <v>0</v>
      </c>
      <c r="L1880">
        <v>1997</v>
      </c>
      <c r="M1880">
        <v>292859000000</v>
      </c>
      <c r="N1880">
        <v>85837678559</v>
      </c>
      <c r="O1880" t="b">
        <v>1</v>
      </c>
      <c r="P1880">
        <v>1</v>
      </c>
      <c r="Q1880" t="str" cm="1">
        <f t="array" ref="Q1880">_xlfn.IFS(Table1[[#This Row],[Wealthier_Winner]]=-1,"Wealthier Nation Loses",Table1[[#This Row],[Wealthier_Winner]]=0,"Tie",Table1[[#This Row],[Wealthier_Winner]]=1,"Wealthier Nation Wins")</f>
        <v>Wealthier Nation Wins</v>
      </c>
    </row>
    <row r="1881" spans="1:17" x14ac:dyDescent="0.2">
      <c r="A1881" s="1">
        <v>3280</v>
      </c>
      <c r="B1881" s="2">
        <v>35631</v>
      </c>
      <c r="C1881" s="7">
        <f>_xlfn.FLOOR.MATH(Table1[[#This Row],[year]],10)</f>
        <v>1990</v>
      </c>
      <c r="D1881" t="s">
        <v>47</v>
      </c>
      <c r="E1881" t="s">
        <v>26</v>
      </c>
      <c r="F1881">
        <v>1</v>
      </c>
      <c r="G1881">
        <v>0</v>
      </c>
      <c r="H1881" t="s">
        <v>224</v>
      </c>
      <c r="I1881" t="s">
        <v>246</v>
      </c>
      <c r="J1881" t="s">
        <v>47</v>
      </c>
      <c r="K1881" t="b">
        <v>0</v>
      </c>
      <c r="L1881">
        <v>1997</v>
      </c>
      <c r="M1881">
        <v>7925736821</v>
      </c>
      <c r="N1881">
        <v>23969739233</v>
      </c>
      <c r="O1881" t="b">
        <v>1</v>
      </c>
      <c r="P1881">
        <v>-1</v>
      </c>
      <c r="Q1881" t="str" cm="1">
        <f t="array" ref="Q1881">_xlfn.IFS(Table1[[#This Row],[Wealthier_Winner]]=-1,"Wealthier Nation Loses",Table1[[#This Row],[Wealthier_Winner]]=0,"Tie",Table1[[#This Row],[Wealthier_Winner]]=1,"Wealthier Nation Wins")</f>
        <v>Wealthier Nation Loses</v>
      </c>
    </row>
    <row r="1882" spans="1:17" x14ac:dyDescent="0.2">
      <c r="A1882" s="1">
        <v>3281</v>
      </c>
      <c r="B1882" s="2">
        <v>35631</v>
      </c>
      <c r="C1882" s="7">
        <f>_xlfn.FLOOR.MATH(Table1[[#This Row],[year]],10)</f>
        <v>1990</v>
      </c>
      <c r="D1882" t="s">
        <v>14</v>
      </c>
      <c r="E1882" t="s">
        <v>35</v>
      </c>
      <c r="F1882">
        <v>2</v>
      </c>
      <c r="G1882">
        <v>1</v>
      </c>
      <c r="H1882" t="s">
        <v>224</v>
      </c>
      <c r="I1882" t="s">
        <v>75</v>
      </c>
      <c r="J1882" t="s">
        <v>14</v>
      </c>
      <c r="K1882" t="b">
        <v>0</v>
      </c>
      <c r="L1882">
        <v>1997</v>
      </c>
      <c r="M1882">
        <v>85741415285</v>
      </c>
      <c r="N1882">
        <v>9965225678</v>
      </c>
      <c r="O1882" t="b">
        <v>1</v>
      </c>
      <c r="P1882">
        <v>1</v>
      </c>
      <c r="Q1882" t="str" cm="1">
        <f t="array" ref="Q1882">_xlfn.IFS(Table1[[#This Row],[Wealthier_Winner]]=-1,"Wealthier Nation Loses",Table1[[#This Row],[Wealthier_Winner]]=0,"Tie",Table1[[#This Row],[Wealthier_Winner]]=1,"Wealthier Nation Wins")</f>
        <v>Wealthier Nation Wins</v>
      </c>
    </row>
    <row r="1883" spans="1:17" x14ac:dyDescent="0.2">
      <c r="A1883" s="1">
        <v>3282</v>
      </c>
      <c r="B1883" s="2">
        <v>35631</v>
      </c>
      <c r="C1883" s="7">
        <f>_xlfn.FLOOR.MATH(Table1[[#This Row],[year]],10)</f>
        <v>1990</v>
      </c>
      <c r="D1883" t="s">
        <v>15</v>
      </c>
      <c r="E1883" t="s">
        <v>57</v>
      </c>
      <c r="F1883">
        <v>1</v>
      </c>
      <c r="G1883">
        <v>0</v>
      </c>
      <c r="H1883" t="s">
        <v>224</v>
      </c>
      <c r="I1883" t="s">
        <v>261</v>
      </c>
      <c r="J1883" t="s">
        <v>15</v>
      </c>
      <c r="K1883" t="b">
        <v>0</v>
      </c>
      <c r="L1883">
        <v>1997</v>
      </c>
      <c r="M1883">
        <v>106659508271</v>
      </c>
      <c r="N1883">
        <v>28162053026</v>
      </c>
      <c r="O1883" t="b">
        <v>1</v>
      </c>
      <c r="P1883">
        <v>1</v>
      </c>
      <c r="Q1883" t="str" cm="1">
        <f t="array" ref="Q1883">_xlfn.IFS(Table1[[#This Row],[Wealthier_Winner]]=-1,"Wealthier Nation Loses",Table1[[#This Row],[Wealthier_Winner]]=0,"Tie",Table1[[#This Row],[Wealthier_Winner]]=1,"Wealthier Nation Wins")</f>
        <v>Wealthier Nation Wins</v>
      </c>
    </row>
    <row r="1884" spans="1:17" x14ac:dyDescent="0.2">
      <c r="A1884" s="1">
        <v>3283</v>
      </c>
      <c r="B1884" s="2">
        <v>35652</v>
      </c>
      <c r="C1884" s="7">
        <f>_xlfn.FLOOR.MATH(Table1[[#This Row],[year]],10)</f>
        <v>1990</v>
      </c>
      <c r="D1884" t="s">
        <v>56</v>
      </c>
      <c r="E1884" t="s">
        <v>69</v>
      </c>
      <c r="F1884">
        <v>0</v>
      </c>
      <c r="G1884">
        <v>0</v>
      </c>
      <c r="H1884" t="s">
        <v>224</v>
      </c>
      <c r="I1884" t="s">
        <v>225</v>
      </c>
      <c r="J1884" t="s">
        <v>56</v>
      </c>
      <c r="K1884" t="b">
        <v>0</v>
      </c>
      <c r="L1884">
        <v>1997</v>
      </c>
      <c r="M1884">
        <v>12614602382</v>
      </c>
      <c r="N1884">
        <v>10221705900</v>
      </c>
      <c r="O1884" t="b">
        <v>0</v>
      </c>
      <c r="P1884">
        <v>0</v>
      </c>
      <c r="Q1884" t="str" cm="1">
        <f t="array" ref="Q1884">_xlfn.IFS(Table1[[#This Row],[Wealthier_Winner]]=-1,"Wealthier Nation Loses",Table1[[#This Row],[Wealthier_Winner]]=0,"Tie",Table1[[#This Row],[Wealthier_Winner]]=1,"Wealthier Nation Wins")</f>
        <v>Tie</v>
      </c>
    </row>
    <row r="1885" spans="1:17" x14ac:dyDescent="0.2">
      <c r="A1885" s="1">
        <v>3284</v>
      </c>
      <c r="B1885" s="2">
        <v>35658</v>
      </c>
      <c r="C1885" s="7">
        <f>_xlfn.FLOOR.MATH(Table1[[#This Row],[year]],10)</f>
        <v>1990</v>
      </c>
      <c r="D1885" t="s">
        <v>305</v>
      </c>
      <c r="E1885" t="s">
        <v>43</v>
      </c>
      <c r="F1885">
        <v>1</v>
      </c>
      <c r="G1885">
        <v>0</v>
      </c>
      <c r="H1885" t="s">
        <v>224</v>
      </c>
      <c r="I1885" t="s">
        <v>306</v>
      </c>
      <c r="J1885" t="s">
        <v>305</v>
      </c>
      <c r="K1885" t="b">
        <v>0</v>
      </c>
      <c r="L1885">
        <v>1997</v>
      </c>
      <c r="M1885">
        <v>5516916163</v>
      </c>
      <c r="N1885">
        <v>200850397618</v>
      </c>
      <c r="O1885" t="b">
        <v>1</v>
      </c>
      <c r="P1885">
        <v>-1</v>
      </c>
      <c r="Q1885" t="str" cm="1">
        <f t="array" ref="Q1885">_xlfn.IFS(Table1[[#This Row],[Wealthier_Winner]]=-1,"Wealthier Nation Loses",Table1[[#This Row],[Wealthier_Winner]]=0,"Tie",Table1[[#This Row],[Wealthier_Winner]]=1,"Wealthier Nation Wins")</f>
        <v>Wealthier Nation Loses</v>
      </c>
    </row>
    <row r="1886" spans="1:17" x14ac:dyDescent="0.2">
      <c r="A1886" s="1">
        <v>3285</v>
      </c>
      <c r="B1886" s="2">
        <v>35658</v>
      </c>
      <c r="C1886" s="7">
        <f>_xlfn.FLOOR.MATH(Table1[[#This Row],[year]],10)</f>
        <v>1990</v>
      </c>
      <c r="D1886" t="s">
        <v>345</v>
      </c>
      <c r="E1886" t="s">
        <v>314</v>
      </c>
      <c r="F1886">
        <v>2</v>
      </c>
      <c r="G1886">
        <v>4</v>
      </c>
      <c r="H1886" t="s">
        <v>224</v>
      </c>
      <c r="I1886" t="s">
        <v>347</v>
      </c>
      <c r="J1886" t="s">
        <v>345</v>
      </c>
      <c r="K1886" t="b">
        <v>0</v>
      </c>
      <c r="L1886">
        <v>1997</v>
      </c>
      <c r="M1886">
        <v>2447669101</v>
      </c>
      <c r="N1886">
        <v>13115764358</v>
      </c>
      <c r="O1886" t="b">
        <v>1</v>
      </c>
      <c r="P1886">
        <v>1</v>
      </c>
      <c r="Q1886" t="str" cm="1">
        <f t="array" ref="Q1886">_xlfn.IFS(Table1[[#This Row],[Wealthier_Winner]]=-1,"Wealthier Nation Loses",Table1[[#This Row],[Wealthier_Winner]]=0,"Tie",Table1[[#This Row],[Wealthier_Winner]]=1,"Wealthier Nation Wins")</f>
        <v>Wealthier Nation Wins</v>
      </c>
    </row>
    <row r="1887" spans="1:17" x14ac:dyDescent="0.2">
      <c r="A1887" s="1">
        <v>3286</v>
      </c>
      <c r="B1887" s="2">
        <v>35658</v>
      </c>
      <c r="C1887" s="7">
        <f>_xlfn.FLOOR.MATH(Table1[[#This Row],[year]],10)</f>
        <v>1990</v>
      </c>
      <c r="D1887" t="s">
        <v>24</v>
      </c>
      <c r="E1887" t="s">
        <v>433</v>
      </c>
      <c r="F1887">
        <v>2</v>
      </c>
      <c r="G1887">
        <v>0</v>
      </c>
      <c r="H1887" t="s">
        <v>224</v>
      </c>
      <c r="I1887" t="s">
        <v>244</v>
      </c>
      <c r="J1887" t="s">
        <v>24</v>
      </c>
      <c r="K1887" t="b">
        <v>0</v>
      </c>
      <c r="L1887">
        <v>1997</v>
      </c>
      <c r="M1887">
        <v>39147844526</v>
      </c>
      <c r="N1887">
        <v>5326817114</v>
      </c>
      <c r="O1887" t="b">
        <v>1</v>
      </c>
      <c r="P1887">
        <v>1</v>
      </c>
      <c r="Q1887" t="str" cm="1">
        <f t="array" ref="Q1887">_xlfn.IFS(Table1[[#This Row],[Wealthier_Winner]]=-1,"Wealthier Nation Loses",Table1[[#This Row],[Wealthier_Winner]]=0,"Tie",Table1[[#This Row],[Wealthier_Winner]]=1,"Wealthier Nation Wins")</f>
        <v>Wealthier Nation Wins</v>
      </c>
    </row>
    <row r="1888" spans="1:17" x14ac:dyDescent="0.2">
      <c r="A1888" s="1">
        <v>3289</v>
      </c>
      <c r="B1888" s="2">
        <v>35659</v>
      </c>
      <c r="C1888" s="7">
        <f>_xlfn.FLOOR.MATH(Table1[[#This Row],[year]],10)</f>
        <v>1990</v>
      </c>
      <c r="D1888" t="s">
        <v>212</v>
      </c>
      <c r="E1888" t="s">
        <v>378</v>
      </c>
      <c r="F1888">
        <v>5</v>
      </c>
      <c r="G1888">
        <v>0</v>
      </c>
      <c r="H1888" t="s">
        <v>224</v>
      </c>
      <c r="I1888" t="s">
        <v>322</v>
      </c>
      <c r="J1888" t="s">
        <v>212</v>
      </c>
      <c r="K1888" t="b">
        <v>0</v>
      </c>
      <c r="L1888">
        <v>1997</v>
      </c>
      <c r="M1888">
        <v>78436578171</v>
      </c>
      <c r="N1888">
        <v>295900000</v>
      </c>
      <c r="O1888" t="b">
        <v>1</v>
      </c>
      <c r="P1888">
        <v>1</v>
      </c>
      <c r="Q1888" t="str" cm="1">
        <f t="array" ref="Q1888">_xlfn.IFS(Table1[[#This Row],[Wealthier_Winner]]=-1,"Wealthier Nation Loses",Table1[[#This Row],[Wealthier_Winner]]=0,"Tie",Table1[[#This Row],[Wealthier_Winner]]=1,"Wealthier Nation Wins")</f>
        <v>Wealthier Nation Wins</v>
      </c>
    </row>
    <row r="1889" spans="1:17" x14ac:dyDescent="0.2">
      <c r="A1889" s="1">
        <v>3290</v>
      </c>
      <c r="B1889" s="2">
        <v>35659</v>
      </c>
      <c r="C1889" s="7">
        <f>_xlfn.FLOOR.MATH(Table1[[#This Row],[year]],10)</f>
        <v>1990</v>
      </c>
      <c r="D1889" t="s">
        <v>63</v>
      </c>
      <c r="E1889" t="s">
        <v>342</v>
      </c>
      <c r="F1889">
        <v>0</v>
      </c>
      <c r="G1889">
        <v>2</v>
      </c>
      <c r="H1889" t="s">
        <v>224</v>
      </c>
      <c r="I1889" t="s">
        <v>573</v>
      </c>
      <c r="J1889" t="s">
        <v>63</v>
      </c>
      <c r="K1889" t="b">
        <v>0</v>
      </c>
      <c r="L1889">
        <v>1997</v>
      </c>
      <c r="M1889">
        <v>6891443192</v>
      </c>
      <c r="N1889">
        <v>850232760</v>
      </c>
      <c r="O1889" t="b">
        <v>1</v>
      </c>
      <c r="P1889">
        <v>-1</v>
      </c>
      <c r="Q1889" t="str" cm="1">
        <f t="array" ref="Q1889">_xlfn.IFS(Table1[[#This Row],[Wealthier_Winner]]=-1,"Wealthier Nation Loses",Table1[[#This Row],[Wealthier_Winner]]=0,"Tie",Table1[[#This Row],[Wealthier_Winner]]=1,"Wealthier Nation Wins")</f>
        <v>Wealthier Nation Loses</v>
      </c>
    </row>
    <row r="1890" spans="1:17" x14ac:dyDescent="0.2">
      <c r="A1890" s="1">
        <v>3291</v>
      </c>
      <c r="B1890" s="2">
        <v>35659</v>
      </c>
      <c r="C1890" s="7">
        <f>_xlfn.FLOOR.MATH(Table1[[#This Row],[year]],10)</f>
        <v>1990</v>
      </c>
      <c r="D1890" t="s">
        <v>62</v>
      </c>
      <c r="E1890" t="s">
        <v>60</v>
      </c>
      <c r="F1890">
        <v>1</v>
      </c>
      <c r="G1890">
        <v>1</v>
      </c>
      <c r="H1890" t="s">
        <v>224</v>
      </c>
      <c r="I1890" t="s">
        <v>353</v>
      </c>
      <c r="J1890" t="s">
        <v>62</v>
      </c>
      <c r="K1890" t="b">
        <v>0</v>
      </c>
      <c r="L1890">
        <v>1997</v>
      </c>
      <c r="M1890">
        <v>2116818622</v>
      </c>
      <c r="N1890">
        <v>7648380195</v>
      </c>
      <c r="O1890" t="b">
        <v>1</v>
      </c>
      <c r="P1890">
        <v>0</v>
      </c>
      <c r="Q1890" t="str" cm="1">
        <f t="array" ref="Q1890">_xlfn.IFS(Table1[[#This Row],[Wealthier_Winner]]=-1,"Wealthier Nation Loses",Table1[[#This Row],[Wealthier_Winner]]=0,"Tie",Table1[[#This Row],[Wealthier_Winner]]=1,"Wealthier Nation Wins")</f>
        <v>Tie</v>
      </c>
    </row>
    <row r="1891" spans="1:17" x14ac:dyDescent="0.2">
      <c r="A1891" s="1">
        <v>3292</v>
      </c>
      <c r="B1891" s="2">
        <v>35659</v>
      </c>
      <c r="C1891" s="7">
        <f>_xlfn.FLOOR.MATH(Table1[[#This Row],[year]],10)</f>
        <v>1990</v>
      </c>
      <c r="D1891" t="s">
        <v>53</v>
      </c>
      <c r="E1891" t="s">
        <v>462</v>
      </c>
      <c r="F1891">
        <v>4</v>
      </c>
      <c r="G1891">
        <v>0</v>
      </c>
      <c r="H1891" t="s">
        <v>224</v>
      </c>
      <c r="I1891" t="s">
        <v>284</v>
      </c>
      <c r="J1891" t="s">
        <v>53</v>
      </c>
      <c r="K1891" t="b">
        <v>0</v>
      </c>
      <c r="L1891">
        <v>1997</v>
      </c>
      <c r="M1891">
        <v>20746210353</v>
      </c>
      <c r="N1891">
        <v>4154989950</v>
      </c>
      <c r="O1891" t="b">
        <v>1</v>
      </c>
      <c r="P1891">
        <v>1</v>
      </c>
      <c r="Q1891" t="str" cm="1">
        <f t="array" ref="Q1891">_xlfn.IFS(Table1[[#This Row],[Wealthier_Winner]]=-1,"Wealthier Nation Loses",Table1[[#This Row],[Wealthier_Winner]]=0,"Tie",Table1[[#This Row],[Wealthier_Winner]]=1,"Wealthier Nation Wins")</f>
        <v>Wealthier Nation Wins</v>
      </c>
    </row>
    <row r="1892" spans="1:17" x14ac:dyDescent="0.2">
      <c r="A1892" s="1">
        <v>3293</v>
      </c>
      <c r="B1892" s="2">
        <v>35659</v>
      </c>
      <c r="C1892" s="7">
        <f>_xlfn.FLOOR.MATH(Table1[[#This Row],[year]],10)</f>
        <v>1990</v>
      </c>
      <c r="D1892" t="s">
        <v>298</v>
      </c>
      <c r="E1892" t="s">
        <v>40</v>
      </c>
      <c r="F1892">
        <v>1</v>
      </c>
      <c r="G1892">
        <v>2</v>
      </c>
      <c r="H1892" t="s">
        <v>224</v>
      </c>
      <c r="I1892" t="s">
        <v>377</v>
      </c>
      <c r="J1892" t="s">
        <v>298</v>
      </c>
      <c r="K1892" t="b">
        <v>0</v>
      </c>
      <c r="L1892">
        <v>1997</v>
      </c>
      <c r="M1892">
        <v>8534000000</v>
      </c>
      <c r="N1892">
        <v>10789458432</v>
      </c>
      <c r="O1892" t="b">
        <v>0</v>
      </c>
      <c r="P1892">
        <v>1</v>
      </c>
      <c r="Q1892" t="str" cm="1">
        <f t="array" ref="Q1892">_xlfn.IFS(Table1[[#This Row],[Wealthier_Winner]]=-1,"Wealthier Nation Loses",Table1[[#This Row],[Wealthier_Winner]]=0,"Tie",Table1[[#This Row],[Wealthier_Winner]]=1,"Wealthier Nation Wins")</f>
        <v>Wealthier Nation Wins</v>
      </c>
    </row>
    <row r="1893" spans="1:17" x14ac:dyDescent="0.2">
      <c r="A1893" s="1">
        <v>3294</v>
      </c>
      <c r="B1893" s="2">
        <v>35662</v>
      </c>
      <c r="C1893" s="7">
        <f>_xlfn.FLOOR.MATH(Table1[[#This Row],[year]],10)</f>
        <v>1990</v>
      </c>
      <c r="D1893" t="s">
        <v>510</v>
      </c>
      <c r="E1893" t="s">
        <v>25</v>
      </c>
      <c r="F1893">
        <v>1</v>
      </c>
      <c r="G1893">
        <v>2</v>
      </c>
      <c r="H1893" t="s">
        <v>224</v>
      </c>
      <c r="I1893" t="s">
        <v>522</v>
      </c>
      <c r="J1893" t="s">
        <v>510</v>
      </c>
      <c r="K1893" t="b">
        <v>0</v>
      </c>
      <c r="L1893">
        <v>1997</v>
      </c>
      <c r="M1893">
        <v>14128408565</v>
      </c>
      <c r="N1893">
        <v>268249616890</v>
      </c>
      <c r="O1893" t="b">
        <v>1</v>
      </c>
      <c r="P1893">
        <v>1</v>
      </c>
      <c r="Q1893" t="str" cm="1">
        <f t="array" ref="Q1893">_xlfn.IFS(Table1[[#This Row],[Wealthier_Winner]]=-1,"Wealthier Nation Loses",Table1[[#This Row],[Wealthier_Winner]]=0,"Tie",Table1[[#This Row],[Wealthier_Winner]]=1,"Wealthier Nation Wins")</f>
        <v>Wealthier Nation Wins</v>
      </c>
    </row>
    <row r="1894" spans="1:17" x14ac:dyDescent="0.2">
      <c r="A1894" s="1">
        <v>3295</v>
      </c>
      <c r="B1894" s="2">
        <v>35662</v>
      </c>
      <c r="C1894" s="7">
        <f>_xlfn.FLOOR.MATH(Table1[[#This Row],[year]],10)</f>
        <v>1990</v>
      </c>
      <c r="D1894" t="s">
        <v>73</v>
      </c>
      <c r="E1894" t="s">
        <v>36</v>
      </c>
      <c r="F1894">
        <v>3</v>
      </c>
      <c r="G1894">
        <v>0</v>
      </c>
      <c r="H1894" t="s">
        <v>224</v>
      </c>
      <c r="I1894" t="s">
        <v>550</v>
      </c>
      <c r="J1894" t="s">
        <v>73</v>
      </c>
      <c r="K1894" t="b">
        <v>0</v>
      </c>
      <c r="L1894">
        <v>1997</v>
      </c>
      <c r="M1894">
        <v>3671909673</v>
      </c>
      <c r="N1894">
        <v>173241365735</v>
      </c>
      <c r="O1894" t="b">
        <v>1</v>
      </c>
      <c r="P1894">
        <v>-1</v>
      </c>
      <c r="Q1894" t="str" cm="1">
        <f t="array" ref="Q1894">_xlfn.IFS(Table1[[#This Row],[Wealthier_Winner]]=-1,"Wealthier Nation Loses",Table1[[#This Row],[Wealthier_Winner]]=0,"Tie",Table1[[#This Row],[Wealthier_Winner]]=1,"Wealthier Nation Wins")</f>
        <v>Wealthier Nation Loses</v>
      </c>
    </row>
    <row r="1895" spans="1:17" x14ac:dyDescent="0.2">
      <c r="A1895" s="1">
        <v>3296</v>
      </c>
      <c r="B1895" s="2">
        <v>35662</v>
      </c>
      <c r="C1895" s="7">
        <f>_xlfn.FLOOR.MATH(Table1[[#This Row],[year]],10)</f>
        <v>1990</v>
      </c>
      <c r="D1895" t="s">
        <v>33</v>
      </c>
      <c r="E1895" t="s">
        <v>22</v>
      </c>
      <c r="F1895">
        <v>1</v>
      </c>
      <c r="G1895">
        <v>0</v>
      </c>
      <c r="H1895" t="s">
        <v>224</v>
      </c>
      <c r="I1895" t="s">
        <v>375</v>
      </c>
      <c r="J1895" t="s">
        <v>33</v>
      </c>
      <c r="K1895" t="b">
        <v>0</v>
      </c>
      <c r="L1895">
        <v>1997</v>
      </c>
      <c r="M1895">
        <v>11316127378</v>
      </c>
      <c r="N1895">
        <v>119459826346</v>
      </c>
      <c r="O1895" t="b">
        <v>1</v>
      </c>
      <c r="P1895">
        <v>-1</v>
      </c>
      <c r="Q1895" t="str" cm="1">
        <f t="array" ref="Q1895">_xlfn.IFS(Table1[[#This Row],[Wealthier_Winner]]=-1,"Wealthier Nation Loses",Table1[[#This Row],[Wealthier_Winner]]=0,"Tie",Table1[[#This Row],[Wealthier_Winner]]=1,"Wealthier Nation Wins")</f>
        <v>Wealthier Nation Loses</v>
      </c>
    </row>
    <row r="1896" spans="1:17" x14ac:dyDescent="0.2">
      <c r="A1896" s="1">
        <v>3297</v>
      </c>
      <c r="B1896" s="2">
        <v>35662</v>
      </c>
      <c r="C1896" s="7">
        <f>_xlfn.FLOOR.MATH(Table1[[#This Row],[year]],10)</f>
        <v>1990</v>
      </c>
      <c r="D1896" t="s">
        <v>15</v>
      </c>
      <c r="E1896" t="s">
        <v>47</v>
      </c>
      <c r="F1896">
        <v>3</v>
      </c>
      <c r="G1896">
        <v>0</v>
      </c>
      <c r="H1896" t="s">
        <v>224</v>
      </c>
      <c r="I1896" t="s">
        <v>261</v>
      </c>
      <c r="J1896" t="s">
        <v>15</v>
      </c>
      <c r="K1896" t="b">
        <v>0</v>
      </c>
      <c r="L1896">
        <v>1997</v>
      </c>
      <c r="M1896">
        <v>106659508271</v>
      </c>
      <c r="N1896">
        <v>7925736821</v>
      </c>
      <c r="O1896" t="b">
        <v>1</v>
      </c>
      <c r="P1896">
        <v>1</v>
      </c>
      <c r="Q1896" t="str" cm="1">
        <f t="array" ref="Q1896">_xlfn.IFS(Table1[[#This Row],[Wealthier_Winner]]=-1,"Wealthier Nation Loses",Table1[[#This Row],[Wealthier_Winner]]=0,"Tie",Table1[[#This Row],[Wealthier_Winner]]=1,"Wealthier Nation Wins")</f>
        <v>Wealthier Nation Wins</v>
      </c>
    </row>
    <row r="1897" spans="1:17" x14ac:dyDescent="0.2">
      <c r="A1897" s="1">
        <v>3299</v>
      </c>
      <c r="B1897" s="2">
        <v>35662</v>
      </c>
      <c r="C1897" s="7">
        <f>_xlfn.FLOOR.MATH(Table1[[#This Row],[year]],10)</f>
        <v>1990</v>
      </c>
      <c r="D1897" t="s">
        <v>57</v>
      </c>
      <c r="E1897" t="s">
        <v>35</v>
      </c>
      <c r="F1897">
        <v>2</v>
      </c>
      <c r="G1897">
        <v>1</v>
      </c>
      <c r="H1897" t="s">
        <v>224</v>
      </c>
      <c r="I1897" t="s">
        <v>335</v>
      </c>
      <c r="J1897" t="s">
        <v>57</v>
      </c>
      <c r="K1897" t="b">
        <v>0</v>
      </c>
      <c r="L1897">
        <v>1997</v>
      </c>
      <c r="M1897">
        <v>28162053026</v>
      </c>
      <c r="N1897">
        <v>9965225678</v>
      </c>
      <c r="O1897" t="b">
        <v>1</v>
      </c>
      <c r="P1897">
        <v>1</v>
      </c>
      <c r="Q1897" t="str" cm="1">
        <f t="array" ref="Q1897">_xlfn.IFS(Table1[[#This Row],[Wealthier_Winner]]=-1,"Wealthier Nation Loses",Table1[[#This Row],[Wealthier_Winner]]=0,"Tie",Table1[[#This Row],[Wealthier_Winner]]=1,"Wealthier Nation Wins")</f>
        <v>Wealthier Nation Wins</v>
      </c>
    </row>
    <row r="1898" spans="1:17" x14ac:dyDescent="0.2">
      <c r="A1898" s="1">
        <v>3300</v>
      </c>
      <c r="B1898" s="2">
        <v>35662</v>
      </c>
      <c r="C1898" s="7">
        <f>_xlfn.FLOOR.MATH(Table1[[#This Row],[year]],10)</f>
        <v>1990</v>
      </c>
      <c r="D1898" t="s">
        <v>476</v>
      </c>
      <c r="E1898" t="s">
        <v>29</v>
      </c>
      <c r="F1898">
        <v>0</v>
      </c>
      <c r="G1898">
        <v>3</v>
      </c>
      <c r="H1898" t="s">
        <v>224</v>
      </c>
      <c r="I1898" t="s">
        <v>481</v>
      </c>
      <c r="J1898" t="s">
        <v>476</v>
      </c>
      <c r="K1898" t="b">
        <v>0</v>
      </c>
      <c r="L1898">
        <v>1997</v>
      </c>
      <c r="M1898">
        <v>5154420649</v>
      </c>
      <c r="N1898">
        <v>211724812267</v>
      </c>
      <c r="O1898" t="b">
        <v>1</v>
      </c>
      <c r="P1898">
        <v>1</v>
      </c>
      <c r="Q1898" t="str" cm="1">
        <f t="array" ref="Q1898">_xlfn.IFS(Table1[[#This Row],[Wealthier_Winner]]=-1,"Wealthier Nation Loses",Table1[[#This Row],[Wealthier_Winner]]=0,"Tie",Table1[[#This Row],[Wealthier_Winner]]=1,"Wealthier Nation Wins")</f>
        <v>Wealthier Nation Wins</v>
      </c>
    </row>
    <row r="1899" spans="1:17" x14ac:dyDescent="0.2">
      <c r="A1899" s="1">
        <v>3301</v>
      </c>
      <c r="B1899" s="2">
        <v>35662</v>
      </c>
      <c r="C1899" s="7">
        <f>_xlfn.FLOOR.MATH(Table1[[#This Row],[year]],10)</f>
        <v>1990</v>
      </c>
      <c r="D1899" t="s">
        <v>230</v>
      </c>
      <c r="E1899" t="s">
        <v>42</v>
      </c>
      <c r="F1899">
        <v>0</v>
      </c>
      <c r="G1899">
        <v>4</v>
      </c>
      <c r="H1899" t="s">
        <v>224</v>
      </c>
      <c r="I1899" t="s">
        <v>231</v>
      </c>
      <c r="J1899" t="s">
        <v>230</v>
      </c>
      <c r="K1899" t="b">
        <v>0</v>
      </c>
      <c r="L1899">
        <v>1997</v>
      </c>
      <c r="M1899">
        <v>126862902302</v>
      </c>
      <c r="N1899">
        <v>161356631888</v>
      </c>
      <c r="O1899" t="b">
        <v>0</v>
      </c>
      <c r="P1899">
        <v>1</v>
      </c>
      <c r="Q1899" t="str" cm="1">
        <f t="array" ref="Q1899">_xlfn.IFS(Table1[[#This Row],[Wealthier_Winner]]=-1,"Wealthier Nation Loses",Table1[[#This Row],[Wealthier_Winner]]=0,"Tie",Table1[[#This Row],[Wealthier_Winner]]=1,"Wealthier Nation Wins")</f>
        <v>Wealthier Nation Wins</v>
      </c>
    </row>
    <row r="1900" spans="1:17" x14ac:dyDescent="0.2">
      <c r="A1900" s="1">
        <v>3302</v>
      </c>
      <c r="B1900" s="2">
        <v>35662</v>
      </c>
      <c r="C1900" s="7">
        <f>_xlfn.FLOOR.MATH(Table1[[#This Row],[year]],10)</f>
        <v>1990</v>
      </c>
      <c r="D1900" t="s">
        <v>30</v>
      </c>
      <c r="E1900" t="s">
        <v>46</v>
      </c>
      <c r="F1900">
        <v>1</v>
      </c>
      <c r="G1900">
        <v>1</v>
      </c>
      <c r="H1900" t="s">
        <v>224</v>
      </c>
      <c r="I1900" t="s">
        <v>297</v>
      </c>
      <c r="J1900" t="s">
        <v>30</v>
      </c>
      <c r="K1900" t="b">
        <v>0</v>
      </c>
      <c r="L1900">
        <v>1997</v>
      </c>
      <c r="M1900">
        <v>47398564799</v>
      </c>
      <c r="N1900">
        <v>294788198856</v>
      </c>
      <c r="O1900" t="b">
        <v>1</v>
      </c>
      <c r="P1900">
        <v>0</v>
      </c>
      <c r="Q1900" t="str" cm="1">
        <f t="array" ref="Q1900">_xlfn.IFS(Table1[[#This Row],[Wealthier_Winner]]=-1,"Wealthier Nation Loses",Table1[[#This Row],[Wealthier_Winner]]=0,"Tie",Table1[[#This Row],[Wealthier_Winner]]=1,"Wealthier Nation Wins")</f>
        <v>Tie</v>
      </c>
    </row>
    <row r="1901" spans="1:17" x14ac:dyDescent="0.2">
      <c r="A1901" s="1">
        <v>3304</v>
      </c>
      <c r="B1901" s="2">
        <v>35662</v>
      </c>
      <c r="C1901" s="7">
        <f>_xlfn.FLOOR.MATH(Table1[[#This Row],[year]],10)</f>
        <v>1990</v>
      </c>
      <c r="D1901" t="s">
        <v>503</v>
      </c>
      <c r="E1901" t="s">
        <v>66</v>
      </c>
      <c r="F1901">
        <v>0</v>
      </c>
      <c r="G1901">
        <v>4</v>
      </c>
      <c r="H1901" t="s">
        <v>224</v>
      </c>
      <c r="I1901" t="s">
        <v>537</v>
      </c>
      <c r="J1901" t="s">
        <v>503</v>
      </c>
      <c r="K1901" t="b">
        <v>0</v>
      </c>
      <c r="L1901">
        <v>1997</v>
      </c>
      <c r="M1901">
        <v>2298389802</v>
      </c>
      <c r="N1901">
        <v>7716781803</v>
      </c>
      <c r="O1901" t="b">
        <v>1</v>
      </c>
      <c r="P1901">
        <v>1</v>
      </c>
      <c r="Q1901" t="str" cm="1">
        <f t="array" ref="Q1901">_xlfn.IFS(Table1[[#This Row],[Wealthier_Winner]]=-1,"Wealthier Nation Loses",Table1[[#This Row],[Wealthier_Winner]]=0,"Tie",Table1[[#This Row],[Wealthier_Winner]]=1,"Wealthier Nation Wins")</f>
        <v>Wealthier Nation Wins</v>
      </c>
    </row>
    <row r="1902" spans="1:17" x14ac:dyDescent="0.2">
      <c r="A1902" s="1">
        <v>3306</v>
      </c>
      <c r="B1902" s="2">
        <v>35662</v>
      </c>
      <c r="C1902" s="7">
        <f>_xlfn.FLOOR.MATH(Table1[[#This Row],[year]],10)</f>
        <v>1990</v>
      </c>
      <c r="D1902" t="s">
        <v>38</v>
      </c>
      <c r="E1902" t="s">
        <v>519</v>
      </c>
      <c r="F1902">
        <v>3</v>
      </c>
      <c r="G1902">
        <v>1</v>
      </c>
      <c r="H1902" t="s">
        <v>224</v>
      </c>
      <c r="I1902" t="s">
        <v>574</v>
      </c>
      <c r="J1902" t="s">
        <v>38</v>
      </c>
      <c r="K1902" t="b">
        <v>0</v>
      </c>
      <c r="L1902">
        <v>1997</v>
      </c>
      <c r="M1902">
        <v>117016535162</v>
      </c>
      <c r="N1902">
        <v>1639492444</v>
      </c>
      <c r="O1902" t="b">
        <v>1</v>
      </c>
      <c r="P1902">
        <v>1</v>
      </c>
      <c r="Q1902" t="str" cm="1">
        <f t="array" ref="Q1902">_xlfn.IFS(Table1[[#This Row],[Wealthier_Winner]]=-1,"Wealthier Nation Loses",Table1[[#This Row],[Wealthier_Winner]]=0,"Tie",Table1[[#This Row],[Wealthier_Winner]]=1,"Wealthier Nation Wins")</f>
        <v>Wealthier Nation Wins</v>
      </c>
    </row>
    <row r="1903" spans="1:17" x14ac:dyDescent="0.2">
      <c r="A1903" s="1">
        <v>3307</v>
      </c>
      <c r="B1903" s="2">
        <v>35662</v>
      </c>
      <c r="C1903" s="7">
        <f>_xlfn.FLOOR.MATH(Table1[[#This Row],[year]],10)</f>
        <v>1990</v>
      </c>
      <c r="D1903" t="s">
        <v>44</v>
      </c>
      <c r="E1903" t="s">
        <v>502</v>
      </c>
      <c r="F1903">
        <v>4</v>
      </c>
      <c r="G1903">
        <v>2</v>
      </c>
      <c r="H1903" t="s">
        <v>224</v>
      </c>
      <c r="I1903" t="s">
        <v>425</v>
      </c>
      <c r="J1903" t="s">
        <v>44</v>
      </c>
      <c r="K1903" t="b">
        <v>0</v>
      </c>
      <c r="L1903">
        <v>1997</v>
      </c>
      <c r="M1903">
        <v>35575214078</v>
      </c>
      <c r="N1903">
        <v>3912986090</v>
      </c>
      <c r="O1903" t="b">
        <v>1</v>
      </c>
      <c r="P1903">
        <v>1</v>
      </c>
      <c r="Q1903" t="str" cm="1">
        <f t="array" ref="Q1903">_xlfn.IFS(Table1[[#This Row],[Wealthier_Winner]]=-1,"Wealthier Nation Loses",Table1[[#This Row],[Wealthier_Winner]]=0,"Tie",Table1[[#This Row],[Wealthier_Winner]]=1,"Wealthier Nation Wins")</f>
        <v>Wealthier Nation Wins</v>
      </c>
    </row>
    <row r="1904" spans="1:17" x14ac:dyDescent="0.2">
      <c r="A1904" s="1">
        <v>3309</v>
      </c>
      <c r="B1904" s="2">
        <v>35662</v>
      </c>
      <c r="C1904" s="7">
        <f>_xlfn.FLOOR.MATH(Table1[[#This Row],[year]],10)</f>
        <v>1990</v>
      </c>
      <c r="D1904" t="s">
        <v>64</v>
      </c>
      <c r="E1904" t="s">
        <v>373</v>
      </c>
      <c r="F1904">
        <v>1</v>
      </c>
      <c r="G1904">
        <v>0</v>
      </c>
      <c r="H1904" t="s">
        <v>224</v>
      </c>
      <c r="I1904" t="s">
        <v>423</v>
      </c>
      <c r="J1904" t="s">
        <v>64</v>
      </c>
      <c r="K1904" t="b">
        <v>0</v>
      </c>
      <c r="L1904">
        <v>1997</v>
      </c>
      <c r="M1904">
        <v>50151531591</v>
      </c>
      <c r="N1904">
        <v>2293666029</v>
      </c>
      <c r="O1904" t="b">
        <v>1</v>
      </c>
      <c r="P1904">
        <v>1</v>
      </c>
      <c r="Q1904" t="str" cm="1">
        <f t="array" ref="Q1904">_xlfn.IFS(Table1[[#This Row],[Wealthier_Winner]]=-1,"Wealthier Nation Loses",Table1[[#This Row],[Wealthier_Winner]]=0,"Tie",Table1[[#This Row],[Wealthier_Winner]]=1,"Wealthier Nation Wins")</f>
        <v>Wealthier Nation Wins</v>
      </c>
    </row>
    <row r="1905" spans="1:17" x14ac:dyDescent="0.2">
      <c r="A1905" s="1">
        <v>3310</v>
      </c>
      <c r="B1905" s="2">
        <v>35662</v>
      </c>
      <c r="C1905" s="7">
        <f>_xlfn.FLOOR.MATH(Table1[[#This Row],[year]],10)</f>
        <v>1990</v>
      </c>
      <c r="D1905" t="s">
        <v>26</v>
      </c>
      <c r="E1905" t="s">
        <v>14</v>
      </c>
      <c r="F1905">
        <v>1</v>
      </c>
      <c r="G1905">
        <v>0</v>
      </c>
      <c r="H1905" t="s">
        <v>224</v>
      </c>
      <c r="I1905" t="s">
        <v>247</v>
      </c>
      <c r="J1905" t="s">
        <v>26</v>
      </c>
      <c r="K1905" t="b">
        <v>0</v>
      </c>
      <c r="L1905">
        <v>1997</v>
      </c>
      <c r="M1905">
        <v>23969739233</v>
      </c>
      <c r="N1905">
        <v>85741415285</v>
      </c>
      <c r="O1905" t="b">
        <v>1</v>
      </c>
      <c r="P1905">
        <v>-1</v>
      </c>
      <c r="Q1905" t="str" cm="1">
        <f t="array" ref="Q1905">_xlfn.IFS(Table1[[#This Row],[Wealthier_Winner]]=-1,"Wealthier Nation Loses",Table1[[#This Row],[Wealthier_Winner]]=0,"Tie",Table1[[#This Row],[Wealthier_Winner]]=1,"Wealthier Nation Wins")</f>
        <v>Wealthier Nation Loses</v>
      </c>
    </row>
    <row r="1906" spans="1:17" x14ac:dyDescent="0.2">
      <c r="A1906" s="1">
        <v>3311</v>
      </c>
      <c r="B1906" s="2">
        <v>35662</v>
      </c>
      <c r="C1906" s="7">
        <f>_xlfn.FLOOR.MATH(Table1[[#This Row],[year]],10)</f>
        <v>1990</v>
      </c>
      <c r="D1906" t="s">
        <v>258</v>
      </c>
      <c r="E1906" t="s">
        <v>31</v>
      </c>
      <c r="F1906">
        <v>0</v>
      </c>
      <c r="G1906">
        <v>3</v>
      </c>
      <c r="H1906" t="s">
        <v>224</v>
      </c>
      <c r="I1906" t="s">
        <v>516</v>
      </c>
      <c r="J1906" t="s">
        <v>258</v>
      </c>
      <c r="K1906" t="b">
        <v>0</v>
      </c>
      <c r="L1906">
        <v>1997</v>
      </c>
      <c r="M1906">
        <v>85837678559</v>
      </c>
      <c r="N1906">
        <v>58147522522</v>
      </c>
      <c r="O1906" t="b">
        <v>0</v>
      </c>
      <c r="P1906">
        <v>-1</v>
      </c>
      <c r="Q1906" t="str" cm="1">
        <f t="array" ref="Q1906">_xlfn.IFS(Table1[[#This Row],[Wealthier_Winner]]=-1,"Wealthier Nation Loses",Table1[[#This Row],[Wealthier_Winner]]=0,"Tie",Table1[[#This Row],[Wealthier_Winner]]=1,"Wealthier Nation Wins")</f>
        <v>Wealthier Nation Loses</v>
      </c>
    </row>
    <row r="1907" spans="1:17" x14ac:dyDescent="0.2">
      <c r="A1907" s="1">
        <v>3314</v>
      </c>
      <c r="B1907" s="2">
        <v>35679</v>
      </c>
      <c r="C1907" s="7">
        <f>_xlfn.FLOOR.MATH(Table1[[#This Row],[year]],10)</f>
        <v>1990</v>
      </c>
      <c r="D1907" t="s">
        <v>519</v>
      </c>
      <c r="E1907" t="s">
        <v>373</v>
      </c>
      <c r="F1907">
        <v>3</v>
      </c>
      <c r="G1907">
        <v>0</v>
      </c>
      <c r="H1907" t="s">
        <v>224</v>
      </c>
      <c r="I1907" t="s">
        <v>520</v>
      </c>
      <c r="J1907" t="s">
        <v>519</v>
      </c>
      <c r="K1907" t="b">
        <v>0</v>
      </c>
      <c r="L1907">
        <v>1997</v>
      </c>
      <c r="M1907">
        <v>1639492444</v>
      </c>
      <c r="N1907">
        <v>2293666029</v>
      </c>
      <c r="O1907" t="b">
        <v>0</v>
      </c>
      <c r="P1907">
        <v>-1</v>
      </c>
      <c r="Q1907" t="str" cm="1">
        <f t="array" ref="Q1907">_xlfn.IFS(Table1[[#This Row],[Wealthier_Winner]]=-1,"Wealthier Nation Loses",Table1[[#This Row],[Wealthier_Winner]]=0,"Tie",Table1[[#This Row],[Wealthier_Winner]]=1,"Wealthier Nation Wins")</f>
        <v>Wealthier Nation Loses</v>
      </c>
    </row>
    <row r="1908" spans="1:17" x14ac:dyDescent="0.2">
      <c r="A1908" s="1">
        <v>3315</v>
      </c>
      <c r="B1908" s="2">
        <v>35679</v>
      </c>
      <c r="C1908" s="7">
        <f>_xlfn.FLOOR.MATH(Table1[[#This Row],[year]],10)</f>
        <v>1990</v>
      </c>
      <c r="D1908" t="s">
        <v>29</v>
      </c>
      <c r="E1908" t="s">
        <v>25</v>
      </c>
      <c r="F1908">
        <v>1</v>
      </c>
      <c r="G1908">
        <v>0</v>
      </c>
      <c r="H1908" t="s">
        <v>224</v>
      </c>
      <c r="I1908" t="s">
        <v>270</v>
      </c>
      <c r="J1908" t="s">
        <v>29</v>
      </c>
      <c r="K1908" t="b">
        <v>0</v>
      </c>
      <c r="L1908">
        <v>1997</v>
      </c>
      <c r="M1908">
        <v>211724812267</v>
      </c>
      <c r="N1908">
        <v>268249616890</v>
      </c>
      <c r="O1908" t="b">
        <v>0</v>
      </c>
      <c r="P1908">
        <v>-1</v>
      </c>
      <c r="Q1908" t="str" cm="1">
        <f t="array" ref="Q1908">_xlfn.IFS(Table1[[#This Row],[Wealthier_Winner]]=-1,"Wealthier Nation Loses",Table1[[#This Row],[Wealthier_Winner]]=0,"Tie",Table1[[#This Row],[Wealthier_Winner]]=1,"Wealthier Nation Wins")</f>
        <v>Wealthier Nation Loses</v>
      </c>
    </row>
    <row r="1909" spans="1:17" x14ac:dyDescent="0.2">
      <c r="A1909" s="1">
        <v>3316</v>
      </c>
      <c r="B1909" s="2">
        <v>35679</v>
      </c>
      <c r="C1909" s="7">
        <f>_xlfn.FLOOR.MATH(Table1[[#This Row],[year]],10)</f>
        <v>1990</v>
      </c>
      <c r="D1909" t="s">
        <v>513</v>
      </c>
      <c r="E1909" t="s">
        <v>42</v>
      </c>
      <c r="F1909">
        <v>0</v>
      </c>
      <c r="G1909">
        <v>1</v>
      </c>
      <c r="H1909" t="s">
        <v>224</v>
      </c>
      <c r="I1909" t="s">
        <v>521</v>
      </c>
      <c r="J1909" t="s">
        <v>513</v>
      </c>
      <c r="K1909" t="b">
        <v>0</v>
      </c>
      <c r="L1909">
        <v>1997</v>
      </c>
      <c r="M1909">
        <v>3962362387</v>
      </c>
      <c r="N1909">
        <v>161356631888</v>
      </c>
      <c r="O1909" t="b">
        <v>1</v>
      </c>
      <c r="P1909">
        <v>1</v>
      </c>
      <c r="Q1909" t="str" cm="1">
        <f t="array" ref="Q1909">_xlfn.IFS(Table1[[#This Row],[Wealthier_Winner]]=-1,"Wealthier Nation Loses",Table1[[#This Row],[Wealthier_Winner]]=0,"Tie",Table1[[#This Row],[Wealthier_Winner]]=1,"Wealthier Nation Wins")</f>
        <v>Wealthier Nation Wins</v>
      </c>
    </row>
    <row r="1910" spans="1:17" x14ac:dyDescent="0.2">
      <c r="A1910" s="1">
        <v>3317</v>
      </c>
      <c r="B1910" s="2">
        <v>35679</v>
      </c>
      <c r="C1910" s="7">
        <f>_xlfn.FLOOR.MATH(Table1[[#This Row],[year]],10)</f>
        <v>1990</v>
      </c>
      <c r="D1910" t="s">
        <v>52</v>
      </c>
      <c r="E1910" t="s">
        <v>73</v>
      </c>
      <c r="F1910">
        <v>3</v>
      </c>
      <c r="G1910">
        <v>2</v>
      </c>
      <c r="H1910" t="s">
        <v>224</v>
      </c>
      <c r="I1910" t="s">
        <v>538</v>
      </c>
      <c r="J1910" t="s">
        <v>52</v>
      </c>
      <c r="K1910" t="b">
        <v>0</v>
      </c>
      <c r="L1910">
        <v>1997</v>
      </c>
      <c r="M1910">
        <v>24175764812</v>
      </c>
      <c r="N1910">
        <v>3671909673</v>
      </c>
      <c r="O1910" t="b">
        <v>1</v>
      </c>
      <c r="P1910">
        <v>1</v>
      </c>
      <c r="Q1910" t="str" cm="1">
        <f t="array" ref="Q1910">_xlfn.IFS(Table1[[#This Row],[Wealthier_Winner]]=-1,"Wealthier Nation Loses",Table1[[#This Row],[Wealthier_Winner]]=0,"Tie",Table1[[#This Row],[Wealthier_Winner]]=1,"Wealthier Nation Wins")</f>
        <v>Wealthier Nation Wins</v>
      </c>
    </row>
    <row r="1911" spans="1:17" x14ac:dyDescent="0.2">
      <c r="A1911" s="1">
        <v>3319</v>
      </c>
      <c r="B1911" s="2">
        <v>35679</v>
      </c>
      <c r="C1911" s="7">
        <f>_xlfn.FLOOR.MATH(Table1[[#This Row],[year]],10)</f>
        <v>1990</v>
      </c>
      <c r="D1911" t="s">
        <v>16</v>
      </c>
      <c r="E1911" t="s">
        <v>38</v>
      </c>
      <c r="F1911">
        <v>1</v>
      </c>
      <c r="G1911">
        <v>1</v>
      </c>
      <c r="H1911" t="s">
        <v>224</v>
      </c>
      <c r="I1911" t="s">
        <v>86</v>
      </c>
      <c r="J1911" t="s">
        <v>16</v>
      </c>
      <c r="K1911" t="b">
        <v>0</v>
      </c>
      <c r="L1911">
        <v>1997</v>
      </c>
      <c r="M1911">
        <v>2218790886532</v>
      </c>
      <c r="N1911">
        <v>117016535162</v>
      </c>
      <c r="O1911" t="b">
        <v>1</v>
      </c>
      <c r="P1911">
        <v>0</v>
      </c>
      <c r="Q1911" t="str" cm="1">
        <f t="array" ref="Q1911">_xlfn.IFS(Table1[[#This Row],[Wealthier_Winner]]=-1,"Wealthier Nation Loses",Table1[[#This Row],[Wealthier_Winner]]=0,"Tie",Table1[[#This Row],[Wealthier_Winner]]=1,"Wealthier Nation Wins")</f>
        <v>Tie</v>
      </c>
    </row>
    <row r="1912" spans="1:17" x14ac:dyDescent="0.2">
      <c r="A1912" s="1">
        <v>3321</v>
      </c>
      <c r="B1912" s="2">
        <v>35679</v>
      </c>
      <c r="C1912" s="7">
        <f>_xlfn.FLOOR.MATH(Table1[[#This Row],[year]],10)</f>
        <v>1990</v>
      </c>
      <c r="D1912" t="s">
        <v>195</v>
      </c>
      <c r="E1912" t="s">
        <v>558</v>
      </c>
      <c r="F1912">
        <v>3</v>
      </c>
      <c r="G1912">
        <v>0</v>
      </c>
      <c r="H1912" t="s">
        <v>224</v>
      </c>
      <c r="I1912" t="s">
        <v>136</v>
      </c>
      <c r="J1912" t="s">
        <v>195</v>
      </c>
      <c r="K1912" t="b">
        <v>0</v>
      </c>
      <c r="L1912">
        <v>1997</v>
      </c>
      <c r="M1912">
        <v>589202526424</v>
      </c>
      <c r="N1912">
        <v>22165932062</v>
      </c>
      <c r="O1912" t="b">
        <v>1</v>
      </c>
      <c r="P1912">
        <v>1</v>
      </c>
      <c r="Q1912" t="str" cm="1">
        <f t="array" ref="Q1912">_xlfn.IFS(Table1[[#This Row],[Wealthier_Winner]]=-1,"Wealthier Nation Loses",Table1[[#This Row],[Wealthier_Winner]]=0,"Tie",Table1[[#This Row],[Wealthier_Winner]]=1,"Wealthier Nation Wins")</f>
        <v>Wealthier Nation Wins</v>
      </c>
    </row>
    <row r="1913" spans="1:17" x14ac:dyDescent="0.2">
      <c r="A1913" s="1">
        <v>3322</v>
      </c>
      <c r="B1913" s="2">
        <v>35679</v>
      </c>
      <c r="C1913" s="7">
        <f>_xlfn.FLOOR.MATH(Table1[[#This Row],[year]],10)</f>
        <v>1990</v>
      </c>
      <c r="D1913" t="s">
        <v>525</v>
      </c>
      <c r="E1913" t="s">
        <v>476</v>
      </c>
      <c r="F1913">
        <v>1</v>
      </c>
      <c r="G1913">
        <v>0</v>
      </c>
      <c r="H1913" t="s">
        <v>224</v>
      </c>
      <c r="I1913" t="s">
        <v>526</v>
      </c>
      <c r="J1913" t="s">
        <v>525</v>
      </c>
      <c r="K1913" t="b">
        <v>0</v>
      </c>
      <c r="L1913">
        <v>1997</v>
      </c>
      <c r="M1913">
        <v>6349481006</v>
      </c>
      <c r="N1913">
        <v>5154420649</v>
      </c>
      <c r="O1913" t="b">
        <v>0</v>
      </c>
      <c r="P1913">
        <v>1</v>
      </c>
      <c r="Q1913" t="str" cm="1">
        <f t="array" ref="Q1913">_xlfn.IFS(Table1[[#This Row],[Wealthier_Winner]]=-1,"Wealthier Nation Loses",Table1[[#This Row],[Wealthier_Winner]]=0,"Tie",Table1[[#This Row],[Wealthier_Winner]]=1,"Wealthier Nation Wins")</f>
        <v>Wealthier Nation Wins</v>
      </c>
    </row>
    <row r="1914" spans="1:17" x14ac:dyDescent="0.2">
      <c r="A1914" s="1">
        <v>3323</v>
      </c>
      <c r="B1914" s="2">
        <v>35679</v>
      </c>
      <c r="C1914" s="7">
        <f>_xlfn.FLOOR.MATH(Table1[[#This Row],[year]],10)</f>
        <v>1990</v>
      </c>
      <c r="D1914" t="s">
        <v>503</v>
      </c>
      <c r="E1914" t="s">
        <v>44</v>
      </c>
      <c r="F1914">
        <v>1</v>
      </c>
      <c r="G1914">
        <v>8</v>
      </c>
      <c r="H1914" t="s">
        <v>224</v>
      </c>
      <c r="I1914" t="s">
        <v>537</v>
      </c>
      <c r="J1914" t="s">
        <v>503</v>
      </c>
      <c r="K1914" t="b">
        <v>0</v>
      </c>
      <c r="L1914">
        <v>1997</v>
      </c>
      <c r="M1914">
        <v>2298389802</v>
      </c>
      <c r="N1914">
        <v>35575214078</v>
      </c>
      <c r="O1914" t="b">
        <v>1</v>
      </c>
      <c r="P1914">
        <v>1</v>
      </c>
      <c r="Q1914" t="str" cm="1">
        <f t="array" ref="Q1914">_xlfn.IFS(Table1[[#This Row],[Wealthier_Winner]]=-1,"Wealthier Nation Loses",Table1[[#This Row],[Wealthier_Winner]]=0,"Tie",Table1[[#This Row],[Wealthier_Winner]]=1,"Wealthier Nation Wins")</f>
        <v>Wealthier Nation Wins</v>
      </c>
    </row>
    <row r="1915" spans="1:17" x14ac:dyDescent="0.2">
      <c r="A1915" s="1">
        <v>3324</v>
      </c>
      <c r="B1915" s="2">
        <v>35679</v>
      </c>
      <c r="C1915" s="7">
        <f>_xlfn.FLOOR.MATH(Table1[[#This Row],[year]],10)</f>
        <v>1990</v>
      </c>
      <c r="D1915" t="s">
        <v>523</v>
      </c>
      <c r="E1915" t="s">
        <v>502</v>
      </c>
      <c r="F1915">
        <v>2</v>
      </c>
      <c r="G1915">
        <v>0</v>
      </c>
      <c r="H1915" t="s">
        <v>224</v>
      </c>
      <c r="I1915" t="s">
        <v>533</v>
      </c>
      <c r="J1915" t="s">
        <v>523</v>
      </c>
      <c r="K1915" t="b">
        <v>0</v>
      </c>
      <c r="L1915">
        <v>1997</v>
      </c>
      <c r="M1915">
        <v>10168271903</v>
      </c>
      <c r="N1915">
        <v>3912986090</v>
      </c>
      <c r="O1915" t="b">
        <v>1</v>
      </c>
      <c r="P1915">
        <v>1</v>
      </c>
      <c r="Q1915" t="str" cm="1">
        <f t="array" ref="Q1915">_xlfn.IFS(Table1[[#This Row],[Wealthier_Winner]]=-1,"Wealthier Nation Loses",Table1[[#This Row],[Wealthier_Winner]]=0,"Tie",Table1[[#This Row],[Wealthier_Winner]]=1,"Wealthier Nation Wins")</f>
        <v>Wealthier Nation Wins</v>
      </c>
    </row>
    <row r="1916" spans="1:17" x14ac:dyDescent="0.2">
      <c r="A1916" s="1">
        <v>3325</v>
      </c>
      <c r="B1916" s="2">
        <v>35679</v>
      </c>
      <c r="C1916" s="7">
        <f>_xlfn.FLOOR.MATH(Table1[[#This Row],[year]],10)</f>
        <v>1990</v>
      </c>
      <c r="D1916" t="s">
        <v>27</v>
      </c>
      <c r="E1916" t="s">
        <v>23</v>
      </c>
      <c r="F1916">
        <v>3</v>
      </c>
      <c r="G1916">
        <v>1</v>
      </c>
      <c r="H1916" t="s">
        <v>224</v>
      </c>
      <c r="I1916" t="s">
        <v>265</v>
      </c>
      <c r="J1916" t="s">
        <v>27</v>
      </c>
      <c r="K1916" t="b">
        <v>0</v>
      </c>
      <c r="L1916">
        <v>1997</v>
      </c>
      <c r="M1916">
        <v>417506211881</v>
      </c>
      <c r="N1916">
        <v>252708051420</v>
      </c>
      <c r="O1916" t="b">
        <v>0</v>
      </c>
      <c r="P1916">
        <v>1</v>
      </c>
      <c r="Q1916" t="str" cm="1">
        <f t="array" ref="Q1916">_xlfn.IFS(Table1[[#This Row],[Wealthier_Winner]]=-1,"Wealthier Nation Loses",Table1[[#This Row],[Wealthier_Winner]]=0,"Tie",Table1[[#This Row],[Wealthier_Winner]]=1,"Wealthier Nation Wins")</f>
        <v>Wealthier Nation Wins</v>
      </c>
    </row>
    <row r="1917" spans="1:17" x14ac:dyDescent="0.2">
      <c r="A1917" s="1">
        <v>3326</v>
      </c>
      <c r="B1917" s="2">
        <v>35679</v>
      </c>
      <c r="C1917" s="7">
        <f>_xlfn.FLOOR.MATH(Table1[[#This Row],[year]],10)</f>
        <v>1990</v>
      </c>
      <c r="D1917" t="s">
        <v>55</v>
      </c>
      <c r="E1917" t="s">
        <v>48</v>
      </c>
      <c r="F1917">
        <v>0</v>
      </c>
      <c r="G1917">
        <v>3</v>
      </c>
      <c r="H1917" t="s">
        <v>224</v>
      </c>
      <c r="I1917" t="s">
        <v>529</v>
      </c>
      <c r="J1917" t="s">
        <v>55</v>
      </c>
      <c r="K1917" t="b">
        <v>0</v>
      </c>
      <c r="L1917">
        <v>1997</v>
      </c>
      <c r="M1917">
        <v>20726878751</v>
      </c>
      <c r="N1917">
        <v>138766067640</v>
      </c>
      <c r="O1917" t="b">
        <v>1</v>
      </c>
      <c r="P1917">
        <v>1</v>
      </c>
      <c r="Q1917" t="str" cm="1">
        <f t="array" ref="Q1917">_xlfn.IFS(Table1[[#This Row],[Wealthier_Winner]]=-1,"Wealthier Nation Loses",Table1[[#This Row],[Wealthier_Winner]]=0,"Tie",Table1[[#This Row],[Wealthier_Winner]]=1,"Wealthier Nation Wins")</f>
        <v>Wealthier Nation Wins</v>
      </c>
    </row>
    <row r="1918" spans="1:17" x14ac:dyDescent="0.2">
      <c r="A1918" s="1">
        <v>3327</v>
      </c>
      <c r="B1918" s="2">
        <v>35679</v>
      </c>
      <c r="C1918" s="7">
        <f>_xlfn.FLOOR.MATH(Table1[[#This Row],[year]],10)</f>
        <v>1990</v>
      </c>
      <c r="D1918" t="s">
        <v>46</v>
      </c>
      <c r="E1918" t="s">
        <v>230</v>
      </c>
      <c r="F1918">
        <v>1</v>
      </c>
      <c r="G1918">
        <v>2</v>
      </c>
      <c r="H1918" t="s">
        <v>224</v>
      </c>
      <c r="I1918" t="s">
        <v>243</v>
      </c>
      <c r="J1918" t="s">
        <v>46</v>
      </c>
      <c r="K1918" t="b">
        <v>0</v>
      </c>
      <c r="L1918">
        <v>1997</v>
      </c>
      <c r="M1918">
        <v>294788198856</v>
      </c>
      <c r="N1918">
        <v>126862902302</v>
      </c>
      <c r="O1918" t="b">
        <v>1</v>
      </c>
      <c r="P1918">
        <v>-1</v>
      </c>
      <c r="Q1918" t="str" cm="1">
        <f t="array" ref="Q1918">_xlfn.IFS(Table1[[#This Row],[Wealthier_Winner]]=-1,"Wealthier Nation Loses",Table1[[#This Row],[Wealthier_Winner]]=0,"Tie",Table1[[#This Row],[Wealthier_Winner]]=1,"Wealthier Nation Wins")</f>
        <v>Wealthier Nation Loses</v>
      </c>
    </row>
    <row r="1919" spans="1:17" x14ac:dyDescent="0.2">
      <c r="A1919" s="1">
        <v>3328</v>
      </c>
      <c r="B1919" s="2">
        <v>35680</v>
      </c>
      <c r="C1919" s="7">
        <f>_xlfn.FLOOR.MATH(Table1[[#This Row],[year]],10)</f>
        <v>1990</v>
      </c>
      <c r="D1919" t="s">
        <v>49</v>
      </c>
      <c r="E1919" t="s">
        <v>34</v>
      </c>
      <c r="F1919">
        <v>1</v>
      </c>
      <c r="G1919">
        <v>0</v>
      </c>
      <c r="H1919" t="s">
        <v>224</v>
      </c>
      <c r="I1919" t="s">
        <v>257</v>
      </c>
      <c r="J1919" t="s">
        <v>49</v>
      </c>
      <c r="K1919" t="b">
        <v>0</v>
      </c>
      <c r="L1919">
        <v>1997</v>
      </c>
      <c r="M1919">
        <v>8400041723</v>
      </c>
      <c r="N1919">
        <v>654986999855</v>
      </c>
      <c r="O1919" t="b">
        <v>1</v>
      </c>
      <c r="P1919">
        <v>-1</v>
      </c>
      <c r="Q1919" t="str" cm="1">
        <f t="array" ref="Q1919">_xlfn.IFS(Table1[[#This Row],[Wealthier_Winner]]=-1,"Wealthier Nation Loses",Table1[[#This Row],[Wealthier_Winner]]=0,"Tie",Table1[[#This Row],[Wealthier_Winner]]=1,"Wealthier Nation Wins")</f>
        <v>Wealthier Nation Loses</v>
      </c>
    </row>
    <row r="1920" spans="1:17" x14ac:dyDescent="0.2">
      <c r="A1920" s="1">
        <v>3329</v>
      </c>
      <c r="B1920" s="2">
        <v>35680</v>
      </c>
      <c r="C1920" s="7">
        <f>_xlfn.FLOOR.MATH(Table1[[#This Row],[year]],10)</f>
        <v>1990</v>
      </c>
      <c r="D1920" t="s">
        <v>51</v>
      </c>
      <c r="E1920" t="s">
        <v>563</v>
      </c>
      <c r="F1920">
        <v>6</v>
      </c>
      <c r="G1920">
        <v>3</v>
      </c>
      <c r="H1920" t="s">
        <v>224</v>
      </c>
      <c r="I1920" t="s">
        <v>245</v>
      </c>
      <c r="J1920" t="s">
        <v>51</v>
      </c>
      <c r="K1920" t="b">
        <v>0</v>
      </c>
      <c r="L1920">
        <v>1997</v>
      </c>
      <c r="M1920">
        <v>4492448605638</v>
      </c>
      <c r="N1920">
        <v>14744603773</v>
      </c>
      <c r="O1920" t="b">
        <v>1</v>
      </c>
      <c r="P1920">
        <v>1</v>
      </c>
      <c r="Q1920" t="str" cm="1">
        <f t="array" ref="Q1920">_xlfn.IFS(Table1[[#This Row],[Wealthier_Winner]]=-1,"Wealthier Nation Loses",Table1[[#This Row],[Wealthier_Winner]]=0,"Tie",Table1[[#This Row],[Wealthier_Winner]]=1,"Wealthier Nation Wins")</f>
        <v>Wealthier Nation Wins</v>
      </c>
    </row>
    <row r="1921" spans="1:17" x14ac:dyDescent="0.2">
      <c r="A1921" s="1">
        <v>3330</v>
      </c>
      <c r="B1921" s="2">
        <v>35680</v>
      </c>
      <c r="C1921" s="7">
        <f>_xlfn.FLOOR.MATH(Table1[[#This Row],[year]],10)</f>
        <v>1990</v>
      </c>
      <c r="D1921" t="s">
        <v>232</v>
      </c>
      <c r="E1921" t="s">
        <v>351</v>
      </c>
      <c r="F1921">
        <v>1</v>
      </c>
      <c r="G1921">
        <v>3</v>
      </c>
      <c r="H1921" t="s">
        <v>224</v>
      </c>
      <c r="I1921" t="s">
        <v>232</v>
      </c>
      <c r="J1921" t="s">
        <v>232</v>
      </c>
      <c r="K1921" t="b">
        <v>0</v>
      </c>
      <c r="L1921">
        <v>1997</v>
      </c>
      <c r="M1921">
        <v>19563836265</v>
      </c>
      <c r="N1921">
        <v>9547816419</v>
      </c>
      <c r="O1921" t="b">
        <v>1</v>
      </c>
      <c r="P1921">
        <v>-1</v>
      </c>
      <c r="Q1921" t="str" cm="1">
        <f t="array" ref="Q1921">_xlfn.IFS(Table1[[#This Row],[Wealthier_Winner]]=-1,"Wealthier Nation Loses",Table1[[#This Row],[Wealthier_Winner]]=0,"Tie",Table1[[#This Row],[Wealthier_Winner]]=1,"Wealthier Nation Wins")</f>
        <v>Wealthier Nation Loses</v>
      </c>
    </row>
    <row r="1922" spans="1:17" x14ac:dyDescent="0.2">
      <c r="A1922" s="1">
        <v>3332</v>
      </c>
      <c r="B1922" s="2">
        <v>35680</v>
      </c>
      <c r="C1922" s="7">
        <f>_xlfn.FLOOR.MATH(Table1[[#This Row],[year]],10)</f>
        <v>1990</v>
      </c>
      <c r="D1922" t="s">
        <v>41</v>
      </c>
      <c r="E1922" t="s">
        <v>56</v>
      </c>
      <c r="F1922">
        <v>1</v>
      </c>
      <c r="G1922">
        <v>0</v>
      </c>
      <c r="H1922" t="s">
        <v>224</v>
      </c>
      <c r="I1922" t="s">
        <v>575</v>
      </c>
      <c r="J1922" t="s">
        <v>41</v>
      </c>
      <c r="K1922" t="b">
        <v>0</v>
      </c>
      <c r="L1922">
        <v>1997</v>
      </c>
      <c r="M1922">
        <v>8577554457000</v>
      </c>
      <c r="N1922">
        <v>12614602382</v>
      </c>
      <c r="O1922" t="b">
        <v>1</v>
      </c>
      <c r="P1922">
        <v>1</v>
      </c>
      <c r="Q1922" t="str" cm="1">
        <f t="array" ref="Q1922">_xlfn.IFS(Table1[[#This Row],[Wealthier_Winner]]=-1,"Wealthier Nation Loses",Table1[[#This Row],[Wealthier_Winner]]=0,"Tie",Table1[[#This Row],[Wealthier_Winner]]=1,"Wealthier Nation Wins")</f>
        <v>Wealthier Nation Wins</v>
      </c>
    </row>
    <row r="1923" spans="1:17" x14ac:dyDescent="0.2">
      <c r="A1923" s="1">
        <v>3334</v>
      </c>
      <c r="B1923" s="2">
        <v>35683</v>
      </c>
      <c r="C1923" s="7">
        <f>_xlfn.FLOOR.MATH(Table1[[#This Row],[year]],10)</f>
        <v>1990</v>
      </c>
      <c r="D1923" t="s">
        <v>510</v>
      </c>
      <c r="E1923" t="s">
        <v>29</v>
      </c>
      <c r="F1923">
        <v>0</v>
      </c>
      <c r="G1923">
        <v>1</v>
      </c>
      <c r="H1923" t="s">
        <v>224</v>
      </c>
      <c r="I1923" t="s">
        <v>522</v>
      </c>
      <c r="J1923" t="s">
        <v>510</v>
      </c>
      <c r="K1923" t="b">
        <v>0</v>
      </c>
      <c r="L1923">
        <v>1997</v>
      </c>
      <c r="M1923">
        <v>14128408565</v>
      </c>
      <c r="N1923">
        <v>211724812267</v>
      </c>
      <c r="O1923" t="b">
        <v>1</v>
      </c>
      <c r="P1923">
        <v>1</v>
      </c>
      <c r="Q1923" t="str" cm="1">
        <f t="array" ref="Q1923">_xlfn.IFS(Table1[[#This Row],[Wealthier_Winner]]=-1,"Wealthier Nation Loses",Table1[[#This Row],[Wealthier_Winner]]=0,"Tie",Table1[[#This Row],[Wealthier_Winner]]=1,"Wealthier Nation Wins")</f>
        <v>Wealthier Nation Wins</v>
      </c>
    </row>
    <row r="1924" spans="1:17" x14ac:dyDescent="0.2">
      <c r="A1924" s="1">
        <v>3335</v>
      </c>
      <c r="B1924" s="2">
        <v>35683</v>
      </c>
      <c r="C1924" s="7">
        <f>_xlfn.FLOOR.MATH(Table1[[#This Row],[year]],10)</f>
        <v>1990</v>
      </c>
      <c r="D1924" t="s">
        <v>73</v>
      </c>
      <c r="E1924" t="s">
        <v>55</v>
      </c>
      <c r="F1924">
        <v>1</v>
      </c>
      <c r="G1924">
        <v>0</v>
      </c>
      <c r="H1924" t="s">
        <v>224</v>
      </c>
      <c r="I1924" t="s">
        <v>550</v>
      </c>
      <c r="J1924" t="s">
        <v>73</v>
      </c>
      <c r="K1924" t="b">
        <v>0</v>
      </c>
      <c r="L1924">
        <v>1997</v>
      </c>
      <c r="M1924">
        <v>3671909673</v>
      </c>
      <c r="N1924">
        <v>20726878751</v>
      </c>
      <c r="O1924" t="b">
        <v>1</v>
      </c>
      <c r="P1924">
        <v>-1</v>
      </c>
      <c r="Q1924" t="str" cm="1">
        <f t="array" ref="Q1924">_xlfn.IFS(Table1[[#This Row],[Wealthier_Winner]]=-1,"Wealthier Nation Loses",Table1[[#This Row],[Wealthier_Winner]]=0,"Tie",Table1[[#This Row],[Wealthier_Winner]]=1,"Wealthier Nation Wins")</f>
        <v>Wealthier Nation Loses</v>
      </c>
    </row>
    <row r="1925" spans="1:17" x14ac:dyDescent="0.2">
      <c r="A1925" s="1">
        <v>3336</v>
      </c>
      <c r="B1925" s="2">
        <v>35683</v>
      </c>
      <c r="C1925" s="7">
        <f>_xlfn.FLOOR.MATH(Table1[[#This Row],[year]],10)</f>
        <v>1990</v>
      </c>
      <c r="D1925" t="s">
        <v>33</v>
      </c>
      <c r="E1925" t="s">
        <v>196</v>
      </c>
      <c r="F1925">
        <v>1</v>
      </c>
      <c r="G1925">
        <v>0</v>
      </c>
      <c r="H1925" t="s">
        <v>224</v>
      </c>
      <c r="I1925" t="s">
        <v>375</v>
      </c>
      <c r="J1925" t="s">
        <v>33</v>
      </c>
      <c r="K1925" t="b">
        <v>0</v>
      </c>
      <c r="L1925">
        <v>1997</v>
      </c>
      <c r="M1925">
        <v>11316127378</v>
      </c>
      <c r="N1925">
        <v>404928954191</v>
      </c>
      <c r="O1925" t="b">
        <v>1</v>
      </c>
      <c r="P1925">
        <v>-1</v>
      </c>
      <c r="Q1925" t="str" cm="1">
        <f t="array" ref="Q1925">_xlfn.IFS(Table1[[#This Row],[Wealthier_Winner]]=-1,"Wealthier Nation Loses",Table1[[#This Row],[Wealthier_Winner]]=0,"Tie",Table1[[#This Row],[Wealthier_Winner]]=1,"Wealthier Nation Wins")</f>
        <v>Wealthier Nation Loses</v>
      </c>
    </row>
    <row r="1926" spans="1:17" x14ac:dyDescent="0.2">
      <c r="A1926" s="1">
        <v>3337</v>
      </c>
      <c r="B1926" s="2">
        <v>35683</v>
      </c>
      <c r="C1926" s="7">
        <f>_xlfn.FLOOR.MATH(Table1[[#This Row],[year]],10)</f>
        <v>1990</v>
      </c>
      <c r="D1926" t="s">
        <v>14</v>
      </c>
      <c r="E1926" t="s">
        <v>19</v>
      </c>
      <c r="F1926">
        <v>1</v>
      </c>
      <c r="G1926">
        <v>2</v>
      </c>
      <c r="H1926" t="s">
        <v>224</v>
      </c>
      <c r="I1926" t="s">
        <v>75</v>
      </c>
      <c r="J1926" t="s">
        <v>14</v>
      </c>
      <c r="K1926" t="b">
        <v>0</v>
      </c>
      <c r="L1926">
        <v>1997</v>
      </c>
      <c r="M1926">
        <v>85741415285</v>
      </c>
      <c r="N1926">
        <v>292859000000</v>
      </c>
      <c r="O1926" t="b">
        <v>1</v>
      </c>
      <c r="P1926">
        <v>1</v>
      </c>
      <c r="Q1926" t="str" cm="1">
        <f t="array" ref="Q1926">_xlfn.IFS(Table1[[#This Row],[Wealthier_Winner]]=-1,"Wealthier Nation Loses",Table1[[#This Row],[Wealthier_Winner]]=0,"Tie",Table1[[#This Row],[Wealthier_Winner]]=1,"Wealthier Nation Wins")</f>
        <v>Wealthier Nation Wins</v>
      </c>
    </row>
    <row r="1927" spans="1:17" x14ac:dyDescent="0.2">
      <c r="A1927" s="1">
        <v>3338</v>
      </c>
      <c r="B1927" s="2">
        <v>35683</v>
      </c>
      <c r="C1927" s="7">
        <f>_xlfn.FLOOR.MATH(Table1[[#This Row],[year]],10)</f>
        <v>1990</v>
      </c>
      <c r="D1927" t="s">
        <v>15</v>
      </c>
      <c r="E1927" t="s">
        <v>258</v>
      </c>
      <c r="F1927">
        <v>1</v>
      </c>
      <c r="G1927">
        <v>0</v>
      </c>
      <c r="H1927" t="s">
        <v>224</v>
      </c>
      <c r="I1927" t="s">
        <v>261</v>
      </c>
      <c r="J1927" t="s">
        <v>15</v>
      </c>
      <c r="K1927" t="b">
        <v>0</v>
      </c>
      <c r="L1927">
        <v>1997</v>
      </c>
      <c r="M1927">
        <v>106659508271</v>
      </c>
      <c r="N1927">
        <v>85837678559</v>
      </c>
      <c r="O1927" t="b">
        <v>0</v>
      </c>
      <c r="P1927">
        <v>1</v>
      </c>
      <c r="Q1927" t="str" cm="1">
        <f t="array" ref="Q1927">_xlfn.IFS(Table1[[#This Row],[Wealthier_Winner]]=-1,"Wealthier Nation Loses",Table1[[#This Row],[Wealthier_Winner]]=0,"Tie",Table1[[#This Row],[Wealthier_Winner]]=1,"Wealthier Nation Wins")</f>
        <v>Wealthier Nation Wins</v>
      </c>
    </row>
    <row r="1928" spans="1:17" x14ac:dyDescent="0.2">
      <c r="A1928" s="1">
        <v>3339</v>
      </c>
      <c r="B1928" s="2">
        <v>35683</v>
      </c>
      <c r="C1928" s="7">
        <f>_xlfn.FLOOR.MATH(Table1[[#This Row],[year]],10)</f>
        <v>1990</v>
      </c>
      <c r="D1928" t="s">
        <v>36</v>
      </c>
      <c r="E1928" t="s">
        <v>52</v>
      </c>
      <c r="F1928">
        <v>3</v>
      </c>
      <c r="G1928">
        <v>1</v>
      </c>
      <c r="H1928" t="s">
        <v>224</v>
      </c>
      <c r="I1928" t="s">
        <v>264</v>
      </c>
      <c r="J1928" t="s">
        <v>36</v>
      </c>
      <c r="K1928" t="b">
        <v>0</v>
      </c>
      <c r="L1928">
        <v>1997</v>
      </c>
      <c r="M1928">
        <v>173241365735</v>
      </c>
      <c r="N1928">
        <v>24175764812</v>
      </c>
      <c r="O1928" t="b">
        <v>1</v>
      </c>
      <c r="P1928">
        <v>1</v>
      </c>
      <c r="Q1928" t="str" cm="1">
        <f t="array" ref="Q1928">_xlfn.IFS(Table1[[#This Row],[Wealthier_Winner]]=-1,"Wealthier Nation Loses",Table1[[#This Row],[Wealthier_Winner]]=0,"Tie",Table1[[#This Row],[Wealthier_Winner]]=1,"Wealthier Nation Wins")</f>
        <v>Wealthier Nation Wins</v>
      </c>
    </row>
    <row r="1929" spans="1:17" x14ac:dyDescent="0.2">
      <c r="A1929" s="1">
        <v>3340</v>
      </c>
      <c r="B1929" s="2">
        <v>35683</v>
      </c>
      <c r="C1929" s="7">
        <f>_xlfn.FLOOR.MATH(Table1[[#This Row],[year]],10)</f>
        <v>1990</v>
      </c>
      <c r="D1929" t="s">
        <v>194</v>
      </c>
      <c r="E1929" t="s">
        <v>527</v>
      </c>
      <c r="F1929">
        <v>4</v>
      </c>
      <c r="G1929">
        <v>0</v>
      </c>
      <c r="H1929" t="s">
        <v>224</v>
      </c>
      <c r="I1929" t="s">
        <v>80</v>
      </c>
      <c r="J1929" t="s">
        <v>194</v>
      </c>
      <c r="K1929" t="b">
        <v>0</v>
      </c>
      <c r="L1929">
        <v>1997</v>
      </c>
      <c r="M1929">
        <v>1569317288801</v>
      </c>
      <c r="N1929">
        <v>1930081168</v>
      </c>
      <c r="O1929" t="b">
        <v>1</v>
      </c>
      <c r="P1929">
        <v>1</v>
      </c>
      <c r="Q1929" t="str" cm="1">
        <f t="array" ref="Q1929">_xlfn.IFS(Table1[[#This Row],[Wealthier_Winner]]=-1,"Wealthier Nation Loses",Table1[[#This Row],[Wealthier_Winner]]=0,"Tie",Table1[[#This Row],[Wealthier_Winner]]=1,"Wealthier Nation Wins")</f>
        <v>Wealthier Nation Wins</v>
      </c>
    </row>
    <row r="1930" spans="1:17" x14ac:dyDescent="0.2">
      <c r="A1930" s="1">
        <v>3341</v>
      </c>
      <c r="B1930" s="2">
        <v>35683</v>
      </c>
      <c r="C1930" s="7">
        <f>_xlfn.FLOOR.MATH(Table1[[#This Row],[year]],10)</f>
        <v>1990</v>
      </c>
      <c r="D1930" t="s">
        <v>534</v>
      </c>
      <c r="E1930" t="s">
        <v>18</v>
      </c>
      <c r="F1930">
        <v>0</v>
      </c>
      <c r="G1930">
        <v>0</v>
      </c>
      <c r="H1930" t="s">
        <v>224</v>
      </c>
      <c r="I1930" t="s">
        <v>536</v>
      </c>
      <c r="J1930" t="s">
        <v>534</v>
      </c>
      <c r="K1930" t="b">
        <v>0</v>
      </c>
      <c r="L1930">
        <v>1997</v>
      </c>
      <c r="M1930">
        <v>3510520231</v>
      </c>
      <c r="N1930">
        <v>1244988176443</v>
      </c>
      <c r="O1930" t="b">
        <v>1</v>
      </c>
      <c r="P1930">
        <v>0</v>
      </c>
      <c r="Q1930" t="str" cm="1">
        <f t="array" ref="Q1930">_xlfn.IFS(Table1[[#This Row],[Wealthier_Winner]]=-1,"Wealthier Nation Loses",Table1[[#This Row],[Wealthier_Winner]]=0,"Tie",Table1[[#This Row],[Wealthier_Winner]]=1,"Wealthier Nation Wins")</f>
        <v>Tie</v>
      </c>
    </row>
    <row r="1931" spans="1:17" x14ac:dyDescent="0.2">
      <c r="A1931" s="1">
        <v>3342</v>
      </c>
      <c r="B1931" s="2">
        <v>35683</v>
      </c>
      <c r="C1931" s="7">
        <f>_xlfn.FLOOR.MATH(Table1[[#This Row],[year]],10)</f>
        <v>1990</v>
      </c>
      <c r="D1931" t="s">
        <v>16</v>
      </c>
      <c r="E1931" t="s">
        <v>519</v>
      </c>
      <c r="F1931">
        <v>4</v>
      </c>
      <c r="G1931">
        <v>0</v>
      </c>
      <c r="H1931" t="s">
        <v>224</v>
      </c>
      <c r="I1931" t="s">
        <v>91</v>
      </c>
      <c r="J1931" t="s">
        <v>16</v>
      </c>
      <c r="K1931" t="b">
        <v>0</v>
      </c>
      <c r="L1931">
        <v>1997</v>
      </c>
      <c r="M1931">
        <v>2218790886532</v>
      </c>
      <c r="N1931">
        <v>1639492444</v>
      </c>
      <c r="O1931" t="b">
        <v>1</v>
      </c>
      <c r="P1931">
        <v>1</v>
      </c>
      <c r="Q1931" t="str" cm="1">
        <f t="array" ref="Q1931">_xlfn.IFS(Table1[[#This Row],[Wealthier_Winner]]=-1,"Wealthier Nation Loses",Table1[[#This Row],[Wealthier_Winner]]=0,"Tie",Table1[[#This Row],[Wealthier_Winner]]=1,"Wealthier Nation Wins")</f>
        <v>Wealthier Nation Wins</v>
      </c>
    </row>
    <row r="1932" spans="1:17" x14ac:dyDescent="0.2">
      <c r="A1932" s="1">
        <v>3343</v>
      </c>
      <c r="B1932" s="2">
        <v>35683</v>
      </c>
      <c r="C1932" s="7">
        <f>_xlfn.FLOOR.MATH(Table1[[#This Row],[year]],10)</f>
        <v>1990</v>
      </c>
      <c r="D1932" t="s">
        <v>30</v>
      </c>
      <c r="E1932" t="s">
        <v>513</v>
      </c>
      <c r="F1932">
        <v>3</v>
      </c>
      <c r="G1932">
        <v>1</v>
      </c>
      <c r="H1932" t="s">
        <v>224</v>
      </c>
      <c r="I1932" t="s">
        <v>297</v>
      </c>
      <c r="J1932" t="s">
        <v>30</v>
      </c>
      <c r="K1932" t="b">
        <v>0</v>
      </c>
      <c r="L1932">
        <v>1997</v>
      </c>
      <c r="M1932">
        <v>47398564799</v>
      </c>
      <c r="N1932">
        <v>3962362387</v>
      </c>
      <c r="O1932" t="b">
        <v>1</v>
      </c>
      <c r="P1932">
        <v>1</v>
      </c>
      <c r="Q1932" t="str" cm="1">
        <f t="array" ref="Q1932">_xlfn.IFS(Table1[[#This Row],[Wealthier_Winner]]=-1,"Wealthier Nation Loses",Table1[[#This Row],[Wealthier_Winner]]=0,"Tie",Table1[[#This Row],[Wealthier_Winner]]=1,"Wealthier Nation Wins")</f>
        <v>Wealthier Nation Wins</v>
      </c>
    </row>
    <row r="1933" spans="1:17" x14ac:dyDescent="0.2">
      <c r="A1933" s="1">
        <v>3345</v>
      </c>
      <c r="B1933" s="2">
        <v>35683</v>
      </c>
      <c r="C1933" s="7">
        <f>_xlfn.FLOOR.MATH(Table1[[#This Row],[year]],10)</f>
        <v>1990</v>
      </c>
      <c r="D1933" t="s">
        <v>42</v>
      </c>
      <c r="E1933" t="s">
        <v>46</v>
      </c>
      <c r="F1933">
        <v>5</v>
      </c>
      <c r="G1933">
        <v>0</v>
      </c>
      <c r="H1933" t="s">
        <v>224</v>
      </c>
      <c r="I1933" t="s">
        <v>262</v>
      </c>
      <c r="J1933" t="s">
        <v>42</v>
      </c>
      <c r="K1933" t="b">
        <v>0</v>
      </c>
      <c r="L1933">
        <v>1997</v>
      </c>
      <c r="M1933">
        <v>161356631888</v>
      </c>
      <c r="N1933">
        <v>294788198856</v>
      </c>
      <c r="O1933" t="b">
        <v>0</v>
      </c>
      <c r="P1933">
        <v>-1</v>
      </c>
      <c r="Q1933" t="str" cm="1">
        <f t="array" ref="Q1933">_xlfn.IFS(Table1[[#This Row],[Wealthier_Winner]]=-1,"Wealthier Nation Loses",Table1[[#This Row],[Wealthier_Winner]]=0,"Tie",Table1[[#This Row],[Wealthier_Winner]]=1,"Wealthier Nation Wins")</f>
        <v>Wealthier Nation Loses</v>
      </c>
    </row>
    <row r="1934" spans="1:17" x14ac:dyDescent="0.2">
      <c r="A1934" s="1">
        <v>3346</v>
      </c>
      <c r="B1934" s="2">
        <v>35683</v>
      </c>
      <c r="C1934" s="7">
        <f>_xlfn.FLOOR.MATH(Table1[[#This Row],[year]],10)</f>
        <v>1990</v>
      </c>
      <c r="D1934" t="s">
        <v>35</v>
      </c>
      <c r="E1934" t="s">
        <v>47</v>
      </c>
      <c r="F1934">
        <v>2</v>
      </c>
      <c r="G1934">
        <v>1</v>
      </c>
      <c r="H1934" t="s">
        <v>224</v>
      </c>
      <c r="I1934" t="s">
        <v>250</v>
      </c>
      <c r="J1934" t="s">
        <v>35</v>
      </c>
      <c r="K1934" t="b">
        <v>0</v>
      </c>
      <c r="L1934">
        <v>1997</v>
      </c>
      <c r="M1934">
        <v>9965225678</v>
      </c>
      <c r="N1934">
        <v>7925736821</v>
      </c>
      <c r="O1934" t="b">
        <v>0</v>
      </c>
      <c r="P1934">
        <v>1</v>
      </c>
      <c r="Q1934" t="str" cm="1">
        <f t="array" ref="Q1934">_xlfn.IFS(Table1[[#This Row],[Wealthier_Winner]]=-1,"Wealthier Nation Loses",Table1[[#This Row],[Wealthier_Winner]]=0,"Tie",Table1[[#This Row],[Wealthier_Winner]]=1,"Wealthier Nation Wins")</f>
        <v>Wealthier Nation Wins</v>
      </c>
    </row>
    <row r="1935" spans="1:17" x14ac:dyDescent="0.2">
      <c r="A1935" s="1">
        <v>3347</v>
      </c>
      <c r="B1935" s="2">
        <v>35683</v>
      </c>
      <c r="C1935" s="7">
        <f>_xlfn.FLOOR.MATH(Table1[[#This Row],[year]],10)</f>
        <v>1990</v>
      </c>
      <c r="D1935" t="s">
        <v>31</v>
      </c>
      <c r="E1935" t="s">
        <v>26</v>
      </c>
      <c r="F1935">
        <v>2</v>
      </c>
      <c r="G1935">
        <v>1</v>
      </c>
      <c r="H1935" t="s">
        <v>224</v>
      </c>
      <c r="I1935" t="s">
        <v>242</v>
      </c>
      <c r="J1935" t="s">
        <v>31</v>
      </c>
      <c r="K1935" t="b">
        <v>0</v>
      </c>
      <c r="L1935">
        <v>1997</v>
      </c>
      <c r="M1935">
        <v>58147522522</v>
      </c>
      <c r="N1935">
        <v>23969739233</v>
      </c>
      <c r="O1935" t="b">
        <v>1</v>
      </c>
      <c r="P1935">
        <v>1</v>
      </c>
      <c r="Q1935" t="str" cm="1">
        <f t="array" ref="Q1935">_xlfn.IFS(Table1[[#This Row],[Wealthier_Winner]]=-1,"Wealthier Nation Loses",Table1[[#This Row],[Wealthier_Winner]]=0,"Tie",Table1[[#This Row],[Wealthier_Winner]]=1,"Wealthier Nation Wins")</f>
        <v>Wealthier Nation Wins</v>
      </c>
    </row>
    <row r="1936" spans="1:17" x14ac:dyDescent="0.2">
      <c r="A1936" s="1">
        <v>3348</v>
      </c>
      <c r="B1936" s="2">
        <v>35683</v>
      </c>
      <c r="C1936" s="7">
        <f>_xlfn.FLOOR.MATH(Table1[[#This Row],[year]],10)</f>
        <v>1990</v>
      </c>
      <c r="D1936" t="s">
        <v>44</v>
      </c>
      <c r="E1936" t="s">
        <v>66</v>
      </c>
      <c r="F1936">
        <v>4</v>
      </c>
      <c r="G1936">
        <v>0</v>
      </c>
      <c r="H1936" t="s">
        <v>224</v>
      </c>
      <c r="I1936" t="s">
        <v>425</v>
      </c>
      <c r="J1936" t="s">
        <v>44</v>
      </c>
      <c r="K1936" t="b">
        <v>0</v>
      </c>
      <c r="L1936">
        <v>1997</v>
      </c>
      <c r="M1936">
        <v>35575214078</v>
      </c>
      <c r="N1936">
        <v>7716781803</v>
      </c>
      <c r="O1936" t="b">
        <v>1</v>
      </c>
      <c r="P1936">
        <v>1</v>
      </c>
      <c r="Q1936" t="str" cm="1">
        <f t="array" ref="Q1936">_xlfn.IFS(Table1[[#This Row],[Wealthier_Winner]]=-1,"Wealthier Nation Loses",Table1[[#This Row],[Wealthier_Winner]]=0,"Tie",Table1[[#This Row],[Wealthier_Winner]]=1,"Wealthier Nation Wins")</f>
        <v>Wealthier Nation Wins</v>
      </c>
    </row>
    <row r="1937" spans="1:17" x14ac:dyDescent="0.2">
      <c r="A1937" s="1">
        <v>3351</v>
      </c>
      <c r="B1937" s="2">
        <v>35683</v>
      </c>
      <c r="C1937" s="7">
        <f>_xlfn.FLOOR.MATH(Table1[[#This Row],[year]],10)</f>
        <v>1990</v>
      </c>
      <c r="D1937" t="s">
        <v>25</v>
      </c>
      <c r="E1937" t="s">
        <v>525</v>
      </c>
      <c r="F1937">
        <v>1</v>
      </c>
      <c r="G1937">
        <v>0</v>
      </c>
      <c r="H1937" t="s">
        <v>224</v>
      </c>
      <c r="I1937" t="s">
        <v>233</v>
      </c>
      <c r="J1937" t="s">
        <v>25</v>
      </c>
      <c r="K1937" t="b">
        <v>0</v>
      </c>
      <c r="L1937">
        <v>1997</v>
      </c>
      <c r="M1937">
        <v>268249616890</v>
      </c>
      <c r="N1937">
        <v>6349481006</v>
      </c>
      <c r="O1937" t="b">
        <v>1</v>
      </c>
      <c r="P1937">
        <v>1</v>
      </c>
      <c r="Q1937" t="str" cm="1">
        <f t="array" ref="Q1937">_xlfn.IFS(Table1[[#This Row],[Wealthier_Winner]]=-1,"Wealthier Nation Loses",Table1[[#This Row],[Wealthier_Winner]]=0,"Tie",Table1[[#This Row],[Wealthier_Winner]]=1,"Wealthier Nation Wins")</f>
        <v>Wealthier Nation Wins</v>
      </c>
    </row>
    <row r="1938" spans="1:17" x14ac:dyDescent="0.2">
      <c r="A1938" s="1">
        <v>3352</v>
      </c>
      <c r="B1938" s="2">
        <v>35685</v>
      </c>
      <c r="C1938" s="7">
        <f>_xlfn.FLOOR.MATH(Table1[[#This Row],[year]],10)</f>
        <v>1990</v>
      </c>
      <c r="D1938" t="s">
        <v>195</v>
      </c>
      <c r="E1938" t="s">
        <v>563</v>
      </c>
      <c r="F1938">
        <v>2</v>
      </c>
      <c r="G1938">
        <v>1</v>
      </c>
      <c r="H1938" t="s">
        <v>224</v>
      </c>
      <c r="I1938" t="s">
        <v>136</v>
      </c>
      <c r="J1938" t="s">
        <v>195</v>
      </c>
      <c r="K1938" t="b">
        <v>0</v>
      </c>
      <c r="L1938">
        <v>1997</v>
      </c>
      <c r="M1938">
        <v>589202526424</v>
      </c>
      <c r="N1938">
        <v>14744603773</v>
      </c>
      <c r="O1938" t="b">
        <v>1</v>
      </c>
      <c r="P1938">
        <v>1</v>
      </c>
      <c r="Q1938" t="str" cm="1">
        <f t="array" ref="Q1938">_xlfn.IFS(Table1[[#This Row],[Wealthier_Winner]]=-1,"Wealthier Nation Loses",Table1[[#This Row],[Wealthier_Winner]]=0,"Tie",Table1[[#This Row],[Wealthier_Winner]]=1,"Wealthier Nation Wins")</f>
        <v>Wealthier Nation Wins</v>
      </c>
    </row>
    <row r="1939" spans="1:17" x14ac:dyDescent="0.2">
      <c r="A1939" s="1">
        <v>3353</v>
      </c>
      <c r="B1939" s="2">
        <v>35685</v>
      </c>
      <c r="C1939" s="7">
        <f>_xlfn.FLOOR.MATH(Table1[[#This Row],[year]],10)</f>
        <v>1990</v>
      </c>
      <c r="D1939" t="s">
        <v>39</v>
      </c>
      <c r="E1939" t="s">
        <v>558</v>
      </c>
      <c r="F1939">
        <v>4</v>
      </c>
      <c r="G1939">
        <v>0</v>
      </c>
      <c r="H1939" t="s">
        <v>224</v>
      </c>
      <c r="I1939" t="s">
        <v>576</v>
      </c>
      <c r="J1939" t="s">
        <v>39</v>
      </c>
      <c r="K1939" t="b">
        <v>0</v>
      </c>
      <c r="L1939">
        <v>1997</v>
      </c>
      <c r="M1939">
        <v>78839008444</v>
      </c>
      <c r="N1939">
        <v>22165932062</v>
      </c>
      <c r="O1939" t="b">
        <v>1</v>
      </c>
      <c r="P1939">
        <v>1</v>
      </c>
      <c r="Q1939" t="str" cm="1">
        <f t="array" ref="Q1939">_xlfn.IFS(Table1[[#This Row],[Wealthier_Winner]]=-1,"Wealthier Nation Loses",Table1[[#This Row],[Wealthier_Winner]]=0,"Tie",Table1[[#This Row],[Wealthier_Winner]]=1,"Wealthier Nation Wins")</f>
        <v>Wealthier Nation Wins</v>
      </c>
    </row>
    <row r="1940" spans="1:17" x14ac:dyDescent="0.2">
      <c r="A1940" s="1">
        <v>3355</v>
      </c>
      <c r="B1940" s="2">
        <v>35687</v>
      </c>
      <c r="C1940" s="7">
        <f>_xlfn.FLOOR.MATH(Table1[[#This Row],[year]],10)</f>
        <v>1990</v>
      </c>
      <c r="D1940" t="s">
        <v>69</v>
      </c>
      <c r="E1940" t="s">
        <v>34</v>
      </c>
      <c r="F1940">
        <v>4</v>
      </c>
      <c r="G1940">
        <v>1</v>
      </c>
      <c r="H1940" t="s">
        <v>224</v>
      </c>
      <c r="I1940" t="s">
        <v>281</v>
      </c>
      <c r="J1940" t="s">
        <v>69</v>
      </c>
      <c r="K1940" t="b">
        <v>0</v>
      </c>
      <c r="L1940">
        <v>1997</v>
      </c>
      <c r="M1940">
        <v>10221705900</v>
      </c>
      <c r="N1940">
        <v>654986999855</v>
      </c>
      <c r="O1940" t="b">
        <v>1</v>
      </c>
      <c r="P1940">
        <v>-1</v>
      </c>
      <c r="Q1940" t="str" cm="1">
        <f t="array" ref="Q1940">_xlfn.IFS(Table1[[#This Row],[Wealthier_Winner]]=-1,"Wealthier Nation Loses",Table1[[#This Row],[Wealthier_Winner]]=0,"Tie",Table1[[#This Row],[Wealthier_Winner]]=1,"Wealthier Nation Wins")</f>
        <v>Wealthier Nation Loses</v>
      </c>
    </row>
    <row r="1941" spans="1:17" x14ac:dyDescent="0.2">
      <c r="A1941" s="1">
        <v>3356</v>
      </c>
      <c r="B1941" s="2">
        <v>35687</v>
      </c>
      <c r="C1941" s="7">
        <f>_xlfn.FLOOR.MATH(Table1[[#This Row],[year]],10)</f>
        <v>1990</v>
      </c>
      <c r="D1941" t="s">
        <v>49</v>
      </c>
      <c r="E1941" t="s">
        <v>56</v>
      </c>
      <c r="F1941">
        <v>1</v>
      </c>
      <c r="G1941">
        <v>0</v>
      </c>
      <c r="H1941" t="s">
        <v>224</v>
      </c>
      <c r="I1941" t="s">
        <v>257</v>
      </c>
      <c r="J1941" t="s">
        <v>49</v>
      </c>
      <c r="K1941" t="b">
        <v>0</v>
      </c>
      <c r="L1941">
        <v>1997</v>
      </c>
      <c r="M1941">
        <v>8400041723</v>
      </c>
      <c r="N1941">
        <v>12614602382</v>
      </c>
      <c r="O1941" t="b">
        <v>0</v>
      </c>
      <c r="P1941">
        <v>-1</v>
      </c>
      <c r="Q1941" t="str" cm="1">
        <f t="array" ref="Q1941">_xlfn.IFS(Table1[[#This Row],[Wealthier_Winner]]=-1,"Wealthier Nation Loses",Table1[[#This Row],[Wealthier_Winner]]=0,"Tie",Table1[[#This Row],[Wealthier_Winner]]=1,"Wealthier Nation Wins")</f>
        <v>Wealthier Nation Loses</v>
      </c>
    </row>
    <row r="1942" spans="1:17" x14ac:dyDescent="0.2">
      <c r="A1942" s="1">
        <v>3357</v>
      </c>
      <c r="B1942" s="2">
        <v>35687</v>
      </c>
      <c r="C1942" s="7">
        <f>_xlfn.FLOOR.MATH(Table1[[#This Row],[year]],10)</f>
        <v>1990</v>
      </c>
      <c r="D1942" t="s">
        <v>45</v>
      </c>
      <c r="E1942" t="s">
        <v>71</v>
      </c>
      <c r="F1942">
        <v>2</v>
      </c>
      <c r="G1942">
        <v>1</v>
      </c>
      <c r="H1942" t="s">
        <v>224</v>
      </c>
      <c r="I1942" t="s">
        <v>420</v>
      </c>
      <c r="J1942" t="s">
        <v>45</v>
      </c>
      <c r="K1942" t="b">
        <v>0</v>
      </c>
      <c r="L1942">
        <v>1997</v>
      </c>
      <c r="M1942">
        <v>165963684913</v>
      </c>
      <c r="N1942">
        <v>30350190704</v>
      </c>
      <c r="O1942" t="b">
        <v>1</v>
      </c>
      <c r="P1942">
        <v>1</v>
      </c>
      <c r="Q1942" t="str" cm="1">
        <f t="array" ref="Q1942">_xlfn.IFS(Table1[[#This Row],[Wealthier_Winner]]=-1,"Wealthier Nation Loses",Table1[[#This Row],[Wealthier_Winner]]=0,"Tie",Table1[[#This Row],[Wealthier_Winner]]=1,"Wealthier Nation Wins")</f>
        <v>Wealthier Nation Wins</v>
      </c>
    </row>
    <row r="1943" spans="1:17" x14ac:dyDescent="0.2">
      <c r="A1943" s="1">
        <v>3358</v>
      </c>
      <c r="B1943" s="2">
        <v>35692</v>
      </c>
      <c r="C1943" s="7">
        <f>_xlfn.FLOOR.MATH(Table1[[#This Row],[year]],10)</f>
        <v>1990</v>
      </c>
      <c r="D1943" t="s">
        <v>210</v>
      </c>
      <c r="E1943" t="s">
        <v>45</v>
      </c>
      <c r="F1943">
        <v>1</v>
      </c>
      <c r="G1943">
        <v>1</v>
      </c>
      <c r="H1943" t="s">
        <v>224</v>
      </c>
      <c r="I1943" t="s">
        <v>332</v>
      </c>
      <c r="J1943" t="s">
        <v>210</v>
      </c>
      <c r="K1943" t="b">
        <v>0</v>
      </c>
      <c r="L1943">
        <v>1997</v>
      </c>
      <c r="M1943">
        <v>113919163421</v>
      </c>
      <c r="N1943">
        <v>165963684913</v>
      </c>
      <c r="O1943" t="b">
        <v>0</v>
      </c>
      <c r="P1943">
        <v>0</v>
      </c>
      <c r="Q1943" t="str" cm="1">
        <f t="array" ref="Q1943">_xlfn.IFS(Table1[[#This Row],[Wealthier_Winner]]=-1,"Wealthier Nation Loses",Table1[[#This Row],[Wealthier_Winner]]=0,"Tie",Table1[[#This Row],[Wealthier_Winner]]=1,"Wealthier Nation Wins")</f>
        <v>Tie</v>
      </c>
    </row>
    <row r="1944" spans="1:17" x14ac:dyDescent="0.2">
      <c r="A1944" s="1">
        <v>3359</v>
      </c>
      <c r="B1944" s="2">
        <v>35692</v>
      </c>
      <c r="C1944" s="7">
        <f>_xlfn.FLOOR.MATH(Table1[[#This Row],[year]],10)</f>
        <v>1990</v>
      </c>
      <c r="D1944" t="s">
        <v>68</v>
      </c>
      <c r="E1944" t="s">
        <v>71</v>
      </c>
      <c r="F1944">
        <v>0</v>
      </c>
      <c r="G1944">
        <v>2</v>
      </c>
      <c r="H1944" t="s">
        <v>224</v>
      </c>
      <c r="I1944" t="s">
        <v>190</v>
      </c>
      <c r="J1944" t="s">
        <v>68</v>
      </c>
      <c r="K1944" t="b">
        <v>0</v>
      </c>
      <c r="L1944">
        <v>1997</v>
      </c>
      <c r="M1944">
        <v>11297802115</v>
      </c>
      <c r="N1944">
        <v>30350190704</v>
      </c>
      <c r="O1944" t="b">
        <v>1</v>
      </c>
      <c r="P1944">
        <v>1</v>
      </c>
      <c r="Q1944" t="str" cm="1">
        <f t="array" ref="Q1944">_xlfn.IFS(Table1[[#This Row],[Wealthier_Winner]]=-1,"Wealthier Nation Loses",Table1[[#This Row],[Wealthier_Winner]]=0,"Tie",Table1[[#This Row],[Wealthier_Winner]]=1,"Wealthier Nation Wins")</f>
        <v>Wealthier Nation Wins</v>
      </c>
    </row>
    <row r="1945" spans="1:17" x14ac:dyDescent="0.2">
      <c r="A1945" s="1">
        <v>3360</v>
      </c>
      <c r="B1945" s="2">
        <v>35692</v>
      </c>
      <c r="C1945" s="7">
        <f>_xlfn.FLOOR.MATH(Table1[[#This Row],[year]],10)</f>
        <v>1990</v>
      </c>
      <c r="D1945" t="s">
        <v>39</v>
      </c>
      <c r="E1945" t="s">
        <v>51</v>
      </c>
      <c r="F1945">
        <v>0</v>
      </c>
      <c r="G1945">
        <v>0</v>
      </c>
      <c r="H1945" t="s">
        <v>224</v>
      </c>
      <c r="I1945" t="s">
        <v>576</v>
      </c>
      <c r="J1945" t="s">
        <v>39</v>
      </c>
      <c r="K1945" t="b">
        <v>0</v>
      </c>
      <c r="L1945">
        <v>1997</v>
      </c>
      <c r="M1945">
        <v>78839008444</v>
      </c>
      <c r="N1945">
        <v>4492448605638</v>
      </c>
      <c r="O1945" t="b">
        <v>1</v>
      </c>
      <c r="P1945">
        <v>0</v>
      </c>
      <c r="Q1945" t="str" cm="1">
        <f t="array" ref="Q1945">_xlfn.IFS(Table1[[#This Row],[Wealthier_Winner]]=-1,"Wealthier Nation Loses",Table1[[#This Row],[Wealthier_Winner]]=0,"Tie",Table1[[#This Row],[Wealthier_Winner]]=1,"Wealthier Nation Wins")</f>
        <v>Tie</v>
      </c>
    </row>
    <row r="1946" spans="1:17" x14ac:dyDescent="0.2">
      <c r="A1946" s="1">
        <v>3361</v>
      </c>
      <c r="B1946" s="2">
        <v>35693</v>
      </c>
      <c r="C1946" s="7">
        <f>_xlfn.FLOOR.MATH(Table1[[#This Row],[year]],10)</f>
        <v>1990</v>
      </c>
      <c r="D1946" t="s">
        <v>558</v>
      </c>
      <c r="E1946" t="s">
        <v>563</v>
      </c>
      <c r="F1946">
        <v>1</v>
      </c>
      <c r="G1946">
        <v>1</v>
      </c>
      <c r="H1946" t="s">
        <v>224</v>
      </c>
      <c r="I1946" t="s">
        <v>559</v>
      </c>
      <c r="J1946" t="s">
        <v>558</v>
      </c>
      <c r="K1946" t="b">
        <v>0</v>
      </c>
      <c r="L1946">
        <v>1997</v>
      </c>
      <c r="M1946">
        <v>22165932062</v>
      </c>
      <c r="N1946">
        <v>14744603773</v>
      </c>
      <c r="O1946" t="b">
        <v>0</v>
      </c>
      <c r="P1946">
        <v>0</v>
      </c>
      <c r="Q1946" t="str" cm="1">
        <f t="array" ref="Q1946">_xlfn.IFS(Table1[[#This Row],[Wealthier_Winner]]=-1,"Wealthier Nation Loses",Table1[[#This Row],[Wealthier_Winner]]=0,"Tie",Table1[[#This Row],[Wealthier_Winner]]=1,"Wealthier Nation Wins")</f>
        <v>Tie</v>
      </c>
    </row>
    <row r="1947" spans="1:17" x14ac:dyDescent="0.2">
      <c r="A1947" s="1">
        <v>3363</v>
      </c>
      <c r="B1947" s="2">
        <v>35697</v>
      </c>
      <c r="C1947" s="7">
        <f>_xlfn.FLOOR.MATH(Table1[[#This Row],[year]],10)</f>
        <v>1990</v>
      </c>
      <c r="D1947" t="s">
        <v>527</v>
      </c>
      <c r="E1947" t="s">
        <v>534</v>
      </c>
      <c r="F1947">
        <v>0</v>
      </c>
      <c r="G1947">
        <v>1</v>
      </c>
      <c r="H1947" t="s">
        <v>224</v>
      </c>
      <c r="I1947" t="s">
        <v>528</v>
      </c>
      <c r="J1947" t="s">
        <v>527</v>
      </c>
      <c r="K1947" t="b">
        <v>0</v>
      </c>
      <c r="L1947">
        <v>1997</v>
      </c>
      <c r="M1947">
        <v>1930081168</v>
      </c>
      <c r="N1947">
        <v>3510520231</v>
      </c>
      <c r="O1947" t="b">
        <v>0</v>
      </c>
      <c r="P1947">
        <v>1</v>
      </c>
      <c r="Q1947" t="str" cm="1">
        <f t="array" ref="Q1947">_xlfn.IFS(Table1[[#This Row],[Wealthier_Winner]]=-1,"Wealthier Nation Loses",Table1[[#This Row],[Wealthier_Winner]]=0,"Tie",Table1[[#This Row],[Wealthier_Winner]]=1,"Wealthier Nation Wins")</f>
        <v>Wealthier Nation Wins</v>
      </c>
    </row>
    <row r="1948" spans="1:17" x14ac:dyDescent="0.2">
      <c r="A1948" s="1">
        <v>3365</v>
      </c>
      <c r="B1948" s="2">
        <v>35699</v>
      </c>
      <c r="C1948" s="7">
        <f>_xlfn.FLOOR.MATH(Table1[[#This Row],[year]],10)</f>
        <v>1990</v>
      </c>
      <c r="D1948" t="s">
        <v>71</v>
      </c>
      <c r="E1948" t="s">
        <v>210</v>
      </c>
      <c r="F1948">
        <v>1</v>
      </c>
      <c r="G1948">
        <v>1</v>
      </c>
      <c r="H1948" t="s">
        <v>224</v>
      </c>
      <c r="I1948" t="s">
        <v>366</v>
      </c>
      <c r="J1948" t="s">
        <v>71</v>
      </c>
      <c r="K1948" t="b">
        <v>0</v>
      </c>
      <c r="L1948">
        <v>1997</v>
      </c>
      <c r="M1948">
        <v>30350190704</v>
      </c>
      <c r="N1948">
        <v>113919163421</v>
      </c>
      <c r="O1948" t="b">
        <v>1</v>
      </c>
      <c r="P1948">
        <v>0</v>
      </c>
      <c r="Q1948" t="str" cm="1">
        <f t="array" ref="Q1948">_xlfn.IFS(Table1[[#This Row],[Wealthier_Winner]]=-1,"Wealthier Nation Loses",Table1[[#This Row],[Wealthier_Winner]]=0,"Tie",Table1[[#This Row],[Wealthier_Winner]]=1,"Wealthier Nation Wins")</f>
        <v>Tie</v>
      </c>
    </row>
    <row r="1949" spans="1:17" x14ac:dyDescent="0.2">
      <c r="A1949" s="1">
        <v>3367</v>
      </c>
      <c r="B1949" s="2">
        <v>35700</v>
      </c>
      <c r="C1949" s="7">
        <f>_xlfn.FLOOR.MATH(Table1[[#This Row],[year]],10)</f>
        <v>1990</v>
      </c>
      <c r="D1949" t="s">
        <v>563</v>
      </c>
      <c r="E1949" t="s">
        <v>39</v>
      </c>
      <c r="F1949">
        <v>2</v>
      </c>
      <c r="G1949">
        <v>3</v>
      </c>
      <c r="H1949" t="s">
        <v>224</v>
      </c>
      <c r="I1949" t="s">
        <v>564</v>
      </c>
      <c r="J1949" t="s">
        <v>563</v>
      </c>
      <c r="K1949" t="b">
        <v>0</v>
      </c>
      <c r="L1949">
        <v>1997</v>
      </c>
      <c r="M1949">
        <v>14744603773</v>
      </c>
      <c r="N1949">
        <v>78839008444</v>
      </c>
      <c r="O1949" t="b">
        <v>1</v>
      </c>
      <c r="P1949">
        <v>1</v>
      </c>
      <c r="Q1949" t="str" cm="1">
        <f t="array" ref="Q1949">_xlfn.IFS(Table1[[#This Row],[Wealthier_Winner]]=-1,"Wealthier Nation Loses",Table1[[#This Row],[Wealthier_Winner]]=0,"Tie",Table1[[#This Row],[Wealthier_Winner]]=1,"Wealthier Nation Wins")</f>
        <v>Wealthier Nation Wins</v>
      </c>
    </row>
    <row r="1950" spans="1:17" x14ac:dyDescent="0.2">
      <c r="A1950" s="1">
        <v>3368</v>
      </c>
      <c r="B1950" s="2">
        <v>35701</v>
      </c>
      <c r="C1950" s="7">
        <f>_xlfn.FLOOR.MATH(Table1[[#This Row],[year]],10)</f>
        <v>1990</v>
      </c>
      <c r="D1950" t="s">
        <v>51</v>
      </c>
      <c r="E1950" t="s">
        <v>195</v>
      </c>
      <c r="F1950">
        <v>1</v>
      </c>
      <c r="G1950">
        <v>2</v>
      </c>
      <c r="H1950" t="s">
        <v>224</v>
      </c>
      <c r="I1950" t="s">
        <v>245</v>
      </c>
      <c r="J1950" t="s">
        <v>51</v>
      </c>
      <c r="K1950" t="b">
        <v>0</v>
      </c>
      <c r="L1950">
        <v>1997</v>
      </c>
      <c r="M1950">
        <v>4492448605638</v>
      </c>
      <c r="N1950">
        <v>589202526424</v>
      </c>
      <c r="O1950" t="b">
        <v>1</v>
      </c>
      <c r="P1950">
        <v>-1</v>
      </c>
      <c r="Q1950" t="str" cm="1">
        <f t="array" ref="Q1950">_xlfn.IFS(Table1[[#This Row],[Wealthier_Winner]]=-1,"Wealthier Nation Loses",Table1[[#This Row],[Wealthier_Winner]]=0,"Tie",Table1[[#This Row],[Wealthier_Winner]]=1,"Wealthier Nation Wins")</f>
        <v>Wealthier Nation Loses</v>
      </c>
    </row>
    <row r="1951" spans="1:17" x14ac:dyDescent="0.2">
      <c r="A1951" s="1">
        <v>3370</v>
      </c>
      <c r="B1951" s="2">
        <v>35706</v>
      </c>
      <c r="C1951" s="7">
        <f>_xlfn.FLOOR.MATH(Table1[[#This Row],[year]],10)</f>
        <v>1990</v>
      </c>
      <c r="D1951" t="s">
        <v>210</v>
      </c>
      <c r="E1951" t="s">
        <v>68</v>
      </c>
      <c r="F1951">
        <v>3</v>
      </c>
      <c r="G1951">
        <v>0</v>
      </c>
      <c r="H1951" t="s">
        <v>224</v>
      </c>
      <c r="I1951" t="s">
        <v>332</v>
      </c>
      <c r="J1951" t="s">
        <v>210</v>
      </c>
      <c r="K1951" t="b">
        <v>0</v>
      </c>
      <c r="L1951">
        <v>1997</v>
      </c>
      <c r="M1951">
        <v>113919163421</v>
      </c>
      <c r="N1951">
        <v>11297802115</v>
      </c>
      <c r="O1951" t="b">
        <v>1</v>
      </c>
      <c r="P1951">
        <v>1</v>
      </c>
      <c r="Q1951" t="str" cm="1">
        <f t="array" ref="Q1951">_xlfn.IFS(Table1[[#This Row],[Wealthier_Winner]]=-1,"Wealthier Nation Loses",Table1[[#This Row],[Wealthier_Winner]]=0,"Tie",Table1[[#This Row],[Wealthier_Winner]]=1,"Wealthier Nation Wins")</f>
        <v>Wealthier Nation Wins</v>
      </c>
    </row>
    <row r="1952" spans="1:17" x14ac:dyDescent="0.2">
      <c r="A1952" s="1">
        <v>3371</v>
      </c>
      <c r="B1952" s="2">
        <v>35706</v>
      </c>
      <c r="C1952" s="7">
        <f>_xlfn.FLOOR.MATH(Table1[[#This Row],[year]],10)</f>
        <v>1990</v>
      </c>
      <c r="D1952" t="s">
        <v>41</v>
      </c>
      <c r="E1952" t="s">
        <v>49</v>
      </c>
      <c r="F1952">
        <v>1</v>
      </c>
      <c r="G1952">
        <v>1</v>
      </c>
      <c r="H1952" t="s">
        <v>224</v>
      </c>
      <c r="I1952" t="s">
        <v>122</v>
      </c>
      <c r="J1952" t="s">
        <v>41</v>
      </c>
      <c r="K1952" t="b">
        <v>0</v>
      </c>
      <c r="L1952">
        <v>1997</v>
      </c>
      <c r="M1952">
        <v>8577554457000</v>
      </c>
      <c r="N1952">
        <v>8400041723</v>
      </c>
      <c r="O1952" t="b">
        <v>1</v>
      </c>
      <c r="P1952">
        <v>0</v>
      </c>
      <c r="Q1952" t="str" cm="1">
        <f t="array" ref="Q1952">_xlfn.IFS(Table1[[#This Row],[Wealthier_Winner]]=-1,"Wealthier Nation Loses",Table1[[#This Row],[Wealthier_Winner]]=0,"Tie",Table1[[#This Row],[Wealthier_Winner]]=1,"Wealthier Nation Wins")</f>
        <v>Tie</v>
      </c>
    </row>
    <row r="1953" spans="1:17" x14ac:dyDescent="0.2">
      <c r="A1953" s="1">
        <v>3372</v>
      </c>
      <c r="B1953" s="2">
        <v>35707</v>
      </c>
      <c r="C1953" s="7">
        <f>_xlfn.FLOOR.MATH(Table1[[#This Row],[year]],10)</f>
        <v>1990</v>
      </c>
      <c r="D1953" t="s">
        <v>558</v>
      </c>
      <c r="E1953" t="s">
        <v>51</v>
      </c>
      <c r="F1953">
        <v>1</v>
      </c>
      <c r="G1953">
        <v>1</v>
      </c>
      <c r="H1953" t="s">
        <v>224</v>
      </c>
      <c r="I1953" t="s">
        <v>559</v>
      </c>
      <c r="J1953" t="s">
        <v>558</v>
      </c>
      <c r="K1953" t="b">
        <v>0</v>
      </c>
      <c r="L1953">
        <v>1997</v>
      </c>
      <c r="M1953">
        <v>22165932062</v>
      </c>
      <c r="N1953">
        <v>4492448605638</v>
      </c>
      <c r="O1953" t="b">
        <v>1</v>
      </c>
      <c r="P1953">
        <v>0</v>
      </c>
      <c r="Q1953" t="str" cm="1">
        <f t="array" ref="Q1953">_xlfn.IFS(Table1[[#This Row],[Wealthier_Winner]]=-1,"Wealthier Nation Loses",Table1[[#This Row],[Wealthier_Winner]]=0,"Tie",Table1[[#This Row],[Wealthier_Winner]]=1,"Wealthier Nation Wins")</f>
        <v>Tie</v>
      </c>
    </row>
    <row r="1954" spans="1:17" x14ac:dyDescent="0.2">
      <c r="A1954" s="1">
        <v>3373</v>
      </c>
      <c r="B1954" s="2">
        <v>35707</v>
      </c>
      <c r="C1954" s="7">
        <f>_xlfn.FLOOR.MATH(Table1[[#This Row],[year]],10)</f>
        <v>1990</v>
      </c>
      <c r="D1954" t="s">
        <v>195</v>
      </c>
      <c r="E1954" t="s">
        <v>39</v>
      </c>
      <c r="F1954">
        <v>3</v>
      </c>
      <c r="G1954">
        <v>0</v>
      </c>
      <c r="H1954" t="s">
        <v>224</v>
      </c>
      <c r="I1954" t="s">
        <v>136</v>
      </c>
      <c r="J1954" t="s">
        <v>195</v>
      </c>
      <c r="K1954" t="b">
        <v>0</v>
      </c>
      <c r="L1954">
        <v>1997</v>
      </c>
      <c r="M1954">
        <v>589202526424</v>
      </c>
      <c r="N1954">
        <v>78839008444</v>
      </c>
      <c r="O1954" t="b">
        <v>1</v>
      </c>
      <c r="P1954">
        <v>1</v>
      </c>
      <c r="Q1954" t="str" cm="1">
        <f t="array" ref="Q1954">_xlfn.IFS(Table1[[#This Row],[Wealthier_Winner]]=-1,"Wealthier Nation Loses",Table1[[#This Row],[Wealthier_Winner]]=0,"Tie",Table1[[#This Row],[Wealthier_Winner]]=1,"Wealthier Nation Wins")</f>
        <v>Wealthier Nation Wins</v>
      </c>
    </row>
    <row r="1955" spans="1:17" x14ac:dyDescent="0.2">
      <c r="A1955" s="1">
        <v>3374</v>
      </c>
      <c r="B1955" s="2">
        <v>35708</v>
      </c>
      <c r="C1955" s="7">
        <f>_xlfn.FLOOR.MATH(Table1[[#This Row],[year]],10)</f>
        <v>1990</v>
      </c>
      <c r="D1955" t="s">
        <v>17</v>
      </c>
      <c r="E1955" t="s">
        <v>69</v>
      </c>
      <c r="F1955">
        <v>5</v>
      </c>
      <c r="G1955">
        <v>0</v>
      </c>
      <c r="H1955" t="s">
        <v>224</v>
      </c>
      <c r="I1955" t="s">
        <v>83</v>
      </c>
      <c r="J1955" t="s">
        <v>17</v>
      </c>
      <c r="K1955" t="b">
        <v>0</v>
      </c>
      <c r="L1955">
        <v>1997</v>
      </c>
      <c r="M1955">
        <v>523449530464</v>
      </c>
      <c r="N1955">
        <v>10221705900</v>
      </c>
      <c r="O1955" t="b">
        <v>1</v>
      </c>
      <c r="P1955">
        <v>1</v>
      </c>
      <c r="Q1955" t="str" cm="1">
        <f t="array" ref="Q1955">_xlfn.IFS(Table1[[#This Row],[Wealthier_Winner]]=-1,"Wealthier Nation Loses",Table1[[#This Row],[Wealthier_Winner]]=0,"Tie",Table1[[#This Row],[Wealthier_Winner]]=1,"Wealthier Nation Wins")</f>
        <v>Wealthier Nation Wins</v>
      </c>
    </row>
    <row r="1956" spans="1:17" x14ac:dyDescent="0.2">
      <c r="A1956" s="1">
        <v>3375</v>
      </c>
      <c r="B1956" s="2">
        <v>35710</v>
      </c>
      <c r="C1956" s="7">
        <f>_xlfn.FLOOR.MATH(Table1[[#This Row],[year]],10)</f>
        <v>1990</v>
      </c>
      <c r="D1956" t="s">
        <v>527</v>
      </c>
      <c r="E1956" t="s">
        <v>58</v>
      </c>
      <c r="F1956">
        <v>0</v>
      </c>
      <c r="G1956">
        <v>3</v>
      </c>
      <c r="H1956" t="s">
        <v>224</v>
      </c>
      <c r="I1956" t="s">
        <v>528</v>
      </c>
      <c r="J1956" t="s">
        <v>527</v>
      </c>
      <c r="K1956" t="b">
        <v>0</v>
      </c>
      <c r="L1956">
        <v>1997</v>
      </c>
      <c r="M1956">
        <v>1930081168</v>
      </c>
      <c r="N1956">
        <v>159893964916</v>
      </c>
      <c r="O1956" t="b">
        <v>1</v>
      </c>
      <c r="P1956">
        <v>1</v>
      </c>
      <c r="Q1956" t="str" cm="1">
        <f t="array" ref="Q1956">_xlfn.IFS(Table1[[#This Row],[Wealthier_Winner]]=-1,"Wealthier Nation Loses",Table1[[#This Row],[Wealthier_Winner]]=0,"Tie",Table1[[#This Row],[Wealthier_Winner]]=1,"Wealthier Nation Wins")</f>
        <v>Wealthier Nation Wins</v>
      </c>
    </row>
    <row r="1957" spans="1:17" x14ac:dyDescent="0.2">
      <c r="A1957" s="1">
        <v>3377</v>
      </c>
      <c r="B1957" s="2">
        <v>35714</v>
      </c>
      <c r="C1957" s="7">
        <f>_xlfn.FLOOR.MATH(Table1[[#This Row],[year]],10)</f>
        <v>1990</v>
      </c>
      <c r="D1957" t="s">
        <v>519</v>
      </c>
      <c r="E1957" t="s">
        <v>64</v>
      </c>
      <c r="F1957">
        <v>0</v>
      </c>
      <c r="G1957">
        <v>2</v>
      </c>
      <c r="H1957" t="s">
        <v>224</v>
      </c>
      <c r="I1957" t="s">
        <v>520</v>
      </c>
      <c r="J1957" t="s">
        <v>519</v>
      </c>
      <c r="K1957" t="b">
        <v>0</v>
      </c>
      <c r="L1957">
        <v>1997</v>
      </c>
      <c r="M1957">
        <v>1639492444</v>
      </c>
      <c r="N1957">
        <v>50151531591</v>
      </c>
      <c r="O1957" t="b">
        <v>1</v>
      </c>
      <c r="P1957">
        <v>1</v>
      </c>
      <c r="Q1957" t="str" cm="1">
        <f t="array" ref="Q1957">_xlfn.IFS(Table1[[#This Row],[Wealthier_Winner]]=-1,"Wealthier Nation Loses",Table1[[#This Row],[Wealthier_Winner]]=0,"Tie",Table1[[#This Row],[Wealthier_Winner]]=1,"Wealthier Nation Wins")</f>
        <v>Wealthier Nation Wins</v>
      </c>
    </row>
    <row r="1958" spans="1:17" x14ac:dyDescent="0.2">
      <c r="A1958" s="1">
        <v>3378</v>
      </c>
      <c r="B1958" s="2">
        <v>35714</v>
      </c>
      <c r="C1958" s="7">
        <f>_xlfn.FLOOR.MATH(Table1[[#This Row],[year]],10)</f>
        <v>1990</v>
      </c>
      <c r="D1958" t="s">
        <v>29</v>
      </c>
      <c r="E1958" t="s">
        <v>510</v>
      </c>
      <c r="F1958">
        <v>4</v>
      </c>
      <c r="G1958">
        <v>0</v>
      </c>
      <c r="H1958" t="s">
        <v>224</v>
      </c>
      <c r="I1958" t="s">
        <v>270</v>
      </c>
      <c r="J1958" t="s">
        <v>29</v>
      </c>
      <c r="K1958" t="b">
        <v>0</v>
      </c>
      <c r="L1958">
        <v>1997</v>
      </c>
      <c r="M1958">
        <v>211724812267</v>
      </c>
      <c r="N1958">
        <v>14128408565</v>
      </c>
      <c r="O1958" t="b">
        <v>1</v>
      </c>
      <c r="P1958">
        <v>1</v>
      </c>
      <c r="Q1958" t="str" cm="1">
        <f t="array" ref="Q1958">_xlfn.IFS(Table1[[#This Row],[Wealthier_Winner]]=-1,"Wealthier Nation Loses",Table1[[#This Row],[Wealthier_Winner]]=0,"Tie",Table1[[#This Row],[Wealthier_Winner]]=1,"Wealthier Nation Wins")</f>
        <v>Wealthier Nation Wins</v>
      </c>
    </row>
    <row r="1959" spans="1:17" x14ac:dyDescent="0.2">
      <c r="A1959" s="1">
        <v>3380</v>
      </c>
      <c r="B1959" s="2">
        <v>35714</v>
      </c>
      <c r="C1959" s="7">
        <f>_xlfn.FLOOR.MATH(Table1[[#This Row],[year]],10)</f>
        <v>1990</v>
      </c>
      <c r="D1959" t="s">
        <v>351</v>
      </c>
      <c r="E1959" t="s">
        <v>232</v>
      </c>
      <c r="F1959">
        <v>2</v>
      </c>
      <c r="G1959">
        <v>0</v>
      </c>
      <c r="H1959" t="s">
        <v>224</v>
      </c>
      <c r="I1959" t="s">
        <v>352</v>
      </c>
      <c r="J1959" t="s">
        <v>351</v>
      </c>
      <c r="K1959" t="b">
        <v>0</v>
      </c>
      <c r="L1959">
        <v>1997</v>
      </c>
      <c r="M1959">
        <v>9547816419</v>
      </c>
      <c r="N1959">
        <v>19563836265</v>
      </c>
      <c r="O1959" t="b">
        <v>1</v>
      </c>
      <c r="P1959">
        <v>-1</v>
      </c>
      <c r="Q1959" t="str" cm="1">
        <f t="array" ref="Q1959">_xlfn.IFS(Table1[[#This Row],[Wealthier_Winner]]=-1,"Wealthier Nation Loses",Table1[[#This Row],[Wealthier_Winner]]=0,"Tie",Table1[[#This Row],[Wealthier_Winner]]=1,"Wealthier Nation Wins")</f>
        <v>Wealthier Nation Loses</v>
      </c>
    </row>
    <row r="1960" spans="1:17" x14ac:dyDescent="0.2">
      <c r="A1960" s="1">
        <v>3382</v>
      </c>
      <c r="B1960" s="2">
        <v>35714</v>
      </c>
      <c r="C1960" s="7">
        <f>_xlfn.FLOOR.MATH(Table1[[#This Row],[year]],10)</f>
        <v>1990</v>
      </c>
      <c r="D1960" t="s">
        <v>230</v>
      </c>
      <c r="E1960" t="s">
        <v>30</v>
      </c>
      <c r="F1960">
        <v>1</v>
      </c>
      <c r="G1960">
        <v>1</v>
      </c>
      <c r="H1960" t="s">
        <v>224</v>
      </c>
      <c r="I1960" t="s">
        <v>231</v>
      </c>
      <c r="J1960" t="s">
        <v>230</v>
      </c>
      <c r="K1960" t="b">
        <v>0</v>
      </c>
      <c r="L1960">
        <v>1997</v>
      </c>
      <c r="M1960">
        <v>126862902302</v>
      </c>
      <c r="N1960">
        <v>47398564799</v>
      </c>
      <c r="O1960" t="b">
        <v>1</v>
      </c>
      <c r="P1960">
        <v>0</v>
      </c>
      <c r="Q1960" t="str" cm="1">
        <f t="array" ref="Q1960">_xlfn.IFS(Table1[[#This Row],[Wealthier_Winner]]=-1,"Wealthier Nation Loses",Table1[[#This Row],[Wealthier_Winner]]=0,"Tie",Table1[[#This Row],[Wealthier_Winner]]=1,"Wealthier Nation Wins")</f>
        <v>Tie</v>
      </c>
    </row>
    <row r="1961" spans="1:17" x14ac:dyDescent="0.2">
      <c r="A1961" s="1">
        <v>3383</v>
      </c>
      <c r="B1961" s="2">
        <v>35714</v>
      </c>
      <c r="C1961" s="7">
        <f>_xlfn.FLOOR.MATH(Table1[[#This Row],[year]],10)</f>
        <v>1990</v>
      </c>
      <c r="D1961" t="s">
        <v>534</v>
      </c>
      <c r="E1961" t="s">
        <v>58</v>
      </c>
      <c r="F1961">
        <v>3</v>
      </c>
      <c r="G1961">
        <v>0</v>
      </c>
      <c r="H1961" t="s">
        <v>224</v>
      </c>
      <c r="I1961" t="s">
        <v>536</v>
      </c>
      <c r="J1961" t="s">
        <v>534</v>
      </c>
      <c r="K1961" t="b">
        <v>0</v>
      </c>
      <c r="L1961">
        <v>1997</v>
      </c>
      <c r="M1961">
        <v>3510520231</v>
      </c>
      <c r="N1961">
        <v>159893964916</v>
      </c>
      <c r="O1961" t="b">
        <v>1</v>
      </c>
      <c r="P1961">
        <v>-1</v>
      </c>
      <c r="Q1961" t="str" cm="1">
        <f t="array" ref="Q1961">_xlfn.IFS(Table1[[#This Row],[Wealthier_Winner]]=-1,"Wealthier Nation Loses",Table1[[#This Row],[Wealthier_Winner]]=0,"Tie",Table1[[#This Row],[Wealthier_Winner]]=1,"Wealthier Nation Wins")</f>
        <v>Wealthier Nation Loses</v>
      </c>
    </row>
    <row r="1962" spans="1:17" x14ac:dyDescent="0.2">
      <c r="A1962" s="1">
        <v>3384</v>
      </c>
      <c r="B1962" s="2">
        <v>35714</v>
      </c>
      <c r="C1962" s="7">
        <f>_xlfn.FLOOR.MATH(Table1[[#This Row],[year]],10)</f>
        <v>1990</v>
      </c>
      <c r="D1962" t="s">
        <v>16</v>
      </c>
      <c r="E1962" t="s">
        <v>373</v>
      </c>
      <c r="F1962">
        <v>4</v>
      </c>
      <c r="G1962">
        <v>3</v>
      </c>
      <c r="H1962" t="s">
        <v>224</v>
      </c>
      <c r="I1962" t="s">
        <v>88</v>
      </c>
      <c r="J1962" t="s">
        <v>16</v>
      </c>
      <c r="K1962" t="b">
        <v>0</v>
      </c>
      <c r="L1962">
        <v>1997</v>
      </c>
      <c r="M1962">
        <v>2218790886532</v>
      </c>
      <c r="N1962">
        <v>2293666029</v>
      </c>
      <c r="O1962" t="b">
        <v>1</v>
      </c>
      <c r="P1962">
        <v>1</v>
      </c>
      <c r="Q1962" t="str" cm="1">
        <f t="array" ref="Q1962">_xlfn.IFS(Table1[[#This Row],[Wealthier_Winner]]=-1,"Wealthier Nation Loses",Table1[[#This Row],[Wealthier_Winner]]=0,"Tie",Table1[[#This Row],[Wealthier_Winner]]=1,"Wealthier Nation Wins")</f>
        <v>Wealthier Nation Wins</v>
      </c>
    </row>
    <row r="1963" spans="1:17" x14ac:dyDescent="0.2">
      <c r="A1963" s="1">
        <v>3385</v>
      </c>
      <c r="B1963" s="2">
        <v>35714</v>
      </c>
      <c r="C1963" s="7">
        <f>_xlfn.FLOOR.MATH(Table1[[#This Row],[year]],10)</f>
        <v>1990</v>
      </c>
      <c r="D1963" t="s">
        <v>48</v>
      </c>
      <c r="E1963" t="s">
        <v>36</v>
      </c>
      <c r="F1963">
        <v>0</v>
      </c>
      <c r="G1963">
        <v>0</v>
      </c>
      <c r="H1963" t="s">
        <v>224</v>
      </c>
      <c r="I1963" t="s">
        <v>236</v>
      </c>
      <c r="J1963" t="s">
        <v>48</v>
      </c>
      <c r="K1963" t="b">
        <v>0</v>
      </c>
      <c r="L1963">
        <v>1997</v>
      </c>
      <c r="M1963">
        <v>138766067640</v>
      </c>
      <c r="N1963">
        <v>173241365735</v>
      </c>
      <c r="O1963" t="b">
        <v>0</v>
      </c>
      <c r="P1963">
        <v>0</v>
      </c>
      <c r="Q1963" t="str" cm="1">
        <f t="array" ref="Q1963">_xlfn.IFS(Table1[[#This Row],[Wealthier_Winner]]=-1,"Wealthier Nation Loses",Table1[[#This Row],[Wealthier_Winner]]=0,"Tie",Table1[[#This Row],[Wealthier_Winner]]=1,"Wealthier Nation Wins")</f>
        <v>Tie</v>
      </c>
    </row>
    <row r="1964" spans="1:17" x14ac:dyDescent="0.2">
      <c r="A1964" s="1">
        <v>3386</v>
      </c>
      <c r="B1964" s="2">
        <v>35714</v>
      </c>
      <c r="C1964" s="7">
        <f>_xlfn.FLOOR.MATH(Table1[[#This Row],[year]],10)</f>
        <v>1990</v>
      </c>
      <c r="D1964" t="s">
        <v>66</v>
      </c>
      <c r="E1964" t="s">
        <v>503</v>
      </c>
      <c r="F1964">
        <v>4</v>
      </c>
      <c r="G1964">
        <v>0</v>
      </c>
      <c r="H1964" t="s">
        <v>224</v>
      </c>
      <c r="I1964" t="s">
        <v>336</v>
      </c>
      <c r="J1964" t="s">
        <v>66</v>
      </c>
      <c r="K1964" t="b">
        <v>0</v>
      </c>
      <c r="L1964">
        <v>1997</v>
      </c>
      <c r="M1964">
        <v>7716781803</v>
      </c>
      <c r="N1964">
        <v>2298389802</v>
      </c>
      <c r="O1964" t="b">
        <v>1</v>
      </c>
      <c r="P1964">
        <v>1</v>
      </c>
      <c r="Q1964" t="str" cm="1">
        <f t="array" ref="Q1964">_xlfn.IFS(Table1[[#This Row],[Wealthier_Winner]]=-1,"Wealthier Nation Loses",Table1[[#This Row],[Wealthier_Winner]]=0,"Tie",Table1[[#This Row],[Wealthier_Winner]]=1,"Wealthier Nation Wins")</f>
        <v>Wealthier Nation Wins</v>
      </c>
    </row>
    <row r="1965" spans="1:17" x14ac:dyDescent="0.2">
      <c r="A1965" s="1">
        <v>3388</v>
      </c>
      <c r="B1965" s="2">
        <v>35714</v>
      </c>
      <c r="C1965" s="7">
        <f>_xlfn.FLOOR.MATH(Table1[[#This Row],[year]],10)</f>
        <v>1990</v>
      </c>
      <c r="D1965" t="s">
        <v>18</v>
      </c>
      <c r="E1965" t="s">
        <v>194</v>
      </c>
      <c r="F1965">
        <v>0</v>
      </c>
      <c r="G1965">
        <v>0</v>
      </c>
      <c r="H1965" t="s">
        <v>224</v>
      </c>
      <c r="I1965" t="s">
        <v>109</v>
      </c>
      <c r="J1965" t="s">
        <v>18</v>
      </c>
      <c r="K1965" t="b">
        <v>0</v>
      </c>
      <c r="L1965">
        <v>1997</v>
      </c>
      <c r="M1965">
        <v>1244988176443</v>
      </c>
      <c r="N1965">
        <v>1569317288801</v>
      </c>
      <c r="O1965" t="b">
        <v>0</v>
      </c>
      <c r="P1965">
        <v>0</v>
      </c>
      <c r="Q1965" t="str" cm="1">
        <f t="array" ref="Q1965">_xlfn.IFS(Table1[[#This Row],[Wealthier_Winner]]=-1,"Wealthier Nation Loses",Table1[[#This Row],[Wealthier_Winner]]=0,"Tie",Table1[[#This Row],[Wealthier_Winner]]=1,"Wealthier Nation Wins")</f>
        <v>Tie</v>
      </c>
    </row>
    <row r="1966" spans="1:17" x14ac:dyDescent="0.2">
      <c r="A1966" s="1">
        <v>3389</v>
      </c>
      <c r="B1966" s="2">
        <v>35714</v>
      </c>
      <c r="C1966" s="7">
        <f>_xlfn.FLOOR.MATH(Table1[[#This Row],[year]],10)</f>
        <v>1990</v>
      </c>
      <c r="D1966" t="s">
        <v>558</v>
      </c>
      <c r="E1966" t="s">
        <v>195</v>
      </c>
      <c r="F1966">
        <v>1</v>
      </c>
      <c r="G1966">
        <v>1</v>
      </c>
      <c r="H1966" t="s">
        <v>224</v>
      </c>
      <c r="I1966" t="s">
        <v>559</v>
      </c>
      <c r="J1966" t="s">
        <v>558</v>
      </c>
      <c r="K1966" t="b">
        <v>0</v>
      </c>
      <c r="L1966">
        <v>1997</v>
      </c>
      <c r="M1966">
        <v>22165932062</v>
      </c>
      <c r="N1966">
        <v>589202526424</v>
      </c>
      <c r="O1966" t="b">
        <v>1</v>
      </c>
      <c r="P1966">
        <v>0</v>
      </c>
      <c r="Q1966" t="str" cm="1">
        <f t="array" ref="Q1966">_xlfn.IFS(Table1[[#This Row],[Wealthier_Winner]]=-1,"Wealthier Nation Loses",Table1[[#This Row],[Wealthier_Winner]]=0,"Tie",Table1[[#This Row],[Wealthier_Winner]]=1,"Wealthier Nation Wins")</f>
        <v>Tie</v>
      </c>
    </row>
    <row r="1967" spans="1:17" x14ac:dyDescent="0.2">
      <c r="A1967" s="1">
        <v>3390</v>
      </c>
      <c r="B1967" s="2">
        <v>35714</v>
      </c>
      <c r="C1967" s="7">
        <f>_xlfn.FLOOR.MATH(Table1[[#This Row],[year]],10)</f>
        <v>1990</v>
      </c>
      <c r="D1967" t="s">
        <v>502</v>
      </c>
      <c r="E1967" t="s">
        <v>523</v>
      </c>
      <c r="F1967">
        <v>1</v>
      </c>
      <c r="G1967">
        <v>2</v>
      </c>
      <c r="H1967" t="s">
        <v>224</v>
      </c>
      <c r="I1967" t="s">
        <v>504</v>
      </c>
      <c r="J1967" t="s">
        <v>502</v>
      </c>
      <c r="K1967" t="b">
        <v>0</v>
      </c>
      <c r="L1967">
        <v>1997</v>
      </c>
      <c r="M1967">
        <v>3912986090</v>
      </c>
      <c r="N1967">
        <v>10168271903</v>
      </c>
      <c r="O1967" t="b">
        <v>1</v>
      </c>
      <c r="P1967">
        <v>1</v>
      </c>
      <c r="Q1967" t="str" cm="1">
        <f t="array" ref="Q1967">_xlfn.IFS(Table1[[#This Row],[Wealthier_Winner]]=-1,"Wealthier Nation Loses",Table1[[#This Row],[Wealthier_Winner]]=0,"Tie",Table1[[#This Row],[Wealthier_Winner]]=1,"Wealthier Nation Wins")</f>
        <v>Wealthier Nation Wins</v>
      </c>
    </row>
    <row r="1968" spans="1:17" x14ac:dyDescent="0.2">
      <c r="A1968" s="1">
        <v>3391</v>
      </c>
      <c r="B1968" s="2">
        <v>35714</v>
      </c>
      <c r="C1968" s="7">
        <f>_xlfn.FLOOR.MATH(Table1[[#This Row],[year]],10)</f>
        <v>1990</v>
      </c>
      <c r="D1968" t="s">
        <v>303</v>
      </c>
      <c r="E1968" t="s">
        <v>61</v>
      </c>
      <c r="F1968">
        <v>0</v>
      </c>
      <c r="G1968">
        <v>5</v>
      </c>
      <c r="H1968" t="s">
        <v>224</v>
      </c>
      <c r="I1968" t="s">
        <v>399</v>
      </c>
      <c r="J1968" t="s">
        <v>303</v>
      </c>
      <c r="K1968" t="b">
        <v>0</v>
      </c>
      <c r="L1968">
        <v>1997</v>
      </c>
      <c r="M1968">
        <v>3787023706</v>
      </c>
      <c r="N1968">
        <v>27153408994</v>
      </c>
      <c r="O1968" t="b">
        <v>1</v>
      </c>
      <c r="P1968">
        <v>1</v>
      </c>
      <c r="Q1968" t="str" cm="1">
        <f t="array" ref="Q1968">_xlfn.IFS(Table1[[#This Row],[Wealthier_Winner]]=-1,"Wealthier Nation Loses",Table1[[#This Row],[Wealthier_Winner]]=0,"Tie",Table1[[#This Row],[Wealthier_Winner]]=1,"Wealthier Nation Wins")</f>
        <v>Wealthier Nation Wins</v>
      </c>
    </row>
    <row r="1969" spans="1:17" x14ac:dyDescent="0.2">
      <c r="A1969" s="1">
        <v>3394</v>
      </c>
      <c r="B1969" s="2">
        <v>35714</v>
      </c>
      <c r="C1969" s="7">
        <f>_xlfn.FLOOR.MATH(Table1[[#This Row],[year]],10)</f>
        <v>1990</v>
      </c>
      <c r="D1969" t="s">
        <v>196</v>
      </c>
      <c r="E1969" t="s">
        <v>33</v>
      </c>
      <c r="F1969">
        <v>4</v>
      </c>
      <c r="G1969">
        <v>2</v>
      </c>
      <c r="H1969" t="s">
        <v>224</v>
      </c>
      <c r="I1969" t="s">
        <v>180</v>
      </c>
      <c r="J1969" t="s">
        <v>196</v>
      </c>
      <c r="K1969" t="b">
        <v>0</v>
      </c>
      <c r="L1969">
        <v>1997</v>
      </c>
      <c r="M1969">
        <v>404928954191</v>
      </c>
      <c r="N1969">
        <v>11316127378</v>
      </c>
      <c r="O1969" t="b">
        <v>1</v>
      </c>
      <c r="P1969">
        <v>1</v>
      </c>
      <c r="Q1969" t="str" cm="1">
        <f t="array" ref="Q1969">_xlfn.IFS(Table1[[#This Row],[Wealthier_Winner]]=-1,"Wealthier Nation Loses",Table1[[#This Row],[Wealthier_Winner]]=0,"Tie",Table1[[#This Row],[Wealthier_Winner]]=1,"Wealthier Nation Wins")</f>
        <v>Wealthier Nation Wins</v>
      </c>
    </row>
    <row r="1970" spans="1:17" x14ac:dyDescent="0.2">
      <c r="A1970" s="1">
        <v>3395</v>
      </c>
      <c r="B1970" s="2">
        <v>35714</v>
      </c>
      <c r="C1970" s="7">
        <f>_xlfn.FLOOR.MATH(Table1[[#This Row],[year]],10)</f>
        <v>1990</v>
      </c>
      <c r="D1970" t="s">
        <v>45</v>
      </c>
      <c r="E1970" t="s">
        <v>68</v>
      </c>
      <c r="F1970">
        <v>1</v>
      </c>
      <c r="G1970">
        <v>0</v>
      </c>
      <c r="H1970" t="s">
        <v>224</v>
      </c>
      <c r="I1970" t="s">
        <v>420</v>
      </c>
      <c r="J1970" t="s">
        <v>45</v>
      </c>
      <c r="K1970" t="b">
        <v>0</v>
      </c>
      <c r="L1970">
        <v>1997</v>
      </c>
      <c r="M1970">
        <v>165963684913</v>
      </c>
      <c r="N1970">
        <v>11297802115</v>
      </c>
      <c r="O1970" t="b">
        <v>1</v>
      </c>
      <c r="P1970">
        <v>1</v>
      </c>
      <c r="Q1970" t="str" cm="1">
        <f t="array" ref="Q1970">_xlfn.IFS(Table1[[#This Row],[Wealthier_Winner]]=-1,"Wealthier Nation Loses",Table1[[#This Row],[Wealthier_Winner]]=0,"Tie",Table1[[#This Row],[Wealthier_Winner]]=1,"Wealthier Nation Wins")</f>
        <v>Wealthier Nation Wins</v>
      </c>
    </row>
    <row r="1971" spans="1:17" x14ac:dyDescent="0.2">
      <c r="A1971" s="1">
        <v>3397</v>
      </c>
      <c r="B1971" s="2">
        <v>35714</v>
      </c>
      <c r="C1971" s="7">
        <f>_xlfn.FLOOR.MATH(Table1[[#This Row],[year]],10)</f>
        <v>1990</v>
      </c>
      <c r="D1971" t="s">
        <v>55</v>
      </c>
      <c r="E1971" t="s">
        <v>52</v>
      </c>
      <c r="F1971">
        <v>1</v>
      </c>
      <c r="G1971">
        <v>3</v>
      </c>
      <c r="H1971" t="s">
        <v>224</v>
      </c>
      <c r="I1971" t="s">
        <v>529</v>
      </c>
      <c r="J1971" t="s">
        <v>55</v>
      </c>
      <c r="K1971" t="b">
        <v>0</v>
      </c>
      <c r="L1971">
        <v>1997</v>
      </c>
      <c r="M1971">
        <v>20726878751</v>
      </c>
      <c r="N1971">
        <v>24175764812</v>
      </c>
      <c r="O1971" t="b">
        <v>0</v>
      </c>
      <c r="P1971">
        <v>1</v>
      </c>
      <c r="Q1971" t="str" cm="1">
        <f t="array" ref="Q1971">_xlfn.IFS(Table1[[#This Row],[Wealthier_Winner]]=-1,"Wealthier Nation Loses",Table1[[#This Row],[Wealthier_Winner]]=0,"Tie",Table1[[#This Row],[Wealthier_Winner]]=1,"Wealthier Nation Wins")</f>
        <v>Wealthier Nation Wins</v>
      </c>
    </row>
    <row r="1972" spans="1:17" x14ac:dyDescent="0.2">
      <c r="A1972" s="1">
        <v>3398</v>
      </c>
      <c r="B1972" s="2">
        <v>35714</v>
      </c>
      <c r="C1972" s="7">
        <f>_xlfn.FLOOR.MATH(Table1[[#This Row],[year]],10)</f>
        <v>1990</v>
      </c>
      <c r="D1972" t="s">
        <v>21</v>
      </c>
      <c r="E1972" t="s">
        <v>447</v>
      </c>
      <c r="F1972">
        <v>3</v>
      </c>
      <c r="G1972">
        <v>1</v>
      </c>
      <c r="H1972" t="s">
        <v>224</v>
      </c>
      <c r="I1972" t="s">
        <v>394</v>
      </c>
      <c r="J1972" t="s">
        <v>21</v>
      </c>
      <c r="K1972" t="b">
        <v>0</v>
      </c>
      <c r="L1972">
        <v>1997</v>
      </c>
      <c r="M1972">
        <v>589739772727</v>
      </c>
      <c r="N1972">
        <v>933763083</v>
      </c>
      <c r="O1972" t="b">
        <v>1</v>
      </c>
      <c r="P1972">
        <v>1</v>
      </c>
      <c r="Q1972" t="str" cm="1">
        <f t="array" ref="Q1972">_xlfn.IFS(Table1[[#This Row],[Wealthier_Winner]]=-1,"Wealthier Nation Loses",Table1[[#This Row],[Wealthier_Winner]]=0,"Tie",Table1[[#This Row],[Wealthier_Winner]]=1,"Wealthier Nation Wins")</f>
        <v>Wealthier Nation Wins</v>
      </c>
    </row>
    <row r="1973" spans="1:17" x14ac:dyDescent="0.2">
      <c r="A1973" s="1">
        <v>3399</v>
      </c>
      <c r="B1973" s="2">
        <v>35714</v>
      </c>
      <c r="C1973" s="7">
        <f>_xlfn.FLOOR.MATH(Table1[[#This Row],[year]],10)</f>
        <v>1990</v>
      </c>
      <c r="D1973" t="s">
        <v>25</v>
      </c>
      <c r="E1973" t="s">
        <v>476</v>
      </c>
      <c r="F1973">
        <v>1</v>
      </c>
      <c r="G1973">
        <v>0</v>
      </c>
      <c r="H1973" t="s">
        <v>224</v>
      </c>
      <c r="I1973" t="s">
        <v>233</v>
      </c>
      <c r="J1973" t="s">
        <v>25</v>
      </c>
      <c r="K1973" t="b">
        <v>0</v>
      </c>
      <c r="L1973">
        <v>1997</v>
      </c>
      <c r="M1973">
        <v>268249616890</v>
      </c>
      <c r="N1973">
        <v>5154420649</v>
      </c>
      <c r="O1973" t="b">
        <v>1</v>
      </c>
      <c r="P1973">
        <v>1</v>
      </c>
      <c r="Q1973" t="str" cm="1">
        <f t="array" ref="Q1973">_xlfn.IFS(Table1[[#This Row],[Wealthier_Winner]]=-1,"Wealthier Nation Loses",Table1[[#This Row],[Wealthier_Winner]]=0,"Tie",Table1[[#This Row],[Wealthier_Winner]]=1,"Wealthier Nation Wins")</f>
        <v>Wealthier Nation Wins</v>
      </c>
    </row>
    <row r="1974" spans="1:17" x14ac:dyDescent="0.2">
      <c r="A1974" s="1">
        <v>3400</v>
      </c>
      <c r="B1974" s="2">
        <v>35714</v>
      </c>
      <c r="C1974" s="7">
        <f>_xlfn.FLOOR.MATH(Table1[[#This Row],[year]],10)</f>
        <v>1990</v>
      </c>
      <c r="D1974" t="s">
        <v>46</v>
      </c>
      <c r="E1974" t="s">
        <v>513</v>
      </c>
      <c r="F1974">
        <v>5</v>
      </c>
      <c r="G1974">
        <v>0</v>
      </c>
      <c r="H1974" t="s">
        <v>224</v>
      </c>
      <c r="I1974" t="s">
        <v>493</v>
      </c>
      <c r="J1974" t="s">
        <v>46</v>
      </c>
      <c r="K1974" t="b">
        <v>0</v>
      </c>
      <c r="L1974">
        <v>1997</v>
      </c>
      <c r="M1974">
        <v>294788198856</v>
      </c>
      <c r="N1974">
        <v>3962362387</v>
      </c>
      <c r="O1974" t="b">
        <v>1</v>
      </c>
      <c r="P1974">
        <v>1</v>
      </c>
      <c r="Q1974" t="str" cm="1">
        <f t="array" ref="Q1974">_xlfn.IFS(Table1[[#This Row],[Wealthier_Winner]]=-1,"Wealthier Nation Loses",Table1[[#This Row],[Wealthier_Winner]]=0,"Tie",Table1[[#This Row],[Wealthier_Winner]]=1,"Wealthier Nation Wins")</f>
        <v>Wealthier Nation Wins</v>
      </c>
    </row>
    <row r="1975" spans="1:17" x14ac:dyDescent="0.2">
      <c r="A1975" s="1">
        <v>3401</v>
      </c>
      <c r="B1975" s="2">
        <v>35714</v>
      </c>
      <c r="C1975" s="7">
        <f>_xlfn.FLOOR.MATH(Table1[[#This Row],[year]],10)</f>
        <v>1990</v>
      </c>
      <c r="D1975" t="s">
        <v>563</v>
      </c>
      <c r="E1975" t="s">
        <v>51</v>
      </c>
      <c r="F1975">
        <v>1</v>
      </c>
      <c r="G1975">
        <v>1</v>
      </c>
      <c r="H1975" t="s">
        <v>224</v>
      </c>
      <c r="I1975" t="s">
        <v>564</v>
      </c>
      <c r="J1975" t="s">
        <v>563</v>
      </c>
      <c r="K1975" t="b">
        <v>0</v>
      </c>
      <c r="L1975">
        <v>1997</v>
      </c>
      <c r="M1975">
        <v>14744603773</v>
      </c>
      <c r="N1975">
        <v>4492448605638</v>
      </c>
      <c r="O1975" t="b">
        <v>1</v>
      </c>
      <c r="P1975">
        <v>0</v>
      </c>
      <c r="Q1975" t="str" cm="1">
        <f t="array" ref="Q1975">_xlfn.IFS(Table1[[#This Row],[Wealthier_Winner]]=-1,"Wealthier Nation Loses",Table1[[#This Row],[Wealthier_Winner]]=0,"Tie",Table1[[#This Row],[Wealthier_Winner]]=1,"Wealthier Nation Wins")</f>
        <v>Tie</v>
      </c>
    </row>
    <row r="1976" spans="1:17" x14ac:dyDescent="0.2">
      <c r="A1976" s="1">
        <v>3402</v>
      </c>
      <c r="B1976" s="2">
        <v>35715</v>
      </c>
      <c r="C1976" s="7">
        <f>_xlfn.FLOOR.MATH(Table1[[#This Row],[year]],10)</f>
        <v>1990</v>
      </c>
      <c r="D1976" t="s">
        <v>19</v>
      </c>
      <c r="E1976" t="s">
        <v>26</v>
      </c>
      <c r="F1976">
        <v>0</v>
      </c>
      <c r="G1976">
        <v>0</v>
      </c>
      <c r="H1976" t="s">
        <v>224</v>
      </c>
      <c r="I1976" t="s">
        <v>93</v>
      </c>
      <c r="J1976" t="s">
        <v>19</v>
      </c>
      <c r="K1976" t="b">
        <v>0</v>
      </c>
      <c r="L1976">
        <v>1997</v>
      </c>
      <c r="M1976">
        <v>292859000000</v>
      </c>
      <c r="N1976">
        <v>23969739233</v>
      </c>
      <c r="O1976" t="b">
        <v>1</v>
      </c>
      <c r="P1976">
        <v>0</v>
      </c>
      <c r="Q1976" t="str" cm="1">
        <f t="array" ref="Q1976">_xlfn.IFS(Table1[[#This Row],[Wealthier_Winner]]=-1,"Wealthier Nation Loses",Table1[[#This Row],[Wealthier_Winner]]=0,"Tie",Table1[[#This Row],[Wealthier_Winner]]=1,"Wealthier Nation Wins")</f>
        <v>Tie</v>
      </c>
    </row>
    <row r="1977" spans="1:17" x14ac:dyDescent="0.2">
      <c r="A1977" s="1">
        <v>3403</v>
      </c>
      <c r="B1977" s="2">
        <v>35715</v>
      </c>
      <c r="C1977" s="7">
        <f>_xlfn.FLOOR.MATH(Table1[[#This Row],[year]],10)</f>
        <v>1990</v>
      </c>
      <c r="D1977" t="s">
        <v>34</v>
      </c>
      <c r="E1977" t="s">
        <v>17</v>
      </c>
      <c r="F1977">
        <v>2</v>
      </c>
      <c r="G1977">
        <v>2</v>
      </c>
      <c r="H1977" t="s">
        <v>224</v>
      </c>
      <c r="I1977" t="s">
        <v>488</v>
      </c>
      <c r="J1977" t="s">
        <v>34</v>
      </c>
      <c r="K1977" t="b">
        <v>0</v>
      </c>
      <c r="L1977">
        <v>1997</v>
      </c>
      <c r="M1977">
        <v>654986999855</v>
      </c>
      <c r="N1977">
        <v>523449530464</v>
      </c>
      <c r="O1977" t="b">
        <v>0</v>
      </c>
      <c r="P1977">
        <v>0</v>
      </c>
      <c r="Q1977" t="str" cm="1">
        <f t="array" ref="Q1977">_xlfn.IFS(Table1[[#This Row],[Wealthier_Winner]]=-1,"Wealthier Nation Loses",Table1[[#This Row],[Wealthier_Winner]]=0,"Tie",Table1[[#This Row],[Wealthier_Winner]]=1,"Wealthier Nation Wins")</f>
        <v>Tie</v>
      </c>
    </row>
    <row r="1978" spans="1:17" x14ac:dyDescent="0.2">
      <c r="A1978" s="1">
        <v>3404</v>
      </c>
      <c r="B1978" s="2">
        <v>35715</v>
      </c>
      <c r="C1978" s="7">
        <f>_xlfn.FLOOR.MATH(Table1[[#This Row],[year]],10)</f>
        <v>1990</v>
      </c>
      <c r="D1978" t="s">
        <v>57</v>
      </c>
      <c r="E1978" t="s">
        <v>47</v>
      </c>
      <c r="F1978">
        <v>1</v>
      </c>
      <c r="G1978">
        <v>0</v>
      </c>
      <c r="H1978" t="s">
        <v>224</v>
      </c>
      <c r="I1978" t="s">
        <v>237</v>
      </c>
      <c r="J1978" t="s">
        <v>57</v>
      </c>
      <c r="K1978" t="b">
        <v>0</v>
      </c>
      <c r="L1978">
        <v>1997</v>
      </c>
      <c r="M1978">
        <v>28162053026</v>
      </c>
      <c r="N1978">
        <v>7925736821</v>
      </c>
      <c r="O1978" t="b">
        <v>1</v>
      </c>
      <c r="P1978">
        <v>1</v>
      </c>
      <c r="Q1978" t="str" cm="1">
        <f t="array" ref="Q1978">_xlfn.IFS(Table1[[#This Row],[Wealthier_Winner]]=-1,"Wealthier Nation Loses",Table1[[#This Row],[Wealthier_Winner]]=0,"Tie",Table1[[#This Row],[Wealthier_Winner]]=1,"Wealthier Nation Wins")</f>
        <v>Wealthier Nation Wins</v>
      </c>
    </row>
    <row r="1979" spans="1:17" x14ac:dyDescent="0.2">
      <c r="A1979" s="1">
        <v>3405</v>
      </c>
      <c r="B1979" s="2">
        <v>35715</v>
      </c>
      <c r="C1979" s="7">
        <f>_xlfn.FLOOR.MATH(Table1[[#This Row],[year]],10)</f>
        <v>1990</v>
      </c>
      <c r="D1979" t="s">
        <v>35</v>
      </c>
      <c r="E1979" t="s">
        <v>258</v>
      </c>
      <c r="F1979">
        <v>1</v>
      </c>
      <c r="G1979">
        <v>0</v>
      </c>
      <c r="H1979" t="s">
        <v>224</v>
      </c>
      <c r="I1979" t="s">
        <v>250</v>
      </c>
      <c r="J1979" t="s">
        <v>35</v>
      </c>
      <c r="K1979" t="b">
        <v>0</v>
      </c>
      <c r="L1979">
        <v>1997</v>
      </c>
      <c r="M1979">
        <v>9965225678</v>
      </c>
      <c r="N1979">
        <v>85837678559</v>
      </c>
      <c r="O1979" t="b">
        <v>1</v>
      </c>
      <c r="P1979">
        <v>-1</v>
      </c>
      <c r="Q1979" t="str" cm="1">
        <f t="array" ref="Q1979">_xlfn.IFS(Table1[[#This Row],[Wealthier_Winner]]=-1,"Wealthier Nation Loses",Table1[[#This Row],[Wealthier_Winner]]=0,"Tie",Table1[[#This Row],[Wealthier_Winner]]=1,"Wealthier Nation Wins")</f>
        <v>Wealthier Nation Loses</v>
      </c>
    </row>
    <row r="1980" spans="1:17" x14ac:dyDescent="0.2">
      <c r="A1980" s="1">
        <v>3406</v>
      </c>
      <c r="B1980" s="2">
        <v>35715</v>
      </c>
      <c r="C1980" s="7">
        <f>_xlfn.FLOOR.MATH(Table1[[#This Row],[year]],10)</f>
        <v>1990</v>
      </c>
      <c r="D1980" t="s">
        <v>31</v>
      </c>
      <c r="E1980" t="s">
        <v>14</v>
      </c>
      <c r="F1980">
        <v>0</v>
      </c>
      <c r="G1980">
        <v>4</v>
      </c>
      <c r="H1980" t="s">
        <v>224</v>
      </c>
      <c r="I1980" t="s">
        <v>242</v>
      </c>
      <c r="J1980" t="s">
        <v>31</v>
      </c>
      <c r="K1980" t="b">
        <v>0</v>
      </c>
      <c r="L1980">
        <v>1997</v>
      </c>
      <c r="M1980">
        <v>58147522522</v>
      </c>
      <c r="N1980">
        <v>85741415285</v>
      </c>
      <c r="O1980" t="b">
        <v>0</v>
      </c>
      <c r="P1980">
        <v>1</v>
      </c>
      <c r="Q1980" t="str" cm="1">
        <f t="array" ref="Q1980">_xlfn.IFS(Table1[[#This Row],[Wealthier_Winner]]=-1,"Wealthier Nation Loses",Table1[[#This Row],[Wealthier_Winner]]=0,"Tie",Table1[[#This Row],[Wealthier_Winner]]=1,"Wealthier Nation Wins")</f>
        <v>Wealthier Nation Wins</v>
      </c>
    </row>
    <row r="1981" spans="1:17" x14ac:dyDescent="0.2">
      <c r="A1981" s="1">
        <v>3408</v>
      </c>
      <c r="B1981" s="2">
        <v>35720</v>
      </c>
      <c r="C1981" s="7">
        <f>_xlfn.FLOOR.MATH(Table1[[#This Row],[year]],10)</f>
        <v>1990</v>
      </c>
      <c r="D1981" t="s">
        <v>71</v>
      </c>
      <c r="E1981" t="s">
        <v>45</v>
      </c>
      <c r="F1981">
        <v>2</v>
      </c>
      <c r="G1981">
        <v>1</v>
      </c>
      <c r="H1981" t="s">
        <v>224</v>
      </c>
      <c r="I1981" t="s">
        <v>366</v>
      </c>
      <c r="J1981" t="s">
        <v>71</v>
      </c>
      <c r="K1981" t="b">
        <v>0</v>
      </c>
      <c r="L1981">
        <v>1997</v>
      </c>
      <c r="M1981">
        <v>30350190704</v>
      </c>
      <c r="N1981">
        <v>165963684913</v>
      </c>
      <c r="O1981" t="b">
        <v>1</v>
      </c>
      <c r="P1981">
        <v>-1</v>
      </c>
      <c r="Q1981" t="str" cm="1">
        <f t="array" ref="Q1981">_xlfn.IFS(Table1[[#This Row],[Wealthier_Winner]]=-1,"Wealthier Nation Loses",Table1[[#This Row],[Wealthier_Winner]]=0,"Tie",Table1[[#This Row],[Wealthier_Winner]]=1,"Wealthier Nation Wins")</f>
        <v>Wealthier Nation Loses</v>
      </c>
    </row>
    <row r="1982" spans="1:17" x14ac:dyDescent="0.2">
      <c r="A1982" s="1">
        <v>3409</v>
      </c>
      <c r="B1982" s="2">
        <v>35721</v>
      </c>
      <c r="C1982" s="7">
        <f>_xlfn.FLOOR.MATH(Table1[[#This Row],[year]],10)</f>
        <v>1990</v>
      </c>
      <c r="D1982" t="s">
        <v>558</v>
      </c>
      <c r="E1982" t="s">
        <v>39</v>
      </c>
      <c r="F1982">
        <v>3</v>
      </c>
      <c r="G1982">
        <v>0</v>
      </c>
      <c r="H1982" t="s">
        <v>224</v>
      </c>
      <c r="I1982" t="s">
        <v>559</v>
      </c>
      <c r="J1982" t="s">
        <v>558</v>
      </c>
      <c r="K1982" t="b">
        <v>0</v>
      </c>
      <c r="L1982">
        <v>1997</v>
      </c>
      <c r="M1982">
        <v>22165932062</v>
      </c>
      <c r="N1982">
        <v>78839008444</v>
      </c>
      <c r="O1982" t="b">
        <v>1</v>
      </c>
      <c r="P1982">
        <v>-1</v>
      </c>
      <c r="Q1982" t="str" cm="1">
        <f t="array" ref="Q1982">_xlfn.IFS(Table1[[#This Row],[Wealthier_Winner]]=-1,"Wealthier Nation Loses",Table1[[#This Row],[Wealthier_Winner]]=0,"Tie",Table1[[#This Row],[Wealthier_Winner]]=1,"Wealthier Nation Wins")</f>
        <v>Wealthier Nation Loses</v>
      </c>
    </row>
    <row r="1983" spans="1:17" x14ac:dyDescent="0.2">
      <c r="A1983" s="1">
        <v>3410</v>
      </c>
      <c r="B1983" s="2">
        <v>35721</v>
      </c>
      <c r="C1983" s="7">
        <f>_xlfn.FLOOR.MATH(Table1[[#This Row],[year]],10)</f>
        <v>1990</v>
      </c>
      <c r="D1983" t="s">
        <v>563</v>
      </c>
      <c r="E1983" t="s">
        <v>195</v>
      </c>
      <c r="F1983">
        <v>1</v>
      </c>
      <c r="G1983">
        <v>5</v>
      </c>
      <c r="H1983" t="s">
        <v>224</v>
      </c>
      <c r="I1983" t="s">
        <v>564</v>
      </c>
      <c r="J1983" t="s">
        <v>563</v>
      </c>
      <c r="K1983" t="b">
        <v>0</v>
      </c>
      <c r="L1983">
        <v>1997</v>
      </c>
      <c r="M1983">
        <v>14744603773</v>
      </c>
      <c r="N1983">
        <v>589202526424</v>
      </c>
      <c r="O1983" t="b">
        <v>1</v>
      </c>
      <c r="P1983">
        <v>1</v>
      </c>
      <c r="Q1983" t="str" cm="1">
        <f t="array" ref="Q1983">_xlfn.IFS(Table1[[#This Row],[Wealthier_Winner]]=-1,"Wealthier Nation Loses",Table1[[#This Row],[Wealthier_Winner]]=0,"Tie",Table1[[#This Row],[Wealthier_Winner]]=1,"Wealthier Nation Wins")</f>
        <v>Wealthier Nation Wins</v>
      </c>
    </row>
    <row r="1984" spans="1:17" x14ac:dyDescent="0.2">
      <c r="A1984" s="1">
        <v>3411</v>
      </c>
      <c r="B1984" s="2">
        <v>35727</v>
      </c>
      <c r="C1984" s="7">
        <f>_xlfn.FLOOR.MATH(Table1[[#This Row],[year]],10)</f>
        <v>1990</v>
      </c>
      <c r="D1984" t="s">
        <v>71</v>
      </c>
      <c r="E1984" t="s">
        <v>68</v>
      </c>
      <c r="F1984">
        <v>0</v>
      </c>
      <c r="G1984">
        <v>1</v>
      </c>
      <c r="H1984" t="s">
        <v>224</v>
      </c>
      <c r="I1984" t="s">
        <v>366</v>
      </c>
      <c r="J1984" t="s">
        <v>71</v>
      </c>
      <c r="K1984" t="b">
        <v>0</v>
      </c>
      <c r="L1984">
        <v>1997</v>
      </c>
      <c r="M1984">
        <v>30350190704</v>
      </c>
      <c r="N1984">
        <v>11297802115</v>
      </c>
      <c r="O1984" t="b">
        <v>1</v>
      </c>
      <c r="P1984">
        <v>-1</v>
      </c>
      <c r="Q1984" t="str" cm="1">
        <f t="array" ref="Q1984">_xlfn.IFS(Table1[[#This Row],[Wealthier_Winner]]=-1,"Wealthier Nation Loses",Table1[[#This Row],[Wealthier_Winner]]=0,"Tie",Table1[[#This Row],[Wealthier_Winner]]=1,"Wealthier Nation Wins")</f>
        <v>Wealthier Nation Loses</v>
      </c>
    </row>
    <row r="1985" spans="1:17" x14ac:dyDescent="0.2">
      <c r="A1985" s="1">
        <v>3412</v>
      </c>
      <c r="B1985" s="2">
        <v>35727</v>
      </c>
      <c r="C1985" s="7">
        <f>_xlfn.FLOOR.MATH(Table1[[#This Row],[year]],10)</f>
        <v>1990</v>
      </c>
      <c r="D1985" t="s">
        <v>45</v>
      </c>
      <c r="E1985" t="s">
        <v>210</v>
      </c>
      <c r="F1985">
        <v>1</v>
      </c>
      <c r="G1985">
        <v>0</v>
      </c>
      <c r="H1985" t="s">
        <v>224</v>
      </c>
      <c r="I1985" t="s">
        <v>420</v>
      </c>
      <c r="J1985" t="s">
        <v>45</v>
      </c>
      <c r="K1985" t="b">
        <v>0</v>
      </c>
      <c r="L1985">
        <v>1997</v>
      </c>
      <c r="M1985">
        <v>165963684913</v>
      </c>
      <c r="N1985">
        <v>113919163421</v>
      </c>
      <c r="O1985" t="b">
        <v>0</v>
      </c>
      <c r="P1985">
        <v>1</v>
      </c>
      <c r="Q1985" t="str" cm="1">
        <f t="array" ref="Q1985">_xlfn.IFS(Table1[[#This Row],[Wealthier_Winner]]=-1,"Wealthier Nation Loses",Table1[[#This Row],[Wealthier_Winner]]=0,"Tie",Table1[[#This Row],[Wealthier_Winner]]=1,"Wealthier Nation Wins")</f>
        <v>Wealthier Nation Wins</v>
      </c>
    </row>
    <row r="1986" spans="1:17" x14ac:dyDescent="0.2">
      <c r="A1986" s="1">
        <v>3413</v>
      </c>
      <c r="B1986" s="2">
        <v>35728</v>
      </c>
      <c r="C1986" s="7">
        <f>_xlfn.FLOOR.MATH(Table1[[#This Row],[year]],10)</f>
        <v>1990</v>
      </c>
      <c r="D1986" t="s">
        <v>563</v>
      </c>
      <c r="E1986" t="s">
        <v>558</v>
      </c>
      <c r="F1986">
        <v>4</v>
      </c>
      <c r="G1986">
        <v>0</v>
      </c>
      <c r="H1986" t="s">
        <v>224</v>
      </c>
      <c r="I1986" t="s">
        <v>564</v>
      </c>
      <c r="J1986" t="s">
        <v>563</v>
      </c>
      <c r="K1986" t="b">
        <v>0</v>
      </c>
      <c r="L1986">
        <v>1997</v>
      </c>
      <c r="M1986">
        <v>14744603773</v>
      </c>
      <c r="N1986">
        <v>22165932062</v>
      </c>
      <c r="O1986" t="b">
        <v>0</v>
      </c>
      <c r="P1986">
        <v>-1</v>
      </c>
      <c r="Q1986" t="str" cm="1">
        <f t="array" ref="Q1986">_xlfn.IFS(Table1[[#This Row],[Wealthier_Winner]]=-1,"Wealthier Nation Loses",Table1[[#This Row],[Wealthier_Winner]]=0,"Tie",Table1[[#This Row],[Wealthier_Winner]]=1,"Wealthier Nation Wins")</f>
        <v>Wealthier Nation Loses</v>
      </c>
    </row>
    <row r="1987" spans="1:17" x14ac:dyDescent="0.2">
      <c r="A1987" s="1">
        <v>3414</v>
      </c>
      <c r="B1987" s="2">
        <v>35729</v>
      </c>
      <c r="C1987" s="7">
        <f>_xlfn.FLOOR.MATH(Table1[[#This Row],[year]],10)</f>
        <v>1990</v>
      </c>
      <c r="D1987" t="s">
        <v>51</v>
      </c>
      <c r="E1987" t="s">
        <v>39</v>
      </c>
      <c r="F1987">
        <v>1</v>
      </c>
      <c r="G1987">
        <v>1</v>
      </c>
      <c r="H1987" t="s">
        <v>224</v>
      </c>
      <c r="I1987" t="s">
        <v>245</v>
      </c>
      <c r="J1987" t="s">
        <v>51</v>
      </c>
      <c r="K1987" t="b">
        <v>0</v>
      </c>
      <c r="L1987">
        <v>1997</v>
      </c>
      <c r="M1987">
        <v>4492448605638</v>
      </c>
      <c r="N1987">
        <v>78839008444</v>
      </c>
      <c r="O1987" t="b">
        <v>1</v>
      </c>
      <c r="P1987">
        <v>0</v>
      </c>
      <c r="Q1987" t="str" cm="1">
        <f t="array" ref="Q1987">_xlfn.IFS(Table1[[#This Row],[Wealthier_Winner]]=-1,"Wealthier Nation Loses",Table1[[#This Row],[Wealthier_Winner]]=0,"Tie",Table1[[#This Row],[Wealthier_Winner]]=1,"Wealthier Nation Wins")</f>
        <v>Tie</v>
      </c>
    </row>
    <row r="1988" spans="1:17" x14ac:dyDescent="0.2">
      <c r="A1988" s="1">
        <v>3415</v>
      </c>
      <c r="B1988" s="2">
        <v>35732</v>
      </c>
      <c r="C1988" s="7">
        <f>_xlfn.FLOOR.MATH(Table1[[#This Row],[year]],10)</f>
        <v>1990</v>
      </c>
      <c r="D1988" t="s">
        <v>52</v>
      </c>
      <c r="E1988" t="s">
        <v>64</v>
      </c>
      <c r="F1988">
        <v>2</v>
      </c>
      <c r="G1988">
        <v>0</v>
      </c>
      <c r="H1988" t="s">
        <v>224</v>
      </c>
      <c r="I1988" t="s">
        <v>538</v>
      </c>
      <c r="J1988" t="s">
        <v>52</v>
      </c>
      <c r="K1988" t="b">
        <v>0</v>
      </c>
      <c r="L1988">
        <v>1997</v>
      </c>
      <c r="M1988">
        <v>24175764812</v>
      </c>
      <c r="N1988">
        <v>50151531591</v>
      </c>
      <c r="O1988" t="b">
        <v>1</v>
      </c>
      <c r="P1988">
        <v>-1</v>
      </c>
      <c r="Q1988" t="str" cm="1">
        <f t="array" ref="Q1988">_xlfn.IFS(Table1[[#This Row],[Wealthier_Winner]]=-1,"Wealthier Nation Loses",Table1[[#This Row],[Wealthier_Winner]]=0,"Tie",Table1[[#This Row],[Wealthier_Winner]]=1,"Wealthier Nation Wins")</f>
        <v>Wealthier Nation Loses</v>
      </c>
    </row>
    <row r="1989" spans="1:17" x14ac:dyDescent="0.2">
      <c r="A1989" s="1">
        <v>3416</v>
      </c>
      <c r="B1989" s="2">
        <v>35732</v>
      </c>
      <c r="C1989" s="7">
        <f>_xlfn.FLOOR.MATH(Table1[[#This Row],[year]],10)</f>
        <v>1990</v>
      </c>
      <c r="D1989" t="s">
        <v>30</v>
      </c>
      <c r="E1989" t="s">
        <v>61</v>
      </c>
      <c r="F1989">
        <v>1</v>
      </c>
      <c r="G1989">
        <v>7</v>
      </c>
      <c r="H1989" t="s">
        <v>224</v>
      </c>
      <c r="I1989" t="s">
        <v>297</v>
      </c>
      <c r="J1989" t="s">
        <v>30</v>
      </c>
      <c r="K1989" t="b">
        <v>0</v>
      </c>
      <c r="L1989">
        <v>1997</v>
      </c>
      <c r="M1989">
        <v>47398564799</v>
      </c>
      <c r="N1989">
        <v>27153408994</v>
      </c>
      <c r="O1989" t="b">
        <v>0</v>
      </c>
      <c r="P1989">
        <v>-1</v>
      </c>
      <c r="Q1989" t="str" cm="1">
        <f t="array" ref="Q1989">_xlfn.IFS(Table1[[#This Row],[Wealthier_Winner]]=-1,"Wealthier Nation Loses",Table1[[#This Row],[Wealthier_Winner]]=0,"Tie",Table1[[#This Row],[Wealthier_Winner]]=1,"Wealthier Nation Wins")</f>
        <v>Wealthier Nation Loses</v>
      </c>
    </row>
    <row r="1990" spans="1:17" x14ac:dyDescent="0.2">
      <c r="A1990" s="1">
        <v>3418</v>
      </c>
      <c r="B1990" s="2">
        <v>35732</v>
      </c>
      <c r="C1990" s="7">
        <f>_xlfn.FLOOR.MATH(Table1[[#This Row],[year]],10)</f>
        <v>1990</v>
      </c>
      <c r="D1990" t="s">
        <v>196</v>
      </c>
      <c r="E1990" t="s">
        <v>18</v>
      </c>
      <c r="F1990">
        <v>1</v>
      </c>
      <c r="G1990">
        <v>1</v>
      </c>
      <c r="H1990" t="s">
        <v>224</v>
      </c>
      <c r="I1990" t="s">
        <v>180</v>
      </c>
      <c r="J1990" t="s">
        <v>196</v>
      </c>
      <c r="K1990" t="b">
        <v>0</v>
      </c>
      <c r="L1990">
        <v>1997</v>
      </c>
      <c r="M1990">
        <v>404928954191</v>
      </c>
      <c r="N1990">
        <v>1244988176443</v>
      </c>
      <c r="O1990" t="b">
        <v>1</v>
      </c>
      <c r="P1990">
        <v>0</v>
      </c>
      <c r="Q1990" t="str" cm="1">
        <f t="array" ref="Q1990">_xlfn.IFS(Table1[[#This Row],[Wealthier_Winner]]=-1,"Wealthier Nation Loses",Table1[[#This Row],[Wealthier_Winner]]=0,"Tie",Table1[[#This Row],[Wealthier_Winner]]=1,"Wealthier Nation Wins")</f>
        <v>Tie</v>
      </c>
    </row>
    <row r="1991" spans="1:17" x14ac:dyDescent="0.2">
      <c r="A1991" s="1">
        <v>3420</v>
      </c>
      <c r="B1991" s="2">
        <v>35734</v>
      </c>
      <c r="C1991" s="7">
        <f>_xlfn.FLOOR.MATH(Table1[[#This Row],[year]],10)</f>
        <v>1990</v>
      </c>
      <c r="D1991" t="s">
        <v>210</v>
      </c>
      <c r="E1991" t="s">
        <v>71</v>
      </c>
      <c r="F1991">
        <v>0</v>
      </c>
      <c r="G1991">
        <v>0</v>
      </c>
      <c r="H1991" t="s">
        <v>224</v>
      </c>
      <c r="I1991" t="s">
        <v>332</v>
      </c>
      <c r="J1991" t="s">
        <v>210</v>
      </c>
      <c r="K1991" t="b">
        <v>0</v>
      </c>
      <c r="L1991">
        <v>1997</v>
      </c>
      <c r="M1991">
        <v>113919163421</v>
      </c>
      <c r="N1991">
        <v>30350190704</v>
      </c>
      <c r="O1991" t="b">
        <v>1</v>
      </c>
      <c r="P1991">
        <v>0</v>
      </c>
      <c r="Q1991" t="str" cm="1">
        <f t="array" ref="Q1991">_xlfn.IFS(Table1[[#This Row],[Wealthier_Winner]]=-1,"Wealthier Nation Loses",Table1[[#This Row],[Wealthier_Winner]]=0,"Tie",Table1[[#This Row],[Wealthier_Winner]]=1,"Wealthier Nation Wins")</f>
        <v>Tie</v>
      </c>
    </row>
    <row r="1992" spans="1:17" x14ac:dyDescent="0.2">
      <c r="A1992" s="1">
        <v>3421</v>
      </c>
      <c r="B1992" s="2">
        <v>35735</v>
      </c>
      <c r="C1992" s="7">
        <f>_xlfn.FLOOR.MATH(Table1[[#This Row],[year]],10)</f>
        <v>1990</v>
      </c>
      <c r="D1992" t="s">
        <v>195</v>
      </c>
      <c r="E1992" t="s">
        <v>51</v>
      </c>
      <c r="F1992">
        <v>0</v>
      </c>
      <c r="G1992">
        <v>2</v>
      </c>
      <c r="H1992" t="s">
        <v>224</v>
      </c>
      <c r="I1992" t="s">
        <v>136</v>
      </c>
      <c r="J1992" t="s">
        <v>195</v>
      </c>
      <c r="K1992" t="b">
        <v>0</v>
      </c>
      <c r="L1992">
        <v>1997</v>
      </c>
      <c r="M1992">
        <v>589202526424</v>
      </c>
      <c r="N1992">
        <v>4492448605638</v>
      </c>
      <c r="O1992" t="b">
        <v>1</v>
      </c>
      <c r="P1992">
        <v>1</v>
      </c>
      <c r="Q1992" t="str" cm="1">
        <f t="array" ref="Q1992">_xlfn.IFS(Table1[[#This Row],[Wealthier_Winner]]=-1,"Wealthier Nation Loses",Table1[[#This Row],[Wealthier_Winner]]=0,"Tie",Table1[[#This Row],[Wealthier_Winner]]=1,"Wealthier Nation Wins")</f>
        <v>Wealthier Nation Wins</v>
      </c>
    </row>
    <row r="1993" spans="1:17" x14ac:dyDescent="0.2">
      <c r="A1993" s="1">
        <v>3422</v>
      </c>
      <c r="B1993" s="2">
        <v>35736</v>
      </c>
      <c r="C1993" s="7">
        <f>_xlfn.FLOOR.MATH(Table1[[#This Row],[year]],10)</f>
        <v>1990</v>
      </c>
      <c r="D1993" t="s">
        <v>17</v>
      </c>
      <c r="E1993" t="s">
        <v>41</v>
      </c>
      <c r="F1993">
        <v>0</v>
      </c>
      <c r="G1993">
        <v>0</v>
      </c>
      <c r="H1993" t="s">
        <v>224</v>
      </c>
      <c r="I1993" t="s">
        <v>83</v>
      </c>
      <c r="J1993" t="s">
        <v>17</v>
      </c>
      <c r="K1993" t="b">
        <v>0</v>
      </c>
      <c r="L1993">
        <v>1997</v>
      </c>
      <c r="M1993">
        <v>523449530464</v>
      </c>
      <c r="N1993">
        <v>8577554457000</v>
      </c>
      <c r="O1993" t="b">
        <v>1</v>
      </c>
      <c r="P1993">
        <v>0</v>
      </c>
      <c r="Q1993" t="str" cm="1">
        <f t="array" ref="Q1993">_xlfn.IFS(Table1[[#This Row],[Wealthier_Winner]]=-1,"Wealthier Nation Loses",Table1[[#This Row],[Wealthier_Winner]]=0,"Tie",Table1[[#This Row],[Wealthier_Winner]]=1,"Wealthier Nation Wins")</f>
        <v>Tie</v>
      </c>
    </row>
    <row r="1994" spans="1:17" x14ac:dyDescent="0.2">
      <c r="A1994" s="1">
        <v>3423</v>
      </c>
      <c r="B1994" s="2">
        <v>35736</v>
      </c>
      <c r="C1994" s="7">
        <f>_xlfn.FLOOR.MATH(Table1[[#This Row],[year]],10)</f>
        <v>1990</v>
      </c>
      <c r="D1994" t="s">
        <v>39</v>
      </c>
      <c r="E1994" t="s">
        <v>563</v>
      </c>
      <c r="F1994">
        <v>0</v>
      </c>
      <c r="G1994">
        <v>0</v>
      </c>
      <c r="H1994" t="s">
        <v>224</v>
      </c>
      <c r="I1994" t="s">
        <v>576</v>
      </c>
      <c r="J1994" t="s">
        <v>39</v>
      </c>
      <c r="K1994" t="b">
        <v>0</v>
      </c>
      <c r="L1994">
        <v>1997</v>
      </c>
      <c r="M1994">
        <v>78839008444</v>
      </c>
      <c r="N1994">
        <v>14744603773</v>
      </c>
      <c r="O1994" t="b">
        <v>1</v>
      </c>
      <c r="P1994">
        <v>0</v>
      </c>
      <c r="Q1994" t="str" cm="1">
        <f t="array" ref="Q1994">_xlfn.IFS(Table1[[#This Row],[Wealthier_Winner]]=-1,"Wealthier Nation Loses",Table1[[#This Row],[Wealthier_Winner]]=0,"Tie",Table1[[#This Row],[Wealthier_Winner]]=1,"Wealthier Nation Wins")</f>
        <v>Tie</v>
      </c>
    </row>
    <row r="1995" spans="1:17" x14ac:dyDescent="0.2">
      <c r="A1995" s="1">
        <v>3425</v>
      </c>
      <c r="B1995" s="2">
        <v>35741</v>
      </c>
      <c r="C1995" s="7">
        <f>_xlfn.FLOOR.MATH(Table1[[#This Row],[year]],10)</f>
        <v>1990</v>
      </c>
      <c r="D1995" t="s">
        <v>68</v>
      </c>
      <c r="E1995" t="s">
        <v>210</v>
      </c>
      <c r="F1995">
        <v>2</v>
      </c>
      <c r="G1995">
        <v>0</v>
      </c>
      <c r="H1995" t="s">
        <v>224</v>
      </c>
      <c r="I1995" t="s">
        <v>190</v>
      </c>
      <c r="J1995" t="s">
        <v>68</v>
      </c>
      <c r="K1995" t="b">
        <v>0</v>
      </c>
      <c r="L1995">
        <v>1997</v>
      </c>
      <c r="M1995">
        <v>11297802115</v>
      </c>
      <c r="N1995">
        <v>113919163421</v>
      </c>
      <c r="O1995" t="b">
        <v>1</v>
      </c>
      <c r="P1995">
        <v>-1</v>
      </c>
      <c r="Q1995" t="str" cm="1">
        <f t="array" ref="Q1995">_xlfn.IFS(Table1[[#This Row],[Wealthier_Winner]]=-1,"Wealthier Nation Loses",Table1[[#This Row],[Wealthier_Winner]]=0,"Tie",Table1[[#This Row],[Wealthier_Winner]]=1,"Wealthier Nation Wins")</f>
        <v>Wealthier Nation Loses</v>
      </c>
    </row>
    <row r="1996" spans="1:17" x14ac:dyDescent="0.2">
      <c r="A1996" s="1">
        <v>3426</v>
      </c>
      <c r="B1996" s="2">
        <v>35742</v>
      </c>
      <c r="C1996" s="7">
        <f>_xlfn.FLOOR.MATH(Table1[[#This Row],[year]],10)</f>
        <v>1990</v>
      </c>
      <c r="D1996" t="s">
        <v>51</v>
      </c>
      <c r="E1996" t="s">
        <v>558</v>
      </c>
      <c r="F1996">
        <v>5</v>
      </c>
      <c r="G1996">
        <v>1</v>
      </c>
      <c r="H1996" t="s">
        <v>224</v>
      </c>
      <c r="I1996" t="s">
        <v>245</v>
      </c>
      <c r="J1996" t="s">
        <v>51</v>
      </c>
      <c r="K1996" t="b">
        <v>0</v>
      </c>
      <c r="L1996">
        <v>1997</v>
      </c>
      <c r="M1996">
        <v>4492448605638</v>
      </c>
      <c r="N1996">
        <v>22165932062</v>
      </c>
      <c r="O1996" t="b">
        <v>1</v>
      </c>
      <c r="P1996">
        <v>1</v>
      </c>
      <c r="Q1996" t="str" cm="1">
        <f t="array" ref="Q1996">_xlfn.IFS(Table1[[#This Row],[Wealthier_Winner]]=-1,"Wealthier Nation Loses",Table1[[#This Row],[Wealthier_Winner]]=0,"Tie",Table1[[#This Row],[Wealthier_Winner]]=1,"Wealthier Nation Wins")</f>
        <v>Wealthier Nation Wins</v>
      </c>
    </row>
    <row r="1997" spans="1:17" x14ac:dyDescent="0.2">
      <c r="A1997" s="1">
        <v>3427</v>
      </c>
      <c r="B1997" s="2">
        <v>35743</v>
      </c>
      <c r="C1997" s="7">
        <f>_xlfn.FLOOR.MATH(Table1[[#This Row],[year]],10)</f>
        <v>1990</v>
      </c>
      <c r="D1997" t="s">
        <v>34</v>
      </c>
      <c r="E1997" t="s">
        <v>41</v>
      </c>
      <c r="F1997">
        <v>0</v>
      </c>
      <c r="G1997">
        <v>3</v>
      </c>
      <c r="H1997" t="s">
        <v>224</v>
      </c>
      <c r="I1997" t="s">
        <v>467</v>
      </c>
      <c r="J1997" t="s">
        <v>34</v>
      </c>
      <c r="K1997" t="b">
        <v>0</v>
      </c>
      <c r="L1997">
        <v>1997</v>
      </c>
      <c r="M1997">
        <v>654986999855</v>
      </c>
      <c r="N1997">
        <v>8577554457000</v>
      </c>
      <c r="O1997" t="b">
        <v>1</v>
      </c>
      <c r="P1997">
        <v>1</v>
      </c>
      <c r="Q1997" t="str" cm="1">
        <f t="array" ref="Q1997">_xlfn.IFS(Table1[[#This Row],[Wealthier_Winner]]=-1,"Wealthier Nation Loses",Table1[[#This Row],[Wealthier_Winner]]=0,"Tie",Table1[[#This Row],[Wealthier_Winner]]=1,"Wealthier Nation Wins")</f>
        <v>Wealthier Nation Wins</v>
      </c>
    </row>
    <row r="1998" spans="1:17" x14ac:dyDescent="0.2">
      <c r="A1998" s="1">
        <v>3428</v>
      </c>
      <c r="B1998" s="2">
        <v>35743</v>
      </c>
      <c r="C1998" s="7">
        <f>_xlfn.FLOOR.MATH(Table1[[#This Row],[year]],10)</f>
        <v>1990</v>
      </c>
      <c r="D1998" t="s">
        <v>69</v>
      </c>
      <c r="E1998" t="s">
        <v>49</v>
      </c>
      <c r="F1998">
        <v>2</v>
      </c>
      <c r="G1998">
        <v>2</v>
      </c>
      <c r="H1998" t="s">
        <v>224</v>
      </c>
      <c r="I1998" t="s">
        <v>281</v>
      </c>
      <c r="J1998" t="s">
        <v>69</v>
      </c>
      <c r="K1998" t="b">
        <v>0</v>
      </c>
      <c r="L1998">
        <v>1997</v>
      </c>
      <c r="M1998">
        <v>10221705900</v>
      </c>
      <c r="N1998">
        <v>8400041723</v>
      </c>
      <c r="O1998" t="b">
        <v>0</v>
      </c>
      <c r="P1998">
        <v>0</v>
      </c>
      <c r="Q1998" t="str" cm="1">
        <f t="array" ref="Q1998">_xlfn.IFS(Table1[[#This Row],[Wealthier_Winner]]=-1,"Wealthier Nation Loses",Table1[[#This Row],[Wealthier_Winner]]=0,"Tie",Table1[[#This Row],[Wealthier_Winner]]=1,"Wealthier Nation Wins")</f>
        <v>Tie</v>
      </c>
    </row>
    <row r="1999" spans="1:17" x14ac:dyDescent="0.2">
      <c r="A1999" s="1">
        <v>3429</v>
      </c>
      <c r="B1999" s="2">
        <v>35743</v>
      </c>
      <c r="C1999" s="7">
        <f>_xlfn.FLOOR.MATH(Table1[[#This Row],[year]],10)</f>
        <v>1990</v>
      </c>
      <c r="D1999" t="s">
        <v>17</v>
      </c>
      <c r="E1999" t="s">
        <v>56</v>
      </c>
      <c r="F1999">
        <v>3</v>
      </c>
      <c r="G1999">
        <v>3</v>
      </c>
      <c r="H1999" t="s">
        <v>224</v>
      </c>
      <c r="I1999" t="s">
        <v>83</v>
      </c>
      <c r="J1999" t="s">
        <v>17</v>
      </c>
      <c r="K1999" t="b">
        <v>0</v>
      </c>
      <c r="L1999">
        <v>1997</v>
      </c>
      <c r="M1999">
        <v>523449530464</v>
      </c>
      <c r="N1999">
        <v>12614602382</v>
      </c>
      <c r="O1999" t="b">
        <v>1</v>
      </c>
      <c r="P1999">
        <v>0</v>
      </c>
      <c r="Q1999" t="str" cm="1">
        <f t="array" ref="Q1999">_xlfn.IFS(Table1[[#This Row],[Wealthier_Winner]]=-1,"Wealthier Nation Loses",Table1[[#This Row],[Wealthier_Winner]]=0,"Tie",Table1[[#This Row],[Wealthier_Winner]]=1,"Wealthier Nation Wins")</f>
        <v>Tie</v>
      </c>
    </row>
    <row r="2000" spans="1:17" x14ac:dyDescent="0.2">
      <c r="A2000" s="1">
        <v>3430</v>
      </c>
      <c r="B2000" s="2">
        <v>35743</v>
      </c>
      <c r="C2000" s="7">
        <f>_xlfn.FLOOR.MATH(Table1[[#This Row],[year]],10)</f>
        <v>1990</v>
      </c>
      <c r="D2000" t="s">
        <v>39</v>
      </c>
      <c r="E2000" t="s">
        <v>195</v>
      </c>
      <c r="F2000">
        <v>1</v>
      </c>
      <c r="G2000">
        <v>3</v>
      </c>
      <c r="H2000" t="s">
        <v>224</v>
      </c>
      <c r="I2000" t="s">
        <v>576</v>
      </c>
      <c r="J2000" t="s">
        <v>39</v>
      </c>
      <c r="K2000" t="b">
        <v>0</v>
      </c>
      <c r="L2000">
        <v>1997</v>
      </c>
      <c r="M2000">
        <v>78839008444</v>
      </c>
      <c r="N2000">
        <v>589202526424</v>
      </c>
      <c r="O2000" t="b">
        <v>1</v>
      </c>
      <c r="P2000">
        <v>1</v>
      </c>
      <c r="Q2000" t="str" cm="1">
        <f t="array" ref="Q2000">_xlfn.IFS(Table1[[#This Row],[Wealthier_Winner]]=-1,"Wealthier Nation Loses",Table1[[#This Row],[Wealthier_Winner]]=0,"Tie",Table1[[#This Row],[Wealthier_Winner]]=1,"Wealthier Nation Wins")</f>
        <v>Wealthier Nation Wins</v>
      </c>
    </row>
    <row r="2001" spans="1:17" x14ac:dyDescent="0.2">
      <c r="A2001" s="1">
        <v>3432</v>
      </c>
      <c r="B2001" s="2">
        <v>35746</v>
      </c>
      <c r="C2001" s="7">
        <f>_xlfn.FLOOR.MATH(Table1[[#This Row],[year]],10)</f>
        <v>1990</v>
      </c>
      <c r="D2001" t="s">
        <v>68</v>
      </c>
      <c r="E2001" t="s">
        <v>45</v>
      </c>
      <c r="F2001">
        <v>0</v>
      </c>
      <c r="G2001">
        <v>1</v>
      </c>
      <c r="H2001" t="s">
        <v>224</v>
      </c>
      <c r="I2001" t="s">
        <v>190</v>
      </c>
      <c r="J2001" t="s">
        <v>68</v>
      </c>
      <c r="K2001" t="b">
        <v>0</v>
      </c>
      <c r="L2001">
        <v>1997</v>
      </c>
      <c r="M2001">
        <v>11297802115</v>
      </c>
      <c r="N2001">
        <v>165963684913</v>
      </c>
      <c r="O2001" t="b">
        <v>1</v>
      </c>
      <c r="P2001">
        <v>1</v>
      </c>
      <c r="Q2001" t="str" cm="1">
        <f t="array" ref="Q2001">_xlfn.IFS(Table1[[#This Row],[Wealthier_Winner]]=-1,"Wealthier Nation Loses",Table1[[#This Row],[Wealthier_Winner]]=0,"Tie",Table1[[#This Row],[Wealthier_Winner]]=1,"Wealthier Nation Wins")</f>
        <v>Wealthier Nation Wins</v>
      </c>
    </row>
    <row r="2002" spans="1:17" x14ac:dyDescent="0.2">
      <c r="A2002" s="1">
        <v>3434</v>
      </c>
      <c r="B2002" s="2">
        <v>35749</v>
      </c>
      <c r="C2002" s="7">
        <f>_xlfn.FLOOR.MATH(Table1[[#This Row],[year]],10)</f>
        <v>1990</v>
      </c>
      <c r="D2002" t="s">
        <v>18</v>
      </c>
      <c r="E2002" t="s">
        <v>196</v>
      </c>
      <c r="F2002">
        <v>1</v>
      </c>
      <c r="G2002">
        <v>0</v>
      </c>
      <c r="H2002" t="s">
        <v>224</v>
      </c>
      <c r="I2002" t="s">
        <v>115</v>
      </c>
      <c r="J2002" t="s">
        <v>18</v>
      </c>
      <c r="K2002" t="b">
        <v>0</v>
      </c>
      <c r="L2002">
        <v>1997</v>
      </c>
      <c r="M2002">
        <v>1244988176443</v>
      </c>
      <c r="N2002">
        <v>404928954191</v>
      </c>
      <c r="O2002" t="b">
        <v>1</v>
      </c>
      <c r="P2002">
        <v>1</v>
      </c>
      <c r="Q2002" t="str" cm="1">
        <f t="array" ref="Q2002">_xlfn.IFS(Table1[[#This Row],[Wealthier_Winner]]=-1,"Wealthier Nation Loses",Table1[[#This Row],[Wealthier_Winner]]=0,"Tie",Table1[[#This Row],[Wealthier_Winner]]=1,"Wealthier Nation Wins")</f>
        <v>Wealthier Nation Wins</v>
      </c>
    </row>
    <row r="2003" spans="1:17" x14ac:dyDescent="0.2">
      <c r="A2003" s="1">
        <v>3435</v>
      </c>
      <c r="B2003" s="2">
        <v>35749</v>
      </c>
      <c r="C2003" s="7">
        <f>_xlfn.FLOOR.MATH(Table1[[#This Row],[year]],10)</f>
        <v>1990</v>
      </c>
      <c r="D2003" t="s">
        <v>61</v>
      </c>
      <c r="E2003" t="s">
        <v>30</v>
      </c>
      <c r="F2003">
        <v>5</v>
      </c>
      <c r="G2003">
        <v>0</v>
      </c>
      <c r="H2003" t="s">
        <v>224</v>
      </c>
      <c r="I2003" t="s">
        <v>505</v>
      </c>
      <c r="J2003" t="s">
        <v>506</v>
      </c>
      <c r="K2003" t="b">
        <v>0</v>
      </c>
      <c r="L2003">
        <v>1997</v>
      </c>
      <c r="M2003">
        <v>27153408994</v>
      </c>
      <c r="N2003">
        <v>47398564799</v>
      </c>
      <c r="O2003" t="b">
        <v>0</v>
      </c>
      <c r="P2003">
        <v>-1</v>
      </c>
      <c r="Q2003" t="str" cm="1">
        <f t="array" ref="Q2003">_xlfn.IFS(Table1[[#This Row],[Wealthier_Winner]]=-1,"Wealthier Nation Loses",Table1[[#This Row],[Wealthier_Winner]]=0,"Tie",Table1[[#This Row],[Wealthier_Winner]]=1,"Wealthier Nation Wins")</f>
        <v>Wealthier Nation Loses</v>
      </c>
    </row>
    <row r="2004" spans="1:17" x14ac:dyDescent="0.2">
      <c r="A2004" s="1">
        <v>3436</v>
      </c>
      <c r="B2004" s="2">
        <v>35749</v>
      </c>
      <c r="C2004" s="7">
        <f>_xlfn.FLOOR.MATH(Table1[[#This Row],[year]],10)</f>
        <v>1990</v>
      </c>
      <c r="D2004" t="s">
        <v>64</v>
      </c>
      <c r="E2004" t="s">
        <v>52</v>
      </c>
      <c r="F2004">
        <v>1</v>
      </c>
      <c r="G2004">
        <v>1</v>
      </c>
      <c r="H2004" t="s">
        <v>224</v>
      </c>
      <c r="I2004" t="s">
        <v>423</v>
      </c>
      <c r="J2004" t="s">
        <v>64</v>
      </c>
      <c r="K2004" t="b">
        <v>0</v>
      </c>
      <c r="L2004">
        <v>1997</v>
      </c>
      <c r="M2004">
        <v>50151531591</v>
      </c>
      <c r="N2004">
        <v>24175764812</v>
      </c>
      <c r="O2004" t="b">
        <v>1</v>
      </c>
      <c r="P2004">
        <v>0</v>
      </c>
      <c r="Q2004" t="str" cm="1">
        <f t="array" ref="Q2004">_xlfn.IFS(Table1[[#This Row],[Wealthier_Winner]]=-1,"Wealthier Nation Loses",Table1[[#This Row],[Wealthier_Winner]]=0,"Tie",Table1[[#This Row],[Wealthier_Winner]]=1,"Wealthier Nation Wins")</f>
        <v>Tie</v>
      </c>
    </row>
    <row r="2005" spans="1:17" x14ac:dyDescent="0.2">
      <c r="A2005" s="1">
        <v>3437</v>
      </c>
      <c r="B2005" s="2">
        <v>35750</v>
      </c>
      <c r="C2005" s="7">
        <f>_xlfn.FLOOR.MATH(Table1[[#This Row],[year]],10)</f>
        <v>1990</v>
      </c>
      <c r="D2005" t="s">
        <v>19</v>
      </c>
      <c r="E2005" t="s">
        <v>15</v>
      </c>
      <c r="F2005">
        <v>1</v>
      </c>
      <c r="G2005">
        <v>1</v>
      </c>
      <c r="H2005" t="s">
        <v>224</v>
      </c>
      <c r="I2005" t="s">
        <v>93</v>
      </c>
      <c r="J2005" t="s">
        <v>19</v>
      </c>
      <c r="K2005" t="b">
        <v>0</v>
      </c>
      <c r="L2005">
        <v>1997</v>
      </c>
      <c r="M2005">
        <v>292859000000</v>
      </c>
      <c r="N2005">
        <v>106659508271</v>
      </c>
      <c r="O2005" t="b">
        <v>1</v>
      </c>
      <c r="P2005">
        <v>0</v>
      </c>
      <c r="Q2005" t="str" cm="1">
        <f t="array" ref="Q2005">_xlfn.IFS(Table1[[#This Row],[Wealthier_Winner]]=-1,"Wealthier Nation Loses",Table1[[#This Row],[Wealthier_Winner]]=0,"Tie",Table1[[#This Row],[Wealthier_Winner]]=1,"Wealthier Nation Wins")</f>
        <v>Tie</v>
      </c>
    </row>
    <row r="2006" spans="1:17" x14ac:dyDescent="0.2">
      <c r="A2006" s="1">
        <v>3438</v>
      </c>
      <c r="B2006" s="2">
        <v>35750</v>
      </c>
      <c r="C2006" s="7">
        <f>_xlfn.FLOOR.MATH(Table1[[#This Row],[year]],10)</f>
        <v>1990</v>
      </c>
      <c r="D2006" t="s">
        <v>14</v>
      </c>
      <c r="E2006" t="s">
        <v>47</v>
      </c>
      <c r="F2006">
        <v>3</v>
      </c>
      <c r="G2006">
        <v>0</v>
      </c>
      <c r="H2006" t="s">
        <v>224</v>
      </c>
      <c r="I2006" t="s">
        <v>75</v>
      </c>
      <c r="J2006" t="s">
        <v>14</v>
      </c>
      <c r="K2006" t="b">
        <v>0</v>
      </c>
      <c r="L2006">
        <v>1997</v>
      </c>
      <c r="M2006">
        <v>85741415285</v>
      </c>
      <c r="N2006">
        <v>7925736821</v>
      </c>
      <c r="O2006" t="b">
        <v>1</v>
      </c>
      <c r="P2006">
        <v>1</v>
      </c>
      <c r="Q2006" t="str" cm="1">
        <f t="array" ref="Q2006">_xlfn.IFS(Table1[[#This Row],[Wealthier_Winner]]=-1,"Wealthier Nation Loses",Table1[[#This Row],[Wealthier_Winner]]=0,"Tie",Table1[[#This Row],[Wealthier_Winner]]=1,"Wealthier Nation Wins")</f>
        <v>Wealthier Nation Wins</v>
      </c>
    </row>
    <row r="2007" spans="1:17" x14ac:dyDescent="0.2">
      <c r="A2007" s="1">
        <v>3439</v>
      </c>
      <c r="B2007" s="2">
        <v>35750</v>
      </c>
      <c r="C2007" s="7">
        <f>_xlfn.FLOOR.MATH(Table1[[#This Row],[year]],10)</f>
        <v>1990</v>
      </c>
      <c r="D2007" t="s">
        <v>56</v>
      </c>
      <c r="E2007" t="s">
        <v>34</v>
      </c>
      <c r="F2007">
        <v>3</v>
      </c>
      <c r="G2007">
        <v>1</v>
      </c>
      <c r="H2007" t="s">
        <v>224</v>
      </c>
      <c r="I2007" t="s">
        <v>225</v>
      </c>
      <c r="J2007" t="s">
        <v>56</v>
      </c>
      <c r="K2007" t="b">
        <v>0</v>
      </c>
      <c r="L2007">
        <v>1997</v>
      </c>
      <c r="M2007">
        <v>12614602382</v>
      </c>
      <c r="N2007">
        <v>654986999855</v>
      </c>
      <c r="O2007" t="b">
        <v>1</v>
      </c>
      <c r="P2007">
        <v>-1</v>
      </c>
      <c r="Q2007" t="str" cm="1">
        <f t="array" ref="Q2007">_xlfn.IFS(Table1[[#This Row],[Wealthier_Winner]]=-1,"Wealthier Nation Loses",Table1[[#This Row],[Wealthier_Winner]]=0,"Tie",Table1[[#This Row],[Wealthier_Winner]]=1,"Wealthier Nation Wins")</f>
        <v>Wealthier Nation Loses</v>
      </c>
    </row>
    <row r="2008" spans="1:17" x14ac:dyDescent="0.2">
      <c r="A2008" s="1">
        <v>3440</v>
      </c>
      <c r="B2008" s="2">
        <v>35750</v>
      </c>
      <c r="C2008" s="7">
        <f>_xlfn.FLOOR.MATH(Table1[[#This Row],[year]],10)</f>
        <v>1990</v>
      </c>
      <c r="D2008" t="s">
        <v>49</v>
      </c>
      <c r="E2008" t="s">
        <v>17</v>
      </c>
      <c r="F2008">
        <v>0</v>
      </c>
      <c r="G2008">
        <v>0</v>
      </c>
      <c r="H2008" t="s">
        <v>224</v>
      </c>
      <c r="I2008" t="s">
        <v>257</v>
      </c>
      <c r="J2008" t="s">
        <v>49</v>
      </c>
      <c r="K2008" t="b">
        <v>0</v>
      </c>
      <c r="L2008">
        <v>1997</v>
      </c>
      <c r="M2008">
        <v>8400041723</v>
      </c>
      <c r="N2008">
        <v>523449530464</v>
      </c>
      <c r="O2008" t="b">
        <v>1</v>
      </c>
      <c r="P2008">
        <v>0</v>
      </c>
      <c r="Q2008" t="str" cm="1">
        <f t="array" ref="Q2008">_xlfn.IFS(Table1[[#This Row],[Wealthier_Winner]]=-1,"Wealthier Nation Loses",Table1[[#This Row],[Wealthier_Winner]]=0,"Tie",Table1[[#This Row],[Wealthier_Winner]]=1,"Wealthier Nation Wins")</f>
        <v>Tie</v>
      </c>
    </row>
    <row r="2009" spans="1:17" x14ac:dyDescent="0.2">
      <c r="A2009" s="1">
        <v>3441</v>
      </c>
      <c r="B2009" s="2">
        <v>35750</v>
      </c>
      <c r="C2009" s="7">
        <f>_xlfn.FLOOR.MATH(Table1[[#This Row],[year]],10)</f>
        <v>1990</v>
      </c>
      <c r="D2009" t="s">
        <v>51</v>
      </c>
      <c r="E2009" t="s">
        <v>210</v>
      </c>
      <c r="F2009">
        <v>3</v>
      </c>
      <c r="G2009">
        <v>2</v>
      </c>
      <c r="H2009" t="s">
        <v>224</v>
      </c>
      <c r="I2009" t="s">
        <v>577</v>
      </c>
      <c r="J2009" t="s">
        <v>333</v>
      </c>
      <c r="K2009" t="b">
        <v>1</v>
      </c>
      <c r="L2009">
        <v>1997</v>
      </c>
      <c r="M2009">
        <v>4492448605638</v>
      </c>
      <c r="N2009">
        <v>113919163421</v>
      </c>
      <c r="O2009" t="b">
        <v>1</v>
      </c>
      <c r="P2009">
        <v>1</v>
      </c>
      <c r="Q2009" t="str" cm="1">
        <f t="array" ref="Q2009">_xlfn.IFS(Table1[[#This Row],[Wealthier_Winner]]=-1,"Wealthier Nation Loses",Table1[[#This Row],[Wealthier_Winner]]=0,"Tie",Table1[[#This Row],[Wealthier_Winner]]=1,"Wealthier Nation Wins")</f>
        <v>Wealthier Nation Wins</v>
      </c>
    </row>
    <row r="2010" spans="1:17" x14ac:dyDescent="0.2">
      <c r="A2010" s="1">
        <v>3442</v>
      </c>
      <c r="B2010" s="2">
        <v>35750</v>
      </c>
      <c r="C2010" s="7">
        <f>_xlfn.FLOOR.MATH(Table1[[#This Row],[year]],10)</f>
        <v>1990</v>
      </c>
      <c r="D2010" t="s">
        <v>31</v>
      </c>
      <c r="E2010" t="s">
        <v>35</v>
      </c>
      <c r="F2010">
        <v>1</v>
      </c>
      <c r="G2010">
        <v>0</v>
      </c>
      <c r="H2010" t="s">
        <v>224</v>
      </c>
      <c r="I2010" t="s">
        <v>242</v>
      </c>
      <c r="J2010" t="s">
        <v>31</v>
      </c>
      <c r="K2010" t="b">
        <v>0</v>
      </c>
      <c r="L2010">
        <v>1997</v>
      </c>
      <c r="M2010">
        <v>58147522522</v>
      </c>
      <c r="N2010">
        <v>9965225678</v>
      </c>
      <c r="O2010" t="b">
        <v>1</v>
      </c>
      <c r="P2010">
        <v>1</v>
      </c>
      <c r="Q2010" t="str" cm="1">
        <f t="array" ref="Q2010">_xlfn.IFS(Table1[[#This Row],[Wealthier_Winner]]=-1,"Wealthier Nation Loses",Table1[[#This Row],[Wealthier_Winner]]=0,"Tie",Table1[[#This Row],[Wealthier_Winner]]=1,"Wealthier Nation Wins")</f>
        <v>Wealthier Nation Wins</v>
      </c>
    </row>
    <row r="2011" spans="1:17" x14ac:dyDescent="0.2">
      <c r="A2011" s="1">
        <v>3443</v>
      </c>
      <c r="B2011" s="2">
        <v>35750</v>
      </c>
      <c r="C2011" s="7">
        <f>_xlfn.FLOOR.MATH(Table1[[#This Row],[year]],10)</f>
        <v>1990</v>
      </c>
      <c r="D2011" t="s">
        <v>26</v>
      </c>
      <c r="E2011" t="s">
        <v>57</v>
      </c>
      <c r="F2011">
        <v>5</v>
      </c>
      <c r="G2011">
        <v>3</v>
      </c>
      <c r="H2011" t="s">
        <v>224</v>
      </c>
      <c r="I2011" t="s">
        <v>578</v>
      </c>
      <c r="J2011" t="s">
        <v>26</v>
      </c>
      <c r="K2011" t="b">
        <v>0</v>
      </c>
      <c r="L2011">
        <v>1997</v>
      </c>
      <c r="M2011">
        <v>23969739233</v>
      </c>
      <c r="N2011">
        <v>28162053026</v>
      </c>
      <c r="O2011" t="b">
        <v>0</v>
      </c>
      <c r="P2011">
        <v>-1</v>
      </c>
      <c r="Q2011" t="str" cm="1">
        <f t="array" ref="Q2011">_xlfn.IFS(Table1[[#This Row],[Wealthier_Winner]]=-1,"Wealthier Nation Loses",Table1[[#This Row],[Wealthier_Winner]]=0,"Tie",Table1[[#This Row],[Wealthier_Winner]]=1,"Wealthier Nation Wins")</f>
        <v>Wealthier Nation Loses</v>
      </c>
    </row>
    <row r="2012" spans="1:17" x14ac:dyDescent="0.2">
      <c r="A2012" s="1">
        <v>3444</v>
      </c>
      <c r="B2012" s="2">
        <v>35750</v>
      </c>
      <c r="C2012" s="7">
        <f>_xlfn.FLOOR.MATH(Table1[[#This Row],[year]],10)</f>
        <v>1990</v>
      </c>
      <c r="D2012" t="s">
        <v>41</v>
      </c>
      <c r="E2012" t="s">
        <v>69</v>
      </c>
      <c r="F2012">
        <v>4</v>
      </c>
      <c r="G2012">
        <v>2</v>
      </c>
      <c r="H2012" t="s">
        <v>224</v>
      </c>
      <c r="I2012" t="s">
        <v>123</v>
      </c>
      <c r="J2012" t="s">
        <v>41</v>
      </c>
      <c r="K2012" t="b">
        <v>0</v>
      </c>
      <c r="L2012">
        <v>1997</v>
      </c>
      <c r="M2012">
        <v>8577554457000</v>
      </c>
      <c r="N2012">
        <v>10221705900</v>
      </c>
      <c r="O2012" t="b">
        <v>1</v>
      </c>
      <c r="P2012">
        <v>1</v>
      </c>
      <c r="Q2012" t="str" cm="1">
        <f t="array" ref="Q2012">_xlfn.IFS(Table1[[#This Row],[Wealthier_Winner]]=-1,"Wealthier Nation Loses",Table1[[#This Row],[Wealthier_Winner]]=0,"Tie",Table1[[#This Row],[Wealthier_Winner]]=1,"Wealthier Nation Wins")</f>
        <v>Wealthier Nation Wins</v>
      </c>
    </row>
    <row r="2013" spans="1:17" x14ac:dyDescent="0.2">
      <c r="A2013" s="1">
        <v>3445</v>
      </c>
      <c r="B2013" s="2">
        <v>35756</v>
      </c>
      <c r="C2013" s="7">
        <f>_xlfn.FLOOR.MATH(Table1[[#This Row],[year]],10)</f>
        <v>1990</v>
      </c>
      <c r="D2013" t="s">
        <v>210</v>
      </c>
      <c r="E2013" t="s">
        <v>28</v>
      </c>
      <c r="F2013">
        <v>1</v>
      </c>
      <c r="G2013">
        <v>1</v>
      </c>
      <c r="H2013" t="s">
        <v>224</v>
      </c>
      <c r="I2013" t="s">
        <v>332</v>
      </c>
      <c r="J2013" t="s">
        <v>210</v>
      </c>
      <c r="K2013" t="b">
        <v>0</v>
      </c>
      <c r="L2013">
        <v>1997</v>
      </c>
      <c r="M2013">
        <v>113919163421</v>
      </c>
      <c r="N2013">
        <v>436321902767</v>
      </c>
      <c r="O2013" t="b">
        <v>1</v>
      </c>
      <c r="P2013">
        <v>0</v>
      </c>
      <c r="Q2013" t="str" cm="1">
        <f t="array" ref="Q2013">_xlfn.IFS(Table1[[#This Row],[Wealthier_Winner]]=-1,"Wealthier Nation Loses",Table1[[#This Row],[Wealthier_Winner]]=0,"Tie",Table1[[#This Row],[Wealthier_Winner]]=1,"Wealthier Nation Wins")</f>
        <v>Tie</v>
      </c>
    </row>
    <row r="2014" spans="1:17" x14ac:dyDescent="0.2">
      <c r="A2014" s="1">
        <v>3446</v>
      </c>
      <c r="B2014" s="2">
        <v>35763</v>
      </c>
      <c r="C2014" s="7">
        <f>_xlfn.FLOOR.MATH(Table1[[#This Row],[year]],10)</f>
        <v>1990</v>
      </c>
      <c r="D2014" t="s">
        <v>28</v>
      </c>
      <c r="E2014" t="s">
        <v>210</v>
      </c>
      <c r="F2014">
        <v>2</v>
      </c>
      <c r="G2014">
        <v>2</v>
      </c>
      <c r="H2014" t="s">
        <v>224</v>
      </c>
      <c r="I2014" t="s">
        <v>329</v>
      </c>
      <c r="J2014" t="s">
        <v>28</v>
      </c>
      <c r="K2014" t="b">
        <v>0</v>
      </c>
      <c r="L2014">
        <v>1997</v>
      </c>
      <c r="M2014">
        <v>436321902767</v>
      </c>
      <c r="N2014">
        <v>113919163421</v>
      </c>
      <c r="O2014" t="b">
        <v>1</v>
      </c>
      <c r="P2014">
        <v>0</v>
      </c>
      <c r="Q2014" t="str" cm="1">
        <f t="array" ref="Q2014">_xlfn.IFS(Table1[[#This Row],[Wealthier_Winner]]=-1,"Wealthier Nation Loses",Table1[[#This Row],[Wealthier_Winner]]=0,"Tie",Table1[[#This Row],[Wealthier_Winner]]=1,"Wealthier Nation Wins")</f>
        <v>Tie</v>
      </c>
    </row>
    <row r="2015" spans="1:17" x14ac:dyDescent="0.2">
      <c r="A2015" s="1">
        <v>3448</v>
      </c>
      <c r="B2015" s="2">
        <v>35956</v>
      </c>
      <c r="C2015" s="7">
        <f>_xlfn.FLOOR.MATH(Table1[[#This Row],[year]],10)</f>
        <v>1990</v>
      </c>
      <c r="D2015" t="s">
        <v>24</v>
      </c>
      <c r="E2015" t="s">
        <v>42</v>
      </c>
      <c r="F2015">
        <v>2</v>
      </c>
      <c r="G2015">
        <v>2</v>
      </c>
      <c r="H2015" t="s">
        <v>74</v>
      </c>
      <c r="I2015" t="s">
        <v>127</v>
      </c>
      <c r="J2015" t="s">
        <v>20</v>
      </c>
      <c r="K2015" t="b">
        <v>1</v>
      </c>
      <c r="L2015">
        <v>1998</v>
      </c>
      <c r="M2015">
        <v>46497608724</v>
      </c>
      <c r="N2015">
        <v>154230295158</v>
      </c>
      <c r="O2015" t="b">
        <v>1</v>
      </c>
      <c r="P2015">
        <v>0</v>
      </c>
      <c r="Q2015" t="str" cm="1">
        <f t="array" ref="Q2015">_xlfn.IFS(Table1[[#This Row],[Wealthier_Winner]]=-1,"Wealthier Nation Loses",Table1[[#This Row],[Wealthier_Winner]]=0,"Tie",Table1[[#This Row],[Wealthier_Winner]]=1,"Wealthier Nation Wins")</f>
        <v>Tie</v>
      </c>
    </row>
    <row r="2016" spans="1:17" x14ac:dyDescent="0.2">
      <c r="A2016" s="1">
        <v>3449</v>
      </c>
      <c r="B2016" s="2">
        <v>35957</v>
      </c>
      <c r="C2016" s="7">
        <f>_xlfn.FLOOR.MATH(Table1[[#This Row],[year]],10)</f>
        <v>1990</v>
      </c>
      <c r="D2016" t="s">
        <v>40</v>
      </c>
      <c r="E2016" t="s">
        <v>29</v>
      </c>
      <c r="F2016">
        <v>1</v>
      </c>
      <c r="G2016">
        <v>1</v>
      </c>
      <c r="H2016" t="s">
        <v>74</v>
      </c>
      <c r="I2016" t="s">
        <v>128</v>
      </c>
      <c r="J2016" t="s">
        <v>20</v>
      </c>
      <c r="K2016" t="b">
        <v>1</v>
      </c>
      <c r="L2016">
        <v>1998</v>
      </c>
      <c r="M2016">
        <v>11298144990</v>
      </c>
      <c r="N2016">
        <v>217068085815</v>
      </c>
      <c r="O2016" t="b">
        <v>1</v>
      </c>
      <c r="P2016">
        <v>0</v>
      </c>
      <c r="Q2016" t="str" cm="1">
        <f t="array" ref="Q2016">_xlfn.IFS(Table1[[#This Row],[Wealthier_Winner]]=-1,"Wealthier Nation Loses",Table1[[#This Row],[Wealthier_Winner]]=0,"Tie",Table1[[#This Row],[Wealthier_Winner]]=1,"Wealthier Nation Wins")</f>
        <v>Tie</v>
      </c>
    </row>
    <row r="2017" spans="1:17" x14ac:dyDescent="0.2">
      <c r="A2017" s="1">
        <v>3450</v>
      </c>
      <c r="B2017" s="2">
        <v>35957</v>
      </c>
      <c r="C2017" s="7">
        <f>_xlfn.FLOOR.MATH(Table1[[#This Row],[year]],10)</f>
        <v>1990</v>
      </c>
      <c r="D2017" t="s">
        <v>18</v>
      </c>
      <c r="E2017" t="s">
        <v>14</v>
      </c>
      <c r="F2017">
        <v>2</v>
      </c>
      <c r="G2017">
        <v>2</v>
      </c>
      <c r="H2017" t="s">
        <v>74</v>
      </c>
      <c r="I2017" t="s">
        <v>129</v>
      </c>
      <c r="J2017" t="s">
        <v>20</v>
      </c>
      <c r="K2017" t="b">
        <v>1</v>
      </c>
      <c r="L2017">
        <v>1998</v>
      </c>
      <c r="M2017">
        <v>1272729786996</v>
      </c>
      <c r="N2017">
        <v>81990010704</v>
      </c>
      <c r="O2017" t="b">
        <v>1</v>
      </c>
      <c r="P2017">
        <v>0</v>
      </c>
      <c r="Q2017" t="str" cm="1">
        <f t="array" ref="Q2017">_xlfn.IFS(Table1[[#This Row],[Wealthier_Winner]]=-1,"Wealthier Nation Loses",Table1[[#This Row],[Wealthier_Winner]]=0,"Tie",Table1[[#This Row],[Wealthier_Winner]]=1,"Wealthier Nation Wins")</f>
        <v>Tie</v>
      </c>
    </row>
    <row r="2018" spans="1:17" x14ac:dyDescent="0.2">
      <c r="A2018" s="1">
        <v>3451</v>
      </c>
      <c r="B2018" s="2">
        <v>35958</v>
      </c>
      <c r="C2018" s="7">
        <f>_xlfn.FLOOR.MATH(Table1[[#This Row],[year]],10)</f>
        <v>1990</v>
      </c>
      <c r="D2018" t="s">
        <v>20</v>
      </c>
      <c r="E2018" t="s">
        <v>50</v>
      </c>
      <c r="F2018">
        <v>3</v>
      </c>
      <c r="G2018">
        <v>0</v>
      </c>
      <c r="H2018" t="s">
        <v>74</v>
      </c>
      <c r="I2018" t="s">
        <v>130</v>
      </c>
      <c r="J2018" t="s">
        <v>20</v>
      </c>
      <c r="K2018" t="b">
        <v>0</v>
      </c>
      <c r="L2018">
        <v>1998</v>
      </c>
      <c r="M2018">
        <v>1496906382032</v>
      </c>
      <c r="N2018">
        <v>152982984557</v>
      </c>
      <c r="O2018" t="b">
        <v>1</v>
      </c>
      <c r="P2018">
        <v>1</v>
      </c>
      <c r="Q2018" t="str" cm="1">
        <f t="array" ref="Q2018">_xlfn.IFS(Table1[[#This Row],[Wealthier_Winner]]=-1,"Wealthier Nation Loses",Table1[[#This Row],[Wealthier_Winner]]=0,"Tie",Table1[[#This Row],[Wealthier_Winner]]=1,"Wealthier Nation Wins")</f>
        <v>Wealthier Nation Wins</v>
      </c>
    </row>
    <row r="2019" spans="1:17" x14ac:dyDescent="0.2">
      <c r="A2019" s="1">
        <v>3452</v>
      </c>
      <c r="B2019" s="2">
        <v>35958</v>
      </c>
      <c r="C2019" s="7">
        <f>_xlfn.FLOOR.MATH(Table1[[#This Row],[year]],10)</f>
        <v>1990</v>
      </c>
      <c r="D2019" t="s">
        <v>35</v>
      </c>
      <c r="E2019" t="s">
        <v>33</v>
      </c>
      <c r="F2019">
        <v>0</v>
      </c>
      <c r="G2019">
        <v>0</v>
      </c>
      <c r="H2019" t="s">
        <v>74</v>
      </c>
      <c r="I2019" t="s">
        <v>127</v>
      </c>
      <c r="J2019" t="s">
        <v>20</v>
      </c>
      <c r="K2019" t="b">
        <v>1</v>
      </c>
      <c r="L2019">
        <v>1998</v>
      </c>
      <c r="M2019">
        <v>9260481572</v>
      </c>
      <c r="N2019">
        <v>15031055046</v>
      </c>
      <c r="O2019" t="b">
        <v>0</v>
      </c>
      <c r="P2019">
        <v>0</v>
      </c>
      <c r="Q2019" t="str" cm="1">
        <f t="array" ref="Q2019">_xlfn.IFS(Table1[[#This Row],[Wealthier_Winner]]=-1,"Wealthier Nation Loses",Table1[[#This Row],[Wealthier_Winner]]=0,"Tie",Table1[[#This Row],[Wealthier_Winner]]=1,"Wealthier Nation Wins")</f>
        <v>Tie</v>
      </c>
    </row>
    <row r="2020" spans="1:17" x14ac:dyDescent="0.2">
      <c r="A2020" s="1">
        <v>3453</v>
      </c>
      <c r="B2020" s="2">
        <v>35958</v>
      </c>
      <c r="C2020" s="7">
        <f>_xlfn.FLOOR.MATH(Table1[[#This Row],[year]],10)</f>
        <v>1990</v>
      </c>
      <c r="D2020" t="s">
        <v>45</v>
      </c>
      <c r="E2020" t="s">
        <v>36</v>
      </c>
      <c r="F2020">
        <v>0</v>
      </c>
      <c r="G2020">
        <v>1</v>
      </c>
      <c r="H2020" t="s">
        <v>74</v>
      </c>
      <c r="I2020" t="s">
        <v>131</v>
      </c>
      <c r="J2020" t="s">
        <v>20</v>
      </c>
      <c r="K2020" t="b">
        <v>1</v>
      </c>
      <c r="L2020">
        <v>1998</v>
      </c>
      <c r="M2020">
        <v>146775466666</v>
      </c>
      <c r="N2020">
        <v>176877077513</v>
      </c>
      <c r="O2020" t="b">
        <v>0</v>
      </c>
      <c r="P2020">
        <v>1</v>
      </c>
      <c r="Q2020" t="str" cm="1">
        <f t="array" ref="Q2020">_xlfn.IFS(Table1[[#This Row],[Wealthier_Winner]]=-1,"Wealthier Nation Loses",Table1[[#This Row],[Wealthier_Winner]]=0,"Tie",Table1[[#This Row],[Wealthier_Winner]]=1,"Wealthier Nation Wins")</f>
        <v>Wealthier Nation Wins</v>
      </c>
    </row>
    <row r="2021" spans="1:17" x14ac:dyDescent="0.2">
      <c r="A2021" s="1">
        <v>3454</v>
      </c>
      <c r="B2021" s="2">
        <v>35959</v>
      </c>
      <c r="C2021" s="7">
        <f>_xlfn.FLOOR.MATH(Table1[[#This Row],[year]],10)</f>
        <v>1990</v>
      </c>
      <c r="D2021" t="s">
        <v>195</v>
      </c>
      <c r="E2021" t="s">
        <v>17</v>
      </c>
      <c r="F2021">
        <v>1</v>
      </c>
      <c r="G2021">
        <v>3</v>
      </c>
      <c r="H2021" t="s">
        <v>74</v>
      </c>
      <c r="I2021" t="s">
        <v>135</v>
      </c>
      <c r="J2021" t="s">
        <v>20</v>
      </c>
      <c r="K2021" t="b">
        <v>1</v>
      </c>
      <c r="L2021">
        <v>1998</v>
      </c>
      <c r="M2021">
        <v>397297216492</v>
      </c>
      <c r="N2021">
        <v>557461102630</v>
      </c>
      <c r="O2021" t="b">
        <v>0</v>
      </c>
      <c r="P2021">
        <v>1</v>
      </c>
      <c r="Q2021" t="str" cm="1">
        <f t="array" ref="Q2021">_xlfn.IFS(Table1[[#This Row],[Wealthier_Winner]]=-1,"Wealthier Nation Loses",Table1[[#This Row],[Wealthier_Winner]]=0,"Tie",Table1[[#This Row],[Wealthier_Winner]]=1,"Wealthier Nation Wins")</f>
        <v>Wealthier Nation Wins</v>
      </c>
    </row>
    <row r="2022" spans="1:17" x14ac:dyDescent="0.2">
      <c r="A2022" s="1">
        <v>3455</v>
      </c>
      <c r="B2022" s="2">
        <v>35959</v>
      </c>
      <c r="C2022" s="7">
        <f>_xlfn.FLOOR.MATH(Table1[[#This Row],[year]],10)</f>
        <v>1990</v>
      </c>
      <c r="D2022" t="s">
        <v>27</v>
      </c>
      <c r="E2022" t="s">
        <v>23</v>
      </c>
      <c r="F2022">
        <v>0</v>
      </c>
      <c r="G2022">
        <v>0</v>
      </c>
      <c r="H2022" t="s">
        <v>74</v>
      </c>
      <c r="I2022" t="s">
        <v>132</v>
      </c>
      <c r="J2022" t="s">
        <v>20</v>
      </c>
      <c r="K2022" t="b">
        <v>1</v>
      </c>
      <c r="L2022">
        <v>1998</v>
      </c>
      <c r="M2022">
        <v>438612530548</v>
      </c>
      <c r="N2022">
        <v>258528339631</v>
      </c>
      <c r="O2022" t="b">
        <v>0</v>
      </c>
      <c r="P2022">
        <v>0</v>
      </c>
      <c r="Q2022" t="str" cm="1">
        <f t="array" ref="Q2022">_xlfn.IFS(Table1[[#This Row],[Wealthier_Winner]]=-1,"Wealthier Nation Loses",Table1[[#This Row],[Wealthier_Winner]]=0,"Tie",Table1[[#This Row],[Wealthier_Winner]]=1,"Wealthier Nation Wins")</f>
        <v>Tie</v>
      </c>
    </row>
    <row r="2023" spans="1:17" x14ac:dyDescent="0.2">
      <c r="A2023" s="1">
        <v>3456</v>
      </c>
      <c r="B2023" s="2">
        <v>35959</v>
      </c>
      <c r="C2023" s="7">
        <f>_xlfn.FLOOR.MATH(Table1[[#This Row],[year]],10)</f>
        <v>1990</v>
      </c>
      <c r="D2023" t="s">
        <v>21</v>
      </c>
      <c r="E2023" t="s">
        <v>43</v>
      </c>
      <c r="F2023">
        <v>2</v>
      </c>
      <c r="G2023">
        <v>3</v>
      </c>
      <c r="H2023" t="s">
        <v>74</v>
      </c>
      <c r="I2023" t="s">
        <v>133</v>
      </c>
      <c r="J2023" t="s">
        <v>20</v>
      </c>
      <c r="K2023" t="b">
        <v>1</v>
      </c>
      <c r="L2023">
        <v>1998</v>
      </c>
      <c r="M2023">
        <v>618731484575</v>
      </c>
      <c r="N2023">
        <v>218416200672</v>
      </c>
      <c r="O2023" t="b">
        <v>1</v>
      </c>
      <c r="P2023">
        <v>-1</v>
      </c>
      <c r="Q2023" t="str" cm="1">
        <f t="array" ref="Q2023">_xlfn.IFS(Table1[[#This Row],[Wealthier_Winner]]=-1,"Wealthier Nation Loses",Table1[[#This Row],[Wealthier_Winner]]=0,"Tie",Table1[[#This Row],[Wealthier_Winner]]=1,"Wealthier Nation Wins")</f>
        <v>Wealthier Nation Loses</v>
      </c>
    </row>
    <row r="2024" spans="1:17" x14ac:dyDescent="0.2">
      <c r="A2024" s="1">
        <v>3457</v>
      </c>
      <c r="B2024" s="2">
        <v>35960</v>
      </c>
      <c r="C2024" s="7">
        <f>_xlfn.FLOOR.MATH(Table1[[#This Row],[year]],10)</f>
        <v>1990</v>
      </c>
      <c r="D2024" t="s">
        <v>19</v>
      </c>
      <c r="E2024" t="s">
        <v>51</v>
      </c>
      <c r="F2024">
        <v>1</v>
      </c>
      <c r="G2024">
        <v>0</v>
      </c>
      <c r="H2024" t="s">
        <v>74</v>
      </c>
      <c r="I2024" t="s">
        <v>128</v>
      </c>
      <c r="J2024" t="s">
        <v>20</v>
      </c>
      <c r="K2024" t="b">
        <v>1</v>
      </c>
      <c r="L2024">
        <v>1998</v>
      </c>
      <c r="M2024">
        <v>298948250000</v>
      </c>
      <c r="N2024">
        <v>4098362709531</v>
      </c>
      <c r="O2024" t="b">
        <v>1</v>
      </c>
      <c r="P2024">
        <v>-1</v>
      </c>
      <c r="Q2024" t="str" cm="1">
        <f t="array" ref="Q2024">_xlfn.IFS(Table1[[#This Row],[Wealthier_Winner]]=-1,"Wealthier Nation Loses",Table1[[#This Row],[Wealthier_Winner]]=0,"Tie",Table1[[#This Row],[Wealthier_Winner]]=1,"Wealthier Nation Wins")</f>
        <v>Wealthier Nation Loses</v>
      </c>
    </row>
    <row r="2025" spans="1:17" x14ac:dyDescent="0.2">
      <c r="A2025" s="1">
        <v>3458</v>
      </c>
      <c r="B2025" s="2">
        <v>35960</v>
      </c>
      <c r="C2025" s="7">
        <f>_xlfn.FLOOR.MATH(Table1[[#This Row],[year]],10)</f>
        <v>1990</v>
      </c>
      <c r="D2025" t="s">
        <v>49</v>
      </c>
      <c r="E2025" t="s">
        <v>52</v>
      </c>
      <c r="F2025">
        <v>1</v>
      </c>
      <c r="G2025">
        <v>3</v>
      </c>
      <c r="H2025" t="s">
        <v>74</v>
      </c>
      <c r="I2025" t="s">
        <v>131</v>
      </c>
      <c r="J2025" t="s">
        <v>20</v>
      </c>
      <c r="K2025" t="b">
        <v>1</v>
      </c>
      <c r="L2025">
        <v>1998</v>
      </c>
      <c r="M2025">
        <v>8787195622</v>
      </c>
      <c r="N2025">
        <v>25890228429</v>
      </c>
      <c r="O2025" t="b">
        <v>1</v>
      </c>
      <c r="P2025">
        <v>1</v>
      </c>
      <c r="Q2025" t="str" cm="1">
        <f t="array" ref="Q2025">_xlfn.IFS(Table1[[#This Row],[Wealthier_Winner]]=-1,"Wealthier Nation Loses",Table1[[#This Row],[Wealthier_Winner]]=0,"Tie",Table1[[#This Row],[Wealthier_Winner]]=1,"Wealthier Nation Wins")</f>
        <v>Wealthier Nation Wins</v>
      </c>
    </row>
    <row r="2026" spans="1:17" x14ac:dyDescent="0.2">
      <c r="A2026" s="1">
        <v>3459</v>
      </c>
      <c r="B2026" s="2">
        <v>35960</v>
      </c>
      <c r="C2026" s="7">
        <f>_xlfn.FLOOR.MATH(Table1[[#This Row],[year]],10)</f>
        <v>1990</v>
      </c>
      <c r="D2026" t="s">
        <v>61</v>
      </c>
      <c r="E2026" t="s">
        <v>210</v>
      </c>
      <c r="F2026">
        <v>1</v>
      </c>
      <c r="G2026">
        <v>0</v>
      </c>
      <c r="H2026" t="s">
        <v>74</v>
      </c>
      <c r="I2026" t="s">
        <v>579</v>
      </c>
      <c r="J2026" t="s">
        <v>20</v>
      </c>
      <c r="K2026" t="b">
        <v>1</v>
      </c>
      <c r="L2026">
        <v>1998</v>
      </c>
      <c r="M2026">
        <v>21004077441</v>
      </c>
      <c r="N2026">
        <v>110276913362</v>
      </c>
      <c r="O2026" t="b">
        <v>1</v>
      </c>
      <c r="P2026">
        <v>-1</v>
      </c>
      <c r="Q2026" t="str" cm="1">
        <f t="array" ref="Q2026">_xlfn.IFS(Table1[[#This Row],[Wealthier_Winner]]=-1,"Wealthier Nation Loses",Table1[[#This Row],[Wealthier_Winner]]=0,"Tie",Table1[[#This Row],[Wealthier_Winner]]=1,"Wealthier Nation Wins")</f>
        <v>Wealthier Nation Loses</v>
      </c>
    </row>
    <row r="2027" spans="1:17" x14ac:dyDescent="0.2">
      <c r="A2027" s="1">
        <v>3460</v>
      </c>
      <c r="B2027" s="2">
        <v>35961</v>
      </c>
      <c r="C2027" s="7">
        <f>_xlfn.FLOOR.MATH(Table1[[#This Row],[year]],10)</f>
        <v>1990</v>
      </c>
      <c r="D2027" t="s">
        <v>194</v>
      </c>
      <c r="E2027" t="s">
        <v>53</v>
      </c>
      <c r="F2027">
        <v>2</v>
      </c>
      <c r="G2027">
        <v>0</v>
      </c>
      <c r="H2027" t="s">
        <v>74</v>
      </c>
      <c r="I2027" t="s">
        <v>130</v>
      </c>
      <c r="J2027" t="s">
        <v>20</v>
      </c>
      <c r="K2027" t="b">
        <v>1</v>
      </c>
      <c r="L2027">
        <v>1998</v>
      </c>
      <c r="M2027">
        <v>1660821464060</v>
      </c>
      <c r="N2027">
        <v>21802893587</v>
      </c>
      <c r="O2027" t="b">
        <v>1</v>
      </c>
      <c r="P2027">
        <v>1</v>
      </c>
      <c r="Q2027" t="str" cm="1">
        <f t="array" ref="Q2027">_xlfn.IFS(Table1[[#This Row],[Wealthier_Winner]]=-1,"Wealthier Nation Loses",Table1[[#This Row],[Wealthier_Winner]]=0,"Tie",Table1[[#This Row],[Wealthier_Winner]]=1,"Wealthier Nation Wins")</f>
        <v>Wealthier Nation Wins</v>
      </c>
    </row>
    <row r="2028" spans="1:17" x14ac:dyDescent="0.2">
      <c r="A2028" s="1">
        <v>3461</v>
      </c>
      <c r="B2028" s="2">
        <v>35961</v>
      </c>
      <c r="C2028" s="7">
        <f>_xlfn.FLOOR.MATH(Table1[[#This Row],[year]],10)</f>
        <v>1990</v>
      </c>
      <c r="D2028" t="s">
        <v>16</v>
      </c>
      <c r="E2028" t="s">
        <v>41</v>
      </c>
      <c r="F2028">
        <v>2</v>
      </c>
      <c r="G2028">
        <v>0</v>
      </c>
      <c r="H2028" t="s">
        <v>74</v>
      </c>
      <c r="I2028" t="s">
        <v>134</v>
      </c>
      <c r="J2028" t="s">
        <v>20</v>
      </c>
      <c r="K2028" t="b">
        <v>1</v>
      </c>
      <c r="L2028">
        <v>1998</v>
      </c>
      <c r="M2028">
        <v>2247760364565</v>
      </c>
      <c r="N2028">
        <v>9062818202000</v>
      </c>
      <c r="O2028" t="b">
        <v>1</v>
      </c>
      <c r="P2028">
        <v>-1</v>
      </c>
      <c r="Q2028" t="str" cm="1">
        <f t="array" ref="Q2028">_xlfn.IFS(Table1[[#This Row],[Wealthier_Winner]]=-1,"Wealthier Nation Loses",Table1[[#This Row],[Wealthier_Winner]]=0,"Tie",Table1[[#This Row],[Wealthier_Winner]]=1,"Wealthier Nation Wins")</f>
        <v>Wealthier Nation Loses</v>
      </c>
    </row>
    <row r="2029" spans="1:17" x14ac:dyDescent="0.2">
      <c r="A2029" s="1">
        <v>3462</v>
      </c>
      <c r="B2029" s="2">
        <v>35961</v>
      </c>
      <c r="C2029" s="7">
        <f>_xlfn.FLOOR.MATH(Table1[[#This Row],[year]],10)</f>
        <v>1990</v>
      </c>
      <c r="D2029" t="s">
        <v>44</v>
      </c>
      <c r="E2029" t="s">
        <v>15</v>
      </c>
      <c r="F2029">
        <v>1</v>
      </c>
      <c r="G2029">
        <v>0</v>
      </c>
      <c r="H2029" t="s">
        <v>74</v>
      </c>
      <c r="I2029" t="s">
        <v>135</v>
      </c>
      <c r="J2029" t="s">
        <v>20</v>
      </c>
      <c r="K2029" t="b">
        <v>1</v>
      </c>
      <c r="L2029">
        <v>1998</v>
      </c>
      <c r="M2029">
        <v>41696091973</v>
      </c>
      <c r="N2029">
        <v>98443739941</v>
      </c>
      <c r="O2029" t="b">
        <v>1</v>
      </c>
      <c r="P2029">
        <v>-1</v>
      </c>
      <c r="Q2029" t="str" cm="1">
        <f t="array" ref="Q2029">_xlfn.IFS(Table1[[#This Row],[Wealthier_Winner]]=-1,"Wealthier Nation Loses",Table1[[#This Row],[Wealthier_Winner]]=0,"Tie",Table1[[#This Row],[Wealthier_Winner]]=1,"Wealthier Nation Wins")</f>
        <v>Wealthier Nation Loses</v>
      </c>
    </row>
    <row r="2030" spans="1:17" x14ac:dyDescent="0.2">
      <c r="A2030" s="1">
        <v>3463</v>
      </c>
      <c r="B2030" s="2">
        <v>35962</v>
      </c>
      <c r="C2030" s="7">
        <f>_xlfn.FLOOR.MATH(Table1[[#This Row],[year]],10)</f>
        <v>1990</v>
      </c>
      <c r="D2030" t="s">
        <v>13</v>
      </c>
      <c r="E2030" t="s">
        <v>24</v>
      </c>
      <c r="F2030">
        <v>3</v>
      </c>
      <c r="G2030">
        <v>0</v>
      </c>
      <c r="H2030" t="s">
        <v>74</v>
      </c>
      <c r="I2030" t="s">
        <v>133</v>
      </c>
      <c r="J2030" t="s">
        <v>20</v>
      </c>
      <c r="K2030" t="b">
        <v>1</v>
      </c>
      <c r="L2030">
        <v>1998</v>
      </c>
      <c r="M2030">
        <v>863711007325</v>
      </c>
      <c r="N2030">
        <v>46497608724</v>
      </c>
      <c r="O2030" t="b">
        <v>1</v>
      </c>
      <c r="P2030">
        <v>1</v>
      </c>
      <c r="Q2030" t="str" cm="1">
        <f t="array" ref="Q2030">_xlfn.IFS(Table1[[#This Row],[Wealthier_Winner]]=-1,"Wealthier Nation Loses",Table1[[#This Row],[Wealthier_Winner]]=0,"Tie",Table1[[#This Row],[Wealthier_Winner]]=1,"Wealthier Nation Wins")</f>
        <v>Wealthier Nation Wins</v>
      </c>
    </row>
    <row r="2031" spans="1:17" x14ac:dyDescent="0.2">
      <c r="A2031" s="1">
        <v>3465</v>
      </c>
      <c r="B2031" s="2">
        <v>35963</v>
      </c>
      <c r="C2031" s="7">
        <f>_xlfn.FLOOR.MATH(Table1[[#This Row],[year]],10)</f>
        <v>1990</v>
      </c>
      <c r="D2031" t="s">
        <v>14</v>
      </c>
      <c r="E2031" t="s">
        <v>29</v>
      </c>
      <c r="F2031">
        <v>1</v>
      </c>
      <c r="G2031">
        <v>1</v>
      </c>
      <c r="H2031" t="s">
        <v>74</v>
      </c>
      <c r="I2031" t="s">
        <v>579</v>
      </c>
      <c r="J2031" t="s">
        <v>20</v>
      </c>
      <c r="K2031" t="b">
        <v>1</v>
      </c>
      <c r="L2031">
        <v>1998</v>
      </c>
      <c r="M2031">
        <v>81990010704</v>
      </c>
      <c r="N2031">
        <v>217068085815</v>
      </c>
      <c r="O2031" t="b">
        <v>1</v>
      </c>
      <c r="P2031">
        <v>0</v>
      </c>
      <c r="Q2031" t="str" cm="1">
        <f t="array" ref="Q2031">_xlfn.IFS(Table1[[#This Row],[Wealthier_Winner]]=-1,"Wealthier Nation Loses",Table1[[#This Row],[Wealthier_Winner]]=0,"Tie",Table1[[#This Row],[Wealthier_Winner]]=1,"Wealthier Nation Wins")</f>
        <v>Tie</v>
      </c>
    </row>
    <row r="2032" spans="1:17" x14ac:dyDescent="0.2">
      <c r="A2032" s="1">
        <v>3466</v>
      </c>
      <c r="B2032" s="2">
        <v>35963</v>
      </c>
      <c r="C2032" s="7">
        <f>_xlfn.FLOOR.MATH(Table1[[#This Row],[year]],10)</f>
        <v>1990</v>
      </c>
      <c r="D2032" t="s">
        <v>18</v>
      </c>
      <c r="E2032" t="s">
        <v>40</v>
      </c>
      <c r="F2032">
        <v>3</v>
      </c>
      <c r="G2032">
        <v>0</v>
      </c>
      <c r="H2032" t="s">
        <v>74</v>
      </c>
      <c r="I2032" t="s">
        <v>127</v>
      </c>
      <c r="J2032" t="s">
        <v>20</v>
      </c>
      <c r="K2032" t="b">
        <v>1</v>
      </c>
      <c r="L2032">
        <v>1998</v>
      </c>
      <c r="M2032">
        <v>1272729786996</v>
      </c>
      <c r="N2032">
        <v>11298144990</v>
      </c>
      <c r="O2032" t="b">
        <v>1</v>
      </c>
      <c r="P2032">
        <v>1</v>
      </c>
      <c r="Q2032" t="str" cm="1">
        <f t="array" ref="Q2032">_xlfn.IFS(Table1[[#This Row],[Wealthier_Winner]]=-1,"Wealthier Nation Loses",Table1[[#This Row],[Wealthier_Winner]]=0,"Tie",Table1[[#This Row],[Wealthier_Winner]]=1,"Wealthier Nation Wins")</f>
        <v>Wealthier Nation Wins</v>
      </c>
    </row>
    <row r="2033" spans="1:17" x14ac:dyDescent="0.2">
      <c r="A2033" s="1">
        <v>3467</v>
      </c>
      <c r="B2033" s="2">
        <v>35964</v>
      </c>
      <c r="C2033" s="7">
        <f>_xlfn.FLOOR.MATH(Table1[[#This Row],[year]],10)</f>
        <v>1990</v>
      </c>
      <c r="D2033" t="s">
        <v>20</v>
      </c>
      <c r="E2033" t="s">
        <v>45</v>
      </c>
      <c r="F2033">
        <v>4</v>
      </c>
      <c r="G2033">
        <v>0</v>
      </c>
      <c r="H2033" t="s">
        <v>74</v>
      </c>
      <c r="I2033" t="s">
        <v>132</v>
      </c>
      <c r="J2033" t="s">
        <v>20</v>
      </c>
      <c r="K2033" t="b">
        <v>0</v>
      </c>
      <c r="L2033">
        <v>1998</v>
      </c>
      <c r="M2033">
        <v>1496906382032</v>
      </c>
      <c r="N2033">
        <v>146775466666</v>
      </c>
      <c r="O2033" t="b">
        <v>1</v>
      </c>
      <c r="P2033">
        <v>1</v>
      </c>
      <c r="Q2033" t="str" cm="1">
        <f t="array" ref="Q2033">_xlfn.IFS(Table1[[#This Row],[Wealthier_Winner]]=-1,"Wealthier Nation Loses",Table1[[#This Row],[Wealthier_Winner]]=0,"Tie",Table1[[#This Row],[Wealthier_Winner]]=1,"Wealthier Nation Wins")</f>
        <v>Wealthier Nation Wins</v>
      </c>
    </row>
    <row r="2034" spans="1:17" x14ac:dyDescent="0.2">
      <c r="A2034" s="1">
        <v>3468</v>
      </c>
      <c r="B2034" s="2">
        <v>35964</v>
      </c>
      <c r="C2034" s="7">
        <f>_xlfn.FLOOR.MATH(Table1[[#This Row],[year]],10)</f>
        <v>1990</v>
      </c>
      <c r="D2034" t="s">
        <v>50</v>
      </c>
      <c r="E2034" t="s">
        <v>36</v>
      </c>
      <c r="F2034">
        <v>1</v>
      </c>
      <c r="G2034">
        <v>1</v>
      </c>
      <c r="H2034" t="s">
        <v>74</v>
      </c>
      <c r="I2034" t="s">
        <v>128</v>
      </c>
      <c r="J2034" t="s">
        <v>20</v>
      </c>
      <c r="K2034" t="b">
        <v>1</v>
      </c>
      <c r="L2034">
        <v>1998</v>
      </c>
      <c r="M2034">
        <v>152982984557</v>
      </c>
      <c r="N2034">
        <v>176877077513</v>
      </c>
      <c r="O2034" t="b">
        <v>0</v>
      </c>
      <c r="P2034">
        <v>0</v>
      </c>
      <c r="Q2034" t="str" cm="1">
        <f t="array" ref="Q2034">_xlfn.IFS(Table1[[#This Row],[Wealthier_Winner]]=-1,"Wealthier Nation Loses",Table1[[#This Row],[Wealthier_Winner]]=0,"Tie",Table1[[#This Row],[Wealthier_Winner]]=1,"Wealthier Nation Wins")</f>
        <v>Tie</v>
      </c>
    </row>
    <row r="2035" spans="1:17" x14ac:dyDescent="0.2">
      <c r="A2035" s="1">
        <v>3469</v>
      </c>
      <c r="B2035" s="2">
        <v>35965</v>
      </c>
      <c r="C2035" s="7">
        <f>_xlfn.FLOOR.MATH(Table1[[#This Row],[year]],10)</f>
        <v>1990</v>
      </c>
      <c r="D2035" t="s">
        <v>43</v>
      </c>
      <c r="E2035" t="s">
        <v>33</v>
      </c>
      <c r="F2035">
        <v>1</v>
      </c>
      <c r="G2035">
        <v>0</v>
      </c>
      <c r="H2035" t="s">
        <v>74</v>
      </c>
      <c r="I2035" t="s">
        <v>134</v>
      </c>
      <c r="J2035" t="s">
        <v>20</v>
      </c>
      <c r="K2035" t="b">
        <v>1</v>
      </c>
      <c r="L2035">
        <v>1998</v>
      </c>
      <c r="M2035">
        <v>218416200672</v>
      </c>
      <c r="N2035">
        <v>15031055046</v>
      </c>
      <c r="O2035" t="b">
        <v>1</v>
      </c>
      <c r="P2035">
        <v>1</v>
      </c>
      <c r="Q2035" t="str" cm="1">
        <f t="array" ref="Q2035">_xlfn.IFS(Table1[[#This Row],[Wealthier_Winner]]=-1,"Wealthier Nation Loses",Table1[[#This Row],[Wealthier_Winner]]=0,"Tie",Table1[[#This Row],[Wealthier_Winner]]=1,"Wealthier Nation Wins")</f>
        <v>Wealthier Nation Wins</v>
      </c>
    </row>
    <row r="2036" spans="1:17" x14ac:dyDescent="0.2">
      <c r="A2036" s="1">
        <v>3470</v>
      </c>
      <c r="B2036" s="2">
        <v>35965</v>
      </c>
      <c r="C2036" s="7">
        <f>_xlfn.FLOOR.MATH(Table1[[#This Row],[year]],10)</f>
        <v>1990</v>
      </c>
      <c r="D2036" t="s">
        <v>21</v>
      </c>
      <c r="E2036" t="s">
        <v>35</v>
      </c>
      <c r="F2036">
        <v>0</v>
      </c>
      <c r="G2036">
        <v>0</v>
      </c>
      <c r="H2036" t="s">
        <v>74</v>
      </c>
      <c r="I2036" t="s">
        <v>579</v>
      </c>
      <c r="J2036" t="s">
        <v>20</v>
      </c>
      <c r="K2036" t="b">
        <v>1</v>
      </c>
      <c r="L2036">
        <v>1998</v>
      </c>
      <c r="M2036">
        <v>618731484575</v>
      </c>
      <c r="N2036">
        <v>9260481572</v>
      </c>
      <c r="O2036" t="b">
        <v>1</v>
      </c>
      <c r="P2036">
        <v>0</v>
      </c>
      <c r="Q2036" t="str" cm="1">
        <f t="array" ref="Q2036">_xlfn.IFS(Table1[[#This Row],[Wealthier_Winner]]=-1,"Wealthier Nation Loses",Table1[[#This Row],[Wealthier_Winner]]=0,"Tie",Table1[[#This Row],[Wealthier_Winner]]=1,"Wealthier Nation Wins")</f>
        <v>Tie</v>
      </c>
    </row>
    <row r="2037" spans="1:17" x14ac:dyDescent="0.2">
      <c r="A2037" s="1">
        <v>3471</v>
      </c>
      <c r="B2037" s="2">
        <v>35966</v>
      </c>
      <c r="C2037" s="7">
        <f>_xlfn.FLOOR.MATH(Table1[[#This Row],[year]],10)</f>
        <v>1990</v>
      </c>
      <c r="D2037" t="s">
        <v>23</v>
      </c>
      <c r="E2037" t="s">
        <v>17</v>
      </c>
      <c r="F2037">
        <v>2</v>
      </c>
      <c r="G2037">
        <v>2</v>
      </c>
      <c r="H2037" t="s">
        <v>74</v>
      </c>
      <c r="I2037" t="s">
        <v>129</v>
      </c>
      <c r="J2037" t="s">
        <v>20</v>
      </c>
      <c r="K2037" t="b">
        <v>1</v>
      </c>
      <c r="L2037">
        <v>1998</v>
      </c>
      <c r="M2037">
        <v>258528339631</v>
      </c>
      <c r="N2037">
        <v>557461102630</v>
      </c>
      <c r="O2037" t="b">
        <v>1</v>
      </c>
      <c r="P2037">
        <v>0</v>
      </c>
      <c r="Q2037" t="str" cm="1">
        <f t="array" ref="Q2037">_xlfn.IFS(Table1[[#This Row],[Wealthier_Winner]]=-1,"Wealthier Nation Loses",Table1[[#This Row],[Wealthier_Winner]]=0,"Tie",Table1[[#This Row],[Wealthier_Winner]]=1,"Wealthier Nation Wins")</f>
        <v>Tie</v>
      </c>
    </row>
    <row r="2038" spans="1:17" x14ac:dyDescent="0.2">
      <c r="A2038" s="1">
        <v>3472</v>
      </c>
      <c r="B2038" s="2">
        <v>35966</v>
      </c>
      <c r="C2038" s="7">
        <f>_xlfn.FLOOR.MATH(Table1[[#This Row],[year]],10)</f>
        <v>1990</v>
      </c>
      <c r="D2038" t="s">
        <v>51</v>
      </c>
      <c r="E2038" t="s">
        <v>52</v>
      </c>
      <c r="F2038">
        <v>0</v>
      </c>
      <c r="G2038">
        <v>1</v>
      </c>
      <c r="H2038" t="s">
        <v>74</v>
      </c>
      <c r="I2038" t="s">
        <v>133</v>
      </c>
      <c r="J2038" t="s">
        <v>20</v>
      </c>
      <c r="K2038" t="b">
        <v>1</v>
      </c>
      <c r="L2038">
        <v>1998</v>
      </c>
      <c r="M2038">
        <v>4098362709531</v>
      </c>
      <c r="N2038">
        <v>25890228429</v>
      </c>
      <c r="O2038" t="b">
        <v>1</v>
      </c>
      <c r="P2038">
        <v>-1</v>
      </c>
      <c r="Q2038" t="str" cm="1">
        <f t="array" ref="Q2038">_xlfn.IFS(Table1[[#This Row],[Wealthier_Winner]]=-1,"Wealthier Nation Loses",Table1[[#This Row],[Wealthier_Winner]]=0,"Tie",Table1[[#This Row],[Wealthier_Winner]]=1,"Wealthier Nation Wins")</f>
        <v>Wealthier Nation Loses</v>
      </c>
    </row>
    <row r="2039" spans="1:17" x14ac:dyDescent="0.2">
      <c r="A2039" s="1">
        <v>3473</v>
      </c>
      <c r="B2039" s="2">
        <v>35966</v>
      </c>
      <c r="C2039" s="7">
        <f>_xlfn.FLOOR.MATH(Table1[[#This Row],[year]],10)</f>
        <v>1990</v>
      </c>
      <c r="D2039" t="s">
        <v>27</v>
      </c>
      <c r="E2039" t="s">
        <v>195</v>
      </c>
      <c r="F2039">
        <v>5</v>
      </c>
      <c r="G2039">
        <v>0</v>
      </c>
      <c r="H2039" t="s">
        <v>74</v>
      </c>
      <c r="I2039" t="s">
        <v>130</v>
      </c>
      <c r="J2039" t="s">
        <v>20</v>
      </c>
      <c r="K2039" t="b">
        <v>1</v>
      </c>
      <c r="L2039">
        <v>1998</v>
      </c>
      <c r="M2039">
        <v>438612530548</v>
      </c>
      <c r="N2039">
        <v>397297216492</v>
      </c>
      <c r="O2039" t="b">
        <v>0</v>
      </c>
      <c r="P2039">
        <v>1</v>
      </c>
      <c r="Q2039" t="str" cm="1">
        <f t="array" ref="Q2039">_xlfn.IFS(Table1[[#This Row],[Wealthier_Winner]]=-1,"Wealthier Nation Loses",Table1[[#This Row],[Wealthier_Winner]]=0,"Tie",Table1[[#This Row],[Wealthier_Winner]]=1,"Wealthier Nation Wins")</f>
        <v>Wealthier Nation Wins</v>
      </c>
    </row>
    <row r="2040" spans="1:17" x14ac:dyDescent="0.2">
      <c r="A2040" s="1">
        <v>3474</v>
      </c>
      <c r="B2040" s="2">
        <v>35967</v>
      </c>
      <c r="C2040" s="7">
        <f>_xlfn.FLOOR.MATH(Table1[[#This Row],[year]],10)</f>
        <v>1990</v>
      </c>
      <c r="D2040" t="s">
        <v>19</v>
      </c>
      <c r="E2040" t="s">
        <v>49</v>
      </c>
      <c r="F2040">
        <v>5</v>
      </c>
      <c r="G2040">
        <v>0</v>
      </c>
      <c r="H2040" t="s">
        <v>74</v>
      </c>
      <c r="I2040" t="s">
        <v>134</v>
      </c>
      <c r="J2040" t="s">
        <v>20</v>
      </c>
      <c r="K2040" t="b">
        <v>1</v>
      </c>
      <c r="L2040">
        <v>1998</v>
      </c>
      <c r="M2040">
        <v>298948250000</v>
      </c>
      <c r="N2040">
        <v>8787195622</v>
      </c>
      <c r="O2040" t="b">
        <v>1</v>
      </c>
      <c r="P2040">
        <v>1</v>
      </c>
      <c r="Q2040" t="str" cm="1">
        <f t="array" ref="Q2040">_xlfn.IFS(Table1[[#This Row],[Wealthier_Winner]]=-1,"Wealthier Nation Loses",Table1[[#This Row],[Wealthier_Winner]]=0,"Tie",Table1[[#This Row],[Wealthier_Winner]]=1,"Wealthier Nation Wins")</f>
        <v>Wealthier Nation Wins</v>
      </c>
    </row>
    <row r="2041" spans="1:17" x14ac:dyDescent="0.2">
      <c r="A2041" s="1">
        <v>3475</v>
      </c>
      <c r="B2041" s="2">
        <v>35967</v>
      </c>
      <c r="C2041" s="7">
        <f>_xlfn.FLOOR.MATH(Table1[[#This Row],[year]],10)</f>
        <v>1990</v>
      </c>
      <c r="D2041" t="s">
        <v>16</v>
      </c>
      <c r="E2041" t="s">
        <v>61</v>
      </c>
      <c r="F2041">
        <v>2</v>
      </c>
      <c r="G2041">
        <v>2</v>
      </c>
      <c r="H2041" t="s">
        <v>74</v>
      </c>
      <c r="I2041" t="s">
        <v>131</v>
      </c>
      <c r="J2041" t="s">
        <v>20</v>
      </c>
      <c r="K2041" t="b">
        <v>1</v>
      </c>
      <c r="L2041">
        <v>1998</v>
      </c>
      <c r="M2041">
        <v>2247760364565</v>
      </c>
      <c r="N2041">
        <v>21004077441</v>
      </c>
      <c r="O2041" t="b">
        <v>1</v>
      </c>
      <c r="P2041">
        <v>0</v>
      </c>
      <c r="Q2041" t="str" cm="1">
        <f t="array" ref="Q2041">_xlfn.IFS(Table1[[#This Row],[Wealthier_Winner]]=-1,"Wealthier Nation Loses",Table1[[#This Row],[Wealthier_Winner]]=0,"Tie",Table1[[#This Row],[Wealthier_Winner]]=1,"Wealthier Nation Wins")</f>
        <v>Tie</v>
      </c>
    </row>
    <row r="2042" spans="1:17" x14ac:dyDescent="0.2">
      <c r="A2042" s="1">
        <v>3476</v>
      </c>
      <c r="B2042" s="2">
        <v>35967</v>
      </c>
      <c r="C2042" s="7">
        <f>_xlfn.FLOOR.MATH(Table1[[#This Row],[year]],10)</f>
        <v>1990</v>
      </c>
      <c r="D2042" t="s">
        <v>41</v>
      </c>
      <c r="E2042" t="s">
        <v>210</v>
      </c>
      <c r="F2042">
        <v>1</v>
      </c>
      <c r="G2042">
        <v>2</v>
      </c>
      <c r="H2042" t="s">
        <v>74</v>
      </c>
      <c r="I2042" t="s">
        <v>135</v>
      </c>
      <c r="J2042" t="s">
        <v>20</v>
      </c>
      <c r="K2042" t="b">
        <v>1</v>
      </c>
      <c r="L2042">
        <v>1998</v>
      </c>
      <c r="M2042">
        <v>9062818202000</v>
      </c>
      <c r="N2042">
        <v>110276913362</v>
      </c>
      <c r="O2042" t="b">
        <v>1</v>
      </c>
      <c r="P2042">
        <v>-1</v>
      </c>
      <c r="Q2042" t="str" cm="1">
        <f t="array" ref="Q2042">_xlfn.IFS(Table1[[#This Row],[Wealthier_Winner]]=-1,"Wealthier Nation Loses",Table1[[#This Row],[Wealthier_Winner]]=0,"Tie",Table1[[#This Row],[Wealthier_Winner]]=1,"Wealthier Nation Wins")</f>
        <v>Wealthier Nation Loses</v>
      </c>
    </row>
    <row r="2043" spans="1:17" x14ac:dyDescent="0.2">
      <c r="A2043" s="1">
        <v>3477</v>
      </c>
      <c r="B2043" s="2">
        <v>35968</v>
      </c>
      <c r="C2043" s="7">
        <f>_xlfn.FLOOR.MATH(Table1[[#This Row],[year]],10)</f>
        <v>1990</v>
      </c>
      <c r="D2043" t="s">
        <v>15</v>
      </c>
      <c r="E2043" t="s">
        <v>53</v>
      </c>
      <c r="F2043">
        <v>1</v>
      </c>
      <c r="G2043">
        <v>0</v>
      </c>
      <c r="H2043" t="s">
        <v>74</v>
      </c>
      <c r="I2043" t="s">
        <v>127</v>
      </c>
      <c r="J2043" t="s">
        <v>20</v>
      </c>
      <c r="K2043" t="b">
        <v>1</v>
      </c>
      <c r="L2043">
        <v>1998</v>
      </c>
      <c r="M2043">
        <v>98443739941</v>
      </c>
      <c r="N2043">
        <v>21802893587</v>
      </c>
      <c r="O2043" t="b">
        <v>1</v>
      </c>
      <c r="P2043">
        <v>1</v>
      </c>
      <c r="Q2043" t="str" cm="1">
        <f t="array" ref="Q2043">_xlfn.IFS(Table1[[#This Row],[Wealthier_Winner]]=-1,"Wealthier Nation Loses",Table1[[#This Row],[Wealthier_Winner]]=0,"Tie",Table1[[#This Row],[Wealthier_Winner]]=1,"Wealthier Nation Wins")</f>
        <v>Wealthier Nation Wins</v>
      </c>
    </row>
    <row r="2044" spans="1:17" x14ac:dyDescent="0.2">
      <c r="A2044" s="1">
        <v>3478</v>
      </c>
      <c r="B2044" s="2">
        <v>35968</v>
      </c>
      <c r="C2044" s="7">
        <f>_xlfn.FLOOR.MATH(Table1[[#This Row],[year]],10)</f>
        <v>1990</v>
      </c>
      <c r="D2044" t="s">
        <v>44</v>
      </c>
      <c r="E2044" t="s">
        <v>194</v>
      </c>
      <c r="F2044">
        <v>2</v>
      </c>
      <c r="G2044">
        <v>1</v>
      </c>
      <c r="H2044" t="s">
        <v>74</v>
      </c>
      <c r="I2044" t="s">
        <v>128</v>
      </c>
      <c r="J2044" t="s">
        <v>20</v>
      </c>
      <c r="K2044" t="b">
        <v>1</v>
      </c>
      <c r="L2044">
        <v>1998</v>
      </c>
      <c r="M2044">
        <v>41696091973</v>
      </c>
      <c r="N2044">
        <v>1660821464060</v>
      </c>
      <c r="O2044" t="b">
        <v>1</v>
      </c>
      <c r="P2044">
        <v>-1</v>
      </c>
      <c r="Q2044" t="str" cm="1">
        <f t="array" ref="Q2044">_xlfn.IFS(Table1[[#This Row],[Wealthier_Winner]]=-1,"Wealthier Nation Loses",Table1[[#This Row],[Wealthier_Winner]]=0,"Tie",Table1[[#This Row],[Wealthier_Winner]]=1,"Wealthier Nation Wins")</f>
        <v>Wealthier Nation Loses</v>
      </c>
    </row>
    <row r="2045" spans="1:17" x14ac:dyDescent="0.2">
      <c r="A2045" s="1">
        <v>3479</v>
      </c>
      <c r="B2045" s="2">
        <v>35969</v>
      </c>
      <c r="C2045" s="7">
        <f>_xlfn.FLOOR.MATH(Table1[[#This Row],[year]],10)</f>
        <v>1990</v>
      </c>
      <c r="D2045" t="s">
        <v>13</v>
      </c>
      <c r="E2045" t="s">
        <v>42</v>
      </c>
      <c r="F2045">
        <v>1</v>
      </c>
      <c r="G2045">
        <v>2</v>
      </c>
      <c r="H2045" t="s">
        <v>74</v>
      </c>
      <c r="I2045" t="s">
        <v>130</v>
      </c>
      <c r="J2045" t="s">
        <v>20</v>
      </c>
      <c r="K2045" t="b">
        <v>1</v>
      </c>
      <c r="L2045">
        <v>1998</v>
      </c>
      <c r="M2045">
        <v>863711007325</v>
      </c>
      <c r="N2045">
        <v>154230295158</v>
      </c>
      <c r="O2045" t="b">
        <v>1</v>
      </c>
      <c r="P2045">
        <v>-1</v>
      </c>
      <c r="Q2045" t="str" cm="1">
        <f t="array" ref="Q2045">_xlfn.IFS(Table1[[#This Row],[Wealthier_Winner]]=-1,"Wealthier Nation Loses",Table1[[#This Row],[Wealthier_Winner]]=0,"Tie",Table1[[#This Row],[Wealthier_Winner]]=1,"Wealthier Nation Wins")</f>
        <v>Wealthier Nation Loses</v>
      </c>
    </row>
    <row r="2046" spans="1:17" x14ac:dyDescent="0.2">
      <c r="A2046" s="1">
        <v>3480</v>
      </c>
      <c r="B2046" s="2">
        <v>35969</v>
      </c>
      <c r="C2046" s="7">
        <f>_xlfn.FLOOR.MATH(Table1[[#This Row],[year]],10)</f>
        <v>1990</v>
      </c>
      <c r="D2046" t="s">
        <v>14</v>
      </c>
      <c r="E2046" t="s">
        <v>40</v>
      </c>
      <c r="F2046">
        <v>1</v>
      </c>
      <c r="G2046">
        <v>1</v>
      </c>
      <c r="H2046" t="s">
        <v>74</v>
      </c>
      <c r="I2046" t="s">
        <v>133</v>
      </c>
      <c r="J2046" t="s">
        <v>20</v>
      </c>
      <c r="K2046" t="b">
        <v>1</v>
      </c>
      <c r="L2046">
        <v>1998</v>
      </c>
      <c r="M2046">
        <v>81990010704</v>
      </c>
      <c r="N2046">
        <v>11298144990</v>
      </c>
      <c r="O2046" t="b">
        <v>1</v>
      </c>
      <c r="P2046">
        <v>0</v>
      </c>
      <c r="Q2046" t="str" cm="1">
        <f t="array" ref="Q2046">_xlfn.IFS(Table1[[#This Row],[Wealthier_Winner]]=-1,"Wealthier Nation Loses",Table1[[#This Row],[Wealthier_Winner]]=0,"Tie",Table1[[#This Row],[Wealthier_Winner]]=1,"Wealthier Nation Wins")</f>
        <v>Tie</v>
      </c>
    </row>
    <row r="2047" spans="1:17" x14ac:dyDescent="0.2">
      <c r="A2047" s="1">
        <v>3481</v>
      </c>
      <c r="B2047" s="2">
        <v>35969</v>
      </c>
      <c r="C2047" s="7">
        <f>_xlfn.FLOOR.MATH(Table1[[#This Row],[year]],10)</f>
        <v>1990</v>
      </c>
      <c r="D2047" t="s">
        <v>18</v>
      </c>
      <c r="E2047" t="s">
        <v>29</v>
      </c>
      <c r="F2047">
        <v>2</v>
      </c>
      <c r="G2047">
        <v>1</v>
      </c>
      <c r="H2047" t="s">
        <v>74</v>
      </c>
      <c r="I2047" t="s">
        <v>132</v>
      </c>
      <c r="J2047" t="s">
        <v>20</v>
      </c>
      <c r="K2047" t="b">
        <v>1</v>
      </c>
      <c r="L2047">
        <v>1998</v>
      </c>
      <c r="M2047">
        <v>1272729786996</v>
      </c>
      <c r="N2047">
        <v>217068085815</v>
      </c>
      <c r="O2047" t="b">
        <v>1</v>
      </c>
      <c r="P2047">
        <v>1</v>
      </c>
      <c r="Q2047" t="str" cm="1">
        <f t="array" ref="Q2047">_xlfn.IFS(Table1[[#This Row],[Wealthier_Winner]]=-1,"Wealthier Nation Loses",Table1[[#This Row],[Wealthier_Winner]]=0,"Tie",Table1[[#This Row],[Wealthier_Winner]]=1,"Wealthier Nation Wins")</f>
        <v>Wealthier Nation Wins</v>
      </c>
    </row>
    <row r="2048" spans="1:17" x14ac:dyDescent="0.2">
      <c r="A2048" s="1">
        <v>3483</v>
      </c>
      <c r="B2048" s="2">
        <v>35970</v>
      </c>
      <c r="C2048" s="7">
        <f>_xlfn.FLOOR.MATH(Table1[[#This Row],[year]],10)</f>
        <v>1990</v>
      </c>
      <c r="D2048" t="s">
        <v>20</v>
      </c>
      <c r="E2048" t="s">
        <v>36</v>
      </c>
      <c r="F2048">
        <v>2</v>
      </c>
      <c r="G2048">
        <v>1</v>
      </c>
      <c r="H2048" t="s">
        <v>74</v>
      </c>
      <c r="I2048" t="s">
        <v>135</v>
      </c>
      <c r="J2048" t="s">
        <v>20</v>
      </c>
      <c r="K2048" t="b">
        <v>0</v>
      </c>
      <c r="L2048">
        <v>1998</v>
      </c>
      <c r="M2048">
        <v>1496906382032</v>
      </c>
      <c r="N2048">
        <v>176877077513</v>
      </c>
      <c r="O2048" t="b">
        <v>1</v>
      </c>
      <c r="P2048">
        <v>1</v>
      </c>
      <c r="Q2048" t="str" cm="1">
        <f t="array" ref="Q2048">_xlfn.IFS(Table1[[#This Row],[Wealthier_Winner]]=-1,"Wealthier Nation Loses",Table1[[#This Row],[Wealthier_Winner]]=0,"Tie",Table1[[#This Row],[Wealthier_Winner]]=1,"Wealthier Nation Wins")</f>
        <v>Wealthier Nation Wins</v>
      </c>
    </row>
    <row r="2049" spans="1:17" x14ac:dyDescent="0.2">
      <c r="A2049" s="1">
        <v>3484</v>
      </c>
      <c r="B2049" s="2">
        <v>35970</v>
      </c>
      <c r="C2049" s="7">
        <f>_xlfn.FLOOR.MATH(Table1[[#This Row],[year]],10)</f>
        <v>1990</v>
      </c>
      <c r="D2049" t="s">
        <v>43</v>
      </c>
      <c r="E2049" t="s">
        <v>35</v>
      </c>
      <c r="F2049">
        <v>1</v>
      </c>
      <c r="G2049">
        <v>3</v>
      </c>
      <c r="H2049" t="s">
        <v>74</v>
      </c>
      <c r="I2049" t="s">
        <v>128</v>
      </c>
      <c r="J2049" t="s">
        <v>20</v>
      </c>
      <c r="K2049" t="b">
        <v>1</v>
      </c>
      <c r="L2049">
        <v>1998</v>
      </c>
      <c r="M2049">
        <v>218416200672</v>
      </c>
      <c r="N2049">
        <v>9260481572</v>
      </c>
      <c r="O2049" t="b">
        <v>1</v>
      </c>
      <c r="P2049">
        <v>-1</v>
      </c>
      <c r="Q2049" t="str" cm="1">
        <f t="array" ref="Q2049">_xlfn.IFS(Table1[[#This Row],[Wealthier_Winner]]=-1,"Wealthier Nation Loses",Table1[[#This Row],[Wealthier_Winner]]=0,"Tie",Table1[[#This Row],[Wealthier_Winner]]=1,"Wealthier Nation Wins")</f>
        <v>Wealthier Nation Loses</v>
      </c>
    </row>
    <row r="2050" spans="1:17" x14ac:dyDescent="0.2">
      <c r="A2050" s="1">
        <v>3485</v>
      </c>
      <c r="B2050" s="2">
        <v>35970</v>
      </c>
      <c r="C2050" s="7">
        <f>_xlfn.FLOOR.MATH(Table1[[#This Row],[year]],10)</f>
        <v>1990</v>
      </c>
      <c r="D2050" t="s">
        <v>50</v>
      </c>
      <c r="E2050" t="s">
        <v>45</v>
      </c>
      <c r="F2050">
        <v>2</v>
      </c>
      <c r="G2050">
        <v>2</v>
      </c>
      <c r="H2050" t="s">
        <v>74</v>
      </c>
      <c r="I2050" t="s">
        <v>129</v>
      </c>
      <c r="J2050" t="s">
        <v>20</v>
      </c>
      <c r="K2050" t="b">
        <v>1</v>
      </c>
      <c r="L2050">
        <v>1998</v>
      </c>
      <c r="M2050">
        <v>152982984557</v>
      </c>
      <c r="N2050">
        <v>146775466666</v>
      </c>
      <c r="O2050" t="b">
        <v>0</v>
      </c>
      <c r="P2050">
        <v>0</v>
      </c>
      <c r="Q2050" t="str" cm="1">
        <f t="array" ref="Q2050">_xlfn.IFS(Table1[[#This Row],[Wealthier_Winner]]=-1,"Wealthier Nation Loses",Table1[[#This Row],[Wealthier_Winner]]=0,"Tie",Table1[[#This Row],[Wealthier_Winner]]=1,"Wealthier Nation Wins")</f>
        <v>Tie</v>
      </c>
    </row>
    <row r="2051" spans="1:17" x14ac:dyDescent="0.2">
      <c r="A2051" s="1">
        <v>3486</v>
      </c>
      <c r="B2051" s="2">
        <v>35970</v>
      </c>
      <c r="C2051" s="7">
        <f>_xlfn.FLOOR.MATH(Table1[[#This Row],[year]],10)</f>
        <v>1990</v>
      </c>
      <c r="D2051" t="s">
        <v>21</v>
      </c>
      <c r="E2051" t="s">
        <v>33</v>
      </c>
      <c r="F2051">
        <v>6</v>
      </c>
      <c r="G2051">
        <v>1</v>
      </c>
      <c r="H2051" t="s">
        <v>74</v>
      </c>
      <c r="I2051" t="s">
        <v>131</v>
      </c>
      <c r="J2051" t="s">
        <v>20</v>
      </c>
      <c r="K2051" t="b">
        <v>1</v>
      </c>
      <c r="L2051">
        <v>1998</v>
      </c>
      <c r="M2051">
        <v>618731484575</v>
      </c>
      <c r="N2051">
        <v>15031055046</v>
      </c>
      <c r="O2051" t="b">
        <v>1</v>
      </c>
      <c r="P2051">
        <v>1</v>
      </c>
      <c r="Q2051" t="str" cm="1">
        <f t="array" ref="Q2051">_xlfn.IFS(Table1[[#This Row],[Wealthier_Winner]]=-1,"Wealthier Nation Loses",Table1[[#This Row],[Wealthier_Winner]]=0,"Tie",Table1[[#This Row],[Wealthier_Winner]]=1,"Wealthier Nation Wins")</f>
        <v>Wealthier Nation Wins</v>
      </c>
    </row>
    <row r="2052" spans="1:17" x14ac:dyDescent="0.2">
      <c r="A2052" s="1">
        <v>3487</v>
      </c>
      <c r="B2052" s="2">
        <v>35971</v>
      </c>
      <c r="C2052" s="7">
        <f>_xlfn.FLOOR.MATH(Table1[[#This Row],[year]],10)</f>
        <v>1990</v>
      </c>
      <c r="D2052" t="s">
        <v>23</v>
      </c>
      <c r="E2052" t="s">
        <v>195</v>
      </c>
      <c r="F2052">
        <v>1</v>
      </c>
      <c r="G2052">
        <v>1</v>
      </c>
      <c r="H2052" t="s">
        <v>74</v>
      </c>
      <c r="I2052" t="s">
        <v>134</v>
      </c>
      <c r="J2052" t="s">
        <v>20</v>
      </c>
      <c r="K2052" t="b">
        <v>1</v>
      </c>
      <c r="L2052">
        <v>1998</v>
      </c>
      <c r="M2052">
        <v>258528339631</v>
      </c>
      <c r="N2052">
        <v>397297216492</v>
      </c>
      <c r="O2052" t="b">
        <v>0</v>
      </c>
      <c r="P2052">
        <v>0</v>
      </c>
      <c r="Q2052" t="str" cm="1">
        <f t="array" ref="Q2052">_xlfn.IFS(Table1[[#This Row],[Wealthier_Winner]]=-1,"Wealthier Nation Loses",Table1[[#This Row],[Wealthier_Winner]]=0,"Tie",Table1[[#This Row],[Wealthier_Winner]]=1,"Wealthier Nation Wins")</f>
        <v>Tie</v>
      </c>
    </row>
    <row r="2053" spans="1:17" x14ac:dyDescent="0.2">
      <c r="A2053" s="1">
        <v>3488</v>
      </c>
      <c r="B2053" s="2">
        <v>35971</v>
      </c>
      <c r="C2053" s="7">
        <f>_xlfn.FLOOR.MATH(Table1[[#This Row],[year]],10)</f>
        <v>1990</v>
      </c>
      <c r="D2053" t="s">
        <v>16</v>
      </c>
      <c r="E2053" t="s">
        <v>210</v>
      </c>
      <c r="F2053">
        <v>2</v>
      </c>
      <c r="G2053">
        <v>0</v>
      </c>
      <c r="H2053" t="s">
        <v>74</v>
      </c>
      <c r="I2053" t="s">
        <v>127</v>
      </c>
      <c r="J2053" t="s">
        <v>20</v>
      </c>
      <c r="K2053" t="b">
        <v>1</v>
      </c>
      <c r="L2053">
        <v>1998</v>
      </c>
      <c r="M2053">
        <v>2247760364565</v>
      </c>
      <c r="N2053">
        <v>110276913362</v>
      </c>
      <c r="O2053" t="b">
        <v>1</v>
      </c>
      <c r="P2053">
        <v>1</v>
      </c>
      <c r="Q2053" t="str" cm="1">
        <f t="array" ref="Q2053">_xlfn.IFS(Table1[[#This Row],[Wealthier_Winner]]=-1,"Wealthier Nation Loses",Table1[[#This Row],[Wealthier_Winner]]=0,"Tie",Table1[[#This Row],[Wealthier_Winner]]=1,"Wealthier Nation Wins")</f>
        <v>Wealthier Nation Wins</v>
      </c>
    </row>
    <row r="2054" spans="1:17" x14ac:dyDescent="0.2">
      <c r="A2054" s="1">
        <v>3489</v>
      </c>
      <c r="B2054" s="2">
        <v>35971</v>
      </c>
      <c r="C2054" s="7">
        <f>_xlfn.FLOOR.MATH(Table1[[#This Row],[year]],10)</f>
        <v>1990</v>
      </c>
      <c r="D2054" t="s">
        <v>27</v>
      </c>
      <c r="E2054" t="s">
        <v>17</v>
      </c>
      <c r="F2054">
        <v>2</v>
      </c>
      <c r="G2054">
        <v>2</v>
      </c>
      <c r="H2054" t="s">
        <v>74</v>
      </c>
      <c r="I2054" t="s">
        <v>579</v>
      </c>
      <c r="J2054" t="s">
        <v>20</v>
      </c>
      <c r="K2054" t="b">
        <v>1</v>
      </c>
      <c r="L2054">
        <v>1998</v>
      </c>
      <c r="M2054">
        <v>438612530548</v>
      </c>
      <c r="N2054">
        <v>557461102630</v>
      </c>
      <c r="O2054" t="b">
        <v>0</v>
      </c>
      <c r="P2054">
        <v>0</v>
      </c>
      <c r="Q2054" t="str" cm="1">
        <f t="array" ref="Q2054">_xlfn.IFS(Table1[[#This Row],[Wealthier_Winner]]=-1,"Wealthier Nation Loses",Table1[[#This Row],[Wealthier_Winner]]=0,"Tie",Table1[[#This Row],[Wealthier_Winner]]=1,"Wealthier Nation Wins")</f>
        <v>Tie</v>
      </c>
    </row>
    <row r="2055" spans="1:17" x14ac:dyDescent="0.2">
      <c r="A2055" s="1">
        <v>3490</v>
      </c>
      <c r="B2055" s="2">
        <v>35971</v>
      </c>
      <c r="C2055" s="7">
        <f>_xlfn.FLOOR.MATH(Table1[[#This Row],[year]],10)</f>
        <v>1990</v>
      </c>
      <c r="D2055" t="s">
        <v>41</v>
      </c>
      <c r="E2055" t="s">
        <v>61</v>
      </c>
      <c r="F2055">
        <v>0</v>
      </c>
      <c r="G2055">
        <v>1</v>
      </c>
      <c r="H2055" t="s">
        <v>74</v>
      </c>
      <c r="I2055" t="s">
        <v>133</v>
      </c>
      <c r="J2055" t="s">
        <v>20</v>
      </c>
      <c r="K2055" t="b">
        <v>1</v>
      </c>
      <c r="L2055">
        <v>1998</v>
      </c>
      <c r="M2055">
        <v>9062818202000</v>
      </c>
      <c r="N2055">
        <v>21004077441</v>
      </c>
      <c r="O2055" t="b">
        <v>1</v>
      </c>
      <c r="P2055">
        <v>-1</v>
      </c>
      <c r="Q2055" t="str" cm="1">
        <f t="array" ref="Q2055">_xlfn.IFS(Table1[[#This Row],[Wealthier_Winner]]=-1,"Wealthier Nation Loses",Table1[[#This Row],[Wealthier_Winner]]=0,"Tie",Table1[[#This Row],[Wealthier_Winner]]=1,"Wealthier Nation Wins")</f>
        <v>Wealthier Nation Loses</v>
      </c>
    </row>
    <row r="2056" spans="1:17" x14ac:dyDescent="0.2">
      <c r="A2056" s="1">
        <v>3491</v>
      </c>
      <c r="B2056" s="2">
        <v>35972</v>
      </c>
      <c r="C2056" s="7">
        <f>_xlfn.FLOOR.MATH(Table1[[#This Row],[year]],10)</f>
        <v>1990</v>
      </c>
      <c r="D2056" t="s">
        <v>19</v>
      </c>
      <c r="E2056" t="s">
        <v>52</v>
      </c>
      <c r="F2056">
        <v>1</v>
      </c>
      <c r="G2056">
        <v>0</v>
      </c>
      <c r="H2056" t="s">
        <v>74</v>
      </c>
      <c r="I2056" t="s">
        <v>129</v>
      </c>
      <c r="J2056" t="s">
        <v>20</v>
      </c>
      <c r="K2056" t="b">
        <v>1</v>
      </c>
      <c r="L2056">
        <v>1998</v>
      </c>
      <c r="M2056">
        <v>298948250000</v>
      </c>
      <c r="N2056">
        <v>25890228429</v>
      </c>
      <c r="O2056" t="b">
        <v>1</v>
      </c>
      <c r="P2056">
        <v>1</v>
      </c>
      <c r="Q2056" t="str" cm="1">
        <f t="array" ref="Q2056">_xlfn.IFS(Table1[[#This Row],[Wealthier_Winner]]=-1,"Wealthier Nation Loses",Table1[[#This Row],[Wealthier_Winner]]=0,"Tie",Table1[[#This Row],[Wealthier_Winner]]=1,"Wealthier Nation Wins")</f>
        <v>Wealthier Nation Wins</v>
      </c>
    </row>
    <row r="2057" spans="1:17" x14ac:dyDescent="0.2">
      <c r="A2057" s="1">
        <v>3492</v>
      </c>
      <c r="B2057" s="2">
        <v>35972</v>
      </c>
      <c r="C2057" s="7">
        <f>_xlfn.FLOOR.MATH(Table1[[#This Row],[year]],10)</f>
        <v>1990</v>
      </c>
      <c r="D2057" t="s">
        <v>15</v>
      </c>
      <c r="E2057" t="s">
        <v>194</v>
      </c>
      <c r="F2057">
        <v>0</v>
      </c>
      <c r="G2057">
        <v>2</v>
      </c>
      <c r="H2057" t="s">
        <v>74</v>
      </c>
      <c r="I2057" t="s">
        <v>131</v>
      </c>
      <c r="J2057" t="s">
        <v>20</v>
      </c>
      <c r="K2057" t="b">
        <v>1</v>
      </c>
      <c r="L2057">
        <v>1998</v>
      </c>
      <c r="M2057">
        <v>98443739941</v>
      </c>
      <c r="N2057">
        <v>1660821464060</v>
      </c>
      <c r="O2057" t="b">
        <v>1</v>
      </c>
      <c r="P2057">
        <v>1</v>
      </c>
      <c r="Q2057" t="str" cm="1">
        <f t="array" ref="Q2057">_xlfn.IFS(Table1[[#This Row],[Wealthier_Winner]]=-1,"Wealthier Nation Loses",Table1[[#This Row],[Wealthier_Winner]]=0,"Tie",Table1[[#This Row],[Wealthier_Winner]]=1,"Wealthier Nation Wins")</f>
        <v>Wealthier Nation Wins</v>
      </c>
    </row>
    <row r="2058" spans="1:17" x14ac:dyDescent="0.2">
      <c r="A2058" s="1">
        <v>3493</v>
      </c>
      <c r="B2058" s="2">
        <v>35972</v>
      </c>
      <c r="C2058" s="7">
        <f>_xlfn.FLOOR.MATH(Table1[[#This Row],[year]],10)</f>
        <v>1990</v>
      </c>
      <c r="D2058" t="s">
        <v>51</v>
      </c>
      <c r="E2058" t="s">
        <v>49</v>
      </c>
      <c r="F2058">
        <v>1</v>
      </c>
      <c r="G2058">
        <v>2</v>
      </c>
      <c r="H2058" t="s">
        <v>74</v>
      </c>
      <c r="I2058" t="s">
        <v>135</v>
      </c>
      <c r="J2058" t="s">
        <v>20</v>
      </c>
      <c r="K2058" t="b">
        <v>1</v>
      </c>
      <c r="L2058">
        <v>1998</v>
      </c>
      <c r="M2058">
        <v>4098362709531</v>
      </c>
      <c r="N2058">
        <v>8787195622</v>
      </c>
      <c r="O2058" t="b">
        <v>1</v>
      </c>
      <c r="P2058">
        <v>-1</v>
      </c>
      <c r="Q2058" t="str" cm="1">
        <f t="array" ref="Q2058">_xlfn.IFS(Table1[[#This Row],[Wealthier_Winner]]=-1,"Wealthier Nation Loses",Table1[[#This Row],[Wealthier_Winner]]=0,"Tie",Table1[[#This Row],[Wealthier_Winner]]=1,"Wealthier Nation Wins")</f>
        <v>Wealthier Nation Loses</v>
      </c>
    </row>
    <row r="2059" spans="1:17" x14ac:dyDescent="0.2">
      <c r="A2059" s="1">
        <v>3494</v>
      </c>
      <c r="B2059" s="2">
        <v>35972</v>
      </c>
      <c r="C2059" s="7">
        <f>_xlfn.FLOOR.MATH(Table1[[#This Row],[year]],10)</f>
        <v>1990</v>
      </c>
      <c r="D2059" t="s">
        <v>44</v>
      </c>
      <c r="E2059" t="s">
        <v>53</v>
      </c>
      <c r="F2059">
        <v>1</v>
      </c>
      <c r="G2059">
        <v>1</v>
      </c>
      <c r="H2059" t="s">
        <v>74</v>
      </c>
      <c r="I2059" t="s">
        <v>132</v>
      </c>
      <c r="J2059" t="s">
        <v>20</v>
      </c>
      <c r="K2059" t="b">
        <v>1</v>
      </c>
      <c r="L2059">
        <v>1998</v>
      </c>
      <c r="M2059">
        <v>41696091973</v>
      </c>
      <c r="N2059">
        <v>21802893587</v>
      </c>
      <c r="O2059" t="b">
        <v>0</v>
      </c>
      <c r="P2059">
        <v>0</v>
      </c>
      <c r="Q2059" t="str" cm="1">
        <f t="array" ref="Q2059">_xlfn.IFS(Table1[[#This Row],[Wealthier_Winner]]=-1,"Wealthier Nation Loses",Table1[[#This Row],[Wealthier_Winner]]=0,"Tie",Table1[[#This Row],[Wealthier_Winner]]=1,"Wealthier Nation Wins")</f>
        <v>Tie</v>
      </c>
    </row>
    <row r="2060" spans="1:17" x14ac:dyDescent="0.2">
      <c r="A2060" s="1">
        <v>3495</v>
      </c>
      <c r="B2060" s="2">
        <v>35973</v>
      </c>
      <c r="C2060" s="7">
        <f>_xlfn.FLOOR.MATH(Table1[[#This Row],[year]],10)</f>
        <v>1990</v>
      </c>
      <c r="D2060" t="s">
        <v>13</v>
      </c>
      <c r="E2060" t="s">
        <v>14</v>
      </c>
      <c r="F2060">
        <v>4</v>
      </c>
      <c r="G2060">
        <v>1</v>
      </c>
      <c r="H2060" t="s">
        <v>74</v>
      </c>
      <c r="I2060" t="s">
        <v>134</v>
      </c>
      <c r="J2060" t="s">
        <v>20</v>
      </c>
      <c r="K2060" t="b">
        <v>1</v>
      </c>
      <c r="L2060">
        <v>1998</v>
      </c>
      <c r="M2060">
        <v>863711007325</v>
      </c>
      <c r="N2060">
        <v>81990010704</v>
      </c>
      <c r="O2060" t="b">
        <v>1</v>
      </c>
      <c r="P2060">
        <v>1</v>
      </c>
      <c r="Q2060" t="str" cm="1">
        <f t="array" ref="Q2060">_xlfn.IFS(Table1[[#This Row],[Wealthier_Winner]]=-1,"Wealthier Nation Loses",Table1[[#This Row],[Wealthier_Winner]]=0,"Tie",Table1[[#This Row],[Wealthier_Winner]]=1,"Wealthier Nation Wins")</f>
        <v>Wealthier Nation Wins</v>
      </c>
    </row>
    <row r="2061" spans="1:17" x14ac:dyDescent="0.2">
      <c r="A2061" s="1">
        <v>3496</v>
      </c>
      <c r="B2061" s="2">
        <v>35973</v>
      </c>
      <c r="C2061" s="7">
        <f>_xlfn.FLOOR.MATH(Table1[[#This Row],[year]],10)</f>
        <v>1990</v>
      </c>
      <c r="D2061" t="s">
        <v>18</v>
      </c>
      <c r="E2061" t="s">
        <v>42</v>
      </c>
      <c r="F2061">
        <v>1</v>
      </c>
      <c r="G2061">
        <v>0</v>
      </c>
      <c r="H2061" t="s">
        <v>74</v>
      </c>
      <c r="I2061" t="s">
        <v>130</v>
      </c>
      <c r="J2061" t="s">
        <v>20</v>
      </c>
      <c r="K2061" t="b">
        <v>1</v>
      </c>
      <c r="L2061">
        <v>1998</v>
      </c>
      <c r="M2061">
        <v>1272729786996</v>
      </c>
      <c r="N2061">
        <v>154230295158</v>
      </c>
      <c r="O2061" t="b">
        <v>1</v>
      </c>
      <c r="P2061">
        <v>1</v>
      </c>
      <c r="Q2061" t="str" cm="1">
        <f t="array" ref="Q2061">_xlfn.IFS(Table1[[#This Row],[Wealthier_Winner]]=-1,"Wealthier Nation Loses",Table1[[#This Row],[Wealthier_Winner]]=0,"Tie",Table1[[#This Row],[Wealthier_Winner]]=1,"Wealthier Nation Wins")</f>
        <v>Wealthier Nation Wins</v>
      </c>
    </row>
    <row r="2062" spans="1:17" x14ac:dyDescent="0.2">
      <c r="A2062" s="1">
        <v>3497</v>
      </c>
      <c r="B2062" s="2">
        <v>35974</v>
      </c>
      <c r="C2062" s="7">
        <f>_xlfn.FLOOR.MATH(Table1[[#This Row],[year]],10)</f>
        <v>1990</v>
      </c>
      <c r="D2062" t="s">
        <v>20</v>
      </c>
      <c r="E2062" t="s">
        <v>35</v>
      </c>
      <c r="F2062">
        <v>1</v>
      </c>
      <c r="G2062">
        <v>0</v>
      </c>
      <c r="H2062" t="s">
        <v>74</v>
      </c>
      <c r="I2062" t="s">
        <v>131</v>
      </c>
      <c r="J2062" t="s">
        <v>20</v>
      </c>
      <c r="K2062" t="b">
        <v>0</v>
      </c>
      <c r="L2062">
        <v>1998</v>
      </c>
      <c r="M2062">
        <v>1496906382032</v>
      </c>
      <c r="N2062">
        <v>9260481572</v>
      </c>
      <c r="O2062" t="b">
        <v>1</v>
      </c>
      <c r="P2062">
        <v>1</v>
      </c>
      <c r="Q2062" t="str" cm="1">
        <f t="array" ref="Q2062">_xlfn.IFS(Table1[[#This Row],[Wealthier_Winner]]=-1,"Wealthier Nation Loses",Table1[[#This Row],[Wealthier_Winner]]=0,"Tie",Table1[[#This Row],[Wealthier_Winner]]=1,"Wealthier Nation Wins")</f>
        <v>Wealthier Nation Wins</v>
      </c>
    </row>
    <row r="2063" spans="1:17" x14ac:dyDescent="0.2">
      <c r="A2063" s="1">
        <v>3498</v>
      </c>
      <c r="B2063" s="2">
        <v>35974</v>
      </c>
      <c r="C2063" s="7">
        <f>_xlfn.FLOOR.MATH(Table1[[#This Row],[year]],10)</f>
        <v>1990</v>
      </c>
      <c r="D2063" t="s">
        <v>43</v>
      </c>
      <c r="E2063" t="s">
        <v>36</v>
      </c>
      <c r="F2063">
        <v>1</v>
      </c>
      <c r="G2063">
        <v>4</v>
      </c>
      <c r="H2063" t="s">
        <v>74</v>
      </c>
      <c r="I2063" t="s">
        <v>132</v>
      </c>
      <c r="J2063" t="s">
        <v>20</v>
      </c>
      <c r="K2063" t="b">
        <v>1</v>
      </c>
      <c r="L2063">
        <v>1998</v>
      </c>
      <c r="M2063">
        <v>218416200672</v>
      </c>
      <c r="N2063">
        <v>176877077513</v>
      </c>
      <c r="O2063" t="b">
        <v>0</v>
      </c>
      <c r="P2063">
        <v>-1</v>
      </c>
      <c r="Q2063" t="str" cm="1">
        <f t="array" ref="Q2063">_xlfn.IFS(Table1[[#This Row],[Wealthier_Winner]]=-1,"Wealthier Nation Loses",Table1[[#This Row],[Wealthier_Winner]]=0,"Tie",Table1[[#This Row],[Wealthier_Winner]]=1,"Wealthier Nation Wins")</f>
        <v>Wealthier Nation Loses</v>
      </c>
    </row>
    <row r="2064" spans="1:17" x14ac:dyDescent="0.2">
      <c r="A2064" s="1">
        <v>3499</v>
      </c>
      <c r="B2064" s="2">
        <v>35975</v>
      </c>
      <c r="C2064" s="7">
        <f>_xlfn.FLOOR.MATH(Table1[[#This Row],[year]],10)</f>
        <v>1990</v>
      </c>
      <c r="D2064" t="s">
        <v>16</v>
      </c>
      <c r="E2064" t="s">
        <v>17</v>
      </c>
      <c r="F2064">
        <v>2</v>
      </c>
      <c r="G2064">
        <v>1</v>
      </c>
      <c r="H2064" t="s">
        <v>74</v>
      </c>
      <c r="I2064" t="s">
        <v>127</v>
      </c>
      <c r="J2064" t="s">
        <v>20</v>
      </c>
      <c r="K2064" t="b">
        <v>1</v>
      </c>
      <c r="L2064">
        <v>1998</v>
      </c>
      <c r="M2064">
        <v>2247760364565</v>
      </c>
      <c r="N2064">
        <v>557461102630</v>
      </c>
      <c r="O2064" t="b">
        <v>1</v>
      </c>
      <c r="P2064">
        <v>1</v>
      </c>
      <c r="Q2064" t="str" cm="1">
        <f t="array" ref="Q2064">_xlfn.IFS(Table1[[#This Row],[Wealthier_Winner]]=-1,"Wealthier Nation Loses",Table1[[#This Row],[Wealthier_Winner]]=0,"Tie",Table1[[#This Row],[Wealthier_Winner]]=1,"Wealthier Nation Wins")</f>
        <v>Wealthier Nation Wins</v>
      </c>
    </row>
    <row r="2065" spans="1:17" x14ac:dyDescent="0.2">
      <c r="A2065" s="1">
        <v>3500</v>
      </c>
      <c r="B2065" s="2">
        <v>35975</v>
      </c>
      <c r="C2065" s="7">
        <f>_xlfn.FLOOR.MATH(Table1[[#This Row],[year]],10)</f>
        <v>1990</v>
      </c>
      <c r="D2065" t="s">
        <v>27</v>
      </c>
      <c r="E2065" t="s">
        <v>61</v>
      </c>
      <c r="F2065">
        <v>2</v>
      </c>
      <c r="G2065">
        <v>1</v>
      </c>
      <c r="H2065" t="s">
        <v>74</v>
      </c>
      <c r="I2065" t="s">
        <v>128</v>
      </c>
      <c r="J2065" t="s">
        <v>20</v>
      </c>
      <c r="K2065" t="b">
        <v>1</v>
      </c>
      <c r="L2065">
        <v>1998</v>
      </c>
      <c r="M2065">
        <v>438612530548</v>
      </c>
      <c r="N2065">
        <v>21004077441</v>
      </c>
      <c r="O2065" t="b">
        <v>1</v>
      </c>
      <c r="P2065">
        <v>1</v>
      </c>
      <c r="Q2065" t="str" cm="1">
        <f t="array" ref="Q2065">_xlfn.IFS(Table1[[#This Row],[Wealthier_Winner]]=-1,"Wealthier Nation Loses",Table1[[#This Row],[Wealthier_Winner]]=0,"Tie",Table1[[#This Row],[Wealthier_Winner]]=1,"Wealthier Nation Wins")</f>
        <v>Wealthier Nation Wins</v>
      </c>
    </row>
    <row r="2066" spans="1:17" x14ac:dyDescent="0.2">
      <c r="A2066" s="1">
        <v>3501</v>
      </c>
      <c r="B2066" s="2">
        <v>35976</v>
      </c>
      <c r="C2066" s="7">
        <f>_xlfn.FLOOR.MATH(Table1[[#This Row],[year]],10)</f>
        <v>1990</v>
      </c>
      <c r="D2066" t="s">
        <v>19</v>
      </c>
      <c r="E2066" t="s">
        <v>194</v>
      </c>
      <c r="F2066">
        <v>2</v>
      </c>
      <c r="G2066">
        <v>2</v>
      </c>
      <c r="H2066" t="s">
        <v>74</v>
      </c>
      <c r="I2066" t="s">
        <v>579</v>
      </c>
      <c r="J2066" t="s">
        <v>20</v>
      </c>
      <c r="K2066" t="b">
        <v>1</v>
      </c>
      <c r="L2066">
        <v>1998</v>
      </c>
      <c r="M2066">
        <v>298948250000</v>
      </c>
      <c r="N2066">
        <v>1660821464060</v>
      </c>
      <c r="O2066" t="b">
        <v>1</v>
      </c>
      <c r="P2066">
        <v>0</v>
      </c>
      <c r="Q2066" t="str" cm="1">
        <f t="array" ref="Q2066">_xlfn.IFS(Table1[[#This Row],[Wealthier_Winner]]=-1,"Wealthier Nation Loses",Table1[[#This Row],[Wealthier_Winner]]=0,"Tie",Table1[[#This Row],[Wealthier_Winner]]=1,"Wealthier Nation Wins")</f>
        <v>Tie</v>
      </c>
    </row>
    <row r="2067" spans="1:17" x14ac:dyDescent="0.2">
      <c r="A2067" s="1">
        <v>3502</v>
      </c>
      <c r="B2067" s="2">
        <v>35976</v>
      </c>
      <c r="C2067" s="7">
        <f>_xlfn.FLOOR.MATH(Table1[[#This Row],[year]],10)</f>
        <v>1990</v>
      </c>
      <c r="D2067" t="s">
        <v>44</v>
      </c>
      <c r="E2067" t="s">
        <v>52</v>
      </c>
      <c r="F2067">
        <v>0</v>
      </c>
      <c r="G2067">
        <v>1</v>
      </c>
      <c r="H2067" t="s">
        <v>74</v>
      </c>
      <c r="I2067" t="s">
        <v>129</v>
      </c>
      <c r="J2067" t="s">
        <v>20</v>
      </c>
      <c r="K2067" t="b">
        <v>1</v>
      </c>
      <c r="L2067">
        <v>1998</v>
      </c>
      <c r="M2067">
        <v>41696091973</v>
      </c>
      <c r="N2067">
        <v>25890228429</v>
      </c>
      <c r="O2067" t="b">
        <v>0</v>
      </c>
      <c r="P2067">
        <v>-1</v>
      </c>
      <c r="Q2067" t="str" cm="1">
        <f t="array" ref="Q2067">_xlfn.IFS(Table1[[#This Row],[Wealthier_Winner]]=-1,"Wealthier Nation Loses",Table1[[#This Row],[Wealthier_Winner]]=0,"Tie",Table1[[#This Row],[Wealthier_Winner]]=1,"Wealthier Nation Wins")</f>
        <v>Wealthier Nation Loses</v>
      </c>
    </row>
    <row r="2068" spans="1:17" x14ac:dyDescent="0.2">
      <c r="A2068" s="1">
        <v>3503</v>
      </c>
      <c r="B2068" s="2">
        <v>35979</v>
      </c>
      <c r="C2068" s="7">
        <f>_xlfn.FLOOR.MATH(Table1[[#This Row],[year]],10)</f>
        <v>1990</v>
      </c>
      <c r="D2068" t="s">
        <v>13</v>
      </c>
      <c r="E2068" t="s">
        <v>36</v>
      </c>
      <c r="F2068">
        <v>3</v>
      </c>
      <c r="G2068">
        <v>2</v>
      </c>
      <c r="H2068" t="s">
        <v>74</v>
      </c>
      <c r="I2068" t="s">
        <v>133</v>
      </c>
      <c r="J2068" t="s">
        <v>20</v>
      </c>
      <c r="K2068" t="b">
        <v>1</v>
      </c>
      <c r="L2068">
        <v>1998</v>
      </c>
      <c r="M2068">
        <v>863711007325</v>
      </c>
      <c r="N2068">
        <v>176877077513</v>
      </c>
      <c r="O2068" t="b">
        <v>1</v>
      </c>
      <c r="P2068">
        <v>1</v>
      </c>
      <c r="Q2068" t="str" cm="1">
        <f t="array" ref="Q2068">_xlfn.IFS(Table1[[#This Row],[Wealthier_Winner]]=-1,"Wealthier Nation Loses",Table1[[#This Row],[Wealthier_Winner]]=0,"Tie",Table1[[#This Row],[Wealthier_Winner]]=1,"Wealthier Nation Wins")</f>
        <v>Wealthier Nation Wins</v>
      </c>
    </row>
    <row r="2069" spans="1:17" x14ac:dyDescent="0.2">
      <c r="A2069" s="1">
        <v>3504</v>
      </c>
      <c r="B2069" s="2">
        <v>35979</v>
      </c>
      <c r="C2069" s="7">
        <f>_xlfn.FLOOR.MATH(Table1[[#This Row],[year]],10)</f>
        <v>1990</v>
      </c>
      <c r="D2069" t="s">
        <v>20</v>
      </c>
      <c r="E2069" t="s">
        <v>18</v>
      </c>
      <c r="F2069">
        <v>0</v>
      </c>
      <c r="G2069">
        <v>0</v>
      </c>
      <c r="H2069" t="s">
        <v>74</v>
      </c>
      <c r="I2069" t="s">
        <v>132</v>
      </c>
      <c r="J2069" t="s">
        <v>20</v>
      </c>
      <c r="K2069" t="b">
        <v>0</v>
      </c>
      <c r="L2069">
        <v>1998</v>
      </c>
      <c r="M2069">
        <v>1496906382032</v>
      </c>
      <c r="N2069">
        <v>1272729786996</v>
      </c>
      <c r="O2069" t="b">
        <v>0</v>
      </c>
      <c r="P2069">
        <v>0</v>
      </c>
      <c r="Q2069" t="str" cm="1">
        <f t="array" ref="Q2069">_xlfn.IFS(Table1[[#This Row],[Wealthier_Winner]]=-1,"Wealthier Nation Loses",Table1[[#This Row],[Wealthier_Winner]]=0,"Tie",Table1[[#This Row],[Wealthier_Winner]]=1,"Wealthier Nation Wins")</f>
        <v>Tie</v>
      </c>
    </row>
    <row r="2070" spans="1:17" x14ac:dyDescent="0.2">
      <c r="A2070" s="1">
        <v>3505</v>
      </c>
      <c r="B2070" s="2">
        <v>35980</v>
      </c>
      <c r="C2070" s="7">
        <f>_xlfn.FLOOR.MATH(Table1[[#This Row],[year]],10)</f>
        <v>1990</v>
      </c>
      <c r="D2070" t="s">
        <v>16</v>
      </c>
      <c r="E2070" t="s">
        <v>52</v>
      </c>
      <c r="F2070">
        <v>0</v>
      </c>
      <c r="G2070">
        <v>3</v>
      </c>
      <c r="H2070" t="s">
        <v>74</v>
      </c>
      <c r="I2070" t="s">
        <v>135</v>
      </c>
      <c r="J2070" t="s">
        <v>20</v>
      </c>
      <c r="K2070" t="b">
        <v>1</v>
      </c>
      <c r="L2070">
        <v>1998</v>
      </c>
      <c r="M2070">
        <v>2247760364565</v>
      </c>
      <c r="N2070">
        <v>25890228429</v>
      </c>
      <c r="O2070" t="b">
        <v>1</v>
      </c>
      <c r="P2070">
        <v>-1</v>
      </c>
      <c r="Q2070" t="str" cm="1">
        <f t="array" ref="Q2070">_xlfn.IFS(Table1[[#This Row],[Wealthier_Winner]]=-1,"Wealthier Nation Loses",Table1[[#This Row],[Wealthier_Winner]]=0,"Tie",Table1[[#This Row],[Wealthier_Winner]]=1,"Wealthier Nation Wins")</f>
        <v>Wealthier Nation Loses</v>
      </c>
    </row>
    <row r="2071" spans="1:17" x14ac:dyDescent="0.2">
      <c r="A2071" s="1">
        <v>3506</v>
      </c>
      <c r="B2071" s="2">
        <v>35980</v>
      </c>
      <c r="C2071" s="7">
        <f>_xlfn.FLOOR.MATH(Table1[[#This Row],[year]],10)</f>
        <v>1990</v>
      </c>
      <c r="D2071" t="s">
        <v>27</v>
      </c>
      <c r="E2071" t="s">
        <v>19</v>
      </c>
      <c r="F2071">
        <v>2</v>
      </c>
      <c r="G2071">
        <v>1</v>
      </c>
      <c r="H2071" t="s">
        <v>74</v>
      </c>
      <c r="I2071" t="s">
        <v>130</v>
      </c>
      <c r="J2071" t="s">
        <v>20</v>
      </c>
      <c r="K2071" t="b">
        <v>1</v>
      </c>
      <c r="L2071">
        <v>1998</v>
      </c>
      <c r="M2071">
        <v>438612530548</v>
      </c>
      <c r="N2071">
        <v>298948250000</v>
      </c>
      <c r="O2071" t="b">
        <v>0</v>
      </c>
      <c r="P2071">
        <v>1</v>
      </c>
      <c r="Q2071" t="str" cm="1">
        <f t="array" ref="Q2071">_xlfn.IFS(Table1[[#This Row],[Wealthier_Winner]]=-1,"Wealthier Nation Loses",Table1[[#This Row],[Wealthier_Winner]]=0,"Tie",Table1[[#This Row],[Wealthier_Winner]]=1,"Wealthier Nation Wins")</f>
        <v>Wealthier Nation Wins</v>
      </c>
    </row>
    <row r="2072" spans="1:17" x14ac:dyDescent="0.2">
      <c r="A2072" s="1">
        <v>3507</v>
      </c>
      <c r="B2072" s="2">
        <v>35983</v>
      </c>
      <c r="C2072" s="7">
        <f>_xlfn.FLOOR.MATH(Table1[[#This Row],[year]],10)</f>
        <v>1990</v>
      </c>
      <c r="D2072" t="s">
        <v>13</v>
      </c>
      <c r="E2072" t="s">
        <v>27</v>
      </c>
      <c r="F2072">
        <v>1</v>
      </c>
      <c r="G2072">
        <v>1</v>
      </c>
      <c r="H2072" t="s">
        <v>74</v>
      </c>
      <c r="I2072" t="s">
        <v>130</v>
      </c>
      <c r="J2072" t="s">
        <v>20</v>
      </c>
      <c r="K2072" t="b">
        <v>1</v>
      </c>
      <c r="L2072">
        <v>1998</v>
      </c>
      <c r="M2072">
        <v>863711007325</v>
      </c>
      <c r="N2072">
        <v>438612530548</v>
      </c>
      <c r="O2072" t="b">
        <v>0</v>
      </c>
      <c r="P2072">
        <v>0</v>
      </c>
      <c r="Q2072" t="str" cm="1">
        <f t="array" ref="Q2072">_xlfn.IFS(Table1[[#This Row],[Wealthier_Winner]]=-1,"Wealthier Nation Loses",Table1[[#This Row],[Wealthier_Winner]]=0,"Tie",Table1[[#This Row],[Wealthier_Winner]]=1,"Wealthier Nation Wins")</f>
        <v>Tie</v>
      </c>
    </row>
    <row r="2073" spans="1:17" x14ac:dyDescent="0.2">
      <c r="A2073" s="1">
        <v>3508</v>
      </c>
      <c r="B2073" s="2">
        <v>35984</v>
      </c>
      <c r="C2073" s="7">
        <f>_xlfn.FLOOR.MATH(Table1[[#This Row],[year]],10)</f>
        <v>1990</v>
      </c>
      <c r="D2073" t="s">
        <v>20</v>
      </c>
      <c r="E2073" t="s">
        <v>52</v>
      </c>
      <c r="F2073">
        <v>2</v>
      </c>
      <c r="G2073">
        <v>1</v>
      </c>
      <c r="H2073" t="s">
        <v>74</v>
      </c>
      <c r="I2073" t="s">
        <v>132</v>
      </c>
      <c r="J2073" t="s">
        <v>20</v>
      </c>
      <c r="K2073" t="b">
        <v>0</v>
      </c>
      <c r="L2073">
        <v>1998</v>
      </c>
      <c r="M2073">
        <v>1496906382032</v>
      </c>
      <c r="N2073">
        <v>25890228429</v>
      </c>
      <c r="O2073" t="b">
        <v>1</v>
      </c>
      <c r="P2073">
        <v>1</v>
      </c>
      <c r="Q2073" t="str" cm="1">
        <f t="array" ref="Q2073">_xlfn.IFS(Table1[[#This Row],[Wealthier_Winner]]=-1,"Wealthier Nation Loses",Table1[[#This Row],[Wealthier_Winner]]=0,"Tie",Table1[[#This Row],[Wealthier_Winner]]=1,"Wealthier Nation Wins")</f>
        <v>Wealthier Nation Wins</v>
      </c>
    </row>
    <row r="2074" spans="1:17" x14ac:dyDescent="0.2">
      <c r="A2074" s="1">
        <v>3509</v>
      </c>
      <c r="B2074" s="2">
        <v>35987</v>
      </c>
      <c r="C2074" s="7">
        <f>_xlfn.FLOOR.MATH(Table1[[#This Row],[year]],10)</f>
        <v>1990</v>
      </c>
      <c r="D2074" t="s">
        <v>27</v>
      </c>
      <c r="E2074" t="s">
        <v>52</v>
      </c>
      <c r="F2074">
        <v>1</v>
      </c>
      <c r="G2074">
        <v>2</v>
      </c>
      <c r="H2074" t="s">
        <v>74</v>
      </c>
      <c r="I2074" t="s">
        <v>134</v>
      </c>
      <c r="J2074" t="s">
        <v>20</v>
      </c>
      <c r="K2074" t="b">
        <v>1</v>
      </c>
      <c r="L2074">
        <v>1998</v>
      </c>
      <c r="M2074">
        <v>438612530548</v>
      </c>
      <c r="N2074">
        <v>25890228429</v>
      </c>
      <c r="O2074" t="b">
        <v>1</v>
      </c>
      <c r="P2074">
        <v>-1</v>
      </c>
      <c r="Q2074" t="str" cm="1">
        <f t="array" ref="Q2074">_xlfn.IFS(Table1[[#This Row],[Wealthier_Winner]]=-1,"Wealthier Nation Loses",Table1[[#This Row],[Wealthier_Winner]]=0,"Tie",Table1[[#This Row],[Wealthier_Winner]]=1,"Wealthier Nation Wins")</f>
        <v>Wealthier Nation Loses</v>
      </c>
    </row>
    <row r="2075" spans="1:17" x14ac:dyDescent="0.2">
      <c r="A2075" s="1">
        <v>3510</v>
      </c>
      <c r="B2075" s="2">
        <v>35988</v>
      </c>
      <c r="C2075" s="7">
        <f>_xlfn.FLOOR.MATH(Table1[[#This Row],[year]],10)</f>
        <v>1990</v>
      </c>
      <c r="D2075" t="s">
        <v>20</v>
      </c>
      <c r="E2075" t="s">
        <v>13</v>
      </c>
      <c r="F2075">
        <v>3</v>
      </c>
      <c r="G2075">
        <v>0</v>
      </c>
      <c r="H2075" t="s">
        <v>74</v>
      </c>
      <c r="I2075" t="s">
        <v>132</v>
      </c>
      <c r="J2075" t="s">
        <v>20</v>
      </c>
      <c r="K2075" t="b">
        <v>0</v>
      </c>
      <c r="L2075">
        <v>1998</v>
      </c>
      <c r="M2075">
        <v>1496906382032</v>
      </c>
      <c r="N2075">
        <v>863711007325</v>
      </c>
      <c r="O2075" t="b">
        <v>0</v>
      </c>
      <c r="P2075">
        <v>1</v>
      </c>
      <c r="Q2075" t="str" cm="1">
        <f t="array" ref="Q2075">_xlfn.IFS(Table1[[#This Row],[Wealthier_Winner]]=-1,"Wealthier Nation Loses",Table1[[#This Row],[Wealthier_Winner]]=0,"Tie",Table1[[#This Row],[Wealthier_Winner]]=1,"Wealthier Nation Wins")</f>
        <v>Wealthier Nation Wins</v>
      </c>
    </row>
    <row r="2076" spans="1:17" x14ac:dyDescent="0.2">
      <c r="A2076" s="1">
        <v>3511</v>
      </c>
      <c r="B2076" s="2">
        <v>36589</v>
      </c>
      <c r="C2076" s="7">
        <f>_xlfn.FLOOR.MATH(Table1[[#This Row],[year]],10)</f>
        <v>2000</v>
      </c>
      <c r="D2076" t="s">
        <v>65</v>
      </c>
      <c r="E2076" t="s">
        <v>453</v>
      </c>
      <c r="F2076">
        <v>3</v>
      </c>
      <c r="G2076">
        <v>0</v>
      </c>
      <c r="H2076" t="s">
        <v>224</v>
      </c>
      <c r="I2076" t="s">
        <v>254</v>
      </c>
      <c r="J2076" t="s">
        <v>65</v>
      </c>
      <c r="K2076" t="b">
        <v>0</v>
      </c>
      <c r="L2076">
        <v>2000</v>
      </c>
      <c r="M2076">
        <v>7186638029</v>
      </c>
      <c r="N2076">
        <v>5109587049</v>
      </c>
      <c r="O2076" t="b">
        <v>0</v>
      </c>
      <c r="P2076">
        <v>1</v>
      </c>
      <c r="Q2076" t="str" cm="1">
        <f t="array" ref="Q2076">_xlfn.IFS(Table1[[#This Row],[Wealthier_Winner]]=-1,"Wealthier Nation Loses",Table1[[#This Row],[Wealthier_Winner]]=0,"Tie",Table1[[#This Row],[Wealthier_Winner]]=1,"Wealthier Nation Wins")</f>
        <v>Wealthier Nation Wins</v>
      </c>
    </row>
    <row r="2077" spans="1:17" x14ac:dyDescent="0.2">
      <c r="A2077" s="1">
        <v>3514</v>
      </c>
      <c r="B2077" s="2">
        <v>36590</v>
      </c>
      <c r="C2077" s="7">
        <f>_xlfn.FLOOR.MATH(Table1[[#This Row],[year]],10)</f>
        <v>2000</v>
      </c>
      <c r="D2077" t="s">
        <v>443</v>
      </c>
      <c r="E2077" t="s">
        <v>499</v>
      </c>
      <c r="F2077">
        <v>2</v>
      </c>
      <c r="G2077">
        <v>2</v>
      </c>
      <c r="H2077" t="s">
        <v>224</v>
      </c>
      <c r="I2077" t="s">
        <v>444</v>
      </c>
      <c r="J2077" t="s">
        <v>443</v>
      </c>
      <c r="K2077" t="b">
        <v>0</v>
      </c>
      <c r="L2077">
        <v>2000</v>
      </c>
      <c r="M2077">
        <v>3059500000</v>
      </c>
      <c r="N2077">
        <v>520044370</v>
      </c>
      <c r="O2077" t="b">
        <v>1</v>
      </c>
      <c r="P2077">
        <v>0</v>
      </c>
      <c r="Q2077" t="str" cm="1">
        <f t="array" ref="Q2077">_xlfn.IFS(Table1[[#This Row],[Wealthier_Winner]]=-1,"Wealthier Nation Loses",Table1[[#This Row],[Wealthier_Winner]]=0,"Tie",Table1[[#This Row],[Wealthier_Winner]]=1,"Wealthier Nation Wins")</f>
        <v>Tie</v>
      </c>
    </row>
    <row r="2078" spans="1:17" x14ac:dyDescent="0.2">
      <c r="A2078" s="1">
        <v>3518</v>
      </c>
      <c r="B2078" s="2">
        <v>36590</v>
      </c>
      <c r="C2078" s="7">
        <f>_xlfn.FLOOR.MATH(Table1[[#This Row],[year]],10)</f>
        <v>2000</v>
      </c>
      <c r="D2078" t="s">
        <v>69</v>
      </c>
      <c r="E2078" t="s">
        <v>511</v>
      </c>
      <c r="F2078">
        <v>5</v>
      </c>
      <c r="G2078">
        <v>0</v>
      </c>
      <c r="H2078" t="s">
        <v>224</v>
      </c>
      <c r="I2078" t="s">
        <v>281</v>
      </c>
      <c r="J2078" t="s">
        <v>69</v>
      </c>
      <c r="K2078" t="b">
        <v>0</v>
      </c>
      <c r="L2078">
        <v>2000</v>
      </c>
      <c r="M2078">
        <v>11784927700</v>
      </c>
      <c r="N2078">
        <v>1138138100</v>
      </c>
      <c r="O2078" t="b">
        <v>1</v>
      </c>
      <c r="P2078">
        <v>1</v>
      </c>
      <c r="Q2078" t="str" cm="1">
        <f t="array" ref="Q2078">_xlfn.IFS(Table1[[#This Row],[Wealthier_Winner]]=-1,"Wealthier Nation Loses",Table1[[#This Row],[Wealthier_Winner]]=0,"Tie",Table1[[#This Row],[Wealthier_Winner]]=1,"Wealthier Nation Wins")</f>
        <v>Wealthier Nation Wins</v>
      </c>
    </row>
    <row r="2079" spans="1:17" x14ac:dyDescent="0.2">
      <c r="A2079" s="1">
        <v>3522</v>
      </c>
      <c r="B2079" s="2">
        <v>36596</v>
      </c>
      <c r="C2079" s="7">
        <f>_xlfn.FLOOR.MATH(Table1[[#This Row],[year]],10)</f>
        <v>2000</v>
      </c>
      <c r="D2079" t="s">
        <v>70</v>
      </c>
      <c r="E2079" t="s">
        <v>494</v>
      </c>
      <c r="F2079">
        <v>4</v>
      </c>
      <c r="G2079">
        <v>0</v>
      </c>
      <c r="H2079" t="s">
        <v>224</v>
      </c>
      <c r="I2079" t="s">
        <v>280</v>
      </c>
      <c r="J2079" t="s">
        <v>70</v>
      </c>
      <c r="K2079" t="b">
        <v>0</v>
      </c>
      <c r="L2079">
        <v>2000</v>
      </c>
      <c r="M2079">
        <v>6813566098</v>
      </c>
      <c r="N2079">
        <v>333470370</v>
      </c>
      <c r="O2079" t="b">
        <v>1</v>
      </c>
      <c r="P2079">
        <v>1</v>
      </c>
      <c r="Q2079" t="str" cm="1">
        <f t="array" ref="Q2079">_xlfn.IFS(Table1[[#This Row],[Wealthier_Winner]]=-1,"Wealthier Nation Loses",Table1[[#This Row],[Wealthier_Winner]]=0,"Tie",Table1[[#This Row],[Wealthier_Winner]]=1,"Wealthier Nation Wins")</f>
        <v>Wealthier Nation Wins</v>
      </c>
    </row>
    <row r="2080" spans="1:17" x14ac:dyDescent="0.2">
      <c r="A2080" s="1">
        <v>3524</v>
      </c>
      <c r="B2080" s="2">
        <v>36603</v>
      </c>
      <c r="C2080" s="7">
        <f>_xlfn.FLOOR.MATH(Table1[[#This Row],[year]],10)</f>
        <v>2000</v>
      </c>
      <c r="D2080" t="s">
        <v>499</v>
      </c>
      <c r="E2080" t="s">
        <v>443</v>
      </c>
      <c r="F2080">
        <v>2</v>
      </c>
      <c r="G2080">
        <v>3</v>
      </c>
      <c r="H2080" t="s">
        <v>224</v>
      </c>
      <c r="I2080" t="s">
        <v>501</v>
      </c>
      <c r="J2080" t="s">
        <v>499</v>
      </c>
      <c r="K2080" t="b">
        <v>0</v>
      </c>
      <c r="L2080">
        <v>2000</v>
      </c>
      <c r="M2080">
        <v>520044370</v>
      </c>
      <c r="N2080">
        <v>3059500000</v>
      </c>
      <c r="O2080" t="b">
        <v>1</v>
      </c>
      <c r="P2080">
        <v>1</v>
      </c>
      <c r="Q2080" t="str" cm="1">
        <f t="array" ref="Q2080">_xlfn.IFS(Table1[[#This Row],[Wealthier_Winner]]=-1,"Wealthier Nation Loses",Table1[[#This Row],[Wealthier_Winner]]=0,"Tie",Table1[[#This Row],[Wealthier_Winner]]=1,"Wealthier Nation Wins")</f>
        <v>Wealthier Nation Wins</v>
      </c>
    </row>
    <row r="2081" spans="1:17" x14ac:dyDescent="0.2">
      <c r="A2081" s="1">
        <v>3528</v>
      </c>
      <c r="B2081" s="2">
        <v>36604</v>
      </c>
      <c r="C2081" s="7">
        <f>_xlfn.FLOOR.MATH(Table1[[#This Row],[year]],10)</f>
        <v>2000</v>
      </c>
      <c r="D2081" t="s">
        <v>511</v>
      </c>
      <c r="E2081" t="s">
        <v>223</v>
      </c>
      <c r="F2081">
        <v>1</v>
      </c>
      <c r="G2081">
        <v>2</v>
      </c>
      <c r="H2081" t="s">
        <v>224</v>
      </c>
      <c r="I2081" t="s">
        <v>254</v>
      </c>
      <c r="J2081" t="s">
        <v>65</v>
      </c>
      <c r="K2081" t="b">
        <v>1</v>
      </c>
      <c r="L2081">
        <v>2000</v>
      </c>
      <c r="M2081">
        <v>1138138100</v>
      </c>
      <c r="N2081">
        <v>19288929030</v>
      </c>
      <c r="O2081" t="b">
        <v>1</v>
      </c>
      <c r="P2081">
        <v>1</v>
      </c>
      <c r="Q2081" t="str" cm="1">
        <f t="array" ref="Q2081">_xlfn.IFS(Table1[[#This Row],[Wealthier_Winner]]=-1,"Wealthier Nation Loses",Table1[[#This Row],[Wealthier_Winner]]=0,"Tie",Table1[[#This Row],[Wealthier_Winner]]=1,"Wealthier Nation Wins")</f>
        <v>Wealthier Nation Wins</v>
      </c>
    </row>
    <row r="2082" spans="1:17" x14ac:dyDescent="0.2">
      <c r="A2082" s="1">
        <v>3531</v>
      </c>
      <c r="B2082" s="2">
        <v>36604</v>
      </c>
      <c r="C2082" s="7">
        <f>_xlfn.FLOOR.MATH(Table1[[#This Row],[year]],10)</f>
        <v>2000</v>
      </c>
      <c r="D2082" t="s">
        <v>494</v>
      </c>
      <c r="E2082" t="s">
        <v>70</v>
      </c>
      <c r="F2082">
        <v>1</v>
      </c>
      <c r="G2082">
        <v>3</v>
      </c>
      <c r="H2082" t="s">
        <v>224</v>
      </c>
      <c r="I2082" t="s">
        <v>495</v>
      </c>
      <c r="J2082" t="s">
        <v>494</v>
      </c>
      <c r="K2082" t="b">
        <v>0</v>
      </c>
      <c r="L2082">
        <v>2000</v>
      </c>
      <c r="M2082">
        <v>333470370</v>
      </c>
      <c r="N2082">
        <v>6813566098</v>
      </c>
      <c r="O2082" t="b">
        <v>1</v>
      </c>
      <c r="P2082">
        <v>1</v>
      </c>
      <c r="Q2082" t="str" cm="1">
        <f t="array" ref="Q2082">_xlfn.IFS(Table1[[#This Row],[Wealthier_Winner]]=-1,"Wealthier Nation Loses",Table1[[#This Row],[Wealthier_Winner]]=0,"Tie",Table1[[#This Row],[Wealthier_Winner]]=1,"Wealthier Nation Wins")</f>
        <v>Wealthier Nation Wins</v>
      </c>
    </row>
    <row r="2083" spans="1:17" x14ac:dyDescent="0.2">
      <c r="A2083" s="1">
        <v>3533</v>
      </c>
      <c r="B2083" s="2">
        <v>36604</v>
      </c>
      <c r="C2083" s="7">
        <f>_xlfn.FLOOR.MATH(Table1[[#This Row],[year]],10)</f>
        <v>2000</v>
      </c>
      <c r="D2083" t="s">
        <v>453</v>
      </c>
      <c r="E2083" t="s">
        <v>67</v>
      </c>
      <c r="F2083">
        <v>0</v>
      </c>
      <c r="G2083">
        <v>2</v>
      </c>
      <c r="H2083" t="s">
        <v>224</v>
      </c>
      <c r="I2083" t="s">
        <v>507</v>
      </c>
      <c r="J2083" t="s">
        <v>453</v>
      </c>
      <c r="K2083" t="b">
        <v>0</v>
      </c>
      <c r="L2083">
        <v>2000</v>
      </c>
      <c r="M2083">
        <v>5109587049</v>
      </c>
      <c r="N2083">
        <v>11966497048</v>
      </c>
      <c r="O2083" t="b">
        <v>1</v>
      </c>
      <c r="P2083">
        <v>1</v>
      </c>
      <c r="Q2083" t="str" cm="1">
        <f t="array" ref="Q2083">_xlfn.IFS(Table1[[#This Row],[Wealthier_Winner]]=-1,"Wealthier Nation Loses",Table1[[#This Row],[Wealthier_Winner]]=0,"Tie",Table1[[#This Row],[Wealthier_Winner]]=1,"Wealthier Nation Wins")</f>
        <v>Wealthier Nation Wins</v>
      </c>
    </row>
    <row r="2084" spans="1:17" x14ac:dyDescent="0.2">
      <c r="A2084" s="1">
        <v>3537</v>
      </c>
      <c r="B2084" s="2">
        <v>36613</v>
      </c>
      <c r="C2084" s="7">
        <f>_xlfn.FLOOR.MATH(Table1[[#This Row],[year]],10)</f>
        <v>2000</v>
      </c>
      <c r="D2084" t="s">
        <v>15</v>
      </c>
      <c r="E2084" t="s">
        <v>13</v>
      </c>
      <c r="F2084">
        <v>0</v>
      </c>
      <c r="G2084">
        <v>0</v>
      </c>
      <c r="H2084" t="s">
        <v>224</v>
      </c>
      <c r="I2084" t="s">
        <v>241</v>
      </c>
      <c r="J2084" t="s">
        <v>15</v>
      </c>
      <c r="K2084" t="b">
        <v>0</v>
      </c>
      <c r="L2084">
        <v>2000</v>
      </c>
      <c r="M2084">
        <v>99875074951</v>
      </c>
      <c r="N2084">
        <v>655448188259</v>
      </c>
      <c r="O2084" t="b">
        <v>1</v>
      </c>
      <c r="P2084">
        <v>0</v>
      </c>
      <c r="Q2084" t="str" cm="1">
        <f t="array" ref="Q2084">_xlfn.IFS(Table1[[#This Row],[Wealthier_Winner]]=-1,"Wealthier Nation Loses",Table1[[#This Row],[Wealthier_Winner]]=0,"Tie",Table1[[#This Row],[Wealthier_Winner]]=1,"Wealthier Nation Wins")</f>
        <v>Tie</v>
      </c>
    </row>
    <row r="2085" spans="1:17" x14ac:dyDescent="0.2">
      <c r="A2085" s="1">
        <v>3538</v>
      </c>
      <c r="B2085" s="2">
        <v>36614</v>
      </c>
      <c r="C2085" s="7">
        <f>_xlfn.FLOOR.MATH(Table1[[#This Row],[year]],10)</f>
        <v>2000</v>
      </c>
      <c r="D2085" t="s">
        <v>19</v>
      </c>
      <c r="E2085" t="s">
        <v>14</v>
      </c>
      <c r="F2085">
        <v>4</v>
      </c>
      <c r="G2085">
        <v>1</v>
      </c>
      <c r="H2085" t="s">
        <v>224</v>
      </c>
      <c r="I2085" t="s">
        <v>93</v>
      </c>
      <c r="J2085" t="s">
        <v>19</v>
      </c>
      <c r="K2085" t="b">
        <v>0</v>
      </c>
      <c r="L2085">
        <v>2000</v>
      </c>
      <c r="M2085">
        <v>284203750000</v>
      </c>
      <c r="N2085">
        <v>78339750721</v>
      </c>
      <c r="O2085" t="b">
        <v>1</v>
      </c>
      <c r="P2085">
        <v>1</v>
      </c>
      <c r="Q2085" t="str" cm="1">
        <f t="array" ref="Q2085">_xlfn.IFS(Table1[[#This Row],[Wealthier_Winner]]=-1,"Wealthier Nation Loses",Table1[[#This Row],[Wealthier_Winner]]=0,"Tie",Table1[[#This Row],[Wealthier_Winner]]=1,"Wealthier Nation Wins")</f>
        <v>Wealthier Nation Wins</v>
      </c>
    </row>
    <row r="2086" spans="1:17" x14ac:dyDescent="0.2">
      <c r="A2086" s="1">
        <v>3539</v>
      </c>
      <c r="B2086" s="2">
        <v>36614</v>
      </c>
      <c r="C2086" s="7">
        <f>_xlfn.FLOOR.MATH(Table1[[#This Row],[year]],10)</f>
        <v>2000</v>
      </c>
      <c r="D2086" t="s">
        <v>57</v>
      </c>
      <c r="E2086" t="s">
        <v>258</v>
      </c>
      <c r="F2086">
        <v>2</v>
      </c>
      <c r="G2086">
        <v>0</v>
      </c>
      <c r="H2086" t="s">
        <v>224</v>
      </c>
      <c r="I2086" t="s">
        <v>335</v>
      </c>
      <c r="J2086" t="s">
        <v>57</v>
      </c>
      <c r="K2086" t="b">
        <v>0</v>
      </c>
      <c r="L2086">
        <v>2000</v>
      </c>
      <c r="M2086">
        <v>17539454727</v>
      </c>
      <c r="N2086">
        <v>117146466002</v>
      </c>
      <c r="O2086" t="b">
        <v>1</v>
      </c>
      <c r="P2086">
        <v>-1</v>
      </c>
      <c r="Q2086" t="str" cm="1">
        <f t="array" ref="Q2086">_xlfn.IFS(Table1[[#This Row],[Wealthier_Winner]]=-1,"Wealthier Nation Loses",Table1[[#This Row],[Wealthier_Winner]]=0,"Tie",Table1[[#This Row],[Wealthier_Winner]]=1,"Wealthier Nation Wins")</f>
        <v>Wealthier Nation Loses</v>
      </c>
    </row>
    <row r="2087" spans="1:17" x14ac:dyDescent="0.2">
      <c r="A2087" s="1">
        <v>3540</v>
      </c>
      <c r="B2087" s="2">
        <v>36614</v>
      </c>
      <c r="C2087" s="7">
        <f>_xlfn.FLOOR.MATH(Table1[[#This Row],[year]],10)</f>
        <v>2000</v>
      </c>
      <c r="D2087" t="s">
        <v>31</v>
      </c>
      <c r="E2087" t="s">
        <v>35</v>
      </c>
      <c r="F2087">
        <v>2</v>
      </c>
      <c r="G2087">
        <v>0</v>
      </c>
      <c r="H2087" t="s">
        <v>224</v>
      </c>
      <c r="I2087" t="s">
        <v>242</v>
      </c>
      <c r="J2087" t="s">
        <v>31</v>
      </c>
      <c r="K2087" t="b">
        <v>0</v>
      </c>
      <c r="L2087">
        <v>2000</v>
      </c>
      <c r="M2087">
        <v>51744749133</v>
      </c>
      <c r="N2087">
        <v>8855705139</v>
      </c>
      <c r="O2087" t="b">
        <v>1</v>
      </c>
      <c r="P2087">
        <v>1</v>
      </c>
      <c r="Q2087" t="str" cm="1">
        <f t="array" ref="Q2087">_xlfn.IFS(Table1[[#This Row],[Wealthier_Winner]]=-1,"Wealthier Nation Loses",Table1[[#This Row],[Wealthier_Winner]]=0,"Tie",Table1[[#This Row],[Wealthier_Winner]]=1,"Wealthier Nation Wins")</f>
        <v>Wealthier Nation Wins</v>
      </c>
    </row>
    <row r="2088" spans="1:17" x14ac:dyDescent="0.2">
      <c r="A2088" s="1">
        <v>3541</v>
      </c>
      <c r="B2088" s="2">
        <v>36614</v>
      </c>
      <c r="C2088" s="7">
        <f>_xlfn.FLOOR.MATH(Table1[[#This Row],[year]],10)</f>
        <v>2000</v>
      </c>
      <c r="D2088" t="s">
        <v>26</v>
      </c>
      <c r="E2088" t="s">
        <v>47</v>
      </c>
      <c r="F2088">
        <v>1</v>
      </c>
      <c r="G2088">
        <v>0</v>
      </c>
      <c r="H2088" t="s">
        <v>224</v>
      </c>
      <c r="I2088" t="s">
        <v>247</v>
      </c>
      <c r="J2088" t="s">
        <v>26</v>
      </c>
      <c r="K2088" t="b">
        <v>0</v>
      </c>
      <c r="L2088">
        <v>2000</v>
      </c>
      <c r="M2088">
        <v>22823270892</v>
      </c>
      <c r="N2088">
        <v>8397855484</v>
      </c>
      <c r="O2088" t="b">
        <v>1</v>
      </c>
      <c r="P2088">
        <v>1</v>
      </c>
      <c r="Q2088" t="str" cm="1">
        <f t="array" ref="Q2088">_xlfn.IFS(Table1[[#This Row],[Wealthier_Winner]]=-1,"Wealthier Nation Loses",Table1[[#This Row],[Wealthier_Winner]]=0,"Tie",Table1[[#This Row],[Wealthier_Winner]]=1,"Wealthier Nation Wins")</f>
        <v>Wealthier Nation Wins</v>
      </c>
    </row>
    <row r="2089" spans="1:17" x14ac:dyDescent="0.2">
      <c r="A2089" s="1">
        <v>3542</v>
      </c>
      <c r="B2089" s="2">
        <v>36617</v>
      </c>
      <c r="C2089" s="7">
        <f>_xlfn.FLOOR.MATH(Table1[[#This Row],[year]],10)</f>
        <v>2000</v>
      </c>
      <c r="D2089" t="s">
        <v>497</v>
      </c>
      <c r="E2089" t="s">
        <v>443</v>
      </c>
      <c r="F2089">
        <v>1</v>
      </c>
      <c r="G2089">
        <v>3</v>
      </c>
      <c r="H2089" t="s">
        <v>224</v>
      </c>
      <c r="I2089" t="s">
        <v>500</v>
      </c>
      <c r="J2089" t="s">
        <v>497</v>
      </c>
      <c r="K2089" t="b">
        <v>0</v>
      </c>
      <c r="L2089">
        <v>2000</v>
      </c>
      <c r="M2089">
        <v>1873452513</v>
      </c>
      <c r="N2089">
        <v>3059500000</v>
      </c>
      <c r="O2089" t="b">
        <v>0</v>
      </c>
      <c r="P2089">
        <v>1</v>
      </c>
      <c r="Q2089" t="str" cm="1">
        <f t="array" ref="Q2089">_xlfn.IFS(Table1[[#This Row],[Wealthier_Winner]]=-1,"Wealthier Nation Loses",Table1[[#This Row],[Wealthier_Winner]]=0,"Tie",Table1[[#This Row],[Wealthier_Winner]]=1,"Wealthier Nation Wins")</f>
        <v>Wealthier Nation Wins</v>
      </c>
    </row>
    <row r="2090" spans="1:17" x14ac:dyDescent="0.2">
      <c r="A2090" s="1">
        <v>3544</v>
      </c>
      <c r="B2090" s="2">
        <v>36618</v>
      </c>
      <c r="C2090" s="7">
        <f>_xlfn.FLOOR.MATH(Table1[[#This Row],[year]],10)</f>
        <v>2000</v>
      </c>
      <c r="D2090" t="s">
        <v>517</v>
      </c>
      <c r="E2090" t="s">
        <v>252</v>
      </c>
      <c r="F2090">
        <v>1</v>
      </c>
      <c r="G2090">
        <v>0</v>
      </c>
      <c r="H2090" t="s">
        <v>224</v>
      </c>
      <c r="I2090" t="s">
        <v>580</v>
      </c>
      <c r="J2090" t="s">
        <v>517</v>
      </c>
      <c r="K2090" t="b">
        <v>0</v>
      </c>
      <c r="L2090">
        <v>2000</v>
      </c>
      <c r="M2090">
        <v>30565400000</v>
      </c>
      <c r="N2090">
        <v>947671969</v>
      </c>
      <c r="O2090" t="b">
        <v>1</v>
      </c>
      <c r="P2090">
        <v>1</v>
      </c>
      <c r="Q2090" t="str" cm="1">
        <f t="array" ref="Q2090">_xlfn.IFS(Table1[[#This Row],[Wealthier_Winner]]=-1,"Wealthier Nation Loses",Table1[[#This Row],[Wealthier_Winner]]=0,"Tie",Table1[[#This Row],[Wealthier_Winner]]=1,"Wealthier Nation Wins")</f>
        <v>Wealthier Nation Wins</v>
      </c>
    </row>
    <row r="2091" spans="1:17" x14ac:dyDescent="0.2">
      <c r="A2091" s="1">
        <v>3545</v>
      </c>
      <c r="B2091" s="2">
        <v>36618</v>
      </c>
      <c r="C2091" s="7">
        <f>_xlfn.FLOOR.MATH(Table1[[#This Row],[year]],10)</f>
        <v>2000</v>
      </c>
      <c r="D2091" t="s">
        <v>223</v>
      </c>
      <c r="E2091" t="s">
        <v>69</v>
      </c>
      <c r="F2091">
        <v>0</v>
      </c>
      <c r="G2091">
        <v>1</v>
      </c>
      <c r="H2091" t="s">
        <v>224</v>
      </c>
      <c r="I2091" t="s">
        <v>227</v>
      </c>
      <c r="J2091" t="s">
        <v>223</v>
      </c>
      <c r="K2091" t="b">
        <v>0</v>
      </c>
      <c r="L2091">
        <v>2000</v>
      </c>
      <c r="M2091">
        <v>19288929030</v>
      </c>
      <c r="N2091">
        <v>11784927700</v>
      </c>
      <c r="O2091" t="b">
        <v>0</v>
      </c>
      <c r="P2091">
        <v>-1</v>
      </c>
      <c r="Q2091" t="str" cm="1">
        <f t="array" ref="Q2091">_xlfn.IFS(Table1[[#This Row],[Wealthier_Winner]]=-1,"Wealthier Nation Loses",Table1[[#This Row],[Wealthier_Winner]]=0,"Tie",Table1[[#This Row],[Wealthier_Winner]]=1,"Wealthier Nation Wins")</f>
        <v>Wealthier Nation Loses</v>
      </c>
    </row>
    <row r="2092" spans="1:17" x14ac:dyDescent="0.2">
      <c r="A2092" s="1">
        <v>3546</v>
      </c>
      <c r="B2092" s="2">
        <v>36618</v>
      </c>
      <c r="C2092" s="7">
        <f>_xlfn.FLOOR.MATH(Table1[[#This Row],[year]],10)</f>
        <v>2000</v>
      </c>
      <c r="D2092" t="s">
        <v>67</v>
      </c>
      <c r="E2092" t="s">
        <v>65</v>
      </c>
      <c r="F2092">
        <v>1</v>
      </c>
      <c r="G2092">
        <v>0</v>
      </c>
      <c r="H2092" t="s">
        <v>224</v>
      </c>
      <c r="I2092" t="s">
        <v>455</v>
      </c>
      <c r="J2092" t="s">
        <v>67</v>
      </c>
      <c r="K2092" t="b">
        <v>0</v>
      </c>
      <c r="L2092">
        <v>2000</v>
      </c>
      <c r="M2092">
        <v>11966497048</v>
      </c>
      <c r="N2092">
        <v>7186638029</v>
      </c>
      <c r="O2092" t="b">
        <v>0</v>
      </c>
      <c r="P2092">
        <v>1</v>
      </c>
      <c r="Q2092" t="str" cm="1">
        <f t="array" ref="Q2092">_xlfn.IFS(Table1[[#This Row],[Wealthier_Winner]]=-1,"Wealthier Nation Loses",Table1[[#This Row],[Wealthier_Winner]]=0,"Tie",Table1[[#This Row],[Wealthier_Winner]]=1,"Wealthier Nation Wins")</f>
        <v>Wealthier Nation Wins</v>
      </c>
    </row>
    <row r="2093" spans="1:17" x14ac:dyDescent="0.2">
      <c r="A2093" s="1">
        <v>3547</v>
      </c>
      <c r="B2093" s="2">
        <v>36618</v>
      </c>
      <c r="C2093" s="7">
        <f>_xlfn.FLOOR.MATH(Table1[[#This Row],[year]],10)</f>
        <v>2000</v>
      </c>
      <c r="D2093" t="s">
        <v>59</v>
      </c>
      <c r="E2093" t="s">
        <v>496</v>
      </c>
      <c r="F2093">
        <v>3</v>
      </c>
      <c r="G2093">
        <v>0</v>
      </c>
      <c r="H2093" t="s">
        <v>224</v>
      </c>
      <c r="I2093" t="s">
        <v>253</v>
      </c>
      <c r="J2093" t="s">
        <v>59</v>
      </c>
      <c r="K2093" t="b">
        <v>0</v>
      </c>
      <c r="L2093">
        <v>2000</v>
      </c>
      <c r="M2093">
        <v>8154342116</v>
      </c>
      <c r="N2093">
        <v>24305780628</v>
      </c>
      <c r="O2093" t="b">
        <v>1</v>
      </c>
      <c r="P2093">
        <v>-1</v>
      </c>
      <c r="Q2093" t="str" cm="1">
        <f t="array" ref="Q2093">_xlfn.IFS(Table1[[#This Row],[Wealthier_Winner]]=-1,"Wealthier Nation Loses",Table1[[#This Row],[Wealthier_Winner]]=0,"Tie",Table1[[#This Row],[Wealthier_Winner]]=1,"Wealthier Nation Wins")</f>
        <v>Wealthier Nation Loses</v>
      </c>
    </row>
    <row r="2094" spans="1:17" x14ac:dyDescent="0.2">
      <c r="A2094" s="1">
        <v>3549</v>
      </c>
      <c r="B2094" s="2">
        <v>36623</v>
      </c>
      <c r="C2094" s="7">
        <f>_xlfn.FLOOR.MATH(Table1[[#This Row],[year]],10)</f>
        <v>2000</v>
      </c>
      <c r="D2094" t="s">
        <v>346</v>
      </c>
      <c r="E2094" t="s">
        <v>53</v>
      </c>
      <c r="F2094">
        <v>1</v>
      </c>
      <c r="G2094">
        <v>2</v>
      </c>
      <c r="H2094" t="s">
        <v>224</v>
      </c>
      <c r="I2094" t="s">
        <v>350</v>
      </c>
      <c r="J2094" t="s">
        <v>346</v>
      </c>
      <c r="K2094" t="b">
        <v>0</v>
      </c>
      <c r="L2094">
        <v>2000</v>
      </c>
      <c r="M2094">
        <v>1779520886</v>
      </c>
      <c r="N2094">
        <v>21473528160</v>
      </c>
      <c r="O2094" t="b">
        <v>1</v>
      </c>
      <c r="P2094">
        <v>1</v>
      </c>
      <c r="Q2094" t="str" cm="1">
        <f t="array" ref="Q2094">_xlfn.IFS(Table1[[#This Row],[Wealthier_Winner]]=-1,"Wealthier Nation Loses",Table1[[#This Row],[Wealthier_Winner]]=0,"Tie",Table1[[#This Row],[Wealthier_Winner]]=1,"Wealthier Nation Wins")</f>
        <v>Wealthier Nation Wins</v>
      </c>
    </row>
    <row r="2095" spans="1:17" x14ac:dyDescent="0.2">
      <c r="A2095" s="1">
        <v>3550</v>
      </c>
      <c r="B2095" s="2">
        <v>36624</v>
      </c>
      <c r="C2095" s="7">
        <f>_xlfn.FLOOR.MATH(Table1[[#This Row],[year]],10)</f>
        <v>2000</v>
      </c>
      <c r="D2095" t="s">
        <v>581</v>
      </c>
      <c r="E2095" t="s">
        <v>298</v>
      </c>
      <c r="F2095">
        <v>0</v>
      </c>
      <c r="G2095">
        <v>1</v>
      </c>
      <c r="H2095" t="s">
        <v>224</v>
      </c>
      <c r="I2095" t="s">
        <v>582</v>
      </c>
      <c r="J2095" t="s">
        <v>581</v>
      </c>
      <c r="K2095" t="b">
        <v>0</v>
      </c>
      <c r="L2095">
        <v>2000</v>
      </c>
      <c r="M2095">
        <v>916777282</v>
      </c>
      <c r="N2095">
        <v>6693250000</v>
      </c>
      <c r="O2095" t="b">
        <v>1</v>
      </c>
      <c r="P2095">
        <v>1</v>
      </c>
      <c r="Q2095" t="str" cm="1">
        <f t="array" ref="Q2095">_xlfn.IFS(Table1[[#This Row],[Wealthier_Winner]]=-1,"Wealthier Nation Loses",Table1[[#This Row],[Wealthier_Winner]]=0,"Tie",Table1[[#This Row],[Wealthier_Winner]]=1,"Wealthier Nation Wins")</f>
        <v>Wealthier Nation Wins</v>
      </c>
    </row>
    <row r="2096" spans="1:17" x14ac:dyDescent="0.2">
      <c r="A2096" s="1">
        <v>3551</v>
      </c>
      <c r="B2096" s="2">
        <v>36624</v>
      </c>
      <c r="C2096" s="7">
        <f>_xlfn.FLOOR.MATH(Table1[[#This Row],[year]],10)</f>
        <v>2000</v>
      </c>
      <c r="D2096" t="s">
        <v>469</v>
      </c>
      <c r="E2096" t="s">
        <v>273</v>
      </c>
      <c r="F2096">
        <v>0</v>
      </c>
      <c r="G2096">
        <v>1</v>
      </c>
      <c r="H2096" t="s">
        <v>224</v>
      </c>
      <c r="I2096" t="s">
        <v>470</v>
      </c>
      <c r="J2096" t="s">
        <v>469</v>
      </c>
      <c r="K2096" t="b">
        <v>0</v>
      </c>
      <c r="L2096">
        <v>2000</v>
      </c>
      <c r="M2096">
        <v>5788329609</v>
      </c>
      <c r="N2096">
        <v>3600632111</v>
      </c>
      <c r="O2096" t="b">
        <v>0</v>
      </c>
      <c r="P2096">
        <v>-1</v>
      </c>
      <c r="Q2096" t="str" cm="1">
        <f t="array" ref="Q2096">_xlfn.IFS(Table1[[#This Row],[Wealthier_Winner]]=-1,"Wealthier Nation Loses",Table1[[#This Row],[Wealthier_Winner]]=0,"Tie",Table1[[#This Row],[Wealthier_Winner]]=1,"Wealthier Nation Wins")</f>
        <v>Wealthier Nation Loses</v>
      </c>
    </row>
    <row r="2097" spans="1:17" x14ac:dyDescent="0.2">
      <c r="A2097" s="1">
        <v>3552</v>
      </c>
      <c r="B2097" s="2">
        <v>36624</v>
      </c>
      <c r="C2097" s="7">
        <f>_xlfn.FLOOR.MATH(Table1[[#This Row],[year]],10)</f>
        <v>2000</v>
      </c>
      <c r="D2097" t="s">
        <v>508</v>
      </c>
      <c r="E2097" t="s">
        <v>62</v>
      </c>
      <c r="F2097">
        <v>0</v>
      </c>
      <c r="G2097">
        <v>0</v>
      </c>
      <c r="H2097" t="s">
        <v>224</v>
      </c>
      <c r="I2097" t="s">
        <v>509</v>
      </c>
      <c r="J2097" t="s">
        <v>508</v>
      </c>
      <c r="K2097" t="b">
        <v>0</v>
      </c>
      <c r="L2097">
        <v>2000</v>
      </c>
      <c r="M2097">
        <v>391345597</v>
      </c>
      <c r="N2097">
        <v>2106848752</v>
      </c>
      <c r="O2097" t="b">
        <v>1</v>
      </c>
      <c r="P2097">
        <v>0</v>
      </c>
      <c r="Q2097" t="str" cm="1">
        <f t="array" ref="Q2097">_xlfn.IFS(Table1[[#This Row],[Wealthier_Winner]]=-1,"Wealthier Nation Loses",Table1[[#This Row],[Wealthier_Winner]]=0,"Tie",Table1[[#This Row],[Wealthier_Winner]]=1,"Wealthier Nation Wins")</f>
        <v>Tie</v>
      </c>
    </row>
    <row r="2098" spans="1:17" x14ac:dyDescent="0.2">
      <c r="A2098" s="1">
        <v>3553</v>
      </c>
      <c r="B2098" s="2">
        <v>36624</v>
      </c>
      <c r="C2098" s="7">
        <f>_xlfn.FLOOR.MATH(Table1[[#This Row],[year]],10)</f>
        <v>2000</v>
      </c>
      <c r="D2098" t="s">
        <v>410</v>
      </c>
      <c r="E2098" t="s">
        <v>433</v>
      </c>
      <c r="F2098">
        <v>2</v>
      </c>
      <c r="G2098">
        <v>0</v>
      </c>
      <c r="H2098" t="s">
        <v>224</v>
      </c>
      <c r="I2098" t="s">
        <v>413</v>
      </c>
      <c r="J2098" t="s">
        <v>410</v>
      </c>
      <c r="K2098" t="b">
        <v>0</v>
      </c>
      <c r="L2098">
        <v>2000</v>
      </c>
      <c r="M2098">
        <v>4629247203</v>
      </c>
      <c r="N2098">
        <v>5080483628</v>
      </c>
      <c r="O2098" t="b">
        <v>0</v>
      </c>
      <c r="P2098">
        <v>-1</v>
      </c>
      <c r="Q2098" t="str" cm="1">
        <f t="array" ref="Q2098">_xlfn.IFS(Table1[[#This Row],[Wealthier_Winner]]=-1,"Wealthier Nation Loses",Table1[[#This Row],[Wealthier_Winner]]=0,"Tie",Table1[[#This Row],[Wealthier_Winner]]=1,"Wealthier Nation Wins")</f>
        <v>Wealthier Nation Loses</v>
      </c>
    </row>
    <row r="2099" spans="1:17" x14ac:dyDescent="0.2">
      <c r="A2099" s="1">
        <v>3554</v>
      </c>
      <c r="B2099" s="2">
        <v>36624</v>
      </c>
      <c r="C2099" s="7">
        <f>_xlfn.FLOOR.MATH(Table1[[#This Row],[year]],10)</f>
        <v>2000</v>
      </c>
      <c r="D2099" t="s">
        <v>370</v>
      </c>
      <c r="E2099" t="s">
        <v>314</v>
      </c>
      <c r="F2099">
        <v>2</v>
      </c>
      <c r="G2099">
        <v>0</v>
      </c>
      <c r="H2099" t="s">
        <v>224</v>
      </c>
      <c r="I2099" t="s">
        <v>372</v>
      </c>
      <c r="J2099" t="s">
        <v>370</v>
      </c>
      <c r="K2099" t="b">
        <v>0</v>
      </c>
      <c r="L2099">
        <v>2000</v>
      </c>
      <c r="M2099">
        <v>2537307580</v>
      </c>
      <c r="N2099">
        <v>12705350097</v>
      </c>
      <c r="O2099" t="b">
        <v>1</v>
      </c>
      <c r="P2099">
        <v>-1</v>
      </c>
      <c r="Q2099" t="str" cm="1">
        <f t="array" ref="Q2099">_xlfn.IFS(Table1[[#This Row],[Wealthier_Winner]]=-1,"Wealthier Nation Loses",Table1[[#This Row],[Wealthier_Winner]]=0,"Tie",Table1[[#This Row],[Wealthier_Winner]]=1,"Wealthier Nation Wins")</f>
        <v>Wealthier Nation Loses</v>
      </c>
    </row>
    <row r="2100" spans="1:17" x14ac:dyDescent="0.2">
      <c r="A2100" s="1">
        <v>3556</v>
      </c>
      <c r="B2100" s="2">
        <v>36624</v>
      </c>
      <c r="C2100" s="7">
        <f>_xlfn.FLOOR.MATH(Table1[[#This Row],[year]],10)</f>
        <v>2000</v>
      </c>
      <c r="D2100" t="s">
        <v>583</v>
      </c>
      <c r="E2100" t="s">
        <v>462</v>
      </c>
      <c r="F2100">
        <v>1</v>
      </c>
      <c r="G2100">
        <v>1</v>
      </c>
      <c r="H2100" t="s">
        <v>224</v>
      </c>
      <c r="I2100" t="s">
        <v>584</v>
      </c>
      <c r="J2100" t="s">
        <v>583</v>
      </c>
      <c r="K2100" t="b">
        <v>0</v>
      </c>
      <c r="L2100">
        <v>2000</v>
      </c>
      <c r="M2100">
        <v>654212394</v>
      </c>
      <c r="N2100">
        <v>3922232164</v>
      </c>
      <c r="O2100" t="b">
        <v>1</v>
      </c>
      <c r="P2100">
        <v>0</v>
      </c>
      <c r="Q2100" t="str" cm="1">
        <f t="array" ref="Q2100">_xlfn.IFS(Table1[[#This Row],[Wealthier_Winner]]=-1,"Wealthier Nation Loses",Table1[[#This Row],[Wealthier_Winner]]=0,"Tie",Table1[[#This Row],[Wealthier_Winner]]=1,"Wealthier Nation Wins")</f>
        <v>Tie</v>
      </c>
    </row>
    <row r="2101" spans="1:17" x14ac:dyDescent="0.2">
      <c r="A2101" s="1">
        <v>3557</v>
      </c>
      <c r="B2101" s="2">
        <v>36624</v>
      </c>
      <c r="C2101" s="7">
        <f>_xlfn.FLOOR.MATH(Table1[[#This Row],[year]],10)</f>
        <v>2000</v>
      </c>
      <c r="D2101" t="s">
        <v>320</v>
      </c>
      <c r="E2101" t="s">
        <v>63</v>
      </c>
      <c r="F2101">
        <v>0</v>
      </c>
      <c r="G2101">
        <v>1</v>
      </c>
      <c r="H2101" t="s">
        <v>224</v>
      </c>
      <c r="I2101" t="s">
        <v>585</v>
      </c>
      <c r="J2101" t="s">
        <v>320</v>
      </c>
      <c r="K2101" t="b">
        <v>0</v>
      </c>
      <c r="L2101">
        <v>2000</v>
      </c>
      <c r="M2101">
        <v>13371767081</v>
      </c>
      <c r="N2101">
        <v>4982850662</v>
      </c>
      <c r="O2101" t="b">
        <v>1</v>
      </c>
      <c r="P2101">
        <v>-1</v>
      </c>
      <c r="Q2101" t="str" cm="1">
        <f t="array" ref="Q2101">_xlfn.IFS(Table1[[#This Row],[Wealthier_Winner]]=-1,"Wealthier Nation Loses",Table1[[#This Row],[Wealthier_Winner]]=0,"Tie",Table1[[#This Row],[Wealthier_Winner]]=1,"Wealthier Nation Wins")</f>
        <v>Wealthier Nation Loses</v>
      </c>
    </row>
    <row r="2102" spans="1:17" x14ac:dyDescent="0.2">
      <c r="A2102" s="1">
        <v>3558</v>
      </c>
      <c r="B2102" s="2">
        <v>36624</v>
      </c>
      <c r="C2102" s="7">
        <f>_xlfn.FLOOR.MATH(Table1[[#This Row],[year]],10)</f>
        <v>2000</v>
      </c>
      <c r="D2102" t="s">
        <v>357</v>
      </c>
      <c r="E2102" t="s">
        <v>305</v>
      </c>
      <c r="F2102">
        <v>4</v>
      </c>
      <c r="G2102">
        <v>4</v>
      </c>
      <c r="H2102" t="s">
        <v>224</v>
      </c>
      <c r="I2102" t="s">
        <v>358</v>
      </c>
      <c r="J2102" t="s">
        <v>357</v>
      </c>
      <c r="K2102" t="b">
        <v>0</v>
      </c>
      <c r="L2102">
        <v>2000</v>
      </c>
      <c r="M2102">
        <v>6193246837</v>
      </c>
      <c r="N2102">
        <v>4367458866</v>
      </c>
      <c r="O2102" t="b">
        <v>0</v>
      </c>
      <c r="P2102">
        <v>0</v>
      </c>
      <c r="Q2102" t="str" cm="1">
        <f t="array" ref="Q2102">_xlfn.IFS(Table1[[#This Row],[Wealthier_Winner]]=-1,"Wealthier Nation Loses",Table1[[#This Row],[Wealthier_Winner]]=0,"Tie",Table1[[#This Row],[Wealthier_Winner]]=1,"Wealthier Nation Wins")</f>
        <v>Tie</v>
      </c>
    </row>
    <row r="2103" spans="1:17" x14ac:dyDescent="0.2">
      <c r="A2103" s="1">
        <v>3559</v>
      </c>
      <c r="B2103" s="2">
        <v>36625</v>
      </c>
      <c r="C2103" s="7">
        <f>_xlfn.FLOOR.MATH(Table1[[#This Row],[year]],10)</f>
        <v>2000</v>
      </c>
      <c r="D2103" t="s">
        <v>310</v>
      </c>
      <c r="E2103" t="s">
        <v>54</v>
      </c>
      <c r="F2103">
        <v>1</v>
      </c>
      <c r="G2103">
        <v>1</v>
      </c>
      <c r="H2103" t="s">
        <v>224</v>
      </c>
      <c r="I2103" t="s">
        <v>311</v>
      </c>
      <c r="J2103" t="s">
        <v>310</v>
      </c>
      <c r="K2103" t="b">
        <v>0</v>
      </c>
      <c r="L2103">
        <v>2000</v>
      </c>
      <c r="M2103">
        <v>3519991440</v>
      </c>
      <c r="N2103">
        <v>6013185003</v>
      </c>
      <c r="O2103" t="b">
        <v>0</v>
      </c>
      <c r="P2103">
        <v>0</v>
      </c>
      <c r="Q2103" t="str" cm="1">
        <f t="array" ref="Q2103">_xlfn.IFS(Table1[[#This Row],[Wealthier_Winner]]=-1,"Wealthier Nation Loses",Table1[[#This Row],[Wealthier_Winner]]=0,"Tie",Table1[[#This Row],[Wealthier_Winner]]=1,"Wealthier Nation Wins")</f>
        <v>Tie</v>
      </c>
    </row>
    <row r="2104" spans="1:17" x14ac:dyDescent="0.2">
      <c r="A2104" s="1">
        <v>3561</v>
      </c>
      <c r="B2104" s="2">
        <v>36625</v>
      </c>
      <c r="C2104" s="7">
        <f>_xlfn.FLOOR.MATH(Table1[[#This Row],[year]],10)</f>
        <v>2000</v>
      </c>
      <c r="D2104" t="s">
        <v>586</v>
      </c>
      <c r="E2104" t="s">
        <v>378</v>
      </c>
      <c r="F2104">
        <v>0</v>
      </c>
      <c r="G2104">
        <v>1</v>
      </c>
      <c r="H2104" t="s">
        <v>224</v>
      </c>
      <c r="I2104" t="s">
        <v>587</v>
      </c>
      <c r="J2104" t="s">
        <v>586</v>
      </c>
      <c r="K2104" t="b">
        <v>0</v>
      </c>
      <c r="L2104">
        <v>2000</v>
      </c>
      <c r="M2104">
        <v>1388506771</v>
      </c>
      <c r="N2104">
        <v>874000000</v>
      </c>
      <c r="O2104" t="b">
        <v>0</v>
      </c>
      <c r="P2104">
        <v>-1</v>
      </c>
      <c r="Q2104" t="str" cm="1">
        <f t="array" ref="Q2104">_xlfn.IFS(Table1[[#This Row],[Wealthier_Winner]]=-1,"Wealthier Nation Loses",Table1[[#This Row],[Wealthier_Winner]]=0,"Tie",Table1[[#This Row],[Wealthier_Winner]]=1,"Wealthier Nation Wins")</f>
        <v>Wealthier Nation Loses</v>
      </c>
    </row>
    <row r="2105" spans="1:17" x14ac:dyDescent="0.2">
      <c r="A2105" s="1">
        <v>3563</v>
      </c>
      <c r="B2105" s="2">
        <v>36625</v>
      </c>
      <c r="C2105" s="7">
        <f>_xlfn.FLOOR.MATH(Table1[[#This Row],[year]],10)</f>
        <v>2000</v>
      </c>
      <c r="D2105" t="s">
        <v>588</v>
      </c>
      <c r="E2105" t="s">
        <v>43</v>
      </c>
      <c r="F2105">
        <v>0</v>
      </c>
      <c r="G2105">
        <v>0</v>
      </c>
      <c r="H2105" t="s">
        <v>224</v>
      </c>
      <c r="I2105" t="s">
        <v>589</v>
      </c>
      <c r="J2105" t="s">
        <v>588</v>
      </c>
      <c r="K2105" t="b">
        <v>0</v>
      </c>
      <c r="L2105">
        <v>2000</v>
      </c>
      <c r="M2105">
        <v>706370815</v>
      </c>
      <c r="N2105">
        <v>69171451627</v>
      </c>
      <c r="O2105" t="b">
        <v>1</v>
      </c>
      <c r="P2105">
        <v>0</v>
      </c>
      <c r="Q2105" t="str" cm="1">
        <f t="array" ref="Q2105">_xlfn.IFS(Table1[[#This Row],[Wealthier_Winner]]=-1,"Wealthier Nation Loses",Table1[[#This Row],[Wealthier_Winner]]=0,"Tie",Table1[[#This Row],[Wealthier_Winner]]=1,"Wealthier Nation Wins")</f>
        <v>Tie</v>
      </c>
    </row>
    <row r="2106" spans="1:17" x14ac:dyDescent="0.2">
      <c r="A2106" s="1">
        <v>3564</v>
      </c>
      <c r="B2106" s="2">
        <v>36625</v>
      </c>
      <c r="C2106" s="7">
        <f>_xlfn.FLOOR.MATH(Table1[[#This Row],[year]],10)</f>
        <v>2000</v>
      </c>
      <c r="D2106" t="s">
        <v>238</v>
      </c>
      <c r="E2106" t="s">
        <v>345</v>
      </c>
      <c r="F2106">
        <v>2</v>
      </c>
      <c r="G2106">
        <v>1</v>
      </c>
      <c r="H2106" t="s">
        <v>224</v>
      </c>
      <c r="I2106" t="s">
        <v>288</v>
      </c>
      <c r="J2106" t="s">
        <v>238</v>
      </c>
      <c r="K2106" t="b">
        <v>0</v>
      </c>
      <c r="L2106">
        <v>2000</v>
      </c>
      <c r="M2106">
        <v>8242349617</v>
      </c>
      <c r="N2106">
        <v>2968370087</v>
      </c>
      <c r="O2106" t="b">
        <v>1</v>
      </c>
      <c r="P2106">
        <v>1</v>
      </c>
      <c r="Q2106" t="str" cm="1">
        <f t="array" ref="Q2106">_xlfn.IFS(Table1[[#This Row],[Wealthier_Winner]]=-1,"Wealthier Nation Loses",Table1[[#This Row],[Wealthier_Winner]]=0,"Tie",Table1[[#This Row],[Wealthier_Winner]]=1,"Wealthier Nation Wins")</f>
        <v>Wealthier Nation Wins</v>
      </c>
    </row>
    <row r="2107" spans="1:17" x14ac:dyDescent="0.2">
      <c r="A2107" s="1">
        <v>3566</v>
      </c>
      <c r="B2107" s="2">
        <v>36625</v>
      </c>
      <c r="C2107" s="7">
        <f>_xlfn.FLOOR.MATH(Table1[[#This Row],[year]],10)</f>
        <v>2000</v>
      </c>
      <c r="D2107" t="s">
        <v>307</v>
      </c>
      <c r="E2107" t="s">
        <v>50</v>
      </c>
      <c r="F2107">
        <v>0</v>
      </c>
      <c r="G2107">
        <v>2</v>
      </c>
      <c r="H2107" t="s">
        <v>224</v>
      </c>
      <c r="I2107" t="s">
        <v>308</v>
      </c>
      <c r="J2107" t="s">
        <v>307</v>
      </c>
      <c r="K2107" t="b">
        <v>0</v>
      </c>
      <c r="L2107">
        <v>2000</v>
      </c>
      <c r="M2107">
        <v>887291687</v>
      </c>
      <c r="N2107">
        <v>151752757215</v>
      </c>
      <c r="O2107" t="b">
        <v>1</v>
      </c>
      <c r="P2107">
        <v>1</v>
      </c>
      <c r="Q2107" t="str" cm="1">
        <f t="array" ref="Q2107">_xlfn.IFS(Table1[[#This Row],[Wealthier_Winner]]=-1,"Wealthier Nation Loses",Table1[[#This Row],[Wealthier_Winner]]=0,"Tie",Table1[[#This Row],[Wealthier_Winner]]=1,"Wealthier Nation Wins")</f>
        <v>Wealthier Nation Wins</v>
      </c>
    </row>
    <row r="2108" spans="1:17" x14ac:dyDescent="0.2">
      <c r="A2108" s="1">
        <v>3567</v>
      </c>
      <c r="B2108" s="2">
        <v>36625</v>
      </c>
      <c r="C2108" s="7">
        <f>_xlfn.FLOOR.MATH(Table1[[#This Row],[year]],10)</f>
        <v>2000</v>
      </c>
      <c r="D2108" t="s">
        <v>286</v>
      </c>
      <c r="E2108" t="s">
        <v>590</v>
      </c>
      <c r="F2108">
        <v>3</v>
      </c>
      <c r="G2108">
        <v>0</v>
      </c>
      <c r="H2108" t="s">
        <v>224</v>
      </c>
      <c r="I2108" t="s">
        <v>287</v>
      </c>
      <c r="J2108" t="s">
        <v>286</v>
      </c>
      <c r="K2108" t="b">
        <v>0</v>
      </c>
      <c r="L2108">
        <v>2000</v>
      </c>
      <c r="M2108">
        <v>38270954138</v>
      </c>
      <c r="N2108">
        <v>3521570875</v>
      </c>
      <c r="O2108" t="b">
        <v>1</v>
      </c>
      <c r="P2108">
        <v>1</v>
      </c>
      <c r="Q2108" t="str" cm="1">
        <f t="array" ref="Q2108">_xlfn.IFS(Table1[[#This Row],[Wealthier_Winner]]=-1,"Wealthier Nation Loses",Table1[[#This Row],[Wealthier_Winner]]=0,"Tie",Table1[[#This Row],[Wealthier_Winner]]=1,"Wealthier Nation Wins")</f>
        <v>Wealthier Nation Wins</v>
      </c>
    </row>
    <row r="2109" spans="1:17" x14ac:dyDescent="0.2">
      <c r="A2109" s="1">
        <v>3569</v>
      </c>
      <c r="B2109" s="2">
        <v>36625</v>
      </c>
      <c r="C2109" s="7">
        <f>_xlfn.FLOOR.MATH(Table1[[#This Row],[year]],10)</f>
        <v>2000</v>
      </c>
      <c r="D2109" t="s">
        <v>274</v>
      </c>
      <c r="E2109" t="s">
        <v>300</v>
      </c>
      <c r="F2109">
        <v>1</v>
      </c>
      <c r="G2109">
        <v>0</v>
      </c>
      <c r="H2109" t="s">
        <v>224</v>
      </c>
      <c r="I2109" t="s">
        <v>591</v>
      </c>
      <c r="J2109" t="s">
        <v>274</v>
      </c>
      <c r="K2109" t="b">
        <v>0</v>
      </c>
      <c r="L2109">
        <v>2000</v>
      </c>
      <c r="M2109">
        <v>12257299147</v>
      </c>
      <c r="N2109">
        <v>5930685214</v>
      </c>
      <c r="O2109" t="b">
        <v>1</v>
      </c>
      <c r="P2109">
        <v>1</v>
      </c>
      <c r="Q2109" t="str" cm="1">
        <f t="array" ref="Q2109">_xlfn.IFS(Table1[[#This Row],[Wealthier_Winner]]=-1,"Wealthier Nation Loses",Table1[[#This Row],[Wealthier_Winner]]=0,"Tie",Table1[[#This Row],[Wealthier_Winner]]=1,"Wealthier Nation Wins")</f>
        <v>Wealthier Nation Wins</v>
      </c>
    </row>
    <row r="2110" spans="1:17" x14ac:dyDescent="0.2">
      <c r="A2110" s="1">
        <v>3570</v>
      </c>
      <c r="B2110" s="2">
        <v>36625</v>
      </c>
      <c r="C2110" s="7">
        <f>_xlfn.FLOOR.MATH(Table1[[#This Row],[year]],10)</f>
        <v>2000</v>
      </c>
      <c r="D2110" t="s">
        <v>463</v>
      </c>
      <c r="E2110" t="s">
        <v>60</v>
      </c>
      <c r="F2110">
        <v>0</v>
      </c>
      <c r="G2110">
        <v>1</v>
      </c>
      <c r="H2110" t="s">
        <v>224</v>
      </c>
      <c r="I2110" t="s">
        <v>592</v>
      </c>
      <c r="J2110" t="s">
        <v>472</v>
      </c>
      <c r="K2110" t="b">
        <v>0</v>
      </c>
      <c r="L2110">
        <v>2000</v>
      </c>
      <c r="M2110">
        <v>1697161557</v>
      </c>
      <c r="N2110">
        <v>9129594970</v>
      </c>
      <c r="O2110" t="b">
        <v>1</v>
      </c>
      <c r="P2110">
        <v>1</v>
      </c>
      <c r="Q2110" t="str" cm="1">
        <f t="array" ref="Q2110">_xlfn.IFS(Table1[[#This Row],[Wealthier_Winner]]=-1,"Wealthier Nation Loses",Table1[[#This Row],[Wealthier_Winner]]=0,"Tie",Table1[[#This Row],[Wealthier_Winner]]=1,"Wealthier Nation Wins")</f>
        <v>Wealthier Nation Wins</v>
      </c>
    </row>
    <row r="2111" spans="1:17" x14ac:dyDescent="0.2">
      <c r="A2111" s="1">
        <v>3571</v>
      </c>
      <c r="B2111" s="2">
        <v>36625</v>
      </c>
      <c r="C2111" s="7">
        <f>_xlfn.FLOOR.MATH(Table1[[#This Row],[year]],10)</f>
        <v>2000</v>
      </c>
      <c r="D2111" t="s">
        <v>212</v>
      </c>
      <c r="E2111" t="s">
        <v>323</v>
      </c>
      <c r="F2111">
        <v>2</v>
      </c>
      <c r="G2111">
        <v>0</v>
      </c>
      <c r="H2111" t="s">
        <v>224</v>
      </c>
      <c r="I2111" t="s">
        <v>322</v>
      </c>
      <c r="J2111" t="s">
        <v>212</v>
      </c>
      <c r="K2111" t="b">
        <v>0</v>
      </c>
      <c r="L2111">
        <v>2000</v>
      </c>
      <c r="M2111">
        <v>99838543960</v>
      </c>
      <c r="N2111">
        <v>4726108622</v>
      </c>
      <c r="O2111" t="b">
        <v>1</v>
      </c>
      <c r="P2111">
        <v>1</v>
      </c>
      <c r="Q2111" t="str" cm="1">
        <f t="array" ref="Q2111">_xlfn.IFS(Table1[[#This Row],[Wealthier_Winner]]=-1,"Wealthier Nation Loses",Table1[[#This Row],[Wealthier_Winner]]=0,"Tie",Table1[[#This Row],[Wealthier_Winner]]=1,"Wealthier Nation Wins")</f>
        <v>Wealthier Nation Wins</v>
      </c>
    </row>
    <row r="2112" spans="1:17" x14ac:dyDescent="0.2">
      <c r="A2112" s="1">
        <v>3572</v>
      </c>
      <c r="B2112" s="2">
        <v>36632</v>
      </c>
      <c r="C2112" s="7">
        <f>_xlfn.FLOOR.MATH(Table1[[#This Row],[year]],10)</f>
        <v>2000</v>
      </c>
      <c r="D2112" t="s">
        <v>449</v>
      </c>
      <c r="E2112" t="s">
        <v>266</v>
      </c>
      <c r="F2112">
        <v>0</v>
      </c>
      <c r="G2112">
        <v>0</v>
      </c>
      <c r="H2112" t="s">
        <v>224</v>
      </c>
      <c r="I2112" t="s">
        <v>450</v>
      </c>
      <c r="J2112" t="s">
        <v>449</v>
      </c>
      <c r="K2112" t="b">
        <v>0</v>
      </c>
      <c r="L2112">
        <v>2000</v>
      </c>
      <c r="M2112">
        <v>901003703</v>
      </c>
      <c r="N2112">
        <v>3480219000</v>
      </c>
      <c r="O2112" t="b">
        <v>1</v>
      </c>
      <c r="P2112">
        <v>0</v>
      </c>
      <c r="Q2112" t="str" cm="1">
        <f t="array" ref="Q2112">_xlfn.IFS(Table1[[#This Row],[Wealthier_Winner]]=-1,"Wealthier Nation Loses",Table1[[#This Row],[Wealthier_Winner]]=0,"Tie",Table1[[#This Row],[Wealthier_Winner]]=1,"Wealthier Nation Wins")</f>
        <v>Tie</v>
      </c>
    </row>
    <row r="2113" spans="1:17" x14ac:dyDescent="0.2">
      <c r="A2113" s="1">
        <v>3574</v>
      </c>
      <c r="B2113" s="2">
        <v>36632</v>
      </c>
      <c r="C2113" s="7">
        <f>_xlfn.FLOOR.MATH(Table1[[#This Row],[year]],10)</f>
        <v>2000</v>
      </c>
      <c r="D2113" t="s">
        <v>443</v>
      </c>
      <c r="E2113" t="s">
        <v>497</v>
      </c>
      <c r="F2113">
        <v>4</v>
      </c>
      <c r="G2113">
        <v>0</v>
      </c>
      <c r="H2113" t="s">
        <v>224</v>
      </c>
      <c r="I2113" t="s">
        <v>444</v>
      </c>
      <c r="J2113" t="s">
        <v>443</v>
      </c>
      <c r="K2113" t="b">
        <v>0</v>
      </c>
      <c r="L2113">
        <v>2000</v>
      </c>
      <c r="M2113">
        <v>3059500000</v>
      </c>
      <c r="N2113">
        <v>1873452513</v>
      </c>
      <c r="O2113" t="b">
        <v>0</v>
      </c>
      <c r="P2113">
        <v>1</v>
      </c>
      <c r="Q2113" t="str" cm="1">
        <f t="array" ref="Q2113">_xlfn.IFS(Table1[[#This Row],[Wealthier_Winner]]=-1,"Wealthier Nation Loses",Table1[[#This Row],[Wealthier_Winner]]=0,"Tie",Table1[[#This Row],[Wealthier_Winner]]=1,"Wealthier Nation Wins")</f>
        <v>Wealthier Nation Wins</v>
      </c>
    </row>
    <row r="2114" spans="1:17" x14ac:dyDescent="0.2">
      <c r="A2114" s="1">
        <v>3575</v>
      </c>
      <c r="B2114" s="2">
        <v>36632</v>
      </c>
      <c r="C2114" s="7">
        <f>_xlfn.FLOOR.MATH(Table1[[#This Row],[year]],10)</f>
        <v>2000</v>
      </c>
      <c r="D2114" t="s">
        <v>511</v>
      </c>
      <c r="E2114" t="s">
        <v>69</v>
      </c>
      <c r="F2114">
        <v>1</v>
      </c>
      <c r="G2114">
        <v>3</v>
      </c>
      <c r="H2114" t="s">
        <v>224</v>
      </c>
      <c r="I2114" t="s">
        <v>593</v>
      </c>
      <c r="J2114" t="s">
        <v>511</v>
      </c>
      <c r="K2114" t="b">
        <v>0</v>
      </c>
      <c r="L2114">
        <v>2000</v>
      </c>
      <c r="M2114">
        <v>1138138100</v>
      </c>
      <c r="N2114">
        <v>11784927700</v>
      </c>
      <c r="O2114" t="b">
        <v>1</v>
      </c>
      <c r="P2114">
        <v>1</v>
      </c>
      <c r="Q2114" t="str" cm="1">
        <f t="array" ref="Q2114">_xlfn.IFS(Table1[[#This Row],[Wealthier_Winner]]=-1,"Wealthier Nation Loses",Table1[[#This Row],[Wealthier_Winner]]=0,"Tie",Table1[[#This Row],[Wealthier_Winner]]=1,"Wealthier Nation Wins")</f>
        <v>Wealthier Nation Wins</v>
      </c>
    </row>
    <row r="2115" spans="1:17" x14ac:dyDescent="0.2">
      <c r="A2115" s="1">
        <v>3576</v>
      </c>
      <c r="B2115" s="2">
        <v>36632</v>
      </c>
      <c r="C2115" s="7">
        <f>_xlfn.FLOOR.MATH(Table1[[#This Row],[year]],10)</f>
        <v>2000</v>
      </c>
      <c r="D2115" t="s">
        <v>496</v>
      </c>
      <c r="E2115" t="s">
        <v>59</v>
      </c>
      <c r="F2115">
        <v>0</v>
      </c>
      <c r="G2115">
        <v>1</v>
      </c>
      <c r="H2115" t="s">
        <v>224</v>
      </c>
      <c r="I2115" t="s">
        <v>416</v>
      </c>
      <c r="J2115" t="s">
        <v>496</v>
      </c>
      <c r="K2115" t="b">
        <v>0</v>
      </c>
      <c r="L2115">
        <v>2000</v>
      </c>
      <c r="M2115">
        <v>24305780628</v>
      </c>
      <c r="N2115">
        <v>8154342116</v>
      </c>
      <c r="O2115" t="b">
        <v>1</v>
      </c>
      <c r="P2115">
        <v>-1</v>
      </c>
      <c r="Q2115" t="str" cm="1">
        <f t="array" ref="Q2115">_xlfn.IFS(Table1[[#This Row],[Wealthier_Winner]]=-1,"Wealthier Nation Loses",Table1[[#This Row],[Wealthier_Winner]]=0,"Tie",Table1[[#This Row],[Wealthier_Winner]]=1,"Wealthier Nation Wins")</f>
        <v>Wealthier Nation Loses</v>
      </c>
    </row>
    <row r="2116" spans="1:17" x14ac:dyDescent="0.2">
      <c r="A2116" s="1">
        <v>3577</v>
      </c>
      <c r="B2116" s="2">
        <v>36632</v>
      </c>
      <c r="C2116" s="7">
        <f>_xlfn.FLOOR.MATH(Table1[[#This Row],[year]],10)</f>
        <v>2000</v>
      </c>
      <c r="D2116" t="s">
        <v>453</v>
      </c>
      <c r="E2116" t="s">
        <v>65</v>
      </c>
      <c r="F2116">
        <v>0</v>
      </c>
      <c r="G2116">
        <v>1</v>
      </c>
      <c r="H2116" t="s">
        <v>224</v>
      </c>
      <c r="I2116" t="s">
        <v>507</v>
      </c>
      <c r="J2116" t="s">
        <v>453</v>
      </c>
      <c r="K2116" t="b">
        <v>0</v>
      </c>
      <c r="L2116">
        <v>2000</v>
      </c>
      <c r="M2116">
        <v>5109587049</v>
      </c>
      <c r="N2116">
        <v>7186638029</v>
      </c>
      <c r="O2116" t="b">
        <v>0</v>
      </c>
      <c r="P2116">
        <v>1</v>
      </c>
      <c r="Q2116" t="str" cm="1">
        <f t="array" ref="Q2116">_xlfn.IFS(Table1[[#This Row],[Wealthier_Winner]]=-1,"Wealthier Nation Loses",Table1[[#This Row],[Wealthier_Winner]]=0,"Tie",Table1[[#This Row],[Wealthier_Winner]]=1,"Wealthier Nation Wins")</f>
        <v>Wealthier Nation Wins</v>
      </c>
    </row>
    <row r="2117" spans="1:17" x14ac:dyDescent="0.2">
      <c r="A2117" s="1">
        <v>3579</v>
      </c>
      <c r="B2117" s="2">
        <v>36632</v>
      </c>
      <c r="C2117" s="7">
        <f>_xlfn.FLOOR.MATH(Table1[[#This Row],[year]],10)</f>
        <v>2000</v>
      </c>
      <c r="D2117" t="s">
        <v>252</v>
      </c>
      <c r="E2117" t="s">
        <v>517</v>
      </c>
      <c r="F2117">
        <v>0</v>
      </c>
      <c r="G2117">
        <v>0</v>
      </c>
      <c r="H2117" t="s">
        <v>224</v>
      </c>
      <c r="I2117" t="s">
        <v>255</v>
      </c>
      <c r="J2117" t="s">
        <v>252</v>
      </c>
      <c r="K2117" t="b">
        <v>0</v>
      </c>
      <c r="L2117">
        <v>2000</v>
      </c>
      <c r="M2117">
        <v>947671969</v>
      </c>
      <c r="N2117">
        <v>30565400000</v>
      </c>
      <c r="O2117" t="b">
        <v>1</v>
      </c>
      <c r="P2117">
        <v>0</v>
      </c>
      <c r="Q2117" t="str" cm="1">
        <f t="array" ref="Q2117">_xlfn.IFS(Table1[[#This Row],[Wealthier_Winner]]=-1,"Wealthier Nation Loses",Table1[[#This Row],[Wealthier_Winner]]=0,"Tie",Table1[[#This Row],[Wealthier_Winner]]=1,"Wealthier Nation Wins")</f>
        <v>Tie</v>
      </c>
    </row>
    <row r="2118" spans="1:17" x14ac:dyDescent="0.2">
      <c r="A2118" s="1">
        <v>3582</v>
      </c>
      <c r="B2118" s="2">
        <v>36638</v>
      </c>
      <c r="C2118" s="7">
        <f>_xlfn.FLOOR.MATH(Table1[[#This Row],[year]],10)</f>
        <v>2000</v>
      </c>
      <c r="D2118" t="s">
        <v>433</v>
      </c>
      <c r="E2118" t="s">
        <v>410</v>
      </c>
      <c r="F2118">
        <v>1</v>
      </c>
      <c r="G2118">
        <v>0</v>
      </c>
      <c r="H2118" t="s">
        <v>224</v>
      </c>
      <c r="I2118" t="s">
        <v>436</v>
      </c>
      <c r="J2118" t="s">
        <v>433</v>
      </c>
      <c r="K2118" t="b">
        <v>0</v>
      </c>
      <c r="L2118">
        <v>2000</v>
      </c>
      <c r="M2118">
        <v>5080483628</v>
      </c>
      <c r="N2118">
        <v>4629247203</v>
      </c>
      <c r="O2118" t="b">
        <v>0</v>
      </c>
      <c r="P2118">
        <v>1</v>
      </c>
      <c r="Q2118" t="str" cm="1">
        <f t="array" ref="Q2118">_xlfn.IFS(Table1[[#This Row],[Wealthier_Winner]]=-1,"Wealthier Nation Loses",Table1[[#This Row],[Wealthier_Winner]]=0,"Tie",Table1[[#This Row],[Wealthier_Winner]]=1,"Wealthier Nation Wins")</f>
        <v>Wealthier Nation Wins</v>
      </c>
    </row>
    <row r="2119" spans="1:17" x14ac:dyDescent="0.2">
      <c r="A2119" s="1">
        <v>3583</v>
      </c>
      <c r="B2119" s="2">
        <v>36638</v>
      </c>
      <c r="C2119" s="7">
        <f>_xlfn.FLOOR.MATH(Table1[[#This Row],[year]],10)</f>
        <v>2000</v>
      </c>
      <c r="D2119" t="s">
        <v>314</v>
      </c>
      <c r="E2119" t="s">
        <v>370</v>
      </c>
      <c r="F2119">
        <v>0</v>
      </c>
      <c r="G2119">
        <v>0</v>
      </c>
      <c r="H2119" t="s">
        <v>224</v>
      </c>
      <c r="I2119" t="s">
        <v>315</v>
      </c>
      <c r="J2119" t="s">
        <v>314</v>
      </c>
      <c r="K2119" t="b">
        <v>0</v>
      </c>
      <c r="L2119">
        <v>2000</v>
      </c>
      <c r="M2119">
        <v>12705350097</v>
      </c>
      <c r="N2119">
        <v>2537307580</v>
      </c>
      <c r="O2119" t="b">
        <v>1</v>
      </c>
      <c r="P2119">
        <v>0</v>
      </c>
      <c r="Q2119" t="str" cm="1">
        <f t="array" ref="Q2119">_xlfn.IFS(Table1[[#This Row],[Wealthier_Winner]]=-1,"Wealthier Nation Loses",Table1[[#This Row],[Wealthier_Winner]]=0,"Tie",Table1[[#This Row],[Wealthier_Winner]]=1,"Wealthier Nation Wins")</f>
        <v>Tie</v>
      </c>
    </row>
    <row r="2120" spans="1:17" x14ac:dyDescent="0.2">
      <c r="A2120" s="1">
        <v>3585</v>
      </c>
      <c r="B2120" s="2">
        <v>36638</v>
      </c>
      <c r="C2120" s="7">
        <f>_xlfn.FLOOR.MATH(Table1[[#This Row],[year]],10)</f>
        <v>2000</v>
      </c>
      <c r="D2120" t="s">
        <v>462</v>
      </c>
      <c r="E2120" t="s">
        <v>583</v>
      </c>
      <c r="F2120">
        <v>3</v>
      </c>
      <c r="G2120">
        <v>0</v>
      </c>
      <c r="H2120" t="s">
        <v>224</v>
      </c>
      <c r="I2120" t="s">
        <v>465</v>
      </c>
      <c r="J2120" t="s">
        <v>462</v>
      </c>
      <c r="K2120" t="b">
        <v>0</v>
      </c>
      <c r="L2120">
        <v>2000</v>
      </c>
      <c r="M2120">
        <v>3922232164</v>
      </c>
      <c r="N2120">
        <v>654212394</v>
      </c>
      <c r="O2120" t="b">
        <v>1</v>
      </c>
      <c r="P2120">
        <v>1</v>
      </c>
      <c r="Q2120" t="str" cm="1">
        <f t="array" ref="Q2120">_xlfn.IFS(Table1[[#This Row],[Wealthier_Winner]]=-1,"Wealthier Nation Loses",Table1[[#This Row],[Wealthier_Winner]]=0,"Tie",Table1[[#This Row],[Wealthier_Winner]]=1,"Wealthier Nation Wins")</f>
        <v>Wealthier Nation Wins</v>
      </c>
    </row>
    <row r="2121" spans="1:17" x14ac:dyDescent="0.2">
      <c r="A2121" s="1">
        <v>3586</v>
      </c>
      <c r="B2121" s="2">
        <v>36638</v>
      </c>
      <c r="C2121" s="7">
        <f>_xlfn.FLOOR.MATH(Table1[[#This Row],[year]],10)</f>
        <v>2000</v>
      </c>
      <c r="D2121" t="s">
        <v>43</v>
      </c>
      <c r="E2121" t="s">
        <v>588</v>
      </c>
      <c r="F2121">
        <v>4</v>
      </c>
      <c r="G2121">
        <v>0</v>
      </c>
      <c r="H2121" t="s">
        <v>224</v>
      </c>
      <c r="I2121" t="s">
        <v>229</v>
      </c>
      <c r="J2121" t="s">
        <v>43</v>
      </c>
      <c r="K2121" t="b">
        <v>0</v>
      </c>
      <c r="L2121">
        <v>2000</v>
      </c>
      <c r="M2121">
        <v>69171451627</v>
      </c>
      <c r="N2121">
        <v>706370815</v>
      </c>
      <c r="O2121" t="b">
        <v>1</v>
      </c>
      <c r="P2121">
        <v>1</v>
      </c>
      <c r="Q2121" t="str" cm="1">
        <f t="array" ref="Q2121">_xlfn.IFS(Table1[[#This Row],[Wealthier_Winner]]=-1,"Wealthier Nation Loses",Table1[[#This Row],[Wealthier_Winner]]=0,"Tie",Table1[[#This Row],[Wealthier_Winner]]=1,"Wealthier Nation Wins")</f>
        <v>Wealthier Nation Wins</v>
      </c>
    </row>
    <row r="2122" spans="1:17" x14ac:dyDescent="0.2">
      <c r="A2122" s="1">
        <v>3588</v>
      </c>
      <c r="B2122" s="2">
        <v>36638</v>
      </c>
      <c r="C2122" s="7">
        <f>_xlfn.FLOOR.MATH(Table1[[#This Row],[year]],10)</f>
        <v>2000</v>
      </c>
      <c r="D2122" t="s">
        <v>50</v>
      </c>
      <c r="E2122" t="s">
        <v>307</v>
      </c>
      <c r="F2122">
        <v>1</v>
      </c>
      <c r="G2122">
        <v>0</v>
      </c>
      <c r="H2122" t="s">
        <v>224</v>
      </c>
      <c r="I2122" t="s">
        <v>165</v>
      </c>
      <c r="J2122" t="s">
        <v>50</v>
      </c>
      <c r="K2122" t="b">
        <v>0</v>
      </c>
      <c r="L2122">
        <v>2000</v>
      </c>
      <c r="M2122">
        <v>151752757215</v>
      </c>
      <c r="N2122">
        <v>887291687</v>
      </c>
      <c r="O2122" t="b">
        <v>1</v>
      </c>
      <c r="P2122">
        <v>1</v>
      </c>
      <c r="Q2122" t="str" cm="1">
        <f t="array" ref="Q2122">_xlfn.IFS(Table1[[#This Row],[Wealthier_Winner]]=-1,"Wealthier Nation Loses",Table1[[#This Row],[Wealthier_Winner]]=0,"Tie",Table1[[#This Row],[Wealthier_Winner]]=1,"Wealthier Nation Wins")</f>
        <v>Wealthier Nation Wins</v>
      </c>
    </row>
    <row r="2123" spans="1:17" x14ac:dyDescent="0.2">
      <c r="A2123" s="1">
        <v>3590</v>
      </c>
      <c r="B2123" s="2">
        <v>36638</v>
      </c>
      <c r="C2123" s="7">
        <f>_xlfn.FLOOR.MATH(Table1[[#This Row],[year]],10)</f>
        <v>2000</v>
      </c>
      <c r="D2123" t="s">
        <v>53</v>
      </c>
      <c r="E2123" t="s">
        <v>346</v>
      </c>
      <c r="F2123">
        <v>3</v>
      </c>
      <c r="G2123">
        <v>0</v>
      </c>
      <c r="H2123" t="s">
        <v>224</v>
      </c>
      <c r="I2123" t="s">
        <v>284</v>
      </c>
      <c r="J2123" t="s">
        <v>53</v>
      </c>
      <c r="K2123" t="b">
        <v>0</v>
      </c>
      <c r="L2123">
        <v>2000</v>
      </c>
      <c r="M2123">
        <v>21473528160</v>
      </c>
      <c r="N2123">
        <v>1779520886</v>
      </c>
      <c r="O2123" t="b">
        <v>1</v>
      </c>
      <c r="P2123">
        <v>1</v>
      </c>
      <c r="Q2123" t="str" cm="1">
        <f t="array" ref="Q2123">_xlfn.IFS(Table1[[#This Row],[Wealthier_Winner]]=-1,"Wealthier Nation Loses",Table1[[#This Row],[Wealthier_Winner]]=0,"Tie",Table1[[#This Row],[Wealthier_Winner]]=1,"Wealthier Nation Wins")</f>
        <v>Wealthier Nation Wins</v>
      </c>
    </row>
    <row r="2124" spans="1:17" x14ac:dyDescent="0.2">
      <c r="A2124" s="1">
        <v>3591</v>
      </c>
      <c r="B2124" s="2">
        <v>36638</v>
      </c>
      <c r="C2124" s="7">
        <f>_xlfn.FLOOR.MATH(Table1[[#This Row],[year]],10)</f>
        <v>2000</v>
      </c>
      <c r="D2124" t="s">
        <v>273</v>
      </c>
      <c r="E2124" t="s">
        <v>469</v>
      </c>
      <c r="F2124">
        <v>1</v>
      </c>
      <c r="G2124">
        <v>0</v>
      </c>
      <c r="H2124" t="s">
        <v>224</v>
      </c>
      <c r="I2124" t="s">
        <v>330</v>
      </c>
      <c r="J2124" t="s">
        <v>273</v>
      </c>
      <c r="K2124" t="b">
        <v>0</v>
      </c>
      <c r="L2124">
        <v>2000</v>
      </c>
      <c r="M2124">
        <v>3600632111</v>
      </c>
      <c r="N2124">
        <v>5788329609</v>
      </c>
      <c r="O2124" t="b">
        <v>0</v>
      </c>
      <c r="P2124">
        <v>-1</v>
      </c>
      <c r="Q2124" t="str" cm="1">
        <f t="array" ref="Q2124">_xlfn.IFS(Table1[[#This Row],[Wealthier_Winner]]=-1,"Wealthier Nation Loses",Table1[[#This Row],[Wealthier_Winner]]=0,"Tie",Table1[[#This Row],[Wealthier_Winner]]=1,"Wealthier Nation Wins")</f>
        <v>Wealthier Nation Loses</v>
      </c>
    </row>
    <row r="2125" spans="1:17" x14ac:dyDescent="0.2">
      <c r="A2125" s="1">
        <v>3592</v>
      </c>
      <c r="B2125" s="2">
        <v>36639</v>
      </c>
      <c r="C2125" s="7">
        <f>_xlfn.FLOOR.MATH(Table1[[#This Row],[year]],10)</f>
        <v>2000</v>
      </c>
      <c r="D2125" t="s">
        <v>60</v>
      </c>
      <c r="E2125" t="s">
        <v>463</v>
      </c>
      <c r="F2125">
        <v>7</v>
      </c>
      <c r="G2125">
        <v>1</v>
      </c>
      <c r="H2125" t="s">
        <v>224</v>
      </c>
      <c r="I2125" t="s">
        <v>396</v>
      </c>
      <c r="J2125" t="s">
        <v>60</v>
      </c>
      <c r="K2125" t="b">
        <v>0</v>
      </c>
      <c r="L2125">
        <v>2000</v>
      </c>
      <c r="M2125">
        <v>9129594970</v>
      </c>
      <c r="N2125">
        <v>1697161557</v>
      </c>
      <c r="O2125" t="b">
        <v>1</v>
      </c>
      <c r="P2125">
        <v>1</v>
      </c>
      <c r="Q2125" t="str" cm="1">
        <f t="array" ref="Q2125">_xlfn.IFS(Table1[[#This Row],[Wealthier_Winner]]=-1,"Wealthier Nation Loses",Table1[[#This Row],[Wealthier_Winner]]=0,"Tie",Table1[[#This Row],[Wealthier_Winner]]=1,"Wealthier Nation Wins")</f>
        <v>Wealthier Nation Wins</v>
      </c>
    </row>
    <row r="2126" spans="1:17" x14ac:dyDescent="0.2">
      <c r="A2126" s="1">
        <v>3593</v>
      </c>
      <c r="B2126" s="2">
        <v>36639</v>
      </c>
      <c r="C2126" s="7">
        <f>_xlfn.FLOOR.MATH(Table1[[#This Row],[year]],10)</f>
        <v>2000</v>
      </c>
      <c r="D2126" t="s">
        <v>266</v>
      </c>
      <c r="E2126" t="s">
        <v>449</v>
      </c>
      <c r="F2126">
        <v>1</v>
      </c>
      <c r="G2126">
        <v>1</v>
      </c>
      <c r="H2126" t="s">
        <v>224</v>
      </c>
      <c r="I2126" t="s">
        <v>271</v>
      </c>
      <c r="J2126" t="s">
        <v>266</v>
      </c>
      <c r="K2126" t="b">
        <v>0</v>
      </c>
      <c r="L2126">
        <v>2000</v>
      </c>
      <c r="M2126">
        <v>3480219000</v>
      </c>
      <c r="N2126">
        <v>901003703</v>
      </c>
      <c r="O2126" t="b">
        <v>1</v>
      </c>
      <c r="P2126">
        <v>0</v>
      </c>
      <c r="Q2126" t="str" cm="1">
        <f t="array" ref="Q2126">_xlfn.IFS(Table1[[#This Row],[Wealthier_Winner]]=-1,"Wealthier Nation Loses",Table1[[#This Row],[Wealthier_Winner]]=0,"Tie",Table1[[#This Row],[Wealthier_Winner]]=1,"Wealthier Nation Wins")</f>
        <v>Tie</v>
      </c>
    </row>
    <row r="2127" spans="1:17" x14ac:dyDescent="0.2">
      <c r="A2127" s="1">
        <v>3594</v>
      </c>
      <c r="B2127" s="2">
        <v>36639</v>
      </c>
      <c r="C2127" s="7">
        <f>_xlfn.FLOOR.MATH(Table1[[#This Row],[year]],10)</f>
        <v>2000</v>
      </c>
      <c r="D2127" t="s">
        <v>345</v>
      </c>
      <c r="E2127" t="s">
        <v>238</v>
      </c>
      <c r="F2127">
        <v>3</v>
      </c>
      <c r="G2127">
        <v>0</v>
      </c>
      <c r="H2127" t="s">
        <v>224</v>
      </c>
      <c r="I2127" t="s">
        <v>347</v>
      </c>
      <c r="J2127" t="s">
        <v>345</v>
      </c>
      <c r="K2127" t="b">
        <v>0</v>
      </c>
      <c r="L2127">
        <v>2000</v>
      </c>
      <c r="M2127">
        <v>2968370087</v>
      </c>
      <c r="N2127">
        <v>8242349617</v>
      </c>
      <c r="O2127" t="b">
        <v>1</v>
      </c>
      <c r="P2127">
        <v>-1</v>
      </c>
      <c r="Q2127" t="str" cm="1">
        <f t="array" ref="Q2127">_xlfn.IFS(Table1[[#This Row],[Wealthier_Winner]]=-1,"Wealthier Nation Loses",Table1[[#This Row],[Wealthier_Winner]]=0,"Tie",Table1[[#This Row],[Wealthier_Winner]]=1,"Wealthier Nation Wins")</f>
        <v>Wealthier Nation Loses</v>
      </c>
    </row>
    <row r="2128" spans="1:17" x14ac:dyDescent="0.2">
      <c r="A2128" s="1">
        <v>3598</v>
      </c>
      <c r="B2128" s="2">
        <v>36639</v>
      </c>
      <c r="C2128" s="7">
        <f>_xlfn.FLOOR.MATH(Table1[[#This Row],[year]],10)</f>
        <v>2000</v>
      </c>
      <c r="D2128" t="s">
        <v>212</v>
      </c>
      <c r="E2128" t="s">
        <v>323</v>
      </c>
      <c r="F2128">
        <v>4</v>
      </c>
      <c r="G2128">
        <v>2</v>
      </c>
      <c r="H2128" t="s">
        <v>224</v>
      </c>
      <c r="I2128" t="s">
        <v>594</v>
      </c>
      <c r="J2128" t="s">
        <v>212</v>
      </c>
      <c r="K2128" t="b">
        <v>0</v>
      </c>
      <c r="L2128">
        <v>2000</v>
      </c>
      <c r="M2128">
        <v>99838543960</v>
      </c>
      <c r="N2128">
        <v>4726108622</v>
      </c>
      <c r="O2128" t="b">
        <v>1</v>
      </c>
      <c r="P2128">
        <v>1</v>
      </c>
      <c r="Q2128" t="str" cm="1">
        <f t="array" ref="Q2128">_xlfn.IFS(Table1[[#This Row],[Wealthier_Winner]]=-1,"Wealthier Nation Loses",Table1[[#This Row],[Wealthier_Winner]]=0,"Tie",Table1[[#This Row],[Wealthier_Winner]]=1,"Wealthier Nation Wins")</f>
        <v>Wealthier Nation Wins</v>
      </c>
    </row>
    <row r="2129" spans="1:17" x14ac:dyDescent="0.2">
      <c r="A2129" s="1">
        <v>3599</v>
      </c>
      <c r="B2129" s="2">
        <v>36639</v>
      </c>
      <c r="C2129" s="7">
        <f>_xlfn.FLOOR.MATH(Table1[[#This Row],[year]],10)</f>
        <v>2000</v>
      </c>
      <c r="D2129" t="s">
        <v>63</v>
      </c>
      <c r="E2129" t="s">
        <v>320</v>
      </c>
      <c r="F2129">
        <v>3</v>
      </c>
      <c r="G2129">
        <v>2</v>
      </c>
      <c r="H2129" t="s">
        <v>224</v>
      </c>
      <c r="I2129" t="s">
        <v>226</v>
      </c>
      <c r="J2129" t="s">
        <v>63</v>
      </c>
      <c r="K2129" t="b">
        <v>0</v>
      </c>
      <c r="L2129">
        <v>2000</v>
      </c>
      <c r="M2129">
        <v>4982850662</v>
      </c>
      <c r="N2129">
        <v>13371767081</v>
      </c>
      <c r="O2129" t="b">
        <v>1</v>
      </c>
      <c r="P2129">
        <v>-1</v>
      </c>
      <c r="Q2129" t="str" cm="1">
        <f t="array" ref="Q2129">_xlfn.IFS(Table1[[#This Row],[Wealthier_Winner]]=-1,"Wealthier Nation Loses",Table1[[#This Row],[Wealthier_Winner]]=0,"Tie",Table1[[#This Row],[Wealthier_Winner]]=1,"Wealthier Nation Wins")</f>
        <v>Wealthier Nation Loses</v>
      </c>
    </row>
    <row r="2130" spans="1:17" x14ac:dyDescent="0.2">
      <c r="A2130" s="1">
        <v>3600</v>
      </c>
      <c r="B2130" s="2">
        <v>36639</v>
      </c>
      <c r="C2130" s="7">
        <f>_xlfn.FLOOR.MATH(Table1[[#This Row],[year]],10)</f>
        <v>2000</v>
      </c>
      <c r="D2130" t="s">
        <v>305</v>
      </c>
      <c r="E2130" t="s">
        <v>357</v>
      </c>
      <c r="F2130">
        <v>3</v>
      </c>
      <c r="G2130">
        <v>0</v>
      </c>
      <c r="H2130" t="s">
        <v>224</v>
      </c>
      <c r="I2130" t="s">
        <v>306</v>
      </c>
      <c r="J2130" t="s">
        <v>305</v>
      </c>
      <c r="K2130" t="b">
        <v>0</v>
      </c>
      <c r="L2130">
        <v>2000</v>
      </c>
      <c r="M2130">
        <v>4367458866</v>
      </c>
      <c r="N2130">
        <v>6193246837</v>
      </c>
      <c r="O2130" t="b">
        <v>0</v>
      </c>
      <c r="P2130">
        <v>-1</v>
      </c>
      <c r="Q2130" t="str" cm="1">
        <f t="array" ref="Q2130">_xlfn.IFS(Table1[[#This Row],[Wealthier_Winner]]=-1,"Wealthier Nation Loses",Table1[[#This Row],[Wealthier_Winner]]=0,"Tie",Table1[[#This Row],[Wealthier_Winner]]=1,"Wealthier Nation Wins")</f>
        <v>Wealthier Nation Loses</v>
      </c>
    </row>
    <row r="2131" spans="1:17" x14ac:dyDescent="0.2">
      <c r="A2131" s="1">
        <v>3602</v>
      </c>
      <c r="B2131" s="2">
        <v>36639</v>
      </c>
      <c r="C2131" s="7">
        <f>_xlfn.FLOOR.MATH(Table1[[#This Row],[year]],10)</f>
        <v>2000</v>
      </c>
      <c r="D2131" t="s">
        <v>378</v>
      </c>
      <c r="E2131" t="s">
        <v>586</v>
      </c>
      <c r="F2131">
        <v>0</v>
      </c>
      <c r="G2131">
        <v>0</v>
      </c>
      <c r="H2131" t="s">
        <v>224</v>
      </c>
      <c r="I2131" t="s">
        <v>595</v>
      </c>
      <c r="J2131" t="s">
        <v>378</v>
      </c>
      <c r="K2131" t="b">
        <v>0</v>
      </c>
      <c r="L2131">
        <v>2000</v>
      </c>
      <c r="M2131">
        <v>874000000</v>
      </c>
      <c r="N2131">
        <v>1388506771</v>
      </c>
      <c r="O2131" t="b">
        <v>0</v>
      </c>
      <c r="P2131">
        <v>0</v>
      </c>
      <c r="Q2131" t="str" cm="1">
        <f t="array" ref="Q2131">_xlfn.IFS(Table1[[#This Row],[Wealthier_Winner]]=-1,"Wealthier Nation Loses",Table1[[#This Row],[Wealthier_Winner]]=0,"Tie",Table1[[#This Row],[Wealthier_Winner]]=1,"Wealthier Nation Wins")</f>
        <v>Tie</v>
      </c>
    </row>
    <row r="2132" spans="1:17" x14ac:dyDescent="0.2">
      <c r="A2132" s="1">
        <v>3603</v>
      </c>
      <c r="B2132" s="2">
        <v>36639</v>
      </c>
      <c r="C2132" s="7">
        <f>_xlfn.FLOOR.MATH(Table1[[#This Row],[year]],10)</f>
        <v>2000</v>
      </c>
      <c r="D2132" t="s">
        <v>590</v>
      </c>
      <c r="E2132" t="s">
        <v>286</v>
      </c>
      <c r="F2132">
        <v>3</v>
      </c>
      <c r="G2132">
        <v>1</v>
      </c>
      <c r="H2132" t="s">
        <v>224</v>
      </c>
      <c r="I2132" t="s">
        <v>596</v>
      </c>
      <c r="J2132" t="s">
        <v>590</v>
      </c>
      <c r="K2132" t="b">
        <v>0</v>
      </c>
      <c r="L2132">
        <v>2000</v>
      </c>
      <c r="M2132">
        <v>3521570875</v>
      </c>
      <c r="N2132">
        <v>38270954138</v>
      </c>
      <c r="O2132" t="b">
        <v>1</v>
      </c>
      <c r="P2132">
        <v>-1</v>
      </c>
      <c r="Q2132" t="str" cm="1">
        <f t="array" ref="Q2132">_xlfn.IFS(Table1[[#This Row],[Wealthier_Winner]]=-1,"Wealthier Nation Loses",Table1[[#This Row],[Wealthier_Winner]]=0,"Tie",Table1[[#This Row],[Wealthier_Winner]]=1,"Wealthier Nation Wins")</f>
        <v>Wealthier Nation Loses</v>
      </c>
    </row>
    <row r="2133" spans="1:17" x14ac:dyDescent="0.2">
      <c r="A2133" s="1">
        <v>3604</v>
      </c>
      <c r="B2133" s="2">
        <v>36639</v>
      </c>
      <c r="C2133" s="7">
        <f>_xlfn.FLOOR.MATH(Table1[[#This Row],[year]],10)</f>
        <v>2000</v>
      </c>
      <c r="D2133" t="s">
        <v>300</v>
      </c>
      <c r="E2133" t="s">
        <v>274</v>
      </c>
      <c r="F2133">
        <v>2</v>
      </c>
      <c r="G2133">
        <v>1</v>
      </c>
      <c r="H2133" t="s">
        <v>224</v>
      </c>
      <c r="I2133" t="s">
        <v>299</v>
      </c>
      <c r="J2133" t="s">
        <v>300</v>
      </c>
      <c r="K2133" t="b">
        <v>0</v>
      </c>
      <c r="L2133">
        <v>2000</v>
      </c>
      <c r="M2133">
        <v>5930685214</v>
      </c>
      <c r="N2133">
        <v>12257299147</v>
      </c>
      <c r="O2133" t="b">
        <v>1</v>
      </c>
      <c r="P2133">
        <v>-1</v>
      </c>
      <c r="Q2133" t="str" cm="1">
        <f t="array" ref="Q2133">_xlfn.IFS(Table1[[#This Row],[Wealthier_Winner]]=-1,"Wealthier Nation Loses",Table1[[#This Row],[Wealthier_Winner]]=0,"Tie",Table1[[#This Row],[Wealthier_Winner]]=1,"Wealthier Nation Wins")</f>
        <v>Wealthier Nation Loses</v>
      </c>
    </row>
    <row r="2134" spans="1:17" x14ac:dyDescent="0.2">
      <c r="A2134" s="1">
        <v>3605</v>
      </c>
      <c r="B2134" s="2">
        <v>36639</v>
      </c>
      <c r="C2134" s="7">
        <f>_xlfn.FLOOR.MATH(Table1[[#This Row],[year]],10)</f>
        <v>2000</v>
      </c>
      <c r="D2134" t="s">
        <v>54</v>
      </c>
      <c r="E2134" t="s">
        <v>310</v>
      </c>
      <c r="F2134">
        <v>1</v>
      </c>
      <c r="G2134">
        <v>0</v>
      </c>
      <c r="H2134" t="s">
        <v>224</v>
      </c>
      <c r="I2134" t="s">
        <v>285</v>
      </c>
      <c r="J2134" t="s">
        <v>54</v>
      </c>
      <c r="K2134" t="b">
        <v>0</v>
      </c>
      <c r="L2134">
        <v>2000</v>
      </c>
      <c r="M2134">
        <v>6013185003</v>
      </c>
      <c r="N2134">
        <v>3519991440</v>
      </c>
      <c r="O2134" t="b">
        <v>0</v>
      </c>
      <c r="P2134">
        <v>1</v>
      </c>
      <c r="Q2134" t="str" cm="1">
        <f t="array" ref="Q2134">_xlfn.IFS(Table1[[#This Row],[Wealthier_Winner]]=-1,"Wealthier Nation Loses",Table1[[#This Row],[Wealthier_Winner]]=0,"Tie",Table1[[#This Row],[Wealthier_Winner]]=1,"Wealthier Nation Wins")</f>
        <v>Wealthier Nation Wins</v>
      </c>
    </row>
    <row r="2135" spans="1:17" x14ac:dyDescent="0.2">
      <c r="A2135" s="1">
        <v>3606</v>
      </c>
      <c r="B2135" s="2">
        <v>36639</v>
      </c>
      <c r="C2135" s="7">
        <f>_xlfn.FLOOR.MATH(Table1[[#This Row],[year]],10)</f>
        <v>2000</v>
      </c>
      <c r="D2135" t="s">
        <v>62</v>
      </c>
      <c r="E2135" t="s">
        <v>508</v>
      </c>
      <c r="F2135">
        <v>3</v>
      </c>
      <c r="G2135">
        <v>0</v>
      </c>
      <c r="H2135" t="s">
        <v>224</v>
      </c>
      <c r="I2135" t="s">
        <v>353</v>
      </c>
      <c r="J2135" t="s">
        <v>62</v>
      </c>
      <c r="K2135" t="b">
        <v>0</v>
      </c>
      <c r="L2135">
        <v>2000</v>
      </c>
      <c r="M2135">
        <v>2106848752</v>
      </c>
      <c r="N2135">
        <v>391345597</v>
      </c>
      <c r="O2135" t="b">
        <v>1</v>
      </c>
      <c r="P2135">
        <v>1</v>
      </c>
      <c r="Q2135" t="str" cm="1">
        <f t="array" ref="Q2135">_xlfn.IFS(Table1[[#This Row],[Wealthier_Winner]]=-1,"Wealthier Nation Loses",Table1[[#This Row],[Wealthier_Winner]]=0,"Tie",Table1[[#This Row],[Wealthier_Winner]]=1,"Wealthier Nation Wins")</f>
        <v>Wealthier Nation Wins</v>
      </c>
    </row>
    <row r="2136" spans="1:17" x14ac:dyDescent="0.2">
      <c r="A2136" s="1">
        <v>3607</v>
      </c>
      <c r="B2136" s="2">
        <v>36639</v>
      </c>
      <c r="C2136" s="7">
        <f>_xlfn.FLOOR.MATH(Table1[[#This Row],[year]],10)</f>
        <v>2000</v>
      </c>
      <c r="D2136" t="s">
        <v>298</v>
      </c>
      <c r="E2136" t="s">
        <v>581</v>
      </c>
      <c r="F2136">
        <v>3</v>
      </c>
      <c r="G2136">
        <v>1</v>
      </c>
      <c r="H2136" t="s">
        <v>224</v>
      </c>
      <c r="I2136" t="s">
        <v>377</v>
      </c>
      <c r="J2136" t="s">
        <v>298</v>
      </c>
      <c r="K2136" t="b">
        <v>0</v>
      </c>
      <c r="L2136">
        <v>2000</v>
      </c>
      <c r="M2136">
        <v>6693250000</v>
      </c>
      <c r="N2136">
        <v>916777282</v>
      </c>
      <c r="O2136" t="b">
        <v>1</v>
      </c>
      <c r="P2136">
        <v>1</v>
      </c>
      <c r="Q2136" t="str" cm="1">
        <f t="array" ref="Q2136">_xlfn.IFS(Table1[[#This Row],[Wealthier_Winner]]=-1,"Wealthier Nation Loses",Table1[[#This Row],[Wealthier_Winner]]=0,"Tie",Table1[[#This Row],[Wealthier_Winner]]=1,"Wealthier Nation Wins")</f>
        <v>Wealthier Nation Wins</v>
      </c>
    </row>
    <row r="2137" spans="1:17" x14ac:dyDescent="0.2">
      <c r="A2137" s="1">
        <v>3608</v>
      </c>
      <c r="B2137" s="2">
        <v>36642</v>
      </c>
      <c r="C2137" s="7">
        <f>_xlfn.FLOOR.MATH(Table1[[#This Row],[year]],10)</f>
        <v>2000</v>
      </c>
      <c r="D2137" t="s">
        <v>47</v>
      </c>
      <c r="E2137" t="s">
        <v>15</v>
      </c>
      <c r="F2137">
        <v>1</v>
      </c>
      <c r="G2137">
        <v>1</v>
      </c>
      <c r="H2137" t="s">
        <v>224</v>
      </c>
      <c r="I2137" t="s">
        <v>246</v>
      </c>
      <c r="J2137" t="s">
        <v>47</v>
      </c>
      <c r="K2137" t="b">
        <v>0</v>
      </c>
      <c r="L2137">
        <v>2000</v>
      </c>
      <c r="M2137">
        <v>8397855484</v>
      </c>
      <c r="N2137">
        <v>99875074951</v>
      </c>
      <c r="O2137" t="b">
        <v>1</v>
      </c>
      <c r="P2137">
        <v>0</v>
      </c>
      <c r="Q2137" t="str" cm="1">
        <f t="array" ref="Q2137">_xlfn.IFS(Table1[[#This Row],[Wealthier_Winner]]=-1,"Wealthier Nation Loses",Table1[[#This Row],[Wealthier_Winner]]=0,"Tie",Table1[[#This Row],[Wealthier_Winner]]=1,"Wealthier Nation Wins")</f>
        <v>Tie</v>
      </c>
    </row>
    <row r="2138" spans="1:17" x14ac:dyDescent="0.2">
      <c r="A2138" s="1">
        <v>3609</v>
      </c>
      <c r="B2138" s="2">
        <v>36642</v>
      </c>
      <c r="C2138" s="7">
        <f>_xlfn.FLOOR.MATH(Table1[[#This Row],[year]],10)</f>
        <v>2000</v>
      </c>
      <c r="D2138" t="s">
        <v>13</v>
      </c>
      <c r="E2138" t="s">
        <v>57</v>
      </c>
      <c r="F2138">
        <v>3</v>
      </c>
      <c r="G2138">
        <v>2</v>
      </c>
      <c r="H2138" t="s">
        <v>224</v>
      </c>
      <c r="I2138" t="s">
        <v>417</v>
      </c>
      <c r="J2138" t="s">
        <v>13</v>
      </c>
      <c r="K2138" t="b">
        <v>0</v>
      </c>
      <c r="L2138">
        <v>2000</v>
      </c>
      <c r="M2138">
        <v>655448188259</v>
      </c>
      <c r="N2138">
        <v>17539454727</v>
      </c>
      <c r="O2138" t="b">
        <v>1</v>
      </c>
      <c r="P2138">
        <v>1</v>
      </c>
      <c r="Q2138" t="str" cm="1">
        <f t="array" ref="Q2138">_xlfn.IFS(Table1[[#This Row],[Wealthier_Winner]]=-1,"Wealthier Nation Loses",Table1[[#This Row],[Wealthier_Winner]]=0,"Tie",Table1[[#This Row],[Wealthier_Winner]]=1,"Wealthier Nation Wins")</f>
        <v>Wealthier Nation Wins</v>
      </c>
    </row>
    <row r="2139" spans="1:17" x14ac:dyDescent="0.2">
      <c r="A2139" s="1">
        <v>3610</v>
      </c>
      <c r="B2139" s="2">
        <v>36642</v>
      </c>
      <c r="C2139" s="7">
        <f>_xlfn.FLOOR.MATH(Table1[[#This Row],[year]],10)</f>
        <v>2000</v>
      </c>
      <c r="D2139" t="s">
        <v>14</v>
      </c>
      <c r="E2139" t="s">
        <v>31</v>
      </c>
      <c r="F2139">
        <v>1</v>
      </c>
      <c r="G2139">
        <v>1</v>
      </c>
      <c r="H2139" t="s">
        <v>224</v>
      </c>
      <c r="I2139" t="s">
        <v>75</v>
      </c>
      <c r="J2139" t="s">
        <v>14</v>
      </c>
      <c r="K2139" t="b">
        <v>0</v>
      </c>
      <c r="L2139">
        <v>2000</v>
      </c>
      <c r="M2139">
        <v>78339750721</v>
      </c>
      <c r="N2139">
        <v>51744749133</v>
      </c>
      <c r="O2139" t="b">
        <v>0</v>
      </c>
      <c r="P2139">
        <v>0</v>
      </c>
      <c r="Q2139" t="str" cm="1">
        <f t="array" ref="Q2139">_xlfn.IFS(Table1[[#This Row],[Wealthier_Winner]]=-1,"Wealthier Nation Loses",Table1[[#This Row],[Wealthier_Winner]]=0,"Tie",Table1[[#This Row],[Wealthier_Winner]]=1,"Wealthier Nation Wins")</f>
        <v>Tie</v>
      </c>
    </row>
    <row r="2140" spans="1:17" x14ac:dyDescent="0.2">
      <c r="A2140" s="1">
        <v>3611</v>
      </c>
      <c r="B2140" s="2">
        <v>36642</v>
      </c>
      <c r="C2140" s="7">
        <f>_xlfn.FLOOR.MATH(Table1[[#This Row],[year]],10)</f>
        <v>2000</v>
      </c>
      <c r="D2140" t="s">
        <v>35</v>
      </c>
      <c r="E2140" t="s">
        <v>26</v>
      </c>
      <c r="F2140">
        <v>1</v>
      </c>
      <c r="G2140">
        <v>0</v>
      </c>
      <c r="H2140" t="s">
        <v>224</v>
      </c>
      <c r="I2140" t="s">
        <v>250</v>
      </c>
      <c r="J2140" t="s">
        <v>35</v>
      </c>
      <c r="K2140" t="b">
        <v>0</v>
      </c>
      <c r="L2140">
        <v>2000</v>
      </c>
      <c r="M2140">
        <v>8855705139</v>
      </c>
      <c r="N2140">
        <v>22823270892</v>
      </c>
      <c r="O2140" t="b">
        <v>1</v>
      </c>
      <c r="P2140">
        <v>-1</v>
      </c>
      <c r="Q2140" t="str" cm="1">
        <f t="array" ref="Q2140">_xlfn.IFS(Table1[[#This Row],[Wealthier_Winner]]=-1,"Wealthier Nation Loses",Table1[[#This Row],[Wealthier_Winner]]=0,"Tie",Table1[[#This Row],[Wealthier_Winner]]=1,"Wealthier Nation Wins")</f>
        <v>Wealthier Nation Loses</v>
      </c>
    </row>
    <row r="2141" spans="1:17" x14ac:dyDescent="0.2">
      <c r="A2141" s="1">
        <v>3612</v>
      </c>
      <c r="B2141" s="2">
        <v>36642</v>
      </c>
      <c r="C2141" s="7">
        <f>_xlfn.FLOOR.MATH(Table1[[#This Row],[year]],10)</f>
        <v>2000</v>
      </c>
      <c r="D2141" t="s">
        <v>258</v>
      </c>
      <c r="E2141" t="s">
        <v>19</v>
      </c>
      <c r="F2141">
        <v>0</v>
      </c>
      <c r="G2141">
        <v>4</v>
      </c>
      <c r="H2141" t="s">
        <v>224</v>
      </c>
      <c r="I2141" t="s">
        <v>572</v>
      </c>
      <c r="J2141" t="s">
        <v>258</v>
      </c>
      <c r="K2141" t="b">
        <v>0</v>
      </c>
      <c r="L2141">
        <v>2000</v>
      </c>
      <c r="M2141">
        <v>117146466002</v>
      </c>
      <c r="N2141">
        <v>284203750000</v>
      </c>
      <c r="O2141" t="b">
        <v>1</v>
      </c>
      <c r="P2141">
        <v>1</v>
      </c>
      <c r="Q2141" t="str" cm="1">
        <f t="array" ref="Q2141">_xlfn.IFS(Table1[[#This Row],[Wealthier_Winner]]=-1,"Wealthier Nation Loses",Table1[[#This Row],[Wealthier_Winner]]=0,"Tie",Table1[[#This Row],[Wealthier_Winner]]=1,"Wealthier Nation Wins")</f>
        <v>Wealthier Nation Wins</v>
      </c>
    </row>
    <row r="2142" spans="1:17" x14ac:dyDescent="0.2">
      <c r="A2142" s="1">
        <v>3614</v>
      </c>
      <c r="B2142" s="2">
        <v>36653</v>
      </c>
      <c r="C2142" s="7">
        <f>_xlfn.FLOOR.MATH(Table1[[#This Row],[year]],10)</f>
        <v>2000</v>
      </c>
      <c r="D2142" t="s">
        <v>517</v>
      </c>
      <c r="E2142" t="s">
        <v>443</v>
      </c>
      <c r="F2142">
        <v>1</v>
      </c>
      <c r="G2142">
        <v>1</v>
      </c>
      <c r="H2142" t="s">
        <v>224</v>
      </c>
      <c r="I2142" t="s">
        <v>580</v>
      </c>
      <c r="J2142" t="s">
        <v>517</v>
      </c>
      <c r="K2142" t="b">
        <v>0</v>
      </c>
      <c r="L2142">
        <v>2000</v>
      </c>
      <c r="M2142">
        <v>30565400000</v>
      </c>
      <c r="N2142">
        <v>3059500000</v>
      </c>
      <c r="O2142" t="b">
        <v>1</v>
      </c>
      <c r="P2142">
        <v>0</v>
      </c>
      <c r="Q2142" t="str" cm="1">
        <f t="array" ref="Q2142">_xlfn.IFS(Table1[[#This Row],[Wealthier_Winner]]=-1,"Wealthier Nation Loses",Table1[[#This Row],[Wealthier_Winner]]=0,"Tie",Table1[[#This Row],[Wealthier_Winner]]=1,"Wealthier Nation Wins")</f>
        <v>Tie</v>
      </c>
    </row>
    <row r="2143" spans="1:17" x14ac:dyDescent="0.2">
      <c r="A2143" s="1">
        <v>3615</v>
      </c>
      <c r="B2143" s="2">
        <v>36653</v>
      </c>
      <c r="C2143" s="7">
        <f>_xlfn.FLOOR.MATH(Table1[[#This Row],[year]],10)</f>
        <v>2000</v>
      </c>
      <c r="D2143" t="s">
        <v>69</v>
      </c>
      <c r="E2143" t="s">
        <v>223</v>
      </c>
      <c r="F2143">
        <v>1</v>
      </c>
      <c r="G2143">
        <v>1</v>
      </c>
      <c r="H2143" t="s">
        <v>224</v>
      </c>
      <c r="I2143" t="s">
        <v>281</v>
      </c>
      <c r="J2143" t="s">
        <v>69</v>
      </c>
      <c r="K2143" t="b">
        <v>0</v>
      </c>
      <c r="L2143">
        <v>2000</v>
      </c>
      <c r="M2143">
        <v>11784927700</v>
      </c>
      <c r="N2143">
        <v>19288929030</v>
      </c>
      <c r="O2143" t="b">
        <v>0</v>
      </c>
      <c r="P2143">
        <v>0</v>
      </c>
      <c r="Q2143" t="str" cm="1">
        <f t="array" ref="Q2143">_xlfn.IFS(Table1[[#This Row],[Wealthier_Winner]]=-1,"Wealthier Nation Loses",Table1[[#This Row],[Wealthier_Winner]]=0,"Tie",Table1[[#This Row],[Wealthier_Winner]]=1,"Wealthier Nation Wins")</f>
        <v>Tie</v>
      </c>
    </row>
    <row r="2144" spans="1:17" x14ac:dyDescent="0.2">
      <c r="A2144" s="1">
        <v>3616</v>
      </c>
      <c r="B2144" s="2">
        <v>36653</v>
      </c>
      <c r="C2144" s="7">
        <f>_xlfn.FLOOR.MATH(Table1[[#This Row],[year]],10)</f>
        <v>2000</v>
      </c>
      <c r="D2144" t="s">
        <v>65</v>
      </c>
      <c r="E2144" t="s">
        <v>67</v>
      </c>
      <c r="F2144">
        <v>3</v>
      </c>
      <c r="G2144">
        <v>1</v>
      </c>
      <c r="H2144" t="s">
        <v>224</v>
      </c>
      <c r="I2144" t="s">
        <v>228</v>
      </c>
      <c r="J2144" t="s">
        <v>65</v>
      </c>
      <c r="K2144" t="b">
        <v>0</v>
      </c>
      <c r="L2144">
        <v>2000</v>
      </c>
      <c r="M2144">
        <v>7186638029</v>
      </c>
      <c r="N2144">
        <v>11966497048</v>
      </c>
      <c r="O2144" t="b">
        <v>0</v>
      </c>
      <c r="P2144">
        <v>-1</v>
      </c>
      <c r="Q2144" t="str" cm="1">
        <f t="array" ref="Q2144">_xlfn.IFS(Table1[[#This Row],[Wealthier_Winner]]=-1,"Wealthier Nation Loses",Table1[[#This Row],[Wealthier_Winner]]=0,"Tie",Table1[[#This Row],[Wealthier_Winner]]=1,"Wealthier Nation Wins")</f>
        <v>Wealthier Nation Loses</v>
      </c>
    </row>
    <row r="2145" spans="1:17" x14ac:dyDescent="0.2">
      <c r="A2145" s="1">
        <v>3617</v>
      </c>
      <c r="B2145" s="2">
        <v>36653</v>
      </c>
      <c r="C2145" s="7">
        <f>_xlfn.FLOOR.MATH(Table1[[#This Row],[year]],10)</f>
        <v>2000</v>
      </c>
      <c r="D2145" t="s">
        <v>59</v>
      </c>
      <c r="E2145" t="s">
        <v>70</v>
      </c>
      <c r="F2145">
        <v>3</v>
      </c>
      <c r="G2145">
        <v>1</v>
      </c>
      <c r="H2145" t="s">
        <v>224</v>
      </c>
      <c r="I2145" t="s">
        <v>253</v>
      </c>
      <c r="J2145" t="s">
        <v>59</v>
      </c>
      <c r="K2145" t="b">
        <v>0</v>
      </c>
      <c r="L2145">
        <v>2000</v>
      </c>
      <c r="M2145">
        <v>8154342116</v>
      </c>
      <c r="N2145">
        <v>6813566098</v>
      </c>
      <c r="O2145" t="b">
        <v>0</v>
      </c>
      <c r="P2145">
        <v>1</v>
      </c>
      <c r="Q2145" t="str" cm="1">
        <f t="array" ref="Q2145">_xlfn.IFS(Table1[[#This Row],[Wealthier_Winner]]=-1,"Wealthier Nation Loses",Table1[[#This Row],[Wealthier_Winner]]=0,"Tie",Table1[[#This Row],[Wealthier_Winner]]=1,"Wealthier Nation Wins")</f>
        <v>Wealthier Nation Wins</v>
      </c>
    </row>
    <row r="2146" spans="1:17" x14ac:dyDescent="0.2">
      <c r="A2146" s="1">
        <v>3618</v>
      </c>
      <c r="B2146" s="2">
        <v>36665</v>
      </c>
      <c r="C2146" s="7">
        <f>_xlfn.FLOOR.MATH(Table1[[#This Row],[year]],10)</f>
        <v>2000</v>
      </c>
      <c r="D2146" t="s">
        <v>223</v>
      </c>
      <c r="E2146" t="s">
        <v>511</v>
      </c>
      <c r="F2146">
        <v>0</v>
      </c>
      <c r="G2146">
        <v>0</v>
      </c>
      <c r="H2146" t="s">
        <v>224</v>
      </c>
      <c r="I2146" t="s">
        <v>254</v>
      </c>
      <c r="J2146" t="s">
        <v>65</v>
      </c>
      <c r="K2146" t="b">
        <v>1</v>
      </c>
      <c r="L2146">
        <v>2000</v>
      </c>
      <c r="M2146">
        <v>19288929030</v>
      </c>
      <c r="N2146">
        <v>1138138100</v>
      </c>
      <c r="O2146" t="b">
        <v>1</v>
      </c>
      <c r="P2146">
        <v>0</v>
      </c>
      <c r="Q2146" t="str" cm="1">
        <f t="array" ref="Q2146">_xlfn.IFS(Table1[[#This Row],[Wealthier_Winner]]=-1,"Wealthier Nation Loses",Table1[[#This Row],[Wealthier_Winner]]=0,"Tie",Table1[[#This Row],[Wealthier_Winner]]=1,"Wealthier Nation Wins")</f>
        <v>Tie</v>
      </c>
    </row>
    <row r="2147" spans="1:17" x14ac:dyDescent="0.2">
      <c r="A2147" s="1">
        <v>3619</v>
      </c>
      <c r="B2147" s="2">
        <v>36665</v>
      </c>
      <c r="C2147" s="7">
        <f>_xlfn.FLOOR.MATH(Table1[[#This Row],[year]],10)</f>
        <v>2000</v>
      </c>
      <c r="D2147" t="s">
        <v>70</v>
      </c>
      <c r="E2147" t="s">
        <v>59</v>
      </c>
      <c r="F2147">
        <v>1</v>
      </c>
      <c r="G2147">
        <v>1</v>
      </c>
      <c r="H2147" t="s">
        <v>224</v>
      </c>
      <c r="I2147" t="s">
        <v>280</v>
      </c>
      <c r="J2147" t="s">
        <v>70</v>
      </c>
      <c r="K2147" t="b">
        <v>0</v>
      </c>
      <c r="L2147">
        <v>2000</v>
      </c>
      <c r="M2147">
        <v>6813566098</v>
      </c>
      <c r="N2147">
        <v>8154342116</v>
      </c>
      <c r="O2147" t="b">
        <v>0</v>
      </c>
      <c r="P2147">
        <v>0</v>
      </c>
      <c r="Q2147" t="str" cm="1">
        <f t="array" ref="Q2147">_xlfn.IFS(Table1[[#This Row],[Wealthier_Winner]]=-1,"Wealthier Nation Loses",Table1[[#This Row],[Wealthier_Winner]]=0,"Tie",Table1[[#This Row],[Wealthier_Winner]]=1,"Wealthier Nation Wins")</f>
        <v>Tie</v>
      </c>
    </row>
    <row r="2148" spans="1:17" x14ac:dyDescent="0.2">
      <c r="A2148" s="1">
        <v>3621</v>
      </c>
      <c r="B2148" s="2">
        <v>36667</v>
      </c>
      <c r="C2148" s="7">
        <f>_xlfn.FLOOR.MATH(Table1[[#This Row],[year]],10)</f>
        <v>2000</v>
      </c>
      <c r="D2148" t="s">
        <v>443</v>
      </c>
      <c r="E2148" t="s">
        <v>517</v>
      </c>
      <c r="F2148">
        <v>1</v>
      </c>
      <c r="G2148">
        <v>1</v>
      </c>
      <c r="H2148" t="s">
        <v>224</v>
      </c>
      <c r="I2148" t="s">
        <v>444</v>
      </c>
      <c r="J2148" t="s">
        <v>443</v>
      </c>
      <c r="K2148" t="b">
        <v>0</v>
      </c>
      <c r="L2148">
        <v>2000</v>
      </c>
      <c r="M2148">
        <v>3059500000</v>
      </c>
      <c r="N2148">
        <v>30565400000</v>
      </c>
      <c r="O2148" t="b">
        <v>1</v>
      </c>
      <c r="P2148">
        <v>0</v>
      </c>
      <c r="Q2148" t="str" cm="1">
        <f t="array" ref="Q2148">_xlfn.IFS(Table1[[#This Row],[Wealthier_Winner]]=-1,"Wealthier Nation Loses",Table1[[#This Row],[Wealthier_Winner]]=0,"Tie",Table1[[#This Row],[Wealthier_Winner]]=1,"Wealthier Nation Wins")</f>
        <v>Tie</v>
      </c>
    </row>
    <row r="2149" spans="1:17" x14ac:dyDescent="0.2">
      <c r="A2149" s="1">
        <v>3622</v>
      </c>
      <c r="B2149" s="2">
        <v>36667</v>
      </c>
      <c r="C2149" s="7">
        <f>_xlfn.FLOOR.MATH(Table1[[#This Row],[year]],10)</f>
        <v>2000</v>
      </c>
      <c r="D2149" t="s">
        <v>67</v>
      </c>
      <c r="E2149" t="s">
        <v>453</v>
      </c>
      <c r="F2149">
        <v>4</v>
      </c>
      <c r="G2149">
        <v>0</v>
      </c>
      <c r="H2149" t="s">
        <v>224</v>
      </c>
      <c r="I2149" t="s">
        <v>455</v>
      </c>
      <c r="J2149" t="s">
        <v>67</v>
      </c>
      <c r="K2149" t="b">
        <v>0</v>
      </c>
      <c r="L2149">
        <v>2000</v>
      </c>
      <c r="M2149">
        <v>11966497048</v>
      </c>
      <c r="N2149">
        <v>5109587049</v>
      </c>
      <c r="O2149" t="b">
        <v>1</v>
      </c>
      <c r="P2149">
        <v>1</v>
      </c>
      <c r="Q2149" t="str" cm="1">
        <f t="array" ref="Q2149">_xlfn.IFS(Table1[[#This Row],[Wealthier_Winner]]=-1,"Wealthier Nation Loses",Table1[[#This Row],[Wealthier_Winner]]=0,"Tie",Table1[[#This Row],[Wealthier_Winner]]=1,"Wealthier Nation Wins")</f>
        <v>Wealthier Nation Wins</v>
      </c>
    </row>
    <row r="2150" spans="1:17" x14ac:dyDescent="0.2">
      <c r="A2150" s="1">
        <v>3623</v>
      </c>
      <c r="B2150" s="2">
        <v>36680</v>
      </c>
      <c r="C2150" s="7">
        <f>_xlfn.FLOOR.MATH(Table1[[#This Row],[year]],10)</f>
        <v>2000</v>
      </c>
      <c r="D2150" t="s">
        <v>65</v>
      </c>
      <c r="E2150" t="s">
        <v>70</v>
      </c>
      <c r="F2150">
        <v>4</v>
      </c>
      <c r="G2150">
        <v>0</v>
      </c>
      <c r="H2150" t="s">
        <v>224</v>
      </c>
      <c r="I2150" t="s">
        <v>254</v>
      </c>
      <c r="J2150" t="s">
        <v>65</v>
      </c>
      <c r="K2150" t="b">
        <v>0</v>
      </c>
      <c r="L2150">
        <v>2000</v>
      </c>
      <c r="M2150">
        <v>7186638029</v>
      </c>
      <c r="N2150">
        <v>6813566098</v>
      </c>
      <c r="O2150" t="b">
        <v>0</v>
      </c>
      <c r="P2150">
        <v>1</v>
      </c>
      <c r="Q2150" t="str" cm="1">
        <f t="array" ref="Q2150">_xlfn.IFS(Table1[[#This Row],[Wealthier_Winner]]=-1,"Wealthier Nation Loses",Table1[[#This Row],[Wealthier_Winner]]=0,"Tie",Table1[[#This Row],[Wealthier_Winner]]=1,"Wealthier Nation Wins")</f>
        <v>Wealthier Nation Wins</v>
      </c>
    </row>
    <row r="2151" spans="1:17" x14ac:dyDescent="0.2">
      <c r="A2151" s="1">
        <v>3624</v>
      </c>
      <c r="B2151" s="2">
        <v>36680</v>
      </c>
      <c r="C2151" s="7">
        <f>_xlfn.FLOOR.MATH(Table1[[#This Row],[year]],10)</f>
        <v>2000</v>
      </c>
      <c r="D2151" t="s">
        <v>35</v>
      </c>
      <c r="E2151" t="s">
        <v>57</v>
      </c>
      <c r="F2151">
        <v>3</v>
      </c>
      <c r="G2151">
        <v>1</v>
      </c>
      <c r="H2151" t="s">
        <v>224</v>
      </c>
      <c r="I2151" t="s">
        <v>250</v>
      </c>
      <c r="J2151" t="s">
        <v>35</v>
      </c>
      <c r="K2151" t="b">
        <v>0</v>
      </c>
      <c r="L2151">
        <v>2000</v>
      </c>
      <c r="M2151">
        <v>8855705139</v>
      </c>
      <c r="N2151">
        <v>17539454727</v>
      </c>
      <c r="O2151" t="b">
        <v>0</v>
      </c>
      <c r="P2151">
        <v>-1</v>
      </c>
      <c r="Q2151" t="str" cm="1">
        <f t="array" ref="Q2151">_xlfn.IFS(Table1[[#This Row],[Wealthier_Winner]]=-1,"Wealthier Nation Loses",Table1[[#This Row],[Wealthier_Winner]]=0,"Tie",Table1[[#This Row],[Wealthier_Winner]]=1,"Wealthier Nation Wins")</f>
        <v>Wealthier Nation Loses</v>
      </c>
    </row>
    <row r="2152" spans="1:17" x14ac:dyDescent="0.2">
      <c r="A2152" s="1">
        <v>3625</v>
      </c>
      <c r="B2152" s="2">
        <v>36680</v>
      </c>
      <c r="C2152" s="7">
        <f>_xlfn.FLOOR.MATH(Table1[[#This Row],[year]],10)</f>
        <v>2000</v>
      </c>
      <c r="D2152" t="s">
        <v>26</v>
      </c>
      <c r="E2152" t="s">
        <v>14</v>
      </c>
      <c r="F2152">
        <v>2</v>
      </c>
      <c r="G2152">
        <v>1</v>
      </c>
      <c r="H2152" t="s">
        <v>224</v>
      </c>
      <c r="I2152" t="s">
        <v>247</v>
      </c>
      <c r="J2152" t="s">
        <v>26</v>
      </c>
      <c r="K2152" t="b">
        <v>0</v>
      </c>
      <c r="L2152">
        <v>2000</v>
      </c>
      <c r="M2152">
        <v>22823270892</v>
      </c>
      <c r="N2152">
        <v>78339750721</v>
      </c>
      <c r="O2152" t="b">
        <v>1</v>
      </c>
      <c r="P2152">
        <v>-1</v>
      </c>
      <c r="Q2152" t="str" cm="1">
        <f t="array" ref="Q2152">_xlfn.IFS(Table1[[#This Row],[Wealthier_Winner]]=-1,"Wealthier Nation Loses",Table1[[#This Row],[Wealthier_Winner]]=0,"Tie",Table1[[#This Row],[Wealthier_Winner]]=1,"Wealthier Nation Wins")</f>
        <v>Wealthier Nation Loses</v>
      </c>
    </row>
    <row r="2153" spans="1:17" x14ac:dyDescent="0.2">
      <c r="A2153" s="1">
        <v>3626</v>
      </c>
      <c r="B2153" s="2">
        <v>36681</v>
      </c>
      <c r="C2153" s="7">
        <f>_xlfn.FLOOR.MATH(Table1[[#This Row],[year]],10)</f>
        <v>2000</v>
      </c>
      <c r="D2153" t="s">
        <v>19</v>
      </c>
      <c r="E2153" t="s">
        <v>47</v>
      </c>
      <c r="F2153">
        <v>1</v>
      </c>
      <c r="G2153">
        <v>0</v>
      </c>
      <c r="H2153" t="s">
        <v>224</v>
      </c>
      <c r="I2153" t="s">
        <v>93</v>
      </c>
      <c r="J2153" t="s">
        <v>19</v>
      </c>
      <c r="K2153" t="b">
        <v>0</v>
      </c>
      <c r="L2153">
        <v>2000</v>
      </c>
      <c r="M2153">
        <v>284203750000</v>
      </c>
      <c r="N2153">
        <v>8397855484</v>
      </c>
      <c r="O2153" t="b">
        <v>1</v>
      </c>
      <c r="P2153">
        <v>1</v>
      </c>
      <c r="Q2153" t="str" cm="1">
        <f t="array" ref="Q2153">_xlfn.IFS(Table1[[#This Row],[Wealthier_Winner]]=-1,"Wealthier Nation Loses",Table1[[#This Row],[Wealthier_Winner]]=0,"Tie",Table1[[#This Row],[Wealthier_Winner]]=1,"Wealthier Nation Wins")</f>
        <v>Wealthier Nation Wins</v>
      </c>
    </row>
    <row r="2154" spans="1:17" x14ac:dyDescent="0.2">
      <c r="A2154" s="1">
        <v>3627</v>
      </c>
      <c r="B2154" s="2">
        <v>36681</v>
      </c>
      <c r="C2154" s="7">
        <f>_xlfn.FLOOR.MATH(Table1[[#This Row],[year]],10)</f>
        <v>2000</v>
      </c>
      <c r="D2154" t="s">
        <v>15</v>
      </c>
      <c r="E2154" t="s">
        <v>258</v>
      </c>
      <c r="F2154">
        <v>3</v>
      </c>
      <c r="G2154">
        <v>0</v>
      </c>
      <c r="H2154" t="s">
        <v>224</v>
      </c>
      <c r="I2154" t="s">
        <v>241</v>
      </c>
      <c r="J2154" t="s">
        <v>15</v>
      </c>
      <c r="K2154" t="b">
        <v>0</v>
      </c>
      <c r="L2154">
        <v>2000</v>
      </c>
      <c r="M2154">
        <v>99875074951</v>
      </c>
      <c r="N2154">
        <v>117146466002</v>
      </c>
      <c r="O2154" t="b">
        <v>0</v>
      </c>
      <c r="P2154">
        <v>-1</v>
      </c>
      <c r="Q2154" t="str" cm="1">
        <f t="array" ref="Q2154">_xlfn.IFS(Table1[[#This Row],[Wealthier_Winner]]=-1,"Wealthier Nation Loses",Table1[[#This Row],[Wealthier_Winner]]=0,"Tie",Table1[[#This Row],[Wealthier_Winner]]=1,"Wealthier Nation Wins")</f>
        <v>Wealthier Nation Loses</v>
      </c>
    </row>
    <row r="2155" spans="1:17" x14ac:dyDescent="0.2">
      <c r="A2155" s="1">
        <v>3628</v>
      </c>
      <c r="B2155" s="2">
        <v>36681</v>
      </c>
      <c r="C2155" s="7">
        <f>_xlfn.FLOOR.MATH(Table1[[#This Row],[year]],10)</f>
        <v>2000</v>
      </c>
      <c r="D2155" t="s">
        <v>517</v>
      </c>
      <c r="E2155" t="s">
        <v>34</v>
      </c>
      <c r="F2155">
        <v>0</v>
      </c>
      <c r="G2155">
        <v>1</v>
      </c>
      <c r="H2155" t="s">
        <v>224</v>
      </c>
      <c r="I2155" t="s">
        <v>580</v>
      </c>
      <c r="J2155" t="s">
        <v>517</v>
      </c>
      <c r="K2155" t="b">
        <v>0</v>
      </c>
      <c r="L2155">
        <v>2000</v>
      </c>
      <c r="M2155">
        <v>30565400000</v>
      </c>
      <c r="N2155">
        <v>744773415931</v>
      </c>
      <c r="O2155" t="b">
        <v>1</v>
      </c>
      <c r="P2155">
        <v>1</v>
      </c>
      <c r="Q2155" t="str" cm="1">
        <f t="array" ref="Q2155">_xlfn.IFS(Table1[[#This Row],[Wealthier_Winner]]=-1,"Wealthier Nation Loses",Table1[[#This Row],[Wealthier_Winner]]=0,"Tie",Table1[[#This Row],[Wealthier_Winner]]=1,"Wealthier Nation Wins")</f>
        <v>Wealthier Nation Wins</v>
      </c>
    </row>
    <row r="2156" spans="1:17" x14ac:dyDescent="0.2">
      <c r="A2156" s="1">
        <v>3629</v>
      </c>
      <c r="B2156" s="2">
        <v>36681</v>
      </c>
      <c r="C2156" s="7">
        <f>_xlfn.FLOOR.MATH(Table1[[#This Row],[year]],10)</f>
        <v>2000</v>
      </c>
      <c r="D2156" t="s">
        <v>31</v>
      </c>
      <c r="E2156" t="s">
        <v>13</v>
      </c>
      <c r="F2156">
        <v>0</v>
      </c>
      <c r="G2156">
        <v>1</v>
      </c>
      <c r="H2156" t="s">
        <v>224</v>
      </c>
      <c r="I2156" t="s">
        <v>242</v>
      </c>
      <c r="J2156" t="s">
        <v>31</v>
      </c>
      <c r="K2156" t="b">
        <v>0</v>
      </c>
      <c r="L2156">
        <v>2000</v>
      </c>
      <c r="M2156">
        <v>51744749133</v>
      </c>
      <c r="N2156">
        <v>655448188259</v>
      </c>
      <c r="O2156" t="b">
        <v>1</v>
      </c>
      <c r="P2156">
        <v>1</v>
      </c>
      <c r="Q2156" t="str" cm="1">
        <f t="array" ref="Q2156">_xlfn.IFS(Table1[[#This Row],[Wealthier_Winner]]=-1,"Wealthier Nation Loses",Table1[[#This Row],[Wealthier_Winner]]=0,"Tie",Table1[[#This Row],[Wealthier_Winner]]=1,"Wealthier Nation Wins")</f>
        <v>Wealthier Nation Wins</v>
      </c>
    </row>
    <row r="2157" spans="1:17" x14ac:dyDescent="0.2">
      <c r="A2157" s="1">
        <v>3630</v>
      </c>
      <c r="B2157" s="2">
        <v>36688</v>
      </c>
      <c r="C2157" s="7">
        <f>_xlfn.FLOOR.MATH(Table1[[#This Row],[year]],10)</f>
        <v>2000</v>
      </c>
      <c r="D2157" t="s">
        <v>449</v>
      </c>
      <c r="E2157" t="s">
        <v>223</v>
      </c>
      <c r="F2157">
        <v>0</v>
      </c>
      <c r="G2157">
        <v>1</v>
      </c>
      <c r="H2157" t="s">
        <v>224</v>
      </c>
      <c r="I2157" t="s">
        <v>450</v>
      </c>
      <c r="J2157" t="s">
        <v>449</v>
      </c>
      <c r="K2157" t="b">
        <v>0</v>
      </c>
      <c r="L2157">
        <v>2000</v>
      </c>
      <c r="M2157">
        <v>901003703</v>
      </c>
      <c r="N2157">
        <v>19288929030</v>
      </c>
      <c r="O2157" t="b">
        <v>1</v>
      </c>
      <c r="P2157">
        <v>1</v>
      </c>
      <c r="Q2157" t="str" cm="1">
        <f t="array" ref="Q2157">_xlfn.IFS(Table1[[#This Row],[Wealthier_Winner]]=-1,"Wealthier Nation Loses",Table1[[#This Row],[Wealthier_Winner]]=0,"Tie",Table1[[#This Row],[Wealthier_Winner]]=1,"Wealthier Nation Wins")</f>
        <v>Wealthier Nation Wins</v>
      </c>
    </row>
    <row r="2158" spans="1:17" x14ac:dyDescent="0.2">
      <c r="A2158" s="1">
        <v>3631</v>
      </c>
      <c r="B2158" s="2">
        <v>36688</v>
      </c>
      <c r="C2158" s="7">
        <f>_xlfn.FLOOR.MATH(Table1[[#This Row],[year]],10)</f>
        <v>2000</v>
      </c>
      <c r="D2158" t="s">
        <v>34</v>
      </c>
      <c r="E2158" t="s">
        <v>517</v>
      </c>
      <c r="F2158">
        <v>0</v>
      </c>
      <c r="G2158">
        <v>0</v>
      </c>
      <c r="H2158" t="s">
        <v>224</v>
      </c>
      <c r="I2158" t="s">
        <v>597</v>
      </c>
      <c r="J2158" t="s">
        <v>34</v>
      </c>
      <c r="K2158" t="b">
        <v>0</v>
      </c>
      <c r="L2158">
        <v>2000</v>
      </c>
      <c r="M2158">
        <v>744773415931</v>
      </c>
      <c r="N2158">
        <v>30565400000</v>
      </c>
      <c r="O2158" t="b">
        <v>1</v>
      </c>
      <c r="P2158">
        <v>0</v>
      </c>
      <c r="Q2158" t="str" cm="1">
        <f t="array" ref="Q2158">_xlfn.IFS(Table1[[#This Row],[Wealthier_Winner]]=-1,"Wealthier Nation Loses",Table1[[#This Row],[Wealthier_Winner]]=0,"Tie",Table1[[#This Row],[Wealthier_Winner]]=1,"Wealthier Nation Wins")</f>
        <v>Tie</v>
      </c>
    </row>
    <row r="2159" spans="1:17" x14ac:dyDescent="0.2">
      <c r="A2159" s="1">
        <v>3632</v>
      </c>
      <c r="B2159" s="2">
        <v>36693</v>
      </c>
      <c r="C2159" s="7">
        <f>_xlfn.FLOOR.MATH(Table1[[#This Row],[year]],10)</f>
        <v>2000</v>
      </c>
      <c r="D2159" t="s">
        <v>32</v>
      </c>
      <c r="E2159" t="s">
        <v>54</v>
      </c>
      <c r="F2159">
        <v>1</v>
      </c>
      <c r="G2159">
        <v>1</v>
      </c>
      <c r="H2159" t="s">
        <v>224</v>
      </c>
      <c r="I2159" t="s">
        <v>428</v>
      </c>
      <c r="J2159" t="s">
        <v>32</v>
      </c>
      <c r="K2159" t="b">
        <v>0</v>
      </c>
      <c r="L2159">
        <v>2000</v>
      </c>
      <c r="M2159">
        <v>54790398570</v>
      </c>
      <c r="N2159">
        <v>6013185003</v>
      </c>
      <c r="O2159" t="b">
        <v>1</v>
      </c>
      <c r="P2159">
        <v>0</v>
      </c>
      <c r="Q2159" t="str" cm="1">
        <f t="array" ref="Q2159">_xlfn.IFS(Table1[[#This Row],[Wealthier_Winner]]=-1,"Wealthier Nation Loses",Table1[[#This Row],[Wealthier_Winner]]=0,"Tie",Table1[[#This Row],[Wealthier_Winner]]=1,"Wealthier Nation Wins")</f>
        <v>Tie</v>
      </c>
    </row>
    <row r="2160" spans="1:17" x14ac:dyDescent="0.2">
      <c r="A2160" s="1">
        <v>3633</v>
      </c>
      <c r="B2160" s="2">
        <v>36694</v>
      </c>
      <c r="C2160" s="7">
        <f>_xlfn.FLOOR.MATH(Table1[[#This Row],[year]],10)</f>
        <v>2000</v>
      </c>
      <c r="D2160" t="s">
        <v>70</v>
      </c>
      <c r="E2160" t="s">
        <v>65</v>
      </c>
      <c r="F2160">
        <v>1</v>
      </c>
      <c r="G2160">
        <v>3</v>
      </c>
      <c r="H2160" t="s">
        <v>224</v>
      </c>
      <c r="I2160" t="s">
        <v>280</v>
      </c>
      <c r="J2160" t="s">
        <v>70</v>
      </c>
      <c r="K2160" t="b">
        <v>0</v>
      </c>
      <c r="L2160">
        <v>2000</v>
      </c>
      <c r="M2160">
        <v>6813566098</v>
      </c>
      <c r="N2160">
        <v>7186638029</v>
      </c>
      <c r="O2160" t="b">
        <v>0</v>
      </c>
      <c r="P2160">
        <v>1</v>
      </c>
      <c r="Q2160" t="str" cm="1">
        <f t="array" ref="Q2160">_xlfn.IFS(Table1[[#This Row],[Wealthier_Winner]]=-1,"Wealthier Nation Loses",Table1[[#This Row],[Wealthier_Winner]]=0,"Tie",Table1[[#This Row],[Wealthier_Winner]]=1,"Wealthier Nation Wins")</f>
        <v>Wealthier Nation Wins</v>
      </c>
    </row>
    <row r="2161" spans="1:17" x14ac:dyDescent="0.2">
      <c r="A2161" s="1">
        <v>3635</v>
      </c>
      <c r="B2161" s="2">
        <v>36694</v>
      </c>
      <c r="C2161" s="7">
        <f>_xlfn.FLOOR.MATH(Table1[[#This Row],[year]],10)</f>
        <v>2000</v>
      </c>
      <c r="D2161" t="s">
        <v>370</v>
      </c>
      <c r="E2161" t="s">
        <v>345</v>
      </c>
      <c r="F2161">
        <v>1</v>
      </c>
      <c r="G2161">
        <v>1</v>
      </c>
      <c r="H2161" t="s">
        <v>224</v>
      </c>
      <c r="I2161" t="s">
        <v>372</v>
      </c>
      <c r="J2161" t="s">
        <v>370</v>
      </c>
      <c r="K2161" t="b">
        <v>0</v>
      </c>
      <c r="L2161">
        <v>2000</v>
      </c>
      <c r="M2161">
        <v>2537307580</v>
      </c>
      <c r="N2161">
        <v>2968370087</v>
      </c>
      <c r="O2161" t="b">
        <v>0</v>
      </c>
      <c r="P2161">
        <v>0</v>
      </c>
      <c r="Q2161" t="str" cm="1">
        <f t="array" ref="Q2161">_xlfn.IFS(Table1[[#This Row],[Wealthier_Winner]]=-1,"Wealthier Nation Loses",Table1[[#This Row],[Wealthier_Winner]]=0,"Tie",Table1[[#This Row],[Wealthier_Winner]]=1,"Wealthier Nation Wins")</f>
        <v>Tie</v>
      </c>
    </row>
    <row r="2162" spans="1:17" x14ac:dyDescent="0.2">
      <c r="A2162" s="1">
        <v>3636</v>
      </c>
      <c r="B2162" s="2">
        <v>36694</v>
      </c>
      <c r="C2162" s="7">
        <f>_xlfn.FLOOR.MATH(Table1[[#This Row],[year]],10)</f>
        <v>2000</v>
      </c>
      <c r="D2162" t="s">
        <v>462</v>
      </c>
      <c r="E2162" t="s">
        <v>24</v>
      </c>
      <c r="F2162">
        <v>0</v>
      </c>
      <c r="G2162">
        <v>0</v>
      </c>
      <c r="H2162" t="s">
        <v>224</v>
      </c>
      <c r="I2162" t="s">
        <v>465</v>
      </c>
      <c r="J2162" t="s">
        <v>462</v>
      </c>
      <c r="K2162" t="b">
        <v>0</v>
      </c>
      <c r="L2162">
        <v>2000</v>
      </c>
      <c r="M2162">
        <v>3922232164</v>
      </c>
      <c r="N2162">
        <v>43017455401</v>
      </c>
      <c r="O2162" t="b">
        <v>1</v>
      </c>
      <c r="P2162">
        <v>0</v>
      </c>
      <c r="Q2162" t="str" cm="1">
        <f t="array" ref="Q2162">_xlfn.IFS(Table1[[#This Row],[Wealthier_Winner]]=-1,"Wealthier Nation Loses",Table1[[#This Row],[Wealthier_Winner]]=0,"Tie",Table1[[#This Row],[Wealthier_Winner]]=1,"Wealthier Nation Wins")</f>
        <v>Tie</v>
      </c>
    </row>
    <row r="2163" spans="1:17" x14ac:dyDescent="0.2">
      <c r="A2163" s="1">
        <v>3637</v>
      </c>
      <c r="B2163" s="2">
        <v>36694</v>
      </c>
      <c r="C2163" s="7">
        <f>_xlfn.FLOOR.MATH(Table1[[#This Row],[year]],10)</f>
        <v>2000</v>
      </c>
      <c r="D2163" t="s">
        <v>43</v>
      </c>
      <c r="E2163" t="s">
        <v>342</v>
      </c>
      <c r="F2163">
        <v>2</v>
      </c>
      <c r="G2163">
        <v>0</v>
      </c>
      <c r="H2163" t="s">
        <v>224</v>
      </c>
      <c r="I2163" t="s">
        <v>229</v>
      </c>
      <c r="J2163" t="s">
        <v>43</v>
      </c>
      <c r="K2163" t="b">
        <v>0</v>
      </c>
      <c r="L2163">
        <v>2000</v>
      </c>
      <c r="M2163">
        <v>69171451627</v>
      </c>
      <c r="N2163">
        <v>635866403</v>
      </c>
      <c r="O2163" t="b">
        <v>1</v>
      </c>
      <c r="P2163">
        <v>1</v>
      </c>
      <c r="Q2163" t="str" cm="1">
        <f t="array" ref="Q2163">_xlfn.IFS(Table1[[#This Row],[Wealthier_Winner]]=-1,"Wealthier Nation Loses",Table1[[#This Row],[Wealthier_Winner]]=0,"Tie",Table1[[#This Row],[Wealthier_Winner]]=1,"Wealthier Nation Wins")</f>
        <v>Wealthier Nation Wins</v>
      </c>
    </row>
    <row r="2164" spans="1:17" x14ac:dyDescent="0.2">
      <c r="A2164" s="1">
        <v>3638</v>
      </c>
      <c r="B2164" s="2">
        <v>36695</v>
      </c>
      <c r="C2164" s="7">
        <f>_xlfn.FLOOR.MATH(Table1[[#This Row],[year]],10)</f>
        <v>2000</v>
      </c>
      <c r="D2164" t="s">
        <v>60</v>
      </c>
      <c r="E2164" t="s">
        <v>273</v>
      </c>
      <c r="F2164">
        <v>2</v>
      </c>
      <c r="G2164">
        <v>1</v>
      </c>
      <c r="H2164" t="s">
        <v>224</v>
      </c>
      <c r="I2164" t="s">
        <v>396</v>
      </c>
      <c r="J2164" t="s">
        <v>60</v>
      </c>
      <c r="K2164" t="b">
        <v>0</v>
      </c>
      <c r="L2164">
        <v>2000</v>
      </c>
      <c r="M2164">
        <v>9129594970</v>
      </c>
      <c r="N2164">
        <v>3600632111</v>
      </c>
      <c r="O2164" t="b">
        <v>1</v>
      </c>
      <c r="P2164">
        <v>1</v>
      </c>
      <c r="Q2164" t="str" cm="1">
        <f t="array" ref="Q2164">_xlfn.IFS(Table1[[#This Row],[Wealthier_Winner]]=-1,"Wealthier Nation Loses",Table1[[#This Row],[Wealthier_Winner]]=0,"Tie",Table1[[#This Row],[Wealthier_Winner]]=1,"Wealthier Nation Wins")</f>
        <v>Wealthier Nation Wins</v>
      </c>
    </row>
    <row r="2165" spans="1:17" x14ac:dyDescent="0.2">
      <c r="A2165" s="1">
        <v>3639</v>
      </c>
      <c r="B2165" s="2">
        <v>36695</v>
      </c>
      <c r="C2165" s="7">
        <f>_xlfn.FLOOR.MATH(Table1[[#This Row],[year]],10)</f>
        <v>2000</v>
      </c>
      <c r="D2165" t="s">
        <v>223</v>
      </c>
      <c r="E2165" t="s">
        <v>449</v>
      </c>
      <c r="F2165">
        <v>8</v>
      </c>
      <c r="G2165">
        <v>1</v>
      </c>
      <c r="H2165" t="s">
        <v>224</v>
      </c>
      <c r="I2165" t="s">
        <v>227</v>
      </c>
      <c r="J2165" t="s">
        <v>223</v>
      </c>
      <c r="K2165" t="b">
        <v>0</v>
      </c>
      <c r="L2165">
        <v>2000</v>
      </c>
      <c r="M2165">
        <v>19288929030</v>
      </c>
      <c r="N2165">
        <v>901003703</v>
      </c>
      <c r="O2165" t="b">
        <v>1</v>
      </c>
      <c r="P2165">
        <v>1</v>
      </c>
      <c r="Q2165" t="str" cm="1">
        <f t="array" ref="Q2165">_xlfn.IFS(Table1[[#This Row],[Wealthier_Winner]]=-1,"Wealthier Nation Loses",Table1[[#This Row],[Wealthier_Winner]]=0,"Tie",Table1[[#This Row],[Wealthier_Winner]]=1,"Wealthier Nation Wins")</f>
        <v>Wealthier Nation Wins</v>
      </c>
    </row>
    <row r="2166" spans="1:17" x14ac:dyDescent="0.2">
      <c r="A2166" s="1">
        <v>3641</v>
      </c>
      <c r="B2166" s="2">
        <v>36695</v>
      </c>
      <c r="C2166" s="7">
        <f>_xlfn.FLOOR.MATH(Table1[[#This Row],[year]],10)</f>
        <v>2000</v>
      </c>
      <c r="D2166" t="s">
        <v>286</v>
      </c>
      <c r="E2166" t="s">
        <v>40</v>
      </c>
      <c r="F2166">
        <v>0</v>
      </c>
      <c r="G2166">
        <v>3</v>
      </c>
      <c r="H2166" t="s">
        <v>224</v>
      </c>
      <c r="I2166" t="s">
        <v>287</v>
      </c>
      <c r="J2166" t="s">
        <v>286</v>
      </c>
      <c r="K2166" t="b">
        <v>0</v>
      </c>
      <c r="L2166">
        <v>2000</v>
      </c>
      <c r="M2166">
        <v>38270954138</v>
      </c>
      <c r="N2166">
        <v>10566579294</v>
      </c>
      <c r="O2166" t="b">
        <v>1</v>
      </c>
      <c r="P2166">
        <v>-1</v>
      </c>
      <c r="Q2166" t="str" cm="1">
        <f t="array" ref="Q2166">_xlfn.IFS(Table1[[#This Row],[Wealthier_Winner]]=-1,"Wealthier Nation Loses",Table1[[#This Row],[Wealthier_Winner]]=0,"Tie",Table1[[#This Row],[Wealthier_Winner]]=1,"Wealthier Nation Wins")</f>
        <v>Wealthier Nation Loses</v>
      </c>
    </row>
    <row r="2167" spans="1:17" x14ac:dyDescent="0.2">
      <c r="A2167" s="1">
        <v>3642</v>
      </c>
      <c r="B2167" s="2">
        <v>36695</v>
      </c>
      <c r="C2167" s="7">
        <f>_xlfn.FLOOR.MATH(Table1[[#This Row],[year]],10)</f>
        <v>2000</v>
      </c>
      <c r="D2167" t="s">
        <v>274</v>
      </c>
      <c r="E2167" t="s">
        <v>378</v>
      </c>
      <c r="F2167">
        <v>2</v>
      </c>
      <c r="G2167">
        <v>0</v>
      </c>
      <c r="H2167" t="s">
        <v>224</v>
      </c>
      <c r="I2167" t="s">
        <v>591</v>
      </c>
      <c r="J2167" t="s">
        <v>274</v>
      </c>
      <c r="K2167" t="b">
        <v>0</v>
      </c>
      <c r="L2167">
        <v>2000</v>
      </c>
      <c r="M2167">
        <v>12257299147</v>
      </c>
      <c r="N2167">
        <v>874000000</v>
      </c>
      <c r="O2167" t="b">
        <v>1</v>
      </c>
      <c r="P2167">
        <v>1</v>
      </c>
      <c r="Q2167" t="str" cm="1">
        <f t="array" ref="Q2167">_xlfn.IFS(Table1[[#This Row],[Wealthier_Winner]]=-1,"Wealthier Nation Loses",Table1[[#This Row],[Wealthier_Winner]]=0,"Tie",Table1[[#This Row],[Wealthier_Winner]]=1,"Wealthier Nation Wins")</f>
        <v>Wealthier Nation Wins</v>
      </c>
    </row>
    <row r="2168" spans="1:17" x14ac:dyDescent="0.2">
      <c r="A2168" s="1">
        <v>3643</v>
      </c>
      <c r="B2168" s="2">
        <v>36705</v>
      </c>
      <c r="C2168" s="7">
        <f>_xlfn.FLOOR.MATH(Table1[[#This Row],[year]],10)</f>
        <v>2000</v>
      </c>
      <c r="D2168" t="s">
        <v>13</v>
      </c>
      <c r="E2168" t="s">
        <v>26</v>
      </c>
      <c r="F2168">
        <v>1</v>
      </c>
      <c r="G2168">
        <v>1</v>
      </c>
      <c r="H2168" t="s">
        <v>224</v>
      </c>
      <c r="I2168" t="s">
        <v>173</v>
      </c>
      <c r="J2168" t="s">
        <v>13</v>
      </c>
      <c r="K2168" t="b">
        <v>0</v>
      </c>
      <c r="L2168">
        <v>2000</v>
      </c>
      <c r="M2168">
        <v>655448188259</v>
      </c>
      <c r="N2168">
        <v>22823270892</v>
      </c>
      <c r="O2168" t="b">
        <v>1</v>
      </c>
      <c r="P2168">
        <v>0</v>
      </c>
      <c r="Q2168" t="str" cm="1">
        <f t="array" ref="Q2168">_xlfn.IFS(Table1[[#This Row],[Wealthier_Winner]]=-1,"Wealthier Nation Loses",Table1[[#This Row],[Wealthier_Winner]]=0,"Tie",Table1[[#This Row],[Wealthier_Winner]]=1,"Wealthier Nation Wins")</f>
        <v>Tie</v>
      </c>
    </row>
    <row r="2169" spans="1:17" x14ac:dyDescent="0.2">
      <c r="A2169" s="1">
        <v>3644</v>
      </c>
      <c r="B2169" s="2">
        <v>36705</v>
      </c>
      <c r="C2169" s="7">
        <f>_xlfn.FLOOR.MATH(Table1[[#This Row],[year]],10)</f>
        <v>2000</v>
      </c>
      <c r="D2169" t="s">
        <v>258</v>
      </c>
      <c r="E2169" t="s">
        <v>47</v>
      </c>
      <c r="F2169">
        <v>4</v>
      </c>
      <c r="G2169">
        <v>2</v>
      </c>
      <c r="H2169" t="s">
        <v>224</v>
      </c>
      <c r="I2169" t="s">
        <v>416</v>
      </c>
      <c r="J2169" t="s">
        <v>258</v>
      </c>
      <c r="K2169" t="b">
        <v>0</v>
      </c>
      <c r="L2169">
        <v>2000</v>
      </c>
      <c r="M2169">
        <v>117146466002</v>
      </c>
      <c r="N2169">
        <v>8397855484</v>
      </c>
      <c r="O2169" t="b">
        <v>1</v>
      </c>
      <c r="P2169">
        <v>1</v>
      </c>
      <c r="Q2169" t="str" cm="1">
        <f t="array" ref="Q2169">_xlfn.IFS(Table1[[#This Row],[Wealthier_Winner]]=-1,"Wealthier Nation Loses",Table1[[#This Row],[Wealthier_Winner]]=0,"Tie",Table1[[#This Row],[Wealthier_Winner]]=1,"Wealthier Nation Wins")</f>
        <v>Wealthier Nation Wins</v>
      </c>
    </row>
    <row r="2170" spans="1:17" x14ac:dyDescent="0.2">
      <c r="A2170" s="1">
        <v>3645</v>
      </c>
      <c r="B2170" s="2">
        <v>36706</v>
      </c>
      <c r="C2170" s="7">
        <f>_xlfn.FLOOR.MATH(Table1[[#This Row],[year]],10)</f>
        <v>2000</v>
      </c>
      <c r="D2170" t="s">
        <v>14</v>
      </c>
      <c r="E2170" t="s">
        <v>35</v>
      </c>
      <c r="F2170">
        <v>3</v>
      </c>
      <c r="G2170">
        <v>1</v>
      </c>
      <c r="H2170" t="s">
        <v>224</v>
      </c>
      <c r="I2170" t="s">
        <v>75</v>
      </c>
      <c r="J2170" t="s">
        <v>14</v>
      </c>
      <c r="K2170" t="b">
        <v>0</v>
      </c>
      <c r="L2170">
        <v>2000</v>
      </c>
      <c r="M2170">
        <v>78339750721</v>
      </c>
      <c r="N2170">
        <v>8855705139</v>
      </c>
      <c r="O2170" t="b">
        <v>1</v>
      </c>
      <c r="P2170">
        <v>1</v>
      </c>
      <c r="Q2170" t="str" cm="1">
        <f t="array" ref="Q2170">_xlfn.IFS(Table1[[#This Row],[Wealthier_Winner]]=-1,"Wealthier Nation Loses",Table1[[#This Row],[Wealthier_Winner]]=0,"Tie",Table1[[#This Row],[Wealthier_Winner]]=1,"Wealthier Nation Wins")</f>
        <v>Wealthier Nation Wins</v>
      </c>
    </row>
    <row r="2171" spans="1:17" x14ac:dyDescent="0.2">
      <c r="A2171" s="1">
        <v>3646</v>
      </c>
      <c r="B2171" s="2">
        <v>36706</v>
      </c>
      <c r="C2171" s="7">
        <f>_xlfn.FLOOR.MATH(Table1[[#This Row],[year]],10)</f>
        <v>2000</v>
      </c>
      <c r="D2171" t="s">
        <v>15</v>
      </c>
      <c r="E2171" t="s">
        <v>19</v>
      </c>
      <c r="F2171">
        <v>1</v>
      </c>
      <c r="G2171">
        <v>3</v>
      </c>
      <c r="H2171" t="s">
        <v>224</v>
      </c>
      <c r="I2171" t="s">
        <v>241</v>
      </c>
      <c r="J2171" t="s">
        <v>15</v>
      </c>
      <c r="K2171" t="b">
        <v>0</v>
      </c>
      <c r="L2171">
        <v>2000</v>
      </c>
      <c r="M2171">
        <v>99875074951</v>
      </c>
      <c r="N2171">
        <v>284203750000</v>
      </c>
      <c r="O2171" t="b">
        <v>1</v>
      </c>
      <c r="P2171">
        <v>1</v>
      </c>
      <c r="Q2171" t="str" cm="1">
        <f t="array" ref="Q2171">_xlfn.IFS(Table1[[#This Row],[Wealthier_Winner]]=-1,"Wealthier Nation Loses",Table1[[#This Row],[Wealthier_Winner]]=0,"Tie",Table1[[#This Row],[Wealthier_Winner]]=1,"Wealthier Nation Wins")</f>
        <v>Wealthier Nation Wins</v>
      </c>
    </row>
    <row r="2172" spans="1:17" x14ac:dyDescent="0.2">
      <c r="A2172" s="1">
        <v>3647</v>
      </c>
      <c r="B2172" s="2">
        <v>36706</v>
      </c>
      <c r="C2172" s="7">
        <f>_xlfn.FLOOR.MATH(Table1[[#This Row],[year]],10)</f>
        <v>2000</v>
      </c>
      <c r="D2172" t="s">
        <v>57</v>
      </c>
      <c r="E2172" t="s">
        <v>31</v>
      </c>
      <c r="F2172">
        <v>2</v>
      </c>
      <c r="G2172">
        <v>1</v>
      </c>
      <c r="H2172" t="s">
        <v>224</v>
      </c>
      <c r="I2172" t="s">
        <v>335</v>
      </c>
      <c r="J2172" t="s">
        <v>57</v>
      </c>
      <c r="K2172" t="b">
        <v>0</v>
      </c>
      <c r="L2172">
        <v>2000</v>
      </c>
      <c r="M2172">
        <v>17539454727</v>
      </c>
      <c r="N2172">
        <v>51744749133</v>
      </c>
      <c r="O2172" t="b">
        <v>1</v>
      </c>
      <c r="P2172">
        <v>-1</v>
      </c>
      <c r="Q2172" t="str" cm="1">
        <f t="array" ref="Q2172">_xlfn.IFS(Table1[[#This Row],[Wealthier_Winner]]=-1,"Wealthier Nation Loses",Table1[[#This Row],[Wealthier_Winner]]=0,"Tie",Table1[[#This Row],[Wealthier_Winner]]=1,"Wealthier Nation Wins")</f>
        <v>Wealthier Nation Loses</v>
      </c>
    </row>
    <row r="2173" spans="1:17" x14ac:dyDescent="0.2">
      <c r="A2173" s="1">
        <v>3648</v>
      </c>
      <c r="B2173" s="2">
        <v>36715</v>
      </c>
      <c r="C2173" s="7">
        <f>_xlfn.FLOOR.MATH(Table1[[#This Row],[year]],10)</f>
        <v>2000</v>
      </c>
      <c r="D2173" t="s">
        <v>53</v>
      </c>
      <c r="E2173" t="s">
        <v>410</v>
      </c>
      <c r="F2173">
        <v>1</v>
      </c>
      <c r="G2173">
        <v>0</v>
      </c>
      <c r="H2173" t="s">
        <v>224</v>
      </c>
      <c r="I2173" t="s">
        <v>284</v>
      </c>
      <c r="J2173" t="s">
        <v>53</v>
      </c>
      <c r="K2173" t="b">
        <v>0</v>
      </c>
      <c r="L2173">
        <v>2000</v>
      </c>
      <c r="M2173">
        <v>21473528160</v>
      </c>
      <c r="N2173">
        <v>4629247203</v>
      </c>
      <c r="O2173" t="b">
        <v>1</v>
      </c>
      <c r="P2173">
        <v>1</v>
      </c>
      <c r="Q2173" t="str" cm="1">
        <f t="array" ref="Q2173">_xlfn.IFS(Table1[[#This Row],[Wealthier_Winner]]=-1,"Wealthier Nation Loses",Table1[[#This Row],[Wealthier_Winner]]=0,"Tie",Table1[[#This Row],[Wealthier_Winner]]=1,"Wealthier Nation Wins")</f>
        <v>Wealthier Nation Wins</v>
      </c>
    </row>
    <row r="2174" spans="1:17" x14ac:dyDescent="0.2">
      <c r="A2174" s="1">
        <v>3649</v>
      </c>
      <c r="B2174" s="2">
        <v>36715</v>
      </c>
      <c r="C2174" s="7">
        <f>_xlfn.FLOOR.MATH(Table1[[#This Row],[year]],10)</f>
        <v>2000</v>
      </c>
      <c r="D2174" t="s">
        <v>273</v>
      </c>
      <c r="E2174" t="s">
        <v>62</v>
      </c>
      <c r="F2174">
        <v>2</v>
      </c>
      <c r="G2174">
        <v>0</v>
      </c>
      <c r="H2174" t="s">
        <v>224</v>
      </c>
      <c r="I2174" t="s">
        <v>330</v>
      </c>
      <c r="J2174" t="s">
        <v>273</v>
      </c>
      <c r="K2174" t="b">
        <v>0</v>
      </c>
      <c r="L2174">
        <v>2000</v>
      </c>
      <c r="M2174">
        <v>3600632111</v>
      </c>
      <c r="N2174">
        <v>2106848752</v>
      </c>
      <c r="O2174" t="b">
        <v>0</v>
      </c>
      <c r="P2174">
        <v>1</v>
      </c>
      <c r="Q2174" t="str" cm="1">
        <f t="array" ref="Q2174">_xlfn.IFS(Table1[[#This Row],[Wealthier_Winner]]=-1,"Wealthier Nation Loses",Table1[[#This Row],[Wealthier_Winner]]=0,"Tie",Table1[[#This Row],[Wealthier_Winner]]=1,"Wealthier Nation Wins")</f>
        <v>Wealthier Nation Wins</v>
      </c>
    </row>
    <row r="2175" spans="1:17" x14ac:dyDescent="0.2">
      <c r="A2175" s="1">
        <v>3650</v>
      </c>
      <c r="B2175" s="2">
        <v>36716</v>
      </c>
      <c r="C2175" s="7">
        <f>_xlfn.FLOOR.MATH(Table1[[#This Row],[year]],10)</f>
        <v>2000</v>
      </c>
      <c r="D2175" t="s">
        <v>40</v>
      </c>
      <c r="E2175" t="s">
        <v>60</v>
      </c>
      <c r="F2175">
        <v>3</v>
      </c>
      <c r="G2175">
        <v>0</v>
      </c>
      <c r="H2175" t="s">
        <v>224</v>
      </c>
      <c r="I2175" t="s">
        <v>371</v>
      </c>
      <c r="J2175" t="s">
        <v>40</v>
      </c>
      <c r="K2175" t="b">
        <v>0</v>
      </c>
      <c r="L2175">
        <v>2000</v>
      </c>
      <c r="M2175">
        <v>10566579294</v>
      </c>
      <c r="N2175">
        <v>9129594970</v>
      </c>
      <c r="O2175" t="b">
        <v>0</v>
      </c>
      <c r="P2175">
        <v>1</v>
      </c>
      <c r="Q2175" t="str" cm="1">
        <f t="array" ref="Q2175">_xlfn.IFS(Table1[[#This Row],[Wealthier_Winner]]=-1,"Wealthier Nation Loses",Table1[[#This Row],[Wealthier_Winner]]=0,"Tie",Table1[[#This Row],[Wealthier_Winner]]=1,"Wealthier Nation Wins")</f>
        <v>Wealthier Nation Wins</v>
      </c>
    </row>
    <row r="2176" spans="1:17" x14ac:dyDescent="0.2">
      <c r="A2176" s="1">
        <v>3652</v>
      </c>
      <c r="B2176" s="2">
        <v>36716</v>
      </c>
      <c r="C2176" s="7">
        <f>_xlfn.FLOOR.MATH(Table1[[#This Row],[year]],10)</f>
        <v>2000</v>
      </c>
      <c r="D2176" t="s">
        <v>63</v>
      </c>
      <c r="E2176" t="s">
        <v>342</v>
      </c>
      <c r="F2176">
        <v>5</v>
      </c>
      <c r="G2176">
        <v>0</v>
      </c>
      <c r="H2176" t="s">
        <v>224</v>
      </c>
      <c r="I2176" t="s">
        <v>226</v>
      </c>
      <c r="J2176" t="s">
        <v>63</v>
      </c>
      <c r="K2176" t="b">
        <v>0</v>
      </c>
      <c r="L2176">
        <v>2000</v>
      </c>
      <c r="M2176">
        <v>4982850662</v>
      </c>
      <c r="N2176">
        <v>635866403</v>
      </c>
      <c r="O2176" t="b">
        <v>1</v>
      </c>
      <c r="P2176">
        <v>1</v>
      </c>
      <c r="Q2176" t="str" cm="1">
        <f t="array" ref="Q2176">_xlfn.IFS(Table1[[#This Row],[Wealthier_Winner]]=-1,"Wealthier Nation Loses",Table1[[#This Row],[Wealthier_Winner]]=0,"Tie",Table1[[#This Row],[Wealthier_Winner]]=1,"Wealthier Nation Wins")</f>
        <v>Wealthier Nation Wins</v>
      </c>
    </row>
    <row r="2177" spans="1:17" x14ac:dyDescent="0.2">
      <c r="A2177" s="1">
        <v>3653</v>
      </c>
      <c r="B2177" s="2">
        <v>36716</v>
      </c>
      <c r="C2177" s="7">
        <f>_xlfn.FLOOR.MATH(Table1[[#This Row],[year]],10)</f>
        <v>2000</v>
      </c>
      <c r="D2177" t="s">
        <v>378</v>
      </c>
      <c r="E2177" t="s">
        <v>43</v>
      </c>
      <c r="F2177">
        <v>2</v>
      </c>
      <c r="G2177">
        <v>1</v>
      </c>
      <c r="H2177" t="s">
        <v>224</v>
      </c>
      <c r="I2177" t="s">
        <v>595</v>
      </c>
      <c r="J2177" t="s">
        <v>378</v>
      </c>
      <c r="K2177" t="b">
        <v>0</v>
      </c>
      <c r="L2177">
        <v>2000</v>
      </c>
      <c r="M2177">
        <v>874000000</v>
      </c>
      <c r="N2177">
        <v>69171451627</v>
      </c>
      <c r="O2177" t="b">
        <v>1</v>
      </c>
      <c r="P2177">
        <v>-1</v>
      </c>
      <c r="Q2177" t="str" cm="1">
        <f t="array" ref="Q2177">_xlfn.IFS(Table1[[#This Row],[Wealthier_Winner]]=-1,"Wealthier Nation Loses",Table1[[#This Row],[Wealthier_Winner]]=0,"Tie",Table1[[#This Row],[Wealthier_Winner]]=1,"Wealthier Nation Wins")</f>
        <v>Wealthier Nation Loses</v>
      </c>
    </row>
    <row r="2178" spans="1:17" x14ac:dyDescent="0.2">
      <c r="A2178" s="1">
        <v>3654</v>
      </c>
      <c r="B2178" s="2">
        <v>36716</v>
      </c>
      <c r="C2178" s="7">
        <f>_xlfn.FLOOR.MATH(Table1[[#This Row],[year]],10)</f>
        <v>2000</v>
      </c>
      <c r="D2178" t="s">
        <v>24</v>
      </c>
      <c r="E2178" t="s">
        <v>32</v>
      </c>
      <c r="F2178">
        <v>2</v>
      </c>
      <c r="G2178">
        <v>1</v>
      </c>
      <c r="H2178" t="s">
        <v>224</v>
      </c>
      <c r="I2178" t="s">
        <v>376</v>
      </c>
      <c r="J2178" t="s">
        <v>24</v>
      </c>
      <c r="K2178" t="b">
        <v>0</v>
      </c>
      <c r="L2178">
        <v>2000</v>
      </c>
      <c r="M2178">
        <v>43017455401</v>
      </c>
      <c r="N2178">
        <v>54790398570</v>
      </c>
      <c r="O2178" t="b">
        <v>0</v>
      </c>
      <c r="P2178">
        <v>-1</v>
      </c>
      <c r="Q2178" t="str" cm="1">
        <f t="array" ref="Q2178">_xlfn.IFS(Table1[[#This Row],[Wealthier_Winner]]=-1,"Wealthier Nation Loses",Table1[[#This Row],[Wealthier_Winner]]=0,"Tie",Table1[[#This Row],[Wealthier_Winner]]=1,"Wealthier Nation Wins")</f>
        <v>Wealthier Nation Loses</v>
      </c>
    </row>
    <row r="2179" spans="1:17" x14ac:dyDescent="0.2">
      <c r="A2179" s="1">
        <v>3655</v>
      </c>
      <c r="B2179" s="2">
        <v>36716</v>
      </c>
      <c r="C2179" s="7">
        <f>_xlfn.FLOOR.MATH(Table1[[#This Row],[year]],10)</f>
        <v>2000</v>
      </c>
      <c r="D2179" t="s">
        <v>54</v>
      </c>
      <c r="E2179" t="s">
        <v>212</v>
      </c>
      <c r="F2179">
        <v>0</v>
      </c>
      <c r="G2179">
        <v>0</v>
      </c>
      <c r="H2179" t="s">
        <v>224</v>
      </c>
      <c r="I2179" t="s">
        <v>285</v>
      </c>
      <c r="J2179" t="s">
        <v>54</v>
      </c>
      <c r="K2179" t="b">
        <v>0</v>
      </c>
      <c r="L2179">
        <v>2000</v>
      </c>
      <c r="M2179">
        <v>6013185003</v>
      </c>
      <c r="N2179">
        <v>99838543960</v>
      </c>
      <c r="O2179" t="b">
        <v>1</v>
      </c>
      <c r="P2179">
        <v>0</v>
      </c>
      <c r="Q2179" t="str" cm="1">
        <f t="array" ref="Q2179">_xlfn.IFS(Table1[[#This Row],[Wealthier_Winner]]=-1,"Wealthier Nation Loses",Table1[[#This Row],[Wealthier_Winner]]=0,"Tie",Table1[[#This Row],[Wealthier_Winner]]=1,"Wealthier Nation Wins")</f>
        <v>Tie</v>
      </c>
    </row>
    <row r="2180" spans="1:17" x14ac:dyDescent="0.2">
      <c r="A2180" s="1">
        <v>3656</v>
      </c>
      <c r="B2180" s="2">
        <v>36716</v>
      </c>
      <c r="C2180" s="7">
        <f>_xlfn.FLOOR.MATH(Table1[[#This Row],[year]],10)</f>
        <v>2000</v>
      </c>
      <c r="D2180" t="s">
        <v>298</v>
      </c>
      <c r="E2180" t="s">
        <v>50</v>
      </c>
      <c r="F2180">
        <v>0</v>
      </c>
      <c r="G2180">
        <v>2</v>
      </c>
      <c r="H2180" t="s">
        <v>224</v>
      </c>
      <c r="I2180" t="s">
        <v>377</v>
      </c>
      <c r="J2180" t="s">
        <v>298</v>
      </c>
      <c r="K2180" t="b">
        <v>0</v>
      </c>
      <c r="L2180">
        <v>2000</v>
      </c>
      <c r="M2180">
        <v>6693250000</v>
      </c>
      <c r="N2180">
        <v>151752757215</v>
      </c>
      <c r="O2180" t="b">
        <v>1</v>
      </c>
      <c r="P2180">
        <v>1</v>
      </c>
      <c r="Q2180" t="str" cm="1">
        <f t="array" ref="Q2180">_xlfn.IFS(Table1[[#This Row],[Wealthier_Winner]]=-1,"Wealthier Nation Loses",Table1[[#This Row],[Wealthier_Winner]]=0,"Tie",Table1[[#This Row],[Wealthier_Winner]]=1,"Wealthier Nation Wins")</f>
        <v>Wealthier Nation Wins</v>
      </c>
    </row>
    <row r="2181" spans="1:17" x14ac:dyDescent="0.2">
      <c r="A2181" s="1">
        <v>3658</v>
      </c>
      <c r="B2181" s="2">
        <v>36723</v>
      </c>
      <c r="C2181" s="7">
        <f>_xlfn.FLOOR.MATH(Table1[[#This Row],[year]],10)</f>
        <v>2000</v>
      </c>
      <c r="D2181" t="s">
        <v>443</v>
      </c>
      <c r="E2181" t="s">
        <v>56</v>
      </c>
      <c r="F2181">
        <v>2</v>
      </c>
      <c r="G2181">
        <v>1</v>
      </c>
      <c r="H2181" t="s">
        <v>224</v>
      </c>
      <c r="I2181" t="s">
        <v>444</v>
      </c>
      <c r="J2181" t="s">
        <v>443</v>
      </c>
      <c r="K2181" t="b">
        <v>0</v>
      </c>
      <c r="L2181">
        <v>2000</v>
      </c>
      <c r="M2181">
        <v>3059500000</v>
      </c>
      <c r="N2181">
        <v>15013629661</v>
      </c>
      <c r="O2181" t="b">
        <v>1</v>
      </c>
      <c r="P2181">
        <v>-1</v>
      </c>
      <c r="Q2181" t="str" cm="1">
        <f t="array" ref="Q2181">_xlfn.IFS(Table1[[#This Row],[Wealthier_Winner]]=-1,"Wealthier Nation Loses",Table1[[#This Row],[Wealthier_Winner]]=0,"Tie",Table1[[#This Row],[Wealthier_Winner]]=1,"Wealthier Nation Wins")</f>
        <v>Wealthier Nation Loses</v>
      </c>
    </row>
    <row r="2182" spans="1:17" x14ac:dyDescent="0.2">
      <c r="A2182" s="1">
        <v>3659</v>
      </c>
      <c r="B2182" s="2">
        <v>36723</v>
      </c>
      <c r="C2182" s="7">
        <f>_xlfn.FLOOR.MATH(Table1[[#This Row],[year]],10)</f>
        <v>2000</v>
      </c>
      <c r="D2182" t="s">
        <v>34</v>
      </c>
      <c r="E2182" t="s">
        <v>59</v>
      </c>
      <c r="F2182">
        <v>0</v>
      </c>
      <c r="G2182">
        <v>2</v>
      </c>
      <c r="H2182" t="s">
        <v>224</v>
      </c>
      <c r="I2182" t="s">
        <v>488</v>
      </c>
      <c r="J2182" t="s">
        <v>34</v>
      </c>
      <c r="K2182" t="b">
        <v>0</v>
      </c>
      <c r="L2182">
        <v>2000</v>
      </c>
      <c r="M2182">
        <v>744773415931</v>
      </c>
      <c r="N2182">
        <v>8154342116</v>
      </c>
      <c r="O2182" t="b">
        <v>1</v>
      </c>
      <c r="P2182">
        <v>-1</v>
      </c>
      <c r="Q2182" t="str" cm="1">
        <f t="array" ref="Q2182">_xlfn.IFS(Table1[[#This Row],[Wealthier_Winner]]=-1,"Wealthier Nation Loses",Table1[[#This Row],[Wealthier_Winner]]=0,"Tie",Table1[[#This Row],[Wealthier_Winner]]=1,"Wealthier Nation Wins")</f>
        <v>Wealthier Nation Loses</v>
      </c>
    </row>
    <row r="2183" spans="1:17" x14ac:dyDescent="0.2">
      <c r="A2183" s="1">
        <v>3660</v>
      </c>
      <c r="B2183" s="2">
        <v>36723</v>
      </c>
      <c r="C2183" s="7">
        <f>_xlfn.FLOOR.MATH(Table1[[#This Row],[year]],10)</f>
        <v>2000</v>
      </c>
      <c r="D2183" t="s">
        <v>69</v>
      </c>
      <c r="E2183" t="s">
        <v>65</v>
      </c>
      <c r="F2183">
        <v>2</v>
      </c>
      <c r="G2183">
        <v>5</v>
      </c>
      <c r="H2183" t="s">
        <v>224</v>
      </c>
      <c r="I2183" t="s">
        <v>281</v>
      </c>
      <c r="J2183" t="s">
        <v>69</v>
      </c>
      <c r="K2183" t="b">
        <v>0</v>
      </c>
      <c r="L2183">
        <v>2000</v>
      </c>
      <c r="M2183">
        <v>11784927700</v>
      </c>
      <c r="N2183">
        <v>7186638029</v>
      </c>
      <c r="O2183" t="b">
        <v>0</v>
      </c>
      <c r="P2183">
        <v>-1</v>
      </c>
      <c r="Q2183" t="str" cm="1">
        <f t="array" ref="Q2183">_xlfn.IFS(Table1[[#This Row],[Wealthier_Winner]]=-1,"Wealthier Nation Loses",Table1[[#This Row],[Wealthier_Winner]]=0,"Tie",Table1[[#This Row],[Wealthier_Winner]]=1,"Wealthier Nation Wins")</f>
        <v>Wealthier Nation Loses</v>
      </c>
    </row>
    <row r="2184" spans="1:17" x14ac:dyDescent="0.2">
      <c r="A2184" s="1">
        <v>3661</v>
      </c>
      <c r="B2184" s="2">
        <v>36723</v>
      </c>
      <c r="C2184" s="7">
        <f>_xlfn.FLOOR.MATH(Table1[[#This Row],[year]],10)</f>
        <v>2000</v>
      </c>
      <c r="D2184" t="s">
        <v>223</v>
      </c>
      <c r="E2184" t="s">
        <v>41</v>
      </c>
      <c r="F2184">
        <v>1</v>
      </c>
      <c r="G2184">
        <v>1</v>
      </c>
      <c r="H2184" t="s">
        <v>224</v>
      </c>
      <c r="I2184" t="s">
        <v>598</v>
      </c>
      <c r="J2184" t="s">
        <v>223</v>
      </c>
      <c r="K2184" t="b">
        <v>0</v>
      </c>
      <c r="L2184">
        <v>2000</v>
      </c>
      <c r="M2184">
        <v>19288929030</v>
      </c>
      <c r="N2184">
        <v>10250947997000</v>
      </c>
      <c r="O2184" t="b">
        <v>1</v>
      </c>
      <c r="P2184">
        <v>0</v>
      </c>
      <c r="Q2184" t="str" cm="1">
        <f t="array" ref="Q2184">_xlfn.IFS(Table1[[#This Row],[Wealthier_Winner]]=-1,"Wealthier Nation Loses",Table1[[#This Row],[Wealthier_Winner]]=0,"Tie",Table1[[#This Row],[Wealthier_Winner]]=1,"Wealthier Nation Wins")</f>
        <v>Tie</v>
      </c>
    </row>
    <row r="2185" spans="1:17" x14ac:dyDescent="0.2">
      <c r="A2185" s="1">
        <v>3662</v>
      </c>
      <c r="B2185" s="2">
        <v>36723</v>
      </c>
      <c r="C2185" s="7">
        <f>_xlfn.FLOOR.MATH(Table1[[#This Row],[year]],10)</f>
        <v>2000</v>
      </c>
      <c r="D2185" t="s">
        <v>67</v>
      </c>
      <c r="E2185" t="s">
        <v>17</v>
      </c>
      <c r="F2185">
        <v>0</v>
      </c>
      <c r="G2185">
        <v>1</v>
      </c>
      <c r="H2185" t="s">
        <v>224</v>
      </c>
      <c r="I2185" t="s">
        <v>455</v>
      </c>
      <c r="J2185" t="s">
        <v>67</v>
      </c>
      <c r="K2185" t="b">
        <v>0</v>
      </c>
      <c r="L2185">
        <v>2000</v>
      </c>
      <c r="M2185">
        <v>11966497048</v>
      </c>
      <c r="N2185">
        <v>742061329749</v>
      </c>
      <c r="O2185" t="b">
        <v>1</v>
      </c>
      <c r="P2185">
        <v>1</v>
      </c>
      <c r="Q2185" t="str" cm="1">
        <f t="array" ref="Q2185">_xlfn.IFS(Table1[[#This Row],[Wealthier_Winner]]=-1,"Wealthier Nation Loses",Table1[[#This Row],[Wealthier_Winner]]=0,"Tie",Table1[[#This Row],[Wealthier_Winner]]=1,"Wealthier Nation Wins")</f>
        <v>Wealthier Nation Wins</v>
      </c>
    </row>
    <row r="2186" spans="1:17" x14ac:dyDescent="0.2">
      <c r="A2186" s="1">
        <v>3663</v>
      </c>
      <c r="B2186" s="2">
        <v>36725</v>
      </c>
      <c r="C2186" s="7">
        <f>_xlfn.FLOOR.MATH(Table1[[#This Row],[year]],10)</f>
        <v>2000</v>
      </c>
      <c r="D2186" t="s">
        <v>35</v>
      </c>
      <c r="E2186" t="s">
        <v>13</v>
      </c>
      <c r="F2186">
        <v>2</v>
      </c>
      <c r="G2186">
        <v>1</v>
      </c>
      <c r="H2186" t="s">
        <v>224</v>
      </c>
      <c r="I2186" t="s">
        <v>250</v>
      </c>
      <c r="J2186" t="s">
        <v>35</v>
      </c>
      <c r="K2186" t="b">
        <v>0</v>
      </c>
      <c r="L2186">
        <v>2000</v>
      </c>
      <c r="M2186">
        <v>8855705139</v>
      </c>
      <c r="N2186">
        <v>655448188259</v>
      </c>
      <c r="O2186" t="b">
        <v>1</v>
      </c>
      <c r="P2186">
        <v>-1</v>
      </c>
      <c r="Q2186" t="str" cm="1">
        <f t="array" ref="Q2186">_xlfn.IFS(Table1[[#This Row],[Wealthier_Winner]]=-1,"Wealthier Nation Loses",Table1[[#This Row],[Wealthier_Winner]]=0,"Tie",Table1[[#This Row],[Wealthier_Winner]]=1,"Wealthier Nation Wins")</f>
        <v>Wealthier Nation Loses</v>
      </c>
    </row>
    <row r="2187" spans="1:17" x14ac:dyDescent="0.2">
      <c r="A2187" s="1">
        <v>3664</v>
      </c>
      <c r="B2187" s="2">
        <v>36725</v>
      </c>
      <c r="C2187" s="7">
        <f>_xlfn.FLOOR.MATH(Table1[[#This Row],[year]],10)</f>
        <v>2000</v>
      </c>
      <c r="D2187" t="s">
        <v>26</v>
      </c>
      <c r="E2187" t="s">
        <v>258</v>
      </c>
      <c r="F2187">
        <v>3</v>
      </c>
      <c r="G2187">
        <v>1</v>
      </c>
      <c r="H2187" t="s">
        <v>224</v>
      </c>
      <c r="I2187" t="s">
        <v>247</v>
      </c>
      <c r="J2187" t="s">
        <v>26</v>
      </c>
      <c r="K2187" t="b">
        <v>0</v>
      </c>
      <c r="L2187">
        <v>2000</v>
      </c>
      <c r="M2187">
        <v>22823270892</v>
      </c>
      <c r="N2187">
        <v>117146466002</v>
      </c>
      <c r="O2187" t="b">
        <v>1</v>
      </c>
      <c r="P2187">
        <v>-1</v>
      </c>
      <c r="Q2187" t="str" cm="1">
        <f t="array" ref="Q2187">_xlfn.IFS(Table1[[#This Row],[Wealthier_Winner]]=-1,"Wealthier Nation Loses",Table1[[#This Row],[Wealthier_Winner]]=0,"Tie",Table1[[#This Row],[Wealthier_Winner]]=1,"Wealthier Nation Wins")</f>
        <v>Wealthier Nation Loses</v>
      </c>
    </row>
    <row r="2188" spans="1:17" x14ac:dyDescent="0.2">
      <c r="A2188" s="1">
        <v>3665</v>
      </c>
      <c r="B2188" s="2">
        <v>36726</v>
      </c>
      <c r="C2188" s="7">
        <f>_xlfn.FLOOR.MATH(Table1[[#This Row],[year]],10)</f>
        <v>2000</v>
      </c>
      <c r="D2188" t="s">
        <v>19</v>
      </c>
      <c r="E2188" t="s">
        <v>57</v>
      </c>
      <c r="F2188">
        <v>2</v>
      </c>
      <c r="G2188">
        <v>0</v>
      </c>
      <c r="H2188" t="s">
        <v>224</v>
      </c>
      <c r="I2188" t="s">
        <v>93</v>
      </c>
      <c r="J2188" t="s">
        <v>19</v>
      </c>
      <c r="K2188" t="b">
        <v>0</v>
      </c>
      <c r="L2188">
        <v>2000</v>
      </c>
      <c r="M2188">
        <v>284203750000</v>
      </c>
      <c r="N2188">
        <v>17539454727</v>
      </c>
      <c r="O2188" t="b">
        <v>1</v>
      </c>
      <c r="P2188">
        <v>1</v>
      </c>
      <c r="Q2188" t="str" cm="1">
        <f t="array" ref="Q2188">_xlfn.IFS(Table1[[#This Row],[Wealthier_Winner]]=-1,"Wealthier Nation Loses",Table1[[#This Row],[Wealthier_Winner]]=0,"Tie",Table1[[#This Row],[Wealthier_Winner]]=1,"Wealthier Nation Wins")</f>
        <v>Wealthier Nation Wins</v>
      </c>
    </row>
    <row r="2189" spans="1:17" x14ac:dyDescent="0.2">
      <c r="A2189" s="1">
        <v>3666</v>
      </c>
      <c r="B2189" s="2">
        <v>36726</v>
      </c>
      <c r="C2189" s="7">
        <f>_xlfn.FLOOR.MATH(Table1[[#This Row],[year]],10)</f>
        <v>2000</v>
      </c>
      <c r="D2189" t="s">
        <v>47</v>
      </c>
      <c r="E2189" t="s">
        <v>14</v>
      </c>
      <c r="F2189">
        <v>1</v>
      </c>
      <c r="G2189">
        <v>0</v>
      </c>
      <c r="H2189" t="s">
        <v>224</v>
      </c>
      <c r="I2189" t="s">
        <v>246</v>
      </c>
      <c r="J2189" t="s">
        <v>47</v>
      </c>
      <c r="K2189" t="b">
        <v>0</v>
      </c>
      <c r="L2189">
        <v>2000</v>
      </c>
      <c r="M2189">
        <v>8397855484</v>
      </c>
      <c r="N2189">
        <v>78339750721</v>
      </c>
      <c r="O2189" t="b">
        <v>1</v>
      </c>
      <c r="P2189">
        <v>-1</v>
      </c>
      <c r="Q2189" t="str" cm="1">
        <f t="array" ref="Q2189">_xlfn.IFS(Table1[[#This Row],[Wealthier_Winner]]=-1,"Wealthier Nation Loses",Table1[[#This Row],[Wealthier_Winner]]=0,"Tie",Table1[[#This Row],[Wealthier_Winner]]=1,"Wealthier Nation Wins")</f>
        <v>Wealthier Nation Loses</v>
      </c>
    </row>
    <row r="2190" spans="1:17" x14ac:dyDescent="0.2">
      <c r="A2190" s="1">
        <v>3667</v>
      </c>
      <c r="B2190" s="2">
        <v>36726</v>
      </c>
      <c r="C2190" s="7">
        <f>_xlfn.FLOOR.MATH(Table1[[#This Row],[year]],10)</f>
        <v>2000</v>
      </c>
      <c r="D2190" t="s">
        <v>31</v>
      </c>
      <c r="E2190" t="s">
        <v>15</v>
      </c>
      <c r="F2190">
        <v>0</v>
      </c>
      <c r="G2190">
        <v>1</v>
      </c>
      <c r="H2190" t="s">
        <v>224</v>
      </c>
      <c r="I2190" t="s">
        <v>242</v>
      </c>
      <c r="J2190" t="s">
        <v>31</v>
      </c>
      <c r="K2190" t="b">
        <v>0</v>
      </c>
      <c r="L2190">
        <v>2000</v>
      </c>
      <c r="M2190">
        <v>51744749133</v>
      </c>
      <c r="N2190">
        <v>99875074951</v>
      </c>
      <c r="O2190" t="b">
        <v>0</v>
      </c>
      <c r="P2190">
        <v>1</v>
      </c>
      <c r="Q2190" t="str" cm="1">
        <f t="array" ref="Q2190">_xlfn.IFS(Table1[[#This Row],[Wealthier_Winner]]=-1,"Wealthier Nation Loses",Table1[[#This Row],[Wealthier_Winner]]=0,"Tie",Table1[[#This Row],[Wealthier_Winner]]=1,"Wealthier Nation Wins")</f>
        <v>Wealthier Nation Wins</v>
      </c>
    </row>
    <row r="2191" spans="1:17" x14ac:dyDescent="0.2">
      <c r="A2191" s="1">
        <v>3668</v>
      </c>
      <c r="B2191" s="2">
        <v>36729</v>
      </c>
      <c r="C2191" s="7">
        <f>_xlfn.FLOOR.MATH(Table1[[#This Row],[year]],10)</f>
        <v>2000</v>
      </c>
      <c r="D2191" t="s">
        <v>223</v>
      </c>
      <c r="E2191" t="s">
        <v>443</v>
      </c>
      <c r="F2191">
        <v>2</v>
      </c>
      <c r="G2191">
        <v>0</v>
      </c>
      <c r="H2191" t="s">
        <v>224</v>
      </c>
      <c r="I2191" t="s">
        <v>599</v>
      </c>
      <c r="J2191" t="s">
        <v>223</v>
      </c>
      <c r="K2191" t="b">
        <v>0</v>
      </c>
      <c r="L2191">
        <v>2000</v>
      </c>
      <c r="M2191">
        <v>19288929030</v>
      </c>
      <c r="N2191">
        <v>3059500000</v>
      </c>
      <c r="O2191" t="b">
        <v>1</v>
      </c>
      <c r="P2191">
        <v>1</v>
      </c>
      <c r="Q2191" t="str" cm="1">
        <f t="array" ref="Q2191">_xlfn.IFS(Table1[[#This Row],[Wealthier_Winner]]=-1,"Wealthier Nation Loses",Table1[[#This Row],[Wealthier_Winner]]=0,"Tie",Table1[[#This Row],[Wealthier_Winner]]=1,"Wealthier Nation Wins")</f>
        <v>Wealthier Nation Wins</v>
      </c>
    </row>
    <row r="2192" spans="1:17" x14ac:dyDescent="0.2">
      <c r="A2192" s="1">
        <v>3670</v>
      </c>
      <c r="B2192" s="2">
        <v>36730</v>
      </c>
      <c r="C2192" s="7">
        <f>_xlfn.FLOOR.MATH(Table1[[#This Row],[year]],10)</f>
        <v>2000</v>
      </c>
      <c r="D2192" t="s">
        <v>56</v>
      </c>
      <c r="E2192" t="s">
        <v>41</v>
      </c>
      <c r="F2192">
        <v>2</v>
      </c>
      <c r="G2192">
        <v>1</v>
      </c>
      <c r="H2192" t="s">
        <v>224</v>
      </c>
      <c r="I2192" t="s">
        <v>225</v>
      </c>
      <c r="J2192" t="s">
        <v>56</v>
      </c>
      <c r="K2192" t="b">
        <v>0</v>
      </c>
      <c r="L2192">
        <v>2000</v>
      </c>
      <c r="M2192">
        <v>15013629661</v>
      </c>
      <c r="N2192">
        <v>10250947997000</v>
      </c>
      <c r="O2192" t="b">
        <v>1</v>
      </c>
      <c r="P2192">
        <v>-1</v>
      </c>
      <c r="Q2192" t="str" cm="1">
        <f t="array" ref="Q2192">_xlfn.IFS(Table1[[#This Row],[Wealthier_Winner]]=-1,"Wealthier Nation Loses",Table1[[#This Row],[Wealthier_Winner]]=0,"Tie",Table1[[#This Row],[Wealthier_Winner]]=1,"Wealthier Nation Wins")</f>
        <v>Wealthier Nation Loses</v>
      </c>
    </row>
    <row r="2193" spans="1:17" x14ac:dyDescent="0.2">
      <c r="A2193" s="1">
        <v>3671</v>
      </c>
      <c r="B2193" s="2">
        <v>36730</v>
      </c>
      <c r="C2193" s="7">
        <f>_xlfn.FLOOR.MATH(Table1[[#This Row],[year]],10)</f>
        <v>2000</v>
      </c>
      <c r="D2193" t="s">
        <v>49</v>
      </c>
      <c r="E2193" t="s">
        <v>65</v>
      </c>
      <c r="F2193">
        <v>3</v>
      </c>
      <c r="G2193">
        <v>1</v>
      </c>
      <c r="H2193" t="s">
        <v>224</v>
      </c>
      <c r="I2193" t="s">
        <v>257</v>
      </c>
      <c r="J2193" t="s">
        <v>49</v>
      </c>
      <c r="K2193" t="b">
        <v>0</v>
      </c>
      <c r="L2193">
        <v>2000</v>
      </c>
      <c r="M2193">
        <v>9005064474</v>
      </c>
      <c r="N2193">
        <v>7186638029</v>
      </c>
      <c r="O2193" t="b">
        <v>0</v>
      </c>
      <c r="P2193">
        <v>1</v>
      </c>
      <c r="Q2193" t="str" cm="1">
        <f t="array" ref="Q2193">_xlfn.IFS(Table1[[#This Row],[Wealthier_Winner]]=-1,"Wealthier Nation Loses",Table1[[#This Row],[Wealthier_Winner]]=0,"Tie",Table1[[#This Row],[Wealthier_Winner]]=1,"Wealthier Nation Wins")</f>
        <v>Wealthier Nation Wins</v>
      </c>
    </row>
    <row r="2194" spans="1:17" x14ac:dyDescent="0.2">
      <c r="A2194" s="1">
        <v>3672</v>
      </c>
      <c r="B2194" s="2">
        <v>36730</v>
      </c>
      <c r="C2194" s="7">
        <f>_xlfn.FLOOR.MATH(Table1[[#This Row],[year]],10)</f>
        <v>2000</v>
      </c>
      <c r="D2194" t="s">
        <v>67</v>
      </c>
      <c r="E2194" t="s">
        <v>34</v>
      </c>
      <c r="F2194">
        <v>0</v>
      </c>
      <c r="G2194">
        <v>0</v>
      </c>
      <c r="H2194" t="s">
        <v>224</v>
      </c>
      <c r="I2194" t="s">
        <v>455</v>
      </c>
      <c r="J2194" t="s">
        <v>67</v>
      </c>
      <c r="K2194" t="b">
        <v>0</v>
      </c>
      <c r="L2194">
        <v>2000</v>
      </c>
      <c r="M2194">
        <v>11966497048</v>
      </c>
      <c r="N2194">
        <v>744773415931</v>
      </c>
      <c r="O2194" t="b">
        <v>1</v>
      </c>
      <c r="P2194">
        <v>0</v>
      </c>
      <c r="Q2194" t="str" cm="1">
        <f t="array" ref="Q2194">_xlfn.IFS(Table1[[#This Row],[Wealthier_Winner]]=-1,"Wealthier Nation Loses",Table1[[#This Row],[Wealthier_Winner]]=0,"Tie",Table1[[#This Row],[Wealthier_Winner]]=1,"Wealthier Nation Wins")</f>
        <v>Tie</v>
      </c>
    </row>
    <row r="2195" spans="1:17" x14ac:dyDescent="0.2">
      <c r="A2195" s="1">
        <v>3673</v>
      </c>
      <c r="B2195" s="2">
        <v>36730</v>
      </c>
      <c r="C2195" s="7">
        <f>_xlfn.FLOOR.MATH(Table1[[#This Row],[year]],10)</f>
        <v>2000</v>
      </c>
      <c r="D2195" t="s">
        <v>59</v>
      </c>
      <c r="E2195" t="s">
        <v>17</v>
      </c>
      <c r="F2195">
        <v>1</v>
      </c>
      <c r="G2195">
        <v>0</v>
      </c>
      <c r="H2195" t="s">
        <v>224</v>
      </c>
      <c r="I2195" t="s">
        <v>253</v>
      </c>
      <c r="J2195" t="s">
        <v>59</v>
      </c>
      <c r="K2195" t="b">
        <v>0</v>
      </c>
      <c r="L2195">
        <v>2000</v>
      </c>
      <c r="M2195">
        <v>8154342116</v>
      </c>
      <c r="N2195">
        <v>742061329749</v>
      </c>
      <c r="O2195" t="b">
        <v>1</v>
      </c>
      <c r="P2195">
        <v>-1</v>
      </c>
      <c r="Q2195" t="str" cm="1">
        <f t="array" ref="Q2195">_xlfn.IFS(Table1[[#This Row],[Wealthier_Winner]]=-1,"Wealthier Nation Loses",Table1[[#This Row],[Wealthier_Winner]]=0,"Tie",Table1[[#This Row],[Wealthier_Winner]]=1,"Wealthier Nation Wins")</f>
        <v>Wealthier Nation Loses</v>
      </c>
    </row>
    <row r="2196" spans="1:17" x14ac:dyDescent="0.2">
      <c r="A2196" s="1">
        <v>3674</v>
      </c>
      <c r="B2196" s="2">
        <v>36732</v>
      </c>
      <c r="C2196" s="7">
        <f>_xlfn.FLOOR.MATH(Table1[[#This Row],[year]],10)</f>
        <v>2000</v>
      </c>
      <c r="D2196" t="s">
        <v>57</v>
      </c>
      <c r="E2196" t="s">
        <v>15</v>
      </c>
      <c r="F2196">
        <v>0</v>
      </c>
      <c r="G2196">
        <v>0</v>
      </c>
      <c r="H2196" t="s">
        <v>224</v>
      </c>
      <c r="I2196" t="s">
        <v>335</v>
      </c>
      <c r="J2196" t="s">
        <v>57</v>
      </c>
      <c r="K2196" t="b">
        <v>0</v>
      </c>
      <c r="L2196">
        <v>2000</v>
      </c>
      <c r="M2196">
        <v>17539454727</v>
      </c>
      <c r="N2196">
        <v>99875074951</v>
      </c>
      <c r="O2196" t="b">
        <v>1</v>
      </c>
      <c r="P2196">
        <v>0</v>
      </c>
      <c r="Q2196" t="str" cm="1">
        <f t="array" ref="Q2196">_xlfn.IFS(Table1[[#This Row],[Wealthier_Winner]]=-1,"Wealthier Nation Loses",Table1[[#This Row],[Wealthier_Winner]]=0,"Tie",Table1[[#This Row],[Wealthier_Winner]]=1,"Wealthier Nation Wins")</f>
        <v>Tie</v>
      </c>
    </row>
    <row r="2197" spans="1:17" x14ac:dyDescent="0.2">
      <c r="A2197" s="1">
        <v>3675</v>
      </c>
      <c r="B2197" s="2">
        <v>36732</v>
      </c>
      <c r="C2197" s="7">
        <f>_xlfn.FLOOR.MATH(Table1[[#This Row],[year]],10)</f>
        <v>2000</v>
      </c>
      <c r="D2197" t="s">
        <v>258</v>
      </c>
      <c r="E2197" t="s">
        <v>14</v>
      </c>
      <c r="F2197">
        <v>0</v>
      </c>
      <c r="G2197">
        <v>2</v>
      </c>
      <c r="H2197" t="s">
        <v>224</v>
      </c>
      <c r="I2197" t="s">
        <v>416</v>
      </c>
      <c r="J2197" t="s">
        <v>258</v>
      </c>
      <c r="K2197" t="b">
        <v>0</v>
      </c>
      <c r="L2197">
        <v>2000</v>
      </c>
      <c r="M2197">
        <v>117146466002</v>
      </c>
      <c r="N2197">
        <v>78339750721</v>
      </c>
      <c r="O2197" t="b">
        <v>0</v>
      </c>
      <c r="P2197">
        <v>-1</v>
      </c>
      <c r="Q2197" t="str" cm="1">
        <f t="array" ref="Q2197">_xlfn.IFS(Table1[[#This Row],[Wealthier_Winner]]=-1,"Wealthier Nation Loses",Table1[[#This Row],[Wealthier_Winner]]=0,"Tie",Table1[[#This Row],[Wealthier_Winner]]=1,"Wealthier Nation Wins")</f>
        <v>Wealthier Nation Loses</v>
      </c>
    </row>
    <row r="2198" spans="1:17" x14ac:dyDescent="0.2">
      <c r="A2198" s="1">
        <v>3676</v>
      </c>
      <c r="B2198" s="2">
        <v>36733</v>
      </c>
      <c r="C2198" s="7">
        <f>_xlfn.FLOOR.MATH(Table1[[#This Row],[year]],10)</f>
        <v>2000</v>
      </c>
      <c r="D2198" t="s">
        <v>13</v>
      </c>
      <c r="E2198" t="s">
        <v>19</v>
      </c>
      <c r="F2198">
        <v>3</v>
      </c>
      <c r="G2198">
        <v>1</v>
      </c>
      <c r="H2198" t="s">
        <v>224</v>
      </c>
      <c r="I2198" t="s">
        <v>417</v>
      </c>
      <c r="J2198" t="s">
        <v>13</v>
      </c>
      <c r="K2198" t="b">
        <v>0</v>
      </c>
      <c r="L2198">
        <v>2000</v>
      </c>
      <c r="M2198">
        <v>655448188259</v>
      </c>
      <c r="N2198">
        <v>284203750000</v>
      </c>
      <c r="O2198" t="b">
        <v>1</v>
      </c>
      <c r="P2198">
        <v>1</v>
      </c>
      <c r="Q2198" t="str" cm="1">
        <f t="array" ref="Q2198">_xlfn.IFS(Table1[[#This Row],[Wealthier_Winner]]=-1,"Wealthier Nation Loses",Table1[[#This Row],[Wealthier_Winner]]=0,"Tie",Table1[[#This Row],[Wealthier_Winner]]=1,"Wealthier Nation Wins")</f>
        <v>Wealthier Nation Wins</v>
      </c>
    </row>
    <row r="2199" spans="1:17" x14ac:dyDescent="0.2">
      <c r="A2199" s="1">
        <v>3677</v>
      </c>
      <c r="B2199" s="2">
        <v>36733</v>
      </c>
      <c r="C2199" s="7">
        <f>_xlfn.FLOOR.MATH(Table1[[#This Row],[year]],10)</f>
        <v>2000</v>
      </c>
      <c r="D2199" t="s">
        <v>26</v>
      </c>
      <c r="E2199" t="s">
        <v>31</v>
      </c>
      <c r="F2199">
        <v>0</v>
      </c>
      <c r="G2199">
        <v>0</v>
      </c>
      <c r="H2199" t="s">
        <v>224</v>
      </c>
      <c r="I2199" t="s">
        <v>247</v>
      </c>
      <c r="J2199" t="s">
        <v>26</v>
      </c>
      <c r="K2199" t="b">
        <v>0</v>
      </c>
      <c r="L2199">
        <v>2000</v>
      </c>
      <c r="M2199">
        <v>22823270892</v>
      </c>
      <c r="N2199">
        <v>51744749133</v>
      </c>
      <c r="O2199" t="b">
        <v>1</v>
      </c>
      <c r="P2199">
        <v>0</v>
      </c>
      <c r="Q2199" t="str" cm="1">
        <f t="array" ref="Q2199">_xlfn.IFS(Table1[[#This Row],[Wealthier_Winner]]=-1,"Wealthier Nation Loses",Table1[[#This Row],[Wealthier_Winner]]=0,"Tie",Table1[[#This Row],[Wealthier_Winner]]=1,"Wealthier Nation Wins")</f>
        <v>Tie</v>
      </c>
    </row>
    <row r="2200" spans="1:17" x14ac:dyDescent="0.2">
      <c r="A2200" s="1">
        <v>3678</v>
      </c>
      <c r="B2200" s="2">
        <v>36734</v>
      </c>
      <c r="C2200" s="7">
        <f>_xlfn.FLOOR.MATH(Table1[[#This Row],[year]],10)</f>
        <v>2000</v>
      </c>
      <c r="D2200" t="s">
        <v>47</v>
      </c>
      <c r="E2200" t="s">
        <v>35</v>
      </c>
      <c r="F2200">
        <v>0</v>
      </c>
      <c r="G2200">
        <v>0</v>
      </c>
      <c r="H2200" t="s">
        <v>224</v>
      </c>
      <c r="I2200" t="s">
        <v>246</v>
      </c>
      <c r="J2200" t="s">
        <v>47</v>
      </c>
      <c r="K2200" t="b">
        <v>0</v>
      </c>
      <c r="L2200">
        <v>2000</v>
      </c>
      <c r="M2200">
        <v>8397855484</v>
      </c>
      <c r="N2200">
        <v>8855705139</v>
      </c>
      <c r="O2200" t="b">
        <v>0</v>
      </c>
      <c r="P2200">
        <v>0</v>
      </c>
      <c r="Q2200" t="str" cm="1">
        <f t="array" ref="Q2200">_xlfn.IFS(Table1[[#This Row],[Wealthier_Winner]]=-1,"Wealthier Nation Loses",Table1[[#This Row],[Wealthier_Winner]]=0,"Tie",Table1[[#This Row],[Wealthier_Winner]]=1,"Wealthier Nation Wins")</f>
        <v>Tie</v>
      </c>
    </row>
    <row r="2201" spans="1:17" x14ac:dyDescent="0.2">
      <c r="A2201" s="1">
        <v>3679</v>
      </c>
      <c r="B2201" s="2">
        <v>36753</v>
      </c>
      <c r="C2201" s="7">
        <f>_xlfn.FLOOR.MATH(Table1[[#This Row],[year]],10)</f>
        <v>2000</v>
      </c>
      <c r="D2201" t="s">
        <v>14</v>
      </c>
      <c r="E2201" t="s">
        <v>13</v>
      </c>
      <c r="F2201">
        <v>3</v>
      </c>
      <c r="G2201">
        <v>0</v>
      </c>
      <c r="H2201" t="s">
        <v>224</v>
      </c>
      <c r="I2201" t="s">
        <v>75</v>
      </c>
      <c r="J2201" t="s">
        <v>14</v>
      </c>
      <c r="K2201" t="b">
        <v>0</v>
      </c>
      <c r="L2201">
        <v>2000</v>
      </c>
      <c r="M2201">
        <v>78339750721</v>
      </c>
      <c r="N2201">
        <v>655448188259</v>
      </c>
      <c r="O2201" t="b">
        <v>1</v>
      </c>
      <c r="P2201">
        <v>-1</v>
      </c>
      <c r="Q2201" t="str" cm="1">
        <f t="array" ref="Q2201">_xlfn.IFS(Table1[[#This Row],[Wealthier_Winner]]=-1,"Wealthier Nation Loses",Table1[[#This Row],[Wealthier_Winner]]=0,"Tie",Table1[[#This Row],[Wealthier_Winner]]=1,"Wealthier Nation Wins")</f>
        <v>Wealthier Nation Loses</v>
      </c>
    </row>
    <row r="2202" spans="1:17" x14ac:dyDescent="0.2">
      <c r="A2202" s="1">
        <v>3680</v>
      </c>
      <c r="B2202" s="2">
        <v>36753</v>
      </c>
      <c r="C2202" s="7">
        <f>_xlfn.FLOOR.MATH(Table1[[#This Row],[year]],10)</f>
        <v>2000</v>
      </c>
      <c r="D2202" t="s">
        <v>15</v>
      </c>
      <c r="E2202" t="s">
        <v>26</v>
      </c>
      <c r="F2202">
        <v>1</v>
      </c>
      <c r="G2202">
        <v>0</v>
      </c>
      <c r="H2202" t="s">
        <v>224</v>
      </c>
      <c r="I2202" t="s">
        <v>241</v>
      </c>
      <c r="J2202" t="s">
        <v>15</v>
      </c>
      <c r="K2202" t="b">
        <v>0</v>
      </c>
      <c r="L2202">
        <v>2000</v>
      </c>
      <c r="M2202">
        <v>99875074951</v>
      </c>
      <c r="N2202">
        <v>22823270892</v>
      </c>
      <c r="O2202" t="b">
        <v>1</v>
      </c>
      <c r="P2202">
        <v>1</v>
      </c>
      <c r="Q2202" t="str" cm="1">
        <f t="array" ref="Q2202">_xlfn.IFS(Table1[[#This Row],[Wealthier_Winner]]=-1,"Wealthier Nation Loses",Table1[[#This Row],[Wealthier_Winner]]=0,"Tie",Table1[[#This Row],[Wealthier_Winner]]=1,"Wealthier Nation Wins")</f>
        <v>Wealthier Nation Wins</v>
      </c>
    </row>
    <row r="2203" spans="1:17" x14ac:dyDescent="0.2">
      <c r="A2203" s="1">
        <v>3681</v>
      </c>
      <c r="B2203" s="2">
        <v>36753</v>
      </c>
      <c r="C2203" s="7">
        <f>_xlfn.FLOOR.MATH(Table1[[#This Row],[year]],10)</f>
        <v>2000</v>
      </c>
      <c r="D2203" t="s">
        <v>56</v>
      </c>
      <c r="E2203" t="s">
        <v>223</v>
      </c>
      <c r="F2203">
        <v>2</v>
      </c>
      <c r="G2203">
        <v>1</v>
      </c>
      <c r="H2203" t="s">
        <v>224</v>
      </c>
      <c r="I2203" t="s">
        <v>600</v>
      </c>
      <c r="J2203" t="s">
        <v>56</v>
      </c>
      <c r="K2203" t="b">
        <v>0</v>
      </c>
      <c r="L2203">
        <v>2000</v>
      </c>
      <c r="M2203">
        <v>15013629661</v>
      </c>
      <c r="N2203">
        <v>19288929030</v>
      </c>
      <c r="O2203" t="b">
        <v>0</v>
      </c>
      <c r="P2203">
        <v>-1</v>
      </c>
      <c r="Q2203" t="str" cm="1">
        <f t="array" ref="Q2203">_xlfn.IFS(Table1[[#This Row],[Wealthier_Winner]]=-1,"Wealthier Nation Loses",Table1[[#This Row],[Wealthier_Winner]]=0,"Tie",Table1[[#This Row],[Wealthier_Winner]]=1,"Wealthier Nation Wins")</f>
        <v>Wealthier Nation Loses</v>
      </c>
    </row>
    <row r="2204" spans="1:17" x14ac:dyDescent="0.2">
      <c r="A2204" s="1">
        <v>3682</v>
      </c>
      <c r="B2204" s="2">
        <v>36753</v>
      </c>
      <c r="C2204" s="7">
        <f>_xlfn.FLOOR.MATH(Table1[[#This Row],[year]],10)</f>
        <v>2000</v>
      </c>
      <c r="D2204" t="s">
        <v>17</v>
      </c>
      <c r="E2204" t="s">
        <v>34</v>
      </c>
      <c r="F2204">
        <v>2</v>
      </c>
      <c r="G2204">
        <v>0</v>
      </c>
      <c r="H2204" t="s">
        <v>224</v>
      </c>
      <c r="I2204" t="s">
        <v>83</v>
      </c>
      <c r="J2204" t="s">
        <v>17</v>
      </c>
      <c r="K2204" t="b">
        <v>0</v>
      </c>
      <c r="L2204">
        <v>2000</v>
      </c>
      <c r="M2204">
        <v>742061329749</v>
      </c>
      <c r="N2204">
        <v>744773415931</v>
      </c>
      <c r="O2204" t="b">
        <v>0</v>
      </c>
      <c r="P2204">
        <v>-1</v>
      </c>
      <c r="Q2204" t="str" cm="1">
        <f t="array" ref="Q2204">_xlfn.IFS(Table1[[#This Row],[Wealthier_Winner]]=-1,"Wealthier Nation Loses",Table1[[#This Row],[Wealthier_Winner]]=0,"Tie",Table1[[#This Row],[Wealthier_Winner]]=1,"Wealthier Nation Wins")</f>
        <v>Wealthier Nation Loses</v>
      </c>
    </row>
    <row r="2205" spans="1:17" x14ac:dyDescent="0.2">
      <c r="A2205" s="1">
        <v>3684</v>
      </c>
      <c r="B2205" s="2">
        <v>36754</v>
      </c>
      <c r="C2205" s="7">
        <f>_xlfn.FLOOR.MATH(Table1[[#This Row],[year]],10)</f>
        <v>2000</v>
      </c>
      <c r="D2205" t="s">
        <v>19</v>
      </c>
      <c r="E2205" t="s">
        <v>35</v>
      </c>
      <c r="F2205">
        <v>1</v>
      </c>
      <c r="G2205">
        <v>1</v>
      </c>
      <c r="H2205" t="s">
        <v>224</v>
      </c>
      <c r="I2205" t="s">
        <v>93</v>
      </c>
      <c r="J2205" t="s">
        <v>19</v>
      </c>
      <c r="K2205" t="b">
        <v>0</v>
      </c>
      <c r="L2205">
        <v>2000</v>
      </c>
      <c r="M2205">
        <v>284203750000</v>
      </c>
      <c r="N2205">
        <v>8855705139</v>
      </c>
      <c r="O2205" t="b">
        <v>1</v>
      </c>
      <c r="P2205">
        <v>0</v>
      </c>
      <c r="Q2205" t="str" cm="1">
        <f t="array" ref="Q2205">_xlfn.IFS(Table1[[#This Row],[Wealthier_Winner]]=-1,"Wealthier Nation Loses",Table1[[#This Row],[Wealthier_Winner]]=0,"Tie",Table1[[#This Row],[Wealthier_Winner]]=1,"Wealthier Nation Wins")</f>
        <v>Tie</v>
      </c>
    </row>
    <row r="2206" spans="1:17" x14ac:dyDescent="0.2">
      <c r="A2206" s="1">
        <v>3685</v>
      </c>
      <c r="B2206" s="2">
        <v>36754</v>
      </c>
      <c r="C2206" s="7">
        <f>_xlfn.FLOOR.MATH(Table1[[#This Row],[year]],10)</f>
        <v>2000</v>
      </c>
      <c r="D2206" t="s">
        <v>57</v>
      </c>
      <c r="E2206" t="s">
        <v>47</v>
      </c>
      <c r="F2206">
        <v>2</v>
      </c>
      <c r="G2206">
        <v>0</v>
      </c>
      <c r="H2206" t="s">
        <v>224</v>
      </c>
      <c r="I2206" t="s">
        <v>335</v>
      </c>
      <c r="J2206" t="s">
        <v>57</v>
      </c>
      <c r="K2206" t="b">
        <v>0</v>
      </c>
      <c r="L2206">
        <v>2000</v>
      </c>
      <c r="M2206">
        <v>17539454727</v>
      </c>
      <c r="N2206">
        <v>8397855484</v>
      </c>
      <c r="O2206" t="b">
        <v>1</v>
      </c>
      <c r="P2206">
        <v>1</v>
      </c>
      <c r="Q2206" t="str" cm="1">
        <f t="array" ref="Q2206">_xlfn.IFS(Table1[[#This Row],[Wealthier_Winner]]=-1,"Wealthier Nation Loses",Table1[[#This Row],[Wealthier_Winner]]=0,"Tie",Table1[[#This Row],[Wealthier_Winner]]=1,"Wealthier Nation Wins")</f>
        <v>Wealthier Nation Wins</v>
      </c>
    </row>
    <row r="2207" spans="1:17" x14ac:dyDescent="0.2">
      <c r="A2207" s="1">
        <v>3686</v>
      </c>
      <c r="B2207" s="2">
        <v>36754</v>
      </c>
      <c r="C2207" s="7">
        <f>_xlfn.FLOOR.MATH(Table1[[#This Row],[year]],10)</f>
        <v>2000</v>
      </c>
      <c r="D2207" t="s">
        <v>476</v>
      </c>
      <c r="E2207" t="s">
        <v>601</v>
      </c>
      <c r="F2207">
        <v>1</v>
      </c>
      <c r="G2207">
        <v>0</v>
      </c>
      <c r="H2207" t="s">
        <v>224</v>
      </c>
      <c r="I2207" t="s">
        <v>481</v>
      </c>
      <c r="J2207" t="s">
        <v>476</v>
      </c>
      <c r="K2207" t="b">
        <v>0</v>
      </c>
      <c r="L2207">
        <v>2000</v>
      </c>
      <c r="M2207">
        <v>5686579747</v>
      </c>
      <c r="N2207">
        <v>1432606296</v>
      </c>
      <c r="O2207" t="b">
        <v>1</v>
      </c>
      <c r="P2207">
        <v>1</v>
      </c>
      <c r="Q2207" t="str" cm="1">
        <f t="array" ref="Q2207">_xlfn.IFS(Table1[[#This Row],[Wealthier_Winner]]=-1,"Wealthier Nation Loses",Table1[[#This Row],[Wealthier_Winner]]=0,"Tie",Table1[[#This Row],[Wealthier_Winner]]=1,"Wealthier Nation Wins")</f>
        <v>Wealthier Nation Wins</v>
      </c>
    </row>
    <row r="2208" spans="1:17" x14ac:dyDescent="0.2">
      <c r="A2208" s="1">
        <v>3687</v>
      </c>
      <c r="B2208" s="2">
        <v>36754</v>
      </c>
      <c r="C2208" s="7">
        <f>_xlfn.FLOOR.MATH(Table1[[#This Row],[year]],10)</f>
        <v>2000</v>
      </c>
      <c r="D2208" t="s">
        <v>49</v>
      </c>
      <c r="E2208" t="s">
        <v>69</v>
      </c>
      <c r="F2208">
        <v>1</v>
      </c>
      <c r="G2208">
        <v>0</v>
      </c>
      <c r="H2208" t="s">
        <v>224</v>
      </c>
      <c r="I2208" t="s">
        <v>257</v>
      </c>
      <c r="J2208" t="s">
        <v>49</v>
      </c>
      <c r="K2208" t="b">
        <v>0</v>
      </c>
      <c r="L2208">
        <v>2000</v>
      </c>
      <c r="M2208">
        <v>9005064474</v>
      </c>
      <c r="N2208">
        <v>11784927700</v>
      </c>
      <c r="O2208" t="b">
        <v>0</v>
      </c>
      <c r="P2208">
        <v>-1</v>
      </c>
      <c r="Q2208" t="str" cm="1">
        <f t="array" ref="Q2208">_xlfn.IFS(Table1[[#This Row],[Wealthier_Winner]]=-1,"Wealthier Nation Loses",Table1[[#This Row],[Wealthier_Winner]]=0,"Tie",Table1[[#This Row],[Wealthier_Winner]]=1,"Wealthier Nation Wins")</f>
        <v>Wealthier Nation Loses</v>
      </c>
    </row>
    <row r="2209" spans="1:17" x14ac:dyDescent="0.2">
      <c r="A2209" s="1">
        <v>3688</v>
      </c>
      <c r="B2209" s="2">
        <v>36754</v>
      </c>
      <c r="C2209" s="7">
        <f>_xlfn.FLOOR.MATH(Table1[[#This Row],[year]],10)</f>
        <v>2000</v>
      </c>
      <c r="D2209" t="s">
        <v>31</v>
      </c>
      <c r="E2209" t="s">
        <v>258</v>
      </c>
      <c r="F2209">
        <v>1</v>
      </c>
      <c r="G2209">
        <v>0</v>
      </c>
      <c r="H2209" t="s">
        <v>224</v>
      </c>
      <c r="I2209" t="s">
        <v>242</v>
      </c>
      <c r="J2209" t="s">
        <v>31</v>
      </c>
      <c r="K2209" t="b">
        <v>0</v>
      </c>
      <c r="L2209">
        <v>2000</v>
      </c>
      <c r="M2209">
        <v>51744749133</v>
      </c>
      <c r="N2209">
        <v>117146466002</v>
      </c>
      <c r="O2209" t="b">
        <v>1</v>
      </c>
      <c r="P2209">
        <v>-1</v>
      </c>
      <c r="Q2209" t="str" cm="1">
        <f t="array" ref="Q2209">_xlfn.IFS(Table1[[#This Row],[Wealthier_Winner]]=-1,"Wealthier Nation Loses",Table1[[#This Row],[Wealthier_Winner]]=0,"Tie",Table1[[#This Row],[Wealthier_Winner]]=1,"Wealthier Nation Wins")</f>
        <v>Wealthier Nation Loses</v>
      </c>
    </row>
    <row r="2210" spans="1:17" x14ac:dyDescent="0.2">
      <c r="A2210" s="1">
        <v>3689</v>
      </c>
      <c r="B2210" s="2">
        <v>36754</v>
      </c>
      <c r="C2210" s="7">
        <f>_xlfn.FLOOR.MATH(Table1[[#This Row],[year]],10)</f>
        <v>2000</v>
      </c>
      <c r="D2210" t="s">
        <v>59</v>
      </c>
      <c r="E2210" t="s">
        <v>67</v>
      </c>
      <c r="F2210">
        <v>6</v>
      </c>
      <c r="G2210">
        <v>0</v>
      </c>
      <c r="H2210" t="s">
        <v>224</v>
      </c>
      <c r="I2210" t="s">
        <v>253</v>
      </c>
      <c r="J2210" t="s">
        <v>59</v>
      </c>
      <c r="K2210" t="b">
        <v>0</v>
      </c>
      <c r="L2210">
        <v>2000</v>
      </c>
      <c r="M2210">
        <v>8154342116</v>
      </c>
      <c r="N2210">
        <v>11966497048</v>
      </c>
      <c r="O2210" t="b">
        <v>0</v>
      </c>
      <c r="P2210">
        <v>-1</v>
      </c>
      <c r="Q2210" t="str" cm="1">
        <f t="array" ref="Q2210">_xlfn.IFS(Table1[[#This Row],[Wealthier_Winner]]=-1,"Wealthier Nation Loses",Table1[[#This Row],[Wealthier_Winner]]=0,"Tie",Table1[[#This Row],[Wealthier_Winner]]=1,"Wealthier Nation Wins")</f>
        <v>Wealthier Nation Loses</v>
      </c>
    </row>
    <row r="2211" spans="1:17" x14ac:dyDescent="0.2">
      <c r="A2211" s="1">
        <v>3690</v>
      </c>
      <c r="B2211" s="2">
        <v>36754</v>
      </c>
      <c r="C2211" s="7">
        <f>_xlfn.FLOOR.MATH(Table1[[#This Row],[year]],10)</f>
        <v>2000</v>
      </c>
      <c r="D2211" t="s">
        <v>41</v>
      </c>
      <c r="E2211" t="s">
        <v>443</v>
      </c>
      <c r="F2211">
        <v>7</v>
      </c>
      <c r="G2211">
        <v>0</v>
      </c>
      <c r="H2211" t="s">
        <v>224</v>
      </c>
      <c r="I2211" t="s">
        <v>123</v>
      </c>
      <c r="J2211" t="s">
        <v>41</v>
      </c>
      <c r="K2211" t="b">
        <v>0</v>
      </c>
      <c r="L2211">
        <v>2000</v>
      </c>
      <c r="M2211">
        <v>10250947997000</v>
      </c>
      <c r="N2211">
        <v>3059500000</v>
      </c>
      <c r="O2211" t="b">
        <v>1</v>
      </c>
      <c r="P2211">
        <v>1</v>
      </c>
      <c r="Q2211" t="str" cm="1">
        <f t="array" ref="Q2211">_xlfn.IFS(Table1[[#This Row],[Wealthier_Winner]]=-1,"Wealthier Nation Loses",Table1[[#This Row],[Wealthier_Winner]]=0,"Tie",Table1[[#This Row],[Wealthier_Winner]]=1,"Wealthier Nation Wins")</f>
        <v>Wealthier Nation Wins</v>
      </c>
    </row>
    <row r="2212" spans="1:17" x14ac:dyDescent="0.2">
      <c r="A2212" s="1">
        <v>3691</v>
      </c>
      <c r="B2212" s="2">
        <v>36771</v>
      </c>
      <c r="C2212" s="7">
        <f>_xlfn.FLOOR.MATH(Table1[[#This Row],[year]],10)</f>
        <v>2000</v>
      </c>
      <c r="D2212" t="s">
        <v>601</v>
      </c>
      <c r="E2212" t="s">
        <v>351</v>
      </c>
      <c r="F2212">
        <v>2</v>
      </c>
      <c r="G2212">
        <v>3</v>
      </c>
      <c r="H2212" t="s">
        <v>224</v>
      </c>
      <c r="I2212" t="s">
        <v>602</v>
      </c>
      <c r="J2212" t="s">
        <v>601</v>
      </c>
      <c r="K2212" t="b">
        <v>0</v>
      </c>
      <c r="L2212">
        <v>2000</v>
      </c>
      <c r="M2212">
        <v>1432606296</v>
      </c>
      <c r="N2212">
        <v>9985847313</v>
      </c>
      <c r="O2212" t="b">
        <v>1</v>
      </c>
      <c r="P2212">
        <v>1</v>
      </c>
      <c r="Q2212" t="str" cm="1">
        <f t="array" ref="Q2212">_xlfn.IFS(Table1[[#This Row],[Wealthier_Winner]]=-1,"Wealthier Nation Loses",Table1[[#This Row],[Wealthier_Winner]]=0,"Tie",Table1[[#This Row],[Wealthier_Winner]]=1,"Wealthier Nation Wins")</f>
        <v>Wealthier Nation Wins</v>
      </c>
    </row>
    <row r="2213" spans="1:17" x14ac:dyDescent="0.2">
      <c r="A2213" s="1">
        <v>3692</v>
      </c>
      <c r="B2213" s="2">
        <v>36771</v>
      </c>
      <c r="C2213" s="7">
        <f>_xlfn.FLOOR.MATH(Table1[[#This Row],[year]],10)</f>
        <v>2000</v>
      </c>
      <c r="D2213" t="s">
        <v>513</v>
      </c>
      <c r="E2213" t="s">
        <v>25</v>
      </c>
      <c r="F2213">
        <v>0</v>
      </c>
      <c r="G2213">
        <v>1</v>
      </c>
      <c r="H2213" t="s">
        <v>224</v>
      </c>
      <c r="I2213" t="s">
        <v>521</v>
      </c>
      <c r="J2213" t="s">
        <v>513</v>
      </c>
      <c r="K2213" t="b">
        <v>0</v>
      </c>
      <c r="L2213">
        <v>2000</v>
      </c>
      <c r="M2213">
        <v>5272615722</v>
      </c>
      <c r="N2213">
        <v>262903560280</v>
      </c>
      <c r="O2213" t="b">
        <v>1</v>
      </c>
      <c r="P2213">
        <v>1</v>
      </c>
      <c r="Q2213" t="str" cm="1">
        <f t="array" ref="Q2213">_xlfn.IFS(Table1[[#This Row],[Wealthier_Winner]]=-1,"Wealthier Nation Loses",Table1[[#This Row],[Wealthier_Winner]]=0,"Tie",Table1[[#This Row],[Wealthier_Winner]]=1,"Wealthier Nation Wins")</f>
        <v>Wealthier Nation Wins</v>
      </c>
    </row>
    <row r="2214" spans="1:17" x14ac:dyDescent="0.2">
      <c r="A2214" s="1">
        <v>3694</v>
      </c>
      <c r="B2214" s="2">
        <v>36771</v>
      </c>
      <c r="C2214" s="7">
        <f>_xlfn.FLOOR.MATH(Table1[[#This Row],[year]],10)</f>
        <v>2000</v>
      </c>
      <c r="D2214" t="s">
        <v>23</v>
      </c>
      <c r="E2214" t="s">
        <v>52</v>
      </c>
      <c r="F2214">
        <v>0</v>
      </c>
      <c r="G2214">
        <v>0</v>
      </c>
      <c r="H2214" t="s">
        <v>224</v>
      </c>
      <c r="I2214" t="s">
        <v>235</v>
      </c>
      <c r="J2214" t="s">
        <v>23</v>
      </c>
      <c r="K2214" t="b">
        <v>0</v>
      </c>
      <c r="L2214">
        <v>2000</v>
      </c>
      <c r="M2214">
        <v>236792460312</v>
      </c>
      <c r="N2214">
        <v>22134411297</v>
      </c>
      <c r="O2214" t="b">
        <v>1</v>
      </c>
      <c r="P2214">
        <v>0</v>
      </c>
      <c r="Q2214" t="str" cm="1">
        <f t="array" ref="Q2214">_xlfn.IFS(Table1[[#This Row],[Wealthier_Winner]]=-1,"Wealthier Nation Loses",Table1[[#This Row],[Wealthier_Winner]]=0,"Tie",Table1[[#This Row],[Wealthier_Winner]]=1,"Wealthier Nation Wins")</f>
        <v>Tie</v>
      </c>
    </row>
    <row r="2215" spans="1:17" x14ac:dyDescent="0.2">
      <c r="A2215" s="1">
        <v>3695</v>
      </c>
      <c r="B2215" s="2">
        <v>36771</v>
      </c>
      <c r="C2215" s="7">
        <f>_xlfn.FLOOR.MATH(Table1[[#This Row],[year]],10)</f>
        <v>2000</v>
      </c>
      <c r="D2215" t="s">
        <v>73</v>
      </c>
      <c r="E2215" t="s">
        <v>21</v>
      </c>
      <c r="F2215">
        <v>1</v>
      </c>
      <c r="G2215">
        <v>2</v>
      </c>
      <c r="H2215" t="s">
        <v>224</v>
      </c>
      <c r="I2215" t="s">
        <v>550</v>
      </c>
      <c r="J2215" t="s">
        <v>73</v>
      </c>
      <c r="K2215" t="b">
        <v>0</v>
      </c>
      <c r="L2215">
        <v>2000</v>
      </c>
      <c r="M2215">
        <v>5567772768</v>
      </c>
      <c r="N2215">
        <v>598102854756</v>
      </c>
      <c r="O2215" t="b">
        <v>1</v>
      </c>
      <c r="P2215">
        <v>1</v>
      </c>
      <c r="Q2215" t="str" cm="1">
        <f t="array" ref="Q2215">_xlfn.IFS(Table1[[#This Row],[Wealthier_Winner]]=-1,"Wealthier Nation Loses",Table1[[#This Row],[Wealthier_Winner]]=0,"Tie",Table1[[#This Row],[Wealthier_Winner]]=1,"Wealthier Nation Wins")</f>
        <v>Wealthier Nation Wins</v>
      </c>
    </row>
    <row r="2216" spans="1:17" x14ac:dyDescent="0.2">
      <c r="A2216" s="1">
        <v>3697</v>
      </c>
      <c r="B2216" s="2">
        <v>36771</v>
      </c>
      <c r="C2216" s="7">
        <f>_xlfn.FLOOR.MATH(Table1[[#This Row],[year]],10)</f>
        <v>2000</v>
      </c>
      <c r="D2216" t="s">
        <v>14</v>
      </c>
      <c r="E2216" t="s">
        <v>15</v>
      </c>
      <c r="F2216">
        <v>0</v>
      </c>
      <c r="G2216">
        <v>1</v>
      </c>
      <c r="H2216" t="s">
        <v>224</v>
      </c>
      <c r="I2216" t="s">
        <v>75</v>
      </c>
      <c r="J2216" t="s">
        <v>14</v>
      </c>
      <c r="K2216" t="b">
        <v>0</v>
      </c>
      <c r="L2216">
        <v>2000</v>
      </c>
      <c r="M2216">
        <v>78339750721</v>
      </c>
      <c r="N2216">
        <v>99875074951</v>
      </c>
      <c r="O2216" t="b">
        <v>0</v>
      </c>
      <c r="P2216">
        <v>1</v>
      </c>
      <c r="Q2216" t="str" cm="1">
        <f t="array" ref="Q2216">_xlfn.IFS(Table1[[#This Row],[Wealthier_Winner]]=-1,"Wealthier Nation Loses",Table1[[#This Row],[Wealthier_Winner]]=0,"Tie",Table1[[#This Row],[Wealthier_Winner]]=1,"Wealthier Nation Wins")</f>
        <v>Wealthier Nation Wins</v>
      </c>
    </row>
    <row r="2217" spans="1:17" x14ac:dyDescent="0.2">
      <c r="A2217" s="1">
        <v>3698</v>
      </c>
      <c r="B2217" s="2">
        <v>36771</v>
      </c>
      <c r="C2217" s="7">
        <f>_xlfn.FLOOR.MATH(Table1[[#This Row],[year]],10)</f>
        <v>2000</v>
      </c>
      <c r="D2217" t="s">
        <v>230</v>
      </c>
      <c r="E2217" t="s">
        <v>373</v>
      </c>
      <c r="F2217">
        <v>2</v>
      </c>
      <c r="G2217">
        <v>1</v>
      </c>
      <c r="H2217" t="s">
        <v>224</v>
      </c>
      <c r="I2217" t="s">
        <v>231</v>
      </c>
      <c r="J2217" t="s">
        <v>230</v>
      </c>
      <c r="K2217" t="b">
        <v>0</v>
      </c>
      <c r="L2217">
        <v>2000</v>
      </c>
      <c r="M2217">
        <v>125967821110</v>
      </c>
      <c r="N2217">
        <v>3584570164</v>
      </c>
      <c r="O2217" t="b">
        <v>1</v>
      </c>
      <c r="P2217">
        <v>1</v>
      </c>
      <c r="Q2217" t="str" cm="1">
        <f t="array" ref="Q2217">_xlfn.IFS(Table1[[#This Row],[Wealthier_Winner]]=-1,"Wealthier Nation Loses",Table1[[#This Row],[Wealthier_Winner]]=0,"Tie",Table1[[#This Row],[Wealthier_Winner]]=1,"Wealthier Nation Wins")</f>
        <v>Wealthier Nation Wins</v>
      </c>
    </row>
    <row r="2218" spans="1:17" x14ac:dyDescent="0.2">
      <c r="A2218" s="1">
        <v>3699</v>
      </c>
      <c r="B2218" s="2">
        <v>36771</v>
      </c>
      <c r="C2218" s="7">
        <f>_xlfn.FLOOR.MATH(Table1[[#This Row],[year]],10)</f>
        <v>2000</v>
      </c>
      <c r="D2218" t="s">
        <v>16</v>
      </c>
      <c r="E2218" t="s">
        <v>48</v>
      </c>
      <c r="F2218">
        <v>2</v>
      </c>
      <c r="G2218">
        <v>0</v>
      </c>
      <c r="H2218" t="s">
        <v>224</v>
      </c>
      <c r="I2218" t="s">
        <v>89</v>
      </c>
      <c r="J2218" t="s">
        <v>16</v>
      </c>
      <c r="K2218" t="b">
        <v>0</v>
      </c>
      <c r="L2218">
        <v>2000</v>
      </c>
      <c r="M2218">
        <v>1966980701145</v>
      </c>
      <c r="N2218">
        <v>125760166224</v>
      </c>
      <c r="O2218" t="b">
        <v>1</v>
      </c>
      <c r="P2218">
        <v>1</v>
      </c>
      <c r="Q2218" t="str" cm="1">
        <f t="array" ref="Q2218">_xlfn.IFS(Table1[[#This Row],[Wealthier_Winner]]=-1,"Wealthier Nation Loses",Table1[[#This Row],[Wealthier_Winner]]=0,"Tie",Table1[[#This Row],[Wealthier_Winner]]=1,"Wealthier Nation Wins")</f>
        <v>Wealthier Nation Wins</v>
      </c>
    </row>
    <row r="2219" spans="1:17" x14ac:dyDescent="0.2">
      <c r="A2219" s="1">
        <v>3700</v>
      </c>
      <c r="B2219" s="2">
        <v>36771</v>
      </c>
      <c r="C2219" s="7">
        <f>_xlfn.FLOOR.MATH(Table1[[#This Row],[year]],10)</f>
        <v>2000</v>
      </c>
      <c r="D2219" t="s">
        <v>65</v>
      </c>
      <c r="E2219" t="s">
        <v>69</v>
      </c>
      <c r="F2219">
        <v>5</v>
      </c>
      <c r="G2219">
        <v>0</v>
      </c>
      <c r="H2219" t="s">
        <v>224</v>
      </c>
      <c r="I2219" t="s">
        <v>254</v>
      </c>
      <c r="J2219" t="s">
        <v>65</v>
      </c>
      <c r="K2219" t="b">
        <v>0</v>
      </c>
      <c r="L2219">
        <v>2000</v>
      </c>
      <c r="M2219">
        <v>7186638029</v>
      </c>
      <c r="N2219">
        <v>11784927700</v>
      </c>
      <c r="O2219" t="b">
        <v>0</v>
      </c>
      <c r="P2219">
        <v>-1</v>
      </c>
      <c r="Q2219" t="str" cm="1">
        <f t="array" ref="Q2219">_xlfn.IFS(Table1[[#This Row],[Wealthier_Winner]]=-1,"Wealthier Nation Loses",Table1[[#This Row],[Wealthier_Winner]]=0,"Tie",Table1[[#This Row],[Wealthier_Winner]]=1,"Wealthier Nation Wins")</f>
        <v>Wealthier Nation Loses</v>
      </c>
    </row>
    <row r="2220" spans="1:17" x14ac:dyDescent="0.2">
      <c r="A2220" s="1">
        <v>3701</v>
      </c>
      <c r="B2220" s="2">
        <v>36771</v>
      </c>
      <c r="C2220" s="7">
        <f>_xlfn.FLOOR.MATH(Table1[[#This Row],[year]],10)</f>
        <v>2000</v>
      </c>
      <c r="D2220" t="s">
        <v>66</v>
      </c>
      <c r="E2220" t="s">
        <v>36</v>
      </c>
      <c r="F2220">
        <v>1</v>
      </c>
      <c r="G2220">
        <v>2</v>
      </c>
      <c r="H2220" t="s">
        <v>224</v>
      </c>
      <c r="I2220" t="s">
        <v>336</v>
      </c>
      <c r="J2220" t="s">
        <v>66</v>
      </c>
      <c r="K2220" t="b">
        <v>0</v>
      </c>
      <c r="L2220">
        <v>2000</v>
      </c>
      <c r="M2220">
        <v>9140168922</v>
      </c>
      <c r="N2220">
        <v>164043817223</v>
      </c>
      <c r="O2220" t="b">
        <v>1</v>
      </c>
      <c r="P2220">
        <v>1</v>
      </c>
      <c r="Q2220" t="str" cm="1">
        <f t="array" ref="Q2220">_xlfn.IFS(Table1[[#This Row],[Wealthier_Winner]]=-1,"Wealthier Nation Loses",Table1[[#This Row],[Wealthier_Winner]]=0,"Tie",Table1[[#This Row],[Wealthier_Winner]]=1,"Wealthier Nation Wins")</f>
        <v>Wealthier Nation Wins</v>
      </c>
    </row>
    <row r="2221" spans="1:17" x14ac:dyDescent="0.2">
      <c r="A2221" s="1">
        <v>3704</v>
      </c>
      <c r="B2221" s="2">
        <v>36771</v>
      </c>
      <c r="C2221" s="7">
        <f>_xlfn.FLOOR.MATH(Table1[[#This Row],[year]],10)</f>
        <v>2000</v>
      </c>
      <c r="D2221" t="s">
        <v>42</v>
      </c>
      <c r="E2221" t="s">
        <v>519</v>
      </c>
      <c r="F2221">
        <v>0</v>
      </c>
      <c r="G2221">
        <v>0</v>
      </c>
      <c r="H2221" t="s">
        <v>224</v>
      </c>
      <c r="I2221" t="s">
        <v>262</v>
      </c>
      <c r="J2221" t="s">
        <v>42</v>
      </c>
      <c r="K2221" t="b">
        <v>0</v>
      </c>
      <c r="L2221">
        <v>2000</v>
      </c>
      <c r="M2221">
        <v>171457201935</v>
      </c>
      <c r="N2221">
        <v>1911563668</v>
      </c>
      <c r="O2221" t="b">
        <v>1</v>
      </c>
      <c r="P2221">
        <v>0</v>
      </c>
      <c r="Q2221" t="str" cm="1">
        <f t="array" ref="Q2221">_xlfn.IFS(Table1[[#This Row],[Wealthier_Winner]]=-1,"Wealthier Nation Loses",Table1[[#This Row],[Wealthier_Winner]]=0,"Tie",Table1[[#This Row],[Wealthier_Winner]]=1,"Wealthier Nation Wins")</f>
        <v>Tie</v>
      </c>
    </row>
    <row r="2222" spans="1:17" x14ac:dyDescent="0.2">
      <c r="A2222" s="1">
        <v>3705</v>
      </c>
      <c r="B2222" s="2">
        <v>36771</v>
      </c>
      <c r="C2222" s="7">
        <f>_xlfn.FLOOR.MATH(Table1[[#This Row],[year]],10)</f>
        <v>2000</v>
      </c>
      <c r="D2222" t="s">
        <v>35</v>
      </c>
      <c r="E2222" t="s">
        <v>258</v>
      </c>
      <c r="F2222">
        <v>3</v>
      </c>
      <c r="G2222">
        <v>0</v>
      </c>
      <c r="H2222" t="s">
        <v>224</v>
      </c>
      <c r="I2222" t="s">
        <v>250</v>
      </c>
      <c r="J2222" t="s">
        <v>35</v>
      </c>
      <c r="K2222" t="b">
        <v>0</v>
      </c>
      <c r="L2222">
        <v>2000</v>
      </c>
      <c r="M2222">
        <v>8855705139</v>
      </c>
      <c r="N2222">
        <v>117146466002</v>
      </c>
      <c r="O2222" t="b">
        <v>1</v>
      </c>
      <c r="P2222">
        <v>-1</v>
      </c>
      <c r="Q2222" t="str" cm="1">
        <f t="array" ref="Q2222">_xlfn.IFS(Table1[[#This Row],[Wealthier_Winner]]=-1,"Wealthier Nation Loses",Table1[[#This Row],[Wealthier_Winner]]=0,"Tie",Table1[[#This Row],[Wealthier_Winner]]=1,"Wealthier Nation Wins")</f>
        <v>Wealthier Nation Loses</v>
      </c>
    </row>
    <row r="2223" spans="1:17" x14ac:dyDescent="0.2">
      <c r="A2223" s="1">
        <v>3706</v>
      </c>
      <c r="B2223" s="2">
        <v>36771</v>
      </c>
      <c r="C2223" s="7">
        <f>_xlfn.FLOOR.MATH(Table1[[#This Row],[year]],10)</f>
        <v>2000</v>
      </c>
      <c r="D2223" t="s">
        <v>46</v>
      </c>
      <c r="E2223" t="s">
        <v>196</v>
      </c>
      <c r="F2223">
        <v>0</v>
      </c>
      <c r="G2223">
        <v>1</v>
      </c>
      <c r="H2223" t="s">
        <v>224</v>
      </c>
      <c r="I2223" t="s">
        <v>493</v>
      </c>
      <c r="J2223" t="s">
        <v>46</v>
      </c>
      <c r="K2223" t="b">
        <v>0</v>
      </c>
      <c r="L2223">
        <v>2000</v>
      </c>
      <c r="M2223">
        <v>279216033870</v>
      </c>
      <c r="N2223">
        <v>259710142196</v>
      </c>
      <c r="O2223" t="b">
        <v>0</v>
      </c>
      <c r="P2223">
        <v>-1</v>
      </c>
      <c r="Q2223" t="str" cm="1">
        <f t="array" ref="Q2223">_xlfn.IFS(Table1[[#This Row],[Wealthier_Winner]]=-1,"Wealthier Nation Loses",Table1[[#This Row],[Wealthier_Winner]]=0,"Tie",Table1[[#This Row],[Wealthier_Winner]]=1,"Wealthier Nation Wins")</f>
        <v>Wealthier Nation Loses</v>
      </c>
    </row>
    <row r="2224" spans="1:17" x14ac:dyDescent="0.2">
      <c r="A2224" s="1">
        <v>3708</v>
      </c>
      <c r="B2224" s="2">
        <v>36771</v>
      </c>
      <c r="C2224" s="7">
        <f>_xlfn.FLOOR.MATH(Table1[[#This Row],[year]],10)</f>
        <v>2000</v>
      </c>
      <c r="D2224" t="s">
        <v>64</v>
      </c>
      <c r="E2224" t="s">
        <v>58</v>
      </c>
      <c r="F2224">
        <v>1</v>
      </c>
      <c r="G2224">
        <v>3</v>
      </c>
      <c r="H2224" t="s">
        <v>224</v>
      </c>
      <c r="I2224" t="s">
        <v>423</v>
      </c>
      <c r="J2224" t="s">
        <v>64</v>
      </c>
      <c r="K2224" t="b">
        <v>0</v>
      </c>
      <c r="L2224">
        <v>2000</v>
      </c>
      <c r="M2224">
        <v>32375083934</v>
      </c>
      <c r="N2224">
        <v>172953527033</v>
      </c>
      <c r="O2224" t="b">
        <v>1</v>
      </c>
      <c r="P2224">
        <v>1</v>
      </c>
      <c r="Q2224" t="str" cm="1">
        <f t="array" ref="Q2224">_xlfn.IFS(Table1[[#This Row],[Wealthier_Winner]]=-1,"Wealthier Nation Loses",Table1[[#This Row],[Wealthier_Winner]]=0,"Tie",Table1[[#This Row],[Wealthier_Winner]]=1,"Wealthier Nation Wins")</f>
        <v>Wealthier Nation Wins</v>
      </c>
    </row>
    <row r="2225" spans="1:17" x14ac:dyDescent="0.2">
      <c r="A2225" s="1">
        <v>3711</v>
      </c>
      <c r="B2225" s="2">
        <v>36772</v>
      </c>
      <c r="C2225" s="7">
        <f>_xlfn.FLOOR.MATH(Table1[[#This Row],[year]],10)</f>
        <v>2000</v>
      </c>
      <c r="D2225" t="s">
        <v>13</v>
      </c>
      <c r="E2225" t="s">
        <v>47</v>
      </c>
      <c r="F2225">
        <v>5</v>
      </c>
      <c r="G2225">
        <v>0</v>
      </c>
      <c r="H2225" t="s">
        <v>224</v>
      </c>
      <c r="I2225" t="s">
        <v>173</v>
      </c>
      <c r="J2225" t="s">
        <v>13</v>
      </c>
      <c r="K2225" t="b">
        <v>0</v>
      </c>
      <c r="L2225">
        <v>2000</v>
      </c>
      <c r="M2225">
        <v>655448188259</v>
      </c>
      <c r="N2225">
        <v>8397855484</v>
      </c>
      <c r="O2225" t="b">
        <v>1</v>
      </c>
      <c r="P2225">
        <v>1</v>
      </c>
      <c r="Q2225" t="str" cm="1">
        <f t="array" ref="Q2225">_xlfn.IFS(Table1[[#This Row],[Wealthier_Winner]]=-1,"Wealthier Nation Loses",Table1[[#This Row],[Wealthier_Winner]]=0,"Tie",Table1[[#This Row],[Wealthier_Winner]]=1,"Wealthier Nation Wins")</f>
        <v>Wealthier Nation Wins</v>
      </c>
    </row>
    <row r="2226" spans="1:17" x14ac:dyDescent="0.2">
      <c r="A2226" s="1">
        <v>3712</v>
      </c>
      <c r="B2226" s="2">
        <v>36772</v>
      </c>
      <c r="C2226" s="7">
        <f>_xlfn.FLOOR.MATH(Table1[[#This Row],[year]],10)</f>
        <v>2000</v>
      </c>
      <c r="D2226" t="s">
        <v>56</v>
      </c>
      <c r="E2226" t="s">
        <v>443</v>
      </c>
      <c r="F2226">
        <v>3</v>
      </c>
      <c r="G2226">
        <v>0</v>
      </c>
      <c r="H2226" t="s">
        <v>224</v>
      </c>
      <c r="I2226" t="s">
        <v>225</v>
      </c>
      <c r="J2226" t="s">
        <v>56</v>
      </c>
      <c r="K2226" t="b">
        <v>0</v>
      </c>
      <c r="L2226">
        <v>2000</v>
      </c>
      <c r="M2226">
        <v>15013629661</v>
      </c>
      <c r="N2226">
        <v>3059500000</v>
      </c>
      <c r="O2226" t="b">
        <v>1</v>
      </c>
      <c r="P2226">
        <v>1</v>
      </c>
      <c r="Q2226" t="str" cm="1">
        <f t="array" ref="Q2226">_xlfn.IFS(Table1[[#This Row],[Wealthier_Winner]]=-1,"Wealthier Nation Loses",Table1[[#This Row],[Wealthier_Winner]]=0,"Tie",Table1[[#This Row],[Wealthier_Winner]]=1,"Wealthier Nation Wins")</f>
        <v>Wealthier Nation Wins</v>
      </c>
    </row>
    <row r="2227" spans="1:17" x14ac:dyDescent="0.2">
      <c r="A2227" s="1">
        <v>3713</v>
      </c>
      <c r="B2227" s="2">
        <v>36772</v>
      </c>
      <c r="C2227" s="7">
        <f>_xlfn.FLOOR.MATH(Table1[[#This Row],[year]],10)</f>
        <v>2000</v>
      </c>
      <c r="D2227" t="s">
        <v>476</v>
      </c>
      <c r="E2227" t="s">
        <v>38</v>
      </c>
      <c r="F2227">
        <v>1</v>
      </c>
      <c r="G2227">
        <v>3</v>
      </c>
      <c r="H2227" t="s">
        <v>224</v>
      </c>
      <c r="I2227" t="s">
        <v>481</v>
      </c>
      <c r="J2227" t="s">
        <v>476</v>
      </c>
      <c r="K2227" t="b">
        <v>0</v>
      </c>
      <c r="L2227">
        <v>2000</v>
      </c>
      <c r="M2227">
        <v>5686579747</v>
      </c>
      <c r="N2227">
        <v>118605192877</v>
      </c>
      <c r="O2227" t="b">
        <v>1</v>
      </c>
      <c r="P2227">
        <v>1</v>
      </c>
      <c r="Q2227" t="str" cm="1">
        <f t="array" ref="Q2227">_xlfn.IFS(Table1[[#This Row],[Wealthier_Winner]]=-1,"Wealthier Nation Loses",Table1[[#This Row],[Wealthier_Winner]]=0,"Tie",Table1[[#This Row],[Wealthier_Winner]]=1,"Wealthier Nation Wins")</f>
        <v>Wealthier Nation Wins</v>
      </c>
    </row>
    <row r="2228" spans="1:17" x14ac:dyDescent="0.2">
      <c r="A2228" s="1">
        <v>3714</v>
      </c>
      <c r="B2228" s="2">
        <v>36772</v>
      </c>
      <c r="C2228" s="7">
        <f>_xlfn.FLOOR.MATH(Table1[[#This Row],[year]],10)</f>
        <v>2000</v>
      </c>
      <c r="D2228" t="s">
        <v>447</v>
      </c>
      <c r="E2228" t="s">
        <v>55</v>
      </c>
      <c r="F2228">
        <v>2</v>
      </c>
      <c r="G2228">
        <v>2</v>
      </c>
      <c r="H2228" t="s">
        <v>224</v>
      </c>
      <c r="I2228" t="s">
        <v>448</v>
      </c>
      <c r="J2228" t="s">
        <v>447</v>
      </c>
      <c r="K2228" t="b">
        <v>0</v>
      </c>
      <c r="L2228">
        <v>2000</v>
      </c>
      <c r="M2228">
        <v>1067109530</v>
      </c>
      <c r="N2228">
        <v>20159190701</v>
      </c>
      <c r="O2228" t="b">
        <v>1</v>
      </c>
      <c r="P2228">
        <v>0</v>
      </c>
      <c r="Q2228" t="str" cm="1">
        <f t="array" ref="Q2228">_xlfn.IFS(Table1[[#This Row],[Wealthier_Winner]]=-1,"Wealthier Nation Loses",Table1[[#This Row],[Wealthier_Winner]]=0,"Tie",Table1[[#This Row],[Wealthier_Winner]]=1,"Wealthier Nation Wins")</f>
        <v>Tie</v>
      </c>
    </row>
    <row r="2229" spans="1:17" x14ac:dyDescent="0.2">
      <c r="A2229" s="1">
        <v>3715</v>
      </c>
      <c r="B2229" s="2">
        <v>36772</v>
      </c>
      <c r="C2229" s="7">
        <f>_xlfn.FLOOR.MATH(Table1[[#This Row],[year]],10)</f>
        <v>2000</v>
      </c>
      <c r="D2229" t="s">
        <v>30</v>
      </c>
      <c r="E2229" t="s">
        <v>18</v>
      </c>
      <c r="F2229">
        <v>2</v>
      </c>
      <c r="G2229">
        <v>2</v>
      </c>
      <c r="H2229" t="s">
        <v>224</v>
      </c>
      <c r="I2229" t="s">
        <v>297</v>
      </c>
      <c r="J2229" t="s">
        <v>30</v>
      </c>
      <c r="K2229" t="b">
        <v>0</v>
      </c>
      <c r="L2229">
        <v>2000</v>
      </c>
      <c r="M2229">
        <v>47275954428</v>
      </c>
      <c r="N2229">
        <v>1149661363439</v>
      </c>
      <c r="O2229" t="b">
        <v>1</v>
      </c>
      <c r="P2229">
        <v>0</v>
      </c>
      <c r="Q2229" t="str" cm="1">
        <f t="array" ref="Q2229">_xlfn.IFS(Table1[[#This Row],[Wealthier_Winner]]=-1,"Wealthier Nation Loses",Table1[[#This Row],[Wealthier_Winner]]=0,"Tie",Table1[[#This Row],[Wealthier_Winner]]=1,"Wealthier Nation Wins")</f>
        <v>Tie</v>
      </c>
    </row>
    <row r="2230" spans="1:17" x14ac:dyDescent="0.2">
      <c r="A2230" s="1">
        <v>3716</v>
      </c>
      <c r="B2230" s="2">
        <v>36772</v>
      </c>
      <c r="C2230" s="7">
        <f>_xlfn.FLOOR.MATH(Table1[[#This Row],[year]],10)</f>
        <v>2000</v>
      </c>
      <c r="D2230" t="s">
        <v>22</v>
      </c>
      <c r="E2230" t="s">
        <v>503</v>
      </c>
      <c r="F2230">
        <v>2</v>
      </c>
      <c r="G2230">
        <v>0</v>
      </c>
      <c r="H2230" t="s">
        <v>224</v>
      </c>
      <c r="I2230" t="s">
        <v>239</v>
      </c>
      <c r="J2230" t="s">
        <v>22</v>
      </c>
      <c r="K2230" t="b">
        <v>0</v>
      </c>
      <c r="L2230">
        <v>2000</v>
      </c>
      <c r="M2230">
        <v>136512300542</v>
      </c>
      <c r="N2230">
        <v>2483889858</v>
      </c>
      <c r="O2230" t="b">
        <v>1</v>
      </c>
      <c r="P2230">
        <v>1</v>
      </c>
      <c r="Q2230" t="str" cm="1">
        <f t="array" ref="Q2230">_xlfn.IFS(Table1[[#This Row],[Wealthier_Winner]]=-1,"Wealthier Nation Loses",Table1[[#This Row],[Wealthier_Winner]]=0,"Tie",Table1[[#This Row],[Wealthier_Winner]]=1,"Wealthier Nation Wins")</f>
        <v>Wealthier Nation Wins</v>
      </c>
    </row>
    <row r="2231" spans="1:17" x14ac:dyDescent="0.2">
      <c r="A2231" s="1">
        <v>3717</v>
      </c>
      <c r="B2231" s="2">
        <v>36772</v>
      </c>
      <c r="C2231" s="7">
        <f>_xlfn.FLOOR.MATH(Table1[[#This Row],[year]],10)</f>
        <v>2000</v>
      </c>
      <c r="D2231" t="s">
        <v>232</v>
      </c>
      <c r="E2231" t="s">
        <v>61</v>
      </c>
      <c r="F2231">
        <v>0</v>
      </c>
      <c r="G2231">
        <v>2</v>
      </c>
      <c r="H2231" t="s">
        <v>224</v>
      </c>
      <c r="I2231" t="s">
        <v>232</v>
      </c>
      <c r="J2231" t="s">
        <v>232</v>
      </c>
      <c r="K2231" t="b">
        <v>0</v>
      </c>
      <c r="L2231">
        <v>2000</v>
      </c>
      <c r="M2231">
        <v>21230182989</v>
      </c>
      <c r="N2231">
        <v>7326373882</v>
      </c>
      <c r="O2231" t="b">
        <v>1</v>
      </c>
      <c r="P2231">
        <v>-1</v>
      </c>
      <c r="Q2231" t="str" cm="1">
        <f t="array" ref="Q2231">_xlfn.IFS(Table1[[#This Row],[Wealthier_Winner]]=-1,"Wealthier Nation Loses",Table1[[#This Row],[Wealthier_Winner]]=0,"Tie",Table1[[#This Row],[Wealthier_Winner]]=1,"Wealthier Nation Wins")</f>
        <v>Wealthier Nation Loses</v>
      </c>
    </row>
    <row r="2232" spans="1:17" x14ac:dyDescent="0.2">
      <c r="A2232" s="1">
        <v>3718</v>
      </c>
      <c r="B2232" s="2">
        <v>36772</v>
      </c>
      <c r="C2232" s="7">
        <f>_xlfn.FLOOR.MATH(Table1[[#This Row],[year]],10)</f>
        <v>2000</v>
      </c>
      <c r="D2232" t="s">
        <v>17</v>
      </c>
      <c r="E2232" t="s">
        <v>67</v>
      </c>
      <c r="F2232">
        <v>7</v>
      </c>
      <c r="G2232">
        <v>1</v>
      </c>
      <c r="H2232" t="s">
        <v>224</v>
      </c>
      <c r="I2232" t="s">
        <v>83</v>
      </c>
      <c r="J2232" t="s">
        <v>17</v>
      </c>
      <c r="K2232" t="b">
        <v>0</v>
      </c>
      <c r="L2232">
        <v>2000</v>
      </c>
      <c r="M2232">
        <v>742061329749</v>
      </c>
      <c r="N2232">
        <v>11966497048</v>
      </c>
      <c r="O2232" t="b">
        <v>1</v>
      </c>
      <c r="P2232">
        <v>1</v>
      </c>
      <c r="Q2232" t="str" cm="1">
        <f t="array" ref="Q2232">_xlfn.IFS(Table1[[#This Row],[Wealthier_Winner]]=-1,"Wealthier Nation Loses",Table1[[#This Row],[Wealthier_Winner]]=0,"Tie",Table1[[#This Row],[Wealthier_Winner]]=1,"Wealthier Nation Wins")</f>
        <v>Wealthier Nation Wins</v>
      </c>
    </row>
    <row r="2233" spans="1:17" x14ac:dyDescent="0.2">
      <c r="A2233" s="1">
        <v>3719</v>
      </c>
      <c r="B2233" s="2">
        <v>36772</v>
      </c>
      <c r="C2233" s="7">
        <f>_xlfn.FLOOR.MATH(Table1[[#This Row],[year]],10)</f>
        <v>2000</v>
      </c>
      <c r="D2233" t="s">
        <v>31</v>
      </c>
      <c r="E2233" t="s">
        <v>19</v>
      </c>
      <c r="F2233">
        <v>1</v>
      </c>
      <c r="G2233">
        <v>2</v>
      </c>
      <c r="H2233" t="s">
        <v>224</v>
      </c>
      <c r="I2233" t="s">
        <v>242</v>
      </c>
      <c r="J2233" t="s">
        <v>31</v>
      </c>
      <c r="K2233" t="b">
        <v>0</v>
      </c>
      <c r="L2233">
        <v>2000</v>
      </c>
      <c r="M2233">
        <v>51744749133</v>
      </c>
      <c r="N2233">
        <v>284203750000</v>
      </c>
      <c r="O2233" t="b">
        <v>1</v>
      </c>
      <c r="P2233">
        <v>1</v>
      </c>
      <c r="Q2233" t="str" cm="1">
        <f t="array" ref="Q2233">_xlfn.IFS(Table1[[#This Row],[Wealthier_Winner]]=-1,"Wealthier Nation Loses",Table1[[#This Row],[Wealthier_Winner]]=0,"Tie",Table1[[#This Row],[Wealthier_Winner]]=1,"Wealthier Nation Wins")</f>
        <v>Wealthier Nation Wins</v>
      </c>
    </row>
    <row r="2234" spans="1:17" x14ac:dyDescent="0.2">
      <c r="A2234" s="1">
        <v>3720</v>
      </c>
      <c r="B2234" s="2">
        <v>36772</v>
      </c>
      <c r="C2234" s="7">
        <f>_xlfn.FLOOR.MATH(Table1[[#This Row],[year]],10)</f>
        <v>2000</v>
      </c>
      <c r="D2234" t="s">
        <v>44</v>
      </c>
      <c r="E2234" t="s">
        <v>523</v>
      </c>
      <c r="F2234">
        <v>1</v>
      </c>
      <c r="G2234">
        <v>0</v>
      </c>
      <c r="H2234" t="s">
        <v>224</v>
      </c>
      <c r="I2234" t="s">
        <v>425</v>
      </c>
      <c r="J2234" t="s">
        <v>44</v>
      </c>
      <c r="K2234" t="b">
        <v>0</v>
      </c>
      <c r="L2234">
        <v>2000</v>
      </c>
      <c r="M2234">
        <v>37253739511</v>
      </c>
      <c r="N2234">
        <v>11550695727</v>
      </c>
      <c r="O2234" t="b">
        <v>1</v>
      </c>
      <c r="P2234">
        <v>1</v>
      </c>
      <c r="Q2234" t="str" cm="1">
        <f t="array" ref="Q2234">_xlfn.IFS(Table1[[#This Row],[Wealthier_Winner]]=-1,"Wealthier Nation Loses",Table1[[#This Row],[Wealthier_Winner]]=0,"Tie",Table1[[#This Row],[Wealthier_Winner]]=1,"Wealthier Nation Wins")</f>
        <v>Wealthier Nation Wins</v>
      </c>
    </row>
    <row r="2235" spans="1:17" x14ac:dyDescent="0.2">
      <c r="A2235" s="1">
        <v>3722</v>
      </c>
      <c r="B2235" s="2">
        <v>36772</v>
      </c>
      <c r="C2235" s="7">
        <f>_xlfn.FLOOR.MATH(Table1[[#This Row],[year]],10)</f>
        <v>2000</v>
      </c>
      <c r="D2235" t="s">
        <v>59</v>
      </c>
      <c r="E2235" t="s">
        <v>34</v>
      </c>
      <c r="F2235">
        <v>4</v>
      </c>
      <c r="G2235">
        <v>0</v>
      </c>
      <c r="H2235" t="s">
        <v>224</v>
      </c>
      <c r="I2235" t="s">
        <v>253</v>
      </c>
      <c r="J2235" t="s">
        <v>59</v>
      </c>
      <c r="K2235" t="b">
        <v>0</v>
      </c>
      <c r="L2235">
        <v>2000</v>
      </c>
      <c r="M2235">
        <v>8154342116</v>
      </c>
      <c r="N2235">
        <v>744773415931</v>
      </c>
      <c r="O2235" t="b">
        <v>1</v>
      </c>
      <c r="P2235">
        <v>-1</v>
      </c>
      <c r="Q2235" t="str" cm="1">
        <f t="array" ref="Q2235">_xlfn.IFS(Table1[[#This Row],[Wealthier_Winner]]=-1,"Wealthier Nation Loses",Table1[[#This Row],[Wealthier_Winner]]=0,"Tie",Table1[[#This Row],[Wealthier_Winner]]=1,"Wealthier Nation Wins")</f>
        <v>Wealthier Nation Loses</v>
      </c>
    </row>
    <row r="2236" spans="1:17" x14ac:dyDescent="0.2">
      <c r="A2236" s="1">
        <v>3723</v>
      </c>
      <c r="B2236" s="2">
        <v>36772</v>
      </c>
      <c r="C2236" s="7">
        <f>_xlfn.FLOOR.MATH(Table1[[#This Row],[year]],10)</f>
        <v>2000</v>
      </c>
      <c r="D2236" t="s">
        <v>26</v>
      </c>
      <c r="E2236" t="s">
        <v>57</v>
      </c>
      <c r="F2236">
        <v>4</v>
      </c>
      <c r="G2236">
        <v>0</v>
      </c>
      <c r="H2236" t="s">
        <v>224</v>
      </c>
      <c r="I2236" t="s">
        <v>247</v>
      </c>
      <c r="J2236" t="s">
        <v>26</v>
      </c>
      <c r="K2236" t="b">
        <v>0</v>
      </c>
      <c r="L2236">
        <v>2000</v>
      </c>
      <c r="M2236">
        <v>22823270892</v>
      </c>
      <c r="N2236">
        <v>17539454727</v>
      </c>
      <c r="O2236" t="b">
        <v>0</v>
      </c>
      <c r="P2236">
        <v>1</v>
      </c>
      <c r="Q2236" t="str" cm="1">
        <f t="array" ref="Q2236">_xlfn.IFS(Table1[[#This Row],[Wealthier_Winner]]=-1,"Wealthier Nation Loses",Table1[[#This Row],[Wealthier_Winner]]=0,"Tie",Table1[[#This Row],[Wealthier_Winner]]=1,"Wealthier Nation Wins")</f>
        <v>Wealthier Nation Wins</v>
      </c>
    </row>
    <row r="2237" spans="1:17" x14ac:dyDescent="0.2">
      <c r="A2237" s="1">
        <v>3724</v>
      </c>
      <c r="B2237" s="2">
        <v>36772</v>
      </c>
      <c r="C2237" s="7">
        <f>_xlfn.FLOOR.MATH(Table1[[#This Row],[year]],10)</f>
        <v>2000</v>
      </c>
      <c r="D2237" t="s">
        <v>41</v>
      </c>
      <c r="E2237" t="s">
        <v>223</v>
      </c>
      <c r="F2237">
        <v>1</v>
      </c>
      <c r="G2237">
        <v>0</v>
      </c>
      <c r="H2237" t="s">
        <v>224</v>
      </c>
      <c r="I2237" t="s">
        <v>122</v>
      </c>
      <c r="J2237" t="s">
        <v>41</v>
      </c>
      <c r="K2237" t="b">
        <v>0</v>
      </c>
      <c r="L2237">
        <v>2000</v>
      </c>
      <c r="M2237">
        <v>10250947997000</v>
      </c>
      <c r="N2237">
        <v>19288929030</v>
      </c>
      <c r="O2237" t="b">
        <v>1</v>
      </c>
      <c r="P2237">
        <v>1</v>
      </c>
      <c r="Q2237" t="str" cm="1">
        <f t="array" ref="Q2237">_xlfn.IFS(Table1[[#This Row],[Wealthier_Winner]]=-1,"Wealthier Nation Loses",Table1[[#This Row],[Wealthier_Winner]]=0,"Tie",Table1[[#This Row],[Wealthier_Winner]]=1,"Wealthier Nation Wins")</f>
        <v>Wealthier Nation Wins</v>
      </c>
    </row>
    <row r="2238" spans="1:17" x14ac:dyDescent="0.2">
      <c r="A2238" s="1">
        <v>3725</v>
      </c>
      <c r="B2238" s="2">
        <v>36805</v>
      </c>
      <c r="C2238" s="7">
        <f>_xlfn.FLOOR.MATH(Table1[[#This Row],[year]],10)</f>
        <v>2000</v>
      </c>
      <c r="D2238" t="s">
        <v>502</v>
      </c>
      <c r="E2238" t="s">
        <v>513</v>
      </c>
      <c r="F2238">
        <v>3</v>
      </c>
      <c r="G2238">
        <v>0</v>
      </c>
      <c r="H2238" t="s">
        <v>224</v>
      </c>
      <c r="I2238" t="s">
        <v>504</v>
      </c>
      <c r="J2238" t="s">
        <v>502</v>
      </c>
      <c r="K2238" t="b">
        <v>0</v>
      </c>
      <c r="L2238">
        <v>2000</v>
      </c>
      <c r="M2238">
        <v>3772859034</v>
      </c>
      <c r="N2238">
        <v>5272615722</v>
      </c>
      <c r="O2238" t="b">
        <v>0</v>
      </c>
      <c r="P2238">
        <v>-1</v>
      </c>
      <c r="Q2238" t="str" cm="1">
        <f t="array" ref="Q2238">_xlfn.IFS(Table1[[#This Row],[Wealthier_Winner]]=-1,"Wealthier Nation Loses",Table1[[#This Row],[Wealthier_Winner]]=0,"Tie",Table1[[#This Row],[Wealthier_Winner]]=1,"Wealthier Nation Wins")</f>
        <v>Wealthier Nation Loses</v>
      </c>
    </row>
    <row r="2239" spans="1:17" x14ac:dyDescent="0.2">
      <c r="A2239" s="1">
        <v>3726</v>
      </c>
      <c r="B2239" s="2">
        <v>36806</v>
      </c>
      <c r="C2239" s="7">
        <f>_xlfn.FLOOR.MATH(Table1[[#This Row],[year]],10)</f>
        <v>2000</v>
      </c>
      <c r="D2239" t="s">
        <v>601</v>
      </c>
      <c r="E2239" t="s">
        <v>476</v>
      </c>
      <c r="F2239">
        <v>1</v>
      </c>
      <c r="G2239">
        <v>2</v>
      </c>
      <c r="H2239" t="s">
        <v>224</v>
      </c>
      <c r="I2239" t="s">
        <v>602</v>
      </c>
      <c r="J2239" t="s">
        <v>601</v>
      </c>
      <c r="K2239" t="b">
        <v>0</v>
      </c>
      <c r="L2239">
        <v>2000</v>
      </c>
      <c r="M2239">
        <v>1432606296</v>
      </c>
      <c r="N2239">
        <v>5686579747</v>
      </c>
      <c r="O2239" t="b">
        <v>1</v>
      </c>
      <c r="P2239">
        <v>1</v>
      </c>
      <c r="Q2239" t="str" cm="1">
        <f t="array" ref="Q2239">_xlfn.IFS(Table1[[#This Row],[Wealthier_Winner]]=-1,"Wealthier Nation Loses",Table1[[#This Row],[Wealthier_Winner]]=0,"Tie",Table1[[#This Row],[Wealthier_Winner]]=1,"Wealthier Nation Wins")</f>
        <v>Wealthier Nation Wins</v>
      </c>
    </row>
    <row r="2240" spans="1:17" x14ac:dyDescent="0.2">
      <c r="A2240" s="1">
        <v>3727</v>
      </c>
      <c r="B2240" s="2">
        <v>36806</v>
      </c>
      <c r="C2240" s="7">
        <f>_xlfn.FLOOR.MATH(Table1[[#This Row],[year]],10)</f>
        <v>2000</v>
      </c>
      <c r="D2240" t="s">
        <v>519</v>
      </c>
      <c r="E2240" t="s">
        <v>64</v>
      </c>
      <c r="F2240">
        <v>2</v>
      </c>
      <c r="G2240">
        <v>3</v>
      </c>
      <c r="H2240" t="s">
        <v>224</v>
      </c>
      <c r="I2240" t="s">
        <v>520</v>
      </c>
      <c r="J2240" t="s">
        <v>519</v>
      </c>
      <c r="K2240" t="b">
        <v>0</v>
      </c>
      <c r="L2240">
        <v>2000</v>
      </c>
      <c r="M2240">
        <v>1911563668</v>
      </c>
      <c r="N2240">
        <v>32375083934</v>
      </c>
      <c r="O2240" t="b">
        <v>1</v>
      </c>
      <c r="P2240">
        <v>1</v>
      </c>
      <c r="Q2240" t="str" cm="1">
        <f t="array" ref="Q2240">_xlfn.IFS(Table1[[#This Row],[Wealthier_Winner]]=-1,"Wealthier Nation Loses",Table1[[#This Row],[Wealthier_Winner]]=0,"Tie",Table1[[#This Row],[Wealthier_Winner]]=1,"Wealthier Nation Wins")</f>
        <v>Wealthier Nation Wins</v>
      </c>
    </row>
    <row r="2241" spans="1:17" x14ac:dyDescent="0.2">
      <c r="A2241" s="1">
        <v>3728</v>
      </c>
      <c r="B2241" s="2">
        <v>36806</v>
      </c>
      <c r="C2241" s="7">
        <f>_xlfn.FLOOR.MATH(Table1[[#This Row],[year]],10)</f>
        <v>2000</v>
      </c>
      <c r="D2241" t="s">
        <v>33</v>
      </c>
      <c r="E2241" t="s">
        <v>303</v>
      </c>
      <c r="F2241">
        <v>3</v>
      </c>
      <c r="G2241">
        <v>0</v>
      </c>
      <c r="H2241" t="s">
        <v>224</v>
      </c>
      <c r="I2241" t="s">
        <v>375</v>
      </c>
      <c r="J2241" t="s">
        <v>33</v>
      </c>
      <c r="K2241" t="b">
        <v>0</v>
      </c>
      <c r="L2241">
        <v>2000</v>
      </c>
      <c r="M2241">
        <v>13245990274</v>
      </c>
      <c r="N2241">
        <v>4036809815</v>
      </c>
      <c r="O2241" t="b">
        <v>1</v>
      </c>
      <c r="P2241">
        <v>1</v>
      </c>
      <c r="Q2241" t="str" cm="1">
        <f t="array" ref="Q2241">_xlfn.IFS(Table1[[#This Row],[Wealthier_Winner]]=-1,"Wealthier Nation Loses",Table1[[#This Row],[Wealthier_Winner]]=0,"Tie",Table1[[#This Row],[Wealthier_Winner]]=1,"Wealthier Nation Wins")</f>
        <v>Wealthier Nation Wins</v>
      </c>
    </row>
    <row r="2242" spans="1:17" x14ac:dyDescent="0.2">
      <c r="A2242" s="1">
        <v>3729</v>
      </c>
      <c r="B2242" s="2">
        <v>36806</v>
      </c>
      <c r="C2242" s="7">
        <f>_xlfn.FLOOR.MATH(Table1[[#This Row],[year]],10)</f>
        <v>2000</v>
      </c>
      <c r="D2242" t="s">
        <v>15</v>
      </c>
      <c r="E2242" t="s">
        <v>35</v>
      </c>
      <c r="F2242">
        <v>0</v>
      </c>
      <c r="G2242">
        <v>2</v>
      </c>
      <c r="H2242" t="s">
        <v>224</v>
      </c>
      <c r="I2242" t="s">
        <v>241</v>
      </c>
      <c r="J2242" t="s">
        <v>15</v>
      </c>
      <c r="K2242" t="b">
        <v>0</v>
      </c>
      <c r="L2242">
        <v>2000</v>
      </c>
      <c r="M2242">
        <v>99875074951</v>
      </c>
      <c r="N2242">
        <v>8855705139</v>
      </c>
      <c r="O2242" t="b">
        <v>1</v>
      </c>
      <c r="P2242">
        <v>-1</v>
      </c>
      <c r="Q2242" t="str" cm="1">
        <f t="array" ref="Q2242">_xlfn.IFS(Table1[[#This Row],[Wealthier_Winner]]=-1,"Wealthier Nation Loses",Table1[[#This Row],[Wealthier_Winner]]=0,"Tie",Table1[[#This Row],[Wealthier_Winner]]=1,"Wealthier Nation Wins")</f>
        <v>Wealthier Nation Loses</v>
      </c>
    </row>
    <row r="2243" spans="1:17" x14ac:dyDescent="0.2">
      <c r="A2243" s="1">
        <v>3730</v>
      </c>
      <c r="B2243" s="2">
        <v>36806</v>
      </c>
      <c r="C2243" s="7">
        <f>_xlfn.FLOOR.MATH(Table1[[#This Row],[year]],10)</f>
        <v>2000</v>
      </c>
      <c r="D2243" t="s">
        <v>351</v>
      </c>
      <c r="E2243" t="s">
        <v>27</v>
      </c>
      <c r="F2243">
        <v>0</v>
      </c>
      <c r="G2243">
        <v>4</v>
      </c>
      <c r="H2243" t="s">
        <v>224</v>
      </c>
      <c r="I2243" t="s">
        <v>381</v>
      </c>
      <c r="J2243" t="s">
        <v>351</v>
      </c>
      <c r="K2243" t="b">
        <v>0</v>
      </c>
      <c r="L2243">
        <v>2000</v>
      </c>
      <c r="M2243">
        <v>9985847313</v>
      </c>
      <c r="N2243">
        <v>417649282153</v>
      </c>
      <c r="O2243" t="b">
        <v>1</v>
      </c>
      <c r="P2243">
        <v>1</v>
      </c>
      <c r="Q2243" t="str" cm="1">
        <f t="array" ref="Q2243">_xlfn.IFS(Table1[[#This Row],[Wealthier_Winner]]=-1,"Wealthier Nation Loses",Table1[[#This Row],[Wealthier_Winner]]=0,"Tie",Table1[[#This Row],[Wealthier_Winner]]=1,"Wealthier Nation Wins")</f>
        <v>Wealthier Nation Wins</v>
      </c>
    </row>
    <row r="2244" spans="1:17" x14ac:dyDescent="0.2">
      <c r="A2244" s="1">
        <v>3732</v>
      </c>
      <c r="B2244" s="2">
        <v>36806</v>
      </c>
      <c r="C2244" s="7">
        <f>_xlfn.FLOOR.MATH(Table1[[#This Row],[year]],10)</f>
        <v>2000</v>
      </c>
      <c r="D2244" t="s">
        <v>194</v>
      </c>
      <c r="E2244" t="s">
        <v>16</v>
      </c>
      <c r="F2244">
        <v>0</v>
      </c>
      <c r="G2244">
        <v>1</v>
      </c>
      <c r="H2244" t="s">
        <v>224</v>
      </c>
      <c r="I2244" t="s">
        <v>80</v>
      </c>
      <c r="J2244" t="s">
        <v>194</v>
      </c>
      <c r="K2244" t="b">
        <v>0</v>
      </c>
      <c r="L2244">
        <v>2000</v>
      </c>
      <c r="M2244">
        <v>1671597821152</v>
      </c>
      <c r="N2244">
        <v>1966980701145</v>
      </c>
      <c r="O2244" t="b">
        <v>0</v>
      </c>
      <c r="P2244">
        <v>1</v>
      </c>
      <c r="Q2244" t="str" cm="1">
        <f t="array" ref="Q2244">_xlfn.IFS(Table1[[#This Row],[Wealthier_Winner]]=-1,"Wealthier Nation Loses",Table1[[#This Row],[Wealthier_Winner]]=0,"Tie",Table1[[#This Row],[Wealthier_Winner]]=1,"Wealthier Nation Wins")</f>
        <v>Wealthier Nation Wins</v>
      </c>
    </row>
    <row r="2245" spans="1:17" x14ac:dyDescent="0.2">
      <c r="A2245" s="1">
        <v>3733</v>
      </c>
      <c r="B2245" s="2">
        <v>36806</v>
      </c>
      <c r="C2245" s="7">
        <f>_xlfn.FLOOR.MATH(Table1[[#This Row],[year]],10)</f>
        <v>2000</v>
      </c>
      <c r="D2245" t="s">
        <v>48</v>
      </c>
      <c r="E2245" t="s">
        <v>230</v>
      </c>
      <c r="F2245">
        <v>1</v>
      </c>
      <c r="G2245">
        <v>0</v>
      </c>
      <c r="H2245" t="s">
        <v>224</v>
      </c>
      <c r="I2245" t="s">
        <v>236</v>
      </c>
      <c r="J2245" t="s">
        <v>48</v>
      </c>
      <c r="K2245" t="b">
        <v>0</v>
      </c>
      <c r="L2245">
        <v>2000</v>
      </c>
      <c r="M2245">
        <v>125760166224</v>
      </c>
      <c r="N2245">
        <v>125967821110</v>
      </c>
      <c r="O2245" t="b">
        <v>0</v>
      </c>
      <c r="P2245">
        <v>-1</v>
      </c>
      <c r="Q2245" t="str" cm="1">
        <f t="array" ref="Q2245">_xlfn.IFS(Table1[[#This Row],[Wealthier_Winner]]=-1,"Wealthier Nation Loses",Table1[[#This Row],[Wealthier_Winner]]=0,"Tie",Table1[[#This Row],[Wealthier_Winner]]=1,"Wealthier Nation Wins")</f>
        <v>Wealthier Nation Loses</v>
      </c>
    </row>
    <row r="2246" spans="1:17" x14ac:dyDescent="0.2">
      <c r="A2246" s="1">
        <v>3734</v>
      </c>
      <c r="B2246" s="2">
        <v>36806</v>
      </c>
      <c r="C2246" s="7">
        <f>_xlfn.FLOOR.MATH(Table1[[#This Row],[year]],10)</f>
        <v>2000</v>
      </c>
      <c r="D2246" t="s">
        <v>18</v>
      </c>
      <c r="E2246" t="s">
        <v>44</v>
      </c>
      <c r="F2246">
        <v>3</v>
      </c>
      <c r="G2246">
        <v>0</v>
      </c>
      <c r="H2246" t="s">
        <v>224</v>
      </c>
      <c r="I2246" t="s">
        <v>108</v>
      </c>
      <c r="J2246" t="s">
        <v>18</v>
      </c>
      <c r="K2246" t="b">
        <v>0</v>
      </c>
      <c r="L2246">
        <v>2000</v>
      </c>
      <c r="M2246">
        <v>1149661363439</v>
      </c>
      <c r="N2246">
        <v>37253739511</v>
      </c>
      <c r="O2246" t="b">
        <v>1</v>
      </c>
      <c r="P2246">
        <v>1</v>
      </c>
      <c r="Q2246" t="str" cm="1">
        <f t="array" ref="Q2246">_xlfn.IFS(Table1[[#This Row],[Wealthier_Winner]]=-1,"Wealthier Nation Loses",Table1[[#This Row],[Wealthier_Winner]]=0,"Tie",Table1[[#This Row],[Wealthier_Winner]]=1,"Wealthier Nation Wins")</f>
        <v>Wealthier Nation Wins</v>
      </c>
    </row>
    <row r="2247" spans="1:17" x14ac:dyDescent="0.2">
      <c r="A2247" s="1">
        <v>3735</v>
      </c>
      <c r="B2247" s="2">
        <v>36806</v>
      </c>
      <c r="C2247" s="7">
        <f>_xlfn.FLOOR.MATH(Table1[[#This Row],[year]],10)</f>
        <v>2000</v>
      </c>
      <c r="D2247" t="s">
        <v>525</v>
      </c>
      <c r="E2247" t="s">
        <v>23</v>
      </c>
      <c r="F2247">
        <v>0</v>
      </c>
      <c r="G2247">
        <v>4</v>
      </c>
      <c r="H2247" t="s">
        <v>224</v>
      </c>
      <c r="I2247" t="s">
        <v>526</v>
      </c>
      <c r="J2247" t="s">
        <v>525</v>
      </c>
      <c r="K2247" t="b">
        <v>0</v>
      </c>
      <c r="L2247">
        <v>2000</v>
      </c>
      <c r="M2247">
        <v>7761252607</v>
      </c>
      <c r="N2247">
        <v>236792460312</v>
      </c>
      <c r="O2247" t="b">
        <v>1</v>
      </c>
      <c r="P2247">
        <v>1</v>
      </c>
      <c r="Q2247" t="str" cm="1">
        <f t="array" ref="Q2247">_xlfn.IFS(Table1[[#This Row],[Wealthier_Winner]]=-1,"Wealthier Nation Loses",Table1[[#This Row],[Wealthier_Winner]]=0,"Tie",Table1[[#This Row],[Wealthier_Winner]]=1,"Wealthier Nation Wins")</f>
        <v>Wealthier Nation Wins</v>
      </c>
    </row>
    <row r="2248" spans="1:17" x14ac:dyDescent="0.2">
      <c r="A2248" s="1">
        <v>3736</v>
      </c>
      <c r="B2248" s="2">
        <v>36806</v>
      </c>
      <c r="C2248" s="7">
        <f>_xlfn.FLOOR.MATH(Table1[[#This Row],[year]],10)</f>
        <v>2000</v>
      </c>
      <c r="D2248" t="s">
        <v>503</v>
      </c>
      <c r="E2248" t="s">
        <v>29</v>
      </c>
      <c r="F2248">
        <v>0</v>
      </c>
      <c r="G2248">
        <v>1</v>
      </c>
      <c r="H2248" t="s">
        <v>224</v>
      </c>
      <c r="I2248" t="s">
        <v>603</v>
      </c>
      <c r="J2248" t="s">
        <v>503</v>
      </c>
      <c r="K2248" t="b">
        <v>0</v>
      </c>
      <c r="L2248">
        <v>2000</v>
      </c>
      <c r="M2248">
        <v>2483889858</v>
      </c>
      <c r="N2248">
        <v>196181599831</v>
      </c>
      <c r="O2248" t="b">
        <v>1</v>
      </c>
      <c r="P2248">
        <v>1</v>
      </c>
      <c r="Q2248" t="str" cm="1">
        <f t="array" ref="Q2248">_xlfn.IFS(Table1[[#This Row],[Wealthier_Winner]]=-1,"Wealthier Nation Loses",Table1[[#This Row],[Wealthier_Winner]]=0,"Tie",Table1[[#This Row],[Wealthier_Winner]]=1,"Wealthier Nation Wins")</f>
        <v>Wealthier Nation Wins</v>
      </c>
    </row>
    <row r="2249" spans="1:17" x14ac:dyDescent="0.2">
      <c r="A2249" s="1">
        <v>3737</v>
      </c>
      <c r="B2249" s="2">
        <v>36806</v>
      </c>
      <c r="C2249" s="7">
        <f>_xlfn.FLOOR.MATH(Table1[[#This Row],[year]],10)</f>
        <v>2000</v>
      </c>
      <c r="D2249" t="s">
        <v>523</v>
      </c>
      <c r="E2249" t="s">
        <v>534</v>
      </c>
      <c r="F2249">
        <v>0</v>
      </c>
      <c r="G2249">
        <v>4</v>
      </c>
      <c r="H2249" t="s">
        <v>224</v>
      </c>
      <c r="I2249" t="s">
        <v>604</v>
      </c>
      <c r="J2249" t="s">
        <v>523</v>
      </c>
      <c r="K2249" t="b">
        <v>0</v>
      </c>
      <c r="L2249">
        <v>2000</v>
      </c>
      <c r="M2249">
        <v>11550695727</v>
      </c>
      <c r="N2249">
        <v>3057475335</v>
      </c>
      <c r="O2249" t="b">
        <v>1</v>
      </c>
      <c r="P2249">
        <v>-1</v>
      </c>
      <c r="Q2249" t="str" cm="1">
        <f t="array" ref="Q2249">_xlfn.IFS(Table1[[#This Row],[Wealthier_Winner]]=-1,"Wealthier Nation Loses",Table1[[#This Row],[Wealthier_Winner]]=0,"Tie",Table1[[#This Row],[Wealthier_Winner]]=1,"Wealthier Nation Wins")</f>
        <v>Wealthier Nation Loses</v>
      </c>
    </row>
    <row r="2250" spans="1:17" x14ac:dyDescent="0.2">
      <c r="A2250" s="1">
        <v>3738</v>
      </c>
      <c r="B2250" s="2">
        <v>36806</v>
      </c>
      <c r="C2250" s="7">
        <f>_xlfn.FLOOR.MATH(Table1[[#This Row],[year]],10)</f>
        <v>2000</v>
      </c>
      <c r="D2250" t="s">
        <v>232</v>
      </c>
      <c r="E2250" t="s">
        <v>55</v>
      </c>
      <c r="F2250">
        <v>1</v>
      </c>
      <c r="G2250">
        <v>2</v>
      </c>
      <c r="H2250" t="s">
        <v>224</v>
      </c>
      <c r="I2250" t="s">
        <v>232</v>
      </c>
      <c r="J2250" t="s">
        <v>232</v>
      </c>
      <c r="K2250" t="b">
        <v>0</v>
      </c>
      <c r="L2250">
        <v>2000</v>
      </c>
      <c r="M2250">
        <v>21230182989</v>
      </c>
      <c r="N2250">
        <v>20159190701</v>
      </c>
      <c r="O2250" t="b">
        <v>0</v>
      </c>
      <c r="P2250">
        <v>-1</v>
      </c>
      <c r="Q2250" t="str" cm="1">
        <f t="array" ref="Q2250">_xlfn.IFS(Table1[[#This Row],[Wealthier_Winner]]=-1,"Wealthier Nation Loses",Table1[[#This Row],[Wealthier_Winner]]=0,"Tie",Table1[[#This Row],[Wealthier_Winner]]=1,"Wealthier Nation Wins")</f>
        <v>Wealthier Nation Loses</v>
      </c>
    </row>
    <row r="2251" spans="1:17" x14ac:dyDescent="0.2">
      <c r="A2251" s="1">
        <v>3741</v>
      </c>
      <c r="B2251" s="2">
        <v>36806</v>
      </c>
      <c r="C2251" s="7">
        <f>_xlfn.FLOOR.MATH(Table1[[#This Row],[year]],10)</f>
        <v>2000</v>
      </c>
      <c r="D2251" t="s">
        <v>58</v>
      </c>
      <c r="E2251" t="s">
        <v>510</v>
      </c>
      <c r="F2251">
        <v>3</v>
      </c>
      <c r="G2251">
        <v>1</v>
      </c>
      <c r="H2251" t="s">
        <v>224</v>
      </c>
      <c r="I2251" t="s">
        <v>605</v>
      </c>
      <c r="J2251" t="s">
        <v>58</v>
      </c>
      <c r="K2251" t="b">
        <v>0</v>
      </c>
      <c r="L2251">
        <v>2000</v>
      </c>
      <c r="M2251">
        <v>172953527033</v>
      </c>
      <c r="N2251">
        <v>12736856827</v>
      </c>
      <c r="O2251" t="b">
        <v>1</v>
      </c>
      <c r="P2251">
        <v>1</v>
      </c>
      <c r="Q2251" t="str" cm="1">
        <f t="array" ref="Q2251">_xlfn.IFS(Table1[[#This Row],[Wealthier_Winner]]=-1,"Wealthier Nation Loses",Table1[[#This Row],[Wealthier_Winner]]=0,"Tie",Table1[[#This Row],[Wealthier_Winner]]=1,"Wealthier Nation Wins")</f>
        <v>Wealthier Nation Wins</v>
      </c>
    </row>
    <row r="2252" spans="1:17" x14ac:dyDescent="0.2">
      <c r="A2252" s="1">
        <v>3744</v>
      </c>
      <c r="B2252" s="2">
        <v>36806</v>
      </c>
      <c r="C2252" s="7">
        <f>_xlfn.FLOOR.MATH(Table1[[#This Row],[year]],10)</f>
        <v>2000</v>
      </c>
      <c r="D2252" t="s">
        <v>21</v>
      </c>
      <c r="E2252" t="s">
        <v>22</v>
      </c>
      <c r="F2252">
        <v>2</v>
      </c>
      <c r="G2252">
        <v>0</v>
      </c>
      <c r="H2252" t="s">
        <v>224</v>
      </c>
      <c r="I2252" t="s">
        <v>105</v>
      </c>
      <c r="J2252" t="s">
        <v>21</v>
      </c>
      <c r="K2252" t="b">
        <v>0</v>
      </c>
      <c r="L2252">
        <v>2000</v>
      </c>
      <c r="M2252">
        <v>598102854756</v>
      </c>
      <c r="N2252">
        <v>136512300542</v>
      </c>
      <c r="O2252" t="b">
        <v>1</v>
      </c>
      <c r="P2252">
        <v>1</v>
      </c>
      <c r="Q2252" t="str" cm="1">
        <f t="array" ref="Q2252">_xlfn.IFS(Table1[[#This Row],[Wealthier_Winner]]=-1,"Wealthier Nation Loses",Table1[[#This Row],[Wealthier_Winner]]=0,"Tie",Table1[[#This Row],[Wealthier_Winner]]=1,"Wealthier Nation Wins")</f>
        <v>Wealthier Nation Wins</v>
      </c>
    </row>
    <row r="2253" spans="1:17" x14ac:dyDescent="0.2">
      <c r="A2253" s="1">
        <v>3746</v>
      </c>
      <c r="B2253" s="2">
        <v>36806</v>
      </c>
      <c r="C2253" s="7">
        <f>_xlfn.FLOOR.MATH(Table1[[#This Row],[year]],10)</f>
        <v>2000</v>
      </c>
      <c r="D2253" t="s">
        <v>46</v>
      </c>
      <c r="E2253" t="s">
        <v>447</v>
      </c>
      <c r="F2253">
        <v>5</v>
      </c>
      <c r="G2253">
        <v>1</v>
      </c>
      <c r="H2253" t="s">
        <v>224</v>
      </c>
      <c r="I2253" t="s">
        <v>493</v>
      </c>
      <c r="J2253" t="s">
        <v>46</v>
      </c>
      <c r="K2253" t="b">
        <v>0</v>
      </c>
      <c r="L2253">
        <v>2000</v>
      </c>
      <c r="M2253">
        <v>279216033870</v>
      </c>
      <c r="N2253">
        <v>1067109530</v>
      </c>
      <c r="O2253" t="b">
        <v>1</v>
      </c>
      <c r="P2253">
        <v>1</v>
      </c>
      <c r="Q2253" t="str" cm="1">
        <f t="array" ref="Q2253">_xlfn.IFS(Table1[[#This Row],[Wealthier_Winner]]=-1,"Wealthier Nation Loses",Table1[[#This Row],[Wealthier_Winner]]=0,"Tie",Table1[[#This Row],[Wealthier_Winner]]=1,"Wealthier Nation Wins")</f>
        <v>Wealthier Nation Wins</v>
      </c>
    </row>
    <row r="2254" spans="1:17" x14ac:dyDescent="0.2">
      <c r="A2254" s="1">
        <v>3749</v>
      </c>
      <c r="B2254" s="2">
        <v>36807</v>
      </c>
      <c r="C2254" s="7">
        <f>_xlfn.FLOOR.MATH(Table1[[#This Row],[year]],10)</f>
        <v>2000</v>
      </c>
      <c r="D2254" t="s">
        <v>19</v>
      </c>
      <c r="E2254" t="s">
        <v>26</v>
      </c>
      <c r="F2254">
        <v>2</v>
      </c>
      <c r="G2254">
        <v>1</v>
      </c>
      <c r="H2254" t="s">
        <v>224</v>
      </c>
      <c r="I2254" t="s">
        <v>93</v>
      </c>
      <c r="J2254" t="s">
        <v>19</v>
      </c>
      <c r="K2254" t="b">
        <v>0</v>
      </c>
      <c r="L2254">
        <v>2000</v>
      </c>
      <c r="M2254">
        <v>284203750000</v>
      </c>
      <c r="N2254">
        <v>22823270892</v>
      </c>
      <c r="O2254" t="b">
        <v>1</v>
      </c>
      <c r="P2254">
        <v>1</v>
      </c>
      <c r="Q2254" t="str" cm="1">
        <f t="array" ref="Q2254">_xlfn.IFS(Table1[[#This Row],[Wealthier_Winner]]=-1,"Wealthier Nation Loses",Table1[[#This Row],[Wealthier_Winner]]=0,"Tie",Table1[[#This Row],[Wealthier_Winner]]=1,"Wealthier Nation Wins")</f>
        <v>Wealthier Nation Wins</v>
      </c>
    </row>
    <row r="2255" spans="1:17" x14ac:dyDescent="0.2">
      <c r="A2255" s="1">
        <v>3750</v>
      </c>
      <c r="B2255" s="2">
        <v>36807</v>
      </c>
      <c r="C2255" s="7">
        <f>_xlfn.FLOOR.MATH(Table1[[#This Row],[year]],10)</f>
        <v>2000</v>
      </c>
      <c r="D2255" t="s">
        <v>443</v>
      </c>
      <c r="E2255" t="s">
        <v>223</v>
      </c>
      <c r="F2255">
        <v>1</v>
      </c>
      <c r="G2255">
        <v>3</v>
      </c>
      <c r="H2255" t="s">
        <v>224</v>
      </c>
      <c r="I2255" t="s">
        <v>444</v>
      </c>
      <c r="J2255" t="s">
        <v>443</v>
      </c>
      <c r="K2255" t="b">
        <v>0</v>
      </c>
      <c r="L2255">
        <v>2000</v>
      </c>
      <c r="M2255">
        <v>3059500000</v>
      </c>
      <c r="N2255">
        <v>19288929030</v>
      </c>
      <c r="O2255" t="b">
        <v>1</v>
      </c>
      <c r="P2255">
        <v>1</v>
      </c>
      <c r="Q2255" t="str" cm="1">
        <f t="array" ref="Q2255">_xlfn.IFS(Table1[[#This Row],[Wealthier_Winner]]=-1,"Wealthier Nation Loses",Table1[[#This Row],[Wealthier_Winner]]=0,"Tie",Table1[[#This Row],[Wealthier_Winner]]=1,"Wealthier Nation Wins")</f>
        <v>Wealthier Nation Wins</v>
      </c>
    </row>
    <row r="2256" spans="1:17" x14ac:dyDescent="0.2">
      <c r="A2256" s="1">
        <v>3751</v>
      </c>
      <c r="B2256" s="2">
        <v>36807</v>
      </c>
      <c r="C2256" s="7">
        <f>_xlfn.FLOOR.MATH(Table1[[#This Row],[year]],10)</f>
        <v>2000</v>
      </c>
      <c r="D2256" t="s">
        <v>47</v>
      </c>
      <c r="E2256" t="s">
        <v>31</v>
      </c>
      <c r="F2256">
        <v>1</v>
      </c>
      <c r="G2256">
        <v>0</v>
      </c>
      <c r="H2256" t="s">
        <v>224</v>
      </c>
      <c r="I2256" t="s">
        <v>246</v>
      </c>
      <c r="J2256" t="s">
        <v>47</v>
      </c>
      <c r="K2256" t="b">
        <v>0</v>
      </c>
      <c r="L2256">
        <v>2000</v>
      </c>
      <c r="M2256">
        <v>8397855484</v>
      </c>
      <c r="N2256">
        <v>51744749133</v>
      </c>
      <c r="O2256" t="b">
        <v>1</v>
      </c>
      <c r="P2256">
        <v>-1</v>
      </c>
      <c r="Q2256" t="str" cm="1">
        <f t="array" ref="Q2256">_xlfn.IFS(Table1[[#This Row],[Wealthier_Winner]]=-1,"Wealthier Nation Loses",Table1[[#This Row],[Wealthier_Winner]]=0,"Tie",Table1[[#This Row],[Wealthier_Winner]]=1,"Wealthier Nation Wins")</f>
        <v>Wealthier Nation Loses</v>
      </c>
    </row>
    <row r="2257" spans="1:17" x14ac:dyDescent="0.2">
      <c r="A2257" s="1">
        <v>3752</v>
      </c>
      <c r="B2257" s="2">
        <v>36807</v>
      </c>
      <c r="C2257" s="7">
        <f>_xlfn.FLOOR.MATH(Table1[[#This Row],[year]],10)</f>
        <v>2000</v>
      </c>
      <c r="D2257" t="s">
        <v>57</v>
      </c>
      <c r="E2257" t="s">
        <v>14</v>
      </c>
      <c r="F2257">
        <v>1</v>
      </c>
      <c r="G2257">
        <v>0</v>
      </c>
      <c r="H2257" t="s">
        <v>224</v>
      </c>
      <c r="I2257" t="s">
        <v>335</v>
      </c>
      <c r="J2257" t="s">
        <v>57</v>
      </c>
      <c r="K2257" t="b">
        <v>0</v>
      </c>
      <c r="L2257">
        <v>2000</v>
      </c>
      <c r="M2257">
        <v>17539454727</v>
      </c>
      <c r="N2257">
        <v>78339750721</v>
      </c>
      <c r="O2257" t="b">
        <v>1</v>
      </c>
      <c r="P2257">
        <v>-1</v>
      </c>
      <c r="Q2257" t="str" cm="1">
        <f t="array" ref="Q2257">_xlfn.IFS(Table1[[#This Row],[Wealthier_Winner]]=-1,"Wealthier Nation Loses",Table1[[#This Row],[Wealthier_Winner]]=0,"Tie",Table1[[#This Row],[Wealthier_Winner]]=1,"Wealthier Nation Wins")</f>
        <v>Wealthier Nation Loses</v>
      </c>
    </row>
    <row r="2258" spans="1:17" x14ac:dyDescent="0.2">
      <c r="A2258" s="1">
        <v>3753</v>
      </c>
      <c r="B2258" s="2">
        <v>36807</v>
      </c>
      <c r="C2258" s="7">
        <f>_xlfn.FLOOR.MATH(Table1[[#This Row],[year]],10)</f>
        <v>2000</v>
      </c>
      <c r="D2258" t="s">
        <v>65</v>
      </c>
      <c r="E2258" t="s">
        <v>49</v>
      </c>
      <c r="F2258">
        <v>1</v>
      </c>
      <c r="G2258">
        <v>0</v>
      </c>
      <c r="H2258" t="s">
        <v>224</v>
      </c>
      <c r="I2258" t="s">
        <v>228</v>
      </c>
      <c r="J2258" t="s">
        <v>65</v>
      </c>
      <c r="K2258" t="b">
        <v>0</v>
      </c>
      <c r="L2258">
        <v>2000</v>
      </c>
      <c r="M2258">
        <v>7186638029</v>
      </c>
      <c r="N2258">
        <v>9005064474</v>
      </c>
      <c r="O2258" t="b">
        <v>0</v>
      </c>
      <c r="P2258">
        <v>-1</v>
      </c>
      <c r="Q2258" t="str" cm="1">
        <f t="array" ref="Q2258">_xlfn.IFS(Table1[[#This Row],[Wealthier_Winner]]=-1,"Wealthier Nation Loses",Table1[[#This Row],[Wealthier_Winner]]=0,"Tie",Table1[[#This Row],[Wealthier_Winner]]=1,"Wealthier Nation Wins")</f>
        <v>Wealthier Nation Loses</v>
      </c>
    </row>
    <row r="2259" spans="1:17" x14ac:dyDescent="0.2">
      <c r="A2259" s="1">
        <v>3754</v>
      </c>
      <c r="B2259" s="2">
        <v>36807</v>
      </c>
      <c r="C2259" s="7">
        <f>_xlfn.FLOOR.MATH(Table1[[#This Row],[year]],10)</f>
        <v>2000</v>
      </c>
      <c r="D2259" t="s">
        <v>17</v>
      </c>
      <c r="E2259" t="s">
        <v>59</v>
      </c>
      <c r="F2259">
        <v>7</v>
      </c>
      <c r="G2259">
        <v>0</v>
      </c>
      <c r="H2259" t="s">
        <v>224</v>
      </c>
      <c r="I2259" t="s">
        <v>83</v>
      </c>
      <c r="J2259" t="s">
        <v>17</v>
      </c>
      <c r="K2259" t="b">
        <v>0</v>
      </c>
      <c r="L2259">
        <v>2000</v>
      </c>
      <c r="M2259">
        <v>742061329749</v>
      </c>
      <c r="N2259">
        <v>8154342116</v>
      </c>
      <c r="O2259" t="b">
        <v>1</v>
      </c>
      <c r="P2259">
        <v>1</v>
      </c>
      <c r="Q2259" t="str" cm="1">
        <f t="array" ref="Q2259">_xlfn.IFS(Table1[[#This Row],[Wealthier_Winner]]=-1,"Wealthier Nation Loses",Table1[[#This Row],[Wealthier_Winner]]=0,"Tie",Table1[[#This Row],[Wealthier_Winner]]=1,"Wealthier Nation Wins")</f>
        <v>Wealthier Nation Wins</v>
      </c>
    </row>
    <row r="2260" spans="1:17" x14ac:dyDescent="0.2">
      <c r="A2260" s="1">
        <v>3755</v>
      </c>
      <c r="B2260" s="2">
        <v>36807</v>
      </c>
      <c r="C2260" s="7">
        <f>_xlfn.FLOOR.MATH(Table1[[#This Row],[year]],10)</f>
        <v>2000</v>
      </c>
      <c r="D2260" t="s">
        <v>258</v>
      </c>
      <c r="E2260" t="s">
        <v>13</v>
      </c>
      <c r="F2260">
        <v>0</v>
      </c>
      <c r="G2260">
        <v>6</v>
      </c>
      <c r="H2260" t="s">
        <v>224</v>
      </c>
      <c r="I2260" t="s">
        <v>572</v>
      </c>
      <c r="J2260" t="s">
        <v>258</v>
      </c>
      <c r="K2260" t="b">
        <v>0</v>
      </c>
      <c r="L2260">
        <v>2000</v>
      </c>
      <c r="M2260">
        <v>117146466002</v>
      </c>
      <c r="N2260">
        <v>655448188259</v>
      </c>
      <c r="O2260" t="b">
        <v>1</v>
      </c>
      <c r="P2260">
        <v>1</v>
      </c>
      <c r="Q2260" t="str" cm="1">
        <f t="array" ref="Q2260">_xlfn.IFS(Table1[[#This Row],[Wealthier_Winner]]=-1,"Wealthier Nation Loses",Table1[[#This Row],[Wealthier_Winner]]=0,"Tie",Table1[[#This Row],[Wealthier_Winner]]=1,"Wealthier Nation Wins")</f>
        <v>Wealthier Nation Wins</v>
      </c>
    </row>
    <row r="2261" spans="1:17" x14ac:dyDescent="0.2">
      <c r="A2261" s="1">
        <v>3756</v>
      </c>
      <c r="B2261" s="2">
        <v>36808</v>
      </c>
      <c r="C2261" s="7">
        <f>_xlfn.FLOOR.MATH(Table1[[#This Row],[year]],10)</f>
        <v>2000</v>
      </c>
      <c r="D2261" t="s">
        <v>34</v>
      </c>
      <c r="E2261" t="s">
        <v>67</v>
      </c>
      <c r="F2261">
        <v>1</v>
      </c>
      <c r="G2261">
        <v>0</v>
      </c>
      <c r="H2261" t="s">
        <v>224</v>
      </c>
      <c r="I2261" t="s">
        <v>597</v>
      </c>
      <c r="J2261" t="s">
        <v>34</v>
      </c>
      <c r="K2261" t="b">
        <v>0</v>
      </c>
      <c r="L2261">
        <v>2000</v>
      </c>
      <c r="M2261">
        <v>744773415931</v>
      </c>
      <c r="N2261">
        <v>11966497048</v>
      </c>
      <c r="O2261" t="b">
        <v>1</v>
      </c>
      <c r="P2261">
        <v>1</v>
      </c>
      <c r="Q2261" t="str" cm="1">
        <f t="array" ref="Q2261">_xlfn.IFS(Table1[[#This Row],[Wealthier_Winner]]=-1,"Wealthier Nation Loses",Table1[[#This Row],[Wealthier_Winner]]=0,"Tie",Table1[[#This Row],[Wealthier_Winner]]=1,"Wealthier Nation Wins")</f>
        <v>Wealthier Nation Wins</v>
      </c>
    </row>
    <row r="2262" spans="1:17" x14ac:dyDescent="0.2">
      <c r="A2262" s="1">
        <v>3757</v>
      </c>
      <c r="B2262" s="2">
        <v>36810</v>
      </c>
      <c r="C2262" s="7">
        <f>_xlfn.FLOOR.MATH(Table1[[#This Row],[year]],10)</f>
        <v>2000</v>
      </c>
      <c r="D2262" t="s">
        <v>373</v>
      </c>
      <c r="E2262" t="s">
        <v>48</v>
      </c>
      <c r="F2262">
        <v>2</v>
      </c>
      <c r="G2262">
        <v>0</v>
      </c>
      <c r="H2262" t="s">
        <v>224</v>
      </c>
      <c r="I2262" t="s">
        <v>374</v>
      </c>
      <c r="J2262" t="s">
        <v>373</v>
      </c>
      <c r="K2262" t="b">
        <v>0</v>
      </c>
      <c r="L2262">
        <v>2000</v>
      </c>
      <c r="M2262">
        <v>3584570164</v>
      </c>
      <c r="N2262">
        <v>125760166224</v>
      </c>
      <c r="O2262" t="b">
        <v>1</v>
      </c>
      <c r="P2262">
        <v>-1</v>
      </c>
      <c r="Q2262" t="str" cm="1">
        <f t="array" ref="Q2262">_xlfn.IFS(Table1[[#This Row],[Wealthier_Winner]]=-1,"Wealthier Nation Loses",Table1[[#This Row],[Wealthier_Winner]]=0,"Tie",Table1[[#This Row],[Wealthier_Winner]]=1,"Wealthier Nation Wins")</f>
        <v>Wealthier Nation Loses</v>
      </c>
    </row>
    <row r="2263" spans="1:17" x14ac:dyDescent="0.2">
      <c r="A2263" s="1">
        <v>3758</v>
      </c>
      <c r="B2263" s="2">
        <v>36810</v>
      </c>
      <c r="C2263" s="7">
        <f>_xlfn.FLOOR.MATH(Table1[[#This Row],[year]],10)</f>
        <v>2000</v>
      </c>
      <c r="D2263" t="s">
        <v>29</v>
      </c>
      <c r="E2263" t="s">
        <v>21</v>
      </c>
      <c r="F2263">
        <v>1</v>
      </c>
      <c r="G2263">
        <v>1</v>
      </c>
      <c r="H2263" t="s">
        <v>224</v>
      </c>
      <c r="I2263" t="s">
        <v>270</v>
      </c>
      <c r="J2263" t="s">
        <v>29</v>
      </c>
      <c r="K2263" t="b">
        <v>0</v>
      </c>
      <c r="L2263">
        <v>2000</v>
      </c>
      <c r="M2263">
        <v>196181599831</v>
      </c>
      <c r="N2263">
        <v>598102854756</v>
      </c>
      <c r="O2263" t="b">
        <v>1</v>
      </c>
      <c r="P2263">
        <v>0</v>
      </c>
      <c r="Q2263" t="str" cm="1">
        <f t="array" ref="Q2263">_xlfn.IFS(Table1[[#This Row],[Wealthier_Winner]]=-1,"Wealthier Nation Loses",Table1[[#This Row],[Wealthier_Winner]]=0,"Tie",Table1[[#This Row],[Wealthier_Winner]]=1,"Wealthier Nation Wins")</f>
        <v>Tie</v>
      </c>
    </row>
    <row r="2264" spans="1:17" x14ac:dyDescent="0.2">
      <c r="A2264" s="1">
        <v>3760</v>
      </c>
      <c r="B2264" s="2">
        <v>36810</v>
      </c>
      <c r="C2264" s="7">
        <f>_xlfn.FLOOR.MATH(Table1[[#This Row],[year]],10)</f>
        <v>2000</v>
      </c>
      <c r="D2264" t="s">
        <v>510</v>
      </c>
      <c r="E2264" t="s">
        <v>519</v>
      </c>
      <c r="F2264">
        <v>2</v>
      </c>
      <c r="G2264">
        <v>1</v>
      </c>
      <c r="H2264" t="s">
        <v>224</v>
      </c>
      <c r="I2264" t="s">
        <v>522</v>
      </c>
      <c r="J2264" t="s">
        <v>510</v>
      </c>
      <c r="K2264" t="b">
        <v>0</v>
      </c>
      <c r="L2264">
        <v>2000</v>
      </c>
      <c r="M2264">
        <v>12736856827</v>
      </c>
      <c r="N2264">
        <v>1911563668</v>
      </c>
      <c r="O2264" t="b">
        <v>1</v>
      </c>
      <c r="P2264">
        <v>1</v>
      </c>
      <c r="Q2264" t="str" cm="1">
        <f t="array" ref="Q2264">_xlfn.IFS(Table1[[#This Row],[Wealthier_Winner]]=-1,"Wealthier Nation Loses",Table1[[#This Row],[Wealthier_Winner]]=0,"Tie",Table1[[#This Row],[Wealthier_Winner]]=1,"Wealthier Nation Wins")</f>
        <v>Wealthier Nation Wins</v>
      </c>
    </row>
    <row r="2265" spans="1:17" x14ac:dyDescent="0.2">
      <c r="A2265" s="1">
        <v>3762</v>
      </c>
      <c r="B2265" s="2">
        <v>36810</v>
      </c>
      <c r="C2265" s="7">
        <f>_xlfn.FLOOR.MATH(Table1[[#This Row],[year]],10)</f>
        <v>2000</v>
      </c>
      <c r="D2265" t="s">
        <v>36</v>
      </c>
      <c r="E2265" t="s">
        <v>33</v>
      </c>
      <c r="F2265">
        <v>1</v>
      </c>
      <c r="G2265">
        <v>1</v>
      </c>
      <c r="H2265" t="s">
        <v>224</v>
      </c>
      <c r="I2265" t="s">
        <v>264</v>
      </c>
      <c r="J2265" t="s">
        <v>36</v>
      </c>
      <c r="K2265" t="b">
        <v>0</v>
      </c>
      <c r="L2265">
        <v>2000</v>
      </c>
      <c r="M2265">
        <v>164043817223</v>
      </c>
      <c r="N2265">
        <v>13245990274</v>
      </c>
      <c r="O2265" t="b">
        <v>1</v>
      </c>
      <c r="P2265">
        <v>0</v>
      </c>
      <c r="Q2265" t="str" cm="1">
        <f t="array" ref="Q2265">_xlfn.IFS(Table1[[#This Row],[Wealthier_Winner]]=-1,"Wealthier Nation Loses",Table1[[#This Row],[Wealthier_Winner]]=0,"Tie",Table1[[#This Row],[Wealthier_Winner]]=1,"Wealthier Nation Wins")</f>
        <v>Tie</v>
      </c>
    </row>
    <row r="2266" spans="1:17" x14ac:dyDescent="0.2">
      <c r="A2266" s="1">
        <v>3763</v>
      </c>
      <c r="B2266" s="2">
        <v>36810</v>
      </c>
      <c r="C2266" s="7">
        <f>_xlfn.FLOOR.MATH(Table1[[#This Row],[year]],10)</f>
        <v>2000</v>
      </c>
      <c r="D2266" t="s">
        <v>230</v>
      </c>
      <c r="E2266" t="s">
        <v>194</v>
      </c>
      <c r="F2266">
        <v>0</v>
      </c>
      <c r="G2266">
        <v>0</v>
      </c>
      <c r="H2266" t="s">
        <v>224</v>
      </c>
      <c r="I2266" t="s">
        <v>231</v>
      </c>
      <c r="J2266" t="s">
        <v>230</v>
      </c>
      <c r="K2266" t="b">
        <v>0</v>
      </c>
      <c r="L2266">
        <v>2000</v>
      </c>
      <c r="M2266">
        <v>125967821110</v>
      </c>
      <c r="N2266">
        <v>1671597821152</v>
      </c>
      <c r="O2266" t="b">
        <v>1</v>
      </c>
      <c r="P2266">
        <v>0</v>
      </c>
      <c r="Q2266" t="str" cm="1">
        <f t="array" ref="Q2266">_xlfn.IFS(Table1[[#This Row],[Wealthier_Winner]]=-1,"Wealthier Nation Loses",Table1[[#This Row],[Wealthier_Winner]]=0,"Tie",Table1[[#This Row],[Wealthier_Winner]]=1,"Wealthier Nation Wins")</f>
        <v>Tie</v>
      </c>
    </row>
    <row r="2267" spans="1:17" x14ac:dyDescent="0.2">
      <c r="A2267" s="1">
        <v>3766</v>
      </c>
      <c r="B2267" s="2">
        <v>36810</v>
      </c>
      <c r="C2267" s="7">
        <f>_xlfn.FLOOR.MATH(Table1[[#This Row],[year]],10)</f>
        <v>2000</v>
      </c>
      <c r="D2267" t="s">
        <v>22</v>
      </c>
      <c r="E2267" t="s">
        <v>73</v>
      </c>
      <c r="F2267">
        <v>3</v>
      </c>
      <c r="G2267">
        <v>1</v>
      </c>
      <c r="H2267" t="s">
        <v>224</v>
      </c>
      <c r="I2267" t="s">
        <v>239</v>
      </c>
      <c r="J2267" t="s">
        <v>22</v>
      </c>
      <c r="K2267" t="b">
        <v>0</v>
      </c>
      <c r="L2267">
        <v>2000</v>
      </c>
      <c r="M2267">
        <v>136512300542</v>
      </c>
      <c r="N2267">
        <v>5567772768</v>
      </c>
      <c r="O2267" t="b">
        <v>1</v>
      </c>
      <c r="P2267">
        <v>1</v>
      </c>
      <c r="Q2267" t="str" cm="1">
        <f t="array" ref="Q2267">_xlfn.IFS(Table1[[#This Row],[Wealthier_Winner]]=-1,"Wealthier Nation Loses",Table1[[#This Row],[Wealthier_Winner]]=0,"Tie",Table1[[#This Row],[Wealthier_Winner]]=1,"Wealthier Nation Wins")</f>
        <v>Wealthier Nation Wins</v>
      </c>
    </row>
    <row r="2268" spans="1:17" x14ac:dyDescent="0.2">
      <c r="A2268" s="1">
        <v>3767</v>
      </c>
      <c r="B2268" s="2">
        <v>36810</v>
      </c>
      <c r="C2268" s="7">
        <f>_xlfn.FLOOR.MATH(Table1[[#This Row],[year]],10)</f>
        <v>2000</v>
      </c>
      <c r="D2268" t="s">
        <v>18</v>
      </c>
      <c r="E2268" t="s">
        <v>534</v>
      </c>
      <c r="F2268">
        <v>2</v>
      </c>
      <c r="G2268">
        <v>0</v>
      </c>
      <c r="H2268" t="s">
        <v>224</v>
      </c>
      <c r="I2268" t="s">
        <v>606</v>
      </c>
      <c r="J2268" t="s">
        <v>18</v>
      </c>
      <c r="K2268" t="b">
        <v>0</v>
      </c>
      <c r="L2268">
        <v>2000</v>
      </c>
      <c r="M2268">
        <v>1149661363439</v>
      </c>
      <c r="N2268">
        <v>3057475335</v>
      </c>
      <c r="O2268" t="b">
        <v>1</v>
      </c>
      <c r="P2268">
        <v>1</v>
      </c>
      <c r="Q2268" t="str" cm="1">
        <f t="array" ref="Q2268">_xlfn.IFS(Table1[[#This Row],[Wealthier_Winner]]=-1,"Wealthier Nation Loses",Table1[[#This Row],[Wealthier_Winner]]=0,"Tie",Table1[[#This Row],[Wealthier_Winner]]=1,"Wealthier Nation Wins")</f>
        <v>Wealthier Nation Wins</v>
      </c>
    </row>
    <row r="2269" spans="1:17" x14ac:dyDescent="0.2">
      <c r="A2269" s="1">
        <v>3768</v>
      </c>
      <c r="B2269" s="2">
        <v>36810</v>
      </c>
      <c r="C2269" s="7">
        <f>_xlfn.FLOOR.MATH(Table1[[#This Row],[year]],10)</f>
        <v>2000</v>
      </c>
      <c r="D2269" t="s">
        <v>523</v>
      </c>
      <c r="E2269" t="s">
        <v>30</v>
      </c>
      <c r="F2269">
        <v>1</v>
      </c>
      <c r="G2269">
        <v>6</v>
      </c>
      <c r="H2269" t="s">
        <v>224</v>
      </c>
      <c r="I2269" t="s">
        <v>604</v>
      </c>
      <c r="J2269" t="s">
        <v>523</v>
      </c>
      <c r="K2269" t="b">
        <v>0</v>
      </c>
      <c r="L2269">
        <v>2000</v>
      </c>
      <c r="M2269">
        <v>11550695727</v>
      </c>
      <c r="N2269">
        <v>47275954428</v>
      </c>
      <c r="O2269" t="b">
        <v>1</v>
      </c>
      <c r="P2269">
        <v>1</v>
      </c>
      <c r="Q2269" t="str" cm="1">
        <f t="array" ref="Q2269">_xlfn.IFS(Table1[[#This Row],[Wealthier_Winner]]=-1,"Wealthier Nation Loses",Table1[[#This Row],[Wealthier_Winner]]=0,"Tie",Table1[[#This Row],[Wealthier_Winner]]=1,"Wealthier Nation Wins")</f>
        <v>Wealthier Nation Wins</v>
      </c>
    </row>
    <row r="2270" spans="1:17" x14ac:dyDescent="0.2">
      <c r="A2270" s="1">
        <v>3770</v>
      </c>
      <c r="B2270" s="2">
        <v>36810</v>
      </c>
      <c r="C2270" s="7">
        <f>_xlfn.FLOOR.MATH(Table1[[#This Row],[year]],10)</f>
        <v>2000</v>
      </c>
      <c r="D2270" t="s">
        <v>527</v>
      </c>
      <c r="E2270" t="s">
        <v>502</v>
      </c>
      <c r="F2270">
        <v>0</v>
      </c>
      <c r="G2270">
        <v>0</v>
      </c>
      <c r="H2270" t="s">
        <v>224</v>
      </c>
      <c r="I2270" t="s">
        <v>528</v>
      </c>
      <c r="J2270" t="s">
        <v>527</v>
      </c>
      <c r="K2270" t="b">
        <v>0</v>
      </c>
      <c r="L2270">
        <v>2000</v>
      </c>
      <c r="M2270">
        <v>1288429391</v>
      </c>
      <c r="N2270">
        <v>3772859034</v>
      </c>
      <c r="O2270" t="b">
        <v>1</v>
      </c>
      <c r="P2270">
        <v>0</v>
      </c>
      <c r="Q2270" t="str" cm="1">
        <f t="array" ref="Q2270">_xlfn.IFS(Table1[[#This Row],[Wealthier_Winner]]=-1,"Wealthier Nation Loses",Table1[[#This Row],[Wealthier_Winner]]=0,"Tie",Table1[[#This Row],[Wealthier_Winner]]=1,"Wealthier Nation Wins")</f>
        <v>Tie</v>
      </c>
    </row>
    <row r="2271" spans="1:17" x14ac:dyDescent="0.2">
      <c r="A2271" s="1">
        <v>3771</v>
      </c>
      <c r="B2271" s="2">
        <v>36810</v>
      </c>
      <c r="C2271" s="7">
        <f>_xlfn.FLOOR.MATH(Table1[[#This Row],[year]],10)</f>
        <v>2000</v>
      </c>
      <c r="D2271" t="s">
        <v>27</v>
      </c>
      <c r="E2271" t="s">
        <v>38</v>
      </c>
      <c r="F2271">
        <v>0</v>
      </c>
      <c r="G2271">
        <v>2</v>
      </c>
      <c r="H2271" t="s">
        <v>224</v>
      </c>
      <c r="I2271" t="s">
        <v>265</v>
      </c>
      <c r="J2271" t="s">
        <v>27</v>
      </c>
      <c r="K2271" t="b">
        <v>0</v>
      </c>
      <c r="L2271">
        <v>2000</v>
      </c>
      <c r="M2271">
        <v>417649282153</v>
      </c>
      <c r="N2271">
        <v>118605192877</v>
      </c>
      <c r="O2271" t="b">
        <v>1</v>
      </c>
      <c r="P2271">
        <v>-1</v>
      </c>
      <c r="Q2271" t="str" cm="1">
        <f t="array" ref="Q2271">_xlfn.IFS(Table1[[#This Row],[Wealthier_Winner]]=-1,"Wealthier Nation Loses",Table1[[#This Row],[Wealthier_Winner]]=0,"Tie",Table1[[#This Row],[Wealthier_Winner]]=1,"Wealthier Nation Wins")</f>
        <v>Wealthier Nation Loses</v>
      </c>
    </row>
    <row r="2272" spans="1:17" x14ac:dyDescent="0.2">
      <c r="A2272" s="1">
        <v>3772</v>
      </c>
      <c r="B2272" s="2">
        <v>36810</v>
      </c>
      <c r="C2272" s="7">
        <f>_xlfn.FLOOR.MATH(Table1[[#This Row],[year]],10)</f>
        <v>2000</v>
      </c>
      <c r="D2272" t="s">
        <v>42</v>
      </c>
      <c r="E2272" t="s">
        <v>64</v>
      </c>
      <c r="F2272">
        <v>0</v>
      </c>
      <c r="G2272">
        <v>1</v>
      </c>
      <c r="H2272" t="s">
        <v>224</v>
      </c>
      <c r="I2272" t="s">
        <v>262</v>
      </c>
      <c r="J2272" t="s">
        <v>42</v>
      </c>
      <c r="K2272" t="b">
        <v>0</v>
      </c>
      <c r="L2272">
        <v>2000</v>
      </c>
      <c r="M2272">
        <v>171457201935</v>
      </c>
      <c r="N2272">
        <v>32375083934</v>
      </c>
      <c r="O2272" t="b">
        <v>1</v>
      </c>
      <c r="P2272">
        <v>-1</v>
      </c>
      <c r="Q2272" t="str" cm="1">
        <f t="array" ref="Q2272">_xlfn.IFS(Table1[[#This Row],[Wealthier_Winner]]=-1,"Wealthier Nation Loses",Table1[[#This Row],[Wealthier_Winner]]=0,"Tie",Table1[[#This Row],[Wealthier_Winner]]=1,"Wealthier Nation Wins")</f>
        <v>Wealthier Nation Loses</v>
      </c>
    </row>
    <row r="2273" spans="1:17" x14ac:dyDescent="0.2">
      <c r="A2273" s="1">
        <v>3774</v>
      </c>
      <c r="B2273" s="2">
        <v>36810</v>
      </c>
      <c r="C2273" s="7">
        <f>_xlfn.FLOOR.MATH(Table1[[#This Row],[year]],10)</f>
        <v>2000</v>
      </c>
      <c r="D2273" t="s">
        <v>196</v>
      </c>
      <c r="E2273" t="s">
        <v>232</v>
      </c>
      <c r="F2273">
        <v>3</v>
      </c>
      <c r="G2273">
        <v>0</v>
      </c>
      <c r="H2273" t="s">
        <v>224</v>
      </c>
      <c r="I2273" t="s">
        <v>180</v>
      </c>
      <c r="J2273" t="s">
        <v>196</v>
      </c>
      <c r="K2273" t="b">
        <v>0</v>
      </c>
      <c r="L2273">
        <v>2000</v>
      </c>
      <c r="M2273">
        <v>259710142196</v>
      </c>
      <c r="N2273">
        <v>21230182989</v>
      </c>
      <c r="O2273" t="b">
        <v>1</v>
      </c>
      <c r="P2273">
        <v>1</v>
      </c>
      <c r="Q2273" t="str" cm="1">
        <f t="array" ref="Q2273">_xlfn.IFS(Table1[[#This Row],[Wealthier_Winner]]=-1,"Wealthier Nation Loses",Table1[[#This Row],[Wealthier_Winner]]=0,"Tie",Table1[[#This Row],[Wealthier_Winner]]=1,"Wealthier Nation Wins")</f>
        <v>Wealthier Nation Wins</v>
      </c>
    </row>
    <row r="2274" spans="1:17" x14ac:dyDescent="0.2">
      <c r="A2274" s="1">
        <v>3776</v>
      </c>
      <c r="B2274" s="2">
        <v>36810</v>
      </c>
      <c r="C2274" s="7">
        <f>_xlfn.FLOOR.MATH(Table1[[#This Row],[year]],10)</f>
        <v>2000</v>
      </c>
      <c r="D2274" t="s">
        <v>55</v>
      </c>
      <c r="E2274" t="s">
        <v>46</v>
      </c>
      <c r="F2274">
        <v>2</v>
      </c>
      <c r="G2274">
        <v>2</v>
      </c>
      <c r="H2274" t="s">
        <v>224</v>
      </c>
      <c r="I2274" t="s">
        <v>529</v>
      </c>
      <c r="J2274" t="s">
        <v>55</v>
      </c>
      <c r="K2274" t="b">
        <v>0</v>
      </c>
      <c r="L2274">
        <v>2000</v>
      </c>
      <c r="M2274">
        <v>20159190701</v>
      </c>
      <c r="N2274">
        <v>279216033870</v>
      </c>
      <c r="O2274" t="b">
        <v>1</v>
      </c>
      <c r="P2274">
        <v>0</v>
      </c>
      <c r="Q2274" t="str" cm="1">
        <f t="array" ref="Q2274">_xlfn.IFS(Table1[[#This Row],[Wealthier_Winner]]=-1,"Wealthier Nation Loses",Table1[[#This Row],[Wealthier_Winner]]=0,"Tie",Table1[[#This Row],[Wealthier_Winner]]=1,"Wealthier Nation Wins")</f>
        <v>Tie</v>
      </c>
    </row>
    <row r="2275" spans="1:17" x14ac:dyDescent="0.2">
      <c r="A2275" s="1">
        <v>3777</v>
      </c>
      <c r="B2275" s="2">
        <v>36810</v>
      </c>
      <c r="C2275" s="7">
        <f>_xlfn.FLOOR.MATH(Table1[[#This Row],[year]],10)</f>
        <v>2000</v>
      </c>
      <c r="D2275" t="s">
        <v>41</v>
      </c>
      <c r="E2275" t="s">
        <v>56</v>
      </c>
      <c r="F2275">
        <v>0</v>
      </c>
      <c r="G2275">
        <v>0</v>
      </c>
      <c r="H2275" t="s">
        <v>224</v>
      </c>
      <c r="I2275" t="s">
        <v>607</v>
      </c>
      <c r="J2275" t="s">
        <v>41</v>
      </c>
      <c r="K2275" t="b">
        <v>0</v>
      </c>
      <c r="L2275">
        <v>2000</v>
      </c>
      <c r="M2275">
        <v>10250947997000</v>
      </c>
      <c r="N2275">
        <v>15013629661</v>
      </c>
      <c r="O2275" t="b">
        <v>1</v>
      </c>
      <c r="P2275">
        <v>0</v>
      </c>
      <c r="Q2275" t="str" cm="1">
        <f t="array" ref="Q2275">_xlfn.IFS(Table1[[#This Row],[Wealthier_Winner]]=-1,"Wealthier Nation Loses",Table1[[#This Row],[Wealthier_Winner]]=0,"Tie",Table1[[#This Row],[Wealthier_Winner]]=1,"Wealthier Nation Wins")</f>
        <v>Tie</v>
      </c>
    </row>
    <row r="2276" spans="1:17" x14ac:dyDescent="0.2">
      <c r="A2276" s="1">
        <v>3779</v>
      </c>
      <c r="B2276" s="2">
        <v>36845</v>
      </c>
      <c r="C2276" s="7">
        <f>_xlfn.FLOOR.MATH(Table1[[#This Row],[year]],10)</f>
        <v>2000</v>
      </c>
      <c r="D2276" t="s">
        <v>443</v>
      </c>
      <c r="E2276" t="s">
        <v>41</v>
      </c>
      <c r="F2276">
        <v>0</v>
      </c>
      <c r="G2276">
        <v>4</v>
      </c>
      <c r="H2276" t="s">
        <v>224</v>
      </c>
      <c r="I2276" t="s">
        <v>444</v>
      </c>
      <c r="J2276" t="s">
        <v>443</v>
      </c>
      <c r="K2276" t="b">
        <v>0</v>
      </c>
      <c r="L2276">
        <v>2000</v>
      </c>
      <c r="M2276">
        <v>3059500000</v>
      </c>
      <c r="N2276">
        <v>10250947997000</v>
      </c>
      <c r="O2276" t="b">
        <v>1</v>
      </c>
      <c r="P2276">
        <v>1</v>
      </c>
      <c r="Q2276" t="str" cm="1">
        <f t="array" ref="Q2276">_xlfn.IFS(Table1[[#This Row],[Wealthier_Winner]]=-1,"Wealthier Nation Loses",Table1[[#This Row],[Wealthier_Winner]]=0,"Tie",Table1[[#This Row],[Wealthier_Winner]]=1,"Wealthier Nation Wins")</f>
        <v>Wealthier Nation Wins</v>
      </c>
    </row>
    <row r="2277" spans="1:17" x14ac:dyDescent="0.2">
      <c r="A2277" s="1">
        <v>3780</v>
      </c>
      <c r="B2277" s="2">
        <v>36845</v>
      </c>
      <c r="C2277" s="7">
        <f>_xlfn.FLOOR.MATH(Table1[[#This Row],[year]],10)</f>
        <v>2000</v>
      </c>
      <c r="D2277" t="s">
        <v>47</v>
      </c>
      <c r="E2277" t="s">
        <v>26</v>
      </c>
      <c r="F2277">
        <v>0</v>
      </c>
      <c r="G2277">
        <v>0</v>
      </c>
      <c r="H2277" t="s">
        <v>224</v>
      </c>
      <c r="I2277" t="s">
        <v>246</v>
      </c>
      <c r="J2277" t="s">
        <v>47</v>
      </c>
      <c r="K2277" t="b">
        <v>0</v>
      </c>
      <c r="L2277">
        <v>2000</v>
      </c>
      <c r="M2277">
        <v>8397855484</v>
      </c>
      <c r="N2277">
        <v>22823270892</v>
      </c>
      <c r="O2277" t="b">
        <v>1</v>
      </c>
      <c r="P2277">
        <v>0</v>
      </c>
      <c r="Q2277" t="str" cm="1">
        <f t="array" ref="Q2277">_xlfn.IFS(Table1[[#This Row],[Wealthier_Winner]]=-1,"Wealthier Nation Loses",Table1[[#This Row],[Wealthier_Winner]]=0,"Tie",Table1[[#This Row],[Wealthier_Winner]]=1,"Wealthier Nation Wins")</f>
        <v>Tie</v>
      </c>
    </row>
    <row r="2278" spans="1:17" x14ac:dyDescent="0.2">
      <c r="A2278" s="1">
        <v>3781</v>
      </c>
      <c r="B2278" s="2">
        <v>36845</v>
      </c>
      <c r="C2278" s="7">
        <f>_xlfn.FLOOR.MATH(Table1[[#This Row],[year]],10)</f>
        <v>2000</v>
      </c>
      <c r="D2278" t="s">
        <v>13</v>
      </c>
      <c r="E2278" t="s">
        <v>15</v>
      </c>
      <c r="F2278">
        <v>1</v>
      </c>
      <c r="G2278">
        <v>0</v>
      </c>
      <c r="H2278" t="s">
        <v>224</v>
      </c>
      <c r="I2278" t="s">
        <v>417</v>
      </c>
      <c r="J2278" t="s">
        <v>13</v>
      </c>
      <c r="K2278" t="b">
        <v>0</v>
      </c>
      <c r="L2278">
        <v>2000</v>
      </c>
      <c r="M2278">
        <v>655448188259</v>
      </c>
      <c r="N2278">
        <v>99875074951</v>
      </c>
      <c r="O2278" t="b">
        <v>1</v>
      </c>
      <c r="P2278">
        <v>1</v>
      </c>
      <c r="Q2278" t="str" cm="1">
        <f t="array" ref="Q2278">_xlfn.IFS(Table1[[#This Row],[Wealthier_Winner]]=-1,"Wealthier Nation Loses",Table1[[#This Row],[Wealthier_Winner]]=0,"Tie",Table1[[#This Row],[Wealthier_Winner]]=1,"Wealthier Nation Wins")</f>
        <v>Wealthier Nation Wins</v>
      </c>
    </row>
    <row r="2279" spans="1:17" x14ac:dyDescent="0.2">
      <c r="A2279" s="1">
        <v>3782</v>
      </c>
      <c r="B2279" s="2">
        <v>36845</v>
      </c>
      <c r="C2279" s="7">
        <f>_xlfn.FLOOR.MATH(Table1[[#This Row],[year]],10)</f>
        <v>2000</v>
      </c>
      <c r="D2279" t="s">
        <v>34</v>
      </c>
      <c r="E2279" t="s">
        <v>17</v>
      </c>
      <c r="F2279">
        <v>0</v>
      </c>
      <c r="G2279">
        <v>0</v>
      </c>
      <c r="H2279" t="s">
        <v>224</v>
      </c>
      <c r="I2279" t="s">
        <v>267</v>
      </c>
      <c r="J2279" t="s">
        <v>34</v>
      </c>
      <c r="K2279" t="b">
        <v>0</v>
      </c>
      <c r="L2279">
        <v>2000</v>
      </c>
      <c r="M2279">
        <v>744773415931</v>
      </c>
      <c r="N2279">
        <v>742061329749</v>
      </c>
      <c r="O2279" t="b">
        <v>0</v>
      </c>
      <c r="P2279">
        <v>0</v>
      </c>
      <c r="Q2279" t="str" cm="1">
        <f t="array" ref="Q2279">_xlfn.IFS(Table1[[#This Row],[Wealthier_Winner]]=-1,"Wealthier Nation Loses",Table1[[#This Row],[Wealthier_Winner]]=0,"Tie",Table1[[#This Row],[Wealthier_Winner]]=1,"Wealthier Nation Wins")</f>
        <v>Tie</v>
      </c>
    </row>
    <row r="2280" spans="1:17" x14ac:dyDescent="0.2">
      <c r="A2280" s="1">
        <v>3783</v>
      </c>
      <c r="B2280" s="2">
        <v>36845</v>
      </c>
      <c r="C2280" s="7">
        <f>_xlfn.FLOOR.MATH(Table1[[#This Row],[year]],10)</f>
        <v>2000</v>
      </c>
      <c r="D2280" t="s">
        <v>14</v>
      </c>
      <c r="E2280" t="s">
        <v>19</v>
      </c>
      <c r="F2280">
        <v>0</v>
      </c>
      <c r="G2280">
        <v>2</v>
      </c>
      <c r="H2280" t="s">
        <v>224</v>
      </c>
      <c r="I2280" t="s">
        <v>75</v>
      </c>
      <c r="J2280" t="s">
        <v>14</v>
      </c>
      <c r="K2280" t="b">
        <v>0</v>
      </c>
      <c r="L2280">
        <v>2000</v>
      </c>
      <c r="M2280">
        <v>78339750721</v>
      </c>
      <c r="N2280">
        <v>284203750000</v>
      </c>
      <c r="O2280" t="b">
        <v>1</v>
      </c>
      <c r="P2280">
        <v>1</v>
      </c>
      <c r="Q2280" t="str" cm="1">
        <f t="array" ref="Q2280">_xlfn.IFS(Table1[[#This Row],[Wealthier_Winner]]=-1,"Wealthier Nation Loses",Table1[[#This Row],[Wealthier_Winner]]=0,"Tie",Table1[[#This Row],[Wealthier_Winner]]=1,"Wealthier Nation Wins")</f>
        <v>Wealthier Nation Wins</v>
      </c>
    </row>
    <row r="2281" spans="1:17" x14ac:dyDescent="0.2">
      <c r="A2281" s="1">
        <v>3784</v>
      </c>
      <c r="B2281" s="2">
        <v>36845</v>
      </c>
      <c r="C2281" s="7">
        <f>_xlfn.FLOOR.MATH(Table1[[#This Row],[year]],10)</f>
        <v>2000</v>
      </c>
      <c r="D2281" t="s">
        <v>351</v>
      </c>
      <c r="E2281" t="s">
        <v>601</v>
      </c>
      <c r="F2281">
        <v>5</v>
      </c>
      <c r="G2281">
        <v>0</v>
      </c>
      <c r="H2281" t="s">
        <v>224</v>
      </c>
      <c r="I2281" t="s">
        <v>352</v>
      </c>
      <c r="J2281" t="s">
        <v>351</v>
      </c>
      <c r="K2281" t="b">
        <v>0</v>
      </c>
      <c r="L2281">
        <v>2000</v>
      </c>
      <c r="M2281">
        <v>9985847313</v>
      </c>
      <c r="N2281">
        <v>1432606296</v>
      </c>
      <c r="O2281" t="b">
        <v>1</v>
      </c>
      <c r="P2281">
        <v>1</v>
      </c>
      <c r="Q2281" t="str" cm="1">
        <f t="array" ref="Q2281">_xlfn.IFS(Table1[[#This Row],[Wealthier_Winner]]=-1,"Wealthier Nation Loses",Table1[[#This Row],[Wealthier_Winner]]=0,"Tie",Table1[[#This Row],[Wealthier_Winner]]=1,"Wealthier Nation Wins")</f>
        <v>Wealthier Nation Wins</v>
      </c>
    </row>
    <row r="2282" spans="1:17" x14ac:dyDescent="0.2">
      <c r="A2282" s="1">
        <v>3785</v>
      </c>
      <c r="B2282" s="2">
        <v>36845</v>
      </c>
      <c r="C2282" s="7">
        <f>_xlfn.FLOOR.MATH(Table1[[#This Row],[year]],10)</f>
        <v>2000</v>
      </c>
      <c r="D2282" t="s">
        <v>69</v>
      </c>
      <c r="E2282" t="s">
        <v>49</v>
      </c>
      <c r="F2282">
        <v>2</v>
      </c>
      <c r="G2282">
        <v>0</v>
      </c>
      <c r="H2282" t="s">
        <v>224</v>
      </c>
      <c r="I2282" t="s">
        <v>281</v>
      </c>
      <c r="J2282" t="s">
        <v>69</v>
      </c>
      <c r="K2282" t="b">
        <v>0</v>
      </c>
      <c r="L2282">
        <v>2000</v>
      </c>
      <c r="M2282">
        <v>11784927700</v>
      </c>
      <c r="N2282">
        <v>9005064474</v>
      </c>
      <c r="O2282" t="b">
        <v>0</v>
      </c>
      <c r="P2282">
        <v>1</v>
      </c>
      <c r="Q2282" t="str" cm="1">
        <f t="array" ref="Q2282">_xlfn.IFS(Table1[[#This Row],[Wealthier_Winner]]=-1,"Wealthier Nation Loses",Table1[[#This Row],[Wealthier_Winner]]=0,"Tie",Table1[[#This Row],[Wealthier_Winner]]=1,"Wealthier Nation Wins")</f>
        <v>Wealthier Nation Wins</v>
      </c>
    </row>
    <row r="2283" spans="1:17" x14ac:dyDescent="0.2">
      <c r="A2283" s="1">
        <v>3786</v>
      </c>
      <c r="B2283" s="2">
        <v>36845</v>
      </c>
      <c r="C2283" s="7">
        <f>_xlfn.FLOOR.MATH(Table1[[#This Row],[year]],10)</f>
        <v>2000</v>
      </c>
      <c r="D2283" t="s">
        <v>223</v>
      </c>
      <c r="E2283" t="s">
        <v>56</v>
      </c>
      <c r="F2283">
        <v>2</v>
      </c>
      <c r="G2283">
        <v>1</v>
      </c>
      <c r="H2283" t="s">
        <v>224</v>
      </c>
      <c r="I2283" t="s">
        <v>598</v>
      </c>
      <c r="J2283" t="s">
        <v>223</v>
      </c>
      <c r="K2283" t="b">
        <v>0</v>
      </c>
      <c r="L2283">
        <v>2000</v>
      </c>
      <c r="M2283">
        <v>19288929030</v>
      </c>
      <c r="N2283">
        <v>15013629661</v>
      </c>
      <c r="O2283" t="b">
        <v>0</v>
      </c>
      <c r="P2283">
        <v>1</v>
      </c>
      <c r="Q2283" t="str" cm="1">
        <f t="array" ref="Q2283">_xlfn.IFS(Table1[[#This Row],[Wealthier_Winner]]=-1,"Wealthier Nation Loses",Table1[[#This Row],[Wealthier_Winner]]=0,"Tie",Table1[[#This Row],[Wealthier_Winner]]=1,"Wealthier Nation Wins")</f>
        <v>Wealthier Nation Wins</v>
      </c>
    </row>
    <row r="2284" spans="1:17" x14ac:dyDescent="0.2">
      <c r="A2284" s="1">
        <v>3787</v>
      </c>
      <c r="B2284" s="2">
        <v>36845</v>
      </c>
      <c r="C2284" s="7">
        <f>_xlfn.FLOOR.MATH(Table1[[#This Row],[year]],10)</f>
        <v>2000</v>
      </c>
      <c r="D2284" t="s">
        <v>35</v>
      </c>
      <c r="E2284" t="s">
        <v>31</v>
      </c>
      <c r="F2284">
        <v>5</v>
      </c>
      <c r="G2284">
        <v>1</v>
      </c>
      <c r="H2284" t="s">
        <v>224</v>
      </c>
      <c r="I2284" t="s">
        <v>250</v>
      </c>
      <c r="J2284" t="s">
        <v>35</v>
      </c>
      <c r="K2284" t="b">
        <v>0</v>
      </c>
      <c r="L2284">
        <v>2000</v>
      </c>
      <c r="M2284">
        <v>8855705139</v>
      </c>
      <c r="N2284">
        <v>51744749133</v>
      </c>
      <c r="O2284" t="b">
        <v>1</v>
      </c>
      <c r="P2284">
        <v>-1</v>
      </c>
      <c r="Q2284" t="str" cm="1">
        <f t="array" ref="Q2284">_xlfn.IFS(Table1[[#This Row],[Wealthier_Winner]]=-1,"Wealthier Nation Loses",Table1[[#This Row],[Wealthier_Winner]]=0,"Tie",Table1[[#This Row],[Wealthier_Winner]]=1,"Wealthier Nation Wins")</f>
        <v>Wealthier Nation Loses</v>
      </c>
    </row>
    <row r="2285" spans="1:17" x14ac:dyDescent="0.2">
      <c r="A2285" s="1">
        <v>3788</v>
      </c>
      <c r="B2285" s="2">
        <v>36845</v>
      </c>
      <c r="C2285" s="7">
        <f>_xlfn.FLOOR.MATH(Table1[[#This Row],[year]],10)</f>
        <v>2000</v>
      </c>
      <c r="D2285" t="s">
        <v>549</v>
      </c>
      <c r="E2285" t="s">
        <v>525</v>
      </c>
      <c r="F2285">
        <v>0</v>
      </c>
      <c r="G2285">
        <v>1</v>
      </c>
      <c r="H2285" t="s">
        <v>224</v>
      </c>
      <c r="I2285" t="s">
        <v>555</v>
      </c>
      <c r="J2285" t="s">
        <v>549</v>
      </c>
      <c r="K2285" t="b">
        <v>0</v>
      </c>
      <c r="L2285">
        <v>2000</v>
      </c>
      <c r="M2285">
        <v>1007661366</v>
      </c>
      <c r="N2285">
        <v>7761252607</v>
      </c>
      <c r="O2285" t="b">
        <v>1</v>
      </c>
      <c r="P2285">
        <v>1</v>
      </c>
      <c r="Q2285" t="str" cm="1">
        <f t="array" ref="Q2285">_xlfn.IFS(Table1[[#This Row],[Wealthier_Winner]]=-1,"Wealthier Nation Loses",Table1[[#This Row],[Wealthier_Winner]]=0,"Tie",Table1[[#This Row],[Wealthier_Winner]]=1,"Wealthier Nation Wins")</f>
        <v>Wealthier Nation Wins</v>
      </c>
    </row>
    <row r="2286" spans="1:17" x14ac:dyDescent="0.2">
      <c r="A2286" s="1">
        <v>3789</v>
      </c>
      <c r="B2286" s="2">
        <v>36845</v>
      </c>
      <c r="C2286" s="7">
        <f>_xlfn.FLOOR.MATH(Table1[[#This Row],[year]],10)</f>
        <v>2000</v>
      </c>
      <c r="D2286" t="s">
        <v>59</v>
      </c>
      <c r="E2286" t="s">
        <v>67</v>
      </c>
      <c r="F2286">
        <v>1</v>
      </c>
      <c r="G2286">
        <v>0</v>
      </c>
      <c r="H2286" t="s">
        <v>224</v>
      </c>
      <c r="I2286" t="s">
        <v>253</v>
      </c>
      <c r="J2286" t="s">
        <v>59</v>
      </c>
      <c r="K2286" t="b">
        <v>0</v>
      </c>
      <c r="L2286">
        <v>2000</v>
      </c>
      <c r="M2286">
        <v>8154342116</v>
      </c>
      <c r="N2286">
        <v>11966497048</v>
      </c>
      <c r="O2286" t="b">
        <v>0</v>
      </c>
      <c r="P2286">
        <v>-1</v>
      </c>
      <c r="Q2286" t="str" cm="1">
        <f t="array" ref="Q2286">_xlfn.IFS(Table1[[#This Row],[Wealthier_Winner]]=-1,"Wealthier Nation Loses",Table1[[#This Row],[Wealthier_Winner]]=0,"Tie",Table1[[#This Row],[Wealthier_Winner]]=1,"Wealthier Nation Wins")</f>
        <v>Wealthier Nation Loses</v>
      </c>
    </row>
    <row r="2287" spans="1:17" x14ac:dyDescent="0.2">
      <c r="A2287" s="1">
        <v>3790</v>
      </c>
      <c r="B2287" s="2">
        <v>36845</v>
      </c>
      <c r="C2287" s="7">
        <f>_xlfn.FLOOR.MATH(Table1[[#This Row],[year]],10)</f>
        <v>2000</v>
      </c>
      <c r="D2287" t="s">
        <v>258</v>
      </c>
      <c r="E2287" t="s">
        <v>57</v>
      </c>
      <c r="F2287">
        <v>1</v>
      </c>
      <c r="G2287">
        <v>2</v>
      </c>
      <c r="H2287" t="s">
        <v>224</v>
      </c>
      <c r="I2287" t="s">
        <v>572</v>
      </c>
      <c r="J2287" t="s">
        <v>258</v>
      </c>
      <c r="K2287" t="b">
        <v>0</v>
      </c>
      <c r="L2287">
        <v>2000</v>
      </c>
      <c r="M2287">
        <v>117146466002</v>
      </c>
      <c r="N2287">
        <v>17539454727</v>
      </c>
      <c r="O2287" t="b">
        <v>1</v>
      </c>
      <c r="P2287">
        <v>-1</v>
      </c>
      <c r="Q2287" t="str" cm="1">
        <f t="array" ref="Q2287">_xlfn.IFS(Table1[[#This Row],[Wealthier_Winner]]=-1,"Wealthier Nation Loses",Table1[[#This Row],[Wealthier_Winner]]=0,"Tie",Table1[[#This Row],[Wealthier_Winner]]=1,"Wealthier Nation Wins")</f>
        <v>Wealthier Nation Loses</v>
      </c>
    </row>
    <row r="2288" spans="1:17" x14ac:dyDescent="0.2">
      <c r="A2288" s="1">
        <v>3793</v>
      </c>
      <c r="B2288" s="2">
        <v>36858</v>
      </c>
      <c r="C2288" s="7">
        <f>_xlfn.FLOOR.MATH(Table1[[#This Row],[year]],10)</f>
        <v>2000</v>
      </c>
      <c r="D2288" t="s">
        <v>210</v>
      </c>
      <c r="E2288" t="s">
        <v>556</v>
      </c>
      <c r="F2288">
        <v>2</v>
      </c>
      <c r="G2288">
        <v>0</v>
      </c>
      <c r="H2288" t="s">
        <v>224</v>
      </c>
      <c r="I2288" t="s">
        <v>608</v>
      </c>
      <c r="J2288" t="s">
        <v>210</v>
      </c>
      <c r="K2288" t="b">
        <v>0</v>
      </c>
      <c r="L2288">
        <v>2000</v>
      </c>
      <c r="M2288">
        <v>109591707802</v>
      </c>
      <c r="N2288">
        <v>860541842</v>
      </c>
      <c r="O2288" t="b">
        <v>1</v>
      </c>
      <c r="P2288">
        <v>1</v>
      </c>
      <c r="Q2288" t="str" cm="1">
        <f t="array" ref="Q2288">_xlfn.IFS(Table1[[#This Row],[Wealthier_Winner]]=-1,"Wealthier Nation Loses",Table1[[#This Row],[Wealthier_Winner]]=0,"Tie",Table1[[#This Row],[Wealthier_Winner]]=1,"Wealthier Nation Wins")</f>
        <v>Wealthier Nation Wins</v>
      </c>
    </row>
    <row r="2289" spans="1:17" x14ac:dyDescent="0.2">
      <c r="A2289" s="1">
        <v>3794</v>
      </c>
      <c r="B2289" s="2">
        <v>36897</v>
      </c>
      <c r="C2289" s="7">
        <f>_xlfn.FLOOR.MATH(Table1[[#This Row],[year]],10)</f>
        <v>2000</v>
      </c>
      <c r="D2289" t="s">
        <v>56</v>
      </c>
      <c r="E2289" t="s">
        <v>223</v>
      </c>
      <c r="F2289">
        <v>5</v>
      </c>
      <c r="G2289">
        <v>2</v>
      </c>
      <c r="H2289" t="s">
        <v>224</v>
      </c>
      <c r="I2289" t="s">
        <v>609</v>
      </c>
      <c r="J2289" t="s">
        <v>41</v>
      </c>
      <c r="K2289" t="b">
        <v>1</v>
      </c>
      <c r="L2289">
        <v>2001</v>
      </c>
      <c r="M2289">
        <v>15976174336</v>
      </c>
      <c r="N2289">
        <v>18405220247</v>
      </c>
      <c r="O2289" t="b">
        <v>0</v>
      </c>
      <c r="P2289">
        <v>-1</v>
      </c>
      <c r="Q2289" t="str" cm="1">
        <f t="array" ref="Q2289">_xlfn.IFS(Table1[[#This Row],[Wealthier_Winner]]=-1,"Wealthier Nation Loses",Table1[[#This Row],[Wealthier_Winner]]=0,"Tie",Table1[[#This Row],[Wealthier_Winner]]=1,"Wealthier Nation Wins")</f>
        <v>Wealthier Nation Loses</v>
      </c>
    </row>
    <row r="2290" spans="1:17" x14ac:dyDescent="0.2">
      <c r="A2290" s="1">
        <v>3795</v>
      </c>
      <c r="B2290" s="2">
        <v>36917</v>
      </c>
      <c r="C2290" s="7">
        <f>_xlfn.FLOOR.MATH(Table1[[#This Row],[year]],10)</f>
        <v>2000</v>
      </c>
      <c r="D2290" t="s">
        <v>32</v>
      </c>
      <c r="E2290" t="s">
        <v>462</v>
      </c>
      <c r="F2290">
        <v>1</v>
      </c>
      <c r="G2290">
        <v>0</v>
      </c>
      <c r="H2290" t="s">
        <v>224</v>
      </c>
      <c r="I2290" t="s">
        <v>279</v>
      </c>
      <c r="J2290" t="s">
        <v>32</v>
      </c>
      <c r="K2290" t="b">
        <v>0</v>
      </c>
      <c r="L2290">
        <v>2001</v>
      </c>
      <c r="M2290">
        <v>59413400923</v>
      </c>
      <c r="N2290">
        <v>3557341215</v>
      </c>
      <c r="O2290" t="b">
        <v>1</v>
      </c>
      <c r="P2290">
        <v>1</v>
      </c>
      <c r="Q2290" t="str" cm="1">
        <f t="array" ref="Q2290">_xlfn.IFS(Table1[[#This Row],[Wealthier_Winner]]=-1,"Wealthier Nation Loses",Table1[[#This Row],[Wealthier_Winner]]=0,"Tie",Table1[[#This Row],[Wealthier_Winner]]=1,"Wealthier Nation Wins")</f>
        <v>Wealthier Nation Wins</v>
      </c>
    </row>
    <row r="2291" spans="1:17" x14ac:dyDescent="0.2">
      <c r="A2291" s="1">
        <v>3796</v>
      </c>
      <c r="B2291" s="2">
        <v>36918</v>
      </c>
      <c r="C2291" s="7">
        <f>_xlfn.FLOOR.MATH(Table1[[#This Row],[year]],10)</f>
        <v>2000</v>
      </c>
      <c r="D2291" t="s">
        <v>43</v>
      </c>
      <c r="E2291" t="s">
        <v>274</v>
      </c>
      <c r="F2291">
        <v>3</v>
      </c>
      <c r="G2291">
        <v>0</v>
      </c>
      <c r="H2291" t="s">
        <v>224</v>
      </c>
      <c r="I2291" t="s">
        <v>610</v>
      </c>
      <c r="J2291" t="s">
        <v>43</v>
      </c>
      <c r="K2291" t="b">
        <v>0</v>
      </c>
      <c r="L2291">
        <v>2001</v>
      </c>
      <c r="M2291">
        <v>73557840064</v>
      </c>
      <c r="N2291">
        <v>15716361792</v>
      </c>
      <c r="O2291" t="b">
        <v>1</v>
      </c>
      <c r="P2291">
        <v>1</v>
      </c>
      <c r="Q2291" t="str" cm="1">
        <f t="array" ref="Q2291">_xlfn.IFS(Table1[[#This Row],[Wealthier_Winner]]=-1,"Wealthier Nation Loses",Table1[[#This Row],[Wealthier_Winner]]=0,"Tie",Table1[[#This Row],[Wealthier_Winner]]=1,"Wealthier Nation Wins")</f>
        <v>Wealthier Nation Wins</v>
      </c>
    </row>
    <row r="2292" spans="1:17" x14ac:dyDescent="0.2">
      <c r="A2292" s="1">
        <v>3797</v>
      </c>
      <c r="B2292" s="2">
        <v>36918</v>
      </c>
      <c r="C2292" s="7">
        <f>_xlfn.FLOOR.MATH(Table1[[#This Row],[year]],10)</f>
        <v>2000</v>
      </c>
      <c r="D2292" t="s">
        <v>50</v>
      </c>
      <c r="E2292" t="s">
        <v>345</v>
      </c>
      <c r="F2292">
        <v>1</v>
      </c>
      <c r="G2292">
        <v>0</v>
      </c>
      <c r="H2292" t="s">
        <v>224</v>
      </c>
      <c r="I2292" t="s">
        <v>168</v>
      </c>
      <c r="J2292" t="s">
        <v>50</v>
      </c>
      <c r="K2292" t="b">
        <v>0</v>
      </c>
      <c r="L2292">
        <v>2001</v>
      </c>
      <c r="M2292">
        <v>135429905922</v>
      </c>
      <c r="N2292">
        <v>3190371080</v>
      </c>
      <c r="O2292" t="b">
        <v>1</v>
      </c>
      <c r="P2292">
        <v>1</v>
      </c>
      <c r="Q2292" t="str" cm="1">
        <f t="array" ref="Q2292">_xlfn.IFS(Table1[[#This Row],[Wealthier_Winner]]=-1,"Wealthier Nation Loses",Table1[[#This Row],[Wealthier_Winner]]=0,"Tie",Table1[[#This Row],[Wealthier_Winner]]=1,"Wealthier Nation Wins")</f>
        <v>Wealthier Nation Wins</v>
      </c>
    </row>
    <row r="2293" spans="1:17" x14ac:dyDescent="0.2">
      <c r="A2293" s="1">
        <v>3798</v>
      </c>
      <c r="B2293" s="2">
        <v>36919</v>
      </c>
      <c r="C2293" s="7">
        <f>_xlfn.FLOOR.MATH(Table1[[#This Row],[year]],10)</f>
        <v>2000</v>
      </c>
      <c r="D2293" t="s">
        <v>60</v>
      </c>
      <c r="E2293" t="s">
        <v>286</v>
      </c>
      <c r="F2293">
        <v>3</v>
      </c>
      <c r="G2293">
        <v>1</v>
      </c>
      <c r="H2293" t="s">
        <v>224</v>
      </c>
      <c r="I2293" t="s">
        <v>396</v>
      </c>
      <c r="J2293" t="s">
        <v>60</v>
      </c>
      <c r="K2293" t="b">
        <v>0</v>
      </c>
      <c r="L2293">
        <v>2001</v>
      </c>
      <c r="M2293">
        <v>8936079117</v>
      </c>
      <c r="N2293">
        <v>34112093927</v>
      </c>
      <c r="O2293" t="b">
        <v>1</v>
      </c>
      <c r="P2293">
        <v>-1</v>
      </c>
      <c r="Q2293" t="str" cm="1">
        <f t="array" ref="Q2293">_xlfn.IFS(Table1[[#This Row],[Wealthier_Winner]]=-1,"Wealthier Nation Loses",Table1[[#This Row],[Wealthier_Winner]]=0,"Tie",Table1[[#This Row],[Wealthier_Winner]]=1,"Wealthier Nation Wins")</f>
        <v>Wealthier Nation Loses</v>
      </c>
    </row>
    <row r="2294" spans="1:17" x14ac:dyDescent="0.2">
      <c r="A2294" s="1">
        <v>3800</v>
      </c>
      <c r="B2294" s="2">
        <v>36919</v>
      </c>
      <c r="C2294" s="7">
        <f>_xlfn.FLOOR.MATH(Table1[[#This Row],[year]],10)</f>
        <v>2000</v>
      </c>
      <c r="D2294" t="s">
        <v>212</v>
      </c>
      <c r="E2294" t="s">
        <v>24</v>
      </c>
      <c r="F2294">
        <v>0</v>
      </c>
      <c r="G2294">
        <v>0</v>
      </c>
      <c r="H2294" t="s">
        <v>224</v>
      </c>
      <c r="I2294" t="s">
        <v>322</v>
      </c>
      <c r="J2294" t="s">
        <v>212</v>
      </c>
      <c r="K2294" t="b">
        <v>0</v>
      </c>
      <c r="L2294">
        <v>2001</v>
      </c>
      <c r="M2294">
        <v>96684636118</v>
      </c>
      <c r="N2294">
        <v>43831480207</v>
      </c>
      <c r="O2294" t="b">
        <v>1</v>
      </c>
      <c r="P2294">
        <v>0</v>
      </c>
      <c r="Q2294" t="str" cm="1">
        <f t="array" ref="Q2294">_xlfn.IFS(Table1[[#This Row],[Wealthier_Winner]]=-1,"Wealthier Nation Loses",Table1[[#This Row],[Wealthier_Winner]]=0,"Tie",Table1[[#This Row],[Wealthier_Winner]]=1,"Wealthier Nation Wins")</f>
        <v>Tie</v>
      </c>
    </row>
    <row r="2295" spans="1:17" x14ac:dyDescent="0.2">
      <c r="A2295" s="1">
        <v>3801</v>
      </c>
      <c r="B2295" s="2">
        <v>36919</v>
      </c>
      <c r="C2295" s="7">
        <f>_xlfn.FLOOR.MATH(Table1[[#This Row],[year]],10)</f>
        <v>2000</v>
      </c>
      <c r="D2295" t="s">
        <v>63</v>
      </c>
      <c r="E2295" t="s">
        <v>378</v>
      </c>
      <c r="F2295">
        <v>1</v>
      </c>
      <c r="G2295">
        <v>3</v>
      </c>
      <c r="H2295" t="s">
        <v>224</v>
      </c>
      <c r="I2295" t="s">
        <v>226</v>
      </c>
      <c r="J2295" t="s">
        <v>63</v>
      </c>
      <c r="K2295" t="b">
        <v>0</v>
      </c>
      <c r="L2295">
        <v>2001</v>
      </c>
      <c r="M2295">
        <v>5314872854</v>
      </c>
      <c r="N2295">
        <v>906000000</v>
      </c>
      <c r="O2295" t="b">
        <v>1</v>
      </c>
      <c r="P2295">
        <v>-1</v>
      </c>
      <c r="Q2295" t="str" cm="1">
        <f t="array" ref="Q2295">_xlfn.IFS(Table1[[#This Row],[Wealthier_Winner]]=-1,"Wealthier Nation Loses",Table1[[#This Row],[Wealthier_Winner]]=0,"Tie",Table1[[#This Row],[Wealthier_Winner]]=1,"Wealthier Nation Wins")</f>
        <v>Wealthier Nation Loses</v>
      </c>
    </row>
    <row r="2296" spans="1:17" x14ac:dyDescent="0.2">
      <c r="A2296" s="1">
        <v>3803</v>
      </c>
      <c r="B2296" s="2">
        <v>36919</v>
      </c>
      <c r="C2296" s="7">
        <f>_xlfn.FLOOR.MATH(Table1[[#This Row],[year]],10)</f>
        <v>2000</v>
      </c>
      <c r="D2296" t="s">
        <v>62</v>
      </c>
      <c r="E2296" t="s">
        <v>40</v>
      </c>
      <c r="F2296">
        <v>0</v>
      </c>
      <c r="G2296">
        <v>2</v>
      </c>
      <c r="H2296" t="s">
        <v>224</v>
      </c>
      <c r="I2296" t="s">
        <v>353</v>
      </c>
      <c r="J2296" t="s">
        <v>62</v>
      </c>
      <c r="K2296" t="b">
        <v>0</v>
      </c>
      <c r="L2296">
        <v>2001</v>
      </c>
      <c r="M2296">
        <v>2093498674</v>
      </c>
      <c r="N2296">
        <v>10953485349</v>
      </c>
      <c r="O2296" t="b">
        <v>1</v>
      </c>
      <c r="P2296">
        <v>1</v>
      </c>
      <c r="Q2296" t="str" cm="1">
        <f t="array" ref="Q2296">_xlfn.IFS(Table1[[#This Row],[Wealthier_Winner]]=-1,"Wealthier Nation Loses",Table1[[#This Row],[Wealthier_Winner]]=0,"Tie",Table1[[#This Row],[Wealthier_Winner]]=1,"Wealthier Nation Wins")</f>
        <v>Wealthier Nation Wins</v>
      </c>
    </row>
    <row r="2297" spans="1:17" x14ac:dyDescent="0.2">
      <c r="A2297" s="1">
        <v>3804</v>
      </c>
      <c r="B2297" s="2">
        <v>36925</v>
      </c>
      <c r="C2297" s="7">
        <f>_xlfn.FLOOR.MATH(Table1[[#This Row],[year]],10)</f>
        <v>2000</v>
      </c>
      <c r="D2297" t="s">
        <v>361</v>
      </c>
      <c r="E2297" t="s">
        <v>71</v>
      </c>
      <c r="F2297">
        <v>1</v>
      </c>
      <c r="G2297">
        <v>2</v>
      </c>
      <c r="H2297" t="s">
        <v>224</v>
      </c>
      <c r="I2297" t="s">
        <v>359</v>
      </c>
      <c r="J2297" t="s">
        <v>359</v>
      </c>
      <c r="K2297" t="b">
        <v>1</v>
      </c>
      <c r="L2297">
        <v>2001</v>
      </c>
      <c r="M2297">
        <v>8976196808</v>
      </c>
      <c r="N2297">
        <v>34889559869</v>
      </c>
      <c r="O2297" t="b">
        <v>1</v>
      </c>
      <c r="P2297">
        <v>1</v>
      </c>
      <c r="Q2297" t="str" cm="1">
        <f t="array" ref="Q2297">_xlfn.IFS(Table1[[#This Row],[Wealthier_Winner]]=-1,"Wealthier Nation Loses",Table1[[#This Row],[Wealthier_Winner]]=0,"Tie",Table1[[#This Row],[Wealthier_Winner]]=1,"Wealthier Nation Wins")</f>
        <v>Wealthier Nation Wins</v>
      </c>
    </row>
    <row r="2298" spans="1:17" x14ac:dyDescent="0.2">
      <c r="A2298" s="1">
        <v>3807</v>
      </c>
      <c r="B2298" s="2">
        <v>36928</v>
      </c>
      <c r="C2298" s="7">
        <f>_xlfn.FLOOR.MATH(Table1[[#This Row],[year]],10)</f>
        <v>2000</v>
      </c>
      <c r="D2298" t="s">
        <v>359</v>
      </c>
      <c r="E2298" t="s">
        <v>71</v>
      </c>
      <c r="F2298">
        <v>1</v>
      </c>
      <c r="G2298">
        <v>1</v>
      </c>
      <c r="H2298" t="s">
        <v>224</v>
      </c>
      <c r="I2298" t="s">
        <v>359</v>
      </c>
      <c r="J2298" t="s">
        <v>359</v>
      </c>
      <c r="K2298" t="b">
        <v>0</v>
      </c>
      <c r="L2298">
        <v>2001</v>
      </c>
      <c r="M2298">
        <v>89793790669</v>
      </c>
      <c r="N2298">
        <v>34889559869</v>
      </c>
      <c r="O2298" t="b">
        <v>1</v>
      </c>
      <c r="P2298">
        <v>0</v>
      </c>
      <c r="Q2298" t="str" cm="1">
        <f t="array" ref="Q2298">_xlfn.IFS(Table1[[#This Row],[Wealthier_Winner]]=-1,"Wealthier Nation Loses",Table1[[#This Row],[Wealthier_Winner]]=0,"Tie",Table1[[#This Row],[Wealthier_Winner]]=1,"Wealthier Nation Wins")</f>
        <v>Tie</v>
      </c>
    </row>
    <row r="2299" spans="1:17" x14ac:dyDescent="0.2">
      <c r="A2299" s="1">
        <v>3808</v>
      </c>
      <c r="B2299" s="2">
        <v>36930</v>
      </c>
      <c r="C2299" s="7">
        <f>_xlfn.FLOOR.MATH(Table1[[#This Row],[year]],10)</f>
        <v>2000</v>
      </c>
      <c r="D2299" t="s">
        <v>45</v>
      </c>
      <c r="E2299" t="s">
        <v>611</v>
      </c>
      <c r="F2299">
        <v>6</v>
      </c>
      <c r="G2299">
        <v>0</v>
      </c>
      <c r="H2299" t="s">
        <v>224</v>
      </c>
      <c r="I2299" t="s">
        <v>612</v>
      </c>
      <c r="J2299" t="s">
        <v>45</v>
      </c>
      <c r="K2299" t="b">
        <v>0</v>
      </c>
      <c r="L2299">
        <v>2001</v>
      </c>
      <c r="M2299">
        <v>184137600000</v>
      </c>
      <c r="N2299">
        <v>1267997934</v>
      </c>
      <c r="O2299" t="b">
        <v>1</v>
      </c>
      <c r="P2299">
        <v>1</v>
      </c>
      <c r="Q2299" t="str" cm="1">
        <f t="array" ref="Q2299">_xlfn.IFS(Table1[[#This Row],[Wealthier_Winner]]=-1,"Wealthier Nation Loses",Table1[[#This Row],[Wealthier_Winner]]=0,"Tie",Table1[[#This Row],[Wealthier_Winner]]=1,"Wealthier Nation Wins")</f>
        <v>Wealthier Nation Wins</v>
      </c>
    </row>
    <row r="2300" spans="1:17" x14ac:dyDescent="0.2">
      <c r="A2300" s="1">
        <v>3809</v>
      </c>
      <c r="B2300" s="2">
        <v>36930</v>
      </c>
      <c r="C2300" s="7">
        <f>_xlfn.FLOOR.MATH(Table1[[#This Row],[year]],10)</f>
        <v>2000</v>
      </c>
      <c r="D2300" t="s">
        <v>475</v>
      </c>
      <c r="E2300" t="s">
        <v>405</v>
      </c>
      <c r="F2300">
        <v>0</v>
      </c>
      <c r="G2300">
        <v>0</v>
      </c>
      <c r="H2300" t="s">
        <v>224</v>
      </c>
      <c r="I2300" t="s">
        <v>612</v>
      </c>
      <c r="J2300" t="s">
        <v>45</v>
      </c>
      <c r="K2300" t="b">
        <v>1</v>
      </c>
      <c r="L2300">
        <v>2001</v>
      </c>
      <c r="M2300">
        <v>32685198808</v>
      </c>
      <c r="N2300">
        <v>53991289844</v>
      </c>
      <c r="O2300" t="b">
        <v>0</v>
      </c>
      <c r="P2300">
        <v>0</v>
      </c>
      <c r="Q2300" t="str" cm="1">
        <f t="array" ref="Q2300">_xlfn.IFS(Table1[[#This Row],[Wealthier_Winner]]=-1,"Wealthier Nation Loses",Table1[[#This Row],[Wealthier_Winner]]=0,"Tie",Table1[[#This Row],[Wealthier_Winner]]=1,"Wealthier Nation Wins")</f>
        <v>Tie</v>
      </c>
    </row>
    <row r="2301" spans="1:17" x14ac:dyDescent="0.2">
      <c r="A2301" s="1">
        <v>3811</v>
      </c>
      <c r="B2301" s="2">
        <v>36931</v>
      </c>
      <c r="C2301" s="7">
        <f>_xlfn.FLOOR.MATH(Table1[[#This Row],[year]],10)</f>
        <v>2000</v>
      </c>
      <c r="D2301" t="s">
        <v>359</v>
      </c>
      <c r="E2301" t="s">
        <v>361</v>
      </c>
      <c r="F2301">
        <v>1</v>
      </c>
      <c r="G2301">
        <v>2</v>
      </c>
      <c r="H2301" t="s">
        <v>224</v>
      </c>
      <c r="I2301" t="s">
        <v>359</v>
      </c>
      <c r="J2301" t="s">
        <v>359</v>
      </c>
      <c r="K2301" t="b">
        <v>0</v>
      </c>
      <c r="L2301">
        <v>2001</v>
      </c>
      <c r="M2301">
        <v>89793790669</v>
      </c>
      <c r="N2301">
        <v>8976196808</v>
      </c>
      <c r="O2301" t="b">
        <v>1</v>
      </c>
      <c r="P2301">
        <v>-1</v>
      </c>
      <c r="Q2301" t="str" cm="1">
        <f t="array" ref="Q2301">_xlfn.IFS(Table1[[#This Row],[Wealthier_Winner]]=-1,"Wealthier Nation Loses",Table1[[#This Row],[Wealthier_Winner]]=0,"Tie",Table1[[#This Row],[Wealthier_Winner]]=1,"Wealthier Nation Wins")</f>
        <v>Wealthier Nation Loses</v>
      </c>
    </row>
    <row r="2302" spans="1:17" x14ac:dyDescent="0.2">
      <c r="A2302" s="1">
        <v>3812</v>
      </c>
      <c r="B2302" s="2">
        <v>36932</v>
      </c>
      <c r="C2302" s="7">
        <f>_xlfn.FLOOR.MATH(Table1[[#This Row],[year]],10)</f>
        <v>2000</v>
      </c>
      <c r="D2302" t="s">
        <v>611</v>
      </c>
      <c r="E2302" t="s">
        <v>475</v>
      </c>
      <c r="F2302">
        <v>0</v>
      </c>
      <c r="G2302">
        <v>1</v>
      </c>
      <c r="H2302" t="s">
        <v>224</v>
      </c>
      <c r="I2302" t="s">
        <v>612</v>
      </c>
      <c r="J2302" t="s">
        <v>45</v>
      </c>
      <c r="K2302" t="b">
        <v>1</v>
      </c>
      <c r="L2302">
        <v>2001</v>
      </c>
      <c r="M2302">
        <v>1267997934</v>
      </c>
      <c r="N2302">
        <v>32685198808</v>
      </c>
      <c r="O2302" t="b">
        <v>1</v>
      </c>
      <c r="P2302">
        <v>1</v>
      </c>
      <c r="Q2302" t="str" cm="1">
        <f t="array" ref="Q2302">_xlfn.IFS(Table1[[#This Row],[Wealthier_Winner]]=-1,"Wealthier Nation Loses",Table1[[#This Row],[Wealthier_Winner]]=0,"Tie",Table1[[#This Row],[Wealthier_Winner]]=1,"Wealthier Nation Wins")</f>
        <v>Wealthier Nation Wins</v>
      </c>
    </row>
    <row r="2303" spans="1:17" x14ac:dyDescent="0.2">
      <c r="A2303" s="1">
        <v>3813</v>
      </c>
      <c r="B2303" s="2">
        <v>36932</v>
      </c>
      <c r="C2303" s="7">
        <f>_xlfn.FLOOR.MATH(Table1[[#This Row],[year]],10)</f>
        <v>2000</v>
      </c>
      <c r="D2303" t="s">
        <v>45</v>
      </c>
      <c r="E2303" t="s">
        <v>405</v>
      </c>
      <c r="F2303">
        <v>3</v>
      </c>
      <c r="G2303">
        <v>0</v>
      </c>
      <c r="H2303" t="s">
        <v>224</v>
      </c>
      <c r="I2303" t="s">
        <v>612</v>
      </c>
      <c r="J2303" t="s">
        <v>45</v>
      </c>
      <c r="K2303" t="b">
        <v>0</v>
      </c>
      <c r="L2303">
        <v>2001</v>
      </c>
      <c r="M2303">
        <v>184137600000</v>
      </c>
      <c r="N2303">
        <v>53991289844</v>
      </c>
      <c r="O2303" t="b">
        <v>1</v>
      </c>
      <c r="P2303">
        <v>1</v>
      </c>
      <c r="Q2303" t="str" cm="1">
        <f t="array" ref="Q2303">_xlfn.IFS(Table1[[#This Row],[Wealthier_Winner]]=-1,"Wealthier Nation Loses",Table1[[#This Row],[Wealthier_Winner]]=0,"Tie",Table1[[#This Row],[Wealthier_Winner]]=1,"Wealthier Nation Wins")</f>
        <v>Wealthier Nation Wins</v>
      </c>
    </row>
    <row r="2304" spans="1:17" x14ac:dyDescent="0.2">
      <c r="A2304" s="1">
        <v>3814</v>
      </c>
      <c r="B2304" s="2">
        <v>36934</v>
      </c>
      <c r="C2304" s="7">
        <f>_xlfn.FLOOR.MATH(Table1[[#This Row],[year]],10)</f>
        <v>2000</v>
      </c>
      <c r="D2304" t="s">
        <v>611</v>
      </c>
      <c r="E2304" t="s">
        <v>405</v>
      </c>
      <c r="F2304">
        <v>0</v>
      </c>
      <c r="G2304">
        <v>3</v>
      </c>
      <c r="H2304" t="s">
        <v>224</v>
      </c>
      <c r="I2304" t="s">
        <v>612</v>
      </c>
      <c r="J2304" t="s">
        <v>45</v>
      </c>
      <c r="K2304" t="b">
        <v>1</v>
      </c>
      <c r="L2304">
        <v>2001</v>
      </c>
      <c r="M2304">
        <v>1267997934</v>
      </c>
      <c r="N2304">
        <v>53991289844</v>
      </c>
      <c r="O2304" t="b">
        <v>1</v>
      </c>
      <c r="P2304">
        <v>1</v>
      </c>
      <c r="Q2304" t="str" cm="1">
        <f t="array" ref="Q2304">_xlfn.IFS(Table1[[#This Row],[Wealthier_Winner]]=-1,"Wealthier Nation Loses",Table1[[#This Row],[Wealthier_Winner]]=0,"Tie",Table1[[#This Row],[Wealthier_Winner]]=1,"Wealthier Nation Wins")</f>
        <v>Wealthier Nation Wins</v>
      </c>
    </row>
    <row r="2305" spans="1:17" x14ac:dyDescent="0.2">
      <c r="A2305" s="1">
        <v>3815</v>
      </c>
      <c r="B2305" s="2">
        <v>36934</v>
      </c>
      <c r="C2305" s="7">
        <f>_xlfn.FLOOR.MATH(Table1[[#This Row],[year]],10)</f>
        <v>2000</v>
      </c>
      <c r="D2305" t="s">
        <v>45</v>
      </c>
      <c r="E2305" t="s">
        <v>475</v>
      </c>
      <c r="F2305">
        <v>5</v>
      </c>
      <c r="G2305">
        <v>0</v>
      </c>
      <c r="H2305" t="s">
        <v>224</v>
      </c>
      <c r="I2305" t="s">
        <v>612</v>
      </c>
      <c r="J2305" t="s">
        <v>45</v>
      </c>
      <c r="K2305" t="b">
        <v>0</v>
      </c>
      <c r="L2305">
        <v>2001</v>
      </c>
      <c r="M2305">
        <v>184137600000</v>
      </c>
      <c r="N2305">
        <v>32685198808</v>
      </c>
      <c r="O2305" t="b">
        <v>1</v>
      </c>
      <c r="P2305">
        <v>1</v>
      </c>
      <c r="Q2305" t="str" cm="1">
        <f t="array" ref="Q2305">_xlfn.IFS(Table1[[#This Row],[Wealthier_Winner]]=-1,"Wealthier Nation Loses",Table1[[#This Row],[Wealthier_Winner]]=0,"Tie",Table1[[#This Row],[Wealthier_Winner]]=1,"Wealthier Nation Wins")</f>
        <v>Wealthier Nation Wins</v>
      </c>
    </row>
    <row r="2306" spans="1:17" x14ac:dyDescent="0.2">
      <c r="A2306" s="1">
        <v>3816</v>
      </c>
      <c r="B2306" s="2">
        <v>36937</v>
      </c>
      <c r="C2306" s="7">
        <f>_xlfn.FLOOR.MATH(Table1[[#This Row],[year]],10)</f>
        <v>2000</v>
      </c>
      <c r="D2306" t="s">
        <v>405</v>
      </c>
      <c r="E2306" t="s">
        <v>475</v>
      </c>
      <c r="F2306">
        <v>0</v>
      </c>
      <c r="G2306">
        <v>4</v>
      </c>
      <c r="H2306" t="s">
        <v>224</v>
      </c>
      <c r="I2306" t="s">
        <v>612</v>
      </c>
      <c r="J2306" t="s">
        <v>45</v>
      </c>
      <c r="K2306" t="b">
        <v>1</v>
      </c>
      <c r="L2306">
        <v>2001</v>
      </c>
      <c r="M2306">
        <v>53991289844</v>
      </c>
      <c r="N2306">
        <v>32685198808</v>
      </c>
      <c r="O2306" t="b">
        <v>0</v>
      </c>
      <c r="P2306">
        <v>-1</v>
      </c>
      <c r="Q2306" t="str" cm="1">
        <f t="array" ref="Q2306">_xlfn.IFS(Table1[[#This Row],[Wealthier_Winner]]=-1,"Wealthier Nation Loses",Table1[[#This Row],[Wealthier_Winner]]=0,"Tie",Table1[[#This Row],[Wealthier_Winner]]=1,"Wealthier Nation Wins")</f>
        <v>Wealthier Nation Loses</v>
      </c>
    </row>
    <row r="2307" spans="1:17" x14ac:dyDescent="0.2">
      <c r="A2307" s="1">
        <v>3817</v>
      </c>
      <c r="B2307" s="2">
        <v>36937</v>
      </c>
      <c r="C2307" s="7">
        <f>_xlfn.FLOOR.MATH(Table1[[#This Row],[year]],10)</f>
        <v>2000</v>
      </c>
      <c r="D2307" t="s">
        <v>45</v>
      </c>
      <c r="E2307" t="s">
        <v>611</v>
      </c>
      <c r="F2307">
        <v>6</v>
      </c>
      <c r="G2307">
        <v>0</v>
      </c>
      <c r="H2307" t="s">
        <v>224</v>
      </c>
      <c r="I2307" t="s">
        <v>612</v>
      </c>
      <c r="J2307" t="s">
        <v>45</v>
      </c>
      <c r="K2307" t="b">
        <v>0</v>
      </c>
      <c r="L2307">
        <v>2001</v>
      </c>
      <c r="M2307">
        <v>184137600000</v>
      </c>
      <c r="N2307">
        <v>1267997934</v>
      </c>
      <c r="O2307" t="b">
        <v>1</v>
      </c>
      <c r="P2307">
        <v>1</v>
      </c>
      <c r="Q2307" t="str" cm="1">
        <f t="array" ref="Q2307">_xlfn.IFS(Table1[[#This Row],[Wealthier_Winner]]=-1,"Wealthier Nation Loses",Table1[[#This Row],[Wealthier_Winner]]=0,"Tie",Table1[[#This Row],[Wealthier_Winner]]=1,"Wealthier Nation Wins")</f>
        <v>Wealthier Nation Wins</v>
      </c>
    </row>
    <row r="2308" spans="1:17" x14ac:dyDescent="0.2">
      <c r="A2308" s="1">
        <v>3818</v>
      </c>
      <c r="B2308" s="2">
        <v>36939</v>
      </c>
      <c r="C2308" s="7">
        <f>_xlfn.FLOOR.MATH(Table1[[#This Row],[year]],10)</f>
        <v>2000</v>
      </c>
      <c r="D2308" t="s">
        <v>45</v>
      </c>
      <c r="E2308" t="s">
        <v>405</v>
      </c>
      <c r="F2308">
        <v>6</v>
      </c>
      <c r="G2308">
        <v>0</v>
      </c>
      <c r="H2308" t="s">
        <v>224</v>
      </c>
      <c r="I2308" t="s">
        <v>612</v>
      </c>
      <c r="J2308" t="s">
        <v>45</v>
      </c>
      <c r="K2308" t="b">
        <v>0</v>
      </c>
      <c r="L2308">
        <v>2001</v>
      </c>
      <c r="M2308">
        <v>184137600000</v>
      </c>
      <c r="N2308">
        <v>53991289844</v>
      </c>
      <c r="O2308" t="b">
        <v>1</v>
      </c>
      <c r="P2308">
        <v>1</v>
      </c>
      <c r="Q2308" t="str" cm="1">
        <f t="array" ref="Q2308">_xlfn.IFS(Table1[[#This Row],[Wealthier_Winner]]=-1,"Wealthier Nation Loses",Table1[[#This Row],[Wealthier_Winner]]=0,"Tie",Table1[[#This Row],[Wealthier_Winner]]=1,"Wealthier Nation Wins")</f>
        <v>Wealthier Nation Wins</v>
      </c>
    </row>
    <row r="2309" spans="1:17" x14ac:dyDescent="0.2">
      <c r="A2309" s="1">
        <v>3819</v>
      </c>
      <c r="B2309" s="2">
        <v>36939</v>
      </c>
      <c r="C2309" s="7">
        <f>_xlfn.FLOOR.MATH(Table1[[#This Row],[year]],10)</f>
        <v>2000</v>
      </c>
      <c r="D2309" t="s">
        <v>475</v>
      </c>
      <c r="E2309" t="s">
        <v>611</v>
      </c>
      <c r="F2309">
        <v>4</v>
      </c>
      <c r="G2309">
        <v>0</v>
      </c>
      <c r="H2309" t="s">
        <v>224</v>
      </c>
      <c r="I2309" t="s">
        <v>612</v>
      </c>
      <c r="J2309" t="s">
        <v>45</v>
      </c>
      <c r="K2309" t="b">
        <v>1</v>
      </c>
      <c r="L2309">
        <v>2001</v>
      </c>
      <c r="M2309">
        <v>32685198808</v>
      </c>
      <c r="N2309">
        <v>1267997934</v>
      </c>
      <c r="O2309" t="b">
        <v>1</v>
      </c>
      <c r="P2309">
        <v>1</v>
      </c>
      <c r="Q2309" t="str" cm="1">
        <f t="array" ref="Q2309">_xlfn.IFS(Table1[[#This Row],[Wealthier_Winner]]=-1,"Wealthier Nation Loses",Table1[[#This Row],[Wealthier_Winner]]=0,"Tie",Table1[[#This Row],[Wealthier_Winner]]=1,"Wealthier Nation Wins")</f>
        <v>Wealthier Nation Wins</v>
      </c>
    </row>
    <row r="2310" spans="1:17" x14ac:dyDescent="0.2">
      <c r="A2310" s="1">
        <v>3820</v>
      </c>
      <c r="B2310" s="2">
        <v>36941</v>
      </c>
      <c r="C2310" s="7">
        <f>_xlfn.FLOOR.MATH(Table1[[#This Row],[year]],10)</f>
        <v>2000</v>
      </c>
      <c r="D2310" t="s">
        <v>405</v>
      </c>
      <c r="E2310" t="s">
        <v>611</v>
      </c>
      <c r="F2310">
        <v>2</v>
      </c>
      <c r="G2310">
        <v>2</v>
      </c>
      <c r="H2310" t="s">
        <v>224</v>
      </c>
      <c r="I2310" t="s">
        <v>612</v>
      </c>
      <c r="J2310" t="s">
        <v>45</v>
      </c>
      <c r="K2310" t="b">
        <v>1</v>
      </c>
      <c r="L2310">
        <v>2001</v>
      </c>
      <c r="M2310">
        <v>53991289844</v>
      </c>
      <c r="N2310">
        <v>1267997934</v>
      </c>
      <c r="O2310" t="b">
        <v>1</v>
      </c>
      <c r="P2310">
        <v>0</v>
      </c>
      <c r="Q2310" t="str" cm="1">
        <f t="array" ref="Q2310">_xlfn.IFS(Table1[[#This Row],[Wealthier_Winner]]=-1,"Wealthier Nation Loses",Table1[[#This Row],[Wealthier_Winner]]=0,"Tie",Table1[[#This Row],[Wealthier_Winner]]=1,"Wealthier Nation Wins")</f>
        <v>Tie</v>
      </c>
    </row>
    <row r="2311" spans="1:17" x14ac:dyDescent="0.2">
      <c r="A2311" s="1">
        <v>3821</v>
      </c>
      <c r="B2311" s="2">
        <v>36941</v>
      </c>
      <c r="C2311" s="7">
        <f>_xlfn.FLOOR.MATH(Table1[[#This Row],[year]],10)</f>
        <v>2000</v>
      </c>
      <c r="D2311" t="s">
        <v>45</v>
      </c>
      <c r="E2311" t="s">
        <v>475</v>
      </c>
      <c r="F2311">
        <v>4</v>
      </c>
      <c r="G2311">
        <v>0</v>
      </c>
      <c r="H2311" t="s">
        <v>224</v>
      </c>
      <c r="I2311" t="s">
        <v>612</v>
      </c>
      <c r="J2311" t="s">
        <v>45</v>
      </c>
      <c r="K2311" t="b">
        <v>0</v>
      </c>
      <c r="L2311">
        <v>2001</v>
      </c>
      <c r="M2311">
        <v>184137600000</v>
      </c>
      <c r="N2311">
        <v>32685198808</v>
      </c>
      <c r="O2311" t="b">
        <v>1</v>
      </c>
      <c r="P2311">
        <v>1</v>
      </c>
      <c r="Q2311" t="str" cm="1">
        <f t="array" ref="Q2311">_xlfn.IFS(Table1[[#This Row],[Wealthier_Winner]]=-1,"Wealthier Nation Loses",Table1[[#This Row],[Wealthier_Winner]]=0,"Tie",Table1[[#This Row],[Wealthier_Winner]]=1,"Wealthier Nation Wins")</f>
        <v>Wealthier Nation Wins</v>
      </c>
    </row>
    <row r="2312" spans="1:17" x14ac:dyDescent="0.2">
      <c r="A2312" s="1">
        <v>3822</v>
      </c>
      <c r="B2312" s="2">
        <v>36943</v>
      </c>
      <c r="C2312" s="7">
        <f>_xlfn.FLOOR.MATH(Table1[[#This Row],[year]],10)</f>
        <v>2000</v>
      </c>
      <c r="D2312" t="s">
        <v>71</v>
      </c>
      <c r="E2312" t="s">
        <v>359</v>
      </c>
      <c r="F2312">
        <v>1</v>
      </c>
      <c r="G2312">
        <v>0</v>
      </c>
      <c r="H2312" t="s">
        <v>224</v>
      </c>
      <c r="I2312" t="s">
        <v>366</v>
      </c>
      <c r="J2312" t="s">
        <v>71</v>
      </c>
      <c r="K2312" t="b">
        <v>0</v>
      </c>
      <c r="L2312">
        <v>2001</v>
      </c>
      <c r="M2312">
        <v>34889559869</v>
      </c>
      <c r="N2312">
        <v>89793790669</v>
      </c>
      <c r="O2312" t="b">
        <v>1</v>
      </c>
      <c r="P2312">
        <v>-1</v>
      </c>
      <c r="Q2312" t="str" cm="1">
        <f t="array" ref="Q2312">_xlfn.IFS(Table1[[#This Row],[Wealthier_Winner]]=-1,"Wealthier Nation Loses",Table1[[#This Row],[Wealthier_Winner]]=0,"Tie",Table1[[#This Row],[Wealthier_Winner]]=1,"Wealthier Nation Wins")</f>
        <v>Wealthier Nation Loses</v>
      </c>
    </row>
    <row r="2313" spans="1:17" x14ac:dyDescent="0.2">
      <c r="A2313" s="1">
        <v>3824</v>
      </c>
      <c r="B2313" s="2">
        <v>36945</v>
      </c>
      <c r="C2313" s="7">
        <f>_xlfn.FLOOR.MATH(Table1[[#This Row],[year]],10)</f>
        <v>2000</v>
      </c>
      <c r="D2313" t="s">
        <v>286</v>
      </c>
      <c r="E2313" t="s">
        <v>62</v>
      </c>
      <c r="F2313">
        <v>3</v>
      </c>
      <c r="G2313">
        <v>3</v>
      </c>
      <c r="H2313" t="s">
        <v>224</v>
      </c>
      <c r="I2313" t="s">
        <v>613</v>
      </c>
      <c r="J2313" t="s">
        <v>286</v>
      </c>
      <c r="K2313" t="b">
        <v>0</v>
      </c>
      <c r="L2313">
        <v>2001</v>
      </c>
      <c r="M2313">
        <v>34112093927</v>
      </c>
      <c r="N2313">
        <v>2093498674</v>
      </c>
      <c r="O2313" t="b">
        <v>1</v>
      </c>
      <c r="P2313">
        <v>0</v>
      </c>
      <c r="Q2313" t="str" cm="1">
        <f t="array" ref="Q2313">_xlfn.IFS(Table1[[#This Row],[Wealthier_Winner]]=-1,"Wealthier Nation Loses",Table1[[#This Row],[Wealthier_Winner]]=0,"Tie",Table1[[#This Row],[Wealthier_Winner]]=1,"Wealthier Nation Wins")</f>
        <v>Tie</v>
      </c>
    </row>
    <row r="2314" spans="1:17" x14ac:dyDescent="0.2">
      <c r="A2314" s="1">
        <v>3825</v>
      </c>
      <c r="B2314" s="2">
        <v>36946</v>
      </c>
      <c r="C2314" s="7">
        <f>_xlfn.FLOOR.MATH(Table1[[#This Row],[year]],10)</f>
        <v>2000</v>
      </c>
      <c r="D2314" t="s">
        <v>361</v>
      </c>
      <c r="E2314" t="s">
        <v>359</v>
      </c>
      <c r="F2314">
        <v>2</v>
      </c>
      <c r="G2314">
        <v>0</v>
      </c>
      <c r="H2314" t="s">
        <v>224</v>
      </c>
      <c r="I2314" t="s">
        <v>366</v>
      </c>
      <c r="J2314" t="s">
        <v>71</v>
      </c>
      <c r="K2314" t="b">
        <v>1</v>
      </c>
      <c r="L2314">
        <v>2001</v>
      </c>
      <c r="M2314">
        <v>8976196808</v>
      </c>
      <c r="N2314">
        <v>89793790669</v>
      </c>
      <c r="O2314" t="b">
        <v>1</v>
      </c>
      <c r="P2314">
        <v>-1</v>
      </c>
      <c r="Q2314" t="str" cm="1">
        <f t="array" ref="Q2314">_xlfn.IFS(Table1[[#This Row],[Wealthier_Winner]]=-1,"Wealthier Nation Loses",Table1[[#This Row],[Wealthier_Winner]]=0,"Tie",Table1[[#This Row],[Wealthier_Winner]]=1,"Wealthier Nation Wins")</f>
        <v>Wealthier Nation Loses</v>
      </c>
    </row>
    <row r="2315" spans="1:17" x14ac:dyDescent="0.2">
      <c r="A2315" s="1">
        <v>3826</v>
      </c>
      <c r="B2315" s="2">
        <v>36946</v>
      </c>
      <c r="C2315" s="7">
        <f>_xlfn.FLOOR.MATH(Table1[[#This Row],[year]],10)</f>
        <v>2000</v>
      </c>
      <c r="D2315" t="s">
        <v>345</v>
      </c>
      <c r="E2315" t="s">
        <v>298</v>
      </c>
      <c r="F2315">
        <v>1</v>
      </c>
      <c r="G2315">
        <v>2</v>
      </c>
      <c r="H2315" t="s">
        <v>224</v>
      </c>
      <c r="I2315" t="s">
        <v>614</v>
      </c>
      <c r="J2315" t="s">
        <v>345</v>
      </c>
      <c r="K2315" t="b">
        <v>0</v>
      </c>
      <c r="L2315">
        <v>2001</v>
      </c>
      <c r="M2315">
        <v>3190371080</v>
      </c>
      <c r="N2315">
        <v>6780750000</v>
      </c>
      <c r="O2315" t="b">
        <v>1</v>
      </c>
      <c r="P2315">
        <v>1</v>
      </c>
      <c r="Q2315" t="str" cm="1">
        <f t="array" ref="Q2315">_xlfn.IFS(Table1[[#This Row],[Wealthier_Winner]]=-1,"Wealthier Nation Loses",Table1[[#This Row],[Wealthier_Winner]]=0,"Tie",Table1[[#This Row],[Wealthier_Winner]]=1,"Wealthier Nation Wins")</f>
        <v>Wealthier Nation Wins</v>
      </c>
    </row>
    <row r="2316" spans="1:17" x14ac:dyDescent="0.2">
      <c r="A2316" s="1">
        <v>3828</v>
      </c>
      <c r="B2316" s="2">
        <v>36946</v>
      </c>
      <c r="C2316" s="7">
        <f>_xlfn.FLOOR.MATH(Table1[[#This Row],[year]],10)</f>
        <v>2000</v>
      </c>
      <c r="D2316" t="s">
        <v>24</v>
      </c>
      <c r="E2316" t="s">
        <v>54</v>
      </c>
      <c r="F2316">
        <v>0</v>
      </c>
      <c r="G2316">
        <v>0</v>
      </c>
      <c r="H2316" t="s">
        <v>224</v>
      </c>
      <c r="I2316" t="s">
        <v>319</v>
      </c>
      <c r="J2316" t="s">
        <v>24</v>
      </c>
      <c r="K2316" t="b">
        <v>0</v>
      </c>
      <c r="L2316">
        <v>2001</v>
      </c>
      <c r="M2316">
        <v>43831480207</v>
      </c>
      <c r="N2316">
        <v>6507824829</v>
      </c>
      <c r="O2316" t="b">
        <v>1</v>
      </c>
      <c r="P2316">
        <v>0</v>
      </c>
      <c r="Q2316" t="str" cm="1">
        <f t="array" ref="Q2316">_xlfn.IFS(Table1[[#This Row],[Wealthier_Winner]]=-1,"Wealthier Nation Loses",Table1[[#This Row],[Wealthier_Winner]]=0,"Tie",Table1[[#This Row],[Wealthier_Winner]]=1,"Wealthier Nation Wins")</f>
        <v>Tie</v>
      </c>
    </row>
    <row r="2317" spans="1:17" x14ac:dyDescent="0.2">
      <c r="A2317" s="1">
        <v>3829</v>
      </c>
      <c r="B2317" s="2">
        <v>36946</v>
      </c>
      <c r="C2317" s="7">
        <f>_xlfn.FLOOR.MATH(Table1[[#This Row],[year]],10)</f>
        <v>2000</v>
      </c>
      <c r="D2317" t="s">
        <v>462</v>
      </c>
      <c r="E2317" t="s">
        <v>212</v>
      </c>
      <c r="F2317">
        <v>1</v>
      </c>
      <c r="G2317">
        <v>1</v>
      </c>
      <c r="H2317" t="s">
        <v>224</v>
      </c>
      <c r="I2317" t="s">
        <v>465</v>
      </c>
      <c r="J2317" t="s">
        <v>462</v>
      </c>
      <c r="K2317" t="b">
        <v>0</v>
      </c>
      <c r="L2317">
        <v>2001</v>
      </c>
      <c r="M2317">
        <v>3557341215</v>
      </c>
      <c r="N2317">
        <v>96684636118</v>
      </c>
      <c r="O2317" t="b">
        <v>1</v>
      </c>
      <c r="P2317">
        <v>0</v>
      </c>
      <c r="Q2317" t="str" cm="1">
        <f t="array" ref="Q2317">_xlfn.IFS(Table1[[#This Row],[Wealthier_Winner]]=-1,"Wealthier Nation Loses",Table1[[#This Row],[Wealthier_Winner]]=0,"Tie",Table1[[#This Row],[Wealthier_Winner]]=1,"Wealthier Nation Wins")</f>
        <v>Tie</v>
      </c>
    </row>
    <row r="2318" spans="1:17" x14ac:dyDescent="0.2">
      <c r="A2318" s="1">
        <v>3830</v>
      </c>
      <c r="B2318" s="2">
        <v>36947</v>
      </c>
      <c r="C2318" s="7">
        <f>_xlfn.FLOOR.MATH(Table1[[#This Row],[year]],10)</f>
        <v>2000</v>
      </c>
      <c r="D2318" t="s">
        <v>40</v>
      </c>
      <c r="E2318" t="s">
        <v>273</v>
      </c>
      <c r="F2318">
        <v>1</v>
      </c>
      <c r="G2318">
        <v>0</v>
      </c>
      <c r="H2318" t="s">
        <v>224</v>
      </c>
      <c r="I2318" t="s">
        <v>371</v>
      </c>
      <c r="J2318" t="s">
        <v>40</v>
      </c>
      <c r="K2318" t="b">
        <v>0</v>
      </c>
      <c r="L2318">
        <v>2001</v>
      </c>
      <c r="M2318">
        <v>10953485349</v>
      </c>
      <c r="N2318">
        <v>4094441301</v>
      </c>
      <c r="O2318" t="b">
        <v>1</v>
      </c>
      <c r="P2318">
        <v>1</v>
      </c>
      <c r="Q2318" t="str" cm="1">
        <f t="array" ref="Q2318">_xlfn.IFS(Table1[[#This Row],[Wealthier_Winner]]=-1,"Wealthier Nation Loses",Table1[[#This Row],[Wealthier_Winner]]=0,"Tie",Table1[[#This Row],[Wealthier_Winner]]=1,"Wealthier Nation Wins")</f>
        <v>Wealthier Nation Wins</v>
      </c>
    </row>
    <row r="2319" spans="1:17" x14ac:dyDescent="0.2">
      <c r="A2319" s="1">
        <v>3831</v>
      </c>
      <c r="B2319" s="2">
        <v>36947</v>
      </c>
      <c r="C2319" s="7">
        <f>_xlfn.FLOOR.MATH(Table1[[#This Row],[year]],10)</f>
        <v>2000</v>
      </c>
      <c r="D2319" t="s">
        <v>378</v>
      </c>
      <c r="E2319" t="s">
        <v>342</v>
      </c>
      <c r="F2319">
        <v>1</v>
      </c>
      <c r="G2319">
        <v>0</v>
      </c>
      <c r="H2319" t="s">
        <v>224</v>
      </c>
      <c r="I2319" t="s">
        <v>595</v>
      </c>
      <c r="J2319" t="s">
        <v>378</v>
      </c>
      <c r="K2319" t="b">
        <v>0</v>
      </c>
      <c r="L2319">
        <v>2001</v>
      </c>
      <c r="M2319">
        <v>906000000</v>
      </c>
      <c r="N2319">
        <v>1681473893</v>
      </c>
      <c r="O2319" t="b">
        <v>0</v>
      </c>
      <c r="P2319">
        <v>-1</v>
      </c>
      <c r="Q2319" t="str" cm="1">
        <f t="array" ref="Q2319">_xlfn.IFS(Table1[[#This Row],[Wealthier_Winner]]=-1,"Wealthier Nation Loses",Table1[[#This Row],[Wealthier_Winner]]=0,"Tie",Table1[[#This Row],[Wealthier_Winner]]=1,"Wealthier Nation Wins")</f>
        <v>Wealthier Nation Loses</v>
      </c>
    </row>
    <row r="2320" spans="1:17" x14ac:dyDescent="0.2">
      <c r="A2320" s="1">
        <v>3832</v>
      </c>
      <c r="B2320" s="2">
        <v>36947</v>
      </c>
      <c r="C2320" s="7">
        <f>_xlfn.FLOOR.MATH(Table1[[#This Row],[year]],10)</f>
        <v>2000</v>
      </c>
      <c r="D2320" t="s">
        <v>370</v>
      </c>
      <c r="E2320" t="s">
        <v>50</v>
      </c>
      <c r="F2320">
        <v>1</v>
      </c>
      <c r="G2320">
        <v>2</v>
      </c>
      <c r="H2320" t="s">
        <v>224</v>
      </c>
      <c r="I2320" t="s">
        <v>372</v>
      </c>
      <c r="J2320" t="s">
        <v>370</v>
      </c>
      <c r="K2320" t="b">
        <v>0</v>
      </c>
      <c r="L2320">
        <v>2001</v>
      </c>
      <c r="M2320">
        <v>2498008664</v>
      </c>
      <c r="N2320">
        <v>135429905922</v>
      </c>
      <c r="O2320" t="b">
        <v>1</v>
      </c>
      <c r="P2320">
        <v>1</v>
      </c>
      <c r="Q2320" t="str" cm="1">
        <f t="array" ref="Q2320">_xlfn.IFS(Table1[[#This Row],[Wealthier_Winner]]=-1,"Wealthier Nation Loses",Table1[[#This Row],[Wealthier_Winner]]=0,"Tie",Table1[[#This Row],[Wealthier_Winner]]=1,"Wealthier Nation Wins")</f>
        <v>Wealthier Nation Wins</v>
      </c>
    </row>
    <row r="2321" spans="1:17" x14ac:dyDescent="0.2">
      <c r="A2321" s="1">
        <v>3833</v>
      </c>
      <c r="B2321" s="2">
        <v>36947</v>
      </c>
      <c r="C2321" s="7">
        <f>_xlfn.FLOOR.MATH(Table1[[#This Row],[year]],10)</f>
        <v>2000</v>
      </c>
      <c r="D2321" t="s">
        <v>274</v>
      </c>
      <c r="E2321" t="s">
        <v>63</v>
      </c>
      <c r="F2321">
        <v>1</v>
      </c>
      <c r="G2321">
        <v>0</v>
      </c>
      <c r="H2321" t="s">
        <v>224</v>
      </c>
      <c r="I2321" t="s">
        <v>591</v>
      </c>
      <c r="J2321" t="s">
        <v>274</v>
      </c>
      <c r="K2321" t="b">
        <v>0</v>
      </c>
      <c r="L2321">
        <v>2001</v>
      </c>
      <c r="M2321">
        <v>15716361792</v>
      </c>
      <c r="N2321">
        <v>5314872854</v>
      </c>
      <c r="O2321" t="b">
        <v>1</v>
      </c>
      <c r="P2321">
        <v>1</v>
      </c>
      <c r="Q2321" t="str" cm="1">
        <f t="array" ref="Q2321">_xlfn.IFS(Table1[[#This Row],[Wealthier_Winner]]=-1,"Wealthier Nation Loses",Table1[[#This Row],[Wealthier_Winner]]=0,"Tie",Table1[[#This Row],[Wealthier_Winner]]=1,"Wealthier Nation Wins")</f>
        <v>Wealthier Nation Wins</v>
      </c>
    </row>
    <row r="2322" spans="1:17" x14ac:dyDescent="0.2">
      <c r="A2322" s="1">
        <v>3835</v>
      </c>
      <c r="B2322" s="2">
        <v>36949</v>
      </c>
      <c r="C2322" s="7">
        <f>_xlfn.FLOOR.MATH(Table1[[#This Row],[year]],10)</f>
        <v>2000</v>
      </c>
      <c r="D2322" t="s">
        <v>71</v>
      </c>
      <c r="E2322" t="s">
        <v>361</v>
      </c>
      <c r="F2322">
        <v>0</v>
      </c>
      <c r="G2322">
        <v>1</v>
      </c>
      <c r="H2322" t="s">
        <v>224</v>
      </c>
      <c r="I2322" t="s">
        <v>366</v>
      </c>
      <c r="J2322" t="s">
        <v>71</v>
      </c>
      <c r="K2322" t="b">
        <v>0</v>
      </c>
      <c r="L2322">
        <v>2001</v>
      </c>
      <c r="M2322">
        <v>34889559869</v>
      </c>
      <c r="N2322">
        <v>8976196808</v>
      </c>
      <c r="O2322" t="b">
        <v>1</v>
      </c>
      <c r="P2322">
        <v>-1</v>
      </c>
      <c r="Q2322" t="str" cm="1">
        <f t="array" ref="Q2322">_xlfn.IFS(Table1[[#This Row],[Wealthier_Winner]]=-1,"Wealthier Nation Loses",Table1[[#This Row],[Wealthier_Winner]]=0,"Tie",Table1[[#This Row],[Wealthier_Winner]]=1,"Wealthier Nation Wins")</f>
        <v>Wealthier Nation Loses</v>
      </c>
    </row>
    <row r="2323" spans="1:17" x14ac:dyDescent="0.2">
      <c r="A2323" s="1">
        <v>3837</v>
      </c>
      <c r="B2323" s="2">
        <v>36950</v>
      </c>
      <c r="C2323" s="7">
        <f>_xlfn.FLOOR.MATH(Table1[[#This Row],[year]],10)</f>
        <v>2000</v>
      </c>
      <c r="D2323" t="s">
        <v>23</v>
      </c>
      <c r="E2323" t="s">
        <v>549</v>
      </c>
      <c r="F2323">
        <v>10</v>
      </c>
      <c r="G2323">
        <v>1</v>
      </c>
      <c r="H2323" t="s">
        <v>224</v>
      </c>
      <c r="I2323" t="s">
        <v>235</v>
      </c>
      <c r="J2323" t="s">
        <v>23</v>
      </c>
      <c r="K2323" t="b">
        <v>0</v>
      </c>
      <c r="L2323">
        <v>2001</v>
      </c>
      <c r="M2323">
        <v>236746141604</v>
      </c>
      <c r="N2323">
        <v>1059529812</v>
      </c>
      <c r="O2323" t="b">
        <v>1</v>
      </c>
      <c r="P2323">
        <v>1</v>
      </c>
      <c r="Q2323" t="str" cm="1">
        <f t="array" ref="Q2323">_xlfn.IFS(Table1[[#This Row],[Wealthier_Winner]]=-1,"Wealthier Nation Loses",Table1[[#This Row],[Wealthier_Winner]]=0,"Tie",Table1[[#This Row],[Wealthier_Winner]]=1,"Wealthier Nation Wins")</f>
        <v>Wealthier Nation Wins</v>
      </c>
    </row>
    <row r="2324" spans="1:17" x14ac:dyDescent="0.2">
      <c r="A2324" s="1">
        <v>3838</v>
      </c>
      <c r="B2324" s="2">
        <v>36950</v>
      </c>
      <c r="C2324" s="7">
        <f>_xlfn.FLOOR.MATH(Table1[[#This Row],[year]],10)</f>
        <v>2000</v>
      </c>
      <c r="D2324" t="s">
        <v>56</v>
      </c>
      <c r="E2324" t="s">
        <v>65</v>
      </c>
      <c r="F2324">
        <v>2</v>
      </c>
      <c r="G2324">
        <v>2</v>
      </c>
      <c r="H2324" t="s">
        <v>224</v>
      </c>
      <c r="I2324" t="s">
        <v>225</v>
      </c>
      <c r="J2324" t="s">
        <v>56</v>
      </c>
      <c r="K2324" t="b">
        <v>0</v>
      </c>
      <c r="L2324">
        <v>2001</v>
      </c>
      <c r="M2324">
        <v>15976174336</v>
      </c>
      <c r="N2324">
        <v>7651162302</v>
      </c>
      <c r="O2324" t="b">
        <v>1</v>
      </c>
      <c r="P2324">
        <v>0</v>
      </c>
      <c r="Q2324" t="str" cm="1">
        <f t="array" ref="Q2324">_xlfn.IFS(Table1[[#This Row],[Wealthier_Winner]]=-1,"Wealthier Nation Loses",Table1[[#This Row],[Wealthier_Winner]]=0,"Tie",Table1[[#This Row],[Wealthier_Winner]]=1,"Wealthier Nation Wins")</f>
        <v>Tie</v>
      </c>
    </row>
    <row r="2325" spans="1:17" x14ac:dyDescent="0.2">
      <c r="A2325" s="1">
        <v>3839</v>
      </c>
      <c r="B2325" s="2">
        <v>36950</v>
      </c>
      <c r="C2325" s="7">
        <f>_xlfn.FLOOR.MATH(Table1[[#This Row],[year]],10)</f>
        <v>2000</v>
      </c>
      <c r="D2325" t="s">
        <v>49</v>
      </c>
      <c r="E2325" t="s">
        <v>59</v>
      </c>
      <c r="F2325">
        <v>1</v>
      </c>
      <c r="G2325">
        <v>0</v>
      </c>
      <c r="H2325" t="s">
        <v>224</v>
      </c>
      <c r="I2325" t="s">
        <v>257</v>
      </c>
      <c r="J2325" t="s">
        <v>49</v>
      </c>
      <c r="K2325" t="b">
        <v>0</v>
      </c>
      <c r="L2325">
        <v>2001</v>
      </c>
      <c r="M2325">
        <v>9194727831</v>
      </c>
      <c r="N2325">
        <v>8824849191</v>
      </c>
      <c r="O2325" t="b">
        <v>0</v>
      </c>
      <c r="P2325">
        <v>1</v>
      </c>
      <c r="Q2325" t="str" cm="1">
        <f t="array" ref="Q2325">_xlfn.IFS(Table1[[#This Row],[Wealthier_Winner]]=-1,"Wealthier Nation Loses",Table1[[#This Row],[Wealthier_Winner]]=0,"Tie",Table1[[#This Row],[Wealthier_Winner]]=1,"Wealthier Nation Wins")</f>
        <v>Wealthier Nation Wins</v>
      </c>
    </row>
    <row r="2326" spans="1:17" x14ac:dyDescent="0.2">
      <c r="A2326" s="1">
        <v>3840</v>
      </c>
      <c r="B2326" s="2">
        <v>36950</v>
      </c>
      <c r="C2326" s="7">
        <f>_xlfn.FLOOR.MATH(Table1[[#This Row],[year]],10)</f>
        <v>2000</v>
      </c>
      <c r="D2326" t="s">
        <v>38</v>
      </c>
      <c r="E2326" t="s">
        <v>601</v>
      </c>
      <c r="F2326">
        <v>3</v>
      </c>
      <c r="G2326">
        <v>0</v>
      </c>
      <c r="H2326" t="s">
        <v>224</v>
      </c>
      <c r="I2326" t="s">
        <v>615</v>
      </c>
      <c r="J2326" t="s">
        <v>38</v>
      </c>
      <c r="K2326" t="b">
        <v>0</v>
      </c>
      <c r="L2326">
        <v>2001</v>
      </c>
      <c r="M2326">
        <v>121604107164</v>
      </c>
      <c r="N2326">
        <v>1548265926</v>
      </c>
      <c r="O2326" t="b">
        <v>1</v>
      </c>
      <c r="P2326">
        <v>1</v>
      </c>
      <c r="Q2326" t="str" cm="1">
        <f t="array" ref="Q2326">_xlfn.IFS(Table1[[#This Row],[Wealthier_Winner]]=-1,"Wealthier Nation Loses",Table1[[#This Row],[Wealthier_Winner]]=0,"Tie",Table1[[#This Row],[Wealthier_Winner]]=1,"Wealthier Nation Wins")</f>
        <v>Wealthier Nation Wins</v>
      </c>
    </row>
    <row r="2327" spans="1:17" x14ac:dyDescent="0.2">
      <c r="A2327" s="1">
        <v>3841</v>
      </c>
      <c r="B2327" s="2">
        <v>36950</v>
      </c>
      <c r="C2327" s="7">
        <f>_xlfn.FLOOR.MATH(Table1[[#This Row],[year]],10)</f>
        <v>2000</v>
      </c>
      <c r="D2327" t="s">
        <v>41</v>
      </c>
      <c r="E2327" t="s">
        <v>17</v>
      </c>
      <c r="F2327">
        <v>2</v>
      </c>
      <c r="G2327">
        <v>0</v>
      </c>
      <c r="H2327" t="s">
        <v>224</v>
      </c>
      <c r="I2327" t="s">
        <v>607</v>
      </c>
      <c r="J2327" t="s">
        <v>41</v>
      </c>
      <c r="K2327" t="b">
        <v>0</v>
      </c>
      <c r="L2327">
        <v>2001</v>
      </c>
      <c r="M2327">
        <v>10581929774000</v>
      </c>
      <c r="N2327">
        <v>796064590549</v>
      </c>
      <c r="O2327" t="b">
        <v>1</v>
      </c>
      <c r="P2327">
        <v>1</v>
      </c>
      <c r="Q2327" t="str" cm="1">
        <f t="array" ref="Q2327">_xlfn.IFS(Table1[[#This Row],[Wealthier_Winner]]=-1,"Wealthier Nation Loses",Table1[[#This Row],[Wealthier_Winner]]=0,"Tie",Table1[[#This Row],[Wealthier_Winner]]=1,"Wealthier Nation Wins")</f>
        <v>Wealthier Nation Wins</v>
      </c>
    </row>
    <row r="2328" spans="1:17" x14ac:dyDescent="0.2">
      <c r="A2328" s="1">
        <v>3843</v>
      </c>
      <c r="B2328" s="2">
        <v>36954</v>
      </c>
      <c r="C2328" s="7">
        <f>_xlfn.FLOOR.MATH(Table1[[#This Row],[year]],10)</f>
        <v>2000</v>
      </c>
      <c r="D2328" t="s">
        <v>68</v>
      </c>
      <c r="E2328" t="s">
        <v>333</v>
      </c>
      <c r="F2328">
        <v>5</v>
      </c>
      <c r="G2328">
        <v>1</v>
      </c>
      <c r="H2328" t="s">
        <v>224</v>
      </c>
      <c r="I2328" t="s">
        <v>339</v>
      </c>
      <c r="J2328" t="s">
        <v>340</v>
      </c>
      <c r="K2328" t="b">
        <v>1</v>
      </c>
      <c r="L2328">
        <v>2001</v>
      </c>
      <c r="M2328">
        <v>17538461538</v>
      </c>
      <c r="N2328">
        <v>92783947368</v>
      </c>
      <c r="O2328" t="b">
        <v>1</v>
      </c>
      <c r="P2328">
        <v>-1</v>
      </c>
      <c r="Q2328" t="str" cm="1">
        <f t="array" ref="Q2328">_xlfn.IFS(Table1[[#This Row],[Wealthier_Winner]]=-1,"Wealthier Nation Loses",Table1[[#This Row],[Wealthier_Winner]]=0,"Tie",Table1[[#This Row],[Wealthier_Winner]]=1,"Wealthier Nation Wins")</f>
        <v>Wealthier Nation Loses</v>
      </c>
    </row>
    <row r="2329" spans="1:17" x14ac:dyDescent="0.2">
      <c r="A2329" s="1">
        <v>3847</v>
      </c>
      <c r="B2329" s="2">
        <v>36960</v>
      </c>
      <c r="C2329" s="7">
        <f>_xlfn.FLOOR.MATH(Table1[[#This Row],[year]],10)</f>
        <v>2000</v>
      </c>
      <c r="D2329" t="s">
        <v>54</v>
      </c>
      <c r="E2329" t="s">
        <v>462</v>
      </c>
      <c r="F2329">
        <v>4</v>
      </c>
      <c r="G2329">
        <v>0</v>
      </c>
      <c r="H2329" t="s">
        <v>224</v>
      </c>
      <c r="I2329" t="s">
        <v>285</v>
      </c>
      <c r="J2329" t="s">
        <v>54</v>
      </c>
      <c r="K2329" t="b">
        <v>0</v>
      </c>
      <c r="L2329">
        <v>2001</v>
      </c>
      <c r="M2329">
        <v>6507824829</v>
      </c>
      <c r="N2329">
        <v>3557341215</v>
      </c>
      <c r="O2329" t="b">
        <v>0</v>
      </c>
      <c r="P2329">
        <v>1</v>
      </c>
      <c r="Q2329" t="str" cm="1">
        <f t="array" ref="Q2329">_xlfn.IFS(Table1[[#This Row],[Wealthier_Winner]]=-1,"Wealthier Nation Loses",Table1[[#This Row],[Wealthier_Winner]]=0,"Tie",Table1[[#This Row],[Wealthier_Winner]]=1,"Wealthier Nation Wins")</f>
        <v>Wealthier Nation Wins</v>
      </c>
    </row>
    <row r="2330" spans="1:17" x14ac:dyDescent="0.2">
      <c r="A2330" s="1">
        <v>3848</v>
      </c>
      <c r="B2330" s="2">
        <v>36960</v>
      </c>
      <c r="C2330" s="7">
        <f>_xlfn.FLOOR.MATH(Table1[[#This Row],[year]],10)</f>
        <v>2000</v>
      </c>
      <c r="D2330" t="s">
        <v>342</v>
      </c>
      <c r="E2330" t="s">
        <v>274</v>
      </c>
      <c r="F2330">
        <v>0</v>
      </c>
      <c r="G2330">
        <v>2</v>
      </c>
      <c r="H2330" t="s">
        <v>224</v>
      </c>
      <c r="I2330" t="s">
        <v>344</v>
      </c>
      <c r="J2330" t="s">
        <v>342</v>
      </c>
      <c r="K2330" t="b">
        <v>0</v>
      </c>
      <c r="L2330">
        <v>2001</v>
      </c>
      <c r="M2330">
        <v>1681473893</v>
      </c>
      <c r="N2330">
        <v>15716361792</v>
      </c>
      <c r="O2330" t="b">
        <v>1</v>
      </c>
      <c r="P2330">
        <v>1</v>
      </c>
      <c r="Q2330" t="str" cm="1">
        <f t="array" ref="Q2330">_xlfn.IFS(Table1[[#This Row],[Wealthier_Winner]]=-1,"Wealthier Nation Loses",Table1[[#This Row],[Wealthier_Winner]]=0,"Tie",Table1[[#This Row],[Wealthier_Winner]]=1,"Wealthier Nation Wins")</f>
        <v>Wealthier Nation Wins</v>
      </c>
    </row>
    <row r="2331" spans="1:17" x14ac:dyDescent="0.2">
      <c r="A2331" s="1">
        <v>3849</v>
      </c>
      <c r="B2331" s="2">
        <v>36960</v>
      </c>
      <c r="C2331" s="7">
        <f>_xlfn.FLOOR.MATH(Table1[[#This Row],[year]],10)</f>
        <v>2000</v>
      </c>
      <c r="D2331" t="s">
        <v>273</v>
      </c>
      <c r="E2331" t="s">
        <v>286</v>
      </c>
      <c r="F2331">
        <v>2</v>
      </c>
      <c r="G2331">
        <v>0</v>
      </c>
      <c r="H2331" t="s">
        <v>224</v>
      </c>
      <c r="I2331" t="s">
        <v>616</v>
      </c>
      <c r="J2331" t="s">
        <v>273</v>
      </c>
      <c r="K2331" t="b">
        <v>0</v>
      </c>
      <c r="L2331">
        <v>2001</v>
      </c>
      <c r="M2331">
        <v>4094441301</v>
      </c>
      <c r="N2331">
        <v>34112093927</v>
      </c>
      <c r="O2331" t="b">
        <v>1</v>
      </c>
      <c r="P2331">
        <v>-1</v>
      </c>
      <c r="Q2331" t="str" cm="1">
        <f t="array" ref="Q2331">_xlfn.IFS(Table1[[#This Row],[Wealthier_Winner]]=-1,"Wealthier Nation Loses",Table1[[#This Row],[Wealthier_Winner]]=0,"Tie",Table1[[#This Row],[Wealthier_Winner]]=1,"Wealthier Nation Wins")</f>
        <v>Wealthier Nation Loses</v>
      </c>
    </row>
    <row r="2332" spans="1:17" x14ac:dyDescent="0.2">
      <c r="A2332" s="1">
        <v>3850</v>
      </c>
      <c r="B2332" s="2">
        <v>36961</v>
      </c>
      <c r="C2332" s="7">
        <f>_xlfn.FLOOR.MATH(Table1[[#This Row],[year]],10)</f>
        <v>2000</v>
      </c>
      <c r="D2332" t="s">
        <v>212</v>
      </c>
      <c r="E2332" t="s">
        <v>32</v>
      </c>
      <c r="F2332">
        <v>5</v>
      </c>
      <c r="G2332">
        <v>2</v>
      </c>
      <c r="H2332" t="s">
        <v>224</v>
      </c>
      <c r="I2332" t="s">
        <v>322</v>
      </c>
      <c r="J2332" t="s">
        <v>212</v>
      </c>
      <c r="K2332" t="b">
        <v>0</v>
      </c>
      <c r="L2332">
        <v>2001</v>
      </c>
      <c r="M2332">
        <v>96684636118</v>
      </c>
      <c r="N2332">
        <v>59413400923</v>
      </c>
      <c r="O2332" t="b">
        <v>0</v>
      </c>
      <c r="P2332">
        <v>1</v>
      </c>
      <c r="Q2332" t="str" cm="1">
        <f t="array" ref="Q2332">_xlfn.IFS(Table1[[#This Row],[Wealthier_Winner]]=-1,"Wealthier Nation Loses",Table1[[#This Row],[Wealthier_Winner]]=0,"Tie",Table1[[#This Row],[Wealthier_Winner]]=1,"Wealthier Nation Wins")</f>
        <v>Wealthier Nation Wins</v>
      </c>
    </row>
    <row r="2333" spans="1:17" x14ac:dyDescent="0.2">
      <c r="A2333" s="1">
        <v>3851</v>
      </c>
      <c r="B2333" s="2">
        <v>36961</v>
      </c>
      <c r="C2333" s="7">
        <f>_xlfn.FLOOR.MATH(Table1[[#This Row],[year]],10)</f>
        <v>2000</v>
      </c>
      <c r="D2333" t="s">
        <v>63</v>
      </c>
      <c r="E2333" t="s">
        <v>43</v>
      </c>
      <c r="F2333">
        <v>0</v>
      </c>
      <c r="G2333">
        <v>0</v>
      </c>
      <c r="H2333" t="s">
        <v>224</v>
      </c>
      <c r="I2333" t="s">
        <v>226</v>
      </c>
      <c r="J2333" t="s">
        <v>63</v>
      </c>
      <c r="K2333" t="b">
        <v>0</v>
      </c>
      <c r="L2333">
        <v>2001</v>
      </c>
      <c r="M2333">
        <v>5314872854</v>
      </c>
      <c r="N2333">
        <v>73557840064</v>
      </c>
      <c r="O2333" t="b">
        <v>1</v>
      </c>
      <c r="P2333">
        <v>0</v>
      </c>
      <c r="Q2333" t="str" cm="1">
        <f t="array" ref="Q2333">_xlfn.IFS(Table1[[#This Row],[Wealthier_Winner]]=-1,"Wealthier Nation Loses",Table1[[#This Row],[Wealthier_Winner]]=0,"Tie",Table1[[#This Row],[Wealthier_Winner]]=1,"Wealthier Nation Wins")</f>
        <v>Tie</v>
      </c>
    </row>
    <row r="2334" spans="1:17" x14ac:dyDescent="0.2">
      <c r="A2334" s="1">
        <v>3854</v>
      </c>
      <c r="B2334" s="2">
        <v>36961</v>
      </c>
      <c r="C2334" s="7">
        <f>_xlfn.FLOOR.MATH(Table1[[#This Row],[year]],10)</f>
        <v>2000</v>
      </c>
      <c r="D2334" t="s">
        <v>62</v>
      </c>
      <c r="E2334" t="s">
        <v>60</v>
      </c>
      <c r="F2334">
        <v>1</v>
      </c>
      <c r="G2334">
        <v>1</v>
      </c>
      <c r="H2334" t="s">
        <v>224</v>
      </c>
      <c r="I2334" t="s">
        <v>353</v>
      </c>
      <c r="J2334" t="s">
        <v>62</v>
      </c>
      <c r="K2334" t="b">
        <v>0</v>
      </c>
      <c r="L2334">
        <v>2001</v>
      </c>
      <c r="M2334">
        <v>2093498674</v>
      </c>
      <c r="N2334">
        <v>8936079117</v>
      </c>
      <c r="O2334" t="b">
        <v>1</v>
      </c>
      <c r="P2334">
        <v>0</v>
      </c>
      <c r="Q2334" t="str" cm="1">
        <f t="array" ref="Q2334">_xlfn.IFS(Table1[[#This Row],[Wealthier_Winner]]=-1,"Wealthier Nation Loses",Table1[[#This Row],[Wealthier_Winner]]=0,"Tie",Table1[[#This Row],[Wealthier_Winner]]=1,"Wealthier Nation Wins")</f>
        <v>Tie</v>
      </c>
    </row>
    <row r="2335" spans="1:17" x14ac:dyDescent="0.2">
      <c r="A2335" s="1">
        <v>3855</v>
      </c>
      <c r="B2335" s="2">
        <v>36961</v>
      </c>
      <c r="C2335" s="7">
        <f>_xlfn.FLOOR.MATH(Table1[[#This Row],[year]],10)</f>
        <v>2000</v>
      </c>
      <c r="D2335" t="s">
        <v>298</v>
      </c>
      <c r="E2335" t="s">
        <v>370</v>
      </c>
      <c r="F2335">
        <v>2</v>
      </c>
      <c r="G2335">
        <v>0</v>
      </c>
      <c r="H2335" t="s">
        <v>224</v>
      </c>
      <c r="I2335" t="s">
        <v>377</v>
      </c>
      <c r="J2335" t="s">
        <v>298</v>
      </c>
      <c r="K2335" t="b">
        <v>0</v>
      </c>
      <c r="L2335">
        <v>2001</v>
      </c>
      <c r="M2335">
        <v>6780750000</v>
      </c>
      <c r="N2335">
        <v>2498008664</v>
      </c>
      <c r="O2335" t="b">
        <v>1</v>
      </c>
      <c r="P2335">
        <v>1</v>
      </c>
      <c r="Q2335" t="str" cm="1">
        <f t="array" ref="Q2335">_xlfn.IFS(Table1[[#This Row],[Wealthier_Winner]]=-1,"Wealthier Nation Loses",Table1[[#This Row],[Wealthier_Winner]]=0,"Tie",Table1[[#This Row],[Wealthier_Winner]]=1,"Wealthier Nation Wins")</f>
        <v>Wealthier Nation Wins</v>
      </c>
    </row>
    <row r="2336" spans="1:17" x14ac:dyDescent="0.2">
      <c r="A2336" s="1">
        <v>3857</v>
      </c>
      <c r="B2336" s="2">
        <v>36970</v>
      </c>
      <c r="C2336" s="7">
        <f>_xlfn.FLOOR.MATH(Table1[[#This Row],[year]],10)</f>
        <v>2000</v>
      </c>
      <c r="D2336" t="s">
        <v>68</v>
      </c>
      <c r="E2336" t="s">
        <v>333</v>
      </c>
      <c r="F2336">
        <v>0</v>
      </c>
      <c r="G2336">
        <v>0</v>
      </c>
      <c r="H2336" t="s">
        <v>224</v>
      </c>
      <c r="I2336" t="s">
        <v>190</v>
      </c>
      <c r="J2336" t="s">
        <v>68</v>
      </c>
      <c r="K2336" t="b">
        <v>0</v>
      </c>
      <c r="L2336">
        <v>2001</v>
      </c>
      <c r="M2336">
        <v>17538461538</v>
      </c>
      <c r="N2336">
        <v>92783947368</v>
      </c>
      <c r="O2336" t="b">
        <v>1</v>
      </c>
      <c r="P2336">
        <v>0</v>
      </c>
      <c r="Q2336" t="str" cm="1">
        <f t="array" ref="Q2336">_xlfn.IFS(Table1[[#This Row],[Wealthier_Winner]]=-1,"Wealthier Nation Loses",Table1[[#This Row],[Wealthier_Winner]]=0,"Tie",Table1[[#This Row],[Wealthier_Winner]]=1,"Wealthier Nation Wins")</f>
        <v>Tie</v>
      </c>
    </row>
    <row r="2337" spans="1:17" x14ac:dyDescent="0.2">
      <c r="A2337" s="1">
        <v>3860</v>
      </c>
      <c r="B2337" s="2">
        <v>36974</v>
      </c>
      <c r="C2337" s="7">
        <f>_xlfn.FLOOR.MATH(Table1[[#This Row],[year]],10)</f>
        <v>2000</v>
      </c>
      <c r="D2337" t="s">
        <v>601</v>
      </c>
      <c r="E2337" t="s">
        <v>27</v>
      </c>
      <c r="F2337">
        <v>0</v>
      </c>
      <c r="G2337">
        <v>5</v>
      </c>
      <c r="H2337" t="s">
        <v>224</v>
      </c>
      <c r="I2337" t="s">
        <v>97</v>
      </c>
      <c r="J2337" t="s">
        <v>21</v>
      </c>
      <c r="K2337" t="b">
        <v>1</v>
      </c>
      <c r="L2337">
        <v>2001</v>
      </c>
      <c r="M2337">
        <v>1548265926</v>
      </c>
      <c r="N2337">
        <v>432536219668</v>
      </c>
      <c r="O2337" t="b">
        <v>1</v>
      </c>
      <c r="P2337">
        <v>1</v>
      </c>
      <c r="Q2337" t="str" cm="1">
        <f t="array" ref="Q2337">_xlfn.IFS(Table1[[#This Row],[Wealthier_Winner]]=-1,"Wealthier Nation Loses",Table1[[#This Row],[Wealthier_Winner]]=0,"Tie",Table1[[#This Row],[Wealthier_Winner]]=1,"Wealthier Nation Wins")</f>
        <v>Wealthier Nation Wins</v>
      </c>
    </row>
    <row r="2338" spans="1:17" x14ac:dyDescent="0.2">
      <c r="A2338" s="1">
        <v>3862</v>
      </c>
      <c r="B2338" s="2">
        <v>36974</v>
      </c>
      <c r="C2338" s="7">
        <f>_xlfn.FLOOR.MATH(Table1[[#This Row],[year]],10)</f>
        <v>2000</v>
      </c>
      <c r="D2338" t="s">
        <v>513</v>
      </c>
      <c r="E2338" t="s">
        <v>527</v>
      </c>
      <c r="F2338">
        <v>0</v>
      </c>
      <c r="G2338">
        <v>0</v>
      </c>
      <c r="H2338" t="s">
        <v>224</v>
      </c>
      <c r="I2338" t="s">
        <v>521</v>
      </c>
      <c r="J2338" t="s">
        <v>513</v>
      </c>
      <c r="K2338" t="b">
        <v>0</v>
      </c>
      <c r="L2338">
        <v>2001</v>
      </c>
      <c r="M2338">
        <v>5707616203</v>
      </c>
      <c r="N2338">
        <v>1480673594</v>
      </c>
      <c r="O2338" t="b">
        <v>1</v>
      </c>
      <c r="P2338">
        <v>0</v>
      </c>
      <c r="Q2338" t="str" cm="1">
        <f t="array" ref="Q2338">_xlfn.IFS(Table1[[#This Row],[Wealthier_Winner]]=-1,"Wealthier Nation Loses",Table1[[#This Row],[Wealthier_Winner]]=0,"Tie",Table1[[#This Row],[Wealthier_Winner]]=1,"Wealthier Nation Wins")</f>
        <v>Tie</v>
      </c>
    </row>
    <row r="2339" spans="1:17" x14ac:dyDescent="0.2">
      <c r="A2339" s="1">
        <v>3863</v>
      </c>
      <c r="B2339" s="2">
        <v>36974</v>
      </c>
      <c r="C2339" s="7">
        <f>_xlfn.FLOOR.MATH(Table1[[#This Row],[year]],10)</f>
        <v>2000</v>
      </c>
      <c r="D2339" t="s">
        <v>73</v>
      </c>
      <c r="E2339" t="s">
        <v>29</v>
      </c>
      <c r="F2339">
        <v>1</v>
      </c>
      <c r="G2339">
        <v>1</v>
      </c>
      <c r="H2339" t="s">
        <v>224</v>
      </c>
      <c r="I2339" t="s">
        <v>550</v>
      </c>
      <c r="J2339" t="s">
        <v>73</v>
      </c>
      <c r="K2339" t="b">
        <v>0</v>
      </c>
      <c r="L2339">
        <v>2001</v>
      </c>
      <c r="M2339">
        <v>5800615374</v>
      </c>
      <c r="N2339">
        <v>196477206829</v>
      </c>
      <c r="O2339" t="b">
        <v>1</v>
      </c>
      <c r="P2339">
        <v>0</v>
      </c>
      <c r="Q2339" t="str" cm="1">
        <f t="array" ref="Q2339">_xlfn.IFS(Table1[[#This Row],[Wealthier_Winner]]=-1,"Wealthier Nation Loses",Table1[[#This Row],[Wealthier_Winner]]=0,"Tie",Table1[[#This Row],[Wealthier_Winner]]=1,"Wealthier Nation Wins")</f>
        <v>Tie</v>
      </c>
    </row>
    <row r="2340" spans="1:17" x14ac:dyDescent="0.2">
      <c r="A2340" s="1">
        <v>3864</v>
      </c>
      <c r="B2340" s="2">
        <v>36974</v>
      </c>
      <c r="C2340" s="7">
        <f>_xlfn.FLOOR.MATH(Table1[[#This Row],[year]],10)</f>
        <v>2000</v>
      </c>
      <c r="D2340" t="s">
        <v>33</v>
      </c>
      <c r="E2340" t="s">
        <v>66</v>
      </c>
      <c r="F2340">
        <v>2</v>
      </c>
      <c r="G2340">
        <v>1</v>
      </c>
      <c r="H2340" t="s">
        <v>224</v>
      </c>
      <c r="I2340" t="s">
        <v>375</v>
      </c>
      <c r="J2340" t="s">
        <v>33</v>
      </c>
      <c r="K2340" t="b">
        <v>0</v>
      </c>
      <c r="L2340">
        <v>2001</v>
      </c>
      <c r="M2340">
        <v>14183446025</v>
      </c>
      <c r="N2340">
        <v>8323401820</v>
      </c>
      <c r="O2340" t="b">
        <v>0</v>
      </c>
      <c r="P2340">
        <v>1</v>
      </c>
      <c r="Q2340" t="str" cm="1">
        <f t="array" ref="Q2340">_xlfn.IFS(Table1[[#This Row],[Wealthier_Winner]]=-1,"Wealthier Nation Loses",Table1[[#This Row],[Wealthier_Winner]]=0,"Tie",Table1[[#This Row],[Wealthier_Winner]]=1,"Wealthier Nation Wins")</f>
        <v>Wealthier Nation Wins</v>
      </c>
    </row>
    <row r="2341" spans="1:17" x14ac:dyDescent="0.2">
      <c r="A2341" s="1">
        <v>3865</v>
      </c>
      <c r="B2341" s="2">
        <v>36974</v>
      </c>
      <c r="C2341" s="7">
        <f>_xlfn.FLOOR.MATH(Table1[[#This Row],[year]],10)</f>
        <v>2000</v>
      </c>
      <c r="D2341" t="s">
        <v>52</v>
      </c>
      <c r="E2341" t="s">
        <v>525</v>
      </c>
      <c r="F2341">
        <v>4</v>
      </c>
      <c r="G2341">
        <v>1</v>
      </c>
      <c r="H2341" t="s">
        <v>224</v>
      </c>
      <c r="I2341" t="s">
        <v>617</v>
      </c>
      <c r="J2341" t="s">
        <v>52</v>
      </c>
      <c r="K2341" t="b">
        <v>0</v>
      </c>
      <c r="L2341">
        <v>2001</v>
      </c>
      <c r="M2341">
        <v>23066883849</v>
      </c>
      <c r="N2341">
        <v>8190888739</v>
      </c>
      <c r="O2341" t="b">
        <v>1</v>
      </c>
      <c r="P2341">
        <v>1</v>
      </c>
      <c r="Q2341" t="str" cm="1">
        <f t="array" ref="Q2341">_xlfn.IFS(Table1[[#This Row],[Wealthier_Winner]]=-1,"Wealthier Nation Loses",Table1[[#This Row],[Wealthier_Winner]]=0,"Tie",Table1[[#This Row],[Wealthier_Winner]]=1,"Wealthier Nation Wins")</f>
        <v>Wealthier Nation Wins</v>
      </c>
    </row>
    <row r="2342" spans="1:17" x14ac:dyDescent="0.2">
      <c r="A2342" s="1">
        <v>3867</v>
      </c>
      <c r="B2342" s="2">
        <v>36974</v>
      </c>
      <c r="C2342" s="7">
        <f>_xlfn.FLOOR.MATH(Table1[[#This Row],[year]],10)</f>
        <v>2000</v>
      </c>
      <c r="D2342" t="s">
        <v>194</v>
      </c>
      <c r="E2342" t="s">
        <v>230</v>
      </c>
      <c r="F2342">
        <v>2</v>
      </c>
      <c r="G2342">
        <v>1</v>
      </c>
      <c r="H2342" t="s">
        <v>224</v>
      </c>
      <c r="I2342" t="s">
        <v>81</v>
      </c>
      <c r="J2342" t="s">
        <v>194</v>
      </c>
      <c r="K2342" t="b">
        <v>0</v>
      </c>
      <c r="L2342">
        <v>2001</v>
      </c>
      <c r="M2342">
        <v>1656171009068</v>
      </c>
      <c r="N2342">
        <v>129519672868</v>
      </c>
      <c r="O2342" t="b">
        <v>1</v>
      </c>
      <c r="P2342">
        <v>1</v>
      </c>
      <c r="Q2342" t="str" cm="1">
        <f t="array" ref="Q2342">_xlfn.IFS(Table1[[#This Row],[Wealthier_Winner]]=-1,"Wealthier Nation Loses",Table1[[#This Row],[Wealthier_Winner]]=0,"Tie",Table1[[#This Row],[Wealthier_Winner]]=1,"Wealthier Nation Wins")</f>
        <v>Wealthier Nation Wins</v>
      </c>
    </row>
    <row r="2343" spans="1:17" x14ac:dyDescent="0.2">
      <c r="A2343" s="1">
        <v>3868</v>
      </c>
      <c r="B2343" s="2">
        <v>36974</v>
      </c>
      <c r="C2343" s="7">
        <f>_xlfn.FLOOR.MATH(Table1[[#This Row],[year]],10)</f>
        <v>2000</v>
      </c>
      <c r="D2343" t="s">
        <v>16</v>
      </c>
      <c r="E2343" t="s">
        <v>373</v>
      </c>
      <c r="F2343">
        <v>2</v>
      </c>
      <c r="G2343">
        <v>1</v>
      </c>
      <c r="H2343" t="s">
        <v>224</v>
      </c>
      <c r="I2343" t="s">
        <v>618</v>
      </c>
      <c r="J2343" t="s">
        <v>16</v>
      </c>
      <c r="K2343" t="b">
        <v>0</v>
      </c>
      <c r="L2343">
        <v>2001</v>
      </c>
      <c r="M2343">
        <v>1966381496641</v>
      </c>
      <c r="N2343">
        <v>4059064033</v>
      </c>
      <c r="O2343" t="b">
        <v>1</v>
      </c>
      <c r="P2343">
        <v>1</v>
      </c>
      <c r="Q2343" t="str" cm="1">
        <f t="array" ref="Q2343">_xlfn.IFS(Table1[[#This Row],[Wealthier_Winner]]=-1,"Wealthier Nation Loses",Table1[[#This Row],[Wealthier_Winner]]=0,"Tie",Table1[[#This Row],[Wealthier_Winner]]=1,"Wealthier Nation Wins")</f>
        <v>Wealthier Nation Wins</v>
      </c>
    </row>
    <row r="2344" spans="1:17" x14ac:dyDescent="0.2">
      <c r="A2344" s="1">
        <v>3869</v>
      </c>
      <c r="B2344" s="2">
        <v>36974</v>
      </c>
      <c r="C2344" s="7">
        <f>_xlfn.FLOOR.MATH(Table1[[#This Row],[year]],10)</f>
        <v>2000</v>
      </c>
      <c r="D2344" t="s">
        <v>30</v>
      </c>
      <c r="E2344" t="s">
        <v>523</v>
      </c>
      <c r="F2344">
        <v>1</v>
      </c>
      <c r="G2344">
        <v>1</v>
      </c>
      <c r="H2344" t="s">
        <v>224</v>
      </c>
      <c r="I2344" t="s">
        <v>297</v>
      </c>
      <c r="J2344" t="s">
        <v>30</v>
      </c>
      <c r="K2344" t="b">
        <v>0</v>
      </c>
      <c r="L2344">
        <v>2001</v>
      </c>
      <c r="M2344">
        <v>53800068065</v>
      </c>
      <c r="N2344">
        <v>12260761329</v>
      </c>
      <c r="O2344" t="b">
        <v>1</v>
      </c>
      <c r="P2344">
        <v>0</v>
      </c>
      <c r="Q2344" t="str" cm="1">
        <f t="array" ref="Q2344">_xlfn.IFS(Table1[[#This Row],[Wealthier_Winner]]=-1,"Wealthier Nation Loses",Table1[[#This Row],[Wealthier_Winner]]=0,"Tie",Table1[[#This Row],[Wealthier_Winner]]=1,"Wealthier Nation Wins")</f>
        <v>Tie</v>
      </c>
    </row>
    <row r="2345" spans="1:17" x14ac:dyDescent="0.2">
      <c r="A2345" s="1">
        <v>3870</v>
      </c>
      <c r="B2345" s="2">
        <v>36974</v>
      </c>
      <c r="C2345" s="7">
        <f>_xlfn.FLOOR.MATH(Table1[[#This Row],[year]],10)</f>
        <v>2000</v>
      </c>
      <c r="D2345" t="s">
        <v>232</v>
      </c>
      <c r="E2345" t="s">
        <v>447</v>
      </c>
      <c r="F2345">
        <v>0</v>
      </c>
      <c r="G2345">
        <v>2</v>
      </c>
      <c r="H2345" t="s">
        <v>224</v>
      </c>
      <c r="I2345" t="s">
        <v>232</v>
      </c>
      <c r="J2345" t="s">
        <v>232</v>
      </c>
      <c r="K2345" t="b">
        <v>0</v>
      </c>
      <c r="L2345">
        <v>2001</v>
      </c>
      <c r="M2345">
        <v>21387533703</v>
      </c>
      <c r="N2345">
        <v>1160268212</v>
      </c>
      <c r="O2345" t="b">
        <v>1</v>
      </c>
      <c r="P2345">
        <v>-1</v>
      </c>
      <c r="Q2345" t="str" cm="1">
        <f t="array" ref="Q2345">_xlfn.IFS(Table1[[#This Row],[Wealthier_Winner]]=-1,"Wealthier Nation Loses",Table1[[#This Row],[Wealthier_Winner]]=0,"Tie",Table1[[#This Row],[Wealthier_Winner]]=1,"Wealthier Nation Wins")</f>
        <v>Wealthier Nation Loses</v>
      </c>
    </row>
    <row r="2346" spans="1:17" x14ac:dyDescent="0.2">
      <c r="A2346" s="1">
        <v>3871</v>
      </c>
      <c r="B2346" s="2">
        <v>36974</v>
      </c>
      <c r="C2346" s="7">
        <f>_xlfn.FLOOR.MATH(Table1[[#This Row],[year]],10)</f>
        <v>2000</v>
      </c>
      <c r="D2346" t="s">
        <v>303</v>
      </c>
      <c r="E2346" t="s">
        <v>36</v>
      </c>
      <c r="F2346">
        <v>0</v>
      </c>
      <c r="G2346">
        <v>5</v>
      </c>
      <c r="H2346" t="s">
        <v>224</v>
      </c>
      <c r="I2346" t="s">
        <v>399</v>
      </c>
      <c r="J2346" t="s">
        <v>303</v>
      </c>
      <c r="K2346" t="b">
        <v>0</v>
      </c>
      <c r="L2346">
        <v>2001</v>
      </c>
      <c r="M2346">
        <v>4070867133</v>
      </c>
      <c r="N2346">
        <v>164881594415</v>
      </c>
      <c r="O2346" t="b">
        <v>1</v>
      </c>
      <c r="P2346">
        <v>1</v>
      </c>
      <c r="Q2346" t="str" cm="1">
        <f t="array" ref="Q2346">_xlfn.IFS(Table1[[#This Row],[Wealthier_Winner]]=-1,"Wealthier Nation Loses",Table1[[#This Row],[Wealthier_Winner]]=0,"Tie",Table1[[#This Row],[Wealthier_Winner]]=1,"Wealthier Nation Wins")</f>
        <v>Wealthier Nation Wins</v>
      </c>
    </row>
    <row r="2347" spans="1:17" x14ac:dyDescent="0.2">
      <c r="A2347" s="1">
        <v>3873</v>
      </c>
      <c r="B2347" s="2">
        <v>36974</v>
      </c>
      <c r="C2347" s="7">
        <f>_xlfn.FLOOR.MATH(Table1[[#This Row],[year]],10)</f>
        <v>2000</v>
      </c>
      <c r="D2347" t="s">
        <v>42</v>
      </c>
      <c r="E2347" t="s">
        <v>58</v>
      </c>
      <c r="F2347">
        <v>2</v>
      </c>
      <c r="G2347">
        <v>3</v>
      </c>
      <c r="H2347" t="s">
        <v>224</v>
      </c>
      <c r="I2347" t="s">
        <v>262</v>
      </c>
      <c r="J2347" t="s">
        <v>42</v>
      </c>
      <c r="K2347" t="b">
        <v>0</v>
      </c>
      <c r="L2347">
        <v>2001</v>
      </c>
      <c r="M2347">
        <v>174239354070</v>
      </c>
      <c r="N2347">
        <v>191823200371</v>
      </c>
      <c r="O2347" t="b">
        <v>0</v>
      </c>
      <c r="P2347">
        <v>1</v>
      </c>
      <c r="Q2347" t="str" cm="1">
        <f t="array" ref="Q2347">_xlfn.IFS(Table1[[#This Row],[Wealthier_Winner]]=-1,"Wealthier Nation Loses",Table1[[#This Row],[Wealthier_Winner]]=0,"Tie",Table1[[#This Row],[Wealthier_Winner]]=1,"Wealthier Nation Wins")</f>
        <v>Wealthier Nation Wins</v>
      </c>
    </row>
    <row r="2348" spans="1:17" x14ac:dyDescent="0.2">
      <c r="A2348" s="1">
        <v>3874</v>
      </c>
      <c r="B2348" s="2">
        <v>36974</v>
      </c>
      <c r="C2348" s="7">
        <f>_xlfn.FLOOR.MATH(Table1[[#This Row],[year]],10)</f>
        <v>2000</v>
      </c>
      <c r="D2348" t="s">
        <v>44</v>
      </c>
      <c r="E2348" t="s">
        <v>18</v>
      </c>
      <c r="F2348">
        <v>0</v>
      </c>
      <c r="G2348">
        <v>2</v>
      </c>
      <c r="H2348" t="s">
        <v>224</v>
      </c>
      <c r="I2348" t="s">
        <v>425</v>
      </c>
      <c r="J2348" t="s">
        <v>44</v>
      </c>
      <c r="K2348" t="b">
        <v>0</v>
      </c>
      <c r="L2348">
        <v>2001</v>
      </c>
      <c r="M2348">
        <v>40395116581</v>
      </c>
      <c r="N2348">
        <v>1172041488805</v>
      </c>
      <c r="O2348" t="b">
        <v>1</v>
      </c>
      <c r="P2348">
        <v>1</v>
      </c>
      <c r="Q2348" t="str" cm="1">
        <f t="array" ref="Q2348">_xlfn.IFS(Table1[[#This Row],[Wealthier_Winner]]=-1,"Wealthier Nation Loses",Table1[[#This Row],[Wealthier_Winner]]=0,"Tie",Table1[[#This Row],[Wealthier_Winner]]=1,"Wealthier Nation Wins")</f>
        <v>Wealthier Nation Wins</v>
      </c>
    </row>
    <row r="2349" spans="1:17" x14ac:dyDescent="0.2">
      <c r="A2349" s="1">
        <v>3875</v>
      </c>
      <c r="B2349" s="2">
        <v>36974</v>
      </c>
      <c r="C2349" s="7">
        <f>_xlfn.FLOOR.MATH(Table1[[#This Row],[year]],10)</f>
        <v>2000</v>
      </c>
      <c r="D2349" t="s">
        <v>196</v>
      </c>
      <c r="E2349" t="s">
        <v>55</v>
      </c>
      <c r="F2349">
        <v>1</v>
      </c>
      <c r="G2349">
        <v>1</v>
      </c>
      <c r="H2349" t="s">
        <v>224</v>
      </c>
      <c r="I2349" t="s">
        <v>180</v>
      </c>
      <c r="J2349" t="s">
        <v>196</v>
      </c>
      <c r="K2349" t="b">
        <v>0</v>
      </c>
      <c r="L2349">
        <v>2001</v>
      </c>
      <c r="M2349">
        <v>306602070620</v>
      </c>
      <c r="N2349">
        <v>20668868706</v>
      </c>
      <c r="O2349" t="b">
        <v>1</v>
      </c>
      <c r="P2349">
        <v>0</v>
      </c>
      <c r="Q2349" t="str" cm="1">
        <f t="array" ref="Q2349">_xlfn.IFS(Table1[[#This Row],[Wealthier_Winner]]=-1,"Wealthier Nation Loses",Table1[[#This Row],[Wealthier_Winner]]=0,"Tie",Table1[[#This Row],[Wealthier_Winner]]=1,"Wealthier Nation Wins")</f>
        <v>Tie</v>
      </c>
    </row>
    <row r="2350" spans="1:17" x14ac:dyDescent="0.2">
      <c r="A2350" s="1">
        <v>3877</v>
      </c>
      <c r="B2350" s="2">
        <v>36974</v>
      </c>
      <c r="C2350" s="7">
        <f>_xlfn.FLOOR.MATH(Table1[[#This Row],[year]],10)</f>
        <v>2000</v>
      </c>
      <c r="D2350" t="s">
        <v>61</v>
      </c>
      <c r="E2350" t="s">
        <v>46</v>
      </c>
      <c r="F2350">
        <v>1</v>
      </c>
      <c r="G2350">
        <v>1</v>
      </c>
      <c r="H2350" t="s">
        <v>224</v>
      </c>
      <c r="I2350" t="s">
        <v>505</v>
      </c>
      <c r="J2350" t="s">
        <v>506</v>
      </c>
      <c r="K2350" t="b">
        <v>0</v>
      </c>
      <c r="L2350">
        <v>2001</v>
      </c>
      <c r="M2350">
        <v>13599378661</v>
      </c>
      <c r="N2350">
        <v>286582672434</v>
      </c>
      <c r="O2350" t="b">
        <v>1</v>
      </c>
      <c r="P2350">
        <v>0</v>
      </c>
      <c r="Q2350" t="str" cm="1">
        <f t="array" ref="Q2350">_xlfn.IFS(Table1[[#This Row],[Wealthier_Winner]]=-1,"Wealthier Nation Loses",Table1[[#This Row],[Wealthier_Winner]]=0,"Tie",Table1[[#This Row],[Wealthier_Winner]]=1,"Wealthier Nation Wins")</f>
        <v>Tie</v>
      </c>
    </row>
    <row r="2351" spans="1:17" x14ac:dyDescent="0.2">
      <c r="A2351" s="1">
        <v>3878</v>
      </c>
      <c r="B2351" s="2">
        <v>36974</v>
      </c>
      <c r="C2351" s="7">
        <f>_xlfn.FLOOR.MATH(Table1[[#This Row],[year]],10)</f>
        <v>2000</v>
      </c>
      <c r="D2351" t="s">
        <v>21</v>
      </c>
      <c r="E2351" t="s">
        <v>503</v>
      </c>
      <c r="F2351">
        <v>5</v>
      </c>
      <c r="G2351">
        <v>0</v>
      </c>
      <c r="H2351" t="s">
        <v>224</v>
      </c>
      <c r="I2351" t="s">
        <v>101</v>
      </c>
      <c r="J2351" t="s">
        <v>21</v>
      </c>
      <c r="K2351" t="b">
        <v>0</v>
      </c>
      <c r="L2351">
        <v>2001</v>
      </c>
      <c r="M2351">
        <v>627798682378</v>
      </c>
      <c r="N2351">
        <v>2491800558</v>
      </c>
      <c r="O2351" t="b">
        <v>1</v>
      </c>
      <c r="P2351">
        <v>1</v>
      </c>
      <c r="Q2351" t="str" cm="1">
        <f t="array" ref="Q2351">_xlfn.IFS(Table1[[#This Row],[Wealthier_Winner]]=-1,"Wealthier Nation Loses",Table1[[#This Row],[Wealthier_Winner]]=0,"Tie",Table1[[#This Row],[Wealthier_Winner]]=1,"Wealthier Nation Wins")</f>
        <v>Wealthier Nation Wins</v>
      </c>
    </row>
    <row r="2352" spans="1:17" x14ac:dyDescent="0.2">
      <c r="A2352" s="1">
        <v>3879</v>
      </c>
      <c r="B2352" s="2">
        <v>36974</v>
      </c>
      <c r="C2352" s="7">
        <f>_xlfn.FLOOR.MATH(Table1[[#This Row],[year]],10)</f>
        <v>2000</v>
      </c>
      <c r="D2352" t="s">
        <v>25</v>
      </c>
      <c r="E2352" t="s">
        <v>502</v>
      </c>
      <c r="F2352">
        <v>1</v>
      </c>
      <c r="G2352">
        <v>0</v>
      </c>
      <c r="H2352" t="s">
        <v>224</v>
      </c>
      <c r="I2352" t="s">
        <v>317</v>
      </c>
      <c r="J2352" t="s">
        <v>25</v>
      </c>
      <c r="K2352" t="b">
        <v>0</v>
      </c>
      <c r="L2352">
        <v>2001</v>
      </c>
      <c r="M2352">
        <v>242497797484</v>
      </c>
      <c r="N2352">
        <v>3709636030</v>
      </c>
      <c r="O2352" t="b">
        <v>1</v>
      </c>
      <c r="P2352">
        <v>1</v>
      </c>
      <c r="Q2352" t="str" cm="1">
        <f t="array" ref="Q2352">_xlfn.IFS(Table1[[#This Row],[Wealthier_Winner]]=-1,"Wealthier Nation Loses",Table1[[#This Row],[Wealthier_Winner]]=0,"Tie",Table1[[#This Row],[Wealthier_Winner]]=1,"Wealthier Nation Wins")</f>
        <v>Wealthier Nation Wins</v>
      </c>
    </row>
    <row r="2353" spans="1:17" x14ac:dyDescent="0.2">
      <c r="A2353" s="1">
        <v>3881</v>
      </c>
      <c r="B2353" s="2">
        <v>36974</v>
      </c>
      <c r="C2353" s="7">
        <f>_xlfn.FLOOR.MATH(Table1[[#This Row],[year]],10)</f>
        <v>2000</v>
      </c>
      <c r="D2353" t="s">
        <v>64</v>
      </c>
      <c r="E2353" t="s">
        <v>510</v>
      </c>
      <c r="F2353">
        <v>0</v>
      </c>
      <c r="G2353">
        <v>0</v>
      </c>
      <c r="H2353" t="s">
        <v>224</v>
      </c>
      <c r="I2353" t="s">
        <v>423</v>
      </c>
      <c r="J2353" t="s">
        <v>64</v>
      </c>
      <c r="K2353" t="b">
        <v>0</v>
      </c>
      <c r="L2353">
        <v>2001</v>
      </c>
      <c r="M2353">
        <v>39309580983</v>
      </c>
      <c r="N2353">
        <v>12354820143</v>
      </c>
      <c r="O2353" t="b">
        <v>1</v>
      </c>
      <c r="P2353">
        <v>0</v>
      </c>
      <c r="Q2353" t="str" cm="1">
        <f t="array" ref="Q2353">_xlfn.IFS(Table1[[#This Row],[Wealthier_Winner]]=-1,"Wealthier Nation Loses",Table1[[#This Row],[Wealthier_Winner]]=0,"Tie",Table1[[#This Row],[Wealthier_Winner]]=1,"Wealthier Nation Wins")</f>
        <v>Tie</v>
      </c>
    </row>
    <row r="2354" spans="1:17" x14ac:dyDescent="0.2">
      <c r="A2354" s="1">
        <v>3882</v>
      </c>
      <c r="B2354" s="2">
        <v>36975</v>
      </c>
      <c r="C2354" s="7">
        <f>_xlfn.FLOOR.MATH(Table1[[#This Row],[year]],10)</f>
        <v>2000</v>
      </c>
      <c r="D2354" t="s">
        <v>56</v>
      </c>
      <c r="E2354" t="s">
        <v>59</v>
      </c>
      <c r="F2354">
        <v>3</v>
      </c>
      <c r="G2354">
        <v>0</v>
      </c>
      <c r="H2354" t="s">
        <v>224</v>
      </c>
      <c r="I2354" t="s">
        <v>600</v>
      </c>
      <c r="J2354" t="s">
        <v>56</v>
      </c>
      <c r="K2354" t="b">
        <v>0</v>
      </c>
      <c r="L2354">
        <v>2001</v>
      </c>
      <c r="M2354">
        <v>15976174336</v>
      </c>
      <c r="N2354">
        <v>8824849191</v>
      </c>
      <c r="O2354" t="b">
        <v>0</v>
      </c>
      <c r="P2354">
        <v>1</v>
      </c>
      <c r="Q2354" t="str" cm="1">
        <f t="array" ref="Q2354">_xlfn.IFS(Table1[[#This Row],[Wealthier_Winner]]=-1,"Wealthier Nation Loses",Table1[[#This Row],[Wealthier_Winner]]=0,"Tie",Table1[[#This Row],[Wealthier_Winner]]=1,"Wealthier Nation Wins")</f>
        <v>Wealthier Nation Wins</v>
      </c>
    </row>
    <row r="2355" spans="1:17" x14ac:dyDescent="0.2">
      <c r="A2355" s="1">
        <v>3884</v>
      </c>
      <c r="B2355" s="2">
        <v>36975</v>
      </c>
      <c r="C2355" s="7">
        <f>_xlfn.FLOOR.MATH(Table1[[#This Row],[year]],10)</f>
        <v>2000</v>
      </c>
      <c r="D2355" t="s">
        <v>17</v>
      </c>
      <c r="E2355" t="s">
        <v>49</v>
      </c>
      <c r="F2355">
        <v>4</v>
      </c>
      <c r="G2355">
        <v>0</v>
      </c>
      <c r="H2355" t="s">
        <v>224</v>
      </c>
      <c r="I2355" t="s">
        <v>83</v>
      </c>
      <c r="J2355" t="s">
        <v>17</v>
      </c>
      <c r="K2355" t="b">
        <v>0</v>
      </c>
      <c r="L2355">
        <v>2001</v>
      </c>
      <c r="M2355">
        <v>796064590549</v>
      </c>
      <c r="N2355">
        <v>9194727831</v>
      </c>
      <c r="O2355" t="b">
        <v>1</v>
      </c>
      <c r="P2355">
        <v>1</v>
      </c>
      <c r="Q2355" t="str" cm="1">
        <f t="array" ref="Q2355">_xlfn.IFS(Table1[[#This Row],[Wealthier_Winner]]=-1,"Wealthier Nation Loses",Table1[[#This Row],[Wealthier_Winner]]=0,"Tie",Table1[[#This Row],[Wealthier_Winner]]=1,"Wealthier Nation Wins")</f>
        <v>Wealthier Nation Wins</v>
      </c>
    </row>
    <row r="2356" spans="1:17" x14ac:dyDescent="0.2">
      <c r="A2356" s="1">
        <v>3886</v>
      </c>
      <c r="B2356" s="2">
        <v>36977</v>
      </c>
      <c r="C2356" s="7">
        <f>_xlfn.FLOOR.MATH(Table1[[#This Row],[year]],10)</f>
        <v>2000</v>
      </c>
      <c r="D2356" t="s">
        <v>15</v>
      </c>
      <c r="E2356" t="s">
        <v>47</v>
      </c>
      <c r="F2356">
        <v>2</v>
      </c>
      <c r="G2356">
        <v>0</v>
      </c>
      <c r="H2356" t="s">
        <v>224</v>
      </c>
      <c r="I2356" t="s">
        <v>241</v>
      </c>
      <c r="J2356" t="s">
        <v>15</v>
      </c>
      <c r="K2356" t="b">
        <v>0</v>
      </c>
      <c r="L2356">
        <v>2001</v>
      </c>
      <c r="M2356">
        <v>98200641203</v>
      </c>
      <c r="N2356">
        <v>8141516928</v>
      </c>
      <c r="O2356" t="b">
        <v>1</v>
      </c>
      <c r="P2356">
        <v>1</v>
      </c>
      <c r="Q2356" t="str" cm="1">
        <f t="array" ref="Q2356">_xlfn.IFS(Table1[[#This Row],[Wealthier_Winner]]=-1,"Wealthier Nation Loses",Table1[[#This Row],[Wealthier_Winner]]=0,"Tie",Table1[[#This Row],[Wealthier_Winner]]=1,"Wealthier Nation Wins")</f>
        <v>Wealthier Nation Wins</v>
      </c>
    </row>
    <row r="2357" spans="1:17" x14ac:dyDescent="0.2">
      <c r="A2357" s="1">
        <v>3887</v>
      </c>
      <c r="B2357" s="2">
        <v>36977</v>
      </c>
      <c r="C2357" s="7">
        <f>_xlfn.FLOOR.MATH(Table1[[#This Row],[year]],10)</f>
        <v>2000</v>
      </c>
      <c r="D2357" t="s">
        <v>31</v>
      </c>
      <c r="E2357" t="s">
        <v>14</v>
      </c>
      <c r="F2357">
        <v>3</v>
      </c>
      <c r="G2357">
        <v>1</v>
      </c>
      <c r="H2357" t="s">
        <v>224</v>
      </c>
      <c r="I2357" t="s">
        <v>242</v>
      </c>
      <c r="J2357" t="s">
        <v>31</v>
      </c>
      <c r="K2357" t="b">
        <v>0</v>
      </c>
      <c r="L2357">
        <v>2001</v>
      </c>
      <c r="M2357">
        <v>52030158775</v>
      </c>
      <c r="N2357">
        <v>71574739561</v>
      </c>
      <c r="O2357" t="b">
        <v>0</v>
      </c>
      <c r="P2357">
        <v>-1</v>
      </c>
      <c r="Q2357" t="str" cm="1">
        <f t="array" ref="Q2357">_xlfn.IFS(Table1[[#This Row],[Wealthier_Winner]]=-1,"Wealthier Nation Loses",Table1[[#This Row],[Wealthier_Winner]]=0,"Tie",Table1[[#This Row],[Wealthier_Winner]]=1,"Wealthier Nation Wins")</f>
        <v>Wealthier Nation Loses</v>
      </c>
    </row>
    <row r="2358" spans="1:17" x14ac:dyDescent="0.2">
      <c r="A2358" s="1">
        <v>3888</v>
      </c>
      <c r="B2358" s="2">
        <v>36978</v>
      </c>
      <c r="C2358" s="7">
        <f>_xlfn.FLOOR.MATH(Table1[[#This Row],[year]],10)</f>
        <v>2000</v>
      </c>
      <c r="D2358" t="s">
        <v>373</v>
      </c>
      <c r="E2358" t="s">
        <v>194</v>
      </c>
      <c r="F2358">
        <v>1</v>
      </c>
      <c r="G2358">
        <v>3</v>
      </c>
      <c r="H2358" t="s">
        <v>224</v>
      </c>
      <c r="I2358" t="s">
        <v>374</v>
      </c>
      <c r="J2358" t="s">
        <v>373</v>
      </c>
      <c r="K2358" t="b">
        <v>0</v>
      </c>
      <c r="L2358">
        <v>2001</v>
      </c>
      <c r="M2358">
        <v>4059064033</v>
      </c>
      <c r="N2358">
        <v>1656171009068</v>
      </c>
      <c r="O2358" t="b">
        <v>1</v>
      </c>
      <c r="P2358">
        <v>1</v>
      </c>
      <c r="Q2358" t="str" cm="1">
        <f t="array" ref="Q2358">_xlfn.IFS(Table1[[#This Row],[Wealthier_Winner]]=-1,"Wealthier Nation Loses",Table1[[#This Row],[Wealthier_Winner]]=0,"Tie",Table1[[#This Row],[Wealthier_Winner]]=1,"Wealthier Nation Wins")</f>
        <v>Wealthier Nation Wins</v>
      </c>
    </row>
    <row r="2359" spans="1:17" x14ac:dyDescent="0.2">
      <c r="A2359" s="1">
        <v>3890</v>
      </c>
      <c r="B2359" s="2">
        <v>36978</v>
      </c>
      <c r="C2359" s="7">
        <f>_xlfn.FLOOR.MATH(Table1[[#This Row],[year]],10)</f>
        <v>2000</v>
      </c>
      <c r="D2359" t="s">
        <v>19</v>
      </c>
      <c r="E2359" t="s">
        <v>258</v>
      </c>
      <c r="F2359">
        <v>5</v>
      </c>
      <c r="G2359">
        <v>0</v>
      </c>
      <c r="H2359" t="s">
        <v>224</v>
      </c>
      <c r="I2359" t="s">
        <v>93</v>
      </c>
      <c r="J2359" t="s">
        <v>19</v>
      </c>
      <c r="K2359" t="b">
        <v>0</v>
      </c>
      <c r="L2359">
        <v>2001</v>
      </c>
      <c r="M2359">
        <v>268696750000</v>
      </c>
      <c r="N2359">
        <v>122911036746</v>
      </c>
      <c r="O2359" t="b">
        <v>1</v>
      </c>
      <c r="P2359">
        <v>1</v>
      </c>
      <c r="Q2359" t="str" cm="1">
        <f t="array" ref="Q2359">_xlfn.IFS(Table1[[#This Row],[Wealthier_Winner]]=-1,"Wealthier Nation Loses",Table1[[#This Row],[Wealthier_Winner]]=0,"Tie",Table1[[#This Row],[Wealthier_Winner]]=1,"Wealthier Nation Wins")</f>
        <v>Wealthier Nation Wins</v>
      </c>
    </row>
    <row r="2360" spans="1:17" x14ac:dyDescent="0.2">
      <c r="A2360" s="1">
        <v>3891</v>
      </c>
      <c r="B2360" s="2">
        <v>36978</v>
      </c>
      <c r="C2360" s="7">
        <f>_xlfn.FLOOR.MATH(Table1[[#This Row],[year]],10)</f>
        <v>2000</v>
      </c>
      <c r="D2360" t="s">
        <v>29</v>
      </c>
      <c r="E2360" t="s">
        <v>22</v>
      </c>
      <c r="F2360">
        <v>2</v>
      </c>
      <c r="G2360">
        <v>1</v>
      </c>
      <c r="H2360" t="s">
        <v>224</v>
      </c>
      <c r="I2360" t="s">
        <v>270</v>
      </c>
      <c r="J2360" t="s">
        <v>29</v>
      </c>
      <c r="K2360" t="b">
        <v>0</v>
      </c>
      <c r="L2360">
        <v>2001</v>
      </c>
      <c r="M2360">
        <v>196477206829</v>
      </c>
      <c r="N2360">
        <v>135002039612</v>
      </c>
      <c r="O2360" t="b">
        <v>0</v>
      </c>
      <c r="P2360">
        <v>1</v>
      </c>
      <c r="Q2360" t="str" cm="1">
        <f t="array" ref="Q2360">_xlfn.IFS(Table1[[#This Row],[Wealthier_Winner]]=-1,"Wealthier Nation Loses",Table1[[#This Row],[Wealthier_Winner]]=0,"Tie",Table1[[#This Row],[Wealthier_Winner]]=1,"Wealthier Nation Wins")</f>
        <v>Wealthier Nation Wins</v>
      </c>
    </row>
    <row r="2361" spans="1:17" x14ac:dyDescent="0.2">
      <c r="A2361" s="1">
        <v>3892</v>
      </c>
      <c r="B2361" s="2">
        <v>36978</v>
      </c>
      <c r="C2361" s="7">
        <f>_xlfn.FLOOR.MATH(Table1[[#This Row],[year]],10)</f>
        <v>2000</v>
      </c>
      <c r="D2361" t="s">
        <v>510</v>
      </c>
      <c r="E2361" t="s">
        <v>42</v>
      </c>
      <c r="F2361">
        <v>2</v>
      </c>
      <c r="G2361">
        <v>1</v>
      </c>
      <c r="H2361" t="s">
        <v>224</v>
      </c>
      <c r="I2361" t="s">
        <v>522</v>
      </c>
      <c r="J2361" t="s">
        <v>510</v>
      </c>
      <c r="K2361" t="b">
        <v>0</v>
      </c>
      <c r="L2361">
        <v>2001</v>
      </c>
      <c r="M2361">
        <v>12354820143</v>
      </c>
      <c r="N2361">
        <v>174239354070</v>
      </c>
      <c r="O2361" t="b">
        <v>1</v>
      </c>
      <c r="P2361">
        <v>-1</v>
      </c>
      <c r="Q2361" t="str" cm="1">
        <f t="array" ref="Q2361">_xlfn.IFS(Table1[[#This Row],[Wealthier_Winner]]=-1,"Wealthier Nation Loses",Table1[[#This Row],[Wealthier_Winner]]=0,"Tie",Table1[[#This Row],[Wealthier_Winner]]=1,"Wealthier Nation Wins")</f>
        <v>Wealthier Nation Loses</v>
      </c>
    </row>
    <row r="2362" spans="1:17" x14ac:dyDescent="0.2">
      <c r="A2362" s="1">
        <v>3894</v>
      </c>
      <c r="B2362" s="2">
        <v>36978</v>
      </c>
      <c r="C2362" s="7">
        <f>_xlfn.FLOOR.MATH(Table1[[#This Row],[year]],10)</f>
        <v>2000</v>
      </c>
      <c r="D2362" t="s">
        <v>351</v>
      </c>
      <c r="E2362" t="s">
        <v>476</v>
      </c>
      <c r="F2362">
        <v>2</v>
      </c>
      <c r="G2362">
        <v>2</v>
      </c>
      <c r="H2362" t="s">
        <v>224</v>
      </c>
      <c r="I2362" t="s">
        <v>352</v>
      </c>
      <c r="J2362" t="s">
        <v>351</v>
      </c>
      <c r="K2362" t="b">
        <v>0</v>
      </c>
      <c r="L2362">
        <v>2001</v>
      </c>
      <c r="M2362">
        <v>10397898907</v>
      </c>
      <c r="N2362">
        <v>6250218422</v>
      </c>
      <c r="O2362" t="b">
        <v>0</v>
      </c>
      <c r="P2362">
        <v>0</v>
      </c>
      <c r="Q2362" t="str" cm="1">
        <f t="array" ref="Q2362">_xlfn.IFS(Table1[[#This Row],[Wealthier_Winner]]=-1,"Wealthier Nation Loses",Table1[[#This Row],[Wealthier_Winner]]=0,"Tie",Table1[[#This Row],[Wealthier_Winner]]=1,"Wealthier Nation Wins")</f>
        <v>Tie</v>
      </c>
    </row>
    <row r="2363" spans="1:17" x14ac:dyDescent="0.2">
      <c r="A2363" s="1">
        <v>3896</v>
      </c>
      <c r="B2363" s="2">
        <v>36978</v>
      </c>
      <c r="C2363" s="7">
        <f>_xlfn.FLOOR.MATH(Table1[[#This Row],[year]],10)</f>
        <v>2000</v>
      </c>
      <c r="D2363" t="s">
        <v>57</v>
      </c>
      <c r="E2363" t="s">
        <v>13</v>
      </c>
      <c r="F2363">
        <v>1</v>
      </c>
      <c r="G2363">
        <v>0</v>
      </c>
      <c r="H2363" t="s">
        <v>224</v>
      </c>
      <c r="I2363" t="s">
        <v>335</v>
      </c>
      <c r="J2363" t="s">
        <v>57</v>
      </c>
      <c r="K2363" t="b">
        <v>0</v>
      </c>
      <c r="L2363">
        <v>2001</v>
      </c>
      <c r="M2363">
        <v>23127055000</v>
      </c>
      <c r="N2363">
        <v>559983704094</v>
      </c>
      <c r="O2363" t="b">
        <v>1</v>
      </c>
      <c r="P2363">
        <v>-1</v>
      </c>
      <c r="Q2363" t="str" cm="1">
        <f t="array" ref="Q2363">_xlfn.IFS(Table1[[#This Row],[Wealthier_Winner]]=-1,"Wealthier Nation Loses",Table1[[#This Row],[Wealthier_Winner]]=0,"Tie",Table1[[#This Row],[Wealthier_Winner]]=1,"Wealthier Nation Wins")</f>
        <v>Wealthier Nation Loses</v>
      </c>
    </row>
    <row r="2364" spans="1:17" x14ac:dyDescent="0.2">
      <c r="A2364" s="1">
        <v>3897</v>
      </c>
      <c r="B2364" s="2">
        <v>36978</v>
      </c>
      <c r="C2364" s="7">
        <f>_xlfn.FLOOR.MATH(Table1[[#This Row],[year]],10)</f>
        <v>2000</v>
      </c>
      <c r="D2364" t="s">
        <v>534</v>
      </c>
      <c r="E2364" t="s">
        <v>44</v>
      </c>
      <c r="F2364">
        <v>0</v>
      </c>
      <c r="G2364">
        <v>2</v>
      </c>
      <c r="H2364" t="s">
        <v>224</v>
      </c>
      <c r="I2364" t="s">
        <v>536</v>
      </c>
      <c r="J2364" t="s">
        <v>534</v>
      </c>
      <c r="K2364" t="b">
        <v>0</v>
      </c>
      <c r="L2364">
        <v>2001</v>
      </c>
      <c r="M2364">
        <v>3219462262</v>
      </c>
      <c r="N2364">
        <v>40395116581</v>
      </c>
      <c r="O2364" t="b">
        <v>1</v>
      </c>
      <c r="P2364">
        <v>1</v>
      </c>
      <c r="Q2364" t="str" cm="1">
        <f t="array" ref="Q2364">_xlfn.IFS(Table1[[#This Row],[Wealthier_Winner]]=-1,"Wealthier Nation Loses",Table1[[#This Row],[Wealthier_Winner]]=0,"Tie",Table1[[#This Row],[Wealthier_Winner]]=1,"Wealthier Nation Wins")</f>
        <v>Wealthier Nation Wins</v>
      </c>
    </row>
    <row r="2365" spans="1:17" x14ac:dyDescent="0.2">
      <c r="A2365" s="1">
        <v>3898</v>
      </c>
      <c r="B2365" s="2">
        <v>36978</v>
      </c>
      <c r="C2365" s="7">
        <f>_xlfn.FLOOR.MATH(Table1[[#This Row],[year]],10)</f>
        <v>2000</v>
      </c>
      <c r="D2365" t="s">
        <v>48</v>
      </c>
      <c r="E2365" t="s">
        <v>16</v>
      </c>
      <c r="F2365">
        <v>2</v>
      </c>
      <c r="G2365">
        <v>4</v>
      </c>
      <c r="H2365" t="s">
        <v>224</v>
      </c>
      <c r="I2365" t="s">
        <v>236</v>
      </c>
      <c r="J2365" t="s">
        <v>48</v>
      </c>
      <c r="K2365" t="b">
        <v>0</v>
      </c>
      <c r="L2365">
        <v>2001</v>
      </c>
      <c r="M2365">
        <v>132050474720</v>
      </c>
      <c r="N2365">
        <v>1966381496641</v>
      </c>
      <c r="O2365" t="b">
        <v>1</v>
      </c>
      <c r="P2365">
        <v>1</v>
      </c>
      <c r="Q2365" t="str" cm="1">
        <f t="array" ref="Q2365">_xlfn.IFS(Table1[[#This Row],[Wealthier_Winner]]=-1,"Wealthier Nation Loses",Table1[[#This Row],[Wealthier_Winner]]=0,"Tie",Table1[[#This Row],[Wealthier_Winner]]=1,"Wealthier Nation Wins")</f>
        <v>Wealthier Nation Wins</v>
      </c>
    </row>
    <row r="2366" spans="1:17" x14ac:dyDescent="0.2">
      <c r="A2366" s="1">
        <v>3899</v>
      </c>
      <c r="B2366" s="2">
        <v>36978</v>
      </c>
      <c r="C2366" s="7">
        <f>_xlfn.FLOOR.MATH(Table1[[#This Row],[year]],10)</f>
        <v>2000</v>
      </c>
      <c r="D2366" t="s">
        <v>65</v>
      </c>
      <c r="E2366" t="s">
        <v>41</v>
      </c>
      <c r="F2366">
        <v>1</v>
      </c>
      <c r="G2366">
        <v>2</v>
      </c>
      <c r="H2366" t="s">
        <v>224</v>
      </c>
      <c r="I2366" t="s">
        <v>254</v>
      </c>
      <c r="J2366" t="s">
        <v>65</v>
      </c>
      <c r="K2366" t="b">
        <v>0</v>
      </c>
      <c r="L2366">
        <v>2001</v>
      </c>
      <c r="M2366">
        <v>7651162302</v>
      </c>
      <c r="N2366">
        <v>10581929774000</v>
      </c>
      <c r="O2366" t="b">
        <v>1</v>
      </c>
      <c r="P2366">
        <v>1</v>
      </c>
      <c r="Q2366" t="str" cm="1">
        <f t="array" ref="Q2366">_xlfn.IFS(Table1[[#This Row],[Wealthier_Winner]]=-1,"Wealthier Nation Loses",Table1[[#This Row],[Wealthier_Winner]]=0,"Tie",Table1[[#This Row],[Wealthier_Winner]]=1,"Wealthier Nation Wins")</f>
        <v>Wealthier Nation Wins</v>
      </c>
    </row>
    <row r="2367" spans="1:17" x14ac:dyDescent="0.2">
      <c r="A2367" s="1">
        <v>3900</v>
      </c>
      <c r="B2367" s="2">
        <v>36978</v>
      </c>
      <c r="C2367" s="7">
        <f>_xlfn.FLOOR.MATH(Table1[[#This Row],[year]],10)</f>
        <v>2000</v>
      </c>
      <c r="D2367" t="s">
        <v>18</v>
      </c>
      <c r="E2367" t="s">
        <v>523</v>
      </c>
      <c r="F2367">
        <v>4</v>
      </c>
      <c r="G2367">
        <v>0</v>
      </c>
      <c r="H2367" t="s">
        <v>224</v>
      </c>
      <c r="I2367" t="s">
        <v>477</v>
      </c>
      <c r="J2367" t="s">
        <v>18</v>
      </c>
      <c r="K2367" t="b">
        <v>0</v>
      </c>
      <c r="L2367">
        <v>2001</v>
      </c>
      <c r="M2367">
        <v>1172041488805</v>
      </c>
      <c r="N2367">
        <v>12260761329</v>
      </c>
      <c r="O2367" t="b">
        <v>1</v>
      </c>
      <c r="P2367">
        <v>1</v>
      </c>
      <c r="Q2367" t="str" cm="1">
        <f t="array" ref="Q2367">_xlfn.IFS(Table1[[#This Row],[Wealthier_Winner]]=-1,"Wealthier Nation Loses",Table1[[#This Row],[Wealthier_Winner]]=0,"Tie",Table1[[#This Row],[Wealthier_Winner]]=1,"Wealthier Nation Wins")</f>
        <v>Wealthier Nation Wins</v>
      </c>
    </row>
    <row r="2368" spans="1:17" x14ac:dyDescent="0.2">
      <c r="A2368" s="1">
        <v>3901</v>
      </c>
      <c r="B2368" s="2">
        <v>36978</v>
      </c>
      <c r="C2368" s="7">
        <f>_xlfn.FLOOR.MATH(Table1[[#This Row],[year]],10)</f>
        <v>2000</v>
      </c>
      <c r="D2368" t="s">
        <v>503</v>
      </c>
      <c r="E2368" t="s">
        <v>73</v>
      </c>
      <c r="F2368">
        <v>0</v>
      </c>
      <c r="G2368">
        <v>3</v>
      </c>
      <c r="H2368" t="s">
        <v>224</v>
      </c>
      <c r="I2368" t="s">
        <v>603</v>
      </c>
      <c r="J2368" t="s">
        <v>503</v>
      </c>
      <c r="K2368" t="b">
        <v>0</v>
      </c>
      <c r="L2368">
        <v>2001</v>
      </c>
      <c r="M2368">
        <v>2491800558</v>
      </c>
      <c r="N2368">
        <v>5800615374</v>
      </c>
      <c r="O2368" t="b">
        <v>1</v>
      </c>
      <c r="P2368">
        <v>1</v>
      </c>
      <c r="Q2368" t="str" cm="1">
        <f t="array" ref="Q2368">_xlfn.IFS(Table1[[#This Row],[Wealthier_Winner]]=-1,"Wealthier Nation Loses",Table1[[#This Row],[Wealthier_Winner]]=0,"Tie",Table1[[#This Row],[Wealthier_Winner]]=1,"Wealthier Nation Wins")</f>
        <v>Wealthier Nation Wins</v>
      </c>
    </row>
    <row r="2369" spans="1:17" x14ac:dyDescent="0.2">
      <c r="A2369" s="1">
        <v>3903</v>
      </c>
      <c r="B2369" s="2">
        <v>36978</v>
      </c>
      <c r="C2369" s="7">
        <f>_xlfn.FLOOR.MATH(Table1[[#This Row],[year]],10)</f>
        <v>2000</v>
      </c>
      <c r="D2369" t="s">
        <v>527</v>
      </c>
      <c r="E2369" t="s">
        <v>25</v>
      </c>
      <c r="F2369">
        <v>0</v>
      </c>
      <c r="G2369">
        <v>2</v>
      </c>
      <c r="H2369" t="s">
        <v>224</v>
      </c>
      <c r="I2369" t="s">
        <v>528</v>
      </c>
      <c r="J2369" t="s">
        <v>527</v>
      </c>
      <c r="K2369" t="b">
        <v>0</v>
      </c>
      <c r="L2369">
        <v>2001</v>
      </c>
      <c r="M2369">
        <v>1480673594</v>
      </c>
      <c r="N2369">
        <v>242497797484</v>
      </c>
      <c r="O2369" t="b">
        <v>1</v>
      </c>
      <c r="P2369">
        <v>1</v>
      </c>
      <c r="Q2369" t="str" cm="1">
        <f t="array" ref="Q2369">_xlfn.IFS(Table1[[#This Row],[Wealthier_Winner]]=-1,"Wealthier Nation Loses",Table1[[#This Row],[Wealthier_Winner]]=0,"Tie",Table1[[#This Row],[Wealthier_Winner]]=1,"Wealthier Nation Wins")</f>
        <v>Wealthier Nation Wins</v>
      </c>
    </row>
    <row r="2370" spans="1:17" x14ac:dyDescent="0.2">
      <c r="A2370" s="1">
        <v>3904</v>
      </c>
      <c r="B2370" s="2">
        <v>36978</v>
      </c>
      <c r="C2370" s="7">
        <f>_xlfn.FLOOR.MATH(Table1[[#This Row],[year]],10)</f>
        <v>2000</v>
      </c>
      <c r="D2370" t="s">
        <v>58</v>
      </c>
      <c r="E2370" t="s">
        <v>519</v>
      </c>
      <c r="F2370">
        <v>4</v>
      </c>
      <c r="G2370">
        <v>0</v>
      </c>
      <c r="H2370" t="s">
        <v>224</v>
      </c>
      <c r="I2370" t="s">
        <v>619</v>
      </c>
      <c r="J2370" t="s">
        <v>58</v>
      </c>
      <c r="K2370" t="b">
        <v>0</v>
      </c>
      <c r="L2370">
        <v>2001</v>
      </c>
      <c r="M2370">
        <v>191823200371</v>
      </c>
      <c r="N2370">
        <v>2118467913</v>
      </c>
      <c r="O2370" t="b">
        <v>1</v>
      </c>
      <c r="P2370">
        <v>1</v>
      </c>
      <c r="Q2370" t="str" cm="1">
        <f t="array" ref="Q2370">_xlfn.IFS(Table1[[#This Row],[Wealthier_Winner]]=-1,"Wealthier Nation Loses",Table1[[#This Row],[Wealthier_Winner]]=0,"Tie",Table1[[#This Row],[Wealthier_Winner]]=1,"Wealthier Nation Wins")</f>
        <v>Wealthier Nation Wins</v>
      </c>
    </row>
    <row r="2371" spans="1:17" x14ac:dyDescent="0.2">
      <c r="A2371" s="1">
        <v>3905</v>
      </c>
      <c r="B2371" s="2">
        <v>36978</v>
      </c>
      <c r="C2371" s="7">
        <f>_xlfn.FLOOR.MATH(Table1[[#This Row],[year]],10)</f>
        <v>2000</v>
      </c>
      <c r="D2371" t="s">
        <v>38</v>
      </c>
      <c r="E2371" t="s">
        <v>27</v>
      </c>
      <c r="F2371">
        <v>2</v>
      </c>
      <c r="G2371">
        <v>2</v>
      </c>
      <c r="H2371" t="s">
        <v>224</v>
      </c>
      <c r="I2371" t="s">
        <v>292</v>
      </c>
      <c r="J2371" t="s">
        <v>38</v>
      </c>
      <c r="K2371" t="b">
        <v>0</v>
      </c>
      <c r="L2371">
        <v>2001</v>
      </c>
      <c r="M2371">
        <v>121604107164</v>
      </c>
      <c r="N2371">
        <v>432536219668</v>
      </c>
      <c r="O2371" t="b">
        <v>1</v>
      </c>
      <c r="P2371">
        <v>0</v>
      </c>
      <c r="Q2371" t="str" cm="1">
        <f t="array" ref="Q2371">_xlfn.IFS(Table1[[#This Row],[Wealthier_Winner]]=-1,"Wealthier Nation Loses",Table1[[#This Row],[Wealthier_Winner]]=0,"Tie",Table1[[#This Row],[Wealthier_Winner]]=1,"Wealthier Nation Wins")</f>
        <v>Tie</v>
      </c>
    </row>
    <row r="2372" spans="1:17" x14ac:dyDescent="0.2">
      <c r="A2372" s="1">
        <v>3906</v>
      </c>
      <c r="B2372" s="2">
        <v>36978</v>
      </c>
      <c r="C2372" s="7">
        <f>_xlfn.FLOOR.MATH(Table1[[#This Row],[year]],10)</f>
        <v>2000</v>
      </c>
      <c r="D2372" t="s">
        <v>196</v>
      </c>
      <c r="E2372" t="s">
        <v>447</v>
      </c>
      <c r="F2372">
        <v>1</v>
      </c>
      <c r="G2372">
        <v>0</v>
      </c>
      <c r="H2372" t="s">
        <v>224</v>
      </c>
      <c r="I2372" t="s">
        <v>180</v>
      </c>
      <c r="J2372" t="s">
        <v>196</v>
      </c>
      <c r="K2372" t="b">
        <v>0</v>
      </c>
      <c r="L2372">
        <v>2001</v>
      </c>
      <c r="M2372">
        <v>306602070620</v>
      </c>
      <c r="N2372">
        <v>1160268212</v>
      </c>
      <c r="O2372" t="b">
        <v>1</v>
      </c>
      <c r="P2372">
        <v>1</v>
      </c>
      <c r="Q2372" t="str" cm="1">
        <f t="array" ref="Q2372">_xlfn.IFS(Table1[[#This Row],[Wealthier_Winner]]=-1,"Wealthier Nation Loses",Table1[[#This Row],[Wealthier_Winner]]=0,"Tie",Table1[[#This Row],[Wealthier_Winner]]=1,"Wealthier Nation Wins")</f>
        <v>Wealthier Nation Wins</v>
      </c>
    </row>
    <row r="2373" spans="1:17" x14ac:dyDescent="0.2">
      <c r="A2373" s="1">
        <v>3909</v>
      </c>
      <c r="B2373" s="2">
        <v>36978</v>
      </c>
      <c r="C2373" s="7">
        <f>_xlfn.FLOOR.MATH(Table1[[#This Row],[year]],10)</f>
        <v>2000</v>
      </c>
      <c r="D2373" t="s">
        <v>55</v>
      </c>
      <c r="E2373" t="s">
        <v>61</v>
      </c>
      <c r="F2373">
        <v>1</v>
      </c>
      <c r="G2373">
        <v>1</v>
      </c>
      <c r="H2373" t="s">
        <v>224</v>
      </c>
      <c r="I2373" t="s">
        <v>529</v>
      </c>
      <c r="J2373" t="s">
        <v>55</v>
      </c>
      <c r="K2373" t="b">
        <v>0</v>
      </c>
      <c r="L2373">
        <v>2001</v>
      </c>
      <c r="M2373">
        <v>20668868706</v>
      </c>
      <c r="N2373">
        <v>13599378661</v>
      </c>
      <c r="O2373" t="b">
        <v>0</v>
      </c>
      <c r="P2373">
        <v>0</v>
      </c>
      <c r="Q2373" t="str" cm="1">
        <f t="array" ref="Q2373">_xlfn.IFS(Table1[[#This Row],[Wealthier_Winner]]=-1,"Wealthier Nation Loses",Table1[[#This Row],[Wealthier_Winner]]=0,"Tie",Table1[[#This Row],[Wealthier_Winner]]=1,"Wealthier Nation Wins")</f>
        <v>Tie</v>
      </c>
    </row>
    <row r="2374" spans="1:17" x14ac:dyDescent="0.2">
      <c r="A2374" s="1">
        <v>3910</v>
      </c>
      <c r="B2374" s="2">
        <v>36978</v>
      </c>
      <c r="C2374" s="7">
        <f>_xlfn.FLOOR.MATH(Table1[[#This Row],[year]],10)</f>
        <v>2000</v>
      </c>
      <c r="D2374" t="s">
        <v>46</v>
      </c>
      <c r="E2374" t="s">
        <v>232</v>
      </c>
      <c r="F2374">
        <v>5</v>
      </c>
      <c r="G2374">
        <v>0</v>
      </c>
      <c r="H2374" t="s">
        <v>224</v>
      </c>
      <c r="I2374" t="s">
        <v>493</v>
      </c>
      <c r="J2374" t="s">
        <v>46</v>
      </c>
      <c r="K2374" t="b">
        <v>0</v>
      </c>
      <c r="L2374">
        <v>2001</v>
      </c>
      <c r="M2374">
        <v>286582672434</v>
      </c>
      <c r="N2374">
        <v>21387533703</v>
      </c>
      <c r="O2374" t="b">
        <v>1</v>
      </c>
      <c r="P2374">
        <v>1</v>
      </c>
      <c r="Q2374" t="str" cm="1">
        <f t="array" ref="Q2374">_xlfn.IFS(Table1[[#This Row],[Wealthier_Winner]]=-1,"Wealthier Nation Loses",Table1[[#This Row],[Wealthier_Winner]]=0,"Tie",Table1[[#This Row],[Wealthier_Winner]]=1,"Wealthier Nation Wins")</f>
        <v>Wealthier Nation Wins</v>
      </c>
    </row>
    <row r="2375" spans="1:17" x14ac:dyDescent="0.2">
      <c r="A2375" s="1">
        <v>3911</v>
      </c>
      <c r="B2375" s="2">
        <v>36978</v>
      </c>
      <c r="C2375" s="7">
        <f>_xlfn.FLOOR.MATH(Table1[[#This Row],[year]],10)</f>
        <v>2000</v>
      </c>
      <c r="D2375" t="s">
        <v>26</v>
      </c>
      <c r="E2375" t="s">
        <v>35</v>
      </c>
      <c r="F2375">
        <v>0</v>
      </c>
      <c r="G2375">
        <v>1</v>
      </c>
      <c r="H2375" t="s">
        <v>224</v>
      </c>
      <c r="I2375" t="s">
        <v>247</v>
      </c>
      <c r="J2375" t="s">
        <v>26</v>
      </c>
      <c r="K2375" t="b">
        <v>0</v>
      </c>
      <c r="L2375">
        <v>2001</v>
      </c>
      <c r="M2375">
        <v>20898761742</v>
      </c>
      <c r="N2375">
        <v>8495806432</v>
      </c>
      <c r="O2375" t="b">
        <v>1</v>
      </c>
      <c r="P2375">
        <v>-1</v>
      </c>
      <c r="Q2375" t="str" cm="1">
        <f t="array" ref="Q2375">_xlfn.IFS(Table1[[#This Row],[Wealthier_Winner]]=-1,"Wealthier Nation Loses",Table1[[#This Row],[Wealthier_Winner]]=0,"Tie",Table1[[#This Row],[Wealthier_Winner]]=1,"Wealthier Nation Wins")</f>
        <v>Wealthier Nation Loses</v>
      </c>
    </row>
    <row r="2376" spans="1:17" x14ac:dyDescent="0.2">
      <c r="A2376" s="1">
        <v>3913</v>
      </c>
      <c r="B2376" s="2">
        <v>36982</v>
      </c>
      <c r="C2376" s="7">
        <f>_xlfn.FLOOR.MATH(Table1[[#This Row],[year]],10)</f>
        <v>2000</v>
      </c>
      <c r="D2376" t="s">
        <v>567</v>
      </c>
      <c r="E2376" t="s">
        <v>551</v>
      </c>
      <c r="F2376">
        <v>6</v>
      </c>
      <c r="G2376">
        <v>0</v>
      </c>
      <c r="H2376" t="s">
        <v>224</v>
      </c>
      <c r="I2376" t="s">
        <v>620</v>
      </c>
      <c r="J2376" t="s">
        <v>567</v>
      </c>
      <c r="K2376" t="b">
        <v>0</v>
      </c>
      <c r="L2376">
        <v>2001</v>
      </c>
      <c r="M2376">
        <v>870031676</v>
      </c>
      <c r="N2376">
        <v>4145665969</v>
      </c>
      <c r="O2376" t="b">
        <v>1</v>
      </c>
      <c r="P2376">
        <v>-1</v>
      </c>
      <c r="Q2376" t="str" cm="1">
        <f t="array" ref="Q2376">_xlfn.IFS(Table1[[#This Row],[Wealthier_Winner]]=-1,"Wealthier Nation Loses",Table1[[#This Row],[Wealthier_Winner]]=0,"Tie",Table1[[#This Row],[Wealthier_Winner]]=1,"Wealthier Nation Wins")</f>
        <v>Wealthier Nation Loses</v>
      </c>
    </row>
    <row r="2377" spans="1:17" x14ac:dyDescent="0.2">
      <c r="A2377" s="1">
        <v>3916</v>
      </c>
      <c r="B2377" s="2">
        <v>36988</v>
      </c>
      <c r="C2377" s="7">
        <f>_xlfn.FLOOR.MATH(Table1[[#This Row],[year]],10)</f>
        <v>2000</v>
      </c>
      <c r="D2377" t="s">
        <v>542</v>
      </c>
      <c r="E2377" t="s">
        <v>541</v>
      </c>
      <c r="F2377">
        <v>0</v>
      </c>
      <c r="G2377">
        <v>1</v>
      </c>
      <c r="H2377" t="s">
        <v>224</v>
      </c>
      <c r="I2377" t="s">
        <v>621</v>
      </c>
      <c r="J2377" t="s">
        <v>28</v>
      </c>
      <c r="K2377" t="b">
        <v>1</v>
      </c>
      <c r="L2377">
        <v>2001</v>
      </c>
      <c r="M2377">
        <v>266299591</v>
      </c>
      <c r="N2377">
        <v>181117230</v>
      </c>
      <c r="O2377" t="b">
        <v>0</v>
      </c>
      <c r="P2377">
        <v>-1</v>
      </c>
      <c r="Q2377" t="str" cm="1">
        <f t="array" ref="Q2377">_xlfn.IFS(Table1[[#This Row],[Wealthier_Winner]]=-1,"Wealthier Nation Loses",Table1[[#This Row],[Wealthier_Winner]]=0,"Tie",Table1[[#This Row],[Wealthier_Winner]]=1,"Wealthier Nation Wins")</f>
        <v>Wealthier Nation Loses</v>
      </c>
    </row>
    <row r="2378" spans="1:17" x14ac:dyDescent="0.2">
      <c r="A2378" s="1">
        <v>3917</v>
      </c>
      <c r="B2378" s="2">
        <v>36989</v>
      </c>
      <c r="C2378" s="7">
        <f>_xlfn.FLOOR.MATH(Table1[[#This Row],[year]],10)</f>
        <v>2000</v>
      </c>
      <c r="D2378" t="s">
        <v>406</v>
      </c>
      <c r="E2378" t="s">
        <v>39</v>
      </c>
      <c r="F2378">
        <v>1</v>
      </c>
      <c r="G2378">
        <v>0</v>
      </c>
      <c r="H2378" t="s">
        <v>224</v>
      </c>
      <c r="I2378" t="s">
        <v>622</v>
      </c>
      <c r="J2378" t="s">
        <v>406</v>
      </c>
      <c r="K2378" t="b">
        <v>0</v>
      </c>
      <c r="L2378">
        <v>2001</v>
      </c>
      <c r="M2378">
        <v>485440139204</v>
      </c>
      <c r="N2378">
        <v>103311640571</v>
      </c>
      <c r="O2378" t="b">
        <v>1</v>
      </c>
      <c r="P2378">
        <v>1</v>
      </c>
      <c r="Q2378" t="str" cm="1">
        <f t="array" ref="Q2378">_xlfn.IFS(Table1[[#This Row],[Wealthier_Winner]]=-1,"Wealthier Nation Loses",Table1[[#This Row],[Wealthier_Winner]]=0,"Tie",Table1[[#This Row],[Wealthier_Winner]]=1,"Wealthier Nation Wins")</f>
        <v>Wealthier Nation Wins</v>
      </c>
    </row>
    <row r="2379" spans="1:17" x14ac:dyDescent="0.2">
      <c r="A2379" s="1">
        <v>3918</v>
      </c>
      <c r="B2379" s="2">
        <v>36989</v>
      </c>
      <c r="C2379" s="7">
        <f>_xlfn.FLOOR.MATH(Table1[[#This Row],[year]],10)</f>
        <v>2000</v>
      </c>
      <c r="D2379" t="s">
        <v>328</v>
      </c>
      <c r="E2379" t="s">
        <v>567</v>
      </c>
      <c r="F2379">
        <v>5</v>
      </c>
      <c r="G2379">
        <v>0</v>
      </c>
      <c r="H2379" t="s">
        <v>224</v>
      </c>
      <c r="I2379" t="s">
        <v>386</v>
      </c>
      <c r="J2379" t="s">
        <v>328</v>
      </c>
      <c r="K2379" t="b">
        <v>0</v>
      </c>
      <c r="L2379">
        <v>2001</v>
      </c>
      <c r="M2379">
        <v>160446947784</v>
      </c>
      <c r="N2379">
        <v>870031676</v>
      </c>
      <c r="O2379" t="b">
        <v>1</v>
      </c>
      <c r="P2379">
        <v>1</v>
      </c>
      <c r="Q2379" t="str" cm="1">
        <f t="array" ref="Q2379">_xlfn.IFS(Table1[[#This Row],[Wealthier_Winner]]=-1,"Wealthier Nation Loses",Table1[[#This Row],[Wealthier_Winner]]=0,"Tie",Table1[[#This Row],[Wealthier_Winner]]=1,"Wealthier Nation Wins")</f>
        <v>Wealthier Nation Wins</v>
      </c>
    </row>
    <row r="2380" spans="1:17" x14ac:dyDescent="0.2">
      <c r="A2380" s="1">
        <v>3920</v>
      </c>
      <c r="B2380" s="2">
        <v>36990</v>
      </c>
      <c r="C2380" s="7">
        <f>_xlfn.FLOOR.MATH(Table1[[#This Row],[year]],10)</f>
        <v>2000</v>
      </c>
      <c r="D2380" t="s">
        <v>28</v>
      </c>
      <c r="E2380" t="s">
        <v>541</v>
      </c>
      <c r="F2380">
        <v>22</v>
      </c>
      <c r="G2380">
        <v>0</v>
      </c>
      <c r="H2380" t="s">
        <v>224</v>
      </c>
      <c r="I2380" t="s">
        <v>621</v>
      </c>
      <c r="J2380" t="s">
        <v>28</v>
      </c>
      <c r="K2380" t="b">
        <v>0</v>
      </c>
      <c r="L2380">
        <v>2001</v>
      </c>
      <c r="M2380">
        <v>380360222861</v>
      </c>
      <c r="N2380">
        <v>181117230</v>
      </c>
      <c r="O2380" t="b">
        <v>1</v>
      </c>
      <c r="P2380">
        <v>1</v>
      </c>
      <c r="Q2380" t="str" cm="1">
        <f t="array" ref="Q2380">_xlfn.IFS(Table1[[#This Row],[Wealthier_Winner]]=-1,"Wealthier Nation Loses",Table1[[#This Row],[Wealthier_Winner]]=0,"Tie",Table1[[#This Row],[Wealthier_Winner]]=1,"Wealthier Nation Wins")</f>
        <v>Wealthier Nation Wins</v>
      </c>
    </row>
    <row r="2381" spans="1:17" x14ac:dyDescent="0.2">
      <c r="A2381" s="1">
        <v>3922</v>
      </c>
      <c r="B2381" s="2">
        <v>36992</v>
      </c>
      <c r="C2381" s="7">
        <f>_xlfn.FLOOR.MATH(Table1[[#This Row],[year]],10)</f>
        <v>2000</v>
      </c>
      <c r="D2381" t="s">
        <v>542</v>
      </c>
      <c r="E2381" t="s">
        <v>384</v>
      </c>
      <c r="F2381">
        <v>1</v>
      </c>
      <c r="G2381">
        <v>6</v>
      </c>
      <c r="H2381" t="s">
        <v>224</v>
      </c>
      <c r="I2381" t="s">
        <v>621</v>
      </c>
      <c r="J2381" t="s">
        <v>28</v>
      </c>
      <c r="K2381" t="b">
        <v>1</v>
      </c>
      <c r="L2381">
        <v>2001</v>
      </c>
      <c r="M2381">
        <v>266299591</v>
      </c>
      <c r="N2381">
        <v>1652462023</v>
      </c>
      <c r="O2381" t="b">
        <v>1</v>
      </c>
      <c r="P2381">
        <v>1</v>
      </c>
      <c r="Q2381" t="str" cm="1">
        <f t="array" ref="Q2381">_xlfn.IFS(Table1[[#This Row],[Wealthier_Winner]]=-1,"Wealthier Nation Loses",Table1[[#This Row],[Wealthier_Winner]]=0,"Tie",Table1[[#This Row],[Wealthier_Winner]]=1,"Wealthier Nation Wins")</f>
        <v>Wealthier Nation Wins</v>
      </c>
    </row>
    <row r="2382" spans="1:17" x14ac:dyDescent="0.2">
      <c r="A2382" s="1">
        <v>3924</v>
      </c>
      <c r="B2382" s="2">
        <v>36993</v>
      </c>
      <c r="C2382" s="7">
        <f>_xlfn.FLOOR.MATH(Table1[[#This Row],[year]],10)</f>
        <v>2000</v>
      </c>
      <c r="D2382" t="s">
        <v>400</v>
      </c>
      <c r="E2382" t="s">
        <v>558</v>
      </c>
      <c r="F2382">
        <v>0</v>
      </c>
      <c r="G2382">
        <v>6</v>
      </c>
      <c r="H2382" t="s">
        <v>224</v>
      </c>
      <c r="I2382" t="s">
        <v>437</v>
      </c>
      <c r="J2382" t="s">
        <v>37</v>
      </c>
      <c r="K2382" t="b">
        <v>1</v>
      </c>
      <c r="L2382">
        <v>2001</v>
      </c>
      <c r="M2382">
        <v>6007055042</v>
      </c>
      <c r="N2382">
        <v>22152689179</v>
      </c>
      <c r="O2382" t="b">
        <v>1</v>
      </c>
      <c r="P2382">
        <v>1</v>
      </c>
      <c r="Q2382" t="str" cm="1">
        <f t="array" ref="Q2382">_xlfn.IFS(Table1[[#This Row],[Wealthier_Winner]]=-1,"Wealthier Nation Loses",Table1[[#This Row],[Wealthier_Winner]]=0,"Tie",Table1[[#This Row],[Wealthier_Winner]]=1,"Wealthier Nation Wins")</f>
        <v>Wealthier Nation Wins</v>
      </c>
    </row>
    <row r="2383" spans="1:17" x14ac:dyDescent="0.2">
      <c r="A2383" s="1">
        <v>3926</v>
      </c>
      <c r="B2383" s="2">
        <v>36995</v>
      </c>
      <c r="C2383" s="7">
        <f>_xlfn.FLOOR.MATH(Table1[[#This Row],[year]],10)</f>
        <v>2000</v>
      </c>
      <c r="D2383" t="s">
        <v>28</v>
      </c>
      <c r="E2383" t="s">
        <v>384</v>
      </c>
      <c r="F2383">
        <v>2</v>
      </c>
      <c r="G2383">
        <v>0</v>
      </c>
      <c r="H2383" t="s">
        <v>224</v>
      </c>
      <c r="I2383" t="s">
        <v>621</v>
      </c>
      <c r="J2383" t="s">
        <v>28</v>
      </c>
      <c r="K2383" t="b">
        <v>0</v>
      </c>
      <c r="L2383">
        <v>2001</v>
      </c>
      <c r="M2383">
        <v>380360222861</v>
      </c>
      <c r="N2383">
        <v>1652462023</v>
      </c>
      <c r="O2383" t="b">
        <v>1</v>
      </c>
      <c r="P2383">
        <v>1</v>
      </c>
      <c r="Q2383" t="str" cm="1">
        <f t="array" ref="Q2383">_xlfn.IFS(Table1[[#This Row],[Wealthier_Winner]]=-1,"Wealthier Nation Loses",Table1[[#This Row],[Wealthier_Winner]]=0,"Tie",Table1[[#This Row],[Wealthier_Winner]]=1,"Wealthier Nation Wins")</f>
        <v>Wealthier Nation Wins</v>
      </c>
    </row>
    <row r="2384" spans="1:17" x14ac:dyDescent="0.2">
      <c r="A2384" s="1">
        <v>3928</v>
      </c>
      <c r="B2384" s="2">
        <v>36995</v>
      </c>
      <c r="C2384" s="7">
        <f>_xlfn.FLOOR.MATH(Table1[[#This Row],[year]],10)</f>
        <v>2000</v>
      </c>
      <c r="D2384" t="s">
        <v>37</v>
      </c>
      <c r="E2384" t="s">
        <v>400</v>
      </c>
      <c r="F2384">
        <v>9</v>
      </c>
      <c r="G2384">
        <v>1</v>
      </c>
      <c r="H2384" t="s">
        <v>224</v>
      </c>
      <c r="I2384" t="s">
        <v>437</v>
      </c>
      <c r="J2384" t="s">
        <v>37</v>
      </c>
      <c r="K2384" t="b">
        <v>0</v>
      </c>
      <c r="L2384">
        <v>2001</v>
      </c>
      <c r="M2384">
        <v>36176430128</v>
      </c>
      <c r="N2384">
        <v>6007055042</v>
      </c>
      <c r="O2384" t="b">
        <v>1</v>
      </c>
      <c r="P2384">
        <v>1</v>
      </c>
      <c r="Q2384" t="str" cm="1">
        <f t="array" ref="Q2384">_xlfn.IFS(Table1[[#This Row],[Wealthier_Winner]]=-1,"Wealthier Nation Loses",Table1[[#This Row],[Wealthier_Winner]]=0,"Tie",Table1[[#This Row],[Wealthier_Winner]]=1,"Wealthier Nation Wins")</f>
        <v>Wealthier Nation Wins</v>
      </c>
    </row>
    <row r="2385" spans="1:17" x14ac:dyDescent="0.2">
      <c r="A2385" s="1">
        <v>3930</v>
      </c>
      <c r="B2385" s="2">
        <v>36996</v>
      </c>
      <c r="C2385" s="7">
        <f>_xlfn.FLOOR.MATH(Table1[[#This Row],[year]],10)</f>
        <v>2000</v>
      </c>
      <c r="D2385" t="s">
        <v>551</v>
      </c>
      <c r="E2385" t="s">
        <v>567</v>
      </c>
      <c r="F2385">
        <v>1</v>
      </c>
      <c r="G2385">
        <v>1</v>
      </c>
      <c r="H2385" t="s">
        <v>224</v>
      </c>
      <c r="I2385" t="s">
        <v>553</v>
      </c>
      <c r="J2385" t="s">
        <v>551</v>
      </c>
      <c r="K2385" t="b">
        <v>0</v>
      </c>
      <c r="L2385">
        <v>2001</v>
      </c>
      <c r="M2385">
        <v>4145665969</v>
      </c>
      <c r="N2385">
        <v>870031676</v>
      </c>
      <c r="O2385" t="b">
        <v>1</v>
      </c>
      <c r="P2385">
        <v>0</v>
      </c>
      <c r="Q2385" t="str" cm="1">
        <f t="array" ref="Q2385">_xlfn.IFS(Table1[[#This Row],[Wealthier_Winner]]=-1,"Wealthier Nation Loses",Table1[[#This Row],[Wealthier_Winner]]=0,"Tie",Table1[[#This Row],[Wealthier_Winner]]=1,"Wealthier Nation Wins")</f>
        <v>Tie</v>
      </c>
    </row>
    <row r="2386" spans="1:17" x14ac:dyDescent="0.2">
      <c r="A2386" s="1">
        <v>3932</v>
      </c>
      <c r="B2386" s="2">
        <v>36997</v>
      </c>
      <c r="C2386" s="7">
        <f>_xlfn.FLOOR.MATH(Table1[[#This Row],[year]],10)</f>
        <v>2000</v>
      </c>
      <c r="D2386" t="s">
        <v>28</v>
      </c>
      <c r="E2386" t="s">
        <v>542</v>
      </c>
      <c r="F2386">
        <v>11</v>
      </c>
      <c r="G2386">
        <v>0</v>
      </c>
      <c r="H2386" t="s">
        <v>224</v>
      </c>
      <c r="I2386" t="s">
        <v>621</v>
      </c>
      <c r="J2386" t="s">
        <v>28</v>
      </c>
      <c r="K2386" t="b">
        <v>0</v>
      </c>
      <c r="L2386">
        <v>2001</v>
      </c>
      <c r="M2386">
        <v>380360222861</v>
      </c>
      <c r="N2386">
        <v>266299591</v>
      </c>
      <c r="O2386" t="b">
        <v>1</v>
      </c>
      <c r="P2386">
        <v>1</v>
      </c>
      <c r="Q2386" t="str" cm="1">
        <f t="array" ref="Q2386">_xlfn.IFS(Table1[[#This Row],[Wealthier_Winner]]=-1,"Wealthier Nation Loses",Table1[[#This Row],[Wealthier_Winner]]=0,"Tie",Table1[[#This Row],[Wealthier_Winner]]=1,"Wealthier Nation Wins")</f>
        <v>Wealthier Nation Wins</v>
      </c>
    </row>
    <row r="2387" spans="1:17" x14ac:dyDescent="0.2">
      <c r="A2387" s="1">
        <v>3933</v>
      </c>
      <c r="B2387" s="2">
        <v>36997</v>
      </c>
      <c r="C2387" s="7">
        <f>_xlfn.FLOOR.MATH(Table1[[#This Row],[year]],10)</f>
        <v>2000</v>
      </c>
      <c r="D2387" t="s">
        <v>37</v>
      </c>
      <c r="E2387" t="s">
        <v>558</v>
      </c>
      <c r="F2387">
        <v>1</v>
      </c>
      <c r="G2387">
        <v>1</v>
      </c>
      <c r="H2387" t="s">
        <v>224</v>
      </c>
      <c r="I2387" t="s">
        <v>437</v>
      </c>
      <c r="J2387" t="s">
        <v>37</v>
      </c>
      <c r="K2387" t="b">
        <v>0</v>
      </c>
      <c r="L2387">
        <v>2001</v>
      </c>
      <c r="M2387">
        <v>36176430128</v>
      </c>
      <c r="N2387">
        <v>22152689179</v>
      </c>
      <c r="O2387" t="b">
        <v>0</v>
      </c>
      <c r="P2387">
        <v>0</v>
      </c>
      <c r="Q2387" t="str" cm="1">
        <f t="array" ref="Q2387">_xlfn.IFS(Table1[[#This Row],[Wealthier_Winner]]=-1,"Wealthier Nation Loses",Table1[[#This Row],[Wealthier_Winner]]=0,"Tie",Table1[[#This Row],[Wealthier_Winner]]=1,"Wealthier Nation Wins")</f>
        <v>Tie</v>
      </c>
    </row>
    <row r="2388" spans="1:17" x14ac:dyDescent="0.2">
      <c r="A2388" s="1">
        <v>3935</v>
      </c>
      <c r="B2388" s="2">
        <v>36997</v>
      </c>
      <c r="C2388" s="7">
        <f>_xlfn.FLOOR.MATH(Table1[[#This Row],[year]],10)</f>
        <v>2000</v>
      </c>
      <c r="D2388" t="s">
        <v>541</v>
      </c>
      <c r="E2388" t="s">
        <v>384</v>
      </c>
      <c r="F2388">
        <v>1</v>
      </c>
      <c r="G2388">
        <v>8</v>
      </c>
      <c r="H2388" t="s">
        <v>224</v>
      </c>
      <c r="I2388" t="s">
        <v>621</v>
      </c>
      <c r="J2388" t="s">
        <v>28</v>
      </c>
      <c r="K2388" t="b">
        <v>1</v>
      </c>
      <c r="L2388">
        <v>2001</v>
      </c>
      <c r="M2388">
        <v>181117230</v>
      </c>
      <c r="N2388">
        <v>1652462023</v>
      </c>
      <c r="O2388" t="b">
        <v>1</v>
      </c>
      <c r="P2388">
        <v>1</v>
      </c>
      <c r="Q2388" t="str" cm="1">
        <f t="array" ref="Q2388">_xlfn.IFS(Table1[[#This Row],[Wealthier_Winner]]=-1,"Wealthier Nation Loses",Table1[[#This Row],[Wealthier_Winner]]=0,"Tie",Table1[[#This Row],[Wealthier_Winner]]=1,"Wealthier Nation Wins")</f>
        <v>Wealthier Nation Wins</v>
      </c>
    </row>
    <row r="2389" spans="1:17" x14ac:dyDescent="0.2">
      <c r="A2389" s="1">
        <v>3936</v>
      </c>
      <c r="B2389" s="2">
        <v>37002</v>
      </c>
      <c r="C2389" s="7">
        <f>_xlfn.FLOOR.MATH(Table1[[#This Row],[year]],10)</f>
        <v>2000</v>
      </c>
      <c r="D2389" t="s">
        <v>345</v>
      </c>
      <c r="E2389" t="s">
        <v>370</v>
      </c>
      <c r="F2389">
        <v>4</v>
      </c>
      <c r="G2389">
        <v>2</v>
      </c>
      <c r="H2389" t="s">
        <v>224</v>
      </c>
      <c r="I2389" t="s">
        <v>347</v>
      </c>
      <c r="J2389" t="s">
        <v>345</v>
      </c>
      <c r="K2389" t="b">
        <v>0</v>
      </c>
      <c r="L2389">
        <v>2001</v>
      </c>
      <c r="M2389">
        <v>3190371080</v>
      </c>
      <c r="N2389">
        <v>2498008664</v>
      </c>
      <c r="O2389" t="b">
        <v>0</v>
      </c>
      <c r="P2389">
        <v>1</v>
      </c>
      <c r="Q2389" t="str" cm="1">
        <f t="array" ref="Q2389">_xlfn.IFS(Table1[[#This Row],[Wealthier_Winner]]=-1,"Wealthier Nation Loses",Table1[[#This Row],[Wealthier_Winner]]=0,"Tie",Table1[[#This Row],[Wealthier_Winner]]=1,"Wealthier Nation Wins")</f>
        <v>Wealthier Nation Wins</v>
      </c>
    </row>
    <row r="2390" spans="1:17" x14ac:dyDescent="0.2">
      <c r="A2390" s="1">
        <v>3937</v>
      </c>
      <c r="B2390" s="2">
        <v>37002</v>
      </c>
      <c r="C2390" s="7">
        <f>_xlfn.FLOOR.MATH(Table1[[#This Row],[year]],10)</f>
        <v>2000</v>
      </c>
      <c r="D2390" t="s">
        <v>558</v>
      </c>
      <c r="E2390" t="s">
        <v>400</v>
      </c>
      <c r="F2390">
        <v>4</v>
      </c>
      <c r="G2390">
        <v>0</v>
      </c>
      <c r="H2390" t="s">
        <v>224</v>
      </c>
      <c r="I2390" t="s">
        <v>559</v>
      </c>
      <c r="J2390" t="s">
        <v>558</v>
      </c>
      <c r="K2390" t="b">
        <v>0</v>
      </c>
      <c r="L2390">
        <v>2001</v>
      </c>
      <c r="M2390">
        <v>22152689179</v>
      </c>
      <c r="N2390">
        <v>6007055042</v>
      </c>
      <c r="O2390" t="b">
        <v>1</v>
      </c>
      <c r="P2390">
        <v>1</v>
      </c>
      <c r="Q2390" t="str" cm="1">
        <f t="array" ref="Q2390">_xlfn.IFS(Table1[[#This Row],[Wealthier_Winner]]=-1,"Wealthier Nation Loses",Table1[[#This Row],[Wealthier_Winner]]=0,"Tie",Table1[[#This Row],[Wealthier_Winner]]=1,"Wealthier Nation Wins")</f>
        <v>Wealthier Nation Wins</v>
      </c>
    </row>
    <row r="2391" spans="1:17" x14ac:dyDescent="0.2">
      <c r="A2391" s="1">
        <v>3939</v>
      </c>
      <c r="B2391" s="2">
        <v>37002</v>
      </c>
      <c r="C2391" s="7">
        <f>_xlfn.FLOOR.MATH(Table1[[#This Row],[year]],10)</f>
        <v>2000</v>
      </c>
      <c r="D2391" t="s">
        <v>24</v>
      </c>
      <c r="E2391" t="s">
        <v>462</v>
      </c>
      <c r="F2391">
        <v>3</v>
      </c>
      <c r="G2391">
        <v>0</v>
      </c>
      <c r="H2391" t="s">
        <v>224</v>
      </c>
      <c r="I2391" t="s">
        <v>319</v>
      </c>
      <c r="J2391" t="s">
        <v>24</v>
      </c>
      <c r="K2391" t="b">
        <v>0</v>
      </c>
      <c r="L2391">
        <v>2001</v>
      </c>
      <c r="M2391">
        <v>43831480207</v>
      </c>
      <c r="N2391">
        <v>3557341215</v>
      </c>
      <c r="O2391" t="b">
        <v>1</v>
      </c>
      <c r="P2391">
        <v>1</v>
      </c>
      <c r="Q2391" t="str" cm="1">
        <f t="array" ref="Q2391">_xlfn.IFS(Table1[[#This Row],[Wealthier_Winner]]=-1,"Wealthier Nation Loses",Table1[[#This Row],[Wealthier_Winner]]=0,"Tie",Table1[[#This Row],[Wealthier_Winner]]=1,"Wealthier Nation Wins")</f>
        <v>Wealthier Nation Wins</v>
      </c>
    </row>
    <row r="2392" spans="1:17" x14ac:dyDescent="0.2">
      <c r="A2392" s="1">
        <v>3940</v>
      </c>
      <c r="B2392" s="2">
        <v>37002</v>
      </c>
      <c r="C2392" s="7">
        <f>_xlfn.FLOOR.MATH(Table1[[#This Row],[year]],10)</f>
        <v>2000</v>
      </c>
      <c r="D2392" t="s">
        <v>54</v>
      </c>
      <c r="E2392" t="s">
        <v>32</v>
      </c>
      <c r="F2392">
        <v>3</v>
      </c>
      <c r="G2392">
        <v>0</v>
      </c>
      <c r="H2392" t="s">
        <v>224</v>
      </c>
      <c r="I2392" t="s">
        <v>285</v>
      </c>
      <c r="J2392" t="s">
        <v>54</v>
      </c>
      <c r="K2392" t="b">
        <v>0</v>
      </c>
      <c r="L2392">
        <v>2001</v>
      </c>
      <c r="M2392">
        <v>6507824829</v>
      </c>
      <c r="N2392">
        <v>59413400923</v>
      </c>
      <c r="O2392" t="b">
        <v>1</v>
      </c>
      <c r="P2392">
        <v>-1</v>
      </c>
      <c r="Q2392" t="str" cm="1">
        <f t="array" ref="Q2392">_xlfn.IFS(Table1[[#This Row],[Wealthier_Winner]]=-1,"Wealthier Nation Loses",Table1[[#This Row],[Wealthier_Winner]]=0,"Tie",Table1[[#This Row],[Wealthier_Winner]]=1,"Wealthier Nation Wins")</f>
        <v>Wealthier Nation Loses</v>
      </c>
    </row>
    <row r="2393" spans="1:17" x14ac:dyDescent="0.2">
      <c r="A2393" s="1">
        <v>3941</v>
      </c>
      <c r="B2393" s="2">
        <v>37002</v>
      </c>
      <c r="C2393" s="7">
        <f>_xlfn.FLOOR.MATH(Table1[[#This Row],[year]],10)</f>
        <v>2000</v>
      </c>
      <c r="D2393" t="s">
        <v>342</v>
      </c>
      <c r="E2393" t="s">
        <v>43</v>
      </c>
      <c r="F2393">
        <v>1</v>
      </c>
      <c r="G2393">
        <v>0</v>
      </c>
      <c r="H2393" t="s">
        <v>224</v>
      </c>
      <c r="I2393" t="s">
        <v>344</v>
      </c>
      <c r="J2393" t="s">
        <v>342</v>
      </c>
      <c r="K2393" t="b">
        <v>0</v>
      </c>
      <c r="L2393">
        <v>2001</v>
      </c>
      <c r="M2393">
        <v>1681473893</v>
      </c>
      <c r="N2393">
        <v>73557840064</v>
      </c>
      <c r="O2393" t="b">
        <v>1</v>
      </c>
      <c r="P2393">
        <v>-1</v>
      </c>
      <c r="Q2393" t="str" cm="1">
        <f t="array" ref="Q2393">_xlfn.IFS(Table1[[#This Row],[Wealthier_Winner]]=-1,"Wealthier Nation Loses",Table1[[#This Row],[Wealthier_Winner]]=0,"Tie",Table1[[#This Row],[Wealthier_Winner]]=1,"Wealthier Nation Wins")</f>
        <v>Wealthier Nation Loses</v>
      </c>
    </row>
    <row r="2394" spans="1:17" x14ac:dyDescent="0.2">
      <c r="A2394" s="1">
        <v>3942</v>
      </c>
      <c r="B2394" s="2">
        <v>37002</v>
      </c>
      <c r="C2394" s="7">
        <f>_xlfn.FLOOR.MATH(Table1[[#This Row],[year]],10)</f>
        <v>2000</v>
      </c>
      <c r="D2394" t="s">
        <v>273</v>
      </c>
      <c r="E2394" t="s">
        <v>60</v>
      </c>
      <c r="F2394">
        <v>1</v>
      </c>
      <c r="G2394">
        <v>1</v>
      </c>
      <c r="H2394" t="s">
        <v>224</v>
      </c>
      <c r="I2394" t="s">
        <v>616</v>
      </c>
      <c r="J2394" t="s">
        <v>273</v>
      </c>
      <c r="K2394" t="b">
        <v>0</v>
      </c>
      <c r="L2394">
        <v>2001</v>
      </c>
      <c r="M2394">
        <v>4094441301</v>
      </c>
      <c r="N2394">
        <v>8936079117</v>
      </c>
      <c r="O2394" t="b">
        <v>1</v>
      </c>
      <c r="P2394">
        <v>0</v>
      </c>
      <c r="Q2394" t="str" cm="1">
        <f t="array" ref="Q2394">_xlfn.IFS(Table1[[#This Row],[Wealthier_Winner]]=-1,"Wealthier Nation Loses",Table1[[#This Row],[Wealthier_Winner]]=0,"Tie",Table1[[#This Row],[Wealthier_Winner]]=1,"Wealthier Nation Wins")</f>
        <v>Tie</v>
      </c>
    </row>
    <row r="2395" spans="1:17" x14ac:dyDescent="0.2">
      <c r="A2395" s="1">
        <v>3943</v>
      </c>
      <c r="B2395" s="2">
        <v>37003</v>
      </c>
      <c r="C2395" s="7">
        <f>_xlfn.FLOOR.MATH(Table1[[#This Row],[year]],10)</f>
        <v>2000</v>
      </c>
      <c r="D2395" t="s">
        <v>40</v>
      </c>
      <c r="E2395" t="s">
        <v>286</v>
      </c>
      <c r="F2395">
        <v>1</v>
      </c>
      <c r="G2395">
        <v>0</v>
      </c>
      <c r="H2395" t="s">
        <v>224</v>
      </c>
      <c r="I2395" t="s">
        <v>371</v>
      </c>
      <c r="J2395" t="s">
        <v>40</v>
      </c>
      <c r="K2395" t="b">
        <v>0</v>
      </c>
      <c r="L2395">
        <v>2001</v>
      </c>
      <c r="M2395">
        <v>10953485349</v>
      </c>
      <c r="N2395">
        <v>34112093927</v>
      </c>
      <c r="O2395" t="b">
        <v>1</v>
      </c>
      <c r="P2395">
        <v>-1</v>
      </c>
      <c r="Q2395" t="str" cm="1">
        <f t="array" ref="Q2395">_xlfn.IFS(Table1[[#This Row],[Wealthier_Winner]]=-1,"Wealthier Nation Loses",Table1[[#This Row],[Wealthier_Winner]]=0,"Tie",Table1[[#This Row],[Wealthier_Winner]]=1,"Wealthier Nation Wins")</f>
        <v>Wealthier Nation Loses</v>
      </c>
    </row>
    <row r="2396" spans="1:17" x14ac:dyDescent="0.2">
      <c r="A2396" s="1">
        <v>3946</v>
      </c>
      <c r="B2396" s="2">
        <v>37003</v>
      </c>
      <c r="C2396" s="7">
        <f>_xlfn.FLOOR.MATH(Table1[[#This Row],[year]],10)</f>
        <v>2000</v>
      </c>
      <c r="D2396" t="s">
        <v>328</v>
      </c>
      <c r="E2396" t="s">
        <v>551</v>
      </c>
      <c r="F2396">
        <v>6</v>
      </c>
      <c r="G2396">
        <v>0</v>
      </c>
      <c r="H2396" t="s">
        <v>224</v>
      </c>
      <c r="I2396" t="s">
        <v>386</v>
      </c>
      <c r="J2396" t="s">
        <v>328</v>
      </c>
      <c r="K2396" t="b">
        <v>0</v>
      </c>
      <c r="L2396">
        <v>2001</v>
      </c>
      <c r="M2396">
        <v>160446947784</v>
      </c>
      <c r="N2396">
        <v>4145665969</v>
      </c>
      <c r="O2396" t="b">
        <v>1</v>
      </c>
      <c r="P2396">
        <v>1</v>
      </c>
      <c r="Q2396" t="str" cm="1">
        <f t="array" ref="Q2396">_xlfn.IFS(Table1[[#This Row],[Wealthier_Winner]]=-1,"Wealthier Nation Loses",Table1[[#This Row],[Wealthier_Winner]]=0,"Tie",Table1[[#This Row],[Wealthier_Winner]]=1,"Wealthier Nation Wins")</f>
        <v>Wealthier Nation Wins</v>
      </c>
    </row>
    <row r="2397" spans="1:17" x14ac:dyDescent="0.2">
      <c r="A2397" s="1">
        <v>3948</v>
      </c>
      <c r="B2397" s="2">
        <v>37003</v>
      </c>
      <c r="C2397" s="7">
        <f>_xlfn.FLOOR.MATH(Table1[[#This Row],[year]],10)</f>
        <v>2000</v>
      </c>
      <c r="D2397" t="s">
        <v>378</v>
      </c>
      <c r="E2397" t="s">
        <v>274</v>
      </c>
      <c r="F2397">
        <v>2</v>
      </c>
      <c r="G2397">
        <v>0</v>
      </c>
      <c r="H2397" t="s">
        <v>224</v>
      </c>
      <c r="I2397" t="s">
        <v>595</v>
      </c>
      <c r="J2397" t="s">
        <v>378</v>
      </c>
      <c r="K2397" t="b">
        <v>0</v>
      </c>
      <c r="L2397">
        <v>2001</v>
      </c>
      <c r="M2397">
        <v>906000000</v>
      </c>
      <c r="N2397">
        <v>15716361792</v>
      </c>
      <c r="O2397" t="b">
        <v>1</v>
      </c>
      <c r="P2397">
        <v>-1</v>
      </c>
      <c r="Q2397" t="str" cm="1">
        <f t="array" ref="Q2397">_xlfn.IFS(Table1[[#This Row],[Wealthier_Winner]]=-1,"Wealthier Nation Loses",Table1[[#This Row],[Wealthier_Winner]]=0,"Tie",Table1[[#This Row],[Wealthier_Winner]]=1,"Wealthier Nation Wins")</f>
        <v>Wealthier Nation Loses</v>
      </c>
    </row>
    <row r="2398" spans="1:17" x14ac:dyDescent="0.2">
      <c r="A2398" s="1">
        <v>3949</v>
      </c>
      <c r="B2398" s="2">
        <v>37004</v>
      </c>
      <c r="C2398" s="7">
        <f>_xlfn.FLOOR.MATH(Table1[[#This Row],[year]],10)</f>
        <v>2000</v>
      </c>
      <c r="D2398" t="s">
        <v>37</v>
      </c>
      <c r="E2398" t="s">
        <v>400</v>
      </c>
      <c r="F2398">
        <v>4</v>
      </c>
      <c r="G2398">
        <v>2</v>
      </c>
      <c r="H2398" t="s">
        <v>224</v>
      </c>
      <c r="I2398" t="s">
        <v>559</v>
      </c>
      <c r="J2398" t="s">
        <v>558</v>
      </c>
      <c r="K2398" t="b">
        <v>1</v>
      </c>
      <c r="L2398">
        <v>2001</v>
      </c>
      <c r="M2398">
        <v>36176430128</v>
      </c>
      <c r="N2398">
        <v>6007055042</v>
      </c>
      <c r="O2398" t="b">
        <v>1</v>
      </c>
      <c r="P2398">
        <v>1</v>
      </c>
      <c r="Q2398" t="str" cm="1">
        <f t="array" ref="Q2398">_xlfn.IFS(Table1[[#This Row],[Wealthier_Winner]]=-1,"Wealthier Nation Loses",Table1[[#This Row],[Wealthier_Winner]]=0,"Tie",Table1[[#This Row],[Wealthier_Winner]]=1,"Wealthier Nation Wins")</f>
        <v>Wealthier Nation Wins</v>
      </c>
    </row>
    <row r="2399" spans="1:17" x14ac:dyDescent="0.2">
      <c r="A2399" s="1">
        <v>3951</v>
      </c>
      <c r="B2399" s="2">
        <v>37004</v>
      </c>
      <c r="C2399" s="7">
        <f>_xlfn.FLOOR.MATH(Table1[[#This Row],[year]],10)</f>
        <v>2000</v>
      </c>
      <c r="D2399" t="s">
        <v>560</v>
      </c>
      <c r="E2399" t="s">
        <v>403</v>
      </c>
      <c r="F2399">
        <v>2</v>
      </c>
      <c r="G2399">
        <v>0</v>
      </c>
      <c r="H2399" t="s">
        <v>224</v>
      </c>
      <c r="I2399" t="s">
        <v>564</v>
      </c>
      <c r="J2399" t="s">
        <v>563</v>
      </c>
      <c r="K2399" t="b">
        <v>1</v>
      </c>
      <c r="L2399">
        <v>2001</v>
      </c>
      <c r="M2399">
        <v>3534772732</v>
      </c>
      <c r="N2399">
        <v>8975814652</v>
      </c>
      <c r="O2399" t="b">
        <v>1</v>
      </c>
      <c r="P2399">
        <v>-1</v>
      </c>
      <c r="Q2399" t="str" cm="1">
        <f t="array" ref="Q2399">_xlfn.IFS(Table1[[#This Row],[Wealthier_Winner]]=-1,"Wealthier Nation Loses",Table1[[#This Row],[Wealthier_Winner]]=0,"Tie",Table1[[#This Row],[Wealthier_Winner]]=1,"Wealthier Nation Wins")</f>
        <v>Wealthier Nation Loses</v>
      </c>
    </row>
    <row r="2400" spans="1:17" x14ac:dyDescent="0.2">
      <c r="A2400" s="1">
        <v>3953</v>
      </c>
      <c r="B2400" s="2">
        <v>37005</v>
      </c>
      <c r="C2400" s="7">
        <f>_xlfn.FLOOR.MATH(Table1[[#This Row],[year]],10)</f>
        <v>2000</v>
      </c>
      <c r="D2400" t="s">
        <v>14</v>
      </c>
      <c r="E2400" t="s">
        <v>26</v>
      </c>
      <c r="F2400">
        <v>0</v>
      </c>
      <c r="G2400">
        <v>1</v>
      </c>
      <c r="H2400" t="s">
        <v>224</v>
      </c>
      <c r="I2400" t="s">
        <v>75</v>
      </c>
      <c r="J2400" t="s">
        <v>14</v>
      </c>
      <c r="K2400" t="b">
        <v>0</v>
      </c>
      <c r="L2400">
        <v>2001</v>
      </c>
      <c r="M2400">
        <v>71574739561</v>
      </c>
      <c r="N2400">
        <v>20898761742</v>
      </c>
      <c r="O2400" t="b">
        <v>1</v>
      </c>
      <c r="P2400">
        <v>-1</v>
      </c>
      <c r="Q2400" t="str" cm="1">
        <f t="array" ref="Q2400">_xlfn.IFS(Table1[[#This Row],[Wealthier_Winner]]=-1,"Wealthier Nation Loses",Table1[[#This Row],[Wealthier_Winner]]=0,"Tie",Table1[[#This Row],[Wealthier_Winner]]=1,"Wealthier Nation Wins")</f>
        <v>Wealthier Nation Loses</v>
      </c>
    </row>
    <row r="2401" spans="1:17" x14ac:dyDescent="0.2">
      <c r="A2401" s="1">
        <v>3954</v>
      </c>
      <c r="B2401" s="2">
        <v>37005</v>
      </c>
      <c r="C2401" s="7">
        <f>_xlfn.FLOOR.MATH(Table1[[#This Row],[year]],10)</f>
        <v>2000</v>
      </c>
      <c r="D2401" t="s">
        <v>57</v>
      </c>
      <c r="E2401" t="s">
        <v>35</v>
      </c>
      <c r="F2401">
        <v>2</v>
      </c>
      <c r="G2401">
        <v>1</v>
      </c>
      <c r="H2401" t="s">
        <v>224</v>
      </c>
      <c r="I2401" t="s">
        <v>335</v>
      </c>
      <c r="J2401" t="s">
        <v>57</v>
      </c>
      <c r="K2401" t="b">
        <v>0</v>
      </c>
      <c r="L2401">
        <v>2001</v>
      </c>
      <c r="M2401">
        <v>23127055000</v>
      </c>
      <c r="N2401">
        <v>8495806432</v>
      </c>
      <c r="O2401" t="b">
        <v>1</v>
      </c>
      <c r="P2401">
        <v>1</v>
      </c>
      <c r="Q2401" t="str" cm="1">
        <f t="array" ref="Q2401">_xlfn.IFS(Table1[[#This Row],[Wealthier_Winner]]=-1,"Wealthier Nation Loses",Table1[[#This Row],[Wealthier_Winner]]=0,"Tie",Table1[[#This Row],[Wealthier_Winner]]=1,"Wealthier Nation Wins")</f>
        <v>Wealthier Nation Wins</v>
      </c>
    </row>
    <row r="2402" spans="1:17" x14ac:dyDescent="0.2">
      <c r="A2402" s="1">
        <v>3955</v>
      </c>
      <c r="B2402" s="2">
        <v>37005</v>
      </c>
      <c r="C2402" s="7">
        <f>_xlfn.FLOOR.MATH(Table1[[#This Row],[year]],10)</f>
        <v>2000</v>
      </c>
      <c r="D2402" t="s">
        <v>258</v>
      </c>
      <c r="E2402" t="s">
        <v>15</v>
      </c>
      <c r="F2402">
        <v>2</v>
      </c>
      <c r="G2402">
        <v>2</v>
      </c>
      <c r="H2402" t="s">
        <v>224</v>
      </c>
      <c r="I2402" t="s">
        <v>416</v>
      </c>
      <c r="J2402" t="s">
        <v>258</v>
      </c>
      <c r="K2402" t="b">
        <v>0</v>
      </c>
      <c r="L2402">
        <v>2001</v>
      </c>
      <c r="M2402">
        <v>122911036746</v>
      </c>
      <c r="N2402">
        <v>98200641203</v>
      </c>
      <c r="O2402" t="b">
        <v>0</v>
      </c>
      <c r="P2402">
        <v>0</v>
      </c>
      <c r="Q2402" t="str" cm="1">
        <f t="array" ref="Q2402">_xlfn.IFS(Table1[[#This Row],[Wealthier_Winner]]=-1,"Wealthier Nation Loses",Table1[[#This Row],[Wealthier_Winner]]=0,"Tie",Table1[[#This Row],[Wealthier_Winner]]=1,"Wealthier Nation Wins")</f>
        <v>Tie</v>
      </c>
    </row>
    <row r="2403" spans="1:17" x14ac:dyDescent="0.2">
      <c r="A2403" s="1">
        <v>3956</v>
      </c>
      <c r="B2403" s="2">
        <v>37006</v>
      </c>
      <c r="C2403" s="7">
        <f>_xlfn.FLOOR.MATH(Table1[[#This Row],[year]],10)</f>
        <v>2000</v>
      </c>
      <c r="D2403" t="s">
        <v>29</v>
      </c>
      <c r="E2403" t="s">
        <v>503</v>
      </c>
      <c r="F2403">
        <v>2</v>
      </c>
      <c r="G2403">
        <v>0</v>
      </c>
      <c r="H2403" t="s">
        <v>224</v>
      </c>
      <c r="I2403" t="s">
        <v>623</v>
      </c>
      <c r="J2403" t="s">
        <v>29</v>
      </c>
      <c r="K2403" t="b">
        <v>0</v>
      </c>
      <c r="L2403">
        <v>2001</v>
      </c>
      <c r="M2403">
        <v>196477206829</v>
      </c>
      <c r="N2403">
        <v>2491800558</v>
      </c>
      <c r="O2403" t="b">
        <v>1</v>
      </c>
      <c r="P2403">
        <v>1</v>
      </c>
      <c r="Q2403" t="str" cm="1">
        <f t="array" ref="Q2403">_xlfn.IFS(Table1[[#This Row],[Wealthier_Winner]]=-1,"Wealthier Nation Loses",Table1[[#This Row],[Wealthier_Winner]]=0,"Tie",Table1[[#This Row],[Wealthier_Winner]]=1,"Wealthier Nation Wins")</f>
        <v>Wealthier Nation Wins</v>
      </c>
    </row>
    <row r="2404" spans="1:17" x14ac:dyDescent="0.2">
      <c r="A2404" s="1">
        <v>3957</v>
      </c>
      <c r="B2404" s="2">
        <v>37006</v>
      </c>
      <c r="C2404" s="7">
        <f>_xlfn.FLOOR.MATH(Table1[[#This Row],[year]],10)</f>
        <v>2000</v>
      </c>
      <c r="D2404" t="s">
        <v>47</v>
      </c>
      <c r="E2404" t="s">
        <v>19</v>
      </c>
      <c r="F2404">
        <v>3</v>
      </c>
      <c r="G2404">
        <v>3</v>
      </c>
      <c r="H2404" t="s">
        <v>224</v>
      </c>
      <c r="I2404" t="s">
        <v>246</v>
      </c>
      <c r="J2404" t="s">
        <v>47</v>
      </c>
      <c r="K2404" t="b">
        <v>0</v>
      </c>
      <c r="L2404">
        <v>2001</v>
      </c>
      <c r="M2404">
        <v>8141516928</v>
      </c>
      <c r="N2404">
        <v>268696750000</v>
      </c>
      <c r="O2404" t="b">
        <v>1</v>
      </c>
      <c r="P2404">
        <v>0</v>
      </c>
      <c r="Q2404" t="str" cm="1">
        <f t="array" ref="Q2404">_xlfn.IFS(Table1[[#This Row],[Wealthier_Winner]]=-1,"Wealthier Nation Loses",Table1[[#This Row],[Wealthier_Winner]]=0,"Tie",Table1[[#This Row],[Wealthier_Winner]]=1,"Wealthier Nation Wins")</f>
        <v>Tie</v>
      </c>
    </row>
    <row r="2405" spans="1:17" x14ac:dyDescent="0.2">
      <c r="A2405" s="1">
        <v>3958</v>
      </c>
      <c r="B2405" s="2">
        <v>37006</v>
      </c>
      <c r="C2405" s="7">
        <f>_xlfn.FLOOR.MATH(Table1[[#This Row],[year]],10)</f>
        <v>2000</v>
      </c>
      <c r="D2405" t="s">
        <v>13</v>
      </c>
      <c r="E2405" t="s">
        <v>31</v>
      </c>
      <c r="F2405">
        <v>1</v>
      </c>
      <c r="G2405">
        <v>1</v>
      </c>
      <c r="H2405" t="s">
        <v>224</v>
      </c>
      <c r="I2405" t="s">
        <v>417</v>
      </c>
      <c r="J2405" t="s">
        <v>13</v>
      </c>
      <c r="K2405" t="b">
        <v>0</v>
      </c>
      <c r="L2405">
        <v>2001</v>
      </c>
      <c r="M2405">
        <v>559983704094</v>
      </c>
      <c r="N2405">
        <v>52030158775</v>
      </c>
      <c r="O2405" t="b">
        <v>1</v>
      </c>
      <c r="P2405">
        <v>0</v>
      </c>
      <c r="Q2405" t="str" cm="1">
        <f t="array" ref="Q2405">_xlfn.IFS(Table1[[#This Row],[Wealthier_Winner]]=-1,"Wealthier Nation Loses",Table1[[#This Row],[Wealthier_Winner]]=0,"Tie",Table1[[#This Row],[Wealthier_Winner]]=1,"Wealthier Nation Wins")</f>
        <v>Tie</v>
      </c>
    </row>
    <row r="2406" spans="1:17" x14ac:dyDescent="0.2">
      <c r="A2406" s="1">
        <v>3960</v>
      </c>
      <c r="B2406" s="2">
        <v>37006</v>
      </c>
      <c r="C2406" s="7">
        <f>_xlfn.FLOOR.MATH(Table1[[#This Row],[year]],10)</f>
        <v>2000</v>
      </c>
      <c r="D2406" t="s">
        <v>49</v>
      </c>
      <c r="E2406" t="s">
        <v>65</v>
      </c>
      <c r="F2406">
        <v>1</v>
      </c>
      <c r="G2406">
        <v>1</v>
      </c>
      <c r="H2406" t="s">
        <v>224</v>
      </c>
      <c r="I2406" t="s">
        <v>257</v>
      </c>
      <c r="J2406" t="s">
        <v>49</v>
      </c>
      <c r="K2406" t="b">
        <v>0</v>
      </c>
      <c r="L2406">
        <v>2001</v>
      </c>
      <c r="M2406">
        <v>9194727831</v>
      </c>
      <c r="N2406">
        <v>7651162302</v>
      </c>
      <c r="O2406" t="b">
        <v>0</v>
      </c>
      <c r="P2406">
        <v>0</v>
      </c>
      <c r="Q2406" t="str" cm="1">
        <f t="array" ref="Q2406">_xlfn.IFS(Table1[[#This Row],[Wealthier_Winner]]=-1,"Wealthier Nation Loses",Table1[[#This Row],[Wealthier_Winner]]=0,"Tie",Table1[[#This Row],[Wealthier_Winner]]=1,"Wealthier Nation Wins")</f>
        <v>Tie</v>
      </c>
    </row>
    <row r="2407" spans="1:17" x14ac:dyDescent="0.2">
      <c r="A2407" s="1">
        <v>3961</v>
      </c>
      <c r="B2407" s="2">
        <v>37006</v>
      </c>
      <c r="C2407" s="7">
        <f>_xlfn.FLOOR.MATH(Table1[[#This Row],[year]],10)</f>
        <v>2000</v>
      </c>
      <c r="D2407" t="s">
        <v>558</v>
      </c>
      <c r="E2407" t="s">
        <v>37</v>
      </c>
      <c r="F2407">
        <v>1</v>
      </c>
      <c r="G2407">
        <v>1</v>
      </c>
      <c r="H2407" t="s">
        <v>224</v>
      </c>
      <c r="I2407" t="s">
        <v>559</v>
      </c>
      <c r="J2407" t="s">
        <v>558</v>
      </c>
      <c r="K2407" t="b">
        <v>0</v>
      </c>
      <c r="L2407">
        <v>2001</v>
      </c>
      <c r="M2407">
        <v>22152689179</v>
      </c>
      <c r="N2407">
        <v>36176430128</v>
      </c>
      <c r="O2407" t="b">
        <v>0</v>
      </c>
      <c r="P2407">
        <v>0</v>
      </c>
      <c r="Q2407" t="str" cm="1">
        <f t="array" ref="Q2407">_xlfn.IFS(Table1[[#This Row],[Wealthier_Winner]]=-1,"Wealthier Nation Loses",Table1[[#This Row],[Wealthier_Winner]]=0,"Tie",Table1[[#This Row],[Wealthier_Winner]]=1,"Wealthier Nation Wins")</f>
        <v>Tie</v>
      </c>
    </row>
    <row r="2408" spans="1:17" x14ac:dyDescent="0.2">
      <c r="A2408" s="1">
        <v>3962</v>
      </c>
      <c r="B2408" s="2">
        <v>37006</v>
      </c>
      <c r="C2408" s="7">
        <f>_xlfn.FLOOR.MATH(Table1[[#This Row],[year]],10)</f>
        <v>2000</v>
      </c>
      <c r="D2408" t="s">
        <v>525</v>
      </c>
      <c r="E2408" t="s">
        <v>549</v>
      </c>
      <c r="F2408">
        <v>1</v>
      </c>
      <c r="G2408">
        <v>1</v>
      </c>
      <c r="H2408" t="s">
        <v>224</v>
      </c>
      <c r="I2408" t="s">
        <v>526</v>
      </c>
      <c r="J2408" t="s">
        <v>525</v>
      </c>
      <c r="K2408" t="b">
        <v>0</v>
      </c>
      <c r="L2408">
        <v>2001</v>
      </c>
      <c r="M2408">
        <v>8190888739</v>
      </c>
      <c r="N2408">
        <v>1059529812</v>
      </c>
      <c r="O2408" t="b">
        <v>1</v>
      </c>
      <c r="P2408">
        <v>0</v>
      </c>
      <c r="Q2408" t="str" cm="1">
        <f t="array" ref="Q2408">_xlfn.IFS(Table1[[#This Row],[Wealthier_Winner]]=-1,"Wealthier Nation Loses",Table1[[#This Row],[Wealthier_Winner]]=0,"Tie",Table1[[#This Row],[Wealthier_Winner]]=1,"Wealthier Nation Wins")</f>
        <v>Tie</v>
      </c>
    </row>
    <row r="2409" spans="1:17" x14ac:dyDescent="0.2">
      <c r="A2409" s="1">
        <v>3964</v>
      </c>
      <c r="B2409" s="2">
        <v>37006</v>
      </c>
      <c r="C2409" s="7">
        <f>_xlfn.FLOOR.MATH(Table1[[#This Row],[year]],10)</f>
        <v>2000</v>
      </c>
      <c r="D2409" t="s">
        <v>303</v>
      </c>
      <c r="E2409" t="s">
        <v>66</v>
      </c>
      <c r="F2409">
        <v>1</v>
      </c>
      <c r="G2409">
        <v>4</v>
      </c>
      <c r="H2409" t="s">
        <v>224</v>
      </c>
      <c r="I2409" t="s">
        <v>399</v>
      </c>
      <c r="J2409" t="s">
        <v>303</v>
      </c>
      <c r="K2409" t="b">
        <v>0</v>
      </c>
      <c r="L2409">
        <v>2001</v>
      </c>
      <c r="M2409">
        <v>4070867133</v>
      </c>
      <c r="N2409">
        <v>8323401820</v>
      </c>
      <c r="O2409" t="b">
        <v>1</v>
      </c>
      <c r="P2409">
        <v>1</v>
      </c>
      <c r="Q2409" t="str" cm="1">
        <f t="array" ref="Q2409">_xlfn.IFS(Table1[[#This Row],[Wealthier_Winner]]=-1,"Wealthier Nation Loses",Table1[[#This Row],[Wealthier_Winner]]=0,"Tie",Table1[[#This Row],[Wealthier_Winner]]=1,"Wealthier Nation Wins")</f>
        <v>Wealthier Nation Wins</v>
      </c>
    </row>
    <row r="2410" spans="1:17" x14ac:dyDescent="0.2">
      <c r="A2410" s="1">
        <v>3965</v>
      </c>
      <c r="B2410" s="2">
        <v>37006</v>
      </c>
      <c r="C2410" s="7">
        <f>_xlfn.FLOOR.MATH(Table1[[#This Row],[year]],10)</f>
        <v>2000</v>
      </c>
      <c r="D2410" t="s">
        <v>27</v>
      </c>
      <c r="E2410" t="s">
        <v>351</v>
      </c>
      <c r="F2410">
        <v>4</v>
      </c>
      <c r="G2410">
        <v>0</v>
      </c>
      <c r="H2410" t="s">
        <v>224</v>
      </c>
      <c r="I2410" t="s">
        <v>624</v>
      </c>
      <c r="J2410" t="s">
        <v>27</v>
      </c>
      <c r="K2410" t="b">
        <v>0</v>
      </c>
      <c r="L2410">
        <v>2001</v>
      </c>
      <c r="M2410">
        <v>432536219668</v>
      </c>
      <c r="N2410">
        <v>10397898907</v>
      </c>
      <c r="O2410" t="b">
        <v>1</v>
      </c>
      <c r="P2410">
        <v>1</v>
      </c>
      <c r="Q2410" t="str" cm="1">
        <f t="array" ref="Q2410">_xlfn.IFS(Table1[[#This Row],[Wealthier_Winner]]=-1,"Wealthier Nation Loses",Table1[[#This Row],[Wealthier_Winner]]=0,"Tie",Table1[[#This Row],[Wealthier_Winner]]=1,"Wealthier Nation Wins")</f>
        <v>Wealthier Nation Wins</v>
      </c>
    </row>
    <row r="2411" spans="1:17" x14ac:dyDescent="0.2">
      <c r="A2411" s="1">
        <v>3966</v>
      </c>
      <c r="B2411" s="2">
        <v>37006</v>
      </c>
      <c r="C2411" s="7">
        <f>_xlfn.FLOOR.MATH(Table1[[#This Row],[year]],10)</f>
        <v>2000</v>
      </c>
      <c r="D2411" t="s">
        <v>61</v>
      </c>
      <c r="E2411" t="s">
        <v>196</v>
      </c>
      <c r="F2411">
        <v>0</v>
      </c>
      <c r="G2411">
        <v>1</v>
      </c>
      <c r="H2411" t="s">
        <v>224</v>
      </c>
      <c r="I2411" t="s">
        <v>505</v>
      </c>
      <c r="J2411" t="s">
        <v>506</v>
      </c>
      <c r="K2411" t="b">
        <v>0</v>
      </c>
      <c r="L2411">
        <v>2001</v>
      </c>
      <c r="M2411">
        <v>13599378661</v>
      </c>
      <c r="N2411">
        <v>306602070620</v>
      </c>
      <c r="O2411" t="b">
        <v>1</v>
      </c>
      <c r="P2411">
        <v>1</v>
      </c>
      <c r="Q2411" t="str" cm="1">
        <f t="array" ref="Q2411">_xlfn.IFS(Table1[[#This Row],[Wealthier_Winner]]=-1,"Wealthier Nation Loses",Table1[[#This Row],[Wealthier_Winner]]=0,"Tie",Table1[[#This Row],[Wealthier_Winner]]=1,"Wealthier Nation Wins")</f>
        <v>Wealthier Nation Wins</v>
      </c>
    </row>
    <row r="2412" spans="1:17" x14ac:dyDescent="0.2">
      <c r="A2412" s="1">
        <v>3967</v>
      </c>
      <c r="B2412" s="2">
        <v>37006</v>
      </c>
      <c r="C2412" s="7">
        <f>_xlfn.FLOOR.MATH(Table1[[#This Row],[year]],10)</f>
        <v>2000</v>
      </c>
      <c r="D2412" t="s">
        <v>59</v>
      </c>
      <c r="E2412" t="s">
        <v>17</v>
      </c>
      <c r="F2412">
        <v>1</v>
      </c>
      <c r="G2412">
        <v>1</v>
      </c>
      <c r="H2412" t="s">
        <v>224</v>
      </c>
      <c r="I2412" t="s">
        <v>253</v>
      </c>
      <c r="J2412" t="s">
        <v>59</v>
      </c>
      <c r="K2412" t="b">
        <v>0</v>
      </c>
      <c r="L2412">
        <v>2001</v>
      </c>
      <c r="M2412">
        <v>8824849191</v>
      </c>
      <c r="N2412">
        <v>796064590549</v>
      </c>
      <c r="O2412" t="b">
        <v>1</v>
      </c>
      <c r="P2412">
        <v>0</v>
      </c>
      <c r="Q2412" t="str" cm="1">
        <f t="array" ref="Q2412">_xlfn.IFS(Table1[[#This Row],[Wealthier_Winner]]=-1,"Wealthier Nation Loses",Table1[[#This Row],[Wealthier_Winner]]=0,"Tie",Table1[[#This Row],[Wealthier_Winner]]=1,"Wealthier Nation Wins")</f>
        <v>Tie</v>
      </c>
    </row>
    <row r="2413" spans="1:17" x14ac:dyDescent="0.2">
      <c r="A2413" s="1">
        <v>3968</v>
      </c>
      <c r="B2413" s="2">
        <v>37006</v>
      </c>
      <c r="C2413" s="7">
        <f>_xlfn.FLOOR.MATH(Table1[[#This Row],[year]],10)</f>
        <v>2000</v>
      </c>
      <c r="D2413" t="s">
        <v>41</v>
      </c>
      <c r="E2413" t="s">
        <v>56</v>
      </c>
      <c r="F2413">
        <v>1</v>
      </c>
      <c r="G2413">
        <v>0</v>
      </c>
      <c r="H2413" t="s">
        <v>224</v>
      </c>
      <c r="I2413" t="s">
        <v>276</v>
      </c>
      <c r="J2413" t="s">
        <v>41</v>
      </c>
      <c r="K2413" t="b">
        <v>0</v>
      </c>
      <c r="L2413">
        <v>2001</v>
      </c>
      <c r="M2413">
        <v>10581929774000</v>
      </c>
      <c r="N2413">
        <v>15976174336</v>
      </c>
      <c r="O2413" t="b">
        <v>1</v>
      </c>
      <c r="P2413">
        <v>1</v>
      </c>
      <c r="Q2413" t="str" cm="1">
        <f t="array" ref="Q2413">_xlfn.IFS(Table1[[#This Row],[Wealthier_Winner]]=-1,"Wealthier Nation Loses",Table1[[#This Row],[Wealthier_Winner]]=0,"Tie",Table1[[#This Row],[Wealthier_Winner]]=1,"Wealthier Nation Wins")</f>
        <v>Wealthier Nation Wins</v>
      </c>
    </row>
    <row r="2414" spans="1:17" x14ac:dyDescent="0.2">
      <c r="A2414" s="1">
        <v>3969</v>
      </c>
      <c r="B2414" s="2">
        <v>37006</v>
      </c>
      <c r="C2414" s="7">
        <f>_xlfn.FLOOR.MATH(Table1[[#This Row],[year]],10)</f>
        <v>2000</v>
      </c>
      <c r="D2414" t="s">
        <v>563</v>
      </c>
      <c r="E2414" t="s">
        <v>560</v>
      </c>
      <c r="F2414">
        <v>1</v>
      </c>
      <c r="G2414">
        <v>0</v>
      </c>
      <c r="H2414" t="s">
        <v>224</v>
      </c>
      <c r="I2414" t="s">
        <v>564</v>
      </c>
      <c r="J2414" t="s">
        <v>563</v>
      </c>
      <c r="K2414" t="b">
        <v>0</v>
      </c>
      <c r="L2414">
        <v>2001</v>
      </c>
      <c r="M2414">
        <v>11401421329</v>
      </c>
      <c r="N2414">
        <v>3534772732</v>
      </c>
      <c r="O2414" t="b">
        <v>1</v>
      </c>
      <c r="P2414">
        <v>1</v>
      </c>
      <c r="Q2414" t="str" cm="1">
        <f t="array" ref="Q2414">_xlfn.IFS(Table1[[#This Row],[Wealthier_Winner]]=-1,"Wealthier Nation Loses",Table1[[#This Row],[Wealthier_Winner]]=0,"Tie",Table1[[#This Row],[Wealthier_Winner]]=1,"Wealthier Nation Wins")</f>
        <v>Wealthier Nation Wins</v>
      </c>
    </row>
    <row r="2415" spans="1:17" x14ac:dyDescent="0.2">
      <c r="A2415" s="1">
        <v>3971</v>
      </c>
      <c r="B2415" s="2">
        <v>37007</v>
      </c>
      <c r="C2415" s="7">
        <f>_xlfn.FLOOR.MATH(Table1[[#This Row],[year]],10)</f>
        <v>2000</v>
      </c>
      <c r="D2415" t="s">
        <v>39</v>
      </c>
      <c r="E2415" t="s">
        <v>406</v>
      </c>
      <c r="F2415">
        <v>1</v>
      </c>
      <c r="G2415">
        <v>0</v>
      </c>
      <c r="H2415" t="s">
        <v>224</v>
      </c>
      <c r="I2415" t="s">
        <v>478</v>
      </c>
      <c r="J2415" t="s">
        <v>39</v>
      </c>
      <c r="K2415" t="b">
        <v>0</v>
      </c>
      <c r="L2415">
        <v>2001</v>
      </c>
      <c r="M2415">
        <v>103311640571</v>
      </c>
      <c r="N2415">
        <v>485440139204</v>
      </c>
      <c r="O2415" t="b">
        <v>1</v>
      </c>
      <c r="P2415">
        <v>-1</v>
      </c>
      <c r="Q2415" t="str" cm="1">
        <f t="array" ref="Q2415">_xlfn.IFS(Table1[[#This Row],[Wealthier_Winner]]=-1,"Wealthier Nation Loses",Table1[[#This Row],[Wealthier_Winner]]=0,"Tie",Table1[[#This Row],[Wealthier_Winner]]=1,"Wealthier Nation Wins")</f>
        <v>Wealthier Nation Loses</v>
      </c>
    </row>
    <row r="2416" spans="1:17" x14ac:dyDescent="0.2">
      <c r="A2416" s="1">
        <v>3972</v>
      </c>
      <c r="B2416" s="2">
        <v>37008</v>
      </c>
      <c r="C2416" s="7">
        <f>_xlfn.FLOOR.MATH(Table1[[#This Row],[year]],10)</f>
        <v>2000</v>
      </c>
      <c r="D2416" t="s">
        <v>563</v>
      </c>
      <c r="E2416" t="s">
        <v>403</v>
      </c>
      <c r="F2416">
        <v>2</v>
      </c>
      <c r="G2416">
        <v>2</v>
      </c>
      <c r="H2416" t="s">
        <v>224</v>
      </c>
      <c r="I2416" t="s">
        <v>564</v>
      </c>
      <c r="J2416" t="s">
        <v>563</v>
      </c>
      <c r="K2416" t="b">
        <v>0</v>
      </c>
      <c r="L2416">
        <v>2001</v>
      </c>
      <c r="M2416">
        <v>11401421329</v>
      </c>
      <c r="N2416">
        <v>8975814652</v>
      </c>
      <c r="O2416" t="b">
        <v>0</v>
      </c>
      <c r="P2416">
        <v>0</v>
      </c>
      <c r="Q2416" t="str" cm="1">
        <f t="array" ref="Q2416">_xlfn.IFS(Table1[[#This Row],[Wealthier_Winner]]=-1,"Wealthier Nation Loses",Table1[[#This Row],[Wealthier_Winner]]=0,"Tie",Table1[[#This Row],[Wealthier_Winner]]=1,"Wealthier Nation Wins")</f>
        <v>Tie</v>
      </c>
    </row>
    <row r="2417" spans="1:17" x14ac:dyDescent="0.2">
      <c r="A2417" s="1">
        <v>3977</v>
      </c>
      <c r="B2417" s="2">
        <v>37010</v>
      </c>
      <c r="C2417" s="7">
        <f>_xlfn.FLOOR.MATH(Table1[[#This Row],[year]],10)</f>
        <v>2000</v>
      </c>
      <c r="D2417" t="s">
        <v>551</v>
      </c>
      <c r="E2417" t="s">
        <v>328</v>
      </c>
      <c r="F2417">
        <v>0</v>
      </c>
      <c r="G2417">
        <v>2</v>
      </c>
      <c r="H2417" t="s">
        <v>224</v>
      </c>
      <c r="I2417" t="s">
        <v>553</v>
      </c>
      <c r="J2417" t="s">
        <v>551</v>
      </c>
      <c r="K2417" t="b">
        <v>0</v>
      </c>
      <c r="L2417">
        <v>2001</v>
      </c>
      <c r="M2417">
        <v>4145665969</v>
      </c>
      <c r="N2417">
        <v>160446947784</v>
      </c>
      <c r="O2417" t="b">
        <v>1</v>
      </c>
      <c r="P2417">
        <v>1</v>
      </c>
      <c r="Q2417" t="str" cm="1">
        <f t="array" ref="Q2417">_xlfn.IFS(Table1[[#This Row],[Wealthier_Winner]]=-1,"Wealthier Nation Loses",Table1[[#This Row],[Wealthier_Winner]]=0,"Tie",Table1[[#This Row],[Wealthier_Winner]]=1,"Wealthier Nation Wins")</f>
        <v>Wealthier Nation Wins</v>
      </c>
    </row>
    <row r="2418" spans="1:17" x14ac:dyDescent="0.2">
      <c r="A2418" s="1">
        <v>3979</v>
      </c>
      <c r="B2418" s="2">
        <v>37011</v>
      </c>
      <c r="C2418" s="7">
        <f>_xlfn.FLOOR.MATH(Table1[[#This Row],[year]],10)</f>
        <v>2000</v>
      </c>
      <c r="D2418" t="s">
        <v>331</v>
      </c>
      <c r="E2418" t="s">
        <v>532</v>
      </c>
      <c r="F2418">
        <v>12</v>
      </c>
      <c r="G2418">
        <v>0</v>
      </c>
      <c r="H2418" t="s">
        <v>224</v>
      </c>
      <c r="I2418" t="s">
        <v>625</v>
      </c>
      <c r="J2418" t="s">
        <v>331</v>
      </c>
      <c r="K2418" t="b">
        <v>0</v>
      </c>
      <c r="L2418">
        <v>2001</v>
      </c>
      <c r="M2418">
        <v>20237024724</v>
      </c>
      <c r="N2418">
        <v>78921234457</v>
      </c>
      <c r="O2418" t="b">
        <v>1</v>
      </c>
      <c r="P2418">
        <v>-1</v>
      </c>
      <c r="Q2418" t="str" cm="1">
        <f t="array" ref="Q2418">_xlfn.IFS(Table1[[#This Row],[Wealthier_Winner]]=-1,"Wealthier Nation Loses",Table1[[#This Row],[Wealthier_Winner]]=0,"Tie",Table1[[#This Row],[Wealthier_Winner]]=1,"Wealthier Nation Wins")</f>
        <v>Wealthier Nation Loses</v>
      </c>
    </row>
    <row r="2419" spans="1:17" x14ac:dyDescent="0.2">
      <c r="A2419" s="1">
        <v>3981</v>
      </c>
      <c r="B2419" s="2">
        <v>37014</v>
      </c>
      <c r="C2419" s="7">
        <f>_xlfn.FLOOR.MATH(Table1[[#This Row],[year]],10)</f>
        <v>2000</v>
      </c>
      <c r="D2419" t="s">
        <v>560</v>
      </c>
      <c r="E2419" t="s">
        <v>563</v>
      </c>
      <c r="F2419">
        <v>2</v>
      </c>
      <c r="G2419">
        <v>5</v>
      </c>
      <c r="H2419" t="s">
        <v>224</v>
      </c>
      <c r="I2419" t="s">
        <v>404</v>
      </c>
      <c r="J2419" t="s">
        <v>403</v>
      </c>
      <c r="K2419" t="b">
        <v>1</v>
      </c>
      <c r="L2419">
        <v>2001</v>
      </c>
      <c r="M2419">
        <v>3534772732</v>
      </c>
      <c r="N2419">
        <v>11401421329</v>
      </c>
      <c r="O2419" t="b">
        <v>1</v>
      </c>
      <c r="P2419">
        <v>1</v>
      </c>
      <c r="Q2419" t="str" cm="1">
        <f t="array" ref="Q2419">_xlfn.IFS(Table1[[#This Row],[Wealthier_Winner]]=-1,"Wealthier Nation Loses",Table1[[#This Row],[Wealthier_Winner]]=0,"Tie",Table1[[#This Row],[Wealthier_Winner]]=1,"Wealthier Nation Wins")</f>
        <v>Wealthier Nation Wins</v>
      </c>
    </row>
    <row r="2420" spans="1:17" x14ac:dyDescent="0.2">
      <c r="A2420" s="1">
        <v>3982</v>
      </c>
      <c r="B2420" s="2">
        <v>37015</v>
      </c>
      <c r="C2420" s="7">
        <f>_xlfn.FLOOR.MATH(Table1[[#This Row],[year]],10)</f>
        <v>2000</v>
      </c>
      <c r="D2420" t="s">
        <v>32</v>
      </c>
      <c r="E2420" t="s">
        <v>24</v>
      </c>
      <c r="F2420">
        <v>1</v>
      </c>
      <c r="G2420">
        <v>2</v>
      </c>
      <c r="H2420" t="s">
        <v>224</v>
      </c>
      <c r="I2420" t="s">
        <v>279</v>
      </c>
      <c r="J2420" t="s">
        <v>32</v>
      </c>
      <c r="K2420" t="b">
        <v>0</v>
      </c>
      <c r="L2420">
        <v>2001</v>
      </c>
      <c r="M2420">
        <v>59413400923</v>
      </c>
      <c r="N2420">
        <v>43831480207</v>
      </c>
      <c r="O2420" t="b">
        <v>0</v>
      </c>
      <c r="P2420">
        <v>-1</v>
      </c>
      <c r="Q2420" t="str" cm="1">
        <f t="array" ref="Q2420">_xlfn.IFS(Table1[[#This Row],[Wealthier_Winner]]=-1,"Wealthier Nation Loses",Table1[[#This Row],[Wealthier_Winner]]=0,"Tie",Table1[[#This Row],[Wealthier_Winner]]=1,"Wealthier Nation Wins")</f>
        <v>Wealthier Nation Loses</v>
      </c>
    </row>
    <row r="2421" spans="1:17" x14ac:dyDescent="0.2">
      <c r="A2421" s="1">
        <v>3984</v>
      </c>
      <c r="B2421" s="2">
        <v>37015</v>
      </c>
      <c r="C2421" s="7">
        <f>_xlfn.FLOOR.MATH(Table1[[#This Row],[year]],10)</f>
        <v>2000</v>
      </c>
      <c r="D2421" t="s">
        <v>331</v>
      </c>
      <c r="E2421" t="s">
        <v>532</v>
      </c>
      <c r="F2421">
        <v>5</v>
      </c>
      <c r="G2421">
        <v>1</v>
      </c>
      <c r="H2421" t="s">
        <v>224</v>
      </c>
      <c r="I2421" t="s">
        <v>625</v>
      </c>
      <c r="J2421" t="s">
        <v>331</v>
      </c>
      <c r="K2421" t="b">
        <v>0</v>
      </c>
      <c r="L2421">
        <v>2001</v>
      </c>
      <c r="M2421">
        <v>20237024724</v>
      </c>
      <c r="N2421">
        <v>78921234457</v>
      </c>
      <c r="O2421" t="b">
        <v>1</v>
      </c>
      <c r="P2421">
        <v>-1</v>
      </c>
      <c r="Q2421" t="str" cm="1">
        <f t="array" ref="Q2421">_xlfn.IFS(Table1[[#This Row],[Wealthier_Winner]]=-1,"Wealthier Nation Loses",Table1[[#This Row],[Wealthier_Winner]]=0,"Tie",Table1[[#This Row],[Wealthier_Winner]]=1,"Wealthier Nation Wins")</f>
        <v>Wealthier Nation Loses</v>
      </c>
    </row>
    <row r="2422" spans="1:17" x14ac:dyDescent="0.2">
      <c r="A2422" s="1">
        <v>3987</v>
      </c>
      <c r="B2422" s="2">
        <v>37016</v>
      </c>
      <c r="C2422" s="7">
        <f>_xlfn.FLOOR.MATH(Table1[[#This Row],[year]],10)</f>
        <v>2000</v>
      </c>
      <c r="D2422" t="s">
        <v>403</v>
      </c>
      <c r="E2422" t="s">
        <v>560</v>
      </c>
      <c r="F2422">
        <v>1</v>
      </c>
      <c r="G2422">
        <v>2</v>
      </c>
      <c r="H2422" t="s">
        <v>224</v>
      </c>
      <c r="I2422" t="s">
        <v>404</v>
      </c>
      <c r="J2422" t="s">
        <v>403</v>
      </c>
      <c r="K2422" t="b">
        <v>0</v>
      </c>
      <c r="L2422">
        <v>2001</v>
      </c>
      <c r="M2422">
        <v>8975814652</v>
      </c>
      <c r="N2422">
        <v>3534772732</v>
      </c>
      <c r="O2422" t="b">
        <v>1</v>
      </c>
      <c r="P2422">
        <v>-1</v>
      </c>
      <c r="Q2422" t="str" cm="1">
        <f t="array" ref="Q2422">_xlfn.IFS(Table1[[#This Row],[Wealthier_Winner]]=-1,"Wealthier Nation Loses",Table1[[#This Row],[Wealthier_Winner]]=0,"Tie",Table1[[#This Row],[Wealthier_Winner]]=1,"Wealthier Nation Wins")</f>
        <v>Wealthier Nation Loses</v>
      </c>
    </row>
    <row r="2423" spans="1:17" x14ac:dyDescent="0.2">
      <c r="A2423" s="1">
        <v>3988</v>
      </c>
      <c r="B2423" s="2">
        <v>37016</v>
      </c>
      <c r="C2423" s="7">
        <f>_xlfn.FLOOR.MATH(Table1[[#This Row],[year]],10)</f>
        <v>2000</v>
      </c>
      <c r="D2423" t="s">
        <v>410</v>
      </c>
      <c r="E2423" t="s">
        <v>53</v>
      </c>
      <c r="F2423">
        <v>0</v>
      </c>
      <c r="G2423">
        <v>2</v>
      </c>
      <c r="H2423" t="s">
        <v>224</v>
      </c>
      <c r="I2423" t="s">
        <v>413</v>
      </c>
      <c r="J2423" t="s">
        <v>410</v>
      </c>
      <c r="K2423" t="b">
        <v>0</v>
      </c>
      <c r="L2423">
        <v>2001</v>
      </c>
      <c r="M2423">
        <v>5438332601</v>
      </c>
      <c r="N2423">
        <v>22065832448</v>
      </c>
      <c r="O2423" t="b">
        <v>1</v>
      </c>
      <c r="P2423">
        <v>1</v>
      </c>
      <c r="Q2423" t="str" cm="1">
        <f t="array" ref="Q2423">_xlfn.IFS(Table1[[#This Row],[Wealthier_Winner]]=-1,"Wealthier Nation Loses",Table1[[#This Row],[Wealthier_Winner]]=0,"Tie",Table1[[#This Row],[Wealthier_Winner]]=1,"Wealthier Nation Wins")</f>
        <v>Wealthier Nation Wins</v>
      </c>
    </row>
    <row r="2424" spans="1:17" x14ac:dyDescent="0.2">
      <c r="A2424" s="1">
        <v>3989</v>
      </c>
      <c r="B2424" s="2">
        <v>37016</v>
      </c>
      <c r="C2424" s="7">
        <f>_xlfn.FLOOR.MATH(Table1[[#This Row],[year]],10)</f>
        <v>2000</v>
      </c>
      <c r="D2424" t="s">
        <v>43</v>
      </c>
      <c r="E2424" t="s">
        <v>378</v>
      </c>
      <c r="F2424">
        <v>2</v>
      </c>
      <c r="G2424">
        <v>0</v>
      </c>
      <c r="H2424" t="s">
        <v>224</v>
      </c>
      <c r="I2424" t="s">
        <v>610</v>
      </c>
      <c r="J2424" t="s">
        <v>43</v>
      </c>
      <c r="K2424" t="b">
        <v>0</v>
      </c>
      <c r="L2424">
        <v>2001</v>
      </c>
      <c r="M2424">
        <v>73557840064</v>
      </c>
      <c r="N2424">
        <v>906000000</v>
      </c>
      <c r="O2424" t="b">
        <v>1</v>
      </c>
      <c r="P2424">
        <v>1</v>
      </c>
      <c r="Q2424" t="str" cm="1">
        <f t="array" ref="Q2424">_xlfn.IFS(Table1[[#This Row],[Wealthier_Winner]]=-1,"Wealthier Nation Loses",Table1[[#This Row],[Wealthier_Winner]]=0,"Tie",Table1[[#This Row],[Wealthier_Winner]]=1,"Wealthier Nation Wins")</f>
        <v>Wealthier Nation Wins</v>
      </c>
    </row>
    <row r="2425" spans="1:17" x14ac:dyDescent="0.2">
      <c r="A2425" s="1">
        <v>3990</v>
      </c>
      <c r="B2425" s="2">
        <v>37016</v>
      </c>
      <c r="C2425" s="7">
        <f>_xlfn.FLOOR.MATH(Table1[[#This Row],[year]],10)</f>
        <v>2000</v>
      </c>
      <c r="D2425" t="s">
        <v>342</v>
      </c>
      <c r="E2425" t="s">
        <v>63</v>
      </c>
      <c r="F2425">
        <v>1</v>
      </c>
      <c r="G2425">
        <v>1</v>
      </c>
      <c r="H2425" t="s">
        <v>224</v>
      </c>
      <c r="I2425" t="s">
        <v>344</v>
      </c>
      <c r="J2425" t="s">
        <v>342</v>
      </c>
      <c r="K2425" t="b">
        <v>0</v>
      </c>
      <c r="L2425">
        <v>2001</v>
      </c>
      <c r="M2425">
        <v>1681473893</v>
      </c>
      <c r="N2425">
        <v>5314872854</v>
      </c>
      <c r="O2425" t="b">
        <v>1</v>
      </c>
      <c r="P2425">
        <v>0</v>
      </c>
      <c r="Q2425" t="str" cm="1">
        <f t="array" ref="Q2425">_xlfn.IFS(Table1[[#This Row],[Wealthier_Winner]]=-1,"Wealthier Nation Loses",Table1[[#This Row],[Wealthier_Winner]]=0,"Tie",Table1[[#This Row],[Wealthier_Winner]]=1,"Wealthier Nation Wins")</f>
        <v>Tie</v>
      </c>
    </row>
    <row r="2426" spans="1:17" x14ac:dyDescent="0.2">
      <c r="A2426" s="1">
        <v>3991</v>
      </c>
      <c r="B2426" s="2">
        <v>37016</v>
      </c>
      <c r="C2426" s="7">
        <f>_xlfn.FLOOR.MATH(Table1[[#This Row],[year]],10)</f>
        <v>2000</v>
      </c>
      <c r="D2426" t="s">
        <v>50</v>
      </c>
      <c r="E2426" t="s">
        <v>298</v>
      </c>
      <c r="F2426">
        <v>2</v>
      </c>
      <c r="G2426">
        <v>1</v>
      </c>
      <c r="H2426" t="s">
        <v>224</v>
      </c>
      <c r="I2426" t="s">
        <v>160</v>
      </c>
      <c r="J2426" t="s">
        <v>50</v>
      </c>
      <c r="K2426" t="b">
        <v>0</v>
      </c>
      <c r="L2426">
        <v>2001</v>
      </c>
      <c r="M2426">
        <v>135429905922</v>
      </c>
      <c r="N2426">
        <v>6780750000</v>
      </c>
      <c r="O2426" t="b">
        <v>1</v>
      </c>
      <c r="P2426">
        <v>1</v>
      </c>
      <c r="Q2426" t="str" cm="1">
        <f t="array" ref="Q2426">_xlfn.IFS(Table1[[#This Row],[Wealthier_Winner]]=-1,"Wealthier Nation Loses",Table1[[#This Row],[Wealthier_Winner]]=0,"Tie",Table1[[#This Row],[Wealthier_Winner]]=1,"Wealthier Nation Wins")</f>
        <v>Wealthier Nation Wins</v>
      </c>
    </row>
    <row r="2427" spans="1:17" x14ac:dyDescent="0.2">
      <c r="A2427" s="1">
        <v>3993</v>
      </c>
      <c r="B2427" s="2">
        <v>37017</v>
      </c>
      <c r="C2427" s="7">
        <f>_xlfn.FLOOR.MATH(Table1[[#This Row],[year]],10)</f>
        <v>2000</v>
      </c>
      <c r="D2427" t="s">
        <v>60</v>
      </c>
      <c r="E2427" t="s">
        <v>40</v>
      </c>
      <c r="F2427">
        <v>2</v>
      </c>
      <c r="G2427">
        <v>0</v>
      </c>
      <c r="H2427" t="s">
        <v>224</v>
      </c>
      <c r="I2427" t="s">
        <v>396</v>
      </c>
      <c r="J2427" t="s">
        <v>60</v>
      </c>
      <c r="K2427" t="b">
        <v>0</v>
      </c>
      <c r="L2427">
        <v>2001</v>
      </c>
      <c r="M2427">
        <v>8936079117</v>
      </c>
      <c r="N2427">
        <v>10953485349</v>
      </c>
      <c r="O2427" t="b">
        <v>0</v>
      </c>
      <c r="P2427">
        <v>-1</v>
      </c>
      <c r="Q2427" t="str" cm="1">
        <f t="array" ref="Q2427">_xlfn.IFS(Table1[[#This Row],[Wealthier_Winner]]=-1,"Wealthier Nation Loses",Table1[[#This Row],[Wealthier_Winner]]=0,"Tie",Table1[[#This Row],[Wealthier_Winner]]=1,"Wealthier Nation Wins")</f>
        <v>Wealthier Nation Loses</v>
      </c>
    </row>
    <row r="2428" spans="1:17" x14ac:dyDescent="0.2">
      <c r="A2428" s="1">
        <v>3996</v>
      </c>
      <c r="B2428" s="2">
        <v>37017</v>
      </c>
      <c r="C2428" s="7">
        <f>_xlfn.FLOOR.MATH(Table1[[#This Row],[year]],10)</f>
        <v>2000</v>
      </c>
      <c r="D2428" t="s">
        <v>212</v>
      </c>
      <c r="E2428" t="s">
        <v>54</v>
      </c>
      <c r="F2428">
        <v>1</v>
      </c>
      <c r="G2428">
        <v>0</v>
      </c>
      <c r="H2428" t="s">
        <v>224</v>
      </c>
      <c r="I2428" t="s">
        <v>322</v>
      </c>
      <c r="J2428" t="s">
        <v>212</v>
      </c>
      <c r="K2428" t="b">
        <v>0</v>
      </c>
      <c r="L2428">
        <v>2001</v>
      </c>
      <c r="M2428">
        <v>96684636118</v>
      </c>
      <c r="N2428">
        <v>6507824829</v>
      </c>
      <c r="O2428" t="b">
        <v>1</v>
      </c>
      <c r="P2428">
        <v>1</v>
      </c>
      <c r="Q2428" t="str" cm="1">
        <f t="array" ref="Q2428">_xlfn.IFS(Table1[[#This Row],[Wealthier_Winner]]=-1,"Wealthier Nation Loses",Table1[[#This Row],[Wealthier_Winner]]=0,"Tie",Table1[[#This Row],[Wealthier_Winner]]=1,"Wealthier Nation Wins")</f>
        <v>Wealthier Nation Wins</v>
      </c>
    </row>
    <row r="2429" spans="1:17" x14ac:dyDescent="0.2">
      <c r="A2429" s="1">
        <v>3997</v>
      </c>
      <c r="B2429" s="2">
        <v>37017</v>
      </c>
      <c r="C2429" s="7">
        <f>_xlfn.FLOOR.MATH(Table1[[#This Row],[year]],10)</f>
        <v>2000</v>
      </c>
      <c r="D2429" t="s">
        <v>567</v>
      </c>
      <c r="E2429" t="s">
        <v>328</v>
      </c>
      <c r="F2429">
        <v>0</v>
      </c>
      <c r="G2429">
        <v>2</v>
      </c>
      <c r="H2429" t="s">
        <v>224</v>
      </c>
      <c r="I2429" t="s">
        <v>620</v>
      </c>
      <c r="J2429" t="s">
        <v>567</v>
      </c>
      <c r="K2429" t="b">
        <v>0</v>
      </c>
      <c r="L2429">
        <v>2001</v>
      </c>
      <c r="M2429">
        <v>870031676</v>
      </c>
      <c r="N2429">
        <v>160446947784</v>
      </c>
      <c r="O2429" t="b">
        <v>1</v>
      </c>
      <c r="P2429">
        <v>1</v>
      </c>
      <c r="Q2429" t="str" cm="1">
        <f t="array" ref="Q2429">_xlfn.IFS(Table1[[#This Row],[Wealthier_Winner]]=-1,"Wealthier Nation Loses",Table1[[#This Row],[Wealthier_Winner]]=0,"Tie",Table1[[#This Row],[Wealthier_Winner]]=1,"Wealthier Nation Wins")</f>
        <v>Wealthier Nation Wins</v>
      </c>
    </row>
    <row r="2430" spans="1:17" x14ac:dyDescent="0.2">
      <c r="A2430" s="1">
        <v>3998</v>
      </c>
      <c r="B2430" s="2">
        <v>37017</v>
      </c>
      <c r="C2430" s="7">
        <f>_xlfn.FLOOR.MATH(Table1[[#This Row],[year]],10)</f>
        <v>2000</v>
      </c>
      <c r="D2430" t="s">
        <v>62</v>
      </c>
      <c r="E2430" t="s">
        <v>273</v>
      </c>
      <c r="F2430">
        <v>3</v>
      </c>
      <c r="G2430">
        <v>2</v>
      </c>
      <c r="H2430" t="s">
        <v>224</v>
      </c>
      <c r="I2430" t="s">
        <v>353</v>
      </c>
      <c r="J2430" t="s">
        <v>62</v>
      </c>
      <c r="K2430" t="b">
        <v>0</v>
      </c>
      <c r="L2430">
        <v>2001</v>
      </c>
      <c r="M2430">
        <v>2093498674</v>
      </c>
      <c r="N2430">
        <v>4094441301</v>
      </c>
      <c r="O2430" t="b">
        <v>0</v>
      </c>
      <c r="P2430">
        <v>-1</v>
      </c>
      <c r="Q2430" t="str" cm="1">
        <f t="array" ref="Q2430">_xlfn.IFS(Table1[[#This Row],[Wealthier_Winner]]=-1,"Wealthier Nation Loses",Table1[[#This Row],[Wealthier_Winner]]=0,"Tie",Table1[[#This Row],[Wealthier_Winner]]=1,"Wealthier Nation Wins")</f>
        <v>Wealthier Nation Loses</v>
      </c>
    </row>
    <row r="2431" spans="1:17" x14ac:dyDescent="0.2">
      <c r="A2431" s="1">
        <v>3999</v>
      </c>
      <c r="B2431" s="2">
        <v>37018</v>
      </c>
      <c r="C2431" s="7">
        <f>_xlfn.FLOOR.MATH(Table1[[#This Row],[year]],10)</f>
        <v>2000</v>
      </c>
      <c r="D2431" t="s">
        <v>403</v>
      </c>
      <c r="E2431" t="s">
        <v>563</v>
      </c>
      <c r="F2431">
        <v>1</v>
      </c>
      <c r="G2431">
        <v>1</v>
      </c>
      <c r="H2431" t="s">
        <v>224</v>
      </c>
      <c r="I2431" t="s">
        <v>404</v>
      </c>
      <c r="J2431" t="s">
        <v>403</v>
      </c>
      <c r="K2431" t="b">
        <v>0</v>
      </c>
      <c r="L2431">
        <v>2001</v>
      </c>
      <c r="M2431">
        <v>8975814652</v>
      </c>
      <c r="N2431">
        <v>11401421329</v>
      </c>
      <c r="O2431" t="b">
        <v>0</v>
      </c>
      <c r="P2431">
        <v>0</v>
      </c>
      <c r="Q2431" t="str" cm="1">
        <f t="array" ref="Q2431">_xlfn.IFS(Table1[[#This Row],[Wealthier_Winner]]=-1,"Wealthier Nation Loses",Table1[[#This Row],[Wealthier_Winner]]=0,"Tie",Table1[[#This Row],[Wealthier_Winner]]=1,"Wealthier Nation Wins")</f>
        <v>Tie</v>
      </c>
    </row>
    <row r="2432" spans="1:17" x14ac:dyDescent="0.2">
      <c r="A2432" s="1">
        <v>4000</v>
      </c>
      <c r="B2432" s="2">
        <v>37018</v>
      </c>
      <c r="C2432" s="7">
        <f>_xlfn.FLOOR.MATH(Table1[[#This Row],[year]],10)</f>
        <v>2000</v>
      </c>
      <c r="D2432" t="s">
        <v>429</v>
      </c>
      <c r="E2432" t="s">
        <v>532</v>
      </c>
      <c r="F2432">
        <v>7</v>
      </c>
      <c r="G2432">
        <v>0</v>
      </c>
      <c r="H2432" t="s">
        <v>224</v>
      </c>
      <c r="I2432" t="s">
        <v>430</v>
      </c>
      <c r="J2432" t="s">
        <v>429</v>
      </c>
      <c r="K2432" t="b">
        <v>0</v>
      </c>
      <c r="L2432">
        <v>2001</v>
      </c>
      <c r="M2432">
        <v>22205721716</v>
      </c>
      <c r="N2432">
        <v>78921234457</v>
      </c>
      <c r="O2432" t="b">
        <v>1</v>
      </c>
      <c r="P2432">
        <v>-1</v>
      </c>
      <c r="Q2432" t="str" cm="1">
        <f t="array" ref="Q2432">_xlfn.IFS(Table1[[#This Row],[Wealthier_Winner]]=-1,"Wealthier Nation Loses",Table1[[#This Row],[Wealthier_Winner]]=0,"Tie",Table1[[#This Row],[Wealthier_Winner]]=1,"Wealthier Nation Wins")</f>
        <v>Wealthier Nation Loses</v>
      </c>
    </row>
    <row r="2433" spans="1:17" x14ac:dyDescent="0.2">
      <c r="A2433" s="1">
        <v>4003</v>
      </c>
      <c r="B2433" s="2">
        <v>37022</v>
      </c>
      <c r="C2433" s="7">
        <f>_xlfn.FLOOR.MATH(Table1[[#This Row],[year]],10)</f>
        <v>2000</v>
      </c>
      <c r="D2433" t="s">
        <v>429</v>
      </c>
      <c r="E2433" t="s">
        <v>532</v>
      </c>
      <c r="F2433">
        <v>2</v>
      </c>
      <c r="G2433">
        <v>0</v>
      </c>
      <c r="H2433" t="s">
        <v>224</v>
      </c>
      <c r="I2433" t="s">
        <v>430</v>
      </c>
      <c r="J2433" t="s">
        <v>429</v>
      </c>
      <c r="K2433" t="b">
        <v>0</v>
      </c>
      <c r="L2433">
        <v>2001</v>
      </c>
      <c r="M2433">
        <v>22205721716</v>
      </c>
      <c r="N2433">
        <v>78921234457</v>
      </c>
      <c r="O2433" t="b">
        <v>1</v>
      </c>
      <c r="P2433">
        <v>-1</v>
      </c>
      <c r="Q2433" t="str" cm="1">
        <f t="array" ref="Q2433">_xlfn.IFS(Table1[[#This Row],[Wealthier_Winner]]=-1,"Wealthier Nation Loses",Table1[[#This Row],[Wealthier_Winner]]=0,"Tie",Table1[[#This Row],[Wealthier_Winner]]=1,"Wealthier Nation Wins")</f>
        <v>Wealthier Nation Loses</v>
      </c>
    </row>
    <row r="2434" spans="1:17" x14ac:dyDescent="0.2">
      <c r="A2434" s="1">
        <v>4008</v>
      </c>
      <c r="B2434" s="2">
        <v>37024</v>
      </c>
      <c r="C2434" s="7">
        <f>_xlfn.FLOOR.MATH(Table1[[#This Row],[year]],10)</f>
        <v>2000</v>
      </c>
      <c r="D2434" t="s">
        <v>479</v>
      </c>
      <c r="E2434" t="s">
        <v>431</v>
      </c>
      <c r="F2434">
        <v>6</v>
      </c>
      <c r="G2434">
        <v>0</v>
      </c>
      <c r="H2434" t="s">
        <v>224</v>
      </c>
      <c r="I2434" t="s">
        <v>480</v>
      </c>
      <c r="J2434" t="s">
        <v>479</v>
      </c>
      <c r="K2434" t="b">
        <v>0</v>
      </c>
      <c r="L2434">
        <v>2001</v>
      </c>
      <c r="M2434">
        <v>17649751243</v>
      </c>
      <c r="N2434">
        <v>97145618479</v>
      </c>
      <c r="O2434" t="b">
        <v>1</v>
      </c>
      <c r="P2434">
        <v>-1</v>
      </c>
      <c r="Q2434" t="str" cm="1">
        <f t="array" ref="Q2434">_xlfn.IFS(Table1[[#This Row],[Wealthier_Winner]]=-1,"Wealthier Nation Loses",Table1[[#This Row],[Wealthier_Winner]]=0,"Tie",Table1[[#This Row],[Wealthier_Winner]]=1,"Wealthier Nation Wins")</f>
        <v>Wealthier Nation Loses</v>
      </c>
    </row>
    <row r="2435" spans="1:17" x14ac:dyDescent="0.2">
      <c r="A2435" s="1">
        <v>4009</v>
      </c>
      <c r="B2435" s="2">
        <v>37024</v>
      </c>
      <c r="C2435" s="7">
        <f>_xlfn.FLOOR.MATH(Table1[[#This Row],[year]],10)</f>
        <v>2000</v>
      </c>
      <c r="D2435" t="s">
        <v>334</v>
      </c>
      <c r="E2435" t="s">
        <v>473</v>
      </c>
      <c r="F2435">
        <v>4</v>
      </c>
      <c r="G2435">
        <v>2</v>
      </c>
      <c r="H2435" t="s">
        <v>224</v>
      </c>
      <c r="I2435" t="s">
        <v>480</v>
      </c>
      <c r="J2435" t="s">
        <v>479</v>
      </c>
      <c r="K2435" t="b">
        <v>1</v>
      </c>
      <c r="L2435">
        <v>2001</v>
      </c>
      <c r="M2435">
        <v>120296476180</v>
      </c>
      <c r="N2435">
        <v>15749753804</v>
      </c>
      <c r="O2435" t="b">
        <v>1</v>
      </c>
      <c r="P2435">
        <v>1</v>
      </c>
      <c r="Q2435" t="str" cm="1">
        <f t="array" ref="Q2435">_xlfn.IFS(Table1[[#This Row],[Wealthier_Winner]]=-1,"Wealthier Nation Loses",Table1[[#This Row],[Wealthier_Winner]]=0,"Tie",Table1[[#This Row],[Wealthier_Winner]]=1,"Wealthier Nation Wins")</f>
        <v>Wealthier Nation Wins</v>
      </c>
    </row>
    <row r="2436" spans="1:17" x14ac:dyDescent="0.2">
      <c r="A2436" s="1">
        <v>4010</v>
      </c>
      <c r="B2436" s="2">
        <v>37026</v>
      </c>
      <c r="C2436" s="7">
        <f>_xlfn.FLOOR.MATH(Table1[[#This Row],[year]],10)</f>
        <v>2000</v>
      </c>
      <c r="D2436" t="s">
        <v>479</v>
      </c>
      <c r="E2436" t="s">
        <v>473</v>
      </c>
      <c r="F2436">
        <v>4</v>
      </c>
      <c r="G2436">
        <v>0</v>
      </c>
      <c r="H2436" t="s">
        <v>224</v>
      </c>
      <c r="I2436" t="s">
        <v>480</v>
      </c>
      <c r="J2436" t="s">
        <v>479</v>
      </c>
      <c r="K2436" t="b">
        <v>0</v>
      </c>
      <c r="L2436">
        <v>2001</v>
      </c>
      <c r="M2436">
        <v>17649751243</v>
      </c>
      <c r="N2436">
        <v>15749753804</v>
      </c>
      <c r="O2436" t="b">
        <v>0</v>
      </c>
      <c r="P2436">
        <v>1</v>
      </c>
      <c r="Q2436" t="str" cm="1">
        <f t="array" ref="Q2436">_xlfn.IFS(Table1[[#This Row],[Wealthier_Winner]]=-1,"Wealthier Nation Loses",Table1[[#This Row],[Wealthier_Winner]]=0,"Tie",Table1[[#This Row],[Wealthier_Winner]]=1,"Wealthier Nation Wins")</f>
        <v>Wealthier Nation Wins</v>
      </c>
    </row>
    <row r="2437" spans="1:17" x14ac:dyDescent="0.2">
      <c r="A2437" s="1">
        <v>4011</v>
      </c>
      <c r="B2437" s="2">
        <v>37026</v>
      </c>
      <c r="C2437" s="7">
        <f>_xlfn.FLOOR.MATH(Table1[[#This Row],[year]],10)</f>
        <v>2000</v>
      </c>
      <c r="D2437" t="s">
        <v>334</v>
      </c>
      <c r="E2437" t="s">
        <v>431</v>
      </c>
      <c r="F2437">
        <v>3</v>
      </c>
      <c r="G2437">
        <v>0</v>
      </c>
      <c r="H2437" t="s">
        <v>224</v>
      </c>
      <c r="I2437" t="s">
        <v>480</v>
      </c>
      <c r="J2437" t="s">
        <v>479</v>
      </c>
      <c r="K2437" t="b">
        <v>1</v>
      </c>
      <c r="L2437">
        <v>2001</v>
      </c>
      <c r="M2437">
        <v>120296476180</v>
      </c>
      <c r="N2437">
        <v>97145618479</v>
      </c>
      <c r="O2437" t="b">
        <v>0</v>
      </c>
      <c r="P2437">
        <v>1</v>
      </c>
      <c r="Q2437" t="str" cm="1">
        <f t="array" ref="Q2437">_xlfn.IFS(Table1[[#This Row],[Wealthier_Winner]]=-1,"Wealthier Nation Loses",Table1[[#This Row],[Wealthier_Winner]]=0,"Tie",Table1[[#This Row],[Wealthier_Winner]]=1,"Wealthier Nation Wins")</f>
        <v>Wealthier Nation Wins</v>
      </c>
    </row>
    <row r="2438" spans="1:17" x14ac:dyDescent="0.2">
      <c r="A2438" s="1">
        <v>4012</v>
      </c>
      <c r="B2438" s="2">
        <v>37028</v>
      </c>
      <c r="C2438" s="7">
        <f>_xlfn.FLOOR.MATH(Table1[[#This Row],[year]],10)</f>
        <v>2000</v>
      </c>
      <c r="D2438" t="s">
        <v>479</v>
      </c>
      <c r="E2438" t="s">
        <v>334</v>
      </c>
      <c r="F2438">
        <v>1</v>
      </c>
      <c r="G2438">
        <v>2</v>
      </c>
      <c r="H2438" t="s">
        <v>224</v>
      </c>
      <c r="I2438" t="s">
        <v>480</v>
      </c>
      <c r="J2438" t="s">
        <v>479</v>
      </c>
      <c r="K2438" t="b">
        <v>0</v>
      </c>
      <c r="L2438">
        <v>2001</v>
      </c>
      <c r="M2438">
        <v>17649751243</v>
      </c>
      <c r="N2438">
        <v>120296476180</v>
      </c>
      <c r="O2438" t="b">
        <v>1</v>
      </c>
      <c r="P2438">
        <v>1</v>
      </c>
      <c r="Q2438" t="str" cm="1">
        <f t="array" ref="Q2438">_xlfn.IFS(Table1[[#This Row],[Wealthier_Winner]]=-1,"Wealthier Nation Loses",Table1[[#This Row],[Wealthier_Winner]]=0,"Tie",Table1[[#This Row],[Wealthier_Winner]]=1,"Wealthier Nation Wins")</f>
        <v>Wealthier Nation Wins</v>
      </c>
    </row>
    <row r="2439" spans="1:17" x14ac:dyDescent="0.2">
      <c r="A2439" s="1">
        <v>4013</v>
      </c>
      <c r="B2439" s="2">
        <v>37028</v>
      </c>
      <c r="C2439" s="7">
        <f>_xlfn.FLOOR.MATH(Table1[[#This Row],[year]],10)</f>
        <v>2000</v>
      </c>
      <c r="D2439" t="s">
        <v>431</v>
      </c>
      <c r="E2439" t="s">
        <v>473</v>
      </c>
      <c r="F2439">
        <v>3</v>
      </c>
      <c r="G2439">
        <v>3</v>
      </c>
      <c r="H2439" t="s">
        <v>224</v>
      </c>
      <c r="I2439" t="s">
        <v>480</v>
      </c>
      <c r="J2439" t="s">
        <v>479</v>
      </c>
      <c r="K2439" t="b">
        <v>1</v>
      </c>
      <c r="L2439">
        <v>2001</v>
      </c>
      <c r="M2439">
        <v>97145618479</v>
      </c>
      <c r="N2439">
        <v>15749753804</v>
      </c>
      <c r="O2439" t="b">
        <v>1</v>
      </c>
      <c r="P2439">
        <v>0</v>
      </c>
      <c r="Q2439" t="str" cm="1">
        <f t="array" ref="Q2439">_xlfn.IFS(Table1[[#This Row],[Wealthier_Winner]]=-1,"Wealthier Nation Loses",Table1[[#This Row],[Wealthier_Winner]]=0,"Tie",Table1[[#This Row],[Wealthier_Winner]]=1,"Wealthier Nation Wins")</f>
        <v>Tie</v>
      </c>
    </row>
    <row r="2440" spans="1:17" x14ac:dyDescent="0.2">
      <c r="A2440" s="1">
        <v>4014</v>
      </c>
      <c r="B2440" s="2">
        <v>37029</v>
      </c>
      <c r="C2440" s="7">
        <f>_xlfn.FLOOR.MATH(Table1[[#This Row],[year]],10)</f>
        <v>2000</v>
      </c>
      <c r="D2440" t="s">
        <v>331</v>
      </c>
      <c r="E2440" t="s">
        <v>429</v>
      </c>
      <c r="F2440">
        <v>3</v>
      </c>
      <c r="G2440">
        <v>3</v>
      </c>
      <c r="H2440" t="s">
        <v>224</v>
      </c>
      <c r="I2440" t="s">
        <v>625</v>
      </c>
      <c r="J2440" t="s">
        <v>331</v>
      </c>
      <c r="K2440" t="b">
        <v>0</v>
      </c>
      <c r="L2440">
        <v>2001</v>
      </c>
      <c r="M2440">
        <v>20237024724</v>
      </c>
      <c r="N2440">
        <v>22205721716</v>
      </c>
      <c r="O2440" t="b">
        <v>0</v>
      </c>
      <c r="P2440">
        <v>0</v>
      </c>
      <c r="Q2440" t="str" cm="1">
        <f t="array" ref="Q2440">_xlfn.IFS(Table1[[#This Row],[Wealthier_Winner]]=-1,"Wealthier Nation Loses",Table1[[#This Row],[Wealthier_Winner]]=0,"Tie",Table1[[#This Row],[Wealthier_Winner]]=1,"Wealthier Nation Wins")</f>
        <v>Tie</v>
      </c>
    </row>
    <row r="2441" spans="1:17" x14ac:dyDescent="0.2">
      <c r="A2441" s="1">
        <v>4020</v>
      </c>
      <c r="B2441" s="2">
        <v>37036</v>
      </c>
      <c r="C2441" s="7">
        <f>_xlfn.FLOOR.MATH(Table1[[#This Row],[year]],10)</f>
        <v>2000</v>
      </c>
      <c r="D2441" t="s">
        <v>429</v>
      </c>
      <c r="E2441" t="s">
        <v>331</v>
      </c>
      <c r="F2441">
        <v>2</v>
      </c>
      <c r="G2441">
        <v>0</v>
      </c>
      <c r="H2441" t="s">
        <v>224</v>
      </c>
      <c r="I2441" t="s">
        <v>430</v>
      </c>
      <c r="J2441" t="s">
        <v>429</v>
      </c>
      <c r="K2441" t="b">
        <v>0</v>
      </c>
      <c r="L2441">
        <v>2001</v>
      </c>
      <c r="M2441">
        <v>22205721716</v>
      </c>
      <c r="N2441">
        <v>20237024724</v>
      </c>
      <c r="O2441" t="b">
        <v>0</v>
      </c>
      <c r="P2441">
        <v>1</v>
      </c>
      <c r="Q2441" t="str" cm="1">
        <f t="array" ref="Q2441">_xlfn.IFS(Table1[[#This Row],[Wealthier_Winner]]=-1,"Wealthier Nation Loses",Table1[[#This Row],[Wealthier_Winner]]=0,"Tie",Table1[[#This Row],[Wealthier_Winner]]=1,"Wealthier Nation Wins")</f>
        <v>Wealthier Nation Wins</v>
      </c>
    </row>
    <row r="2442" spans="1:17" x14ac:dyDescent="0.2">
      <c r="A2442" s="1">
        <v>4021</v>
      </c>
      <c r="B2442" s="2">
        <v>37037</v>
      </c>
      <c r="C2442" s="7">
        <f>_xlfn.FLOOR.MATH(Table1[[#This Row],[year]],10)</f>
        <v>2000</v>
      </c>
      <c r="D2442" t="s">
        <v>431</v>
      </c>
      <c r="E2442" t="s">
        <v>479</v>
      </c>
      <c r="F2442">
        <v>1</v>
      </c>
      <c r="G2442">
        <v>8</v>
      </c>
      <c r="H2442" t="s">
        <v>224</v>
      </c>
      <c r="I2442" t="s">
        <v>407</v>
      </c>
      <c r="J2442" t="s">
        <v>334</v>
      </c>
      <c r="K2442" t="b">
        <v>1</v>
      </c>
      <c r="L2442">
        <v>2001</v>
      </c>
      <c r="M2442">
        <v>97145618479</v>
      </c>
      <c r="N2442">
        <v>17649751243</v>
      </c>
      <c r="O2442" t="b">
        <v>1</v>
      </c>
      <c r="P2442">
        <v>-1</v>
      </c>
      <c r="Q2442" t="str" cm="1">
        <f t="array" ref="Q2442">_xlfn.IFS(Table1[[#This Row],[Wealthier_Winner]]=-1,"Wealthier Nation Loses",Table1[[#This Row],[Wealthier_Winner]]=0,"Tie",Table1[[#This Row],[Wealthier_Winner]]=1,"Wealthier Nation Wins")</f>
        <v>Wealthier Nation Loses</v>
      </c>
    </row>
    <row r="2443" spans="1:17" x14ac:dyDescent="0.2">
      <c r="A2443" s="1">
        <v>4023</v>
      </c>
      <c r="B2443" s="2">
        <v>37037</v>
      </c>
      <c r="C2443" s="7">
        <f>_xlfn.FLOOR.MATH(Table1[[#This Row],[year]],10)</f>
        <v>2000</v>
      </c>
      <c r="D2443" t="s">
        <v>334</v>
      </c>
      <c r="E2443" t="s">
        <v>473</v>
      </c>
      <c r="F2443">
        <v>3</v>
      </c>
      <c r="G2443">
        <v>0</v>
      </c>
      <c r="H2443" t="s">
        <v>224</v>
      </c>
      <c r="I2443" t="s">
        <v>407</v>
      </c>
      <c r="J2443" t="s">
        <v>334</v>
      </c>
      <c r="K2443" t="b">
        <v>0</v>
      </c>
      <c r="L2443">
        <v>2001</v>
      </c>
      <c r="M2443">
        <v>120296476180</v>
      </c>
      <c r="N2443">
        <v>15749753804</v>
      </c>
      <c r="O2443" t="b">
        <v>1</v>
      </c>
      <c r="P2443">
        <v>1</v>
      </c>
      <c r="Q2443" t="str" cm="1">
        <f t="array" ref="Q2443">_xlfn.IFS(Table1[[#This Row],[Wealthier_Winner]]=-1,"Wealthier Nation Loses",Table1[[#This Row],[Wealthier_Winner]]=0,"Tie",Table1[[#This Row],[Wealthier_Winner]]=1,"Wealthier Nation Wins")</f>
        <v>Wealthier Nation Wins</v>
      </c>
    </row>
    <row r="2444" spans="1:17" x14ac:dyDescent="0.2">
      <c r="A2444" s="1">
        <v>4025</v>
      </c>
      <c r="B2444" s="2">
        <v>37039</v>
      </c>
      <c r="C2444" s="7">
        <f>_xlfn.FLOOR.MATH(Table1[[#This Row],[year]],10)</f>
        <v>2000</v>
      </c>
      <c r="D2444" t="s">
        <v>473</v>
      </c>
      <c r="E2444" t="s">
        <v>479</v>
      </c>
      <c r="F2444">
        <v>0</v>
      </c>
      <c r="G2444">
        <v>5</v>
      </c>
      <c r="H2444" t="s">
        <v>224</v>
      </c>
      <c r="I2444" t="s">
        <v>407</v>
      </c>
      <c r="J2444" t="s">
        <v>334</v>
      </c>
      <c r="K2444" t="b">
        <v>1</v>
      </c>
      <c r="L2444">
        <v>2001</v>
      </c>
      <c r="M2444">
        <v>15749753804</v>
      </c>
      <c r="N2444">
        <v>17649751243</v>
      </c>
      <c r="O2444" t="b">
        <v>0</v>
      </c>
      <c r="P2444">
        <v>1</v>
      </c>
      <c r="Q2444" t="str" cm="1">
        <f t="array" ref="Q2444">_xlfn.IFS(Table1[[#This Row],[Wealthier_Winner]]=-1,"Wealthier Nation Loses",Table1[[#This Row],[Wealthier_Winner]]=0,"Tie",Table1[[#This Row],[Wealthier_Winner]]=1,"Wealthier Nation Wins")</f>
        <v>Wealthier Nation Wins</v>
      </c>
    </row>
    <row r="2445" spans="1:17" x14ac:dyDescent="0.2">
      <c r="A2445" s="1">
        <v>4026</v>
      </c>
      <c r="B2445" s="2">
        <v>37039</v>
      </c>
      <c r="C2445" s="7">
        <f>_xlfn.FLOOR.MATH(Table1[[#This Row],[year]],10)</f>
        <v>2000</v>
      </c>
      <c r="D2445" t="s">
        <v>334</v>
      </c>
      <c r="E2445" t="s">
        <v>431</v>
      </c>
      <c r="F2445">
        <v>6</v>
      </c>
      <c r="G2445">
        <v>0</v>
      </c>
      <c r="H2445" t="s">
        <v>224</v>
      </c>
      <c r="I2445" t="s">
        <v>407</v>
      </c>
      <c r="J2445" t="s">
        <v>334</v>
      </c>
      <c r="K2445" t="b">
        <v>0</v>
      </c>
      <c r="L2445">
        <v>2001</v>
      </c>
      <c r="M2445">
        <v>120296476180</v>
      </c>
      <c r="N2445">
        <v>97145618479</v>
      </c>
      <c r="O2445" t="b">
        <v>0</v>
      </c>
      <c r="P2445">
        <v>1</v>
      </c>
      <c r="Q2445" t="str" cm="1">
        <f t="array" ref="Q2445">_xlfn.IFS(Table1[[#This Row],[Wealthier_Winner]]=-1,"Wealthier Nation Loses",Table1[[#This Row],[Wealthier_Winner]]=0,"Tie",Table1[[#This Row],[Wealthier_Winner]]=1,"Wealthier Nation Wins")</f>
        <v>Wealthier Nation Wins</v>
      </c>
    </row>
    <row r="2446" spans="1:17" x14ac:dyDescent="0.2">
      <c r="A2446" s="1">
        <v>4027</v>
      </c>
      <c r="B2446" s="2">
        <v>37041</v>
      </c>
      <c r="C2446" s="7">
        <f>_xlfn.FLOOR.MATH(Table1[[#This Row],[year]],10)</f>
        <v>2000</v>
      </c>
      <c r="D2446" t="s">
        <v>473</v>
      </c>
      <c r="E2446" t="s">
        <v>431</v>
      </c>
      <c r="F2446">
        <v>3</v>
      </c>
      <c r="G2446">
        <v>1</v>
      </c>
      <c r="H2446" t="s">
        <v>224</v>
      </c>
      <c r="I2446" t="s">
        <v>407</v>
      </c>
      <c r="J2446" t="s">
        <v>334</v>
      </c>
      <c r="K2446" t="b">
        <v>1</v>
      </c>
      <c r="L2446">
        <v>2001</v>
      </c>
      <c r="M2446">
        <v>15749753804</v>
      </c>
      <c r="N2446">
        <v>97145618479</v>
      </c>
      <c r="O2446" t="b">
        <v>1</v>
      </c>
      <c r="P2446">
        <v>-1</v>
      </c>
      <c r="Q2446" t="str" cm="1">
        <f t="array" ref="Q2446">_xlfn.IFS(Table1[[#This Row],[Wealthier_Winner]]=-1,"Wealthier Nation Loses",Table1[[#This Row],[Wealthier_Winner]]=0,"Tie",Table1[[#This Row],[Wealthier_Winner]]=1,"Wealthier Nation Wins")</f>
        <v>Wealthier Nation Loses</v>
      </c>
    </row>
    <row r="2447" spans="1:17" x14ac:dyDescent="0.2">
      <c r="A2447" s="1">
        <v>4028</v>
      </c>
      <c r="B2447" s="2">
        <v>37041</v>
      </c>
      <c r="C2447" s="7">
        <f>_xlfn.FLOOR.MATH(Table1[[#This Row],[year]],10)</f>
        <v>2000</v>
      </c>
      <c r="D2447" t="s">
        <v>334</v>
      </c>
      <c r="E2447" t="s">
        <v>479</v>
      </c>
      <c r="F2447">
        <v>2</v>
      </c>
      <c r="G2447">
        <v>2</v>
      </c>
      <c r="H2447" t="s">
        <v>224</v>
      </c>
      <c r="I2447" t="s">
        <v>407</v>
      </c>
      <c r="J2447" t="s">
        <v>334</v>
      </c>
      <c r="K2447" t="b">
        <v>0</v>
      </c>
      <c r="L2447">
        <v>2001</v>
      </c>
      <c r="M2447">
        <v>120296476180</v>
      </c>
      <c r="N2447">
        <v>17649751243</v>
      </c>
      <c r="O2447" t="b">
        <v>1</v>
      </c>
      <c r="P2447">
        <v>0</v>
      </c>
      <c r="Q2447" t="str" cm="1">
        <f t="array" ref="Q2447">_xlfn.IFS(Table1[[#This Row],[Wealthier_Winner]]=-1,"Wealthier Nation Loses",Table1[[#This Row],[Wealthier_Winner]]=0,"Tie",Table1[[#This Row],[Wealthier_Winner]]=1,"Wealthier Nation Wins")</f>
        <v>Tie</v>
      </c>
    </row>
    <row r="2448" spans="1:17" x14ac:dyDescent="0.2">
      <c r="A2448" s="1">
        <v>4029</v>
      </c>
      <c r="B2448" s="2">
        <v>37044</v>
      </c>
      <c r="C2448" s="7">
        <f>_xlfn.FLOOR.MATH(Table1[[#This Row],[year]],10)</f>
        <v>2000</v>
      </c>
      <c r="D2448" t="s">
        <v>519</v>
      </c>
      <c r="E2448" t="s">
        <v>510</v>
      </c>
      <c r="F2448">
        <v>0</v>
      </c>
      <c r="G2448">
        <v>0</v>
      </c>
      <c r="H2448" t="s">
        <v>224</v>
      </c>
      <c r="I2448" t="s">
        <v>520</v>
      </c>
      <c r="J2448" t="s">
        <v>519</v>
      </c>
      <c r="K2448" t="b">
        <v>0</v>
      </c>
      <c r="L2448">
        <v>2001</v>
      </c>
      <c r="M2448">
        <v>2118467913</v>
      </c>
      <c r="N2448">
        <v>12354820143</v>
      </c>
      <c r="O2448" t="b">
        <v>1</v>
      </c>
      <c r="P2448">
        <v>0</v>
      </c>
      <c r="Q2448" t="str" cm="1">
        <f t="array" ref="Q2448">_xlfn.IFS(Table1[[#This Row],[Wealthier_Winner]]=-1,"Wealthier Nation Loses",Table1[[#This Row],[Wealthier_Winner]]=0,"Tie",Table1[[#This Row],[Wealthier_Winner]]=1,"Wealthier Nation Wins")</f>
        <v>Tie</v>
      </c>
    </row>
    <row r="2449" spans="1:17" x14ac:dyDescent="0.2">
      <c r="A2449" s="1">
        <v>4030</v>
      </c>
      <c r="B2449" s="2">
        <v>37044</v>
      </c>
      <c r="C2449" s="7">
        <f>_xlfn.FLOOR.MATH(Table1[[#This Row],[year]],10)</f>
        <v>2000</v>
      </c>
      <c r="D2449" t="s">
        <v>23</v>
      </c>
      <c r="E2449" t="s">
        <v>525</v>
      </c>
      <c r="F2449">
        <v>3</v>
      </c>
      <c r="G2449">
        <v>1</v>
      </c>
      <c r="H2449" t="s">
        <v>224</v>
      </c>
      <c r="I2449" t="s">
        <v>235</v>
      </c>
      <c r="J2449" t="s">
        <v>23</v>
      </c>
      <c r="K2449" t="b">
        <v>0</v>
      </c>
      <c r="L2449">
        <v>2001</v>
      </c>
      <c r="M2449">
        <v>236746141604</v>
      </c>
      <c r="N2449">
        <v>8190888739</v>
      </c>
      <c r="O2449" t="b">
        <v>1</v>
      </c>
      <c r="P2449">
        <v>1</v>
      </c>
      <c r="Q2449" t="str" cm="1">
        <f t="array" ref="Q2449">_xlfn.IFS(Table1[[#This Row],[Wealthier_Winner]]=-1,"Wealthier Nation Loses",Table1[[#This Row],[Wealthier_Winner]]=0,"Tie",Table1[[#This Row],[Wealthier_Winner]]=1,"Wealthier Nation Wins")</f>
        <v>Wealthier Nation Wins</v>
      </c>
    </row>
    <row r="2450" spans="1:17" x14ac:dyDescent="0.2">
      <c r="A2450" s="1">
        <v>4031</v>
      </c>
      <c r="B2450" s="2">
        <v>37044</v>
      </c>
      <c r="C2450" s="7">
        <f>_xlfn.FLOOR.MATH(Table1[[#This Row],[year]],10)</f>
        <v>2000</v>
      </c>
      <c r="D2450" t="s">
        <v>52</v>
      </c>
      <c r="E2450" t="s">
        <v>549</v>
      </c>
      <c r="F2450">
        <v>4</v>
      </c>
      <c r="G2450">
        <v>0</v>
      </c>
      <c r="H2450" t="s">
        <v>224</v>
      </c>
      <c r="I2450" t="s">
        <v>626</v>
      </c>
      <c r="J2450" t="s">
        <v>52</v>
      </c>
      <c r="K2450" t="b">
        <v>0</v>
      </c>
      <c r="L2450">
        <v>2001</v>
      </c>
      <c r="M2450">
        <v>23066883849</v>
      </c>
      <c r="N2450">
        <v>1059529812</v>
      </c>
      <c r="O2450" t="b">
        <v>1</v>
      </c>
      <c r="P2450">
        <v>1</v>
      </c>
      <c r="Q2450" t="str" cm="1">
        <f t="array" ref="Q2450">_xlfn.IFS(Table1[[#This Row],[Wealthier_Winner]]=-1,"Wealthier Nation Loses",Table1[[#This Row],[Wealthier_Winner]]=0,"Tie",Table1[[#This Row],[Wealthier_Winner]]=1,"Wealthier Nation Wins")</f>
        <v>Wealthier Nation Wins</v>
      </c>
    </row>
    <row r="2451" spans="1:17" x14ac:dyDescent="0.2">
      <c r="A2451" s="1">
        <v>4033</v>
      </c>
      <c r="B2451" s="2">
        <v>37044</v>
      </c>
      <c r="C2451" s="7">
        <f>_xlfn.FLOOR.MATH(Table1[[#This Row],[year]],10)</f>
        <v>2000</v>
      </c>
      <c r="D2451" t="s">
        <v>476</v>
      </c>
      <c r="E2451" t="s">
        <v>27</v>
      </c>
      <c r="F2451">
        <v>2</v>
      </c>
      <c r="G2451">
        <v>4</v>
      </c>
      <c r="H2451" t="s">
        <v>224</v>
      </c>
      <c r="I2451" t="s">
        <v>481</v>
      </c>
      <c r="J2451" t="s">
        <v>476</v>
      </c>
      <c r="K2451" t="b">
        <v>0</v>
      </c>
      <c r="L2451">
        <v>2001</v>
      </c>
      <c r="M2451">
        <v>6250218422</v>
      </c>
      <c r="N2451">
        <v>432536219668</v>
      </c>
      <c r="O2451" t="b">
        <v>1</v>
      </c>
      <c r="P2451">
        <v>1</v>
      </c>
      <c r="Q2451" t="str" cm="1">
        <f t="array" ref="Q2451">_xlfn.IFS(Table1[[#This Row],[Wealthier_Winner]]=-1,"Wealthier Nation Loses",Table1[[#This Row],[Wealthier_Winner]]=0,"Tie",Table1[[#This Row],[Wealthier_Winner]]=1,"Wealthier Nation Wins")</f>
        <v>Wealthier Nation Wins</v>
      </c>
    </row>
    <row r="2452" spans="1:17" x14ac:dyDescent="0.2">
      <c r="A2452" s="1">
        <v>4034</v>
      </c>
      <c r="B2452" s="2">
        <v>37044</v>
      </c>
      <c r="C2452" s="7">
        <f>_xlfn.FLOOR.MATH(Table1[[#This Row],[year]],10)</f>
        <v>2000</v>
      </c>
      <c r="D2452" t="s">
        <v>447</v>
      </c>
      <c r="E2452" t="s">
        <v>46</v>
      </c>
      <c r="F2452">
        <v>0</v>
      </c>
      <c r="G2452">
        <v>1</v>
      </c>
      <c r="H2452" t="s">
        <v>224</v>
      </c>
      <c r="I2452" t="s">
        <v>448</v>
      </c>
      <c r="J2452" t="s">
        <v>447</v>
      </c>
      <c r="K2452" t="b">
        <v>0</v>
      </c>
      <c r="L2452">
        <v>2001</v>
      </c>
      <c r="M2452">
        <v>1160268212</v>
      </c>
      <c r="N2452">
        <v>286582672434</v>
      </c>
      <c r="O2452" t="b">
        <v>1</v>
      </c>
      <c r="P2452">
        <v>1</v>
      </c>
      <c r="Q2452" t="str" cm="1">
        <f t="array" ref="Q2452">_xlfn.IFS(Table1[[#This Row],[Wealthier_Winner]]=-1,"Wealthier Nation Loses",Table1[[#This Row],[Wealthier_Winner]]=0,"Tie",Table1[[#This Row],[Wealthier_Winner]]=1,"Wealthier Nation Wins")</f>
        <v>Wealthier Nation Wins</v>
      </c>
    </row>
    <row r="2453" spans="1:17" x14ac:dyDescent="0.2">
      <c r="A2453" s="1">
        <v>4035</v>
      </c>
      <c r="B2453" s="2">
        <v>37044</v>
      </c>
      <c r="C2453" s="7">
        <f>_xlfn.FLOOR.MATH(Table1[[#This Row],[year]],10)</f>
        <v>2000</v>
      </c>
      <c r="D2453" t="s">
        <v>230</v>
      </c>
      <c r="E2453" t="s">
        <v>16</v>
      </c>
      <c r="F2453">
        <v>2</v>
      </c>
      <c r="G2453">
        <v>2</v>
      </c>
      <c r="H2453" t="s">
        <v>224</v>
      </c>
      <c r="I2453" t="s">
        <v>231</v>
      </c>
      <c r="J2453" t="s">
        <v>230</v>
      </c>
      <c r="K2453" t="b">
        <v>0</v>
      </c>
      <c r="L2453">
        <v>2001</v>
      </c>
      <c r="M2453">
        <v>129519672868</v>
      </c>
      <c r="N2453">
        <v>1966381496641</v>
      </c>
      <c r="O2453" t="b">
        <v>1</v>
      </c>
      <c r="P2453">
        <v>0</v>
      </c>
      <c r="Q2453" t="str" cm="1">
        <f t="array" ref="Q2453">_xlfn.IFS(Table1[[#This Row],[Wealthier_Winner]]=-1,"Wealthier Nation Loses",Table1[[#This Row],[Wealthier_Winner]]=0,"Tie",Table1[[#This Row],[Wealthier_Winner]]=1,"Wealthier Nation Wins")</f>
        <v>Tie</v>
      </c>
    </row>
    <row r="2454" spans="1:17" x14ac:dyDescent="0.2">
      <c r="A2454" s="1">
        <v>4036</v>
      </c>
      <c r="B2454" s="2">
        <v>37044</v>
      </c>
      <c r="C2454" s="7">
        <f>_xlfn.FLOOR.MATH(Table1[[#This Row],[year]],10)</f>
        <v>2000</v>
      </c>
      <c r="D2454" t="s">
        <v>534</v>
      </c>
      <c r="E2454" t="s">
        <v>18</v>
      </c>
      <c r="F2454">
        <v>1</v>
      </c>
      <c r="G2454">
        <v>2</v>
      </c>
      <c r="H2454" t="s">
        <v>224</v>
      </c>
      <c r="I2454" t="s">
        <v>536</v>
      </c>
      <c r="J2454" t="s">
        <v>534</v>
      </c>
      <c r="K2454" t="b">
        <v>0</v>
      </c>
      <c r="L2454">
        <v>2001</v>
      </c>
      <c r="M2454">
        <v>3219462262</v>
      </c>
      <c r="N2454">
        <v>1172041488805</v>
      </c>
      <c r="O2454" t="b">
        <v>1</v>
      </c>
      <c r="P2454">
        <v>1</v>
      </c>
      <c r="Q2454" t="str" cm="1">
        <f t="array" ref="Q2454">_xlfn.IFS(Table1[[#This Row],[Wealthier_Winner]]=-1,"Wealthier Nation Loses",Table1[[#This Row],[Wealthier_Winner]]=0,"Tie",Table1[[#This Row],[Wealthier_Winner]]=1,"Wealthier Nation Wins")</f>
        <v>Wealthier Nation Wins</v>
      </c>
    </row>
    <row r="2455" spans="1:17" x14ac:dyDescent="0.2">
      <c r="A2455" s="1">
        <v>4037</v>
      </c>
      <c r="B2455" s="2">
        <v>37044</v>
      </c>
      <c r="C2455" s="7">
        <f>_xlfn.FLOOR.MATH(Table1[[#This Row],[year]],10)</f>
        <v>2000</v>
      </c>
      <c r="D2455" t="s">
        <v>48</v>
      </c>
      <c r="E2455" t="s">
        <v>373</v>
      </c>
      <c r="F2455">
        <v>1</v>
      </c>
      <c r="G2455">
        <v>0</v>
      </c>
      <c r="H2455" t="s">
        <v>224</v>
      </c>
      <c r="I2455" t="s">
        <v>627</v>
      </c>
      <c r="J2455" t="s">
        <v>48</v>
      </c>
      <c r="K2455" t="b">
        <v>0</v>
      </c>
      <c r="L2455">
        <v>2001</v>
      </c>
      <c r="M2455">
        <v>132050474720</v>
      </c>
      <c r="N2455">
        <v>4059064033</v>
      </c>
      <c r="O2455" t="b">
        <v>1</v>
      </c>
      <c r="P2455">
        <v>1</v>
      </c>
      <c r="Q2455" t="str" cm="1">
        <f t="array" ref="Q2455">_xlfn.IFS(Table1[[#This Row],[Wealthier_Winner]]=-1,"Wealthier Nation Loses",Table1[[#This Row],[Wealthier_Winner]]=0,"Tie",Table1[[#This Row],[Wealthier_Winner]]=1,"Wealthier Nation Wins")</f>
        <v>Wealthier Nation Wins</v>
      </c>
    </row>
    <row r="2456" spans="1:17" x14ac:dyDescent="0.2">
      <c r="A2456" s="1">
        <v>4038</v>
      </c>
      <c r="B2456" s="2">
        <v>37044</v>
      </c>
      <c r="C2456" s="7">
        <f>_xlfn.FLOOR.MATH(Table1[[#This Row],[year]],10)</f>
        <v>2000</v>
      </c>
      <c r="D2456" t="s">
        <v>66</v>
      </c>
      <c r="E2456" t="s">
        <v>303</v>
      </c>
      <c r="F2456">
        <v>3</v>
      </c>
      <c r="G2456">
        <v>0</v>
      </c>
      <c r="H2456" t="s">
        <v>224</v>
      </c>
      <c r="I2456" t="s">
        <v>336</v>
      </c>
      <c r="J2456" t="s">
        <v>66</v>
      </c>
      <c r="K2456" t="b">
        <v>0</v>
      </c>
      <c r="L2456">
        <v>2001</v>
      </c>
      <c r="M2456">
        <v>8323401820</v>
      </c>
      <c r="N2456">
        <v>4070867133</v>
      </c>
      <c r="O2456" t="b">
        <v>1</v>
      </c>
      <c r="P2456">
        <v>1</v>
      </c>
      <c r="Q2456" t="str" cm="1">
        <f t="array" ref="Q2456">_xlfn.IFS(Table1[[#This Row],[Wealthier_Winner]]=-1,"Wealthier Nation Loses",Table1[[#This Row],[Wealthier_Winner]]=0,"Tie",Table1[[#This Row],[Wealthier_Winner]]=1,"Wealthier Nation Wins")</f>
        <v>Wealthier Nation Wins</v>
      </c>
    </row>
    <row r="2457" spans="1:17" x14ac:dyDescent="0.2">
      <c r="A2457" s="1">
        <v>4040</v>
      </c>
      <c r="B2457" s="2">
        <v>37044</v>
      </c>
      <c r="C2457" s="7">
        <f>_xlfn.FLOOR.MATH(Table1[[#This Row],[year]],10)</f>
        <v>2000</v>
      </c>
      <c r="D2457" t="s">
        <v>503</v>
      </c>
      <c r="E2457" t="s">
        <v>22</v>
      </c>
      <c r="F2457">
        <v>0</v>
      </c>
      <c r="G2457">
        <v>3</v>
      </c>
      <c r="H2457" t="s">
        <v>224</v>
      </c>
      <c r="I2457" t="s">
        <v>603</v>
      </c>
      <c r="J2457" t="s">
        <v>503</v>
      </c>
      <c r="K2457" t="b">
        <v>0</v>
      </c>
      <c r="L2457">
        <v>2001</v>
      </c>
      <c r="M2457">
        <v>2491800558</v>
      </c>
      <c r="N2457">
        <v>135002039612</v>
      </c>
      <c r="O2457" t="b">
        <v>1</v>
      </c>
      <c r="P2457">
        <v>1</v>
      </c>
      <c r="Q2457" t="str" cm="1">
        <f t="array" ref="Q2457">_xlfn.IFS(Table1[[#This Row],[Wealthier_Winner]]=-1,"Wealthier Nation Loses",Table1[[#This Row],[Wealthier_Winner]]=0,"Tie",Table1[[#This Row],[Wealthier_Winner]]=1,"Wealthier Nation Wins")</f>
        <v>Wealthier Nation Wins</v>
      </c>
    </row>
    <row r="2458" spans="1:17" x14ac:dyDescent="0.2">
      <c r="A2458" s="1">
        <v>4041</v>
      </c>
      <c r="B2458" s="2">
        <v>37044</v>
      </c>
      <c r="C2458" s="7">
        <f>_xlfn.FLOOR.MATH(Table1[[#This Row],[year]],10)</f>
        <v>2000</v>
      </c>
      <c r="D2458" t="s">
        <v>502</v>
      </c>
      <c r="E2458" t="s">
        <v>527</v>
      </c>
      <c r="F2458">
        <v>2</v>
      </c>
      <c r="G2458">
        <v>2</v>
      </c>
      <c r="H2458" t="s">
        <v>224</v>
      </c>
      <c r="I2458" t="s">
        <v>504</v>
      </c>
      <c r="J2458" t="s">
        <v>502</v>
      </c>
      <c r="K2458" t="b">
        <v>0</v>
      </c>
      <c r="L2458">
        <v>2001</v>
      </c>
      <c r="M2458">
        <v>3709636030</v>
      </c>
      <c r="N2458">
        <v>1480673594</v>
      </c>
      <c r="O2458" t="b">
        <v>1</v>
      </c>
      <c r="P2458">
        <v>0</v>
      </c>
      <c r="Q2458" t="str" cm="1">
        <f t="array" ref="Q2458">_xlfn.IFS(Table1[[#This Row],[Wealthier_Winner]]=-1,"Wealthier Nation Loses",Table1[[#This Row],[Wealthier_Winner]]=0,"Tie",Table1[[#This Row],[Wealthier_Winner]]=1,"Wealthier Nation Wins")</f>
        <v>Tie</v>
      </c>
    </row>
    <row r="2459" spans="1:17" x14ac:dyDescent="0.2">
      <c r="A2459" s="1">
        <v>4043</v>
      </c>
      <c r="B2459" s="2">
        <v>37044</v>
      </c>
      <c r="C2459" s="7">
        <f>_xlfn.FLOOR.MATH(Table1[[#This Row],[year]],10)</f>
        <v>2000</v>
      </c>
      <c r="D2459" t="s">
        <v>35</v>
      </c>
      <c r="E2459" t="s">
        <v>14</v>
      </c>
      <c r="F2459">
        <v>1</v>
      </c>
      <c r="G2459">
        <v>0</v>
      </c>
      <c r="H2459" t="s">
        <v>224</v>
      </c>
      <c r="I2459" t="s">
        <v>250</v>
      </c>
      <c r="J2459" t="s">
        <v>35</v>
      </c>
      <c r="K2459" t="b">
        <v>0</v>
      </c>
      <c r="L2459">
        <v>2001</v>
      </c>
      <c r="M2459">
        <v>8495806432</v>
      </c>
      <c r="N2459">
        <v>71574739561</v>
      </c>
      <c r="O2459" t="b">
        <v>1</v>
      </c>
      <c r="P2459">
        <v>-1</v>
      </c>
      <c r="Q2459" t="str" cm="1">
        <f t="array" ref="Q2459">_xlfn.IFS(Table1[[#This Row],[Wealthier_Winner]]=-1,"Wealthier Nation Loses",Table1[[#This Row],[Wealthier_Winner]]=0,"Tie",Table1[[#This Row],[Wealthier_Winner]]=1,"Wealthier Nation Wins")</f>
        <v>Wealthier Nation Loses</v>
      </c>
    </row>
    <row r="2460" spans="1:17" x14ac:dyDescent="0.2">
      <c r="A2460" s="1">
        <v>4044</v>
      </c>
      <c r="B2460" s="2">
        <v>37044</v>
      </c>
      <c r="C2460" s="7">
        <f>_xlfn.FLOOR.MATH(Table1[[#This Row],[year]],10)</f>
        <v>2000</v>
      </c>
      <c r="D2460" t="s">
        <v>31</v>
      </c>
      <c r="E2460" t="s">
        <v>57</v>
      </c>
      <c r="F2460">
        <v>1</v>
      </c>
      <c r="G2460">
        <v>2</v>
      </c>
      <c r="H2460" t="s">
        <v>224</v>
      </c>
      <c r="I2460" t="s">
        <v>242</v>
      </c>
      <c r="J2460" t="s">
        <v>31</v>
      </c>
      <c r="K2460" t="b">
        <v>0</v>
      </c>
      <c r="L2460">
        <v>2001</v>
      </c>
      <c r="M2460">
        <v>52030158775</v>
      </c>
      <c r="N2460">
        <v>23127055000</v>
      </c>
      <c r="O2460" t="b">
        <v>1</v>
      </c>
      <c r="P2460">
        <v>-1</v>
      </c>
      <c r="Q2460" t="str" cm="1">
        <f t="array" ref="Q2460">_xlfn.IFS(Table1[[#This Row],[Wealthier_Winner]]=-1,"Wealthier Nation Loses",Table1[[#This Row],[Wealthier_Winner]]=0,"Tie",Table1[[#This Row],[Wealthier_Winner]]=1,"Wealthier Nation Wins")</f>
        <v>Wealthier Nation Loses</v>
      </c>
    </row>
    <row r="2461" spans="1:17" x14ac:dyDescent="0.2">
      <c r="A2461" s="1">
        <v>4045</v>
      </c>
      <c r="B2461" s="2">
        <v>37044</v>
      </c>
      <c r="C2461" s="7">
        <f>_xlfn.FLOOR.MATH(Table1[[#This Row],[year]],10)</f>
        <v>2000</v>
      </c>
      <c r="D2461" t="s">
        <v>44</v>
      </c>
      <c r="E2461" t="s">
        <v>30</v>
      </c>
      <c r="F2461">
        <v>2</v>
      </c>
      <c r="G2461">
        <v>0</v>
      </c>
      <c r="H2461" t="s">
        <v>224</v>
      </c>
      <c r="I2461" t="s">
        <v>425</v>
      </c>
      <c r="J2461" t="s">
        <v>44</v>
      </c>
      <c r="K2461" t="b">
        <v>0</v>
      </c>
      <c r="L2461">
        <v>2001</v>
      </c>
      <c r="M2461">
        <v>40395116581</v>
      </c>
      <c r="N2461">
        <v>53800068065</v>
      </c>
      <c r="O2461" t="b">
        <v>0</v>
      </c>
      <c r="P2461">
        <v>-1</v>
      </c>
      <c r="Q2461" t="str" cm="1">
        <f t="array" ref="Q2461">_xlfn.IFS(Table1[[#This Row],[Wealthier_Winner]]=-1,"Wealthier Nation Loses",Table1[[#This Row],[Wealthier_Winner]]=0,"Tie",Table1[[#This Row],[Wealthier_Winner]]=1,"Wealthier Nation Wins")</f>
        <v>Wealthier Nation Loses</v>
      </c>
    </row>
    <row r="2462" spans="1:17" x14ac:dyDescent="0.2">
      <c r="A2462" s="1">
        <v>4046</v>
      </c>
      <c r="B2462" s="2">
        <v>37044</v>
      </c>
      <c r="C2462" s="7">
        <f>_xlfn.FLOOR.MATH(Table1[[#This Row],[year]],10)</f>
        <v>2000</v>
      </c>
      <c r="D2462" t="s">
        <v>196</v>
      </c>
      <c r="E2462" t="s">
        <v>61</v>
      </c>
      <c r="F2462">
        <v>1</v>
      </c>
      <c r="G2462">
        <v>1</v>
      </c>
      <c r="H2462" t="s">
        <v>224</v>
      </c>
      <c r="I2462" t="s">
        <v>180</v>
      </c>
      <c r="J2462" t="s">
        <v>196</v>
      </c>
      <c r="K2462" t="b">
        <v>0</v>
      </c>
      <c r="L2462">
        <v>2001</v>
      </c>
      <c r="M2462">
        <v>306602070620</v>
      </c>
      <c r="N2462">
        <v>13599378661</v>
      </c>
      <c r="O2462" t="b">
        <v>1</v>
      </c>
      <c r="P2462">
        <v>0</v>
      </c>
      <c r="Q2462" t="str" cm="1">
        <f t="array" ref="Q2462">_xlfn.IFS(Table1[[#This Row],[Wealthier_Winner]]=-1,"Wealthier Nation Loses",Table1[[#This Row],[Wealthier_Winner]]=0,"Tie",Table1[[#This Row],[Wealthier_Winner]]=1,"Wealthier Nation Wins")</f>
        <v>Tie</v>
      </c>
    </row>
    <row r="2463" spans="1:17" x14ac:dyDescent="0.2">
      <c r="A2463" s="1">
        <v>4047</v>
      </c>
      <c r="B2463" s="2">
        <v>37044</v>
      </c>
      <c r="C2463" s="7">
        <f>_xlfn.FLOOR.MATH(Table1[[#This Row],[year]],10)</f>
        <v>2000</v>
      </c>
      <c r="D2463" t="s">
        <v>55</v>
      </c>
      <c r="E2463" t="s">
        <v>232</v>
      </c>
      <c r="F2463">
        <v>2</v>
      </c>
      <c r="G2463">
        <v>0</v>
      </c>
      <c r="H2463" t="s">
        <v>224</v>
      </c>
      <c r="I2463" t="s">
        <v>529</v>
      </c>
      <c r="J2463" t="s">
        <v>55</v>
      </c>
      <c r="K2463" t="b">
        <v>0</v>
      </c>
      <c r="L2463">
        <v>2001</v>
      </c>
      <c r="M2463">
        <v>20668868706</v>
      </c>
      <c r="N2463">
        <v>21387533703</v>
      </c>
      <c r="O2463" t="b">
        <v>0</v>
      </c>
      <c r="P2463">
        <v>-1</v>
      </c>
      <c r="Q2463" t="str" cm="1">
        <f t="array" ref="Q2463">_xlfn.IFS(Table1[[#This Row],[Wealthier_Winner]]=-1,"Wealthier Nation Loses",Table1[[#This Row],[Wealthier_Winner]]=0,"Tie",Table1[[#This Row],[Wealthier_Winner]]=1,"Wealthier Nation Wins")</f>
        <v>Wealthier Nation Loses</v>
      </c>
    </row>
    <row r="2464" spans="1:17" x14ac:dyDescent="0.2">
      <c r="A2464" s="1">
        <v>4048</v>
      </c>
      <c r="B2464" s="2">
        <v>37044</v>
      </c>
      <c r="C2464" s="7">
        <f>_xlfn.FLOOR.MATH(Table1[[#This Row],[year]],10)</f>
        <v>2000</v>
      </c>
      <c r="D2464" t="s">
        <v>21</v>
      </c>
      <c r="E2464" t="s">
        <v>73</v>
      </c>
      <c r="F2464">
        <v>4</v>
      </c>
      <c r="G2464">
        <v>1</v>
      </c>
      <c r="H2464" t="s">
        <v>224</v>
      </c>
      <c r="I2464" t="s">
        <v>100</v>
      </c>
      <c r="J2464" t="s">
        <v>21</v>
      </c>
      <c r="K2464" t="b">
        <v>0</v>
      </c>
      <c r="L2464">
        <v>2001</v>
      </c>
      <c r="M2464">
        <v>627798682378</v>
      </c>
      <c r="N2464">
        <v>5800615374</v>
      </c>
      <c r="O2464" t="b">
        <v>1</v>
      </c>
      <c r="P2464">
        <v>1</v>
      </c>
      <c r="Q2464" t="str" cm="1">
        <f t="array" ref="Q2464">_xlfn.IFS(Table1[[#This Row],[Wealthier_Winner]]=-1,"Wealthier Nation Loses",Table1[[#This Row],[Wealthier_Winner]]=0,"Tie",Table1[[#This Row],[Wealthier_Winner]]=1,"Wealthier Nation Wins")</f>
        <v>Wealthier Nation Wins</v>
      </c>
    </row>
    <row r="2465" spans="1:17" x14ac:dyDescent="0.2">
      <c r="A2465" s="1">
        <v>4051</v>
      </c>
      <c r="B2465" s="2">
        <v>37044</v>
      </c>
      <c r="C2465" s="7">
        <f>_xlfn.FLOOR.MATH(Table1[[#This Row],[year]],10)</f>
        <v>2000</v>
      </c>
      <c r="D2465" t="s">
        <v>64</v>
      </c>
      <c r="E2465" t="s">
        <v>42</v>
      </c>
      <c r="F2465">
        <v>0</v>
      </c>
      <c r="G2465">
        <v>0</v>
      </c>
      <c r="H2465" t="s">
        <v>224</v>
      </c>
      <c r="I2465" t="s">
        <v>423</v>
      </c>
      <c r="J2465" t="s">
        <v>64</v>
      </c>
      <c r="K2465" t="b">
        <v>0</v>
      </c>
      <c r="L2465">
        <v>2001</v>
      </c>
      <c r="M2465">
        <v>39309580983</v>
      </c>
      <c r="N2465">
        <v>174239354070</v>
      </c>
      <c r="O2465" t="b">
        <v>1</v>
      </c>
      <c r="P2465">
        <v>0</v>
      </c>
      <c r="Q2465" t="str" cm="1">
        <f t="array" ref="Q2465">_xlfn.IFS(Table1[[#This Row],[Wealthier_Winner]]=-1,"Wealthier Nation Loses",Table1[[#This Row],[Wealthier_Winner]]=0,"Tie",Table1[[#This Row],[Wealthier_Winner]]=1,"Wealthier Nation Wins")</f>
        <v>Tie</v>
      </c>
    </row>
    <row r="2466" spans="1:17" x14ac:dyDescent="0.2">
      <c r="A2466" s="1">
        <v>4053</v>
      </c>
      <c r="B2466" s="2">
        <v>37045</v>
      </c>
      <c r="C2466" s="7">
        <f>_xlfn.FLOOR.MATH(Table1[[#This Row],[year]],10)</f>
        <v>2000</v>
      </c>
      <c r="D2466" t="s">
        <v>19</v>
      </c>
      <c r="E2466" t="s">
        <v>15</v>
      </c>
      <c r="F2466">
        <v>3</v>
      </c>
      <c r="G2466">
        <v>0</v>
      </c>
      <c r="H2466" t="s">
        <v>224</v>
      </c>
      <c r="I2466" t="s">
        <v>93</v>
      </c>
      <c r="J2466" t="s">
        <v>19</v>
      </c>
      <c r="K2466" t="b">
        <v>0</v>
      </c>
      <c r="L2466">
        <v>2001</v>
      </c>
      <c r="M2466">
        <v>268696750000</v>
      </c>
      <c r="N2466">
        <v>98200641203</v>
      </c>
      <c r="O2466" t="b">
        <v>1</v>
      </c>
      <c r="P2466">
        <v>1</v>
      </c>
      <c r="Q2466" t="str" cm="1">
        <f t="array" ref="Q2466">_xlfn.IFS(Table1[[#This Row],[Wealthier_Winner]]=-1,"Wealthier Nation Loses",Table1[[#This Row],[Wealthier_Winner]]=0,"Tie",Table1[[#This Row],[Wealthier_Winner]]=1,"Wealthier Nation Wins")</f>
        <v>Wealthier Nation Wins</v>
      </c>
    </row>
    <row r="2467" spans="1:17" x14ac:dyDescent="0.2">
      <c r="A2467" s="1">
        <v>4054</v>
      </c>
      <c r="B2467" s="2">
        <v>37045</v>
      </c>
      <c r="C2467" s="7">
        <f>_xlfn.FLOOR.MATH(Table1[[#This Row],[year]],10)</f>
        <v>2000</v>
      </c>
      <c r="D2467" t="s">
        <v>47</v>
      </c>
      <c r="E2467" t="s">
        <v>258</v>
      </c>
      <c r="F2467">
        <v>5</v>
      </c>
      <c r="G2467">
        <v>0</v>
      </c>
      <c r="H2467" t="s">
        <v>224</v>
      </c>
      <c r="I2467" t="s">
        <v>246</v>
      </c>
      <c r="J2467" t="s">
        <v>47</v>
      </c>
      <c r="K2467" t="b">
        <v>0</v>
      </c>
      <c r="L2467">
        <v>2001</v>
      </c>
      <c r="M2467">
        <v>8141516928</v>
      </c>
      <c r="N2467">
        <v>122911036746</v>
      </c>
      <c r="O2467" t="b">
        <v>1</v>
      </c>
      <c r="P2467">
        <v>-1</v>
      </c>
      <c r="Q2467" t="str" cm="1">
        <f t="array" ref="Q2467">_xlfn.IFS(Table1[[#This Row],[Wealthier_Winner]]=-1,"Wealthier Nation Loses",Table1[[#This Row],[Wealthier_Winner]]=0,"Tie",Table1[[#This Row],[Wealthier_Winner]]=1,"Wealthier Nation Wins")</f>
        <v>Wealthier Nation Loses</v>
      </c>
    </row>
    <row r="2468" spans="1:17" x14ac:dyDescent="0.2">
      <c r="A2468" s="1">
        <v>4057</v>
      </c>
      <c r="B2468" s="2">
        <v>37048</v>
      </c>
      <c r="C2468" s="7">
        <f>_xlfn.FLOOR.MATH(Table1[[#This Row],[year]],10)</f>
        <v>2000</v>
      </c>
      <c r="D2468" t="s">
        <v>373</v>
      </c>
      <c r="E2468" t="s">
        <v>16</v>
      </c>
      <c r="F2468">
        <v>0</v>
      </c>
      <c r="G2468">
        <v>2</v>
      </c>
      <c r="H2468" t="s">
        <v>224</v>
      </c>
      <c r="I2468" t="s">
        <v>374</v>
      </c>
      <c r="J2468" t="s">
        <v>373</v>
      </c>
      <c r="K2468" t="b">
        <v>0</v>
      </c>
      <c r="L2468">
        <v>2001</v>
      </c>
      <c r="M2468">
        <v>4059064033</v>
      </c>
      <c r="N2468">
        <v>1966381496641</v>
      </c>
      <c r="O2468" t="b">
        <v>1</v>
      </c>
      <c r="P2468">
        <v>1</v>
      </c>
      <c r="Q2468" t="str" cm="1">
        <f t="array" ref="Q2468">_xlfn.IFS(Table1[[#This Row],[Wealthier_Winner]]=-1,"Wealthier Nation Loses",Table1[[#This Row],[Wealthier_Winner]]=0,"Tie",Table1[[#This Row],[Wealthier_Winner]]=1,"Wealthier Nation Wins")</f>
        <v>Wealthier Nation Wins</v>
      </c>
    </row>
    <row r="2469" spans="1:17" x14ac:dyDescent="0.2">
      <c r="A2469" s="1">
        <v>4058</v>
      </c>
      <c r="B2469" s="2">
        <v>37048</v>
      </c>
      <c r="C2469" s="7">
        <f>_xlfn.FLOOR.MATH(Table1[[#This Row],[year]],10)</f>
        <v>2000</v>
      </c>
      <c r="D2469" t="s">
        <v>519</v>
      </c>
      <c r="E2469" t="s">
        <v>58</v>
      </c>
      <c r="F2469">
        <v>1</v>
      </c>
      <c r="G2469">
        <v>1</v>
      </c>
      <c r="H2469" t="s">
        <v>224</v>
      </c>
      <c r="I2469" t="s">
        <v>520</v>
      </c>
      <c r="J2469" t="s">
        <v>519</v>
      </c>
      <c r="K2469" t="b">
        <v>0</v>
      </c>
      <c r="L2469">
        <v>2001</v>
      </c>
      <c r="M2469">
        <v>2118467913</v>
      </c>
      <c r="N2469">
        <v>191823200371</v>
      </c>
      <c r="O2469" t="b">
        <v>1</v>
      </c>
      <c r="P2469">
        <v>0</v>
      </c>
      <c r="Q2469" t="str" cm="1">
        <f t="array" ref="Q2469">_xlfn.IFS(Table1[[#This Row],[Wealthier_Winner]]=-1,"Wealthier Nation Loses",Table1[[#This Row],[Wealthier_Winner]]=0,"Tie",Table1[[#This Row],[Wealthier_Winner]]=1,"Wealthier Nation Wins")</f>
        <v>Tie</v>
      </c>
    </row>
    <row r="2470" spans="1:17" x14ac:dyDescent="0.2">
      <c r="A2470" s="1">
        <v>4062</v>
      </c>
      <c r="B2470" s="2">
        <v>37048</v>
      </c>
      <c r="C2470" s="7">
        <f>_xlfn.FLOOR.MATH(Table1[[#This Row],[year]],10)</f>
        <v>2000</v>
      </c>
      <c r="D2470" t="s">
        <v>36</v>
      </c>
      <c r="E2470" t="s">
        <v>303</v>
      </c>
      <c r="F2470">
        <v>2</v>
      </c>
      <c r="G2470">
        <v>1</v>
      </c>
      <c r="H2470" t="s">
        <v>224</v>
      </c>
      <c r="I2470" t="s">
        <v>264</v>
      </c>
      <c r="J2470" t="s">
        <v>36</v>
      </c>
      <c r="K2470" t="b">
        <v>0</v>
      </c>
      <c r="L2470">
        <v>2001</v>
      </c>
      <c r="M2470">
        <v>164881594415</v>
      </c>
      <c r="N2470">
        <v>4070867133</v>
      </c>
      <c r="O2470" t="b">
        <v>1</v>
      </c>
      <c r="P2470">
        <v>1</v>
      </c>
      <c r="Q2470" t="str" cm="1">
        <f t="array" ref="Q2470">_xlfn.IFS(Table1[[#This Row],[Wealthier_Winner]]=-1,"Wealthier Nation Loses",Table1[[#This Row],[Wealthier_Winner]]=0,"Tie",Table1[[#This Row],[Wealthier_Winner]]=1,"Wealthier Nation Wins")</f>
        <v>Wealthier Nation Wins</v>
      </c>
    </row>
    <row r="2471" spans="1:17" x14ac:dyDescent="0.2">
      <c r="A2471" s="1">
        <v>4064</v>
      </c>
      <c r="B2471" s="2">
        <v>37048</v>
      </c>
      <c r="C2471" s="7">
        <f>_xlfn.FLOOR.MATH(Table1[[#This Row],[year]],10)</f>
        <v>2000</v>
      </c>
      <c r="D2471" t="s">
        <v>447</v>
      </c>
      <c r="E2471" t="s">
        <v>61</v>
      </c>
      <c r="F2471">
        <v>0</v>
      </c>
      <c r="G2471">
        <v>6</v>
      </c>
      <c r="H2471" t="s">
        <v>224</v>
      </c>
      <c r="I2471" t="s">
        <v>448</v>
      </c>
      <c r="J2471" t="s">
        <v>447</v>
      </c>
      <c r="K2471" t="b">
        <v>0</v>
      </c>
      <c r="L2471">
        <v>2001</v>
      </c>
      <c r="M2471">
        <v>1160268212</v>
      </c>
      <c r="N2471">
        <v>13599378661</v>
      </c>
      <c r="O2471" t="b">
        <v>1</v>
      </c>
      <c r="P2471">
        <v>1</v>
      </c>
      <c r="Q2471" t="str" cm="1">
        <f t="array" ref="Q2471">_xlfn.IFS(Table1[[#This Row],[Wealthier_Winner]]=-1,"Wealthier Nation Loses",Table1[[#This Row],[Wealthier_Winner]]=0,"Tie",Table1[[#This Row],[Wealthier_Winner]]=1,"Wealthier Nation Wins")</f>
        <v>Wealthier Nation Wins</v>
      </c>
    </row>
    <row r="2472" spans="1:17" x14ac:dyDescent="0.2">
      <c r="A2472" s="1">
        <v>4065</v>
      </c>
      <c r="B2472" s="2">
        <v>37048</v>
      </c>
      <c r="C2472" s="7">
        <f>_xlfn.FLOOR.MATH(Table1[[#This Row],[year]],10)</f>
        <v>2000</v>
      </c>
      <c r="D2472" t="s">
        <v>48</v>
      </c>
      <c r="E2472" t="s">
        <v>194</v>
      </c>
      <c r="F2472">
        <v>0</v>
      </c>
      <c r="G2472">
        <v>2</v>
      </c>
      <c r="H2472" t="s">
        <v>224</v>
      </c>
      <c r="I2472" t="s">
        <v>236</v>
      </c>
      <c r="J2472" t="s">
        <v>48</v>
      </c>
      <c r="K2472" t="b">
        <v>0</v>
      </c>
      <c r="L2472">
        <v>2001</v>
      </c>
      <c r="M2472">
        <v>132050474720</v>
      </c>
      <c r="N2472">
        <v>1656171009068</v>
      </c>
      <c r="O2472" t="b">
        <v>1</v>
      </c>
      <c r="P2472">
        <v>1</v>
      </c>
      <c r="Q2472" t="str" cm="1">
        <f t="array" ref="Q2472">_xlfn.IFS(Table1[[#This Row],[Wealthier_Winner]]=-1,"Wealthier Nation Loses",Table1[[#This Row],[Wealthier_Winner]]=0,"Tie",Table1[[#This Row],[Wealthier_Winner]]=1,"Wealthier Nation Wins")</f>
        <v>Wealthier Nation Wins</v>
      </c>
    </row>
    <row r="2473" spans="1:17" x14ac:dyDescent="0.2">
      <c r="A2473" s="1">
        <v>4066</v>
      </c>
      <c r="B2473" s="2">
        <v>37048</v>
      </c>
      <c r="C2473" s="7">
        <f>_xlfn.FLOOR.MATH(Table1[[#This Row],[year]],10)</f>
        <v>2000</v>
      </c>
      <c r="D2473" t="s">
        <v>30</v>
      </c>
      <c r="E2473" t="s">
        <v>534</v>
      </c>
      <c r="F2473">
        <v>4</v>
      </c>
      <c r="G2473">
        <v>1</v>
      </c>
      <c r="H2473" t="s">
        <v>224</v>
      </c>
      <c r="I2473" t="s">
        <v>297</v>
      </c>
      <c r="J2473" t="s">
        <v>30</v>
      </c>
      <c r="K2473" t="b">
        <v>0</v>
      </c>
      <c r="L2473">
        <v>2001</v>
      </c>
      <c r="M2473">
        <v>53800068065</v>
      </c>
      <c r="N2473">
        <v>3219462262</v>
      </c>
      <c r="O2473" t="b">
        <v>1</v>
      </c>
      <c r="P2473">
        <v>1</v>
      </c>
      <c r="Q2473" t="str" cm="1">
        <f t="array" ref="Q2473">_xlfn.IFS(Table1[[#This Row],[Wealthier_Winner]]=-1,"Wealthier Nation Loses",Table1[[#This Row],[Wealthier_Winner]]=0,"Tie",Table1[[#This Row],[Wealthier_Winner]]=1,"Wealthier Nation Wins")</f>
        <v>Wealthier Nation Wins</v>
      </c>
    </row>
    <row r="2474" spans="1:17" x14ac:dyDescent="0.2">
      <c r="A2474" s="1">
        <v>4067</v>
      </c>
      <c r="B2474" s="2">
        <v>37048</v>
      </c>
      <c r="C2474" s="7">
        <f>_xlfn.FLOOR.MATH(Table1[[#This Row],[year]],10)</f>
        <v>2000</v>
      </c>
      <c r="D2474" t="s">
        <v>66</v>
      </c>
      <c r="E2474" t="s">
        <v>33</v>
      </c>
      <c r="F2474">
        <v>1</v>
      </c>
      <c r="G2474">
        <v>1</v>
      </c>
      <c r="H2474" t="s">
        <v>224</v>
      </c>
      <c r="I2474" t="s">
        <v>336</v>
      </c>
      <c r="J2474" t="s">
        <v>66</v>
      </c>
      <c r="K2474" t="b">
        <v>0</v>
      </c>
      <c r="L2474">
        <v>2001</v>
      </c>
      <c r="M2474">
        <v>8323401820</v>
      </c>
      <c r="N2474">
        <v>14183446025</v>
      </c>
      <c r="O2474" t="b">
        <v>0</v>
      </c>
      <c r="P2474">
        <v>0</v>
      </c>
      <c r="Q2474" t="str" cm="1">
        <f t="array" ref="Q2474">_xlfn.IFS(Table1[[#This Row],[Wealthier_Winner]]=-1,"Wealthier Nation Loses",Table1[[#This Row],[Wealthier_Winner]]=0,"Tie",Table1[[#This Row],[Wealthier_Winner]]=1,"Wealthier Nation Wins")</f>
        <v>Tie</v>
      </c>
    </row>
    <row r="2475" spans="1:17" x14ac:dyDescent="0.2">
      <c r="A2475" s="1">
        <v>4068</v>
      </c>
      <c r="B2475" s="2">
        <v>37048</v>
      </c>
      <c r="C2475" s="7">
        <f>_xlfn.FLOOR.MATH(Table1[[#This Row],[year]],10)</f>
        <v>2000</v>
      </c>
      <c r="D2475" t="s">
        <v>22</v>
      </c>
      <c r="E2475" t="s">
        <v>21</v>
      </c>
      <c r="F2475">
        <v>1</v>
      </c>
      <c r="G2475">
        <v>1</v>
      </c>
      <c r="H2475" t="s">
        <v>224</v>
      </c>
      <c r="I2475" t="s">
        <v>239</v>
      </c>
      <c r="J2475" t="s">
        <v>22</v>
      </c>
      <c r="K2475" t="b">
        <v>0</v>
      </c>
      <c r="L2475">
        <v>2001</v>
      </c>
      <c r="M2475">
        <v>135002039612</v>
      </c>
      <c r="N2475">
        <v>627798682378</v>
      </c>
      <c r="O2475" t="b">
        <v>1</v>
      </c>
      <c r="P2475">
        <v>0</v>
      </c>
      <c r="Q2475" t="str" cm="1">
        <f t="array" ref="Q2475">_xlfn.IFS(Table1[[#This Row],[Wealthier_Winner]]=-1,"Wealthier Nation Loses",Table1[[#This Row],[Wealthier_Winner]]=0,"Tie",Table1[[#This Row],[Wealthier_Winner]]=1,"Wealthier Nation Wins")</f>
        <v>Tie</v>
      </c>
    </row>
    <row r="2476" spans="1:17" x14ac:dyDescent="0.2">
      <c r="A2476" s="1">
        <v>4069</v>
      </c>
      <c r="B2476" s="2">
        <v>37048</v>
      </c>
      <c r="C2476" s="7">
        <f>_xlfn.FLOOR.MATH(Table1[[#This Row],[year]],10)</f>
        <v>2000</v>
      </c>
      <c r="D2476" t="s">
        <v>525</v>
      </c>
      <c r="E2476" t="s">
        <v>52</v>
      </c>
      <c r="F2476">
        <v>0</v>
      </c>
      <c r="G2476">
        <v>1</v>
      </c>
      <c r="H2476" t="s">
        <v>224</v>
      </c>
      <c r="I2476" t="s">
        <v>526</v>
      </c>
      <c r="J2476" t="s">
        <v>525</v>
      </c>
      <c r="K2476" t="b">
        <v>0</v>
      </c>
      <c r="L2476">
        <v>2001</v>
      </c>
      <c r="M2476">
        <v>8190888739</v>
      </c>
      <c r="N2476">
        <v>23066883849</v>
      </c>
      <c r="O2476" t="b">
        <v>1</v>
      </c>
      <c r="P2476">
        <v>1</v>
      </c>
      <c r="Q2476" t="str" cm="1">
        <f t="array" ref="Q2476">_xlfn.IFS(Table1[[#This Row],[Wealthier_Winner]]=-1,"Wealthier Nation Loses",Table1[[#This Row],[Wealthier_Winner]]=0,"Tie",Table1[[#This Row],[Wealthier_Winner]]=1,"Wealthier Nation Wins")</f>
        <v>Wealthier Nation Wins</v>
      </c>
    </row>
    <row r="2477" spans="1:17" x14ac:dyDescent="0.2">
      <c r="A2477" s="1">
        <v>4070</v>
      </c>
      <c r="B2477" s="2">
        <v>37048</v>
      </c>
      <c r="C2477" s="7">
        <f>_xlfn.FLOOR.MATH(Table1[[#This Row],[year]],10)</f>
        <v>2000</v>
      </c>
      <c r="D2477" t="s">
        <v>523</v>
      </c>
      <c r="E2477" t="s">
        <v>44</v>
      </c>
      <c r="F2477">
        <v>1</v>
      </c>
      <c r="G2477">
        <v>2</v>
      </c>
      <c r="H2477" t="s">
        <v>224</v>
      </c>
      <c r="I2477" t="s">
        <v>604</v>
      </c>
      <c r="J2477" t="s">
        <v>523</v>
      </c>
      <c r="K2477" t="b">
        <v>0</v>
      </c>
      <c r="L2477">
        <v>2001</v>
      </c>
      <c r="M2477">
        <v>12260761329</v>
      </c>
      <c r="N2477">
        <v>40395116581</v>
      </c>
      <c r="O2477" t="b">
        <v>1</v>
      </c>
      <c r="P2477">
        <v>1</v>
      </c>
      <c r="Q2477" t="str" cm="1">
        <f t="array" ref="Q2477">_xlfn.IFS(Table1[[#This Row],[Wealthier_Winner]]=-1,"Wealthier Nation Loses",Table1[[#This Row],[Wealthier_Winner]]=0,"Tie",Table1[[#This Row],[Wealthier_Winner]]=1,"Wealthier Nation Wins")</f>
        <v>Wealthier Nation Wins</v>
      </c>
    </row>
    <row r="2478" spans="1:17" x14ac:dyDescent="0.2">
      <c r="A2478" s="1">
        <v>4071</v>
      </c>
      <c r="B2478" s="2">
        <v>37048</v>
      </c>
      <c r="C2478" s="7">
        <f>_xlfn.FLOOR.MATH(Table1[[#This Row],[year]],10)</f>
        <v>2000</v>
      </c>
      <c r="D2478" t="s">
        <v>232</v>
      </c>
      <c r="E2478" t="s">
        <v>196</v>
      </c>
      <c r="F2478">
        <v>1</v>
      </c>
      <c r="G2478">
        <v>2</v>
      </c>
      <c r="H2478" t="s">
        <v>224</v>
      </c>
      <c r="I2478" t="s">
        <v>232</v>
      </c>
      <c r="J2478" t="s">
        <v>232</v>
      </c>
      <c r="K2478" t="b">
        <v>0</v>
      </c>
      <c r="L2478">
        <v>2001</v>
      </c>
      <c r="M2478">
        <v>21387533703</v>
      </c>
      <c r="N2478">
        <v>306602070620</v>
      </c>
      <c r="O2478" t="b">
        <v>1</v>
      </c>
      <c r="P2478">
        <v>1</v>
      </c>
      <c r="Q2478" t="str" cm="1">
        <f t="array" ref="Q2478">_xlfn.IFS(Table1[[#This Row],[Wealthier_Winner]]=-1,"Wealthier Nation Loses",Table1[[#This Row],[Wealthier_Winner]]=0,"Tie",Table1[[#This Row],[Wealthier_Winner]]=1,"Wealthier Nation Wins")</f>
        <v>Wealthier Nation Wins</v>
      </c>
    </row>
    <row r="2479" spans="1:17" x14ac:dyDescent="0.2">
      <c r="A2479" s="1">
        <v>4073</v>
      </c>
      <c r="B2479" s="2">
        <v>37048</v>
      </c>
      <c r="C2479" s="7">
        <f>_xlfn.FLOOR.MATH(Table1[[#This Row],[year]],10)</f>
        <v>2000</v>
      </c>
      <c r="D2479" t="s">
        <v>42</v>
      </c>
      <c r="E2479" t="s">
        <v>510</v>
      </c>
      <c r="F2479">
        <v>1</v>
      </c>
      <c r="G2479">
        <v>1</v>
      </c>
      <c r="H2479" t="s">
        <v>224</v>
      </c>
      <c r="I2479" t="s">
        <v>262</v>
      </c>
      <c r="J2479" t="s">
        <v>42</v>
      </c>
      <c r="K2479" t="b">
        <v>0</v>
      </c>
      <c r="L2479">
        <v>2001</v>
      </c>
      <c r="M2479">
        <v>174239354070</v>
      </c>
      <c r="N2479">
        <v>12354820143</v>
      </c>
      <c r="O2479" t="b">
        <v>1</v>
      </c>
      <c r="P2479">
        <v>0</v>
      </c>
      <c r="Q2479" t="str" cm="1">
        <f t="array" ref="Q2479">_xlfn.IFS(Table1[[#This Row],[Wealthier_Winner]]=-1,"Wealthier Nation Loses",Table1[[#This Row],[Wealthier_Winner]]=0,"Tie",Table1[[#This Row],[Wealthier_Winner]]=1,"Wealthier Nation Wins")</f>
        <v>Tie</v>
      </c>
    </row>
    <row r="2480" spans="1:17" x14ac:dyDescent="0.2">
      <c r="A2480" s="1">
        <v>4074</v>
      </c>
      <c r="B2480" s="2">
        <v>37048</v>
      </c>
      <c r="C2480" s="7">
        <f>_xlfn.FLOOR.MATH(Table1[[#This Row],[year]],10)</f>
        <v>2000</v>
      </c>
      <c r="D2480" t="s">
        <v>38</v>
      </c>
      <c r="E2480" t="s">
        <v>351</v>
      </c>
      <c r="F2480">
        <v>6</v>
      </c>
      <c r="G2480">
        <v>0</v>
      </c>
      <c r="H2480" t="s">
        <v>224</v>
      </c>
      <c r="I2480" t="s">
        <v>291</v>
      </c>
      <c r="J2480" t="s">
        <v>38</v>
      </c>
      <c r="K2480" t="b">
        <v>0</v>
      </c>
      <c r="L2480">
        <v>2001</v>
      </c>
      <c r="M2480">
        <v>121604107164</v>
      </c>
      <c r="N2480">
        <v>10397898907</v>
      </c>
      <c r="O2480" t="b">
        <v>1</v>
      </c>
      <c r="P2480">
        <v>1</v>
      </c>
      <c r="Q2480" t="str" cm="1">
        <f t="array" ref="Q2480">_xlfn.IFS(Table1[[#This Row],[Wealthier_Winner]]=-1,"Wealthier Nation Loses",Table1[[#This Row],[Wealthier_Winner]]=0,"Tie",Table1[[#This Row],[Wealthier_Winner]]=1,"Wealthier Nation Wins")</f>
        <v>Wealthier Nation Wins</v>
      </c>
    </row>
    <row r="2481" spans="1:17" x14ac:dyDescent="0.2">
      <c r="A2481" s="1">
        <v>4075</v>
      </c>
      <c r="B2481" s="2">
        <v>37048</v>
      </c>
      <c r="C2481" s="7">
        <f>_xlfn.FLOOR.MATH(Table1[[#This Row],[year]],10)</f>
        <v>2000</v>
      </c>
      <c r="D2481" t="s">
        <v>549</v>
      </c>
      <c r="E2481" t="s">
        <v>23</v>
      </c>
      <c r="F2481">
        <v>1</v>
      </c>
      <c r="G2481">
        <v>4</v>
      </c>
      <c r="H2481" t="s">
        <v>224</v>
      </c>
      <c r="I2481" t="s">
        <v>555</v>
      </c>
      <c r="J2481" t="s">
        <v>549</v>
      </c>
      <c r="K2481" t="b">
        <v>0</v>
      </c>
      <c r="L2481">
        <v>2001</v>
      </c>
      <c r="M2481">
        <v>1059529812</v>
      </c>
      <c r="N2481">
        <v>236746141604</v>
      </c>
      <c r="O2481" t="b">
        <v>1</v>
      </c>
      <c r="P2481">
        <v>1</v>
      </c>
      <c r="Q2481" t="str" cm="1">
        <f t="array" ref="Q2481">_xlfn.IFS(Table1[[#This Row],[Wealthier_Winner]]=-1,"Wealthier Nation Loses",Table1[[#This Row],[Wealthier_Winner]]=0,"Tie",Table1[[#This Row],[Wealthier_Winner]]=1,"Wealthier Nation Wins")</f>
        <v>Wealthier Nation Wins</v>
      </c>
    </row>
    <row r="2482" spans="1:17" x14ac:dyDescent="0.2">
      <c r="A2482" s="1">
        <v>4076</v>
      </c>
      <c r="B2482" s="2">
        <v>37048</v>
      </c>
      <c r="C2482" s="7">
        <f>_xlfn.FLOOR.MATH(Table1[[#This Row],[year]],10)</f>
        <v>2000</v>
      </c>
      <c r="D2482" t="s">
        <v>25</v>
      </c>
      <c r="E2482" t="s">
        <v>527</v>
      </c>
      <c r="F2482">
        <v>6</v>
      </c>
      <c r="G2482">
        <v>0</v>
      </c>
      <c r="H2482" t="s">
        <v>224</v>
      </c>
      <c r="I2482" t="s">
        <v>317</v>
      </c>
      <c r="J2482" t="s">
        <v>25</v>
      </c>
      <c r="K2482" t="b">
        <v>0</v>
      </c>
      <c r="L2482">
        <v>2001</v>
      </c>
      <c r="M2482">
        <v>242497797484</v>
      </c>
      <c r="N2482">
        <v>1480673594</v>
      </c>
      <c r="O2482" t="b">
        <v>1</v>
      </c>
      <c r="P2482">
        <v>1</v>
      </c>
      <c r="Q2482" t="str" cm="1">
        <f t="array" ref="Q2482">_xlfn.IFS(Table1[[#This Row],[Wealthier_Winner]]=-1,"Wealthier Nation Loses",Table1[[#This Row],[Wealthier_Winner]]=0,"Tie",Table1[[#This Row],[Wealthier_Winner]]=1,"Wealthier Nation Wins")</f>
        <v>Wealthier Nation Wins</v>
      </c>
    </row>
    <row r="2483" spans="1:17" x14ac:dyDescent="0.2">
      <c r="A2483" s="1">
        <v>4077</v>
      </c>
      <c r="B2483" s="2">
        <v>37048</v>
      </c>
      <c r="C2483" s="7">
        <f>_xlfn.FLOOR.MATH(Table1[[#This Row],[year]],10)</f>
        <v>2000</v>
      </c>
      <c r="D2483" t="s">
        <v>46</v>
      </c>
      <c r="E2483" t="s">
        <v>55</v>
      </c>
      <c r="F2483">
        <v>0</v>
      </c>
      <c r="G2483">
        <v>1</v>
      </c>
      <c r="H2483" t="s">
        <v>224</v>
      </c>
      <c r="I2483" t="s">
        <v>269</v>
      </c>
      <c r="J2483" t="s">
        <v>46</v>
      </c>
      <c r="K2483" t="b">
        <v>0</v>
      </c>
      <c r="L2483">
        <v>2001</v>
      </c>
      <c r="M2483">
        <v>286582672434</v>
      </c>
      <c r="N2483">
        <v>20668868706</v>
      </c>
      <c r="O2483" t="b">
        <v>1</v>
      </c>
      <c r="P2483">
        <v>-1</v>
      </c>
      <c r="Q2483" t="str" cm="1">
        <f t="array" ref="Q2483">_xlfn.IFS(Table1[[#This Row],[Wealthier_Winner]]=-1,"Wealthier Nation Loses",Table1[[#This Row],[Wealthier_Winner]]=0,"Tie",Table1[[#This Row],[Wealthier_Winner]]=1,"Wealthier Nation Wins")</f>
        <v>Wealthier Nation Loses</v>
      </c>
    </row>
    <row r="2484" spans="1:17" x14ac:dyDescent="0.2">
      <c r="A2484" s="1">
        <v>4081</v>
      </c>
      <c r="B2484" s="2">
        <v>37050</v>
      </c>
      <c r="C2484" s="7">
        <f>_xlfn.FLOOR.MATH(Table1[[#This Row],[year]],10)</f>
        <v>2000</v>
      </c>
      <c r="D2484" t="s">
        <v>451</v>
      </c>
      <c r="E2484" t="s">
        <v>456</v>
      </c>
      <c r="F2484">
        <v>2</v>
      </c>
      <c r="G2484">
        <v>7</v>
      </c>
      <c r="H2484" t="s">
        <v>224</v>
      </c>
      <c r="I2484" t="s">
        <v>628</v>
      </c>
      <c r="J2484" t="s">
        <v>72</v>
      </c>
      <c r="K2484" t="b">
        <v>1</v>
      </c>
      <c r="L2484">
        <v>2001</v>
      </c>
      <c r="M2484">
        <v>257926881</v>
      </c>
      <c r="N2484">
        <v>409508552</v>
      </c>
      <c r="O2484" t="b">
        <v>0</v>
      </c>
      <c r="P2484">
        <v>1</v>
      </c>
      <c r="Q2484" t="str" cm="1">
        <f t="array" ref="Q2484">_xlfn.IFS(Table1[[#This Row],[Wealthier_Winner]]=-1,"Wealthier Nation Loses",Table1[[#This Row],[Wealthier_Winner]]=0,"Tie",Table1[[#This Row],[Wealthier_Winner]]=1,"Wealthier Nation Wins")</f>
        <v>Wealthier Nation Wins</v>
      </c>
    </row>
    <row r="2485" spans="1:17" x14ac:dyDescent="0.2">
      <c r="A2485" s="1">
        <v>4083</v>
      </c>
      <c r="B2485" s="2">
        <v>37053</v>
      </c>
      <c r="C2485" s="7">
        <f>_xlfn.FLOOR.MATH(Table1[[#This Row],[year]],10)</f>
        <v>2000</v>
      </c>
      <c r="D2485" t="s">
        <v>72</v>
      </c>
      <c r="E2485" t="s">
        <v>456</v>
      </c>
      <c r="F2485">
        <v>5</v>
      </c>
      <c r="G2485">
        <v>1</v>
      </c>
      <c r="H2485" t="s">
        <v>224</v>
      </c>
      <c r="I2485" t="s">
        <v>628</v>
      </c>
      <c r="J2485" t="s">
        <v>72</v>
      </c>
      <c r="K2485" t="b">
        <v>0</v>
      </c>
      <c r="L2485">
        <v>2001</v>
      </c>
      <c r="M2485">
        <v>53872425916</v>
      </c>
      <c r="N2485">
        <v>409508552</v>
      </c>
      <c r="O2485" t="b">
        <v>1</v>
      </c>
      <c r="P2485">
        <v>1</v>
      </c>
      <c r="Q2485" t="str" cm="1">
        <f t="array" ref="Q2485">_xlfn.IFS(Table1[[#This Row],[Wealthier_Winner]]=-1,"Wealthier Nation Loses",Table1[[#This Row],[Wealthier_Winner]]=0,"Tie",Table1[[#This Row],[Wealthier_Winner]]=1,"Wealthier Nation Wins")</f>
        <v>Wealthier Nation Wins</v>
      </c>
    </row>
    <row r="2486" spans="1:17" x14ac:dyDescent="0.2">
      <c r="A2486" s="1">
        <v>4084</v>
      </c>
      <c r="B2486" s="2">
        <v>37055</v>
      </c>
      <c r="C2486" s="7">
        <f>_xlfn.FLOOR.MATH(Table1[[#This Row],[year]],10)</f>
        <v>2000</v>
      </c>
      <c r="D2486" t="s">
        <v>72</v>
      </c>
      <c r="E2486" t="s">
        <v>451</v>
      </c>
      <c r="F2486">
        <v>7</v>
      </c>
      <c r="G2486">
        <v>0</v>
      </c>
      <c r="H2486" t="s">
        <v>224</v>
      </c>
      <c r="I2486" t="s">
        <v>628</v>
      </c>
      <c r="J2486" t="s">
        <v>72</v>
      </c>
      <c r="K2486" t="b">
        <v>0</v>
      </c>
      <c r="L2486">
        <v>2001</v>
      </c>
      <c r="M2486">
        <v>53872425916</v>
      </c>
      <c r="N2486">
        <v>257926881</v>
      </c>
      <c r="O2486" t="b">
        <v>1</v>
      </c>
      <c r="P2486">
        <v>1</v>
      </c>
      <c r="Q2486" t="str" cm="1">
        <f t="array" ref="Q2486">_xlfn.IFS(Table1[[#This Row],[Wealthier_Winner]]=-1,"Wealthier Nation Loses",Table1[[#This Row],[Wealthier_Winner]]=0,"Tie",Table1[[#This Row],[Wealthier_Winner]]=1,"Wealthier Nation Wins")</f>
        <v>Wealthier Nation Wins</v>
      </c>
    </row>
    <row r="2487" spans="1:17" x14ac:dyDescent="0.2">
      <c r="A2487" s="1">
        <v>4086</v>
      </c>
      <c r="B2487" s="2">
        <v>37058</v>
      </c>
      <c r="C2487" s="7">
        <f>_xlfn.FLOOR.MATH(Table1[[#This Row],[year]],10)</f>
        <v>2000</v>
      </c>
      <c r="D2487" t="s">
        <v>49</v>
      </c>
      <c r="E2487" t="s">
        <v>41</v>
      </c>
      <c r="F2487">
        <v>0</v>
      </c>
      <c r="G2487">
        <v>0</v>
      </c>
      <c r="H2487" t="s">
        <v>224</v>
      </c>
      <c r="I2487" t="s">
        <v>257</v>
      </c>
      <c r="J2487" t="s">
        <v>49</v>
      </c>
      <c r="K2487" t="b">
        <v>0</v>
      </c>
      <c r="L2487">
        <v>2001</v>
      </c>
      <c r="M2487">
        <v>9194727831</v>
      </c>
      <c r="N2487">
        <v>10581929774000</v>
      </c>
      <c r="O2487" t="b">
        <v>1</v>
      </c>
      <c r="P2487">
        <v>0</v>
      </c>
      <c r="Q2487" t="str" cm="1">
        <f t="array" ref="Q2487">_xlfn.IFS(Table1[[#This Row],[Wealthier_Winner]]=-1,"Wealthier Nation Loses",Table1[[#This Row],[Wealthier_Winner]]=0,"Tie",Table1[[#This Row],[Wealthier_Winner]]=1,"Wealthier Nation Wins")</f>
        <v>Tie</v>
      </c>
    </row>
    <row r="2488" spans="1:17" x14ac:dyDescent="0.2">
      <c r="A2488" s="1">
        <v>4087</v>
      </c>
      <c r="B2488" s="2">
        <v>37058</v>
      </c>
      <c r="C2488" s="7">
        <f>_xlfn.FLOOR.MATH(Table1[[#This Row],[year]],10)</f>
        <v>2000</v>
      </c>
      <c r="D2488" t="s">
        <v>17</v>
      </c>
      <c r="E2488" t="s">
        <v>56</v>
      </c>
      <c r="F2488">
        <v>1</v>
      </c>
      <c r="G2488">
        <v>2</v>
      </c>
      <c r="H2488" t="s">
        <v>224</v>
      </c>
      <c r="I2488" t="s">
        <v>83</v>
      </c>
      <c r="J2488" t="s">
        <v>17</v>
      </c>
      <c r="K2488" t="b">
        <v>0</v>
      </c>
      <c r="L2488">
        <v>2001</v>
      </c>
      <c r="M2488">
        <v>796064590549</v>
      </c>
      <c r="N2488">
        <v>15976174336</v>
      </c>
      <c r="O2488" t="b">
        <v>1</v>
      </c>
      <c r="P2488">
        <v>-1</v>
      </c>
      <c r="Q2488" t="str" cm="1">
        <f t="array" ref="Q2488">_xlfn.IFS(Table1[[#This Row],[Wealthier_Winner]]=-1,"Wealthier Nation Loses",Table1[[#This Row],[Wealthier_Winner]]=0,"Tie",Table1[[#This Row],[Wealthier_Winner]]=1,"Wealthier Nation Wins")</f>
        <v>Wealthier Nation Loses</v>
      </c>
    </row>
    <row r="2489" spans="1:17" x14ac:dyDescent="0.2">
      <c r="A2489" s="1">
        <v>4088</v>
      </c>
      <c r="B2489" s="2">
        <v>37058</v>
      </c>
      <c r="C2489" s="7">
        <f>_xlfn.FLOOR.MATH(Table1[[#This Row],[year]],10)</f>
        <v>2000</v>
      </c>
      <c r="D2489" t="s">
        <v>59</v>
      </c>
      <c r="E2489" t="s">
        <v>65</v>
      </c>
      <c r="F2489">
        <v>2</v>
      </c>
      <c r="G2489">
        <v>4</v>
      </c>
      <c r="H2489" t="s">
        <v>224</v>
      </c>
      <c r="I2489" t="s">
        <v>253</v>
      </c>
      <c r="J2489" t="s">
        <v>59</v>
      </c>
      <c r="K2489" t="b">
        <v>0</v>
      </c>
      <c r="L2489">
        <v>2001</v>
      </c>
      <c r="M2489">
        <v>8824849191</v>
      </c>
      <c r="N2489">
        <v>7651162302</v>
      </c>
      <c r="O2489" t="b">
        <v>0</v>
      </c>
      <c r="P2489">
        <v>-1</v>
      </c>
      <c r="Q2489" t="str" cm="1">
        <f t="array" ref="Q2489">_xlfn.IFS(Table1[[#This Row],[Wealthier_Winner]]=-1,"Wealthier Nation Loses",Table1[[#This Row],[Wealthier_Winner]]=0,"Tie",Table1[[#This Row],[Wealthier_Winner]]=1,"Wealthier Nation Wins")</f>
        <v>Wealthier Nation Loses</v>
      </c>
    </row>
    <row r="2490" spans="1:17" x14ac:dyDescent="0.2">
      <c r="A2490" s="1">
        <v>4089</v>
      </c>
      <c r="B2490" s="2">
        <v>37062</v>
      </c>
      <c r="C2490" s="7">
        <f>_xlfn.FLOOR.MATH(Table1[[#This Row],[year]],10)</f>
        <v>2000</v>
      </c>
      <c r="D2490" t="s">
        <v>56</v>
      </c>
      <c r="E2490" t="s">
        <v>49</v>
      </c>
      <c r="F2490">
        <v>2</v>
      </c>
      <c r="G2490">
        <v>1</v>
      </c>
      <c r="H2490" t="s">
        <v>224</v>
      </c>
      <c r="I2490" t="s">
        <v>600</v>
      </c>
      <c r="J2490" t="s">
        <v>56</v>
      </c>
      <c r="K2490" t="b">
        <v>0</v>
      </c>
      <c r="L2490">
        <v>2001</v>
      </c>
      <c r="M2490">
        <v>15976174336</v>
      </c>
      <c r="N2490">
        <v>9194727831</v>
      </c>
      <c r="O2490" t="b">
        <v>0</v>
      </c>
      <c r="P2490">
        <v>1</v>
      </c>
      <c r="Q2490" t="str" cm="1">
        <f t="array" ref="Q2490">_xlfn.IFS(Table1[[#This Row],[Wealthier_Winner]]=-1,"Wealthier Nation Loses",Table1[[#This Row],[Wealthier_Winner]]=0,"Tie",Table1[[#This Row],[Wealthier_Winner]]=1,"Wealthier Nation Wins")</f>
        <v>Wealthier Nation Wins</v>
      </c>
    </row>
    <row r="2491" spans="1:17" x14ac:dyDescent="0.2">
      <c r="A2491" s="1">
        <v>4090</v>
      </c>
      <c r="B2491" s="2">
        <v>37062</v>
      </c>
      <c r="C2491" s="7">
        <f>_xlfn.FLOOR.MATH(Table1[[#This Row],[year]],10)</f>
        <v>2000</v>
      </c>
      <c r="D2491" t="s">
        <v>65</v>
      </c>
      <c r="E2491" t="s">
        <v>17</v>
      </c>
      <c r="F2491">
        <v>3</v>
      </c>
      <c r="G2491">
        <v>1</v>
      </c>
      <c r="H2491" t="s">
        <v>224</v>
      </c>
      <c r="I2491" t="s">
        <v>254</v>
      </c>
      <c r="J2491" t="s">
        <v>65</v>
      </c>
      <c r="K2491" t="b">
        <v>0</v>
      </c>
      <c r="L2491">
        <v>2001</v>
      </c>
      <c r="M2491">
        <v>7651162302</v>
      </c>
      <c r="N2491">
        <v>796064590549</v>
      </c>
      <c r="O2491" t="b">
        <v>1</v>
      </c>
      <c r="P2491">
        <v>-1</v>
      </c>
      <c r="Q2491" t="str" cm="1">
        <f t="array" ref="Q2491">_xlfn.IFS(Table1[[#This Row],[Wealthier_Winner]]=-1,"Wealthier Nation Loses",Table1[[#This Row],[Wealthier_Winner]]=0,"Tie",Table1[[#This Row],[Wealthier_Winner]]=1,"Wealthier Nation Wins")</f>
        <v>Wealthier Nation Loses</v>
      </c>
    </row>
    <row r="2492" spans="1:17" x14ac:dyDescent="0.2">
      <c r="A2492" s="1">
        <v>4091</v>
      </c>
      <c r="B2492" s="2">
        <v>37062</v>
      </c>
      <c r="C2492" s="7">
        <f>_xlfn.FLOOR.MATH(Table1[[#This Row],[year]],10)</f>
        <v>2000</v>
      </c>
      <c r="D2492" t="s">
        <v>72</v>
      </c>
      <c r="E2492" t="s">
        <v>28</v>
      </c>
      <c r="F2492">
        <v>0</v>
      </c>
      <c r="G2492">
        <v>2</v>
      </c>
      <c r="H2492" t="s">
        <v>224</v>
      </c>
      <c r="I2492" t="s">
        <v>629</v>
      </c>
      <c r="J2492" t="s">
        <v>72</v>
      </c>
      <c r="K2492" t="b">
        <v>0</v>
      </c>
      <c r="L2492">
        <v>2001</v>
      </c>
      <c r="M2492">
        <v>53872425916</v>
      </c>
      <c r="N2492">
        <v>380360222861</v>
      </c>
      <c r="O2492" t="b">
        <v>1</v>
      </c>
      <c r="P2492">
        <v>1</v>
      </c>
      <c r="Q2492" t="str" cm="1">
        <f t="array" ref="Q2492">_xlfn.IFS(Table1[[#This Row],[Wealthier_Winner]]=-1,"Wealthier Nation Loses",Table1[[#This Row],[Wealthier_Winner]]=0,"Tie",Table1[[#This Row],[Wealthier_Winner]]=1,"Wealthier Nation Wins")</f>
        <v>Wealthier Nation Wins</v>
      </c>
    </row>
    <row r="2493" spans="1:17" x14ac:dyDescent="0.2">
      <c r="A2493" s="1">
        <v>4092</v>
      </c>
      <c r="B2493" s="2">
        <v>37062</v>
      </c>
      <c r="C2493" s="7">
        <f>_xlfn.FLOOR.MATH(Table1[[#This Row],[year]],10)</f>
        <v>2000</v>
      </c>
      <c r="D2493" t="s">
        <v>41</v>
      </c>
      <c r="E2493" t="s">
        <v>59</v>
      </c>
      <c r="F2493">
        <v>2</v>
      </c>
      <c r="G2493">
        <v>0</v>
      </c>
      <c r="H2493" t="s">
        <v>224</v>
      </c>
      <c r="I2493" t="s">
        <v>123</v>
      </c>
      <c r="J2493" t="s">
        <v>41</v>
      </c>
      <c r="K2493" t="b">
        <v>0</v>
      </c>
      <c r="L2493">
        <v>2001</v>
      </c>
      <c r="M2493">
        <v>10581929774000</v>
      </c>
      <c r="N2493">
        <v>8824849191</v>
      </c>
      <c r="O2493" t="b">
        <v>1</v>
      </c>
      <c r="P2493">
        <v>1</v>
      </c>
      <c r="Q2493" t="str" cm="1">
        <f t="array" ref="Q2493">_xlfn.IFS(Table1[[#This Row],[Wealthier_Winner]]=-1,"Wealthier Nation Loses",Table1[[#This Row],[Wealthier_Winner]]=0,"Tie",Table1[[#This Row],[Wealthier_Winner]]=1,"Wealthier Nation Wins")</f>
        <v>Wealthier Nation Wins</v>
      </c>
    </row>
    <row r="2494" spans="1:17" x14ac:dyDescent="0.2">
      <c r="A2494" s="1">
        <v>4093</v>
      </c>
      <c r="B2494" s="2">
        <v>37066</v>
      </c>
      <c r="C2494" s="7">
        <f>_xlfn.FLOOR.MATH(Table1[[#This Row],[year]],10)</f>
        <v>2000</v>
      </c>
      <c r="D2494" t="s">
        <v>28</v>
      </c>
      <c r="E2494" t="s">
        <v>72</v>
      </c>
      <c r="F2494">
        <v>4</v>
      </c>
      <c r="G2494">
        <v>1</v>
      </c>
      <c r="H2494" t="s">
        <v>224</v>
      </c>
      <c r="I2494" t="s">
        <v>301</v>
      </c>
      <c r="J2494" t="s">
        <v>28</v>
      </c>
      <c r="K2494" t="b">
        <v>0</v>
      </c>
      <c r="L2494">
        <v>2001</v>
      </c>
      <c r="M2494">
        <v>380360222861</v>
      </c>
      <c r="N2494">
        <v>53872425916</v>
      </c>
      <c r="O2494" t="b">
        <v>1</v>
      </c>
      <c r="P2494">
        <v>1</v>
      </c>
      <c r="Q2494" t="str" cm="1">
        <f t="array" ref="Q2494">_xlfn.IFS(Table1[[#This Row],[Wealthier_Winner]]=-1,"Wealthier Nation Loses",Table1[[#This Row],[Wealthier_Winner]]=0,"Tie",Table1[[#This Row],[Wealthier_Winner]]=1,"Wealthier Nation Wins")</f>
        <v>Wealthier Nation Wins</v>
      </c>
    </row>
    <row r="2495" spans="1:17" x14ac:dyDescent="0.2">
      <c r="A2495" s="1">
        <v>4094</v>
      </c>
      <c r="B2495" s="2">
        <v>37071</v>
      </c>
      <c r="C2495" s="7">
        <f>_xlfn.FLOOR.MATH(Table1[[#This Row],[year]],10)</f>
        <v>2000</v>
      </c>
      <c r="D2495" t="s">
        <v>286</v>
      </c>
      <c r="E2495" t="s">
        <v>60</v>
      </c>
      <c r="F2495">
        <v>1</v>
      </c>
      <c r="G2495">
        <v>1</v>
      </c>
      <c r="H2495" t="s">
        <v>224</v>
      </c>
      <c r="I2495" t="s">
        <v>287</v>
      </c>
      <c r="J2495" t="s">
        <v>286</v>
      </c>
      <c r="K2495" t="b">
        <v>0</v>
      </c>
      <c r="L2495">
        <v>2001</v>
      </c>
      <c r="M2495">
        <v>34112093927</v>
      </c>
      <c r="N2495">
        <v>8936079117</v>
      </c>
      <c r="O2495" t="b">
        <v>1</v>
      </c>
      <c r="P2495">
        <v>0</v>
      </c>
      <c r="Q2495" t="str" cm="1">
        <f t="array" ref="Q2495">_xlfn.IFS(Table1[[#This Row],[Wealthier_Winner]]=-1,"Wealthier Nation Loses",Table1[[#This Row],[Wealthier_Winner]]=0,"Tie",Table1[[#This Row],[Wealthier_Winner]]=1,"Wealthier Nation Wins")</f>
        <v>Tie</v>
      </c>
    </row>
    <row r="2496" spans="1:17" x14ac:dyDescent="0.2">
      <c r="A2496" s="1">
        <v>4095</v>
      </c>
      <c r="B2496" s="2">
        <v>37072</v>
      </c>
      <c r="C2496" s="7">
        <f>_xlfn.FLOOR.MATH(Table1[[#This Row],[year]],10)</f>
        <v>2000</v>
      </c>
      <c r="D2496" t="s">
        <v>24</v>
      </c>
      <c r="E2496" t="s">
        <v>212</v>
      </c>
      <c r="F2496">
        <v>1</v>
      </c>
      <c r="G2496">
        <v>0</v>
      </c>
      <c r="H2496" t="s">
        <v>224</v>
      </c>
      <c r="I2496" t="s">
        <v>319</v>
      </c>
      <c r="J2496" t="s">
        <v>24</v>
      </c>
      <c r="K2496" t="b">
        <v>0</v>
      </c>
      <c r="L2496">
        <v>2001</v>
      </c>
      <c r="M2496">
        <v>43831480207</v>
      </c>
      <c r="N2496">
        <v>96684636118</v>
      </c>
      <c r="O2496" t="b">
        <v>1</v>
      </c>
      <c r="P2496">
        <v>-1</v>
      </c>
      <c r="Q2496" t="str" cm="1">
        <f t="array" ref="Q2496">_xlfn.IFS(Table1[[#This Row],[Wealthier_Winner]]=-1,"Wealthier Nation Loses",Table1[[#This Row],[Wealthier_Winner]]=0,"Tie",Table1[[#This Row],[Wealthier_Winner]]=1,"Wealthier Nation Wins")</f>
        <v>Wealthier Nation Loses</v>
      </c>
    </row>
    <row r="2497" spans="1:17" x14ac:dyDescent="0.2">
      <c r="A2497" s="1">
        <v>4096</v>
      </c>
      <c r="B2497" s="2">
        <v>37072</v>
      </c>
      <c r="C2497" s="7">
        <f>_xlfn.FLOOR.MATH(Table1[[#This Row],[year]],10)</f>
        <v>2000</v>
      </c>
      <c r="D2497" t="s">
        <v>462</v>
      </c>
      <c r="E2497" t="s">
        <v>32</v>
      </c>
      <c r="F2497">
        <v>0</v>
      </c>
      <c r="G2497">
        <v>4</v>
      </c>
      <c r="H2497" t="s">
        <v>224</v>
      </c>
      <c r="I2497" t="s">
        <v>465</v>
      </c>
      <c r="J2497" t="s">
        <v>462</v>
      </c>
      <c r="K2497" t="b">
        <v>0</v>
      </c>
      <c r="L2497">
        <v>2001</v>
      </c>
      <c r="M2497">
        <v>3557341215</v>
      </c>
      <c r="N2497">
        <v>59413400923</v>
      </c>
      <c r="O2497" t="b">
        <v>1</v>
      </c>
      <c r="P2497">
        <v>1</v>
      </c>
      <c r="Q2497" t="str" cm="1">
        <f t="array" ref="Q2497">_xlfn.IFS(Table1[[#This Row],[Wealthier_Winner]]=-1,"Wealthier Nation Loses",Table1[[#This Row],[Wealthier_Winner]]=0,"Tie",Table1[[#This Row],[Wealthier_Winner]]=1,"Wealthier Nation Wins")</f>
        <v>Wealthier Nation Wins</v>
      </c>
    </row>
    <row r="2498" spans="1:17" x14ac:dyDescent="0.2">
      <c r="A2498" s="1">
        <v>4097</v>
      </c>
      <c r="B2498" s="2">
        <v>37072</v>
      </c>
      <c r="C2498" s="7">
        <f>_xlfn.FLOOR.MATH(Table1[[#This Row],[year]],10)</f>
        <v>2000</v>
      </c>
      <c r="D2498" t="s">
        <v>59</v>
      </c>
      <c r="E2498" t="s">
        <v>49</v>
      </c>
      <c r="F2498">
        <v>1</v>
      </c>
      <c r="G2498">
        <v>2</v>
      </c>
      <c r="H2498" t="s">
        <v>224</v>
      </c>
      <c r="I2498" t="s">
        <v>253</v>
      </c>
      <c r="J2498" t="s">
        <v>59</v>
      </c>
      <c r="K2498" t="b">
        <v>0</v>
      </c>
      <c r="L2498">
        <v>2001</v>
      </c>
      <c r="M2498">
        <v>8824849191</v>
      </c>
      <c r="N2498">
        <v>9194727831</v>
      </c>
      <c r="O2498" t="b">
        <v>0</v>
      </c>
      <c r="P2498">
        <v>1</v>
      </c>
      <c r="Q2498" t="str" cm="1">
        <f t="array" ref="Q2498">_xlfn.IFS(Table1[[#This Row],[Wealthier_Winner]]=-1,"Wealthier Nation Loses",Table1[[#This Row],[Wealthier_Winner]]=0,"Tie",Table1[[#This Row],[Wealthier_Winner]]=1,"Wealthier Nation Wins")</f>
        <v>Wealthier Nation Wins</v>
      </c>
    </row>
    <row r="2499" spans="1:17" x14ac:dyDescent="0.2">
      <c r="A2499" s="1">
        <v>4098</v>
      </c>
      <c r="B2499" s="2">
        <v>37073</v>
      </c>
      <c r="C2499" s="7">
        <f>_xlfn.FLOOR.MATH(Table1[[#This Row],[year]],10)</f>
        <v>2000</v>
      </c>
      <c r="D2499" t="s">
        <v>345</v>
      </c>
      <c r="E2499" t="s">
        <v>50</v>
      </c>
      <c r="F2499">
        <v>1</v>
      </c>
      <c r="G2499">
        <v>1</v>
      </c>
      <c r="H2499" t="s">
        <v>224</v>
      </c>
      <c r="I2499" t="s">
        <v>347</v>
      </c>
      <c r="J2499" t="s">
        <v>345</v>
      </c>
      <c r="K2499" t="b">
        <v>0</v>
      </c>
      <c r="L2499">
        <v>2001</v>
      </c>
      <c r="M2499">
        <v>3190371080</v>
      </c>
      <c r="N2499">
        <v>135429905922</v>
      </c>
      <c r="O2499" t="b">
        <v>1</v>
      </c>
      <c r="P2499">
        <v>0</v>
      </c>
      <c r="Q2499" t="str" cm="1">
        <f t="array" ref="Q2499">_xlfn.IFS(Table1[[#This Row],[Wealthier_Winner]]=-1,"Wealthier Nation Loses",Table1[[#This Row],[Wealthier_Winner]]=0,"Tie",Table1[[#This Row],[Wealthier_Winner]]=1,"Wealthier Nation Wins")</f>
        <v>Tie</v>
      </c>
    </row>
    <row r="2500" spans="1:17" x14ac:dyDescent="0.2">
      <c r="A2500" s="1">
        <v>4099</v>
      </c>
      <c r="B2500" s="2">
        <v>37073</v>
      </c>
      <c r="C2500" s="7">
        <f>_xlfn.FLOOR.MATH(Table1[[#This Row],[year]],10)</f>
        <v>2000</v>
      </c>
      <c r="D2500" t="s">
        <v>40</v>
      </c>
      <c r="E2500" t="s">
        <v>62</v>
      </c>
      <c r="F2500">
        <v>2</v>
      </c>
      <c r="G2500">
        <v>0</v>
      </c>
      <c r="H2500" t="s">
        <v>224</v>
      </c>
      <c r="I2500" t="s">
        <v>371</v>
      </c>
      <c r="J2500" t="s">
        <v>40</v>
      </c>
      <c r="K2500" t="b">
        <v>0</v>
      </c>
      <c r="L2500">
        <v>2001</v>
      </c>
      <c r="M2500">
        <v>10953485349</v>
      </c>
      <c r="N2500">
        <v>2093498674</v>
      </c>
      <c r="O2500" t="b">
        <v>1</v>
      </c>
      <c r="P2500">
        <v>1</v>
      </c>
      <c r="Q2500" t="str" cm="1">
        <f t="array" ref="Q2500">_xlfn.IFS(Table1[[#This Row],[Wealthier_Winner]]=-1,"Wealthier Nation Loses",Table1[[#This Row],[Wealthier_Winner]]=0,"Tie",Table1[[#This Row],[Wealthier_Winner]]=1,"Wealthier Nation Wins")</f>
        <v>Wealthier Nation Wins</v>
      </c>
    </row>
    <row r="2501" spans="1:17" x14ac:dyDescent="0.2">
      <c r="A2501" s="1">
        <v>4100</v>
      </c>
      <c r="B2501" s="2">
        <v>37073</v>
      </c>
      <c r="C2501" s="7">
        <f>_xlfn.FLOOR.MATH(Table1[[#This Row],[year]],10)</f>
        <v>2000</v>
      </c>
      <c r="D2501" t="s">
        <v>65</v>
      </c>
      <c r="E2501" t="s">
        <v>56</v>
      </c>
      <c r="F2501">
        <v>2</v>
      </c>
      <c r="G2501">
        <v>3</v>
      </c>
      <c r="H2501" t="s">
        <v>224</v>
      </c>
      <c r="I2501" t="s">
        <v>228</v>
      </c>
      <c r="J2501" t="s">
        <v>65</v>
      </c>
      <c r="K2501" t="b">
        <v>0</v>
      </c>
      <c r="L2501">
        <v>2001</v>
      </c>
      <c r="M2501">
        <v>7651162302</v>
      </c>
      <c r="N2501">
        <v>15976174336</v>
      </c>
      <c r="O2501" t="b">
        <v>1</v>
      </c>
      <c r="P2501">
        <v>1</v>
      </c>
      <c r="Q2501" t="str" cm="1">
        <f t="array" ref="Q2501">_xlfn.IFS(Table1[[#This Row],[Wealthier_Winner]]=-1,"Wealthier Nation Loses",Table1[[#This Row],[Wealthier_Winner]]=0,"Tie",Table1[[#This Row],[Wealthier_Winner]]=1,"Wealthier Nation Wins")</f>
        <v>Wealthier Nation Wins</v>
      </c>
    </row>
    <row r="2502" spans="1:17" x14ac:dyDescent="0.2">
      <c r="A2502" s="1">
        <v>4102</v>
      </c>
      <c r="B2502" s="2">
        <v>37073</v>
      </c>
      <c r="C2502" s="7">
        <f>_xlfn.FLOOR.MATH(Table1[[#This Row],[year]],10)</f>
        <v>2000</v>
      </c>
      <c r="D2502" t="s">
        <v>378</v>
      </c>
      <c r="E2502" t="s">
        <v>63</v>
      </c>
      <c r="F2502">
        <v>1</v>
      </c>
      <c r="G2502">
        <v>2</v>
      </c>
      <c r="H2502" t="s">
        <v>224</v>
      </c>
      <c r="I2502" t="s">
        <v>595</v>
      </c>
      <c r="J2502" t="s">
        <v>378</v>
      </c>
      <c r="K2502" t="b">
        <v>0</v>
      </c>
      <c r="L2502">
        <v>2001</v>
      </c>
      <c r="M2502">
        <v>906000000</v>
      </c>
      <c r="N2502">
        <v>5314872854</v>
      </c>
      <c r="O2502" t="b">
        <v>1</v>
      </c>
      <c r="P2502">
        <v>1</v>
      </c>
      <c r="Q2502" t="str" cm="1">
        <f t="array" ref="Q2502">_xlfn.IFS(Table1[[#This Row],[Wealthier_Winner]]=-1,"Wealthier Nation Loses",Table1[[#This Row],[Wealthier_Winner]]=0,"Tie",Table1[[#This Row],[Wealthier_Winner]]=1,"Wealthier Nation Wins")</f>
        <v>Wealthier Nation Wins</v>
      </c>
    </row>
    <row r="2503" spans="1:17" x14ac:dyDescent="0.2">
      <c r="A2503" s="1">
        <v>4103</v>
      </c>
      <c r="B2503" s="2">
        <v>37073</v>
      </c>
      <c r="C2503" s="7">
        <f>_xlfn.FLOOR.MATH(Table1[[#This Row],[year]],10)</f>
        <v>2000</v>
      </c>
      <c r="D2503" t="s">
        <v>17</v>
      </c>
      <c r="E2503" t="s">
        <v>41</v>
      </c>
      <c r="F2503">
        <v>1</v>
      </c>
      <c r="G2503">
        <v>0</v>
      </c>
      <c r="H2503" t="s">
        <v>224</v>
      </c>
      <c r="I2503" t="s">
        <v>83</v>
      </c>
      <c r="J2503" t="s">
        <v>17</v>
      </c>
      <c r="K2503" t="b">
        <v>0</v>
      </c>
      <c r="L2503">
        <v>2001</v>
      </c>
      <c r="M2503">
        <v>796064590549</v>
      </c>
      <c r="N2503">
        <v>10581929774000</v>
      </c>
      <c r="O2503" t="b">
        <v>1</v>
      </c>
      <c r="P2503">
        <v>-1</v>
      </c>
      <c r="Q2503" t="str" cm="1">
        <f t="array" ref="Q2503">_xlfn.IFS(Table1[[#This Row],[Wealthier_Winner]]=-1,"Wealthier Nation Loses",Table1[[#This Row],[Wealthier_Winner]]=0,"Tie",Table1[[#This Row],[Wealthier_Winner]]=1,"Wealthier Nation Wins")</f>
        <v>Wealthier Nation Loses</v>
      </c>
    </row>
    <row r="2504" spans="1:17" x14ac:dyDescent="0.2">
      <c r="A2504" s="1">
        <v>4104</v>
      </c>
      <c r="B2504" s="2">
        <v>37073</v>
      </c>
      <c r="C2504" s="7">
        <f>_xlfn.FLOOR.MATH(Table1[[#This Row],[year]],10)</f>
        <v>2000</v>
      </c>
      <c r="D2504" t="s">
        <v>274</v>
      </c>
      <c r="E2504" t="s">
        <v>43</v>
      </c>
      <c r="F2504">
        <v>0</v>
      </c>
      <c r="G2504">
        <v>4</v>
      </c>
      <c r="H2504" t="s">
        <v>224</v>
      </c>
      <c r="I2504" t="s">
        <v>591</v>
      </c>
      <c r="J2504" t="s">
        <v>274</v>
      </c>
      <c r="K2504" t="b">
        <v>0</v>
      </c>
      <c r="L2504">
        <v>2001</v>
      </c>
      <c r="M2504">
        <v>15716361792</v>
      </c>
      <c r="N2504">
        <v>73557840064</v>
      </c>
      <c r="O2504" t="b">
        <v>1</v>
      </c>
      <c r="P2504">
        <v>1</v>
      </c>
      <c r="Q2504" t="str" cm="1">
        <f t="array" ref="Q2504">_xlfn.IFS(Table1[[#This Row],[Wealthier_Winner]]=-1,"Wealthier Nation Loses",Table1[[#This Row],[Wealthier_Winner]]=0,"Tie",Table1[[#This Row],[Wealthier_Winner]]=1,"Wealthier Nation Wins")</f>
        <v>Wealthier Nation Wins</v>
      </c>
    </row>
    <row r="2505" spans="1:17" x14ac:dyDescent="0.2">
      <c r="A2505" s="1">
        <v>4106</v>
      </c>
      <c r="B2505" s="2">
        <v>37073</v>
      </c>
      <c r="C2505" s="7">
        <f>_xlfn.FLOOR.MATH(Table1[[#This Row],[year]],10)</f>
        <v>2000</v>
      </c>
      <c r="D2505" t="s">
        <v>26</v>
      </c>
      <c r="E2505" t="s">
        <v>13</v>
      </c>
      <c r="F2505">
        <v>1</v>
      </c>
      <c r="G2505">
        <v>0</v>
      </c>
      <c r="H2505" t="s">
        <v>224</v>
      </c>
      <c r="I2505" t="s">
        <v>247</v>
      </c>
      <c r="J2505" t="s">
        <v>26</v>
      </c>
      <c r="K2505" t="b">
        <v>0</v>
      </c>
      <c r="L2505">
        <v>2001</v>
      </c>
      <c r="M2505">
        <v>20898761742</v>
      </c>
      <c r="N2505">
        <v>559983704094</v>
      </c>
      <c r="O2505" t="b">
        <v>1</v>
      </c>
      <c r="P2505">
        <v>-1</v>
      </c>
      <c r="Q2505" t="str" cm="1">
        <f t="array" ref="Q2505">_xlfn.IFS(Table1[[#This Row],[Wealthier_Winner]]=-1,"Wealthier Nation Loses",Table1[[#This Row],[Wealthier_Winner]]=0,"Tie",Table1[[#This Row],[Wealthier_Winner]]=1,"Wealthier Nation Wins")</f>
        <v>Wealthier Nation Loses</v>
      </c>
    </row>
    <row r="2506" spans="1:17" x14ac:dyDescent="0.2">
      <c r="A2506" s="1">
        <v>4107</v>
      </c>
      <c r="B2506" s="2">
        <v>37085</v>
      </c>
      <c r="C2506" s="7">
        <f>_xlfn.FLOOR.MATH(Table1[[#This Row],[year]],10)</f>
        <v>2000</v>
      </c>
      <c r="D2506" t="s">
        <v>212</v>
      </c>
      <c r="E2506" t="s">
        <v>462</v>
      </c>
      <c r="F2506">
        <v>8</v>
      </c>
      <c r="G2506">
        <v>2</v>
      </c>
      <c r="H2506" t="s">
        <v>224</v>
      </c>
      <c r="I2506" t="s">
        <v>594</v>
      </c>
      <c r="J2506" t="s">
        <v>212</v>
      </c>
      <c r="K2506" t="b">
        <v>0</v>
      </c>
      <c r="L2506">
        <v>2001</v>
      </c>
      <c r="M2506">
        <v>96684636118</v>
      </c>
      <c r="N2506">
        <v>3557341215</v>
      </c>
      <c r="O2506" t="b">
        <v>1</v>
      </c>
      <c r="P2506">
        <v>1</v>
      </c>
      <c r="Q2506" t="str" cm="1">
        <f t="array" ref="Q2506">_xlfn.IFS(Table1[[#This Row],[Wealthier_Winner]]=-1,"Wealthier Nation Loses",Table1[[#This Row],[Wealthier_Winner]]=0,"Tie",Table1[[#This Row],[Wealthier_Winner]]=1,"Wealthier Nation Wins")</f>
        <v>Wealthier Nation Wins</v>
      </c>
    </row>
    <row r="2507" spans="1:17" x14ac:dyDescent="0.2">
      <c r="A2507" s="1">
        <v>4108</v>
      </c>
      <c r="B2507" s="2">
        <v>37086</v>
      </c>
      <c r="C2507" s="7">
        <f>_xlfn.FLOOR.MATH(Table1[[#This Row],[year]],10)</f>
        <v>2000</v>
      </c>
      <c r="D2507" t="s">
        <v>54</v>
      </c>
      <c r="E2507" t="s">
        <v>24</v>
      </c>
      <c r="F2507">
        <v>1</v>
      </c>
      <c r="G2507">
        <v>0</v>
      </c>
      <c r="H2507" t="s">
        <v>224</v>
      </c>
      <c r="I2507" t="s">
        <v>285</v>
      </c>
      <c r="J2507" t="s">
        <v>54</v>
      </c>
      <c r="K2507" t="b">
        <v>0</v>
      </c>
      <c r="L2507">
        <v>2001</v>
      </c>
      <c r="M2507">
        <v>6507824829</v>
      </c>
      <c r="N2507">
        <v>43831480207</v>
      </c>
      <c r="O2507" t="b">
        <v>1</v>
      </c>
      <c r="P2507">
        <v>-1</v>
      </c>
      <c r="Q2507" t="str" cm="1">
        <f t="array" ref="Q2507">_xlfn.IFS(Table1[[#This Row],[Wealthier_Winner]]=-1,"Wealthier Nation Loses",Table1[[#This Row],[Wealthier_Winner]]=0,"Tie",Table1[[#This Row],[Wealthier_Winner]]=1,"Wealthier Nation Wins")</f>
        <v>Wealthier Nation Loses</v>
      </c>
    </row>
    <row r="2508" spans="1:17" x14ac:dyDescent="0.2">
      <c r="A2508" s="1">
        <v>4109</v>
      </c>
      <c r="B2508" s="2">
        <v>37086</v>
      </c>
      <c r="C2508" s="7">
        <f>_xlfn.FLOOR.MATH(Table1[[#This Row],[year]],10)</f>
        <v>2000</v>
      </c>
      <c r="D2508" t="s">
        <v>342</v>
      </c>
      <c r="E2508" t="s">
        <v>378</v>
      </c>
      <c r="F2508">
        <v>0</v>
      </c>
      <c r="G2508">
        <v>1</v>
      </c>
      <c r="H2508" t="s">
        <v>224</v>
      </c>
      <c r="I2508" t="s">
        <v>344</v>
      </c>
      <c r="J2508" t="s">
        <v>342</v>
      </c>
      <c r="K2508" t="b">
        <v>0</v>
      </c>
      <c r="L2508">
        <v>2001</v>
      </c>
      <c r="M2508">
        <v>1681473893</v>
      </c>
      <c r="N2508">
        <v>906000000</v>
      </c>
      <c r="O2508" t="b">
        <v>0</v>
      </c>
      <c r="P2508">
        <v>-1</v>
      </c>
      <c r="Q2508" t="str" cm="1">
        <f t="array" ref="Q2508">_xlfn.IFS(Table1[[#This Row],[Wealthier_Winner]]=-1,"Wealthier Nation Loses",Table1[[#This Row],[Wealthier_Winner]]=0,"Tie",Table1[[#This Row],[Wealthier_Winner]]=1,"Wealthier Nation Wins")</f>
        <v>Wealthier Nation Loses</v>
      </c>
    </row>
    <row r="2509" spans="1:17" x14ac:dyDescent="0.2">
      <c r="A2509" s="1">
        <v>4110</v>
      </c>
      <c r="B2509" s="2">
        <v>37086</v>
      </c>
      <c r="C2509" s="7">
        <f>_xlfn.FLOOR.MATH(Table1[[#This Row],[year]],10)</f>
        <v>2000</v>
      </c>
      <c r="D2509" t="s">
        <v>50</v>
      </c>
      <c r="E2509" t="s">
        <v>370</v>
      </c>
      <c r="F2509">
        <v>2</v>
      </c>
      <c r="G2509">
        <v>0</v>
      </c>
      <c r="H2509" t="s">
        <v>224</v>
      </c>
      <c r="I2509" t="s">
        <v>163</v>
      </c>
      <c r="J2509" t="s">
        <v>50</v>
      </c>
      <c r="K2509" t="b">
        <v>0</v>
      </c>
      <c r="L2509">
        <v>2001</v>
      </c>
      <c r="M2509">
        <v>135429905922</v>
      </c>
      <c r="N2509">
        <v>2498008664</v>
      </c>
      <c r="O2509" t="b">
        <v>1</v>
      </c>
      <c r="P2509">
        <v>1</v>
      </c>
      <c r="Q2509" t="str" cm="1">
        <f t="array" ref="Q2509">_xlfn.IFS(Table1[[#This Row],[Wealthier_Winner]]=-1,"Wealthier Nation Loses",Table1[[#This Row],[Wealthier_Winner]]=0,"Tie",Table1[[#This Row],[Wealthier_Winner]]=1,"Wealthier Nation Wins")</f>
        <v>Wealthier Nation Wins</v>
      </c>
    </row>
    <row r="2510" spans="1:17" x14ac:dyDescent="0.2">
      <c r="A2510" s="1">
        <v>4111</v>
      </c>
      <c r="B2510" s="2">
        <v>37086</v>
      </c>
      <c r="C2510" s="7">
        <f>_xlfn.FLOOR.MATH(Table1[[#This Row],[year]],10)</f>
        <v>2000</v>
      </c>
      <c r="D2510" t="s">
        <v>273</v>
      </c>
      <c r="E2510" t="s">
        <v>40</v>
      </c>
      <c r="F2510">
        <v>2</v>
      </c>
      <c r="G2510">
        <v>2</v>
      </c>
      <c r="H2510" t="s">
        <v>224</v>
      </c>
      <c r="I2510" t="s">
        <v>330</v>
      </c>
      <c r="J2510" t="s">
        <v>273</v>
      </c>
      <c r="K2510" t="b">
        <v>0</v>
      </c>
      <c r="L2510">
        <v>2001</v>
      </c>
      <c r="M2510">
        <v>4094441301</v>
      </c>
      <c r="N2510">
        <v>10953485349</v>
      </c>
      <c r="O2510" t="b">
        <v>1</v>
      </c>
      <c r="P2510">
        <v>0</v>
      </c>
      <c r="Q2510" t="str" cm="1">
        <f t="array" ref="Q2510">_xlfn.IFS(Table1[[#This Row],[Wealthier_Winner]]=-1,"Wealthier Nation Loses",Table1[[#This Row],[Wealthier_Winner]]=0,"Tie",Table1[[#This Row],[Wealthier_Winner]]=1,"Wealthier Nation Wins")</f>
        <v>Tie</v>
      </c>
    </row>
    <row r="2511" spans="1:17" x14ac:dyDescent="0.2">
      <c r="A2511" s="1">
        <v>4114</v>
      </c>
      <c r="B2511" s="2">
        <v>37087</v>
      </c>
      <c r="C2511" s="7">
        <f>_xlfn.FLOOR.MATH(Table1[[#This Row],[year]],10)</f>
        <v>2000</v>
      </c>
      <c r="D2511" t="s">
        <v>63</v>
      </c>
      <c r="E2511" t="s">
        <v>274</v>
      </c>
      <c r="F2511">
        <v>1</v>
      </c>
      <c r="G2511">
        <v>0</v>
      </c>
      <c r="H2511" t="s">
        <v>224</v>
      </c>
      <c r="I2511" t="s">
        <v>226</v>
      </c>
      <c r="J2511" t="s">
        <v>63</v>
      </c>
      <c r="K2511" t="b">
        <v>0</v>
      </c>
      <c r="L2511">
        <v>2001</v>
      </c>
      <c r="M2511">
        <v>5314872854</v>
      </c>
      <c r="N2511">
        <v>15716361792</v>
      </c>
      <c r="O2511" t="b">
        <v>1</v>
      </c>
      <c r="P2511">
        <v>-1</v>
      </c>
      <c r="Q2511" t="str" cm="1">
        <f t="array" ref="Q2511">_xlfn.IFS(Table1[[#This Row],[Wealthier_Winner]]=-1,"Wealthier Nation Loses",Table1[[#This Row],[Wealthier_Winner]]=0,"Tie",Table1[[#This Row],[Wealthier_Winner]]=1,"Wealthier Nation Wins")</f>
        <v>Wealthier Nation Loses</v>
      </c>
    </row>
    <row r="2512" spans="1:17" x14ac:dyDescent="0.2">
      <c r="A2512" s="1">
        <v>4115</v>
      </c>
      <c r="B2512" s="2">
        <v>37087</v>
      </c>
      <c r="C2512" s="7">
        <f>_xlfn.FLOOR.MATH(Table1[[#This Row],[year]],10)</f>
        <v>2000</v>
      </c>
      <c r="D2512" t="s">
        <v>62</v>
      </c>
      <c r="E2512" t="s">
        <v>286</v>
      </c>
      <c r="F2512">
        <v>2</v>
      </c>
      <c r="G2512">
        <v>0</v>
      </c>
      <c r="H2512" t="s">
        <v>224</v>
      </c>
      <c r="I2512" t="s">
        <v>353</v>
      </c>
      <c r="J2512" t="s">
        <v>62</v>
      </c>
      <c r="K2512" t="b">
        <v>0</v>
      </c>
      <c r="L2512">
        <v>2001</v>
      </c>
      <c r="M2512">
        <v>2093498674</v>
      </c>
      <c r="N2512">
        <v>34112093927</v>
      </c>
      <c r="O2512" t="b">
        <v>1</v>
      </c>
      <c r="P2512">
        <v>-1</v>
      </c>
      <c r="Q2512" t="str" cm="1">
        <f t="array" ref="Q2512">_xlfn.IFS(Table1[[#This Row],[Wealthier_Winner]]=-1,"Wealthier Nation Loses",Table1[[#This Row],[Wealthier_Winner]]=0,"Tie",Table1[[#This Row],[Wealthier_Winner]]=1,"Wealthier Nation Wins")</f>
        <v>Wealthier Nation Loses</v>
      </c>
    </row>
    <row r="2513" spans="1:17" x14ac:dyDescent="0.2">
      <c r="A2513" s="1">
        <v>4116</v>
      </c>
      <c r="B2513" s="2">
        <v>37087</v>
      </c>
      <c r="C2513" s="7">
        <f>_xlfn.FLOOR.MATH(Table1[[#This Row],[year]],10)</f>
        <v>2000</v>
      </c>
      <c r="D2513" t="s">
        <v>298</v>
      </c>
      <c r="E2513" t="s">
        <v>345</v>
      </c>
      <c r="F2513">
        <v>1</v>
      </c>
      <c r="G2513">
        <v>0</v>
      </c>
      <c r="H2513" t="s">
        <v>224</v>
      </c>
      <c r="I2513" t="s">
        <v>377</v>
      </c>
      <c r="J2513" t="s">
        <v>298</v>
      </c>
      <c r="K2513" t="b">
        <v>0</v>
      </c>
      <c r="L2513">
        <v>2001</v>
      </c>
      <c r="M2513">
        <v>6780750000</v>
      </c>
      <c r="N2513">
        <v>3190371080</v>
      </c>
      <c r="O2513" t="b">
        <v>1</v>
      </c>
      <c r="P2513">
        <v>1</v>
      </c>
      <c r="Q2513" t="str" cm="1">
        <f t="array" ref="Q2513">_xlfn.IFS(Table1[[#This Row],[Wealthier_Winner]]=-1,"Wealthier Nation Loses",Table1[[#This Row],[Wealthier_Winner]]=0,"Tie",Table1[[#This Row],[Wealthier_Winner]]=1,"Wealthier Nation Wins")</f>
        <v>Wealthier Nation Wins</v>
      </c>
    </row>
    <row r="2514" spans="1:17" x14ac:dyDescent="0.2">
      <c r="A2514" s="1">
        <v>4117</v>
      </c>
      <c r="B2514" s="2">
        <v>37093</v>
      </c>
      <c r="C2514" s="7">
        <f>_xlfn.FLOOR.MATH(Table1[[#This Row],[year]],10)</f>
        <v>2000</v>
      </c>
      <c r="D2514" t="s">
        <v>32</v>
      </c>
      <c r="E2514" t="s">
        <v>212</v>
      </c>
      <c r="F2514">
        <v>1</v>
      </c>
      <c r="G2514">
        <v>1</v>
      </c>
      <c r="H2514" t="s">
        <v>224</v>
      </c>
      <c r="I2514" t="s">
        <v>428</v>
      </c>
      <c r="J2514" t="s">
        <v>32</v>
      </c>
      <c r="K2514" t="b">
        <v>0</v>
      </c>
      <c r="L2514">
        <v>2001</v>
      </c>
      <c r="M2514">
        <v>59413400923</v>
      </c>
      <c r="N2514">
        <v>96684636118</v>
      </c>
      <c r="O2514" t="b">
        <v>0</v>
      </c>
      <c r="P2514">
        <v>0</v>
      </c>
      <c r="Q2514" t="str" cm="1">
        <f t="array" ref="Q2514">_xlfn.IFS(Table1[[#This Row],[Wealthier_Winner]]=-1,"Wealthier Nation Loses",Table1[[#This Row],[Wealthier_Winner]]=0,"Tie",Table1[[#This Row],[Wealthier_Winner]]=1,"Wealthier Nation Wins")</f>
        <v>Tie</v>
      </c>
    </row>
    <row r="2515" spans="1:17" x14ac:dyDescent="0.2">
      <c r="A2515" s="1">
        <v>4118</v>
      </c>
      <c r="B2515" s="2">
        <v>37093</v>
      </c>
      <c r="C2515" s="7">
        <f>_xlfn.FLOOR.MATH(Table1[[#This Row],[year]],10)</f>
        <v>2000</v>
      </c>
      <c r="D2515" t="s">
        <v>462</v>
      </c>
      <c r="E2515" t="s">
        <v>54</v>
      </c>
      <c r="F2515">
        <v>0</v>
      </c>
      <c r="G2515">
        <v>5</v>
      </c>
      <c r="H2515" t="s">
        <v>224</v>
      </c>
      <c r="I2515" t="s">
        <v>465</v>
      </c>
      <c r="J2515" t="s">
        <v>462</v>
      </c>
      <c r="K2515" t="b">
        <v>0</v>
      </c>
      <c r="L2515">
        <v>2001</v>
      </c>
      <c r="M2515">
        <v>3557341215</v>
      </c>
      <c r="N2515">
        <v>6507824829</v>
      </c>
      <c r="O2515" t="b">
        <v>0</v>
      </c>
      <c r="P2515">
        <v>1</v>
      </c>
      <c r="Q2515" t="str" cm="1">
        <f t="array" ref="Q2515">_xlfn.IFS(Table1[[#This Row],[Wealthier_Winner]]=-1,"Wealthier Nation Loses",Table1[[#This Row],[Wealthier_Winner]]=0,"Tie",Table1[[#This Row],[Wealthier_Winner]]=1,"Wealthier Nation Wins")</f>
        <v>Wealthier Nation Wins</v>
      </c>
    </row>
    <row r="2516" spans="1:17" x14ac:dyDescent="0.2">
      <c r="A2516" s="1">
        <v>4119</v>
      </c>
      <c r="B2516" s="2">
        <v>37099</v>
      </c>
      <c r="C2516" s="7">
        <f>_xlfn.FLOOR.MATH(Table1[[#This Row],[year]],10)</f>
        <v>2000</v>
      </c>
      <c r="D2516" t="s">
        <v>286</v>
      </c>
      <c r="E2516" t="s">
        <v>273</v>
      </c>
      <c r="F2516">
        <v>2</v>
      </c>
      <c r="G2516">
        <v>4</v>
      </c>
      <c r="H2516" t="s">
        <v>224</v>
      </c>
      <c r="I2516" t="s">
        <v>287</v>
      </c>
      <c r="J2516" t="s">
        <v>286</v>
      </c>
      <c r="K2516" t="b">
        <v>0</v>
      </c>
      <c r="L2516">
        <v>2001</v>
      </c>
      <c r="M2516">
        <v>34112093927</v>
      </c>
      <c r="N2516">
        <v>4094441301</v>
      </c>
      <c r="O2516" t="b">
        <v>1</v>
      </c>
      <c r="P2516">
        <v>-1</v>
      </c>
      <c r="Q2516" t="str" cm="1">
        <f t="array" ref="Q2516">_xlfn.IFS(Table1[[#This Row],[Wealthier_Winner]]=-1,"Wealthier Nation Loses",Table1[[#This Row],[Wealthier_Winner]]=0,"Tie",Table1[[#This Row],[Wealthier_Winner]]=1,"Wealthier Nation Wins")</f>
        <v>Wealthier Nation Loses</v>
      </c>
    </row>
    <row r="2517" spans="1:17" x14ac:dyDescent="0.2">
      <c r="A2517" s="1">
        <v>4120</v>
      </c>
      <c r="B2517" s="2">
        <v>37100</v>
      </c>
      <c r="C2517" s="7">
        <f>_xlfn.FLOOR.MATH(Table1[[#This Row],[year]],10)</f>
        <v>2000</v>
      </c>
      <c r="D2517" t="s">
        <v>370</v>
      </c>
      <c r="E2517" t="s">
        <v>298</v>
      </c>
      <c r="F2517">
        <v>0</v>
      </c>
      <c r="G2517">
        <v>1</v>
      </c>
      <c r="H2517" t="s">
        <v>224</v>
      </c>
      <c r="I2517" t="s">
        <v>372</v>
      </c>
      <c r="J2517" t="s">
        <v>370</v>
      </c>
      <c r="K2517" t="b">
        <v>0</v>
      </c>
      <c r="L2517">
        <v>2001</v>
      </c>
      <c r="M2517">
        <v>2498008664</v>
      </c>
      <c r="N2517">
        <v>6780750000</v>
      </c>
      <c r="O2517" t="b">
        <v>1</v>
      </c>
      <c r="P2517">
        <v>1</v>
      </c>
      <c r="Q2517" t="str" cm="1">
        <f t="array" ref="Q2517">_xlfn.IFS(Table1[[#This Row],[Wealthier_Winner]]=-1,"Wealthier Nation Loses",Table1[[#This Row],[Wealthier_Winner]]=0,"Tie",Table1[[#This Row],[Wealthier_Winner]]=1,"Wealthier Nation Wins")</f>
        <v>Wealthier Nation Wins</v>
      </c>
    </row>
    <row r="2518" spans="1:17" x14ac:dyDescent="0.2">
      <c r="A2518" s="1">
        <v>4121</v>
      </c>
      <c r="B2518" s="2">
        <v>37101</v>
      </c>
      <c r="C2518" s="7">
        <f>_xlfn.FLOOR.MATH(Table1[[#This Row],[year]],10)</f>
        <v>2000</v>
      </c>
      <c r="D2518" t="s">
        <v>60</v>
      </c>
      <c r="E2518" t="s">
        <v>62</v>
      </c>
      <c r="F2518">
        <v>1</v>
      </c>
      <c r="G2518">
        <v>1</v>
      </c>
      <c r="H2518" t="s">
        <v>224</v>
      </c>
      <c r="I2518" t="s">
        <v>396</v>
      </c>
      <c r="J2518" t="s">
        <v>60</v>
      </c>
      <c r="K2518" t="b">
        <v>0</v>
      </c>
      <c r="L2518">
        <v>2001</v>
      </c>
      <c r="M2518">
        <v>8936079117</v>
      </c>
      <c r="N2518">
        <v>2093498674</v>
      </c>
      <c r="O2518" t="b">
        <v>1</v>
      </c>
      <c r="P2518">
        <v>0</v>
      </c>
      <c r="Q2518" t="str" cm="1">
        <f t="array" ref="Q2518">_xlfn.IFS(Table1[[#This Row],[Wealthier_Winner]]=-1,"Wealthier Nation Loses",Table1[[#This Row],[Wealthier_Winner]]=0,"Tie",Table1[[#This Row],[Wealthier_Winner]]=1,"Wealthier Nation Wins")</f>
        <v>Tie</v>
      </c>
    </row>
    <row r="2519" spans="1:17" x14ac:dyDescent="0.2">
      <c r="A2519" s="1">
        <v>4124</v>
      </c>
      <c r="B2519" s="2">
        <v>37101</v>
      </c>
      <c r="C2519" s="7">
        <f>_xlfn.FLOOR.MATH(Table1[[#This Row],[year]],10)</f>
        <v>2000</v>
      </c>
      <c r="D2519" t="s">
        <v>43</v>
      </c>
      <c r="E2519" t="s">
        <v>63</v>
      </c>
      <c r="F2519">
        <v>3</v>
      </c>
      <c r="G2519">
        <v>0</v>
      </c>
      <c r="H2519" t="s">
        <v>224</v>
      </c>
      <c r="I2519" t="s">
        <v>610</v>
      </c>
      <c r="J2519" t="s">
        <v>43</v>
      </c>
      <c r="K2519" t="b">
        <v>0</v>
      </c>
      <c r="L2519">
        <v>2001</v>
      </c>
      <c r="M2519">
        <v>73557840064</v>
      </c>
      <c r="N2519">
        <v>5314872854</v>
      </c>
      <c r="O2519" t="b">
        <v>1</v>
      </c>
      <c r="P2519">
        <v>1</v>
      </c>
      <c r="Q2519" t="str" cm="1">
        <f t="array" ref="Q2519">_xlfn.IFS(Table1[[#This Row],[Wealthier_Winner]]=-1,"Wealthier Nation Loses",Table1[[#This Row],[Wealthier_Winner]]=0,"Tie",Table1[[#This Row],[Wealthier_Winner]]=1,"Wealthier Nation Wins")</f>
        <v>Wealthier Nation Wins</v>
      </c>
    </row>
    <row r="2520" spans="1:17" x14ac:dyDescent="0.2">
      <c r="A2520" s="1">
        <v>4125</v>
      </c>
      <c r="B2520" s="2">
        <v>37101</v>
      </c>
      <c r="C2520" s="7">
        <f>_xlfn.FLOOR.MATH(Table1[[#This Row],[year]],10)</f>
        <v>2000</v>
      </c>
      <c r="D2520" t="s">
        <v>274</v>
      </c>
      <c r="E2520" t="s">
        <v>342</v>
      </c>
      <c r="F2520">
        <v>3</v>
      </c>
      <c r="G2520">
        <v>0</v>
      </c>
      <c r="H2520" t="s">
        <v>224</v>
      </c>
      <c r="I2520" t="s">
        <v>591</v>
      </c>
      <c r="J2520" t="s">
        <v>274</v>
      </c>
      <c r="K2520" t="b">
        <v>0</v>
      </c>
      <c r="L2520">
        <v>2001</v>
      </c>
      <c r="M2520">
        <v>15716361792</v>
      </c>
      <c r="N2520">
        <v>1681473893</v>
      </c>
      <c r="O2520" t="b">
        <v>1</v>
      </c>
      <c r="P2520">
        <v>1</v>
      </c>
      <c r="Q2520" t="str" cm="1">
        <f t="array" ref="Q2520">_xlfn.IFS(Table1[[#This Row],[Wealthier_Winner]]=-1,"Wealthier Nation Loses",Table1[[#This Row],[Wealthier_Winner]]=0,"Tie",Table1[[#This Row],[Wealthier_Winner]]=1,"Wealthier Nation Wins")</f>
        <v>Wealthier Nation Wins</v>
      </c>
    </row>
    <row r="2521" spans="1:17" x14ac:dyDescent="0.2">
      <c r="A2521" s="1">
        <v>4126</v>
      </c>
      <c r="B2521" s="2">
        <v>37117</v>
      </c>
      <c r="C2521" s="7">
        <f>_xlfn.FLOOR.MATH(Table1[[#This Row],[year]],10)</f>
        <v>2000</v>
      </c>
      <c r="D2521" t="s">
        <v>14</v>
      </c>
      <c r="E2521" t="s">
        <v>47</v>
      </c>
      <c r="F2521">
        <v>2</v>
      </c>
      <c r="G2521">
        <v>2</v>
      </c>
      <c r="H2521" t="s">
        <v>224</v>
      </c>
      <c r="I2521" t="s">
        <v>75</v>
      </c>
      <c r="J2521" t="s">
        <v>14</v>
      </c>
      <c r="K2521" t="b">
        <v>0</v>
      </c>
      <c r="L2521">
        <v>2001</v>
      </c>
      <c r="M2521">
        <v>71574739561</v>
      </c>
      <c r="N2521">
        <v>8141516928</v>
      </c>
      <c r="O2521" t="b">
        <v>1</v>
      </c>
      <c r="P2521">
        <v>0</v>
      </c>
      <c r="Q2521" t="str" cm="1">
        <f t="array" ref="Q2521">_xlfn.IFS(Table1[[#This Row],[Wealthier_Winner]]=-1,"Wealthier Nation Loses",Table1[[#This Row],[Wealthier_Winner]]=0,"Tie",Table1[[#This Row],[Wealthier_Winner]]=1,"Wealthier Nation Wins")</f>
        <v>Tie</v>
      </c>
    </row>
    <row r="2522" spans="1:17" x14ac:dyDescent="0.2">
      <c r="A2522" s="1">
        <v>4127</v>
      </c>
      <c r="B2522" s="2">
        <v>37117</v>
      </c>
      <c r="C2522" s="7">
        <f>_xlfn.FLOOR.MATH(Table1[[#This Row],[year]],10)</f>
        <v>2000</v>
      </c>
      <c r="D2522" t="s">
        <v>258</v>
      </c>
      <c r="E2522" t="s">
        <v>26</v>
      </c>
      <c r="F2522">
        <v>2</v>
      </c>
      <c r="G2522">
        <v>0</v>
      </c>
      <c r="H2522" t="s">
        <v>224</v>
      </c>
      <c r="I2522" t="s">
        <v>572</v>
      </c>
      <c r="J2522" t="s">
        <v>258</v>
      </c>
      <c r="K2522" t="b">
        <v>0</v>
      </c>
      <c r="L2522">
        <v>2001</v>
      </c>
      <c r="M2522">
        <v>122911036746</v>
      </c>
      <c r="N2522">
        <v>20898761742</v>
      </c>
      <c r="O2522" t="b">
        <v>1</v>
      </c>
      <c r="P2522">
        <v>1</v>
      </c>
      <c r="Q2522" t="str" cm="1">
        <f t="array" ref="Q2522">_xlfn.IFS(Table1[[#This Row],[Wealthier_Winner]]=-1,"Wealthier Nation Loses",Table1[[#This Row],[Wealthier_Winner]]=0,"Tie",Table1[[#This Row],[Wealthier_Winner]]=1,"Wealthier Nation Wins")</f>
        <v>Wealthier Nation Wins</v>
      </c>
    </row>
    <row r="2523" spans="1:17" x14ac:dyDescent="0.2">
      <c r="A2523" s="1">
        <v>4128</v>
      </c>
      <c r="B2523" s="2">
        <v>37118</v>
      </c>
      <c r="C2523" s="7">
        <f>_xlfn.FLOOR.MATH(Table1[[#This Row],[year]],10)</f>
        <v>2000</v>
      </c>
      <c r="D2523" t="s">
        <v>13</v>
      </c>
      <c r="E2523" t="s">
        <v>35</v>
      </c>
      <c r="F2523">
        <v>2</v>
      </c>
      <c r="G2523">
        <v>0</v>
      </c>
      <c r="H2523" t="s">
        <v>224</v>
      </c>
      <c r="I2523" t="s">
        <v>174</v>
      </c>
      <c r="J2523" t="s">
        <v>13</v>
      </c>
      <c r="K2523" t="b">
        <v>0</v>
      </c>
      <c r="L2523">
        <v>2001</v>
      </c>
      <c r="M2523">
        <v>559983704094</v>
      </c>
      <c r="N2523">
        <v>8495806432</v>
      </c>
      <c r="O2523" t="b">
        <v>1</v>
      </c>
      <c r="P2523">
        <v>1</v>
      </c>
      <c r="Q2523" t="str" cm="1">
        <f t="array" ref="Q2523">_xlfn.IFS(Table1[[#This Row],[Wealthier_Winner]]=-1,"Wealthier Nation Loses",Table1[[#This Row],[Wealthier_Winner]]=0,"Tie",Table1[[#This Row],[Wealthier_Winner]]=1,"Wealthier Nation Wins")</f>
        <v>Wealthier Nation Wins</v>
      </c>
    </row>
    <row r="2524" spans="1:17" x14ac:dyDescent="0.2">
      <c r="A2524" s="1">
        <v>4129</v>
      </c>
      <c r="B2524" s="2">
        <v>37118</v>
      </c>
      <c r="C2524" s="7">
        <f>_xlfn.FLOOR.MATH(Table1[[#This Row],[year]],10)</f>
        <v>2000</v>
      </c>
      <c r="D2524" t="s">
        <v>57</v>
      </c>
      <c r="E2524" t="s">
        <v>19</v>
      </c>
      <c r="F2524">
        <v>0</v>
      </c>
      <c r="G2524">
        <v>2</v>
      </c>
      <c r="H2524" t="s">
        <v>224</v>
      </c>
      <c r="I2524" t="s">
        <v>335</v>
      </c>
      <c r="J2524" t="s">
        <v>57</v>
      </c>
      <c r="K2524" t="b">
        <v>0</v>
      </c>
      <c r="L2524">
        <v>2001</v>
      </c>
      <c r="M2524">
        <v>23127055000</v>
      </c>
      <c r="N2524">
        <v>268696750000</v>
      </c>
      <c r="O2524" t="b">
        <v>1</v>
      </c>
      <c r="P2524">
        <v>1</v>
      </c>
      <c r="Q2524" t="str" cm="1">
        <f t="array" ref="Q2524">_xlfn.IFS(Table1[[#This Row],[Wealthier_Winner]]=-1,"Wealthier Nation Loses",Table1[[#This Row],[Wealthier_Winner]]=0,"Tie",Table1[[#This Row],[Wealthier_Winner]]=1,"Wealthier Nation Wins")</f>
        <v>Wealthier Nation Wins</v>
      </c>
    </row>
    <row r="2525" spans="1:17" x14ac:dyDescent="0.2">
      <c r="A2525" s="1">
        <v>4130</v>
      </c>
      <c r="B2525" s="2">
        <v>37118</v>
      </c>
      <c r="C2525" s="7">
        <f>_xlfn.FLOOR.MATH(Table1[[#This Row],[year]],10)</f>
        <v>2000</v>
      </c>
      <c r="D2525" t="s">
        <v>476</v>
      </c>
      <c r="E2525" t="s">
        <v>351</v>
      </c>
      <c r="F2525">
        <v>2</v>
      </c>
      <c r="G2525">
        <v>2</v>
      </c>
      <c r="H2525" t="s">
        <v>224</v>
      </c>
      <c r="I2525" t="s">
        <v>481</v>
      </c>
      <c r="J2525" t="s">
        <v>476</v>
      </c>
      <c r="K2525" t="b">
        <v>0</v>
      </c>
      <c r="L2525">
        <v>2001</v>
      </c>
      <c r="M2525">
        <v>6250218422</v>
      </c>
      <c r="N2525">
        <v>10397898907</v>
      </c>
      <c r="O2525" t="b">
        <v>0</v>
      </c>
      <c r="P2525">
        <v>0</v>
      </c>
      <c r="Q2525" t="str" cm="1">
        <f t="array" ref="Q2525">_xlfn.IFS(Table1[[#This Row],[Wealthier_Winner]]=-1,"Wealthier Nation Loses",Table1[[#This Row],[Wealthier_Winner]]=0,"Tie",Table1[[#This Row],[Wealthier_Winner]]=1,"Wealthier Nation Wins")</f>
        <v>Tie</v>
      </c>
    </row>
    <row r="2526" spans="1:17" x14ac:dyDescent="0.2">
      <c r="A2526" s="1">
        <v>4131</v>
      </c>
      <c r="B2526" s="2">
        <v>37118</v>
      </c>
      <c r="C2526" s="7">
        <f>_xlfn.FLOOR.MATH(Table1[[#This Row],[year]],10)</f>
        <v>2000</v>
      </c>
      <c r="D2526" t="s">
        <v>61</v>
      </c>
      <c r="E2526" t="s">
        <v>447</v>
      </c>
      <c r="F2526">
        <v>2</v>
      </c>
      <c r="G2526">
        <v>0</v>
      </c>
      <c r="H2526" t="s">
        <v>224</v>
      </c>
      <c r="I2526" t="s">
        <v>505</v>
      </c>
      <c r="J2526" t="s">
        <v>506</v>
      </c>
      <c r="K2526" t="b">
        <v>0</v>
      </c>
      <c r="L2526">
        <v>2001</v>
      </c>
      <c r="M2526">
        <v>13599378661</v>
      </c>
      <c r="N2526">
        <v>1160268212</v>
      </c>
      <c r="O2526" t="b">
        <v>1</v>
      </c>
      <c r="P2526">
        <v>1</v>
      </c>
      <c r="Q2526" t="str" cm="1">
        <f t="array" ref="Q2526">_xlfn.IFS(Table1[[#This Row],[Wealthier_Winner]]=-1,"Wealthier Nation Loses",Table1[[#This Row],[Wealthier_Winner]]=0,"Tie",Table1[[#This Row],[Wealthier_Winner]]=1,"Wealthier Nation Wins")</f>
        <v>Wealthier Nation Wins</v>
      </c>
    </row>
    <row r="2527" spans="1:17" x14ac:dyDescent="0.2">
      <c r="A2527" s="1">
        <v>4132</v>
      </c>
      <c r="B2527" s="2">
        <v>37119</v>
      </c>
      <c r="C2527" s="7">
        <f>_xlfn.FLOOR.MATH(Table1[[#This Row],[year]],10)</f>
        <v>2000</v>
      </c>
      <c r="D2527" t="s">
        <v>15</v>
      </c>
      <c r="E2527" t="s">
        <v>31</v>
      </c>
      <c r="F2527">
        <v>0</v>
      </c>
      <c r="G2527">
        <v>1</v>
      </c>
      <c r="H2527" t="s">
        <v>224</v>
      </c>
      <c r="I2527" t="s">
        <v>241</v>
      </c>
      <c r="J2527" t="s">
        <v>15</v>
      </c>
      <c r="K2527" t="b">
        <v>0</v>
      </c>
      <c r="L2527">
        <v>2001</v>
      </c>
      <c r="M2527">
        <v>98200641203</v>
      </c>
      <c r="N2527">
        <v>52030158775</v>
      </c>
      <c r="O2527" t="b">
        <v>0</v>
      </c>
      <c r="P2527">
        <v>-1</v>
      </c>
      <c r="Q2527" t="str" cm="1">
        <f t="array" ref="Q2527">_xlfn.IFS(Table1[[#This Row],[Wealthier_Winner]]=-1,"Wealthier Nation Loses",Table1[[#This Row],[Wealthier_Winner]]=0,"Tie",Table1[[#This Row],[Wealthier_Winner]]=1,"Wealthier Nation Wins")</f>
        <v>Wealthier Nation Loses</v>
      </c>
    </row>
    <row r="2528" spans="1:17" x14ac:dyDescent="0.2">
      <c r="A2528" s="1">
        <v>4133</v>
      </c>
      <c r="B2528" s="2">
        <v>37119</v>
      </c>
      <c r="C2528" s="7">
        <f>_xlfn.FLOOR.MATH(Table1[[#This Row],[year]],10)</f>
        <v>2000</v>
      </c>
      <c r="D2528" t="s">
        <v>68</v>
      </c>
      <c r="E2528" t="s">
        <v>429</v>
      </c>
      <c r="F2528">
        <v>0</v>
      </c>
      <c r="G2528">
        <v>0</v>
      </c>
      <c r="H2528" t="s">
        <v>224</v>
      </c>
      <c r="I2528" t="s">
        <v>190</v>
      </c>
      <c r="J2528" t="s">
        <v>68</v>
      </c>
      <c r="K2528" t="b">
        <v>0</v>
      </c>
      <c r="L2528">
        <v>2001</v>
      </c>
      <c r="M2528">
        <v>17538461538</v>
      </c>
      <c r="N2528">
        <v>22205721716</v>
      </c>
      <c r="O2528" t="b">
        <v>0</v>
      </c>
      <c r="P2528">
        <v>0</v>
      </c>
      <c r="Q2528" t="str" cm="1">
        <f t="array" ref="Q2528">_xlfn.IFS(Table1[[#This Row],[Wealthier_Winner]]=-1,"Wealthier Nation Loses",Table1[[#This Row],[Wealthier_Winner]]=0,"Tie",Table1[[#This Row],[Wealthier_Winner]]=1,"Wealthier Nation Wins")</f>
        <v>Tie</v>
      </c>
    </row>
    <row r="2529" spans="1:17" x14ac:dyDescent="0.2">
      <c r="A2529" s="1">
        <v>4134</v>
      </c>
      <c r="B2529" s="2">
        <v>37120</v>
      </c>
      <c r="C2529" s="7">
        <f>_xlfn.FLOOR.MATH(Table1[[#This Row],[year]],10)</f>
        <v>2000</v>
      </c>
      <c r="D2529" t="s">
        <v>37</v>
      </c>
      <c r="E2529" t="s">
        <v>334</v>
      </c>
      <c r="F2529">
        <v>4</v>
      </c>
      <c r="G2529">
        <v>0</v>
      </c>
      <c r="H2529" t="s">
        <v>224</v>
      </c>
      <c r="I2529" t="s">
        <v>437</v>
      </c>
      <c r="J2529" t="s">
        <v>37</v>
      </c>
      <c r="K2529" t="b">
        <v>0</v>
      </c>
      <c r="L2529">
        <v>2001</v>
      </c>
      <c r="M2529">
        <v>36176430128</v>
      </c>
      <c r="N2529">
        <v>120296476180</v>
      </c>
      <c r="O2529" t="b">
        <v>1</v>
      </c>
      <c r="P2529">
        <v>-1</v>
      </c>
      <c r="Q2529" t="str" cm="1">
        <f t="array" ref="Q2529">_xlfn.IFS(Table1[[#This Row],[Wealthier_Winner]]=-1,"Wealthier Nation Loses",Table1[[#This Row],[Wealthier_Winner]]=0,"Tie",Table1[[#This Row],[Wealthier_Winner]]=1,"Wealthier Nation Wins")</f>
        <v>Wealthier Nation Loses</v>
      </c>
    </row>
    <row r="2530" spans="1:17" x14ac:dyDescent="0.2">
      <c r="A2530" s="1">
        <v>4135</v>
      </c>
      <c r="B2530" s="2">
        <v>37120</v>
      </c>
      <c r="C2530" s="7">
        <f>_xlfn.FLOOR.MATH(Table1[[#This Row],[year]],10)</f>
        <v>2000</v>
      </c>
      <c r="D2530" t="s">
        <v>45</v>
      </c>
      <c r="E2530" t="s">
        <v>361</v>
      </c>
      <c r="F2530">
        <v>1</v>
      </c>
      <c r="G2530">
        <v>1</v>
      </c>
      <c r="H2530" t="s">
        <v>224</v>
      </c>
      <c r="I2530" t="s">
        <v>356</v>
      </c>
      <c r="J2530" t="s">
        <v>45</v>
      </c>
      <c r="K2530" t="b">
        <v>0</v>
      </c>
      <c r="L2530">
        <v>2001</v>
      </c>
      <c r="M2530">
        <v>184137600000</v>
      </c>
      <c r="N2530">
        <v>8976196808</v>
      </c>
      <c r="O2530" t="b">
        <v>1</v>
      </c>
      <c r="P2530">
        <v>0</v>
      </c>
      <c r="Q2530" t="str" cm="1">
        <f t="array" ref="Q2530">_xlfn.IFS(Table1[[#This Row],[Wealthier_Winner]]=-1,"Wealthier Nation Loses",Table1[[#This Row],[Wealthier_Winner]]=0,"Tie",Table1[[#This Row],[Wealthier_Winner]]=1,"Wealthier Nation Wins")</f>
        <v>Tie</v>
      </c>
    </row>
    <row r="2531" spans="1:17" x14ac:dyDescent="0.2">
      <c r="A2531" s="1">
        <v>4136</v>
      </c>
      <c r="B2531" s="2">
        <v>37120</v>
      </c>
      <c r="C2531" s="7">
        <f>_xlfn.FLOOR.MATH(Table1[[#This Row],[year]],10)</f>
        <v>2000</v>
      </c>
      <c r="D2531" t="s">
        <v>39</v>
      </c>
      <c r="E2531" t="s">
        <v>563</v>
      </c>
      <c r="F2531">
        <v>4</v>
      </c>
      <c r="G2531">
        <v>1</v>
      </c>
      <c r="H2531" t="s">
        <v>224</v>
      </c>
      <c r="I2531" t="s">
        <v>576</v>
      </c>
      <c r="J2531" t="s">
        <v>39</v>
      </c>
      <c r="K2531" t="b">
        <v>0</v>
      </c>
      <c r="L2531">
        <v>2001</v>
      </c>
      <c r="M2531">
        <v>103311640571</v>
      </c>
      <c r="N2531">
        <v>11401421329</v>
      </c>
      <c r="O2531" t="b">
        <v>1</v>
      </c>
      <c r="P2531">
        <v>1</v>
      </c>
      <c r="Q2531" t="str" cm="1">
        <f t="array" ref="Q2531">_xlfn.IFS(Table1[[#This Row],[Wealthier_Winner]]=-1,"Wealthier Nation Loses",Table1[[#This Row],[Wealthier_Winner]]=0,"Tie",Table1[[#This Row],[Wealthier_Winner]]=1,"Wealthier Nation Wins")</f>
        <v>Wealthier Nation Wins</v>
      </c>
    </row>
    <row r="2532" spans="1:17" x14ac:dyDescent="0.2">
      <c r="A2532" s="1">
        <v>4137</v>
      </c>
      <c r="B2532" s="2">
        <v>37126</v>
      </c>
      <c r="C2532" s="7">
        <f>_xlfn.FLOOR.MATH(Table1[[#This Row],[year]],10)</f>
        <v>2000</v>
      </c>
      <c r="D2532" t="s">
        <v>361</v>
      </c>
      <c r="E2532" t="s">
        <v>37</v>
      </c>
      <c r="F2532">
        <v>2</v>
      </c>
      <c r="G2532">
        <v>0</v>
      </c>
      <c r="H2532" t="s">
        <v>224</v>
      </c>
      <c r="I2532" t="s">
        <v>419</v>
      </c>
      <c r="J2532" t="s">
        <v>361</v>
      </c>
      <c r="K2532" t="b">
        <v>0</v>
      </c>
      <c r="L2532">
        <v>2001</v>
      </c>
      <c r="M2532">
        <v>8976196808</v>
      </c>
      <c r="N2532">
        <v>36176430128</v>
      </c>
      <c r="O2532" t="b">
        <v>1</v>
      </c>
      <c r="P2532">
        <v>-1</v>
      </c>
      <c r="Q2532" t="str" cm="1">
        <f t="array" ref="Q2532">_xlfn.IFS(Table1[[#This Row],[Wealthier_Winner]]=-1,"Wealthier Nation Loses",Table1[[#This Row],[Wealthier_Winner]]=0,"Tie",Table1[[#This Row],[Wealthier_Winner]]=1,"Wealthier Nation Wins")</f>
        <v>Wealthier Nation Loses</v>
      </c>
    </row>
    <row r="2533" spans="1:17" x14ac:dyDescent="0.2">
      <c r="A2533" s="1">
        <v>4138</v>
      </c>
      <c r="B2533" s="2">
        <v>37127</v>
      </c>
      <c r="C2533" s="7">
        <f>_xlfn.FLOOR.MATH(Table1[[#This Row],[year]],10)</f>
        <v>2000</v>
      </c>
      <c r="D2533" t="s">
        <v>210</v>
      </c>
      <c r="E2533" t="s">
        <v>45</v>
      </c>
      <c r="F2533">
        <v>2</v>
      </c>
      <c r="G2533">
        <v>0</v>
      </c>
      <c r="H2533" t="s">
        <v>224</v>
      </c>
      <c r="I2533" t="s">
        <v>332</v>
      </c>
      <c r="J2533" t="s">
        <v>210</v>
      </c>
      <c r="K2533" t="b">
        <v>0</v>
      </c>
      <c r="L2533">
        <v>2001</v>
      </c>
      <c r="M2533">
        <v>126878750295</v>
      </c>
      <c r="N2533">
        <v>184137600000</v>
      </c>
      <c r="O2533" t="b">
        <v>0</v>
      </c>
      <c r="P2533">
        <v>-1</v>
      </c>
      <c r="Q2533" t="str" cm="1">
        <f t="array" ref="Q2533">_xlfn.IFS(Table1[[#This Row],[Wealthier_Winner]]=-1,"Wealthier Nation Loses",Table1[[#This Row],[Wealthier_Winner]]=0,"Tie",Table1[[#This Row],[Wealthier_Winner]]=1,"Wealthier Nation Wins")</f>
        <v>Wealthier Nation Loses</v>
      </c>
    </row>
    <row r="2534" spans="1:17" x14ac:dyDescent="0.2">
      <c r="A2534" s="1">
        <v>4140</v>
      </c>
      <c r="B2534" s="2">
        <v>37129</v>
      </c>
      <c r="C2534" s="7">
        <f>_xlfn.FLOOR.MATH(Table1[[#This Row],[year]],10)</f>
        <v>2000</v>
      </c>
      <c r="D2534" t="s">
        <v>563</v>
      </c>
      <c r="E2534" t="s">
        <v>68</v>
      </c>
      <c r="F2534">
        <v>2</v>
      </c>
      <c r="G2534">
        <v>1</v>
      </c>
      <c r="H2534" t="s">
        <v>224</v>
      </c>
      <c r="I2534" t="s">
        <v>564</v>
      </c>
      <c r="J2534" t="s">
        <v>563</v>
      </c>
      <c r="K2534" t="b">
        <v>0</v>
      </c>
      <c r="L2534">
        <v>2001</v>
      </c>
      <c r="M2534">
        <v>11401421329</v>
      </c>
      <c r="N2534">
        <v>17538461538</v>
      </c>
      <c r="O2534" t="b">
        <v>0</v>
      </c>
      <c r="P2534">
        <v>-1</v>
      </c>
      <c r="Q2534" t="str" cm="1">
        <f t="array" ref="Q2534">_xlfn.IFS(Table1[[#This Row],[Wealthier_Winner]]=-1,"Wealthier Nation Loses",Table1[[#This Row],[Wealthier_Winner]]=0,"Tie",Table1[[#This Row],[Wealthier_Winner]]=1,"Wealthier Nation Wins")</f>
        <v>Wealthier Nation Loses</v>
      </c>
    </row>
    <row r="2535" spans="1:17" x14ac:dyDescent="0.2">
      <c r="A2535" s="1">
        <v>4142</v>
      </c>
      <c r="B2535" s="2">
        <v>37134</v>
      </c>
      <c r="C2535" s="7">
        <f>_xlfn.FLOOR.MATH(Table1[[#This Row],[year]],10)</f>
        <v>2000</v>
      </c>
      <c r="D2535" t="s">
        <v>45</v>
      </c>
      <c r="E2535" t="s">
        <v>37</v>
      </c>
      <c r="F2535">
        <v>1</v>
      </c>
      <c r="G2535">
        <v>0</v>
      </c>
      <c r="H2535" t="s">
        <v>224</v>
      </c>
      <c r="I2535" t="s">
        <v>419</v>
      </c>
      <c r="J2535" t="s">
        <v>361</v>
      </c>
      <c r="K2535" t="b">
        <v>1</v>
      </c>
      <c r="L2535">
        <v>2001</v>
      </c>
      <c r="M2535">
        <v>184137600000</v>
      </c>
      <c r="N2535">
        <v>36176430128</v>
      </c>
      <c r="O2535" t="b">
        <v>1</v>
      </c>
      <c r="P2535">
        <v>1</v>
      </c>
      <c r="Q2535" t="str" cm="1">
        <f t="array" ref="Q2535">_xlfn.IFS(Table1[[#This Row],[Wealthier_Winner]]=-1,"Wealthier Nation Loses",Table1[[#This Row],[Wealthier_Winner]]=0,"Tie",Table1[[#This Row],[Wealthier_Winner]]=1,"Wealthier Nation Wins")</f>
        <v>Wealthier Nation Wins</v>
      </c>
    </row>
    <row r="2536" spans="1:17" x14ac:dyDescent="0.2">
      <c r="A2536" s="1">
        <v>4143</v>
      </c>
      <c r="B2536" s="2">
        <v>37134</v>
      </c>
      <c r="C2536" s="7">
        <f>_xlfn.FLOOR.MATH(Table1[[#This Row],[year]],10)</f>
        <v>2000</v>
      </c>
      <c r="D2536" t="s">
        <v>39</v>
      </c>
      <c r="E2536" t="s">
        <v>68</v>
      </c>
      <c r="F2536">
        <v>0</v>
      </c>
      <c r="G2536">
        <v>2</v>
      </c>
      <c r="H2536" t="s">
        <v>224</v>
      </c>
      <c r="I2536" t="s">
        <v>576</v>
      </c>
      <c r="J2536" t="s">
        <v>39</v>
      </c>
      <c r="K2536" t="b">
        <v>0</v>
      </c>
      <c r="L2536">
        <v>2001</v>
      </c>
      <c r="M2536">
        <v>103311640571</v>
      </c>
      <c r="N2536">
        <v>17538461538</v>
      </c>
      <c r="O2536" t="b">
        <v>1</v>
      </c>
      <c r="P2536">
        <v>-1</v>
      </c>
      <c r="Q2536" t="str" cm="1">
        <f t="array" ref="Q2536">_xlfn.IFS(Table1[[#This Row],[Wealthier_Winner]]=-1,"Wealthier Nation Loses",Table1[[#This Row],[Wealthier_Winner]]=0,"Tie",Table1[[#This Row],[Wealthier_Winner]]=1,"Wealthier Nation Wins")</f>
        <v>Wealthier Nation Loses</v>
      </c>
    </row>
    <row r="2537" spans="1:17" x14ac:dyDescent="0.2">
      <c r="A2537" s="1">
        <v>4144</v>
      </c>
      <c r="B2537" s="2">
        <v>37135</v>
      </c>
      <c r="C2537" s="7">
        <f>_xlfn.FLOOR.MATH(Table1[[#This Row],[year]],10)</f>
        <v>2000</v>
      </c>
      <c r="D2537" t="s">
        <v>373</v>
      </c>
      <c r="E2537" t="s">
        <v>230</v>
      </c>
      <c r="F2537">
        <v>0</v>
      </c>
      <c r="G2537">
        <v>2</v>
      </c>
      <c r="H2537" t="s">
        <v>224</v>
      </c>
      <c r="I2537" t="s">
        <v>374</v>
      </c>
      <c r="J2537" t="s">
        <v>373</v>
      </c>
      <c r="K2537" t="b">
        <v>0</v>
      </c>
      <c r="L2537">
        <v>2001</v>
      </c>
      <c r="M2537">
        <v>4059064033</v>
      </c>
      <c r="N2537">
        <v>129519672868</v>
      </c>
      <c r="O2537" t="b">
        <v>1</v>
      </c>
      <c r="P2537">
        <v>1</v>
      </c>
      <c r="Q2537" t="str" cm="1">
        <f t="array" ref="Q2537">_xlfn.IFS(Table1[[#This Row],[Wealthier_Winner]]=-1,"Wealthier Nation Loses",Table1[[#This Row],[Wealthier_Winner]]=0,"Tie",Table1[[#This Row],[Wealthier_Winner]]=1,"Wealthier Nation Wins")</f>
        <v>Wealthier Nation Wins</v>
      </c>
    </row>
    <row r="2538" spans="1:17" x14ac:dyDescent="0.2">
      <c r="A2538" s="1">
        <v>4145</v>
      </c>
      <c r="B2538" s="2">
        <v>37135</v>
      </c>
      <c r="C2538" s="7">
        <f>_xlfn.FLOOR.MATH(Table1[[#This Row],[year]],10)</f>
        <v>2000</v>
      </c>
      <c r="D2538" t="s">
        <v>601</v>
      </c>
      <c r="E2538" t="s">
        <v>38</v>
      </c>
      <c r="F2538">
        <v>1</v>
      </c>
      <c r="G2538">
        <v>7</v>
      </c>
      <c r="H2538" t="s">
        <v>224</v>
      </c>
      <c r="I2538" t="s">
        <v>630</v>
      </c>
      <c r="J2538" t="s">
        <v>21</v>
      </c>
      <c r="K2538" t="b">
        <v>1</v>
      </c>
      <c r="L2538">
        <v>2001</v>
      </c>
      <c r="M2538">
        <v>1548265926</v>
      </c>
      <c r="N2538">
        <v>121604107164</v>
      </c>
      <c r="O2538" t="b">
        <v>1</v>
      </c>
      <c r="P2538">
        <v>1</v>
      </c>
      <c r="Q2538" t="str" cm="1">
        <f t="array" ref="Q2538">_xlfn.IFS(Table1[[#This Row],[Wealthier_Winner]]=-1,"Wealthier Nation Loses",Table1[[#This Row],[Wealthier_Winner]]=0,"Tie",Table1[[#This Row],[Wealthier_Winner]]=1,"Wealthier Nation Wins")</f>
        <v>Wealthier Nation Wins</v>
      </c>
    </row>
    <row r="2539" spans="1:17" x14ac:dyDescent="0.2">
      <c r="A2539" s="1">
        <v>4146</v>
      </c>
      <c r="B2539" s="2">
        <v>37135</v>
      </c>
      <c r="C2539" s="7">
        <f>_xlfn.FLOOR.MATH(Table1[[#This Row],[year]],10)</f>
        <v>2000</v>
      </c>
      <c r="D2539" t="s">
        <v>510</v>
      </c>
      <c r="E2539" t="s">
        <v>64</v>
      </c>
      <c r="F2539">
        <v>0</v>
      </c>
      <c r="G2539">
        <v>2</v>
      </c>
      <c r="H2539" t="s">
        <v>224</v>
      </c>
      <c r="I2539" t="s">
        <v>522</v>
      </c>
      <c r="J2539" t="s">
        <v>510</v>
      </c>
      <c r="K2539" t="b">
        <v>0</v>
      </c>
      <c r="L2539">
        <v>2001</v>
      </c>
      <c r="M2539">
        <v>12354820143</v>
      </c>
      <c r="N2539">
        <v>39309580983</v>
      </c>
      <c r="O2539" t="b">
        <v>1</v>
      </c>
      <c r="P2539">
        <v>1</v>
      </c>
      <c r="Q2539" t="str" cm="1">
        <f t="array" ref="Q2539">_xlfn.IFS(Table1[[#This Row],[Wealthier_Winner]]=-1,"Wealthier Nation Loses",Table1[[#This Row],[Wealthier_Winner]]=0,"Tie",Table1[[#This Row],[Wealthier_Winner]]=1,"Wealthier Nation Wins")</f>
        <v>Wealthier Nation Wins</v>
      </c>
    </row>
    <row r="2540" spans="1:17" x14ac:dyDescent="0.2">
      <c r="A2540" s="1">
        <v>4147</v>
      </c>
      <c r="B2540" s="2">
        <v>37135</v>
      </c>
      <c r="C2540" s="7">
        <f>_xlfn.FLOOR.MATH(Table1[[#This Row],[year]],10)</f>
        <v>2000</v>
      </c>
      <c r="D2540" t="s">
        <v>73</v>
      </c>
      <c r="E2540" t="s">
        <v>22</v>
      </c>
      <c r="F2540">
        <v>0</v>
      </c>
      <c r="G2540">
        <v>0</v>
      </c>
      <c r="H2540" t="s">
        <v>224</v>
      </c>
      <c r="I2540" t="s">
        <v>550</v>
      </c>
      <c r="J2540" t="s">
        <v>73</v>
      </c>
      <c r="K2540" t="b">
        <v>0</v>
      </c>
      <c r="L2540">
        <v>2001</v>
      </c>
      <c r="M2540">
        <v>5800615374</v>
      </c>
      <c r="N2540">
        <v>135002039612</v>
      </c>
      <c r="O2540" t="b">
        <v>1</v>
      </c>
      <c r="P2540">
        <v>0</v>
      </c>
      <c r="Q2540" t="str" cm="1">
        <f t="array" ref="Q2540">_xlfn.IFS(Table1[[#This Row],[Wealthier_Winner]]=-1,"Wealthier Nation Loses",Table1[[#This Row],[Wealthier_Winner]]=0,"Tie",Table1[[#This Row],[Wealthier_Winner]]=1,"Wealthier Nation Wins")</f>
        <v>Tie</v>
      </c>
    </row>
    <row r="2541" spans="1:17" x14ac:dyDescent="0.2">
      <c r="A2541" s="1">
        <v>4149</v>
      </c>
      <c r="B2541" s="2">
        <v>37135</v>
      </c>
      <c r="C2541" s="7">
        <f>_xlfn.FLOOR.MATH(Table1[[#This Row],[year]],10)</f>
        <v>2000</v>
      </c>
      <c r="D2541" t="s">
        <v>447</v>
      </c>
      <c r="E2541" t="s">
        <v>232</v>
      </c>
      <c r="F2541">
        <v>1</v>
      </c>
      <c r="G2541">
        <v>0</v>
      </c>
      <c r="H2541" t="s">
        <v>224</v>
      </c>
      <c r="I2541" t="s">
        <v>448</v>
      </c>
      <c r="J2541" t="s">
        <v>447</v>
      </c>
      <c r="K2541" t="b">
        <v>0</v>
      </c>
      <c r="L2541">
        <v>2001</v>
      </c>
      <c r="M2541">
        <v>1160268212</v>
      </c>
      <c r="N2541">
        <v>21387533703</v>
      </c>
      <c r="O2541" t="b">
        <v>1</v>
      </c>
      <c r="P2541">
        <v>-1</v>
      </c>
      <c r="Q2541" t="str" cm="1">
        <f t="array" ref="Q2541">_xlfn.IFS(Table1[[#This Row],[Wealthier_Winner]]=-1,"Wealthier Nation Loses",Table1[[#This Row],[Wealthier_Winner]]=0,"Tie",Table1[[#This Row],[Wealthier_Winner]]=1,"Wealthier Nation Wins")</f>
        <v>Wealthier Nation Loses</v>
      </c>
    </row>
    <row r="2542" spans="1:17" x14ac:dyDescent="0.2">
      <c r="A2542" s="1">
        <v>4150</v>
      </c>
      <c r="B2542" s="2">
        <v>37135</v>
      </c>
      <c r="C2542" s="7">
        <f>_xlfn.FLOOR.MATH(Table1[[#This Row],[year]],10)</f>
        <v>2000</v>
      </c>
      <c r="D2542" t="s">
        <v>534</v>
      </c>
      <c r="E2542" t="s">
        <v>30</v>
      </c>
      <c r="F2542">
        <v>3</v>
      </c>
      <c r="G2542">
        <v>1</v>
      </c>
      <c r="H2542" t="s">
        <v>224</v>
      </c>
      <c r="I2542" t="s">
        <v>536</v>
      </c>
      <c r="J2542" t="s">
        <v>534</v>
      </c>
      <c r="K2542" t="b">
        <v>0</v>
      </c>
      <c r="L2542">
        <v>2001</v>
      </c>
      <c r="M2542">
        <v>3219462262</v>
      </c>
      <c r="N2542">
        <v>53800068065</v>
      </c>
      <c r="O2542" t="b">
        <v>1</v>
      </c>
      <c r="P2542">
        <v>-1</v>
      </c>
      <c r="Q2542" t="str" cm="1">
        <f t="array" ref="Q2542">_xlfn.IFS(Table1[[#This Row],[Wealthier_Winner]]=-1,"Wealthier Nation Loses",Table1[[#This Row],[Wealthier_Winner]]=0,"Tie",Table1[[#This Row],[Wealthier_Winner]]=1,"Wealthier Nation Wins")</f>
        <v>Wealthier Nation Loses</v>
      </c>
    </row>
    <row r="2543" spans="1:17" x14ac:dyDescent="0.2">
      <c r="A2543" s="1">
        <v>4151</v>
      </c>
      <c r="B2543" s="2">
        <v>37135</v>
      </c>
      <c r="C2543" s="7">
        <f>_xlfn.FLOOR.MATH(Table1[[#This Row],[year]],10)</f>
        <v>2000</v>
      </c>
      <c r="D2543" t="s">
        <v>16</v>
      </c>
      <c r="E2543" t="s">
        <v>194</v>
      </c>
      <c r="F2543">
        <v>1</v>
      </c>
      <c r="G2543">
        <v>5</v>
      </c>
      <c r="H2543" t="s">
        <v>224</v>
      </c>
      <c r="I2543" t="s">
        <v>87</v>
      </c>
      <c r="J2543" t="s">
        <v>16</v>
      </c>
      <c r="K2543" t="b">
        <v>0</v>
      </c>
      <c r="L2543">
        <v>2001</v>
      </c>
      <c r="M2543">
        <v>1966381496641</v>
      </c>
      <c r="N2543">
        <v>1656171009068</v>
      </c>
      <c r="O2543" t="b">
        <v>0</v>
      </c>
      <c r="P2543">
        <v>-1</v>
      </c>
      <c r="Q2543" t="str" cm="1">
        <f t="array" ref="Q2543">_xlfn.IFS(Table1[[#This Row],[Wealthier_Winner]]=-1,"Wealthier Nation Loses",Table1[[#This Row],[Wealthier_Winner]]=0,"Tie",Table1[[#This Row],[Wealthier_Winner]]=1,"Wealthier Nation Wins")</f>
        <v>Wealthier Nation Loses</v>
      </c>
    </row>
    <row r="2544" spans="1:17" x14ac:dyDescent="0.2">
      <c r="A2544" s="1">
        <v>4154</v>
      </c>
      <c r="B2544" s="2">
        <v>37135</v>
      </c>
      <c r="C2544" s="7">
        <f>_xlfn.FLOOR.MATH(Table1[[#This Row],[year]],10)</f>
        <v>2000</v>
      </c>
      <c r="D2544" t="s">
        <v>523</v>
      </c>
      <c r="E2544" t="s">
        <v>18</v>
      </c>
      <c r="F2544">
        <v>0</v>
      </c>
      <c r="G2544">
        <v>0</v>
      </c>
      <c r="H2544" t="s">
        <v>224</v>
      </c>
      <c r="I2544" t="s">
        <v>604</v>
      </c>
      <c r="J2544" t="s">
        <v>523</v>
      </c>
      <c r="K2544" t="b">
        <v>0</v>
      </c>
      <c r="L2544">
        <v>2001</v>
      </c>
      <c r="M2544">
        <v>12260761329</v>
      </c>
      <c r="N2544">
        <v>1172041488805</v>
      </c>
      <c r="O2544" t="b">
        <v>1</v>
      </c>
      <c r="P2544">
        <v>0</v>
      </c>
      <c r="Q2544" t="str" cm="1">
        <f t="array" ref="Q2544">_xlfn.IFS(Table1[[#This Row],[Wealthier_Winner]]=-1,"Wealthier Nation Loses",Table1[[#This Row],[Wealthier_Winner]]=0,"Tie",Table1[[#This Row],[Wealthier_Winner]]=1,"Wealthier Nation Wins")</f>
        <v>Tie</v>
      </c>
    </row>
    <row r="2545" spans="1:17" x14ac:dyDescent="0.2">
      <c r="A2545" s="1">
        <v>4155</v>
      </c>
      <c r="B2545" s="2">
        <v>37135</v>
      </c>
      <c r="C2545" s="7">
        <f>_xlfn.FLOOR.MATH(Table1[[#This Row],[year]],10)</f>
        <v>2000</v>
      </c>
      <c r="D2545" t="s">
        <v>502</v>
      </c>
      <c r="E2545" t="s">
        <v>25</v>
      </c>
      <c r="F2545">
        <v>1</v>
      </c>
      <c r="G2545">
        <v>2</v>
      </c>
      <c r="H2545" t="s">
        <v>224</v>
      </c>
      <c r="I2545" t="s">
        <v>504</v>
      </c>
      <c r="J2545" t="s">
        <v>502</v>
      </c>
      <c r="K2545" t="b">
        <v>0</v>
      </c>
      <c r="L2545">
        <v>2001</v>
      </c>
      <c r="M2545">
        <v>3709636030</v>
      </c>
      <c r="N2545">
        <v>242497797484</v>
      </c>
      <c r="O2545" t="b">
        <v>1</v>
      </c>
      <c r="P2545">
        <v>1</v>
      </c>
      <c r="Q2545" t="str" cm="1">
        <f t="array" ref="Q2545">_xlfn.IFS(Table1[[#This Row],[Wealthier_Winner]]=-1,"Wealthier Nation Loses",Table1[[#This Row],[Wealthier_Winner]]=0,"Tie",Table1[[#This Row],[Wealthier_Winner]]=1,"Wealthier Nation Wins")</f>
        <v>Wealthier Nation Wins</v>
      </c>
    </row>
    <row r="2546" spans="1:17" x14ac:dyDescent="0.2">
      <c r="A2546" s="1">
        <v>4156</v>
      </c>
      <c r="B2546" s="2">
        <v>37135</v>
      </c>
      <c r="C2546" s="7">
        <f>_xlfn.FLOOR.MATH(Table1[[#This Row],[year]],10)</f>
        <v>2000</v>
      </c>
      <c r="D2546" t="s">
        <v>303</v>
      </c>
      <c r="E2546" t="s">
        <v>33</v>
      </c>
      <c r="F2546">
        <v>0</v>
      </c>
      <c r="G2546">
        <v>2</v>
      </c>
      <c r="H2546" t="s">
        <v>224</v>
      </c>
      <c r="I2546" t="s">
        <v>399</v>
      </c>
      <c r="J2546" t="s">
        <v>303</v>
      </c>
      <c r="K2546" t="b">
        <v>0</v>
      </c>
      <c r="L2546">
        <v>2001</v>
      </c>
      <c r="M2546">
        <v>4070867133</v>
      </c>
      <c r="N2546">
        <v>14183446025</v>
      </c>
      <c r="O2546" t="b">
        <v>1</v>
      </c>
      <c r="P2546">
        <v>1</v>
      </c>
      <c r="Q2546" t="str" cm="1">
        <f t="array" ref="Q2546">_xlfn.IFS(Table1[[#This Row],[Wealthier_Winner]]=-1,"Wealthier Nation Loses",Table1[[#This Row],[Wealthier_Winner]]=0,"Tie",Table1[[#This Row],[Wealthier_Winner]]=1,"Wealthier Nation Wins")</f>
        <v>Wealthier Nation Wins</v>
      </c>
    </row>
    <row r="2547" spans="1:17" x14ac:dyDescent="0.2">
      <c r="A2547" s="1">
        <v>4157</v>
      </c>
      <c r="B2547" s="2">
        <v>37135</v>
      </c>
      <c r="C2547" s="7">
        <f>_xlfn.FLOOR.MATH(Table1[[#This Row],[year]],10)</f>
        <v>2000</v>
      </c>
      <c r="D2547" t="s">
        <v>527</v>
      </c>
      <c r="E2547" t="s">
        <v>513</v>
      </c>
      <c r="F2547">
        <v>2</v>
      </c>
      <c r="G2547">
        <v>0</v>
      </c>
      <c r="H2547" t="s">
        <v>224</v>
      </c>
      <c r="I2547" t="s">
        <v>528</v>
      </c>
      <c r="J2547" t="s">
        <v>527</v>
      </c>
      <c r="K2547" t="b">
        <v>0</v>
      </c>
      <c r="L2547">
        <v>2001</v>
      </c>
      <c r="M2547">
        <v>1480673594</v>
      </c>
      <c r="N2547">
        <v>5707616203</v>
      </c>
      <c r="O2547" t="b">
        <v>1</v>
      </c>
      <c r="P2547">
        <v>-1</v>
      </c>
      <c r="Q2547" t="str" cm="1">
        <f t="array" ref="Q2547">_xlfn.IFS(Table1[[#This Row],[Wealthier_Winner]]=-1,"Wealthier Nation Loses",Table1[[#This Row],[Wealthier_Winner]]=0,"Tie",Table1[[#This Row],[Wealthier_Winner]]=1,"Wealthier Nation Wins")</f>
        <v>Wealthier Nation Loses</v>
      </c>
    </row>
    <row r="2548" spans="1:17" x14ac:dyDescent="0.2">
      <c r="A2548" s="1">
        <v>4158</v>
      </c>
      <c r="B2548" s="2">
        <v>37135</v>
      </c>
      <c r="C2548" s="7">
        <f>_xlfn.FLOOR.MATH(Table1[[#This Row],[year]],10)</f>
        <v>2000</v>
      </c>
      <c r="D2548" t="s">
        <v>58</v>
      </c>
      <c r="E2548" t="s">
        <v>42</v>
      </c>
      <c r="F2548">
        <v>3</v>
      </c>
      <c r="G2548">
        <v>0</v>
      </c>
      <c r="H2548" t="s">
        <v>224</v>
      </c>
      <c r="I2548" t="s">
        <v>484</v>
      </c>
      <c r="J2548" t="s">
        <v>58</v>
      </c>
      <c r="K2548" t="b">
        <v>0</v>
      </c>
      <c r="L2548">
        <v>2001</v>
      </c>
      <c r="M2548">
        <v>191823200371</v>
      </c>
      <c r="N2548">
        <v>174239354070</v>
      </c>
      <c r="O2548" t="b">
        <v>0</v>
      </c>
      <c r="P2548">
        <v>1</v>
      </c>
      <c r="Q2548" t="str" cm="1">
        <f t="array" ref="Q2548">_xlfn.IFS(Table1[[#This Row],[Wealthier_Winner]]=-1,"Wealthier Nation Loses",Table1[[#This Row],[Wealthier_Winner]]=0,"Tie",Table1[[#This Row],[Wealthier_Winner]]=1,"Wealthier Nation Wins")</f>
        <v>Wealthier Nation Wins</v>
      </c>
    </row>
    <row r="2549" spans="1:17" x14ac:dyDescent="0.2">
      <c r="A2549" s="1">
        <v>4161</v>
      </c>
      <c r="B2549" s="2">
        <v>37135</v>
      </c>
      <c r="C2549" s="7">
        <f>_xlfn.FLOOR.MATH(Table1[[#This Row],[year]],10)</f>
        <v>2000</v>
      </c>
      <c r="D2549" t="s">
        <v>55</v>
      </c>
      <c r="E2549" t="s">
        <v>196</v>
      </c>
      <c r="F2549">
        <v>2</v>
      </c>
      <c r="G2549">
        <v>1</v>
      </c>
      <c r="H2549" t="s">
        <v>224</v>
      </c>
      <c r="I2549" t="s">
        <v>529</v>
      </c>
      <c r="J2549" t="s">
        <v>55</v>
      </c>
      <c r="K2549" t="b">
        <v>0</v>
      </c>
      <c r="L2549">
        <v>2001</v>
      </c>
      <c r="M2549">
        <v>20668868706</v>
      </c>
      <c r="N2549">
        <v>306602070620</v>
      </c>
      <c r="O2549" t="b">
        <v>1</v>
      </c>
      <c r="P2549">
        <v>-1</v>
      </c>
      <c r="Q2549" t="str" cm="1">
        <f t="array" ref="Q2549">_xlfn.IFS(Table1[[#This Row],[Wealthier_Winner]]=-1,"Wealthier Nation Loses",Table1[[#This Row],[Wealthier_Winner]]=0,"Tie",Table1[[#This Row],[Wealthier_Winner]]=1,"Wealthier Nation Wins")</f>
        <v>Wealthier Nation Loses</v>
      </c>
    </row>
    <row r="2550" spans="1:17" x14ac:dyDescent="0.2">
      <c r="A2550" s="1">
        <v>4162</v>
      </c>
      <c r="B2550" s="2">
        <v>37135</v>
      </c>
      <c r="C2550" s="7">
        <f>_xlfn.FLOOR.MATH(Table1[[#This Row],[year]],10)</f>
        <v>2000</v>
      </c>
      <c r="D2550" t="s">
        <v>21</v>
      </c>
      <c r="E2550" t="s">
        <v>29</v>
      </c>
      <c r="F2550">
        <v>4</v>
      </c>
      <c r="G2550">
        <v>0</v>
      </c>
      <c r="H2550" t="s">
        <v>224</v>
      </c>
      <c r="I2550" t="s">
        <v>99</v>
      </c>
      <c r="J2550" t="s">
        <v>21</v>
      </c>
      <c r="K2550" t="b">
        <v>0</v>
      </c>
      <c r="L2550">
        <v>2001</v>
      </c>
      <c r="M2550">
        <v>627798682378</v>
      </c>
      <c r="N2550">
        <v>196477206829</v>
      </c>
      <c r="O2550" t="b">
        <v>1</v>
      </c>
      <c r="P2550">
        <v>1</v>
      </c>
      <c r="Q2550" t="str" cm="1">
        <f t="array" ref="Q2550">_xlfn.IFS(Table1[[#This Row],[Wealthier_Winner]]=-1,"Wealthier Nation Loses",Table1[[#This Row],[Wealthier_Winner]]=0,"Tie",Table1[[#This Row],[Wealthier_Winner]]=1,"Wealthier Nation Wins")</f>
        <v>Wealthier Nation Wins</v>
      </c>
    </row>
    <row r="2551" spans="1:17" x14ac:dyDescent="0.2">
      <c r="A2551" s="1">
        <v>4163</v>
      </c>
      <c r="B2551" s="2">
        <v>37135</v>
      </c>
      <c r="C2551" s="7">
        <f>_xlfn.FLOOR.MATH(Table1[[#This Row],[year]],10)</f>
        <v>2000</v>
      </c>
      <c r="D2551" t="s">
        <v>46</v>
      </c>
      <c r="E2551" t="s">
        <v>61</v>
      </c>
      <c r="F2551">
        <v>1</v>
      </c>
      <c r="G2551">
        <v>2</v>
      </c>
      <c r="H2551" t="s">
        <v>224</v>
      </c>
      <c r="I2551" t="s">
        <v>269</v>
      </c>
      <c r="J2551" t="s">
        <v>46</v>
      </c>
      <c r="K2551" t="b">
        <v>0</v>
      </c>
      <c r="L2551">
        <v>2001</v>
      </c>
      <c r="M2551">
        <v>286582672434</v>
      </c>
      <c r="N2551">
        <v>13599378661</v>
      </c>
      <c r="O2551" t="b">
        <v>1</v>
      </c>
      <c r="P2551">
        <v>-1</v>
      </c>
      <c r="Q2551" t="str" cm="1">
        <f t="array" ref="Q2551">_xlfn.IFS(Table1[[#This Row],[Wealthier_Winner]]=-1,"Wealthier Nation Loses",Table1[[#This Row],[Wealthier_Winner]]=0,"Tie",Table1[[#This Row],[Wealthier_Winner]]=1,"Wealthier Nation Wins")</f>
        <v>Wealthier Nation Loses</v>
      </c>
    </row>
    <row r="2552" spans="1:17" x14ac:dyDescent="0.2">
      <c r="A2552" s="1">
        <v>4164</v>
      </c>
      <c r="B2552" s="2">
        <v>37135</v>
      </c>
      <c r="C2552" s="7">
        <f>_xlfn.FLOOR.MATH(Table1[[#This Row],[year]],10)</f>
        <v>2000</v>
      </c>
      <c r="D2552" t="s">
        <v>334</v>
      </c>
      <c r="E2552" t="s">
        <v>210</v>
      </c>
      <c r="F2552">
        <v>0</v>
      </c>
      <c r="G2552">
        <v>0</v>
      </c>
      <c r="H2552" t="s">
        <v>224</v>
      </c>
      <c r="I2552" t="s">
        <v>407</v>
      </c>
      <c r="J2552" t="s">
        <v>334</v>
      </c>
      <c r="K2552" t="b">
        <v>0</v>
      </c>
      <c r="L2552">
        <v>2001</v>
      </c>
      <c r="M2552">
        <v>120296476180</v>
      </c>
      <c r="N2552">
        <v>126878750295</v>
      </c>
      <c r="O2552" t="b">
        <v>0</v>
      </c>
      <c r="P2552">
        <v>0</v>
      </c>
      <c r="Q2552" t="str" cm="1">
        <f t="array" ref="Q2552">_xlfn.IFS(Table1[[#This Row],[Wealthier_Winner]]=-1,"Wealthier Nation Loses",Table1[[#This Row],[Wealthier_Winner]]=0,"Tie",Table1[[#This Row],[Wealthier_Winner]]=1,"Wealthier Nation Wins")</f>
        <v>Tie</v>
      </c>
    </row>
    <row r="2553" spans="1:17" x14ac:dyDescent="0.2">
      <c r="A2553" s="1">
        <v>4165</v>
      </c>
      <c r="B2553" s="2">
        <v>37135</v>
      </c>
      <c r="C2553" s="7">
        <f>_xlfn.FLOOR.MATH(Table1[[#This Row],[year]],10)</f>
        <v>2000</v>
      </c>
      <c r="D2553" t="s">
        <v>59</v>
      </c>
      <c r="E2553" t="s">
        <v>56</v>
      </c>
      <c r="F2553">
        <v>0</v>
      </c>
      <c r="G2553">
        <v>2</v>
      </c>
      <c r="H2553" t="s">
        <v>224</v>
      </c>
      <c r="I2553" t="s">
        <v>253</v>
      </c>
      <c r="J2553" t="s">
        <v>59</v>
      </c>
      <c r="K2553" t="b">
        <v>0</v>
      </c>
      <c r="L2553">
        <v>2001</v>
      </c>
      <c r="M2553">
        <v>8824849191</v>
      </c>
      <c r="N2553">
        <v>15976174336</v>
      </c>
      <c r="O2553" t="b">
        <v>0</v>
      </c>
      <c r="P2553">
        <v>1</v>
      </c>
      <c r="Q2553" t="str" cm="1">
        <f t="array" ref="Q2553">_xlfn.IFS(Table1[[#This Row],[Wealthier_Winner]]=-1,"Wealthier Nation Loses",Table1[[#This Row],[Wealthier_Winner]]=0,"Tie",Table1[[#This Row],[Wealthier_Winner]]=1,"Wealthier Nation Wins")</f>
        <v>Wealthier Nation Wins</v>
      </c>
    </row>
    <row r="2554" spans="1:17" x14ac:dyDescent="0.2">
      <c r="A2554" s="1">
        <v>4166</v>
      </c>
      <c r="B2554" s="2">
        <v>37135</v>
      </c>
      <c r="C2554" s="7">
        <f>_xlfn.FLOOR.MATH(Table1[[#This Row],[year]],10)</f>
        <v>2000</v>
      </c>
      <c r="D2554" t="s">
        <v>41</v>
      </c>
      <c r="E2554" t="s">
        <v>65</v>
      </c>
      <c r="F2554">
        <v>2</v>
      </c>
      <c r="G2554">
        <v>3</v>
      </c>
      <c r="H2554" t="s">
        <v>224</v>
      </c>
      <c r="I2554" t="s">
        <v>122</v>
      </c>
      <c r="J2554" t="s">
        <v>41</v>
      </c>
      <c r="K2554" t="b">
        <v>0</v>
      </c>
      <c r="L2554">
        <v>2001</v>
      </c>
      <c r="M2554">
        <v>10581929774000</v>
      </c>
      <c r="N2554">
        <v>7651162302</v>
      </c>
      <c r="O2554" t="b">
        <v>1</v>
      </c>
      <c r="P2554">
        <v>-1</v>
      </c>
      <c r="Q2554" t="str" cm="1">
        <f t="array" ref="Q2554">_xlfn.IFS(Table1[[#This Row],[Wealthier_Winner]]=-1,"Wealthier Nation Loses",Table1[[#This Row],[Wealthier_Winner]]=0,"Tie",Table1[[#This Row],[Wealthier_Winner]]=1,"Wealthier Nation Wins")</f>
        <v>Wealthier Nation Loses</v>
      </c>
    </row>
    <row r="2555" spans="1:17" x14ac:dyDescent="0.2">
      <c r="A2555" s="1">
        <v>4168</v>
      </c>
      <c r="B2555" s="2">
        <v>37136</v>
      </c>
      <c r="C2555" s="7">
        <f>_xlfn.FLOOR.MATH(Table1[[#This Row],[year]],10)</f>
        <v>2000</v>
      </c>
      <c r="D2555" t="s">
        <v>49</v>
      </c>
      <c r="E2555" t="s">
        <v>17</v>
      </c>
      <c r="F2555">
        <v>1</v>
      </c>
      <c r="G2555">
        <v>2</v>
      </c>
      <c r="H2555" t="s">
        <v>224</v>
      </c>
      <c r="I2555" t="s">
        <v>257</v>
      </c>
      <c r="J2555" t="s">
        <v>49</v>
      </c>
      <c r="K2555" t="b">
        <v>0</v>
      </c>
      <c r="L2555">
        <v>2001</v>
      </c>
      <c r="M2555">
        <v>9194727831</v>
      </c>
      <c r="N2555">
        <v>796064590549</v>
      </c>
      <c r="O2555" t="b">
        <v>1</v>
      </c>
      <c r="P2555">
        <v>1</v>
      </c>
      <c r="Q2555" t="str" cm="1">
        <f t="array" ref="Q2555">_xlfn.IFS(Table1[[#This Row],[Wealthier_Winner]]=-1,"Wealthier Nation Loses",Table1[[#This Row],[Wealthier_Winner]]=0,"Tie",Table1[[#This Row],[Wealthier_Winner]]=1,"Wealthier Nation Wins")</f>
        <v>Wealthier Nation Wins</v>
      </c>
    </row>
    <row r="2556" spans="1:17" x14ac:dyDescent="0.2">
      <c r="A2556" s="1">
        <v>4169</v>
      </c>
      <c r="B2556" s="2">
        <v>37138</v>
      </c>
      <c r="C2556" s="7">
        <f>_xlfn.FLOOR.MATH(Table1[[#This Row],[year]],10)</f>
        <v>2000</v>
      </c>
      <c r="D2556" t="s">
        <v>14</v>
      </c>
      <c r="E2556" t="s">
        <v>258</v>
      </c>
      <c r="F2556">
        <v>0</v>
      </c>
      <c r="G2556">
        <v>2</v>
      </c>
      <c r="H2556" t="s">
        <v>224</v>
      </c>
      <c r="I2556" t="s">
        <v>75</v>
      </c>
      <c r="J2556" t="s">
        <v>14</v>
      </c>
      <c r="K2556" t="b">
        <v>0</v>
      </c>
      <c r="L2556">
        <v>2001</v>
      </c>
      <c r="M2556">
        <v>71574739561</v>
      </c>
      <c r="N2556">
        <v>122911036746</v>
      </c>
      <c r="O2556" t="b">
        <v>0</v>
      </c>
      <c r="P2556">
        <v>1</v>
      </c>
      <c r="Q2556" t="str" cm="1">
        <f t="array" ref="Q2556">_xlfn.IFS(Table1[[#This Row],[Wealthier_Winner]]=-1,"Wealthier Nation Loses",Table1[[#This Row],[Wealthier_Winner]]=0,"Tie",Table1[[#This Row],[Wealthier_Winner]]=1,"Wealthier Nation Wins")</f>
        <v>Wealthier Nation Wins</v>
      </c>
    </row>
    <row r="2557" spans="1:17" x14ac:dyDescent="0.2">
      <c r="A2557" s="1">
        <v>4170</v>
      </c>
      <c r="B2557" s="2">
        <v>37138</v>
      </c>
      <c r="C2557" s="7">
        <f>_xlfn.FLOOR.MATH(Table1[[#This Row],[year]],10)</f>
        <v>2000</v>
      </c>
      <c r="D2557" t="s">
        <v>31</v>
      </c>
      <c r="E2557" t="s">
        <v>26</v>
      </c>
      <c r="F2557">
        <v>0</v>
      </c>
      <c r="G2557">
        <v>2</v>
      </c>
      <c r="H2557" t="s">
        <v>224</v>
      </c>
      <c r="I2557" t="s">
        <v>242</v>
      </c>
      <c r="J2557" t="s">
        <v>31</v>
      </c>
      <c r="K2557" t="b">
        <v>0</v>
      </c>
      <c r="L2557">
        <v>2001</v>
      </c>
      <c r="M2557">
        <v>52030158775</v>
      </c>
      <c r="N2557">
        <v>20898761742</v>
      </c>
      <c r="O2557" t="b">
        <v>1</v>
      </c>
      <c r="P2557">
        <v>-1</v>
      </c>
      <c r="Q2557" t="str" cm="1">
        <f t="array" ref="Q2557">_xlfn.IFS(Table1[[#This Row],[Wealthier_Winner]]=-1,"Wealthier Nation Loses",Table1[[#This Row],[Wealthier_Winner]]=0,"Tie",Table1[[#This Row],[Wealthier_Winner]]=1,"Wealthier Nation Wins")</f>
        <v>Wealthier Nation Loses</v>
      </c>
    </row>
    <row r="2558" spans="1:17" x14ac:dyDescent="0.2">
      <c r="A2558" s="1">
        <v>4171</v>
      </c>
      <c r="B2558" s="2">
        <v>37139</v>
      </c>
      <c r="C2558" s="7">
        <f>_xlfn.FLOOR.MATH(Table1[[#This Row],[year]],10)</f>
        <v>2000</v>
      </c>
      <c r="D2558" t="s">
        <v>19</v>
      </c>
      <c r="E2558" t="s">
        <v>13</v>
      </c>
      <c r="F2558">
        <v>2</v>
      </c>
      <c r="G2558">
        <v>1</v>
      </c>
      <c r="H2558" t="s">
        <v>224</v>
      </c>
      <c r="I2558" t="s">
        <v>93</v>
      </c>
      <c r="J2558" t="s">
        <v>19</v>
      </c>
      <c r="K2558" t="b">
        <v>0</v>
      </c>
      <c r="L2558">
        <v>2001</v>
      </c>
      <c r="M2558">
        <v>268696750000</v>
      </c>
      <c r="N2558">
        <v>559983704094</v>
      </c>
      <c r="O2558" t="b">
        <v>1</v>
      </c>
      <c r="P2558">
        <v>-1</v>
      </c>
      <c r="Q2558" t="str" cm="1">
        <f t="array" ref="Q2558">_xlfn.IFS(Table1[[#This Row],[Wealthier_Winner]]=-1,"Wealthier Nation Loses",Table1[[#This Row],[Wealthier_Winner]]=0,"Tie",Table1[[#This Row],[Wealthier_Winner]]=1,"Wealthier Nation Wins")</f>
        <v>Wealthier Nation Loses</v>
      </c>
    </row>
    <row r="2559" spans="1:17" x14ac:dyDescent="0.2">
      <c r="A2559" s="1">
        <v>4172</v>
      </c>
      <c r="B2559" s="2">
        <v>37139</v>
      </c>
      <c r="C2559" s="7">
        <f>_xlfn.FLOOR.MATH(Table1[[#This Row],[year]],10)</f>
        <v>2000</v>
      </c>
      <c r="D2559" t="s">
        <v>29</v>
      </c>
      <c r="E2559" t="s">
        <v>73</v>
      </c>
      <c r="F2559">
        <v>2</v>
      </c>
      <c r="G2559">
        <v>0</v>
      </c>
      <c r="H2559" t="s">
        <v>224</v>
      </c>
      <c r="I2559" t="s">
        <v>270</v>
      </c>
      <c r="J2559" t="s">
        <v>29</v>
      </c>
      <c r="K2559" t="b">
        <v>0</v>
      </c>
      <c r="L2559">
        <v>2001</v>
      </c>
      <c r="M2559">
        <v>196477206829</v>
      </c>
      <c r="N2559">
        <v>5800615374</v>
      </c>
      <c r="O2559" t="b">
        <v>1</v>
      </c>
      <c r="P2559">
        <v>1</v>
      </c>
      <c r="Q2559" t="str" cm="1">
        <f t="array" ref="Q2559">_xlfn.IFS(Table1[[#This Row],[Wealthier_Winner]]=-1,"Wealthier Nation Loses",Table1[[#This Row],[Wealthier_Winner]]=0,"Tie",Table1[[#This Row],[Wealthier_Winner]]=1,"Wealthier Nation Wins")</f>
        <v>Wealthier Nation Wins</v>
      </c>
    </row>
    <row r="2560" spans="1:17" x14ac:dyDescent="0.2">
      <c r="A2560" s="1">
        <v>4173</v>
      </c>
      <c r="B2560" s="2">
        <v>37139</v>
      </c>
      <c r="C2560" s="7">
        <f>_xlfn.FLOOR.MATH(Table1[[#This Row],[year]],10)</f>
        <v>2000</v>
      </c>
      <c r="D2560" t="s">
        <v>513</v>
      </c>
      <c r="E2560" t="s">
        <v>502</v>
      </c>
      <c r="F2560">
        <v>1</v>
      </c>
      <c r="G2560">
        <v>1</v>
      </c>
      <c r="H2560" t="s">
        <v>224</v>
      </c>
      <c r="I2560" t="s">
        <v>521</v>
      </c>
      <c r="J2560" t="s">
        <v>513</v>
      </c>
      <c r="K2560" t="b">
        <v>0</v>
      </c>
      <c r="L2560">
        <v>2001</v>
      </c>
      <c r="M2560">
        <v>5707616203</v>
      </c>
      <c r="N2560">
        <v>3709636030</v>
      </c>
      <c r="O2560" t="b">
        <v>0</v>
      </c>
      <c r="P2560">
        <v>0</v>
      </c>
      <c r="Q2560" t="str" cm="1">
        <f t="array" ref="Q2560">_xlfn.IFS(Table1[[#This Row],[Wealthier_Winner]]=-1,"Wealthier Nation Loses",Table1[[#This Row],[Wealthier_Winner]]=0,"Tie",Table1[[#This Row],[Wealthier_Winner]]=1,"Wealthier Nation Wins")</f>
        <v>Tie</v>
      </c>
    </row>
    <row r="2561" spans="1:17" x14ac:dyDescent="0.2">
      <c r="A2561" s="1">
        <v>4174</v>
      </c>
      <c r="B2561" s="2">
        <v>37139</v>
      </c>
      <c r="C2561" s="7">
        <f>_xlfn.FLOOR.MATH(Table1[[#This Row],[year]],10)</f>
        <v>2000</v>
      </c>
      <c r="D2561" t="s">
        <v>510</v>
      </c>
      <c r="E2561" t="s">
        <v>58</v>
      </c>
      <c r="F2561">
        <v>4</v>
      </c>
      <c r="G2561">
        <v>1</v>
      </c>
      <c r="H2561" t="s">
        <v>224</v>
      </c>
      <c r="I2561" t="s">
        <v>522</v>
      </c>
      <c r="J2561" t="s">
        <v>510</v>
      </c>
      <c r="K2561" t="b">
        <v>0</v>
      </c>
      <c r="L2561">
        <v>2001</v>
      </c>
      <c r="M2561">
        <v>12354820143</v>
      </c>
      <c r="N2561">
        <v>191823200371</v>
      </c>
      <c r="O2561" t="b">
        <v>1</v>
      </c>
      <c r="P2561">
        <v>-1</v>
      </c>
      <c r="Q2561" t="str" cm="1">
        <f t="array" ref="Q2561">_xlfn.IFS(Table1[[#This Row],[Wealthier_Winner]]=-1,"Wealthier Nation Loses",Table1[[#This Row],[Wealthier_Winner]]=0,"Tie",Table1[[#This Row],[Wealthier_Winner]]=1,"Wealthier Nation Wins")</f>
        <v>Wealthier Nation Loses</v>
      </c>
    </row>
    <row r="2562" spans="1:17" x14ac:dyDescent="0.2">
      <c r="A2562" s="1">
        <v>4176</v>
      </c>
      <c r="B2562" s="2">
        <v>37139</v>
      </c>
      <c r="C2562" s="7">
        <f>_xlfn.FLOOR.MATH(Table1[[#This Row],[year]],10)</f>
        <v>2000</v>
      </c>
      <c r="D2562" t="s">
        <v>33</v>
      </c>
      <c r="E2562" t="s">
        <v>36</v>
      </c>
      <c r="F2562">
        <v>0</v>
      </c>
      <c r="G2562">
        <v>2</v>
      </c>
      <c r="H2562" t="s">
        <v>224</v>
      </c>
      <c r="I2562" t="s">
        <v>375</v>
      </c>
      <c r="J2562" t="s">
        <v>33</v>
      </c>
      <c r="K2562" t="b">
        <v>0</v>
      </c>
      <c r="L2562">
        <v>2001</v>
      </c>
      <c r="M2562">
        <v>14183446025</v>
      </c>
      <c r="N2562">
        <v>164881594415</v>
      </c>
      <c r="O2562" t="b">
        <v>1</v>
      </c>
      <c r="P2562">
        <v>1</v>
      </c>
      <c r="Q2562" t="str" cm="1">
        <f t="array" ref="Q2562">_xlfn.IFS(Table1[[#This Row],[Wealthier_Winner]]=-1,"Wealthier Nation Loses",Table1[[#This Row],[Wealthier_Winner]]=0,"Tie",Table1[[#This Row],[Wealthier_Winner]]=1,"Wealthier Nation Wins")</f>
        <v>Wealthier Nation Wins</v>
      </c>
    </row>
    <row r="2563" spans="1:17" x14ac:dyDescent="0.2">
      <c r="A2563" s="1">
        <v>4177</v>
      </c>
      <c r="B2563" s="2">
        <v>37139</v>
      </c>
      <c r="C2563" s="7">
        <f>_xlfn.FLOOR.MATH(Table1[[#This Row],[year]],10)</f>
        <v>2000</v>
      </c>
      <c r="D2563" t="s">
        <v>15</v>
      </c>
      <c r="E2563" t="s">
        <v>57</v>
      </c>
      <c r="F2563">
        <v>0</v>
      </c>
      <c r="G2563">
        <v>0</v>
      </c>
      <c r="H2563" t="s">
        <v>224</v>
      </c>
      <c r="I2563" t="s">
        <v>241</v>
      </c>
      <c r="J2563" t="s">
        <v>15</v>
      </c>
      <c r="K2563" t="b">
        <v>0</v>
      </c>
      <c r="L2563">
        <v>2001</v>
      </c>
      <c r="M2563">
        <v>98200641203</v>
      </c>
      <c r="N2563">
        <v>23127055000</v>
      </c>
      <c r="O2563" t="b">
        <v>1</v>
      </c>
      <c r="P2563">
        <v>0</v>
      </c>
      <c r="Q2563" t="str" cm="1">
        <f t="array" ref="Q2563">_xlfn.IFS(Table1[[#This Row],[Wealthier_Winner]]=-1,"Wealthier Nation Loses",Table1[[#This Row],[Wealthier_Winner]]=0,"Tie",Table1[[#This Row],[Wealthier_Winner]]=1,"Wealthier Nation Wins")</f>
        <v>Tie</v>
      </c>
    </row>
    <row r="2564" spans="1:17" x14ac:dyDescent="0.2">
      <c r="A2564" s="1">
        <v>4178</v>
      </c>
      <c r="B2564" s="2">
        <v>37139</v>
      </c>
      <c r="C2564" s="7">
        <f>_xlfn.FLOOR.MATH(Table1[[#This Row],[year]],10)</f>
        <v>2000</v>
      </c>
      <c r="D2564" t="s">
        <v>56</v>
      </c>
      <c r="E2564" t="s">
        <v>41</v>
      </c>
      <c r="F2564">
        <v>2</v>
      </c>
      <c r="G2564">
        <v>0</v>
      </c>
      <c r="H2564" t="s">
        <v>224</v>
      </c>
      <c r="I2564" t="s">
        <v>225</v>
      </c>
      <c r="J2564" t="s">
        <v>56</v>
      </c>
      <c r="K2564" t="b">
        <v>0</v>
      </c>
      <c r="L2564">
        <v>2001</v>
      </c>
      <c r="M2564">
        <v>15976174336</v>
      </c>
      <c r="N2564">
        <v>10581929774000</v>
      </c>
      <c r="O2564" t="b">
        <v>1</v>
      </c>
      <c r="P2564">
        <v>-1</v>
      </c>
      <c r="Q2564" t="str" cm="1">
        <f t="array" ref="Q2564">_xlfn.IFS(Table1[[#This Row],[Wealthier_Winner]]=-1,"Wealthier Nation Loses",Table1[[#This Row],[Wealthier_Winner]]=0,"Tie",Table1[[#This Row],[Wealthier_Winner]]=1,"Wealthier Nation Wins")</f>
        <v>Wealthier Nation Loses</v>
      </c>
    </row>
    <row r="2565" spans="1:17" x14ac:dyDescent="0.2">
      <c r="A2565" s="1">
        <v>4179</v>
      </c>
      <c r="B2565" s="2">
        <v>37139</v>
      </c>
      <c r="C2565" s="7">
        <f>_xlfn.FLOOR.MATH(Table1[[#This Row],[year]],10)</f>
        <v>2000</v>
      </c>
      <c r="D2565" t="s">
        <v>351</v>
      </c>
      <c r="E2565" t="s">
        <v>38</v>
      </c>
      <c r="F2565">
        <v>1</v>
      </c>
      <c r="G2565">
        <v>3</v>
      </c>
      <c r="H2565" t="s">
        <v>224</v>
      </c>
      <c r="I2565" t="s">
        <v>468</v>
      </c>
      <c r="J2565" t="s">
        <v>351</v>
      </c>
      <c r="K2565" t="b">
        <v>0</v>
      </c>
      <c r="L2565">
        <v>2001</v>
      </c>
      <c r="M2565">
        <v>10397898907</v>
      </c>
      <c r="N2565">
        <v>121604107164</v>
      </c>
      <c r="O2565" t="b">
        <v>1</v>
      </c>
      <c r="P2565">
        <v>1</v>
      </c>
      <c r="Q2565" t="str" cm="1">
        <f t="array" ref="Q2565">_xlfn.IFS(Table1[[#This Row],[Wealthier_Winner]]=-1,"Wealthier Nation Loses",Table1[[#This Row],[Wealthier_Winner]]=0,"Tie",Table1[[#This Row],[Wealthier_Winner]]=1,"Wealthier Nation Wins")</f>
        <v>Wealthier Nation Wins</v>
      </c>
    </row>
    <row r="2566" spans="1:17" x14ac:dyDescent="0.2">
      <c r="A2566" s="1">
        <v>4181</v>
      </c>
      <c r="B2566" s="2">
        <v>37139</v>
      </c>
      <c r="C2566" s="7">
        <f>_xlfn.FLOOR.MATH(Table1[[#This Row],[year]],10)</f>
        <v>2000</v>
      </c>
      <c r="D2566" t="s">
        <v>194</v>
      </c>
      <c r="E2566" t="s">
        <v>373</v>
      </c>
      <c r="F2566">
        <v>2</v>
      </c>
      <c r="G2566">
        <v>0</v>
      </c>
      <c r="H2566" t="s">
        <v>224</v>
      </c>
      <c r="I2566" t="s">
        <v>459</v>
      </c>
      <c r="J2566" t="s">
        <v>194</v>
      </c>
      <c r="K2566" t="b">
        <v>0</v>
      </c>
      <c r="L2566">
        <v>2001</v>
      </c>
      <c r="M2566">
        <v>1656171009068</v>
      </c>
      <c r="N2566">
        <v>4059064033</v>
      </c>
      <c r="O2566" t="b">
        <v>1</v>
      </c>
      <c r="P2566">
        <v>1</v>
      </c>
      <c r="Q2566" t="str" cm="1">
        <f t="array" ref="Q2566">_xlfn.IFS(Table1[[#This Row],[Wealthier_Winner]]=-1,"Wealthier Nation Loses",Table1[[#This Row],[Wealthier_Winner]]=0,"Tie",Table1[[#This Row],[Wealthier_Winner]]=1,"Wealthier Nation Wins")</f>
        <v>Wealthier Nation Wins</v>
      </c>
    </row>
    <row r="2567" spans="1:17" x14ac:dyDescent="0.2">
      <c r="A2567" s="1">
        <v>4182</v>
      </c>
      <c r="B2567" s="2">
        <v>37139</v>
      </c>
      <c r="C2567" s="7">
        <f>_xlfn.FLOOR.MATH(Table1[[#This Row],[year]],10)</f>
        <v>2000</v>
      </c>
      <c r="D2567" t="s">
        <v>447</v>
      </c>
      <c r="E2567" t="s">
        <v>196</v>
      </c>
      <c r="F2567">
        <v>0</v>
      </c>
      <c r="G2567">
        <v>3</v>
      </c>
      <c r="H2567" t="s">
        <v>224</v>
      </c>
      <c r="I2567" t="s">
        <v>631</v>
      </c>
      <c r="J2567" t="s">
        <v>447</v>
      </c>
      <c r="K2567" t="b">
        <v>0</v>
      </c>
      <c r="L2567">
        <v>2001</v>
      </c>
      <c r="M2567">
        <v>1160268212</v>
      </c>
      <c r="N2567">
        <v>306602070620</v>
      </c>
      <c r="O2567" t="b">
        <v>1</v>
      </c>
      <c r="P2567">
        <v>1</v>
      </c>
      <c r="Q2567" t="str" cm="1">
        <f t="array" ref="Q2567">_xlfn.IFS(Table1[[#This Row],[Wealthier_Winner]]=-1,"Wealthier Nation Loses",Table1[[#This Row],[Wealthier_Winner]]=0,"Tie",Table1[[#This Row],[Wealthier_Winner]]=1,"Wealthier Nation Wins")</f>
        <v>Wealthier Nation Wins</v>
      </c>
    </row>
    <row r="2568" spans="1:17" x14ac:dyDescent="0.2">
      <c r="A2568" s="1">
        <v>4183</v>
      </c>
      <c r="B2568" s="2">
        <v>37139</v>
      </c>
      <c r="C2568" s="7">
        <f>_xlfn.FLOOR.MATH(Table1[[#This Row],[year]],10)</f>
        <v>2000</v>
      </c>
      <c r="D2568" t="s">
        <v>230</v>
      </c>
      <c r="E2568" t="s">
        <v>48</v>
      </c>
      <c r="F2568">
        <v>5</v>
      </c>
      <c r="G2568">
        <v>1</v>
      </c>
      <c r="H2568" t="s">
        <v>224</v>
      </c>
      <c r="I2568" t="s">
        <v>231</v>
      </c>
      <c r="J2568" t="s">
        <v>230</v>
      </c>
      <c r="K2568" t="b">
        <v>0</v>
      </c>
      <c r="L2568">
        <v>2001</v>
      </c>
      <c r="M2568">
        <v>129519672868</v>
      </c>
      <c r="N2568">
        <v>132050474720</v>
      </c>
      <c r="O2568" t="b">
        <v>0</v>
      </c>
      <c r="P2568">
        <v>-1</v>
      </c>
      <c r="Q2568" t="str" cm="1">
        <f t="array" ref="Q2568">_xlfn.IFS(Table1[[#This Row],[Wealthier_Winner]]=-1,"Wealthier Nation Loses",Table1[[#This Row],[Wealthier_Winner]]=0,"Tie",Table1[[#This Row],[Wealthier_Winner]]=1,"Wealthier Nation Wins")</f>
        <v>Wealthier Nation Loses</v>
      </c>
    </row>
    <row r="2569" spans="1:17" x14ac:dyDescent="0.2">
      <c r="A2569" s="1">
        <v>4184</v>
      </c>
      <c r="B2569" s="2">
        <v>37139</v>
      </c>
      <c r="C2569" s="7">
        <f>_xlfn.FLOOR.MATH(Table1[[#This Row],[year]],10)</f>
        <v>2000</v>
      </c>
      <c r="D2569" t="s">
        <v>534</v>
      </c>
      <c r="E2569" t="s">
        <v>523</v>
      </c>
      <c r="F2569">
        <v>2</v>
      </c>
      <c r="G2569">
        <v>0</v>
      </c>
      <c r="H2569" t="s">
        <v>224</v>
      </c>
      <c r="I2569" t="s">
        <v>536</v>
      </c>
      <c r="J2569" t="s">
        <v>534</v>
      </c>
      <c r="K2569" t="b">
        <v>0</v>
      </c>
      <c r="L2569">
        <v>2001</v>
      </c>
      <c r="M2569">
        <v>3219462262</v>
      </c>
      <c r="N2569">
        <v>12260761329</v>
      </c>
      <c r="O2569" t="b">
        <v>1</v>
      </c>
      <c r="P2569">
        <v>-1</v>
      </c>
      <c r="Q2569" t="str" cm="1">
        <f t="array" ref="Q2569">_xlfn.IFS(Table1[[#This Row],[Wealthier_Winner]]=-1,"Wealthier Nation Loses",Table1[[#This Row],[Wealthier_Winner]]=0,"Tie",Table1[[#This Row],[Wealthier_Winner]]=1,"Wealthier Nation Wins")</f>
        <v>Wealthier Nation Loses</v>
      </c>
    </row>
    <row r="2570" spans="1:17" x14ac:dyDescent="0.2">
      <c r="A2570" s="1">
        <v>4185</v>
      </c>
      <c r="B2570" s="2">
        <v>37139</v>
      </c>
      <c r="C2570" s="7">
        <f>_xlfn.FLOOR.MATH(Table1[[#This Row],[year]],10)</f>
        <v>2000</v>
      </c>
      <c r="D2570" t="s">
        <v>65</v>
      </c>
      <c r="E2570" t="s">
        <v>49</v>
      </c>
      <c r="F2570">
        <v>1</v>
      </c>
      <c r="G2570">
        <v>0</v>
      </c>
      <c r="H2570" t="s">
        <v>224</v>
      </c>
      <c r="I2570" t="s">
        <v>228</v>
      </c>
      <c r="J2570" t="s">
        <v>65</v>
      </c>
      <c r="K2570" t="b">
        <v>0</v>
      </c>
      <c r="L2570">
        <v>2001</v>
      </c>
      <c r="M2570">
        <v>7651162302</v>
      </c>
      <c r="N2570">
        <v>9194727831</v>
      </c>
      <c r="O2570" t="b">
        <v>0</v>
      </c>
      <c r="P2570">
        <v>-1</v>
      </c>
      <c r="Q2570" t="str" cm="1">
        <f t="array" ref="Q2570">_xlfn.IFS(Table1[[#This Row],[Wealthier_Winner]]=-1,"Wealthier Nation Loses",Table1[[#This Row],[Wealthier_Winner]]=0,"Tie",Table1[[#This Row],[Wealthier_Winner]]=1,"Wealthier Nation Wins")</f>
        <v>Wealthier Nation Loses</v>
      </c>
    </row>
    <row r="2571" spans="1:17" x14ac:dyDescent="0.2">
      <c r="A2571" s="1">
        <v>4186</v>
      </c>
      <c r="B2571" s="2">
        <v>37139</v>
      </c>
      <c r="C2571" s="7">
        <f>_xlfn.FLOOR.MATH(Table1[[#This Row],[year]],10)</f>
        <v>2000</v>
      </c>
      <c r="D2571" t="s">
        <v>30</v>
      </c>
      <c r="E2571" t="s">
        <v>44</v>
      </c>
      <c r="F2571">
        <v>0</v>
      </c>
      <c r="G2571">
        <v>2</v>
      </c>
      <c r="H2571" t="s">
        <v>224</v>
      </c>
      <c r="I2571" t="s">
        <v>297</v>
      </c>
      <c r="J2571" t="s">
        <v>30</v>
      </c>
      <c r="K2571" t="b">
        <v>0</v>
      </c>
      <c r="L2571">
        <v>2001</v>
      </c>
      <c r="M2571">
        <v>53800068065</v>
      </c>
      <c r="N2571">
        <v>40395116581</v>
      </c>
      <c r="O2571" t="b">
        <v>0</v>
      </c>
      <c r="P2571">
        <v>-1</v>
      </c>
      <c r="Q2571" t="str" cm="1">
        <f t="array" ref="Q2571">_xlfn.IFS(Table1[[#This Row],[Wealthier_Winner]]=-1,"Wealthier Nation Loses",Table1[[#This Row],[Wealthier_Winner]]=0,"Tie",Table1[[#This Row],[Wealthier_Winner]]=1,"Wealthier Nation Wins")</f>
        <v>Wealthier Nation Loses</v>
      </c>
    </row>
    <row r="2572" spans="1:17" x14ac:dyDescent="0.2">
      <c r="A2572" s="1">
        <v>4187</v>
      </c>
      <c r="B2572" s="2">
        <v>37139</v>
      </c>
      <c r="C2572" s="7">
        <f>_xlfn.FLOOR.MATH(Table1[[#This Row],[year]],10)</f>
        <v>2000</v>
      </c>
      <c r="D2572" t="s">
        <v>503</v>
      </c>
      <c r="E2572" t="s">
        <v>21</v>
      </c>
      <c r="F2572">
        <v>0</v>
      </c>
      <c r="G2572">
        <v>2</v>
      </c>
      <c r="H2572" t="s">
        <v>224</v>
      </c>
      <c r="I2572" t="s">
        <v>603</v>
      </c>
      <c r="J2572" t="s">
        <v>503</v>
      </c>
      <c r="K2572" t="b">
        <v>0</v>
      </c>
      <c r="L2572">
        <v>2001</v>
      </c>
      <c r="M2572">
        <v>2491800558</v>
      </c>
      <c r="N2572">
        <v>627798682378</v>
      </c>
      <c r="O2572" t="b">
        <v>1</v>
      </c>
      <c r="P2572">
        <v>1</v>
      </c>
      <c r="Q2572" t="str" cm="1">
        <f t="array" ref="Q2572">_xlfn.IFS(Table1[[#This Row],[Wealthier_Winner]]=-1,"Wealthier Nation Loses",Table1[[#This Row],[Wealthier_Winner]]=0,"Tie",Table1[[#This Row],[Wealthier_Winner]]=1,"Wealthier Nation Wins")</f>
        <v>Wealthier Nation Wins</v>
      </c>
    </row>
    <row r="2573" spans="1:17" x14ac:dyDescent="0.2">
      <c r="A2573" s="1">
        <v>4188</v>
      </c>
      <c r="B2573" s="2">
        <v>37139</v>
      </c>
      <c r="C2573" s="7">
        <f>_xlfn.FLOOR.MATH(Table1[[#This Row],[year]],10)</f>
        <v>2000</v>
      </c>
      <c r="D2573" t="s">
        <v>232</v>
      </c>
      <c r="E2573" t="s">
        <v>46</v>
      </c>
      <c r="F2573">
        <v>0</v>
      </c>
      <c r="G2573">
        <v>3</v>
      </c>
      <c r="H2573" t="s">
        <v>224</v>
      </c>
      <c r="I2573" t="s">
        <v>232</v>
      </c>
      <c r="J2573" t="s">
        <v>232</v>
      </c>
      <c r="K2573" t="b">
        <v>0</v>
      </c>
      <c r="L2573">
        <v>2001</v>
      </c>
      <c r="M2573">
        <v>21387533703</v>
      </c>
      <c r="N2573">
        <v>286582672434</v>
      </c>
      <c r="O2573" t="b">
        <v>1</v>
      </c>
      <c r="P2573">
        <v>1</v>
      </c>
      <c r="Q2573" t="str" cm="1">
        <f t="array" ref="Q2573">_xlfn.IFS(Table1[[#This Row],[Wealthier_Winner]]=-1,"Wealthier Nation Loses",Table1[[#This Row],[Wealthier_Winner]]=0,"Tie",Table1[[#This Row],[Wealthier_Winner]]=1,"Wealthier Nation Wins")</f>
        <v>Wealthier Nation Wins</v>
      </c>
    </row>
    <row r="2574" spans="1:17" x14ac:dyDescent="0.2">
      <c r="A2574" s="1">
        <v>4189</v>
      </c>
      <c r="B2574" s="2">
        <v>37139</v>
      </c>
      <c r="C2574" s="7">
        <f>_xlfn.FLOOR.MATH(Table1[[#This Row],[year]],10)</f>
        <v>2000</v>
      </c>
      <c r="D2574" t="s">
        <v>17</v>
      </c>
      <c r="E2574" t="s">
        <v>59</v>
      </c>
      <c r="F2574">
        <v>3</v>
      </c>
      <c r="G2574">
        <v>0</v>
      </c>
      <c r="H2574" t="s">
        <v>224</v>
      </c>
      <c r="I2574" t="s">
        <v>83</v>
      </c>
      <c r="J2574" t="s">
        <v>17</v>
      </c>
      <c r="K2574" t="b">
        <v>0</v>
      </c>
      <c r="L2574">
        <v>2001</v>
      </c>
      <c r="M2574">
        <v>796064590549</v>
      </c>
      <c r="N2574">
        <v>8824849191</v>
      </c>
      <c r="O2574" t="b">
        <v>1</v>
      </c>
      <c r="P2574">
        <v>1</v>
      </c>
      <c r="Q2574" t="str" cm="1">
        <f t="array" ref="Q2574">_xlfn.IFS(Table1[[#This Row],[Wealthier_Winner]]=-1,"Wealthier Nation Loses",Table1[[#This Row],[Wealthier_Winner]]=0,"Tie",Table1[[#This Row],[Wealthier_Winner]]=1,"Wealthier Nation Wins")</f>
        <v>Wealthier Nation Wins</v>
      </c>
    </row>
    <row r="2575" spans="1:17" x14ac:dyDescent="0.2">
      <c r="A2575" s="1">
        <v>4190</v>
      </c>
      <c r="B2575" s="2">
        <v>37139</v>
      </c>
      <c r="C2575" s="7">
        <f>_xlfn.FLOOR.MATH(Table1[[#This Row],[year]],10)</f>
        <v>2000</v>
      </c>
      <c r="D2575" t="s">
        <v>27</v>
      </c>
      <c r="E2575" t="s">
        <v>476</v>
      </c>
      <c r="F2575">
        <v>5</v>
      </c>
      <c r="G2575">
        <v>0</v>
      </c>
      <c r="H2575" t="s">
        <v>224</v>
      </c>
      <c r="I2575" t="s">
        <v>624</v>
      </c>
      <c r="J2575" t="s">
        <v>27</v>
      </c>
      <c r="K2575" t="b">
        <v>0</v>
      </c>
      <c r="L2575">
        <v>2001</v>
      </c>
      <c r="M2575">
        <v>432536219668</v>
      </c>
      <c r="N2575">
        <v>6250218422</v>
      </c>
      <c r="O2575" t="b">
        <v>1</v>
      </c>
      <c r="P2575">
        <v>1</v>
      </c>
      <c r="Q2575" t="str" cm="1">
        <f t="array" ref="Q2575">_xlfn.IFS(Table1[[#This Row],[Wealthier_Winner]]=-1,"Wealthier Nation Loses",Table1[[#This Row],[Wealthier_Winner]]=0,"Tie",Table1[[#This Row],[Wealthier_Winner]]=1,"Wealthier Nation Wins")</f>
        <v>Wealthier Nation Wins</v>
      </c>
    </row>
    <row r="2576" spans="1:17" x14ac:dyDescent="0.2">
      <c r="A2576" s="1">
        <v>4193</v>
      </c>
      <c r="B2576" s="2">
        <v>37139</v>
      </c>
      <c r="C2576" s="7">
        <f>_xlfn.FLOOR.MATH(Table1[[#This Row],[year]],10)</f>
        <v>2000</v>
      </c>
      <c r="D2576" t="s">
        <v>35</v>
      </c>
      <c r="E2576" t="s">
        <v>47</v>
      </c>
      <c r="F2576">
        <v>5</v>
      </c>
      <c r="G2576">
        <v>1</v>
      </c>
      <c r="H2576" t="s">
        <v>224</v>
      </c>
      <c r="I2576" t="s">
        <v>250</v>
      </c>
      <c r="J2576" t="s">
        <v>35</v>
      </c>
      <c r="K2576" t="b">
        <v>0</v>
      </c>
      <c r="L2576">
        <v>2001</v>
      </c>
      <c r="M2576">
        <v>8495806432</v>
      </c>
      <c r="N2576">
        <v>8141516928</v>
      </c>
      <c r="O2576" t="b">
        <v>0</v>
      </c>
      <c r="P2576">
        <v>1</v>
      </c>
      <c r="Q2576" t="str" cm="1">
        <f t="array" ref="Q2576">_xlfn.IFS(Table1[[#This Row],[Wealthier_Winner]]=-1,"Wealthier Nation Loses",Table1[[#This Row],[Wealthier_Winner]]=0,"Tie",Table1[[#This Row],[Wealthier_Winner]]=1,"Wealthier Nation Wins")</f>
        <v>Wealthier Nation Wins</v>
      </c>
    </row>
    <row r="2577" spans="1:17" x14ac:dyDescent="0.2">
      <c r="A2577" s="1">
        <v>4194</v>
      </c>
      <c r="B2577" s="2">
        <v>37139</v>
      </c>
      <c r="C2577" s="7">
        <f>_xlfn.FLOOR.MATH(Table1[[#This Row],[year]],10)</f>
        <v>2000</v>
      </c>
      <c r="D2577" t="s">
        <v>549</v>
      </c>
      <c r="E2577" t="s">
        <v>52</v>
      </c>
      <c r="F2577">
        <v>0</v>
      </c>
      <c r="G2577">
        <v>4</v>
      </c>
      <c r="H2577" t="s">
        <v>224</v>
      </c>
      <c r="I2577" t="s">
        <v>555</v>
      </c>
      <c r="J2577" t="s">
        <v>549</v>
      </c>
      <c r="K2577" t="b">
        <v>0</v>
      </c>
      <c r="L2577">
        <v>2001</v>
      </c>
      <c r="M2577">
        <v>1059529812</v>
      </c>
      <c r="N2577">
        <v>23066883849</v>
      </c>
      <c r="O2577" t="b">
        <v>1</v>
      </c>
      <c r="P2577">
        <v>1</v>
      </c>
      <c r="Q2577" t="str" cm="1">
        <f t="array" ref="Q2577">_xlfn.IFS(Table1[[#This Row],[Wealthier_Winner]]=-1,"Wealthier Nation Loses",Table1[[#This Row],[Wealthier_Winner]]=0,"Tie",Table1[[#This Row],[Wealthier_Winner]]=1,"Wealthier Nation Wins")</f>
        <v>Wealthier Nation Wins</v>
      </c>
    </row>
    <row r="2578" spans="1:17" x14ac:dyDescent="0.2">
      <c r="A2578" s="1">
        <v>4195</v>
      </c>
      <c r="B2578" s="2">
        <v>37139</v>
      </c>
      <c r="C2578" s="7">
        <f>_xlfn.FLOOR.MATH(Table1[[#This Row],[year]],10)</f>
        <v>2000</v>
      </c>
      <c r="D2578" t="s">
        <v>61</v>
      </c>
      <c r="E2578" t="s">
        <v>55</v>
      </c>
      <c r="F2578">
        <v>1</v>
      </c>
      <c r="G2578">
        <v>1</v>
      </c>
      <c r="H2578" t="s">
        <v>224</v>
      </c>
      <c r="I2578" t="s">
        <v>505</v>
      </c>
      <c r="J2578" t="s">
        <v>506</v>
      </c>
      <c r="K2578" t="b">
        <v>0</v>
      </c>
      <c r="L2578">
        <v>2001</v>
      </c>
      <c r="M2578">
        <v>13599378661</v>
      </c>
      <c r="N2578">
        <v>20668868706</v>
      </c>
      <c r="O2578" t="b">
        <v>0</v>
      </c>
      <c r="P2578">
        <v>0</v>
      </c>
      <c r="Q2578" t="str" cm="1">
        <f t="array" ref="Q2578">_xlfn.IFS(Table1[[#This Row],[Wealthier_Winner]]=-1,"Wealthier Nation Loses",Table1[[#This Row],[Wealthier_Winner]]=0,"Tie",Table1[[#This Row],[Wealthier_Winner]]=1,"Wealthier Nation Wins")</f>
        <v>Tie</v>
      </c>
    </row>
    <row r="2579" spans="1:17" x14ac:dyDescent="0.2">
      <c r="A2579" s="1">
        <v>4198</v>
      </c>
      <c r="B2579" s="2">
        <v>37139</v>
      </c>
      <c r="C2579" s="7">
        <f>_xlfn.FLOOR.MATH(Table1[[#This Row],[year]],10)</f>
        <v>2000</v>
      </c>
      <c r="D2579" t="s">
        <v>64</v>
      </c>
      <c r="E2579" t="s">
        <v>519</v>
      </c>
      <c r="F2579">
        <v>3</v>
      </c>
      <c r="G2579">
        <v>0</v>
      </c>
      <c r="H2579" t="s">
        <v>224</v>
      </c>
      <c r="I2579" t="s">
        <v>632</v>
      </c>
      <c r="J2579" t="s">
        <v>64</v>
      </c>
      <c r="K2579" t="b">
        <v>0</v>
      </c>
      <c r="L2579">
        <v>2001</v>
      </c>
      <c r="M2579">
        <v>39309580983</v>
      </c>
      <c r="N2579">
        <v>2118467913</v>
      </c>
      <c r="O2579" t="b">
        <v>1</v>
      </c>
      <c r="P2579">
        <v>1</v>
      </c>
      <c r="Q2579" t="str" cm="1">
        <f t="array" ref="Q2579">_xlfn.IFS(Table1[[#This Row],[Wealthier_Winner]]=-1,"Wealthier Nation Loses",Table1[[#This Row],[Wealthier_Winner]]=0,"Tie",Table1[[#This Row],[Wealthier_Winner]]=1,"Wealthier Nation Wins")</f>
        <v>Wealthier Nation Wins</v>
      </c>
    </row>
    <row r="2580" spans="1:17" x14ac:dyDescent="0.2">
      <c r="A2580" s="1">
        <v>4199</v>
      </c>
      <c r="B2580" s="2">
        <v>37140</v>
      </c>
      <c r="C2580" s="7">
        <f>_xlfn.FLOOR.MATH(Table1[[#This Row],[year]],10)</f>
        <v>2000</v>
      </c>
      <c r="D2580" t="s">
        <v>361</v>
      </c>
      <c r="E2580" t="s">
        <v>334</v>
      </c>
      <c r="F2580">
        <v>1</v>
      </c>
      <c r="G2580">
        <v>1</v>
      </c>
      <c r="H2580" t="s">
        <v>224</v>
      </c>
      <c r="I2580" t="s">
        <v>419</v>
      </c>
      <c r="J2580" t="s">
        <v>361</v>
      </c>
      <c r="K2580" t="b">
        <v>0</v>
      </c>
      <c r="L2580">
        <v>2001</v>
      </c>
      <c r="M2580">
        <v>8976196808</v>
      </c>
      <c r="N2580">
        <v>120296476180</v>
      </c>
      <c r="O2580" t="b">
        <v>1</v>
      </c>
      <c r="P2580">
        <v>0</v>
      </c>
      <c r="Q2580" t="str" cm="1">
        <f t="array" ref="Q2580">_xlfn.IFS(Table1[[#This Row],[Wealthier_Winner]]=-1,"Wealthier Nation Loses",Table1[[#This Row],[Wealthier_Winner]]=0,"Tie",Table1[[#This Row],[Wealthier_Winner]]=1,"Wealthier Nation Wins")</f>
        <v>Tie</v>
      </c>
    </row>
    <row r="2581" spans="1:17" x14ac:dyDescent="0.2">
      <c r="A2581" s="1">
        <v>4200</v>
      </c>
      <c r="B2581" s="2">
        <v>37141</v>
      </c>
      <c r="C2581" s="7">
        <f>_xlfn.FLOOR.MATH(Table1[[#This Row],[year]],10)</f>
        <v>2000</v>
      </c>
      <c r="D2581" t="s">
        <v>37</v>
      </c>
      <c r="E2581" t="s">
        <v>210</v>
      </c>
      <c r="F2581">
        <v>1</v>
      </c>
      <c r="G2581">
        <v>2</v>
      </c>
      <c r="H2581" t="s">
        <v>224</v>
      </c>
      <c r="I2581" t="s">
        <v>437</v>
      </c>
      <c r="J2581" t="s">
        <v>37</v>
      </c>
      <c r="K2581" t="b">
        <v>0</v>
      </c>
      <c r="L2581">
        <v>2001</v>
      </c>
      <c r="M2581">
        <v>36176430128</v>
      </c>
      <c r="N2581">
        <v>126878750295</v>
      </c>
      <c r="O2581" t="b">
        <v>1</v>
      </c>
      <c r="P2581">
        <v>1</v>
      </c>
      <c r="Q2581" t="str" cm="1">
        <f t="array" ref="Q2581">_xlfn.IFS(Table1[[#This Row],[Wealthier_Winner]]=-1,"Wealthier Nation Loses",Table1[[#This Row],[Wealthier_Winner]]=0,"Tie",Table1[[#This Row],[Wealthier_Winner]]=1,"Wealthier Nation Wins")</f>
        <v>Wealthier Nation Wins</v>
      </c>
    </row>
    <row r="2582" spans="1:17" x14ac:dyDescent="0.2">
      <c r="A2582" s="1">
        <v>4202</v>
      </c>
      <c r="B2582" s="2">
        <v>37142</v>
      </c>
      <c r="C2582" s="7">
        <f>_xlfn.FLOOR.MATH(Table1[[#This Row],[year]],10)</f>
        <v>2000</v>
      </c>
      <c r="D2582" t="s">
        <v>563</v>
      </c>
      <c r="E2582" t="s">
        <v>429</v>
      </c>
      <c r="F2582">
        <v>5</v>
      </c>
      <c r="G2582">
        <v>0</v>
      </c>
      <c r="H2582" t="s">
        <v>224</v>
      </c>
      <c r="I2582" t="s">
        <v>564</v>
      </c>
      <c r="J2582" t="s">
        <v>563</v>
      </c>
      <c r="K2582" t="b">
        <v>0</v>
      </c>
      <c r="L2582">
        <v>2001</v>
      </c>
      <c r="M2582">
        <v>11401421329</v>
      </c>
      <c r="N2582">
        <v>22205721716</v>
      </c>
      <c r="O2582" t="b">
        <v>0</v>
      </c>
      <c r="P2582">
        <v>-1</v>
      </c>
      <c r="Q2582" t="str" cm="1">
        <f t="array" ref="Q2582">_xlfn.IFS(Table1[[#This Row],[Wealthier_Winner]]=-1,"Wealthier Nation Loses",Table1[[#This Row],[Wealthier_Winner]]=0,"Tie",Table1[[#This Row],[Wealthier_Winner]]=1,"Wealthier Nation Wins")</f>
        <v>Wealthier Nation Loses</v>
      </c>
    </row>
    <row r="2583" spans="1:17" x14ac:dyDescent="0.2">
      <c r="A2583" s="1">
        <v>4203</v>
      </c>
      <c r="B2583" s="2">
        <v>37148</v>
      </c>
      <c r="C2583" s="7">
        <f>_xlfn.FLOOR.MATH(Table1[[#This Row],[year]],10)</f>
        <v>2000</v>
      </c>
      <c r="D2583" t="s">
        <v>210</v>
      </c>
      <c r="E2583" t="s">
        <v>361</v>
      </c>
      <c r="F2583">
        <v>0</v>
      </c>
      <c r="G2583">
        <v>0</v>
      </c>
      <c r="H2583" t="s">
        <v>224</v>
      </c>
      <c r="I2583" t="s">
        <v>332</v>
      </c>
      <c r="J2583" t="s">
        <v>210</v>
      </c>
      <c r="K2583" t="b">
        <v>0</v>
      </c>
      <c r="L2583">
        <v>2001</v>
      </c>
      <c r="M2583">
        <v>126878750295</v>
      </c>
      <c r="N2583">
        <v>8976196808</v>
      </c>
      <c r="O2583" t="b">
        <v>1</v>
      </c>
      <c r="P2583">
        <v>0</v>
      </c>
      <c r="Q2583" t="str" cm="1">
        <f t="array" ref="Q2583">_xlfn.IFS(Table1[[#This Row],[Wealthier_Winner]]=-1,"Wealthier Nation Loses",Table1[[#This Row],[Wealthier_Winner]]=0,"Tie",Table1[[#This Row],[Wealthier_Winner]]=1,"Wealthier Nation Wins")</f>
        <v>Tie</v>
      </c>
    </row>
    <row r="2584" spans="1:17" x14ac:dyDescent="0.2">
      <c r="A2584" s="1">
        <v>4204</v>
      </c>
      <c r="B2584" s="2">
        <v>37148</v>
      </c>
      <c r="C2584" s="7">
        <f>_xlfn.FLOOR.MATH(Table1[[#This Row],[year]],10)</f>
        <v>2000</v>
      </c>
      <c r="D2584" t="s">
        <v>429</v>
      </c>
      <c r="E2584" t="s">
        <v>39</v>
      </c>
      <c r="F2584">
        <v>1</v>
      </c>
      <c r="G2584">
        <v>1</v>
      </c>
      <c r="H2584" t="s">
        <v>224</v>
      </c>
      <c r="I2584" t="s">
        <v>430</v>
      </c>
      <c r="J2584" t="s">
        <v>429</v>
      </c>
      <c r="K2584" t="b">
        <v>0</v>
      </c>
      <c r="L2584">
        <v>2001</v>
      </c>
      <c r="M2584">
        <v>22205721716</v>
      </c>
      <c r="N2584">
        <v>103311640571</v>
      </c>
      <c r="O2584" t="b">
        <v>1</v>
      </c>
      <c r="P2584">
        <v>0</v>
      </c>
      <c r="Q2584" t="str" cm="1">
        <f t="array" ref="Q2584">_xlfn.IFS(Table1[[#This Row],[Wealthier_Winner]]=-1,"Wealthier Nation Loses",Table1[[#This Row],[Wealthier_Winner]]=0,"Tie",Table1[[#This Row],[Wealthier_Winner]]=1,"Wealthier Nation Wins")</f>
        <v>Tie</v>
      </c>
    </row>
    <row r="2585" spans="1:17" x14ac:dyDescent="0.2">
      <c r="A2585" s="1">
        <v>4206</v>
      </c>
      <c r="B2585" s="2">
        <v>37149</v>
      </c>
      <c r="C2585" s="7">
        <f>_xlfn.FLOOR.MATH(Table1[[#This Row],[year]],10)</f>
        <v>2000</v>
      </c>
      <c r="D2585" t="s">
        <v>334</v>
      </c>
      <c r="E2585" t="s">
        <v>45</v>
      </c>
      <c r="F2585">
        <v>1</v>
      </c>
      <c r="G2585">
        <v>3</v>
      </c>
      <c r="H2585" t="s">
        <v>224</v>
      </c>
      <c r="I2585" t="s">
        <v>407</v>
      </c>
      <c r="J2585" t="s">
        <v>334</v>
      </c>
      <c r="K2585" t="b">
        <v>0</v>
      </c>
      <c r="L2585">
        <v>2001</v>
      </c>
      <c r="M2585">
        <v>120296476180</v>
      </c>
      <c r="N2585">
        <v>184137600000</v>
      </c>
      <c r="O2585" t="b">
        <v>0</v>
      </c>
      <c r="P2585">
        <v>1</v>
      </c>
      <c r="Q2585" t="str" cm="1">
        <f t="array" ref="Q2585">_xlfn.IFS(Table1[[#This Row],[Wealthier_Winner]]=-1,"Wealthier Nation Loses",Table1[[#This Row],[Wealthier_Winner]]=0,"Tie",Table1[[#This Row],[Wealthier_Winner]]=1,"Wealthier Nation Wins")</f>
        <v>Wealthier Nation Wins</v>
      </c>
    </row>
    <row r="2586" spans="1:17" x14ac:dyDescent="0.2">
      <c r="A2586" s="1">
        <v>4207</v>
      </c>
      <c r="B2586" s="2">
        <v>37155</v>
      </c>
      <c r="C2586" s="7">
        <f>_xlfn.FLOOR.MATH(Table1[[#This Row],[year]],10)</f>
        <v>2000</v>
      </c>
      <c r="D2586" t="s">
        <v>361</v>
      </c>
      <c r="E2586" t="s">
        <v>45</v>
      </c>
      <c r="F2586">
        <v>0</v>
      </c>
      <c r="G2586">
        <v>4</v>
      </c>
      <c r="H2586" t="s">
        <v>224</v>
      </c>
      <c r="I2586" t="s">
        <v>419</v>
      </c>
      <c r="J2586" t="s">
        <v>361</v>
      </c>
      <c r="K2586" t="b">
        <v>0</v>
      </c>
      <c r="L2586">
        <v>2001</v>
      </c>
      <c r="M2586">
        <v>8976196808</v>
      </c>
      <c r="N2586">
        <v>184137600000</v>
      </c>
      <c r="O2586" t="b">
        <v>1</v>
      </c>
      <c r="P2586">
        <v>1</v>
      </c>
      <c r="Q2586" t="str" cm="1">
        <f t="array" ref="Q2586">_xlfn.IFS(Table1[[#This Row],[Wealthier_Winner]]=-1,"Wealthier Nation Loses",Table1[[#This Row],[Wealthier_Winner]]=0,"Tie",Table1[[#This Row],[Wealthier_Winner]]=1,"Wealthier Nation Wins")</f>
        <v>Wealthier Nation Wins</v>
      </c>
    </row>
    <row r="2587" spans="1:17" x14ac:dyDescent="0.2">
      <c r="A2587" s="1">
        <v>4208</v>
      </c>
      <c r="B2587" s="2">
        <v>37155</v>
      </c>
      <c r="C2587" s="7">
        <f>_xlfn.FLOOR.MATH(Table1[[#This Row],[year]],10)</f>
        <v>2000</v>
      </c>
      <c r="D2587" t="s">
        <v>429</v>
      </c>
      <c r="E2587" t="s">
        <v>68</v>
      </c>
      <c r="F2587">
        <v>0</v>
      </c>
      <c r="G2587">
        <v>3</v>
      </c>
      <c r="H2587" t="s">
        <v>224</v>
      </c>
      <c r="I2587" t="s">
        <v>430</v>
      </c>
      <c r="J2587" t="s">
        <v>429</v>
      </c>
      <c r="K2587" t="b">
        <v>0</v>
      </c>
      <c r="L2587">
        <v>2001</v>
      </c>
      <c r="M2587">
        <v>22205721716</v>
      </c>
      <c r="N2587">
        <v>17538461538</v>
      </c>
      <c r="O2587" t="b">
        <v>0</v>
      </c>
      <c r="P2587">
        <v>-1</v>
      </c>
      <c r="Q2587" t="str" cm="1">
        <f t="array" ref="Q2587">_xlfn.IFS(Table1[[#This Row],[Wealthier_Winner]]=-1,"Wealthier Nation Loses",Table1[[#This Row],[Wealthier_Winner]]=0,"Tie",Table1[[#This Row],[Wealthier_Winner]]=1,"Wealthier Nation Wins")</f>
        <v>Wealthier Nation Loses</v>
      </c>
    </row>
    <row r="2588" spans="1:17" x14ac:dyDescent="0.2">
      <c r="A2588" s="1">
        <v>4209</v>
      </c>
      <c r="B2588" s="2">
        <v>37156</v>
      </c>
      <c r="C2588" s="7">
        <f>_xlfn.FLOOR.MATH(Table1[[#This Row],[year]],10)</f>
        <v>2000</v>
      </c>
      <c r="D2588" t="s">
        <v>334</v>
      </c>
      <c r="E2588" t="s">
        <v>37</v>
      </c>
      <c r="F2588">
        <v>1</v>
      </c>
      <c r="G2588">
        <v>1</v>
      </c>
      <c r="H2588" t="s">
        <v>224</v>
      </c>
      <c r="I2588" t="s">
        <v>407</v>
      </c>
      <c r="J2588" t="s">
        <v>334</v>
      </c>
      <c r="K2588" t="b">
        <v>0</v>
      </c>
      <c r="L2588">
        <v>2001</v>
      </c>
      <c r="M2588">
        <v>120296476180</v>
      </c>
      <c r="N2588">
        <v>36176430128</v>
      </c>
      <c r="O2588" t="b">
        <v>1</v>
      </c>
      <c r="P2588">
        <v>0</v>
      </c>
      <c r="Q2588" t="str" cm="1">
        <f t="array" ref="Q2588">_xlfn.IFS(Table1[[#This Row],[Wealthier_Winner]]=-1,"Wealthier Nation Loses",Table1[[#This Row],[Wealthier_Winner]]=0,"Tie",Table1[[#This Row],[Wealthier_Winner]]=1,"Wealthier Nation Wins")</f>
        <v>Tie</v>
      </c>
    </row>
    <row r="2589" spans="1:17" x14ac:dyDescent="0.2">
      <c r="A2589" s="1">
        <v>4210</v>
      </c>
      <c r="B2589" s="2">
        <v>37156</v>
      </c>
      <c r="C2589" s="7">
        <f>_xlfn.FLOOR.MATH(Table1[[#This Row],[year]],10)</f>
        <v>2000</v>
      </c>
      <c r="D2589" t="s">
        <v>563</v>
      </c>
      <c r="E2589" t="s">
        <v>39</v>
      </c>
      <c r="F2589">
        <v>0</v>
      </c>
      <c r="G2589">
        <v>1</v>
      </c>
      <c r="H2589" t="s">
        <v>224</v>
      </c>
      <c r="I2589" t="s">
        <v>564</v>
      </c>
      <c r="J2589" t="s">
        <v>563</v>
      </c>
      <c r="K2589" t="b">
        <v>0</v>
      </c>
      <c r="L2589">
        <v>2001</v>
      </c>
      <c r="M2589">
        <v>11401421329</v>
      </c>
      <c r="N2589">
        <v>103311640571</v>
      </c>
      <c r="O2589" t="b">
        <v>1</v>
      </c>
      <c r="P2589">
        <v>1</v>
      </c>
      <c r="Q2589" t="str" cm="1">
        <f t="array" ref="Q2589">_xlfn.IFS(Table1[[#This Row],[Wealthier_Winner]]=-1,"Wealthier Nation Loses",Table1[[#This Row],[Wealthier_Winner]]=0,"Tie",Table1[[#This Row],[Wealthier_Winner]]=1,"Wealthier Nation Wins")</f>
        <v>Wealthier Nation Wins</v>
      </c>
    </row>
    <row r="2590" spans="1:17" x14ac:dyDescent="0.2">
      <c r="A2590" s="1">
        <v>4212</v>
      </c>
      <c r="B2590" s="2">
        <v>37162</v>
      </c>
      <c r="C2590" s="7">
        <f>_xlfn.FLOOR.MATH(Table1[[#This Row],[year]],10)</f>
        <v>2000</v>
      </c>
      <c r="D2590" t="s">
        <v>37</v>
      </c>
      <c r="E2590" t="s">
        <v>361</v>
      </c>
      <c r="F2590">
        <v>1</v>
      </c>
      <c r="G2590">
        <v>0</v>
      </c>
      <c r="H2590" t="s">
        <v>224</v>
      </c>
      <c r="I2590" t="s">
        <v>437</v>
      </c>
      <c r="J2590" t="s">
        <v>37</v>
      </c>
      <c r="K2590" t="b">
        <v>0</v>
      </c>
      <c r="L2590">
        <v>2001</v>
      </c>
      <c r="M2590">
        <v>36176430128</v>
      </c>
      <c r="N2590">
        <v>8976196808</v>
      </c>
      <c r="O2590" t="b">
        <v>1</v>
      </c>
      <c r="P2590">
        <v>1</v>
      </c>
      <c r="Q2590" t="str" cm="1">
        <f t="array" ref="Q2590">_xlfn.IFS(Table1[[#This Row],[Wealthier_Winner]]=-1,"Wealthier Nation Loses",Table1[[#This Row],[Wealthier_Winner]]=0,"Tie",Table1[[#This Row],[Wealthier_Winner]]=1,"Wealthier Nation Wins")</f>
        <v>Wealthier Nation Wins</v>
      </c>
    </row>
    <row r="2591" spans="1:17" x14ac:dyDescent="0.2">
      <c r="A2591" s="1">
        <v>4213</v>
      </c>
      <c r="B2591" s="2">
        <v>37162</v>
      </c>
      <c r="C2591" s="7">
        <f>_xlfn.FLOOR.MATH(Table1[[#This Row],[year]],10)</f>
        <v>2000</v>
      </c>
      <c r="D2591" t="s">
        <v>68</v>
      </c>
      <c r="E2591" t="s">
        <v>563</v>
      </c>
      <c r="F2591">
        <v>2</v>
      </c>
      <c r="G2591">
        <v>2</v>
      </c>
      <c r="H2591" t="s">
        <v>224</v>
      </c>
      <c r="I2591" t="s">
        <v>190</v>
      </c>
      <c r="J2591" t="s">
        <v>68</v>
      </c>
      <c r="K2591" t="b">
        <v>0</v>
      </c>
      <c r="L2591">
        <v>2001</v>
      </c>
      <c r="M2591">
        <v>17538461538</v>
      </c>
      <c r="N2591">
        <v>11401421329</v>
      </c>
      <c r="O2591" t="b">
        <v>0</v>
      </c>
      <c r="P2591">
        <v>0</v>
      </c>
      <c r="Q2591" t="str" cm="1">
        <f t="array" ref="Q2591">_xlfn.IFS(Table1[[#This Row],[Wealthier_Winner]]=-1,"Wealthier Nation Loses",Table1[[#This Row],[Wealthier_Winner]]=0,"Tie",Table1[[#This Row],[Wealthier_Winner]]=1,"Wealthier Nation Wins")</f>
        <v>Tie</v>
      </c>
    </row>
    <row r="2592" spans="1:17" x14ac:dyDescent="0.2">
      <c r="A2592" s="1">
        <v>4214</v>
      </c>
      <c r="B2592" s="2">
        <v>37162</v>
      </c>
      <c r="C2592" s="7">
        <f>_xlfn.FLOOR.MATH(Table1[[#This Row],[year]],10)</f>
        <v>2000</v>
      </c>
      <c r="D2592" t="s">
        <v>45</v>
      </c>
      <c r="E2592" t="s">
        <v>210</v>
      </c>
      <c r="F2592">
        <v>2</v>
      </c>
      <c r="G2592">
        <v>2</v>
      </c>
      <c r="H2592" t="s">
        <v>224</v>
      </c>
      <c r="I2592" t="s">
        <v>354</v>
      </c>
      <c r="J2592" t="s">
        <v>45</v>
      </c>
      <c r="K2592" t="b">
        <v>0</v>
      </c>
      <c r="L2592">
        <v>2001</v>
      </c>
      <c r="M2592">
        <v>184137600000</v>
      </c>
      <c r="N2592">
        <v>126878750295</v>
      </c>
      <c r="O2592" t="b">
        <v>0</v>
      </c>
      <c r="P2592">
        <v>0</v>
      </c>
      <c r="Q2592" t="str" cm="1">
        <f t="array" ref="Q2592">_xlfn.IFS(Table1[[#This Row],[Wealthier_Winner]]=-1,"Wealthier Nation Loses",Table1[[#This Row],[Wealthier_Winner]]=0,"Tie",Table1[[#This Row],[Wealthier_Winner]]=1,"Wealthier Nation Wins")</f>
        <v>Tie</v>
      </c>
    </row>
    <row r="2593" spans="1:17" x14ac:dyDescent="0.2">
      <c r="A2593" s="1">
        <v>4215</v>
      </c>
      <c r="B2593" s="2">
        <v>37168</v>
      </c>
      <c r="C2593" s="7">
        <f>_xlfn.FLOOR.MATH(Table1[[#This Row],[year]],10)</f>
        <v>2000</v>
      </c>
      <c r="D2593" t="s">
        <v>68</v>
      </c>
      <c r="E2593" t="s">
        <v>39</v>
      </c>
      <c r="F2593">
        <v>1</v>
      </c>
      <c r="G2593">
        <v>2</v>
      </c>
      <c r="H2593" t="s">
        <v>224</v>
      </c>
      <c r="I2593" t="s">
        <v>190</v>
      </c>
      <c r="J2593" t="s">
        <v>68</v>
      </c>
      <c r="K2593" t="b">
        <v>0</v>
      </c>
      <c r="L2593">
        <v>2001</v>
      </c>
      <c r="M2593">
        <v>17538461538</v>
      </c>
      <c r="N2593">
        <v>103311640571</v>
      </c>
      <c r="O2593" t="b">
        <v>1</v>
      </c>
      <c r="P2593">
        <v>1</v>
      </c>
      <c r="Q2593" t="str" cm="1">
        <f t="array" ref="Q2593">_xlfn.IFS(Table1[[#This Row],[Wealthier_Winner]]=-1,"Wealthier Nation Loses",Table1[[#This Row],[Wealthier_Winner]]=0,"Tie",Table1[[#This Row],[Wealthier_Winner]]=1,"Wealthier Nation Wins")</f>
        <v>Wealthier Nation Wins</v>
      </c>
    </row>
    <row r="2594" spans="1:17" x14ac:dyDescent="0.2">
      <c r="A2594" s="1">
        <v>4216</v>
      </c>
      <c r="B2594" s="2">
        <v>37169</v>
      </c>
      <c r="C2594" s="7">
        <f>_xlfn.FLOOR.MATH(Table1[[#This Row],[year]],10)</f>
        <v>2000</v>
      </c>
      <c r="D2594" t="s">
        <v>210</v>
      </c>
      <c r="E2594" t="s">
        <v>334</v>
      </c>
      <c r="F2594">
        <v>1</v>
      </c>
      <c r="G2594">
        <v>0</v>
      </c>
      <c r="H2594" t="s">
        <v>224</v>
      </c>
      <c r="I2594" t="s">
        <v>332</v>
      </c>
      <c r="J2594" t="s">
        <v>210</v>
      </c>
      <c r="K2594" t="b">
        <v>0</v>
      </c>
      <c r="L2594">
        <v>2001</v>
      </c>
      <c r="M2594">
        <v>126878750295</v>
      </c>
      <c r="N2594">
        <v>120296476180</v>
      </c>
      <c r="O2594" t="b">
        <v>0</v>
      </c>
      <c r="P2594">
        <v>1</v>
      </c>
      <c r="Q2594" t="str" cm="1">
        <f t="array" ref="Q2594">_xlfn.IFS(Table1[[#This Row],[Wealthier_Winner]]=-1,"Wealthier Nation Loses",Table1[[#This Row],[Wealthier_Winner]]=0,"Tie",Table1[[#This Row],[Wealthier_Winner]]=1,"Wealthier Nation Wins")</f>
        <v>Wealthier Nation Wins</v>
      </c>
    </row>
    <row r="2595" spans="1:17" x14ac:dyDescent="0.2">
      <c r="A2595" s="1">
        <v>4217</v>
      </c>
      <c r="B2595" s="2">
        <v>37169</v>
      </c>
      <c r="C2595" s="7">
        <f>_xlfn.FLOOR.MATH(Table1[[#This Row],[year]],10)</f>
        <v>2000</v>
      </c>
      <c r="D2595" t="s">
        <v>37</v>
      </c>
      <c r="E2595" t="s">
        <v>45</v>
      </c>
      <c r="F2595">
        <v>1</v>
      </c>
      <c r="G2595">
        <v>2</v>
      </c>
      <c r="H2595" t="s">
        <v>224</v>
      </c>
      <c r="I2595" t="s">
        <v>404</v>
      </c>
      <c r="J2595" t="s">
        <v>403</v>
      </c>
      <c r="K2595" t="b">
        <v>1</v>
      </c>
      <c r="L2595">
        <v>2001</v>
      </c>
      <c r="M2595">
        <v>36176430128</v>
      </c>
      <c r="N2595">
        <v>184137600000</v>
      </c>
      <c r="O2595" t="b">
        <v>1</v>
      </c>
      <c r="P2595">
        <v>1</v>
      </c>
      <c r="Q2595" t="str" cm="1">
        <f t="array" ref="Q2595">_xlfn.IFS(Table1[[#This Row],[Wealthier_Winner]]=-1,"Wealthier Nation Loses",Table1[[#This Row],[Wealthier_Winner]]=0,"Tie",Table1[[#This Row],[Wealthier_Winner]]=1,"Wealthier Nation Wins")</f>
        <v>Wealthier Nation Wins</v>
      </c>
    </row>
    <row r="2596" spans="1:17" x14ac:dyDescent="0.2">
      <c r="A2596" s="1">
        <v>4218</v>
      </c>
      <c r="B2596" s="2">
        <v>37170</v>
      </c>
      <c r="C2596" s="7">
        <f>_xlfn.FLOOR.MATH(Table1[[#This Row],[year]],10)</f>
        <v>2000</v>
      </c>
      <c r="D2596" t="s">
        <v>519</v>
      </c>
      <c r="E2596" t="s">
        <v>42</v>
      </c>
      <c r="F2596">
        <v>1</v>
      </c>
      <c r="G2596">
        <v>4</v>
      </c>
      <c r="H2596" t="s">
        <v>224</v>
      </c>
      <c r="I2596" t="s">
        <v>520</v>
      </c>
      <c r="J2596" t="s">
        <v>519</v>
      </c>
      <c r="K2596" t="b">
        <v>0</v>
      </c>
      <c r="L2596">
        <v>2001</v>
      </c>
      <c r="M2596">
        <v>2118467913</v>
      </c>
      <c r="N2596">
        <v>174239354070</v>
      </c>
      <c r="O2596" t="b">
        <v>1</v>
      </c>
      <c r="P2596">
        <v>1</v>
      </c>
      <c r="Q2596" t="str" cm="1">
        <f t="array" ref="Q2596">_xlfn.IFS(Table1[[#This Row],[Wealthier_Winner]]=-1,"Wealthier Nation Loses",Table1[[#This Row],[Wealthier_Winner]]=0,"Tie",Table1[[#This Row],[Wealthier_Winner]]=1,"Wealthier Nation Wins")</f>
        <v>Wealthier Nation Wins</v>
      </c>
    </row>
    <row r="2597" spans="1:17" x14ac:dyDescent="0.2">
      <c r="A2597" s="1">
        <v>4219</v>
      </c>
      <c r="B2597" s="2">
        <v>37170</v>
      </c>
      <c r="C2597" s="7">
        <f>_xlfn.FLOOR.MATH(Table1[[#This Row],[year]],10)</f>
        <v>2000</v>
      </c>
      <c r="D2597" t="s">
        <v>47</v>
      </c>
      <c r="E2597" t="s">
        <v>57</v>
      </c>
      <c r="F2597">
        <v>1</v>
      </c>
      <c r="G2597">
        <v>5</v>
      </c>
      <c r="H2597" t="s">
        <v>224</v>
      </c>
      <c r="I2597" t="s">
        <v>246</v>
      </c>
      <c r="J2597" t="s">
        <v>47</v>
      </c>
      <c r="K2597" t="b">
        <v>0</v>
      </c>
      <c r="L2597">
        <v>2001</v>
      </c>
      <c r="M2597">
        <v>8141516928</v>
      </c>
      <c r="N2597">
        <v>23127055000</v>
      </c>
      <c r="O2597" t="b">
        <v>1</v>
      </c>
      <c r="P2597">
        <v>1</v>
      </c>
      <c r="Q2597" t="str" cm="1">
        <f t="array" ref="Q2597">_xlfn.IFS(Table1[[#This Row],[Wealthier_Winner]]=-1,"Wealthier Nation Loses",Table1[[#This Row],[Wealthier_Winner]]=0,"Tie",Table1[[#This Row],[Wealthier_Winner]]=1,"Wealthier Nation Wins")</f>
        <v>Wealthier Nation Wins</v>
      </c>
    </row>
    <row r="2598" spans="1:17" x14ac:dyDescent="0.2">
      <c r="A2598" s="1">
        <v>4220</v>
      </c>
      <c r="B2598" s="2">
        <v>37170</v>
      </c>
      <c r="C2598" s="7">
        <f>_xlfn.FLOOR.MATH(Table1[[#This Row],[year]],10)</f>
        <v>2000</v>
      </c>
      <c r="D2598" t="s">
        <v>52</v>
      </c>
      <c r="E2598" t="s">
        <v>23</v>
      </c>
      <c r="F2598">
        <v>1</v>
      </c>
      <c r="G2598">
        <v>0</v>
      </c>
      <c r="H2598" t="s">
        <v>224</v>
      </c>
      <c r="I2598" t="s">
        <v>538</v>
      </c>
      <c r="J2598" t="s">
        <v>52</v>
      </c>
      <c r="K2598" t="b">
        <v>0</v>
      </c>
      <c r="L2598">
        <v>2001</v>
      </c>
      <c r="M2598">
        <v>23066883849</v>
      </c>
      <c r="N2598">
        <v>236746141604</v>
      </c>
      <c r="O2598" t="b">
        <v>1</v>
      </c>
      <c r="P2598">
        <v>-1</v>
      </c>
      <c r="Q2598" t="str" cm="1">
        <f t="array" ref="Q2598">_xlfn.IFS(Table1[[#This Row],[Wealthier_Winner]]=-1,"Wealthier Nation Loses",Table1[[#This Row],[Wealthier_Winner]]=0,"Tie",Table1[[#This Row],[Wealthier_Winner]]=1,"Wealthier Nation Wins")</f>
        <v>Wealthier Nation Loses</v>
      </c>
    </row>
    <row r="2599" spans="1:17" x14ac:dyDescent="0.2">
      <c r="A2599" s="1">
        <v>4222</v>
      </c>
      <c r="B2599" s="2">
        <v>37170</v>
      </c>
      <c r="C2599" s="7">
        <f>_xlfn.FLOOR.MATH(Table1[[#This Row],[year]],10)</f>
        <v>2000</v>
      </c>
      <c r="D2599" t="s">
        <v>36</v>
      </c>
      <c r="E2599" t="s">
        <v>66</v>
      </c>
      <c r="F2599">
        <v>6</v>
      </c>
      <c r="G2599">
        <v>0</v>
      </c>
      <c r="H2599" t="s">
        <v>224</v>
      </c>
      <c r="I2599" t="s">
        <v>264</v>
      </c>
      <c r="J2599" t="s">
        <v>36</v>
      </c>
      <c r="K2599" t="b">
        <v>0</v>
      </c>
      <c r="L2599">
        <v>2001</v>
      </c>
      <c r="M2599">
        <v>164881594415</v>
      </c>
      <c r="N2599">
        <v>8323401820</v>
      </c>
      <c r="O2599" t="b">
        <v>1</v>
      </c>
      <c r="P2599">
        <v>1</v>
      </c>
      <c r="Q2599" t="str" cm="1">
        <f t="array" ref="Q2599">_xlfn.IFS(Table1[[#This Row],[Wealthier_Winner]]=-1,"Wealthier Nation Loses",Table1[[#This Row],[Wealthier_Winner]]=0,"Tie",Table1[[#This Row],[Wealthier_Winner]]=1,"Wealthier Nation Wins")</f>
        <v>Wealthier Nation Wins</v>
      </c>
    </row>
    <row r="2600" spans="1:17" x14ac:dyDescent="0.2">
      <c r="A2600" s="1">
        <v>4223</v>
      </c>
      <c r="B2600" s="2">
        <v>37170</v>
      </c>
      <c r="C2600" s="7">
        <f>_xlfn.FLOOR.MATH(Table1[[#This Row],[year]],10)</f>
        <v>2000</v>
      </c>
      <c r="D2600" t="s">
        <v>194</v>
      </c>
      <c r="E2600" t="s">
        <v>48</v>
      </c>
      <c r="F2600">
        <v>2</v>
      </c>
      <c r="G2600">
        <v>2</v>
      </c>
      <c r="H2600" t="s">
        <v>224</v>
      </c>
      <c r="I2600" t="s">
        <v>633</v>
      </c>
      <c r="J2600" t="s">
        <v>194</v>
      </c>
      <c r="K2600" t="b">
        <v>0</v>
      </c>
      <c r="L2600">
        <v>2001</v>
      </c>
      <c r="M2600">
        <v>1656171009068</v>
      </c>
      <c r="N2600">
        <v>132050474720</v>
      </c>
      <c r="O2600" t="b">
        <v>1</v>
      </c>
      <c r="P2600">
        <v>0</v>
      </c>
      <c r="Q2600" t="str" cm="1">
        <f t="array" ref="Q2600">_xlfn.IFS(Table1[[#This Row],[Wealthier_Winner]]=-1,"Wealthier Nation Loses",Table1[[#This Row],[Wealthier_Winner]]=0,"Tie",Table1[[#This Row],[Wealthier_Winner]]=1,"Wealthier Nation Wins")</f>
        <v>Tie</v>
      </c>
    </row>
    <row r="2601" spans="1:17" x14ac:dyDescent="0.2">
      <c r="A2601" s="1">
        <v>4224</v>
      </c>
      <c r="B2601" s="2">
        <v>37170</v>
      </c>
      <c r="C2601" s="7">
        <f>_xlfn.FLOOR.MATH(Table1[[#This Row],[year]],10)</f>
        <v>2000</v>
      </c>
      <c r="D2601" t="s">
        <v>16</v>
      </c>
      <c r="E2601" t="s">
        <v>230</v>
      </c>
      <c r="F2601">
        <v>0</v>
      </c>
      <c r="G2601">
        <v>0</v>
      </c>
      <c r="H2601" t="s">
        <v>224</v>
      </c>
      <c r="I2601" t="s">
        <v>92</v>
      </c>
      <c r="J2601" t="s">
        <v>16</v>
      </c>
      <c r="K2601" t="b">
        <v>0</v>
      </c>
      <c r="L2601">
        <v>2001</v>
      </c>
      <c r="M2601">
        <v>1966381496641</v>
      </c>
      <c r="N2601">
        <v>129519672868</v>
      </c>
      <c r="O2601" t="b">
        <v>1</v>
      </c>
      <c r="P2601">
        <v>0</v>
      </c>
      <c r="Q2601" t="str" cm="1">
        <f t="array" ref="Q2601">_xlfn.IFS(Table1[[#This Row],[Wealthier_Winner]]=-1,"Wealthier Nation Loses",Table1[[#This Row],[Wealthier_Winner]]=0,"Tie",Table1[[#This Row],[Wealthier_Winner]]=1,"Wealthier Nation Wins")</f>
        <v>Tie</v>
      </c>
    </row>
    <row r="2602" spans="1:17" x14ac:dyDescent="0.2">
      <c r="A2602" s="1">
        <v>4226</v>
      </c>
      <c r="B2602" s="2">
        <v>37170</v>
      </c>
      <c r="C2602" s="7">
        <f>_xlfn.FLOOR.MATH(Table1[[#This Row],[year]],10)</f>
        <v>2000</v>
      </c>
      <c r="D2602" t="s">
        <v>18</v>
      </c>
      <c r="E2602" t="s">
        <v>30</v>
      </c>
      <c r="F2602">
        <v>1</v>
      </c>
      <c r="G2602">
        <v>0</v>
      </c>
      <c r="H2602" t="s">
        <v>224</v>
      </c>
      <c r="I2602" t="s">
        <v>634</v>
      </c>
      <c r="J2602" t="s">
        <v>18</v>
      </c>
      <c r="K2602" t="b">
        <v>0</v>
      </c>
      <c r="L2602">
        <v>2001</v>
      </c>
      <c r="M2602">
        <v>1172041488805</v>
      </c>
      <c r="N2602">
        <v>53800068065</v>
      </c>
      <c r="O2602" t="b">
        <v>1</v>
      </c>
      <c r="P2602">
        <v>1</v>
      </c>
      <c r="Q2602" t="str" cm="1">
        <f t="array" ref="Q2602">_xlfn.IFS(Table1[[#This Row],[Wealthier_Winner]]=-1,"Wealthier Nation Loses",Table1[[#This Row],[Wealthier_Winner]]=0,"Tie",Table1[[#This Row],[Wealthier_Winner]]=1,"Wealthier Nation Wins")</f>
        <v>Wealthier Nation Wins</v>
      </c>
    </row>
    <row r="2603" spans="1:17" x14ac:dyDescent="0.2">
      <c r="A2603" s="1">
        <v>4229</v>
      </c>
      <c r="B2603" s="2">
        <v>37170</v>
      </c>
      <c r="C2603" s="7">
        <f>_xlfn.FLOOR.MATH(Table1[[#This Row],[year]],10)</f>
        <v>2000</v>
      </c>
      <c r="D2603" t="s">
        <v>27</v>
      </c>
      <c r="E2603" t="s">
        <v>601</v>
      </c>
      <c r="F2603">
        <v>4</v>
      </c>
      <c r="G2603">
        <v>0</v>
      </c>
      <c r="H2603" t="s">
        <v>224</v>
      </c>
      <c r="I2603" t="s">
        <v>635</v>
      </c>
      <c r="J2603" t="s">
        <v>27</v>
      </c>
      <c r="K2603" t="b">
        <v>0</v>
      </c>
      <c r="L2603">
        <v>2001</v>
      </c>
      <c r="M2603">
        <v>432536219668</v>
      </c>
      <c r="N2603">
        <v>1548265926</v>
      </c>
      <c r="O2603" t="b">
        <v>1</v>
      </c>
      <c r="P2603">
        <v>1</v>
      </c>
      <c r="Q2603" t="str" cm="1">
        <f t="array" ref="Q2603">_xlfn.IFS(Table1[[#This Row],[Wealthier_Winner]]=-1,"Wealthier Nation Loses",Table1[[#This Row],[Wealthier_Winner]]=0,"Tie",Table1[[#This Row],[Wealthier_Winner]]=1,"Wealthier Nation Wins")</f>
        <v>Wealthier Nation Wins</v>
      </c>
    </row>
    <row r="2604" spans="1:17" x14ac:dyDescent="0.2">
      <c r="A2604" s="1">
        <v>4230</v>
      </c>
      <c r="B2604" s="2">
        <v>37170</v>
      </c>
      <c r="C2604" s="7">
        <f>_xlfn.FLOOR.MATH(Table1[[#This Row],[year]],10)</f>
        <v>2000</v>
      </c>
      <c r="D2604" t="s">
        <v>58</v>
      </c>
      <c r="E2604" t="s">
        <v>64</v>
      </c>
      <c r="F2604">
        <v>1</v>
      </c>
      <c r="G2604">
        <v>1</v>
      </c>
      <c r="H2604" t="s">
        <v>224</v>
      </c>
      <c r="I2604" t="s">
        <v>484</v>
      </c>
      <c r="J2604" t="s">
        <v>58</v>
      </c>
      <c r="K2604" t="b">
        <v>0</v>
      </c>
      <c r="L2604">
        <v>2001</v>
      </c>
      <c r="M2604">
        <v>191823200371</v>
      </c>
      <c r="N2604">
        <v>39309580983</v>
      </c>
      <c r="O2604" t="b">
        <v>1</v>
      </c>
      <c r="P2604">
        <v>0</v>
      </c>
      <c r="Q2604" t="str" cm="1">
        <f t="array" ref="Q2604">_xlfn.IFS(Table1[[#This Row],[Wealthier_Winner]]=-1,"Wealthier Nation Loses",Table1[[#This Row],[Wealthier_Winner]]=0,"Tie",Table1[[#This Row],[Wealthier_Winner]]=1,"Wealthier Nation Wins")</f>
        <v>Tie</v>
      </c>
    </row>
    <row r="2605" spans="1:17" x14ac:dyDescent="0.2">
      <c r="A2605" s="1">
        <v>4231</v>
      </c>
      <c r="B2605" s="2">
        <v>37170</v>
      </c>
      <c r="C2605" s="7">
        <f>_xlfn.FLOOR.MATH(Table1[[#This Row],[year]],10)</f>
        <v>2000</v>
      </c>
      <c r="D2605" t="s">
        <v>38</v>
      </c>
      <c r="E2605" t="s">
        <v>476</v>
      </c>
      <c r="F2605">
        <v>5</v>
      </c>
      <c r="G2605">
        <v>0</v>
      </c>
      <c r="H2605" t="s">
        <v>224</v>
      </c>
      <c r="I2605" t="s">
        <v>291</v>
      </c>
      <c r="J2605" t="s">
        <v>38</v>
      </c>
      <c r="K2605" t="b">
        <v>0</v>
      </c>
      <c r="L2605">
        <v>2001</v>
      </c>
      <c r="M2605">
        <v>121604107164</v>
      </c>
      <c r="N2605">
        <v>6250218422</v>
      </c>
      <c r="O2605" t="b">
        <v>1</v>
      </c>
      <c r="P2605">
        <v>1</v>
      </c>
      <c r="Q2605" t="str" cm="1">
        <f t="array" ref="Q2605">_xlfn.IFS(Table1[[#This Row],[Wealthier_Winner]]=-1,"Wealthier Nation Loses",Table1[[#This Row],[Wealthier_Winner]]=0,"Tie",Table1[[#This Row],[Wealthier_Winner]]=1,"Wealthier Nation Wins")</f>
        <v>Wealthier Nation Wins</v>
      </c>
    </row>
    <row r="2606" spans="1:17" x14ac:dyDescent="0.2">
      <c r="A2606" s="1">
        <v>4232</v>
      </c>
      <c r="B2606" s="2">
        <v>37170</v>
      </c>
      <c r="C2606" s="7">
        <f>_xlfn.FLOOR.MATH(Table1[[#This Row],[year]],10)</f>
        <v>2000</v>
      </c>
      <c r="D2606" t="s">
        <v>44</v>
      </c>
      <c r="E2606" t="s">
        <v>534</v>
      </c>
      <c r="F2606">
        <v>1</v>
      </c>
      <c r="G2606">
        <v>1</v>
      </c>
      <c r="H2606" t="s">
        <v>224</v>
      </c>
      <c r="I2606" t="s">
        <v>425</v>
      </c>
      <c r="J2606" t="s">
        <v>44</v>
      </c>
      <c r="K2606" t="b">
        <v>0</v>
      </c>
      <c r="L2606">
        <v>2001</v>
      </c>
      <c r="M2606">
        <v>40395116581</v>
      </c>
      <c r="N2606">
        <v>3219462262</v>
      </c>
      <c r="O2606" t="b">
        <v>1</v>
      </c>
      <c r="P2606">
        <v>0</v>
      </c>
      <c r="Q2606" t="str" cm="1">
        <f t="array" ref="Q2606">_xlfn.IFS(Table1[[#This Row],[Wealthier_Winner]]=-1,"Wealthier Nation Loses",Table1[[#This Row],[Wealthier_Winner]]=0,"Tie",Table1[[#This Row],[Wealthier_Winner]]=1,"Wealthier Nation Wins")</f>
        <v>Tie</v>
      </c>
    </row>
    <row r="2607" spans="1:17" x14ac:dyDescent="0.2">
      <c r="A2607" s="1">
        <v>4233</v>
      </c>
      <c r="B2607" s="2">
        <v>37170</v>
      </c>
      <c r="C2607" s="7">
        <f>_xlfn.FLOOR.MATH(Table1[[#This Row],[year]],10)</f>
        <v>2000</v>
      </c>
      <c r="D2607" t="s">
        <v>196</v>
      </c>
      <c r="E2607" t="s">
        <v>46</v>
      </c>
      <c r="F2607">
        <v>4</v>
      </c>
      <c r="G2607">
        <v>0</v>
      </c>
      <c r="H2607" t="s">
        <v>224</v>
      </c>
      <c r="I2607" t="s">
        <v>180</v>
      </c>
      <c r="J2607" t="s">
        <v>196</v>
      </c>
      <c r="K2607" t="b">
        <v>0</v>
      </c>
      <c r="L2607">
        <v>2001</v>
      </c>
      <c r="M2607">
        <v>306602070620</v>
      </c>
      <c r="N2607">
        <v>286582672434</v>
      </c>
      <c r="O2607" t="b">
        <v>0</v>
      </c>
      <c r="P2607">
        <v>1</v>
      </c>
      <c r="Q2607" t="str" cm="1">
        <f t="array" ref="Q2607">_xlfn.IFS(Table1[[#This Row],[Wealthier_Winner]]=-1,"Wealthier Nation Loses",Table1[[#This Row],[Wealthier_Winner]]=0,"Tie",Table1[[#This Row],[Wealthier_Winner]]=1,"Wealthier Nation Wins")</f>
        <v>Wealthier Nation Wins</v>
      </c>
    </row>
    <row r="2608" spans="1:17" x14ac:dyDescent="0.2">
      <c r="A2608" s="1">
        <v>4235</v>
      </c>
      <c r="B2608" s="2">
        <v>37170</v>
      </c>
      <c r="C2608" s="7">
        <f>_xlfn.FLOOR.MATH(Table1[[#This Row],[year]],10)</f>
        <v>2000</v>
      </c>
      <c r="D2608" t="s">
        <v>61</v>
      </c>
      <c r="E2608" t="s">
        <v>232</v>
      </c>
      <c r="F2608">
        <v>6</v>
      </c>
      <c r="G2608">
        <v>2</v>
      </c>
      <c r="H2608" t="s">
        <v>224</v>
      </c>
      <c r="I2608" t="s">
        <v>505</v>
      </c>
      <c r="J2608" t="s">
        <v>506</v>
      </c>
      <c r="K2608" t="b">
        <v>0</v>
      </c>
      <c r="L2608">
        <v>2001</v>
      </c>
      <c r="M2608">
        <v>13599378661</v>
      </c>
      <c r="N2608">
        <v>21387533703</v>
      </c>
      <c r="O2608" t="b">
        <v>0</v>
      </c>
      <c r="P2608">
        <v>-1</v>
      </c>
      <c r="Q2608" t="str" cm="1">
        <f t="array" ref="Q2608">_xlfn.IFS(Table1[[#This Row],[Wealthier_Winner]]=-1,"Wealthier Nation Loses",Table1[[#This Row],[Wealthier_Winner]]=0,"Tie",Table1[[#This Row],[Wealthier_Winner]]=1,"Wealthier Nation Wins")</f>
        <v>Wealthier Nation Loses</v>
      </c>
    </row>
    <row r="2609" spans="1:17" x14ac:dyDescent="0.2">
      <c r="A2609" s="1">
        <v>4236</v>
      </c>
      <c r="B2609" s="2">
        <v>37170</v>
      </c>
      <c r="C2609" s="7">
        <f>_xlfn.FLOOR.MATH(Table1[[#This Row],[year]],10)</f>
        <v>2000</v>
      </c>
      <c r="D2609" t="s">
        <v>55</v>
      </c>
      <c r="E2609" t="s">
        <v>447</v>
      </c>
      <c r="F2609">
        <v>3</v>
      </c>
      <c r="G2609">
        <v>0</v>
      </c>
      <c r="H2609" t="s">
        <v>224</v>
      </c>
      <c r="I2609" t="s">
        <v>529</v>
      </c>
      <c r="J2609" t="s">
        <v>55</v>
      </c>
      <c r="K2609" t="b">
        <v>0</v>
      </c>
      <c r="L2609">
        <v>2001</v>
      </c>
      <c r="M2609">
        <v>20668868706</v>
      </c>
      <c r="N2609">
        <v>1160268212</v>
      </c>
      <c r="O2609" t="b">
        <v>1</v>
      </c>
      <c r="P2609">
        <v>1</v>
      </c>
      <c r="Q2609" t="str" cm="1">
        <f t="array" ref="Q2609">_xlfn.IFS(Table1[[#This Row],[Wealthier_Winner]]=-1,"Wealthier Nation Loses",Table1[[#This Row],[Wealthier_Winner]]=0,"Tie",Table1[[#This Row],[Wealthier_Winner]]=1,"Wealthier Nation Wins")</f>
        <v>Wealthier Nation Wins</v>
      </c>
    </row>
    <row r="2610" spans="1:17" x14ac:dyDescent="0.2">
      <c r="A2610" s="1">
        <v>4237</v>
      </c>
      <c r="B2610" s="2">
        <v>37170</v>
      </c>
      <c r="C2610" s="7">
        <f>_xlfn.FLOOR.MATH(Table1[[#This Row],[year]],10)</f>
        <v>2000</v>
      </c>
      <c r="D2610" t="s">
        <v>258</v>
      </c>
      <c r="E2610" t="s">
        <v>31</v>
      </c>
      <c r="F2610">
        <v>3</v>
      </c>
      <c r="G2610">
        <v>0</v>
      </c>
      <c r="H2610" t="s">
        <v>224</v>
      </c>
      <c r="I2610" t="s">
        <v>416</v>
      </c>
      <c r="J2610" t="s">
        <v>258</v>
      </c>
      <c r="K2610" t="b">
        <v>0</v>
      </c>
      <c r="L2610">
        <v>2001</v>
      </c>
      <c r="M2610">
        <v>122911036746</v>
      </c>
      <c r="N2610">
        <v>52030158775</v>
      </c>
      <c r="O2610" t="b">
        <v>1</v>
      </c>
      <c r="P2610">
        <v>1</v>
      </c>
      <c r="Q2610" t="str" cm="1">
        <f t="array" ref="Q2610">_xlfn.IFS(Table1[[#This Row],[Wealthier_Winner]]=-1,"Wealthier Nation Loses",Table1[[#This Row],[Wealthier_Winner]]=0,"Tie",Table1[[#This Row],[Wealthier_Winner]]=1,"Wealthier Nation Wins")</f>
        <v>Wealthier Nation Wins</v>
      </c>
    </row>
    <row r="2611" spans="1:17" x14ac:dyDescent="0.2">
      <c r="A2611" s="1">
        <v>4239</v>
      </c>
      <c r="B2611" s="2">
        <v>37171</v>
      </c>
      <c r="C2611" s="7">
        <f>_xlfn.FLOOR.MATH(Table1[[#This Row],[year]],10)</f>
        <v>2000</v>
      </c>
      <c r="D2611" t="s">
        <v>73</v>
      </c>
      <c r="E2611" t="s">
        <v>503</v>
      </c>
      <c r="F2611">
        <v>5</v>
      </c>
      <c r="G2611">
        <v>0</v>
      </c>
      <c r="H2611" t="s">
        <v>224</v>
      </c>
      <c r="I2611" t="s">
        <v>636</v>
      </c>
      <c r="J2611" t="s">
        <v>73</v>
      </c>
      <c r="K2611" t="b">
        <v>0</v>
      </c>
      <c r="L2611">
        <v>2001</v>
      </c>
      <c r="M2611">
        <v>5800615374</v>
      </c>
      <c r="N2611">
        <v>2491800558</v>
      </c>
      <c r="O2611" t="b">
        <v>1</v>
      </c>
      <c r="P2611">
        <v>1</v>
      </c>
      <c r="Q2611" t="str" cm="1">
        <f t="array" ref="Q2611">_xlfn.IFS(Table1[[#This Row],[Wealthier_Winner]]=-1,"Wealthier Nation Loses",Table1[[#This Row],[Wealthier_Winner]]=0,"Tie",Table1[[#This Row],[Wealthier_Winner]]=1,"Wealthier Nation Wins")</f>
        <v>Wealthier Nation Wins</v>
      </c>
    </row>
    <row r="2612" spans="1:17" x14ac:dyDescent="0.2">
      <c r="A2612" s="1">
        <v>4240</v>
      </c>
      <c r="B2612" s="2">
        <v>37171</v>
      </c>
      <c r="C2612" s="7">
        <f>_xlfn.FLOOR.MATH(Table1[[#This Row],[year]],10)</f>
        <v>2000</v>
      </c>
      <c r="D2612" t="s">
        <v>13</v>
      </c>
      <c r="E2612" t="s">
        <v>14</v>
      </c>
      <c r="F2612">
        <v>2</v>
      </c>
      <c r="G2612">
        <v>0</v>
      </c>
      <c r="H2612" t="s">
        <v>224</v>
      </c>
      <c r="I2612" t="s">
        <v>175</v>
      </c>
      <c r="J2612" t="s">
        <v>13</v>
      </c>
      <c r="K2612" t="b">
        <v>0</v>
      </c>
      <c r="L2612">
        <v>2001</v>
      </c>
      <c r="M2612">
        <v>559983704094</v>
      </c>
      <c r="N2612">
        <v>71574739561</v>
      </c>
      <c r="O2612" t="b">
        <v>1</v>
      </c>
      <c r="P2612">
        <v>1</v>
      </c>
      <c r="Q2612" t="str" cm="1">
        <f t="array" ref="Q2612">_xlfn.IFS(Table1[[#This Row],[Wealthier_Winner]]=-1,"Wealthier Nation Loses",Table1[[#This Row],[Wealthier_Winner]]=0,"Tie",Table1[[#This Row],[Wealthier_Winner]]=1,"Wealthier Nation Wins")</f>
        <v>Wealthier Nation Wins</v>
      </c>
    </row>
    <row r="2613" spans="1:17" x14ac:dyDescent="0.2">
      <c r="A2613" s="1">
        <v>4242</v>
      </c>
      <c r="B2613" s="2">
        <v>37171</v>
      </c>
      <c r="C2613" s="7">
        <f>_xlfn.FLOOR.MATH(Table1[[#This Row],[year]],10)</f>
        <v>2000</v>
      </c>
      <c r="D2613" t="s">
        <v>56</v>
      </c>
      <c r="E2613" t="s">
        <v>17</v>
      </c>
      <c r="F2613">
        <v>0</v>
      </c>
      <c r="G2613">
        <v>0</v>
      </c>
      <c r="H2613" t="s">
        <v>224</v>
      </c>
      <c r="I2613" t="s">
        <v>225</v>
      </c>
      <c r="J2613" t="s">
        <v>56</v>
      </c>
      <c r="K2613" t="b">
        <v>0</v>
      </c>
      <c r="L2613">
        <v>2001</v>
      </c>
      <c r="M2613">
        <v>15976174336</v>
      </c>
      <c r="N2613">
        <v>796064590549</v>
      </c>
      <c r="O2613" t="b">
        <v>1</v>
      </c>
      <c r="P2613">
        <v>0</v>
      </c>
      <c r="Q2613" t="str" cm="1">
        <f t="array" ref="Q2613">_xlfn.IFS(Table1[[#This Row],[Wealthier_Winner]]=-1,"Wealthier Nation Loses",Table1[[#This Row],[Wealthier_Winner]]=0,"Tie",Table1[[#This Row],[Wealthier_Winner]]=1,"Wealthier Nation Wins")</f>
        <v>Tie</v>
      </c>
    </row>
    <row r="2614" spans="1:17" x14ac:dyDescent="0.2">
      <c r="A2614" s="1">
        <v>4243</v>
      </c>
      <c r="B2614" s="2">
        <v>37171</v>
      </c>
      <c r="C2614" s="7">
        <f>_xlfn.FLOOR.MATH(Table1[[#This Row],[year]],10)</f>
        <v>2000</v>
      </c>
      <c r="D2614" t="s">
        <v>65</v>
      </c>
      <c r="E2614" t="s">
        <v>59</v>
      </c>
      <c r="F2614">
        <v>0</v>
      </c>
      <c r="G2614">
        <v>1</v>
      </c>
      <c r="H2614" t="s">
        <v>224</v>
      </c>
      <c r="I2614" t="s">
        <v>254</v>
      </c>
      <c r="J2614" t="s">
        <v>65</v>
      </c>
      <c r="K2614" t="b">
        <v>0</v>
      </c>
      <c r="L2614">
        <v>2001</v>
      </c>
      <c r="M2614">
        <v>7651162302</v>
      </c>
      <c r="N2614">
        <v>8824849191</v>
      </c>
      <c r="O2614" t="b">
        <v>0</v>
      </c>
      <c r="P2614">
        <v>1</v>
      </c>
      <c r="Q2614" t="str" cm="1">
        <f t="array" ref="Q2614">_xlfn.IFS(Table1[[#This Row],[Wealthier_Winner]]=-1,"Wealthier Nation Loses",Table1[[#This Row],[Wealthier_Winner]]=0,"Tie",Table1[[#This Row],[Wealthier_Winner]]=1,"Wealthier Nation Wins")</f>
        <v>Wealthier Nation Wins</v>
      </c>
    </row>
    <row r="2615" spans="1:17" x14ac:dyDescent="0.2">
      <c r="A2615" s="1">
        <v>4245</v>
      </c>
      <c r="B2615" s="2">
        <v>37171</v>
      </c>
      <c r="C2615" s="7">
        <f>_xlfn.FLOOR.MATH(Table1[[#This Row],[year]],10)</f>
        <v>2000</v>
      </c>
      <c r="D2615" t="s">
        <v>35</v>
      </c>
      <c r="E2615" t="s">
        <v>19</v>
      </c>
      <c r="F2615">
        <v>2</v>
      </c>
      <c r="G2615">
        <v>2</v>
      </c>
      <c r="H2615" t="s">
        <v>224</v>
      </c>
      <c r="I2615" t="s">
        <v>250</v>
      </c>
      <c r="J2615" t="s">
        <v>35</v>
      </c>
      <c r="K2615" t="b">
        <v>0</v>
      </c>
      <c r="L2615">
        <v>2001</v>
      </c>
      <c r="M2615">
        <v>8495806432</v>
      </c>
      <c r="N2615">
        <v>268696750000</v>
      </c>
      <c r="O2615" t="b">
        <v>1</v>
      </c>
      <c r="P2615">
        <v>0</v>
      </c>
      <c r="Q2615" t="str" cm="1">
        <f t="array" ref="Q2615">_xlfn.IFS(Table1[[#This Row],[Wealthier_Winner]]=-1,"Wealthier Nation Loses",Table1[[#This Row],[Wealthier_Winner]]=0,"Tie",Table1[[#This Row],[Wealthier_Winner]]=1,"Wealthier Nation Wins")</f>
        <v>Tie</v>
      </c>
    </row>
    <row r="2616" spans="1:17" x14ac:dyDescent="0.2">
      <c r="A2616" s="1">
        <v>4246</v>
      </c>
      <c r="B2616" s="2">
        <v>37171</v>
      </c>
      <c r="C2616" s="7">
        <f>_xlfn.FLOOR.MATH(Table1[[#This Row],[year]],10)</f>
        <v>2000</v>
      </c>
      <c r="D2616" t="s">
        <v>25</v>
      </c>
      <c r="E2616" t="s">
        <v>513</v>
      </c>
      <c r="F2616">
        <v>3</v>
      </c>
      <c r="G2616">
        <v>0</v>
      </c>
      <c r="H2616" t="s">
        <v>224</v>
      </c>
      <c r="I2616" t="s">
        <v>233</v>
      </c>
      <c r="J2616" t="s">
        <v>25</v>
      </c>
      <c r="K2616" t="b">
        <v>0</v>
      </c>
      <c r="L2616">
        <v>2001</v>
      </c>
      <c r="M2616">
        <v>242497797484</v>
      </c>
      <c r="N2616">
        <v>5707616203</v>
      </c>
      <c r="O2616" t="b">
        <v>1</v>
      </c>
      <c r="P2616">
        <v>1</v>
      </c>
      <c r="Q2616" t="str" cm="1">
        <f t="array" ref="Q2616">_xlfn.IFS(Table1[[#This Row],[Wealthier_Winner]]=-1,"Wealthier Nation Loses",Table1[[#This Row],[Wealthier_Winner]]=0,"Tie",Table1[[#This Row],[Wealthier_Winner]]=1,"Wealthier Nation Wins")</f>
        <v>Wealthier Nation Wins</v>
      </c>
    </row>
    <row r="2617" spans="1:17" x14ac:dyDescent="0.2">
      <c r="A2617" s="1">
        <v>4247</v>
      </c>
      <c r="B2617" s="2">
        <v>37171</v>
      </c>
      <c r="C2617" s="7">
        <f>_xlfn.FLOOR.MATH(Table1[[#This Row],[year]],10)</f>
        <v>2000</v>
      </c>
      <c r="D2617" t="s">
        <v>26</v>
      </c>
      <c r="E2617" t="s">
        <v>15</v>
      </c>
      <c r="F2617">
        <v>1</v>
      </c>
      <c r="G2617">
        <v>1</v>
      </c>
      <c r="H2617" t="s">
        <v>224</v>
      </c>
      <c r="I2617" t="s">
        <v>247</v>
      </c>
      <c r="J2617" t="s">
        <v>26</v>
      </c>
      <c r="K2617" t="b">
        <v>0</v>
      </c>
      <c r="L2617">
        <v>2001</v>
      </c>
      <c r="M2617">
        <v>20898761742</v>
      </c>
      <c r="N2617">
        <v>98200641203</v>
      </c>
      <c r="O2617" t="b">
        <v>1</v>
      </c>
      <c r="P2617">
        <v>0</v>
      </c>
      <c r="Q2617" t="str" cm="1">
        <f t="array" ref="Q2617">_xlfn.IFS(Table1[[#This Row],[Wealthier_Winner]]=-1,"Wealthier Nation Loses",Table1[[#This Row],[Wealthier_Winner]]=0,"Tie",Table1[[#This Row],[Wealthier_Winner]]=1,"Wealthier Nation Wins")</f>
        <v>Tie</v>
      </c>
    </row>
    <row r="2618" spans="1:17" x14ac:dyDescent="0.2">
      <c r="A2618" s="1">
        <v>4248</v>
      </c>
      <c r="B2618" s="2">
        <v>37171</v>
      </c>
      <c r="C2618" s="7">
        <f>_xlfn.FLOOR.MATH(Table1[[#This Row],[year]],10)</f>
        <v>2000</v>
      </c>
      <c r="D2618" t="s">
        <v>41</v>
      </c>
      <c r="E2618" t="s">
        <v>49</v>
      </c>
      <c r="F2618">
        <v>2</v>
      </c>
      <c r="G2618">
        <v>1</v>
      </c>
      <c r="H2618" t="s">
        <v>224</v>
      </c>
      <c r="I2618" t="s">
        <v>123</v>
      </c>
      <c r="J2618" t="s">
        <v>41</v>
      </c>
      <c r="K2618" t="b">
        <v>0</v>
      </c>
      <c r="L2618">
        <v>2001</v>
      </c>
      <c r="M2618">
        <v>10581929774000</v>
      </c>
      <c r="N2618">
        <v>9194727831</v>
      </c>
      <c r="O2618" t="b">
        <v>1</v>
      </c>
      <c r="P2618">
        <v>1</v>
      </c>
      <c r="Q2618" t="str" cm="1">
        <f t="array" ref="Q2618">_xlfn.IFS(Table1[[#This Row],[Wealthier_Winner]]=-1,"Wealthier Nation Loses",Table1[[#This Row],[Wealthier_Winner]]=0,"Tie",Table1[[#This Row],[Wealthier_Winner]]=1,"Wealthier Nation Wins")</f>
        <v>Wealthier Nation Wins</v>
      </c>
    </row>
    <row r="2619" spans="1:17" x14ac:dyDescent="0.2">
      <c r="A2619" s="1">
        <v>4249</v>
      </c>
      <c r="B2619" s="2">
        <v>37176</v>
      </c>
      <c r="C2619" s="7">
        <f>_xlfn.FLOOR.MATH(Table1[[#This Row],[year]],10)</f>
        <v>2000</v>
      </c>
      <c r="D2619" t="s">
        <v>210</v>
      </c>
      <c r="E2619" t="s">
        <v>37</v>
      </c>
      <c r="F2619">
        <v>2</v>
      </c>
      <c r="G2619">
        <v>1</v>
      </c>
      <c r="H2619" t="s">
        <v>224</v>
      </c>
      <c r="I2619" t="s">
        <v>332</v>
      </c>
      <c r="J2619" t="s">
        <v>210</v>
      </c>
      <c r="K2619" t="b">
        <v>0</v>
      </c>
      <c r="L2619">
        <v>2001</v>
      </c>
      <c r="M2619">
        <v>126878750295</v>
      </c>
      <c r="N2619">
        <v>36176430128</v>
      </c>
      <c r="O2619" t="b">
        <v>1</v>
      </c>
      <c r="P2619">
        <v>1</v>
      </c>
      <c r="Q2619" t="str" cm="1">
        <f t="array" ref="Q2619">_xlfn.IFS(Table1[[#This Row],[Wealthier_Winner]]=-1,"Wealthier Nation Loses",Table1[[#This Row],[Wealthier_Winner]]=0,"Tie",Table1[[#This Row],[Wealthier_Winner]]=1,"Wealthier Nation Wins")</f>
        <v>Wealthier Nation Wins</v>
      </c>
    </row>
    <row r="2620" spans="1:17" x14ac:dyDescent="0.2">
      <c r="A2620" s="1">
        <v>4251</v>
      </c>
      <c r="B2620" s="2">
        <v>37177</v>
      </c>
      <c r="C2620" s="7">
        <f>_xlfn.FLOOR.MATH(Table1[[#This Row],[year]],10)</f>
        <v>2000</v>
      </c>
      <c r="D2620" t="s">
        <v>429</v>
      </c>
      <c r="E2620" t="s">
        <v>563</v>
      </c>
      <c r="F2620">
        <v>4</v>
      </c>
      <c r="G2620">
        <v>2</v>
      </c>
      <c r="H2620" t="s">
        <v>224</v>
      </c>
      <c r="I2620" t="s">
        <v>430</v>
      </c>
      <c r="J2620" t="s">
        <v>429</v>
      </c>
      <c r="K2620" t="b">
        <v>0</v>
      </c>
      <c r="L2620">
        <v>2001</v>
      </c>
      <c r="M2620">
        <v>22205721716</v>
      </c>
      <c r="N2620">
        <v>11401421329</v>
      </c>
      <c r="O2620" t="b">
        <v>0</v>
      </c>
      <c r="P2620">
        <v>1</v>
      </c>
      <c r="Q2620" t="str" cm="1">
        <f t="array" ref="Q2620">_xlfn.IFS(Table1[[#This Row],[Wealthier_Winner]]=-1,"Wealthier Nation Loses",Table1[[#This Row],[Wealthier_Winner]]=0,"Tie",Table1[[#This Row],[Wealthier_Winner]]=1,"Wealthier Nation Wins")</f>
        <v>Wealthier Nation Wins</v>
      </c>
    </row>
    <row r="2621" spans="1:17" x14ac:dyDescent="0.2">
      <c r="A2621" s="1">
        <v>4252</v>
      </c>
      <c r="B2621" s="2">
        <v>37180</v>
      </c>
      <c r="C2621" s="7">
        <f>_xlfn.FLOOR.MATH(Table1[[#This Row],[year]],10)</f>
        <v>2000</v>
      </c>
      <c r="D2621" t="s">
        <v>334</v>
      </c>
      <c r="E2621" t="s">
        <v>361</v>
      </c>
      <c r="F2621">
        <v>1</v>
      </c>
      <c r="G2621">
        <v>1</v>
      </c>
      <c r="H2621" t="s">
        <v>224</v>
      </c>
      <c r="I2621" t="s">
        <v>407</v>
      </c>
      <c r="J2621" t="s">
        <v>334</v>
      </c>
      <c r="K2621" t="b">
        <v>0</v>
      </c>
      <c r="L2621">
        <v>2001</v>
      </c>
      <c r="M2621">
        <v>120296476180</v>
      </c>
      <c r="N2621">
        <v>8976196808</v>
      </c>
      <c r="O2621" t="b">
        <v>1</v>
      </c>
      <c r="P2621">
        <v>0</v>
      </c>
      <c r="Q2621" t="str" cm="1">
        <f t="array" ref="Q2621">_xlfn.IFS(Table1[[#This Row],[Wealthier_Winner]]=-1,"Wealthier Nation Loses",Table1[[#This Row],[Wealthier_Winner]]=0,"Tie",Table1[[#This Row],[Wealthier_Winner]]=1,"Wealthier Nation Wins")</f>
        <v>Tie</v>
      </c>
    </row>
    <row r="2622" spans="1:17" x14ac:dyDescent="0.2">
      <c r="A2622" s="1">
        <v>4253</v>
      </c>
      <c r="B2622" s="2">
        <v>37183</v>
      </c>
      <c r="C2622" s="7">
        <f>_xlfn.FLOOR.MATH(Table1[[#This Row],[year]],10)</f>
        <v>2000</v>
      </c>
      <c r="D2622" t="s">
        <v>39</v>
      </c>
      <c r="E2622" t="s">
        <v>429</v>
      </c>
      <c r="F2622">
        <v>2</v>
      </c>
      <c r="G2622">
        <v>2</v>
      </c>
      <c r="H2622" t="s">
        <v>224</v>
      </c>
      <c r="I2622" t="s">
        <v>576</v>
      </c>
      <c r="J2622" t="s">
        <v>39</v>
      </c>
      <c r="K2622" t="b">
        <v>0</v>
      </c>
      <c r="L2622">
        <v>2001</v>
      </c>
      <c r="M2622">
        <v>103311640571</v>
      </c>
      <c r="N2622">
        <v>22205721716</v>
      </c>
      <c r="O2622" t="b">
        <v>1</v>
      </c>
      <c r="P2622">
        <v>0</v>
      </c>
      <c r="Q2622" t="str" cm="1">
        <f t="array" ref="Q2622">_xlfn.IFS(Table1[[#This Row],[Wealthier_Winner]]=-1,"Wealthier Nation Loses",Table1[[#This Row],[Wealthier_Winner]]=0,"Tie",Table1[[#This Row],[Wealthier_Winner]]=1,"Wealthier Nation Wins")</f>
        <v>Tie</v>
      </c>
    </row>
    <row r="2623" spans="1:17" x14ac:dyDescent="0.2">
      <c r="A2623" s="1">
        <v>4255</v>
      </c>
      <c r="B2623" s="2">
        <v>37185</v>
      </c>
      <c r="C2623" s="7">
        <f>_xlfn.FLOOR.MATH(Table1[[#This Row],[year]],10)</f>
        <v>2000</v>
      </c>
      <c r="D2623" t="s">
        <v>361</v>
      </c>
      <c r="E2623" t="s">
        <v>210</v>
      </c>
      <c r="F2623">
        <v>3</v>
      </c>
      <c r="G2623">
        <v>1</v>
      </c>
      <c r="H2623" t="s">
        <v>224</v>
      </c>
      <c r="I2623" t="s">
        <v>419</v>
      </c>
      <c r="J2623" t="s">
        <v>361</v>
      </c>
      <c r="K2623" t="b">
        <v>0</v>
      </c>
      <c r="L2623">
        <v>2001</v>
      </c>
      <c r="M2623">
        <v>8976196808</v>
      </c>
      <c r="N2623">
        <v>126878750295</v>
      </c>
      <c r="O2623" t="b">
        <v>1</v>
      </c>
      <c r="P2623">
        <v>-1</v>
      </c>
      <c r="Q2623" t="str" cm="1">
        <f t="array" ref="Q2623">_xlfn.IFS(Table1[[#This Row],[Wealthier_Winner]]=-1,"Wealthier Nation Loses",Table1[[#This Row],[Wealthier_Winner]]=0,"Tie",Table1[[#This Row],[Wealthier_Winner]]=1,"Wealthier Nation Wins")</f>
        <v>Wealthier Nation Loses</v>
      </c>
    </row>
    <row r="2624" spans="1:17" x14ac:dyDescent="0.2">
      <c r="A2624" s="1">
        <v>4256</v>
      </c>
      <c r="B2624" s="2">
        <v>37185</v>
      </c>
      <c r="C2624" s="7">
        <f>_xlfn.FLOOR.MATH(Table1[[#This Row],[year]],10)</f>
        <v>2000</v>
      </c>
      <c r="D2624" t="s">
        <v>45</v>
      </c>
      <c r="E2624" t="s">
        <v>334</v>
      </c>
      <c r="F2624">
        <v>4</v>
      </c>
      <c r="G2624">
        <v>1</v>
      </c>
      <c r="H2624" t="s">
        <v>224</v>
      </c>
      <c r="I2624" t="s">
        <v>356</v>
      </c>
      <c r="J2624" t="s">
        <v>45</v>
      </c>
      <c r="K2624" t="b">
        <v>0</v>
      </c>
      <c r="L2624">
        <v>2001</v>
      </c>
      <c r="M2624">
        <v>184137600000</v>
      </c>
      <c r="N2624">
        <v>120296476180</v>
      </c>
      <c r="O2624" t="b">
        <v>0</v>
      </c>
      <c r="P2624">
        <v>1</v>
      </c>
      <c r="Q2624" t="str" cm="1">
        <f t="array" ref="Q2624">_xlfn.IFS(Table1[[#This Row],[Wealthier_Winner]]=-1,"Wealthier Nation Loses",Table1[[#This Row],[Wealthier_Winner]]=0,"Tie",Table1[[#This Row],[Wealthier_Winner]]=1,"Wealthier Nation Wins")</f>
        <v>Wealthier Nation Wins</v>
      </c>
    </row>
    <row r="2625" spans="1:17" x14ac:dyDescent="0.2">
      <c r="A2625" s="1">
        <v>4257</v>
      </c>
      <c r="B2625" s="2">
        <v>37189</v>
      </c>
      <c r="C2625" s="7">
        <f>_xlfn.FLOOR.MATH(Table1[[#This Row],[year]],10)</f>
        <v>2000</v>
      </c>
      <c r="D2625" t="s">
        <v>210</v>
      </c>
      <c r="E2625" t="s">
        <v>39</v>
      </c>
      <c r="F2625">
        <v>1</v>
      </c>
      <c r="G2625">
        <v>0</v>
      </c>
      <c r="H2625" t="s">
        <v>224</v>
      </c>
      <c r="I2625" t="s">
        <v>332</v>
      </c>
      <c r="J2625" t="s">
        <v>210</v>
      </c>
      <c r="K2625" t="b">
        <v>0</v>
      </c>
      <c r="L2625">
        <v>2001</v>
      </c>
      <c r="M2625">
        <v>126878750295</v>
      </c>
      <c r="N2625">
        <v>103311640571</v>
      </c>
      <c r="O2625" t="b">
        <v>0</v>
      </c>
      <c r="P2625">
        <v>1</v>
      </c>
      <c r="Q2625" t="str" cm="1">
        <f t="array" ref="Q2625">_xlfn.IFS(Table1[[#This Row],[Wealthier_Winner]]=-1,"Wealthier Nation Loses",Table1[[#This Row],[Wealthier_Winner]]=0,"Tie",Table1[[#This Row],[Wealthier_Winner]]=1,"Wealthier Nation Wins")</f>
        <v>Wealthier Nation Wins</v>
      </c>
    </row>
    <row r="2626" spans="1:17" x14ac:dyDescent="0.2">
      <c r="A2626" s="1">
        <v>4258</v>
      </c>
      <c r="B2626" s="2">
        <v>37191</v>
      </c>
      <c r="C2626" s="7">
        <f>_xlfn.FLOOR.MATH(Table1[[#This Row],[year]],10)</f>
        <v>2000</v>
      </c>
      <c r="D2626" t="s">
        <v>22</v>
      </c>
      <c r="E2626" t="s">
        <v>29</v>
      </c>
      <c r="F2626">
        <v>1</v>
      </c>
      <c r="G2626">
        <v>1</v>
      </c>
      <c r="H2626" t="s">
        <v>224</v>
      </c>
      <c r="I2626" t="s">
        <v>239</v>
      </c>
      <c r="J2626" t="s">
        <v>22</v>
      </c>
      <c r="K2626" t="b">
        <v>0</v>
      </c>
      <c r="L2626">
        <v>2001</v>
      </c>
      <c r="M2626">
        <v>135002039612</v>
      </c>
      <c r="N2626">
        <v>196477206829</v>
      </c>
      <c r="O2626" t="b">
        <v>0</v>
      </c>
      <c r="P2626">
        <v>0</v>
      </c>
      <c r="Q2626" t="str" cm="1">
        <f t="array" ref="Q2626">_xlfn.IFS(Table1[[#This Row],[Wealthier_Winner]]=-1,"Wealthier Nation Loses",Table1[[#This Row],[Wealthier_Winner]]=0,"Tie",Table1[[#This Row],[Wealthier_Winner]]=1,"Wealthier Nation Wins")</f>
        <v>Tie</v>
      </c>
    </row>
    <row r="2627" spans="1:17" x14ac:dyDescent="0.2">
      <c r="A2627" s="1">
        <v>4259</v>
      </c>
      <c r="B2627" s="2">
        <v>37195</v>
      </c>
      <c r="C2627" s="7">
        <f>_xlfn.FLOOR.MATH(Table1[[#This Row],[year]],10)</f>
        <v>2000</v>
      </c>
      <c r="D2627" t="s">
        <v>39</v>
      </c>
      <c r="E2627" t="s">
        <v>210</v>
      </c>
      <c r="F2627">
        <v>0</v>
      </c>
      <c r="G2627">
        <v>3</v>
      </c>
      <c r="H2627" t="s">
        <v>224</v>
      </c>
      <c r="I2627" t="s">
        <v>576</v>
      </c>
      <c r="J2627" t="s">
        <v>39</v>
      </c>
      <c r="K2627" t="b">
        <v>0</v>
      </c>
      <c r="L2627">
        <v>2001</v>
      </c>
      <c r="M2627">
        <v>103311640571</v>
      </c>
      <c r="N2627">
        <v>126878750295</v>
      </c>
      <c r="O2627" t="b">
        <v>0</v>
      </c>
      <c r="P2627">
        <v>1</v>
      </c>
      <c r="Q2627" t="str" cm="1">
        <f t="array" ref="Q2627">_xlfn.IFS(Table1[[#This Row],[Wealthier_Winner]]=-1,"Wealthier Nation Loses",Table1[[#This Row],[Wealthier_Winner]]=0,"Tie",Table1[[#This Row],[Wealthier_Winner]]=1,"Wealthier Nation Wins")</f>
        <v>Wealthier Nation Wins</v>
      </c>
    </row>
    <row r="2628" spans="1:17" x14ac:dyDescent="0.2">
      <c r="A2628" s="1">
        <v>4260</v>
      </c>
      <c r="B2628" s="2">
        <v>37202</v>
      </c>
      <c r="C2628" s="7">
        <f>_xlfn.FLOOR.MATH(Table1[[#This Row],[year]],10)</f>
        <v>2000</v>
      </c>
      <c r="D2628" t="s">
        <v>47</v>
      </c>
      <c r="E2628" t="s">
        <v>13</v>
      </c>
      <c r="F2628">
        <v>3</v>
      </c>
      <c r="G2628">
        <v>1</v>
      </c>
      <c r="H2628" t="s">
        <v>224</v>
      </c>
      <c r="I2628" t="s">
        <v>246</v>
      </c>
      <c r="J2628" t="s">
        <v>47</v>
      </c>
      <c r="K2628" t="b">
        <v>0</v>
      </c>
      <c r="L2628">
        <v>2001</v>
      </c>
      <c r="M2628">
        <v>8141516928</v>
      </c>
      <c r="N2628">
        <v>559983704094</v>
      </c>
      <c r="O2628" t="b">
        <v>1</v>
      </c>
      <c r="P2628">
        <v>-1</v>
      </c>
      <c r="Q2628" t="str" cm="1">
        <f t="array" ref="Q2628">_xlfn.IFS(Table1[[#This Row],[Wealthier_Winner]]=-1,"Wealthier Nation Loses",Table1[[#This Row],[Wealthier_Winner]]=0,"Tie",Table1[[#This Row],[Wealthier_Winner]]=1,"Wealthier Nation Wins")</f>
        <v>Wealthier Nation Loses</v>
      </c>
    </row>
    <row r="2629" spans="1:17" x14ac:dyDescent="0.2">
      <c r="A2629" s="1">
        <v>4261</v>
      </c>
      <c r="B2629" s="2">
        <v>37202</v>
      </c>
      <c r="C2629" s="7">
        <f>_xlfn.FLOOR.MATH(Table1[[#This Row],[year]],10)</f>
        <v>2000</v>
      </c>
      <c r="D2629" t="s">
        <v>15</v>
      </c>
      <c r="E2629" t="s">
        <v>14</v>
      </c>
      <c r="F2629">
        <v>3</v>
      </c>
      <c r="G2629">
        <v>1</v>
      </c>
      <c r="H2629" t="s">
        <v>224</v>
      </c>
      <c r="I2629" t="s">
        <v>241</v>
      </c>
      <c r="J2629" t="s">
        <v>15</v>
      </c>
      <c r="K2629" t="b">
        <v>0</v>
      </c>
      <c r="L2629">
        <v>2001</v>
      </c>
      <c r="M2629">
        <v>98200641203</v>
      </c>
      <c r="N2629">
        <v>71574739561</v>
      </c>
      <c r="O2629" t="b">
        <v>0</v>
      </c>
      <c r="P2629">
        <v>1</v>
      </c>
      <c r="Q2629" t="str" cm="1">
        <f t="array" ref="Q2629">_xlfn.IFS(Table1[[#This Row],[Wealthier_Winner]]=-1,"Wealthier Nation Loses",Table1[[#This Row],[Wealthier_Winner]]=0,"Tie",Table1[[#This Row],[Wealthier_Winner]]=1,"Wealthier Nation Wins")</f>
        <v>Wealthier Nation Wins</v>
      </c>
    </row>
    <row r="2630" spans="1:17" x14ac:dyDescent="0.2">
      <c r="A2630" s="1">
        <v>4262</v>
      </c>
      <c r="B2630" s="2">
        <v>37202</v>
      </c>
      <c r="C2630" s="7">
        <f>_xlfn.FLOOR.MATH(Table1[[#This Row],[year]],10)</f>
        <v>2000</v>
      </c>
      <c r="D2630" t="s">
        <v>57</v>
      </c>
      <c r="E2630" t="s">
        <v>26</v>
      </c>
      <c r="F2630">
        <v>1</v>
      </c>
      <c r="G2630">
        <v>1</v>
      </c>
      <c r="H2630" t="s">
        <v>224</v>
      </c>
      <c r="I2630" t="s">
        <v>335</v>
      </c>
      <c r="J2630" t="s">
        <v>57</v>
      </c>
      <c r="K2630" t="b">
        <v>0</v>
      </c>
      <c r="L2630">
        <v>2001</v>
      </c>
      <c r="M2630">
        <v>23127055000</v>
      </c>
      <c r="N2630">
        <v>20898761742</v>
      </c>
      <c r="O2630" t="b">
        <v>0</v>
      </c>
      <c r="P2630">
        <v>0</v>
      </c>
      <c r="Q2630" t="str" cm="1">
        <f t="array" ref="Q2630">_xlfn.IFS(Table1[[#This Row],[Wealthier_Winner]]=-1,"Wealthier Nation Loses",Table1[[#This Row],[Wealthier_Winner]]=0,"Tie",Table1[[#This Row],[Wealthier_Winner]]=1,"Wealthier Nation Wins")</f>
        <v>Tie</v>
      </c>
    </row>
    <row r="2631" spans="1:17" x14ac:dyDescent="0.2">
      <c r="A2631" s="1">
        <v>4263</v>
      </c>
      <c r="B2631" s="2">
        <v>37203</v>
      </c>
      <c r="C2631" s="7">
        <f>_xlfn.FLOOR.MATH(Table1[[#This Row],[year]],10)</f>
        <v>2000</v>
      </c>
      <c r="D2631" t="s">
        <v>19</v>
      </c>
      <c r="E2631" t="s">
        <v>31</v>
      </c>
      <c r="F2631">
        <v>2</v>
      </c>
      <c r="G2631">
        <v>0</v>
      </c>
      <c r="H2631" t="s">
        <v>224</v>
      </c>
      <c r="I2631" t="s">
        <v>93</v>
      </c>
      <c r="J2631" t="s">
        <v>19</v>
      </c>
      <c r="K2631" t="b">
        <v>0</v>
      </c>
      <c r="L2631">
        <v>2001</v>
      </c>
      <c r="M2631">
        <v>268696750000</v>
      </c>
      <c r="N2631">
        <v>52030158775</v>
      </c>
      <c r="O2631" t="b">
        <v>1</v>
      </c>
      <c r="P2631">
        <v>1</v>
      </c>
      <c r="Q2631" t="str" cm="1">
        <f t="array" ref="Q2631">_xlfn.IFS(Table1[[#This Row],[Wealthier_Winner]]=-1,"Wealthier Nation Loses",Table1[[#This Row],[Wealthier_Winner]]=0,"Tie",Table1[[#This Row],[Wealthier_Winner]]=1,"Wealthier Nation Wins")</f>
        <v>Wealthier Nation Wins</v>
      </c>
    </row>
    <row r="2632" spans="1:17" x14ac:dyDescent="0.2">
      <c r="A2632" s="1">
        <v>4264</v>
      </c>
      <c r="B2632" s="2">
        <v>37203</v>
      </c>
      <c r="C2632" s="7">
        <f>_xlfn.FLOOR.MATH(Table1[[#This Row],[year]],10)</f>
        <v>2000</v>
      </c>
      <c r="D2632" t="s">
        <v>258</v>
      </c>
      <c r="E2632" t="s">
        <v>35</v>
      </c>
      <c r="F2632">
        <v>3</v>
      </c>
      <c r="G2632">
        <v>1</v>
      </c>
      <c r="H2632" t="s">
        <v>224</v>
      </c>
      <c r="I2632" t="s">
        <v>416</v>
      </c>
      <c r="J2632" t="s">
        <v>258</v>
      </c>
      <c r="K2632" t="b">
        <v>0</v>
      </c>
      <c r="L2632">
        <v>2001</v>
      </c>
      <c r="M2632">
        <v>122911036746</v>
      </c>
      <c r="N2632">
        <v>8495806432</v>
      </c>
      <c r="O2632" t="b">
        <v>1</v>
      </c>
      <c r="P2632">
        <v>1</v>
      </c>
      <c r="Q2632" t="str" cm="1">
        <f t="array" ref="Q2632">_xlfn.IFS(Table1[[#This Row],[Wealthier_Winner]]=-1,"Wealthier Nation Loses",Table1[[#This Row],[Wealthier_Winner]]=0,"Tie",Table1[[#This Row],[Wealthier_Winner]]=1,"Wealthier Nation Wins")</f>
        <v>Wealthier Nation Wins</v>
      </c>
    </row>
    <row r="2633" spans="1:17" x14ac:dyDescent="0.2">
      <c r="A2633" s="1">
        <v>4268</v>
      </c>
      <c r="B2633" s="2">
        <v>37205</v>
      </c>
      <c r="C2633" s="7">
        <f>_xlfn.FLOOR.MATH(Table1[[#This Row],[year]],10)</f>
        <v>2000</v>
      </c>
      <c r="D2633" t="s">
        <v>55</v>
      </c>
      <c r="E2633" t="s">
        <v>44</v>
      </c>
      <c r="F2633">
        <v>2</v>
      </c>
      <c r="G2633">
        <v>1</v>
      </c>
      <c r="H2633" t="s">
        <v>224</v>
      </c>
      <c r="I2633" t="s">
        <v>529</v>
      </c>
      <c r="J2633" t="s">
        <v>55</v>
      </c>
      <c r="K2633" t="b">
        <v>0</v>
      </c>
      <c r="L2633">
        <v>2001</v>
      </c>
      <c r="M2633">
        <v>20668868706</v>
      </c>
      <c r="N2633">
        <v>40395116581</v>
      </c>
      <c r="O2633" t="b">
        <v>0</v>
      </c>
      <c r="P2633">
        <v>-1</v>
      </c>
      <c r="Q2633" t="str" cm="1">
        <f t="array" ref="Q2633">_xlfn.IFS(Table1[[#This Row],[Wealthier_Winner]]=-1,"Wealthier Nation Loses",Table1[[#This Row],[Wealthier_Winner]]=0,"Tie",Table1[[#This Row],[Wealthier_Winner]]=1,"Wealthier Nation Wins")</f>
        <v>Wealthier Nation Loses</v>
      </c>
    </row>
    <row r="2634" spans="1:17" x14ac:dyDescent="0.2">
      <c r="A2634" s="1">
        <v>4269</v>
      </c>
      <c r="B2634" s="2">
        <v>37205</v>
      </c>
      <c r="C2634" s="7">
        <f>_xlfn.FLOOR.MATH(Table1[[#This Row],[year]],10)</f>
        <v>2000</v>
      </c>
      <c r="D2634" t="s">
        <v>64</v>
      </c>
      <c r="E2634" t="s">
        <v>16</v>
      </c>
      <c r="F2634">
        <v>1</v>
      </c>
      <c r="G2634">
        <v>1</v>
      </c>
      <c r="H2634" t="s">
        <v>224</v>
      </c>
      <c r="I2634" t="s">
        <v>423</v>
      </c>
      <c r="J2634" t="s">
        <v>64</v>
      </c>
      <c r="K2634" t="b">
        <v>0</v>
      </c>
      <c r="L2634">
        <v>2001</v>
      </c>
      <c r="M2634">
        <v>39309580983</v>
      </c>
      <c r="N2634">
        <v>1966381496641</v>
      </c>
      <c r="O2634" t="b">
        <v>1</v>
      </c>
      <c r="P2634">
        <v>0</v>
      </c>
      <c r="Q2634" t="str" cm="1">
        <f t="array" ref="Q2634">_xlfn.IFS(Table1[[#This Row],[Wealthier_Winner]]=-1,"Wealthier Nation Loses",Table1[[#This Row],[Wealthier_Winner]]=0,"Tie",Table1[[#This Row],[Wealthier_Winner]]=1,"Wealthier Nation Wins")</f>
        <v>Tie</v>
      </c>
    </row>
    <row r="2635" spans="1:17" x14ac:dyDescent="0.2">
      <c r="A2635" s="1">
        <v>4270</v>
      </c>
      <c r="B2635" s="2">
        <v>37206</v>
      </c>
      <c r="C2635" s="7">
        <f>_xlfn.FLOOR.MATH(Table1[[#This Row],[year]],10)</f>
        <v>2000</v>
      </c>
      <c r="D2635" t="s">
        <v>49</v>
      </c>
      <c r="E2635" t="s">
        <v>56</v>
      </c>
      <c r="F2635">
        <v>0</v>
      </c>
      <c r="G2635">
        <v>1</v>
      </c>
      <c r="H2635" t="s">
        <v>224</v>
      </c>
      <c r="I2635" t="s">
        <v>257</v>
      </c>
      <c r="J2635" t="s">
        <v>49</v>
      </c>
      <c r="K2635" t="b">
        <v>0</v>
      </c>
      <c r="L2635">
        <v>2001</v>
      </c>
      <c r="M2635">
        <v>9194727831</v>
      </c>
      <c r="N2635">
        <v>15976174336</v>
      </c>
      <c r="O2635" t="b">
        <v>0</v>
      </c>
      <c r="P2635">
        <v>1</v>
      </c>
      <c r="Q2635" t="str" cm="1">
        <f t="array" ref="Q2635">_xlfn.IFS(Table1[[#This Row],[Wealthier_Winner]]=-1,"Wealthier Nation Loses",Table1[[#This Row],[Wealthier_Winner]]=0,"Tie",Table1[[#This Row],[Wealthier_Winner]]=1,"Wealthier Nation Wins")</f>
        <v>Wealthier Nation Wins</v>
      </c>
    </row>
    <row r="2636" spans="1:17" x14ac:dyDescent="0.2">
      <c r="A2636" s="1">
        <v>4271</v>
      </c>
      <c r="B2636" s="2">
        <v>37206</v>
      </c>
      <c r="C2636" s="7">
        <f>_xlfn.FLOOR.MATH(Table1[[#This Row],[year]],10)</f>
        <v>2000</v>
      </c>
      <c r="D2636" t="s">
        <v>17</v>
      </c>
      <c r="E2636" t="s">
        <v>65</v>
      </c>
      <c r="F2636">
        <v>3</v>
      </c>
      <c r="G2636">
        <v>0</v>
      </c>
      <c r="H2636" t="s">
        <v>224</v>
      </c>
      <c r="I2636" t="s">
        <v>83</v>
      </c>
      <c r="J2636" t="s">
        <v>17</v>
      </c>
      <c r="K2636" t="b">
        <v>0</v>
      </c>
      <c r="L2636">
        <v>2001</v>
      </c>
      <c r="M2636">
        <v>796064590549</v>
      </c>
      <c r="N2636">
        <v>7651162302</v>
      </c>
      <c r="O2636" t="b">
        <v>1</v>
      </c>
      <c r="P2636">
        <v>1</v>
      </c>
      <c r="Q2636" t="str" cm="1">
        <f t="array" ref="Q2636">_xlfn.IFS(Table1[[#This Row],[Wealthier_Winner]]=-1,"Wealthier Nation Loses",Table1[[#This Row],[Wealthier_Winner]]=0,"Tie",Table1[[#This Row],[Wealthier_Winner]]=1,"Wealthier Nation Wins")</f>
        <v>Wealthier Nation Wins</v>
      </c>
    </row>
    <row r="2637" spans="1:17" x14ac:dyDescent="0.2">
      <c r="A2637" s="1">
        <v>4272</v>
      </c>
      <c r="B2637" s="2">
        <v>37206</v>
      </c>
      <c r="C2637" s="7">
        <f>_xlfn.FLOOR.MATH(Table1[[#This Row],[year]],10)</f>
        <v>2000</v>
      </c>
      <c r="D2637" t="s">
        <v>59</v>
      </c>
      <c r="E2637" t="s">
        <v>41</v>
      </c>
      <c r="F2637">
        <v>0</v>
      </c>
      <c r="G2637">
        <v>0</v>
      </c>
      <c r="H2637" t="s">
        <v>224</v>
      </c>
      <c r="I2637" t="s">
        <v>253</v>
      </c>
      <c r="J2637" t="s">
        <v>59</v>
      </c>
      <c r="K2637" t="b">
        <v>0</v>
      </c>
      <c r="L2637">
        <v>2001</v>
      </c>
      <c r="M2637">
        <v>8824849191</v>
      </c>
      <c r="N2637">
        <v>10581929774000</v>
      </c>
      <c r="O2637" t="b">
        <v>1</v>
      </c>
      <c r="P2637">
        <v>0</v>
      </c>
      <c r="Q2637" t="str" cm="1">
        <f t="array" ref="Q2637">_xlfn.IFS(Table1[[#This Row],[Wealthier_Winner]]=-1,"Wealthier Nation Loses",Table1[[#This Row],[Wealthier_Winner]]=0,"Tie",Table1[[#This Row],[Wealthier_Winner]]=1,"Wealthier Nation Wins")</f>
        <v>Tie</v>
      </c>
    </row>
    <row r="2638" spans="1:17" x14ac:dyDescent="0.2">
      <c r="A2638" s="1">
        <v>4273</v>
      </c>
      <c r="B2638" s="2">
        <v>37209</v>
      </c>
      <c r="C2638" s="7">
        <f>_xlfn.FLOOR.MATH(Table1[[#This Row],[year]],10)</f>
        <v>2000</v>
      </c>
      <c r="D2638" t="s">
        <v>13</v>
      </c>
      <c r="E2638" t="s">
        <v>258</v>
      </c>
      <c r="F2638">
        <v>3</v>
      </c>
      <c r="G2638">
        <v>0</v>
      </c>
      <c r="H2638" t="s">
        <v>224</v>
      </c>
      <c r="I2638" t="s">
        <v>637</v>
      </c>
      <c r="J2638" t="s">
        <v>13</v>
      </c>
      <c r="K2638" t="b">
        <v>0</v>
      </c>
      <c r="L2638">
        <v>2001</v>
      </c>
      <c r="M2638">
        <v>559983704094</v>
      </c>
      <c r="N2638">
        <v>122911036746</v>
      </c>
      <c r="O2638" t="b">
        <v>1</v>
      </c>
      <c r="P2638">
        <v>1</v>
      </c>
      <c r="Q2638" t="str" cm="1">
        <f t="array" ref="Q2638">_xlfn.IFS(Table1[[#This Row],[Wealthier_Winner]]=-1,"Wealthier Nation Loses",Table1[[#This Row],[Wealthier_Winner]]=0,"Tie",Table1[[#This Row],[Wealthier_Winner]]=1,"Wealthier Nation Wins")</f>
        <v>Wealthier Nation Wins</v>
      </c>
    </row>
    <row r="2639" spans="1:17" x14ac:dyDescent="0.2">
      <c r="A2639" s="1">
        <v>4274</v>
      </c>
      <c r="B2639" s="2">
        <v>37209</v>
      </c>
      <c r="C2639" s="7">
        <f>_xlfn.FLOOR.MATH(Table1[[#This Row],[year]],10)</f>
        <v>2000</v>
      </c>
      <c r="D2639" t="s">
        <v>14</v>
      </c>
      <c r="E2639" t="s">
        <v>57</v>
      </c>
      <c r="F2639">
        <v>0</v>
      </c>
      <c r="G2639">
        <v>0</v>
      </c>
      <c r="H2639" t="s">
        <v>224</v>
      </c>
      <c r="I2639" t="s">
        <v>75</v>
      </c>
      <c r="J2639" t="s">
        <v>14</v>
      </c>
      <c r="K2639" t="b">
        <v>0</v>
      </c>
      <c r="L2639">
        <v>2001</v>
      </c>
      <c r="M2639">
        <v>71574739561</v>
      </c>
      <c r="N2639">
        <v>23127055000</v>
      </c>
      <c r="O2639" t="b">
        <v>1</v>
      </c>
      <c r="P2639">
        <v>0</v>
      </c>
      <c r="Q2639" t="str" cm="1">
        <f t="array" ref="Q2639">_xlfn.IFS(Table1[[#This Row],[Wealthier_Winner]]=-1,"Wealthier Nation Loses",Table1[[#This Row],[Wealthier_Winner]]=0,"Tie",Table1[[#This Row],[Wealthier_Winner]]=1,"Wealthier Nation Wins")</f>
        <v>Tie</v>
      </c>
    </row>
    <row r="2640" spans="1:17" x14ac:dyDescent="0.2">
      <c r="A2640" s="1">
        <v>4276</v>
      </c>
      <c r="B2640" s="2">
        <v>37209</v>
      </c>
      <c r="C2640" s="7">
        <f>_xlfn.FLOOR.MATH(Table1[[#This Row],[year]],10)</f>
        <v>2000</v>
      </c>
      <c r="D2640" t="s">
        <v>16</v>
      </c>
      <c r="E2640" t="s">
        <v>64</v>
      </c>
      <c r="F2640">
        <v>4</v>
      </c>
      <c r="G2640">
        <v>1</v>
      </c>
      <c r="H2640" t="s">
        <v>224</v>
      </c>
      <c r="I2640" t="s">
        <v>91</v>
      </c>
      <c r="J2640" t="s">
        <v>16</v>
      </c>
      <c r="K2640" t="b">
        <v>0</v>
      </c>
      <c r="L2640">
        <v>2001</v>
      </c>
      <c r="M2640">
        <v>1966381496641</v>
      </c>
      <c r="N2640">
        <v>39309580983</v>
      </c>
      <c r="O2640" t="b">
        <v>1</v>
      </c>
      <c r="P2640">
        <v>1</v>
      </c>
      <c r="Q2640" t="str" cm="1">
        <f t="array" ref="Q2640">_xlfn.IFS(Table1[[#This Row],[Wealthier_Winner]]=-1,"Wealthier Nation Loses",Table1[[#This Row],[Wealthier_Winner]]=0,"Tie",Table1[[#This Row],[Wealthier_Winner]]=1,"Wealthier Nation Wins")</f>
        <v>Wealthier Nation Wins</v>
      </c>
    </row>
    <row r="2641" spans="1:17" x14ac:dyDescent="0.2">
      <c r="A2641" s="1">
        <v>4277</v>
      </c>
      <c r="B2641" s="2">
        <v>37209</v>
      </c>
      <c r="C2641" s="7">
        <f>_xlfn.FLOOR.MATH(Table1[[#This Row],[year]],10)</f>
        <v>2000</v>
      </c>
      <c r="D2641" t="s">
        <v>35</v>
      </c>
      <c r="E2641" t="s">
        <v>15</v>
      </c>
      <c r="F2641">
        <v>0</v>
      </c>
      <c r="G2641">
        <v>4</v>
      </c>
      <c r="H2641" t="s">
        <v>224</v>
      </c>
      <c r="I2641" t="s">
        <v>250</v>
      </c>
      <c r="J2641" t="s">
        <v>35</v>
      </c>
      <c r="K2641" t="b">
        <v>0</v>
      </c>
      <c r="L2641">
        <v>2001</v>
      </c>
      <c r="M2641">
        <v>8495806432</v>
      </c>
      <c r="N2641">
        <v>98200641203</v>
      </c>
      <c r="O2641" t="b">
        <v>1</v>
      </c>
      <c r="P2641">
        <v>1</v>
      </c>
      <c r="Q2641" t="str" cm="1">
        <f t="array" ref="Q2641">_xlfn.IFS(Table1[[#This Row],[Wealthier_Winner]]=-1,"Wealthier Nation Loses",Table1[[#This Row],[Wealthier_Winner]]=0,"Tie",Table1[[#This Row],[Wealthier_Winner]]=1,"Wealthier Nation Wins")</f>
        <v>Wealthier Nation Wins</v>
      </c>
    </row>
    <row r="2642" spans="1:17" x14ac:dyDescent="0.2">
      <c r="A2642" s="1">
        <v>4278</v>
      </c>
      <c r="B2642" s="2">
        <v>37209</v>
      </c>
      <c r="C2642" s="7">
        <f>_xlfn.FLOOR.MATH(Table1[[#This Row],[year]],10)</f>
        <v>2000</v>
      </c>
      <c r="D2642" t="s">
        <v>31</v>
      </c>
      <c r="E2642" t="s">
        <v>47</v>
      </c>
      <c r="F2642">
        <v>1</v>
      </c>
      <c r="G2642">
        <v>1</v>
      </c>
      <c r="H2642" t="s">
        <v>224</v>
      </c>
      <c r="I2642" t="s">
        <v>242</v>
      </c>
      <c r="J2642" t="s">
        <v>31</v>
      </c>
      <c r="K2642" t="b">
        <v>0</v>
      </c>
      <c r="L2642">
        <v>2001</v>
      </c>
      <c r="M2642">
        <v>52030158775</v>
      </c>
      <c r="N2642">
        <v>8141516928</v>
      </c>
      <c r="O2642" t="b">
        <v>1</v>
      </c>
      <c r="P2642">
        <v>0</v>
      </c>
      <c r="Q2642" t="str" cm="1">
        <f t="array" ref="Q2642">_xlfn.IFS(Table1[[#This Row],[Wealthier_Winner]]=-1,"Wealthier Nation Loses",Table1[[#This Row],[Wealthier_Winner]]=0,"Tie",Table1[[#This Row],[Wealthier_Winner]]=1,"Wealthier Nation Wins")</f>
        <v>Tie</v>
      </c>
    </row>
    <row r="2643" spans="1:17" x14ac:dyDescent="0.2">
      <c r="A2643" s="1">
        <v>4279</v>
      </c>
      <c r="B2643" s="2">
        <v>37209</v>
      </c>
      <c r="C2643" s="7">
        <f>_xlfn.FLOOR.MATH(Table1[[#This Row],[year]],10)</f>
        <v>2000</v>
      </c>
      <c r="D2643" t="s">
        <v>44</v>
      </c>
      <c r="E2643" t="s">
        <v>55</v>
      </c>
      <c r="F2643">
        <v>1</v>
      </c>
      <c r="G2643">
        <v>1</v>
      </c>
      <c r="H2643" t="s">
        <v>224</v>
      </c>
      <c r="I2643" t="s">
        <v>425</v>
      </c>
      <c r="J2643" t="s">
        <v>44</v>
      </c>
      <c r="K2643" t="b">
        <v>0</v>
      </c>
      <c r="L2643">
        <v>2001</v>
      </c>
      <c r="M2643">
        <v>40395116581</v>
      </c>
      <c r="N2643">
        <v>20668868706</v>
      </c>
      <c r="O2643" t="b">
        <v>0</v>
      </c>
      <c r="P2643">
        <v>0</v>
      </c>
      <c r="Q2643" t="str" cm="1">
        <f t="array" ref="Q2643">_xlfn.IFS(Table1[[#This Row],[Wealthier_Winner]]=-1,"Wealthier Nation Loses",Table1[[#This Row],[Wealthier_Winner]]=0,"Tie",Table1[[#This Row],[Wealthier_Winner]]=1,"Wealthier Nation Wins")</f>
        <v>Tie</v>
      </c>
    </row>
    <row r="2644" spans="1:17" x14ac:dyDescent="0.2">
      <c r="A2644" s="1">
        <v>4281</v>
      </c>
      <c r="B2644" s="2">
        <v>37209</v>
      </c>
      <c r="C2644" s="7">
        <f>_xlfn.FLOOR.MATH(Table1[[#This Row],[year]],10)</f>
        <v>2000</v>
      </c>
      <c r="D2644" t="s">
        <v>26</v>
      </c>
      <c r="E2644" t="s">
        <v>19</v>
      </c>
      <c r="F2644">
        <v>1</v>
      </c>
      <c r="G2644">
        <v>1</v>
      </c>
      <c r="H2644" t="s">
        <v>224</v>
      </c>
      <c r="I2644" t="s">
        <v>247</v>
      </c>
      <c r="J2644" t="s">
        <v>26</v>
      </c>
      <c r="K2644" t="b">
        <v>0</v>
      </c>
      <c r="L2644">
        <v>2001</v>
      </c>
      <c r="M2644">
        <v>20898761742</v>
      </c>
      <c r="N2644">
        <v>268696750000</v>
      </c>
      <c r="O2644" t="b">
        <v>1</v>
      </c>
      <c r="P2644">
        <v>0</v>
      </c>
      <c r="Q2644" t="str" cm="1">
        <f t="array" ref="Q2644">_xlfn.IFS(Table1[[#This Row],[Wealthier_Winner]]=-1,"Wealthier Nation Loses",Table1[[#This Row],[Wealthier_Winner]]=0,"Tie",Table1[[#This Row],[Wealthier_Winner]]=1,"Wealthier Nation Wins")</f>
        <v>Tie</v>
      </c>
    </row>
    <row r="2645" spans="1:17" x14ac:dyDescent="0.2">
      <c r="A2645" s="1">
        <v>4283</v>
      </c>
      <c r="B2645" s="2">
        <v>37215</v>
      </c>
      <c r="C2645" s="7">
        <f>_xlfn.FLOOR.MATH(Table1[[#This Row],[year]],10)</f>
        <v>2000</v>
      </c>
      <c r="D2645" t="s">
        <v>28</v>
      </c>
      <c r="E2645" t="s">
        <v>26</v>
      </c>
      <c r="F2645">
        <v>1</v>
      </c>
      <c r="G2645">
        <v>0</v>
      </c>
      <c r="H2645" t="s">
        <v>224</v>
      </c>
      <c r="I2645" t="s">
        <v>329</v>
      </c>
      <c r="J2645" t="s">
        <v>28</v>
      </c>
      <c r="K2645" t="b">
        <v>0</v>
      </c>
      <c r="L2645">
        <v>2001</v>
      </c>
      <c r="M2645">
        <v>380360222861</v>
      </c>
      <c r="N2645">
        <v>20898761742</v>
      </c>
      <c r="O2645" t="b">
        <v>1</v>
      </c>
      <c r="P2645">
        <v>1</v>
      </c>
      <c r="Q2645" t="str" cm="1">
        <f t="array" ref="Q2645">_xlfn.IFS(Table1[[#This Row],[Wealthier_Winner]]=-1,"Wealthier Nation Loses",Table1[[#This Row],[Wealthier_Winner]]=0,"Tie",Table1[[#This Row],[Wealthier_Winner]]=1,"Wealthier Nation Wins")</f>
        <v>Wealthier Nation Wins</v>
      </c>
    </row>
    <row r="2646" spans="1:17" x14ac:dyDescent="0.2">
      <c r="A2646" s="1">
        <v>4284</v>
      </c>
      <c r="B2646" s="2">
        <v>37220</v>
      </c>
      <c r="C2646" s="7">
        <f>_xlfn.FLOOR.MATH(Table1[[#This Row],[year]],10)</f>
        <v>2000</v>
      </c>
      <c r="D2646" t="s">
        <v>26</v>
      </c>
      <c r="E2646" t="s">
        <v>28</v>
      </c>
      <c r="F2646">
        <v>3</v>
      </c>
      <c r="G2646">
        <v>0</v>
      </c>
      <c r="H2646" t="s">
        <v>224</v>
      </c>
      <c r="I2646" t="s">
        <v>247</v>
      </c>
      <c r="J2646" t="s">
        <v>26</v>
      </c>
      <c r="K2646" t="b">
        <v>0</v>
      </c>
      <c r="L2646">
        <v>2001</v>
      </c>
      <c r="M2646">
        <v>20898761742</v>
      </c>
      <c r="N2646">
        <v>380360222861</v>
      </c>
      <c r="O2646" t="b">
        <v>1</v>
      </c>
      <c r="P2646">
        <v>-1</v>
      </c>
      <c r="Q2646" t="str" cm="1">
        <f t="array" ref="Q2646">_xlfn.IFS(Table1[[#This Row],[Wealthier_Winner]]=-1,"Wealthier Nation Loses",Table1[[#This Row],[Wealthier_Winner]]=0,"Tie",Table1[[#This Row],[Wealthier_Winner]]=1,"Wealthier Nation Wins")</f>
        <v>Wealthier Nation Loses</v>
      </c>
    </row>
    <row r="2647" spans="1:17" x14ac:dyDescent="0.2">
      <c r="A2647" s="1">
        <v>4285</v>
      </c>
      <c r="B2647" s="2">
        <v>37407</v>
      </c>
      <c r="C2647" s="7">
        <f>_xlfn.FLOOR.MATH(Table1[[#This Row],[year]],10)</f>
        <v>2000</v>
      </c>
      <c r="D2647" t="s">
        <v>20</v>
      </c>
      <c r="E2647" t="s">
        <v>54</v>
      </c>
      <c r="F2647">
        <v>0</v>
      </c>
      <c r="G2647">
        <v>1</v>
      </c>
      <c r="H2647" t="s">
        <v>74</v>
      </c>
      <c r="I2647" t="s">
        <v>136</v>
      </c>
      <c r="J2647" t="s">
        <v>195</v>
      </c>
      <c r="K2647" t="b">
        <v>1</v>
      </c>
      <c r="L2647">
        <v>2002</v>
      </c>
      <c r="M2647">
        <v>1492427756382</v>
      </c>
      <c r="N2647">
        <v>7006402319</v>
      </c>
      <c r="O2647" t="b">
        <v>1</v>
      </c>
      <c r="P2647">
        <v>-1</v>
      </c>
      <c r="Q2647" t="str" cm="1">
        <f t="array" ref="Q2647">_xlfn.IFS(Table1[[#This Row],[Wealthier_Winner]]=-1,"Wealthier Nation Loses",Table1[[#This Row],[Wealthier_Winner]]=0,"Tie",Table1[[#This Row],[Wealthier_Winner]]=1,"Wealthier Nation Wins")</f>
        <v>Wealthier Nation Loses</v>
      </c>
    </row>
    <row r="2648" spans="1:17" x14ac:dyDescent="0.2">
      <c r="A2648" s="1">
        <v>4286</v>
      </c>
      <c r="B2648" s="2">
        <v>37408</v>
      </c>
      <c r="C2648" s="7">
        <f>_xlfn.FLOOR.MATH(Table1[[#This Row],[year]],10)</f>
        <v>2000</v>
      </c>
      <c r="D2648" t="s">
        <v>16</v>
      </c>
      <c r="E2648" t="s">
        <v>45</v>
      </c>
      <c r="F2648">
        <v>8</v>
      </c>
      <c r="G2648">
        <v>0</v>
      </c>
      <c r="H2648" t="s">
        <v>74</v>
      </c>
      <c r="I2648" t="s">
        <v>137</v>
      </c>
      <c r="J2648" t="s">
        <v>51</v>
      </c>
      <c r="K2648" t="b">
        <v>1</v>
      </c>
      <c r="L2648">
        <v>2002</v>
      </c>
      <c r="M2648">
        <v>2102350798305</v>
      </c>
      <c r="N2648">
        <v>189605866666</v>
      </c>
      <c r="O2648" t="b">
        <v>1</v>
      </c>
      <c r="P2648">
        <v>1</v>
      </c>
      <c r="Q2648" t="str" cm="1">
        <f t="array" ref="Q2648">_xlfn.IFS(Table1[[#This Row],[Wealthier_Winner]]=-1,"Wealthier Nation Loses",Table1[[#This Row],[Wealthier_Winner]]=0,"Tie",Table1[[#This Row],[Wealthier_Winner]]=1,"Wealthier Nation Wins")</f>
        <v>Wealthier Nation Wins</v>
      </c>
    </row>
    <row r="2649" spans="1:17" x14ac:dyDescent="0.2">
      <c r="A2649" s="1">
        <v>4288</v>
      </c>
      <c r="B2649" s="2">
        <v>37408</v>
      </c>
      <c r="C2649" s="7">
        <f>_xlfn.FLOOR.MATH(Table1[[#This Row],[year]],10)</f>
        <v>2000</v>
      </c>
      <c r="D2649" t="s">
        <v>26</v>
      </c>
      <c r="E2649" t="s">
        <v>36</v>
      </c>
      <c r="F2649">
        <v>1</v>
      </c>
      <c r="G2649">
        <v>2</v>
      </c>
      <c r="H2649" t="s">
        <v>74</v>
      </c>
      <c r="I2649" t="s">
        <v>138</v>
      </c>
      <c r="J2649" t="s">
        <v>195</v>
      </c>
      <c r="K2649" t="b">
        <v>1</v>
      </c>
      <c r="L2649">
        <v>2002</v>
      </c>
      <c r="M2649">
        <v>13606515722</v>
      </c>
      <c r="N2649">
        <v>178788209558</v>
      </c>
      <c r="O2649" t="b">
        <v>1</v>
      </c>
      <c r="P2649">
        <v>1</v>
      </c>
      <c r="Q2649" t="str" cm="1">
        <f t="array" ref="Q2649">_xlfn.IFS(Table1[[#This Row],[Wealthier_Winner]]=-1,"Wealthier Nation Loses",Table1[[#This Row],[Wealthier_Winner]]=0,"Tie",Table1[[#This Row],[Wealthier_Winner]]=1,"Wealthier Nation Wins")</f>
        <v>Wealthier Nation Wins</v>
      </c>
    </row>
    <row r="2650" spans="1:17" x14ac:dyDescent="0.2">
      <c r="A2650" s="1">
        <v>4289</v>
      </c>
      <c r="B2650" s="2">
        <v>37409</v>
      </c>
      <c r="C2650" s="7">
        <f>_xlfn.FLOOR.MATH(Table1[[#This Row],[year]],10)</f>
        <v>2000</v>
      </c>
      <c r="D2650" t="s">
        <v>19</v>
      </c>
      <c r="E2650" t="s">
        <v>43</v>
      </c>
      <c r="F2650">
        <v>1</v>
      </c>
      <c r="G2650">
        <v>0</v>
      </c>
      <c r="H2650" t="s">
        <v>74</v>
      </c>
      <c r="I2650" t="s">
        <v>139</v>
      </c>
      <c r="J2650" t="s">
        <v>51</v>
      </c>
      <c r="K2650" t="b">
        <v>1</v>
      </c>
      <c r="L2650">
        <v>2002</v>
      </c>
      <c r="M2650">
        <v>97724004251</v>
      </c>
      <c r="N2650">
        <v>95054059302</v>
      </c>
      <c r="O2650" t="b">
        <v>0</v>
      </c>
      <c r="P2650">
        <v>1</v>
      </c>
      <c r="Q2650" t="str" cm="1">
        <f t="array" ref="Q2650">_xlfn.IFS(Table1[[#This Row],[Wealthier_Winner]]=-1,"Wealthier Nation Loses",Table1[[#This Row],[Wealthier_Winner]]=0,"Tie",Table1[[#This Row],[Wealthier_Winner]]=1,"Wealthier Nation Wins")</f>
        <v>Wealthier Nation Wins</v>
      </c>
    </row>
    <row r="2651" spans="1:17" x14ac:dyDescent="0.2">
      <c r="A2651" s="1">
        <v>4290</v>
      </c>
      <c r="B2651" s="2">
        <v>37409</v>
      </c>
      <c r="C2651" s="7">
        <f>_xlfn.FLOOR.MATH(Table1[[#This Row],[year]],10)</f>
        <v>2000</v>
      </c>
      <c r="D2651" t="s">
        <v>194</v>
      </c>
      <c r="E2651" t="s">
        <v>25</v>
      </c>
      <c r="F2651">
        <v>1</v>
      </c>
      <c r="G2651">
        <v>1</v>
      </c>
      <c r="H2651" t="s">
        <v>74</v>
      </c>
      <c r="I2651" t="s">
        <v>143</v>
      </c>
      <c r="J2651" t="s">
        <v>51</v>
      </c>
      <c r="K2651" t="b">
        <v>1</v>
      </c>
      <c r="L2651">
        <v>2002</v>
      </c>
      <c r="M2651">
        <v>1790536570743</v>
      </c>
      <c r="N2651">
        <v>267371907446</v>
      </c>
      <c r="O2651" t="b">
        <v>1</v>
      </c>
      <c r="P2651">
        <v>0</v>
      </c>
      <c r="Q2651" t="str" cm="1">
        <f t="array" ref="Q2651">_xlfn.IFS(Table1[[#This Row],[Wealthier_Winner]]=-1,"Wealthier Nation Loses",Table1[[#This Row],[Wealthier_Winner]]=0,"Tie",Table1[[#This Row],[Wealthier_Winner]]=1,"Wealthier Nation Wins")</f>
        <v>Tie</v>
      </c>
    </row>
    <row r="2652" spans="1:17" x14ac:dyDescent="0.2">
      <c r="A2652" s="1">
        <v>4291</v>
      </c>
      <c r="B2652" s="2">
        <v>37409</v>
      </c>
      <c r="C2652" s="7">
        <f>_xlfn.FLOOR.MATH(Table1[[#This Row],[year]],10)</f>
        <v>2000</v>
      </c>
      <c r="D2652" t="s">
        <v>35</v>
      </c>
      <c r="E2652" t="s">
        <v>50</v>
      </c>
      <c r="F2652">
        <v>2</v>
      </c>
      <c r="G2652">
        <v>2</v>
      </c>
      <c r="H2652" t="s">
        <v>74</v>
      </c>
      <c r="I2652" t="s">
        <v>140</v>
      </c>
      <c r="J2652" t="s">
        <v>195</v>
      </c>
      <c r="K2652" t="b">
        <v>1</v>
      </c>
      <c r="L2652">
        <v>2002</v>
      </c>
      <c r="M2652">
        <v>7196260656</v>
      </c>
      <c r="N2652">
        <v>129087556612</v>
      </c>
      <c r="O2652" t="b">
        <v>1</v>
      </c>
      <c r="P2652">
        <v>0</v>
      </c>
      <c r="Q2652" t="str" cm="1">
        <f t="array" ref="Q2652">_xlfn.IFS(Table1[[#This Row],[Wealthier_Winner]]=-1,"Wealthier Nation Loses",Table1[[#This Row],[Wealthier_Winner]]=0,"Tie",Table1[[#This Row],[Wealthier_Winner]]=1,"Wealthier Nation Wins")</f>
        <v>Tie</v>
      </c>
    </row>
    <row r="2653" spans="1:17" x14ac:dyDescent="0.2">
      <c r="A2653" s="1">
        <v>4292</v>
      </c>
      <c r="B2653" s="2">
        <v>37409</v>
      </c>
      <c r="C2653" s="7">
        <f>_xlfn.FLOOR.MATH(Table1[[#This Row],[year]],10)</f>
        <v>2000</v>
      </c>
      <c r="D2653" t="s">
        <v>21</v>
      </c>
      <c r="E2653" t="s">
        <v>55</v>
      </c>
      <c r="F2653">
        <v>3</v>
      </c>
      <c r="G2653">
        <v>1</v>
      </c>
      <c r="H2653" t="s">
        <v>74</v>
      </c>
      <c r="I2653" t="s">
        <v>141</v>
      </c>
      <c r="J2653" t="s">
        <v>195</v>
      </c>
      <c r="K2653" t="b">
        <v>1</v>
      </c>
      <c r="L2653">
        <v>2002</v>
      </c>
      <c r="M2653">
        <v>708938227243</v>
      </c>
      <c r="N2653">
        <v>23214593516</v>
      </c>
      <c r="O2653" t="b">
        <v>1</v>
      </c>
      <c r="P2653">
        <v>1</v>
      </c>
      <c r="Q2653" t="str" cm="1">
        <f t="array" ref="Q2653">_xlfn.IFS(Table1[[#This Row],[Wealthier_Winner]]=-1,"Wealthier Nation Loses",Table1[[#This Row],[Wealthier_Winner]]=0,"Tie",Table1[[#This Row],[Wealthier_Winner]]=1,"Wealthier Nation Wins")</f>
        <v>Wealthier Nation Wins</v>
      </c>
    </row>
    <row r="2654" spans="1:17" x14ac:dyDescent="0.2">
      <c r="A2654" s="1">
        <v>4294</v>
      </c>
      <c r="B2654" s="2">
        <v>37410</v>
      </c>
      <c r="C2654" s="7">
        <f>_xlfn.FLOOR.MATH(Table1[[#This Row],[year]],10)</f>
        <v>2000</v>
      </c>
      <c r="D2654" t="s">
        <v>52</v>
      </c>
      <c r="E2654" t="s">
        <v>17</v>
      </c>
      <c r="F2654">
        <v>0</v>
      </c>
      <c r="G2654">
        <v>1</v>
      </c>
      <c r="H2654" t="s">
        <v>74</v>
      </c>
      <c r="I2654" t="s">
        <v>142</v>
      </c>
      <c r="J2654" t="s">
        <v>51</v>
      </c>
      <c r="K2654" t="b">
        <v>1</v>
      </c>
      <c r="L2654">
        <v>2002</v>
      </c>
      <c r="M2654">
        <v>26757722428</v>
      </c>
      <c r="N2654">
        <v>810666116401</v>
      </c>
      <c r="O2654" t="b">
        <v>1</v>
      </c>
      <c r="P2654">
        <v>1</v>
      </c>
      <c r="Q2654" t="str" cm="1">
        <f t="array" ref="Q2654">_xlfn.IFS(Table1[[#This Row],[Wealthier_Winner]]=-1,"Wealthier Nation Loses",Table1[[#This Row],[Wealthier_Winner]]=0,"Tie",Table1[[#This Row],[Wealthier_Winner]]=1,"Wealthier Nation Wins")</f>
        <v>Wealthier Nation Wins</v>
      </c>
    </row>
    <row r="2655" spans="1:17" x14ac:dyDescent="0.2">
      <c r="A2655" s="1">
        <v>4295</v>
      </c>
      <c r="B2655" s="2">
        <v>37410</v>
      </c>
      <c r="C2655" s="7">
        <f>_xlfn.FLOOR.MATH(Table1[[#This Row],[year]],10)</f>
        <v>2000</v>
      </c>
      <c r="D2655" t="s">
        <v>18</v>
      </c>
      <c r="E2655" t="s">
        <v>57</v>
      </c>
      <c r="F2655">
        <v>2</v>
      </c>
      <c r="G2655">
        <v>0</v>
      </c>
      <c r="H2655" t="s">
        <v>74</v>
      </c>
      <c r="I2655" t="s">
        <v>137</v>
      </c>
      <c r="J2655" t="s">
        <v>51</v>
      </c>
      <c r="K2655" t="b">
        <v>1</v>
      </c>
      <c r="L2655">
        <v>2002</v>
      </c>
      <c r="M2655">
        <v>1281746271196</v>
      </c>
      <c r="N2655">
        <v>27054197000</v>
      </c>
      <c r="O2655" t="b">
        <v>1</v>
      </c>
      <c r="P2655">
        <v>1</v>
      </c>
      <c r="Q2655" t="str" cm="1">
        <f t="array" ref="Q2655">_xlfn.IFS(Table1[[#This Row],[Wealthier_Winner]]=-1,"Wealthier Nation Loses",Table1[[#This Row],[Wealthier_Winner]]=0,"Tie",Table1[[#This Row],[Wealthier_Winner]]=1,"Wealthier Nation Wins")</f>
        <v>Wealthier Nation Wins</v>
      </c>
    </row>
    <row r="2656" spans="1:17" x14ac:dyDescent="0.2">
      <c r="A2656" s="1">
        <v>4297</v>
      </c>
      <c r="B2656" s="2">
        <v>37411</v>
      </c>
      <c r="C2656" s="7">
        <f>_xlfn.FLOOR.MATH(Table1[[#This Row],[year]],10)</f>
        <v>2000</v>
      </c>
      <c r="D2656" t="s">
        <v>51</v>
      </c>
      <c r="E2656" t="s">
        <v>23</v>
      </c>
      <c r="F2656">
        <v>2</v>
      </c>
      <c r="G2656">
        <v>2</v>
      </c>
      <c r="H2656" t="s">
        <v>74</v>
      </c>
      <c r="I2656" t="s">
        <v>143</v>
      </c>
      <c r="J2656" t="s">
        <v>51</v>
      </c>
      <c r="K2656" t="b">
        <v>0</v>
      </c>
      <c r="L2656">
        <v>2002</v>
      </c>
      <c r="M2656">
        <v>4182846045873</v>
      </c>
      <c r="N2656">
        <v>258383599375</v>
      </c>
      <c r="O2656" t="b">
        <v>1</v>
      </c>
      <c r="P2656">
        <v>0</v>
      </c>
      <c r="Q2656" t="str" cm="1">
        <f t="array" ref="Q2656">_xlfn.IFS(Table1[[#This Row],[Wealthier_Winner]]=-1,"Wealthier Nation Loses",Table1[[#This Row],[Wealthier_Winner]]=0,"Tie",Table1[[#This Row],[Wealthier_Winner]]=1,"Wealthier Nation Wins")</f>
        <v>Tie</v>
      </c>
    </row>
    <row r="2657" spans="1:17" x14ac:dyDescent="0.2">
      <c r="A2657" s="1">
        <v>4298</v>
      </c>
      <c r="B2657" s="2">
        <v>37411</v>
      </c>
      <c r="C2657" s="7">
        <f>_xlfn.FLOOR.MATH(Table1[[#This Row],[year]],10)</f>
        <v>2000</v>
      </c>
      <c r="D2657" t="s">
        <v>195</v>
      </c>
      <c r="E2657" t="s">
        <v>58</v>
      </c>
      <c r="F2657">
        <v>2</v>
      </c>
      <c r="G2657">
        <v>0</v>
      </c>
      <c r="H2657" t="s">
        <v>74</v>
      </c>
      <c r="I2657" t="s">
        <v>140</v>
      </c>
      <c r="J2657" t="s">
        <v>195</v>
      </c>
      <c r="K2657" t="b">
        <v>0</v>
      </c>
      <c r="L2657">
        <v>2002</v>
      </c>
      <c r="M2657">
        <v>650014391470</v>
      </c>
      <c r="N2657">
        <v>199694463255</v>
      </c>
      <c r="O2657" t="b">
        <v>1</v>
      </c>
      <c r="P2657">
        <v>1</v>
      </c>
      <c r="Q2657" t="str" cm="1">
        <f t="array" ref="Q2657">_xlfn.IFS(Table1[[#This Row],[Wealthier_Winner]]=-1,"Wealthier Nation Loses",Table1[[#This Row],[Wealthier_Winner]]=0,"Tie",Table1[[#This Row],[Wealthier_Winner]]=1,"Wealthier Nation Wins")</f>
        <v>Wealthier Nation Wins</v>
      </c>
    </row>
    <row r="2658" spans="1:17" x14ac:dyDescent="0.2">
      <c r="A2658" s="1">
        <v>4300</v>
      </c>
      <c r="B2658" s="2">
        <v>37412</v>
      </c>
      <c r="C2658" s="7">
        <f>_xlfn.FLOOR.MATH(Table1[[#This Row],[year]],10)</f>
        <v>2000</v>
      </c>
      <c r="D2658" t="s">
        <v>196</v>
      </c>
      <c r="E2658" t="s">
        <v>53</v>
      </c>
      <c r="F2658">
        <v>2</v>
      </c>
      <c r="G2658">
        <v>0</v>
      </c>
      <c r="H2658" t="s">
        <v>74</v>
      </c>
      <c r="I2658" t="s">
        <v>147</v>
      </c>
      <c r="J2658" t="s">
        <v>51</v>
      </c>
      <c r="K2658" t="b">
        <v>1</v>
      </c>
      <c r="L2658">
        <v>2002</v>
      </c>
      <c r="M2658">
        <v>345470494417</v>
      </c>
      <c r="N2658">
        <v>23141616604</v>
      </c>
      <c r="O2658" t="b">
        <v>1</v>
      </c>
      <c r="P2658">
        <v>1</v>
      </c>
      <c r="Q2658" t="str" cm="1">
        <f t="array" ref="Q2658">_xlfn.IFS(Table1[[#This Row],[Wealthier_Winner]]=-1,"Wealthier Nation Loses",Table1[[#This Row],[Wealthier_Winner]]=0,"Tie",Table1[[#This Row],[Wealthier_Winner]]=1,"Wealthier Nation Wins")</f>
        <v>Wealthier Nation Wins</v>
      </c>
    </row>
    <row r="2659" spans="1:17" x14ac:dyDescent="0.2">
      <c r="A2659" s="1">
        <v>4301</v>
      </c>
      <c r="B2659" s="2">
        <v>37412</v>
      </c>
      <c r="C2659" s="7">
        <f>_xlfn.FLOOR.MATH(Table1[[#This Row],[year]],10)</f>
        <v>2000</v>
      </c>
      <c r="D2659" t="s">
        <v>41</v>
      </c>
      <c r="E2659" t="s">
        <v>38</v>
      </c>
      <c r="F2659">
        <v>3</v>
      </c>
      <c r="G2659">
        <v>2</v>
      </c>
      <c r="H2659" t="s">
        <v>74</v>
      </c>
      <c r="I2659" t="s">
        <v>144</v>
      </c>
      <c r="J2659" t="s">
        <v>195</v>
      </c>
      <c r="K2659" t="b">
        <v>1</v>
      </c>
      <c r="L2659">
        <v>2002</v>
      </c>
      <c r="M2659">
        <v>10929112955000</v>
      </c>
      <c r="N2659">
        <v>134795565549</v>
      </c>
      <c r="O2659" t="b">
        <v>1</v>
      </c>
      <c r="P2659">
        <v>1</v>
      </c>
      <c r="Q2659" t="str" cm="1">
        <f t="array" ref="Q2659">_xlfn.IFS(Table1[[#This Row],[Wealthier_Winner]]=-1,"Wealthier Nation Loses",Table1[[#This Row],[Wealthier_Winner]]=0,"Tie",Table1[[#This Row],[Wealthier_Winner]]=1,"Wealthier Nation Wins")</f>
        <v>Wealthier Nation Wins</v>
      </c>
    </row>
    <row r="2660" spans="1:17" x14ac:dyDescent="0.2">
      <c r="A2660" s="1">
        <v>4302</v>
      </c>
      <c r="B2660" s="2">
        <v>37413</v>
      </c>
      <c r="C2660" s="7">
        <f>_xlfn.FLOOR.MATH(Table1[[#This Row],[year]],10)</f>
        <v>2000</v>
      </c>
      <c r="D2660" t="s">
        <v>40</v>
      </c>
      <c r="E2660" t="s">
        <v>45</v>
      </c>
      <c r="F2660">
        <v>1</v>
      </c>
      <c r="G2660">
        <v>0</v>
      </c>
      <c r="H2660" t="s">
        <v>74</v>
      </c>
      <c r="I2660" t="s">
        <v>143</v>
      </c>
      <c r="J2660" t="s">
        <v>51</v>
      </c>
      <c r="K2660" t="b">
        <v>1</v>
      </c>
      <c r="L2660">
        <v>2002</v>
      </c>
      <c r="M2660">
        <v>12417251350</v>
      </c>
      <c r="N2660">
        <v>189605866666</v>
      </c>
      <c r="O2660" t="b">
        <v>1</v>
      </c>
      <c r="P2660">
        <v>-1</v>
      </c>
      <c r="Q2660" t="str" cm="1">
        <f t="array" ref="Q2660">_xlfn.IFS(Table1[[#This Row],[Wealthier_Winner]]=-1,"Wealthier Nation Loses",Table1[[#This Row],[Wealthier_Winner]]=0,"Tie",Table1[[#This Row],[Wealthier_Winner]]=1,"Wealthier Nation Wins")</f>
        <v>Wealthier Nation Loses</v>
      </c>
    </row>
    <row r="2661" spans="1:17" x14ac:dyDescent="0.2">
      <c r="A2661" s="1">
        <v>4303</v>
      </c>
      <c r="B2661" s="2">
        <v>37413</v>
      </c>
      <c r="C2661" s="7">
        <f>_xlfn.FLOOR.MATH(Table1[[#This Row],[year]],10)</f>
        <v>2000</v>
      </c>
      <c r="D2661" t="s">
        <v>36</v>
      </c>
      <c r="E2661" t="s">
        <v>54</v>
      </c>
      <c r="F2661">
        <v>1</v>
      </c>
      <c r="G2661">
        <v>1</v>
      </c>
      <c r="H2661" t="s">
        <v>74</v>
      </c>
      <c r="I2661" t="s">
        <v>145</v>
      </c>
      <c r="J2661" t="s">
        <v>195</v>
      </c>
      <c r="K2661" t="b">
        <v>1</v>
      </c>
      <c r="L2661">
        <v>2002</v>
      </c>
      <c r="M2661">
        <v>178788209558</v>
      </c>
      <c r="N2661">
        <v>7006402319</v>
      </c>
      <c r="O2661" t="b">
        <v>1</v>
      </c>
      <c r="P2661">
        <v>0</v>
      </c>
      <c r="Q2661" t="str" cm="1">
        <f t="array" ref="Q2661">_xlfn.IFS(Table1[[#This Row],[Wealthier_Winner]]=-1,"Wealthier Nation Loses",Table1[[#This Row],[Wealthier_Winner]]=0,"Tie",Table1[[#This Row],[Wealthier_Winner]]=1,"Wealthier Nation Wins")</f>
        <v>Tie</v>
      </c>
    </row>
    <row r="2662" spans="1:17" x14ac:dyDescent="0.2">
      <c r="A2662" s="1">
        <v>4304</v>
      </c>
      <c r="B2662" s="2">
        <v>37413</v>
      </c>
      <c r="C2662" s="7">
        <f>_xlfn.FLOOR.MATH(Table1[[#This Row],[year]],10)</f>
        <v>2000</v>
      </c>
      <c r="D2662" t="s">
        <v>20</v>
      </c>
      <c r="E2662" t="s">
        <v>26</v>
      </c>
      <c r="F2662">
        <v>0</v>
      </c>
      <c r="G2662">
        <v>0</v>
      </c>
      <c r="H2662" t="s">
        <v>74</v>
      </c>
      <c r="I2662" t="s">
        <v>140</v>
      </c>
      <c r="J2662" t="s">
        <v>195</v>
      </c>
      <c r="K2662" t="b">
        <v>1</v>
      </c>
      <c r="L2662">
        <v>2002</v>
      </c>
      <c r="M2662">
        <v>1492427756382</v>
      </c>
      <c r="N2662">
        <v>13606515722</v>
      </c>
      <c r="O2662" t="b">
        <v>1</v>
      </c>
      <c r="P2662">
        <v>0</v>
      </c>
      <c r="Q2662" t="str" cm="1">
        <f t="array" ref="Q2662">_xlfn.IFS(Table1[[#This Row],[Wealthier_Winner]]=-1,"Wealthier Nation Loses",Table1[[#This Row],[Wealthier_Winner]]=0,"Tie",Table1[[#This Row],[Wealthier_Winner]]=1,"Wealthier Nation Wins")</f>
        <v>Tie</v>
      </c>
    </row>
    <row r="2663" spans="1:17" x14ac:dyDescent="0.2">
      <c r="A2663" s="1">
        <v>4305</v>
      </c>
      <c r="B2663" s="2">
        <v>37414</v>
      </c>
      <c r="C2663" s="7">
        <f>_xlfn.FLOOR.MATH(Table1[[#This Row],[year]],10)</f>
        <v>2000</v>
      </c>
      <c r="D2663" t="s">
        <v>19</v>
      </c>
      <c r="E2663" t="s">
        <v>194</v>
      </c>
      <c r="F2663">
        <v>0</v>
      </c>
      <c r="G2663">
        <v>1</v>
      </c>
      <c r="H2663" t="s">
        <v>74</v>
      </c>
      <c r="I2663" t="s">
        <v>137</v>
      </c>
      <c r="J2663" t="s">
        <v>51</v>
      </c>
      <c r="K2663" t="b">
        <v>1</v>
      </c>
      <c r="L2663">
        <v>2002</v>
      </c>
      <c r="M2663">
        <v>97724004251</v>
      </c>
      <c r="N2663">
        <v>1790536570743</v>
      </c>
      <c r="O2663" t="b">
        <v>1</v>
      </c>
      <c r="P2663">
        <v>1</v>
      </c>
      <c r="Q2663" t="str" cm="1">
        <f t="array" ref="Q2663">_xlfn.IFS(Table1[[#This Row],[Wealthier_Winner]]=-1,"Wealthier Nation Loses",Table1[[#This Row],[Wealthier_Winner]]=0,"Tie",Table1[[#This Row],[Wealthier_Winner]]=1,"Wealthier Nation Wins")</f>
        <v>Wealthier Nation Wins</v>
      </c>
    </row>
    <row r="2664" spans="1:17" x14ac:dyDescent="0.2">
      <c r="A2664" s="1">
        <v>4306</v>
      </c>
      <c r="B2664" s="2">
        <v>37414</v>
      </c>
      <c r="C2664" s="7">
        <f>_xlfn.FLOOR.MATH(Table1[[#This Row],[year]],10)</f>
        <v>2000</v>
      </c>
      <c r="D2664" t="s">
        <v>21</v>
      </c>
      <c r="E2664" t="s">
        <v>35</v>
      </c>
      <c r="F2664">
        <v>3</v>
      </c>
      <c r="G2664">
        <v>1</v>
      </c>
      <c r="H2664" t="s">
        <v>74</v>
      </c>
      <c r="I2664" t="s">
        <v>146</v>
      </c>
      <c r="J2664" t="s">
        <v>195</v>
      </c>
      <c r="K2664" t="b">
        <v>1</v>
      </c>
      <c r="L2664">
        <v>2002</v>
      </c>
      <c r="M2664">
        <v>708938227243</v>
      </c>
      <c r="N2664">
        <v>7196260656</v>
      </c>
      <c r="O2664" t="b">
        <v>1</v>
      </c>
      <c r="P2664">
        <v>1</v>
      </c>
      <c r="Q2664" t="str" cm="1">
        <f t="array" ref="Q2664">_xlfn.IFS(Table1[[#This Row],[Wealthier_Winner]]=-1,"Wealthier Nation Loses",Table1[[#This Row],[Wealthier_Winner]]=0,"Tie",Table1[[#This Row],[Wealthier_Winner]]=1,"Wealthier Nation Wins")</f>
        <v>Wealthier Nation Wins</v>
      </c>
    </row>
    <row r="2665" spans="1:17" x14ac:dyDescent="0.2">
      <c r="A2665" s="1">
        <v>4307</v>
      </c>
      <c r="B2665" s="2">
        <v>37414</v>
      </c>
      <c r="C2665" s="7">
        <f>_xlfn.FLOOR.MATH(Table1[[#This Row],[year]],10)</f>
        <v>2000</v>
      </c>
      <c r="D2665" t="s">
        <v>25</v>
      </c>
      <c r="E2665" t="s">
        <v>43</v>
      </c>
      <c r="F2665">
        <v>2</v>
      </c>
      <c r="G2665">
        <v>1</v>
      </c>
      <c r="H2665" t="s">
        <v>74</v>
      </c>
      <c r="I2665" t="s">
        <v>147</v>
      </c>
      <c r="J2665" t="s">
        <v>51</v>
      </c>
      <c r="K2665" t="b">
        <v>1</v>
      </c>
      <c r="L2665">
        <v>2002</v>
      </c>
      <c r="M2665">
        <v>267371907446</v>
      </c>
      <c r="N2665">
        <v>95054059302</v>
      </c>
      <c r="O2665" t="b">
        <v>1</v>
      </c>
      <c r="P2665">
        <v>1</v>
      </c>
      <c r="Q2665" t="str" cm="1">
        <f t="array" ref="Q2665">_xlfn.IFS(Table1[[#This Row],[Wealthier_Winner]]=-1,"Wealthier Nation Loses",Table1[[#This Row],[Wealthier_Winner]]=0,"Tie",Table1[[#This Row],[Wealthier_Winner]]=1,"Wealthier Nation Wins")</f>
        <v>Wealthier Nation Wins</v>
      </c>
    </row>
    <row r="2666" spans="1:17" x14ac:dyDescent="0.2">
      <c r="A2666" s="1">
        <v>4309</v>
      </c>
      <c r="B2666" s="2">
        <v>37415</v>
      </c>
      <c r="C2666" s="7">
        <f>_xlfn.FLOOR.MATH(Table1[[#This Row],[year]],10)</f>
        <v>2000</v>
      </c>
      <c r="D2666" t="s">
        <v>18</v>
      </c>
      <c r="E2666" t="s">
        <v>52</v>
      </c>
      <c r="F2666">
        <v>1</v>
      </c>
      <c r="G2666">
        <v>2</v>
      </c>
      <c r="H2666" t="s">
        <v>74</v>
      </c>
      <c r="I2666" t="s">
        <v>139</v>
      </c>
      <c r="J2666" t="s">
        <v>51</v>
      </c>
      <c r="K2666" t="b">
        <v>1</v>
      </c>
      <c r="L2666">
        <v>2002</v>
      </c>
      <c r="M2666">
        <v>1281746271196</v>
      </c>
      <c r="N2666">
        <v>26757722428</v>
      </c>
      <c r="O2666" t="b">
        <v>1</v>
      </c>
      <c r="P2666">
        <v>-1</v>
      </c>
      <c r="Q2666" t="str" cm="1">
        <f t="array" ref="Q2666">_xlfn.IFS(Table1[[#This Row],[Wealthier_Winner]]=-1,"Wealthier Nation Loses",Table1[[#This Row],[Wealthier_Winner]]=0,"Tie",Table1[[#This Row],[Wealthier_Winner]]=1,"Wealthier Nation Wins")</f>
        <v>Wealthier Nation Loses</v>
      </c>
    </row>
    <row r="2667" spans="1:17" x14ac:dyDescent="0.2">
      <c r="A2667" s="1">
        <v>4310</v>
      </c>
      <c r="B2667" s="2">
        <v>37415</v>
      </c>
      <c r="C2667" s="7">
        <f>_xlfn.FLOOR.MATH(Table1[[#This Row],[year]],10)</f>
        <v>2000</v>
      </c>
      <c r="D2667" t="s">
        <v>50</v>
      </c>
      <c r="E2667" t="s">
        <v>55</v>
      </c>
      <c r="F2667">
        <v>1</v>
      </c>
      <c r="G2667">
        <v>0</v>
      </c>
      <c r="H2667" t="s">
        <v>74</v>
      </c>
      <c r="I2667" t="s">
        <v>145</v>
      </c>
      <c r="J2667" t="s">
        <v>195</v>
      </c>
      <c r="K2667" t="b">
        <v>1</v>
      </c>
      <c r="L2667">
        <v>2002</v>
      </c>
      <c r="M2667">
        <v>129087556612</v>
      </c>
      <c r="N2667">
        <v>23214593516</v>
      </c>
      <c r="O2667" t="b">
        <v>1</v>
      </c>
      <c r="P2667">
        <v>1</v>
      </c>
      <c r="Q2667" t="str" cm="1">
        <f t="array" ref="Q2667">_xlfn.IFS(Table1[[#This Row],[Wealthier_Winner]]=-1,"Wealthier Nation Loses",Table1[[#This Row],[Wealthier_Winner]]=0,"Tie",Table1[[#This Row],[Wealthier_Winner]]=1,"Wealthier Nation Wins")</f>
        <v>Wealthier Nation Wins</v>
      </c>
    </row>
    <row r="2668" spans="1:17" x14ac:dyDescent="0.2">
      <c r="A2668" s="1">
        <v>4312</v>
      </c>
      <c r="B2668" s="2">
        <v>37416</v>
      </c>
      <c r="C2668" s="7">
        <f>_xlfn.FLOOR.MATH(Table1[[#This Row],[year]],10)</f>
        <v>2000</v>
      </c>
      <c r="D2668" t="s">
        <v>51</v>
      </c>
      <c r="E2668" t="s">
        <v>196</v>
      </c>
      <c r="F2668">
        <v>1</v>
      </c>
      <c r="G2668">
        <v>0</v>
      </c>
      <c r="H2668" t="s">
        <v>74</v>
      </c>
      <c r="I2668" t="s">
        <v>153</v>
      </c>
      <c r="J2668" t="s">
        <v>51</v>
      </c>
      <c r="K2668" t="b">
        <v>0</v>
      </c>
      <c r="L2668">
        <v>2002</v>
      </c>
      <c r="M2668">
        <v>4182846045873</v>
      </c>
      <c r="N2668">
        <v>345470494417</v>
      </c>
      <c r="O2668" t="b">
        <v>1</v>
      </c>
      <c r="P2668">
        <v>1</v>
      </c>
      <c r="Q2668" t="str" cm="1">
        <f t="array" ref="Q2668">_xlfn.IFS(Table1[[#This Row],[Wealthier_Winner]]=-1,"Wealthier Nation Loses",Table1[[#This Row],[Wealthier_Winner]]=0,"Tie",Table1[[#This Row],[Wealthier_Winner]]=1,"Wealthier Nation Wins")</f>
        <v>Wealthier Nation Wins</v>
      </c>
    </row>
    <row r="2669" spans="1:17" x14ac:dyDescent="0.2">
      <c r="A2669" s="1">
        <v>4313</v>
      </c>
      <c r="B2669" s="2">
        <v>37416</v>
      </c>
      <c r="C2669" s="7">
        <f>_xlfn.FLOOR.MATH(Table1[[#This Row],[year]],10)</f>
        <v>2000</v>
      </c>
      <c r="D2669" t="s">
        <v>17</v>
      </c>
      <c r="E2669" t="s">
        <v>57</v>
      </c>
      <c r="F2669">
        <v>2</v>
      </c>
      <c r="G2669">
        <v>1</v>
      </c>
      <c r="H2669" t="s">
        <v>74</v>
      </c>
      <c r="I2669" t="s">
        <v>148</v>
      </c>
      <c r="J2669" t="s">
        <v>51</v>
      </c>
      <c r="K2669" t="b">
        <v>1</v>
      </c>
      <c r="L2669">
        <v>2002</v>
      </c>
      <c r="M2669">
        <v>810666116401</v>
      </c>
      <c r="N2669">
        <v>27054197000</v>
      </c>
      <c r="O2669" t="b">
        <v>1</v>
      </c>
      <c r="P2669">
        <v>1</v>
      </c>
      <c r="Q2669" t="str" cm="1">
        <f t="array" ref="Q2669">_xlfn.IFS(Table1[[#This Row],[Wealthier_Winner]]=-1,"Wealthier Nation Loses",Table1[[#This Row],[Wealthier_Winner]]=0,"Tie",Table1[[#This Row],[Wealthier_Winner]]=1,"Wealthier Nation Wins")</f>
        <v>Wealthier Nation Wins</v>
      </c>
    </row>
    <row r="2670" spans="1:17" x14ac:dyDescent="0.2">
      <c r="A2670" s="1">
        <v>4314</v>
      </c>
      <c r="B2670" s="2">
        <v>37417</v>
      </c>
      <c r="C2670" s="7">
        <f>_xlfn.FLOOR.MATH(Table1[[#This Row],[year]],10)</f>
        <v>2000</v>
      </c>
      <c r="D2670" t="s">
        <v>195</v>
      </c>
      <c r="E2670" t="s">
        <v>41</v>
      </c>
      <c r="F2670">
        <v>1</v>
      </c>
      <c r="G2670">
        <v>1</v>
      </c>
      <c r="H2670" t="s">
        <v>74</v>
      </c>
      <c r="I2670" t="s">
        <v>145</v>
      </c>
      <c r="J2670" t="s">
        <v>195</v>
      </c>
      <c r="K2670" t="b">
        <v>0</v>
      </c>
      <c r="L2670">
        <v>2002</v>
      </c>
      <c r="M2670">
        <v>650014391470</v>
      </c>
      <c r="N2670">
        <v>10929112955000</v>
      </c>
      <c r="O2670" t="b">
        <v>1</v>
      </c>
      <c r="P2670">
        <v>0</v>
      </c>
      <c r="Q2670" t="str" cm="1">
        <f t="array" ref="Q2670">_xlfn.IFS(Table1[[#This Row],[Wealthier_Winner]]=-1,"Wealthier Nation Loses",Table1[[#This Row],[Wealthier_Winner]]=0,"Tie",Table1[[#This Row],[Wealthier_Winner]]=1,"Wealthier Nation Wins")</f>
        <v>Tie</v>
      </c>
    </row>
    <row r="2671" spans="1:17" x14ac:dyDescent="0.2">
      <c r="A2671" s="1">
        <v>4315</v>
      </c>
      <c r="B2671" s="2">
        <v>37417</v>
      </c>
      <c r="C2671" s="7">
        <f>_xlfn.FLOOR.MATH(Table1[[#This Row],[year]],10)</f>
        <v>2000</v>
      </c>
      <c r="D2671" t="s">
        <v>38</v>
      </c>
      <c r="E2671" t="s">
        <v>58</v>
      </c>
      <c r="F2671">
        <v>4</v>
      </c>
      <c r="G2671">
        <v>0</v>
      </c>
      <c r="H2671" t="s">
        <v>74</v>
      </c>
      <c r="I2671" t="s">
        <v>146</v>
      </c>
      <c r="J2671" t="s">
        <v>195</v>
      </c>
      <c r="K2671" t="b">
        <v>1</v>
      </c>
      <c r="L2671">
        <v>2002</v>
      </c>
      <c r="M2671">
        <v>134795565549</v>
      </c>
      <c r="N2671">
        <v>199694463255</v>
      </c>
      <c r="O2671" t="b">
        <v>0</v>
      </c>
      <c r="P2671">
        <v>-1</v>
      </c>
      <c r="Q2671" t="str" cm="1">
        <f t="array" ref="Q2671">_xlfn.IFS(Table1[[#This Row],[Wealthier_Winner]]=-1,"Wealthier Nation Loses",Table1[[#This Row],[Wealthier_Winner]]=0,"Tie",Table1[[#This Row],[Wealthier_Winner]]=1,"Wealthier Nation Wins")</f>
        <v>Wealthier Nation Loses</v>
      </c>
    </row>
    <row r="2672" spans="1:17" x14ac:dyDescent="0.2">
      <c r="A2672" s="1">
        <v>4316</v>
      </c>
      <c r="B2672" s="2">
        <v>37417</v>
      </c>
      <c r="C2672" s="7">
        <f>_xlfn.FLOOR.MATH(Table1[[#This Row],[year]],10)</f>
        <v>2000</v>
      </c>
      <c r="D2672" t="s">
        <v>53</v>
      </c>
      <c r="E2672" t="s">
        <v>23</v>
      </c>
      <c r="F2672">
        <v>1</v>
      </c>
      <c r="G2672">
        <v>1</v>
      </c>
      <c r="H2672" t="s">
        <v>74</v>
      </c>
      <c r="I2672" t="s">
        <v>638</v>
      </c>
      <c r="J2672" t="s">
        <v>51</v>
      </c>
      <c r="K2672" t="b">
        <v>1</v>
      </c>
      <c r="L2672">
        <v>2002</v>
      </c>
      <c r="M2672">
        <v>23141616604</v>
      </c>
      <c r="N2672">
        <v>258383599375</v>
      </c>
      <c r="O2672" t="b">
        <v>1</v>
      </c>
      <c r="P2672">
        <v>0</v>
      </c>
      <c r="Q2672" t="str" cm="1">
        <f t="array" ref="Q2672">_xlfn.IFS(Table1[[#This Row],[Wealthier_Winner]]=-1,"Wealthier Nation Loses",Table1[[#This Row],[Wealthier_Winner]]=0,"Tie",Table1[[#This Row],[Wealthier_Winner]]=1,"Wealthier Nation Wins")</f>
        <v>Tie</v>
      </c>
    </row>
    <row r="2673" spans="1:17" x14ac:dyDescent="0.2">
      <c r="A2673" s="1">
        <v>4317</v>
      </c>
      <c r="B2673" s="2">
        <v>37418</v>
      </c>
      <c r="C2673" s="7">
        <f>_xlfn.FLOOR.MATH(Table1[[#This Row],[year]],10)</f>
        <v>2000</v>
      </c>
      <c r="D2673" t="s">
        <v>40</v>
      </c>
      <c r="E2673" t="s">
        <v>16</v>
      </c>
      <c r="F2673">
        <v>0</v>
      </c>
      <c r="G2673">
        <v>2</v>
      </c>
      <c r="H2673" t="s">
        <v>74</v>
      </c>
      <c r="I2673" t="s">
        <v>149</v>
      </c>
      <c r="J2673" t="s">
        <v>51</v>
      </c>
      <c r="K2673" t="b">
        <v>1</v>
      </c>
      <c r="L2673">
        <v>2002</v>
      </c>
      <c r="M2673">
        <v>12417251350</v>
      </c>
      <c r="N2673">
        <v>2102350798305</v>
      </c>
      <c r="O2673" t="b">
        <v>1</v>
      </c>
      <c r="P2673">
        <v>1</v>
      </c>
      <c r="Q2673" t="str" cm="1">
        <f t="array" ref="Q2673">_xlfn.IFS(Table1[[#This Row],[Wealthier_Winner]]=-1,"Wealthier Nation Loses",Table1[[#This Row],[Wealthier_Winner]]=0,"Tie",Table1[[#This Row],[Wealthier_Winner]]=1,"Wealthier Nation Wins")</f>
        <v>Wealthier Nation Wins</v>
      </c>
    </row>
    <row r="2674" spans="1:17" x14ac:dyDescent="0.2">
      <c r="A2674" s="1">
        <v>4318</v>
      </c>
      <c r="B2674" s="2">
        <v>37418</v>
      </c>
      <c r="C2674" s="7">
        <f>_xlfn.FLOOR.MATH(Table1[[#This Row],[year]],10)</f>
        <v>2000</v>
      </c>
      <c r="D2674" t="s">
        <v>36</v>
      </c>
      <c r="E2674" t="s">
        <v>20</v>
      </c>
      <c r="F2674">
        <v>2</v>
      </c>
      <c r="G2674">
        <v>0</v>
      </c>
      <c r="H2674" t="s">
        <v>74</v>
      </c>
      <c r="I2674" t="s">
        <v>150</v>
      </c>
      <c r="J2674" t="s">
        <v>195</v>
      </c>
      <c r="K2674" t="b">
        <v>1</v>
      </c>
      <c r="L2674">
        <v>2002</v>
      </c>
      <c r="M2674">
        <v>178788209558</v>
      </c>
      <c r="N2674">
        <v>1492427756382</v>
      </c>
      <c r="O2674" t="b">
        <v>1</v>
      </c>
      <c r="P2674">
        <v>-1</v>
      </c>
      <c r="Q2674" t="str" cm="1">
        <f t="array" ref="Q2674">_xlfn.IFS(Table1[[#This Row],[Wealthier_Winner]]=-1,"Wealthier Nation Loses",Table1[[#This Row],[Wealthier_Winner]]=0,"Tie",Table1[[#This Row],[Wealthier_Winner]]=1,"Wealthier Nation Wins")</f>
        <v>Wealthier Nation Loses</v>
      </c>
    </row>
    <row r="2675" spans="1:17" x14ac:dyDescent="0.2">
      <c r="A2675" s="1">
        <v>4320</v>
      </c>
      <c r="B2675" s="2">
        <v>37418</v>
      </c>
      <c r="C2675" s="7">
        <f>_xlfn.FLOOR.MATH(Table1[[#This Row],[year]],10)</f>
        <v>2000</v>
      </c>
      <c r="D2675" t="s">
        <v>54</v>
      </c>
      <c r="E2675" t="s">
        <v>26</v>
      </c>
      <c r="F2675">
        <v>3</v>
      </c>
      <c r="G2675">
        <v>3</v>
      </c>
      <c r="H2675" t="s">
        <v>74</v>
      </c>
      <c r="I2675" t="s">
        <v>144</v>
      </c>
      <c r="J2675" t="s">
        <v>195</v>
      </c>
      <c r="K2675" t="b">
        <v>1</v>
      </c>
      <c r="L2675">
        <v>2002</v>
      </c>
      <c r="M2675">
        <v>7006402319</v>
      </c>
      <c r="N2675">
        <v>13606515722</v>
      </c>
      <c r="O2675" t="b">
        <v>0</v>
      </c>
      <c r="P2675">
        <v>0</v>
      </c>
      <c r="Q2675" t="str" cm="1">
        <f t="array" ref="Q2675">_xlfn.IFS(Table1[[#This Row],[Wealthier_Winner]]=-1,"Wealthier Nation Loses",Table1[[#This Row],[Wealthier_Winner]]=0,"Tie",Table1[[#This Row],[Wealthier_Winner]]=1,"Wealthier Nation Wins")</f>
        <v>Tie</v>
      </c>
    </row>
    <row r="2676" spans="1:17" x14ac:dyDescent="0.2">
      <c r="A2676" s="1">
        <v>4321</v>
      </c>
      <c r="B2676" s="2">
        <v>37419</v>
      </c>
      <c r="C2676" s="7">
        <f>_xlfn.FLOOR.MATH(Table1[[#This Row],[year]],10)</f>
        <v>2000</v>
      </c>
      <c r="D2676" t="s">
        <v>43</v>
      </c>
      <c r="E2676" t="s">
        <v>194</v>
      </c>
      <c r="F2676">
        <v>0</v>
      </c>
      <c r="G2676">
        <v>0</v>
      </c>
      <c r="H2676" t="s">
        <v>74</v>
      </c>
      <c r="I2676" t="s">
        <v>154</v>
      </c>
      <c r="J2676" t="s">
        <v>51</v>
      </c>
      <c r="K2676" t="b">
        <v>1</v>
      </c>
      <c r="L2676">
        <v>2002</v>
      </c>
      <c r="M2676">
        <v>95054059302</v>
      </c>
      <c r="N2676">
        <v>1790536570743</v>
      </c>
      <c r="O2676" t="b">
        <v>1</v>
      </c>
      <c r="P2676">
        <v>0</v>
      </c>
      <c r="Q2676" t="str" cm="1">
        <f t="array" ref="Q2676">_xlfn.IFS(Table1[[#This Row],[Wealthier_Winner]]=-1,"Wealthier Nation Loses",Table1[[#This Row],[Wealthier_Winner]]=0,"Tie",Table1[[#This Row],[Wealthier_Winner]]=1,"Wealthier Nation Wins")</f>
        <v>Tie</v>
      </c>
    </row>
    <row r="2677" spans="1:17" x14ac:dyDescent="0.2">
      <c r="A2677" s="1">
        <v>4322</v>
      </c>
      <c r="B2677" s="2">
        <v>37419</v>
      </c>
      <c r="C2677" s="7">
        <f>_xlfn.FLOOR.MATH(Table1[[#This Row],[year]],10)</f>
        <v>2000</v>
      </c>
      <c r="D2677" t="s">
        <v>55</v>
      </c>
      <c r="E2677" t="s">
        <v>35</v>
      </c>
      <c r="F2677">
        <v>1</v>
      </c>
      <c r="G2677">
        <v>3</v>
      </c>
      <c r="H2677" t="s">
        <v>74</v>
      </c>
      <c r="I2677" t="s">
        <v>151</v>
      </c>
      <c r="J2677" t="s">
        <v>195</v>
      </c>
      <c r="K2677" t="b">
        <v>1</v>
      </c>
      <c r="L2677">
        <v>2002</v>
      </c>
      <c r="M2677">
        <v>23214593516</v>
      </c>
      <c r="N2677">
        <v>7196260656</v>
      </c>
      <c r="O2677" t="b">
        <v>1</v>
      </c>
      <c r="P2677">
        <v>-1</v>
      </c>
      <c r="Q2677" t="str" cm="1">
        <f t="array" ref="Q2677">_xlfn.IFS(Table1[[#This Row],[Wealthier_Winner]]=-1,"Wealthier Nation Loses",Table1[[#This Row],[Wealthier_Winner]]=0,"Tie",Table1[[#This Row],[Wealthier_Winner]]=1,"Wealthier Nation Wins")</f>
        <v>Wealthier Nation Loses</v>
      </c>
    </row>
    <row r="2678" spans="1:17" x14ac:dyDescent="0.2">
      <c r="A2678" s="1">
        <v>4323</v>
      </c>
      <c r="B2678" s="2">
        <v>37419</v>
      </c>
      <c r="C2678" s="7">
        <f>_xlfn.FLOOR.MATH(Table1[[#This Row],[year]],10)</f>
        <v>2000</v>
      </c>
      <c r="D2678" t="s">
        <v>50</v>
      </c>
      <c r="E2678" t="s">
        <v>21</v>
      </c>
      <c r="F2678">
        <v>2</v>
      </c>
      <c r="G2678">
        <v>3</v>
      </c>
      <c r="H2678" t="s">
        <v>74</v>
      </c>
      <c r="I2678" t="s">
        <v>152</v>
      </c>
      <c r="J2678" t="s">
        <v>195</v>
      </c>
      <c r="K2678" t="b">
        <v>1</v>
      </c>
      <c r="L2678">
        <v>2002</v>
      </c>
      <c r="M2678">
        <v>129087556612</v>
      </c>
      <c r="N2678">
        <v>708938227243</v>
      </c>
      <c r="O2678" t="b">
        <v>1</v>
      </c>
      <c r="P2678">
        <v>1</v>
      </c>
      <c r="Q2678" t="str" cm="1">
        <f t="array" ref="Q2678">_xlfn.IFS(Table1[[#This Row],[Wealthier_Winner]]=-1,"Wealthier Nation Loses",Table1[[#This Row],[Wealthier_Winner]]=0,"Tie",Table1[[#This Row],[Wealthier_Winner]]=1,"Wealthier Nation Wins")</f>
        <v>Wealthier Nation Wins</v>
      </c>
    </row>
    <row r="2679" spans="1:17" x14ac:dyDescent="0.2">
      <c r="A2679" s="1">
        <v>4324</v>
      </c>
      <c r="B2679" s="2">
        <v>37419</v>
      </c>
      <c r="C2679" s="7">
        <f>_xlfn.FLOOR.MATH(Table1[[#This Row],[year]],10)</f>
        <v>2000</v>
      </c>
      <c r="D2679" t="s">
        <v>25</v>
      </c>
      <c r="E2679" t="s">
        <v>19</v>
      </c>
      <c r="F2679">
        <v>1</v>
      </c>
      <c r="G2679">
        <v>1</v>
      </c>
      <c r="H2679" t="s">
        <v>74</v>
      </c>
      <c r="I2679" t="s">
        <v>148</v>
      </c>
      <c r="J2679" t="s">
        <v>51</v>
      </c>
      <c r="K2679" t="b">
        <v>1</v>
      </c>
      <c r="L2679">
        <v>2002</v>
      </c>
      <c r="M2679">
        <v>267371907446</v>
      </c>
      <c r="N2679">
        <v>97724004251</v>
      </c>
      <c r="O2679" t="b">
        <v>1</v>
      </c>
      <c r="P2679">
        <v>0</v>
      </c>
      <c r="Q2679" t="str" cm="1">
        <f t="array" ref="Q2679">_xlfn.IFS(Table1[[#This Row],[Wealthier_Winner]]=-1,"Wealthier Nation Loses",Table1[[#This Row],[Wealthier_Winner]]=0,"Tie",Table1[[#This Row],[Wealthier_Winner]]=1,"Wealthier Nation Wins")</f>
        <v>Tie</v>
      </c>
    </row>
    <row r="2680" spans="1:17" x14ac:dyDescent="0.2">
      <c r="A2680" s="1">
        <v>4325</v>
      </c>
      <c r="B2680" s="2">
        <v>37420</v>
      </c>
      <c r="C2680" s="7">
        <f>_xlfn.FLOOR.MATH(Table1[[#This Row],[year]],10)</f>
        <v>2000</v>
      </c>
      <c r="D2680" t="s">
        <v>56</v>
      </c>
      <c r="E2680" t="s">
        <v>13</v>
      </c>
      <c r="F2680">
        <v>2</v>
      </c>
      <c r="G2680">
        <v>5</v>
      </c>
      <c r="H2680" t="s">
        <v>74</v>
      </c>
      <c r="I2680" t="s">
        <v>144</v>
      </c>
      <c r="J2680" t="s">
        <v>195</v>
      </c>
      <c r="K2680" t="b">
        <v>1</v>
      </c>
      <c r="L2680">
        <v>2002</v>
      </c>
      <c r="M2680">
        <v>16578820687</v>
      </c>
      <c r="N2680">
        <v>509795270685</v>
      </c>
      <c r="O2680" t="b">
        <v>1</v>
      </c>
      <c r="P2680">
        <v>1</v>
      </c>
      <c r="Q2680" t="str" cm="1">
        <f t="array" ref="Q2680">_xlfn.IFS(Table1[[#This Row],[Wealthier_Winner]]=-1,"Wealthier Nation Loses",Table1[[#This Row],[Wealthier_Winner]]=0,"Tie",Table1[[#This Row],[Wealthier_Winner]]=1,"Wealthier Nation Wins")</f>
        <v>Wealthier Nation Wins</v>
      </c>
    </row>
    <row r="2681" spans="1:17" x14ac:dyDescent="0.2">
      <c r="A2681" s="1">
        <v>4326</v>
      </c>
      <c r="B2681" s="2">
        <v>37420</v>
      </c>
      <c r="C2681" s="7">
        <f>_xlfn.FLOOR.MATH(Table1[[#This Row],[year]],10)</f>
        <v>2000</v>
      </c>
      <c r="D2681" t="s">
        <v>57</v>
      </c>
      <c r="E2681" t="s">
        <v>52</v>
      </c>
      <c r="F2681">
        <v>1</v>
      </c>
      <c r="G2681">
        <v>0</v>
      </c>
      <c r="H2681" t="s">
        <v>74</v>
      </c>
      <c r="I2681" t="s">
        <v>153</v>
      </c>
      <c r="J2681" t="s">
        <v>51</v>
      </c>
      <c r="K2681" t="b">
        <v>1</v>
      </c>
      <c r="L2681">
        <v>2002</v>
      </c>
      <c r="M2681">
        <v>27054197000</v>
      </c>
      <c r="N2681">
        <v>26757722428</v>
      </c>
      <c r="O2681" t="b">
        <v>0</v>
      </c>
      <c r="P2681">
        <v>1</v>
      </c>
      <c r="Q2681" t="str" cm="1">
        <f t="array" ref="Q2681">_xlfn.IFS(Table1[[#This Row],[Wealthier_Winner]]=-1,"Wealthier Nation Loses",Table1[[#This Row],[Wealthier_Winner]]=0,"Tie",Table1[[#This Row],[Wealthier_Winner]]=1,"Wealthier Nation Wins")</f>
        <v>Wealthier Nation Wins</v>
      </c>
    </row>
    <row r="2682" spans="1:17" x14ac:dyDescent="0.2">
      <c r="A2682" s="1">
        <v>4327</v>
      </c>
      <c r="B2682" s="2">
        <v>37420</v>
      </c>
      <c r="C2682" s="7">
        <f>_xlfn.FLOOR.MATH(Table1[[#This Row],[year]],10)</f>
        <v>2000</v>
      </c>
      <c r="D2682" t="s">
        <v>17</v>
      </c>
      <c r="E2682" t="s">
        <v>18</v>
      </c>
      <c r="F2682">
        <v>1</v>
      </c>
      <c r="G2682">
        <v>1</v>
      </c>
      <c r="H2682" t="s">
        <v>74</v>
      </c>
      <c r="I2682" t="s">
        <v>638</v>
      </c>
      <c r="J2682" t="s">
        <v>51</v>
      </c>
      <c r="K2682" t="b">
        <v>1</v>
      </c>
      <c r="L2682">
        <v>2002</v>
      </c>
      <c r="M2682">
        <v>810666116401</v>
      </c>
      <c r="N2682">
        <v>1281746271196</v>
      </c>
      <c r="O2682" t="b">
        <v>0</v>
      </c>
      <c r="P2682">
        <v>0</v>
      </c>
      <c r="Q2682" t="str" cm="1">
        <f t="array" ref="Q2682">_xlfn.IFS(Table1[[#This Row],[Wealthier_Winner]]=-1,"Wealthier Nation Loses",Table1[[#This Row],[Wealthier_Winner]]=0,"Tie",Table1[[#This Row],[Wealthier_Winner]]=1,"Wealthier Nation Wins")</f>
        <v>Tie</v>
      </c>
    </row>
    <row r="2683" spans="1:17" x14ac:dyDescent="0.2">
      <c r="A2683" s="1">
        <v>4329</v>
      </c>
      <c r="B2683" s="2">
        <v>37421</v>
      </c>
      <c r="C2683" s="7">
        <f>_xlfn.FLOOR.MATH(Table1[[#This Row],[year]],10)</f>
        <v>2000</v>
      </c>
      <c r="D2683" t="s">
        <v>23</v>
      </c>
      <c r="E2683" t="s">
        <v>196</v>
      </c>
      <c r="F2683">
        <v>3</v>
      </c>
      <c r="G2683">
        <v>2</v>
      </c>
      <c r="H2683" t="s">
        <v>74</v>
      </c>
      <c r="I2683" t="s">
        <v>149</v>
      </c>
      <c r="J2683" t="s">
        <v>51</v>
      </c>
      <c r="K2683" t="b">
        <v>1</v>
      </c>
      <c r="L2683">
        <v>2002</v>
      </c>
      <c r="M2683">
        <v>258383599375</v>
      </c>
      <c r="N2683">
        <v>345470494417</v>
      </c>
      <c r="O2683" t="b">
        <v>0</v>
      </c>
      <c r="P2683">
        <v>-1</v>
      </c>
      <c r="Q2683" t="str" cm="1">
        <f t="array" ref="Q2683">_xlfn.IFS(Table1[[#This Row],[Wealthier_Winner]]=-1,"Wealthier Nation Loses",Table1[[#This Row],[Wealthier_Winner]]=0,"Tie",Table1[[#This Row],[Wealthier_Winner]]=1,"Wealthier Nation Wins")</f>
        <v>Wealthier Nation Loses</v>
      </c>
    </row>
    <row r="2684" spans="1:17" x14ac:dyDescent="0.2">
      <c r="A2684" s="1">
        <v>4330</v>
      </c>
      <c r="B2684" s="2">
        <v>37421</v>
      </c>
      <c r="C2684" s="7">
        <f>_xlfn.FLOOR.MATH(Table1[[#This Row],[year]],10)</f>
        <v>2000</v>
      </c>
      <c r="D2684" t="s">
        <v>51</v>
      </c>
      <c r="E2684" t="s">
        <v>53</v>
      </c>
      <c r="F2684">
        <v>2</v>
      </c>
      <c r="G2684">
        <v>0</v>
      </c>
      <c r="H2684" t="s">
        <v>74</v>
      </c>
      <c r="I2684" t="s">
        <v>154</v>
      </c>
      <c r="J2684" t="s">
        <v>51</v>
      </c>
      <c r="K2684" t="b">
        <v>0</v>
      </c>
      <c r="L2684">
        <v>2002</v>
      </c>
      <c r="M2684">
        <v>4182846045873</v>
      </c>
      <c r="N2684">
        <v>23141616604</v>
      </c>
      <c r="O2684" t="b">
        <v>1</v>
      </c>
      <c r="P2684">
        <v>1</v>
      </c>
      <c r="Q2684" t="str" cm="1">
        <f t="array" ref="Q2684">_xlfn.IFS(Table1[[#This Row],[Wealthier_Winner]]=-1,"Wealthier Nation Loses",Table1[[#This Row],[Wealthier_Winner]]=0,"Tie",Table1[[#This Row],[Wealthier_Winner]]=1,"Wealthier Nation Wins")</f>
        <v>Wealthier Nation Wins</v>
      </c>
    </row>
    <row r="2685" spans="1:17" x14ac:dyDescent="0.2">
      <c r="A2685" s="1">
        <v>4331</v>
      </c>
      <c r="B2685" s="2">
        <v>37421</v>
      </c>
      <c r="C2685" s="7">
        <f>_xlfn.FLOOR.MATH(Table1[[#This Row],[year]],10)</f>
        <v>2000</v>
      </c>
      <c r="D2685" t="s">
        <v>195</v>
      </c>
      <c r="E2685" t="s">
        <v>38</v>
      </c>
      <c r="F2685">
        <v>1</v>
      </c>
      <c r="G2685">
        <v>0</v>
      </c>
      <c r="H2685" t="s">
        <v>74</v>
      </c>
      <c r="I2685" t="s">
        <v>150</v>
      </c>
      <c r="J2685" t="s">
        <v>195</v>
      </c>
      <c r="K2685" t="b">
        <v>0</v>
      </c>
      <c r="L2685">
        <v>2002</v>
      </c>
      <c r="M2685">
        <v>650014391470</v>
      </c>
      <c r="N2685">
        <v>134795565549</v>
      </c>
      <c r="O2685" t="b">
        <v>1</v>
      </c>
      <c r="P2685">
        <v>1</v>
      </c>
      <c r="Q2685" t="str" cm="1">
        <f t="array" ref="Q2685">_xlfn.IFS(Table1[[#This Row],[Wealthier_Winner]]=-1,"Wealthier Nation Loses",Table1[[#This Row],[Wealthier_Winner]]=0,"Tie",Table1[[#This Row],[Wealthier_Winner]]=1,"Wealthier Nation Wins")</f>
        <v>Wealthier Nation Wins</v>
      </c>
    </row>
    <row r="2686" spans="1:17" x14ac:dyDescent="0.2">
      <c r="A2686" s="1">
        <v>4332</v>
      </c>
      <c r="B2686" s="2">
        <v>37421</v>
      </c>
      <c r="C2686" s="7">
        <f>_xlfn.FLOOR.MATH(Table1[[#This Row],[year]],10)</f>
        <v>2000</v>
      </c>
      <c r="D2686" t="s">
        <v>58</v>
      </c>
      <c r="E2686" t="s">
        <v>41</v>
      </c>
      <c r="F2686">
        <v>3</v>
      </c>
      <c r="G2686">
        <v>1</v>
      </c>
      <c r="H2686" t="s">
        <v>74</v>
      </c>
      <c r="I2686" t="s">
        <v>152</v>
      </c>
      <c r="J2686" t="s">
        <v>195</v>
      </c>
      <c r="K2686" t="b">
        <v>1</v>
      </c>
      <c r="L2686">
        <v>2002</v>
      </c>
      <c r="M2686">
        <v>199694463255</v>
      </c>
      <c r="N2686">
        <v>10929112955000</v>
      </c>
      <c r="O2686" t="b">
        <v>1</v>
      </c>
      <c r="P2686">
        <v>-1</v>
      </c>
      <c r="Q2686" t="str" cm="1">
        <f t="array" ref="Q2686">_xlfn.IFS(Table1[[#This Row],[Wealthier_Winner]]=-1,"Wealthier Nation Loses",Table1[[#This Row],[Wealthier_Winner]]=0,"Tie",Table1[[#This Row],[Wealthier_Winner]]=1,"Wealthier Nation Wins")</f>
        <v>Wealthier Nation Loses</v>
      </c>
    </row>
    <row r="2687" spans="1:17" x14ac:dyDescent="0.2">
      <c r="A2687" s="1">
        <v>4333</v>
      </c>
      <c r="B2687" s="2">
        <v>37422</v>
      </c>
      <c r="C2687" s="7">
        <f>_xlfn.FLOOR.MATH(Table1[[#This Row],[year]],10)</f>
        <v>2000</v>
      </c>
      <c r="D2687" t="s">
        <v>36</v>
      </c>
      <c r="E2687" t="s">
        <v>194</v>
      </c>
      <c r="F2687">
        <v>0</v>
      </c>
      <c r="G2687">
        <v>3</v>
      </c>
      <c r="H2687" t="s">
        <v>74</v>
      </c>
      <c r="I2687" t="s">
        <v>142</v>
      </c>
      <c r="J2687" t="s">
        <v>51</v>
      </c>
      <c r="K2687" t="b">
        <v>1</v>
      </c>
      <c r="L2687">
        <v>2002</v>
      </c>
      <c r="M2687">
        <v>178788209558</v>
      </c>
      <c r="N2687">
        <v>1790536570743</v>
      </c>
      <c r="O2687" t="b">
        <v>1</v>
      </c>
      <c r="P2687">
        <v>1</v>
      </c>
      <c r="Q2687" t="str" cm="1">
        <f t="array" ref="Q2687">_xlfn.IFS(Table1[[#This Row],[Wealthier_Winner]]=-1,"Wealthier Nation Loses",Table1[[#This Row],[Wealthier_Winner]]=0,"Tie",Table1[[#This Row],[Wealthier_Winner]]=1,"Wealthier Nation Wins")</f>
        <v>Wealthier Nation Wins</v>
      </c>
    </row>
    <row r="2688" spans="1:17" x14ac:dyDescent="0.2">
      <c r="A2688" s="1">
        <v>4334</v>
      </c>
      <c r="B2688" s="2">
        <v>37422</v>
      </c>
      <c r="C2688" s="7">
        <f>_xlfn.FLOOR.MATH(Table1[[#This Row],[year]],10)</f>
        <v>2000</v>
      </c>
      <c r="D2688" t="s">
        <v>16</v>
      </c>
      <c r="E2688" t="s">
        <v>35</v>
      </c>
      <c r="F2688">
        <v>1</v>
      </c>
      <c r="G2688">
        <v>0</v>
      </c>
      <c r="H2688" t="s">
        <v>74</v>
      </c>
      <c r="I2688" t="s">
        <v>151</v>
      </c>
      <c r="J2688" t="s">
        <v>195</v>
      </c>
      <c r="K2688" t="b">
        <v>1</v>
      </c>
      <c r="L2688">
        <v>2002</v>
      </c>
      <c r="M2688">
        <v>2102350798305</v>
      </c>
      <c r="N2688">
        <v>7196260656</v>
      </c>
      <c r="O2688" t="b">
        <v>1</v>
      </c>
      <c r="P2688">
        <v>1</v>
      </c>
      <c r="Q2688" t="str" cm="1">
        <f t="array" ref="Q2688">_xlfn.IFS(Table1[[#This Row],[Wealthier_Winner]]=-1,"Wealthier Nation Loses",Table1[[#This Row],[Wealthier_Winner]]=0,"Tie",Table1[[#This Row],[Wealthier_Winner]]=1,"Wealthier Nation Wins")</f>
        <v>Wealthier Nation Wins</v>
      </c>
    </row>
    <row r="2689" spans="1:17" x14ac:dyDescent="0.2">
      <c r="A2689" s="1">
        <v>4336</v>
      </c>
      <c r="B2689" s="2">
        <v>37423</v>
      </c>
      <c r="C2689" s="7">
        <f>_xlfn.FLOOR.MATH(Table1[[#This Row],[year]],10)</f>
        <v>2000</v>
      </c>
      <c r="D2689" t="s">
        <v>25</v>
      </c>
      <c r="E2689" t="s">
        <v>54</v>
      </c>
      <c r="F2689">
        <v>1</v>
      </c>
      <c r="G2689">
        <v>2</v>
      </c>
      <c r="H2689" t="s">
        <v>74</v>
      </c>
      <c r="I2689" t="s">
        <v>638</v>
      </c>
      <c r="J2689" t="s">
        <v>51</v>
      </c>
      <c r="K2689" t="b">
        <v>1</v>
      </c>
      <c r="L2689">
        <v>2002</v>
      </c>
      <c r="M2689">
        <v>267371907446</v>
      </c>
      <c r="N2689">
        <v>7006402319</v>
      </c>
      <c r="O2689" t="b">
        <v>1</v>
      </c>
      <c r="P2689">
        <v>-1</v>
      </c>
      <c r="Q2689" t="str" cm="1">
        <f t="array" ref="Q2689">_xlfn.IFS(Table1[[#This Row],[Wealthier_Winner]]=-1,"Wealthier Nation Loses",Table1[[#This Row],[Wealthier_Winner]]=0,"Tie",Table1[[#This Row],[Wealthier_Winner]]=1,"Wealthier Nation Wins")</f>
        <v>Wealthier Nation Loses</v>
      </c>
    </row>
    <row r="2690" spans="1:17" x14ac:dyDescent="0.2">
      <c r="A2690" s="1">
        <v>4337</v>
      </c>
      <c r="B2690" s="2">
        <v>37424</v>
      </c>
      <c r="C2690" s="7">
        <f>_xlfn.FLOOR.MATH(Table1[[#This Row],[year]],10)</f>
        <v>2000</v>
      </c>
      <c r="D2690" t="s">
        <v>13</v>
      </c>
      <c r="E2690" t="s">
        <v>23</v>
      </c>
      <c r="F2690">
        <v>2</v>
      </c>
      <c r="G2690">
        <v>0</v>
      </c>
      <c r="H2690" t="s">
        <v>74</v>
      </c>
      <c r="I2690" t="s">
        <v>147</v>
      </c>
      <c r="J2690" t="s">
        <v>51</v>
      </c>
      <c r="K2690" t="b">
        <v>1</v>
      </c>
      <c r="L2690">
        <v>2002</v>
      </c>
      <c r="M2690">
        <v>509795270685</v>
      </c>
      <c r="N2690">
        <v>258383599375</v>
      </c>
      <c r="O2690" t="b">
        <v>0</v>
      </c>
      <c r="P2690">
        <v>1</v>
      </c>
      <c r="Q2690" t="str" cm="1">
        <f t="array" ref="Q2690">_xlfn.IFS(Table1[[#This Row],[Wealthier_Winner]]=-1,"Wealthier Nation Loses",Table1[[#This Row],[Wealthier_Winner]]=0,"Tie",Table1[[#This Row],[Wealthier_Winner]]=1,"Wealthier Nation Wins")</f>
        <v>Wealthier Nation Wins</v>
      </c>
    </row>
    <row r="2691" spans="1:17" x14ac:dyDescent="0.2">
      <c r="A2691" s="1">
        <v>4338</v>
      </c>
      <c r="B2691" s="2">
        <v>37424</v>
      </c>
      <c r="C2691" s="7">
        <f>_xlfn.FLOOR.MATH(Table1[[#This Row],[year]],10)</f>
        <v>2000</v>
      </c>
      <c r="D2691" t="s">
        <v>17</v>
      </c>
      <c r="E2691" t="s">
        <v>41</v>
      </c>
      <c r="F2691">
        <v>0</v>
      </c>
      <c r="G2691">
        <v>2</v>
      </c>
      <c r="H2691" t="s">
        <v>74</v>
      </c>
      <c r="I2691" t="s">
        <v>146</v>
      </c>
      <c r="J2691" t="s">
        <v>195</v>
      </c>
      <c r="K2691" t="b">
        <v>1</v>
      </c>
      <c r="L2691">
        <v>2002</v>
      </c>
      <c r="M2691">
        <v>810666116401</v>
      </c>
      <c r="N2691">
        <v>10929112955000</v>
      </c>
      <c r="O2691" t="b">
        <v>1</v>
      </c>
      <c r="P2691">
        <v>1</v>
      </c>
      <c r="Q2691" t="str" cm="1">
        <f t="array" ref="Q2691">_xlfn.IFS(Table1[[#This Row],[Wealthier_Winner]]=-1,"Wealthier Nation Loses",Table1[[#This Row],[Wealthier_Winner]]=0,"Tie",Table1[[#This Row],[Wealthier_Winner]]=1,"Wealthier Nation Wins")</f>
        <v>Wealthier Nation Wins</v>
      </c>
    </row>
    <row r="2692" spans="1:17" x14ac:dyDescent="0.2">
      <c r="A2692" s="1">
        <v>4340</v>
      </c>
      <c r="B2692" s="2">
        <v>37425</v>
      </c>
      <c r="C2692" s="7">
        <f>_xlfn.FLOOR.MATH(Table1[[#This Row],[year]],10)</f>
        <v>2000</v>
      </c>
      <c r="D2692" t="s">
        <v>195</v>
      </c>
      <c r="E2692" t="s">
        <v>18</v>
      </c>
      <c r="F2692">
        <v>2</v>
      </c>
      <c r="G2692">
        <v>1</v>
      </c>
      <c r="H2692" t="s">
        <v>74</v>
      </c>
      <c r="I2692" t="s">
        <v>152</v>
      </c>
      <c r="J2692" t="s">
        <v>195</v>
      </c>
      <c r="K2692" t="b">
        <v>0</v>
      </c>
      <c r="L2692">
        <v>2002</v>
      </c>
      <c r="M2692">
        <v>650014391470</v>
      </c>
      <c r="N2692">
        <v>1281746271196</v>
      </c>
      <c r="O2692" t="b">
        <v>0</v>
      </c>
      <c r="P2692">
        <v>-1</v>
      </c>
      <c r="Q2692" t="str" cm="1">
        <f t="array" ref="Q2692">_xlfn.IFS(Table1[[#This Row],[Wealthier_Winner]]=-1,"Wealthier Nation Loses",Table1[[#This Row],[Wealthier_Winner]]=0,"Tie",Table1[[#This Row],[Wealthier_Winner]]=1,"Wealthier Nation Wins")</f>
        <v>Wealthier Nation Loses</v>
      </c>
    </row>
    <row r="2693" spans="1:17" x14ac:dyDescent="0.2">
      <c r="A2693" s="1">
        <v>4341</v>
      </c>
      <c r="B2693" s="2">
        <v>37428</v>
      </c>
      <c r="C2693" s="7">
        <f>_xlfn.FLOOR.MATH(Table1[[#This Row],[year]],10)</f>
        <v>2000</v>
      </c>
      <c r="D2693" t="s">
        <v>194</v>
      </c>
      <c r="E2693" t="s">
        <v>13</v>
      </c>
      <c r="F2693">
        <v>1</v>
      </c>
      <c r="G2693">
        <v>2</v>
      </c>
      <c r="H2693" t="s">
        <v>74</v>
      </c>
      <c r="I2693" t="s">
        <v>149</v>
      </c>
      <c r="J2693" t="s">
        <v>51</v>
      </c>
      <c r="K2693" t="b">
        <v>1</v>
      </c>
      <c r="L2693">
        <v>2002</v>
      </c>
      <c r="M2693">
        <v>1790536570743</v>
      </c>
      <c r="N2693">
        <v>509795270685</v>
      </c>
      <c r="O2693" t="b">
        <v>1</v>
      </c>
      <c r="P2693">
        <v>-1</v>
      </c>
      <c r="Q2693" t="str" cm="1">
        <f t="array" ref="Q2693">_xlfn.IFS(Table1[[#This Row],[Wealthier_Winner]]=-1,"Wealthier Nation Loses",Table1[[#This Row],[Wealthier_Winner]]=0,"Tie",Table1[[#This Row],[Wealthier_Winner]]=1,"Wealthier Nation Wins")</f>
        <v>Wealthier Nation Loses</v>
      </c>
    </row>
    <row r="2694" spans="1:17" x14ac:dyDescent="0.2">
      <c r="A2694" s="1">
        <v>4342</v>
      </c>
      <c r="B2694" s="2">
        <v>37428</v>
      </c>
      <c r="C2694" s="7">
        <f>_xlfn.FLOOR.MATH(Table1[[#This Row],[year]],10)</f>
        <v>2000</v>
      </c>
      <c r="D2694" t="s">
        <v>16</v>
      </c>
      <c r="E2694" t="s">
        <v>41</v>
      </c>
      <c r="F2694">
        <v>1</v>
      </c>
      <c r="G2694">
        <v>0</v>
      </c>
      <c r="H2694" t="s">
        <v>74</v>
      </c>
      <c r="I2694" t="s">
        <v>138</v>
      </c>
      <c r="J2694" t="s">
        <v>195</v>
      </c>
      <c r="K2694" t="b">
        <v>1</v>
      </c>
      <c r="L2694">
        <v>2002</v>
      </c>
      <c r="M2694">
        <v>2102350798305</v>
      </c>
      <c r="N2694">
        <v>10929112955000</v>
      </c>
      <c r="O2694" t="b">
        <v>1</v>
      </c>
      <c r="P2694">
        <v>-1</v>
      </c>
      <c r="Q2694" t="str" cm="1">
        <f t="array" ref="Q2694">_xlfn.IFS(Table1[[#This Row],[Wealthier_Winner]]=-1,"Wealthier Nation Loses",Table1[[#This Row],[Wealthier_Winner]]=0,"Tie",Table1[[#This Row],[Wealthier_Winner]]=1,"Wealthier Nation Wins")</f>
        <v>Wealthier Nation Loses</v>
      </c>
    </row>
    <row r="2695" spans="1:17" x14ac:dyDescent="0.2">
      <c r="A2695" s="1">
        <v>4343</v>
      </c>
      <c r="B2695" s="2">
        <v>37429</v>
      </c>
      <c r="C2695" s="7">
        <f>_xlfn.FLOOR.MATH(Table1[[#This Row],[year]],10)</f>
        <v>2000</v>
      </c>
      <c r="D2695" t="s">
        <v>195</v>
      </c>
      <c r="E2695" t="s">
        <v>21</v>
      </c>
      <c r="F2695">
        <v>0</v>
      </c>
      <c r="G2695">
        <v>0</v>
      </c>
      <c r="H2695" t="s">
        <v>74</v>
      </c>
      <c r="I2695" t="s">
        <v>141</v>
      </c>
      <c r="J2695" t="s">
        <v>195</v>
      </c>
      <c r="K2695" t="b">
        <v>0</v>
      </c>
      <c r="L2695">
        <v>2002</v>
      </c>
      <c r="M2695">
        <v>650014391470</v>
      </c>
      <c r="N2695">
        <v>708938227243</v>
      </c>
      <c r="O2695" t="b">
        <v>0</v>
      </c>
      <c r="P2695">
        <v>0</v>
      </c>
      <c r="Q2695" t="str" cm="1">
        <f t="array" ref="Q2695">_xlfn.IFS(Table1[[#This Row],[Wealthier_Winner]]=-1,"Wealthier Nation Loses",Table1[[#This Row],[Wealthier_Winner]]=0,"Tie",Table1[[#This Row],[Wealthier_Winner]]=1,"Wealthier Nation Wins")</f>
        <v>Tie</v>
      </c>
    </row>
    <row r="2696" spans="1:17" x14ac:dyDescent="0.2">
      <c r="A2696" s="1">
        <v>4345</v>
      </c>
      <c r="B2696" s="2">
        <v>37432</v>
      </c>
      <c r="C2696" s="7">
        <f>_xlfn.FLOOR.MATH(Table1[[#This Row],[year]],10)</f>
        <v>2000</v>
      </c>
      <c r="D2696" t="s">
        <v>195</v>
      </c>
      <c r="E2696" t="s">
        <v>16</v>
      </c>
      <c r="F2696">
        <v>0</v>
      </c>
      <c r="G2696">
        <v>1</v>
      </c>
      <c r="H2696" t="s">
        <v>74</v>
      </c>
      <c r="I2696" t="s">
        <v>136</v>
      </c>
      <c r="J2696" t="s">
        <v>195</v>
      </c>
      <c r="K2696" t="b">
        <v>0</v>
      </c>
      <c r="L2696">
        <v>2002</v>
      </c>
      <c r="M2696">
        <v>650014391470</v>
      </c>
      <c r="N2696">
        <v>2102350798305</v>
      </c>
      <c r="O2696" t="b">
        <v>1</v>
      </c>
      <c r="P2696">
        <v>1</v>
      </c>
      <c r="Q2696" t="str" cm="1">
        <f t="array" ref="Q2696">_xlfn.IFS(Table1[[#This Row],[Wealthier_Winner]]=-1,"Wealthier Nation Loses",Table1[[#This Row],[Wealthier_Winner]]=0,"Tie",Table1[[#This Row],[Wealthier_Winner]]=1,"Wealthier Nation Wins")</f>
        <v>Wealthier Nation Wins</v>
      </c>
    </row>
    <row r="2697" spans="1:17" x14ac:dyDescent="0.2">
      <c r="A2697" s="1">
        <v>4348</v>
      </c>
      <c r="B2697" s="2">
        <v>37437</v>
      </c>
      <c r="C2697" s="7">
        <f>_xlfn.FLOOR.MATH(Table1[[#This Row],[year]],10)</f>
        <v>2000</v>
      </c>
      <c r="D2697" t="s">
        <v>16</v>
      </c>
      <c r="E2697" t="s">
        <v>13</v>
      </c>
      <c r="F2697">
        <v>0</v>
      </c>
      <c r="G2697">
        <v>2</v>
      </c>
      <c r="H2697" t="s">
        <v>74</v>
      </c>
      <c r="I2697" t="s">
        <v>153</v>
      </c>
      <c r="J2697" t="s">
        <v>51</v>
      </c>
      <c r="K2697" t="b">
        <v>1</v>
      </c>
      <c r="L2697">
        <v>2002</v>
      </c>
      <c r="M2697">
        <v>2102350798305</v>
      </c>
      <c r="N2697">
        <v>509795270685</v>
      </c>
      <c r="O2697" t="b">
        <v>1</v>
      </c>
      <c r="P2697">
        <v>-1</v>
      </c>
      <c r="Q2697" t="str" cm="1">
        <f t="array" ref="Q2697">_xlfn.IFS(Table1[[#This Row],[Wealthier_Winner]]=-1,"Wealthier Nation Loses",Table1[[#This Row],[Wealthier_Winner]]=0,"Tie",Table1[[#This Row],[Wealthier_Winner]]=1,"Wealthier Nation Wins")</f>
        <v>Wealthier Nation Loses</v>
      </c>
    </row>
    <row r="2698" spans="1:17" x14ac:dyDescent="0.2">
      <c r="A2698" s="1">
        <v>4349</v>
      </c>
      <c r="B2698" s="2">
        <v>37870</v>
      </c>
      <c r="C2698" s="7">
        <f>_xlfn.FLOOR.MATH(Table1[[#This Row],[year]],10)</f>
        <v>2000</v>
      </c>
      <c r="D2698" t="s">
        <v>19</v>
      </c>
      <c r="E2698" t="s">
        <v>14</v>
      </c>
      <c r="F2698">
        <v>2</v>
      </c>
      <c r="G2698">
        <v>2</v>
      </c>
      <c r="H2698" t="s">
        <v>224</v>
      </c>
      <c r="I2698" t="s">
        <v>93</v>
      </c>
      <c r="J2698" t="s">
        <v>19</v>
      </c>
      <c r="K2698" t="b">
        <v>0</v>
      </c>
      <c r="L2698">
        <v>2003</v>
      </c>
      <c r="M2698">
        <v>127586973492</v>
      </c>
      <c r="N2698">
        <v>76492579644</v>
      </c>
      <c r="O2698" t="b">
        <v>0</v>
      </c>
      <c r="P2698">
        <v>0</v>
      </c>
      <c r="Q2698" t="str" cm="1">
        <f t="array" ref="Q2698">_xlfn.IFS(Table1[[#This Row],[Wealthier_Winner]]=-1,"Wealthier Nation Loses",Table1[[#This Row],[Wealthier_Winner]]=0,"Tie",Table1[[#This Row],[Wealthier_Winner]]=1,"Wealthier Nation Wins")</f>
        <v>Tie</v>
      </c>
    </row>
    <row r="2699" spans="1:17" x14ac:dyDescent="0.2">
      <c r="A2699" s="1">
        <v>4350</v>
      </c>
      <c r="B2699" s="2">
        <v>37870</v>
      </c>
      <c r="C2699" s="7">
        <f>_xlfn.FLOOR.MATH(Table1[[#This Row],[year]],10)</f>
        <v>2000</v>
      </c>
      <c r="D2699" t="s">
        <v>57</v>
      </c>
      <c r="E2699" t="s">
        <v>258</v>
      </c>
      <c r="F2699">
        <v>2</v>
      </c>
      <c r="G2699">
        <v>0</v>
      </c>
      <c r="H2699" t="s">
        <v>224</v>
      </c>
      <c r="I2699" t="s">
        <v>335</v>
      </c>
      <c r="J2699" t="s">
        <v>57</v>
      </c>
      <c r="K2699" t="b">
        <v>0</v>
      </c>
      <c r="L2699">
        <v>2003</v>
      </c>
      <c r="M2699">
        <v>30965208000</v>
      </c>
      <c r="N2699">
        <v>83620628582</v>
      </c>
      <c r="O2699" t="b">
        <v>1</v>
      </c>
      <c r="P2699">
        <v>-1</v>
      </c>
      <c r="Q2699" t="str" cm="1">
        <f t="array" ref="Q2699">_xlfn.IFS(Table1[[#This Row],[Wealthier_Winner]]=-1,"Wealthier Nation Loses",Table1[[#This Row],[Wealthier_Winner]]=0,"Tie",Table1[[#This Row],[Wealthier_Winner]]=1,"Wealthier Nation Wins")</f>
        <v>Wealthier Nation Loses</v>
      </c>
    </row>
    <row r="2700" spans="1:17" x14ac:dyDescent="0.2">
      <c r="A2700" s="1">
        <v>4351</v>
      </c>
      <c r="B2700" s="2">
        <v>37870</v>
      </c>
      <c r="C2700" s="7">
        <f>_xlfn.FLOOR.MATH(Table1[[#This Row],[year]],10)</f>
        <v>2000</v>
      </c>
      <c r="D2700" t="s">
        <v>31</v>
      </c>
      <c r="E2700" t="s">
        <v>35</v>
      </c>
      <c r="F2700">
        <v>4</v>
      </c>
      <c r="G2700">
        <v>1</v>
      </c>
      <c r="H2700" t="s">
        <v>224</v>
      </c>
      <c r="I2700" t="s">
        <v>242</v>
      </c>
      <c r="J2700" t="s">
        <v>31</v>
      </c>
      <c r="K2700" t="b">
        <v>0</v>
      </c>
      <c r="L2700">
        <v>2003</v>
      </c>
      <c r="M2700">
        <v>58731030121</v>
      </c>
      <c r="N2700">
        <v>7691367471</v>
      </c>
      <c r="O2700" t="b">
        <v>1</v>
      </c>
      <c r="P2700">
        <v>1</v>
      </c>
      <c r="Q2700" t="str" cm="1">
        <f t="array" ref="Q2700">_xlfn.IFS(Table1[[#This Row],[Wealthier_Winner]]=-1,"Wealthier Nation Loses",Table1[[#This Row],[Wealthier_Winner]]=0,"Tie",Table1[[#This Row],[Wealthier_Winner]]=1,"Wealthier Nation Wins")</f>
        <v>Wealthier Nation Wins</v>
      </c>
    </row>
    <row r="2701" spans="1:17" x14ac:dyDescent="0.2">
      <c r="A2701" s="1">
        <v>4352</v>
      </c>
      <c r="B2701" s="2">
        <v>37871</v>
      </c>
      <c r="C2701" s="7">
        <f>_xlfn.FLOOR.MATH(Table1[[#This Row],[year]],10)</f>
        <v>2000</v>
      </c>
      <c r="D2701" t="s">
        <v>15</v>
      </c>
      <c r="E2701" t="s">
        <v>13</v>
      </c>
      <c r="F2701">
        <v>1</v>
      </c>
      <c r="G2701">
        <v>2</v>
      </c>
      <c r="H2701" t="s">
        <v>224</v>
      </c>
      <c r="I2701" t="s">
        <v>261</v>
      </c>
      <c r="J2701" t="s">
        <v>15</v>
      </c>
      <c r="K2701" t="b">
        <v>0</v>
      </c>
      <c r="L2701">
        <v>2003</v>
      </c>
      <c r="M2701">
        <v>94644969157</v>
      </c>
      <c r="N2701">
        <v>558233724164</v>
      </c>
      <c r="O2701" t="b">
        <v>1</v>
      </c>
      <c r="P2701">
        <v>1</v>
      </c>
      <c r="Q2701" t="str" cm="1">
        <f t="array" ref="Q2701">_xlfn.IFS(Table1[[#This Row],[Wealthier_Winner]]=-1,"Wealthier Nation Loses",Table1[[#This Row],[Wealthier_Winner]]=0,"Tie",Table1[[#This Row],[Wealthier_Winner]]=1,"Wealthier Nation Wins")</f>
        <v>Wealthier Nation Wins</v>
      </c>
    </row>
    <row r="2702" spans="1:17" x14ac:dyDescent="0.2">
      <c r="A2702" s="1">
        <v>4353</v>
      </c>
      <c r="B2702" s="2">
        <v>37871</v>
      </c>
      <c r="C2702" s="7">
        <f>_xlfn.FLOOR.MATH(Table1[[#This Row],[year]],10)</f>
        <v>2000</v>
      </c>
      <c r="D2702" t="s">
        <v>26</v>
      </c>
      <c r="E2702" t="s">
        <v>47</v>
      </c>
      <c r="F2702">
        <v>5</v>
      </c>
      <c r="G2702">
        <v>0</v>
      </c>
      <c r="H2702" t="s">
        <v>224</v>
      </c>
      <c r="I2702" t="s">
        <v>247</v>
      </c>
      <c r="J2702" t="s">
        <v>26</v>
      </c>
      <c r="K2702" t="b">
        <v>0</v>
      </c>
      <c r="L2702">
        <v>2003</v>
      </c>
      <c r="M2702">
        <v>12045638351</v>
      </c>
      <c r="N2702">
        <v>8082399639</v>
      </c>
      <c r="O2702" t="b">
        <v>0</v>
      </c>
      <c r="P2702">
        <v>1</v>
      </c>
      <c r="Q2702" t="str" cm="1">
        <f t="array" ref="Q2702">_xlfn.IFS(Table1[[#This Row],[Wealthier_Winner]]=-1,"Wealthier Nation Loses",Table1[[#This Row],[Wealthier_Winner]]=0,"Tie",Table1[[#This Row],[Wealthier_Winner]]=1,"Wealthier Nation Wins")</f>
        <v>Wealthier Nation Wins</v>
      </c>
    </row>
    <row r="2703" spans="1:17" x14ac:dyDescent="0.2">
      <c r="A2703" s="1">
        <v>4354</v>
      </c>
      <c r="B2703" s="2">
        <v>37873</v>
      </c>
      <c r="C2703" s="7">
        <f>_xlfn.FLOOR.MATH(Table1[[#This Row],[year]],10)</f>
        <v>2000</v>
      </c>
      <c r="D2703" t="s">
        <v>14</v>
      </c>
      <c r="E2703" t="s">
        <v>31</v>
      </c>
      <c r="F2703">
        <v>2</v>
      </c>
      <c r="G2703">
        <v>1</v>
      </c>
      <c r="H2703" t="s">
        <v>224</v>
      </c>
      <c r="I2703" t="s">
        <v>75</v>
      </c>
      <c r="J2703" t="s">
        <v>14</v>
      </c>
      <c r="K2703" t="b">
        <v>0</v>
      </c>
      <c r="L2703">
        <v>2003</v>
      </c>
      <c r="M2703">
        <v>76492579644</v>
      </c>
      <c r="N2703">
        <v>58731030121</v>
      </c>
      <c r="O2703" t="b">
        <v>0</v>
      </c>
      <c r="P2703">
        <v>1</v>
      </c>
      <c r="Q2703" t="str" cm="1">
        <f t="array" ref="Q2703">_xlfn.IFS(Table1[[#This Row],[Wealthier_Winner]]=-1,"Wealthier Nation Loses",Table1[[#This Row],[Wealthier_Winner]]=0,"Tie",Table1[[#This Row],[Wealthier_Winner]]=1,"Wealthier Nation Wins")</f>
        <v>Wealthier Nation Wins</v>
      </c>
    </row>
    <row r="2704" spans="1:17" x14ac:dyDescent="0.2">
      <c r="A2704" s="1">
        <v>4355</v>
      </c>
      <c r="B2704" s="2">
        <v>37873</v>
      </c>
      <c r="C2704" s="7">
        <f>_xlfn.FLOOR.MATH(Table1[[#This Row],[year]],10)</f>
        <v>2000</v>
      </c>
      <c r="D2704" t="s">
        <v>258</v>
      </c>
      <c r="E2704" t="s">
        <v>19</v>
      </c>
      <c r="F2704">
        <v>0</v>
      </c>
      <c r="G2704">
        <v>3</v>
      </c>
      <c r="H2704" t="s">
        <v>224</v>
      </c>
      <c r="I2704" t="s">
        <v>260</v>
      </c>
      <c r="J2704" t="s">
        <v>258</v>
      </c>
      <c r="K2704" t="b">
        <v>0</v>
      </c>
      <c r="L2704">
        <v>2003</v>
      </c>
      <c r="M2704">
        <v>83620628582</v>
      </c>
      <c r="N2704">
        <v>127586973492</v>
      </c>
      <c r="O2704" t="b">
        <v>0</v>
      </c>
      <c r="P2704">
        <v>1</v>
      </c>
      <c r="Q2704" t="str" cm="1">
        <f t="array" ref="Q2704">_xlfn.IFS(Table1[[#This Row],[Wealthier_Winner]]=-1,"Wealthier Nation Loses",Table1[[#This Row],[Wealthier_Winner]]=0,"Tie",Table1[[#This Row],[Wealthier_Winner]]=1,"Wealthier Nation Wins")</f>
        <v>Wealthier Nation Wins</v>
      </c>
    </row>
    <row r="2705" spans="1:17" x14ac:dyDescent="0.2">
      <c r="A2705" s="1">
        <v>4356</v>
      </c>
      <c r="B2705" s="2">
        <v>37874</v>
      </c>
      <c r="C2705" s="7">
        <f>_xlfn.FLOOR.MATH(Table1[[#This Row],[year]],10)</f>
        <v>2000</v>
      </c>
      <c r="D2705" t="s">
        <v>47</v>
      </c>
      <c r="E2705" t="s">
        <v>15</v>
      </c>
      <c r="F2705">
        <v>4</v>
      </c>
      <c r="G2705">
        <v>0</v>
      </c>
      <c r="H2705" t="s">
        <v>224</v>
      </c>
      <c r="I2705" t="s">
        <v>246</v>
      </c>
      <c r="J2705" t="s">
        <v>47</v>
      </c>
      <c r="K2705" t="b">
        <v>0</v>
      </c>
      <c r="L2705">
        <v>2003</v>
      </c>
      <c r="M2705">
        <v>8082399639</v>
      </c>
      <c r="N2705">
        <v>94644969157</v>
      </c>
      <c r="O2705" t="b">
        <v>1</v>
      </c>
      <c r="P2705">
        <v>-1</v>
      </c>
      <c r="Q2705" t="str" cm="1">
        <f t="array" ref="Q2705">_xlfn.IFS(Table1[[#This Row],[Wealthier_Winner]]=-1,"Wealthier Nation Loses",Table1[[#This Row],[Wealthier_Winner]]=0,"Tie",Table1[[#This Row],[Wealthier_Winner]]=1,"Wealthier Nation Wins")</f>
        <v>Wealthier Nation Loses</v>
      </c>
    </row>
    <row r="2706" spans="1:17" x14ac:dyDescent="0.2">
      <c r="A2706" s="1">
        <v>4357</v>
      </c>
      <c r="B2706" s="2">
        <v>37874</v>
      </c>
      <c r="C2706" s="7">
        <f>_xlfn.FLOOR.MATH(Table1[[#This Row],[year]],10)</f>
        <v>2000</v>
      </c>
      <c r="D2706" t="s">
        <v>13</v>
      </c>
      <c r="E2706" t="s">
        <v>57</v>
      </c>
      <c r="F2706">
        <v>1</v>
      </c>
      <c r="G2706">
        <v>0</v>
      </c>
      <c r="H2706" t="s">
        <v>224</v>
      </c>
      <c r="I2706" t="s">
        <v>176</v>
      </c>
      <c r="J2706" t="s">
        <v>13</v>
      </c>
      <c r="K2706" t="b">
        <v>0</v>
      </c>
      <c r="L2706">
        <v>2003</v>
      </c>
      <c r="M2706">
        <v>558233724164</v>
      </c>
      <c r="N2706">
        <v>30965208000</v>
      </c>
      <c r="O2706" t="b">
        <v>1</v>
      </c>
      <c r="P2706">
        <v>1</v>
      </c>
      <c r="Q2706" t="str" cm="1">
        <f t="array" ref="Q2706">_xlfn.IFS(Table1[[#This Row],[Wealthier_Winner]]=-1,"Wealthier Nation Loses",Table1[[#This Row],[Wealthier_Winner]]=0,"Tie",Table1[[#This Row],[Wealthier_Winner]]=1,"Wealthier Nation Wins")</f>
        <v>Wealthier Nation Wins</v>
      </c>
    </row>
    <row r="2707" spans="1:17" x14ac:dyDescent="0.2">
      <c r="A2707" s="1">
        <v>4358</v>
      </c>
      <c r="B2707" s="2">
        <v>37874</v>
      </c>
      <c r="C2707" s="7">
        <f>_xlfn.FLOOR.MATH(Table1[[#This Row],[year]],10)</f>
        <v>2000</v>
      </c>
      <c r="D2707" t="s">
        <v>35</v>
      </c>
      <c r="E2707" t="s">
        <v>26</v>
      </c>
      <c r="F2707">
        <v>4</v>
      </c>
      <c r="G2707">
        <v>1</v>
      </c>
      <c r="H2707" t="s">
        <v>224</v>
      </c>
      <c r="I2707" t="s">
        <v>250</v>
      </c>
      <c r="J2707" t="s">
        <v>35</v>
      </c>
      <c r="K2707" t="b">
        <v>0</v>
      </c>
      <c r="L2707">
        <v>2003</v>
      </c>
      <c r="M2707">
        <v>7691367471</v>
      </c>
      <c r="N2707">
        <v>12045638351</v>
      </c>
      <c r="O2707" t="b">
        <v>0</v>
      </c>
      <c r="P2707">
        <v>-1</v>
      </c>
      <c r="Q2707" t="str" cm="1">
        <f t="array" ref="Q2707">_xlfn.IFS(Table1[[#This Row],[Wealthier_Winner]]=-1,"Wealthier Nation Loses",Table1[[#This Row],[Wealthier_Winner]]=0,"Tie",Table1[[#This Row],[Wealthier_Winner]]=1,"Wealthier Nation Wins")</f>
        <v>Wealthier Nation Loses</v>
      </c>
    </row>
    <row r="2708" spans="1:17" x14ac:dyDescent="0.2">
      <c r="A2708" s="1">
        <v>4359</v>
      </c>
      <c r="B2708" s="2">
        <v>37904</v>
      </c>
      <c r="C2708" s="7">
        <f>_xlfn.FLOOR.MATH(Table1[[#This Row],[year]],10)</f>
        <v>2000</v>
      </c>
      <c r="D2708" t="s">
        <v>508</v>
      </c>
      <c r="E2708" t="s">
        <v>590</v>
      </c>
      <c r="F2708">
        <v>1</v>
      </c>
      <c r="G2708">
        <v>2</v>
      </c>
      <c r="H2708" t="s">
        <v>224</v>
      </c>
      <c r="I2708" t="s">
        <v>509</v>
      </c>
      <c r="J2708" t="s">
        <v>508</v>
      </c>
      <c r="K2708" t="b">
        <v>0</v>
      </c>
      <c r="L2708">
        <v>2003</v>
      </c>
      <c r="M2708">
        <v>553614800</v>
      </c>
      <c r="N2708">
        <v>5605613011</v>
      </c>
      <c r="O2708" t="b">
        <v>1</v>
      </c>
      <c r="P2708">
        <v>1</v>
      </c>
      <c r="Q2708" t="str" cm="1">
        <f t="array" ref="Q2708">_xlfn.IFS(Table1[[#This Row],[Wealthier_Winner]]=-1,"Wealthier Nation Loses",Table1[[#This Row],[Wealthier_Winner]]=0,"Tie",Table1[[#This Row],[Wealthier_Winner]]=1,"Wealthier Nation Wins")</f>
        <v>Wealthier Nation Wins</v>
      </c>
    </row>
    <row r="2709" spans="1:17" x14ac:dyDescent="0.2">
      <c r="A2709" s="1">
        <v>4360</v>
      </c>
      <c r="B2709" s="2">
        <v>37905</v>
      </c>
      <c r="C2709" s="7">
        <f>_xlfn.FLOOR.MATH(Table1[[#This Row],[year]],10)</f>
        <v>2000</v>
      </c>
      <c r="D2709" t="s">
        <v>469</v>
      </c>
      <c r="E2709" t="s">
        <v>307</v>
      </c>
      <c r="F2709">
        <v>4</v>
      </c>
      <c r="G2709">
        <v>1</v>
      </c>
      <c r="H2709" t="s">
        <v>224</v>
      </c>
      <c r="I2709" t="s">
        <v>470</v>
      </c>
      <c r="J2709" t="s">
        <v>469</v>
      </c>
      <c r="K2709" t="b">
        <v>0</v>
      </c>
      <c r="L2709">
        <v>2003</v>
      </c>
      <c r="M2709">
        <v>7511582173</v>
      </c>
      <c r="N2709">
        <v>1157825434</v>
      </c>
      <c r="O2709" t="b">
        <v>1</v>
      </c>
      <c r="P2709">
        <v>1</v>
      </c>
      <c r="Q2709" t="str" cm="1">
        <f t="array" ref="Q2709">_xlfn.IFS(Table1[[#This Row],[Wealthier_Winner]]=-1,"Wealthier Nation Loses",Table1[[#This Row],[Wealthier_Winner]]=0,"Tie",Table1[[#This Row],[Wealthier_Winner]]=1,"Wealthier Nation Wins")</f>
        <v>Wealthier Nation Wins</v>
      </c>
    </row>
    <row r="2710" spans="1:17" x14ac:dyDescent="0.2">
      <c r="A2710" s="1">
        <v>4361</v>
      </c>
      <c r="B2710" s="2">
        <v>37905</v>
      </c>
      <c r="C2710" s="7">
        <f>_xlfn.FLOOR.MATH(Table1[[#This Row],[year]],10)</f>
        <v>2000</v>
      </c>
      <c r="D2710" t="s">
        <v>639</v>
      </c>
      <c r="E2710" t="s">
        <v>62</v>
      </c>
      <c r="F2710">
        <v>1</v>
      </c>
      <c r="G2710">
        <v>0</v>
      </c>
      <c r="H2710" t="s">
        <v>224</v>
      </c>
      <c r="I2710" t="s">
        <v>640</v>
      </c>
      <c r="J2710" t="s">
        <v>639</v>
      </c>
      <c r="K2710" t="b">
        <v>0</v>
      </c>
      <c r="L2710">
        <v>2003</v>
      </c>
      <c r="M2710">
        <v>2484745935</v>
      </c>
      <c r="N2710">
        <v>2987984050</v>
      </c>
      <c r="O2710" t="b">
        <v>0</v>
      </c>
      <c r="P2710">
        <v>-1</v>
      </c>
      <c r="Q2710" t="str" cm="1">
        <f t="array" ref="Q2710">_xlfn.IFS(Table1[[#This Row],[Wealthier_Winner]]=-1,"Wealthier Nation Loses",Table1[[#This Row],[Wealthier_Winner]]=0,"Tie",Table1[[#This Row],[Wealthier_Winner]]=1,"Wealthier Nation Wins")</f>
        <v>Wealthier Nation Loses</v>
      </c>
    </row>
    <row r="2711" spans="1:17" x14ac:dyDescent="0.2">
      <c r="A2711" s="1">
        <v>4362</v>
      </c>
      <c r="B2711" s="2">
        <v>37905</v>
      </c>
      <c r="C2711" s="7">
        <f>_xlfn.FLOOR.MATH(Table1[[#This Row],[year]],10)</f>
        <v>2000</v>
      </c>
      <c r="D2711" t="s">
        <v>410</v>
      </c>
      <c r="E2711" t="s">
        <v>310</v>
      </c>
      <c r="F2711">
        <v>1</v>
      </c>
      <c r="G2711">
        <v>1</v>
      </c>
      <c r="H2711" t="s">
        <v>224</v>
      </c>
      <c r="I2711" t="s">
        <v>413</v>
      </c>
      <c r="J2711" t="s">
        <v>410</v>
      </c>
      <c r="K2711" t="b">
        <v>0</v>
      </c>
      <c r="L2711">
        <v>2003</v>
      </c>
      <c r="M2711">
        <v>6372498889</v>
      </c>
      <c r="N2711">
        <v>5349258094</v>
      </c>
      <c r="O2711" t="b">
        <v>0</v>
      </c>
      <c r="P2711">
        <v>0</v>
      </c>
      <c r="Q2711" t="str" cm="1">
        <f t="array" ref="Q2711">_xlfn.IFS(Table1[[#This Row],[Wealthier_Winner]]=-1,"Wealthier Nation Loses",Table1[[#This Row],[Wealthier_Winner]]=0,"Tie",Table1[[#This Row],[Wealthier_Winner]]=1,"Wealthier Nation Wins")</f>
        <v>Tie</v>
      </c>
    </row>
    <row r="2712" spans="1:17" x14ac:dyDescent="0.2">
      <c r="A2712" s="1">
        <v>4363</v>
      </c>
      <c r="B2712" s="2">
        <v>37905</v>
      </c>
      <c r="C2712" s="7">
        <f>_xlfn.FLOOR.MATH(Table1[[#This Row],[year]],10)</f>
        <v>2000</v>
      </c>
      <c r="D2712" t="s">
        <v>343</v>
      </c>
      <c r="E2712" t="s">
        <v>32</v>
      </c>
      <c r="F2712">
        <v>0</v>
      </c>
      <c r="G2712">
        <v>1</v>
      </c>
      <c r="H2712" t="s">
        <v>224</v>
      </c>
      <c r="I2712" t="s">
        <v>349</v>
      </c>
      <c r="J2712" t="s">
        <v>343</v>
      </c>
      <c r="K2712" t="b">
        <v>0</v>
      </c>
      <c r="L2712">
        <v>2003</v>
      </c>
      <c r="M2712">
        <v>3394084732</v>
      </c>
      <c r="N2712">
        <v>73482264190</v>
      </c>
      <c r="O2712" t="b">
        <v>1</v>
      </c>
      <c r="P2712">
        <v>1</v>
      </c>
      <c r="Q2712" t="str" cm="1">
        <f t="array" ref="Q2712">_xlfn.IFS(Table1[[#This Row],[Wealthier_Winner]]=-1,"Wealthier Nation Loses",Table1[[#This Row],[Wealthier_Winner]]=0,"Tie",Table1[[#This Row],[Wealthier_Winner]]=1,"Wealthier Nation Wins")</f>
        <v>Wealthier Nation Wins</v>
      </c>
    </row>
    <row r="2713" spans="1:17" x14ac:dyDescent="0.2">
      <c r="A2713" s="1">
        <v>4365</v>
      </c>
      <c r="B2713" s="2">
        <v>37905</v>
      </c>
      <c r="C2713" s="7">
        <f>_xlfn.FLOOR.MATH(Table1[[#This Row],[year]],10)</f>
        <v>2000</v>
      </c>
      <c r="D2713" t="s">
        <v>583</v>
      </c>
      <c r="E2713" t="s">
        <v>273</v>
      </c>
      <c r="F2713">
        <v>0</v>
      </c>
      <c r="G2713">
        <v>4</v>
      </c>
      <c r="H2713" t="s">
        <v>224</v>
      </c>
      <c r="I2713" t="s">
        <v>584</v>
      </c>
      <c r="J2713" t="s">
        <v>583</v>
      </c>
      <c r="K2713" t="b">
        <v>0</v>
      </c>
      <c r="L2713">
        <v>2003</v>
      </c>
      <c r="M2713">
        <v>750847230</v>
      </c>
      <c r="N2713">
        <v>4901869764</v>
      </c>
      <c r="O2713" t="b">
        <v>1</v>
      </c>
      <c r="P2713">
        <v>1</v>
      </c>
      <c r="Q2713" t="str" cm="1">
        <f t="array" ref="Q2713">_xlfn.IFS(Table1[[#This Row],[Wealthier_Winner]]=-1,"Wealthier Nation Loses",Table1[[#This Row],[Wealthier_Winner]]=0,"Tie",Table1[[#This Row],[Wealthier_Winner]]=1,"Wealthier Nation Wins")</f>
        <v>Wealthier Nation Wins</v>
      </c>
    </row>
    <row r="2714" spans="1:17" x14ac:dyDescent="0.2">
      <c r="A2714" s="1">
        <v>4366</v>
      </c>
      <c r="B2714" s="2">
        <v>37905</v>
      </c>
      <c r="C2714" s="7">
        <f>_xlfn.FLOOR.MATH(Table1[[#This Row],[year]],10)</f>
        <v>2000</v>
      </c>
      <c r="D2714" t="s">
        <v>320</v>
      </c>
      <c r="E2714" t="s">
        <v>314</v>
      </c>
      <c r="F2714">
        <v>0</v>
      </c>
      <c r="G2714">
        <v>0</v>
      </c>
      <c r="H2714" t="s">
        <v>224</v>
      </c>
      <c r="I2714" t="s">
        <v>321</v>
      </c>
      <c r="J2714" t="s">
        <v>320</v>
      </c>
      <c r="K2714" t="b">
        <v>0</v>
      </c>
      <c r="L2714">
        <v>2003</v>
      </c>
      <c r="M2714">
        <v>15211487708</v>
      </c>
      <c r="N2714">
        <v>14904517649</v>
      </c>
      <c r="O2714" t="b">
        <v>0</v>
      </c>
      <c r="P2714">
        <v>0</v>
      </c>
      <c r="Q2714" t="str" cm="1">
        <f t="array" ref="Q2714">_xlfn.IFS(Table1[[#This Row],[Wealthier_Winner]]=-1,"Wealthier Nation Loses",Table1[[#This Row],[Wealthier_Winner]]=0,"Tie",Table1[[#This Row],[Wealthier_Winner]]=1,"Wealthier Nation Wins")</f>
        <v>Tie</v>
      </c>
    </row>
    <row r="2715" spans="1:17" x14ac:dyDescent="0.2">
      <c r="A2715" s="1">
        <v>4367</v>
      </c>
      <c r="B2715" s="2">
        <v>37905</v>
      </c>
      <c r="C2715" s="7">
        <f>_xlfn.FLOOR.MATH(Table1[[#This Row],[year]],10)</f>
        <v>2000</v>
      </c>
      <c r="D2715" t="s">
        <v>357</v>
      </c>
      <c r="E2715" t="s">
        <v>323</v>
      </c>
      <c r="F2715">
        <v>3</v>
      </c>
      <c r="G2715">
        <v>0</v>
      </c>
      <c r="H2715" t="s">
        <v>224</v>
      </c>
      <c r="I2715" t="s">
        <v>358</v>
      </c>
      <c r="J2715" t="s">
        <v>357</v>
      </c>
      <c r="K2715" t="b">
        <v>0</v>
      </c>
      <c r="L2715">
        <v>2003</v>
      </c>
      <c r="M2715">
        <v>6606884275</v>
      </c>
      <c r="N2715">
        <v>5894873919</v>
      </c>
      <c r="O2715" t="b">
        <v>0</v>
      </c>
      <c r="P2715">
        <v>1</v>
      </c>
      <c r="Q2715" t="str" cm="1">
        <f t="array" ref="Q2715">_xlfn.IFS(Table1[[#This Row],[Wealthier_Winner]]=-1,"Wealthier Nation Loses",Table1[[#This Row],[Wealthier_Winner]]=0,"Tie",Table1[[#This Row],[Wealthier_Winner]]=1,"Wealthier Nation Wins")</f>
        <v>Wealthier Nation Wins</v>
      </c>
    </row>
    <row r="2716" spans="1:17" x14ac:dyDescent="0.2">
      <c r="A2716" s="1">
        <v>4368</v>
      </c>
      <c r="B2716" s="2">
        <v>37905</v>
      </c>
      <c r="C2716" s="7">
        <f>_xlfn.FLOOR.MATH(Table1[[#This Row],[year]],10)</f>
        <v>2000</v>
      </c>
      <c r="D2716" t="s">
        <v>274</v>
      </c>
      <c r="E2716" t="s">
        <v>588</v>
      </c>
      <c r="F2716">
        <v>3</v>
      </c>
      <c r="G2716">
        <v>0</v>
      </c>
      <c r="H2716" t="s">
        <v>224</v>
      </c>
      <c r="I2716" t="s">
        <v>278</v>
      </c>
      <c r="J2716" t="s">
        <v>274</v>
      </c>
      <c r="K2716" t="b">
        <v>0</v>
      </c>
      <c r="L2716">
        <v>2003</v>
      </c>
      <c r="M2716">
        <v>21355298459</v>
      </c>
      <c r="N2716">
        <v>870248267</v>
      </c>
      <c r="O2716" t="b">
        <v>1</v>
      </c>
      <c r="P2716">
        <v>1</v>
      </c>
      <c r="Q2716" t="str" cm="1">
        <f t="array" ref="Q2716">_xlfn.IFS(Table1[[#This Row],[Wealthier_Winner]]=-1,"Wealthier Nation Loses",Table1[[#This Row],[Wealthier_Winner]]=0,"Tie",Table1[[#This Row],[Wealthier_Winner]]=1,"Wealthier Nation Wins")</f>
        <v>Wealthier Nation Wins</v>
      </c>
    </row>
    <row r="2717" spans="1:17" x14ac:dyDescent="0.2">
      <c r="A2717" s="1">
        <v>4369</v>
      </c>
      <c r="B2717" s="2">
        <v>37906</v>
      </c>
      <c r="C2717" s="7">
        <f>_xlfn.FLOOR.MATH(Table1[[#This Row],[year]],10)</f>
        <v>2000</v>
      </c>
      <c r="D2717" t="s">
        <v>460</v>
      </c>
      <c r="E2717" t="s">
        <v>433</v>
      </c>
      <c r="F2717">
        <v>0</v>
      </c>
      <c r="G2717">
        <v>0</v>
      </c>
      <c r="H2717" t="s">
        <v>224</v>
      </c>
      <c r="I2717" t="s">
        <v>464</v>
      </c>
      <c r="J2717" t="s">
        <v>460</v>
      </c>
      <c r="K2717" t="b">
        <v>0</v>
      </c>
      <c r="L2717">
        <v>2003</v>
      </c>
      <c r="M2717">
        <v>784654423</v>
      </c>
      <c r="N2717">
        <v>6511903365</v>
      </c>
      <c r="O2717" t="b">
        <v>1</v>
      </c>
      <c r="P2717">
        <v>0</v>
      </c>
      <c r="Q2717" t="str" cm="1">
        <f t="array" ref="Q2717">_xlfn.IFS(Table1[[#This Row],[Wealthier_Winner]]=-1,"Wealthier Nation Loses",Table1[[#This Row],[Wealthier_Winner]]=0,"Tie",Table1[[#This Row],[Wealthier_Winner]]=1,"Wealthier Nation Wins")</f>
        <v>Tie</v>
      </c>
    </row>
    <row r="2718" spans="1:17" x14ac:dyDescent="0.2">
      <c r="A2718" s="1">
        <v>4370</v>
      </c>
      <c r="B2718" s="2">
        <v>37906</v>
      </c>
      <c r="C2718" s="7">
        <f>_xlfn.FLOOR.MATH(Table1[[#This Row],[year]],10)</f>
        <v>2000</v>
      </c>
      <c r="D2718" t="s">
        <v>586</v>
      </c>
      <c r="E2718" t="s">
        <v>60</v>
      </c>
      <c r="F2718">
        <v>3</v>
      </c>
      <c r="G2718">
        <v>1</v>
      </c>
      <c r="H2718" t="s">
        <v>224</v>
      </c>
      <c r="I2718" t="s">
        <v>587</v>
      </c>
      <c r="J2718" t="s">
        <v>586</v>
      </c>
      <c r="K2718" t="b">
        <v>0</v>
      </c>
      <c r="L2718">
        <v>2003</v>
      </c>
      <c r="M2718">
        <v>2742815071</v>
      </c>
      <c r="N2718">
        <v>20342128111</v>
      </c>
      <c r="O2718" t="b">
        <v>1</v>
      </c>
      <c r="P2718">
        <v>-1</v>
      </c>
      <c r="Q2718" t="str" cm="1">
        <f t="array" ref="Q2718">_xlfn.IFS(Table1[[#This Row],[Wealthier_Winner]]=-1,"Wealthier Nation Loses",Table1[[#This Row],[Wealthier_Winner]]=0,"Tie",Table1[[#This Row],[Wealthier_Winner]]=1,"Wealthier Nation Wins")</f>
        <v>Wealthier Nation Loses</v>
      </c>
    </row>
    <row r="2719" spans="1:17" x14ac:dyDescent="0.2">
      <c r="A2719" s="1">
        <v>4372</v>
      </c>
      <c r="B2719" s="2">
        <v>37906</v>
      </c>
      <c r="C2719" s="7">
        <f>_xlfn.FLOOR.MATH(Table1[[#This Row],[year]],10)</f>
        <v>2000</v>
      </c>
      <c r="D2719" t="s">
        <v>238</v>
      </c>
      <c r="E2719" t="s">
        <v>370</v>
      </c>
      <c r="F2719">
        <v>1</v>
      </c>
      <c r="G2719">
        <v>3</v>
      </c>
      <c r="H2719" t="s">
        <v>224</v>
      </c>
      <c r="I2719" t="s">
        <v>288</v>
      </c>
      <c r="J2719" t="s">
        <v>238</v>
      </c>
      <c r="K2719" t="b">
        <v>0</v>
      </c>
      <c r="L2719">
        <v>2003</v>
      </c>
      <c r="M2719">
        <v>8623691300</v>
      </c>
      <c r="N2719">
        <v>4669789300</v>
      </c>
      <c r="O2719" t="b">
        <v>0</v>
      </c>
      <c r="P2719">
        <v>-1</v>
      </c>
      <c r="Q2719" t="str" cm="1">
        <f t="array" ref="Q2719">_xlfn.IFS(Table1[[#This Row],[Wealthier_Winner]]=-1,"Wealthier Nation Loses",Table1[[#This Row],[Wealthier_Winner]]=0,"Tie",Table1[[#This Row],[Wealthier_Winner]]=1,"Wealthier Nation Wins")</f>
        <v>Wealthier Nation Loses</v>
      </c>
    </row>
    <row r="2720" spans="1:17" x14ac:dyDescent="0.2">
      <c r="A2720" s="1">
        <v>4374</v>
      </c>
      <c r="B2720" s="2">
        <v>37906</v>
      </c>
      <c r="C2720" s="7">
        <f>_xlfn.FLOOR.MATH(Table1[[#This Row],[year]],10)</f>
        <v>2000</v>
      </c>
      <c r="D2720" t="s">
        <v>305</v>
      </c>
      <c r="E2720" t="s">
        <v>300</v>
      </c>
      <c r="F2720">
        <v>1</v>
      </c>
      <c r="G2720">
        <v>0</v>
      </c>
      <c r="H2720" t="s">
        <v>224</v>
      </c>
      <c r="I2720" t="s">
        <v>306</v>
      </c>
      <c r="J2720" t="s">
        <v>305</v>
      </c>
      <c r="K2720" t="b">
        <v>0</v>
      </c>
      <c r="L2720">
        <v>2003</v>
      </c>
      <c r="M2720">
        <v>5025167975</v>
      </c>
      <c r="N2720">
        <v>6583526860</v>
      </c>
      <c r="O2720" t="b">
        <v>0</v>
      </c>
      <c r="P2720">
        <v>-1</v>
      </c>
      <c r="Q2720" t="str" cm="1">
        <f t="array" ref="Q2720">_xlfn.IFS(Table1[[#This Row],[Wealthier_Winner]]=-1,"Wealthier Nation Loses",Table1[[#This Row],[Wealthier_Winner]]=0,"Tie",Table1[[#This Row],[Wealthier_Winner]]=1,"Wealthier Nation Wins")</f>
        <v>Wealthier Nation Loses</v>
      </c>
    </row>
    <row r="2721" spans="1:17" x14ac:dyDescent="0.2">
      <c r="A2721" s="1">
        <v>4375</v>
      </c>
      <c r="B2721" s="2">
        <v>37906</v>
      </c>
      <c r="C2721" s="7">
        <f>_xlfn.FLOOR.MATH(Table1[[#This Row],[year]],10)</f>
        <v>2000</v>
      </c>
      <c r="D2721" t="s">
        <v>514</v>
      </c>
      <c r="E2721" t="s">
        <v>462</v>
      </c>
      <c r="F2721">
        <v>3</v>
      </c>
      <c r="G2721">
        <v>0</v>
      </c>
      <c r="H2721" t="s">
        <v>224</v>
      </c>
      <c r="I2721" t="s">
        <v>515</v>
      </c>
      <c r="J2721" t="s">
        <v>514</v>
      </c>
      <c r="K2721" t="b">
        <v>0</v>
      </c>
      <c r="L2721">
        <v>2003</v>
      </c>
      <c r="M2721">
        <v>2138237278</v>
      </c>
      <c r="N2721">
        <v>4926439383</v>
      </c>
      <c r="O2721" t="b">
        <v>1</v>
      </c>
      <c r="P2721">
        <v>-1</v>
      </c>
      <c r="Q2721" t="str" cm="1">
        <f t="array" ref="Q2721">_xlfn.IFS(Table1[[#This Row],[Wealthier_Winner]]=-1,"Wealthier Nation Loses",Table1[[#This Row],[Wealthier_Winner]]=0,"Tie",Table1[[#This Row],[Wealthier_Winner]]=1,"Wealthier Nation Wins")</f>
        <v>Wealthier Nation Loses</v>
      </c>
    </row>
    <row r="2722" spans="1:17" x14ac:dyDescent="0.2">
      <c r="A2722" s="1">
        <v>4377</v>
      </c>
      <c r="B2722" s="2">
        <v>37906</v>
      </c>
      <c r="C2722" s="7">
        <f>_xlfn.FLOOR.MATH(Table1[[#This Row],[year]],10)</f>
        <v>2000</v>
      </c>
      <c r="D2722" t="s">
        <v>298</v>
      </c>
      <c r="E2722" t="s">
        <v>346</v>
      </c>
      <c r="F2722">
        <v>3</v>
      </c>
      <c r="G2722">
        <v>0</v>
      </c>
      <c r="H2722" t="s">
        <v>224</v>
      </c>
      <c r="I2722" t="s">
        <v>377</v>
      </c>
      <c r="J2722" t="s">
        <v>298</v>
      </c>
      <c r="K2722" t="b">
        <v>0</v>
      </c>
      <c r="L2722">
        <v>2003</v>
      </c>
      <c r="M2722">
        <v>5730500000</v>
      </c>
      <c r="N2722">
        <v>2051147606</v>
      </c>
      <c r="O2722" t="b">
        <v>1</v>
      </c>
      <c r="P2722">
        <v>1</v>
      </c>
      <c r="Q2722" t="str" cm="1">
        <f t="array" ref="Q2722">_xlfn.IFS(Table1[[#This Row],[Wealthier_Winner]]=-1,"Wealthier Nation Loses",Table1[[#This Row],[Wealthier_Winner]]=0,"Tie",Table1[[#This Row],[Wealthier_Winner]]=1,"Wealthier Nation Wins")</f>
        <v>Wealthier Nation Wins</v>
      </c>
    </row>
    <row r="2723" spans="1:17" x14ac:dyDescent="0.2">
      <c r="A2723" s="1">
        <v>4378</v>
      </c>
      <c r="B2723" s="2">
        <v>37939</v>
      </c>
      <c r="C2723" s="7">
        <f>_xlfn.FLOOR.MATH(Table1[[#This Row],[year]],10)</f>
        <v>2000</v>
      </c>
      <c r="D2723" t="s">
        <v>32</v>
      </c>
      <c r="E2723" t="s">
        <v>343</v>
      </c>
      <c r="F2723">
        <v>6</v>
      </c>
      <c r="G2723">
        <v>0</v>
      </c>
      <c r="H2723" t="s">
        <v>224</v>
      </c>
      <c r="I2723" t="s">
        <v>279</v>
      </c>
      <c r="J2723" t="s">
        <v>32</v>
      </c>
      <c r="K2723" t="b">
        <v>0</v>
      </c>
      <c r="L2723">
        <v>2003</v>
      </c>
      <c r="M2723">
        <v>73482264190</v>
      </c>
      <c r="N2723">
        <v>3394084732</v>
      </c>
      <c r="O2723" t="b">
        <v>1</v>
      </c>
      <c r="P2723">
        <v>1</v>
      </c>
      <c r="Q2723" t="str" cm="1">
        <f t="array" ref="Q2723">_xlfn.IFS(Table1[[#This Row],[Wealthier_Winner]]=-1,"Wealthier Nation Loses",Table1[[#This Row],[Wealthier_Winner]]=0,"Tie",Table1[[#This Row],[Wealthier_Winner]]=1,"Wealthier Nation Wins")</f>
        <v>Wealthier Nation Wins</v>
      </c>
    </row>
    <row r="2724" spans="1:17" x14ac:dyDescent="0.2">
      <c r="A2724" s="1">
        <v>4379</v>
      </c>
      <c r="B2724" s="2">
        <v>37939</v>
      </c>
      <c r="C2724" s="7">
        <f>_xlfn.FLOOR.MATH(Table1[[#This Row],[year]],10)</f>
        <v>2000</v>
      </c>
      <c r="D2724" t="s">
        <v>590</v>
      </c>
      <c r="E2724" t="s">
        <v>508</v>
      </c>
      <c r="F2724">
        <v>2</v>
      </c>
      <c r="G2724">
        <v>0</v>
      </c>
      <c r="H2724" t="s">
        <v>224</v>
      </c>
      <c r="I2724" t="s">
        <v>596</v>
      </c>
      <c r="J2724" t="s">
        <v>590</v>
      </c>
      <c r="K2724" t="b">
        <v>0</v>
      </c>
      <c r="L2724">
        <v>2003</v>
      </c>
      <c r="M2724">
        <v>5605613011</v>
      </c>
      <c r="N2724">
        <v>553614800</v>
      </c>
      <c r="O2724" t="b">
        <v>1</v>
      </c>
      <c r="P2724">
        <v>1</v>
      </c>
      <c r="Q2724" t="str" cm="1">
        <f t="array" ref="Q2724">_xlfn.IFS(Table1[[#This Row],[Wealthier_Winner]]=-1,"Wealthier Nation Loses",Table1[[#This Row],[Wealthier_Winner]]=0,"Tie",Table1[[#This Row],[Wealthier_Winner]]=1,"Wealthier Nation Wins")</f>
        <v>Wealthier Nation Wins</v>
      </c>
    </row>
    <row r="2725" spans="1:17" x14ac:dyDescent="0.2">
      <c r="A2725" s="1">
        <v>4380</v>
      </c>
      <c r="B2725" s="2">
        <v>37939</v>
      </c>
      <c r="C2725" s="7">
        <f>_xlfn.FLOOR.MATH(Table1[[#This Row],[year]],10)</f>
        <v>2000</v>
      </c>
      <c r="D2725" t="s">
        <v>346</v>
      </c>
      <c r="E2725" t="s">
        <v>298</v>
      </c>
      <c r="F2725">
        <v>2</v>
      </c>
      <c r="G2725">
        <v>1</v>
      </c>
      <c r="H2725" t="s">
        <v>224</v>
      </c>
      <c r="I2725" t="s">
        <v>350</v>
      </c>
      <c r="J2725" t="s">
        <v>346</v>
      </c>
      <c r="K2725" t="b">
        <v>0</v>
      </c>
      <c r="L2725">
        <v>2003</v>
      </c>
      <c r="M2725">
        <v>2051147606</v>
      </c>
      <c r="N2725">
        <v>5730500000</v>
      </c>
      <c r="O2725" t="b">
        <v>1</v>
      </c>
      <c r="P2725">
        <v>-1</v>
      </c>
      <c r="Q2725" t="str" cm="1">
        <f t="array" ref="Q2725">_xlfn.IFS(Table1[[#This Row],[Wealthier_Winner]]=-1,"Wealthier Nation Loses",Table1[[#This Row],[Wealthier_Winner]]=0,"Tie",Table1[[#This Row],[Wealthier_Winner]]=1,"Wealthier Nation Wins")</f>
        <v>Wealthier Nation Loses</v>
      </c>
    </row>
    <row r="2726" spans="1:17" x14ac:dyDescent="0.2">
      <c r="A2726" s="1">
        <v>4381</v>
      </c>
      <c r="B2726" s="2">
        <v>37940</v>
      </c>
      <c r="C2726" s="7">
        <f>_xlfn.FLOOR.MATH(Table1[[#This Row],[year]],10)</f>
        <v>2000</v>
      </c>
      <c r="D2726" t="s">
        <v>19</v>
      </c>
      <c r="E2726" t="s">
        <v>47</v>
      </c>
      <c r="F2726">
        <v>3</v>
      </c>
      <c r="G2726">
        <v>0</v>
      </c>
      <c r="H2726" t="s">
        <v>224</v>
      </c>
      <c r="I2726" t="s">
        <v>93</v>
      </c>
      <c r="J2726" t="s">
        <v>19</v>
      </c>
      <c r="K2726" t="b">
        <v>0</v>
      </c>
      <c r="L2726">
        <v>2003</v>
      </c>
      <c r="M2726">
        <v>127586973492</v>
      </c>
      <c r="N2726">
        <v>8082399639</v>
      </c>
      <c r="O2726" t="b">
        <v>1</v>
      </c>
      <c r="P2726">
        <v>1</v>
      </c>
      <c r="Q2726" t="str" cm="1">
        <f t="array" ref="Q2726">_xlfn.IFS(Table1[[#This Row],[Wealthier_Winner]]=-1,"Wealthier Nation Loses",Table1[[#This Row],[Wealthier_Winner]]=0,"Tie",Table1[[#This Row],[Wealthier_Winner]]=1,"Wealthier Nation Wins")</f>
        <v>Wealthier Nation Wins</v>
      </c>
    </row>
    <row r="2727" spans="1:17" x14ac:dyDescent="0.2">
      <c r="A2727" s="1">
        <v>4382</v>
      </c>
      <c r="B2727" s="2">
        <v>37940</v>
      </c>
      <c r="C2727" s="7">
        <f>_xlfn.FLOOR.MATH(Table1[[#This Row],[year]],10)</f>
        <v>2000</v>
      </c>
      <c r="D2727" t="s">
        <v>15</v>
      </c>
      <c r="E2727" t="s">
        <v>258</v>
      </c>
      <c r="F2727">
        <v>0</v>
      </c>
      <c r="G2727">
        <v>1</v>
      </c>
      <c r="H2727" t="s">
        <v>224</v>
      </c>
      <c r="I2727" t="s">
        <v>261</v>
      </c>
      <c r="J2727" t="s">
        <v>15</v>
      </c>
      <c r="K2727" t="b">
        <v>0</v>
      </c>
      <c r="L2727">
        <v>2003</v>
      </c>
      <c r="M2727">
        <v>94644969157</v>
      </c>
      <c r="N2727">
        <v>83620628582</v>
      </c>
      <c r="O2727" t="b">
        <v>0</v>
      </c>
      <c r="P2727">
        <v>-1</v>
      </c>
      <c r="Q2727" t="str" cm="1">
        <f t="array" ref="Q2727">_xlfn.IFS(Table1[[#This Row],[Wealthier_Winner]]=-1,"Wealthier Nation Loses",Table1[[#This Row],[Wealthier_Winner]]=0,"Tie",Table1[[#This Row],[Wealthier_Winner]]=1,"Wealthier Nation Wins")</f>
        <v>Wealthier Nation Loses</v>
      </c>
    </row>
    <row r="2728" spans="1:17" x14ac:dyDescent="0.2">
      <c r="A2728" s="1">
        <v>4383</v>
      </c>
      <c r="B2728" s="2">
        <v>37940</v>
      </c>
      <c r="C2728" s="7">
        <f>_xlfn.FLOOR.MATH(Table1[[#This Row],[year]],10)</f>
        <v>2000</v>
      </c>
      <c r="D2728" t="s">
        <v>433</v>
      </c>
      <c r="E2728" t="s">
        <v>460</v>
      </c>
      <c r="F2728">
        <v>4</v>
      </c>
      <c r="G2728">
        <v>1</v>
      </c>
      <c r="H2728" t="s">
        <v>224</v>
      </c>
      <c r="I2728" t="s">
        <v>436</v>
      </c>
      <c r="J2728" t="s">
        <v>433</v>
      </c>
      <c r="K2728" t="b">
        <v>0</v>
      </c>
      <c r="L2728">
        <v>2003</v>
      </c>
      <c r="M2728">
        <v>6511903365</v>
      </c>
      <c r="N2728">
        <v>784654423</v>
      </c>
      <c r="O2728" t="b">
        <v>1</v>
      </c>
      <c r="P2728">
        <v>1</v>
      </c>
      <c r="Q2728" t="str" cm="1">
        <f t="array" ref="Q2728">_xlfn.IFS(Table1[[#This Row],[Wealthier_Winner]]=-1,"Wealthier Nation Loses",Table1[[#This Row],[Wealthier_Winner]]=0,"Tie",Table1[[#This Row],[Wealthier_Winner]]=1,"Wealthier Nation Wins")</f>
        <v>Wealthier Nation Wins</v>
      </c>
    </row>
    <row r="2729" spans="1:17" x14ac:dyDescent="0.2">
      <c r="A2729" s="1">
        <v>4384</v>
      </c>
      <c r="B2729" s="2">
        <v>37940</v>
      </c>
      <c r="C2729" s="7">
        <f>_xlfn.FLOOR.MATH(Table1[[#This Row],[year]],10)</f>
        <v>2000</v>
      </c>
      <c r="D2729" t="s">
        <v>314</v>
      </c>
      <c r="E2729" t="s">
        <v>320</v>
      </c>
      <c r="F2729">
        <v>3</v>
      </c>
      <c r="G2729">
        <v>0</v>
      </c>
      <c r="H2729" t="s">
        <v>224</v>
      </c>
      <c r="I2729" t="s">
        <v>315</v>
      </c>
      <c r="J2729" t="s">
        <v>314</v>
      </c>
      <c r="K2729" t="b">
        <v>0</v>
      </c>
      <c r="L2729">
        <v>2003</v>
      </c>
      <c r="M2729">
        <v>14904517649</v>
      </c>
      <c r="N2729">
        <v>15211487708</v>
      </c>
      <c r="O2729" t="b">
        <v>0</v>
      </c>
      <c r="P2729">
        <v>-1</v>
      </c>
      <c r="Q2729" t="str" cm="1">
        <f t="array" ref="Q2729">_xlfn.IFS(Table1[[#This Row],[Wealthier_Winner]]=-1,"Wealthier Nation Loses",Table1[[#This Row],[Wealthier_Winner]]=0,"Tie",Table1[[#This Row],[Wealthier_Winner]]=1,"Wealthier Nation Wins")</f>
        <v>Wealthier Nation Loses</v>
      </c>
    </row>
    <row r="2730" spans="1:17" x14ac:dyDescent="0.2">
      <c r="A2730" s="1">
        <v>4385</v>
      </c>
      <c r="B2730" s="2">
        <v>37940</v>
      </c>
      <c r="C2730" s="7">
        <f>_xlfn.FLOOR.MATH(Table1[[#This Row],[year]],10)</f>
        <v>2000</v>
      </c>
      <c r="D2730" t="s">
        <v>370</v>
      </c>
      <c r="E2730" t="s">
        <v>238</v>
      </c>
      <c r="F2730">
        <v>0</v>
      </c>
      <c r="G2730">
        <v>0</v>
      </c>
      <c r="H2730" t="s">
        <v>224</v>
      </c>
      <c r="I2730" t="s">
        <v>372</v>
      </c>
      <c r="J2730" t="s">
        <v>370</v>
      </c>
      <c r="K2730" t="b">
        <v>0</v>
      </c>
      <c r="L2730">
        <v>2003</v>
      </c>
      <c r="M2730">
        <v>4669789300</v>
      </c>
      <c r="N2730">
        <v>8623691300</v>
      </c>
      <c r="O2730" t="b">
        <v>0</v>
      </c>
      <c r="P2730">
        <v>0</v>
      </c>
      <c r="Q2730" t="str" cm="1">
        <f t="array" ref="Q2730">_xlfn.IFS(Table1[[#This Row],[Wealthier_Winner]]=-1,"Wealthier Nation Loses",Table1[[#This Row],[Wealthier_Winner]]=0,"Tie",Table1[[#This Row],[Wealthier_Winner]]=1,"Wealthier Nation Wins")</f>
        <v>Tie</v>
      </c>
    </row>
    <row r="2731" spans="1:17" x14ac:dyDescent="0.2">
      <c r="A2731" s="1">
        <v>4386</v>
      </c>
      <c r="B2731" s="2">
        <v>37940</v>
      </c>
      <c r="C2731" s="7">
        <f>_xlfn.FLOOR.MATH(Table1[[#This Row],[year]],10)</f>
        <v>2000</v>
      </c>
      <c r="D2731" t="s">
        <v>462</v>
      </c>
      <c r="E2731" t="s">
        <v>514</v>
      </c>
      <c r="F2731">
        <v>1</v>
      </c>
      <c r="G2731">
        <v>1</v>
      </c>
      <c r="H2731" t="s">
        <v>224</v>
      </c>
      <c r="I2731" t="s">
        <v>465</v>
      </c>
      <c r="J2731" t="s">
        <v>462</v>
      </c>
      <c r="K2731" t="b">
        <v>0</v>
      </c>
      <c r="L2731">
        <v>2003</v>
      </c>
      <c r="M2731">
        <v>4926439383</v>
      </c>
      <c r="N2731">
        <v>2138237278</v>
      </c>
      <c r="O2731" t="b">
        <v>1</v>
      </c>
      <c r="P2731">
        <v>0</v>
      </c>
      <c r="Q2731" t="str" cm="1">
        <f t="array" ref="Q2731">_xlfn.IFS(Table1[[#This Row],[Wealthier_Winner]]=-1,"Wealthier Nation Loses",Table1[[#This Row],[Wealthier_Winner]]=0,"Tie",Table1[[#This Row],[Wealthier_Winner]]=1,"Wealthier Nation Wins")</f>
        <v>Tie</v>
      </c>
    </row>
    <row r="2732" spans="1:17" x14ac:dyDescent="0.2">
      <c r="A2732" s="1">
        <v>4387</v>
      </c>
      <c r="B2732" s="2">
        <v>37940</v>
      </c>
      <c r="C2732" s="7">
        <f>_xlfn.FLOOR.MATH(Table1[[#This Row],[year]],10)</f>
        <v>2000</v>
      </c>
      <c r="D2732" t="s">
        <v>35</v>
      </c>
      <c r="E2732" t="s">
        <v>57</v>
      </c>
      <c r="F2732">
        <v>2</v>
      </c>
      <c r="G2732">
        <v>1</v>
      </c>
      <c r="H2732" t="s">
        <v>224</v>
      </c>
      <c r="I2732" t="s">
        <v>250</v>
      </c>
      <c r="J2732" t="s">
        <v>35</v>
      </c>
      <c r="K2732" t="b">
        <v>0</v>
      </c>
      <c r="L2732">
        <v>2003</v>
      </c>
      <c r="M2732">
        <v>7691367471</v>
      </c>
      <c r="N2732">
        <v>30965208000</v>
      </c>
      <c r="O2732" t="b">
        <v>1</v>
      </c>
      <c r="P2732">
        <v>-1</v>
      </c>
      <c r="Q2732" t="str" cm="1">
        <f t="array" ref="Q2732">_xlfn.IFS(Table1[[#This Row],[Wealthier_Winner]]=-1,"Wealthier Nation Loses",Table1[[#This Row],[Wealthier_Winner]]=0,"Tie",Table1[[#This Row],[Wealthier_Winner]]=1,"Wealthier Nation Wins")</f>
        <v>Wealthier Nation Loses</v>
      </c>
    </row>
    <row r="2733" spans="1:17" x14ac:dyDescent="0.2">
      <c r="A2733" s="1">
        <v>4388</v>
      </c>
      <c r="B2733" s="2">
        <v>37940</v>
      </c>
      <c r="C2733" s="7">
        <f>_xlfn.FLOOR.MATH(Table1[[#This Row],[year]],10)</f>
        <v>2000</v>
      </c>
      <c r="D2733" t="s">
        <v>26</v>
      </c>
      <c r="E2733" t="s">
        <v>14</v>
      </c>
      <c r="F2733">
        <v>2</v>
      </c>
      <c r="G2733">
        <v>1</v>
      </c>
      <c r="H2733" t="s">
        <v>224</v>
      </c>
      <c r="I2733" t="s">
        <v>247</v>
      </c>
      <c r="J2733" t="s">
        <v>26</v>
      </c>
      <c r="K2733" t="b">
        <v>0</v>
      </c>
      <c r="L2733">
        <v>2003</v>
      </c>
      <c r="M2733">
        <v>12045638351</v>
      </c>
      <c r="N2733">
        <v>76492579644</v>
      </c>
      <c r="O2733" t="b">
        <v>1</v>
      </c>
      <c r="P2733">
        <v>-1</v>
      </c>
      <c r="Q2733" t="str" cm="1">
        <f t="array" ref="Q2733">_xlfn.IFS(Table1[[#This Row],[Wealthier_Winner]]=-1,"Wealthier Nation Loses",Table1[[#This Row],[Wealthier_Winner]]=0,"Tie",Table1[[#This Row],[Wealthier_Winner]]=1,"Wealthier Nation Wins")</f>
        <v>Wealthier Nation Loses</v>
      </c>
    </row>
    <row r="2734" spans="1:17" x14ac:dyDescent="0.2">
      <c r="A2734" s="1">
        <v>4389</v>
      </c>
      <c r="B2734" s="2">
        <v>37940</v>
      </c>
      <c r="C2734" s="7">
        <f>_xlfn.FLOOR.MATH(Table1[[#This Row],[year]],10)</f>
        <v>2000</v>
      </c>
      <c r="D2734" t="s">
        <v>273</v>
      </c>
      <c r="E2734" t="s">
        <v>583</v>
      </c>
      <c r="F2734">
        <v>1</v>
      </c>
      <c r="G2734">
        <v>1</v>
      </c>
      <c r="H2734" t="s">
        <v>224</v>
      </c>
      <c r="I2734" t="s">
        <v>330</v>
      </c>
      <c r="J2734" t="s">
        <v>273</v>
      </c>
      <c r="K2734" t="b">
        <v>0</v>
      </c>
      <c r="L2734">
        <v>2003</v>
      </c>
      <c r="M2734">
        <v>4901869764</v>
      </c>
      <c r="N2734">
        <v>750847230</v>
      </c>
      <c r="O2734" t="b">
        <v>1</v>
      </c>
      <c r="P2734">
        <v>0</v>
      </c>
      <c r="Q2734" t="str" cm="1">
        <f t="array" ref="Q2734">_xlfn.IFS(Table1[[#This Row],[Wealthier_Winner]]=-1,"Wealthier Nation Loses",Table1[[#This Row],[Wealthier_Winner]]=0,"Tie",Table1[[#This Row],[Wealthier_Winner]]=1,"Wealthier Nation Wins")</f>
        <v>Tie</v>
      </c>
    </row>
    <row r="2735" spans="1:17" x14ac:dyDescent="0.2">
      <c r="A2735" s="1">
        <v>4390</v>
      </c>
      <c r="B2735" s="2">
        <v>37941</v>
      </c>
      <c r="C2735" s="7">
        <f>_xlfn.FLOOR.MATH(Table1[[#This Row],[year]],10)</f>
        <v>2000</v>
      </c>
      <c r="D2735" t="s">
        <v>60</v>
      </c>
      <c r="E2735" t="s">
        <v>586</v>
      </c>
      <c r="F2735">
        <v>2</v>
      </c>
      <c r="G2735">
        <v>0</v>
      </c>
      <c r="H2735" t="s">
        <v>224</v>
      </c>
      <c r="I2735" t="s">
        <v>396</v>
      </c>
      <c r="J2735" t="s">
        <v>60</v>
      </c>
      <c r="K2735" t="b">
        <v>0</v>
      </c>
      <c r="L2735">
        <v>2003</v>
      </c>
      <c r="M2735">
        <v>20342128111</v>
      </c>
      <c r="N2735">
        <v>2742815071</v>
      </c>
      <c r="O2735" t="b">
        <v>1</v>
      </c>
      <c r="P2735">
        <v>1</v>
      </c>
      <c r="Q2735" t="str" cm="1">
        <f t="array" ref="Q2735">_xlfn.IFS(Table1[[#This Row],[Wealthier_Winner]]=-1,"Wealthier Nation Loses",Table1[[#This Row],[Wealthier_Winner]]=0,"Tie",Table1[[#This Row],[Wealthier_Winner]]=1,"Wealthier Nation Wins")</f>
        <v>Wealthier Nation Wins</v>
      </c>
    </row>
    <row r="2736" spans="1:17" x14ac:dyDescent="0.2">
      <c r="A2736" s="1">
        <v>4391</v>
      </c>
      <c r="B2736" s="2">
        <v>37941</v>
      </c>
      <c r="C2736" s="7">
        <f>_xlfn.FLOOR.MATH(Table1[[#This Row],[year]],10)</f>
        <v>2000</v>
      </c>
      <c r="D2736" t="s">
        <v>310</v>
      </c>
      <c r="E2736" t="s">
        <v>410</v>
      </c>
      <c r="F2736">
        <v>3</v>
      </c>
      <c r="G2736">
        <v>2</v>
      </c>
      <c r="H2736" t="s">
        <v>224</v>
      </c>
      <c r="I2736" t="s">
        <v>311</v>
      </c>
      <c r="J2736" t="s">
        <v>310</v>
      </c>
      <c r="K2736" t="b">
        <v>0</v>
      </c>
      <c r="L2736">
        <v>2003</v>
      </c>
      <c r="M2736">
        <v>5349258094</v>
      </c>
      <c r="N2736">
        <v>6372498889</v>
      </c>
      <c r="O2736" t="b">
        <v>0</v>
      </c>
      <c r="P2736">
        <v>-1</v>
      </c>
      <c r="Q2736" t="str" cm="1">
        <f t="array" ref="Q2736">_xlfn.IFS(Table1[[#This Row],[Wealthier_Winner]]=-1,"Wealthier Nation Loses",Table1[[#This Row],[Wealthier_Winner]]=0,"Tie",Table1[[#This Row],[Wealthier_Winner]]=1,"Wealthier Nation Wins")</f>
        <v>Wealthier Nation Loses</v>
      </c>
    </row>
    <row r="2737" spans="1:17" x14ac:dyDescent="0.2">
      <c r="A2737" s="1">
        <v>4393</v>
      </c>
      <c r="B2737" s="2">
        <v>37941</v>
      </c>
      <c r="C2737" s="7">
        <f>_xlfn.FLOOR.MATH(Table1[[#This Row],[year]],10)</f>
        <v>2000</v>
      </c>
      <c r="D2737" t="s">
        <v>588</v>
      </c>
      <c r="E2737" t="s">
        <v>274</v>
      </c>
      <c r="F2737">
        <v>0</v>
      </c>
      <c r="G2737">
        <v>0</v>
      </c>
      <c r="H2737" t="s">
        <v>224</v>
      </c>
      <c r="I2737" t="s">
        <v>589</v>
      </c>
      <c r="J2737" t="s">
        <v>588</v>
      </c>
      <c r="K2737" t="b">
        <v>0</v>
      </c>
      <c r="L2737">
        <v>2003</v>
      </c>
      <c r="M2737">
        <v>870248267</v>
      </c>
      <c r="N2737">
        <v>21355298459</v>
      </c>
      <c r="O2737" t="b">
        <v>1</v>
      </c>
      <c r="P2737">
        <v>0</v>
      </c>
      <c r="Q2737" t="str" cm="1">
        <f t="array" ref="Q2737">_xlfn.IFS(Table1[[#This Row],[Wealthier_Winner]]=-1,"Wealthier Nation Loses",Table1[[#This Row],[Wealthier_Winner]]=0,"Tie",Table1[[#This Row],[Wealthier_Winner]]=1,"Wealthier Nation Wins")</f>
        <v>Tie</v>
      </c>
    </row>
    <row r="2738" spans="1:17" x14ac:dyDescent="0.2">
      <c r="A2738" s="1">
        <v>4395</v>
      </c>
      <c r="B2738" s="2">
        <v>37941</v>
      </c>
      <c r="C2738" s="7">
        <f>_xlfn.FLOOR.MATH(Table1[[#This Row],[year]],10)</f>
        <v>2000</v>
      </c>
      <c r="D2738" t="s">
        <v>307</v>
      </c>
      <c r="E2738" t="s">
        <v>469</v>
      </c>
      <c r="F2738">
        <v>0</v>
      </c>
      <c r="G2738">
        <v>0</v>
      </c>
      <c r="H2738" t="s">
        <v>224</v>
      </c>
      <c r="I2738" t="s">
        <v>308</v>
      </c>
      <c r="J2738" t="s">
        <v>307</v>
      </c>
      <c r="K2738" t="b">
        <v>0</v>
      </c>
      <c r="L2738">
        <v>2003</v>
      </c>
      <c r="M2738">
        <v>1157825434</v>
      </c>
      <c r="N2738">
        <v>7511582173</v>
      </c>
      <c r="O2738" t="b">
        <v>1</v>
      </c>
      <c r="P2738">
        <v>0</v>
      </c>
      <c r="Q2738" t="str" cm="1">
        <f t="array" ref="Q2738">_xlfn.IFS(Table1[[#This Row],[Wealthier_Winner]]=-1,"Wealthier Nation Loses",Table1[[#This Row],[Wealthier_Winner]]=0,"Tie",Table1[[#This Row],[Wealthier_Winner]]=1,"Wealthier Nation Wins")</f>
        <v>Tie</v>
      </c>
    </row>
    <row r="2739" spans="1:17" x14ac:dyDescent="0.2">
      <c r="A2739" s="1">
        <v>4398</v>
      </c>
      <c r="B2739" s="2">
        <v>37941</v>
      </c>
      <c r="C2739" s="7">
        <f>_xlfn.FLOOR.MATH(Table1[[#This Row],[year]],10)</f>
        <v>2000</v>
      </c>
      <c r="D2739" t="s">
        <v>323</v>
      </c>
      <c r="E2739" t="s">
        <v>357</v>
      </c>
      <c r="F2739">
        <v>3</v>
      </c>
      <c r="G2739">
        <v>1</v>
      </c>
      <c r="H2739" t="s">
        <v>224</v>
      </c>
      <c r="I2739" t="s">
        <v>324</v>
      </c>
      <c r="J2739" t="s">
        <v>323</v>
      </c>
      <c r="K2739" t="b">
        <v>0</v>
      </c>
      <c r="L2739">
        <v>2003</v>
      </c>
      <c r="M2739">
        <v>5894873919</v>
      </c>
      <c r="N2739">
        <v>6606884275</v>
      </c>
      <c r="O2739" t="b">
        <v>0</v>
      </c>
      <c r="P2739">
        <v>-1</v>
      </c>
      <c r="Q2739" t="str" cm="1">
        <f t="array" ref="Q2739">_xlfn.IFS(Table1[[#This Row],[Wealthier_Winner]]=-1,"Wealthier Nation Loses",Table1[[#This Row],[Wealthier_Winner]]=0,"Tie",Table1[[#This Row],[Wealthier_Winner]]=1,"Wealthier Nation Wins")</f>
        <v>Wealthier Nation Loses</v>
      </c>
    </row>
    <row r="2740" spans="1:17" x14ac:dyDescent="0.2">
      <c r="A2740" s="1">
        <v>4399</v>
      </c>
      <c r="B2740" s="2">
        <v>37941</v>
      </c>
      <c r="C2740" s="7">
        <f>_xlfn.FLOOR.MATH(Table1[[#This Row],[year]],10)</f>
        <v>2000</v>
      </c>
      <c r="D2740" t="s">
        <v>300</v>
      </c>
      <c r="E2740" t="s">
        <v>305</v>
      </c>
      <c r="F2740">
        <v>3</v>
      </c>
      <c r="G2740">
        <v>4</v>
      </c>
      <c r="H2740" t="s">
        <v>224</v>
      </c>
      <c r="I2740" t="s">
        <v>299</v>
      </c>
      <c r="J2740" t="s">
        <v>300</v>
      </c>
      <c r="K2740" t="b">
        <v>0</v>
      </c>
      <c r="L2740">
        <v>2003</v>
      </c>
      <c r="M2740">
        <v>6583526860</v>
      </c>
      <c r="N2740">
        <v>5025167975</v>
      </c>
      <c r="O2740" t="b">
        <v>0</v>
      </c>
      <c r="P2740">
        <v>-1</v>
      </c>
      <c r="Q2740" t="str" cm="1">
        <f t="array" ref="Q2740">_xlfn.IFS(Table1[[#This Row],[Wealthier_Winner]]=-1,"Wealthier Nation Loses",Table1[[#This Row],[Wealthier_Winner]]=0,"Tie",Table1[[#This Row],[Wealthier_Winner]]=1,"Wealthier Nation Wins")</f>
        <v>Wealthier Nation Loses</v>
      </c>
    </row>
    <row r="2741" spans="1:17" x14ac:dyDescent="0.2">
      <c r="A2741" s="1">
        <v>4400</v>
      </c>
      <c r="B2741" s="2">
        <v>37941</v>
      </c>
      <c r="C2741" s="7">
        <f>_xlfn.FLOOR.MATH(Table1[[#This Row],[year]],10)</f>
        <v>2000</v>
      </c>
      <c r="D2741" t="s">
        <v>31</v>
      </c>
      <c r="E2741" t="s">
        <v>13</v>
      </c>
      <c r="F2741">
        <v>1</v>
      </c>
      <c r="G2741">
        <v>1</v>
      </c>
      <c r="H2741" t="s">
        <v>224</v>
      </c>
      <c r="I2741" t="s">
        <v>242</v>
      </c>
      <c r="J2741" t="s">
        <v>31</v>
      </c>
      <c r="K2741" t="b">
        <v>0</v>
      </c>
      <c r="L2741">
        <v>2003</v>
      </c>
      <c r="M2741">
        <v>58731030121</v>
      </c>
      <c r="N2741">
        <v>558233724164</v>
      </c>
      <c r="O2741" t="b">
        <v>1</v>
      </c>
      <c r="P2741">
        <v>0</v>
      </c>
      <c r="Q2741" t="str" cm="1">
        <f t="array" ref="Q2741">_xlfn.IFS(Table1[[#This Row],[Wealthier_Winner]]=-1,"Wealthier Nation Loses",Table1[[#This Row],[Wealthier_Winner]]=0,"Tie",Table1[[#This Row],[Wealthier_Winner]]=1,"Wealthier Nation Wins")</f>
        <v>Tie</v>
      </c>
    </row>
    <row r="2742" spans="1:17" x14ac:dyDescent="0.2">
      <c r="A2742" s="1">
        <v>4402</v>
      </c>
      <c r="B2742" s="2">
        <v>37941</v>
      </c>
      <c r="C2742" s="7">
        <f>_xlfn.FLOOR.MATH(Table1[[#This Row],[year]],10)</f>
        <v>2000</v>
      </c>
      <c r="D2742" t="s">
        <v>62</v>
      </c>
      <c r="E2742" t="s">
        <v>639</v>
      </c>
      <c r="F2742">
        <v>2</v>
      </c>
      <c r="G2742">
        <v>0</v>
      </c>
      <c r="H2742" t="s">
        <v>224</v>
      </c>
      <c r="I2742" t="s">
        <v>353</v>
      </c>
      <c r="J2742" t="s">
        <v>62</v>
      </c>
      <c r="K2742" t="b">
        <v>0</v>
      </c>
      <c r="L2742">
        <v>2003</v>
      </c>
      <c r="M2742">
        <v>2987984050</v>
      </c>
      <c r="N2742">
        <v>2484745935</v>
      </c>
      <c r="O2742" t="b">
        <v>0</v>
      </c>
      <c r="P2742">
        <v>1</v>
      </c>
      <c r="Q2742" t="str" cm="1">
        <f t="array" ref="Q2742">_xlfn.IFS(Table1[[#This Row],[Wealthier_Winner]]=-1,"Wealthier Nation Loses",Table1[[#This Row],[Wealthier_Winner]]=0,"Tie",Table1[[#This Row],[Wealthier_Winner]]=1,"Wealthier Nation Wins")</f>
        <v>Wealthier Nation Wins</v>
      </c>
    </row>
    <row r="2743" spans="1:17" x14ac:dyDescent="0.2">
      <c r="A2743" s="1">
        <v>4403</v>
      </c>
      <c r="B2743" s="2">
        <v>37943</v>
      </c>
      <c r="C2743" s="7">
        <f>_xlfn.FLOOR.MATH(Table1[[#This Row],[year]],10)</f>
        <v>2000</v>
      </c>
      <c r="D2743" t="s">
        <v>14</v>
      </c>
      <c r="E2743" t="s">
        <v>35</v>
      </c>
      <c r="F2743">
        <v>0</v>
      </c>
      <c r="G2743">
        <v>1</v>
      </c>
      <c r="H2743" t="s">
        <v>224</v>
      </c>
      <c r="I2743" t="s">
        <v>75</v>
      </c>
      <c r="J2743" t="s">
        <v>14</v>
      </c>
      <c r="K2743" t="b">
        <v>0</v>
      </c>
      <c r="L2743">
        <v>2003</v>
      </c>
      <c r="M2743">
        <v>76492579644</v>
      </c>
      <c r="N2743">
        <v>7691367471</v>
      </c>
      <c r="O2743" t="b">
        <v>1</v>
      </c>
      <c r="P2743">
        <v>-1</v>
      </c>
      <c r="Q2743" t="str" cm="1">
        <f t="array" ref="Q2743">_xlfn.IFS(Table1[[#This Row],[Wealthier_Winner]]=-1,"Wealthier Nation Loses",Table1[[#This Row],[Wealthier_Winner]]=0,"Tie",Table1[[#This Row],[Wealthier_Winner]]=1,"Wealthier Nation Wins")</f>
        <v>Wealthier Nation Loses</v>
      </c>
    </row>
    <row r="2744" spans="1:17" x14ac:dyDescent="0.2">
      <c r="A2744" s="1">
        <v>4404</v>
      </c>
      <c r="B2744" s="2">
        <v>37943</v>
      </c>
      <c r="C2744" s="7">
        <f>_xlfn.FLOOR.MATH(Table1[[#This Row],[year]],10)</f>
        <v>2000</v>
      </c>
      <c r="D2744" t="s">
        <v>258</v>
      </c>
      <c r="E2744" t="s">
        <v>47</v>
      </c>
      <c r="F2744">
        <v>2</v>
      </c>
      <c r="G2744">
        <v>1</v>
      </c>
      <c r="H2744" t="s">
        <v>224</v>
      </c>
      <c r="I2744" t="s">
        <v>572</v>
      </c>
      <c r="J2744" t="s">
        <v>258</v>
      </c>
      <c r="K2744" t="b">
        <v>0</v>
      </c>
      <c r="L2744">
        <v>2003</v>
      </c>
      <c r="M2744">
        <v>83620628582</v>
      </c>
      <c r="N2744">
        <v>8082399639</v>
      </c>
      <c r="O2744" t="b">
        <v>1</v>
      </c>
      <c r="P2744">
        <v>1</v>
      </c>
      <c r="Q2744" t="str" cm="1">
        <f t="array" ref="Q2744">_xlfn.IFS(Table1[[#This Row],[Wealthier_Winner]]=-1,"Wealthier Nation Loses",Table1[[#This Row],[Wealthier_Winner]]=0,"Tie",Table1[[#This Row],[Wealthier_Winner]]=1,"Wealthier Nation Wins")</f>
        <v>Wealthier Nation Wins</v>
      </c>
    </row>
    <row r="2745" spans="1:17" x14ac:dyDescent="0.2">
      <c r="A2745" s="1">
        <v>4405</v>
      </c>
      <c r="B2745" s="2">
        <v>37944</v>
      </c>
      <c r="C2745" s="7">
        <f>_xlfn.FLOOR.MATH(Table1[[#This Row],[year]],10)</f>
        <v>2000</v>
      </c>
      <c r="D2745" t="s">
        <v>13</v>
      </c>
      <c r="E2745" t="s">
        <v>26</v>
      </c>
      <c r="F2745">
        <v>3</v>
      </c>
      <c r="G2745">
        <v>3</v>
      </c>
      <c r="H2745" t="s">
        <v>224</v>
      </c>
      <c r="I2745" t="s">
        <v>175</v>
      </c>
      <c r="J2745" t="s">
        <v>13</v>
      </c>
      <c r="K2745" t="b">
        <v>0</v>
      </c>
      <c r="L2745">
        <v>2003</v>
      </c>
      <c r="M2745">
        <v>558233724164</v>
      </c>
      <c r="N2745">
        <v>12045638351</v>
      </c>
      <c r="O2745" t="b">
        <v>1</v>
      </c>
      <c r="P2745">
        <v>0</v>
      </c>
      <c r="Q2745" t="str" cm="1">
        <f t="array" ref="Q2745">_xlfn.IFS(Table1[[#This Row],[Wealthier_Winner]]=-1,"Wealthier Nation Loses",Table1[[#This Row],[Wealthier_Winner]]=0,"Tie",Table1[[#This Row],[Wealthier_Winner]]=1,"Wealthier Nation Wins")</f>
        <v>Tie</v>
      </c>
    </row>
    <row r="2746" spans="1:17" x14ac:dyDescent="0.2">
      <c r="A2746" s="1">
        <v>4406</v>
      </c>
      <c r="B2746" s="2">
        <v>37944</v>
      </c>
      <c r="C2746" s="7">
        <f>_xlfn.FLOOR.MATH(Table1[[#This Row],[year]],10)</f>
        <v>2000</v>
      </c>
      <c r="D2746" t="s">
        <v>15</v>
      </c>
      <c r="E2746" t="s">
        <v>19</v>
      </c>
      <c r="F2746">
        <v>1</v>
      </c>
      <c r="G2746">
        <v>1</v>
      </c>
      <c r="H2746" t="s">
        <v>224</v>
      </c>
      <c r="I2746" t="s">
        <v>261</v>
      </c>
      <c r="J2746" t="s">
        <v>15</v>
      </c>
      <c r="K2746" t="b">
        <v>0</v>
      </c>
      <c r="L2746">
        <v>2003</v>
      </c>
      <c r="M2746">
        <v>94644969157</v>
      </c>
      <c r="N2746">
        <v>127586973492</v>
      </c>
      <c r="O2746" t="b">
        <v>0</v>
      </c>
      <c r="P2746">
        <v>0</v>
      </c>
      <c r="Q2746" t="str" cm="1">
        <f t="array" ref="Q2746">_xlfn.IFS(Table1[[#This Row],[Wealthier_Winner]]=-1,"Wealthier Nation Loses",Table1[[#This Row],[Wealthier_Winner]]=0,"Tie",Table1[[#This Row],[Wealthier_Winner]]=1,"Wealthier Nation Wins")</f>
        <v>Tie</v>
      </c>
    </row>
    <row r="2747" spans="1:17" x14ac:dyDescent="0.2">
      <c r="A2747" s="1">
        <v>4407</v>
      </c>
      <c r="B2747" s="2">
        <v>37944</v>
      </c>
      <c r="C2747" s="7">
        <f>_xlfn.FLOOR.MATH(Table1[[#This Row],[year]],10)</f>
        <v>2000</v>
      </c>
      <c r="D2747" t="s">
        <v>57</v>
      </c>
      <c r="E2747" t="s">
        <v>31</v>
      </c>
      <c r="F2747">
        <v>0</v>
      </c>
      <c r="G2747">
        <v>0</v>
      </c>
      <c r="H2747" t="s">
        <v>224</v>
      </c>
      <c r="I2747" t="s">
        <v>335</v>
      </c>
      <c r="J2747" t="s">
        <v>57</v>
      </c>
      <c r="K2747" t="b">
        <v>0</v>
      </c>
      <c r="L2747">
        <v>2003</v>
      </c>
      <c r="M2747">
        <v>30965208000</v>
      </c>
      <c r="N2747">
        <v>58731030121</v>
      </c>
      <c r="O2747" t="b">
        <v>0</v>
      </c>
      <c r="P2747">
        <v>0</v>
      </c>
      <c r="Q2747" t="str" cm="1">
        <f t="array" ref="Q2747">_xlfn.IFS(Table1[[#This Row],[Wealthier_Winner]]=-1,"Wealthier Nation Loses",Table1[[#This Row],[Wealthier_Winner]]=0,"Tie",Table1[[#This Row],[Wealthier_Winner]]=1,"Wealthier Nation Wins")</f>
        <v>Tie</v>
      </c>
    </row>
    <row r="2748" spans="1:17" x14ac:dyDescent="0.2">
      <c r="A2748" s="1">
        <v>4409</v>
      </c>
      <c r="B2748" s="2">
        <v>37944</v>
      </c>
      <c r="C2748" s="7">
        <f>_xlfn.FLOOR.MATH(Table1[[#This Row],[year]],10)</f>
        <v>2000</v>
      </c>
      <c r="D2748" t="s">
        <v>560</v>
      </c>
      <c r="E2748" t="s">
        <v>641</v>
      </c>
      <c r="F2748">
        <v>11</v>
      </c>
      <c r="G2748">
        <v>0</v>
      </c>
      <c r="H2748" t="s">
        <v>224</v>
      </c>
      <c r="I2748" t="s">
        <v>561</v>
      </c>
      <c r="J2748" t="s">
        <v>560</v>
      </c>
      <c r="K2748" t="b">
        <v>0</v>
      </c>
      <c r="L2748">
        <v>2003</v>
      </c>
      <c r="M2748">
        <v>5977440582</v>
      </c>
      <c r="N2748">
        <v>4520946818</v>
      </c>
      <c r="O2748" t="b">
        <v>0</v>
      </c>
      <c r="P2748">
        <v>1</v>
      </c>
      <c r="Q2748" t="str" cm="1">
        <f t="array" ref="Q2748">_xlfn.IFS(Table1[[#This Row],[Wealthier_Winner]]=-1,"Wealthier Nation Loses",Table1[[#This Row],[Wealthier_Winner]]=0,"Tie",Table1[[#This Row],[Wealthier_Winner]]=1,"Wealthier Nation Wins")</f>
        <v>Wealthier Nation Wins</v>
      </c>
    </row>
    <row r="2749" spans="1:17" x14ac:dyDescent="0.2">
      <c r="A2749" s="1">
        <v>4410</v>
      </c>
      <c r="B2749" s="2">
        <v>37948</v>
      </c>
      <c r="C2749" s="7">
        <f>_xlfn.FLOOR.MATH(Table1[[#This Row],[year]],10)</f>
        <v>2000</v>
      </c>
      <c r="D2749" t="s">
        <v>641</v>
      </c>
      <c r="E2749" t="s">
        <v>560</v>
      </c>
      <c r="F2749">
        <v>0</v>
      </c>
      <c r="G2749">
        <v>2</v>
      </c>
      <c r="H2749" t="s">
        <v>224</v>
      </c>
      <c r="I2749" t="s">
        <v>642</v>
      </c>
      <c r="J2749" t="s">
        <v>641</v>
      </c>
      <c r="K2749" t="b">
        <v>0</v>
      </c>
      <c r="L2749">
        <v>2003</v>
      </c>
      <c r="M2749">
        <v>4520946818</v>
      </c>
      <c r="N2749">
        <v>5977440582</v>
      </c>
      <c r="O2749" t="b">
        <v>0</v>
      </c>
      <c r="P2749">
        <v>1</v>
      </c>
      <c r="Q2749" t="str" cm="1">
        <f t="array" ref="Q2749">_xlfn.IFS(Table1[[#This Row],[Wealthier_Winner]]=-1,"Wealthier Nation Loses",Table1[[#This Row],[Wealthier_Winner]]=0,"Tie",Table1[[#This Row],[Wealthier_Winner]]=1,"Wealthier Nation Wins")</f>
        <v>Wealthier Nation Wins</v>
      </c>
    </row>
    <row r="2750" spans="1:17" x14ac:dyDescent="0.2">
      <c r="A2750" s="1">
        <v>4412</v>
      </c>
      <c r="B2750" s="2">
        <v>37951</v>
      </c>
      <c r="C2750" s="7">
        <f>_xlfn.FLOOR.MATH(Table1[[#This Row],[year]],10)</f>
        <v>2000</v>
      </c>
      <c r="D2750" t="s">
        <v>405</v>
      </c>
      <c r="E2750" t="s">
        <v>556</v>
      </c>
      <c r="F2750">
        <v>0</v>
      </c>
      <c r="G2750">
        <v>2</v>
      </c>
      <c r="H2750" t="s">
        <v>224</v>
      </c>
      <c r="I2750" t="s">
        <v>409</v>
      </c>
      <c r="J2750" t="s">
        <v>405</v>
      </c>
      <c r="K2750" t="b">
        <v>0</v>
      </c>
      <c r="L2750">
        <v>2003</v>
      </c>
      <c r="M2750">
        <v>60158929188</v>
      </c>
      <c r="N2750">
        <v>1555318261</v>
      </c>
      <c r="O2750" t="b">
        <v>1</v>
      </c>
      <c r="P2750">
        <v>-1</v>
      </c>
      <c r="Q2750" t="str" cm="1">
        <f t="array" ref="Q2750">_xlfn.IFS(Table1[[#This Row],[Wealthier_Winner]]=-1,"Wealthier Nation Loses",Table1[[#This Row],[Wealthier_Winner]]=0,"Tie",Table1[[#This Row],[Wealthier_Winner]]=1,"Wealthier Nation Wins")</f>
        <v>Wealthier Nation Loses</v>
      </c>
    </row>
    <row r="2751" spans="1:17" x14ac:dyDescent="0.2">
      <c r="A2751" s="1">
        <v>4415</v>
      </c>
      <c r="B2751" s="2">
        <v>37954</v>
      </c>
      <c r="C2751" s="7">
        <f>_xlfn.FLOOR.MATH(Table1[[#This Row],[year]],10)</f>
        <v>2000</v>
      </c>
      <c r="D2751" t="s">
        <v>611</v>
      </c>
      <c r="E2751" t="s">
        <v>567</v>
      </c>
      <c r="F2751">
        <v>0</v>
      </c>
      <c r="G2751">
        <v>1</v>
      </c>
      <c r="H2751" t="s">
        <v>224</v>
      </c>
      <c r="I2751" t="s">
        <v>643</v>
      </c>
      <c r="J2751" t="s">
        <v>611</v>
      </c>
      <c r="K2751" t="b">
        <v>0</v>
      </c>
      <c r="L2751">
        <v>2003</v>
      </c>
      <c r="M2751">
        <v>1595297355</v>
      </c>
      <c r="N2751">
        <v>1052121054</v>
      </c>
      <c r="O2751" t="b">
        <v>0</v>
      </c>
      <c r="P2751">
        <v>-1</v>
      </c>
      <c r="Q2751" t="str" cm="1">
        <f t="array" ref="Q2751">_xlfn.IFS(Table1[[#This Row],[Wealthier_Winner]]=-1,"Wealthier Nation Loses",Table1[[#This Row],[Wealthier_Winner]]=0,"Tie",Table1[[#This Row],[Wealthier_Winner]]=1,"Wealthier Nation Wins")</f>
        <v>Wealthier Nation Loses</v>
      </c>
    </row>
    <row r="2752" spans="1:17" x14ac:dyDescent="0.2">
      <c r="A2752" s="1">
        <v>4417</v>
      </c>
      <c r="B2752" s="2">
        <v>37955</v>
      </c>
      <c r="C2752" s="7">
        <f>_xlfn.FLOOR.MATH(Table1[[#This Row],[year]],10)</f>
        <v>2000</v>
      </c>
      <c r="D2752" t="s">
        <v>556</v>
      </c>
      <c r="E2752" t="s">
        <v>405</v>
      </c>
      <c r="F2752">
        <v>2</v>
      </c>
      <c r="G2752">
        <v>0</v>
      </c>
      <c r="H2752" t="s">
        <v>224</v>
      </c>
      <c r="I2752" t="s">
        <v>557</v>
      </c>
      <c r="J2752" t="s">
        <v>556</v>
      </c>
      <c r="K2752" t="b">
        <v>0</v>
      </c>
      <c r="L2752">
        <v>2003</v>
      </c>
      <c r="M2752">
        <v>1555318261</v>
      </c>
      <c r="N2752">
        <v>60158929188</v>
      </c>
      <c r="O2752" t="b">
        <v>1</v>
      </c>
      <c r="P2752">
        <v>-1</v>
      </c>
      <c r="Q2752" t="str" cm="1">
        <f t="array" ref="Q2752">_xlfn.IFS(Table1[[#This Row],[Wealthier_Winner]]=-1,"Wealthier Nation Loses",Table1[[#This Row],[Wealthier_Winner]]=0,"Tie",Table1[[#This Row],[Wealthier_Winner]]=1,"Wealthier Nation Wins")</f>
        <v>Wealthier Nation Loses</v>
      </c>
    </row>
    <row r="2753" spans="1:17" x14ac:dyDescent="0.2">
      <c r="A2753" s="1">
        <v>4419</v>
      </c>
      <c r="B2753" s="2">
        <v>37958</v>
      </c>
      <c r="C2753" s="7">
        <f>_xlfn.FLOOR.MATH(Table1[[#This Row],[year]],10)</f>
        <v>2000</v>
      </c>
      <c r="D2753" t="s">
        <v>567</v>
      </c>
      <c r="E2753" t="s">
        <v>611</v>
      </c>
      <c r="F2753">
        <v>12</v>
      </c>
      <c r="G2753">
        <v>0</v>
      </c>
      <c r="H2753" t="s">
        <v>224</v>
      </c>
      <c r="I2753" t="s">
        <v>620</v>
      </c>
      <c r="J2753" t="s">
        <v>567</v>
      </c>
      <c r="K2753" t="b">
        <v>0</v>
      </c>
      <c r="L2753">
        <v>2003</v>
      </c>
      <c r="M2753">
        <v>1052121054</v>
      </c>
      <c r="N2753">
        <v>1595297355</v>
      </c>
      <c r="O2753" t="b">
        <v>0</v>
      </c>
      <c r="P2753">
        <v>-1</v>
      </c>
      <c r="Q2753" t="str" cm="1">
        <f t="array" ref="Q2753">_xlfn.IFS(Table1[[#This Row],[Wealthier_Winner]]=-1,"Wealthier Nation Loses",Table1[[#This Row],[Wealthier_Winner]]=0,"Tie",Table1[[#This Row],[Wealthier_Winner]]=1,"Wealthier Nation Wins")</f>
        <v>Wealthier Nation Loses</v>
      </c>
    </row>
    <row r="2754" spans="1:17" x14ac:dyDescent="0.2">
      <c r="A2754" s="1">
        <v>4422</v>
      </c>
      <c r="B2754" s="2">
        <v>38035</v>
      </c>
      <c r="C2754" s="7">
        <f>_xlfn.FLOOR.MATH(Table1[[#This Row],[year]],10)</f>
        <v>2000</v>
      </c>
      <c r="D2754" t="s">
        <v>361</v>
      </c>
      <c r="E2754" t="s">
        <v>331</v>
      </c>
      <c r="F2754">
        <v>2</v>
      </c>
      <c r="G2754">
        <v>1</v>
      </c>
      <c r="H2754" t="s">
        <v>224</v>
      </c>
      <c r="I2754" t="s">
        <v>644</v>
      </c>
      <c r="J2754" t="s">
        <v>361</v>
      </c>
      <c r="K2754" t="b">
        <v>0</v>
      </c>
      <c r="L2754">
        <v>2004</v>
      </c>
      <c r="M2754">
        <v>13150159574</v>
      </c>
      <c r="N2754">
        <v>25086950495</v>
      </c>
      <c r="O2754" t="b">
        <v>0</v>
      </c>
      <c r="P2754">
        <v>-1</v>
      </c>
      <c r="Q2754" t="str" cm="1">
        <f t="array" ref="Q2754">_xlfn.IFS(Table1[[#This Row],[Wealthier_Winner]]=-1,"Wealthier Nation Loses",Table1[[#This Row],[Wealthier_Winner]]=0,"Tie",Table1[[#This Row],[Wealthier_Winner]]=1,"Wealthier Nation Wins")</f>
        <v>Wealthier Nation Loses</v>
      </c>
    </row>
    <row r="2755" spans="1:17" x14ac:dyDescent="0.2">
      <c r="A2755" s="1">
        <v>4424</v>
      </c>
      <c r="B2755" s="2">
        <v>38035</v>
      </c>
      <c r="C2755" s="7">
        <f>_xlfn.FLOOR.MATH(Table1[[#This Row],[year]],10)</f>
        <v>2000</v>
      </c>
      <c r="D2755" t="s">
        <v>70</v>
      </c>
      <c r="E2755" t="s">
        <v>645</v>
      </c>
      <c r="F2755">
        <v>5</v>
      </c>
      <c r="G2755">
        <v>0</v>
      </c>
      <c r="H2755" t="s">
        <v>224</v>
      </c>
      <c r="I2755" t="s">
        <v>609</v>
      </c>
      <c r="J2755" t="s">
        <v>41</v>
      </c>
      <c r="K2755" t="b">
        <v>1</v>
      </c>
      <c r="L2755">
        <v>2004</v>
      </c>
      <c r="M2755">
        <v>6087360684</v>
      </c>
      <c r="N2755">
        <v>485598800</v>
      </c>
      <c r="O2755" t="b">
        <v>1</v>
      </c>
      <c r="P2755">
        <v>1</v>
      </c>
      <c r="Q2755" t="str" cm="1">
        <f t="array" ref="Q2755">_xlfn.IFS(Table1[[#This Row],[Wealthier_Winner]]=-1,"Wealthier Nation Loses",Table1[[#This Row],[Wealthier_Winner]]=0,"Tie",Table1[[#This Row],[Wealthier_Winner]]=1,"Wealthier Nation Wins")</f>
        <v>Wealthier Nation Wins</v>
      </c>
    </row>
    <row r="2756" spans="1:17" x14ac:dyDescent="0.2">
      <c r="A2756" s="1">
        <v>4425</v>
      </c>
      <c r="B2756" s="2">
        <v>38035</v>
      </c>
      <c r="C2756" s="7">
        <f>_xlfn.FLOOR.MATH(Table1[[#This Row],[year]],10)</f>
        <v>2000</v>
      </c>
      <c r="D2756" t="s">
        <v>406</v>
      </c>
      <c r="E2756" t="s">
        <v>359</v>
      </c>
      <c r="F2756">
        <v>1</v>
      </c>
      <c r="G2756">
        <v>0</v>
      </c>
      <c r="H2756" t="s">
        <v>224</v>
      </c>
      <c r="I2756" t="s">
        <v>646</v>
      </c>
      <c r="J2756" t="s">
        <v>406</v>
      </c>
      <c r="K2756" t="b">
        <v>0</v>
      </c>
      <c r="L2756">
        <v>2004</v>
      </c>
      <c r="M2756">
        <v>709152728830</v>
      </c>
      <c r="N2756">
        <v>115033593101</v>
      </c>
      <c r="O2756" t="b">
        <v>1</v>
      </c>
      <c r="P2756">
        <v>1</v>
      </c>
      <c r="Q2756" t="str" cm="1">
        <f t="array" ref="Q2756">_xlfn.IFS(Table1[[#This Row],[Wealthier_Winner]]=-1,"Wealthier Nation Loses",Table1[[#This Row],[Wealthier_Winner]]=0,"Tie",Table1[[#This Row],[Wealthier_Winner]]=1,"Wealthier Nation Wins")</f>
        <v>Wealthier Nation Wins</v>
      </c>
    </row>
    <row r="2757" spans="1:17" x14ac:dyDescent="0.2">
      <c r="A2757" s="1">
        <v>4426</v>
      </c>
      <c r="B2757" s="2">
        <v>38035</v>
      </c>
      <c r="C2757" s="7">
        <f>_xlfn.FLOOR.MATH(Table1[[#This Row],[year]],10)</f>
        <v>2000</v>
      </c>
      <c r="D2757" t="s">
        <v>210</v>
      </c>
      <c r="E2757" t="s">
        <v>68</v>
      </c>
      <c r="F2757">
        <v>3</v>
      </c>
      <c r="G2757">
        <v>1</v>
      </c>
      <c r="H2757" t="s">
        <v>224</v>
      </c>
      <c r="I2757" t="s">
        <v>332</v>
      </c>
      <c r="J2757" t="s">
        <v>210</v>
      </c>
      <c r="K2757" t="b">
        <v>0</v>
      </c>
      <c r="L2757">
        <v>2004</v>
      </c>
      <c r="M2757">
        <v>187754571247</v>
      </c>
      <c r="N2757">
        <v>31734065934</v>
      </c>
      <c r="O2757" t="b">
        <v>1</v>
      </c>
      <c r="P2757">
        <v>1</v>
      </c>
      <c r="Q2757" t="str" cm="1">
        <f t="array" ref="Q2757">_xlfn.IFS(Table1[[#This Row],[Wealthier_Winner]]=-1,"Wealthier Nation Loses",Table1[[#This Row],[Wealthier_Winner]]=0,"Tie",Table1[[#This Row],[Wealthier_Winner]]=1,"Wealthier Nation Wins")</f>
        <v>Wealthier Nation Wins</v>
      </c>
    </row>
    <row r="2758" spans="1:17" x14ac:dyDescent="0.2">
      <c r="A2758" s="1">
        <v>4427</v>
      </c>
      <c r="B2758" s="2">
        <v>38035</v>
      </c>
      <c r="C2758" s="7">
        <f>_xlfn.FLOOR.MATH(Table1[[#This Row],[year]],10)</f>
        <v>2000</v>
      </c>
      <c r="D2758" t="s">
        <v>51</v>
      </c>
      <c r="E2758" t="s">
        <v>429</v>
      </c>
      <c r="F2758">
        <v>1</v>
      </c>
      <c r="G2758">
        <v>0</v>
      </c>
      <c r="H2758" t="s">
        <v>224</v>
      </c>
      <c r="I2758" t="s">
        <v>143</v>
      </c>
      <c r="J2758" t="s">
        <v>51</v>
      </c>
      <c r="K2758" t="b">
        <v>0</v>
      </c>
      <c r="L2758">
        <v>2004</v>
      </c>
      <c r="M2758">
        <v>4893116005656</v>
      </c>
      <c r="N2758">
        <v>28378933680</v>
      </c>
      <c r="O2758" t="b">
        <v>1</v>
      </c>
      <c r="P2758">
        <v>1</v>
      </c>
      <c r="Q2758" t="str" cm="1">
        <f t="array" ref="Q2758">_xlfn.IFS(Table1[[#This Row],[Wealthier_Winner]]=-1,"Wealthier Nation Loses",Table1[[#This Row],[Wealthier_Winner]]=0,"Tie",Table1[[#This Row],[Wealthier_Winner]]=1,"Wealthier Nation Wins")</f>
        <v>Wealthier Nation Wins</v>
      </c>
    </row>
    <row r="2759" spans="1:17" x14ac:dyDescent="0.2">
      <c r="A2759" s="1">
        <v>4429</v>
      </c>
      <c r="B2759" s="2">
        <v>38035</v>
      </c>
      <c r="C2759" s="7">
        <f>_xlfn.FLOOR.MATH(Table1[[#This Row],[year]],10)</f>
        <v>2000</v>
      </c>
      <c r="D2759" t="s">
        <v>195</v>
      </c>
      <c r="E2759" t="s">
        <v>479</v>
      </c>
      <c r="F2759">
        <v>2</v>
      </c>
      <c r="G2759">
        <v>0</v>
      </c>
      <c r="H2759" t="s">
        <v>224</v>
      </c>
      <c r="I2759" t="s">
        <v>144</v>
      </c>
      <c r="J2759" t="s">
        <v>195</v>
      </c>
      <c r="K2759" t="b">
        <v>0</v>
      </c>
      <c r="L2759">
        <v>2004</v>
      </c>
      <c r="M2759">
        <v>823251107638</v>
      </c>
      <c r="N2759">
        <v>21159827992</v>
      </c>
      <c r="O2759" t="b">
        <v>1</v>
      </c>
      <c r="P2759">
        <v>1</v>
      </c>
      <c r="Q2759" t="str" cm="1">
        <f t="array" ref="Q2759">_xlfn.IFS(Table1[[#This Row],[Wealthier_Winner]]=-1,"Wealthier Nation Loses",Table1[[#This Row],[Wealthier_Winner]]=0,"Tie",Table1[[#This Row],[Wealthier_Winner]]=1,"Wealthier Nation Wins")</f>
        <v>Wealthier Nation Wins</v>
      </c>
    </row>
    <row r="2760" spans="1:17" x14ac:dyDescent="0.2">
      <c r="A2760" s="1">
        <v>4433</v>
      </c>
      <c r="B2760" s="2">
        <v>38035</v>
      </c>
      <c r="C2760" s="7">
        <f>_xlfn.FLOOR.MATH(Table1[[#This Row],[year]],10)</f>
        <v>2000</v>
      </c>
      <c r="D2760" t="s">
        <v>45</v>
      </c>
      <c r="E2760" t="s">
        <v>328</v>
      </c>
      <c r="F2760">
        <v>3</v>
      </c>
      <c r="G2760">
        <v>0</v>
      </c>
      <c r="H2760" t="s">
        <v>224</v>
      </c>
      <c r="I2760" t="s">
        <v>356</v>
      </c>
      <c r="J2760" t="s">
        <v>45</v>
      </c>
      <c r="K2760" t="b">
        <v>0</v>
      </c>
      <c r="L2760">
        <v>2004</v>
      </c>
      <c r="M2760">
        <v>258742133333</v>
      </c>
      <c r="N2760">
        <v>256836875295</v>
      </c>
      <c r="O2760" t="b">
        <v>0</v>
      </c>
      <c r="P2760">
        <v>1</v>
      </c>
      <c r="Q2760" t="str" cm="1">
        <f t="array" ref="Q2760">_xlfn.IFS(Table1[[#This Row],[Wealthier_Winner]]=-1,"Wealthier Nation Loses",Table1[[#This Row],[Wealthier_Winner]]=0,"Tie",Table1[[#This Row],[Wealthier_Winner]]=1,"Wealthier Nation Wins")</f>
        <v>Wealthier Nation Wins</v>
      </c>
    </row>
    <row r="2761" spans="1:17" x14ac:dyDescent="0.2">
      <c r="A2761" s="1">
        <v>4434</v>
      </c>
      <c r="B2761" s="2">
        <v>38035</v>
      </c>
      <c r="C2761" s="7">
        <f>_xlfn.FLOOR.MATH(Table1[[#This Row],[year]],10)</f>
        <v>2000</v>
      </c>
      <c r="D2761" t="s">
        <v>560</v>
      </c>
      <c r="E2761" t="s">
        <v>473</v>
      </c>
      <c r="F2761">
        <v>2</v>
      </c>
      <c r="G2761">
        <v>0</v>
      </c>
      <c r="H2761" t="s">
        <v>224</v>
      </c>
      <c r="I2761" t="s">
        <v>561</v>
      </c>
      <c r="J2761" t="s">
        <v>560</v>
      </c>
      <c r="K2761" t="b">
        <v>0</v>
      </c>
      <c r="L2761">
        <v>2004</v>
      </c>
      <c r="M2761">
        <v>6838351088</v>
      </c>
      <c r="N2761">
        <v>20662525941</v>
      </c>
      <c r="O2761" t="b">
        <v>1</v>
      </c>
      <c r="P2761">
        <v>-1</v>
      </c>
      <c r="Q2761" t="str" cm="1">
        <f t="array" ref="Q2761">_xlfn.IFS(Table1[[#This Row],[Wealthier_Winner]]=-1,"Wealthier Nation Loses",Table1[[#This Row],[Wealthier_Winner]]=0,"Tie",Table1[[#This Row],[Wealthier_Winner]]=1,"Wealthier Nation Wins")</f>
        <v>Wealthier Nation Loses</v>
      </c>
    </row>
    <row r="2762" spans="1:17" x14ac:dyDescent="0.2">
      <c r="A2762" s="1">
        <v>4435</v>
      </c>
      <c r="B2762" s="2">
        <v>38035</v>
      </c>
      <c r="C2762" s="7">
        <f>_xlfn.FLOOR.MATH(Table1[[#This Row],[year]],10)</f>
        <v>2000</v>
      </c>
      <c r="D2762" t="s">
        <v>39</v>
      </c>
      <c r="E2762" t="s">
        <v>334</v>
      </c>
      <c r="F2762">
        <v>1</v>
      </c>
      <c r="G2762">
        <v>0</v>
      </c>
      <c r="H2762" t="s">
        <v>224</v>
      </c>
      <c r="I2762" t="s">
        <v>478</v>
      </c>
      <c r="J2762" t="s">
        <v>39</v>
      </c>
      <c r="K2762" t="b">
        <v>0</v>
      </c>
      <c r="L2762">
        <v>2004</v>
      </c>
      <c r="M2762">
        <v>147824370319</v>
      </c>
      <c r="N2762">
        <v>172895685154</v>
      </c>
      <c r="O2762" t="b">
        <v>0</v>
      </c>
      <c r="P2762">
        <v>-1</v>
      </c>
      <c r="Q2762" t="str" cm="1">
        <f t="array" ref="Q2762">_xlfn.IFS(Table1[[#This Row],[Wealthier_Winner]]=-1,"Wealthier Nation Loses",Table1[[#This Row],[Wealthier_Winner]]=0,"Tie",Table1[[#This Row],[Wealthier_Winner]]=1,"Wealthier Nation Wins")</f>
        <v>Wealthier Nation Loses</v>
      </c>
    </row>
    <row r="2763" spans="1:17" x14ac:dyDescent="0.2">
      <c r="A2763" s="1">
        <v>4436</v>
      </c>
      <c r="B2763" s="2">
        <v>38035</v>
      </c>
      <c r="C2763" s="7">
        <f>_xlfn.FLOOR.MATH(Table1[[#This Row],[year]],10)</f>
        <v>2000</v>
      </c>
      <c r="D2763" t="s">
        <v>563</v>
      </c>
      <c r="E2763" t="s">
        <v>37</v>
      </c>
      <c r="F2763">
        <v>1</v>
      </c>
      <c r="G2763">
        <v>1</v>
      </c>
      <c r="H2763" t="s">
        <v>224</v>
      </c>
      <c r="I2763" t="s">
        <v>564</v>
      </c>
      <c r="J2763" t="s">
        <v>563</v>
      </c>
      <c r="K2763" t="b">
        <v>0</v>
      </c>
      <c r="L2763">
        <v>2004</v>
      </c>
      <c r="M2763">
        <v>12030023547</v>
      </c>
      <c r="N2763">
        <v>36633669269</v>
      </c>
      <c r="O2763" t="b">
        <v>1</v>
      </c>
      <c r="P2763">
        <v>0</v>
      </c>
      <c r="Q2763" t="str" cm="1">
        <f t="array" ref="Q2763">_xlfn.IFS(Table1[[#This Row],[Wealthier_Winner]]=-1,"Wealthier Nation Loses",Table1[[#This Row],[Wealthier_Winner]]=0,"Tie",Table1[[#This Row],[Wealthier_Winner]]=1,"Wealthier Nation Wins")</f>
        <v>Tie</v>
      </c>
    </row>
    <row r="2764" spans="1:17" x14ac:dyDescent="0.2">
      <c r="A2764" s="1">
        <v>4437</v>
      </c>
      <c r="B2764" s="2">
        <v>38035</v>
      </c>
      <c r="C2764" s="7">
        <f>_xlfn.FLOOR.MATH(Table1[[#This Row],[year]],10)</f>
        <v>2000</v>
      </c>
      <c r="D2764" t="s">
        <v>475</v>
      </c>
      <c r="E2764" t="s">
        <v>567</v>
      </c>
      <c r="F2764">
        <v>4</v>
      </c>
      <c r="G2764">
        <v>0</v>
      </c>
      <c r="H2764" t="s">
        <v>224</v>
      </c>
      <c r="I2764" t="s">
        <v>647</v>
      </c>
      <c r="J2764" t="s">
        <v>475</v>
      </c>
      <c r="K2764" t="b">
        <v>0</v>
      </c>
      <c r="L2764">
        <v>2004</v>
      </c>
      <c r="M2764">
        <v>45427854693</v>
      </c>
      <c r="N2764">
        <v>1226829562</v>
      </c>
      <c r="O2764" t="b">
        <v>1</v>
      </c>
      <c r="P2764">
        <v>1</v>
      </c>
      <c r="Q2764" t="str" cm="1">
        <f t="array" ref="Q2764">_xlfn.IFS(Table1[[#This Row],[Wealthier_Winner]]=-1,"Wealthier Nation Loses",Table1[[#This Row],[Wealthier_Winner]]=0,"Tie",Table1[[#This Row],[Wealthier_Winner]]=1,"Wealthier Nation Wins")</f>
        <v>Wealthier Nation Wins</v>
      </c>
    </row>
    <row r="2765" spans="1:17" x14ac:dyDescent="0.2">
      <c r="A2765" s="1">
        <v>4440</v>
      </c>
      <c r="B2765" s="2">
        <v>38038</v>
      </c>
      <c r="C2765" s="7">
        <f>_xlfn.FLOOR.MATH(Table1[[#This Row],[year]],10)</f>
        <v>2000</v>
      </c>
      <c r="D2765" t="s">
        <v>645</v>
      </c>
      <c r="E2765" t="s">
        <v>70</v>
      </c>
      <c r="F2765">
        <v>0</v>
      </c>
      <c r="G2765">
        <v>2</v>
      </c>
      <c r="H2765" t="s">
        <v>224</v>
      </c>
      <c r="I2765" t="s">
        <v>648</v>
      </c>
      <c r="J2765" t="s">
        <v>41</v>
      </c>
      <c r="K2765" t="b">
        <v>1</v>
      </c>
      <c r="L2765">
        <v>2004</v>
      </c>
      <c r="M2765">
        <v>485598800</v>
      </c>
      <c r="N2765">
        <v>6087360684</v>
      </c>
      <c r="O2765" t="b">
        <v>1</v>
      </c>
      <c r="P2765">
        <v>1</v>
      </c>
      <c r="Q2765" t="str" cm="1">
        <f t="array" ref="Q2765">_xlfn.IFS(Table1[[#This Row],[Wealthier_Winner]]=-1,"Wealthier Nation Loses",Table1[[#This Row],[Wealthier_Winner]]=0,"Tie",Table1[[#This Row],[Wealthier_Winner]]=1,"Wealthier Nation Wins")</f>
        <v>Wealthier Nation Wins</v>
      </c>
    </row>
    <row r="2766" spans="1:17" x14ac:dyDescent="0.2">
      <c r="A2766" s="1">
        <v>4443</v>
      </c>
      <c r="B2766" s="2">
        <v>38045</v>
      </c>
      <c r="C2766" s="7">
        <f>_xlfn.FLOOR.MATH(Table1[[#This Row],[year]],10)</f>
        <v>2000</v>
      </c>
      <c r="D2766" t="s">
        <v>497</v>
      </c>
      <c r="E2766" t="s">
        <v>252</v>
      </c>
      <c r="F2766">
        <v>1</v>
      </c>
      <c r="G2766">
        <v>2</v>
      </c>
      <c r="H2766" t="s">
        <v>224</v>
      </c>
      <c r="I2766" t="s">
        <v>500</v>
      </c>
      <c r="J2766" t="s">
        <v>497</v>
      </c>
      <c r="K2766" t="b">
        <v>0</v>
      </c>
      <c r="L2766">
        <v>2004</v>
      </c>
      <c r="M2766">
        <v>2254830726</v>
      </c>
      <c r="N2766">
        <v>1484092538</v>
      </c>
      <c r="O2766" t="b">
        <v>0</v>
      </c>
      <c r="P2766">
        <v>-1</v>
      </c>
      <c r="Q2766" t="str" cm="1">
        <f t="array" ref="Q2766">_xlfn.IFS(Table1[[#This Row],[Wealthier_Winner]]=-1,"Wealthier Nation Loses",Table1[[#This Row],[Wealthier_Winner]]=0,"Tie",Table1[[#This Row],[Wealthier_Winner]]=1,"Wealthier Nation Wins")</f>
        <v>Wealthier Nation Loses</v>
      </c>
    </row>
    <row r="2767" spans="1:17" x14ac:dyDescent="0.2">
      <c r="A2767" s="1">
        <v>4444</v>
      </c>
      <c r="B2767" s="2">
        <v>38045</v>
      </c>
      <c r="C2767" s="7">
        <f>_xlfn.FLOOR.MATH(Table1[[#This Row],[year]],10)</f>
        <v>2000</v>
      </c>
      <c r="D2767" t="s">
        <v>499</v>
      </c>
      <c r="E2767" t="s">
        <v>445</v>
      </c>
      <c r="F2767">
        <v>5</v>
      </c>
      <c r="G2767">
        <v>0</v>
      </c>
      <c r="H2767" t="s">
        <v>224</v>
      </c>
      <c r="I2767" t="s">
        <v>501</v>
      </c>
      <c r="J2767" t="s">
        <v>499</v>
      </c>
      <c r="K2767" t="b">
        <v>0</v>
      </c>
      <c r="L2767">
        <v>2004</v>
      </c>
      <c r="M2767">
        <v>599118592</v>
      </c>
      <c r="N2767">
        <v>787814379</v>
      </c>
      <c r="O2767" t="b">
        <v>0</v>
      </c>
      <c r="P2767">
        <v>-1</v>
      </c>
      <c r="Q2767" t="str" cm="1">
        <f t="array" ref="Q2767">_xlfn.IFS(Table1[[#This Row],[Wealthier_Winner]]=-1,"Wealthier Nation Loses",Table1[[#This Row],[Wealthier_Winner]]=0,"Tie",Table1[[#This Row],[Wealthier_Winner]]=1,"Wealthier Nation Wins")</f>
        <v>Wealthier Nation Loses</v>
      </c>
    </row>
    <row r="2768" spans="1:17" x14ac:dyDescent="0.2">
      <c r="A2768" s="1">
        <v>4446</v>
      </c>
      <c r="B2768" s="2">
        <v>38060</v>
      </c>
      <c r="C2768" s="7">
        <f>_xlfn.FLOOR.MATH(Table1[[#This Row],[year]],10)</f>
        <v>2000</v>
      </c>
      <c r="D2768" t="s">
        <v>445</v>
      </c>
      <c r="E2768" t="s">
        <v>499</v>
      </c>
      <c r="F2768">
        <v>1</v>
      </c>
      <c r="G2768">
        <v>3</v>
      </c>
      <c r="H2768" t="s">
        <v>224</v>
      </c>
      <c r="I2768" t="s">
        <v>649</v>
      </c>
      <c r="J2768" t="s">
        <v>445</v>
      </c>
      <c r="K2768" t="b">
        <v>0</v>
      </c>
      <c r="L2768">
        <v>2004</v>
      </c>
      <c r="M2768">
        <v>787814379</v>
      </c>
      <c r="N2768">
        <v>599118592</v>
      </c>
      <c r="O2768" t="b">
        <v>0</v>
      </c>
      <c r="P2768">
        <v>-1</v>
      </c>
      <c r="Q2768" t="str" cm="1">
        <f t="array" ref="Q2768">_xlfn.IFS(Table1[[#This Row],[Wealthier_Winner]]=-1,"Wealthier Nation Loses",Table1[[#This Row],[Wealthier_Winner]]=0,"Tie",Table1[[#This Row],[Wealthier_Winner]]=1,"Wealthier Nation Wins")</f>
        <v>Wealthier Nation Loses</v>
      </c>
    </row>
    <row r="2769" spans="1:17" x14ac:dyDescent="0.2">
      <c r="A2769" s="1">
        <v>4452</v>
      </c>
      <c r="B2769" s="2">
        <v>38073</v>
      </c>
      <c r="C2769" s="7">
        <f>_xlfn.FLOOR.MATH(Table1[[#This Row],[year]],10)</f>
        <v>2000</v>
      </c>
      <c r="D2769" t="s">
        <v>252</v>
      </c>
      <c r="E2769" t="s">
        <v>497</v>
      </c>
      <c r="F2769">
        <v>8</v>
      </c>
      <c r="G2769">
        <v>1</v>
      </c>
      <c r="H2769" t="s">
        <v>224</v>
      </c>
      <c r="I2769" t="s">
        <v>255</v>
      </c>
      <c r="J2769" t="s">
        <v>252</v>
      </c>
      <c r="K2769" t="b">
        <v>0</v>
      </c>
      <c r="L2769">
        <v>2004</v>
      </c>
      <c r="M2769">
        <v>1484092538</v>
      </c>
      <c r="N2769">
        <v>2254830726</v>
      </c>
      <c r="O2769" t="b">
        <v>0</v>
      </c>
      <c r="P2769">
        <v>-1</v>
      </c>
      <c r="Q2769" t="str" cm="1">
        <f t="array" ref="Q2769">_xlfn.IFS(Table1[[#This Row],[Wealthier_Winner]]=-1,"Wealthier Nation Loses",Table1[[#This Row],[Wealthier_Winner]]=0,"Tie",Table1[[#This Row],[Wealthier_Winner]]=1,"Wealthier Nation Wins")</f>
        <v>Wealthier Nation Loses</v>
      </c>
    </row>
    <row r="2770" spans="1:17" x14ac:dyDescent="0.2">
      <c r="A2770" s="1">
        <v>4455</v>
      </c>
      <c r="B2770" s="2">
        <v>38076</v>
      </c>
      <c r="C2770" s="7">
        <f>_xlfn.FLOOR.MATH(Table1[[#This Row],[year]],10)</f>
        <v>2000</v>
      </c>
      <c r="D2770" t="s">
        <v>19</v>
      </c>
      <c r="E2770" t="s">
        <v>57</v>
      </c>
      <c r="F2770">
        <v>1</v>
      </c>
      <c r="G2770">
        <v>0</v>
      </c>
      <c r="H2770" t="s">
        <v>224</v>
      </c>
      <c r="I2770" t="s">
        <v>93</v>
      </c>
      <c r="J2770" t="s">
        <v>19</v>
      </c>
      <c r="K2770" t="b">
        <v>0</v>
      </c>
      <c r="L2770">
        <v>2004</v>
      </c>
      <c r="M2770">
        <v>164657930452</v>
      </c>
      <c r="N2770">
        <v>35194947000</v>
      </c>
      <c r="O2770" t="b">
        <v>1</v>
      </c>
      <c r="P2770">
        <v>1</v>
      </c>
      <c r="Q2770" t="str" cm="1">
        <f t="array" ref="Q2770">_xlfn.IFS(Table1[[#This Row],[Wealthier_Winner]]=-1,"Wealthier Nation Loses",Table1[[#This Row],[Wealthier_Winner]]=0,"Tie",Table1[[#This Row],[Wealthier_Winner]]=1,"Wealthier Nation Wins")</f>
        <v>Wealthier Nation Wins</v>
      </c>
    </row>
    <row r="2771" spans="1:17" x14ac:dyDescent="0.2">
      <c r="A2771" s="1">
        <v>4456</v>
      </c>
      <c r="B2771" s="2">
        <v>38076</v>
      </c>
      <c r="C2771" s="7">
        <f>_xlfn.FLOOR.MATH(Table1[[#This Row],[year]],10)</f>
        <v>2000</v>
      </c>
      <c r="D2771" t="s">
        <v>47</v>
      </c>
      <c r="E2771" t="s">
        <v>14</v>
      </c>
      <c r="F2771">
        <v>0</v>
      </c>
      <c r="G2771">
        <v>2</v>
      </c>
      <c r="H2771" t="s">
        <v>224</v>
      </c>
      <c r="I2771" t="s">
        <v>246</v>
      </c>
      <c r="J2771" t="s">
        <v>47</v>
      </c>
      <c r="K2771" t="b">
        <v>0</v>
      </c>
      <c r="L2771">
        <v>2004</v>
      </c>
      <c r="M2771">
        <v>8773451751</v>
      </c>
      <c r="N2771">
        <v>99075985773</v>
      </c>
      <c r="O2771" t="b">
        <v>1</v>
      </c>
      <c r="P2771">
        <v>1</v>
      </c>
      <c r="Q2771" t="str" cm="1">
        <f t="array" ref="Q2771">_xlfn.IFS(Table1[[#This Row],[Wealthier_Winner]]=-1,"Wealthier Nation Loses",Table1[[#This Row],[Wealthier_Winner]]=0,"Tie",Table1[[#This Row],[Wealthier_Winner]]=1,"Wealthier Nation Wins")</f>
        <v>Wealthier Nation Wins</v>
      </c>
    </row>
    <row r="2772" spans="1:17" x14ac:dyDescent="0.2">
      <c r="A2772" s="1">
        <v>4459</v>
      </c>
      <c r="B2772" s="2">
        <v>38077</v>
      </c>
      <c r="C2772" s="7">
        <f>_xlfn.FLOOR.MATH(Table1[[#This Row],[year]],10)</f>
        <v>2000</v>
      </c>
      <c r="D2772" t="s">
        <v>406</v>
      </c>
      <c r="E2772" t="s">
        <v>429</v>
      </c>
      <c r="F2772">
        <v>1</v>
      </c>
      <c r="G2772">
        <v>5</v>
      </c>
      <c r="H2772" t="s">
        <v>224</v>
      </c>
      <c r="I2772" t="s">
        <v>650</v>
      </c>
      <c r="J2772" t="s">
        <v>406</v>
      </c>
      <c r="K2772" t="b">
        <v>0</v>
      </c>
      <c r="L2772">
        <v>2004</v>
      </c>
      <c r="M2772">
        <v>709152728830</v>
      </c>
      <c r="N2772">
        <v>28378933680</v>
      </c>
      <c r="O2772" t="b">
        <v>1</v>
      </c>
      <c r="P2772">
        <v>-1</v>
      </c>
      <c r="Q2772" t="str" cm="1">
        <f t="array" ref="Q2772">_xlfn.IFS(Table1[[#This Row],[Wealthier_Winner]]=-1,"Wealthier Nation Loses",Table1[[#This Row],[Wealthier_Winner]]=0,"Tie",Table1[[#This Row],[Wealthier_Winner]]=1,"Wealthier Nation Wins")</f>
        <v>Wealthier Nation Loses</v>
      </c>
    </row>
    <row r="2773" spans="1:17" x14ac:dyDescent="0.2">
      <c r="A2773" s="1">
        <v>4460</v>
      </c>
      <c r="B2773" s="2">
        <v>38077</v>
      </c>
      <c r="C2773" s="7">
        <f>_xlfn.FLOOR.MATH(Table1[[#This Row],[year]],10)</f>
        <v>2000</v>
      </c>
      <c r="D2773" t="s">
        <v>403</v>
      </c>
      <c r="E2773" t="s">
        <v>68</v>
      </c>
      <c r="F2773">
        <v>1</v>
      </c>
      <c r="G2773">
        <v>0</v>
      </c>
      <c r="H2773" t="s">
        <v>224</v>
      </c>
      <c r="I2773" t="s">
        <v>404</v>
      </c>
      <c r="J2773" t="s">
        <v>403</v>
      </c>
      <c r="K2773" t="b">
        <v>0</v>
      </c>
      <c r="L2773">
        <v>2004</v>
      </c>
      <c r="M2773">
        <v>11411706629</v>
      </c>
      <c r="N2773">
        <v>31734065934</v>
      </c>
      <c r="O2773" t="b">
        <v>1</v>
      </c>
      <c r="P2773">
        <v>-1</v>
      </c>
      <c r="Q2773" t="str" cm="1">
        <f t="array" ref="Q2773">_xlfn.IFS(Table1[[#This Row],[Wealthier_Winner]]=-1,"Wealthier Nation Loses",Table1[[#This Row],[Wealthier_Winner]]=0,"Tie",Table1[[#This Row],[Wealthier_Winner]]=1,"Wealthier Nation Wins")</f>
        <v>Wealthier Nation Loses</v>
      </c>
    </row>
    <row r="2774" spans="1:17" x14ac:dyDescent="0.2">
      <c r="A2774" s="1">
        <v>4464</v>
      </c>
      <c r="B2774" s="2">
        <v>38077</v>
      </c>
      <c r="C2774" s="7">
        <f>_xlfn.FLOOR.MATH(Table1[[#This Row],[year]],10)</f>
        <v>2000</v>
      </c>
      <c r="D2774" t="s">
        <v>333</v>
      </c>
      <c r="E2774" t="s">
        <v>71</v>
      </c>
      <c r="F2774">
        <v>0</v>
      </c>
      <c r="G2774">
        <v>2</v>
      </c>
      <c r="H2774" t="s">
        <v>224</v>
      </c>
      <c r="I2774" t="s">
        <v>651</v>
      </c>
      <c r="J2774" t="s">
        <v>333</v>
      </c>
      <c r="K2774" t="b">
        <v>0</v>
      </c>
      <c r="L2774">
        <v>2004</v>
      </c>
      <c r="M2774">
        <v>124749473684</v>
      </c>
      <c r="N2774">
        <v>59439090600</v>
      </c>
      <c r="O2774" t="b">
        <v>1</v>
      </c>
      <c r="P2774">
        <v>-1</v>
      </c>
      <c r="Q2774" t="str" cm="1">
        <f t="array" ref="Q2774">_xlfn.IFS(Table1[[#This Row],[Wealthier_Winner]]=-1,"Wealthier Nation Loses",Table1[[#This Row],[Wealthier_Winner]]=0,"Tie",Table1[[#This Row],[Wealthier_Winner]]=1,"Wealthier Nation Wins")</f>
        <v>Wealthier Nation Loses</v>
      </c>
    </row>
    <row r="2775" spans="1:17" x14ac:dyDescent="0.2">
      <c r="A2775" s="1">
        <v>4465</v>
      </c>
      <c r="B2775" s="2">
        <v>38077</v>
      </c>
      <c r="C2775" s="7">
        <f>_xlfn.FLOOR.MATH(Table1[[#This Row],[year]],10)</f>
        <v>2000</v>
      </c>
      <c r="D2775" t="s">
        <v>567</v>
      </c>
      <c r="E2775" t="s">
        <v>195</v>
      </c>
      <c r="F2775">
        <v>0</v>
      </c>
      <c r="G2775">
        <v>0</v>
      </c>
      <c r="H2775" t="s">
        <v>224</v>
      </c>
      <c r="I2775" t="s">
        <v>620</v>
      </c>
      <c r="J2775" t="s">
        <v>567</v>
      </c>
      <c r="K2775" t="b">
        <v>0</v>
      </c>
      <c r="L2775">
        <v>2004</v>
      </c>
      <c r="M2775">
        <v>1226829562</v>
      </c>
      <c r="N2775">
        <v>823251107638</v>
      </c>
      <c r="O2775" t="b">
        <v>1</v>
      </c>
      <c r="P2775">
        <v>0</v>
      </c>
      <c r="Q2775" t="str" cm="1">
        <f t="array" ref="Q2775">_xlfn.IFS(Table1[[#This Row],[Wealthier_Winner]]=-1,"Wealthier Nation Loses",Table1[[#This Row],[Wealthier_Winner]]=0,"Tie",Table1[[#This Row],[Wealthier_Winner]]=1,"Wealthier Nation Wins")</f>
        <v>Tie</v>
      </c>
    </row>
    <row r="2776" spans="1:17" x14ac:dyDescent="0.2">
      <c r="A2776" s="1">
        <v>4467</v>
      </c>
      <c r="B2776" s="2">
        <v>38077</v>
      </c>
      <c r="C2776" s="7">
        <f>_xlfn.FLOOR.MATH(Table1[[#This Row],[year]],10)</f>
        <v>2000</v>
      </c>
      <c r="D2776" t="s">
        <v>35</v>
      </c>
      <c r="E2776" t="s">
        <v>13</v>
      </c>
      <c r="F2776">
        <v>0</v>
      </c>
      <c r="G2776">
        <v>0</v>
      </c>
      <c r="H2776" t="s">
        <v>224</v>
      </c>
      <c r="I2776" t="s">
        <v>250</v>
      </c>
      <c r="J2776" t="s">
        <v>35</v>
      </c>
      <c r="K2776" t="b">
        <v>0</v>
      </c>
      <c r="L2776">
        <v>2004</v>
      </c>
      <c r="M2776">
        <v>9624440836</v>
      </c>
      <c r="N2776">
        <v>669289321944</v>
      </c>
      <c r="O2776" t="b">
        <v>1</v>
      </c>
      <c r="P2776">
        <v>0</v>
      </c>
      <c r="Q2776" t="str" cm="1">
        <f t="array" ref="Q2776">_xlfn.IFS(Table1[[#This Row],[Wealthier_Winner]]=-1,"Wealthier Nation Loses",Table1[[#This Row],[Wealthier_Winner]]=0,"Tie",Table1[[#This Row],[Wealthier_Winner]]=1,"Wealthier Nation Wins")</f>
        <v>Tie</v>
      </c>
    </row>
    <row r="2777" spans="1:17" x14ac:dyDescent="0.2">
      <c r="A2777" s="1">
        <v>4468</v>
      </c>
      <c r="B2777" s="2">
        <v>38077</v>
      </c>
      <c r="C2777" s="7">
        <f>_xlfn.FLOOR.MATH(Table1[[#This Row],[year]],10)</f>
        <v>2000</v>
      </c>
      <c r="D2777" t="s">
        <v>31</v>
      </c>
      <c r="E2777" t="s">
        <v>15</v>
      </c>
      <c r="F2777">
        <v>0</v>
      </c>
      <c r="G2777">
        <v>2</v>
      </c>
      <c r="H2777" t="s">
        <v>224</v>
      </c>
      <c r="I2777" t="s">
        <v>242</v>
      </c>
      <c r="J2777" t="s">
        <v>31</v>
      </c>
      <c r="K2777" t="b">
        <v>0</v>
      </c>
      <c r="L2777">
        <v>2004</v>
      </c>
      <c r="M2777">
        <v>66768703497</v>
      </c>
      <c r="N2777">
        <v>117092416666</v>
      </c>
      <c r="O2777" t="b">
        <v>0</v>
      </c>
      <c r="P2777">
        <v>1</v>
      </c>
      <c r="Q2777" t="str" cm="1">
        <f t="array" ref="Q2777">_xlfn.IFS(Table1[[#This Row],[Wealthier_Winner]]=-1,"Wealthier Nation Loses",Table1[[#This Row],[Wealthier_Winner]]=0,"Tie",Table1[[#This Row],[Wealthier_Winner]]=1,"Wealthier Nation Wins")</f>
        <v>Wealthier Nation Wins</v>
      </c>
    </row>
    <row r="2778" spans="1:17" x14ac:dyDescent="0.2">
      <c r="A2778" s="1">
        <v>4469</v>
      </c>
      <c r="B2778" s="2">
        <v>38077</v>
      </c>
      <c r="C2778" s="7">
        <f>_xlfn.FLOOR.MATH(Table1[[#This Row],[year]],10)</f>
        <v>2000</v>
      </c>
      <c r="D2778" t="s">
        <v>359</v>
      </c>
      <c r="E2778" t="s">
        <v>51</v>
      </c>
      <c r="F2778">
        <v>1</v>
      </c>
      <c r="G2778">
        <v>2</v>
      </c>
      <c r="H2778" t="s">
        <v>224</v>
      </c>
      <c r="I2778" t="s">
        <v>359</v>
      </c>
      <c r="J2778" t="s">
        <v>359</v>
      </c>
      <c r="K2778" t="b">
        <v>0</v>
      </c>
      <c r="L2778">
        <v>2004</v>
      </c>
      <c r="M2778">
        <v>115033593101</v>
      </c>
      <c r="N2778">
        <v>4893116005656</v>
      </c>
      <c r="O2778" t="b">
        <v>1</v>
      </c>
      <c r="P2778">
        <v>1</v>
      </c>
      <c r="Q2778" t="str" cm="1">
        <f t="array" ref="Q2778">_xlfn.IFS(Table1[[#This Row],[Wealthier_Winner]]=-1,"Wealthier Nation Loses",Table1[[#This Row],[Wealthier_Winner]]=0,"Tie",Table1[[#This Row],[Wealthier_Winner]]=1,"Wealthier Nation Wins")</f>
        <v>Wealthier Nation Wins</v>
      </c>
    </row>
    <row r="2779" spans="1:17" x14ac:dyDescent="0.2">
      <c r="A2779" s="1">
        <v>4470</v>
      </c>
      <c r="B2779" s="2">
        <v>38077</v>
      </c>
      <c r="C2779" s="7">
        <f>_xlfn.FLOOR.MATH(Table1[[#This Row],[year]],10)</f>
        <v>2000</v>
      </c>
      <c r="D2779" t="s">
        <v>473</v>
      </c>
      <c r="E2779" t="s">
        <v>45</v>
      </c>
      <c r="F2779">
        <v>0</v>
      </c>
      <c r="G2779">
        <v>1</v>
      </c>
      <c r="H2779" t="s">
        <v>224</v>
      </c>
      <c r="I2779" t="s">
        <v>652</v>
      </c>
      <c r="J2779" t="s">
        <v>473</v>
      </c>
      <c r="K2779" t="b">
        <v>0</v>
      </c>
      <c r="L2779">
        <v>2004</v>
      </c>
      <c r="M2779">
        <v>20662525941</v>
      </c>
      <c r="N2779">
        <v>258742133333</v>
      </c>
      <c r="O2779" t="b">
        <v>1</v>
      </c>
      <c r="P2779">
        <v>1</v>
      </c>
      <c r="Q2779" t="str" cm="1">
        <f t="array" ref="Q2779">_xlfn.IFS(Table1[[#This Row],[Wealthier_Winner]]=-1,"Wealthier Nation Loses",Table1[[#This Row],[Wealthier_Winner]]=0,"Tie",Table1[[#This Row],[Wealthier_Winner]]=1,"Wealthier Nation Wins")</f>
        <v>Wealthier Nation Wins</v>
      </c>
    </row>
    <row r="2780" spans="1:17" x14ac:dyDescent="0.2">
      <c r="A2780" s="1">
        <v>4472</v>
      </c>
      <c r="B2780" s="2">
        <v>38077</v>
      </c>
      <c r="C2780" s="7">
        <f>_xlfn.FLOOR.MATH(Table1[[#This Row],[year]],10)</f>
        <v>2000</v>
      </c>
      <c r="D2780" t="s">
        <v>556</v>
      </c>
      <c r="E2780" t="s">
        <v>361</v>
      </c>
      <c r="F2780">
        <v>0</v>
      </c>
      <c r="G2780">
        <v>0</v>
      </c>
      <c r="H2780" t="s">
        <v>224</v>
      </c>
      <c r="I2780" t="s">
        <v>557</v>
      </c>
      <c r="J2780" t="s">
        <v>556</v>
      </c>
      <c r="K2780" t="b">
        <v>0</v>
      </c>
      <c r="L2780">
        <v>2004</v>
      </c>
      <c r="M2780">
        <v>2076176869</v>
      </c>
      <c r="N2780">
        <v>13150159574</v>
      </c>
      <c r="O2780" t="b">
        <v>1</v>
      </c>
      <c r="P2780">
        <v>0</v>
      </c>
      <c r="Q2780" t="str" cm="1">
        <f t="array" ref="Q2780">_xlfn.IFS(Table1[[#This Row],[Wealthier_Winner]]=-1,"Wealthier Nation Loses",Table1[[#This Row],[Wealthier_Winner]]=0,"Tie",Table1[[#This Row],[Wealthier_Winner]]=1,"Wealthier Nation Wins")</f>
        <v>Tie</v>
      </c>
    </row>
    <row r="2781" spans="1:17" x14ac:dyDescent="0.2">
      <c r="A2781" s="1">
        <v>4473</v>
      </c>
      <c r="B2781" s="2">
        <v>38077</v>
      </c>
      <c r="C2781" s="7">
        <f>_xlfn.FLOOR.MATH(Table1[[#This Row],[year]],10)</f>
        <v>2000</v>
      </c>
      <c r="D2781" t="s">
        <v>560</v>
      </c>
      <c r="E2781" t="s">
        <v>328</v>
      </c>
      <c r="F2781">
        <v>3</v>
      </c>
      <c r="G2781">
        <v>1</v>
      </c>
      <c r="H2781" t="s">
        <v>224</v>
      </c>
      <c r="I2781" t="s">
        <v>561</v>
      </c>
      <c r="J2781" t="s">
        <v>560</v>
      </c>
      <c r="K2781" t="b">
        <v>0</v>
      </c>
      <c r="L2781">
        <v>2004</v>
      </c>
      <c r="M2781">
        <v>6838351088</v>
      </c>
      <c r="N2781">
        <v>256836875295</v>
      </c>
      <c r="O2781" t="b">
        <v>1</v>
      </c>
      <c r="P2781">
        <v>-1</v>
      </c>
      <c r="Q2781" t="str" cm="1">
        <f t="array" ref="Q2781">_xlfn.IFS(Table1[[#This Row],[Wealthier_Winner]]=-1,"Wealthier Nation Loses",Table1[[#This Row],[Wealthier_Winner]]=0,"Tie",Table1[[#This Row],[Wealthier_Winner]]=1,"Wealthier Nation Wins")</f>
        <v>Wealthier Nation Loses</v>
      </c>
    </row>
    <row r="2782" spans="1:17" x14ac:dyDescent="0.2">
      <c r="A2782" s="1">
        <v>4474</v>
      </c>
      <c r="B2782" s="2">
        <v>38077</v>
      </c>
      <c r="C2782" s="7">
        <f>_xlfn.FLOOR.MATH(Table1[[#This Row],[year]],10)</f>
        <v>2000</v>
      </c>
      <c r="D2782" t="s">
        <v>26</v>
      </c>
      <c r="E2782" t="s">
        <v>258</v>
      </c>
      <c r="F2782">
        <v>0</v>
      </c>
      <c r="G2782">
        <v>3</v>
      </c>
      <c r="H2782" t="s">
        <v>224</v>
      </c>
      <c r="I2782" t="s">
        <v>247</v>
      </c>
      <c r="J2782" t="s">
        <v>26</v>
      </c>
      <c r="K2782" t="b">
        <v>0</v>
      </c>
      <c r="L2782">
        <v>2004</v>
      </c>
      <c r="M2782">
        <v>13686329890</v>
      </c>
      <c r="N2782">
        <v>112451400424</v>
      </c>
      <c r="O2782" t="b">
        <v>1</v>
      </c>
      <c r="P2782">
        <v>1</v>
      </c>
      <c r="Q2782" t="str" cm="1">
        <f t="array" ref="Q2782">_xlfn.IFS(Table1[[#This Row],[Wealthier_Winner]]=-1,"Wealthier Nation Loses",Table1[[#This Row],[Wealthier_Winner]]=0,"Tie",Table1[[#This Row],[Wealthier_Winner]]=1,"Wealthier Nation Wins")</f>
        <v>Wealthier Nation Wins</v>
      </c>
    </row>
    <row r="2783" spans="1:17" x14ac:dyDescent="0.2">
      <c r="A2783" s="1">
        <v>4475</v>
      </c>
      <c r="B2783" s="2">
        <v>38077</v>
      </c>
      <c r="C2783" s="7">
        <f>_xlfn.FLOOR.MATH(Table1[[#This Row],[year]],10)</f>
        <v>2000</v>
      </c>
      <c r="D2783" t="s">
        <v>475</v>
      </c>
      <c r="E2783" t="s">
        <v>479</v>
      </c>
      <c r="F2783">
        <v>0</v>
      </c>
      <c r="G2783">
        <v>2</v>
      </c>
      <c r="H2783" t="s">
        <v>224</v>
      </c>
      <c r="I2783" t="s">
        <v>653</v>
      </c>
      <c r="J2783" t="s">
        <v>475</v>
      </c>
      <c r="K2783" t="b">
        <v>0</v>
      </c>
      <c r="L2783">
        <v>2004</v>
      </c>
      <c r="M2783">
        <v>45427854693</v>
      </c>
      <c r="N2783">
        <v>21159827992</v>
      </c>
      <c r="O2783" t="b">
        <v>1</v>
      </c>
      <c r="P2783">
        <v>-1</v>
      </c>
      <c r="Q2783" t="str" cm="1">
        <f t="array" ref="Q2783">_xlfn.IFS(Table1[[#This Row],[Wealthier_Winner]]=-1,"Wealthier Nation Loses",Table1[[#This Row],[Wealthier_Winner]]=0,"Tie",Table1[[#This Row],[Wealthier_Winner]]=1,"Wealthier Nation Wins")</f>
        <v>Wealthier Nation Loses</v>
      </c>
    </row>
    <row r="2784" spans="1:17" x14ac:dyDescent="0.2">
      <c r="A2784" s="1">
        <v>4478</v>
      </c>
      <c r="B2784" s="2">
        <v>38117</v>
      </c>
      <c r="C2784" s="7">
        <f>_xlfn.FLOOR.MATH(Table1[[#This Row],[year]],10)</f>
        <v>2000</v>
      </c>
      <c r="D2784" t="s">
        <v>530</v>
      </c>
      <c r="E2784" t="s">
        <v>451</v>
      </c>
      <c r="F2784">
        <v>1</v>
      </c>
      <c r="G2784">
        <v>1</v>
      </c>
      <c r="H2784" t="s">
        <v>224</v>
      </c>
      <c r="I2784" t="s">
        <v>654</v>
      </c>
      <c r="J2784" t="s">
        <v>542</v>
      </c>
      <c r="K2784" t="b">
        <v>1</v>
      </c>
      <c r="L2784">
        <v>2004</v>
      </c>
      <c r="M2784">
        <v>3927157866</v>
      </c>
      <c r="N2784">
        <v>364996869</v>
      </c>
      <c r="O2784" t="b">
        <v>1</v>
      </c>
      <c r="P2784">
        <v>0</v>
      </c>
      <c r="Q2784" t="str" cm="1">
        <f t="array" ref="Q2784">_xlfn.IFS(Table1[[#This Row],[Wealthier_Winner]]=-1,"Wealthier Nation Loses",Table1[[#This Row],[Wealthier_Winner]]=0,"Tie",Table1[[#This Row],[Wealthier_Winner]]=1,"Wealthier Nation Wins")</f>
        <v>Tie</v>
      </c>
    </row>
    <row r="2785" spans="1:17" x14ac:dyDescent="0.2">
      <c r="A2785" s="1">
        <v>4479</v>
      </c>
      <c r="B2785" s="2">
        <v>38117</v>
      </c>
      <c r="C2785" s="7">
        <f>_xlfn.FLOOR.MATH(Table1[[#This Row],[year]],10)</f>
        <v>2000</v>
      </c>
      <c r="D2785" t="s">
        <v>542</v>
      </c>
      <c r="E2785" t="s">
        <v>655</v>
      </c>
      <c r="F2785">
        <v>4</v>
      </c>
      <c r="G2785">
        <v>0</v>
      </c>
      <c r="H2785" t="s">
        <v>224</v>
      </c>
      <c r="I2785" t="s">
        <v>654</v>
      </c>
      <c r="J2785" t="s">
        <v>542</v>
      </c>
      <c r="K2785" t="b">
        <v>0</v>
      </c>
      <c r="L2785">
        <v>2004</v>
      </c>
      <c r="M2785">
        <v>407747565</v>
      </c>
      <c r="N2785">
        <v>509000000</v>
      </c>
      <c r="O2785" t="b">
        <v>0</v>
      </c>
      <c r="P2785">
        <v>-1</v>
      </c>
      <c r="Q2785" t="str" cm="1">
        <f t="array" ref="Q2785">_xlfn.IFS(Table1[[#This Row],[Wealthier_Winner]]=-1,"Wealthier Nation Loses",Table1[[#This Row],[Wealthier_Winner]]=0,"Tie",Table1[[#This Row],[Wealthier_Winner]]=1,"Wealthier Nation Wins")</f>
        <v>Wealthier Nation Loses</v>
      </c>
    </row>
    <row r="2786" spans="1:17" x14ac:dyDescent="0.2">
      <c r="A2786" s="1">
        <v>4480</v>
      </c>
      <c r="B2786" s="2">
        <v>38117</v>
      </c>
      <c r="C2786" s="7">
        <f>_xlfn.FLOOR.MATH(Table1[[#This Row],[year]],10)</f>
        <v>2000</v>
      </c>
      <c r="D2786" t="s">
        <v>456</v>
      </c>
      <c r="E2786" t="s">
        <v>541</v>
      </c>
      <c r="F2786">
        <v>6</v>
      </c>
      <c r="G2786">
        <v>0</v>
      </c>
      <c r="H2786" t="s">
        <v>224</v>
      </c>
      <c r="I2786" t="s">
        <v>457</v>
      </c>
      <c r="J2786" t="s">
        <v>456</v>
      </c>
      <c r="K2786" t="b">
        <v>0</v>
      </c>
      <c r="L2786">
        <v>2004</v>
      </c>
      <c r="M2786">
        <v>468000121</v>
      </c>
      <c r="N2786">
        <v>230678011</v>
      </c>
      <c r="O2786" t="b">
        <v>1</v>
      </c>
      <c r="P2786">
        <v>1</v>
      </c>
      <c r="Q2786" t="str" cm="1">
        <f t="array" ref="Q2786">_xlfn.IFS(Table1[[#This Row],[Wealthier_Winner]]=-1,"Wealthier Nation Loses",Table1[[#This Row],[Wealthier_Winner]]=0,"Tie",Table1[[#This Row],[Wealthier_Winner]]=1,"Wealthier Nation Wins")</f>
        <v>Wealthier Nation Wins</v>
      </c>
    </row>
    <row r="2787" spans="1:17" x14ac:dyDescent="0.2">
      <c r="A2787" s="1">
        <v>4482</v>
      </c>
      <c r="B2787" s="2">
        <v>38119</v>
      </c>
      <c r="C2787" s="7">
        <f>_xlfn.FLOOR.MATH(Table1[[#This Row],[year]],10)</f>
        <v>2000</v>
      </c>
      <c r="D2787" t="s">
        <v>655</v>
      </c>
      <c r="E2787" t="s">
        <v>451</v>
      </c>
      <c r="F2787">
        <v>1</v>
      </c>
      <c r="G2787">
        <v>9</v>
      </c>
      <c r="H2787" t="s">
        <v>224</v>
      </c>
      <c r="I2787" t="s">
        <v>654</v>
      </c>
      <c r="J2787" t="s">
        <v>542</v>
      </c>
      <c r="K2787" t="b">
        <v>1</v>
      </c>
      <c r="L2787">
        <v>2004</v>
      </c>
      <c r="M2787">
        <v>509000000</v>
      </c>
      <c r="N2787">
        <v>364996869</v>
      </c>
      <c r="O2787" t="b">
        <v>0</v>
      </c>
      <c r="P2787">
        <v>-1</v>
      </c>
      <c r="Q2787" t="str" cm="1">
        <f t="array" ref="Q2787">_xlfn.IFS(Table1[[#This Row],[Wealthier_Winner]]=-1,"Wealthier Nation Loses",Table1[[#This Row],[Wealthier_Winner]]=0,"Tie",Table1[[#This Row],[Wealthier_Winner]]=1,"Wealthier Nation Wins")</f>
        <v>Wealthier Nation Loses</v>
      </c>
    </row>
    <row r="2788" spans="1:17" x14ac:dyDescent="0.2">
      <c r="A2788" s="1">
        <v>4483</v>
      </c>
      <c r="B2788" s="2">
        <v>38119</v>
      </c>
      <c r="C2788" s="7">
        <f>_xlfn.FLOOR.MATH(Table1[[#This Row],[year]],10)</f>
        <v>2000</v>
      </c>
      <c r="D2788" t="s">
        <v>384</v>
      </c>
      <c r="E2788" t="s">
        <v>530</v>
      </c>
      <c r="F2788">
        <v>4</v>
      </c>
      <c r="G2788">
        <v>2</v>
      </c>
      <c r="H2788" t="s">
        <v>224</v>
      </c>
      <c r="I2788" t="s">
        <v>654</v>
      </c>
      <c r="J2788" t="s">
        <v>542</v>
      </c>
      <c r="K2788" t="b">
        <v>1</v>
      </c>
      <c r="L2788">
        <v>2004</v>
      </c>
      <c r="M2788">
        <v>2708078476</v>
      </c>
      <c r="N2788">
        <v>3927157866</v>
      </c>
      <c r="O2788" t="b">
        <v>0</v>
      </c>
      <c r="P2788">
        <v>-1</v>
      </c>
      <c r="Q2788" t="str" cm="1">
        <f t="array" ref="Q2788">_xlfn.IFS(Table1[[#This Row],[Wealthier_Winner]]=-1,"Wealthier Nation Loses",Table1[[#This Row],[Wealthier_Winner]]=0,"Tie",Table1[[#This Row],[Wealthier_Winner]]=1,"Wealthier Nation Wins")</f>
        <v>Wealthier Nation Loses</v>
      </c>
    </row>
    <row r="2789" spans="1:17" x14ac:dyDescent="0.2">
      <c r="A2789" s="1">
        <v>4486</v>
      </c>
      <c r="B2789" s="2">
        <v>38122</v>
      </c>
      <c r="C2789" s="7">
        <f>_xlfn.FLOOR.MATH(Table1[[#This Row],[year]],10)</f>
        <v>2000</v>
      </c>
      <c r="D2789" t="s">
        <v>384</v>
      </c>
      <c r="E2789" t="s">
        <v>655</v>
      </c>
      <c r="F2789">
        <v>11</v>
      </c>
      <c r="G2789">
        <v>0</v>
      </c>
      <c r="H2789" t="s">
        <v>224</v>
      </c>
      <c r="I2789" t="s">
        <v>654</v>
      </c>
      <c r="J2789" t="s">
        <v>542</v>
      </c>
      <c r="K2789" t="b">
        <v>1</v>
      </c>
      <c r="L2789">
        <v>2004</v>
      </c>
      <c r="M2789">
        <v>2708078476</v>
      </c>
      <c r="N2789">
        <v>509000000</v>
      </c>
      <c r="O2789" t="b">
        <v>1</v>
      </c>
      <c r="P2789">
        <v>1</v>
      </c>
      <c r="Q2789" t="str" cm="1">
        <f t="array" ref="Q2789">_xlfn.IFS(Table1[[#This Row],[Wealthier_Winner]]=-1,"Wealthier Nation Loses",Table1[[#This Row],[Wealthier_Winner]]=0,"Tie",Table1[[#This Row],[Wealthier_Winner]]=1,"Wealthier Nation Wins")</f>
        <v>Wealthier Nation Wins</v>
      </c>
    </row>
    <row r="2790" spans="1:17" x14ac:dyDescent="0.2">
      <c r="A2790" s="1">
        <v>4487</v>
      </c>
      <c r="B2790" s="2">
        <v>38122</v>
      </c>
      <c r="C2790" s="7">
        <f>_xlfn.FLOOR.MATH(Table1[[#This Row],[year]],10)</f>
        <v>2000</v>
      </c>
      <c r="D2790" t="s">
        <v>542</v>
      </c>
      <c r="E2790" t="s">
        <v>451</v>
      </c>
      <c r="F2790">
        <v>0</v>
      </c>
      <c r="G2790">
        <v>3</v>
      </c>
      <c r="H2790" t="s">
        <v>224</v>
      </c>
      <c r="I2790" t="s">
        <v>654</v>
      </c>
      <c r="J2790" t="s">
        <v>542</v>
      </c>
      <c r="K2790" t="b">
        <v>0</v>
      </c>
      <c r="L2790">
        <v>2004</v>
      </c>
      <c r="M2790">
        <v>407747565</v>
      </c>
      <c r="N2790">
        <v>364996869</v>
      </c>
      <c r="O2790" t="b">
        <v>0</v>
      </c>
      <c r="P2790">
        <v>-1</v>
      </c>
      <c r="Q2790" t="str" cm="1">
        <f t="array" ref="Q2790">_xlfn.IFS(Table1[[#This Row],[Wealthier_Winner]]=-1,"Wealthier Nation Loses",Table1[[#This Row],[Wealthier_Winner]]=0,"Tie",Table1[[#This Row],[Wealthier_Winner]]=1,"Wealthier Nation Wins")</f>
        <v>Wealthier Nation Loses</v>
      </c>
    </row>
    <row r="2791" spans="1:17" x14ac:dyDescent="0.2">
      <c r="A2791" s="1">
        <v>4488</v>
      </c>
      <c r="B2791" s="2">
        <v>38122</v>
      </c>
      <c r="C2791" s="7">
        <f>_xlfn.FLOOR.MATH(Table1[[#This Row],[year]],10)</f>
        <v>2000</v>
      </c>
      <c r="D2791" t="s">
        <v>456</v>
      </c>
      <c r="E2791" t="s">
        <v>656</v>
      </c>
      <c r="F2791">
        <v>2</v>
      </c>
      <c r="G2791">
        <v>0</v>
      </c>
      <c r="H2791" t="s">
        <v>224</v>
      </c>
      <c r="I2791" t="s">
        <v>457</v>
      </c>
      <c r="J2791" t="s">
        <v>456</v>
      </c>
      <c r="K2791" t="b">
        <v>0</v>
      </c>
      <c r="L2791">
        <v>2004</v>
      </c>
      <c r="M2791">
        <v>468000121</v>
      </c>
      <c r="N2791">
        <v>5895008977</v>
      </c>
      <c r="O2791" t="b">
        <v>1</v>
      </c>
      <c r="P2791">
        <v>-1</v>
      </c>
      <c r="Q2791" t="str" cm="1">
        <f t="array" ref="Q2791">_xlfn.IFS(Table1[[#This Row],[Wealthier_Winner]]=-1,"Wealthier Nation Loses",Table1[[#This Row],[Wealthier_Winner]]=0,"Tie",Table1[[#This Row],[Wealthier_Winner]]=1,"Wealthier Nation Wins")</f>
        <v>Wealthier Nation Loses</v>
      </c>
    </row>
    <row r="2792" spans="1:17" x14ac:dyDescent="0.2">
      <c r="A2792" s="1">
        <v>4490</v>
      </c>
      <c r="B2792" s="2">
        <v>38124</v>
      </c>
      <c r="C2792" s="7">
        <f>_xlfn.FLOOR.MATH(Table1[[#This Row],[year]],10)</f>
        <v>2000</v>
      </c>
      <c r="D2792" t="s">
        <v>655</v>
      </c>
      <c r="E2792" t="s">
        <v>530</v>
      </c>
      <c r="F2792">
        <v>0</v>
      </c>
      <c r="G2792">
        <v>10</v>
      </c>
      <c r="H2792" t="s">
        <v>224</v>
      </c>
      <c r="I2792" t="s">
        <v>654</v>
      </c>
      <c r="J2792" t="s">
        <v>542</v>
      </c>
      <c r="K2792" t="b">
        <v>1</v>
      </c>
      <c r="L2792">
        <v>2004</v>
      </c>
      <c r="M2792">
        <v>509000000</v>
      </c>
      <c r="N2792">
        <v>3927157866</v>
      </c>
      <c r="O2792" t="b">
        <v>1</v>
      </c>
      <c r="P2792">
        <v>1</v>
      </c>
      <c r="Q2792" t="str" cm="1">
        <f t="array" ref="Q2792">_xlfn.IFS(Table1[[#This Row],[Wealthier_Winner]]=-1,"Wealthier Nation Loses",Table1[[#This Row],[Wealthier_Winner]]=0,"Tie",Table1[[#This Row],[Wealthier_Winner]]=1,"Wealthier Nation Wins")</f>
        <v>Wealthier Nation Wins</v>
      </c>
    </row>
    <row r="2793" spans="1:17" x14ac:dyDescent="0.2">
      <c r="A2793" s="1">
        <v>4492</v>
      </c>
      <c r="B2793" s="2">
        <v>38124</v>
      </c>
      <c r="C2793" s="7">
        <f>_xlfn.FLOOR.MATH(Table1[[#This Row],[year]],10)</f>
        <v>2000</v>
      </c>
      <c r="D2793" t="s">
        <v>542</v>
      </c>
      <c r="E2793" t="s">
        <v>384</v>
      </c>
      <c r="F2793">
        <v>0</v>
      </c>
      <c r="G2793">
        <v>4</v>
      </c>
      <c r="H2793" t="s">
        <v>224</v>
      </c>
      <c r="I2793" t="s">
        <v>654</v>
      </c>
      <c r="J2793" t="s">
        <v>542</v>
      </c>
      <c r="K2793" t="b">
        <v>0</v>
      </c>
      <c r="L2793">
        <v>2004</v>
      </c>
      <c r="M2793">
        <v>407747565</v>
      </c>
      <c r="N2793">
        <v>2708078476</v>
      </c>
      <c r="O2793" t="b">
        <v>1</v>
      </c>
      <c r="P2793">
        <v>1</v>
      </c>
      <c r="Q2793" t="str" cm="1">
        <f t="array" ref="Q2793">_xlfn.IFS(Table1[[#This Row],[Wealthier_Winner]]=-1,"Wealthier Nation Loses",Table1[[#This Row],[Wealthier_Winner]]=0,"Tie",Table1[[#This Row],[Wealthier_Winner]]=1,"Wealthier Nation Wins")</f>
        <v>Wealthier Nation Wins</v>
      </c>
    </row>
    <row r="2794" spans="1:17" x14ac:dyDescent="0.2">
      <c r="A2794" s="1">
        <v>4494</v>
      </c>
      <c r="B2794" s="2">
        <v>38126</v>
      </c>
      <c r="C2794" s="7">
        <f>_xlfn.FLOOR.MATH(Table1[[#This Row],[year]],10)</f>
        <v>2000</v>
      </c>
      <c r="D2794" t="s">
        <v>384</v>
      </c>
      <c r="E2794" t="s">
        <v>451</v>
      </c>
      <c r="F2794">
        <v>0</v>
      </c>
      <c r="G2794">
        <v>3</v>
      </c>
      <c r="H2794" t="s">
        <v>224</v>
      </c>
      <c r="I2794" t="s">
        <v>654</v>
      </c>
      <c r="J2794" t="s">
        <v>542</v>
      </c>
      <c r="K2794" t="b">
        <v>1</v>
      </c>
      <c r="L2794">
        <v>2004</v>
      </c>
      <c r="M2794">
        <v>2708078476</v>
      </c>
      <c r="N2794">
        <v>364996869</v>
      </c>
      <c r="O2794" t="b">
        <v>1</v>
      </c>
      <c r="P2794">
        <v>-1</v>
      </c>
      <c r="Q2794" t="str" cm="1">
        <f t="array" ref="Q2794">_xlfn.IFS(Table1[[#This Row],[Wealthier_Winner]]=-1,"Wealthier Nation Loses",Table1[[#This Row],[Wealthier_Winner]]=0,"Tie",Table1[[#This Row],[Wealthier_Winner]]=1,"Wealthier Nation Wins")</f>
        <v>Wealthier Nation Loses</v>
      </c>
    </row>
    <row r="2795" spans="1:17" x14ac:dyDescent="0.2">
      <c r="A2795" s="1">
        <v>4495</v>
      </c>
      <c r="B2795" s="2">
        <v>38126</v>
      </c>
      <c r="C2795" s="7">
        <f>_xlfn.FLOOR.MATH(Table1[[#This Row],[year]],10)</f>
        <v>2000</v>
      </c>
      <c r="D2795" t="s">
        <v>656</v>
      </c>
      <c r="E2795" t="s">
        <v>541</v>
      </c>
      <c r="F2795">
        <v>8</v>
      </c>
      <c r="G2795">
        <v>0</v>
      </c>
      <c r="H2795" t="s">
        <v>224</v>
      </c>
      <c r="I2795" t="s">
        <v>457</v>
      </c>
      <c r="J2795" t="s">
        <v>456</v>
      </c>
      <c r="K2795" t="b">
        <v>1</v>
      </c>
      <c r="L2795">
        <v>2004</v>
      </c>
      <c r="M2795">
        <v>5895008977</v>
      </c>
      <c r="N2795">
        <v>230678011</v>
      </c>
      <c r="O2795" t="b">
        <v>1</v>
      </c>
      <c r="P2795">
        <v>1</v>
      </c>
      <c r="Q2795" t="str" cm="1">
        <f t="array" ref="Q2795">_xlfn.IFS(Table1[[#This Row],[Wealthier_Winner]]=-1,"Wealthier Nation Loses",Table1[[#This Row],[Wealthier_Winner]]=0,"Tie",Table1[[#This Row],[Wealthier_Winner]]=1,"Wealthier Nation Wins")</f>
        <v>Wealthier Nation Wins</v>
      </c>
    </row>
    <row r="2796" spans="1:17" x14ac:dyDescent="0.2">
      <c r="A2796" s="1">
        <v>4496</v>
      </c>
      <c r="B2796" s="2">
        <v>38126</v>
      </c>
      <c r="C2796" s="7">
        <f>_xlfn.FLOOR.MATH(Table1[[#This Row],[year]],10)</f>
        <v>2000</v>
      </c>
      <c r="D2796" t="s">
        <v>542</v>
      </c>
      <c r="E2796" t="s">
        <v>530</v>
      </c>
      <c r="F2796">
        <v>1</v>
      </c>
      <c r="G2796">
        <v>4</v>
      </c>
      <c r="H2796" t="s">
        <v>224</v>
      </c>
      <c r="I2796" t="s">
        <v>654</v>
      </c>
      <c r="J2796" t="s">
        <v>542</v>
      </c>
      <c r="K2796" t="b">
        <v>0</v>
      </c>
      <c r="L2796">
        <v>2004</v>
      </c>
      <c r="M2796">
        <v>407747565</v>
      </c>
      <c r="N2796">
        <v>3927157866</v>
      </c>
      <c r="O2796" t="b">
        <v>1</v>
      </c>
      <c r="P2796">
        <v>1</v>
      </c>
      <c r="Q2796" t="str" cm="1">
        <f t="array" ref="Q2796">_xlfn.IFS(Table1[[#This Row],[Wealthier_Winner]]=-1,"Wealthier Nation Loses",Table1[[#This Row],[Wealthier_Winner]]=0,"Tie",Table1[[#This Row],[Wealthier_Winner]]=1,"Wealthier Nation Wins")</f>
        <v>Wealthier Nation Wins</v>
      </c>
    </row>
    <row r="2797" spans="1:17" x14ac:dyDescent="0.2">
      <c r="A2797" s="1">
        <v>4498</v>
      </c>
      <c r="B2797" s="2">
        <v>38139</v>
      </c>
      <c r="C2797" s="7">
        <f>_xlfn.FLOOR.MATH(Table1[[#This Row],[year]],10)</f>
        <v>2000</v>
      </c>
      <c r="D2797" t="s">
        <v>47</v>
      </c>
      <c r="E2797" t="s">
        <v>35</v>
      </c>
      <c r="F2797">
        <v>2</v>
      </c>
      <c r="G2797">
        <v>1</v>
      </c>
      <c r="H2797" t="s">
        <v>224</v>
      </c>
      <c r="I2797" t="s">
        <v>246</v>
      </c>
      <c r="J2797" t="s">
        <v>47</v>
      </c>
      <c r="K2797" t="b">
        <v>0</v>
      </c>
      <c r="L2797">
        <v>2004</v>
      </c>
      <c r="M2797">
        <v>8773451751</v>
      </c>
      <c r="N2797">
        <v>9624440836</v>
      </c>
      <c r="O2797" t="b">
        <v>0</v>
      </c>
      <c r="P2797">
        <v>-1</v>
      </c>
      <c r="Q2797" t="str" cm="1">
        <f t="array" ref="Q2797">_xlfn.IFS(Table1[[#This Row],[Wealthier_Winner]]=-1,"Wealthier Nation Loses",Table1[[#This Row],[Wealthier_Winner]]=0,"Tie",Table1[[#This Row],[Wealthier_Winner]]=1,"Wealthier Nation Wins")</f>
        <v>Wealthier Nation Loses</v>
      </c>
    </row>
    <row r="2798" spans="1:17" x14ac:dyDescent="0.2">
      <c r="A2798" s="1">
        <v>4499</v>
      </c>
      <c r="B2798" s="2">
        <v>38139</v>
      </c>
      <c r="C2798" s="7">
        <f>_xlfn.FLOOR.MATH(Table1[[#This Row],[year]],10)</f>
        <v>2000</v>
      </c>
      <c r="D2798" t="s">
        <v>26</v>
      </c>
      <c r="E2798" t="s">
        <v>31</v>
      </c>
      <c r="F2798">
        <v>1</v>
      </c>
      <c r="G2798">
        <v>3</v>
      </c>
      <c r="H2798" t="s">
        <v>224</v>
      </c>
      <c r="I2798" t="s">
        <v>247</v>
      </c>
      <c r="J2798" t="s">
        <v>26</v>
      </c>
      <c r="K2798" t="b">
        <v>0</v>
      </c>
      <c r="L2798">
        <v>2004</v>
      </c>
      <c r="M2798">
        <v>13686329890</v>
      </c>
      <c r="N2798">
        <v>66768703497</v>
      </c>
      <c r="O2798" t="b">
        <v>1</v>
      </c>
      <c r="P2798">
        <v>1</v>
      </c>
      <c r="Q2798" t="str" cm="1">
        <f t="array" ref="Q2798">_xlfn.IFS(Table1[[#This Row],[Wealthier_Winner]]=-1,"Wealthier Nation Loses",Table1[[#This Row],[Wealthier_Winner]]=0,"Tie",Table1[[#This Row],[Wealthier_Winner]]=1,"Wealthier Nation Wins")</f>
        <v>Wealthier Nation Wins</v>
      </c>
    </row>
    <row r="2799" spans="1:17" x14ac:dyDescent="0.2">
      <c r="A2799" s="1">
        <v>4500</v>
      </c>
      <c r="B2799" s="2">
        <v>38139</v>
      </c>
      <c r="C2799" s="7">
        <f>_xlfn.FLOOR.MATH(Table1[[#This Row],[year]],10)</f>
        <v>2000</v>
      </c>
      <c r="D2799" t="s">
        <v>258</v>
      </c>
      <c r="E2799" t="s">
        <v>14</v>
      </c>
      <c r="F2799">
        <v>0</v>
      </c>
      <c r="G2799">
        <v>1</v>
      </c>
      <c r="H2799" t="s">
        <v>224</v>
      </c>
      <c r="I2799" t="s">
        <v>416</v>
      </c>
      <c r="J2799" t="s">
        <v>258</v>
      </c>
      <c r="K2799" t="b">
        <v>0</v>
      </c>
      <c r="L2799">
        <v>2004</v>
      </c>
      <c r="M2799">
        <v>112451400424</v>
      </c>
      <c r="N2799">
        <v>99075985773</v>
      </c>
      <c r="O2799" t="b">
        <v>0</v>
      </c>
      <c r="P2799">
        <v>-1</v>
      </c>
      <c r="Q2799" t="str" cm="1">
        <f t="array" ref="Q2799">_xlfn.IFS(Table1[[#This Row],[Wealthier_Winner]]=-1,"Wealthier Nation Loses",Table1[[#This Row],[Wealthier_Winner]]=0,"Tie",Table1[[#This Row],[Wealthier_Winner]]=1,"Wealthier Nation Wins")</f>
        <v>Wealthier Nation Loses</v>
      </c>
    </row>
    <row r="2800" spans="1:17" x14ac:dyDescent="0.2">
      <c r="A2800" s="1">
        <v>4501</v>
      </c>
      <c r="B2800" s="2">
        <v>38140</v>
      </c>
      <c r="C2800" s="7">
        <f>_xlfn.FLOOR.MATH(Table1[[#This Row],[year]],10)</f>
        <v>2000</v>
      </c>
      <c r="D2800" t="s">
        <v>13</v>
      </c>
      <c r="E2800" t="s">
        <v>19</v>
      </c>
      <c r="F2800">
        <v>3</v>
      </c>
      <c r="G2800">
        <v>1</v>
      </c>
      <c r="H2800" t="s">
        <v>224</v>
      </c>
      <c r="I2800" t="s">
        <v>171</v>
      </c>
      <c r="J2800" t="s">
        <v>13</v>
      </c>
      <c r="K2800" t="b">
        <v>0</v>
      </c>
      <c r="L2800">
        <v>2004</v>
      </c>
      <c r="M2800">
        <v>669289321944</v>
      </c>
      <c r="N2800">
        <v>164657930452</v>
      </c>
      <c r="O2800" t="b">
        <v>1</v>
      </c>
      <c r="P2800">
        <v>1</v>
      </c>
      <c r="Q2800" t="str" cm="1">
        <f t="array" ref="Q2800">_xlfn.IFS(Table1[[#This Row],[Wealthier_Winner]]=-1,"Wealthier Nation Loses",Table1[[#This Row],[Wealthier_Winner]]=0,"Tie",Table1[[#This Row],[Wealthier_Winner]]=1,"Wealthier Nation Wins")</f>
        <v>Wealthier Nation Wins</v>
      </c>
    </row>
    <row r="2801" spans="1:17" x14ac:dyDescent="0.2">
      <c r="A2801" s="1">
        <v>4502</v>
      </c>
      <c r="B2801" s="2">
        <v>38140</v>
      </c>
      <c r="C2801" s="7">
        <f>_xlfn.FLOOR.MATH(Table1[[#This Row],[year]],10)</f>
        <v>2000</v>
      </c>
      <c r="D2801" t="s">
        <v>57</v>
      </c>
      <c r="E2801" t="s">
        <v>15</v>
      </c>
      <c r="F2801">
        <v>2</v>
      </c>
      <c r="G2801">
        <v>1</v>
      </c>
      <c r="H2801" t="s">
        <v>224</v>
      </c>
      <c r="I2801" t="s">
        <v>335</v>
      </c>
      <c r="J2801" t="s">
        <v>57</v>
      </c>
      <c r="K2801" t="b">
        <v>0</v>
      </c>
      <c r="L2801">
        <v>2004</v>
      </c>
      <c r="M2801">
        <v>35194947000</v>
      </c>
      <c r="N2801">
        <v>117092416666</v>
      </c>
      <c r="O2801" t="b">
        <v>1</v>
      </c>
      <c r="P2801">
        <v>-1</v>
      </c>
      <c r="Q2801" t="str" cm="1">
        <f t="array" ref="Q2801">_xlfn.IFS(Table1[[#This Row],[Wealthier_Winner]]=-1,"Wealthier Nation Loses",Table1[[#This Row],[Wealthier_Winner]]=0,"Tie",Table1[[#This Row],[Wealthier_Winner]]=1,"Wealthier Nation Wins")</f>
        <v>Wealthier Nation Loses</v>
      </c>
    </row>
    <row r="2802" spans="1:17" x14ac:dyDescent="0.2">
      <c r="A2802" s="1">
        <v>4503</v>
      </c>
      <c r="B2802" s="2">
        <v>38143</v>
      </c>
      <c r="C2802" s="7">
        <f>_xlfn.FLOOR.MATH(Table1[[#This Row],[year]],10)</f>
        <v>2000</v>
      </c>
      <c r="D2802" t="s">
        <v>32</v>
      </c>
      <c r="E2802" t="s">
        <v>60</v>
      </c>
      <c r="F2802">
        <v>0</v>
      </c>
      <c r="G2802">
        <v>0</v>
      </c>
      <c r="H2802" t="s">
        <v>224</v>
      </c>
      <c r="I2802" t="s">
        <v>428</v>
      </c>
      <c r="J2802" t="s">
        <v>32</v>
      </c>
      <c r="K2802" t="b">
        <v>0</v>
      </c>
      <c r="L2802">
        <v>2004</v>
      </c>
      <c r="M2802">
        <v>91913680985</v>
      </c>
      <c r="N2802">
        <v>26997977896</v>
      </c>
      <c r="O2802" t="b">
        <v>1</v>
      </c>
      <c r="P2802">
        <v>0</v>
      </c>
      <c r="Q2802" t="str" cm="1">
        <f t="array" ref="Q2802">_xlfn.IFS(Table1[[#This Row],[Wealthier_Winner]]=-1,"Wealthier Nation Loses",Table1[[#This Row],[Wealthier_Winner]]=0,"Tie",Table1[[#This Row],[Wealthier_Winner]]=1,"Wealthier Nation Wins")</f>
        <v>Tie</v>
      </c>
    </row>
    <row r="2803" spans="1:17" x14ac:dyDescent="0.2">
      <c r="A2803" s="1">
        <v>4504</v>
      </c>
      <c r="B2803" s="2">
        <v>38143</v>
      </c>
      <c r="C2803" s="7">
        <f>_xlfn.FLOOR.MATH(Table1[[#This Row],[year]],10)</f>
        <v>2000</v>
      </c>
      <c r="D2803" t="s">
        <v>345</v>
      </c>
      <c r="E2803" t="s">
        <v>63</v>
      </c>
      <c r="F2803">
        <v>1</v>
      </c>
      <c r="G2803">
        <v>0</v>
      </c>
      <c r="H2803" t="s">
        <v>224</v>
      </c>
      <c r="I2803" t="s">
        <v>347</v>
      </c>
      <c r="J2803" t="s">
        <v>345</v>
      </c>
      <c r="K2803" t="b">
        <v>0</v>
      </c>
      <c r="L2803">
        <v>2004</v>
      </c>
      <c r="M2803">
        <v>5451688537</v>
      </c>
      <c r="N2803">
        <v>8881417906</v>
      </c>
      <c r="O2803" t="b">
        <v>0</v>
      </c>
      <c r="P2803">
        <v>-1</v>
      </c>
      <c r="Q2803" t="str" cm="1">
        <f t="array" ref="Q2803">_xlfn.IFS(Table1[[#This Row],[Wealthier_Winner]]=-1,"Wealthier Nation Loses",Table1[[#This Row],[Wealthier_Winner]]=0,"Tie",Table1[[#This Row],[Wealthier_Winner]]=1,"Wealthier Nation Wins")</f>
        <v>Wealthier Nation Loses</v>
      </c>
    </row>
    <row r="2804" spans="1:17" x14ac:dyDescent="0.2">
      <c r="A2804" s="1">
        <v>4505</v>
      </c>
      <c r="B2804" s="2">
        <v>38143</v>
      </c>
      <c r="C2804" s="7">
        <f>_xlfn.FLOOR.MATH(Table1[[#This Row],[year]],10)</f>
        <v>2000</v>
      </c>
      <c r="D2804" t="s">
        <v>57</v>
      </c>
      <c r="E2804" t="s">
        <v>47</v>
      </c>
      <c r="F2804">
        <v>3</v>
      </c>
      <c r="G2804">
        <v>2</v>
      </c>
      <c r="H2804" t="s">
        <v>224</v>
      </c>
      <c r="I2804" t="s">
        <v>335</v>
      </c>
      <c r="J2804" t="s">
        <v>57</v>
      </c>
      <c r="K2804" t="b">
        <v>0</v>
      </c>
      <c r="L2804">
        <v>2004</v>
      </c>
      <c r="M2804">
        <v>35194947000</v>
      </c>
      <c r="N2804">
        <v>8773451751</v>
      </c>
      <c r="O2804" t="b">
        <v>1</v>
      </c>
      <c r="P2804">
        <v>1</v>
      </c>
      <c r="Q2804" t="str" cm="1">
        <f t="array" ref="Q2804">_xlfn.IFS(Table1[[#This Row],[Wealthier_Winner]]=-1,"Wealthier Nation Loses",Table1[[#This Row],[Wealthier_Winner]]=0,"Tie",Table1[[#This Row],[Wealthier_Winner]]=1,"Wealthier Nation Wins")</f>
        <v>Wealthier Nation Wins</v>
      </c>
    </row>
    <row r="2805" spans="1:17" x14ac:dyDescent="0.2">
      <c r="A2805" s="1">
        <v>4506</v>
      </c>
      <c r="B2805" s="2">
        <v>38143</v>
      </c>
      <c r="C2805" s="7">
        <f>_xlfn.FLOOR.MATH(Table1[[#This Row],[year]],10)</f>
        <v>2000</v>
      </c>
      <c r="D2805" t="s">
        <v>433</v>
      </c>
      <c r="E2805" t="s">
        <v>298</v>
      </c>
      <c r="F2805">
        <v>1</v>
      </c>
      <c r="G2805">
        <v>1</v>
      </c>
      <c r="H2805" t="s">
        <v>224</v>
      </c>
      <c r="I2805" t="s">
        <v>436</v>
      </c>
      <c r="J2805" t="s">
        <v>433</v>
      </c>
      <c r="K2805" t="b">
        <v>0</v>
      </c>
      <c r="L2805">
        <v>2004</v>
      </c>
      <c r="M2805">
        <v>7770219008</v>
      </c>
      <c r="N2805">
        <v>5808500000</v>
      </c>
      <c r="O2805" t="b">
        <v>0</v>
      </c>
      <c r="P2805">
        <v>0</v>
      </c>
      <c r="Q2805" t="str" cm="1">
        <f t="array" ref="Q2805">_xlfn.IFS(Table1[[#This Row],[Wealthier_Winner]]=-1,"Wealthier Nation Loses",Table1[[#This Row],[Wealthier_Winner]]=0,"Tie",Table1[[#This Row],[Wealthier_Winner]]=1,"Wealthier Nation Wins")</f>
        <v>Tie</v>
      </c>
    </row>
    <row r="2806" spans="1:17" x14ac:dyDescent="0.2">
      <c r="A2806" s="1">
        <v>4507</v>
      </c>
      <c r="B2806" s="2">
        <v>38143</v>
      </c>
      <c r="C2806" s="7">
        <f>_xlfn.FLOOR.MATH(Table1[[#This Row],[year]],10)</f>
        <v>2000</v>
      </c>
      <c r="D2806" t="s">
        <v>370</v>
      </c>
      <c r="E2806" t="s">
        <v>24</v>
      </c>
      <c r="F2806">
        <v>1</v>
      </c>
      <c r="G2806">
        <v>1</v>
      </c>
      <c r="H2806" t="s">
        <v>224</v>
      </c>
      <c r="I2806" t="s">
        <v>372</v>
      </c>
      <c r="J2806" t="s">
        <v>370</v>
      </c>
      <c r="K2806" t="b">
        <v>0</v>
      </c>
      <c r="L2806">
        <v>2004</v>
      </c>
      <c r="M2806">
        <v>5058726350</v>
      </c>
      <c r="N2806">
        <v>66114145451</v>
      </c>
      <c r="O2806" t="b">
        <v>1</v>
      </c>
      <c r="P2806">
        <v>0</v>
      </c>
      <c r="Q2806" t="str" cm="1">
        <f t="array" ref="Q2806">_xlfn.IFS(Table1[[#This Row],[Wealthier_Winner]]=-1,"Wealthier Nation Loses",Table1[[#This Row],[Wealthier_Winner]]=0,"Tie",Table1[[#This Row],[Wealthier_Winner]]=1,"Wealthier Nation Wins")</f>
        <v>Tie</v>
      </c>
    </row>
    <row r="2807" spans="1:17" x14ac:dyDescent="0.2">
      <c r="A2807" s="1">
        <v>4508</v>
      </c>
      <c r="B2807" s="2">
        <v>38143</v>
      </c>
      <c r="C2807" s="7">
        <f>_xlfn.FLOOR.MATH(Table1[[#This Row],[year]],10)</f>
        <v>2000</v>
      </c>
      <c r="D2807" t="s">
        <v>43</v>
      </c>
      <c r="E2807" t="s">
        <v>514</v>
      </c>
      <c r="F2807">
        <v>2</v>
      </c>
      <c r="G2807">
        <v>0</v>
      </c>
      <c r="H2807" t="s">
        <v>224</v>
      </c>
      <c r="I2807" t="s">
        <v>657</v>
      </c>
      <c r="J2807" t="s">
        <v>43</v>
      </c>
      <c r="K2807" t="b">
        <v>0</v>
      </c>
      <c r="L2807">
        <v>2004</v>
      </c>
      <c r="M2807">
        <v>135764731645</v>
      </c>
      <c r="N2807">
        <v>2376496067</v>
      </c>
      <c r="O2807" t="b">
        <v>1</v>
      </c>
      <c r="P2807">
        <v>1</v>
      </c>
      <c r="Q2807" t="str" cm="1">
        <f t="array" ref="Q2807">_xlfn.IFS(Table1[[#This Row],[Wealthier_Winner]]=-1,"Wealthier Nation Loses",Table1[[#This Row],[Wealthier_Winner]]=0,"Tie",Table1[[#This Row],[Wealthier_Winner]]=1,"Wealthier Nation Wins")</f>
        <v>Wealthier Nation Wins</v>
      </c>
    </row>
    <row r="2808" spans="1:17" x14ac:dyDescent="0.2">
      <c r="A2808" s="1">
        <v>4511</v>
      </c>
      <c r="B2808" s="2">
        <v>38143</v>
      </c>
      <c r="C2808" s="7">
        <f>_xlfn.FLOOR.MATH(Table1[[#This Row],[year]],10)</f>
        <v>2000</v>
      </c>
      <c r="D2808" t="s">
        <v>53</v>
      </c>
      <c r="E2808" t="s">
        <v>469</v>
      </c>
      <c r="F2808">
        <v>4</v>
      </c>
      <c r="G2808">
        <v>1</v>
      </c>
      <c r="H2808" t="s">
        <v>224</v>
      </c>
      <c r="I2808" t="s">
        <v>658</v>
      </c>
      <c r="J2808" t="s">
        <v>53</v>
      </c>
      <c r="K2808" t="b">
        <v>0</v>
      </c>
      <c r="L2808">
        <v>2004</v>
      </c>
      <c r="M2808">
        <v>31183885241</v>
      </c>
      <c r="N2808">
        <v>8957467706</v>
      </c>
      <c r="O2808" t="b">
        <v>1</v>
      </c>
      <c r="P2808">
        <v>1</v>
      </c>
      <c r="Q2808" t="str" cm="1">
        <f t="array" ref="Q2808">_xlfn.IFS(Table1[[#This Row],[Wealthier_Winner]]=-1,"Wealthier Nation Loses",Table1[[#This Row],[Wealthier_Winner]]=0,"Tie",Table1[[#This Row],[Wealthier_Winner]]=1,"Wealthier Nation Wins")</f>
        <v>Wealthier Nation Wins</v>
      </c>
    </row>
    <row r="2809" spans="1:17" x14ac:dyDescent="0.2">
      <c r="A2809" s="1">
        <v>4512</v>
      </c>
      <c r="B2809" s="2">
        <v>38143</v>
      </c>
      <c r="C2809" s="7">
        <f>_xlfn.FLOOR.MATH(Table1[[#This Row],[year]],10)</f>
        <v>2000</v>
      </c>
      <c r="D2809" t="s">
        <v>273</v>
      </c>
      <c r="E2809" t="s">
        <v>62</v>
      </c>
      <c r="F2809">
        <v>1</v>
      </c>
      <c r="G2809">
        <v>0</v>
      </c>
      <c r="H2809" t="s">
        <v>224</v>
      </c>
      <c r="I2809" t="s">
        <v>330</v>
      </c>
      <c r="J2809" t="s">
        <v>273</v>
      </c>
      <c r="K2809" t="b">
        <v>0</v>
      </c>
      <c r="L2809">
        <v>2004</v>
      </c>
      <c r="M2809">
        <v>6221110219</v>
      </c>
      <c r="N2809">
        <v>3191561508</v>
      </c>
      <c r="O2809" t="b">
        <v>0</v>
      </c>
      <c r="P2809">
        <v>1</v>
      </c>
      <c r="Q2809" t="str" cm="1">
        <f t="array" ref="Q2809">_xlfn.IFS(Table1[[#This Row],[Wealthier_Winner]]=-1,"Wealthier Nation Loses",Table1[[#This Row],[Wealthier_Winner]]=0,"Tie",Table1[[#This Row],[Wealthier_Winner]]=1,"Wealthier Nation Wins")</f>
        <v>Wealthier Nation Wins</v>
      </c>
    </row>
    <row r="2810" spans="1:17" x14ac:dyDescent="0.2">
      <c r="A2810" s="1">
        <v>4513</v>
      </c>
      <c r="B2810" s="2">
        <v>38144</v>
      </c>
      <c r="C2810" s="7">
        <f>_xlfn.FLOOR.MATH(Table1[[#This Row],[year]],10)</f>
        <v>2000</v>
      </c>
      <c r="D2810" t="s">
        <v>19</v>
      </c>
      <c r="E2810" t="s">
        <v>35</v>
      </c>
      <c r="F2810">
        <v>0</v>
      </c>
      <c r="G2810">
        <v>0</v>
      </c>
      <c r="H2810" t="s">
        <v>224</v>
      </c>
      <c r="I2810" t="s">
        <v>93</v>
      </c>
      <c r="J2810" t="s">
        <v>19</v>
      </c>
      <c r="K2810" t="b">
        <v>0</v>
      </c>
      <c r="L2810">
        <v>2004</v>
      </c>
      <c r="M2810">
        <v>164657930452</v>
      </c>
      <c r="N2810">
        <v>9624440836</v>
      </c>
      <c r="O2810" t="b">
        <v>1</v>
      </c>
      <c r="P2810">
        <v>0</v>
      </c>
      <c r="Q2810" t="str" cm="1">
        <f t="array" ref="Q2810">_xlfn.IFS(Table1[[#This Row],[Wealthier_Winner]]=-1,"Wealthier Nation Loses",Table1[[#This Row],[Wealthier_Winner]]=0,"Tie",Table1[[#This Row],[Wealthier_Winner]]=1,"Wealthier Nation Wins")</f>
        <v>Tie</v>
      </c>
    </row>
    <row r="2811" spans="1:17" x14ac:dyDescent="0.2">
      <c r="A2811" s="1">
        <v>4514</v>
      </c>
      <c r="B2811" s="2">
        <v>38144</v>
      </c>
      <c r="C2811" s="7">
        <f>_xlfn.FLOOR.MATH(Table1[[#This Row],[year]],10)</f>
        <v>2000</v>
      </c>
      <c r="D2811" t="s">
        <v>40</v>
      </c>
      <c r="E2811" t="s">
        <v>310</v>
      </c>
      <c r="F2811">
        <v>2</v>
      </c>
      <c r="G2811">
        <v>1</v>
      </c>
      <c r="H2811" t="s">
        <v>224</v>
      </c>
      <c r="I2811" t="s">
        <v>371</v>
      </c>
      <c r="J2811" t="s">
        <v>40</v>
      </c>
      <c r="K2811" t="b">
        <v>0</v>
      </c>
      <c r="L2811">
        <v>2004</v>
      </c>
      <c r="M2811">
        <v>18826214135</v>
      </c>
      <c r="N2811">
        <v>6190270380</v>
      </c>
      <c r="O2811" t="b">
        <v>1</v>
      </c>
      <c r="P2811">
        <v>1</v>
      </c>
      <c r="Q2811" t="str" cm="1">
        <f t="array" ref="Q2811">_xlfn.IFS(Table1[[#This Row],[Wealthier_Winner]]=-1,"Wealthier Nation Loses",Table1[[#This Row],[Wealthier_Winner]]=0,"Tie",Table1[[#This Row],[Wealthier_Winner]]=1,"Wealthier Nation Wins")</f>
        <v>Wealthier Nation Wins</v>
      </c>
    </row>
    <row r="2812" spans="1:17" x14ac:dyDescent="0.2">
      <c r="A2812" s="1">
        <v>4515</v>
      </c>
      <c r="B2812" s="2">
        <v>38144</v>
      </c>
      <c r="C2812" s="7">
        <f>_xlfn.FLOOR.MATH(Table1[[#This Row],[year]],10)</f>
        <v>2000</v>
      </c>
      <c r="D2812" t="s">
        <v>14</v>
      </c>
      <c r="E2812" t="s">
        <v>13</v>
      </c>
      <c r="F2812">
        <v>1</v>
      </c>
      <c r="G2812">
        <v>1</v>
      </c>
      <c r="H2812" t="s">
        <v>224</v>
      </c>
      <c r="I2812" t="s">
        <v>75</v>
      </c>
      <c r="J2812" t="s">
        <v>14</v>
      </c>
      <c r="K2812" t="b">
        <v>0</v>
      </c>
      <c r="L2812">
        <v>2004</v>
      </c>
      <c r="M2812">
        <v>99075985773</v>
      </c>
      <c r="N2812">
        <v>669289321944</v>
      </c>
      <c r="O2812" t="b">
        <v>1</v>
      </c>
      <c r="P2812">
        <v>0</v>
      </c>
      <c r="Q2812" t="str" cm="1">
        <f t="array" ref="Q2812">_xlfn.IFS(Table1[[#This Row],[Wealthier_Winner]]=-1,"Wealthier Nation Loses",Table1[[#This Row],[Wealthier_Winner]]=0,"Tie",Table1[[#This Row],[Wealthier_Winner]]=1,"Wealthier Nation Wins")</f>
        <v>Tie</v>
      </c>
    </row>
    <row r="2813" spans="1:17" x14ac:dyDescent="0.2">
      <c r="A2813" s="1">
        <v>4516</v>
      </c>
      <c r="B2813" s="2">
        <v>38144</v>
      </c>
      <c r="C2813" s="7">
        <f>_xlfn.FLOOR.MATH(Table1[[#This Row],[year]],10)</f>
        <v>2000</v>
      </c>
      <c r="D2813" t="s">
        <v>15</v>
      </c>
      <c r="E2813" t="s">
        <v>26</v>
      </c>
      <c r="F2813">
        <v>5</v>
      </c>
      <c r="G2813">
        <v>0</v>
      </c>
      <c r="H2813" t="s">
        <v>224</v>
      </c>
      <c r="I2813" t="s">
        <v>261</v>
      </c>
      <c r="J2813" t="s">
        <v>15</v>
      </c>
      <c r="K2813" t="b">
        <v>0</v>
      </c>
      <c r="L2813">
        <v>2004</v>
      </c>
      <c r="M2813">
        <v>117092416666</v>
      </c>
      <c r="N2813">
        <v>13686329890</v>
      </c>
      <c r="O2813" t="b">
        <v>1</v>
      </c>
      <c r="P2813">
        <v>1</v>
      </c>
      <c r="Q2813" t="str" cm="1">
        <f t="array" ref="Q2813">_xlfn.IFS(Table1[[#This Row],[Wealthier_Winner]]=-1,"Wealthier Nation Loses",Table1[[#This Row],[Wealthier_Winner]]=0,"Tie",Table1[[#This Row],[Wealthier_Winner]]=1,"Wealthier Nation Wins")</f>
        <v>Wealthier Nation Wins</v>
      </c>
    </row>
    <row r="2814" spans="1:17" x14ac:dyDescent="0.2">
      <c r="A2814" s="1">
        <v>4518</v>
      </c>
      <c r="B2814" s="2">
        <v>38144</v>
      </c>
      <c r="C2814" s="7">
        <f>_xlfn.FLOOR.MATH(Table1[[#This Row],[year]],10)</f>
        <v>2000</v>
      </c>
      <c r="D2814" t="s">
        <v>378</v>
      </c>
      <c r="E2814" t="s">
        <v>590</v>
      </c>
      <c r="F2814">
        <v>1</v>
      </c>
      <c r="G2814">
        <v>0</v>
      </c>
      <c r="H2814" t="s">
        <v>224</v>
      </c>
      <c r="I2814" t="s">
        <v>595</v>
      </c>
      <c r="J2814" t="s">
        <v>378</v>
      </c>
      <c r="K2814" t="b">
        <v>0</v>
      </c>
      <c r="L2814">
        <v>2004</v>
      </c>
      <c r="M2814">
        <v>897000000</v>
      </c>
      <c r="N2814">
        <v>6485774930</v>
      </c>
      <c r="O2814" t="b">
        <v>1</v>
      </c>
      <c r="P2814">
        <v>-1</v>
      </c>
      <c r="Q2814" t="str" cm="1">
        <f t="array" ref="Q2814">_xlfn.IFS(Table1[[#This Row],[Wealthier_Winner]]=-1,"Wealthier Nation Loses",Table1[[#This Row],[Wealthier_Winner]]=0,"Tie",Table1[[#This Row],[Wealthier_Winner]]=1,"Wealthier Nation Wins")</f>
        <v>Wealthier Nation Loses</v>
      </c>
    </row>
    <row r="2815" spans="1:17" x14ac:dyDescent="0.2">
      <c r="A2815" s="1">
        <v>4519</v>
      </c>
      <c r="B2815" s="2">
        <v>38144</v>
      </c>
      <c r="C2815" s="7">
        <f>_xlfn.FLOOR.MATH(Table1[[#This Row],[year]],10)</f>
        <v>2000</v>
      </c>
      <c r="D2815" t="s">
        <v>31</v>
      </c>
      <c r="E2815" t="s">
        <v>258</v>
      </c>
      <c r="F2815">
        <v>0</v>
      </c>
      <c r="G2815">
        <v>0</v>
      </c>
      <c r="H2815" t="s">
        <v>224</v>
      </c>
      <c r="I2815" t="s">
        <v>242</v>
      </c>
      <c r="J2815" t="s">
        <v>31</v>
      </c>
      <c r="K2815" t="b">
        <v>0</v>
      </c>
      <c r="L2815">
        <v>2004</v>
      </c>
      <c r="M2815">
        <v>66768703497</v>
      </c>
      <c r="N2815">
        <v>112451400424</v>
      </c>
      <c r="O2815" t="b">
        <v>0</v>
      </c>
      <c r="P2815">
        <v>0</v>
      </c>
      <c r="Q2815" t="str" cm="1">
        <f t="array" ref="Q2815">_xlfn.IFS(Table1[[#This Row],[Wealthier_Winner]]=-1,"Wealthier Nation Loses",Table1[[#This Row],[Wealthier_Winner]]=0,"Tie",Table1[[#This Row],[Wealthier_Winner]]=1,"Wealthier Nation Wins")</f>
        <v>Tie</v>
      </c>
    </row>
    <row r="2816" spans="1:17" x14ac:dyDescent="0.2">
      <c r="A2816" s="1">
        <v>4520</v>
      </c>
      <c r="B2816" s="2">
        <v>38144</v>
      </c>
      <c r="C2816" s="7">
        <f>_xlfn.FLOOR.MATH(Table1[[#This Row],[year]],10)</f>
        <v>2000</v>
      </c>
      <c r="D2816" t="s">
        <v>274</v>
      </c>
      <c r="E2816" t="s">
        <v>212</v>
      </c>
      <c r="F2816">
        <v>0</v>
      </c>
      <c r="G2816">
        <v>3</v>
      </c>
      <c r="H2816" t="s">
        <v>224</v>
      </c>
      <c r="I2816" t="s">
        <v>278</v>
      </c>
      <c r="J2816" t="s">
        <v>274</v>
      </c>
      <c r="K2816" t="b">
        <v>0</v>
      </c>
      <c r="L2816">
        <v>2004</v>
      </c>
      <c r="M2816">
        <v>26646007250</v>
      </c>
      <c r="N2816">
        <v>78782467532</v>
      </c>
      <c r="O2816" t="b">
        <v>1</v>
      </c>
      <c r="P2816">
        <v>1</v>
      </c>
      <c r="Q2816" t="str" cm="1">
        <f t="array" ref="Q2816">_xlfn.IFS(Table1[[#This Row],[Wealthier_Winner]]=-1,"Wealthier Nation Loses",Table1[[#This Row],[Wealthier_Winner]]=0,"Tie",Table1[[#This Row],[Wealthier_Winner]]=1,"Wealthier Nation Wins")</f>
        <v>Wealthier Nation Wins</v>
      </c>
    </row>
    <row r="2817" spans="1:17" x14ac:dyDescent="0.2">
      <c r="A2817" s="1">
        <v>4524</v>
      </c>
      <c r="B2817" s="2">
        <v>38147</v>
      </c>
      <c r="C2817" s="7">
        <f>_xlfn.FLOOR.MATH(Table1[[#This Row],[year]],10)</f>
        <v>2000</v>
      </c>
      <c r="D2817" t="s">
        <v>328</v>
      </c>
      <c r="E2817" t="s">
        <v>473</v>
      </c>
      <c r="F2817">
        <v>1</v>
      </c>
      <c r="G2817">
        <v>0</v>
      </c>
      <c r="H2817" t="s">
        <v>224</v>
      </c>
      <c r="I2817" t="s">
        <v>386</v>
      </c>
      <c r="J2817" t="s">
        <v>328</v>
      </c>
      <c r="K2817" t="b">
        <v>0</v>
      </c>
      <c r="L2817">
        <v>2004</v>
      </c>
      <c r="M2817">
        <v>256836875295</v>
      </c>
      <c r="N2817">
        <v>20662525941</v>
      </c>
      <c r="O2817" t="b">
        <v>1</v>
      </c>
      <c r="P2817">
        <v>1</v>
      </c>
      <c r="Q2817" t="str" cm="1">
        <f t="array" ref="Q2817">_xlfn.IFS(Table1[[#This Row],[Wealthier_Winner]]=-1,"Wealthier Nation Loses",Table1[[#This Row],[Wealthier_Winner]]=0,"Tie",Table1[[#This Row],[Wealthier_Winner]]=1,"Wealthier Nation Wins")</f>
        <v>Wealthier Nation Wins</v>
      </c>
    </row>
    <row r="2818" spans="1:17" x14ac:dyDescent="0.2">
      <c r="A2818" s="1">
        <v>4525</v>
      </c>
      <c r="B2818" s="2">
        <v>38147</v>
      </c>
      <c r="C2818" s="7">
        <f>_xlfn.FLOOR.MATH(Table1[[#This Row],[year]],10)</f>
        <v>2000</v>
      </c>
      <c r="D2818" t="s">
        <v>210</v>
      </c>
      <c r="E2818" t="s">
        <v>403</v>
      </c>
      <c r="F2818">
        <v>0</v>
      </c>
      <c r="G2818">
        <v>1</v>
      </c>
      <c r="H2818" t="s">
        <v>224</v>
      </c>
      <c r="I2818" t="s">
        <v>332</v>
      </c>
      <c r="J2818" t="s">
        <v>210</v>
      </c>
      <c r="K2818" t="b">
        <v>0</v>
      </c>
      <c r="L2818">
        <v>2004</v>
      </c>
      <c r="M2818">
        <v>187754571247</v>
      </c>
      <c r="N2818">
        <v>11411706629</v>
      </c>
      <c r="O2818" t="b">
        <v>1</v>
      </c>
      <c r="P2818">
        <v>-1</v>
      </c>
      <c r="Q2818" t="str" cm="1">
        <f t="array" ref="Q2818">_xlfn.IFS(Table1[[#This Row],[Wealthier_Winner]]=-1,"Wealthier Nation Loses",Table1[[#This Row],[Wealthier_Winner]]=0,"Tie",Table1[[#This Row],[Wealthier_Winner]]=1,"Wealthier Nation Wins")</f>
        <v>Wealthier Nation Loses</v>
      </c>
    </row>
    <row r="2819" spans="1:17" x14ac:dyDescent="0.2">
      <c r="A2819" s="1">
        <v>4527</v>
      </c>
      <c r="B2819" s="2">
        <v>38147</v>
      </c>
      <c r="C2819" s="7">
        <f>_xlfn.FLOOR.MATH(Table1[[#This Row],[year]],10)</f>
        <v>2000</v>
      </c>
      <c r="D2819" t="s">
        <v>51</v>
      </c>
      <c r="E2819" t="s">
        <v>406</v>
      </c>
      <c r="F2819">
        <v>7</v>
      </c>
      <c r="G2819">
        <v>0</v>
      </c>
      <c r="H2819" t="s">
        <v>224</v>
      </c>
      <c r="I2819" t="s">
        <v>143</v>
      </c>
      <c r="J2819" t="s">
        <v>51</v>
      </c>
      <c r="K2819" t="b">
        <v>0</v>
      </c>
      <c r="L2819">
        <v>2004</v>
      </c>
      <c r="M2819">
        <v>4893116005656</v>
      </c>
      <c r="N2819">
        <v>709152728830</v>
      </c>
      <c r="O2819" t="b">
        <v>1</v>
      </c>
      <c r="P2819">
        <v>1</v>
      </c>
      <c r="Q2819" t="str" cm="1">
        <f t="array" ref="Q2819">_xlfn.IFS(Table1[[#This Row],[Wealthier_Winner]]=-1,"Wealthier Nation Loses",Table1[[#This Row],[Wealthier_Winner]]=0,"Tie",Table1[[#This Row],[Wealthier_Winner]]=1,"Wealthier Nation Wins")</f>
        <v>Wealthier Nation Wins</v>
      </c>
    </row>
    <row r="2820" spans="1:17" x14ac:dyDescent="0.2">
      <c r="A2820" s="1">
        <v>4528</v>
      </c>
      <c r="B2820" s="2">
        <v>38147</v>
      </c>
      <c r="C2820" s="7">
        <f>_xlfn.FLOOR.MATH(Table1[[#This Row],[year]],10)</f>
        <v>2000</v>
      </c>
      <c r="D2820" t="s">
        <v>195</v>
      </c>
      <c r="E2820" t="s">
        <v>475</v>
      </c>
      <c r="F2820">
        <v>2</v>
      </c>
      <c r="G2820">
        <v>0</v>
      </c>
      <c r="H2820" t="s">
        <v>224</v>
      </c>
      <c r="I2820" t="s">
        <v>152</v>
      </c>
      <c r="J2820" t="s">
        <v>195</v>
      </c>
      <c r="K2820" t="b">
        <v>0</v>
      </c>
      <c r="L2820">
        <v>2004</v>
      </c>
      <c r="M2820">
        <v>823251107638</v>
      </c>
      <c r="N2820">
        <v>45427854693</v>
      </c>
      <c r="O2820" t="b">
        <v>1</v>
      </c>
      <c r="P2820">
        <v>1</v>
      </c>
      <c r="Q2820" t="str" cm="1">
        <f t="array" ref="Q2820">_xlfn.IFS(Table1[[#This Row],[Wealthier_Winner]]=-1,"Wealthier Nation Loses",Table1[[#This Row],[Wealthier_Winner]]=0,"Tie",Table1[[#This Row],[Wealthier_Winner]]=1,"Wealthier Nation Wins")</f>
        <v>Wealthier Nation Wins</v>
      </c>
    </row>
    <row r="2821" spans="1:17" x14ac:dyDescent="0.2">
      <c r="A2821" s="1">
        <v>4530</v>
      </c>
      <c r="B2821" s="2">
        <v>38147</v>
      </c>
      <c r="C2821" s="7">
        <f>_xlfn.FLOOR.MATH(Table1[[#This Row],[year]],10)</f>
        <v>2000</v>
      </c>
      <c r="D2821" t="s">
        <v>479</v>
      </c>
      <c r="E2821" t="s">
        <v>567</v>
      </c>
      <c r="F2821">
        <v>3</v>
      </c>
      <c r="G2821">
        <v>0</v>
      </c>
      <c r="H2821" t="s">
        <v>224</v>
      </c>
      <c r="I2821" t="s">
        <v>480</v>
      </c>
      <c r="J2821" t="s">
        <v>479</v>
      </c>
      <c r="K2821" t="b">
        <v>0</v>
      </c>
      <c r="L2821">
        <v>2004</v>
      </c>
      <c r="M2821">
        <v>21159827992</v>
      </c>
      <c r="N2821">
        <v>1226829562</v>
      </c>
      <c r="O2821" t="b">
        <v>1</v>
      </c>
      <c r="P2821">
        <v>1</v>
      </c>
      <c r="Q2821" t="str" cm="1">
        <f t="array" ref="Q2821">_xlfn.IFS(Table1[[#This Row],[Wealthier_Winner]]=-1,"Wealthier Nation Loses",Table1[[#This Row],[Wealthier_Winner]]=0,"Tie",Table1[[#This Row],[Wealthier_Winner]]=1,"Wealthier Nation Wins")</f>
        <v>Wealthier Nation Wins</v>
      </c>
    </row>
    <row r="2822" spans="1:17" x14ac:dyDescent="0.2">
      <c r="A2822" s="1">
        <v>4531</v>
      </c>
      <c r="B2822" s="2">
        <v>38147</v>
      </c>
      <c r="C2822" s="7">
        <f>_xlfn.FLOOR.MATH(Table1[[#This Row],[year]],10)</f>
        <v>2000</v>
      </c>
      <c r="D2822" t="s">
        <v>429</v>
      </c>
      <c r="E2822" t="s">
        <v>359</v>
      </c>
      <c r="F2822">
        <v>7</v>
      </c>
      <c r="G2822">
        <v>0</v>
      </c>
      <c r="H2822" t="s">
        <v>224</v>
      </c>
      <c r="I2822" t="s">
        <v>430</v>
      </c>
      <c r="J2822" t="s">
        <v>429</v>
      </c>
      <c r="K2822" t="b">
        <v>0</v>
      </c>
      <c r="L2822">
        <v>2004</v>
      </c>
      <c r="M2822">
        <v>28378933680</v>
      </c>
      <c r="N2822">
        <v>115033593101</v>
      </c>
      <c r="O2822" t="b">
        <v>1</v>
      </c>
      <c r="P2822">
        <v>-1</v>
      </c>
      <c r="Q2822" t="str" cm="1">
        <f t="array" ref="Q2822">_xlfn.IFS(Table1[[#This Row],[Wealthier_Winner]]=-1,"Wealthier Nation Loses",Table1[[#This Row],[Wealthier_Winner]]=0,"Tie",Table1[[#This Row],[Wealthier_Winner]]=1,"Wealthier Nation Wins")</f>
        <v>Wealthier Nation Loses</v>
      </c>
    </row>
    <row r="2823" spans="1:17" x14ac:dyDescent="0.2">
      <c r="A2823" s="1">
        <v>4533</v>
      </c>
      <c r="B2823" s="2">
        <v>38147</v>
      </c>
      <c r="C2823" s="7">
        <f>_xlfn.FLOOR.MATH(Table1[[#This Row],[year]],10)</f>
        <v>2000</v>
      </c>
      <c r="D2823" t="s">
        <v>45</v>
      </c>
      <c r="E2823" t="s">
        <v>560</v>
      </c>
      <c r="F2823">
        <v>3</v>
      </c>
      <c r="G2823">
        <v>0</v>
      </c>
      <c r="H2823" t="s">
        <v>224</v>
      </c>
      <c r="I2823" t="s">
        <v>356</v>
      </c>
      <c r="J2823" t="s">
        <v>45</v>
      </c>
      <c r="K2823" t="b">
        <v>0</v>
      </c>
      <c r="L2823">
        <v>2004</v>
      </c>
      <c r="M2823">
        <v>258742133333</v>
      </c>
      <c r="N2823">
        <v>6838351088</v>
      </c>
      <c r="O2823" t="b">
        <v>1</v>
      </c>
      <c r="P2823">
        <v>1</v>
      </c>
      <c r="Q2823" t="str" cm="1">
        <f t="array" ref="Q2823">_xlfn.IFS(Table1[[#This Row],[Wealthier_Winner]]=-1,"Wealthier Nation Loses",Table1[[#This Row],[Wealthier_Winner]]=0,"Tie",Table1[[#This Row],[Wealthier_Winner]]=1,"Wealthier Nation Wins")</f>
        <v>Wealthier Nation Wins</v>
      </c>
    </row>
    <row r="2824" spans="1:17" x14ac:dyDescent="0.2">
      <c r="A2824" s="1">
        <v>4537</v>
      </c>
      <c r="B2824" s="2">
        <v>38148</v>
      </c>
      <c r="C2824" s="7">
        <f>_xlfn.FLOOR.MATH(Table1[[#This Row],[year]],10)</f>
        <v>2000</v>
      </c>
      <c r="D2824" t="s">
        <v>331</v>
      </c>
      <c r="E2824" t="s">
        <v>556</v>
      </c>
      <c r="F2824">
        <v>2</v>
      </c>
      <c r="G2824">
        <v>1</v>
      </c>
      <c r="H2824" t="s">
        <v>224</v>
      </c>
      <c r="I2824" t="s">
        <v>659</v>
      </c>
      <c r="J2824" t="s">
        <v>331</v>
      </c>
      <c r="K2824" t="b">
        <v>0</v>
      </c>
      <c r="L2824">
        <v>2004</v>
      </c>
      <c r="M2824">
        <v>25086950495</v>
      </c>
      <c r="N2824">
        <v>2076176869</v>
      </c>
      <c r="O2824" t="b">
        <v>1</v>
      </c>
      <c r="P2824">
        <v>1</v>
      </c>
      <c r="Q2824" t="str" cm="1">
        <f t="array" ref="Q2824">_xlfn.IFS(Table1[[#This Row],[Wealthier_Winner]]=-1,"Wealthier Nation Loses",Table1[[#This Row],[Wealthier_Winner]]=0,"Tie",Table1[[#This Row],[Wealthier_Winner]]=1,"Wealthier Nation Wins")</f>
        <v>Wealthier Nation Wins</v>
      </c>
    </row>
    <row r="2825" spans="1:17" x14ac:dyDescent="0.2">
      <c r="A2825" s="1">
        <v>4538</v>
      </c>
      <c r="B2825" s="2">
        <v>38150</v>
      </c>
      <c r="C2825" s="7">
        <f>_xlfn.FLOOR.MATH(Table1[[#This Row],[year]],10)</f>
        <v>2000</v>
      </c>
      <c r="D2825" t="s">
        <v>517</v>
      </c>
      <c r="E2825" t="s">
        <v>56</v>
      </c>
      <c r="F2825">
        <v>2</v>
      </c>
      <c r="G2825">
        <v>2</v>
      </c>
      <c r="H2825" t="s">
        <v>224</v>
      </c>
      <c r="I2825" t="s">
        <v>580</v>
      </c>
      <c r="J2825" t="s">
        <v>517</v>
      </c>
      <c r="K2825" t="b">
        <v>0</v>
      </c>
      <c r="L2825">
        <v>2004</v>
      </c>
      <c r="M2825">
        <v>38203000000</v>
      </c>
      <c r="N2825">
        <v>18610594846</v>
      </c>
      <c r="O2825" t="b">
        <v>1</v>
      </c>
      <c r="P2825">
        <v>0</v>
      </c>
      <c r="Q2825" t="str" cm="1">
        <f t="array" ref="Q2825">_xlfn.IFS(Table1[[#This Row],[Wealthier_Winner]]=-1,"Wealthier Nation Loses",Table1[[#This Row],[Wealthier_Winner]]=0,"Tie",Table1[[#This Row],[Wealthier_Winner]]=1,"Wealthier Nation Wins")</f>
        <v>Tie</v>
      </c>
    </row>
    <row r="2826" spans="1:17" x14ac:dyDescent="0.2">
      <c r="A2826" s="1">
        <v>4540</v>
      </c>
      <c r="B2826" s="2">
        <v>38150</v>
      </c>
      <c r="C2826" s="7">
        <f>_xlfn.FLOOR.MATH(Table1[[#This Row],[year]],10)</f>
        <v>2000</v>
      </c>
      <c r="D2826" t="s">
        <v>70</v>
      </c>
      <c r="E2826" t="s">
        <v>49</v>
      </c>
      <c r="F2826">
        <v>1</v>
      </c>
      <c r="G2826">
        <v>1</v>
      </c>
      <c r="H2826" t="s">
        <v>224</v>
      </c>
      <c r="I2826" t="s">
        <v>609</v>
      </c>
      <c r="J2826" t="s">
        <v>41</v>
      </c>
      <c r="K2826" t="b">
        <v>1</v>
      </c>
      <c r="L2826">
        <v>2004</v>
      </c>
      <c r="M2826">
        <v>6087360684</v>
      </c>
      <c r="N2826">
        <v>10174664853</v>
      </c>
      <c r="O2826" t="b">
        <v>0</v>
      </c>
      <c r="P2826">
        <v>0</v>
      </c>
      <c r="Q2826" t="str" cm="1">
        <f t="array" ref="Q2826">_xlfn.IFS(Table1[[#This Row],[Wealthier_Winner]]=-1,"Wealthier Nation Loses",Table1[[#This Row],[Wealthier_Winner]]=0,"Tie",Table1[[#This Row],[Wealthier_Winner]]=1,"Wealthier Nation Wins")</f>
        <v>Tie</v>
      </c>
    </row>
    <row r="2827" spans="1:17" x14ac:dyDescent="0.2">
      <c r="A2827" s="1">
        <v>4541</v>
      </c>
      <c r="B2827" s="2">
        <v>38150</v>
      </c>
      <c r="C2827" s="7">
        <f>_xlfn.FLOOR.MATH(Table1[[#This Row],[year]],10)</f>
        <v>2000</v>
      </c>
      <c r="D2827" t="s">
        <v>252</v>
      </c>
      <c r="E2827" t="s">
        <v>223</v>
      </c>
      <c r="F2827">
        <v>1</v>
      </c>
      <c r="G2827">
        <v>1</v>
      </c>
      <c r="H2827" t="s">
        <v>224</v>
      </c>
      <c r="I2827" t="s">
        <v>255</v>
      </c>
      <c r="J2827" t="s">
        <v>252</v>
      </c>
      <c r="K2827" t="b">
        <v>0</v>
      </c>
      <c r="L2827">
        <v>2004</v>
      </c>
      <c r="M2827">
        <v>1484092538</v>
      </c>
      <c r="N2827">
        <v>23577298094</v>
      </c>
      <c r="O2827" t="b">
        <v>1</v>
      </c>
      <c r="P2827">
        <v>0</v>
      </c>
      <c r="Q2827" t="str" cm="1">
        <f t="array" ref="Q2827">_xlfn.IFS(Table1[[#This Row],[Wealthier_Winner]]=-1,"Wealthier Nation Loses",Table1[[#This Row],[Wealthier_Winner]]=0,"Tie",Table1[[#This Row],[Wealthier_Winner]]=1,"Wealthier Nation Wins")</f>
        <v>Tie</v>
      </c>
    </row>
    <row r="2828" spans="1:17" x14ac:dyDescent="0.2">
      <c r="A2828" s="1">
        <v>4543</v>
      </c>
      <c r="B2828" s="2">
        <v>38151</v>
      </c>
      <c r="C2828" s="7">
        <f>_xlfn.FLOOR.MATH(Table1[[#This Row],[year]],10)</f>
        <v>2000</v>
      </c>
      <c r="D2828" t="s">
        <v>34</v>
      </c>
      <c r="E2828" t="s">
        <v>511</v>
      </c>
      <c r="F2828">
        <v>4</v>
      </c>
      <c r="G2828">
        <v>0</v>
      </c>
      <c r="H2828" t="s">
        <v>224</v>
      </c>
      <c r="I2828" t="s">
        <v>257</v>
      </c>
      <c r="J2828" t="s">
        <v>34</v>
      </c>
      <c r="K2828" t="b">
        <v>0</v>
      </c>
      <c r="L2828">
        <v>2004</v>
      </c>
      <c r="M2828">
        <v>1026690238278</v>
      </c>
      <c r="N2828">
        <v>1400202000</v>
      </c>
      <c r="O2828" t="b">
        <v>1</v>
      </c>
      <c r="P2828">
        <v>1</v>
      </c>
      <c r="Q2828" t="str" cm="1">
        <f t="array" ref="Q2828">_xlfn.IFS(Table1[[#This Row],[Wealthier_Winner]]=-1,"Wealthier Nation Loses",Table1[[#This Row],[Wealthier_Winner]]=0,"Tie",Table1[[#This Row],[Wealthier_Winner]]=1,"Wealthier Nation Wins")</f>
        <v>Wealthier Nation Wins</v>
      </c>
    </row>
    <row r="2829" spans="1:17" x14ac:dyDescent="0.2">
      <c r="A2829" s="1">
        <v>4544</v>
      </c>
      <c r="B2829" s="2">
        <v>38151</v>
      </c>
      <c r="C2829" s="7">
        <f>_xlfn.FLOOR.MATH(Table1[[#This Row],[year]],10)</f>
        <v>2000</v>
      </c>
      <c r="D2829" t="s">
        <v>496</v>
      </c>
      <c r="E2829" t="s">
        <v>59</v>
      </c>
      <c r="F2829">
        <v>0</v>
      </c>
      <c r="G2829">
        <v>2</v>
      </c>
      <c r="H2829" t="s">
        <v>224</v>
      </c>
      <c r="I2829" t="s">
        <v>498</v>
      </c>
      <c r="J2829" t="s">
        <v>496</v>
      </c>
      <c r="K2829" t="b">
        <v>0</v>
      </c>
      <c r="L2829">
        <v>2004</v>
      </c>
      <c r="M2829">
        <v>22322387382</v>
      </c>
      <c r="N2829">
        <v>13280291989</v>
      </c>
      <c r="O2829" t="b">
        <v>0</v>
      </c>
      <c r="P2829">
        <v>-1</v>
      </c>
      <c r="Q2829" t="str" cm="1">
        <f t="array" ref="Q2829">_xlfn.IFS(Table1[[#This Row],[Wealthier_Winner]]=-1,"Wealthier Nation Loses",Table1[[#This Row],[Wealthier_Winner]]=0,"Tie",Table1[[#This Row],[Wealthier_Winner]]=1,"Wealthier Nation Wins")</f>
        <v>Wealthier Nation Loses</v>
      </c>
    </row>
    <row r="2830" spans="1:17" x14ac:dyDescent="0.2">
      <c r="A2830" s="1">
        <v>4545</v>
      </c>
      <c r="B2830" s="2">
        <v>38151</v>
      </c>
      <c r="C2830" s="7">
        <f>_xlfn.FLOOR.MATH(Table1[[#This Row],[year]],10)</f>
        <v>2000</v>
      </c>
      <c r="D2830" t="s">
        <v>69</v>
      </c>
      <c r="E2830" t="s">
        <v>266</v>
      </c>
      <c r="F2830">
        <v>2</v>
      </c>
      <c r="G2830">
        <v>1</v>
      </c>
      <c r="H2830" t="s">
        <v>224</v>
      </c>
      <c r="I2830" t="s">
        <v>281</v>
      </c>
      <c r="J2830" t="s">
        <v>69</v>
      </c>
      <c r="K2830" t="b">
        <v>0</v>
      </c>
      <c r="L2830">
        <v>2004</v>
      </c>
      <c r="M2830">
        <v>13724810900</v>
      </c>
      <c r="N2830">
        <v>4484703000</v>
      </c>
      <c r="O2830" t="b">
        <v>1</v>
      </c>
      <c r="P2830">
        <v>1</v>
      </c>
      <c r="Q2830" t="str" cm="1">
        <f t="array" ref="Q2830">_xlfn.IFS(Table1[[#This Row],[Wealthier_Winner]]=-1,"Wealthier Nation Loses",Table1[[#This Row],[Wealthier_Winner]]=0,"Tie",Table1[[#This Row],[Wealthier_Winner]]=1,"Wealthier Nation Wins")</f>
        <v>Wealthier Nation Wins</v>
      </c>
    </row>
    <row r="2831" spans="1:17" x14ac:dyDescent="0.2">
      <c r="A2831" s="1">
        <v>4547</v>
      </c>
      <c r="B2831" s="2">
        <v>38151</v>
      </c>
      <c r="C2831" s="7">
        <f>_xlfn.FLOOR.MATH(Table1[[#This Row],[year]],10)</f>
        <v>2000</v>
      </c>
      <c r="D2831" t="s">
        <v>41</v>
      </c>
      <c r="E2831" t="s">
        <v>499</v>
      </c>
      <c r="F2831">
        <v>3</v>
      </c>
      <c r="G2831">
        <v>0</v>
      </c>
      <c r="H2831" t="s">
        <v>224</v>
      </c>
      <c r="I2831" t="s">
        <v>607</v>
      </c>
      <c r="J2831" t="s">
        <v>41</v>
      </c>
      <c r="K2831" t="b">
        <v>0</v>
      </c>
      <c r="L2831">
        <v>2004</v>
      </c>
      <c r="M2831">
        <v>12217193198000</v>
      </c>
      <c r="N2831">
        <v>599118592</v>
      </c>
      <c r="O2831" t="b">
        <v>1</v>
      </c>
      <c r="P2831">
        <v>1</v>
      </c>
      <c r="Q2831" t="str" cm="1">
        <f t="array" ref="Q2831">_xlfn.IFS(Table1[[#This Row],[Wealthier_Winner]]=-1,"Wealthier Nation Loses",Table1[[#This Row],[Wealthier_Winner]]=0,"Tie",Table1[[#This Row],[Wealthier_Winner]]=1,"Wealthier Nation Wins")</f>
        <v>Wealthier Nation Wins</v>
      </c>
    </row>
    <row r="2832" spans="1:17" x14ac:dyDescent="0.2">
      <c r="A2832" s="1">
        <v>4549</v>
      </c>
      <c r="B2832" s="2">
        <v>38154</v>
      </c>
      <c r="C2832" s="7">
        <f>_xlfn.FLOOR.MATH(Table1[[#This Row],[year]],10)</f>
        <v>2000</v>
      </c>
      <c r="D2832" t="s">
        <v>34</v>
      </c>
      <c r="E2832" t="s">
        <v>511</v>
      </c>
      <c r="F2832">
        <v>4</v>
      </c>
      <c r="G2832">
        <v>0</v>
      </c>
      <c r="H2832" t="s">
        <v>224</v>
      </c>
      <c r="I2832" t="s">
        <v>257</v>
      </c>
      <c r="J2832" t="s">
        <v>34</v>
      </c>
      <c r="K2832" t="b">
        <v>0</v>
      </c>
      <c r="L2832">
        <v>2004</v>
      </c>
      <c r="M2832">
        <v>1026690238278</v>
      </c>
      <c r="N2832">
        <v>1400202000</v>
      </c>
      <c r="O2832" t="b">
        <v>1</v>
      </c>
      <c r="P2832">
        <v>1</v>
      </c>
      <c r="Q2832" t="str" cm="1">
        <f t="array" ref="Q2832">_xlfn.IFS(Table1[[#This Row],[Wealthier_Winner]]=-1,"Wealthier Nation Loses",Table1[[#This Row],[Wealthier_Winner]]=0,"Tie",Table1[[#This Row],[Wealthier_Winner]]=1,"Wealthier Nation Wins")</f>
        <v>Wealthier Nation Wins</v>
      </c>
    </row>
    <row r="2833" spans="1:17" x14ac:dyDescent="0.2">
      <c r="A2833" s="1">
        <v>4550</v>
      </c>
      <c r="B2833" s="2">
        <v>38156</v>
      </c>
      <c r="C2833" s="7">
        <f>_xlfn.FLOOR.MATH(Table1[[#This Row],[year]],10)</f>
        <v>2000</v>
      </c>
      <c r="D2833" t="s">
        <v>286</v>
      </c>
      <c r="E2833" t="s">
        <v>40</v>
      </c>
      <c r="F2833">
        <v>0</v>
      </c>
      <c r="G2833">
        <v>0</v>
      </c>
      <c r="H2833" t="s">
        <v>224</v>
      </c>
      <c r="I2833" t="s">
        <v>660</v>
      </c>
      <c r="J2833" t="s">
        <v>286</v>
      </c>
      <c r="K2833" t="b">
        <v>0</v>
      </c>
      <c r="L2833">
        <v>2004</v>
      </c>
      <c r="M2833">
        <v>33122307692</v>
      </c>
      <c r="N2833">
        <v>18826214135</v>
      </c>
      <c r="O2833" t="b">
        <v>0</v>
      </c>
      <c r="P2833">
        <v>0</v>
      </c>
      <c r="Q2833" t="str" cm="1">
        <f t="array" ref="Q2833">_xlfn.IFS(Table1[[#This Row],[Wealthier_Winner]]=-1,"Wealthier Nation Loses",Table1[[#This Row],[Wealthier_Winner]]=0,"Tie",Table1[[#This Row],[Wealthier_Winner]]=1,"Wealthier Nation Wins")</f>
        <v>Tie</v>
      </c>
    </row>
    <row r="2834" spans="1:17" x14ac:dyDescent="0.2">
      <c r="A2834" s="1">
        <v>4551</v>
      </c>
      <c r="B2834" s="2">
        <v>38157</v>
      </c>
      <c r="C2834" s="7">
        <f>_xlfn.FLOOR.MATH(Table1[[#This Row],[year]],10)</f>
        <v>2000</v>
      </c>
      <c r="D2834" t="s">
        <v>469</v>
      </c>
      <c r="E2834" t="s">
        <v>370</v>
      </c>
      <c r="F2834">
        <v>2</v>
      </c>
      <c r="G2834">
        <v>0</v>
      </c>
      <c r="H2834" t="s">
        <v>224</v>
      </c>
      <c r="I2834" t="s">
        <v>470</v>
      </c>
      <c r="J2834" t="s">
        <v>469</v>
      </c>
      <c r="K2834" t="b">
        <v>0</v>
      </c>
      <c r="L2834">
        <v>2004</v>
      </c>
      <c r="M2834">
        <v>8957467706</v>
      </c>
      <c r="N2834">
        <v>5058726350</v>
      </c>
      <c r="O2834" t="b">
        <v>0</v>
      </c>
      <c r="P2834">
        <v>1</v>
      </c>
      <c r="Q2834" t="str" cm="1">
        <f t="array" ref="Q2834">_xlfn.IFS(Table1[[#This Row],[Wealthier_Winner]]=-1,"Wealthier Nation Loses",Table1[[#This Row],[Wealthier_Winner]]=0,"Tie",Table1[[#This Row],[Wealthier_Winner]]=1,"Wealthier Nation Wins")</f>
        <v>Wealthier Nation Wins</v>
      </c>
    </row>
    <row r="2835" spans="1:17" x14ac:dyDescent="0.2">
      <c r="A2835" s="1">
        <v>4553</v>
      </c>
      <c r="B2835" s="2">
        <v>38157</v>
      </c>
      <c r="C2835" s="7">
        <f>_xlfn.FLOOR.MATH(Table1[[#This Row],[year]],10)</f>
        <v>2000</v>
      </c>
      <c r="D2835" t="s">
        <v>494</v>
      </c>
      <c r="E2835" t="s">
        <v>17</v>
      </c>
      <c r="F2835">
        <v>0</v>
      </c>
      <c r="G2835">
        <v>10</v>
      </c>
      <c r="H2835" t="s">
        <v>224</v>
      </c>
      <c r="I2835" t="s">
        <v>661</v>
      </c>
      <c r="J2835" t="s">
        <v>41</v>
      </c>
      <c r="K2835" t="b">
        <v>1</v>
      </c>
      <c r="L2835">
        <v>2004</v>
      </c>
      <c r="M2835">
        <v>396711111</v>
      </c>
      <c r="N2835">
        <v>819459227375</v>
      </c>
      <c r="O2835" t="b">
        <v>1</v>
      </c>
      <c r="P2835">
        <v>1</v>
      </c>
      <c r="Q2835" t="str" cm="1">
        <f t="array" ref="Q2835">_xlfn.IFS(Table1[[#This Row],[Wealthier_Winner]]=-1,"Wealthier Nation Loses",Table1[[#This Row],[Wealthier_Winner]]=0,"Tie",Table1[[#This Row],[Wealthier_Winner]]=1,"Wealthier Nation Wins")</f>
        <v>Wealthier Nation Wins</v>
      </c>
    </row>
    <row r="2836" spans="1:17" x14ac:dyDescent="0.2">
      <c r="A2836" s="1">
        <v>4555</v>
      </c>
      <c r="B2836" s="2">
        <v>38157</v>
      </c>
      <c r="C2836" s="7">
        <f>_xlfn.FLOOR.MATH(Table1[[#This Row],[year]],10)</f>
        <v>2000</v>
      </c>
      <c r="D2836" t="s">
        <v>590</v>
      </c>
      <c r="E2836" t="s">
        <v>273</v>
      </c>
      <c r="F2836">
        <v>1</v>
      </c>
      <c r="G2836">
        <v>1</v>
      </c>
      <c r="H2836" t="s">
        <v>224</v>
      </c>
      <c r="I2836" t="s">
        <v>596</v>
      </c>
      <c r="J2836" t="s">
        <v>590</v>
      </c>
      <c r="K2836" t="b">
        <v>0</v>
      </c>
      <c r="L2836">
        <v>2004</v>
      </c>
      <c r="M2836">
        <v>6485774930</v>
      </c>
      <c r="N2836">
        <v>6221110219</v>
      </c>
      <c r="O2836" t="b">
        <v>0</v>
      </c>
      <c r="P2836">
        <v>0</v>
      </c>
      <c r="Q2836" t="str" cm="1">
        <f t="array" ref="Q2836">_xlfn.IFS(Table1[[#This Row],[Wealthier_Winner]]=-1,"Wealthier Nation Loses",Table1[[#This Row],[Wealthier_Winner]]=0,"Tie",Table1[[#This Row],[Wealthier_Winner]]=1,"Wealthier Nation Wins")</f>
        <v>Tie</v>
      </c>
    </row>
    <row r="2837" spans="1:17" x14ac:dyDescent="0.2">
      <c r="A2837" s="1">
        <v>4556</v>
      </c>
      <c r="B2837" s="2">
        <v>38157</v>
      </c>
      <c r="C2837" s="7">
        <f>_xlfn.FLOOR.MATH(Table1[[#This Row],[year]],10)</f>
        <v>2000</v>
      </c>
      <c r="D2837" t="s">
        <v>514</v>
      </c>
      <c r="E2837" t="s">
        <v>433</v>
      </c>
      <c r="F2837">
        <v>3</v>
      </c>
      <c r="G2837">
        <v>1</v>
      </c>
      <c r="H2837" t="s">
        <v>224</v>
      </c>
      <c r="I2837" t="s">
        <v>515</v>
      </c>
      <c r="J2837" t="s">
        <v>514</v>
      </c>
      <c r="K2837" t="b">
        <v>0</v>
      </c>
      <c r="L2837">
        <v>2004</v>
      </c>
      <c r="M2837">
        <v>2376496067</v>
      </c>
      <c r="N2837">
        <v>7770219008</v>
      </c>
      <c r="O2837" t="b">
        <v>1</v>
      </c>
      <c r="P2837">
        <v>-1</v>
      </c>
      <c r="Q2837" t="str" cm="1">
        <f t="array" ref="Q2837">_xlfn.IFS(Table1[[#This Row],[Wealthier_Winner]]=-1,"Wealthier Nation Loses",Table1[[#This Row],[Wealthier_Winner]]=0,"Tie",Table1[[#This Row],[Wealthier_Winner]]=1,"Wealthier Nation Wins")</f>
        <v>Wealthier Nation Loses</v>
      </c>
    </row>
    <row r="2838" spans="1:17" x14ac:dyDescent="0.2">
      <c r="A2838" s="1">
        <v>4558</v>
      </c>
      <c r="B2838" s="2">
        <v>38158</v>
      </c>
      <c r="C2838" s="7">
        <f>_xlfn.FLOOR.MATH(Table1[[#This Row],[year]],10)</f>
        <v>2000</v>
      </c>
      <c r="D2838" t="s">
        <v>60</v>
      </c>
      <c r="E2838" t="s">
        <v>43</v>
      </c>
      <c r="F2838">
        <v>1</v>
      </c>
      <c r="G2838">
        <v>0</v>
      </c>
      <c r="H2838" t="s">
        <v>224</v>
      </c>
      <c r="I2838" t="s">
        <v>396</v>
      </c>
      <c r="J2838" t="s">
        <v>60</v>
      </c>
      <c r="K2838" t="b">
        <v>0</v>
      </c>
      <c r="L2838">
        <v>2004</v>
      </c>
      <c r="M2838">
        <v>26997977896</v>
      </c>
      <c r="N2838">
        <v>135764731645</v>
      </c>
      <c r="O2838" t="b">
        <v>1</v>
      </c>
      <c r="P2838">
        <v>-1</v>
      </c>
      <c r="Q2838" t="str" cm="1">
        <f t="array" ref="Q2838">_xlfn.IFS(Table1[[#This Row],[Wealthier_Winner]]=-1,"Wealthier Nation Loses",Table1[[#This Row],[Wealthier_Winner]]=0,"Tie",Table1[[#This Row],[Wealthier_Winner]]=1,"Wealthier Nation Wins")</f>
        <v>Wealthier Nation Loses</v>
      </c>
    </row>
    <row r="2839" spans="1:17" x14ac:dyDescent="0.2">
      <c r="A2839" s="1">
        <v>4559</v>
      </c>
      <c r="B2839" s="2">
        <v>38158</v>
      </c>
      <c r="C2839" s="7">
        <f>_xlfn.FLOOR.MATH(Table1[[#This Row],[year]],10)</f>
        <v>2000</v>
      </c>
      <c r="D2839" t="s">
        <v>310</v>
      </c>
      <c r="E2839" t="s">
        <v>274</v>
      </c>
      <c r="F2839">
        <v>1</v>
      </c>
      <c r="G2839">
        <v>1</v>
      </c>
      <c r="H2839" t="s">
        <v>224</v>
      </c>
      <c r="I2839" t="s">
        <v>311</v>
      </c>
      <c r="J2839" t="s">
        <v>310</v>
      </c>
      <c r="K2839" t="b">
        <v>0</v>
      </c>
      <c r="L2839">
        <v>2004</v>
      </c>
      <c r="M2839">
        <v>6190270380</v>
      </c>
      <c r="N2839">
        <v>26646007250</v>
      </c>
      <c r="O2839" t="b">
        <v>1</v>
      </c>
      <c r="P2839">
        <v>0</v>
      </c>
      <c r="Q2839" t="str" cm="1">
        <f t="array" ref="Q2839">_xlfn.IFS(Table1[[#This Row],[Wealthier_Winner]]=-1,"Wealthier Nation Loses",Table1[[#This Row],[Wealthier_Winner]]=0,"Tie",Table1[[#This Row],[Wealthier_Winner]]=1,"Wealthier Nation Wins")</f>
        <v>Tie</v>
      </c>
    </row>
    <row r="2840" spans="1:17" x14ac:dyDescent="0.2">
      <c r="A2840" s="1">
        <v>4560</v>
      </c>
      <c r="B2840" s="2">
        <v>38158</v>
      </c>
      <c r="C2840" s="7">
        <f>_xlfn.FLOOR.MATH(Table1[[#This Row],[year]],10)</f>
        <v>2000</v>
      </c>
      <c r="D2840" t="s">
        <v>266</v>
      </c>
      <c r="E2840" t="s">
        <v>69</v>
      </c>
      <c r="F2840">
        <v>2</v>
      </c>
      <c r="G2840">
        <v>2</v>
      </c>
      <c r="H2840" t="s">
        <v>224</v>
      </c>
      <c r="I2840" t="s">
        <v>271</v>
      </c>
      <c r="J2840" t="s">
        <v>266</v>
      </c>
      <c r="K2840" t="b">
        <v>0</v>
      </c>
      <c r="L2840">
        <v>2004</v>
      </c>
      <c r="M2840">
        <v>4484703000</v>
      </c>
      <c r="N2840">
        <v>13724810900</v>
      </c>
      <c r="O2840" t="b">
        <v>1</v>
      </c>
      <c r="P2840">
        <v>0</v>
      </c>
      <c r="Q2840" t="str" cm="1">
        <f t="array" ref="Q2840">_xlfn.IFS(Table1[[#This Row],[Wealthier_Winner]]=-1,"Wealthier Nation Loses",Table1[[#This Row],[Wealthier_Winner]]=0,"Tie",Table1[[#This Row],[Wealthier_Winner]]=1,"Wealthier Nation Wins")</f>
        <v>Tie</v>
      </c>
    </row>
    <row r="2841" spans="1:17" x14ac:dyDescent="0.2">
      <c r="A2841" s="1">
        <v>4563</v>
      </c>
      <c r="B2841" s="2">
        <v>38158</v>
      </c>
      <c r="C2841" s="7">
        <f>_xlfn.FLOOR.MATH(Table1[[#This Row],[year]],10)</f>
        <v>2000</v>
      </c>
      <c r="D2841" t="s">
        <v>56</v>
      </c>
      <c r="E2841" t="s">
        <v>517</v>
      </c>
      <c r="F2841">
        <v>1</v>
      </c>
      <c r="G2841">
        <v>1</v>
      </c>
      <c r="H2841" t="s">
        <v>224</v>
      </c>
      <c r="I2841" t="s">
        <v>600</v>
      </c>
      <c r="J2841" t="s">
        <v>56</v>
      </c>
      <c r="K2841" t="b">
        <v>0</v>
      </c>
      <c r="L2841">
        <v>2004</v>
      </c>
      <c r="M2841">
        <v>18610594846</v>
      </c>
      <c r="N2841">
        <v>38203000000</v>
      </c>
      <c r="O2841" t="b">
        <v>1</v>
      </c>
      <c r="P2841">
        <v>0</v>
      </c>
      <c r="Q2841" t="str" cm="1">
        <f t="array" ref="Q2841">_xlfn.IFS(Table1[[#This Row],[Wealthier_Winner]]=-1,"Wealthier Nation Loses",Table1[[#This Row],[Wealthier_Winner]]=0,"Tie",Table1[[#This Row],[Wealthier_Winner]]=1,"Wealthier Nation Wins")</f>
        <v>Tie</v>
      </c>
    </row>
    <row r="2842" spans="1:17" x14ac:dyDescent="0.2">
      <c r="A2842" s="1">
        <v>4565</v>
      </c>
      <c r="B2842" s="2">
        <v>38158</v>
      </c>
      <c r="C2842" s="7">
        <f>_xlfn.FLOOR.MATH(Table1[[#This Row],[year]],10)</f>
        <v>2000</v>
      </c>
      <c r="D2842" t="s">
        <v>63</v>
      </c>
      <c r="E2842" t="s">
        <v>50</v>
      </c>
      <c r="F2842">
        <v>3</v>
      </c>
      <c r="G2842">
        <v>0</v>
      </c>
      <c r="H2842" t="s">
        <v>224</v>
      </c>
      <c r="I2842" t="s">
        <v>313</v>
      </c>
      <c r="J2842" t="s">
        <v>63</v>
      </c>
      <c r="K2842" t="b">
        <v>0</v>
      </c>
      <c r="L2842">
        <v>2004</v>
      </c>
      <c r="M2842">
        <v>8881417906</v>
      </c>
      <c r="N2842">
        <v>255806908594</v>
      </c>
      <c r="O2842" t="b">
        <v>1</v>
      </c>
      <c r="P2842">
        <v>-1</v>
      </c>
      <c r="Q2842" t="str" cm="1">
        <f t="array" ref="Q2842">_xlfn.IFS(Table1[[#This Row],[Wealthier_Winner]]=-1,"Wealthier Nation Loses",Table1[[#This Row],[Wealthier_Winner]]=0,"Tie",Table1[[#This Row],[Wealthier_Winner]]=1,"Wealthier Nation Wins")</f>
        <v>Wealthier Nation Loses</v>
      </c>
    </row>
    <row r="2843" spans="1:17" x14ac:dyDescent="0.2">
      <c r="A2843" s="1">
        <v>4566</v>
      </c>
      <c r="B2843" s="2">
        <v>38158</v>
      </c>
      <c r="C2843" s="7">
        <f>_xlfn.FLOOR.MATH(Table1[[#This Row],[year]],10)</f>
        <v>2000</v>
      </c>
      <c r="D2843" t="s">
        <v>499</v>
      </c>
      <c r="E2843" t="s">
        <v>41</v>
      </c>
      <c r="F2843">
        <v>2</v>
      </c>
      <c r="G2843">
        <v>3</v>
      </c>
      <c r="H2843" t="s">
        <v>224</v>
      </c>
      <c r="I2843" t="s">
        <v>501</v>
      </c>
      <c r="J2843" t="s">
        <v>499</v>
      </c>
      <c r="K2843" t="b">
        <v>0</v>
      </c>
      <c r="L2843">
        <v>2004</v>
      </c>
      <c r="M2843">
        <v>599118592</v>
      </c>
      <c r="N2843">
        <v>12217193198000</v>
      </c>
      <c r="O2843" t="b">
        <v>1</v>
      </c>
      <c r="P2843">
        <v>1</v>
      </c>
      <c r="Q2843" t="str" cm="1">
        <f t="array" ref="Q2843">_xlfn.IFS(Table1[[#This Row],[Wealthier_Winner]]=-1,"Wealthier Nation Loses",Table1[[#This Row],[Wealthier_Winner]]=0,"Tie",Table1[[#This Row],[Wealthier_Winner]]=1,"Wealthier Nation Wins")</f>
        <v>Wealthier Nation Wins</v>
      </c>
    </row>
    <row r="2844" spans="1:17" x14ac:dyDescent="0.2">
      <c r="A2844" s="1">
        <v>4567</v>
      </c>
      <c r="B2844" s="2">
        <v>38158</v>
      </c>
      <c r="C2844" s="7">
        <f>_xlfn.FLOOR.MATH(Table1[[#This Row],[year]],10)</f>
        <v>2000</v>
      </c>
      <c r="D2844" t="s">
        <v>223</v>
      </c>
      <c r="E2844" t="s">
        <v>252</v>
      </c>
      <c r="F2844">
        <v>3</v>
      </c>
      <c r="G2844">
        <v>1</v>
      </c>
      <c r="H2844" t="s">
        <v>224</v>
      </c>
      <c r="I2844" t="s">
        <v>227</v>
      </c>
      <c r="J2844" t="s">
        <v>223</v>
      </c>
      <c r="K2844" t="b">
        <v>0</v>
      </c>
      <c r="L2844">
        <v>2004</v>
      </c>
      <c r="M2844">
        <v>23577298094</v>
      </c>
      <c r="N2844">
        <v>1484092538</v>
      </c>
      <c r="O2844" t="b">
        <v>1</v>
      </c>
      <c r="P2844">
        <v>1</v>
      </c>
      <c r="Q2844" t="str" cm="1">
        <f t="array" ref="Q2844">_xlfn.IFS(Table1[[#This Row],[Wealthier_Winner]]=-1,"Wealthier Nation Loses",Table1[[#This Row],[Wealthier_Winner]]=0,"Tie",Table1[[#This Row],[Wealthier_Winner]]=1,"Wealthier Nation Wins")</f>
        <v>Wealthier Nation Wins</v>
      </c>
    </row>
    <row r="2845" spans="1:17" x14ac:dyDescent="0.2">
      <c r="A2845" s="1">
        <v>4568</v>
      </c>
      <c r="B2845" s="2">
        <v>38158</v>
      </c>
      <c r="C2845" s="7">
        <f>_xlfn.FLOOR.MATH(Table1[[#This Row],[year]],10)</f>
        <v>2000</v>
      </c>
      <c r="D2845" t="s">
        <v>305</v>
      </c>
      <c r="E2845" t="s">
        <v>53</v>
      </c>
      <c r="F2845">
        <v>2</v>
      </c>
      <c r="G2845">
        <v>1</v>
      </c>
      <c r="H2845" t="s">
        <v>224</v>
      </c>
      <c r="I2845" t="s">
        <v>306</v>
      </c>
      <c r="J2845" t="s">
        <v>305</v>
      </c>
      <c r="K2845" t="b">
        <v>0</v>
      </c>
      <c r="L2845">
        <v>2004</v>
      </c>
      <c r="M2845">
        <v>5300767960</v>
      </c>
      <c r="N2845">
        <v>31183885241</v>
      </c>
      <c r="O2845" t="b">
        <v>1</v>
      </c>
      <c r="P2845">
        <v>-1</v>
      </c>
      <c r="Q2845" t="str" cm="1">
        <f t="array" ref="Q2845">_xlfn.IFS(Table1[[#This Row],[Wealthier_Winner]]=-1,"Wealthier Nation Loses",Table1[[#This Row],[Wealthier_Winner]]=0,"Tie",Table1[[#This Row],[Wealthier_Winner]]=1,"Wealthier Nation Wins")</f>
        <v>Wealthier Nation Loses</v>
      </c>
    </row>
    <row r="2846" spans="1:17" x14ac:dyDescent="0.2">
      <c r="A2846" s="1">
        <v>4569</v>
      </c>
      <c r="B2846" s="2">
        <v>38158</v>
      </c>
      <c r="C2846" s="7">
        <f>_xlfn.FLOOR.MATH(Table1[[#This Row],[year]],10)</f>
        <v>2000</v>
      </c>
      <c r="D2846" t="s">
        <v>49</v>
      </c>
      <c r="E2846" t="s">
        <v>70</v>
      </c>
      <c r="F2846">
        <v>3</v>
      </c>
      <c r="G2846">
        <v>0</v>
      </c>
      <c r="H2846" t="s">
        <v>224</v>
      </c>
      <c r="I2846" t="s">
        <v>257</v>
      </c>
      <c r="J2846" t="s">
        <v>49</v>
      </c>
      <c r="K2846" t="b">
        <v>0</v>
      </c>
      <c r="L2846">
        <v>2004</v>
      </c>
      <c r="M2846">
        <v>10174664853</v>
      </c>
      <c r="N2846">
        <v>6087360684</v>
      </c>
      <c r="O2846" t="b">
        <v>0</v>
      </c>
      <c r="P2846">
        <v>1</v>
      </c>
      <c r="Q2846" t="str" cm="1">
        <f t="array" ref="Q2846">_xlfn.IFS(Table1[[#This Row],[Wealthier_Winner]]=-1,"Wealthier Nation Loses",Table1[[#This Row],[Wealthier_Winner]]=0,"Tie",Table1[[#This Row],[Wealthier_Winner]]=1,"Wealthier Nation Wins")</f>
        <v>Wealthier Nation Wins</v>
      </c>
    </row>
    <row r="2847" spans="1:17" x14ac:dyDescent="0.2">
      <c r="A2847" s="1">
        <v>4571</v>
      </c>
      <c r="B2847" s="2">
        <v>38158</v>
      </c>
      <c r="C2847" s="7">
        <f>_xlfn.FLOOR.MATH(Table1[[#This Row],[year]],10)</f>
        <v>2000</v>
      </c>
      <c r="D2847" t="s">
        <v>62</v>
      </c>
      <c r="E2847" t="s">
        <v>54</v>
      </c>
      <c r="F2847">
        <v>3</v>
      </c>
      <c r="G2847">
        <v>1</v>
      </c>
      <c r="H2847" t="s">
        <v>224</v>
      </c>
      <c r="I2847" t="s">
        <v>353</v>
      </c>
      <c r="J2847" t="s">
        <v>62</v>
      </c>
      <c r="K2847" t="b">
        <v>0</v>
      </c>
      <c r="L2847">
        <v>2004</v>
      </c>
      <c r="M2847">
        <v>3191561508</v>
      </c>
      <c r="N2847">
        <v>10076816666</v>
      </c>
      <c r="O2847" t="b">
        <v>1</v>
      </c>
      <c r="P2847">
        <v>-1</v>
      </c>
      <c r="Q2847" t="str" cm="1">
        <f t="array" ref="Q2847">_xlfn.IFS(Table1[[#This Row],[Wealthier_Winner]]=-1,"Wealthier Nation Loses",Table1[[#This Row],[Wealthier_Winner]]=0,"Tie",Table1[[#This Row],[Wealthier_Winner]]=1,"Wealthier Nation Wins")</f>
        <v>Wealthier Nation Loses</v>
      </c>
    </row>
    <row r="2848" spans="1:17" x14ac:dyDescent="0.2">
      <c r="A2848" s="1">
        <v>4572</v>
      </c>
      <c r="B2848" s="2">
        <v>38158</v>
      </c>
      <c r="C2848" s="7">
        <f>_xlfn.FLOOR.MATH(Table1[[#This Row],[year]],10)</f>
        <v>2000</v>
      </c>
      <c r="D2848" t="s">
        <v>59</v>
      </c>
      <c r="E2848" t="s">
        <v>496</v>
      </c>
      <c r="F2848">
        <v>4</v>
      </c>
      <c r="G2848">
        <v>0</v>
      </c>
      <c r="H2848" t="s">
        <v>224</v>
      </c>
      <c r="I2848" t="s">
        <v>662</v>
      </c>
      <c r="J2848" t="s">
        <v>59</v>
      </c>
      <c r="K2848" t="b">
        <v>0</v>
      </c>
      <c r="L2848">
        <v>2004</v>
      </c>
      <c r="M2848">
        <v>13280291989</v>
      </c>
      <c r="N2848">
        <v>22322387382</v>
      </c>
      <c r="O2848" t="b">
        <v>0</v>
      </c>
      <c r="P2848">
        <v>-1</v>
      </c>
      <c r="Q2848" t="str" cm="1">
        <f t="array" ref="Q2848">_xlfn.IFS(Table1[[#This Row],[Wealthier_Winner]]=-1,"Wealthier Nation Loses",Table1[[#This Row],[Wealthier_Winner]]=0,"Tie",Table1[[#This Row],[Wealthier_Winner]]=1,"Wealthier Nation Wins")</f>
        <v>Wealthier Nation Loses</v>
      </c>
    </row>
    <row r="2849" spans="1:17" x14ac:dyDescent="0.2">
      <c r="A2849" s="1">
        <v>4573</v>
      </c>
      <c r="B2849" s="2">
        <v>38158</v>
      </c>
      <c r="C2849" s="7">
        <f>_xlfn.FLOOR.MATH(Table1[[#This Row],[year]],10)</f>
        <v>2000</v>
      </c>
      <c r="D2849" t="s">
        <v>298</v>
      </c>
      <c r="E2849" t="s">
        <v>32</v>
      </c>
      <c r="F2849">
        <v>1</v>
      </c>
      <c r="G2849">
        <v>1</v>
      </c>
      <c r="H2849" t="s">
        <v>224</v>
      </c>
      <c r="I2849" t="s">
        <v>377</v>
      </c>
      <c r="J2849" t="s">
        <v>298</v>
      </c>
      <c r="K2849" t="b">
        <v>0</v>
      </c>
      <c r="L2849">
        <v>2004</v>
      </c>
      <c r="M2849">
        <v>5808500000</v>
      </c>
      <c r="N2849">
        <v>91913680985</v>
      </c>
      <c r="O2849" t="b">
        <v>1</v>
      </c>
      <c r="P2849">
        <v>0</v>
      </c>
      <c r="Q2849" t="str" cm="1">
        <f t="array" ref="Q2849">_xlfn.IFS(Table1[[#This Row],[Wealthier_Winner]]=-1,"Wealthier Nation Loses",Table1[[#This Row],[Wealthier_Winner]]=0,"Tie",Table1[[#This Row],[Wealthier_Winner]]=1,"Wealthier Nation Wins")</f>
        <v>Tie</v>
      </c>
    </row>
    <row r="2850" spans="1:17" x14ac:dyDescent="0.2">
      <c r="A2850" s="1">
        <v>4575</v>
      </c>
      <c r="B2850" s="2">
        <v>38165</v>
      </c>
      <c r="C2850" s="7">
        <f>_xlfn.FLOOR.MATH(Table1[[#This Row],[year]],10)</f>
        <v>2000</v>
      </c>
      <c r="D2850" t="s">
        <v>17</v>
      </c>
      <c r="E2850" t="s">
        <v>494</v>
      </c>
      <c r="F2850">
        <v>8</v>
      </c>
      <c r="G2850">
        <v>0</v>
      </c>
      <c r="H2850" t="s">
        <v>224</v>
      </c>
      <c r="I2850" t="s">
        <v>663</v>
      </c>
      <c r="J2850" t="s">
        <v>17</v>
      </c>
      <c r="K2850" t="b">
        <v>0</v>
      </c>
      <c r="L2850">
        <v>2004</v>
      </c>
      <c r="M2850">
        <v>819459227375</v>
      </c>
      <c r="N2850">
        <v>396711111</v>
      </c>
      <c r="O2850" t="b">
        <v>1</v>
      </c>
      <c r="P2850">
        <v>1</v>
      </c>
      <c r="Q2850" t="str" cm="1">
        <f t="array" ref="Q2850">_xlfn.IFS(Table1[[#This Row],[Wealthier_Winner]]=-1,"Wealthier Nation Loses",Table1[[#This Row],[Wealthier_Winner]]=0,"Tie",Table1[[#This Row],[Wealthier_Winner]]=1,"Wealthier Nation Wins")</f>
        <v>Wealthier Nation Wins</v>
      </c>
    </row>
    <row r="2851" spans="1:17" x14ac:dyDescent="0.2">
      <c r="A2851" s="1">
        <v>4576</v>
      </c>
      <c r="B2851" s="2">
        <v>38171</v>
      </c>
      <c r="C2851" s="7">
        <f>_xlfn.FLOOR.MATH(Table1[[#This Row],[year]],10)</f>
        <v>2000</v>
      </c>
      <c r="D2851" t="s">
        <v>469</v>
      </c>
      <c r="E2851" t="s">
        <v>24</v>
      </c>
      <c r="F2851">
        <v>0</v>
      </c>
      <c r="G2851">
        <v>1</v>
      </c>
      <c r="H2851" t="s">
        <v>224</v>
      </c>
      <c r="I2851" t="s">
        <v>470</v>
      </c>
      <c r="J2851" t="s">
        <v>469</v>
      </c>
      <c r="K2851" t="b">
        <v>0</v>
      </c>
      <c r="L2851">
        <v>2004</v>
      </c>
      <c r="M2851">
        <v>8957467706</v>
      </c>
      <c r="N2851">
        <v>66114145451</v>
      </c>
      <c r="O2851" t="b">
        <v>1</v>
      </c>
      <c r="P2851">
        <v>1</v>
      </c>
      <c r="Q2851" t="str" cm="1">
        <f t="array" ref="Q2851">_xlfn.IFS(Table1[[#This Row],[Wealthier_Winner]]=-1,"Wealthier Nation Loses",Table1[[#This Row],[Wealthier_Winner]]=0,"Tie",Table1[[#This Row],[Wealthier_Winner]]=1,"Wealthier Nation Wins")</f>
        <v>Wealthier Nation Wins</v>
      </c>
    </row>
    <row r="2852" spans="1:17" x14ac:dyDescent="0.2">
      <c r="A2852" s="1">
        <v>4578</v>
      </c>
      <c r="B2852" s="2">
        <v>38171</v>
      </c>
      <c r="C2852" s="7">
        <f>_xlfn.FLOOR.MATH(Table1[[#This Row],[year]],10)</f>
        <v>2000</v>
      </c>
      <c r="D2852" t="s">
        <v>433</v>
      </c>
      <c r="E2852" t="s">
        <v>60</v>
      </c>
      <c r="F2852">
        <v>2</v>
      </c>
      <c r="G2852">
        <v>2</v>
      </c>
      <c r="H2852" t="s">
        <v>224</v>
      </c>
      <c r="I2852" t="s">
        <v>436</v>
      </c>
      <c r="J2852" t="s">
        <v>433</v>
      </c>
      <c r="K2852" t="b">
        <v>0</v>
      </c>
      <c r="L2852">
        <v>2004</v>
      </c>
      <c r="M2852">
        <v>7770219008</v>
      </c>
      <c r="N2852">
        <v>26997977896</v>
      </c>
      <c r="O2852" t="b">
        <v>1</v>
      </c>
      <c r="P2852">
        <v>0</v>
      </c>
      <c r="Q2852" t="str" cm="1">
        <f t="array" ref="Q2852">_xlfn.IFS(Table1[[#This Row],[Wealthier_Winner]]=-1,"Wealthier Nation Loses",Table1[[#This Row],[Wealthier_Winner]]=0,"Tie",Table1[[#This Row],[Wealthier_Winner]]=1,"Wealthier Nation Wins")</f>
        <v>Tie</v>
      </c>
    </row>
    <row r="2853" spans="1:17" x14ac:dyDescent="0.2">
      <c r="A2853" s="1">
        <v>4579</v>
      </c>
      <c r="B2853" s="2">
        <v>38171</v>
      </c>
      <c r="C2853" s="7">
        <f>_xlfn.FLOOR.MATH(Table1[[#This Row],[year]],10)</f>
        <v>2000</v>
      </c>
      <c r="D2853" t="s">
        <v>370</v>
      </c>
      <c r="E2853" t="s">
        <v>305</v>
      </c>
      <c r="F2853">
        <v>1</v>
      </c>
      <c r="G2853">
        <v>1</v>
      </c>
      <c r="H2853" t="s">
        <v>224</v>
      </c>
      <c r="I2853" t="s">
        <v>372</v>
      </c>
      <c r="J2853" t="s">
        <v>370</v>
      </c>
      <c r="K2853" t="b">
        <v>0</v>
      </c>
      <c r="L2853">
        <v>2004</v>
      </c>
      <c r="M2853">
        <v>5058726350</v>
      </c>
      <c r="N2853">
        <v>5300767960</v>
      </c>
      <c r="O2853" t="b">
        <v>0</v>
      </c>
      <c r="P2853">
        <v>0</v>
      </c>
      <c r="Q2853" t="str" cm="1">
        <f t="array" ref="Q2853">_xlfn.IFS(Table1[[#This Row],[Wealthier_Winner]]=-1,"Wealthier Nation Loses",Table1[[#This Row],[Wealthier_Winner]]=0,"Tie",Table1[[#This Row],[Wealthier_Winner]]=1,"Wealthier Nation Wins")</f>
        <v>Tie</v>
      </c>
    </row>
    <row r="2854" spans="1:17" x14ac:dyDescent="0.2">
      <c r="A2854" s="1">
        <v>4580</v>
      </c>
      <c r="B2854" s="2">
        <v>38171</v>
      </c>
      <c r="C2854" s="7">
        <f>_xlfn.FLOOR.MATH(Table1[[#This Row],[year]],10)</f>
        <v>2000</v>
      </c>
      <c r="D2854" t="s">
        <v>43</v>
      </c>
      <c r="E2854" t="s">
        <v>32</v>
      </c>
      <c r="F2854">
        <v>1</v>
      </c>
      <c r="G2854">
        <v>0</v>
      </c>
      <c r="H2854" t="s">
        <v>224</v>
      </c>
      <c r="I2854" t="s">
        <v>657</v>
      </c>
      <c r="J2854" t="s">
        <v>43</v>
      </c>
      <c r="K2854" t="b">
        <v>0</v>
      </c>
      <c r="L2854">
        <v>2004</v>
      </c>
      <c r="M2854">
        <v>135764731645</v>
      </c>
      <c r="N2854">
        <v>91913680985</v>
      </c>
      <c r="O2854" t="b">
        <v>0</v>
      </c>
      <c r="P2854">
        <v>1</v>
      </c>
      <c r="Q2854" t="str" cm="1">
        <f t="array" ref="Q2854">_xlfn.IFS(Table1[[#This Row],[Wealthier_Winner]]=-1,"Wealthier Nation Loses",Table1[[#This Row],[Wealthier_Winner]]=0,"Tie",Table1[[#This Row],[Wealthier_Winner]]=1,"Wealthier Nation Wins")</f>
        <v>Wealthier Nation Wins</v>
      </c>
    </row>
    <row r="2855" spans="1:17" x14ac:dyDescent="0.2">
      <c r="A2855" s="1">
        <v>4581</v>
      </c>
      <c r="B2855" s="2">
        <v>38171</v>
      </c>
      <c r="C2855" s="7">
        <f>_xlfn.FLOOR.MATH(Table1[[#This Row],[year]],10)</f>
        <v>2000</v>
      </c>
      <c r="D2855" t="s">
        <v>514</v>
      </c>
      <c r="E2855" t="s">
        <v>298</v>
      </c>
      <c r="F2855">
        <v>0</v>
      </c>
      <c r="G2855">
        <v>2</v>
      </c>
      <c r="H2855" t="s">
        <v>224</v>
      </c>
      <c r="I2855" t="s">
        <v>515</v>
      </c>
      <c r="J2855" t="s">
        <v>514</v>
      </c>
      <c r="K2855" t="b">
        <v>0</v>
      </c>
      <c r="L2855">
        <v>2004</v>
      </c>
      <c r="M2855">
        <v>2376496067</v>
      </c>
      <c r="N2855">
        <v>5808500000</v>
      </c>
      <c r="O2855" t="b">
        <v>1</v>
      </c>
      <c r="P2855">
        <v>1</v>
      </c>
      <c r="Q2855" t="str" cm="1">
        <f t="array" ref="Q2855">_xlfn.IFS(Table1[[#This Row],[Wealthier_Winner]]=-1,"Wealthier Nation Loses",Table1[[#This Row],[Wealthier_Winner]]=0,"Tie",Table1[[#This Row],[Wealthier_Winner]]=1,"Wealthier Nation Wins")</f>
        <v>Wealthier Nation Wins</v>
      </c>
    </row>
    <row r="2856" spans="1:17" x14ac:dyDescent="0.2">
      <c r="A2856" s="1">
        <v>4582</v>
      </c>
      <c r="B2856" s="2">
        <v>38171</v>
      </c>
      <c r="C2856" s="7">
        <f>_xlfn.FLOOR.MATH(Table1[[#This Row],[year]],10)</f>
        <v>2000</v>
      </c>
      <c r="D2856" t="s">
        <v>54</v>
      </c>
      <c r="E2856" t="s">
        <v>273</v>
      </c>
      <c r="F2856">
        <v>1</v>
      </c>
      <c r="G2856">
        <v>0</v>
      </c>
      <c r="H2856" t="s">
        <v>224</v>
      </c>
      <c r="I2856" t="s">
        <v>285</v>
      </c>
      <c r="J2856" t="s">
        <v>54</v>
      </c>
      <c r="K2856" t="b">
        <v>0</v>
      </c>
      <c r="L2856">
        <v>2004</v>
      </c>
      <c r="M2856">
        <v>10076816666</v>
      </c>
      <c r="N2856">
        <v>6221110219</v>
      </c>
      <c r="O2856" t="b">
        <v>0</v>
      </c>
      <c r="P2856">
        <v>1</v>
      </c>
      <c r="Q2856" t="str" cm="1">
        <f t="array" ref="Q2856">_xlfn.IFS(Table1[[#This Row],[Wealthier_Winner]]=-1,"Wealthier Nation Loses",Table1[[#This Row],[Wealthier_Winner]]=0,"Tie",Table1[[#This Row],[Wealthier_Winner]]=1,"Wealthier Nation Wins")</f>
        <v>Wealthier Nation Wins</v>
      </c>
    </row>
    <row r="2857" spans="1:17" x14ac:dyDescent="0.2">
      <c r="A2857" s="1">
        <v>4583</v>
      </c>
      <c r="B2857" s="2">
        <v>38171</v>
      </c>
      <c r="C2857" s="7">
        <f>_xlfn.FLOOR.MATH(Table1[[#This Row],[year]],10)</f>
        <v>2000</v>
      </c>
      <c r="D2857" t="s">
        <v>50</v>
      </c>
      <c r="E2857" t="s">
        <v>345</v>
      </c>
      <c r="F2857">
        <v>2</v>
      </c>
      <c r="G2857">
        <v>0</v>
      </c>
      <c r="H2857" t="s">
        <v>224</v>
      </c>
      <c r="I2857" t="s">
        <v>160</v>
      </c>
      <c r="J2857" t="s">
        <v>50</v>
      </c>
      <c r="K2857" t="b">
        <v>0</v>
      </c>
      <c r="L2857">
        <v>2004</v>
      </c>
      <c r="M2857">
        <v>255806908594</v>
      </c>
      <c r="N2857">
        <v>5451688537</v>
      </c>
      <c r="O2857" t="b">
        <v>1</v>
      </c>
      <c r="P2857">
        <v>1</v>
      </c>
      <c r="Q2857" t="str" cm="1">
        <f t="array" ref="Q2857">_xlfn.IFS(Table1[[#This Row],[Wealthier_Winner]]=-1,"Wealthier Nation Loses",Table1[[#This Row],[Wealthier_Winner]]=0,"Tie",Table1[[#This Row],[Wealthier_Winner]]=1,"Wealthier Nation Wins")</f>
        <v>Wealthier Nation Wins</v>
      </c>
    </row>
    <row r="2858" spans="1:17" x14ac:dyDescent="0.2">
      <c r="A2858" s="1">
        <v>4584</v>
      </c>
      <c r="B2858" s="2">
        <v>38171</v>
      </c>
      <c r="C2858" s="7">
        <f>_xlfn.FLOOR.MATH(Table1[[#This Row],[year]],10)</f>
        <v>2000</v>
      </c>
      <c r="D2858" t="s">
        <v>274</v>
      </c>
      <c r="E2858" t="s">
        <v>286</v>
      </c>
      <c r="F2858">
        <v>0</v>
      </c>
      <c r="G2858">
        <v>1</v>
      </c>
      <c r="H2858" t="s">
        <v>224</v>
      </c>
      <c r="I2858" t="s">
        <v>278</v>
      </c>
      <c r="J2858" t="s">
        <v>274</v>
      </c>
      <c r="K2858" t="b">
        <v>0</v>
      </c>
      <c r="L2858">
        <v>2004</v>
      </c>
      <c r="M2858">
        <v>26646007250</v>
      </c>
      <c r="N2858">
        <v>33122307692</v>
      </c>
      <c r="O2858" t="b">
        <v>0</v>
      </c>
      <c r="P2858">
        <v>1</v>
      </c>
      <c r="Q2858" t="str" cm="1">
        <f t="array" ref="Q2858">_xlfn.IFS(Table1[[#This Row],[Wealthier_Winner]]=-1,"Wealthier Nation Loses",Table1[[#This Row],[Wealthier_Winner]]=0,"Tie",Table1[[#This Row],[Wealthier_Winner]]=1,"Wealthier Nation Wins")</f>
        <v>Wealthier Nation Wins</v>
      </c>
    </row>
    <row r="2859" spans="1:17" x14ac:dyDescent="0.2">
      <c r="A2859" s="1">
        <v>4585</v>
      </c>
      <c r="B2859" s="2">
        <v>38171</v>
      </c>
      <c r="C2859" s="7">
        <f>_xlfn.FLOOR.MATH(Table1[[#This Row],[year]],10)</f>
        <v>2000</v>
      </c>
      <c r="D2859" t="s">
        <v>357</v>
      </c>
      <c r="E2859" t="s">
        <v>63</v>
      </c>
      <c r="F2859">
        <v>1</v>
      </c>
      <c r="G2859">
        <v>1</v>
      </c>
      <c r="H2859" t="s">
        <v>224</v>
      </c>
      <c r="I2859" t="s">
        <v>358</v>
      </c>
      <c r="J2859" t="s">
        <v>357</v>
      </c>
      <c r="K2859" t="b">
        <v>0</v>
      </c>
      <c r="L2859">
        <v>2004</v>
      </c>
      <c r="M2859">
        <v>7939487547</v>
      </c>
      <c r="N2859">
        <v>8881417906</v>
      </c>
      <c r="O2859" t="b">
        <v>0</v>
      </c>
      <c r="P2859">
        <v>0</v>
      </c>
      <c r="Q2859" t="str" cm="1">
        <f t="array" ref="Q2859">_xlfn.IFS(Table1[[#This Row],[Wealthier_Winner]]=-1,"Wealthier Nation Loses",Table1[[#This Row],[Wealthier_Winner]]=0,"Tie",Table1[[#This Row],[Wealthier_Winner]]=1,"Wealthier Nation Wins")</f>
        <v>Tie</v>
      </c>
    </row>
    <row r="2860" spans="1:17" x14ac:dyDescent="0.2">
      <c r="A2860" s="1">
        <v>4586</v>
      </c>
      <c r="B2860" s="2">
        <v>38172</v>
      </c>
      <c r="C2860" s="7">
        <f>_xlfn.FLOOR.MATH(Table1[[#This Row],[year]],10)</f>
        <v>2000</v>
      </c>
      <c r="D2860" t="s">
        <v>310</v>
      </c>
      <c r="E2860" t="s">
        <v>212</v>
      </c>
      <c r="F2860">
        <v>3</v>
      </c>
      <c r="G2860">
        <v>3</v>
      </c>
      <c r="H2860" t="s">
        <v>224</v>
      </c>
      <c r="I2860" t="s">
        <v>311</v>
      </c>
      <c r="J2860" t="s">
        <v>310</v>
      </c>
      <c r="K2860" t="b">
        <v>0</v>
      </c>
      <c r="L2860">
        <v>2004</v>
      </c>
      <c r="M2860">
        <v>6190270380</v>
      </c>
      <c r="N2860">
        <v>78782467532</v>
      </c>
      <c r="O2860" t="b">
        <v>1</v>
      </c>
      <c r="P2860">
        <v>0</v>
      </c>
      <c r="Q2860" t="str" cm="1">
        <f t="array" ref="Q2860">_xlfn.IFS(Table1[[#This Row],[Wealthier_Winner]]=-1,"Wealthier Nation Loses",Table1[[#This Row],[Wealthier_Winner]]=0,"Tie",Table1[[#This Row],[Wealthier_Winner]]=1,"Wealthier Nation Wins")</f>
        <v>Tie</v>
      </c>
    </row>
    <row r="2861" spans="1:17" x14ac:dyDescent="0.2">
      <c r="A2861" s="1">
        <v>4588</v>
      </c>
      <c r="B2861" s="2">
        <v>38172</v>
      </c>
      <c r="C2861" s="7">
        <f>_xlfn.FLOOR.MATH(Table1[[#This Row],[year]],10)</f>
        <v>2000</v>
      </c>
      <c r="D2861" t="s">
        <v>378</v>
      </c>
      <c r="E2861" t="s">
        <v>62</v>
      </c>
      <c r="F2861">
        <v>0</v>
      </c>
      <c r="G2861">
        <v>0</v>
      </c>
      <c r="H2861" t="s">
        <v>224</v>
      </c>
      <c r="I2861" t="s">
        <v>595</v>
      </c>
      <c r="J2861" t="s">
        <v>378</v>
      </c>
      <c r="K2861" t="b">
        <v>0</v>
      </c>
      <c r="L2861">
        <v>2004</v>
      </c>
      <c r="M2861">
        <v>897000000</v>
      </c>
      <c r="N2861">
        <v>3191561508</v>
      </c>
      <c r="O2861" t="b">
        <v>1</v>
      </c>
      <c r="P2861">
        <v>0</v>
      </c>
      <c r="Q2861" t="str" cm="1">
        <f t="array" ref="Q2861">_xlfn.IFS(Table1[[#This Row],[Wealthier_Winner]]=-1,"Wealthier Nation Loses",Table1[[#This Row],[Wealthier_Winner]]=0,"Tie",Table1[[#This Row],[Wealthier_Winner]]=1,"Wealthier Nation Wins")</f>
        <v>Tie</v>
      </c>
    </row>
    <row r="2862" spans="1:17" x14ac:dyDescent="0.2">
      <c r="A2862" s="1">
        <v>4590</v>
      </c>
      <c r="B2862" s="2">
        <v>38217</v>
      </c>
      <c r="C2862" s="7">
        <f>_xlfn.FLOOR.MATH(Table1[[#This Row],[year]],10)</f>
        <v>2000</v>
      </c>
      <c r="D2862" t="s">
        <v>34</v>
      </c>
      <c r="E2862" t="s">
        <v>223</v>
      </c>
      <c r="F2862">
        <v>0</v>
      </c>
      <c r="G2862">
        <v>2</v>
      </c>
      <c r="H2862" t="s">
        <v>224</v>
      </c>
      <c r="I2862" t="s">
        <v>467</v>
      </c>
      <c r="J2862" t="s">
        <v>34</v>
      </c>
      <c r="K2862" t="b">
        <v>0</v>
      </c>
      <c r="L2862">
        <v>2004</v>
      </c>
      <c r="M2862">
        <v>1026690238278</v>
      </c>
      <c r="N2862">
        <v>23577298094</v>
      </c>
      <c r="O2862" t="b">
        <v>1</v>
      </c>
      <c r="P2862">
        <v>-1</v>
      </c>
      <c r="Q2862" t="str" cm="1">
        <f t="array" ref="Q2862">_xlfn.IFS(Table1[[#This Row],[Wealthier_Winner]]=-1,"Wealthier Nation Loses",Table1[[#This Row],[Wealthier_Winner]]=0,"Tie",Table1[[#This Row],[Wealthier_Winner]]=1,"Wealthier Nation Wins")</f>
        <v>Wealthier Nation Loses</v>
      </c>
    </row>
    <row r="2863" spans="1:17" x14ac:dyDescent="0.2">
      <c r="A2863" s="1">
        <v>4591</v>
      </c>
      <c r="B2863" s="2">
        <v>38217</v>
      </c>
      <c r="C2863" s="7">
        <f>_xlfn.FLOOR.MATH(Table1[[#This Row],[year]],10)</f>
        <v>2000</v>
      </c>
      <c r="D2863" t="s">
        <v>56</v>
      </c>
      <c r="E2863" t="s">
        <v>65</v>
      </c>
      <c r="F2863">
        <v>2</v>
      </c>
      <c r="G2863">
        <v>5</v>
      </c>
      <c r="H2863" t="s">
        <v>224</v>
      </c>
      <c r="I2863" t="s">
        <v>600</v>
      </c>
      <c r="J2863" t="s">
        <v>56</v>
      </c>
      <c r="K2863" t="b">
        <v>0</v>
      </c>
      <c r="L2863">
        <v>2004</v>
      </c>
      <c r="M2863">
        <v>18610594846</v>
      </c>
      <c r="N2863">
        <v>8869299234</v>
      </c>
      <c r="O2863" t="b">
        <v>1</v>
      </c>
      <c r="P2863">
        <v>-1</v>
      </c>
      <c r="Q2863" t="str" cm="1">
        <f t="array" ref="Q2863">_xlfn.IFS(Table1[[#This Row],[Wealthier_Winner]]=-1,"Wealthier Nation Loses",Table1[[#This Row],[Wealthier_Winner]]=0,"Tie",Table1[[#This Row],[Wealthier_Winner]]=1,"Wealthier Nation Wins")</f>
        <v>Wealthier Nation Loses</v>
      </c>
    </row>
    <row r="2864" spans="1:17" x14ac:dyDescent="0.2">
      <c r="A2864" s="1">
        <v>4592</v>
      </c>
      <c r="B2864" s="2">
        <v>38217</v>
      </c>
      <c r="C2864" s="7">
        <f>_xlfn.FLOOR.MATH(Table1[[#This Row],[year]],10)</f>
        <v>2000</v>
      </c>
      <c r="D2864" t="s">
        <v>69</v>
      </c>
      <c r="E2864" t="s">
        <v>67</v>
      </c>
      <c r="F2864">
        <v>2</v>
      </c>
      <c r="G2864">
        <v>1</v>
      </c>
      <c r="H2864" t="s">
        <v>224</v>
      </c>
      <c r="I2864" t="s">
        <v>281</v>
      </c>
      <c r="J2864" t="s">
        <v>69</v>
      </c>
      <c r="K2864" t="b">
        <v>0</v>
      </c>
      <c r="L2864">
        <v>2004</v>
      </c>
      <c r="M2864">
        <v>13724810900</v>
      </c>
      <c r="N2864">
        <v>15100203361</v>
      </c>
      <c r="O2864" t="b">
        <v>0</v>
      </c>
      <c r="P2864">
        <v>-1</v>
      </c>
      <c r="Q2864" t="str" cm="1">
        <f t="array" ref="Q2864">_xlfn.IFS(Table1[[#This Row],[Wealthier_Winner]]=-1,"Wealthier Nation Loses",Table1[[#This Row],[Wealthier_Winner]]=0,"Tie",Table1[[#This Row],[Wealthier_Winner]]=1,"Wealthier Nation Wins")</f>
        <v>Wealthier Nation Loses</v>
      </c>
    </row>
    <row r="2865" spans="1:17" x14ac:dyDescent="0.2">
      <c r="A2865" s="1">
        <v>4593</v>
      </c>
      <c r="B2865" s="2">
        <v>38217</v>
      </c>
      <c r="C2865" s="7">
        <f>_xlfn.FLOOR.MATH(Table1[[#This Row],[year]],10)</f>
        <v>2000</v>
      </c>
      <c r="D2865" t="s">
        <v>49</v>
      </c>
      <c r="E2865" t="s">
        <v>41</v>
      </c>
      <c r="F2865">
        <v>1</v>
      </c>
      <c r="G2865">
        <v>1</v>
      </c>
      <c r="H2865" t="s">
        <v>224</v>
      </c>
      <c r="I2865" t="s">
        <v>257</v>
      </c>
      <c r="J2865" t="s">
        <v>49</v>
      </c>
      <c r="K2865" t="b">
        <v>0</v>
      </c>
      <c r="L2865">
        <v>2004</v>
      </c>
      <c r="M2865">
        <v>10174664853</v>
      </c>
      <c r="N2865">
        <v>12217193198000</v>
      </c>
      <c r="O2865" t="b">
        <v>1</v>
      </c>
      <c r="P2865">
        <v>0</v>
      </c>
      <c r="Q2865" t="str" cm="1">
        <f t="array" ref="Q2865">_xlfn.IFS(Table1[[#This Row],[Wealthier_Winner]]=-1,"Wealthier Nation Loses",Table1[[#This Row],[Wealthier_Winner]]=0,"Tie",Table1[[#This Row],[Wealthier_Winner]]=1,"Wealthier Nation Wins")</f>
        <v>Tie</v>
      </c>
    </row>
    <row r="2866" spans="1:17" x14ac:dyDescent="0.2">
      <c r="A2866" s="1">
        <v>4594</v>
      </c>
      <c r="B2866" s="2">
        <v>38217</v>
      </c>
      <c r="C2866" s="7">
        <f>_xlfn.FLOOR.MATH(Table1[[#This Row],[year]],10)</f>
        <v>2000</v>
      </c>
      <c r="D2866" t="s">
        <v>503</v>
      </c>
      <c r="E2866" t="s">
        <v>476</v>
      </c>
      <c r="F2866">
        <v>1</v>
      </c>
      <c r="G2866">
        <v>2</v>
      </c>
      <c r="H2866" t="s">
        <v>224</v>
      </c>
      <c r="I2866" t="s">
        <v>603</v>
      </c>
      <c r="J2866" t="s">
        <v>503</v>
      </c>
      <c r="K2866" t="b">
        <v>0</v>
      </c>
      <c r="L2866">
        <v>2004</v>
      </c>
      <c r="M2866">
        <v>3454373797</v>
      </c>
      <c r="N2866">
        <v>12148595031</v>
      </c>
      <c r="O2866" t="b">
        <v>1</v>
      </c>
      <c r="P2866">
        <v>1</v>
      </c>
      <c r="Q2866" t="str" cm="1">
        <f t="array" ref="Q2866">_xlfn.IFS(Table1[[#This Row],[Wealthier_Winner]]=-1,"Wealthier Nation Loses",Table1[[#This Row],[Wealthier_Winner]]=0,"Tie",Table1[[#This Row],[Wealthier_Winner]]=1,"Wealthier Nation Wins")</f>
        <v>Wealthier Nation Wins</v>
      </c>
    </row>
    <row r="2867" spans="1:17" x14ac:dyDescent="0.2">
      <c r="A2867" s="1">
        <v>4595</v>
      </c>
      <c r="B2867" s="2">
        <v>38217</v>
      </c>
      <c r="C2867" s="7">
        <f>_xlfn.FLOOR.MATH(Table1[[#This Row],[year]],10)</f>
        <v>2000</v>
      </c>
      <c r="D2867" t="s">
        <v>44</v>
      </c>
      <c r="E2867" t="s">
        <v>230</v>
      </c>
      <c r="F2867">
        <v>2</v>
      </c>
      <c r="G2867">
        <v>1</v>
      </c>
      <c r="H2867" t="s">
        <v>224</v>
      </c>
      <c r="I2867" t="s">
        <v>425</v>
      </c>
      <c r="J2867" t="s">
        <v>44</v>
      </c>
      <c r="K2867" t="b">
        <v>0</v>
      </c>
      <c r="L2867">
        <v>2004</v>
      </c>
      <c r="M2867">
        <v>74973656851</v>
      </c>
      <c r="N2867">
        <v>197458297639</v>
      </c>
      <c r="O2867" t="b">
        <v>1</v>
      </c>
      <c r="P2867">
        <v>-1</v>
      </c>
      <c r="Q2867" t="str" cm="1">
        <f t="array" ref="Q2867">_xlfn.IFS(Table1[[#This Row],[Wealthier_Winner]]=-1,"Wealthier Nation Loses",Table1[[#This Row],[Wealthier_Winner]]=0,"Tie",Table1[[#This Row],[Wealthier_Winner]]=1,"Wealthier Nation Wins")</f>
        <v>Wealthier Nation Loses</v>
      </c>
    </row>
    <row r="2868" spans="1:17" x14ac:dyDescent="0.2">
      <c r="A2868" s="1">
        <v>4597</v>
      </c>
      <c r="B2868" s="2">
        <v>38217</v>
      </c>
      <c r="C2868" s="7">
        <f>_xlfn.FLOOR.MATH(Table1[[#This Row],[year]],10)</f>
        <v>2000</v>
      </c>
      <c r="D2868" t="s">
        <v>502</v>
      </c>
      <c r="E2868" t="s">
        <v>519</v>
      </c>
      <c r="F2868">
        <v>3</v>
      </c>
      <c r="G2868">
        <v>0</v>
      </c>
      <c r="H2868" t="s">
        <v>224</v>
      </c>
      <c r="I2868" t="s">
        <v>504</v>
      </c>
      <c r="J2868" t="s">
        <v>502</v>
      </c>
      <c r="K2868" t="b">
        <v>0</v>
      </c>
      <c r="L2868">
        <v>2004</v>
      </c>
      <c r="M2868">
        <v>5682784471</v>
      </c>
      <c r="N2868">
        <v>3576615240</v>
      </c>
      <c r="O2868" t="b">
        <v>0</v>
      </c>
      <c r="P2868">
        <v>1</v>
      </c>
      <c r="Q2868" t="str" cm="1">
        <f t="array" ref="Q2868">_xlfn.IFS(Table1[[#This Row],[Wealthier_Winner]]=-1,"Wealthier Nation Loses",Table1[[#This Row],[Wealthier_Winner]]=0,"Tie",Table1[[#This Row],[Wealthier_Winner]]=1,"Wealthier Nation Wins")</f>
        <v>Wealthier Nation Wins</v>
      </c>
    </row>
    <row r="2869" spans="1:17" x14ac:dyDescent="0.2">
      <c r="A2869" s="1">
        <v>4599</v>
      </c>
      <c r="B2869" s="2">
        <v>38233</v>
      </c>
      <c r="C2869" s="7">
        <f>_xlfn.FLOOR.MATH(Table1[[#This Row],[year]],10)</f>
        <v>2000</v>
      </c>
      <c r="D2869" t="s">
        <v>286</v>
      </c>
      <c r="E2869" t="s">
        <v>310</v>
      </c>
      <c r="F2869">
        <v>4</v>
      </c>
      <c r="G2869">
        <v>1</v>
      </c>
      <c r="H2869" t="s">
        <v>224</v>
      </c>
      <c r="I2869" t="s">
        <v>287</v>
      </c>
      <c r="J2869" t="s">
        <v>286</v>
      </c>
      <c r="K2869" t="b">
        <v>0</v>
      </c>
      <c r="L2869">
        <v>2004</v>
      </c>
      <c r="M2869">
        <v>33122307692</v>
      </c>
      <c r="N2869">
        <v>6190270380</v>
      </c>
      <c r="O2869" t="b">
        <v>1</v>
      </c>
      <c r="P2869">
        <v>1</v>
      </c>
      <c r="Q2869" t="str" cm="1">
        <f t="array" ref="Q2869">_xlfn.IFS(Table1[[#This Row],[Wealthier_Winner]]=-1,"Wealthier Nation Loses",Table1[[#This Row],[Wealthier_Winner]]=0,"Tie",Table1[[#This Row],[Wealthier_Winner]]=1,"Wealthier Nation Wins")</f>
        <v>Wealthier Nation Wins</v>
      </c>
    </row>
    <row r="2870" spans="1:17" x14ac:dyDescent="0.2">
      <c r="A2870" s="1">
        <v>4600</v>
      </c>
      <c r="B2870" s="2">
        <v>38234</v>
      </c>
      <c r="C2870" s="7">
        <f>_xlfn.FLOOR.MATH(Table1[[#This Row],[year]],10)</f>
        <v>2000</v>
      </c>
      <c r="D2870" t="s">
        <v>373</v>
      </c>
      <c r="E2870" t="s">
        <v>48</v>
      </c>
      <c r="F2870">
        <v>2</v>
      </c>
      <c r="G2870">
        <v>1</v>
      </c>
      <c r="H2870" t="s">
        <v>224</v>
      </c>
      <c r="I2870" t="s">
        <v>374</v>
      </c>
      <c r="J2870" t="s">
        <v>373</v>
      </c>
      <c r="K2870" t="b">
        <v>0</v>
      </c>
      <c r="L2870">
        <v>2004</v>
      </c>
      <c r="M2870">
        <v>7406645793</v>
      </c>
      <c r="N2870">
        <v>234979615898</v>
      </c>
      <c r="O2870" t="b">
        <v>1</v>
      </c>
      <c r="P2870">
        <v>-1</v>
      </c>
      <c r="Q2870" t="str" cm="1">
        <f t="array" ref="Q2870">_xlfn.IFS(Table1[[#This Row],[Wealthier_Winner]]=-1,"Wealthier Nation Loses",Table1[[#This Row],[Wealthier_Winner]]=0,"Tie",Table1[[#This Row],[Wealthier_Winner]]=1,"Wealthier Nation Wins")</f>
        <v>Wealthier Nation Loses</v>
      </c>
    </row>
    <row r="2871" spans="1:17" x14ac:dyDescent="0.2">
      <c r="A2871" s="1">
        <v>4601</v>
      </c>
      <c r="B2871" s="2">
        <v>38234</v>
      </c>
      <c r="C2871" s="7">
        <f>_xlfn.FLOOR.MATH(Table1[[#This Row],[year]],10)</f>
        <v>2000</v>
      </c>
      <c r="D2871" t="s">
        <v>29</v>
      </c>
      <c r="E2871" t="s">
        <v>194</v>
      </c>
      <c r="F2871">
        <v>2</v>
      </c>
      <c r="G2871">
        <v>2</v>
      </c>
      <c r="H2871" t="s">
        <v>224</v>
      </c>
      <c r="I2871" t="s">
        <v>270</v>
      </c>
      <c r="J2871" t="s">
        <v>29</v>
      </c>
      <c r="K2871" t="b">
        <v>0</v>
      </c>
      <c r="L2871">
        <v>2004</v>
      </c>
      <c r="M2871">
        <v>299210411454</v>
      </c>
      <c r="N2871">
        <v>2429774807762</v>
      </c>
      <c r="O2871" t="b">
        <v>1</v>
      </c>
      <c r="P2871">
        <v>0</v>
      </c>
      <c r="Q2871" t="str" cm="1">
        <f t="array" ref="Q2871">_xlfn.IFS(Table1[[#This Row],[Wealthier_Winner]]=-1,"Wealthier Nation Loses",Table1[[#This Row],[Wealthier_Winner]]=0,"Tie",Table1[[#This Row],[Wealthier_Winner]]=1,"Wealthier Nation Wins")</f>
        <v>Tie</v>
      </c>
    </row>
    <row r="2872" spans="1:17" x14ac:dyDescent="0.2">
      <c r="A2872" s="1">
        <v>4603</v>
      </c>
      <c r="B2872" s="2">
        <v>38234</v>
      </c>
      <c r="C2872" s="7">
        <f>_xlfn.FLOOR.MATH(Table1[[#This Row],[year]],10)</f>
        <v>2000</v>
      </c>
      <c r="D2872" t="s">
        <v>23</v>
      </c>
      <c r="E2872" t="s">
        <v>523</v>
      </c>
      <c r="F2872">
        <v>1</v>
      </c>
      <c r="G2872">
        <v>1</v>
      </c>
      <c r="H2872" t="s">
        <v>224</v>
      </c>
      <c r="I2872" t="s">
        <v>664</v>
      </c>
      <c r="J2872" t="s">
        <v>23</v>
      </c>
      <c r="K2872" t="b">
        <v>0</v>
      </c>
      <c r="L2872">
        <v>2004</v>
      </c>
      <c r="M2872">
        <v>369214712443</v>
      </c>
      <c r="N2872">
        <v>22743164431</v>
      </c>
      <c r="O2872" t="b">
        <v>1</v>
      </c>
      <c r="P2872">
        <v>0</v>
      </c>
      <c r="Q2872" t="str" cm="1">
        <f t="array" ref="Q2872">_xlfn.IFS(Table1[[#This Row],[Wealthier_Winner]]=-1,"Wealthier Nation Loses",Table1[[#This Row],[Wealthier_Winner]]=0,"Tie",Table1[[#This Row],[Wealthier_Winner]]=1,"Wealthier Nation Wins")</f>
        <v>Tie</v>
      </c>
    </row>
    <row r="2873" spans="1:17" x14ac:dyDescent="0.2">
      <c r="A2873" s="1">
        <v>4604</v>
      </c>
      <c r="B2873" s="2">
        <v>38234</v>
      </c>
      <c r="C2873" s="7">
        <f>_xlfn.FLOOR.MATH(Table1[[#This Row],[year]],10)</f>
        <v>2000</v>
      </c>
      <c r="D2873" t="s">
        <v>345</v>
      </c>
      <c r="E2873" t="s">
        <v>357</v>
      </c>
      <c r="F2873">
        <v>2</v>
      </c>
      <c r="G2873">
        <v>0</v>
      </c>
      <c r="H2873" t="s">
        <v>224</v>
      </c>
      <c r="I2873" t="s">
        <v>347</v>
      </c>
      <c r="J2873" t="s">
        <v>345</v>
      </c>
      <c r="K2873" t="b">
        <v>0</v>
      </c>
      <c r="L2873">
        <v>2004</v>
      </c>
      <c r="M2873">
        <v>5451688537</v>
      </c>
      <c r="N2873">
        <v>7939487547</v>
      </c>
      <c r="O2873" t="b">
        <v>0</v>
      </c>
      <c r="P2873">
        <v>-1</v>
      </c>
      <c r="Q2873" t="str" cm="1">
        <f t="array" ref="Q2873">_xlfn.IFS(Table1[[#This Row],[Wealthier_Winner]]=-1,"Wealthier Nation Loses",Table1[[#This Row],[Wealthier_Winner]]=0,"Tie",Table1[[#This Row],[Wealthier_Winner]]=1,"Wealthier Nation Wins")</f>
        <v>Wealthier Nation Loses</v>
      </c>
    </row>
    <row r="2874" spans="1:17" x14ac:dyDescent="0.2">
      <c r="A2874" s="1">
        <v>4605</v>
      </c>
      <c r="B2874" s="2">
        <v>38234</v>
      </c>
      <c r="C2874" s="7">
        <f>_xlfn.FLOOR.MATH(Table1[[#This Row],[year]],10)</f>
        <v>2000</v>
      </c>
      <c r="D2874" t="s">
        <v>34</v>
      </c>
      <c r="E2874" t="s">
        <v>65</v>
      </c>
      <c r="F2874">
        <v>1</v>
      </c>
      <c r="G2874">
        <v>1</v>
      </c>
      <c r="H2874" t="s">
        <v>224</v>
      </c>
      <c r="I2874" t="s">
        <v>488</v>
      </c>
      <c r="J2874" t="s">
        <v>34</v>
      </c>
      <c r="K2874" t="b">
        <v>0</v>
      </c>
      <c r="L2874">
        <v>2004</v>
      </c>
      <c r="M2874">
        <v>1026690238278</v>
      </c>
      <c r="N2874">
        <v>8869299234</v>
      </c>
      <c r="O2874" t="b">
        <v>1</v>
      </c>
      <c r="P2874">
        <v>0</v>
      </c>
      <c r="Q2874" t="str" cm="1">
        <f t="array" ref="Q2874">_xlfn.IFS(Table1[[#This Row],[Wealthier_Winner]]=-1,"Wealthier Nation Loses",Table1[[#This Row],[Wealthier_Winner]]=0,"Tie",Table1[[#This Row],[Wealthier_Winner]]=1,"Wealthier Nation Wins")</f>
        <v>Tie</v>
      </c>
    </row>
    <row r="2875" spans="1:17" x14ac:dyDescent="0.2">
      <c r="A2875" s="1">
        <v>4606</v>
      </c>
      <c r="B2875" s="2">
        <v>38234</v>
      </c>
      <c r="C2875" s="7">
        <f>_xlfn.FLOOR.MATH(Table1[[#This Row],[year]],10)</f>
        <v>2000</v>
      </c>
      <c r="D2875" t="s">
        <v>52</v>
      </c>
      <c r="E2875" t="s">
        <v>30</v>
      </c>
      <c r="F2875">
        <v>3</v>
      </c>
      <c r="G2875">
        <v>0</v>
      </c>
      <c r="H2875" t="s">
        <v>224</v>
      </c>
      <c r="I2875" t="s">
        <v>538</v>
      </c>
      <c r="J2875" t="s">
        <v>52</v>
      </c>
      <c r="K2875" t="b">
        <v>0</v>
      </c>
      <c r="L2875">
        <v>2004</v>
      </c>
      <c r="M2875">
        <v>41836292157</v>
      </c>
      <c r="N2875">
        <v>104015363080</v>
      </c>
      <c r="O2875" t="b">
        <v>1</v>
      </c>
      <c r="P2875">
        <v>-1</v>
      </c>
      <c r="Q2875" t="str" cm="1">
        <f t="array" ref="Q2875">_xlfn.IFS(Table1[[#This Row],[Wealthier_Winner]]=-1,"Wealthier Nation Loses",Table1[[#This Row],[Wealthier_Winner]]=0,"Tie",Table1[[#This Row],[Wealthier_Winner]]=1,"Wealthier Nation Wins")</f>
        <v>Wealthier Nation Loses</v>
      </c>
    </row>
    <row r="2876" spans="1:17" x14ac:dyDescent="0.2">
      <c r="A2876" s="1">
        <v>4607</v>
      </c>
      <c r="B2876" s="2">
        <v>38234</v>
      </c>
      <c r="C2876" s="7">
        <f>_xlfn.FLOOR.MATH(Table1[[#This Row],[year]],10)</f>
        <v>2000</v>
      </c>
      <c r="D2876" t="s">
        <v>36</v>
      </c>
      <c r="E2876" t="s">
        <v>64</v>
      </c>
      <c r="F2876">
        <v>1</v>
      </c>
      <c r="G2876">
        <v>1</v>
      </c>
      <c r="H2876" t="s">
        <v>224</v>
      </c>
      <c r="I2876" t="s">
        <v>264</v>
      </c>
      <c r="J2876" t="s">
        <v>36</v>
      </c>
      <c r="K2876" t="b">
        <v>0</v>
      </c>
      <c r="L2876">
        <v>2004</v>
      </c>
      <c r="M2876">
        <v>251986155630</v>
      </c>
      <c r="N2876">
        <v>67220154164</v>
      </c>
      <c r="O2876" t="b">
        <v>1</v>
      </c>
      <c r="P2876">
        <v>0</v>
      </c>
      <c r="Q2876" t="str" cm="1">
        <f t="array" ref="Q2876">_xlfn.IFS(Table1[[#This Row],[Wealthier_Winner]]=-1,"Wealthier Nation Loses",Table1[[#This Row],[Wealthier_Winner]]=0,"Tie",Table1[[#This Row],[Wealthier_Winner]]=1,"Wealthier Nation Wins")</f>
        <v>Tie</v>
      </c>
    </row>
    <row r="2877" spans="1:17" x14ac:dyDescent="0.2">
      <c r="A2877" s="1">
        <v>4608</v>
      </c>
      <c r="B2877" s="2">
        <v>38234</v>
      </c>
      <c r="C2877" s="7">
        <f>_xlfn.FLOOR.MATH(Table1[[#This Row],[year]],10)</f>
        <v>2000</v>
      </c>
      <c r="D2877" t="s">
        <v>476</v>
      </c>
      <c r="E2877" t="s">
        <v>232</v>
      </c>
      <c r="F2877">
        <v>4</v>
      </c>
      <c r="G2877">
        <v>0</v>
      </c>
      <c r="H2877" t="s">
        <v>224</v>
      </c>
      <c r="I2877" t="s">
        <v>481</v>
      </c>
      <c r="J2877" t="s">
        <v>476</v>
      </c>
      <c r="K2877" t="b">
        <v>0</v>
      </c>
      <c r="L2877">
        <v>2004</v>
      </c>
      <c r="M2877">
        <v>12148595031</v>
      </c>
      <c r="N2877">
        <v>35064843792</v>
      </c>
      <c r="O2877" t="b">
        <v>1</v>
      </c>
      <c r="P2877">
        <v>-1</v>
      </c>
      <c r="Q2877" t="str" cm="1">
        <f t="array" ref="Q2877">_xlfn.IFS(Table1[[#This Row],[Wealthier_Winner]]=-1,"Wealthier Nation Loses",Table1[[#This Row],[Wealthier_Winner]]=0,"Tie",Table1[[#This Row],[Wealthier_Winner]]=1,"Wealthier Nation Wins")</f>
        <v>Wealthier Nation Loses</v>
      </c>
    </row>
    <row r="2878" spans="1:17" x14ac:dyDescent="0.2">
      <c r="A2878" s="1">
        <v>4609</v>
      </c>
      <c r="B2878" s="2">
        <v>38234</v>
      </c>
      <c r="C2878" s="7">
        <f>_xlfn.FLOOR.MATH(Table1[[#This Row],[year]],10)</f>
        <v>2000</v>
      </c>
      <c r="D2878" t="s">
        <v>230</v>
      </c>
      <c r="E2878" t="s">
        <v>601</v>
      </c>
      <c r="F2878">
        <v>3</v>
      </c>
      <c r="G2878">
        <v>0</v>
      </c>
      <c r="H2878" t="s">
        <v>224</v>
      </c>
      <c r="I2878" t="s">
        <v>491</v>
      </c>
      <c r="J2878" t="s">
        <v>230</v>
      </c>
      <c r="K2878" t="b">
        <v>0</v>
      </c>
      <c r="L2878">
        <v>2004</v>
      </c>
      <c r="M2878">
        <v>197458297639</v>
      </c>
      <c r="N2878">
        <v>2900244053</v>
      </c>
      <c r="O2878" t="b">
        <v>1</v>
      </c>
      <c r="P2878">
        <v>1</v>
      </c>
      <c r="Q2878" t="str" cm="1">
        <f t="array" ref="Q2878">_xlfn.IFS(Table1[[#This Row],[Wealthier_Winner]]=-1,"Wealthier Nation Loses",Table1[[#This Row],[Wealthier_Winner]]=0,"Tie",Table1[[#This Row],[Wealthier_Winner]]=1,"Wealthier Nation Wins")</f>
        <v>Wealthier Nation Wins</v>
      </c>
    </row>
    <row r="2879" spans="1:17" x14ac:dyDescent="0.2">
      <c r="A2879" s="1">
        <v>4610</v>
      </c>
      <c r="B2879" s="2">
        <v>38234</v>
      </c>
      <c r="C2879" s="7">
        <f>_xlfn.FLOOR.MATH(Table1[[#This Row],[year]],10)</f>
        <v>2000</v>
      </c>
      <c r="D2879" t="s">
        <v>20</v>
      </c>
      <c r="E2879" t="s">
        <v>22</v>
      </c>
      <c r="F2879">
        <v>0</v>
      </c>
      <c r="G2879">
        <v>0</v>
      </c>
      <c r="H2879" t="s">
        <v>224</v>
      </c>
      <c r="I2879" t="s">
        <v>132</v>
      </c>
      <c r="J2879" t="s">
        <v>20</v>
      </c>
      <c r="K2879" t="b">
        <v>0</v>
      </c>
      <c r="L2879">
        <v>2004</v>
      </c>
      <c r="M2879">
        <v>2109792297237</v>
      </c>
      <c r="N2879">
        <v>140047984605</v>
      </c>
      <c r="O2879" t="b">
        <v>1</v>
      </c>
      <c r="P2879">
        <v>0</v>
      </c>
      <c r="Q2879" t="str" cm="1">
        <f t="array" ref="Q2879">_xlfn.IFS(Table1[[#This Row],[Wealthier_Winner]]=-1,"Wealthier Nation Loses",Table1[[#This Row],[Wealthier_Winner]]=0,"Tie",Table1[[#This Row],[Wealthier_Winner]]=1,"Wealthier Nation Wins")</f>
        <v>Tie</v>
      </c>
    </row>
    <row r="2880" spans="1:17" x14ac:dyDescent="0.2">
      <c r="A2880" s="1">
        <v>4611</v>
      </c>
      <c r="B2880" s="2">
        <v>38234</v>
      </c>
      <c r="C2880" s="7">
        <f>_xlfn.FLOOR.MATH(Table1[[#This Row],[year]],10)</f>
        <v>2000</v>
      </c>
      <c r="D2880" t="s">
        <v>66</v>
      </c>
      <c r="E2880" t="s">
        <v>33</v>
      </c>
      <c r="F2880">
        <v>1</v>
      </c>
      <c r="G2880">
        <v>3</v>
      </c>
      <c r="H2880" t="s">
        <v>224</v>
      </c>
      <c r="I2880" t="s">
        <v>336</v>
      </c>
      <c r="J2880" t="s">
        <v>66</v>
      </c>
      <c r="K2880" t="b">
        <v>0</v>
      </c>
      <c r="L2880">
        <v>2004</v>
      </c>
      <c r="M2880">
        <v>13963943244</v>
      </c>
      <c r="N2880">
        <v>26157743368</v>
      </c>
      <c r="O2880" t="b">
        <v>0</v>
      </c>
      <c r="P2880">
        <v>1</v>
      </c>
      <c r="Q2880" t="str" cm="1">
        <f t="array" ref="Q2880">_xlfn.IFS(Table1[[#This Row],[Wealthier_Winner]]=-1,"Wealthier Nation Loses",Table1[[#This Row],[Wealthier_Winner]]=0,"Tie",Table1[[#This Row],[Wealthier_Winner]]=1,"Wealthier Nation Wins")</f>
        <v>Wealthier Nation Wins</v>
      </c>
    </row>
    <row r="2881" spans="1:17" x14ac:dyDescent="0.2">
      <c r="A2881" s="1">
        <v>4613</v>
      </c>
      <c r="B2881" s="2">
        <v>38234</v>
      </c>
      <c r="C2881" s="7">
        <f>_xlfn.FLOOR.MATH(Table1[[#This Row],[year]],10)</f>
        <v>2000</v>
      </c>
      <c r="D2881" t="s">
        <v>18</v>
      </c>
      <c r="E2881" t="s">
        <v>42</v>
      </c>
      <c r="F2881">
        <v>2</v>
      </c>
      <c r="G2881">
        <v>1</v>
      </c>
      <c r="H2881" t="s">
        <v>224</v>
      </c>
      <c r="I2881" t="s">
        <v>213</v>
      </c>
      <c r="J2881" t="s">
        <v>18</v>
      </c>
      <c r="K2881" t="b">
        <v>0</v>
      </c>
      <c r="L2881">
        <v>2004</v>
      </c>
      <c r="M2881">
        <v>1812808753294</v>
      </c>
      <c r="N2881">
        <v>265268662473</v>
      </c>
      <c r="O2881" t="b">
        <v>1</v>
      </c>
      <c r="P2881">
        <v>1</v>
      </c>
      <c r="Q2881" t="str" cm="1">
        <f t="array" ref="Q2881">_xlfn.IFS(Table1[[#This Row],[Wealthier_Winner]]=-1,"Wealthier Nation Loses",Table1[[#This Row],[Wealthier_Winner]]=0,"Tie",Table1[[#This Row],[Wealthier_Winner]]=1,"Wealthier Nation Wins")</f>
        <v>Wealthier Nation Wins</v>
      </c>
    </row>
    <row r="2882" spans="1:17" x14ac:dyDescent="0.2">
      <c r="A2882" s="1">
        <v>4614</v>
      </c>
      <c r="B2882" s="2">
        <v>38234</v>
      </c>
      <c r="C2882" s="7">
        <f>_xlfn.FLOOR.MATH(Table1[[#This Row],[year]],10)</f>
        <v>2000</v>
      </c>
      <c r="D2882" t="s">
        <v>49</v>
      </c>
      <c r="E2882" t="s">
        <v>67</v>
      </c>
      <c r="F2882">
        <v>1</v>
      </c>
      <c r="G2882">
        <v>2</v>
      </c>
      <c r="H2882" t="s">
        <v>224</v>
      </c>
      <c r="I2882" t="s">
        <v>257</v>
      </c>
      <c r="J2882" t="s">
        <v>49</v>
      </c>
      <c r="K2882" t="b">
        <v>0</v>
      </c>
      <c r="L2882">
        <v>2004</v>
      </c>
      <c r="M2882">
        <v>10174664853</v>
      </c>
      <c r="N2882">
        <v>15100203361</v>
      </c>
      <c r="O2882" t="b">
        <v>0</v>
      </c>
      <c r="P2882">
        <v>1</v>
      </c>
      <c r="Q2882" t="str" cm="1">
        <f t="array" ref="Q2882">_xlfn.IFS(Table1[[#This Row],[Wealthier_Winner]]=-1,"Wealthier Nation Loses",Table1[[#This Row],[Wealthier_Winner]]=0,"Tie",Table1[[#This Row],[Wealthier_Winner]]=1,"Wealthier Nation Wins")</f>
        <v>Wealthier Nation Wins</v>
      </c>
    </row>
    <row r="2883" spans="1:17" x14ac:dyDescent="0.2">
      <c r="A2883" s="1">
        <v>4615</v>
      </c>
      <c r="B2883" s="2">
        <v>38234</v>
      </c>
      <c r="C2883" s="7">
        <f>_xlfn.FLOOR.MATH(Table1[[#This Row],[year]],10)</f>
        <v>2000</v>
      </c>
      <c r="D2883" t="s">
        <v>314</v>
      </c>
      <c r="E2883" t="s">
        <v>370</v>
      </c>
      <c r="F2883">
        <v>3</v>
      </c>
      <c r="G2883">
        <v>2</v>
      </c>
      <c r="H2883" t="s">
        <v>224</v>
      </c>
      <c r="I2883" t="s">
        <v>315</v>
      </c>
      <c r="J2883" t="s">
        <v>314</v>
      </c>
      <c r="K2883" t="b">
        <v>0</v>
      </c>
      <c r="L2883">
        <v>2004</v>
      </c>
      <c r="M2883">
        <v>16095337093</v>
      </c>
      <c r="N2883">
        <v>5058726350</v>
      </c>
      <c r="O2883" t="b">
        <v>1</v>
      </c>
      <c r="P2883">
        <v>1</v>
      </c>
      <c r="Q2883" t="str" cm="1">
        <f t="array" ref="Q2883">_xlfn.IFS(Table1[[#This Row],[Wealthier_Winner]]=-1,"Wealthier Nation Loses",Table1[[#This Row],[Wealthier_Winner]]=0,"Tie",Table1[[#This Row],[Wealthier_Winner]]=1,"Wealthier Nation Wins")</f>
        <v>Wealthier Nation Wins</v>
      </c>
    </row>
    <row r="2884" spans="1:17" x14ac:dyDescent="0.2">
      <c r="A2884" s="1">
        <v>4616</v>
      </c>
      <c r="B2884" s="2">
        <v>38234</v>
      </c>
      <c r="C2884" s="7">
        <f>_xlfn.FLOOR.MATH(Table1[[#This Row],[year]],10)</f>
        <v>2000</v>
      </c>
      <c r="D2884" t="s">
        <v>525</v>
      </c>
      <c r="E2884" t="s">
        <v>38</v>
      </c>
      <c r="F2884">
        <v>0</v>
      </c>
      <c r="G2884">
        <v>2</v>
      </c>
      <c r="H2884" t="s">
        <v>224</v>
      </c>
      <c r="I2884" t="s">
        <v>526</v>
      </c>
      <c r="J2884" t="s">
        <v>525</v>
      </c>
      <c r="K2884" t="b">
        <v>0</v>
      </c>
      <c r="L2884">
        <v>2004</v>
      </c>
      <c r="M2884">
        <v>13827070378</v>
      </c>
      <c r="N2884">
        <v>189382122532</v>
      </c>
      <c r="O2884" t="b">
        <v>1</v>
      </c>
      <c r="P2884">
        <v>1</v>
      </c>
      <c r="Q2884" t="str" cm="1">
        <f t="array" ref="Q2884">_xlfn.IFS(Table1[[#This Row],[Wealthier_Winner]]=-1,"Wealthier Nation Loses",Table1[[#This Row],[Wealthier_Winner]]=0,"Tie",Table1[[#This Row],[Wealthier_Winner]]=1,"Wealthier Nation Wins")</f>
        <v>Wealthier Nation Wins</v>
      </c>
    </row>
    <row r="2885" spans="1:17" x14ac:dyDescent="0.2">
      <c r="A2885" s="1">
        <v>4617</v>
      </c>
      <c r="B2885" s="2">
        <v>38234</v>
      </c>
      <c r="C2885" s="7">
        <f>_xlfn.FLOOR.MATH(Table1[[#This Row],[year]],10)</f>
        <v>2000</v>
      </c>
      <c r="D2885" t="s">
        <v>303</v>
      </c>
      <c r="E2885" t="s">
        <v>25</v>
      </c>
      <c r="F2885">
        <v>0</v>
      </c>
      <c r="G2885">
        <v>7</v>
      </c>
      <c r="H2885" t="s">
        <v>224</v>
      </c>
      <c r="I2885" t="s">
        <v>399</v>
      </c>
      <c r="J2885" t="s">
        <v>303</v>
      </c>
      <c r="K2885" t="b">
        <v>0</v>
      </c>
      <c r="L2885">
        <v>2004</v>
      </c>
      <c r="M2885">
        <v>6104141520</v>
      </c>
      <c r="N2885">
        <v>384545442175</v>
      </c>
      <c r="O2885" t="b">
        <v>1</v>
      </c>
      <c r="P2885">
        <v>1</v>
      </c>
      <c r="Q2885" t="str" cm="1">
        <f t="array" ref="Q2885">_xlfn.IFS(Table1[[#This Row],[Wealthier_Winner]]=-1,"Wealthier Nation Loses",Table1[[#This Row],[Wealthier_Winner]]=0,"Tie",Table1[[#This Row],[Wealthier_Winner]]=1,"Wealthier Nation Wins")</f>
        <v>Wealthier Nation Wins</v>
      </c>
    </row>
    <row r="2886" spans="1:17" x14ac:dyDescent="0.2">
      <c r="A2886" s="1">
        <v>4618</v>
      </c>
      <c r="B2886" s="2">
        <v>38234</v>
      </c>
      <c r="C2886" s="7">
        <f>_xlfn.FLOOR.MATH(Table1[[#This Row],[year]],10)</f>
        <v>2000</v>
      </c>
      <c r="D2886" t="s">
        <v>24</v>
      </c>
      <c r="E2886" t="s">
        <v>53</v>
      </c>
      <c r="F2886">
        <v>1</v>
      </c>
      <c r="G2886">
        <v>1</v>
      </c>
      <c r="H2886" t="s">
        <v>224</v>
      </c>
      <c r="I2886" t="s">
        <v>319</v>
      </c>
      <c r="J2886" t="s">
        <v>24</v>
      </c>
      <c r="K2886" t="b">
        <v>0</v>
      </c>
      <c r="L2886">
        <v>2004</v>
      </c>
      <c r="M2886">
        <v>66114145451</v>
      </c>
      <c r="N2886">
        <v>31183885241</v>
      </c>
      <c r="O2886" t="b">
        <v>1</v>
      </c>
      <c r="P2886">
        <v>0</v>
      </c>
      <c r="Q2886" t="str" cm="1">
        <f t="array" ref="Q2886">_xlfn.IFS(Table1[[#This Row],[Wealthier_Winner]]=-1,"Wealthier Nation Loses",Table1[[#This Row],[Wealthier_Winner]]=0,"Tie",Table1[[#This Row],[Wealthier_Winner]]=1,"Wealthier Nation Wins")</f>
        <v>Tie</v>
      </c>
    </row>
    <row r="2887" spans="1:17" x14ac:dyDescent="0.2">
      <c r="A2887" s="1">
        <v>4620</v>
      </c>
      <c r="B2887" s="2">
        <v>38234</v>
      </c>
      <c r="C2887" s="7">
        <f>_xlfn.FLOOR.MATH(Table1[[#This Row],[year]],10)</f>
        <v>2000</v>
      </c>
      <c r="D2887" t="s">
        <v>31</v>
      </c>
      <c r="E2887" t="s">
        <v>19</v>
      </c>
      <c r="F2887">
        <v>1</v>
      </c>
      <c r="G2887">
        <v>3</v>
      </c>
      <c r="H2887" t="s">
        <v>224</v>
      </c>
      <c r="I2887" t="s">
        <v>242</v>
      </c>
      <c r="J2887" t="s">
        <v>31</v>
      </c>
      <c r="K2887" t="b">
        <v>0</v>
      </c>
      <c r="L2887">
        <v>2004</v>
      </c>
      <c r="M2887">
        <v>66768703497</v>
      </c>
      <c r="N2887">
        <v>164657930452</v>
      </c>
      <c r="O2887" t="b">
        <v>1</v>
      </c>
      <c r="P2887">
        <v>1</v>
      </c>
      <c r="Q2887" t="str" cm="1">
        <f t="array" ref="Q2887">_xlfn.IFS(Table1[[#This Row],[Wealthier_Winner]]=-1,"Wealthier Nation Loses",Table1[[#This Row],[Wealthier_Winner]]=0,"Tie",Table1[[#This Row],[Wealthier_Winner]]=1,"Wealthier Nation Wins")</f>
        <v>Wealthier Nation Wins</v>
      </c>
    </row>
    <row r="2888" spans="1:17" x14ac:dyDescent="0.2">
      <c r="A2888" s="1">
        <v>4621</v>
      </c>
      <c r="B2888" s="2">
        <v>38234</v>
      </c>
      <c r="C2888" s="7">
        <f>_xlfn.FLOOR.MATH(Table1[[#This Row],[year]],10)</f>
        <v>2000</v>
      </c>
      <c r="D2888" t="s">
        <v>44</v>
      </c>
      <c r="E2888" t="s">
        <v>502</v>
      </c>
      <c r="F2888">
        <v>2</v>
      </c>
      <c r="G2888">
        <v>1</v>
      </c>
      <c r="H2888" t="s">
        <v>224</v>
      </c>
      <c r="I2888" t="s">
        <v>665</v>
      </c>
      <c r="J2888" t="s">
        <v>44</v>
      </c>
      <c r="K2888" t="b">
        <v>0</v>
      </c>
      <c r="L2888">
        <v>2004</v>
      </c>
      <c r="M2888">
        <v>74973656851</v>
      </c>
      <c r="N2888">
        <v>5682784471</v>
      </c>
      <c r="O2888" t="b">
        <v>1</v>
      </c>
      <c r="P2888">
        <v>1</v>
      </c>
      <c r="Q2888" t="str" cm="1">
        <f t="array" ref="Q2888">_xlfn.IFS(Table1[[#This Row],[Wealthier_Winner]]=-1,"Wealthier Nation Loses",Table1[[#This Row],[Wealthier_Winner]]=0,"Tie",Table1[[#This Row],[Wealthier_Winner]]=1,"Wealthier Nation Wins")</f>
        <v>Wealthier Nation Wins</v>
      </c>
    </row>
    <row r="2889" spans="1:17" x14ac:dyDescent="0.2">
      <c r="A2889" s="1">
        <v>4623</v>
      </c>
      <c r="B2889" s="2">
        <v>38234</v>
      </c>
      <c r="C2889" s="7">
        <f>_xlfn.FLOOR.MATH(Table1[[#This Row],[year]],10)</f>
        <v>2000</v>
      </c>
      <c r="D2889" t="s">
        <v>549</v>
      </c>
      <c r="E2889" t="s">
        <v>61</v>
      </c>
      <c r="F2889">
        <v>0</v>
      </c>
      <c r="G2889">
        <v>3</v>
      </c>
      <c r="H2889" t="s">
        <v>224</v>
      </c>
      <c r="I2889" t="s">
        <v>555</v>
      </c>
      <c r="J2889" t="s">
        <v>549</v>
      </c>
      <c r="K2889" t="b">
        <v>0</v>
      </c>
      <c r="L2889">
        <v>2004</v>
      </c>
      <c r="M2889">
        <v>1715340542</v>
      </c>
      <c r="N2889">
        <v>26845632341</v>
      </c>
      <c r="O2889" t="b">
        <v>1</v>
      </c>
      <c r="P2889">
        <v>1</v>
      </c>
      <c r="Q2889" t="str" cm="1">
        <f t="array" ref="Q2889">_xlfn.IFS(Table1[[#This Row],[Wealthier_Winner]]=-1,"Wealthier Nation Loses",Table1[[#This Row],[Wealthier_Winner]]=0,"Tie",Table1[[#This Row],[Wealthier_Winner]]=1,"Wealthier Nation Wins")</f>
        <v>Wealthier Nation Wins</v>
      </c>
    </row>
    <row r="2890" spans="1:17" x14ac:dyDescent="0.2">
      <c r="A2890" s="1">
        <v>4624</v>
      </c>
      <c r="B2890" s="2">
        <v>38234</v>
      </c>
      <c r="C2890" s="7">
        <f>_xlfn.FLOOR.MATH(Table1[[#This Row],[year]],10)</f>
        <v>2000</v>
      </c>
      <c r="D2890" t="s">
        <v>55</v>
      </c>
      <c r="E2890" t="s">
        <v>527</v>
      </c>
      <c r="F2890">
        <v>3</v>
      </c>
      <c r="G2890">
        <v>0</v>
      </c>
      <c r="H2890" t="s">
        <v>224</v>
      </c>
      <c r="I2890" t="s">
        <v>666</v>
      </c>
      <c r="J2890" t="s">
        <v>55</v>
      </c>
      <c r="K2890" t="b">
        <v>0</v>
      </c>
      <c r="L2890">
        <v>2004</v>
      </c>
      <c r="M2890">
        <v>34156553313</v>
      </c>
      <c r="N2890">
        <v>2598249555</v>
      </c>
      <c r="O2890" t="b">
        <v>1</v>
      </c>
      <c r="P2890">
        <v>1</v>
      </c>
      <c r="Q2890" t="str" cm="1">
        <f t="array" ref="Q2890">_xlfn.IFS(Table1[[#This Row],[Wealthier_Winner]]=-1,"Wealthier Nation Loses",Table1[[#This Row],[Wealthier_Winner]]=0,"Tie",Table1[[#This Row],[Wealthier_Winner]]=1,"Wealthier Nation Wins")</f>
        <v>Wealthier Nation Wins</v>
      </c>
    </row>
    <row r="2891" spans="1:17" x14ac:dyDescent="0.2">
      <c r="A2891" s="1">
        <v>4626</v>
      </c>
      <c r="B2891" s="2">
        <v>38234</v>
      </c>
      <c r="C2891" s="7">
        <f>_xlfn.FLOOR.MATH(Table1[[#This Row],[year]],10)</f>
        <v>2000</v>
      </c>
      <c r="D2891" t="s">
        <v>46</v>
      </c>
      <c r="E2891" t="s">
        <v>447</v>
      </c>
      <c r="F2891">
        <v>6</v>
      </c>
      <c r="G2891">
        <v>0</v>
      </c>
      <c r="H2891" t="s">
        <v>224</v>
      </c>
      <c r="I2891" t="s">
        <v>269</v>
      </c>
      <c r="J2891" t="s">
        <v>46</v>
      </c>
      <c r="K2891" t="b">
        <v>0</v>
      </c>
      <c r="L2891">
        <v>2004</v>
      </c>
      <c r="M2891">
        <v>403912891033</v>
      </c>
      <c r="N2891">
        <v>1724770770</v>
      </c>
      <c r="O2891" t="b">
        <v>1</v>
      </c>
      <c r="P2891">
        <v>1</v>
      </c>
      <c r="Q2891" t="str" cm="1">
        <f t="array" ref="Q2891">_xlfn.IFS(Table1[[#This Row],[Wealthier_Winner]]=-1,"Wealthier Nation Loses",Table1[[#This Row],[Wealthier_Winner]]=0,"Tie",Table1[[#This Row],[Wealthier_Winner]]=1,"Wealthier Nation Wins")</f>
        <v>Wealthier Nation Wins</v>
      </c>
    </row>
    <row r="2892" spans="1:17" x14ac:dyDescent="0.2">
      <c r="A2892" s="1">
        <v>4628</v>
      </c>
      <c r="B2892" s="2">
        <v>38234</v>
      </c>
      <c r="C2892" s="7">
        <f>_xlfn.FLOOR.MATH(Table1[[#This Row],[year]],10)</f>
        <v>2000</v>
      </c>
      <c r="D2892" t="s">
        <v>41</v>
      </c>
      <c r="E2892" t="s">
        <v>69</v>
      </c>
      <c r="F2892">
        <v>2</v>
      </c>
      <c r="G2892">
        <v>0</v>
      </c>
      <c r="H2892" t="s">
        <v>224</v>
      </c>
      <c r="I2892" t="s">
        <v>123</v>
      </c>
      <c r="J2892" t="s">
        <v>41</v>
      </c>
      <c r="K2892" t="b">
        <v>0</v>
      </c>
      <c r="L2892">
        <v>2004</v>
      </c>
      <c r="M2892">
        <v>12217193198000</v>
      </c>
      <c r="N2892">
        <v>13724810900</v>
      </c>
      <c r="O2892" t="b">
        <v>1</v>
      </c>
      <c r="P2892">
        <v>1</v>
      </c>
      <c r="Q2892" t="str" cm="1">
        <f t="array" ref="Q2892">_xlfn.IFS(Table1[[#This Row],[Wealthier_Winner]]=-1,"Wealthier Nation Loses",Table1[[#This Row],[Wealthier_Winner]]=0,"Tie",Table1[[#This Row],[Wealthier_Winner]]=1,"Wealthier Nation Wins")</f>
        <v>Wealthier Nation Wins</v>
      </c>
    </row>
    <row r="2893" spans="1:17" x14ac:dyDescent="0.2">
      <c r="A2893" s="1">
        <v>4629</v>
      </c>
      <c r="B2893" s="2">
        <v>38234</v>
      </c>
      <c r="C2893" s="7">
        <f>_xlfn.FLOOR.MATH(Table1[[#This Row],[year]],10)</f>
        <v>2000</v>
      </c>
      <c r="D2893" t="s">
        <v>273</v>
      </c>
      <c r="E2893" t="s">
        <v>378</v>
      </c>
      <c r="F2893">
        <v>1</v>
      </c>
      <c r="G2893">
        <v>0</v>
      </c>
      <c r="H2893" t="s">
        <v>224</v>
      </c>
      <c r="I2893" t="s">
        <v>330</v>
      </c>
      <c r="J2893" t="s">
        <v>273</v>
      </c>
      <c r="K2893" t="b">
        <v>0</v>
      </c>
      <c r="L2893">
        <v>2004</v>
      </c>
      <c r="M2893">
        <v>6221110219</v>
      </c>
      <c r="N2893">
        <v>897000000</v>
      </c>
      <c r="O2893" t="b">
        <v>1</v>
      </c>
      <c r="P2893">
        <v>1</v>
      </c>
      <c r="Q2893" t="str" cm="1">
        <f t="array" ref="Q2893">_xlfn.IFS(Table1[[#This Row],[Wealthier_Winner]]=-1,"Wealthier Nation Loses",Table1[[#This Row],[Wealthier_Winner]]=0,"Tie",Table1[[#This Row],[Wealthier_Winner]]=1,"Wealthier Nation Wins")</f>
        <v>Wealthier Nation Wins</v>
      </c>
    </row>
    <row r="2894" spans="1:17" x14ac:dyDescent="0.2">
      <c r="A2894" s="1">
        <v>4630</v>
      </c>
      <c r="B2894" s="2">
        <v>38235</v>
      </c>
      <c r="C2894" s="7">
        <f>_xlfn.FLOOR.MATH(Table1[[#This Row],[year]],10)</f>
        <v>2000</v>
      </c>
      <c r="D2894" t="s">
        <v>32</v>
      </c>
      <c r="E2894" t="s">
        <v>433</v>
      </c>
      <c r="F2894">
        <v>0</v>
      </c>
      <c r="G2894">
        <v>3</v>
      </c>
      <c r="H2894" t="s">
        <v>224</v>
      </c>
      <c r="I2894" t="s">
        <v>428</v>
      </c>
      <c r="J2894" t="s">
        <v>32</v>
      </c>
      <c r="K2894" t="b">
        <v>0</v>
      </c>
      <c r="L2894">
        <v>2004</v>
      </c>
      <c r="M2894">
        <v>91913680985</v>
      </c>
      <c r="N2894">
        <v>7770219008</v>
      </c>
      <c r="O2894" t="b">
        <v>1</v>
      </c>
      <c r="P2894">
        <v>-1</v>
      </c>
      <c r="Q2894" t="str" cm="1">
        <f t="array" ref="Q2894">_xlfn.IFS(Table1[[#This Row],[Wealthier_Winner]]=-1,"Wealthier Nation Loses",Table1[[#This Row],[Wealthier_Winner]]=0,"Tie",Table1[[#This Row],[Wealthier_Winner]]=1,"Wealthier Nation Wins")</f>
        <v>Wealthier Nation Loses</v>
      </c>
    </row>
    <row r="2895" spans="1:17" x14ac:dyDescent="0.2">
      <c r="A2895" s="1">
        <v>4631</v>
      </c>
      <c r="B2895" s="2">
        <v>38235</v>
      </c>
      <c r="C2895" s="7">
        <f>_xlfn.FLOOR.MATH(Table1[[#This Row],[year]],10)</f>
        <v>2000</v>
      </c>
      <c r="D2895" t="s">
        <v>60</v>
      </c>
      <c r="E2895" t="s">
        <v>514</v>
      </c>
      <c r="F2895">
        <v>1</v>
      </c>
      <c r="G2895">
        <v>0</v>
      </c>
      <c r="H2895" t="s">
        <v>224</v>
      </c>
      <c r="I2895" t="s">
        <v>396</v>
      </c>
      <c r="J2895" t="s">
        <v>60</v>
      </c>
      <c r="K2895" t="b">
        <v>0</v>
      </c>
      <c r="L2895">
        <v>2004</v>
      </c>
      <c r="M2895">
        <v>26997977896</v>
      </c>
      <c r="N2895">
        <v>2376496067</v>
      </c>
      <c r="O2895" t="b">
        <v>1</v>
      </c>
      <c r="P2895">
        <v>1</v>
      </c>
      <c r="Q2895" t="str" cm="1">
        <f t="array" ref="Q2895">_xlfn.IFS(Table1[[#This Row],[Wealthier_Winner]]=-1,"Wealthier Nation Loses",Table1[[#This Row],[Wealthier_Winner]]=0,"Tie",Table1[[#This Row],[Wealthier_Winner]]=1,"Wealthier Nation Wins")</f>
        <v>Wealthier Nation Wins</v>
      </c>
    </row>
    <row r="2896" spans="1:17" x14ac:dyDescent="0.2">
      <c r="A2896" s="1">
        <v>4632</v>
      </c>
      <c r="B2896" s="2">
        <v>38235</v>
      </c>
      <c r="C2896" s="7">
        <f>_xlfn.FLOOR.MATH(Table1[[#This Row],[year]],10)</f>
        <v>2000</v>
      </c>
      <c r="D2896" t="s">
        <v>13</v>
      </c>
      <c r="E2896" t="s">
        <v>47</v>
      </c>
      <c r="F2896">
        <v>3</v>
      </c>
      <c r="G2896">
        <v>1</v>
      </c>
      <c r="H2896" t="s">
        <v>224</v>
      </c>
      <c r="I2896" t="s">
        <v>417</v>
      </c>
      <c r="J2896" t="s">
        <v>13</v>
      </c>
      <c r="K2896" t="b">
        <v>0</v>
      </c>
      <c r="L2896">
        <v>2004</v>
      </c>
      <c r="M2896">
        <v>669289321944</v>
      </c>
      <c r="N2896">
        <v>8773451751</v>
      </c>
      <c r="O2896" t="b">
        <v>1</v>
      </c>
      <c r="P2896">
        <v>1</v>
      </c>
      <c r="Q2896" t="str" cm="1">
        <f t="array" ref="Q2896">_xlfn.IFS(Table1[[#This Row],[Wealthier_Winner]]=-1,"Wealthier Nation Loses",Table1[[#This Row],[Wealthier_Winner]]=0,"Tie",Table1[[#This Row],[Wealthier_Winner]]=1,"Wealthier Nation Wins")</f>
        <v>Wealthier Nation Wins</v>
      </c>
    </row>
    <row r="2897" spans="1:17" x14ac:dyDescent="0.2">
      <c r="A2897" s="1">
        <v>4633</v>
      </c>
      <c r="B2897" s="2">
        <v>38235</v>
      </c>
      <c r="C2897" s="7">
        <f>_xlfn.FLOOR.MATH(Table1[[#This Row],[year]],10)</f>
        <v>2000</v>
      </c>
      <c r="D2897" t="s">
        <v>14</v>
      </c>
      <c r="E2897" t="s">
        <v>15</v>
      </c>
      <c r="F2897">
        <v>0</v>
      </c>
      <c r="G2897">
        <v>0</v>
      </c>
      <c r="H2897" t="s">
        <v>224</v>
      </c>
      <c r="I2897" t="s">
        <v>75</v>
      </c>
      <c r="J2897" t="s">
        <v>14</v>
      </c>
      <c r="K2897" t="b">
        <v>0</v>
      </c>
      <c r="L2897">
        <v>2004</v>
      </c>
      <c r="M2897">
        <v>99075985773</v>
      </c>
      <c r="N2897">
        <v>117092416666</v>
      </c>
      <c r="O2897" t="b">
        <v>0</v>
      </c>
      <c r="P2897">
        <v>0</v>
      </c>
      <c r="Q2897" t="str" cm="1">
        <f t="array" ref="Q2897">_xlfn.IFS(Table1[[#This Row],[Wealthier_Winner]]=-1,"Wealthier Nation Loses",Table1[[#This Row],[Wealthier_Winner]]=0,"Tie",Table1[[#This Row],[Wealthier_Winner]]=1,"Wealthier Nation Wins")</f>
        <v>Tie</v>
      </c>
    </row>
    <row r="2898" spans="1:17" x14ac:dyDescent="0.2">
      <c r="A2898" s="1">
        <v>4635</v>
      </c>
      <c r="B2898" s="2">
        <v>38235</v>
      </c>
      <c r="C2898" s="7">
        <f>_xlfn.FLOOR.MATH(Table1[[#This Row],[year]],10)</f>
        <v>2000</v>
      </c>
      <c r="D2898" t="s">
        <v>212</v>
      </c>
      <c r="E2898" t="s">
        <v>40</v>
      </c>
      <c r="F2898">
        <v>3</v>
      </c>
      <c r="G2898">
        <v>2</v>
      </c>
      <c r="H2898" t="s">
        <v>224</v>
      </c>
      <c r="I2898" t="s">
        <v>322</v>
      </c>
      <c r="J2898" t="s">
        <v>212</v>
      </c>
      <c r="K2898" t="b">
        <v>0</v>
      </c>
      <c r="L2898">
        <v>2004</v>
      </c>
      <c r="M2898">
        <v>78782467532</v>
      </c>
      <c r="N2898">
        <v>18826214135</v>
      </c>
      <c r="O2898" t="b">
        <v>1</v>
      </c>
      <c r="P2898">
        <v>1</v>
      </c>
      <c r="Q2898" t="str" cm="1">
        <f t="array" ref="Q2898">_xlfn.IFS(Table1[[#This Row],[Wealthier_Winner]]=-1,"Wealthier Nation Loses",Table1[[#This Row],[Wealthier_Winner]]=0,"Tie",Table1[[#This Row],[Wealthier_Winner]]=1,"Wealthier Nation Wins")</f>
        <v>Wealthier Nation Wins</v>
      </c>
    </row>
    <row r="2899" spans="1:17" x14ac:dyDescent="0.2">
      <c r="A2899" s="1">
        <v>4637</v>
      </c>
      <c r="B2899" s="2">
        <v>38235</v>
      </c>
      <c r="C2899" s="7">
        <f>_xlfn.FLOOR.MATH(Table1[[#This Row],[year]],10)</f>
        <v>2000</v>
      </c>
      <c r="D2899" t="s">
        <v>223</v>
      </c>
      <c r="E2899" t="s">
        <v>56</v>
      </c>
      <c r="F2899">
        <v>2</v>
      </c>
      <c r="G2899">
        <v>1</v>
      </c>
      <c r="H2899" t="s">
        <v>224</v>
      </c>
      <c r="I2899" t="s">
        <v>227</v>
      </c>
      <c r="J2899" t="s">
        <v>223</v>
      </c>
      <c r="K2899" t="b">
        <v>0</v>
      </c>
      <c r="L2899">
        <v>2004</v>
      </c>
      <c r="M2899">
        <v>23577298094</v>
      </c>
      <c r="N2899">
        <v>18610594846</v>
      </c>
      <c r="O2899" t="b">
        <v>0</v>
      </c>
      <c r="P2899">
        <v>1</v>
      </c>
      <c r="Q2899" t="str" cm="1">
        <f t="array" ref="Q2899">_xlfn.IFS(Table1[[#This Row],[Wealthier_Winner]]=-1,"Wealthier Nation Loses",Table1[[#This Row],[Wealthier_Winner]]=0,"Tie",Table1[[#This Row],[Wealthier_Winner]]=1,"Wealthier Nation Wins")</f>
        <v>Wealthier Nation Wins</v>
      </c>
    </row>
    <row r="2900" spans="1:17" x14ac:dyDescent="0.2">
      <c r="A2900" s="1">
        <v>4638</v>
      </c>
      <c r="B2900" s="2">
        <v>38235</v>
      </c>
      <c r="C2900" s="7">
        <f>_xlfn.FLOOR.MATH(Table1[[#This Row],[year]],10)</f>
        <v>2000</v>
      </c>
      <c r="D2900" t="s">
        <v>305</v>
      </c>
      <c r="E2900" t="s">
        <v>469</v>
      </c>
      <c r="F2900">
        <v>4</v>
      </c>
      <c r="G2900">
        <v>0</v>
      </c>
      <c r="H2900" t="s">
        <v>224</v>
      </c>
      <c r="I2900" t="s">
        <v>306</v>
      </c>
      <c r="J2900" t="s">
        <v>305</v>
      </c>
      <c r="K2900" t="b">
        <v>0</v>
      </c>
      <c r="L2900">
        <v>2004</v>
      </c>
      <c r="M2900">
        <v>5300767960</v>
      </c>
      <c r="N2900">
        <v>8957467706</v>
      </c>
      <c r="O2900" t="b">
        <v>0</v>
      </c>
      <c r="P2900">
        <v>-1</v>
      </c>
      <c r="Q2900" t="str" cm="1">
        <f t="array" ref="Q2900">_xlfn.IFS(Table1[[#This Row],[Wealthier_Winner]]=-1,"Wealthier Nation Loses",Table1[[#This Row],[Wealthier_Winner]]=0,"Tie",Table1[[#This Row],[Wealthier_Winner]]=1,"Wealthier Nation Wins")</f>
        <v>Wealthier Nation Loses</v>
      </c>
    </row>
    <row r="2901" spans="1:17" x14ac:dyDescent="0.2">
      <c r="A2901" s="1">
        <v>4640</v>
      </c>
      <c r="B2901" s="2">
        <v>38235</v>
      </c>
      <c r="C2901" s="7">
        <f>_xlfn.FLOOR.MATH(Table1[[#This Row],[year]],10)</f>
        <v>2000</v>
      </c>
      <c r="D2901" t="s">
        <v>590</v>
      </c>
      <c r="E2901" t="s">
        <v>54</v>
      </c>
      <c r="F2901">
        <v>2</v>
      </c>
      <c r="G2901">
        <v>2</v>
      </c>
      <c r="H2901" t="s">
        <v>224</v>
      </c>
      <c r="I2901" t="s">
        <v>596</v>
      </c>
      <c r="J2901" t="s">
        <v>590</v>
      </c>
      <c r="K2901" t="b">
        <v>0</v>
      </c>
      <c r="L2901">
        <v>2004</v>
      </c>
      <c r="M2901">
        <v>6485774930</v>
      </c>
      <c r="N2901">
        <v>10076816666</v>
      </c>
      <c r="O2901" t="b">
        <v>0</v>
      </c>
      <c r="P2901">
        <v>0</v>
      </c>
      <c r="Q2901" t="str" cm="1">
        <f t="array" ref="Q2901">_xlfn.IFS(Table1[[#This Row],[Wealthier_Winner]]=-1,"Wealthier Nation Loses",Table1[[#This Row],[Wealthier_Winner]]=0,"Tie",Table1[[#This Row],[Wealthier_Winner]]=1,"Wealthier Nation Wins")</f>
        <v>Tie</v>
      </c>
    </row>
    <row r="2902" spans="1:17" x14ac:dyDescent="0.2">
      <c r="A2902" s="1">
        <v>4641</v>
      </c>
      <c r="B2902" s="2">
        <v>38235</v>
      </c>
      <c r="C2902" s="7">
        <f>_xlfn.FLOOR.MATH(Table1[[#This Row],[year]],10)</f>
        <v>2000</v>
      </c>
      <c r="D2902" t="s">
        <v>35</v>
      </c>
      <c r="E2902" t="s">
        <v>258</v>
      </c>
      <c r="F2902">
        <v>1</v>
      </c>
      <c r="G2902">
        <v>0</v>
      </c>
      <c r="H2902" t="s">
        <v>224</v>
      </c>
      <c r="I2902" t="s">
        <v>250</v>
      </c>
      <c r="J2902" t="s">
        <v>35</v>
      </c>
      <c r="K2902" t="b">
        <v>0</v>
      </c>
      <c r="L2902">
        <v>2004</v>
      </c>
      <c r="M2902">
        <v>9624440836</v>
      </c>
      <c r="N2902">
        <v>112451400424</v>
      </c>
      <c r="O2902" t="b">
        <v>1</v>
      </c>
      <c r="P2902">
        <v>-1</v>
      </c>
      <c r="Q2902" t="str" cm="1">
        <f t="array" ref="Q2902">_xlfn.IFS(Table1[[#This Row],[Wealthier_Winner]]=-1,"Wealthier Nation Loses",Table1[[#This Row],[Wealthier_Winner]]=0,"Tie",Table1[[#This Row],[Wealthier_Winner]]=1,"Wealthier Nation Wins")</f>
        <v>Wealthier Nation Loses</v>
      </c>
    </row>
    <row r="2903" spans="1:17" x14ac:dyDescent="0.2">
      <c r="A2903" s="1">
        <v>4643</v>
      </c>
      <c r="B2903" s="2">
        <v>38235</v>
      </c>
      <c r="C2903" s="7">
        <f>_xlfn.FLOOR.MATH(Table1[[#This Row],[year]],10)</f>
        <v>2000</v>
      </c>
      <c r="D2903" t="s">
        <v>26</v>
      </c>
      <c r="E2903" t="s">
        <v>57</v>
      </c>
      <c r="F2903">
        <v>1</v>
      </c>
      <c r="G2903">
        <v>0</v>
      </c>
      <c r="H2903" t="s">
        <v>224</v>
      </c>
      <c r="I2903" t="s">
        <v>247</v>
      </c>
      <c r="J2903" t="s">
        <v>26</v>
      </c>
      <c r="K2903" t="b">
        <v>0</v>
      </c>
      <c r="L2903">
        <v>2004</v>
      </c>
      <c r="M2903">
        <v>13686329890</v>
      </c>
      <c r="N2903">
        <v>35194947000</v>
      </c>
      <c r="O2903" t="b">
        <v>1</v>
      </c>
      <c r="P2903">
        <v>-1</v>
      </c>
      <c r="Q2903" t="str" cm="1">
        <f t="array" ref="Q2903">_xlfn.IFS(Table1[[#This Row],[Wealthier_Winner]]=-1,"Wealthier Nation Loses",Table1[[#This Row],[Wealthier_Winner]]=0,"Tie",Table1[[#This Row],[Wealthier_Winner]]=1,"Wealthier Nation Wins")</f>
        <v>Wealthier Nation Loses</v>
      </c>
    </row>
    <row r="2904" spans="1:17" x14ac:dyDescent="0.2">
      <c r="A2904" s="1">
        <v>4644</v>
      </c>
      <c r="B2904" s="2">
        <v>38235</v>
      </c>
      <c r="C2904" s="7">
        <f>_xlfn.FLOOR.MATH(Table1[[#This Row],[year]],10)</f>
        <v>2000</v>
      </c>
      <c r="D2904" t="s">
        <v>298</v>
      </c>
      <c r="E2904" t="s">
        <v>43</v>
      </c>
      <c r="F2904">
        <v>0</v>
      </c>
      <c r="G2904">
        <v>3</v>
      </c>
      <c r="H2904" t="s">
        <v>224</v>
      </c>
      <c r="I2904" t="s">
        <v>377</v>
      </c>
      <c r="J2904" t="s">
        <v>298</v>
      </c>
      <c r="K2904" t="b">
        <v>0</v>
      </c>
      <c r="L2904">
        <v>2004</v>
      </c>
      <c r="M2904">
        <v>5808500000</v>
      </c>
      <c r="N2904">
        <v>135764731645</v>
      </c>
      <c r="O2904" t="b">
        <v>1</v>
      </c>
      <c r="P2904">
        <v>1</v>
      </c>
      <c r="Q2904" t="str" cm="1">
        <f t="array" ref="Q2904">_xlfn.IFS(Table1[[#This Row],[Wealthier_Winner]]=-1,"Wealthier Nation Loses",Table1[[#This Row],[Wealthier_Winner]]=0,"Tie",Table1[[#This Row],[Wealthier_Winner]]=1,"Wealthier Nation Wins")</f>
        <v>Wealthier Nation Wins</v>
      </c>
    </row>
    <row r="2905" spans="1:17" x14ac:dyDescent="0.2">
      <c r="A2905" s="1">
        <v>4645</v>
      </c>
      <c r="B2905" s="2">
        <v>38238</v>
      </c>
      <c r="C2905" s="7">
        <f>_xlfn.FLOOR.MATH(Table1[[#This Row],[year]],10)</f>
        <v>2000</v>
      </c>
      <c r="D2905" t="s">
        <v>601</v>
      </c>
      <c r="E2905" t="s">
        <v>44</v>
      </c>
      <c r="F2905">
        <v>1</v>
      </c>
      <c r="G2905">
        <v>5</v>
      </c>
      <c r="H2905" t="s">
        <v>224</v>
      </c>
      <c r="I2905" t="s">
        <v>602</v>
      </c>
      <c r="J2905" t="s">
        <v>601</v>
      </c>
      <c r="K2905" t="b">
        <v>0</v>
      </c>
      <c r="L2905">
        <v>2004</v>
      </c>
      <c r="M2905">
        <v>2900244053</v>
      </c>
      <c r="N2905">
        <v>74973656851</v>
      </c>
      <c r="O2905" t="b">
        <v>1</v>
      </c>
      <c r="P2905">
        <v>1</v>
      </c>
      <c r="Q2905" t="str" cm="1">
        <f t="array" ref="Q2905">_xlfn.IFS(Table1[[#This Row],[Wealthier_Winner]]=-1,"Wealthier Nation Loses",Table1[[#This Row],[Wealthier_Winner]]=0,"Tie",Table1[[#This Row],[Wealthier_Winner]]=1,"Wealthier Nation Wins")</f>
        <v>Wealthier Nation Wins</v>
      </c>
    </row>
    <row r="2906" spans="1:17" x14ac:dyDescent="0.2">
      <c r="A2906" s="1">
        <v>4646</v>
      </c>
      <c r="B2906" s="2">
        <v>38238</v>
      </c>
      <c r="C2906" s="7">
        <f>_xlfn.FLOOR.MATH(Table1[[#This Row],[year]],10)</f>
        <v>2000</v>
      </c>
      <c r="D2906" t="s">
        <v>519</v>
      </c>
      <c r="E2906" t="s">
        <v>230</v>
      </c>
      <c r="F2906">
        <v>0</v>
      </c>
      <c r="G2906">
        <v>2</v>
      </c>
      <c r="H2906" t="s">
        <v>224</v>
      </c>
      <c r="I2906" t="s">
        <v>520</v>
      </c>
      <c r="J2906" t="s">
        <v>519</v>
      </c>
      <c r="K2906" t="b">
        <v>0</v>
      </c>
      <c r="L2906">
        <v>2004</v>
      </c>
      <c r="M2906">
        <v>3576615240</v>
      </c>
      <c r="N2906">
        <v>197458297639</v>
      </c>
      <c r="O2906" t="b">
        <v>1</v>
      </c>
      <c r="P2906">
        <v>1</v>
      </c>
      <c r="Q2906" t="str" cm="1">
        <f t="array" ref="Q2906">_xlfn.IFS(Table1[[#This Row],[Wealthier_Winner]]=-1,"Wealthier Nation Loses",Table1[[#This Row],[Wealthier_Winner]]=0,"Tie",Table1[[#This Row],[Wealthier_Winner]]=1,"Wealthier Nation Wins")</f>
        <v>Wealthier Nation Wins</v>
      </c>
    </row>
    <row r="2907" spans="1:17" x14ac:dyDescent="0.2">
      <c r="A2907" s="1">
        <v>4647</v>
      </c>
      <c r="B2907" s="2">
        <v>38238</v>
      </c>
      <c r="C2907" s="7">
        <f>_xlfn.FLOOR.MATH(Table1[[#This Row],[year]],10)</f>
        <v>2000</v>
      </c>
      <c r="D2907" t="s">
        <v>29</v>
      </c>
      <c r="E2907" t="s">
        <v>513</v>
      </c>
      <c r="F2907">
        <v>2</v>
      </c>
      <c r="G2907">
        <v>0</v>
      </c>
      <c r="H2907" t="s">
        <v>224</v>
      </c>
      <c r="I2907" t="s">
        <v>270</v>
      </c>
      <c r="J2907" t="s">
        <v>29</v>
      </c>
      <c r="K2907" t="b">
        <v>0</v>
      </c>
      <c r="L2907">
        <v>2004</v>
      </c>
      <c r="M2907">
        <v>299210411454</v>
      </c>
      <c r="N2907">
        <v>8680405740</v>
      </c>
      <c r="O2907" t="b">
        <v>1</v>
      </c>
      <c r="P2907">
        <v>1</v>
      </c>
      <c r="Q2907" t="str" cm="1">
        <f t="array" ref="Q2907">_xlfn.IFS(Table1[[#This Row],[Wealthier_Winner]]=-1,"Wealthier Nation Loses",Table1[[#This Row],[Wealthier_Winner]]=0,"Tie",Table1[[#This Row],[Wealthier_Winner]]=1,"Wealthier Nation Wins")</f>
        <v>Wealthier Nation Wins</v>
      </c>
    </row>
    <row r="2908" spans="1:17" x14ac:dyDescent="0.2">
      <c r="A2908" s="1">
        <v>4648</v>
      </c>
      <c r="B2908" s="2">
        <v>38238</v>
      </c>
      <c r="C2908" s="7">
        <f>_xlfn.FLOOR.MATH(Table1[[#This Row],[year]],10)</f>
        <v>2000</v>
      </c>
      <c r="D2908" t="s">
        <v>73</v>
      </c>
      <c r="E2908" t="s">
        <v>21</v>
      </c>
      <c r="F2908">
        <v>1</v>
      </c>
      <c r="G2908">
        <v>1</v>
      </c>
      <c r="H2908" t="s">
        <v>224</v>
      </c>
      <c r="I2908" t="s">
        <v>636</v>
      </c>
      <c r="J2908" t="s">
        <v>73</v>
      </c>
      <c r="K2908" t="b">
        <v>0</v>
      </c>
      <c r="L2908">
        <v>2004</v>
      </c>
      <c r="M2908">
        <v>10156541220</v>
      </c>
      <c r="N2908">
        <v>1069829382514</v>
      </c>
      <c r="O2908" t="b">
        <v>1</v>
      </c>
      <c r="P2908">
        <v>0</v>
      </c>
      <c r="Q2908" t="str" cm="1">
        <f t="array" ref="Q2908">_xlfn.IFS(Table1[[#This Row],[Wealthier_Winner]]=-1,"Wealthier Nation Loses",Table1[[#This Row],[Wealthier_Winner]]=0,"Tie",Table1[[#This Row],[Wealthier_Winner]]=1,"Wealthier Nation Wins")</f>
        <v>Tie</v>
      </c>
    </row>
    <row r="2909" spans="1:17" x14ac:dyDescent="0.2">
      <c r="A2909" s="1">
        <v>4649</v>
      </c>
      <c r="B2909" s="2">
        <v>38238</v>
      </c>
      <c r="C2909" s="7">
        <f>_xlfn.FLOOR.MATH(Table1[[#This Row],[year]],10)</f>
        <v>2000</v>
      </c>
      <c r="D2909" t="s">
        <v>56</v>
      </c>
      <c r="E2909" t="s">
        <v>34</v>
      </c>
      <c r="F2909">
        <v>1</v>
      </c>
      <c r="G2909">
        <v>0</v>
      </c>
      <c r="H2909" t="s">
        <v>224</v>
      </c>
      <c r="I2909" t="s">
        <v>225</v>
      </c>
      <c r="J2909" t="s">
        <v>56</v>
      </c>
      <c r="K2909" t="b">
        <v>0</v>
      </c>
      <c r="L2909">
        <v>2004</v>
      </c>
      <c r="M2909">
        <v>18610594846</v>
      </c>
      <c r="N2909">
        <v>1026690238278</v>
      </c>
      <c r="O2909" t="b">
        <v>1</v>
      </c>
      <c r="P2909">
        <v>-1</v>
      </c>
      <c r="Q2909" t="str" cm="1">
        <f t="array" ref="Q2909">_xlfn.IFS(Table1[[#This Row],[Wealthier_Winner]]=-1,"Wealthier Nation Loses",Table1[[#This Row],[Wealthier_Winner]]=0,"Tie",Table1[[#This Row],[Wealthier_Winner]]=1,"Wealthier Nation Wins")</f>
        <v>Wealthier Nation Loses</v>
      </c>
    </row>
    <row r="2910" spans="1:17" x14ac:dyDescent="0.2">
      <c r="A2910" s="1">
        <v>4650</v>
      </c>
      <c r="B2910" s="2">
        <v>38238</v>
      </c>
      <c r="C2910" s="7">
        <f>_xlfn.FLOOR.MATH(Table1[[#This Row],[year]],10)</f>
        <v>2000</v>
      </c>
      <c r="D2910" t="s">
        <v>69</v>
      </c>
      <c r="E2910" t="s">
        <v>49</v>
      </c>
      <c r="F2910">
        <v>0</v>
      </c>
      <c r="G2910">
        <v>3</v>
      </c>
      <c r="H2910" t="s">
        <v>224</v>
      </c>
      <c r="I2910" t="s">
        <v>281</v>
      </c>
      <c r="J2910" t="s">
        <v>69</v>
      </c>
      <c r="K2910" t="b">
        <v>0</v>
      </c>
      <c r="L2910">
        <v>2004</v>
      </c>
      <c r="M2910">
        <v>13724810900</v>
      </c>
      <c r="N2910">
        <v>10174664853</v>
      </c>
      <c r="O2910" t="b">
        <v>0</v>
      </c>
      <c r="P2910">
        <v>-1</v>
      </c>
      <c r="Q2910" t="str" cm="1">
        <f t="array" ref="Q2910">_xlfn.IFS(Table1[[#This Row],[Wealthier_Winner]]=-1,"Wealthier Nation Loses",Table1[[#This Row],[Wealthier_Winner]]=0,"Tie",Table1[[#This Row],[Wealthier_Winner]]=1,"Wealthier Nation Wins")</f>
        <v>Wealthier Nation Loses</v>
      </c>
    </row>
    <row r="2911" spans="1:17" x14ac:dyDescent="0.2">
      <c r="A2911" s="1">
        <v>4651</v>
      </c>
      <c r="B2911" s="2">
        <v>38238</v>
      </c>
      <c r="C2911" s="7">
        <f>_xlfn.FLOOR.MATH(Table1[[#This Row],[year]],10)</f>
        <v>2000</v>
      </c>
      <c r="D2911" t="s">
        <v>447</v>
      </c>
      <c r="E2911" t="s">
        <v>20</v>
      </c>
      <c r="F2911">
        <v>0</v>
      </c>
      <c r="G2911">
        <v>2</v>
      </c>
      <c r="H2911" t="s">
        <v>224</v>
      </c>
      <c r="I2911" t="s">
        <v>631</v>
      </c>
      <c r="J2911" t="s">
        <v>447</v>
      </c>
      <c r="K2911" t="b">
        <v>0</v>
      </c>
      <c r="L2911">
        <v>2004</v>
      </c>
      <c r="M2911">
        <v>1724770770</v>
      </c>
      <c r="N2911">
        <v>2109792297237</v>
      </c>
      <c r="O2911" t="b">
        <v>1</v>
      </c>
      <c r="P2911">
        <v>1</v>
      </c>
      <c r="Q2911" t="str" cm="1">
        <f t="array" ref="Q2911">_xlfn.IFS(Table1[[#This Row],[Wealthier_Winner]]=-1,"Wealthier Nation Loses",Table1[[#This Row],[Wealthier_Winner]]=0,"Tie",Table1[[#This Row],[Wealthier_Winner]]=1,"Wealthier Nation Wins")</f>
        <v>Wealthier Nation Wins</v>
      </c>
    </row>
    <row r="2912" spans="1:17" x14ac:dyDescent="0.2">
      <c r="A2912" s="1">
        <v>4652</v>
      </c>
      <c r="B2912" s="2">
        <v>38238</v>
      </c>
      <c r="C2912" s="7">
        <f>_xlfn.FLOOR.MATH(Table1[[#This Row],[year]],10)</f>
        <v>2000</v>
      </c>
      <c r="D2912" t="s">
        <v>534</v>
      </c>
      <c r="E2912" t="s">
        <v>373</v>
      </c>
      <c r="F2912">
        <v>2</v>
      </c>
      <c r="G2912">
        <v>0</v>
      </c>
      <c r="H2912" t="s">
        <v>224</v>
      </c>
      <c r="I2912" t="s">
        <v>536</v>
      </c>
      <c r="J2912" t="s">
        <v>534</v>
      </c>
      <c r="K2912" t="b">
        <v>0</v>
      </c>
      <c r="L2912">
        <v>2004</v>
      </c>
      <c r="M2912">
        <v>5125365191</v>
      </c>
      <c r="N2912">
        <v>7406645793</v>
      </c>
      <c r="O2912" t="b">
        <v>0</v>
      </c>
      <c r="P2912">
        <v>-1</v>
      </c>
      <c r="Q2912" t="str" cm="1">
        <f t="array" ref="Q2912">_xlfn.IFS(Table1[[#This Row],[Wealthier_Winner]]=-1,"Wealthier Nation Loses",Table1[[#This Row],[Wealthier_Winner]]=0,"Tie",Table1[[#This Row],[Wealthier_Winner]]=1,"Wealthier Nation Wins")</f>
        <v>Wealthier Nation Loses</v>
      </c>
    </row>
    <row r="2913" spans="1:17" x14ac:dyDescent="0.2">
      <c r="A2913" s="1">
        <v>4654</v>
      </c>
      <c r="B2913" s="2">
        <v>38238</v>
      </c>
      <c r="C2913" s="7">
        <f>_xlfn.FLOOR.MATH(Table1[[#This Row],[year]],10)</f>
        <v>2000</v>
      </c>
      <c r="D2913" t="s">
        <v>65</v>
      </c>
      <c r="E2913" t="s">
        <v>223</v>
      </c>
      <c r="F2913">
        <v>2</v>
      </c>
      <c r="G2913">
        <v>2</v>
      </c>
      <c r="H2913" t="s">
        <v>224</v>
      </c>
      <c r="I2913" t="s">
        <v>254</v>
      </c>
      <c r="J2913" t="s">
        <v>65</v>
      </c>
      <c r="K2913" t="b">
        <v>0</v>
      </c>
      <c r="L2913">
        <v>2004</v>
      </c>
      <c r="M2913">
        <v>8869299234</v>
      </c>
      <c r="N2913">
        <v>23577298094</v>
      </c>
      <c r="O2913" t="b">
        <v>1</v>
      </c>
      <c r="P2913">
        <v>0</v>
      </c>
      <c r="Q2913" t="str" cm="1">
        <f t="array" ref="Q2913">_xlfn.IFS(Table1[[#This Row],[Wealthier_Winner]]=-1,"Wealthier Nation Loses",Table1[[#This Row],[Wealthier_Winner]]=0,"Tie",Table1[[#This Row],[Wealthier_Winner]]=1,"Wealthier Nation Wins")</f>
        <v>Tie</v>
      </c>
    </row>
    <row r="2914" spans="1:17" x14ac:dyDescent="0.2">
      <c r="A2914" s="1">
        <v>4656</v>
      </c>
      <c r="B2914" s="2">
        <v>38238</v>
      </c>
      <c r="C2914" s="7">
        <f>_xlfn.FLOOR.MATH(Table1[[#This Row],[year]],10)</f>
        <v>2000</v>
      </c>
      <c r="D2914" t="s">
        <v>30</v>
      </c>
      <c r="E2914" t="s">
        <v>66</v>
      </c>
      <c r="F2914">
        <v>3</v>
      </c>
      <c r="G2914">
        <v>2</v>
      </c>
      <c r="H2914" t="s">
        <v>224</v>
      </c>
      <c r="I2914" t="s">
        <v>297</v>
      </c>
      <c r="J2914" t="s">
        <v>30</v>
      </c>
      <c r="K2914" t="b">
        <v>0</v>
      </c>
      <c r="L2914">
        <v>2004</v>
      </c>
      <c r="M2914">
        <v>104015363080</v>
      </c>
      <c r="N2914">
        <v>13963943244</v>
      </c>
      <c r="O2914" t="b">
        <v>1</v>
      </c>
      <c r="P2914">
        <v>1</v>
      </c>
      <c r="Q2914" t="str" cm="1">
        <f t="array" ref="Q2914">_xlfn.IFS(Table1[[#This Row],[Wealthier_Winner]]=-1,"Wealthier Nation Loses",Table1[[#This Row],[Wealthier_Winner]]=0,"Tie",Table1[[#This Row],[Wealthier_Winner]]=1,"Wealthier Nation Wins")</f>
        <v>Wealthier Nation Wins</v>
      </c>
    </row>
    <row r="2915" spans="1:17" x14ac:dyDescent="0.2">
      <c r="A2915" s="1">
        <v>4657</v>
      </c>
      <c r="B2915" s="2">
        <v>38238</v>
      </c>
      <c r="C2915" s="7">
        <f>_xlfn.FLOOR.MATH(Table1[[#This Row],[year]],10)</f>
        <v>2000</v>
      </c>
      <c r="D2915" t="s">
        <v>406</v>
      </c>
      <c r="E2915" t="s">
        <v>51</v>
      </c>
      <c r="F2915">
        <v>0</v>
      </c>
      <c r="G2915">
        <v>4</v>
      </c>
      <c r="H2915" t="s">
        <v>224</v>
      </c>
      <c r="I2915" t="s">
        <v>411</v>
      </c>
      <c r="J2915" t="s">
        <v>406</v>
      </c>
      <c r="K2915" t="b">
        <v>0</v>
      </c>
      <c r="L2915">
        <v>2004</v>
      </c>
      <c r="M2915">
        <v>709152728830</v>
      </c>
      <c r="N2915">
        <v>4893116005656</v>
      </c>
      <c r="O2915" t="b">
        <v>1</v>
      </c>
      <c r="P2915">
        <v>1</v>
      </c>
      <c r="Q2915" t="str" cm="1">
        <f t="array" ref="Q2915">_xlfn.IFS(Table1[[#This Row],[Wealthier_Winner]]=-1,"Wealthier Nation Loses",Table1[[#This Row],[Wealthier_Winner]]=0,"Tie",Table1[[#This Row],[Wealthier_Winner]]=1,"Wealthier Nation Wins")</f>
        <v>Wealthier Nation Wins</v>
      </c>
    </row>
    <row r="2916" spans="1:17" x14ac:dyDescent="0.2">
      <c r="A2916" s="1">
        <v>4658</v>
      </c>
      <c r="B2916" s="2">
        <v>38238</v>
      </c>
      <c r="C2916" s="7">
        <f>_xlfn.FLOOR.MATH(Table1[[#This Row],[year]],10)</f>
        <v>2000</v>
      </c>
      <c r="D2916" t="s">
        <v>22</v>
      </c>
      <c r="E2916" t="s">
        <v>351</v>
      </c>
      <c r="F2916">
        <v>2</v>
      </c>
      <c r="G2916">
        <v>1</v>
      </c>
      <c r="H2916" t="s">
        <v>224</v>
      </c>
      <c r="I2916" t="s">
        <v>239</v>
      </c>
      <c r="J2916" t="s">
        <v>22</v>
      </c>
      <c r="K2916" t="b">
        <v>0</v>
      </c>
      <c r="L2916">
        <v>2004</v>
      </c>
      <c r="M2916">
        <v>140047984605</v>
      </c>
      <c r="N2916">
        <v>17320551250</v>
      </c>
      <c r="O2916" t="b">
        <v>1</v>
      </c>
      <c r="P2916">
        <v>1</v>
      </c>
      <c r="Q2916" t="str" cm="1">
        <f t="array" ref="Q2916">_xlfn.IFS(Table1[[#This Row],[Wealthier_Winner]]=-1,"Wealthier Nation Loses",Table1[[#This Row],[Wealthier_Winner]]=0,"Tie",Table1[[#This Row],[Wealthier_Winner]]=1,"Wealthier Nation Wins")</f>
        <v>Wealthier Nation Wins</v>
      </c>
    </row>
    <row r="2917" spans="1:17" x14ac:dyDescent="0.2">
      <c r="A2917" s="1">
        <v>4659</v>
      </c>
      <c r="B2917" s="2">
        <v>38238</v>
      </c>
      <c r="C2917" s="7">
        <f>_xlfn.FLOOR.MATH(Table1[[#This Row],[year]],10)</f>
        <v>2000</v>
      </c>
      <c r="D2917" t="s">
        <v>403</v>
      </c>
      <c r="E2917" t="s">
        <v>210</v>
      </c>
      <c r="F2917">
        <v>0</v>
      </c>
      <c r="G2917">
        <v>2</v>
      </c>
      <c r="H2917" t="s">
        <v>224</v>
      </c>
      <c r="I2917" t="s">
        <v>404</v>
      </c>
      <c r="J2917" t="s">
        <v>403</v>
      </c>
      <c r="K2917" t="b">
        <v>0</v>
      </c>
      <c r="L2917">
        <v>2004</v>
      </c>
      <c r="M2917">
        <v>11411706629</v>
      </c>
      <c r="N2917">
        <v>187754571247</v>
      </c>
      <c r="O2917" t="b">
        <v>1</v>
      </c>
      <c r="P2917">
        <v>1</v>
      </c>
      <c r="Q2917" t="str" cm="1">
        <f t="array" ref="Q2917">_xlfn.IFS(Table1[[#This Row],[Wealthier_Winner]]=-1,"Wealthier Nation Loses",Table1[[#This Row],[Wealthier_Winner]]=0,"Tie",Table1[[#This Row],[Wealthier_Winner]]=1,"Wealthier Nation Wins")</f>
        <v>Wealthier Nation Wins</v>
      </c>
    </row>
    <row r="2918" spans="1:17" x14ac:dyDescent="0.2">
      <c r="A2918" s="1">
        <v>4660</v>
      </c>
      <c r="B2918" s="2">
        <v>38238</v>
      </c>
      <c r="C2918" s="7">
        <f>_xlfn.FLOOR.MATH(Table1[[#This Row],[year]],10)</f>
        <v>2000</v>
      </c>
      <c r="D2918" t="s">
        <v>558</v>
      </c>
      <c r="E2918" t="s">
        <v>64</v>
      </c>
      <c r="F2918">
        <v>1</v>
      </c>
      <c r="G2918">
        <v>2</v>
      </c>
      <c r="H2918" t="s">
        <v>224</v>
      </c>
      <c r="I2918" t="s">
        <v>559</v>
      </c>
      <c r="J2918" t="s">
        <v>558</v>
      </c>
      <c r="K2918" t="b">
        <v>0</v>
      </c>
      <c r="L2918">
        <v>2004</v>
      </c>
      <c r="M2918">
        <v>43151647002</v>
      </c>
      <c r="N2918">
        <v>67220154164</v>
      </c>
      <c r="O2918" t="b">
        <v>0</v>
      </c>
      <c r="P2918">
        <v>1</v>
      </c>
      <c r="Q2918" t="str" cm="1">
        <f t="array" ref="Q2918">_xlfn.IFS(Table1[[#This Row],[Wealthier_Winner]]=-1,"Wealthier Nation Loses",Table1[[#This Row],[Wealthier_Winner]]=0,"Tie",Table1[[#This Row],[Wealthier_Winner]]=1,"Wealthier Nation Wins")</f>
        <v>Wealthier Nation Wins</v>
      </c>
    </row>
    <row r="2919" spans="1:17" x14ac:dyDescent="0.2">
      <c r="A2919" s="1">
        <v>4664</v>
      </c>
      <c r="B2919" s="2">
        <v>38238</v>
      </c>
      <c r="C2919" s="7">
        <f>_xlfn.FLOOR.MATH(Table1[[#This Row],[year]],10)</f>
        <v>2000</v>
      </c>
      <c r="D2919" t="s">
        <v>523</v>
      </c>
      <c r="E2919" t="s">
        <v>549</v>
      </c>
      <c r="F2919">
        <v>4</v>
      </c>
      <c r="G2919">
        <v>0</v>
      </c>
      <c r="H2919" t="s">
        <v>224</v>
      </c>
      <c r="I2919" t="s">
        <v>604</v>
      </c>
      <c r="J2919" t="s">
        <v>523</v>
      </c>
      <c r="K2919" t="b">
        <v>0</v>
      </c>
      <c r="L2919">
        <v>2004</v>
      </c>
      <c r="M2919">
        <v>22743164431</v>
      </c>
      <c r="N2919">
        <v>1715340542</v>
      </c>
      <c r="O2919" t="b">
        <v>1</v>
      </c>
      <c r="P2919">
        <v>1</v>
      </c>
      <c r="Q2919" t="str" cm="1">
        <f t="array" ref="Q2919">_xlfn.IFS(Table1[[#This Row],[Wealthier_Winner]]=-1,"Wealthier Nation Loses",Table1[[#This Row],[Wealthier_Winner]]=0,"Tie",Table1[[#This Row],[Wealthier_Winner]]=1,"Wealthier Nation Wins")</f>
        <v>Wealthier Nation Wins</v>
      </c>
    </row>
    <row r="2920" spans="1:17" x14ac:dyDescent="0.2">
      <c r="A2920" s="1">
        <v>4665</v>
      </c>
      <c r="B2920" s="2">
        <v>38238</v>
      </c>
      <c r="C2920" s="7">
        <f>_xlfn.FLOOR.MATH(Table1[[#This Row],[year]],10)</f>
        <v>2000</v>
      </c>
      <c r="D2920" t="s">
        <v>232</v>
      </c>
      <c r="E2920" t="s">
        <v>525</v>
      </c>
      <c r="F2920">
        <v>3</v>
      </c>
      <c r="G2920">
        <v>4</v>
      </c>
      <c r="H2920" t="s">
        <v>224</v>
      </c>
      <c r="I2920" t="s">
        <v>232</v>
      </c>
      <c r="J2920" t="s">
        <v>232</v>
      </c>
      <c r="K2920" t="b">
        <v>0</v>
      </c>
      <c r="L2920">
        <v>2004</v>
      </c>
      <c r="M2920">
        <v>35064843792</v>
      </c>
      <c r="N2920">
        <v>13827070378</v>
      </c>
      <c r="O2920" t="b">
        <v>1</v>
      </c>
      <c r="P2920">
        <v>-1</v>
      </c>
      <c r="Q2920" t="str" cm="1">
        <f t="array" ref="Q2920">_xlfn.IFS(Table1[[#This Row],[Wealthier_Winner]]=-1,"Wealthier Nation Loses",Table1[[#This Row],[Wealthier_Winner]]=0,"Tie",Table1[[#This Row],[Wealthier_Winner]]=1,"Wealthier Nation Wins")</f>
        <v>Wealthier Nation Loses</v>
      </c>
    </row>
    <row r="2921" spans="1:17" x14ac:dyDescent="0.2">
      <c r="A2921" s="1">
        <v>4667</v>
      </c>
      <c r="B2921" s="2">
        <v>38238</v>
      </c>
      <c r="C2921" s="7">
        <f>_xlfn.FLOOR.MATH(Table1[[#This Row],[year]],10)</f>
        <v>2000</v>
      </c>
      <c r="D2921" t="s">
        <v>567</v>
      </c>
      <c r="E2921" t="s">
        <v>479</v>
      </c>
      <c r="F2921">
        <v>2</v>
      </c>
      <c r="G2921">
        <v>5</v>
      </c>
      <c r="H2921" t="s">
        <v>224</v>
      </c>
      <c r="I2921" t="s">
        <v>620</v>
      </c>
      <c r="J2921" t="s">
        <v>567</v>
      </c>
      <c r="K2921" t="b">
        <v>0</v>
      </c>
      <c r="L2921">
        <v>2004</v>
      </c>
      <c r="M2921">
        <v>1226829562</v>
      </c>
      <c r="N2921">
        <v>21159827992</v>
      </c>
      <c r="O2921" t="b">
        <v>1</v>
      </c>
      <c r="P2921">
        <v>1</v>
      </c>
      <c r="Q2921" t="str" cm="1">
        <f t="array" ref="Q2921">_xlfn.IFS(Table1[[#This Row],[Wealthier_Winner]]=-1,"Wealthier Nation Loses",Table1[[#This Row],[Wealthier_Winner]]=0,"Tie",Table1[[#This Row],[Wealthier_Winner]]=1,"Wealthier Nation Wins")</f>
        <v>Wealthier Nation Wins</v>
      </c>
    </row>
    <row r="2922" spans="1:17" x14ac:dyDescent="0.2">
      <c r="A2922" s="1">
        <v>4668</v>
      </c>
      <c r="B2922" s="2">
        <v>38238</v>
      </c>
      <c r="C2922" s="7">
        <f>_xlfn.FLOOR.MATH(Table1[[#This Row],[year]],10)</f>
        <v>2000</v>
      </c>
      <c r="D2922" t="s">
        <v>527</v>
      </c>
      <c r="E2922" t="s">
        <v>18</v>
      </c>
      <c r="F2922">
        <v>0</v>
      </c>
      <c r="G2922">
        <v>1</v>
      </c>
      <c r="H2922" t="s">
        <v>224</v>
      </c>
      <c r="I2922" t="s">
        <v>528</v>
      </c>
      <c r="J2922" t="s">
        <v>527</v>
      </c>
      <c r="K2922" t="b">
        <v>0</v>
      </c>
      <c r="L2922">
        <v>2004</v>
      </c>
      <c r="M2922">
        <v>2598249555</v>
      </c>
      <c r="N2922">
        <v>1812808753294</v>
      </c>
      <c r="O2922" t="b">
        <v>1</v>
      </c>
      <c r="P2922">
        <v>1</v>
      </c>
      <c r="Q2922" t="str" cm="1">
        <f t="array" ref="Q2922">_xlfn.IFS(Table1[[#This Row],[Wealthier_Winner]]=-1,"Wealthier Nation Loses",Table1[[#This Row],[Wealthier_Winner]]=0,"Tie",Table1[[#This Row],[Wealthier_Winner]]=1,"Wealthier Nation Wins")</f>
        <v>Wealthier Nation Wins</v>
      </c>
    </row>
    <row r="2923" spans="1:17" x14ac:dyDescent="0.2">
      <c r="A2923" s="1">
        <v>4670</v>
      </c>
      <c r="B2923" s="2">
        <v>38238</v>
      </c>
      <c r="C2923" s="7">
        <f>_xlfn.FLOOR.MATH(Table1[[#This Row],[year]],10)</f>
        <v>2000</v>
      </c>
      <c r="D2923" t="s">
        <v>42</v>
      </c>
      <c r="E2923" t="s">
        <v>510</v>
      </c>
      <c r="F2923">
        <v>1</v>
      </c>
      <c r="G2923">
        <v>1</v>
      </c>
      <c r="H2923" t="s">
        <v>224</v>
      </c>
      <c r="I2923" t="s">
        <v>262</v>
      </c>
      <c r="J2923" t="s">
        <v>42</v>
      </c>
      <c r="K2923" t="b">
        <v>0</v>
      </c>
      <c r="L2923">
        <v>2004</v>
      </c>
      <c r="M2923">
        <v>265268662473</v>
      </c>
      <c r="N2923">
        <v>23141566292</v>
      </c>
      <c r="O2923" t="b">
        <v>1</v>
      </c>
      <c r="P2923">
        <v>0</v>
      </c>
      <c r="Q2923" t="str" cm="1">
        <f t="array" ref="Q2923">_xlfn.IFS(Table1[[#This Row],[Wealthier_Winner]]=-1,"Wealthier Nation Loses",Table1[[#This Row],[Wealthier_Winner]]=0,"Tie",Table1[[#This Row],[Wealthier_Winner]]=1,"Wealthier Nation Wins")</f>
        <v>Tie</v>
      </c>
    </row>
    <row r="2924" spans="1:17" x14ac:dyDescent="0.2">
      <c r="A2924" s="1">
        <v>4672</v>
      </c>
      <c r="B2924" s="2">
        <v>38238</v>
      </c>
      <c r="C2924" s="7">
        <f>_xlfn.FLOOR.MATH(Table1[[#This Row],[year]],10)</f>
        <v>2000</v>
      </c>
      <c r="D2924" t="s">
        <v>67</v>
      </c>
      <c r="E2924" t="s">
        <v>41</v>
      </c>
      <c r="F2924">
        <v>1</v>
      </c>
      <c r="G2924">
        <v>1</v>
      </c>
      <c r="H2924" t="s">
        <v>224</v>
      </c>
      <c r="I2924" t="s">
        <v>455</v>
      </c>
      <c r="J2924" t="s">
        <v>67</v>
      </c>
      <c r="K2924" t="b">
        <v>0</v>
      </c>
      <c r="L2924">
        <v>2004</v>
      </c>
      <c r="M2924">
        <v>15100203361</v>
      </c>
      <c r="N2924">
        <v>12217193198000</v>
      </c>
      <c r="O2924" t="b">
        <v>1</v>
      </c>
      <c r="P2924">
        <v>0</v>
      </c>
      <c r="Q2924" t="str" cm="1">
        <f t="array" ref="Q2924">_xlfn.IFS(Table1[[#This Row],[Wealthier_Winner]]=-1,"Wealthier Nation Loses",Table1[[#This Row],[Wealthier_Winner]]=0,"Tie",Table1[[#This Row],[Wealthier_Winner]]=1,"Wealthier Nation Wins")</f>
        <v>Tie</v>
      </c>
    </row>
    <row r="2925" spans="1:17" x14ac:dyDescent="0.2">
      <c r="A2925" s="1">
        <v>4673</v>
      </c>
      <c r="B2925" s="2">
        <v>38238</v>
      </c>
      <c r="C2925" s="7">
        <f>_xlfn.FLOOR.MATH(Table1[[#This Row],[year]],10)</f>
        <v>2000</v>
      </c>
      <c r="D2925" t="s">
        <v>58</v>
      </c>
      <c r="E2925" t="s">
        <v>194</v>
      </c>
      <c r="F2925">
        <v>1</v>
      </c>
      <c r="G2925">
        <v>2</v>
      </c>
      <c r="H2925" t="s">
        <v>224</v>
      </c>
      <c r="I2925" t="s">
        <v>484</v>
      </c>
      <c r="J2925" t="s">
        <v>58</v>
      </c>
      <c r="K2925" t="b">
        <v>0</v>
      </c>
      <c r="L2925">
        <v>2004</v>
      </c>
      <c r="M2925">
        <v>256268656145</v>
      </c>
      <c r="N2925">
        <v>2429774807762</v>
      </c>
      <c r="O2925" t="b">
        <v>1</v>
      </c>
      <c r="P2925">
        <v>1</v>
      </c>
      <c r="Q2925" t="str" cm="1">
        <f t="array" ref="Q2925">_xlfn.IFS(Table1[[#This Row],[Wealthier_Winner]]=-1,"Wealthier Nation Loses",Table1[[#This Row],[Wealthier_Winner]]=0,"Tie",Table1[[#This Row],[Wealthier_Winner]]=1,"Wealthier Nation Wins")</f>
        <v>Wealthier Nation Wins</v>
      </c>
    </row>
    <row r="2926" spans="1:17" x14ac:dyDescent="0.2">
      <c r="A2926" s="1">
        <v>4674</v>
      </c>
      <c r="B2926" s="2">
        <v>38238</v>
      </c>
      <c r="C2926" s="7">
        <f>_xlfn.FLOOR.MATH(Table1[[#This Row],[year]],10)</f>
        <v>2000</v>
      </c>
      <c r="D2926" t="s">
        <v>38</v>
      </c>
      <c r="E2926" t="s">
        <v>476</v>
      </c>
      <c r="F2926">
        <v>4</v>
      </c>
      <c r="G2926">
        <v>0</v>
      </c>
      <c r="H2926" t="s">
        <v>224</v>
      </c>
      <c r="I2926" t="s">
        <v>667</v>
      </c>
      <c r="J2926" t="s">
        <v>38</v>
      </c>
      <c r="K2926" t="b">
        <v>0</v>
      </c>
      <c r="L2926">
        <v>2004</v>
      </c>
      <c r="M2926">
        <v>189382122532</v>
      </c>
      <c r="N2926">
        <v>12148595031</v>
      </c>
      <c r="O2926" t="b">
        <v>1</v>
      </c>
      <c r="P2926">
        <v>1</v>
      </c>
      <c r="Q2926" t="str" cm="1">
        <f t="array" ref="Q2926">_xlfn.IFS(Table1[[#This Row],[Wealthier_Winner]]=-1,"Wealthier Nation Loses",Table1[[#This Row],[Wealthier_Winner]]=0,"Tie",Table1[[#This Row],[Wealthier_Winner]]=1,"Wealthier Nation Wins")</f>
        <v>Wealthier Nation Wins</v>
      </c>
    </row>
    <row r="2927" spans="1:17" x14ac:dyDescent="0.2">
      <c r="A2927" s="1">
        <v>4676</v>
      </c>
      <c r="B2927" s="2">
        <v>38238</v>
      </c>
      <c r="C2927" s="7">
        <f>_xlfn.FLOOR.MATH(Table1[[#This Row],[year]],10)</f>
        <v>2000</v>
      </c>
      <c r="D2927" t="s">
        <v>359</v>
      </c>
      <c r="E2927" t="s">
        <v>429</v>
      </c>
      <c r="F2927">
        <v>0</v>
      </c>
      <c r="G2927">
        <v>2</v>
      </c>
      <c r="H2927" t="s">
        <v>224</v>
      </c>
      <c r="I2927" t="s">
        <v>359</v>
      </c>
      <c r="J2927" t="s">
        <v>359</v>
      </c>
      <c r="K2927" t="b">
        <v>0</v>
      </c>
      <c r="L2927">
        <v>2004</v>
      </c>
      <c r="M2927">
        <v>115033593101</v>
      </c>
      <c r="N2927">
        <v>28378933680</v>
      </c>
      <c r="O2927" t="b">
        <v>1</v>
      </c>
      <c r="P2927">
        <v>-1</v>
      </c>
      <c r="Q2927" t="str" cm="1">
        <f t="array" ref="Q2927">_xlfn.IFS(Table1[[#This Row],[Wealthier_Winner]]=-1,"Wealthier Nation Loses",Table1[[#This Row],[Wealthier_Winner]]=0,"Tie",Table1[[#This Row],[Wealthier_Winner]]=1,"Wealthier Nation Wins")</f>
        <v>Wealthier Nation Loses</v>
      </c>
    </row>
    <row r="2928" spans="1:17" x14ac:dyDescent="0.2">
      <c r="A2928" s="1">
        <v>4678</v>
      </c>
      <c r="B2928" s="2">
        <v>38238</v>
      </c>
      <c r="C2928" s="7">
        <f>_xlfn.FLOOR.MATH(Table1[[#This Row],[year]],10)</f>
        <v>2000</v>
      </c>
      <c r="D2928" t="s">
        <v>473</v>
      </c>
      <c r="E2928" t="s">
        <v>328</v>
      </c>
      <c r="F2928">
        <v>2</v>
      </c>
      <c r="G2928">
        <v>2</v>
      </c>
      <c r="H2928" t="s">
        <v>224</v>
      </c>
      <c r="I2928" t="s">
        <v>652</v>
      </c>
      <c r="J2928" t="s">
        <v>473</v>
      </c>
      <c r="K2928" t="b">
        <v>0</v>
      </c>
      <c r="L2928">
        <v>2004</v>
      </c>
      <c r="M2928">
        <v>20662525941</v>
      </c>
      <c r="N2928">
        <v>256836875295</v>
      </c>
      <c r="O2928" t="b">
        <v>1</v>
      </c>
      <c r="P2928">
        <v>0</v>
      </c>
      <c r="Q2928" t="str" cm="1">
        <f t="array" ref="Q2928">_xlfn.IFS(Table1[[#This Row],[Wealthier_Winner]]=-1,"Wealthier Nation Loses",Table1[[#This Row],[Wealthier_Winner]]=0,"Tie",Table1[[#This Row],[Wealthier_Winner]]=1,"Wealthier Nation Wins")</f>
        <v>Tie</v>
      </c>
    </row>
    <row r="2929" spans="1:17" x14ac:dyDescent="0.2">
      <c r="A2929" s="1">
        <v>4679</v>
      </c>
      <c r="B2929" s="2">
        <v>38238</v>
      </c>
      <c r="C2929" s="7">
        <f>_xlfn.FLOOR.MATH(Table1[[#This Row],[year]],10)</f>
        <v>2000</v>
      </c>
      <c r="D2929" t="s">
        <v>25</v>
      </c>
      <c r="E2929" t="s">
        <v>52</v>
      </c>
      <c r="F2929">
        <v>0</v>
      </c>
      <c r="G2929">
        <v>1</v>
      </c>
      <c r="H2929" t="s">
        <v>224</v>
      </c>
      <c r="I2929" t="s">
        <v>317</v>
      </c>
      <c r="J2929" t="s">
        <v>25</v>
      </c>
      <c r="K2929" t="b">
        <v>0</v>
      </c>
      <c r="L2929">
        <v>2004</v>
      </c>
      <c r="M2929">
        <v>384545442175</v>
      </c>
      <c r="N2929">
        <v>41836292157</v>
      </c>
      <c r="O2929" t="b">
        <v>1</v>
      </c>
      <c r="P2929">
        <v>-1</v>
      </c>
      <c r="Q2929" t="str" cm="1">
        <f t="array" ref="Q2929">_xlfn.IFS(Table1[[#This Row],[Wealthier_Winner]]=-1,"Wealthier Nation Loses",Table1[[#This Row],[Wealthier_Winner]]=0,"Tie",Table1[[#This Row],[Wealthier_Winner]]=1,"Wealthier Nation Wins")</f>
        <v>Wealthier Nation Loses</v>
      </c>
    </row>
    <row r="2930" spans="1:17" x14ac:dyDescent="0.2">
      <c r="A2930" s="1">
        <v>4681</v>
      </c>
      <c r="B2930" s="2">
        <v>38238</v>
      </c>
      <c r="C2930" s="7">
        <f>_xlfn.FLOOR.MATH(Table1[[#This Row],[year]],10)</f>
        <v>2000</v>
      </c>
      <c r="D2930" t="s">
        <v>556</v>
      </c>
      <c r="E2930" t="s">
        <v>331</v>
      </c>
      <c r="F2930">
        <v>0</v>
      </c>
      <c r="G2930">
        <v>1</v>
      </c>
      <c r="H2930" t="s">
        <v>224</v>
      </c>
      <c r="I2930" t="s">
        <v>557</v>
      </c>
      <c r="J2930" t="s">
        <v>556</v>
      </c>
      <c r="K2930" t="b">
        <v>0</v>
      </c>
      <c r="L2930">
        <v>2004</v>
      </c>
      <c r="M2930">
        <v>2076176869</v>
      </c>
      <c r="N2930">
        <v>25086950495</v>
      </c>
      <c r="O2930" t="b">
        <v>1</v>
      </c>
      <c r="P2930">
        <v>1</v>
      </c>
      <c r="Q2930" t="str" cm="1">
        <f t="array" ref="Q2930">_xlfn.IFS(Table1[[#This Row],[Wealthier_Winner]]=-1,"Wealthier Nation Loses",Table1[[#This Row],[Wealthier_Winner]]=0,"Tie",Table1[[#This Row],[Wealthier_Winner]]=1,"Wealthier Nation Wins")</f>
        <v>Wealthier Nation Wins</v>
      </c>
    </row>
    <row r="2931" spans="1:17" x14ac:dyDescent="0.2">
      <c r="A2931" s="1">
        <v>4682</v>
      </c>
      <c r="B2931" s="2">
        <v>38238</v>
      </c>
      <c r="C2931" s="7">
        <f>_xlfn.FLOOR.MATH(Table1[[#This Row],[year]],10)</f>
        <v>2000</v>
      </c>
      <c r="D2931" t="s">
        <v>59</v>
      </c>
      <c r="E2931" t="s">
        <v>17</v>
      </c>
      <c r="F2931">
        <v>1</v>
      </c>
      <c r="G2931">
        <v>3</v>
      </c>
      <c r="H2931" t="s">
        <v>224</v>
      </c>
      <c r="I2931" t="s">
        <v>253</v>
      </c>
      <c r="J2931" t="s">
        <v>59</v>
      </c>
      <c r="K2931" t="b">
        <v>0</v>
      </c>
      <c r="L2931">
        <v>2004</v>
      </c>
      <c r="M2931">
        <v>13280291989</v>
      </c>
      <c r="N2931">
        <v>819459227375</v>
      </c>
      <c r="O2931" t="b">
        <v>1</v>
      </c>
      <c r="P2931">
        <v>1</v>
      </c>
      <c r="Q2931" t="str" cm="1">
        <f t="array" ref="Q2931">_xlfn.IFS(Table1[[#This Row],[Wealthier_Winner]]=-1,"Wealthier Nation Loses",Table1[[#This Row],[Wealthier_Winner]]=0,"Tie",Table1[[#This Row],[Wealthier_Winner]]=1,"Wealthier Nation Wins")</f>
        <v>Wealthier Nation Wins</v>
      </c>
    </row>
    <row r="2932" spans="1:17" x14ac:dyDescent="0.2">
      <c r="A2932" s="1">
        <v>4683</v>
      </c>
      <c r="B2932" s="2">
        <v>38238</v>
      </c>
      <c r="C2932" s="7">
        <f>_xlfn.FLOOR.MATH(Table1[[#This Row],[year]],10)</f>
        <v>2000</v>
      </c>
      <c r="D2932" t="s">
        <v>560</v>
      </c>
      <c r="E2932" t="s">
        <v>45</v>
      </c>
      <c r="F2932">
        <v>0</v>
      </c>
      <c r="G2932">
        <v>1</v>
      </c>
      <c r="H2932" t="s">
        <v>224</v>
      </c>
      <c r="I2932" t="s">
        <v>561</v>
      </c>
      <c r="J2932" t="s">
        <v>560</v>
      </c>
      <c r="K2932" t="b">
        <v>0</v>
      </c>
      <c r="L2932">
        <v>2004</v>
      </c>
      <c r="M2932">
        <v>6838351088</v>
      </c>
      <c r="N2932">
        <v>258742133333</v>
      </c>
      <c r="O2932" t="b">
        <v>1</v>
      </c>
      <c r="P2932">
        <v>1</v>
      </c>
      <c r="Q2932" t="str" cm="1">
        <f t="array" ref="Q2932">_xlfn.IFS(Table1[[#This Row],[Wealthier_Winner]]=-1,"Wealthier Nation Loses",Table1[[#This Row],[Wealthier_Winner]]=0,"Tie",Table1[[#This Row],[Wealthier_Winner]]=1,"Wealthier Nation Wins")</f>
        <v>Wealthier Nation Wins</v>
      </c>
    </row>
    <row r="2933" spans="1:17" x14ac:dyDescent="0.2">
      <c r="A2933" s="1">
        <v>4684</v>
      </c>
      <c r="B2933" s="2">
        <v>38238</v>
      </c>
      <c r="C2933" s="7">
        <f>_xlfn.FLOOR.MATH(Table1[[#This Row],[year]],10)</f>
        <v>2000</v>
      </c>
      <c r="D2933" t="s">
        <v>475</v>
      </c>
      <c r="E2933" t="s">
        <v>195</v>
      </c>
      <c r="F2933">
        <v>1</v>
      </c>
      <c r="G2933">
        <v>2</v>
      </c>
      <c r="H2933" t="s">
        <v>224</v>
      </c>
      <c r="I2933" t="s">
        <v>566</v>
      </c>
      <c r="J2933" t="s">
        <v>475</v>
      </c>
      <c r="K2933" t="b">
        <v>0</v>
      </c>
      <c r="L2933">
        <v>2004</v>
      </c>
      <c r="M2933">
        <v>45427854693</v>
      </c>
      <c r="N2933">
        <v>823251107638</v>
      </c>
      <c r="O2933" t="b">
        <v>1</v>
      </c>
      <c r="P2933">
        <v>1</v>
      </c>
      <c r="Q2933" t="str" cm="1">
        <f t="array" ref="Q2933">_xlfn.IFS(Table1[[#This Row],[Wealthier_Winner]]=-1,"Wealthier Nation Loses",Table1[[#This Row],[Wealthier_Winner]]=0,"Tie",Table1[[#This Row],[Wealthier_Winner]]=1,"Wealthier Nation Wins")</f>
        <v>Wealthier Nation Wins</v>
      </c>
    </row>
    <row r="2934" spans="1:17" x14ac:dyDescent="0.2">
      <c r="A2934" s="1">
        <v>4690</v>
      </c>
      <c r="B2934" s="2">
        <v>38268</v>
      </c>
      <c r="C2934" s="7">
        <f>_xlfn.FLOOR.MATH(Table1[[#This Row],[year]],10)</f>
        <v>2000</v>
      </c>
      <c r="D2934" t="s">
        <v>286</v>
      </c>
      <c r="E2934" t="s">
        <v>212</v>
      </c>
      <c r="F2934">
        <v>2</v>
      </c>
      <c r="G2934">
        <v>1</v>
      </c>
      <c r="H2934" t="s">
        <v>224</v>
      </c>
      <c r="I2934" t="s">
        <v>287</v>
      </c>
      <c r="J2934" t="s">
        <v>286</v>
      </c>
      <c r="K2934" t="b">
        <v>0</v>
      </c>
      <c r="L2934">
        <v>2004</v>
      </c>
      <c r="M2934">
        <v>33122307692</v>
      </c>
      <c r="N2934">
        <v>78782467532</v>
      </c>
      <c r="O2934" t="b">
        <v>1</v>
      </c>
      <c r="P2934">
        <v>-1</v>
      </c>
      <c r="Q2934" t="str" cm="1">
        <f t="array" ref="Q2934">_xlfn.IFS(Table1[[#This Row],[Wealthier_Winner]]=-1,"Wealthier Nation Loses",Table1[[#This Row],[Wealthier_Winner]]=0,"Tie",Table1[[#This Row],[Wealthier_Winner]]=1,"Wealthier Nation Wins")</f>
        <v>Wealthier Nation Loses</v>
      </c>
    </row>
    <row r="2935" spans="1:17" x14ac:dyDescent="0.2">
      <c r="A2935" s="1">
        <v>4691</v>
      </c>
      <c r="B2935" s="2">
        <v>38269</v>
      </c>
      <c r="C2935" s="7">
        <f>_xlfn.FLOOR.MATH(Table1[[#This Row],[year]],10)</f>
        <v>2000</v>
      </c>
      <c r="D2935" t="s">
        <v>373</v>
      </c>
      <c r="E2935" t="s">
        <v>36</v>
      </c>
      <c r="F2935">
        <v>0</v>
      </c>
      <c r="G2935">
        <v>2</v>
      </c>
      <c r="H2935" t="s">
        <v>224</v>
      </c>
      <c r="I2935" t="s">
        <v>374</v>
      </c>
      <c r="J2935" t="s">
        <v>373</v>
      </c>
      <c r="K2935" t="b">
        <v>0</v>
      </c>
      <c r="L2935">
        <v>2004</v>
      </c>
      <c r="M2935">
        <v>7406645793</v>
      </c>
      <c r="N2935">
        <v>251986155630</v>
      </c>
      <c r="O2935" t="b">
        <v>1</v>
      </c>
      <c r="P2935">
        <v>1</v>
      </c>
      <c r="Q2935" t="str" cm="1">
        <f t="array" ref="Q2935">_xlfn.IFS(Table1[[#This Row],[Wealthier_Winner]]=-1,"Wealthier Nation Loses",Table1[[#This Row],[Wealthier_Winner]]=0,"Tie",Table1[[#This Row],[Wealthier_Winner]]=1,"Wealthier Nation Wins")</f>
        <v>Wealthier Nation Wins</v>
      </c>
    </row>
    <row r="2936" spans="1:17" x14ac:dyDescent="0.2">
      <c r="A2936" s="1">
        <v>4692</v>
      </c>
      <c r="B2936" s="2">
        <v>38269</v>
      </c>
      <c r="C2936" s="7">
        <f>_xlfn.FLOOR.MATH(Table1[[#This Row],[year]],10)</f>
        <v>2000</v>
      </c>
      <c r="D2936" t="s">
        <v>19</v>
      </c>
      <c r="E2936" t="s">
        <v>26</v>
      </c>
      <c r="F2936">
        <v>4</v>
      </c>
      <c r="G2936">
        <v>2</v>
      </c>
      <c r="H2936" t="s">
        <v>224</v>
      </c>
      <c r="I2936" t="s">
        <v>93</v>
      </c>
      <c r="J2936" t="s">
        <v>19</v>
      </c>
      <c r="K2936" t="b">
        <v>0</v>
      </c>
      <c r="L2936">
        <v>2004</v>
      </c>
      <c r="M2936">
        <v>164657930452</v>
      </c>
      <c r="N2936">
        <v>13686329890</v>
      </c>
      <c r="O2936" t="b">
        <v>1</v>
      </c>
      <c r="P2936">
        <v>1</v>
      </c>
      <c r="Q2936" t="str" cm="1">
        <f t="array" ref="Q2936">_xlfn.IFS(Table1[[#This Row],[Wealthier_Winner]]=-1,"Wealthier Nation Loses",Table1[[#This Row],[Wealthier_Winner]]=0,"Tie",Table1[[#This Row],[Wealthier_Winner]]=1,"Wealthier Nation Wins")</f>
        <v>Wealthier Nation Wins</v>
      </c>
    </row>
    <row r="2937" spans="1:17" x14ac:dyDescent="0.2">
      <c r="A2937" s="1">
        <v>4693</v>
      </c>
      <c r="B2937" s="2">
        <v>38269</v>
      </c>
      <c r="C2937" s="7">
        <f>_xlfn.FLOOR.MATH(Table1[[#This Row],[year]],10)</f>
        <v>2000</v>
      </c>
      <c r="D2937" t="s">
        <v>29</v>
      </c>
      <c r="E2937" t="s">
        <v>58</v>
      </c>
      <c r="F2937">
        <v>1</v>
      </c>
      <c r="G2937">
        <v>3</v>
      </c>
      <c r="H2937" t="s">
        <v>224</v>
      </c>
      <c r="I2937" t="s">
        <v>270</v>
      </c>
      <c r="J2937" t="s">
        <v>29</v>
      </c>
      <c r="K2937" t="b">
        <v>0</v>
      </c>
      <c r="L2937">
        <v>2004</v>
      </c>
      <c r="M2937">
        <v>299210411454</v>
      </c>
      <c r="N2937">
        <v>256268656145</v>
      </c>
      <c r="O2937" t="b">
        <v>0</v>
      </c>
      <c r="P2937">
        <v>-1</v>
      </c>
      <c r="Q2937" t="str" cm="1">
        <f t="array" ref="Q2937">_xlfn.IFS(Table1[[#This Row],[Wealthier_Winner]]=-1,"Wealthier Nation Loses",Table1[[#This Row],[Wealthier_Winner]]=0,"Tie",Table1[[#This Row],[Wealthier_Winner]]=1,"Wealthier Nation Wins")</f>
        <v>Wealthier Nation Loses</v>
      </c>
    </row>
    <row r="2938" spans="1:17" x14ac:dyDescent="0.2">
      <c r="A2938" s="1">
        <v>4695</v>
      </c>
      <c r="B2938" s="2">
        <v>38269</v>
      </c>
      <c r="C2938" s="7">
        <f>_xlfn.FLOOR.MATH(Table1[[#This Row],[year]],10)</f>
        <v>2000</v>
      </c>
      <c r="D2938" t="s">
        <v>510</v>
      </c>
      <c r="E2938" t="s">
        <v>527</v>
      </c>
      <c r="F2938">
        <v>4</v>
      </c>
      <c r="G2938">
        <v>0</v>
      </c>
      <c r="H2938" t="s">
        <v>224</v>
      </c>
      <c r="I2938" t="s">
        <v>522</v>
      </c>
      <c r="J2938" t="s">
        <v>510</v>
      </c>
      <c r="K2938" t="b">
        <v>0</v>
      </c>
      <c r="L2938">
        <v>2004</v>
      </c>
      <c r="M2938">
        <v>23141566292</v>
      </c>
      <c r="N2938">
        <v>2598249555</v>
      </c>
      <c r="O2938" t="b">
        <v>1</v>
      </c>
      <c r="P2938">
        <v>1</v>
      </c>
      <c r="Q2938" t="str" cm="1">
        <f t="array" ref="Q2938">_xlfn.IFS(Table1[[#This Row],[Wealthier_Winner]]=-1,"Wealthier Nation Loses",Table1[[#This Row],[Wealthier_Winner]]=0,"Tie",Table1[[#This Row],[Wealthier_Winner]]=1,"Wealthier Nation Wins")</f>
        <v>Wealthier Nation Wins</v>
      </c>
    </row>
    <row r="2939" spans="1:17" x14ac:dyDescent="0.2">
      <c r="A2939" s="1">
        <v>4696</v>
      </c>
      <c r="B2939" s="2">
        <v>38269</v>
      </c>
      <c r="C2939" s="7">
        <f>_xlfn.FLOOR.MATH(Table1[[#This Row],[year]],10)</f>
        <v>2000</v>
      </c>
      <c r="D2939" t="s">
        <v>47</v>
      </c>
      <c r="E2939" t="s">
        <v>31</v>
      </c>
      <c r="F2939">
        <v>1</v>
      </c>
      <c r="G2939">
        <v>0</v>
      </c>
      <c r="H2939" t="s">
        <v>224</v>
      </c>
      <c r="I2939" t="s">
        <v>246</v>
      </c>
      <c r="J2939" t="s">
        <v>47</v>
      </c>
      <c r="K2939" t="b">
        <v>0</v>
      </c>
      <c r="L2939">
        <v>2004</v>
      </c>
      <c r="M2939">
        <v>8773451751</v>
      </c>
      <c r="N2939">
        <v>66768703497</v>
      </c>
      <c r="O2939" t="b">
        <v>1</v>
      </c>
      <c r="P2939">
        <v>-1</v>
      </c>
      <c r="Q2939" t="str" cm="1">
        <f t="array" ref="Q2939">_xlfn.IFS(Table1[[#This Row],[Wealthier_Winner]]=-1,"Wealthier Nation Loses",Table1[[#This Row],[Wealthier_Winner]]=0,"Tie",Table1[[#This Row],[Wealthier_Winner]]=1,"Wealthier Nation Wins")</f>
        <v>Wealthier Nation Loses</v>
      </c>
    </row>
    <row r="2940" spans="1:17" x14ac:dyDescent="0.2">
      <c r="A2940" s="1">
        <v>4697</v>
      </c>
      <c r="B2940" s="2">
        <v>38269</v>
      </c>
      <c r="C2940" s="7">
        <f>_xlfn.FLOOR.MATH(Table1[[#This Row],[year]],10)</f>
        <v>2000</v>
      </c>
      <c r="D2940" t="s">
        <v>73</v>
      </c>
      <c r="E2940" t="s">
        <v>61</v>
      </c>
      <c r="F2940">
        <v>0</v>
      </c>
      <c r="G2940">
        <v>0</v>
      </c>
      <c r="H2940" t="s">
        <v>224</v>
      </c>
      <c r="I2940" t="s">
        <v>550</v>
      </c>
      <c r="J2940" t="s">
        <v>73</v>
      </c>
      <c r="K2940" t="b">
        <v>0</v>
      </c>
      <c r="L2940">
        <v>2004</v>
      </c>
      <c r="M2940">
        <v>10156541220</v>
      </c>
      <c r="N2940">
        <v>26845632341</v>
      </c>
      <c r="O2940" t="b">
        <v>1</v>
      </c>
      <c r="P2940">
        <v>0</v>
      </c>
      <c r="Q2940" t="str" cm="1">
        <f t="array" ref="Q2940">_xlfn.IFS(Table1[[#This Row],[Wealthier_Winner]]=-1,"Wealthier Nation Loses",Table1[[#This Row],[Wealthier_Winner]]=0,"Tie",Table1[[#This Row],[Wealthier_Winner]]=1,"Wealthier Nation Wins")</f>
        <v>Tie</v>
      </c>
    </row>
    <row r="2941" spans="1:17" x14ac:dyDescent="0.2">
      <c r="A2941" s="1">
        <v>4698</v>
      </c>
      <c r="B2941" s="2">
        <v>38269</v>
      </c>
      <c r="C2941" s="7">
        <f>_xlfn.FLOOR.MATH(Table1[[#This Row],[year]],10)</f>
        <v>2000</v>
      </c>
      <c r="D2941" t="s">
        <v>469</v>
      </c>
      <c r="E2941" t="s">
        <v>314</v>
      </c>
      <c r="F2941">
        <v>2</v>
      </c>
      <c r="G2941">
        <v>1</v>
      </c>
      <c r="H2941" t="s">
        <v>224</v>
      </c>
      <c r="I2941" t="s">
        <v>470</v>
      </c>
      <c r="J2941" t="s">
        <v>469</v>
      </c>
      <c r="K2941" t="b">
        <v>0</v>
      </c>
      <c r="L2941">
        <v>2004</v>
      </c>
      <c r="M2941">
        <v>8957467706</v>
      </c>
      <c r="N2941">
        <v>16095337093</v>
      </c>
      <c r="O2941" t="b">
        <v>0</v>
      </c>
      <c r="P2941">
        <v>-1</v>
      </c>
      <c r="Q2941" t="str" cm="1">
        <f t="array" ref="Q2941">_xlfn.IFS(Table1[[#This Row],[Wealthier_Winner]]=-1,"Wealthier Nation Loses",Table1[[#This Row],[Wealthier_Winner]]=0,"Tie",Table1[[#This Row],[Wealthier_Winner]]=1,"Wealthier Nation Wins")</f>
        <v>Wealthier Nation Loses</v>
      </c>
    </row>
    <row r="2942" spans="1:17" x14ac:dyDescent="0.2">
      <c r="A2942" s="1">
        <v>4700</v>
      </c>
      <c r="B2942" s="2">
        <v>38269</v>
      </c>
      <c r="C2942" s="7">
        <f>_xlfn.FLOOR.MATH(Table1[[#This Row],[year]],10)</f>
        <v>2000</v>
      </c>
      <c r="D2942" t="s">
        <v>15</v>
      </c>
      <c r="E2942" t="s">
        <v>35</v>
      </c>
      <c r="F2942">
        <v>1</v>
      </c>
      <c r="G2942">
        <v>1</v>
      </c>
      <c r="H2942" t="s">
        <v>224</v>
      </c>
      <c r="I2942" t="s">
        <v>261</v>
      </c>
      <c r="J2942" t="s">
        <v>15</v>
      </c>
      <c r="K2942" t="b">
        <v>0</v>
      </c>
      <c r="L2942">
        <v>2004</v>
      </c>
      <c r="M2942">
        <v>117092416666</v>
      </c>
      <c r="N2942">
        <v>9624440836</v>
      </c>
      <c r="O2942" t="b">
        <v>1</v>
      </c>
      <c r="P2942">
        <v>0</v>
      </c>
      <c r="Q2942" t="str" cm="1">
        <f t="array" ref="Q2942">_xlfn.IFS(Table1[[#This Row],[Wealthier_Winner]]=-1,"Wealthier Nation Loses",Table1[[#This Row],[Wealthier_Winner]]=0,"Tie",Table1[[#This Row],[Wealthier_Winner]]=1,"Wealthier Nation Wins")</f>
        <v>Tie</v>
      </c>
    </row>
    <row r="2943" spans="1:17" x14ac:dyDescent="0.2">
      <c r="A2943" s="1">
        <v>4701</v>
      </c>
      <c r="B2943" s="2">
        <v>38269</v>
      </c>
      <c r="C2943" s="7">
        <f>_xlfn.FLOOR.MATH(Table1[[#This Row],[year]],10)</f>
        <v>2000</v>
      </c>
      <c r="D2943" t="s">
        <v>56</v>
      </c>
      <c r="E2943" t="s">
        <v>223</v>
      </c>
      <c r="F2943">
        <v>5</v>
      </c>
      <c r="G2943">
        <v>0</v>
      </c>
      <c r="H2943" t="s">
        <v>224</v>
      </c>
      <c r="I2943" t="s">
        <v>225</v>
      </c>
      <c r="J2943" t="s">
        <v>56</v>
      </c>
      <c r="K2943" t="b">
        <v>0</v>
      </c>
      <c r="L2943">
        <v>2004</v>
      </c>
      <c r="M2943">
        <v>18610594846</v>
      </c>
      <c r="N2943">
        <v>23577298094</v>
      </c>
      <c r="O2943" t="b">
        <v>0</v>
      </c>
      <c r="P2943">
        <v>-1</v>
      </c>
      <c r="Q2943" t="str" cm="1">
        <f t="array" ref="Q2943">_xlfn.IFS(Table1[[#This Row],[Wealthier_Winner]]=-1,"Wealthier Nation Loses",Table1[[#This Row],[Wealthier_Winner]]=0,"Tie",Table1[[#This Row],[Wealthier_Winner]]=1,"Wealthier Nation Wins")</f>
        <v>Wealthier Nation Loses</v>
      </c>
    </row>
    <row r="2944" spans="1:17" x14ac:dyDescent="0.2">
      <c r="A2944" s="1">
        <v>4702</v>
      </c>
      <c r="B2944" s="2">
        <v>38269</v>
      </c>
      <c r="C2944" s="7">
        <f>_xlfn.FLOOR.MATH(Table1[[#This Row],[year]],10)</f>
        <v>2000</v>
      </c>
      <c r="D2944" t="s">
        <v>52</v>
      </c>
      <c r="E2944" t="s">
        <v>33</v>
      </c>
      <c r="F2944">
        <v>2</v>
      </c>
      <c r="G2944">
        <v>2</v>
      </c>
      <c r="H2944" t="s">
        <v>224</v>
      </c>
      <c r="I2944" t="s">
        <v>538</v>
      </c>
      <c r="J2944" t="s">
        <v>52</v>
      </c>
      <c r="K2944" t="b">
        <v>0</v>
      </c>
      <c r="L2944">
        <v>2004</v>
      </c>
      <c r="M2944">
        <v>41836292157</v>
      </c>
      <c r="N2944">
        <v>26157743368</v>
      </c>
      <c r="O2944" t="b">
        <v>0</v>
      </c>
      <c r="P2944">
        <v>0</v>
      </c>
      <c r="Q2944" t="str" cm="1">
        <f t="array" ref="Q2944">_xlfn.IFS(Table1[[#This Row],[Wealthier_Winner]]=-1,"Wealthier Nation Loses",Table1[[#This Row],[Wealthier_Winner]]=0,"Tie",Table1[[#This Row],[Wealthier_Winner]]=1,"Wealthier Nation Wins")</f>
        <v>Tie</v>
      </c>
    </row>
    <row r="2945" spans="1:17" x14ac:dyDescent="0.2">
      <c r="A2945" s="1">
        <v>4703</v>
      </c>
      <c r="B2945" s="2">
        <v>38269</v>
      </c>
      <c r="C2945" s="7">
        <f>_xlfn.FLOOR.MATH(Table1[[#This Row],[year]],10)</f>
        <v>2000</v>
      </c>
      <c r="D2945" t="s">
        <v>351</v>
      </c>
      <c r="E2945" t="s">
        <v>447</v>
      </c>
      <c r="F2945">
        <v>2</v>
      </c>
      <c r="G2945">
        <v>2</v>
      </c>
      <c r="H2945" t="s">
        <v>224</v>
      </c>
      <c r="I2945" t="s">
        <v>381</v>
      </c>
      <c r="J2945" t="s">
        <v>351</v>
      </c>
      <c r="K2945" t="b">
        <v>0</v>
      </c>
      <c r="L2945">
        <v>2004</v>
      </c>
      <c r="M2945">
        <v>17320551250</v>
      </c>
      <c r="N2945">
        <v>1724770770</v>
      </c>
      <c r="O2945" t="b">
        <v>1</v>
      </c>
      <c r="P2945">
        <v>0</v>
      </c>
      <c r="Q2945" t="str" cm="1">
        <f t="array" ref="Q2945">_xlfn.IFS(Table1[[#This Row],[Wealthier_Winner]]=-1,"Wealthier Nation Loses",Table1[[#This Row],[Wealthier_Winner]]=0,"Tie",Table1[[#This Row],[Wealthier_Winner]]=1,"Wealthier Nation Wins")</f>
        <v>Tie</v>
      </c>
    </row>
    <row r="2946" spans="1:17" x14ac:dyDescent="0.2">
      <c r="A2946" s="1">
        <v>4705</v>
      </c>
      <c r="B2946" s="2">
        <v>38269</v>
      </c>
      <c r="C2946" s="7">
        <f>_xlfn.FLOOR.MATH(Table1[[#This Row],[year]],10)</f>
        <v>2000</v>
      </c>
      <c r="D2946" t="s">
        <v>69</v>
      </c>
      <c r="E2946" t="s">
        <v>41</v>
      </c>
      <c r="F2946">
        <v>0</v>
      </c>
      <c r="G2946">
        <v>2</v>
      </c>
      <c r="H2946" t="s">
        <v>224</v>
      </c>
      <c r="I2946" t="s">
        <v>281</v>
      </c>
      <c r="J2946" t="s">
        <v>69</v>
      </c>
      <c r="K2946" t="b">
        <v>0</v>
      </c>
      <c r="L2946">
        <v>2004</v>
      </c>
      <c r="M2946">
        <v>13724810900</v>
      </c>
      <c r="N2946">
        <v>12217193198000</v>
      </c>
      <c r="O2946" t="b">
        <v>1</v>
      </c>
      <c r="P2946">
        <v>1</v>
      </c>
      <c r="Q2946" t="str" cm="1">
        <f t="array" ref="Q2946">_xlfn.IFS(Table1[[#This Row],[Wealthier_Winner]]=-1,"Wealthier Nation Loses",Table1[[#This Row],[Wealthier_Winner]]=0,"Tie",Table1[[#This Row],[Wealthier_Winner]]=1,"Wealthier Nation Wins")</f>
        <v>Wealthier Nation Wins</v>
      </c>
    </row>
    <row r="2947" spans="1:17" x14ac:dyDescent="0.2">
      <c r="A2947" s="1">
        <v>4707</v>
      </c>
      <c r="B2947" s="2">
        <v>38269</v>
      </c>
      <c r="C2947" s="7">
        <f>_xlfn.FLOOR.MATH(Table1[[#This Row],[year]],10)</f>
        <v>2000</v>
      </c>
      <c r="D2947" t="s">
        <v>230</v>
      </c>
      <c r="E2947" t="s">
        <v>519</v>
      </c>
      <c r="F2947">
        <v>3</v>
      </c>
      <c r="G2947">
        <v>1</v>
      </c>
      <c r="H2947" t="s">
        <v>224</v>
      </c>
      <c r="I2947" t="s">
        <v>491</v>
      </c>
      <c r="J2947" t="s">
        <v>230</v>
      </c>
      <c r="K2947" t="b">
        <v>0</v>
      </c>
      <c r="L2947">
        <v>2004</v>
      </c>
      <c r="M2947">
        <v>197458297639</v>
      </c>
      <c r="N2947">
        <v>3576615240</v>
      </c>
      <c r="O2947" t="b">
        <v>1</v>
      </c>
      <c r="P2947">
        <v>1</v>
      </c>
      <c r="Q2947" t="str" cm="1">
        <f t="array" ref="Q2947">_xlfn.IFS(Table1[[#This Row],[Wealthier_Winner]]=-1,"Wealthier Nation Loses",Table1[[#This Row],[Wealthier_Winner]]=0,"Tie",Table1[[#This Row],[Wealthier_Winner]]=1,"Wealthier Nation Wins")</f>
        <v>Wealthier Nation Wins</v>
      </c>
    </row>
    <row r="2948" spans="1:17" x14ac:dyDescent="0.2">
      <c r="A2948" s="1">
        <v>4709</v>
      </c>
      <c r="B2948" s="2">
        <v>38269</v>
      </c>
      <c r="C2948" s="7">
        <f>_xlfn.FLOOR.MATH(Table1[[#This Row],[year]],10)</f>
        <v>2000</v>
      </c>
      <c r="D2948" t="s">
        <v>433</v>
      </c>
      <c r="E2948" t="s">
        <v>43</v>
      </c>
      <c r="F2948">
        <v>1</v>
      </c>
      <c r="G2948">
        <v>1</v>
      </c>
      <c r="H2948" t="s">
        <v>224</v>
      </c>
      <c r="I2948" t="s">
        <v>436</v>
      </c>
      <c r="J2948" t="s">
        <v>433</v>
      </c>
      <c r="K2948" t="b">
        <v>0</v>
      </c>
      <c r="L2948">
        <v>2004</v>
      </c>
      <c r="M2948">
        <v>7770219008</v>
      </c>
      <c r="N2948">
        <v>135764731645</v>
      </c>
      <c r="O2948" t="b">
        <v>1</v>
      </c>
      <c r="P2948">
        <v>0</v>
      </c>
      <c r="Q2948" t="str" cm="1">
        <f t="array" ref="Q2948">_xlfn.IFS(Table1[[#This Row],[Wealthier_Winner]]=-1,"Wealthier Nation Loses",Table1[[#This Row],[Wealthier_Winner]]=0,"Tie",Table1[[#This Row],[Wealthier_Winner]]=1,"Wealthier Nation Wins")</f>
        <v>Tie</v>
      </c>
    </row>
    <row r="2949" spans="1:17" x14ac:dyDescent="0.2">
      <c r="A2949" s="1">
        <v>4710</v>
      </c>
      <c r="B2949" s="2">
        <v>38269</v>
      </c>
      <c r="C2949" s="7">
        <f>_xlfn.FLOOR.MATH(Table1[[#This Row],[year]],10)</f>
        <v>2000</v>
      </c>
      <c r="D2949" t="s">
        <v>65</v>
      </c>
      <c r="E2949" t="s">
        <v>34</v>
      </c>
      <c r="F2949">
        <v>1</v>
      </c>
      <c r="G2949">
        <v>1</v>
      </c>
      <c r="H2949" t="s">
        <v>224</v>
      </c>
      <c r="I2949" t="s">
        <v>254</v>
      </c>
      <c r="J2949" t="s">
        <v>65</v>
      </c>
      <c r="K2949" t="b">
        <v>0</v>
      </c>
      <c r="L2949">
        <v>2004</v>
      </c>
      <c r="M2949">
        <v>8869299234</v>
      </c>
      <c r="N2949">
        <v>1026690238278</v>
      </c>
      <c r="O2949" t="b">
        <v>1</v>
      </c>
      <c r="P2949">
        <v>0</v>
      </c>
      <c r="Q2949" t="str" cm="1">
        <f t="array" ref="Q2949">_xlfn.IFS(Table1[[#This Row],[Wealthier_Winner]]=-1,"Wealthier Nation Loses",Table1[[#This Row],[Wealthier_Winner]]=0,"Tie",Table1[[#This Row],[Wealthier_Winner]]=1,"Wealthier Nation Wins")</f>
        <v>Tie</v>
      </c>
    </row>
    <row r="2950" spans="1:17" x14ac:dyDescent="0.2">
      <c r="A2950" s="1">
        <v>4711</v>
      </c>
      <c r="B2950" s="2">
        <v>38269</v>
      </c>
      <c r="C2950" s="7">
        <f>_xlfn.FLOOR.MATH(Table1[[#This Row],[year]],10)</f>
        <v>2000</v>
      </c>
      <c r="D2950" t="s">
        <v>22</v>
      </c>
      <c r="E2950" t="s">
        <v>46</v>
      </c>
      <c r="F2950">
        <v>2</v>
      </c>
      <c r="G2950">
        <v>2</v>
      </c>
      <c r="H2950" t="s">
        <v>224</v>
      </c>
      <c r="I2950" t="s">
        <v>239</v>
      </c>
      <c r="J2950" t="s">
        <v>22</v>
      </c>
      <c r="K2950" t="b">
        <v>0</v>
      </c>
      <c r="L2950">
        <v>2004</v>
      </c>
      <c r="M2950">
        <v>140047984605</v>
      </c>
      <c r="N2950">
        <v>403912891033</v>
      </c>
      <c r="O2950" t="b">
        <v>1</v>
      </c>
      <c r="P2950">
        <v>0</v>
      </c>
      <c r="Q2950" t="str" cm="1">
        <f t="array" ref="Q2950">_xlfn.IFS(Table1[[#This Row],[Wealthier_Winner]]=-1,"Wealthier Nation Loses",Table1[[#This Row],[Wealthier_Winner]]=0,"Tie",Table1[[#This Row],[Wealthier_Winner]]=1,"Wealthier Nation Wins")</f>
        <v>Tie</v>
      </c>
    </row>
    <row r="2951" spans="1:17" x14ac:dyDescent="0.2">
      <c r="A2951" s="1">
        <v>4712</v>
      </c>
      <c r="B2951" s="2">
        <v>38269</v>
      </c>
      <c r="C2951" s="7">
        <f>_xlfn.FLOOR.MATH(Table1[[#This Row],[year]],10)</f>
        <v>2000</v>
      </c>
      <c r="D2951" t="s">
        <v>503</v>
      </c>
      <c r="E2951" t="s">
        <v>38</v>
      </c>
      <c r="F2951">
        <v>2</v>
      </c>
      <c r="G2951">
        <v>2</v>
      </c>
      <c r="H2951" t="s">
        <v>224</v>
      </c>
      <c r="I2951" t="s">
        <v>603</v>
      </c>
      <c r="J2951" t="s">
        <v>503</v>
      </c>
      <c r="K2951" t="b">
        <v>0</v>
      </c>
      <c r="L2951">
        <v>2004</v>
      </c>
      <c r="M2951">
        <v>3454373797</v>
      </c>
      <c r="N2951">
        <v>189382122532</v>
      </c>
      <c r="O2951" t="b">
        <v>1</v>
      </c>
      <c r="P2951">
        <v>0</v>
      </c>
      <c r="Q2951" t="str" cm="1">
        <f t="array" ref="Q2951">_xlfn.IFS(Table1[[#This Row],[Wealthier_Winner]]=-1,"Wealthier Nation Loses",Table1[[#This Row],[Wealthier_Winner]]=0,"Tie",Table1[[#This Row],[Wealthier_Winner]]=1,"Wealthier Nation Wins")</f>
        <v>Tie</v>
      </c>
    </row>
    <row r="2952" spans="1:17" x14ac:dyDescent="0.2">
      <c r="A2952" s="1">
        <v>4713</v>
      </c>
      <c r="B2952" s="2">
        <v>38269</v>
      </c>
      <c r="C2952" s="7">
        <f>_xlfn.FLOOR.MATH(Table1[[#This Row],[year]],10)</f>
        <v>2000</v>
      </c>
      <c r="D2952" t="s">
        <v>232</v>
      </c>
      <c r="E2952" t="s">
        <v>196</v>
      </c>
      <c r="F2952">
        <v>0</v>
      </c>
      <c r="G2952">
        <v>4</v>
      </c>
      <c r="H2952" t="s">
        <v>224</v>
      </c>
      <c r="I2952" t="s">
        <v>232</v>
      </c>
      <c r="J2952" t="s">
        <v>232</v>
      </c>
      <c r="K2952" t="b">
        <v>0</v>
      </c>
      <c r="L2952">
        <v>2004</v>
      </c>
      <c r="M2952">
        <v>35064843792</v>
      </c>
      <c r="N2952">
        <v>591016690732</v>
      </c>
      <c r="O2952" t="b">
        <v>1</v>
      </c>
      <c r="P2952">
        <v>1</v>
      </c>
      <c r="Q2952" t="str" cm="1">
        <f t="array" ref="Q2952">_xlfn.IFS(Table1[[#This Row],[Wealthier_Winner]]=-1,"Wealthier Nation Loses",Table1[[#This Row],[Wealthier_Winner]]=0,"Tie",Table1[[#This Row],[Wealthier_Winner]]=1,"Wealthier Nation Wins")</f>
        <v>Wealthier Nation Wins</v>
      </c>
    </row>
    <row r="2953" spans="1:17" x14ac:dyDescent="0.2">
      <c r="A2953" s="1">
        <v>4714</v>
      </c>
      <c r="B2953" s="2">
        <v>38269</v>
      </c>
      <c r="C2953" s="7">
        <f>_xlfn.FLOOR.MATH(Table1[[#This Row],[year]],10)</f>
        <v>2000</v>
      </c>
      <c r="D2953" t="s">
        <v>502</v>
      </c>
      <c r="E2953" t="s">
        <v>27</v>
      </c>
      <c r="F2953">
        <v>2</v>
      </c>
      <c r="G2953">
        <v>2</v>
      </c>
      <c r="H2953" t="s">
        <v>224</v>
      </c>
      <c r="I2953" t="s">
        <v>504</v>
      </c>
      <c r="J2953" t="s">
        <v>502</v>
      </c>
      <c r="K2953" t="b">
        <v>0</v>
      </c>
      <c r="L2953">
        <v>2004</v>
      </c>
      <c r="M2953">
        <v>5682784471</v>
      </c>
      <c r="N2953">
        <v>661224886143</v>
      </c>
      <c r="O2953" t="b">
        <v>1</v>
      </c>
      <c r="P2953">
        <v>0</v>
      </c>
      <c r="Q2953" t="str" cm="1">
        <f t="array" ref="Q2953">_xlfn.IFS(Table1[[#This Row],[Wealthier_Winner]]=-1,"Wealthier Nation Loses",Table1[[#This Row],[Wealthier_Winner]]=0,"Tie",Table1[[#This Row],[Wealthier_Winner]]=1,"Wealthier Nation Wins")</f>
        <v>Tie</v>
      </c>
    </row>
    <row r="2954" spans="1:17" x14ac:dyDescent="0.2">
      <c r="A2954" s="1">
        <v>4715</v>
      </c>
      <c r="B2954" s="2">
        <v>38269</v>
      </c>
      <c r="C2954" s="7">
        <f>_xlfn.FLOOR.MATH(Table1[[#This Row],[year]],10)</f>
        <v>2000</v>
      </c>
      <c r="D2954" t="s">
        <v>370</v>
      </c>
      <c r="E2954" t="s">
        <v>53</v>
      </c>
      <c r="F2954">
        <v>2</v>
      </c>
      <c r="G2954">
        <v>2</v>
      </c>
      <c r="H2954" t="s">
        <v>224</v>
      </c>
      <c r="I2954" t="s">
        <v>372</v>
      </c>
      <c r="J2954" t="s">
        <v>370</v>
      </c>
      <c r="K2954" t="b">
        <v>0</v>
      </c>
      <c r="L2954">
        <v>2004</v>
      </c>
      <c r="M2954">
        <v>5058726350</v>
      </c>
      <c r="N2954">
        <v>31183885241</v>
      </c>
      <c r="O2954" t="b">
        <v>1</v>
      </c>
      <c r="P2954">
        <v>0</v>
      </c>
      <c r="Q2954" t="str" cm="1">
        <f t="array" ref="Q2954">_xlfn.IFS(Table1[[#This Row],[Wealthier_Winner]]=-1,"Wealthier Nation Loses",Table1[[#This Row],[Wealthier_Winner]]=0,"Tie",Table1[[#This Row],[Wealthier_Winner]]=1,"Wealthier Nation Wins")</f>
        <v>Tie</v>
      </c>
    </row>
    <row r="2955" spans="1:17" x14ac:dyDescent="0.2">
      <c r="A2955" s="1">
        <v>4716</v>
      </c>
      <c r="B2955" s="2">
        <v>38269</v>
      </c>
      <c r="C2955" s="7">
        <f>_xlfn.FLOOR.MATH(Table1[[#This Row],[year]],10)</f>
        <v>2000</v>
      </c>
      <c r="D2955" t="s">
        <v>303</v>
      </c>
      <c r="E2955" t="s">
        <v>66</v>
      </c>
      <c r="F2955">
        <v>0</v>
      </c>
      <c r="G2955">
        <v>0</v>
      </c>
      <c r="H2955" t="s">
        <v>224</v>
      </c>
      <c r="I2955" t="s">
        <v>399</v>
      </c>
      <c r="J2955" t="s">
        <v>303</v>
      </c>
      <c r="K2955" t="b">
        <v>0</v>
      </c>
      <c r="L2955">
        <v>2004</v>
      </c>
      <c r="M2955">
        <v>6104141520</v>
      </c>
      <c r="N2955">
        <v>13963943244</v>
      </c>
      <c r="O2955" t="b">
        <v>1</v>
      </c>
      <c r="P2955">
        <v>0</v>
      </c>
      <c r="Q2955" t="str" cm="1">
        <f t="array" ref="Q2955">_xlfn.IFS(Table1[[#This Row],[Wealthier_Winner]]=-1,"Wealthier Nation Loses",Table1[[#This Row],[Wealthier_Winner]]=0,"Tie",Table1[[#This Row],[Wealthier_Winner]]=1,"Wealthier Nation Wins")</f>
        <v>Tie</v>
      </c>
    </row>
    <row r="2956" spans="1:17" x14ac:dyDescent="0.2">
      <c r="A2956" s="1">
        <v>4717</v>
      </c>
      <c r="B2956" s="2">
        <v>38269</v>
      </c>
      <c r="C2956" s="7">
        <f>_xlfn.FLOOR.MATH(Table1[[#This Row],[year]],10)</f>
        <v>2000</v>
      </c>
      <c r="D2956" t="s">
        <v>67</v>
      </c>
      <c r="E2956" t="s">
        <v>49</v>
      </c>
      <c r="F2956">
        <v>1</v>
      </c>
      <c r="G2956">
        <v>1</v>
      </c>
      <c r="H2956" t="s">
        <v>224</v>
      </c>
      <c r="I2956" t="s">
        <v>455</v>
      </c>
      <c r="J2956" t="s">
        <v>67</v>
      </c>
      <c r="K2956" t="b">
        <v>0</v>
      </c>
      <c r="L2956">
        <v>2004</v>
      </c>
      <c r="M2956">
        <v>15100203361</v>
      </c>
      <c r="N2956">
        <v>10174664853</v>
      </c>
      <c r="O2956" t="b">
        <v>0</v>
      </c>
      <c r="P2956">
        <v>0</v>
      </c>
      <c r="Q2956" t="str" cm="1">
        <f t="array" ref="Q2956">_xlfn.IFS(Table1[[#This Row],[Wealthier_Winner]]=-1,"Wealthier Nation Loses",Table1[[#This Row],[Wealthier_Winner]]=0,"Tie",Table1[[#This Row],[Wealthier_Winner]]=1,"Wealthier Nation Wins")</f>
        <v>Tie</v>
      </c>
    </row>
    <row r="2957" spans="1:17" x14ac:dyDescent="0.2">
      <c r="A2957" s="1">
        <v>4718</v>
      </c>
      <c r="B2957" s="2">
        <v>38269</v>
      </c>
      <c r="C2957" s="7">
        <f>_xlfn.FLOOR.MATH(Table1[[#This Row],[year]],10)</f>
        <v>2000</v>
      </c>
      <c r="D2957" t="s">
        <v>514</v>
      </c>
      <c r="E2957" t="s">
        <v>32</v>
      </c>
      <c r="F2957">
        <v>1</v>
      </c>
      <c r="G2957">
        <v>1</v>
      </c>
      <c r="H2957" t="s">
        <v>224</v>
      </c>
      <c r="I2957" t="s">
        <v>515</v>
      </c>
      <c r="J2957" t="s">
        <v>514</v>
      </c>
      <c r="K2957" t="b">
        <v>0</v>
      </c>
      <c r="L2957">
        <v>2004</v>
      </c>
      <c r="M2957">
        <v>2376496067</v>
      </c>
      <c r="N2957">
        <v>91913680985</v>
      </c>
      <c r="O2957" t="b">
        <v>1</v>
      </c>
      <c r="P2957">
        <v>0</v>
      </c>
      <c r="Q2957" t="str" cm="1">
        <f t="array" ref="Q2957">_xlfn.IFS(Table1[[#This Row],[Wealthier_Winner]]=-1,"Wealthier Nation Loses",Table1[[#This Row],[Wealthier_Winner]]=0,"Tie",Table1[[#This Row],[Wealthier_Winner]]=1,"Wealthier Nation Wins")</f>
        <v>Tie</v>
      </c>
    </row>
    <row r="2958" spans="1:17" x14ac:dyDescent="0.2">
      <c r="A2958" s="1">
        <v>4721</v>
      </c>
      <c r="B2958" s="2">
        <v>38269</v>
      </c>
      <c r="C2958" s="7">
        <f>_xlfn.FLOOR.MATH(Table1[[#This Row],[year]],10)</f>
        <v>2000</v>
      </c>
      <c r="D2958" t="s">
        <v>55</v>
      </c>
      <c r="E2958" t="s">
        <v>18</v>
      </c>
      <c r="F2958">
        <v>1</v>
      </c>
      <c r="G2958">
        <v>0</v>
      </c>
      <c r="H2958" t="s">
        <v>224</v>
      </c>
      <c r="I2958" t="s">
        <v>666</v>
      </c>
      <c r="J2958" t="s">
        <v>55</v>
      </c>
      <c r="K2958" t="b">
        <v>0</v>
      </c>
      <c r="L2958">
        <v>2004</v>
      </c>
      <c r="M2958">
        <v>34156553313</v>
      </c>
      <c r="N2958">
        <v>1812808753294</v>
      </c>
      <c r="O2958" t="b">
        <v>1</v>
      </c>
      <c r="P2958">
        <v>-1</v>
      </c>
      <c r="Q2958" t="str" cm="1">
        <f t="array" ref="Q2958">_xlfn.IFS(Table1[[#This Row],[Wealthier_Winner]]=-1,"Wealthier Nation Loses",Table1[[#This Row],[Wealthier_Winner]]=0,"Tie",Table1[[#This Row],[Wealthier_Winner]]=1,"Wealthier Nation Wins")</f>
        <v>Wealthier Nation Loses</v>
      </c>
    </row>
    <row r="2959" spans="1:17" x14ac:dyDescent="0.2">
      <c r="A2959" s="1">
        <v>4722</v>
      </c>
      <c r="B2959" s="2">
        <v>38269</v>
      </c>
      <c r="C2959" s="7">
        <f>_xlfn.FLOOR.MATH(Table1[[#This Row],[year]],10)</f>
        <v>2000</v>
      </c>
      <c r="D2959" t="s">
        <v>21</v>
      </c>
      <c r="E2959" t="s">
        <v>23</v>
      </c>
      <c r="F2959">
        <v>2</v>
      </c>
      <c r="G2959">
        <v>0</v>
      </c>
      <c r="H2959" t="s">
        <v>224</v>
      </c>
      <c r="I2959" t="s">
        <v>668</v>
      </c>
      <c r="J2959" t="s">
        <v>21</v>
      </c>
      <c r="K2959" t="b">
        <v>0</v>
      </c>
      <c r="L2959">
        <v>2004</v>
      </c>
      <c r="M2959">
        <v>1069829382514</v>
      </c>
      <c r="N2959">
        <v>369214712443</v>
      </c>
      <c r="O2959" t="b">
        <v>1</v>
      </c>
      <c r="P2959">
        <v>1</v>
      </c>
      <c r="Q2959" t="str" cm="1">
        <f t="array" ref="Q2959">_xlfn.IFS(Table1[[#This Row],[Wealthier_Winner]]=-1,"Wealthier Nation Loses",Table1[[#This Row],[Wealthier_Winner]]=0,"Tie",Table1[[#This Row],[Wealthier_Winner]]=1,"Wealthier Nation Wins")</f>
        <v>Wealthier Nation Wins</v>
      </c>
    </row>
    <row r="2960" spans="1:17" x14ac:dyDescent="0.2">
      <c r="A2960" s="1">
        <v>4723</v>
      </c>
      <c r="B2960" s="2">
        <v>38269</v>
      </c>
      <c r="C2960" s="7">
        <f>_xlfn.FLOOR.MATH(Table1[[#This Row],[year]],10)</f>
        <v>2000</v>
      </c>
      <c r="D2960" t="s">
        <v>473</v>
      </c>
      <c r="E2960" t="s">
        <v>560</v>
      </c>
      <c r="F2960">
        <v>2</v>
      </c>
      <c r="G2960">
        <v>2</v>
      </c>
      <c r="H2960" t="s">
        <v>224</v>
      </c>
      <c r="I2960" t="s">
        <v>652</v>
      </c>
      <c r="J2960" t="s">
        <v>473</v>
      </c>
      <c r="K2960" t="b">
        <v>0</v>
      </c>
      <c r="L2960">
        <v>2004</v>
      </c>
      <c r="M2960">
        <v>20662525941</v>
      </c>
      <c r="N2960">
        <v>6838351088</v>
      </c>
      <c r="O2960" t="b">
        <v>1</v>
      </c>
      <c r="P2960">
        <v>0</v>
      </c>
      <c r="Q2960" t="str" cm="1">
        <f t="array" ref="Q2960">_xlfn.IFS(Table1[[#This Row],[Wealthier_Winner]]=-1,"Wealthier Nation Loses",Table1[[#This Row],[Wealthier_Winner]]=0,"Tie",Table1[[#This Row],[Wealthier_Winner]]=1,"Wealthier Nation Wins")</f>
        <v>Tie</v>
      </c>
    </row>
    <row r="2961" spans="1:17" x14ac:dyDescent="0.2">
      <c r="A2961" s="1">
        <v>4724</v>
      </c>
      <c r="B2961" s="2">
        <v>38269</v>
      </c>
      <c r="C2961" s="7">
        <f>_xlfn.FLOOR.MATH(Table1[[#This Row],[year]],10)</f>
        <v>2000</v>
      </c>
      <c r="D2961" t="s">
        <v>274</v>
      </c>
      <c r="E2961" t="s">
        <v>40</v>
      </c>
      <c r="F2961">
        <v>1</v>
      </c>
      <c r="G2961">
        <v>1</v>
      </c>
      <c r="H2961" t="s">
        <v>224</v>
      </c>
      <c r="I2961" t="s">
        <v>591</v>
      </c>
      <c r="J2961" t="s">
        <v>274</v>
      </c>
      <c r="K2961" t="b">
        <v>0</v>
      </c>
      <c r="L2961">
        <v>2004</v>
      </c>
      <c r="M2961">
        <v>26646007250</v>
      </c>
      <c r="N2961">
        <v>18826214135</v>
      </c>
      <c r="O2961" t="b">
        <v>0</v>
      </c>
      <c r="P2961">
        <v>0</v>
      </c>
      <c r="Q2961" t="str" cm="1">
        <f t="array" ref="Q2961">_xlfn.IFS(Table1[[#This Row],[Wealthier_Winner]]=-1,"Wealthier Nation Loses",Table1[[#This Row],[Wealthier_Winner]]=0,"Tie",Table1[[#This Row],[Wealthier_Winner]]=1,"Wealthier Nation Wins")</f>
        <v>Tie</v>
      </c>
    </row>
    <row r="2962" spans="1:17" x14ac:dyDescent="0.2">
      <c r="A2962" s="1">
        <v>4725</v>
      </c>
      <c r="B2962" s="2">
        <v>38269</v>
      </c>
      <c r="C2962" s="7">
        <f>_xlfn.FLOOR.MATH(Table1[[#This Row],[year]],10)</f>
        <v>2000</v>
      </c>
      <c r="D2962" t="s">
        <v>25</v>
      </c>
      <c r="E2962" t="s">
        <v>30</v>
      </c>
      <c r="F2962">
        <v>3</v>
      </c>
      <c r="G2962">
        <v>0</v>
      </c>
      <c r="H2962" t="s">
        <v>224</v>
      </c>
      <c r="I2962" t="s">
        <v>233</v>
      </c>
      <c r="J2962" t="s">
        <v>25</v>
      </c>
      <c r="K2962" t="b">
        <v>0</v>
      </c>
      <c r="L2962">
        <v>2004</v>
      </c>
      <c r="M2962">
        <v>384545442175</v>
      </c>
      <c r="N2962">
        <v>104015363080</v>
      </c>
      <c r="O2962" t="b">
        <v>1</v>
      </c>
      <c r="P2962">
        <v>1</v>
      </c>
      <c r="Q2962" t="str" cm="1">
        <f t="array" ref="Q2962">_xlfn.IFS(Table1[[#This Row],[Wealthier_Winner]]=-1,"Wealthier Nation Loses",Table1[[#This Row],[Wealthier_Winner]]=0,"Tie",Table1[[#This Row],[Wealthier_Winner]]=1,"Wealthier Nation Wins")</f>
        <v>Wealthier Nation Wins</v>
      </c>
    </row>
    <row r="2963" spans="1:17" x14ac:dyDescent="0.2">
      <c r="A2963" s="1">
        <v>4727</v>
      </c>
      <c r="B2963" s="2">
        <v>38269</v>
      </c>
      <c r="C2963" s="7">
        <f>_xlfn.FLOOR.MATH(Table1[[#This Row],[year]],10)</f>
        <v>2000</v>
      </c>
      <c r="D2963" t="s">
        <v>64</v>
      </c>
      <c r="E2963" t="s">
        <v>48</v>
      </c>
      <c r="F2963">
        <v>1</v>
      </c>
      <c r="G2963">
        <v>1</v>
      </c>
      <c r="H2963" t="s">
        <v>224</v>
      </c>
      <c r="I2963" t="s">
        <v>423</v>
      </c>
      <c r="J2963" t="s">
        <v>64</v>
      </c>
      <c r="K2963" t="b">
        <v>0</v>
      </c>
      <c r="L2963">
        <v>2004</v>
      </c>
      <c r="M2963">
        <v>67220154164</v>
      </c>
      <c r="N2963">
        <v>234979615898</v>
      </c>
      <c r="O2963" t="b">
        <v>1</v>
      </c>
      <c r="P2963">
        <v>0</v>
      </c>
      <c r="Q2963" t="str" cm="1">
        <f t="array" ref="Q2963">_xlfn.IFS(Table1[[#This Row],[Wealthier_Winner]]=-1,"Wealthier Nation Loses",Table1[[#This Row],[Wealthier_Winner]]=0,"Tie",Table1[[#This Row],[Wealthier_Winner]]=1,"Wealthier Nation Wins")</f>
        <v>Tie</v>
      </c>
    </row>
    <row r="2964" spans="1:17" x14ac:dyDescent="0.2">
      <c r="A2964" s="1">
        <v>4728</v>
      </c>
      <c r="B2964" s="2">
        <v>38269</v>
      </c>
      <c r="C2964" s="7">
        <f>_xlfn.FLOOR.MATH(Table1[[#This Row],[year]],10)</f>
        <v>2000</v>
      </c>
      <c r="D2964" t="s">
        <v>258</v>
      </c>
      <c r="E2964" t="s">
        <v>13</v>
      </c>
      <c r="F2964">
        <v>2</v>
      </c>
      <c r="G2964">
        <v>5</v>
      </c>
      <c r="H2964" t="s">
        <v>224</v>
      </c>
      <c r="I2964" t="s">
        <v>572</v>
      </c>
      <c r="J2964" t="s">
        <v>258</v>
      </c>
      <c r="K2964" t="b">
        <v>0</v>
      </c>
      <c r="L2964">
        <v>2004</v>
      </c>
      <c r="M2964">
        <v>112451400424</v>
      </c>
      <c r="N2964">
        <v>669289321944</v>
      </c>
      <c r="O2964" t="b">
        <v>1</v>
      </c>
      <c r="P2964">
        <v>1</v>
      </c>
      <c r="Q2964" t="str" cm="1">
        <f t="array" ref="Q2964">_xlfn.IFS(Table1[[#This Row],[Wealthier_Winner]]=-1,"Wealthier Nation Loses",Table1[[#This Row],[Wealthier_Winner]]=0,"Tie",Table1[[#This Row],[Wealthier_Winner]]=1,"Wealthier Nation Wins")</f>
        <v>Wealthier Nation Wins</v>
      </c>
    </row>
    <row r="2965" spans="1:17" x14ac:dyDescent="0.2">
      <c r="A2965" s="1">
        <v>4729</v>
      </c>
      <c r="B2965" s="2">
        <v>38270</v>
      </c>
      <c r="C2965" s="7">
        <f>_xlfn.FLOOR.MATH(Table1[[#This Row],[year]],10)</f>
        <v>2000</v>
      </c>
      <c r="D2965" t="s">
        <v>60</v>
      </c>
      <c r="E2965" t="s">
        <v>298</v>
      </c>
      <c r="F2965">
        <v>1</v>
      </c>
      <c r="G2965">
        <v>0</v>
      </c>
      <c r="H2965" t="s">
        <v>224</v>
      </c>
      <c r="I2965" t="s">
        <v>396</v>
      </c>
      <c r="J2965" t="s">
        <v>60</v>
      </c>
      <c r="K2965" t="b">
        <v>0</v>
      </c>
      <c r="L2965">
        <v>2004</v>
      </c>
      <c r="M2965">
        <v>26997977896</v>
      </c>
      <c r="N2965">
        <v>5808500000</v>
      </c>
      <c r="O2965" t="b">
        <v>1</v>
      </c>
      <c r="P2965">
        <v>1</v>
      </c>
      <c r="Q2965" t="str" cm="1">
        <f t="array" ref="Q2965">_xlfn.IFS(Table1[[#This Row],[Wealthier_Winner]]=-1,"Wealthier Nation Loses",Table1[[#This Row],[Wealthier_Winner]]=0,"Tie",Table1[[#This Row],[Wealthier_Winner]]=1,"Wealthier Nation Wins")</f>
        <v>Wealthier Nation Wins</v>
      </c>
    </row>
    <row r="2966" spans="1:17" x14ac:dyDescent="0.2">
      <c r="A2966" s="1">
        <v>4732</v>
      </c>
      <c r="B2966" s="2">
        <v>38270</v>
      </c>
      <c r="C2966" s="7">
        <f>_xlfn.FLOOR.MATH(Table1[[#This Row],[year]],10)</f>
        <v>2000</v>
      </c>
      <c r="D2966" t="s">
        <v>57</v>
      </c>
      <c r="E2966" t="s">
        <v>14</v>
      </c>
      <c r="F2966">
        <v>2</v>
      </c>
      <c r="G2966">
        <v>0</v>
      </c>
      <c r="H2966" t="s">
        <v>224</v>
      </c>
      <c r="I2966" t="s">
        <v>335</v>
      </c>
      <c r="J2966" t="s">
        <v>57</v>
      </c>
      <c r="K2966" t="b">
        <v>0</v>
      </c>
      <c r="L2966">
        <v>2004</v>
      </c>
      <c r="M2966">
        <v>35194947000</v>
      </c>
      <c r="N2966">
        <v>99075985773</v>
      </c>
      <c r="O2966" t="b">
        <v>1</v>
      </c>
      <c r="P2966">
        <v>-1</v>
      </c>
      <c r="Q2966" t="str" cm="1">
        <f t="array" ref="Q2966">_xlfn.IFS(Table1[[#This Row],[Wealthier_Winner]]=-1,"Wealthier Nation Loses",Table1[[#This Row],[Wealthier_Winner]]=0,"Tie",Table1[[#This Row],[Wealthier_Winner]]=1,"Wealthier Nation Wins")</f>
        <v>Wealthier Nation Loses</v>
      </c>
    </row>
    <row r="2967" spans="1:17" x14ac:dyDescent="0.2">
      <c r="A2967" s="1">
        <v>4734</v>
      </c>
      <c r="B2967" s="2">
        <v>38270</v>
      </c>
      <c r="C2967" s="7">
        <f>_xlfn.FLOOR.MATH(Table1[[#This Row],[year]],10)</f>
        <v>2000</v>
      </c>
      <c r="D2967" t="s">
        <v>305</v>
      </c>
      <c r="E2967" t="s">
        <v>24</v>
      </c>
      <c r="F2967">
        <v>1</v>
      </c>
      <c r="G2967">
        <v>1</v>
      </c>
      <c r="H2967" t="s">
        <v>224</v>
      </c>
      <c r="I2967" t="s">
        <v>306</v>
      </c>
      <c r="J2967" t="s">
        <v>305</v>
      </c>
      <c r="K2967" t="b">
        <v>0</v>
      </c>
      <c r="L2967">
        <v>2004</v>
      </c>
      <c r="M2967">
        <v>5300767960</v>
      </c>
      <c r="N2967">
        <v>66114145451</v>
      </c>
      <c r="O2967" t="b">
        <v>1</v>
      </c>
      <c r="P2967">
        <v>0</v>
      </c>
      <c r="Q2967" t="str" cm="1">
        <f t="array" ref="Q2967">_xlfn.IFS(Table1[[#This Row],[Wealthier_Winner]]=-1,"Wealthier Nation Loses",Table1[[#This Row],[Wealthier_Winner]]=0,"Tie",Table1[[#This Row],[Wealthier_Winner]]=1,"Wealthier Nation Wins")</f>
        <v>Tie</v>
      </c>
    </row>
    <row r="2968" spans="1:17" x14ac:dyDescent="0.2">
      <c r="A2968" s="1">
        <v>4735</v>
      </c>
      <c r="B2968" s="2">
        <v>38270</v>
      </c>
      <c r="C2968" s="7">
        <f>_xlfn.FLOOR.MATH(Table1[[#This Row],[year]],10)</f>
        <v>2000</v>
      </c>
      <c r="D2968" t="s">
        <v>378</v>
      </c>
      <c r="E2968" t="s">
        <v>54</v>
      </c>
      <c r="F2968">
        <v>0</v>
      </c>
      <c r="G2968">
        <v>3</v>
      </c>
      <c r="H2968" t="s">
        <v>224</v>
      </c>
      <c r="I2968" t="s">
        <v>595</v>
      </c>
      <c r="J2968" t="s">
        <v>378</v>
      </c>
      <c r="K2968" t="b">
        <v>0</v>
      </c>
      <c r="L2968">
        <v>2004</v>
      </c>
      <c r="M2968">
        <v>897000000</v>
      </c>
      <c r="N2968">
        <v>10076816666</v>
      </c>
      <c r="O2968" t="b">
        <v>1</v>
      </c>
      <c r="P2968">
        <v>1</v>
      </c>
      <c r="Q2968" t="str" cm="1">
        <f t="array" ref="Q2968">_xlfn.IFS(Table1[[#This Row],[Wealthier_Winner]]=-1,"Wealthier Nation Loses",Table1[[#This Row],[Wealthier_Winner]]=0,"Tie",Table1[[#This Row],[Wealthier_Winner]]=1,"Wealthier Nation Wins")</f>
        <v>Wealthier Nation Wins</v>
      </c>
    </row>
    <row r="2969" spans="1:17" x14ac:dyDescent="0.2">
      <c r="A2969" s="1">
        <v>4736</v>
      </c>
      <c r="B2969" s="2">
        <v>38270</v>
      </c>
      <c r="C2969" s="7">
        <f>_xlfn.FLOOR.MATH(Table1[[#This Row],[year]],10)</f>
        <v>2000</v>
      </c>
      <c r="D2969" t="s">
        <v>62</v>
      </c>
      <c r="E2969" t="s">
        <v>590</v>
      </c>
      <c r="F2969">
        <v>1</v>
      </c>
      <c r="G2969">
        <v>0</v>
      </c>
      <c r="H2969" t="s">
        <v>224</v>
      </c>
      <c r="I2969" t="s">
        <v>353</v>
      </c>
      <c r="J2969" t="s">
        <v>62</v>
      </c>
      <c r="K2969" t="b">
        <v>0</v>
      </c>
      <c r="L2969">
        <v>2004</v>
      </c>
      <c r="M2969">
        <v>3191561508</v>
      </c>
      <c r="N2969">
        <v>6485774930</v>
      </c>
      <c r="O2969" t="b">
        <v>1</v>
      </c>
      <c r="P2969">
        <v>-1</v>
      </c>
      <c r="Q2969" t="str" cm="1">
        <f t="array" ref="Q2969">_xlfn.IFS(Table1[[#This Row],[Wealthier_Winner]]=-1,"Wealthier Nation Loses",Table1[[#This Row],[Wealthier_Winner]]=0,"Tie",Table1[[#This Row],[Wealthier_Winner]]=1,"Wealthier Nation Wins")</f>
        <v>Wealthier Nation Loses</v>
      </c>
    </row>
    <row r="2970" spans="1:17" x14ac:dyDescent="0.2">
      <c r="A2970" s="1">
        <v>4738</v>
      </c>
      <c r="B2970" s="2">
        <v>38270</v>
      </c>
      <c r="C2970" s="7">
        <f>_xlfn.FLOOR.MATH(Table1[[#This Row],[year]],10)</f>
        <v>2000</v>
      </c>
      <c r="D2970" t="s">
        <v>357</v>
      </c>
      <c r="E2970" t="s">
        <v>50</v>
      </c>
      <c r="F2970">
        <v>0</v>
      </c>
      <c r="G2970">
        <v>1</v>
      </c>
      <c r="H2970" t="s">
        <v>224</v>
      </c>
      <c r="I2970" t="s">
        <v>358</v>
      </c>
      <c r="J2970" t="s">
        <v>357</v>
      </c>
      <c r="K2970" t="b">
        <v>0</v>
      </c>
      <c r="L2970">
        <v>2004</v>
      </c>
      <c r="M2970">
        <v>7939487547</v>
      </c>
      <c r="N2970">
        <v>255806908594</v>
      </c>
      <c r="O2970" t="b">
        <v>1</v>
      </c>
      <c r="P2970">
        <v>1</v>
      </c>
      <c r="Q2970" t="str" cm="1">
        <f t="array" ref="Q2970">_xlfn.IFS(Table1[[#This Row],[Wealthier_Winner]]=-1,"Wealthier Nation Loses",Table1[[#This Row],[Wealthier_Winner]]=0,"Tie",Table1[[#This Row],[Wealthier_Winner]]=1,"Wealthier Nation Wins")</f>
        <v>Wealthier Nation Wins</v>
      </c>
    </row>
    <row r="2971" spans="1:17" x14ac:dyDescent="0.2">
      <c r="A2971" s="1">
        <v>4740</v>
      </c>
      <c r="B2971" s="2">
        <v>38272</v>
      </c>
      <c r="C2971" s="7">
        <f>_xlfn.FLOOR.MATH(Table1[[#This Row],[year]],10)</f>
        <v>2000</v>
      </c>
      <c r="D2971" t="s">
        <v>47</v>
      </c>
      <c r="E2971" t="s">
        <v>26</v>
      </c>
      <c r="F2971">
        <v>0</v>
      </c>
      <c r="G2971">
        <v>0</v>
      </c>
      <c r="H2971" t="s">
        <v>224</v>
      </c>
      <c r="I2971" t="s">
        <v>246</v>
      </c>
      <c r="J2971" t="s">
        <v>47</v>
      </c>
      <c r="K2971" t="b">
        <v>0</v>
      </c>
      <c r="L2971">
        <v>2004</v>
      </c>
      <c r="M2971">
        <v>8773451751</v>
      </c>
      <c r="N2971">
        <v>13686329890</v>
      </c>
      <c r="O2971" t="b">
        <v>0</v>
      </c>
      <c r="P2971">
        <v>0</v>
      </c>
      <c r="Q2971" t="str" cm="1">
        <f t="array" ref="Q2971">_xlfn.IFS(Table1[[#This Row],[Wealthier_Winner]]=-1,"Wealthier Nation Loses",Table1[[#This Row],[Wealthier_Winner]]=0,"Tie",Table1[[#This Row],[Wealthier_Winner]]=1,"Wealthier Nation Wins")</f>
        <v>Tie</v>
      </c>
    </row>
    <row r="2972" spans="1:17" x14ac:dyDescent="0.2">
      <c r="A2972" s="1">
        <v>4741</v>
      </c>
      <c r="B2972" s="2">
        <v>38272</v>
      </c>
      <c r="C2972" s="7">
        <f>_xlfn.FLOOR.MATH(Table1[[#This Row],[year]],10)</f>
        <v>2000</v>
      </c>
      <c r="D2972" t="s">
        <v>328</v>
      </c>
      <c r="E2972" t="s">
        <v>45</v>
      </c>
      <c r="F2972">
        <v>1</v>
      </c>
      <c r="G2972">
        <v>3</v>
      </c>
      <c r="H2972" t="s">
        <v>224</v>
      </c>
      <c r="I2972" t="s">
        <v>386</v>
      </c>
      <c r="J2972" t="s">
        <v>328</v>
      </c>
      <c r="K2972" t="b">
        <v>0</v>
      </c>
      <c r="L2972">
        <v>2004</v>
      </c>
      <c r="M2972">
        <v>256836875295</v>
      </c>
      <c r="N2972">
        <v>258742133333</v>
      </c>
      <c r="O2972" t="b">
        <v>0</v>
      </c>
      <c r="P2972">
        <v>1</v>
      </c>
      <c r="Q2972" t="str" cm="1">
        <f t="array" ref="Q2972">_xlfn.IFS(Table1[[#This Row],[Wealthier_Winner]]=-1,"Wealthier Nation Loses",Table1[[#This Row],[Wealthier_Winner]]=0,"Tie",Table1[[#This Row],[Wealthier_Winner]]=1,"Wealthier Nation Wins")</f>
        <v>Wealthier Nation Wins</v>
      </c>
    </row>
    <row r="2973" spans="1:17" x14ac:dyDescent="0.2">
      <c r="A2973" s="1">
        <v>4742</v>
      </c>
      <c r="B2973" s="2">
        <v>38273</v>
      </c>
      <c r="C2973" s="7">
        <f>_xlfn.FLOOR.MATH(Table1[[#This Row],[year]],10)</f>
        <v>2000</v>
      </c>
      <c r="D2973" t="s">
        <v>601</v>
      </c>
      <c r="E2973" t="s">
        <v>502</v>
      </c>
      <c r="F2973">
        <v>1</v>
      </c>
      <c r="G2973">
        <v>0</v>
      </c>
      <c r="H2973" t="s">
        <v>224</v>
      </c>
      <c r="I2973" t="s">
        <v>602</v>
      </c>
      <c r="J2973" t="s">
        <v>601</v>
      </c>
      <c r="K2973" t="b">
        <v>0</v>
      </c>
      <c r="L2973">
        <v>2004</v>
      </c>
      <c r="M2973">
        <v>2900244053</v>
      </c>
      <c r="N2973">
        <v>5682784471</v>
      </c>
      <c r="O2973" t="b">
        <v>0</v>
      </c>
      <c r="P2973">
        <v>-1</v>
      </c>
      <c r="Q2973" t="str" cm="1">
        <f t="array" ref="Q2973">_xlfn.IFS(Table1[[#This Row],[Wealthier_Winner]]=-1,"Wealthier Nation Loses",Table1[[#This Row],[Wealthier_Winner]]=0,"Tie",Table1[[#This Row],[Wealthier_Winner]]=1,"Wealthier Nation Wins")</f>
        <v>Wealthier Nation Loses</v>
      </c>
    </row>
    <row r="2974" spans="1:17" x14ac:dyDescent="0.2">
      <c r="A2974" s="1">
        <v>4744</v>
      </c>
      <c r="B2974" s="2">
        <v>38273</v>
      </c>
      <c r="C2974" s="7">
        <f>_xlfn.FLOOR.MATH(Table1[[#This Row],[year]],10)</f>
        <v>2000</v>
      </c>
      <c r="D2974" t="s">
        <v>513</v>
      </c>
      <c r="E2974" t="s">
        <v>194</v>
      </c>
      <c r="F2974">
        <v>0</v>
      </c>
      <c r="G2974">
        <v>1</v>
      </c>
      <c r="H2974" t="s">
        <v>224</v>
      </c>
      <c r="I2974" t="s">
        <v>521</v>
      </c>
      <c r="J2974" t="s">
        <v>513</v>
      </c>
      <c r="K2974" t="b">
        <v>0</v>
      </c>
      <c r="L2974">
        <v>2004</v>
      </c>
      <c r="M2974">
        <v>8680405740</v>
      </c>
      <c r="N2974">
        <v>2429774807762</v>
      </c>
      <c r="O2974" t="b">
        <v>1</v>
      </c>
      <c r="P2974">
        <v>1</v>
      </c>
      <c r="Q2974" t="str" cm="1">
        <f t="array" ref="Q2974">_xlfn.IFS(Table1[[#This Row],[Wealthier_Winner]]=-1,"Wealthier Nation Loses",Table1[[#This Row],[Wealthier_Winner]]=0,"Tie",Table1[[#This Row],[Wealthier_Winner]]=1,"Wealthier Nation Wins")</f>
        <v>Wealthier Nation Wins</v>
      </c>
    </row>
    <row r="2975" spans="1:17" x14ac:dyDescent="0.2">
      <c r="A2975" s="1">
        <v>4745</v>
      </c>
      <c r="B2975" s="2">
        <v>38273</v>
      </c>
      <c r="C2975" s="7">
        <f>_xlfn.FLOOR.MATH(Table1[[#This Row],[year]],10)</f>
        <v>2000</v>
      </c>
      <c r="D2975" t="s">
        <v>13</v>
      </c>
      <c r="E2975" t="s">
        <v>15</v>
      </c>
      <c r="F2975">
        <v>0</v>
      </c>
      <c r="G2975">
        <v>0</v>
      </c>
      <c r="H2975" t="s">
        <v>224</v>
      </c>
      <c r="I2975" t="s">
        <v>669</v>
      </c>
      <c r="J2975" t="s">
        <v>13</v>
      </c>
      <c r="K2975" t="b">
        <v>0</v>
      </c>
      <c r="L2975">
        <v>2004</v>
      </c>
      <c r="M2975">
        <v>669289321944</v>
      </c>
      <c r="N2975">
        <v>117092416666</v>
      </c>
      <c r="O2975" t="b">
        <v>1</v>
      </c>
      <c r="P2975">
        <v>0</v>
      </c>
      <c r="Q2975" t="str" cm="1">
        <f t="array" ref="Q2975">_xlfn.IFS(Table1[[#This Row],[Wealthier_Winner]]=-1,"Wealthier Nation Loses",Table1[[#This Row],[Wealthier_Winner]]=0,"Tie",Table1[[#This Row],[Wealthier_Winner]]=1,"Wealthier Nation Wins")</f>
        <v>Tie</v>
      </c>
    </row>
    <row r="2976" spans="1:17" x14ac:dyDescent="0.2">
      <c r="A2976" s="1">
        <v>4746</v>
      </c>
      <c r="B2976" s="2">
        <v>38273</v>
      </c>
      <c r="C2976" s="7">
        <f>_xlfn.FLOOR.MATH(Table1[[#This Row],[year]],10)</f>
        <v>2000</v>
      </c>
      <c r="D2976" t="s">
        <v>33</v>
      </c>
      <c r="E2976" t="s">
        <v>303</v>
      </c>
      <c r="F2976">
        <v>4</v>
      </c>
      <c r="G2976">
        <v>1</v>
      </c>
      <c r="H2976" t="s">
        <v>224</v>
      </c>
      <c r="I2976" t="s">
        <v>375</v>
      </c>
      <c r="J2976" t="s">
        <v>33</v>
      </c>
      <c r="K2976" t="b">
        <v>0</v>
      </c>
      <c r="L2976">
        <v>2004</v>
      </c>
      <c r="M2976">
        <v>26157743368</v>
      </c>
      <c r="N2976">
        <v>6104141520</v>
      </c>
      <c r="O2976" t="b">
        <v>1</v>
      </c>
      <c r="P2976">
        <v>1</v>
      </c>
      <c r="Q2976" t="str" cm="1">
        <f t="array" ref="Q2976">_xlfn.IFS(Table1[[#This Row],[Wealthier_Winner]]=-1,"Wealthier Nation Loses",Table1[[#This Row],[Wealthier_Winner]]=0,"Tie",Table1[[#This Row],[Wealthier_Winner]]=1,"Wealthier Nation Wins")</f>
        <v>Wealthier Nation Wins</v>
      </c>
    </row>
    <row r="2977" spans="1:17" x14ac:dyDescent="0.2">
      <c r="A2977" s="1">
        <v>4747</v>
      </c>
      <c r="B2977" s="2">
        <v>38273</v>
      </c>
      <c r="C2977" s="7">
        <f>_xlfn.FLOOR.MATH(Table1[[#This Row],[year]],10)</f>
        <v>2000</v>
      </c>
      <c r="D2977" t="s">
        <v>34</v>
      </c>
      <c r="E2977" t="s">
        <v>56</v>
      </c>
      <c r="F2977">
        <v>1</v>
      </c>
      <c r="G2977">
        <v>3</v>
      </c>
      <c r="H2977" t="s">
        <v>224</v>
      </c>
      <c r="I2977" t="s">
        <v>467</v>
      </c>
      <c r="J2977" t="s">
        <v>34</v>
      </c>
      <c r="K2977" t="b">
        <v>0</v>
      </c>
      <c r="L2977">
        <v>2004</v>
      </c>
      <c r="M2977">
        <v>1026690238278</v>
      </c>
      <c r="N2977">
        <v>18610594846</v>
      </c>
      <c r="O2977" t="b">
        <v>1</v>
      </c>
      <c r="P2977">
        <v>-1</v>
      </c>
      <c r="Q2977" t="str" cm="1">
        <f t="array" ref="Q2977">_xlfn.IFS(Table1[[#This Row],[Wealthier_Winner]]=-1,"Wealthier Nation Loses",Table1[[#This Row],[Wealthier_Winner]]=0,"Tie",Table1[[#This Row],[Wealthier_Winner]]=1,"Wealthier Nation Wins")</f>
        <v>Wealthier Nation Loses</v>
      </c>
    </row>
    <row r="2978" spans="1:17" x14ac:dyDescent="0.2">
      <c r="A2978" s="1">
        <v>4748</v>
      </c>
      <c r="B2978" s="2">
        <v>38273</v>
      </c>
      <c r="C2978" s="7">
        <f>_xlfn.FLOOR.MATH(Table1[[#This Row],[year]],10)</f>
        <v>2000</v>
      </c>
      <c r="D2978" t="s">
        <v>14</v>
      </c>
      <c r="E2978" t="s">
        <v>19</v>
      </c>
      <c r="F2978">
        <v>0</v>
      </c>
      <c r="G2978">
        <v>0</v>
      </c>
      <c r="H2978" t="s">
        <v>224</v>
      </c>
      <c r="I2978" t="s">
        <v>75</v>
      </c>
      <c r="J2978" t="s">
        <v>14</v>
      </c>
      <c r="K2978" t="b">
        <v>0</v>
      </c>
      <c r="L2978">
        <v>2004</v>
      </c>
      <c r="M2978">
        <v>99075985773</v>
      </c>
      <c r="N2978">
        <v>164657930452</v>
      </c>
      <c r="O2978" t="b">
        <v>0</v>
      </c>
      <c r="P2978">
        <v>0</v>
      </c>
      <c r="Q2978" t="str" cm="1">
        <f t="array" ref="Q2978">_xlfn.IFS(Table1[[#This Row],[Wealthier_Winner]]=-1,"Wealthier Nation Loses",Table1[[#This Row],[Wealthier_Winner]]=0,"Tie",Table1[[#This Row],[Wealthier_Winner]]=1,"Wealthier Nation Wins")</f>
        <v>Tie</v>
      </c>
    </row>
    <row r="2979" spans="1:17" x14ac:dyDescent="0.2">
      <c r="A2979" s="1">
        <v>4749</v>
      </c>
      <c r="B2979" s="2">
        <v>38273</v>
      </c>
      <c r="C2979" s="7">
        <f>_xlfn.FLOOR.MATH(Table1[[#This Row],[year]],10)</f>
        <v>2000</v>
      </c>
      <c r="D2979" t="s">
        <v>351</v>
      </c>
      <c r="E2979" t="s">
        <v>20</v>
      </c>
      <c r="F2979">
        <v>0</v>
      </c>
      <c r="G2979">
        <v>2</v>
      </c>
      <c r="H2979" t="s">
        <v>224</v>
      </c>
      <c r="I2979" t="s">
        <v>381</v>
      </c>
      <c r="J2979" t="s">
        <v>351</v>
      </c>
      <c r="K2979" t="b">
        <v>0</v>
      </c>
      <c r="L2979">
        <v>2004</v>
      </c>
      <c r="M2979">
        <v>17320551250</v>
      </c>
      <c r="N2979">
        <v>2109792297237</v>
      </c>
      <c r="O2979" t="b">
        <v>1</v>
      </c>
      <c r="P2979">
        <v>1</v>
      </c>
      <c r="Q2979" t="str" cm="1">
        <f t="array" ref="Q2979">_xlfn.IFS(Table1[[#This Row],[Wealthier_Winner]]=-1,"Wealthier Nation Loses",Table1[[#This Row],[Wealthier_Winner]]=0,"Tie",Table1[[#This Row],[Wealthier_Winner]]=1,"Wealthier Nation Wins")</f>
        <v>Wealthier Nation Wins</v>
      </c>
    </row>
    <row r="2980" spans="1:17" x14ac:dyDescent="0.2">
      <c r="A2980" s="1">
        <v>4751</v>
      </c>
      <c r="B2980" s="2">
        <v>38273</v>
      </c>
      <c r="C2980" s="7">
        <f>_xlfn.FLOOR.MATH(Table1[[#This Row],[year]],10)</f>
        <v>2000</v>
      </c>
      <c r="D2980" t="s">
        <v>223</v>
      </c>
      <c r="E2980" t="s">
        <v>65</v>
      </c>
      <c r="F2980">
        <v>1</v>
      </c>
      <c r="G2980">
        <v>0</v>
      </c>
      <c r="H2980" t="s">
        <v>224</v>
      </c>
      <c r="I2980" t="s">
        <v>227</v>
      </c>
      <c r="J2980" t="s">
        <v>223</v>
      </c>
      <c r="K2980" t="b">
        <v>0</v>
      </c>
      <c r="L2980">
        <v>2004</v>
      </c>
      <c r="M2980">
        <v>23577298094</v>
      </c>
      <c r="N2980">
        <v>8869299234</v>
      </c>
      <c r="O2980" t="b">
        <v>1</v>
      </c>
      <c r="P2980">
        <v>1</v>
      </c>
      <c r="Q2980" t="str" cm="1">
        <f t="array" ref="Q2980">_xlfn.IFS(Table1[[#This Row],[Wealthier_Winner]]=-1,"Wealthier Nation Loses",Table1[[#This Row],[Wealthier_Winner]]=0,"Tie",Table1[[#This Row],[Wealthier_Winner]]=1,"Wealthier Nation Wins")</f>
        <v>Wealthier Nation Wins</v>
      </c>
    </row>
    <row r="2981" spans="1:17" x14ac:dyDescent="0.2">
      <c r="A2981" s="1">
        <v>4753</v>
      </c>
      <c r="B2981" s="2">
        <v>38273</v>
      </c>
      <c r="C2981" s="7">
        <f>_xlfn.FLOOR.MATH(Table1[[#This Row],[year]],10)</f>
        <v>2000</v>
      </c>
      <c r="D2981" t="s">
        <v>66</v>
      </c>
      <c r="E2981" t="s">
        <v>25</v>
      </c>
      <c r="F2981">
        <v>1</v>
      </c>
      <c r="G2981">
        <v>4</v>
      </c>
      <c r="H2981" t="s">
        <v>224</v>
      </c>
      <c r="I2981" t="s">
        <v>336</v>
      </c>
      <c r="J2981" t="s">
        <v>66</v>
      </c>
      <c r="K2981" t="b">
        <v>0</v>
      </c>
      <c r="L2981">
        <v>2004</v>
      </c>
      <c r="M2981">
        <v>13963943244</v>
      </c>
      <c r="N2981">
        <v>384545442175</v>
      </c>
      <c r="O2981" t="b">
        <v>1</v>
      </c>
      <c r="P2981">
        <v>1</v>
      </c>
      <c r="Q2981" t="str" cm="1">
        <f t="array" ref="Q2981">_xlfn.IFS(Table1[[#This Row],[Wealthier_Winner]]=-1,"Wealthier Nation Loses",Table1[[#This Row],[Wealthier_Winner]]=0,"Tie",Table1[[#This Row],[Wealthier_Winner]]=1,"Wealthier Nation Wins")</f>
        <v>Wealthier Nation Wins</v>
      </c>
    </row>
    <row r="2982" spans="1:17" x14ac:dyDescent="0.2">
      <c r="A2982" s="1">
        <v>4754</v>
      </c>
      <c r="B2982" s="2">
        <v>38273</v>
      </c>
      <c r="C2982" s="7">
        <f>_xlfn.FLOOR.MATH(Table1[[#This Row],[year]],10)</f>
        <v>2000</v>
      </c>
      <c r="D2982" t="s">
        <v>37</v>
      </c>
      <c r="E2982" t="s">
        <v>563</v>
      </c>
      <c r="F2982">
        <v>1</v>
      </c>
      <c r="G2982">
        <v>2</v>
      </c>
      <c r="H2982" t="s">
        <v>224</v>
      </c>
      <c r="I2982" t="s">
        <v>404</v>
      </c>
      <c r="J2982" t="s">
        <v>403</v>
      </c>
      <c r="K2982" t="b">
        <v>1</v>
      </c>
      <c r="L2982">
        <v>2004</v>
      </c>
      <c r="M2982">
        <v>36633669269</v>
      </c>
      <c r="N2982">
        <v>12030023547</v>
      </c>
      <c r="O2982" t="b">
        <v>1</v>
      </c>
      <c r="P2982">
        <v>-1</v>
      </c>
      <c r="Q2982" t="str" cm="1">
        <f t="array" ref="Q2982">_xlfn.IFS(Table1[[#This Row],[Wealthier_Winner]]=-1,"Wealthier Nation Loses",Table1[[#This Row],[Wealthier_Winner]]=0,"Tie",Table1[[#This Row],[Wealthier_Winner]]=1,"Wealthier Nation Wins")</f>
        <v>Wealthier Nation Loses</v>
      </c>
    </row>
    <row r="2983" spans="1:17" x14ac:dyDescent="0.2">
      <c r="A2983" s="1">
        <v>4756</v>
      </c>
      <c r="B2983" s="2">
        <v>38273</v>
      </c>
      <c r="C2983" s="7">
        <f>_xlfn.FLOOR.MATH(Table1[[#This Row],[year]],10)</f>
        <v>2000</v>
      </c>
      <c r="D2983" t="s">
        <v>18</v>
      </c>
      <c r="E2983" t="s">
        <v>510</v>
      </c>
      <c r="F2983">
        <v>4</v>
      </c>
      <c r="G2983">
        <v>3</v>
      </c>
      <c r="H2983" t="s">
        <v>224</v>
      </c>
      <c r="I2983" t="s">
        <v>634</v>
      </c>
      <c r="J2983" t="s">
        <v>18</v>
      </c>
      <c r="K2983" t="b">
        <v>0</v>
      </c>
      <c r="L2983">
        <v>2004</v>
      </c>
      <c r="M2983">
        <v>1812808753294</v>
      </c>
      <c r="N2983">
        <v>23141566292</v>
      </c>
      <c r="O2983" t="b">
        <v>1</v>
      </c>
      <c r="P2983">
        <v>1</v>
      </c>
      <c r="Q2983" t="str" cm="1">
        <f t="array" ref="Q2983">_xlfn.IFS(Table1[[#This Row],[Wealthier_Winner]]=-1,"Wealthier Nation Loses",Table1[[#This Row],[Wealthier_Winner]]=0,"Tie",Table1[[#This Row],[Wealthier_Winner]]=1,"Wealthier Nation Wins")</f>
        <v>Wealthier Nation Wins</v>
      </c>
    </row>
    <row r="2984" spans="1:17" x14ac:dyDescent="0.2">
      <c r="A2984" s="1">
        <v>4757</v>
      </c>
      <c r="B2984" s="2">
        <v>38273</v>
      </c>
      <c r="C2984" s="7">
        <f>_xlfn.FLOOR.MATH(Table1[[#This Row],[year]],10)</f>
        <v>2000</v>
      </c>
      <c r="D2984" t="s">
        <v>49</v>
      </c>
      <c r="E2984" t="s">
        <v>69</v>
      </c>
      <c r="F2984">
        <v>0</v>
      </c>
      <c r="G2984">
        <v>0</v>
      </c>
      <c r="H2984" t="s">
        <v>224</v>
      </c>
      <c r="I2984" t="s">
        <v>257</v>
      </c>
      <c r="J2984" t="s">
        <v>49</v>
      </c>
      <c r="K2984" t="b">
        <v>0</v>
      </c>
      <c r="L2984">
        <v>2004</v>
      </c>
      <c r="M2984">
        <v>10174664853</v>
      </c>
      <c r="N2984">
        <v>13724810900</v>
      </c>
      <c r="O2984" t="b">
        <v>0</v>
      </c>
      <c r="P2984">
        <v>0</v>
      </c>
      <c r="Q2984" t="str" cm="1">
        <f t="array" ref="Q2984">_xlfn.IFS(Table1[[#This Row],[Wealthier_Winner]]=-1,"Wealthier Nation Loses",Table1[[#This Row],[Wealthier_Winner]]=0,"Tie",Table1[[#This Row],[Wealthier_Winner]]=1,"Wealthier Nation Wins")</f>
        <v>Tie</v>
      </c>
    </row>
    <row r="2985" spans="1:17" x14ac:dyDescent="0.2">
      <c r="A2985" s="1">
        <v>4758</v>
      </c>
      <c r="B2985" s="2">
        <v>38273</v>
      </c>
      <c r="C2985" s="7">
        <f>_xlfn.FLOOR.MATH(Table1[[#This Row],[year]],10)</f>
        <v>2000</v>
      </c>
      <c r="D2985" t="s">
        <v>558</v>
      </c>
      <c r="E2985" t="s">
        <v>373</v>
      </c>
      <c r="F2985">
        <v>0</v>
      </c>
      <c r="G2985">
        <v>1</v>
      </c>
      <c r="H2985" t="s">
        <v>224</v>
      </c>
      <c r="I2985" t="s">
        <v>559</v>
      </c>
      <c r="J2985" t="s">
        <v>558</v>
      </c>
      <c r="K2985" t="b">
        <v>0</v>
      </c>
      <c r="L2985">
        <v>2004</v>
      </c>
      <c r="M2985">
        <v>43151647002</v>
      </c>
      <c r="N2985">
        <v>7406645793</v>
      </c>
      <c r="O2985" t="b">
        <v>1</v>
      </c>
      <c r="P2985">
        <v>-1</v>
      </c>
      <c r="Q2985" t="str" cm="1">
        <f t="array" ref="Q2985">_xlfn.IFS(Table1[[#This Row],[Wealthier_Winner]]=-1,"Wealthier Nation Loses",Table1[[#This Row],[Wealthier_Winner]]=0,"Tie",Table1[[#This Row],[Wealthier_Winner]]=1,"Wealthier Nation Wins")</f>
        <v>Wealthier Nation Loses</v>
      </c>
    </row>
    <row r="2986" spans="1:17" x14ac:dyDescent="0.2">
      <c r="A2986" s="1">
        <v>4762</v>
      </c>
      <c r="B2986" s="2">
        <v>38273</v>
      </c>
      <c r="C2986" s="7">
        <f>_xlfn.FLOOR.MATH(Table1[[#This Row],[year]],10)</f>
        <v>2000</v>
      </c>
      <c r="D2986" t="s">
        <v>525</v>
      </c>
      <c r="E2986" t="s">
        <v>476</v>
      </c>
      <c r="F2986">
        <v>2</v>
      </c>
      <c r="G2986">
        <v>2</v>
      </c>
      <c r="H2986" t="s">
        <v>224</v>
      </c>
      <c r="I2986" t="s">
        <v>526</v>
      </c>
      <c r="J2986" t="s">
        <v>525</v>
      </c>
      <c r="K2986" t="b">
        <v>0</v>
      </c>
      <c r="L2986">
        <v>2004</v>
      </c>
      <c r="M2986">
        <v>13827070378</v>
      </c>
      <c r="N2986">
        <v>12148595031</v>
      </c>
      <c r="O2986" t="b">
        <v>0</v>
      </c>
      <c r="P2986">
        <v>0</v>
      </c>
      <c r="Q2986" t="str" cm="1">
        <f t="array" ref="Q2986">_xlfn.IFS(Table1[[#This Row],[Wealthier_Winner]]=-1,"Wealthier Nation Loses",Table1[[#This Row],[Wealthier_Winner]]=0,"Tie",Table1[[#This Row],[Wealthier_Winner]]=1,"Wealthier Nation Wins")</f>
        <v>Tie</v>
      </c>
    </row>
    <row r="2987" spans="1:17" x14ac:dyDescent="0.2">
      <c r="A2987" s="1">
        <v>4763</v>
      </c>
      <c r="B2987" s="2">
        <v>38273</v>
      </c>
      <c r="C2987" s="7">
        <f>_xlfn.FLOOR.MATH(Table1[[#This Row],[year]],10)</f>
        <v>2000</v>
      </c>
      <c r="D2987" t="s">
        <v>479</v>
      </c>
      <c r="E2987" t="s">
        <v>195</v>
      </c>
      <c r="F2987">
        <v>1</v>
      </c>
      <c r="G2987">
        <v>1</v>
      </c>
      <c r="H2987" t="s">
        <v>224</v>
      </c>
      <c r="I2987" t="s">
        <v>480</v>
      </c>
      <c r="J2987" t="s">
        <v>479</v>
      </c>
      <c r="K2987" t="b">
        <v>0</v>
      </c>
      <c r="L2987">
        <v>2004</v>
      </c>
      <c r="M2987">
        <v>21159827992</v>
      </c>
      <c r="N2987">
        <v>823251107638</v>
      </c>
      <c r="O2987" t="b">
        <v>1</v>
      </c>
      <c r="P2987">
        <v>0</v>
      </c>
      <c r="Q2987" t="str" cm="1">
        <f t="array" ref="Q2987">_xlfn.IFS(Table1[[#This Row],[Wealthier_Winner]]=-1,"Wealthier Nation Loses",Table1[[#This Row],[Wealthier_Winner]]=0,"Tie",Table1[[#This Row],[Wealthier_Winner]]=1,"Wealthier Nation Wins")</f>
        <v>Tie</v>
      </c>
    </row>
    <row r="2988" spans="1:17" x14ac:dyDescent="0.2">
      <c r="A2988" s="1">
        <v>4764</v>
      </c>
      <c r="B2988" s="2">
        <v>38273</v>
      </c>
      <c r="C2988" s="7">
        <f>_xlfn.FLOOR.MATH(Table1[[#This Row],[year]],10)</f>
        <v>2000</v>
      </c>
      <c r="D2988" t="s">
        <v>523</v>
      </c>
      <c r="E2988" t="s">
        <v>21</v>
      </c>
      <c r="F2988">
        <v>0</v>
      </c>
      <c r="G2988">
        <v>0</v>
      </c>
      <c r="H2988" t="s">
        <v>224</v>
      </c>
      <c r="I2988" t="s">
        <v>533</v>
      </c>
      <c r="J2988" t="s">
        <v>523</v>
      </c>
      <c r="K2988" t="b">
        <v>0</v>
      </c>
      <c r="L2988">
        <v>2004</v>
      </c>
      <c r="M2988">
        <v>22743164431</v>
      </c>
      <c r="N2988">
        <v>1069829382514</v>
      </c>
      <c r="O2988" t="b">
        <v>1</v>
      </c>
      <c r="P2988">
        <v>0</v>
      </c>
      <c r="Q2988" t="str" cm="1">
        <f t="array" ref="Q2988">_xlfn.IFS(Table1[[#This Row],[Wealthier_Winner]]=-1,"Wealthier Nation Loses",Table1[[#This Row],[Wealthier_Winner]]=0,"Tie",Table1[[#This Row],[Wealthier_Winner]]=1,"Wealthier Nation Wins")</f>
        <v>Tie</v>
      </c>
    </row>
    <row r="2989" spans="1:17" x14ac:dyDescent="0.2">
      <c r="A2989" s="1">
        <v>4765</v>
      </c>
      <c r="B2989" s="2">
        <v>38273</v>
      </c>
      <c r="C2989" s="7">
        <f>_xlfn.FLOOR.MATH(Table1[[#This Row],[year]],10)</f>
        <v>2000</v>
      </c>
      <c r="D2989" t="s">
        <v>232</v>
      </c>
      <c r="E2989" t="s">
        <v>503</v>
      </c>
      <c r="F2989">
        <v>0</v>
      </c>
      <c r="G2989">
        <v>4</v>
      </c>
      <c r="H2989" t="s">
        <v>224</v>
      </c>
      <c r="I2989" t="s">
        <v>232</v>
      </c>
      <c r="J2989" t="s">
        <v>232</v>
      </c>
      <c r="K2989" t="b">
        <v>0</v>
      </c>
      <c r="L2989">
        <v>2004</v>
      </c>
      <c r="M2989">
        <v>35064843792</v>
      </c>
      <c r="N2989">
        <v>3454373797</v>
      </c>
      <c r="O2989" t="b">
        <v>1</v>
      </c>
      <c r="P2989">
        <v>-1</v>
      </c>
      <c r="Q2989" t="str" cm="1">
        <f t="array" ref="Q2989">_xlfn.IFS(Table1[[#This Row],[Wealthier_Winner]]=-1,"Wealthier Nation Loses",Table1[[#This Row],[Wealthier_Winner]]=0,"Tie",Table1[[#This Row],[Wealthier_Winner]]=1,"Wealthier Nation Wins")</f>
        <v>Wealthier Nation Loses</v>
      </c>
    </row>
    <row r="2990" spans="1:17" x14ac:dyDescent="0.2">
      <c r="A2990" s="1">
        <v>4766</v>
      </c>
      <c r="B2990" s="2">
        <v>38273</v>
      </c>
      <c r="C2990" s="7">
        <f>_xlfn.FLOOR.MATH(Table1[[#This Row],[year]],10)</f>
        <v>2000</v>
      </c>
      <c r="D2990" t="s">
        <v>567</v>
      </c>
      <c r="E2990" t="s">
        <v>475</v>
      </c>
      <c r="F2990">
        <v>3</v>
      </c>
      <c r="G2990">
        <v>0</v>
      </c>
      <c r="H2990" t="s">
        <v>224</v>
      </c>
      <c r="I2990" t="s">
        <v>620</v>
      </c>
      <c r="J2990" t="s">
        <v>567</v>
      </c>
      <c r="K2990" t="b">
        <v>0</v>
      </c>
      <c r="L2990">
        <v>2004</v>
      </c>
      <c r="M2990">
        <v>1226829562</v>
      </c>
      <c r="N2990">
        <v>45427854693</v>
      </c>
      <c r="O2990" t="b">
        <v>1</v>
      </c>
      <c r="P2990">
        <v>-1</v>
      </c>
      <c r="Q2990" t="str" cm="1">
        <f t="array" ref="Q2990">_xlfn.IFS(Table1[[#This Row],[Wealthier_Winner]]=-1,"Wealthier Nation Loses",Table1[[#This Row],[Wealthier_Winner]]=0,"Tie",Table1[[#This Row],[Wealthier_Winner]]=1,"Wealthier Nation Wins")</f>
        <v>Wealthier Nation Loses</v>
      </c>
    </row>
    <row r="2991" spans="1:17" x14ac:dyDescent="0.2">
      <c r="A2991" s="1">
        <v>4767</v>
      </c>
      <c r="B2991" s="2">
        <v>38273</v>
      </c>
      <c r="C2991" s="7">
        <f>_xlfn.FLOOR.MATH(Table1[[#This Row],[year]],10)</f>
        <v>2000</v>
      </c>
      <c r="D2991" t="s">
        <v>17</v>
      </c>
      <c r="E2991" t="s">
        <v>59</v>
      </c>
      <c r="F2991">
        <v>3</v>
      </c>
      <c r="G2991">
        <v>0</v>
      </c>
      <c r="H2991" t="s">
        <v>224</v>
      </c>
      <c r="I2991" t="s">
        <v>82</v>
      </c>
      <c r="J2991" t="s">
        <v>17</v>
      </c>
      <c r="K2991" t="b">
        <v>0</v>
      </c>
      <c r="L2991">
        <v>2004</v>
      </c>
      <c r="M2991">
        <v>819459227375</v>
      </c>
      <c r="N2991">
        <v>13280291989</v>
      </c>
      <c r="O2991" t="b">
        <v>1</v>
      </c>
      <c r="P2991">
        <v>1</v>
      </c>
      <c r="Q2991" t="str" cm="1">
        <f t="array" ref="Q2991">_xlfn.IFS(Table1[[#This Row],[Wealthier_Winner]]=-1,"Wealthier Nation Loses",Table1[[#This Row],[Wealthier_Winner]]=0,"Tie",Table1[[#This Row],[Wealthier_Winner]]=1,"Wealthier Nation Wins")</f>
        <v>Wealthier Nation Wins</v>
      </c>
    </row>
    <row r="2992" spans="1:17" x14ac:dyDescent="0.2">
      <c r="A2992" s="1">
        <v>4769</v>
      </c>
      <c r="B2992" s="2">
        <v>38273</v>
      </c>
      <c r="C2992" s="7">
        <f>_xlfn.FLOOR.MATH(Table1[[#This Row],[year]],10)</f>
        <v>2000</v>
      </c>
      <c r="D2992" t="s">
        <v>27</v>
      </c>
      <c r="E2992" t="s">
        <v>230</v>
      </c>
      <c r="F2992">
        <v>3</v>
      </c>
      <c r="G2992">
        <v>1</v>
      </c>
      <c r="H2992" t="s">
        <v>224</v>
      </c>
      <c r="I2992" t="s">
        <v>263</v>
      </c>
      <c r="J2992" t="s">
        <v>27</v>
      </c>
      <c r="K2992" t="b">
        <v>0</v>
      </c>
      <c r="L2992">
        <v>2004</v>
      </c>
      <c r="M2992">
        <v>661224886143</v>
      </c>
      <c r="N2992">
        <v>197458297639</v>
      </c>
      <c r="O2992" t="b">
        <v>1</v>
      </c>
      <c r="P2992">
        <v>1</v>
      </c>
      <c r="Q2992" t="str" cm="1">
        <f t="array" ref="Q2992">_xlfn.IFS(Table1[[#This Row],[Wealthier_Winner]]=-1,"Wealthier Nation Loses",Table1[[#This Row],[Wealthier_Winner]]=0,"Tie",Table1[[#This Row],[Wealthier_Winner]]=1,"Wealthier Nation Wins")</f>
        <v>Wealthier Nation Wins</v>
      </c>
    </row>
    <row r="2993" spans="1:17" x14ac:dyDescent="0.2">
      <c r="A2993" s="1">
        <v>4771</v>
      </c>
      <c r="B2993" s="2">
        <v>38273</v>
      </c>
      <c r="C2993" s="7">
        <f>_xlfn.FLOOR.MATH(Table1[[#This Row],[year]],10)</f>
        <v>2000</v>
      </c>
      <c r="D2993" t="s">
        <v>42</v>
      </c>
      <c r="E2993" t="s">
        <v>55</v>
      </c>
      <c r="F2993">
        <v>3</v>
      </c>
      <c r="G2993">
        <v>0</v>
      </c>
      <c r="H2993" t="s">
        <v>224</v>
      </c>
      <c r="I2993" t="s">
        <v>262</v>
      </c>
      <c r="J2993" t="s">
        <v>42</v>
      </c>
      <c r="K2993" t="b">
        <v>0</v>
      </c>
      <c r="L2993">
        <v>2004</v>
      </c>
      <c r="M2993">
        <v>265268662473</v>
      </c>
      <c r="N2993">
        <v>34156553313</v>
      </c>
      <c r="O2993" t="b">
        <v>1</v>
      </c>
      <c r="P2993">
        <v>1</v>
      </c>
      <c r="Q2993" t="str" cm="1">
        <f t="array" ref="Q2993">_xlfn.IFS(Table1[[#This Row],[Wealthier_Winner]]=-1,"Wealthier Nation Loses",Table1[[#This Row],[Wealthier_Winner]]=0,"Tie",Table1[[#This Row],[Wealthier_Winner]]=1,"Wealthier Nation Wins")</f>
        <v>Wealthier Nation Wins</v>
      </c>
    </row>
    <row r="2994" spans="1:17" x14ac:dyDescent="0.2">
      <c r="A2994" s="1">
        <v>4772</v>
      </c>
      <c r="B2994" s="2">
        <v>38273</v>
      </c>
      <c r="C2994" s="7">
        <f>_xlfn.FLOOR.MATH(Table1[[#This Row],[year]],10)</f>
        <v>2000</v>
      </c>
      <c r="D2994" t="s">
        <v>429</v>
      </c>
      <c r="E2994" t="s">
        <v>51</v>
      </c>
      <c r="F2994">
        <v>0</v>
      </c>
      <c r="G2994">
        <v>1</v>
      </c>
      <c r="H2994" t="s">
        <v>224</v>
      </c>
      <c r="I2994" t="s">
        <v>430</v>
      </c>
      <c r="J2994" t="s">
        <v>429</v>
      </c>
      <c r="K2994" t="b">
        <v>0</v>
      </c>
      <c r="L2994">
        <v>2004</v>
      </c>
      <c r="M2994">
        <v>28378933680</v>
      </c>
      <c r="N2994">
        <v>4893116005656</v>
      </c>
      <c r="O2994" t="b">
        <v>1</v>
      </c>
      <c r="P2994">
        <v>1</v>
      </c>
      <c r="Q2994" t="str" cm="1">
        <f t="array" ref="Q2994">_xlfn.IFS(Table1[[#This Row],[Wealthier_Winner]]=-1,"Wealthier Nation Loses",Table1[[#This Row],[Wealthier_Winner]]=0,"Tie",Table1[[#This Row],[Wealthier_Winner]]=1,"Wealthier Nation Wins")</f>
        <v>Wealthier Nation Wins</v>
      </c>
    </row>
    <row r="2995" spans="1:17" x14ac:dyDescent="0.2">
      <c r="A2995" s="1">
        <v>4773</v>
      </c>
      <c r="B2995" s="2">
        <v>38273</v>
      </c>
      <c r="C2995" s="7">
        <f>_xlfn.FLOOR.MATH(Table1[[#This Row],[year]],10)</f>
        <v>2000</v>
      </c>
      <c r="D2995" t="s">
        <v>35</v>
      </c>
      <c r="E2995" t="s">
        <v>31</v>
      </c>
      <c r="F2995">
        <v>1</v>
      </c>
      <c r="G2995">
        <v>1</v>
      </c>
      <c r="H2995" t="s">
        <v>224</v>
      </c>
      <c r="I2995" t="s">
        <v>250</v>
      </c>
      <c r="J2995" t="s">
        <v>35</v>
      </c>
      <c r="K2995" t="b">
        <v>0</v>
      </c>
      <c r="L2995">
        <v>2004</v>
      </c>
      <c r="M2995">
        <v>9624440836</v>
      </c>
      <c r="N2995">
        <v>66768703497</v>
      </c>
      <c r="O2995" t="b">
        <v>1</v>
      </c>
      <c r="P2995">
        <v>0</v>
      </c>
      <c r="Q2995" t="str" cm="1">
        <f t="array" ref="Q2995">_xlfn.IFS(Table1[[#This Row],[Wealthier_Winner]]=-1,"Wealthier Nation Loses",Table1[[#This Row],[Wealthier_Winner]]=0,"Tie",Table1[[#This Row],[Wealthier_Winner]]=1,"Wealthier Nation Wins")</f>
        <v>Tie</v>
      </c>
    </row>
    <row r="2996" spans="1:17" x14ac:dyDescent="0.2">
      <c r="A2996" s="1">
        <v>4774</v>
      </c>
      <c r="B2996" s="2">
        <v>38273</v>
      </c>
      <c r="C2996" s="7">
        <f>_xlfn.FLOOR.MATH(Table1[[#This Row],[year]],10)</f>
        <v>2000</v>
      </c>
      <c r="D2996" t="s">
        <v>38</v>
      </c>
      <c r="E2996" t="s">
        <v>196</v>
      </c>
      <c r="F2996">
        <v>7</v>
      </c>
      <c r="G2996">
        <v>1</v>
      </c>
      <c r="H2996" t="s">
        <v>224</v>
      </c>
      <c r="I2996" t="s">
        <v>291</v>
      </c>
      <c r="J2996" t="s">
        <v>38</v>
      </c>
      <c r="K2996" t="b">
        <v>0</v>
      </c>
      <c r="L2996">
        <v>2004</v>
      </c>
      <c r="M2996">
        <v>189382122532</v>
      </c>
      <c r="N2996">
        <v>591016690732</v>
      </c>
      <c r="O2996" t="b">
        <v>1</v>
      </c>
      <c r="P2996">
        <v>-1</v>
      </c>
      <c r="Q2996" t="str" cm="1">
        <f t="array" ref="Q2996">_xlfn.IFS(Table1[[#This Row],[Wealthier_Winner]]=-1,"Wealthier Nation Loses",Table1[[#This Row],[Wealthier_Winner]]=0,"Tie",Table1[[#This Row],[Wealthier_Winner]]=1,"Wealthier Nation Wins")</f>
        <v>Wealthier Nation Loses</v>
      </c>
    </row>
    <row r="2997" spans="1:17" x14ac:dyDescent="0.2">
      <c r="A2997" s="1">
        <v>4775</v>
      </c>
      <c r="B2997" s="2">
        <v>38273</v>
      </c>
      <c r="C2997" s="7">
        <f>_xlfn.FLOOR.MATH(Table1[[#This Row],[year]],10)</f>
        <v>2000</v>
      </c>
      <c r="D2997" t="s">
        <v>68</v>
      </c>
      <c r="E2997" t="s">
        <v>210</v>
      </c>
      <c r="F2997">
        <v>2</v>
      </c>
      <c r="G2997">
        <v>3</v>
      </c>
      <c r="H2997" t="s">
        <v>224</v>
      </c>
      <c r="I2997" t="s">
        <v>190</v>
      </c>
      <c r="J2997" t="s">
        <v>68</v>
      </c>
      <c r="K2997" t="b">
        <v>0</v>
      </c>
      <c r="L2997">
        <v>2004</v>
      </c>
      <c r="M2997">
        <v>31734065934</v>
      </c>
      <c r="N2997">
        <v>187754571247</v>
      </c>
      <c r="O2997" t="b">
        <v>1</v>
      </c>
      <c r="P2997">
        <v>1</v>
      </c>
      <c r="Q2997" t="str" cm="1">
        <f t="array" ref="Q2997">_xlfn.IFS(Table1[[#This Row],[Wealthier_Winner]]=-1,"Wealthier Nation Loses",Table1[[#This Row],[Wealthier_Winner]]=0,"Tie",Table1[[#This Row],[Wealthier_Winner]]=1,"Wealthier Nation Wins")</f>
        <v>Wealthier Nation Wins</v>
      </c>
    </row>
    <row r="2998" spans="1:17" x14ac:dyDescent="0.2">
      <c r="A2998" s="1">
        <v>4776</v>
      </c>
      <c r="B2998" s="2">
        <v>38273</v>
      </c>
      <c r="C2998" s="7">
        <f>_xlfn.FLOOR.MATH(Table1[[#This Row],[year]],10)</f>
        <v>2000</v>
      </c>
      <c r="D2998" t="s">
        <v>61</v>
      </c>
      <c r="E2998" t="s">
        <v>549</v>
      </c>
      <c r="F2998">
        <v>5</v>
      </c>
      <c r="G2998">
        <v>0</v>
      </c>
      <c r="H2998" t="s">
        <v>224</v>
      </c>
      <c r="I2998" t="s">
        <v>505</v>
      </c>
      <c r="J2998" t="s">
        <v>670</v>
      </c>
      <c r="K2998" t="b">
        <v>0</v>
      </c>
      <c r="L2998">
        <v>2004</v>
      </c>
      <c r="M2998">
        <v>26845632341</v>
      </c>
      <c r="N2998">
        <v>1715340542</v>
      </c>
      <c r="O2998" t="b">
        <v>1</v>
      </c>
      <c r="P2998">
        <v>1</v>
      </c>
      <c r="Q2998" t="str" cm="1">
        <f t="array" ref="Q2998">_xlfn.IFS(Table1[[#This Row],[Wealthier_Winner]]=-1,"Wealthier Nation Loses",Table1[[#This Row],[Wealthier_Winner]]=0,"Tie",Table1[[#This Row],[Wealthier_Winner]]=1,"Wealthier Nation Wins")</f>
        <v>Wealthier Nation Wins</v>
      </c>
    </row>
    <row r="2999" spans="1:17" x14ac:dyDescent="0.2">
      <c r="A2999" s="1">
        <v>4777</v>
      </c>
      <c r="B2999" s="2">
        <v>38273</v>
      </c>
      <c r="C2999" s="7">
        <f>_xlfn.FLOOR.MATH(Table1[[#This Row],[year]],10)</f>
        <v>2000</v>
      </c>
      <c r="D2999" t="s">
        <v>359</v>
      </c>
      <c r="E2999" t="s">
        <v>406</v>
      </c>
      <c r="F2999">
        <v>2</v>
      </c>
      <c r="G2999">
        <v>0</v>
      </c>
      <c r="H2999" t="s">
        <v>224</v>
      </c>
      <c r="I2999" t="s">
        <v>359</v>
      </c>
      <c r="J2999" t="s">
        <v>359</v>
      </c>
      <c r="K2999" t="b">
        <v>0</v>
      </c>
      <c r="L2999">
        <v>2004</v>
      </c>
      <c r="M2999">
        <v>115033593101</v>
      </c>
      <c r="N2999">
        <v>709152728830</v>
      </c>
      <c r="O2999" t="b">
        <v>1</v>
      </c>
      <c r="P2999">
        <v>-1</v>
      </c>
      <c r="Q2999" t="str" cm="1">
        <f t="array" ref="Q2999">_xlfn.IFS(Table1[[#This Row],[Wealthier_Winner]]=-1,"Wealthier Nation Loses",Table1[[#This Row],[Wealthier_Winner]]=0,"Tie",Table1[[#This Row],[Wealthier_Winner]]=1,"Wealthier Nation Wins")</f>
        <v>Wealthier Nation Loses</v>
      </c>
    </row>
    <row r="3000" spans="1:17" x14ac:dyDescent="0.2">
      <c r="A3000" s="1">
        <v>4779</v>
      </c>
      <c r="B3000" s="2">
        <v>38273</v>
      </c>
      <c r="C3000" s="7">
        <f>_xlfn.FLOOR.MATH(Table1[[#This Row],[year]],10)</f>
        <v>2000</v>
      </c>
      <c r="D3000" t="s">
        <v>331</v>
      </c>
      <c r="E3000" t="s">
        <v>361</v>
      </c>
      <c r="F3000">
        <v>2</v>
      </c>
      <c r="G3000">
        <v>2</v>
      </c>
      <c r="H3000" t="s">
        <v>224</v>
      </c>
      <c r="I3000" t="s">
        <v>355</v>
      </c>
      <c r="J3000" t="s">
        <v>331</v>
      </c>
      <c r="K3000" t="b">
        <v>0</v>
      </c>
      <c r="L3000">
        <v>2004</v>
      </c>
      <c r="M3000">
        <v>25086950495</v>
      </c>
      <c r="N3000">
        <v>13150159574</v>
      </c>
      <c r="O3000" t="b">
        <v>0</v>
      </c>
      <c r="P3000">
        <v>0</v>
      </c>
      <c r="Q3000" t="str" cm="1">
        <f t="array" ref="Q3000">_xlfn.IFS(Table1[[#This Row],[Wealthier_Winner]]=-1,"Wealthier Nation Loses",Table1[[#This Row],[Wealthier_Winner]]=0,"Tie",Table1[[#This Row],[Wealthier_Winner]]=1,"Wealthier Nation Wins")</f>
        <v>Tie</v>
      </c>
    </row>
    <row r="3001" spans="1:17" x14ac:dyDescent="0.2">
      <c r="A3001" s="1">
        <v>4781</v>
      </c>
      <c r="B3001" s="2">
        <v>38273</v>
      </c>
      <c r="C3001" s="7">
        <f>_xlfn.FLOOR.MATH(Table1[[#This Row],[year]],10)</f>
        <v>2000</v>
      </c>
      <c r="D3001" t="s">
        <v>334</v>
      </c>
      <c r="E3001" t="s">
        <v>39</v>
      </c>
      <c r="F3001">
        <v>3</v>
      </c>
      <c r="G3001">
        <v>0</v>
      </c>
      <c r="H3001" t="s">
        <v>224</v>
      </c>
      <c r="I3001" t="s">
        <v>407</v>
      </c>
      <c r="J3001" t="s">
        <v>334</v>
      </c>
      <c r="K3001" t="b">
        <v>0</v>
      </c>
      <c r="L3001">
        <v>2004</v>
      </c>
      <c r="M3001">
        <v>172895685154</v>
      </c>
      <c r="N3001">
        <v>147824370319</v>
      </c>
      <c r="O3001" t="b">
        <v>0</v>
      </c>
      <c r="P3001">
        <v>1</v>
      </c>
      <c r="Q3001" t="str" cm="1">
        <f t="array" ref="Q3001">_xlfn.IFS(Table1[[#This Row],[Wealthier_Winner]]=-1,"Wealthier Nation Loses",Table1[[#This Row],[Wealthier_Winner]]=0,"Tie",Table1[[#This Row],[Wealthier_Winner]]=1,"Wealthier Nation Wins")</f>
        <v>Wealthier Nation Wins</v>
      </c>
    </row>
    <row r="3002" spans="1:17" x14ac:dyDescent="0.2">
      <c r="A3002" s="1">
        <v>4782</v>
      </c>
      <c r="B3002" s="2">
        <v>38273</v>
      </c>
      <c r="C3002" s="7">
        <f>_xlfn.FLOOR.MATH(Table1[[#This Row],[year]],10)</f>
        <v>2000</v>
      </c>
      <c r="D3002" t="s">
        <v>64</v>
      </c>
      <c r="E3002" t="s">
        <v>534</v>
      </c>
      <c r="F3002">
        <v>2</v>
      </c>
      <c r="G3002">
        <v>0</v>
      </c>
      <c r="H3002" t="s">
        <v>224</v>
      </c>
      <c r="I3002" t="s">
        <v>632</v>
      </c>
      <c r="J3002" t="s">
        <v>64</v>
      </c>
      <c r="K3002" t="b">
        <v>0</v>
      </c>
      <c r="L3002">
        <v>2004</v>
      </c>
      <c r="M3002">
        <v>67220154164</v>
      </c>
      <c r="N3002">
        <v>5125365191</v>
      </c>
      <c r="O3002" t="b">
        <v>1</v>
      </c>
      <c r="P3002">
        <v>1</v>
      </c>
      <c r="Q3002" t="str" cm="1">
        <f t="array" ref="Q3002">_xlfn.IFS(Table1[[#This Row],[Wealthier_Winner]]=-1,"Wealthier Nation Loses",Table1[[#This Row],[Wealthier_Winner]]=0,"Tie",Table1[[#This Row],[Wealthier_Winner]]=1,"Wealthier Nation Wins")</f>
        <v>Wealthier Nation Wins</v>
      </c>
    </row>
    <row r="3003" spans="1:17" x14ac:dyDescent="0.2">
      <c r="A3003" s="1">
        <v>4783</v>
      </c>
      <c r="B3003" s="2">
        <v>38273</v>
      </c>
      <c r="C3003" s="7">
        <f>_xlfn.FLOOR.MATH(Table1[[#This Row],[year]],10)</f>
        <v>2000</v>
      </c>
      <c r="D3003" t="s">
        <v>41</v>
      </c>
      <c r="E3003" t="s">
        <v>67</v>
      </c>
      <c r="F3003">
        <v>6</v>
      </c>
      <c r="G3003">
        <v>0</v>
      </c>
      <c r="H3003" t="s">
        <v>224</v>
      </c>
      <c r="I3003" t="s">
        <v>122</v>
      </c>
      <c r="J3003" t="s">
        <v>41</v>
      </c>
      <c r="K3003" t="b">
        <v>0</v>
      </c>
      <c r="L3003">
        <v>2004</v>
      </c>
      <c r="M3003">
        <v>12217193198000</v>
      </c>
      <c r="N3003">
        <v>15100203361</v>
      </c>
      <c r="O3003" t="b">
        <v>1</v>
      </c>
      <c r="P3003">
        <v>1</v>
      </c>
      <c r="Q3003" t="str" cm="1">
        <f t="array" ref="Q3003">_xlfn.IFS(Table1[[#This Row],[Wealthier_Winner]]=-1,"Wealthier Nation Loses",Table1[[#This Row],[Wealthier_Winner]]=0,"Tie",Table1[[#This Row],[Wealthier_Winner]]=1,"Wealthier Nation Wins")</f>
        <v>Wealthier Nation Wins</v>
      </c>
    </row>
    <row r="3004" spans="1:17" x14ac:dyDescent="0.2">
      <c r="A3004" s="1">
        <v>4785</v>
      </c>
      <c r="B3004" s="2">
        <v>38274</v>
      </c>
      <c r="C3004" s="7">
        <f>_xlfn.FLOOR.MATH(Table1[[#This Row],[year]],10)</f>
        <v>2000</v>
      </c>
      <c r="D3004" t="s">
        <v>258</v>
      </c>
      <c r="E3004" t="s">
        <v>57</v>
      </c>
      <c r="F3004">
        <v>3</v>
      </c>
      <c r="G3004">
        <v>1</v>
      </c>
      <c r="H3004" t="s">
        <v>224</v>
      </c>
      <c r="I3004" t="s">
        <v>416</v>
      </c>
      <c r="J3004" t="s">
        <v>258</v>
      </c>
      <c r="K3004" t="b">
        <v>0</v>
      </c>
      <c r="L3004">
        <v>2004</v>
      </c>
      <c r="M3004">
        <v>112451400424</v>
      </c>
      <c r="N3004">
        <v>35194947000</v>
      </c>
      <c r="O3004" t="b">
        <v>1</v>
      </c>
      <c r="P3004">
        <v>1</v>
      </c>
      <c r="Q3004" t="str" cm="1">
        <f t="array" ref="Q3004">_xlfn.IFS(Table1[[#This Row],[Wealthier_Winner]]=-1,"Wealthier Nation Loses",Table1[[#This Row],[Wealthier_Winner]]=0,"Tie",Table1[[#This Row],[Wealthier_Winner]]=1,"Wealthier Nation Wins")</f>
        <v>Wealthier Nation Wins</v>
      </c>
    </row>
    <row r="3005" spans="1:17" x14ac:dyDescent="0.2">
      <c r="A3005" s="1">
        <v>4789</v>
      </c>
      <c r="B3005" s="2">
        <v>38308</v>
      </c>
      <c r="C3005" s="7">
        <f>_xlfn.FLOOR.MATH(Table1[[#This Row],[year]],10)</f>
        <v>2000</v>
      </c>
      <c r="D3005" t="s">
        <v>601</v>
      </c>
      <c r="E3005" t="s">
        <v>27</v>
      </c>
      <c r="F3005">
        <v>0</v>
      </c>
      <c r="G3005">
        <v>3</v>
      </c>
      <c r="H3005" t="s">
        <v>224</v>
      </c>
      <c r="I3005" t="s">
        <v>97</v>
      </c>
      <c r="J3005" t="s">
        <v>21</v>
      </c>
      <c r="K3005" t="b">
        <v>1</v>
      </c>
      <c r="L3005">
        <v>2004</v>
      </c>
      <c r="M3005">
        <v>2900244053</v>
      </c>
      <c r="N3005">
        <v>661224886143</v>
      </c>
      <c r="O3005" t="b">
        <v>1</v>
      </c>
      <c r="P3005">
        <v>1</v>
      </c>
      <c r="Q3005" t="str" cm="1">
        <f t="array" ref="Q3005">_xlfn.IFS(Table1[[#This Row],[Wealthier_Winner]]=-1,"Wealthier Nation Loses",Table1[[#This Row],[Wealthier_Winner]]=0,"Tie",Table1[[#This Row],[Wealthier_Winner]]=1,"Wealthier Nation Wins")</f>
        <v>Wealthier Nation Wins</v>
      </c>
    </row>
    <row r="3006" spans="1:17" x14ac:dyDescent="0.2">
      <c r="A3006" s="1">
        <v>4790</v>
      </c>
      <c r="B3006" s="2">
        <v>38308</v>
      </c>
      <c r="C3006" s="7">
        <f>_xlfn.FLOOR.MATH(Table1[[#This Row],[year]],10)</f>
        <v>2000</v>
      </c>
      <c r="D3006" t="s">
        <v>19</v>
      </c>
      <c r="E3006" t="s">
        <v>258</v>
      </c>
      <c r="F3006">
        <v>3</v>
      </c>
      <c r="G3006">
        <v>2</v>
      </c>
      <c r="H3006" t="s">
        <v>224</v>
      </c>
      <c r="I3006" t="s">
        <v>93</v>
      </c>
      <c r="J3006" t="s">
        <v>19</v>
      </c>
      <c r="K3006" t="b">
        <v>0</v>
      </c>
      <c r="L3006">
        <v>2004</v>
      </c>
      <c r="M3006">
        <v>164657930452</v>
      </c>
      <c r="N3006">
        <v>112451400424</v>
      </c>
      <c r="O3006" t="b">
        <v>0</v>
      </c>
      <c r="P3006">
        <v>1</v>
      </c>
      <c r="Q3006" t="str" cm="1">
        <f t="array" ref="Q3006">_xlfn.IFS(Table1[[#This Row],[Wealthier_Winner]]=-1,"Wealthier Nation Loses",Table1[[#This Row],[Wealthier_Winner]]=0,"Tie",Table1[[#This Row],[Wealthier_Winner]]=1,"Wealthier Nation Wins")</f>
        <v>Wealthier Nation Wins</v>
      </c>
    </row>
    <row r="3007" spans="1:17" x14ac:dyDescent="0.2">
      <c r="A3007" s="1">
        <v>4791</v>
      </c>
      <c r="B3007" s="2">
        <v>38308</v>
      </c>
      <c r="C3007" s="7">
        <f>_xlfn.FLOOR.MATH(Table1[[#This Row],[year]],10)</f>
        <v>2000</v>
      </c>
      <c r="D3007" t="s">
        <v>519</v>
      </c>
      <c r="E3007" t="s">
        <v>44</v>
      </c>
      <c r="F3007">
        <v>1</v>
      </c>
      <c r="G3007">
        <v>1</v>
      </c>
      <c r="H3007" t="s">
        <v>224</v>
      </c>
      <c r="I3007" t="s">
        <v>520</v>
      </c>
      <c r="J3007" t="s">
        <v>519</v>
      </c>
      <c r="K3007" t="b">
        <v>0</v>
      </c>
      <c r="L3007">
        <v>2004</v>
      </c>
      <c r="M3007">
        <v>3576615240</v>
      </c>
      <c r="N3007">
        <v>74973656851</v>
      </c>
      <c r="O3007" t="b">
        <v>1</v>
      </c>
      <c r="P3007">
        <v>0</v>
      </c>
      <c r="Q3007" t="str" cm="1">
        <f t="array" ref="Q3007">_xlfn.IFS(Table1[[#This Row],[Wealthier_Winner]]=-1,"Wealthier Nation Loses",Table1[[#This Row],[Wealthier_Winner]]=0,"Tie",Table1[[#This Row],[Wealthier_Winner]]=1,"Wealthier Nation Wins")</f>
        <v>Tie</v>
      </c>
    </row>
    <row r="3008" spans="1:17" x14ac:dyDescent="0.2">
      <c r="A3008" s="1">
        <v>4792</v>
      </c>
      <c r="B3008" s="2">
        <v>38308</v>
      </c>
      <c r="C3008" s="7">
        <f>_xlfn.FLOOR.MATH(Table1[[#This Row],[year]],10)</f>
        <v>2000</v>
      </c>
      <c r="D3008" t="s">
        <v>361</v>
      </c>
      <c r="E3008" t="s">
        <v>556</v>
      </c>
      <c r="F3008">
        <v>4</v>
      </c>
      <c r="G3008">
        <v>0</v>
      </c>
      <c r="H3008" t="s">
        <v>224</v>
      </c>
      <c r="I3008" t="s">
        <v>419</v>
      </c>
      <c r="J3008" t="s">
        <v>361</v>
      </c>
      <c r="K3008" t="b">
        <v>0</v>
      </c>
      <c r="L3008">
        <v>2004</v>
      </c>
      <c r="M3008">
        <v>13150159574</v>
      </c>
      <c r="N3008">
        <v>2076176869</v>
      </c>
      <c r="O3008" t="b">
        <v>1</v>
      </c>
      <c r="P3008">
        <v>1</v>
      </c>
      <c r="Q3008" t="str" cm="1">
        <f t="array" ref="Q3008">_xlfn.IFS(Table1[[#This Row],[Wealthier_Winner]]=-1,"Wealthier Nation Loses",Table1[[#This Row],[Wealthier_Winner]]=0,"Tie",Table1[[#This Row],[Wealthier_Winner]]=1,"Wealthier Nation Wins")</f>
        <v>Wealthier Nation Wins</v>
      </c>
    </row>
    <row r="3009" spans="1:17" x14ac:dyDescent="0.2">
      <c r="A3009" s="1">
        <v>4793</v>
      </c>
      <c r="B3009" s="2">
        <v>38308</v>
      </c>
      <c r="C3009" s="7">
        <f>_xlfn.FLOOR.MATH(Table1[[#This Row],[year]],10)</f>
        <v>2000</v>
      </c>
      <c r="D3009" t="s">
        <v>23</v>
      </c>
      <c r="E3009" t="s">
        <v>61</v>
      </c>
      <c r="F3009">
        <v>0</v>
      </c>
      <c r="G3009">
        <v>2</v>
      </c>
      <c r="H3009" t="s">
        <v>224</v>
      </c>
      <c r="I3009" t="s">
        <v>235</v>
      </c>
      <c r="J3009" t="s">
        <v>23</v>
      </c>
      <c r="K3009" t="b">
        <v>0</v>
      </c>
      <c r="L3009">
        <v>2004</v>
      </c>
      <c r="M3009">
        <v>369214712443</v>
      </c>
      <c r="N3009">
        <v>26845632341</v>
      </c>
      <c r="O3009" t="b">
        <v>1</v>
      </c>
      <c r="P3009">
        <v>-1</v>
      </c>
      <c r="Q3009" t="str" cm="1">
        <f t="array" ref="Q3009">_xlfn.IFS(Table1[[#This Row],[Wealthier_Winner]]=-1,"Wealthier Nation Loses",Table1[[#This Row],[Wealthier_Winner]]=0,"Tie",Table1[[#This Row],[Wealthier_Winner]]=1,"Wealthier Nation Wins")</f>
        <v>Wealthier Nation Loses</v>
      </c>
    </row>
    <row r="3010" spans="1:17" x14ac:dyDescent="0.2">
      <c r="A3010" s="1">
        <v>4795</v>
      </c>
      <c r="B3010" s="2">
        <v>38308</v>
      </c>
      <c r="C3010" s="7">
        <f>_xlfn.FLOOR.MATH(Table1[[#This Row],[year]],10)</f>
        <v>2000</v>
      </c>
      <c r="D3010" t="s">
        <v>15</v>
      </c>
      <c r="E3010" t="s">
        <v>47</v>
      </c>
      <c r="F3010">
        <v>1</v>
      </c>
      <c r="G3010">
        <v>0</v>
      </c>
      <c r="H3010" t="s">
        <v>224</v>
      </c>
      <c r="I3010" t="s">
        <v>261</v>
      </c>
      <c r="J3010" t="s">
        <v>15</v>
      </c>
      <c r="K3010" t="b">
        <v>0</v>
      </c>
      <c r="L3010">
        <v>2004</v>
      </c>
      <c r="M3010">
        <v>117092416666</v>
      </c>
      <c r="N3010">
        <v>8773451751</v>
      </c>
      <c r="O3010" t="b">
        <v>1</v>
      </c>
      <c r="P3010">
        <v>1</v>
      </c>
      <c r="Q3010" t="str" cm="1">
        <f t="array" ref="Q3010">_xlfn.IFS(Table1[[#This Row],[Wealthier_Winner]]=-1,"Wealthier Nation Loses",Table1[[#This Row],[Wealthier_Winner]]=0,"Tie",Table1[[#This Row],[Wealthier_Winner]]=1,"Wealthier Nation Wins")</f>
        <v>Wealthier Nation Wins</v>
      </c>
    </row>
    <row r="3011" spans="1:17" x14ac:dyDescent="0.2">
      <c r="A3011" s="1">
        <v>4796</v>
      </c>
      <c r="B3011" s="2">
        <v>38308</v>
      </c>
      <c r="C3011" s="7">
        <f>_xlfn.FLOOR.MATH(Table1[[#This Row],[year]],10)</f>
        <v>2000</v>
      </c>
      <c r="D3011" t="s">
        <v>351</v>
      </c>
      <c r="E3011" t="s">
        <v>22</v>
      </c>
      <c r="F3011">
        <v>1</v>
      </c>
      <c r="G3011">
        <v>2</v>
      </c>
      <c r="H3011" t="s">
        <v>224</v>
      </c>
      <c r="I3011" t="s">
        <v>381</v>
      </c>
      <c r="J3011" t="s">
        <v>351</v>
      </c>
      <c r="K3011" t="b">
        <v>0</v>
      </c>
      <c r="L3011">
        <v>2004</v>
      </c>
      <c r="M3011">
        <v>17320551250</v>
      </c>
      <c r="N3011">
        <v>140047984605</v>
      </c>
      <c r="O3011" t="b">
        <v>1</v>
      </c>
      <c r="P3011">
        <v>1</v>
      </c>
      <c r="Q3011" t="str" cm="1">
        <f t="array" ref="Q3011">_xlfn.IFS(Table1[[#This Row],[Wealthier_Winner]]=-1,"Wealthier Nation Loses",Table1[[#This Row],[Wealthier_Winner]]=0,"Tie",Table1[[#This Row],[Wealthier_Winner]]=1,"Wealthier Nation Wins")</f>
        <v>Wealthier Nation Wins</v>
      </c>
    </row>
    <row r="3012" spans="1:17" x14ac:dyDescent="0.2">
      <c r="A3012" s="1">
        <v>4797</v>
      </c>
      <c r="B3012" s="2">
        <v>38308</v>
      </c>
      <c r="C3012" s="7">
        <f>_xlfn.FLOOR.MATH(Table1[[#This Row],[year]],10)</f>
        <v>2000</v>
      </c>
      <c r="D3012" t="s">
        <v>57</v>
      </c>
      <c r="E3012" t="s">
        <v>13</v>
      </c>
      <c r="F3012">
        <v>1</v>
      </c>
      <c r="G3012">
        <v>0</v>
      </c>
      <c r="H3012" t="s">
        <v>224</v>
      </c>
      <c r="I3012" t="s">
        <v>335</v>
      </c>
      <c r="J3012" t="s">
        <v>57</v>
      </c>
      <c r="K3012" t="b">
        <v>0</v>
      </c>
      <c r="L3012">
        <v>2004</v>
      </c>
      <c r="M3012">
        <v>35194947000</v>
      </c>
      <c r="N3012">
        <v>669289321944</v>
      </c>
      <c r="O3012" t="b">
        <v>1</v>
      </c>
      <c r="P3012">
        <v>-1</v>
      </c>
      <c r="Q3012" t="str" cm="1">
        <f t="array" ref="Q3012">_xlfn.IFS(Table1[[#This Row],[Wealthier_Winner]]=-1,"Wealthier Nation Loses",Table1[[#This Row],[Wealthier_Winner]]=0,"Tie",Table1[[#This Row],[Wealthier_Winner]]=1,"Wealthier Nation Wins")</f>
        <v>Wealthier Nation Loses</v>
      </c>
    </row>
    <row r="3013" spans="1:17" x14ac:dyDescent="0.2">
      <c r="A3013" s="1">
        <v>4798</v>
      </c>
      <c r="B3013" s="2">
        <v>38308</v>
      </c>
      <c r="C3013" s="7">
        <f>_xlfn.FLOOR.MATH(Table1[[#This Row],[year]],10)</f>
        <v>2000</v>
      </c>
      <c r="D3013" t="s">
        <v>534</v>
      </c>
      <c r="E3013" t="s">
        <v>36</v>
      </c>
      <c r="F3013">
        <v>2</v>
      </c>
      <c r="G3013">
        <v>2</v>
      </c>
      <c r="H3013" t="s">
        <v>224</v>
      </c>
      <c r="I3013" t="s">
        <v>536</v>
      </c>
      <c r="J3013" t="s">
        <v>534</v>
      </c>
      <c r="K3013" t="b">
        <v>0</v>
      </c>
      <c r="L3013">
        <v>2004</v>
      </c>
      <c r="M3013">
        <v>5125365191</v>
      </c>
      <c r="N3013">
        <v>251986155630</v>
      </c>
      <c r="O3013" t="b">
        <v>1</v>
      </c>
      <c r="P3013">
        <v>0</v>
      </c>
      <c r="Q3013" t="str" cm="1">
        <f t="array" ref="Q3013">_xlfn.IFS(Table1[[#This Row],[Wealthier_Winner]]=-1,"Wealthier Nation Loses",Table1[[#This Row],[Wealthier_Winner]]=0,"Tie",Table1[[#This Row],[Wealthier_Winner]]=1,"Wealthier Nation Wins")</f>
        <v>Tie</v>
      </c>
    </row>
    <row r="3014" spans="1:17" x14ac:dyDescent="0.2">
      <c r="A3014" s="1">
        <v>4799</v>
      </c>
      <c r="B3014" s="2">
        <v>38308</v>
      </c>
      <c r="C3014" s="7">
        <f>_xlfn.FLOOR.MATH(Table1[[#This Row],[year]],10)</f>
        <v>2000</v>
      </c>
      <c r="D3014" t="s">
        <v>48</v>
      </c>
      <c r="E3014" t="s">
        <v>558</v>
      </c>
      <c r="F3014">
        <v>3</v>
      </c>
      <c r="G3014">
        <v>1</v>
      </c>
      <c r="H3014" t="s">
        <v>224</v>
      </c>
      <c r="I3014" t="s">
        <v>282</v>
      </c>
      <c r="J3014" t="s">
        <v>48</v>
      </c>
      <c r="K3014" t="b">
        <v>0</v>
      </c>
      <c r="L3014">
        <v>2004</v>
      </c>
      <c r="M3014">
        <v>234979615898</v>
      </c>
      <c r="N3014">
        <v>43151647002</v>
      </c>
      <c r="O3014" t="b">
        <v>1</v>
      </c>
      <c r="P3014">
        <v>1</v>
      </c>
      <c r="Q3014" t="str" cm="1">
        <f t="array" ref="Q3014">_xlfn.IFS(Table1[[#This Row],[Wealthier_Winner]]=-1,"Wealthier Nation Loses",Table1[[#This Row],[Wealthier_Winner]]=0,"Tie",Table1[[#This Row],[Wealthier_Winner]]=1,"Wealthier Nation Wins")</f>
        <v>Wealthier Nation Wins</v>
      </c>
    </row>
    <row r="3015" spans="1:17" x14ac:dyDescent="0.2">
      <c r="A3015" s="1">
        <v>4800</v>
      </c>
      <c r="B3015" s="2">
        <v>38308</v>
      </c>
      <c r="C3015" s="7">
        <f>_xlfn.FLOOR.MATH(Table1[[#This Row],[year]],10)</f>
        <v>2000</v>
      </c>
      <c r="D3015" t="s">
        <v>223</v>
      </c>
      <c r="E3015" t="s">
        <v>34</v>
      </c>
      <c r="F3015">
        <v>0</v>
      </c>
      <c r="G3015">
        <v>1</v>
      </c>
      <c r="H3015" t="s">
        <v>224</v>
      </c>
      <c r="I3015" t="s">
        <v>227</v>
      </c>
      <c r="J3015" t="s">
        <v>223</v>
      </c>
      <c r="K3015" t="b">
        <v>0</v>
      </c>
      <c r="L3015">
        <v>2004</v>
      </c>
      <c r="M3015">
        <v>23577298094</v>
      </c>
      <c r="N3015">
        <v>1026690238278</v>
      </c>
      <c r="O3015" t="b">
        <v>1</v>
      </c>
      <c r="P3015">
        <v>1</v>
      </c>
      <c r="Q3015" t="str" cm="1">
        <f t="array" ref="Q3015">_xlfn.IFS(Table1[[#This Row],[Wealthier_Winner]]=-1,"Wealthier Nation Loses",Table1[[#This Row],[Wealthier_Winner]]=0,"Tie",Table1[[#This Row],[Wealthier_Winner]]=1,"Wealthier Nation Wins")</f>
        <v>Wealthier Nation Wins</v>
      </c>
    </row>
    <row r="3016" spans="1:17" x14ac:dyDescent="0.2">
      <c r="A3016" s="1">
        <v>4801</v>
      </c>
      <c r="B3016" s="2">
        <v>38308</v>
      </c>
      <c r="C3016" s="7">
        <f>_xlfn.FLOOR.MATH(Table1[[#This Row],[year]],10)</f>
        <v>2000</v>
      </c>
      <c r="D3016" t="s">
        <v>65</v>
      </c>
      <c r="E3016" t="s">
        <v>56</v>
      </c>
      <c r="F3016">
        <v>0</v>
      </c>
      <c r="G3016">
        <v>0</v>
      </c>
      <c r="H3016" t="s">
        <v>224</v>
      </c>
      <c r="I3016" t="s">
        <v>254</v>
      </c>
      <c r="J3016" t="s">
        <v>65</v>
      </c>
      <c r="K3016" t="b">
        <v>0</v>
      </c>
      <c r="L3016">
        <v>2004</v>
      </c>
      <c r="M3016">
        <v>8869299234</v>
      </c>
      <c r="N3016">
        <v>18610594846</v>
      </c>
      <c r="O3016" t="b">
        <v>1</v>
      </c>
      <c r="P3016">
        <v>0</v>
      </c>
      <c r="Q3016" t="str" cm="1">
        <f t="array" ref="Q3016">_xlfn.IFS(Table1[[#This Row],[Wealthier_Winner]]=-1,"Wealthier Nation Loses",Table1[[#This Row],[Wealthier_Winner]]=0,"Tie",Table1[[#This Row],[Wealthier_Winner]]=1,"Wealthier Nation Wins")</f>
        <v>Tie</v>
      </c>
    </row>
    <row r="3017" spans="1:17" x14ac:dyDescent="0.2">
      <c r="A3017" s="1">
        <v>4802</v>
      </c>
      <c r="B3017" s="2">
        <v>38308</v>
      </c>
      <c r="C3017" s="7">
        <f>_xlfn.FLOOR.MATH(Table1[[#This Row],[year]],10)</f>
        <v>2000</v>
      </c>
      <c r="D3017" t="s">
        <v>328</v>
      </c>
      <c r="E3017" t="s">
        <v>560</v>
      </c>
      <c r="F3017">
        <v>3</v>
      </c>
      <c r="G3017">
        <v>1</v>
      </c>
      <c r="H3017" t="s">
        <v>224</v>
      </c>
      <c r="I3017" t="s">
        <v>386</v>
      </c>
      <c r="J3017" t="s">
        <v>328</v>
      </c>
      <c r="K3017" t="b">
        <v>0</v>
      </c>
      <c r="L3017">
        <v>2004</v>
      </c>
      <c r="M3017">
        <v>256836875295</v>
      </c>
      <c r="N3017">
        <v>6838351088</v>
      </c>
      <c r="O3017" t="b">
        <v>1</v>
      </c>
      <c r="P3017">
        <v>1</v>
      </c>
      <c r="Q3017" t="str" cm="1">
        <f t="array" ref="Q3017">_xlfn.IFS(Table1[[#This Row],[Wealthier_Winner]]=-1,"Wealthier Nation Loses",Table1[[#This Row],[Wealthier_Winner]]=0,"Tie",Table1[[#This Row],[Wealthier_Winner]]=1,"Wealthier Nation Wins")</f>
        <v>Wealthier Nation Wins</v>
      </c>
    </row>
    <row r="3018" spans="1:17" x14ac:dyDescent="0.2">
      <c r="A3018" s="1">
        <v>4804</v>
      </c>
      <c r="B3018" s="2">
        <v>38308</v>
      </c>
      <c r="C3018" s="7">
        <f>_xlfn.FLOOR.MATH(Table1[[#This Row],[year]],10)</f>
        <v>2000</v>
      </c>
      <c r="D3018" t="s">
        <v>51</v>
      </c>
      <c r="E3018" t="s">
        <v>359</v>
      </c>
      <c r="F3018">
        <v>1</v>
      </c>
      <c r="G3018">
        <v>0</v>
      </c>
      <c r="H3018" t="s">
        <v>224</v>
      </c>
      <c r="I3018" t="s">
        <v>143</v>
      </c>
      <c r="J3018" t="s">
        <v>51</v>
      </c>
      <c r="K3018" t="b">
        <v>0</v>
      </c>
      <c r="L3018">
        <v>2004</v>
      </c>
      <c r="M3018">
        <v>4893116005656</v>
      </c>
      <c r="N3018">
        <v>115033593101</v>
      </c>
      <c r="O3018" t="b">
        <v>1</v>
      </c>
      <c r="P3018">
        <v>1</v>
      </c>
      <c r="Q3018" t="str" cm="1">
        <f t="array" ref="Q3018">_xlfn.IFS(Table1[[#This Row],[Wealthier_Winner]]=-1,"Wealthier Nation Loses",Table1[[#This Row],[Wealthier_Winner]]=0,"Tie",Table1[[#This Row],[Wealthier_Winner]]=1,"Wealthier Nation Wins")</f>
        <v>Wealthier Nation Wins</v>
      </c>
    </row>
    <row r="3019" spans="1:17" x14ac:dyDescent="0.2">
      <c r="A3019" s="1">
        <v>4805</v>
      </c>
      <c r="B3019" s="2">
        <v>38308</v>
      </c>
      <c r="C3019" s="7">
        <f>_xlfn.FLOOR.MATH(Table1[[#This Row],[year]],10)</f>
        <v>2000</v>
      </c>
      <c r="D3019" t="s">
        <v>314</v>
      </c>
      <c r="E3019" t="s">
        <v>305</v>
      </c>
      <c r="F3019">
        <v>2</v>
      </c>
      <c r="G3019">
        <v>1</v>
      </c>
      <c r="H3019" t="s">
        <v>224</v>
      </c>
      <c r="I3019" t="s">
        <v>315</v>
      </c>
      <c r="J3019" t="s">
        <v>314</v>
      </c>
      <c r="K3019" t="b">
        <v>0</v>
      </c>
      <c r="L3019">
        <v>2004</v>
      </c>
      <c r="M3019">
        <v>16095337093</v>
      </c>
      <c r="N3019">
        <v>5300767960</v>
      </c>
      <c r="O3019" t="b">
        <v>1</v>
      </c>
      <c r="P3019">
        <v>1</v>
      </c>
      <c r="Q3019" t="str" cm="1">
        <f t="array" ref="Q3019">_xlfn.IFS(Table1[[#This Row],[Wealthier_Winner]]=-1,"Wealthier Nation Loses",Table1[[#This Row],[Wealthier_Winner]]=0,"Tie",Table1[[#This Row],[Wealthier_Winner]]=1,"Wealthier Nation Wins")</f>
        <v>Wealthier Nation Wins</v>
      </c>
    </row>
    <row r="3020" spans="1:17" x14ac:dyDescent="0.2">
      <c r="A3020" s="1">
        <v>4806</v>
      </c>
      <c r="B3020" s="2">
        <v>38308</v>
      </c>
      <c r="C3020" s="7">
        <f>_xlfn.FLOOR.MATH(Table1[[#This Row],[year]],10)</f>
        <v>2000</v>
      </c>
      <c r="D3020" t="s">
        <v>195</v>
      </c>
      <c r="E3020" t="s">
        <v>567</v>
      </c>
      <c r="F3020">
        <v>2</v>
      </c>
      <c r="G3020">
        <v>0</v>
      </c>
      <c r="H3020" t="s">
        <v>224</v>
      </c>
      <c r="I3020" t="s">
        <v>136</v>
      </c>
      <c r="J3020" t="s">
        <v>195</v>
      </c>
      <c r="K3020" t="b">
        <v>0</v>
      </c>
      <c r="L3020">
        <v>2004</v>
      </c>
      <c r="M3020">
        <v>823251107638</v>
      </c>
      <c r="N3020">
        <v>1226829562</v>
      </c>
      <c r="O3020" t="b">
        <v>1</v>
      </c>
      <c r="P3020">
        <v>1</v>
      </c>
      <c r="Q3020" t="str" cm="1">
        <f t="array" ref="Q3020">_xlfn.IFS(Table1[[#This Row],[Wealthier_Winner]]=-1,"Wealthier Nation Loses",Table1[[#This Row],[Wealthier_Winner]]=0,"Tie",Table1[[#This Row],[Wealthier_Winner]]=1,"Wealthier Nation Wins")</f>
        <v>Wealthier Nation Wins</v>
      </c>
    </row>
    <row r="3021" spans="1:17" x14ac:dyDescent="0.2">
      <c r="A3021" s="1">
        <v>4807</v>
      </c>
      <c r="B3021" s="2">
        <v>38308</v>
      </c>
      <c r="C3021" s="7">
        <f>_xlfn.FLOOR.MATH(Table1[[#This Row],[year]],10)</f>
        <v>2000</v>
      </c>
      <c r="D3021" t="s">
        <v>71</v>
      </c>
      <c r="E3021" t="s">
        <v>333</v>
      </c>
      <c r="F3021">
        <v>6</v>
      </c>
      <c r="G3021">
        <v>1</v>
      </c>
      <c r="H3021" t="s">
        <v>224</v>
      </c>
      <c r="I3021" t="s">
        <v>366</v>
      </c>
      <c r="J3021" t="s">
        <v>71</v>
      </c>
      <c r="K3021" t="b">
        <v>0</v>
      </c>
      <c r="L3021">
        <v>2004</v>
      </c>
      <c r="M3021">
        <v>59439090600</v>
      </c>
      <c r="N3021">
        <v>124749473684</v>
      </c>
      <c r="O3021" t="b">
        <v>1</v>
      </c>
      <c r="P3021">
        <v>-1</v>
      </c>
      <c r="Q3021" t="str" cm="1">
        <f t="array" ref="Q3021">_xlfn.IFS(Table1[[#This Row],[Wealthier_Winner]]=-1,"Wealthier Nation Loses",Table1[[#This Row],[Wealthier_Winner]]=0,"Tie",Table1[[#This Row],[Wealthier_Winner]]=1,"Wealthier Nation Wins")</f>
        <v>Wealthier Nation Loses</v>
      </c>
    </row>
    <row r="3022" spans="1:17" x14ac:dyDescent="0.2">
      <c r="A3022" s="1">
        <v>4808</v>
      </c>
      <c r="B3022" s="2">
        <v>38308</v>
      </c>
      <c r="C3022" s="7">
        <f>_xlfn.FLOOR.MATH(Table1[[#This Row],[year]],10)</f>
        <v>2000</v>
      </c>
      <c r="D3022" t="s">
        <v>479</v>
      </c>
      <c r="E3022" t="s">
        <v>475</v>
      </c>
      <c r="F3022">
        <v>0</v>
      </c>
      <c r="G3022">
        <v>0</v>
      </c>
      <c r="H3022" t="s">
        <v>224</v>
      </c>
      <c r="I3022" t="s">
        <v>480</v>
      </c>
      <c r="J3022" t="s">
        <v>479</v>
      </c>
      <c r="K3022" t="b">
        <v>0</v>
      </c>
      <c r="L3022">
        <v>2004</v>
      </c>
      <c r="M3022">
        <v>21159827992</v>
      </c>
      <c r="N3022">
        <v>45427854693</v>
      </c>
      <c r="O3022" t="b">
        <v>1</v>
      </c>
      <c r="P3022">
        <v>0</v>
      </c>
      <c r="Q3022" t="str" cm="1">
        <f t="array" ref="Q3022">_xlfn.IFS(Table1[[#This Row],[Wealthier_Winner]]=-1,"Wealthier Nation Loses",Table1[[#This Row],[Wealthier_Winner]]=0,"Tie",Table1[[#This Row],[Wealthier_Winner]]=1,"Wealthier Nation Wins")</f>
        <v>Tie</v>
      </c>
    </row>
    <row r="3023" spans="1:17" x14ac:dyDescent="0.2">
      <c r="A3023" s="1">
        <v>4809</v>
      </c>
      <c r="B3023" s="2">
        <v>38308</v>
      </c>
      <c r="C3023" s="7">
        <f>_xlfn.FLOOR.MATH(Table1[[#This Row],[year]],10)</f>
        <v>2000</v>
      </c>
      <c r="D3023" t="s">
        <v>503</v>
      </c>
      <c r="E3023" t="s">
        <v>525</v>
      </c>
      <c r="F3023">
        <v>1</v>
      </c>
      <c r="G3023">
        <v>3</v>
      </c>
      <c r="H3023" t="s">
        <v>224</v>
      </c>
      <c r="I3023" t="s">
        <v>603</v>
      </c>
      <c r="J3023" t="s">
        <v>503</v>
      </c>
      <c r="K3023" t="b">
        <v>0</v>
      </c>
      <c r="L3023">
        <v>2004</v>
      </c>
      <c r="M3023">
        <v>3454373797</v>
      </c>
      <c r="N3023">
        <v>13827070378</v>
      </c>
      <c r="O3023" t="b">
        <v>1</v>
      </c>
      <c r="P3023">
        <v>1</v>
      </c>
      <c r="Q3023" t="str" cm="1">
        <f t="array" ref="Q3023">_xlfn.IFS(Table1[[#This Row],[Wealthier_Winner]]=-1,"Wealthier Nation Loses",Table1[[#This Row],[Wealthier_Winner]]=0,"Tie",Table1[[#This Row],[Wealthier_Winner]]=1,"Wealthier Nation Wins")</f>
        <v>Wealthier Nation Wins</v>
      </c>
    </row>
    <row r="3024" spans="1:17" x14ac:dyDescent="0.2">
      <c r="A3024" s="1">
        <v>4810</v>
      </c>
      <c r="B3024" s="2">
        <v>38308</v>
      </c>
      <c r="C3024" s="7">
        <f>_xlfn.FLOOR.MATH(Table1[[#This Row],[year]],10)</f>
        <v>2000</v>
      </c>
      <c r="D3024" t="s">
        <v>232</v>
      </c>
      <c r="E3024" t="s">
        <v>38</v>
      </c>
      <c r="F3024">
        <v>0</v>
      </c>
      <c r="G3024">
        <v>5</v>
      </c>
      <c r="H3024" t="s">
        <v>224</v>
      </c>
      <c r="I3024" t="s">
        <v>232</v>
      </c>
      <c r="J3024" t="s">
        <v>232</v>
      </c>
      <c r="K3024" t="b">
        <v>0</v>
      </c>
      <c r="L3024">
        <v>2004</v>
      </c>
      <c r="M3024">
        <v>35064843792</v>
      </c>
      <c r="N3024">
        <v>189382122532</v>
      </c>
      <c r="O3024" t="b">
        <v>1</v>
      </c>
      <c r="P3024">
        <v>1</v>
      </c>
      <c r="Q3024" t="str" cm="1">
        <f t="array" ref="Q3024">_xlfn.IFS(Table1[[#This Row],[Wealthier_Winner]]=-1,"Wealthier Nation Loses",Table1[[#This Row],[Wealthier_Winner]]=0,"Tie",Table1[[#This Row],[Wealthier_Winner]]=1,"Wealthier Nation Wins")</f>
        <v>Wealthier Nation Wins</v>
      </c>
    </row>
    <row r="3025" spans="1:17" x14ac:dyDescent="0.2">
      <c r="A3025" s="1">
        <v>4812</v>
      </c>
      <c r="B3025" s="2">
        <v>38308</v>
      </c>
      <c r="C3025" s="7">
        <f>_xlfn.FLOOR.MATH(Table1[[#This Row],[year]],10)</f>
        <v>2000</v>
      </c>
      <c r="D3025" t="s">
        <v>303</v>
      </c>
      <c r="E3025" t="s">
        <v>30</v>
      </c>
      <c r="F3025">
        <v>0</v>
      </c>
      <c r="G3025">
        <v>2</v>
      </c>
      <c r="H3025" t="s">
        <v>224</v>
      </c>
      <c r="I3025" t="s">
        <v>399</v>
      </c>
      <c r="J3025" t="s">
        <v>303</v>
      </c>
      <c r="K3025" t="b">
        <v>0</v>
      </c>
      <c r="L3025">
        <v>2004</v>
      </c>
      <c r="M3025">
        <v>6104141520</v>
      </c>
      <c r="N3025">
        <v>104015363080</v>
      </c>
      <c r="O3025" t="b">
        <v>1</v>
      </c>
      <c r="P3025">
        <v>1</v>
      </c>
      <c r="Q3025" t="str" cm="1">
        <f t="array" ref="Q3025">_xlfn.IFS(Table1[[#This Row],[Wealthier_Winner]]=-1,"Wealthier Nation Loses",Table1[[#This Row],[Wealthier_Winner]]=0,"Tie",Table1[[#This Row],[Wealthier_Winner]]=1,"Wealthier Nation Wins")</f>
        <v>Wealthier Nation Wins</v>
      </c>
    </row>
    <row r="3026" spans="1:17" x14ac:dyDescent="0.2">
      <c r="A3026" s="1">
        <v>4814</v>
      </c>
      <c r="B3026" s="2">
        <v>38308</v>
      </c>
      <c r="C3026" s="7">
        <f>_xlfn.FLOOR.MATH(Table1[[#This Row],[year]],10)</f>
        <v>2000</v>
      </c>
      <c r="D3026" t="s">
        <v>429</v>
      </c>
      <c r="E3026" t="s">
        <v>406</v>
      </c>
      <c r="F3026">
        <v>0</v>
      </c>
      <c r="G3026">
        <v>0</v>
      </c>
      <c r="H3026" t="s">
        <v>224</v>
      </c>
      <c r="I3026" t="s">
        <v>430</v>
      </c>
      <c r="J3026" t="s">
        <v>429</v>
      </c>
      <c r="K3026" t="b">
        <v>0</v>
      </c>
      <c r="L3026">
        <v>2004</v>
      </c>
      <c r="M3026">
        <v>28378933680</v>
      </c>
      <c r="N3026">
        <v>709152728830</v>
      </c>
      <c r="O3026" t="b">
        <v>1</v>
      </c>
      <c r="P3026">
        <v>0</v>
      </c>
      <c r="Q3026" t="str" cm="1">
        <f t="array" ref="Q3026">_xlfn.IFS(Table1[[#This Row],[Wealthier_Winner]]=-1,"Wealthier Nation Loses",Table1[[#This Row],[Wealthier_Winner]]=0,"Tie",Table1[[#This Row],[Wealthier_Winner]]=1,"Wealthier Nation Wins")</f>
        <v>Tie</v>
      </c>
    </row>
    <row r="3027" spans="1:17" x14ac:dyDescent="0.2">
      <c r="A3027" s="1">
        <v>4815</v>
      </c>
      <c r="B3027" s="2">
        <v>38308</v>
      </c>
      <c r="C3027" s="7">
        <f>_xlfn.FLOOR.MATH(Table1[[#This Row],[year]],10)</f>
        <v>2000</v>
      </c>
      <c r="D3027" t="s">
        <v>67</v>
      </c>
      <c r="E3027" t="s">
        <v>69</v>
      </c>
      <c r="F3027">
        <v>3</v>
      </c>
      <c r="G3027">
        <v>0</v>
      </c>
      <c r="H3027" t="s">
        <v>224</v>
      </c>
      <c r="I3027" t="s">
        <v>455</v>
      </c>
      <c r="J3027" t="s">
        <v>67</v>
      </c>
      <c r="K3027" t="b">
        <v>0</v>
      </c>
      <c r="L3027">
        <v>2004</v>
      </c>
      <c r="M3027">
        <v>15100203361</v>
      </c>
      <c r="N3027">
        <v>13724810900</v>
      </c>
      <c r="O3027" t="b">
        <v>0</v>
      </c>
      <c r="P3027">
        <v>1</v>
      </c>
      <c r="Q3027" t="str" cm="1">
        <f t="array" ref="Q3027">_xlfn.IFS(Table1[[#This Row],[Wealthier_Winner]]=-1,"Wealthier Nation Loses",Table1[[#This Row],[Wealthier_Winner]]=0,"Tie",Table1[[#This Row],[Wealthier_Winner]]=1,"Wealthier Nation Wins")</f>
        <v>Wealthier Nation Wins</v>
      </c>
    </row>
    <row r="3028" spans="1:17" x14ac:dyDescent="0.2">
      <c r="A3028" s="1">
        <v>4816</v>
      </c>
      <c r="B3028" s="2">
        <v>38308</v>
      </c>
      <c r="C3028" s="7">
        <f>_xlfn.FLOOR.MATH(Table1[[#This Row],[year]],10)</f>
        <v>2000</v>
      </c>
      <c r="D3028" t="s">
        <v>31</v>
      </c>
      <c r="E3028" t="s">
        <v>14</v>
      </c>
      <c r="F3028">
        <v>2</v>
      </c>
      <c r="G3028">
        <v>1</v>
      </c>
      <c r="H3028" t="s">
        <v>224</v>
      </c>
      <c r="I3028" t="s">
        <v>242</v>
      </c>
      <c r="J3028" t="s">
        <v>31</v>
      </c>
      <c r="K3028" t="b">
        <v>0</v>
      </c>
      <c r="L3028">
        <v>2004</v>
      </c>
      <c r="M3028">
        <v>66768703497</v>
      </c>
      <c r="N3028">
        <v>99075985773</v>
      </c>
      <c r="O3028" t="b">
        <v>0</v>
      </c>
      <c r="P3028">
        <v>-1</v>
      </c>
      <c r="Q3028" t="str" cm="1">
        <f t="array" ref="Q3028">_xlfn.IFS(Table1[[#This Row],[Wealthier_Winner]]=-1,"Wealthier Nation Loses",Table1[[#This Row],[Wealthier_Winner]]=0,"Tie",Table1[[#This Row],[Wealthier_Winner]]=1,"Wealthier Nation Wins")</f>
        <v>Wealthier Nation Loses</v>
      </c>
    </row>
    <row r="3029" spans="1:17" x14ac:dyDescent="0.2">
      <c r="A3029" s="1">
        <v>4817</v>
      </c>
      <c r="B3029" s="2">
        <v>38308</v>
      </c>
      <c r="C3029" s="7">
        <f>_xlfn.FLOOR.MATH(Table1[[#This Row],[year]],10)</f>
        <v>2000</v>
      </c>
      <c r="D3029" t="s">
        <v>68</v>
      </c>
      <c r="E3029" t="s">
        <v>403</v>
      </c>
      <c r="F3029">
        <v>2</v>
      </c>
      <c r="G3029">
        <v>0</v>
      </c>
      <c r="H3029" t="s">
        <v>224</v>
      </c>
      <c r="I3029" t="s">
        <v>190</v>
      </c>
      <c r="J3029" t="s">
        <v>68</v>
      </c>
      <c r="K3029" t="b">
        <v>0</v>
      </c>
      <c r="L3029">
        <v>2004</v>
      </c>
      <c r="M3029">
        <v>31734065934</v>
      </c>
      <c r="N3029">
        <v>11411706629</v>
      </c>
      <c r="O3029" t="b">
        <v>1</v>
      </c>
      <c r="P3029">
        <v>1</v>
      </c>
      <c r="Q3029" t="str" cm="1">
        <f t="array" ref="Q3029">_xlfn.IFS(Table1[[#This Row],[Wealthier_Winner]]=-1,"Wealthier Nation Loses",Table1[[#This Row],[Wealthier_Winner]]=0,"Tie",Table1[[#This Row],[Wealthier_Winner]]=1,"Wealthier Nation Wins")</f>
        <v>Wealthier Nation Wins</v>
      </c>
    </row>
    <row r="3030" spans="1:17" x14ac:dyDescent="0.2">
      <c r="A3030" s="1">
        <v>4818</v>
      </c>
      <c r="B3030" s="2">
        <v>38308</v>
      </c>
      <c r="C3030" s="7">
        <f>_xlfn.FLOOR.MATH(Table1[[#This Row],[year]],10)</f>
        <v>2000</v>
      </c>
      <c r="D3030" t="s">
        <v>196</v>
      </c>
      <c r="E3030" t="s">
        <v>476</v>
      </c>
      <c r="F3030">
        <v>4</v>
      </c>
      <c r="G3030">
        <v>0</v>
      </c>
      <c r="H3030" t="s">
        <v>224</v>
      </c>
      <c r="I3030" t="s">
        <v>671</v>
      </c>
      <c r="J3030" t="s">
        <v>196</v>
      </c>
      <c r="K3030" t="b">
        <v>0</v>
      </c>
      <c r="L3030">
        <v>2004</v>
      </c>
      <c r="M3030">
        <v>591016690732</v>
      </c>
      <c r="N3030">
        <v>12148595031</v>
      </c>
      <c r="O3030" t="b">
        <v>1</v>
      </c>
      <c r="P3030">
        <v>1</v>
      </c>
      <c r="Q3030" t="str" cm="1">
        <f t="array" ref="Q3030">_xlfn.IFS(Table1[[#This Row],[Wealthier_Winner]]=-1,"Wealthier Nation Loses",Table1[[#This Row],[Wealthier_Winner]]=0,"Tie",Table1[[#This Row],[Wealthier_Winner]]=1,"Wealthier Nation Wins")</f>
        <v>Wealthier Nation Wins</v>
      </c>
    </row>
    <row r="3031" spans="1:17" x14ac:dyDescent="0.2">
      <c r="A3031" s="1">
        <v>4819</v>
      </c>
      <c r="B3031" s="2">
        <v>38308</v>
      </c>
      <c r="C3031" s="7">
        <f>_xlfn.FLOOR.MATH(Table1[[#This Row],[year]],10)</f>
        <v>2000</v>
      </c>
      <c r="D3031" t="s">
        <v>549</v>
      </c>
      <c r="E3031" t="s">
        <v>523</v>
      </c>
      <c r="F3031">
        <v>0</v>
      </c>
      <c r="G3031">
        <v>1</v>
      </c>
      <c r="H3031" t="s">
        <v>224</v>
      </c>
      <c r="I3031" t="s">
        <v>555</v>
      </c>
      <c r="J3031" t="s">
        <v>549</v>
      </c>
      <c r="K3031" t="b">
        <v>0</v>
      </c>
      <c r="L3031">
        <v>2004</v>
      </c>
      <c r="M3031">
        <v>1715340542</v>
      </c>
      <c r="N3031">
        <v>22743164431</v>
      </c>
      <c r="O3031" t="b">
        <v>1</v>
      </c>
      <c r="P3031">
        <v>1</v>
      </c>
      <c r="Q3031" t="str" cm="1">
        <f t="array" ref="Q3031">_xlfn.IFS(Table1[[#This Row],[Wealthier_Winner]]=-1,"Wealthier Nation Loses",Table1[[#This Row],[Wealthier_Winner]]=0,"Tie",Table1[[#This Row],[Wealthier_Winner]]=1,"Wealthier Nation Wins")</f>
        <v>Wealthier Nation Wins</v>
      </c>
    </row>
    <row r="3032" spans="1:17" x14ac:dyDescent="0.2">
      <c r="A3032" s="1">
        <v>4820</v>
      </c>
      <c r="B3032" s="2">
        <v>38308</v>
      </c>
      <c r="C3032" s="7">
        <f>_xlfn.FLOOR.MATH(Table1[[#This Row],[year]],10)</f>
        <v>2000</v>
      </c>
      <c r="D3032" t="s">
        <v>45</v>
      </c>
      <c r="E3032" t="s">
        <v>473</v>
      </c>
      <c r="F3032">
        <v>3</v>
      </c>
      <c r="G3032">
        <v>0</v>
      </c>
      <c r="H3032" t="s">
        <v>224</v>
      </c>
      <c r="I3032" t="s">
        <v>612</v>
      </c>
      <c r="J3032" t="s">
        <v>45</v>
      </c>
      <c r="K3032" t="b">
        <v>0</v>
      </c>
      <c r="L3032">
        <v>2004</v>
      </c>
      <c r="M3032">
        <v>258742133333</v>
      </c>
      <c r="N3032">
        <v>20662525941</v>
      </c>
      <c r="O3032" t="b">
        <v>1</v>
      </c>
      <c r="P3032">
        <v>1</v>
      </c>
      <c r="Q3032" t="str" cm="1">
        <f t="array" ref="Q3032">_xlfn.IFS(Table1[[#This Row],[Wealthier_Winner]]=-1,"Wealthier Nation Loses",Table1[[#This Row],[Wealthier_Winner]]=0,"Tie",Table1[[#This Row],[Wealthier_Winner]]=1,"Wealthier Nation Wins")</f>
        <v>Wealthier Nation Wins</v>
      </c>
    </row>
    <row r="3033" spans="1:17" x14ac:dyDescent="0.2">
      <c r="A3033" s="1">
        <v>4825</v>
      </c>
      <c r="B3033" s="2">
        <v>38308</v>
      </c>
      <c r="C3033" s="7">
        <f>_xlfn.FLOOR.MATH(Table1[[#This Row],[year]],10)</f>
        <v>2000</v>
      </c>
      <c r="D3033" t="s">
        <v>26</v>
      </c>
      <c r="E3033" t="s">
        <v>35</v>
      </c>
      <c r="F3033">
        <v>1</v>
      </c>
      <c r="G3033">
        <v>0</v>
      </c>
      <c r="H3033" t="s">
        <v>224</v>
      </c>
      <c r="I3033" t="s">
        <v>247</v>
      </c>
      <c r="J3033" t="s">
        <v>26</v>
      </c>
      <c r="K3033" t="b">
        <v>0</v>
      </c>
      <c r="L3033">
        <v>2004</v>
      </c>
      <c r="M3033">
        <v>13686329890</v>
      </c>
      <c r="N3033">
        <v>9624440836</v>
      </c>
      <c r="O3033" t="b">
        <v>0</v>
      </c>
      <c r="P3033">
        <v>1</v>
      </c>
      <c r="Q3033" t="str" cm="1">
        <f t="array" ref="Q3033">_xlfn.IFS(Table1[[#This Row],[Wealthier_Winner]]=-1,"Wealthier Nation Loses",Table1[[#This Row],[Wealthier_Winner]]=0,"Tie",Table1[[#This Row],[Wealthier_Winner]]=1,"Wealthier Nation Wins")</f>
        <v>Wealthier Nation Wins</v>
      </c>
    </row>
    <row r="3034" spans="1:17" x14ac:dyDescent="0.2">
      <c r="A3034" s="1">
        <v>4826</v>
      </c>
      <c r="B3034" s="2">
        <v>38308</v>
      </c>
      <c r="C3034" s="7">
        <f>_xlfn.FLOOR.MATH(Table1[[#This Row],[year]],10)</f>
        <v>2000</v>
      </c>
      <c r="D3034" t="s">
        <v>41</v>
      </c>
      <c r="E3034" t="s">
        <v>49</v>
      </c>
      <c r="F3034">
        <v>1</v>
      </c>
      <c r="G3034">
        <v>1</v>
      </c>
      <c r="H3034" t="s">
        <v>224</v>
      </c>
      <c r="I3034" t="s">
        <v>607</v>
      </c>
      <c r="J3034" t="s">
        <v>41</v>
      </c>
      <c r="K3034" t="b">
        <v>0</v>
      </c>
      <c r="L3034">
        <v>2004</v>
      </c>
      <c r="M3034">
        <v>12217193198000</v>
      </c>
      <c r="N3034">
        <v>10174664853</v>
      </c>
      <c r="O3034" t="b">
        <v>1</v>
      </c>
      <c r="P3034">
        <v>0</v>
      </c>
      <c r="Q3034" t="str" cm="1">
        <f t="array" ref="Q3034">_xlfn.IFS(Table1[[#This Row],[Wealthier_Winner]]=-1,"Wealthier Nation Loses",Table1[[#This Row],[Wealthier_Winner]]=0,"Tie",Table1[[#This Row],[Wealthier_Winner]]=1,"Wealthier Nation Wins")</f>
        <v>Tie</v>
      </c>
    </row>
    <row r="3035" spans="1:17" x14ac:dyDescent="0.2">
      <c r="A3035" s="1">
        <v>4829</v>
      </c>
      <c r="B3035" s="2">
        <v>38392</v>
      </c>
      <c r="C3035" s="7">
        <f>_xlfn.FLOOR.MATH(Table1[[#This Row],[year]],10)</f>
        <v>2000</v>
      </c>
      <c r="D3035" t="s">
        <v>373</v>
      </c>
      <c r="E3035" t="s">
        <v>64</v>
      </c>
      <c r="F3035">
        <v>0</v>
      </c>
      <c r="G3035">
        <v>2</v>
      </c>
      <c r="H3035" t="s">
        <v>224</v>
      </c>
      <c r="I3035" t="s">
        <v>374</v>
      </c>
      <c r="J3035" t="s">
        <v>373</v>
      </c>
      <c r="K3035" t="b">
        <v>0</v>
      </c>
      <c r="L3035">
        <v>2005</v>
      </c>
      <c r="M3035">
        <v>8256658249</v>
      </c>
      <c r="N3035">
        <v>89238865118</v>
      </c>
      <c r="O3035" t="b">
        <v>1</v>
      </c>
      <c r="P3035">
        <v>1</v>
      </c>
      <c r="Q3035" t="str" cm="1">
        <f t="array" ref="Q3035">_xlfn.IFS(Table1[[#This Row],[Wealthier_Winner]]=-1,"Wealthier Nation Loses",Table1[[#This Row],[Wealthier_Winner]]=0,"Tie",Table1[[#This Row],[Wealthier_Winner]]=1,"Wealthier Nation Wins")</f>
        <v>Wealthier Nation Wins</v>
      </c>
    </row>
    <row r="3036" spans="1:17" x14ac:dyDescent="0.2">
      <c r="A3036" s="1">
        <v>4830</v>
      </c>
      <c r="B3036" s="2">
        <v>38392</v>
      </c>
      <c r="C3036" s="7">
        <f>_xlfn.FLOOR.MATH(Table1[[#This Row],[year]],10)</f>
        <v>2000</v>
      </c>
      <c r="D3036" t="s">
        <v>361</v>
      </c>
      <c r="E3036" t="s">
        <v>210</v>
      </c>
      <c r="F3036">
        <v>0</v>
      </c>
      <c r="G3036">
        <v>0</v>
      </c>
      <c r="H3036" t="s">
        <v>224</v>
      </c>
      <c r="I3036" t="s">
        <v>419</v>
      </c>
      <c r="J3036" t="s">
        <v>361</v>
      </c>
      <c r="K3036" t="b">
        <v>0</v>
      </c>
      <c r="L3036">
        <v>2005</v>
      </c>
      <c r="M3036">
        <v>15968723404</v>
      </c>
      <c r="N3036">
        <v>224970371324</v>
      </c>
      <c r="O3036" t="b">
        <v>1</v>
      </c>
      <c r="P3036">
        <v>0</v>
      </c>
      <c r="Q3036" t="str" cm="1">
        <f t="array" ref="Q3036">_xlfn.IFS(Table1[[#This Row],[Wealthier_Winner]]=-1,"Wealthier Nation Loses",Table1[[#This Row],[Wealthier_Winner]]=0,"Tie",Table1[[#This Row],[Wealthier_Winner]]=1,"Wealthier Nation Wins")</f>
        <v>Tie</v>
      </c>
    </row>
    <row r="3037" spans="1:17" x14ac:dyDescent="0.2">
      <c r="A3037" s="1">
        <v>4831</v>
      </c>
      <c r="B3037" s="2">
        <v>38392</v>
      </c>
      <c r="C3037" s="7">
        <f>_xlfn.FLOOR.MATH(Table1[[#This Row],[year]],10)</f>
        <v>2000</v>
      </c>
      <c r="D3037" t="s">
        <v>56</v>
      </c>
      <c r="E3037" t="s">
        <v>17</v>
      </c>
      <c r="F3037">
        <v>1</v>
      </c>
      <c r="G3037">
        <v>2</v>
      </c>
      <c r="H3037" t="s">
        <v>224</v>
      </c>
      <c r="I3037" t="s">
        <v>225</v>
      </c>
      <c r="J3037" t="s">
        <v>56</v>
      </c>
      <c r="K3037" t="b">
        <v>0</v>
      </c>
      <c r="L3037">
        <v>2005</v>
      </c>
      <c r="M3037">
        <v>20040642476</v>
      </c>
      <c r="N3037">
        <v>917571853529</v>
      </c>
      <c r="O3037" t="b">
        <v>1</v>
      </c>
      <c r="P3037">
        <v>1</v>
      </c>
      <c r="Q3037" t="str" cm="1">
        <f t="array" ref="Q3037">_xlfn.IFS(Table1[[#This Row],[Wealthier_Winner]]=-1,"Wealthier Nation Loses",Table1[[#This Row],[Wealthier_Winner]]=0,"Tie",Table1[[#This Row],[Wealthier_Winner]]=1,"Wealthier Nation Wins")</f>
        <v>Wealthier Nation Wins</v>
      </c>
    </row>
    <row r="3038" spans="1:17" x14ac:dyDescent="0.2">
      <c r="A3038" s="1">
        <v>4832</v>
      </c>
      <c r="B3038" s="2">
        <v>38392</v>
      </c>
      <c r="C3038" s="7">
        <f>_xlfn.FLOOR.MATH(Table1[[#This Row],[year]],10)</f>
        <v>2000</v>
      </c>
      <c r="D3038" t="s">
        <v>48</v>
      </c>
      <c r="E3038" t="s">
        <v>36</v>
      </c>
      <c r="F3038">
        <v>2</v>
      </c>
      <c r="G3038">
        <v>1</v>
      </c>
      <c r="H3038" t="s">
        <v>224</v>
      </c>
      <c r="I3038" t="s">
        <v>282</v>
      </c>
      <c r="J3038" t="s">
        <v>48</v>
      </c>
      <c r="K3038" t="b">
        <v>0</v>
      </c>
      <c r="L3038">
        <v>2005</v>
      </c>
      <c r="M3038">
        <v>242315668619</v>
      </c>
      <c r="N3038">
        <v>265150087711</v>
      </c>
      <c r="O3038" t="b">
        <v>0</v>
      </c>
      <c r="P3038">
        <v>-1</v>
      </c>
      <c r="Q3038" t="str" cm="1">
        <f t="array" ref="Q3038">_xlfn.IFS(Table1[[#This Row],[Wealthier_Winner]]=-1,"Wealthier Nation Loses",Table1[[#This Row],[Wealthier_Winner]]=0,"Tie",Table1[[#This Row],[Wealthier_Winner]]=1,"Wealthier Nation Wins")</f>
        <v>Wealthier Nation Loses</v>
      </c>
    </row>
    <row r="3039" spans="1:17" x14ac:dyDescent="0.2">
      <c r="A3039" s="1">
        <v>4834</v>
      </c>
      <c r="B3039" s="2">
        <v>38392</v>
      </c>
      <c r="C3039" s="7">
        <f>_xlfn.FLOOR.MATH(Table1[[#This Row],[year]],10)</f>
        <v>2000</v>
      </c>
      <c r="D3039" t="s">
        <v>195</v>
      </c>
      <c r="E3039" t="s">
        <v>71</v>
      </c>
      <c r="F3039">
        <v>2</v>
      </c>
      <c r="G3039">
        <v>0</v>
      </c>
      <c r="H3039" t="s">
        <v>224</v>
      </c>
      <c r="I3039" t="s">
        <v>136</v>
      </c>
      <c r="J3039" t="s">
        <v>195</v>
      </c>
      <c r="K3039" t="b">
        <v>0</v>
      </c>
      <c r="L3039">
        <v>2005</v>
      </c>
      <c r="M3039">
        <v>971740329983</v>
      </c>
      <c r="N3039">
        <v>80798630136</v>
      </c>
      <c r="O3039" t="b">
        <v>1</v>
      </c>
      <c r="P3039">
        <v>1</v>
      </c>
      <c r="Q3039" t="str" cm="1">
        <f t="array" ref="Q3039">_xlfn.IFS(Table1[[#This Row],[Wealthier_Winner]]=-1,"Wealthier Nation Loses",Table1[[#This Row],[Wealthier_Winner]]=0,"Tie",Table1[[#This Row],[Wealthier_Winner]]=1,"Wealthier Nation Wins")</f>
        <v>Wealthier Nation Wins</v>
      </c>
    </row>
    <row r="3040" spans="1:17" x14ac:dyDescent="0.2">
      <c r="A3040" s="1">
        <v>4835</v>
      </c>
      <c r="B3040" s="2">
        <v>38392</v>
      </c>
      <c r="C3040" s="7">
        <f>_xlfn.FLOOR.MATH(Table1[[#This Row],[year]],10)</f>
        <v>2000</v>
      </c>
      <c r="D3040" t="s">
        <v>502</v>
      </c>
      <c r="E3040" t="s">
        <v>601</v>
      </c>
      <c r="F3040">
        <v>0</v>
      </c>
      <c r="G3040">
        <v>0</v>
      </c>
      <c r="H3040" t="s">
        <v>224</v>
      </c>
      <c r="I3040" t="s">
        <v>504</v>
      </c>
      <c r="J3040" t="s">
        <v>502</v>
      </c>
      <c r="K3040" t="b">
        <v>0</v>
      </c>
      <c r="L3040">
        <v>2005</v>
      </c>
      <c r="M3040">
        <v>6258602872</v>
      </c>
      <c r="N3040">
        <v>3161084846</v>
      </c>
      <c r="O3040" t="b">
        <v>0</v>
      </c>
      <c r="P3040">
        <v>0</v>
      </c>
      <c r="Q3040" t="str" cm="1">
        <f t="array" ref="Q3040">_xlfn.IFS(Table1[[#This Row],[Wealthier_Winner]]=-1,"Wealthier Nation Loses",Table1[[#This Row],[Wealthier_Winner]]=0,"Tie",Table1[[#This Row],[Wealthier_Winner]]=1,"Wealthier Nation Wins")</f>
        <v>Tie</v>
      </c>
    </row>
    <row r="3041" spans="1:17" x14ac:dyDescent="0.2">
      <c r="A3041" s="1">
        <v>4836</v>
      </c>
      <c r="B3041" s="2">
        <v>38392</v>
      </c>
      <c r="C3041" s="7">
        <f>_xlfn.FLOOR.MATH(Table1[[#This Row],[year]],10)</f>
        <v>2000</v>
      </c>
      <c r="D3041" t="s">
        <v>24</v>
      </c>
      <c r="E3041" t="s">
        <v>314</v>
      </c>
      <c r="F3041">
        <v>5</v>
      </c>
      <c r="G3041">
        <v>1</v>
      </c>
      <c r="H3041" t="s">
        <v>224</v>
      </c>
      <c r="I3041" t="s">
        <v>319</v>
      </c>
      <c r="J3041" t="s">
        <v>24</v>
      </c>
      <c r="K3041" t="b">
        <v>0</v>
      </c>
      <c r="L3041">
        <v>2005</v>
      </c>
      <c r="M3041">
        <v>68852658068</v>
      </c>
      <c r="N3041">
        <v>18737895512</v>
      </c>
      <c r="O3041" t="b">
        <v>1</v>
      </c>
      <c r="P3041">
        <v>1</v>
      </c>
      <c r="Q3041" t="str" cm="1">
        <f t="array" ref="Q3041">_xlfn.IFS(Table1[[#This Row],[Wealthier_Winner]]=-1,"Wealthier Nation Loses",Table1[[#This Row],[Wealthier_Winner]]=0,"Tie",Table1[[#This Row],[Wealthier_Winner]]=1,"Wealthier Nation Wins")</f>
        <v>Wealthier Nation Wins</v>
      </c>
    </row>
    <row r="3042" spans="1:17" x14ac:dyDescent="0.2">
      <c r="A3042" s="1">
        <v>4837</v>
      </c>
      <c r="B3042" s="2">
        <v>38392</v>
      </c>
      <c r="C3042" s="7">
        <f>_xlfn.FLOOR.MATH(Table1[[#This Row],[year]],10)</f>
        <v>2000</v>
      </c>
      <c r="D3042" t="s">
        <v>67</v>
      </c>
      <c r="E3042" t="s">
        <v>223</v>
      </c>
      <c r="F3042">
        <v>0</v>
      </c>
      <c r="G3042">
        <v>0</v>
      </c>
      <c r="H3042" t="s">
        <v>224</v>
      </c>
      <c r="I3042" t="s">
        <v>455</v>
      </c>
      <c r="J3042" t="s">
        <v>67</v>
      </c>
      <c r="K3042" t="b">
        <v>0</v>
      </c>
      <c r="L3042">
        <v>2005</v>
      </c>
      <c r="M3042">
        <v>16623906739</v>
      </c>
      <c r="N3042">
        <v>26783389293</v>
      </c>
      <c r="O3042" t="b">
        <v>0</v>
      </c>
      <c r="P3042">
        <v>0</v>
      </c>
      <c r="Q3042" t="str" cm="1">
        <f t="array" ref="Q3042">_xlfn.IFS(Table1[[#This Row],[Wealthier_Winner]]=-1,"Wealthier Nation Loses",Table1[[#This Row],[Wealthier_Winner]]=0,"Tie",Table1[[#This Row],[Wealthier_Winner]]=1,"Wealthier Nation Wins")</f>
        <v>Tie</v>
      </c>
    </row>
    <row r="3043" spans="1:17" x14ac:dyDescent="0.2">
      <c r="A3043" s="1">
        <v>4838</v>
      </c>
      <c r="B3043" s="2">
        <v>38392</v>
      </c>
      <c r="C3043" s="7">
        <f>_xlfn.FLOOR.MATH(Table1[[#This Row],[year]],10)</f>
        <v>2000</v>
      </c>
      <c r="D3043" t="s">
        <v>21</v>
      </c>
      <c r="E3043" t="s">
        <v>549</v>
      </c>
      <c r="F3043">
        <v>5</v>
      </c>
      <c r="G3043">
        <v>0</v>
      </c>
      <c r="H3043" t="s">
        <v>224</v>
      </c>
      <c r="I3043" t="s">
        <v>672</v>
      </c>
      <c r="J3043" t="s">
        <v>21</v>
      </c>
      <c r="K3043" t="b">
        <v>0</v>
      </c>
      <c r="L3043">
        <v>2005</v>
      </c>
      <c r="M3043">
        <v>1154667551775</v>
      </c>
      <c r="N3043">
        <v>1786514058</v>
      </c>
      <c r="O3043" t="b">
        <v>1</v>
      </c>
      <c r="P3043">
        <v>1</v>
      </c>
      <c r="Q3043" t="str" cm="1">
        <f t="array" ref="Q3043">_xlfn.IFS(Table1[[#This Row],[Wealthier_Winner]]=-1,"Wealthier Nation Loses",Table1[[#This Row],[Wealthier_Winner]]=0,"Tie",Table1[[#This Row],[Wealthier_Winner]]=1,"Wealthier Nation Wins")</f>
        <v>Wealthier Nation Wins</v>
      </c>
    </row>
    <row r="3044" spans="1:17" x14ac:dyDescent="0.2">
      <c r="A3044" s="1">
        <v>4839</v>
      </c>
      <c r="B3044" s="2">
        <v>38392</v>
      </c>
      <c r="C3044" s="7">
        <f>_xlfn.FLOOR.MATH(Table1[[#This Row],[year]],10)</f>
        <v>2000</v>
      </c>
      <c r="D3044" t="s">
        <v>59</v>
      </c>
      <c r="E3044" t="s">
        <v>41</v>
      </c>
      <c r="F3044">
        <v>1</v>
      </c>
      <c r="G3044">
        <v>2</v>
      </c>
      <c r="H3044" t="s">
        <v>224</v>
      </c>
      <c r="I3044" t="s">
        <v>253</v>
      </c>
      <c r="J3044" t="s">
        <v>59</v>
      </c>
      <c r="K3044" t="b">
        <v>0</v>
      </c>
      <c r="L3044">
        <v>2005</v>
      </c>
      <c r="M3044">
        <v>15982389018</v>
      </c>
      <c r="N3044">
        <v>13039199193000</v>
      </c>
      <c r="O3044" t="b">
        <v>1</v>
      </c>
      <c r="P3044">
        <v>1</v>
      </c>
      <c r="Q3044" t="str" cm="1">
        <f t="array" ref="Q3044">_xlfn.IFS(Table1[[#This Row],[Wealthier_Winner]]=-1,"Wealthier Nation Loses",Table1[[#This Row],[Wealthier_Winner]]=0,"Tie",Table1[[#This Row],[Wealthier_Winner]]=1,"Wealthier Nation Wins")</f>
        <v>Wealthier Nation Wins</v>
      </c>
    </row>
    <row r="3045" spans="1:17" x14ac:dyDescent="0.2">
      <c r="A3045" s="1">
        <v>4840</v>
      </c>
      <c r="B3045" s="2">
        <v>38392</v>
      </c>
      <c r="C3045" s="7">
        <f>_xlfn.FLOOR.MATH(Table1[[#This Row],[year]],10)</f>
        <v>2000</v>
      </c>
      <c r="D3045" t="s">
        <v>563</v>
      </c>
      <c r="E3045" t="s">
        <v>45</v>
      </c>
      <c r="F3045">
        <v>1</v>
      </c>
      <c r="G3045">
        <v>1</v>
      </c>
      <c r="H3045" t="s">
        <v>224</v>
      </c>
      <c r="I3045" t="s">
        <v>564</v>
      </c>
      <c r="J3045" t="s">
        <v>563</v>
      </c>
      <c r="K3045" t="b">
        <v>0</v>
      </c>
      <c r="L3045">
        <v>2005</v>
      </c>
      <c r="M3045">
        <v>14307509838</v>
      </c>
      <c r="N3045">
        <v>328459608764</v>
      </c>
      <c r="O3045" t="b">
        <v>1</v>
      </c>
      <c r="P3045">
        <v>0</v>
      </c>
      <c r="Q3045" t="str" cm="1">
        <f t="array" ref="Q3045">_xlfn.IFS(Table1[[#This Row],[Wealthier_Winner]]=-1,"Wealthier Nation Loses",Table1[[#This Row],[Wealthier_Winner]]=0,"Tie",Table1[[#This Row],[Wealthier_Winner]]=1,"Wealthier Nation Wins")</f>
        <v>Tie</v>
      </c>
    </row>
    <row r="3046" spans="1:17" x14ac:dyDescent="0.2">
      <c r="A3046" s="1">
        <v>4841</v>
      </c>
      <c r="B3046" s="2">
        <v>38436</v>
      </c>
      <c r="C3046" s="7">
        <f>_xlfn.FLOOR.MATH(Table1[[#This Row],[year]],10)</f>
        <v>2000</v>
      </c>
      <c r="D3046" t="s">
        <v>210</v>
      </c>
      <c r="E3046" t="s">
        <v>51</v>
      </c>
      <c r="F3046">
        <v>2</v>
      </c>
      <c r="G3046">
        <v>1</v>
      </c>
      <c r="H3046" t="s">
        <v>224</v>
      </c>
      <c r="I3046" t="s">
        <v>332</v>
      </c>
      <c r="J3046" t="s">
        <v>210</v>
      </c>
      <c r="K3046" t="b">
        <v>0</v>
      </c>
      <c r="L3046">
        <v>2005</v>
      </c>
      <c r="M3046">
        <v>224970371324</v>
      </c>
      <c r="N3046">
        <v>4831467035389</v>
      </c>
      <c r="O3046" t="b">
        <v>1</v>
      </c>
      <c r="P3046">
        <v>-1</v>
      </c>
      <c r="Q3046" t="str" cm="1">
        <f t="array" ref="Q3046">_xlfn.IFS(Table1[[#This Row],[Wealthier_Winner]]=-1,"Wealthier Nation Loses",Table1[[#This Row],[Wealthier_Winner]]=0,"Tie",Table1[[#This Row],[Wealthier_Winner]]=1,"Wealthier Nation Wins")</f>
        <v>Wealthier Nation Loses</v>
      </c>
    </row>
    <row r="3047" spans="1:17" x14ac:dyDescent="0.2">
      <c r="A3047" s="1">
        <v>4843</v>
      </c>
      <c r="B3047" s="2">
        <v>38436</v>
      </c>
      <c r="C3047" s="7">
        <f>_xlfn.FLOOR.MATH(Table1[[#This Row],[year]],10)</f>
        <v>2000</v>
      </c>
      <c r="D3047" t="s">
        <v>71</v>
      </c>
      <c r="E3047" t="s">
        <v>563</v>
      </c>
      <c r="F3047">
        <v>2</v>
      </c>
      <c r="G3047">
        <v>1</v>
      </c>
      <c r="H3047" t="s">
        <v>224</v>
      </c>
      <c r="I3047" t="s">
        <v>366</v>
      </c>
      <c r="J3047" t="s">
        <v>71</v>
      </c>
      <c r="K3047" t="b">
        <v>0</v>
      </c>
      <c r="L3047">
        <v>2005</v>
      </c>
      <c r="M3047">
        <v>80798630136</v>
      </c>
      <c r="N3047">
        <v>14307509838</v>
      </c>
      <c r="O3047" t="b">
        <v>1</v>
      </c>
      <c r="P3047">
        <v>1</v>
      </c>
      <c r="Q3047" t="str" cm="1">
        <f t="array" ref="Q3047">_xlfn.IFS(Table1[[#This Row],[Wealthier_Winner]]=-1,"Wealthier Nation Loses",Table1[[#This Row],[Wealthier_Winner]]=0,"Tie",Table1[[#This Row],[Wealthier_Winner]]=1,"Wealthier Nation Wins")</f>
        <v>Wealthier Nation Wins</v>
      </c>
    </row>
    <row r="3048" spans="1:17" x14ac:dyDescent="0.2">
      <c r="A3048" s="1">
        <v>4844</v>
      </c>
      <c r="B3048" s="2">
        <v>38436</v>
      </c>
      <c r="C3048" s="7">
        <f>_xlfn.FLOOR.MATH(Table1[[#This Row],[year]],10)</f>
        <v>2000</v>
      </c>
      <c r="D3048" t="s">
        <v>45</v>
      </c>
      <c r="E3048" t="s">
        <v>195</v>
      </c>
      <c r="F3048">
        <v>2</v>
      </c>
      <c r="G3048">
        <v>0</v>
      </c>
      <c r="H3048" t="s">
        <v>224</v>
      </c>
      <c r="I3048" t="s">
        <v>612</v>
      </c>
      <c r="J3048" t="s">
        <v>45</v>
      </c>
      <c r="K3048" t="b">
        <v>0</v>
      </c>
      <c r="L3048">
        <v>2005</v>
      </c>
      <c r="M3048">
        <v>328459608764</v>
      </c>
      <c r="N3048">
        <v>971740329983</v>
      </c>
      <c r="O3048" t="b">
        <v>1</v>
      </c>
      <c r="P3048">
        <v>-1</v>
      </c>
      <c r="Q3048" t="str" cm="1">
        <f t="array" ref="Q3048">_xlfn.IFS(Table1[[#This Row],[Wealthier_Winner]]=-1,"Wealthier Nation Loses",Table1[[#This Row],[Wealthier_Winner]]=0,"Tie",Table1[[#This Row],[Wealthier_Winner]]=1,"Wealthier Nation Wins")</f>
        <v>Wealthier Nation Loses</v>
      </c>
    </row>
    <row r="3049" spans="1:17" x14ac:dyDescent="0.2">
      <c r="A3049" s="1">
        <v>4845</v>
      </c>
      <c r="B3049" s="2">
        <v>38437</v>
      </c>
      <c r="C3049" s="7">
        <f>_xlfn.FLOOR.MATH(Table1[[#This Row],[year]],10)</f>
        <v>2000</v>
      </c>
      <c r="D3049" t="s">
        <v>519</v>
      </c>
      <c r="E3049" t="s">
        <v>601</v>
      </c>
      <c r="F3049">
        <v>2</v>
      </c>
      <c r="G3049">
        <v>1</v>
      </c>
      <c r="H3049" t="s">
        <v>224</v>
      </c>
      <c r="I3049" t="s">
        <v>520</v>
      </c>
      <c r="J3049" t="s">
        <v>519</v>
      </c>
      <c r="K3049" t="b">
        <v>0</v>
      </c>
      <c r="L3049">
        <v>2005</v>
      </c>
      <c r="M3049">
        <v>4900469511</v>
      </c>
      <c r="N3049">
        <v>3161084846</v>
      </c>
      <c r="O3049" t="b">
        <v>0</v>
      </c>
      <c r="P3049">
        <v>1</v>
      </c>
      <c r="Q3049" t="str" cm="1">
        <f t="array" ref="Q3049">_xlfn.IFS(Table1[[#This Row],[Wealthier_Winner]]=-1,"Wealthier Nation Loses",Table1[[#This Row],[Wealthier_Winner]]=0,"Tie",Table1[[#This Row],[Wealthier_Winner]]=1,"Wealthier Nation Wins")</f>
        <v>Wealthier Nation Wins</v>
      </c>
    </row>
    <row r="3050" spans="1:17" x14ac:dyDescent="0.2">
      <c r="A3050" s="1">
        <v>4846</v>
      </c>
      <c r="B3050" s="2">
        <v>38437</v>
      </c>
      <c r="C3050" s="7">
        <f>_xlfn.FLOOR.MATH(Table1[[#This Row],[year]],10)</f>
        <v>2000</v>
      </c>
      <c r="D3050" t="s">
        <v>23</v>
      </c>
      <c r="E3050" t="s">
        <v>73</v>
      </c>
      <c r="F3050">
        <v>4</v>
      </c>
      <c r="G3050">
        <v>1</v>
      </c>
      <c r="H3050" t="s">
        <v>224</v>
      </c>
      <c r="I3050" t="s">
        <v>235</v>
      </c>
      <c r="J3050" t="s">
        <v>23</v>
      </c>
      <c r="K3050" t="b">
        <v>0</v>
      </c>
      <c r="L3050">
        <v>2005</v>
      </c>
      <c r="M3050">
        <v>385714762230</v>
      </c>
      <c r="N3050">
        <v>11222796336</v>
      </c>
      <c r="O3050" t="b">
        <v>1</v>
      </c>
      <c r="P3050">
        <v>1</v>
      </c>
      <c r="Q3050" t="str" cm="1">
        <f t="array" ref="Q3050">_xlfn.IFS(Table1[[#This Row],[Wealthier_Winner]]=-1,"Wealthier Nation Loses",Table1[[#This Row],[Wealthier_Winner]]=0,"Tie",Table1[[#This Row],[Wealthier_Winner]]=1,"Wealthier Nation Wins")</f>
        <v>Wealthier Nation Wins</v>
      </c>
    </row>
    <row r="3051" spans="1:17" x14ac:dyDescent="0.2">
      <c r="A3051" s="1">
        <v>4847</v>
      </c>
      <c r="B3051" s="2">
        <v>38437</v>
      </c>
      <c r="C3051" s="7">
        <f>_xlfn.FLOOR.MATH(Table1[[#This Row],[year]],10)</f>
        <v>2000</v>
      </c>
      <c r="D3051" t="s">
        <v>47</v>
      </c>
      <c r="E3051" t="s">
        <v>19</v>
      </c>
      <c r="F3051">
        <v>1</v>
      </c>
      <c r="G3051">
        <v>2</v>
      </c>
      <c r="H3051" t="s">
        <v>224</v>
      </c>
      <c r="I3051" t="s">
        <v>246</v>
      </c>
      <c r="J3051" t="s">
        <v>47</v>
      </c>
      <c r="K3051" t="b">
        <v>0</v>
      </c>
      <c r="L3051">
        <v>2005</v>
      </c>
      <c r="M3051">
        <v>9549122905</v>
      </c>
      <c r="N3051">
        <v>198737095012</v>
      </c>
      <c r="O3051" t="b">
        <v>1</v>
      </c>
      <c r="P3051">
        <v>1</v>
      </c>
      <c r="Q3051" t="str" cm="1">
        <f t="array" ref="Q3051">_xlfn.IFS(Table1[[#This Row],[Wealthier_Winner]]=-1,"Wealthier Nation Loses",Table1[[#This Row],[Wealthier_Winner]]=0,"Tie",Table1[[#This Row],[Wealthier_Winner]]=1,"Wealthier Nation Wins")</f>
        <v>Wealthier Nation Wins</v>
      </c>
    </row>
    <row r="3052" spans="1:17" x14ac:dyDescent="0.2">
      <c r="A3052" s="1">
        <v>4848</v>
      </c>
      <c r="B3052" s="2">
        <v>38437</v>
      </c>
      <c r="C3052" s="7">
        <f>_xlfn.FLOOR.MATH(Table1[[#This Row],[year]],10)</f>
        <v>2000</v>
      </c>
      <c r="D3052" t="s">
        <v>33</v>
      </c>
      <c r="E3052" t="s">
        <v>25</v>
      </c>
      <c r="F3052">
        <v>0</v>
      </c>
      <c r="G3052">
        <v>3</v>
      </c>
      <c r="H3052" t="s">
        <v>224</v>
      </c>
      <c r="I3052" t="s">
        <v>375</v>
      </c>
      <c r="J3052" t="s">
        <v>33</v>
      </c>
      <c r="K3052" t="b">
        <v>0</v>
      </c>
      <c r="L3052">
        <v>2005</v>
      </c>
      <c r="M3052">
        <v>29868657858</v>
      </c>
      <c r="N3052">
        <v>391688455928</v>
      </c>
      <c r="O3052" t="b">
        <v>1</v>
      </c>
      <c r="P3052">
        <v>1</v>
      </c>
      <c r="Q3052" t="str" cm="1">
        <f t="array" ref="Q3052">_xlfn.IFS(Table1[[#This Row],[Wealthier_Winner]]=-1,"Wealthier Nation Loses",Table1[[#This Row],[Wealthier_Winner]]=0,"Tie",Table1[[#This Row],[Wealthier_Winner]]=1,"Wealthier Nation Wins")</f>
        <v>Wealthier Nation Wins</v>
      </c>
    </row>
    <row r="3053" spans="1:17" x14ac:dyDescent="0.2">
      <c r="A3053" s="1">
        <v>4850</v>
      </c>
      <c r="B3053" s="2">
        <v>38437</v>
      </c>
      <c r="C3053" s="7">
        <f>_xlfn.FLOOR.MATH(Table1[[#This Row],[year]],10)</f>
        <v>2000</v>
      </c>
      <c r="D3053" t="s">
        <v>14</v>
      </c>
      <c r="E3053" t="s">
        <v>26</v>
      </c>
      <c r="F3053">
        <v>1</v>
      </c>
      <c r="G3053">
        <v>1</v>
      </c>
      <c r="H3053" t="s">
        <v>224</v>
      </c>
      <c r="I3053" t="s">
        <v>75</v>
      </c>
      <c r="J3053" t="s">
        <v>14</v>
      </c>
      <c r="K3053" t="b">
        <v>0</v>
      </c>
      <c r="L3053">
        <v>2005</v>
      </c>
      <c r="M3053">
        <v>122294145163</v>
      </c>
      <c r="N3053">
        <v>17362857683</v>
      </c>
      <c r="O3053" t="b">
        <v>1</v>
      </c>
      <c r="P3053">
        <v>0</v>
      </c>
      <c r="Q3053" t="str" cm="1">
        <f t="array" ref="Q3053">_xlfn.IFS(Table1[[#This Row],[Wealthier_Winner]]=-1,"Wealthier Nation Loses",Table1[[#This Row],[Wealthier_Winner]]=0,"Tie",Table1[[#This Row],[Wealthier_Winner]]=1,"Wealthier Nation Wins")</f>
        <v>Tie</v>
      </c>
    </row>
    <row r="3054" spans="1:17" x14ac:dyDescent="0.2">
      <c r="A3054" s="1">
        <v>4851</v>
      </c>
      <c r="B3054" s="2">
        <v>38437</v>
      </c>
      <c r="C3054" s="7">
        <f>_xlfn.FLOOR.MATH(Table1[[#This Row],[year]],10)</f>
        <v>2000</v>
      </c>
      <c r="D3054" t="s">
        <v>56</v>
      </c>
      <c r="E3054" t="s">
        <v>67</v>
      </c>
      <c r="F3054">
        <v>2</v>
      </c>
      <c r="G3054">
        <v>1</v>
      </c>
      <c r="H3054" t="s">
        <v>224</v>
      </c>
      <c r="I3054" t="s">
        <v>225</v>
      </c>
      <c r="J3054" t="s">
        <v>56</v>
      </c>
      <c r="K3054" t="b">
        <v>0</v>
      </c>
      <c r="L3054">
        <v>2005</v>
      </c>
      <c r="M3054">
        <v>20040642476</v>
      </c>
      <c r="N3054">
        <v>16623906739</v>
      </c>
      <c r="O3054" t="b">
        <v>0</v>
      </c>
      <c r="P3054">
        <v>1</v>
      </c>
      <c r="Q3054" t="str" cm="1">
        <f t="array" ref="Q3054">_xlfn.IFS(Table1[[#This Row],[Wealthier_Winner]]=-1,"Wealthier Nation Loses",Table1[[#This Row],[Wealthier_Winner]]=0,"Tie",Table1[[#This Row],[Wealthier_Winner]]=1,"Wealthier Nation Wins")</f>
        <v>Wealthier Nation Wins</v>
      </c>
    </row>
    <row r="3055" spans="1:17" x14ac:dyDescent="0.2">
      <c r="A3055" s="1">
        <v>4852</v>
      </c>
      <c r="B3055" s="2">
        <v>38437</v>
      </c>
      <c r="C3055" s="7">
        <f>_xlfn.FLOOR.MATH(Table1[[#This Row],[year]],10)</f>
        <v>2000</v>
      </c>
      <c r="D3055" t="s">
        <v>52</v>
      </c>
      <c r="E3055" t="s">
        <v>66</v>
      </c>
      <c r="F3055">
        <v>4</v>
      </c>
      <c r="G3055">
        <v>0</v>
      </c>
      <c r="H3055" t="s">
        <v>224</v>
      </c>
      <c r="I3055" t="s">
        <v>538</v>
      </c>
      <c r="J3055" t="s">
        <v>52</v>
      </c>
      <c r="K3055" t="b">
        <v>0</v>
      </c>
      <c r="L3055">
        <v>2005</v>
      </c>
      <c r="M3055">
        <v>45013119281</v>
      </c>
      <c r="N3055">
        <v>17146410560</v>
      </c>
      <c r="O3055" t="b">
        <v>1</v>
      </c>
      <c r="P3055">
        <v>1</v>
      </c>
      <c r="Q3055" t="str" cm="1">
        <f t="array" ref="Q3055">_xlfn.IFS(Table1[[#This Row],[Wealthier_Winner]]=-1,"Wealthier Nation Loses",Table1[[#This Row],[Wealthier_Winner]]=0,"Tie",Table1[[#This Row],[Wealthier_Winner]]=1,"Wealthier Nation Wins")</f>
        <v>Wealthier Nation Wins</v>
      </c>
    </row>
    <row r="3056" spans="1:17" x14ac:dyDescent="0.2">
      <c r="A3056" s="1">
        <v>4854</v>
      </c>
      <c r="B3056" s="2">
        <v>38437</v>
      </c>
      <c r="C3056" s="7">
        <f>_xlfn.FLOOR.MATH(Table1[[#This Row],[year]],10)</f>
        <v>2000</v>
      </c>
      <c r="D3056" t="s">
        <v>36</v>
      </c>
      <c r="E3056" t="s">
        <v>558</v>
      </c>
      <c r="F3056">
        <v>3</v>
      </c>
      <c r="G3056">
        <v>0</v>
      </c>
      <c r="H3056" t="s">
        <v>224</v>
      </c>
      <c r="I3056" t="s">
        <v>264</v>
      </c>
      <c r="J3056" t="s">
        <v>36</v>
      </c>
      <c r="K3056" t="b">
        <v>0</v>
      </c>
      <c r="L3056">
        <v>2005</v>
      </c>
      <c r="M3056">
        <v>265150087711</v>
      </c>
      <c r="N3056">
        <v>57123671733</v>
      </c>
      <c r="O3056" t="b">
        <v>1</v>
      </c>
      <c r="P3056">
        <v>1</v>
      </c>
      <c r="Q3056" t="str" cm="1">
        <f t="array" ref="Q3056">_xlfn.IFS(Table1[[#This Row],[Wealthier_Winner]]=-1,"Wealthier Nation Loses",Table1[[#This Row],[Wealthier_Winner]]=0,"Tie",Table1[[#This Row],[Wealthier_Winner]]=1,"Wealthier Nation Wins")</f>
        <v>Wealthier Nation Wins</v>
      </c>
    </row>
    <row r="3057" spans="1:17" x14ac:dyDescent="0.2">
      <c r="A3057" s="1">
        <v>4857</v>
      </c>
      <c r="B3057" s="2">
        <v>38437</v>
      </c>
      <c r="C3057" s="7">
        <f>_xlfn.FLOOR.MATH(Table1[[#This Row],[year]],10)</f>
        <v>2000</v>
      </c>
      <c r="D3057" t="s">
        <v>20</v>
      </c>
      <c r="E3057" t="s">
        <v>46</v>
      </c>
      <c r="F3057">
        <v>0</v>
      </c>
      <c r="G3057">
        <v>0</v>
      </c>
      <c r="H3057" t="s">
        <v>224</v>
      </c>
      <c r="I3057" t="s">
        <v>132</v>
      </c>
      <c r="J3057" t="s">
        <v>20</v>
      </c>
      <c r="K3057" t="b">
        <v>0</v>
      </c>
      <c r="L3057">
        <v>2005</v>
      </c>
      <c r="M3057">
        <v>2192146403028</v>
      </c>
      <c r="N3057">
        <v>418284865884</v>
      </c>
      <c r="O3057" t="b">
        <v>1</v>
      </c>
      <c r="P3057">
        <v>0</v>
      </c>
      <c r="Q3057" t="str" cm="1">
        <f t="array" ref="Q3057">_xlfn.IFS(Table1[[#This Row],[Wealthier_Winner]]=-1,"Wealthier Nation Loses",Table1[[#This Row],[Wealthier_Winner]]=0,"Tie",Table1[[#This Row],[Wealthier_Winner]]=1,"Wealthier Nation Wins")</f>
        <v>Tie</v>
      </c>
    </row>
    <row r="3058" spans="1:17" x14ac:dyDescent="0.2">
      <c r="A3058" s="1">
        <v>4858</v>
      </c>
      <c r="B3058" s="2">
        <v>38437</v>
      </c>
      <c r="C3058" s="7">
        <f>_xlfn.FLOOR.MATH(Table1[[#This Row],[year]],10)</f>
        <v>2000</v>
      </c>
      <c r="D3058" t="s">
        <v>534</v>
      </c>
      <c r="E3058" t="s">
        <v>48</v>
      </c>
      <c r="F3058">
        <v>1</v>
      </c>
      <c r="G3058">
        <v>3</v>
      </c>
      <c r="H3058" t="s">
        <v>224</v>
      </c>
      <c r="I3058" t="s">
        <v>536</v>
      </c>
      <c r="J3058" t="s">
        <v>534</v>
      </c>
      <c r="K3058" t="b">
        <v>0</v>
      </c>
      <c r="L3058">
        <v>2005</v>
      </c>
      <c r="M3058">
        <v>6410912049</v>
      </c>
      <c r="N3058">
        <v>242315668619</v>
      </c>
      <c r="O3058" t="b">
        <v>1</v>
      </c>
      <c r="P3058">
        <v>1</v>
      </c>
      <c r="Q3058" t="str" cm="1">
        <f t="array" ref="Q3058">_xlfn.IFS(Table1[[#This Row],[Wealthier_Winner]]=-1,"Wealthier Nation Loses",Table1[[#This Row],[Wealthier_Winner]]=0,"Tie",Table1[[#This Row],[Wealthier_Winner]]=1,"Wealthier Nation Wins")</f>
        <v>Wealthier Nation Wins</v>
      </c>
    </row>
    <row r="3059" spans="1:17" x14ac:dyDescent="0.2">
      <c r="A3059" s="1">
        <v>4859</v>
      </c>
      <c r="B3059" s="2">
        <v>38437</v>
      </c>
      <c r="C3059" s="7">
        <f>_xlfn.FLOOR.MATH(Table1[[#This Row],[year]],10)</f>
        <v>2000</v>
      </c>
      <c r="D3059" t="s">
        <v>223</v>
      </c>
      <c r="E3059" t="s">
        <v>59</v>
      </c>
      <c r="F3059">
        <v>5</v>
      </c>
      <c r="G3059">
        <v>1</v>
      </c>
      <c r="H3059" t="s">
        <v>224</v>
      </c>
      <c r="I3059" t="s">
        <v>227</v>
      </c>
      <c r="J3059" t="s">
        <v>223</v>
      </c>
      <c r="K3059" t="b">
        <v>0</v>
      </c>
      <c r="L3059">
        <v>2005</v>
      </c>
      <c r="M3059">
        <v>26783389293</v>
      </c>
      <c r="N3059">
        <v>15982389018</v>
      </c>
      <c r="O3059" t="b">
        <v>0</v>
      </c>
      <c r="P3059">
        <v>1</v>
      </c>
      <c r="Q3059" t="str" cm="1">
        <f t="array" ref="Q3059">_xlfn.IFS(Table1[[#This Row],[Wealthier_Winner]]=-1,"Wealthier Nation Loses",Table1[[#This Row],[Wealthier_Winner]]=0,"Tie",Table1[[#This Row],[Wealthier_Winner]]=1,"Wealthier Nation Wins")</f>
        <v>Wealthier Nation Wins</v>
      </c>
    </row>
    <row r="3060" spans="1:17" x14ac:dyDescent="0.2">
      <c r="A3060" s="1">
        <v>4862</v>
      </c>
      <c r="B3060" s="2">
        <v>38437</v>
      </c>
      <c r="C3060" s="7">
        <f>_xlfn.FLOOR.MATH(Table1[[#This Row],[year]],10)</f>
        <v>2000</v>
      </c>
      <c r="D3060" t="s">
        <v>314</v>
      </c>
      <c r="E3060" t="s">
        <v>469</v>
      </c>
      <c r="F3060">
        <v>1</v>
      </c>
      <c r="G3060">
        <v>0</v>
      </c>
      <c r="H3060" t="s">
        <v>224</v>
      </c>
      <c r="I3060" t="s">
        <v>315</v>
      </c>
      <c r="J3060" t="s">
        <v>314</v>
      </c>
      <c r="K3060" t="b">
        <v>0</v>
      </c>
      <c r="L3060">
        <v>2005</v>
      </c>
      <c r="M3060">
        <v>18737895512</v>
      </c>
      <c r="N3060">
        <v>9918907108</v>
      </c>
      <c r="O3060" t="b">
        <v>0</v>
      </c>
      <c r="P3060">
        <v>1</v>
      </c>
      <c r="Q3060" t="str" cm="1">
        <f t="array" ref="Q3060">_xlfn.IFS(Table1[[#This Row],[Wealthier_Winner]]=-1,"Wealthier Nation Loses",Table1[[#This Row],[Wealthier_Winner]]=0,"Tie",Table1[[#This Row],[Wealthier_Winner]]=1,"Wealthier Nation Wins")</f>
        <v>Wealthier Nation Wins</v>
      </c>
    </row>
    <row r="3061" spans="1:17" x14ac:dyDescent="0.2">
      <c r="A3061" s="1">
        <v>4863</v>
      </c>
      <c r="B3061" s="2">
        <v>38437</v>
      </c>
      <c r="C3061" s="7">
        <f>_xlfn.FLOOR.MATH(Table1[[#This Row],[year]],10)</f>
        <v>2000</v>
      </c>
      <c r="D3061" t="s">
        <v>503</v>
      </c>
      <c r="E3061" t="s">
        <v>196</v>
      </c>
      <c r="F3061">
        <v>1</v>
      </c>
      <c r="G3061">
        <v>2</v>
      </c>
      <c r="H3061" t="s">
        <v>224</v>
      </c>
      <c r="I3061" t="s">
        <v>603</v>
      </c>
      <c r="J3061" t="s">
        <v>503</v>
      </c>
      <c r="K3061" t="b">
        <v>0</v>
      </c>
      <c r="L3061">
        <v>2005</v>
      </c>
      <c r="M3061">
        <v>3659319116</v>
      </c>
      <c r="N3061">
        <v>764015973481</v>
      </c>
      <c r="O3061" t="b">
        <v>1</v>
      </c>
      <c r="P3061">
        <v>1</v>
      </c>
      <c r="Q3061" t="str" cm="1">
        <f t="array" ref="Q3061">_xlfn.IFS(Table1[[#This Row],[Wealthier_Winner]]=-1,"Wealthier Nation Loses",Table1[[#This Row],[Wealthier_Winner]]=0,"Tie",Table1[[#This Row],[Wealthier_Winner]]=1,"Wealthier Nation Wins")</f>
        <v>Wealthier Nation Wins</v>
      </c>
    </row>
    <row r="3062" spans="1:17" x14ac:dyDescent="0.2">
      <c r="A3062" s="1">
        <v>4864</v>
      </c>
      <c r="B3062" s="2">
        <v>38437</v>
      </c>
      <c r="C3062" s="7">
        <f>_xlfn.FLOOR.MATH(Table1[[#This Row],[year]],10)</f>
        <v>2000</v>
      </c>
      <c r="D3062" t="s">
        <v>24</v>
      </c>
      <c r="E3062" t="s">
        <v>305</v>
      </c>
      <c r="F3062">
        <v>1</v>
      </c>
      <c r="G3062">
        <v>0</v>
      </c>
      <c r="H3062" t="s">
        <v>224</v>
      </c>
      <c r="I3062" t="s">
        <v>319</v>
      </c>
      <c r="J3062" t="s">
        <v>24</v>
      </c>
      <c r="K3062" t="b">
        <v>0</v>
      </c>
      <c r="L3062">
        <v>2005</v>
      </c>
      <c r="M3062">
        <v>68852658068</v>
      </c>
      <c r="N3062">
        <v>4282468636</v>
      </c>
      <c r="O3062" t="b">
        <v>1</v>
      </c>
      <c r="P3062">
        <v>1</v>
      </c>
      <c r="Q3062" t="str" cm="1">
        <f t="array" ref="Q3062">_xlfn.IFS(Table1[[#This Row],[Wealthier_Winner]]=-1,"Wealthier Nation Loses",Table1[[#This Row],[Wealthier_Winner]]=0,"Tie",Table1[[#This Row],[Wealthier_Winner]]=1,"Wealthier Nation Wins")</f>
        <v>Wealthier Nation Wins</v>
      </c>
    </row>
    <row r="3063" spans="1:17" x14ac:dyDescent="0.2">
      <c r="A3063" s="1">
        <v>4865</v>
      </c>
      <c r="B3063" s="2">
        <v>38437</v>
      </c>
      <c r="C3063" s="7">
        <f>_xlfn.FLOOR.MATH(Table1[[#This Row],[year]],10)</f>
        <v>2000</v>
      </c>
      <c r="D3063" t="s">
        <v>43</v>
      </c>
      <c r="E3063" t="s">
        <v>433</v>
      </c>
      <c r="F3063">
        <v>2</v>
      </c>
      <c r="G3063">
        <v>0</v>
      </c>
      <c r="H3063" t="s">
        <v>224</v>
      </c>
      <c r="I3063" t="s">
        <v>610</v>
      </c>
      <c r="J3063" t="s">
        <v>43</v>
      </c>
      <c r="K3063" t="b">
        <v>0</v>
      </c>
      <c r="L3063">
        <v>2005</v>
      </c>
      <c r="M3063">
        <v>175670569969</v>
      </c>
      <c r="N3063">
        <v>9582783990</v>
      </c>
      <c r="O3063" t="b">
        <v>1</v>
      </c>
      <c r="P3063">
        <v>1</v>
      </c>
      <c r="Q3063" t="str" cm="1">
        <f t="array" ref="Q3063">_xlfn.IFS(Table1[[#This Row],[Wealthier_Winner]]=-1,"Wealthier Nation Loses",Table1[[#This Row],[Wealthier_Winner]]=0,"Tie",Table1[[#This Row],[Wealthier_Winner]]=1,"Wealthier Nation Wins")</f>
        <v>Wealthier Nation Wins</v>
      </c>
    </row>
    <row r="3064" spans="1:17" x14ac:dyDescent="0.2">
      <c r="A3064" s="1">
        <v>4866</v>
      </c>
      <c r="B3064" s="2">
        <v>38437</v>
      </c>
      <c r="C3064" s="7">
        <f>_xlfn.FLOOR.MATH(Table1[[#This Row],[year]],10)</f>
        <v>2000</v>
      </c>
      <c r="D3064" t="s">
        <v>58</v>
      </c>
      <c r="E3064" t="s">
        <v>513</v>
      </c>
      <c r="F3064">
        <v>8</v>
      </c>
      <c r="G3064">
        <v>0</v>
      </c>
      <c r="H3064" t="s">
        <v>224</v>
      </c>
      <c r="I3064" t="s">
        <v>619</v>
      </c>
      <c r="J3064" t="s">
        <v>58</v>
      </c>
      <c r="K3064" t="b">
        <v>0</v>
      </c>
      <c r="L3064">
        <v>2005</v>
      </c>
      <c r="M3064">
        <v>306999913150</v>
      </c>
      <c r="N3064">
        <v>13245421880</v>
      </c>
      <c r="O3064" t="b">
        <v>1</v>
      </c>
      <c r="P3064">
        <v>1</v>
      </c>
      <c r="Q3064" t="str" cm="1">
        <f t="array" ref="Q3064">_xlfn.IFS(Table1[[#This Row],[Wealthier_Winner]]=-1,"Wealthier Nation Loses",Table1[[#This Row],[Wealthier_Winner]]=0,"Tie",Table1[[#This Row],[Wealthier_Winner]]=1,"Wealthier Nation Wins")</f>
        <v>Wealthier Nation Wins</v>
      </c>
    </row>
    <row r="3065" spans="1:17" x14ac:dyDescent="0.2">
      <c r="A3065" s="1">
        <v>4867</v>
      </c>
      <c r="B3065" s="2">
        <v>38437</v>
      </c>
      <c r="C3065" s="7">
        <f>_xlfn.FLOOR.MATH(Table1[[#This Row],[year]],10)</f>
        <v>2000</v>
      </c>
      <c r="D3065" t="s">
        <v>44</v>
      </c>
      <c r="E3065" t="s">
        <v>27</v>
      </c>
      <c r="F3065">
        <v>0</v>
      </c>
      <c r="G3065">
        <v>2</v>
      </c>
      <c r="H3065" t="s">
        <v>224</v>
      </c>
      <c r="I3065" t="s">
        <v>425</v>
      </c>
      <c r="J3065" t="s">
        <v>44</v>
      </c>
      <c r="K3065" t="b">
        <v>0</v>
      </c>
      <c r="L3065">
        <v>2005</v>
      </c>
      <c r="M3065">
        <v>98454380120</v>
      </c>
      <c r="N3065">
        <v>688133699635</v>
      </c>
      <c r="O3065" t="b">
        <v>1</v>
      </c>
      <c r="P3065">
        <v>1</v>
      </c>
      <c r="Q3065" t="str" cm="1">
        <f t="array" ref="Q3065">_xlfn.IFS(Table1[[#This Row],[Wealthier_Winner]]=-1,"Wealthier Nation Loses",Table1[[#This Row],[Wealthier_Winner]]=0,"Tie",Table1[[#This Row],[Wealthier_Winner]]=1,"Wealthier Nation Wins")</f>
        <v>Wealthier Nation Wins</v>
      </c>
    </row>
    <row r="3066" spans="1:17" x14ac:dyDescent="0.2">
      <c r="A3066" s="1">
        <v>4868</v>
      </c>
      <c r="B3066" s="2">
        <v>38437</v>
      </c>
      <c r="C3066" s="7">
        <f>_xlfn.FLOOR.MATH(Table1[[#This Row],[year]],10)</f>
        <v>2000</v>
      </c>
      <c r="D3066" t="s">
        <v>54</v>
      </c>
      <c r="E3066" t="s">
        <v>378</v>
      </c>
      <c r="F3066">
        <v>6</v>
      </c>
      <c r="G3066">
        <v>1</v>
      </c>
      <c r="H3066" t="s">
        <v>224</v>
      </c>
      <c r="I3066" t="s">
        <v>285</v>
      </c>
      <c r="J3066" t="s">
        <v>54</v>
      </c>
      <c r="K3066" t="b">
        <v>0</v>
      </c>
      <c r="L3066">
        <v>2005</v>
      </c>
      <c r="M3066">
        <v>11009033437</v>
      </c>
      <c r="N3066">
        <v>949000000</v>
      </c>
      <c r="O3066" t="b">
        <v>1</v>
      </c>
      <c r="P3066">
        <v>1</v>
      </c>
      <c r="Q3066" t="str" cm="1">
        <f t="array" ref="Q3066">_xlfn.IFS(Table1[[#This Row],[Wealthier_Winner]]=-1,"Wealthier Nation Loses",Table1[[#This Row],[Wealthier_Winner]]=0,"Tie",Table1[[#This Row],[Wealthier_Winner]]=1,"Wealthier Nation Wins")</f>
        <v>Wealthier Nation Wins</v>
      </c>
    </row>
    <row r="3067" spans="1:17" x14ac:dyDescent="0.2">
      <c r="A3067" s="1">
        <v>4869</v>
      </c>
      <c r="B3067" s="2">
        <v>38437</v>
      </c>
      <c r="C3067" s="7">
        <f>_xlfn.FLOOR.MATH(Table1[[#This Row],[year]],10)</f>
        <v>2000</v>
      </c>
      <c r="D3067" t="s">
        <v>50</v>
      </c>
      <c r="E3067" t="s">
        <v>357</v>
      </c>
      <c r="F3067">
        <v>2</v>
      </c>
      <c r="G3067">
        <v>1</v>
      </c>
      <c r="H3067" t="s">
        <v>224</v>
      </c>
      <c r="I3067" t="s">
        <v>160</v>
      </c>
      <c r="J3067" t="s">
        <v>50</v>
      </c>
      <c r="K3067" t="b">
        <v>0</v>
      </c>
      <c r="L3067">
        <v>2005</v>
      </c>
      <c r="M3067">
        <v>288867217196</v>
      </c>
      <c r="N3067">
        <v>9239221763</v>
      </c>
      <c r="O3067" t="b">
        <v>1</v>
      </c>
      <c r="P3067">
        <v>1</v>
      </c>
      <c r="Q3067" t="str" cm="1">
        <f t="array" ref="Q3067">_xlfn.IFS(Table1[[#This Row],[Wealthier_Winner]]=-1,"Wealthier Nation Loses",Table1[[#This Row],[Wealthier_Winner]]=0,"Tie",Table1[[#This Row],[Wealthier_Winner]]=1,"Wealthier Nation Wins")</f>
        <v>Wealthier Nation Wins</v>
      </c>
    </row>
    <row r="3068" spans="1:17" x14ac:dyDescent="0.2">
      <c r="A3068" s="1">
        <v>4870</v>
      </c>
      <c r="B3068" s="2">
        <v>38437</v>
      </c>
      <c r="C3068" s="7">
        <f>_xlfn.FLOOR.MATH(Table1[[#This Row],[year]],10)</f>
        <v>2000</v>
      </c>
      <c r="D3068" t="s">
        <v>53</v>
      </c>
      <c r="E3068" t="s">
        <v>370</v>
      </c>
      <c r="F3068">
        <v>7</v>
      </c>
      <c r="G3068">
        <v>0</v>
      </c>
      <c r="H3068" t="s">
        <v>224</v>
      </c>
      <c r="I3068" t="s">
        <v>658</v>
      </c>
      <c r="J3068" t="s">
        <v>53</v>
      </c>
      <c r="K3068" t="b">
        <v>0</v>
      </c>
      <c r="L3068">
        <v>2005</v>
      </c>
      <c r="M3068">
        <v>32272186694</v>
      </c>
      <c r="N3068">
        <v>5320409651</v>
      </c>
      <c r="O3068" t="b">
        <v>1</v>
      </c>
      <c r="P3068">
        <v>1</v>
      </c>
      <c r="Q3068" t="str" cm="1">
        <f t="array" ref="Q3068">_xlfn.IFS(Table1[[#This Row],[Wealthier_Winner]]=-1,"Wealthier Nation Loses",Table1[[#This Row],[Wealthier_Winner]]=0,"Tie",Table1[[#This Row],[Wealthier_Winner]]=1,"Wealthier Nation Wins")</f>
        <v>Wealthier Nation Wins</v>
      </c>
    </row>
    <row r="3069" spans="1:17" x14ac:dyDescent="0.2">
      <c r="A3069" s="1">
        <v>4872</v>
      </c>
      <c r="B3069" s="2">
        <v>38437</v>
      </c>
      <c r="C3069" s="7">
        <f>_xlfn.FLOOR.MATH(Table1[[#This Row],[year]],10)</f>
        <v>2000</v>
      </c>
      <c r="D3069" t="s">
        <v>258</v>
      </c>
      <c r="E3069" t="s">
        <v>15</v>
      </c>
      <c r="F3069">
        <v>0</v>
      </c>
      <c r="G3069">
        <v>0</v>
      </c>
      <c r="H3069" t="s">
        <v>224</v>
      </c>
      <c r="I3069" t="s">
        <v>572</v>
      </c>
      <c r="J3069" t="s">
        <v>258</v>
      </c>
      <c r="K3069" t="b">
        <v>0</v>
      </c>
      <c r="L3069">
        <v>2005</v>
      </c>
      <c r="M3069">
        <v>145513489651</v>
      </c>
      <c r="N3069">
        <v>145600529605</v>
      </c>
      <c r="O3069" t="b">
        <v>0</v>
      </c>
      <c r="P3069">
        <v>0</v>
      </c>
      <c r="Q3069" t="str" cm="1">
        <f t="array" ref="Q3069">_xlfn.IFS(Table1[[#This Row],[Wealthier_Winner]]=-1,"Wealthier Nation Loses",Table1[[#This Row],[Wealthier_Winner]]=0,"Tie",Table1[[#This Row],[Wealthier_Winner]]=1,"Wealthier Nation Wins")</f>
        <v>Tie</v>
      </c>
    </row>
    <row r="3070" spans="1:17" x14ac:dyDescent="0.2">
      <c r="A3070" s="1">
        <v>4875</v>
      </c>
      <c r="B3070" s="2">
        <v>38438</v>
      </c>
      <c r="C3070" s="7">
        <f>_xlfn.FLOOR.MATH(Table1[[#This Row],[year]],10)</f>
        <v>2000</v>
      </c>
      <c r="D3070" t="s">
        <v>32</v>
      </c>
      <c r="E3070" t="s">
        <v>514</v>
      </c>
      <c r="F3070">
        <v>1</v>
      </c>
      <c r="G3070">
        <v>0</v>
      </c>
      <c r="H3070" t="s">
        <v>224</v>
      </c>
      <c r="I3070" t="s">
        <v>369</v>
      </c>
      <c r="J3070" t="s">
        <v>32</v>
      </c>
      <c r="K3070" t="b">
        <v>0</v>
      </c>
      <c r="L3070">
        <v>2005</v>
      </c>
      <c r="M3070">
        <v>107046618669</v>
      </c>
      <c r="N3070">
        <v>2933819766</v>
      </c>
      <c r="O3070" t="b">
        <v>1</v>
      </c>
      <c r="P3070">
        <v>1</v>
      </c>
      <c r="Q3070" t="str" cm="1">
        <f t="array" ref="Q3070">_xlfn.IFS(Table1[[#This Row],[Wealthier_Winner]]=-1,"Wealthier Nation Loses",Table1[[#This Row],[Wealthier_Winner]]=0,"Tie",Table1[[#This Row],[Wealthier_Winner]]=1,"Wealthier Nation Wins")</f>
        <v>Wealthier Nation Wins</v>
      </c>
    </row>
    <row r="3071" spans="1:17" x14ac:dyDescent="0.2">
      <c r="A3071" s="1">
        <v>4876</v>
      </c>
      <c r="B3071" s="2">
        <v>38438</v>
      </c>
      <c r="C3071" s="7">
        <f>_xlfn.FLOOR.MATH(Table1[[#This Row],[year]],10)</f>
        <v>2000</v>
      </c>
      <c r="D3071" t="s">
        <v>13</v>
      </c>
      <c r="E3071" t="s">
        <v>31</v>
      </c>
      <c r="F3071">
        <v>1</v>
      </c>
      <c r="G3071">
        <v>0</v>
      </c>
      <c r="H3071" t="s">
        <v>224</v>
      </c>
      <c r="I3071" t="s">
        <v>383</v>
      </c>
      <c r="J3071" t="s">
        <v>13</v>
      </c>
      <c r="K3071" t="b">
        <v>0</v>
      </c>
      <c r="L3071">
        <v>2005</v>
      </c>
      <c r="M3071">
        <v>891633826625</v>
      </c>
      <c r="N3071">
        <v>76060606060</v>
      </c>
      <c r="O3071" t="b">
        <v>1</v>
      </c>
      <c r="P3071">
        <v>1</v>
      </c>
      <c r="Q3071" t="str" cm="1">
        <f t="array" ref="Q3071">_xlfn.IFS(Table1[[#This Row],[Wealthier_Winner]]=-1,"Wealthier Nation Loses",Table1[[#This Row],[Wealthier_Winner]]=0,"Tie",Table1[[#This Row],[Wealthier_Winner]]=1,"Wealthier Nation Wins")</f>
        <v>Wealthier Nation Wins</v>
      </c>
    </row>
    <row r="3072" spans="1:17" x14ac:dyDescent="0.2">
      <c r="A3072" s="1">
        <v>4877</v>
      </c>
      <c r="B3072" s="2">
        <v>38438</v>
      </c>
      <c r="C3072" s="7">
        <f>_xlfn.FLOOR.MATH(Table1[[#This Row],[year]],10)</f>
        <v>2000</v>
      </c>
      <c r="D3072" t="s">
        <v>40</v>
      </c>
      <c r="E3072" t="s">
        <v>274</v>
      </c>
      <c r="F3072">
        <v>2</v>
      </c>
      <c r="G3072">
        <v>1</v>
      </c>
      <c r="H3072" t="s">
        <v>224</v>
      </c>
      <c r="I3072" t="s">
        <v>371</v>
      </c>
      <c r="J3072" t="s">
        <v>40</v>
      </c>
      <c r="K3072" t="b">
        <v>0</v>
      </c>
      <c r="L3072">
        <v>2005</v>
      </c>
      <c r="M3072">
        <v>19509852206</v>
      </c>
      <c r="N3072">
        <v>35182711987</v>
      </c>
      <c r="O3072" t="b">
        <v>0</v>
      </c>
      <c r="P3072">
        <v>-1</v>
      </c>
      <c r="Q3072" t="str" cm="1">
        <f t="array" ref="Q3072">_xlfn.IFS(Table1[[#This Row],[Wealthier_Winner]]=-1,"Wealthier Nation Loses",Table1[[#This Row],[Wealthier_Winner]]=0,"Tie",Table1[[#This Row],[Wealthier_Winner]]=1,"Wealthier Nation Wins")</f>
        <v>Wealthier Nation Loses</v>
      </c>
    </row>
    <row r="3073" spans="1:17" x14ac:dyDescent="0.2">
      <c r="A3073" s="1">
        <v>4879</v>
      </c>
      <c r="B3073" s="2">
        <v>38438</v>
      </c>
      <c r="C3073" s="7">
        <f>_xlfn.FLOOR.MATH(Table1[[#This Row],[year]],10)</f>
        <v>2000</v>
      </c>
      <c r="D3073" t="s">
        <v>57</v>
      </c>
      <c r="E3073" t="s">
        <v>35</v>
      </c>
      <c r="F3073">
        <v>5</v>
      </c>
      <c r="G3073">
        <v>2</v>
      </c>
      <c r="H3073" t="s">
        <v>224</v>
      </c>
      <c r="I3073" t="s">
        <v>335</v>
      </c>
      <c r="J3073" t="s">
        <v>57</v>
      </c>
      <c r="K3073" t="b">
        <v>0</v>
      </c>
      <c r="L3073">
        <v>2005</v>
      </c>
      <c r="M3073">
        <v>40278849000</v>
      </c>
      <c r="N3073">
        <v>10737500188</v>
      </c>
      <c r="O3073" t="b">
        <v>1</v>
      </c>
      <c r="P3073">
        <v>1</v>
      </c>
      <c r="Q3073" t="str" cm="1">
        <f t="array" ref="Q3073">_xlfn.IFS(Table1[[#This Row],[Wealthier_Winner]]=-1,"Wealthier Nation Loses",Table1[[#This Row],[Wealthier_Winner]]=0,"Tie",Table1[[#This Row],[Wealthier_Winner]]=1,"Wealthier Nation Wins")</f>
        <v>Wealthier Nation Wins</v>
      </c>
    </row>
    <row r="3074" spans="1:17" x14ac:dyDescent="0.2">
      <c r="A3074" s="1">
        <v>4880</v>
      </c>
      <c r="B3074" s="2">
        <v>38438</v>
      </c>
      <c r="C3074" s="7">
        <f>_xlfn.FLOOR.MATH(Table1[[#This Row],[year]],10)</f>
        <v>2000</v>
      </c>
      <c r="D3074" t="s">
        <v>212</v>
      </c>
      <c r="E3074" t="s">
        <v>286</v>
      </c>
      <c r="F3074">
        <v>4</v>
      </c>
      <c r="G3074">
        <v>1</v>
      </c>
      <c r="H3074" t="s">
        <v>224</v>
      </c>
      <c r="I3074" t="s">
        <v>322</v>
      </c>
      <c r="J3074" t="s">
        <v>212</v>
      </c>
      <c r="K3074" t="b">
        <v>0</v>
      </c>
      <c r="L3074">
        <v>2005</v>
      </c>
      <c r="M3074">
        <v>89660339660</v>
      </c>
      <c r="N3074">
        <v>47334691241</v>
      </c>
      <c r="O3074" t="b">
        <v>0</v>
      </c>
      <c r="P3074">
        <v>1</v>
      </c>
      <c r="Q3074" t="str" cm="1">
        <f t="array" ref="Q3074">_xlfn.IFS(Table1[[#This Row],[Wealthier_Winner]]=-1,"Wealthier Nation Loses",Table1[[#This Row],[Wealthier_Winner]]=0,"Tie",Table1[[#This Row],[Wealthier_Winner]]=1,"Wealthier Nation Wins")</f>
        <v>Wealthier Nation Wins</v>
      </c>
    </row>
    <row r="3075" spans="1:17" x14ac:dyDescent="0.2">
      <c r="A3075" s="1">
        <v>4882</v>
      </c>
      <c r="B3075" s="2">
        <v>38438</v>
      </c>
      <c r="C3075" s="7">
        <f>_xlfn.FLOOR.MATH(Table1[[#This Row],[year]],10)</f>
        <v>2000</v>
      </c>
      <c r="D3075" t="s">
        <v>590</v>
      </c>
      <c r="E3075" t="s">
        <v>62</v>
      </c>
      <c r="F3075">
        <v>1</v>
      </c>
      <c r="G3075">
        <v>2</v>
      </c>
      <c r="H3075" t="s">
        <v>224</v>
      </c>
      <c r="I3075" t="s">
        <v>596</v>
      </c>
      <c r="J3075" t="s">
        <v>590</v>
      </c>
      <c r="K3075" t="b">
        <v>0</v>
      </c>
      <c r="L3075">
        <v>2005</v>
      </c>
      <c r="M3075">
        <v>7429066951</v>
      </c>
      <c r="N3075">
        <v>3221910408</v>
      </c>
      <c r="O3075" t="b">
        <v>1</v>
      </c>
      <c r="P3075">
        <v>-1</v>
      </c>
      <c r="Q3075" t="str" cm="1">
        <f t="array" ref="Q3075">_xlfn.IFS(Table1[[#This Row],[Wealthier_Winner]]=-1,"Wealthier Nation Loses",Table1[[#This Row],[Wealthier_Winner]]=0,"Tie",Table1[[#This Row],[Wealthier_Winner]]=1,"Wealthier Nation Wins")</f>
        <v>Wealthier Nation Loses</v>
      </c>
    </row>
    <row r="3076" spans="1:17" x14ac:dyDescent="0.2">
      <c r="A3076" s="1">
        <v>4883</v>
      </c>
      <c r="B3076" s="2">
        <v>38438</v>
      </c>
      <c r="C3076" s="7">
        <f>_xlfn.FLOOR.MATH(Table1[[#This Row],[year]],10)</f>
        <v>2000</v>
      </c>
      <c r="D3076" t="s">
        <v>17</v>
      </c>
      <c r="E3076" t="s">
        <v>41</v>
      </c>
      <c r="F3076">
        <v>2</v>
      </c>
      <c r="G3076">
        <v>1</v>
      </c>
      <c r="H3076" t="s">
        <v>224</v>
      </c>
      <c r="I3076" t="s">
        <v>83</v>
      </c>
      <c r="J3076" t="s">
        <v>17</v>
      </c>
      <c r="K3076" t="b">
        <v>0</v>
      </c>
      <c r="L3076">
        <v>2005</v>
      </c>
      <c r="M3076">
        <v>917571853529</v>
      </c>
      <c r="N3076">
        <v>13039199193000</v>
      </c>
      <c r="O3076" t="b">
        <v>1</v>
      </c>
      <c r="P3076">
        <v>-1</v>
      </c>
      <c r="Q3076" t="str" cm="1">
        <f t="array" ref="Q3076">_xlfn.IFS(Table1[[#This Row],[Wealthier_Winner]]=-1,"Wealthier Nation Loses",Table1[[#This Row],[Wealthier_Winner]]=0,"Tie",Table1[[#This Row],[Wealthier_Winner]]=1,"Wealthier Nation Wins")</f>
        <v>Wealthier Nation Loses</v>
      </c>
    </row>
    <row r="3077" spans="1:17" x14ac:dyDescent="0.2">
      <c r="A3077" s="1">
        <v>4884</v>
      </c>
      <c r="B3077" s="2">
        <v>38438</v>
      </c>
      <c r="C3077" s="7">
        <f>_xlfn.FLOOR.MATH(Table1[[#This Row],[year]],10)</f>
        <v>2000</v>
      </c>
      <c r="D3077" t="s">
        <v>298</v>
      </c>
      <c r="E3077" t="s">
        <v>60</v>
      </c>
      <c r="F3077">
        <v>2</v>
      </c>
      <c r="G3077">
        <v>0</v>
      </c>
      <c r="H3077" t="s">
        <v>224</v>
      </c>
      <c r="I3077" t="s">
        <v>377</v>
      </c>
      <c r="J3077" t="s">
        <v>298</v>
      </c>
      <c r="K3077" t="b">
        <v>0</v>
      </c>
      <c r="L3077">
        <v>2005</v>
      </c>
      <c r="M3077">
        <v>5758250000</v>
      </c>
      <c r="N3077">
        <v>41396636383</v>
      </c>
      <c r="O3077" t="b">
        <v>1</v>
      </c>
      <c r="P3077">
        <v>-1</v>
      </c>
      <c r="Q3077" t="str" cm="1">
        <f t="array" ref="Q3077">_xlfn.IFS(Table1[[#This Row],[Wealthier_Winner]]=-1,"Wealthier Nation Loses",Table1[[#This Row],[Wealthier_Winner]]=0,"Tie",Table1[[#This Row],[Wealthier_Winner]]=1,"Wealthier Nation Wins")</f>
        <v>Wealthier Nation Loses</v>
      </c>
    </row>
    <row r="3078" spans="1:17" x14ac:dyDescent="0.2">
      <c r="A3078" s="1">
        <v>4885</v>
      </c>
      <c r="B3078" s="2">
        <v>38440</v>
      </c>
      <c r="C3078" s="7">
        <f>_xlfn.FLOOR.MATH(Table1[[#This Row],[year]],10)</f>
        <v>2000</v>
      </c>
      <c r="D3078" t="s">
        <v>47</v>
      </c>
      <c r="E3078" t="s">
        <v>258</v>
      </c>
      <c r="F3078">
        <v>3</v>
      </c>
      <c r="G3078">
        <v>1</v>
      </c>
      <c r="H3078" t="s">
        <v>224</v>
      </c>
      <c r="I3078" t="s">
        <v>246</v>
      </c>
      <c r="J3078" t="s">
        <v>47</v>
      </c>
      <c r="K3078" t="b">
        <v>0</v>
      </c>
      <c r="L3078">
        <v>2005</v>
      </c>
      <c r="M3078">
        <v>9549122905</v>
      </c>
      <c r="N3078">
        <v>145513489651</v>
      </c>
      <c r="O3078" t="b">
        <v>1</v>
      </c>
      <c r="P3078">
        <v>-1</v>
      </c>
      <c r="Q3078" t="str" cm="1">
        <f t="array" ref="Q3078">_xlfn.IFS(Table1[[#This Row],[Wealthier_Winner]]=-1,"Wealthier Nation Loses",Table1[[#This Row],[Wealthier_Winner]]=0,"Tie",Table1[[#This Row],[Wealthier_Winner]]=1,"Wealthier Nation Wins")</f>
        <v>Wealthier Nation Loses</v>
      </c>
    </row>
    <row r="3079" spans="1:17" x14ac:dyDescent="0.2">
      <c r="A3079" s="1">
        <v>4887</v>
      </c>
      <c r="B3079" s="2">
        <v>38441</v>
      </c>
      <c r="C3079" s="7">
        <f>_xlfn.FLOOR.MATH(Table1[[#This Row],[year]],10)</f>
        <v>2000</v>
      </c>
      <c r="D3079" t="s">
        <v>19</v>
      </c>
      <c r="E3079" t="s">
        <v>15</v>
      </c>
      <c r="F3079">
        <v>1</v>
      </c>
      <c r="G3079">
        <v>0</v>
      </c>
      <c r="H3079" t="s">
        <v>224</v>
      </c>
      <c r="I3079" t="s">
        <v>93</v>
      </c>
      <c r="J3079" t="s">
        <v>19</v>
      </c>
      <c r="K3079" t="b">
        <v>0</v>
      </c>
      <c r="L3079">
        <v>2005</v>
      </c>
      <c r="M3079">
        <v>198737095012</v>
      </c>
      <c r="N3079">
        <v>145600529605</v>
      </c>
      <c r="O3079" t="b">
        <v>0</v>
      </c>
      <c r="P3079">
        <v>1</v>
      </c>
      <c r="Q3079" t="str" cm="1">
        <f t="array" ref="Q3079">_xlfn.IFS(Table1[[#This Row],[Wealthier_Winner]]=-1,"Wealthier Nation Loses",Table1[[#This Row],[Wealthier_Winner]]=0,"Tie",Table1[[#This Row],[Wealthier_Winner]]=1,"Wealthier Nation Wins")</f>
        <v>Wealthier Nation Wins</v>
      </c>
    </row>
    <row r="3080" spans="1:17" x14ac:dyDescent="0.2">
      <c r="A3080" s="1">
        <v>4889</v>
      </c>
      <c r="B3080" s="2">
        <v>38441</v>
      </c>
      <c r="C3080" s="7">
        <f>_xlfn.FLOOR.MATH(Table1[[#This Row],[year]],10)</f>
        <v>2000</v>
      </c>
      <c r="D3080" t="s">
        <v>73</v>
      </c>
      <c r="E3080" t="s">
        <v>523</v>
      </c>
      <c r="F3080">
        <v>1</v>
      </c>
      <c r="G3080">
        <v>1</v>
      </c>
      <c r="H3080" t="s">
        <v>224</v>
      </c>
      <c r="I3080" t="s">
        <v>550</v>
      </c>
      <c r="J3080" t="s">
        <v>73</v>
      </c>
      <c r="K3080" t="b">
        <v>0</v>
      </c>
      <c r="L3080">
        <v>2005</v>
      </c>
      <c r="M3080">
        <v>11222796336</v>
      </c>
      <c r="N3080">
        <v>26105207115</v>
      </c>
      <c r="O3080" t="b">
        <v>1</v>
      </c>
      <c r="P3080">
        <v>0</v>
      </c>
      <c r="Q3080" t="str" cm="1">
        <f t="array" ref="Q3080">_xlfn.IFS(Table1[[#This Row],[Wealthier_Winner]]=-1,"Wealthier Nation Loses",Table1[[#This Row],[Wealthier_Winner]]=0,"Tie",Table1[[#This Row],[Wealthier_Winner]]=1,"Wealthier Nation Wins")</f>
        <v>Tie</v>
      </c>
    </row>
    <row r="3081" spans="1:17" x14ac:dyDescent="0.2">
      <c r="A3081" s="1">
        <v>4890</v>
      </c>
      <c r="B3081" s="2">
        <v>38441</v>
      </c>
      <c r="C3081" s="7">
        <f>_xlfn.FLOOR.MATH(Table1[[#This Row],[year]],10)</f>
        <v>2000</v>
      </c>
      <c r="D3081" t="s">
        <v>52</v>
      </c>
      <c r="E3081" t="s">
        <v>303</v>
      </c>
      <c r="F3081">
        <v>3</v>
      </c>
      <c r="G3081">
        <v>0</v>
      </c>
      <c r="H3081" t="s">
        <v>224</v>
      </c>
      <c r="I3081" t="s">
        <v>538</v>
      </c>
      <c r="J3081" t="s">
        <v>52</v>
      </c>
      <c r="K3081" t="b">
        <v>0</v>
      </c>
      <c r="L3081">
        <v>2005</v>
      </c>
      <c r="M3081">
        <v>45013119281</v>
      </c>
      <c r="N3081">
        <v>6393234992</v>
      </c>
      <c r="O3081" t="b">
        <v>1</v>
      </c>
      <c r="P3081">
        <v>1</v>
      </c>
      <c r="Q3081" t="str" cm="1">
        <f t="array" ref="Q3081">_xlfn.IFS(Table1[[#This Row],[Wealthier_Winner]]=-1,"Wealthier Nation Loses",Table1[[#This Row],[Wealthier_Winner]]=0,"Tie",Table1[[#This Row],[Wealthier_Winner]]=1,"Wealthier Nation Wins")</f>
        <v>Wealthier Nation Wins</v>
      </c>
    </row>
    <row r="3082" spans="1:17" x14ac:dyDescent="0.2">
      <c r="A3082" s="1">
        <v>4891</v>
      </c>
      <c r="B3082" s="2">
        <v>38441</v>
      </c>
      <c r="C3082" s="7">
        <f>_xlfn.FLOOR.MATH(Table1[[#This Row],[year]],10)</f>
        <v>2000</v>
      </c>
      <c r="D3082" t="s">
        <v>194</v>
      </c>
      <c r="E3082" t="s">
        <v>513</v>
      </c>
      <c r="F3082">
        <v>2</v>
      </c>
      <c r="G3082">
        <v>0</v>
      </c>
      <c r="H3082" t="s">
        <v>224</v>
      </c>
      <c r="I3082" t="s">
        <v>459</v>
      </c>
      <c r="J3082" t="s">
        <v>194</v>
      </c>
      <c r="K3082" t="b">
        <v>0</v>
      </c>
      <c r="L3082">
        <v>2005</v>
      </c>
      <c r="M3082">
        <v>2551361818181</v>
      </c>
      <c r="N3082">
        <v>13245421880</v>
      </c>
      <c r="O3082" t="b">
        <v>1</v>
      </c>
      <c r="P3082">
        <v>1</v>
      </c>
      <c r="Q3082" t="str" cm="1">
        <f t="array" ref="Q3082">_xlfn.IFS(Table1[[#This Row],[Wealthier_Winner]]=-1,"Wealthier Nation Loses",Table1[[#This Row],[Wealthier_Winner]]=0,"Tie",Table1[[#This Row],[Wealthier_Winner]]=1,"Wealthier Nation Wins")</f>
        <v>Wealthier Nation Wins</v>
      </c>
    </row>
    <row r="3083" spans="1:17" x14ac:dyDescent="0.2">
      <c r="A3083" s="1">
        <v>4892</v>
      </c>
      <c r="B3083" s="2">
        <v>38441</v>
      </c>
      <c r="C3083" s="7">
        <f>_xlfn.FLOOR.MATH(Table1[[#This Row],[year]],10)</f>
        <v>2000</v>
      </c>
      <c r="D3083" t="s">
        <v>476</v>
      </c>
      <c r="E3083" t="s">
        <v>196</v>
      </c>
      <c r="F3083">
        <v>1</v>
      </c>
      <c r="G3083">
        <v>1</v>
      </c>
      <c r="H3083" t="s">
        <v>224</v>
      </c>
      <c r="I3083" t="s">
        <v>481</v>
      </c>
      <c r="J3083" t="s">
        <v>476</v>
      </c>
      <c r="K3083" t="b">
        <v>0</v>
      </c>
      <c r="L3083">
        <v>2005</v>
      </c>
      <c r="M3083">
        <v>14109491356</v>
      </c>
      <c r="N3083">
        <v>764015973481</v>
      </c>
      <c r="O3083" t="b">
        <v>1</v>
      </c>
      <c r="P3083">
        <v>0</v>
      </c>
      <c r="Q3083" t="str" cm="1">
        <f t="array" ref="Q3083">_xlfn.IFS(Table1[[#This Row],[Wealthier_Winner]]=-1,"Wealthier Nation Loses",Table1[[#This Row],[Wealthier_Winner]]=0,"Tie",Table1[[#This Row],[Wealthier_Winner]]=1,"Wealthier Nation Wins")</f>
        <v>Tie</v>
      </c>
    </row>
    <row r="3084" spans="1:17" x14ac:dyDescent="0.2">
      <c r="A3084" s="1">
        <v>4894</v>
      </c>
      <c r="B3084" s="2">
        <v>38441</v>
      </c>
      <c r="C3084" s="7">
        <f>_xlfn.FLOOR.MATH(Table1[[#This Row],[year]],10)</f>
        <v>2000</v>
      </c>
      <c r="D3084" t="s">
        <v>48</v>
      </c>
      <c r="E3084" t="s">
        <v>373</v>
      </c>
      <c r="F3084">
        <v>2</v>
      </c>
      <c r="G3084">
        <v>0</v>
      </c>
      <c r="H3084" t="s">
        <v>224</v>
      </c>
      <c r="I3084" t="s">
        <v>282</v>
      </c>
      <c r="J3084" t="s">
        <v>48</v>
      </c>
      <c r="K3084" t="b">
        <v>0</v>
      </c>
      <c r="L3084">
        <v>2005</v>
      </c>
      <c r="M3084">
        <v>242315668619</v>
      </c>
      <c r="N3084">
        <v>8256658249</v>
      </c>
      <c r="O3084" t="b">
        <v>1</v>
      </c>
      <c r="P3084">
        <v>1</v>
      </c>
      <c r="Q3084" t="str" cm="1">
        <f t="array" ref="Q3084">_xlfn.IFS(Table1[[#This Row],[Wealthier_Winner]]=-1,"Wealthier Nation Loses",Table1[[#This Row],[Wealthier_Winner]]=0,"Tie",Table1[[#This Row],[Wealthier_Winner]]=1,"Wealthier Nation Wins")</f>
        <v>Wealthier Nation Wins</v>
      </c>
    </row>
    <row r="3085" spans="1:17" x14ac:dyDescent="0.2">
      <c r="A3085" s="1">
        <v>4895</v>
      </c>
      <c r="B3085" s="2">
        <v>38441</v>
      </c>
      <c r="C3085" s="7">
        <f>_xlfn.FLOOR.MATH(Table1[[#This Row],[year]],10)</f>
        <v>2000</v>
      </c>
      <c r="D3085" t="s">
        <v>30</v>
      </c>
      <c r="E3085" t="s">
        <v>33</v>
      </c>
      <c r="F3085">
        <v>1</v>
      </c>
      <c r="G3085">
        <v>1</v>
      </c>
      <c r="H3085" t="s">
        <v>224</v>
      </c>
      <c r="I3085" t="s">
        <v>297</v>
      </c>
      <c r="J3085" t="s">
        <v>30</v>
      </c>
      <c r="K3085" t="b">
        <v>0</v>
      </c>
      <c r="L3085">
        <v>2005</v>
      </c>
      <c r="M3085">
        <v>113098237570</v>
      </c>
      <c r="N3085">
        <v>29868657858</v>
      </c>
      <c r="O3085" t="b">
        <v>1</v>
      </c>
      <c r="P3085">
        <v>0</v>
      </c>
      <c r="Q3085" t="str" cm="1">
        <f t="array" ref="Q3085">_xlfn.IFS(Table1[[#This Row],[Wealthier_Winner]]=-1,"Wealthier Nation Loses",Table1[[#This Row],[Wealthier_Winner]]=0,"Tie",Table1[[#This Row],[Wealthier_Winner]]=1,"Wealthier Nation Wins")</f>
        <v>Tie</v>
      </c>
    </row>
    <row r="3086" spans="1:17" x14ac:dyDescent="0.2">
      <c r="A3086" s="1">
        <v>4896</v>
      </c>
      <c r="B3086" s="2">
        <v>38441</v>
      </c>
      <c r="C3086" s="7">
        <f>_xlfn.FLOOR.MATH(Table1[[#This Row],[year]],10)</f>
        <v>2000</v>
      </c>
      <c r="D3086" t="s">
        <v>22</v>
      </c>
      <c r="E3086" t="s">
        <v>20</v>
      </c>
      <c r="F3086">
        <v>1</v>
      </c>
      <c r="G3086">
        <v>1</v>
      </c>
      <c r="H3086" t="s">
        <v>224</v>
      </c>
      <c r="I3086" t="s">
        <v>239</v>
      </c>
      <c r="J3086" t="s">
        <v>22</v>
      </c>
      <c r="K3086" t="b">
        <v>0</v>
      </c>
      <c r="L3086">
        <v>2005</v>
      </c>
      <c r="M3086">
        <v>147519922009</v>
      </c>
      <c r="N3086">
        <v>2192146403028</v>
      </c>
      <c r="O3086" t="b">
        <v>1</v>
      </c>
      <c r="P3086">
        <v>0</v>
      </c>
      <c r="Q3086" t="str" cm="1">
        <f t="array" ref="Q3086">_xlfn.IFS(Table1[[#This Row],[Wealthier_Winner]]=-1,"Wealthier Nation Loses",Table1[[#This Row],[Wealthier_Winner]]=0,"Tie",Table1[[#This Row],[Wealthier_Winner]]=1,"Wealthier Nation Wins")</f>
        <v>Tie</v>
      </c>
    </row>
    <row r="3087" spans="1:17" x14ac:dyDescent="0.2">
      <c r="A3087" s="1">
        <v>4897</v>
      </c>
      <c r="B3087" s="2">
        <v>38441</v>
      </c>
      <c r="C3087" s="7">
        <f>_xlfn.FLOOR.MATH(Table1[[#This Row],[year]],10)</f>
        <v>2000</v>
      </c>
      <c r="D3087" t="s">
        <v>51</v>
      </c>
      <c r="E3087" t="s">
        <v>361</v>
      </c>
      <c r="F3087">
        <v>1</v>
      </c>
      <c r="G3087">
        <v>0</v>
      </c>
      <c r="H3087" t="s">
        <v>224</v>
      </c>
      <c r="I3087" t="s">
        <v>143</v>
      </c>
      <c r="J3087" t="s">
        <v>51</v>
      </c>
      <c r="K3087" t="b">
        <v>0</v>
      </c>
      <c r="L3087">
        <v>2005</v>
      </c>
      <c r="M3087">
        <v>4831467035389</v>
      </c>
      <c r="N3087">
        <v>15968723404</v>
      </c>
      <c r="O3087" t="b">
        <v>1</v>
      </c>
      <c r="P3087">
        <v>1</v>
      </c>
      <c r="Q3087" t="str" cm="1">
        <f t="array" ref="Q3087">_xlfn.IFS(Table1[[#This Row],[Wealthier_Winner]]=-1,"Wealthier Nation Loses",Table1[[#This Row],[Wealthier_Winner]]=0,"Tie",Table1[[#This Row],[Wealthier_Winner]]=1,"Wealthier Nation Wins")</f>
        <v>Wealthier Nation Wins</v>
      </c>
    </row>
    <row r="3088" spans="1:17" x14ac:dyDescent="0.2">
      <c r="A3088" s="1">
        <v>4899</v>
      </c>
      <c r="B3088" s="2">
        <v>38441</v>
      </c>
      <c r="C3088" s="7">
        <f>_xlfn.FLOOR.MATH(Table1[[#This Row],[year]],10)</f>
        <v>2000</v>
      </c>
      <c r="D3088" t="s">
        <v>195</v>
      </c>
      <c r="E3088" t="s">
        <v>563</v>
      </c>
      <c r="F3088">
        <v>2</v>
      </c>
      <c r="G3088">
        <v>1</v>
      </c>
      <c r="H3088" t="s">
        <v>224</v>
      </c>
      <c r="I3088" t="s">
        <v>136</v>
      </c>
      <c r="J3088" t="s">
        <v>195</v>
      </c>
      <c r="K3088" t="b">
        <v>0</v>
      </c>
      <c r="L3088">
        <v>2005</v>
      </c>
      <c r="M3088">
        <v>971740329983</v>
      </c>
      <c r="N3088">
        <v>14307509838</v>
      </c>
      <c r="O3088" t="b">
        <v>1</v>
      </c>
      <c r="P3088">
        <v>1</v>
      </c>
      <c r="Q3088" t="str" cm="1">
        <f t="array" ref="Q3088">_xlfn.IFS(Table1[[#This Row],[Wealthier_Winner]]=-1,"Wealthier Nation Loses",Table1[[#This Row],[Wealthier_Winner]]=0,"Tie",Table1[[#This Row],[Wealthier_Winner]]=1,"Wealthier Nation Wins")</f>
        <v>Wealthier Nation Wins</v>
      </c>
    </row>
    <row r="3089" spans="1:17" x14ac:dyDescent="0.2">
      <c r="A3089" s="1">
        <v>4900</v>
      </c>
      <c r="B3089" s="2">
        <v>38441</v>
      </c>
      <c r="C3089" s="7">
        <f>_xlfn.FLOOR.MATH(Table1[[#This Row],[year]],10)</f>
        <v>2000</v>
      </c>
      <c r="D3089" t="s">
        <v>71</v>
      </c>
      <c r="E3089" t="s">
        <v>45</v>
      </c>
      <c r="F3089">
        <v>0</v>
      </c>
      <c r="G3089">
        <v>0</v>
      </c>
      <c r="H3089" t="s">
        <v>224</v>
      </c>
      <c r="I3089" t="s">
        <v>366</v>
      </c>
      <c r="J3089" t="s">
        <v>71</v>
      </c>
      <c r="K3089" t="b">
        <v>0</v>
      </c>
      <c r="L3089">
        <v>2005</v>
      </c>
      <c r="M3089">
        <v>80798630136</v>
      </c>
      <c r="N3089">
        <v>328459608764</v>
      </c>
      <c r="O3089" t="b">
        <v>1</v>
      </c>
      <c r="P3089">
        <v>0</v>
      </c>
      <c r="Q3089" t="str" cm="1">
        <f t="array" ref="Q3089">_xlfn.IFS(Table1[[#This Row],[Wealthier_Winner]]=-1,"Wealthier Nation Loses",Table1[[#This Row],[Wealthier_Winner]]=0,"Tie",Table1[[#This Row],[Wealthier_Winner]]=1,"Wealthier Nation Wins")</f>
        <v>Tie</v>
      </c>
    </row>
    <row r="3090" spans="1:17" x14ac:dyDescent="0.2">
      <c r="A3090" s="1">
        <v>4901</v>
      </c>
      <c r="B3090" s="2">
        <v>38441</v>
      </c>
      <c r="C3090" s="7">
        <f>_xlfn.FLOOR.MATH(Table1[[#This Row],[year]],10)</f>
        <v>2000</v>
      </c>
      <c r="D3090" t="s">
        <v>525</v>
      </c>
      <c r="E3090" t="s">
        <v>232</v>
      </c>
      <c r="F3090">
        <v>4</v>
      </c>
      <c r="G3090">
        <v>0</v>
      </c>
      <c r="H3090" t="s">
        <v>224</v>
      </c>
      <c r="I3090" t="s">
        <v>526</v>
      </c>
      <c r="J3090" t="s">
        <v>525</v>
      </c>
      <c r="K3090" t="b">
        <v>0</v>
      </c>
      <c r="L3090">
        <v>2005</v>
      </c>
      <c r="M3090">
        <v>16306935905</v>
      </c>
      <c r="N3090">
        <v>37672280120</v>
      </c>
      <c r="O3090" t="b">
        <v>1</v>
      </c>
      <c r="P3090">
        <v>-1</v>
      </c>
      <c r="Q3090" t="str" cm="1">
        <f t="array" ref="Q3090">_xlfn.IFS(Table1[[#This Row],[Wealthier_Winner]]=-1,"Wealthier Nation Loses",Table1[[#This Row],[Wealthier_Winner]]=0,"Tie",Table1[[#This Row],[Wealthier_Winner]]=1,"Wealthier Nation Wins")</f>
        <v>Wealthier Nation Loses</v>
      </c>
    </row>
    <row r="3091" spans="1:17" x14ac:dyDescent="0.2">
      <c r="A3091" s="1">
        <v>4902</v>
      </c>
      <c r="B3091" s="2">
        <v>38441</v>
      </c>
      <c r="C3091" s="7">
        <f>_xlfn.FLOOR.MATH(Table1[[#This Row],[year]],10)</f>
        <v>2000</v>
      </c>
      <c r="D3091" t="s">
        <v>502</v>
      </c>
      <c r="E3091" t="s">
        <v>44</v>
      </c>
      <c r="F3091">
        <v>1</v>
      </c>
      <c r="G3091">
        <v>2</v>
      </c>
      <c r="H3091" t="s">
        <v>224</v>
      </c>
      <c r="I3091" t="s">
        <v>504</v>
      </c>
      <c r="J3091" t="s">
        <v>502</v>
      </c>
      <c r="K3091" t="b">
        <v>0</v>
      </c>
      <c r="L3091">
        <v>2005</v>
      </c>
      <c r="M3091">
        <v>6258602872</v>
      </c>
      <c r="N3091">
        <v>98454380120</v>
      </c>
      <c r="O3091" t="b">
        <v>1</v>
      </c>
      <c r="P3091">
        <v>1</v>
      </c>
      <c r="Q3091" t="str" cm="1">
        <f t="array" ref="Q3091">_xlfn.IFS(Table1[[#This Row],[Wealthier_Winner]]=-1,"Wealthier Nation Loses",Table1[[#This Row],[Wealthier_Winner]]=0,"Tie",Table1[[#This Row],[Wealthier_Winner]]=1,"Wealthier Nation Wins")</f>
        <v>Wealthier Nation Wins</v>
      </c>
    </row>
    <row r="3092" spans="1:17" x14ac:dyDescent="0.2">
      <c r="A3092" s="1">
        <v>4903</v>
      </c>
      <c r="B3092" s="2">
        <v>38441</v>
      </c>
      <c r="C3092" s="7">
        <f>_xlfn.FLOOR.MATH(Table1[[#This Row],[year]],10)</f>
        <v>2000</v>
      </c>
      <c r="D3092" t="s">
        <v>527</v>
      </c>
      <c r="E3092" t="s">
        <v>42</v>
      </c>
      <c r="F3092">
        <v>0</v>
      </c>
      <c r="G3092">
        <v>0</v>
      </c>
      <c r="H3092" t="s">
        <v>224</v>
      </c>
      <c r="I3092" t="s">
        <v>528</v>
      </c>
      <c r="J3092" t="s">
        <v>527</v>
      </c>
      <c r="K3092" t="b">
        <v>0</v>
      </c>
      <c r="L3092">
        <v>2005</v>
      </c>
      <c r="M3092">
        <v>2988342907</v>
      </c>
      <c r="N3092">
        <v>309978579743</v>
      </c>
      <c r="O3092" t="b">
        <v>1</v>
      </c>
      <c r="P3092">
        <v>0</v>
      </c>
      <c r="Q3092" t="str" cm="1">
        <f t="array" ref="Q3092">_xlfn.IFS(Table1[[#This Row],[Wealthier_Winner]]=-1,"Wealthier Nation Loses",Table1[[#This Row],[Wealthier_Winner]]=0,"Tie",Table1[[#This Row],[Wealthier_Winner]]=1,"Wealthier Nation Wins")</f>
        <v>Tie</v>
      </c>
    </row>
    <row r="3093" spans="1:17" x14ac:dyDescent="0.2">
      <c r="A3093" s="1">
        <v>4904</v>
      </c>
      <c r="B3093" s="2">
        <v>38441</v>
      </c>
      <c r="C3093" s="7">
        <f>_xlfn.FLOOR.MATH(Table1[[#This Row],[year]],10)</f>
        <v>2000</v>
      </c>
      <c r="D3093" t="s">
        <v>27</v>
      </c>
      <c r="E3093" t="s">
        <v>519</v>
      </c>
      <c r="F3093">
        <v>2</v>
      </c>
      <c r="G3093">
        <v>0</v>
      </c>
      <c r="H3093" t="s">
        <v>224</v>
      </c>
      <c r="I3093" t="s">
        <v>624</v>
      </c>
      <c r="J3093" t="s">
        <v>27</v>
      </c>
      <c r="K3093" t="b">
        <v>0</v>
      </c>
      <c r="L3093">
        <v>2005</v>
      </c>
      <c r="M3093">
        <v>688133699635</v>
      </c>
      <c r="N3093">
        <v>4900469511</v>
      </c>
      <c r="O3093" t="b">
        <v>1</v>
      </c>
      <c r="P3093">
        <v>1</v>
      </c>
      <c r="Q3093" t="str" cm="1">
        <f t="array" ref="Q3093">_xlfn.IFS(Table1[[#This Row],[Wealthier_Winner]]=-1,"Wealthier Nation Loses",Table1[[#This Row],[Wealthier_Winner]]=0,"Tie",Table1[[#This Row],[Wealthier_Winner]]=1,"Wealthier Nation Wins")</f>
        <v>Wealthier Nation Wins</v>
      </c>
    </row>
    <row r="3094" spans="1:17" x14ac:dyDescent="0.2">
      <c r="A3094" s="1">
        <v>4905</v>
      </c>
      <c r="B3094" s="2">
        <v>38441</v>
      </c>
      <c r="C3094" s="7">
        <f>_xlfn.FLOOR.MATH(Table1[[#This Row],[year]],10)</f>
        <v>2000</v>
      </c>
      <c r="D3094" t="s">
        <v>67</v>
      </c>
      <c r="E3094" t="s">
        <v>17</v>
      </c>
      <c r="F3094">
        <v>1</v>
      </c>
      <c r="G3094">
        <v>1</v>
      </c>
      <c r="H3094" t="s">
        <v>224</v>
      </c>
      <c r="I3094" t="s">
        <v>455</v>
      </c>
      <c r="J3094" t="s">
        <v>67</v>
      </c>
      <c r="K3094" t="b">
        <v>0</v>
      </c>
      <c r="L3094">
        <v>2005</v>
      </c>
      <c r="M3094">
        <v>16623906739</v>
      </c>
      <c r="N3094">
        <v>917571853529</v>
      </c>
      <c r="O3094" t="b">
        <v>1</v>
      </c>
      <c r="P3094">
        <v>0</v>
      </c>
      <c r="Q3094" t="str" cm="1">
        <f t="array" ref="Q3094">_xlfn.IFS(Table1[[#This Row],[Wealthier_Winner]]=-1,"Wealthier Nation Loses",Table1[[#This Row],[Wealthier_Winner]]=0,"Tie",Table1[[#This Row],[Wealthier_Winner]]=1,"Wealthier Nation Wins")</f>
        <v>Tie</v>
      </c>
    </row>
    <row r="3095" spans="1:17" x14ac:dyDescent="0.2">
      <c r="A3095" s="1">
        <v>4906</v>
      </c>
      <c r="B3095" s="2">
        <v>38441</v>
      </c>
      <c r="C3095" s="7">
        <f>_xlfn.FLOOR.MATH(Table1[[#This Row],[year]],10)</f>
        <v>2000</v>
      </c>
      <c r="D3095" t="s">
        <v>35</v>
      </c>
      <c r="E3095" t="s">
        <v>14</v>
      </c>
      <c r="F3095">
        <v>2</v>
      </c>
      <c r="G3095">
        <v>1</v>
      </c>
      <c r="H3095" t="s">
        <v>224</v>
      </c>
      <c r="I3095" t="s">
        <v>250</v>
      </c>
      <c r="J3095" t="s">
        <v>35</v>
      </c>
      <c r="K3095" t="b">
        <v>0</v>
      </c>
      <c r="L3095">
        <v>2005</v>
      </c>
      <c r="M3095">
        <v>10737500188</v>
      </c>
      <c r="N3095">
        <v>122294145163</v>
      </c>
      <c r="O3095" t="b">
        <v>1</v>
      </c>
      <c r="P3095">
        <v>-1</v>
      </c>
      <c r="Q3095" t="str" cm="1">
        <f t="array" ref="Q3095">_xlfn.IFS(Table1[[#This Row],[Wealthier_Winner]]=-1,"Wealthier Nation Loses",Table1[[#This Row],[Wealthier_Winner]]=0,"Tie",Table1[[#This Row],[Wealthier_Winner]]=1,"Wealthier Nation Wins")</f>
        <v>Wealthier Nation Loses</v>
      </c>
    </row>
    <row r="3096" spans="1:17" x14ac:dyDescent="0.2">
      <c r="A3096" s="1">
        <v>4907</v>
      </c>
      <c r="B3096" s="2">
        <v>38441</v>
      </c>
      <c r="C3096" s="7">
        <f>_xlfn.FLOOR.MATH(Table1[[#This Row],[year]],10)</f>
        <v>2000</v>
      </c>
      <c r="D3096" t="s">
        <v>31</v>
      </c>
      <c r="E3096" t="s">
        <v>57</v>
      </c>
      <c r="F3096">
        <v>2</v>
      </c>
      <c r="G3096">
        <v>2</v>
      </c>
      <c r="H3096" t="s">
        <v>224</v>
      </c>
      <c r="I3096" t="s">
        <v>242</v>
      </c>
      <c r="J3096" t="s">
        <v>31</v>
      </c>
      <c r="K3096" t="b">
        <v>0</v>
      </c>
      <c r="L3096">
        <v>2005</v>
      </c>
      <c r="M3096">
        <v>76060606060</v>
      </c>
      <c r="N3096">
        <v>40278849000</v>
      </c>
      <c r="O3096" t="b">
        <v>0</v>
      </c>
      <c r="P3096">
        <v>0</v>
      </c>
      <c r="Q3096" t="str" cm="1">
        <f t="array" ref="Q3096">_xlfn.IFS(Table1[[#This Row],[Wealthier_Winner]]=-1,"Wealthier Nation Loses",Table1[[#This Row],[Wealthier_Winner]]=0,"Tie",Table1[[#This Row],[Wealthier_Winner]]=1,"Wealthier Nation Wins")</f>
        <v>Tie</v>
      </c>
    </row>
    <row r="3097" spans="1:17" x14ac:dyDescent="0.2">
      <c r="A3097" s="1">
        <v>4909</v>
      </c>
      <c r="B3097" s="2">
        <v>38441</v>
      </c>
      <c r="C3097" s="7">
        <f>_xlfn.FLOOR.MATH(Table1[[#This Row],[year]],10)</f>
        <v>2000</v>
      </c>
      <c r="D3097" t="s">
        <v>549</v>
      </c>
      <c r="E3097" t="s">
        <v>23</v>
      </c>
      <c r="F3097">
        <v>1</v>
      </c>
      <c r="G3097">
        <v>2</v>
      </c>
      <c r="H3097" t="s">
        <v>224</v>
      </c>
      <c r="I3097" t="s">
        <v>555</v>
      </c>
      <c r="J3097" t="s">
        <v>549</v>
      </c>
      <c r="K3097" t="b">
        <v>0</v>
      </c>
      <c r="L3097">
        <v>2005</v>
      </c>
      <c r="M3097">
        <v>1786514058</v>
      </c>
      <c r="N3097">
        <v>385714762230</v>
      </c>
      <c r="O3097" t="b">
        <v>1</v>
      </c>
      <c r="P3097">
        <v>1</v>
      </c>
      <c r="Q3097" t="str" cm="1">
        <f t="array" ref="Q3097">_xlfn.IFS(Table1[[#This Row],[Wealthier_Winner]]=-1,"Wealthier Nation Loses",Table1[[#This Row],[Wealthier_Winner]]=0,"Tie",Table1[[#This Row],[Wealthier_Winner]]=1,"Wealthier Nation Wins")</f>
        <v>Wealthier Nation Wins</v>
      </c>
    </row>
    <row r="3098" spans="1:17" x14ac:dyDescent="0.2">
      <c r="A3098" s="1">
        <v>4910</v>
      </c>
      <c r="B3098" s="2">
        <v>38441</v>
      </c>
      <c r="C3098" s="7">
        <f>_xlfn.FLOOR.MATH(Table1[[#This Row],[year]],10)</f>
        <v>2000</v>
      </c>
      <c r="D3098" t="s">
        <v>61</v>
      </c>
      <c r="E3098" t="s">
        <v>21</v>
      </c>
      <c r="F3098">
        <v>0</v>
      </c>
      <c r="G3098">
        <v>0</v>
      </c>
      <c r="H3098" t="s">
        <v>224</v>
      </c>
      <c r="I3098" t="s">
        <v>505</v>
      </c>
      <c r="J3098" t="s">
        <v>670</v>
      </c>
      <c r="K3098" t="b">
        <v>0</v>
      </c>
      <c r="L3098">
        <v>2005</v>
      </c>
      <c r="M3098">
        <v>28334256180</v>
      </c>
      <c r="N3098">
        <v>1154667551775</v>
      </c>
      <c r="O3098" t="b">
        <v>1</v>
      </c>
      <c r="P3098">
        <v>0</v>
      </c>
      <c r="Q3098" t="str" cm="1">
        <f t="array" ref="Q3098">_xlfn.IFS(Table1[[#This Row],[Wealthier_Winner]]=-1,"Wealthier Nation Loses",Table1[[#This Row],[Wealthier_Winner]]=0,"Tie",Table1[[#This Row],[Wealthier_Winner]]=1,"Wealthier Nation Wins")</f>
        <v>Tie</v>
      </c>
    </row>
    <row r="3099" spans="1:17" x14ac:dyDescent="0.2">
      <c r="A3099" s="1">
        <v>4912</v>
      </c>
      <c r="B3099" s="2">
        <v>38441</v>
      </c>
      <c r="C3099" s="7">
        <f>_xlfn.FLOOR.MATH(Table1[[#This Row],[year]],10)</f>
        <v>2000</v>
      </c>
      <c r="D3099" t="s">
        <v>55</v>
      </c>
      <c r="E3099" t="s">
        <v>510</v>
      </c>
      <c r="F3099">
        <v>1</v>
      </c>
      <c r="G3099">
        <v>1</v>
      </c>
      <c r="H3099" t="s">
        <v>224</v>
      </c>
      <c r="I3099" t="s">
        <v>666</v>
      </c>
      <c r="J3099" t="s">
        <v>55</v>
      </c>
      <c r="K3099" t="b">
        <v>0</v>
      </c>
      <c r="L3099">
        <v>2005</v>
      </c>
      <c r="M3099">
        <v>35947936823</v>
      </c>
      <c r="N3099">
        <v>30210091836</v>
      </c>
      <c r="O3099" t="b">
        <v>0</v>
      </c>
      <c r="P3099">
        <v>0</v>
      </c>
      <c r="Q3099" t="str" cm="1">
        <f t="array" ref="Q3099">_xlfn.IFS(Table1[[#This Row],[Wealthier_Winner]]=-1,"Wealthier Nation Loses",Table1[[#This Row],[Wealthier_Winner]]=0,"Tie",Table1[[#This Row],[Wealthier_Winner]]=1,"Wealthier Nation Wins")</f>
        <v>Tie</v>
      </c>
    </row>
    <row r="3100" spans="1:17" x14ac:dyDescent="0.2">
      <c r="A3100" s="1">
        <v>4913</v>
      </c>
      <c r="B3100" s="2">
        <v>38441</v>
      </c>
      <c r="C3100" s="7">
        <f>_xlfn.FLOOR.MATH(Table1[[#This Row],[year]],10)</f>
        <v>2000</v>
      </c>
      <c r="D3100" t="s">
        <v>46</v>
      </c>
      <c r="E3100" t="s">
        <v>351</v>
      </c>
      <c r="F3100">
        <v>1</v>
      </c>
      <c r="G3100">
        <v>0</v>
      </c>
      <c r="H3100" t="s">
        <v>224</v>
      </c>
      <c r="I3100" t="s">
        <v>493</v>
      </c>
      <c r="J3100" t="s">
        <v>46</v>
      </c>
      <c r="K3100" t="b">
        <v>0</v>
      </c>
      <c r="L3100">
        <v>2005</v>
      </c>
      <c r="M3100">
        <v>418284865884</v>
      </c>
      <c r="N3100">
        <v>18433412510</v>
      </c>
      <c r="O3100" t="b">
        <v>1</v>
      </c>
      <c r="P3100">
        <v>1</v>
      </c>
      <c r="Q3100" t="str" cm="1">
        <f t="array" ref="Q3100">_xlfn.IFS(Table1[[#This Row],[Wealthier_Winner]]=-1,"Wealthier Nation Loses",Table1[[#This Row],[Wealthier_Winner]]=0,"Tie",Table1[[#This Row],[Wealthier_Winner]]=1,"Wealthier Nation Wins")</f>
        <v>Wealthier Nation Wins</v>
      </c>
    </row>
    <row r="3101" spans="1:17" x14ac:dyDescent="0.2">
      <c r="A3101" s="1">
        <v>4914</v>
      </c>
      <c r="B3101" s="2">
        <v>38441</v>
      </c>
      <c r="C3101" s="7">
        <f>_xlfn.FLOOR.MATH(Table1[[#This Row],[year]],10)</f>
        <v>2000</v>
      </c>
      <c r="D3101" t="s">
        <v>59</v>
      </c>
      <c r="E3101" t="s">
        <v>56</v>
      </c>
      <c r="F3101">
        <v>0</v>
      </c>
      <c r="G3101">
        <v>0</v>
      </c>
      <c r="H3101" t="s">
        <v>224</v>
      </c>
      <c r="I3101" t="s">
        <v>253</v>
      </c>
      <c r="J3101" t="s">
        <v>59</v>
      </c>
      <c r="K3101" t="b">
        <v>0</v>
      </c>
      <c r="L3101">
        <v>2005</v>
      </c>
      <c r="M3101">
        <v>15982389018</v>
      </c>
      <c r="N3101">
        <v>20040642476</v>
      </c>
      <c r="O3101" t="b">
        <v>0</v>
      </c>
      <c r="P3101">
        <v>0</v>
      </c>
      <c r="Q3101" t="str" cm="1">
        <f t="array" ref="Q3101">_xlfn.IFS(Table1[[#This Row],[Wealthier_Winner]]=-1,"Wealthier Nation Loses",Table1[[#This Row],[Wealthier_Winner]]=0,"Tie",Table1[[#This Row],[Wealthier_Winner]]=1,"Wealthier Nation Wins")</f>
        <v>Tie</v>
      </c>
    </row>
    <row r="3102" spans="1:17" x14ac:dyDescent="0.2">
      <c r="A3102" s="1">
        <v>4915</v>
      </c>
      <c r="B3102" s="2">
        <v>38441</v>
      </c>
      <c r="C3102" s="7">
        <f>_xlfn.FLOOR.MATH(Table1[[#This Row],[year]],10)</f>
        <v>2000</v>
      </c>
      <c r="D3102" t="s">
        <v>64</v>
      </c>
      <c r="E3102" t="s">
        <v>36</v>
      </c>
      <c r="F3102">
        <v>1</v>
      </c>
      <c r="G3102">
        <v>0</v>
      </c>
      <c r="H3102" t="s">
        <v>224</v>
      </c>
      <c r="I3102" t="s">
        <v>423</v>
      </c>
      <c r="J3102" t="s">
        <v>64</v>
      </c>
      <c r="K3102" t="b">
        <v>0</v>
      </c>
      <c r="L3102">
        <v>2005</v>
      </c>
      <c r="M3102">
        <v>89238865118</v>
      </c>
      <c r="N3102">
        <v>265150087711</v>
      </c>
      <c r="O3102" t="b">
        <v>1</v>
      </c>
      <c r="P3102">
        <v>-1</v>
      </c>
      <c r="Q3102" t="str" cm="1">
        <f t="array" ref="Q3102">_xlfn.IFS(Table1[[#This Row],[Wealthier_Winner]]=-1,"Wealthier Nation Loses",Table1[[#This Row],[Wealthier_Winner]]=0,"Tie",Table1[[#This Row],[Wealthier_Winner]]=1,"Wealthier Nation Wins")</f>
        <v>Wealthier Nation Loses</v>
      </c>
    </row>
    <row r="3103" spans="1:17" x14ac:dyDescent="0.2">
      <c r="A3103" s="1">
        <v>4916</v>
      </c>
      <c r="B3103" s="2">
        <v>38441</v>
      </c>
      <c r="C3103" s="7">
        <f>_xlfn.FLOOR.MATH(Table1[[#This Row],[year]],10)</f>
        <v>2000</v>
      </c>
      <c r="D3103" t="s">
        <v>26</v>
      </c>
      <c r="E3103" t="s">
        <v>13</v>
      </c>
      <c r="F3103">
        <v>1</v>
      </c>
      <c r="G3103">
        <v>1</v>
      </c>
      <c r="H3103" t="s">
        <v>224</v>
      </c>
      <c r="I3103" t="s">
        <v>247</v>
      </c>
      <c r="J3103" t="s">
        <v>26</v>
      </c>
      <c r="K3103" t="b">
        <v>0</v>
      </c>
      <c r="L3103">
        <v>2005</v>
      </c>
      <c r="M3103">
        <v>17362857683</v>
      </c>
      <c r="N3103">
        <v>891633826625</v>
      </c>
      <c r="O3103" t="b">
        <v>1</v>
      </c>
      <c r="P3103">
        <v>0</v>
      </c>
      <c r="Q3103" t="str" cm="1">
        <f t="array" ref="Q3103">_xlfn.IFS(Table1[[#This Row],[Wealthier_Winner]]=-1,"Wealthier Nation Loses",Table1[[#This Row],[Wealthier_Winner]]=0,"Tie",Table1[[#This Row],[Wealthier_Winner]]=1,"Wealthier Nation Wins")</f>
        <v>Tie</v>
      </c>
    </row>
    <row r="3104" spans="1:17" x14ac:dyDescent="0.2">
      <c r="A3104" s="1">
        <v>4917</v>
      </c>
      <c r="B3104" s="2">
        <v>38441</v>
      </c>
      <c r="C3104" s="7">
        <f>_xlfn.FLOOR.MATH(Table1[[#This Row],[year]],10)</f>
        <v>2000</v>
      </c>
      <c r="D3104" t="s">
        <v>41</v>
      </c>
      <c r="E3104" t="s">
        <v>223</v>
      </c>
      <c r="F3104">
        <v>2</v>
      </c>
      <c r="G3104">
        <v>0</v>
      </c>
      <c r="H3104" t="s">
        <v>224</v>
      </c>
      <c r="I3104" t="s">
        <v>78</v>
      </c>
      <c r="J3104" t="s">
        <v>41</v>
      </c>
      <c r="K3104" t="b">
        <v>0</v>
      </c>
      <c r="L3104">
        <v>2005</v>
      </c>
      <c r="M3104">
        <v>13039199193000</v>
      </c>
      <c r="N3104">
        <v>26783389293</v>
      </c>
      <c r="O3104" t="b">
        <v>1</v>
      </c>
      <c r="P3104">
        <v>1</v>
      </c>
      <c r="Q3104" t="str" cm="1">
        <f t="array" ref="Q3104">_xlfn.IFS(Table1[[#This Row],[Wealthier_Winner]]=-1,"Wealthier Nation Loses",Table1[[#This Row],[Wealthier_Winner]]=0,"Tie",Table1[[#This Row],[Wealthier_Winner]]=1,"Wealthier Nation Wins")</f>
        <v>Wealthier Nation Wins</v>
      </c>
    </row>
    <row r="3105" spans="1:17" x14ac:dyDescent="0.2">
      <c r="A3105" s="1">
        <v>4918</v>
      </c>
      <c r="B3105" s="2">
        <v>38506</v>
      </c>
      <c r="C3105" s="7">
        <f>_xlfn.FLOOR.MATH(Table1[[#This Row],[year]],10)</f>
        <v>2000</v>
      </c>
      <c r="D3105" t="s">
        <v>361</v>
      </c>
      <c r="E3105" t="s">
        <v>51</v>
      </c>
      <c r="F3105">
        <v>0</v>
      </c>
      <c r="G3105">
        <v>1</v>
      </c>
      <c r="H3105" t="s">
        <v>224</v>
      </c>
      <c r="I3105" t="s">
        <v>419</v>
      </c>
      <c r="J3105" t="s">
        <v>361</v>
      </c>
      <c r="K3105" t="b">
        <v>0</v>
      </c>
      <c r="L3105">
        <v>2005</v>
      </c>
      <c r="M3105">
        <v>15968723404</v>
      </c>
      <c r="N3105">
        <v>4831467035389</v>
      </c>
      <c r="O3105" t="b">
        <v>1</v>
      </c>
      <c r="P3105">
        <v>1</v>
      </c>
      <c r="Q3105" t="str" cm="1">
        <f t="array" ref="Q3105">_xlfn.IFS(Table1[[#This Row],[Wealthier_Winner]]=-1,"Wealthier Nation Loses",Table1[[#This Row],[Wealthier_Winner]]=0,"Tie",Table1[[#This Row],[Wealthier_Winner]]=1,"Wealthier Nation Wins")</f>
        <v>Wealthier Nation Wins</v>
      </c>
    </row>
    <row r="3106" spans="1:17" x14ac:dyDescent="0.2">
      <c r="A3106" s="1">
        <v>4921</v>
      </c>
      <c r="B3106" s="2">
        <v>38506</v>
      </c>
      <c r="C3106" s="7">
        <f>_xlfn.FLOOR.MATH(Table1[[#This Row],[year]],10)</f>
        <v>2000</v>
      </c>
      <c r="D3106" t="s">
        <v>45</v>
      </c>
      <c r="E3106" t="s">
        <v>71</v>
      </c>
      <c r="F3106">
        <v>3</v>
      </c>
      <c r="G3106">
        <v>0</v>
      </c>
      <c r="H3106" t="s">
        <v>224</v>
      </c>
      <c r="I3106" t="s">
        <v>356</v>
      </c>
      <c r="J3106" t="s">
        <v>45</v>
      </c>
      <c r="K3106" t="b">
        <v>0</v>
      </c>
      <c r="L3106">
        <v>2005</v>
      </c>
      <c r="M3106">
        <v>328459608764</v>
      </c>
      <c r="N3106">
        <v>80798630136</v>
      </c>
      <c r="O3106" t="b">
        <v>1</v>
      </c>
      <c r="P3106">
        <v>1</v>
      </c>
      <c r="Q3106" t="str" cm="1">
        <f t="array" ref="Q3106">_xlfn.IFS(Table1[[#This Row],[Wealthier_Winner]]=-1,"Wealthier Nation Loses",Table1[[#This Row],[Wealthier_Winner]]=0,"Tie",Table1[[#This Row],[Wealthier_Winner]]=1,"Wealthier Nation Wins")</f>
        <v>Wealthier Nation Wins</v>
      </c>
    </row>
    <row r="3107" spans="1:17" x14ac:dyDescent="0.2">
      <c r="A3107" s="1">
        <v>4922</v>
      </c>
      <c r="B3107" s="2">
        <v>38506</v>
      </c>
      <c r="C3107" s="7">
        <f>_xlfn.FLOOR.MATH(Table1[[#This Row],[year]],10)</f>
        <v>2000</v>
      </c>
      <c r="D3107" t="s">
        <v>563</v>
      </c>
      <c r="E3107" t="s">
        <v>195</v>
      </c>
      <c r="F3107">
        <v>1</v>
      </c>
      <c r="G3107">
        <v>1</v>
      </c>
      <c r="H3107" t="s">
        <v>224</v>
      </c>
      <c r="I3107" t="s">
        <v>564</v>
      </c>
      <c r="J3107" t="s">
        <v>563</v>
      </c>
      <c r="K3107" t="b">
        <v>0</v>
      </c>
      <c r="L3107">
        <v>2005</v>
      </c>
      <c r="M3107">
        <v>14307509838</v>
      </c>
      <c r="N3107">
        <v>971740329983</v>
      </c>
      <c r="O3107" t="b">
        <v>1</v>
      </c>
      <c r="P3107">
        <v>0</v>
      </c>
      <c r="Q3107" t="str" cm="1">
        <f t="array" ref="Q3107">_xlfn.IFS(Table1[[#This Row],[Wealthier_Winner]]=-1,"Wealthier Nation Loses",Table1[[#This Row],[Wealthier_Winner]]=0,"Tie",Table1[[#This Row],[Wealthier_Winner]]=1,"Wealthier Nation Wins")</f>
        <v>Tie</v>
      </c>
    </row>
    <row r="3108" spans="1:17" x14ac:dyDescent="0.2">
      <c r="A3108" s="1">
        <v>4923</v>
      </c>
      <c r="B3108" s="2">
        <v>38507</v>
      </c>
      <c r="C3108" s="7">
        <f>_xlfn.FLOOR.MATH(Table1[[#This Row],[year]],10)</f>
        <v>2000</v>
      </c>
      <c r="D3108" t="s">
        <v>373</v>
      </c>
      <c r="E3108" t="s">
        <v>534</v>
      </c>
      <c r="F3108">
        <v>3</v>
      </c>
      <c r="G3108">
        <v>2</v>
      </c>
      <c r="H3108" t="s">
        <v>224</v>
      </c>
      <c r="I3108" t="s">
        <v>374</v>
      </c>
      <c r="J3108" t="s">
        <v>373</v>
      </c>
      <c r="K3108" t="b">
        <v>0</v>
      </c>
      <c r="L3108">
        <v>2005</v>
      </c>
      <c r="M3108">
        <v>8256658249</v>
      </c>
      <c r="N3108">
        <v>6410912049</v>
      </c>
      <c r="O3108" t="b">
        <v>0</v>
      </c>
      <c r="P3108">
        <v>1</v>
      </c>
      <c r="Q3108" t="str" cm="1">
        <f t="array" ref="Q3108">_xlfn.IFS(Table1[[#This Row],[Wealthier_Winner]]=-1,"Wealthier Nation Loses",Table1[[#This Row],[Wealthier_Winner]]=0,"Tie",Table1[[#This Row],[Wealthier_Winner]]=1,"Wealthier Nation Wins")</f>
        <v>Wealthier Nation Wins</v>
      </c>
    </row>
    <row r="3109" spans="1:17" x14ac:dyDescent="0.2">
      <c r="A3109" s="1">
        <v>4924</v>
      </c>
      <c r="B3109" s="2">
        <v>38507</v>
      </c>
      <c r="C3109" s="7">
        <f>_xlfn.FLOOR.MATH(Table1[[#This Row],[year]],10)</f>
        <v>2000</v>
      </c>
      <c r="D3109" t="s">
        <v>519</v>
      </c>
      <c r="E3109" t="s">
        <v>502</v>
      </c>
      <c r="F3109">
        <v>1</v>
      </c>
      <c r="G3109">
        <v>2</v>
      </c>
      <c r="H3109" t="s">
        <v>224</v>
      </c>
      <c r="I3109" t="s">
        <v>520</v>
      </c>
      <c r="J3109" t="s">
        <v>519</v>
      </c>
      <c r="K3109" t="b">
        <v>0</v>
      </c>
      <c r="L3109">
        <v>2005</v>
      </c>
      <c r="M3109">
        <v>4900469511</v>
      </c>
      <c r="N3109">
        <v>6258602872</v>
      </c>
      <c r="O3109" t="b">
        <v>0</v>
      </c>
      <c r="P3109">
        <v>1</v>
      </c>
      <c r="Q3109" t="str" cm="1">
        <f t="array" ref="Q3109">_xlfn.IFS(Table1[[#This Row],[Wealthier_Winner]]=-1,"Wealthier Nation Loses",Table1[[#This Row],[Wealthier_Winner]]=0,"Tie",Table1[[#This Row],[Wealthier_Winner]]=1,"Wealthier Nation Wins")</f>
        <v>Wealthier Nation Wins</v>
      </c>
    </row>
    <row r="3110" spans="1:17" x14ac:dyDescent="0.2">
      <c r="A3110" s="1">
        <v>4925</v>
      </c>
      <c r="B3110" s="2">
        <v>38507</v>
      </c>
      <c r="C3110" s="7">
        <f>_xlfn.FLOOR.MATH(Table1[[#This Row],[year]],10)</f>
        <v>2000</v>
      </c>
      <c r="D3110" t="s">
        <v>513</v>
      </c>
      <c r="E3110" t="s">
        <v>58</v>
      </c>
      <c r="F3110">
        <v>0</v>
      </c>
      <c r="G3110">
        <v>3</v>
      </c>
      <c r="H3110" t="s">
        <v>224</v>
      </c>
      <c r="I3110" t="s">
        <v>521</v>
      </c>
      <c r="J3110" t="s">
        <v>513</v>
      </c>
      <c r="K3110" t="b">
        <v>0</v>
      </c>
      <c r="L3110">
        <v>2005</v>
      </c>
      <c r="M3110">
        <v>13245421880</v>
      </c>
      <c r="N3110">
        <v>306999913150</v>
      </c>
      <c r="O3110" t="b">
        <v>1</v>
      </c>
      <c r="P3110">
        <v>1</v>
      </c>
      <c r="Q3110" t="str" cm="1">
        <f t="array" ref="Q3110">_xlfn.IFS(Table1[[#This Row],[Wealthier_Winner]]=-1,"Wealthier Nation Loses",Table1[[#This Row],[Wealthier_Winner]]=0,"Tie",Table1[[#This Row],[Wealthier_Winner]]=1,"Wealthier Nation Wins")</f>
        <v>Wealthier Nation Wins</v>
      </c>
    </row>
    <row r="3111" spans="1:17" x14ac:dyDescent="0.2">
      <c r="A3111" s="1">
        <v>4926</v>
      </c>
      <c r="B3111" s="2">
        <v>38507</v>
      </c>
      <c r="C3111" s="7">
        <f>_xlfn.FLOOR.MATH(Table1[[#This Row],[year]],10)</f>
        <v>2000</v>
      </c>
      <c r="D3111" t="s">
        <v>510</v>
      </c>
      <c r="E3111" t="s">
        <v>55</v>
      </c>
      <c r="F3111">
        <v>1</v>
      </c>
      <c r="G3111">
        <v>1</v>
      </c>
      <c r="H3111" t="s">
        <v>224</v>
      </c>
      <c r="I3111" t="s">
        <v>522</v>
      </c>
      <c r="J3111" t="s">
        <v>510</v>
      </c>
      <c r="K3111" t="b">
        <v>0</v>
      </c>
      <c r="L3111">
        <v>2005</v>
      </c>
      <c r="M3111">
        <v>30210091836</v>
      </c>
      <c r="N3111">
        <v>35947936823</v>
      </c>
      <c r="O3111" t="b">
        <v>0</v>
      </c>
      <c r="P3111">
        <v>0</v>
      </c>
      <c r="Q3111" t="str" cm="1">
        <f t="array" ref="Q3111">_xlfn.IFS(Table1[[#This Row],[Wealthier_Winner]]=-1,"Wealthier Nation Loses",Table1[[#This Row],[Wealthier_Winner]]=0,"Tie",Table1[[#This Row],[Wealthier_Winner]]=1,"Wealthier Nation Wins")</f>
        <v>Tie</v>
      </c>
    </row>
    <row r="3112" spans="1:17" x14ac:dyDescent="0.2">
      <c r="A3112" s="1">
        <v>4927</v>
      </c>
      <c r="B3112" s="2">
        <v>38507</v>
      </c>
      <c r="C3112" s="7">
        <f>_xlfn.FLOOR.MATH(Table1[[#This Row],[year]],10)</f>
        <v>2000</v>
      </c>
      <c r="D3112" t="s">
        <v>310</v>
      </c>
      <c r="E3112" t="s">
        <v>40</v>
      </c>
      <c r="F3112">
        <v>1</v>
      </c>
      <c r="G3112">
        <v>4</v>
      </c>
      <c r="H3112" t="s">
        <v>224</v>
      </c>
      <c r="I3112" t="s">
        <v>311</v>
      </c>
      <c r="J3112" t="s">
        <v>310</v>
      </c>
      <c r="K3112" t="b">
        <v>0</v>
      </c>
      <c r="L3112">
        <v>2005</v>
      </c>
      <c r="M3112">
        <v>6567654954</v>
      </c>
      <c r="N3112">
        <v>19509852206</v>
      </c>
      <c r="O3112" t="b">
        <v>1</v>
      </c>
      <c r="P3112">
        <v>1</v>
      </c>
      <c r="Q3112" t="str" cm="1">
        <f t="array" ref="Q3112">_xlfn.IFS(Table1[[#This Row],[Wealthier_Winner]]=-1,"Wealthier Nation Loses",Table1[[#This Row],[Wealthier_Winner]]=0,"Tie",Table1[[#This Row],[Wealthier_Winner]]=1,"Wealthier Nation Wins")</f>
        <v>Wealthier Nation Wins</v>
      </c>
    </row>
    <row r="3113" spans="1:17" x14ac:dyDescent="0.2">
      <c r="A3113" s="1">
        <v>4928</v>
      </c>
      <c r="B3113" s="2">
        <v>38507</v>
      </c>
      <c r="C3113" s="7">
        <f>_xlfn.FLOOR.MATH(Table1[[#This Row],[year]],10)</f>
        <v>2000</v>
      </c>
      <c r="D3113" t="s">
        <v>469</v>
      </c>
      <c r="E3113" t="s">
        <v>53</v>
      </c>
      <c r="F3113">
        <v>1</v>
      </c>
      <c r="G3113">
        <v>3</v>
      </c>
      <c r="H3113" t="s">
        <v>224</v>
      </c>
      <c r="I3113" t="s">
        <v>470</v>
      </c>
      <c r="J3113" t="s">
        <v>469</v>
      </c>
      <c r="K3113" t="b">
        <v>0</v>
      </c>
      <c r="L3113">
        <v>2005</v>
      </c>
      <c r="M3113">
        <v>9918907108</v>
      </c>
      <c r="N3113">
        <v>32272186694</v>
      </c>
      <c r="O3113" t="b">
        <v>1</v>
      </c>
      <c r="P3113">
        <v>1</v>
      </c>
      <c r="Q3113" t="str" cm="1">
        <f t="array" ref="Q3113">_xlfn.IFS(Table1[[#This Row],[Wealthier_Winner]]=-1,"Wealthier Nation Loses",Table1[[#This Row],[Wealthier_Winner]]=0,"Tie",Table1[[#This Row],[Wealthier_Winner]]=1,"Wealthier Nation Wins")</f>
        <v>Wealthier Nation Wins</v>
      </c>
    </row>
    <row r="3114" spans="1:17" x14ac:dyDescent="0.2">
      <c r="A3114" s="1">
        <v>4929</v>
      </c>
      <c r="B3114" s="2">
        <v>38507</v>
      </c>
      <c r="C3114" s="7">
        <f>_xlfn.FLOOR.MATH(Table1[[#This Row],[year]],10)</f>
        <v>2000</v>
      </c>
      <c r="D3114" t="s">
        <v>33</v>
      </c>
      <c r="E3114" t="s">
        <v>52</v>
      </c>
      <c r="F3114">
        <v>1</v>
      </c>
      <c r="G3114">
        <v>3</v>
      </c>
      <c r="H3114" t="s">
        <v>224</v>
      </c>
      <c r="I3114" t="s">
        <v>375</v>
      </c>
      <c r="J3114" t="s">
        <v>33</v>
      </c>
      <c r="K3114" t="b">
        <v>0</v>
      </c>
      <c r="L3114">
        <v>2005</v>
      </c>
      <c r="M3114">
        <v>29868657858</v>
      </c>
      <c r="N3114">
        <v>45013119281</v>
      </c>
      <c r="O3114" t="b">
        <v>0</v>
      </c>
      <c r="P3114">
        <v>1</v>
      </c>
      <c r="Q3114" t="str" cm="1">
        <f t="array" ref="Q3114">_xlfn.IFS(Table1[[#This Row],[Wealthier_Winner]]=-1,"Wealthier Nation Loses",Table1[[#This Row],[Wealthier_Winner]]=0,"Tie",Table1[[#This Row],[Wealthier_Winner]]=1,"Wealthier Nation Wins")</f>
        <v>Wealthier Nation Wins</v>
      </c>
    </row>
    <row r="3115" spans="1:17" x14ac:dyDescent="0.2">
      <c r="A3115" s="1">
        <v>4931</v>
      </c>
      <c r="B3115" s="2">
        <v>38507</v>
      </c>
      <c r="C3115" s="7">
        <f>_xlfn.FLOOR.MATH(Table1[[#This Row],[year]],10)</f>
        <v>2000</v>
      </c>
      <c r="D3115" t="s">
        <v>14</v>
      </c>
      <c r="E3115" t="s">
        <v>47</v>
      </c>
      <c r="F3115">
        <v>3</v>
      </c>
      <c r="G3115">
        <v>1</v>
      </c>
      <c r="H3115" t="s">
        <v>224</v>
      </c>
      <c r="I3115" t="s">
        <v>75</v>
      </c>
      <c r="J3115" t="s">
        <v>14</v>
      </c>
      <c r="K3115" t="b">
        <v>0</v>
      </c>
      <c r="L3115">
        <v>2005</v>
      </c>
      <c r="M3115">
        <v>122294145163</v>
      </c>
      <c r="N3115">
        <v>9549122905</v>
      </c>
      <c r="O3115" t="b">
        <v>1</v>
      </c>
      <c r="P3115">
        <v>1</v>
      </c>
      <c r="Q3115" t="str" cm="1">
        <f t="array" ref="Q3115">_xlfn.IFS(Table1[[#This Row],[Wealthier_Winner]]=-1,"Wealthier Nation Loses",Table1[[#This Row],[Wealthier_Winner]]=0,"Tie",Table1[[#This Row],[Wealthier_Winner]]=1,"Wealthier Nation Wins")</f>
        <v>Wealthier Nation Wins</v>
      </c>
    </row>
    <row r="3116" spans="1:17" x14ac:dyDescent="0.2">
      <c r="A3116" s="1">
        <v>4932</v>
      </c>
      <c r="B3116" s="2">
        <v>38507</v>
      </c>
      <c r="C3116" s="7">
        <f>_xlfn.FLOOR.MATH(Table1[[#This Row],[year]],10)</f>
        <v>2000</v>
      </c>
      <c r="D3116" t="s">
        <v>15</v>
      </c>
      <c r="E3116" t="s">
        <v>31</v>
      </c>
      <c r="F3116">
        <v>5</v>
      </c>
      <c r="G3116">
        <v>0</v>
      </c>
      <c r="H3116" t="s">
        <v>224</v>
      </c>
      <c r="I3116" t="s">
        <v>261</v>
      </c>
      <c r="J3116" t="s">
        <v>15</v>
      </c>
      <c r="K3116" t="b">
        <v>0</v>
      </c>
      <c r="L3116">
        <v>2005</v>
      </c>
      <c r="M3116">
        <v>145600529605</v>
      </c>
      <c r="N3116">
        <v>76060606060</v>
      </c>
      <c r="O3116" t="b">
        <v>0</v>
      </c>
      <c r="P3116">
        <v>1</v>
      </c>
      <c r="Q3116" t="str" cm="1">
        <f t="array" ref="Q3116">_xlfn.IFS(Table1[[#This Row],[Wealthier_Winner]]=-1,"Wealthier Nation Loses",Table1[[#This Row],[Wealthier_Winner]]=0,"Tie",Table1[[#This Row],[Wealthier_Winner]]=1,"Wealthier Nation Wins")</f>
        <v>Wealthier Nation Wins</v>
      </c>
    </row>
    <row r="3117" spans="1:17" x14ac:dyDescent="0.2">
      <c r="A3117" s="1">
        <v>4934</v>
      </c>
      <c r="B3117" s="2">
        <v>38507</v>
      </c>
      <c r="C3117" s="7">
        <f>_xlfn.FLOOR.MATH(Table1[[#This Row],[year]],10)</f>
        <v>2000</v>
      </c>
      <c r="D3117" t="s">
        <v>57</v>
      </c>
      <c r="E3117" t="s">
        <v>19</v>
      </c>
      <c r="F3117">
        <v>2</v>
      </c>
      <c r="G3117">
        <v>0</v>
      </c>
      <c r="H3117" t="s">
        <v>224</v>
      </c>
      <c r="I3117" t="s">
        <v>335</v>
      </c>
      <c r="J3117" t="s">
        <v>57</v>
      </c>
      <c r="K3117" t="b">
        <v>0</v>
      </c>
      <c r="L3117">
        <v>2005</v>
      </c>
      <c r="M3117">
        <v>40278849000</v>
      </c>
      <c r="N3117">
        <v>198737095012</v>
      </c>
      <c r="O3117" t="b">
        <v>1</v>
      </c>
      <c r="P3117">
        <v>-1</v>
      </c>
      <c r="Q3117" t="str" cm="1">
        <f t="array" ref="Q3117">_xlfn.IFS(Table1[[#This Row],[Wealthier_Winner]]=-1,"Wealthier Nation Loses",Table1[[#This Row],[Wealthier_Winner]]=0,"Tie",Table1[[#This Row],[Wealthier_Winner]]=1,"Wealthier Nation Wins")</f>
        <v>Wealthier Nation Loses</v>
      </c>
    </row>
    <row r="3118" spans="1:17" x14ac:dyDescent="0.2">
      <c r="A3118" s="1">
        <v>4935</v>
      </c>
      <c r="B3118" s="2">
        <v>38507</v>
      </c>
      <c r="C3118" s="7">
        <f>_xlfn.FLOOR.MATH(Table1[[#This Row],[year]],10)</f>
        <v>2000</v>
      </c>
      <c r="D3118" t="s">
        <v>476</v>
      </c>
      <c r="E3118" t="s">
        <v>503</v>
      </c>
      <c r="F3118">
        <v>2</v>
      </c>
      <c r="G3118">
        <v>0</v>
      </c>
      <c r="H3118" t="s">
        <v>224</v>
      </c>
      <c r="I3118" t="s">
        <v>481</v>
      </c>
      <c r="J3118" t="s">
        <v>476</v>
      </c>
      <c r="K3118" t="b">
        <v>0</v>
      </c>
      <c r="L3118">
        <v>2005</v>
      </c>
      <c r="M3118">
        <v>14109491356</v>
      </c>
      <c r="N3118">
        <v>3659319116</v>
      </c>
      <c r="O3118" t="b">
        <v>1</v>
      </c>
      <c r="P3118">
        <v>1</v>
      </c>
      <c r="Q3118" t="str" cm="1">
        <f t="array" ref="Q3118">_xlfn.IFS(Table1[[#This Row],[Wealthier_Winner]]=-1,"Wealthier Nation Loses",Table1[[#This Row],[Wealthier_Winner]]=0,"Tie",Table1[[#This Row],[Wealthier_Winner]]=1,"Wealthier Nation Wins")</f>
        <v>Wealthier Nation Wins</v>
      </c>
    </row>
    <row r="3119" spans="1:17" x14ac:dyDescent="0.2">
      <c r="A3119" s="1">
        <v>4936</v>
      </c>
      <c r="B3119" s="2">
        <v>38507</v>
      </c>
      <c r="C3119" s="7">
        <f>_xlfn.FLOOR.MATH(Table1[[#This Row],[year]],10)</f>
        <v>2000</v>
      </c>
      <c r="D3119" t="s">
        <v>447</v>
      </c>
      <c r="E3119" t="s">
        <v>46</v>
      </c>
      <c r="F3119">
        <v>1</v>
      </c>
      <c r="G3119">
        <v>3</v>
      </c>
      <c r="H3119" t="s">
        <v>224</v>
      </c>
      <c r="I3119" t="s">
        <v>448</v>
      </c>
      <c r="J3119" t="s">
        <v>447</v>
      </c>
      <c r="K3119" t="b">
        <v>0</v>
      </c>
      <c r="L3119">
        <v>2005</v>
      </c>
      <c r="M3119">
        <v>1759739599</v>
      </c>
      <c r="N3119">
        <v>418284865884</v>
      </c>
      <c r="O3119" t="b">
        <v>1</v>
      </c>
      <c r="P3119">
        <v>1</v>
      </c>
      <c r="Q3119" t="str" cm="1">
        <f t="array" ref="Q3119">_xlfn.IFS(Table1[[#This Row],[Wealthier_Winner]]=-1,"Wealthier Nation Loses",Table1[[#This Row],[Wealthier_Winner]]=0,"Tie",Table1[[#This Row],[Wealthier_Winner]]=1,"Wealthier Nation Wins")</f>
        <v>Wealthier Nation Wins</v>
      </c>
    </row>
    <row r="3120" spans="1:17" x14ac:dyDescent="0.2">
      <c r="A3120" s="1">
        <v>4937</v>
      </c>
      <c r="B3120" s="2">
        <v>38507</v>
      </c>
      <c r="C3120" s="7">
        <f>_xlfn.FLOOR.MATH(Table1[[#This Row],[year]],10)</f>
        <v>2000</v>
      </c>
      <c r="D3120" t="s">
        <v>223</v>
      </c>
      <c r="E3120" t="s">
        <v>17</v>
      </c>
      <c r="F3120">
        <v>0</v>
      </c>
      <c r="G3120">
        <v>2</v>
      </c>
      <c r="H3120" t="s">
        <v>224</v>
      </c>
      <c r="I3120" t="s">
        <v>227</v>
      </c>
      <c r="J3120" t="s">
        <v>223</v>
      </c>
      <c r="K3120" t="b">
        <v>0</v>
      </c>
      <c r="L3120">
        <v>2005</v>
      </c>
      <c r="M3120">
        <v>26783389293</v>
      </c>
      <c r="N3120">
        <v>917571853529</v>
      </c>
      <c r="O3120" t="b">
        <v>1</v>
      </c>
      <c r="P3120">
        <v>1</v>
      </c>
      <c r="Q3120" t="str" cm="1">
        <f t="array" ref="Q3120">_xlfn.IFS(Table1[[#This Row],[Wealthier_Winner]]=-1,"Wealthier Nation Loses",Table1[[#This Row],[Wealthier_Winner]]=0,"Tie",Table1[[#This Row],[Wealthier_Winner]]=1,"Wealthier Nation Wins")</f>
        <v>Wealthier Nation Wins</v>
      </c>
    </row>
    <row r="3121" spans="1:17" x14ac:dyDescent="0.2">
      <c r="A3121" s="1">
        <v>4938</v>
      </c>
      <c r="B3121" s="2">
        <v>38507</v>
      </c>
      <c r="C3121" s="7">
        <f>_xlfn.FLOOR.MATH(Table1[[#This Row],[year]],10)</f>
        <v>2000</v>
      </c>
      <c r="D3121" t="s">
        <v>66</v>
      </c>
      <c r="E3121" t="s">
        <v>30</v>
      </c>
      <c r="F3121">
        <v>2</v>
      </c>
      <c r="G3121">
        <v>3</v>
      </c>
      <c r="H3121" t="s">
        <v>224</v>
      </c>
      <c r="I3121" t="s">
        <v>336</v>
      </c>
      <c r="J3121" t="s">
        <v>66</v>
      </c>
      <c r="K3121" t="b">
        <v>0</v>
      </c>
      <c r="L3121">
        <v>2005</v>
      </c>
      <c r="M3121">
        <v>17146410560</v>
      </c>
      <c r="N3121">
        <v>113098237570</v>
      </c>
      <c r="O3121" t="b">
        <v>1</v>
      </c>
      <c r="P3121">
        <v>1</v>
      </c>
      <c r="Q3121" t="str" cm="1">
        <f t="array" ref="Q3121">_xlfn.IFS(Table1[[#This Row],[Wealthier_Winner]]=-1,"Wealthier Nation Loses",Table1[[#This Row],[Wealthier_Winner]]=0,"Tie",Table1[[#This Row],[Wealthier_Winner]]=1,"Wealthier Nation Wins")</f>
        <v>Wealthier Nation Wins</v>
      </c>
    </row>
    <row r="3122" spans="1:17" x14ac:dyDescent="0.2">
      <c r="A3122" s="1">
        <v>4940</v>
      </c>
      <c r="B3122" s="2">
        <v>38507</v>
      </c>
      <c r="C3122" s="7">
        <f>_xlfn.FLOOR.MATH(Table1[[#This Row],[year]],10)</f>
        <v>2000</v>
      </c>
      <c r="D3122" t="s">
        <v>24</v>
      </c>
      <c r="E3122" t="s">
        <v>370</v>
      </c>
      <c r="F3122">
        <v>4</v>
      </c>
      <c r="G3122">
        <v>1</v>
      </c>
      <c r="H3122" t="s">
        <v>224</v>
      </c>
      <c r="I3122" t="s">
        <v>319</v>
      </c>
      <c r="J3122" t="s">
        <v>24</v>
      </c>
      <c r="K3122" t="b">
        <v>0</v>
      </c>
      <c r="L3122">
        <v>2005</v>
      </c>
      <c r="M3122">
        <v>68852658068</v>
      </c>
      <c r="N3122">
        <v>5320409651</v>
      </c>
      <c r="O3122" t="b">
        <v>1</v>
      </c>
      <c r="P3122">
        <v>1</v>
      </c>
      <c r="Q3122" t="str" cm="1">
        <f t="array" ref="Q3122">_xlfn.IFS(Table1[[#This Row],[Wealthier_Winner]]=-1,"Wealthier Nation Loses",Table1[[#This Row],[Wealthier_Winner]]=0,"Tie",Table1[[#This Row],[Wealthier_Winner]]=1,"Wealthier Nation Wins")</f>
        <v>Wealthier Nation Wins</v>
      </c>
    </row>
    <row r="3123" spans="1:17" x14ac:dyDescent="0.2">
      <c r="A3123" s="1">
        <v>4941</v>
      </c>
      <c r="B3123" s="2">
        <v>38507</v>
      </c>
      <c r="C3123" s="7">
        <f>_xlfn.FLOOR.MATH(Table1[[#This Row],[year]],10)</f>
        <v>2000</v>
      </c>
      <c r="D3123" t="s">
        <v>27</v>
      </c>
      <c r="E3123" t="s">
        <v>44</v>
      </c>
      <c r="F3123">
        <v>2</v>
      </c>
      <c r="G3123">
        <v>0</v>
      </c>
      <c r="H3123" t="s">
        <v>224</v>
      </c>
      <c r="I3123" t="s">
        <v>265</v>
      </c>
      <c r="J3123" t="s">
        <v>27</v>
      </c>
      <c r="K3123" t="b">
        <v>0</v>
      </c>
      <c r="L3123">
        <v>2005</v>
      </c>
      <c r="M3123">
        <v>688133699635</v>
      </c>
      <c r="N3123">
        <v>98454380120</v>
      </c>
      <c r="O3123" t="b">
        <v>1</v>
      </c>
      <c r="P3123">
        <v>1</v>
      </c>
      <c r="Q3123" t="str" cm="1">
        <f t="array" ref="Q3123">_xlfn.IFS(Table1[[#This Row],[Wealthier_Winner]]=-1,"Wealthier Nation Loses",Table1[[#This Row],[Wealthier_Winner]]=0,"Tie",Table1[[#This Row],[Wealthier_Winner]]=1,"Wealthier Nation Wins")</f>
        <v>Wealthier Nation Wins</v>
      </c>
    </row>
    <row r="3124" spans="1:17" x14ac:dyDescent="0.2">
      <c r="A3124" s="1">
        <v>4942</v>
      </c>
      <c r="B3124" s="2">
        <v>38507</v>
      </c>
      <c r="C3124" s="7">
        <f>_xlfn.FLOOR.MATH(Table1[[#This Row],[year]],10)</f>
        <v>2000</v>
      </c>
      <c r="D3124" t="s">
        <v>42</v>
      </c>
      <c r="E3124" t="s">
        <v>18</v>
      </c>
      <c r="F3124">
        <v>0</v>
      </c>
      <c r="G3124">
        <v>0</v>
      </c>
      <c r="H3124" t="s">
        <v>224</v>
      </c>
      <c r="I3124" t="s">
        <v>262</v>
      </c>
      <c r="J3124" t="s">
        <v>42</v>
      </c>
      <c r="K3124" t="b">
        <v>0</v>
      </c>
      <c r="L3124">
        <v>2005</v>
      </c>
      <c r="M3124">
        <v>309978579743</v>
      </c>
      <c r="N3124">
        <v>1864982261286</v>
      </c>
      <c r="O3124" t="b">
        <v>1</v>
      </c>
      <c r="P3124">
        <v>0</v>
      </c>
      <c r="Q3124" t="str" cm="1">
        <f t="array" ref="Q3124">_xlfn.IFS(Table1[[#This Row],[Wealthier_Winner]]=-1,"Wealthier Nation Loses",Table1[[#This Row],[Wealthier_Winner]]=0,"Tie",Table1[[#This Row],[Wealthier_Winner]]=1,"Wealthier Nation Wins")</f>
        <v>Tie</v>
      </c>
    </row>
    <row r="3125" spans="1:17" x14ac:dyDescent="0.2">
      <c r="A3125" s="1">
        <v>4944</v>
      </c>
      <c r="B3125" s="2">
        <v>38507</v>
      </c>
      <c r="C3125" s="7">
        <f>_xlfn.FLOOR.MATH(Table1[[#This Row],[year]],10)</f>
        <v>2000</v>
      </c>
      <c r="D3125" t="s">
        <v>196</v>
      </c>
      <c r="E3125" t="s">
        <v>525</v>
      </c>
      <c r="F3125">
        <v>2</v>
      </c>
      <c r="G3125">
        <v>0</v>
      </c>
      <c r="H3125" t="s">
        <v>224</v>
      </c>
      <c r="I3125" t="s">
        <v>187</v>
      </c>
      <c r="J3125" t="s">
        <v>196</v>
      </c>
      <c r="K3125" t="b">
        <v>0</v>
      </c>
      <c r="L3125">
        <v>2005</v>
      </c>
      <c r="M3125">
        <v>764015973481</v>
      </c>
      <c r="N3125">
        <v>16306935905</v>
      </c>
      <c r="O3125" t="b">
        <v>1</v>
      </c>
      <c r="P3125">
        <v>1</v>
      </c>
      <c r="Q3125" t="str" cm="1">
        <f t="array" ref="Q3125">_xlfn.IFS(Table1[[#This Row],[Wealthier_Winner]]=-1,"Wealthier Nation Loses",Table1[[#This Row],[Wealthier_Winner]]=0,"Tie",Table1[[#This Row],[Wealthier_Winner]]=1,"Wealthier Nation Wins")</f>
        <v>Wealthier Nation Wins</v>
      </c>
    </row>
    <row r="3126" spans="1:17" x14ac:dyDescent="0.2">
      <c r="A3126" s="1">
        <v>4945</v>
      </c>
      <c r="B3126" s="2">
        <v>38507</v>
      </c>
      <c r="C3126" s="7">
        <f>_xlfn.FLOOR.MATH(Table1[[#This Row],[year]],10)</f>
        <v>2000</v>
      </c>
      <c r="D3126" t="s">
        <v>549</v>
      </c>
      <c r="E3126" t="s">
        <v>73</v>
      </c>
      <c r="F3126">
        <v>1</v>
      </c>
      <c r="G3126">
        <v>3</v>
      </c>
      <c r="H3126" t="s">
        <v>224</v>
      </c>
      <c r="I3126" t="s">
        <v>555</v>
      </c>
      <c r="J3126" t="s">
        <v>549</v>
      </c>
      <c r="K3126" t="b">
        <v>0</v>
      </c>
      <c r="L3126">
        <v>2005</v>
      </c>
      <c r="M3126">
        <v>1786514058</v>
      </c>
      <c r="N3126">
        <v>11222796336</v>
      </c>
      <c r="O3126" t="b">
        <v>1</v>
      </c>
      <c r="P3126">
        <v>1</v>
      </c>
      <c r="Q3126" t="str" cm="1">
        <f t="array" ref="Q3126">_xlfn.IFS(Table1[[#This Row],[Wealthier_Winner]]=-1,"Wealthier Nation Loses",Table1[[#This Row],[Wealthier_Winner]]=0,"Tie",Table1[[#This Row],[Wealthier_Winner]]=1,"Wealthier Nation Wins")</f>
        <v>Wealthier Nation Wins</v>
      </c>
    </row>
    <row r="3127" spans="1:17" x14ac:dyDescent="0.2">
      <c r="A3127" s="1">
        <v>4947</v>
      </c>
      <c r="B3127" s="2">
        <v>38507</v>
      </c>
      <c r="C3127" s="7">
        <f>_xlfn.FLOOR.MATH(Table1[[#This Row],[year]],10)</f>
        <v>2000</v>
      </c>
      <c r="D3127" t="s">
        <v>61</v>
      </c>
      <c r="E3127" t="s">
        <v>23</v>
      </c>
      <c r="F3127">
        <v>0</v>
      </c>
      <c r="G3127">
        <v>0</v>
      </c>
      <c r="H3127" t="s">
        <v>224</v>
      </c>
      <c r="I3127" t="s">
        <v>505</v>
      </c>
      <c r="J3127" t="s">
        <v>670</v>
      </c>
      <c r="K3127" t="b">
        <v>0</v>
      </c>
      <c r="L3127">
        <v>2005</v>
      </c>
      <c r="M3127">
        <v>28334256180</v>
      </c>
      <c r="N3127">
        <v>385714762230</v>
      </c>
      <c r="O3127" t="b">
        <v>1</v>
      </c>
      <c r="P3127">
        <v>0</v>
      </c>
      <c r="Q3127" t="str" cm="1">
        <f t="array" ref="Q3127">_xlfn.IFS(Table1[[#This Row],[Wealthier_Winner]]=-1,"Wealthier Nation Loses",Table1[[#This Row],[Wealthier_Winner]]=0,"Tie",Table1[[#This Row],[Wealthier_Winner]]=1,"Wealthier Nation Wins")</f>
        <v>Tie</v>
      </c>
    </row>
    <row r="3128" spans="1:17" x14ac:dyDescent="0.2">
      <c r="A3128" s="1">
        <v>4948</v>
      </c>
      <c r="B3128" s="2">
        <v>38507</v>
      </c>
      <c r="C3128" s="7">
        <f>_xlfn.FLOOR.MATH(Table1[[#This Row],[year]],10)</f>
        <v>2000</v>
      </c>
      <c r="D3128" t="s">
        <v>21</v>
      </c>
      <c r="E3128" t="s">
        <v>523</v>
      </c>
      <c r="F3128">
        <v>1</v>
      </c>
      <c r="G3128">
        <v>0</v>
      </c>
      <c r="H3128" t="s">
        <v>224</v>
      </c>
      <c r="I3128" t="s">
        <v>99</v>
      </c>
      <c r="J3128" t="s">
        <v>21</v>
      </c>
      <c r="K3128" t="b">
        <v>0</v>
      </c>
      <c r="L3128">
        <v>2005</v>
      </c>
      <c r="M3128">
        <v>1154667551775</v>
      </c>
      <c r="N3128">
        <v>26105207115</v>
      </c>
      <c r="O3128" t="b">
        <v>1</v>
      </c>
      <c r="P3128">
        <v>1</v>
      </c>
      <c r="Q3128" t="str" cm="1">
        <f t="array" ref="Q3128">_xlfn.IFS(Table1[[#This Row],[Wealthier_Winner]]=-1,"Wealthier Nation Loses",Table1[[#This Row],[Wealthier_Winner]]=0,"Tie",Table1[[#This Row],[Wealthier_Winner]]=1,"Wealthier Nation Wins")</f>
        <v>Wealthier Nation Wins</v>
      </c>
    </row>
    <row r="3129" spans="1:17" x14ac:dyDescent="0.2">
      <c r="A3129" s="1">
        <v>4949</v>
      </c>
      <c r="B3129" s="2">
        <v>38507</v>
      </c>
      <c r="C3129" s="7">
        <f>_xlfn.FLOOR.MATH(Table1[[#This Row],[year]],10)</f>
        <v>2000</v>
      </c>
      <c r="D3129" t="s">
        <v>25</v>
      </c>
      <c r="E3129" t="s">
        <v>303</v>
      </c>
      <c r="F3129">
        <v>6</v>
      </c>
      <c r="G3129">
        <v>0</v>
      </c>
      <c r="H3129" t="s">
        <v>224</v>
      </c>
      <c r="I3129" t="s">
        <v>317</v>
      </c>
      <c r="J3129" t="s">
        <v>25</v>
      </c>
      <c r="K3129" t="b">
        <v>0</v>
      </c>
      <c r="L3129">
        <v>2005</v>
      </c>
      <c r="M3129">
        <v>391688455928</v>
      </c>
      <c r="N3129">
        <v>6393234992</v>
      </c>
      <c r="O3129" t="b">
        <v>1</v>
      </c>
      <c r="P3129">
        <v>1</v>
      </c>
      <c r="Q3129" t="str" cm="1">
        <f t="array" ref="Q3129">_xlfn.IFS(Table1[[#This Row],[Wealthier_Winner]]=-1,"Wealthier Nation Loses",Table1[[#This Row],[Wealthier_Winner]]=0,"Tie",Table1[[#This Row],[Wealthier_Winner]]=1,"Wealthier Nation Wins")</f>
        <v>Wealthier Nation Wins</v>
      </c>
    </row>
    <row r="3130" spans="1:17" x14ac:dyDescent="0.2">
      <c r="A3130" s="1">
        <v>4950</v>
      </c>
      <c r="B3130" s="2">
        <v>38507</v>
      </c>
      <c r="C3130" s="7">
        <f>_xlfn.FLOOR.MATH(Table1[[#This Row],[year]],10)</f>
        <v>2000</v>
      </c>
      <c r="D3130" t="s">
        <v>59</v>
      </c>
      <c r="E3130" t="s">
        <v>67</v>
      </c>
      <c r="F3130">
        <v>2</v>
      </c>
      <c r="G3130">
        <v>0</v>
      </c>
      <c r="H3130" t="s">
        <v>224</v>
      </c>
      <c r="I3130" t="s">
        <v>253</v>
      </c>
      <c r="J3130" t="s">
        <v>59</v>
      </c>
      <c r="K3130" t="b">
        <v>0</v>
      </c>
      <c r="L3130">
        <v>2005</v>
      </c>
      <c r="M3130">
        <v>15982389018</v>
      </c>
      <c r="N3130">
        <v>16623906739</v>
      </c>
      <c r="O3130" t="b">
        <v>0</v>
      </c>
      <c r="P3130">
        <v>-1</v>
      </c>
      <c r="Q3130" t="str" cm="1">
        <f t="array" ref="Q3130">_xlfn.IFS(Table1[[#This Row],[Wealthier_Winner]]=-1,"Wealthier Nation Loses",Table1[[#This Row],[Wealthier_Winner]]=0,"Tie",Table1[[#This Row],[Wealthier_Winner]]=1,"Wealthier Nation Wins")</f>
        <v>Wealthier Nation Loses</v>
      </c>
    </row>
    <row r="3131" spans="1:17" x14ac:dyDescent="0.2">
      <c r="A3131" s="1">
        <v>4952</v>
      </c>
      <c r="B3131" s="2">
        <v>38507</v>
      </c>
      <c r="C3131" s="7">
        <f>_xlfn.FLOOR.MATH(Table1[[#This Row],[year]],10)</f>
        <v>2000</v>
      </c>
      <c r="D3131" t="s">
        <v>64</v>
      </c>
      <c r="E3131" t="s">
        <v>558</v>
      </c>
      <c r="F3131">
        <v>2</v>
      </c>
      <c r="G3131">
        <v>0</v>
      </c>
      <c r="H3131" t="s">
        <v>224</v>
      </c>
      <c r="I3131" t="s">
        <v>423</v>
      </c>
      <c r="J3131" t="s">
        <v>64</v>
      </c>
      <c r="K3131" t="b">
        <v>0</v>
      </c>
      <c r="L3131">
        <v>2005</v>
      </c>
      <c r="M3131">
        <v>89238865118</v>
      </c>
      <c r="N3131">
        <v>57123671733</v>
      </c>
      <c r="O3131" t="b">
        <v>0</v>
      </c>
      <c r="P3131">
        <v>1</v>
      </c>
      <c r="Q3131" t="str" cm="1">
        <f t="array" ref="Q3131">_xlfn.IFS(Table1[[#This Row],[Wealthier_Winner]]=-1,"Wealthier Nation Loses",Table1[[#This Row],[Wealthier_Winner]]=0,"Tie",Table1[[#This Row],[Wealthier_Winner]]=1,"Wealthier Nation Wins")</f>
        <v>Wealthier Nation Wins</v>
      </c>
    </row>
    <row r="3132" spans="1:17" x14ac:dyDescent="0.2">
      <c r="A3132" s="1">
        <v>4953</v>
      </c>
      <c r="B3132" s="2">
        <v>38507</v>
      </c>
      <c r="C3132" s="7">
        <f>_xlfn.FLOOR.MATH(Table1[[#This Row],[year]],10)</f>
        <v>2000</v>
      </c>
      <c r="D3132" t="s">
        <v>41</v>
      </c>
      <c r="E3132" t="s">
        <v>56</v>
      </c>
      <c r="F3132">
        <v>3</v>
      </c>
      <c r="G3132">
        <v>0</v>
      </c>
      <c r="H3132" t="s">
        <v>224</v>
      </c>
      <c r="I3132" t="s">
        <v>673</v>
      </c>
      <c r="J3132" t="s">
        <v>41</v>
      </c>
      <c r="K3132" t="b">
        <v>0</v>
      </c>
      <c r="L3132">
        <v>2005</v>
      </c>
      <c r="M3132">
        <v>13039199193000</v>
      </c>
      <c r="N3132">
        <v>20040642476</v>
      </c>
      <c r="O3132" t="b">
        <v>1</v>
      </c>
      <c r="P3132">
        <v>1</v>
      </c>
      <c r="Q3132" t="str" cm="1">
        <f t="array" ref="Q3132">_xlfn.IFS(Table1[[#This Row],[Wealthier_Winner]]=-1,"Wealthier Nation Loses",Table1[[#This Row],[Wealthier_Winner]]=0,"Tie",Table1[[#This Row],[Wealthier_Winner]]=1,"Wealthier Nation Wins")</f>
        <v>Wealthier Nation Wins</v>
      </c>
    </row>
    <row r="3133" spans="1:17" x14ac:dyDescent="0.2">
      <c r="A3133" s="1">
        <v>4954</v>
      </c>
      <c r="B3133" s="2">
        <v>38507</v>
      </c>
      <c r="C3133" s="7">
        <f>_xlfn.FLOOR.MATH(Table1[[#This Row],[year]],10)</f>
        <v>2000</v>
      </c>
      <c r="D3133" t="s">
        <v>258</v>
      </c>
      <c r="E3133" t="s">
        <v>26</v>
      </c>
      <c r="F3133">
        <v>1</v>
      </c>
      <c r="G3133">
        <v>1</v>
      </c>
      <c r="H3133" t="s">
        <v>224</v>
      </c>
      <c r="I3133" t="s">
        <v>572</v>
      </c>
      <c r="J3133" t="s">
        <v>258</v>
      </c>
      <c r="K3133" t="b">
        <v>0</v>
      </c>
      <c r="L3133">
        <v>2005</v>
      </c>
      <c r="M3133">
        <v>145513489651</v>
      </c>
      <c r="N3133">
        <v>17362857683</v>
      </c>
      <c r="O3133" t="b">
        <v>1</v>
      </c>
      <c r="P3133">
        <v>0</v>
      </c>
      <c r="Q3133" t="str" cm="1">
        <f t="array" ref="Q3133">_xlfn.IFS(Table1[[#This Row],[Wealthier_Winner]]=-1,"Wealthier Nation Loses",Table1[[#This Row],[Wealthier_Winner]]=0,"Tie",Table1[[#This Row],[Wealthier_Winner]]=1,"Wealthier Nation Wins")</f>
        <v>Tie</v>
      </c>
    </row>
    <row r="3134" spans="1:17" x14ac:dyDescent="0.2">
      <c r="A3134" s="1">
        <v>4955</v>
      </c>
      <c r="B3134" s="2">
        <v>38508</v>
      </c>
      <c r="C3134" s="7">
        <f>_xlfn.FLOOR.MATH(Table1[[#This Row],[year]],10)</f>
        <v>2000</v>
      </c>
      <c r="D3134" t="s">
        <v>60</v>
      </c>
      <c r="E3134" t="s">
        <v>32</v>
      </c>
      <c r="F3134">
        <v>2</v>
      </c>
      <c r="G3134">
        <v>1</v>
      </c>
      <c r="H3134" t="s">
        <v>224</v>
      </c>
      <c r="I3134" t="s">
        <v>396</v>
      </c>
      <c r="J3134" t="s">
        <v>60</v>
      </c>
      <c r="K3134" t="b">
        <v>0</v>
      </c>
      <c r="L3134">
        <v>2005</v>
      </c>
      <c r="M3134">
        <v>41396636383</v>
      </c>
      <c r="N3134">
        <v>107046618669</v>
      </c>
      <c r="O3134" t="b">
        <v>1</v>
      </c>
      <c r="P3134">
        <v>-1</v>
      </c>
      <c r="Q3134" t="str" cm="1">
        <f t="array" ref="Q3134">_xlfn.IFS(Table1[[#This Row],[Wealthier_Winner]]=-1,"Wealthier Nation Loses",Table1[[#This Row],[Wealthier_Winner]]=0,"Tie",Table1[[#This Row],[Wealthier_Winner]]=1,"Wealthier Nation Wins")</f>
        <v>Wealthier Nation Loses</v>
      </c>
    </row>
    <row r="3135" spans="1:17" x14ac:dyDescent="0.2">
      <c r="A3135" s="1">
        <v>4956</v>
      </c>
      <c r="B3135" s="2">
        <v>38508</v>
      </c>
      <c r="C3135" s="7">
        <f>_xlfn.FLOOR.MATH(Table1[[#This Row],[year]],10)</f>
        <v>2000</v>
      </c>
      <c r="D3135" t="s">
        <v>13</v>
      </c>
      <c r="E3135" t="s">
        <v>35</v>
      </c>
      <c r="F3135">
        <v>4</v>
      </c>
      <c r="G3135">
        <v>1</v>
      </c>
      <c r="H3135" t="s">
        <v>224</v>
      </c>
      <c r="I3135" t="s">
        <v>174</v>
      </c>
      <c r="J3135" t="s">
        <v>13</v>
      </c>
      <c r="K3135" t="b">
        <v>0</v>
      </c>
      <c r="L3135">
        <v>2005</v>
      </c>
      <c r="M3135">
        <v>891633826625</v>
      </c>
      <c r="N3135">
        <v>10737500188</v>
      </c>
      <c r="O3135" t="b">
        <v>1</v>
      </c>
      <c r="P3135">
        <v>1</v>
      </c>
      <c r="Q3135" t="str" cm="1">
        <f t="array" ref="Q3135">_xlfn.IFS(Table1[[#This Row],[Wealthier_Winner]]=-1,"Wealthier Nation Loses",Table1[[#This Row],[Wealthier_Winner]]=0,"Tie",Table1[[#This Row],[Wealthier_Winner]]=1,"Wealthier Nation Wins")</f>
        <v>Wealthier Nation Wins</v>
      </c>
    </row>
    <row r="3136" spans="1:17" x14ac:dyDescent="0.2">
      <c r="A3136" s="1">
        <v>4959</v>
      </c>
      <c r="B3136" s="2">
        <v>38508</v>
      </c>
      <c r="C3136" s="7">
        <f>_xlfn.FLOOR.MATH(Table1[[#This Row],[year]],10)</f>
        <v>2000</v>
      </c>
      <c r="D3136" t="s">
        <v>212</v>
      </c>
      <c r="E3136" t="s">
        <v>274</v>
      </c>
      <c r="F3136">
        <v>6</v>
      </c>
      <c r="G3136">
        <v>1</v>
      </c>
      <c r="H3136" t="s">
        <v>224</v>
      </c>
      <c r="I3136" t="s">
        <v>322</v>
      </c>
      <c r="J3136" t="s">
        <v>212</v>
      </c>
      <c r="K3136" t="b">
        <v>0</v>
      </c>
      <c r="L3136">
        <v>2005</v>
      </c>
      <c r="M3136">
        <v>89660339660</v>
      </c>
      <c r="N3136">
        <v>35182711987</v>
      </c>
      <c r="O3136" t="b">
        <v>1</v>
      </c>
      <c r="P3136">
        <v>1</v>
      </c>
      <c r="Q3136" t="str" cm="1">
        <f t="array" ref="Q3136">_xlfn.IFS(Table1[[#This Row],[Wealthier_Winner]]=-1,"Wealthier Nation Loses",Table1[[#This Row],[Wealthier_Winner]]=0,"Tie",Table1[[#This Row],[Wealthier_Winner]]=1,"Wealthier Nation Wins")</f>
        <v>Wealthier Nation Wins</v>
      </c>
    </row>
    <row r="3137" spans="1:17" x14ac:dyDescent="0.2">
      <c r="A3137" s="1">
        <v>4960</v>
      </c>
      <c r="B3137" s="2">
        <v>38508</v>
      </c>
      <c r="C3137" s="7">
        <f>_xlfn.FLOOR.MATH(Table1[[#This Row],[year]],10)</f>
        <v>2000</v>
      </c>
      <c r="D3137" t="s">
        <v>63</v>
      </c>
      <c r="E3137" t="s">
        <v>345</v>
      </c>
      <c r="F3137">
        <v>2</v>
      </c>
      <c r="G3137">
        <v>1</v>
      </c>
      <c r="H3137" t="s">
        <v>224</v>
      </c>
      <c r="I3137" t="s">
        <v>313</v>
      </c>
      <c r="J3137" t="s">
        <v>63</v>
      </c>
      <c r="K3137" t="b">
        <v>0</v>
      </c>
      <c r="L3137">
        <v>2005</v>
      </c>
      <c r="M3137">
        <v>10744568381</v>
      </c>
      <c r="N3137">
        <v>6146353173</v>
      </c>
      <c r="O3137" t="b">
        <v>0</v>
      </c>
      <c r="P3137">
        <v>1</v>
      </c>
      <c r="Q3137" t="str" cm="1">
        <f t="array" ref="Q3137">_xlfn.IFS(Table1[[#This Row],[Wealthier_Winner]]=-1,"Wealthier Nation Loses",Table1[[#This Row],[Wealthier_Winner]]=0,"Tie",Table1[[#This Row],[Wealthier_Winner]]=1,"Wealthier Nation Wins")</f>
        <v>Wealthier Nation Wins</v>
      </c>
    </row>
    <row r="3138" spans="1:17" x14ac:dyDescent="0.2">
      <c r="A3138" s="1">
        <v>4961</v>
      </c>
      <c r="B3138" s="2">
        <v>38508</v>
      </c>
      <c r="C3138" s="7">
        <f>_xlfn.FLOOR.MATH(Table1[[#This Row],[year]],10)</f>
        <v>2000</v>
      </c>
      <c r="D3138" t="s">
        <v>305</v>
      </c>
      <c r="E3138" t="s">
        <v>314</v>
      </c>
      <c r="F3138">
        <v>1</v>
      </c>
      <c r="G3138">
        <v>0</v>
      </c>
      <c r="H3138" t="s">
        <v>224</v>
      </c>
      <c r="I3138" t="s">
        <v>306</v>
      </c>
      <c r="J3138" t="s">
        <v>305</v>
      </c>
      <c r="K3138" t="b">
        <v>0</v>
      </c>
      <c r="L3138">
        <v>2005</v>
      </c>
      <c r="M3138">
        <v>4282468636</v>
      </c>
      <c r="N3138">
        <v>18737895512</v>
      </c>
      <c r="O3138" t="b">
        <v>1</v>
      </c>
      <c r="P3138">
        <v>-1</v>
      </c>
      <c r="Q3138" t="str" cm="1">
        <f t="array" ref="Q3138">_xlfn.IFS(Table1[[#This Row],[Wealthier_Winner]]=-1,"Wealthier Nation Loses",Table1[[#This Row],[Wealthier_Winner]]=0,"Tie",Table1[[#This Row],[Wealthier_Winner]]=1,"Wealthier Nation Wins")</f>
        <v>Wealthier Nation Loses</v>
      </c>
    </row>
    <row r="3139" spans="1:17" x14ac:dyDescent="0.2">
      <c r="A3139" s="1">
        <v>4962</v>
      </c>
      <c r="B3139" s="2">
        <v>38508</v>
      </c>
      <c r="C3139" s="7">
        <f>_xlfn.FLOOR.MATH(Table1[[#This Row],[year]],10)</f>
        <v>2000</v>
      </c>
      <c r="D3139" t="s">
        <v>590</v>
      </c>
      <c r="E3139" t="s">
        <v>378</v>
      </c>
      <c r="F3139">
        <v>4</v>
      </c>
      <c r="G3139">
        <v>1</v>
      </c>
      <c r="H3139" t="s">
        <v>224</v>
      </c>
      <c r="I3139" t="s">
        <v>674</v>
      </c>
      <c r="J3139" t="s">
        <v>590</v>
      </c>
      <c r="K3139" t="b">
        <v>0</v>
      </c>
      <c r="L3139">
        <v>2005</v>
      </c>
      <c r="M3139">
        <v>7429066951</v>
      </c>
      <c r="N3139">
        <v>949000000</v>
      </c>
      <c r="O3139" t="b">
        <v>1</v>
      </c>
      <c r="P3139">
        <v>1</v>
      </c>
      <c r="Q3139" t="str" cm="1">
        <f t="array" ref="Q3139">_xlfn.IFS(Table1[[#This Row],[Wealthier_Winner]]=-1,"Wealthier Nation Loses",Table1[[#This Row],[Wealthier_Winner]]=0,"Tie",Table1[[#This Row],[Wealthier_Winner]]=1,"Wealthier Nation Wins")</f>
        <v>Wealthier Nation Wins</v>
      </c>
    </row>
    <row r="3140" spans="1:17" x14ac:dyDescent="0.2">
      <c r="A3140" s="1">
        <v>4963</v>
      </c>
      <c r="B3140" s="2">
        <v>38508</v>
      </c>
      <c r="C3140" s="7">
        <f>_xlfn.FLOOR.MATH(Table1[[#This Row],[year]],10)</f>
        <v>2000</v>
      </c>
      <c r="D3140" t="s">
        <v>514</v>
      </c>
      <c r="E3140" t="s">
        <v>43</v>
      </c>
      <c r="F3140">
        <v>1</v>
      </c>
      <c r="G3140">
        <v>1</v>
      </c>
      <c r="H3140" t="s">
        <v>224</v>
      </c>
      <c r="I3140" t="s">
        <v>515</v>
      </c>
      <c r="J3140" t="s">
        <v>514</v>
      </c>
      <c r="K3140" t="b">
        <v>0</v>
      </c>
      <c r="L3140">
        <v>2005</v>
      </c>
      <c r="M3140">
        <v>2933819766</v>
      </c>
      <c r="N3140">
        <v>175670569969</v>
      </c>
      <c r="O3140" t="b">
        <v>1</v>
      </c>
      <c r="P3140">
        <v>0</v>
      </c>
      <c r="Q3140" t="str" cm="1">
        <f t="array" ref="Q3140">_xlfn.IFS(Table1[[#This Row],[Wealthier_Winner]]=-1,"Wealthier Nation Loses",Table1[[#This Row],[Wealthier_Winner]]=0,"Tie",Table1[[#This Row],[Wealthier_Winner]]=1,"Wealthier Nation Wins")</f>
        <v>Tie</v>
      </c>
    </row>
    <row r="3141" spans="1:17" x14ac:dyDescent="0.2">
      <c r="A3141" s="1">
        <v>4964</v>
      </c>
      <c r="B3141" s="2">
        <v>38508</v>
      </c>
      <c r="C3141" s="7">
        <f>_xlfn.FLOOR.MATH(Table1[[#This Row],[year]],10)</f>
        <v>2000</v>
      </c>
      <c r="D3141" t="s">
        <v>62</v>
      </c>
      <c r="E3141" t="s">
        <v>273</v>
      </c>
      <c r="F3141">
        <v>4</v>
      </c>
      <c r="G3141">
        <v>1</v>
      </c>
      <c r="H3141" t="s">
        <v>224</v>
      </c>
      <c r="I3141" t="s">
        <v>353</v>
      </c>
      <c r="J3141" t="s">
        <v>62</v>
      </c>
      <c r="K3141" t="b">
        <v>0</v>
      </c>
      <c r="L3141">
        <v>2005</v>
      </c>
      <c r="M3141">
        <v>3221910408</v>
      </c>
      <c r="N3141">
        <v>8331870169</v>
      </c>
      <c r="O3141" t="b">
        <v>1</v>
      </c>
      <c r="P3141">
        <v>-1</v>
      </c>
      <c r="Q3141" t="str" cm="1">
        <f t="array" ref="Q3141">_xlfn.IFS(Table1[[#This Row],[Wealthier_Winner]]=-1,"Wealthier Nation Loses",Table1[[#This Row],[Wealthier_Winner]]=0,"Tie",Table1[[#This Row],[Wealthier_Winner]]=1,"Wealthier Nation Wins")</f>
        <v>Wealthier Nation Loses</v>
      </c>
    </row>
    <row r="3142" spans="1:17" x14ac:dyDescent="0.2">
      <c r="A3142" s="1">
        <v>4965</v>
      </c>
      <c r="B3142" s="2">
        <v>38508</v>
      </c>
      <c r="C3142" s="7">
        <f>_xlfn.FLOOR.MATH(Table1[[#This Row],[year]],10)</f>
        <v>2000</v>
      </c>
      <c r="D3142" t="s">
        <v>298</v>
      </c>
      <c r="E3142" t="s">
        <v>433</v>
      </c>
      <c r="F3142">
        <v>1</v>
      </c>
      <c r="G3142">
        <v>0</v>
      </c>
      <c r="H3142" t="s">
        <v>224</v>
      </c>
      <c r="I3142" t="s">
        <v>377</v>
      </c>
      <c r="J3142" t="s">
        <v>298</v>
      </c>
      <c r="K3142" t="b">
        <v>0</v>
      </c>
      <c r="L3142">
        <v>2005</v>
      </c>
      <c r="M3142">
        <v>5758250000</v>
      </c>
      <c r="N3142">
        <v>9582783990</v>
      </c>
      <c r="O3142" t="b">
        <v>0</v>
      </c>
      <c r="P3142">
        <v>-1</v>
      </c>
      <c r="Q3142" t="str" cm="1">
        <f t="array" ref="Q3142">_xlfn.IFS(Table1[[#This Row],[Wealthier_Winner]]=-1,"Wealthier Nation Loses",Table1[[#This Row],[Wealthier_Winner]]=0,"Tie",Table1[[#This Row],[Wealthier_Winner]]=1,"Wealthier Nation Wins")</f>
        <v>Wealthier Nation Loses</v>
      </c>
    </row>
    <row r="3143" spans="1:17" x14ac:dyDescent="0.2">
      <c r="A3143" s="1">
        <v>4966</v>
      </c>
      <c r="B3143" s="2">
        <v>38510</v>
      </c>
      <c r="C3143" s="7">
        <f>_xlfn.FLOOR.MATH(Table1[[#This Row],[year]],10)</f>
        <v>2000</v>
      </c>
      <c r="D3143" t="s">
        <v>31</v>
      </c>
      <c r="E3143" t="s">
        <v>26</v>
      </c>
      <c r="F3143">
        <v>0</v>
      </c>
      <c r="G3143">
        <v>0</v>
      </c>
      <c r="H3143" t="s">
        <v>224</v>
      </c>
      <c r="I3143" t="s">
        <v>242</v>
      </c>
      <c r="J3143" t="s">
        <v>31</v>
      </c>
      <c r="K3143" t="b">
        <v>0</v>
      </c>
      <c r="L3143">
        <v>2005</v>
      </c>
      <c r="M3143">
        <v>76060606060</v>
      </c>
      <c r="N3143">
        <v>17362857683</v>
      </c>
      <c r="O3143" t="b">
        <v>1</v>
      </c>
      <c r="P3143">
        <v>0</v>
      </c>
      <c r="Q3143" t="str" cm="1">
        <f t="array" ref="Q3143">_xlfn.IFS(Table1[[#This Row],[Wealthier_Winner]]=-1,"Wealthier Nation Loses",Table1[[#This Row],[Wealthier_Winner]]=0,"Tie",Table1[[#This Row],[Wealthier_Winner]]=1,"Wealthier Nation Wins")</f>
        <v>Tie</v>
      </c>
    </row>
    <row r="3144" spans="1:17" x14ac:dyDescent="0.2">
      <c r="A3144" s="1">
        <v>4967</v>
      </c>
      <c r="B3144" s="2">
        <v>38511</v>
      </c>
      <c r="C3144" s="7">
        <f>_xlfn.FLOOR.MATH(Table1[[#This Row],[year]],10)</f>
        <v>2000</v>
      </c>
      <c r="D3144" t="s">
        <v>19</v>
      </c>
      <c r="E3144" t="s">
        <v>13</v>
      </c>
      <c r="F3144">
        <v>3</v>
      </c>
      <c r="G3144">
        <v>1</v>
      </c>
      <c r="H3144" t="s">
        <v>224</v>
      </c>
      <c r="I3144" t="s">
        <v>93</v>
      </c>
      <c r="J3144" t="s">
        <v>19</v>
      </c>
      <c r="K3144" t="b">
        <v>0</v>
      </c>
      <c r="L3144">
        <v>2005</v>
      </c>
      <c r="M3144">
        <v>198737095012</v>
      </c>
      <c r="N3144">
        <v>891633826625</v>
      </c>
      <c r="O3144" t="b">
        <v>1</v>
      </c>
      <c r="P3144">
        <v>-1</v>
      </c>
      <c r="Q3144" t="str" cm="1">
        <f t="array" ref="Q3144">_xlfn.IFS(Table1[[#This Row],[Wealthier_Winner]]=-1,"Wealthier Nation Loses",Table1[[#This Row],[Wealthier_Winner]]=0,"Tie",Table1[[#This Row],[Wealthier_Winner]]=1,"Wealthier Nation Wins")</f>
        <v>Wealthier Nation Loses</v>
      </c>
    </row>
    <row r="3145" spans="1:17" x14ac:dyDescent="0.2">
      <c r="A3145" s="1">
        <v>4969</v>
      </c>
      <c r="B3145" s="2">
        <v>38511</v>
      </c>
      <c r="C3145" s="7">
        <f>_xlfn.FLOOR.MATH(Table1[[#This Row],[year]],10)</f>
        <v>2000</v>
      </c>
      <c r="D3145" t="s">
        <v>14</v>
      </c>
      <c r="E3145" t="s">
        <v>258</v>
      </c>
      <c r="F3145">
        <v>2</v>
      </c>
      <c r="G3145">
        <v>1</v>
      </c>
      <c r="H3145" t="s">
        <v>224</v>
      </c>
      <c r="I3145" t="s">
        <v>75</v>
      </c>
      <c r="J3145" t="s">
        <v>14</v>
      </c>
      <c r="K3145" t="b">
        <v>0</v>
      </c>
      <c r="L3145">
        <v>2005</v>
      </c>
      <c r="M3145">
        <v>122294145163</v>
      </c>
      <c r="N3145">
        <v>145513489651</v>
      </c>
      <c r="O3145" t="b">
        <v>0</v>
      </c>
      <c r="P3145">
        <v>-1</v>
      </c>
      <c r="Q3145" t="str" cm="1">
        <f t="array" ref="Q3145">_xlfn.IFS(Table1[[#This Row],[Wealthier_Winner]]=-1,"Wealthier Nation Loses",Table1[[#This Row],[Wealthier_Winner]]=0,"Tie",Table1[[#This Row],[Wealthier_Winner]]=1,"Wealthier Nation Wins")</f>
        <v>Wealthier Nation Loses</v>
      </c>
    </row>
    <row r="3146" spans="1:17" x14ac:dyDescent="0.2">
      <c r="A3146" s="1">
        <v>4970</v>
      </c>
      <c r="B3146" s="2">
        <v>38511</v>
      </c>
      <c r="C3146" s="7">
        <f>_xlfn.FLOOR.MATH(Table1[[#This Row],[year]],10)</f>
        <v>2000</v>
      </c>
      <c r="D3146" t="s">
        <v>15</v>
      </c>
      <c r="E3146" t="s">
        <v>57</v>
      </c>
      <c r="F3146">
        <v>3</v>
      </c>
      <c r="G3146">
        <v>0</v>
      </c>
      <c r="H3146" t="s">
        <v>224</v>
      </c>
      <c r="I3146" t="s">
        <v>261</v>
      </c>
      <c r="J3146" t="s">
        <v>15</v>
      </c>
      <c r="K3146" t="b">
        <v>0</v>
      </c>
      <c r="L3146">
        <v>2005</v>
      </c>
      <c r="M3146">
        <v>145600529605</v>
      </c>
      <c r="N3146">
        <v>40278849000</v>
      </c>
      <c r="O3146" t="b">
        <v>1</v>
      </c>
      <c r="P3146">
        <v>1</v>
      </c>
      <c r="Q3146" t="str" cm="1">
        <f t="array" ref="Q3146">_xlfn.IFS(Table1[[#This Row],[Wealthier_Winner]]=-1,"Wealthier Nation Loses",Table1[[#This Row],[Wealthier_Winner]]=0,"Tie",Table1[[#This Row],[Wealthier_Winner]]=1,"Wealthier Nation Wins")</f>
        <v>Wealthier Nation Wins</v>
      </c>
    </row>
    <row r="3147" spans="1:17" x14ac:dyDescent="0.2">
      <c r="A3147" s="1">
        <v>4971</v>
      </c>
      <c r="B3147" s="2">
        <v>38511</v>
      </c>
      <c r="C3147" s="7">
        <f>_xlfn.FLOOR.MATH(Table1[[#This Row],[year]],10)</f>
        <v>2000</v>
      </c>
      <c r="D3147" t="s">
        <v>56</v>
      </c>
      <c r="E3147" t="s">
        <v>223</v>
      </c>
      <c r="F3147">
        <v>3</v>
      </c>
      <c r="G3147">
        <v>2</v>
      </c>
      <c r="H3147" t="s">
        <v>224</v>
      </c>
      <c r="I3147" t="s">
        <v>225</v>
      </c>
      <c r="J3147" t="s">
        <v>56</v>
      </c>
      <c r="K3147" t="b">
        <v>0</v>
      </c>
      <c r="L3147">
        <v>2005</v>
      </c>
      <c r="M3147">
        <v>20040642476</v>
      </c>
      <c r="N3147">
        <v>26783389293</v>
      </c>
      <c r="O3147" t="b">
        <v>0</v>
      </c>
      <c r="P3147">
        <v>-1</v>
      </c>
      <c r="Q3147" t="str" cm="1">
        <f t="array" ref="Q3147">_xlfn.IFS(Table1[[#This Row],[Wealthier_Winner]]=-1,"Wealthier Nation Loses",Table1[[#This Row],[Wealthier_Winner]]=0,"Tie",Table1[[#This Row],[Wealthier_Winner]]=1,"Wealthier Nation Wins")</f>
        <v>Wealthier Nation Loses</v>
      </c>
    </row>
    <row r="3148" spans="1:17" x14ac:dyDescent="0.2">
      <c r="A3148" s="1">
        <v>4973</v>
      </c>
      <c r="B3148" s="2">
        <v>38511</v>
      </c>
      <c r="C3148" s="7">
        <f>_xlfn.FLOOR.MATH(Table1[[#This Row],[year]],10)</f>
        <v>2000</v>
      </c>
      <c r="D3148" t="s">
        <v>36</v>
      </c>
      <c r="E3148" t="s">
        <v>373</v>
      </c>
      <c r="F3148">
        <v>3</v>
      </c>
      <c r="G3148">
        <v>1</v>
      </c>
      <c r="H3148" t="s">
        <v>224</v>
      </c>
      <c r="I3148" t="s">
        <v>264</v>
      </c>
      <c r="J3148" t="s">
        <v>36</v>
      </c>
      <c r="K3148" t="b">
        <v>0</v>
      </c>
      <c r="L3148">
        <v>2005</v>
      </c>
      <c r="M3148">
        <v>265150087711</v>
      </c>
      <c r="N3148">
        <v>8256658249</v>
      </c>
      <c r="O3148" t="b">
        <v>1</v>
      </c>
      <c r="P3148">
        <v>1</v>
      </c>
      <c r="Q3148" t="str" cm="1">
        <f t="array" ref="Q3148">_xlfn.IFS(Table1[[#This Row],[Wealthier_Winner]]=-1,"Wealthier Nation Loses",Table1[[#This Row],[Wealthier_Winner]]=0,"Tie",Table1[[#This Row],[Wealthier_Winner]]=1,"Wealthier Nation Wins")</f>
        <v>Wealthier Nation Wins</v>
      </c>
    </row>
    <row r="3149" spans="1:17" x14ac:dyDescent="0.2">
      <c r="A3149" s="1">
        <v>4974</v>
      </c>
      <c r="B3149" s="2">
        <v>38511</v>
      </c>
      <c r="C3149" s="7">
        <f>_xlfn.FLOOR.MATH(Table1[[#This Row],[year]],10)</f>
        <v>2000</v>
      </c>
      <c r="D3149" t="s">
        <v>476</v>
      </c>
      <c r="E3149" t="s">
        <v>38</v>
      </c>
      <c r="F3149">
        <v>0</v>
      </c>
      <c r="G3149">
        <v>1</v>
      </c>
      <c r="H3149" t="s">
        <v>224</v>
      </c>
      <c r="I3149" t="s">
        <v>481</v>
      </c>
      <c r="J3149" t="s">
        <v>476</v>
      </c>
      <c r="K3149" t="b">
        <v>0</v>
      </c>
      <c r="L3149">
        <v>2005</v>
      </c>
      <c r="M3149">
        <v>14109491356</v>
      </c>
      <c r="N3149">
        <v>197253876704</v>
      </c>
      <c r="O3149" t="b">
        <v>1</v>
      </c>
      <c r="P3149">
        <v>1</v>
      </c>
      <c r="Q3149" t="str" cm="1">
        <f t="array" ref="Q3149">_xlfn.IFS(Table1[[#This Row],[Wealthier_Winner]]=-1,"Wealthier Nation Loses",Table1[[#This Row],[Wealthier_Winner]]=0,"Tie",Table1[[#This Row],[Wealthier_Winner]]=1,"Wealthier Nation Wins")</f>
        <v>Wealthier Nation Wins</v>
      </c>
    </row>
    <row r="3150" spans="1:17" x14ac:dyDescent="0.2">
      <c r="A3150" s="1">
        <v>4976</v>
      </c>
      <c r="B3150" s="2">
        <v>38511</v>
      </c>
      <c r="C3150" s="7">
        <f>_xlfn.FLOOR.MATH(Table1[[#This Row],[year]],10)</f>
        <v>2000</v>
      </c>
      <c r="D3150" t="s">
        <v>230</v>
      </c>
      <c r="E3150" t="s">
        <v>27</v>
      </c>
      <c r="F3150">
        <v>0</v>
      </c>
      <c r="G3150">
        <v>4</v>
      </c>
      <c r="H3150" t="s">
        <v>224</v>
      </c>
      <c r="I3150" t="s">
        <v>231</v>
      </c>
      <c r="J3150" t="s">
        <v>230</v>
      </c>
      <c r="K3150" t="b">
        <v>0</v>
      </c>
      <c r="L3150">
        <v>2005</v>
      </c>
      <c r="M3150">
        <v>204859368790</v>
      </c>
      <c r="N3150">
        <v>688133699635</v>
      </c>
      <c r="O3150" t="b">
        <v>1</v>
      </c>
      <c r="P3150">
        <v>1</v>
      </c>
      <c r="Q3150" t="str" cm="1">
        <f t="array" ref="Q3150">_xlfn.IFS(Table1[[#This Row],[Wealthier_Winner]]=-1,"Wealthier Nation Loses",Table1[[#This Row],[Wealthier_Winner]]=0,"Tie",Table1[[#This Row],[Wealthier_Winner]]=1,"Wealthier Nation Wins")</f>
        <v>Wealthier Nation Wins</v>
      </c>
    </row>
    <row r="3151" spans="1:17" x14ac:dyDescent="0.2">
      <c r="A3151" s="1">
        <v>4977</v>
      </c>
      <c r="B3151" s="2">
        <v>38511</v>
      </c>
      <c r="C3151" s="7">
        <f>_xlfn.FLOOR.MATH(Table1[[#This Row],[year]],10)</f>
        <v>2000</v>
      </c>
      <c r="D3151" t="s">
        <v>48</v>
      </c>
      <c r="E3151" t="s">
        <v>64</v>
      </c>
      <c r="F3151">
        <v>0</v>
      </c>
      <c r="G3151">
        <v>1</v>
      </c>
      <c r="H3151" t="s">
        <v>224</v>
      </c>
      <c r="I3151" t="s">
        <v>282</v>
      </c>
      <c r="J3151" t="s">
        <v>48</v>
      </c>
      <c r="K3151" t="b">
        <v>0</v>
      </c>
      <c r="L3151">
        <v>2005</v>
      </c>
      <c r="M3151">
        <v>242315668619</v>
      </c>
      <c r="N3151">
        <v>89238865118</v>
      </c>
      <c r="O3151" t="b">
        <v>1</v>
      </c>
      <c r="P3151">
        <v>-1</v>
      </c>
      <c r="Q3151" t="str" cm="1">
        <f t="array" ref="Q3151">_xlfn.IFS(Table1[[#This Row],[Wealthier_Winner]]=-1,"Wealthier Nation Loses",Table1[[#This Row],[Wealthier_Winner]]=0,"Tie",Table1[[#This Row],[Wealthier_Winner]]=1,"Wealthier Nation Wins")</f>
        <v>Wealthier Nation Loses</v>
      </c>
    </row>
    <row r="3152" spans="1:17" x14ac:dyDescent="0.2">
      <c r="A3152" s="1">
        <v>4978</v>
      </c>
      <c r="B3152" s="2">
        <v>38511</v>
      </c>
      <c r="C3152" s="7">
        <f>_xlfn.FLOOR.MATH(Table1[[#This Row],[year]],10)</f>
        <v>2000</v>
      </c>
      <c r="D3152" t="s">
        <v>66</v>
      </c>
      <c r="E3152" t="s">
        <v>303</v>
      </c>
      <c r="F3152">
        <v>4</v>
      </c>
      <c r="G3152">
        <v>1</v>
      </c>
      <c r="H3152" t="s">
        <v>224</v>
      </c>
      <c r="I3152" t="s">
        <v>336</v>
      </c>
      <c r="J3152" t="s">
        <v>66</v>
      </c>
      <c r="K3152" t="b">
        <v>0</v>
      </c>
      <c r="L3152">
        <v>2005</v>
      </c>
      <c r="M3152">
        <v>17146410560</v>
      </c>
      <c r="N3152">
        <v>6393234992</v>
      </c>
      <c r="O3152" t="b">
        <v>1</v>
      </c>
      <c r="P3152">
        <v>1</v>
      </c>
      <c r="Q3152" t="str" cm="1">
        <f t="array" ref="Q3152">_xlfn.IFS(Table1[[#This Row],[Wealthier_Winner]]=-1,"Wealthier Nation Loses",Table1[[#This Row],[Wealthier_Winner]]=0,"Tie",Table1[[#This Row],[Wealthier_Winner]]=1,"Wealthier Nation Wins")</f>
        <v>Wealthier Nation Wins</v>
      </c>
    </row>
    <row r="3153" spans="1:17" x14ac:dyDescent="0.2">
      <c r="A3153" s="1">
        <v>4979</v>
      </c>
      <c r="B3153" s="2">
        <v>38511</v>
      </c>
      <c r="C3153" s="7">
        <f>_xlfn.FLOOR.MATH(Table1[[#This Row],[year]],10)</f>
        <v>2000</v>
      </c>
      <c r="D3153" t="s">
        <v>210</v>
      </c>
      <c r="E3153" t="s">
        <v>361</v>
      </c>
      <c r="F3153">
        <v>1</v>
      </c>
      <c r="G3153">
        <v>0</v>
      </c>
      <c r="H3153" t="s">
        <v>224</v>
      </c>
      <c r="I3153" t="s">
        <v>332</v>
      </c>
      <c r="J3153" t="s">
        <v>210</v>
      </c>
      <c r="K3153" t="b">
        <v>0</v>
      </c>
      <c r="L3153">
        <v>2005</v>
      </c>
      <c r="M3153">
        <v>224970371324</v>
      </c>
      <c r="N3153">
        <v>15968723404</v>
      </c>
      <c r="O3153" t="b">
        <v>1</v>
      </c>
      <c r="P3153">
        <v>1</v>
      </c>
      <c r="Q3153" t="str" cm="1">
        <f t="array" ref="Q3153">_xlfn.IFS(Table1[[#This Row],[Wealthier_Winner]]=-1,"Wealthier Nation Loses",Table1[[#This Row],[Wealthier_Winner]]=0,"Tie",Table1[[#This Row],[Wealthier_Winner]]=1,"Wealthier Nation Wins")</f>
        <v>Wealthier Nation Wins</v>
      </c>
    </row>
    <row r="3154" spans="1:17" x14ac:dyDescent="0.2">
      <c r="A3154" s="1">
        <v>4982</v>
      </c>
      <c r="B3154" s="2">
        <v>38511</v>
      </c>
      <c r="C3154" s="7">
        <f>_xlfn.FLOOR.MATH(Table1[[#This Row],[year]],10)</f>
        <v>2000</v>
      </c>
      <c r="D3154" t="s">
        <v>71</v>
      </c>
      <c r="E3154" t="s">
        <v>195</v>
      </c>
      <c r="F3154">
        <v>0</v>
      </c>
      <c r="G3154">
        <v>4</v>
      </c>
      <c r="H3154" t="s">
        <v>224</v>
      </c>
      <c r="I3154" t="s">
        <v>366</v>
      </c>
      <c r="J3154" t="s">
        <v>71</v>
      </c>
      <c r="K3154" t="b">
        <v>0</v>
      </c>
      <c r="L3154">
        <v>2005</v>
      </c>
      <c r="M3154">
        <v>80798630136</v>
      </c>
      <c r="N3154">
        <v>971740329983</v>
      </c>
      <c r="O3154" t="b">
        <v>1</v>
      </c>
      <c r="P3154">
        <v>1</v>
      </c>
      <c r="Q3154" t="str" cm="1">
        <f t="array" ref="Q3154">_xlfn.IFS(Table1[[#This Row],[Wealthier_Winner]]=-1,"Wealthier Nation Loses",Table1[[#This Row],[Wealthier_Winner]]=0,"Tie",Table1[[#This Row],[Wealthier_Winner]]=1,"Wealthier Nation Wins")</f>
        <v>Wealthier Nation Wins</v>
      </c>
    </row>
    <row r="3155" spans="1:17" x14ac:dyDescent="0.2">
      <c r="A3155" s="1">
        <v>4983</v>
      </c>
      <c r="B3155" s="2">
        <v>38511</v>
      </c>
      <c r="C3155" s="7">
        <f>_xlfn.FLOOR.MATH(Table1[[#This Row],[year]],10)</f>
        <v>2000</v>
      </c>
      <c r="D3155" t="s">
        <v>525</v>
      </c>
      <c r="E3155" t="s">
        <v>503</v>
      </c>
      <c r="F3155">
        <v>1</v>
      </c>
      <c r="G3155">
        <v>0</v>
      </c>
      <c r="H3155" t="s">
        <v>224</v>
      </c>
      <c r="I3155" t="s">
        <v>526</v>
      </c>
      <c r="J3155" t="s">
        <v>525</v>
      </c>
      <c r="K3155" t="b">
        <v>0</v>
      </c>
      <c r="L3155">
        <v>2005</v>
      </c>
      <c r="M3155">
        <v>16306935905</v>
      </c>
      <c r="N3155">
        <v>3659319116</v>
      </c>
      <c r="O3155" t="b">
        <v>1</v>
      </c>
      <c r="P3155">
        <v>1</v>
      </c>
      <c r="Q3155" t="str" cm="1">
        <f t="array" ref="Q3155">_xlfn.IFS(Table1[[#This Row],[Wealthier_Winner]]=-1,"Wealthier Nation Loses",Table1[[#This Row],[Wealthier_Winner]]=0,"Tie",Table1[[#This Row],[Wealthier_Winner]]=1,"Wealthier Nation Wins")</f>
        <v>Wealthier Nation Wins</v>
      </c>
    </row>
    <row r="3156" spans="1:17" x14ac:dyDescent="0.2">
      <c r="A3156" s="1">
        <v>4985</v>
      </c>
      <c r="B3156" s="2">
        <v>38511</v>
      </c>
      <c r="C3156" s="7">
        <f>_xlfn.FLOOR.MATH(Table1[[#This Row],[year]],10)</f>
        <v>2000</v>
      </c>
      <c r="D3156" t="s">
        <v>17</v>
      </c>
      <c r="E3156" t="s">
        <v>59</v>
      </c>
      <c r="F3156">
        <v>2</v>
      </c>
      <c r="G3156">
        <v>0</v>
      </c>
      <c r="H3156" t="s">
        <v>224</v>
      </c>
      <c r="I3156" t="s">
        <v>107</v>
      </c>
      <c r="J3156" t="s">
        <v>17</v>
      </c>
      <c r="K3156" t="b">
        <v>0</v>
      </c>
      <c r="L3156">
        <v>2005</v>
      </c>
      <c r="M3156">
        <v>917571853529</v>
      </c>
      <c r="N3156">
        <v>15982389018</v>
      </c>
      <c r="O3156" t="b">
        <v>1</v>
      </c>
      <c r="P3156">
        <v>1</v>
      </c>
      <c r="Q3156" t="str" cm="1">
        <f t="array" ref="Q3156">_xlfn.IFS(Table1[[#This Row],[Wealthier_Winner]]=-1,"Wealthier Nation Loses",Table1[[#This Row],[Wealthier_Winner]]=0,"Tie",Table1[[#This Row],[Wealthier_Winner]]=1,"Wealthier Nation Wins")</f>
        <v>Wealthier Nation Wins</v>
      </c>
    </row>
    <row r="3157" spans="1:17" x14ac:dyDescent="0.2">
      <c r="A3157" s="1">
        <v>4986</v>
      </c>
      <c r="B3157" s="2">
        <v>38511</v>
      </c>
      <c r="C3157" s="7">
        <f>_xlfn.FLOOR.MATH(Table1[[#This Row],[year]],10)</f>
        <v>2000</v>
      </c>
      <c r="D3157" t="s">
        <v>67</v>
      </c>
      <c r="E3157" t="s">
        <v>41</v>
      </c>
      <c r="F3157">
        <v>0</v>
      </c>
      <c r="G3157">
        <v>3</v>
      </c>
      <c r="H3157" t="s">
        <v>224</v>
      </c>
      <c r="I3157" t="s">
        <v>455</v>
      </c>
      <c r="J3157" t="s">
        <v>67</v>
      </c>
      <c r="K3157" t="b">
        <v>0</v>
      </c>
      <c r="L3157">
        <v>2005</v>
      </c>
      <c r="M3157">
        <v>16623906739</v>
      </c>
      <c r="N3157">
        <v>13039199193000</v>
      </c>
      <c r="O3157" t="b">
        <v>1</v>
      </c>
      <c r="P3157">
        <v>1</v>
      </c>
      <c r="Q3157" t="str" cm="1">
        <f t="array" ref="Q3157">_xlfn.IFS(Table1[[#This Row],[Wealthier_Winner]]=-1,"Wealthier Nation Loses",Table1[[#This Row],[Wealthier_Winner]]=0,"Tie",Table1[[#This Row],[Wealthier_Winner]]=1,"Wealthier Nation Wins")</f>
        <v>Wealthier Nation Wins</v>
      </c>
    </row>
    <row r="3158" spans="1:17" x14ac:dyDescent="0.2">
      <c r="A3158" s="1">
        <v>4987</v>
      </c>
      <c r="B3158" s="2">
        <v>38511</v>
      </c>
      <c r="C3158" s="7">
        <f>_xlfn.FLOOR.MATH(Table1[[#This Row],[year]],10)</f>
        <v>2000</v>
      </c>
      <c r="D3158" t="s">
        <v>35</v>
      </c>
      <c r="E3158" t="s">
        <v>47</v>
      </c>
      <c r="F3158">
        <v>4</v>
      </c>
      <c r="G3158">
        <v>1</v>
      </c>
      <c r="H3158" t="s">
        <v>224</v>
      </c>
      <c r="I3158" t="s">
        <v>250</v>
      </c>
      <c r="J3158" t="s">
        <v>35</v>
      </c>
      <c r="K3158" t="b">
        <v>0</v>
      </c>
      <c r="L3158">
        <v>2005</v>
      </c>
      <c r="M3158">
        <v>10737500188</v>
      </c>
      <c r="N3158">
        <v>9549122905</v>
      </c>
      <c r="O3158" t="b">
        <v>0</v>
      </c>
      <c r="P3158">
        <v>1</v>
      </c>
      <c r="Q3158" t="str" cm="1">
        <f t="array" ref="Q3158">_xlfn.IFS(Table1[[#This Row],[Wealthier_Winner]]=-1,"Wealthier Nation Loses",Table1[[#This Row],[Wealthier_Winner]]=0,"Tie",Table1[[#This Row],[Wealthier_Winner]]=1,"Wealthier Nation Wins")</f>
        <v>Wealthier Nation Wins</v>
      </c>
    </row>
    <row r="3159" spans="1:17" x14ac:dyDescent="0.2">
      <c r="A3159" s="1">
        <v>4988</v>
      </c>
      <c r="B3159" s="2">
        <v>38511</v>
      </c>
      <c r="C3159" s="7">
        <f>_xlfn.FLOOR.MATH(Table1[[#This Row],[year]],10)</f>
        <v>2000</v>
      </c>
      <c r="D3159" t="s">
        <v>44</v>
      </c>
      <c r="E3159" t="s">
        <v>519</v>
      </c>
      <c r="F3159">
        <v>3</v>
      </c>
      <c r="G3159">
        <v>0</v>
      </c>
      <c r="H3159" t="s">
        <v>224</v>
      </c>
      <c r="I3159" t="s">
        <v>675</v>
      </c>
      <c r="J3159" t="s">
        <v>44</v>
      </c>
      <c r="K3159" t="b">
        <v>0</v>
      </c>
      <c r="L3159">
        <v>2005</v>
      </c>
      <c r="M3159">
        <v>98454380120</v>
      </c>
      <c r="N3159">
        <v>4900469511</v>
      </c>
      <c r="O3159" t="b">
        <v>1</v>
      </c>
      <c r="P3159">
        <v>1</v>
      </c>
      <c r="Q3159" t="str" cm="1">
        <f t="array" ref="Q3159">_xlfn.IFS(Table1[[#This Row],[Wealthier_Winner]]=-1,"Wealthier Nation Loses",Table1[[#This Row],[Wealthier_Winner]]=0,"Tie",Table1[[#This Row],[Wealthier_Winner]]=1,"Wealthier Nation Wins")</f>
        <v>Wealthier Nation Wins</v>
      </c>
    </row>
    <row r="3160" spans="1:17" x14ac:dyDescent="0.2">
      <c r="A3160" s="1">
        <v>4989</v>
      </c>
      <c r="B3160" s="2">
        <v>38511</v>
      </c>
      <c r="C3160" s="7">
        <f>_xlfn.FLOOR.MATH(Table1[[#This Row],[year]],10)</f>
        <v>2000</v>
      </c>
      <c r="D3160" t="s">
        <v>45</v>
      </c>
      <c r="E3160" t="s">
        <v>563</v>
      </c>
      <c r="F3160">
        <v>3</v>
      </c>
      <c r="G3160">
        <v>0</v>
      </c>
      <c r="H3160" t="s">
        <v>224</v>
      </c>
      <c r="I3160" t="s">
        <v>356</v>
      </c>
      <c r="J3160" t="s">
        <v>45</v>
      </c>
      <c r="K3160" t="b">
        <v>0</v>
      </c>
      <c r="L3160">
        <v>2005</v>
      </c>
      <c r="M3160">
        <v>328459608764</v>
      </c>
      <c r="N3160">
        <v>14307509838</v>
      </c>
      <c r="O3160" t="b">
        <v>1</v>
      </c>
      <c r="P3160">
        <v>1</v>
      </c>
      <c r="Q3160" t="str" cm="1">
        <f t="array" ref="Q3160">_xlfn.IFS(Table1[[#This Row],[Wealthier_Winner]]=-1,"Wealthier Nation Loses",Table1[[#This Row],[Wealthier_Winner]]=0,"Tie",Table1[[#This Row],[Wealthier_Winner]]=1,"Wealthier Nation Wins")</f>
        <v>Wealthier Nation Wins</v>
      </c>
    </row>
    <row r="3161" spans="1:17" x14ac:dyDescent="0.2">
      <c r="A3161" s="1">
        <v>4990</v>
      </c>
      <c r="B3161" s="2">
        <v>38511</v>
      </c>
      <c r="C3161" s="7">
        <f>_xlfn.FLOOR.MATH(Table1[[#This Row],[year]],10)</f>
        <v>2000</v>
      </c>
      <c r="D3161" t="s">
        <v>21</v>
      </c>
      <c r="E3161" t="s">
        <v>73</v>
      </c>
      <c r="F3161">
        <v>1</v>
      </c>
      <c r="G3161">
        <v>1</v>
      </c>
      <c r="H3161" t="s">
        <v>224</v>
      </c>
      <c r="I3161" t="s">
        <v>99</v>
      </c>
      <c r="J3161" t="s">
        <v>21</v>
      </c>
      <c r="K3161" t="b">
        <v>0</v>
      </c>
      <c r="L3161">
        <v>2005</v>
      </c>
      <c r="M3161">
        <v>1154667551775</v>
      </c>
      <c r="N3161">
        <v>11222796336</v>
      </c>
      <c r="O3161" t="b">
        <v>1</v>
      </c>
      <c r="P3161">
        <v>0</v>
      </c>
      <c r="Q3161" t="str" cm="1">
        <f t="array" ref="Q3161">_xlfn.IFS(Table1[[#This Row],[Wealthier_Winner]]=-1,"Wealthier Nation Loses",Table1[[#This Row],[Wealthier_Winner]]=0,"Tie",Table1[[#This Row],[Wealthier_Winner]]=1,"Wealthier Nation Wins")</f>
        <v>Tie</v>
      </c>
    </row>
    <row r="3162" spans="1:17" x14ac:dyDescent="0.2">
      <c r="A3162" s="1">
        <v>4991</v>
      </c>
      <c r="B3162" s="2">
        <v>38514</v>
      </c>
      <c r="C3162" s="7">
        <f>_xlfn.FLOOR.MATH(Table1[[#This Row],[year]],10)</f>
        <v>2000</v>
      </c>
      <c r="D3162" t="s">
        <v>53</v>
      </c>
      <c r="E3162" t="s">
        <v>305</v>
      </c>
      <c r="F3162">
        <v>2</v>
      </c>
      <c r="G3162">
        <v>0</v>
      </c>
      <c r="H3162" t="s">
        <v>224</v>
      </c>
      <c r="I3162" t="s">
        <v>658</v>
      </c>
      <c r="J3162" t="s">
        <v>53</v>
      </c>
      <c r="K3162" t="b">
        <v>0</v>
      </c>
      <c r="L3162">
        <v>2005</v>
      </c>
      <c r="M3162">
        <v>32272186694</v>
      </c>
      <c r="N3162">
        <v>4282468636</v>
      </c>
      <c r="O3162" t="b">
        <v>1</v>
      </c>
      <c r="P3162">
        <v>1</v>
      </c>
      <c r="Q3162" t="str" cm="1">
        <f t="array" ref="Q3162">_xlfn.IFS(Table1[[#This Row],[Wealthier_Winner]]=-1,"Wealthier Nation Loses",Table1[[#This Row],[Wealthier_Winner]]=0,"Tie",Table1[[#This Row],[Wealthier_Winner]]=1,"Wealthier Nation Wins")</f>
        <v>Wealthier Nation Wins</v>
      </c>
    </row>
    <row r="3163" spans="1:17" x14ac:dyDescent="0.2">
      <c r="A3163" s="1">
        <v>4993</v>
      </c>
      <c r="B3163" s="2">
        <v>38521</v>
      </c>
      <c r="C3163" s="7">
        <f>_xlfn.FLOOR.MATH(Table1[[#This Row],[year]],10)</f>
        <v>2000</v>
      </c>
      <c r="D3163" t="s">
        <v>433</v>
      </c>
      <c r="E3163" t="s">
        <v>514</v>
      </c>
      <c r="F3163">
        <v>3</v>
      </c>
      <c r="G3163">
        <v>0</v>
      </c>
      <c r="H3163" t="s">
        <v>224</v>
      </c>
      <c r="I3163" t="s">
        <v>436</v>
      </c>
      <c r="J3163" t="s">
        <v>433</v>
      </c>
      <c r="K3163" t="b">
        <v>0</v>
      </c>
      <c r="L3163">
        <v>2005</v>
      </c>
      <c r="M3163">
        <v>9582783990</v>
      </c>
      <c r="N3163">
        <v>2933819766</v>
      </c>
      <c r="O3163" t="b">
        <v>1</v>
      </c>
      <c r="P3163">
        <v>1</v>
      </c>
      <c r="Q3163" t="str" cm="1">
        <f t="array" ref="Q3163">_xlfn.IFS(Table1[[#This Row],[Wealthier_Winner]]=-1,"Wealthier Nation Loses",Table1[[#This Row],[Wealthier_Winner]]=0,"Tie",Table1[[#This Row],[Wealthier_Winner]]=1,"Wealthier Nation Wins")</f>
        <v>Wealthier Nation Wins</v>
      </c>
    </row>
    <row r="3164" spans="1:17" x14ac:dyDescent="0.2">
      <c r="A3164" s="1">
        <v>4994</v>
      </c>
      <c r="B3164" s="2">
        <v>38521</v>
      </c>
      <c r="C3164" s="7">
        <f>_xlfn.FLOOR.MATH(Table1[[#This Row],[year]],10)</f>
        <v>2000</v>
      </c>
      <c r="D3164" t="s">
        <v>314</v>
      </c>
      <c r="E3164" t="s">
        <v>24</v>
      </c>
      <c r="F3164">
        <v>0</v>
      </c>
      <c r="G3164">
        <v>0</v>
      </c>
      <c r="H3164" t="s">
        <v>224</v>
      </c>
      <c r="I3164" t="s">
        <v>315</v>
      </c>
      <c r="J3164" t="s">
        <v>314</v>
      </c>
      <c r="K3164" t="b">
        <v>0</v>
      </c>
      <c r="L3164">
        <v>2005</v>
      </c>
      <c r="M3164">
        <v>18737895512</v>
      </c>
      <c r="N3164">
        <v>68852658068</v>
      </c>
      <c r="O3164" t="b">
        <v>1</v>
      </c>
      <c r="P3164">
        <v>0</v>
      </c>
      <c r="Q3164" t="str" cm="1">
        <f t="array" ref="Q3164">_xlfn.IFS(Table1[[#This Row],[Wealthier_Winner]]=-1,"Wealthier Nation Loses",Table1[[#This Row],[Wealthier_Winner]]=0,"Tie",Table1[[#This Row],[Wealthier_Winner]]=1,"Wealthier Nation Wins")</f>
        <v>Tie</v>
      </c>
    </row>
    <row r="3165" spans="1:17" x14ac:dyDescent="0.2">
      <c r="A3165" s="1">
        <v>4995</v>
      </c>
      <c r="B3165" s="2">
        <v>38521</v>
      </c>
      <c r="C3165" s="7">
        <f>_xlfn.FLOOR.MATH(Table1[[#This Row],[year]],10)</f>
        <v>2000</v>
      </c>
      <c r="D3165" t="s">
        <v>370</v>
      </c>
      <c r="E3165" t="s">
        <v>469</v>
      </c>
      <c r="F3165">
        <v>1</v>
      </c>
      <c r="G3165">
        <v>3</v>
      </c>
      <c r="H3165" t="s">
        <v>224</v>
      </c>
      <c r="I3165" t="s">
        <v>372</v>
      </c>
      <c r="J3165" t="s">
        <v>370</v>
      </c>
      <c r="K3165" t="b">
        <v>0</v>
      </c>
      <c r="L3165">
        <v>2005</v>
      </c>
      <c r="M3165">
        <v>5320409651</v>
      </c>
      <c r="N3165">
        <v>9918907108</v>
      </c>
      <c r="O3165" t="b">
        <v>0</v>
      </c>
      <c r="P3165">
        <v>1</v>
      </c>
      <c r="Q3165" t="str" cm="1">
        <f t="array" ref="Q3165">_xlfn.IFS(Table1[[#This Row],[Wealthier_Winner]]=-1,"Wealthier Nation Loses",Table1[[#This Row],[Wealthier_Winner]]=0,"Tie",Table1[[#This Row],[Wealthier_Winner]]=1,"Wealthier Nation Wins")</f>
        <v>Wealthier Nation Wins</v>
      </c>
    </row>
    <row r="3166" spans="1:17" x14ac:dyDescent="0.2">
      <c r="A3166" s="1">
        <v>4996</v>
      </c>
      <c r="B3166" s="2">
        <v>38521</v>
      </c>
      <c r="C3166" s="7">
        <f>_xlfn.FLOOR.MATH(Table1[[#This Row],[year]],10)</f>
        <v>2000</v>
      </c>
      <c r="D3166" t="s">
        <v>43</v>
      </c>
      <c r="E3166" t="s">
        <v>60</v>
      </c>
      <c r="F3166">
        <v>1</v>
      </c>
      <c r="G3166">
        <v>1</v>
      </c>
      <c r="H3166" t="s">
        <v>224</v>
      </c>
      <c r="I3166" t="s">
        <v>676</v>
      </c>
      <c r="J3166" t="s">
        <v>43</v>
      </c>
      <c r="K3166" t="b">
        <v>0</v>
      </c>
      <c r="L3166">
        <v>2005</v>
      </c>
      <c r="M3166">
        <v>175670569969</v>
      </c>
      <c r="N3166">
        <v>41396636383</v>
      </c>
      <c r="O3166" t="b">
        <v>1</v>
      </c>
      <c r="P3166">
        <v>0</v>
      </c>
      <c r="Q3166" t="str" cm="1">
        <f t="array" ref="Q3166">_xlfn.IFS(Table1[[#This Row],[Wealthier_Winner]]=-1,"Wealthier Nation Loses",Table1[[#This Row],[Wealthier_Winner]]=0,"Tie",Table1[[#This Row],[Wealthier_Winner]]=1,"Wealthier Nation Wins")</f>
        <v>Tie</v>
      </c>
    </row>
    <row r="3167" spans="1:17" x14ac:dyDescent="0.2">
      <c r="A3167" s="1">
        <v>4997</v>
      </c>
      <c r="B3167" s="2">
        <v>38521</v>
      </c>
      <c r="C3167" s="7">
        <f>_xlfn.FLOOR.MATH(Table1[[#This Row],[year]],10)</f>
        <v>2000</v>
      </c>
      <c r="D3167" t="s">
        <v>54</v>
      </c>
      <c r="E3167" t="s">
        <v>62</v>
      </c>
      <c r="F3167">
        <v>2</v>
      </c>
      <c r="G3167">
        <v>2</v>
      </c>
      <c r="H3167" t="s">
        <v>224</v>
      </c>
      <c r="I3167" t="s">
        <v>285</v>
      </c>
      <c r="J3167" t="s">
        <v>54</v>
      </c>
      <c r="K3167" t="b">
        <v>0</v>
      </c>
      <c r="L3167">
        <v>2005</v>
      </c>
      <c r="M3167">
        <v>11009033437</v>
      </c>
      <c r="N3167">
        <v>3221910408</v>
      </c>
      <c r="O3167" t="b">
        <v>1</v>
      </c>
      <c r="P3167">
        <v>0</v>
      </c>
      <c r="Q3167" t="str" cm="1">
        <f t="array" ref="Q3167">_xlfn.IFS(Table1[[#This Row],[Wealthier_Winner]]=-1,"Wealthier Nation Loses",Table1[[#This Row],[Wealthier_Winner]]=0,"Tie",Table1[[#This Row],[Wealthier_Winner]]=1,"Wealthier Nation Wins")</f>
        <v>Tie</v>
      </c>
    </row>
    <row r="3168" spans="1:17" x14ac:dyDescent="0.2">
      <c r="A3168" s="1">
        <v>4998</v>
      </c>
      <c r="B3168" s="2">
        <v>38521</v>
      </c>
      <c r="C3168" s="7">
        <f>_xlfn.FLOOR.MATH(Table1[[#This Row],[year]],10)</f>
        <v>2000</v>
      </c>
      <c r="D3168" t="s">
        <v>50</v>
      </c>
      <c r="E3168" t="s">
        <v>63</v>
      </c>
      <c r="F3168">
        <v>0</v>
      </c>
      <c r="G3168">
        <v>2</v>
      </c>
      <c r="H3168" t="s">
        <v>224</v>
      </c>
      <c r="I3168" t="s">
        <v>160</v>
      </c>
      <c r="J3168" t="s">
        <v>50</v>
      </c>
      <c r="K3168" t="b">
        <v>0</v>
      </c>
      <c r="L3168">
        <v>2005</v>
      </c>
      <c r="M3168">
        <v>288867217196</v>
      </c>
      <c r="N3168">
        <v>10744568381</v>
      </c>
      <c r="O3168" t="b">
        <v>1</v>
      </c>
      <c r="P3168">
        <v>-1</v>
      </c>
      <c r="Q3168" t="str" cm="1">
        <f t="array" ref="Q3168">_xlfn.IFS(Table1[[#This Row],[Wealthier_Winner]]=-1,"Wealthier Nation Loses",Table1[[#This Row],[Wealthier_Winner]]=0,"Tie",Table1[[#This Row],[Wealthier_Winner]]=1,"Wealthier Nation Wins")</f>
        <v>Wealthier Nation Loses</v>
      </c>
    </row>
    <row r="3169" spans="1:17" x14ac:dyDescent="0.2">
      <c r="A3169" s="1">
        <v>5000</v>
      </c>
      <c r="B3169" s="2">
        <v>38521</v>
      </c>
      <c r="C3169" s="7">
        <f>_xlfn.FLOOR.MATH(Table1[[#This Row],[year]],10)</f>
        <v>2000</v>
      </c>
      <c r="D3169" t="s">
        <v>273</v>
      </c>
      <c r="E3169" t="s">
        <v>590</v>
      </c>
      <c r="F3169">
        <v>2</v>
      </c>
      <c r="G3169">
        <v>1</v>
      </c>
      <c r="H3169" t="s">
        <v>224</v>
      </c>
      <c r="I3169" t="s">
        <v>677</v>
      </c>
      <c r="J3169" t="s">
        <v>273</v>
      </c>
      <c r="K3169" t="b">
        <v>0</v>
      </c>
      <c r="L3169">
        <v>2005</v>
      </c>
      <c r="M3169">
        <v>8331870169</v>
      </c>
      <c r="N3169">
        <v>7429066951</v>
      </c>
      <c r="O3169" t="b">
        <v>0</v>
      </c>
      <c r="P3169">
        <v>1</v>
      </c>
      <c r="Q3169" t="str" cm="1">
        <f t="array" ref="Q3169">_xlfn.IFS(Table1[[#This Row],[Wealthier_Winner]]=-1,"Wealthier Nation Loses",Table1[[#This Row],[Wealthier_Winner]]=0,"Tie",Table1[[#This Row],[Wealthier_Winner]]=1,"Wealthier Nation Wins")</f>
        <v>Wealthier Nation Wins</v>
      </c>
    </row>
    <row r="3170" spans="1:17" x14ac:dyDescent="0.2">
      <c r="A3170" s="1">
        <v>5001</v>
      </c>
      <c r="B3170" s="2">
        <v>38522</v>
      </c>
      <c r="C3170" s="7">
        <f>_xlfn.FLOOR.MATH(Table1[[#This Row],[year]],10)</f>
        <v>2000</v>
      </c>
      <c r="D3170" t="s">
        <v>32</v>
      </c>
      <c r="E3170" t="s">
        <v>298</v>
      </c>
      <c r="F3170">
        <v>2</v>
      </c>
      <c r="G3170">
        <v>2</v>
      </c>
      <c r="H3170" t="s">
        <v>224</v>
      </c>
      <c r="I3170" t="s">
        <v>369</v>
      </c>
      <c r="J3170" t="s">
        <v>32</v>
      </c>
      <c r="K3170" t="b">
        <v>0</v>
      </c>
      <c r="L3170">
        <v>2005</v>
      </c>
      <c r="M3170">
        <v>107046618669</v>
      </c>
      <c r="N3170">
        <v>5758250000</v>
      </c>
      <c r="O3170" t="b">
        <v>1</v>
      </c>
      <c r="P3170">
        <v>0</v>
      </c>
      <c r="Q3170" t="str" cm="1">
        <f t="array" ref="Q3170">_xlfn.IFS(Table1[[#This Row],[Wealthier_Winner]]=-1,"Wealthier Nation Loses",Table1[[#This Row],[Wealthier_Winner]]=0,"Tie",Table1[[#This Row],[Wealthier_Winner]]=1,"Wealthier Nation Wins")</f>
        <v>Tie</v>
      </c>
    </row>
    <row r="3171" spans="1:17" x14ac:dyDescent="0.2">
      <c r="A3171" s="1">
        <v>5002</v>
      </c>
      <c r="B3171" s="2">
        <v>38522</v>
      </c>
      <c r="C3171" s="7">
        <f>_xlfn.FLOOR.MATH(Table1[[#This Row],[year]],10)</f>
        <v>2000</v>
      </c>
      <c r="D3171" t="s">
        <v>40</v>
      </c>
      <c r="E3171" t="s">
        <v>286</v>
      </c>
      <c r="F3171">
        <v>1</v>
      </c>
      <c r="G3171">
        <v>0</v>
      </c>
      <c r="H3171" t="s">
        <v>224</v>
      </c>
      <c r="I3171" t="s">
        <v>371</v>
      </c>
      <c r="J3171" t="s">
        <v>40</v>
      </c>
      <c r="K3171" t="b">
        <v>0</v>
      </c>
      <c r="L3171">
        <v>2005</v>
      </c>
      <c r="M3171">
        <v>19509852206</v>
      </c>
      <c r="N3171">
        <v>47334691241</v>
      </c>
      <c r="O3171" t="b">
        <v>1</v>
      </c>
      <c r="P3171">
        <v>-1</v>
      </c>
      <c r="Q3171" t="str" cm="1">
        <f t="array" ref="Q3171">_xlfn.IFS(Table1[[#This Row],[Wealthier_Winner]]=-1,"Wealthier Nation Loses",Table1[[#This Row],[Wealthier_Winner]]=0,"Tie",Table1[[#This Row],[Wealthier_Winner]]=1,"Wealthier Nation Wins")</f>
        <v>Wealthier Nation Loses</v>
      </c>
    </row>
    <row r="3172" spans="1:17" x14ac:dyDescent="0.2">
      <c r="A3172" s="1">
        <v>5006</v>
      </c>
      <c r="B3172" s="2">
        <v>38581</v>
      </c>
      <c r="C3172" s="7">
        <f>_xlfn.FLOOR.MATH(Table1[[#This Row],[year]],10)</f>
        <v>2000</v>
      </c>
      <c r="D3172" t="s">
        <v>447</v>
      </c>
      <c r="E3172" t="s">
        <v>351</v>
      </c>
      <c r="F3172">
        <v>0</v>
      </c>
      <c r="G3172">
        <v>3</v>
      </c>
      <c r="H3172" t="s">
        <v>224</v>
      </c>
      <c r="I3172" t="s">
        <v>448</v>
      </c>
      <c r="J3172" t="s">
        <v>447</v>
      </c>
      <c r="K3172" t="b">
        <v>0</v>
      </c>
      <c r="L3172">
        <v>2005</v>
      </c>
      <c r="M3172">
        <v>1759739599</v>
      </c>
      <c r="N3172">
        <v>18433412510</v>
      </c>
      <c r="O3172" t="b">
        <v>1</v>
      </c>
      <c r="P3172">
        <v>1</v>
      </c>
      <c r="Q3172" t="str" cm="1">
        <f t="array" ref="Q3172">_xlfn.IFS(Table1[[#This Row],[Wealthier_Winner]]=-1,"Wealthier Nation Loses",Table1[[#This Row],[Wealthier_Winner]]=0,"Tie",Table1[[#This Row],[Wealthier_Winner]]=1,"Wealthier Nation Wins")</f>
        <v>Wealthier Nation Wins</v>
      </c>
    </row>
    <row r="3173" spans="1:17" x14ac:dyDescent="0.2">
      <c r="A3173" s="1">
        <v>5007</v>
      </c>
      <c r="B3173" s="2">
        <v>38581</v>
      </c>
      <c r="C3173" s="7">
        <f>_xlfn.FLOOR.MATH(Table1[[#This Row],[year]],10)</f>
        <v>2000</v>
      </c>
      <c r="D3173" t="s">
        <v>223</v>
      </c>
      <c r="E3173" t="s">
        <v>67</v>
      </c>
      <c r="F3173">
        <v>2</v>
      </c>
      <c r="G3173">
        <v>1</v>
      </c>
      <c r="H3173" t="s">
        <v>224</v>
      </c>
      <c r="I3173" t="s">
        <v>227</v>
      </c>
      <c r="J3173" t="s">
        <v>223</v>
      </c>
      <c r="K3173" t="b">
        <v>0</v>
      </c>
      <c r="L3173">
        <v>2005</v>
      </c>
      <c r="M3173">
        <v>26783389293</v>
      </c>
      <c r="N3173">
        <v>16623906739</v>
      </c>
      <c r="O3173" t="b">
        <v>0</v>
      </c>
      <c r="P3173">
        <v>1</v>
      </c>
      <c r="Q3173" t="str" cm="1">
        <f t="array" ref="Q3173">_xlfn.IFS(Table1[[#This Row],[Wealthier_Winner]]=-1,"Wealthier Nation Loses",Table1[[#This Row],[Wealthier_Winner]]=0,"Tie",Table1[[#This Row],[Wealthier_Winner]]=1,"Wealthier Nation Wins")</f>
        <v>Wealthier Nation Wins</v>
      </c>
    </row>
    <row r="3174" spans="1:17" x14ac:dyDescent="0.2">
      <c r="A3174" s="1">
        <v>5008</v>
      </c>
      <c r="B3174" s="2">
        <v>38581</v>
      </c>
      <c r="C3174" s="7">
        <f>_xlfn.FLOOR.MATH(Table1[[#This Row],[year]],10)</f>
        <v>2000</v>
      </c>
      <c r="D3174" t="s">
        <v>51</v>
      </c>
      <c r="E3174" t="s">
        <v>210</v>
      </c>
      <c r="F3174">
        <v>2</v>
      </c>
      <c r="G3174">
        <v>1</v>
      </c>
      <c r="H3174" t="s">
        <v>224</v>
      </c>
      <c r="I3174" t="s">
        <v>153</v>
      </c>
      <c r="J3174" t="s">
        <v>51</v>
      </c>
      <c r="K3174" t="b">
        <v>0</v>
      </c>
      <c r="L3174">
        <v>2005</v>
      </c>
      <c r="M3174">
        <v>4831467035389</v>
      </c>
      <c r="N3174">
        <v>224970371324</v>
      </c>
      <c r="O3174" t="b">
        <v>1</v>
      </c>
      <c r="P3174">
        <v>1</v>
      </c>
      <c r="Q3174" t="str" cm="1">
        <f t="array" ref="Q3174">_xlfn.IFS(Table1[[#This Row],[Wealthier_Winner]]=-1,"Wealthier Nation Loses",Table1[[#This Row],[Wealthier_Winner]]=0,"Tie",Table1[[#This Row],[Wealthier_Winner]]=1,"Wealthier Nation Wins")</f>
        <v>Wealthier Nation Wins</v>
      </c>
    </row>
    <row r="3175" spans="1:17" x14ac:dyDescent="0.2">
      <c r="A3175" s="1">
        <v>5009</v>
      </c>
      <c r="B3175" s="2">
        <v>38581</v>
      </c>
      <c r="C3175" s="7">
        <f>_xlfn.FLOOR.MATH(Table1[[#This Row],[year]],10)</f>
        <v>2000</v>
      </c>
      <c r="D3175" t="s">
        <v>558</v>
      </c>
      <c r="E3175" t="s">
        <v>534</v>
      </c>
      <c r="F3175">
        <v>1</v>
      </c>
      <c r="G3175">
        <v>2</v>
      </c>
      <c r="H3175" t="s">
        <v>224</v>
      </c>
      <c r="I3175" t="s">
        <v>559</v>
      </c>
      <c r="J3175" t="s">
        <v>558</v>
      </c>
      <c r="K3175" t="b">
        <v>0</v>
      </c>
      <c r="L3175">
        <v>2005</v>
      </c>
      <c r="M3175">
        <v>57123671733</v>
      </c>
      <c r="N3175">
        <v>6410912049</v>
      </c>
      <c r="O3175" t="b">
        <v>1</v>
      </c>
      <c r="P3175">
        <v>-1</v>
      </c>
      <c r="Q3175" t="str" cm="1">
        <f t="array" ref="Q3175">_xlfn.IFS(Table1[[#This Row],[Wealthier_Winner]]=-1,"Wealthier Nation Loses",Table1[[#This Row],[Wealthier_Winner]]=0,"Tie",Table1[[#This Row],[Wealthier_Winner]]=1,"Wealthier Nation Wins")</f>
        <v>Wealthier Nation Loses</v>
      </c>
    </row>
    <row r="3176" spans="1:17" x14ac:dyDescent="0.2">
      <c r="A3176" s="1">
        <v>5010</v>
      </c>
      <c r="B3176" s="2">
        <v>38581</v>
      </c>
      <c r="C3176" s="7">
        <f>_xlfn.FLOOR.MATH(Table1[[#This Row],[year]],10)</f>
        <v>2000</v>
      </c>
      <c r="D3176" t="s">
        <v>195</v>
      </c>
      <c r="E3176" t="s">
        <v>45</v>
      </c>
      <c r="F3176">
        <v>0</v>
      </c>
      <c r="G3176">
        <v>1</v>
      </c>
      <c r="H3176" t="s">
        <v>224</v>
      </c>
      <c r="I3176" t="s">
        <v>136</v>
      </c>
      <c r="J3176" t="s">
        <v>195</v>
      </c>
      <c r="K3176" t="b">
        <v>0</v>
      </c>
      <c r="L3176">
        <v>2005</v>
      </c>
      <c r="M3176">
        <v>971740329983</v>
      </c>
      <c r="N3176">
        <v>328459608764</v>
      </c>
      <c r="O3176" t="b">
        <v>1</v>
      </c>
      <c r="P3176">
        <v>-1</v>
      </c>
      <c r="Q3176" t="str" cm="1">
        <f t="array" ref="Q3176">_xlfn.IFS(Table1[[#This Row],[Wealthier_Winner]]=-1,"Wealthier Nation Loses",Table1[[#This Row],[Wealthier_Winner]]=0,"Tie",Table1[[#This Row],[Wealthier_Winner]]=1,"Wealthier Nation Wins")</f>
        <v>Wealthier Nation Loses</v>
      </c>
    </row>
    <row r="3177" spans="1:17" x14ac:dyDescent="0.2">
      <c r="A3177" s="1">
        <v>5011</v>
      </c>
      <c r="B3177" s="2">
        <v>38581</v>
      </c>
      <c r="C3177" s="7">
        <f>_xlfn.FLOOR.MATH(Table1[[#This Row],[year]],10)</f>
        <v>2000</v>
      </c>
      <c r="D3177" t="s">
        <v>525</v>
      </c>
      <c r="E3177" t="s">
        <v>196</v>
      </c>
      <c r="F3177">
        <v>1</v>
      </c>
      <c r="G3177">
        <v>1</v>
      </c>
      <c r="H3177" t="s">
        <v>224</v>
      </c>
      <c r="I3177" t="s">
        <v>526</v>
      </c>
      <c r="J3177" t="s">
        <v>525</v>
      </c>
      <c r="K3177" t="b">
        <v>0</v>
      </c>
      <c r="L3177">
        <v>2005</v>
      </c>
      <c r="M3177">
        <v>16306935905</v>
      </c>
      <c r="N3177">
        <v>764015973481</v>
      </c>
      <c r="O3177" t="b">
        <v>1</v>
      </c>
      <c r="P3177">
        <v>0</v>
      </c>
      <c r="Q3177" t="str" cm="1">
        <f t="array" ref="Q3177">_xlfn.IFS(Table1[[#This Row],[Wealthier_Winner]]=-1,"Wealthier Nation Loses",Table1[[#This Row],[Wealthier_Winner]]=0,"Tie",Table1[[#This Row],[Wealthier_Winner]]=1,"Wealthier Nation Wins")</f>
        <v>Tie</v>
      </c>
    </row>
    <row r="3178" spans="1:17" x14ac:dyDescent="0.2">
      <c r="A3178" s="1">
        <v>5013</v>
      </c>
      <c r="B3178" s="2">
        <v>38581</v>
      </c>
      <c r="C3178" s="7">
        <f>_xlfn.FLOOR.MATH(Table1[[#This Row],[year]],10)</f>
        <v>2000</v>
      </c>
      <c r="D3178" t="s">
        <v>502</v>
      </c>
      <c r="E3178" t="s">
        <v>230</v>
      </c>
      <c r="F3178">
        <v>0</v>
      </c>
      <c r="G3178">
        <v>3</v>
      </c>
      <c r="H3178" t="s">
        <v>224</v>
      </c>
      <c r="I3178" t="s">
        <v>504</v>
      </c>
      <c r="J3178" t="s">
        <v>502</v>
      </c>
      <c r="K3178" t="b">
        <v>0</v>
      </c>
      <c r="L3178">
        <v>2005</v>
      </c>
      <c r="M3178">
        <v>6258602872</v>
      </c>
      <c r="N3178">
        <v>204859368790</v>
      </c>
      <c r="O3178" t="b">
        <v>1</v>
      </c>
      <c r="P3178">
        <v>1</v>
      </c>
      <c r="Q3178" t="str" cm="1">
        <f t="array" ref="Q3178">_xlfn.IFS(Table1[[#This Row],[Wealthier_Winner]]=-1,"Wealthier Nation Loses",Table1[[#This Row],[Wealthier_Winner]]=0,"Tie",Table1[[#This Row],[Wealthier_Winner]]=1,"Wealthier Nation Wins")</f>
        <v>Wealthier Nation Wins</v>
      </c>
    </row>
    <row r="3179" spans="1:17" x14ac:dyDescent="0.2">
      <c r="A3179" s="1">
        <v>5014</v>
      </c>
      <c r="B3179" s="2">
        <v>38581</v>
      </c>
      <c r="C3179" s="7">
        <f>_xlfn.FLOOR.MATH(Table1[[#This Row],[year]],10)</f>
        <v>2000</v>
      </c>
      <c r="D3179" t="s">
        <v>17</v>
      </c>
      <c r="E3179" t="s">
        <v>56</v>
      </c>
      <c r="F3179">
        <v>2</v>
      </c>
      <c r="G3179">
        <v>0</v>
      </c>
      <c r="H3179" t="s">
        <v>224</v>
      </c>
      <c r="I3179" t="s">
        <v>83</v>
      </c>
      <c r="J3179" t="s">
        <v>17</v>
      </c>
      <c r="K3179" t="b">
        <v>0</v>
      </c>
      <c r="L3179">
        <v>2005</v>
      </c>
      <c r="M3179">
        <v>917571853529</v>
      </c>
      <c r="N3179">
        <v>20040642476</v>
      </c>
      <c r="O3179" t="b">
        <v>1</v>
      </c>
      <c r="P3179">
        <v>1</v>
      </c>
      <c r="Q3179" t="str" cm="1">
        <f t="array" ref="Q3179">_xlfn.IFS(Table1[[#This Row],[Wealthier_Winner]]=-1,"Wealthier Nation Loses",Table1[[#This Row],[Wealthier_Winner]]=0,"Tie",Table1[[#This Row],[Wealthier_Winner]]=1,"Wealthier Nation Wins")</f>
        <v>Wealthier Nation Wins</v>
      </c>
    </row>
    <row r="3180" spans="1:17" x14ac:dyDescent="0.2">
      <c r="A3180" s="1">
        <v>5015</v>
      </c>
      <c r="B3180" s="2">
        <v>38581</v>
      </c>
      <c r="C3180" s="7">
        <f>_xlfn.FLOOR.MATH(Table1[[#This Row],[year]],10)</f>
        <v>2000</v>
      </c>
      <c r="D3180" t="s">
        <v>44</v>
      </c>
      <c r="E3180" t="s">
        <v>601</v>
      </c>
      <c r="F3180">
        <v>2</v>
      </c>
      <c r="G3180">
        <v>0</v>
      </c>
      <c r="H3180" t="s">
        <v>224</v>
      </c>
      <c r="I3180" t="s">
        <v>675</v>
      </c>
      <c r="J3180" t="s">
        <v>44</v>
      </c>
      <c r="K3180" t="b">
        <v>0</v>
      </c>
      <c r="L3180">
        <v>2005</v>
      </c>
      <c r="M3180">
        <v>98454380120</v>
      </c>
      <c r="N3180">
        <v>3161084846</v>
      </c>
      <c r="O3180" t="b">
        <v>1</v>
      </c>
      <c r="P3180">
        <v>1</v>
      </c>
      <c r="Q3180" t="str" cm="1">
        <f t="array" ref="Q3180">_xlfn.IFS(Table1[[#This Row],[Wealthier_Winner]]=-1,"Wealthier Nation Loses",Table1[[#This Row],[Wealthier_Winner]]=0,"Tie",Table1[[#This Row],[Wealthier_Winner]]=1,"Wealthier Nation Wins")</f>
        <v>Wealthier Nation Wins</v>
      </c>
    </row>
    <row r="3181" spans="1:17" x14ac:dyDescent="0.2">
      <c r="A3181" s="1">
        <v>5016</v>
      </c>
      <c r="B3181" s="2">
        <v>38581</v>
      </c>
      <c r="C3181" s="7">
        <f>_xlfn.FLOOR.MATH(Table1[[#This Row],[year]],10)</f>
        <v>2000</v>
      </c>
      <c r="D3181" t="s">
        <v>274</v>
      </c>
      <c r="E3181" t="s">
        <v>310</v>
      </c>
      <c r="F3181">
        <v>1</v>
      </c>
      <c r="G3181">
        <v>0</v>
      </c>
      <c r="H3181" t="s">
        <v>224</v>
      </c>
      <c r="I3181" t="s">
        <v>591</v>
      </c>
      <c r="J3181" t="s">
        <v>274</v>
      </c>
      <c r="K3181" t="b">
        <v>0</v>
      </c>
      <c r="L3181">
        <v>2005</v>
      </c>
      <c r="M3181">
        <v>35182711987</v>
      </c>
      <c r="N3181">
        <v>6567654954</v>
      </c>
      <c r="O3181" t="b">
        <v>1</v>
      </c>
      <c r="P3181">
        <v>1</v>
      </c>
      <c r="Q3181" t="str" cm="1">
        <f t="array" ref="Q3181">_xlfn.IFS(Table1[[#This Row],[Wealthier_Winner]]=-1,"Wealthier Nation Loses",Table1[[#This Row],[Wealthier_Winner]]=0,"Tie",Table1[[#This Row],[Wealthier_Winner]]=1,"Wealthier Nation Wins")</f>
        <v>Wealthier Nation Wins</v>
      </c>
    </row>
    <row r="3182" spans="1:17" x14ac:dyDescent="0.2">
      <c r="A3182" s="1">
        <v>5017</v>
      </c>
      <c r="B3182" s="2">
        <v>38581</v>
      </c>
      <c r="C3182" s="7">
        <f>_xlfn.FLOOR.MATH(Table1[[#This Row],[year]],10)</f>
        <v>2000</v>
      </c>
      <c r="D3182" t="s">
        <v>53</v>
      </c>
      <c r="E3182" t="s">
        <v>314</v>
      </c>
      <c r="F3182">
        <v>1</v>
      </c>
      <c r="G3182">
        <v>0</v>
      </c>
      <c r="H3182" t="s">
        <v>224</v>
      </c>
      <c r="I3182" t="s">
        <v>658</v>
      </c>
      <c r="J3182" t="s">
        <v>53</v>
      </c>
      <c r="K3182" t="b">
        <v>0</v>
      </c>
      <c r="L3182">
        <v>2005</v>
      </c>
      <c r="M3182">
        <v>32272186694</v>
      </c>
      <c r="N3182">
        <v>18737895512</v>
      </c>
      <c r="O3182" t="b">
        <v>0</v>
      </c>
      <c r="P3182">
        <v>1</v>
      </c>
      <c r="Q3182" t="str" cm="1">
        <f t="array" ref="Q3182">_xlfn.IFS(Table1[[#This Row],[Wealthier_Winner]]=-1,"Wealthier Nation Loses",Table1[[#This Row],[Wealthier_Winner]]=0,"Tie",Table1[[#This Row],[Wealthier_Winner]]=1,"Wealthier Nation Wins")</f>
        <v>Wealthier Nation Wins</v>
      </c>
    </row>
    <row r="3183" spans="1:17" x14ac:dyDescent="0.2">
      <c r="A3183" s="1">
        <v>5018</v>
      </c>
      <c r="B3183" s="2">
        <v>38581</v>
      </c>
      <c r="C3183" s="7">
        <f>_xlfn.FLOOR.MATH(Table1[[#This Row],[year]],10)</f>
        <v>2000</v>
      </c>
      <c r="D3183" t="s">
        <v>41</v>
      </c>
      <c r="E3183" t="s">
        <v>59</v>
      </c>
      <c r="F3183">
        <v>1</v>
      </c>
      <c r="G3183">
        <v>0</v>
      </c>
      <c r="H3183" t="s">
        <v>224</v>
      </c>
      <c r="I3183" t="s">
        <v>678</v>
      </c>
      <c r="J3183" t="s">
        <v>41</v>
      </c>
      <c r="K3183" t="b">
        <v>0</v>
      </c>
      <c r="L3183">
        <v>2005</v>
      </c>
      <c r="M3183">
        <v>13039199193000</v>
      </c>
      <c r="N3183">
        <v>15982389018</v>
      </c>
      <c r="O3183" t="b">
        <v>1</v>
      </c>
      <c r="P3183">
        <v>1</v>
      </c>
      <c r="Q3183" t="str" cm="1">
        <f t="array" ref="Q3183">_xlfn.IFS(Table1[[#This Row],[Wealthier_Winner]]=-1,"Wealthier Nation Loses",Table1[[#This Row],[Wealthier_Winner]]=0,"Tie",Table1[[#This Row],[Wealthier_Winner]]=1,"Wealthier Nation Wins")</f>
        <v>Wealthier Nation Wins</v>
      </c>
    </row>
    <row r="3184" spans="1:17" x14ac:dyDescent="0.2">
      <c r="A3184" s="1">
        <v>5019</v>
      </c>
      <c r="B3184" s="2">
        <v>38581</v>
      </c>
      <c r="C3184" s="7">
        <f>_xlfn.FLOOR.MATH(Table1[[#This Row],[year]],10)</f>
        <v>2000</v>
      </c>
      <c r="D3184" t="s">
        <v>563</v>
      </c>
      <c r="E3184" t="s">
        <v>71</v>
      </c>
      <c r="F3184">
        <v>3</v>
      </c>
      <c r="G3184">
        <v>2</v>
      </c>
      <c r="H3184" t="s">
        <v>224</v>
      </c>
      <c r="I3184" t="s">
        <v>564</v>
      </c>
      <c r="J3184" t="s">
        <v>563</v>
      </c>
      <c r="K3184" t="b">
        <v>0</v>
      </c>
      <c r="L3184">
        <v>2005</v>
      </c>
      <c r="M3184">
        <v>14307509838</v>
      </c>
      <c r="N3184">
        <v>80798630136</v>
      </c>
      <c r="O3184" t="b">
        <v>1</v>
      </c>
      <c r="P3184">
        <v>-1</v>
      </c>
      <c r="Q3184" t="str" cm="1">
        <f t="array" ref="Q3184">_xlfn.IFS(Table1[[#This Row],[Wealthier_Winner]]=-1,"Wealthier Nation Loses",Table1[[#This Row],[Wealthier_Winner]]=0,"Tie",Table1[[#This Row],[Wealthier_Winner]]=1,"Wealthier Nation Wins")</f>
        <v>Wealthier Nation Loses</v>
      </c>
    </row>
    <row r="3185" spans="1:17" x14ac:dyDescent="0.2">
      <c r="A3185" s="1">
        <v>5020</v>
      </c>
      <c r="B3185" s="2">
        <v>38597</v>
      </c>
      <c r="C3185" s="7">
        <f>_xlfn.FLOOR.MATH(Table1[[#This Row],[year]],10)</f>
        <v>2000</v>
      </c>
      <c r="D3185" t="s">
        <v>286</v>
      </c>
      <c r="E3185" t="s">
        <v>274</v>
      </c>
      <c r="F3185">
        <v>0</v>
      </c>
      <c r="G3185">
        <v>0</v>
      </c>
      <c r="H3185" t="s">
        <v>224</v>
      </c>
      <c r="I3185" t="s">
        <v>287</v>
      </c>
      <c r="J3185" t="s">
        <v>286</v>
      </c>
      <c r="K3185" t="b">
        <v>0</v>
      </c>
      <c r="L3185">
        <v>2005</v>
      </c>
      <c r="M3185">
        <v>47334691241</v>
      </c>
      <c r="N3185">
        <v>35182711987</v>
      </c>
      <c r="O3185" t="b">
        <v>0</v>
      </c>
      <c r="P3185">
        <v>0</v>
      </c>
      <c r="Q3185" t="str" cm="1">
        <f t="array" ref="Q3185">_xlfn.IFS(Table1[[#This Row],[Wealthier_Winner]]=-1,"Wealthier Nation Loses",Table1[[#This Row],[Wealthier_Winner]]=0,"Tie",Table1[[#This Row],[Wealthier_Winner]]=1,"Wealthier Nation Wins")</f>
        <v>Tie</v>
      </c>
    </row>
    <row r="3186" spans="1:17" x14ac:dyDescent="0.2">
      <c r="A3186" s="1">
        <v>5021</v>
      </c>
      <c r="B3186" s="2">
        <v>38598</v>
      </c>
      <c r="C3186" s="7">
        <f>_xlfn.FLOOR.MATH(Table1[[#This Row],[year]],10)</f>
        <v>2000</v>
      </c>
      <c r="D3186" t="s">
        <v>373</v>
      </c>
      <c r="E3186" t="s">
        <v>558</v>
      </c>
      <c r="F3186">
        <v>2</v>
      </c>
      <c r="G3186">
        <v>1</v>
      </c>
      <c r="H3186" t="s">
        <v>224</v>
      </c>
      <c r="I3186" t="s">
        <v>374</v>
      </c>
      <c r="J3186" t="s">
        <v>373</v>
      </c>
      <c r="K3186" t="b">
        <v>0</v>
      </c>
      <c r="L3186">
        <v>2005</v>
      </c>
      <c r="M3186">
        <v>8256658249</v>
      </c>
      <c r="N3186">
        <v>57123671733</v>
      </c>
      <c r="O3186" t="b">
        <v>1</v>
      </c>
      <c r="P3186">
        <v>-1</v>
      </c>
      <c r="Q3186" t="str" cm="1">
        <f t="array" ref="Q3186">_xlfn.IFS(Table1[[#This Row],[Wealthier_Winner]]=-1,"Wealthier Nation Loses",Table1[[#This Row],[Wealthier_Winner]]=0,"Tie",Table1[[#This Row],[Wealthier_Winner]]=1,"Wealthier Nation Wins")</f>
        <v>Wealthier Nation Loses</v>
      </c>
    </row>
    <row r="3187" spans="1:17" x14ac:dyDescent="0.2">
      <c r="A3187" s="1">
        <v>5022</v>
      </c>
      <c r="B3187" s="2">
        <v>38598</v>
      </c>
      <c r="C3187" s="7">
        <f>_xlfn.FLOOR.MATH(Table1[[#This Row],[year]],10)</f>
        <v>2000</v>
      </c>
      <c r="D3187" t="s">
        <v>601</v>
      </c>
      <c r="E3187" t="s">
        <v>230</v>
      </c>
      <c r="F3187">
        <v>0</v>
      </c>
      <c r="G3187">
        <v>0</v>
      </c>
      <c r="H3187" t="s">
        <v>224</v>
      </c>
      <c r="I3187" t="s">
        <v>602</v>
      </c>
      <c r="J3187" t="s">
        <v>601</v>
      </c>
      <c r="K3187" t="b">
        <v>0</v>
      </c>
      <c r="L3187">
        <v>2005</v>
      </c>
      <c r="M3187">
        <v>3161084846</v>
      </c>
      <c r="N3187">
        <v>204859368790</v>
      </c>
      <c r="O3187" t="b">
        <v>1</v>
      </c>
      <c r="P3187">
        <v>0</v>
      </c>
      <c r="Q3187" t="str" cm="1">
        <f t="array" ref="Q3187">_xlfn.IFS(Table1[[#This Row],[Wealthier_Winner]]=-1,"Wealthier Nation Loses",Table1[[#This Row],[Wealthier_Winner]]=0,"Tie",Table1[[#This Row],[Wealthier_Winner]]=1,"Wealthier Nation Wins")</f>
        <v>Tie</v>
      </c>
    </row>
    <row r="3188" spans="1:17" x14ac:dyDescent="0.2">
      <c r="A3188" s="1">
        <v>5023</v>
      </c>
      <c r="B3188" s="2">
        <v>38598</v>
      </c>
      <c r="C3188" s="7">
        <f>_xlfn.FLOOR.MATH(Table1[[#This Row],[year]],10)</f>
        <v>2000</v>
      </c>
      <c r="D3188" t="s">
        <v>519</v>
      </c>
      <c r="E3188" t="s">
        <v>27</v>
      </c>
      <c r="F3188">
        <v>0</v>
      </c>
      <c r="G3188">
        <v>1</v>
      </c>
      <c r="H3188" t="s">
        <v>224</v>
      </c>
      <c r="I3188" t="s">
        <v>520</v>
      </c>
      <c r="J3188" t="s">
        <v>519</v>
      </c>
      <c r="K3188" t="b">
        <v>0</v>
      </c>
      <c r="L3188">
        <v>2005</v>
      </c>
      <c r="M3188">
        <v>4900469511</v>
      </c>
      <c r="N3188">
        <v>688133699635</v>
      </c>
      <c r="O3188" t="b">
        <v>1</v>
      </c>
      <c r="P3188">
        <v>1</v>
      </c>
      <c r="Q3188" t="str" cm="1">
        <f t="array" ref="Q3188">_xlfn.IFS(Table1[[#This Row],[Wealthier_Winner]]=-1,"Wealthier Nation Loses",Table1[[#This Row],[Wealthier_Winner]]=0,"Tie",Table1[[#This Row],[Wealthier_Winner]]=1,"Wealthier Nation Wins")</f>
        <v>Wealthier Nation Wins</v>
      </c>
    </row>
    <row r="3189" spans="1:17" x14ac:dyDescent="0.2">
      <c r="A3189" s="1">
        <v>5024</v>
      </c>
      <c r="B3189" s="2">
        <v>38598</v>
      </c>
      <c r="C3189" s="7">
        <f>_xlfn.FLOOR.MATH(Table1[[#This Row],[year]],10)</f>
        <v>2000</v>
      </c>
      <c r="D3189" t="s">
        <v>28</v>
      </c>
      <c r="E3189" t="s">
        <v>456</v>
      </c>
      <c r="F3189">
        <v>7</v>
      </c>
      <c r="G3189">
        <v>0</v>
      </c>
      <c r="H3189" t="s">
        <v>224</v>
      </c>
      <c r="I3189" t="s">
        <v>301</v>
      </c>
      <c r="J3189" t="s">
        <v>28</v>
      </c>
      <c r="K3189" t="b">
        <v>0</v>
      </c>
      <c r="L3189">
        <v>2005</v>
      </c>
      <c r="M3189">
        <v>696811489612</v>
      </c>
      <c r="N3189">
        <v>552881356</v>
      </c>
      <c r="O3189" t="b">
        <v>1</v>
      </c>
      <c r="P3189">
        <v>1</v>
      </c>
      <c r="Q3189" t="str" cm="1">
        <f t="array" ref="Q3189">_xlfn.IFS(Table1[[#This Row],[Wealthier_Winner]]=-1,"Wealthier Nation Loses",Table1[[#This Row],[Wealthier_Winner]]=0,"Tie",Table1[[#This Row],[Wealthier_Winner]]=1,"Wealthier Nation Wins")</f>
        <v>Wealthier Nation Wins</v>
      </c>
    </row>
    <row r="3190" spans="1:17" x14ac:dyDescent="0.2">
      <c r="A3190" s="1">
        <v>5025</v>
      </c>
      <c r="B3190" s="2">
        <v>38598</v>
      </c>
      <c r="C3190" s="7">
        <f>_xlfn.FLOOR.MATH(Table1[[#This Row],[year]],10)</f>
        <v>2000</v>
      </c>
      <c r="D3190" t="s">
        <v>47</v>
      </c>
      <c r="E3190" t="s">
        <v>57</v>
      </c>
      <c r="F3190">
        <v>1</v>
      </c>
      <c r="G3190">
        <v>2</v>
      </c>
      <c r="H3190" t="s">
        <v>224</v>
      </c>
      <c r="I3190" t="s">
        <v>246</v>
      </c>
      <c r="J3190" t="s">
        <v>47</v>
      </c>
      <c r="K3190" t="b">
        <v>0</v>
      </c>
      <c r="L3190">
        <v>2005</v>
      </c>
      <c r="M3190">
        <v>9549122905</v>
      </c>
      <c r="N3190">
        <v>40278849000</v>
      </c>
      <c r="O3190" t="b">
        <v>1</v>
      </c>
      <c r="P3190">
        <v>1</v>
      </c>
      <c r="Q3190" t="str" cm="1">
        <f t="array" ref="Q3190">_xlfn.IFS(Table1[[#This Row],[Wealthier_Winner]]=-1,"Wealthier Nation Loses",Table1[[#This Row],[Wealthier_Winner]]=0,"Tie",Table1[[#This Row],[Wealthier_Winner]]=1,"Wealthier Nation Wins")</f>
        <v>Wealthier Nation Wins</v>
      </c>
    </row>
    <row r="3191" spans="1:17" x14ac:dyDescent="0.2">
      <c r="A3191" s="1">
        <v>5026</v>
      </c>
      <c r="B3191" s="2">
        <v>38598</v>
      </c>
      <c r="C3191" s="7">
        <f>_xlfn.FLOOR.MATH(Table1[[#This Row],[year]],10)</f>
        <v>2000</v>
      </c>
      <c r="D3191" t="s">
        <v>73</v>
      </c>
      <c r="E3191" t="s">
        <v>23</v>
      </c>
      <c r="F3191">
        <v>1</v>
      </c>
      <c r="G3191">
        <v>0</v>
      </c>
      <c r="H3191" t="s">
        <v>224</v>
      </c>
      <c r="I3191" t="s">
        <v>636</v>
      </c>
      <c r="J3191" t="s">
        <v>73</v>
      </c>
      <c r="K3191" t="b">
        <v>0</v>
      </c>
      <c r="L3191">
        <v>2005</v>
      </c>
      <c r="M3191">
        <v>11222796336</v>
      </c>
      <c r="N3191">
        <v>385714762230</v>
      </c>
      <c r="O3191" t="b">
        <v>1</v>
      </c>
      <c r="P3191">
        <v>-1</v>
      </c>
      <c r="Q3191" t="str" cm="1">
        <f t="array" ref="Q3191">_xlfn.IFS(Table1[[#This Row],[Wealthier_Winner]]=-1,"Wealthier Nation Loses",Table1[[#This Row],[Wealthier_Winner]]=0,"Tie",Table1[[#This Row],[Wealthier_Winner]]=1,"Wealthier Nation Wins")</f>
        <v>Wealthier Nation Loses</v>
      </c>
    </row>
    <row r="3192" spans="1:17" x14ac:dyDescent="0.2">
      <c r="A3192" s="1">
        <v>5027</v>
      </c>
      <c r="B3192" s="2">
        <v>38598</v>
      </c>
      <c r="C3192" s="7">
        <f>_xlfn.FLOOR.MATH(Table1[[#This Row],[year]],10)</f>
        <v>2000</v>
      </c>
      <c r="D3192" t="s">
        <v>345</v>
      </c>
      <c r="E3192" t="s">
        <v>50</v>
      </c>
      <c r="F3192">
        <v>3</v>
      </c>
      <c r="G3192">
        <v>1</v>
      </c>
      <c r="H3192" t="s">
        <v>224</v>
      </c>
      <c r="I3192" t="s">
        <v>347</v>
      </c>
      <c r="J3192" t="s">
        <v>345</v>
      </c>
      <c r="K3192" t="b">
        <v>0</v>
      </c>
      <c r="L3192">
        <v>2005</v>
      </c>
      <c r="M3192">
        <v>6146353173</v>
      </c>
      <c r="N3192">
        <v>288867217196</v>
      </c>
      <c r="O3192" t="b">
        <v>1</v>
      </c>
      <c r="P3192">
        <v>-1</v>
      </c>
      <c r="Q3192" t="str" cm="1">
        <f t="array" ref="Q3192">_xlfn.IFS(Table1[[#This Row],[Wealthier_Winner]]=-1,"Wealthier Nation Loses",Table1[[#This Row],[Wealthier_Winner]]=0,"Tie",Table1[[#This Row],[Wealthier_Winner]]=1,"Wealthier Nation Wins")</f>
        <v>Wealthier Nation Loses</v>
      </c>
    </row>
    <row r="3193" spans="1:17" x14ac:dyDescent="0.2">
      <c r="A3193" s="1">
        <v>5028</v>
      </c>
      <c r="B3193" s="2">
        <v>38598</v>
      </c>
      <c r="C3193" s="7">
        <f>_xlfn.FLOOR.MATH(Table1[[#This Row],[year]],10)</f>
        <v>2000</v>
      </c>
      <c r="D3193" t="s">
        <v>476</v>
      </c>
      <c r="E3193" t="s">
        <v>525</v>
      </c>
      <c r="F3193">
        <v>2</v>
      </c>
      <c r="G3193">
        <v>1</v>
      </c>
      <c r="H3193" t="s">
        <v>224</v>
      </c>
      <c r="I3193" t="s">
        <v>481</v>
      </c>
      <c r="J3193" t="s">
        <v>476</v>
      </c>
      <c r="K3193" t="b">
        <v>0</v>
      </c>
      <c r="L3193">
        <v>2005</v>
      </c>
      <c r="M3193">
        <v>14109491356</v>
      </c>
      <c r="N3193">
        <v>16306935905</v>
      </c>
      <c r="O3193" t="b">
        <v>0</v>
      </c>
      <c r="P3193">
        <v>-1</v>
      </c>
      <c r="Q3193" t="str" cm="1">
        <f t="array" ref="Q3193">_xlfn.IFS(Table1[[#This Row],[Wealthier_Winner]]=-1,"Wealthier Nation Loses",Table1[[#This Row],[Wealthier_Winner]]=0,"Tie",Table1[[#This Row],[Wealthier_Winner]]=1,"Wealthier Nation Wins")</f>
        <v>Wealthier Nation Loses</v>
      </c>
    </row>
    <row r="3194" spans="1:17" x14ac:dyDescent="0.2">
      <c r="A3194" s="1">
        <v>5029</v>
      </c>
      <c r="B3194" s="2">
        <v>38598</v>
      </c>
      <c r="C3194" s="7">
        <f>_xlfn.FLOOR.MATH(Table1[[#This Row],[year]],10)</f>
        <v>2000</v>
      </c>
      <c r="D3194" t="s">
        <v>20</v>
      </c>
      <c r="E3194" t="s">
        <v>447</v>
      </c>
      <c r="F3194">
        <v>3</v>
      </c>
      <c r="G3194">
        <v>0</v>
      </c>
      <c r="H3194" t="s">
        <v>224</v>
      </c>
      <c r="I3194" t="s">
        <v>131</v>
      </c>
      <c r="J3194" t="s">
        <v>20</v>
      </c>
      <c r="K3194" t="b">
        <v>0</v>
      </c>
      <c r="L3194">
        <v>2005</v>
      </c>
      <c r="M3194">
        <v>2192146403028</v>
      </c>
      <c r="N3194">
        <v>1759739599</v>
      </c>
      <c r="O3194" t="b">
        <v>1</v>
      </c>
      <c r="P3194">
        <v>1</v>
      </c>
      <c r="Q3194" t="str" cm="1">
        <f t="array" ref="Q3194">_xlfn.IFS(Table1[[#This Row],[Wealthier_Winner]]=-1,"Wealthier Nation Loses",Table1[[#This Row],[Wealthier_Winner]]=0,"Tie",Table1[[#This Row],[Wealthier_Winner]]=1,"Wealthier Nation Wins")</f>
        <v>Wealthier Nation Wins</v>
      </c>
    </row>
    <row r="3195" spans="1:17" x14ac:dyDescent="0.2">
      <c r="A3195" s="1">
        <v>5030</v>
      </c>
      <c r="B3195" s="2">
        <v>38598</v>
      </c>
      <c r="C3195" s="7">
        <f>_xlfn.FLOOR.MATH(Table1[[#This Row],[year]],10)</f>
        <v>2000</v>
      </c>
      <c r="D3195" t="s">
        <v>534</v>
      </c>
      <c r="E3195" t="s">
        <v>64</v>
      </c>
      <c r="F3195">
        <v>1</v>
      </c>
      <c r="G3195">
        <v>1</v>
      </c>
      <c r="H3195" t="s">
        <v>224</v>
      </c>
      <c r="I3195" t="s">
        <v>536</v>
      </c>
      <c r="J3195" t="s">
        <v>534</v>
      </c>
      <c r="K3195" t="b">
        <v>0</v>
      </c>
      <c r="L3195">
        <v>2005</v>
      </c>
      <c r="M3195">
        <v>6410912049</v>
      </c>
      <c r="N3195">
        <v>89238865118</v>
      </c>
      <c r="O3195" t="b">
        <v>1</v>
      </c>
      <c r="P3195">
        <v>0</v>
      </c>
      <c r="Q3195" t="str" cm="1">
        <f t="array" ref="Q3195">_xlfn.IFS(Table1[[#This Row],[Wealthier_Winner]]=-1,"Wealthier Nation Loses",Table1[[#This Row],[Wealthier_Winner]]=0,"Tie",Table1[[#This Row],[Wealthier_Winner]]=1,"Wealthier Nation Wins")</f>
        <v>Tie</v>
      </c>
    </row>
    <row r="3196" spans="1:17" x14ac:dyDescent="0.2">
      <c r="A3196" s="1">
        <v>5031</v>
      </c>
      <c r="B3196" s="2">
        <v>38598</v>
      </c>
      <c r="C3196" s="7">
        <f>_xlfn.FLOOR.MATH(Table1[[#This Row],[year]],10)</f>
        <v>2000</v>
      </c>
      <c r="D3196" t="s">
        <v>30</v>
      </c>
      <c r="E3196" t="s">
        <v>303</v>
      </c>
      <c r="F3196">
        <v>4</v>
      </c>
      <c r="G3196">
        <v>0</v>
      </c>
      <c r="H3196" t="s">
        <v>224</v>
      </c>
      <c r="I3196" t="s">
        <v>297</v>
      </c>
      <c r="J3196" t="s">
        <v>30</v>
      </c>
      <c r="K3196" t="b">
        <v>0</v>
      </c>
      <c r="L3196">
        <v>2005</v>
      </c>
      <c r="M3196">
        <v>113098237570</v>
      </c>
      <c r="N3196">
        <v>6393234992</v>
      </c>
      <c r="O3196" t="b">
        <v>1</v>
      </c>
      <c r="P3196">
        <v>1</v>
      </c>
      <c r="Q3196" t="str" cm="1">
        <f t="array" ref="Q3196">_xlfn.IFS(Table1[[#This Row],[Wealthier_Winner]]=-1,"Wealthier Nation Loses",Table1[[#This Row],[Wealthier_Winner]]=0,"Tie",Table1[[#This Row],[Wealthier_Winner]]=1,"Wealthier Nation Wins")</f>
        <v>Wealthier Nation Wins</v>
      </c>
    </row>
    <row r="3197" spans="1:17" x14ac:dyDescent="0.2">
      <c r="A3197" s="1">
        <v>5032</v>
      </c>
      <c r="B3197" s="2">
        <v>38598</v>
      </c>
      <c r="C3197" s="7">
        <f>_xlfn.FLOOR.MATH(Table1[[#This Row],[year]],10)</f>
        <v>2000</v>
      </c>
      <c r="D3197" t="s">
        <v>66</v>
      </c>
      <c r="E3197" t="s">
        <v>52</v>
      </c>
      <c r="F3197">
        <v>1</v>
      </c>
      <c r="G3197">
        <v>3</v>
      </c>
      <c r="H3197" t="s">
        <v>224</v>
      </c>
      <c r="I3197" t="s">
        <v>336</v>
      </c>
      <c r="J3197" t="s">
        <v>66</v>
      </c>
      <c r="K3197" t="b">
        <v>0</v>
      </c>
      <c r="L3197">
        <v>2005</v>
      </c>
      <c r="M3197">
        <v>17146410560</v>
      </c>
      <c r="N3197">
        <v>45013119281</v>
      </c>
      <c r="O3197" t="b">
        <v>1</v>
      </c>
      <c r="P3197">
        <v>1</v>
      </c>
      <c r="Q3197" t="str" cm="1">
        <f t="array" ref="Q3197">_xlfn.IFS(Table1[[#This Row],[Wealthier_Winner]]=-1,"Wealthier Nation Loses",Table1[[#This Row],[Wealthier_Winner]]=0,"Tie",Table1[[#This Row],[Wealthier_Winner]]=1,"Wealthier Nation Wins")</f>
        <v>Wealthier Nation Wins</v>
      </c>
    </row>
    <row r="3198" spans="1:17" x14ac:dyDescent="0.2">
      <c r="A3198" s="1">
        <v>5033</v>
      </c>
      <c r="B3198" s="2">
        <v>38598</v>
      </c>
      <c r="C3198" s="7">
        <f>_xlfn.FLOOR.MATH(Table1[[#This Row],[year]],10)</f>
        <v>2000</v>
      </c>
      <c r="D3198" t="s">
        <v>314</v>
      </c>
      <c r="E3198" t="s">
        <v>53</v>
      </c>
      <c r="F3198">
        <v>0</v>
      </c>
      <c r="G3198">
        <v>2</v>
      </c>
      <c r="H3198" t="s">
        <v>224</v>
      </c>
      <c r="I3198" t="s">
        <v>315</v>
      </c>
      <c r="J3198" t="s">
        <v>314</v>
      </c>
      <c r="K3198" t="b">
        <v>0</v>
      </c>
      <c r="L3198">
        <v>2005</v>
      </c>
      <c r="M3198">
        <v>18737895512</v>
      </c>
      <c r="N3198">
        <v>32272186694</v>
      </c>
      <c r="O3198" t="b">
        <v>0</v>
      </c>
      <c r="P3198">
        <v>1</v>
      </c>
      <c r="Q3198" t="str" cm="1">
        <f t="array" ref="Q3198">_xlfn.IFS(Table1[[#This Row],[Wealthier_Winner]]=-1,"Wealthier Nation Loses",Table1[[#This Row],[Wealthier_Winner]]=0,"Tie",Table1[[#This Row],[Wealthier_Winner]]=1,"Wealthier Nation Wins")</f>
        <v>Wealthier Nation Wins</v>
      </c>
    </row>
    <row r="3199" spans="1:17" x14ac:dyDescent="0.2">
      <c r="A3199" s="1">
        <v>5035</v>
      </c>
      <c r="B3199" s="2">
        <v>38598</v>
      </c>
      <c r="C3199" s="7">
        <f>_xlfn.FLOOR.MATH(Table1[[#This Row],[year]],10)</f>
        <v>2000</v>
      </c>
      <c r="D3199" t="s">
        <v>527</v>
      </c>
      <c r="E3199" t="s">
        <v>510</v>
      </c>
      <c r="F3199">
        <v>2</v>
      </c>
      <c r="G3199">
        <v>0</v>
      </c>
      <c r="H3199" t="s">
        <v>224</v>
      </c>
      <c r="I3199" t="s">
        <v>528</v>
      </c>
      <c r="J3199" t="s">
        <v>527</v>
      </c>
      <c r="K3199" t="b">
        <v>0</v>
      </c>
      <c r="L3199">
        <v>2005</v>
      </c>
      <c r="M3199">
        <v>2988342907</v>
      </c>
      <c r="N3199">
        <v>30210091836</v>
      </c>
      <c r="O3199" t="b">
        <v>1</v>
      </c>
      <c r="P3199">
        <v>-1</v>
      </c>
      <c r="Q3199" t="str" cm="1">
        <f t="array" ref="Q3199">_xlfn.IFS(Table1[[#This Row],[Wealthier_Winner]]=-1,"Wealthier Nation Loses",Table1[[#This Row],[Wealthier_Winner]]=0,"Tie",Table1[[#This Row],[Wealthier_Winner]]=1,"Wealthier Nation Wins")</f>
        <v>Wealthier Nation Loses</v>
      </c>
    </row>
    <row r="3200" spans="1:17" x14ac:dyDescent="0.2">
      <c r="A3200" s="1">
        <v>5036</v>
      </c>
      <c r="B3200" s="2">
        <v>38598</v>
      </c>
      <c r="C3200" s="7">
        <f>_xlfn.FLOOR.MATH(Table1[[#This Row],[year]],10)</f>
        <v>2000</v>
      </c>
      <c r="D3200" t="s">
        <v>24</v>
      </c>
      <c r="E3200" t="s">
        <v>469</v>
      </c>
      <c r="F3200">
        <v>1</v>
      </c>
      <c r="G3200">
        <v>0</v>
      </c>
      <c r="H3200" t="s">
        <v>224</v>
      </c>
      <c r="I3200" t="s">
        <v>319</v>
      </c>
      <c r="J3200" t="s">
        <v>24</v>
      </c>
      <c r="K3200" t="b">
        <v>0</v>
      </c>
      <c r="L3200">
        <v>2005</v>
      </c>
      <c r="M3200">
        <v>68852658068</v>
      </c>
      <c r="N3200">
        <v>9918907108</v>
      </c>
      <c r="O3200" t="b">
        <v>1</v>
      </c>
      <c r="P3200">
        <v>1</v>
      </c>
      <c r="Q3200" t="str" cm="1">
        <f t="array" ref="Q3200">_xlfn.IFS(Table1[[#This Row],[Wealthier_Winner]]=-1,"Wealthier Nation Loses",Table1[[#This Row],[Wealthier_Winner]]=0,"Tie",Table1[[#This Row],[Wealthier_Winner]]=1,"Wealthier Nation Wins")</f>
        <v>Wealthier Nation Wins</v>
      </c>
    </row>
    <row r="3201" spans="1:17" x14ac:dyDescent="0.2">
      <c r="A3201" s="1">
        <v>5038</v>
      </c>
      <c r="B3201" s="2">
        <v>38598</v>
      </c>
      <c r="C3201" s="7">
        <f>_xlfn.FLOOR.MATH(Table1[[#This Row],[year]],10)</f>
        <v>2000</v>
      </c>
      <c r="D3201" t="s">
        <v>67</v>
      </c>
      <c r="E3201" t="s">
        <v>56</v>
      </c>
      <c r="F3201">
        <v>1</v>
      </c>
      <c r="G3201">
        <v>3</v>
      </c>
      <c r="H3201" t="s">
        <v>224</v>
      </c>
      <c r="I3201" t="s">
        <v>455</v>
      </c>
      <c r="J3201" t="s">
        <v>67</v>
      </c>
      <c r="K3201" t="b">
        <v>0</v>
      </c>
      <c r="L3201">
        <v>2005</v>
      </c>
      <c r="M3201">
        <v>16623906739</v>
      </c>
      <c r="N3201">
        <v>20040642476</v>
      </c>
      <c r="O3201" t="b">
        <v>0</v>
      </c>
      <c r="P3201">
        <v>1</v>
      </c>
      <c r="Q3201" t="str" cm="1">
        <f t="array" ref="Q3201">_xlfn.IFS(Table1[[#This Row],[Wealthier_Winner]]=-1,"Wealthier Nation Loses",Table1[[#This Row],[Wealthier_Winner]]=0,"Tie",Table1[[#This Row],[Wealthier_Winner]]=1,"Wealthier Nation Wins")</f>
        <v>Wealthier Nation Wins</v>
      </c>
    </row>
    <row r="3202" spans="1:17" x14ac:dyDescent="0.2">
      <c r="A3202" s="1">
        <v>5039</v>
      </c>
      <c r="B3202" s="2">
        <v>38598</v>
      </c>
      <c r="C3202" s="7">
        <f>_xlfn.FLOOR.MATH(Table1[[#This Row],[year]],10)</f>
        <v>2000</v>
      </c>
      <c r="D3202" t="s">
        <v>35</v>
      </c>
      <c r="E3202" t="s">
        <v>19</v>
      </c>
      <c r="F3202">
        <v>1</v>
      </c>
      <c r="G3202">
        <v>0</v>
      </c>
      <c r="H3202" t="s">
        <v>224</v>
      </c>
      <c r="I3202" t="s">
        <v>250</v>
      </c>
      <c r="J3202" t="s">
        <v>35</v>
      </c>
      <c r="K3202" t="b">
        <v>0</v>
      </c>
      <c r="L3202">
        <v>2005</v>
      </c>
      <c r="M3202">
        <v>10737500188</v>
      </c>
      <c r="N3202">
        <v>198737095012</v>
      </c>
      <c r="O3202" t="b">
        <v>1</v>
      </c>
      <c r="P3202">
        <v>-1</v>
      </c>
      <c r="Q3202" t="str" cm="1">
        <f t="array" ref="Q3202">_xlfn.IFS(Table1[[#This Row],[Wealthier_Winner]]=-1,"Wealthier Nation Loses",Table1[[#This Row],[Wealthier_Winner]]=0,"Tie",Table1[[#This Row],[Wealthier_Winner]]=1,"Wealthier Nation Wins")</f>
        <v>Wealthier Nation Loses</v>
      </c>
    </row>
    <row r="3203" spans="1:17" x14ac:dyDescent="0.2">
      <c r="A3203" s="1">
        <v>5040</v>
      </c>
      <c r="B3203" s="2">
        <v>38598</v>
      </c>
      <c r="C3203" s="7">
        <f>_xlfn.FLOOR.MATH(Table1[[#This Row],[year]],10)</f>
        <v>2000</v>
      </c>
      <c r="D3203" t="s">
        <v>58</v>
      </c>
      <c r="E3203" t="s">
        <v>29</v>
      </c>
      <c r="F3203">
        <v>3</v>
      </c>
      <c r="G3203">
        <v>2</v>
      </c>
      <c r="H3203" t="s">
        <v>224</v>
      </c>
      <c r="I3203" t="s">
        <v>484</v>
      </c>
      <c r="J3203" t="s">
        <v>58</v>
      </c>
      <c r="K3203" t="b">
        <v>0</v>
      </c>
      <c r="L3203">
        <v>2005</v>
      </c>
      <c r="M3203">
        <v>306999913150</v>
      </c>
      <c r="N3203">
        <v>313952317330</v>
      </c>
      <c r="O3203" t="b">
        <v>0</v>
      </c>
      <c r="P3203">
        <v>-1</v>
      </c>
      <c r="Q3203" t="str" cm="1">
        <f t="array" ref="Q3203">_xlfn.IFS(Table1[[#This Row],[Wealthier_Winner]]=-1,"Wealthier Nation Loses",Table1[[#This Row],[Wealthier_Winner]]=0,"Tie",Table1[[#This Row],[Wealthier_Winner]]=1,"Wealthier Nation Wins")</f>
        <v>Wealthier Nation Loses</v>
      </c>
    </row>
    <row r="3204" spans="1:17" x14ac:dyDescent="0.2">
      <c r="A3204" s="1">
        <v>5041</v>
      </c>
      <c r="B3204" s="2">
        <v>38598</v>
      </c>
      <c r="C3204" s="7">
        <f>_xlfn.FLOOR.MATH(Table1[[#This Row],[year]],10)</f>
        <v>2000</v>
      </c>
      <c r="D3204" t="s">
        <v>38</v>
      </c>
      <c r="E3204" t="s">
        <v>232</v>
      </c>
      <c r="F3204">
        <v>6</v>
      </c>
      <c r="G3204">
        <v>0</v>
      </c>
      <c r="H3204" t="s">
        <v>224</v>
      </c>
      <c r="I3204" t="s">
        <v>367</v>
      </c>
      <c r="J3204" t="s">
        <v>38</v>
      </c>
      <c r="K3204" t="b">
        <v>0</v>
      </c>
      <c r="L3204">
        <v>2005</v>
      </c>
      <c r="M3204">
        <v>197253876704</v>
      </c>
      <c r="N3204">
        <v>37672280120</v>
      </c>
      <c r="O3204" t="b">
        <v>1</v>
      </c>
      <c r="P3204">
        <v>1</v>
      </c>
      <c r="Q3204" t="str" cm="1">
        <f t="array" ref="Q3204">_xlfn.IFS(Table1[[#This Row],[Wealthier_Winner]]=-1,"Wealthier Nation Loses",Table1[[#This Row],[Wealthier_Winner]]=0,"Tie",Table1[[#This Row],[Wealthier_Winner]]=1,"Wealthier Nation Wins")</f>
        <v>Wealthier Nation Wins</v>
      </c>
    </row>
    <row r="3205" spans="1:17" x14ac:dyDescent="0.2">
      <c r="A3205" s="1">
        <v>5043</v>
      </c>
      <c r="B3205" s="2">
        <v>38598</v>
      </c>
      <c r="C3205" s="7">
        <f>_xlfn.FLOOR.MATH(Table1[[#This Row],[year]],10)</f>
        <v>2000</v>
      </c>
      <c r="D3205" t="s">
        <v>196</v>
      </c>
      <c r="E3205" t="s">
        <v>503</v>
      </c>
      <c r="F3205">
        <v>2</v>
      </c>
      <c r="G3205">
        <v>0</v>
      </c>
      <c r="H3205" t="s">
        <v>224</v>
      </c>
      <c r="I3205" t="s">
        <v>180</v>
      </c>
      <c r="J3205" t="s">
        <v>196</v>
      </c>
      <c r="K3205" t="b">
        <v>0</v>
      </c>
      <c r="L3205">
        <v>2005</v>
      </c>
      <c r="M3205">
        <v>764015973481</v>
      </c>
      <c r="N3205">
        <v>3659319116</v>
      </c>
      <c r="O3205" t="b">
        <v>1</v>
      </c>
      <c r="P3205">
        <v>1</v>
      </c>
      <c r="Q3205" t="str" cm="1">
        <f t="array" ref="Q3205">_xlfn.IFS(Table1[[#This Row],[Wealthier_Winner]]=-1,"Wealthier Nation Loses",Table1[[#This Row],[Wealthier_Winner]]=0,"Tie",Table1[[#This Row],[Wealthier_Winner]]=1,"Wealthier Nation Wins")</f>
        <v>Wealthier Nation Wins</v>
      </c>
    </row>
    <row r="3206" spans="1:17" x14ac:dyDescent="0.2">
      <c r="A3206" s="1">
        <v>5045</v>
      </c>
      <c r="B3206" s="2">
        <v>38598</v>
      </c>
      <c r="C3206" s="7">
        <f>_xlfn.FLOOR.MATH(Table1[[#This Row],[year]],10)</f>
        <v>2000</v>
      </c>
      <c r="D3206" t="s">
        <v>61</v>
      </c>
      <c r="E3206" t="s">
        <v>523</v>
      </c>
      <c r="F3206">
        <v>2</v>
      </c>
      <c r="G3206">
        <v>0</v>
      </c>
      <c r="H3206" t="s">
        <v>224</v>
      </c>
      <c r="I3206" t="s">
        <v>505</v>
      </c>
      <c r="J3206" t="s">
        <v>670</v>
      </c>
      <c r="K3206" t="b">
        <v>0</v>
      </c>
      <c r="L3206">
        <v>2005</v>
      </c>
      <c r="M3206">
        <v>28334256180</v>
      </c>
      <c r="N3206">
        <v>26105207115</v>
      </c>
      <c r="O3206" t="b">
        <v>0</v>
      </c>
      <c r="P3206">
        <v>1</v>
      </c>
      <c r="Q3206" t="str" cm="1">
        <f t="array" ref="Q3206">_xlfn.IFS(Table1[[#This Row],[Wealthier_Winner]]=-1,"Wealthier Nation Loses",Table1[[#This Row],[Wealthier_Winner]]=0,"Tie",Table1[[#This Row],[Wealthier_Winner]]=1,"Wealthier Nation Wins")</f>
        <v>Wealthier Nation Wins</v>
      </c>
    </row>
    <row r="3207" spans="1:17" x14ac:dyDescent="0.2">
      <c r="A3207" s="1">
        <v>5046</v>
      </c>
      <c r="B3207" s="2">
        <v>38598</v>
      </c>
      <c r="C3207" s="7">
        <f>_xlfn.FLOOR.MATH(Table1[[#This Row],[year]],10)</f>
        <v>2000</v>
      </c>
      <c r="D3207" t="s">
        <v>55</v>
      </c>
      <c r="E3207" t="s">
        <v>42</v>
      </c>
      <c r="F3207">
        <v>2</v>
      </c>
      <c r="G3207">
        <v>3</v>
      </c>
      <c r="H3207" t="s">
        <v>224</v>
      </c>
      <c r="I3207" t="s">
        <v>666</v>
      </c>
      <c r="J3207" t="s">
        <v>55</v>
      </c>
      <c r="K3207" t="b">
        <v>0</v>
      </c>
      <c r="L3207">
        <v>2005</v>
      </c>
      <c r="M3207">
        <v>35947936823</v>
      </c>
      <c r="N3207">
        <v>309978579743</v>
      </c>
      <c r="O3207" t="b">
        <v>1</v>
      </c>
      <c r="P3207">
        <v>1</v>
      </c>
      <c r="Q3207" t="str" cm="1">
        <f t="array" ref="Q3207">_xlfn.IFS(Table1[[#This Row],[Wealthier_Winner]]=-1,"Wealthier Nation Loses",Table1[[#This Row],[Wealthier_Winner]]=0,"Tie",Table1[[#This Row],[Wealthier_Winner]]=1,"Wealthier Nation Wins")</f>
        <v>Wealthier Nation Wins</v>
      </c>
    </row>
    <row r="3208" spans="1:17" x14ac:dyDescent="0.2">
      <c r="A3208" s="1">
        <v>5047</v>
      </c>
      <c r="B3208" s="2">
        <v>38598</v>
      </c>
      <c r="C3208" s="7">
        <f>_xlfn.FLOOR.MATH(Table1[[#This Row],[year]],10)</f>
        <v>2000</v>
      </c>
      <c r="D3208" t="s">
        <v>25</v>
      </c>
      <c r="E3208" t="s">
        <v>33</v>
      </c>
      <c r="F3208">
        <v>3</v>
      </c>
      <c r="G3208">
        <v>0</v>
      </c>
      <c r="H3208" t="s">
        <v>224</v>
      </c>
      <c r="I3208" t="s">
        <v>233</v>
      </c>
      <c r="J3208" t="s">
        <v>25</v>
      </c>
      <c r="K3208" t="b">
        <v>0</v>
      </c>
      <c r="L3208">
        <v>2005</v>
      </c>
      <c r="M3208">
        <v>391688455928</v>
      </c>
      <c r="N3208">
        <v>29868657858</v>
      </c>
      <c r="O3208" t="b">
        <v>1</v>
      </c>
      <c r="P3208">
        <v>1</v>
      </c>
      <c r="Q3208" t="str" cm="1">
        <f t="array" ref="Q3208">_xlfn.IFS(Table1[[#This Row],[Wealthier_Winner]]=-1,"Wealthier Nation Loses",Table1[[#This Row],[Wealthier_Winner]]=0,"Tie",Table1[[#This Row],[Wealthier_Winner]]=1,"Wealthier Nation Wins")</f>
        <v>Wealthier Nation Wins</v>
      </c>
    </row>
    <row r="3209" spans="1:17" x14ac:dyDescent="0.2">
      <c r="A3209" s="1">
        <v>5048</v>
      </c>
      <c r="B3209" s="2">
        <v>38598</v>
      </c>
      <c r="C3209" s="7">
        <f>_xlfn.FLOOR.MATH(Table1[[#This Row],[year]],10)</f>
        <v>2000</v>
      </c>
      <c r="D3209" t="s">
        <v>46</v>
      </c>
      <c r="E3209" t="s">
        <v>22</v>
      </c>
      <c r="F3209">
        <v>1</v>
      </c>
      <c r="G3209">
        <v>1</v>
      </c>
      <c r="H3209" t="s">
        <v>224</v>
      </c>
      <c r="I3209" t="s">
        <v>269</v>
      </c>
      <c r="J3209" t="s">
        <v>46</v>
      </c>
      <c r="K3209" t="b">
        <v>0</v>
      </c>
      <c r="L3209">
        <v>2005</v>
      </c>
      <c r="M3209">
        <v>418284865884</v>
      </c>
      <c r="N3209">
        <v>147519922009</v>
      </c>
      <c r="O3209" t="b">
        <v>1</v>
      </c>
      <c r="P3209">
        <v>0</v>
      </c>
      <c r="Q3209" t="str" cm="1">
        <f t="array" ref="Q3209">_xlfn.IFS(Table1[[#This Row],[Wealthier_Winner]]=-1,"Wealthier Nation Loses",Table1[[#This Row],[Wealthier_Winner]]=0,"Tie",Table1[[#This Row],[Wealthier_Winner]]=1,"Wealthier Nation Wins")</f>
        <v>Tie</v>
      </c>
    </row>
    <row r="3210" spans="1:17" x14ac:dyDescent="0.2">
      <c r="A3210" s="1">
        <v>5049</v>
      </c>
      <c r="B3210" s="2">
        <v>38598</v>
      </c>
      <c r="C3210" s="7">
        <f>_xlfn.FLOOR.MATH(Table1[[#This Row],[year]],10)</f>
        <v>2000</v>
      </c>
      <c r="D3210" t="s">
        <v>59</v>
      </c>
      <c r="E3210" t="s">
        <v>223</v>
      </c>
      <c r="F3210">
        <v>3</v>
      </c>
      <c r="G3210">
        <v>2</v>
      </c>
      <c r="H3210" t="s">
        <v>224</v>
      </c>
      <c r="I3210" t="s">
        <v>253</v>
      </c>
      <c r="J3210" t="s">
        <v>59</v>
      </c>
      <c r="K3210" t="b">
        <v>0</v>
      </c>
      <c r="L3210">
        <v>2005</v>
      </c>
      <c r="M3210">
        <v>15982389018</v>
      </c>
      <c r="N3210">
        <v>26783389293</v>
      </c>
      <c r="O3210" t="b">
        <v>0</v>
      </c>
      <c r="P3210">
        <v>-1</v>
      </c>
      <c r="Q3210" t="str" cm="1">
        <f t="array" ref="Q3210">_xlfn.IFS(Table1[[#This Row],[Wealthier_Winner]]=-1,"Wealthier Nation Loses",Table1[[#This Row],[Wealthier_Winner]]=0,"Tie",Table1[[#This Row],[Wealthier_Winner]]=1,"Wealthier Nation Wins")</f>
        <v>Wealthier Nation Loses</v>
      </c>
    </row>
    <row r="3211" spans="1:17" x14ac:dyDescent="0.2">
      <c r="A3211" s="1">
        <v>5051</v>
      </c>
      <c r="B3211" s="2">
        <v>38598</v>
      </c>
      <c r="C3211" s="7">
        <f>_xlfn.FLOOR.MATH(Table1[[#This Row],[year]],10)</f>
        <v>2000</v>
      </c>
      <c r="D3211" t="s">
        <v>41</v>
      </c>
      <c r="E3211" t="s">
        <v>17</v>
      </c>
      <c r="F3211">
        <v>2</v>
      </c>
      <c r="G3211">
        <v>0</v>
      </c>
      <c r="H3211" t="s">
        <v>224</v>
      </c>
      <c r="I3211" t="s">
        <v>607</v>
      </c>
      <c r="J3211" t="s">
        <v>41</v>
      </c>
      <c r="K3211" t="b">
        <v>0</v>
      </c>
      <c r="L3211">
        <v>2005</v>
      </c>
      <c r="M3211">
        <v>13039199193000</v>
      </c>
      <c r="N3211">
        <v>917571853529</v>
      </c>
      <c r="O3211" t="b">
        <v>1</v>
      </c>
      <c r="P3211">
        <v>1</v>
      </c>
      <c r="Q3211" t="str" cm="1">
        <f t="array" ref="Q3211">_xlfn.IFS(Table1[[#This Row],[Wealthier_Winner]]=-1,"Wealthier Nation Loses",Table1[[#This Row],[Wealthier_Winner]]=0,"Tie",Table1[[#This Row],[Wealthier_Winner]]=1,"Wealthier Nation Wins")</f>
        <v>Wealthier Nation Wins</v>
      </c>
    </row>
    <row r="3212" spans="1:17" x14ac:dyDescent="0.2">
      <c r="A3212" s="1">
        <v>5052</v>
      </c>
      <c r="B3212" s="2">
        <v>38598</v>
      </c>
      <c r="C3212" s="7">
        <f>_xlfn.FLOOR.MATH(Table1[[#This Row],[year]],10)</f>
        <v>2000</v>
      </c>
      <c r="D3212" t="s">
        <v>258</v>
      </c>
      <c r="E3212" t="s">
        <v>31</v>
      </c>
      <c r="F3212">
        <v>4</v>
      </c>
      <c r="G3212">
        <v>1</v>
      </c>
      <c r="H3212" t="s">
        <v>224</v>
      </c>
      <c r="I3212" t="s">
        <v>572</v>
      </c>
      <c r="J3212" t="s">
        <v>258</v>
      </c>
      <c r="K3212" t="b">
        <v>0</v>
      </c>
      <c r="L3212">
        <v>2005</v>
      </c>
      <c r="M3212">
        <v>145513489651</v>
      </c>
      <c r="N3212">
        <v>76060606060</v>
      </c>
      <c r="O3212" t="b">
        <v>0</v>
      </c>
      <c r="P3212">
        <v>1</v>
      </c>
      <c r="Q3212" t="str" cm="1">
        <f t="array" ref="Q3212">_xlfn.IFS(Table1[[#This Row],[Wealthier_Winner]]=-1,"Wealthier Nation Loses",Table1[[#This Row],[Wealthier_Winner]]=0,"Tie",Table1[[#This Row],[Wealthier_Winner]]=1,"Wealthier Nation Wins")</f>
        <v>Wealthier Nation Wins</v>
      </c>
    </row>
    <row r="3213" spans="1:17" x14ac:dyDescent="0.2">
      <c r="A3213" s="1">
        <v>5054</v>
      </c>
      <c r="B3213" s="2">
        <v>38598</v>
      </c>
      <c r="C3213" s="7">
        <f>_xlfn.FLOOR.MATH(Table1[[#This Row],[year]],10)</f>
        <v>2000</v>
      </c>
      <c r="D3213" t="s">
        <v>273</v>
      </c>
      <c r="E3213" t="s">
        <v>54</v>
      </c>
      <c r="F3213">
        <v>0</v>
      </c>
      <c r="G3213">
        <v>1</v>
      </c>
      <c r="H3213" t="s">
        <v>224</v>
      </c>
      <c r="I3213" t="s">
        <v>677</v>
      </c>
      <c r="J3213" t="s">
        <v>273</v>
      </c>
      <c r="K3213" t="b">
        <v>0</v>
      </c>
      <c r="L3213">
        <v>2005</v>
      </c>
      <c r="M3213">
        <v>8331870169</v>
      </c>
      <c r="N3213">
        <v>11009033437</v>
      </c>
      <c r="O3213" t="b">
        <v>0</v>
      </c>
      <c r="P3213">
        <v>1</v>
      </c>
      <c r="Q3213" t="str" cm="1">
        <f t="array" ref="Q3213">_xlfn.IFS(Table1[[#This Row],[Wealthier_Winner]]=-1,"Wealthier Nation Loses",Table1[[#This Row],[Wealthier_Winner]]=0,"Tie",Table1[[#This Row],[Wealthier_Winner]]=1,"Wealthier Nation Wins")</f>
        <v>Wealthier Nation Wins</v>
      </c>
    </row>
    <row r="3214" spans="1:17" x14ac:dyDescent="0.2">
      <c r="A3214" s="1">
        <v>5055</v>
      </c>
      <c r="B3214" s="2">
        <v>38599</v>
      </c>
      <c r="C3214" s="7">
        <f>_xlfn.FLOOR.MATH(Table1[[#This Row],[year]],10)</f>
        <v>2000</v>
      </c>
      <c r="D3214" t="s">
        <v>32</v>
      </c>
      <c r="E3214" t="s">
        <v>43</v>
      </c>
      <c r="F3214">
        <v>2</v>
      </c>
      <c r="G3214">
        <v>5</v>
      </c>
      <c r="H3214" t="s">
        <v>224</v>
      </c>
      <c r="I3214" t="s">
        <v>369</v>
      </c>
      <c r="J3214" t="s">
        <v>32</v>
      </c>
      <c r="K3214" t="b">
        <v>0</v>
      </c>
      <c r="L3214">
        <v>2005</v>
      </c>
      <c r="M3214">
        <v>107046618669</v>
      </c>
      <c r="N3214">
        <v>175670569969</v>
      </c>
      <c r="O3214" t="b">
        <v>0</v>
      </c>
      <c r="P3214">
        <v>1</v>
      </c>
      <c r="Q3214" t="str" cm="1">
        <f t="array" ref="Q3214">_xlfn.IFS(Table1[[#This Row],[Wealthier_Winner]]=-1,"Wealthier Nation Loses",Table1[[#This Row],[Wealthier_Winner]]=0,"Tie",Table1[[#This Row],[Wealthier_Winner]]=1,"Wealthier Nation Wins")</f>
        <v>Wealthier Nation Wins</v>
      </c>
    </row>
    <row r="3215" spans="1:17" x14ac:dyDescent="0.2">
      <c r="A3215" s="1">
        <v>5056</v>
      </c>
      <c r="B3215" s="2">
        <v>38599</v>
      </c>
      <c r="C3215" s="7">
        <f>_xlfn.FLOOR.MATH(Table1[[#This Row],[year]],10)</f>
        <v>2000</v>
      </c>
      <c r="D3215" t="s">
        <v>60</v>
      </c>
      <c r="E3215" t="s">
        <v>433</v>
      </c>
      <c r="F3215">
        <v>3</v>
      </c>
      <c r="G3215">
        <v>0</v>
      </c>
      <c r="H3215" t="s">
        <v>224</v>
      </c>
      <c r="I3215" t="s">
        <v>396</v>
      </c>
      <c r="J3215" t="s">
        <v>60</v>
      </c>
      <c r="K3215" t="b">
        <v>0</v>
      </c>
      <c r="L3215">
        <v>2005</v>
      </c>
      <c r="M3215">
        <v>41396636383</v>
      </c>
      <c r="N3215">
        <v>9582783990</v>
      </c>
      <c r="O3215" t="b">
        <v>1</v>
      </c>
      <c r="P3215">
        <v>1</v>
      </c>
      <c r="Q3215" t="str" cm="1">
        <f t="array" ref="Q3215">_xlfn.IFS(Table1[[#This Row],[Wealthier_Winner]]=-1,"Wealthier Nation Loses",Table1[[#This Row],[Wealthier_Winner]]=0,"Tie",Table1[[#This Row],[Wealthier_Winner]]=1,"Wealthier Nation Wins")</f>
        <v>Wealthier Nation Wins</v>
      </c>
    </row>
    <row r="3216" spans="1:17" x14ac:dyDescent="0.2">
      <c r="A3216" s="1">
        <v>5057</v>
      </c>
      <c r="B3216" s="2">
        <v>38599</v>
      </c>
      <c r="C3216" s="7">
        <f>_xlfn.FLOOR.MATH(Table1[[#This Row],[year]],10)</f>
        <v>2000</v>
      </c>
      <c r="D3216" t="s">
        <v>13</v>
      </c>
      <c r="E3216" t="s">
        <v>14</v>
      </c>
      <c r="F3216">
        <v>5</v>
      </c>
      <c r="G3216">
        <v>0</v>
      </c>
      <c r="H3216" t="s">
        <v>224</v>
      </c>
      <c r="I3216" t="s">
        <v>679</v>
      </c>
      <c r="J3216" t="s">
        <v>13</v>
      </c>
      <c r="K3216" t="b">
        <v>0</v>
      </c>
      <c r="L3216">
        <v>2005</v>
      </c>
      <c r="M3216">
        <v>891633826625</v>
      </c>
      <c r="N3216">
        <v>122294145163</v>
      </c>
      <c r="O3216" t="b">
        <v>1</v>
      </c>
      <c r="P3216">
        <v>1</v>
      </c>
      <c r="Q3216" t="str" cm="1">
        <f t="array" ref="Q3216">_xlfn.IFS(Table1[[#This Row],[Wealthier_Winner]]=-1,"Wealthier Nation Loses",Table1[[#This Row],[Wealthier_Winner]]=0,"Tie",Table1[[#This Row],[Wealthier_Winner]]=1,"Wealthier Nation Wins")</f>
        <v>Wealthier Nation Wins</v>
      </c>
    </row>
    <row r="3217" spans="1:17" x14ac:dyDescent="0.2">
      <c r="A3217" s="1">
        <v>5059</v>
      </c>
      <c r="B3217" s="2">
        <v>38599</v>
      </c>
      <c r="C3217" s="7">
        <f>_xlfn.FLOOR.MATH(Table1[[#This Row],[year]],10)</f>
        <v>2000</v>
      </c>
      <c r="D3217" t="s">
        <v>212</v>
      </c>
      <c r="E3217" t="s">
        <v>310</v>
      </c>
      <c r="F3217">
        <v>4</v>
      </c>
      <c r="G3217">
        <v>1</v>
      </c>
      <c r="H3217" t="s">
        <v>224</v>
      </c>
      <c r="I3217" t="s">
        <v>322</v>
      </c>
      <c r="J3217" t="s">
        <v>212</v>
      </c>
      <c r="K3217" t="b">
        <v>0</v>
      </c>
      <c r="L3217">
        <v>2005</v>
      </c>
      <c r="M3217">
        <v>89660339660</v>
      </c>
      <c r="N3217">
        <v>6567654954</v>
      </c>
      <c r="O3217" t="b">
        <v>1</v>
      </c>
      <c r="P3217">
        <v>1</v>
      </c>
      <c r="Q3217" t="str" cm="1">
        <f t="array" ref="Q3217">_xlfn.IFS(Table1[[#This Row],[Wealthier_Winner]]=-1,"Wealthier Nation Loses",Table1[[#This Row],[Wealthier_Winner]]=0,"Tie",Table1[[#This Row],[Wealthier_Winner]]=1,"Wealthier Nation Wins")</f>
        <v>Wealthier Nation Wins</v>
      </c>
    </row>
    <row r="3218" spans="1:17" x14ac:dyDescent="0.2">
      <c r="A3218" s="1">
        <v>5060</v>
      </c>
      <c r="B3218" s="2">
        <v>38599</v>
      </c>
      <c r="C3218" s="7">
        <f>_xlfn.FLOOR.MATH(Table1[[#This Row],[year]],10)</f>
        <v>2000</v>
      </c>
      <c r="D3218" t="s">
        <v>63</v>
      </c>
      <c r="E3218" t="s">
        <v>357</v>
      </c>
      <c r="F3218">
        <v>2</v>
      </c>
      <c r="G3218">
        <v>0</v>
      </c>
      <c r="H3218" t="s">
        <v>224</v>
      </c>
      <c r="I3218" t="s">
        <v>313</v>
      </c>
      <c r="J3218" t="s">
        <v>63</v>
      </c>
      <c r="K3218" t="b">
        <v>0</v>
      </c>
      <c r="L3218">
        <v>2005</v>
      </c>
      <c r="M3218">
        <v>10744568381</v>
      </c>
      <c r="N3218">
        <v>9239221763</v>
      </c>
      <c r="O3218" t="b">
        <v>0</v>
      </c>
      <c r="P3218">
        <v>1</v>
      </c>
      <c r="Q3218" t="str" cm="1">
        <f t="array" ref="Q3218">_xlfn.IFS(Table1[[#This Row],[Wealthier_Winner]]=-1,"Wealthier Nation Loses",Table1[[#This Row],[Wealthier_Winner]]=0,"Tie",Table1[[#This Row],[Wealthier_Winner]]=1,"Wealthier Nation Wins")</f>
        <v>Wealthier Nation Wins</v>
      </c>
    </row>
    <row r="3219" spans="1:17" x14ac:dyDescent="0.2">
      <c r="A3219" s="1">
        <v>5061</v>
      </c>
      <c r="B3219" s="2">
        <v>38599</v>
      </c>
      <c r="C3219" s="7">
        <f>_xlfn.FLOOR.MATH(Table1[[#This Row],[year]],10)</f>
        <v>2000</v>
      </c>
      <c r="D3219" t="s">
        <v>305</v>
      </c>
      <c r="E3219" t="s">
        <v>370</v>
      </c>
      <c r="F3219">
        <v>3</v>
      </c>
      <c r="G3219">
        <v>1</v>
      </c>
      <c r="H3219" t="s">
        <v>224</v>
      </c>
      <c r="I3219" t="s">
        <v>306</v>
      </c>
      <c r="J3219" t="s">
        <v>305</v>
      </c>
      <c r="K3219" t="b">
        <v>0</v>
      </c>
      <c r="L3219">
        <v>2005</v>
      </c>
      <c r="M3219">
        <v>4282468636</v>
      </c>
      <c r="N3219">
        <v>5320409651</v>
      </c>
      <c r="O3219" t="b">
        <v>0</v>
      </c>
      <c r="P3219">
        <v>-1</v>
      </c>
      <c r="Q3219" t="str" cm="1">
        <f t="array" ref="Q3219">_xlfn.IFS(Table1[[#This Row],[Wealthier_Winner]]=-1,"Wealthier Nation Loses",Table1[[#This Row],[Wealthier_Winner]]=0,"Tie",Table1[[#This Row],[Wealthier_Winner]]=1,"Wealthier Nation Wins")</f>
        <v>Wealthier Nation Loses</v>
      </c>
    </row>
    <row r="3220" spans="1:17" x14ac:dyDescent="0.2">
      <c r="A3220" s="1">
        <v>5063</v>
      </c>
      <c r="B3220" s="2">
        <v>38599</v>
      </c>
      <c r="C3220" s="7">
        <f>_xlfn.FLOOR.MATH(Table1[[#This Row],[year]],10)</f>
        <v>2000</v>
      </c>
      <c r="D3220" t="s">
        <v>62</v>
      </c>
      <c r="E3220" t="s">
        <v>378</v>
      </c>
      <c r="F3220">
        <v>3</v>
      </c>
      <c r="G3220">
        <v>0</v>
      </c>
      <c r="H3220" t="s">
        <v>224</v>
      </c>
      <c r="I3220" t="s">
        <v>353</v>
      </c>
      <c r="J3220" t="s">
        <v>62</v>
      </c>
      <c r="K3220" t="b">
        <v>0</v>
      </c>
      <c r="L3220">
        <v>2005</v>
      </c>
      <c r="M3220">
        <v>3221910408</v>
      </c>
      <c r="N3220">
        <v>949000000</v>
      </c>
      <c r="O3220" t="b">
        <v>1</v>
      </c>
      <c r="P3220">
        <v>1</v>
      </c>
      <c r="Q3220" t="str" cm="1">
        <f t="array" ref="Q3220">_xlfn.IFS(Table1[[#This Row],[Wealthier_Winner]]=-1,"Wealthier Nation Loses",Table1[[#This Row],[Wealthier_Winner]]=0,"Tie",Table1[[#This Row],[Wealthier_Winner]]=1,"Wealthier Nation Wins")</f>
        <v>Wealthier Nation Wins</v>
      </c>
    </row>
    <row r="3221" spans="1:17" x14ac:dyDescent="0.2">
      <c r="A3221" s="1">
        <v>5064</v>
      </c>
      <c r="B3221" s="2">
        <v>38599</v>
      </c>
      <c r="C3221" s="7">
        <f>_xlfn.FLOOR.MATH(Table1[[#This Row],[year]],10)</f>
        <v>2000</v>
      </c>
      <c r="D3221" t="s">
        <v>26</v>
      </c>
      <c r="E3221" t="s">
        <v>15</v>
      </c>
      <c r="F3221">
        <v>3</v>
      </c>
      <c r="G3221">
        <v>2</v>
      </c>
      <c r="H3221" t="s">
        <v>224</v>
      </c>
      <c r="I3221" t="s">
        <v>247</v>
      </c>
      <c r="J3221" t="s">
        <v>26</v>
      </c>
      <c r="K3221" t="b">
        <v>0</v>
      </c>
      <c r="L3221">
        <v>2005</v>
      </c>
      <c r="M3221">
        <v>17362857683</v>
      </c>
      <c r="N3221">
        <v>145600529605</v>
      </c>
      <c r="O3221" t="b">
        <v>1</v>
      </c>
      <c r="P3221">
        <v>-1</v>
      </c>
      <c r="Q3221" t="str" cm="1">
        <f t="array" ref="Q3221">_xlfn.IFS(Table1[[#This Row],[Wealthier_Winner]]=-1,"Wealthier Nation Loses",Table1[[#This Row],[Wealthier_Winner]]=0,"Tie",Table1[[#This Row],[Wealthier_Winner]]=1,"Wealthier Nation Wins")</f>
        <v>Wealthier Nation Loses</v>
      </c>
    </row>
    <row r="3222" spans="1:17" x14ac:dyDescent="0.2">
      <c r="A3222" s="1">
        <v>5065</v>
      </c>
      <c r="B3222" s="2">
        <v>38599</v>
      </c>
      <c r="C3222" s="7">
        <f>_xlfn.FLOOR.MATH(Table1[[#This Row],[year]],10)</f>
        <v>2000</v>
      </c>
      <c r="D3222" t="s">
        <v>298</v>
      </c>
      <c r="E3222" t="s">
        <v>514</v>
      </c>
      <c r="F3222">
        <v>3</v>
      </c>
      <c r="G3222">
        <v>1</v>
      </c>
      <c r="H3222" t="s">
        <v>224</v>
      </c>
      <c r="I3222" t="s">
        <v>377</v>
      </c>
      <c r="J3222" t="s">
        <v>298</v>
      </c>
      <c r="K3222" t="b">
        <v>0</v>
      </c>
      <c r="L3222">
        <v>2005</v>
      </c>
      <c r="M3222">
        <v>5758250000</v>
      </c>
      <c r="N3222">
        <v>2933819766</v>
      </c>
      <c r="O3222" t="b">
        <v>0</v>
      </c>
      <c r="P3222">
        <v>1</v>
      </c>
      <c r="Q3222" t="str" cm="1">
        <f t="array" ref="Q3222">_xlfn.IFS(Table1[[#This Row],[Wealthier_Winner]]=-1,"Wealthier Nation Loses",Table1[[#This Row],[Wealthier_Winner]]=0,"Tie",Table1[[#This Row],[Wealthier_Winner]]=1,"Wealthier Nation Wins")</f>
        <v>Wealthier Nation Wins</v>
      </c>
    </row>
    <row r="3223" spans="1:17" x14ac:dyDescent="0.2">
      <c r="A3223" s="1">
        <v>5066</v>
      </c>
      <c r="B3223" s="2">
        <v>38601</v>
      </c>
      <c r="C3223" s="7">
        <f>_xlfn.FLOOR.MATH(Table1[[#This Row],[year]],10)</f>
        <v>2000</v>
      </c>
      <c r="D3223" t="s">
        <v>456</v>
      </c>
      <c r="E3223" t="s">
        <v>28</v>
      </c>
      <c r="F3223">
        <v>1</v>
      </c>
      <c r="G3223">
        <v>2</v>
      </c>
      <c r="H3223" t="s">
        <v>224</v>
      </c>
      <c r="I3223" t="s">
        <v>457</v>
      </c>
      <c r="J3223" t="s">
        <v>456</v>
      </c>
      <c r="K3223" t="b">
        <v>0</v>
      </c>
      <c r="L3223">
        <v>2005</v>
      </c>
      <c r="M3223">
        <v>552881356</v>
      </c>
      <c r="N3223">
        <v>696811489612</v>
      </c>
      <c r="O3223" t="b">
        <v>1</v>
      </c>
      <c r="P3223">
        <v>1</v>
      </c>
      <c r="Q3223" t="str" cm="1">
        <f t="array" ref="Q3223">_xlfn.IFS(Table1[[#This Row],[Wealthier_Winner]]=-1,"Wealthier Nation Loses",Table1[[#This Row],[Wealthier_Winner]]=0,"Tie",Table1[[#This Row],[Wealthier_Winner]]=1,"Wealthier Nation Wins")</f>
        <v>Wealthier Nation Wins</v>
      </c>
    </row>
    <row r="3224" spans="1:17" x14ac:dyDescent="0.2">
      <c r="A3224" s="1">
        <v>5067</v>
      </c>
      <c r="B3224" s="2">
        <v>38602</v>
      </c>
      <c r="C3224" s="7">
        <f>_xlfn.FLOOR.MATH(Table1[[#This Row],[year]],10)</f>
        <v>2000</v>
      </c>
      <c r="D3224" t="s">
        <v>513</v>
      </c>
      <c r="E3224" t="s">
        <v>29</v>
      </c>
      <c r="F3224">
        <v>0</v>
      </c>
      <c r="G3224">
        <v>0</v>
      </c>
      <c r="H3224" t="s">
        <v>224</v>
      </c>
      <c r="I3224" t="s">
        <v>521</v>
      </c>
      <c r="J3224" t="s">
        <v>513</v>
      </c>
      <c r="K3224" t="b">
        <v>0</v>
      </c>
      <c r="L3224">
        <v>2005</v>
      </c>
      <c r="M3224">
        <v>13245421880</v>
      </c>
      <c r="N3224">
        <v>313952317330</v>
      </c>
      <c r="O3224" t="b">
        <v>1</v>
      </c>
      <c r="P3224">
        <v>0</v>
      </c>
      <c r="Q3224" t="str" cm="1">
        <f t="array" ref="Q3224">_xlfn.IFS(Table1[[#This Row],[Wealthier_Winner]]=-1,"Wealthier Nation Loses",Table1[[#This Row],[Wealthier_Winner]]=0,"Tie",Table1[[#This Row],[Wealthier_Winner]]=1,"Wealthier Nation Wins")</f>
        <v>Tie</v>
      </c>
    </row>
    <row r="3225" spans="1:17" x14ac:dyDescent="0.2">
      <c r="A3225" s="1">
        <v>5068</v>
      </c>
      <c r="B3225" s="2">
        <v>38602</v>
      </c>
      <c r="C3225" s="7">
        <f>_xlfn.FLOOR.MATH(Table1[[#This Row],[year]],10)</f>
        <v>2000</v>
      </c>
      <c r="D3225" t="s">
        <v>510</v>
      </c>
      <c r="E3225" t="s">
        <v>18</v>
      </c>
      <c r="F3225">
        <v>1</v>
      </c>
      <c r="G3225">
        <v>4</v>
      </c>
      <c r="H3225" t="s">
        <v>224</v>
      </c>
      <c r="I3225" t="s">
        <v>522</v>
      </c>
      <c r="J3225" t="s">
        <v>510</v>
      </c>
      <c r="K3225" t="b">
        <v>0</v>
      </c>
      <c r="L3225">
        <v>2005</v>
      </c>
      <c r="M3225">
        <v>30210091836</v>
      </c>
      <c r="N3225">
        <v>1864982261286</v>
      </c>
      <c r="O3225" t="b">
        <v>1</v>
      </c>
      <c r="P3225">
        <v>1</v>
      </c>
      <c r="Q3225" t="str" cm="1">
        <f t="array" ref="Q3225">_xlfn.IFS(Table1[[#This Row],[Wealthier_Winner]]=-1,"Wealthier Nation Loses",Table1[[#This Row],[Wealthier_Winner]]=0,"Tie",Table1[[#This Row],[Wealthier_Winner]]=1,"Wealthier Nation Wins")</f>
        <v>Wealthier Nation Wins</v>
      </c>
    </row>
    <row r="3226" spans="1:17" x14ac:dyDescent="0.2">
      <c r="A3226" s="1">
        <v>5069</v>
      </c>
      <c r="B3226" s="2">
        <v>38602</v>
      </c>
      <c r="C3226" s="7">
        <f>_xlfn.FLOOR.MATH(Table1[[#This Row],[year]],10)</f>
        <v>2000</v>
      </c>
      <c r="D3226" t="s">
        <v>23</v>
      </c>
      <c r="E3226" t="s">
        <v>549</v>
      </c>
      <c r="F3226">
        <v>8</v>
      </c>
      <c r="G3226">
        <v>0</v>
      </c>
      <c r="H3226" t="s">
        <v>224</v>
      </c>
      <c r="I3226" t="s">
        <v>318</v>
      </c>
      <c r="J3226" t="s">
        <v>23</v>
      </c>
      <c r="K3226" t="b">
        <v>0</v>
      </c>
      <c r="L3226">
        <v>2005</v>
      </c>
      <c r="M3226">
        <v>385714762230</v>
      </c>
      <c r="N3226">
        <v>1786514058</v>
      </c>
      <c r="O3226" t="b">
        <v>1</v>
      </c>
      <c r="P3226">
        <v>1</v>
      </c>
      <c r="Q3226" t="str" cm="1">
        <f t="array" ref="Q3226">_xlfn.IFS(Table1[[#This Row],[Wealthier_Winner]]=-1,"Wealthier Nation Loses",Table1[[#This Row],[Wealthier_Winner]]=0,"Tie",Table1[[#This Row],[Wealthier_Winner]]=1,"Wealthier Nation Wins")</f>
        <v>Wealthier Nation Wins</v>
      </c>
    </row>
    <row r="3227" spans="1:17" x14ac:dyDescent="0.2">
      <c r="A3227" s="1">
        <v>5070</v>
      </c>
      <c r="B3227" s="2">
        <v>38602</v>
      </c>
      <c r="C3227" s="7">
        <f>_xlfn.FLOOR.MATH(Table1[[#This Row],[year]],10)</f>
        <v>2000</v>
      </c>
      <c r="D3227" t="s">
        <v>33</v>
      </c>
      <c r="E3227" t="s">
        <v>66</v>
      </c>
      <c r="F3227">
        <v>3</v>
      </c>
      <c r="G3227">
        <v>2</v>
      </c>
      <c r="H3227" t="s">
        <v>224</v>
      </c>
      <c r="I3227" t="s">
        <v>375</v>
      </c>
      <c r="J3227" t="s">
        <v>33</v>
      </c>
      <c r="K3227" t="b">
        <v>0</v>
      </c>
      <c r="L3227">
        <v>2005</v>
      </c>
      <c r="M3227">
        <v>29868657858</v>
      </c>
      <c r="N3227">
        <v>17146410560</v>
      </c>
      <c r="O3227" t="b">
        <v>0</v>
      </c>
      <c r="P3227">
        <v>1</v>
      </c>
      <c r="Q3227" t="str" cm="1">
        <f t="array" ref="Q3227">_xlfn.IFS(Table1[[#This Row],[Wealthier_Winner]]=-1,"Wealthier Nation Loses",Table1[[#This Row],[Wealthier_Winner]]=0,"Tie",Table1[[#This Row],[Wealthier_Winner]]=1,"Wealthier Nation Wins")</f>
        <v>Wealthier Nation Wins</v>
      </c>
    </row>
    <row r="3228" spans="1:17" x14ac:dyDescent="0.2">
      <c r="A3228" s="1">
        <v>5071</v>
      </c>
      <c r="B3228" s="2">
        <v>38602</v>
      </c>
      <c r="C3228" s="7">
        <f>_xlfn.FLOOR.MATH(Table1[[#This Row],[year]],10)</f>
        <v>2000</v>
      </c>
      <c r="D3228" t="s">
        <v>56</v>
      </c>
      <c r="E3228" t="s">
        <v>59</v>
      </c>
      <c r="F3228">
        <v>2</v>
      </c>
      <c r="G3228">
        <v>0</v>
      </c>
      <c r="H3228" t="s">
        <v>224</v>
      </c>
      <c r="I3228" t="s">
        <v>225</v>
      </c>
      <c r="J3228" t="s">
        <v>56</v>
      </c>
      <c r="K3228" t="b">
        <v>0</v>
      </c>
      <c r="L3228">
        <v>2005</v>
      </c>
      <c r="M3228">
        <v>20040642476</v>
      </c>
      <c r="N3228">
        <v>15982389018</v>
      </c>
      <c r="O3228" t="b">
        <v>0</v>
      </c>
      <c r="P3228">
        <v>1</v>
      </c>
      <c r="Q3228" t="str" cm="1">
        <f t="array" ref="Q3228">_xlfn.IFS(Table1[[#This Row],[Wealthier_Winner]]=-1,"Wealthier Nation Loses",Table1[[#This Row],[Wealthier_Winner]]=0,"Tie",Table1[[#This Row],[Wealthier_Winner]]=1,"Wealthier Nation Wins")</f>
        <v>Wealthier Nation Wins</v>
      </c>
    </row>
    <row r="3229" spans="1:17" x14ac:dyDescent="0.2">
      <c r="A3229" s="1">
        <v>5072</v>
      </c>
      <c r="B3229" s="2">
        <v>38602</v>
      </c>
      <c r="C3229" s="7">
        <f>_xlfn.FLOOR.MATH(Table1[[#This Row],[year]],10)</f>
        <v>2000</v>
      </c>
      <c r="D3229" t="s">
        <v>351</v>
      </c>
      <c r="E3229" t="s">
        <v>46</v>
      </c>
      <c r="F3229">
        <v>1</v>
      </c>
      <c r="G3229">
        <v>3</v>
      </c>
      <c r="H3229" t="s">
        <v>224</v>
      </c>
      <c r="I3229" t="s">
        <v>381</v>
      </c>
      <c r="J3229" t="s">
        <v>351</v>
      </c>
      <c r="K3229" t="b">
        <v>0</v>
      </c>
      <c r="L3229">
        <v>2005</v>
      </c>
      <c r="M3229">
        <v>18433412510</v>
      </c>
      <c r="N3229">
        <v>418284865884</v>
      </c>
      <c r="O3229" t="b">
        <v>1</v>
      </c>
      <c r="P3229">
        <v>1</v>
      </c>
      <c r="Q3229" t="str" cm="1">
        <f t="array" ref="Q3229">_xlfn.IFS(Table1[[#This Row],[Wealthier_Winner]]=-1,"Wealthier Nation Loses",Table1[[#This Row],[Wealthier_Winner]]=0,"Tie",Table1[[#This Row],[Wealthier_Winner]]=1,"Wealthier Nation Wins")</f>
        <v>Wealthier Nation Wins</v>
      </c>
    </row>
    <row r="3230" spans="1:17" x14ac:dyDescent="0.2">
      <c r="A3230" s="1">
        <v>5074</v>
      </c>
      <c r="B3230" s="2">
        <v>38602</v>
      </c>
      <c r="C3230" s="7">
        <f>_xlfn.FLOOR.MATH(Table1[[#This Row],[year]],10)</f>
        <v>2000</v>
      </c>
      <c r="D3230" t="s">
        <v>36</v>
      </c>
      <c r="E3230" t="s">
        <v>534</v>
      </c>
      <c r="F3230">
        <v>6</v>
      </c>
      <c r="G3230">
        <v>1</v>
      </c>
      <c r="H3230" t="s">
        <v>224</v>
      </c>
      <c r="I3230" t="s">
        <v>264</v>
      </c>
      <c r="J3230" t="s">
        <v>36</v>
      </c>
      <c r="K3230" t="b">
        <v>0</v>
      </c>
      <c r="L3230">
        <v>2005</v>
      </c>
      <c r="M3230">
        <v>265150087711</v>
      </c>
      <c r="N3230">
        <v>6410912049</v>
      </c>
      <c r="O3230" t="b">
        <v>1</v>
      </c>
      <c r="P3230">
        <v>1</v>
      </c>
      <c r="Q3230" t="str" cm="1">
        <f t="array" ref="Q3230">_xlfn.IFS(Table1[[#This Row],[Wealthier_Winner]]=-1,"Wealthier Nation Loses",Table1[[#This Row],[Wealthier_Winner]]=0,"Tie",Table1[[#This Row],[Wealthier_Winner]]=1,"Wealthier Nation Wins")</f>
        <v>Wealthier Nation Wins</v>
      </c>
    </row>
    <row r="3231" spans="1:17" x14ac:dyDescent="0.2">
      <c r="A3231" s="1">
        <v>5075</v>
      </c>
      <c r="B3231" s="2">
        <v>38602</v>
      </c>
      <c r="C3231" s="7">
        <f>_xlfn.FLOOR.MATH(Table1[[#This Row],[year]],10)</f>
        <v>2000</v>
      </c>
      <c r="D3231" t="s">
        <v>447</v>
      </c>
      <c r="E3231" t="s">
        <v>22</v>
      </c>
      <c r="F3231">
        <v>0</v>
      </c>
      <c r="G3231">
        <v>2</v>
      </c>
      <c r="H3231" t="s">
        <v>224</v>
      </c>
      <c r="I3231" t="s">
        <v>631</v>
      </c>
      <c r="J3231" t="s">
        <v>447</v>
      </c>
      <c r="K3231" t="b">
        <v>0</v>
      </c>
      <c r="L3231">
        <v>2005</v>
      </c>
      <c r="M3231">
        <v>1759739599</v>
      </c>
      <c r="N3231">
        <v>147519922009</v>
      </c>
      <c r="O3231" t="b">
        <v>1</v>
      </c>
      <c r="P3231">
        <v>1</v>
      </c>
      <c r="Q3231" t="str" cm="1">
        <f t="array" ref="Q3231">_xlfn.IFS(Table1[[#This Row],[Wealthier_Winner]]=-1,"Wealthier Nation Loses",Table1[[#This Row],[Wealthier_Winner]]=0,"Tie",Table1[[#This Row],[Wealthier_Winner]]=1,"Wealthier Nation Wins")</f>
        <v>Wealthier Nation Wins</v>
      </c>
    </row>
    <row r="3232" spans="1:17" x14ac:dyDescent="0.2">
      <c r="A3232" s="1">
        <v>5076</v>
      </c>
      <c r="B3232" s="2">
        <v>38602</v>
      </c>
      <c r="C3232" s="7">
        <f>_xlfn.FLOOR.MATH(Table1[[#This Row],[year]],10)</f>
        <v>2000</v>
      </c>
      <c r="D3232" t="s">
        <v>230</v>
      </c>
      <c r="E3232" t="s">
        <v>502</v>
      </c>
      <c r="F3232">
        <v>5</v>
      </c>
      <c r="G3232">
        <v>1</v>
      </c>
      <c r="H3232" t="s">
        <v>224</v>
      </c>
      <c r="I3232" t="s">
        <v>491</v>
      </c>
      <c r="J3232" t="s">
        <v>230</v>
      </c>
      <c r="K3232" t="b">
        <v>0</v>
      </c>
      <c r="L3232">
        <v>2005</v>
      </c>
      <c r="M3232">
        <v>204859368790</v>
      </c>
      <c r="N3232">
        <v>6258602872</v>
      </c>
      <c r="O3232" t="b">
        <v>1</v>
      </c>
      <c r="P3232">
        <v>1</v>
      </c>
      <c r="Q3232" t="str" cm="1">
        <f t="array" ref="Q3232">_xlfn.IFS(Table1[[#This Row],[Wealthier_Winner]]=-1,"Wealthier Nation Loses",Table1[[#This Row],[Wealthier_Winner]]=0,"Tie",Table1[[#This Row],[Wealthier_Winner]]=1,"Wealthier Nation Wins")</f>
        <v>Wealthier Nation Wins</v>
      </c>
    </row>
    <row r="3233" spans="1:17" x14ac:dyDescent="0.2">
      <c r="A3233" s="1">
        <v>5077</v>
      </c>
      <c r="B3233" s="2">
        <v>38602</v>
      </c>
      <c r="C3233" s="7">
        <f>_xlfn.FLOOR.MATH(Table1[[#This Row],[year]],10)</f>
        <v>2000</v>
      </c>
      <c r="D3233" t="s">
        <v>223</v>
      </c>
      <c r="E3233" t="s">
        <v>41</v>
      </c>
      <c r="F3233">
        <v>0</v>
      </c>
      <c r="G3233">
        <v>0</v>
      </c>
      <c r="H3233" t="s">
        <v>224</v>
      </c>
      <c r="I3233" t="s">
        <v>227</v>
      </c>
      <c r="J3233" t="s">
        <v>223</v>
      </c>
      <c r="K3233" t="b">
        <v>0</v>
      </c>
      <c r="L3233">
        <v>2005</v>
      </c>
      <c r="M3233">
        <v>26783389293</v>
      </c>
      <c r="N3233">
        <v>13039199193000</v>
      </c>
      <c r="O3233" t="b">
        <v>1</v>
      </c>
      <c r="P3233">
        <v>0</v>
      </c>
      <c r="Q3233" t="str" cm="1">
        <f t="array" ref="Q3233">_xlfn.IFS(Table1[[#This Row],[Wealthier_Winner]]=-1,"Wealthier Nation Loses",Table1[[#This Row],[Wealthier_Winner]]=0,"Tie",Table1[[#This Row],[Wealthier_Winner]]=1,"Wealthier Nation Wins")</f>
        <v>Tie</v>
      </c>
    </row>
    <row r="3234" spans="1:17" x14ac:dyDescent="0.2">
      <c r="A3234" s="1">
        <v>5078</v>
      </c>
      <c r="B3234" s="2">
        <v>38602</v>
      </c>
      <c r="C3234" s="7">
        <f>_xlfn.FLOOR.MATH(Table1[[#This Row],[year]],10)</f>
        <v>2000</v>
      </c>
      <c r="D3234" t="s">
        <v>30</v>
      </c>
      <c r="E3234" t="s">
        <v>25</v>
      </c>
      <c r="F3234">
        <v>0</v>
      </c>
      <c r="G3234">
        <v>1</v>
      </c>
      <c r="H3234" t="s">
        <v>224</v>
      </c>
      <c r="I3234" t="s">
        <v>297</v>
      </c>
      <c r="J3234" t="s">
        <v>30</v>
      </c>
      <c r="K3234" t="b">
        <v>0</v>
      </c>
      <c r="L3234">
        <v>2005</v>
      </c>
      <c r="M3234">
        <v>113098237570</v>
      </c>
      <c r="N3234">
        <v>391688455928</v>
      </c>
      <c r="O3234" t="b">
        <v>1</v>
      </c>
      <c r="P3234">
        <v>1</v>
      </c>
      <c r="Q3234" t="str" cm="1">
        <f t="array" ref="Q3234">_xlfn.IFS(Table1[[#This Row],[Wealthier_Winner]]=-1,"Wealthier Nation Loses",Table1[[#This Row],[Wealthier_Winner]]=0,"Tie",Table1[[#This Row],[Wealthier_Winner]]=1,"Wealthier Nation Wins")</f>
        <v>Wealthier Nation Wins</v>
      </c>
    </row>
    <row r="3235" spans="1:17" x14ac:dyDescent="0.2">
      <c r="A3235" s="1">
        <v>5080</v>
      </c>
      <c r="B3235" s="2">
        <v>38602</v>
      </c>
      <c r="C3235" s="7">
        <f>_xlfn.FLOOR.MATH(Table1[[#This Row],[year]],10)</f>
        <v>2000</v>
      </c>
      <c r="D3235" t="s">
        <v>558</v>
      </c>
      <c r="E3235" t="s">
        <v>48</v>
      </c>
      <c r="F3235">
        <v>1</v>
      </c>
      <c r="G3235">
        <v>2</v>
      </c>
      <c r="H3235" t="s">
        <v>224</v>
      </c>
      <c r="I3235" t="s">
        <v>559</v>
      </c>
      <c r="J3235" t="s">
        <v>558</v>
      </c>
      <c r="K3235" t="b">
        <v>0</v>
      </c>
      <c r="L3235">
        <v>2005</v>
      </c>
      <c r="M3235">
        <v>57123671733</v>
      </c>
      <c r="N3235">
        <v>242315668619</v>
      </c>
      <c r="O3235" t="b">
        <v>1</v>
      </c>
      <c r="P3235">
        <v>1</v>
      </c>
      <c r="Q3235" t="str" cm="1">
        <f t="array" ref="Q3235">_xlfn.IFS(Table1[[#This Row],[Wealthier_Winner]]=-1,"Wealthier Nation Loses",Table1[[#This Row],[Wealthier_Winner]]=0,"Tie",Table1[[#This Row],[Wealthier_Winner]]=1,"Wealthier Nation Wins")</f>
        <v>Wealthier Nation Wins</v>
      </c>
    </row>
    <row r="3236" spans="1:17" x14ac:dyDescent="0.2">
      <c r="A3236" s="1">
        <v>5082</v>
      </c>
      <c r="B3236" s="2">
        <v>38602</v>
      </c>
      <c r="C3236" s="7">
        <f>_xlfn.FLOOR.MATH(Table1[[#This Row],[year]],10)</f>
        <v>2000</v>
      </c>
      <c r="D3236" t="s">
        <v>503</v>
      </c>
      <c r="E3236" t="s">
        <v>232</v>
      </c>
      <c r="F3236">
        <v>3</v>
      </c>
      <c r="G3236">
        <v>0</v>
      </c>
      <c r="H3236" t="s">
        <v>224</v>
      </c>
      <c r="I3236" t="s">
        <v>603</v>
      </c>
      <c r="J3236" t="s">
        <v>503</v>
      </c>
      <c r="K3236" t="b">
        <v>0</v>
      </c>
      <c r="L3236">
        <v>2005</v>
      </c>
      <c r="M3236">
        <v>3659319116</v>
      </c>
      <c r="N3236">
        <v>37672280120</v>
      </c>
      <c r="O3236" t="b">
        <v>1</v>
      </c>
      <c r="P3236">
        <v>-1</v>
      </c>
      <c r="Q3236" t="str" cm="1">
        <f t="array" ref="Q3236">_xlfn.IFS(Table1[[#This Row],[Wealthier_Winner]]=-1,"Wealthier Nation Loses",Table1[[#This Row],[Wealthier_Winner]]=0,"Tie",Table1[[#This Row],[Wealthier_Winner]]=1,"Wealthier Nation Wins")</f>
        <v>Wealthier Nation Loses</v>
      </c>
    </row>
    <row r="3237" spans="1:17" x14ac:dyDescent="0.2">
      <c r="A3237" s="1">
        <v>5083</v>
      </c>
      <c r="B3237" s="2">
        <v>38602</v>
      </c>
      <c r="C3237" s="7">
        <f>_xlfn.FLOOR.MATH(Table1[[#This Row],[year]],10)</f>
        <v>2000</v>
      </c>
      <c r="D3237" t="s">
        <v>523</v>
      </c>
      <c r="E3237" t="s">
        <v>73</v>
      </c>
      <c r="F3237">
        <v>0</v>
      </c>
      <c r="G3237">
        <v>1</v>
      </c>
      <c r="H3237" t="s">
        <v>224</v>
      </c>
      <c r="I3237" t="s">
        <v>533</v>
      </c>
      <c r="J3237" t="s">
        <v>523</v>
      </c>
      <c r="K3237" t="b">
        <v>0</v>
      </c>
      <c r="L3237">
        <v>2005</v>
      </c>
      <c r="M3237">
        <v>26105207115</v>
      </c>
      <c r="N3237">
        <v>11222796336</v>
      </c>
      <c r="O3237" t="b">
        <v>1</v>
      </c>
      <c r="P3237">
        <v>-1</v>
      </c>
      <c r="Q3237" t="str" cm="1">
        <f t="array" ref="Q3237">_xlfn.IFS(Table1[[#This Row],[Wealthier_Winner]]=-1,"Wealthier Nation Loses",Table1[[#This Row],[Wealthier_Winner]]=0,"Tie",Table1[[#This Row],[Wealthier_Winner]]=1,"Wealthier Nation Wins")</f>
        <v>Wealthier Nation Loses</v>
      </c>
    </row>
    <row r="3238" spans="1:17" x14ac:dyDescent="0.2">
      <c r="A3238" s="1">
        <v>5084</v>
      </c>
      <c r="B3238" s="2">
        <v>38602</v>
      </c>
      <c r="C3238" s="7">
        <f>_xlfn.FLOOR.MATH(Table1[[#This Row],[year]],10)</f>
        <v>2000</v>
      </c>
      <c r="D3238" t="s">
        <v>303</v>
      </c>
      <c r="E3238" t="s">
        <v>52</v>
      </c>
      <c r="F3238">
        <v>1</v>
      </c>
      <c r="G3238">
        <v>1</v>
      </c>
      <c r="H3238" t="s">
        <v>224</v>
      </c>
      <c r="I3238" t="s">
        <v>399</v>
      </c>
      <c r="J3238" t="s">
        <v>303</v>
      </c>
      <c r="K3238" t="b">
        <v>0</v>
      </c>
      <c r="L3238">
        <v>2005</v>
      </c>
      <c r="M3238">
        <v>6393234992</v>
      </c>
      <c r="N3238">
        <v>45013119281</v>
      </c>
      <c r="O3238" t="b">
        <v>1</v>
      </c>
      <c r="P3238">
        <v>0</v>
      </c>
      <c r="Q3238" t="str" cm="1">
        <f t="array" ref="Q3238">_xlfn.IFS(Table1[[#This Row],[Wealthier_Winner]]=-1,"Wealthier Nation Loses",Table1[[#This Row],[Wealthier_Winner]]=0,"Tie",Table1[[#This Row],[Wealthier_Winner]]=1,"Wealthier Nation Wins")</f>
        <v>Tie</v>
      </c>
    </row>
    <row r="3239" spans="1:17" x14ac:dyDescent="0.2">
      <c r="A3239" s="1">
        <v>5085</v>
      </c>
      <c r="B3239" s="2">
        <v>38602</v>
      </c>
      <c r="C3239" s="7">
        <f>_xlfn.FLOOR.MATH(Table1[[#This Row],[year]],10)</f>
        <v>2000</v>
      </c>
      <c r="D3239" t="s">
        <v>17</v>
      </c>
      <c r="E3239" t="s">
        <v>67</v>
      </c>
      <c r="F3239">
        <v>5</v>
      </c>
      <c r="G3239">
        <v>0</v>
      </c>
      <c r="H3239" t="s">
        <v>224</v>
      </c>
      <c r="I3239" t="s">
        <v>83</v>
      </c>
      <c r="J3239" t="s">
        <v>17</v>
      </c>
      <c r="K3239" t="b">
        <v>0</v>
      </c>
      <c r="L3239">
        <v>2005</v>
      </c>
      <c r="M3239">
        <v>917571853529</v>
      </c>
      <c r="N3239">
        <v>16623906739</v>
      </c>
      <c r="O3239" t="b">
        <v>1</v>
      </c>
      <c r="P3239">
        <v>1</v>
      </c>
      <c r="Q3239" t="str" cm="1">
        <f t="array" ref="Q3239">_xlfn.IFS(Table1[[#This Row],[Wealthier_Winner]]=-1,"Wealthier Nation Loses",Table1[[#This Row],[Wealthier_Winner]]=0,"Tie",Table1[[#This Row],[Wealthier_Winner]]=1,"Wealthier Nation Wins")</f>
        <v>Wealthier Nation Wins</v>
      </c>
    </row>
    <row r="3240" spans="1:17" x14ac:dyDescent="0.2">
      <c r="A3240" s="1">
        <v>5086</v>
      </c>
      <c r="B3240" s="2">
        <v>38602</v>
      </c>
      <c r="C3240" s="7">
        <f>_xlfn.FLOOR.MATH(Table1[[#This Row],[year]],10)</f>
        <v>2000</v>
      </c>
      <c r="D3240" t="s">
        <v>527</v>
      </c>
      <c r="E3240" t="s">
        <v>55</v>
      </c>
      <c r="F3240">
        <v>1</v>
      </c>
      <c r="G3240">
        <v>2</v>
      </c>
      <c r="H3240" t="s">
        <v>224</v>
      </c>
      <c r="I3240" t="s">
        <v>528</v>
      </c>
      <c r="J3240" t="s">
        <v>527</v>
      </c>
      <c r="K3240" t="b">
        <v>0</v>
      </c>
      <c r="L3240">
        <v>2005</v>
      </c>
      <c r="M3240">
        <v>2988342907</v>
      </c>
      <c r="N3240">
        <v>35947936823</v>
      </c>
      <c r="O3240" t="b">
        <v>1</v>
      </c>
      <c r="P3240">
        <v>1</v>
      </c>
      <c r="Q3240" t="str" cm="1">
        <f t="array" ref="Q3240">_xlfn.IFS(Table1[[#This Row],[Wealthier_Winner]]=-1,"Wealthier Nation Loses",Table1[[#This Row],[Wealthier_Winner]]=0,"Tie",Table1[[#This Row],[Wealthier_Winner]]=1,"Wealthier Nation Wins")</f>
        <v>Wealthier Nation Wins</v>
      </c>
    </row>
    <row r="3241" spans="1:17" x14ac:dyDescent="0.2">
      <c r="A3241" s="1">
        <v>5087</v>
      </c>
      <c r="B3241" s="2">
        <v>38602</v>
      </c>
      <c r="C3241" s="7">
        <f>_xlfn.FLOOR.MATH(Table1[[#This Row],[year]],10)</f>
        <v>2000</v>
      </c>
      <c r="D3241" t="s">
        <v>27</v>
      </c>
      <c r="E3241" t="s">
        <v>601</v>
      </c>
      <c r="F3241">
        <v>4</v>
      </c>
      <c r="G3241">
        <v>0</v>
      </c>
      <c r="H3241" t="s">
        <v>224</v>
      </c>
      <c r="I3241" t="s">
        <v>624</v>
      </c>
      <c r="J3241" t="s">
        <v>27</v>
      </c>
      <c r="K3241" t="b">
        <v>0</v>
      </c>
      <c r="L3241">
        <v>2005</v>
      </c>
      <c r="M3241">
        <v>688133699635</v>
      </c>
      <c r="N3241">
        <v>3161084846</v>
      </c>
      <c r="O3241" t="b">
        <v>1</v>
      </c>
      <c r="P3241">
        <v>1</v>
      </c>
      <c r="Q3241" t="str" cm="1">
        <f t="array" ref="Q3241">_xlfn.IFS(Table1[[#This Row],[Wealthier_Winner]]=-1,"Wealthier Nation Loses",Table1[[#This Row],[Wealthier_Winner]]=0,"Tie",Table1[[#This Row],[Wealthier_Winner]]=1,"Wealthier Nation Wins")</f>
        <v>Wealthier Nation Wins</v>
      </c>
    </row>
    <row r="3242" spans="1:17" x14ac:dyDescent="0.2">
      <c r="A3242" s="1">
        <v>5091</v>
      </c>
      <c r="B3242" s="2">
        <v>38602</v>
      </c>
      <c r="C3242" s="7">
        <f>_xlfn.FLOOR.MATH(Table1[[#This Row],[year]],10)</f>
        <v>2000</v>
      </c>
      <c r="D3242" t="s">
        <v>196</v>
      </c>
      <c r="E3242" t="s">
        <v>38</v>
      </c>
      <c r="F3242">
        <v>0</v>
      </c>
      <c r="G3242">
        <v>0</v>
      </c>
      <c r="H3242" t="s">
        <v>224</v>
      </c>
      <c r="I3242" t="s">
        <v>180</v>
      </c>
      <c r="J3242" t="s">
        <v>196</v>
      </c>
      <c r="K3242" t="b">
        <v>0</v>
      </c>
      <c r="L3242">
        <v>2005</v>
      </c>
      <c r="M3242">
        <v>764015973481</v>
      </c>
      <c r="N3242">
        <v>197253876704</v>
      </c>
      <c r="O3242" t="b">
        <v>1</v>
      </c>
      <c r="P3242">
        <v>0</v>
      </c>
      <c r="Q3242" t="str" cm="1">
        <f t="array" ref="Q3242">_xlfn.IFS(Table1[[#This Row],[Wealthier_Winner]]=-1,"Wealthier Nation Loses",Table1[[#This Row],[Wealthier_Winner]]=0,"Tie",Table1[[#This Row],[Wealthier_Winner]]=1,"Wealthier Nation Wins")</f>
        <v>Tie</v>
      </c>
    </row>
    <row r="3243" spans="1:17" x14ac:dyDescent="0.2">
      <c r="A3243" s="1">
        <v>5092</v>
      </c>
      <c r="B3243" s="2">
        <v>38602</v>
      </c>
      <c r="C3243" s="7">
        <f>_xlfn.FLOOR.MATH(Table1[[#This Row],[year]],10)</f>
        <v>2000</v>
      </c>
      <c r="D3243" t="s">
        <v>21</v>
      </c>
      <c r="E3243" t="s">
        <v>61</v>
      </c>
      <c r="F3243">
        <v>1</v>
      </c>
      <c r="G3243">
        <v>1</v>
      </c>
      <c r="H3243" t="s">
        <v>224</v>
      </c>
      <c r="I3243" t="s">
        <v>105</v>
      </c>
      <c r="J3243" t="s">
        <v>21</v>
      </c>
      <c r="K3243" t="b">
        <v>0</v>
      </c>
      <c r="L3243">
        <v>2005</v>
      </c>
      <c r="M3243">
        <v>1154667551775</v>
      </c>
      <c r="N3243">
        <v>28334256180</v>
      </c>
      <c r="O3243" t="b">
        <v>1</v>
      </c>
      <c r="P3243">
        <v>0</v>
      </c>
      <c r="Q3243" t="str" cm="1">
        <f t="array" ref="Q3243">_xlfn.IFS(Table1[[#This Row],[Wealthier_Winner]]=-1,"Wealthier Nation Loses",Table1[[#This Row],[Wealthier_Winner]]=0,"Tie",Table1[[#This Row],[Wealthier_Winner]]=1,"Wealthier Nation Wins")</f>
        <v>Tie</v>
      </c>
    </row>
    <row r="3244" spans="1:17" x14ac:dyDescent="0.2">
      <c r="A3244" s="1">
        <v>5094</v>
      </c>
      <c r="B3244" s="2">
        <v>38626</v>
      </c>
      <c r="C3244" s="7">
        <f>_xlfn.FLOOR.MATH(Table1[[#This Row],[year]],10)</f>
        <v>2000</v>
      </c>
      <c r="D3244" t="s">
        <v>378</v>
      </c>
      <c r="E3244" t="s">
        <v>273</v>
      </c>
      <c r="F3244">
        <v>0</v>
      </c>
      <c r="G3244">
        <v>5</v>
      </c>
      <c r="H3244" t="s">
        <v>224</v>
      </c>
      <c r="I3244" t="s">
        <v>379</v>
      </c>
      <c r="J3244" t="s">
        <v>378</v>
      </c>
      <c r="K3244" t="b">
        <v>0</v>
      </c>
      <c r="L3244">
        <v>2005</v>
      </c>
      <c r="M3244">
        <v>949000000</v>
      </c>
      <c r="N3244">
        <v>8331870169</v>
      </c>
      <c r="O3244" t="b">
        <v>1</v>
      </c>
      <c r="P3244">
        <v>1</v>
      </c>
      <c r="Q3244" t="str" cm="1">
        <f t="array" ref="Q3244">_xlfn.IFS(Table1[[#This Row],[Wealthier_Winner]]=-1,"Wealthier Nation Loses",Table1[[#This Row],[Wealthier_Winner]]=0,"Tie",Table1[[#This Row],[Wealthier_Winner]]=1,"Wealthier Nation Wins")</f>
        <v>Wealthier Nation Wins</v>
      </c>
    </row>
    <row r="3245" spans="1:17" x14ac:dyDescent="0.2">
      <c r="A3245" s="1">
        <v>5095</v>
      </c>
      <c r="B3245" s="2">
        <v>38633</v>
      </c>
      <c r="C3245" s="7">
        <f>_xlfn.FLOOR.MATH(Table1[[#This Row],[year]],10)</f>
        <v>2000</v>
      </c>
      <c r="D3245" t="s">
        <v>23</v>
      </c>
      <c r="E3245" t="s">
        <v>21</v>
      </c>
      <c r="F3245">
        <v>0</v>
      </c>
      <c r="G3245">
        <v>2</v>
      </c>
      <c r="H3245" t="s">
        <v>224</v>
      </c>
      <c r="I3245" t="s">
        <v>235</v>
      </c>
      <c r="J3245" t="s">
        <v>23</v>
      </c>
      <c r="K3245" t="b">
        <v>0</v>
      </c>
      <c r="L3245">
        <v>2005</v>
      </c>
      <c r="M3245">
        <v>385714762230</v>
      </c>
      <c r="N3245">
        <v>1154667551775</v>
      </c>
      <c r="O3245" t="b">
        <v>1</v>
      </c>
      <c r="P3245">
        <v>1</v>
      </c>
      <c r="Q3245" t="str" cm="1">
        <f t="array" ref="Q3245">_xlfn.IFS(Table1[[#This Row],[Wealthier_Winner]]=-1,"Wealthier Nation Loses",Table1[[#This Row],[Wealthier_Winner]]=0,"Tie",Table1[[#This Row],[Wealthier_Winner]]=1,"Wealthier Nation Wins")</f>
        <v>Wealthier Nation Wins</v>
      </c>
    </row>
    <row r="3246" spans="1:17" x14ac:dyDescent="0.2">
      <c r="A3246" s="1">
        <v>5096</v>
      </c>
      <c r="B3246" s="2">
        <v>38633</v>
      </c>
      <c r="C3246" s="7">
        <f>_xlfn.FLOOR.MATH(Table1[[#This Row],[year]],10)</f>
        <v>2000</v>
      </c>
      <c r="D3246" t="s">
        <v>73</v>
      </c>
      <c r="E3246" t="s">
        <v>549</v>
      </c>
      <c r="F3246">
        <v>3</v>
      </c>
      <c r="G3246">
        <v>0</v>
      </c>
      <c r="H3246" t="s">
        <v>224</v>
      </c>
      <c r="I3246" t="s">
        <v>636</v>
      </c>
      <c r="J3246" t="s">
        <v>73</v>
      </c>
      <c r="K3246" t="b">
        <v>0</v>
      </c>
      <c r="L3246">
        <v>2005</v>
      </c>
      <c r="M3246">
        <v>11222796336</v>
      </c>
      <c r="N3246">
        <v>1786514058</v>
      </c>
      <c r="O3246" t="b">
        <v>1</v>
      </c>
      <c r="P3246">
        <v>1</v>
      </c>
      <c r="Q3246" t="str" cm="1">
        <f t="array" ref="Q3246">_xlfn.IFS(Table1[[#This Row],[Wealthier_Winner]]=-1,"Wealthier Nation Loses",Table1[[#This Row],[Wealthier_Winner]]=0,"Tie",Table1[[#This Row],[Wealthier_Winner]]=1,"Wealthier Nation Wins")</f>
        <v>Wealthier Nation Wins</v>
      </c>
    </row>
    <row r="3247" spans="1:17" x14ac:dyDescent="0.2">
      <c r="A3247" s="1">
        <v>5097</v>
      </c>
      <c r="B3247" s="2">
        <v>38633</v>
      </c>
      <c r="C3247" s="7">
        <f>_xlfn.FLOOR.MATH(Table1[[#This Row],[year]],10)</f>
        <v>2000</v>
      </c>
      <c r="D3247" t="s">
        <v>469</v>
      </c>
      <c r="E3247" t="s">
        <v>305</v>
      </c>
      <c r="F3247">
        <v>1</v>
      </c>
      <c r="G3247">
        <v>2</v>
      </c>
      <c r="H3247" t="s">
        <v>224</v>
      </c>
      <c r="I3247" t="s">
        <v>470</v>
      </c>
      <c r="J3247" t="s">
        <v>469</v>
      </c>
      <c r="K3247" t="b">
        <v>0</v>
      </c>
      <c r="L3247">
        <v>2005</v>
      </c>
      <c r="M3247">
        <v>9918907108</v>
      </c>
      <c r="N3247">
        <v>4282468636</v>
      </c>
      <c r="O3247" t="b">
        <v>1</v>
      </c>
      <c r="P3247">
        <v>-1</v>
      </c>
      <c r="Q3247" t="str" cm="1">
        <f t="array" ref="Q3247">_xlfn.IFS(Table1[[#This Row],[Wealthier_Winner]]=-1,"Wealthier Nation Loses",Table1[[#This Row],[Wealthier_Winner]]=0,"Tie",Table1[[#This Row],[Wealthier_Winner]]=1,"Wealthier Nation Wins")</f>
        <v>Wealthier Nation Loses</v>
      </c>
    </row>
    <row r="3248" spans="1:17" x14ac:dyDescent="0.2">
      <c r="A3248" s="1">
        <v>5098</v>
      </c>
      <c r="B3248" s="2">
        <v>38633</v>
      </c>
      <c r="C3248" s="7">
        <f>_xlfn.FLOOR.MATH(Table1[[#This Row],[year]],10)</f>
        <v>2000</v>
      </c>
      <c r="D3248" t="s">
        <v>33</v>
      </c>
      <c r="E3248" t="s">
        <v>30</v>
      </c>
      <c r="F3248">
        <v>2</v>
      </c>
      <c r="G3248">
        <v>0</v>
      </c>
      <c r="H3248" t="s">
        <v>224</v>
      </c>
      <c r="I3248" t="s">
        <v>375</v>
      </c>
      <c r="J3248" t="s">
        <v>33</v>
      </c>
      <c r="K3248" t="b">
        <v>0</v>
      </c>
      <c r="L3248">
        <v>2005</v>
      </c>
      <c r="M3248">
        <v>29868657858</v>
      </c>
      <c r="N3248">
        <v>113098237570</v>
      </c>
      <c r="O3248" t="b">
        <v>1</v>
      </c>
      <c r="P3248">
        <v>-1</v>
      </c>
      <c r="Q3248" t="str" cm="1">
        <f t="array" ref="Q3248">_xlfn.IFS(Table1[[#This Row],[Wealthier_Winner]]=-1,"Wealthier Nation Loses",Table1[[#This Row],[Wealthier_Winner]]=0,"Tie",Table1[[#This Row],[Wealthier_Winner]]=1,"Wealthier Nation Wins")</f>
        <v>Wealthier Nation Loses</v>
      </c>
    </row>
    <row r="3249" spans="1:17" x14ac:dyDescent="0.2">
      <c r="A3249" s="1">
        <v>5099</v>
      </c>
      <c r="B3249" s="2">
        <v>38633</v>
      </c>
      <c r="C3249" s="7">
        <f>_xlfn.FLOOR.MATH(Table1[[#This Row],[year]],10)</f>
        <v>2000</v>
      </c>
      <c r="D3249" t="s">
        <v>40</v>
      </c>
      <c r="E3249" t="s">
        <v>212</v>
      </c>
      <c r="F3249">
        <v>1</v>
      </c>
      <c r="G3249">
        <v>1</v>
      </c>
      <c r="H3249" t="s">
        <v>224</v>
      </c>
      <c r="I3249" t="s">
        <v>371</v>
      </c>
      <c r="J3249" t="s">
        <v>40</v>
      </c>
      <c r="K3249" t="b">
        <v>0</v>
      </c>
      <c r="L3249">
        <v>2005</v>
      </c>
      <c r="M3249">
        <v>19509852206</v>
      </c>
      <c r="N3249">
        <v>89660339660</v>
      </c>
      <c r="O3249" t="b">
        <v>1</v>
      </c>
      <c r="P3249">
        <v>0</v>
      </c>
      <c r="Q3249" t="str" cm="1">
        <f t="array" ref="Q3249">_xlfn.IFS(Table1[[#This Row],[Wealthier_Winner]]=-1,"Wealthier Nation Loses",Table1[[#This Row],[Wealthier_Winner]]=0,"Tie",Table1[[#This Row],[Wealthier_Winner]]=1,"Wealthier Nation Wins")</f>
        <v>Tie</v>
      </c>
    </row>
    <row r="3250" spans="1:17" x14ac:dyDescent="0.2">
      <c r="A3250" s="1">
        <v>5101</v>
      </c>
      <c r="B3250" s="2">
        <v>38633</v>
      </c>
      <c r="C3250" s="7">
        <f>_xlfn.FLOOR.MATH(Table1[[#This Row],[year]],10)</f>
        <v>2000</v>
      </c>
      <c r="D3250" t="s">
        <v>15</v>
      </c>
      <c r="E3250" t="s">
        <v>14</v>
      </c>
      <c r="F3250">
        <v>1</v>
      </c>
      <c r="G3250">
        <v>1</v>
      </c>
      <c r="H3250" t="s">
        <v>224</v>
      </c>
      <c r="I3250" t="s">
        <v>261</v>
      </c>
      <c r="J3250" t="s">
        <v>15</v>
      </c>
      <c r="K3250" t="b">
        <v>0</v>
      </c>
      <c r="L3250">
        <v>2005</v>
      </c>
      <c r="M3250">
        <v>145600529605</v>
      </c>
      <c r="N3250">
        <v>122294145163</v>
      </c>
      <c r="O3250" t="b">
        <v>0</v>
      </c>
      <c r="P3250">
        <v>0</v>
      </c>
      <c r="Q3250" t="str" cm="1">
        <f t="array" ref="Q3250">_xlfn.IFS(Table1[[#This Row],[Wealthier_Winner]]=-1,"Wealthier Nation Loses",Table1[[#This Row],[Wealthier_Winner]]=0,"Tie",Table1[[#This Row],[Wealthier_Winner]]=1,"Wealthier Nation Wins")</f>
        <v>Tie</v>
      </c>
    </row>
    <row r="3251" spans="1:17" x14ac:dyDescent="0.2">
      <c r="A3251" s="1">
        <v>5103</v>
      </c>
      <c r="B3251" s="2">
        <v>38633</v>
      </c>
      <c r="C3251" s="7">
        <f>_xlfn.FLOOR.MATH(Table1[[#This Row],[year]],10)</f>
        <v>2000</v>
      </c>
      <c r="D3251" t="s">
        <v>56</v>
      </c>
      <c r="E3251" t="s">
        <v>41</v>
      </c>
      <c r="F3251">
        <v>3</v>
      </c>
      <c r="G3251">
        <v>0</v>
      </c>
      <c r="H3251" t="s">
        <v>224</v>
      </c>
      <c r="I3251" t="s">
        <v>225</v>
      </c>
      <c r="J3251" t="s">
        <v>56</v>
      </c>
      <c r="K3251" t="b">
        <v>0</v>
      </c>
      <c r="L3251">
        <v>2005</v>
      </c>
      <c r="M3251">
        <v>20040642476</v>
      </c>
      <c r="N3251">
        <v>13039199193000</v>
      </c>
      <c r="O3251" t="b">
        <v>1</v>
      </c>
      <c r="P3251">
        <v>-1</v>
      </c>
      <c r="Q3251" t="str" cm="1">
        <f t="array" ref="Q3251">_xlfn.IFS(Table1[[#This Row],[Wealthier_Winner]]=-1,"Wealthier Nation Loses",Table1[[#This Row],[Wealthier_Winner]]=0,"Tie",Table1[[#This Row],[Wealthier_Winner]]=1,"Wealthier Nation Wins")</f>
        <v>Wealthier Nation Loses</v>
      </c>
    </row>
    <row r="3252" spans="1:17" x14ac:dyDescent="0.2">
      <c r="A3252" s="1">
        <v>5104</v>
      </c>
      <c r="B3252" s="2">
        <v>38633</v>
      </c>
      <c r="C3252" s="7">
        <f>_xlfn.FLOOR.MATH(Table1[[#This Row],[year]],10)</f>
        <v>2000</v>
      </c>
      <c r="D3252" t="s">
        <v>52</v>
      </c>
      <c r="E3252" t="s">
        <v>25</v>
      </c>
      <c r="F3252">
        <v>1</v>
      </c>
      <c r="G3252">
        <v>0</v>
      </c>
      <c r="H3252" t="s">
        <v>224</v>
      </c>
      <c r="I3252" t="s">
        <v>538</v>
      </c>
      <c r="J3252" t="s">
        <v>52</v>
      </c>
      <c r="K3252" t="b">
        <v>0</v>
      </c>
      <c r="L3252">
        <v>2005</v>
      </c>
      <c r="M3252">
        <v>45013119281</v>
      </c>
      <c r="N3252">
        <v>391688455928</v>
      </c>
      <c r="O3252" t="b">
        <v>1</v>
      </c>
      <c r="P3252">
        <v>-1</v>
      </c>
      <c r="Q3252" t="str" cm="1">
        <f t="array" ref="Q3252">_xlfn.IFS(Table1[[#This Row],[Wealthier_Winner]]=-1,"Wealthier Nation Loses",Table1[[#This Row],[Wealthier_Winner]]=0,"Tie",Table1[[#This Row],[Wealthier_Winner]]=1,"Wealthier Nation Wins")</f>
        <v>Wealthier Nation Loses</v>
      </c>
    </row>
    <row r="3253" spans="1:17" x14ac:dyDescent="0.2">
      <c r="A3253" s="1">
        <v>5107</v>
      </c>
      <c r="B3253" s="2">
        <v>38633</v>
      </c>
      <c r="C3253" s="7">
        <f>_xlfn.FLOOR.MATH(Table1[[#This Row],[year]],10)</f>
        <v>2000</v>
      </c>
      <c r="D3253" t="s">
        <v>36</v>
      </c>
      <c r="E3253" t="s">
        <v>48</v>
      </c>
      <c r="F3253">
        <v>1</v>
      </c>
      <c r="G3253">
        <v>0</v>
      </c>
      <c r="H3253" t="s">
        <v>224</v>
      </c>
      <c r="I3253" t="s">
        <v>264</v>
      </c>
      <c r="J3253" t="s">
        <v>36</v>
      </c>
      <c r="K3253" t="b">
        <v>0</v>
      </c>
      <c r="L3253">
        <v>2005</v>
      </c>
      <c r="M3253">
        <v>265150087711</v>
      </c>
      <c r="N3253">
        <v>242315668619</v>
      </c>
      <c r="O3253" t="b">
        <v>0</v>
      </c>
      <c r="P3253">
        <v>1</v>
      </c>
      <c r="Q3253" t="str" cm="1">
        <f t="array" ref="Q3253">_xlfn.IFS(Table1[[#This Row],[Wealthier_Winner]]=-1,"Wealthier Nation Loses",Table1[[#This Row],[Wealthier_Winner]]=0,"Tie",Table1[[#This Row],[Wealthier_Winner]]=1,"Wealthier Nation Wins")</f>
        <v>Wealthier Nation Wins</v>
      </c>
    </row>
    <row r="3254" spans="1:17" x14ac:dyDescent="0.2">
      <c r="A3254" s="1">
        <v>5108</v>
      </c>
      <c r="B3254" s="2">
        <v>38633</v>
      </c>
      <c r="C3254" s="7">
        <f>_xlfn.FLOOR.MATH(Table1[[#This Row],[year]],10)</f>
        <v>2000</v>
      </c>
      <c r="D3254" t="s">
        <v>57</v>
      </c>
      <c r="E3254" t="s">
        <v>26</v>
      </c>
      <c r="F3254">
        <v>0</v>
      </c>
      <c r="G3254">
        <v>0</v>
      </c>
      <c r="H3254" t="s">
        <v>224</v>
      </c>
      <c r="I3254" t="s">
        <v>335</v>
      </c>
      <c r="J3254" t="s">
        <v>57</v>
      </c>
      <c r="K3254" t="b">
        <v>0</v>
      </c>
      <c r="L3254">
        <v>2005</v>
      </c>
      <c r="M3254">
        <v>40278849000</v>
      </c>
      <c r="N3254">
        <v>17362857683</v>
      </c>
      <c r="O3254" t="b">
        <v>1</v>
      </c>
      <c r="P3254">
        <v>0</v>
      </c>
      <c r="Q3254" t="str" cm="1">
        <f t="array" ref="Q3254">_xlfn.IFS(Table1[[#This Row],[Wealthier_Winner]]=-1,"Wealthier Nation Loses",Table1[[#This Row],[Wealthier_Winner]]=0,"Tie",Table1[[#This Row],[Wealthier_Winner]]=1,"Wealthier Nation Wins")</f>
        <v>Tie</v>
      </c>
    </row>
    <row r="3255" spans="1:17" x14ac:dyDescent="0.2">
      <c r="A3255" s="1">
        <v>5109</v>
      </c>
      <c r="B3255" s="2">
        <v>38633</v>
      </c>
      <c r="C3255" s="7">
        <f>_xlfn.FLOOR.MATH(Table1[[#This Row],[year]],10)</f>
        <v>2000</v>
      </c>
      <c r="D3255" t="s">
        <v>194</v>
      </c>
      <c r="E3255" t="s">
        <v>29</v>
      </c>
      <c r="F3255">
        <v>1</v>
      </c>
      <c r="G3255">
        <v>0</v>
      </c>
      <c r="H3255" t="s">
        <v>224</v>
      </c>
      <c r="I3255" t="s">
        <v>633</v>
      </c>
      <c r="J3255" t="s">
        <v>194</v>
      </c>
      <c r="K3255" t="b">
        <v>0</v>
      </c>
      <c r="L3255">
        <v>2005</v>
      </c>
      <c r="M3255">
        <v>2551361818181</v>
      </c>
      <c r="N3255">
        <v>313952317330</v>
      </c>
      <c r="O3255" t="b">
        <v>1</v>
      </c>
      <c r="P3255">
        <v>1</v>
      </c>
      <c r="Q3255" t="str" cm="1">
        <f t="array" ref="Q3255">_xlfn.IFS(Table1[[#This Row],[Wealthier_Winner]]=-1,"Wealthier Nation Loses",Table1[[#This Row],[Wealthier_Winner]]=0,"Tie",Table1[[#This Row],[Wealthier_Winner]]=1,"Wealthier Nation Wins")</f>
        <v>Wealthier Nation Wins</v>
      </c>
    </row>
    <row r="3256" spans="1:17" x14ac:dyDescent="0.2">
      <c r="A3256" s="1">
        <v>5110</v>
      </c>
      <c r="B3256" s="2">
        <v>38633</v>
      </c>
      <c r="C3256" s="7">
        <f>_xlfn.FLOOR.MATH(Table1[[#This Row],[year]],10)</f>
        <v>2000</v>
      </c>
      <c r="D3256" t="s">
        <v>230</v>
      </c>
      <c r="E3256" t="s">
        <v>44</v>
      </c>
      <c r="F3256">
        <v>0</v>
      </c>
      <c r="G3256">
        <v>1</v>
      </c>
      <c r="H3256" t="s">
        <v>224</v>
      </c>
      <c r="I3256" t="s">
        <v>231</v>
      </c>
      <c r="J3256" t="s">
        <v>230</v>
      </c>
      <c r="K3256" t="b">
        <v>0</v>
      </c>
      <c r="L3256">
        <v>2005</v>
      </c>
      <c r="M3256">
        <v>204859368790</v>
      </c>
      <c r="N3256">
        <v>98454380120</v>
      </c>
      <c r="O3256" t="b">
        <v>1</v>
      </c>
      <c r="P3256">
        <v>-1</v>
      </c>
      <c r="Q3256" t="str" cm="1">
        <f t="array" ref="Q3256">_xlfn.IFS(Table1[[#This Row],[Wealthier_Winner]]=-1,"Wealthier Nation Loses",Table1[[#This Row],[Wealthier_Winner]]=0,"Tie",Table1[[#This Row],[Wealthier_Winner]]=1,"Wealthier Nation Wins")</f>
        <v>Wealthier Nation Loses</v>
      </c>
    </row>
    <row r="3257" spans="1:17" x14ac:dyDescent="0.2">
      <c r="A3257" s="1">
        <v>5111</v>
      </c>
      <c r="B3257" s="2">
        <v>38633</v>
      </c>
      <c r="C3257" s="7">
        <f>_xlfn.FLOOR.MATH(Table1[[#This Row],[year]],10)</f>
        <v>2000</v>
      </c>
      <c r="D3257" t="s">
        <v>433</v>
      </c>
      <c r="E3257" t="s">
        <v>32</v>
      </c>
      <c r="F3257">
        <v>0</v>
      </c>
      <c r="G3257">
        <v>0</v>
      </c>
      <c r="H3257" t="s">
        <v>224</v>
      </c>
      <c r="I3257" t="s">
        <v>680</v>
      </c>
      <c r="J3257" t="s">
        <v>433</v>
      </c>
      <c r="K3257" t="b">
        <v>0</v>
      </c>
      <c r="L3257">
        <v>2005</v>
      </c>
      <c r="M3257">
        <v>9582783990</v>
      </c>
      <c r="N3257">
        <v>107046618669</v>
      </c>
      <c r="O3257" t="b">
        <v>1</v>
      </c>
      <c r="P3257">
        <v>0</v>
      </c>
      <c r="Q3257" t="str" cm="1">
        <f t="array" ref="Q3257">_xlfn.IFS(Table1[[#This Row],[Wealthier_Winner]]=-1,"Wealthier Nation Loses",Table1[[#This Row],[Wealthier_Winner]]=0,"Tie",Table1[[#This Row],[Wealthier_Winner]]=1,"Wealthier Nation Wins")</f>
        <v>Tie</v>
      </c>
    </row>
    <row r="3258" spans="1:17" x14ac:dyDescent="0.2">
      <c r="A3258" s="1">
        <v>5112</v>
      </c>
      <c r="B3258" s="2">
        <v>38633</v>
      </c>
      <c r="C3258" s="7">
        <f>_xlfn.FLOOR.MATH(Table1[[#This Row],[year]],10)</f>
        <v>2000</v>
      </c>
      <c r="D3258" t="s">
        <v>534</v>
      </c>
      <c r="E3258" t="s">
        <v>558</v>
      </c>
      <c r="F3258">
        <v>0</v>
      </c>
      <c r="G3258">
        <v>0</v>
      </c>
      <c r="H3258" t="s">
        <v>224</v>
      </c>
      <c r="I3258" t="s">
        <v>536</v>
      </c>
      <c r="J3258" t="s">
        <v>534</v>
      </c>
      <c r="K3258" t="b">
        <v>0</v>
      </c>
      <c r="L3258">
        <v>2005</v>
      </c>
      <c r="M3258">
        <v>6410912049</v>
      </c>
      <c r="N3258">
        <v>57123671733</v>
      </c>
      <c r="O3258" t="b">
        <v>1</v>
      </c>
      <c r="P3258">
        <v>0</v>
      </c>
      <c r="Q3258" t="str" cm="1">
        <f t="array" ref="Q3258">_xlfn.IFS(Table1[[#This Row],[Wealthier_Winner]]=-1,"Wealthier Nation Loses",Table1[[#This Row],[Wealthier_Winner]]=0,"Tie",Table1[[#This Row],[Wealthier_Winner]]=1,"Wealthier Nation Wins")</f>
        <v>Tie</v>
      </c>
    </row>
    <row r="3259" spans="1:17" x14ac:dyDescent="0.2">
      <c r="A3259" s="1">
        <v>5113</v>
      </c>
      <c r="B3259" s="2">
        <v>38633</v>
      </c>
      <c r="C3259" s="7">
        <f>_xlfn.FLOOR.MATH(Table1[[#This Row],[year]],10)</f>
        <v>2000</v>
      </c>
      <c r="D3259" t="s">
        <v>22</v>
      </c>
      <c r="E3259" t="s">
        <v>447</v>
      </c>
      <c r="F3259">
        <v>2</v>
      </c>
      <c r="G3259">
        <v>1</v>
      </c>
      <c r="H3259" t="s">
        <v>224</v>
      </c>
      <c r="I3259" t="s">
        <v>239</v>
      </c>
      <c r="J3259" t="s">
        <v>22</v>
      </c>
      <c r="K3259" t="b">
        <v>0</v>
      </c>
      <c r="L3259">
        <v>2005</v>
      </c>
      <c r="M3259">
        <v>147519922009</v>
      </c>
      <c r="N3259">
        <v>1759739599</v>
      </c>
      <c r="O3259" t="b">
        <v>1</v>
      </c>
      <c r="P3259">
        <v>1</v>
      </c>
      <c r="Q3259" t="str" cm="1">
        <f t="array" ref="Q3259">_xlfn.IFS(Table1[[#This Row],[Wealthier_Winner]]=-1,"Wealthier Nation Loses",Table1[[#This Row],[Wealthier_Winner]]=0,"Tie",Table1[[#This Row],[Wealthier_Winner]]=1,"Wealthier Nation Wins")</f>
        <v>Wealthier Nation Wins</v>
      </c>
    </row>
    <row r="3260" spans="1:17" x14ac:dyDescent="0.2">
      <c r="A3260" s="1">
        <v>5114</v>
      </c>
      <c r="B3260" s="2">
        <v>38633</v>
      </c>
      <c r="C3260" s="7">
        <f>_xlfn.FLOOR.MATH(Table1[[#This Row],[year]],10)</f>
        <v>2000</v>
      </c>
      <c r="D3260" t="s">
        <v>18</v>
      </c>
      <c r="E3260" t="s">
        <v>55</v>
      </c>
      <c r="F3260">
        <v>1</v>
      </c>
      <c r="G3260">
        <v>0</v>
      </c>
      <c r="H3260" t="s">
        <v>224</v>
      </c>
      <c r="I3260" t="s">
        <v>213</v>
      </c>
      <c r="J3260" t="s">
        <v>18</v>
      </c>
      <c r="K3260" t="b">
        <v>0</v>
      </c>
      <c r="L3260">
        <v>2005</v>
      </c>
      <c r="M3260">
        <v>1864982261286</v>
      </c>
      <c r="N3260">
        <v>35947936823</v>
      </c>
      <c r="O3260" t="b">
        <v>1</v>
      </c>
      <c r="P3260">
        <v>1</v>
      </c>
      <c r="Q3260" t="str" cm="1">
        <f t="array" ref="Q3260">_xlfn.IFS(Table1[[#This Row],[Wealthier_Winner]]=-1,"Wealthier Nation Loses",Table1[[#This Row],[Wealthier_Winner]]=0,"Tie",Table1[[#This Row],[Wealthier_Winner]]=1,"Wealthier Nation Wins")</f>
        <v>Wealthier Nation Wins</v>
      </c>
    </row>
    <row r="3261" spans="1:17" x14ac:dyDescent="0.2">
      <c r="A3261" s="1">
        <v>5115</v>
      </c>
      <c r="B3261" s="2">
        <v>38633</v>
      </c>
      <c r="C3261" s="7">
        <f>_xlfn.FLOOR.MATH(Table1[[#This Row],[year]],10)</f>
        <v>2000</v>
      </c>
      <c r="D3261" t="s">
        <v>523</v>
      </c>
      <c r="E3261" t="s">
        <v>61</v>
      </c>
      <c r="F3261">
        <v>0</v>
      </c>
      <c r="G3261">
        <v>2</v>
      </c>
      <c r="H3261" t="s">
        <v>224</v>
      </c>
      <c r="I3261" t="s">
        <v>533</v>
      </c>
      <c r="J3261" t="s">
        <v>523</v>
      </c>
      <c r="K3261" t="b">
        <v>0</v>
      </c>
      <c r="L3261">
        <v>2005</v>
      </c>
      <c r="M3261">
        <v>26105207115</v>
      </c>
      <c r="N3261">
        <v>28334256180</v>
      </c>
      <c r="O3261" t="b">
        <v>0</v>
      </c>
      <c r="P3261">
        <v>1</v>
      </c>
      <c r="Q3261" t="str" cm="1">
        <f t="array" ref="Q3261">_xlfn.IFS(Table1[[#This Row],[Wealthier_Winner]]=-1,"Wealthier Nation Loses",Table1[[#This Row],[Wealthier_Winner]]=0,"Tie",Table1[[#This Row],[Wealthier_Winner]]=1,"Wealthier Nation Wins")</f>
        <v>Wealthier Nation Wins</v>
      </c>
    </row>
    <row r="3262" spans="1:17" x14ac:dyDescent="0.2">
      <c r="A3262" s="1">
        <v>5116</v>
      </c>
      <c r="B3262" s="2">
        <v>38633</v>
      </c>
      <c r="C3262" s="7">
        <f>_xlfn.FLOOR.MATH(Table1[[#This Row],[year]],10)</f>
        <v>2000</v>
      </c>
      <c r="D3262" t="s">
        <v>370</v>
      </c>
      <c r="E3262" t="s">
        <v>314</v>
      </c>
      <c r="F3262">
        <v>3</v>
      </c>
      <c r="G3262">
        <v>0</v>
      </c>
      <c r="H3262" t="s">
        <v>224</v>
      </c>
      <c r="I3262" t="s">
        <v>372</v>
      </c>
      <c r="J3262" t="s">
        <v>370</v>
      </c>
      <c r="K3262" t="b">
        <v>0</v>
      </c>
      <c r="L3262">
        <v>2005</v>
      </c>
      <c r="M3262">
        <v>5320409651</v>
      </c>
      <c r="N3262">
        <v>18737895512</v>
      </c>
      <c r="O3262" t="b">
        <v>1</v>
      </c>
      <c r="P3262">
        <v>-1</v>
      </c>
      <c r="Q3262" t="str" cm="1">
        <f t="array" ref="Q3262">_xlfn.IFS(Table1[[#This Row],[Wealthier_Winner]]=-1,"Wealthier Nation Loses",Table1[[#This Row],[Wealthier_Winner]]=0,"Tie",Table1[[#This Row],[Wealthier_Winner]]=1,"Wealthier Nation Wins")</f>
        <v>Wealthier Nation Loses</v>
      </c>
    </row>
    <row r="3263" spans="1:17" x14ac:dyDescent="0.2">
      <c r="A3263" s="1">
        <v>5117</v>
      </c>
      <c r="B3263" s="2">
        <v>38633</v>
      </c>
      <c r="C3263" s="7">
        <f>_xlfn.FLOOR.MATH(Table1[[#This Row],[year]],10)</f>
        <v>2000</v>
      </c>
      <c r="D3263" t="s">
        <v>17</v>
      </c>
      <c r="E3263" t="s">
        <v>223</v>
      </c>
      <c r="F3263">
        <v>5</v>
      </c>
      <c r="G3263">
        <v>2</v>
      </c>
      <c r="H3263" t="s">
        <v>224</v>
      </c>
      <c r="I3263" t="s">
        <v>681</v>
      </c>
      <c r="J3263" t="s">
        <v>17</v>
      </c>
      <c r="K3263" t="b">
        <v>0</v>
      </c>
      <c r="L3263">
        <v>2005</v>
      </c>
      <c r="M3263">
        <v>917571853529</v>
      </c>
      <c r="N3263">
        <v>26783389293</v>
      </c>
      <c r="O3263" t="b">
        <v>1</v>
      </c>
      <c r="P3263">
        <v>1</v>
      </c>
      <c r="Q3263" t="str" cm="1">
        <f t="array" ref="Q3263">_xlfn.IFS(Table1[[#This Row],[Wealthier_Winner]]=-1,"Wealthier Nation Loses",Table1[[#This Row],[Wealthier_Winner]]=0,"Tie",Table1[[#This Row],[Wealthier_Winner]]=1,"Wealthier Nation Wins")</f>
        <v>Wealthier Nation Wins</v>
      </c>
    </row>
    <row r="3264" spans="1:17" x14ac:dyDescent="0.2">
      <c r="A3264" s="1">
        <v>5118</v>
      </c>
      <c r="B3264" s="2">
        <v>38633</v>
      </c>
      <c r="C3264" s="7">
        <f>_xlfn.FLOOR.MATH(Table1[[#This Row],[year]],10)</f>
        <v>2000</v>
      </c>
      <c r="D3264" t="s">
        <v>43</v>
      </c>
      <c r="E3264" t="s">
        <v>298</v>
      </c>
      <c r="F3264">
        <v>5</v>
      </c>
      <c r="G3264">
        <v>1</v>
      </c>
      <c r="H3264" t="s">
        <v>224</v>
      </c>
      <c r="I3264" t="s">
        <v>657</v>
      </c>
      <c r="J3264" t="s">
        <v>43</v>
      </c>
      <c r="K3264" t="b">
        <v>0</v>
      </c>
      <c r="L3264">
        <v>2005</v>
      </c>
      <c r="M3264">
        <v>175670569969</v>
      </c>
      <c r="N3264">
        <v>5758250000</v>
      </c>
      <c r="O3264" t="b">
        <v>1</v>
      </c>
      <c r="P3264">
        <v>1</v>
      </c>
      <c r="Q3264" t="str" cm="1">
        <f t="array" ref="Q3264">_xlfn.IFS(Table1[[#This Row],[Wealthier_Winner]]=-1,"Wealthier Nation Loses",Table1[[#This Row],[Wealthier_Winner]]=0,"Tie",Table1[[#This Row],[Wealthier_Winner]]=1,"Wealthier Nation Wins")</f>
        <v>Wealthier Nation Wins</v>
      </c>
    </row>
    <row r="3265" spans="1:17" x14ac:dyDescent="0.2">
      <c r="A3265" s="1">
        <v>5120</v>
      </c>
      <c r="B3265" s="2">
        <v>38633</v>
      </c>
      <c r="C3265" s="7">
        <f>_xlfn.FLOOR.MATH(Table1[[#This Row],[year]],10)</f>
        <v>2000</v>
      </c>
      <c r="D3265" t="s">
        <v>42</v>
      </c>
      <c r="E3265" t="s">
        <v>527</v>
      </c>
      <c r="F3265">
        <v>1</v>
      </c>
      <c r="G3265">
        <v>0</v>
      </c>
      <c r="H3265" t="s">
        <v>224</v>
      </c>
      <c r="I3265" t="s">
        <v>262</v>
      </c>
      <c r="J3265" t="s">
        <v>42</v>
      </c>
      <c r="K3265" t="b">
        <v>0</v>
      </c>
      <c r="L3265">
        <v>2005</v>
      </c>
      <c r="M3265">
        <v>309978579743</v>
      </c>
      <c r="N3265">
        <v>2988342907</v>
      </c>
      <c r="O3265" t="b">
        <v>1</v>
      </c>
      <c r="P3265">
        <v>1</v>
      </c>
      <c r="Q3265" t="str" cm="1">
        <f t="array" ref="Q3265">_xlfn.IFS(Table1[[#This Row],[Wealthier_Winner]]=-1,"Wealthier Nation Loses",Table1[[#This Row],[Wealthier_Winner]]=0,"Tie",Table1[[#This Row],[Wealthier_Winner]]=1,"Wealthier Nation Wins")</f>
        <v>Wealthier Nation Wins</v>
      </c>
    </row>
    <row r="3266" spans="1:17" x14ac:dyDescent="0.2">
      <c r="A3266" s="1">
        <v>5121</v>
      </c>
      <c r="B3266" s="2">
        <v>38633</v>
      </c>
      <c r="C3266" s="7">
        <f>_xlfn.FLOOR.MATH(Table1[[#This Row],[year]],10)</f>
        <v>2000</v>
      </c>
      <c r="D3266" t="s">
        <v>67</v>
      </c>
      <c r="E3266" t="s">
        <v>59</v>
      </c>
      <c r="F3266">
        <v>0</v>
      </c>
      <c r="G3266">
        <v>1</v>
      </c>
      <c r="H3266" t="s">
        <v>224</v>
      </c>
      <c r="I3266" t="s">
        <v>455</v>
      </c>
      <c r="J3266" t="s">
        <v>67</v>
      </c>
      <c r="K3266" t="b">
        <v>0</v>
      </c>
      <c r="L3266">
        <v>2005</v>
      </c>
      <c r="M3266">
        <v>16623906739</v>
      </c>
      <c r="N3266">
        <v>15982389018</v>
      </c>
      <c r="O3266" t="b">
        <v>0</v>
      </c>
      <c r="P3266">
        <v>-1</v>
      </c>
      <c r="Q3266" t="str" cm="1">
        <f t="array" ref="Q3266">_xlfn.IFS(Table1[[#This Row],[Wealthier_Winner]]=-1,"Wealthier Nation Loses",Table1[[#This Row],[Wealthier_Winner]]=0,"Tie",Table1[[#This Row],[Wealthier_Winner]]=1,"Wealthier Nation Wins")</f>
        <v>Wealthier Nation Loses</v>
      </c>
    </row>
    <row r="3267" spans="1:17" x14ac:dyDescent="0.2">
      <c r="A3267" s="1">
        <v>5122</v>
      </c>
      <c r="B3267" s="2">
        <v>38633</v>
      </c>
      <c r="C3267" s="7">
        <f>_xlfn.FLOOR.MATH(Table1[[#This Row],[year]],10)</f>
        <v>2000</v>
      </c>
      <c r="D3267" t="s">
        <v>38</v>
      </c>
      <c r="E3267" t="s">
        <v>503</v>
      </c>
      <c r="F3267">
        <v>2</v>
      </c>
      <c r="G3267">
        <v>1</v>
      </c>
      <c r="H3267" t="s">
        <v>224</v>
      </c>
      <c r="I3267" t="s">
        <v>682</v>
      </c>
      <c r="J3267" t="s">
        <v>38</v>
      </c>
      <c r="K3267" t="b">
        <v>0</v>
      </c>
      <c r="L3267">
        <v>2005</v>
      </c>
      <c r="M3267">
        <v>197253876704</v>
      </c>
      <c r="N3267">
        <v>3659319116</v>
      </c>
      <c r="O3267" t="b">
        <v>1</v>
      </c>
      <c r="P3267">
        <v>1</v>
      </c>
      <c r="Q3267" t="str" cm="1">
        <f t="array" ref="Q3267">_xlfn.IFS(Table1[[#This Row],[Wealthier_Winner]]=-1,"Wealthier Nation Loses",Table1[[#This Row],[Wealthier_Winner]]=0,"Tie",Table1[[#This Row],[Wealthier_Winner]]=1,"Wealthier Nation Wins")</f>
        <v>Wealthier Nation Wins</v>
      </c>
    </row>
    <row r="3268" spans="1:17" x14ac:dyDescent="0.2">
      <c r="A3268" s="1">
        <v>5123</v>
      </c>
      <c r="B3268" s="2">
        <v>38633</v>
      </c>
      <c r="C3268" s="7">
        <f>_xlfn.FLOOR.MATH(Table1[[#This Row],[year]],10)</f>
        <v>2000</v>
      </c>
      <c r="D3268" t="s">
        <v>196</v>
      </c>
      <c r="E3268" t="s">
        <v>232</v>
      </c>
      <c r="F3268">
        <v>5</v>
      </c>
      <c r="G3268">
        <v>1</v>
      </c>
      <c r="H3268" t="s">
        <v>224</v>
      </c>
      <c r="I3268" t="s">
        <v>180</v>
      </c>
      <c r="J3268" t="s">
        <v>196</v>
      </c>
      <c r="K3268" t="b">
        <v>0</v>
      </c>
      <c r="L3268">
        <v>2005</v>
      </c>
      <c r="M3268">
        <v>764015973481</v>
      </c>
      <c r="N3268">
        <v>37672280120</v>
      </c>
      <c r="O3268" t="b">
        <v>1</v>
      </c>
      <c r="P3268">
        <v>1</v>
      </c>
      <c r="Q3268" t="str" cm="1">
        <f t="array" ref="Q3268">_xlfn.IFS(Table1[[#This Row],[Wealthier_Winner]]=-1,"Wealthier Nation Loses",Table1[[#This Row],[Wealthier_Winner]]=0,"Tie",Table1[[#This Row],[Wealthier_Winner]]=1,"Wealthier Nation Wins")</f>
        <v>Wealthier Nation Wins</v>
      </c>
    </row>
    <row r="3269" spans="1:17" x14ac:dyDescent="0.2">
      <c r="A3269" s="1">
        <v>5124</v>
      </c>
      <c r="B3269" s="2">
        <v>38633</v>
      </c>
      <c r="C3269" s="7">
        <f>_xlfn.FLOOR.MATH(Table1[[#This Row],[year]],10)</f>
        <v>2000</v>
      </c>
      <c r="D3269" t="s">
        <v>514</v>
      </c>
      <c r="E3269" t="s">
        <v>60</v>
      </c>
      <c r="F3269">
        <v>0</v>
      </c>
      <c r="G3269">
        <v>1</v>
      </c>
      <c r="H3269" t="s">
        <v>224</v>
      </c>
      <c r="I3269" t="s">
        <v>515</v>
      </c>
      <c r="J3269" t="s">
        <v>514</v>
      </c>
      <c r="K3269" t="b">
        <v>0</v>
      </c>
      <c r="L3269">
        <v>2005</v>
      </c>
      <c r="M3269">
        <v>2933819766</v>
      </c>
      <c r="N3269">
        <v>41396636383</v>
      </c>
      <c r="O3269" t="b">
        <v>1</v>
      </c>
      <c r="P3269">
        <v>1</v>
      </c>
      <c r="Q3269" t="str" cm="1">
        <f t="array" ref="Q3269">_xlfn.IFS(Table1[[#This Row],[Wealthier_Winner]]=-1,"Wealthier Nation Loses",Table1[[#This Row],[Wealthier_Winner]]=0,"Tie",Table1[[#This Row],[Wealthier_Winner]]=1,"Wealthier Nation Wins")</f>
        <v>Wealthier Nation Wins</v>
      </c>
    </row>
    <row r="3270" spans="1:17" x14ac:dyDescent="0.2">
      <c r="A3270" s="1">
        <v>5126</v>
      </c>
      <c r="B3270" s="2">
        <v>38633</v>
      </c>
      <c r="C3270" s="7">
        <f>_xlfn.FLOOR.MATH(Table1[[#This Row],[year]],10)</f>
        <v>2000</v>
      </c>
      <c r="D3270" t="s">
        <v>54</v>
      </c>
      <c r="E3270" t="s">
        <v>590</v>
      </c>
      <c r="F3270">
        <v>3</v>
      </c>
      <c r="G3270">
        <v>0</v>
      </c>
      <c r="H3270" t="s">
        <v>224</v>
      </c>
      <c r="I3270" t="s">
        <v>285</v>
      </c>
      <c r="J3270" t="s">
        <v>54</v>
      </c>
      <c r="K3270" t="b">
        <v>0</v>
      </c>
      <c r="L3270">
        <v>2005</v>
      </c>
      <c r="M3270">
        <v>11009033437</v>
      </c>
      <c r="N3270">
        <v>7429066951</v>
      </c>
      <c r="O3270" t="b">
        <v>0</v>
      </c>
      <c r="P3270">
        <v>1</v>
      </c>
      <c r="Q3270" t="str" cm="1">
        <f t="array" ref="Q3270">_xlfn.IFS(Table1[[#This Row],[Wealthier_Winner]]=-1,"Wealthier Nation Loses",Table1[[#This Row],[Wealthier_Winner]]=0,"Tie",Table1[[#This Row],[Wealthier_Winner]]=1,"Wealthier Nation Wins")</f>
        <v>Wealthier Nation Wins</v>
      </c>
    </row>
    <row r="3271" spans="1:17" x14ac:dyDescent="0.2">
      <c r="A3271" s="1">
        <v>5130</v>
      </c>
      <c r="B3271" s="2">
        <v>38633</v>
      </c>
      <c r="C3271" s="7">
        <f>_xlfn.FLOOR.MATH(Table1[[#This Row],[year]],10)</f>
        <v>2000</v>
      </c>
      <c r="D3271" t="s">
        <v>46</v>
      </c>
      <c r="E3271" t="s">
        <v>20</v>
      </c>
      <c r="F3271">
        <v>1</v>
      </c>
      <c r="G3271">
        <v>1</v>
      </c>
      <c r="H3271" t="s">
        <v>224</v>
      </c>
      <c r="I3271" t="s">
        <v>249</v>
      </c>
      <c r="J3271" t="s">
        <v>46</v>
      </c>
      <c r="K3271" t="b">
        <v>0</v>
      </c>
      <c r="L3271">
        <v>2005</v>
      </c>
      <c r="M3271">
        <v>418284865884</v>
      </c>
      <c r="N3271">
        <v>2192146403028</v>
      </c>
      <c r="O3271" t="b">
        <v>1</v>
      </c>
      <c r="P3271">
        <v>0</v>
      </c>
      <c r="Q3271" t="str" cm="1">
        <f t="array" ref="Q3271">_xlfn.IFS(Table1[[#This Row],[Wealthier_Winner]]=-1,"Wealthier Nation Loses",Table1[[#This Row],[Wealthier_Winner]]=0,"Tie",Table1[[#This Row],[Wealthier_Winner]]=1,"Wealthier Nation Wins")</f>
        <v>Tie</v>
      </c>
    </row>
    <row r="3272" spans="1:17" x14ac:dyDescent="0.2">
      <c r="A3272" s="1">
        <v>5131</v>
      </c>
      <c r="B3272" s="2">
        <v>38633</v>
      </c>
      <c r="C3272" s="7">
        <f>_xlfn.FLOOR.MATH(Table1[[#This Row],[year]],10)</f>
        <v>2000</v>
      </c>
      <c r="D3272" t="s">
        <v>53</v>
      </c>
      <c r="E3272" t="s">
        <v>24</v>
      </c>
      <c r="F3272">
        <v>2</v>
      </c>
      <c r="G3272">
        <v>2</v>
      </c>
      <c r="H3272" t="s">
        <v>224</v>
      </c>
      <c r="I3272" t="s">
        <v>658</v>
      </c>
      <c r="J3272" t="s">
        <v>53</v>
      </c>
      <c r="K3272" t="b">
        <v>0</v>
      </c>
      <c r="L3272">
        <v>2005</v>
      </c>
      <c r="M3272">
        <v>32272186694</v>
      </c>
      <c r="N3272">
        <v>68852658068</v>
      </c>
      <c r="O3272" t="b">
        <v>1</v>
      </c>
      <c r="P3272">
        <v>0</v>
      </c>
      <c r="Q3272" t="str" cm="1">
        <f t="array" ref="Q3272">_xlfn.IFS(Table1[[#This Row],[Wealthier_Winner]]=-1,"Wealthier Nation Loses",Table1[[#This Row],[Wealthier_Winner]]=0,"Tie",Table1[[#This Row],[Wealthier_Winner]]=1,"Wealthier Nation Wins")</f>
        <v>Tie</v>
      </c>
    </row>
    <row r="3273" spans="1:17" x14ac:dyDescent="0.2">
      <c r="A3273" s="1">
        <v>5132</v>
      </c>
      <c r="B3273" s="2">
        <v>38633</v>
      </c>
      <c r="C3273" s="7">
        <f>_xlfn.FLOOR.MATH(Table1[[#This Row],[year]],10)</f>
        <v>2000</v>
      </c>
      <c r="D3273" t="s">
        <v>357</v>
      </c>
      <c r="E3273" t="s">
        <v>345</v>
      </c>
      <c r="F3273">
        <v>2</v>
      </c>
      <c r="G3273">
        <v>2</v>
      </c>
      <c r="H3273" t="s">
        <v>224</v>
      </c>
      <c r="I3273" t="s">
        <v>358</v>
      </c>
      <c r="J3273" t="s">
        <v>357</v>
      </c>
      <c r="K3273" t="b">
        <v>0</v>
      </c>
      <c r="L3273">
        <v>2005</v>
      </c>
      <c r="M3273">
        <v>9239221763</v>
      </c>
      <c r="N3273">
        <v>6146353173</v>
      </c>
      <c r="O3273" t="b">
        <v>0</v>
      </c>
      <c r="P3273">
        <v>0</v>
      </c>
      <c r="Q3273" t="str" cm="1">
        <f t="array" ref="Q3273">_xlfn.IFS(Table1[[#This Row],[Wealthier_Winner]]=-1,"Wealthier Nation Loses",Table1[[#This Row],[Wealthier_Winner]]=0,"Tie",Table1[[#This Row],[Wealthier_Winner]]=1,"Wealthier Nation Wins")</f>
        <v>Tie</v>
      </c>
    </row>
    <row r="3274" spans="1:17" x14ac:dyDescent="0.2">
      <c r="A3274" s="1">
        <v>5133</v>
      </c>
      <c r="B3274" s="2">
        <v>38633</v>
      </c>
      <c r="C3274" s="7">
        <f>_xlfn.FLOOR.MATH(Table1[[#This Row],[year]],10)</f>
        <v>2000</v>
      </c>
      <c r="D3274" t="s">
        <v>64</v>
      </c>
      <c r="E3274" t="s">
        <v>373</v>
      </c>
      <c r="F3274">
        <v>2</v>
      </c>
      <c r="G3274">
        <v>2</v>
      </c>
      <c r="H3274" t="s">
        <v>224</v>
      </c>
      <c r="I3274" t="s">
        <v>683</v>
      </c>
      <c r="J3274" t="s">
        <v>64</v>
      </c>
      <c r="K3274" t="b">
        <v>0</v>
      </c>
      <c r="L3274">
        <v>2005</v>
      </c>
      <c r="M3274">
        <v>89238865118</v>
      </c>
      <c r="N3274">
        <v>8256658249</v>
      </c>
      <c r="O3274" t="b">
        <v>1</v>
      </c>
      <c r="P3274">
        <v>0</v>
      </c>
      <c r="Q3274" t="str" cm="1">
        <f t="array" ref="Q3274">_xlfn.IFS(Table1[[#This Row],[Wealthier_Winner]]=-1,"Wealthier Nation Loses",Table1[[#This Row],[Wealthier_Winner]]=0,"Tie",Table1[[#This Row],[Wealthier_Winner]]=1,"Wealthier Nation Wins")</f>
        <v>Tie</v>
      </c>
    </row>
    <row r="3275" spans="1:17" x14ac:dyDescent="0.2">
      <c r="A3275" s="1">
        <v>5134</v>
      </c>
      <c r="B3275" s="2">
        <v>38633</v>
      </c>
      <c r="C3275" s="7">
        <f>_xlfn.FLOOR.MATH(Table1[[#This Row],[year]],10)</f>
        <v>2000</v>
      </c>
      <c r="D3275" t="s">
        <v>563</v>
      </c>
      <c r="E3275" t="s">
        <v>361</v>
      </c>
      <c r="F3275">
        <v>1</v>
      </c>
      <c r="G3275">
        <v>1</v>
      </c>
      <c r="H3275" t="s">
        <v>224</v>
      </c>
      <c r="I3275" t="s">
        <v>564</v>
      </c>
      <c r="J3275" t="s">
        <v>563</v>
      </c>
      <c r="K3275" t="b">
        <v>0</v>
      </c>
      <c r="L3275">
        <v>2005</v>
      </c>
      <c r="M3275">
        <v>14307509838</v>
      </c>
      <c r="N3275">
        <v>15968723404</v>
      </c>
      <c r="O3275" t="b">
        <v>0</v>
      </c>
      <c r="P3275">
        <v>0</v>
      </c>
      <c r="Q3275" t="str" cm="1">
        <f t="array" ref="Q3275">_xlfn.IFS(Table1[[#This Row],[Wealthier_Winner]]=-1,"Wealthier Nation Loses",Table1[[#This Row],[Wealthier_Winner]]=0,"Tie",Table1[[#This Row],[Wealthier_Winner]]=1,"Wealthier Nation Wins")</f>
        <v>Tie</v>
      </c>
    </row>
    <row r="3276" spans="1:17" x14ac:dyDescent="0.2">
      <c r="A3276" s="1">
        <v>5135</v>
      </c>
      <c r="B3276" s="2">
        <v>38633</v>
      </c>
      <c r="C3276" s="7">
        <f>_xlfn.FLOOR.MATH(Table1[[#This Row],[year]],10)</f>
        <v>2000</v>
      </c>
      <c r="D3276" t="s">
        <v>258</v>
      </c>
      <c r="E3276" t="s">
        <v>35</v>
      </c>
      <c r="F3276">
        <v>0</v>
      </c>
      <c r="G3276">
        <v>1</v>
      </c>
      <c r="H3276" t="s">
        <v>224</v>
      </c>
      <c r="I3276" t="s">
        <v>572</v>
      </c>
      <c r="J3276" t="s">
        <v>258</v>
      </c>
      <c r="K3276" t="b">
        <v>0</v>
      </c>
      <c r="L3276">
        <v>2005</v>
      </c>
      <c r="M3276">
        <v>145513489651</v>
      </c>
      <c r="N3276">
        <v>10737500188</v>
      </c>
      <c r="O3276" t="b">
        <v>1</v>
      </c>
      <c r="P3276">
        <v>-1</v>
      </c>
      <c r="Q3276" t="str" cm="1">
        <f t="array" ref="Q3276">_xlfn.IFS(Table1[[#This Row],[Wealthier_Winner]]=-1,"Wealthier Nation Loses",Table1[[#This Row],[Wealthier_Winner]]=0,"Tie",Table1[[#This Row],[Wealthier_Winner]]=1,"Wealthier Nation Wins")</f>
        <v>Wealthier Nation Loses</v>
      </c>
    </row>
    <row r="3277" spans="1:17" x14ac:dyDescent="0.2">
      <c r="A3277" s="1">
        <v>5136</v>
      </c>
      <c r="B3277" s="2">
        <v>38634</v>
      </c>
      <c r="C3277" s="7">
        <f>_xlfn.FLOOR.MATH(Table1[[#This Row],[year]],10)</f>
        <v>2000</v>
      </c>
      <c r="D3277" t="s">
        <v>19</v>
      </c>
      <c r="E3277" t="s">
        <v>31</v>
      </c>
      <c r="F3277">
        <v>2</v>
      </c>
      <c r="G3277">
        <v>0</v>
      </c>
      <c r="H3277" t="s">
        <v>224</v>
      </c>
      <c r="I3277" t="s">
        <v>93</v>
      </c>
      <c r="J3277" t="s">
        <v>19</v>
      </c>
      <c r="K3277" t="b">
        <v>0</v>
      </c>
      <c r="L3277">
        <v>2005</v>
      </c>
      <c r="M3277">
        <v>198737095012</v>
      </c>
      <c r="N3277">
        <v>76060606060</v>
      </c>
      <c r="O3277" t="b">
        <v>1</v>
      </c>
      <c r="P3277">
        <v>1</v>
      </c>
      <c r="Q3277" t="str" cm="1">
        <f t="array" ref="Q3277">_xlfn.IFS(Table1[[#This Row],[Wealthier_Winner]]=-1,"Wealthier Nation Loses",Table1[[#This Row],[Wealthier_Winner]]=0,"Tie",Table1[[#This Row],[Wealthier_Winner]]=1,"Wealthier Nation Wins")</f>
        <v>Wealthier Nation Wins</v>
      </c>
    </row>
    <row r="3278" spans="1:17" x14ac:dyDescent="0.2">
      <c r="A3278" s="1">
        <v>5137</v>
      </c>
      <c r="B3278" s="2">
        <v>38634</v>
      </c>
      <c r="C3278" s="7">
        <f>_xlfn.FLOOR.MATH(Table1[[#This Row],[year]],10)</f>
        <v>2000</v>
      </c>
      <c r="D3278" t="s">
        <v>310</v>
      </c>
      <c r="E3278" t="s">
        <v>286</v>
      </c>
      <c r="F3278">
        <v>1</v>
      </c>
      <c r="G3278">
        <v>0</v>
      </c>
      <c r="H3278" t="s">
        <v>224</v>
      </c>
      <c r="I3278" t="s">
        <v>311</v>
      </c>
      <c r="J3278" t="s">
        <v>310</v>
      </c>
      <c r="K3278" t="b">
        <v>0</v>
      </c>
      <c r="L3278">
        <v>2005</v>
      </c>
      <c r="M3278">
        <v>6567654954</v>
      </c>
      <c r="N3278">
        <v>47334691241</v>
      </c>
      <c r="O3278" t="b">
        <v>1</v>
      </c>
      <c r="P3278">
        <v>-1</v>
      </c>
      <c r="Q3278" t="str" cm="1">
        <f t="array" ref="Q3278">_xlfn.IFS(Table1[[#This Row],[Wealthier_Winner]]=-1,"Wealthier Nation Loses",Table1[[#This Row],[Wealthier_Winner]]=0,"Tie",Table1[[#This Row],[Wealthier_Winner]]=1,"Wealthier Nation Wins")</f>
        <v>Wealthier Nation Loses</v>
      </c>
    </row>
    <row r="3279" spans="1:17" x14ac:dyDescent="0.2">
      <c r="A3279" s="1">
        <v>5138</v>
      </c>
      <c r="B3279" s="2">
        <v>38634</v>
      </c>
      <c r="C3279" s="7">
        <f>_xlfn.FLOOR.MATH(Table1[[#This Row],[year]],10)</f>
        <v>2000</v>
      </c>
      <c r="D3279" t="s">
        <v>47</v>
      </c>
      <c r="E3279" t="s">
        <v>13</v>
      </c>
      <c r="F3279">
        <v>1</v>
      </c>
      <c r="G3279">
        <v>1</v>
      </c>
      <c r="H3279" t="s">
        <v>224</v>
      </c>
      <c r="I3279" t="s">
        <v>246</v>
      </c>
      <c r="J3279" t="s">
        <v>47</v>
      </c>
      <c r="K3279" t="b">
        <v>0</v>
      </c>
      <c r="L3279">
        <v>2005</v>
      </c>
      <c r="M3279">
        <v>9549122905</v>
      </c>
      <c r="N3279">
        <v>891633826625</v>
      </c>
      <c r="O3279" t="b">
        <v>1</v>
      </c>
      <c r="P3279">
        <v>0</v>
      </c>
      <c r="Q3279" t="str" cm="1">
        <f t="array" ref="Q3279">_xlfn.IFS(Table1[[#This Row],[Wealthier_Winner]]=-1,"Wealthier Nation Loses",Table1[[#This Row],[Wealthier_Winner]]=0,"Tie",Table1[[#This Row],[Wealthier_Winner]]=1,"Wealthier Nation Wins")</f>
        <v>Tie</v>
      </c>
    </row>
    <row r="3280" spans="1:17" x14ac:dyDescent="0.2">
      <c r="A3280" s="1">
        <v>5140</v>
      </c>
      <c r="B3280" s="2">
        <v>38637</v>
      </c>
      <c r="C3280" s="7">
        <f>_xlfn.FLOOR.MATH(Table1[[#This Row],[year]],10)</f>
        <v>2000</v>
      </c>
      <c r="D3280" t="s">
        <v>601</v>
      </c>
      <c r="E3280" t="s">
        <v>519</v>
      </c>
      <c r="F3280">
        <v>0</v>
      </c>
      <c r="G3280">
        <v>3</v>
      </c>
      <c r="H3280" t="s">
        <v>224</v>
      </c>
      <c r="I3280" t="s">
        <v>602</v>
      </c>
      <c r="J3280" t="s">
        <v>601</v>
      </c>
      <c r="K3280" t="b">
        <v>0</v>
      </c>
      <c r="L3280">
        <v>2005</v>
      </c>
      <c r="M3280">
        <v>3161084846</v>
      </c>
      <c r="N3280">
        <v>4900469511</v>
      </c>
      <c r="O3280" t="b">
        <v>0</v>
      </c>
      <c r="P3280">
        <v>1</v>
      </c>
      <c r="Q3280" t="str" cm="1">
        <f t="array" ref="Q3280">_xlfn.IFS(Table1[[#This Row],[Wealthier_Winner]]=-1,"Wealthier Nation Loses",Table1[[#This Row],[Wealthier_Winner]]=0,"Tie",Table1[[#This Row],[Wealthier_Winner]]=1,"Wealthier Nation Wins")</f>
        <v>Wealthier Nation Wins</v>
      </c>
    </row>
    <row r="3281" spans="1:17" x14ac:dyDescent="0.2">
      <c r="A3281" s="1">
        <v>5142</v>
      </c>
      <c r="B3281" s="2">
        <v>38637</v>
      </c>
      <c r="C3281" s="7">
        <f>_xlfn.FLOOR.MATH(Table1[[#This Row],[year]],10)</f>
        <v>2000</v>
      </c>
      <c r="D3281" t="s">
        <v>361</v>
      </c>
      <c r="E3281" t="s">
        <v>563</v>
      </c>
      <c r="F3281">
        <v>0</v>
      </c>
      <c r="G3281">
        <v>0</v>
      </c>
      <c r="H3281" t="s">
        <v>224</v>
      </c>
      <c r="I3281" t="s">
        <v>419</v>
      </c>
      <c r="J3281" t="s">
        <v>361</v>
      </c>
      <c r="K3281" t="b">
        <v>0</v>
      </c>
      <c r="L3281">
        <v>2005</v>
      </c>
      <c r="M3281">
        <v>15968723404</v>
      </c>
      <c r="N3281">
        <v>14307509838</v>
      </c>
      <c r="O3281" t="b">
        <v>0</v>
      </c>
      <c r="P3281">
        <v>0</v>
      </c>
      <c r="Q3281" t="str" cm="1">
        <f t="array" ref="Q3281">_xlfn.IFS(Table1[[#This Row],[Wealthier_Winner]]=-1,"Wealthier Nation Loses",Table1[[#This Row],[Wealthier_Winner]]=0,"Tie",Table1[[#This Row],[Wealthier_Winner]]=1,"Wealthier Nation Wins")</f>
        <v>Tie</v>
      </c>
    </row>
    <row r="3282" spans="1:17" x14ac:dyDescent="0.2">
      <c r="A3282" s="1">
        <v>5143</v>
      </c>
      <c r="B3282" s="2">
        <v>38637</v>
      </c>
      <c r="C3282" s="7">
        <f>_xlfn.FLOOR.MATH(Table1[[#This Row],[year]],10)</f>
        <v>2000</v>
      </c>
      <c r="D3282" t="s">
        <v>510</v>
      </c>
      <c r="E3282" t="s">
        <v>42</v>
      </c>
      <c r="F3282">
        <v>0</v>
      </c>
      <c r="G3282">
        <v>1</v>
      </c>
      <c r="H3282" t="s">
        <v>224</v>
      </c>
      <c r="I3282" t="s">
        <v>522</v>
      </c>
      <c r="J3282" t="s">
        <v>510</v>
      </c>
      <c r="K3282" t="b">
        <v>0</v>
      </c>
      <c r="L3282">
        <v>2005</v>
      </c>
      <c r="M3282">
        <v>30210091836</v>
      </c>
      <c r="N3282">
        <v>309978579743</v>
      </c>
      <c r="O3282" t="b">
        <v>1</v>
      </c>
      <c r="P3282">
        <v>1</v>
      </c>
      <c r="Q3282" t="str" cm="1">
        <f t="array" ref="Q3282">_xlfn.IFS(Table1[[#This Row],[Wealthier_Winner]]=-1,"Wealthier Nation Loses",Table1[[#This Row],[Wealthier_Winner]]=0,"Tie",Table1[[#This Row],[Wealthier_Winner]]=1,"Wealthier Nation Wins")</f>
        <v>Wealthier Nation Wins</v>
      </c>
    </row>
    <row r="3283" spans="1:17" x14ac:dyDescent="0.2">
      <c r="A3283" s="1">
        <v>5144</v>
      </c>
      <c r="B3283" s="2">
        <v>38637</v>
      </c>
      <c r="C3283" s="7">
        <f>_xlfn.FLOOR.MATH(Table1[[#This Row],[year]],10)</f>
        <v>2000</v>
      </c>
      <c r="D3283" t="s">
        <v>13</v>
      </c>
      <c r="E3283" t="s">
        <v>258</v>
      </c>
      <c r="F3283">
        <v>3</v>
      </c>
      <c r="G3283">
        <v>0</v>
      </c>
      <c r="H3283" t="s">
        <v>224</v>
      </c>
      <c r="I3283" t="s">
        <v>684</v>
      </c>
      <c r="J3283" t="s">
        <v>13</v>
      </c>
      <c r="K3283" t="b">
        <v>0</v>
      </c>
      <c r="L3283">
        <v>2005</v>
      </c>
      <c r="M3283">
        <v>891633826625</v>
      </c>
      <c r="N3283">
        <v>145513489651</v>
      </c>
      <c r="O3283" t="b">
        <v>1</v>
      </c>
      <c r="P3283">
        <v>1</v>
      </c>
      <c r="Q3283" t="str" cm="1">
        <f t="array" ref="Q3283">_xlfn.IFS(Table1[[#This Row],[Wealthier_Winner]]=-1,"Wealthier Nation Loses",Table1[[#This Row],[Wealthier_Winner]]=0,"Tie",Table1[[#This Row],[Wealthier_Winner]]=1,"Wealthier Nation Wins")</f>
        <v>Wealthier Nation Wins</v>
      </c>
    </row>
    <row r="3284" spans="1:17" x14ac:dyDescent="0.2">
      <c r="A3284" s="1">
        <v>5145</v>
      </c>
      <c r="B3284" s="2">
        <v>38637</v>
      </c>
      <c r="C3284" s="7">
        <f>_xlfn.FLOOR.MATH(Table1[[#This Row],[year]],10)</f>
        <v>2000</v>
      </c>
      <c r="D3284" t="s">
        <v>14</v>
      </c>
      <c r="E3284" t="s">
        <v>57</v>
      </c>
      <c r="F3284">
        <v>0</v>
      </c>
      <c r="G3284">
        <v>0</v>
      </c>
      <c r="H3284" t="s">
        <v>224</v>
      </c>
      <c r="I3284" t="s">
        <v>75</v>
      </c>
      <c r="J3284" t="s">
        <v>14</v>
      </c>
      <c r="K3284" t="b">
        <v>0</v>
      </c>
      <c r="L3284">
        <v>2005</v>
      </c>
      <c r="M3284">
        <v>122294145163</v>
      </c>
      <c r="N3284">
        <v>40278849000</v>
      </c>
      <c r="O3284" t="b">
        <v>1</v>
      </c>
      <c r="P3284">
        <v>0</v>
      </c>
      <c r="Q3284" t="str" cm="1">
        <f t="array" ref="Q3284">_xlfn.IFS(Table1[[#This Row],[Wealthier_Winner]]=-1,"Wealthier Nation Loses",Table1[[#This Row],[Wealthier_Winner]]=0,"Tie",Table1[[#This Row],[Wealthier_Winner]]=1,"Wealthier Nation Wins")</f>
        <v>Tie</v>
      </c>
    </row>
    <row r="3285" spans="1:17" x14ac:dyDescent="0.2">
      <c r="A3285" s="1">
        <v>5146</v>
      </c>
      <c r="B3285" s="2">
        <v>38637</v>
      </c>
      <c r="C3285" s="7">
        <f>_xlfn.FLOOR.MATH(Table1[[#This Row],[year]],10)</f>
        <v>2000</v>
      </c>
      <c r="D3285" t="s">
        <v>194</v>
      </c>
      <c r="E3285" t="s">
        <v>58</v>
      </c>
      <c r="F3285">
        <v>2</v>
      </c>
      <c r="G3285">
        <v>1</v>
      </c>
      <c r="H3285" t="s">
        <v>224</v>
      </c>
      <c r="I3285" t="s">
        <v>633</v>
      </c>
      <c r="J3285" t="s">
        <v>194</v>
      </c>
      <c r="K3285" t="b">
        <v>0</v>
      </c>
      <c r="L3285">
        <v>2005</v>
      </c>
      <c r="M3285">
        <v>2551361818181</v>
      </c>
      <c r="N3285">
        <v>306999913150</v>
      </c>
      <c r="O3285" t="b">
        <v>1</v>
      </c>
      <c r="P3285">
        <v>1</v>
      </c>
      <c r="Q3285" t="str" cm="1">
        <f t="array" ref="Q3285">_xlfn.IFS(Table1[[#This Row],[Wealthier_Winner]]=-1,"Wealthier Nation Loses",Table1[[#This Row],[Wealthier_Winner]]=0,"Tie",Table1[[#This Row],[Wealthier_Winner]]=1,"Wealthier Nation Wins")</f>
        <v>Wealthier Nation Wins</v>
      </c>
    </row>
    <row r="3286" spans="1:17" x14ac:dyDescent="0.2">
      <c r="A3286" s="1">
        <v>5148</v>
      </c>
      <c r="B3286" s="2">
        <v>38637</v>
      </c>
      <c r="C3286" s="7">
        <f>_xlfn.FLOOR.MATH(Table1[[#This Row],[year]],10)</f>
        <v>2000</v>
      </c>
      <c r="D3286" t="s">
        <v>20</v>
      </c>
      <c r="E3286" t="s">
        <v>351</v>
      </c>
      <c r="F3286">
        <v>4</v>
      </c>
      <c r="G3286">
        <v>0</v>
      </c>
      <c r="H3286" t="s">
        <v>224</v>
      </c>
      <c r="I3286" t="s">
        <v>132</v>
      </c>
      <c r="J3286" t="s">
        <v>20</v>
      </c>
      <c r="K3286" t="b">
        <v>0</v>
      </c>
      <c r="L3286">
        <v>2005</v>
      </c>
      <c r="M3286">
        <v>2192146403028</v>
      </c>
      <c r="N3286">
        <v>18433412510</v>
      </c>
      <c r="O3286" t="b">
        <v>1</v>
      </c>
      <c r="P3286">
        <v>1</v>
      </c>
      <c r="Q3286" t="str" cm="1">
        <f t="array" ref="Q3286">_xlfn.IFS(Table1[[#This Row],[Wealthier_Winner]]=-1,"Wealthier Nation Loses",Table1[[#This Row],[Wealthier_Winner]]=0,"Tie",Table1[[#This Row],[Wealthier_Winner]]=1,"Wealthier Nation Wins")</f>
        <v>Wealthier Nation Wins</v>
      </c>
    </row>
    <row r="3287" spans="1:17" x14ac:dyDescent="0.2">
      <c r="A3287" s="1">
        <v>5149</v>
      </c>
      <c r="B3287" s="2">
        <v>38637</v>
      </c>
      <c r="C3287" s="7">
        <f>_xlfn.FLOOR.MATH(Table1[[#This Row],[year]],10)</f>
        <v>2000</v>
      </c>
      <c r="D3287" t="s">
        <v>48</v>
      </c>
      <c r="E3287" t="s">
        <v>534</v>
      </c>
      <c r="F3287">
        <v>1</v>
      </c>
      <c r="G3287">
        <v>0</v>
      </c>
      <c r="H3287" t="s">
        <v>224</v>
      </c>
      <c r="I3287" t="s">
        <v>282</v>
      </c>
      <c r="J3287" t="s">
        <v>48</v>
      </c>
      <c r="K3287" t="b">
        <v>0</v>
      </c>
      <c r="L3287">
        <v>2005</v>
      </c>
      <c r="M3287">
        <v>242315668619</v>
      </c>
      <c r="N3287">
        <v>6410912049</v>
      </c>
      <c r="O3287" t="b">
        <v>1</v>
      </c>
      <c r="P3287">
        <v>1</v>
      </c>
      <c r="Q3287" t="str" cm="1">
        <f t="array" ref="Q3287">_xlfn.IFS(Table1[[#This Row],[Wealthier_Winner]]=-1,"Wealthier Nation Loses",Table1[[#This Row],[Wealthier_Winner]]=0,"Tie",Table1[[#This Row],[Wealthier_Winner]]=1,"Wealthier Nation Wins")</f>
        <v>Wealthier Nation Wins</v>
      </c>
    </row>
    <row r="3288" spans="1:17" x14ac:dyDescent="0.2">
      <c r="A3288" s="1">
        <v>5150</v>
      </c>
      <c r="B3288" s="2">
        <v>38637</v>
      </c>
      <c r="C3288" s="7">
        <f>_xlfn.FLOOR.MATH(Table1[[#This Row],[year]],10)</f>
        <v>2000</v>
      </c>
      <c r="D3288" t="s">
        <v>223</v>
      </c>
      <c r="E3288" t="s">
        <v>56</v>
      </c>
      <c r="F3288">
        <v>3</v>
      </c>
      <c r="G3288">
        <v>1</v>
      </c>
      <c r="H3288" t="s">
        <v>224</v>
      </c>
      <c r="I3288" t="s">
        <v>227</v>
      </c>
      <c r="J3288" t="s">
        <v>223</v>
      </c>
      <c r="K3288" t="b">
        <v>0</v>
      </c>
      <c r="L3288">
        <v>2005</v>
      </c>
      <c r="M3288">
        <v>26783389293</v>
      </c>
      <c r="N3288">
        <v>20040642476</v>
      </c>
      <c r="O3288" t="b">
        <v>0</v>
      </c>
      <c r="P3288">
        <v>1</v>
      </c>
      <c r="Q3288" t="str" cm="1">
        <f t="array" ref="Q3288">_xlfn.IFS(Table1[[#This Row],[Wealthier_Winner]]=-1,"Wealthier Nation Loses",Table1[[#This Row],[Wealthier_Winner]]=0,"Tie",Table1[[#This Row],[Wealthier_Winner]]=1,"Wealthier Nation Wins")</f>
        <v>Wealthier Nation Wins</v>
      </c>
    </row>
    <row r="3289" spans="1:17" x14ac:dyDescent="0.2">
      <c r="A3289" s="1">
        <v>5151</v>
      </c>
      <c r="B3289" s="2">
        <v>38637</v>
      </c>
      <c r="C3289" s="7">
        <f>_xlfn.FLOOR.MATH(Table1[[#This Row],[year]],10)</f>
        <v>2000</v>
      </c>
      <c r="D3289" t="s">
        <v>30</v>
      </c>
      <c r="E3289" t="s">
        <v>52</v>
      </c>
      <c r="F3289">
        <v>0</v>
      </c>
      <c r="G3289">
        <v>0</v>
      </c>
      <c r="H3289" t="s">
        <v>224</v>
      </c>
      <c r="I3289" t="s">
        <v>297</v>
      </c>
      <c r="J3289" t="s">
        <v>30</v>
      </c>
      <c r="K3289" t="b">
        <v>0</v>
      </c>
      <c r="L3289">
        <v>2005</v>
      </c>
      <c r="M3289">
        <v>113098237570</v>
      </c>
      <c r="N3289">
        <v>45013119281</v>
      </c>
      <c r="O3289" t="b">
        <v>1</v>
      </c>
      <c r="P3289">
        <v>0</v>
      </c>
      <c r="Q3289" t="str" cm="1">
        <f t="array" ref="Q3289">_xlfn.IFS(Table1[[#This Row],[Wealthier_Winner]]=-1,"Wealthier Nation Loses",Table1[[#This Row],[Wealthier_Winner]]=0,"Tie",Table1[[#This Row],[Wealthier_Winner]]=1,"Wealthier Nation Wins")</f>
        <v>Tie</v>
      </c>
    </row>
    <row r="3290" spans="1:17" x14ac:dyDescent="0.2">
      <c r="A3290" s="1">
        <v>5153</v>
      </c>
      <c r="B3290" s="2">
        <v>38637</v>
      </c>
      <c r="C3290" s="7">
        <f>_xlfn.FLOOR.MATH(Table1[[#This Row],[year]],10)</f>
        <v>2000</v>
      </c>
      <c r="D3290" t="s">
        <v>18</v>
      </c>
      <c r="E3290" t="s">
        <v>527</v>
      </c>
      <c r="F3290">
        <v>2</v>
      </c>
      <c r="G3290">
        <v>1</v>
      </c>
      <c r="H3290" t="s">
        <v>224</v>
      </c>
      <c r="I3290" t="s">
        <v>685</v>
      </c>
      <c r="J3290" t="s">
        <v>18</v>
      </c>
      <c r="K3290" t="b">
        <v>0</v>
      </c>
      <c r="L3290">
        <v>2005</v>
      </c>
      <c r="M3290">
        <v>1864982261286</v>
      </c>
      <c r="N3290">
        <v>2988342907</v>
      </c>
      <c r="O3290" t="b">
        <v>1</v>
      </c>
      <c r="P3290">
        <v>1</v>
      </c>
      <c r="Q3290" t="str" cm="1">
        <f t="array" ref="Q3290">_xlfn.IFS(Table1[[#This Row],[Wealthier_Winner]]=-1,"Wealthier Nation Loses",Table1[[#This Row],[Wealthier_Winner]]=0,"Tie",Table1[[#This Row],[Wealthier_Winner]]=1,"Wealthier Nation Wins")</f>
        <v>Wealthier Nation Wins</v>
      </c>
    </row>
    <row r="3291" spans="1:17" x14ac:dyDescent="0.2">
      <c r="A3291" s="1">
        <v>5154</v>
      </c>
      <c r="B3291" s="2">
        <v>38637</v>
      </c>
      <c r="C3291" s="7">
        <f>_xlfn.FLOOR.MATH(Table1[[#This Row],[year]],10)</f>
        <v>2000</v>
      </c>
      <c r="D3291" t="s">
        <v>558</v>
      </c>
      <c r="E3291" t="s">
        <v>36</v>
      </c>
      <c r="F3291">
        <v>1</v>
      </c>
      <c r="G3291">
        <v>2</v>
      </c>
      <c r="H3291" t="s">
        <v>224</v>
      </c>
      <c r="I3291" t="s">
        <v>559</v>
      </c>
      <c r="J3291" t="s">
        <v>558</v>
      </c>
      <c r="K3291" t="b">
        <v>0</v>
      </c>
      <c r="L3291">
        <v>2005</v>
      </c>
      <c r="M3291">
        <v>57123671733</v>
      </c>
      <c r="N3291">
        <v>265150087711</v>
      </c>
      <c r="O3291" t="b">
        <v>1</v>
      </c>
      <c r="P3291">
        <v>1</v>
      </c>
      <c r="Q3291" t="str" cm="1">
        <f t="array" ref="Q3291">_xlfn.IFS(Table1[[#This Row],[Wealthier_Winner]]=-1,"Wealthier Nation Loses",Table1[[#This Row],[Wealthier_Winner]]=0,"Tie",Table1[[#This Row],[Wealthier_Winner]]=1,"Wealthier Nation Wins")</f>
        <v>Wealthier Nation Wins</v>
      </c>
    </row>
    <row r="3292" spans="1:17" x14ac:dyDescent="0.2">
      <c r="A3292" s="1">
        <v>5155</v>
      </c>
      <c r="B3292" s="2">
        <v>38637</v>
      </c>
      <c r="C3292" s="7">
        <f>_xlfn.FLOOR.MATH(Table1[[#This Row],[year]],10)</f>
        <v>2000</v>
      </c>
      <c r="D3292" t="s">
        <v>523</v>
      </c>
      <c r="E3292" t="s">
        <v>23</v>
      </c>
      <c r="F3292">
        <v>1</v>
      </c>
      <c r="G3292">
        <v>1</v>
      </c>
      <c r="H3292" t="s">
        <v>224</v>
      </c>
      <c r="I3292" t="s">
        <v>533</v>
      </c>
      <c r="J3292" t="s">
        <v>523</v>
      </c>
      <c r="K3292" t="b">
        <v>0</v>
      </c>
      <c r="L3292">
        <v>2005</v>
      </c>
      <c r="M3292">
        <v>26105207115</v>
      </c>
      <c r="N3292">
        <v>385714762230</v>
      </c>
      <c r="O3292" t="b">
        <v>1</v>
      </c>
      <c r="P3292">
        <v>0</v>
      </c>
      <c r="Q3292" t="str" cm="1">
        <f t="array" ref="Q3292">_xlfn.IFS(Table1[[#This Row],[Wealthier_Winner]]=-1,"Wealthier Nation Loses",Table1[[#This Row],[Wealthier_Winner]]=0,"Tie",Table1[[#This Row],[Wealthier_Winner]]=1,"Wealthier Nation Wins")</f>
        <v>Tie</v>
      </c>
    </row>
    <row r="3293" spans="1:17" x14ac:dyDescent="0.2">
      <c r="A3293" s="1">
        <v>5156</v>
      </c>
      <c r="B3293" s="2">
        <v>38637</v>
      </c>
      <c r="C3293" s="7">
        <f>_xlfn.FLOOR.MATH(Table1[[#This Row],[year]],10)</f>
        <v>2000</v>
      </c>
      <c r="D3293" t="s">
        <v>232</v>
      </c>
      <c r="E3293" t="s">
        <v>476</v>
      </c>
      <c r="F3293">
        <v>0</v>
      </c>
      <c r="G3293">
        <v>2</v>
      </c>
      <c r="H3293" t="s">
        <v>224</v>
      </c>
      <c r="I3293" t="s">
        <v>232</v>
      </c>
      <c r="J3293" t="s">
        <v>232</v>
      </c>
      <c r="K3293" t="b">
        <v>0</v>
      </c>
      <c r="L3293">
        <v>2005</v>
      </c>
      <c r="M3293">
        <v>37672280120</v>
      </c>
      <c r="N3293">
        <v>14109491356</v>
      </c>
      <c r="O3293" t="b">
        <v>1</v>
      </c>
      <c r="P3293">
        <v>-1</v>
      </c>
      <c r="Q3293" t="str" cm="1">
        <f t="array" ref="Q3293">_xlfn.IFS(Table1[[#This Row],[Wealthier_Winner]]=-1,"Wealthier Nation Loses",Table1[[#This Row],[Wealthier_Winner]]=0,"Tie",Table1[[#This Row],[Wealthier_Winner]]=1,"Wealthier Nation Wins")</f>
        <v>Wealthier Nation Loses</v>
      </c>
    </row>
    <row r="3294" spans="1:17" x14ac:dyDescent="0.2">
      <c r="A3294" s="1">
        <v>5157</v>
      </c>
      <c r="B3294" s="2">
        <v>38637</v>
      </c>
      <c r="C3294" s="7">
        <f>_xlfn.FLOOR.MATH(Table1[[#This Row],[year]],10)</f>
        <v>2000</v>
      </c>
      <c r="D3294" t="s">
        <v>303</v>
      </c>
      <c r="E3294" t="s">
        <v>33</v>
      </c>
      <c r="F3294">
        <v>1</v>
      </c>
      <c r="G3294">
        <v>1</v>
      </c>
      <c r="H3294" t="s">
        <v>224</v>
      </c>
      <c r="I3294" t="s">
        <v>399</v>
      </c>
      <c r="J3294" t="s">
        <v>303</v>
      </c>
      <c r="K3294" t="b">
        <v>0</v>
      </c>
      <c r="L3294">
        <v>2005</v>
      </c>
      <c r="M3294">
        <v>6393234992</v>
      </c>
      <c r="N3294">
        <v>29868657858</v>
      </c>
      <c r="O3294" t="b">
        <v>1</v>
      </c>
      <c r="P3294">
        <v>0</v>
      </c>
      <c r="Q3294" t="str" cm="1">
        <f t="array" ref="Q3294">_xlfn.IFS(Table1[[#This Row],[Wealthier_Winner]]=-1,"Wealthier Nation Loses",Table1[[#This Row],[Wealthier_Winner]]=0,"Tie",Table1[[#This Row],[Wealthier_Winner]]=1,"Wealthier Nation Wins")</f>
        <v>Tie</v>
      </c>
    </row>
    <row r="3295" spans="1:17" x14ac:dyDescent="0.2">
      <c r="A3295" s="1">
        <v>5158</v>
      </c>
      <c r="B3295" s="2">
        <v>38637</v>
      </c>
      <c r="C3295" s="7">
        <f>_xlfn.FLOOR.MATH(Table1[[#This Row],[year]],10)</f>
        <v>2000</v>
      </c>
      <c r="D3295" t="s">
        <v>27</v>
      </c>
      <c r="E3295" t="s">
        <v>502</v>
      </c>
      <c r="F3295">
        <v>0</v>
      </c>
      <c r="G3295">
        <v>0</v>
      </c>
      <c r="H3295" t="s">
        <v>224</v>
      </c>
      <c r="I3295" t="s">
        <v>263</v>
      </c>
      <c r="J3295" t="s">
        <v>27</v>
      </c>
      <c r="K3295" t="b">
        <v>0</v>
      </c>
      <c r="L3295">
        <v>2005</v>
      </c>
      <c r="M3295">
        <v>688133699635</v>
      </c>
      <c r="N3295">
        <v>6258602872</v>
      </c>
      <c r="O3295" t="b">
        <v>1</v>
      </c>
      <c r="P3295">
        <v>0</v>
      </c>
      <c r="Q3295" t="str" cm="1">
        <f t="array" ref="Q3295">_xlfn.IFS(Table1[[#This Row],[Wealthier_Winner]]=-1,"Wealthier Nation Loses",Table1[[#This Row],[Wealthier_Winner]]=0,"Tie",Table1[[#This Row],[Wealthier_Winner]]=1,"Wealthier Nation Wins")</f>
        <v>Tie</v>
      </c>
    </row>
    <row r="3296" spans="1:17" x14ac:dyDescent="0.2">
      <c r="A3296" s="1">
        <v>5159</v>
      </c>
      <c r="B3296" s="2">
        <v>38637</v>
      </c>
      <c r="C3296" s="7">
        <f>_xlfn.FLOOR.MATH(Table1[[#This Row],[year]],10)</f>
        <v>2000</v>
      </c>
      <c r="D3296" t="s">
        <v>35</v>
      </c>
      <c r="E3296" t="s">
        <v>15</v>
      </c>
      <c r="F3296">
        <v>0</v>
      </c>
      <c r="G3296">
        <v>1</v>
      </c>
      <c r="H3296" t="s">
        <v>224</v>
      </c>
      <c r="I3296" t="s">
        <v>250</v>
      </c>
      <c r="J3296" t="s">
        <v>35</v>
      </c>
      <c r="K3296" t="b">
        <v>0</v>
      </c>
      <c r="L3296">
        <v>2005</v>
      </c>
      <c r="M3296">
        <v>10737500188</v>
      </c>
      <c r="N3296">
        <v>145600529605</v>
      </c>
      <c r="O3296" t="b">
        <v>1</v>
      </c>
      <c r="P3296">
        <v>1</v>
      </c>
      <c r="Q3296" t="str" cm="1">
        <f t="array" ref="Q3296">_xlfn.IFS(Table1[[#This Row],[Wealthier_Winner]]=-1,"Wealthier Nation Loses",Table1[[#This Row],[Wealthier_Winner]]=0,"Tie",Table1[[#This Row],[Wealthier_Winner]]=1,"Wealthier Nation Wins")</f>
        <v>Wealthier Nation Wins</v>
      </c>
    </row>
    <row r="3297" spans="1:17" x14ac:dyDescent="0.2">
      <c r="A3297" s="1">
        <v>5160</v>
      </c>
      <c r="B3297" s="2">
        <v>38637</v>
      </c>
      <c r="C3297" s="7">
        <f>_xlfn.FLOOR.MATH(Table1[[#This Row],[year]],10)</f>
        <v>2000</v>
      </c>
      <c r="D3297" t="s">
        <v>31</v>
      </c>
      <c r="E3297" t="s">
        <v>47</v>
      </c>
      <c r="F3297">
        <v>4</v>
      </c>
      <c r="G3297">
        <v>1</v>
      </c>
      <c r="H3297" t="s">
        <v>224</v>
      </c>
      <c r="I3297" t="s">
        <v>686</v>
      </c>
      <c r="J3297" t="s">
        <v>31</v>
      </c>
      <c r="K3297" t="b">
        <v>0</v>
      </c>
      <c r="L3297">
        <v>2005</v>
      </c>
      <c r="M3297">
        <v>76060606060</v>
      </c>
      <c r="N3297">
        <v>9549122905</v>
      </c>
      <c r="O3297" t="b">
        <v>1</v>
      </c>
      <c r="P3297">
        <v>1</v>
      </c>
      <c r="Q3297" t="str" cm="1">
        <f t="array" ref="Q3297">_xlfn.IFS(Table1[[#This Row],[Wealthier_Winner]]=-1,"Wealthier Nation Loses",Table1[[#This Row],[Wealthier_Winner]]=0,"Tie",Table1[[#This Row],[Wealthier_Winner]]=1,"Wealthier Nation Wins")</f>
        <v>Wealthier Nation Wins</v>
      </c>
    </row>
    <row r="3298" spans="1:17" x14ac:dyDescent="0.2">
      <c r="A3298" s="1">
        <v>5161</v>
      </c>
      <c r="B3298" s="2">
        <v>38637</v>
      </c>
      <c r="C3298" s="7">
        <f>_xlfn.FLOOR.MATH(Table1[[#This Row],[year]],10)</f>
        <v>2000</v>
      </c>
      <c r="D3298" t="s">
        <v>38</v>
      </c>
      <c r="E3298" t="s">
        <v>525</v>
      </c>
      <c r="F3298">
        <v>3</v>
      </c>
      <c r="G3298">
        <v>0</v>
      </c>
      <c r="H3298" t="s">
        <v>224</v>
      </c>
      <c r="I3298" t="s">
        <v>292</v>
      </c>
      <c r="J3298" t="s">
        <v>38</v>
      </c>
      <c r="K3298" t="b">
        <v>0</v>
      </c>
      <c r="L3298">
        <v>2005</v>
      </c>
      <c r="M3298">
        <v>197253876704</v>
      </c>
      <c r="N3298">
        <v>16306935905</v>
      </c>
      <c r="O3298" t="b">
        <v>1</v>
      </c>
      <c r="P3298">
        <v>1</v>
      </c>
      <c r="Q3298" t="str" cm="1">
        <f t="array" ref="Q3298">_xlfn.IFS(Table1[[#This Row],[Wealthier_Winner]]=-1,"Wealthier Nation Loses",Table1[[#This Row],[Wealthier_Winner]]=0,"Tie",Table1[[#This Row],[Wealthier_Winner]]=1,"Wealthier Nation Wins")</f>
        <v>Wealthier Nation Wins</v>
      </c>
    </row>
    <row r="3299" spans="1:17" x14ac:dyDescent="0.2">
      <c r="A3299" s="1">
        <v>5162</v>
      </c>
      <c r="B3299" s="2">
        <v>38637</v>
      </c>
      <c r="C3299" s="7">
        <f>_xlfn.FLOOR.MATH(Table1[[#This Row],[year]],10)</f>
        <v>2000</v>
      </c>
      <c r="D3299" t="s">
        <v>549</v>
      </c>
      <c r="E3299" t="s">
        <v>21</v>
      </c>
      <c r="F3299">
        <v>0</v>
      </c>
      <c r="G3299">
        <v>6</v>
      </c>
      <c r="H3299" t="s">
        <v>224</v>
      </c>
      <c r="I3299" t="s">
        <v>555</v>
      </c>
      <c r="J3299" t="s">
        <v>549</v>
      </c>
      <c r="K3299" t="b">
        <v>0</v>
      </c>
      <c r="L3299">
        <v>2005</v>
      </c>
      <c r="M3299">
        <v>1786514058</v>
      </c>
      <c r="N3299">
        <v>1154667551775</v>
      </c>
      <c r="O3299" t="b">
        <v>1</v>
      </c>
      <c r="P3299">
        <v>1</v>
      </c>
      <c r="Q3299" t="str" cm="1">
        <f t="array" ref="Q3299">_xlfn.IFS(Table1[[#This Row],[Wealthier_Winner]]=-1,"Wealthier Nation Loses",Table1[[#This Row],[Wealthier_Winner]]=0,"Tie",Table1[[#This Row],[Wealthier_Winner]]=1,"Wealthier Nation Wins")</f>
        <v>Wealthier Nation Wins</v>
      </c>
    </row>
    <row r="3300" spans="1:17" x14ac:dyDescent="0.2">
      <c r="A3300" s="1">
        <v>5163</v>
      </c>
      <c r="B3300" s="2">
        <v>38637</v>
      </c>
      <c r="C3300" s="7">
        <f>_xlfn.FLOOR.MATH(Table1[[#This Row],[year]],10)</f>
        <v>2000</v>
      </c>
      <c r="D3300" t="s">
        <v>61</v>
      </c>
      <c r="E3300" t="s">
        <v>73</v>
      </c>
      <c r="F3300">
        <v>1</v>
      </c>
      <c r="G3300">
        <v>0</v>
      </c>
      <c r="H3300" t="s">
        <v>224</v>
      </c>
      <c r="I3300" t="s">
        <v>505</v>
      </c>
      <c r="J3300" t="s">
        <v>670</v>
      </c>
      <c r="K3300" t="b">
        <v>0</v>
      </c>
      <c r="L3300">
        <v>2005</v>
      </c>
      <c r="M3300">
        <v>28334256180</v>
      </c>
      <c r="N3300">
        <v>11222796336</v>
      </c>
      <c r="O3300" t="b">
        <v>1</v>
      </c>
      <c r="P3300">
        <v>1</v>
      </c>
      <c r="Q3300" t="str" cm="1">
        <f t="array" ref="Q3300">_xlfn.IFS(Table1[[#This Row],[Wealthier_Winner]]=-1,"Wealthier Nation Loses",Table1[[#This Row],[Wealthier_Winner]]=0,"Tie",Table1[[#This Row],[Wealthier_Winner]]=1,"Wealthier Nation Wins")</f>
        <v>Wealthier Nation Wins</v>
      </c>
    </row>
    <row r="3301" spans="1:17" x14ac:dyDescent="0.2">
      <c r="A3301" s="1">
        <v>5166</v>
      </c>
      <c r="B3301" s="2">
        <v>38637</v>
      </c>
      <c r="C3301" s="7">
        <f>_xlfn.FLOOR.MATH(Table1[[#This Row],[year]],10)</f>
        <v>2000</v>
      </c>
      <c r="D3301" t="s">
        <v>25</v>
      </c>
      <c r="E3301" t="s">
        <v>66</v>
      </c>
      <c r="F3301">
        <v>3</v>
      </c>
      <c r="G3301">
        <v>1</v>
      </c>
      <c r="H3301" t="s">
        <v>224</v>
      </c>
      <c r="I3301" t="s">
        <v>233</v>
      </c>
      <c r="J3301" t="s">
        <v>25</v>
      </c>
      <c r="K3301" t="b">
        <v>0</v>
      </c>
      <c r="L3301">
        <v>2005</v>
      </c>
      <c r="M3301">
        <v>391688455928</v>
      </c>
      <c r="N3301">
        <v>17146410560</v>
      </c>
      <c r="O3301" t="b">
        <v>1</v>
      </c>
      <c r="P3301">
        <v>1</v>
      </c>
      <c r="Q3301" t="str" cm="1">
        <f t="array" ref="Q3301">_xlfn.IFS(Table1[[#This Row],[Wealthier_Winner]]=-1,"Wealthier Nation Loses",Table1[[#This Row],[Wealthier_Winner]]=0,"Tie",Table1[[#This Row],[Wealthier_Winner]]=1,"Wealthier Nation Wins")</f>
        <v>Wealthier Nation Wins</v>
      </c>
    </row>
    <row r="3302" spans="1:17" x14ac:dyDescent="0.2">
      <c r="A3302" s="1">
        <v>5167</v>
      </c>
      <c r="B3302" s="2">
        <v>38637</v>
      </c>
      <c r="C3302" s="7">
        <f>_xlfn.FLOOR.MATH(Table1[[#This Row],[year]],10)</f>
        <v>2000</v>
      </c>
      <c r="D3302" t="s">
        <v>59</v>
      </c>
      <c r="E3302" t="s">
        <v>17</v>
      </c>
      <c r="F3302">
        <v>2</v>
      </c>
      <c r="G3302">
        <v>1</v>
      </c>
      <c r="H3302" t="s">
        <v>224</v>
      </c>
      <c r="I3302" t="s">
        <v>253</v>
      </c>
      <c r="J3302" t="s">
        <v>59</v>
      </c>
      <c r="K3302" t="b">
        <v>0</v>
      </c>
      <c r="L3302">
        <v>2005</v>
      </c>
      <c r="M3302">
        <v>15982389018</v>
      </c>
      <c r="N3302">
        <v>917571853529</v>
      </c>
      <c r="O3302" t="b">
        <v>1</v>
      </c>
      <c r="P3302">
        <v>-1</v>
      </c>
      <c r="Q3302" t="str" cm="1">
        <f t="array" ref="Q3302">_xlfn.IFS(Table1[[#This Row],[Wealthier_Winner]]=-1,"Wealthier Nation Loses",Table1[[#This Row],[Wealthier_Winner]]=0,"Tie",Table1[[#This Row],[Wealthier_Winner]]=1,"Wealthier Nation Wins")</f>
        <v>Wealthier Nation Loses</v>
      </c>
    </row>
    <row r="3303" spans="1:17" x14ac:dyDescent="0.2">
      <c r="A3303" s="1">
        <v>5168</v>
      </c>
      <c r="B3303" s="2">
        <v>38637</v>
      </c>
      <c r="C3303" s="7">
        <f>_xlfn.FLOOR.MATH(Table1[[#This Row],[year]],10)</f>
        <v>2000</v>
      </c>
      <c r="D3303" t="s">
        <v>26</v>
      </c>
      <c r="E3303" t="s">
        <v>19</v>
      </c>
      <c r="F3303">
        <v>1</v>
      </c>
      <c r="G3303">
        <v>0</v>
      </c>
      <c r="H3303" t="s">
        <v>224</v>
      </c>
      <c r="I3303" t="s">
        <v>247</v>
      </c>
      <c r="J3303" t="s">
        <v>26</v>
      </c>
      <c r="K3303" t="b">
        <v>0</v>
      </c>
      <c r="L3303">
        <v>2005</v>
      </c>
      <c r="M3303">
        <v>17362857683</v>
      </c>
      <c r="N3303">
        <v>198737095012</v>
      </c>
      <c r="O3303" t="b">
        <v>1</v>
      </c>
      <c r="P3303">
        <v>-1</v>
      </c>
      <c r="Q3303" t="str" cm="1">
        <f t="array" ref="Q3303">_xlfn.IFS(Table1[[#This Row],[Wealthier_Winner]]=-1,"Wealthier Nation Loses",Table1[[#This Row],[Wealthier_Winner]]=0,"Tie",Table1[[#This Row],[Wealthier_Winner]]=1,"Wealthier Nation Wins")</f>
        <v>Wealthier Nation Loses</v>
      </c>
    </row>
    <row r="3304" spans="1:17" x14ac:dyDescent="0.2">
      <c r="A3304" s="1">
        <v>5169</v>
      </c>
      <c r="B3304" s="2">
        <v>38637</v>
      </c>
      <c r="C3304" s="7">
        <f>_xlfn.FLOOR.MATH(Table1[[#This Row],[year]],10)</f>
        <v>2000</v>
      </c>
      <c r="D3304" t="s">
        <v>41</v>
      </c>
      <c r="E3304" t="s">
        <v>67</v>
      </c>
      <c r="F3304">
        <v>2</v>
      </c>
      <c r="G3304">
        <v>0</v>
      </c>
      <c r="H3304" t="s">
        <v>224</v>
      </c>
      <c r="I3304" t="s">
        <v>123</v>
      </c>
      <c r="J3304" t="s">
        <v>41</v>
      </c>
      <c r="K3304" t="b">
        <v>0</v>
      </c>
      <c r="L3304">
        <v>2005</v>
      </c>
      <c r="M3304">
        <v>13039199193000</v>
      </c>
      <c r="N3304">
        <v>16623906739</v>
      </c>
      <c r="O3304" t="b">
        <v>1</v>
      </c>
      <c r="P3304">
        <v>1</v>
      </c>
      <c r="Q3304" t="str" cm="1">
        <f t="array" ref="Q3304">_xlfn.IFS(Table1[[#This Row],[Wealthier_Winner]]=-1,"Wealthier Nation Loses",Table1[[#This Row],[Wealthier_Winner]]=0,"Tie",Table1[[#This Row],[Wealthier_Winner]]=1,"Wealthier Nation Wins")</f>
        <v>Wealthier Nation Wins</v>
      </c>
    </row>
    <row r="3305" spans="1:17" x14ac:dyDescent="0.2">
      <c r="A3305" s="1">
        <v>5174</v>
      </c>
      <c r="B3305" s="2">
        <v>38668</v>
      </c>
      <c r="C3305" s="7">
        <f>_xlfn.FLOOR.MATH(Table1[[#This Row],[year]],10)</f>
        <v>2000</v>
      </c>
      <c r="D3305" t="s">
        <v>59</v>
      </c>
      <c r="E3305" t="s">
        <v>361</v>
      </c>
      <c r="F3305">
        <v>1</v>
      </c>
      <c r="G3305">
        <v>1</v>
      </c>
      <c r="H3305" t="s">
        <v>224</v>
      </c>
      <c r="I3305" t="s">
        <v>253</v>
      </c>
      <c r="J3305" t="s">
        <v>59</v>
      </c>
      <c r="K3305" t="b">
        <v>0</v>
      </c>
      <c r="L3305">
        <v>2005</v>
      </c>
      <c r="M3305">
        <v>15982389018</v>
      </c>
      <c r="N3305">
        <v>15968723404</v>
      </c>
      <c r="O3305" t="b">
        <v>0</v>
      </c>
      <c r="P3305">
        <v>0</v>
      </c>
      <c r="Q3305" t="str" cm="1">
        <f t="array" ref="Q3305">_xlfn.IFS(Table1[[#This Row],[Wealthier_Winner]]=-1,"Wealthier Nation Loses",Table1[[#This Row],[Wealthier_Winner]]=0,"Tie",Table1[[#This Row],[Wealthier_Winner]]=1,"Wealthier Nation Wins")</f>
        <v>Tie</v>
      </c>
    </row>
    <row r="3306" spans="1:17" x14ac:dyDescent="0.2">
      <c r="A3306" s="1">
        <v>5175</v>
      </c>
      <c r="B3306" s="2">
        <v>38668</v>
      </c>
      <c r="C3306" s="7">
        <f>_xlfn.FLOOR.MATH(Table1[[#This Row],[year]],10)</f>
        <v>2000</v>
      </c>
      <c r="D3306" t="s">
        <v>26</v>
      </c>
      <c r="E3306" t="s">
        <v>28</v>
      </c>
      <c r="F3306">
        <v>1</v>
      </c>
      <c r="G3306">
        <v>0</v>
      </c>
      <c r="H3306" t="s">
        <v>224</v>
      </c>
      <c r="I3306" t="s">
        <v>247</v>
      </c>
      <c r="J3306" t="s">
        <v>26</v>
      </c>
      <c r="K3306" t="b">
        <v>0</v>
      </c>
      <c r="L3306">
        <v>2005</v>
      </c>
      <c r="M3306">
        <v>17362857683</v>
      </c>
      <c r="N3306">
        <v>696811489612</v>
      </c>
      <c r="O3306" t="b">
        <v>1</v>
      </c>
      <c r="P3306">
        <v>-1</v>
      </c>
      <c r="Q3306" t="str" cm="1">
        <f t="array" ref="Q3306">_xlfn.IFS(Table1[[#This Row],[Wealthier_Winner]]=-1,"Wealthier Nation Loses",Table1[[#This Row],[Wealthier_Winner]]=0,"Tie",Table1[[#This Row],[Wealthier_Winner]]=1,"Wealthier Nation Wins")</f>
        <v>Wealthier Nation Loses</v>
      </c>
    </row>
    <row r="3307" spans="1:17" x14ac:dyDescent="0.2">
      <c r="A3307" s="1">
        <v>5176</v>
      </c>
      <c r="B3307" s="2">
        <v>38672</v>
      </c>
      <c r="C3307" s="7">
        <f>_xlfn.FLOOR.MATH(Table1[[#This Row],[year]],10)</f>
        <v>2000</v>
      </c>
      <c r="D3307" t="s">
        <v>28</v>
      </c>
      <c r="E3307" t="s">
        <v>26</v>
      </c>
      <c r="F3307">
        <v>1</v>
      </c>
      <c r="G3307">
        <v>0</v>
      </c>
      <c r="H3307" t="s">
        <v>224</v>
      </c>
      <c r="I3307" t="s">
        <v>301</v>
      </c>
      <c r="J3307" t="s">
        <v>28</v>
      </c>
      <c r="K3307" t="b">
        <v>0</v>
      </c>
      <c r="L3307">
        <v>2005</v>
      </c>
      <c r="M3307">
        <v>696811489612</v>
      </c>
      <c r="N3307">
        <v>17362857683</v>
      </c>
      <c r="O3307" t="b">
        <v>1</v>
      </c>
      <c r="P3307">
        <v>1</v>
      </c>
      <c r="Q3307" t="str" cm="1">
        <f t="array" ref="Q3307">_xlfn.IFS(Table1[[#This Row],[Wealthier_Winner]]=-1,"Wealthier Nation Loses",Table1[[#This Row],[Wealthier_Winner]]=0,"Tie",Table1[[#This Row],[Wealthier_Winner]]=1,"Wealthier Nation Wins")</f>
        <v>Wealthier Nation Wins</v>
      </c>
    </row>
    <row r="3308" spans="1:17" x14ac:dyDescent="0.2">
      <c r="A3308" s="1">
        <v>5177</v>
      </c>
      <c r="B3308" s="2">
        <v>38672</v>
      </c>
      <c r="C3308" s="7">
        <f>_xlfn.FLOOR.MATH(Table1[[#This Row],[year]],10)</f>
        <v>2000</v>
      </c>
      <c r="D3308" t="s">
        <v>361</v>
      </c>
      <c r="E3308" t="s">
        <v>59</v>
      </c>
      <c r="F3308">
        <v>0</v>
      </c>
      <c r="G3308">
        <v>1</v>
      </c>
      <c r="H3308" t="s">
        <v>224</v>
      </c>
      <c r="I3308" t="s">
        <v>419</v>
      </c>
      <c r="J3308" t="s">
        <v>361</v>
      </c>
      <c r="K3308" t="b">
        <v>0</v>
      </c>
      <c r="L3308">
        <v>2005</v>
      </c>
      <c r="M3308">
        <v>15968723404</v>
      </c>
      <c r="N3308">
        <v>15982389018</v>
      </c>
      <c r="O3308" t="b">
        <v>0</v>
      </c>
      <c r="P3308">
        <v>1</v>
      </c>
      <c r="Q3308" t="str" cm="1">
        <f t="array" ref="Q3308">_xlfn.IFS(Table1[[#This Row],[Wealthier_Winner]]=-1,"Wealthier Nation Loses",Table1[[#This Row],[Wealthier_Winner]]=0,"Tie",Table1[[#This Row],[Wealthier_Winner]]=1,"Wealthier Nation Wins")</f>
        <v>Wealthier Nation Wins</v>
      </c>
    </row>
    <row r="3309" spans="1:17" x14ac:dyDescent="0.2">
      <c r="A3309" s="1">
        <v>5181</v>
      </c>
      <c r="B3309" s="2">
        <v>38877</v>
      </c>
      <c r="C3309" s="7">
        <f>_xlfn.FLOOR.MATH(Table1[[#This Row],[year]],10)</f>
        <v>2000</v>
      </c>
      <c r="D3309" t="s">
        <v>16</v>
      </c>
      <c r="E3309" t="s">
        <v>56</v>
      </c>
      <c r="F3309">
        <v>4</v>
      </c>
      <c r="G3309">
        <v>2</v>
      </c>
      <c r="H3309" t="s">
        <v>74</v>
      </c>
      <c r="I3309" t="s">
        <v>87</v>
      </c>
      <c r="J3309" t="s">
        <v>16</v>
      </c>
      <c r="K3309" t="b">
        <v>0</v>
      </c>
      <c r="L3309">
        <v>2006</v>
      </c>
      <c r="M3309">
        <v>3046308753670</v>
      </c>
      <c r="N3309">
        <v>22715540324</v>
      </c>
      <c r="O3309" t="b">
        <v>1</v>
      </c>
      <c r="P3309">
        <v>1</v>
      </c>
      <c r="Q3309" t="str" cm="1">
        <f t="array" ref="Q3309">_xlfn.IFS(Table1[[#This Row],[Wealthier_Winner]]=-1,"Wealthier Nation Loses",Table1[[#This Row],[Wealthier_Winner]]=0,"Tie",Table1[[#This Row],[Wealthier_Winner]]=1,"Wealthier Nation Wins")</f>
        <v>Wealthier Nation Wins</v>
      </c>
    </row>
    <row r="3310" spans="1:17" x14ac:dyDescent="0.2">
      <c r="A3310" s="1">
        <v>5182</v>
      </c>
      <c r="B3310" s="2">
        <v>38877</v>
      </c>
      <c r="C3310" s="7">
        <f>_xlfn.FLOOR.MATH(Table1[[#This Row],[year]],10)</f>
        <v>2000</v>
      </c>
      <c r="D3310" t="s">
        <v>58</v>
      </c>
      <c r="E3310" t="s">
        <v>57</v>
      </c>
      <c r="F3310">
        <v>0</v>
      </c>
      <c r="G3310">
        <v>2</v>
      </c>
      <c r="H3310" t="s">
        <v>74</v>
      </c>
      <c r="I3310" t="s">
        <v>92</v>
      </c>
      <c r="J3310" t="s">
        <v>16</v>
      </c>
      <c r="K3310" t="b">
        <v>1</v>
      </c>
      <c r="L3310">
        <v>2006</v>
      </c>
      <c r="M3310">
        <v>345897630736</v>
      </c>
      <c r="N3310">
        <v>45690762000</v>
      </c>
      <c r="O3310" t="b">
        <v>1</v>
      </c>
      <c r="P3310">
        <v>-1</v>
      </c>
      <c r="Q3310" t="str" cm="1">
        <f t="array" ref="Q3310">_xlfn.IFS(Table1[[#This Row],[Wealthier_Winner]]=-1,"Wealthier Nation Loses",Table1[[#This Row],[Wealthier_Winner]]=0,"Tie",Table1[[#This Row],[Wealthier_Winner]]=1,"Wealthier Nation Wins")</f>
        <v>Wealthier Nation Loses</v>
      </c>
    </row>
    <row r="3311" spans="1:17" x14ac:dyDescent="0.2">
      <c r="A3311" s="1">
        <v>5184</v>
      </c>
      <c r="B3311" s="2">
        <v>38878</v>
      </c>
      <c r="C3311" s="7">
        <f>_xlfn.FLOOR.MATH(Table1[[#This Row],[year]],10)</f>
        <v>2000</v>
      </c>
      <c r="D3311" t="s">
        <v>194</v>
      </c>
      <c r="E3311" t="s">
        <v>35</v>
      </c>
      <c r="F3311">
        <v>1</v>
      </c>
      <c r="G3311">
        <v>0</v>
      </c>
      <c r="H3311" t="s">
        <v>74</v>
      </c>
      <c r="I3311" t="s">
        <v>159</v>
      </c>
      <c r="J3311" t="s">
        <v>16</v>
      </c>
      <c r="K3311" t="b">
        <v>1</v>
      </c>
      <c r="L3311">
        <v>2006</v>
      </c>
      <c r="M3311">
        <v>2719558417663</v>
      </c>
      <c r="N3311">
        <v>13429430050</v>
      </c>
      <c r="O3311" t="b">
        <v>1</v>
      </c>
      <c r="P3311">
        <v>1</v>
      </c>
      <c r="Q3311" t="str" cm="1">
        <f t="array" ref="Q3311">_xlfn.IFS(Table1[[#This Row],[Wealthier_Winner]]=-1,"Wealthier Nation Loses",Table1[[#This Row],[Wealthier_Winner]]=0,"Tie",Table1[[#This Row],[Wealthier_Winner]]=1,"Wealthier Nation Wins")</f>
        <v>Wealthier Nation Wins</v>
      </c>
    </row>
    <row r="3312" spans="1:17" x14ac:dyDescent="0.2">
      <c r="A3312" s="1">
        <v>5185</v>
      </c>
      <c r="B3312" s="2">
        <v>38878</v>
      </c>
      <c r="C3312" s="7">
        <f>_xlfn.FLOOR.MATH(Table1[[#This Row],[year]],10)</f>
        <v>2000</v>
      </c>
      <c r="D3312" t="s">
        <v>59</v>
      </c>
      <c r="E3312" t="s">
        <v>25</v>
      </c>
      <c r="F3312">
        <v>0</v>
      </c>
      <c r="G3312">
        <v>0</v>
      </c>
      <c r="H3312" t="s">
        <v>74</v>
      </c>
      <c r="I3312" t="s">
        <v>91</v>
      </c>
      <c r="J3312" t="s">
        <v>16</v>
      </c>
      <c r="K3312" t="b">
        <v>1</v>
      </c>
      <c r="L3312">
        <v>2006</v>
      </c>
      <c r="M3312">
        <v>18369361094</v>
      </c>
      <c r="N3312">
        <v>422528394459</v>
      </c>
      <c r="O3312" t="b">
        <v>1</v>
      </c>
      <c r="P3312">
        <v>0</v>
      </c>
      <c r="Q3312" t="str" cm="1">
        <f t="array" ref="Q3312">_xlfn.IFS(Table1[[#This Row],[Wealthier_Winner]]=-1,"Wealthier Nation Loses",Table1[[#This Row],[Wealthier_Winner]]=0,"Tie",Table1[[#This Row],[Wealthier_Winner]]=1,"Wealthier Nation Wins")</f>
        <v>Tie</v>
      </c>
    </row>
    <row r="3313" spans="1:17" x14ac:dyDescent="0.2">
      <c r="A3313" s="1">
        <v>5186</v>
      </c>
      <c r="B3313" s="2">
        <v>38879</v>
      </c>
      <c r="C3313" s="7">
        <f>_xlfn.FLOOR.MATH(Table1[[#This Row],[year]],10)</f>
        <v>2000</v>
      </c>
      <c r="D3313" t="s">
        <v>60</v>
      </c>
      <c r="E3313" t="s">
        <v>38</v>
      </c>
      <c r="F3313">
        <v>0</v>
      </c>
      <c r="G3313">
        <v>1</v>
      </c>
      <c r="H3313" t="s">
        <v>74</v>
      </c>
      <c r="I3313" t="s">
        <v>155</v>
      </c>
      <c r="J3313" t="s">
        <v>16</v>
      </c>
      <c r="K3313" t="b">
        <v>1</v>
      </c>
      <c r="L3313">
        <v>2006</v>
      </c>
      <c r="M3313">
        <v>58653659979</v>
      </c>
      <c r="N3313">
        <v>208756449275</v>
      </c>
      <c r="O3313" t="b">
        <v>1</v>
      </c>
      <c r="P3313">
        <v>1</v>
      </c>
      <c r="Q3313" t="str" cm="1">
        <f t="array" ref="Q3313">_xlfn.IFS(Table1[[#This Row],[Wealthier_Winner]]=-1,"Wealthier Nation Loses",Table1[[#This Row],[Wealthier_Winner]]=0,"Tie",Table1[[#This Row],[Wealthier_Winner]]=1,"Wealthier Nation Wins")</f>
        <v>Wealthier Nation Wins</v>
      </c>
    </row>
    <row r="3314" spans="1:17" x14ac:dyDescent="0.2">
      <c r="A3314" s="1">
        <v>5187</v>
      </c>
      <c r="B3314" s="2">
        <v>38879</v>
      </c>
      <c r="C3314" s="7">
        <f>_xlfn.FLOOR.MATH(Table1[[#This Row],[year]],10)</f>
        <v>2000</v>
      </c>
      <c r="D3314" t="s">
        <v>17</v>
      </c>
      <c r="E3314" t="s">
        <v>210</v>
      </c>
      <c r="F3314">
        <v>3</v>
      </c>
      <c r="G3314">
        <v>1</v>
      </c>
      <c r="H3314" t="s">
        <v>74</v>
      </c>
      <c r="I3314" t="s">
        <v>158</v>
      </c>
      <c r="J3314" t="s">
        <v>16</v>
      </c>
      <c r="K3314" t="b">
        <v>1</v>
      </c>
      <c r="L3314">
        <v>2006</v>
      </c>
      <c r="M3314">
        <v>1020265057882</v>
      </c>
      <c r="N3314">
        <v>265602187403</v>
      </c>
      <c r="O3314" t="b">
        <v>1</v>
      </c>
      <c r="P3314">
        <v>1</v>
      </c>
      <c r="Q3314" t="str" cm="1">
        <f t="array" ref="Q3314">_xlfn.IFS(Table1[[#This Row],[Wealthier_Winner]]=-1,"Wealthier Nation Loses",Table1[[#This Row],[Wealthier_Winner]]=0,"Tie",Table1[[#This Row],[Wealthier_Winner]]=1,"Wealthier Nation Wins")</f>
        <v>Wealthier Nation Wins</v>
      </c>
    </row>
    <row r="3315" spans="1:17" x14ac:dyDescent="0.2">
      <c r="A3315" s="1">
        <v>5188</v>
      </c>
      <c r="B3315" s="2">
        <v>38879</v>
      </c>
      <c r="C3315" s="7">
        <f>_xlfn.FLOOR.MATH(Table1[[#This Row],[year]],10)</f>
        <v>2000</v>
      </c>
      <c r="D3315" t="s">
        <v>61</v>
      </c>
      <c r="E3315" t="s">
        <v>27</v>
      </c>
      <c r="F3315">
        <v>0</v>
      </c>
      <c r="G3315">
        <v>1</v>
      </c>
      <c r="H3315" t="s">
        <v>74</v>
      </c>
      <c r="I3315" t="s">
        <v>156</v>
      </c>
      <c r="J3315" t="s">
        <v>16</v>
      </c>
      <c r="K3315" t="b">
        <v>1</v>
      </c>
      <c r="L3315">
        <v>2006</v>
      </c>
      <c r="M3315">
        <v>33298057361</v>
      </c>
      <c r="N3315">
        <v>737593995289</v>
      </c>
      <c r="O3315" t="b">
        <v>1</v>
      </c>
      <c r="P3315">
        <v>1</v>
      </c>
      <c r="Q3315" t="str" cm="1">
        <f t="array" ref="Q3315">_xlfn.IFS(Table1[[#This Row],[Wealthier_Winner]]=-1,"Wealthier Nation Loses",Table1[[#This Row],[Wealthier_Winner]]=0,"Tie",Table1[[#This Row],[Wealthier_Winner]]=1,"Wealthier Nation Wins")</f>
        <v>Wealthier Nation Wins</v>
      </c>
    </row>
    <row r="3316" spans="1:17" x14ac:dyDescent="0.2">
      <c r="A3316" s="1">
        <v>5189</v>
      </c>
      <c r="B3316" s="2">
        <v>38880</v>
      </c>
      <c r="C3316" s="7">
        <f>_xlfn.FLOOR.MATH(Table1[[#This Row],[year]],10)</f>
        <v>2000</v>
      </c>
      <c r="D3316" t="s">
        <v>28</v>
      </c>
      <c r="E3316" t="s">
        <v>51</v>
      </c>
      <c r="F3316">
        <v>3</v>
      </c>
      <c r="G3316">
        <v>1</v>
      </c>
      <c r="H3316" t="s">
        <v>74</v>
      </c>
      <c r="I3316" t="s">
        <v>157</v>
      </c>
      <c r="J3316" t="s">
        <v>16</v>
      </c>
      <c r="K3316" t="b">
        <v>1</v>
      </c>
      <c r="L3316">
        <v>2006</v>
      </c>
      <c r="M3316">
        <v>749708370332</v>
      </c>
      <c r="N3316">
        <v>4601663122649</v>
      </c>
      <c r="O3316" t="b">
        <v>1</v>
      </c>
      <c r="P3316">
        <v>-1</v>
      </c>
      <c r="Q3316" t="str" cm="1">
        <f t="array" ref="Q3316">_xlfn.IFS(Table1[[#This Row],[Wealthier_Winner]]=-1,"Wealthier Nation Loses",Table1[[#This Row],[Wealthier_Winner]]=0,"Tie",Table1[[#This Row],[Wealthier_Winner]]=1,"Wealthier Nation Wins")</f>
        <v>Wealthier Nation Loses</v>
      </c>
    </row>
    <row r="3317" spans="1:17" x14ac:dyDescent="0.2">
      <c r="A3317" s="1">
        <v>5190</v>
      </c>
      <c r="B3317" s="2">
        <v>38880</v>
      </c>
      <c r="C3317" s="7">
        <f>_xlfn.FLOOR.MATH(Table1[[#This Row],[year]],10)</f>
        <v>2000</v>
      </c>
      <c r="D3317" t="s">
        <v>18</v>
      </c>
      <c r="E3317" t="s">
        <v>63</v>
      </c>
      <c r="F3317">
        <v>2</v>
      </c>
      <c r="G3317">
        <v>0</v>
      </c>
      <c r="H3317" t="s">
        <v>74</v>
      </c>
      <c r="I3317" t="s">
        <v>88</v>
      </c>
      <c r="J3317" t="s">
        <v>16</v>
      </c>
      <c r="K3317" t="b">
        <v>1</v>
      </c>
      <c r="L3317">
        <v>2006</v>
      </c>
      <c r="M3317">
        <v>1958563654385</v>
      </c>
      <c r="N3317">
        <v>20885037596</v>
      </c>
      <c r="O3317" t="b">
        <v>1</v>
      </c>
      <c r="P3317">
        <v>1</v>
      </c>
      <c r="Q3317" t="str" cm="1">
        <f t="array" ref="Q3317">_xlfn.IFS(Table1[[#This Row],[Wealthier_Winner]]=-1,"Wealthier Nation Loses",Table1[[#This Row],[Wealthier_Winner]]=0,"Tie",Table1[[#This Row],[Wealthier_Winner]]=1,"Wealthier Nation Wins")</f>
        <v>Wealthier Nation Wins</v>
      </c>
    </row>
    <row r="3318" spans="1:17" x14ac:dyDescent="0.2">
      <c r="A3318" s="1">
        <v>5192</v>
      </c>
      <c r="B3318" s="2">
        <v>38881</v>
      </c>
      <c r="C3318" s="7">
        <f>_xlfn.FLOOR.MATH(Table1[[#This Row],[year]],10)</f>
        <v>2000</v>
      </c>
      <c r="D3318" t="s">
        <v>13</v>
      </c>
      <c r="E3318" t="s">
        <v>52</v>
      </c>
      <c r="F3318">
        <v>1</v>
      </c>
      <c r="G3318">
        <v>0</v>
      </c>
      <c r="H3318" t="s">
        <v>74</v>
      </c>
      <c r="I3318" t="s">
        <v>86</v>
      </c>
      <c r="J3318" t="s">
        <v>16</v>
      </c>
      <c r="K3318" t="b">
        <v>1</v>
      </c>
      <c r="L3318">
        <v>2006</v>
      </c>
      <c r="M3318">
        <v>1107626711163</v>
      </c>
      <c r="N3318">
        <v>49583544860</v>
      </c>
      <c r="O3318" t="b">
        <v>1</v>
      </c>
      <c r="P3318">
        <v>1</v>
      </c>
      <c r="Q3318" t="str" cm="1">
        <f t="array" ref="Q3318">_xlfn.IFS(Table1[[#This Row],[Wealthier_Winner]]=-1,"Wealthier Nation Loses",Table1[[#This Row],[Wealthier_Winner]]=0,"Tie",Table1[[#This Row],[Wealthier_Winner]]=1,"Wealthier Nation Wins")</f>
        <v>Wealthier Nation Wins</v>
      </c>
    </row>
    <row r="3319" spans="1:17" x14ac:dyDescent="0.2">
      <c r="A3319" s="1">
        <v>5193</v>
      </c>
      <c r="B3319" s="2">
        <v>38881</v>
      </c>
      <c r="C3319" s="7">
        <f>_xlfn.FLOOR.MATH(Table1[[#This Row],[year]],10)</f>
        <v>2000</v>
      </c>
      <c r="D3319" t="s">
        <v>20</v>
      </c>
      <c r="E3319" t="s">
        <v>46</v>
      </c>
      <c r="F3319">
        <v>0</v>
      </c>
      <c r="G3319">
        <v>0</v>
      </c>
      <c r="H3319" t="s">
        <v>74</v>
      </c>
      <c r="I3319" t="s">
        <v>90</v>
      </c>
      <c r="J3319" t="s">
        <v>16</v>
      </c>
      <c r="K3319" t="b">
        <v>1</v>
      </c>
      <c r="L3319">
        <v>2006</v>
      </c>
      <c r="M3319">
        <v>2317861544690</v>
      </c>
      <c r="N3319">
        <v>441634672196</v>
      </c>
      <c r="O3319" t="b">
        <v>1</v>
      </c>
      <c r="P3319">
        <v>0</v>
      </c>
      <c r="Q3319" t="str" cm="1">
        <f t="array" ref="Q3319">_xlfn.IFS(Table1[[#This Row],[Wealthier_Winner]]=-1,"Wealthier Nation Loses",Table1[[#This Row],[Wealthier_Winner]]=0,"Tie",Table1[[#This Row],[Wealthier_Winner]]=1,"Wealthier Nation Wins")</f>
        <v>Tie</v>
      </c>
    </row>
    <row r="3320" spans="1:17" x14ac:dyDescent="0.2">
      <c r="A3320" s="1">
        <v>5194</v>
      </c>
      <c r="B3320" s="2">
        <v>38881</v>
      </c>
      <c r="C3320" s="7">
        <f>_xlfn.FLOOR.MATH(Table1[[#This Row],[year]],10)</f>
        <v>2000</v>
      </c>
      <c r="D3320" t="s">
        <v>195</v>
      </c>
      <c r="E3320" t="s">
        <v>62</v>
      </c>
      <c r="F3320">
        <v>2</v>
      </c>
      <c r="G3320">
        <v>1</v>
      </c>
      <c r="H3320" t="s">
        <v>74</v>
      </c>
      <c r="I3320" t="s">
        <v>159</v>
      </c>
      <c r="J3320" t="s">
        <v>16</v>
      </c>
      <c r="K3320" t="b">
        <v>1</v>
      </c>
      <c r="L3320">
        <v>2006</v>
      </c>
      <c r="M3320">
        <v>1095175538508</v>
      </c>
      <c r="N3320">
        <v>3320907721</v>
      </c>
      <c r="O3320" t="b">
        <v>1</v>
      </c>
      <c r="P3320">
        <v>1</v>
      </c>
      <c r="Q3320" t="str" cm="1">
        <f t="array" ref="Q3320">_xlfn.IFS(Table1[[#This Row],[Wealthier_Winner]]=-1,"Wealthier Nation Loses",Table1[[#This Row],[Wealthier_Winner]]=0,"Tie",Table1[[#This Row],[Wealthier_Winner]]=1,"Wealthier Nation Wins")</f>
        <v>Wealthier Nation Wins</v>
      </c>
    </row>
    <row r="3321" spans="1:17" x14ac:dyDescent="0.2">
      <c r="A3321" s="1">
        <v>5195</v>
      </c>
      <c r="B3321" s="2">
        <v>38882</v>
      </c>
      <c r="C3321" s="7">
        <f>_xlfn.FLOOR.MATH(Table1[[#This Row],[year]],10)</f>
        <v>2000</v>
      </c>
      <c r="D3321" t="s">
        <v>16</v>
      </c>
      <c r="E3321" t="s">
        <v>58</v>
      </c>
      <c r="F3321">
        <v>1</v>
      </c>
      <c r="G3321">
        <v>0</v>
      </c>
      <c r="H3321" t="s">
        <v>74</v>
      </c>
      <c r="I3321" t="s">
        <v>91</v>
      </c>
      <c r="J3321" t="s">
        <v>16</v>
      </c>
      <c r="K3321" t="b">
        <v>0</v>
      </c>
      <c r="L3321">
        <v>2006</v>
      </c>
      <c r="M3321">
        <v>3046308753670</v>
      </c>
      <c r="N3321">
        <v>345897630736</v>
      </c>
      <c r="O3321" t="b">
        <v>1</v>
      </c>
      <c r="P3321">
        <v>1</v>
      </c>
      <c r="Q3321" t="str" cm="1">
        <f t="array" ref="Q3321">_xlfn.IFS(Table1[[#This Row],[Wealthier_Winner]]=-1,"Wealthier Nation Loses",Table1[[#This Row],[Wealthier_Winner]]=0,"Tie",Table1[[#This Row],[Wealthier_Winner]]=1,"Wealthier Nation Wins")</f>
        <v>Wealthier Nation Wins</v>
      </c>
    </row>
    <row r="3322" spans="1:17" x14ac:dyDescent="0.2">
      <c r="A3322" s="1">
        <v>5196</v>
      </c>
      <c r="B3322" s="2">
        <v>38882</v>
      </c>
      <c r="C3322" s="7">
        <f>_xlfn.FLOOR.MATH(Table1[[#This Row],[year]],10)</f>
        <v>2000</v>
      </c>
      <c r="D3322" t="s">
        <v>21</v>
      </c>
      <c r="E3322" t="s">
        <v>64</v>
      </c>
      <c r="F3322">
        <v>4</v>
      </c>
      <c r="G3322">
        <v>0</v>
      </c>
      <c r="H3322" t="s">
        <v>74</v>
      </c>
      <c r="I3322" t="s">
        <v>156</v>
      </c>
      <c r="J3322" t="s">
        <v>16</v>
      </c>
      <c r="K3322" t="b">
        <v>1</v>
      </c>
      <c r="L3322">
        <v>2006</v>
      </c>
      <c r="M3322">
        <v>1261846683275</v>
      </c>
      <c r="N3322">
        <v>111884752475</v>
      </c>
      <c r="O3322" t="b">
        <v>1</v>
      </c>
      <c r="P3322">
        <v>1</v>
      </c>
      <c r="Q3322" t="str" cm="1">
        <f t="array" ref="Q3322">_xlfn.IFS(Table1[[#This Row],[Wealthier_Winner]]=-1,"Wealthier Nation Loses",Table1[[#This Row],[Wealthier_Winner]]=0,"Tie",Table1[[#This Row],[Wealthier_Winner]]=1,"Wealthier Nation Wins")</f>
        <v>Wealthier Nation Wins</v>
      </c>
    </row>
    <row r="3323" spans="1:17" x14ac:dyDescent="0.2">
      <c r="A3323" s="1">
        <v>5197</v>
      </c>
      <c r="B3323" s="2">
        <v>38882</v>
      </c>
      <c r="C3323" s="7">
        <f>_xlfn.FLOOR.MATH(Table1[[#This Row],[year]],10)</f>
        <v>2000</v>
      </c>
      <c r="D3323" t="s">
        <v>53</v>
      </c>
      <c r="E3323" t="s">
        <v>45</v>
      </c>
      <c r="F3323">
        <v>2</v>
      </c>
      <c r="G3323">
        <v>2</v>
      </c>
      <c r="H3323" t="s">
        <v>74</v>
      </c>
      <c r="I3323" t="s">
        <v>87</v>
      </c>
      <c r="J3323" t="s">
        <v>16</v>
      </c>
      <c r="K3323" t="b">
        <v>1</v>
      </c>
      <c r="L3323">
        <v>2006</v>
      </c>
      <c r="M3323">
        <v>34376664600</v>
      </c>
      <c r="N3323">
        <v>376900133511</v>
      </c>
      <c r="O3323" t="b">
        <v>1</v>
      </c>
      <c r="P3323">
        <v>0</v>
      </c>
      <c r="Q3323" t="str" cm="1">
        <f t="array" ref="Q3323">_xlfn.IFS(Table1[[#This Row],[Wealthier_Winner]]=-1,"Wealthier Nation Loses",Table1[[#This Row],[Wealthier_Winner]]=0,"Tie",Table1[[#This Row],[Wealthier_Winner]]=1,"Wealthier Nation Wins")</f>
        <v>Tie</v>
      </c>
    </row>
    <row r="3324" spans="1:17" x14ac:dyDescent="0.2">
      <c r="A3324" s="1">
        <v>5198</v>
      </c>
      <c r="B3324" s="2">
        <v>38883</v>
      </c>
      <c r="C3324" s="7">
        <f>_xlfn.FLOOR.MATH(Table1[[#This Row],[year]],10)</f>
        <v>2000</v>
      </c>
      <c r="D3324" t="s">
        <v>57</v>
      </c>
      <c r="E3324" t="s">
        <v>56</v>
      </c>
      <c r="F3324">
        <v>3</v>
      </c>
      <c r="G3324">
        <v>0</v>
      </c>
      <c r="H3324" t="s">
        <v>74</v>
      </c>
      <c r="I3324" t="s">
        <v>89</v>
      </c>
      <c r="J3324" t="s">
        <v>16</v>
      </c>
      <c r="K3324" t="b">
        <v>1</v>
      </c>
      <c r="L3324">
        <v>2006</v>
      </c>
      <c r="M3324">
        <v>45690762000</v>
      </c>
      <c r="N3324">
        <v>22715540324</v>
      </c>
      <c r="O3324" t="b">
        <v>1</v>
      </c>
      <c r="P3324">
        <v>1</v>
      </c>
      <c r="Q3324" t="str" cm="1">
        <f t="array" ref="Q3324">_xlfn.IFS(Table1[[#This Row],[Wealthier_Winner]]=-1,"Wealthier Nation Loses",Table1[[#This Row],[Wealthier_Winner]]=0,"Tie",Table1[[#This Row],[Wealthier_Winner]]=1,"Wealthier Nation Wins")</f>
        <v>Wealthier Nation Wins</v>
      </c>
    </row>
    <row r="3325" spans="1:17" x14ac:dyDescent="0.2">
      <c r="A3325" s="1">
        <v>5199</v>
      </c>
      <c r="B3325" s="2">
        <v>38883</v>
      </c>
      <c r="C3325" s="7">
        <f>_xlfn.FLOOR.MATH(Table1[[#This Row],[year]],10)</f>
        <v>2000</v>
      </c>
      <c r="D3325" t="s">
        <v>194</v>
      </c>
      <c r="E3325" t="s">
        <v>59</v>
      </c>
      <c r="F3325">
        <v>2</v>
      </c>
      <c r="G3325">
        <v>0</v>
      </c>
      <c r="H3325" t="s">
        <v>74</v>
      </c>
      <c r="I3325" t="s">
        <v>158</v>
      </c>
      <c r="J3325" t="s">
        <v>16</v>
      </c>
      <c r="K3325" t="b">
        <v>1</v>
      </c>
      <c r="L3325">
        <v>2006</v>
      </c>
      <c r="M3325">
        <v>2719558417663</v>
      </c>
      <c r="N3325">
        <v>18369361094</v>
      </c>
      <c r="O3325" t="b">
        <v>1</v>
      </c>
      <c r="P3325">
        <v>1</v>
      </c>
      <c r="Q3325" t="str" cm="1">
        <f t="array" ref="Q3325">_xlfn.IFS(Table1[[#This Row],[Wealthier_Winner]]=-1,"Wealthier Nation Loses",Table1[[#This Row],[Wealthier_Winner]]=0,"Tie",Table1[[#This Row],[Wealthier_Winner]]=1,"Wealthier Nation Wins")</f>
        <v>Wealthier Nation Wins</v>
      </c>
    </row>
    <row r="3326" spans="1:17" x14ac:dyDescent="0.2">
      <c r="A3326" s="1">
        <v>5200</v>
      </c>
      <c r="B3326" s="2">
        <v>38883</v>
      </c>
      <c r="C3326" s="7">
        <f>_xlfn.FLOOR.MATH(Table1[[#This Row],[year]],10)</f>
        <v>2000</v>
      </c>
      <c r="D3326" t="s">
        <v>25</v>
      </c>
      <c r="E3326" t="s">
        <v>35</v>
      </c>
      <c r="F3326">
        <v>1</v>
      </c>
      <c r="G3326">
        <v>0</v>
      </c>
      <c r="H3326" t="s">
        <v>74</v>
      </c>
      <c r="I3326" t="s">
        <v>86</v>
      </c>
      <c r="J3326" t="s">
        <v>16</v>
      </c>
      <c r="K3326" t="b">
        <v>1</v>
      </c>
      <c r="L3326">
        <v>2006</v>
      </c>
      <c r="M3326">
        <v>422528394459</v>
      </c>
      <c r="N3326">
        <v>13429430050</v>
      </c>
      <c r="O3326" t="b">
        <v>1</v>
      </c>
      <c r="P3326">
        <v>1</v>
      </c>
      <c r="Q3326" t="str" cm="1">
        <f t="array" ref="Q3326">_xlfn.IFS(Table1[[#This Row],[Wealthier_Winner]]=-1,"Wealthier Nation Loses",Table1[[#This Row],[Wealthier_Winner]]=0,"Tie",Table1[[#This Row],[Wealthier_Winner]]=1,"Wealthier Nation Wins")</f>
        <v>Wealthier Nation Wins</v>
      </c>
    </row>
    <row r="3327" spans="1:17" x14ac:dyDescent="0.2">
      <c r="A3327" s="1">
        <v>5201</v>
      </c>
      <c r="B3327" s="2">
        <v>38884</v>
      </c>
      <c r="C3327" s="7">
        <f>_xlfn.FLOOR.MATH(Table1[[#This Row],[year]],10)</f>
        <v>2000</v>
      </c>
      <c r="D3327" t="s">
        <v>19</v>
      </c>
      <c r="E3327" t="s">
        <v>61</v>
      </c>
      <c r="F3327">
        <v>6</v>
      </c>
      <c r="G3327">
        <v>0</v>
      </c>
      <c r="H3327" t="s">
        <v>74</v>
      </c>
      <c r="I3327" t="s">
        <v>92</v>
      </c>
      <c r="J3327" t="s">
        <v>16</v>
      </c>
      <c r="K3327" t="b">
        <v>1</v>
      </c>
      <c r="L3327">
        <v>2006</v>
      </c>
      <c r="M3327">
        <v>232557260817</v>
      </c>
      <c r="N3327">
        <v>33298057361</v>
      </c>
      <c r="O3327" t="b">
        <v>1</v>
      </c>
      <c r="P3327">
        <v>1</v>
      </c>
      <c r="Q3327" t="str" cm="1">
        <f t="array" ref="Q3327">_xlfn.IFS(Table1[[#This Row],[Wealthier_Winner]]=-1,"Wealthier Nation Loses",Table1[[#This Row],[Wealthier_Winner]]=0,"Tie",Table1[[#This Row],[Wealthier_Winner]]=1,"Wealthier Nation Wins")</f>
        <v>Wealthier Nation Wins</v>
      </c>
    </row>
    <row r="3328" spans="1:17" x14ac:dyDescent="0.2">
      <c r="A3328" s="1">
        <v>5202</v>
      </c>
      <c r="B3328" s="2">
        <v>38884</v>
      </c>
      <c r="C3328" s="7">
        <f>_xlfn.FLOOR.MATH(Table1[[#This Row],[year]],10)</f>
        <v>2000</v>
      </c>
      <c r="D3328" t="s">
        <v>17</v>
      </c>
      <c r="E3328" t="s">
        <v>60</v>
      </c>
      <c r="F3328">
        <v>0</v>
      </c>
      <c r="G3328">
        <v>0</v>
      </c>
      <c r="H3328" t="s">
        <v>74</v>
      </c>
      <c r="I3328" t="s">
        <v>88</v>
      </c>
      <c r="J3328" t="s">
        <v>16</v>
      </c>
      <c r="K3328" t="b">
        <v>1</v>
      </c>
      <c r="L3328">
        <v>2006</v>
      </c>
      <c r="M3328">
        <v>1020265057882</v>
      </c>
      <c r="N3328">
        <v>58653659979</v>
      </c>
      <c r="O3328" t="b">
        <v>1</v>
      </c>
      <c r="P3328">
        <v>0</v>
      </c>
      <c r="Q3328" t="str" cm="1">
        <f t="array" ref="Q3328">_xlfn.IFS(Table1[[#This Row],[Wealthier_Winner]]=-1,"Wealthier Nation Loses",Table1[[#This Row],[Wealthier_Winner]]=0,"Tie",Table1[[#This Row],[Wealthier_Winner]]=1,"Wealthier Nation Wins")</f>
        <v>Tie</v>
      </c>
    </row>
    <row r="3329" spans="1:17" x14ac:dyDescent="0.2">
      <c r="A3329" s="1">
        <v>5205</v>
      </c>
      <c r="B3329" s="2">
        <v>38885</v>
      </c>
      <c r="C3329" s="7">
        <f>_xlfn.FLOOR.MATH(Table1[[#This Row],[year]],10)</f>
        <v>2000</v>
      </c>
      <c r="D3329" t="s">
        <v>18</v>
      </c>
      <c r="E3329" t="s">
        <v>41</v>
      </c>
      <c r="F3329">
        <v>1</v>
      </c>
      <c r="G3329">
        <v>1</v>
      </c>
      <c r="H3329" t="s">
        <v>74</v>
      </c>
      <c r="I3329" t="s">
        <v>157</v>
      </c>
      <c r="J3329" t="s">
        <v>16</v>
      </c>
      <c r="K3329" t="b">
        <v>1</v>
      </c>
      <c r="L3329">
        <v>2006</v>
      </c>
      <c r="M3329">
        <v>1958563654385</v>
      </c>
      <c r="N3329">
        <v>13815586948000</v>
      </c>
      <c r="O3329" t="b">
        <v>1</v>
      </c>
      <c r="P3329">
        <v>0</v>
      </c>
      <c r="Q3329" t="str" cm="1">
        <f t="array" ref="Q3329">_xlfn.IFS(Table1[[#This Row],[Wealthier_Winner]]=-1,"Wealthier Nation Loses",Table1[[#This Row],[Wealthier_Winner]]=0,"Tie",Table1[[#This Row],[Wealthier_Winner]]=1,"Wealthier Nation Wins")</f>
        <v>Tie</v>
      </c>
    </row>
    <row r="3330" spans="1:17" x14ac:dyDescent="0.2">
      <c r="A3330" s="1">
        <v>5206</v>
      </c>
      <c r="B3330" s="2">
        <v>38885</v>
      </c>
      <c r="C3330" s="7">
        <f>_xlfn.FLOOR.MATH(Table1[[#This Row],[year]],10)</f>
        <v>2000</v>
      </c>
      <c r="D3330" t="s">
        <v>38</v>
      </c>
      <c r="E3330" t="s">
        <v>210</v>
      </c>
      <c r="F3330">
        <v>2</v>
      </c>
      <c r="G3330">
        <v>0</v>
      </c>
      <c r="H3330" t="s">
        <v>74</v>
      </c>
      <c r="I3330" t="s">
        <v>159</v>
      </c>
      <c r="J3330" t="s">
        <v>16</v>
      </c>
      <c r="K3330" t="b">
        <v>1</v>
      </c>
      <c r="L3330">
        <v>2006</v>
      </c>
      <c r="M3330">
        <v>208756449275</v>
      </c>
      <c r="N3330">
        <v>265602187403</v>
      </c>
      <c r="O3330" t="b">
        <v>0</v>
      </c>
      <c r="P3330">
        <v>-1</v>
      </c>
      <c r="Q3330" t="str" cm="1">
        <f t="array" ref="Q3330">_xlfn.IFS(Table1[[#This Row],[Wealthier_Winner]]=-1,"Wealthier Nation Loses",Table1[[#This Row],[Wealthier_Winner]]=0,"Tie",Table1[[#This Row],[Wealthier_Winner]]=1,"Wealthier Nation Wins")</f>
        <v>Wealthier Nation Loses</v>
      </c>
    </row>
    <row r="3331" spans="1:17" x14ac:dyDescent="0.2">
      <c r="A3331" s="1">
        <v>5207</v>
      </c>
      <c r="B3331" s="2">
        <v>38886</v>
      </c>
      <c r="C3331" s="7">
        <f>_xlfn.FLOOR.MATH(Table1[[#This Row],[year]],10)</f>
        <v>2000</v>
      </c>
      <c r="D3331" t="s">
        <v>13</v>
      </c>
      <c r="E3331" t="s">
        <v>28</v>
      </c>
      <c r="F3331">
        <v>2</v>
      </c>
      <c r="G3331">
        <v>0</v>
      </c>
      <c r="H3331" t="s">
        <v>74</v>
      </c>
      <c r="I3331" t="s">
        <v>87</v>
      </c>
      <c r="J3331" t="s">
        <v>16</v>
      </c>
      <c r="K3331" t="b">
        <v>1</v>
      </c>
      <c r="L3331">
        <v>2006</v>
      </c>
      <c r="M3331">
        <v>1107626711163</v>
      </c>
      <c r="N3331">
        <v>749708370332</v>
      </c>
      <c r="O3331" t="b">
        <v>0</v>
      </c>
      <c r="P3331">
        <v>1</v>
      </c>
      <c r="Q3331" t="str" cm="1">
        <f t="array" ref="Q3331">_xlfn.IFS(Table1[[#This Row],[Wealthier_Winner]]=-1,"Wealthier Nation Loses",Table1[[#This Row],[Wealthier_Winner]]=0,"Tie",Table1[[#This Row],[Wealthier_Winner]]=1,"Wealthier Nation Wins")</f>
        <v>Wealthier Nation Wins</v>
      </c>
    </row>
    <row r="3332" spans="1:17" x14ac:dyDescent="0.2">
      <c r="A3332" s="1">
        <v>5208</v>
      </c>
      <c r="B3332" s="2">
        <v>38886</v>
      </c>
      <c r="C3332" s="7">
        <f>_xlfn.FLOOR.MATH(Table1[[#This Row],[year]],10)</f>
        <v>2000</v>
      </c>
      <c r="D3332" t="s">
        <v>20</v>
      </c>
      <c r="E3332" t="s">
        <v>195</v>
      </c>
      <c r="F3332">
        <v>1</v>
      </c>
      <c r="G3332">
        <v>1</v>
      </c>
      <c r="H3332" t="s">
        <v>74</v>
      </c>
      <c r="I3332" t="s">
        <v>156</v>
      </c>
      <c r="J3332" t="s">
        <v>16</v>
      </c>
      <c r="K3332" t="b">
        <v>1</v>
      </c>
      <c r="L3332">
        <v>2006</v>
      </c>
      <c r="M3332">
        <v>2317861544690</v>
      </c>
      <c r="N3332">
        <v>1095175538508</v>
      </c>
      <c r="O3332" t="b">
        <v>1</v>
      </c>
      <c r="P3332">
        <v>0</v>
      </c>
      <c r="Q3332" t="str" cm="1">
        <f t="array" ref="Q3332">_xlfn.IFS(Table1[[#This Row],[Wealthier_Winner]]=-1,"Wealthier Nation Loses",Table1[[#This Row],[Wealthier_Winner]]=0,"Tie",Table1[[#This Row],[Wealthier_Winner]]=1,"Wealthier Nation Wins")</f>
        <v>Tie</v>
      </c>
    </row>
    <row r="3333" spans="1:17" x14ac:dyDescent="0.2">
      <c r="A3333" s="1">
        <v>5209</v>
      </c>
      <c r="B3333" s="2">
        <v>38886</v>
      </c>
      <c r="C3333" s="7">
        <f>_xlfn.FLOOR.MATH(Table1[[#This Row],[year]],10)</f>
        <v>2000</v>
      </c>
      <c r="D3333" t="s">
        <v>51</v>
      </c>
      <c r="E3333" t="s">
        <v>52</v>
      </c>
      <c r="F3333">
        <v>0</v>
      </c>
      <c r="G3333">
        <v>0</v>
      </c>
      <c r="H3333" t="s">
        <v>74</v>
      </c>
      <c r="I3333" t="s">
        <v>158</v>
      </c>
      <c r="J3333" t="s">
        <v>16</v>
      </c>
      <c r="K3333" t="b">
        <v>1</v>
      </c>
      <c r="L3333">
        <v>2006</v>
      </c>
      <c r="M3333">
        <v>4601663122649</v>
      </c>
      <c r="N3333">
        <v>49583544860</v>
      </c>
      <c r="O3333" t="b">
        <v>1</v>
      </c>
      <c r="P3333">
        <v>0</v>
      </c>
      <c r="Q3333" t="str" cm="1">
        <f t="array" ref="Q3333">_xlfn.IFS(Table1[[#This Row],[Wealthier_Winner]]=-1,"Wealthier Nation Loses",Table1[[#This Row],[Wealthier_Winner]]=0,"Tie",Table1[[#This Row],[Wealthier_Winner]]=1,"Wealthier Nation Wins")</f>
        <v>Tie</v>
      </c>
    </row>
    <row r="3334" spans="1:17" x14ac:dyDescent="0.2">
      <c r="A3334" s="1">
        <v>5210</v>
      </c>
      <c r="B3334" s="2">
        <v>38887</v>
      </c>
      <c r="C3334" s="7">
        <f>_xlfn.FLOOR.MATH(Table1[[#This Row],[year]],10)</f>
        <v>2000</v>
      </c>
      <c r="D3334" t="s">
        <v>45</v>
      </c>
      <c r="E3334" t="s">
        <v>64</v>
      </c>
      <c r="F3334">
        <v>0</v>
      </c>
      <c r="G3334">
        <v>4</v>
      </c>
      <c r="H3334" t="s">
        <v>74</v>
      </c>
      <c r="I3334" t="s">
        <v>89</v>
      </c>
      <c r="J3334" t="s">
        <v>16</v>
      </c>
      <c r="K3334" t="b">
        <v>1</v>
      </c>
      <c r="L3334">
        <v>2006</v>
      </c>
      <c r="M3334">
        <v>376900133511</v>
      </c>
      <c r="N3334">
        <v>111884752475</v>
      </c>
      <c r="O3334" t="b">
        <v>1</v>
      </c>
      <c r="P3334">
        <v>-1</v>
      </c>
      <c r="Q3334" t="str" cm="1">
        <f t="array" ref="Q3334">_xlfn.IFS(Table1[[#This Row],[Wealthier_Winner]]=-1,"Wealthier Nation Loses",Table1[[#This Row],[Wealthier_Winner]]=0,"Tie",Table1[[#This Row],[Wealthier_Winner]]=1,"Wealthier Nation Wins")</f>
        <v>Wealthier Nation Loses</v>
      </c>
    </row>
    <row r="3335" spans="1:17" x14ac:dyDescent="0.2">
      <c r="A3335" s="1">
        <v>5211</v>
      </c>
      <c r="B3335" s="2">
        <v>38887</v>
      </c>
      <c r="C3335" s="7">
        <f>_xlfn.FLOOR.MATH(Table1[[#This Row],[year]],10)</f>
        <v>2000</v>
      </c>
      <c r="D3335" t="s">
        <v>21</v>
      </c>
      <c r="E3335" t="s">
        <v>53</v>
      </c>
      <c r="F3335">
        <v>3</v>
      </c>
      <c r="G3335">
        <v>1</v>
      </c>
      <c r="H3335" t="s">
        <v>74</v>
      </c>
      <c r="I3335" t="s">
        <v>90</v>
      </c>
      <c r="J3335" t="s">
        <v>16</v>
      </c>
      <c r="K3335" t="b">
        <v>1</v>
      </c>
      <c r="L3335">
        <v>2006</v>
      </c>
      <c r="M3335">
        <v>1261846683275</v>
      </c>
      <c r="N3335">
        <v>34376664600</v>
      </c>
      <c r="O3335" t="b">
        <v>1</v>
      </c>
      <c r="P3335">
        <v>1</v>
      </c>
      <c r="Q3335" t="str" cm="1">
        <f t="array" ref="Q3335">_xlfn.IFS(Table1[[#This Row],[Wealthier_Winner]]=-1,"Wealthier Nation Loses",Table1[[#This Row],[Wealthier_Winner]]=0,"Tie",Table1[[#This Row],[Wealthier_Winner]]=1,"Wealthier Nation Wins")</f>
        <v>Wealthier Nation Wins</v>
      </c>
    </row>
    <row r="3336" spans="1:17" x14ac:dyDescent="0.2">
      <c r="A3336" s="1">
        <v>5212</v>
      </c>
      <c r="B3336" s="2">
        <v>38887</v>
      </c>
      <c r="C3336" s="7">
        <f>_xlfn.FLOOR.MATH(Table1[[#This Row],[year]],10)</f>
        <v>2000</v>
      </c>
      <c r="D3336" t="s">
        <v>62</v>
      </c>
      <c r="E3336" t="s">
        <v>46</v>
      </c>
      <c r="F3336">
        <v>0</v>
      </c>
      <c r="G3336">
        <v>2</v>
      </c>
      <c r="H3336" t="s">
        <v>74</v>
      </c>
      <c r="I3336" t="s">
        <v>91</v>
      </c>
      <c r="J3336" t="s">
        <v>16</v>
      </c>
      <c r="K3336" t="b">
        <v>1</v>
      </c>
      <c r="L3336">
        <v>2006</v>
      </c>
      <c r="M3336">
        <v>3320907721</v>
      </c>
      <c r="N3336">
        <v>441634672196</v>
      </c>
      <c r="O3336" t="b">
        <v>1</v>
      </c>
      <c r="P3336">
        <v>1</v>
      </c>
      <c r="Q3336" t="str" cm="1">
        <f t="array" ref="Q3336">_xlfn.IFS(Table1[[#This Row],[Wealthier_Winner]]=-1,"Wealthier Nation Loses",Table1[[#This Row],[Wealthier_Winner]]=0,"Tie",Table1[[#This Row],[Wealthier_Winner]]=1,"Wealthier Nation Wins")</f>
        <v>Wealthier Nation Wins</v>
      </c>
    </row>
    <row r="3337" spans="1:17" x14ac:dyDescent="0.2">
      <c r="A3337" s="1">
        <v>5213</v>
      </c>
      <c r="B3337" s="2">
        <v>38888</v>
      </c>
      <c r="C3337" s="7">
        <f>_xlfn.FLOOR.MATH(Table1[[#This Row],[year]],10)</f>
        <v>2000</v>
      </c>
      <c r="D3337" t="s">
        <v>56</v>
      </c>
      <c r="E3337" t="s">
        <v>58</v>
      </c>
      <c r="F3337">
        <v>1</v>
      </c>
      <c r="G3337">
        <v>2</v>
      </c>
      <c r="H3337" t="s">
        <v>74</v>
      </c>
      <c r="I3337" t="s">
        <v>88</v>
      </c>
      <c r="J3337" t="s">
        <v>16</v>
      </c>
      <c r="K3337" t="b">
        <v>1</v>
      </c>
      <c r="L3337">
        <v>2006</v>
      </c>
      <c r="M3337">
        <v>22715540324</v>
      </c>
      <c r="N3337">
        <v>345897630736</v>
      </c>
      <c r="O3337" t="b">
        <v>1</v>
      </c>
      <c r="P3337">
        <v>1</v>
      </c>
      <c r="Q3337" t="str" cm="1">
        <f t="array" ref="Q3337">_xlfn.IFS(Table1[[#This Row],[Wealthier_Winner]]=-1,"Wealthier Nation Loses",Table1[[#This Row],[Wealthier_Winner]]=0,"Tie",Table1[[#This Row],[Wealthier_Winner]]=1,"Wealthier Nation Wins")</f>
        <v>Wealthier Nation Wins</v>
      </c>
    </row>
    <row r="3338" spans="1:17" x14ac:dyDescent="0.2">
      <c r="A3338" s="1">
        <v>5214</v>
      </c>
      <c r="B3338" s="2">
        <v>38888</v>
      </c>
      <c r="C3338" s="7">
        <f>_xlfn.FLOOR.MATH(Table1[[#This Row],[year]],10)</f>
        <v>2000</v>
      </c>
      <c r="D3338" t="s">
        <v>16</v>
      </c>
      <c r="E3338" t="s">
        <v>57</v>
      </c>
      <c r="F3338">
        <v>3</v>
      </c>
      <c r="G3338">
        <v>0</v>
      </c>
      <c r="H3338" t="s">
        <v>74</v>
      </c>
      <c r="I3338" t="s">
        <v>86</v>
      </c>
      <c r="J3338" t="s">
        <v>16</v>
      </c>
      <c r="K3338" t="b">
        <v>0</v>
      </c>
      <c r="L3338">
        <v>2006</v>
      </c>
      <c r="M3338">
        <v>3046308753670</v>
      </c>
      <c r="N3338">
        <v>45690762000</v>
      </c>
      <c r="O3338" t="b">
        <v>1</v>
      </c>
      <c r="P3338">
        <v>1</v>
      </c>
      <c r="Q3338" t="str" cm="1">
        <f t="array" ref="Q3338">_xlfn.IFS(Table1[[#This Row],[Wealthier_Winner]]=-1,"Wealthier Nation Loses",Table1[[#This Row],[Wealthier_Winner]]=0,"Tie",Table1[[#This Row],[Wealthier_Winner]]=1,"Wealthier Nation Wins")</f>
        <v>Wealthier Nation Wins</v>
      </c>
    </row>
    <row r="3339" spans="1:17" x14ac:dyDescent="0.2">
      <c r="A3339" s="1">
        <v>5215</v>
      </c>
      <c r="B3339" s="2">
        <v>38888</v>
      </c>
      <c r="C3339" s="7">
        <f>_xlfn.FLOOR.MATH(Table1[[#This Row],[year]],10)</f>
        <v>2000</v>
      </c>
      <c r="D3339" t="s">
        <v>35</v>
      </c>
      <c r="E3339" t="s">
        <v>59</v>
      </c>
      <c r="F3339">
        <v>2</v>
      </c>
      <c r="G3339">
        <v>0</v>
      </c>
      <c r="H3339" t="s">
        <v>74</v>
      </c>
      <c r="I3339" t="s">
        <v>157</v>
      </c>
      <c r="J3339" t="s">
        <v>16</v>
      </c>
      <c r="K3339" t="b">
        <v>1</v>
      </c>
      <c r="L3339">
        <v>2006</v>
      </c>
      <c r="M3339">
        <v>13429430050</v>
      </c>
      <c r="N3339">
        <v>18369361094</v>
      </c>
      <c r="O3339" t="b">
        <v>0</v>
      </c>
      <c r="P3339">
        <v>-1</v>
      </c>
      <c r="Q3339" t="str" cm="1">
        <f t="array" ref="Q3339">_xlfn.IFS(Table1[[#This Row],[Wealthier_Winner]]=-1,"Wealthier Nation Loses",Table1[[#This Row],[Wealthier_Winner]]=0,"Tie",Table1[[#This Row],[Wealthier_Winner]]=1,"Wealthier Nation Wins")</f>
        <v>Wealthier Nation Loses</v>
      </c>
    </row>
    <row r="3340" spans="1:17" x14ac:dyDescent="0.2">
      <c r="A3340" s="1">
        <v>5216</v>
      </c>
      <c r="B3340" s="2">
        <v>38888</v>
      </c>
      <c r="C3340" s="7">
        <f>_xlfn.FLOOR.MATH(Table1[[#This Row],[year]],10)</f>
        <v>2000</v>
      </c>
      <c r="D3340" t="s">
        <v>25</v>
      </c>
      <c r="E3340" t="s">
        <v>194</v>
      </c>
      <c r="F3340">
        <v>2</v>
      </c>
      <c r="G3340">
        <v>2</v>
      </c>
      <c r="H3340" t="s">
        <v>74</v>
      </c>
      <c r="I3340" t="s">
        <v>155</v>
      </c>
      <c r="J3340" t="s">
        <v>16</v>
      </c>
      <c r="K3340" t="b">
        <v>1</v>
      </c>
      <c r="L3340">
        <v>2006</v>
      </c>
      <c r="M3340">
        <v>422528394459</v>
      </c>
      <c r="N3340">
        <v>2719558417663</v>
      </c>
      <c r="O3340" t="b">
        <v>1</v>
      </c>
      <c r="P3340">
        <v>0</v>
      </c>
      <c r="Q3340" t="str" cm="1">
        <f t="array" ref="Q3340">_xlfn.IFS(Table1[[#This Row],[Wealthier_Winner]]=-1,"Wealthier Nation Loses",Table1[[#This Row],[Wealthier_Winner]]=0,"Tie",Table1[[#This Row],[Wealthier_Winner]]=1,"Wealthier Nation Wins")</f>
        <v>Tie</v>
      </c>
    </row>
    <row r="3341" spans="1:17" x14ac:dyDescent="0.2">
      <c r="A3341" s="1">
        <v>5217</v>
      </c>
      <c r="B3341" s="2">
        <v>38889</v>
      </c>
      <c r="C3341" s="7">
        <f>_xlfn.FLOOR.MATH(Table1[[#This Row],[year]],10)</f>
        <v>2000</v>
      </c>
      <c r="D3341" t="s">
        <v>210</v>
      </c>
      <c r="E3341" t="s">
        <v>60</v>
      </c>
      <c r="F3341">
        <v>1</v>
      </c>
      <c r="G3341">
        <v>1</v>
      </c>
      <c r="H3341" t="s">
        <v>74</v>
      </c>
      <c r="I3341" t="s">
        <v>156</v>
      </c>
      <c r="J3341" t="s">
        <v>16</v>
      </c>
      <c r="K3341" t="b">
        <v>1</v>
      </c>
      <c r="L3341">
        <v>2006</v>
      </c>
      <c r="M3341">
        <v>265602187403</v>
      </c>
      <c r="N3341">
        <v>58653659979</v>
      </c>
      <c r="O3341" t="b">
        <v>1</v>
      </c>
      <c r="P3341">
        <v>0</v>
      </c>
      <c r="Q3341" t="str" cm="1">
        <f t="array" ref="Q3341">_xlfn.IFS(Table1[[#This Row],[Wealthier_Winner]]=-1,"Wealthier Nation Loses",Table1[[#This Row],[Wealthier_Winner]]=0,"Tie",Table1[[#This Row],[Wealthier_Winner]]=1,"Wealthier Nation Wins")</f>
        <v>Tie</v>
      </c>
    </row>
    <row r="3342" spans="1:17" x14ac:dyDescent="0.2">
      <c r="A3342" s="1">
        <v>5219</v>
      </c>
      <c r="B3342" s="2">
        <v>38889</v>
      </c>
      <c r="C3342" s="7">
        <f>_xlfn.FLOOR.MATH(Table1[[#This Row],[year]],10)</f>
        <v>2000</v>
      </c>
      <c r="D3342" t="s">
        <v>27</v>
      </c>
      <c r="E3342" t="s">
        <v>19</v>
      </c>
      <c r="F3342">
        <v>0</v>
      </c>
      <c r="G3342">
        <v>0</v>
      </c>
      <c r="H3342" t="s">
        <v>74</v>
      </c>
      <c r="I3342" t="s">
        <v>159</v>
      </c>
      <c r="J3342" t="s">
        <v>16</v>
      </c>
      <c r="K3342" t="b">
        <v>1</v>
      </c>
      <c r="L3342">
        <v>2006</v>
      </c>
      <c r="M3342">
        <v>737593995289</v>
      </c>
      <c r="N3342">
        <v>232557260817</v>
      </c>
      <c r="O3342" t="b">
        <v>1</v>
      </c>
      <c r="P3342">
        <v>0</v>
      </c>
      <c r="Q3342" t="str" cm="1">
        <f t="array" ref="Q3342">_xlfn.IFS(Table1[[#This Row],[Wealthier_Winner]]=-1,"Wealthier Nation Loses",Table1[[#This Row],[Wealthier_Winner]]=0,"Tie",Table1[[#This Row],[Wealthier_Winner]]=1,"Wealthier Nation Wins")</f>
        <v>Tie</v>
      </c>
    </row>
    <row r="3343" spans="1:17" x14ac:dyDescent="0.2">
      <c r="A3343" s="1">
        <v>5220</v>
      </c>
      <c r="B3343" s="2">
        <v>38889</v>
      </c>
      <c r="C3343" s="7">
        <f>_xlfn.FLOOR.MATH(Table1[[#This Row],[year]],10)</f>
        <v>2000</v>
      </c>
      <c r="D3343" t="s">
        <v>38</v>
      </c>
      <c r="E3343" t="s">
        <v>17</v>
      </c>
      <c r="F3343">
        <v>2</v>
      </c>
      <c r="G3343">
        <v>1</v>
      </c>
      <c r="H3343" t="s">
        <v>74</v>
      </c>
      <c r="I3343" t="s">
        <v>92</v>
      </c>
      <c r="J3343" t="s">
        <v>16</v>
      </c>
      <c r="K3343" t="b">
        <v>1</v>
      </c>
      <c r="L3343">
        <v>2006</v>
      </c>
      <c r="M3343">
        <v>208756449275</v>
      </c>
      <c r="N3343">
        <v>1020265057882</v>
      </c>
      <c r="O3343" t="b">
        <v>1</v>
      </c>
      <c r="P3343">
        <v>-1</v>
      </c>
      <c r="Q3343" t="str" cm="1">
        <f t="array" ref="Q3343">_xlfn.IFS(Table1[[#This Row],[Wealthier_Winner]]=-1,"Wealthier Nation Loses",Table1[[#This Row],[Wealthier_Winner]]=0,"Tie",Table1[[#This Row],[Wealthier_Winner]]=1,"Wealthier Nation Wins")</f>
        <v>Wealthier Nation Loses</v>
      </c>
    </row>
    <row r="3344" spans="1:17" x14ac:dyDescent="0.2">
      <c r="A3344" s="1">
        <v>5221</v>
      </c>
      <c r="B3344" s="2">
        <v>38890</v>
      </c>
      <c r="C3344" s="7">
        <f>_xlfn.FLOOR.MATH(Table1[[#This Row],[year]],10)</f>
        <v>2000</v>
      </c>
      <c r="D3344" t="s">
        <v>52</v>
      </c>
      <c r="E3344" t="s">
        <v>28</v>
      </c>
      <c r="F3344">
        <v>2</v>
      </c>
      <c r="G3344">
        <v>2</v>
      </c>
      <c r="H3344" t="s">
        <v>74</v>
      </c>
      <c r="I3344" t="s">
        <v>90</v>
      </c>
      <c r="J3344" t="s">
        <v>16</v>
      </c>
      <c r="K3344" t="b">
        <v>1</v>
      </c>
      <c r="L3344">
        <v>2006</v>
      </c>
      <c r="M3344">
        <v>49583544860</v>
      </c>
      <c r="N3344">
        <v>749708370332</v>
      </c>
      <c r="O3344" t="b">
        <v>1</v>
      </c>
      <c r="P3344">
        <v>0</v>
      </c>
      <c r="Q3344" t="str" cm="1">
        <f t="array" ref="Q3344">_xlfn.IFS(Table1[[#This Row],[Wealthier_Winner]]=-1,"Wealthier Nation Loses",Table1[[#This Row],[Wealthier_Winner]]=0,"Tie",Table1[[#This Row],[Wealthier_Winner]]=1,"Wealthier Nation Wins")</f>
        <v>Tie</v>
      </c>
    </row>
    <row r="3345" spans="1:17" x14ac:dyDescent="0.2">
      <c r="A3345" s="1">
        <v>5223</v>
      </c>
      <c r="B3345" s="2">
        <v>38890</v>
      </c>
      <c r="C3345" s="7">
        <f>_xlfn.FLOOR.MATH(Table1[[#This Row],[year]],10)</f>
        <v>2000</v>
      </c>
      <c r="D3345" t="s">
        <v>63</v>
      </c>
      <c r="E3345" t="s">
        <v>41</v>
      </c>
      <c r="F3345">
        <v>2</v>
      </c>
      <c r="G3345">
        <v>1</v>
      </c>
      <c r="H3345" t="s">
        <v>74</v>
      </c>
      <c r="I3345" t="s">
        <v>158</v>
      </c>
      <c r="J3345" t="s">
        <v>16</v>
      </c>
      <c r="K3345" t="b">
        <v>1</v>
      </c>
      <c r="L3345">
        <v>2006</v>
      </c>
      <c r="M3345">
        <v>20885037596</v>
      </c>
      <c r="N3345">
        <v>13815586948000</v>
      </c>
      <c r="O3345" t="b">
        <v>1</v>
      </c>
      <c r="P3345">
        <v>-1</v>
      </c>
      <c r="Q3345" t="str" cm="1">
        <f t="array" ref="Q3345">_xlfn.IFS(Table1[[#This Row],[Wealthier_Winner]]=-1,"Wealthier Nation Loses",Table1[[#This Row],[Wealthier_Winner]]=0,"Tie",Table1[[#This Row],[Wealthier_Winner]]=1,"Wealthier Nation Wins")</f>
        <v>Wealthier Nation Loses</v>
      </c>
    </row>
    <row r="3346" spans="1:17" x14ac:dyDescent="0.2">
      <c r="A3346" s="1">
        <v>5224</v>
      </c>
      <c r="B3346" s="2">
        <v>38890</v>
      </c>
      <c r="C3346" s="7">
        <f>_xlfn.FLOOR.MATH(Table1[[#This Row],[year]],10)</f>
        <v>2000</v>
      </c>
      <c r="D3346" t="s">
        <v>51</v>
      </c>
      <c r="E3346" t="s">
        <v>13</v>
      </c>
      <c r="F3346">
        <v>1</v>
      </c>
      <c r="G3346">
        <v>4</v>
      </c>
      <c r="H3346" t="s">
        <v>74</v>
      </c>
      <c r="I3346" t="s">
        <v>91</v>
      </c>
      <c r="J3346" t="s">
        <v>16</v>
      </c>
      <c r="K3346" t="b">
        <v>1</v>
      </c>
      <c r="L3346">
        <v>2006</v>
      </c>
      <c r="M3346">
        <v>4601663122649</v>
      </c>
      <c r="N3346">
        <v>1107626711163</v>
      </c>
      <c r="O3346" t="b">
        <v>1</v>
      </c>
      <c r="P3346">
        <v>-1</v>
      </c>
      <c r="Q3346" t="str" cm="1">
        <f t="array" ref="Q3346">_xlfn.IFS(Table1[[#This Row],[Wealthier_Winner]]=-1,"Wealthier Nation Loses",Table1[[#This Row],[Wealthier_Winner]]=0,"Tie",Table1[[#This Row],[Wealthier_Winner]]=1,"Wealthier Nation Wins")</f>
        <v>Wealthier Nation Loses</v>
      </c>
    </row>
    <row r="3347" spans="1:17" x14ac:dyDescent="0.2">
      <c r="A3347" s="1">
        <v>5225</v>
      </c>
      <c r="B3347" s="2">
        <v>38891</v>
      </c>
      <c r="C3347" s="7">
        <f>_xlfn.FLOOR.MATH(Table1[[#This Row],[year]],10)</f>
        <v>2000</v>
      </c>
      <c r="D3347" t="s">
        <v>45</v>
      </c>
      <c r="E3347" t="s">
        <v>21</v>
      </c>
      <c r="F3347">
        <v>0</v>
      </c>
      <c r="G3347">
        <v>1</v>
      </c>
      <c r="H3347" t="s">
        <v>74</v>
      </c>
      <c r="I3347" t="s">
        <v>157</v>
      </c>
      <c r="J3347" t="s">
        <v>16</v>
      </c>
      <c r="K3347" t="b">
        <v>1</v>
      </c>
      <c r="L3347">
        <v>2006</v>
      </c>
      <c r="M3347">
        <v>376900133511</v>
      </c>
      <c r="N3347">
        <v>1261846683275</v>
      </c>
      <c r="O3347" t="b">
        <v>1</v>
      </c>
      <c r="P3347">
        <v>1</v>
      </c>
      <c r="Q3347" t="str" cm="1">
        <f t="array" ref="Q3347">_xlfn.IFS(Table1[[#This Row],[Wealthier_Winner]]=-1,"Wealthier Nation Loses",Table1[[#This Row],[Wealthier_Winner]]=0,"Tie",Table1[[#This Row],[Wealthier_Winner]]=1,"Wealthier Nation Wins")</f>
        <v>Wealthier Nation Wins</v>
      </c>
    </row>
    <row r="3348" spans="1:17" x14ac:dyDescent="0.2">
      <c r="A3348" s="1">
        <v>5226</v>
      </c>
      <c r="B3348" s="2">
        <v>38891</v>
      </c>
      <c r="C3348" s="7">
        <f>_xlfn.FLOOR.MATH(Table1[[#This Row],[year]],10)</f>
        <v>2000</v>
      </c>
      <c r="D3348" t="s">
        <v>46</v>
      </c>
      <c r="E3348" t="s">
        <v>195</v>
      </c>
      <c r="F3348">
        <v>2</v>
      </c>
      <c r="G3348">
        <v>0</v>
      </c>
      <c r="H3348" t="s">
        <v>74</v>
      </c>
      <c r="I3348" t="s">
        <v>88</v>
      </c>
      <c r="J3348" t="s">
        <v>16</v>
      </c>
      <c r="K3348" t="b">
        <v>1</v>
      </c>
      <c r="L3348">
        <v>2006</v>
      </c>
      <c r="M3348">
        <v>441634672196</v>
      </c>
      <c r="N3348">
        <v>1095175538508</v>
      </c>
      <c r="O3348" t="b">
        <v>1</v>
      </c>
      <c r="P3348">
        <v>-1</v>
      </c>
      <c r="Q3348" t="str" cm="1">
        <f t="array" ref="Q3348">_xlfn.IFS(Table1[[#This Row],[Wealthier_Winner]]=-1,"Wealthier Nation Loses",Table1[[#This Row],[Wealthier_Winner]]=0,"Tie",Table1[[#This Row],[Wealthier_Winner]]=1,"Wealthier Nation Wins")</f>
        <v>Wealthier Nation Loses</v>
      </c>
    </row>
    <row r="3349" spans="1:17" x14ac:dyDescent="0.2">
      <c r="A3349" s="1">
        <v>5227</v>
      </c>
      <c r="B3349" s="2">
        <v>38891</v>
      </c>
      <c r="C3349" s="7">
        <f>_xlfn.FLOOR.MATH(Table1[[#This Row],[year]],10)</f>
        <v>2000</v>
      </c>
      <c r="D3349" t="s">
        <v>62</v>
      </c>
      <c r="E3349" t="s">
        <v>20</v>
      </c>
      <c r="F3349">
        <v>0</v>
      </c>
      <c r="G3349">
        <v>2</v>
      </c>
      <c r="H3349" t="s">
        <v>74</v>
      </c>
      <c r="I3349" t="s">
        <v>155</v>
      </c>
      <c r="J3349" t="s">
        <v>16</v>
      </c>
      <c r="K3349" t="b">
        <v>1</v>
      </c>
      <c r="L3349">
        <v>2006</v>
      </c>
      <c r="M3349">
        <v>3320907721</v>
      </c>
      <c r="N3349">
        <v>2317861544690</v>
      </c>
      <c r="O3349" t="b">
        <v>1</v>
      </c>
      <c r="P3349">
        <v>1</v>
      </c>
      <c r="Q3349" t="str" cm="1">
        <f t="array" ref="Q3349">_xlfn.IFS(Table1[[#This Row],[Wealthier_Winner]]=-1,"Wealthier Nation Loses",Table1[[#This Row],[Wealthier_Winner]]=0,"Tie",Table1[[#This Row],[Wealthier_Winner]]=1,"Wealthier Nation Wins")</f>
        <v>Wealthier Nation Wins</v>
      </c>
    </row>
    <row r="3350" spans="1:17" x14ac:dyDescent="0.2">
      <c r="A3350" s="1">
        <v>5228</v>
      </c>
      <c r="B3350" s="2">
        <v>38891</v>
      </c>
      <c r="C3350" s="7">
        <f>_xlfn.FLOOR.MATH(Table1[[#This Row],[year]],10)</f>
        <v>2000</v>
      </c>
      <c r="D3350" t="s">
        <v>64</v>
      </c>
      <c r="E3350" t="s">
        <v>53</v>
      </c>
      <c r="F3350">
        <v>1</v>
      </c>
      <c r="G3350">
        <v>0</v>
      </c>
      <c r="H3350" t="s">
        <v>74</v>
      </c>
      <c r="I3350" t="s">
        <v>86</v>
      </c>
      <c r="J3350" t="s">
        <v>16</v>
      </c>
      <c r="K3350" t="b">
        <v>1</v>
      </c>
      <c r="L3350">
        <v>2006</v>
      </c>
      <c r="M3350">
        <v>111884752475</v>
      </c>
      <c r="N3350">
        <v>34376664600</v>
      </c>
      <c r="O3350" t="b">
        <v>1</v>
      </c>
      <c r="P3350">
        <v>1</v>
      </c>
      <c r="Q3350" t="str" cm="1">
        <f t="array" ref="Q3350">_xlfn.IFS(Table1[[#This Row],[Wealthier_Winner]]=-1,"Wealthier Nation Loses",Table1[[#This Row],[Wealthier_Winner]]=0,"Tie",Table1[[#This Row],[Wealthier_Winner]]=1,"Wealthier Nation Wins")</f>
        <v>Wealthier Nation Wins</v>
      </c>
    </row>
    <row r="3351" spans="1:17" x14ac:dyDescent="0.2">
      <c r="A3351" s="1">
        <v>5229</v>
      </c>
      <c r="B3351" s="2">
        <v>38892</v>
      </c>
      <c r="C3351" s="7">
        <f>_xlfn.FLOOR.MATH(Table1[[#This Row],[year]],10)</f>
        <v>2000</v>
      </c>
      <c r="D3351" t="s">
        <v>19</v>
      </c>
      <c r="E3351" t="s">
        <v>17</v>
      </c>
      <c r="F3351">
        <v>2</v>
      </c>
      <c r="G3351">
        <v>1</v>
      </c>
      <c r="H3351" t="s">
        <v>74</v>
      </c>
      <c r="I3351" t="s">
        <v>156</v>
      </c>
      <c r="J3351" t="s">
        <v>16</v>
      </c>
      <c r="K3351" t="b">
        <v>1</v>
      </c>
      <c r="L3351">
        <v>2006</v>
      </c>
      <c r="M3351">
        <v>232557260817</v>
      </c>
      <c r="N3351">
        <v>1020265057882</v>
      </c>
      <c r="O3351" t="b">
        <v>1</v>
      </c>
      <c r="P3351">
        <v>-1</v>
      </c>
      <c r="Q3351" t="str" cm="1">
        <f t="array" ref="Q3351">_xlfn.IFS(Table1[[#This Row],[Wealthier_Winner]]=-1,"Wealthier Nation Loses",Table1[[#This Row],[Wealthier_Winner]]=0,"Tie",Table1[[#This Row],[Wealthier_Winner]]=1,"Wealthier Nation Wins")</f>
        <v>Wealthier Nation Loses</v>
      </c>
    </row>
    <row r="3352" spans="1:17" x14ac:dyDescent="0.2">
      <c r="A3352" s="1">
        <v>5230</v>
      </c>
      <c r="B3352" s="2">
        <v>38892</v>
      </c>
      <c r="C3352" s="7">
        <f>_xlfn.FLOOR.MATH(Table1[[#This Row],[year]],10)</f>
        <v>2000</v>
      </c>
      <c r="D3352" t="s">
        <v>16</v>
      </c>
      <c r="E3352" t="s">
        <v>25</v>
      </c>
      <c r="F3352">
        <v>2</v>
      </c>
      <c r="G3352">
        <v>0</v>
      </c>
      <c r="H3352" t="s">
        <v>74</v>
      </c>
      <c r="I3352" t="s">
        <v>87</v>
      </c>
      <c r="J3352" t="s">
        <v>16</v>
      </c>
      <c r="K3352" t="b">
        <v>0</v>
      </c>
      <c r="L3352">
        <v>2006</v>
      </c>
      <c r="M3352">
        <v>3046308753670</v>
      </c>
      <c r="N3352">
        <v>422528394459</v>
      </c>
      <c r="O3352" t="b">
        <v>1</v>
      </c>
      <c r="P3352">
        <v>1</v>
      </c>
      <c r="Q3352" t="str" cm="1">
        <f t="array" ref="Q3352">_xlfn.IFS(Table1[[#This Row],[Wealthier_Winner]]=-1,"Wealthier Nation Loses",Table1[[#This Row],[Wealthier_Winner]]=0,"Tie",Table1[[#This Row],[Wealthier_Winner]]=1,"Wealthier Nation Wins")</f>
        <v>Wealthier Nation Wins</v>
      </c>
    </row>
    <row r="3353" spans="1:17" x14ac:dyDescent="0.2">
      <c r="A3353" s="1">
        <v>5231</v>
      </c>
      <c r="B3353" s="2">
        <v>38893</v>
      </c>
      <c r="C3353" s="7">
        <f>_xlfn.FLOOR.MATH(Table1[[#This Row],[year]],10)</f>
        <v>2000</v>
      </c>
      <c r="D3353" t="s">
        <v>194</v>
      </c>
      <c r="E3353" t="s">
        <v>57</v>
      </c>
      <c r="F3353">
        <v>1</v>
      </c>
      <c r="G3353">
        <v>0</v>
      </c>
      <c r="H3353" t="s">
        <v>74</v>
      </c>
      <c r="I3353" t="s">
        <v>90</v>
      </c>
      <c r="J3353" t="s">
        <v>16</v>
      </c>
      <c r="K3353" t="b">
        <v>1</v>
      </c>
      <c r="L3353">
        <v>2006</v>
      </c>
      <c r="M3353">
        <v>2719558417663</v>
      </c>
      <c r="N3353">
        <v>45690762000</v>
      </c>
      <c r="O3353" t="b">
        <v>1</v>
      </c>
      <c r="P3353">
        <v>1</v>
      </c>
      <c r="Q3353" t="str" cm="1">
        <f t="array" ref="Q3353">_xlfn.IFS(Table1[[#This Row],[Wealthier_Winner]]=-1,"Wealthier Nation Loses",Table1[[#This Row],[Wealthier_Winner]]=0,"Tie",Table1[[#This Row],[Wealthier_Winner]]=1,"Wealthier Nation Wins")</f>
        <v>Wealthier Nation Wins</v>
      </c>
    </row>
    <row r="3354" spans="1:17" x14ac:dyDescent="0.2">
      <c r="A3354" s="1">
        <v>5232</v>
      </c>
      <c r="B3354" s="2">
        <v>38893</v>
      </c>
      <c r="C3354" s="7">
        <f>_xlfn.FLOOR.MATH(Table1[[#This Row],[year]],10)</f>
        <v>2000</v>
      </c>
      <c r="D3354" t="s">
        <v>38</v>
      </c>
      <c r="E3354" t="s">
        <v>27</v>
      </c>
      <c r="F3354">
        <v>1</v>
      </c>
      <c r="G3354">
        <v>0</v>
      </c>
      <c r="H3354" t="s">
        <v>74</v>
      </c>
      <c r="I3354" t="s">
        <v>158</v>
      </c>
      <c r="J3354" t="s">
        <v>16</v>
      </c>
      <c r="K3354" t="b">
        <v>1</v>
      </c>
      <c r="L3354">
        <v>2006</v>
      </c>
      <c r="M3354">
        <v>208756449275</v>
      </c>
      <c r="N3354">
        <v>737593995289</v>
      </c>
      <c r="O3354" t="b">
        <v>1</v>
      </c>
      <c r="P3354">
        <v>-1</v>
      </c>
      <c r="Q3354" t="str" cm="1">
        <f t="array" ref="Q3354">_xlfn.IFS(Table1[[#This Row],[Wealthier_Winner]]=-1,"Wealthier Nation Loses",Table1[[#This Row],[Wealthier_Winner]]=0,"Tie",Table1[[#This Row],[Wealthier_Winner]]=1,"Wealthier Nation Wins")</f>
        <v>Wealthier Nation Loses</v>
      </c>
    </row>
    <row r="3355" spans="1:17" x14ac:dyDescent="0.2">
      <c r="A3355" s="1">
        <v>5233</v>
      </c>
      <c r="B3355" s="2">
        <v>38894</v>
      </c>
      <c r="C3355" s="7">
        <f>_xlfn.FLOOR.MATH(Table1[[#This Row],[year]],10)</f>
        <v>2000</v>
      </c>
      <c r="D3355" t="s">
        <v>18</v>
      </c>
      <c r="E3355" t="s">
        <v>28</v>
      </c>
      <c r="F3355">
        <v>1</v>
      </c>
      <c r="G3355">
        <v>0</v>
      </c>
      <c r="H3355" t="s">
        <v>74</v>
      </c>
      <c r="I3355" t="s">
        <v>157</v>
      </c>
      <c r="J3355" t="s">
        <v>16</v>
      </c>
      <c r="K3355" t="b">
        <v>1</v>
      </c>
      <c r="L3355">
        <v>2006</v>
      </c>
      <c r="M3355">
        <v>1958563654385</v>
      </c>
      <c r="N3355">
        <v>749708370332</v>
      </c>
      <c r="O3355" t="b">
        <v>1</v>
      </c>
      <c r="P3355">
        <v>1</v>
      </c>
      <c r="Q3355" t="str" cm="1">
        <f t="array" ref="Q3355">_xlfn.IFS(Table1[[#This Row],[Wealthier_Winner]]=-1,"Wealthier Nation Loses",Table1[[#This Row],[Wealthier_Winner]]=0,"Tie",Table1[[#This Row],[Wealthier_Winner]]=1,"Wealthier Nation Wins")</f>
        <v>Wealthier Nation Wins</v>
      </c>
    </row>
    <row r="3356" spans="1:17" x14ac:dyDescent="0.2">
      <c r="A3356" s="1">
        <v>5234</v>
      </c>
      <c r="B3356" s="2">
        <v>38894</v>
      </c>
      <c r="C3356" s="7">
        <f>_xlfn.FLOOR.MATH(Table1[[#This Row],[year]],10)</f>
        <v>2000</v>
      </c>
      <c r="D3356" t="s">
        <v>46</v>
      </c>
      <c r="E3356" t="s">
        <v>64</v>
      </c>
      <c r="F3356">
        <v>0</v>
      </c>
      <c r="G3356">
        <v>0</v>
      </c>
      <c r="H3356" t="s">
        <v>74</v>
      </c>
      <c r="I3356" t="s">
        <v>155</v>
      </c>
      <c r="J3356" t="s">
        <v>16</v>
      </c>
      <c r="K3356" t="b">
        <v>1</v>
      </c>
      <c r="L3356">
        <v>2006</v>
      </c>
      <c r="M3356">
        <v>441634672196</v>
      </c>
      <c r="N3356">
        <v>111884752475</v>
      </c>
      <c r="O3356" t="b">
        <v>1</v>
      </c>
      <c r="P3356">
        <v>0</v>
      </c>
      <c r="Q3356" t="str" cm="1">
        <f t="array" ref="Q3356">_xlfn.IFS(Table1[[#This Row],[Wealthier_Winner]]=-1,"Wealthier Nation Loses",Table1[[#This Row],[Wealthier_Winner]]=0,"Tie",Table1[[#This Row],[Wealthier_Winner]]=1,"Wealthier Nation Wins")</f>
        <v>Tie</v>
      </c>
    </row>
    <row r="3357" spans="1:17" x14ac:dyDescent="0.2">
      <c r="A3357" s="1">
        <v>5235</v>
      </c>
      <c r="B3357" s="2">
        <v>38895</v>
      </c>
      <c r="C3357" s="7">
        <f>_xlfn.FLOOR.MATH(Table1[[#This Row],[year]],10)</f>
        <v>2000</v>
      </c>
      <c r="D3357" t="s">
        <v>13</v>
      </c>
      <c r="E3357" t="s">
        <v>63</v>
      </c>
      <c r="F3357">
        <v>3</v>
      </c>
      <c r="G3357">
        <v>0</v>
      </c>
      <c r="H3357" t="s">
        <v>74</v>
      </c>
      <c r="I3357" t="s">
        <v>91</v>
      </c>
      <c r="J3357" t="s">
        <v>16</v>
      </c>
      <c r="K3357" t="b">
        <v>1</v>
      </c>
      <c r="L3357">
        <v>2006</v>
      </c>
      <c r="M3357">
        <v>1107626711163</v>
      </c>
      <c r="N3357">
        <v>20885037596</v>
      </c>
      <c r="O3357" t="b">
        <v>1</v>
      </c>
      <c r="P3357">
        <v>1</v>
      </c>
      <c r="Q3357" t="str" cm="1">
        <f t="array" ref="Q3357">_xlfn.IFS(Table1[[#This Row],[Wealthier_Winner]]=-1,"Wealthier Nation Loses",Table1[[#This Row],[Wealthier_Winner]]=0,"Tie",Table1[[#This Row],[Wealthier_Winner]]=1,"Wealthier Nation Wins")</f>
        <v>Wealthier Nation Wins</v>
      </c>
    </row>
    <row r="3358" spans="1:17" x14ac:dyDescent="0.2">
      <c r="A3358" s="1">
        <v>5236</v>
      </c>
      <c r="B3358" s="2">
        <v>38895</v>
      </c>
      <c r="C3358" s="7">
        <f>_xlfn.FLOOR.MATH(Table1[[#This Row],[year]],10)</f>
        <v>2000</v>
      </c>
      <c r="D3358" t="s">
        <v>21</v>
      </c>
      <c r="E3358" t="s">
        <v>20</v>
      </c>
      <c r="F3358">
        <v>1</v>
      </c>
      <c r="G3358">
        <v>3</v>
      </c>
      <c r="H3358" t="s">
        <v>74</v>
      </c>
      <c r="I3358" t="s">
        <v>88</v>
      </c>
      <c r="J3358" t="s">
        <v>16</v>
      </c>
      <c r="K3358" t="b">
        <v>1</v>
      </c>
      <c r="L3358">
        <v>2006</v>
      </c>
      <c r="M3358">
        <v>1261846683275</v>
      </c>
      <c r="N3358">
        <v>2317861544690</v>
      </c>
      <c r="O3358" t="b">
        <v>0</v>
      </c>
      <c r="P3358">
        <v>1</v>
      </c>
      <c r="Q3358" t="str" cm="1">
        <f t="array" ref="Q3358">_xlfn.IFS(Table1[[#This Row],[Wealthier_Winner]]=-1,"Wealthier Nation Loses",Table1[[#This Row],[Wealthier_Winner]]=0,"Tie",Table1[[#This Row],[Wealthier_Winner]]=1,"Wealthier Nation Wins")</f>
        <v>Wealthier Nation Wins</v>
      </c>
    </row>
    <row r="3359" spans="1:17" x14ac:dyDescent="0.2">
      <c r="A3359" s="1">
        <v>5237</v>
      </c>
      <c r="B3359" s="2">
        <v>38898</v>
      </c>
      <c r="C3359" s="7">
        <f>_xlfn.FLOOR.MATH(Table1[[#This Row],[year]],10)</f>
        <v>2000</v>
      </c>
      <c r="D3359" t="s">
        <v>16</v>
      </c>
      <c r="E3359" t="s">
        <v>19</v>
      </c>
      <c r="F3359">
        <v>1</v>
      </c>
      <c r="G3359">
        <v>1</v>
      </c>
      <c r="H3359" t="s">
        <v>74</v>
      </c>
      <c r="I3359" t="s">
        <v>86</v>
      </c>
      <c r="J3359" t="s">
        <v>16</v>
      </c>
      <c r="K3359" t="b">
        <v>0</v>
      </c>
      <c r="L3359">
        <v>2006</v>
      </c>
      <c r="M3359">
        <v>3046308753670</v>
      </c>
      <c r="N3359">
        <v>232557260817</v>
      </c>
      <c r="O3359" t="b">
        <v>1</v>
      </c>
      <c r="P3359">
        <v>0</v>
      </c>
      <c r="Q3359" t="str" cm="1">
        <f t="array" ref="Q3359">_xlfn.IFS(Table1[[#This Row],[Wealthier_Winner]]=-1,"Wealthier Nation Loses",Table1[[#This Row],[Wealthier_Winner]]=0,"Tie",Table1[[#This Row],[Wealthier_Winner]]=1,"Wealthier Nation Wins")</f>
        <v>Tie</v>
      </c>
    </row>
    <row r="3360" spans="1:17" x14ac:dyDescent="0.2">
      <c r="A3360" s="1">
        <v>5238</v>
      </c>
      <c r="B3360" s="2">
        <v>38898</v>
      </c>
      <c r="C3360" s="7">
        <f>_xlfn.FLOOR.MATH(Table1[[#This Row],[year]],10)</f>
        <v>2000</v>
      </c>
      <c r="D3360" t="s">
        <v>18</v>
      </c>
      <c r="E3360" t="s">
        <v>64</v>
      </c>
      <c r="F3360">
        <v>3</v>
      </c>
      <c r="G3360">
        <v>0</v>
      </c>
      <c r="H3360" t="s">
        <v>74</v>
      </c>
      <c r="I3360" t="s">
        <v>89</v>
      </c>
      <c r="J3360" t="s">
        <v>16</v>
      </c>
      <c r="K3360" t="b">
        <v>1</v>
      </c>
      <c r="L3360">
        <v>2006</v>
      </c>
      <c r="M3360">
        <v>1958563654385</v>
      </c>
      <c r="N3360">
        <v>111884752475</v>
      </c>
      <c r="O3360" t="b">
        <v>1</v>
      </c>
      <c r="P3360">
        <v>1</v>
      </c>
      <c r="Q3360" t="str" cm="1">
        <f t="array" ref="Q3360">_xlfn.IFS(Table1[[#This Row],[Wealthier_Winner]]=-1,"Wealthier Nation Loses",Table1[[#This Row],[Wealthier_Winner]]=0,"Tie",Table1[[#This Row],[Wealthier_Winner]]=1,"Wealthier Nation Wins")</f>
        <v>Wealthier Nation Wins</v>
      </c>
    </row>
    <row r="3361" spans="1:17" x14ac:dyDescent="0.2">
      <c r="A3361" s="1">
        <v>5239</v>
      </c>
      <c r="B3361" s="2">
        <v>38899</v>
      </c>
      <c r="C3361" s="7">
        <f>_xlfn.FLOOR.MATH(Table1[[#This Row],[year]],10)</f>
        <v>2000</v>
      </c>
      <c r="D3361" t="s">
        <v>13</v>
      </c>
      <c r="E3361" t="s">
        <v>20</v>
      </c>
      <c r="F3361">
        <v>0</v>
      </c>
      <c r="G3361">
        <v>1</v>
      </c>
      <c r="H3361" t="s">
        <v>74</v>
      </c>
      <c r="I3361" t="s">
        <v>159</v>
      </c>
      <c r="J3361" t="s">
        <v>16</v>
      </c>
      <c r="K3361" t="b">
        <v>1</v>
      </c>
      <c r="L3361">
        <v>2006</v>
      </c>
      <c r="M3361">
        <v>1107626711163</v>
      </c>
      <c r="N3361">
        <v>2317861544690</v>
      </c>
      <c r="O3361" t="b">
        <v>1</v>
      </c>
      <c r="P3361">
        <v>1</v>
      </c>
      <c r="Q3361" t="str" cm="1">
        <f t="array" ref="Q3361">_xlfn.IFS(Table1[[#This Row],[Wealthier_Winner]]=-1,"Wealthier Nation Loses",Table1[[#This Row],[Wealthier_Winner]]=0,"Tie",Table1[[#This Row],[Wealthier_Winner]]=1,"Wealthier Nation Wins")</f>
        <v>Wealthier Nation Wins</v>
      </c>
    </row>
    <row r="3362" spans="1:17" x14ac:dyDescent="0.2">
      <c r="A3362" s="1">
        <v>5240</v>
      </c>
      <c r="B3362" s="2">
        <v>38899</v>
      </c>
      <c r="C3362" s="7">
        <f>_xlfn.FLOOR.MATH(Table1[[#This Row],[year]],10)</f>
        <v>2000</v>
      </c>
      <c r="D3362" t="s">
        <v>194</v>
      </c>
      <c r="E3362" t="s">
        <v>38</v>
      </c>
      <c r="F3362">
        <v>0</v>
      </c>
      <c r="G3362">
        <v>0</v>
      </c>
      <c r="H3362" t="s">
        <v>74</v>
      </c>
      <c r="I3362" t="s">
        <v>92</v>
      </c>
      <c r="J3362" t="s">
        <v>16</v>
      </c>
      <c r="K3362" t="b">
        <v>1</v>
      </c>
      <c r="L3362">
        <v>2006</v>
      </c>
      <c r="M3362">
        <v>2719558417663</v>
      </c>
      <c r="N3362">
        <v>208756449275</v>
      </c>
      <c r="O3362" t="b">
        <v>1</v>
      </c>
      <c r="P3362">
        <v>0</v>
      </c>
      <c r="Q3362" t="str" cm="1">
        <f t="array" ref="Q3362">_xlfn.IFS(Table1[[#This Row],[Wealthier_Winner]]=-1,"Wealthier Nation Loses",Table1[[#This Row],[Wealthier_Winner]]=0,"Tie",Table1[[#This Row],[Wealthier_Winner]]=1,"Wealthier Nation Wins")</f>
        <v>Tie</v>
      </c>
    </row>
    <row r="3363" spans="1:17" x14ac:dyDescent="0.2">
      <c r="A3363" s="1">
        <v>5241</v>
      </c>
      <c r="B3363" s="2">
        <v>38902</v>
      </c>
      <c r="C3363" s="7">
        <f>_xlfn.FLOOR.MATH(Table1[[#This Row],[year]],10)</f>
        <v>2000</v>
      </c>
      <c r="D3363" t="s">
        <v>16</v>
      </c>
      <c r="E3363" t="s">
        <v>18</v>
      </c>
      <c r="F3363">
        <v>0</v>
      </c>
      <c r="G3363">
        <v>2</v>
      </c>
      <c r="H3363" t="s">
        <v>74</v>
      </c>
      <c r="I3363" t="s">
        <v>91</v>
      </c>
      <c r="J3363" t="s">
        <v>16</v>
      </c>
      <c r="K3363" t="b">
        <v>0</v>
      </c>
      <c r="L3363">
        <v>2006</v>
      </c>
      <c r="M3363">
        <v>3046308753670</v>
      </c>
      <c r="N3363">
        <v>1958563654385</v>
      </c>
      <c r="O3363" t="b">
        <v>0</v>
      </c>
      <c r="P3363">
        <v>-1</v>
      </c>
      <c r="Q3363" t="str" cm="1">
        <f t="array" ref="Q3363">_xlfn.IFS(Table1[[#This Row],[Wealthier_Winner]]=-1,"Wealthier Nation Loses",Table1[[#This Row],[Wealthier_Winner]]=0,"Tie",Table1[[#This Row],[Wealthier_Winner]]=1,"Wealthier Nation Wins")</f>
        <v>Wealthier Nation Loses</v>
      </c>
    </row>
    <row r="3364" spans="1:17" x14ac:dyDescent="0.2">
      <c r="A3364" s="1">
        <v>5242</v>
      </c>
      <c r="B3364" s="2">
        <v>38903</v>
      </c>
      <c r="C3364" s="7">
        <f>_xlfn.FLOOR.MATH(Table1[[#This Row],[year]],10)</f>
        <v>2000</v>
      </c>
      <c r="D3364" t="s">
        <v>38</v>
      </c>
      <c r="E3364" t="s">
        <v>20</v>
      </c>
      <c r="F3364">
        <v>0</v>
      </c>
      <c r="G3364">
        <v>1</v>
      </c>
      <c r="H3364" t="s">
        <v>74</v>
      </c>
      <c r="I3364" t="s">
        <v>87</v>
      </c>
      <c r="J3364" t="s">
        <v>16</v>
      </c>
      <c r="K3364" t="b">
        <v>1</v>
      </c>
      <c r="L3364">
        <v>2006</v>
      </c>
      <c r="M3364">
        <v>208756449275</v>
      </c>
      <c r="N3364">
        <v>2317861544690</v>
      </c>
      <c r="O3364" t="b">
        <v>1</v>
      </c>
      <c r="P3364">
        <v>1</v>
      </c>
      <c r="Q3364" t="str" cm="1">
        <f t="array" ref="Q3364">_xlfn.IFS(Table1[[#This Row],[Wealthier_Winner]]=-1,"Wealthier Nation Loses",Table1[[#This Row],[Wealthier_Winner]]=0,"Tie",Table1[[#This Row],[Wealthier_Winner]]=1,"Wealthier Nation Wins")</f>
        <v>Wealthier Nation Wins</v>
      </c>
    </row>
    <row r="3365" spans="1:17" x14ac:dyDescent="0.2">
      <c r="A3365" s="1">
        <v>5243</v>
      </c>
      <c r="B3365" s="2">
        <v>38906</v>
      </c>
      <c r="C3365" s="7">
        <f>_xlfn.FLOOR.MATH(Table1[[#This Row],[year]],10)</f>
        <v>2000</v>
      </c>
      <c r="D3365" t="s">
        <v>16</v>
      </c>
      <c r="E3365" t="s">
        <v>38</v>
      </c>
      <c r="F3365">
        <v>3</v>
      </c>
      <c r="G3365">
        <v>1</v>
      </c>
      <c r="H3365" t="s">
        <v>74</v>
      </c>
      <c r="I3365" t="s">
        <v>90</v>
      </c>
      <c r="J3365" t="s">
        <v>16</v>
      </c>
      <c r="K3365" t="b">
        <v>0</v>
      </c>
      <c r="L3365">
        <v>2006</v>
      </c>
      <c r="M3365">
        <v>3046308753670</v>
      </c>
      <c r="N3365">
        <v>208756449275</v>
      </c>
      <c r="O3365" t="b">
        <v>1</v>
      </c>
      <c r="P3365">
        <v>1</v>
      </c>
      <c r="Q3365" t="str" cm="1">
        <f t="array" ref="Q3365">_xlfn.IFS(Table1[[#This Row],[Wealthier_Winner]]=-1,"Wealthier Nation Loses",Table1[[#This Row],[Wealthier_Winner]]=0,"Tie",Table1[[#This Row],[Wealthier_Winner]]=1,"Wealthier Nation Wins")</f>
        <v>Wealthier Nation Wins</v>
      </c>
    </row>
    <row r="3366" spans="1:17" x14ac:dyDescent="0.2">
      <c r="A3366" s="1">
        <v>5244</v>
      </c>
      <c r="B3366" s="2">
        <v>38907</v>
      </c>
      <c r="C3366" s="7">
        <f>_xlfn.FLOOR.MATH(Table1[[#This Row],[year]],10)</f>
        <v>2000</v>
      </c>
      <c r="D3366" t="s">
        <v>18</v>
      </c>
      <c r="E3366" t="s">
        <v>20</v>
      </c>
      <c r="F3366">
        <v>1</v>
      </c>
      <c r="G3366">
        <v>1</v>
      </c>
      <c r="H3366" t="s">
        <v>74</v>
      </c>
      <c r="I3366" t="s">
        <v>86</v>
      </c>
      <c r="J3366" t="s">
        <v>16</v>
      </c>
      <c r="K3366" t="b">
        <v>1</v>
      </c>
      <c r="L3366">
        <v>2006</v>
      </c>
      <c r="M3366">
        <v>1958563654385</v>
      </c>
      <c r="N3366">
        <v>2317861544690</v>
      </c>
      <c r="O3366" t="b">
        <v>0</v>
      </c>
      <c r="P3366">
        <v>0</v>
      </c>
      <c r="Q3366" t="str" cm="1">
        <f t="array" ref="Q3366">_xlfn.IFS(Table1[[#This Row],[Wealthier_Winner]]=-1,"Wealthier Nation Loses",Table1[[#This Row],[Wealthier_Winner]]=0,"Tie",Table1[[#This Row],[Wealthier_Winner]]=1,"Wealthier Nation Wins")</f>
        <v>Tie</v>
      </c>
    </row>
    <row r="3367" spans="1:17" x14ac:dyDescent="0.2">
      <c r="A3367" s="1">
        <v>5245</v>
      </c>
      <c r="B3367" s="2">
        <v>39363</v>
      </c>
      <c r="C3367" s="7">
        <f>_xlfn.FLOOR.MATH(Table1[[#This Row],[year]],10)</f>
        <v>2000</v>
      </c>
      <c r="D3367" t="s">
        <v>405</v>
      </c>
      <c r="E3367" t="s">
        <v>556</v>
      </c>
      <c r="F3367">
        <v>1</v>
      </c>
      <c r="G3367">
        <v>1</v>
      </c>
      <c r="H3367" t="s">
        <v>224</v>
      </c>
      <c r="I3367" t="s">
        <v>409</v>
      </c>
      <c r="J3367" t="s">
        <v>405</v>
      </c>
      <c r="K3367" t="b">
        <v>0</v>
      </c>
      <c r="L3367">
        <v>2007</v>
      </c>
      <c r="M3367">
        <v>79611644974</v>
      </c>
      <c r="N3367">
        <v>3719524540</v>
      </c>
      <c r="O3367" t="b">
        <v>1</v>
      </c>
      <c r="P3367">
        <v>0</v>
      </c>
      <c r="Q3367" t="str" cm="1">
        <f t="array" ref="Q3367">_xlfn.IFS(Table1[[#This Row],[Wealthier_Winner]]=-1,"Wealthier Nation Loses",Table1[[#This Row],[Wealthier_Winner]]=0,"Tie",Table1[[#This Row],[Wealthier_Winner]]=1,"Wealthier Nation Wins")</f>
        <v>Tie</v>
      </c>
    </row>
    <row r="3368" spans="1:17" x14ac:dyDescent="0.2">
      <c r="A3368" s="1">
        <v>5246</v>
      </c>
      <c r="B3368" s="2">
        <v>39363</v>
      </c>
      <c r="C3368" s="7">
        <f>_xlfn.FLOOR.MATH(Table1[[#This Row],[year]],10)</f>
        <v>2000</v>
      </c>
      <c r="D3368" t="s">
        <v>479</v>
      </c>
      <c r="E3368" t="s">
        <v>406</v>
      </c>
      <c r="F3368">
        <v>4</v>
      </c>
      <c r="G3368">
        <v>1</v>
      </c>
      <c r="H3368" t="s">
        <v>224</v>
      </c>
      <c r="I3368" t="s">
        <v>687</v>
      </c>
      <c r="J3368" t="s">
        <v>479</v>
      </c>
      <c r="K3368" t="b">
        <v>0</v>
      </c>
      <c r="L3368">
        <v>2007</v>
      </c>
      <c r="M3368">
        <v>24827355014</v>
      </c>
      <c r="N3368">
        <v>1216736438834</v>
      </c>
      <c r="O3368" t="b">
        <v>1</v>
      </c>
      <c r="P3368">
        <v>-1</v>
      </c>
      <c r="Q3368" t="str" cm="1">
        <f t="array" ref="Q3368">_xlfn.IFS(Table1[[#This Row],[Wealthier_Winner]]=-1,"Wealthier Nation Loses",Table1[[#This Row],[Wealthier_Winner]]=0,"Tie",Table1[[#This Row],[Wealthier_Winner]]=1,"Wealthier Nation Wins")</f>
        <v>Wealthier Nation Loses</v>
      </c>
    </row>
    <row r="3369" spans="1:17" x14ac:dyDescent="0.2">
      <c r="A3369" s="1">
        <v>5247</v>
      </c>
      <c r="B3369" s="2">
        <v>39363</v>
      </c>
      <c r="C3369" s="7">
        <f>_xlfn.FLOOR.MATH(Table1[[#This Row],[year]],10)</f>
        <v>2000</v>
      </c>
      <c r="D3369" t="s">
        <v>429</v>
      </c>
      <c r="E3369" t="s">
        <v>400</v>
      </c>
      <c r="F3369">
        <v>2</v>
      </c>
      <c r="G3369">
        <v>0</v>
      </c>
      <c r="H3369" t="s">
        <v>224</v>
      </c>
      <c r="I3369" t="s">
        <v>430</v>
      </c>
      <c r="J3369" t="s">
        <v>429</v>
      </c>
      <c r="K3369" t="b">
        <v>0</v>
      </c>
      <c r="L3369">
        <v>2007</v>
      </c>
      <c r="M3369">
        <v>48300390117</v>
      </c>
      <c r="N3369">
        <v>10325618017</v>
      </c>
      <c r="O3369" t="b">
        <v>1</v>
      </c>
      <c r="P3369">
        <v>1</v>
      </c>
      <c r="Q3369" t="str" cm="1">
        <f t="array" ref="Q3369">_xlfn.IFS(Table1[[#This Row],[Wealthier_Winner]]=-1,"Wealthier Nation Loses",Table1[[#This Row],[Wealthier_Winner]]=0,"Tie",Table1[[#This Row],[Wealthier_Winner]]=1,"Wealthier Nation Wins")</f>
        <v>Wealthier Nation Wins</v>
      </c>
    </row>
    <row r="3370" spans="1:17" x14ac:dyDescent="0.2">
      <c r="A3370" s="1">
        <v>5249</v>
      </c>
      <c r="B3370" s="2">
        <v>39363</v>
      </c>
      <c r="C3370" s="7">
        <f>_xlfn.FLOOR.MATH(Table1[[#This Row],[year]],10)</f>
        <v>2000</v>
      </c>
      <c r="D3370" t="s">
        <v>331</v>
      </c>
      <c r="E3370" t="s">
        <v>641</v>
      </c>
      <c r="F3370">
        <v>3</v>
      </c>
      <c r="G3370">
        <v>0</v>
      </c>
      <c r="H3370" t="s">
        <v>224</v>
      </c>
      <c r="I3370" t="s">
        <v>355</v>
      </c>
      <c r="J3370" t="s">
        <v>331</v>
      </c>
      <c r="K3370" t="b">
        <v>0</v>
      </c>
      <c r="L3370">
        <v>2007</v>
      </c>
      <c r="M3370">
        <v>40465318382</v>
      </c>
      <c r="N3370">
        <v>9747886187</v>
      </c>
      <c r="O3370" t="b">
        <v>1</v>
      </c>
      <c r="P3370">
        <v>1</v>
      </c>
      <c r="Q3370" t="str" cm="1">
        <f t="array" ref="Q3370">_xlfn.IFS(Table1[[#This Row],[Wealthier_Winner]]=-1,"Wealthier Nation Loses",Table1[[#This Row],[Wealthier_Winner]]=0,"Tie",Table1[[#This Row],[Wealthier_Winner]]=1,"Wealthier Nation Wins")</f>
        <v>Wealthier Nation Wins</v>
      </c>
    </row>
    <row r="3371" spans="1:17" x14ac:dyDescent="0.2">
      <c r="A3371" s="1">
        <v>5251</v>
      </c>
      <c r="B3371" s="2">
        <v>39363</v>
      </c>
      <c r="C3371" s="7">
        <f>_xlfn.FLOOR.MATH(Table1[[#This Row],[year]],10)</f>
        <v>2000</v>
      </c>
      <c r="D3371" t="s">
        <v>475</v>
      </c>
      <c r="E3371" t="s">
        <v>39</v>
      </c>
      <c r="F3371">
        <v>0</v>
      </c>
      <c r="G3371">
        <v>1</v>
      </c>
      <c r="H3371" t="s">
        <v>224</v>
      </c>
      <c r="I3371" t="s">
        <v>647</v>
      </c>
      <c r="J3371" t="s">
        <v>475</v>
      </c>
      <c r="K3371" t="b">
        <v>0</v>
      </c>
      <c r="L3371">
        <v>2007</v>
      </c>
      <c r="M3371">
        <v>77414425532</v>
      </c>
      <c r="N3371">
        <v>257916133424</v>
      </c>
      <c r="O3371" t="b">
        <v>1</v>
      </c>
      <c r="P3371">
        <v>1</v>
      </c>
      <c r="Q3371" t="str" cm="1">
        <f t="array" ref="Q3371">_xlfn.IFS(Table1[[#This Row],[Wealthier_Winner]]=-1,"Wealthier Nation Loses",Table1[[#This Row],[Wealthier_Winner]]=0,"Tie",Table1[[#This Row],[Wealthier_Winner]]=1,"Wealthier Nation Wins")</f>
        <v>Wealthier Nation Wins</v>
      </c>
    </row>
    <row r="3372" spans="1:17" x14ac:dyDescent="0.2">
      <c r="A3372" s="1">
        <v>5253</v>
      </c>
      <c r="B3372" s="2">
        <v>39366</v>
      </c>
      <c r="C3372" s="7">
        <f>_xlfn.FLOOR.MATH(Table1[[#This Row],[year]],10)</f>
        <v>2000</v>
      </c>
      <c r="D3372" t="s">
        <v>551</v>
      </c>
      <c r="E3372" t="s">
        <v>560</v>
      </c>
      <c r="F3372">
        <v>0</v>
      </c>
      <c r="G3372">
        <v>1</v>
      </c>
      <c r="H3372" t="s">
        <v>224</v>
      </c>
      <c r="I3372" t="s">
        <v>553</v>
      </c>
      <c r="J3372" t="s">
        <v>551</v>
      </c>
      <c r="K3372" t="b">
        <v>0</v>
      </c>
      <c r="L3372">
        <v>2007</v>
      </c>
      <c r="M3372">
        <v>10127916459</v>
      </c>
      <c r="N3372">
        <v>12664165103</v>
      </c>
      <c r="O3372" t="b">
        <v>0</v>
      </c>
      <c r="P3372">
        <v>1</v>
      </c>
      <c r="Q3372" t="str" cm="1">
        <f t="array" ref="Q3372">_xlfn.IFS(Table1[[#This Row],[Wealthier_Winner]]=-1,"Wealthier Nation Loses",Table1[[#This Row],[Wealthier_Winner]]=0,"Tie",Table1[[#This Row],[Wealthier_Winner]]=1,"Wealthier Nation Wins")</f>
        <v>Wealthier Nation Wins</v>
      </c>
    </row>
    <row r="3373" spans="1:17" x14ac:dyDescent="0.2">
      <c r="A3373" s="1">
        <v>5254</v>
      </c>
      <c r="B3373" s="2">
        <v>39368</v>
      </c>
      <c r="C3373" s="7">
        <f>_xlfn.FLOOR.MATH(Table1[[#This Row],[year]],10)</f>
        <v>2000</v>
      </c>
      <c r="D3373" t="s">
        <v>19</v>
      </c>
      <c r="E3373" t="s">
        <v>14</v>
      </c>
      <c r="F3373">
        <v>2</v>
      </c>
      <c r="G3373">
        <v>0</v>
      </c>
      <c r="H3373" t="s">
        <v>224</v>
      </c>
      <c r="I3373" t="s">
        <v>93</v>
      </c>
      <c r="J3373" t="s">
        <v>19</v>
      </c>
      <c r="K3373" t="b">
        <v>0</v>
      </c>
      <c r="L3373">
        <v>2007</v>
      </c>
      <c r="M3373">
        <v>287530508430</v>
      </c>
      <c r="N3373">
        <v>172491076033</v>
      </c>
      <c r="O3373" t="b">
        <v>0</v>
      </c>
      <c r="P3373">
        <v>1</v>
      </c>
      <c r="Q3373" t="str" cm="1">
        <f t="array" ref="Q3373">_xlfn.IFS(Table1[[#This Row],[Wealthier_Winner]]=-1,"Wealthier Nation Loses",Table1[[#This Row],[Wealthier_Winner]]=0,"Tie",Table1[[#This Row],[Wealthier_Winner]]=1,"Wealthier Nation Wins")</f>
        <v>Wealthier Nation Wins</v>
      </c>
    </row>
    <row r="3374" spans="1:17" x14ac:dyDescent="0.2">
      <c r="A3374" s="1">
        <v>5255</v>
      </c>
      <c r="B3374" s="2">
        <v>39368</v>
      </c>
      <c r="C3374" s="7">
        <f>_xlfn.FLOOR.MATH(Table1[[#This Row],[year]],10)</f>
        <v>2000</v>
      </c>
      <c r="D3374" t="s">
        <v>57</v>
      </c>
      <c r="E3374" t="s">
        <v>258</v>
      </c>
      <c r="F3374">
        <v>0</v>
      </c>
      <c r="G3374">
        <v>1</v>
      </c>
      <c r="H3374" t="s">
        <v>224</v>
      </c>
      <c r="I3374" t="s">
        <v>335</v>
      </c>
      <c r="J3374" t="s">
        <v>57</v>
      </c>
      <c r="K3374" t="b">
        <v>0</v>
      </c>
      <c r="L3374">
        <v>2007</v>
      </c>
      <c r="M3374">
        <v>49848725000</v>
      </c>
      <c r="N3374">
        <v>230364012575</v>
      </c>
      <c r="O3374" t="b">
        <v>1</v>
      </c>
      <c r="P3374">
        <v>1</v>
      </c>
      <c r="Q3374" t="str" cm="1">
        <f t="array" ref="Q3374">_xlfn.IFS(Table1[[#This Row],[Wealthier_Winner]]=-1,"Wealthier Nation Loses",Table1[[#This Row],[Wealthier_Winner]]=0,"Tie",Table1[[#This Row],[Wealthier_Winner]]=1,"Wealthier Nation Wins")</f>
        <v>Wealthier Nation Wins</v>
      </c>
    </row>
    <row r="3375" spans="1:17" x14ac:dyDescent="0.2">
      <c r="A3375" s="1">
        <v>5256</v>
      </c>
      <c r="B3375" s="2">
        <v>39368</v>
      </c>
      <c r="C3375" s="7">
        <f>_xlfn.FLOOR.MATH(Table1[[#This Row],[year]],10)</f>
        <v>2000</v>
      </c>
      <c r="D3375" t="s">
        <v>31</v>
      </c>
      <c r="E3375" t="s">
        <v>35</v>
      </c>
      <c r="F3375">
        <v>0</v>
      </c>
      <c r="G3375">
        <v>0</v>
      </c>
      <c r="H3375" t="s">
        <v>224</v>
      </c>
      <c r="I3375" t="s">
        <v>242</v>
      </c>
      <c r="J3375" t="s">
        <v>31</v>
      </c>
      <c r="K3375" t="b">
        <v>0</v>
      </c>
      <c r="L3375">
        <v>2007</v>
      </c>
      <c r="M3375">
        <v>102170981144</v>
      </c>
      <c r="N3375">
        <v>17856393235</v>
      </c>
      <c r="O3375" t="b">
        <v>1</v>
      </c>
      <c r="P3375">
        <v>0</v>
      </c>
      <c r="Q3375" t="str" cm="1">
        <f t="array" ref="Q3375">_xlfn.IFS(Table1[[#This Row],[Wealthier_Winner]]=-1,"Wealthier Nation Loses",Table1[[#This Row],[Wealthier_Winner]]=0,"Tie",Table1[[#This Row],[Wealthier_Winner]]=1,"Wealthier Nation Wins")</f>
        <v>Tie</v>
      </c>
    </row>
    <row r="3376" spans="1:17" x14ac:dyDescent="0.2">
      <c r="A3376" s="1">
        <v>5257</v>
      </c>
      <c r="B3376" s="2">
        <v>39368</v>
      </c>
      <c r="C3376" s="7">
        <f>_xlfn.FLOOR.MATH(Table1[[#This Row],[year]],10)</f>
        <v>2000</v>
      </c>
      <c r="D3376" t="s">
        <v>26</v>
      </c>
      <c r="E3376" t="s">
        <v>47</v>
      </c>
      <c r="F3376">
        <v>5</v>
      </c>
      <c r="G3376">
        <v>0</v>
      </c>
      <c r="H3376" t="s">
        <v>224</v>
      </c>
      <c r="I3376" t="s">
        <v>247</v>
      </c>
      <c r="J3376" t="s">
        <v>26</v>
      </c>
      <c r="K3376" t="b">
        <v>0</v>
      </c>
      <c r="L3376">
        <v>2007</v>
      </c>
      <c r="M3376">
        <v>23797773024</v>
      </c>
      <c r="N3376">
        <v>13120108008</v>
      </c>
      <c r="O3376" t="b">
        <v>0</v>
      </c>
      <c r="P3376">
        <v>1</v>
      </c>
      <c r="Q3376" t="str" cm="1">
        <f t="array" ref="Q3376">_xlfn.IFS(Table1[[#This Row],[Wealthier_Winner]]=-1,"Wealthier Nation Loses",Table1[[#This Row],[Wealthier_Winner]]=0,"Tie",Table1[[#This Row],[Wealthier_Winner]]=1,"Wealthier Nation Wins")</f>
        <v>Wealthier Nation Wins</v>
      </c>
    </row>
    <row r="3377" spans="1:17" x14ac:dyDescent="0.2">
      <c r="A3377" s="1">
        <v>5259</v>
      </c>
      <c r="B3377" s="2">
        <v>39369</v>
      </c>
      <c r="C3377" s="7">
        <f>_xlfn.FLOOR.MATH(Table1[[#This Row],[year]],10)</f>
        <v>2000</v>
      </c>
      <c r="D3377" t="s">
        <v>15</v>
      </c>
      <c r="E3377" t="s">
        <v>13</v>
      </c>
      <c r="F3377">
        <v>0</v>
      </c>
      <c r="G3377">
        <v>0</v>
      </c>
      <c r="H3377" t="s">
        <v>224</v>
      </c>
      <c r="I3377" t="s">
        <v>241</v>
      </c>
      <c r="J3377" t="s">
        <v>15</v>
      </c>
      <c r="K3377" t="b">
        <v>0</v>
      </c>
      <c r="L3377">
        <v>2007</v>
      </c>
      <c r="M3377">
        <v>206229540926</v>
      </c>
      <c r="N3377">
        <v>1397114247188</v>
      </c>
      <c r="O3377" t="b">
        <v>1</v>
      </c>
      <c r="P3377">
        <v>0</v>
      </c>
      <c r="Q3377" t="str" cm="1">
        <f t="array" ref="Q3377">_xlfn.IFS(Table1[[#This Row],[Wealthier_Winner]]=-1,"Wealthier Nation Loses",Table1[[#This Row],[Wealthier_Winner]]=0,"Tie",Table1[[#This Row],[Wealthier_Winner]]=1,"Wealthier Nation Wins")</f>
        <v>Tie</v>
      </c>
    </row>
    <row r="3378" spans="1:17" x14ac:dyDescent="0.2">
      <c r="A3378" s="1">
        <v>5260</v>
      </c>
      <c r="B3378" s="2">
        <v>39369</v>
      </c>
      <c r="C3378" s="7">
        <f>_xlfn.FLOOR.MATH(Table1[[#This Row],[year]],10)</f>
        <v>2000</v>
      </c>
      <c r="D3378" t="s">
        <v>410</v>
      </c>
      <c r="E3378" t="s">
        <v>688</v>
      </c>
      <c r="F3378">
        <v>6</v>
      </c>
      <c r="G3378">
        <v>2</v>
      </c>
      <c r="H3378" t="s">
        <v>224</v>
      </c>
      <c r="I3378" t="s">
        <v>413</v>
      </c>
      <c r="J3378" t="s">
        <v>410</v>
      </c>
      <c r="K3378" t="b">
        <v>0</v>
      </c>
      <c r="L3378">
        <v>2007</v>
      </c>
      <c r="M3378">
        <v>8524620889</v>
      </c>
      <c r="N3378">
        <v>795673152</v>
      </c>
      <c r="O3378" t="b">
        <v>1</v>
      </c>
      <c r="P3378">
        <v>1</v>
      </c>
      <c r="Q3378" t="str" cm="1">
        <f t="array" ref="Q3378">_xlfn.IFS(Table1[[#This Row],[Wealthier_Winner]]=-1,"Wealthier Nation Loses",Table1[[#This Row],[Wealthier_Winner]]=0,"Tie",Table1[[#This Row],[Wealthier_Winner]]=1,"Wealthier Nation Wins")</f>
        <v>Wealthier Nation Wins</v>
      </c>
    </row>
    <row r="3379" spans="1:17" x14ac:dyDescent="0.2">
      <c r="A3379" s="1">
        <v>5262</v>
      </c>
      <c r="B3379" s="2">
        <v>39371</v>
      </c>
      <c r="C3379" s="7">
        <f>_xlfn.FLOOR.MATH(Table1[[#This Row],[year]],10)</f>
        <v>2000</v>
      </c>
      <c r="D3379" t="s">
        <v>258</v>
      </c>
      <c r="E3379" t="s">
        <v>19</v>
      </c>
      <c r="F3379">
        <v>0</v>
      </c>
      <c r="G3379">
        <v>2</v>
      </c>
      <c r="H3379" t="s">
        <v>224</v>
      </c>
      <c r="I3379" t="s">
        <v>572</v>
      </c>
      <c r="J3379" t="s">
        <v>258</v>
      </c>
      <c r="K3379" t="b">
        <v>0</v>
      </c>
      <c r="L3379">
        <v>2007</v>
      </c>
      <c r="M3379">
        <v>230364012575</v>
      </c>
      <c r="N3379">
        <v>287530508430</v>
      </c>
      <c r="O3379" t="b">
        <v>0</v>
      </c>
      <c r="P3379">
        <v>1</v>
      </c>
      <c r="Q3379" t="str" cm="1">
        <f t="array" ref="Q3379">_xlfn.IFS(Table1[[#This Row],[Wealthier_Winner]]=-1,"Wealthier Nation Loses",Table1[[#This Row],[Wealthier_Winner]]=0,"Tie",Table1[[#This Row],[Wealthier_Winner]]=1,"Wealthier Nation Wins")</f>
        <v>Wealthier Nation Wins</v>
      </c>
    </row>
    <row r="3380" spans="1:17" x14ac:dyDescent="0.2">
      <c r="A3380" s="1">
        <v>5263</v>
      </c>
      <c r="B3380" s="2">
        <v>39372</v>
      </c>
      <c r="C3380" s="7">
        <f>_xlfn.FLOOR.MATH(Table1[[#This Row],[year]],10)</f>
        <v>2000</v>
      </c>
      <c r="D3380" t="s">
        <v>47</v>
      </c>
      <c r="E3380" t="s">
        <v>15</v>
      </c>
      <c r="F3380">
        <v>0</v>
      </c>
      <c r="G3380">
        <v>0</v>
      </c>
      <c r="H3380" t="s">
        <v>224</v>
      </c>
      <c r="I3380" t="s">
        <v>246</v>
      </c>
      <c r="J3380" t="s">
        <v>47</v>
      </c>
      <c r="K3380" t="b">
        <v>0</v>
      </c>
      <c r="L3380">
        <v>2007</v>
      </c>
      <c r="M3380">
        <v>13120108008</v>
      </c>
      <c r="N3380">
        <v>206229540926</v>
      </c>
      <c r="O3380" t="b">
        <v>1</v>
      </c>
      <c r="P3380">
        <v>0</v>
      </c>
      <c r="Q3380" t="str" cm="1">
        <f t="array" ref="Q3380">_xlfn.IFS(Table1[[#This Row],[Wealthier_Winner]]=-1,"Wealthier Nation Loses",Table1[[#This Row],[Wealthier_Winner]]=0,"Tie",Table1[[#This Row],[Wealthier_Winner]]=1,"Wealthier Nation Wins")</f>
        <v>Tie</v>
      </c>
    </row>
    <row r="3381" spans="1:17" x14ac:dyDescent="0.2">
      <c r="A3381" s="1">
        <v>5264</v>
      </c>
      <c r="B3381" s="2">
        <v>39372</v>
      </c>
      <c r="C3381" s="7">
        <f>_xlfn.FLOOR.MATH(Table1[[#This Row],[year]],10)</f>
        <v>2000</v>
      </c>
      <c r="D3381" t="s">
        <v>13</v>
      </c>
      <c r="E3381" t="s">
        <v>57</v>
      </c>
      <c r="F3381">
        <v>5</v>
      </c>
      <c r="G3381">
        <v>0</v>
      </c>
      <c r="H3381" t="s">
        <v>224</v>
      </c>
      <c r="I3381" t="s">
        <v>173</v>
      </c>
      <c r="J3381" t="s">
        <v>13</v>
      </c>
      <c r="K3381" t="b">
        <v>0</v>
      </c>
      <c r="L3381">
        <v>2007</v>
      </c>
      <c r="M3381">
        <v>1397114247188</v>
      </c>
      <c r="N3381">
        <v>49848725000</v>
      </c>
      <c r="O3381" t="b">
        <v>1</v>
      </c>
      <c r="P3381">
        <v>1</v>
      </c>
      <c r="Q3381" t="str" cm="1">
        <f t="array" ref="Q3381">_xlfn.IFS(Table1[[#This Row],[Wealthier_Winner]]=-1,"Wealthier Nation Loses",Table1[[#This Row],[Wealthier_Winner]]=0,"Tie",Table1[[#This Row],[Wealthier_Winner]]=1,"Wealthier Nation Wins")</f>
        <v>Wealthier Nation Wins</v>
      </c>
    </row>
    <row r="3382" spans="1:17" x14ac:dyDescent="0.2">
      <c r="A3382" s="1">
        <v>5265</v>
      </c>
      <c r="B3382" s="2">
        <v>39372</v>
      </c>
      <c r="C3382" s="7">
        <f>_xlfn.FLOOR.MATH(Table1[[#This Row],[year]],10)</f>
        <v>2000</v>
      </c>
      <c r="D3382" t="s">
        <v>14</v>
      </c>
      <c r="E3382" t="s">
        <v>31</v>
      </c>
      <c r="F3382">
        <v>2</v>
      </c>
      <c r="G3382">
        <v>0</v>
      </c>
      <c r="H3382" t="s">
        <v>224</v>
      </c>
      <c r="I3382" t="s">
        <v>75</v>
      </c>
      <c r="J3382" t="s">
        <v>14</v>
      </c>
      <c r="K3382" t="b">
        <v>0</v>
      </c>
      <c r="L3382">
        <v>2007</v>
      </c>
      <c r="M3382">
        <v>172491076033</v>
      </c>
      <c r="N3382">
        <v>102170981144</v>
      </c>
      <c r="O3382" t="b">
        <v>0</v>
      </c>
      <c r="P3382">
        <v>1</v>
      </c>
      <c r="Q3382" t="str" cm="1">
        <f t="array" ref="Q3382">_xlfn.IFS(Table1[[#This Row],[Wealthier_Winner]]=-1,"Wealthier Nation Loses",Table1[[#This Row],[Wealthier_Winner]]=0,"Tie",Table1[[#This Row],[Wealthier_Winner]]=1,"Wealthier Nation Wins")</f>
        <v>Wealthier Nation Wins</v>
      </c>
    </row>
    <row r="3383" spans="1:17" x14ac:dyDescent="0.2">
      <c r="A3383" s="1">
        <v>5266</v>
      </c>
      <c r="B3383" s="2">
        <v>39372</v>
      </c>
      <c r="C3383" s="7">
        <f>_xlfn.FLOOR.MATH(Table1[[#This Row],[year]],10)</f>
        <v>2000</v>
      </c>
      <c r="D3383" t="s">
        <v>35</v>
      </c>
      <c r="E3383" t="s">
        <v>26</v>
      </c>
      <c r="F3383">
        <v>1</v>
      </c>
      <c r="G3383">
        <v>0</v>
      </c>
      <c r="H3383" t="s">
        <v>224</v>
      </c>
      <c r="I3383" t="s">
        <v>250</v>
      </c>
      <c r="J3383" t="s">
        <v>35</v>
      </c>
      <c r="K3383" t="b">
        <v>0</v>
      </c>
      <c r="L3383">
        <v>2007</v>
      </c>
      <c r="M3383">
        <v>17856393235</v>
      </c>
      <c r="N3383">
        <v>23797773024</v>
      </c>
      <c r="O3383" t="b">
        <v>0</v>
      </c>
      <c r="P3383">
        <v>-1</v>
      </c>
      <c r="Q3383" t="str" cm="1">
        <f t="array" ref="Q3383">_xlfn.IFS(Table1[[#This Row],[Wealthier_Winner]]=-1,"Wealthier Nation Loses",Table1[[#This Row],[Wealthier_Winner]]=0,"Tie",Table1[[#This Row],[Wealthier_Winner]]=1,"Wealthier Nation Wins")</f>
        <v>Wealthier Nation Loses</v>
      </c>
    </row>
    <row r="3384" spans="1:17" x14ac:dyDescent="0.2">
      <c r="A3384" s="1">
        <v>5267</v>
      </c>
      <c r="B3384" s="2">
        <v>39372</v>
      </c>
      <c r="C3384" s="7">
        <f>_xlfn.FLOOR.MATH(Table1[[#This Row],[year]],10)</f>
        <v>2000</v>
      </c>
      <c r="D3384" t="s">
        <v>342</v>
      </c>
      <c r="E3384" t="s">
        <v>508</v>
      </c>
      <c r="F3384">
        <v>1</v>
      </c>
      <c r="G3384">
        <v>0</v>
      </c>
      <c r="H3384" t="s">
        <v>224</v>
      </c>
      <c r="I3384" t="s">
        <v>344</v>
      </c>
      <c r="J3384" t="s">
        <v>342</v>
      </c>
      <c r="K3384" t="b">
        <v>0</v>
      </c>
      <c r="L3384">
        <v>2007</v>
      </c>
      <c r="M3384">
        <v>3632957611</v>
      </c>
      <c r="N3384">
        <v>753162998</v>
      </c>
      <c r="O3384" t="b">
        <v>1</v>
      </c>
      <c r="P3384">
        <v>1</v>
      </c>
      <c r="Q3384" t="str" cm="1">
        <f t="array" ref="Q3384">_xlfn.IFS(Table1[[#This Row],[Wealthier_Winner]]=-1,"Wealthier Nation Loses",Table1[[#This Row],[Wealthier_Winner]]=0,"Tie",Table1[[#This Row],[Wealthier_Winner]]=1,"Wealthier Nation Wins")</f>
        <v>Wealthier Nation Wins</v>
      </c>
    </row>
    <row r="3385" spans="1:17" x14ac:dyDescent="0.2">
      <c r="A3385" s="1">
        <v>5269</v>
      </c>
      <c r="B3385" s="2">
        <v>39376</v>
      </c>
      <c r="C3385" s="7">
        <f>_xlfn.FLOOR.MATH(Table1[[#This Row],[year]],10)</f>
        <v>2000</v>
      </c>
      <c r="D3385" t="s">
        <v>361</v>
      </c>
      <c r="E3385" t="s">
        <v>333</v>
      </c>
      <c r="F3385">
        <v>4</v>
      </c>
      <c r="G3385">
        <v>1</v>
      </c>
      <c r="H3385" t="s">
        <v>224</v>
      </c>
      <c r="I3385" t="s">
        <v>419</v>
      </c>
      <c r="J3385" t="s">
        <v>361</v>
      </c>
      <c r="K3385" t="b">
        <v>0</v>
      </c>
      <c r="L3385">
        <v>2007</v>
      </c>
      <c r="M3385">
        <v>21730000000</v>
      </c>
      <c r="N3385">
        <v>193549569477</v>
      </c>
      <c r="O3385" t="b">
        <v>1</v>
      </c>
      <c r="P3385">
        <v>-1</v>
      </c>
      <c r="Q3385" t="str" cm="1">
        <f t="array" ref="Q3385">_xlfn.IFS(Table1[[#This Row],[Wealthier_Winner]]=-1,"Wealthier Nation Loses",Table1[[#This Row],[Wealthier_Winner]]=0,"Tie",Table1[[#This Row],[Wealthier_Winner]]=1,"Wealthier Nation Wins")</f>
        <v>Wealthier Nation Loses</v>
      </c>
    </row>
    <row r="3386" spans="1:17" x14ac:dyDescent="0.2">
      <c r="A3386" s="1">
        <v>5273</v>
      </c>
      <c r="B3386" s="2">
        <v>39376</v>
      </c>
      <c r="C3386" s="7">
        <f>_xlfn.FLOOR.MATH(Table1[[#This Row],[year]],10)</f>
        <v>2000</v>
      </c>
      <c r="D3386" t="s">
        <v>473</v>
      </c>
      <c r="E3386" t="s">
        <v>68</v>
      </c>
      <c r="F3386">
        <v>0</v>
      </c>
      <c r="G3386">
        <v>1</v>
      </c>
      <c r="H3386" t="s">
        <v>224</v>
      </c>
      <c r="I3386" t="s">
        <v>652</v>
      </c>
      <c r="J3386" t="s">
        <v>473</v>
      </c>
      <c r="K3386" t="b">
        <v>0</v>
      </c>
      <c r="L3386">
        <v>2007</v>
      </c>
      <c r="M3386">
        <v>32350238760</v>
      </c>
      <c r="N3386">
        <v>79712087912</v>
      </c>
      <c r="O3386" t="b">
        <v>1</v>
      </c>
      <c r="P3386">
        <v>1</v>
      </c>
      <c r="Q3386" t="str" cm="1">
        <f t="array" ref="Q3386">_xlfn.IFS(Table1[[#This Row],[Wealthier_Winner]]=-1,"Wealthier Nation Loses",Table1[[#This Row],[Wealthier_Winner]]=0,"Tie",Table1[[#This Row],[Wealthier_Winner]]=1,"Wealthier Nation Wins")</f>
        <v>Wealthier Nation Wins</v>
      </c>
    </row>
    <row r="3387" spans="1:17" x14ac:dyDescent="0.2">
      <c r="A3387" s="1">
        <v>5274</v>
      </c>
      <c r="B3387" s="2">
        <v>39377</v>
      </c>
      <c r="C3387" s="7">
        <f>_xlfn.FLOOR.MATH(Table1[[#This Row],[year]],10)</f>
        <v>2000</v>
      </c>
      <c r="D3387" t="s">
        <v>431</v>
      </c>
      <c r="E3387" t="s">
        <v>37</v>
      </c>
      <c r="F3387">
        <v>0</v>
      </c>
      <c r="G3387">
        <v>7</v>
      </c>
      <c r="H3387" t="s">
        <v>224</v>
      </c>
      <c r="I3387" t="s">
        <v>562</v>
      </c>
      <c r="J3387" t="s">
        <v>431</v>
      </c>
      <c r="K3387" t="b">
        <v>0</v>
      </c>
      <c r="L3387">
        <v>2007</v>
      </c>
      <c r="M3387">
        <v>184140869997</v>
      </c>
      <c r="N3387">
        <v>88837057319</v>
      </c>
      <c r="O3387" t="b">
        <v>1</v>
      </c>
      <c r="P3387">
        <v>-1</v>
      </c>
      <c r="Q3387" t="str" cm="1">
        <f t="array" ref="Q3387">_xlfn.IFS(Table1[[#This Row],[Wealthier_Winner]]=-1,"Wealthier Nation Loses",Table1[[#This Row],[Wealthier_Winner]]=0,"Tie",Table1[[#This Row],[Wealthier_Winner]]=1,"Wealthier Nation Wins")</f>
        <v>Wealthier Nation Loses</v>
      </c>
    </row>
    <row r="3388" spans="1:17" x14ac:dyDescent="0.2">
      <c r="A3388" s="1">
        <v>5275</v>
      </c>
      <c r="B3388" s="2">
        <v>39381</v>
      </c>
      <c r="C3388" s="7">
        <f>_xlfn.FLOOR.MATH(Table1[[#This Row],[year]],10)</f>
        <v>2000</v>
      </c>
      <c r="D3388" t="s">
        <v>641</v>
      </c>
      <c r="E3388" t="s">
        <v>331</v>
      </c>
      <c r="F3388">
        <v>1</v>
      </c>
      <c r="G3388">
        <v>2</v>
      </c>
      <c r="H3388" t="s">
        <v>224</v>
      </c>
      <c r="I3388" t="s">
        <v>557</v>
      </c>
      <c r="J3388" t="s">
        <v>556</v>
      </c>
      <c r="K3388" t="b">
        <v>1</v>
      </c>
      <c r="L3388">
        <v>2007</v>
      </c>
      <c r="M3388">
        <v>9747886187</v>
      </c>
      <c r="N3388">
        <v>40465318382</v>
      </c>
      <c r="O3388" t="b">
        <v>1</v>
      </c>
      <c r="P3388">
        <v>1</v>
      </c>
      <c r="Q3388" t="str" cm="1">
        <f t="array" ref="Q3388">_xlfn.IFS(Table1[[#This Row],[Wealthier_Winner]]=-1,"Wealthier Nation Loses",Table1[[#This Row],[Wealthier_Winner]]=0,"Tie",Table1[[#This Row],[Wealthier_Winner]]=1,"Wealthier Nation Wins")</f>
        <v>Wealthier Nation Wins</v>
      </c>
    </row>
    <row r="3389" spans="1:17" x14ac:dyDescent="0.2">
      <c r="A3389" s="1">
        <v>5278</v>
      </c>
      <c r="B3389" s="2">
        <v>39383</v>
      </c>
      <c r="C3389" s="7">
        <f>_xlfn.FLOOR.MATH(Table1[[#This Row],[year]],10)</f>
        <v>2000</v>
      </c>
      <c r="D3389" t="s">
        <v>37</v>
      </c>
      <c r="E3389" t="s">
        <v>431</v>
      </c>
      <c r="F3389">
        <v>0</v>
      </c>
      <c r="G3389">
        <v>0</v>
      </c>
      <c r="H3389" t="s">
        <v>224</v>
      </c>
      <c r="I3389" t="s">
        <v>355</v>
      </c>
      <c r="J3389" t="s">
        <v>331</v>
      </c>
      <c r="K3389" t="b">
        <v>1</v>
      </c>
      <c r="L3389">
        <v>2007</v>
      </c>
      <c r="M3389">
        <v>88837057319</v>
      </c>
      <c r="N3389">
        <v>184140869997</v>
      </c>
      <c r="O3389" t="b">
        <v>1</v>
      </c>
      <c r="P3389">
        <v>0</v>
      </c>
      <c r="Q3389" t="str" cm="1">
        <f t="array" ref="Q3389">_xlfn.IFS(Table1[[#This Row],[Wealthier_Winner]]=-1,"Wealthier Nation Loses",Table1[[#This Row],[Wealthier_Winner]]=0,"Tie",Table1[[#This Row],[Wealthier_Winner]]=1,"Wealthier Nation Wins")</f>
        <v>Tie</v>
      </c>
    </row>
    <row r="3390" spans="1:17" x14ac:dyDescent="0.2">
      <c r="A3390" s="1">
        <v>5281</v>
      </c>
      <c r="B3390" s="2">
        <v>39383</v>
      </c>
      <c r="C3390" s="7">
        <f>_xlfn.FLOOR.MATH(Table1[[#This Row],[year]],10)</f>
        <v>2000</v>
      </c>
      <c r="D3390" t="s">
        <v>333</v>
      </c>
      <c r="E3390" t="s">
        <v>361</v>
      </c>
      <c r="F3390">
        <v>0</v>
      </c>
      <c r="G3390">
        <v>0</v>
      </c>
      <c r="H3390" t="s">
        <v>224</v>
      </c>
      <c r="I3390" t="s">
        <v>689</v>
      </c>
      <c r="J3390" t="s">
        <v>333</v>
      </c>
      <c r="K3390" t="b">
        <v>0</v>
      </c>
      <c r="L3390">
        <v>2007</v>
      </c>
      <c r="M3390">
        <v>193549569477</v>
      </c>
      <c r="N3390">
        <v>21730000000</v>
      </c>
      <c r="O3390" t="b">
        <v>1</v>
      </c>
      <c r="P3390">
        <v>0</v>
      </c>
      <c r="Q3390" t="str" cm="1">
        <f t="array" ref="Q3390">_xlfn.IFS(Table1[[#This Row],[Wealthier_Winner]]=-1,"Wealthier Nation Loses",Table1[[#This Row],[Wealthier_Winner]]=0,"Tie",Table1[[#This Row],[Wealthier_Winner]]=1,"Wealthier Nation Wins")</f>
        <v>Tie</v>
      </c>
    </row>
    <row r="3391" spans="1:17" x14ac:dyDescent="0.2">
      <c r="A3391" s="1">
        <v>5283</v>
      </c>
      <c r="B3391" s="2">
        <v>39383</v>
      </c>
      <c r="C3391" s="7">
        <f>_xlfn.FLOOR.MATH(Table1[[#This Row],[year]],10)</f>
        <v>2000</v>
      </c>
      <c r="D3391" t="s">
        <v>400</v>
      </c>
      <c r="E3391" t="s">
        <v>429</v>
      </c>
      <c r="F3391">
        <v>0</v>
      </c>
      <c r="G3391">
        <v>2</v>
      </c>
      <c r="H3391" t="s">
        <v>224</v>
      </c>
      <c r="I3391" t="s">
        <v>401</v>
      </c>
      <c r="J3391" t="s">
        <v>400</v>
      </c>
      <c r="K3391" t="b">
        <v>0</v>
      </c>
      <c r="L3391">
        <v>2007</v>
      </c>
      <c r="M3391">
        <v>10325618017</v>
      </c>
      <c r="N3391">
        <v>48300390117</v>
      </c>
      <c r="O3391" t="b">
        <v>1</v>
      </c>
      <c r="P3391">
        <v>1</v>
      </c>
      <c r="Q3391" t="str" cm="1">
        <f t="array" ref="Q3391">_xlfn.IFS(Table1[[#This Row],[Wealthier_Winner]]=-1,"Wealthier Nation Loses",Table1[[#This Row],[Wealthier_Winner]]=0,"Tie",Table1[[#This Row],[Wealthier_Winner]]=1,"Wealthier Nation Wins")</f>
        <v>Wealthier Nation Wins</v>
      </c>
    </row>
    <row r="3392" spans="1:17" x14ac:dyDescent="0.2">
      <c r="A3392" s="1">
        <v>5284</v>
      </c>
      <c r="B3392" s="2">
        <v>39383</v>
      </c>
      <c r="C3392" s="7">
        <f>_xlfn.FLOOR.MATH(Table1[[#This Row],[year]],10)</f>
        <v>2000</v>
      </c>
      <c r="D3392" t="s">
        <v>68</v>
      </c>
      <c r="E3392" t="s">
        <v>473</v>
      </c>
      <c r="F3392">
        <v>5</v>
      </c>
      <c r="G3392">
        <v>0</v>
      </c>
      <c r="H3392" t="s">
        <v>224</v>
      </c>
      <c r="I3392" t="s">
        <v>190</v>
      </c>
      <c r="J3392" t="s">
        <v>68</v>
      </c>
      <c r="K3392" t="b">
        <v>0</v>
      </c>
      <c r="L3392">
        <v>2007</v>
      </c>
      <c r="M3392">
        <v>79712087912</v>
      </c>
      <c r="N3392">
        <v>32350238760</v>
      </c>
      <c r="O3392" t="b">
        <v>1</v>
      </c>
      <c r="P3392">
        <v>1</v>
      </c>
      <c r="Q3392" t="str" cm="1">
        <f t="array" ref="Q3392">_xlfn.IFS(Table1[[#This Row],[Wealthier_Winner]]=-1,"Wealthier Nation Loses",Table1[[#This Row],[Wealthier_Winner]]=0,"Tie",Table1[[#This Row],[Wealthier_Winner]]=1,"Wealthier Nation Wins")</f>
        <v>Wealthier Nation Wins</v>
      </c>
    </row>
    <row r="3393" spans="1:17" x14ac:dyDescent="0.2">
      <c r="A3393" s="1">
        <v>5285</v>
      </c>
      <c r="B3393" s="2">
        <v>39383</v>
      </c>
      <c r="C3393" s="7">
        <f>_xlfn.FLOOR.MATH(Table1[[#This Row],[year]],10)</f>
        <v>2000</v>
      </c>
      <c r="D3393" t="s">
        <v>556</v>
      </c>
      <c r="E3393" t="s">
        <v>405</v>
      </c>
      <c r="F3393">
        <v>5</v>
      </c>
      <c r="G3393">
        <v>0</v>
      </c>
      <c r="H3393" t="s">
        <v>224</v>
      </c>
      <c r="I3393" t="s">
        <v>557</v>
      </c>
      <c r="J3393" t="s">
        <v>556</v>
      </c>
      <c r="K3393" t="b">
        <v>0</v>
      </c>
      <c r="L3393">
        <v>2007</v>
      </c>
      <c r="M3393">
        <v>3719524540</v>
      </c>
      <c r="N3393">
        <v>79611644974</v>
      </c>
      <c r="O3393" t="b">
        <v>1</v>
      </c>
      <c r="P3393">
        <v>-1</v>
      </c>
      <c r="Q3393" t="str" cm="1">
        <f t="array" ref="Q3393">_xlfn.IFS(Table1[[#This Row],[Wealthier_Winner]]=-1,"Wealthier Nation Loses",Table1[[#This Row],[Wealthier_Winner]]=0,"Tie",Table1[[#This Row],[Wealthier_Winner]]=1,"Wealthier Nation Wins")</f>
        <v>Wealthier Nation Loses</v>
      </c>
    </row>
    <row r="3394" spans="1:17" x14ac:dyDescent="0.2">
      <c r="A3394" s="1">
        <v>5286</v>
      </c>
      <c r="B3394" s="2">
        <v>39383</v>
      </c>
      <c r="C3394" s="7">
        <f>_xlfn.FLOOR.MATH(Table1[[#This Row],[year]],10)</f>
        <v>2000</v>
      </c>
      <c r="D3394" t="s">
        <v>560</v>
      </c>
      <c r="E3394" t="s">
        <v>551</v>
      </c>
      <c r="F3394">
        <v>4</v>
      </c>
      <c r="G3394">
        <v>1</v>
      </c>
      <c r="H3394" t="s">
        <v>224</v>
      </c>
      <c r="I3394" t="s">
        <v>561</v>
      </c>
      <c r="J3394" t="s">
        <v>560</v>
      </c>
      <c r="K3394" t="b">
        <v>0</v>
      </c>
      <c r="L3394">
        <v>2007</v>
      </c>
      <c r="M3394">
        <v>12664165103</v>
      </c>
      <c r="N3394">
        <v>10127916459</v>
      </c>
      <c r="O3394" t="b">
        <v>0</v>
      </c>
      <c r="P3394">
        <v>1</v>
      </c>
      <c r="Q3394" t="str" cm="1">
        <f t="array" ref="Q3394">_xlfn.IFS(Table1[[#This Row],[Wealthier_Winner]]=-1,"Wealthier Nation Loses",Table1[[#This Row],[Wealthier_Winner]]=0,"Tie",Table1[[#This Row],[Wealthier_Winner]]=1,"Wealthier Nation Wins")</f>
        <v>Wealthier Nation Wins</v>
      </c>
    </row>
    <row r="3395" spans="1:17" x14ac:dyDescent="0.2">
      <c r="A3395" s="1">
        <v>5287</v>
      </c>
      <c r="B3395" s="2">
        <v>39383</v>
      </c>
      <c r="C3395" s="7">
        <f>_xlfn.FLOOR.MATH(Table1[[#This Row],[year]],10)</f>
        <v>2000</v>
      </c>
      <c r="D3395" t="s">
        <v>39</v>
      </c>
      <c r="E3395" t="s">
        <v>475</v>
      </c>
      <c r="F3395">
        <v>5</v>
      </c>
      <c r="G3395">
        <v>0</v>
      </c>
      <c r="H3395" t="s">
        <v>224</v>
      </c>
      <c r="I3395" t="s">
        <v>576</v>
      </c>
      <c r="J3395" t="s">
        <v>39</v>
      </c>
      <c r="K3395" t="b">
        <v>0</v>
      </c>
      <c r="L3395">
        <v>2007</v>
      </c>
      <c r="M3395">
        <v>257916133424</v>
      </c>
      <c r="N3395">
        <v>77414425532</v>
      </c>
      <c r="O3395" t="b">
        <v>1</v>
      </c>
      <c r="P3395">
        <v>1</v>
      </c>
      <c r="Q3395" t="str" cm="1">
        <f t="array" ref="Q3395">_xlfn.IFS(Table1[[#This Row],[Wealthier_Winner]]=-1,"Wealthier Nation Loses",Table1[[#This Row],[Wealthier_Winner]]=0,"Tie",Table1[[#This Row],[Wealthier_Winner]]=1,"Wealthier Nation Wins")</f>
        <v>Wealthier Nation Wins</v>
      </c>
    </row>
    <row r="3396" spans="1:17" x14ac:dyDescent="0.2">
      <c r="A3396" s="1">
        <v>5289</v>
      </c>
      <c r="B3396" s="2">
        <v>39385</v>
      </c>
      <c r="C3396" s="7">
        <f>_xlfn.FLOOR.MATH(Table1[[#This Row],[year]],10)</f>
        <v>2000</v>
      </c>
      <c r="D3396" t="s">
        <v>406</v>
      </c>
      <c r="E3396" t="s">
        <v>479</v>
      </c>
      <c r="F3396">
        <v>2</v>
      </c>
      <c r="G3396">
        <v>2</v>
      </c>
      <c r="H3396" t="s">
        <v>224</v>
      </c>
      <c r="I3396" t="s">
        <v>646</v>
      </c>
      <c r="J3396" t="s">
        <v>406</v>
      </c>
      <c r="K3396" t="b">
        <v>0</v>
      </c>
      <c r="L3396">
        <v>2007</v>
      </c>
      <c r="M3396">
        <v>1216736438834</v>
      </c>
      <c r="N3396">
        <v>24827355014</v>
      </c>
      <c r="O3396" t="b">
        <v>1</v>
      </c>
      <c r="P3396">
        <v>0</v>
      </c>
      <c r="Q3396" t="str" cm="1">
        <f t="array" ref="Q3396">_xlfn.IFS(Table1[[#This Row],[Wealthier_Winner]]=-1,"Wealthier Nation Loses",Table1[[#This Row],[Wealthier_Winner]]=0,"Tie",Table1[[#This Row],[Wealthier_Winner]]=1,"Wealthier Nation Wins")</f>
        <v>Tie</v>
      </c>
    </row>
    <row r="3397" spans="1:17" x14ac:dyDescent="0.2">
      <c r="A3397" s="1">
        <v>5290</v>
      </c>
      <c r="B3397" s="2">
        <v>39395</v>
      </c>
      <c r="C3397" s="7">
        <f>_xlfn.FLOOR.MATH(Table1[[#This Row],[year]],10)</f>
        <v>2000</v>
      </c>
      <c r="D3397" t="s">
        <v>328</v>
      </c>
      <c r="E3397" t="s">
        <v>331</v>
      </c>
      <c r="F3397">
        <v>1</v>
      </c>
      <c r="G3397">
        <v>4</v>
      </c>
      <c r="H3397" t="s">
        <v>224</v>
      </c>
      <c r="I3397" t="s">
        <v>386</v>
      </c>
      <c r="J3397" t="s">
        <v>328</v>
      </c>
      <c r="K3397" t="b">
        <v>0</v>
      </c>
      <c r="L3397">
        <v>2007</v>
      </c>
      <c r="M3397">
        <v>432216737774</v>
      </c>
      <c r="N3397">
        <v>40465318382</v>
      </c>
      <c r="O3397" t="b">
        <v>1</v>
      </c>
      <c r="P3397">
        <v>-1</v>
      </c>
      <c r="Q3397" t="str" cm="1">
        <f t="array" ref="Q3397">_xlfn.IFS(Table1[[#This Row],[Wealthier_Winner]]=-1,"Wealthier Nation Loses",Table1[[#This Row],[Wealthier_Winner]]=0,"Tie",Table1[[#This Row],[Wealthier_Winner]]=1,"Wealthier Nation Wins")</f>
        <v>Wealthier Nation Loses</v>
      </c>
    </row>
    <row r="3398" spans="1:17" x14ac:dyDescent="0.2">
      <c r="A3398" s="1">
        <v>5291</v>
      </c>
      <c r="B3398" s="2">
        <v>39395</v>
      </c>
      <c r="C3398" s="7">
        <f>_xlfn.FLOOR.MATH(Table1[[#This Row],[year]],10)</f>
        <v>2000</v>
      </c>
      <c r="D3398" t="s">
        <v>359</v>
      </c>
      <c r="E3398" t="s">
        <v>556</v>
      </c>
      <c r="F3398">
        <v>2</v>
      </c>
      <c r="G3398">
        <v>0</v>
      </c>
      <c r="H3398" t="s">
        <v>224</v>
      </c>
      <c r="I3398" t="s">
        <v>359</v>
      </c>
      <c r="J3398" t="s">
        <v>359</v>
      </c>
      <c r="K3398" t="b">
        <v>0</v>
      </c>
      <c r="L3398">
        <v>2007</v>
      </c>
      <c r="M3398">
        <v>180941701357</v>
      </c>
      <c r="N3398">
        <v>3719524540</v>
      </c>
      <c r="O3398" t="b">
        <v>1</v>
      </c>
      <c r="P3398">
        <v>1</v>
      </c>
      <c r="Q3398" t="str" cm="1">
        <f t="array" ref="Q3398">_xlfn.IFS(Table1[[#This Row],[Wealthier_Winner]]=-1,"Wealthier Nation Loses",Table1[[#This Row],[Wealthier_Winner]]=0,"Tie",Table1[[#This Row],[Wealthier_Winner]]=1,"Wealthier Nation Wins")</f>
        <v>Wealthier Nation Wins</v>
      </c>
    </row>
    <row r="3399" spans="1:17" x14ac:dyDescent="0.2">
      <c r="A3399" s="1">
        <v>5295</v>
      </c>
      <c r="B3399" s="2">
        <v>39403</v>
      </c>
      <c r="C3399" s="7">
        <f>_xlfn.FLOOR.MATH(Table1[[#This Row],[year]],10)</f>
        <v>2000</v>
      </c>
      <c r="D3399" t="s">
        <v>19</v>
      </c>
      <c r="E3399" t="s">
        <v>47</v>
      </c>
      <c r="F3399">
        <v>3</v>
      </c>
      <c r="G3399">
        <v>0</v>
      </c>
      <c r="H3399" t="s">
        <v>224</v>
      </c>
      <c r="I3399" t="s">
        <v>93</v>
      </c>
      <c r="J3399" t="s">
        <v>19</v>
      </c>
      <c r="K3399" t="b">
        <v>0</v>
      </c>
      <c r="L3399">
        <v>2007</v>
      </c>
      <c r="M3399">
        <v>287530508430</v>
      </c>
      <c r="N3399">
        <v>13120108008</v>
      </c>
      <c r="O3399" t="b">
        <v>1</v>
      </c>
      <c r="P3399">
        <v>1</v>
      </c>
      <c r="Q3399" t="str" cm="1">
        <f t="array" ref="Q3399">_xlfn.IFS(Table1[[#This Row],[Wealthier_Winner]]=-1,"Wealthier Nation Loses",Table1[[#This Row],[Wealthier_Winner]]=0,"Tie",Table1[[#This Row],[Wealthier_Winner]]=1,"Wealthier Nation Wins")</f>
        <v>Wealthier Nation Wins</v>
      </c>
    </row>
    <row r="3400" spans="1:17" x14ac:dyDescent="0.2">
      <c r="A3400" s="1">
        <v>5296</v>
      </c>
      <c r="B3400" s="2">
        <v>39403</v>
      </c>
      <c r="C3400" s="7">
        <f>_xlfn.FLOOR.MATH(Table1[[#This Row],[year]],10)</f>
        <v>2000</v>
      </c>
      <c r="D3400" t="s">
        <v>15</v>
      </c>
      <c r="E3400" t="s">
        <v>258</v>
      </c>
      <c r="F3400">
        <v>1</v>
      </c>
      <c r="G3400">
        <v>0</v>
      </c>
      <c r="H3400" t="s">
        <v>224</v>
      </c>
      <c r="I3400" t="s">
        <v>241</v>
      </c>
      <c r="J3400" t="s">
        <v>15</v>
      </c>
      <c r="K3400" t="b">
        <v>0</v>
      </c>
      <c r="L3400">
        <v>2007</v>
      </c>
      <c r="M3400">
        <v>206229540926</v>
      </c>
      <c r="N3400">
        <v>230364012575</v>
      </c>
      <c r="O3400" t="b">
        <v>0</v>
      </c>
      <c r="P3400">
        <v>-1</v>
      </c>
      <c r="Q3400" t="str" cm="1">
        <f t="array" ref="Q3400">_xlfn.IFS(Table1[[#This Row],[Wealthier_Winner]]=-1,"Wealthier Nation Loses",Table1[[#This Row],[Wealthier_Winner]]=0,"Tie",Table1[[#This Row],[Wealthier_Winner]]=1,"Wealthier Nation Wins")</f>
        <v>Wealthier Nation Loses</v>
      </c>
    </row>
    <row r="3401" spans="1:17" x14ac:dyDescent="0.2">
      <c r="A3401" s="1">
        <v>5297</v>
      </c>
      <c r="B3401" s="2">
        <v>39403</v>
      </c>
      <c r="C3401" s="7">
        <f>_xlfn.FLOOR.MATH(Table1[[#This Row],[year]],10)</f>
        <v>2000</v>
      </c>
      <c r="D3401" t="s">
        <v>688</v>
      </c>
      <c r="E3401" t="s">
        <v>410</v>
      </c>
      <c r="F3401">
        <v>0</v>
      </c>
      <c r="G3401">
        <v>4</v>
      </c>
      <c r="H3401" t="s">
        <v>224</v>
      </c>
      <c r="I3401" t="s">
        <v>690</v>
      </c>
      <c r="J3401" t="s">
        <v>688</v>
      </c>
      <c r="K3401" t="b">
        <v>0</v>
      </c>
      <c r="L3401">
        <v>2007</v>
      </c>
      <c r="M3401">
        <v>795673152</v>
      </c>
      <c r="N3401">
        <v>8524620889</v>
      </c>
      <c r="O3401" t="b">
        <v>1</v>
      </c>
      <c r="P3401">
        <v>1</v>
      </c>
      <c r="Q3401" t="str" cm="1">
        <f t="array" ref="Q3401">_xlfn.IFS(Table1[[#This Row],[Wealthier_Winner]]=-1,"Wealthier Nation Loses",Table1[[#This Row],[Wealthier_Winner]]=0,"Tie",Table1[[#This Row],[Wealthier_Winner]]=1,"Wealthier Nation Wins")</f>
        <v>Wealthier Nation Wins</v>
      </c>
    </row>
    <row r="3402" spans="1:17" x14ac:dyDescent="0.2">
      <c r="A3402" s="1">
        <v>5298</v>
      </c>
      <c r="B3402" s="2">
        <v>39403</v>
      </c>
      <c r="C3402" s="7">
        <f>_xlfn.FLOOR.MATH(Table1[[#This Row],[year]],10)</f>
        <v>2000</v>
      </c>
      <c r="D3402" t="s">
        <v>508</v>
      </c>
      <c r="E3402" t="s">
        <v>342</v>
      </c>
      <c r="F3402">
        <v>0</v>
      </c>
      <c r="G3402">
        <v>0</v>
      </c>
      <c r="H3402" t="s">
        <v>224</v>
      </c>
      <c r="I3402" t="s">
        <v>509</v>
      </c>
      <c r="J3402" t="s">
        <v>508</v>
      </c>
      <c r="K3402" t="b">
        <v>0</v>
      </c>
      <c r="L3402">
        <v>2007</v>
      </c>
      <c r="M3402">
        <v>753162998</v>
      </c>
      <c r="N3402">
        <v>3632957611</v>
      </c>
      <c r="O3402" t="b">
        <v>1</v>
      </c>
      <c r="P3402">
        <v>0</v>
      </c>
      <c r="Q3402" t="str" cm="1">
        <f t="array" ref="Q3402">_xlfn.IFS(Table1[[#This Row],[Wealthier_Winner]]=-1,"Wealthier Nation Loses",Table1[[#This Row],[Wealthier_Winner]]=0,"Tie",Table1[[#This Row],[Wealthier_Winner]]=1,"Wealthier Nation Wins")</f>
        <v>Tie</v>
      </c>
    </row>
    <row r="3403" spans="1:17" x14ac:dyDescent="0.2">
      <c r="A3403" s="1">
        <v>5299</v>
      </c>
      <c r="B3403" s="2">
        <v>39403</v>
      </c>
      <c r="C3403" s="7">
        <f>_xlfn.FLOOR.MATH(Table1[[#This Row],[year]],10)</f>
        <v>2000</v>
      </c>
      <c r="D3403" t="s">
        <v>35</v>
      </c>
      <c r="E3403" t="s">
        <v>57</v>
      </c>
      <c r="F3403">
        <v>5</v>
      </c>
      <c r="G3403">
        <v>1</v>
      </c>
      <c r="H3403" t="s">
        <v>224</v>
      </c>
      <c r="I3403" t="s">
        <v>250</v>
      </c>
      <c r="J3403" t="s">
        <v>35</v>
      </c>
      <c r="K3403" t="b">
        <v>0</v>
      </c>
      <c r="L3403">
        <v>2007</v>
      </c>
      <c r="M3403">
        <v>17856393235</v>
      </c>
      <c r="N3403">
        <v>49848725000</v>
      </c>
      <c r="O3403" t="b">
        <v>1</v>
      </c>
      <c r="P3403">
        <v>-1</v>
      </c>
      <c r="Q3403" t="str" cm="1">
        <f t="array" ref="Q3403">_xlfn.IFS(Table1[[#This Row],[Wealthier_Winner]]=-1,"Wealthier Nation Loses",Table1[[#This Row],[Wealthier_Winner]]=0,"Tie",Table1[[#This Row],[Wealthier_Winner]]=1,"Wealthier Nation Wins")</f>
        <v>Wealthier Nation Loses</v>
      </c>
    </row>
    <row r="3404" spans="1:17" x14ac:dyDescent="0.2">
      <c r="A3404" s="1">
        <v>5300</v>
      </c>
      <c r="B3404" s="2">
        <v>39404</v>
      </c>
      <c r="C3404" s="7">
        <f>_xlfn.FLOOR.MATH(Table1[[#This Row],[year]],10)</f>
        <v>2000</v>
      </c>
      <c r="D3404" t="s">
        <v>31</v>
      </c>
      <c r="E3404" t="s">
        <v>13</v>
      </c>
      <c r="F3404">
        <v>1</v>
      </c>
      <c r="G3404">
        <v>1</v>
      </c>
      <c r="H3404" t="s">
        <v>224</v>
      </c>
      <c r="I3404" t="s">
        <v>242</v>
      </c>
      <c r="J3404" t="s">
        <v>31</v>
      </c>
      <c r="K3404" t="b">
        <v>0</v>
      </c>
      <c r="L3404">
        <v>2007</v>
      </c>
      <c r="M3404">
        <v>102170981144</v>
      </c>
      <c r="N3404">
        <v>1397114247188</v>
      </c>
      <c r="O3404" t="b">
        <v>1</v>
      </c>
      <c r="P3404">
        <v>0</v>
      </c>
      <c r="Q3404" t="str" cm="1">
        <f t="array" ref="Q3404">_xlfn.IFS(Table1[[#This Row],[Wealthier_Winner]]=-1,"Wealthier Nation Loses",Table1[[#This Row],[Wealthier_Winner]]=0,"Tie",Table1[[#This Row],[Wealthier_Winner]]=1,"Wealthier Nation Wins")</f>
        <v>Tie</v>
      </c>
    </row>
    <row r="3405" spans="1:17" x14ac:dyDescent="0.2">
      <c r="A3405" s="1">
        <v>5301</v>
      </c>
      <c r="B3405" s="2">
        <v>39404</v>
      </c>
      <c r="C3405" s="7">
        <f>_xlfn.FLOOR.MATH(Table1[[#This Row],[year]],10)</f>
        <v>2000</v>
      </c>
      <c r="D3405" t="s">
        <v>331</v>
      </c>
      <c r="E3405" t="s">
        <v>328</v>
      </c>
      <c r="F3405">
        <v>7</v>
      </c>
      <c r="G3405">
        <v>0</v>
      </c>
      <c r="H3405" t="s">
        <v>224</v>
      </c>
      <c r="I3405" t="s">
        <v>355</v>
      </c>
      <c r="J3405" t="s">
        <v>331</v>
      </c>
      <c r="K3405" t="b">
        <v>0</v>
      </c>
      <c r="L3405">
        <v>2007</v>
      </c>
      <c r="M3405">
        <v>40465318382</v>
      </c>
      <c r="N3405">
        <v>432216737774</v>
      </c>
      <c r="O3405" t="b">
        <v>1</v>
      </c>
      <c r="P3405">
        <v>-1</v>
      </c>
      <c r="Q3405" t="str" cm="1">
        <f t="array" ref="Q3405">_xlfn.IFS(Table1[[#This Row],[Wealthier_Winner]]=-1,"Wealthier Nation Loses",Table1[[#This Row],[Wealthier_Winner]]=0,"Tie",Table1[[#This Row],[Wealthier_Winner]]=1,"Wealthier Nation Wins")</f>
        <v>Wealthier Nation Loses</v>
      </c>
    </row>
    <row r="3406" spans="1:17" x14ac:dyDescent="0.2">
      <c r="A3406" s="1">
        <v>5302</v>
      </c>
      <c r="B3406" s="2">
        <v>39404</v>
      </c>
      <c r="C3406" s="7">
        <f>_xlfn.FLOOR.MATH(Table1[[#This Row],[year]],10)</f>
        <v>2000</v>
      </c>
      <c r="D3406" t="s">
        <v>556</v>
      </c>
      <c r="E3406" t="s">
        <v>359</v>
      </c>
      <c r="F3406">
        <v>1</v>
      </c>
      <c r="G3406">
        <v>1</v>
      </c>
      <c r="H3406" t="s">
        <v>224</v>
      </c>
      <c r="I3406" t="s">
        <v>557</v>
      </c>
      <c r="J3406" t="s">
        <v>556</v>
      </c>
      <c r="K3406" t="b">
        <v>0</v>
      </c>
      <c r="L3406">
        <v>2007</v>
      </c>
      <c r="M3406">
        <v>3719524540</v>
      </c>
      <c r="N3406">
        <v>180941701357</v>
      </c>
      <c r="O3406" t="b">
        <v>1</v>
      </c>
      <c r="P3406">
        <v>0</v>
      </c>
      <c r="Q3406" t="str" cm="1">
        <f t="array" ref="Q3406">_xlfn.IFS(Table1[[#This Row],[Wealthier_Winner]]=-1,"Wealthier Nation Loses",Table1[[#This Row],[Wealthier_Winner]]=0,"Tie",Table1[[#This Row],[Wealthier_Winner]]=1,"Wealthier Nation Wins")</f>
        <v>Tie</v>
      </c>
    </row>
    <row r="3407" spans="1:17" x14ac:dyDescent="0.2">
      <c r="A3407" s="1">
        <v>5305</v>
      </c>
      <c r="B3407" s="2">
        <v>39404</v>
      </c>
      <c r="C3407" s="7">
        <f>_xlfn.FLOOR.MATH(Table1[[#This Row],[year]],10)</f>
        <v>2000</v>
      </c>
      <c r="D3407" t="s">
        <v>26</v>
      </c>
      <c r="E3407" t="s">
        <v>14</v>
      </c>
      <c r="F3407">
        <v>2</v>
      </c>
      <c r="G3407">
        <v>2</v>
      </c>
      <c r="H3407" t="s">
        <v>224</v>
      </c>
      <c r="I3407" t="s">
        <v>247</v>
      </c>
      <c r="J3407" t="s">
        <v>26</v>
      </c>
      <c r="K3407" t="b">
        <v>0</v>
      </c>
      <c r="L3407">
        <v>2007</v>
      </c>
      <c r="M3407">
        <v>23797773024</v>
      </c>
      <c r="N3407">
        <v>172491076033</v>
      </c>
      <c r="O3407" t="b">
        <v>1</v>
      </c>
      <c r="P3407">
        <v>0</v>
      </c>
      <c r="Q3407" t="str" cm="1">
        <f t="array" ref="Q3407">_xlfn.IFS(Table1[[#This Row],[Wealthier_Winner]]=-1,"Wealthier Nation Loses",Table1[[#This Row],[Wealthier_Winner]]=0,"Tie",Table1[[#This Row],[Wealthier_Winner]]=1,"Wealthier Nation Wins")</f>
        <v>Tie</v>
      </c>
    </row>
    <row r="3408" spans="1:17" x14ac:dyDescent="0.2">
      <c r="A3408" s="1">
        <v>5306</v>
      </c>
      <c r="B3408" s="2">
        <v>39406</v>
      </c>
      <c r="C3408" s="7">
        <f>_xlfn.FLOOR.MATH(Table1[[#This Row],[year]],10)</f>
        <v>2000</v>
      </c>
      <c r="D3408" t="s">
        <v>15</v>
      </c>
      <c r="E3408" t="s">
        <v>19</v>
      </c>
      <c r="F3408">
        <v>2</v>
      </c>
      <c r="G3408">
        <v>1</v>
      </c>
      <c r="H3408" t="s">
        <v>224</v>
      </c>
      <c r="I3408" t="s">
        <v>241</v>
      </c>
      <c r="J3408" t="s">
        <v>15</v>
      </c>
      <c r="K3408" t="b">
        <v>0</v>
      </c>
      <c r="L3408">
        <v>2007</v>
      </c>
      <c r="M3408">
        <v>206229540926</v>
      </c>
      <c r="N3408">
        <v>287530508430</v>
      </c>
      <c r="O3408" t="b">
        <v>0</v>
      </c>
      <c r="P3408">
        <v>-1</v>
      </c>
      <c r="Q3408" t="str" cm="1">
        <f t="array" ref="Q3408">_xlfn.IFS(Table1[[#This Row],[Wealthier_Winner]]=-1,"Wealthier Nation Loses",Table1[[#This Row],[Wealthier_Winner]]=0,"Tie",Table1[[#This Row],[Wealthier_Winner]]=1,"Wealthier Nation Wins")</f>
        <v>Wealthier Nation Loses</v>
      </c>
    </row>
    <row r="3409" spans="1:17" x14ac:dyDescent="0.2">
      <c r="A3409" s="1">
        <v>5307</v>
      </c>
      <c r="B3409" s="2">
        <v>39406</v>
      </c>
      <c r="C3409" s="7">
        <f>_xlfn.FLOOR.MATH(Table1[[#This Row],[year]],10)</f>
        <v>2000</v>
      </c>
      <c r="D3409" t="s">
        <v>258</v>
      </c>
      <c r="E3409" t="s">
        <v>47</v>
      </c>
      <c r="F3409">
        <v>5</v>
      </c>
      <c r="G3409">
        <v>3</v>
      </c>
      <c r="H3409" t="s">
        <v>224</v>
      </c>
      <c r="I3409" t="s">
        <v>416</v>
      </c>
      <c r="J3409" t="s">
        <v>258</v>
      </c>
      <c r="K3409" t="b">
        <v>0</v>
      </c>
      <c r="L3409">
        <v>2007</v>
      </c>
      <c r="M3409">
        <v>230364012575</v>
      </c>
      <c r="N3409">
        <v>13120108008</v>
      </c>
      <c r="O3409" t="b">
        <v>1</v>
      </c>
      <c r="P3409">
        <v>1</v>
      </c>
      <c r="Q3409" t="str" cm="1">
        <f t="array" ref="Q3409">_xlfn.IFS(Table1[[#This Row],[Wealthier_Winner]]=-1,"Wealthier Nation Loses",Table1[[#This Row],[Wealthier_Winner]]=0,"Tie",Table1[[#This Row],[Wealthier_Winner]]=1,"Wealthier Nation Wins")</f>
        <v>Wealthier Nation Wins</v>
      </c>
    </row>
    <row r="3410" spans="1:17" x14ac:dyDescent="0.2">
      <c r="A3410" s="1">
        <v>5308</v>
      </c>
      <c r="B3410" s="2">
        <v>39407</v>
      </c>
      <c r="C3410" s="7">
        <f>_xlfn.FLOOR.MATH(Table1[[#This Row],[year]],10)</f>
        <v>2000</v>
      </c>
      <c r="D3410" t="s">
        <v>13</v>
      </c>
      <c r="E3410" t="s">
        <v>26</v>
      </c>
      <c r="F3410">
        <v>2</v>
      </c>
      <c r="G3410">
        <v>1</v>
      </c>
      <c r="H3410" t="s">
        <v>224</v>
      </c>
      <c r="I3410" t="s">
        <v>417</v>
      </c>
      <c r="J3410" t="s">
        <v>13</v>
      </c>
      <c r="K3410" t="b">
        <v>0</v>
      </c>
      <c r="L3410">
        <v>2007</v>
      </c>
      <c r="M3410">
        <v>1397114247188</v>
      </c>
      <c r="N3410">
        <v>23797773024</v>
      </c>
      <c r="O3410" t="b">
        <v>1</v>
      </c>
      <c r="P3410">
        <v>1</v>
      </c>
      <c r="Q3410" t="str" cm="1">
        <f t="array" ref="Q3410">_xlfn.IFS(Table1[[#This Row],[Wealthier_Winner]]=-1,"Wealthier Nation Loses",Table1[[#This Row],[Wealthier_Winner]]=0,"Tie",Table1[[#This Row],[Wealthier_Winner]]=1,"Wealthier Nation Wins")</f>
        <v>Wealthier Nation Wins</v>
      </c>
    </row>
    <row r="3411" spans="1:17" x14ac:dyDescent="0.2">
      <c r="A3411" s="1">
        <v>5309</v>
      </c>
      <c r="B3411" s="2">
        <v>39407</v>
      </c>
      <c r="C3411" s="7">
        <f>_xlfn.FLOOR.MATH(Table1[[#This Row],[year]],10)</f>
        <v>2000</v>
      </c>
      <c r="D3411" t="s">
        <v>14</v>
      </c>
      <c r="E3411" t="s">
        <v>35</v>
      </c>
      <c r="F3411">
        <v>0</v>
      </c>
      <c r="G3411">
        <v>3</v>
      </c>
      <c r="H3411" t="s">
        <v>224</v>
      </c>
      <c r="I3411" t="s">
        <v>75</v>
      </c>
      <c r="J3411" t="s">
        <v>14</v>
      </c>
      <c r="K3411" t="b">
        <v>0</v>
      </c>
      <c r="L3411">
        <v>2007</v>
      </c>
      <c r="M3411">
        <v>172491076033</v>
      </c>
      <c r="N3411">
        <v>17856393235</v>
      </c>
      <c r="O3411" t="b">
        <v>1</v>
      </c>
      <c r="P3411">
        <v>-1</v>
      </c>
      <c r="Q3411" t="str" cm="1">
        <f t="array" ref="Q3411">_xlfn.IFS(Table1[[#This Row],[Wealthier_Winner]]=-1,"Wealthier Nation Loses",Table1[[#This Row],[Wealthier_Winner]]=0,"Tie",Table1[[#This Row],[Wealthier_Winner]]=1,"Wealthier Nation Wins")</f>
        <v>Wealthier Nation Loses</v>
      </c>
    </row>
    <row r="3412" spans="1:17" x14ac:dyDescent="0.2">
      <c r="A3412" s="1">
        <v>5310</v>
      </c>
      <c r="B3412" s="2">
        <v>39407</v>
      </c>
      <c r="C3412" s="7">
        <f>_xlfn.FLOOR.MATH(Table1[[#This Row],[year]],10)</f>
        <v>2000</v>
      </c>
      <c r="D3412" t="s">
        <v>57</v>
      </c>
      <c r="E3412" t="s">
        <v>31</v>
      </c>
      <c r="F3412">
        <v>5</v>
      </c>
      <c r="G3412">
        <v>1</v>
      </c>
      <c r="H3412" t="s">
        <v>224</v>
      </c>
      <c r="I3412" t="s">
        <v>335</v>
      </c>
      <c r="J3412" t="s">
        <v>57</v>
      </c>
      <c r="K3412" t="b">
        <v>0</v>
      </c>
      <c r="L3412">
        <v>2007</v>
      </c>
      <c r="M3412">
        <v>49848725000</v>
      </c>
      <c r="N3412">
        <v>102170981144</v>
      </c>
      <c r="O3412" t="b">
        <v>1</v>
      </c>
      <c r="P3412">
        <v>-1</v>
      </c>
      <c r="Q3412" t="str" cm="1">
        <f t="array" ref="Q3412">_xlfn.IFS(Table1[[#This Row],[Wealthier_Winner]]=-1,"Wealthier Nation Loses",Table1[[#This Row],[Wealthier_Winner]]=0,"Tie",Table1[[#This Row],[Wealthier_Winner]]=1,"Wealthier Nation Wins")</f>
        <v>Wealthier Nation Loses</v>
      </c>
    </row>
    <row r="3413" spans="1:17" x14ac:dyDescent="0.2">
      <c r="A3413" s="1">
        <v>5311</v>
      </c>
      <c r="B3413" s="2">
        <v>39481</v>
      </c>
      <c r="C3413" s="7">
        <f>_xlfn.FLOOR.MATH(Table1[[#This Row],[year]],10)</f>
        <v>2000</v>
      </c>
      <c r="D3413" t="s">
        <v>266</v>
      </c>
      <c r="E3413" t="s">
        <v>691</v>
      </c>
      <c r="F3413">
        <v>1</v>
      </c>
      <c r="G3413">
        <v>1</v>
      </c>
      <c r="H3413" t="s">
        <v>224</v>
      </c>
      <c r="I3413" t="s">
        <v>271</v>
      </c>
      <c r="J3413" t="s">
        <v>266</v>
      </c>
      <c r="K3413" t="b">
        <v>0</v>
      </c>
      <c r="L3413">
        <v>2008</v>
      </c>
      <c r="M3413">
        <v>6980000000</v>
      </c>
      <c r="N3413">
        <v>4585948969</v>
      </c>
      <c r="O3413" t="b">
        <v>0</v>
      </c>
      <c r="P3413">
        <v>0</v>
      </c>
      <c r="Q3413" t="str" cm="1">
        <f t="array" ref="Q3413">_xlfn.IFS(Table1[[#This Row],[Wealthier_Winner]]=-1,"Wealthier Nation Loses",Table1[[#This Row],[Wealthier_Winner]]=0,"Tie",Table1[[#This Row],[Wealthier_Winner]]=1,"Wealthier Nation Wins")</f>
        <v>Tie</v>
      </c>
    </row>
    <row r="3414" spans="1:17" x14ac:dyDescent="0.2">
      <c r="A3414" s="1">
        <v>5312</v>
      </c>
      <c r="B3414" s="2">
        <v>39484</v>
      </c>
      <c r="C3414" s="7">
        <f>_xlfn.FLOOR.MATH(Table1[[#This Row],[year]],10)</f>
        <v>2000</v>
      </c>
      <c r="D3414" t="s">
        <v>497</v>
      </c>
      <c r="E3414" t="s">
        <v>449</v>
      </c>
      <c r="F3414">
        <v>0</v>
      </c>
      <c r="G3414">
        <v>3</v>
      </c>
      <c r="H3414" t="s">
        <v>224</v>
      </c>
      <c r="I3414" t="s">
        <v>500</v>
      </c>
      <c r="J3414" t="s">
        <v>497</v>
      </c>
      <c r="K3414" t="b">
        <v>0</v>
      </c>
      <c r="L3414">
        <v>2008</v>
      </c>
      <c r="M3414">
        <v>2843024581</v>
      </c>
      <c r="N3414">
        <v>1557640740</v>
      </c>
      <c r="O3414" t="b">
        <v>0</v>
      </c>
      <c r="P3414">
        <v>-1</v>
      </c>
      <c r="Q3414" t="str" cm="1">
        <f t="array" ref="Q3414">_xlfn.IFS(Table1[[#This Row],[Wealthier_Winner]]=-1,"Wealthier Nation Loses",Table1[[#This Row],[Wealthier_Winner]]=0,"Tie",Table1[[#This Row],[Wealthier_Winner]]=1,"Wealthier Nation Wins")</f>
        <v>Wealthier Nation Loses</v>
      </c>
    </row>
    <row r="3415" spans="1:17" x14ac:dyDescent="0.2">
      <c r="A3415" s="1">
        <v>5313</v>
      </c>
      <c r="B3415" s="2">
        <v>39484</v>
      </c>
      <c r="C3415" s="7">
        <f>_xlfn.FLOOR.MATH(Table1[[#This Row],[year]],10)</f>
        <v>2000</v>
      </c>
      <c r="D3415" t="s">
        <v>28</v>
      </c>
      <c r="E3415" t="s">
        <v>68</v>
      </c>
      <c r="F3415">
        <v>3</v>
      </c>
      <c r="G3415">
        <v>0</v>
      </c>
      <c r="H3415" t="s">
        <v>224</v>
      </c>
      <c r="I3415" t="s">
        <v>329</v>
      </c>
      <c r="J3415" t="s">
        <v>28</v>
      </c>
      <c r="K3415" t="b">
        <v>0</v>
      </c>
      <c r="L3415">
        <v>2008</v>
      </c>
      <c r="M3415">
        <v>1058448244063</v>
      </c>
      <c r="N3415">
        <v>115270054945</v>
      </c>
      <c r="O3415" t="b">
        <v>1</v>
      </c>
      <c r="P3415">
        <v>1</v>
      </c>
      <c r="Q3415" t="str" cm="1">
        <f t="array" ref="Q3415">_xlfn.IFS(Table1[[#This Row],[Wealthier_Winner]]=-1,"Wealthier Nation Loses",Table1[[#This Row],[Wealthier_Winner]]=0,"Tie",Table1[[#This Row],[Wealthier_Winner]]=1,"Wealthier Nation Wins")</f>
        <v>Wealthier Nation Wins</v>
      </c>
    </row>
    <row r="3416" spans="1:17" x14ac:dyDescent="0.2">
      <c r="A3416" s="1">
        <v>5315</v>
      </c>
      <c r="B3416" s="2">
        <v>39484</v>
      </c>
      <c r="C3416" s="7">
        <f>_xlfn.FLOOR.MATH(Table1[[#This Row],[year]],10)</f>
        <v>2000</v>
      </c>
      <c r="D3416" t="s">
        <v>494</v>
      </c>
      <c r="E3416" t="s">
        <v>443</v>
      </c>
      <c r="F3416">
        <v>1</v>
      </c>
      <c r="G3416">
        <v>1</v>
      </c>
      <c r="H3416" t="s">
        <v>224</v>
      </c>
      <c r="I3416" t="s">
        <v>495</v>
      </c>
      <c r="J3416" t="s">
        <v>494</v>
      </c>
      <c r="K3416" t="b">
        <v>0</v>
      </c>
      <c r="L3416">
        <v>2008</v>
      </c>
      <c r="M3416">
        <v>480003703</v>
      </c>
      <c r="N3416">
        <v>4790410400</v>
      </c>
      <c r="O3416" t="b">
        <v>1</v>
      </c>
      <c r="P3416">
        <v>0</v>
      </c>
      <c r="Q3416" t="str" cm="1">
        <f t="array" ref="Q3416">_xlfn.IFS(Table1[[#This Row],[Wealthier_Winner]]=-1,"Wealthier Nation Loses",Table1[[#This Row],[Wealthier_Winner]]=0,"Tie",Table1[[#This Row],[Wealthier_Winner]]=1,"Wealthier Nation Wins")</f>
        <v>Tie</v>
      </c>
    </row>
    <row r="3417" spans="1:17" x14ac:dyDescent="0.2">
      <c r="A3417" s="1">
        <v>5317</v>
      </c>
      <c r="B3417" s="2">
        <v>39484</v>
      </c>
      <c r="C3417" s="7">
        <f>_xlfn.FLOOR.MATH(Table1[[#This Row],[year]],10)</f>
        <v>2000</v>
      </c>
      <c r="D3417" t="s">
        <v>210</v>
      </c>
      <c r="E3417" t="s">
        <v>331</v>
      </c>
      <c r="F3417">
        <v>0</v>
      </c>
      <c r="G3417">
        <v>0</v>
      </c>
      <c r="H3417" t="s">
        <v>224</v>
      </c>
      <c r="I3417" t="s">
        <v>332</v>
      </c>
      <c r="J3417" t="s">
        <v>210</v>
      </c>
      <c r="K3417" t="b">
        <v>0</v>
      </c>
      <c r="L3417">
        <v>2008</v>
      </c>
      <c r="M3417">
        <v>406070949553</v>
      </c>
      <c r="N3417">
        <v>52557913568</v>
      </c>
      <c r="O3417" t="b">
        <v>1</v>
      </c>
      <c r="P3417">
        <v>0</v>
      </c>
      <c r="Q3417" t="str" cm="1">
        <f t="array" ref="Q3417">_xlfn.IFS(Table1[[#This Row],[Wealthier_Winner]]=-1,"Wealthier Nation Loses",Table1[[#This Row],[Wealthier_Winner]]=0,"Tie",Table1[[#This Row],[Wealthier_Winner]]=1,"Wealthier Nation Wins")</f>
        <v>Tie</v>
      </c>
    </row>
    <row r="3418" spans="1:17" x14ac:dyDescent="0.2">
      <c r="A3418" s="1">
        <v>5319</v>
      </c>
      <c r="B3418" s="2">
        <v>39484</v>
      </c>
      <c r="C3418" s="7">
        <f>_xlfn.FLOOR.MATH(Table1[[#This Row],[year]],10)</f>
        <v>2000</v>
      </c>
      <c r="D3418" t="s">
        <v>51</v>
      </c>
      <c r="E3418" t="s">
        <v>334</v>
      </c>
      <c r="F3418">
        <v>4</v>
      </c>
      <c r="G3418">
        <v>1</v>
      </c>
      <c r="H3418" t="s">
        <v>224</v>
      </c>
      <c r="I3418" t="s">
        <v>143</v>
      </c>
      <c r="J3418" t="s">
        <v>51</v>
      </c>
      <c r="K3418" t="b">
        <v>0</v>
      </c>
      <c r="L3418">
        <v>2008</v>
      </c>
      <c r="M3418">
        <v>5106679115127</v>
      </c>
      <c r="N3418">
        <v>291382982430</v>
      </c>
      <c r="O3418" t="b">
        <v>1</v>
      </c>
      <c r="P3418">
        <v>1</v>
      </c>
      <c r="Q3418" t="str" cm="1">
        <f t="array" ref="Q3418">_xlfn.IFS(Table1[[#This Row],[Wealthier_Winner]]=-1,"Wealthier Nation Loses",Table1[[#This Row],[Wealthier_Winner]]=0,"Tie",Table1[[#This Row],[Wealthier_Winner]]=1,"Wealthier Nation Wins")</f>
        <v>Wealthier Nation Wins</v>
      </c>
    </row>
    <row r="3419" spans="1:17" x14ac:dyDescent="0.2">
      <c r="A3419" s="1">
        <v>5321</v>
      </c>
      <c r="B3419" s="2">
        <v>39484</v>
      </c>
      <c r="C3419" s="7">
        <f>_xlfn.FLOOR.MATH(Table1[[#This Row],[year]],10)</f>
        <v>2000</v>
      </c>
      <c r="D3419" t="s">
        <v>195</v>
      </c>
      <c r="E3419" t="s">
        <v>560</v>
      </c>
      <c r="F3419">
        <v>4</v>
      </c>
      <c r="G3419">
        <v>0</v>
      </c>
      <c r="H3419" t="s">
        <v>224</v>
      </c>
      <c r="I3419" t="s">
        <v>136</v>
      </c>
      <c r="J3419" t="s">
        <v>195</v>
      </c>
      <c r="K3419" t="b">
        <v>0</v>
      </c>
      <c r="L3419">
        <v>2008</v>
      </c>
      <c r="M3419">
        <v>1091580692542</v>
      </c>
      <c r="N3419">
        <v>19271523178</v>
      </c>
      <c r="O3419" t="b">
        <v>1</v>
      </c>
      <c r="P3419">
        <v>1</v>
      </c>
      <c r="Q3419" t="str" cm="1">
        <f t="array" ref="Q3419">_xlfn.IFS(Table1[[#This Row],[Wealthier_Winner]]=-1,"Wealthier Nation Loses",Table1[[#This Row],[Wealthier_Winner]]=0,"Tie",Table1[[#This Row],[Wealthier_Winner]]=1,"Wealthier Nation Wins")</f>
        <v>Wealthier Nation Wins</v>
      </c>
    </row>
    <row r="3420" spans="1:17" x14ac:dyDescent="0.2">
      <c r="A3420" s="1">
        <v>5322</v>
      </c>
      <c r="B3420" s="2">
        <v>39484</v>
      </c>
      <c r="C3420" s="7">
        <f>_xlfn.FLOOR.MATH(Table1[[#This Row],[year]],10)</f>
        <v>2000</v>
      </c>
      <c r="D3420" t="s">
        <v>479</v>
      </c>
      <c r="E3420" t="s">
        <v>563</v>
      </c>
      <c r="F3420">
        <v>0</v>
      </c>
      <c r="G3420">
        <v>1</v>
      </c>
      <c r="H3420" t="s">
        <v>224</v>
      </c>
      <c r="I3420" t="s">
        <v>480</v>
      </c>
      <c r="J3420" t="s">
        <v>479</v>
      </c>
      <c r="K3420" t="b">
        <v>0</v>
      </c>
      <c r="L3420">
        <v>2008</v>
      </c>
      <c r="M3420">
        <v>29118916105</v>
      </c>
      <c r="N3420">
        <v>29549438883</v>
      </c>
      <c r="O3420" t="b">
        <v>0</v>
      </c>
      <c r="P3420">
        <v>1</v>
      </c>
      <c r="Q3420" t="str" cm="1">
        <f t="array" ref="Q3420">_xlfn.IFS(Table1[[#This Row],[Wealthier_Winner]]=-1,"Wealthier Nation Loses",Table1[[#This Row],[Wealthier_Winner]]=0,"Tie",Table1[[#This Row],[Wealthier_Winner]]=1,"Wealthier Nation Wins")</f>
        <v>Wealthier Nation Wins</v>
      </c>
    </row>
    <row r="3421" spans="1:17" x14ac:dyDescent="0.2">
      <c r="A3421" s="1">
        <v>5324</v>
      </c>
      <c r="B3421" s="2">
        <v>39484</v>
      </c>
      <c r="C3421" s="7">
        <f>_xlfn.FLOOR.MATH(Table1[[#This Row],[year]],10)</f>
        <v>2000</v>
      </c>
      <c r="D3421" t="s">
        <v>429</v>
      </c>
      <c r="E3421" t="s">
        <v>361</v>
      </c>
      <c r="F3421">
        <v>0</v>
      </c>
      <c r="G3421">
        <v>1</v>
      </c>
      <c r="H3421" t="s">
        <v>224</v>
      </c>
      <c r="I3421" t="s">
        <v>430</v>
      </c>
      <c r="J3421" t="s">
        <v>429</v>
      </c>
      <c r="K3421" t="b">
        <v>0</v>
      </c>
      <c r="L3421">
        <v>2008</v>
      </c>
      <c r="M3421">
        <v>69804681404</v>
      </c>
      <c r="N3421">
        <v>25710904255</v>
      </c>
      <c r="O3421" t="b">
        <v>1</v>
      </c>
      <c r="P3421">
        <v>-1</v>
      </c>
      <c r="Q3421" t="str" cm="1">
        <f t="array" ref="Q3421">_xlfn.IFS(Table1[[#This Row],[Wealthier_Winner]]=-1,"Wealthier Nation Loses",Table1[[#This Row],[Wealthier_Winner]]=0,"Tie",Table1[[#This Row],[Wealthier_Winner]]=1,"Wealthier Nation Wins")</f>
        <v>Wealthier Nation Loses</v>
      </c>
    </row>
    <row r="3422" spans="1:17" x14ac:dyDescent="0.2">
      <c r="A3422" s="1">
        <v>5325</v>
      </c>
      <c r="B3422" s="2">
        <v>39484</v>
      </c>
      <c r="C3422" s="7">
        <f>_xlfn.FLOOR.MATH(Table1[[#This Row],[year]],10)</f>
        <v>2000</v>
      </c>
      <c r="D3422" t="s">
        <v>45</v>
      </c>
      <c r="E3422" t="s">
        <v>359</v>
      </c>
      <c r="F3422">
        <v>2</v>
      </c>
      <c r="G3422">
        <v>0</v>
      </c>
      <c r="H3422" t="s">
        <v>224</v>
      </c>
      <c r="I3422" t="s">
        <v>356</v>
      </c>
      <c r="J3422" t="s">
        <v>45</v>
      </c>
      <c r="K3422" t="b">
        <v>0</v>
      </c>
      <c r="L3422">
        <v>2008</v>
      </c>
      <c r="M3422">
        <v>519796800000</v>
      </c>
      <c r="N3422">
        <v>193617323539</v>
      </c>
      <c r="O3422" t="b">
        <v>1</v>
      </c>
      <c r="P3422">
        <v>1</v>
      </c>
      <c r="Q3422" t="str" cm="1">
        <f t="array" ref="Q3422">_xlfn.IFS(Table1[[#This Row],[Wealthier_Winner]]=-1,"Wealthier Nation Loses",Table1[[#This Row],[Wealthier_Winner]]=0,"Tie",Table1[[#This Row],[Wealthier_Winner]]=1,"Wealthier Nation Wins")</f>
        <v>Wealthier Nation Wins</v>
      </c>
    </row>
    <row r="3423" spans="1:17" x14ac:dyDescent="0.2">
      <c r="A3423" s="1">
        <v>5327</v>
      </c>
      <c r="B3423" s="2">
        <v>39484</v>
      </c>
      <c r="C3423" s="7">
        <f>_xlfn.FLOOR.MATH(Table1[[#This Row],[year]],10)</f>
        <v>2000</v>
      </c>
      <c r="D3423" t="s">
        <v>39</v>
      </c>
      <c r="E3423" t="s">
        <v>71</v>
      </c>
      <c r="F3423">
        <v>2</v>
      </c>
      <c r="G3423">
        <v>0</v>
      </c>
      <c r="H3423" t="s">
        <v>224</v>
      </c>
      <c r="I3423" t="s">
        <v>576</v>
      </c>
      <c r="J3423" t="s">
        <v>39</v>
      </c>
      <c r="K3423" t="b">
        <v>0</v>
      </c>
      <c r="L3423">
        <v>2008</v>
      </c>
      <c r="M3423">
        <v>315474615738</v>
      </c>
      <c r="N3423">
        <v>147379737229</v>
      </c>
      <c r="O3423" t="b">
        <v>1</v>
      </c>
      <c r="P3423">
        <v>1</v>
      </c>
      <c r="Q3423" t="str" cm="1">
        <f t="array" ref="Q3423">_xlfn.IFS(Table1[[#This Row],[Wealthier_Winner]]=-1,"Wealthier Nation Loses",Table1[[#This Row],[Wealthier_Winner]]=0,"Tie",Table1[[#This Row],[Wealthier_Winner]]=1,"Wealthier Nation Wins")</f>
        <v>Wealthier Nation Wins</v>
      </c>
    </row>
    <row r="3424" spans="1:17" x14ac:dyDescent="0.2">
      <c r="A3424" s="1">
        <v>5329</v>
      </c>
      <c r="B3424" s="2">
        <v>39533</v>
      </c>
      <c r="C3424" s="7">
        <f>_xlfn.FLOOR.MATH(Table1[[#This Row],[year]],10)</f>
        <v>2000</v>
      </c>
      <c r="D3424" t="s">
        <v>449</v>
      </c>
      <c r="E3424" t="s">
        <v>497</v>
      </c>
      <c r="F3424">
        <v>1</v>
      </c>
      <c r="G3424">
        <v>0</v>
      </c>
      <c r="H3424" t="s">
        <v>224</v>
      </c>
      <c r="I3424" t="s">
        <v>450</v>
      </c>
      <c r="J3424" t="s">
        <v>449</v>
      </c>
      <c r="K3424" t="b">
        <v>0</v>
      </c>
      <c r="L3424">
        <v>2008</v>
      </c>
      <c r="M3424">
        <v>1557640740</v>
      </c>
      <c r="N3424">
        <v>2843024581</v>
      </c>
      <c r="O3424" t="b">
        <v>0</v>
      </c>
      <c r="P3424">
        <v>-1</v>
      </c>
      <c r="Q3424" t="str" cm="1">
        <f t="array" ref="Q3424">_xlfn.IFS(Table1[[#This Row],[Wealthier_Winner]]=-1,"Wealthier Nation Loses",Table1[[#This Row],[Wealthier_Winner]]=0,"Tie",Table1[[#This Row],[Wealthier_Winner]]=1,"Wealthier Nation Wins")</f>
        <v>Wealthier Nation Loses</v>
      </c>
    </row>
    <row r="3425" spans="1:17" x14ac:dyDescent="0.2">
      <c r="A3425" s="1">
        <v>5331</v>
      </c>
      <c r="B3425" s="2">
        <v>39533</v>
      </c>
      <c r="C3425" s="7">
        <f>_xlfn.FLOOR.MATH(Table1[[#This Row],[year]],10)</f>
        <v>2000</v>
      </c>
      <c r="D3425" t="s">
        <v>361</v>
      </c>
      <c r="E3425" t="s">
        <v>51</v>
      </c>
      <c r="F3425">
        <v>1</v>
      </c>
      <c r="G3425">
        <v>0</v>
      </c>
      <c r="H3425" t="s">
        <v>224</v>
      </c>
      <c r="I3425" t="s">
        <v>419</v>
      </c>
      <c r="J3425" t="s">
        <v>361</v>
      </c>
      <c r="K3425" t="b">
        <v>0</v>
      </c>
      <c r="L3425">
        <v>2008</v>
      </c>
      <c r="M3425">
        <v>25710904255</v>
      </c>
      <c r="N3425">
        <v>5106679115127</v>
      </c>
      <c r="O3425" t="b">
        <v>1</v>
      </c>
      <c r="P3425">
        <v>-1</v>
      </c>
      <c r="Q3425" t="str" cm="1">
        <f t="array" ref="Q3425">_xlfn.IFS(Table1[[#This Row],[Wealthier_Winner]]=-1,"Wealthier Nation Loses",Table1[[#This Row],[Wealthier_Winner]]=0,"Tie",Table1[[#This Row],[Wealthier_Winner]]=1,"Wealthier Nation Wins")</f>
        <v>Wealthier Nation Loses</v>
      </c>
    </row>
    <row r="3426" spans="1:17" x14ac:dyDescent="0.2">
      <c r="A3426" s="1">
        <v>5332</v>
      </c>
      <c r="B3426" s="2">
        <v>39533</v>
      </c>
      <c r="C3426" s="7">
        <f>_xlfn.FLOOR.MATH(Table1[[#This Row],[year]],10)</f>
        <v>2000</v>
      </c>
      <c r="D3426" t="s">
        <v>443</v>
      </c>
      <c r="E3426" t="s">
        <v>494</v>
      </c>
      <c r="F3426">
        <v>1</v>
      </c>
      <c r="G3426">
        <v>0</v>
      </c>
      <c r="H3426" t="s">
        <v>224</v>
      </c>
      <c r="I3426" t="s">
        <v>444</v>
      </c>
      <c r="J3426" t="s">
        <v>443</v>
      </c>
      <c r="K3426" t="b">
        <v>0</v>
      </c>
      <c r="L3426">
        <v>2008</v>
      </c>
      <c r="M3426">
        <v>4790410400</v>
      </c>
      <c r="N3426">
        <v>480003703</v>
      </c>
      <c r="O3426" t="b">
        <v>1</v>
      </c>
      <c r="P3426">
        <v>1</v>
      </c>
      <c r="Q3426" t="str" cm="1">
        <f t="array" ref="Q3426">_xlfn.IFS(Table1[[#This Row],[Wealthier_Winner]]=-1,"Wealthier Nation Loses",Table1[[#This Row],[Wealthier_Winner]]=0,"Tie",Table1[[#This Row],[Wealthier_Winner]]=1,"Wealthier Nation Wins")</f>
        <v>Wealthier Nation Wins</v>
      </c>
    </row>
    <row r="3427" spans="1:17" x14ac:dyDescent="0.2">
      <c r="A3427" s="1">
        <v>5335</v>
      </c>
      <c r="B3427" s="2">
        <v>39533</v>
      </c>
      <c r="C3427" s="7">
        <f>_xlfn.FLOOR.MATH(Table1[[#This Row],[year]],10)</f>
        <v>2000</v>
      </c>
      <c r="D3427" t="s">
        <v>499</v>
      </c>
      <c r="E3427" t="s">
        <v>692</v>
      </c>
      <c r="F3427">
        <v>10</v>
      </c>
      <c r="G3427">
        <v>0</v>
      </c>
      <c r="H3427" t="s">
        <v>224</v>
      </c>
      <c r="I3427" t="s">
        <v>501</v>
      </c>
      <c r="J3427" t="s">
        <v>499</v>
      </c>
      <c r="K3427" t="b">
        <v>0</v>
      </c>
      <c r="L3427">
        <v>2008</v>
      </c>
      <c r="M3427">
        <v>825976037</v>
      </c>
      <c r="N3427">
        <v>4244000000</v>
      </c>
      <c r="O3427" t="b">
        <v>1</v>
      </c>
      <c r="P3427">
        <v>-1</v>
      </c>
      <c r="Q3427" t="str" cm="1">
        <f t="array" ref="Q3427">_xlfn.IFS(Table1[[#This Row],[Wealthier_Winner]]=-1,"Wealthier Nation Loses",Table1[[#This Row],[Wealthier_Winner]]=0,"Tie",Table1[[#This Row],[Wealthier_Winner]]=1,"Wealthier Nation Wins")</f>
        <v>Wealthier Nation Loses</v>
      </c>
    </row>
    <row r="3428" spans="1:17" x14ac:dyDescent="0.2">
      <c r="A3428" s="1">
        <v>5337</v>
      </c>
      <c r="B3428" s="2">
        <v>39533</v>
      </c>
      <c r="C3428" s="7">
        <f>_xlfn.FLOOR.MATH(Table1[[#This Row],[year]],10)</f>
        <v>2000</v>
      </c>
      <c r="D3428" t="s">
        <v>71</v>
      </c>
      <c r="E3428" t="s">
        <v>210</v>
      </c>
      <c r="F3428">
        <v>2</v>
      </c>
      <c r="G3428">
        <v>2</v>
      </c>
      <c r="H3428" t="s">
        <v>224</v>
      </c>
      <c r="I3428" t="s">
        <v>366</v>
      </c>
      <c r="J3428" t="s">
        <v>71</v>
      </c>
      <c r="K3428" t="b">
        <v>0</v>
      </c>
      <c r="L3428">
        <v>2008</v>
      </c>
      <c r="M3428">
        <v>147379737229</v>
      </c>
      <c r="N3428">
        <v>406070949553</v>
      </c>
      <c r="O3428" t="b">
        <v>1</v>
      </c>
      <c r="P3428">
        <v>0</v>
      </c>
      <c r="Q3428" t="str" cm="1">
        <f t="array" ref="Q3428">_xlfn.IFS(Table1[[#This Row],[Wealthier_Winner]]=-1,"Wealthier Nation Loses",Table1[[#This Row],[Wealthier_Winner]]=0,"Tie",Table1[[#This Row],[Wealthier_Winner]]=1,"Wealthier Nation Wins")</f>
        <v>Tie</v>
      </c>
    </row>
    <row r="3429" spans="1:17" x14ac:dyDescent="0.2">
      <c r="A3429" s="1">
        <v>5340</v>
      </c>
      <c r="B3429" s="2">
        <v>39533</v>
      </c>
      <c r="C3429" s="7">
        <f>_xlfn.FLOOR.MATH(Table1[[#This Row],[year]],10)</f>
        <v>2000</v>
      </c>
      <c r="D3429" t="s">
        <v>68</v>
      </c>
      <c r="E3429" t="s">
        <v>37</v>
      </c>
      <c r="F3429">
        <v>2</v>
      </c>
      <c r="G3429">
        <v>0</v>
      </c>
      <c r="H3429" t="s">
        <v>224</v>
      </c>
      <c r="I3429" t="s">
        <v>190</v>
      </c>
      <c r="J3429" t="s">
        <v>68</v>
      </c>
      <c r="K3429" t="b">
        <v>0</v>
      </c>
      <c r="L3429">
        <v>2008</v>
      </c>
      <c r="M3429">
        <v>115270054945</v>
      </c>
      <c r="N3429">
        <v>131614434153</v>
      </c>
      <c r="O3429" t="b">
        <v>0</v>
      </c>
      <c r="P3429">
        <v>-1</v>
      </c>
      <c r="Q3429" t="str" cm="1">
        <f t="array" ref="Q3429">_xlfn.IFS(Table1[[#This Row],[Wealthier_Winner]]=-1,"Wealthier Nation Loses",Table1[[#This Row],[Wealthier_Winner]]=0,"Tie",Table1[[#This Row],[Wealthier_Winner]]=1,"Wealthier Nation Wins")</f>
        <v>Wealthier Nation Loses</v>
      </c>
    </row>
    <row r="3430" spans="1:17" x14ac:dyDescent="0.2">
      <c r="A3430" s="1">
        <v>5341</v>
      </c>
      <c r="B3430" s="2">
        <v>39533</v>
      </c>
      <c r="C3430" s="7">
        <f>_xlfn.FLOOR.MATH(Table1[[#This Row],[year]],10)</f>
        <v>2000</v>
      </c>
      <c r="D3430" t="s">
        <v>359</v>
      </c>
      <c r="E3430" t="s">
        <v>479</v>
      </c>
      <c r="F3430">
        <v>2</v>
      </c>
      <c r="G3430">
        <v>0</v>
      </c>
      <c r="H3430" t="s">
        <v>224</v>
      </c>
      <c r="I3430" t="s">
        <v>359</v>
      </c>
      <c r="J3430" t="s">
        <v>359</v>
      </c>
      <c r="K3430" t="b">
        <v>0</v>
      </c>
      <c r="L3430">
        <v>2008</v>
      </c>
      <c r="M3430">
        <v>193617323539</v>
      </c>
      <c r="N3430">
        <v>29118916105</v>
      </c>
      <c r="O3430" t="b">
        <v>1</v>
      </c>
      <c r="P3430">
        <v>1</v>
      </c>
      <c r="Q3430" t="str" cm="1">
        <f t="array" ref="Q3430">_xlfn.IFS(Table1[[#This Row],[Wealthier_Winner]]=-1,"Wealthier Nation Loses",Table1[[#This Row],[Wealthier_Winner]]=0,"Tie",Table1[[#This Row],[Wealthier_Winner]]=1,"Wealthier Nation Wins")</f>
        <v>Wealthier Nation Wins</v>
      </c>
    </row>
    <row r="3431" spans="1:17" x14ac:dyDescent="0.2">
      <c r="A3431" s="1">
        <v>5344</v>
      </c>
      <c r="B3431" s="2">
        <v>39533</v>
      </c>
      <c r="C3431" s="7">
        <f>_xlfn.FLOOR.MATH(Table1[[#This Row],[year]],10)</f>
        <v>2000</v>
      </c>
      <c r="D3431" t="s">
        <v>331</v>
      </c>
      <c r="E3431" t="s">
        <v>39</v>
      </c>
      <c r="F3431">
        <v>1</v>
      </c>
      <c r="G3431">
        <v>1</v>
      </c>
      <c r="H3431" t="s">
        <v>224</v>
      </c>
      <c r="I3431" t="s">
        <v>355</v>
      </c>
      <c r="J3431" t="s">
        <v>331</v>
      </c>
      <c r="K3431" t="b">
        <v>0</v>
      </c>
      <c r="L3431">
        <v>2008</v>
      </c>
      <c r="M3431">
        <v>52557913568</v>
      </c>
      <c r="N3431">
        <v>315474615738</v>
      </c>
      <c r="O3431" t="b">
        <v>1</v>
      </c>
      <c r="P3431">
        <v>0</v>
      </c>
      <c r="Q3431" t="str" cm="1">
        <f t="array" ref="Q3431">_xlfn.IFS(Table1[[#This Row],[Wealthier_Winner]]=-1,"Wealthier Nation Loses",Table1[[#This Row],[Wealthier_Winner]]=0,"Tie",Table1[[#This Row],[Wealthier_Winner]]=1,"Wealthier Nation Wins")</f>
        <v>Tie</v>
      </c>
    </row>
    <row r="3432" spans="1:17" x14ac:dyDescent="0.2">
      <c r="A3432" s="1">
        <v>5345</v>
      </c>
      <c r="B3432" s="2">
        <v>39533</v>
      </c>
      <c r="C3432" s="7">
        <f>_xlfn.FLOOR.MATH(Table1[[#This Row],[year]],10)</f>
        <v>2000</v>
      </c>
      <c r="D3432" t="s">
        <v>334</v>
      </c>
      <c r="E3432" t="s">
        <v>429</v>
      </c>
      <c r="F3432">
        <v>0</v>
      </c>
      <c r="G3432">
        <v>1</v>
      </c>
      <c r="H3432" t="s">
        <v>224</v>
      </c>
      <c r="I3432" t="s">
        <v>407</v>
      </c>
      <c r="J3432" t="s">
        <v>334</v>
      </c>
      <c r="K3432" t="b">
        <v>0</v>
      </c>
      <c r="L3432">
        <v>2008</v>
      </c>
      <c r="M3432">
        <v>291382982430</v>
      </c>
      <c r="N3432">
        <v>69804681404</v>
      </c>
      <c r="O3432" t="b">
        <v>1</v>
      </c>
      <c r="P3432">
        <v>-1</v>
      </c>
      <c r="Q3432" t="str" cm="1">
        <f t="array" ref="Q3432">_xlfn.IFS(Table1[[#This Row],[Wealthier_Winner]]=-1,"Wealthier Nation Loses",Table1[[#This Row],[Wealthier_Winner]]=0,"Tie",Table1[[#This Row],[Wealthier_Winner]]=1,"Wealthier Nation Wins")</f>
        <v>Wealthier Nation Loses</v>
      </c>
    </row>
    <row r="3433" spans="1:17" x14ac:dyDescent="0.2">
      <c r="A3433" s="1">
        <v>5346</v>
      </c>
      <c r="B3433" s="2">
        <v>39533</v>
      </c>
      <c r="C3433" s="7">
        <f>_xlfn.FLOOR.MATH(Table1[[#This Row],[year]],10)</f>
        <v>2000</v>
      </c>
      <c r="D3433" t="s">
        <v>560</v>
      </c>
      <c r="E3433" t="s">
        <v>403</v>
      </c>
      <c r="F3433">
        <v>0</v>
      </c>
      <c r="G3433">
        <v>2</v>
      </c>
      <c r="H3433" t="s">
        <v>224</v>
      </c>
      <c r="I3433" t="s">
        <v>561</v>
      </c>
      <c r="J3433" t="s">
        <v>560</v>
      </c>
      <c r="K3433" t="b">
        <v>0</v>
      </c>
      <c r="L3433">
        <v>2008</v>
      </c>
      <c r="M3433">
        <v>19271523178</v>
      </c>
      <c r="N3433">
        <v>22658715989</v>
      </c>
      <c r="O3433" t="b">
        <v>0</v>
      </c>
      <c r="P3433">
        <v>1</v>
      </c>
      <c r="Q3433" t="str" cm="1">
        <f t="array" ref="Q3433">_xlfn.IFS(Table1[[#This Row],[Wealthier_Winner]]=-1,"Wealthier Nation Loses",Table1[[#This Row],[Wealthier_Winner]]=0,"Tie",Table1[[#This Row],[Wealthier_Winner]]=1,"Wealthier Nation Wins")</f>
        <v>Wealthier Nation Wins</v>
      </c>
    </row>
    <row r="3434" spans="1:17" x14ac:dyDescent="0.2">
      <c r="A3434" s="1">
        <v>5347</v>
      </c>
      <c r="B3434" s="2">
        <v>39533</v>
      </c>
      <c r="C3434" s="7">
        <f>_xlfn.FLOOR.MATH(Table1[[#This Row],[year]],10)</f>
        <v>2000</v>
      </c>
      <c r="D3434" t="s">
        <v>563</v>
      </c>
      <c r="E3434" t="s">
        <v>45</v>
      </c>
      <c r="F3434">
        <v>3</v>
      </c>
      <c r="G3434">
        <v>0</v>
      </c>
      <c r="H3434" t="s">
        <v>224</v>
      </c>
      <c r="I3434" t="s">
        <v>564</v>
      </c>
      <c r="J3434" t="s">
        <v>563</v>
      </c>
      <c r="K3434" t="b">
        <v>0</v>
      </c>
      <c r="L3434">
        <v>2008</v>
      </c>
      <c r="M3434">
        <v>29549438883</v>
      </c>
      <c r="N3434">
        <v>519796800000</v>
      </c>
      <c r="O3434" t="b">
        <v>1</v>
      </c>
      <c r="P3434">
        <v>-1</v>
      </c>
      <c r="Q3434" t="str" cm="1">
        <f t="array" ref="Q3434">_xlfn.IFS(Table1[[#This Row],[Wealthier_Winner]]=-1,"Wealthier Nation Loses",Table1[[#This Row],[Wealthier_Winner]]=0,"Tie",Table1[[#This Row],[Wealthier_Winner]]=1,"Wealthier Nation Wins")</f>
        <v>Wealthier Nation Loses</v>
      </c>
    </row>
    <row r="3435" spans="1:17" x14ac:dyDescent="0.2">
      <c r="A3435" s="1">
        <v>5349</v>
      </c>
      <c r="B3435" s="2">
        <v>39537</v>
      </c>
      <c r="C3435" s="7">
        <f>_xlfn.FLOOR.MATH(Table1[[#This Row],[year]],10)</f>
        <v>2000</v>
      </c>
      <c r="D3435" t="s">
        <v>691</v>
      </c>
      <c r="E3435" t="s">
        <v>266</v>
      </c>
      <c r="F3435">
        <v>1</v>
      </c>
      <c r="G3435">
        <v>3</v>
      </c>
      <c r="H3435" t="s">
        <v>224</v>
      </c>
      <c r="I3435" t="s">
        <v>693</v>
      </c>
      <c r="J3435" t="s">
        <v>691</v>
      </c>
      <c r="K3435" t="b">
        <v>0</v>
      </c>
      <c r="L3435">
        <v>2008</v>
      </c>
      <c r="M3435">
        <v>4585948969</v>
      </c>
      <c r="N3435">
        <v>6980000000</v>
      </c>
      <c r="O3435" t="b">
        <v>0</v>
      </c>
      <c r="P3435">
        <v>1</v>
      </c>
      <c r="Q3435" t="str" cm="1">
        <f t="array" ref="Q3435">_xlfn.IFS(Table1[[#This Row],[Wealthier_Winner]]=-1,"Wealthier Nation Loses",Table1[[#This Row],[Wealthier_Winner]]=0,"Tie",Table1[[#This Row],[Wealthier_Winner]]=1,"Wealthier Nation Wins")</f>
        <v>Wealthier Nation Wins</v>
      </c>
    </row>
    <row r="3436" spans="1:17" x14ac:dyDescent="0.2">
      <c r="A3436" s="1">
        <v>5350</v>
      </c>
      <c r="B3436" s="2">
        <v>39599</v>
      </c>
      <c r="C3436" s="7">
        <f>_xlfn.FLOOR.MATH(Table1[[#This Row],[year]],10)</f>
        <v>2000</v>
      </c>
      <c r="D3436" t="s">
        <v>469</v>
      </c>
      <c r="E3436" t="s">
        <v>410</v>
      </c>
      <c r="F3436">
        <v>0</v>
      </c>
      <c r="G3436">
        <v>0</v>
      </c>
      <c r="H3436" t="s">
        <v>224</v>
      </c>
      <c r="I3436" t="s">
        <v>470</v>
      </c>
      <c r="J3436" t="s">
        <v>469</v>
      </c>
      <c r="K3436" t="b">
        <v>0</v>
      </c>
      <c r="L3436">
        <v>2008</v>
      </c>
      <c r="M3436">
        <v>10730829116</v>
      </c>
      <c r="N3436">
        <v>10725137723</v>
      </c>
      <c r="O3436" t="b">
        <v>0</v>
      </c>
      <c r="P3436">
        <v>0</v>
      </c>
      <c r="Q3436" t="str" cm="1">
        <f t="array" ref="Q3436">_xlfn.IFS(Table1[[#This Row],[Wealthier_Winner]]=-1,"Wealthier Nation Loses",Table1[[#This Row],[Wealthier_Winner]]=0,"Tie",Table1[[#This Row],[Wealthier_Winner]]=1,"Wealthier Nation Wins")</f>
        <v>Tie</v>
      </c>
    </row>
    <row r="3437" spans="1:17" x14ac:dyDescent="0.2">
      <c r="A3437" s="1">
        <v>5352</v>
      </c>
      <c r="B3437" s="2">
        <v>39599</v>
      </c>
      <c r="C3437" s="7">
        <f>_xlfn.FLOOR.MATH(Table1[[#This Row],[year]],10)</f>
        <v>2000</v>
      </c>
      <c r="D3437" t="s">
        <v>195</v>
      </c>
      <c r="E3437" t="s">
        <v>403</v>
      </c>
      <c r="F3437">
        <v>2</v>
      </c>
      <c r="G3437">
        <v>2</v>
      </c>
      <c r="H3437" t="s">
        <v>224</v>
      </c>
      <c r="I3437" t="s">
        <v>136</v>
      </c>
      <c r="J3437" t="s">
        <v>195</v>
      </c>
      <c r="K3437" t="b">
        <v>0</v>
      </c>
      <c r="L3437">
        <v>2008</v>
      </c>
      <c r="M3437">
        <v>1091580692542</v>
      </c>
      <c r="N3437">
        <v>22658715989</v>
      </c>
      <c r="O3437" t="b">
        <v>1</v>
      </c>
      <c r="P3437">
        <v>0</v>
      </c>
      <c r="Q3437" t="str" cm="1">
        <f t="array" ref="Q3437">_xlfn.IFS(Table1[[#This Row],[Wealthier_Winner]]=-1,"Wealthier Nation Loses",Table1[[#This Row],[Wealthier_Winner]]=0,"Tie",Table1[[#This Row],[Wealthier_Winner]]=1,"Wealthier Nation Wins")</f>
        <v>Tie</v>
      </c>
    </row>
    <row r="3438" spans="1:17" x14ac:dyDescent="0.2">
      <c r="A3438" s="1">
        <v>5353</v>
      </c>
      <c r="B3438" s="2">
        <v>39599</v>
      </c>
      <c r="C3438" s="7">
        <f>_xlfn.FLOOR.MATH(Table1[[#This Row],[year]],10)</f>
        <v>2000</v>
      </c>
      <c r="D3438" t="s">
        <v>370</v>
      </c>
      <c r="E3438" t="s">
        <v>694</v>
      </c>
      <c r="F3438">
        <v>8</v>
      </c>
      <c r="G3438">
        <v>1</v>
      </c>
      <c r="H3438" t="s">
        <v>224</v>
      </c>
      <c r="I3438" t="s">
        <v>372</v>
      </c>
      <c r="J3438" t="s">
        <v>370</v>
      </c>
      <c r="K3438" t="b">
        <v>0</v>
      </c>
      <c r="L3438">
        <v>2008</v>
      </c>
      <c r="M3438">
        <v>7743617352</v>
      </c>
      <c r="N3438">
        <v>999105339</v>
      </c>
      <c r="O3438" t="b">
        <v>1</v>
      </c>
      <c r="P3438">
        <v>1</v>
      </c>
      <c r="Q3438" t="str" cm="1">
        <f t="array" ref="Q3438">_xlfn.IFS(Table1[[#This Row],[Wealthier_Winner]]=-1,"Wealthier Nation Loses",Table1[[#This Row],[Wealthier_Winner]]=0,"Tie",Table1[[#This Row],[Wealthier_Winner]]=1,"Wealthier Nation Wins")</f>
        <v>Wealthier Nation Wins</v>
      </c>
    </row>
    <row r="3439" spans="1:17" x14ac:dyDescent="0.2">
      <c r="A3439" s="1">
        <v>5354</v>
      </c>
      <c r="B3439" s="2">
        <v>39599</v>
      </c>
      <c r="C3439" s="7">
        <f>_xlfn.FLOOR.MATH(Table1[[#This Row],[year]],10)</f>
        <v>2000</v>
      </c>
      <c r="D3439" t="s">
        <v>462</v>
      </c>
      <c r="E3439" t="s">
        <v>314</v>
      </c>
      <c r="F3439">
        <v>2</v>
      </c>
      <c r="G3439">
        <v>1</v>
      </c>
      <c r="H3439" t="s">
        <v>224</v>
      </c>
      <c r="I3439" t="s">
        <v>465</v>
      </c>
      <c r="J3439" t="s">
        <v>462</v>
      </c>
      <c r="K3439" t="b">
        <v>0</v>
      </c>
      <c r="L3439">
        <v>2008</v>
      </c>
      <c r="M3439">
        <v>8607431497</v>
      </c>
      <c r="N3439">
        <v>35895153327</v>
      </c>
      <c r="O3439" t="b">
        <v>1</v>
      </c>
      <c r="P3439">
        <v>-1</v>
      </c>
      <c r="Q3439" t="str" cm="1">
        <f t="array" ref="Q3439">_xlfn.IFS(Table1[[#This Row],[Wealthier_Winner]]=-1,"Wealthier Nation Loses",Table1[[#This Row],[Wealthier_Winner]]=0,"Tie",Table1[[#This Row],[Wealthier_Winner]]=1,"Wealthier Nation Wins")</f>
        <v>Wealthier Nation Loses</v>
      </c>
    </row>
    <row r="3440" spans="1:17" x14ac:dyDescent="0.2">
      <c r="A3440" s="1">
        <v>5355</v>
      </c>
      <c r="B3440" s="2">
        <v>39599</v>
      </c>
      <c r="C3440" s="7">
        <f>_xlfn.FLOOR.MATH(Table1[[#This Row],[year]],10)</f>
        <v>2000</v>
      </c>
      <c r="D3440" t="s">
        <v>514</v>
      </c>
      <c r="E3440" t="s">
        <v>346</v>
      </c>
      <c r="F3440">
        <v>3</v>
      </c>
      <c r="G3440">
        <v>0</v>
      </c>
      <c r="H3440" t="s">
        <v>224</v>
      </c>
      <c r="I3440" t="s">
        <v>515</v>
      </c>
      <c r="J3440" t="s">
        <v>514</v>
      </c>
      <c r="K3440" t="b">
        <v>0</v>
      </c>
      <c r="L3440">
        <v>2008</v>
      </c>
      <c r="M3440">
        <v>5179854064</v>
      </c>
      <c r="N3440">
        <v>5206437193</v>
      </c>
      <c r="O3440" t="b">
        <v>0</v>
      </c>
      <c r="P3440">
        <v>-1</v>
      </c>
      <c r="Q3440" t="str" cm="1">
        <f t="array" ref="Q3440">_xlfn.IFS(Table1[[#This Row],[Wealthier_Winner]]=-1,"Wealthier Nation Loses",Table1[[#This Row],[Wealthier_Winner]]=0,"Tie",Table1[[#This Row],[Wealthier_Winner]]=1,"Wealthier Nation Wins")</f>
        <v>Wealthier Nation Loses</v>
      </c>
    </row>
    <row r="3441" spans="1:17" x14ac:dyDescent="0.2">
      <c r="A3441" s="1">
        <v>5356</v>
      </c>
      <c r="B3441" s="2">
        <v>39599</v>
      </c>
      <c r="C3441" s="7">
        <f>_xlfn.FLOOR.MATH(Table1[[#This Row],[year]],10)</f>
        <v>2000</v>
      </c>
      <c r="D3441" t="s">
        <v>54</v>
      </c>
      <c r="E3441" t="s">
        <v>32</v>
      </c>
      <c r="F3441">
        <v>1</v>
      </c>
      <c r="G3441">
        <v>0</v>
      </c>
      <c r="H3441" t="s">
        <v>224</v>
      </c>
      <c r="I3441" t="s">
        <v>285</v>
      </c>
      <c r="J3441" t="s">
        <v>54</v>
      </c>
      <c r="K3441" t="b">
        <v>0</v>
      </c>
      <c r="L3441">
        <v>2008</v>
      </c>
      <c r="M3441">
        <v>16853989627</v>
      </c>
      <c r="N3441">
        <v>180383848331</v>
      </c>
      <c r="O3441" t="b">
        <v>1</v>
      </c>
      <c r="P3441">
        <v>-1</v>
      </c>
      <c r="Q3441" t="str" cm="1">
        <f t="array" ref="Q3441">_xlfn.IFS(Table1[[#This Row],[Wealthier_Winner]]=-1,"Wealthier Nation Loses",Table1[[#This Row],[Wealthier_Winner]]=0,"Tie",Table1[[#This Row],[Wealthier_Winner]]=1,"Wealthier Nation Wins")</f>
        <v>Wealthier Nation Loses</v>
      </c>
    </row>
    <row r="3442" spans="1:17" x14ac:dyDescent="0.2">
      <c r="A3442" s="1">
        <v>5357</v>
      </c>
      <c r="B3442" s="2">
        <v>39599</v>
      </c>
      <c r="C3442" s="7">
        <f>_xlfn.FLOOR.MATH(Table1[[#This Row],[year]],10)</f>
        <v>2000</v>
      </c>
      <c r="D3442" t="s">
        <v>320</v>
      </c>
      <c r="E3442" t="s">
        <v>323</v>
      </c>
      <c r="F3442">
        <v>1</v>
      </c>
      <c r="G3442">
        <v>1</v>
      </c>
      <c r="H3442" t="s">
        <v>224</v>
      </c>
      <c r="I3442" t="s">
        <v>321</v>
      </c>
      <c r="J3442" t="s">
        <v>320</v>
      </c>
      <c r="K3442" t="b">
        <v>0</v>
      </c>
      <c r="L3442">
        <v>2008</v>
      </c>
      <c r="M3442">
        <v>27947821397</v>
      </c>
      <c r="N3442">
        <v>10127777060</v>
      </c>
      <c r="O3442" t="b">
        <v>1</v>
      </c>
      <c r="P3442">
        <v>0</v>
      </c>
      <c r="Q3442" t="str" cm="1">
        <f t="array" ref="Q3442">_xlfn.IFS(Table1[[#This Row],[Wealthier_Winner]]=-1,"Wealthier Nation Loses",Table1[[#This Row],[Wealthier_Winner]]=0,"Tie",Table1[[#This Row],[Wealthier_Winner]]=1,"Wealthier Nation Wins")</f>
        <v>Tie</v>
      </c>
    </row>
    <row r="3443" spans="1:17" x14ac:dyDescent="0.2">
      <c r="A3443" s="1">
        <v>5358</v>
      </c>
      <c r="B3443" s="2">
        <v>39599</v>
      </c>
      <c r="C3443" s="7">
        <f>_xlfn.FLOOR.MATH(Table1[[#This Row],[year]],10)</f>
        <v>2000</v>
      </c>
      <c r="D3443" t="s">
        <v>62</v>
      </c>
      <c r="E3443" t="s">
        <v>273</v>
      </c>
      <c r="F3443">
        <v>1</v>
      </c>
      <c r="G3443">
        <v>0</v>
      </c>
      <c r="H3443" t="s">
        <v>224</v>
      </c>
      <c r="I3443" t="s">
        <v>226</v>
      </c>
      <c r="J3443" t="s">
        <v>63</v>
      </c>
      <c r="K3443" t="b">
        <v>1</v>
      </c>
      <c r="L3443">
        <v>2008</v>
      </c>
      <c r="M3443">
        <v>4578847112</v>
      </c>
      <c r="N3443">
        <v>17910858637</v>
      </c>
      <c r="O3443" t="b">
        <v>1</v>
      </c>
      <c r="P3443">
        <v>-1</v>
      </c>
      <c r="Q3443" t="str" cm="1">
        <f t="array" ref="Q3443">_xlfn.IFS(Table1[[#This Row],[Wealthier_Winner]]=-1,"Wealthier Nation Loses",Table1[[#This Row],[Wealthier_Winner]]=0,"Tie",Table1[[#This Row],[Wealthier_Winner]]=1,"Wealthier Nation Wins")</f>
        <v>Wealthier Nation Loses</v>
      </c>
    </row>
    <row r="3444" spans="1:17" x14ac:dyDescent="0.2">
      <c r="A3444" s="1">
        <v>5359</v>
      </c>
      <c r="B3444" s="2">
        <v>39599</v>
      </c>
      <c r="C3444" s="7">
        <f>_xlfn.FLOOR.MATH(Table1[[#This Row],[year]],10)</f>
        <v>2000</v>
      </c>
      <c r="D3444" t="s">
        <v>357</v>
      </c>
      <c r="E3444" t="s">
        <v>343</v>
      </c>
      <c r="F3444">
        <v>1</v>
      </c>
      <c r="G3444">
        <v>0</v>
      </c>
      <c r="H3444" t="s">
        <v>224</v>
      </c>
      <c r="I3444" t="s">
        <v>358</v>
      </c>
      <c r="J3444" t="s">
        <v>357</v>
      </c>
      <c r="K3444" t="b">
        <v>0</v>
      </c>
      <c r="L3444">
        <v>2008</v>
      </c>
      <c r="M3444">
        <v>14440404132</v>
      </c>
      <c r="N3444">
        <v>7297600226</v>
      </c>
      <c r="O3444" t="b">
        <v>0</v>
      </c>
      <c r="P3444">
        <v>1</v>
      </c>
      <c r="Q3444" t="str" cm="1">
        <f t="array" ref="Q3444">_xlfn.IFS(Table1[[#This Row],[Wealthier_Winner]]=-1,"Wealthier Nation Loses",Table1[[#This Row],[Wealthier_Winner]]=0,"Tie",Table1[[#This Row],[Wealthier_Winner]]=1,"Wealthier Nation Wins")</f>
        <v>Wealthier Nation Wins</v>
      </c>
    </row>
    <row r="3445" spans="1:17" x14ac:dyDescent="0.2">
      <c r="A3445" s="1">
        <v>5360</v>
      </c>
      <c r="B3445" s="2">
        <v>39600</v>
      </c>
      <c r="C3445" s="7">
        <f>_xlfn.FLOOR.MATH(Table1[[#This Row],[year]],10)</f>
        <v>2000</v>
      </c>
      <c r="D3445" t="s">
        <v>60</v>
      </c>
      <c r="E3445" t="s">
        <v>310</v>
      </c>
      <c r="F3445">
        <v>3</v>
      </c>
      <c r="G3445">
        <v>0</v>
      </c>
      <c r="H3445" t="s">
        <v>224</v>
      </c>
      <c r="I3445" t="s">
        <v>396</v>
      </c>
      <c r="J3445" t="s">
        <v>60</v>
      </c>
      <c r="K3445" t="b">
        <v>0</v>
      </c>
      <c r="L3445">
        <v>2008</v>
      </c>
      <c r="M3445">
        <v>98790432989</v>
      </c>
      <c r="N3445">
        <v>9787734526</v>
      </c>
      <c r="O3445" t="b">
        <v>1</v>
      </c>
      <c r="P3445">
        <v>1</v>
      </c>
      <c r="Q3445" t="str" cm="1">
        <f t="array" ref="Q3445">_xlfn.IFS(Table1[[#This Row],[Wealthier_Winner]]=-1,"Wealthier Nation Loses",Table1[[#This Row],[Wealthier_Winner]]=0,"Tie",Table1[[#This Row],[Wealthier_Winner]]=1,"Wealthier Nation Wins")</f>
        <v>Wealthier Nation Wins</v>
      </c>
    </row>
    <row r="3446" spans="1:17" x14ac:dyDescent="0.2">
      <c r="A3446" s="1">
        <v>5361</v>
      </c>
      <c r="B3446" s="2">
        <v>39600</v>
      </c>
      <c r="C3446" s="7">
        <f>_xlfn.FLOOR.MATH(Table1[[#This Row],[year]],10)</f>
        <v>2000</v>
      </c>
      <c r="D3446" t="s">
        <v>28</v>
      </c>
      <c r="E3446" t="s">
        <v>37</v>
      </c>
      <c r="F3446">
        <v>1</v>
      </c>
      <c r="G3446">
        <v>0</v>
      </c>
      <c r="H3446" t="s">
        <v>224</v>
      </c>
      <c r="I3446" t="s">
        <v>695</v>
      </c>
      <c r="J3446" t="s">
        <v>28</v>
      </c>
      <c r="K3446" t="b">
        <v>0</v>
      </c>
      <c r="L3446">
        <v>2008</v>
      </c>
      <c r="M3446">
        <v>1058448244063</v>
      </c>
      <c r="N3446">
        <v>131614434153</v>
      </c>
      <c r="O3446" t="b">
        <v>1</v>
      </c>
      <c r="P3446">
        <v>1</v>
      </c>
      <c r="Q3446" t="str" cm="1">
        <f t="array" ref="Q3446">_xlfn.IFS(Table1[[#This Row],[Wealthier_Winner]]=-1,"Wealthier Nation Loses",Table1[[#This Row],[Wealthier_Winner]]=0,"Tie",Table1[[#This Row],[Wealthier_Winner]]=1,"Wealthier Nation Wins")</f>
        <v>Wealthier Nation Wins</v>
      </c>
    </row>
    <row r="3447" spans="1:17" x14ac:dyDescent="0.2">
      <c r="A3447" s="1">
        <v>5362</v>
      </c>
      <c r="B3447" s="2">
        <v>39600</v>
      </c>
      <c r="C3447" s="7">
        <f>_xlfn.FLOOR.MATH(Table1[[#This Row],[year]],10)</f>
        <v>2000</v>
      </c>
      <c r="D3447" t="s">
        <v>460</v>
      </c>
      <c r="E3447" t="s">
        <v>583</v>
      </c>
      <c r="F3447">
        <v>1</v>
      </c>
      <c r="G3447">
        <v>0</v>
      </c>
      <c r="H3447" t="s">
        <v>224</v>
      </c>
      <c r="I3447" t="s">
        <v>464</v>
      </c>
      <c r="J3447" t="s">
        <v>460</v>
      </c>
      <c r="K3447" t="b">
        <v>0</v>
      </c>
      <c r="L3447">
        <v>2008</v>
      </c>
      <c r="M3447">
        <v>1611835857</v>
      </c>
      <c r="N3447">
        <v>979597394</v>
      </c>
      <c r="O3447" t="b">
        <v>0</v>
      </c>
      <c r="P3447">
        <v>1</v>
      </c>
      <c r="Q3447" t="str" cm="1">
        <f t="array" ref="Q3447">_xlfn.IFS(Table1[[#This Row],[Wealthier_Winner]]=-1,"Wealthier Nation Loses",Table1[[#This Row],[Wealthier_Winner]]=0,"Tie",Table1[[#This Row],[Wealthier_Winner]]=1,"Wealthier Nation Wins")</f>
        <v>Wealthier Nation Wins</v>
      </c>
    </row>
    <row r="3448" spans="1:17" x14ac:dyDescent="0.2">
      <c r="A3448" s="1">
        <v>5364</v>
      </c>
      <c r="B3448" s="2">
        <v>39600</v>
      </c>
      <c r="C3448" s="7">
        <f>_xlfn.FLOOR.MATH(Table1[[#This Row],[year]],10)</f>
        <v>2000</v>
      </c>
      <c r="D3448" t="s">
        <v>639</v>
      </c>
      <c r="E3448" t="s">
        <v>342</v>
      </c>
      <c r="F3448">
        <v>2</v>
      </c>
      <c r="G3448">
        <v>0</v>
      </c>
      <c r="H3448" t="s">
        <v>224</v>
      </c>
      <c r="I3448" t="s">
        <v>696</v>
      </c>
      <c r="J3448" t="s">
        <v>639</v>
      </c>
      <c r="K3448" t="b">
        <v>0</v>
      </c>
      <c r="L3448">
        <v>2008</v>
      </c>
      <c r="M3448">
        <v>19749893536</v>
      </c>
      <c r="N3448">
        <v>4157895298</v>
      </c>
      <c r="O3448" t="b">
        <v>1</v>
      </c>
      <c r="P3448">
        <v>1</v>
      </c>
      <c r="Q3448" t="str" cm="1">
        <f t="array" ref="Q3448">_xlfn.IFS(Table1[[#This Row],[Wealthier_Winner]]=-1,"Wealthier Nation Loses",Table1[[#This Row],[Wealthier_Winner]]=0,"Tie",Table1[[#This Row],[Wealthier_Winner]]=1,"Wealthier Nation Wins")</f>
        <v>Wealthier Nation Wins</v>
      </c>
    </row>
    <row r="3449" spans="1:17" x14ac:dyDescent="0.2">
      <c r="A3449" s="1">
        <v>5365</v>
      </c>
      <c r="B3449" s="2">
        <v>39600</v>
      </c>
      <c r="C3449" s="7">
        <f>_xlfn.FLOOR.MATH(Table1[[#This Row],[year]],10)</f>
        <v>2000</v>
      </c>
      <c r="D3449" t="s">
        <v>63</v>
      </c>
      <c r="E3449" t="s">
        <v>286</v>
      </c>
      <c r="F3449">
        <v>3</v>
      </c>
      <c r="G3449">
        <v>0</v>
      </c>
      <c r="H3449" t="s">
        <v>224</v>
      </c>
      <c r="I3449" t="s">
        <v>313</v>
      </c>
      <c r="J3449" t="s">
        <v>63</v>
      </c>
      <c r="K3449" t="b">
        <v>0</v>
      </c>
      <c r="L3449">
        <v>2008</v>
      </c>
      <c r="M3449">
        <v>28679383241</v>
      </c>
      <c r="N3449">
        <v>86710767415</v>
      </c>
      <c r="O3449" t="b">
        <v>1</v>
      </c>
      <c r="P3449">
        <v>-1</v>
      </c>
      <c r="Q3449" t="str" cm="1">
        <f t="array" ref="Q3449">_xlfn.IFS(Table1[[#This Row],[Wealthier_Winner]]=-1,"Wealthier Nation Loses",Table1[[#This Row],[Wealthier_Winner]]=0,"Tie",Table1[[#This Row],[Wealthier_Winner]]=1,"Wealthier Nation Wins")</f>
        <v>Wealthier Nation Loses</v>
      </c>
    </row>
    <row r="3450" spans="1:17" x14ac:dyDescent="0.2">
      <c r="A3450" s="1">
        <v>5366</v>
      </c>
      <c r="B3450" s="2">
        <v>39600</v>
      </c>
      <c r="C3450" s="7">
        <f>_xlfn.FLOOR.MATH(Table1[[#This Row],[year]],10)</f>
        <v>2000</v>
      </c>
      <c r="D3450" t="s">
        <v>305</v>
      </c>
      <c r="E3450" t="s">
        <v>298</v>
      </c>
      <c r="F3450">
        <v>0</v>
      </c>
      <c r="G3450">
        <v>0</v>
      </c>
      <c r="H3450" t="s">
        <v>224</v>
      </c>
      <c r="I3450" t="s">
        <v>306</v>
      </c>
      <c r="J3450" t="s">
        <v>305</v>
      </c>
      <c r="K3450" t="b">
        <v>0</v>
      </c>
      <c r="L3450">
        <v>2008</v>
      </c>
      <c r="M3450">
        <v>6964179983</v>
      </c>
      <c r="N3450">
        <v>4418000000</v>
      </c>
      <c r="O3450" t="b">
        <v>0</v>
      </c>
      <c r="P3450">
        <v>0</v>
      </c>
      <c r="Q3450" t="str" cm="1">
        <f t="array" ref="Q3450">_xlfn.IFS(Table1[[#This Row],[Wealthier_Winner]]=-1,"Wealthier Nation Loses",Table1[[#This Row],[Wealthier_Winner]]=0,"Tie",Table1[[#This Row],[Wealthier_Winner]]=1,"Wealthier Nation Wins")</f>
        <v>Tie</v>
      </c>
    </row>
    <row r="3451" spans="1:17" x14ac:dyDescent="0.2">
      <c r="A3451" s="1">
        <v>5370</v>
      </c>
      <c r="B3451" s="2">
        <v>39600</v>
      </c>
      <c r="C3451" s="7">
        <f>_xlfn.FLOOR.MATH(Table1[[#This Row],[year]],10)</f>
        <v>2000</v>
      </c>
      <c r="D3451" t="s">
        <v>43</v>
      </c>
      <c r="E3451" t="s">
        <v>50</v>
      </c>
      <c r="F3451">
        <v>2</v>
      </c>
      <c r="G3451">
        <v>0</v>
      </c>
      <c r="H3451" t="s">
        <v>224</v>
      </c>
      <c r="I3451" t="s">
        <v>657</v>
      </c>
      <c r="J3451" t="s">
        <v>43</v>
      </c>
      <c r="K3451" t="b">
        <v>0</v>
      </c>
      <c r="L3451">
        <v>2008</v>
      </c>
      <c r="M3451">
        <v>339476276257</v>
      </c>
      <c r="N3451">
        <v>316131258616</v>
      </c>
      <c r="O3451" t="b">
        <v>0</v>
      </c>
      <c r="P3451">
        <v>1</v>
      </c>
      <c r="Q3451" t="str" cm="1">
        <f t="array" ref="Q3451">_xlfn.IFS(Table1[[#This Row],[Wealthier_Winner]]=-1,"Wealthier Nation Loses",Table1[[#This Row],[Wealthier_Winner]]=0,"Tie",Table1[[#This Row],[Wealthier_Winner]]=1,"Wealthier Nation Wins")</f>
        <v>Wealthier Nation Wins</v>
      </c>
    </row>
    <row r="3452" spans="1:17" x14ac:dyDescent="0.2">
      <c r="A3452" s="1">
        <v>5371</v>
      </c>
      <c r="B3452" s="2">
        <v>39600</v>
      </c>
      <c r="C3452" s="7">
        <f>_xlfn.FLOOR.MATH(Table1[[#This Row],[year]],10)</f>
        <v>2000</v>
      </c>
      <c r="D3452" t="s">
        <v>53</v>
      </c>
      <c r="E3452" t="s">
        <v>345</v>
      </c>
      <c r="F3452">
        <v>1</v>
      </c>
      <c r="G3452">
        <v>2</v>
      </c>
      <c r="H3452" t="s">
        <v>224</v>
      </c>
      <c r="I3452" t="s">
        <v>658</v>
      </c>
      <c r="J3452" t="s">
        <v>53</v>
      </c>
      <c r="K3452" t="b">
        <v>0</v>
      </c>
      <c r="L3452">
        <v>2008</v>
      </c>
      <c r="M3452">
        <v>44859439902</v>
      </c>
      <c r="N3452">
        <v>9451435490</v>
      </c>
      <c r="O3452" t="b">
        <v>1</v>
      </c>
      <c r="P3452">
        <v>-1</v>
      </c>
      <c r="Q3452" t="str" cm="1">
        <f t="array" ref="Q3452">_xlfn.IFS(Table1[[#This Row],[Wealthier_Winner]]=-1,"Wealthier Nation Loses",Table1[[#This Row],[Wealthier_Winner]]=0,"Tie",Table1[[#This Row],[Wealthier_Winner]]=1,"Wealthier Nation Wins")</f>
        <v>Wealthier Nation Loses</v>
      </c>
    </row>
    <row r="3453" spans="1:17" x14ac:dyDescent="0.2">
      <c r="A3453" s="1">
        <v>5372</v>
      </c>
      <c r="B3453" s="2">
        <v>39601</v>
      </c>
      <c r="C3453" s="7">
        <f>_xlfn.FLOOR.MATH(Table1[[#This Row],[year]],10)</f>
        <v>2000</v>
      </c>
      <c r="D3453" t="s">
        <v>210</v>
      </c>
      <c r="E3453" t="s">
        <v>39</v>
      </c>
      <c r="F3453">
        <v>0</v>
      </c>
      <c r="G3453">
        <v>0</v>
      </c>
      <c r="H3453" t="s">
        <v>224</v>
      </c>
      <c r="I3453" t="s">
        <v>332</v>
      </c>
      <c r="J3453" t="s">
        <v>210</v>
      </c>
      <c r="K3453" t="b">
        <v>0</v>
      </c>
      <c r="L3453">
        <v>2008</v>
      </c>
      <c r="M3453">
        <v>406070949553</v>
      </c>
      <c r="N3453">
        <v>315474615738</v>
      </c>
      <c r="O3453" t="b">
        <v>0</v>
      </c>
      <c r="P3453">
        <v>0</v>
      </c>
      <c r="Q3453" t="str" cm="1">
        <f t="array" ref="Q3453">_xlfn.IFS(Table1[[#This Row],[Wealthier_Winner]]=-1,"Wealthier Nation Loses",Table1[[#This Row],[Wealthier_Winner]]=0,"Tie",Table1[[#This Row],[Wealthier_Winner]]=1,"Wealthier Nation Wins")</f>
        <v>Tie</v>
      </c>
    </row>
    <row r="3454" spans="1:17" x14ac:dyDescent="0.2">
      <c r="A3454" s="1">
        <v>5373</v>
      </c>
      <c r="B3454" s="2">
        <v>39601</v>
      </c>
      <c r="C3454" s="7">
        <f>_xlfn.FLOOR.MATH(Table1[[#This Row],[year]],10)</f>
        <v>2000</v>
      </c>
      <c r="D3454" t="s">
        <v>51</v>
      </c>
      <c r="E3454" t="s">
        <v>429</v>
      </c>
      <c r="F3454">
        <v>3</v>
      </c>
      <c r="G3454">
        <v>0</v>
      </c>
      <c r="H3454" t="s">
        <v>224</v>
      </c>
      <c r="I3454" t="s">
        <v>153</v>
      </c>
      <c r="J3454" t="s">
        <v>51</v>
      </c>
      <c r="K3454" t="b">
        <v>0</v>
      </c>
      <c r="L3454">
        <v>2008</v>
      </c>
      <c r="M3454">
        <v>5106679115127</v>
      </c>
      <c r="N3454">
        <v>69804681404</v>
      </c>
      <c r="O3454" t="b">
        <v>1</v>
      </c>
      <c r="P3454">
        <v>1</v>
      </c>
      <c r="Q3454" t="str" cm="1">
        <f t="array" ref="Q3454">_xlfn.IFS(Table1[[#This Row],[Wealthier_Winner]]=-1,"Wealthier Nation Loses",Table1[[#This Row],[Wealthier_Winner]]=0,"Tie",Table1[[#This Row],[Wealthier_Winner]]=1,"Wealthier Nation Wins")</f>
        <v>Wealthier Nation Wins</v>
      </c>
    </row>
    <row r="3455" spans="1:17" x14ac:dyDescent="0.2">
      <c r="A3455" s="1">
        <v>5375</v>
      </c>
      <c r="B3455" s="2">
        <v>39601</v>
      </c>
      <c r="C3455" s="7">
        <f>_xlfn.FLOOR.MATH(Table1[[#This Row],[year]],10)</f>
        <v>2000</v>
      </c>
      <c r="D3455" t="s">
        <v>45</v>
      </c>
      <c r="E3455" t="s">
        <v>479</v>
      </c>
      <c r="F3455">
        <v>4</v>
      </c>
      <c r="G3455">
        <v>1</v>
      </c>
      <c r="H3455" t="s">
        <v>224</v>
      </c>
      <c r="I3455" t="s">
        <v>356</v>
      </c>
      <c r="J3455" t="s">
        <v>45</v>
      </c>
      <c r="K3455" t="b">
        <v>0</v>
      </c>
      <c r="L3455">
        <v>2008</v>
      </c>
      <c r="M3455">
        <v>519796800000</v>
      </c>
      <c r="N3455">
        <v>29118916105</v>
      </c>
      <c r="O3455" t="b">
        <v>1</v>
      </c>
      <c r="P3455">
        <v>1</v>
      </c>
      <c r="Q3455" t="str" cm="1">
        <f t="array" ref="Q3455">_xlfn.IFS(Table1[[#This Row],[Wealthier_Winner]]=-1,"Wealthier Nation Loses",Table1[[#This Row],[Wealthier_Winner]]=0,"Tie",Table1[[#This Row],[Wealthier_Winner]]=1,"Wealthier Nation Wins")</f>
        <v>Wealthier Nation Wins</v>
      </c>
    </row>
    <row r="3456" spans="1:17" x14ac:dyDescent="0.2">
      <c r="A3456" s="1">
        <v>5376</v>
      </c>
      <c r="B3456" s="2">
        <v>39601</v>
      </c>
      <c r="C3456" s="7">
        <f>_xlfn.FLOOR.MATH(Table1[[#This Row],[year]],10)</f>
        <v>2000</v>
      </c>
      <c r="D3456" t="s">
        <v>359</v>
      </c>
      <c r="E3456" t="s">
        <v>563</v>
      </c>
      <c r="F3456">
        <v>3</v>
      </c>
      <c r="G3456">
        <v>7</v>
      </c>
      <c r="H3456" t="s">
        <v>224</v>
      </c>
      <c r="I3456" t="s">
        <v>359</v>
      </c>
      <c r="J3456" t="s">
        <v>359</v>
      </c>
      <c r="K3456" t="b">
        <v>0</v>
      </c>
      <c r="L3456">
        <v>2008</v>
      </c>
      <c r="M3456">
        <v>193617323539</v>
      </c>
      <c r="N3456">
        <v>29549438883</v>
      </c>
      <c r="O3456" t="b">
        <v>1</v>
      </c>
      <c r="P3456">
        <v>-1</v>
      </c>
      <c r="Q3456" t="str" cm="1">
        <f t="array" ref="Q3456">_xlfn.IFS(Table1[[#This Row],[Wealthier_Winner]]=-1,"Wealthier Nation Loses",Table1[[#This Row],[Wealthier_Winner]]=0,"Tie",Table1[[#This Row],[Wealthier_Winner]]=1,"Wealthier Nation Wins")</f>
        <v>Wealthier Nation Loses</v>
      </c>
    </row>
    <row r="3457" spans="1:17" x14ac:dyDescent="0.2">
      <c r="A3457" s="1">
        <v>5377</v>
      </c>
      <c r="B3457" s="2">
        <v>39601</v>
      </c>
      <c r="C3457" s="7">
        <f>_xlfn.FLOOR.MATH(Table1[[#This Row],[year]],10)</f>
        <v>2000</v>
      </c>
      <c r="D3457" t="s">
        <v>331</v>
      </c>
      <c r="E3457" t="s">
        <v>71</v>
      </c>
      <c r="F3457">
        <v>1</v>
      </c>
      <c r="G3457">
        <v>0</v>
      </c>
      <c r="H3457" t="s">
        <v>224</v>
      </c>
      <c r="I3457" t="s">
        <v>355</v>
      </c>
      <c r="J3457" t="s">
        <v>331</v>
      </c>
      <c r="K3457" t="b">
        <v>0</v>
      </c>
      <c r="L3457">
        <v>2008</v>
      </c>
      <c r="M3457">
        <v>52557913568</v>
      </c>
      <c r="N3457">
        <v>147379737229</v>
      </c>
      <c r="O3457" t="b">
        <v>1</v>
      </c>
      <c r="P3457">
        <v>-1</v>
      </c>
      <c r="Q3457" t="str" cm="1">
        <f t="array" ref="Q3457">_xlfn.IFS(Table1[[#This Row],[Wealthier_Winner]]=-1,"Wealthier Nation Loses",Table1[[#This Row],[Wealthier_Winner]]=0,"Tie",Table1[[#This Row],[Wealthier_Winner]]=1,"Wealthier Nation Wins")</f>
        <v>Wealthier Nation Loses</v>
      </c>
    </row>
    <row r="3458" spans="1:17" x14ac:dyDescent="0.2">
      <c r="A3458" s="1">
        <v>5378</v>
      </c>
      <c r="B3458" s="2">
        <v>39601</v>
      </c>
      <c r="C3458" s="7">
        <f>_xlfn.FLOOR.MATH(Table1[[#This Row],[year]],10)</f>
        <v>2000</v>
      </c>
      <c r="D3458" t="s">
        <v>334</v>
      </c>
      <c r="E3458" t="s">
        <v>361</v>
      </c>
      <c r="F3458">
        <v>2</v>
      </c>
      <c r="G3458">
        <v>3</v>
      </c>
      <c r="H3458" t="s">
        <v>224</v>
      </c>
      <c r="I3458" t="s">
        <v>407</v>
      </c>
      <c r="J3458" t="s">
        <v>334</v>
      </c>
      <c r="K3458" t="b">
        <v>0</v>
      </c>
      <c r="L3458">
        <v>2008</v>
      </c>
      <c r="M3458">
        <v>291382982430</v>
      </c>
      <c r="N3458">
        <v>25710904255</v>
      </c>
      <c r="O3458" t="b">
        <v>1</v>
      </c>
      <c r="P3458">
        <v>-1</v>
      </c>
      <c r="Q3458" t="str" cm="1">
        <f t="array" ref="Q3458">_xlfn.IFS(Table1[[#This Row],[Wealthier_Winner]]=-1,"Wealthier Nation Loses",Table1[[#This Row],[Wealthier_Winner]]=0,"Tie",Table1[[#This Row],[Wealthier_Winner]]=1,"Wealthier Nation Wins")</f>
        <v>Wealthier Nation Loses</v>
      </c>
    </row>
    <row r="3459" spans="1:17" x14ac:dyDescent="0.2">
      <c r="A3459" s="1">
        <v>5381</v>
      </c>
      <c r="B3459" s="2">
        <v>39605</v>
      </c>
      <c r="C3459" s="7">
        <f>_xlfn.FLOOR.MATH(Table1[[#This Row],[year]],10)</f>
        <v>2000</v>
      </c>
      <c r="D3459" t="s">
        <v>32</v>
      </c>
      <c r="E3459" t="s">
        <v>378</v>
      </c>
      <c r="F3459">
        <v>3</v>
      </c>
      <c r="G3459">
        <v>0</v>
      </c>
      <c r="H3459" t="s">
        <v>224</v>
      </c>
      <c r="I3459" t="s">
        <v>697</v>
      </c>
      <c r="J3459" t="s">
        <v>32</v>
      </c>
      <c r="K3459" t="b">
        <v>0</v>
      </c>
      <c r="L3459">
        <v>2008</v>
      </c>
      <c r="M3459">
        <v>180383848331</v>
      </c>
      <c r="N3459">
        <v>1726000000</v>
      </c>
      <c r="O3459" t="b">
        <v>1</v>
      </c>
      <c r="P3459">
        <v>1</v>
      </c>
      <c r="Q3459" t="str" cm="1">
        <f t="array" ref="Q3459">_xlfn.IFS(Table1[[#This Row],[Wealthier_Winner]]=-1,"Wealthier Nation Loses",Table1[[#This Row],[Wealthier_Winner]]=0,"Tie",Table1[[#This Row],[Wealthier_Winner]]=1,"Wealthier Nation Wins")</f>
        <v>Wealthier Nation Wins</v>
      </c>
    </row>
    <row r="3460" spans="1:17" x14ac:dyDescent="0.2">
      <c r="A3460" s="1">
        <v>5382</v>
      </c>
      <c r="B3460" s="2">
        <v>39605</v>
      </c>
      <c r="C3460" s="7">
        <f>_xlfn.FLOOR.MATH(Table1[[#This Row],[year]],10)</f>
        <v>2000</v>
      </c>
      <c r="D3460" t="s">
        <v>694</v>
      </c>
      <c r="E3460" t="s">
        <v>212</v>
      </c>
      <c r="F3460">
        <v>0</v>
      </c>
      <c r="G3460">
        <v>4</v>
      </c>
      <c r="H3460" t="s">
        <v>224</v>
      </c>
      <c r="I3460" t="s">
        <v>694</v>
      </c>
      <c r="J3460" t="s">
        <v>694</v>
      </c>
      <c r="K3460" t="b">
        <v>0</v>
      </c>
      <c r="L3460">
        <v>2008</v>
      </c>
      <c r="M3460">
        <v>999105339</v>
      </c>
      <c r="N3460">
        <v>162818181818</v>
      </c>
      <c r="O3460" t="b">
        <v>1</v>
      </c>
      <c r="P3460">
        <v>1</v>
      </c>
      <c r="Q3460" t="str" cm="1">
        <f t="array" ref="Q3460">_xlfn.IFS(Table1[[#This Row],[Wealthier_Winner]]=-1,"Wealthier Nation Loses",Table1[[#This Row],[Wealthier_Winner]]=0,"Tie",Table1[[#This Row],[Wealthier_Winner]]=1,"Wealthier Nation Wins")</f>
        <v>Wealthier Nation Wins</v>
      </c>
    </row>
    <row r="3461" spans="1:17" x14ac:dyDescent="0.2">
      <c r="A3461" s="1">
        <v>5383</v>
      </c>
      <c r="B3461" s="2">
        <v>39606</v>
      </c>
      <c r="C3461" s="7">
        <f>_xlfn.FLOOR.MATH(Table1[[#This Row],[year]],10)</f>
        <v>2000</v>
      </c>
      <c r="D3461" t="s">
        <v>361</v>
      </c>
      <c r="E3461" t="s">
        <v>334</v>
      </c>
      <c r="F3461">
        <v>1</v>
      </c>
      <c r="G3461">
        <v>1</v>
      </c>
      <c r="H3461" t="s">
        <v>224</v>
      </c>
      <c r="I3461" t="s">
        <v>419</v>
      </c>
      <c r="J3461" t="s">
        <v>361</v>
      </c>
      <c r="K3461" t="b">
        <v>0</v>
      </c>
      <c r="L3461">
        <v>2008</v>
      </c>
      <c r="M3461">
        <v>25710904255</v>
      </c>
      <c r="N3461">
        <v>291382982430</v>
      </c>
      <c r="O3461" t="b">
        <v>1</v>
      </c>
      <c r="P3461">
        <v>0</v>
      </c>
      <c r="Q3461" t="str" cm="1">
        <f t="array" ref="Q3461">_xlfn.IFS(Table1[[#This Row],[Wealthier_Winner]]=-1,"Wealthier Nation Loses",Table1[[#This Row],[Wealthier_Winner]]=0,"Tie",Table1[[#This Row],[Wealthier_Winner]]=1,"Wealthier Nation Wins")</f>
        <v>Tie</v>
      </c>
    </row>
    <row r="3462" spans="1:17" x14ac:dyDescent="0.2">
      <c r="A3462" s="1">
        <v>5384</v>
      </c>
      <c r="B3462" s="2">
        <v>39606</v>
      </c>
      <c r="C3462" s="7">
        <f>_xlfn.FLOOR.MATH(Table1[[#This Row],[year]],10)</f>
        <v>2000</v>
      </c>
      <c r="D3462" t="s">
        <v>345</v>
      </c>
      <c r="E3462" t="s">
        <v>460</v>
      </c>
      <c r="F3462">
        <v>2</v>
      </c>
      <c r="G3462">
        <v>0</v>
      </c>
      <c r="H3462" t="s">
        <v>224</v>
      </c>
      <c r="I3462" t="s">
        <v>347</v>
      </c>
      <c r="J3462" t="s">
        <v>345</v>
      </c>
      <c r="K3462" t="b">
        <v>0</v>
      </c>
      <c r="L3462">
        <v>2008</v>
      </c>
      <c r="M3462">
        <v>9451435490</v>
      </c>
      <c r="N3462">
        <v>1611835857</v>
      </c>
      <c r="O3462" t="b">
        <v>1</v>
      </c>
      <c r="P3462">
        <v>1</v>
      </c>
      <c r="Q3462" t="str" cm="1">
        <f t="array" ref="Q3462">_xlfn.IFS(Table1[[#This Row],[Wealthier_Winner]]=-1,"Wealthier Nation Loses",Table1[[#This Row],[Wealthier_Winner]]=0,"Tie",Table1[[#This Row],[Wealthier_Winner]]=1,"Wealthier Nation Wins")</f>
        <v>Wealthier Nation Wins</v>
      </c>
    </row>
    <row r="3463" spans="1:17" x14ac:dyDescent="0.2">
      <c r="A3463" s="1">
        <v>5386</v>
      </c>
      <c r="B3463" s="2">
        <v>39606</v>
      </c>
      <c r="C3463" s="7">
        <f>_xlfn.FLOOR.MATH(Table1[[#This Row],[year]],10)</f>
        <v>2000</v>
      </c>
      <c r="D3463" t="s">
        <v>586</v>
      </c>
      <c r="E3463" t="s">
        <v>590</v>
      </c>
      <c r="F3463">
        <v>1</v>
      </c>
      <c r="G3463">
        <v>2</v>
      </c>
      <c r="H3463" t="s">
        <v>224</v>
      </c>
      <c r="I3463" t="s">
        <v>587</v>
      </c>
      <c r="J3463" t="s">
        <v>586</v>
      </c>
      <c r="K3463" t="b">
        <v>0</v>
      </c>
      <c r="L3463">
        <v>2008</v>
      </c>
      <c r="M3463">
        <v>13385593990</v>
      </c>
      <c r="N3463">
        <v>11462490840</v>
      </c>
      <c r="O3463" t="b">
        <v>0</v>
      </c>
      <c r="P3463">
        <v>-1</v>
      </c>
      <c r="Q3463" t="str" cm="1">
        <f t="array" ref="Q3463">_xlfn.IFS(Table1[[#This Row],[Wealthier_Winner]]=-1,"Wealthier Nation Loses",Table1[[#This Row],[Wealthier_Winner]]=0,"Tie",Table1[[#This Row],[Wealthier_Winner]]=1,"Wealthier Nation Wins")</f>
        <v>Wealthier Nation Loses</v>
      </c>
    </row>
    <row r="3464" spans="1:17" x14ac:dyDescent="0.2">
      <c r="A3464" s="1">
        <v>5388</v>
      </c>
      <c r="B3464" s="2">
        <v>39606</v>
      </c>
      <c r="C3464" s="7">
        <f>_xlfn.FLOOR.MATH(Table1[[#This Row],[year]],10)</f>
        <v>2000</v>
      </c>
      <c r="D3464" t="s">
        <v>37</v>
      </c>
      <c r="E3464" t="s">
        <v>28</v>
      </c>
      <c r="F3464">
        <v>1</v>
      </c>
      <c r="G3464">
        <v>0</v>
      </c>
      <c r="H3464" t="s">
        <v>224</v>
      </c>
      <c r="I3464" t="s">
        <v>412</v>
      </c>
      <c r="J3464" t="s">
        <v>39</v>
      </c>
      <c r="K3464" t="b">
        <v>1</v>
      </c>
      <c r="L3464">
        <v>2008</v>
      </c>
      <c r="M3464">
        <v>131614434153</v>
      </c>
      <c r="N3464">
        <v>1058448244063</v>
      </c>
      <c r="O3464" t="b">
        <v>1</v>
      </c>
      <c r="P3464">
        <v>-1</v>
      </c>
      <c r="Q3464" t="str" cm="1">
        <f t="array" ref="Q3464">_xlfn.IFS(Table1[[#This Row],[Wealthier_Winner]]=-1,"Wealthier Nation Loses",Table1[[#This Row],[Wealthier_Winner]]=0,"Tie",Table1[[#This Row],[Wealthier_Winner]]=1,"Wealthier Nation Wins")</f>
        <v>Wealthier Nation Loses</v>
      </c>
    </row>
    <row r="3465" spans="1:17" x14ac:dyDescent="0.2">
      <c r="A3465" s="1">
        <v>5389</v>
      </c>
      <c r="B3465" s="2">
        <v>39606</v>
      </c>
      <c r="C3465" s="7">
        <f>_xlfn.FLOOR.MATH(Table1[[#This Row],[year]],10)</f>
        <v>2000</v>
      </c>
      <c r="D3465" t="s">
        <v>403</v>
      </c>
      <c r="E3465" t="s">
        <v>195</v>
      </c>
      <c r="F3465">
        <v>0</v>
      </c>
      <c r="G3465">
        <v>1</v>
      </c>
      <c r="H3465" t="s">
        <v>224</v>
      </c>
      <c r="I3465" t="s">
        <v>404</v>
      </c>
      <c r="J3465" t="s">
        <v>403</v>
      </c>
      <c r="K3465" t="b">
        <v>0</v>
      </c>
      <c r="L3465">
        <v>2008</v>
      </c>
      <c r="M3465">
        <v>22658715989</v>
      </c>
      <c r="N3465">
        <v>1091580692542</v>
      </c>
      <c r="O3465" t="b">
        <v>1</v>
      </c>
      <c r="P3465">
        <v>1</v>
      </c>
      <c r="Q3465" t="str" cm="1">
        <f t="array" ref="Q3465">_xlfn.IFS(Table1[[#This Row],[Wealthier_Winner]]=-1,"Wealthier Nation Loses",Table1[[#This Row],[Wealthier_Winner]]=0,"Tie",Table1[[#This Row],[Wealthier_Winner]]=1,"Wealthier Nation Wins")</f>
        <v>Wealthier Nation Wins</v>
      </c>
    </row>
    <row r="3466" spans="1:17" x14ac:dyDescent="0.2">
      <c r="A3466" s="1">
        <v>5390</v>
      </c>
      <c r="B3466" s="2">
        <v>39606</v>
      </c>
      <c r="C3466" s="7">
        <f>_xlfn.FLOOR.MATH(Table1[[#This Row],[year]],10)</f>
        <v>2000</v>
      </c>
      <c r="D3466" t="s">
        <v>314</v>
      </c>
      <c r="E3466" t="s">
        <v>305</v>
      </c>
      <c r="F3466">
        <v>2</v>
      </c>
      <c r="G3466">
        <v>0</v>
      </c>
      <c r="H3466" t="s">
        <v>224</v>
      </c>
      <c r="I3466" t="s">
        <v>315</v>
      </c>
      <c r="J3466" t="s">
        <v>314</v>
      </c>
      <c r="K3466" t="b">
        <v>0</v>
      </c>
      <c r="L3466">
        <v>2008</v>
      </c>
      <c r="M3466">
        <v>35895153327</v>
      </c>
      <c r="N3466">
        <v>6964179983</v>
      </c>
      <c r="O3466" t="b">
        <v>1</v>
      </c>
      <c r="P3466">
        <v>1</v>
      </c>
      <c r="Q3466" t="str" cm="1">
        <f t="array" ref="Q3466">_xlfn.IFS(Table1[[#This Row],[Wealthier_Winner]]=-1,"Wealthier Nation Loses",Table1[[#This Row],[Wealthier_Winner]]=0,"Tie",Table1[[#This Row],[Wealthier_Winner]]=1,"Wealthier Nation Wins")</f>
        <v>Wealthier Nation Wins</v>
      </c>
    </row>
    <row r="3467" spans="1:17" x14ac:dyDescent="0.2">
      <c r="A3467" s="1">
        <v>5392</v>
      </c>
      <c r="B3467" s="2">
        <v>39606</v>
      </c>
      <c r="C3467" s="7">
        <f>_xlfn.FLOOR.MATH(Table1[[#This Row],[year]],10)</f>
        <v>2000</v>
      </c>
      <c r="D3467" t="s">
        <v>286</v>
      </c>
      <c r="E3467" t="s">
        <v>433</v>
      </c>
      <c r="F3467">
        <v>1</v>
      </c>
      <c r="G3467">
        <v>0</v>
      </c>
      <c r="H3467" t="s">
        <v>224</v>
      </c>
      <c r="I3467" t="s">
        <v>287</v>
      </c>
      <c r="J3467" t="s">
        <v>286</v>
      </c>
      <c r="K3467" t="b">
        <v>0</v>
      </c>
      <c r="L3467">
        <v>2008</v>
      </c>
      <c r="M3467">
        <v>86710767415</v>
      </c>
      <c r="N3467">
        <v>15571348344</v>
      </c>
      <c r="O3467" t="b">
        <v>1</v>
      </c>
      <c r="P3467">
        <v>1</v>
      </c>
      <c r="Q3467" t="str" cm="1">
        <f t="array" ref="Q3467">_xlfn.IFS(Table1[[#This Row],[Wealthier_Winner]]=-1,"Wealthier Nation Loses",Table1[[#This Row],[Wealthier_Winner]]=0,"Tie",Table1[[#This Row],[Wealthier_Winner]]=1,"Wealthier Nation Wins")</f>
        <v>Wealthier Nation Wins</v>
      </c>
    </row>
    <row r="3468" spans="1:17" x14ac:dyDescent="0.2">
      <c r="A3468" s="1">
        <v>5393</v>
      </c>
      <c r="B3468" s="2">
        <v>39606</v>
      </c>
      <c r="C3468" s="7">
        <f>_xlfn.FLOOR.MATH(Table1[[#This Row],[year]],10)</f>
        <v>2000</v>
      </c>
      <c r="D3468" t="s">
        <v>346</v>
      </c>
      <c r="E3468" t="s">
        <v>24</v>
      </c>
      <c r="F3468">
        <v>1</v>
      </c>
      <c r="G3468">
        <v>4</v>
      </c>
      <c r="H3468" t="s">
        <v>224</v>
      </c>
      <c r="I3468" t="s">
        <v>350</v>
      </c>
      <c r="J3468" t="s">
        <v>346</v>
      </c>
      <c r="K3468" t="b">
        <v>0</v>
      </c>
      <c r="L3468">
        <v>2008</v>
      </c>
      <c r="M3468">
        <v>5206437193</v>
      </c>
      <c r="N3468">
        <v>101822906949</v>
      </c>
      <c r="O3468" t="b">
        <v>1</v>
      </c>
      <c r="P3468">
        <v>1</v>
      </c>
      <c r="Q3468" t="str" cm="1">
        <f t="array" ref="Q3468">_xlfn.IFS(Table1[[#This Row],[Wealthier_Winner]]=-1,"Wealthier Nation Loses",Table1[[#This Row],[Wealthier_Winner]]=0,"Tie",Table1[[#This Row],[Wealthier_Winner]]=1,"Wealthier Nation Wins")</f>
        <v>Wealthier Nation Wins</v>
      </c>
    </row>
    <row r="3469" spans="1:17" x14ac:dyDescent="0.2">
      <c r="A3469" s="1">
        <v>5394</v>
      </c>
      <c r="B3469" s="2">
        <v>39606</v>
      </c>
      <c r="C3469" s="7">
        <f>_xlfn.FLOOR.MATH(Table1[[#This Row],[year]],10)</f>
        <v>2000</v>
      </c>
      <c r="D3469" t="s">
        <v>429</v>
      </c>
      <c r="E3469" t="s">
        <v>51</v>
      </c>
      <c r="F3469">
        <v>1</v>
      </c>
      <c r="G3469">
        <v>1</v>
      </c>
      <c r="H3469" t="s">
        <v>224</v>
      </c>
      <c r="I3469" t="s">
        <v>430</v>
      </c>
      <c r="J3469" t="s">
        <v>429</v>
      </c>
      <c r="K3469" t="b">
        <v>0</v>
      </c>
      <c r="L3469">
        <v>2008</v>
      </c>
      <c r="M3469">
        <v>69804681404</v>
      </c>
      <c r="N3469">
        <v>5106679115127</v>
      </c>
      <c r="O3469" t="b">
        <v>1</v>
      </c>
      <c r="P3469">
        <v>0</v>
      </c>
      <c r="Q3469" t="str" cm="1">
        <f t="array" ref="Q3469">_xlfn.IFS(Table1[[#This Row],[Wealthier_Winner]]=-1,"Wealthier Nation Loses",Table1[[#This Row],[Wealthier_Winner]]=0,"Tie",Table1[[#This Row],[Wealthier_Winner]]=1,"Wealthier Nation Wins")</f>
        <v>Tie</v>
      </c>
    </row>
    <row r="3470" spans="1:17" x14ac:dyDescent="0.2">
      <c r="A3470" s="1">
        <v>5395</v>
      </c>
      <c r="B3470" s="2">
        <v>39606</v>
      </c>
      <c r="C3470" s="7">
        <f>_xlfn.FLOOR.MATH(Table1[[#This Row],[year]],10)</f>
        <v>2000</v>
      </c>
      <c r="D3470" t="s">
        <v>45</v>
      </c>
      <c r="E3470" t="s">
        <v>479</v>
      </c>
      <c r="F3470">
        <v>2</v>
      </c>
      <c r="G3470">
        <v>1</v>
      </c>
      <c r="H3470" t="s">
        <v>224</v>
      </c>
      <c r="I3470" t="s">
        <v>356</v>
      </c>
      <c r="J3470" t="s">
        <v>45</v>
      </c>
      <c r="K3470" t="b">
        <v>0</v>
      </c>
      <c r="L3470">
        <v>2008</v>
      </c>
      <c r="M3470">
        <v>519796800000</v>
      </c>
      <c r="N3470">
        <v>29118916105</v>
      </c>
      <c r="O3470" t="b">
        <v>1</v>
      </c>
      <c r="P3470">
        <v>1</v>
      </c>
      <c r="Q3470" t="str" cm="1">
        <f t="array" ref="Q3470">_xlfn.IFS(Table1[[#This Row],[Wealthier_Winner]]=-1,"Wealthier Nation Loses",Table1[[#This Row],[Wealthier_Winner]]=0,"Tie",Table1[[#This Row],[Wealthier_Winner]]=1,"Wealthier Nation Wins")</f>
        <v>Wealthier Nation Wins</v>
      </c>
    </row>
    <row r="3471" spans="1:17" x14ac:dyDescent="0.2">
      <c r="A3471" s="1">
        <v>5396</v>
      </c>
      <c r="B3471" s="2">
        <v>39606</v>
      </c>
      <c r="C3471" s="7">
        <f>_xlfn.FLOOR.MATH(Table1[[#This Row],[year]],10)</f>
        <v>2000</v>
      </c>
      <c r="D3471" t="s">
        <v>583</v>
      </c>
      <c r="E3471" t="s">
        <v>53</v>
      </c>
      <c r="F3471">
        <v>0</v>
      </c>
      <c r="G3471">
        <v>2</v>
      </c>
      <c r="H3471" t="s">
        <v>224</v>
      </c>
      <c r="I3471" t="s">
        <v>584</v>
      </c>
      <c r="J3471" t="s">
        <v>583</v>
      </c>
      <c r="K3471" t="b">
        <v>0</v>
      </c>
      <c r="L3471">
        <v>2008</v>
      </c>
      <c r="M3471">
        <v>979597394</v>
      </c>
      <c r="N3471">
        <v>44859439902</v>
      </c>
      <c r="O3471" t="b">
        <v>1</v>
      </c>
      <c r="P3471">
        <v>1</v>
      </c>
      <c r="Q3471" t="str" cm="1">
        <f t="array" ref="Q3471">_xlfn.IFS(Table1[[#This Row],[Wealthier_Winner]]=-1,"Wealthier Nation Loses",Table1[[#This Row],[Wealthier_Winner]]=0,"Tie",Table1[[#This Row],[Wealthier_Winner]]=1,"Wealthier Nation Wins")</f>
        <v>Wealthier Nation Wins</v>
      </c>
    </row>
    <row r="3472" spans="1:17" x14ac:dyDescent="0.2">
      <c r="A3472" s="1">
        <v>5397</v>
      </c>
      <c r="B3472" s="2">
        <v>39606</v>
      </c>
      <c r="C3472" s="7">
        <f>_xlfn.FLOOR.MATH(Table1[[#This Row],[year]],10)</f>
        <v>2000</v>
      </c>
      <c r="D3472" t="s">
        <v>342</v>
      </c>
      <c r="E3472" t="s">
        <v>43</v>
      </c>
      <c r="F3472">
        <v>0</v>
      </c>
      <c r="G3472">
        <v>1</v>
      </c>
      <c r="H3472" t="s">
        <v>224</v>
      </c>
      <c r="I3472" t="s">
        <v>344</v>
      </c>
      <c r="J3472" t="s">
        <v>342</v>
      </c>
      <c r="K3472" t="b">
        <v>0</v>
      </c>
      <c r="L3472">
        <v>2008</v>
      </c>
      <c r="M3472">
        <v>4157895298</v>
      </c>
      <c r="N3472">
        <v>339476276257</v>
      </c>
      <c r="O3472" t="b">
        <v>1</v>
      </c>
      <c r="P3472">
        <v>1</v>
      </c>
      <c r="Q3472" t="str" cm="1">
        <f t="array" ref="Q3472">_xlfn.IFS(Table1[[#This Row],[Wealthier_Winner]]=-1,"Wealthier Nation Loses",Table1[[#This Row],[Wealthier_Winner]]=0,"Tie",Table1[[#This Row],[Wealthier_Winner]]=1,"Wealthier Nation Wins")</f>
        <v>Wealthier Nation Wins</v>
      </c>
    </row>
    <row r="3473" spans="1:17" x14ac:dyDescent="0.2">
      <c r="A3473" s="1">
        <v>5398</v>
      </c>
      <c r="B3473" s="2">
        <v>39606</v>
      </c>
      <c r="C3473" s="7">
        <f>_xlfn.FLOOR.MATH(Table1[[#This Row],[year]],10)</f>
        <v>2000</v>
      </c>
      <c r="D3473" t="s">
        <v>39</v>
      </c>
      <c r="E3473" t="s">
        <v>210</v>
      </c>
      <c r="F3473">
        <v>0</v>
      </c>
      <c r="G3473">
        <v>1</v>
      </c>
      <c r="H3473" t="s">
        <v>224</v>
      </c>
      <c r="I3473" t="s">
        <v>478</v>
      </c>
      <c r="J3473" t="s">
        <v>39</v>
      </c>
      <c r="K3473" t="b">
        <v>0</v>
      </c>
      <c r="L3473">
        <v>2008</v>
      </c>
      <c r="M3473">
        <v>315474615738</v>
      </c>
      <c r="N3473">
        <v>406070949553</v>
      </c>
      <c r="O3473" t="b">
        <v>0</v>
      </c>
      <c r="P3473">
        <v>1</v>
      </c>
      <c r="Q3473" t="str" cm="1">
        <f t="array" ref="Q3473">_xlfn.IFS(Table1[[#This Row],[Wealthier_Winner]]=-1,"Wealthier Nation Loses",Table1[[#This Row],[Wealthier_Winner]]=0,"Tie",Table1[[#This Row],[Wealthier_Winner]]=1,"Wealthier Nation Wins")</f>
        <v>Wealthier Nation Wins</v>
      </c>
    </row>
    <row r="3474" spans="1:17" x14ac:dyDescent="0.2">
      <c r="A3474" s="1">
        <v>5399</v>
      </c>
      <c r="B3474" s="2">
        <v>39606</v>
      </c>
      <c r="C3474" s="7">
        <f>_xlfn.FLOOR.MATH(Table1[[#This Row],[year]],10)</f>
        <v>2000</v>
      </c>
      <c r="D3474" t="s">
        <v>563</v>
      </c>
      <c r="E3474" t="s">
        <v>359</v>
      </c>
      <c r="F3474">
        <v>3</v>
      </c>
      <c r="G3474">
        <v>0</v>
      </c>
      <c r="H3474" t="s">
        <v>224</v>
      </c>
      <c r="I3474" t="s">
        <v>564</v>
      </c>
      <c r="J3474" t="s">
        <v>563</v>
      </c>
      <c r="K3474" t="b">
        <v>0</v>
      </c>
      <c r="L3474">
        <v>2008</v>
      </c>
      <c r="M3474">
        <v>29549438883</v>
      </c>
      <c r="N3474">
        <v>193617323539</v>
      </c>
      <c r="O3474" t="b">
        <v>1</v>
      </c>
      <c r="P3474">
        <v>-1</v>
      </c>
      <c r="Q3474" t="str" cm="1">
        <f t="array" ref="Q3474">_xlfn.IFS(Table1[[#This Row],[Wealthier_Winner]]=-1,"Wealthier Nation Loses",Table1[[#This Row],[Wealthier_Winner]]=0,"Tie",Table1[[#This Row],[Wealthier_Winner]]=1,"Wealthier Nation Wins")</f>
        <v>Wealthier Nation Loses</v>
      </c>
    </row>
    <row r="3475" spans="1:17" x14ac:dyDescent="0.2">
      <c r="A3475" s="1">
        <v>5400</v>
      </c>
      <c r="B3475" s="2">
        <v>39606</v>
      </c>
      <c r="C3475" s="7">
        <f>_xlfn.FLOOR.MATH(Table1[[#This Row],[year]],10)</f>
        <v>2000</v>
      </c>
      <c r="D3475" t="s">
        <v>50</v>
      </c>
      <c r="E3475" t="s">
        <v>639</v>
      </c>
      <c r="F3475">
        <v>4</v>
      </c>
      <c r="G3475">
        <v>1</v>
      </c>
      <c r="H3475" t="s">
        <v>224</v>
      </c>
      <c r="I3475" t="s">
        <v>164</v>
      </c>
      <c r="J3475" t="s">
        <v>50</v>
      </c>
      <c r="K3475" t="b">
        <v>0</v>
      </c>
      <c r="L3475">
        <v>2008</v>
      </c>
      <c r="M3475">
        <v>316131258616</v>
      </c>
      <c r="N3475">
        <v>19749893536</v>
      </c>
      <c r="O3475" t="b">
        <v>1</v>
      </c>
      <c r="P3475">
        <v>1</v>
      </c>
      <c r="Q3475" t="str" cm="1">
        <f t="array" ref="Q3475">_xlfn.IFS(Table1[[#This Row],[Wealthier_Winner]]=-1,"Wealthier Nation Loses",Table1[[#This Row],[Wealthier_Winner]]=0,"Tie",Table1[[#This Row],[Wealthier_Winner]]=1,"Wealthier Nation Wins")</f>
        <v>Wealthier Nation Wins</v>
      </c>
    </row>
    <row r="3476" spans="1:17" x14ac:dyDescent="0.2">
      <c r="A3476" s="1">
        <v>5401</v>
      </c>
      <c r="B3476" s="2">
        <v>39607</v>
      </c>
      <c r="C3476" s="7">
        <f>_xlfn.FLOOR.MATH(Table1[[#This Row],[year]],10)</f>
        <v>2000</v>
      </c>
      <c r="D3476" t="s">
        <v>310</v>
      </c>
      <c r="E3476" t="s">
        <v>357</v>
      </c>
      <c r="F3476">
        <v>4</v>
      </c>
      <c r="G3476">
        <v>1</v>
      </c>
      <c r="H3476" t="s">
        <v>224</v>
      </c>
      <c r="I3476" t="s">
        <v>311</v>
      </c>
      <c r="J3476" t="s">
        <v>310</v>
      </c>
      <c r="K3476" t="b">
        <v>0</v>
      </c>
      <c r="L3476">
        <v>2008</v>
      </c>
      <c r="M3476">
        <v>9787734526</v>
      </c>
      <c r="N3476">
        <v>14440404132</v>
      </c>
      <c r="O3476" t="b">
        <v>0</v>
      </c>
      <c r="P3476">
        <v>-1</v>
      </c>
      <c r="Q3476" t="str" cm="1">
        <f t="array" ref="Q3476">_xlfn.IFS(Table1[[#This Row],[Wealthier_Winner]]=-1,"Wealthier Nation Loses",Table1[[#This Row],[Wealthier_Winner]]=0,"Tie",Table1[[#This Row],[Wealthier_Winner]]=1,"Wealthier Nation Wins")</f>
        <v>Wealthier Nation Loses</v>
      </c>
    </row>
    <row r="3477" spans="1:17" x14ac:dyDescent="0.2">
      <c r="A3477" s="1">
        <v>5405</v>
      </c>
      <c r="B3477" s="2">
        <v>39607</v>
      </c>
      <c r="C3477" s="7">
        <f>_xlfn.FLOOR.MATH(Table1[[#This Row],[year]],10)</f>
        <v>2000</v>
      </c>
      <c r="D3477" t="s">
        <v>71</v>
      </c>
      <c r="E3477" t="s">
        <v>331</v>
      </c>
      <c r="F3477">
        <v>4</v>
      </c>
      <c r="G3477">
        <v>2</v>
      </c>
      <c r="H3477" t="s">
        <v>224</v>
      </c>
      <c r="I3477" t="s">
        <v>366</v>
      </c>
      <c r="J3477" t="s">
        <v>71</v>
      </c>
      <c r="K3477" t="b">
        <v>0</v>
      </c>
      <c r="L3477">
        <v>2008</v>
      </c>
      <c r="M3477">
        <v>147379737229</v>
      </c>
      <c r="N3477">
        <v>52557913568</v>
      </c>
      <c r="O3477" t="b">
        <v>1</v>
      </c>
      <c r="P3477">
        <v>1</v>
      </c>
      <c r="Q3477" t="str" cm="1">
        <f t="array" ref="Q3477">_xlfn.IFS(Table1[[#This Row],[Wealthier_Winner]]=-1,"Wealthier Nation Loses",Table1[[#This Row],[Wealthier_Winner]]=0,"Tie",Table1[[#This Row],[Wealthier_Winner]]=1,"Wealthier Nation Wins")</f>
        <v>Wealthier Nation Wins</v>
      </c>
    </row>
    <row r="3478" spans="1:17" x14ac:dyDescent="0.2">
      <c r="A3478" s="1">
        <v>5406</v>
      </c>
      <c r="B3478" s="2">
        <v>39607</v>
      </c>
      <c r="C3478" s="7">
        <f>_xlfn.FLOOR.MATH(Table1[[#This Row],[year]],10)</f>
        <v>2000</v>
      </c>
      <c r="D3478" t="s">
        <v>307</v>
      </c>
      <c r="E3478" t="s">
        <v>63</v>
      </c>
      <c r="F3478">
        <v>2</v>
      </c>
      <c r="G3478">
        <v>3</v>
      </c>
      <c r="H3478" t="s">
        <v>224</v>
      </c>
      <c r="I3478" t="s">
        <v>165</v>
      </c>
      <c r="J3478" t="s">
        <v>50</v>
      </c>
      <c r="K3478" t="b">
        <v>1</v>
      </c>
      <c r="L3478">
        <v>2008</v>
      </c>
      <c r="M3478">
        <v>1766902709</v>
      </c>
      <c r="N3478">
        <v>28679383241</v>
      </c>
      <c r="O3478" t="b">
        <v>1</v>
      </c>
      <c r="P3478">
        <v>1</v>
      </c>
      <c r="Q3478" t="str" cm="1">
        <f t="array" ref="Q3478">_xlfn.IFS(Table1[[#This Row],[Wealthier_Winner]]=-1,"Wealthier Nation Loses",Table1[[#This Row],[Wealthier_Winner]]=0,"Tie",Table1[[#This Row],[Wealthier_Winner]]=1,"Wealthier Nation Wins")</f>
        <v>Wealthier Nation Wins</v>
      </c>
    </row>
    <row r="3479" spans="1:17" x14ac:dyDescent="0.2">
      <c r="A3479" s="1">
        <v>5408</v>
      </c>
      <c r="B3479" s="2">
        <v>39607</v>
      </c>
      <c r="C3479" s="7">
        <f>_xlfn.FLOOR.MATH(Table1[[#This Row],[year]],10)</f>
        <v>2000</v>
      </c>
      <c r="D3479" t="s">
        <v>323</v>
      </c>
      <c r="E3479" t="s">
        <v>40</v>
      </c>
      <c r="F3479">
        <v>0</v>
      </c>
      <c r="G3479">
        <v>3</v>
      </c>
      <c r="H3479" t="s">
        <v>224</v>
      </c>
      <c r="I3479" t="s">
        <v>324</v>
      </c>
      <c r="J3479" t="s">
        <v>323</v>
      </c>
      <c r="K3479" t="b">
        <v>0</v>
      </c>
      <c r="L3479">
        <v>2008</v>
      </c>
      <c r="M3479">
        <v>10127777060</v>
      </c>
      <c r="N3479">
        <v>27715142032</v>
      </c>
      <c r="O3479" t="b">
        <v>1</v>
      </c>
      <c r="P3479">
        <v>1</v>
      </c>
      <c r="Q3479" t="str" cm="1">
        <f t="array" ref="Q3479">_xlfn.IFS(Table1[[#This Row],[Wealthier_Winner]]=-1,"Wealthier Nation Loses",Table1[[#This Row],[Wealthier_Winner]]=0,"Tie",Table1[[#This Row],[Wealthier_Winner]]=1,"Wealthier Nation Wins")</f>
        <v>Wealthier Nation Wins</v>
      </c>
    </row>
    <row r="3480" spans="1:17" x14ac:dyDescent="0.2">
      <c r="A3480" s="1">
        <v>5409</v>
      </c>
      <c r="B3480" s="2">
        <v>39607</v>
      </c>
      <c r="C3480" s="7">
        <f>_xlfn.FLOOR.MATH(Table1[[#This Row],[year]],10)</f>
        <v>2000</v>
      </c>
      <c r="D3480" t="s">
        <v>300</v>
      </c>
      <c r="E3480" t="s">
        <v>469</v>
      </c>
      <c r="F3480">
        <v>1</v>
      </c>
      <c r="G3480">
        <v>2</v>
      </c>
      <c r="H3480" t="s">
        <v>224</v>
      </c>
      <c r="I3480" t="s">
        <v>299</v>
      </c>
      <c r="J3480" t="s">
        <v>300</v>
      </c>
      <c r="K3480" t="b">
        <v>0</v>
      </c>
      <c r="L3480">
        <v>2008</v>
      </c>
      <c r="M3480">
        <v>12920340964</v>
      </c>
      <c r="N3480">
        <v>10730829116</v>
      </c>
      <c r="O3480" t="b">
        <v>0</v>
      </c>
      <c r="P3480">
        <v>-1</v>
      </c>
      <c r="Q3480" t="str" cm="1">
        <f t="array" ref="Q3480">_xlfn.IFS(Table1[[#This Row],[Wealthier_Winner]]=-1,"Wealthier Nation Loses",Table1[[#This Row],[Wealthier_Winner]]=0,"Tie",Table1[[#This Row],[Wealthier_Winner]]=1,"Wealthier Nation Wins")</f>
        <v>Wealthier Nation Loses</v>
      </c>
    </row>
    <row r="3481" spans="1:17" x14ac:dyDescent="0.2">
      <c r="A3481" s="1">
        <v>5410</v>
      </c>
      <c r="B3481" s="2">
        <v>39607</v>
      </c>
      <c r="C3481" s="7">
        <f>_xlfn.FLOOR.MATH(Table1[[#This Row],[year]],10)</f>
        <v>2000</v>
      </c>
      <c r="D3481" t="s">
        <v>343</v>
      </c>
      <c r="E3481" t="s">
        <v>60</v>
      </c>
      <c r="F3481">
        <v>1</v>
      </c>
      <c r="G3481">
        <v>2</v>
      </c>
      <c r="H3481" t="s">
        <v>224</v>
      </c>
      <c r="I3481" t="s">
        <v>349</v>
      </c>
      <c r="J3481" t="s">
        <v>343</v>
      </c>
      <c r="K3481" t="b">
        <v>0</v>
      </c>
      <c r="L3481">
        <v>2008</v>
      </c>
      <c r="M3481">
        <v>7297600226</v>
      </c>
      <c r="N3481">
        <v>98790432989</v>
      </c>
      <c r="O3481" t="b">
        <v>1</v>
      </c>
      <c r="P3481">
        <v>1</v>
      </c>
      <c r="Q3481" t="str" cm="1">
        <f t="array" ref="Q3481">_xlfn.IFS(Table1[[#This Row],[Wealthier_Winner]]=-1,"Wealthier Nation Loses",Table1[[#This Row],[Wealthier_Winner]]=0,"Tie",Table1[[#This Row],[Wealthier_Winner]]=1,"Wealthier Nation Wins")</f>
        <v>Wealthier Nation Wins</v>
      </c>
    </row>
    <row r="3482" spans="1:17" x14ac:dyDescent="0.2">
      <c r="A3482" s="1">
        <v>5411</v>
      </c>
      <c r="B3482" s="2">
        <v>39607</v>
      </c>
      <c r="C3482" s="7">
        <f>_xlfn.FLOOR.MATH(Table1[[#This Row],[year]],10)</f>
        <v>2000</v>
      </c>
      <c r="D3482" t="s">
        <v>463</v>
      </c>
      <c r="E3482" t="s">
        <v>62</v>
      </c>
      <c r="F3482">
        <v>2</v>
      </c>
      <c r="G3482">
        <v>1</v>
      </c>
      <c r="H3482" t="s">
        <v>224</v>
      </c>
      <c r="I3482" t="s">
        <v>592</v>
      </c>
      <c r="J3482" t="s">
        <v>472</v>
      </c>
      <c r="K3482" t="b">
        <v>0</v>
      </c>
      <c r="L3482">
        <v>2008</v>
      </c>
      <c r="M3482">
        <v>3235921170</v>
      </c>
      <c r="N3482">
        <v>4578847112</v>
      </c>
      <c r="O3482" t="b">
        <v>0</v>
      </c>
      <c r="P3482">
        <v>-1</v>
      </c>
      <c r="Q3482" t="str" cm="1">
        <f t="array" ref="Q3482">_xlfn.IFS(Table1[[#This Row],[Wealthier_Winner]]=-1,"Wealthier Nation Loses",Table1[[#This Row],[Wealthier_Winner]]=0,"Tie",Table1[[#This Row],[Wealthier_Winner]]=1,"Wealthier Nation Wins")</f>
        <v>Wealthier Nation Loses</v>
      </c>
    </row>
    <row r="3483" spans="1:17" x14ac:dyDescent="0.2">
      <c r="A3483" s="1">
        <v>5412</v>
      </c>
      <c r="B3483" s="2">
        <v>39607</v>
      </c>
      <c r="C3483" s="7">
        <f>_xlfn.FLOOR.MATH(Table1[[#This Row],[year]],10)</f>
        <v>2000</v>
      </c>
      <c r="D3483" t="s">
        <v>298</v>
      </c>
      <c r="E3483" t="s">
        <v>462</v>
      </c>
      <c r="F3483">
        <v>2</v>
      </c>
      <c r="G3483">
        <v>0</v>
      </c>
      <c r="H3483" t="s">
        <v>224</v>
      </c>
      <c r="I3483" t="s">
        <v>377</v>
      </c>
      <c r="J3483" t="s">
        <v>298</v>
      </c>
      <c r="K3483" t="b">
        <v>0</v>
      </c>
      <c r="L3483">
        <v>2008</v>
      </c>
      <c r="M3483">
        <v>4418000000</v>
      </c>
      <c r="N3483">
        <v>8607431497</v>
      </c>
      <c r="O3483" t="b">
        <v>0</v>
      </c>
      <c r="P3483">
        <v>-1</v>
      </c>
      <c r="Q3483" t="str" cm="1">
        <f t="array" ref="Q3483">_xlfn.IFS(Table1[[#This Row],[Wealthier_Winner]]=-1,"Wealthier Nation Loses",Table1[[#This Row],[Wealthier_Winner]]=0,"Tie",Table1[[#This Row],[Wealthier_Winner]]=1,"Wealthier Nation Wins")</f>
        <v>Wealthier Nation Loses</v>
      </c>
    </row>
    <row r="3484" spans="1:17" x14ac:dyDescent="0.2">
      <c r="A3484" s="1">
        <v>5414</v>
      </c>
      <c r="B3484" s="2">
        <v>39613</v>
      </c>
      <c r="C3484" s="7">
        <f>_xlfn.FLOOR.MATH(Table1[[#This Row],[year]],10)</f>
        <v>2000</v>
      </c>
      <c r="D3484" t="s">
        <v>361</v>
      </c>
      <c r="E3484" t="s">
        <v>429</v>
      </c>
      <c r="F3484">
        <v>1</v>
      </c>
      <c r="G3484">
        <v>1</v>
      </c>
      <c r="H3484" t="s">
        <v>224</v>
      </c>
      <c r="I3484" t="s">
        <v>419</v>
      </c>
      <c r="J3484" t="s">
        <v>361</v>
      </c>
      <c r="K3484" t="b">
        <v>0</v>
      </c>
      <c r="L3484">
        <v>2008</v>
      </c>
      <c r="M3484">
        <v>25710904255</v>
      </c>
      <c r="N3484">
        <v>69804681404</v>
      </c>
      <c r="O3484" t="b">
        <v>1</v>
      </c>
      <c r="P3484">
        <v>0</v>
      </c>
      <c r="Q3484" t="str" cm="1">
        <f t="array" ref="Q3484">_xlfn.IFS(Table1[[#This Row],[Wealthier_Winner]]=-1,"Wealthier Nation Loses",Table1[[#This Row],[Wealthier_Winner]]=0,"Tie",Table1[[#This Row],[Wealthier_Winner]]=1,"Wealthier Nation Wins")</f>
        <v>Tie</v>
      </c>
    </row>
    <row r="3485" spans="1:17" x14ac:dyDescent="0.2">
      <c r="A3485" s="1">
        <v>5418</v>
      </c>
      <c r="B3485" s="2">
        <v>39613</v>
      </c>
      <c r="C3485" s="7">
        <f>_xlfn.FLOOR.MATH(Table1[[#This Row],[year]],10)</f>
        <v>2000</v>
      </c>
      <c r="D3485" t="s">
        <v>433</v>
      </c>
      <c r="E3485" t="s">
        <v>63</v>
      </c>
      <c r="F3485">
        <v>2</v>
      </c>
      <c r="G3485">
        <v>0</v>
      </c>
      <c r="H3485" t="s">
        <v>224</v>
      </c>
      <c r="I3485" t="s">
        <v>436</v>
      </c>
      <c r="J3485" t="s">
        <v>433</v>
      </c>
      <c r="K3485" t="b">
        <v>0</v>
      </c>
      <c r="L3485">
        <v>2008</v>
      </c>
      <c r="M3485">
        <v>15571348344</v>
      </c>
      <c r="N3485">
        <v>28679383241</v>
      </c>
      <c r="O3485" t="b">
        <v>0</v>
      </c>
      <c r="P3485">
        <v>-1</v>
      </c>
      <c r="Q3485" t="str" cm="1">
        <f t="array" ref="Q3485">_xlfn.IFS(Table1[[#This Row],[Wealthier_Winner]]=-1,"Wealthier Nation Loses",Table1[[#This Row],[Wealthier_Winner]]=0,"Tie",Table1[[#This Row],[Wealthier_Winner]]=1,"Wealthier Nation Wins")</f>
        <v>Wealthier Nation Loses</v>
      </c>
    </row>
    <row r="3486" spans="1:17" x14ac:dyDescent="0.2">
      <c r="A3486" s="1">
        <v>5420</v>
      </c>
      <c r="B3486" s="2">
        <v>39613</v>
      </c>
      <c r="C3486" s="7">
        <f>_xlfn.FLOOR.MATH(Table1[[#This Row],[year]],10)</f>
        <v>2000</v>
      </c>
      <c r="D3486" t="s">
        <v>499</v>
      </c>
      <c r="E3486" t="s">
        <v>56</v>
      </c>
      <c r="F3486">
        <v>2</v>
      </c>
      <c r="G3486">
        <v>2</v>
      </c>
      <c r="H3486" t="s">
        <v>224</v>
      </c>
      <c r="I3486" t="s">
        <v>501</v>
      </c>
      <c r="J3486" t="s">
        <v>499</v>
      </c>
      <c r="K3486" t="b">
        <v>0</v>
      </c>
      <c r="L3486">
        <v>2008</v>
      </c>
      <c r="M3486">
        <v>825976037</v>
      </c>
      <c r="N3486">
        <v>30801745700</v>
      </c>
      <c r="O3486" t="b">
        <v>1</v>
      </c>
      <c r="P3486">
        <v>0</v>
      </c>
      <c r="Q3486" t="str" cm="1">
        <f t="array" ref="Q3486">_xlfn.IFS(Table1[[#This Row],[Wealthier_Winner]]=-1,"Wealthier Nation Loses",Table1[[#This Row],[Wealthier_Winner]]=0,"Tie",Table1[[#This Row],[Wealthier_Winner]]=1,"Wealthier Nation Wins")</f>
        <v>Tie</v>
      </c>
    </row>
    <row r="3487" spans="1:17" x14ac:dyDescent="0.2">
      <c r="A3487" s="1">
        <v>5422</v>
      </c>
      <c r="B3487" s="2">
        <v>39613</v>
      </c>
      <c r="C3487" s="7">
        <f>_xlfn.FLOOR.MATH(Table1[[#This Row],[year]],10)</f>
        <v>2000</v>
      </c>
      <c r="D3487" t="s">
        <v>314</v>
      </c>
      <c r="E3487" t="s">
        <v>298</v>
      </c>
      <c r="F3487">
        <v>2</v>
      </c>
      <c r="G3487">
        <v>0</v>
      </c>
      <c r="H3487" t="s">
        <v>224</v>
      </c>
      <c r="I3487" t="s">
        <v>315</v>
      </c>
      <c r="J3487" t="s">
        <v>314</v>
      </c>
      <c r="K3487" t="b">
        <v>0</v>
      </c>
      <c r="L3487">
        <v>2008</v>
      </c>
      <c r="M3487">
        <v>35895153327</v>
      </c>
      <c r="N3487">
        <v>4418000000</v>
      </c>
      <c r="O3487" t="b">
        <v>1</v>
      </c>
      <c r="P3487">
        <v>1</v>
      </c>
      <c r="Q3487" t="str" cm="1">
        <f t="array" ref="Q3487">_xlfn.IFS(Table1[[#This Row],[Wealthier_Winner]]=-1,"Wealthier Nation Loses",Table1[[#This Row],[Wealthier_Winner]]=0,"Tie",Table1[[#This Row],[Wealthier_Winner]]=1,"Wealthier Nation Wins")</f>
        <v>Wealthier Nation Wins</v>
      </c>
    </row>
    <row r="3488" spans="1:17" x14ac:dyDescent="0.2">
      <c r="A3488" s="1">
        <v>5424</v>
      </c>
      <c r="B3488" s="2">
        <v>39613</v>
      </c>
      <c r="C3488" s="7">
        <f>_xlfn.FLOOR.MATH(Table1[[#This Row],[year]],10)</f>
        <v>2000</v>
      </c>
      <c r="D3488" t="s">
        <v>71</v>
      </c>
      <c r="E3488" t="s">
        <v>39</v>
      </c>
      <c r="F3488">
        <v>2</v>
      </c>
      <c r="G3488">
        <v>3</v>
      </c>
      <c r="H3488" t="s">
        <v>224</v>
      </c>
      <c r="I3488" t="s">
        <v>366</v>
      </c>
      <c r="J3488" t="s">
        <v>71</v>
      </c>
      <c r="K3488" t="b">
        <v>0</v>
      </c>
      <c r="L3488">
        <v>2008</v>
      </c>
      <c r="M3488">
        <v>147379737229</v>
      </c>
      <c r="N3488">
        <v>315474615738</v>
      </c>
      <c r="O3488" t="b">
        <v>1</v>
      </c>
      <c r="P3488">
        <v>1</v>
      </c>
      <c r="Q3488" t="str" cm="1">
        <f t="array" ref="Q3488">_xlfn.IFS(Table1[[#This Row],[Wealthier_Winner]]=-1,"Wealthier Nation Loses",Table1[[#This Row],[Wealthier_Winner]]=0,"Tie",Table1[[#This Row],[Wealthier_Winner]]=1,"Wealthier Nation Wins")</f>
        <v>Wealthier Nation Wins</v>
      </c>
    </row>
    <row r="3489" spans="1:17" x14ac:dyDescent="0.2">
      <c r="A3489" s="1">
        <v>5425</v>
      </c>
      <c r="B3489" s="2">
        <v>39613</v>
      </c>
      <c r="C3489" s="7">
        <f>_xlfn.FLOOR.MATH(Table1[[#This Row],[year]],10)</f>
        <v>2000</v>
      </c>
      <c r="D3489" t="s">
        <v>370</v>
      </c>
      <c r="E3489" t="s">
        <v>212</v>
      </c>
      <c r="F3489">
        <v>1</v>
      </c>
      <c r="G3489">
        <v>0</v>
      </c>
      <c r="H3489" t="s">
        <v>224</v>
      </c>
      <c r="I3489" t="s">
        <v>372</v>
      </c>
      <c r="J3489" t="s">
        <v>370</v>
      </c>
      <c r="K3489" t="b">
        <v>0</v>
      </c>
      <c r="L3489">
        <v>2008</v>
      </c>
      <c r="M3489">
        <v>7743617352</v>
      </c>
      <c r="N3489">
        <v>162818181818</v>
      </c>
      <c r="O3489" t="b">
        <v>1</v>
      </c>
      <c r="P3489">
        <v>-1</v>
      </c>
      <c r="Q3489" t="str" cm="1">
        <f t="array" ref="Q3489">_xlfn.IFS(Table1[[#This Row],[Wealthier_Winner]]=-1,"Wealthier Nation Loses",Table1[[#This Row],[Wealthier_Winner]]=0,"Tie",Table1[[#This Row],[Wealthier_Winner]]=1,"Wealthier Nation Wins")</f>
        <v>Wealthier Nation Loses</v>
      </c>
    </row>
    <row r="3490" spans="1:17" x14ac:dyDescent="0.2">
      <c r="A3490" s="1">
        <v>5426</v>
      </c>
      <c r="B3490" s="2">
        <v>39613</v>
      </c>
      <c r="C3490" s="7">
        <f>_xlfn.FLOOR.MATH(Table1[[#This Row],[year]],10)</f>
        <v>2000</v>
      </c>
      <c r="D3490" t="s">
        <v>462</v>
      </c>
      <c r="E3490" t="s">
        <v>305</v>
      </c>
      <c r="F3490">
        <v>1</v>
      </c>
      <c r="G3490">
        <v>2</v>
      </c>
      <c r="H3490" t="s">
        <v>224</v>
      </c>
      <c r="I3490" t="s">
        <v>465</v>
      </c>
      <c r="J3490" t="s">
        <v>462</v>
      </c>
      <c r="K3490" t="b">
        <v>0</v>
      </c>
      <c r="L3490">
        <v>2008</v>
      </c>
      <c r="M3490">
        <v>8607431497</v>
      </c>
      <c r="N3490">
        <v>6964179983</v>
      </c>
      <c r="O3490" t="b">
        <v>0</v>
      </c>
      <c r="P3490">
        <v>-1</v>
      </c>
      <c r="Q3490" t="str" cm="1">
        <f t="array" ref="Q3490">_xlfn.IFS(Table1[[#This Row],[Wealthier_Winner]]=-1,"Wealthier Nation Loses",Table1[[#This Row],[Wealthier_Winner]]=0,"Tie",Table1[[#This Row],[Wealthier_Winner]]=1,"Wealthier Nation Wins")</f>
        <v>Wealthier Nation Loses</v>
      </c>
    </row>
    <row r="3491" spans="1:17" x14ac:dyDescent="0.2">
      <c r="A3491" s="1">
        <v>5427</v>
      </c>
      <c r="B3491" s="2">
        <v>39613</v>
      </c>
      <c r="C3491" s="7">
        <f>_xlfn.FLOOR.MATH(Table1[[#This Row],[year]],10)</f>
        <v>2000</v>
      </c>
      <c r="D3491" t="s">
        <v>343</v>
      </c>
      <c r="E3491" t="s">
        <v>310</v>
      </c>
      <c r="F3491">
        <v>0</v>
      </c>
      <c r="G3491">
        <v>2</v>
      </c>
      <c r="H3491" t="s">
        <v>224</v>
      </c>
      <c r="I3491" t="s">
        <v>349</v>
      </c>
      <c r="J3491" t="s">
        <v>343</v>
      </c>
      <c r="K3491" t="b">
        <v>0</v>
      </c>
      <c r="L3491">
        <v>2008</v>
      </c>
      <c r="M3491">
        <v>7297600226</v>
      </c>
      <c r="N3491">
        <v>9787734526</v>
      </c>
      <c r="O3491" t="b">
        <v>0</v>
      </c>
      <c r="P3491">
        <v>1</v>
      </c>
      <c r="Q3491" t="str" cm="1">
        <f t="array" ref="Q3491">_xlfn.IFS(Table1[[#This Row],[Wealthier_Winner]]=-1,"Wealthier Nation Loses",Table1[[#This Row],[Wealthier_Winner]]=0,"Tie",Table1[[#This Row],[Wealthier_Winner]]=1,"Wealthier Nation Wins")</f>
        <v>Wealthier Nation Wins</v>
      </c>
    </row>
    <row r="3492" spans="1:17" x14ac:dyDescent="0.2">
      <c r="A3492" s="1">
        <v>5428</v>
      </c>
      <c r="B3492" s="2">
        <v>39613</v>
      </c>
      <c r="C3492" s="7">
        <f>_xlfn.FLOOR.MATH(Table1[[#This Row],[year]],10)</f>
        <v>2000</v>
      </c>
      <c r="D3492" t="s">
        <v>31</v>
      </c>
      <c r="E3492" t="s">
        <v>15</v>
      </c>
      <c r="F3492">
        <v>1</v>
      </c>
      <c r="G3492">
        <v>1</v>
      </c>
      <c r="H3492" t="s">
        <v>224</v>
      </c>
      <c r="I3492" t="s">
        <v>242</v>
      </c>
      <c r="J3492" t="s">
        <v>31</v>
      </c>
      <c r="K3492" t="b">
        <v>0</v>
      </c>
      <c r="L3492">
        <v>2008</v>
      </c>
      <c r="M3492">
        <v>120550599815</v>
      </c>
      <c r="N3492">
        <v>242504150472</v>
      </c>
      <c r="O3492" t="b">
        <v>1</v>
      </c>
      <c r="P3492">
        <v>0</v>
      </c>
      <c r="Q3492" t="str" cm="1">
        <f t="array" ref="Q3492">_xlfn.IFS(Table1[[#This Row],[Wealthier_Winner]]=-1,"Wealthier Nation Loses",Table1[[#This Row],[Wealthier_Winner]]=0,"Tie",Table1[[#This Row],[Wealthier_Winner]]=1,"Wealthier Nation Wins")</f>
        <v>Tie</v>
      </c>
    </row>
    <row r="3493" spans="1:17" x14ac:dyDescent="0.2">
      <c r="A3493" s="1">
        <v>5430</v>
      </c>
      <c r="B3493" s="2">
        <v>39613</v>
      </c>
      <c r="C3493" s="7">
        <f>_xlfn.FLOOR.MATH(Table1[[#This Row],[year]],10)</f>
        <v>2000</v>
      </c>
      <c r="D3493" t="s">
        <v>68</v>
      </c>
      <c r="E3493" t="s">
        <v>28</v>
      </c>
      <c r="F3493">
        <v>1</v>
      </c>
      <c r="G3493">
        <v>3</v>
      </c>
      <c r="H3493" t="s">
        <v>224</v>
      </c>
      <c r="I3493" t="s">
        <v>190</v>
      </c>
      <c r="J3493" t="s">
        <v>68</v>
      </c>
      <c r="K3493" t="b">
        <v>0</v>
      </c>
      <c r="L3493">
        <v>2008</v>
      </c>
      <c r="M3493">
        <v>115270054945</v>
      </c>
      <c r="N3493">
        <v>1058448244063</v>
      </c>
      <c r="O3493" t="b">
        <v>1</v>
      </c>
      <c r="P3493">
        <v>1</v>
      </c>
      <c r="Q3493" t="str" cm="1">
        <f t="array" ref="Q3493">_xlfn.IFS(Table1[[#This Row],[Wealthier_Winner]]=-1,"Wealthier Nation Loses",Table1[[#This Row],[Wealthier_Winner]]=0,"Tie",Table1[[#This Row],[Wealthier_Winner]]=1,"Wealthier Nation Wins")</f>
        <v>Wealthier Nation Wins</v>
      </c>
    </row>
    <row r="3494" spans="1:17" x14ac:dyDescent="0.2">
      <c r="A3494" s="1">
        <v>5431</v>
      </c>
      <c r="B3494" s="2">
        <v>39613</v>
      </c>
      <c r="C3494" s="7">
        <f>_xlfn.FLOOR.MATH(Table1[[#This Row],[year]],10)</f>
        <v>2000</v>
      </c>
      <c r="D3494" t="s">
        <v>514</v>
      </c>
      <c r="E3494" t="s">
        <v>24</v>
      </c>
      <c r="F3494">
        <v>3</v>
      </c>
      <c r="G3494">
        <v>1</v>
      </c>
      <c r="H3494" t="s">
        <v>224</v>
      </c>
      <c r="I3494" t="s">
        <v>515</v>
      </c>
      <c r="J3494" t="s">
        <v>514</v>
      </c>
      <c r="K3494" t="b">
        <v>0</v>
      </c>
      <c r="L3494">
        <v>2008</v>
      </c>
      <c r="M3494">
        <v>5179854064</v>
      </c>
      <c r="N3494">
        <v>101822906949</v>
      </c>
      <c r="O3494" t="b">
        <v>1</v>
      </c>
      <c r="P3494">
        <v>-1</v>
      </c>
      <c r="Q3494" t="str" cm="1">
        <f t="array" ref="Q3494">_xlfn.IFS(Table1[[#This Row],[Wealthier_Winner]]=-1,"Wealthier Nation Loses",Table1[[#This Row],[Wealthier_Winner]]=0,"Tie",Table1[[#This Row],[Wealthier_Winner]]=1,"Wealthier Nation Wins")</f>
        <v>Wealthier Nation Loses</v>
      </c>
    </row>
    <row r="3495" spans="1:17" x14ac:dyDescent="0.2">
      <c r="A3495" s="1">
        <v>5432</v>
      </c>
      <c r="B3495" s="2">
        <v>39613</v>
      </c>
      <c r="C3495" s="7">
        <f>_xlfn.FLOOR.MATH(Table1[[#This Row],[year]],10)</f>
        <v>2000</v>
      </c>
      <c r="D3495" t="s">
        <v>583</v>
      </c>
      <c r="E3495" t="s">
        <v>345</v>
      </c>
      <c r="F3495">
        <v>2</v>
      </c>
      <c r="G3495">
        <v>3</v>
      </c>
      <c r="H3495" t="s">
        <v>224</v>
      </c>
      <c r="I3495" t="s">
        <v>584</v>
      </c>
      <c r="J3495" t="s">
        <v>583</v>
      </c>
      <c r="K3495" t="b">
        <v>0</v>
      </c>
      <c r="L3495">
        <v>2008</v>
      </c>
      <c r="M3495">
        <v>979597394</v>
      </c>
      <c r="N3495">
        <v>9451435490</v>
      </c>
      <c r="O3495" t="b">
        <v>1</v>
      </c>
      <c r="P3495">
        <v>1</v>
      </c>
      <c r="Q3495" t="str" cm="1">
        <f t="array" ref="Q3495">_xlfn.IFS(Table1[[#This Row],[Wealthier_Winner]]=-1,"Wealthier Nation Loses",Table1[[#This Row],[Wealthier_Winner]]=0,"Tie",Table1[[#This Row],[Wealthier_Winner]]=1,"Wealthier Nation Wins")</f>
        <v>Wealthier Nation Wins</v>
      </c>
    </row>
    <row r="3496" spans="1:17" x14ac:dyDescent="0.2">
      <c r="A3496" s="1">
        <v>5433</v>
      </c>
      <c r="B3496" s="2">
        <v>39613</v>
      </c>
      <c r="C3496" s="7">
        <f>_xlfn.FLOOR.MATH(Table1[[#This Row],[year]],10)</f>
        <v>2000</v>
      </c>
      <c r="D3496" t="s">
        <v>342</v>
      </c>
      <c r="E3496" t="s">
        <v>50</v>
      </c>
      <c r="F3496">
        <v>1</v>
      </c>
      <c r="G3496">
        <v>0</v>
      </c>
      <c r="H3496" t="s">
        <v>224</v>
      </c>
      <c r="I3496" t="s">
        <v>344</v>
      </c>
      <c r="J3496" t="s">
        <v>342</v>
      </c>
      <c r="K3496" t="b">
        <v>0</v>
      </c>
      <c r="L3496">
        <v>2008</v>
      </c>
      <c r="M3496">
        <v>4157895298</v>
      </c>
      <c r="N3496">
        <v>316131258616</v>
      </c>
      <c r="O3496" t="b">
        <v>1</v>
      </c>
      <c r="P3496">
        <v>-1</v>
      </c>
      <c r="Q3496" t="str" cm="1">
        <f t="array" ref="Q3496">_xlfn.IFS(Table1[[#This Row],[Wealthier_Winner]]=-1,"Wealthier Nation Loses",Table1[[#This Row],[Wealthier_Winner]]=0,"Tie",Table1[[#This Row],[Wealthier_Winner]]=1,"Wealthier Nation Wins")</f>
        <v>Wealthier Nation Loses</v>
      </c>
    </row>
    <row r="3497" spans="1:17" x14ac:dyDescent="0.2">
      <c r="A3497" s="1">
        <v>5434</v>
      </c>
      <c r="B3497" s="2">
        <v>39613</v>
      </c>
      <c r="C3497" s="7">
        <f>_xlfn.FLOOR.MATH(Table1[[#This Row],[year]],10)</f>
        <v>2000</v>
      </c>
      <c r="D3497" t="s">
        <v>359</v>
      </c>
      <c r="E3497" t="s">
        <v>45</v>
      </c>
      <c r="F3497">
        <v>0</v>
      </c>
      <c r="G3497">
        <v>3</v>
      </c>
      <c r="H3497" t="s">
        <v>224</v>
      </c>
      <c r="I3497" t="s">
        <v>359</v>
      </c>
      <c r="J3497" t="s">
        <v>359</v>
      </c>
      <c r="K3497" t="b">
        <v>0</v>
      </c>
      <c r="L3497">
        <v>2008</v>
      </c>
      <c r="M3497">
        <v>193617323539</v>
      </c>
      <c r="N3497">
        <v>519796800000</v>
      </c>
      <c r="O3497" t="b">
        <v>1</v>
      </c>
      <c r="P3497">
        <v>1</v>
      </c>
      <c r="Q3497" t="str" cm="1">
        <f t="array" ref="Q3497">_xlfn.IFS(Table1[[#This Row],[Wealthier_Winner]]=-1,"Wealthier Nation Loses",Table1[[#This Row],[Wealthier_Winner]]=0,"Tie",Table1[[#This Row],[Wealthier_Winner]]=1,"Wealthier Nation Wins")</f>
        <v>Wealthier Nation Wins</v>
      </c>
    </row>
    <row r="3498" spans="1:17" x14ac:dyDescent="0.2">
      <c r="A3498" s="1">
        <v>5435</v>
      </c>
      <c r="B3498" s="2">
        <v>39613</v>
      </c>
      <c r="C3498" s="7">
        <f>_xlfn.FLOOR.MATH(Table1[[#This Row],[year]],10)</f>
        <v>2000</v>
      </c>
      <c r="D3498" t="s">
        <v>274</v>
      </c>
      <c r="E3498" t="s">
        <v>590</v>
      </c>
      <c r="F3498">
        <v>3</v>
      </c>
      <c r="G3498">
        <v>2</v>
      </c>
      <c r="H3498" t="s">
        <v>224</v>
      </c>
      <c r="I3498" t="s">
        <v>278</v>
      </c>
      <c r="J3498" t="s">
        <v>274</v>
      </c>
      <c r="K3498" t="b">
        <v>0</v>
      </c>
      <c r="L3498">
        <v>2008</v>
      </c>
      <c r="M3498">
        <v>64833083257</v>
      </c>
      <c r="N3498">
        <v>11462490840</v>
      </c>
      <c r="O3498" t="b">
        <v>1</v>
      </c>
      <c r="P3498">
        <v>1</v>
      </c>
      <c r="Q3498" t="str" cm="1">
        <f t="array" ref="Q3498">_xlfn.IFS(Table1[[#This Row],[Wealthier_Winner]]=-1,"Wealthier Nation Loses",Table1[[#This Row],[Wealthier_Winner]]=0,"Tie",Table1[[#This Row],[Wealthier_Winner]]=1,"Wealthier Nation Wins")</f>
        <v>Wealthier Nation Wins</v>
      </c>
    </row>
    <row r="3499" spans="1:17" x14ac:dyDescent="0.2">
      <c r="A3499" s="1">
        <v>5436</v>
      </c>
      <c r="B3499" s="2">
        <v>39613</v>
      </c>
      <c r="C3499" s="7">
        <f>_xlfn.FLOOR.MATH(Table1[[#This Row],[year]],10)</f>
        <v>2000</v>
      </c>
      <c r="D3499" t="s">
        <v>252</v>
      </c>
      <c r="E3499" t="s">
        <v>445</v>
      </c>
      <c r="F3499">
        <v>1</v>
      </c>
      <c r="G3499">
        <v>0</v>
      </c>
      <c r="H3499" t="s">
        <v>224</v>
      </c>
      <c r="I3499" t="s">
        <v>255</v>
      </c>
      <c r="J3499" t="s">
        <v>252</v>
      </c>
      <c r="K3499" t="b">
        <v>0</v>
      </c>
      <c r="L3499">
        <v>2008</v>
      </c>
      <c r="M3499">
        <v>3532969034</v>
      </c>
      <c r="N3499">
        <v>3025187433</v>
      </c>
      <c r="O3499" t="b">
        <v>0</v>
      </c>
      <c r="P3499">
        <v>1</v>
      </c>
      <c r="Q3499" t="str" cm="1">
        <f t="array" ref="Q3499">_xlfn.IFS(Table1[[#This Row],[Wealthier_Winner]]=-1,"Wealthier Nation Loses",Table1[[#This Row],[Wealthier_Winner]]=0,"Tie",Table1[[#This Row],[Wealthier_Winner]]=1,"Wealthier Nation Wins")</f>
        <v>Wealthier Nation Wins</v>
      </c>
    </row>
    <row r="3500" spans="1:17" x14ac:dyDescent="0.2">
      <c r="A3500" s="1">
        <v>5437</v>
      </c>
      <c r="B3500" s="2">
        <v>39613</v>
      </c>
      <c r="C3500" s="7">
        <f>_xlfn.FLOOR.MATH(Table1[[#This Row],[year]],10)</f>
        <v>2000</v>
      </c>
      <c r="D3500" t="s">
        <v>331</v>
      </c>
      <c r="E3500" t="s">
        <v>210</v>
      </c>
      <c r="F3500">
        <v>0</v>
      </c>
      <c r="G3500">
        <v>2</v>
      </c>
      <c r="H3500" t="s">
        <v>224</v>
      </c>
      <c r="I3500" t="s">
        <v>355</v>
      </c>
      <c r="J3500" t="s">
        <v>331</v>
      </c>
      <c r="K3500" t="b">
        <v>0</v>
      </c>
      <c r="L3500">
        <v>2008</v>
      </c>
      <c r="M3500">
        <v>52557913568</v>
      </c>
      <c r="N3500">
        <v>406070949553</v>
      </c>
      <c r="O3500" t="b">
        <v>1</v>
      </c>
      <c r="P3500">
        <v>1</v>
      </c>
      <c r="Q3500" t="str" cm="1">
        <f t="array" ref="Q3500">_xlfn.IFS(Table1[[#This Row],[Wealthier_Winner]]=-1,"Wealthier Nation Loses",Table1[[#This Row],[Wealthier_Winner]]=0,"Tie",Table1[[#This Row],[Wealthier_Winner]]=1,"Wealthier Nation Wins")</f>
        <v>Wealthier Nation Wins</v>
      </c>
    </row>
    <row r="3501" spans="1:17" x14ac:dyDescent="0.2">
      <c r="A3501" s="1">
        <v>5438</v>
      </c>
      <c r="B3501" s="2">
        <v>39613</v>
      </c>
      <c r="C3501" s="7">
        <f>_xlfn.FLOOR.MATH(Table1[[#This Row],[year]],10)</f>
        <v>2000</v>
      </c>
      <c r="D3501" t="s">
        <v>320</v>
      </c>
      <c r="E3501" t="s">
        <v>40</v>
      </c>
      <c r="F3501">
        <v>0</v>
      </c>
      <c r="G3501">
        <v>0</v>
      </c>
      <c r="H3501" t="s">
        <v>224</v>
      </c>
      <c r="I3501" t="s">
        <v>321</v>
      </c>
      <c r="J3501" t="s">
        <v>320</v>
      </c>
      <c r="K3501" t="b">
        <v>0</v>
      </c>
      <c r="L3501">
        <v>2008</v>
      </c>
      <c r="M3501">
        <v>27947821397</v>
      </c>
      <c r="N3501">
        <v>27715142032</v>
      </c>
      <c r="O3501" t="b">
        <v>0</v>
      </c>
      <c r="P3501">
        <v>0</v>
      </c>
      <c r="Q3501" t="str" cm="1">
        <f t="array" ref="Q3501">_xlfn.IFS(Table1[[#This Row],[Wealthier_Winner]]=-1,"Wealthier Nation Loses",Table1[[#This Row],[Wealthier_Winner]]=0,"Tie",Table1[[#This Row],[Wealthier_Winner]]=1,"Wealthier Nation Wins")</f>
        <v>Tie</v>
      </c>
    </row>
    <row r="3502" spans="1:17" x14ac:dyDescent="0.2">
      <c r="A3502" s="1">
        <v>5439</v>
      </c>
      <c r="B3502" s="2">
        <v>39613</v>
      </c>
      <c r="C3502" s="7">
        <f>_xlfn.FLOOR.MATH(Table1[[#This Row],[year]],10)</f>
        <v>2000</v>
      </c>
      <c r="D3502" t="s">
        <v>334</v>
      </c>
      <c r="E3502" t="s">
        <v>51</v>
      </c>
      <c r="F3502">
        <v>0</v>
      </c>
      <c r="G3502">
        <v>3</v>
      </c>
      <c r="H3502" t="s">
        <v>224</v>
      </c>
      <c r="I3502" t="s">
        <v>407</v>
      </c>
      <c r="J3502" t="s">
        <v>334</v>
      </c>
      <c r="K3502" t="b">
        <v>0</v>
      </c>
      <c r="L3502">
        <v>2008</v>
      </c>
      <c r="M3502">
        <v>291382982430</v>
      </c>
      <c r="N3502">
        <v>5106679115127</v>
      </c>
      <c r="O3502" t="b">
        <v>1</v>
      </c>
      <c r="P3502">
        <v>1</v>
      </c>
      <c r="Q3502" t="str" cm="1">
        <f t="array" ref="Q3502">_xlfn.IFS(Table1[[#This Row],[Wealthier_Winner]]=-1,"Wealthier Nation Loses",Table1[[#This Row],[Wealthier_Winner]]=0,"Tie",Table1[[#This Row],[Wealthier_Winner]]=1,"Wealthier Nation Wins")</f>
        <v>Wealthier Nation Wins</v>
      </c>
    </row>
    <row r="3503" spans="1:17" x14ac:dyDescent="0.2">
      <c r="A3503" s="1">
        <v>5440</v>
      </c>
      <c r="B3503" s="2">
        <v>39613</v>
      </c>
      <c r="C3503" s="7">
        <f>_xlfn.FLOOR.MATH(Table1[[#This Row],[year]],10)</f>
        <v>2000</v>
      </c>
      <c r="D3503" t="s">
        <v>560</v>
      </c>
      <c r="E3503" t="s">
        <v>195</v>
      </c>
      <c r="F3503">
        <v>1</v>
      </c>
      <c r="G3503">
        <v>3</v>
      </c>
      <c r="H3503" t="s">
        <v>224</v>
      </c>
      <c r="I3503" t="s">
        <v>561</v>
      </c>
      <c r="J3503" t="s">
        <v>560</v>
      </c>
      <c r="K3503" t="b">
        <v>0</v>
      </c>
      <c r="L3503">
        <v>2008</v>
      </c>
      <c r="M3503">
        <v>19271523178</v>
      </c>
      <c r="N3503">
        <v>1091580692542</v>
      </c>
      <c r="O3503" t="b">
        <v>1</v>
      </c>
      <c r="P3503">
        <v>1</v>
      </c>
      <c r="Q3503" t="str" cm="1">
        <f t="array" ref="Q3503">_xlfn.IFS(Table1[[#This Row],[Wealthier_Winner]]=-1,"Wealthier Nation Loses",Table1[[#This Row],[Wealthier_Winner]]=0,"Tie",Table1[[#This Row],[Wealthier_Winner]]=1,"Wealthier Nation Wins")</f>
        <v>Wealthier Nation Wins</v>
      </c>
    </row>
    <row r="3504" spans="1:17" x14ac:dyDescent="0.2">
      <c r="A3504" s="1">
        <v>5441</v>
      </c>
      <c r="B3504" s="2">
        <v>39613</v>
      </c>
      <c r="C3504" s="7">
        <f>_xlfn.FLOOR.MATH(Table1[[#This Row],[year]],10)</f>
        <v>2000</v>
      </c>
      <c r="D3504" t="s">
        <v>357</v>
      </c>
      <c r="E3504" t="s">
        <v>60</v>
      </c>
      <c r="F3504">
        <v>3</v>
      </c>
      <c r="G3504">
        <v>1</v>
      </c>
      <c r="H3504" t="s">
        <v>224</v>
      </c>
      <c r="I3504" t="s">
        <v>358</v>
      </c>
      <c r="J3504" t="s">
        <v>357</v>
      </c>
      <c r="K3504" t="b">
        <v>0</v>
      </c>
      <c r="L3504">
        <v>2008</v>
      </c>
      <c r="M3504">
        <v>14440404132</v>
      </c>
      <c r="N3504">
        <v>98790432989</v>
      </c>
      <c r="O3504" t="b">
        <v>1</v>
      </c>
      <c r="P3504">
        <v>-1</v>
      </c>
      <c r="Q3504" t="str" cm="1">
        <f t="array" ref="Q3504">_xlfn.IFS(Table1[[#This Row],[Wealthier_Winner]]=-1,"Wealthier Nation Loses",Table1[[#This Row],[Wealthier_Winner]]=0,"Tie",Table1[[#This Row],[Wealthier_Winner]]=1,"Wealthier Nation Wins")</f>
        <v>Wealthier Nation Loses</v>
      </c>
    </row>
    <row r="3505" spans="1:17" x14ac:dyDescent="0.2">
      <c r="A3505" s="1">
        <v>5442</v>
      </c>
      <c r="B3505" s="2">
        <v>39613</v>
      </c>
      <c r="C3505" s="7">
        <f>_xlfn.FLOOR.MATH(Table1[[#This Row],[year]],10)</f>
        <v>2000</v>
      </c>
      <c r="D3505" t="s">
        <v>26</v>
      </c>
      <c r="E3505" t="s">
        <v>258</v>
      </c>
      <c r="F3505">
        <v>1</v>
      </c>
      <c r="G3505">
        <v>1</v>
      </c>
      <c r="H3505" t="s">
        <v>224</v>
      </c>
      <c r="I3505" t="s">
        <v>247</v>
      </c>
      <c r="J3505" t="s">
        <v>26</v>
      </c>
      <c r="K3505" t="b">
        <v>0</v>
      </c>
      <c r="L3505">
        <v>2008</v>
      </c>
      <c r="M3505">
        <v>31119602538</v>
      </c>
      <c r="N3505">
        <v>315953388510</v>
      </c>
      <c r="O3505" t="b">
        <v>1</v>
      </c>
      <c r="P3505">
        <v>0</v>
      </c>
      <c r="Q3505" t="str" cm="1">
        <f t="array" ref="Q3505">_xlfn.IFS(Table1[[#This Row],[Wealthier_Winner]]=-1,"Wealthier Nation Loses",Table1[[#This Row],[Wealthier_Winner]]=0,"Tie",Table1[[#This Row],[Wealthier_Winner]]=1,"Wealthier Nation Wins")</f>
        <v>Tie</v>
      </c>
    </row>
    <row r="3506" spans="1:17" x14ac:dyDescent="0.2">
      <c r="A3506" s="1">
        <v>5443</v>
      </c>
      <c r="B3506" s="2">
        <v>39613</v>
      </c>
      <c r="C3506" s="7">
        <f>_xlfn.FLOOR.MATH(Table1[[#This Row],[year]],10)</f>
        <v>2000</v>
      </c>
      <c r="D3506" t="s">
        <v>563</v>
      </c>
      <c r="E3506" t="s">
        <v>479</v>
      </c>
      <c r="F3506">
        <v>3</v>
      </c>
      <c r="G3506">
        <v>0</v>
      </c>
      <c r="H3506" t="s">
        <v>224</v>
      </c>
      <c r="I3506" t="s">
        <v>564</v>
      </c>
      <c r="J3506" t="s">
        <v>563</v>
      </c>
      <c r="K3506" t="b">
        <v>0</v>
      </c>
      <c r="L3506">
        <v>2008</v>
      </c>
      <c r="M3506">
        <v>29549438883</v>
      </c>
      <c r="N3506">
        <v>29118916105</v>
      </c>
      <c r="O3506" t="b">
        <v>0</v>
      </c>
      <c r="P3506">
        <v>1</v>
      </c>
      <c r="Q3506" t="str" cm="1">
        <f t="array" ref="Q3506">_xlfn.IFS(Table1[[#This Row],[Wealthier_Winner]]=-1,"Wealthier Nation Loses",Table1[[#This Row],[Wealthier_Winner]]=0,"Tie",Table1[[#This Row],[Wealthier_Winner]]=1,"Wealthier Nation Wins")</f>
        <v>Wealthier Nation Wins</v>
      </c>
    </row>
    <row r="3507" spans="1:17" x14ac:dyDescent="0.2">
      <c r="A3507" s="1">
        <v>5444</v>
      </c>
      <c r="B3507" s="2">
        <v>39614</v>
      </c>
      <c r="C3507" s="7">
        <f>_xlfn.FLOOR.MATH(Table1[[#This Row],[year]],10)</f>
        <v>2000</v>
      </c>
      <c r="D3507" t="s">
        <v>19</v>
      </c>
      <c r="E3507" t="s">
        <v>57</v>
      </c>
      <c r="F3507">
        <v>1</v>
      </c>
      <c r="G3507">
        <v>1</v>
      </c>
      <c r="H3507" t="s">
        <v>224</v>
      </c>
      <c r="I3507" t="s">
        <v>93</v>
      </c>
      <c r="J3507" t="s">
        <v>19</v>
      </c>
      <c r="K3507" t="b">
        <v>0</v>
      </c>
      <c r="L3507">
        <v>2008</v>
      </c>
      <c r="M3507">
        <v>361558037110</v>
      </c>
      <c r="N3507">
        <v>61139438000</v>
      </c>
      <c r="O3507" t="b">
        <v>1</v>
      </c>
      <c r="P3507">
        <v>0</v>
      </c>
      <c r="Q3507" t="str" cm="1">
        <f t="array" ref="Q3507">_xlfn.IFS(Table1[[#This Row],[Wealthier_Winner]]=-1,"Wealthier Nation Loses",Table1[[#This Row],[Wealthier_Winner]]=0,"Tie",Table1[[#This Row],[Wealthier_Winner]]=1,"Wealthier Nation Wins")</f>
        <v>Tie</v>
      </c>
    </row>
    <row r="3508" spans="1:17" x14ac:dyDescent="0.2">
      <c r="A3508" s="1">
        <v>5445</v>
      </c>
      <c r="B3508" s="2">
        <v>39614</v>
      </c>
      <c r="C3508" s="7">
        <f>_xlfn.FLOOR.MATH(Table1[[#This Row],[year]],10)</f>
        <v>2000</v>
      </c>
      <c r="D3508" t="s">
        <v>511</v>
      </c>
      <c r="E3508" t="s">
        <v>17</v>
      </c>
      <c r="F3508">
        <v>0</v>
      </c>
      <c r="G3508">
        <v>2</v>
      </c>
      <c r="H3508" t="s">
        <v>224</v>
      </c>
      <c r="I3508" t="s">
        <v>698</v>
      </c>
      <c r="J3508" t="s">
        <v>41</v>
      </c>
      <c r="K3508" t="b">
        <v>1</v>
      </c>
      <c r="L3508">
        <v>2008</v>
      </c>
      <c r="M3508">
        <v>1738453600</v>
      </c>
      <c r="N3508">
        <v>1161553459715</v>
      </c>
      <c r="O3508" t="b">
        <v>1</v>
      </c>
      <c r="P3508">
        <v>1</v>
      </c>
      <c r="Q3508" t="str" cm="1">
        <f t="array" ref="Q3508">_xlfn.IFS(Table1[[#This Row],[Wealthier_Winner]]=-1,"Wealthier Nation Loses",Table1[[#This Row],[Wealthier_Winner]]=0,"Tie",Table1[[#This Row],[Wealthier_Winner]]=1,"Wealthier Nation Wins")</f>
        <v>Wealthier Nation Wins</v>
      </c>
    </row>
    <row r="3509" spans="1:17" x14ac:dyDescent="0.2">
      <c r="A3509" s="1">
        <v>5446</v>
      </c>
      <c r="B3509" s="2">
        <v>39614</v>
      </c>
      <c r="C3509" s="7">
        <f>_xlfn.FLOOR.MATH(Table1[[#This Row],[year]],10)</f>
        <v>2000</v>
      </c>
      <c r="D3509" t="s">
        <v>47</v>
      </c>
      <c r="E3509" t="s">
        <v>14</v>
      </c>
      <c r="F3509">
        <v>0</v>
      </c>
      <c r="G3509">
        <v>2</v>
      </c>
      <c r="H3509" t="s">
        <v>224</v>
      </c>
      <c r="I3509" t="s">
        <v>246</v>
      </c>
      <c r="J3509" t="s">
        <v>47</v>
      </c>
      <c r="K3509" t="b">
        <v>0</v>
      </c>
      <c r="L3509">
        <v>2008</v>
      </c>
      <c r="M3509">
        <v>16674276285</v>
      </c>
      <c r="N3509">
        <v>179894594475</v>
      </c>
      <c r="O3509" t="b">
        <v>1</v>
      </c>
      <c r="P3509">
        <v>1</v>
      </c>
      <c r="Q3509" t="str" cm="1">
        <f t="array" ref="Q3509">_xlfn.IFS(Table1[[#This Row],[Wealthier_Winner]]=-1,"Wealthier Nation Loses",Table1[[#This Row],[Wealthier_Winner]]=0,"Tie",Table1[[#This Row],[Wealthier_Winner]]=1,"Wealthier Nation Wins")</f>
        <v>Wealthier Nation Wins</v>
      </c>
    </row>
    <row r="3510" spans="1:17" x14ac:dyDescent="0.2">
      <c r="A3510" s="1">
        <v>5447</v>
      </c>
      <c r="B3510" s="2">
        <v>39614</v>
      </c>
      <c r="C3510" s="7">
        <f>_xlfn.FLOOR.MATH(Table1[[#This Row],[year]],10)</f>
        <v>2000</v>
      </c>
      <c r="D3510" t="s">
        <v>460</v>
      </c>
      <c r="E3510" t="s">
        <v>53</v>
      </c>
      <c r="F3510">
        <v>0</v>
      </c>
      <c r="G3510">
        <v>1</v>
      </c>
      <c r="H3510" t="s">
        <v>224</v>
      </c>
      <c r="I3510" t="s">
        <v>464</v>
      </c>
      <c r="J3510" t="s">
        <v>460</v>
      </c>
      <c r="K3510" t="b">
        <v>0</v>
      </c>
      <c r="L3510">
        <v>2008</v>
      </c>
      <c r="M3510">
        <v>1611835857</v>
      </c>
      <c r="N3510">
        <v>44859439902</v>
      </c>
      <c r="O3510" t="b">
        <v>1</v>
      </c>
      <c r="P3510">
        <v>1</v>
      </c>
      <c r="Q3510" t="str" cm="1">
        <f t="array" ref="Q3510">_xlfn.IFS(Table1[[#This Row],[Wealthier_Winner]]=-1,"Wealthier Nation Loses",Table1[[#This Row],[Wealthier_Winner]]=0,"Tie",Table1[[#This Row],[Wealthier_Winner]]=1,"Wealthier Nation Wins")</f>
        <v>Wealthier Nation Wins</v>
      </c>
    </row>
    <row r="3511" spans="1:17" x14ac:dyDescent="0.2">
      <c r="A3511" s="1">
        <v>5448</v>
      </c>
      <c r="B3511" s="2">
        <v>39614</v>
      </c>
      <c r="C3511" s="7">
        <f>_xlfn.FLOOR.MATH(Table1[[#This Row],[year]],10)</f>
        <v>2000</v>
      </c>
      <c r="D3511" t="s">
        <v>639</v>
      </c>
      <c r="E3511" t="s">
        <v>43</v>
      </c>
      <c r="F3511">
        <v>0</v>
      </c>
      <c r="G3511">
        <v>1</v>
      </c>
      <c r="H3511" t="s">
        <v>224</v>
      </c>
      <c r="I3511" t="s">
        <v>696</v>
      </c>
      <c r="J3511" t="s">
        <v>639</v>
      </c>
      <c r="K3511" t="b">
        <v>0</v>
      </c>
      <c r="L3511">
        <v>2008</v>
      </c>
      <c r="M3511">
        <v>19749893536</v>
      </c>
      <c r="N3511">
        <v>339476276257</v>
      </c>
      <c r="O3511" t="b">
        <v>1</v>
      </c>
      <c r="P3511">
        <v>1</v>
      </c>
      <c r="Q3511" t="str" cm="1">
        <f t="array" ref="Q3511">_xlfn.IFS(Table1[[#This Row],[Wealthier_Winner]]=-1,"Wealthier Nation Loses",Table1[[#This Row],[Wealthier_Winner]]=0,"Tie",Table1[[#This Row],[Wealthier_Winner]]=1,"Wealthier Nation Wins")</f>
        <v>Wealthier Nation Wins</v>
      </c>
    </row>
    <row r="3512" spans="1:17" x14ac:dyDescent="0.2">
      <c r="A3512" s="1">
        <v>5451</v>
      </c>
      <c r="B3512" s="2">
        <v>39614</v>
      </c>
      <c r="C3512" s="7">
        <f>_xlfn.FLOOR.MATH(Table1[[#This Row],[year]],10)</f>
        <v>2000</v>
      </c>
      <c r="D3512" t="s">
        <v>307</v>
      </c>
      <c r="E3512" t="s">
        <v>286</v>
      </c>
      <c r="F3512">
        <v>0</v>
      </c>
      <c r="G3512">
        <v>1</v>
      </c>
      <c r="H3512" t="s">
        <v>224</v>
      </c>
      <c r="I3512" t="s">
        <v>165</v>
      </c>
      <c r="J3512" t="s">
        <v>50</v>
      </c>
      <c r="K3512" t="b">
        <v>1</v>
      </c>
      <c r="L3512">
        <v>2008</v>
      </c>
      <c r="M3512">
        <v>1766902709</v>
      </c>
      <c r="N3512">
        <v>86710767415</v>
      </c>
      <c r="O3512" t="b">
        <v>1</v>
      </c>
      <c r="P3512">
        <v>1</v>
      </c>
      <c r="Q3512" t="str" cm="1">
        <f t="array" ref="Q3512">_xlfn.IFS(Table1[[#This Row],[Wealthier_Winner]]=-1,"Wealthier Nation Loses",Table1[[#This Row],[Wealthier_Winner]]=0,"Tie",Table1[[#This Row],[Wealthier_Winner]]=1,"Wealthier Nation Wins")</f>
        <v>Wealthier Nation Wins</v>
      </c>
    </row>
    <row r="3513" spans="1:17" x14ac:dyDescent="0.2">
      <c r="A3513" s="1">
        <v>5452</v>
      </c>
      <c r="B3513" s="2">
        <v>39614</v>
      </c>
      <c r="C3513" s="7">
        <f>_xlfn.FLOOR.MATH(Table1[[#This Row],[year]],10)</f>
        <v>2000</v>
      </c>
      <c r="D3513" t="s">
        <v>378</v>
      </c>
      <c r="E3513" t="s">
        <v>54</v>
      </c>
      <c r="F3513">
        <v>2</v>
      </c>
      <c r="G3513">
        <v>2</v>
      </c>
      <c r="H3513" t="s">
        <v>224</v>
      </c>
      <c r="I3513" t="s">
        <v>595</v>
      </c>
      <c r="J3513" t="s">
        <v>378</v>
      </c>
      <c r="K3513" t="b">
        <v>0</v>
      </c>
      <c r="L3513">
        <v>2008</v>
      </c>
      <c r="M3513">
        <v>1726000000</v>
      </c>
      <c r="N3513">
        <v>16853989627</v>
      </c>
      <c r="O3513" t="b">
        <v>1</v>
      </c>
      <c r="P3513">
        <v>0</v>
      </c>
      <c r="Q3513" t="str" cm="1">
        <f t="array" ref="Q3513">_xlfn.IFS(Table1[[#This Row],[Wealthier_Winner]]=-1,"Wealthier Nation Loses",Table1[[#This Row],[Wealthier_Winner]]=0,"Tie",Table1[[#This Row],[Wealthier_Winner]]=1,"Wealthier Nation Wins")</f>
        <v>Tie</v>
      </c>
    </row>
    <row r="3514" spans="1:17" x14ac:dyDescent="0.2">
      <c r="A3514" s="1">
        <v>5453</v>
      </c>
      <c r="B3514" s="2">
        <v>39614</v>
      </c>
      <c r="C3514" s="7">
        <f>_xlfn.FLOOR.MATH(Table1[[#This Row],[year]],10)</f>
        <v>2000</v>
      </c>
      <c r="D3514" t="s">
        <v>410</v>
      </c>
      <c r="E3514" t="s">
        <v>300</v>
      </c>
      <c r="F3514">
        <v>1</v>
      </c>
      <c r="G3514">
        <v>1</v>
      </c>
      <c r="H3514" t="s">
        <v>224</v>
      </c>
      <c r="I3514" t="s">
        <v>413</v>
      </c>
      <c r="J3514" t="s">
        <v>410</v>
      </c>
      <c r="K3514" t="b">
        <v>0</v>
      </c>
      <c r="L3514">
        <v>2008</v>
      </c>
      <c r="M3514">
        <v>10725137723</v>
      </c>
      <c r="N3514">
        <v>12920340964</v>
      </c>
      <c r="O3514" t="b">
        <v>0</v>
      </c>
      <c r="P3514">
        <v>0</v>
      </c>
      <c r="Q3514" t="str" cm="1">
        <f t="array" ref="Q3514">_xlfn.IFS(Table1[[#This Row],[Wealthier_Winner]]=-1,"Wealthier Nation Loses",Table1[[#This Row],[Wealthier_Winner]]=0,"Tie",Table1[[#This Row],[Wealthier_Winner]]=1,"Wealthier Nation Wins")</f>
        <v>Tie</v>
      </c>
    </row>
    <row r="3515" spans="1:17" x14ac:dyDescent="0.2">
      <c r="A3515" s="1">
        <v>5455</v>
      </c>
      <c r="B3515" s="2">
        <v>39614</v>
      </c>
      <c r="C3515" s="7">
        <f>_xlfn.FLOOR.MATH(Table1[[#This Row],[year]],10)</f>
        <v>2000</v>
      </c>
      <c r="D3515" t="s">
        <v>67</v>
      </c>
      <c r="E3515" t="s">
        <v>69</v>
      </c>
      <c r="F3515">
        <v>1</v>
      </c>
      <c r="G3515">
        <v>0</v>
      </c>
      <c r="H3515" t="s">
        <v>224</v>
      </c>
      <c r="I3515" t="s">
        <v>455</v>
      </c>
      <c r="J3515" t="s">
        <v>67</v>
      </c>
      <c r="K3515" t="b">
        <v>0</v>
      </c>
      <c r="L3515">
        <v>2008</v>
      </c>
      <c r="M3515">
        <v>25721327955</v>
      </c>
      <c r="N3515">
        <v>17986890000</v>
      </c>
      <c r="O3515" t="b">
        <v>0</v>
      </c>
      <c r="P3515">
        <v>1</v>
      </c>
      <c r="Q3515" t="str" cm="1">
        <f t="array" ref="Q3515">_xlfn.IFS(Table1[[#This Row],[Wealthier_Winner]]=-1,"Wealthier Nation Loses",Table1[[#This Row],[Wealthier_Winner]]=0,"Tie",Table1[[#This Row],[Wealthier_Winner]]=1,"Wealthier Nation Wins")</f>
        <v>Wealthier Nation Wins</v>
      </c>
    </row>
    <row r="3516" spans="1:17" x14ac:dyDescent="0.2">
      <c r="A3516" s="1">
        <v>5456</v>
      </c>
      <c r="B3516" s="2">
        <v>39614</v>
      </c>
      <c r="C3516" s="7">
        <f>_xlfn.FLOOR.MATH(Table1[[#This Row],[year]],10)</f>
        <v>2000</v>
      </c>
      <c r="D3516" t="s">
        <v>35</v>
      </c>
      <c r="E3516" t="s">
        <v>13</v>
      </c>
      <c r="F3516">
        <v>2</v>
      </c>
      <c r="G3516">
        <v>0</v>
      </c>
      <c r="H3516" t="s">
        <v>224</v>
      </c>
      <c r="I3516" t="s">
        <v>250</v>
      </c>
      <c r="J3516" t="s">
        <v>35</v>
      </c>
      <c r="K3516" t="b">
        <v>0</v>
      </c>
      <c r="L3516">
        <v>2008</v>
      </c>
      <c r="M3516">
        <v>24615267663</v>
      </c>
      <c r="N3516">
        <v>1695855391757</v>
      </c>
      <c r="O3516" t="b">
        <v>1</v>
      </c>
      <c r="P3516">
        <v>-1</v>
      </c>
      <c r="Q3516" t="str" cm="1">
        <f t="array" ref="Q3516">_xlfn.IFS(Table1[[#This Row],[Wealthier_Winner]]=-1,"Wealthier Nation Loses",Table1[[#This Row],[Wealthier_Winner]]=0,"Tie",Table1[[#This Row],[Wealthier_Winner]]=1,"Wealthier Nation Wins")</f>
        <v>Wealthier Nation Loses</v>
      </c>
    </row>
    <row r="3517" spans="1:17" x14ac:dyDescent="0.2">
      <c r="A3517" s="1">
        <v>5457</v>
      </c>
      <c r="B3517" s="2">
        <v>39614</v>
      </c>
      <c r="C3517" s="7">
        <f>_xlfn.FLOOR.MATH(Table1[[#This Row],[year]],10)</f>
        <v>2000</v>
      </c>
      <c r="D3517" t="s">
        <v>463</v>
      </c>
      <c r="E3517" t="s">
        <v>273</v>
      </c>
      <c r="F3517">
        <v>0</v>
      </c>
      <c r="G3517">
        <v>0</v>
      </c>
      <c r="H3517" t="s">
        <v>224</v>
      </c>
      <c r="I3517" t="s">
        <v>592</v>
      </c>
      <c r="J3517" t="s">
        <v>472</v>
      </c>
      <c r="K3517" t="b">
        <v>0</v>
      </c>
      <c r="L3517">
        <v>2008</v>
      </c>
      <c r="M3517">
        <v>3235921170</v>
      </c>
      <c r="N3517">
        <v>17910858637</v>
      </c>
      <c r="O3517" t="b">
        <v>1</v>
      </c>
      <c r="P3517">
        <v>0</v>
      </c>
      <c r="Q3517" t="str" cm="1">
        <f t="array" ref="Q3517">_xlfn.IFS(Table1[[#This Row],[Wealthier_Winner]]=-1,"Wealthier Nation Loses",Table1[[#This Row],[Wealthier_Winner]]=0,"Tie",Table1[[#This Row],[Wealthier_Winner]]=1,"Wealthier Nation Wins")</f>
        <v>Tie</v>
      </c>
    </row>
    <row r="3518" spans="1:17" x14ac:dyDescent="0.2">
      <c r="A3518" s="1">
        <v>5458</v>
      </c>
      <c r="B3518" s="2">
        <v>39614</v>
      </c>
      <c r="C3518" s="7">
        <f>_xlfn.FLOOR.MATH(Table1[[#This Row],[year]],10)</f>
        <v>2000</v>
      </c>
      <c r="D3518" t="s">
        <v>59</v>
      </c>
      <c r="E3518" t="s">
        <v>266</v>
      </c>
      <c r="F3518">
        <v>1</v>
      </c>
      <c r="G3518">
        <v>2</v>
      </c>
      <c r="H3518" t="s">
        <v>224</v>
      </c>
      <c r="I3518" t="s">
        <v>699</v>
      </c>
      <c r="J3518" t="s">
        <v>59</v>
      </c>
      <c r="K3518" t="b">
        <v>0</v>
      </c>
      <c r="L3518">
        <v>2008</v>
      </c>
      <c r="M3518">
        <v>27871587349</v>
      </c>
      <c r="N3518">
        <v>6980000000</v>
      </c>
      <c r="O3518" t="b">
        <v>1</v>
      </c>
      <c r="P3518">
        <v>-1</v>
      </c>
      <c r="Q3518" t="str" cm="1">
        <f t="array" ref="Q3518">_xlfn.IFS(Table1[[#This Row],[Wealthier_Winner]]=-1,"Wealthier Nation Loses",Table1[[#This Row],[Wealthier_Winner]]=0,"Tie",Table1[[#This Row],[Wealthier_Winner]]=1,"Wealthier Nation Wins")</f>
        <v>Wealthier Nation Loses</v>
      </c>
    </row>
    <row r="3519" spans="1:17" x14ac:dyDescent="0.2">
      <c r="A3519" s="1">
        <v>5459</v>
      </c>
      <c r="B3519" s="2">
        <v>39614</v>
      </c>
      <c r="C3519" s="7">
        <f>_xlfn.FLOOR.MATH(Table1[[#This Row],[year]],10)</f>
        <v>2000</v>
      </c>
      <c r="D3519" t="s">
        <v>41</v>
      </c>
      <c r="E3519" t="s">
        <v>443</v>
      </c>
      <c r="F3519">
        <v>8</v>
      </c>
      <c r="G3519">
        <v>0</v>
      </c>
      <c r="H3519" t="s">
        <v>224</v>
      </c>
      <c r="I3519" t="s">
        <v>700</v>
      </c>
      <c r="J3519" t="s">
        <v>41</v>
      </c>
      <c r="K3519" t="b">
        <v>0</v>
      </c>
      <c r="L3519">
        <v>2008</v>
      </c>
      <c r="M3519">
        <v>14769857911000</v>
      </c>
      <c r="N3519">
        <v>4790410400</v>
      </c>
      <c r="O3519" t="b">
        <v>1</v>
      </c>
      <c r="P3519">
        <v>1</v>
      </c>
      <c r="Q3519" t="str" cm="1">
        <f t="array" ref="Q3519">_xlfn.IFS(Table1[[#This Row],[Wealthier_Winner]]=-1,"Wealthier Nation Loses",Table1[[#This Row],[Wealthier_Winner]]=0,"Tie",Table1[[#This Row],[Wealthier_Winner]]=1,"Wealthier Nation Wins")</f>
        <v>Wealthier Nation Wins</v>
      </c>
    </row>
    <row r="3520" spans="1:17" x14ac:dyDescent="0.2">
      <c r="A3520" s="1">
        <v>5461</v>
      </c>
      <c r="B3520" s="2">
        <v>39616</v>
      </c>
      <c r="C3520" s="7">
        <f>_xlfn.FLOOR.MATH(Table1[[#This Row],[year]],10)</f>
        <v>2000</v>
      </c>
      <c r="D3520" t="s">
        <v>449</v>
      </c>
      <c r="E3520" t="s">
        <v>517</v>
      </c>
      <c r="F3520">
        <v>3</v>
      </c>
      <c r="G3520">
        <v>4</v>
      </c>
      <c r="H3520" t="s">
        <v>224</v>
      </c>
      <c r="I3520" t="s">
        <v>450</v>
      </c>
      <c r="J3520" t="s">
        <v>449</v>
      </c>
      <c r="K3520" t="b">
        <v>0</v>
      </c>
      <c r="L3520">
        <v>2008</v>
      </c>
      <c r="M3520">
        <v>1557640740</v>
      </c>
      <c r="N3520">
        <v>56302129629</v>
      </c>
      <c r="O3520" t="b">
        <v>1</v>
      </c>
      <c r="P3520">
        <v>1</v>
      </c>
      <c r="Q3520" t="str" cm="1">
        <f t="array" ref="Q3520">_xlfn.IFS(Table1[[#This Row],[Wealthier_Winner]]=-1,"Wealthier Nation Loses",Table1[[#This Row],[Wealthier_Winner]]=0,"Tie",Table1[[#This Row],[Wealthier_Winner]]=1,"Wealthier Nation Wins")</f>
        <v>Wealthier Nation Wins</v>
      </c>
    </row>
    <row r="3521" spans="1:17" x14ac:dyDescent="0.2">
      <c r="A3521" s="1">
        <v>5462</v>
      </c>
      <c r="B3521" s="2">
        <v>39616</v>
      </c>
      <c r="C3521" s="7">
        <f>_xlfn.FLOOR.MATH(Table1[[#This Row],[year]],10)</f>
        <v>2000</v>
      </c>
      <c r="D3521" t="s">
        <v>26</v>
      </c>
      <c r="E3521" t="s">
        <v>31</v>
      </c>
      <c r="F3521">
        <v>6</v>
      </c>
      <c r="G3521">
        <v>0</v>
      </c>
      <c r="H3521" t="s">
        <v>224</v>
      </c>
      <c r="I3521" t="s">
        <v>247</v>
      </c>
      <c r="J3521" t="s">
        <v>26</v>
      </c>
      <c r="K3521" t="b">
        <v>0</v>
      </c>
      <c r="L3521">
        <v>2008</v>
      </c>
      <c r="M3521">
        <v>31119602538</v>
      </c>
      <c r="N3521">
        <v>120550599815</v>
      </c>
      <c r="O3521" t="b">
        <v>1</v>
      </c>
      <c r="P3521">
        <v>-1</v>
      </c>
      <c r="Q3521" t="str" cm="1">
        <f t="array" ref="Q3521">_xlfn.IFS(Table1[[#This Row],[Wealthier_Winner]]=-1,"Wealthier Nation Loses",Table1[[#This Row],[Wealthier_Winner]]=0,"Tie",Table1[[#This Row],[Wealthier_Winner]]=1,"Wealthier Nation Wins")</f>
        <v>Wealthier Nation Loses</v>
      </c>
    </row>
    <row r="3522" spans="1:17" x14ac:dyDescent="0.2">
      <c r="A3522" s="1">
        <v>5463</v>
      </c>
      <c r="B3522" s="2">
        <v>39617</v>
      </c>
      <c r="C3522" s="7">
        <f>_xlfn.FLOOR.MATH(Table1[[#This Row],[year]],10)</f>
        <v>2000</v>
      </c>
      <c r="D3522" t="s">
        <v>47</v>
      </c>
      <c r="E3522" t="s">
        <v>35</v>
      </c>
      <c r="F3522">
        <v>4</v>
      </c>
      <c r="G3522">
        <v>2</v>
      </c>
      <c r="H3522" t="s">
        <v>224</v>
      </c>
      <c r="I3522" t="s">
        <v>246</v>
      </c>
      <c r="J3522" t="s">
        <v>47</v>
      </c>
      <c r="K3522" t="b">
        <v>0</v>
      </c>
      <c r="L3522">
        <v>2008</v>
      </c>
      <c r="M3522">
        <v>16674276285</v>
      </c>
      <c r="N3522">
        <v>24615267663</v>
      </c>
      <c r="O3522" t="b">
        <v>0</v>
      </c>
      <c r="P3522">
        <v>-1</v>
      </c>
      <c r="Q3522" t="str" cm="1">
        <f t="array" ref="Q3522">_xlfn.IFS(Table1[[#This Row],[Wealthier_Winner]]=-1,"Wealthier Nation Loses",Table1[[#This Row],[Wealthier_Winner]]=0,"Tie",Table1[[#This Row],[Wealthier_Winner]]=1,"Wealthier Nation Wins")</f>
        <v>Wealthier Nation Loses</v>
      </c>
    </row>
    <row r="3523" spans="1:17" x14ac:dyDescent="0.2">
      <c r="A3523" s="1">
        <v>5464</v>
      </c>
      <c r="B3523" s="2">
        <v>39617</v>
      </c>
      <c r="C3523" s="7">
        <f>_xlfn.FLOOR.MATH(Table1[[#This Row],[year]],10)</f>
        <v>2000</v>
      </c>
      <c r="D3523" t="s">
        <v>57</v>
      </c>
      <c r="E3523" t="s">
        <v>15</v>
      </c>
      <c r="F3523">
        <v>0</v>
      </c>
      <c r="G3523">
        <v>0</v>
      </c>
      <c r="H3523" t="s">
        <v>224</v>
      </c>
      <c r="I3523" t="s">
        <v>335</v>
      </c>
      <c r="J3523" t="s">
        <v>57</v>
      </c>
      <c r="K3523" t="b">
        <v>0</v>
      </c>
      <c r="L3523">
        <v>2008</v>
      </c>
      <c r="M3523">
        <v>61139438000</v>
      </c>
      <c r="N3523">
        <v>242504150472</v>
      </c>
      <c r="O3523" t="b">
        <v>1</v>
      </c>
      <c r="P3523">
        <v>0</v>
      </c>
      <c r="Q3523" t="str" cm="1">
        <f t="array" ref="Q3523">_xlfn.IFS(Table1[[#This Row],[Wealthier_Winner]]=-1,"Wealthier Nation Loses",Table1[[#This Row],[Wealthier_Winner]]=0,"Tie",Table1[[#This Row],[Wealthier_Winner]]=1,"Wealthier Nation Wins")</f>
        <v>Tie</v>
      </c>
    </row>
    <row r="3524" spans="1:17" x14ac:dyDescent="0.2">
      <c r="A3524" s="1">
        <v>5466</v>
      </c>
      <c r="B3524" s="2">
        <v>39617</v>
      </c>
      <c r="C3524" s="7">
        <f>_xlfn.FLOOR.MATH(Table1[[#This Row],[year]],10)</f>
        <v>2000</v>
      </c>
      <c r="D3524" t="s">
        <v>13</v>
      </c>
      <c r="E3524" t="s">
        <v>19</v>
      </c>
      <c r="F3524">
        <v>0</v>
      </c>
      <c r="G3524">
        <v>0</v>
      </c>
      <c r="H3524" t="s">
        <v>224</v>
      </c>
      <c r="I3524" t="s">
        <v>171</v>
      </c>
      <c r="J3524" t="s">
        <v>13</v>
      </c>
      <c r="K3524" t="b">
        <v>0</v>
      </c>
      <c r="L3524">
        <v>2008</v>
      </c>
      <c r="M3524">
        <v>1695855391757</v>
      </c>
      <c r="N3524">
        <v>361558037110</v>
      </c>
      <c r="O3524" t="b">
        <v>1</v>
      </c>
      <c r="P3524">
        <v>0</v>
      </c>
      <c r="Q3524" t="str" cm="1">
        <f t="array" ref="Q3524">_xlfn.IFS(Table1[[#This Row],[Wealthier_Winner]]=-1,"Wealthier Nation Loses",Table1[[#This Row],[Wealthier_Winner]]=0,"Tie",Table1[[#This Row],[Wealthier_Winner]]=1,"Wealthier Nation Wins")</f>
        <v>Tie</v>
      </c>
    </row>
    <row r="3525" spans="1:17" x14ac:dyDescent="0.2">
      <c r="A3525" s="1">
        <v>5467</v>
      </c>
      <c r="B3525" s="2">
        <v>39618</v>
      </c>
      <c r="C3525" s="7">
        <f>_xlfn.FLOOR.MATH(Table1[[#This Row],[year]],10)</f>
        <v>2000</v>
      </c>
      <c r="D3525" t="s">
        <v>258</v>
      </c>
      <c r="E3525" t="s">
        <v>14</v>
      </c>
      <c r="F3525">
        <v>2</v>
      </c>
      <c r="G3525">
        <v>3</v>
      </c>
      <c r="H3525" t="s">
        <v>224</v>
      </c>
      <c r="I3525" t="s">
        <v>701</v>
      </c>
      <c r="J3525" t="s">
        <v>258</v>
      </c>
      <c r="K3525" t="b">
        <v>0</v>
      </c>
      <c r="L3525">
        <v>2008</v>
      </c>
      <c r="M3525">
        <v>315953388510</v>
      </c>
      <c r="N3525">
        <v>179894594475</v>
      </c>
      <c r="O3525" t="b">
        <v>0</v>
      </c>
      <c r="P3525">
        <v>-1</v>
      </c>
      <c r="Q3525" t="str" cm="1">
        <f t="array" ref="Q3525">_xlfn.IFS(Table1[[#This Row],[Wealthier_Winner]]=-1,"Wealthier Nation Loses",Table1[[#This Row],[Wealthier_Winner]]=0,"Tie",Table1[[#This Row],[Wealthier_Winner]]=1,"Wealthier Nation Wins")</f>
        <v>Wealthier Nation Loses</v>
      </c>
    </row>
    <row r="3526" spans="1:17" x14ac:dyDescent="0.2">
      <c r="A3526" s="1">
        <v>5470</v>
      </c>
      <c r="B3526" s="2">
        <v>39619</v>
      </c>
      <c r="C3526" s="7">
        <f>_xlfn.FLOOR.MATH(Table1[[#This Row],[year]],10)</f>
        <v>2000</v>
      </c>
      <c r="D3526" t="s">
        <v>286</v>
      </c>
      <c r="E3526" t="s">
        <v>307</v>
      </c>
      <c r="F3526">
        <v>4</v>
      </c>
      <c r="G3526">
        <v>0</v>
      </c>
      <c r="H3526" t="s">
        <v>224</v>
      </c>
      <c r="I3526" t="s">
        <v>287</v>
      </c>
      <c r="J3526" t="s">
        <v>286</v>
      </c>
      <c r="K3526" t="b">
        <v>0</v>
      </c>
      <c r="L3526">
        <v>2008</v>
      </c>
      <c r="M3526">
        <v>86710767415</v>
      </c>
      <c r="N3526">
        <v>1766902709</v>
      </c>
      <c r="O3526" t="b">
        <v>1</v>
      </c>
      <c r="P3526">
        <v>1</v>
      </c>
      <c r="Q3526" t="str" cm="1">
        <f t="array" ref="Q3526">_xlfn.IFS(Table1[[#This Row],[Wealthier_Winner]]=-1,"Wealthier Nation Loses",Table1[[#This Row],[Wealthier_Winner]]=0,"Tie",Table1[[#This Row],[Wealthier_Winner]]=1,"Wealthier Nation Wins")</f>
        <v>Wealthier Nation Wins</v>
      </c>
    </row>
    <row r="3527" spans="1:17" x14ac:dyDescent="0.2">
      <c r="A3527" s="1">
        <v>5471</v>
      </c>
      <c r="B3527" s="2">
        <v>39620</v>
      </c>
      <c r="C3527" s="7">
        <f>_xlfn.FLOOR.MATH(Table1[[#This Row],[year]],10)</f>
        <v>2000</v>
      </c>
      <c r="D3527" t="s">
        <v>345</v>
      </c>
      <c r="E3527" t="s">
        <v>583</v>
      </c>
      <c r="F3527">
        <v>4</v>
      </c>
      <c r="G3527">
        <v>1</v>
      </c>
      <c r="H3527" t="s">
        <v>224</v>
      </c>
      <c r="I3527" t="s">
        <v>347</v>
      </c>
      <c r="J3527" t="s">
        <v>345</v>
      </c>
      <c r="K3527" t="b">
        <v>0</v>
      </c>
      <c r="L3527">
        <v>2008</v>
      </c>
      <c r="M3527">
        <v>9451435490</v>
      </c>
      <c r="N3527">
        <v>979597394</v>
      </c>
      <c r="O3527" t="b">
        <v>1</v>
      </c>
      <c r="P3527">
        <v>1</v>
      </c>
      <c r="Q3527" t="str" cm="1">
        <f t="array" ref="Q3527">_xlfn.IFS(Table1[[#This Row],[Wealthier_Winner]]=-1,"Wealthier Nation Loses",Table1[[#This Row],[Wealthier_Winner]]=0,"Tie",Table1[[#This Row],[Wealthier_Winner]]=1,"Wealthier Nation Wins")</f>
        <v>Wealthier Nation Wins</v>
      </c>
    </row>
    <row r="3528" spans="1:17" x14ac:dyDescent="0.2">
      <c r="A3528" s="1">
        <v>5472</v>
      </c>
      <c r="B3528" s="2">
        <v>39620</v>
      </c>
      <c r="C3528" s="7">
        <f>_xlfn.FLOOR.MATH(Table1[[#This Row],[year]],10)</f>
        <v>2000</v>
      </c>
      <c r="D3528" t="s">
        <v>40</v>
      </c>
      <c r="E3528" t="s">
        <v>320</v>
      </c>
      <c r="F3528">
        <v>2</v>
      </c>
      <c r="G3528">
        <v>1</v>
      </c>
      <c r="H3528" t="s">
        <v>224</v>
      </c>
      <c r="I3528" t="s">
        <v>371</v>
      </c>
      <c r="J3528" t="s">
        <v>40</v>
      </c>
      <c r="K3528" t="b">
        <v>0</v>
      </c>
      <c r="L3528">
        <v>2008</v>
      </c>
      <c r="M3528">
        <v>27715142032</v>
      </c>
      <c r="N3528">
        <v>27947821397</v>
      </c>
      <c r="O3528" t="b">
        <v>0</v>
      </c>
      <c r="P3528">
        <v>-1</v>
      </c>
      <c r="Q3528" t="str" cm="1">
        <f t="array" ref="Q3528">_xlfn.IFS(Table1[[#This Row],[Wealthier_Winner]]=-1,"Wealthier Nation Loses",Table1[[#This Row],[Wealthier_Winner]]=0,"Tie",Table1[[#This Row],[Wealthier_Winner]]=1,"Wealthier Nation Wins")</f>
        <v>Wealthier Nation Loses</v>
      </c>
    </row>
    <row r="3529" spans="1:17" x14ac:dyDescent="0.2">
      <c r="A3529" s="1">
        <v>5473</v>
      </c>
      <c r="B3529" s="2">
        <v>39620</v>
      </c>
      <c r="C3529" s="7">
        <f>_xlfn.FLOOR.MATH(Table1[[#This Row],[year]],10)</f>
        <v>2000</v>
      </c>
      <c r="D3529" t="s">
        <v>56</v>
      </c>
      <c r="E3529" t="s">
        <v>499</v>
      </c>
      <c r="F3529">
        <v>3</v>
      </c>
      <c r="G3529">
        <v>0</v>
      </c>
      <c r="H3529" t="s">
        <v>224</v>
      </c>
      <c r="I3529" t="s">
        <v>225</v>
      </c>
      <c r="J3529" t="s">
        <v>56</v>
      </c>
      <c r="K3529" t="b">
        <v>0</v>
      </c>
      <c r="L3529">
        <v>2008</v>
      </c>
      <c r="M3529">
        <v>30801745700</v>
      </c>
      <c r="N3529">
        <v>825976037</v>
      </c>
      <c r="O3529" t="b">
        <v>1</v>
      </c>
      <c r="P3529">
        <v>1</v>
      </c>
      <c r="Q3529" t="str" cm="1">
        <f t="array" ref="Q3529">_xlfn.IFS(Table1[[#This Row],[Wealthier_Winner]]=-1,"Wealthier Nation Loses",Table1[[#This Row],[Wealthier_Winner]]=0,"Tie",Table1[[#This Row],[Wealthier_Winner]]=1,"Wealthier Nation Wins")</f>
        <v>Wealthier Nation Wins</v>
      </c>
    </row>
    <row r="3530" spans="1:17" x14ac:dyDescent="0.2">
      <c r="A3530" s="1">
        <v>5474</v>
      </c>
      <c r="B3530" s="2">
        <v>39620</v>
      </c>
      <c r="C3530" s="7">
        <f>_xlfn.FLOOR.MATH(Table1[[#This Row],[year]],10)</f>
        <v>2000</v>
      </c>
      <c r="D3530" t="s">
        <v>17</v>
      </c>
      <c r="E3530" t="s">
        <v>511</v>
      </c>
      <c r="F3530">
        <v>7</v>
      </c>
      <c r="G3530">
        <v>0</v>
      </c>
      <c r="H3530" t="s">
        <v>224</v>
      </c>
      <c r="I3530" t="s">
        <v>107</v>
      </c>
      <c r="J3530" t="s">
        <v>17</v>
      </c>
      <c r="K3530" t="b">
        <v>0</v>
      </c>
      <c r="L3530">
        <v>2008</v>
      </c>
      <c r="M3530">
        <v>1161553459715</v>
      </c>
      <c r="N3530">
        <v>1738453600</v>
      </c>
      <c r="O3530" t="b">
        <v>1</v>
      </c>
      <c r="P3530">
        <v>1</v>
      </c>
      <c r="Q3530" t="str" cm="1">
        <f t="array" ref="Q3530">_xlfn.IFS(Table1[[#This Row],[Wealthier_Winner]]=-1,"Wealthier Nation Loses",Table1[[#This Row],[Wealthier_Winner]]=0,"Tie",Table1[[#This Row],[Wealthier_Winner]]=1,"Wealthier Nation Wins")</f>
        <v>Wealthier Nation Wins</v>
      </c>
    </row>
    <row r="3531" spans="1:17" x14ac:dyDescent="0.2">
      <c r="A3531" s="1">
        <v>5475</v>
      </c>
      <c r="B3531" s="2">
        <v>39620</v>
      </c>
      <c r="C3531" s="7">
        <f>_xlfn.FLOOR.MATH(Table1[[#This Row],[year]],10)</f>
        <v>2000</v>
      </c>
      <c r="D3531" t="s">
        <v>24</v>
      </c>
      <c r="E3531" t="s">
        <v>514</v>
      </c>
      <c r="F3531">
        <v>2</v>
      </c>
      <c r="G3531">
        <v>0</v>
      </c>
      <c r="H3531" t="s">
        <v>224</v>
      </c>
      <c r="I3531" t="s">
        <v>244</v>
      </c>
      <c r="J3531" t="s">
        <v>24</v>
      </c>
      <c r="K3531" t="b">
        <v>0</v>
      </c>
      <c r="L3531">
        <v>2008</v>
      </c>
      <c r="M3531">
        <v>101822906949</v>
      </c>
      <c r="N3531">
        <v>5179854064</v>
      </c>
      <c r="O3531" t="b">
        <v>1</v>
      </c>
      <c r="P3531">
        <v>1</v>
      </c>
      <c r="Q3531" t="str" cm="1">
        <f t="array" ref="Q3531">_xlfn.IFS(Table1[[#This Row],[Wealthier_Winner]]=-1,"Wealthier Nation Loses",Table1[[#This Row],[Wealthier_Winner]]=0,"Tie",Table1[[#This Row],[Wealthier_Winner]]=1,"Wealthier Nation Wins")</f>
        <v>Wealthier Nation Wins</v>
      </c>
    </row>
    <row r="3532" spans="1:17" x14ac:dyDescent="0.2">
      <c r="A3532" s="1">
        <v>5476</v>
      </c>
      <c r="B3532" s="2">
        <v>39620</v>
      </c>
      <c r="C3532" s="7">
        <f>_xlfn.FLOOR.MATH(Table1[[#This Row],[year]],10)</f>
        <v>2000</v>
      </c>
      <c r="D3532" t="s">
        <v>43</v>
      </c>
      <c r="E3532" t="s">
        <v>639</v>
      </c>
      <c r="F3532">
        <v>2</v>
      </c>
      <c r="G3532">
        <v>0</v>
      </c>
      <c r="H3532" t="s">
        <v>224</v>
      </c>
      <c r="I3532" t="s">
        <v>657</v>
      </c>
      <c r="J3532" t="s">
        <v>43</v>
      </c>
      <c r="K3532" t="b">
        <v>0</v>
      </c>
      <c r="L3532">
        <v>2008</v>
      </c>
      <c r="M3532">
        <v>339476276257</v>
      </c>
      <c r="N3532">
        <v>19749893536</v>
      </c>
      <c r="O3532" t="b">
        <v>1</v>
      </c>
      <c r="P3532">
        <v>1</v>
      </c>
      <c r="Q3532" t="str" cm="1">
        <f t="array" ref="Q3532">_xlfn.IFS(Table1[[#This Row],[Wealthier_Winner]]=-1,"Wealthier Nation Loses",Table1[[#This Row],[Wealthier_Winner]]=0,"Tie",Table1[[#This Row],[Wealthier_Winner]]=1,"Wealthier Nation Wins")</f>
        <v>Wealthier Nation Wins</v>
      </c>
    </row>
    <row r="3533" spans="1:17" x14ac:dyDescent="0.2">
      <c r="A3533" s="1">
        <v>5477</v>
      </c>
      <c r="B3533" s="2">
        <v>39620</v>
      </c>
      <c r="C3533" s="7">
        <f>_xlfn.FLOOR.MATH(Table1[[#This Row],[year]],10)</f>
        <v>2000</v>
      </c>
      <c r="D3533" t="s">
        <v>54</v>
      </c>
      <c r="E3533" t="s">
        <v>378</v>
      </c>
      <c r="F3533">
        <v>3</v>
      </c>
      <c r="G3533">
        <v>1</v>
      </c>
      <c r="H3533" t="s">
        <v>224</v>
      </c>
      <c r="I3533" t="s">
        <v>285</v>
      </c>
      <c r="J3533" t="s">
        <v>54</v>
      </c>
      <c r="K3533" t="b">
        <v>0</v>
      </c>
      <c r="L3533">
        <v>2008</v>
      </c>
      <c r="M3533">
        <v>16853989627</v>
      </c>
      <c r="N3533">
        <v>1726000000</v>
      </c>
      <c r="O3533" t="b">
        <v>1</v>
      </c>
      <c r="P3533">
        <v>1</v>
      </c>
      <c r="Q3533" t="str" cm="1">
        <f t="array" ref="Q3533">_xlfn.IFS(Table1[[#This Row],[Wealthier_Winner]]=-1,"Wealthier Nation Loses",Table1[[#This Row],[Wealthier_Winner]]=0,"Tie",Table1[[#This Row],[Wealthier_Winner]]=1,"Wealthier Nation Wins")</f>
        <v>Wealthier Nation Wins</v>
      </c>
    </row>
    <row r="3534" spans="1:17" x14ac:dyDescent="0.2">
      <c r="A3534" s="1">
        <v>5478</v>
      </c>
      <c r="B3534" s="2">
        <v>39620</v>
      </c>
      <c r="C3534" s="7">
        <f>_xlfn.FLOOR.MATH(Table1[[#This Row],[year]],10)</f>
        <v>2000</v>
      </c>
      <c r="D3534" t="s">
        <v>50</v>
      </c>
      <c r="E3534" t="s">
        <v>342</v>
      </c>
      <c r="F3534">
        <v>0</v>
      </c>
      <c r="G3534">
        <v>0</v>
      </c>
      <c r="H3534" t="s">
        <v>224</v>
      </c>
      <c r="I3534" t="s">
        <v>702</v>
      </c>
      <c r="J3534" t="s">
        <v>50</v>
      </c>
      <c r="K3534" t="b">
        <v>0</v>
      </c>
      <c r="L3534">
        <v>2008</v>
      </c>
      <c r="M3534">
        <v>316131258616</v>
      </c>
      <c r="N3534">
        <v>4157895298</v>
      </c>
      <c r="O3534" t="b">
        <v>1</v>
      </c>
      <c r="P3534">
        <v>0</v>
      </c>
      <c r="Q3534" t="str" cm="1">
        <f t="array" ref="Q3534">_xlfn.IFS(Table1[[#This Row],[Wealthier_Winner]]=-1,"Wealthier Nation Loses",Table1[[#This Row],[Wealthier_Winner]]=0,"Tie",Table1[[#This Row],[Wealthier_Winner]]=1,"Wealthier Nation Wins")</f>
        <v>Tie</v>
      </c>
    </row>
    <row r="3535" spans="1:17" x14ac:dyDescent="0.2">
      <c r="A3535" s="1">
        <v>5480</v>
      </c>
      <c r="B3535" s="2">
        <v>39620</v>
      </c>
      <c r="C3535" s="7">
        <f>_xlfn.FLOOR.MATH(Table1[[#This Row],[year]],10)</f>
        <v>2000</v>
      </c>
      <c r="D3535" t="s">
        <v>53</v>
      </c>
      <c r="E3535" t="s">
        <v>460</v>
      </c>
      <c r="F3535">
        <v>2</v>
      </c>
      <c r="G3535">
        <v>1</v>
      </c>
      <c r="H3535" t="s">
        <v>224</v>
      </c>
      <c r="I3535" t="s">
        <v>658</v>
      </c>
      <c r="J3535" t="s">
        <v>53</v>
      </c>
      <c r="K3535" t="b">
        <v>0</v>
      </c>
      <c r="L3535">
        <v>2008</v>
      </c>
      <c r="M3535">
        <v>44859439902</v>
      </c>
      <c r="N3535">
        <v>1611835857</v>
      </c>
      <c r="O3535" t="b">
        <v>1</v>
      </c>
      <c r="P3535">
        <v>1</v>
      </c>
      <c r="Q3535" t="str" cm="1">
        <f t="array" ref="Q3535">_xlfn.IFS(Table1[[#This Row],[Wealthier_Winner]]=-1,"Wealthier Nation Loses",Table1[[#This Row],[Wealthier_Winner]]=0,"Tie",Table1[[#This Row],[Wealthier_Winner]]=1,"Wealthier Nation Wins")</f>
        <v>Wealthier Nation Wins</v>
      </c>
    </row>
    <row r="3536" spans="1:17" x14ac:dyDescent="0.2">
      <c r="A3536" s="1">
        <v>5481</v>
      </c>
      <c r="B3536" s="2">
        <v>39620</v>
      </c>
      <c r="C3536" s="7">
        <f>_xlfn.FLOOR.MATH(Table1[[#This Row],[year]],10)</f>
        <v>2000</v>
      </c>
      <c r="D3536" t="s">
        <v>273</v>
      </c>
      <c r="E3536" t="s">
        <v>463</v>
      </c>
      <c r="F3536">
        <v>1</v>
      </c>
      <c r="G3536">
        <v>0</v>
      </c>
      <c r="H3536" t="s">
        <v>224</v>
      </c>
      <c r="I3536" t="s">
        <v>677</v>
      </c>
      <c r="J3536" t="s">
        <v>273</v>
      </c>
      <c r="K3536" t="b">
        <v>0</v>
      </c>
      <c r="L3536">
        <v>2008</v>
      </c>
      <c r="M3536">
        <v>17910858637</v>
      </c>
      <c r="N3536">
        <v>3235921170</v>
      </c>
      <c r="O3536" t="b">
        <v>1</v>
      </c>
      <c r="P3536">
        <v>1</v>
      </c>
      <c r="Q3536" t="str" cm="1">
        <f t="array" ref="Q3536">_xlfn.IFS(Table1[[#This Row],[Wealthier_Winner]]=-1,"Wealthier Nation Loses",Table1[[#This Row],[Wealthier_Winner]]=0,"Tie",Table1[[#This Row],[Wealthier_Winner]]=1,"Wealthier Nation Wins")</f>
        <v>Wealthier Nation Wins</v>
      </c>
    </row>
    <row r="3537" spans="1:17" x14ac:dyDescent="0.2">
      <c r="A3537" s="1">
        <v>5483</v>
      </c>
      <c r="B3537" s="2">
        <v>39621</v>
      </c>
      <c r="C3537" s="7">
        <f>_xlfn.FLOOR.MATH(Table1[[#This Row],[year]],10)</f>
        <v>2000</v>
      </c>
      <c r="D3537" t="s">
        <v>443</v>
      </c>
      <c r="E3537" t="s">
        <v>41</v>
      </c>
      <c r="F3537">
        <v>0</v>
      </c>
      <c r="G3537">
        <v>1</v>
      </c>
      <c r="H3537" t="s">
        <v>224</v>
      </c>
      <c r="I3537" t="s">
        <v>444</v>
      </c>
      <c r="J3537" t="s">
        <v>443</v>
      </c>
      <c r="K3537" t="b">
        <v>0</v>
      </c>
      <c r="L3537">
        <v>2008</v>
      </c>
      <c r="M3537">
        <v>4790410400</v>
      </c>
      <c r="N3537">
        <v>14769857911000</v>
      </c>
      <c r="O3537" t="b">
        <v>1</v>
      </c>
      <c r="P3537">
        <v>1</v>
      </c>
      <c r="Q3537" t="str" cm="1">
        <f t="array" ref="Q3537">_xlfn.IFS(Table1[[#This Row],[Wealthier_Winner]]=-1,"Wealthier Nation Loses",Table1[[#This Row],[Wealthier_Winner]]=0,"Tie",Table1[[#This Row],[Wealthier_Winner]]=1,"Wealthier Nation Wins")</f>
        <v>Wealthier Nation Wins</v>
      </c>
    </row>
    <row r="3538" spans="1:17" x14ac:dyDescent="0.2">
      <c r="A3538" s="1">
        <v>5484</v>
      </c>
      <c r="B3538" s="2">
        <v>39621</v>
      </c>
      <c r="C3538" s="7">
        <f>_xlfn.FLOOR.MATH(Table1[[#This Row],[year]],10)</f>
        <v>2000</v>
      </c>
      <c r="D3538" t="s">
        <v>310</v>
      </c>
      <c r="E3538" t="s">
        <v>343</v>
      </c>
      <c r="F3538">
        <v>2</v>
      </c>
      <c r="G3538">
        <v>0</v>
      </c>
      <c r="H3538" t="s">
        <v>224</v>
      </c>
      <c r="I3538" t="s">
        <v>311</v>
      </c>
      <c r="J3538" t="s">
        <v>310</v>
      </c>
      <c r="K3538" t="b">
        <v>0</v>
      </c>
      <c r="L3538">
        <v>2008</v>
      </c>
      <c r="M3538">
        <v>9787734526</v>
      </c>
      <c r="N3538">
        <v>7297600226</v>
      </c>
      <c r="O3538" t="b">
        <v>0</v>
      </c>
      <c r="P3538">
        <v>1</v>
      </c>
      <c r="Q3538" t="str" cm="1">
        <f t="array" ref="Q3538">_xlfn.IFS(Table1[[#This Row],[Wealthier_Winner]]=-1,"Wealthier Nation Loses",Table1[[#This Row],[Wealthier_Winner]]=0,"Tie",Table1[[#This Row],[Wealthier_Winner]]=1,"Wealthier Nation Wins")</f>
        <v>Wealthier Nation Wins</v>
      </c>
    </row>
    <row r="3539" spans="1:17" x14ac:dyDescent="0.2">
      <c r="A3539" s="1">
        <v>5485</v>
      </c>
      <c r="B3539" s="2">
        <v>39621</v>
      </c>
      <c r="C3539" s="7">
        <f>_xlfn.FLOOR.MATH(Table1[[#This Row],[year]],10)</f>
        <v>2000</v>
      </c>
      <c r="D3539" t="s">
        <v>266</v>
      </c>
      <c r="E3539" t="s">
        <v>59</v>
      </c>
      <c r="F3539">
        <v>0</v>
      </c>
      <c r="G3539">
        <v>2</v>
      </c>
      <c r="H3539" t="s">
        <v>224</v>
      </c>
      <c r="I3539" t="s">
        <v>271</v>
      </c>
      <c r="J3539" t="s">
        <v>266</v>
      </c>
      <c r="K3539" t="b">
        <v>0</v>
      </c>
      <c r="L3539">
        <v>2008</v>
      </c>
      <c r="M3539">
        <v>6980000000</v>
      </c>
      <c r="N3539">
        <v>27871587349</v>
      </c>
      <c r="O3539" t="b">
        <v>1</v>
      </c>
      <c r="P3539">
        <v>1</v>
      </c>
      <c r="Q3539" t="str" cm="1">
        <f t="array" ref="Q3539">_xlfn.IFS(Table1[[#This Row],[Wealthier_Winner]]=-1,"Wealthier Nation Loses",Table1[[#This Row],[Wealthier_Winner]]=0,"Tie",Table1[[#This Row],[Wealthier_Winner]]=1,"Wealthier Nation Wins")</f>
        <v>Wealthier Nation Wins</v>
      </c>
    </row>
    <row r="3540" spans="1:17" x14ac:dyDescent="0.2">
      <c r="A3540" s="1">
        <v>5489</v>
      </c>
      <c r="B3540" s="2">
        <v>39621</v>
      </c>
      <c r="C3540" s="7">
        <f>_xlfn.FLOOR.MATH(Table1[[#This Row],[year]],10)</f>
        <v>2000</v>
      </c>
      <c r="D3540" t="s">
        <v>517</v>
      </c>
      <c r="E3540" t="s">
        <v>449</v>
      </c>
      <c r="F3540">
        <v>4</v>
      </c>
      <c r="G3540">
        <v>0</v>
      </c>
      <c r="H3540" t="s">
        <v>224</v>
      </c>
      <c r="I3540" t="s">
        <v>580</v>
      </c>
      <c r="J3540" t="s">
        <v>517</v>
      </c>
      <c r="K3540" t="b">
        <v>0</v>
      </c>
      <c r="L3540">
        <v>2008</v>
      </c>
      <c r="M3540">
        <v>56302129629</v>
      </c>
      <c r="N3540">
        <v>1557640740</v>
      </c>
      <c r="O3540" t="b">
        <v>1</v>
      </c>
      <c r="P3540">
        <v>1</v>
      </c>
      <c r="Q3540" t="str" cm="1">
        <f t="array" ref="Q3540">_xlfn.IFS(Table1[[#This Row],[Wealthier_Winner]]=-1,"Wealthier Nation Loses",Table1[[#This Row],[Wealthier_Winner]]=0,"Tie",Table1[[#This Row],[Wealthier_Winner]]=1,"Wealthier Nation Wins")</f>
        <v>Wealthier Nation Wins</v>
      </c>
    </row>
    <row r="3541" spans="1:17" x14ac:dyDescent="0.2">
      <c r="A3541" s="1">
        <v>5491</v>
      </c>
      <c r="B3541" s="2">
        <v>39621</v>
      </c>
      <c r="C3541" s="7">
        <f>_xlfn.FLOOR.MATH(Table1[[#This Row],[year]],10)</f>
        <v>2000</v>
      </c>
      <c r="D3541" t="s">
        <v>212</v>
      </c>
      <c r="E3541" t="s">
        <v>370</v>
      </c>
      <c r="F3541">
        <v>2</v>
      </c>
      <c r="G3541">
        <v>0</v>
      </c>
      <c r="H3541" t="s">
        <v>224</v>
      </c>
      <c r="I3541" t="s">
        <v>322</v>
      </c>
      <c r="J3541" t="s">
        <v>212</v>
      </c>
      <c r="K3541" t="b">
        <v>0</v>
      </c>
      <c r="L3541">
        <v>2008</v>
      </c>
      <c r="M3541">
        <v>162818181818</v>
      </c>
      <c r="N3541">
        <v>7743617352</v>
      </c>
      <c r="O3541" t="b">
        <v>1</v>
      </c>
      <c r="P3541">
        <v>1</v>
      </c>
      <c r="Q3541" t="str" cm="1">
        <f t="array" ref="Q3541">_xlfn.IFS(Table1[[#This Row],[Wealthier_Winner]]=-1,"Wealthier Nation Loses",Table1[[#This Row],[Wealthier_Winner]]=0,"Tie",Table1[[#This Row],[Wealthier_Winner]]=1,"Wealthier Nation Wins")</f>
        <v>Wealthier Nation Wins</v>
      </c>
    </row>
    <row r="3542" spans="1:17" x14ac:dyDescent="0.2">
      <c r="A3542" s="1">
        <v>5492</v>
      </c>
      <c r="B3542" s="2">
        <v>39621</v>
      </c>
      <c r="C3542" s="7">
        <f>_xlfn.FLOOR.MATH(Table1[[#This Row],[year]],10)</f>
        <v>2000</v>
      </c>
      <c r="D3542" t="s">
        <v>69</v>
      </c>
      <c r="E3542" t="s">
        <v>67</v>
      </c>
      <c r="F3542">
        <v>3</v>
      </c>
      <c r="G3542">
        <v>1</v>
      </c>
      <c r="H3542" t="s">
        <v>224</v>
      </c>
      <c r="I3542" t="s">
        <v>281</v>
      </c>
      <c r="J3542" t="s">
        <v>69</v>
      </c>
      <c r="K3542" t="b">
        <v>0</v>
      </c>
      <c r="L3542">
        <v>2008</v>
      </c>
      <c r="M3542">
        <v>17986890000</v>
      </c>
      <c r="N3542">
        <v>25721327955</v>
      </c>
      <c r="O3542" t="b">
        <v>0</v>
      </c>
      <c r="P3542">
        <v>-1</v>
      </c>
      <c r="Q3542" t="str" cm="1">
        <f t="array" ref="Q3542">_xlfn.IFS(Table1[[#This Row],[Wealthier_Winner]]=-1,"Wealthier Nation Loses",Table1[[#This Row],[Wealthier_Winner]]=0,"Tie",Table1[[#This Row],[Wealthier_Winner]]=1,"Wealthier Nation Wins")</f>
        <v>Wealthier Nation Loses</v>
      </c>
    </row>
    <row r="3543" spans="1:17" x14ac:dyDescent="0.2">
      <c r="A3543" s="1">
        <v>5493</v>
      </c>
      <c r="B3543" s="2">
        <v>39621</v>
      </c>
      <c r="C3543" s="7">
        <f>_xlfn.FLOOR.MATH(Table1[[#This Row],[year]],10)</f>
        <v>2000</v>
      </c>
      <c r="D3543" t="s">
        <v>63</v>
      </c>
      <c r="E3543" t="s">
        <v>433</v>
      </c>
      <c r="F3543">
        <v>2</v>
      </c>
      <c r="G3543">
        <v>0</v>
      </c>
      <c r="H3543" t="s">
        <v>224</v>
      </c>
      <c r="I3543" t="s">
        <v>226</v>
      </c>
      <c r="J3543" t="s">
        <v>63</v>
      </c>
      <c r="K3543" t="b">
        <v>0</v>
      </c>
      <c r="L3543">
        <v>2008</v>
      </c>
      <c r="M3543">
        <v>28679383241</v>
      </c>
      <c r="N3543">
        <v>15571348344</v>
      </c>
      <c r="O3543" t="b">
        <v>0</v>
      </c>
      <c r="P3543">
        <v>1</v>
      </c>
      <c r="Q3543" t="str" cm="1">
        <f t="array" ref="Q3543">_xlfn.IFS(Table1[[#This Row],[Wealthier_Winner]]=-1,"Wealthier Nation Loses",Table1[[#This Row],[Wealthier_Winner]]=0,"Tie",Table1[[#This Row],[Wealthier_Winner]]=1,"Wealthier Nation Wins")</f>
        <v>Wealthier Nation Wins</v>
      </c>
    </row>
    <row r="3544" spans="1:17" x14ac:dyDescent="0.2">
      <c r="A3544" s="1">
        <v>5494</v>
      </c>
      <c r="B3544" s="2">
        <v>39621</v>
      </c>
      <c r="C3544" s="7">
        <f>_xlfn.FLOOR.MATH(Table1[[#This Row],[year]],10)</f>
        <v>2000</v>
      </c>
      <c r="D3544" t="s">
        <v>305</v>
      </c>
      <c r="E3544" t="s">
        <v>462</v>
      </c>
      <c r="F3544">
        <v>4</v>
      </c>
      <c r="G3544">
        <v>0</v>
      </c>
      <c r="H3544" t="s">
        <v>224</v>
      </c>
      <c r="I3544" t="s">
        <v>306</v>
      </c>
      <c r="J3544" t="s">
        <v>305</v>
      </c>
      <c r="K3544" t="b">
        <v>0</v>
      </c>
      <c r="L3544">
        <v>2008</v>
      </c>
      <c r="M3544">
        <v>6964179983</v>
      </c>
      <c r="N3544">
        <v>8607431497</v>
      </c>
      <c r="O3544" t="b">
        <v>0</v>
      </c>
      <c r="P3544">
        <v>-1</v>
      </c>
      <c r="Q3544" t="str" cm="1">
        <f t="array" ref="Q3544">_xlfn.IFS(Table1[[#This Row],[Wealthier_Winner]]=-1,"Wealthier Nation Loses",Table1[[#This Row],[Wealthier_Winner]]=0,"Tie",Table1[[#This Row],[Wealthier_Winner]]=1,"Wealthier Nation Wins")</f>
        <v>Wealthier Nation Loses</v>
      </c>
    </row>
    <row r="3545" spans="1:17" x14ac:dyDescent="0.2">
      <c r="A3545" s="1">
        <v>5495</v>
      </c>
      <c r="B3545" s="2">
        <v>39621</v>
      </c>
      <c r="C3545" s="7">
        <f>_xlfn.FLOOR.MATH(Table1[[#This Row],[year]],10)</f>
        <v>2000</v>
      </c>
      <c r="D3545" t="s">
        <v>445</v>
      </c>
      <c r="E3545" t="s">
        <v>252</v>
      </c>
      <c r="F3545">
        <v>1</v>
      </c>
      <c r="G3545">
        <v>2</v>
      </c>
      <c r="H3545" t="s">
        <v>224</v>
      </c>
      <c r="I3545" t="s">
        <v>703</v>
      </c>
      <c r="J3545" t="s">
        <v>445</v>
      </c>
      <c r="K3545" t="b">
        <v>0</v>
      </c>
      <c r="L3545">
        <v>2008</v>
      </c>
      <c r="M3545">
        <v>3025187433</v>
      </c>
      <c r="N3545">
        <v>3532969034</v>
      </c>
      <c r="O3545" t="b">
        <v>0</v>
      </c>
      <c r="P3545">
        <v>1</v>
      </c>
      <c r="Q3545" t="str" cm="1">
        <f t="array" ref="Q3545">_xlfn.IFS(Table1[[#This Row],[Wealthier_Winner]]=-1,"Wealthier Nation Loses",Table1[[#This Row],[Wealthier_Winner]]=0,"Tie",Table1[[#This Row],[Wealthier_Winner]]=1,"Wealthier Nation Wins")</f>
        <v>Wealthier Nation Wins</v>
      </c>
    </row>
    <row r="3546" spans="1:17" x14ac:dyDescent="0.2">
      <c r="A3546" s="1">
        <v>5496</v>
      </c>
      <c r="B3546" s="2">
        <v>39621</v>
      </c>
      <c r="C3546" s="7">
        <f>_xlfn.FLOOR.MATH(Table1[[#This Row],[year]],10)</f>
        <v>2000</v>
      </c>
      <c r="D3546" t="s">
        <v>210</v>
      </c>
      <c r="E3546" t="s">
        <v>71</v>
      </c>
      <c r="F3546">
        <v>2</v>
      </c>
      <c r="G3546">
        <v>0</v>
      </c>
      <c r="H3546" t="s">
        <v>224</v>
      </c>
      <c r="I3546" t="s">
        <v>332</v>
      </c>
      <c r="J3546" t="s">
        <v>210</v>
      </c>
      <c r="K3546" t="b">
        <v>0</v>
      </c>
      <c r="L3546">
        <v>2008</v>
      </c>
      <c r="M3546">
        <v>406070949553</v>
      </c>
      <c r="N3546">
        <v>147379737229</v>
      </c>
      <c r="O3546" t="b">
        <v>1</v>
      </c>
      <c r="P3546">
        <v>1</v>
      </c>
      <c r="Q3546" t="str" cm="1">
        <f t="array" ref="Q3546">_xlfn.IFS(Table1[[#This Row],[Wealthier_Winner]]=-1,"Wealthier Nation Loses",Table1[[#This Row],[Wealthier_Winner]]=0,"Tie",Table1[[#This Row],[Wealthier_Winner]]=1,"Wealthier Nation Wins")</f>
        <v>Wealthier Nation Wins</v>
      </c>
    </row>
    <row r="3547" spans="1:17" x14ac:dyDescent="0.2">
      <c r="A3547" s="1">
        <v>5497</v>
      </c>
      <c r="B3547" s="2">
        <v>39621</v>
      </c>
      <c r="C3547" s="7">
        <f>_xlfn.FLOOR.MATH(Table1[[#This Row],[year]],10)</f>
        <v>2000</v>
      </c>
      <c r="D3547" t="s">
        <v>37</v>
      </c>
      <c r="E3547" t="s">
        <v>68</v>
      </c>
      <c r="F3547">
        <v>0</v>
      </c>
      <c r="G3547">
        <v>1</v>
      </c>
      <c r="H3547" t="s">
        <v>224</v>
      </c>
      <c r="I3547" t="s">
        <v>412</v>
      </c>
      <c r="J3547" t="s">
        <v>39</v>
      </c>
      <c r="K3547" t="b">
        <v>1</v>
      </c>
      <c r="L3547">
        <v>2008</v>
      </c>
      <c r="M3547">
        <v>131614434153</v>
      </c>
      <c r="N3547">
        <v>115270054945</v>
      </c>
      <c r="O3547" t="b">
        <v>0</v>
      </c>
      <c r="P3547">
        <v>-1</v>
      </c>
      <c r="Q3547" t="str" cm="1">
        <f t="array" ref="Q3547">_xlfn.IFS(Table1[[#This Row],[Wealthier_Winner]]=-1,"Wealthier Nation Loses",Table1[[#This Row],[Wealthier_Winner]]=0,"Tie",Table1[[#This Row],[Wealthier_Winner]]=1,"Wealthier Nation Wins")</f>
        <v>Wealthier Nation Loses</v>
      </c>
    </row>
    <row r="3548" spans="1:17" x14ac:dyDescent="0.2">
      <c r="A3548" s="1">
        <v>5499</v>
      </c>
      <c r="B3548" s="2">
        <v>39621</v>
      </c>
      <c r="C3548" s="7">
        <f>_xlfn.FLOOR.MATH(Table1[[#This Row],[year]],10)</f>
        <v>2000</v>
      </c>
      <c r="D3548" t="s">
        <v>51</v>
      </c>
      <c r="E3548" t="s">
        <v>361</v>
      </c>
      <c r="F3548">
        <v>1</v>
      </c>
      <c r="G3548">
        <v>0</v>
      </c>
      <c r="H3548" t="s">
        <v>224</v>
      </c>
      <c r="I3548" t="s">
        <v>143</v>
      </c>
      <c r="J3548" t="s">
        <v>51</v>
      </c>
      <c r="K3548" t="b">
        <v>0</v>
      </c>
      <c r="L3548">
        <v>2008</v>
      </c>
      <c r="M3548">
        <v>5106679115127</v>
      </c>
      <c r="N3548">
        <v>25710904255</v>
      </c>
      <c r="O3548" t="b">
        <v>1</v>
      </c>
      <c r="P3548">
        <v>1</v>
      </c>
      <c r="Q3548" t="str" cm="1">
        <f t="array" ref="Q3548">_xlfn.IFS(Table1[[#This Row],[Wealthier_Winner]]=-1,"Wealthier Nation Loses",Table1[[#This Row],[Wealthier_Winner]]=0,"Tie",Table1[[#This Row],[Wealthier_Winner]]=1,"Wealthier Nation Wins")</f>
        <v>Wealthier Nation Wins</v>
      </c>
    </row>
    <row r="3549" spans="1:17" x14ac:dyDescent="0.2">
      <c r="A3549" s="1">
        <v>5500</v>
      </c>
      <c r="B3549" s="2">
        <v>39621</v>
      </c>
      <c r="C3549" s="7">
        <f>_xlfn.FLOOR.MATH(Table1[[#This Row],[year]],10)</f>
        <v>2000</v>
      </c>
      <c r="D3549" t="s">
        <v>403</v>
      </c>
      <c r="E3549" t="s">
        <v>560</v>
      </c>
      <c r="F3549">
        <v>2</v>
      </c>
      <c r="G3549">
        <v>0</v>
      </c>
      <c r="H3549" t="s">
        <v>224</v>
      </c>
      <c r="I3549" t="s">
        <v>404</v>
      </c>
      <c r="J3549" t="s">
        <v>403</v>
      </c>
      <c r="K3549" t="b">
        <v>0</v>
      </c>
      <c r="L3549">
        <v>2008</v>
      </c>
      <c r="M3549">
        <v>22658715989</v>
      </c>
      <c r="N3549">
        <v>19271523178</v>
      </c>
      <c r="O3549" t="b">
        <v>0</v>
      </c>
      <c r="P3549">
        <v>1</v>
      </c>
      <c r="Q3549" t="str" cm="1">
        <f t="array" ref="Q3549">_xlfn.IFS(Table1[[#This Row],[Wealthier_Winner]]=-1,"Wealthier Nation Loses",Table1[[#This Row],[Wealthier_Winner]]=0,"Tie",Table1[[#This Row],[Wealthier_Winner]]=1,"Wealthier Nation Wins")</f>
        <v>Wealthier Nation Wins</v>
      </c>
    </row>
    <row r="3550" spans="1:17" x14ac:dyDescent="0.2">
      <c r="A3550" s="1">
        <v>5502</v>
      </c>
      <c r="B3550" s="2">
        <v>39621</v>
      </c>
      <c r="C3550" s="7">
        <f>_xlfn.FLOOR.MATH(Table1[[#This Row],[year]],10)</f>
        <v>2000</v>
      </c>
      <c r="D3550" t="s">
        <v>479</v>
      </c>
      <c r="E3550" t="s">
        <v>359</v>
      </c>
      <c r="F3550">
        <v>1</v>
      </c>
      <c r="G3550">
        <v>2</v>
      </c>
      <c r="H3550" t="s">
        <v>224</v>
      </c>
      <c r="I3550" t="s">
        <v>480</v>
      </c>
      <c r="J3550" t="s">
        <v>479</v>
      </c>
      <c r="K3550" t="b">
        <v>0</v>
      </c>
      <c r="L3550">
        <v>2008</v>
      </c>
      <c r="M3550">
        <v>29118916105</v>
      </c>
      <c r="N3550">
        <v>193617323539</v>
      </c>
      <c r="O3550" t="b">
        <v>1</v>
      </c>
      <c r="P3550">
        <v>1</v>
      </c>
      <c r="Q3550" t="str" cm="1">
        <f t="array" ref="Q3550">_xlfn.IFS(Table1[[#This Row],[Wealthier_Winner]]=-1,"Wealthier Nation Loses",Table1[[#This Row],[Wealthier_Winner]]=0,"Tie",Table1[[#This Row],[Wealthier_Winner]]=1,"Wealthier Nation Wins")</f>
        <v>Wealthier Nation Wins</v>
      </c>
    </row>
    <row r="3551" spans="1:17" x14ac:dyDescent="0.2">
      <c r="A3551" s="1">
        <v>5503</v>
      </c>
      <c r="B3551" s="2">
        <v>39621</v>
      </c>
      <c r="C3551" s="7">
        <f>_xlfn.FLOOR.MATH(Table1[[#This Row],[year]],10)</f>
        <v>2000</v>
      </c>
      <c r="D3551" t="s">
        <v>590</v>
      </c>
      <c r="E3551" t="s">
        <v>274</v>
      </c>
      <c r="F3551">
        <v>3</v>
      </c>
      <c r="G3551">
        <v>0</v>
      </c>
      <c r="H3551" t="s">
        <v>224</v>
      </c>
      <c r="I3551" t="s">
        <v>596</v>
      </c>
      <c r="J3551" t="s">
        <v>590</v>
      </c>
      <c r="K3551" t="b">
        <v>0</v>
      </c>
      <c r="L3551">
        <v>2008</v>
      </c>
      <c r="M3551">
        <v>11462490840</v>
      </c>
      <c r="N3551">
        <v>64833083257</v>
      </c>
      <c r="O3551" t="b">
        <v>1</v>
      </c>
      <c r="P3551">
        <v>-1</v>
      </c>
      <c r="Q3551" t="str" cm="1">
        <f t="array" ref="Q3551">_xlfn.IFS(Table1[[#This Row],[Wealthier_Winner]]=-1,"Wealthier Nation Loses",Table1[[#This Row],[Wealthier_Winner]]=0,"Tie",Table1[[#This Row],[Wealthier_Winner]]=1,"Wealthier Nation Wins")</f>
        <v>Wealthier Nation Loses</v>
      </c>
    </row>
    <row r="3552" spans="1:17" x14ac:dyDescent="0.2">
      <c r="A3552" s="1">
        <v>5504</v>
      </c>
      <c r="B3552" s="2">
        <v>39621</v>
      </c>
      <c r="C3552" s="7">
        <f>_xlfn.FLOOR.MATH(Table1[[#This Row],[year]],10)</f>
        <v>2000</v>
      </c>
      <c r="D3552" t="s">
        <v>300</v>
      </c>
      <c r="E3552" t="s">
        <v>410</v>
      </c>
      <c r="F3552">
        <v>3</v>
      </c>
      <c r="G3552">
        <v>0</v>
      </c>
      <c r="H3552" t="s">
        <v>224</v>
      </c>
      <c r="I3552" t="s">
        <v>299</v>
      </c>
      <c r="J3552" t="s">
        <v>300</v>
      </c>
      <c r="K3552" t="b">
        <v>0</v>
      </c>
      <c r="L3552">
        <v>2008</v>
      </c>
      <c r="M3552">
        <v>12920340964</v>
      </c>
      <c r="N3552">
        <v>10725137723</v>
      </c>
      <c r="O3552" t="b">
        <v>0</v>
      </c>
      <c r="P3552">
        <v>1</v>
      </c>
      <c r="Q3552" t="str" cm="1">
        <f t="array" ref="Q3552">_xlfn.IFS(Table1[[#This Row],[Wealthier_Winner]]=-1,"Wealthier Nation Loses",Table1[[#This Row],[Wealthier_Winner]]=0,"Tie",Table1[[#This Row],[Wealthier_Winner]]=1,"Wealthier Nation Wins")</f>
        <v>Wealthier Nation Wins</v>
      </c>
    </row>
    <row r="3553" spans="1:17" x14ac:dyDescent="0.2">
      <c r="A3553" s="1">
        <v>5505</v>
      </c>
      <c r="B3553" s="2">
        <v>39621</v>
      </c>
      <c r="C3553" s="7">
        <f>_xlfn.FLOOR.MATH(Table1[[#This Row],[year]],10)</f>
        <v>2000</v>
      </c>
      <c r="D3553" t="s">
        <v>429</v>
      </c>
      <c r="E3553" t="s">
        <v>334</v>
      </c>
      <c r="F3553">
        <v>2</v>
      </c>
      <c r="G3553">
        <v>1</v>
      </c>
      <c r="H3553" t="s">
        <v>224</v>
      </c>
      <c r="I3553" t="s">
        <v>430</v>
      </c>
      <c r="J3553" t="s">
        <v>429</v>
      </c>
      <c r="K3553" t="b">
        <v>0</v>
      </c>
      <c r="L3553">
        <v>2008</v>
      </c>
      <c r="M3553">
        <v>69804681404</v>
      </c>
      <c r="N3553">
        <v>291382982430</v>
      </c>
      <c r="O3553" t="b">
        <v>1</v>
      </c>
      <c r="P3553">
        <v>-1</v>
      </c>
      <c r="Q3553" t="str" cm="1">
        <f t="array" ref="Q3553">_xlfn.IFS(Table1[[#This Row],[Wealthier_Winner]]=-1,"Wealthier Nation Loses",Table1[[#This Row],[Wealthier_Winner]]=0,"Tie",Table1[[#This Row],[Wealthier_Winner]]=1,"Wealthier Nation Wins")</f>
        <v>Wealthier Nation Loses</v>
      </c>
    </row>
    <row r="3554" spans="1:17" x14ac:dyDescent="0.2">
      <c r="A3554" s="1">
        <v>5506</v>
      </c>
      <c r="B3554" s="2">
        <v>39621</v>
      </c>
      <c r="C3554" s="7">
        <f>_xlfn.FLOOR.MATH(Table1[[#This Row],[year]],10)</f>
        <v>2000</v>
      </c>
      <c r="D3554" t="s">
        <v>45</v>
      </c>
      <c r="E3554" t="s">
        <v>563</v>
      </c>
      <c r="F3554">
        <v>4</v>
      </c>
      <c r="G3554">
        <v>0</v>
      </c>
      <c r="H3554" t="s">
        <v>224</v>
      </c>
      <c r="I3554" t="s">
        <v>356</v>
      </c>
      <c r="J3554" t="s">
        <v>45</v>
      </c>
      <c r="K3554" t="b">
        <v>0</v>
      </c>
      <c r="L3554">
        <v>2008</v>
      </c>
      <c r="M3554">
        <v>519796800000</v>
      </c>
      <c r="N3554">
        <v>29549438883</v>
      </c>
      <c r="O3554" t="b">
        <v>1</v>
      </c>
      <c r="P3554">
        <v>1</v>
      </c>
      <c r="Q3554" t="str" cm="1">
        <f t="array" ref="Q3554">_xlfn.IFS(Table1[[#This Row],[Wealthier_Winner]]=-1,"Wealthier Nation Loses",Table1[[#This Row],[Wealthier_Winner]]=0,"Tie",Table1[[#This Row],[Wealthier_Winner]]=1,"Wealthier Nation Wins")</f>
        <v>Wealthier Nation Wins</v>
      </c>
    </row>
    <row r="3555" spans="1:17" x14ac:dyDescent="0.2">
      <c r="A3555" s="1">
        <v>5507</v>
      </c>
      <c r="B3555" s="2">
        <v>39621</v>
      </c>
      <c r="C3555" s="7">
        <f>_xlfn.FLOOR.MATH(Table1[[#This Row],[year]],10)</f>
        <v>2000</v>
      </c>
      <c r="D3555" t="s">
        <v>39</v>
      </c>
      <c r="E3555" t="s">
        <v>331</v>
      </c>
      <c r="F3555">
        <v>1</v>
      </c>
      <c r="G3555">
        <v>3</v>
      </c>
      <c r="H3555" t="s">
        <v>224</v>
      </c>
      <c r="I3555" t="s">
        <v>478</v>
      </c>
      <c r="J3555" t="s">
        <v>39</v>
      </c>
      <c r="K3555" t="b">
        <v>0</v>
      </c>
      <c r="L3555">
        <v>2008</v>
      </c>
      <c r="M3555">
        <v>315474615738</v>
      </c>
      <c r="N3555">
        <v>52557913568</v>
      </c>
      <c r="O3555" t="b">
        <v>1</v>
      </c>
      <c r="P3555">
        <v>-1</v>
      </c>
      <c r="Q3555" t="str" cm="1">
        <f t="array" ref="Q3555">_xlfn.IFS(Table1[[#This Row],[Wealthier_Winner]]=-1,"Wealthier Nation Loses",Table1[[#This Row],[Wealthier_Winner]]=0,"Tie",Table1[[#This Row],[Wealthier_Winner]]=1,"Wealthier Nation Wins")</f>
        <v>Wealthier Nation Loses</v>
      </c>
    </row>
    <row r="3556" spans="1:17" x14ac:dyDescent="0.2">
      <c r="A3556" s="1">
        <v>5508</v>
      </c>
      <c r="B3556" s="2">
        <v>39621</v>
      </c>
      <c r="C3556" s="7">
        <f>_xlfn.FLOOR.MATH(Table1[[#This Row],[year]],10)</f>
        <v>2000</v>
      </c>
      <c r="D3556" t="s">
        <v>298</v>
      </c>
      <c r="E3556" t="s">
        <v>314</v>
      </c>
      <c r="F3556">
        <v>0</v>
      </c>
      <c r="G3556">
        <v>0</v>
      </c>
      <c r="H3556" t="s">
        <v>224</v>
      </c>
      <c r="I3556" t="s">
        <v>377</v>
      </c>
      <c r="J3556" t="s">
        <v>298</v>
      </c>
      <c r="K3556" t="b">
        <v>0</v>
      </c>
      <c r="L3556">
        <v>2008</v>
      </c>
      <c r="M3556">
        <v>4418000000</v>
      </c>
      <c r="N3556">
        <v>35895153327</v>
      </c>
      <c r="O3556" t="b">
        <v>1</v>
      </c>
      <c r="P3556">
        <v>0</v>
      </c>
      <c r="Q3556" t="str" cm="1">
        <f t="array" ref="Q3556">_xlfn.IFS(Table1[[#This Row],[Wealthier_Winner]]=-1,"Wealthier Nation Loses",Table1[[#This Row],[Wealthier_Winner]]=0,"Tie",Table1[[#This Row],[Wealthier_Winner]]=1,"Wealthier Nation Wins")</f>
        <v>Tie</v>
      </c>
    </row>
    <row r="3557" spans="1:17" x14ac:dyDescent="0.2">
      <c r="A3557" s="1">
        <v>5509</v>
      </c>
      <c r="B3557" s="2">
        <v>39622</v>
      </c>
      <c r="C3557" s="7">
        <f>_xlfn.FLOOR.MATH(Table1[[#This Row],[year]],10)</f>
        <v>2000</v>
      </c>
      <c r="D3557" t="s">
        <v>60</v>
      </c>
      <c r="E3557" t="s">
        <v>357</v>
      </c>
      <c r="F3557">
        <v>0</v>
      </c>
      <c r="G3557">
        <v>0</v>
      </c>
      <c r="H3557" t="s">
        <v>224</v>
      </c>
      <c r="I3557" t="s">
        <v>396</v>
      </c>
      <c r="J3557" t="s">
        <v>60</v>
      </c>
      <c r="K3557" t="b">
        <v>0</v>
      </c>
      <c r="L3557">
        <v>2008</v>
      </c>
      <c r="M3557">
        <v>98790432989</v>
      </c>
      <c r="N3557">
        <v>14440404132</v>
      </c>
      <c r="O3557" t="b">
        <v>1</v>
      </c>
      <c r="P3557">
        <v>0</v>
      </c>
      <c r="Q3557" t="str" cm="1">
        <f t="array" ref="Q3557">_xlfn.IFS(Table1[[#This Row],[Wealthier_Winner]]=-1,"Wealthier Nation Loses",Table1[[#This Row],[Wealthier_Winner]]=0,"Tie",Table1[[#This Row],[Wealthier_Winner]]=1,"Wealthier Nation Wins")</f>
        <v>Tie</v>
      </c>
    </row>
    <row r="3558" spans="1:17" x14ac:dyDescent="0.2">
      <c r="A3558" s="1">
        <v>5510</v>
      </c>
      <c r="B3558" s="2">
        <v>39627</v>
      </c>
      <c r="C3558" s="7">
        <f>_xlfn.FLOOR.MATH(Table1[[#This Row],[year]],10)</f>
        <v>2000</v>
      </c>
      <c r="D3558" t="s">
        <v>433</v>
      </c>
      <c r="E3558" t="s">
        <v>307</v>
      </c>
      <c r="F3558">
        <v>2</v>
      </c>
      <c r="G3558">
        <v>0</v>
      </c>
      <c r="H3558" t="s">
        <v>224</v>
      </c>
      <c r="I3558" t="s">
        <v>436</v>
      </c>
      <c r="J3558" t="s">
        <v>433</v>
      </c>
      <c r="K3558" t="b">
        <v>0</v>
      </c>
      <c r="L3558">
        <v>2008</v>
      </c>
      <c r="M3558">
        <v>15571348344</v>
      </c>
      <c r="N3558">
        <v>1766902709</v>
      </c>
      <c r="O3558" t="b">
        <v>1</v>
      </c>
      <c r="P3558">
        <v>1</v>
      </c>
      <c r="Q3558" t="str" cm="1">
        <f t="array" ref="Q3558">_xlfn.IFS(Table1[[#This Row],[Wealthier_Winner]]=-1,"Wealthier Nation Loses",Table1[[#This Row],[Wealthier_Winner]]=0,"Tie",Table1[[#This Row],[Wealthier_Winner]]=1,"Wealthier Nation Wins")</f>
        <v>Wealthier Nation Wins</v>
      </c>
    </row>
    <row r="3559" spans="1:17" x14ac:dyDescent="0.2">
      <c r="A3559" s="1">
        <v>5511</v>
      </c>
      <c r="B3559" s="2">
        <v>39680</v>
      </c>
      <c r="C3559" s="7">
        <f>_xlfn.FLOOR.MATH(Table1[[#This Row],[year]],10)</f>
        <v>2000</v>
      </c>
      <c r="D3559" t="s">
        <v>34</v>
      </c>
      <c r="E3559" t="s">
        <v>49</v>
      </c>
      <c r="F3559">
        <v>1</v>
      </c>
      <c r="G3559">
        <v>1</v>
      </c>
      <c r="H3559" t="s">
        <v>224</v>
      </c>
      <c r="I3559" t="s">
        <v>267</v>
      </c>
      <c r="J3559" t="s">
        <v>34</v>
      </c>
      <c r="K3559" t="b">
        <v>0</v>
      </c>
      <c r="L3559">
        <v>2008</v>
      </c>
      <c r="M3559">
        <v>1552989690721</v>
      </c>
      <c r="N3559">
        <v>13709401520</v>
      </c>
      <c r="O3559" t="b">
        <v>1</v>
      </c>
      <c r="P3559">
        <v>0</v>
      </c>
      <c r="Q3559" t="str" cm="1">
        <f t="array" ref="Q3559">_xlfn.IFS(Table1[[#This Row],[Wealthier_Winner]]=-1,"Wealthier Nation Loses",Table1[[#This Row],[Wealthier_Winner]]=0,"Tie",Table1[[#This Row],[Wealthier_Winner]]=1,"Wealthier Nation Wins")</f>
        <v>Tie</v>
      </c>
    </row>
    <row r="3560" spans="1:17" x14ac:dyDescent="0.2">
      <c r="A3560" s="1">
        <v>5512</v>
      </c>
      <c r="B3560" s="2">
        <v>39680</v>
      </c>
      <c r="C3560" s="7">
        <f>_xlfn.FLOOR.MATH(Table1[[#This Row],[year]],10)</f>
        <v>2000</v>
      </c>
      <c r="D3560" t="s">
        <v>56</v>
      </c>
      <c r="E3560" t="s">
        <v>69</v>
      </c>
      <c r="F3560">
        <v>1</v>
      </c>
      <c r="G3560">
        <v>0</v>
      </c>
      <c r="H3560" t="s">
        <v>224</v>
      </c>
      <c r="I3560" t="s">
        <v>225</v>
      </c>
      <c r="J3560" t="s">
        <v>56</v>
      </c>
      <c r="K3560" t="b">
        <v>0</v>
      </c>
      <c r="L3560">
        <v>2008</v>
      </c>
      <c r="M3560">
        <v>30801745700</v>
      </c>
      <c r="N3560">
        <v>17986890000</v>
      </c>
      <c r="O3560" t="b">
        <v>0</v>
      </c>
      <c r="P3560">
        <v>1</v>
      </c>
      <c r="Q3560" t="str" cm="1">
        <f t="array" ref="Q3560">_xlfn.IFS(Table1[[#This Row],[Wealthier_Winner]]=-1,"Wealthier Nation Loses",Table1[[#This Row],[Wealthier_Winner]]=0,"Tie",Table1[[#This Row],[Wealthier_Winner]]=1,"Wealthier Nation Wins")</f>
        <v>Wealthier Nation Wins</v>
      </c>
    </row>
    <row r="3561" spans="1:17" x14ac:dyDescent="0.2">
      <c r="A3561" s="1">
        <v>5513</v>
      </c>
      <c r="B3561" s="2">
        <v>39680</v>
      </c>
      <c r="C3561" s="7">
        <f>_xlfn.FLOOR.MATH(Table1[[#This Row],[year]],10)</f>
        <v>2000</v>
      </c>
      <c r="D3561" t="s">
        <v>517</v>
      </c>
      <c r="E3561" t="s">
        <v>59</v>
      </c>
      <c r="F3561">
        <v>1</v>
      </c>
      <c r="G3561">
        <v>3</v>
      </c>
      <c r="H3561" t="s">
        <v>224</v>
      </c>
      <c r="I3561" t="s">
        <v>580</v>
      </c>
      <c r="J3561" t="s">
        <v>517</v>
      </c>
      <c r="K3561" t="b">
        <v>0</v>
      </c>
      <c r="L3561">
        <v>2008</v>
      </c>
      <c r="M3561">
        <v>56302129629</v>
      </c>
      <c r="N3561">
        <v>27871587349</v>
      </c>
      <c r="O3561" t="b">
        <v>1</v>
      </c>
      <c r="P3561">
        <v>-1</v>
      </c>
      <c r="Q3561" t="str" cm="1">
        <f t="array" ref="Q3561">_xlfn.IFS(Table1[[#This Row],[Wealthier_Winner]]=-1,"Wealthier Nation Loses",Table1[[#This Row],[Wealthier_Winner]]=0,"Tie",Table1[[#This Row],[Wealthier_Winner]]=1,"Wealthier Nation Wins")</f>
        <v>Wealthier Nation Loses</v>
      </c>
    </row>
    <row r="3562" spans="1:17" x14ac:dyDescent="0.2">
      <c r="A3562" s="1">
        <v>5514</v>
      </c>
      <c r="B3562" s="2">
        <v>39680</v>
      </c>
      <c r="C3562" s="7">
        <f>_xlfn.FLOOR.MATH(Table1[[#This Row],[year]],10)</f>
        <v>2000</v>
      </c>
      <c r="D3562" t="s">
        <v>223</v>
      </c>
      <c r="E3562" t="s">
        <v>41</v>
      </c>
      <c r="F3562">
        <v>0</v>
      </c>
      <c r="G3562">
        <v>1</v>
      </c>
      <c r="H3562" t="s">
        <v>224</v>
      </c>
      <c r="I3562" t="s">
        <v>227</v>
      </c>
      <c r="J3562" t="s">
        <v>223</v>
      </c>
      <c r="K3562" t="b">
        <v>0</v>
      </c>
      <c r="L3562">
        <v>2008</v>
      </c>
      <c r="M3562">
        <v>38503720224</v>
      </c>
      <c r="N3562">
        <v>14769857911000</v>
      </c>
      <c r="O3562" t="b">
        <v>1</v>
      </c>
      <c r="P3562">
        <v>1</v>
      </c>
      <c r="Q3562" t="str" cm="1">
        <f t="array" ref="Q3562">_xlfn.IFS(Table1[[#This Row],[Wealthier_Winner]]=-1,"Wealthier Nation Loses",Table1[[#This Row],[Wealthier_Winner]]=0,"Tie",Table1[[#This Row],[Wealthier_Winner]]=1,"Wealthier Nation Wins")</f>
        <v>Wealthier Nation Wins</v>
      </c>
    </row>
    <row r="3563" spans="1:17" x14ac:dyDescent="0.2">
      <c r="A3563" s="1">
        <v>5515</v>
      </c>
      <c r="B3563" s="2">
        <v>39680</v>
      </c>
      <c r="C3563" s="7">
        <f>_xlfn.FLOOR.MATH(Table1[[#This Row],[year]],10)</f>
        <v>2000</v>
      </c>
      <c r="D3563" t="s">
        <v>70</v>
      </c>
      <c r="E3563" t="s">
        <v>252</v>
      </c>
      <c r="F3563">
        <v>2</v>
      </c>
      <c r="G3563">
        <v>2</v>
      </c>
      <c r="H3563" t="s">
        <v>224</v>
      </c>
      <c r="I3563" t="s">
        <v>280</v>
      </c>
      <c r="J3563" t="s">
        <v>70</v>
      </c>
      <c r="K3563" t="b">
        <v>0</v>
      </c>
      <c r="L3563">
        <v>2008</v>
      </c>
      <c r="M3563">
        <v>10432962634</v>
      </c>
      <c r="N3563">
        <v>3532969034</v>
      </c>
      <c r="O3563" t="b">
        <v>1</v>
      </c>
      <c r="P3563">
        <v>0</v>
      </c>
      <c r="Q3563" t="str" cm="1">
        <f t="array" ref="Q3563">_xlfn.IFS(Table1[[#This Row],[Wealthier_Winner]]=-1,"Wealthier Nation Loses",Table1[[#This Row],[Wealthier_Winner]]=0,"Tie",Table1[[#This Row],[Wealthier_Winner]]=1,"Wealthier Nation Wins")</f>
        <v>Tie</v>
      </c>
    </row>
    <row r="3564" spans="1:17" x14ac:dyDescent="0.2">
      <c r="A3564" s="1">
        <v>5516</v>
      </c>
      <c r="B3564" s="2">
        <v>39680</v>
      </c>
      <c r="C3564" s="7">
        <f>_xlfn.FLOOR.MATH(Table1[[#This Row],[year]],10)</f>
        <v>2000</v>
      </c>
      <c r="D3564" t="s">
        <v>558</v>
      </c>
      <c r="E3564" t="s">
        <v>601</v>
      </c>
      <c r="F3564">
        <v>3</v>
      </c>
      <c r="G3564">
        <v>0</v>
      </c>
      <c r="H3564" t="s">
        <v>224</v>
      </c>
      <c r="I3564" t="s">
        <v>559</v>
      </c>
      <c r="J3564" t="s">
        <v>558</v>
      </c>
      <c r="K3564" t="b">
        <v>0</v>
      </c>
      <c r="L3564">
        <v>2008</v>
      </c>
      <c r="M3564">
        <v>133441648851</v>
      </c>
      <c r="N3564">
        <v>4102317468</v>
      </c>
      <c r="O3564" t="b">
        <v>1</v>
      </c>
      <c r="P3564">
        <v>1</v>
      </c>
      <c r="Q3564" t="str" cm="1">
        <f t="array" ref="Q3564">_xlfn.IFS(Table1[[#This Row],[Wealthier_Winner]]=-1,"Wealthier Nation Loses",Table1[[#This Row],[Wealthier_Winner]]=0,"Tie",Table1[[#This Row],[Wealthier_Winner]]=1,"Wealthier Nation Wins")</f>
        <v>Wealthier Nation Wins</v>
      </c>
    </row>
    <row r="3565" spans="1:17" x14ac:dyDescent="0.2">
      <c r="A3565" s="1">
        <v>5517</v>
      </c>
      <c r="B3565" s="2">
        <v>39680</v>
      </c>
      <c r="C3565" s="7">
        <f>_xlfn.FLOOR.MATH(Table1[[#This Row],[year]],10)</f>
        <v>2000</v>
      </c>
      <c r="D3565" t="s">
        <v>17</v>
      </c>
      <c r="E3565" t="s">
        <v>65</v>
      </c>
      <c r="F3565">
        <v>2</v>
      </c>
      <c r="G3565">
        <v>1</v>
      </c>
      <c r="H3565" t="s">
        <v>224</v>
      </c>
      <c r="I3565" t="s">
        <v>83</v>
      </c>
      <c r="J3565" t="s">
        <v>17</v>
      </c>
      <c r="K3565" t="b">
        <v>0</v>
      </c>
      <c r="L3565">
        <v>2008</v>
      </c>
      <c r="M3565">
        <v>1161553459715</v>
      </c>
      <c r="N3565">
        <v>13881731875</v>
      </c>
      <c r="O3565" t="b">
        <v>1</v>
      </c>
      <c r="P3565">
        <v>1</v>
      </c>
      <c r="Q3565" t="str" cm="1">
        <f t="array" ref="Q3565">_xlfn.IFS(Table1[[#This Row],[Wealthier_Winner]]=-1,"Wealthier Nation Loses",Table1[[#This Row],[Wealthier_Winner]]=0,"Tie",Table1[[#This Row],[Wealthier_Winner]]=1,"Wealthier Nation Wins")</f>
        <v>Wealthier Nation Wins</v>
      </c>
    </row>
    <row r="3566" spans="1:17" x14ac:dyDescent="0.2">
      <c r="A3566" s="1">
        <v>5518</v>
      </c>
      <c r="B3566" s="2">
        <v>39696</v>
      </c>
      <c r="C3566" s="7">
        <f>_xlfn.FLOOR.MATH(Table1[[#This Row],[year]],10)</f>
        <v>2000</v>
      </c>
      <c r="D3566" t="s">
        <v>32</v>
      </c>
      <c r="E3566" t="s">
        <v>54</v>
      </c>
      <c r="F3566">
        <v>3</v>
      </c>
      <c r="G3566">
        <v>2</v>
      </c>
      <c r="H3566" t="s">
        <v>224</v>
      </c>
      <c r="I3566" t="s">
        <v>697</v>
      </c>
      <c r="J3566" t="s">
        <v>32</v>
      </c>
      <c r="K3566" t="b">
        <v>0</v>
      </c>
      <c r="L3566">
        <v>2008</v>
      </c>
      <c r="M3566">
        <v>180383848331</v>
      </c>
      <c r="N3566">
        <v>16853989627</v>
      </c>
      <c r="O3566" t="b">
        <v>1</v>
      </c>
      <c r="P3566">
        <v>1</v>
      </c>
      <c r="Q3566" t="str" cm="1">
        <f t="array" ref="Q3566">_xlfn.IFS(Table1[[#This Row],[Wealthier_Winner]]=-1,"Wealthier Nation Loses",Table1[[#This Row],[Wealthier_Winner]]=0,"Tie",Table1[[#This Row],[Wealthier_Winner]]=1,"Wealthier Nation Wins")</f>
        <v>Wealthier Nation Wins</v>
      </c>
    </row>
    <row r="3567" spans="1:17" x14ac:dyDescent="0.2">
      <c r="A3567" s="1">
        <v>5519</v>
      </c>
      <c r="B3567" s="2">
        <v>39696</v>
      </c>
      <c r="C3567" s="7">
        <f>_xlfn.FLOOR.MATH(Table1[[#This Row],[year]],10)</f>
        <v>2000</v>
      </c>
      <c r="D3567" t="s">
        <v>694</v>
      </c>
      <c r="E3567" t="s">
        <v>370</v>
      </c>
      <c r="F3567">
        <v>0</v>
      </c>
      <c r="G3567">
        <v>3</v>
      </c>
      <c r="H3567" t="s">
        <v>224</v>
      </c>
      <c r="I3567" t="s">
        <v>694</v>
      </c>
      <c r="J3567" t="s">
        <v>694</v>
      </c>
      <c r="K3567" t="b">
        <v>0</v>
      </c>
      <c r="L3567">
        <v>2008</v>
      </c>
      <c r="M3567">
        <v>999105339</v>
      </c>
      <c r="N3567">
        <v>7743617352</v>
      </c>
      <c r="O3567" t="b">
        <v>1</v>
      </c>
      <c r="P3567">
        <v>1</v>
      </c>
      <c r="Q3567" t="str" cm="1">
        <f t="array" ref="Q3567">_xlfn.IFS(Table1[[#This Row],[Wealthier_Winner]]=-1,"Wealthier Nation Loses",Table1[[#This Row],[Wealthier_Winner]]=0,"Tie",Table1[[#This Row],[Wealthier_Winner]]=1,"Wealthier Nation Wins")</f>
        <v>Wealthier Nation Wins</v>
      </c>
    </row>
    <row r="3568" spans="1:17" x14ac:dyDescent="0.2">
      <c r="A3568" s="1">
        <v>5520</v>
      </c>
      <c r="B3568" s="2">
        <v>39696</v>
      </c>
      <c r="C3568" s="7">
        <f>_xlfn.FLOOR.MATH(Table1[[#This Row],[year]],10)</f>
        <v>2000</v>
      </c>
      <c r="D3568" t="s">
        <v>286</v>
      </c>
      <c r="E3568" t="s">
        <v>63</v>
      </c>
      <c r="F3568">
        <v>1</v>
      </c>
      <c r="G3568">
        <v>0</v>
      </c>
      <c r="H3568" t="s">
        <v>224</v>
      </c>
      <c r="I3568" t="s">
        <v>287</v>
      </c>
      <c r="J3568" t="s">
        <v>286</v>
      </c>
      <c r="K3568" t="b">
        <v>0</v>
      </c>
      <c r="L3568">
        <v>2008</v>
      </c>
      <c r="M3568">
        <v>86710767415</v>
      </c>
      <c r="N3568">
        <v>28679383241</v>
      </c>
      <c r="O3568" t="b">
        <v>1</v>
      </c>
      <c r="P3568">
        <v>1</v>
      </c>
      <c r="Q3568" t="str" cm="1">
        <f t="array" ref="Q3568">_xlfn.IFS(Table1[[#This Row],[Wealthier_Winner]]=-1,"Wealthier Nation Loses",Table1[[#This Row],[Wealthier_Winner]]=0,"Tie",Table1[[#This Row],[Wealthier_Winner]]=1,"Wealthier Nation Wins")</f>
        <v>Wealthier Nation Wins</v>
      </c>
    </row>
    <row r="3569" spans="1:17" x14ac:dyDescent="0.2">
      <c r="A3569" s="1">
        <v>5521</v>
      </c>
      <c r="B3569" s="2">
        <v>39697</v>
      </c>
      <c r="C3569" s="7">
        <f>_xlfn.FLOOR.MATH(Table1[[#This Row],[year]],10)</f>
        <v>2000</v>
      </c>
      <c r="D3569" t="s">
        <v>373</v>
      </c>
      <c r="E3569" t="s">
        <v>25</v>
      </c>
      <c r="F3569">
        <v>0</v>
      </c>
      <c r="G3569">
        <v>0</v>
      </c>
      <c r="H3569" t="s">
        <v>224</v>
      </c>
      <c r="I3569" t="s">
        <v>374</v>
      </c>
      <c r="J3569" t="s">
        <v>373</v>
      </c>
      <c r="K3569" t="b">
        <v>0</v>
      </c>
      <c r="L3569">
        <v>2008</v>
      </c>
      <c r="M3569">
        <v>13258506375</v>
      </c>
      <c r="N3569">
        <v>514614100832</v>
      </c>
      <c r="O3569" t="b">
        <v>1</v>
      </c>
      <c r="P3569">
        <v>0</v>
      </c>
      <c r="Q3569" t="str" cm="1">
        <f t="array" ref="Q3569">_xlfn.IFS(Table1[[#This Row],[Wealthier_Winner]]=-1,"Wealthier Nation Loses",Table1[[#This Row],[Wealthier_Winner]]=0,"Tie",Table1[[#This Row],[Wealthier_Winner]]=1,"Wealthier Nation Wins")</f>
        <v>Tie</v>
      </c>
    </row>
    <row r="3570" spans="1:17" x14ac:dyDescent="0.2">
      <c r="A3570" s="1">
        <v>5522</v>
      </c>
      <c r="B3570" s="2">
        <v>39697</v>
      </c>
      <c r="C3570" s="7">
        <f>_xlfn.FLOOR.MATH(Table1[[#This Row],[year]],10)</f>
        <v>2000</v>
      </c>
      <c r="D3570" t="s">
        <v>601</v>
      </c>
      <c r="E3570" t="s">
        <v>194</v>
      </c>
      <c r="F3570">
        <v>0</v>
      </c>
      <c r="G3570">
        <v>2</v>
      </c>
      <c r="H3570" t="s">
        <v>224</v>
      </c>
      <c r="I3570" t="s">
        <v>97</v>
      </c>
      <c r="J3570" t="s">
        <v>21</v>
      </c>
      <c r="K3570" t="b">
        <v>1</v>
      </c>
      <c r="L3570">
        <v>2008</v>
      </c>
      <c r="M3570">
        <v>4102317468</v>
      </c>
      <c r="N3570">
        <v>2945251838235</v>
      </c>
      <c r="O3570" t="b">
        <v>1</v>
      </c>
      <c r="P3570">
        <v>1</v>
      </c>
      <c r="Q3570" t="str" cm="1">
        <f t="array" ref="Q3570">_xlfn.IFS(Table1[[#This Row],[Wealthier_Winner]]=-1,"Wealthier Nation Loses",Table1[[#This Row],[Wealthier_Winner]]=0,"Tie",Table1[[#This Row],[Wealthier_Winner]]=1,"Wealthier Nation Wins")</f>
        <v>Wealthier Nation Wins</v>
      </c>
    </row>
    <row r="3571" spans="1:17" x14ac:dyDescent="0.2">
      <c r="A3571" s="1">
        <v>5523</v>
      </c>
      <c r="B3571" s="2">
        <v>39697</v>
      </c>
      <c r="C3571" s="7">
        <f>_xlfn.FLOOR.MATH(Table1[[#This Row],[year]],10)</f>
        <v>2000</v>
      </c>
      <c r="D3571" t="s">
        <v>19</v>
      </c>
      <c r="E3571" t="s">
        <v>35</v>
      </c>
      <c r="F3571">
        <v>1</v>
      </c>
      <c r="G3571">
        <v>1</v>
      </c>
      <c r="H3571" t="s">
        <v>224</v>
      </c>
      <c r="I3571" t="s">
        <v>93</v>
      </c>
      <c r="J3571" t="s">
        <v>19</v>
      </c>
      <c r="K3571" t="b">
        <v>0</v>
      </c>
      <c r="L3571">
        <v>2008</v>
      </c>
      <c r="M3571">
        <v>361558037110</v>
      </c>
      <c r="N3571">
        <v>24615267663</v>
      </c>
      <c r="O3571" t="b">
        <v>1</v>
      </c>
      <c r="P3571">
        <v>0</v>
      </c>
      <c r="Q3571" t="str" cm="1">
        <f t="array" ref="Q3571">_xlfn.IFS(Table1[[#This Row],[Wealthier_Winner]]=-1,"Wealthier Nation Loses",Table1[[#This Row],[Wealthier_Winner]]=0,"Tie",Table1[[#This Row],[Wealthier_Winner]]=1,"Wealthier Nation Wins")</f>
        <v>Tie</v>
      </c>
    </row>
    <row r="3572" spans="1:17" x14ac:dyDescent="0.2">
      <c r="A3572" s="1">
        <v>5525</v>
      </c>
      <c r="B3572" s="2">
        <v>39697</v>
      </c>
      <c r="C3572" s="7">
        <f>_xlfn.FLOOR.MATH(Table1[[#This Row],[year]],10)</f>
        <v>2000</v>
      </c>
      <c r="D3572" t="s">
        <v>29</v>
      </c>
      <c r="E3572" t="s">
        <v>20</v>
      </c>
      <c r="F3572">
        <v>3</v>
      </c>
      <c r="G3572">
        <v>1</v>
      </c>
      <c r="H3572" t="s">
        <v>224</v>
      </c>
      <c r="I3572" t="s">
        <v>270</v>
      </c>
      <c r="J3572" t="s">
        <v>29</v>
      </c>
      <c r="K3572" t="b">
        <v>0</v>
      </c>
      <c r="L3572">
        <v>2008</v>
      </c>
      <c r="M3572">
        <v>429234399096</v>
      </c>
      <c r="N3572">
        <v>2926802941585</v>
      </c>
      <c r="O3572" t="b">
        <v>1</v>
      </c>
      <c r="P3572">
        <v>-1</v>
      </c>
      <c r="Q3572" t="str" cm="1">
        <f t="array" ref="Q3572">_xlfn.IFS(Table1[[#This Row],[Wealthier_Winner]]=-1,"Wealthier Nation Loses",Table1[[#This Row],[Wealthier_Winner]]=0,"Tie",Table1[[#This Row],[Wealthier_Winner]]=1,"Wealthier Nation Wins")</f>
        <v>Wealthier Nation Loses</v>
      </c>
    </row>
    <row r="3573" spans="1:17" x14ac:dyDescent="0.2">
      <c r="A3573" s="1">
        <v>5526</v>
      </c>
      <c r="B3573" s="2">
        <v>39697</v>
      </c>
      <c r="C3573" s="7">
        <f>_xlfn.FLOOR.MATH(Table1[[#This Row],[year]],10)</f>
        <v>2000</v>
      </c>
      <c r="D3573" t="s">
        <v>361</v>
      </c>
      <c r="E3573" t="s">
        <v>51</v>
      </c>
      <c r="F3573">
        <v>2</v>
      </c>
      <c r="G3573">
        <v>3</v>
      </c>
      <c r="H3573" t="s">
        <v>224</v>
      </c>
      <c r="I3573" t="s">
        <v>419</v>
      </c>
      <c r="J3573" t="s">
        <v>361</v>
      </c>
      <c r="K3573" t="b">
        <v>0</v>
      </c>
      <c r="L3573">
        <v>2008</v>
      </c>
      <c r="M3573">
        <v>25710904255</v>
      </c>
      <c r="N3573">
        <v>5106679115127</v>
      </c>
      <c r="O3573" t="b">
        <v>1</v>
      </c>
      <c r="P3573">
        <v>1</v>
      </c>
      <c r="Q3573" t="str" cm="1">
        <f t="array" ref="Q3573">_xlfn.IFS(Table1[[#This Row],[Wealthier_Winner]]=-1,"Wealthier Nation Loses",Table1[[#This Row],[Wealthier_Winner]]=0,"Tie",Table1[[#This Row],[Wealthier_Winner]]=1,"Wealthier Nation Wins")</f>
        <v>Wealthier Nation Wins</v>
      </c>
    </row>
    <row r="3574" spans="1:17" x14ac:dyDescent="0.2">
      <c r="A3574" s="1">
        <v>5527</v>
      </c>
      <c r="B3574" s="2">
        <v>39697</v>
      </c>
      <c r="C3574" s="7">
        <f>_xlfn.FLOOR.MATH(Table1[[#This Row],[year]],10)</f>
        <v>2000</v>
      </c>
      <c r="D3574" t="s">
        <v>23</v>
      </c>
      <c r="E3574" t="s">
        <v>476</v>
      </c>
      <c r="F3574">
        <v>3</v>
      </c>
      <c r="G3574">
        <v>2</v>
      </c>
      <c r="H3574" t="s">
        <v>224</v>
      </c>
      <c r="I3574" t="s">
        <v>290</v>
      </c>
      <c r="J3574" t="s">
        <v>23</v>
      </c>
      <c r="K3574" t="b">
        <v>0</v>
      </c>
      <c r="L3574">
        <v>2008</v>
      </c>
      <c r="M3574">
        <v>517328087920</v>
      </c>
      <c r="N3574">
        <v>24342935403</v>
      </c>
      <c r="O3574" t="b">
        <v>1</v>
      </c>
      <c r="P3574">
        <v>1</v>
      </c>
      <c r="Q3574" t="str" cm="1">
        <f t="array" ref="Q3574">_xlfn.IFS(Table1[[#This Row],[Wealthier_Winner]]=-1,"Wealthier Nation Loses",Table1[[#This Row],[Wealthier_Winner]]=0,"Tie",Table1[[#This Row],[Wealthier_Winner]]=1,"Wealthier Nation Wins")</f>
        <v>Wealthier Nation Wins</v>
      </c>
    </row>
    <row r="3575" spans="1:17" x14ac:dyDescent="0.2">
      <c r="A3575" s="1">
        <v>5528</v>
      </c>
      <c r="B3575" s="2">
        <v>39697</v>
      </c>
      <c r="C3575" s="7">
        <f>_xlfn.FLOOR.MATH(Table1[[#This Row],[year]],10)</f>
        <v>2000</v>
      </c>
      <c r="D3575" t="s">
        <v>345</v>
      </c>
      <c r="E3575" t="s">
        <v>53</v>
      </c>
      <c r="F3575">
        <v>0</v>
      </c>
      <c r="G3575">
        <v>0</v>
      </c>
      <c r="H3575" t="s">
        <v>224</v>
      </c>
      <c r="I3575" t="s">
        <v>347</v>
      </c>
      <c r="J3575" t="s">
        <v>345</v>
      </c>
      <c r="K3575" t="b">
        <v>0</v>
      </c>
      <c r="L3575">
        <v>2008</v>
      </c>
      <c r="M3575">
        <v>9451435490</v>
      </c>
      <c r="N3575">
        <v>44859439902</v>
      </c>
      <c r="O3575" t="b">
        <v>1</v>
      </c>
      <c r="P3575">
        <v>0</v>
      </c>
      <c r="Q3575" t="str" cm="1">
        <f t="array" ref="Q3575">_xlfn.IFS(Table1[[#This Row],[Wealthier_Winner]]=-1,"Wealthier Nation Loses",Table1[[#This Row],[Wealthier_Winner]]=0,"Tie",Table1[[#This Row],[Wealthier_Winner]]=1,"Wealthier Nation Wins")</f>
        <v>Tie</v>
      </c>
    </row>
    <row r="3576" spans="1:17" x14ac:dyDescent="0.2">
      <c r="A3576" s="1">
        <v>5530</v>
      </c>
      <c r="B3576" s="2">
        <v>39697</v>
      </c>
      <c r="C3576" s="7">
        <f>_xlfn.FLOOR.MATH(Table1[[#This Row],[year]],10)</f>
        <v>2000</v>
      </c>
      <c r="D3576" t="s">
        <v>15</v>
      </c>
      <c r="E3576" t="s">
        <v>26</v>
      </c>
      <c r="F3576">
        <v>0</v>
      </c>
      <c r="G3576">
        <v>1</v>
      </c>
      <c r="H3576" t="s">
        <v>224</v>
      </c>
      <c r="I3576" t="s">
        <v>241</v>
      </c>
      <c r="J3576" t="s">
        <v>15</v>
      </c>
      <c r="K3576" t="b">
        <v>0</v>
      </c>
      <c r="L3576">
        <v>2008</v>
      </c>
      <c r="M3576">
        <v>242504150472</v>
      </c>
      <c r="N3576">
        <v>31119602538</v>
      </c>
      <c r="O3576" t="b">
        <v>1</v>
      </c>
      <c r="P3576">
        <v>-1</v>
      </c>
      <c r="Q3576" t="str" cm="1">
        <f t="array" ref="Q3576">_xlfn.IFS(Table1[[#This Row],[Wealthier_Winner]]=-1,"Wealthier Nation Loses",Table1[[#This Row],[Wealthier_Winner]]=0,"Tie",Table1[[#This Row],[Wealthier_Winner]]=1,"Wealthier Nation Wins")</f>
        <v>Wealthier Nation Loses</v>
      </c>
    </row>
    <row r="3577" spans="1:17" x14ac:dyDescent="0.2">
      <c r="A3577" s="1">
        <v>5531</v>
      </c>
      <c r="B3577" s="2">
        <v>39697</v>
      </c>
      <c r="C3577" s="7">
        <f>_xlfn.FLOOR.MATH(Table1[[#This Row],[year]],10)</f>
        <v>2000</v>
      </c>
      <c r="D3577" t="s">
        <v>52</v>
      </c>
      <c r="E3577" t="s">
        <v>558</v>
      </c>
      <c r="F3577">
        <v>3</v>
      </c>
      <c r="G3577">
        <v>0</v>
      </c>
      <c r="H3577" t="s">
        <v>224</v>
      </c>
      <c r="I3577" t="s">
        <v>538</v>
      </c>
      <c r="J3577" t="s">
        <v>52</v>
      </c>
      <c r="K3577" t="b">
        <v>0</v>
      </c>
      <c r="L3577">
        <v>2008</v>
      </c>
      <c r="M3577">
        <v>68472854617</v>
      </c>
      <c r="N3577">
        <v>133441648851</v>
      </c>
      <c r="O3577" t="b">
        <v>0</v>
      </c>
      <c r="P3577">
        <v>-1</v>
      </c>
      <c r="Q3577" t="str" cm="1">
        <f t="array" ref="Q3577">_xlfn.IFS(Table1[[#This Row],[Wealthier_Winner]]=-1,"Wealthier Nation Loses",Table1[[#This Row],[Wealthier_Winner]]=0,"Tie",Table1[[#This Row],[Wealthier_Winner]]=1,"Wealthier Nation Wins")</f>
        <v>Wealthier Nation Loses</v>
      </c>
    </row>
    <row r="3578" spans="1:17" x14ac:dyDescent="0.2">
      <c r="A3578" s="1">
        <v>5532</v>
      </c>
      <c r="B3578" s="2">
        <v>39697</v>
      </c>
      <c r="C3578" s="7">
        <f>_xlfn.FLOOR.MATH(Table1[[#This Row],[year]],10)</f>
        <v>2000</v>
      </c>
      <c r="D3578" t="s">
        <v>517</v>
      </c>
      <c r="E3578" t="s">
        <v>41</v>
      </c>
      <c r="F3578">
        <v>0</v>
      </c>
      <c r="G3578">
        <v>1</v>
      </c>
      <c r="H3578" t="s">
        <v>224</v>
      </c>
      <c r="I3578" t="s">
        <v>580</v>
      </c>
      <c r="J3578" t="s">
        <v>517</v>
      </c>
      <c r="K3578" t="b">
        <v>0</v>
      </c>
      <c r="L3578">
        <v>2008</v>
      </c>
      <c r="M3578">
        <v>56302129629</v>
      </c>
      <c r="N3578">
        <v>14769857911000</v>
      </c>
      <c r="O3578" t="b">
        <v>1</v>
      </c>
      <c r="P3578">
        <v>1</v>
      </c>
      <c r="Q3578" t="str" cm="1">
        <f t="array" ref="Q3578">_xlfn.IFS(Table1[[#This Row],[Wealthier_Winner]]=-1,"Wealthier Nation Loses",Table1[[#This Row],[Wealthier_Winner]]=0,"Tie",Table1[[#This Row],[Wealthier_Winner]]=1,"Wealthier Nation Wins")</f>
        <v>Wealthier Nation Wins</v>
      </c>
    </row>
    <row r="3579" spans="1:17" x14ac:dyDescent="0.2">
      <c r="A3579" s="1">
        <v>5533</v>
      </c>
      <c r="B3579" s="2">
        <v>39697</v>
      </c>
      <c r="C3579" s="7">
        <f>_xlfn.FLOOR.MATH(Table1[[#This Row],[year]],10)</f>
        <v>2000</v>
      </c>
      <c r="D3579" t="s">
        <v>351</v>
      </c>
      <c r="E3579" t="s">
        <v>18</v>
      </c>
      <c r="F3579">
        <v>1</v>
      </c>
      <c r="G3579">
        <v>2</v>
      </c>
      <c r="H3579" t="s">
        <v>224</v>
      </c>
      <c r="I3579" t="s">
        <v>468</v>
      </c>
      <c r="J3579" t="s">
        <v>351</v>
      </c>
      <c r="K3579" t="b">
        <v>0</v>
      </c>
      <c r="L3579">
        <v>2008</v>
      </c>
      <c r="M3579">
        <v>27844646257</v>
      </c>
      <c r="N3579">
        <v>2417508414187</v>
      </c>
      <c r="O3579" t="b">
        <v>1</v>
      </c>
      <c r="P3579">
        <v>1</v>
      </c>
      <c r="Q3579" t="str" cm="1">
        <f t="array" ref="Q3579">_xlfn.IFS(Table1[[#This Row],[Wealthier_Winner]]=-1,"Wealthier Nation Loses",Table1[[#This Row],[Wealthier_Winner]]=0,"Tie",Table1[[#This Row],[Wealthier_Winner]]=1,"Wealthier Nation Wins")</f>
        <v>Wealthier Nation Wins</v>
      </c>
    </row>
    <row r="3580" spans="1:17" x14ac:dyDescent="0.2">
      <c r="A3580" s="1">
        <v>5534</v>
      </c>
      <c r="B3580" s="2">
        <v>39697</v>
      </c>
      <c r="C3580" s="7">
        <f>_xlfn.FLOOR.MATH(Table1[[#This Row],[year]],10)</f>
        <v>2000</v>
      </c>
      <c r="D3580" t="s">
        <v>57</v>
      </c>
      <c r="E3580" t="s">
        <v>47</v>
      </c>
      <c r="F3580">
        <v>3</v>
      </c>
      <c r="G3580">
        <v>1</v>
      </c>
      <c r="H3580" t="s">
        <v>224</v>
      </c>
      <c r="I3580" t="s">
        <v>335</v>
      </c>
      <c r="J3580" t="s">
        <v>57</v>
      </c>
      <c r="K3580" t="b">
        <v>0</v>
      </c>
      <c r="L3580">
        <v>2008</v>
      </c>
      <c r="M3580">
        <v>61139438000</v>
      </c>
      <c r="N3580">
        <v>16674276285</v>
      </c>
      <c r="O3580" t="b">
        <v>1</v>
      </c>
      <c r="P3580">
        <v>1</v>
      </c>
      <c r="Q3580" t="str" cm="1">
        <f t="array" ref="Q3580">_xlfn.IFS(Table1[[#This Row],[Wealthier_Winner]]=-1,"Wealthier Nation Loses",Table1[[#This Row],[Wealthier_Winner]]=0,"Tie",Table1[[#This Row],[Wealthier_Winner]]=1,"Wealthier Nation Wins")</f>
        <v>Wealthier Nation Wins</v>
      </c>
    </row>
    <row r="3581" spans="1:17" x14ac:dyDescent="0.2">
      <c r="A3581" s="1">
        <v>5537</v>
      </c>
      <c r="B3581" s="2">
        <v>39697</v>
      </c>
      <c r="C3581" s="7">
        <f>_xlfn.FLOOR.MATH(Table1[[#This Row],[year]],10)</f>
        <v>2000</v>
      </c>
      <c r="D3581" t="s">
        <v>30</v>
      </c>
      <c r="E3581" t="s">
        <v>36</v>
      </c>
      <c r="F3581">
        <v>0</v>
      </c>
      <c r="G3581">
        <v>0</v>
      </c>
      <c r="H3581" t="s">
        <v>224</v>
      </c>
      <c r="I3581" t="s">
        <v>297</v>
      </c>
      <c r="J3581" t="s">
        <v>30</v>
      </c>
      <c r="K3581" t="b">
        <v>0</v>
      </c>
      <c r="L3581">
        <v>2008</v>
      </c>
      <c r="M3581">
        <v>158228265915</v>
      </c>
      <c r="N3581">
        <v>354979471960</v>
      </c>
      <c r="O3581" t="b">
        <v>1</v>
      </c>
      <c r="P3581">
        <v>0</v>
      </c>
      <c r="Q3581" t="str" cm="1">
        <f t="array" ref="Q3581">_xlfn.IFS(Table1[[#This Row],[Wealthier_Winner]]=-1,"Wealthier Nation Loses",Table1[[#This Row],[Wealthier_Winner]]=0,"Tie",Table1[[#This Row],[Wealthier_Winner]]=1,"Wealthier Nation Wins")</f>
        <v>Tie</v>
      </c>
    </row>
    <row r="3582" spans="1:17" x14ac:dyDescent="0.2">
      <c r="A3582" s="1">
        <v>5538</v>
      </c>
      <c r="B3582" s="2">
        <v>39697</v>
      </c>
      <c r="C3582" s="7">
        <f>_xlfn.FLOOR.MATH(Table1[[#This Row],[year]],10)</f>
        <v>2000</v>
      </c>
      <c r="D3582" t="s">
        <v>22</v>
      </c>
      <c r="E3582" t="s">
        <v>46</v>
      </c>
      <c r="F3582">
        <v>2</v>
      </c>
      <c r="G3582">
        <v>2</v>
      </c>
      <c r="H3582" t="s">
        <v>224</v>
      </c>
      <c r="I3582" t="s">
        <v>239</v>
      </c>
      <c r="J3582" t="s">
        <v>22</v>
      </c>
      <c r="K3582" t="b">
        <v>0</v>
      </c>
      <c r="L3582">
        <v>2008</v>
      </c>
      <c r="M3582">
        <v>221231658862</v>
      </c>
      <c r="N3582">
        <v>567267767519</v>
      </c>
      <c r="O3582" t="b">
        <v>1</v>
      </c>
      <c r="P3582">
        <v>0</v>
      </c>
      <c r="Q3582" t="str" cm="1">
        <f t="array" ref="Q3582">_xlfn.IFS(Table1[[#This Row],[Wealthier_Winner]]=-1,"Wealthier Nation Loses",Table1[[#This Row],[Wealthier_Winner]]=0,"Tie",Table1[[#This Row],[Wealthier_Winner]]=1,"Wealthier Nation Wins")</f>
        <v>Tie</v>
      </c>
    </row>
    <row r="3583" spans="1:17" x14ac:dyDescent="0.2">
      <c r="A3583" s="1">
        <v>5539</v>
      </c>
      <c r="B3583" s="2">
        <v>39697</v>
      </c>
      <c r="C3583" s="7">
        <f>_xlfn.FLOOR.MATH(Table1[[#This Row],[year]],10)</f>
        <v>2000</v>
      </c>
      <c r="D3583" t="s">
        <v>314</v>
      </c>
      <c r="E3583" t="s">
        <v>462</v>
      </c>
      <c r="F3583">
        <v>1</v>
      </c>
      <c r="G3583">
        <v>0</v>
      </c>
      <c r="H3583" t="s">
        <v>224</v>
      </c>
      <c r="I3583" t="s">
        <v>315</v>
      </c>
      <c r="J3583" t="s">
        <v>314</v>
      </c>
      <c r="K3583" t="b">
        <v>0</v>
      </c>
      <c r="L3583">
        <v>2008</v>
      </c>
      <c r="M3583">
        <v>35895153327</v>
      </c>
      <c r="N3583">
        <v>8607431497</v>
      </c>
      <c r="O3583" t="b">
        <v>1</v>
      </c>
      <c r="P3583">
        <v>1</v>
      </c>
      <c r="Q3583" t="str" cm="1">
        <f t="array" ref="Q3583">_xlfn.IFS(Table1[[#This Row],[Wealthier_Winner]]=-1,"Wealthier Nation Loses",Table1[[#This Row],[Wealthier_Winner]]=0,"Tie",Table1[[#This Row],[Wealthier_Winner]]=1,"Wealthier Nation Wins")</f>
        <v>Wealthier Nation Wins</v>
      </c>
    </row>
    <row r="3584" spans="1:17" x14ac:dyDescent="0.2">
      <c r="A3584" s="1">
        <v>5540</v>
      </c>
      <c r="B3584" s="2">
        <v>39697</v>
      </c>
      <c r="C3584" s="7">
        <f>_xlfn.FLOOR.MATH(Table1[[#This Row],[year]],10)</f>
        <v>2000</v>
      </c>
      <c r="D3584" t="s">
        <v>503</v>
      </c>
      <c r="E3584" t="s">
        <v>16</v>
      </c>
      <c r="F3584">
        <v>0</v>
      </c>
      <c r="G3584">
        <v>6</v>
      </c>
      <c r="H3584" t="s">
        <v>224</v>
      </c>
      <c r="I3584" t="s">
        <v>603</v>
      </c>
      <c r="J3584" t="s">
        <v>503</v>
      </c>
      <c r="K3584" t="b">
        <v>0</v>
      </c>
      <c r="L3584">
        <v>2008</v>
      </c>
      <c r="M3584">
        <v>5081479840</v>
      </c>
      <c r="N3584">
        <v>3808197720125</v>
      </c>
      <c r="O3584" t="b">
        <v>1</v>
      </c>
      <c r="P3584">
        <v>1</v>
      </c>
      <c r="Q3584" t="str" cm="1">
        <f t="array" ref="Q3584">_xlfn.IFS(Table1[[#This Row],[Wealthier_Winner]]=-1,"Wealthier Nation Loses",Table1[[#This Row],[Wealthier_Winner]]=0,"Tie",Table1[[#This Row],[Wealthier_Winner]]=1,"Wealthier Nation Wins")</f>
        <v>Wealthier Nation Wins</v>
      </c>
    </row>
    <row r="3585" spans="1:17" x14ac:dyDescent="0.2">
      <c r="A3585" s="1">
        <v>5541</v>
      </c>
      <c r="B3585" s="2">
        <v>39697</v>
      </c>
      <c r="C3585" s="7">
        <f>_xlfn.FLOOR.MATH(Table1[[#This Row],[year]],10)</f>
        <v>2000</v>
      </c>
      <c r="D3585" t="s">
        <v>232</v>
      </c>
      <c r="E3585" t="s">
        <v>48</v>
      </c>
      <c r="F3585">
        <v>0</v>
      </c>
      <c r="G3585">
        <v>3</v>
      </c>
      <c r="H3585" t="s">
        <v>224</v>
      </c>
      <c r="I3585" t="s">
        <v>232</v>
      </c>
      <c r="J3585" t="s">
        <v>232</v>
      </c>
      <c r="K3585" t="b">
        <v>0</v>
      </c>
      <c r="L3585">
        <v>2008</v>
      </c>
      <c r="M3585">
        <v>58844277701</v>
      </c>
      <c r="N3585">
        <v>351121399546</v>
      </c>
      <c r="O3585" t="b">
        <v>1</v>
      </c>
      <c r="P3585">
        <v>1</v>
      </c>
      <c r="Q3585" t="str" cm="1">
        <f t="array" ref="Q3585">_xlfn.IFS(Table1[[#This Row],[Wealthier_Winner]]=-1,"Wealthier Nation Loses",Table1[[#This Row],[Wealthier_Winner]]=0,"Tie",Table1[[#This Row],[Wealthier_Winner]]=1,"Wealthier Nation Wins")</f>
        <v>Wealthier Nation Wins</v>
      </c>
    </row>
    <row r="3586" spans="1:17" x14ac:dyDescent="0.2">
      <c r="A3586" s="1">
        <v>5543</v>
      </c>
      <c r="B3586" s="2">
        <v>39697</v>
      </c>
      <c r="C3586" s="7">
        <f>_xlfn.FLOOR.MATH(Table1[[#This Row],[year]],10)</f>
        <v>2000</v>
      </c>
      <c r="D3586" t="s">
        <v>303</v>
      </c>
      <c r="E3586" t="s">
        <v>38</v>
      </c>
      <c r="F3586">
        <v>0</v>
      </c>
      <c r="G3586">
        <v>4</v>
      </c>
      <c r="H3586" t="s">
        <v>224</v>
      </c>
      <c r="I3586" t="s">
        <v>399</v>
      </c>
      <c r="J3586" t="s">
        <v>303</v>
      </c>
      <c r="K3586" t="b">
        <v>0</v>
      </c>
      <c r="L3586">
        <v>2008</v>
      </c>
      <c r="M3586">
        <v>9135419464</v>
      </c>
      <c r="N3586">
        <v>263416394624</v>
      </c>
      <c r="O3586" t="b">
        <v>1</v>
      </c>
      <c r="P3586">
        <v>1</v>
      </c>
      <c r="Q3586" t="str" cm="1">
        <f t="array" ref="Q3586">_xlfn.IFS(Table1[[#This Row],[Wealthier_Winner]]=-1,"Wealthier Nation Loses",Table1[[#This Row],[Wealthier_Winner]]=0,"Tie",Table1[[#This Row],[Wealthier_Winner]]=1,"Wealthier Nation Wins")</f>
        <v>Wealthier Nation Wins</v>
      </c>
    </row>
    <row r="3587" spans="1:17" x14ac:dyDescent="0.2">
      <c r="A3587" s="1">
        <v>5544</v>
      </c>
      <c r="B3587" s="2">
        <v>39697</v>
      </c>
      <c r="C3587" s="7">
        <f>_xlfn.FLOOR.MATH(Table1[[#This Row],[year]],10)</f>
        <v>2000</v>
      </c>
      <c r="D3587" t="s">
        <v>346</v>
      </c>
      <c r="E3587" t="s">
        <v>514</v>
      </c>
      <c r="F3587">
        <v>0</v>
      </c>
      <c r="G3587">
        <v>1</v>
      </c>
      <c r="H3587" t="s">
        <v>224</v>
      </c>
      <c r="I3587" t="s">
        <v>350</v>
      </c>
      <c r="J3587" t="s">
        <v>346</v>
      </c>
      <c r="K3587" t="b">
        <v>0</v>
      </c>
      <c r="L3587">
        <v>2008</v>
      </c>
      <c r="M3587">
        <v>5206437193</v>
      </c>
      <c r="N3587">
        <v>5179854064</v>
      </c>
      <c r="O3587" t="b">
        <v>0</v>
      </c>
      <c r="P3587">
        <v>-1</v>
      </c>
      <c r="Q3587" t="str" cm="1">
        <f t="array" ref="Q3587">_xlfn.IFS(Table1[[#This Row],[Wealthier_Winner]]=-1,"Wealthier Nation Loses",Table1[[#This Row],[Wealthier_Winner]]=0,"Tie",Table1[[#This Row],[Wealthier_Winner]]=1,"Wealthier Nation Wins")</f>
        <v>Wealthier Nation Loses</v>
      </c>
    </row>
    <row r="3588" spans="1:17" x14ac:dyDescent="0.2">
      <c r="A3588" s="1">
        <v>5545</v>
      </c>
      <c r="B3588" s="2">
        <v>39697</v>
      </c>
      <c r="C3588" s="7">
        <f>_xlfn.FLOOR.MATH(Table1[[#This Row],[year]],10)</f>
        <v>2000</v>
      </c>
      <c r="D3588" t="s">
        <v>323</v>
      </c>
      <c r="E3588" t="s">
        <v>320</v>
      </c>
      <c r="F3588">
        <v>1</v>
      </c>
      <c r="G3588">
        <v>4</v>
      </c>
      <c r="H3588" t="s">
        <v>224</v>
      </c>
      <c r="I3588" t="s">
        <v>324</v>
      </c>
      <c r="J3588" t="s">
        <v>323</v>
      </c>
      <c r="K3588" t="b">
        <v>0</v>
      </c>
      <c r="L3588">
        <v>2008</v>
      </c>
      <c r="M3588">
        <v>10127777060</v>
      </c>
      <c r="N3588">
        <v>27947821397</v>
      </c>
      <c r="O3588" t="b">
        <v>1</v>
      </c>
      <c r="P3588">
        <v>1</v>
      </c>
      <c r="Q3588" t="str" cm="1">
        <f t="array" ref="Q3588">_xlfn.IFS(Table1[[#This Row],[Wealthier_Winner]]=-1,"Wealthier Nation Loses",Table1[[#This Row],[Wealthier_Winner]]=0,"Tie",Table1[[#This Row],[Wealthier_Winner]]=1,"Wealthier Nation Wins")</f>
        <v>Wealthier Nation Wins</v>
      </c>
    </row>
    <row r="3589" spans="1:17" x14ac:dyDescent="0.2">
      <c r="A3589" s="1">
        <v>5546</v>
      </c>
      <c r="B3589" s="2">
        <v>39697</v>
      </c>
      <c r="C3589" s="7">
        <f>_xlfn.FLOOR.MATH(Table1[[#This Row],[year]],10)</f>
        <v>2000</v>
      </c>
      <c r="D3589" t="s">
        <v>527</v>
      </c>
      <c r="E3589" t="s">
        <v>525</v>
      </c>
      <c r="F3589">
        <v>1</v>
      </c>
      <c r="G3589">
        <v>2</v>
      </c>
      <c r="H3589" t="s">
        <v>224</v>
      </c>
      <c r="I3589" t="s">
        <v>704</v>
      </c>
      <c r="J3589" t="s">
        <v>527</v>
      </c>
      <c r="K3589" t="b">
        <v>0</v>
      </c>
      <c r="L3589">
        <v>2008</v>
      </c>
      <c r="M3589">
        <v>6054824248</v>
      </c>
      <c r="N3589">
        <v>34135200994</v>
      </c>
      <c r="O3589" t="b">
        <v>1</v>
      </c>
      <c r="P3589">
        <v>1</v>
      </c>
      <c r="Q3589" t="str" cm="1">
        <f t="array" ref="Q3589">_xlfn.IFS(Table1[[#This Row],[Wealthier_Winner]]=-1,"Wealthier Nation Loses",Table1[[#This Row],[Wealthier_Winner]]=0,"Tie",Table1[[#This Row],[Wealthier_Winner]]=1,"Wealthier Nation Wins")</f>
        <v>Wealthier Nation Wins</v>
      </c>
    </row>
    <row r="3590" spans="1:17" x14ac:dyDescent="0.2">
      <c r="A3590" s="1">
        <v>5547</v>
      </c>
      <c r="B3590" s="2">
        <v>39697</v>
      </c>
      <c r="C3590" s="7">
        <f>_xlfn.FLOOR.MATH(Table1[[#This Row],[year]],10)</f>
        <v>2000</v>
      </c>
      <c r="D3590" t="s">
        <v>705</v>
      </c>
      <c r="E3590" t="s">
        <v>33</v>
      </c>
      <c r="F3590">
        <v>2</v>
      </c>
      <c r="G3590">
        <v>2</v>
      </c>
      <c r="H3590" t="s">
        <v>224</v>
      </c>
      <c r="I3590" t="s">
        <v>706</v>
      </c>
      <c r="J3590" t="s">
        <v>705</v>
      </c>
      <c r="K3590" t="b">
        <v>0</v>
      </c>
      <c r="L3590">
        <v>2008</v>
      </c>
      <c r="M3590">
        <v>4540861725</v>
      </c>
      <c r="N3590">
        <v>54480684188</v>
      </c>
      <c r="O3590" t="b">
        <v>1</v>
      </c>
      <c r="P3590">
        <v>0</v>
      </c>
      <c r="Q3590" t="str" cm="1">
        <f t="array" ref="Q3590">_xlfn.IFS(Table1[[#This Row],[Wealthier_Winner]]=-1,"Wealthier Nation Loses",Table1[[#This Row],[Wealthier_Winner]]=0,"Tie",Table1[[#This Row],[Wealthier_Winner]]=1,"Wealthier Nation Wins")</f>
        <v>Tie</v>
      </c>
    </row>
    <row r="3591" spans="1:17" x14ac:dyDescent="0.2">
      <c r="A3591" s="1">
        <v>5548</v>
      </c>
      <c r="B3591" s="2">
        <v>39697</v>
      </c>
      <c r="C3591" s="7">
        <f>_xlfn.FLOOR.MATH(Table1[[#This Row],[year]],10)</f>
        <v>2000</v>
      </c>
      <c r="D3591" t="s">
        <v>42</v>
      </c>
      <c r="E3591" t="s">
        <v>66</v>
      </c>
      <c r="F3591">
        <v>2</v>
      </c>
      <c r="G3591">
        <v>2</v>
      </c>
      <c r="H3591" t="s">
        <v>224</v>
      </c>
      <c r="I3591" t="s">
        <v>262</v>
      </c>
      <c r="J3591" t="s">
        <v>42</v>
      </c>
      <c r="K3591" t="b">
        <v>0</v>
      </c>
      <c r="L3591">
        <v>2008</v>
      </c>
      <c r="M3591">
        <v>464917553191</v>
      </c>
      <c r="N3591">
        <v>18247921360</v>
      </c>
      <c r="O3591" t="b">
        <v>1</v>
      </c>
      <c r="P3591">
        <v>0</v>
      </c>
      <c r="Q3591" t="str" cm="1">
        <f t="array" ref="Q3591">_xlfn.IFS(Table1[[#This Row],[Wealthier_Winner]]=-1,"Wealthier Nation Loses",Table1[[#This Row],[Wealthier_Winner]]=0,"Tie",Table1[[#This Row],[Wealthier_Winner]]=1,"Wealthier Nation Wins")</f>
        <v>Tie</v>
      </c>
    </row>
    <row r="3592" spans="1:17" x14ac:dyDescent="0.2">
      <c r="A3592" s="1">
        <v>5549</v>
      </c>
      <c r="B3592" s="2">
        <v>39697</v>
      </c>
      <c r="C3592" s="7">
        <f>_xlfn.FLOOR.MATH(Table1[[#This Row],[year]],10)</f>
        <v>2000</v>
      </c>
      <c r="D3592" t="s">
        <v>31</v>
      </c>
      <c r="E3592" t="s">
        <v>258</v>
      </c>
      <c r="F3592">
        <v>1</v>
      </c>
      <c r="G3592">
        <v>0</v>
      </c>
      <c r="H3592" t="s">
        <v>224</v>
      </c>
      <c r="I3592" t="s">
        <v>242</v>
      </c>
      <c r="J3592" t="s">
        <v>31</v>
      </c>
      <c r="K3592" t="b">
        <v>0</v>
      </c>
      <c r="L3592">
        <v>2008</v>
      </c>
      <c r="M3592">
        <v>120550599815</v>
      </c>
      <c r="N3592">
        <v>315953388510</v>
      </c>
      <c r="O3592" t="b">
        <v>1</v>
      </c>
      <c r="P3592">
        <v>-1</v>
      </c>
      <c r="Q3592" t="str" cm="1">
        <f t="array" ref="Q3592">_xlfn.IFS(Table1[[#This Row],[Wealthier_Winner]]=-1,"Wealthier Nation Loses",Table1[[#This Row],[Wealthier_Winner]]=0,"Tie",Table1[[#This Row],[Wealthier_Winner]]=1,"Wealthier Nation Wins")</f>
        <v>Wealthier Nation Loses</v>
      </c>
    </row>
    <row r="3593" spans="1:17" x14ac:dyDescent="0.2">
      <c r="A3593" s="1">
        <v>5550</v>
      </c>
      <c r="B3593" s="2">
        <v>39697</v>
      </c>
      <c r="C3593" s="7">
        <f>_xlfn.FLOOR.MATH(Table1[[#This Row],[year]],10)</f>
        <v>2000</v>
      </c>
      <c r="D3593" t="s">
        <v>58</v>
      </c>
      <c r="E3593" t="s">
        <v>55</v>
      </c>
      <c r="F3593">
        <v>1</v>
      </c>
      <c r="G3593">
        <v>1</v>
      </c>
      <c r="H3593" t="s">
        <v>224</v>
      </c>
      <c r="I3593" t="s">
        <v>707</v>
      </c>
      <c r="J3593" t="s">
        <v>58</v>
      </c>
      <c r="K3593" t="b">
        <v>0</v>
      </c>
      <c r="L3593">
        <v>2008</v>
      </c>
      <c r="M3593">
        <v>535612030671</v>
      </c>
      <c r="N3593">
        <v>55509332322</v>
      </c>
      <c r="O3593" t="b">
        <v>1</v>
      </c>
      <c r="P3593">
        <v>0</v>
      </c>
      <c r="Q3593" t="str" cm="1">
        <f t="array" ref="Q3593">_xlfn.IFS(Table1[[#This Row],[Wealthier_Winner]]=-1,"Wealthier Nation Loses",Table1[[#This Row],[Wealthier_Winner]]=0,"Tie",Table1[[#This Row],[Wealthier_Winner]]=1,"Wealthier Nation Wins")</f>
        <v>Tie</v>
      </c>
    </row>
    <row r="3594" spans="1:17" x14ac:dyDescent="0.2">
      <c r="A3594" s="1">
        <v>5551</v>
      </c>
      <c r="B3594" s="2">
        <v>39697</v>
      </c>
      <c r="C3594" s="7">
        <f>_xlfn.FLOOR.MATH(Table1[[#This Row],[year]],10)</f>
        <v>2000</v>
      </c>
      <c r="D3594" t="s">
        <v>68</v>
      </c>
      <c r="E3594" t="s">
        <v>563</v>
      </c>
      <c r="F3594">
        <v>3</v>
      </c>
      <c r="G3594">
        <v>0</v>
      </c>
      <c r="H3594" t="s">
        <v>224</v>
      </c>
      <c r="I3594" t="s">
        <v>190</v>
      </c>
      <c r="J3594" t="s">
        <v>68</v>
      </c>
      <c r="K3594" t="b">
        <v>0</v>
      </c>
      <c r="L3594">
        <v>2008</v>
      </c>
      <c r="M3594">
        <v>115270054945</v>
      </c>
      <c r="N3594">
        <v>29549438883</v>
      </c>
      <c r="O3594" t="b">
        <v>1</v>
      </c>
      <c r="P3594">
        <v>1</v>
      </c>
      <c r="Q3594" t="str" cm="1">
        <f t="array" ref="Q3594">_xlfn.IFS(Table1[[#This Row],[Wealthier_Winner]]=-1,"Wealthier Nation Loses",Table1[[#This Row],[Wealthier_Winner]]=0,"Tie",Table1[[#This Row],[Wealthier_Winner]]=1,"Wealthier Nation Wins")</f>
        <v>Wealthier Nation Wins</v>
      </c>
    </row>
    <row r="3595" spans="1:17" x14ac:dyDescent="0.2">
      <c r="A3595" s="1">
        <v>5552</v>
      </c>
      <c r="B3595" s="2">
        <v>39697</v>
      </c>
      <c r="C3595" s="7">
        <f>_xlfn.FLOOR.MATH(Table1[[#This Row],[year]],10)</f>
        <v>2000</v>
      </c>
      <c r="D3595" t="s">
        <v>44</v>
      </c>
      <c r="E3595" t="s">
        <v>523</v>
      </c>
      <c r="F3595">
        <v>0</v>
      </c>
      <c r="G3595">
        <v>3</v>
      </c>
      <c r="H3595" t="s">
        <v>224</v>
      </c>
      <c r="I3595" t="s">
        <v>708</v>
      </c>
      <c r="J3595" t="s">
        <v>44</v>
      </c>
      <c r="K3595" t="b">
        <v>0</v>
      </c>
      <c r="L3595">
        <v>2008</v>
      </c>
      <c r="M3595">
        <v>214315932061</v>
      </c>
      <c r="N3595">
        <v>47831254207</v>
      </c>
      <c r="O3595" t="b">
        <v>1</v>
      </c>
      <c r="P3595">
        <v>-1</v>
      </c>
      <c r="Q3595" t="str" cm="1">
        <f t="array" ref="Q3595">_xlfn.IFS(Table1[[#This Row],[Wealthier_Winner]]=-1,"Wealthier Nation Loses",Table1[[#This Row],[Wealthier_Winner]]=0,"Tie",Table1[[#This Row],[Wealthier_Winner]]=1,"Wealthier Nation Wins")</f>
        <v>Wealthier Nation Loses</v>
      </c>
    </row>
    <row r="3596" spans="1:17" x14ac:dyDescent="0.2">
      <c r="A3596" s="1">
        <v>5553</v>
      </c>
      <c r="B3596" s="2">
        <v>39697</v>
      </c>
      <c r="C3596" s="7">
        <f>_xlfn.FLOOR.MATH(Table1[[#This Row],[year]],10)</f>
        <v>2000</v>
      </c>
      <c r="D3596" t="s">
        <v>45</v>
      </c>
      <c r="E3596" t="s">
        <v>210</v>
      </c>
      <c r="F3596">
        <v>1</v>
      </c>
      <c r="G3596">
        <v>1</v>
      </c>
      <c r="H3596" t="s">
        <v>224</v>
      </c>
      <c r="I3596" t="s">
        <v>356</v>
      </c>
      <c r="J3596" t="s">
        <v>45</v>
      </c>
      <c r="K3596" t="b">
        <v>0</v>
      </c>
      <c r="L3596">
        <v>2008</v>
      </c>
      <c r="M3596">
        <v>519796800000</v>
      </c>
      <c r="N3596">
        <v>406070949553</v>
      </c>
      <c r="O3596" t="b">
        <v>0</v>
      </c>
      <c r="P3596">
        <v>0</v>
      </c>
      <c r="Q3596" t="str" cm="1">
        <f t="array" ref="Q3596">_xlfn.IFS(Table1[[#This Row],[Wealthier_Winner]]=-1,"Wealthier Nation Loses",Table1[[#This Row],[Wealthier_Winner]]=0,"Tie",Table1[[#This Row],[Wealthier_Winner]]=1,"Wealthier Nation Wins")</f>
        <v>Tie</v>
      </c>
    </row>
    <row r="3597" spans="1:17" x14ac:dyDescent="0.2">
      <c r="A3597" s="1">
        <v>5554</v>
      </c>
      <c r="B3597" s="2">
        <v>39697</v>
      </c>
      <c r="C3597" s="7">
        <f>_xlfn.FLOOR.MATH(Table1[[#This Row],[year]],10)</f>
        <v>2000</v>
      </c>
      <c r="D3597" t="s">
        <v>61</v>
      </c>
      <c r="E3597" t="s">
        <v>447</v>
      </c>
      <c r="F3597">
        <v>2</v>
      </c>
      <c r="G3597">
        <v>0</v>
      </c>
      <c r="H3597" t="s">
        <v>224</v>
      </c>
      <c r="I3597" t="s">
        <v>505</v>
      </c>
      <c r="J3597" t="s">
        <v>61</v>
      </c>
      <c r="K3597" t="b">
        <v>0</v>
      </c>
      <c r="L3597">
        <v>2008</v>
      </c>
      <c r="M3597">
        <v>54220641201</v>
      </c>
      <c r="N3597">
        <v>2489873249</v>
      </c>
      <c r="O3597" t="b">
        <v>1</v>
      </c>
      <c r="P3597">
        <v>1</v>
      </c>
      <c r="Q3597" t="str" cm="1">
        <f t="array" ref="Q3597">_xlfn.IFS(Table1[[#This Row],[Wealthier_Winner]]=-1,"Wealthier Nation Loses",Table1[[#This Row],[Wealthier_Winner]]=0,"Tie",Table1[[#This Row],[Wealthier_Winner]]=1,"Wealthier Nation Wins")</f>
        <v>Wealthier Nation Wins</v>
      </c>
    </row>
    <row r="3598" spans="1:17" x14ac:dyDescent="0.2">
      <c r="A3598" s="1">
        <v>5555</v>
      </c>
      <c r="B3598" s="2">
        <v>39697</v>
      </c>
      <c r="C3598" s="7">
        <f>_xlfn.FLOOR.MATH(Table1[[#This Row],[year]],10)</f>
        <v>2000</v>
      </c>
      <c r="D3598" t="s">
        <v>583</v>
      </c>
      <c r="E3598" t="s">
        <v>460</v>
      </c>
      <c r="F3598">
        <v>1</v>
      </c>
      <c r="G3598">
        <v>2</v>
      </c>
      <c r="H3598" t="s">
        <v>224</v>
      </c>
      <c r="I3598" t="s">
        <v>584</v>
      </c>
      <c r="J3598" t="s">
        <v>583</v>
      </c>
      <c r="K3598" t="b">
        <v>0</v>
      </c>
      <c r="L3598">
        <v>2008</v>
      </c>
      <c r="M3598">
        <v>979597394</v>
      </c>
      <c r="N3598">
        <v>1611835857</v>
      </c>
      <c r="O3598" t="b">
        <v>0</v>
      </c>
      <c r="P3598">
        <v>1</v>
      </c>
      <c r="Q3598" t="str" cm="1">
        <f t="array" ref="Q3598">_xlfn.IFS(Table1[[#This Row],[Wealthier_Winner]]=-1,"Wealthier Nation Loses",Table1[[#This Row],[Wealthier_Winner]]=0,"Tie",Table1[[#This Row],[Wealthier_Winner]]=1,"Wealthier Nation Wins")</f>
        <v>Wealthier Nation Wins</v>
      </c>
    </row>
    <row r="3599" spans="1:17" x14ac:dyDescent="0.2">
      <c r="A3599" s="1">
        <v>5556</v>
      </c>
      <c r="B3599" s="2">
        <v>39697</v>
      </c>
      <c r="C3599" s="7">
        <f>_xlfn.FLOOR.MATH(Table1[[#This Row],[year]],10)</f>
        <v>2000</v>
      </c>
      <c r="D3599" t="s">
        <v>342</v>
      </c>
      <c r="E3599" t="s">
        <v>639</v>
      </c>
      <c r="F3599">
        <v>2</v>
      </c>
      <c r="G3599">
        <v>1</v>
      </c>
      <c r="H3599" t="s">
        <v>224</v>
      </c>
      <c r="I3599" t="s">
        <v>344</v>
      </c>
      <c r="J3599" t="s">
        <v>342</v>
      </c>
      <c r="K3599" t="b">
        <v>0</v>
      </c>
      <c r="L3599">
        <v>2008</v>
      </c>
      <c r="M3599">
        <v>4157895298</v>
      </c>
      <c r="N3599">
        <v>19749893536</v>
      </c>
      <c r="O3599" t="b">
        <v>1</v>
      </c>
      <c r="P3599">
        <v>-1</v>
      </c>
      <c r="Q3599" t="str" cm="1">
        <f t="array" ref="Q3599">_xlfn.IFS(Table1[[#This Row],[Wealthier_Winner]]=-1,"Wealthier Nation Loses",Table1[[#This Row],[Wealthier_Winner]]=0,"Tie",Table1[[#This Row],[Wealthier_Winner]]=1,"Wealthier Nation Wins")</f>
        <v>Wealthier Nation Loses</v>
      </c>
    </row>
    <row r="3600" spans="1:17" x14ac:dyDescent="0.2">
      <c r="A3600" s="1">
        <v>5558</v>
      </c>
      <c r="B3600" s="2">
        <v>39697</v>
      </c>
      <c r="C3600" s="7">
        <f>_xlfn.FLOOR.MATH(Table1[[#This Row],[year]],10)</f>
        <v>2000</v>
      </c>
      <c r="D3600" t="s">
        <v>50</v>
      </c>
      <c r="E3600" t="s">
        <v>43</v>
      </c>
      <c r="F3600">
        <v>0</v>
      </c>
      <c r="G3600">
        <v>1</v>
      </c>
      <c r="H3600" t="s">
        <v>224</v>
      </c>
      <c r="I3600" t="s">
        <v>167</v>
      </c>
      <c r="J3600" t="s">
        <v>50</v>
      </c>
      <c r="K3600" t="b">
        <v>0</v>
      </c>
      <c r="L3600">
        <v>2008</v>
      </c>
      <c r="M3600">
        <v>316131258616</v>
      </c>
      <c r="N3600">
        <v>339476276257</v>
      </c>
      <c r="O3600" t="b">
        <v>0</v>
      </c>
      <c r="P3600">
        <v>1</v>
      </c>
      <c r="Q3600" t="str" cm="1">
        <f t="array" ref="Q3600">_xlfn.IFS(Table1[[#This Row],[Wealthier_Winner]]=-1,"Wealthier Nation Loses",Table1[[#This Row],[Wealthier_Winner]]=0,"Tie",Table1[[#This Row],[Wealthier_Winner]]=1,"Wealthier Nation Wins")</f>
        <v>Wealthier Nation Wins</v>
      </c>
    </row>
    <row r="3601" spans="1:17" x14ac:dyDescent="0.2">
      <c r="A3601" s="1">
        <v>5559</v>
      </c>
      <c r="B3601" s="2">
        <v>39697</v>
      </c>
      <c r="C3601" s="7">
        <f>_xlfn.FLOOR.MATH(Table1[[#This Row],[year]],10)</f>
        <v>2000</v>
      </c>
      <c r="D3601" t="s">
        <v>21</v>
      </c>
      <c r="E3601" t="s">
        <v>73</v>
      </c>
      <c r="F3601">
        <v>1</v>
      </c>
      <c r="G3601">
        <v>0</v>
      </c>
      <c r="H3601" t="s">
        <v>224</v>
      </c>
      <c r="I3601" t="s">
        <v>709</v>
      </c>
      <c r="J3601" t="s">
        <v>21</v>
      </c>
      <c r="K3601" t="b">
        <v>0</v>
      </c>
      <c r="L3601">
        <v>2008</v>
      </c>
      <c r="M3601">
        <v>1636115447612</v>
      </c>
      <c r="N3601">
        <v>19112796623</v>
      </c>
      <c r="O3601" t="b">
        <v>1</v>
      </c>
      <c r="P3601">
        <v>1</v>
      </c>
      <c r="Q3601" t="str" cm="1">
        <f t="array" ref="Q3601">_xlfn.IFS(Table1[[#This Row],[Wealthier_Winner]]=-1,"Wealthier Nation Loses",Table1[[#This Row],[Wealthier_Winner]]=0,"Tie",Table1[[#This Row],[Wealthier_Winner]]=1,"Wealthier Nation Wins")</f>
        <v>Wealthier Nation Wins</v>
      </c>
    </row>
    <row r="3602" spans="1:17" x14ac:dyDescent="0.2">
      <c r="A3602" s="1">
        <v>5560</v>
      </c>
      <c r="B3602" s="2">
        <v>39697</v>
      </c>
      <c r="C3602" s="7">
        <f>_xlfn.FLOOR.MATH(Table1[[#This Row],[year]],10)</f>
        <v>2000</v>
      </c>
      <c r="D3602" t="s">
        <v>274</v>
      </c>
      <c r="E3602" t="s">
        <v>586</v>
      </c>
      <c r="F3602">
        <v>1</v>
      </c>
      <c r="G3602">
        <v>2</v>
      </c>
      <c r="H3602" t="s">
        <v>224</v>
      </c>
      <c r="I3602" t="s">
        <v>322</v>
      </c>
      <c r="J3602" t="s">
        <v>212</v>
      </c>
      <c r="K3602" t="b">
        <v>1</v>
      </c>
      <c r="L3602">
        <v>2008</v>
      </c>
      <c r="M3602">
        <v>64833083257</v>
      </c>
      <c r="N3602">
        <v>13385593990</v>
      </c>
      <c r="O3602" t="b">
        <v>1</v>
      </c>
      <c r="P3602">
        <v>-1</v>
      </c>
      <c r="Q3602" t="str" cm="1">
        <f t="array" ref="Q3602">_xlfn.IFS(Table1[[#This Row],[Wealthier_Winner]]=-1,"Wealthier Nation Loses",Table1[[#This Row],[Wealthier_Winner]]=0,"Tie",Table1[[#This Row],[Wealthier_Winner]]=1,"Wealthier Nation Wins")</f>
        <v>Wealthier Nation Loses</v>
      </c>
    </row>
    <row r="3603" spans="1:17" x14ac:dyDescent="0.2">
      <c r="A3603" s="1">
        <v>5561</v>
      </c>
      <c r="B3603" s="2">
        <v>39697</v>
      </c>
      <c r="C3603" s="7">
        <f>_xlfn.FLOOR.MATH(Table1[[#This Row],[year]],10)</f>
        <v>2000</v>
      </c>
      <c r="D3603" t="s">
        <v>59</v>
      </c>
      <c r="E3603" t="s">
        <v>223</v>
      </c>
      <c r="F3603">
        <v>1</v>
      </c>
      <c r="G3603">
        <v>1</v>
      </c>
      <c r="H3603" t="s">
        <v>224</v>
      </c>
      <c r="I3603" t="s">
        <v>253</v>
      </c>
      <c r="J3603" t="s">
        <v>59</v>
      </c>
      <c r="K3603" t="b">
        <v>0</v>
      </c>
      <c r="L3603">
        <v>2008</v>
      </c>
      <c r="M3603">
        <v>27871587349</v>
      </c>
      <c r="N3603">
        <v>38503720224</v>
      </c>
      <c r="O3603" t="b">
        <v>0</v>
      </c>
      <c r="P3603">
        <v>0</v>
      </c>
      <c r="Q3603" t="str" cm="1">
        <f t="array" ref="Q3603">_xlfn.IFS(Table1[[#This Row],[Wealthier_Winner]]=-1,"Wealthier Nation Loses",Table1[[#This Row],[Wealthier_Winner]]=0,"Tie",Table1[[#This Row],[Wealthier_Winner]]=1,"Wealthier Nation Wins")</f>
        <v>Tie</v>
      </c>
    </row>
    <row r="3604" spans="1:17" x14ac:dyDescent="0.2">
      <c r="A3604" s="1">
        <v>5562</v>
      </c>
      <c r="B3604" s="2">
        <v>39697</v>
      </c>
      <c r="C3604" s="7">
        <f>_xlfn.FLOOR.MATH(Table1[[#This Row],[year]],10)</f>
        <v>2000</v>
      </c>
      <c r="D3604" t="s">
        <v>64</v>
      </c>
      <c r="E3604" t="s">
        <v>510</v>
      </c>
      <c r="F3604">
        <v>1</v>
      </c>
      <c r="G3604">
        <v>0</v>
      </c>
      <c r="H3604" t="s">
        <v>224</v>
      </c>
      <c r="I3604" t="s">
        <v>632</v>
      </c>
      <c r="J3604" t="s">
        <v>64</v>
      </c>
      <c r="K3604" t="b">
        <v>0</v>
      </c>
      <c r="L3604">
        <v>2008</v>
      </c>
      <c r="M3604">
        <v>188110390659</v>
      </c>
      <c r="N3604">
        <v>60752106347</v>
      </c>
      <c r="O3604" t="b">
        <v>1</v>
      </c>
      <c r="P3604">
        <v>1</v>
      </c>
      <c r="Q3604" t="str" cm="1">
        <f t="array" ref="Q3604">_xlfn.IFS(Table1[[#This Row],[Wealthier_Winner]]=-1,"Wealthier Nation Loses",Table1[[#This Row],[Wealthier_Winner]]=0,"Tie",Table1[[#This Row],[Wealthier_Winner]]=1,"Wealthier Nation Wins")</f>
        <v>Wealthier Nation Wins</v>
      </c>
    </row>
    <row r="3605" spans="1:17" x14ac:dyDescent="0.2">
      <c r="A3605" s="1">
        <v>5565</v>
      </c>
      <c r="B3605" s="2">
        <v>39697</v>
      </c>
      <c r="C3605" s="7">
        <f>_xlfn.FLOOR.MATH(Table1[[#This Row],[year]],10)</f>
        <v>2000</v>
      </c>
      <c r="D3605" t="s">
        <v>34</v>
      </c>
      <c r="E3605" t="s">
        <v>65</v>
      </c>
      <c r="F3605">
        <v>1</v>
      </c>
      <c r="G3605">
        <v>2</v>
      </c>
      <c r="H3605" t="s">
        <v>224</v>
      </c>
      <c r="I3605" t="s">
        <v>710</v>
      </c>
      <c r="J3605" t="s">
        <v>34</v>
      </c>
      <c r="K3605" t="b">
        <v>0</v>
      </c>
      <c r="L3605">
        <v>2008</v>
      </c>
      <c r="M3605">
        <v>1552989690721</v>
      </c>
      <c r="N3605">
        <v>13881731875</v>
      </c>
      <c r="O3605" t="b">
        <v>1</v>
      </c>
      <c r="P3605">
        <v>-1</v>
      </c>
      <c r="Q3605" t="str" cm="1">
        <f t="array" ref="Q3605">_xlfn.IFS(Table1[[#This Row],[Wealthier_Winner]]=-1,"Wealthier Nation Loses",Table1[[#This Row],[Wealthier_Winner]]=0,"Tie",Table1[[#This Row],[Wealthier_Winner]]=1,"Wealthier Nation Wins")</f>
        <v>Wealthier Nation Loses</v>
      </c>
    </row>
    <row r="3606" spans="1:17" x14ac:dyDescent="0.2">
      <c r="A3606" s="1">
        <v>5566</v>
      </c>
      <c r="B3606" s="2">
        <v>39697</v>
      </c>
      <c r="C3606" s="7">
        <f>_xlfn.FLOOR.MATH(Table1[[#This Row],[year]],10)</f>
        <v>2000</v>
      </c>
      <c r="D3606" t="s">
        <v>56</v>
      </c>
      <c r="E3606" t="s">
        <v>252</v>
      </c>
      <c r="F3606">
        <v>7</v>
      </c>
      <c r="G3606">
        <v>0</v>
      </c>
      <c r="H3606" t="s">
        <v>224</v>
      </c>
      <c r="I3606" t="s">
        <v>225</v>
      </c>
      <c r="J3606" t="s">
        <v>56</v>
      </c>
      <c r="K3606" t="b">
        <v>0</v>
      </c>
      <c r="L3606">
        <v>2008</v>
      </c>
      <c r="M3606">
        <v>30801745700</v>
      </c>
      <c r="N3606">
        <v>3532969034</v>
      </c>
      <c r="O3606" t="b">
        <v>1</v>
      </c>
      <c r="P3606">
        <v>1</v>
      </c>
      <c r="Q3606" t="str" cm="1">
        <f t="array" ref="Q3606">_xlfn.IFS(Table1[[#This Row],[Wealthier_Winner]]=-1,"Wealthier Nation Loses",Table1[[#This Row],[Wealthier_Winner]]=0,"Tie",Table1[[#This Row],[Wealthier_Winner]]=1,"Wealthier Nation Wins")</f>
        <v>Wealthier Nation Wins</v>
      </c>
    </row>
    <row r="3607" spans="1:17" x14ac:dyDescent="0.2">
      <c r="A3607" s="1">
        <v>5567</v>
      </c>
      <c r="B3607" s="2">
        <v>39697</v>
      </c>
      <c r="C3607" s="7">
        <f>_xlfn.FLOOR.MATH(Table1[[#This Row],[year]],10)</f>
        <v>2000</v>
      </c>
      <c r="D3607" t="s">
        <v>69</v>
      </c>
      <c r="E3607" t="s">
        <v>70</v>
      </c>
      <c r="F3607">
        <v>5</v>
      </c>
      <c r="G3607">
        <v>0</v>
      </c>
      <c r="H3607" t="s">
        <v>224</v>
      </c>
      <c r="I3607" t="s">
        <v>281</v>
      </c>
      <c r="J3607" t="s">
        <v>69</v>
      </c>
      <c r="K3607" t="b">
        <v>0</v>
      </c>
      <c r="L3607">
        <v>2008</v>
      </c>
      <c r="M3607">
        <v>17986890000</v>
      </c>
      <c r="N3607">
        <v>10432962634</v>
      </c>
      <c r="O3607" t="b">
        <v>0</v>
      </c>
      <c r="P3607">
        <v>1</v>
      </c>
      <c r="Q3607" t="str" cm="1">
        <f t="array" ref="Q3607">_xlfn.IFS(Table1[[#This Row],[Wealthier_Winner]]=-1,"Wealthier Nation Loses",Table1[[#This Row],[Wealthier_Winner]]=0,"Tie",Table1[[#This Row],[Wealthier_Winner]]=1,"Wealthier Nation Wins")</f>
        <v>Wealthier Nation Wins</v>
      </c>
    </row>
    <row r="3608" spans="1:17" x14ac:dyDescent="0.2">
      <c r="A3608" s="1">
        <v>5568</v>
      </c>
      <c r="B3608" s="2">
        <v>39697</v>
      </c>
      <c r="C3608" s="7">
        <f>_xlfn.FLOOR.MATH(Table1[[#This Row],[year]],10)</f>
        <v>2000</v>
      </c>
      <c r="D3608" t="s">
        <v>17</v>
      </c>
      <c r="E3608" t="s">
        <v>49</v>
      </c>
      <c r="F3608">
        <v>3</v>
      </c>
      <c r="G3608">
        <v>0</v>
      </c>
      <c r="H3608" t="s">
        <v>224</v>
      </c>
      <c r="I3608" t="s">
        <v>83</v>
      </c>
      <c r="J3608" t="s">
        <v>17</v>
      </c>
      <c r="K3608" t="b">
        <v>0</v>
      </c>
      <c r="L3608">
        <v>2008</v>
      </c>
      <c r="M3608">
        <v>1161553459715</v>
      </c>
      <c r="N3608">
        <v>13709401520</v>
      </c>
      <c r="O3608" t="b">
        <v>1</v>
      </c>
      <c r="P3608">
        <v>1</v>
      </c>
      <c r="Q3608" t="str" cm="1">
        <f t="array" ref="Q3608">_xlfn.IFS(Table1[[#This Row],[Wealthier_Winner]]=-1,"Wealthier Nation Loses",Table1[[#This Row],[Wealthier_Winner]]=0,"Tie",Table1[[#This Row],[Wealthier_Winner]]=1,"Wealthier Nation Wins")</f>
        <v>Wealthier Nation Wins</v>
      </c>
    </row>
    <row r="3609" spans="1:17" x14ac:dyDescent="0.2">
      <c r="A3609" s="1">
        <v>5569</v>
      </c>
      <c r="B3609" s="2">
        <v>39698</v>
      </c>
      <c r="C3609" s="7">
        <f>_xlfn.FLOOR.MATH(Table1[[#This Row],[year]],10)</f>
        <v>2000</v>
      </c>
      <c r="D3609" t="s">
        <v>310</v>
      </c>
      <c r="E3609" t="s">
        <v>60</v>
      </c>
      <c r="F3609">
        <v>3</v>
      </c>
      <c r="G3609">
        <v>2</v>
      </c>
      <c r="H3609" t="s">
        <v>224</v>
      </c>
      <c r="I3609" t="s">
        <v>311</v>
      </c>
      <c r="J3609" t="s">
        <v>310</v>
      </c>
      <c r="K3609" t="b">
        <v>0</v>
      </c>
      <c r="L3609">
        <v>2008</v>
      </c>
      <c r="M3609">
        <v>9787734526</v>
      </c>
      <c r="N3609">
        <v>98790432989</v>
      </c>
      <c r="O3609" t="b">
        <v>1</v>
      </c>
      <c r="P3609">
        <v>-1</v>
      </c>
      <c r="Q3609" t="str" cm="1">
        <f t="array" ref="Q3609">_xlfn.IFS(Table1[[#This Row],[Wealthier_Winner]]=-1,"Wealthier Nation Loses",Table1[[#This Row],[Wealthier_Winner]]=0,"Tie",Table1[[#This Row],[Wealthier_Winner]]=1,"Wealthier Nation Wins")</f>
        <v>Wealthier Nation Loses</v>
      </c>
    </row>
    <row r="3610" spans="1:17" x14ac:dyDescent="0.2">
      <c r="A3610" s="1">
        <v>5570</v>
      </c>
      <c r="B3610" s="2">
        <v>39698</v>
      </c>
      <c r="C3610" s="7">
        <f>_xlfn.FLOOR.MATH(Table1[[#This Row],[year]],10)</f>
        <v>2000</v>
      </c>
      <c r="D3610" t="s">
        <v>14</v>
      </c>
      <c r="E3610" t="s">
        <v>13</v>
      </c>
      <c r="F3610">
        <v>0</v>
      </c>
      <c r="G3610">
        <v>3</v>
      </c>
      <c r="H3610" t="s">
        <v>224</v>
      </c>
      <c r="I3610" t="s">
        <v>75</v>
      </c>
      <c r="J3610" t="s">
        <v>14</v>
      </c>
      <c r="K3610" t="b">
        <v>0</v>
      </c>
      <c r="L3610">
        <v>2008</v>
      </c>
      <c r="M3610">
        <v>179894594475</v>
      </c>
      <c r="N3610">
        <v>1695855391757</v>
      </c>
      <c r="O3610" t="b">
        <v>1</v>
      </c>
      <c r="P3610">
        <v>1</v>
      </c>
      <c r="Q3610" t="str" cm="1">
        <f t="array" ref="Q3610">_xlfn.IFS(Table1[[#This Row],[Wealthier_Winner]]=-1,"Wealthier Nation Loses",Table1[[#This Row],[Wealthier_Winner]]=0,"Tie",Table1[[#This Row],[Wealthier_Winner]]=1,"Wealthier Nation Wins")</f>
        <v>Wealthier Nation Wins</v>
      </c>
    </row>
    <row r="3611" spans="1:17" x14ac:dyDescent="0.2">
      <c r="A3611" s="1">
        <v>5573</v>
      </c>
      <c r="B3611" s="2">
        <v>39698</v>
      </c>
      <c r="C3611" s="7">
        <f>_xlfn.FLOOR.MATH(Table1[[#This Row],[year]],10)</f>
        <v>2000</v>
      </c>
      <c r="D3611" t="s">
        <v>307</v>
      </c>
      <c r="E3611" t="s">
        <v>433</v>
      </c>
      <c r="F3611">
        <v>0</v>
      </c>
      <c r="G3611">
        <v>3</v>
      </c>
      <c r="H3611" t="s">
        <v>224</v>
      </c>
      <c r="I3611" t="s">
        <v>165</v>
      </c>
      <c r="J3611" t="s">
        <v>50</v>
      </c>
      <c r="K3611" t="b">
        <v>1</v>
      </c>
      <c r="L3611">
        <v>2008</v>
      </c>
      <c r="M3611">
        <v>1766902709</v>
      </c>
      <c r="N3611">
        <v>15571348344</v>
      </c>
      <c r="O3611" t="b">
        <v>1</v>
      </c>
      <c r="P3611">
        <v>1</v>
      </c>
      <c r="Q3611" t="str" cm="1">
        <f t="array" ref="Q3611">_xlfn.IFS(Table1[[#This Row],[Wealthier_Winner]]=-1,"Wealthier Nation Loses",Table1[[#This Row],[Wealthier_Winner]]=0,"Tie",Table1[[#This Row],[Wealthier_Winner]]=1,"Wealthier Nation Wins")</f>
        <v>Wealthier Nation Wins</v>
      </c>
    </row>
    <row r="3612" spans="1:17" x14ac:dyDescent="0.2">
      <c r="A3612" s="1">
        <v>5574</v>
      </c>
      <c r="B3612" s="2">
        <v>39698</v>
      </c>
      <c r="C3612" s="7">
        <f>_xlfn.FLOOR.MATH(Table1[[#This Row],[year]],10)</f>
        <v>2000</v>
      </c>
      <c r="D3612" t="s">
        <v>410</v>
      </c>
      <c r="E3612" t="s">
        <v>469</v>
      </c>
      <c r="F3612">
        <v>1</v>
      </c>
      <c r="G3612">
        <v>0</v>
      </c>
      <c r="H3612" t="s">
        <v>224</v>
      </c>
      <c r="I3612" t="s">
        <v>413</v>
      </c>
      <c r="J3612" t="s">
        <v>410</v>
      </c>
      <c r="K3612" t="b">
        <v>0</v>
      </c>
      <c r="L3612">
        <v>2008</v>
      </c>
      <c r="M3612">
        <v>10725137723</v>
      </c>
      <c r="N3612">
        <v>10730829116</v>
      </c>
      <c r="O3612" t="b">
        <v>0</v>
      </c>
      <c r="P3612">
        <v>-1</v>
      </c>
      <c r="Q3612" t="str" cm="1">
        <f t="array" ref="Q3612">_xlfn.IFS(Table1[[#This Row],[Wealthier_Winner]]=-1,"Wealthier Nation Loses",Table1[[#This Row],[Wealthier_Winner]]=0,"Tie",Table1[[#This Row],[Wealthier_Winner]]=1,"Wealthier Nation Wins")</f>
        <v>Wealthier Nation Loses</v>
      </c>
    </row>
    <row r="3613" spans="1:17" x14ac:dyDescent="0.2">
      <c r="A3613" s="1">
        <v>5576</v>
      </c>
      <c r="B3613" s="2">
        <v>39698</v>
      </c>
      <c r="C3613" s="7">
        <f>_xlfn.FLOOR.MATH(Table1[[#This Row],[year]],10)</f>
        <v>2000</v>
      </c>
      <c r="D3613" t="s">
        <v>343</v>
      </c>
      <c r="E3613" t="s">
        <v>357</v>
      </c>
      <c r="F3613">
        <v>3</v>
      </c>
      <c r="G3613">
        <v>1</v>
      </c>
      <c r="H3613" t="s">
        <v>224</v>
      </c>
      <c r="I3613" t="s">
        <v>349</v>
      </c>
      <c r="J3613" t="s">
        <v>343</v>
      </c>
      <c r="K3613" t="b">
        <v>0</v>
      </c>
      <c r="L3613">
        <v>2008</v>
      </c>
      <c r="M3613">
        <v>7297600226</v>
      </c>
      <c r="N3613">
        <v>14440404132</v>
      </c>
      <c r="O3613" t="b">
        <v>0</v>
      </c>
      <c r="P3613">
        <v>-1</v>
      </c>
      <c r="Q3613" t="str" cm="1">
        <f t="array" ref="Q3613">_xlfn.IFS(Table1[[#This Row],[Wealthier_Winner]]=-1,"Wealthier Nation Loses",Table1[[#This Row],[Wealthier_Winner]]=0,"Tie",Table1[[#This Row],[Wealthier_Winner]]=1,"Wealthier Nation Wins")</f>
        <v>Wealthier Nation Loses</v>
      </c>
    </row>
    <row r="3614" spans="1:17" x14ac:dyDescent="0.2">
      <c r="A3614" s="1">
        <v>5577</v>
      </c>
      <c r="B3614" s="2">
        <v>39698</v>
      </c>
      <c r="C3614" s="7">
        <f>_xlfn.FLOOR.MATH(Table1[[#This Row],[year]],10)</f>
        <v>2000</v>
      </c>
      <c r="D3614" t="s">
        <v>298</v>
      </c>
      <c r="E3614" t="s">
        <v>305</v>
      </c>
      <c r="F3614">
        <v>0</v>
      </c>
      <c r="G3614">
        <v>0</v>
      </c>
      <c r="H3614" t="s">
        <v>224</v>
      </c>
      <c r="I3614" t="s">
        <v>377</v>
      </c>
      <c r="J3614" t="s">
        <v>298</v>
      </c>
      <c r="K3614" t="b">
        <v>0</v>
      </c>
      <c r="L3614">
        <v>2008</v>
      </c>
      <c r="M3614">
        <v>4418000000</v>
      </c>
      <c r="N3614">
        <v>6964179983</v>
      </c>
      <c r="O3614" t="b">
        <v>0</v>
      </c>
      <c r="P3614">
        <v>0</v>
      </c>
      <c r="Q3614" t="str" cm="1">
        <f t="array" ref="Q3614">_xlfn.IFS(Table1[[#This Row],[Wealthier_Winner]]=-1,"Wealthier Nation Loses",Table1[[#This Row],[Wealthier_Winner]]=0,"Tie",Table1[[#This Row],[Wealthier_Winner]]=1,"Wealthier Nation Wins")</f>
        <v>Tie</v>
      </c>
    </row>
    <row r="3615" spans="1:17" x14ac:dyDescent="0.2">
      <c r="A3615" s="1">
        <v>5578</v>
      </c>
      <c r="B3615" s="2">
        <v>39700</v>
      </c>
      <c r="C3615" s="7">
        <f>_xlfn.FLOOR.MATH(Table1[[#This Row],[year]],10)</f>
        <v>2000</v>
      </c>
      <c r="D3615" t="s">
        <v>35</v>
      </c>
      <c r="E3615" t="s">
        <v>258</v>
      </c>
      <c r="F3615">
        <v>2</v>
      </c>
      <c r="G3615">
        <v>0</v>
      </c>
      <c r="H3615" t="s">
        <v>224</v>
      </c>
      <c r="I3615" t="s">
        <v>250</v>
      </c>
      <c r="J3615" t="s">
        <v>35</v>
      </c>
      <c r="K3615" t="b">
        <v>0</v>
      </c>
      <c r="L3615">
        <v>2008</v>
      </c>
      <c r="M3615">
        <v>24615267663</v>
      </c>
      <c r="N3615">
        <v>315953388510</v>
      </c>
      <c r="O3615" t="b">
        <v>1</v>
      </c>
      <c r="P3615">
        <v>-1</v>
      </c>
      <c r="Q3615" t="str" cm="1">
        <f t="array" ref="Q3615">_xlfn.IFS(Table1[[#This Row],[Wealthier_Winner]]=-1,"Wealthier Nation Loses",Table1[[#This Row],[Wealthier_Winner]]=0,"Tie",Table1[[#This Row],[Wealthier_Winner]]=1,"Wealthier Nation Wins")</f>
        <v>Wealthier Nation Loses</v>
      </c>
    </row>
    <row r="3616" spans="1:17" x14ac:dyDescent="0.2">
      <c r="A3616" s="1">
        <v>5579</v>
      </c>
      <c r="B3616" s="2">
        <v>39701</v>
      </c>
      <c r="C3616" s="7">
        <f>_xlfn.FLOOR.MATH(Table1[[#This Row],[year]],10)</f>
        <v>2000</v>
      </c>
      <c r="D3616" t="s">
        <v>373</v>
      </c>
      <c r="E3616" t="s">
        <v>303</v>
      </c>
      <c r="F3616">
        <v>3</v>
      </c>
      <c r="G3616">
        <v>0</v>
      </c>
      <c r="H3616" t="s">
        <v>224</v>
      </c>
      <c r="I3616" t="s">
        <v>374</v>
      </c>
      <c r="J3616" t="s">
        <v>373</v>
      </c>
      <c r="K3616" t="b">
        <v>0</v>
      </c>
      <c r="L3616">
        <v>2008</v>
      </c>
      <c r="M3616">
        <v>13258506375</v>
      </c>
      <c r="N3616">
        <v>9135419464</v>
      </c>
      <c r="O3616" t="b">
        <v>0</v>
      </c>
      <c r="P3616">
        <v>1</v>
      </c>
      <c r="Q3616" t="str" cm="1">
        <f t="array" ref="Q3616">_xlfn.IFS(Table1[[#This Row],[Wealthier_Winner]]=-1,"Wealthier Nation Loses",Table1[[#This Row],[Wealthier_Winner]]=0,"Tie",Table1[[#This Row],[Wealthier_Winner]]=1,"Wealthier Nation Wins")</f>
        <v>Wealthier Nation Wins</v>
      </c>
    </row>
    <row r="3617" spans="1:17" x14ac:dyDescent="0.2">
      <c r="A3617" s="1">
        <v>5580</v>
      </c>
      <c r="B3617" s="2">
        <v>39701</v>
      </c>
      <c r="C3617" s="7">
        <f>_xlfn.FLOOR.MATH(Table1[[#This Row],[year]],10)</f>
        <v>2000</v>
      </c>
      <c r="D3617" t="s">
        <v>601</v>
      </c>
      <c r="E3617" t="s">
        <v>510</v>
      </c>
      <c r="F3617">
        <v>1</v>
      </c>
      <c r="G3617">
        <v>3</v>
      </c>
      <c r="H3617" t="s">
        <v>224</v>
      </c>
      <c r="I3617" t="s">
        <v>602</v>
      </c>
      <c r="J3617" t="s">
        <v>601</v>
      </c>
      <c r="K3617" t="b">
        <v>0</v>
      </c>
      <c r="L3617">
        <v>2008</v>
      </c>
      <c r="M3617">
        <v>4102317468</v>
      </c>
      <c r="N3617">
        <v>60752106347</v>
      </c>
      <c r="O3617" t="b">
        <v>1</v>
      </c>
      <c r="P3617">
        <v>1</v>
      </c>
      <c r="Q3617" t="str" cm="1">
        <f t="array" ref="Q3617">_xlfn.IFS(Table1[[#This Row],[Wealthier_Winner]]=-1,"Wealthier Nation Loses",Table1[[#This Row],[Wealthier_Winner]]=0,"Tie",Table1[[#This Row],[Wealthier_Winner]]=1,"Wealthier Nation Wins")</f>
        <v>Wealthier Nation Wins</v>
      </c>
    </row>
    <row r="3618" spans="1:17" x14ac:dyDescent="0.2">
      <c r="A3618" s="1">
        <v>5581</v>
      </c>
      <c r="B3618" s="2">
        <v>39701</v>
      </c>
      <c r="C3618" s="7">
        <f>_xlfn.FLOOR.MATH(Table1[[#This Row],[year]],10)</f>
        <v>2000</v>
      </c>
      <c r="D3618" t="s">
        <v>513</v>
      </c>
      <c r="E3618" t="s">
        <v>503</v>
      </c>
      <c r="F3618">
        <v>0</v>
      </c>
      <c r="G3618">
        <v>0</v>
      </c>
      <c r="H3618" t="s">
        <v>224</v>
      </c>
      <c r="I3618" t="s">
        <v>521</v>
      </c>
      <c r="J3618" t="s">
        <v>513</v>
      </c>
      <c r="K3618" t="b">
        <v>0</v>
      </c>
      <c r="L3618">
        <v>2008</v>
      </c>
      <c r="M3618">
        <v>48851293785</v>
      </c>
      <c r="N3618">
        <v>5081479840</v>
      </c>
      <c r="O3618" t="b">
        <v>1</v>
      </c>
      <c r="P3618">
        <v>0</v>
      </c>
      <c r="Q3618" t="str" cm="1">
        <f t="array" ref="Q3618">_xlfn.IFS(Table1[[#This Row],[Wealthier_Winner]]=-1,"Wealthier Nation Loses",Table1[[#This Row],[Wealthier_Winner]]=0,"Tie",Table1[[#This Row],[Wealthier_Winner]]=1,"Wealthier Nation Wins")</f>
        <v>Tie</v>
      </c>
    </row>
    <row r="3619" spans="1:17" x14ac:dyDescent="0.2">
      <c r="A3619" s="1">
        <v>5582</v>
      </c>
      <c r="B3619" s="2">
        <v>39701</v>
      </c>
      <c r="C3619" s="7">
        <f>_xlfn.FLOOR.MATH(Table1[[#This Row],[year]],10)</f>
        <v>2000</v>
      </c>
      <c r="D3619" t="s">
        <v>73</v>
      </c>
      <c r="E3619" t="s">
        <v>476</v>
      </c>
      <c r="F3619">
        <v>7</v>
      </c>
      <c r="G3619">
        <v>0</v>
      </c>
      <c r="H3619" t="s">
        <v>224</v>
      </c>
      <c r="I3619" t="s">
        <v>636</v>
      </c>
      <c r="J3619" t="s">
        <v>73</v>
      </c>
      <c r="K3619" t="b">
        <v>0</v>
      </c>
      <c r="L3619">
        <v>2008</v>
      </c>
      <c r="M3619">
        <v>19112796623</v>
      </c>
      <c r="N3619">
        <v>24342935403</v>
      </c>
      <c r="O3619" t="b">
        <v>0</v>
      </c>
      <c r="P3619">
        <v>-1</v>
      </c>
      <c r="Q3619" t="str" cm="1">
        <f t="array" ref="Q3619">_xlfn.IFS(Table1[[#This Row],[Wealthier_Winner]]=-1,"Wealthier Nation Loses",Table1[[#This Row],[Wealthier_Winner]]=0,"Tie",Table1[[#This Row],[Wealthier_Winner]]=1,"Wealthier Nation Wins")</f>
        <v>Wealthier Nation Loses</v>
      </c>
    </row>
    <row r="3620" spans="1:17" x14ac:dyDescent="0.2">
      <c r="A3620" s="1">
        <v>5583</v>
      </c>
      <c r="B3620" s="2">
        <v>39701</v>
      </c>
      <c r="C3620" s="7">
        <f>_xlfn.FLOOR.MATH(Table1[[#This Row],[year]],10)</f>
        <v>2000</v>
      </c>
      <c r="D3620" t="s">
        <v>13</v>
      </c>
      <c r="E3620" t="s">
        <v>47</v>
      </c>
      <c r="F3620">
        <v>0</v>
      </c>
      <c r="G3620">
        <v>0</v>
      </c>
      <c r="H3620" t="s">
        <v>224</v>
      </c>
      <c r="I3620" t="s">
        <v>173</v>
      </c>
      <c r="J3620" t="s">
        <v>13</v>
      </c>
      <c r="K3620" t="b">
        <v>0</v>
      </c>
      <c r="L3620">
        <v>2008</v>
      </c>
      <c r="M3620">
        <v>1695855391757</v>
      </c>
      <c r="N3620">
        <v>16674276285</v>
      </c>
      <c r="O3620" t="b">
        <v>1</v>
      </c>
      <c r="P3620">
        <v>0</v>
      </c>
      <c r="Q3620" t="str" cm="1">
        <f t="array" ref="Q3620">_xlfn.IFS(Table1[[#This Row],[Wealthier_Winner]]=-1,"Wealthier Nation Loses",Table1[[#This Row],[Wealthier_Winner]]=0,"Tie",Table1[[#This Row],[Wealthier_Winner]]=1,"Wealthier Nation Wins")</f>
        <v>Tie</v>
      </c>
    </row>
    <row r="3621" spans="1:17" x14ac:dyDescent="0.2">
      <c r="A3621" s="1">
        <v>5584</v>
      </c>
      <c r="B3621" s="2">
        <v>39701</v>
      </c>
      <c r="C3621" s="7">
        <f>_xlfn.FLOOR.MATH(Table1[[#This Row],[year]],10)</f>
        <v>2000</v>
      </c>
      <c r="D3621" t="s">
        <v>586</v>
      </c>
      <c r="E3621" t="s">
        <v>274</v>
      </c>
      <c r="F3621">
        <v>1</v>
      </c>
      <c r="G3621">
        <v>3</v>
      </c>
      <c r="H3621" t="s">
        <v>224</v>
      </c>
      <c r="I3621" t="s">
        <v>322</v>
      </c>
      <c r="J3621" t="s">
        <v>212</v>
      </c>
      <c r="K3621" t="b">
        <v>1</v>
      </c>
      <c r="L3621">
        <v>2008</v>
      </c>
      <c r="M3621">
        <v>13385593990</v>
      </c>
      <c r="N3621">
        <v>64833083257</v>
      </c>
      <c r="O3621" t="b">
        <v>1</v>
      </c>
      <c r="P3621">
        <v>1</v>
      </c>
      <c r="Q3621" t="str" cm="1">
        <f t="array" ref="Q3621">_xlfn.IFS(Table1[[#This Row],[Wealthier_Winner]]=-1,"Wealthier Nation Loses",Table1[[#This Row],[Wealthier_Winner]]=0,"Tie",Table1[[#This Row],[Wealthier_Winner]]=1,"Wealthier Nation Wins")</f>
        <v>Wealthier Nation Wins</v>
      </c>
    </row>
    <row r="3622" spans="1:17" x14ac:dyDescent="0.2">
      <c r="A3622" s="1">
        <v>5585</v>
      </c>
      <c r="B3622" s="2">
        <v>39701</v>
      </c>
      <c r="C3622" s="7">
        <f>_xlfn.FLOOR.MATH(Table1[[#This Row],[year]],10)</f>
        <v>2000</v>
      </c>
      <c r="D3622" t="s">
        <v>14</v>
      </c>
      <c r="E3622" t="s">
        <v>15</v>
      </c>
      <c r="F3622">
        <v>4</v>
      </c>
      <c r="G3622">
        <v>0</v>
      </c>
      <c r="H3622" t="s">
        <v>224</v>
      </c>
      <c r="I3622" t="s">
        <v>75</v>
      </c>
      <c r="J3622" t="s">
        <v>14</v>
      </c>
      <c r="K3622" t="b">
        <v>0</v>
      </c>
      <c r="L3622">
        <v>2008</v>
      </c>
      <c r="M3622">
        <v>179894594475</v>
      </c>
      <c r="N3622">
        <v>242504150472</v>
      </c>
      <c r="O3622" t="b">
        <v>0</v>
      </c>
      <c r="P3622">
        <v>-1</v>
      </c>
      <c r="Q3622" t="str" cm="1">
        <f t="array" ref="Q3622">_xlfn.IFS(Table1[[#This Row],[Wealthier_Winner]]=-1,"Wealthier Nation Loses",Table1[[#This Row],[Wealthier_Winner]]=0,"Tie",Table1[[#This Row],[Wealthier_Winner]]=1,"Wealthier Nation Wins")</f>
        <v>Wealthier Nation Loses</v>
      </c>
    </row>
    <row r="3623" spans="1:17" x14ac:dyDescent="0.2">
      <c r="A3623" s="1">
        <v>5586</v>
      </c>
      <c r="B3623" s="2">
        <v>39701</v>
      </c>
      <c r="C3623" s="7">
        <f>_xlfn.FLOOR.MATH(Table1[[#This Row],[year]],10)</f>
        <v>2000</v>
      </c>
      <c r="D3623" t="s">
        <v>52</v>
      </c>
      <c r="E3623" t="s">
        <v>194</v>
      </c>
      <c r="F3623">
        <v>1</v>
      </c>
      <c r="G3623">
        <v>4</v>
      </c>
      <c r="H3623" t="s">
        <v>224</v>
      </c>
      <c r="I3623" t="s">
        <v>538</v>
      </c>
      <c r="J3623" t="s">
        <v>52</v>
      </c>
      <c r="K3623" t="b">
        <v>0</v>
      </c>
      <c r="L3623">
        <v>2008</v>
      </c>
      <c r="M3623">
        <v>68472854617</v>
      </c>
      <c r="N3623">
        <v>2945251838235</v>
      </c>
      <c r="O3623" t="b">
        <v>1</v>
      </c>
      <c r="P3623">
        <v>1</v>
      </c>
      <c r="Q3623" t="str" cm="1">
        <f t="array" ref="Q3623">_xlfn.IFS(Table1[[#This Row],[Wealthier_Winner]]=-1,"Wealthier Nation Loses",Table1[[#This Row],[Wealthier_Winner]]=0,"Tie",Table1[[#This Row],[Wealthier_Winner]]=1,"Wealthier Nation Wins")</f>
        <v>Wealthier Nation Wins</v>
      </c>
    </row>
    <row r="3624" spans="1:17" x14ac:dyDescent="0.2">
      <c r="A3624" s="1">
        <v>5587</v>
      </c>
      <c r="B3624" s="2">
        <v>39701</v>
      </c>
      <c r="C3624" s="7">
        <f>_xlfn.FLOOR.MATH(Table1[[#This Row],[year]],10)</f>
        <v>2000</v>
      </c>
      <c r="D3624" t="s">
        <v>447</v>
      </c>
      <c r="E3624" t="s">
        <v>44</v>
      </c>
      <c r="F3624">
        <v>0</v>
      </c>
      <c r="G3624">
        <v>1</v>
      </c>
      <c r="H3624" t="s">
        <v>224</v>
      </c>
      <c r="I3624" t="s">
        <v>631</v>
      </c>
      <c r="J3624" t="s">
        <v>447</v>
      </c>
      <c r="K3624" t="b">
        <v>0</v>
      </c>
      <c r="L3624">
        <v>2008</v>
      </c>
      <c r="M3624">
        <v>2489873249</v>
      </c>
      <c r="N3624">
        <v>214315932061</v>
      </c>
      <c r="O3624" t="b">
        <v>1</v>
      </c>
      <c r="P3624">
        <v>1</v>
      </c>
      <c r="Q3624" t="str" cm="1">
        <f t="array" ref="Q3624">_xlfn.IFS(Table1[[#This Row],[Wealthier_Winner]]=-1,"Wealthier Nation Loses",Table1[[#This Row],[Wealthier_Winner]]=0,"Tie",Table1[[#This Row],[Wealthier_Winner]]=1,"Wealthier Nation Wins")</f>
        <v>Wealthier Nation Wins</v>
      </c>
    </row>
    <row r="3625" spans="1:17" x14ac:dyDescent="0.2">
      <c r="A3625" s="1">
        <v>5588</v>
      </c>
      <c r="B3625" s="2">
        <v>39701</v>
      </c>
      <c r="C3625" s="7">
        <f>_xlfn.FLOOR.MATH(Table1[[#This Row],[year]],10)</f>
        <v>2000</v>
      </c>
      <c r="D3625" t="s">
        <v>230</v>
      </c>
      <c r="E3625" t="s">
        <v>16</v>
      </c>
      <c r="F3625">
        <v>3</v>
      </c>
      <c r="G3625">
        <v>3</v>
      </c>
      <c r="H3625" t="s">
        <v>224</v>
      </c>
      <c r="I3625" t="s">
        <v>231</v>
      </c>
      <c r="J3625" t="s">
        <v>230</v>
      </c>
      <c r="K3625" t="b">
        <v>0</v>
      </c>
      <c r="L3625">
        <v>2008</v>
      </c>
      <c r="M3625">
        <v>285698662071</v>
      </c>
      <c r="N3625">
        <v>3808197720125</v>
      </c>
      <c r="O3625" t="b">
        <v>1</v>
      </c>
      <c r="P3625">
        <v>0</v>
      </c>
      <c r="Q3625" t="str" cm="1">
        <f t="array" ref="Q3625">_xlfn.IFS(Table1[[#This Row],[Wealthier_Winner]]=-1,"Wealthier Nation Loses",Table1[[#This Row],[Wealthier_Winner]]=0,"Tie",Table1[[#This Row],[Wealthier_Winner]]=1,"Wealthier Nation Wins")</f>
        <v>Tie</v>
      </c>
    </row>
    <row r="3626" spans="1:17" x14ac:dyDescent="0.2">
      <c r="A3626" s="1">
        <v>5589</v>
      </c>
      <c r="B3626" s="2">
        <v>39701</v>
      </c>
      <c r="C3626" s="7">
        <f>_xlfn.FLOOR.MATH(Table1[[#This Row],[year]],10)</f>
        <v>2000</v>
      </c>
      <c r="D3626" t="s">
        <v>20</v>
      </c>
      <c r="E3626" t="s">
        <v>61</v>
      </c>
      <c r="F3626">
        <v>2</v>
      </c>
      <c r="G3626">
        <v>1</v>
      </c>
      <c r="H3626" t="s">
        <v>224</v>
      </c>
      <c r="I3626" t="s">
        <v>132</v>
      </c>
      <c r="J3626" t="s">
        <v>20</v>
      </c>
      <c r="K3626" t="b">
        <v>0</v>
      </c>
      <c r="L3626">
        <v>2008</v>
      </c>
      <c r="M3626">
        <v>2926802941585</v>
      </c>
      <c r="N3626">
        <v>54220641201</v>
      </c>
      <c r="O3626" t="b">
        <v>1</v>
      </c>
      <c r="P3626">
        <v>1</v>
      </c>
      <c r="Q3626" t="str" cm="1">
        <f t="array" ref="Q3626">_xlfn.IFS(Table1[[#This Row],[Wealthier_Winner]]=-1,"Wealthier Nation Loses",Table1[[#This Row],[Wealthier_Winner]]=0,"Tie",Table1[[#This Row],[Wealthier_Winner]]=1,"Wealthier Nation Wins")</f>
        <v>Wealthier Nation Wins</v>
      </c>
    </row>
    <row r="3627" spans="1:17" x14ac:dyDescent="0.2">
      <c r="A3627" s="1">
        <v>5590</v>
      </c>
      <c r="B3627" s="2">
        <v>39701</v>
      </c>
      <c r="C3627" s="7">
        <f>_xlfn.FLOOR.MATH(Table1[[#This Row],[year]],10)</f>
        <v>2000</v>
      </c>
      <c r="D3627" t="s">
        <v>223</v>
      </c>
      <c r="E3627" t="s">
        <v>517</v>
      </c>
      <c r="F3627">
        <v>4</v>
      </c>
      <c r="G3627">
        <v>1</v>
      </c>
      <c r="H3627" t="s">
        <v>224</v>
      </c>
      <c r="I3627" t="s">
        <v>227</v>
      </c>
      <c r="J3627" t="s">
        <v>223</v>
      </c>
      <c r="K3627" t="b">
        <v>0</v>
      </c>
      <c r="L3627">
        <v>2008</v>
      </c>
      <c r="M3627">
        <v>38503720224</v>
      </c>
      <c r="N3627">
        <v>56302129629</v>
      </c>
      <c r="O3627" t="b">
        <v>0</v>
      </c>
      <c r="P3627">
        <v>-1</v>
      </c>
      <c r="Q3627" t="str" cm="1">
        <f t="array" ref="Q3627">_xlfn.IFS(Table1[[#This Row],[Wealthier_Winner]]=-1,"Wealthier Nation Loses",Table1[[#This Row],[Wealthier_Winner]]=0,"Tie",Table1[[#This Row],[Wealthier_Winner]]=1,"Wealthier Nation Wins")</f>
        <v>Wealthier Nation Loses</v>
      </c>
    </row>
    <row r="3628" spans="1:17" x14ac:dyDescent="0.2">
      <c r="A3628" s="1">
        <v>5591</v>
      </c>
      <c r="B3628" s="2">
        <v>39701</v>
      </c>
      <c r="C3628" s="7">
        <f>_xlfn.FLOOR.MATH(Table1[[#This Row],[year]],10)</f>
        <v>2000</v>
      </c>
      <c r="D3628" t="s">
        <v>70</v>
      </c>
      <c r="E3628" t="s">
        <v>56</v>
      </c>
      <c r="F3628">
        <v>1</v>
      </c>
      <c r="G3628">
        <v>3</v>
      </c>
      <c r="H3628" t="s">
        <v>224</v>
      </c>
      <c r="I3628" t="s">
        <v>280</v>
      </c>
      <c r="J3628" t="s">
        <v>70</v>
      </c>
      <c r="K3628" t="b">
        <v>0</v>
      </c>
      <c r="L3628">
        <v>2008</v>
      </c>
      <c r="M3628">
        <v>10432962634</v>
      </c>
      <c r="N3628">
        <v>30801745700</v>
      </c>
      <c r="O3628" t="b">
        <v>1</v>
      </c>
      <c r="P3628">
        <v>1</v>
      </c>
      <c r="Q3628" t="str" cm="1">
        <f t="array" ref="Q3628">_xlfn.IFS(Table1[[#This Row],[Wealthier_Winner]]=-1,"Wealthier Nation Loses",Table1[[#This Row],[Wealthier_Winner]]=0,"Tie",Table1[[#This Row],[Wealthier_Winner]]=1,"Wealthier Nation Wins")</f>
        <v>Wealthier Nation Wins</v>
      </c>
    </row>
    <row r="3629" spans="1:17" x14ac:dyDescent="0.2">
      <c r="A3629" s="1">
        <v>5592</v>
      </c>
      <c r="B3629" s="2">
        <v>39701</v>
      </c>
      <c r="C3629" s="7">
        <f>_xlfn.FLOOR.MATH(Table1[[#This Row],[year]],10)</f>
        <v>2000</v>
      </c>
      <c r="D3629" t="s">
        <v>65</v>
      </c>
      <c r="E3629" t="s">
        <v>49</v>
      </c>
      <c r="F3629">
        <v>2</v>
      </c>
      <c r="G3629">
        <v>0</v>
      </c>
      <c r="H3629" t="s">
        <v>224</v>
      </c>
      <c r="I3629" t="s">
        <v>254</v>
      </c>
      <c r="J3629" t="s">
        <v>65</v>
      </c>
      <c r="K3629" t="b">
        <v>0</v>
      </c>
      <c r="L3629">
        <v>2008</v>
      </c>
      <c r="M3629">
        <v>13881731875</v>
      </c>
      <c r="N3629">
        <v>13709401520</v>
      </c>
      <c r="O3629" t="b">
        <v>0</v>
      </c>
      <c r="P3629">
        <v>1</v>
      </c>
      <c r="Q3629" t="str" cm="1">
        <f t="array" ref="Q3629">_xlfn.IFS(Table1[[#This Row],[Wealthier_Winner]]=-1,"Wealthier Nation Loses",Table1[[#This Row],[Wealthier_Winner]]=0,"Tie",Table1[[#This Row],[Wealthier_Winner]]=1,"Wealthier Nation Wins")</f>
        <v>Wealthier Nation Wins</v>
      </c>
    </row>
    <row r="3630" spans="1:17" x14ac:dyDescent="0.2">
      <c r="A3630" s="1">
        <v>5594</v>
      </c>
      <c r="B3630" s="2">
        <v>39701</v>
      </c>
      <c r="C3630" s="7">
        <f>_xlfn.FLOOR.MATH(Table1[[#This Row],[year]],10)</f>
        <v>2000</v>
      </c>
      <c r="D3630" t="s">
        <v>18</v>
      </c>
      <c r="E3630" t="s">
        <v>534</v>
      </c>
      <c r="F3630">
        <v>2</v>
      </c>
      <c r="G3630">
        <v>0</v>
      </c>
      <c r="H3630" t="s">
        <v>224</v>
      </c>
      <c r="I3630" t="s">
        <v>112</v>
      </c>
      <c r="J3630" t="s">
        <v>18</v>
      </c>
      <c r="K3630" t="b">
        <v>0</v>
      </c>
      <c r="L3630">
        <v>2008</v>
      </c>
      <c r="M3630">
        <v>2417508414187</v>
      </c>
      <c r="N3630">
        <v>12795145130</v>
      </c>
      <c r="O3630" t="b">
        <v>1</v>
      </c>
      <c r="P3630">
        <v>1</v>
      </c>
      <c r="Q3630" t="str" cm="1">
        <f t="array" ref="Q3630">_xlfn.IFS(Table1[[#This Row],[Wealthier_Winner]]=-1,"Wealthier Nation Loses",Table1[[#This Row],[Wealthier_Winner]]=0,"Tie",Table1[[#This Row],[Wealthier_Winner]]=1,"Wealthier Nation Wins")</f>
        <v>Wealthier Nation Wins</v>
      </c>
    </row>
    <row r="3631" spans="1:17" x14ac:dyDescent="0.2">
      <c r="A3631" s="1">
        <v>5595</v>
      </c>
      <c r="B3631" s="2">
        <v>39701</v>
      </c>
      <c r="C3631" s="7">
        <f>_xlfn.FLOOR.MATH(Table1[[#This Row],[year]],10)</f>
        <v>2000</v>
      </c>
      <c r="D3631" t="s">
        <v>558</v>
      </c>
      <c r="E3631" t="s">
        <v>64</v>
      </c>
      <c r="F3631">
        <v>1</v>
      </c>
      <c r="G3631">
        <v>3</v>
      </c>
      <c r="H3631" t="s">
        <v>224</v>
      </c>
      <c r="I3631" t="s">
        <v>559</v>
      </c>
      <c r="J3631" t="s">
        <v>558</v>
      </c>
      <c r="K3631" t="b">
        <v>0</v>
      </c>
      <c r="L3631">
        <v>2008</v>
      </c>
      <c r="M3631">
        <v>133441648851</v>
      </c>
      <c r="N3631">
        <v>188110390659</v>
      </c>
      <c r="O3631" t="b">
        <v>0</v>
      </c>
      <c r="P3631">
        <v>1</v>
      </c>
      <c r="Q3631" t="str" cm="1">
        <f t="array" ref="Q3631">_xlfn.IFS(Table1[[#This Row],[Wealthier_Winner]]=-1,"Wealthier Nation Loses",Table1[[#This Row],[Wealthier_Winner]]=0,"Tie",Table1[[#This Row],[Wealthier_Winner]]=1,"Wealthier Nation Wins")</f>
        <v>Wealthier Nation Wins</v>
      </c>
    </row>
    <row r="3632" spans="1:17" x14ac:dyDescent="0.2">
      <c r="A3632" s="1">
        <v>5597</v>
      </c>
      <c r="B3632" s="2">
        <v>39701</v>
      </c>
      <c r="C3632" s="7">
        <f>_xlfn.FLOOR.MATH(Table1[[#This Row],[year]],10)</f>
        <v>2000</v>
      </c>
      <c r="D3632" t="s">
        <v>525</v>
      </c>
      <c r="E3632" t="s">
        <v>48</v>
      </c>
      <c r="F3632">
        <v>0</v>
      </c>
      <c r="G3632">
        <v>2</v>
      </c>
      <c r="H3632" t="s">
        <v>224</v>
      </c>
      <c r="I3632" t="s">
        <v>526</v>
      </c>
      <c r="J3632" t="s">
        <v>525</v>
      </c>
      <c r="K3632" t="b">
        <v>0</v>
      </c>
      <c r="L3632">
        <v>2008</v>
      </c>
      <c r="M3632">
        <v>34135200994</v>
      </c>
      <c r="N3632">
        <v>351121399546</v>
      </c>
      <c r="O3632" t="b">
        <v>1</v>
      </c>
      <c r="P3632">
        <v>1</v>
      </c>
      <c r="Q3632" t="str" cm="1">
        <f t="array" ref="Q3632">_xlfn.IFS(Table1[[#This Row],[Wealthier_Winner]]=-1,"Wealthier Nation Loses",Table1[[#This Row],[Wealthier_Winner]]=0,"Tie",Table1[[#This Row],[Wealthier_Winner]]=1,"Wealthier Nation Wins")</f>
        <v>Wealthier Nation Wins</v>
      </c>
    </row>
    <row r="3633" spans="1:17" x14ac:dyDescent="0.2">
      <c r="A3633" s="1">
        <v>5598</v>
      </c>
      <c r="B3633" s="2">
        <v>39701</v>
      </c>
      <c r="C3633" s="7">
        <f>_xlfn.FLOOR.MATH(Table1[[#This Row],[year]],10)</f>
        <v>2000</v>
      </c>
      <c r="D3633" t="s">
        <v>523</v>
      </c>
      <c r="E3633" t="s">
        <v>29</v>
      </c>
      <c r="F3633">
        <v>2</v>
      </c>
      <c r="G3633">
        <v>0</v>
      </c>
      <c r="H3633" t="s">
        <v>224</v>
      </c>
      <c r="I3633" t="s">
        <v>711</v>
      </c>
      <c r="J3633" t="s">
        <v>523</v>
      </c>
      <c r="K3633" t="b">
        <v>0</v>
      </c>
      <c r="L3633">
        <v>2008</v>
      </c>
      <c r="M3633">
        <v>47831254207</v>
      </c>
      <c r="N3633">
        <v>429234399096</v>
      </c>
      <c r="O3633" t="b">
        <v>1</v>
      </c>
      <c r="P3633">
        <v>-1</v>
      </c>
      <c r="Q3633" t="str" cm="1">
        <f t="array" ref="Q3633">_xlfn.IFS(Table1[[#This Row],[Wealthier_Winner]]=-1,"Wealthier Nation Loses",Table1[[#This Row],[Wealthier_Winner]]=0,"Tie",Table1[[#This Row],[Wealthier_Winner]]=1,"Wealthier Nation Wins")</f>
        <v>Wealthier Nation Loses</v>
      </c>
    </row>
    <row r="3634" spans="1:17" x14ac:dyDescent="0.2">
      <c r="A3634" s="1">
        <v>5599</v>
      </c>
      <c r="B3634" s="2">
        <v>39701</v>
      </c>
      <c r="C3634" s="7">
        <f>_xlfn.FLOOR.MATH(Table1[[#This Row],[year]],10)</f>
        <v>2000</v>
      </c>
      <c r="D3634" t="s">
        <v>502</v>
      </c>
      <c r="E3634" t="s">
        <v>27</v>
      </c>
      <c r="F3634">
        <v>1</v>
      </c>
      <c r="G3634">
        <v>2</v>
      </c>
      <c r="H3634" t="s">
        <v>224</v>
      </c>
      <c r="I3634" t="s">
        <v>504</v>
      </c>
      <c r="J3634" t="s">
        <v>502</v>
      </c>
      <c r="K3634" t="b">
        <v>0</v>
      </c>
      <c r="L3634">
        <v>2008</v>
      </c>
      <c r="M3634">
        <v>9909552434</v>
      </c>
      <c r="N3634">
        <v>957901566041</v>
      </c>
      <c r="O3634" t="b">
        <v>1</v>
      </c>
      <c r="P3634">
        <v>1</v>
      </c>
      <c r="Q3634" t="str" cm="1">
        <f t="array" ref="Q3634">_xlfn.IFS(Table1[[#This Row],[Wealthier_Winner]]=-1,"Wealthier Nation Loses",Table1[[#This Row],[Wealthier_Winner]]=0,"Tie",Table1[[#This Row],[Wealthier_Winner]]=1,"Wealthier Nation Wins")</f>
        <v>Wealthier Nation Wins</v>
      </c>
    </row>
    <row r="3635" spans="1:17" x14ac:dyDescent="0.2">
      <c r="A3635" s="1">
        <v>5600</v>
      </c>
      <c r="B3635" s="2">
        <v>39701</v>
      </c>
      <c r="C3635" s="7">
        <f>_xlfn.FLOOR.MATH(Table1[[#This Row],[year]],10)</f>
        <v>2000</v>
      </c>
      <c r="D3635" t="s">
        <v>17</v>
      </c>
      <c r="E3635" t="s">
        <v>34</v>
      </c>
      <c r="F3635">
        <v>2</v>
      </c>
      <c r="G3635">
        <v>1</v>
      </c>
      <c r="H3635" t="s">
        <v>224</v>
      </c>
      <c r="I3635" t="s">
        <v>712</v>
      </c>
      <c r="J3635" t="s">
        <v>17</v>
      </c>
      <c r="K3635" t="b">
        <v>0</v>
      </c>
      <c r="L3635">
        <v>2008</v>
      </c>
      <c r="M3635">
        <v>1161553459715</v>
      </c>
      <c r="N3635">
        <v>1552989690721</v>
      </c>
      <c r="O3635" t="b">
        <v>0</v>
      </c>
      <c r="P3635">
        <v>-1</v>
      </c>
      <c r="Q3635" t="str" cm="1">
        <f t="array" ref="Q3635">_xlfn.IFS(Table1[[#This Row],[Wealthier_Winner]]=-1,"Wealthier Nation Loses",Table1[[#This Row],[Wealthier_Winner]]=0,"Tie",Table1[[#This Row],[Wealthier_Winner]]=1,"Wealthier Nation Wins")</f>
        <v>Wealthier Nation Loses</v>
      </c>
    </row>
    <row r="3636" spans="1:17" x14ac:dyDescent="0.2">
      <c r="A3636" s="1">
        <v>5601</v>
      </c>
      <c r="B3636" s="2">
        <v>39701</v>
      </c>
      <c r="C3636" s="7">
        <f>_xlfn.FLOOR.MATH(Table1[[#This Row],[year]],10)</f>
        <v>2000</v>
      </c>
      <c r="D3636" t="s">
        <v>527</v>
      </c>
      <c r="E3636" t="s">
        <v>22</v>
      </c>
      <c r="F3636">
        <v>1</v>
      </c>
      <c r="G3636">
        <v>2</v>
      </c>
      <c r="H3636" t="s">
        <v>224</v>
      </c>
      <c r="I3636" t="s">
        <v>528</v>
      </c>
      <c r="J3636" t="s">
        <v>527</v>
      </c>
      <c r="K3636" t="b">
        <v>0</v>
      </c>
      <c r="L3636">
        <v>2008</v>
      </c>
      <c r="M3636">
        <v>6054824248</v>
      </c>
      <c r="N3636">
        <v>221231658862</v>
      </c>
      <c r="O3636" t="b">
        <v>1</v>
      </c>
      <c r="P3636">
        <v>1</v>
      </c>
      <c r="Q3636" t="str" cm="1">
        <f t="array" ref="Q3636">_xlfn.IFS(Table1[[#This Row],[Wealthier_Winner]]=-1,"Wealthier Nation Loses",Table1[[#This Row],[Wealthier_Winner]]=0,"Tie",Table1[[#This Row],[Wealthier_Winner]]=1,"Wealthier Nation Wins")</f>
        <v>Wealthier Nation Wins</v>
      </c>
    </row>
    <row r="3637" spans="1:17" x14ac:dyDescent="0.2">
      <c r="A3637" s="1">
        <v>5604</v>
      </c>
      <c r="B3637" s="2">
        <v>39701</v>
      </c>
      <c r="C3637" s="7">
        <f>_xlfn.FLOOR.MATH(Table1[[#This Row],[year]],10)</f>
        <v>2000</v>
      </c>
      <c r="D3637" t="s">
        <v>31</v>
      </c>
      <c r="E3637" t="s">
        <v>19</v>
      </c>
      <c r="F3637">
        <v>1</v>
      </c>
      <c r="G3637">
        <v>1</v>
      </c>
      <c r="H3637" t="s">
        <v>224</v>
      </c>
      <c r="I3637" t="s">
        <v>242</v>
      </c>
      <c r="J3637" t="s">
        <v>31</v>
      </c>
      <c r="K3637" t="b">
        <v>0</v>
      </c>
      <c r="L3637">
        <v>2008</v>
      </c>
      <c r="M3637">
        <v>120550599815</v>
      </c>
      <c r="N3637">
        <v>361558037110</v>
      </c>
      <c r="O3637" t="b">
        <v>1</v>
      </c>
      <c r="P3637">
        <v>0</v>
      </c>
      <c r="Q3637" t="str" cm="1">
        <f t="array" ref="Q3637">_xlfn.IFS(Table1[[#This Row],[Wealthier_Winner]]=-1,"Wealthier Nation Loses",Table1[[#This Row],[Wealthier_Winner]]=0,"Tie",Table1[[#This Row],[Wealthier_Winner]]=1,"Wealthier Nation Wins")</f>
        <v>Tie</v>
      </c>
    </row>
    <row r="3638" spans="1:17" x14ac:dyDescent="0.2">
      <c r="A3638" s="1">
        <v>5605</v>
      </c>
      <c r="B3638" s="2">
        <v>39701</v>
      </c>
      <c r="C3638" s="7">
        <f>_xlfn.FLOOR.MATH(Table1[[#This Row],[year]],10)</f>
        <v>2000</v>
      </c>
      <c r="D3638" t="s">
        <v>38</v>
      </c>
      <c r="E3638" t="s">
        <v>36</v>
      </c>
      <c r="F3638">
        <v>2</v>
      </c>
      <c r="G3638">
        <v>3</v>
      </c>
      <c r="H3638" t="s">
        <v>224</v>
      </c>
      <c r="I3638" t="s">
        <v>291</v>
      </c>
      <c r="J3638" t="s">
        <v>38</v>
      </c>
      <c r="K3638" t="b">
        <v>0</v>
      </c>
      <c r="L3638">
        <v>2008</v>
      </c>
      <c r="M3638">
        <v>263416394624</v>
      </c>
      <c r="N3638">
        <v>354979471960</v>
      </c>
      <c r="O3638" t="b">
        <v>0</v>
      </c>
      <c r="P3638">
        <v>1</v>
      </c>
      <c r="Q3638" t="str" cm="1">
        <f t="array" ref="Q3638">_xlfn.IFS(Table1[[#This Row],[Wealthier_Winner]]=-1,"Wealthier Nation Loses",Table1[[#This Row],[Wealthier_Winner]]=0,"Tie",Table1[[#This Row],[Wealthier_Winner]]=1,"Wealthier Nation Wins")</f>
        <v>Wealthier Nation Wins</v>
      </c>
    </row>
    <row r="3639" spans="1:17" x14ac:dyDescent="0.2">
      <c r="A3639" s="1">
        <v>5606</v>
      </c>
      <c r="B3639" s="2">
        <v>39701</v>
      </c>
      <c r="C3639" s="7">
        <f>_xlfn.FLOOR.MATH(Table1[[#This Row],[year]],10)</f>
        <v>2000</v>
      </c>
      <c r="D3639" t="s">
        <v>68</v>
      </c>
      <c r="E3639" t="s">
        <v>361</v>
      </c>
      <c r="F3639">
        <v>1</v>
      </c>
      <c r="G3639">
        <v>1</v>
      </c>
      <c r="H3639" t="s">
        <v>224</v>
      </c>
      <c r="I3639" t="s">
        <v>190</v>
      </c>
      <c r="J3639" t="s">
        <v>68</v>
      </c>
      <c r="K3639" t="b">
        <v>0</v>
      </c>
      <c r="L3639">
        <v>2008</v>
      </c>
      <c r="M3639">
        <v>115270054945</v>
      </c>
      <c r="N3639">
        <v>25710904255</v>
      </c>
      <c r="O3639" t="b">
        <v>1</v>
      </c>
      <c r="P3639">
        <v>0</v>
      </c>
      <c r="Q3639" t="str" cm="1">
        <f t="array" ref="Q3639">_xlfn.IFS(Table1[[#This Row],[Wealthier_Winner]]=-1,"Wealthier Nation Loses",Table1[[#This Row],[Wealthier_Winner]]=0,"Tie",Table1[[#This Row],[Wealthier_Winner]]=1,"Wealthier Nation Wins")</f>
        <v>Tie</v>
      </c>
    </row>
    <row r="3640" spans="1:17" x14ac:dyDescent="0.2">
      <c r="A3640" s="1">
        <v>5608</v>
      </c>
      <c r="B3640" s="2">
        <v>39701</v>
      </c>
      <c r="C3640" s="7">
        <f>_xlfn.FLOOR.MATH(Table1[[#This Row],[year]],10)</f>
        <v>2000</v>
      </c>
      <c r="D3640" t="s">
        <v>549</v>
      </c>
      <c r="E3640" t="s">
        <v>58</v>
      </c>
      <c r="F3640">
        <v>0</v>
      </c>
      <c r="G3640">
        <v>2</v>
      </c>
      <c r="H3640" t="s">
        <v>224</v>
      </c>
      <c r="I3640" t="s">
        <v>555</v>
      </c>
      <c r="J3640" t="s">
        <v>549</v>
      </c>
      <c r="K3640" t="b">
        <v>0</v>
      </c>
      <c r="L3640">
        <v>2008</v>
      </c>
      <c r="M3640">
        <v>2403213305</v>
      </c>
      <c r="N3640">
        <v>535612030671</v>
      </c>
      <c r="O3640" t="b">
        <v>1</v>
      </c>
      <c r="P3640">
        <v>1</v>
      </c>
      <c r="Q3640" t="str" cm="1">
        <f t="array" ref="Q3640">_xlfn.IFS(Table1[[#This Row],[Wealthier_Winner]]=-1,"Wealthier Nation Loses",Table1[[#This Row],[Wealthier_Winner]]=0,"Tie",Table1[[#This Row],[Wealthier_Winner]]=1,"Wealthier Nation Wins")</f>
        <v>Wealthier Nation Wins</v>
      </c>
    </row>
    <row r="3641" spans="1:17" x14ac:dyDescent="0.2">
      <c r="A3641" s="1">
        <v>5610</v>
      </c>
      <c r="B3641" s="2">
        <v>39701</v>
      </c>
      <c r="C3641" s="7">
        <f>_xlfn.FLOOR.MATH(Table1[[#This Row],[year]],10)</f>
        <v>2000</v>
      </c>
      <c r="D3641" t="s">
        <v>21</v>
      </c>
      <c r="E3641" t="s">
        <v>519</v>
      </c>
      <c r="F3641">
        <v>4</v>
      </c>
      <c r="G3641">
        <v>0</v>
      </c>
      <c r="H3641" t="s">
        <v>224</v>
      </c>
      <c r="I3641" t="s">
        <v>713</v>
      </c>
      <c r="J3641" t="s">
        <v>21</v>
      </c>
      <c r="K3641" t="b">
        <v>0</v>
      </c>
      <c r="L3641">
        <v>2008</v>
      </c>
      <c r="M3641">
        <v>1636115447612</v>
      </c>
      <c r="N3641">
        <v>11662040713</v>
      </c>
      <c r="O3641" t="b">
        <v>1</v>
      </c>
      <c r="P3641">
        <v>1</v>
      </c>
      <c r="Q3641" t="str" cm="1">
        <f t="array" ref="Q3641">_xlfn.IFS(Table1[[#This Row],[Wealthier_Winner]]=-1,"Wealthier Nation Loses",Table1[[#This Row],[Wealthier_Winner]]=0,"Tie",Table1[[#This Row],[Wealthier_Winner]]=1,"Wealthier Nation Wins")</f>
        <v>Wealthier Nation Wins</v>
      </c>
    </row>
    <row r="3642" spans="1:17" x14ac:dyDescent="0.2">
      <c r="A3642" s="1">
        <v>5611</v>
      </c>
      <c r="B3642" s="2">
        <v>39701</v>
      </c>
      <c r="C3642" s="7">
        <f>_xlfn.FLOOR.MATH(Table1[[#This Row],[year]],10)</f>
        <v>2000</v>
      </c>
      <c r="D3642" t="s">
        <v>252</v>
      </c>
      <c r="E3642" t="s">
        <v>69</v>
      </c>
      <c r="F3642">
        <v>0</v>
      </c>
      <c r="G3642">
        <v>2</v>
      </c>
      <c r="H3642" t="s">
        <v>224</v>
      </c>
      <c r="I3642" t="s">
        <v>255</v>
      </c>
      <c r="J3642" t="s">
        <v>252</v>
      </c>
      <c r="K3642" t="b">
        <v>0</v>
      </c>
      <c r="L3642">
        <v>2008</v>
      </c>
      <c r="M3642">
        <v>3532969034</v>
      </c>
      <c r="N3642">
        <v>17986890000</v>
      </c>
      <c r="O3642" t="b">
        <v>1</v>
      </c>
      <c r="P3642">
        <v>1</v>
      </c>
      <c r="Q3642" t="str" cm="1">
        <f t="array" ref="Q3642">_xlfn.IFS(Table1[[#This Row],[Wealthier_Winner]]=-1,"Wealthier Nation Loses",Table1[[#This Row],[Wealthier_Winner]]=0,"Tie",Table1[[#This Row],[Wealthier_Winner]]=1,"Wealthier Nation Wins")</f>
        <v>Wealthier Nation Wins</v>
      </c>
    </row>
    <row r="3643" spans="1:17" x14ac:dyDescent="0.2">
      <c r="A3643" s="1">
        <v>5612</v>
      </c>
      <c r="B3643" s="2">
        <v>39701</v>
      </c>
      <c r="C3643" s="7">
        <f>_xlfn.FLOOR.MATH(Table1[[#This Row],[year]],10)</f>
        <v>2000</v>
      </c>
      <c r="D3643" t="s">
        <v>25</v>
      </c>
      <c r="E3643" t="s">
        <v>30</v>
      </c>
      <c r="F3643">
        <v>2</v>
      </c>
      <c r="G3643">
        <v>1</v>
      </c>
      <c r="H3643" t="s">
        <v>224</v>
      </c>
      <c r="I3643" t="s">
        <v>233</v>
      </c>
      <c r="J3643" t="s">
        <v>25</v>
      </c>
      <c r="K3643" t="b">
        <v>0</v>
      </c>
      <c r="L3643">
        <v>2008</v>
      </c>
      <c r="M3643">
        <v>514614100832</v>
      </c>
      <c r="N3643">
        <v>158228265915</v>
      </c>
      <c r="O3643" t="b">
        <v>1</v>
      </c>
      <c r="P3643">
        <v>1</v>
      </c>
      <c r="Q3643" t="str" cm="1">
        <f t="array" ref="Q3643">_xlfn.IFS(Table1[[#This Row],[Wealthier_Winner]]=-1,"Wealthier Nation Loses",Table1[[#This Row],[Wealthier_Winner]]=0,"Tie",Table1[[#This Row],[Wealthier_Winner]]=1,"Wealthier Nation Wins")</f>
        <v>Wealthier Nation Wins</v>
      </c>
    </row>
    <row r="3644" spans="1:17" x14ac:dyDescent="0.2">
      <c r="A3644" s="1">
        <v>5613</v>
      </c>
      <c r="B3644" s="2">
        <v>39701</v>
      </c>
      <c r="C3644" s="7">
        <f>_xlfn.FLOOR.MATH(Table1[[#This Row],[year]],10)</f>
        <v>2000</v>
      </c>
      <c r="D3644" t="s">
        <v>46</v>
      </c>
      <c r="E3644" t="s">
        <v>232</v>
      </c>
      <c r="F3644">
        <v>1</v>
      </c>
      <c r="G3644">
        <v>2</v>
      </c>
      <c r="H3644" t="s">
        <v>224</v>
      </c>
      <c r="I3644" t="s">
        <v>493</v>
      </c>
      <c r="J3644" t="s">
        <v>46</v>
      </c>
      <c r="K3644" t="b">
        <v>0</v>
      </c>
      <c r="L3644">
        <v>2008</v>
      </c>
      <c r="M3644">
        <v>567267767519</v>
      </c>
      <c r="N3644">
        <v>58844277701</v>
      </c>
      <c r="O3644" t="b">
        <v>1</v>
      </c>
      <c r="P3644">
        <v>-1</v>
      </c>
      <c r="Q3644" t="str" cm="1">
        <f t="array" ref="Q3644">_xlfn.IFS(Table1[[#This Row],[Wealthier_Winner]]=-1,"Wealthier Nation Loses",Table1[[#This Row],[Wealthier_Winner]]=0,"Tie",Table1[[#This Row],[Wealthier_Winner]]=1,"Wealthier Nation Wins")</f>
        <v>Wealthier Nation Loses</v>
      </c>
    </row>
    <row r="3645" spans="1:17" x14ac:dyDescent="0.2">
      <c r="A3645" s="1">
        <v>5615</v>
      </c>
      <c r="B3645" s="2">
        <v>39701</v>
      </c>
      <c r="C3645" s="7">
        <f>_xlfn.FLOOR.MATH(Table1[[#This Row],[year]],10)</f>
        <v>2000</v>
      </c>
      <c r="D3645" t="s">
        <v>39</v>
      </c>
      <c r="E3645" t="s">
        <v>45</v>
      </c>
      <c r="F3645">
        <v>1</v>
      </c>
      <c r="G3645">
        <v>2</v>
      </c>
      <c r="H3645" t="s">
        <v>224</v>
      </c>
      <c r="I3645" t="s">
        <v>576</v>
      </c>
      <c r="J3645" t="s">
        <v>39</v>
      </c>
      <c r="K3645" t="b">
        <v>0</v>
      </c>
      <c r="L3645">
        <v>2008</v>
      </c>
      <c r="M3645">
        <v>315474615738</v>
      </c>
      <c r="N3645">
        <v>519796800000</v>
      </c>
      <c r="O3645" t="b">
        <v>0</v>
      </c>
      <c r="P3645">
        <v>1</v>
      </c>
      <c r="Q3645" t="str" cm="1">
        <f t="array" ref="Q3645">_xlfn.IFS(Table1[[#This Row],[Wealthier_Winner]]=-1,"Wealthier Nation Loses",Table1[[#This Row],[Wealthier_Winner]]=0,"Tie",Table1[[#This Row],[Wealthier_Winner]]=1,"Wealthier Nation Wins")</f>
        <v>Wealthier Nation Wins</v>
      </c>
    </row>
    <row r="3646" spans="1:17" x14ac:dyDescent="0.2">
      <c r="A3646" s="1">
        <v>5616</v>
      </c>
      <c r="B3646" s="2">
        <v>39701</v>
      </c>
      <c r="C3646" s="7">
        <f>_xlfn.FLOOR.MATH(Table1[[#This Row],[year]],10)</f>
        <v>2000</v>
      </c>
      <c r="D3646" t="s">
        <v>26</v>
      </c>
      <c r="E3646" t="s">
        <v>57</v>
      </c>
      <c r="F3646">
        <v>0</v>
      </c>
      <c r="G3646">
        <v>0</v>
      </c>
      <c r="H3646" t="s">
        <v>224</v>
      </c>
      <c r="I3646" t="s">
        <v>247</v>
      </c>
      <c r="J3646" t="s">
        <v>26</v>
      </c>
      <c r="K3646" t="b">
        <v>0</v>
      </c>
      <c r="L3646">
        <v>2008</v>
      </c>
      <c r="M3646">
        <v>31119602538</v>
      </c>
      <c r="N3646">
        <v>61139438000</v>
      </c>
      <c r="O3646" t="b">
        <v>0</v>
      </c>
      <c r="P3646">
        <v>0</v>
      </c>
      <c r="Q3646" t="str" cm="1">
        <f t="array" ref="Q3646">_xlfn.IFS(Table1[[#This Row],[Wealthier_Winner]]=-1,"Wealthier Nation Loses",Table1[[#This Row],[Wealthier_Winner]]=0,"Tie",Table1[[#This Row],[Wealthier_Winner]]=1,"Wealthier Nation Wins")</f>
        <v>Tie</v>
      </c>
    </row>
    <row r="3647" spans="1:17" x14ac:dyDescent="0.2">
      <c r="A3647" s="1">
        <v>5617</v>
      </c>
      <c r="B3647" s="2">
        <v>39701</v>
      </c>
      <c r="C3647" s="7">
        <f>_xlfn.FLOOR.MATH(Table1[[#This Row],[year]],10)</f>
        <v>2000</v>
      </c>
      <c r="D3647" t="s">
        <v>41</v>
      </c>
      <c r="E3647" t="s">
        <v>59</v>
      </c>
      <c r="F3647">
        <v>3</v>
      </c>
      <c r="G3647">
        <v>0</v>
      </c>
      <c r="H3647" t="s">
        <v>224</v>
      </c>
      <c r="I3647" t="s">
        <v>714</v>
      </c>
      <c r="J3647" t="s">
        <v>41</v>
      </c>
      <c r="K3647" t="b">
        <v>0</v>
      </c>
      <c r="L3647">
        <v>2008</v>
      </c>
      <c r="M3647">
        <v>14769857911000</v>
      </c>
      <c r="N3647">
        <v>27871587349</v>
      </c>
      <c r="O3647" t="b">
        <v>1</v>
      </c>
      <c r="P3647">
        <v>1</v>
      </c>
      <c r="Q3647" t="str" cm="1">
        <f t="array" ref="Q3647">_xlfn.IFS(Table1[[#This Row],[Wealthier_Winner]]=-1,"Wealthier Nation Loses",Table1[[#This Row],[Wealthier_Winner]]=0,"Tie",Table1[[#This Row],[Wealthier_Winner]]=1,"Wealthier Nation Wins")</f>
        <v>Wealthier Nation Wins</v>
      </c>
    </row>
    <row r="3648" spans="1:17" x14ac:dyDescent="0.2">
      <c r="A3648" s="1">
        <v>5618</v>
      </c>
      <c r="B3648" s="2">
        <v>39701</v>
      </c>
      <c r="C3648" s="7">
        <f>_xlfn.FLOOR.MATH(Table1[[#This Row],[year]],10)</f>
        <v>2000</v>
      </c>
      <c r="D3648" t="s">
        <v>563</v>
      </c>
      <c r="E3648" t="s">
        <v>28</v>
      </c>
      <c r="F3648">
        <v>0</v>
      </c>
      <c r="G3648">
        <v>1</v>
      </c>
      <c r="H3648" t="s">
        <v>224</v>
      </c>
      <c r="I3648" t="s">
        <v>564</v>
      </c>
      <c r="J3648" t="s">
        <v>563</v>
      </c>
      <c r="K3648" t="b">
        <v>0</v>
      </c>
      <c r="L3648">
        <v>2008</v>
      </c>
      <c r="M3648">
        <v>29549438883</v>
      </c>
      <c r="N3648">
        <v>1058448244063</v>
      </c>
      <c r="O3648" t="b">
        <v>1</v>
      </c>
      <c r="P3648">
        <v>1</v>
      </c>
      <c r="Q3648" t="str" cm="1">
        <f t="array" ref="Q3648">_xlfn.IFS(Table1[[#This Row],[Wealthier_Winner]]=-1,"Wealthier Nation Loses",Table1[[#This Row],[Wealthier_Winner]]=0,"Tie",Table1[[#This Row],[Wealthier_Winner]]=1,"Wealthier Nation Wins")</f>
        <v>Wealthier Nation Wins</v>
      </c>
    </row>
    <row r="3649" spans="1:17" x14ac:dyDescent="0.2">
      <c r="A3649" s="1">
        <v>5619</v>
      </c>
      <c r="B3649" s="2">
        <v>39701</v>
      </c>
      <c r="C3649" s="7">
        <f>_xlfn.FLOOR.MATH(Table1[[#This Row],[year]],10)</f>
        <v>2000</v>
      </c>
      <c r="D3649" t="s">
        <v>273</v>
      </c>
      <c r="E3649" t="s">
        <v>62</v>
      </c>
      <c r="F3649">
        <v>1</v>
      </c>
      <c r="G3649">
        <v>0</v>
      </c>
      <c r="H3649" t="s">
        <v>224</v>
      </c>
      <c r="I3649" t="s">
        <v>677</v>
      </c>
      <c r="J3649" t="s">
        <v>273</v>
      </c>
      <c r="K3649" t="b">
        <v>0</v>
      </c>
      <c r="L3649">
        <v>2008</v>
      </c>
      <c r="M3649">
        <v>17910858637</v>
      </c>
      <c r="N3649">
        <v>4578847112</v>
      </c>
      <c r="O3649" t="b">
        <v>1</v>
      </c>
      <c r="P3649">
        <v>1</v>
      </c>
      <c r="Q3649" t="str" cm="1">
        <f t="array" ref="Q3649">_xlfn.IFS(Table1[[#This Row],[Wealthier_Winner]]=-1,"Wealthier Nation Loses",Table1[[#This Row],[Wealthier_Winner]]=0,"Tie",Table1[[#This Row],[Wealthier_Winner]]=1,"Wealthier Nation Wins")</f>
        <v>Wealthier Nation Wins</v>
      </c>
    </row>
    <row r="3650" spans="1:17" x14ac:dyDescent="0.2">
      <c r="A3650" s="1">
        <v>5620</v>
      </c>
      <c r="B3650" s="2">
        <v>39732</v>
      </c>
      <c r="C3650" s="7">
        <f>_xlfn.FLOOR.MATH(Table1[[#This Row],[year]],10)</f>
        <v>2000</v>
      </c>
      <c r="D3650" t="s">
        <v>19</v>
      </c>
      <c r="E3650" t="s">
        <v>26</v>
      </c>
      <c r="F3650">
        <v>2</v>
      </c>
      <c r="G3650">
        <v>1</v>
      </c>
      <c r="H3650" t="s">
        <v>224</v>
      </c>
      <c r="I3650" t="s">
        <v>93</v>
      </c>
      <c r="J3650" t="s">
        <v>19</v>
      </c>
      <c r="K3650" t="b">
        <v>0</v>
      </c>
      <c r="L3650">
        <v>2008</v>
      </c>
      <c r="M3650">
        <v>361558037110</v>
      </c>
      <c r="N3650">
        <v>31119602538</v>
      </c>
      <c r="O3650" t="b">
        <v>1</v>
      </c>
      <c r="P3650">
        <v>1</v>
      </c>
      <c r="Q3650" t="str" cm="1">
        <f t="array" ref="Q3650">_xlfn.IFS(Table1[[#This Row],[Wealthier_Winner]]=-1,"Wealthier Nation Loses",Table1[[#This Row],[Wealthier_Winner]]=0,"Tie",Table1[[#This Row],[Wealthier_Winner]]=1,"Wealthier Nation Wins")</f>
        <v>Wealthier Nation Wins</v>
      </c>
    </row>
    <row r="3651" spans="1:17" x14ac:dyDescent="0.2">
      <c r="A3651" s="1">
        <v>5621</v>
      </c>
      <c r="B3651" s="2">
        <v>39732</v>
      </c>
      <c r="C3651" s="7">
        <f>_xlfn.FLOOR.MATH(Table1[[#This Row],[year]],10)</f>
        <v>2000</v>
      </c>
      <c r="D3651" t="s">
        <v>23</v>
      </c>
      <c r="E3651" t="s">
        <v>519</v>
      </c>
      <c r="F3651">
        <v>2</v>
      </c>
      <c r="G3651">
        <v>0</v>
      </c>
      <c r="H3651" t="s">
        <v>224</v>
      </c>
      <c r="I3651" t="s">
        <v>235</v>
      </c>
      <c r="J3651" t="s">
        <v>23</v>
      </c>
      <c r="K3651" t="b">
        <v>0</v>
      </c>
      <c r="L3651">
        <v>2008</v>
      </c>
      <c r="M3651">
        <v>517328087920</v>
      </c>
      <c r="N3651">
        <v>11662040713</v>
      </c>
      <c r="O3651" t="b">
        <v>1</v>
      </c>
      <c r="P3651">
        <v>1</v>
      </c>
      <c r="Q3651" t="str" cm="1">
        <f t="array" ref="Q3651">_xlfn.IFS(Table1[[#This Row],[Wealthier_Winner]]=-1,"Wealthier Nation Loses",Table1[[#This Row],[Wealthier_Winner]]=0,"Tie",Table1[[#This Row],[Wealthier_Winner]]=1,"Wealthier Nation Wins")</f>
        <v>Wealthier Nation Wins</v>
      </c>
    </row>
    <row r="3652" spans="1:17" x14ac:dyDescent="0.2">
      <c r="A3652" s="1">
        <v>5622</v>
      </c>
      <c r="B3652" s="2">
        <v>39732</v>
      </c>
      <c r="C3652" s="7">
        <f>_xlfn.FLOOR.MATH(Table1[[#This Row],[year]],10)</f>
        <v>2000</v>
      </c>
      <c r="D3652" t="s">
        <v>47</v>
      </c>
      <c r="E3652" t="s">
        <v>31</v>
      </c>
      <c r="F3652">
        <v>3</v>
      </c>
      <c r="G3652">
        <v>0</v>
      </c>
      <c r="H3652" t="s">
        <v>224</v>
      </c>
      <c r="I3652" t="s">
        <v>246</v>
      </c>
      <c r="J3652" t="s">
        <v>47</v>
      </c>
      <c r="K3652" t="b">
        <v>0</v>
      </c>
      <c r="L3652">
        <v>2008</v>
      </c>
      <c r="M3652">
        <v>16674276285</v>
      </c>
      <c r="N3652">
        <v>120550599815</v>
      </c>
      <c r="O3652" t="b">
        <v>1</v>
      </c>
      <c r="P3652">
        <v>-1</v>
      </c>
      <c r="Q3652" t="str" cm="1">
        <f t="array" ref="Q3652">_xlfn.IFS(Table1[[#This Row],[Wealthier_Winner]]=-1,"Wealthier Nation Loses",Table1[[#This Row],[Wealthier_Winner]]=0,"Tie",Table1[[#This Row],[Wealthier_Winner]]=1,"Wealthier Nation Wins")</f>
        <v>Wealthier Nation Loses</v>
      </c>
    </row>
    <row r="3653" spans="1:17" x14ac:dyDescent="0.2">
      <c r="A3653" s="1">
        <v>5623</v>
      </c>
      <c r="B3653" s="2">
        <v>39732</v>
      </c>
      <c r="C3653" s="7">
        <f>_xlfn.FLOOR.MATH(Table1[[#This Row],[year]],10)</f>
        <v>2000</v>
      </c>
      <c r="D3653" t="s">
        <v>469</v>
      </c>
      <c r="E3653" t="s">
        <v>300</v>
      </c>
      <c r="F3653">
        <v>0</v>
      </c>
      <c r="G3653">
        <v>1</v>
      </c>
      <c r="H3653" t="s">
        <v>224</v>
      </c>
      <c r="I3653" t="s">
        <v>470</v>
      </c>
      <c r="J3653" t="s">
        <v>469</v>
      </c>
      <c r="K3653" t="b">
        <v>0</v>
      </c>
      <c r="L3653">
        <v>2008</v>
      </c>
      <c r="M3653">
        <v>10730829116</v>
      </c>
      <c r="N3653">
        <v>12920340964</v>
      </c>
      <c r="O3653" t="b">
        <v>0</v>
      </c>
      <c r="P3653">
        <v>1</v>
      </c>
      <c r="Q3653" t="str" cm="1">
        <f t="array" ref="Q3653">_xlfn.IFS(Table1[[#This Row],[Wealthier_Winner]]=-1,"Wealthier Nation Loses",Table1[[#This Row],[Wealthier_Winner]]=0,"Tie",Table1[[#This Row],[Wealthier_Winner]]=1,"Wealthier Nation Wins")</f>
        <v>Wealthier Nation Wins</v>
      </c>
    </row>
    <row r="3654" spans="1:17" x14ac:dyDescent="0.2">
      <c r="A3654" s="1">
        <v>5624</v>
      </c>
      <c r="B3654" s="2">
        <v>39732</v>
      </c>
      <c r="C3654" s="7">
        <f>_xlfn.FLOOR.MATH(Table1[[#This Row],[year]],10)</f>
        <v>2000</v>
      </c>
      <c r="D3654" t="s">
        <v>33</v>
      </c>
      <c r="E3654" t="s">
        <v>18</v>
      </c>
      <c r="F3654">
        <v>0</v>
      </c>
      <c r="G3654">
        <v>0</v>
      </c>
      <c r="H3654" t="s">
        <v>224</v>
      </c>
      <c r="I3654" t="s">
        <v>375</v>
      </c>
      <c r="J3654" t="s">
        <v>33</v>
      </c>
      <c r="K3654" t="b">
        <v>0</v>
      </c>
      <c r="L3654">
        <v>2008</v>
      </c>
      <c r="M3654">
        <v>54480684188</v>
      </c>
      <c r="N3654">
        <v>2417508414187</v>
      </c>
      <c r="O3654" t="b">
        <v>1</v>
      </c>
      <c r="P3654">
        <v>0</v>
      </c>
      <c r="Q3654" t="str" cm="1">
        <f t="array" ref="Q3654">_xlfn.IFS(Table1[[#This Row],[Wealthier_Winner]]=-1,"Wealthier Nation Loses",Table1[[#This Row],[Wealthier_Winner]]=0,"Tie",Table1[[#This Row],[Wealthier_Winner]]=1,"Wealthier Nation Wins")</f>
        <v>Tie</v>
      </c>
    </row>
    <row r="3655" spans="1:17" x14ac:dyDescent="0.2">
      <c r="A3655" s="1">
        <v>5625</v>
      </c>
      <c r="B3655" s="2">
        <v>39732</v>
      </c>
      <c r="C3655" s="7">
        <f>_xlfn.FLOOR.MATH(Table1[[#This Row],[year]],10)</f>
        <v>2000</v>
      </c>
      <c r="D3655" t="s">
        <v>40</v>
      </c>
      <c r="E3655" t="s">
        <v>323</v>
      </c>
      <c r="F3655">
        <v>5</v>
      </c>
      <c r="G3655">
        <v>0</v>
      </c>
      <c r="H3655" t="s">
        <v>224</v>
      </c>
      <c r="I3655" t="s">
        <v>371</v>
      </c>
      <c r="J3655" t="s">
        <v>40</v>
      </c>
      <c r="K3655" t="b">
        <v>0</v>
      </c>
      <c r="L3655">
        <v>2008</v>
      </c>
      <c r="M3655">
        <v>27715142032</v>
      </c>
      <c r="N3655">
        <v>10127777060</v>
      </c>
      <c r="O3655" t="b">
        <v>1</v>
      </c>
      <c r="P3655">
        <v>1</v>
      </c>
      <c r="Q3655" t="str" cm="1">
        <f t="array" ref="Q3655">_xlfn.IFS(Table1[[#This Row],[Wealthier_Winner]]=-1,"Wealthier Nation Loses",Table1[[#This Row],[Wealthier_Winner]]=0,"Tie",Table1[[#This Row],[Wealthier_Winner]]=1,"Wealthier Nation Wins")</f>
        <v>Wealthier Nation Wins</v>
      </c>
    </row>
    <row r="3656" spans="1:17" x14ac:dyDescent="0.2">
      <c r="A3656" s="1">
        <v>5626</v>
      </c>
      <c r="B3656" s="2">
        <v>39732</v>
      </c>
      <c r="C3656" s="7">
        <f>_xlfn.FLOOR.MATH(Table1[[#This Row],[year]],10)</f>
        <v>2000</v>
      </c>
      <c r="D3656" t="s">
        <v>15</v>
      </c>
      <c r="E3656" t="s">
        <v>35</v>
      </c>
      <c r="F3656">
        <v>0</v>
      </c>
      <c r="G3656">
        <v>1</v>
      </c>
      <c r="H3656" t="s">
        <v>224</v>
      </c>
      <c r="I3656" t="s">
        <v>241</v>
      </c>
      <c r="J3656" t="s">
        <v>15</v>
      </c>
      <c r="K3656" t="b">
        <v>0</v>
      </c>
      <c r="L3656">
        <v>2008</v>
      </c>
      <c r="M3656">
        <v>242504150472</v>
      </c>
      <c r="N3656">
        <v>24615267663</v>
      </c>
      <c r="O3656" t="b">
        <v>1</v>
      </c>
      <c r="P3656">
        <v>-1</v>
      </c>
      <c r="Q3656" t="str" cm="1">
        <f t="array" ref="Q3656">_xlfn.IFS(Table1[[#This Row],[Wealthier_Winner]]=-1,"Wealthier Nation Loses",Table1[[#This Row],[Wealthier_Winner]]=0,"Tie",Table1[[#This Row],[Wealthier_Winner]]=1,"Wealthier Nation Wins")</f>
        <v>Wealthier Nation Loses</v>
      </c>
    </row>
    <row r="3657" spans="1:17" x14ac:dyDescent="0.2">
      <c r="A3657" s="1">
        <v>5627</v>
      </c>
      <c r="B3657" s="2">
        <v>39732</v>
      </c>
      <c r="C3657" s="7">
        <f>_xlfn.FLOOR.MATH(Table1[[#This Row],[year]],10)</f>
        <v>2000</v>
      </c>
      <c r="D3657" t="s">
        <v>36</v>
      </c>
      <c r="E3657" t="s">
        <v>303</v>
      </c>
      <c r="F3657">
        <v>3</v>
      </c>
      <c r="G3657">
        <v>0</v>
      </c>
      <c r="H3657" t="s">
        <v>224</v>
      </c>
      <c r="I3657" t="s">
        <v>264</v>
      </c>
      <c r="J3657" t="s">
        <v>36</v>
      </c>
      <c r="K3657" t="b">
        <v>0</v>
      </c>
      <c r="L3657">
        <v>2008</v>
      </c>
      <c r="M3657">
        <v>354979471960</v>
      </c>
      <c r="N3657">
        <v>9135419464</v>
      </c>
      <c r="O3657" t="b">
        <v>1</v>
      </c>
      <c r="P3657">
        <v>1</v>
      </c>
      <c r="Q3657" t="str" cm="1">
        <f t="array" ref="Q3657">_xlfn.IFS(Table1[[#This Row],[Wealthier_Winner]]=-1,"Wealthier Nation Loses",Table1[[#This Row],[Wealthier_Winner]]=0,"Tie",Table1[[#This Row],[Wealthier_Winner]]=1,"Wealthier Nation Wins")</f>
        <v>Wealthier Nation Wins</v>
      </c>
    </row>
    <row r="3658" spans="1:17" x14ac:dyDescent="0.2">
      <c r="A3658" s="1">
        <v>5628</v>
      </c>
      <c r="B3658" s="2">
        <v>39732</v>
      </c>
      <c r="C3658" s="7">
        <f>_xlfn.FLOOR.MATH(Table1[[#This Row],[year]],10)</f>
        <v>2000</v>
      </c>
      <c r="D3658" t="s">
        <v>194</v>
      </c>
      <c r="E3658" t="s">
        <v>558</v>
      </c>
      <c r="F3658">
        <v>5</v>
      </c>
      <c r="G3658">
        <v>1</v>
      </c>
      <c r="H3658" t="s">
        <v>224</v>
      </c>
      <c r="I3658" t="s">
        <v>80</v>
      </c>
      <c r="J3658" t="s">
        <v>194</v>
      </c>
      <c r="K3658" t="b">
        <v>0</v>
      </c>
      <c r="L3658">
        <v>2008</v>
      </c>
      <c r="M3658">
        <v>2945251838235</v>
      </c>
      <c r="N3658">
        <v>133441648851</v>
      </c>
      <c r="O3658" t="b">
        <v>1</v>
      </c>
      <c r="P3658">
        <v>1</v>
      </c>
      <c r="Q3658" t="str" cm="1">
        <f t="array" ref="Q3658">_xlfn.IFS(Table1[[#This Row],[Wealthier_Winner]]=-1,"Wealthier Nation Loses",Table1[[#This Row],[Wealthier_Winner]]=0,"Tie",Table1[[#This Row],[Wealthier_Winner]]=1,"Wealthier Nation Wins")</f>
        <v>Wealthier Nation Wins</v>
      </c>
    </row>
    <row r="3659" spans="1:17" x14ac:dyDescent="0.2">
      <c r="A3659" s="1">
        <v>5629</v>
      </c>
      <c r="B3659" s="2">
        <v>39732</v>
      </c>
      <c r="C3659" s="7">
        <f>_xlfn.FLOOR.MATH(Table1[[#This Row],[year]],10)</f>
        <v>2000</v>
      </c>
      <c r="D3659" t="s">
        <v>639</v>
      </c>
      <c r="E3659" t="s">
        <v>50</v>
      </c>
      <c r="F3659">
        <v>0</v>
      </c>
      <c r="G3659">
        <v>1</v>
      </c>
      <c r="H3659" t="s">
        <v>224</v>
      </c>
      <c r="I3659" t="s">
        <v>696</v>
      </c>
      <c r="J3659" t="s">
        <v>639</v>
      </c>
      <c r="K3659" t="b">
        <v>0</v>
      </c>
      <c r="L3659">
        <v>2008</v>
      </c>
      <c r="M3659">
        <v>19749893536</v>
      </c>
      <c r="N3659">
        <v>316131258616</v>
      </c>
      <c r="O3659" t="b">
        <v>1</v>
      </c>
      <c r="P3659">
        <v>1</v>
      </c>
      <c r="Q3659" t="str" cm="1">
        <f t="array" ref="Q3659">_xlfn.IFS(Table1[[#This Row],[Wealthier_Winner]]=-1,"Wealthier Nation Loses",Table1[[#This Row],[Wealthier_Winner]]=0,"Tie",Table1[[#This Row],[Wealthier_Winner]]=1,"Wealthier Nation Wins")</f>
        <v>Wealthier Nation Wins</v>
      </c>
    </row>
    <row r="3660" spans="1:17" x14ac:dyDescent="0.2">
      <c r="A3660" s="1">
        <v>5630</v>
      </c>
      <c r="B3660" s="2">
        <v>39732</v>
      </c>
      <c r="C3660" s="7">
        <f>_xlfn.FLOOR.MATH(Table1[[#This Row],[year]],10)</f>
        <v>2000</v>
      </c>
      <c r="D3660" t="s">
        <v>476</v>
      </c>
      <c r="E3660" t="s">
        <v>21</v>
      </c>
      <c r="F3660">
        <v>0</v>
      </c>
      <c r="G3660">
        <v>3</v>
      </c>
      <c r="H3660" t="s">
        <v>224</v>
      </c>
      <c r="I3660" t="s">
        <v>481</v>
      </c>
      <c r="J3660" t="s">
        <v>476</v>
      </c>
      <c r="K3660" t="b">
        <v>0</v>
      </c>
      <c r="L3660">
        <v>2008</v>
      </c>
      <c r="M3660">
        <v>24342935403</v>
      </c>
      <c r="N3660">
        <v>1636115447612</v>
      </c>
      <c r="O3660" t="b">
        <v>1</v>
      </c>
      <c r="P3660">
        <v>1</v>
      </c>
      <c r="Q3660" t="str" cm="1">
        <f t="array" ref="Q3660">_xlfn.IFS(Table1[[#This Row],[Wealthier_Winner]]=-1,"Wealthier Nation Loses",Table1[[#This Row],[Wealthier_Winner]]=0,"Tie",Table1[[#This Row],[Wealthier_Winner]]=1,"Wealthier Nation Wins")</f>
        <v>Wealthier Nation Wins</v>
      </c>
    </row>
    <row r="3661" spans="1:17" x14ac:dyDescent="0.2">
      <c r="A3661" s="1">
        <v>5631</v>
      </c>
      <c r="B3661" s="2">
        <v>39732</v>
      </c>
      <c r="C3661" s="7">
        <f>_xlfn.FLOOR.MATH(Table1[[#This Row],[year]],10)</f>
        <v>2000</v>
      </c>
      <c r="D3661" t="s">
        <v>447</v>
      </c>
      <c r="E3661" t="s">
        <v>29</v>
      </c>
      <c r="F3661">
        <v>1</v>
      </c>
      <c r="G3661">
        <v>1</v>
      </c>
      <c r="H3661" t="s">
        <v>224</v>
      </c>
      <c r="I3661" t="s">
        <v>631</v>
      </c>
      <c r="J3661" t="s">
        <v>447</v>
      </c>
      <c r="K3661" t="b">
        <v>0</v>
      </c>
      <c r="L3661">
        <v>2008</v>
      </c>
      <c r="M3661">
        <v>2489873249</v>
      </c>
      <c r="N3661">
        <v>429234399096</v>
      </c>
      <c r="O3661" t="b">
        <v>1</v>
      </c>
      <c r="P3661">
        <v>0</v>
      </c>
      <c r="Q3661" t="str" cm="1">
        <f t="array" ref="Q3661">_xlfn.IFS(Table1[[#This Row],[Wealthier_Winner]]=-1,"Wealthier Nation Loses",Table1[[#This Row],[Wealthier_Winner]]=0,"Tie",Table1[[#This Row],[Wealthier_Winner]]=1,"Wealthier Nation Wins")</f>
        <v>Tie</v>
      </c>
    </row>
    <row r="3662" spans="1:17" x14ac:dyDescent="0.2">
      <c r="A3662" s="1">
        <v>5632</v>
      </c>
      <c r="B3662" s="2">
        <v>39732</v>
      </c>
      <c r="C3662" s="7">
        <f>_xlfn.FLOOR.MATH(Table1[[#This Row],[year]],10)</f>
        <v>2000</v>
      </c>
      <c r="D3662" t="s">
        <v>230</v>
      </c>
      <c r="E3662" t="s">
        <v>513</v>
      </c>
      <c r="F3662">
        <v>1</v>
      </c>
      <c r="G3662">
        <v>0</v>
      </c>
      <c r="H3662" t="s">
        <v>224</v>
      </c>
      <c r="I3662" t="s">
        <v>231</v>
      </c>
      <c r="J3662" t="s">
        <v>230</v>
      </c>
      <c r="K3662" t="b">
        <v>0</v>
      </c>
      <c r="L3662">
        <v>2008</v>
      </c>
      <c r="M3662">
        <v>285698662071</v>
      </c>
      <c r="N3662">
        <v>48851293785</v>
      </c>
      <c r="O3662" t="b">
        <v>1</v>
      </c>
      <c r="P3662">
        <v>1</v>
      </c>
      <c r="Q3662" t="str" cm="1">
        <f t="array" ref="Q3662">_xlfn.IFS(Table1[[#This Row],[Wealthier_Winner]]=-1,"Wealthier Nation Loses",Table1[[#This Row],[Wealthier_Winner]]=0,"Tie",Table1[[#This Row],[Wealthier_Winner]]=1,"Wealthier Nation Wins")</f>
        <v>Wealthier Nation Wins</v>
      </c>
    </row>
    <row r="3663" spans="1:17" x14ac:dyDescent="0.2">
      <c r="A3663" s="1">
        <v>5633</v>
      </c>
      <c r="B3663" s="2">
        <v>39732</v>
      </c>
      <c r="C3663" s="7">
        <f>_xlfn.FLOOR.MATH(Table1[[#This Row],[year]],10)</f>
        <v>2000</v>
      </c>
      <c r="D3663" t="s">
        <v>433</v>
      </c>
      <c r="E3663" t="s">
        <v>286</v>
      </c>
      <c r="F3663">
        <v>1</v>
      </c>
      <c r="G3663">
        <v>0</v>
      </c>
      <c r="H3663" t="s">
        <v>224</v>
      </c>
      <c r="I3663" t="s">
        <v>436</v>
      </c>
      <c r="J3663" t="s">
        <v>433</v>
      </c>
      <c r="K3663" t="b">
        <v>0</v>
      </c>
      <c r="L3663">
        <v>2008</v>
      </c>
      <c r="M3663">
        <v>15571348344</v>
      </c>
      <c r="N3663">
        <v>86710767415</v>
      </c>
      <c r="O3663" t="b">
        <v>1</v>
      </c>
      <c r="P3663">
        <v>-1</v>
      </c>
      <c r="Q3663" t="str" cm="1">
        <f t="array" ref="Q3663">_xlfn.IFS(Table1[[#This Row],[Wealthier_Winner]]=-1,"Wealthier Nation Loses",Table1[[#This Row],[Wealthier_Winner]]=0,"Tie",Table1[[#This Row],[Wealthier_Winner]]=1,"Wealthier Nation Wins")</f>
        <v>Wealthier Nation Loses</v>
      </c>
    </row>
    <row r="3664" spans="1:17" x14ac:dyDescent="0.2">
      <c r="A3664" s="1">
        <v>5634</v>
      </c>
      <c r="B3664" s="2">
        <v>39732</v>
      </c>
      <c r="C3664" s="7">
        <f>_xlfn.FLOOR.MATH(Table1[[#This Row],[year]],10)</f>
        <v>2000</v>
      </c>
      <c r="D3664" t="s">
        <v>534</v>
      </c>
      <c r="E3664" t="s">
        <v>351</v>
      </c>
      <c r="F3664">
        <v>1</v>
      </c>
      <c r="G3664">
        <v>1</v>
      </c>
      <c r="H3664" t="s">
        <v>224</v>
      </c>
      <c r="I3664" t="s">
        <v>536</v>
      </c>
      <c r="J3664" t="s">
        <v>534</v>
      </c>
      <c r="K3664" t="b">
        <v>0</v>
      </c>
      <c r="L3664">
        <v>2008</v>
      </c>
      <c r="M3664">
        <v>12795145130</v>
      </c>
      <c r="N3664">
        <v>27844646257</v>
      </c>
      <c r="O3664" t="b">
        <v>1</v>
      </c>
      <c r="P3664">
        <v>0</v>
      </c>
      <c r="Q3664" t="str" cm="1">
        <f t="array" ref="Q3664">_xlfn.IFS(Table1[[#This Row],[Wealthier_Winner]]=-1,"Wealthier Nation Loses",Table1[[#This Row],[Wealthier_Winner]]=0,"Tie",Table1[[#This Row],[Wealthier_Winner]]=1,"Wealthier Nation Wins")</f>
        <v>Tie</v>
      </c>
    </row>
    <row r="3665" spans="1:17" x14ac:dyDescent="0.2">
      <c r="A3665" s="1">
        <v>5635</v>
      </c>
      <c r="B3665" s="2">
        <v>39732</v>
      </c>
      <c r="C3665" s="7">
        <f>_xlfn.FLOOR.MATH(Table1[[#This Row],[year]],10)</f>
        <v>2000</v>
      </c>
      <c r="D3665" t="s">
        <v>16</v>
      </c>
      <c r="E3665" t="s">
        <v>196</v>
      </c>
      <c r="F3665">
        <v>2</v>
      </c>
      <c r="G3665">
        <v>1</v>
      </c>
      <c r="H3665" t="s">
        <v>224</v>
      </c>
      <c r="I3665" t="s">
        <v>91</v>
      </c>
      <c r="J3665" t="s">
        <v>16</v>
      </c>
      <c r="K3665" t="b">
        <v>0</v>
      </c>
      <c r="L3665">
        <v>2008</v>
      </c>
      <c r="M3665">
        <v>3808197720125</v>
      </c>
      <c r="N3665">
        <v>1660848058303</v>
      </c>
      <c r="O3665" t="b">
        <v>1</v>
      </c>
      <c r="P3665">
        <v>1</v>
      </c>
      <c r="Q3665" t="str" cm="1">
        <f t="array" ref="Q3665">_xlfn.IFS(Table1[[#This Row],[Wealthier_Winner]]=-1,"Wealthier Nation Loses",Table1[[#This Row],[Wealthier_Winner]]=0,"Tie",Table1[[#This Row],[Wealthier_Winner]]=1,"Wealthier Nation Wins")</f>
        <v>Wealthier Nation Wins</v>
      </c>
    </row>
    <row r="3666" spans="1:17" x14ac:dyDescent="0.2">
      <c r="A3666" s="1">
        <v>5636</v>
      </c>
      <c r="B3666" s="2">
        <v>39732</v>
      </c>
      <c r="C3666" s="7">
        <f>_xlfn.FLOOR.MATH(Table1[[#This Row],[year]],10)</f>
        <v>2000</v>
      </c>
      <c r="D3666" t="s">
        <v>63</v>
      </c>
      <c r="E3666" t="s">
        <v>307</v>
      </c>
      <c r="F3666">
        <v>3</v>
      </c>
      <c r="G3666">
        <v>0</v>
      </c>
      <c r="H3666" t="s">
        <v>224</v>
      </c>
      <c r="I3666" t="s">
        <v>715</v>
      </c>
      <c r="J3666" t="s">
        <v>63</v>
      </c>
      <c r="K3666" t="b">
        <v>0</v>
      </c>
      <c r="L3666">
        <v>2008</v>
      </c>
      <c r="M3666">
        <v>28679383241</v>
      </c>
      <c r="N3666">
        <v>1766902709</v>
      </c>
      <c r="O3666" t="b">
        <v>1</v>
      </c>
      <c r="P3666">
        <v>1</v>
      </c>
      <c r="Q3666" t="str" cm="1">
        <f t="array" ref="Q3666">_xlfn.IFS(Table1[[#This Row],[Wealthier_Winner]]=-1,"Wealthier Nation Loses",Table1[[#This Row],[Wealthier_Winner]]=0,"Tie",Table1[[#This Row],[Wealthier_Winner]]=1,"Wealthier Nation Wins")</f>
        <v>Wealthier Nation Wins</v>
      </c>
    </row>
    <row r="3667" spans="1:17" x14ac:dyDescent="0.2">
      <c r="A3667" s="1">
        <v>5637</v>
      </c>
      <c r="B3667" s="2">
        <v>39732</v>
      </c>
      <c r="C3667" s="7">
        <f>_xlfn.FLOOR.MATH(Table1[[#This Row],[year]],10)</f>
        <v>2000</v>
      </c>
      <c r="D3667" t="s">
        <v>48</v>
      </c>
      <c r="E3667" t="s">
        <v>527</v>
      </c>
      <c r="F3667">
        <v>3</v>
      </c>
      <c r="G3667">
        <v>0</v>
      </c>
      <c r="H3667" t="s">
        <v>224</v>
      </c>
      <c r="I3667" t="s">
        <v>236</v>
      </c>
      <c r="J3667" t="s">
        <v>48</v>
      </c>
      <c r="K3667" t="b">
        <v>0</v>
      </c>
      <c r="L3667">
        <v>2008</v>
      </c>
      <c r="M3667">
        <v>351121399546</v>
      </c>
      <c r="N3667">
        <v>6054824248</v>
      </c>
      <c r="O3667" t="b">
        <v>1</v>
      </c>
      <c r="P3667">
        <v>1</v>
      </c>
      <c r="Q3667" t="str" cm="1">
        <f t="array" ref="Q3667">_xlfn.IFS(Table1[[#This Row],[Wealthier_Winner]]=-1,"Wealthier Nation Loses",Table1[[#This Row],[Wealthier_Winner]]=0,"Tie",Table1[[#This Row],[Wealthier_Winner]]=1,"Wealthier Nation Wins")</f>
        <v>Wealthier Nation Wins</v>
      </c>
    </row>
    <row r="3668" spans="1:17" x14ac:dyDescent="0.2">
      <c r="A3668" s="1">
        <v>5638</v>
      </c>
      <c r="B3668" s="2">
        <v>39732</v>
      </c>
      <c r="C3668" s="7">
        <f>_xlfn.FLOOR.MATH(Table1[[#This Row],[year]],10)</f>
        <v>2000</v>
      </c>
      <c r="D3668" t="s">
        <v>223</v>
      </c>
      <c r="E3668" t="s">
        <v>59</v>
      </c>
      <c r="F3668">
        <v>0</v>
      </c>
      <c r="G3668">
        <v>0</v>
      </c>
      <c r="H3668" t="s">
        <v>224</v>
      </c>
      <c r="I3668" t="s">
        <v>227</v>
      </c>
      <c r="J3668" t="s">
        <v>223</v>
      </c>
      <c r="K3668" t="b">
        <v>0</v>
      </c>
      <c r="L3668">
        <v>2008</v>
      </c>
      <c r="M3668">
        <v>38503720224</v>
      </c>
      <c r="N3668">
        <v>27871587349</v>
      </c>
      <c r="O3668" t="b">
        <v>0</v>
      </c>
      <c r="P3668">
        <v>0</v>
      </c>
      <c r="Q3668" t="str" cm="1">
        <f t="array" ref="Q3668">_xlfn.IFS(Table1[[#This Row],[Wealthier_Winner]]=-1,"Wealthier Nation Loses",Table1[[#This Row],[Wealthier_Winner]]=0,"Tie",Table1[[#This Row],[Wealthier_Winner]]=1,"Wealthier Nation Wins")</f>
        <v>Tie</v>
      </c>
    </row>
    <row r="3669" spans="1:17" x14ac:dyDescent="0.2">
      <c r="A3669" s="1">
        <v>5639</v>
      </c>
      <c r="B3669" s="2">
        <v>39732</v>
      </c>
      <c r="C3669" s="7">
        <f>_xlfn.FLOOR.MATH(Table1[[#This Row],[year]],10)</f>
        <v>2000</v>
      </c>
      <c r="D3669" t="s">
        <v>70</v>
      </c>
      <c r="E3669" t="s">
        <v>69</v>
      </c>
      <c r="F3669">
        <v>0</v>
      </c>
      <c r="G3669">
        <v>0</v>
      </c>
      <c r="H3669" t="s">
        <v>224</v>
      </c>
      <c r="I3669" t="s">
        <v>280</v>
      </c>
      <c r="J3669" t="s">
        <v>70</v>
      </c>
      <c r="K3669" t="b">
        <v>0</v>
      </c>
      <c r="L3669">
        <v>2008</v>
      </c>
      <c r="M3669">
        <v>10432962634</v>
      </c>
      <c r="N3669">
        <v>17986890000</v>
      </c>
      <c r="O3669" t="b">
        <v>0</v>
      </c>
      <c r="P3669">
        <v>0</v>
      </c>
      <c r="Q3669" t="str" cm="1">
        <f t="array" ref="Q3669">_xlfn.IFS(Table1[[#This Row],[Wealthier_Winner]]=-1,"Wealthier Nation Loses",Table1[[#This Row],[Wealthier_Winner]]=0,"Tie",Table1[[#This Row],[Wealthier_Winner]]=1,"Wealthier Nation Wins")</f>
        <v>Tie</v>
      </c>
    </row>
    <row r="3670" spans="1:17" x14ac:dyDescent="0.2">
      <c r="A3670" s="1">
        <v>5640</v>
      </c>
      <c r="B3670" s="2">
        <v>39732</v>
      </c>
      <c r="C3670" s="7">
        <f>_xlfn.FLOOR.MATH(Table1[[#This Row],[year]],10)</f>
        <v>2000</v>
      </c>
      <c r="D3670" t="s">
        <v>65</v>
      </c>
      <c r="E3670" t="s">
        <v>34</v>
      </c>
      <c r="F3670">
        <v>3</v>
      </c>
      <c r="G3670">
        <v>1</v>
      </c>
      <c r="H3670" t="s">
        <v>224</v>
      </c>
      <c r="I3670" t="s">
        <v>254</v>
      </c>
      <c r="J3670" t="s">
        <v>65</v>
      </c>
      <c r="K3670" t="b">
        <v>0</v>
      </c>
      <c r="L3670">
        <v>2008</v>
      </c>
      <c r="M3670">
        <v>13881731875</v>
      </c>
      <c r="N3670">
        <v>1552989690721</v>
      </c>
      <c r="O3670" t="b">
        <v>1</v>
      </c>
      <c r="P3670">
        <v>-1</v>
      </c>
      <c r="Q3670" t="str" cm="1">
        <f t="array" ref="Q3670">_xlfn.IFS(Table1[[#This Row],[Wealthier_Winner]]=-1,"Wealthier Nation Loses",Table1[[#This Row],[Wealthier_Winner]]=0,"Tie",Table1[[#This Row],[Wealthier_Winner]]=1,"Wealthier Nation Wins")</f>
        <v>Wealthier Nation Loses</v>
      </c>
    </row>
    <row r="3671" spans="1:17" x14ac:dyDescent="0.2">
      <c r="A3671" s="1">
        <v>5641</v>
      </c>
      <c r="B3671" s="2">
        <v>39732</v>
      </c>
      <c r="C3671" s="7">
        <f>_xlfn.FLOOR.MATH(Table1[[#This Row],[year]],10)</f>
        <v>2000</v>
      </c>
      <c r="D3671" t="s">
        <v>30</v>
      </c>
      <c r="E3671" t="s">
        <v>373</v>
      </c>
      <c r="F3671">
        <v>2</v>
      </c>
      <c r="G3671">
        <v>0</v>
      </c>
      <c r="H3671" t="s">
        <v>224</v>
      </c>
      <c r="I3671" t="s">
        <v>297</v>
      </c>
      <c r="J3671" t="s">
        <v>30</v>
      </c>
      <c r="K3671" t="b">
        <v>0</v>
      </c>
      <c r="L3671">
        <v>2008</v>
      </c>
      <c r="M3671">
        <v>158228265915</v>
      </c>
      <c r="N3671">
        <v>13258506375</v>
      </c>
      <c r="O3671" t="b">
        <v>1</v>
      </c>
      <c r="P3671">
        <v>1</v>
      </c>
      <c r="Q3671" t="str" cm="1">
        <f t="array" ref="Q3671">_xlfn.IFS(Table1[[#This Row],[Wealthier_Winner]]=-1,"Wealthier Nation Loses",Table1[[#This Row],[Wealthier_Winner]]=0,"Tie",Table1[[#This Row],[Wealthier_Winner]]=1,"Wealthier Nation Wins")</f>
        <v>Wealthier Nation Wins</v>
      </c>
    </row>
    <row r="3672" spans="1:17" x14ac:dyDescent="0.2">
      <c r="A3672" s="1">
        <v>5643</v>
      </c>
      <c r="B3672" s="2">
        <v>39732</v>
      </c>
      <c r="C3672" s="7">
        <f>_xlfn.FLOOR.MATH(Table1[[#This Row],[year]],10)</f>
        <v>2000</v>
      </c>
      <c r="D3672" t="s">
        <v>49</v>
      </c>
      <c r="E3672" t="s">
        <v>17</v>
      </c>
      <c r="F3672">
        <v>1</v>
      </c>
      <c r="G3672">
        <v>0</v>
      </c>
      <c r="H3672" t="s">
        <v>224</v>
      </c>
      <c r="I3672" t="s">
        <v>257</v>
      </c>
      <c r="J3672" t="s">
        <v>49</v>
      </c>
      <c r="K3672" t="b">
        <v>0</v>
      </c>
      <c r="L3672">
        <v>2008</v>
      </c>
      <c r="M3672">
        <v>13709401520</v>
      </c>
      <c r="N3672">
        <v>1161553459715</v>
      </c>
      <c r="O3672" t="b">
        <v>1</v>
      </c>
      <c r="P3672">
        <v>-1</v>
      </c>
      <c r="Q3672" t="str" cm="1">
        <f t="array" ref="Q3672">_xlfn.IFS(Table1[[#This Row],[Wealthier_Winner]]=-1,"Wealthier Nation Loses",Table1[[#This Row],[Wealthier_Winner]]=0,"Tie",Table1[[#This Row],[Wealthier_Winner]]=1,"Wealthier Nation Wins")</f>
        <v>Wealthier Nation Loses</v>
      </c>
    </row>
    <row r="3673" spans="1:17" x14ac:dyDescent="0.2">
      <c r="A3673" s="1">
        <v>5644</v>
      </c>
      <c r="B3673" s="2">
        <v>39732</v>
      </c>
      <c r="C3673" s="7">
        <f>_xlfn.FLOOR.MATH(Table1[[#This Row],[year]],10)</f>
        <v>2000</v>
      </c>
      <c r="D3673" t="s">
        <v>378</v>
      </c>
      <c r="E3673" t="s">
        <v>32</v>
      </c>
      <c r="F3673">
        <v>0</v>
      </c>
      <c r="G3673">
        <v>0</v>
      </c>
      <c r="H3673" t="s">
        <v>224</v>
      </c>
      <c r="I3673" t="s">
        <v>595</v>
      </c>
      <c r="J3673" t="s">
        <v>378</v>
      </c>
      <c r="K3673" t="b">
        <v>0</v>
      </c>
      <c r="L3673">
        <v>2008</v>
      </c>
      <c r="M3673">
        <v>1726000000</v>
      </c>
      <c r="N3673">
        <v>180383848331</v>
      </c>
      <c r="O3673" t="b">
        <v>1</v>
      </c>
      <c r="P3673">
        <v>0</v>
      </c>
      <c r="Q3673" t="str" cm="1">
        <f t="array" ref="Q3673">_xlfn.IFS(Table1[[#This Row],[Wealthier_Winner]]=-1,"Wealthier Nation Loses",Table1[[#This Row],[Wealthier_Winner]]=0,"Tie",Table1[[#This Row],[Wealthier_Winner]]=1,"Wealthier Nation Wins")</f>
        <v>Tie</v>
      </c>
    </row>
    <row r="3674" spans="1:17" x14ac:dyDescent="0.2">
      <c r="A3674" s="1">
        <v>5645</v>
      </c>
      <c r="B3674" s="2">
        <v>39732</v>
      </c>
      <c r="C3674" s="7">
        <f>_xlfn.FLOOR.MATH(Table1[[#This Row],[year]],10)</f>
        <v>2000</v>
      </c>
      <c r="D3674" t="s">
        <v>232</v>
      </c>
      <c r="E3674" t="s">
        <v>22</v>
      </c>
      <c r="F3674">
        <v>1</v>
      </c>
      <c r="G3674">
        <v>3</v>
      </c>
      <c r="H3674" t="s">
        <v>224</v>
      </c>
      <c r="I3674" t="s">
        <v>232</v>
      </c>
      <c r="J3674" t="s">
        <v>232</v>
      </c>
      <c r="K3674" t="b">
        <v>0</v>
      </c>
      <c r="L3674">
        <v>2008</v>
      </c>
      <c r="M3674">
        <v>58844277701</v>
      </c>
      <c r="N3674">
        <v>221231658862</v>
      </c>
      <c r="O3674" t="b">
        <v>1</v>
      </c>
      <c r="P3674">
        <v>1</v>
      </c>
      <c r="Q3674" t="str" cm="1">
        <f t="array" ref="Q3674">_xlfn.IFS(Table1[[#This Row],[Wealthier_Winner]]=-1,"Wealthier Nation Loses",Table1[[#This Row],[Wealthier_Winner]]=0,"Tie",Table1[[#This Row],[Wealthier_Winner]]=1,"Wealthier Nation Wins")</f>
        <v>Wealthier Nation Wins</v>
      </c>
    </row>
    <row r="3675" spans="1:17" x14ac:dyDescent="0.2">
      <c r="A3675" s="1">
        <v>5647</v>
      </c>
      <c r="B3675" s="2">
        <v>39732</v>
      </c>
      <c r="C3675" s="7">
        <f>_xlfn.FLOOR.MATH(Table1[[#This Row],[year]],10)</f>
        <v>2000</v>
      </c>
      <c r="D3675" t="s">
        <v>590</v>
      </c>
      <c r="E3675" t="s">
        <v>586</v>
      </c>
      <c r="F3675">
        <v>2</v>
      </c>
      <c r="G3675">
        <v>1</v>
      </c>
      <c r="H3675" t="s">
        <v>224</v>
      </c>
      <c r="I3675" t="s">
        <v>596</v>
      </c>
      <c r="J3675" t="s">
        <v>590</v>
      </c>
      <c r="K3675" t="b">
        <v>0</v>
      </c>
      <c r="L3675">
        <v>2008</v>
      </c>
      <c r="M3675">
        <v>11462490840</v>
      </c>
      <c r="N3675">
        <v>13385593990</v>
      </c>
      <c r="O3675" t="b">
        <v>0</v>
      </c>
      <c r="P3675">
        <v>-1</v>
      </c>
      <c r="Q3675" t="str" cm="1">
        <f t="array" ref="Q3675">_xlfn.IFS(Table1[[#This Row],[Wealthier_Winner]]=-1,"Wealthier Nation Loses",Table1[[#This Row],[Wealthier_Winner]]=0,"Tie",Table1[[#This Row],[Wealthier_Winner]]=1,"Wealthier Nation Wins")</f>
        <v>Wealthier Nation Loses</v>
      </c>
    </row>
    <row r="3676" spans="1:17" x14ac:dyDescent="0.2">
      <c r="A3676" s="1">
        <v>5648</v>
      </c>
      <c r="B3676" s="2">
        <v>39732</v>
      </c>
      <c r="C3676" s="7">
        <f>_xlfn.FLOOR.MATH(Table1[[#This Row],[year]],10)</f>
        <v>2000</v>
      </c>
      <c r="D3676" t="s">
        <v>24</v>
      </c>
      <c r="E3676" t="s">
        <v>346</v>
      </c>
      <c r="F3676">
        <v>4</v>
      </c>
      <c r="G3676">
        <v>1</v>
      </c>
      <c r="H3676" t="s">
        <v>224</v>
      </c>
      <c r="I3676" t="s">
        <v>319</v>
      </c>
      <c r="J3676" t="s">
        <v>24</v>
      </c>
      <c r="K3676" t="b">
        <v>0</v>
      </c>
      <c r="L3676">
        <v>2008</v>
      </c>
      <c r="M3676">
        <v>101822906949</v>
      </c>
      <c r="N3676">
        <v>5206437193</v>
      </c>
      <c r="O3676" t="b">
        <v>1</v>
      </c>
      <c r="P3676">
        <v>1</v>
      </c>
      <c r="Q3676" t="str" cm="1">
        <f t="array" ref="Q3676">_xlfn.IFS(Table1[[#This Row],[Wealthier_Winner]]=-1,"Wealthier Nation Loses",Table1[[#This Row],[Wealthier_Winner]]=0,"Tie",Table1[[#This Row],[Wealthier_Winner]]=1,"Wealthier Nation Wins")</f>
        <v>Wealthier Nation Wins</v>
      </c>
    </row>
    <row r="3677" spans="1:17" x14ac:dyDescent="0.2">
      <c r="A3677" s="1">
        <v>5649</v>
      </c>
      <c r="B3677" s="2">
        <v>39732</v>
      </c>
      <c r="C3677" s="7">
        <f>_xlfn.FLOOR.MATH(Table1[[#This Row],[year]],10)</f>
        <v>2000</v>
      </c>
      <c r="D3677" t="s">
        <v>462</v>
      </c>
      <c r="E3677" t="s">
        <v>298</v>
      </c>
      <c r="F3677">
        <v>4</v>
      </c>
      <c r="G3677">
        <v>2</v>
      </c>
      <c r="H3677" t="s">
        <v>224</v>
      </c>
      <c r="I3677" t="s">
        <v>465</v>
      </c>
      <c r="J3677" t="s">
        <v>462</v>
      </c>
      <c r="K3677" t="b">
        <v>0</v>
      </c>
      <c r="L3677">
        <v>2008</v>
      </c>
      <c r="M3677">
        <v>8607431497</v>
      </c>
      <c r="N3677">
        <v>4418000000</v>
      </c>
      <c r="O3677" t="b">
        <v>0</v>
      </c>
      <c r="P3677">
        <v>1</v>
      </c>
      <c r="Q3677" t="str" cm="1">
        <f t="array" ref="Q3677">_xlfn.IFS(Table1[[#This Row],[Wealthier_Winner]]=-1,"Wealthier Nation Loses",Table1[[#This Row],[Wealthier_Winner]]=0,"Tie",Table1[[#This Row],[Wealthier_Winner]]=1,"Wealthier Nation Wins")</f>
        <v>Wealthier Nation Wins</v>
      </c>
    </row>
    <row r="3678" spans="1:17" x14ac:dyDescent="0.2">
      <c r="A3678" s="1">
        <v>5650</v>
      </c>
      <c r="B3678" s="2">
        <v>39732</v>
      </c>
      <c r="C3678" s="7">
        <f>_xlfn.FLOOR.MATH(Table1[[#This Row],[year]],10)</f>
        <v>2000</v>
      </c>
      <c r="D3678" t="s">
        <v>27</v>
      </c>
      <c r="E3678" t="s">
        <v>66</v>
      </c>
      <c r="F3678">
        <v>2</v>
      </c>
      <c r="G3678">
        <v>0</v>
      </c>
      <c r="H3678" t="s">
        <v>224</v>
      </c>
      <c r="I3678" t="s">
        <v>265</v>
      </c>
      <c r="J3678" t="s">
        <v>27</v>
      </c>
      <c r="K3678" t="b">
        <v>0</v>
      </c>
      <c r="L3678">
        <v>2008</v>
      </c>
      <c r="M3678">
        <v>957901566041</v>
      </c>
      <c r="N3678">
        <v>18247921360</v>
      </c>
      <c r="O3678" t="b">
        <v>1</v>
      </c>
      <c r="P3678">
        <v>1</v>
      </c>
      <c r="Q3678" t="str" cm="1">
        <f t="array" ref="Q3678">_xlfn.IFS(Table1[[#This Row],[Wealthier_Winner]]=-1,"Wealthier Nation Loses",Table1[[#This Row],[Wealthier_Winner]]=0,"Tie",Table1[[#This Row],[Wealthier_Winner]]=1,"Wealthier Nation Wins")</f>
        <v>Wealthier Nation Wins</v>
      </c>
    </row>
    <row r="3679" spans="1:17" x14ac:dyDescent="0.2">
      <c r="A3679" s="1">
        <v>5651</v>
      </c>
      <c r="B3679" s="2">
        <v>39732</v>
      </c>
      <c r="C3679" s="7">
        <f>_xlfn.FLOOR.MATH(Table1[[#This Row],[year]],10)</f>
        <v>2000</v>
      </c>
      <c r="D3679" t="s">
        <v>43</v>
      </c>
      <c r="E3679" t="s">
        <v>342</v>
      </c>
      <c r="F3679">
        <v>4</v>
      </c>
      <c r="G3679">
        <v>1</v>
      </c>
      <c r="H3679" t="s">
        <v>224</v>
      </c>
      <c r="I3679" t="s">
        <v>657</v>
      </c>
      <c r="J3679" t="s">
        <v>43</v>
      </c>
      <c r="K3679" t="b">
        <v>0</v>
      </c>
      <c r="L3679">
        <v>2008</v>
      </c>
      <c r="M3679">
        <v>339476276257</v>
      </c>
      <c r="N3679">
        <v>4157895298</v>
      </c>
      <c r="O3679" t="b">
        <v>1</v>
      </c>
      <c r="P3679">
        <v>1</v>
      </c>
      <c r="Q3679" t="str" cm="1">
        <f t="array" ref="Q3679">_xlfn.IFS(Table1[[#This Row],[Wealthier_Winner]]=-1,"Wealthier Nation Loses",Table1[[#This Row],[Wealthier_Winner]]=0,"Tie",Table1[[#This Row],[Wealthier_Winner]]=1,"Wealthier Nation Wins")</f>
        <v>Wealthier Nation Wins</v>
      </c>
    </row>
    <row r="3680" spans="1:17" x14ac:dyDescent="0.2">
      <c r="A3680" s="1">
        <v>5653</v>
      </c>
      <c r="B3680" s="2">
        <v>39732</v>
      </c>
      <c r="C3680" s="7">
        <f>_xlfn.FLOOR.MATH(Table1[[#This Row],[year]],10)</f>
        <v>2000</v>
      </c>
      <c r="D3680" t="s">
        <v>44</v>
      </c>
      <c r="E3680" t="s">
        <v>20</v>
      </c>
      <c r="F3680">
        <v>2</v>
      </c>
      <c r="G3680">
        <v>2</v>
      </c>
      <c r="H3680" t="s">
        <v>224</v>
      </c>
      <c r="I3680" t="s">
        <v>675</v>
      </c>
      <c r="J3680" t="s">
        <v>44</v>
      </c>
      <c r="K3680" t="b">
        <v>0</v>
      </c>
      <c r="L3680">
        <v>2008</v>
      </c>
      <c r="M3680">
        <v>214315932061</v>
      </c>
      <c r="N3680">
        <v>2926802941585</v>
      </c>
      <c r="O3680" t="b">
        <v>1</v>
      </c>
      <c r="P3680">
        <v>0</v>
      </c>
      <c r="Q3680" t="str" cm="1">
        <f t="array" ref="Q3680">_xlfn.IFS(Table1[[#This Row],[Wealthier_Winner]]=-1,"Wealthier Nation Loses",Table1[[#This Row],[Wealthier_Winner]]=0,"Tie",Table1[[#This Row],[Wealthier_Winner]]=1,"Wealthier Nation Wins")</f>
        <v>Tie</v>
      </c>
    </row>
    <row r="3681" spans="1:17" x14ac:dyDescent="0.2">
      <c r="A3681" s="1">
        <v>5657</v>
      </c>
      <c r="B3681" s="2">
        <v>39732</v>
      </c>
      <c r="C3681" s="7">
        <f>_xlfn.FLOOR.MATH(Table1[[#This Row],[year]],10)</f>
        <v>2000</v>
      </c>
      <c r="D3681" t="s">
        <v>61</v>
      </c>
      <c r="E3681" t="s">
        <v>523</v>
      </c>
      <c r="F3681">
        <v>3</v>
      </c>
      <c r="G3681">
        <v>0</v>
      </c>
      <c r="H3681" t="s">
        <v>224</v>
      </c>
      <c r="I3681" t="s">
        <v>505</v>
      </c>
      <c r="J3681" t="s">
        <v>61</v>
      </c>
      <c r="K3681" t="b">
        <v>0</v>
      </c>
      <c r="L3681">
        <v>2008</v>
      </c>
      <c r="M3681">
        <v>54220641201</v>
      </c>
      <c r="N3681">
        <v>47831254207</v>
      </c>
      <c r="O3681" t="b">
        <v>0</v>
      </c>
      <c r="P3681">
        <v>1</v>
      </c>
      <c r="Q3681" t="str" cm="1">
        <f t="array" ref="Q3681">_xlfn.IFS(Table1[[#This Row],[Wealthier_Winner]]=-1,"Wealthier Nation Loses",Table1[[#This Row],[Wealthier_Winner]]=0,"Tie",Table1[[#This Row],[Wealthier_Winner]]=1,"Wealthier Nation Wins")</f>
        <v>Wealthier Nation Wins</v>
      </c>
    </row>
    <row r="3682" spans="1:17" x14ac:dyDescent="0.2">
      <c r="A3682" s="1">
        <v>5660</v>
      </c>
      <c r="B3682" s="2">
        <v>39732</v>
      </c>
      <c r="C3682" s="7">
        <f>_xlfn.FLOOR.MATH(Table1[[#This Row],[year]],10)</f>
        <v>2000</v>
      </c>
      <c r="D3682" t="s">
        <v>252</v>
      </c>
      <c r="E3682" t="s">
        <v>56</v>
      </c>
      <c r="F3682">
        <v>1</v>
      </c>
      <c r="G3682">
        <v>4</v>
      </c>
      <c r="H3682" t="s">
        <v>224</v>
      </c>
      <c r="I3682" t="s">
        <v>255</v>
      </c>
      <c r="J3682" t="s">
        <v>252</v>
      </c>
      <c r="K3682" t="b">
        <v>0</v>
      </c>
      <c r="L3682">
        <v>2008</v>
      </c>
      <c r="M3682">
        <v>3532969034</v>
      </c>
      <c r="N3682">
        <v>30801745700</v>
      </c>
      <c r="O3682" t="b">
        <v>1</v>
      </c>
      <c r="P3682">
        <v>1</v>
      </c>
      <c r="Q3682" t="str" cm="1">
        <f t="array" ref="Q3682">_xlfn.IFS(Table1[[#This Row],[Wealthier_Winner]]=-1,"Wealthier Nation Loses",Table1[[#This Row],[Wealthier_Winner]]=0,"Tie",Table1[[#This Row],[Wealthier_Winner]]=1,"Wealthier Nation Wins")</f>
        <v>Wealthier Nation Wins</v>
      </c>
    </row>
    <row r="3683" spans="1:17" x14ac:dyDescent="0.2">
      <c r="A3683" s="1">
        <v>5661</v>
      </c>
      <c r="B3683" s="2">
        <v>39732</v>
      </c>
      <c r="C3683" s="7">
        <f>_xlfn.FLOOR.MATH(Table1[[#This Row],[year]],10)</f>
        <v>2000</v>
      </c>
      <c r="D3683" t="s">
        <v>25</v>
      </c>
      <c r="E3683" t="s">
        <v>38</v>
      </c>
      <c r="F3683">
        <v>0</v>
      </c>
      <c r="G3683">
        <v>0</v>
      </c>
      <c r="H3683" t="s">
        <v>224</v>
      </c>
      <c r="I3683" t="s">
        <v>233</v>
      </c>
      <c r="J3683" t="s">
        <v>25</v>
      </c>
      <c r="K3683" t="b">
        <v>0</v>
      </c>
      <c r="L3683">
        <v>2008</v>
      </c>
      <c r="M3683">
        <v>514614100832</v>
      </c>
      <c r="N3683">
        <v>263416394624</v>
      </c>
      <c r="O3683" t="b">
        <v>0</v>
      </c>
      <c r="P3683">
        <v>0</v>
      </c>
      <c r="Q3683" t="str" cm="1">
        <f t="array" ref="Q3683">_xlfn.IFS(Table1[[#This Row],[Wealthier_Winner]]=-1,"Wealthier Nation Loses",Table1[[#This Row],[Wealthier_Winner]]=0,"Tie",Table1[[#This Row],[Wealthier_Winner]]=1,"Wealthier Nation Wins")</f>
        <v>Tie</v>
      </c>
    </row>
    <row r="3684" spans="1:17" x14ac:dyDescent="0.2">
      <c r="A3684" s="1">
        <v>5662</v>
      </c>
      <c r="B3684" s="2">
        <v>39732</v>
      </c>
      <c r="C3684" s="7">
        <f>_xlfn.FLOOR.MATH(Table1[[#This Row],[year]],10)</f>
        <v>2000</v>
      </c>
      <c r="D3684" t="s">
        <v>46</v>
      </c>
      <c r="E3684" t="s">
        <v>525</v>
      </c>
      <c r="F3684">
        <v>2</v>
      </c>
      <c r="G3684">
        <v>1</v>
      </c>
      <c r="H3684" t="s">
        <v>224</v>
      </c>
      <c r="I3684" t="s">
        <v>442</v>
      </c>
      <c r="J3684" t="s">
        <v>46</v>
      </c>
      <c r="K3684" t="b">
        <v>0</v>
      </c>
      <c r="L3684">
        <v>2008</v>
      </c>
      <c r="M3684">
        <v>567267767519</v>
      </c>
      <c r="N3684">
        <v>34135200994</v>
      </c>
      <c r="O3684" t="b">
        <v>1</v>
      </c>
      <c r="P3684">
        <v>1</v>
      </c>
      <c r="Q3684" t="str" cm="1">
        <f t="array" ref="Q3684">_xlfn.IFS(Table1[[#This Row],[Wealthier_Winner]]=-1,"Wealthier Nation Loses",Table1[[#This Row],[Wealthier_Winner]]=0,"Tie",Table1[[#This Row],[Wealthier_Winner]]=1,"Wealthier Nation Wins")</f>
        <v>Wealthier Nation Wins</v>
      </c>
    </row>
    <row r="3685" spans="1:17" x14ac:dyDescent="0.2">
      <c r="A3685" s="1">
        <v>5664</v>
      </c>
      <c r="B3685" s="2">
        <v>39732</v>
      </c>
      <c r="C3685" s="7">
        <f>_xlfn.FLOOR.MATH(Table1[[#This Row],[year]],10)</f>
        <v>2000</v>
      </c>
      <c r="D3685" t="s">
        <v>62</v>
      </c>
      <c r="E3685" t="s">
        <v>463</v>
      </c>
      <c r="F3685">
        <v>6</v>
      </c>
      <c r="G3685">
        <v>0</v>
      </c>
      <c r="H3685" t="s">
        <v>224</v>
      </c>
      <c r="I3685" t="s">
        <v>226</v>
      </c>
      <c r="J3685" t="s">
        <v>63</v>
      </c>
      <c r="K3685" t="b">
        <v>1</v>
      </c>
      <c r="L3685">
        <v>2008</v>
      </c>
      <c r="M3685">
        <v>4578847112</v>
      </c>
      <c r="N3685">
        <v>3235921170</v>
      </c>
      <c r="O3685" t="b">
        <v>0</v>
      </c>
      <c r="P3685">
        <v>1</v>
      </c>
      <c r="Q3685" t="str" cm="1">
        <f t="array" ref="Q3685">_xlfn.IFS(Table1[[#This Row],[Wealthier_Winner]]=-1,"Wealthier Nation Loses",Table1[[#This Row],[Wealthier_Winner]]=0,"Tie",Table1[[#This Row],[Wealthier_Winner]]=1,"Wealthier Nation Wins")</f>
        <v>Wealthier Nation Wins</v>
      </c>
    </row>
    <row r="3686" spans="1:17" x14ac:dyDescent="0.2">
      <c r="A3686" s="1">
        <v>5665</v>
      </c>
      <c r="B3686" s="2">
        <v>39732</v>
      </c>
      <c r="C3686" s="7">
        <f>_xlfn.FLOOR.MATH(Table1[[#This Row],[year]],10)</f>
        <v>2000</v>
      </c>
      <c r="D3686" t="s">
        <v>53</v>
      </c>
      <c r="E3686" t="s">
        <v>583</v>
      </c>
      <c r="F3686">
        <v>5</v>
      </c>
      <c r="G3686">
        <v>0</v>
      </c>
      <c r="H3686" t="s">
        <v>224</v>
      </c>
      <c r="I3686" t="s">
        <v>658</v>
      </c>
      <c r="J3686" t="s">
        <v>53</v>
      </c>
      <c r="K3686" t="b">
        <v>0</v>
      </c>
      <c r="L3686">
        <v>2008</v>
      </c>
      <c r="M3686">
        <v>44859439902</v>
      </c>
      <c r="N3686">
        <v>979597394</v>
      </c>
      <c r="O3686" t="b">
        <v>1</v>
      </c>
      <c r="P3686">
        <v>1</v>
      </c>
      <c r="Q3686" t="str" cm="1">
        <f t="array" ref="Q3686">_xlfn.IFS(Table1[[#This Row],[Wealthier_Winner]]=-1,"Wealthier Nation Loses",Table1[[#This Row],[Wealthier_Winner]]=0,"Tie",Table1[[#This Row],[Wealthier_Winner]]=1,"Wealthier Nation Wins")</f>
        <v>Wealthier Nation Wins</v>
      </c>
    </row>
    <row r="3687" spans="1:17" x14ac:dyDescent="0.2">
      <c r="A3687" s="1">
        <v>5667</v>
      </c>
      <c r="B3687" s="2">
        <v>39732</v>
      </c>
      <c r="C3687" s="7">
        <f>_xlfn.FLOOR.MATH(Table1[[#This Row],[year]],10)</f>
        <v>2000</v>
      </c>
      <c r="D3687" t="s">
        <v>64</v>
      </c>
      <c r="E3687" t="s">
        <v>52</v>
      </c>
      <c r="F3687">
        <v>0</v>
      </c>
      <c r="G3687">
        <v>0</v>
      </c>
      <c r="H3687" t="s">
        <v>224</v>
      </c>
      <c r="I3687" t="s">
        <v>716</v>
      </c>
      <c r="J3687" t="s">
        <v>64</v>
      </c>
      <c r="K3687" t="b">
        <v>0</v>
      </c>
      <c r="L3687">
        <v>2008</v>
      </c>
      <c r="M3687">
        <v>188110390659</v>
      </c>
      <c r="N3687">
        <v>68472854617</v>
      </c>
      <c r="O3687" t="b">
        <v>1</v>
      </c>
      <c r="P3687">
        <v>0</v>
      </c>
      <c r="Q3687" t="str" cm="1">
        <f t="array" ref="Q3687">_xlfn.IFS(Table1[[#This Row],[Wealthier_Winner]]=-1,"Wealthier Nation Loses",Table1[[#This Row],[Wealthier_Winner]]=0,"Tie",Table1[[#This Row],[Wealthier_Winner]]=1,"Wealthier Nation Wins")</f>
        <v>Tie</v>
      </c>
    </row>
    <row r="3688" spans="1:17" x14ac:dyDescent="0.2">
      <c r="A3688" s="1">
        <v>5668</v>
      </c>
      <c r="B3688" s="2">
        <v>39732</v>
      </c>
      <c r="C3688" s="7">
        <f>_xlfn.FLOOR.MATH(Table1[[#This Row],[year]],10)</f>
        <v>2000</v>
      </c>
      <c r="D3688" t="s">
        <v>41</v>
      </c>
      <c r="E3688" t="s">
        <v>517</v>
      </c>
      <c r="F3688">
        <v>6</v>
      </c>
      <c r="G3688">
        <v>1</v>
      </c>
      <c r="H3688" t="s">
        <v>224</v>
      </c>
      <c r="I3688" t="s">
        <v>122</v>
      </c>
      <c r="J3688" t="s">
        <v>41</v>
      </c>
      <c r="K3688" t="b">
        <v>0</v>
      </c>
      <c r="L3688">
        <v>2008</v>
      </c>
      <c r="M3688">
        <v>14769857911000</v>
      </c>
      <c r="N3688">
        <v>56302129629</v>
      </c>
      <c r="O3688" t="b">
        <v>1</v>
      </c>
      <c r="P3688">
        <v>1</v>
      </c>
      <c r="Q3688" t="str" cm="1">
        <f t="array" ref="Q3688">_xlfn.IFS(Table1[[#This Row],[Wealthier_Winner]]=-1,"Wealthier Nation Loses",Table1[[#This Row],[Wealthier_Winner]]=0,"Tie",Table1[[#This Row],[Wealthier_Winner]]=1,"Wealthier Nation Wins")</f>
        <v>Wealthier Nation Wins</v>
      </c>
    </row>
    <row r="3689" spans="1:17" x14ac:dyDescent="0.2">
      <c r="A3689" s="1">
        <v>5670</v>
      </c>
      <c r="B3689" s="2">
        <v>39733</v>
      </c>
      <c r="C3689" s="7">
        <f>_xlfn.FLOOR.MATH(Table1[[#This Row],[year]],10)</f>
        <v>2000</v>
      </c>
      <c r="D3689" t="s">
        <v>60</v>
      </c>
      <c r="E3689" t="s">
        <v>343</v>
      </c>
      <c r="F3689">
        <v>3</v>
      </c>
      <c r="G3689">
        <v>1</v>
      </c>
      <c r="H3689" t="s">
        <v>224</v>
      </c>
      <c r="I3689" t="s">
        <v>396</v>
      </c>
      <c r="J3689" t="s">
        <v>60</v>
      </c>
      <c r="K3689" t="b">
        <v>0</v>
      </c>
      <c r="L3689">
        <v>2008</v>
      </c>
      <c r="M3689">
        <v>98790432989</v>
      </c>
      <c r="N3689">
        <v>7297600226</v>
      </c>
      <c r="O3689" t="b">
        <v>1</v>
      </c>
      <c r="P3689">
        <v>1</v>
      </c>
      <c r="Q3689" t="str" cm="1">
        <f t="array" ref="Q3689">_xlfn.IFS(Table1[[#This Row],[Wealthier_Winner]]=-1,"Wealthier Nation Loses",Table1[[#This Row],[Wealthier_Winner]]=0,"Tie",Table1[[#This Row],[Wealthier_Winner]]=1,"Wealthier Nation Wins")</f>
        <v>Wealthier Nation Wins</v>
      </c>
    </row>
    <row r="3690" spans="1:17" x14ac:dyDescent="0.2">
      <c r="A3690" s="1">
        <v>5671</v>
      </c>
      <c r="B3690" s="2">
        <v>39733</v>
      </c>
      <c r="C3690" s="7">
        <f>_xlfn.FLOOR.MATH(Table1[[#This Row],[year]],10)</f>
        <v>2000</v>
      </c>
      <c r="D3690" t="s">
        <v>460</v>
      </c>
      <c r="E3690" t="s">
        <v>345</v>
      </c>
      <c r="F3690">
        <v>1</v>
      </c>
      <c r="G3690">
        <v>3</v>
      </c>
      <c r="H3690" t="s">
        <v>224</v>
      </c>
      <c r="I3690" t="s">
        <v>464</v>
      </c>
      <c r="J3690" t="s">
        <v>460</v>
      </c>
      <c r="K3690" t="b">
        <v>0</v>
      </c>
      <c r="L3690">
        <v>2008</v>
      </c>
      <c r="M3690">
        <v>1611835857</v>
      </c>
      <c r="N3690">
        <v>9451435490</v>
      </c>
      <c r="O3690" t="b">
        <v>1</v>
      </c>
      <c r="P3690">
        <v>1</v>
      </c>
      <c r="Q3690" t="str" cm="1">
        <f t="array" ref="Q3690">_xlfn.IFS(Table1[[#This Row],[Wealthier_Winner]]=-1,"Wealthier Nation Loses",Table1[[#This Row],[Wealthier_Winner]]=0,"Tie",Table1[[#This Row],[Wealthier_Winner]]=1,"Wealthier Nation Wins")</f>
        <v>Wealthier Nation Wins</v>
      </c>
    </row>
    <row r="3691" spans="1:17" x14ac:dyDescent="0.2">
      <c r="A3691" s="1">
        <v>5672</v>
      </c>
      <c r="B3691" s="2">
        <v>39733</v>
      </c>
      <c r="C3691" s="7">
        <f>_xlfn.FLOOR.MATH(Table1[[#This Row],[year]],10)</f>
        <v>2000</v>
      </c>
      <c r="D3691" t="s">
        <v>57</v>
      </c>
      <c r="E3691" t="s">
        <v>14</v>
      </c>
      <c r="F3691">
        <v>1</v>
      </c>
      <c r="G3691">
        <v>0</v>
      </c>
      <c r="H3691" t="s">
        <v>224</v>
      </c>
      <c r="I3691" t="s">
        <v>335</v>
      </c>
      <c r="J3691" t="s">
        <v>57</v>
      </c>
      <c r="K3691" t="b">
        <v>0</v>
      </c>
      <c r="L3691">
        <v>2008</v>
      </c>
      <c r="M3691">
        <v>61139438000</v>
      </c>
      <c r="N3691">
        <v>179894594475</v>
      </c>
      <c r="O3691" t="b">
        <v>1</v>
      </c>
      <c r="P3691">
        <v>-1</v>
      </c>
      <c r="Q3691" t="str" cm="1">
        <f t="array" ref="Q3691">_xlfn.IFS(Table1[[#This Row],[Wealthier_Winner]]=-1,"Wealthier Nation Loses",Table1[[#This Row],[Wealthier_Winner]]=0,"Tie",Table1[[#This Row],[Wealthier_Winner]]=1,"Wealthier Nation Wins")</f>
        <v>Wealthier Nation Loses</v>
      </c>
    </row>
    <row r="3692" spans="1:17" x14ac:dyDescent="0.2">
      <c r="A3692" s="1">
        <v>5673</v>
      </c>
      <c r="B3692" s="2">
        <v>39733</v>
      </c>
      <c r="C3692" s="7">
        <f>_xlfn.FLOOR.MATH(Table1[[#This Row],[year]],10)</f>
        <v>2000</v>
      </c>
      <c r="D3692" t="s">
        <v>212</v>
      </c>
      <c r="E3692" t="s">
        <v>694</v>
      </c>
      <c r="F3692">
        <v>4</v>
      </c>
      <c r="G3692">
        <v>0</v>
      </c>
      <c r="H3692" t="s">
        <v>224</v>
      </c>
      <c r="I3692" t="s">
        <v>322</v>
      </c>
      <c r="J3692" t="s">
        <v>212</v>
      </c>
      <c r="K3692" t="b">
        <v>0</v>
      </c>
      <c r="L3692">
        <v>2008</v>
      </c>
      <c r="M3692">
        <v>162818181818</v>
      </c>
      <c r="N3692">
        <v>999105339</v>
      </c>
      <c r="O3692" t="b">
        <v>1</v>
      </c>
      <c r="P3692">
        <v>1</v>
      </c>
      <c r="Q3692" t="str" cm="1">
        <f t="array" ref="Q3692">_xlfn.IFS(Table1[[#This Row],[Wealthier_Winner]]=-1,"Wealthier Nation Loses",Table1[[#This Row],[Wealthier_Winner]]=0,"Tie",Table1[[#This Row],[Wealthier_Winner]]=1,"Wealthier Nation Wins")</f>
        <v>Wealthier Nation Wins</v>
      </c>
    </row>
    <row r="3693" spans="1:17" x14ac:dyDescent="0.2">
      <c r="A3693" s="1">
        <v>5674</v>
      </c>
      <c r="B3693" s="2">
        <v>39733</v>
      </c>
      <c r="C3693" s="7">
        <f>_xlfn.FLOOR.MATH(Table1[[#This Row],[year]],10)</f>
        <v>2000</v>
      </c>
      <c r="D3693" t="s">
        <v>305</v>
      </c>
      <c r="E3693" t="s">
        <v>314</v>
      </c>
      <c r="F3693">
        <v>3</v>
      </c>
      <c r="G3693">
        <v>2</v>
      </c>
      <c r="H3693" t="s">
        <v>224</v>
      </c>
      <c r="I3693" t="s">
        <v>306</v>
      </c>
      <c r="J3693" t="s">
        <v>305</v>
      </c>
      <c r="K3693" t="b">
        <v>0</v>
      </c>
      <c r="L3693">
        <v>2008</v>
      </c>
      <c r="M3693">
        <v>6964179983</v>
      </c>
      <c r="N3693">
        <v>35895153327</v>
      </c>
      <c r="O3693" t="b">
        <v>1</v>
      </c>
      <c r="P3693">
        <v>-1</v>
      </c>
      <c r="Q3693" t="str" cm="1">
        <f t="array" ref="Q3693">_xlfn.IFS(Table1[[#This Row],[Wealthier_Winner]]=-1,"Wealthier Nation Loses",Table1[[#This Row],[Wealthier_Winner]]=0,"Tie",Table1[[#This Row],[Wealthier_Winner]]=1,"Wealthier Nation Wins")</f>
        <v>Wealthier Nation Loses</v>
      </c>
    </row>
    <row r="3694" spans="1:17" x14ac:dyDescent="0.2">
      <c r="A3694" s="1">
        <v>5675</v>
      </c>
      <c r="B3694" s="2">
        <v>39733</v>
      </c>
      <c r="C3694" s="7">
        <f>_xlfn.FLOOR.MATH(Table1[[#This Row],[year]],10)</f>
        <v>2000</v>
      </c>
      <c r="D3694" t="s">
        <v>357</v>
      </c>
      <c r="E3694" t="s">
        <v>310</v>
      </c>
      <c r="F3694">
        <v>2</v>
      </c>
      <c r="G3694">
        <v>1</v>
      </c>
      <c r="H3694" t="s">
        <v>224</v>
      </c>
      <c r="I3694" t="s">
        <v>358</v>
      </c>
      <c r="J3694" t="s">
        <v>357</v>
      </c>
      <c r="K3694" t="b">
        <v>0</v>
      </c>
      <c r="L3694">
        <v>2008</v>
      </c>
      <c r="M3694">
        <v>14440404132</v>
      </c>
      <c r="N3694">
        <v>9787734526</v>
      </c>
      <c r="O3694" t="b">
        <v>0</v>
      </c>
      <c r="P3694">
        <v>1</v>
      </c>
      <c r="Q3694" t="str" cm="1">
        <f t="array" ref="Q3694">_xlfn.IFS(Table1[[#This Row],[Wealthier_Winner]]=-1,"Wealthier Nation Loses",Table1[[#This Row],[Wealthier_Winner]]=0,"Tie",Table1[[#This Row],[Wealthier_Winner]]=1,"Wealthier Nation Wins")</f>
        <v>Wealthier Nation Wins</v>
      </c>
    </row>
    <row r="3695" spans="1:17" x14ac:dyDescent="0.2">
      <c r="A3695" s="1">
        <v>5676</v>
      </c>
      <c r="B3695" s="2">
        <v>39733</v>
      </c>
      <c r="C3695" s="7">
        <f>_xlfn.FLOOR.MATH(Table1[[#This Row],[year]],10)</f>
        <v>2000</v>
      </c>
      <c r="D3695" t="s">
        <v>258</v>
      </c>
      <c r="E3695" t="s">
        <v>13</v>
      </c>
      <c r="F3695">
        <v>0</v>
      </c>
      <c r="G3695">
        <v>4</v>
      </c>
      <c r="H3695" t="s">
        <v>224</v>
      </c>
      <c r="I3695" t="s">
        <v>416</v>
      </c>
      <c r="J3695" t="s">
        <v>258</v>
      </c>
      <c r="K3695" t="b">
        <v>0</v>
      </c>
      <c r="L3695">
        <v>2008</v>
      </c>
      <c r="M3695">
        <v>315953388510</v>
      </c>
      <c r="N3695">
        <v>1695855391757</v>
      </c>
      <c r="O3695" t="b">
        <v>1</v>
      </c>
      <c r="P3695">
        <v>1</v>
      </c>
      <c r="Q3695" t="str" cm="1">
        <f t="array" ref="Q3695">_xlfn.IFS(Table1[[#This Row],[Wealthier_Winner]]=-1,"Wealthier Nation Loses",Table1[[#This Row],[Wealthier_Winner]]=0,"Tie",Table1[[#This Row],[Wealthier_Winner]]=1,"Wealthier Nation Wins")</f>
        <v>Wealthier Nation Wins</v>
      </c>
    </row>
    <row r="3696" spans="1:17" x14ac:dyDescent="0.2">
      <c r="A3696" s="1">
        <v>5677</v>
      </c>
      <c r="B3696" s="2">
        <v>39735</v>
      </c>
      <c r="C3696" s="7">
        <f>_xlfn.FLOOR.MATH(Table1[[#This Row],[year]],10)</f>
        <v>2000</v>
      </c>
      <c r="D3696" t="s">
        <v>47</v>
      </c>
      <c r="E3696" t="s">
        <v>26</v>
      </c>
      <c r="F3696">
        <v>2</v>
      </c>
      <c r="G3696">
        <v>2</v>
      </c>
      <c r="H3696" t="s">
        <v>224</v>
      </c>
      <c r="I3696" t="s">
        <v>246</v>
      </c>
      <c r="J3696" t="s">
        <v>47</v>
      </c>
      <c r="K3696" t="b">
        <v>0</v>
      </c>
      <c r="L3696">
        <v>2008</v>
      </c>
      <c r="M3696">
        <v>16674276285</v>
      </c>
      <c r="N3696">
        <v>31119602538</v>
      </c>
      <c r="O3696" t="b">
        <v>0</v>
      </c>
      <c r="P3696">
        <v>0</v>
      </c>
      <c r="Q3696" t="str" cm="1">
        <f t="array" ref="Q3696">_xlfn.IFS(Table1[[#This Row],[Wealthier_Winner]]=-1,"Wealthier Nation Loses",Table1[[#This Row],[Wealthier_Winner]]=0,"Tie",Table1[[#This Row],[Wealthier_Winner]]=1,"Wealthier Nation Wins")</f>
        <v>Tie</v>
      </c>
    </row>
    <row r="3697" spans="1:17" x14ac:dyDescent="0.2">
      <c r="A3697" s="1">
        <v>5678</v>
      </c>
      <c r="B3697" s="2">
        <v>39736</v>
      </c>
      <c r="C3697" s="7">
        <f>_xlfn.FLOOR.MATH(Table1[[#This Row],[year]],10)</f>
        <v>2000</v>
      </c>
      <c r="D3697" t="s">
        <v>28</v>
      </c>
      <c r="E3697" t="s">
        <v>68</v>
      </c>
      <c r="F3697">
        <v>4</v>
      </c>
      <c r="G3697">
        <v>0</v>
      </c>
      <c r="H3697" t="s">
        <v>224</v>
      </c>
      <c r="I3697" t="s">
        <v>695</v>
      </c>
      <c r="J3697" t="s">
        <v>28</v>
      </c>
      <c r="K3697" t="b">
        <v>0</v>
      </c>
      <c r="L3697">
        <v>2008</v>
      </c>
      <c r="M3697">
        <v>1058448244063</v>
      </c>
      <c r="N3697">
        <v>115270054945</v>
      </c>
      <c r="O3697" t="b">
        <v>1</v>
      </c>
      <c r="P3697">
        <v>1</v>
      </c>
      <c r="Q3697" t="str" cm="1">
        <f t="array" ref="Q3697">_xlfn.IFS(Table1[[#This Row],[Wealthier_Winner]]=-1,"Wealthier Nation Loses",Table1[[#This Row],[Wealthier_Winner]]=0,"Tie",Table1[[#This Row],[Wealthier_Winner]]=1,"Wealthier Nation Wins")</f>
        <v>Wealthier Nation Wins</v>
      </c>
    </row>
    <row r="3698" spans="1:17" x14ac:dyDescent="0.2">
      <c r="A3698" s="1">
        <v>5679</v>
      </c>
      <c r="B3698" s="2">
        <v>39736</v>
      </c>
      <c r="C3698" s="7">
        <f>_xlfn.FLOOR.MATH(Table1[[#This Row],[year]],10)</f>
        <v>2000</v>
      </c>
      <c r="D3698" t="s">
        <v>29</v>
      </c>
      <c r="E3698" t="s">
        <v>61</v>
      </c>
      <c r="F3698">
        <v>1</v>
      </c>
      <c r="G3698">
        <v>3</v>
      </c>
      <c r="H3698" t="s">
        <v>224</v>
      </c>
      <c r="I3698" t="s">
        <v>270</v>
      </c>
      <c r="J3698" t="s">
        <v>29</v>
      </c>
      <c r="K3698" t="b">
        <v>0</v>
      </c>
      <c r="L3698">
        <v>2008</v>
      </c>
      <c r="M3698">
        <v>429234399096</v>
      </c>
      <c r="N3698">
        <v>54220641201</v>
      </c>
      <c r="O3698" t="b">
        <v>1</v>
      </c>
      <c r="P3698">
        <v>-1</v>
      </c>
      <c r="Q3698" t="str" cm="1">
        <f t="array" ref="Q3698">_xlfn.IFS(Table1[[#This Row],[Wealthier_Winner]]=-1,"Wealthier Nation Loses",Table1[[#This Row],[Wealthier_Winner]]=0,"Tie",Table1[[#This Row],[Wealthier_Winner]]=1,"Wealthier Nation Wins")</f>
        <v>Wealthier Nation Loses</v>
      </c>
    </row>
    <row r="3699" spans="1:17" x14ac:dyDescent="0.2">
      <c r="A3699" s="1">
        <v>5680</v>
      </c>
      <c r="B3699" s="2">
        <v>39736</v>
      </c>
      <c r="C3699" s="7">
        <f>_xlfn.FLOOR.MATH(Table1[[#This Row],[year]],10)</f>
        <v>2000</v>
      </c>
      <c r="D3699" t="s">
        <v>510</v>
      </c>
      <c r="E3699" t="s">
        <v>194</v>
      </c>
      <c r="F3699">
        <v>1</v>
      </c>
      <c r="G3699">
        <v>3</v>
      </c>
      <c r="H3699" t="s">
        <v>224</v>
      </c>
      <c r="I3699" t="s">
        <v>522</v>
      </c>
      <c r="J3699" t="s">
        <v>510</v>
      </c>
      <c r="K3699" t="b">
        <v>0</v>
      </c>
      <c r="L3699">
        <v>2008</v>
      </c>
      <c r="M3699">
        <v>60752106347</v>
      </c>
      <c r="N3699">
        <v>2945251838235</v>
      </c>
      <c r="O3699" t="b">
        <v>1</v>
      </c>
      <c r="P3699">
        <v>1</v>
      </c>
      <c r="Q3699" t="str" cm="1">
        <f t="array" ref="Q3699">_xlfn.IFS(Table1[[#This Row],[Wealthier_Winner]]=-1,"Wealthier Nation Loses",Table1[[#This Row],[Wealthier_Winner]]=0,"Tie",Table1[[#This Row],[Wealthier_Winner]]=1,"Wealthier Nation Wins")</f>
        <v>Wealthier Nation Wins</v>
      </c>
    </row>
    <row r="3700" spans="1:17" x14ac:dyDescent="0.2">
      <c r="A3700" s="1">
        <v>5681</v>
      </c>
      <c r="B3700" s="2">
        <v>39736</v>
      </c>
      <c r="C3700" s="7">
        <f>_xlfn.FLOOR.MATH(Table1[[#This Row],[year]],10)</f>
        <v>2000</v>
      </c>
      <c r="D3700" t="s">
        <v>23</v>
      </c>
      <c r="E3700" t="s">
        <v>21</v>
      </c>
      <c r="F3700">
        <v>1</v>
      </c>
      <c r="G3700">
        <v>2</v>
      </c>
      <c r="H3700" t="s">
        <v>224</v>
      </c>
      <c r="I3700" t="s">
        <v>235</v>
      </c>
      <c r="J3700" t="s">
        <v>23</v>
      </c>
      <c r="K3700" t="b">
        <v>0</v>
      </c>
      <c r="L3700">
        <v>2008</v>
      </c>
      <c r="M3700">
        <v>517328087920</v>
      </c>
      <c r="N3700">
        <v>1636115447612</v>
      </c>
      <c r="O3700" t="b">
        <v>1</v>
      </c>
      <c r="P3700">
        <v>1</v>
      </c>
      <c r="Q3700" t="str" cm="1">
        <f t="array" ref="Q3700">_xlfn.IFS(Table1[[#This Row],[Wealthier_Winner]]=-1,"Wealthier Nation Loses",Table1[[#This Row],[Wealthier_Winner]]=0,"Tie",Table1[[#This Row],[Wealthier_Winner]]=1,"Wealthier Nation Wins")</f>
        <v>Wealthier Nation Wins</v>
      </c>
    </row>
    <row r="3701" spans="1:17" x14ac:dyDescent="0.2">
      <c r="A3701" s="1">
        <v>5682</v>
      </c>
      <c r="B3701" s="2">
        <v>39736</v>
      </c>
      <c r="C3701" s="7">
        <f>_xlfn.FLOOR.MATH(Table1[[#This Row],[year]],10)</f>
        <v>2000</v>
      </c>
      <c r="D3701" t="s">
        <v>73</v>
      </c>
      <c r="E3701" t="s">
        <v>519</v>
      </c>
      <c r="F3701">
        <v>4</v>
      </c>
      <c r="G3701">
        <v>1</v>
      </c>
      <c r="H3701" t="s">
        <v>224</v>
      </c>
      <c r="I3701" t="s">
        <v>636</v>
      </c>
      <c r="J3701" t="s">
        <v>73</v>
      </c>
      <c r="K3701" t="b">
        <v>0</v>
      </c>
      <c r="L3701">
        <v>2008</v>
      </c>
      <c r="M3701">
        <v>19112796623</v>
      </c>
      <c r="N3701">
        <v>11662040713</v>
      </c>
      <c r="O3701" t="b">
        <v>0</v>
      </c>
      <c r="P3701">
        <v>1</v>
      </c>
      <c r="Q3701" t="str" cm="1">
        <f t="array" ref="Q3701">_xlfn.IFS(Table1[[#This Row],[Wealthier_Winner]]=-1,"Wealthier Nation Loses",Table1[[#This Row],[Wealthier_Winner]]=0,"Tie",Table1[[#This Row],[Wealthier_Winner]]=1,"Wealthier Nation Wins")</f>
        <v>Wealthier Nation Wins</v>
      </c>
    </row>
    <row r="3702" spans="1:17" x14ac:dyDescent="0.2">
      <c r="A3702" s="1">
        <v>5683</v>
      </c>
      <c r="B3702" s="2">
        <v>39736</v>
      </c>
      <c r="C3702" s="7">
        <f>_xlfn.FLOOR.MATH(Table1[[#This Row],[year]],10)</f>
        <v>2000</v>
      </c>
      <c r="D3702" t="s">
        <v>13</v>
      </c>
      <c r="E3702" t="s">
        <v>15</v>
      </c>
      <c r="F3702">
        <v>0</v>
      </c>
      <c r="G3702">
        <v>0</v>
      </c>
      <c r="H3702" t="s">
        <v>224</v>
      </c>
      <c r="I3702" t="s">
        <v>173</v>
      </c>
      <c r="J3702" t="s">
        <v>13</v>
      </c>
      <c r="K3702" t="b">
        <v>0</v>
      </c>
      <c r="L3702">
        <v>2008</v>
      </c>
      <c r="M3702">
        <v>1695855391757</v>
      </c>
      <c r="N3702">
        <v>242504150472</v>
      </c>
      <c r="O3702" t="b">
        <v>1</v>
      </c>
      <c r="P3702">
        <v>0</v>
      </c>
      <c r="Q3702" t="str" cm="1">
        <f t="array" ref="Q3702">_xlfn.IFS(Table1[[#This Row],[Wealthier_Winner]]=-1,"Wealthier Nation Loses",Table1[[#This Row],[Wealthier_Winner]]=0,"Tie",Table1[[#This Row],[Wealthier_Winner]]=1,"Wealthier Nation Wins")</f>
        <v>Tie</v>
      </c>
    </row>
    <row r="3703" spans="1:17" x14ac:dyDescent="0.2">
      <c r="A3703" s="1">
        <v>5684</v>
      </c>
      <c r="B3703" s="2">
        <v>39736</v>
      </c>
      <c r="C3703" s="7">
        <f>_xlfn.FLOOR.MATH(Table1[[#This Row],[year]],10)</f>
        <v>2000</v>
      </c>
      <c r="D3703" t="s">
        <v>34</v>
      </c>
      <c r="E3703" t="s">
        <v>17</v>
      </c>
      <c r="F3703">
        <v>2</v>
      </c>
      <c r="G3703">
        <v>2</v>
      </c>
      <c r="H3703" t="s">
        <v>224</v>
      </c>
      <c r="I3703" t="s">
        <v>488</v>
      </c>
      <c r="J3703" t="s">
        <v>34</v>
      </c>
      <c r="K3703" t="b">
        <v>0</v>
      </c>
      <c r="L3703">
        <v>2008</v>
      </c>
      <c r="M3703">
        <v>1552989690721</v>
      </c>
      <c r="N3703">
        <v>1161553459715</v>
      </c>
      <c r="O3703" t="b">
        <v>0</v>
      </c>
      <c r="P3703">
        <v>0</v>
      </c>
      <c r="Q3703" t="str" cm="1">
        <f t="array" ref="Q3703">_xlfn.IFS(Table1[[#This Row],[Wealthier_Winner]]=-1,"Wealthier Nation Loses",Table1[[#This Row],[Wealthier_Winner]]=0,"Tie",Table1[[#This Row],[Wealthier_Winner]]=1,"Wealthier Nation Wins")</f>
        <v>Tie</v>
      </c>
    </row>
    <row r="3704" spans="1:17" x14ac:dyDescent="0.2">
      <c r="A3704" s="1">
        <v>5685</v>
      </c>
      <c r="B3704" s="2">
        <v>39736</v>
      </c>
      <c r="C3704" s="7">
        <f>_xlfn.FLOOR.MATH(Table1[[#This Row],[year]],10)</f>
        <v>2000</v>
      </c>
      <c r="D3704" t="s">
        <v>14</v>
      </c>
      <c r="E3704" t="s">
        <v>19</v>
      </c>
      <c r="F3704">
        <v>1</v>
      </c>
      <c r="G3704">
        <v>0</v>
      </c>
      <c r="H3704" t="s">
        <v>224</v>
      </c>
      <c r="I3704" t="s">
        <v>75</v>
      </c>
      <c r="J3704" t="s">
        <v>14</v>
      </c>
      <c r="K3704" t="b">
        <v>0</v>
      </c>
      <c r="L3704">
        <v>2008</v>
      </c>
      <c r="M3704">
        <v>179894594475</v>
      </c>
      <c r="N3704">
        <v>361558037110</v>
      </c>
      <c r="O3704" t="b">
        <v>1</v>
      </c>
      <c r="P3704">
        <v>-1</v>
      </c>
      <c r="Q3704" t="str" cm="1">
        <f t="array" ref="Q3704">_xlfn.IFS(Table1[[#This Row],[Wealthier_Winner]]=-1,"Wealthier Nation Loses",Table1[[#This Row],[Wealthier_Winner]]=0,"Tie",Table1[[#This Row],[Wealthier_Winner]]=1,"Wealthier Nation Wins")</f>
        <v>Wealthier Nation Loses</v>
      </c>
    </row>
    <row r="3705" spans="1:17" x14ac:dyDescent="0.2">
      <c r="A3705" s="1">
        <v>5686</v>
      </c>
      <c r="B3705" s="2">
        <v>39736</v>
      </c>
      <c r="C3705" s="7">
        <f>_xlfn.FLOOR.MATH(Table1[[#This Row],[year]],10)</f>
        <v>2000</v>
      </c>
      <c r="D3705" t="s">
        <v>56</v>
      </c>
      <c r="E3705" t="s">
        <v>70</v>
      </c>
      <c r="F3705">
        <v>2</v>
      </c>
      <c r="G3705">
        <v>0</v>
      </c>
      <c r="H3705" t="s">
        <v>224</v>
      </c>
      <c r="I3705" t="s">
        <v>225</v>
      </c>
      <c r="J3705" t="s">
        <v>56</v>
      </c>
      <c r="K3705" t="b">
        <v>0</v>
      </c>
      <c r="L3705">
        <v>2008</v>
      </c>
      <c r="M3705">
        <v>30801745700</v>
      </c>
      <c r="N3705">
        <v>10432962634</v>
      </c>
      <c r="O3705" t="b">
        <v>1</v>
      </c>
      <c r="P3705">
        <v>1</v>
      </c>
      <c r="Q3705" t="str" cm="1">
        <f t="array" ref="Q3705">_xlfn.IFS(Table1[[#This Row],[Wealthier_Winner]]=-1,"Wealthier Nation Loses",Table1[[#This Row],[Wealthier_Winner]]=0,"Tie",Table1[[#This Row],[Wealthier_Winner]]=1,"Wealthier Nation Wins")</f>
        <v>Wealthier Nation Wins</v>
      </c>
    </row>
    <row r="3706" spans="1:17" x14ac:dyDescent="0.2">
      <c r="A3706" s="1">
        <v>5687</v>
      </c>
      <c r="B3706" s="2">
        <v>39736</v>
      </c>
      <c r="C3706" s="7">
        <f>_xlfn.FLOOR.MATH(Table1[[#This Row],[year]],10)</f>
        <v>2000</v>
      </c>
      <c r="D3706" t="s">
        <v>52</v>
      </c>
      <c r="E3706" t="s">
        <v>601</v>
      </c>
      <c r="F3706">
        <v>4</v>
      </c>
      <c r="G3706">
        <v>0</v>
      </c>
      <c r="H3706" t="s">
        <v>224</v>
      </c>
      <c r="I3706" t="s">
        <v>538</v>
      </c>
      <c r="J3706" t="s">
        <v>52</v>
      </c>
      <c r="K3706" t="b">
        <v>0</v>
      </c>
      <c r="L3706">
        <v>2008</v>
      </c>
      <c r="M3706">
        <v>68472854617</v>
      </c>
      <c r="N3706">
        <v>4102317468</v>
      </c>
      <c r="O3706" t="b">
        <v>1</v>
      </c>
      <c r="P3706">
        <v>1</v>
      </c>
      <c r="Q3706" t="str" cm="1">
        <f t="array" ref="Q3706">_xlfn.IFS(Table1[[#This Row],[Wealthier_Winner]]=-1,"Wealthier Nation Loses",Table1[[#This Row],[Wealthier_Winner]]=0,"Tie",Table1[[#This Row],[Wealthier_Winner]]=1,"Wealthier Nation Wins")</f>
        <v>Wealthier Nation Wins</v>
      </c>
    </row>
    <row r="3707" spans="1:17" x14ac:dyDescent="0.2">
      <c r="A3707" s="1">
        <v>5688</v>
      </c>
      <c r="B3707" s="2">
        <v>39736</v>
      </c>
      <c r="C3707" s="7">
        <f>_xlfn.FLOOR.MATH(Table1[[#This Row],[year]],10)</f>
        <v>2000</v>
      </c>
      <c r="D3707" t="s">
        <v>517</v>
      </c>
      <c r="E3707" t="s">
        <v>223</v>
      </c>
      <c r="F3707">
        <v>2</v>
      </c>
      <c r="G3707">
        <v>1</v>
      </c>
      <c r="H3707" t="s">
        <v>224</v>
      </c>
      <c r="I3707" t="s">
        <v>580</v>
      </c>
      <c r="J3707" t="s">
        <v>517</v>
      </c>
      <c r="K3707" t="b">
        <v>0</v>
      </c>
      <c r="L3707">
        <v>2008</v>
      </c>
      <c r="M3707">
        <v>56302129629</v>
      </c>
      <c r="N3707">
        <v>38503720224</v>
      </c>
      <c r="O3707" t="b">
        <v>0</v>
      </c>
      <c r="P3707">
        <v>1</v>
      </c>
      <c r="Q3707" t="str" cm="1">
        <f t="array" ref="Q3707">_xlfn.IFS(Table1[[#This Row],[Wealthier_Winner]]=-1,"Wealthier Nation Loses",Table1[[#This Row],[Wealthier_Winner]]=0,"Tie",Table1[[#This Row],[Wealthier_Winner]]=1,"Wealthier Nation Wins")</f>
        <v>Wealthier Nation Wins</v>
      </c>
    </row>
    <row r="3708" spans="1:17" x14ac:dyDescent="0.2">
      <c r="A3708" s="1">
        <v>5690</v>
      </c>
      <c r="B3708" s="2">
        <v>39736</v>
      </c>
      <c r="C3708" s="7">
        <f>_xlfn.FLOOR.MATH(Table1[[#This Row],[year]],10)</f>
        <v>2000</v>
      </c>
      <c r="D3708" t="s">
        <v>69</v>
      </c>
      <c r="E3708" t="s">
        <v>252</v>
      </c>
      <c r="F3708">
        <v>3</v>
      </c>
      <c r="G3708">
        <v>0</v>
      </c>
      <c r="H3708" t="s">
        <v>224</v>
      </c>
      <c r="I3708" t="s">
        <v>281</v>
      </c>
      <c r="J3708" t="s">
        <v>69</v>
      </c>
      <c r="K3708" t="b">
        <v>0</v>
      </c>
      <c r="L3708">
        <v>2008</v>
      </c>
      <c r="M3708">
        <v>17986890000</v>
      </c>
      <c r="N3708">
        <v>3532969034</v>
      </c>
      <c r="O3708" t="b">
        <v>1</v>
      </c>
      <c r="P3708">
        <v>1</v>
      </c>
      <c r="Q3708" t="str" cm="1">
        <f t="array" ref="Q3708">_xlfn.IFS(Table1[[#This Row],[Wealthier_Winner]]=-1,"Wealthier Nation Loses",Table1[[#This Row],[Wealthier_Winner]]=0,"Tie",Table1[[#This Row],[Wealthier_Winner]]=1,"Wealthier Nation Wins")</f>
        <v>Wealthier Nation Wins</v>
      </c>
    </row>
    <row r="3709" spans="1:17" x14ac:dyDescent="0.2">
      <c r="A3709" s="1">
        <v>5692</v>
      </c>
      <c r="B3709" s="2">
        <v>39736</v>
      </c>
      <c r="C3709" s="7">
        <f>_xlfn.FLOOR.MATH(Table1[[#This Row],[year]],10)</f>
        <v>2000</v>
      </c>
      <c r="D3709" t="s">
        <v>534</v>
      </c>
      <c r="E3709" t="s">
        <v>33</v>
      </c>
      <c r="F3709">
        <v>0</v>
      </c>
      <c r="G3709">
        <v>0</v>
      </c>
      <c r="H3709" t="s">
        <v>224</v>
      </c>
      <c r="I3709" t="s">
        <v>536</v>
      </c>
      <c r="J3709" t="s">
        <v>534</v>
      </c>
      <c r="K3709" t="b">
        <v>0</v>
      </c>
      <c r="L3709">
        <v>2008</v>
      </c>
      <c r="M3709">
        <v>12795145130</v>
      </c>
      <c r="N3709">
        <v>54480684188</v>
      </c>
      <c r="O3709" t="b">
        <v>1</v>
      </c>
      <c r="P3709">
        <v>0</v>
      </c>
      <c r="Q3709" t="str" cm="1">
        <f t="array" ref="Q3709">_xlfn.IFS(Table1[[#This Row],[Wealthier_Winner]]=-1,"Wealthier Nation Loses",Table1[[#This Row],[Wealthier_Winner]]=0,"Tie",Table1[[#This Row],[Wealthier_Winner]]=1,"Wealthier Nation Wins")</f>
        <v>Tie</v>
      </c>
    </row>
    <row r="3710" spans="1:17" x14ac:dyDescent="0.2">
      <c r="A3710" s="1">
        <v>5694</v>
      </c>
      <c r="B3710" s="2">
        <v>39736</v>
      </c>
      <c r="C3710" s="7">
        <f>_xlfn.FLOOR.MATH(Table1[[#This Row],[year]],10)</f>
        <v>2000</v>
      </c>
      <c r="D3710" t="s">
        <v>48</v>
      </c>
      <c r="E3710" t="s">
        <v>46</v>
      </c>
      <c r="F3710">
        <v>1</v>
      </c>
      <c r="G3710">
        <v>2</v>
      </c>
      <c r="H3710" t="s">
        <v>224</v>
      </c>
      <c r="I3710" t="s">
        <v>236</v>
      </c>
      <c r="J3710" t="s">
        <v>48</v>
      </c>
      <c r="K3710" t="b">
        <v>0</v>
      </c>
      <c r="L3710">
        <v>2008</v>
      </c>
      <c r="M3710">
        <v>351121399546</v>
      </c>
      <c r="N3710">
        <v>567267767519</v>
      </c>
      <c r="O3710" t="b">
        <v>0</v>
      </c>
      <c r="P3710">
        <v>1</v>
      </c>
      <c r="Q3710" t="str" cm="1">
        <f t="array" ref="Q3710">_xlfn.IFS(Table1[[#This Row],[Wealthier_Winner]]=-1,"Wealthier Nation Loses",Table1[[#This Row],[Wealthier_Winner]]=0,"Tie",Table1[[#This Row],[Wealthier_Winner]]=1,"Wealthier Nation Wins")</f>
        <v>Wealthier Nation Wins</v>
      </c>
    </row>
    <row r="3711" spans="1:17" x14ac:dyDescent="0.2">
      <c r="A3711" s="1">
        <v>5695</v>
      </c>
      <c r="B3711" s="2">
        <v>39736</v>
      </c>
      <c r="C3711" s="7">
        <f>_xlfn.FLOOR.MATH(Table1[[#This Row],[year]],10)</f>
        <v>2000</v>
      </c>
      <c r="D3711" t="s">
        <v>66</v>
      </c>
      <c r="E3711" t="s">
        <v>502</v>
      </c>
      <c r="F3711">
        <v>1</v>
      </c>
      <c r="G3711">
        <v>0</v>
      </c>
      <c r="H3711" t="s">
        <v>224</v>
      </c>
      <c r="I3711" t="s">
        <v>336</v>
      </c>
      <c r="J3711" t="s">
        <v>66</v>
      </c>
      <c r="K3711" t="b">
        <v>0</v>
      </c>
      <c r="L3711">
        <v>2008</v>
      </c>
      <c r="M3711">
        <v>18247921360</v>
      </c>
      <c r="N3711">
        <v>9909552434</v>
      </c>
      <c r="O3711" t="b">
        <v>0</v>
      </c>
      <c r="P3711">
        <v>1</v>
      </c>
      <c r="Q3711" t="str" cm="1">
        <f t="array" ref="Q3711">_xlfn.IFS(Table1[[#This Row],[Wealthier_Winner]]=-1,"Wealthier Nation Loses",Table1[[#This Row],[Wealthier_Winner]]=0,"Tie",Table1[[#This Row],[Wealthier_Winner]]=1,"Wealthier Nation Wins")</f>
        <v>Wealthier Nation Wins</v>
      </c>
    </row>
    <row r="3712" spans="1:17" x14ac:dyDescent="0.2">
      <c r="A3712" s="1">
        <v>5698</v>
      </c>
      <c r="B3712" s="2">
        <v>39736</v>
      </c>
      <c r="C3712" s="7">
        <f>_xlfn.FLOOR.MATH(Table1[[#This Row],[year]],10)</f>
        <v>2000</v>
      </c>
      <c r="D3712" t="s">
        <v>18</v>
      </c>
      <c r="E3712" t="s">
        <v>705</v>
      </c>
      <c r="F3712">
        <v>2</v>
      </c>
      <c r="G3712">
        <v>1</v>
      </c>
      <c r="H3712" t="s">
        <v>224</v>
      </c>
      <c r="I3712" t="s">
        <v>685</v>
      </c>
      <c r="J3712" t="s">
        <v>18</v>
      </c>
      <c r="K3712" t="b">
        <v>0</v>
      </c>
      <c r="L3712">
        <v>2008</v>
      </c>
      <c r="M3712">
        <v>2417508414187</v>
      </c>
      <c r="N3712">
        <v>4540861725</v>
      </c>
      <c r="O3712" t="b">
        <v>1</v>
      </c>
      <c r="P3712">
        <v>1</v>
      </c>
      <c r="Q3712" t="str" cm="1">
        <f t="array" ref="Q3712">_xlfn.IFS(Table1[[#This Row],[Wealthier_Winner]]=-1,"Wealthier Nation Loses",Table1[[#This Row],[Wealthier_Winner]]=0,"Tie",Table1[[#This Row],[Wealthier_Winner]]=1,"Wealthier Nation Wins")</f>
        <v>Wealthier Nation Wins</v>
      </c>
    </row>
    <row r="3713" spans="1:17" x14ac:dyDescent="0.2">
      <c r="A3713" s="1">
        <v>5699</v>
      </c>
      <c r="B3713" s="2">
        <v>39736</v>
      </c>
      <c r="C3713" s="7">
        <f>_xlfn.FLOOR.MATH(Table1[[#This Row],[year]],10)</f>
        <v>2000</v>
      </c>
      <c r="D3713" t="s">
        <v>49</v>
      </c>
      <c r="E3713" t="s">
        <v>65</v>
      </c>
      <c r="F3713">
        <v>1</v>
      </c>
      <c r="G3713">
        <v>0</v>
      </c>
      <c r="H3713" t="s">
        <v>224</v>
      </c>
      <c r="I3713" t="s">
        <v>257</v>
      </c>
      <c r="J3713" t="s">
        <v>49</v>
      </c>
      <c r="K3713" t="b">
        <v>0</v>
      </c>
      <c r="L3713">
        <v>2008</v>
      </c>
      <c r="M3713">
        <v>13709401520</v>
      </c>
      <c r="N3713">
        <v>13881731875</v>
      </c>
      <c r="O3713" t="b">
        <v>0</v>
      </c>
      <c r="P3713">
        <v>-1</v>
      </c>
      <c r="Q3713" t="str" cm="1">
        <f t="array" ref="Q3713">_xlfn.IFS(Table1[[#This Row],[Wealthier_Winner]]=-1,"Wealthier Nation Loses",Table1[[#This Row],[Wealthier_Winner]]=0,"Tie",Table1[[#This Row],[Wealthier_Winner]]=1,"Wealthier Nation Wins")</f>
        <v>Wealthier Nation Loses</v>
      </c>
    </row>
    <row r="3714" spans="1:17" x14ac:dyDescent="0.2">
      <c r="A3714" s="1">
        <v>5700</v>
      </c>
      <c r="B3714" s="2">
        <v>39736</v>
      </c>
      <c r="C3714" s="7">
        <f>_xlfn.FLOOR.MATH(Table1[[#This Row],[year]],10)</f>
        <v>2000</v>
      </c>
      <c r="D3714" t="s">
        <v>51</v>
      </c>
      <c r="E3714" t="s">
        <v>563</v>
      </c>
      <c r="F3714">
        <v>1</v>
      </c>
      <c r="G3714">
        <v>1</v>
      </c>
      <c r="H3714" t="s">
        <v>224</v>
      </c>
      <c r="I3714" t="s">
        <v>143</v>
      </c>
      <c r="J3714" t="s">
        <v>51</v>
      </c>
      <c r="K3714" t="b">
        <v>0</v>
      </c>
      <c r="L3714">
        <v>2008</v>
      </c>
      <c r="M3714">
        <v>5106679115127</v>
      </c>
      <c r="N3714">
        <v>29549438883</v>
      </c>
      <c r="O3714" t="b">
        <v>1</v>
      </c>
      <c r="P3714">
        <v>0</v>
      </c>
      <c r="Q3714" t="str" cm="1">
        <f t="array" ref="Q3714">_xlfn.IFS(Table1[[#This Row],[Wealthier_Winner]]=-1,"Wealthier Nation Loses",Table1[[#This Row],[Wealthier_Winner]]=0,"Tie",Table1[[#This Row],[Wealthier_Winner]]=1,"Wealthier Nation Wins")</f>
        <v>Tie</v>
      </c>
    </row>
    <row r="3715" spans="1:17" x14ac:dyDescent="0.2">
      <c r="A3715" s="1">
        <v>5701</v>
      </c>
      <c r="B3715" s="2">
        <v>39736</v>
      </c>
      <c r="C3715" s="7">
        <f>_xlfn.FLOOR.MATH(Table1[[#This Row],[year]],10)</f>
        <v>2000</v>
      </c>
      <c r="D3715" t="s">
        <v>195</v>
      </c>
      <c r="E3715" t="s">
        <v>39</v>
      </c>
      <c r="F3715">
        <v>4</v>
      </c>
      <c r="G3715">
        <v>1</v>
      </c>
      <c r="H3715" t="s">
        <v>224</v>
      </c>
      <c r="I3715" t="s">
        <v>136</v>
      </c>
      <c r="J3715" t="s">
        <v>195</v>
      </c>
      <c r="K3715" t="b">
        <v>0</v>
      </c>
      <c r="L3715">
        <v>2008</v>
      </c>
      <c r="M3715">
        <v>1091580692542</v>
      </c>
      <c r="N3715">
        <v>315474615738</v>
      </c>
      <c r="O3715" t="b">
        <v>1</v>
      </c>
      <c r="P3715">
        <v>1</v>
      </c>
      <c r="Q3715" t="str" cm="1">
        <f t="array" ref="Q3715">_xlfn.IFS(Table1[[#This Row],[Wealthier_Winner]]=-1,"Wealthier Nation Loses",Table1[[#This Row],[Wealthier_Winner]]=0,"Tie",Table1[[#This Row],[Wealthier_Winner]]=1,"Wealthier Nation Wins")</f>
        <v>Wealthier Nation Wins</v>
      </c>
    </row>
    <row r="3716" spans="1:17" x14ac:dyDescent="0.2">
      <c r="A3716" s="1">
        <v>5702</v>
      </c>
      <c r="B3716" s="2">
        <v>39736</v>
      </c>
      <c r="C3716" s="7">
        <f>_xlfn.FLOOR.MATH(Table1[[#This Row],[year]],10)</f>
        <v>2000</v>
      </c>
      <c r="D3716" t="s">
        <v>525</v>
      </c>
      <c r="E3716" t="s">
        <v>22</v>
      </c>
      <c r="F3716">
        <v>1</v>
      </c>
      <c r="G3716">
        <v>1</v>
      </c>
      <c r="H3716" t="s">
        <v>224</v>
      </c>
      <c r="I3716" t="s">
        <v>526</v>
      </c>
      <c r="J3716" t="s">
        <v>525</v>
      </c>
      <c r="K3716" t="b">
        <v>0</v>
      </c>
      <c r="L3716">
        <v>2008</v>
      </c>
      <c r="M3716">
        <v>34135200994</v>
      </c>
      <c r="N3716">
        <v>221231658862</v>
      </c>
      <c r="O3716" t="b">
        <v>1</v>
      </c>
      <c r="P3716">
        <v>0</v>
      </c>
      <c r="Q3716" t="str" cm="1">
        <f t="array" ref="Q3716">_xlfn.IFS(Table1[[#This Row],[Wealthier_Winner]]=-1,"Wealthier Nation Loses",Table1[[#This Row],[Wealthier_Winner]]=0,"Tie",Table1[[#This Row],[Wealthier_Winner]]=1,"Wealthier Nation Wins")</f>
        <v>Tie</v>
      </c>
    </row>
    <row r="3717" spans="1:17" x14ac:dyDescent="0.2">
      <c r="A3717" s="1">
        <v>5703</v>
      </c>
      <c r="B3717" s="2">
        <v>39736</v>
      </c>
      <c r="C3717" s="7">
        <f>_xlfn.FLOOR.MATH(Table1[[#This Row],[year]],10)</f>
        <v>2000</v>
      </c>
      <c r="D3717" t="s">
        <v>523</v>
      </c>
      <c r="E3717" t="s">
        <v>447</v>
      </c>
      <c r="F3717">
        <v>1</v>
      </c>
      <c r="G3717">
        <v>0</v>
      </c>
      <c r="H3717" t="s">
        <v>224</v>
      </c>
      <c r="I3717" t="s">
        <v>604</v>
      </c>
      <c r="J3717" t="s">
        <v>523</v>
      </c>
      <c r="K3717" t="b">
        <v>0</v>
      </c>
      <c r="L3717">
        <v>2008</v>
      </c>
      <c r="M3717">
        <v>47831254207</v>
      </c>
      <c r="N3717">
        <v>2489873249</v>
      </c>
      <c r="O3717" t="b">
        <v>1</v>
      </c>
      <c r="P3717">
        <v>1</v>
      </c>
      <c r="Q3717" t="str" cm="1">
        <f t="array" ref="Q3717">_xlfn.IFS(Table1[[#This Row],[Wealthier_Winner]]=-1,"Wealthier Nation Loses",Table1[[#This Row],[Wealthier_Winner]]=0,"Tie",Table1[[#This Row],[Wealthier_Winner]]=1,"Wealthier Nation Wins")</f>
        <v>Wealthier Nation Wins</v>
      </c>
    </row>
    <row r="3718" spans="1:17" x14ac:dyDescent="0.2">
      <c r="A3718" s="1">
        <v>5704</v>
      </c>
      <c r="B3718" s="2">
        <v>39736</v>
      </c>
      <c r="C3718" s="7">
        <f>_xlfn.FLOOR.MATH(Table1[[#This Row],[year]],10)</f>
        <v>2000</v>
      </c>
      <c r="D3718" t="s">
        <v>232</v>
      </c>
      <c r="E3718" t="s">
        <v>527</v>
      </c>
      <c r="F3718">
        <v>0</v>
      </c>
      <c r="G3718">
        <v>0</v>
      </c>
      <c r="H3718" t="s">
        <v>224</v>
      </c>
      <c r="I3718" t="s">
        <v>232</v>
      </c>
      <c r="J3718" t="s">
        <v>232</v>
      </c>
      <c r="K3718" t="b">
        <v>0</v>
      </c>
      <c r="L3718">
        <v>2008</v>
      </c>
      <c r="M3718">
        <v>58844277701</v>
      </c>
      <c r="N3718">
        <v>6054824248</v>
      </c>
      <c r="O3718" t="b">
        <v>1</v>
      </c>
      <c r="P3718">
        <v>0</v>
      </c>
      <c r="Q3718" t="str" cm="1">
        <f t="array" ref="Q3718">_xlfn.IFS(Table1[[#This Row],[Wealthier_Winner]]=-1,"Wealthier Nation Loses",Table1[[#This Row],[Wealthier_Winner]]=0,"Tie",Table1[[#This Row],[Wealthier_Winner]]=1,"Wealthier Nation Wins")</f>
        <v>Tie</v>
      </c>
    </row>
    <row r="3719" spans="1:17" x14ac:dyDescent="0.2">
      <c r="A3719" s="1">
        <v>5705</v>
      </c>
      <c r="B3719" s="2">
        <v>39736</v>
      </c>
      <c r="C3719" s="7">
        <f>_xlfn.FLOOR.MATH(Table1[[#This Row],[year]],10)</f>
        <v>2000</v>
      </c>
      <c r="D3719" t="s">
        <v>303</v>
      </c>
      <c r="E3719" t="s">
        <v>30</v>
      </c>
      <c r="F3719">
        <v>0</v>
      </c>
      <c r="G3719">
        <v>1</v>
      </c>
      <c r="H3719" t="s">
        <v>224</v>
      </c>
      <c r="I3719" t="s">
        <v>399</v>
      </c>
      <c r="J3719" t="s">
        <v>303</v>
      </c>
      <c r="K3719" t="b">
        <v>0</v>
      </c>
      <c r="L3719">
        <v>2008</v>
      </c>
      <c r="M3719">
        <v>9135419464</v>
      </c>
      <c r="N3719">
        <v>158228265915</v>
      </c>
      <c r="O3719" t="b">
        <v>1</v>
      </c>
      <c r="P3719">
        <v>1</v>
      </c>
      <c r="Q3719" t="str" cm="1">
        <f t="array" ref="Q3719">_xlfn.IFS(Table1[[#This Row],[Wealthier_Winner]]=-1,"Wealthier Nation Loses",Table1[[#This Row],[Wealthier_Winner]]=0,"Tie",Table1[[#This Row],[Wealthier_Winner]]=1,"Wealthier Nation Wins")</f>
        <v>Wealthier Nation Wins</v>
      </c>
    </row>
    <row r="3720" spans="1:17" x14ac:dyDescent="0.2">
      <c r="A3720" s="1">
        <v>5707</v>
      </c>
      <c r="B3720" s="2">
        <v>39736</v>
      </c>
      <c r="C3720" s="7">
        <f>_xlfn.FLOOR.MATH(Table1[[#This Row],[year]],10)</f>
        <v>2000</v>
      </c>
      <c r="D3720" t="s">
        <v>42</v>
      </c>
      <c r="E3720" t="s">
        <v>27</v>
      </c>
      <c r="F3720">
        <v>0</v>
      </c>
      <c r="G3720">
        <v>1</v>
      </c>
      <c r="H3720" t="s">
        <v>224</v>
      </c>
      <c r="I3720" t="s">
        <v>262</v>
      </c>
      <c r="J3720" t="s">
        <v>42</v>
      </c>
      <c r="K3720" t="b">
        <v>0</v>
      </c>
      <c r="L3720">
        <v>2008</v>
      </c>
      <c r="M3720">
        <v>464917553191</v>
      </c>
      <c r="N3720">
        <v>957901566041</v>
      </c>
      <c r="O3720" t="b">
        <v>1</v>
      </c>
      <c r="P3720">
        <v>1</v>
      </c>
      <c r="Q3720" t="str" cm="1">
        <f t="array" ref="Q3720">_xlfn.IFS(Table1[[#This Row],[Wealthier_Winner]]=-1,"Wealthier Nation Loses",Table1[[#This Row],[Wealthier_Winner]]=0,"Tie",Table1[[#This Row],[Wealthier_Winner]]=1,"Wealthier Nation Wins")</f>
        <v>Wealthier Nation Wins</v>
      </c>
    </row>
    <row r="3721" spans="1:17" x14ac:dyDescent="0.2">
      <c r="A3721" s="1">
        <v>5708</v>
      </c>
      <c r="B3721" s="2">
        <v>39736</v>
      </c>
      <c r="C3721" s="7">
        <f>_xlfn.FLOOR.MATH(Table1[[#This Row],[year]],10)</f>
        <v>2000</v>
      </c>
      <c r="D3721" t="s">
        <v>35</v>
      </c>
      <c r="E3721" t="s">
        <v>31</v>
      </c>
      <c r="F3721">
        <v>1</v>
      </c>
      <c r="G3721">
        <v>0</v>
      </c>
      <c r="H3721" t="s">
        <v>224</v>
      </c>
      <c r="I3721" t="s">
        <v>250</v>
      </c>
      <c r="J3721" t="s">
        <v>35</v>
      </c>
      <c r="K3721" t="b">
        <v>0</v>
      </c>
      <c r="L3721">
        <v>2008</v>
      </c>
      <c r="M3721">
        <v>24615267663</v>
      </c>
      <c r="N3721">
        <v>120550599815</v>
      </c>
      <c r="O3721" t="b">
        <v>1</v>
      </c>
      <c r="P3721">
        <v>-1</v>
      </c>
      <c r="Q3721" t="str" cm="1">
        <f t="array" ref="Q3721">_xlfn.IFS(Table1[[#This Row],[Wealthier_Winner]]=-1,"Wealthier Nation Loses",Table1[[#This Row],[Wealthier_Winner]]=0,"Tie",Table1[[#This Row],[Wealthier_Winner]]=1,"Wealthier Nation Wins")</f>
        <v>Wealthier Nation Loses</v>
      </c>
    </row>
    <row r="3722" spans="1:17" x14ac:dyDescent="0.2">
      <c r="A3722" s="1">
        <v>5709</v>
      </c>
      <c r="B3722" s="2">
        <v>39736</v>
      </c>
      <c r="C3722" s="7">
        <f>_xlfn.FLOOR.MATH(Table1[[#This Row],[year]],10)</f>
        <v>2000</v>
      </c>
      <c r="D3722" t="s">
        <v>38</v>
      </c>
      <c r="E3722" t="s">
        <v>373</v>
      </c>
      <c r="F3722">
        <v>0</v>
      </c>
      <c r="G3722">
        <v>0</v>
      </c>
      <c r="H3722" t="s">
        <v>224</v>
      </c>
      <c r="I3722" t="s">
        <v>717</v>
      </c>
      <c r="J3722" t="s">
        <v>38</v>
      </c>
      <c r="K3722" t="b">
        <v>0</v>
      </c>
      <c r="L3722">
        <v>2008</v>
      </c>
      <c r="M3722">
        <v>263416394624</v>
      </c>
      <c r="N3722">
        <v>13258506375</v>
      </c>
      <c r="O3722" t="b">
        <v>1</v>
      </c>
      <c r="P3722">
        <v>0</v>
      </c>
      <c r="Q3722" t="str" cm="1">
        <f t="array" ref="Q3722">_xlfn.IFS(Table1[[#This Row],[Wealthier_Winner]]=-1,"Wealthier Nation Loses",Table1[[#This Row],[Wealthier_Winner]]=0,"Tie",Table1[[#This Row],[Wealthier_Winner]]=1,"Wealthier Nation Wins")</f>
        <v>Tie</v>
      </c>
    </row>
    <row r="3723" spans="1:17" x14ac:dyDescent="0.2">
      <c r="A3723" s="1">
        <v>5710</v>
      </c>
      <c r="B3723" s="2">
        <v>39736</v>
      </c>
      <c r="C3723" s="7">
        <f>_xlfn.FLOOR.MATH(Table1[[#This Row],[year]],10)</f>
        <v>2000</v>
      </c>
      <c r="D3723" t="s">
        <v>196</v>
      </c>
      <c r="E3723" t="s">
        <v>230</v>
      </c>
      <c r="F3723">
        <v>3</v>
      </c>
      <c r="G3723">
        <v>0</v>
      </c>
      <c r="H3723" t="s">
        <v>224</v>
      </c>
      <c r="I3723" t="s">
        <v>180</v>
      </c>
      <c r="J3723" t="s">
        <v>196</v>
      </c>
      <c r="K3723" t="b">
        <v>0</v>
      </c>
      <c r="L3723">
        <v>2008</v>
      </c>
      <c r="M3723">
        <v>1660848058303</v>
      </c>
      <c r="N3723">
        <v>285698662071</v>
      </c>
      <c r="O3723" t="b">
        <v>1</v>
      </c>
      <c r="P3723">
        <v>1</v>
      </c>
      <c r="Q3723" t="str" cm="1">
        <f t="array" ref="Q3723">_xlfn.IFS(Table1[[#This Row],[Wealthier_Winner]]=-1,"Wealthier Nation Loses",Table1[[#This Row],[Wealthier_Winner]]=0,"Tie",Table1[[#This Row],[Wealthier_Winner]]=1,"Wealthier Nation Wins")</f>
        <v>Wealthier Nation Wins</v>
      </c>
    </row>
    <row r="3724" spans="1:17" x14ac:dyDescent="0.2">
      <c r="A3724" s="1">
        <v>5712</v>
      </c>
      <c r="B3724" s="2">
        <v>39736</v>
      </c>
      <c r="C3724" s="7">
        <f>_xlfn.FLOOR.MATH(Table1[[#This Row],[year]],10)</f>
        <v>2000</v>
      </c>
      <c r="D3724" t="s">
        <v>59</v>
      </c>
      <c r="E3724" t="s">
        <v>41</v>
      </c>
      <c r="F3724">
        <v>2</v>
      </c>
      <c r="G3724">
        <v>1</v>
      </c>
      <c r="H3724" t="s">
        <v>224</v>
      </c>
      <c r="I3724" t="s">
        <v>253</v>
      </c>
      <c r="J3724" t="s">
        <v>59</v>
      </c>
      <c r="K3724" t="b">
        <v>0</v>
      </c>
      <c r="L3724">
        <v>2008</v>
      </c>
      <c r="M3724">
        <v>27871587349</v>
      </c>
      <c r="N3724">
        <v>14769857911000</v>
      </c>
      <c r="O3724" t="b">
        <v>1</v>
      </c>
      <c r="P3724">
        <v>-1</v>
      </c>
      <c r="Q3724" t="str" cm="1">
        <f t="array" ref="Q3724">_xlfn.IFS(Table1[[#This Row],[Wealthier_Winner]]=-1,"Wealthier Nation Loses",Table1[[#This Row],[Wealthier_Winner]]=0,"Tie",Table1[[#This Row],[Wealthier_Winner]]=1,"Wealthier Nation Wins")</f>
        <v>Wealthier Nation Loses</v>
      </c>
    </row>
    <row r="3725" spans="1:17" x14ac:dyDescent="0.2">
      <c r="A3725" s="1">
        <v>5713</v>
      </c>
      <c r="B3725" s="2">
        <v>39736</v>
      </c>
      <c r="C3725" s="7">
        <f>_xlfn.FLOOR.MATH(Table1[[#This Row],[year]],10)</f>
        <v>2000</v>
      </c>
      <c r="D3725" t="s">
        <v>258</v>
      </c>
      <c r="E3725" t="s">
        <v>57</v>
      </c>
      <c r="F3725">
        <v>3</v>
      </c>
      <c r="G3725">
        <v>1</v>
      </c>
      <c r="H3725" t="s">
        <v>224</v>
      </c>
      <c r="I3725" t="s">
        <v>701</v>
      </c>
      <c r="J3725" t="s">
        <v>258</v>
      </c>
      <c r="K3725" t="b">
        <v>0</v>
      </c>
      <c r="L3725">
        <v>2008</v>
      </c>
      <c r="M3725">
        <v>315953388510</v>
      </c>
      <c r="N3725">
        <v>61139438000</v>
      </c>
      <c r="O3725" t="b">
        <v>1</v>
      </c>
      <c r="P3725">
        <v>1</v>
      </c>
      <c r="Q3725" t="str" cm="1">
        <f t="array" ref="Q3725">_xlfn.IFS(Table1[[#This Row],[Wealthier_Winner]]=-1,"Wealthier Nation Loses",Table1[[#This Row],[Wealthier_Winner]]=0,"Tie",Table1[[#This Row],[Wealthier_Winner]]=1,"Wealthier Nation Wins")</f>
        <v>Wealthier Nation Wins</v>
      </c>
    </row>
    <row r="3726" spans="1:17" x14ac:dyDescent="0.2">
      <c r="A3726" s="1">
        <v>5714</v>
      </c>
      <c r="B3726" s="2">
        <v>39771</v>
      </c>
      <c r="C3726" s="7">
        <f>_xlfn.FLOOR.MATH(Table1[[#This Row],[year]],10)</f>
        <v>2000</v>
      </c>
      <c r="D3726" t="s">
        <v>361</v>
      </c>
      <c r="E3726" t="s">
        <v>28</v>
      </c>
      <c r="F3726">
        <v>0</v>
      </c>
      <c r="G3726">
        <v>1</v>
      </c>
      <c r="H3726" t="s">
        <v>224</v>
      </c>
      <c r="I3726" t="s">
        <v>419</v>
      </c>
      <c r="J3726" t="s">
        <v>361</v>
      </c>
      <c r="K3726" t="b">
        <v>0</v>
      </c>
      <c r="L3726">
        <v>2008</v>
      </c>
      <c r="M3726">
        <v>25710904255</v>
      </c>
      <c r="N3726">
        <v>1058448244063</v>
      </c>
      <c r="O3726" t="b">
        <v>1</v>
      </c>
      <c r="P3726">
        <v>1</v>
      </c>
      <c r="Q3726" t="str" cm="1">
        <f t="array" ref="Q3726">_xlfn.IFS(Table1[[#This Row],[Wealthier_Winner]]=-1,"Wealthier Nation Loses",Table1[[#This Row],[Wealthier_Winner]]=0,"Tie",Table1[[#This Row],[Wealthier_Winner]]=1,"Wealthier Nation Wins")</f>
        <v>Wealthier Nation Wins</v>
      </c>
    </row>
    <row r="3727" spans="1:17" x14ac:dyDescent="0.2">
      <c r="A3727" s="1">
        <v>5715</v>
      </c>
      <c r="B3727" s="2">
        <v>39771</v>
      </c>
      <c r="C3727" s="7">
        <f>_xlfn.FLOOR.MATH(Table1[[#This Row],[year]],10)</f>
        <v>2000</v>
      </c>
      <c r="D3727" t="s">
        <v>69</v>
      </c>
      <c r="E3727" t="s">
        <v>56</v>
      </c>
      <c r="F3727">
        <v>1</v>
      </c>
      <c r="G3727">
        <v>3</v>
      </c>
      <c r="H3727" t="s">
        <v>224</v>
      </c>
      <c r="I3727" t="s">
        <v>281</v>
      </c>
      <c r="J3727" t="s">
        <v>69</v>
      </c>
      <c r="K3727" t="b">
        <v>0</v>
      </c>
      <c r="L3727">
        <v>2008</v>
      </c>
      <c r="M3727">
        <v>17986890000</v>
      </c>
      <c r="N3727">
        <v>30801745700</v>
      </c>
      <c r="O3727" t="b">
        <v>0</v>
      </c>
      <c r="P3727">
        <v>1</v>
      </c>
      <c r="Q3727" t="str" cm="1">
        <f t="array" ref="Q3727">_xlfn.IFS(Table1[[#This Row],[Wealthier_Winner]]=-1,"Wealthier Nation Loses",Table1[[#This Row],[Wealthier_Winner]]=0,"Tie",Table1[[#This Row],[Wealthier_Winner]]=1,"Wealthier Nation Wins")</f>
        <v>Wealthier Nation Wins</v>
      </c>
    </row>
    <row r="3728" spans="1:17" x14ac:dyDescent="0.2">
      <c r="A3728" s="1">
        <v>5716</v>
      </c>
      <c r="B3728" s="2">
        <v>39771</v>
      </c>
      <c r="C3728" s="7">
        <f>_xlfn.FLOOR.MATH(Table1[[#This Row],[year]],10)</f>
        <v>2000</v>
      </c>
      <c r="D3728" t="s">
        <v>65</v>
      </c>
      <c r="E3728" t="s">
        <v>17</v>
      </c>
      <c r="F3728">
        <v>1</v>
      </c>
      <c r="G3728">
        <v>0</v>
      </c>
      <c r="H3728" t="s">
        <v>224</v>
      </c>
      <c r="I3728" t="s">
        <v>254</v>
      </c>
      <c r="J3728" t="s">
        <v>65</v>
      </c>
      <c r="K3728" t="b">
        <v>0</v>
      </c>
      <c r="L3728">
        <v>2008</v>
      </c>
      <c r="M3728">
        <v>13881731875</v>
      </c>
      <c r="N3728">
        <v>1161553459715</v>
      </c>
      <c r="O3728" t="b">
        <v>1</v>
      </c>
      <c r="P3728">
        <v>-1</v>
      </c>
      <c r="Q3728" t="str" cm="1">
        <f t="array" ref="Q3728">_xlfn.IFS(Table1[[#This Row],[Wealthier_Winner]]=-1,"Wealthier Nation Loses",Table1[[#This Row],[Wealthier_Winner]]=0,"Tie",Table1[[#This Row],[Wealthier_Winner]]=1,"Wealthier Nation Wins")</f>
        <v>Wealthier Nation Loses</v>
      </c>
    </row>
    <row r="3729" spans="1:17" x14ac:dyDescent="0.2">
      <c r="A3729" s="1">
        <v>5717</v>
      </c>
      <c r="B3729" s="2">
        <v>39771</v>
      </c>
      <c r="C3729" s="7">
        <f>_xlfn.FLOOR.MATH(Table1[[#This Row],[year]],10)</f>
        <v>2000</v>
      </c>
      <c r="D3729" t="s">
        <v>49</v>
      </c>
      <c r="E3729" t="s">
        <v>34</v>
      </c>
      <c r="F3729">
        <v>3</v>
      </c>
      <c r="G3729">
        <v>0</v>
      </c>
      <c r="H3729" t="s">
        <v>224</v>
      </c>
      <c r="I3729" t="s">
        <v>257</v>
      </c>
      <c r="J3729" t="s">
        <v>49</v>
      </c>
      <c r="K3729" t="b">
        <v>0</v>
      </c>
      <c r="L3729">
        <v>2008</v>
      </c>
      <c r="M3729">
        <v>13709401520</v>
      </c>
      <c r="N3729">
        <v>1552989690721</v>
      </c>
      <c r="O3729" t="b">
        <v>1</v>
      </c>
      <c r="P3729">
        <v>-1</v>
      </c>
      <c r="Q3729" t="str" cm="1">
        <f t="array" ref="Q3729">_xlfn.IFS(Table1[[#This Row],[Wealthier_Winner]]=-1,"Wealthier Nation Loses",Table1[[#This Row],[Wealthier_Winner]]=0,"Tie",Table1[[#This Row],[Wealthier_Winner]]=1,"Wealthier Nation Wins")</f>
        <v>Wealthier Nation Loses</v>
      </c>
    </row>
    <row r="3730" spans="1:17" x14ac:dyDescent="0.2">
      <c r="A3730" s="1">
        <v>5718</v>
      </c>
      <c r="B3730" s="2">
        <v>39771</v>
      </c>
      <c r="C3730" s="7">
        <f>_xlfn.FLOOR.MATH(Table1[[#This Row],[year]],10)</f>
        <v>2000</v>
      </c>
      <c r="D3730" t="s">
        <v>68</v>
      </c>
      <c r="E3730" t="s">
        <v>51</v>
      </c>
      <c r="F3730">
        <v>0</v>
      </c>
      <c r="G3730">
        <v>3</v>
      </c>
      <c r="H3730" t="s">
        <v>224</v>
      </c>
      <c r="I3730" t="s">
        <v>190</v>
      </c>
      <c r="J3730" t="s">
        <v>68</v>
      </c>
      <c r="K3730" t="b">
        <v>0</v>
      </c>
      <c r="L3730">
        <v>2008</v>
      </c>
      <c r="M3730">
        <v>115270054945</v>
      </c>
      <c r="N3730">
        <v>5106679115127</v>
      </c>
      <c r="O3730" t="b">
        <v>1</v>
      </c>
      <c r="P3730">
        <v>1</v>
      </c>
      <c r="Q3730" t="str" cm="1">
        <f t="array" ref="Q3730">_xlfn.IFS(Table1[[#This Row],[Wealthier_Winner]]=-1,"Wealthier Nation Loses",Table1[[#This Row],[Wealthier_Winner]]=0,"Tie",Table1[[#This Row],[Wealthier_Winner]]=1,"Wealthier Nation Wins")</f>
        <v>Wealthier Nation Wins</v>
      </c>
    </row>
    <row r="3731" spans="1:17" x14ac:dyDescent="0.2">
      <c r="A3731" s="1">
        <v>5720</v>
      </c>
      <c r="B3731" s="2">
        <v>39771</v>
      </c>
      <c r="C3731" s="7">
        <f>_xlfn.FLOOR.MATH(Table1[[#This Row],[year]],10)</f>
        <v>2000</v>
      </c>
      <c r="D3731" t="s">
        <v>45</v>
      </c>
      <c r="E3731" t="s">
        <v>195</v>
      </c>
      <c r="F3731">
        <v>0</v>
      </c>
      <c r="G3731">
        <v>2</v>
      </c>
      <c r="H3731" t="s">
        <v>224</v>
      </c>
      <c r="I3731" t="s">
        <v>356</v>
      </c>
      <c r="J3731" t="s">
        <v>45</v>
      </c>
      <c r="K3731" t="b">
        <v>0</v>
      </c>
      <c r="L3731">
        <v>2008</v>
      </c>
      <c r="M3731">
        <v>519796800000</v>
      </c>
      <c r="N3731">
        <v>1091580692542</v>
      </c>
      <c r="O3731" t="b">
        <v>1</v>
      </c>
      <c r="P3731">
        <v>1</v>
      </c>
      <c r="Q3731" t="str" cm="1">
        <f t="array" ref="Q3731">_xlfn.IFS(Table1[[#This Row],[Wealthier_Winner]]=-1,"Wealthier Nation Loses",Table1[[#This Row],[Wealthier_Winner]]=0,"Tie",Table1[[#This Row],[Wealthier_Winner]]=1,"Wealthier Nation Wins")</f>
        <v>Wealthier Nation Wins</v>
      </c>
    </row>
    <row r="3732" spans="1:17" x14ac:dyDescent="0.2">
      <c r="A3732" s="1">
        <v>5721</v>
      </c>
      <c r="B3732" s="2">
        <v>39771</v>
      </c>
      <c r="C3732" s="7">
        <f>_xlfn.FLOOR.MATH(Table1[[#This Row],[year]],10)</f>
        <v>2000</v>
      </c>
      <c r="D3732" t="s">
        <v>252</v>
      </c>
      <c r="E3732" t="s">
        <v>70</v>
      </c>
      <c r="F3732">
        <v>1</v>
      </c>
      <c r="G3732">
        <v>1</v>
      </c>
      <c r="H3732" t="s">
        <v>224</v>
      </c>
      <c r="I3732" t="s">
        <v>255</v>
      </c>
      <c r="J3732" t="s">
        <v>252</v>
      </c>
      <c r="K3732" t="b">
        <v>0</v>
      </c>
      <c r="L3732">
        <v>2008</v>
      </c>
      <c r="M3732">
        <v>3532969034</v>
      </c>
      <c r="N3732">
        <v>10432962634</v>
      </c>
      <c r="O3732" t="b">
        <v>1</v>
      </c>
      <c r="P3732">
        <v>0</v>
      </c>
      <c r="Q3732" t="str" cm="1">
        <f t="array" ref="Q3732">_xlfn.IFS(Table1[[#This Row],[Wealthier_Winner]]=-1,"Wealthier Nation Loses",Table1[[#This Row],[Wealthier_Winner]]=0,"Tie",Table1[[#This Row],[Wealthier_Winner]]=1,"Wealthier Nation Wins")</f>
        <v>Tie</v>
      </c>
    </row>
    <row r="3733" spans="1:17" x14ac:dyDescent="0.2">
      <c r="A3733" s="1">
        <v>5722</v>
      </c>
      <c r="B3733" s="2">
        <v>39771</v>
      </c>
      <c r="C3733" s="7">
        <f>_xlfn.FLOOR.MATH(Table1[[#This Row],[year]],10)</f>
        <v>2000</v>
      </c>
      <c r="D3733" t="s">
        <v>59</v>
      </c>
      <c r="E3733" t="s">
        <v>517</v>
      </c>
      <c r="F3733">
        <v>3</v>
      </c>
      <c r="G3733">
        <v>0</v>
      </c>
      <c r="H3733" t="s">
        <v>224</v>
      </c>
      <c r="I3733" t="s">
        <v>253</v>
      </c>
      <c r="J3733" t="s">
        <v>59</v>
      </c>
      <c r="K3733" t="b">
        <v>0</v>
      </c>
      <c r="L3733">
        <v>2008</v>
      </c>
      <c r="M3733">
        <v>27871587349</v>
      </c>
      <c r="N3733">
        <v>56302129629</v>
      </c>
      <c r="O3733" t="b">
        <v>1</v>
      </c>
      <c r="P3733">
        <v>-1</v>
      </c>
      <c r="Q3733" t="str" cm="1">
        <f t="array" ref="Q3733">_xlfn.IFS(Table1[[#This Row],[Wealthier_Winner]]=-1,"Wealthier Nation Loses",Table1[[#This Row],[Wealthier_Winner]]=0,"Tie",Table1[[#This Row],[Wealthier_Winner]]=1,"Wealthier Nation Wins")</f>
        <v>Wealthier Nation Loses</v>
      </c>
    </row>
    <row r="3734" spans="1:17" x14ac:dyDescent="0.2">
      <c r="A3734" s="1">
        <v>5723</v>
      </c>
      <c r="B3734" s="2">
        <v>39771</v>
      </c>
      <c r="C3734" s="7">
        <f>_xlfn.FLOOR.MATH(Table1[[#This Row],[year]],10)</f>
        <v>2000</v>
      </c>
      <c r="D3734" t="s">
        <v>39</v>
      </c>
      <c r="E3734" t="s">
        <v>210</v>
      </c>
      <c r="F3734">
        <v>1</v>
      </c>
      <c r="G3734">
        <v>1</v>
      </c>
      <c r="H3734" t="s">
        <v>224</v>
      </c>
      <c r="I3734" t="s">
        <v>412</v>
      </c>
      <c r="J3734" t="s">
        <v>39</v>
      </c>
      <c r="K3734" t="b">
        <v>0</v>
      </c>
      <c r="L3734">
        <v>2008</v>
      </c>
      <c r="M3734">
        <v>315474615738</v>
      </c>
      <c r="N3734">
        <v>406070949553</v>
      </c>
      <c r="O3734" t="b">
        <v>0</v>
      </c>
      <c r="P3734">
        <v>0</v>
      </c>
      <c r="Q3734" t="str" cm="1">
        <f t="array" ref="Q3734">_xlfn.IFS(Table1[[#This Row],[Wealthier_Winner]]=-1,"Wealthier Nation Loses",Table1[[#This Row],[Wealthier_Winner]]=0,"Tie",Table1[[#This Row],[Wealthier_Winner]]=1,"Wealthier Nation Wins")</f>
        <v>Tie</v>
      </c>
    </row>
    <row r="3735" spans="1:17" x14ac:dyDescent="0.2">
      <c r="A3735" s="1">
        <v>5724</v>
      </c>
      <c r="B3735" s="2">
        <v>39771</v>
      </c>
      <c r="C3735" s="7">
        <f>_xlfn.FLOOR.MATH(Table1[[#This Row],[year]],10)</f>
        <v>2000</v>
      </c>
      <c r="D3735" t="s">
        <v>41</v>
      </c>
      <c r="E3735" t="s">
        <v>223</v>
      </c>
      <c r="F3735">
        <v>2</v>
      </c>
      <c r="G3735">
        <v>0</v>
      </c>
      <c r="H3735" t="s">
        <v>224</v>
      </c>
      <c r="I3735" t="s">
        <v>718</v>
      </c>
      <c r="J3735" t="s">
        <v>41</v>
      </c>
      <c r="K3735" t="b">
        <v>0</v>
      </c>
      <c r="L3735">
        <v>2008</v>
      </c>
      <c r="M3735">
        <v>14769857911000</v>
      </c>
      <c r="N3735">
        <v>38503720224</v>
      </c>
      <c r="O3735" t="b">
        <v>1</v>
      </c>
      <c r="P3735">
        <v>1</v>
      </c>
      <c r="Q3735" t="str" cm="1">
        <f t="array" ref="Q3735">_xlfn.IFS(Table1[[#This Row],[Wealthier_Winner]]=-1,"Wealthier Nation Loses",Table1[[#This Row],[Wealthier_Winner]]=0,"Tie",Table1[[#This Row],[Wealthier_Winner]]=1,"Wealthier Nation Wins")</f>
        <v>Wealthier Nation Wins</v>
      </c>
    </row>
    <row r="3736" spans="1:17" x14ac:dyDescent="0.2">
      <c r="A3736" s="1">
        <v>5725</v>
      </c>
      <c r="B3736" s="2">
        <v>39855</v>
      </c>
      <c r="C3736" s="7">
        <f>_xlfn.FLOOR.MATH(Table1[[#This Row],[year]],10)</f>
        <v>2000</v>
      </c>
      <c r="D3736" t="s">
        <v>56</v>
      </c>
      <c r="E3736" t="s">
        <v>65</v>
      </c>
      <c r="F3736">
        <v>2</v>
      </c>
      <c r="G3736">
        <v>0</v>
      </c>
      <c r="H3736" t="s">
        <v>224</v>
      </c>
      <c r="I3736" t="s">
        <v>225</v>
      </c>
      <c r="J3736" t="s">
        <v>56</v>
      </c>
      <c r="K3736" t="b">
        <v>0</v>
      </c>
      <c r="L3736">
        <v>2009</v>
      </c>
      <c r="M3736">
        <v>30745714312</v>
      </c>
      <c r="N3736">
        <v>14587496229</v>
      </c>
      <c r="O3736" t="b">
        <v>1</v>
      </c>
      <c r="P3736">
        <v>1</v>
      </c>
      <c r="Q3736" t="str" cm="1">
        <f t="array" ref="Q3736">_xlfn.IFS(Table1[[#This Row],[Wealthier_Winner]]=-1,"Wealthier Nation Loses",Table1[[#This Row],[Wealthier_Winner]]=0,"Tie",Table1[[#This Row],[Wealthier_Winner]]=1,"Wealthier Nation Wins")</f>
        <v>Wealthier Nation Wins</v>
      </c>
    </row>
    <row r="3737" spans="1:17" x14ac:dyDescent="0.2">
      <c r="A3737" s="1">
        <v>5726</v>
      </c>
      <c r="B3737" s="2">
        <v>39855</v>
      </c>
      <c r="C3737" s="7">
        <f>_xlfn.FLOOR.MATH(Table1[[#This Row],[year]],10)</f>
        <v>2000</v>
      </c>
      <c r="D3737" t="s">
        <v>69</v>
      </c>
      <c r="E3737" t="s">
        <v>59</v>
      </c>
      <c r="F3737">
        <v>2</v>
      </c>
      <c r="G3737">
        <v>2</v>
      </c>
      <c r="H3737" t="s">
        <v>224</v>
      </c>
      <c r="I3737" t="s">
        <v>281</v>
      </c>
      <c r="J3737" t="s">
        <v>69</v>
      </c>
      <c r="K3737" t="b">
        <v>0</v>
      </c>
      <c r="L3737">
        <v>2009</v>
      </c>
      <c r="M3737">
        <v>17601620000</v>
      </c>
      <c r="N3737">
        <v>19172165225</v>
      </c>
      <c r="O3737" t="b">
        <v>0</v>
      </c>
      <c r="P3737">
        <v>0</v>
      </c>
      <c r="Q3737" t="str" cm="1">
        <f t="array" ref="Q3737">_xlfn.IFS(Table1[[#This Row],[Wealthier_Winner]]=-1,"Wealthier Nation Loses",Table1[[#This Row],[Wealthier_Winner]]=0,"Tie",Table1[[#This Row],[Wealthier_Winner]]=1,"Wealthier Nation Wins")</f>
        <v>Tie</v>
      </c>
    </row>
    <row r="3738" spans="1:17" x14ac:dyDescent="0.2">
      <c r="A3738" s="1">
        <v>5727</v>
      </c>
      <c r="B3738" s="2">
        <v>39855</v>
      </c>
      <c r="C3738" s="7">
        <f>_xlfn.FLOOR.MATH(Table1[[#This Row],[year]],10)</f>
        <v>2000</v>
      </c>
      <c r="D3738" t="s">
        <v>210</v>
      </c>
      <c r="E3738" t="s">
        <v>195</v>
      </c>
      <c r="F3738">
        <v>1</v>
      </c>
      <c r="G3738">
        <v>1</v>
      </c>
      <c r="H3738" t="s">
        <v>224</v>
      </c>
      <c r="I3738" t="s">
        <v>332</v>
      </c>
      <c r="J3738" t="s">
        <v>210</v>
      </c>
      <c r="K3738" t="b">
        <v>0</v>
      </c>
      <c r="L3738">
        <v>2009</v>
      </c>
      <c r="M3738">
        <v>414059094949</v>
      </c>
      <c r="N3738">
        <v>983065242417</v>
      </c>
      <c r="O3738" t="b">
        <v>1</v>
      </c>
      <c r="P3738">
        <v>0</v>
      </c>
      <c r="Q3738" t="str" cm="1">
        <f t="array" ref="Q3738">_xlfn.IFS(Table1[[#This Row],[Wealthier_Winner]]=-1,"Wealthier Nation Loses",Table1[[#This Row],[Wealthier_Winner]]=0,"Tie",Table1[[#This Row],[Wealthier_Winner]]=1,"Wealthier Nation Wins")</f>
        <v>Tie</v>
      </c>
    </row>
    <row r="3739" spans="1:17" x14ac:dyDescent="0.2">
      <c r="A3739" s="1">
        <v>5729</v>
      </c>
      <c r="B3739" s="2">
        <v>39855</v>
      </c>
      <c r="C3739" s="7">
        <f>_xlfn.FLOOR.MATH(Table1[[#This Row],[year]],10)</f>
        <v>2000</v>
      </c>
      <c r="D3739" t="s">
        <v>51</v>
      </c>
      <c r="E3739" t="s">
        <v>28</v>
      </c>
      <c r="F3739">
        <v>0</v>
      </c>
      <c r="G3739">
        <v>0</v>
      </c>
      <c r="H3739" t="s">
        <v>224</v>
      </c>
      <c r="I3739" t="s">
        <v>153</v>
      </c>
      <c r="J3739" t="s">
        <v>51</v>
      </c>
      <c r="K3739" t="b">
        <v>0</v>
      </c>
      <c r="L3739">
        <v>2009</v>
      </c>
      <c r="M3739">
        <v>5289493117993</v>
      </c>
      <c r="N3739">
        <v>931761689770</v>
      </c>
      <c r="O3739" t="b">
        <v>1</v>
      </c>
      <c r="P3739">
        <v>0</v>
      </c>
      <c r="Q3739" t="str" cm="1">
        <f t="array" ref="Q3739">_xlfn.IFS(Table1[[#This Row],[Wealthier_Winner]]=-1,"Wealthier Nation Loses",Table1[[#This Row],[Wealthier_Winner]]=0,"Tie",Table1[[#This Row],[Wealthier_Winner]]=1,"Wealthier Nation Wins")</f>
        <v>Tie</v>
      </c>
    </row>
    <row r="3740" spans="1:17" x14ac:dyDescent="0.2">
      <c r="A3740" s="1">
        <v>5731</v>
      </c>
      <c r="B3740" s="2">
        <v>39855</v>
      </c>
      <c r="C3740" s="7">
        <f>_xlfn.FLOOR.MATH(Table1[[#This Row],[year]],10)</f>
        <v>2000</v>
      </c>
      <c r="D3740" t="s">
        <v>303</v>
      </c>
      <c r="E3740" t="s">
        <v>373</v>
      </c>
      <c r="F3740">
        <v>0</v>
      </c>
      <c r="G3740">
        <v>0</v>
      </c>
      <c r="H3740" t="s">
        <v>224</v>
      </c>
      <c r="I3740" t="s">
        <v>399</v>
      </c>
      <c r="J3740" t="s">
        <v>303</v>
      </c>
      <c r="K3740" t="b">
        <v>0</v>
      </c>
      <c r="L3740">
        <v>2009</v>
      </c>
      <c r="M3740">
        <v>8734745697</v>
      </c>
      <c r="N3740">
        <v>12335540656</v>
      </c>
      <c r="O3740" t="b">
        <v>0</v>
      </c>
      <c r="P3740">
        <v>0</v>
      </c>
      <c r="Q3740" t="str" cm="1">
        <f t="array" ref="Q3740">_xlfn.IFS(Table1[[#This Row],[Wealthier_Winner]]=-1,"Wealthier Nation Loses",Table1[[#This Row],[Wealthier_Winner]]=0,"Tie",Table1[[#This Row],[Wealthier_Winner]]=1,"Wealthier Nation Wins")</f>
        <v>Tie</v>
      </c>
    </row>
    <row r="3741" spans="1:17" x14ac:dyDescent="0.2">
      <c r="A3741" s="1">
        <v>5733</v>
      </c>
      <c r="B3741" s="2">
        <v>39855</v>
      </c>
      <c r="C3741" s="7">
        <f>_xlfn.FLOOR.MATH(Table1[[#This Row],[year]],10)</f>
        <v>2000</v>
      </c>
      <c r="D3741" t="s">
        <v>41</v>
      </c>
      <c r="E3741" t="s">
        <v>17</v>
      </c>
      <c r="F3741">
        <v>2</v>
      </c>
      <c r="G3741">
        <v>0</v>
      </c>
      <c r="H3741" t="s">
        <v>224</v>
      </c>
      <c r="I3741" t="s">
        <v>607</v>
      </c>
      <c r="J3741" t="s">
        <v>41</v>
      </c>
      <c r="K3741" t="b">
        <v>0</v>
      </c>
      <c r="L3741">
        <v>2009</v>
      </c>
      <c r="M3741">
        <v>14478064934000</v>
      </c>
      <c r="N3741">
        <v>943437415024</v>
      </c>
      <c r="O3741" t="b">
        <v>1</v>
      </c>
      <c r="P3741">
        <v>1</v>
      </c>
      <c r="Q3741" t="str" cm="1">
        <f t="array" ref="Q3741">_xlfn.IFS(Table1[[#This Row],[Wealthier_Winner]]=-1,"Wealthier Nation Loses",Table1[[#This Row],[Wealthier_Winner]]=0,"Tie",Table1[[#This Row],[Wealthier_Winner]]=1,"Wealthier Nation Wins")</f>
        <v>Wealthier Nation Wins</v>
      </c>
    </row>
    <row r="3742" spans="1:17" x14ac:dyDescent="0.2">
      <c r="A3742" s="1">
        <v>5734</v>
      </c>
      <c r="B3742" s="2">
        <v>39855</v>
      </c>
      <c r="C3742" s="7">
        <f>_xlfn.FLOOR.MATH(Table1[[#This Row],[year]],10)</f>
        <v>2000</v>
      </c>
      <c r="D3742" t="s">
        <v>563</v>
      </c>
      <c r="E3742" t="s">
        <v>361</v>
      </c>
      <c r="F3742">
        <v>0</v>
      </c>
      <c r="G3742">
        <v>1</v>
      </c>
      <c r="H3742" t="s">
        <v>224</v>
      </c>
      <c r="I3742" t="s">
        <v>564</v>
      </c>
      <c r="J3742" t="s">
        <v>563</v>
      </c>
      <c r="K3742" t="b">
        <v>0</v>
      </c>
      <c r="L3742">
        <v>2009</v>
      </c>
      <c r="M3742">
        <v>33689223673</v>
      </c>
      <c r="N3742">
        <v>22938218085</v>
      </c>
      <c r="O3742" t="b">
        <v>0</v>
      </c>
      <c r="P3742">
        <v>-1</v>
      </c>
      <c r="Q3742" t="str" cm="1">
        <f t="array" ref="Q3742">_xlfn.IFS(Table1[[#This Row],[Wealthier_Winner]]=-1,"Wealthier Nation Loses",Table1[[#This Row],[Wealthier_Winner]]=0,"Tie",Table1[[#This Row],[Wealthier_Winner]]=1,"Wealthier Nation Wins")</f>
        <v>Wealthier Nation Loses</v>
      </c>
    </row>
    <row r="3743" spans="1:17" x14ac:dyDescent="0.2">
      <c r="A3743" s="1">
        <v>5735</v>
      </c>
      <c r="B3743" s="2">
        <v>39900</v>
      </c>
      <c r="C3743" s="7">
        <f>_xlfn.FLOOR.MATH(Table1[[#This Row],[year]],10)</f>
        <v>2000</v>
      </c>
      <c r="D3743" t="s">
        <v>373</v>
      </c>
      <c r="E3743" t="s">
        <v>30</v>
      </c>
      <c r="F3743">
        <v>0</v>
      </c>
      <c r="G3743">
        <v>1</v>
      </c>
      <c r="H3743" t="s">
        <v>224</v>
      </c>
      <c r="I3743" t="s">
        <v>374</v>
      </c>
      <c r="J3743" t="s">
        <v>373</v>
      </c>
      <c r="K3743" t="b">
        <v>0</v>
      </c>
      <c r="L3743">
        <v>2009</v>
      </c>
      <c r="M3743">
        <v>12335540656</v>
      </c>
      <c r="N3743">
        <v>130807441076</v>
      </c>
      <c r="O3743" t="b">
        <v>1</v>
      </c>
      <c r="P3743">
        <v>1</v>
      </c>
      <c r="Q3743" t="str" cm="1">
        <f t="array" ref="Q3743">_xlfn.IFS(Table1[[#This Row],[Wealthier_Winner]]=-1,"Wealthier Nation Loses",Table1[[#This Row],[Wealthier_Winner]]=0,"Tie",Table1[[#This Row],[Wealthier_Winner]]=1,"Wealthier Nation Wins")</f>
        <v>Wealthier Nation Wins</v>
      </c>
    </row>
    <row r="3744" spans="1:17" x14ac:dyDescent="0.2">
      <c r="A3744" s="1">
        <v>5736</v>
      </c>
      <c r="B3744" s="2">
        <v>39900</v>
      </c>
      <c r="C3744" s="7">
        <f>_xlfn.FLOOR.MATH(Table1[[#This Row],[year]],10)</f>
        <v>2000</v>
      </c>
      <c r="D3744" t="s">
        <v>19</v>
      </c>
      <c r="E3744" t="s">
        <v>258</v>
      </c>
      <c r="F3744">
        <v>4</v>
      </c>
      <c r="G3744">
        <v>0</v>
      </c>
      <c r="H3744" t="s">
        <v>224</v>
      </c>
      <c r="I3744" t="s">
        <v>93</v>
      </c>
      <c r="J3744" t="s">
        <v>19</v>
      </c>
      <c r="K3744" t="b">
        <v>0</v>
      </c>
      <c r="L3744">
        <v>2009</v>
      </c>
      <c r="M3744">
        <v>332976484577</v>
      </c>
      <c r="N3744">
        <v>329787628928</v>
      </c>
      <c r="O3744" t="b">
        <v>0</v>
      </c>
      <c r="P3744">
        <v>1</v>
      </c>
      <c r="Q3744" t="str" cm="1">
        <f t="array" ref="Q3744">_xlfn.IFS(Table1[[#This Row],[Wealthier_Winner]]=-1,"Wealthier Nation Loses",Table1[[#This Row],[Wealthier_Winner]]=0,"Tie",Table1[[#This Row],[Wealthier_Winner]]=1,"Wealthier Nation Wins")</f>
        <v>Wealthier Nation Wins</v>
      </c>
    </row>
    <row r="3745" spans="1:17" x14ac:dyDescent="0.2">
      <c r="A3745" s="1">
        <v>5737</v>
      </c>
      <c r="B3745" s="2">
        <v>39900</v>
      </c>
      <c r="C3745" s="7">
        <f>_xlfn.FLOOR.MATH(Table1[[#This Row],[year]],10)</f>
        <v>2000</v>
      </c>
      <c r="D3745" t="s">
        <v>519</v>
      </c>
      <c r="E3745" t="s">
        <v>476</v>
      </c>
      <c r="F3745">
        <v>2</v>
      </c>
      <c r="G3745">
        <v>2</v>
      </c>
      <c r="H3745" t="s">
        <v>224</v>
      </c>
      <c r="I3745" t="s">
        <v>520</v>
      </c>
      <c r="J3745" t="s">
        <v>519</v>
      </c>
      <c r="K3745" t="b">
        <v>0</v>
      </c>
      <c r="L3745">
        <v>2009</v>
      </c>
      <c r="M3745">
        <v>8647937081</v>
      </c>
      <c r="N3745">
        <v>19633984440</v>
      </c>
      <c r="O3745" t="b">
        <v>1</v>
      </c>
      <c r="P3745">
        <v>0</v>
      </c>
      <c r="Q3745" t="str" cm="1">
        <f t="array" ref="Q3745">_xlfn.IFS(Table1[[#This Row],[Wealthier_Winner]]=-1,"Wealthier Nation Loses",Table1[[#This Row],[Wealthier_Winner]]=0,"Tie",Table1[[#This Row],[Wealthier_Winner]]=1,"Wealthier Nation Wins")</f>
        <v>Tie</v>
      </c>
    </row>
    <row r="3746" spans="1:17" x14ac:dyDescent="0.2">
      <c r="A3746" s="1">
        <v>5738</v>
      </c>
      <c r="B3746" s="2">
        <v>39900</v>
      </c>
      <c r="C3746" s="7">
        <f>_xlfn.FLOOR.MATH(Table1[[#This Row],[year]],10)</f>
        <v>2000</v>
      </c>
      <c r="D3746" t="s">
        <v>23</v>
      </c>
      <c r="E3746" t="s">
        <v>73</v>
      </c>
      <c r="F3746">
        <v>2</v>
      </c>
      <c r="G3746">
        <v>4</v>
      </c>
      <c r="H3746" t="s">
        <v>224</v>
      </c>
      <c r="I3746" t="s">
        <v>719</v>
      </c>
      <c r="J3746" t="s">
        <v>23</v>
      </c>
      <c r="K3746" t="b">
        <v>0</v>
      </c>
      <c r="L3746">
        <v>2009</v>
      </c>
      <c r="M3746">
        <v>485014525992</v>
      </c>
      <c r="N3746">
        <v>17613949091</v>
      </c>
      <c r="O3746" t="b">
        <v>1</v>
      </c>
      <c r="P3746">
        <v>-1</v>
      </c>
      <c r="Q3746" t="str" cm="1">
        <f t="array" ref="Q3746">_xlfn.IFS(Table1[[#This Row],[Wealthier_Winner]]=-1,"Wealthier Nation Loses",Table1[[#This Row],[Wealthier_Winner]]=0,"Tie",Table1[[#This Row],[Wealthier_Winner]]=1,"Wealthier Nation Wins")</f>
        <v>Wealthier Nation Loses</v>
      </c>
    </row>
    <row r="3747" spans="1:17" x14ac:dyDescent="0.2">
      <c r="A3747" s="1">
        <v>5739</v>
      </c>
      <c r="B3747" s="2">
        <v>39900</v>
      </c>
      <c r="C3747" s="7">
        <f>_xlfn.FLOOR.MATH(Table1[[#This Row],[year]],10)</f>
        <v>2000</v>
      </c>
      <c r="D3747" t="s">
        <v>345</v>
      </c>
      <c r="E3747" t="s">
        <v>305</v>
      </c>
      <c r="F3747">
        <v>4</v>
      </c>
      <c r="G3747">
        <v>2</v>
      </c>
      <c r="H3747" t="s">
        <v>224</v>
      </c>
      <c r="I3747" t="s">
        <v>347</v>
      </c>
      <c r="J3747" t="s">
        <v>345</v>
      </c>
      <c r="K3747" t="b">
        <v>0</v>
      </c>
      <c r="L3747">
        <v>2009</v>
      </c>
      <c r="M3747">
        <v>9450696873</v>
      </c>
      <c r="N3747">
        <v>6716905339</v>
      </c>
      <c r="O3747" t="b">
        <v>0</v>
      </c>
      <c r="P3747">
        <v>1</v>
      </c>
      <c r="Q3747" t="str" cm="1">
        <f t="array" ref="Q3747">_xlfn.IFS(Table1[[#This Row],[Wealthier_Winner]]=-1,"Wealthier Nation Loses",Table1[[#This Row],[Wealthier_Winner]]=0,"Tie",Table1[[#This Row],[Wealthier_Winner]]=1,"Wealthier Nation Wins")</f>
        <v>Wealthier Nation Wins</v>
      </c>
    </row>
    <row r="3748" spans="1:17" x14ac:dyDescent="0.2">
      <c r="A3748" s="1">
        <v>5740</v>
      </c>
      <c r="B3748" s="2">
        <v>39900</v>
      </c>
      <c r="C3748" s="7">
        <f>_xlfn.FLOOR.MATH(Table1[[#This Row],[year]],10)</f>
        <v>2000</v>
      </c>
      <c r="D3748" t="s">
        <v>15</v>
      </c>
      <c r="E3748" t="s">
        <v>47</v>
      </c>
      <c r="F3748">
        <v>2</v>
      </c>
      <c r="G3748">
        <v>0</v>
      </c>
      <c r="H3748" t="s">
        <v>224</v>
      </c>
      <c r="I3748" t="s">
        <v>241</v>
      </c>
      <c r="J3748" t="s">
        <v>15</v>
      </c>
      <c r="K3748" t="b">
        <v>0</v>
      </c>
      <c r="L3748">
        <v>2009</v>
      </c>
      <c r="M3748">
        <v>232468663109</v>
      </c>
      <c r="N3748">
        <v>17339992193</v>
      </c>
      <c r="O3748" t="b">
        <v>1</v>
      </c>
      <c r="P3748">
        <v>1</v>
      </c>
      <c r="Q3748" t="str" cm="1">
        <f t="array" ref="Q3748">_xlfn.IFS(Table1[[#This Row],[Wealthier_Winner]]=-1,"Wealthier Nation Loses",Table1[[#This Row],[Wealthier_Winner]]=0,"Tie",Table1[[#This Row],[Wealthier_Winner]]=1,"Wealthier Nation Wins")</f>
        <v>Wealthier Nation Wins</v>
      </c>
    </row>
    <row r="3749" spans="1:17" x14ac:dyDescent="0.2">
      <c r="A3749" s="1">
        <v>5741</v>
      </c>
      <c r="B3749" s="2">
        <v>39900</v>
      </c>
      <c r="C3749" s="7">
        <f>_xlfn.FLOOR.MATH(Table1[[#This Row],[year]],10)</f>
        <v>2000</v>
      </c>
      <c r="D3749" t="s">
        <v>351</v>
      </c>
      <c r="E3749" t="s">
        <v>534</v>
      </c>
      <c r="F3749">
        <v>2</v>
      </c>
      <c r="G3749">
        <v>1</v>
      </c>
      <c r="H3749" t="s">
        <v>224</v>
      </c>
      <c r="I3749" t="s">
        <v>468</v>
      </c>
      <c r="J3749" t="s">
        <v>351</v>
      </c>
      <c r="K3749" t="b">
        <v>0</v>
      </c>
      <c r="L3749">
        <v>2009</v>
      </c>
      <c r="M3749">
        <v>26048179949</v>
      </c>
      <c r="N3749">
        <v>10766920065</v>
      </c>
      <c r="O3749" t="b">
        <v>1</v>
      </c>
      <c r="P3749">
        <v>1</v>
      </c>
      <c r="Q3749" t="str" cm="1">
        <f t="array" ref="Q3749">_xlfn.IFS(Table1[[#This Row],[Wealthier_Winner]]=-1,"Wealthier Nation Loses",Table1[[#This Row],[Wealthier_Winner]]=0,"Tie",Table1[[#This Row],[Wealthier_Winner]]=1,"Wealthier Nation Wins")</f>
        <v>Wealthier Nation Wins</v>
      </c>
    </row>
    <row r="3750" spans="1:17" x14ac:dyDescent="0.2">
      <c r="A3750" s="1">
        <v>5742</v>
      </c>
      <c r="B3750" s="2">
        <v>39900</v>
      </c>
      <c r="C3750" s="7">
        <f>_xlfn.FLOOR.MATH(Table1[[#This Row],[year]],10)</f>
        <v>2000</v>
      </c>
      <c r="D3750" t="s">
        <v>69</v>
      </c>
      <c r="E3750" t="s">
        <v>41</v>
      </c>
      <c r="F3750">
        <v>2</v>
      </c>
      <c r="G3750">
        <v>2</v>
      </c>
      <c r="H3750" t="s">
        <v>224</v>
      </c>
      <c r="I3750" t="s">
        <v>281</v>
      </c>
      <c r="J3750" t="s">
        <v>69</v>
      </c>
      <c r="K3750" t="b">
        <v>0</v>
      </c>
      <c r="L3750">
        <v>2009</v>
      </c>
      <c r="M3750">
        <v>17601620000</v>
      </c>
      <c r="N3750">
        <v>14478064934000</v>
      </c>
      <c r="O3750" t="b">
        <v>1</v>
      </c>
      <c r="P3750">
        <v>0</v>
      </c>
      <c r="Q3750" t="str" cm="1">
        <f t="array" ref="Q3750">_xlfn.IFS(Table1[[#This Row],[Wealthier_Winner]]=-1,"Wealthier Nation Loses",Table1[[#This Row],[Wealthier_Winner]]=0,"Tie",Table1[[#This Row],[Wealthier_Winner]]=1,"Wealthier Nation Wins")</f>
        <v>Tie</v>
      </c>
    </row>
    <row r="3751" spans="1:17" x14ac:dyDescent="0.2">
      <c r="A3751" s="1">
        <v>5743</v>
      </c>
      <c r="B3751" s="2">
        <v>39900</v>
      </c>
      <c r="C3751" s="7">
        <f>_xlfn.FLOOR.MATH(Table1[[#This Row],[year]],10)</f>
        <v>2000</v>
      </c>
      <c r="D3751" t="s">
        <v>16</v>
      </c>
      <c r="E3751" t="s">
        <v>503</v>
      </c>
      <c r="F3751">
        <v>4</v>
      </c>
      <c r="G3751">
        <v>0</v>
      </c>
      <c r="H3751" t="s">
        <v>224</v>
      </c>
      <c r="I3751" t="s">
        <v>156</v>
      </c>
      <c r="J3751" t="s">
        <v>16</v>
      </c>
      <c r="K3751" t="b">
        <v>0</v>
      </c>
      <c r="L3751">
        <v>2009</v>
      </c>
      <c r="M3751">
        <v>3478545516683</v>
      </c>
      <c r="N3751">
        <v>4504375348</v>
      </c>
      <c r="O3751" t="b">
        <v>1</v>
      </c>
      <c r="P3751">
        <v>1</v>
      </c>
      <c r="Q3751" t="str" cm="1">
        <f t="array" ref="Q3751">_xlfn.IFS(Table1[[#This Row],[Wealthier_Winner]]=-1,"Wealthier Nation Loses",Table1[[#This Row],[Wealthier_Winner]]=0,"Tie",Table1[[#This Row],[Wealthier_Winner]]=1,"Wealthier Nation Wins")</f>
        <v>Wealthier Nation Wins</v>
      </c>
    </row>
    <row r="3752" spans="1:17" x14ac:dyDescent="0.2">
      <c r="A3752" s="1">
        <v>5744</v>
      </c>
      <c r="B3752" s="2">
        <v>39900</v>
      </c>
      <c r="C3752" s="7">
        <f>_xlfn.FLOOR.MATH(Table1[[#This Row],[year]],10)</f>
        <v>2000</v>
      </c>
      <c r="D3752" t="s">
        <v>210</v>
      </c>
      <c r="E3752" t="s">
        <v>45</v>
      </c>
      <c r="F3752">
        <v>1</v>
      </c>
      <c r="G3752">
        <v>2</v>
      </c>
      <c r="H3752" t="s">
        <v>224</v>
      </c>
      <c r="I3752" t="s">
        <v>332</v>
      </c>
      <c r="J3752" t="s">
        <v>210</v>
      </c>
      <c r="K3752" t="b">
        <v>0</v>
      </c>
      <c r="L3752">
        <v>2009</v>
      </c>
      <c r="M3752">
        <v>414059094949</v>
      </c>
      <c r="N3752">
        <v>429097866666</v>
      </c>
      <c r="O3752" t="b">
        <v>0</v>
      </c>
      <c r="P3752">
        <v>1</v>
      </c>
      <c r="Q3752" t="str" cm="1">
        <f t="array" ref="Q3752">_xlfn.IFS(Table1[[#This Row],[Wealthier_Winner]]=-1,"Wealthier Nation Loses",Table1[[#This Row],[Wealthier_Winner]]=0,"Tie",Table1[[#This Row],[Wealthier_Winner]]=1,"Wealthier Nation Wins")</f>
        <v>Wealthier Nation Wins</v>
      </c>
    </row>
    <row r="3753" spans="1:17" x14ac:dyDescent="0.2">
      <c r="A3753" s="1">
        <v>5746</v>
      </c>
      <c r="B3753" s="2">
        <v>39900</v>
      </c>
      <c r="C3753" s="7">
        <f>_xlfn.FLOOR.MATH(Table1[[#This Row],[year]],10)</f>
        <v>2000</v>
      </c>
      <c r="D3753" t="s">
        <v>22</v>
      </c>
      <c r="E3753" t="s">
        <v>48</v>
      </c>
      <c r="F3753">
        <v>1</v>
      </c>
      <c r="G3753">
        <v>1</v>
      </c>
      <c r="H3753" t="s">
        <v>224</v>
      </c>
      <c r="I3753" t="s">
        <v>239</v>
      </c>
      <c r="J3753" t="s">
        <v>22</v>
      </c>
      <c r="K3753" t="b">
        <v>0</v>
      </c>
      <c r="L3753">
        <v>2009</v>
      </c>
      <c r="M3753">
        <v>213403181852</v>
      </c>
      <c r="N3753">
        <v>326829054686</v>
      </c>
      <c r="O3753" t="b">
        <v>0</v>
      </c>
      <c r="P3753">
        <v>0</v>
      </c>
      <c r="Q3753" t="str" cm="1">
        <f t="array" ref="Q3753">_xlfn.IFS(Table1[[#This Row],[Wealthier_Winner]]=-1,"Wealthier Nation Loses",Table1[[#This Row],[Wealthier_Winner]]=0,"Tie",Table1[[#This Row],[Wealthier_Winner]]=1,"Wealthier Nation Wins")</f>
        <v>Tie</v>
      </c>
    </row>
    <row r="3754" spans="1:17" x14ac:dyDescent="0.2">
      <c r="A3754" s="1">
        <v>5747</v>
      </c>
      <c r="B3754" s="2">
        <v>39900</v>
      </c>
      <c r="C3754" s="7">
        <f>_xlfn.FLOOR.MATH(Table1[[#This Row],[year]],10)</f>
        <v>2000</v>
      </c>
      <c r="D3754" t="s">
        <v>51</v>
      </c>
      <c r="E3754" t="s">
        <v>361</v>
      </c>
      <c r="F3754">
        <v>1</v>
      </c>
      <c r="G3754">
        <v>0</v>
      </c>
      <c r="H3754" t="s">
        <v>224</v>
      </c>
      <c r="I3754" t="s">
        <v>143</v>
      </c>
      <c r="J3754" t="s">
        <v>51</v>
      </c>
      <c r="K3754" t="b">
        <v>0</v>
      </c>
      <c r="L3754">
        <v>2009</v>
      </c>
      <c r="M3754">
        <v>5289493117993</v>
      </c>
      <c r="N3754">
        <v>22938218085</v>
      </c>
      <c r="O3754" t="b">
        <v>1</v>
      </c>
      <c r="P3754">
        <v>1</v>
      </c>
      <c r="Q3754" t="str" cm="1">
        <f t="array" ref="Q3754">_xlfn.IFS(Table1[[#This Row],[Wealthier_Winner]]=-1,"Wealthier Nation Loses",Table1[[#This Row],[Wealthier_Winner]]=0,"Tie",Table1[[#This Row],[Wealthier_Winner]]=1,"Wealthier Nation Wins")</f>
        <v>Wealthier Nation Wins</v>
      </c>
    </row>
    <row r="3755" spans="1:17" x14ac:dyDescent="0.2">
      <c r="A3755" s="1">
        <v>5748</v>
      </c>
      <c r="B3755" s="2">
        <v>39900</v>
      </c>
      <c r="C3755" s="7">
        <f>_xlfn.FLOOR.MATH(Table1[[#This Row],[year]],10)</f>
        <v>2000</v>
      </c>
      <c r="D3755" t="s">
        <v>314</v>
      </c>
      <c r="E3755" t="s">
        <v>53</v>
      </c>
      <c r="F3755">
        <v>1</v>
      </c>
      <c r="G3755">
        <v>2</v>
      </c>
      <c r="H3755" t="s">
        <v>224</v>
      </c>
      <c r="I3755" t="s">
        <v>315</v>
      </c>
      <c r="J3755" t="s">
        <v>314</v>
      </c>
      <c r="K3755" t="b">
        <v>0</v>
      </c>
      <c r="L3755">
        <v>2009</v>
      </c>
      <c r="M3755">
        <v>42347217912</v>
      </c>
      <c r="N3755">
        <v>43455740497</v>
      </c>
      <c r="O3755" t="b">
        <v>0</v>
      </c>
      <c r="P3755">
        <v>1</v>
      </c>
      <c r="Q3755" t="str" cm="1">
        <f t="array" ref="Q3755">_xlfn.IFS(Table1[[#This Row],[Wealthier_Winner]]=-1,"Wealthier Nation Loses",Table1[[#This Row],[Wealthier_Winner]]=0,"Tie",Table1[[#This Row],[Wealthier_Winner]]=1,"Wealthier Nation Wins")</f>
        <v>Wealthier Nation Wins</v>
      </c>
    </row>
    <row r="3756" spans="1:17" x14ac:dyDescent="0.2">
      <c r="A3756" s="1">
        <v>5750</v>
      </c>
      <c r="B3756" s="2">
        <v>39900</v>
      </c>
      <c r="C3756" s="7">
        <f>_xlfn.FLOOR.MATH(Table1[[#This Row],[year]],10)</f>
        <v>2000</v>
      </c>
      <c r="D3756" t="s">
        <v>523</v>
      </c>
      <c r="E3756" t="s">
        <v>20</v>
      </c>
      <c r="F3756">
        <v>0</v>
      </c>
      <c r="G3756">
        <v>1</v>
      </c>
      <c r="H3756" t="s">
        <v>224</v>
      </c>
      <c r="I3756" t="s">
        <v>604</v>
      </c>
      <c r="J3756" t="s">
        <v>523</v>
      </c>
      <c r="K3756" t="b">
        <v>0</v>
      </c>
      <c r="L3756">
        <v>2009</v>
      </c>
      <c r="M3756">
        <v>37494380038</v>
      </c>
      <c r="N3756">
        <v>2700075882518</v>
      </c>
      <c r="O3756" t="b">
        <v>1</v>
      </c>
      <c r="P3756">
        <v>1</v>
      </c>
      <c r="Q3756" t="str" cm="1">
        <f t="array" ref="Q3756">_xlfn.IFS(Table1[[#This Row],[Wealthier_Winner]]=-1,"Wealthier Nation Loses",Table1[[#This Row],[Wealthier_Winner]]=0,"Tie",Table1[[#This Row],[Wealthier_Winner]]=1,"Wealthier Nation Wins")</f>
        <v>Wealthier Nation Wins</v>
      </c>
    </row>
    <row r="3757" spans="1:17" x14ac:dyDescent="0.2">
      <c r="A3757" s="1">
        <v>5751</v>
      </c>
      <c r="B3757" s="2">
        <v>39900</v>
      </c>
      <c r="C3757" s="7">
        <f>_xlfn.FLOOR.MATH(Table1[[#This Row],[year]],10)</f>
        <v>2000</v>
      </c>
      <c r="D3757" t="s">
        <v>232</v>
      </c>
      <c r="E3757" t="s">
        <v>525</v>
      </c>
      <c r="F3757">
        <v>0</v>
      </c>
      <c r="G3757">
        <v>4</v>
      </c>
      <c r="H3757" t="s">
        <v>224</v>
      </c>
      <c r="I3757" t="s">
        <v>232</v>
      </c>
      <c r="J3757" t="s">
        <v>232</v>
      </c>
      <c r="K3757" t="b">
        <v>0</v>
      </c>
      <c r="L3757">
        <v>2009</v>
      </c>
      <c r="M3757">
        <v>54467289897</v>
      </c>
      <c r="N3757">
        <v>25691530442</v>
      </c>
      <c r="O3757" t="b">
        <v>1</v>
      </c>
      <c r="P3757">
        <v>-1</v>
      </c>
      <c r="Q3757" t="str" cm="1">
        <f t="array" ref="Q3757">_xlfn.IFS(Table1[[#This Row],[Wealthier_Winner]]=-1,"Wealthier Nation Loses",Table1[[#This Row],[Wealthier_Winner]]=0,"Tie",Table1[[#This Row],[Wealthier_Winner]]=1,"Wealthier Nation Wins")</f>
        <v>Wealthier Nation Loses</v>
      </c>
    </row>
    <row r="3758" spans="1:17" x14ac:dyDescent="0.2">
      <c r="A3758" s="1">
        <v>5752</v>
      </c>
      <c r="B3758" s="2">
        <v>39900</v>
      </c>
      <c r="C3758" s="7">
        <f>_xlfn.FLOOR.MATH(Table1[[#This Row],[year]],10)</f>
        <v>2000</v>
      </c>
      <c r="D3758" t="s">
        <v>303</v>
      </c>
      <c r="E3758" t="s">
        <v>36</v>
      </c>
      <c r="F3758">
        <v>0</v>
      </c>
      <c r="G3758">
        <v>3</v>
      </c>
      <c r="H3758" t="s">
        <v>224</v>
      </c>
      <c r="I3758" t="s">
        <v>399</v>
      </c>
      <c r="J3758" t="s">
        <v>303</v>
      </c>
      <c r="K3758" t="b">
        <v>0</v>
      </c>
      <c r="L3758">
        <v>2009</v>
      </c>
      <c r="M3758">
        <v>8734745697</v>
      </c>
      <c r="N3758">
        <v>322619152194</v>
      </c>
      <c r="O3758" t="b">
        <v>1</v>
      </c>
      <c r="P3758">
        <v>1</v>
      </c>
      <c r="Q3758" t="str" cm="1">
        <f t="array" ref="Q3758">_xlfn.IFS(Table1[[#This Row],[Wealthier_Winner]]=-1,"Wealthier Nation Loses",Table1[[#This Row],[Wealthier_Winner]]=0,"Tie",Table1[[#This Row],[Wealthier_Winner]]=1,"Wealthier Nation Wins")</f>
        <v>Wealthier Nation Wins</v>
      </c>
    </row>
    <row r="3759" spans="1:17" x14ac:dyDescent="0.2">
      <c r="A3759" s="1">
        <v>5753</v>
      </c>
      <c r="B3759" s="2">
        <v>39900</v>
      </c>
      <c r="C3759" s="7">
        <f>_xlfn.FLOOR.MATH(Table1[[#This Row],[year]],10)</f>
        <v>2000</v>
      </c>
      <c r="D3759" t="s">
        <v>17</v>
      </c>
      <c r="E3759" t="s">
        <v>56</v>
      </c>
      <c r="F3759">
        <v>2</v>
      </c>
      <c r="G3759">
        <v>0</v>
      </c>
      <c r="H3759" t="s">
        <v>224</v>
      </c>
      <c r="I3759" t="s">
        <v>83</v>
      </c>
      <c r="J3759" t="s">
        <v>17</v>
      </c>
      <c r="K3759" t="b">
        <v>0</v>
      </c>
      <c r="L3759">
        <v>2009</v>
      </c>
      <c r="M3759">
        <v>943437415024</v>
      </c>
      <c r="N3759">
        <v>30745714312</v>
      </c>
      <c r="O3759" t="b">
        <v>1</v>
      </c>
      <c r="P3759">
        <v>1</v>
      </c>
      <c r="Q3759" t="str" cm="1">
        <f t="array" ref="Q3759">_xlfn.IFS(Table1[[#This Row],[Wealthier_Winner]]=-1,"Wealthier Nation Loses",Table1[[#This Row],[Wealthier_Winner]]=0,"Tie",Table1[[#This Row],[Wealthier_Winner]]=1,"Wealthier Nation Wins")</f>
        <v>Wealthier Nation Wins</v>
      </c>
    </row>
    <row r="3760" spans="1:17" x14ac:dyDescent="0.2">
      <c r="A3760" s="1">
        <v>5754</v>
      </c>
      <c r="B3760" s="2">
        <v>39900</v>
      </c>
      <c r="C3760" s="7">
        <f>_xlfn.FLOOR.MATH(Table1[[#This Row],[year]],10)</f>
        <v>2000</v>
      </c>
      <c r="D3760" t="s">
        <v>527</v>
      </c>
      <c r="E3760" t="s">
        <v>46</v>
      </c>
      <c r="F3760">
        <v>0</v>
      </c>
      <c r="G3760">
        <v>2</v>
      </c>
      <c r="H3760" t="s">
        <v>224</v>
      </c>
      <c r="I3760" t="s">
        <v>528</v>
      </c>
      <c r="J3760" t="s">
        <v>527</v>
      </c>
      <c r="K3760" t="b">
        <v>0</v>
      </c>
      <c r="L3760">
        <v>2009</v>
      </c>
      <c r="M3760">
        <v>5439434271</v>
      </c>
      <c r="N3760">
        <v>554212916092</v>
      </c>
      <c r="O3760" t="b">
        <v>1</v>
      </c>
      <c r="P3760">
        <v>1</v>
      </c>
      <c r="Q3760" t="str" cm="1">
        <f t="array" ref="Q3760">_xlfn.IFS(Table1[[#This Row],[Wealthier_Winner]]=-1,"Wealthier Nation Loses",Table1[[#This Row],[Wealthier_Winner]]=0,"Tie",Table1[[#This Row],[Wealthier_Winner]]=1,"Wealthier Nation Wins")</f>
        <v>Wealthier Nation Wins</v>
      </c>
    </row>
    <row r="3761" spans="1:17" x14ac:dyDescent="0.2">
      <c r="A3761" s="1">
        <v>5755</v>
      </c>
      <c r="B3761" s="2">
        <v>39900</v>
      </c>
      <c r="C3761" s="7">
        <f>_xlfn.FLOOR.MATH(Table1[[#This Row],[year]],10)</f>
        <v>2000</v>
      </c>
      <c r="D3761" t="s">
        <v>705</v>
      </c>
      <c r="E3761" t="s">
        <v>18</v>
      </c>
      <c r="F3761">
        <v>0</v>
      </c>
      <c r="G3761">
        <v>2</v>
      </c>
      <c r="H3761" t="s">
        <v>224</v>
      </c>
      <c r="I3761" t="s">
        <v>706</v>
      </c>
      <c r="J3761" t="s">
        <v>705</v>
      </c>
      <c r="K3761" t="b">
        <v>0</v>
      </c>
      <c r="L3761">
        <v>2009</v>
      </c>
      <c r="M3761">
        <v>4142640316</v>
      </c>
      <c r="N3761">
        <v>2209484319012</v>
      </c>
      <c r="O3761" t="b">
        <v>1</v>
      </c>
      <c r="P3761">
        <v>1</v>
      </c>
      <c r="Q3761" t="str" cm="1">
        <f t="array" ref="Q3761">_xlfn.IFS(Table1[[#This Row],[Wealthier_Winner]]=-1,"Wealthier Nation Loses",Table1[[#This Row],[Wealthier_Winner]]=0,"Tie",Table1[[#This Row],[Wealthier_Winner]]=1,"Wealthier Nation Wins")</f>
        <v>Wealthier Nation Wins</v>
      </c>
    </row>
    <row r="3762" spans="1:17" x14ac:dyDescent="0.2">
      <c r="A3762" s="1">
        <v>5756</v>
      </c>
      <c r="B3762" s="2">
        <v>39900</v>
      </c>
      <c r="C3762" s="7">
        <f>_xlfn.FLOOR.MATH(Table1[[#This Row],[year]],10)</f>
        <v>2000</v>
      </c>
      <c r="D3762" t="s">
        <v>24</v>
      </c>
      <c r="E3762" t="s">
        <v>433</v>
      </c>
      <c r="F3762">
        <v>1</v>
      </c>
      <c r="G3762">
        <v>2</v>
      </c>
      <c r="H3762" t="s">
        <v>224</v>
      </c>
      <c r="I3762" t="s">
        <v>244</v>
      </c>
      <c r="J3762" t="s">
        <v>24</v>
      </c>
      <c r="K3762" t="b">
        <v>0</v>
      </c>
      <c r="L3762">
        <v>2009</v>
      </c>
      <c r="M3762">
        <v>101154952240</v>
      </c>
      <c r="N3762">
        <v>12113699068</v>
      </c>
      <c r="O3762" t="b">
        <v>1</v>
      </c>
      <c r="P3762">
        <v>-1</v>
      </c>
      <c r="Q3762" t="str" cm="1">
        <f t="array" ref="Q3762">_xlfn.IFS(Table1[[#This Row],[Wealthier_Winner]]=-1,"Wealthier Nation Loses",Table1[[#This Row],[Wealthier_Winner]]=0,"Tie",Table1[[#This Row],[Wealthier_Winner]]=1,"Wealthier Nation Wins")</f>
        <v>Wealthier Nation Loses</v>
      </c>
    </row>
    <row r="3763" spans="1:17" x14ac:dyDescent="0.2">
      <c r="A3763" s="1">
        <v>5759</v>
      </c>
      <c r="B3763" s="2">
        <v>39900</v>
      </c>
      <c r="C3763" s="7">
        <f>_xlfn.FLOOR.MATH(Table1[[#This Row],[year]],10)</f>
        <v>2000</v>
      </c>
      <c r="D3763" t="s">
        <v>38</v>
      </c>
      <c r="E3763" t="s">
        <v>25</v>
      </c>
      <c r="F3763">
        <v>0</v>
      </c>
      <c r="G3763">
        <v>0</v>
      </c>
      <c r="H3763" t="s">
        <v>224</v>
      </c>
      <c r="I3763" t="s">
        <v>292</v>
      </c>
      <c r="J3763" t="s">
        <v>38</v>
      </c>
      <c r="K3763" t="b">
        <v>0</v>
      </c>
      <c r="L3763">
        <v>2009</v>
      </c>
      <c r="M3763">
        <v>244667762835</v>
      </c>
      <c r="N3763">
        <v>434311714442</v>
      </c>
      <c r="O3763" t="b">
        <v>0</v>
      </c>
      <c r="P3763">
        <v>0</v>
      </c>
      <c r="Q3763" t="str" cm="1">
        <f t="array" ref="Q3763">_xlfn.IFS(Table1[[#This Row],[Wealthier_Winner]]=-1,"Wealthier Nation Loses",Table1[[#This Row],[Wealthier_Winner]]=0,"Tie",Table1[[#This Row],[Wealthier_Winner]]=1,"Wealthier Nation Wins")</f>
        <v>Tie</v>
      </c>
    </row>
    <row r="3764" spans="1:17" x14ac:dyDescent="0.2">
      <c r="A3764" s="1">
        <v>5760</v>
      </c>
      <c r="B3764" s="2">
        <v>39900</v>
      </c>
      <c r="C3764" s="7">
        <f>_xlfn.FLOOR.MATH(Table1[[#This Row],[year]],10)</f>
        <v>2000</v>
      </c>
      <c r="D3764" t="s">
        <v>44</v>
      </c>
      <c r="E3764" t="s">
        <v>61</v>
      </c>
      <c r="F3764">
        <v>2</v>
      </c>
      <c r="G3764">
        <v>3</v>
      </c>
      <c r="H3764" t="s">
        <v>224</v>
      </c>
      <c r="I3764" t="s">
        <v>675</v>
      </c>
      <c r="J3764" t="s">
        <v>44</v>
      </c>
      <c r="K3764" t="b">
        <v>0</v>
      </c>
      <c r="L3764">
        <v>2009</v>
      </c>
      <c r="M3764">
        <v>174110532658</v>
      </c>
      <c r="N3764">
        <v>46955984409</v>
      </c>
      <c r="O3764" t="b">
        <v>1</v>
      </c>
      <c r="P3764">
        <v>-1</v>
      </c>
      <c r="Q3764" t="str" cm="1">
        <f t="array" ref="Q3764">_xlfn.IFS(Table1[[#This Row],[Wealthier_Winner]]=-1,"Wealthier Nation Loses",Table1[[#This Row],[Wealthier_Winner]]=0,"Tie",Table1[[#This Row],[Wealthier_Winner]]=1,"Wealthier Nation Wins")</f>
        <v>Wealthier Nation Loses</v>
      </c>
    </row>
    <row r="3765" spans="1:17" x14ac:dyDescent="0.2">
      <c r="A3765" s="1">
        <v>5761</v>
      </c>
      <c r="B3765" s="2">
        <v>39900</v>
      </c>
      <c r="C3765" s="7">
        <f>_xlfn.FLOOR.MATH(Table1[[#This Row],[year]],10)</f>
        <v>2000</v>
      </c>
      <c r="D3765" t="s">
        <v>196</v>
      </c>
      <c r="E3765" t="s">
        <v>513</v>
      </c>
      <c r="F3765">
        <v>2</v>
      </c>
      <c r="G3765">
        <v>0</v>
      </c>
      <c r="H3765" t="s">
        <v>224</v>
      </c>
      <c r="I3765" t="s">
        <v>180</v>
      </c>
      <c r="J3765" t="s">
        <v>196</v>
      </c>
      <c r="K3765" t="b">
        <v>0</v>
      </c>
      <c r="L3765">
        <v>2009</v>
      </c>
      <c r="M3765">
        <v>1222645900055</v>
      </c>
      <c r="N3765">
        <v>44292427184</v>
      </c>
      <c r="O3765" t="b">
        <v>1</v>
      </c>
      <c r="P3765">
        <v>1</v>
      </c>
      <c r="Q3765" t="str" cm="1">
        <f t="array" ref="Q3765">_xlfn.IFS(Table1[[#This Row],[Wealthier_Winner]]=-1,"Wealthier Nation Loses",Table1[[#This Row],[Wealthier_Winner]]=0,"Tie",Table1[[#This Row],[Wealthier_Winner]]=1,"Wealthier Nation Wins")</f>
        <v>Wealthier Nation Wins</v>
      </c>
    </row>
    <row r="3766" spans="1:17" x14ac:dyDescent="0.2">
      <c r="A3766" s="1">
        <v>5762</v>
      </c>
      <c r="B3766" s="2">
        <v>39900</v>
      </c>
      <c r="C3766" s="7">
        <f>_xlfn.FLOOR.MATH(Table1[[#This Row],[year]],10)</f>
        <v>2000</v>
      </c>
      <c r="D3766" t="s">
        <v>514</v>
      </c>
      <c r="E3766" t="s">
        <v>32</v>
      </c>
      <c r="F3766">
        <v>0</v>
      </c>
      <c r="G3766">
        <v>0</v>
      </c>
      <c r="H3766" t="s">
        <v>224</v>
      </c>
      <c r="I3766" t="s">
        <v>515</v>
      </c>
      <c r="J3766" t="s">
        <v>514</v>
      </c>
      <c r="K3766" t="b">
        <v>0</v>
      </c>
      <c r="L3766">
        <v>2009</v>
      </c>
      <c r="M3766">
        <v>5674476969</v>
      </c>
      <c r="N3766">
        <v>150317292079</v>
      </c>
      <c r="O3766" t="b">
        <v>1</v>
      </c>
      <c r="P3766">
        <v>0</v>
      </c>
      <c r="Q3766" t="str" cm="1">
        <f t="array" ref="Q3766">_xlfn.IFS(Table1[[#This Row],[Wealthier_Winner]]=-1,"Wealthier Nation Loses",Table1[[#This Row],[Wealthier_Winner]]=0,"Tie",Table1[[#This Row],[Wealthier_Winner]]=1,"Wealthier Nation Wins")</f>
        <v>Tie</v>
      </c>
    </row>
    <row r="3767" spans="1:17" x14ac:dyDescent="0.2">
      <c r="A3767" s="1">
        <v>5765</v>
      </c>
      <c r="B3767" s="2">
        <v>39900</v>
      </c>
      <c r="C3767" s="7">
        <f>_xlfn.FLOOR.MATH(Table1[[#This Row],[year]],10)</f>
        <v>2000</v>
      </c>
      <c r="D3767" t="s">
        <v>274</v>
      </c>
      <c r="E3767" t="s">
        <v>590</v>
      </c>
      <c r="F3767">
        <v>1</v>
      </c>
      <c r="G3767">
        <v>1</v>
      </c>
      <c r="H3767" t="s">
        <v>224</v>
      </c>
      <c r="I3767" t="s">
        <v>591</v>
      </c>
      <c r="J3767" t="s">
        <v>274</v>
      </c>
      <c r="K3767" t="b">
        <v>0</v>
      </c>
      <c r="L3767">
        <v>2009</v>
      </c>
      <c r="M3767">
        <v>51621044076</v>
      </c>
      <c r="N3767">
        <v>12155217832</v>
      </c>
      <c r="O3767" t="b">
        <v>1</v>
      </c>
      <c r="P3767">
        <v>0</v>
      </c>
      <c r="Q3767" t="str" cm="1">
        <f t="array" ref="Q3767">_xlfn.IFS(Table1[[#This Row],[Wealthier_Winner]]=-1,"Wealthier Nation Loses",Table1[[#This Row],[Wealthier_Winner]]=0,"Tie",Table1[[#This Row],[Wealthier_Winner]]=1,"Wealthier Nation Wins")</f>
        <v>Tie</v>
      </c>
    </row>
    <row r="3768" spans="1:17" x14ac:dyDescent="0.2">
      <c r="A3768" s="1">
        <v>5766</v>
      </c>
      <c r="B3768" s="2">
        <v>39900</v>
      </c>
      <c r="C3768" s="7">
        <f>_xlfn.FLOOR.MATH(Table1[[#This Row],[year]],10)</f>
        <v>2000</v>
      </c>
      <c r="D3768" t="s">
        <v>62</v>
      </c>
      <c r="E3768" t="s">
        <v>40</v>
      </c>
      <c r="F3768">
        <v>1</v>
      </c>
      <c r="G3768">
        <v>0</v>
      </c>
      <c r="H3768" t="s">
        <v>224</v>
      </c>
      <c r="I3768" t="s">
        <v>226</v>
      </c>
      <c r="J3768" t="s">
        <v>63</v>
      </c>
      <c r="K3768" t="b">
        <v>1</v>
      </c>
      <c r="L3768">
        <v>2009</v>
      </c>
      <c r="M3768">
        <v>4721888275</v>
      </c>
      <c r="N3768">
        <v>27932970317</v>
      </c>
      <c r="O3768" t="b">
        <v>1</v>
      </c>
      <c r="P3768">
        <v>-1</v>
      </c>
      <c r="Q3768" t="str" cm="1">
        <f t="array" ref="Q3768">_xlfn.IFS(Table1[[#This Row],[Wealthier_Winner]]=-1,"Wealthier Nation Loses",Table1[[#This Row],[Wealthier_Winner]]=0,"Tie",Table1[[#This Row],[Wealthier_Winner]]=1,"Wealthier Nation Wins")</f>
        <v>Wealthier Nation Loses</v>
      </c>
    </row>
    <row r="3769" spans="1:17" x14ac:dyDescent="0.2">
      <c r="A3769" s="1">
        <v>5767</v>
      </c>
      <c r="B3769" s="2">
        <v>39900</v>
      </c>
      <c r="C3769" s="7">
        <f>_xlfn.FLOOR.MATH(Table1[[#This Row],[year]],10)</f>
        <v>2000</v>
      </c>
      <c r="D3769" t="s">
        <v>59</v>
      </c>
      <c r="E3769" t="s">
        <v>65</v>
      </c>
      <c r="F3769">
        <v>1</v>
      </c>
      <c r="G3769">
        <v>1</v>
      </c>
      <c r="H3769" t="s">
        <v>224</v>
      </c>
      <c r="I3769" t="s">
        <v>253</v>
      </c>
      <c r="J3769" t="s">
        <v>59</v>
      </c>
      <c r="K3769" t="b">
        <v>0</v>
      </c>
      <c r="L3769">
        <v>2009</v>
      </c>
      <c r="M3769">
        <v>19172165225</v>
      </c>
      <c r="N3769">
        <v>14587496229</v>
      </c>
      <c r="O3769" t="b">
        <v>0</v>
      </c>
      <c r="P3769">
        <v>0</v>
      </c>
      <c r="Q3769" t="str" cm="1">
        <f t="array" ref="Q3769">_xlfn.IFS(Table1[[#This Row],[Wealthier_Winner]]=-1,"Wealthier Nation Loses",Table1[[#This Row],[Wealthier_Winner]]=0,"Tie",Table1[[#This Row],[Wealthier_Winner]]=1,"Wealthier Nation Wins")</f>
        <v>Tie</v>
      </c>
    </row>
    <row r="3770" spans="1:17" x14ac:dyDescent="0.2">
      <c r="A3770" s="1">
        <v>5768</v>
      </c>
      <c r="B3770" s="2">
        <v>39900</v>
      </c>
      <c r="C3770" s="7">
        <f>_xlfn.FLOOR.MATH(Table1[[#This Row],[year]],10)</f>
        <v>2000</v>
      </c>
      <c r="D3770" t="s">
        <v>26</v>
      </c>
      <c r="E3770" t="s">
        <v>35</v>
      </c>
      <c r="F3770">
        <v>2</v>
      </c>
      <c r="G3770">
        <v>0</v>
      </c>
      <c r="H3770" t="s">
        <v>224</v>
      </c>
      <c r="I3770" t="s">
        <v>247</v>
      </c>
      <c r="J3770" t="s">
        <v>26</v>
      </c>
      <c r="K3770" t="b">
        <v>0</v>
      </c>
      <c r="L3770">
        <v>2009</v>
      </c>
      <c r="M3770">
        <v>32708319077</v>
      </c>
      <c r="N3770">
        <v>22355151162</v>
      </c>
      <c r="O3770" t="b">
        <v>0</v>
      </c>
      <c r="P3770">
        <v>1</v>
      </c>
      <c r="Q3770" t="str" cm="1">
        <f t="array" ref="Q3770">_xlfn.IFS(Table1[[#This Row],[Wealthier_Winner]]=-1,"Wealthier Nation Loses",Table1[[#This Row],[Wealthier_Winner]]=0,"Tie",Table1[[#This Row],[Wealthier_Winner]]=1,"Wealthier Nation Wins")</f>
        <v>Wealthier Nation Wins</v>
      </c>
    </row>
    <row r="3771" spans="1:17" x14ac:dyDescent="0.2">
      <c r="A3771" s="1">
        <v>5769</v>
      </c>
      <c r="B3771" s="2">
        <v>39900</v>
      </c>
      <c r="C3771" s="7">
        <f>_xlfn.FLOOR.MATH(Table1[[#This Row],[year]],10)</f>
        <v>2000</v>
      </c>
      <c r="D3771" t="s">
        <v>563</v>
      </c>
      <c r="E3771" t="s">
        <v>68</v>
      </c>
      <c r="F3771">
        <v>4</v>
      </c>
      <c r="G3771">
        <v>0</v>
      </c>
      <c r="H3771" t="s">
        <v>224</v>
      </c>
      <c r="I3771" t="s">
        <v>564</v>
      </c>
      <c r="J3771" t="s">
        <v>563</v>
      </c>
      <c r="K3771" t="b">
        <v>0</v>
      </c>
      <c r="L3771">
        <v>2009</v>
      </c>
      <c r="M3771">
        <v>33689223673</v>
      </c>
      <c r="N3771">
        <v>97798351648</v>
      </c>
      <c r="O3771" t="b">
        <v>1</v>
      </c>
      <c r="P3771">
        <v>-1</v>
      </c>
      <c r="Q3771" t="str" cm="1">
        <f t="array" ref="Q3771">_xlfn.IFS(Table1[[#This Row],[Wealthier_Winner]]=-1,"Wealthier Nation Loses",Table1[[#This Row],[Wealthier_Winner]]=0,"Tie",Table1[[#This Row],[Wealthier_Winner]]=1,"Wealthier Nation Wins")</f>
        <v>Wealthier Nation Loses</v>
      </c>
    </row>
    <row r="3772" spans="1:17" x14ac:dyDescent="0.2">
      <c r="A3772" s="1">
        <v>5771</v>
      </c>
      <c r="B3772" s="2">
        <v>39901</v>
      </c>
      <c r="C3772" s="7">
        <f>_xlfn.FLOOR.MATH(Table1[[#This Row],[year]],10)</f>
        <v>2000</v>
      </c>
      <c r="D3772" t="s">
        <v>300</v>
      </c>
      <c r="E3772" t="s">
        <v>43</v>
      </c>
      <c r="F3772">
        <v>0</v>
      </c>
      <c r="G3772">
        <v>0</v>
      </c>
      <c r="H3772" t="s">
        <v>224</v>
      </c>
      <c r="I3772" t="s">
        <v>299</v>
      </c>
      <c r="J3772" t="s">
        <v>300</v>
      </c>
      <c r="K3772" t="b">
        <v>0</v>
      </c>
      <c r="L3772">
        <v>2009</v>
      </c>
      <c r="M3772">
        <v>12263894790</v>
      </c>
      <c r="N3772">
        <v>295008835380</v>
      </c>
      <c r="O3772" t="b">
        <v>1</v>
      </c>
      <c r="P3772">
        <v>0</v>
      </c>
      <c r="Q3772" t="str" cm="1">
        <f t="array" ref="Q3772">_xlfn.IFS(Table1[[#This Row],[Wealthier_Winner]]=-1,"Wealthier Nation Loses",Table1[[#This Row],[Wealthier_Winner]]=0,"Tie",Table1[[#This Row],[Wealthier_Winner]]=1,"Wealthier Nation Wins")</f>
        <v>Tie</v>
      </c>
    </row>
    <row r="3773" spans="1:17" x14ac:dyDescent="0.2">
      <c r="A3773" s="1">
        <v>5773</v>
      </c>
      <c r="B3773" s="2">
        <v>39901</v>
      </c>
      <c r="C3773" s="7">
        <f>_xlfn.FLOOR.MATH(Table1[[#This Row],[year]],10)</f>
        <v>2000</v>
      </c>
      <c r="D3773" t="s">
        <v>57</v>
      </c>
      <c r="E3773" t="s">
        <v>13</v>
      </c>
      <c r="F3773">
        <v>1</v>
      </c>
      <c r="G3773">
        <v>1</v>
      </c>
      <c r="H3773" t="s">
        <v>224</v>
      </c>
      <c r="I3773" t="s">
        <v>335</v>
      </c>
      <c r="J3773" t="s">
        <v>57</v>
      </c>
      <c r="K3773" t="b">
        <v>0</v>
      </c>
      <c r="L3773">
        <v>2009</v>
      </c>
      <c r="M3773">
        <v>60094978000</v>
      </c>
      <c r="N3773">
        <v>1666996294252</v>
      </c>
      <c r="O3773" t="b">
        <v>1</v>
      </c>
      <c r="P3773">
        <v>0</v>
      </c>
      <c r="Q3773" t="str" cm="1">
        <f t="array" ref="Q3773">_xlfn.IFS(Table1[[#This Row],[Wealthier_Winner]]=-1,"Wealthier Nation Loses",Table1[[#This Row],[Wealthier_Winner]]=0,"Tie",Table1[[#This Row],[Wealthier_Winner]]=1,"Wealthier Nation Wins")</f>
        <v>Tie</v>
      </c>
    </row>
    <row r="3774" spans="1:17" x14ac:dyDescent="0.2">
      <c r="A3774" s="1">
        <v>5774</v>
      </c>
      <c r="B3774" s="2">
        <v>39901</v>
      </c>
      <c r="C3774" s="7">
        <f>_xlfn.FLOOR.MATH(Table1[[#This Row],[year]],10)</f>
        <v>2000</v>
      </c>
      <c r="D3774" t="s">
        <v>31</v>
      </c>
      <c r="E3774" t="s">
        <v>14</v>
      </c>
      <c r="F3774">
        <v>1</v>
      </c>
      <c r="G3774">
        <v>3</v>
      </c>
      <c r="H3774" t="s">
        <v>224</v>
      </c>
      <c r="I3774" t="s">
        <v>242</v>
      </c>
      <c r="J3774" t="s">
        <v>31</v>
      </c>
      <c r="K3774" t="b">
        <v>0</v>
      </c>
      <c r="L3774">
        <v>2009</v>
      </c>
      <c r="M3774">
        <v>120822986521</v>
      </c>
      <c r="N3774">
        <v>171777900623</v>
      </c>
      <c r="O3774" t="b">
        <v>0</v>
      </c>
      <c r="P3774">
        <v>1</v>
      </c>
      <c r="Q3774" t="str" cm="1">
        <f t="array" ref="Q3774">_xlfn.IFS(Table1[[#This Row],[Wealthier_Winner]]=-1,"Wealthier Nation Loses",Table1[[#This Row],[Wealthier_Winner]]=0,"Tie",Table1[[#This Row],[Wealthier_Winner]]=1,"Wealthier Nation Wins")</f>
        <v>Wealthier Nation Wins</v>
      </c>
    </row>
    <row r="3775" spans="1:17" x14ac:dyDescent="0.2">
      <c r="A3775" s="1">
        <v>5775</v>
      </c>
      <c r="B3775" s="2">
        <v>39901</v>
      </c>
      <c r="C3775" s="7">
        <f>_xlfn.FLOOR.MATH(Table1[[#This Row],[year]],10)</f>
        <v>2000</v>
      </c>
      <c r="D3775" t="s">
        <v>212</v>
      </c>
      <c r="E3775" t="s">
        <v>273</v>
      </c>
      <c r="F3775">
        <v>1</v>
      </c>
      <c r="G3775">
        <v>1</v>
      </c>
      <c r="H3775" t="s">
        <v>224</v>
      </c>
      <c r="I3775" t="s">
        <v>322</v>
      </c>
      <c r="J3775" t="s">
        <v>212</v>
      </c>
      <c r="K3775" t="b">
        <v>0</v>
      </c>
      <c r="L3775">
        <v>2009</v>
      </c>
      <c r="M3775">
        <v>189147005444</v>
      </c>
      <c r="N3775">
        <v>15328342303</v>
      </c>
      <c r="O3775" t="b">
        <v>1</v>
      </c>
      <c r="P3775">
        <v>0</v>
      </c>
      <c r="Q3775" t="str" cm="1">
        <f t="array" ref="Q3775">_xlfn.IFS(Table1[[#This Row],[Wealthier_Winner]]=-1,"Wealthier Nation Loses",Table1[[#This Row],[Wealthier_Winner]]=0,"Tie",Table1[[#This Row],[Wealthier_Winner]]=1,"Wealthier Nation Wins")</f>
        <v>Tie</v>
      </c>
    </row>
    <row r="3776" spans="1:17" x14ac:dyDescent="0.2">
      <c r="A3776" s="1">
        <v>5776</v>
      </c>
      <c r="B3776" s="2">
        <v>39901</v>
      </c>
      <c r="C3776" s="7">
        <f>_xlfn.FLOOR.MATH(Table1[[#This Row],[year]],10)</f>
        <v>2000</v>
      </c>
      <c r="D3776" t="s">
        <v>63</v>
      </c>
      <c r="E3776" t="s">
        <v>310</v>
      </c>
      <c r="F3776">
        <v>1</v>
      </c>
      <c r="G3776">
        <v>0</v>
      </c>
      <c r="H3776" t="s">
        <v>224</v>
      </c>
      <c r="I3776" t="s">
        <v>313</v>
      </c>
      <c r="J3776" t="s">
        <v>63</v>
      </c>
      <c r="K3776" t="b">
        <v>0</v>
      </c>
      <c r="L3776">
        <v>2009</v>
      </c>
      <c r="M3776">
        <v>26048720005</v>
      </c>
      <c r="N3776">
        <v>9738626517</v>
      </c>
      <c r="O3776" t="b">
        <v>1</v>
      </c>
      <c r="P3776">
        <v>1</v>
      </c>
      <c r="Q3776" t="str" cm="1">
        <f t="array" ref="Q3776">_xlfn.IFS(Table1[[#This Row],[Wealthier_Winner]]=-1,"Wealthier Nation Loses",Table1[[#This Row],[Wealthier_Winner]]=0,"Tie",Table1[[#This Row],[Wealthier_Winner]]=1,"Wealthier Nation Wins")</f>
        <v>Wealthier Nation Wins</v>
      </c>
    </row>
    <row r="3777" spans="1:17" x14ac:dyDescent="0.2">
      <c r="A3777" s="1">
        <v>5777</v>
      </c>
      <c r="B3777" s="2">
        <v>39903</v>
      </c>
      <c r="C3777" s="7">
        <f>_xlfn.FLOOR.MATH(Table1[[#This Row],[year]],10)</f>
        <v>2000</v>
      </c>
      <c r="D3777" t="s">
        <v>258</v>
      </c>
      <c r="E3777" t="s">
        <v>15</v>
      </c>
      <c r="F3777">
        <v>2</v>
      </c>
      <c r="G3777">
        <v>0</v>
      </c>
      <c r="H3777" t="s">
        <v>224</v>
      </c>
      <c r="I3777" t="s">
        <v>487</v>
      </c>
      <c r="J3777" t="s">
        <v>258</v>
      </c>
      <c r="K3777" t="b">
        <v>0</v>
      </c>
      <c r="L3777">
        <v>2009</v>
      </c>
      <c r="M3777">
        <v>329787628928</v>
      </c>
      <c r="N3777">
        <v>232468663109</v>
      </c>
      <c r="O3777" t="b">
        <v>0</v>
      </c>
      <c r="P3777">
        <v>1</v>
      </c>
      <c r="Q3777" t="str" cm="1">
        <f t="array" ref="Q3777">_xlfn.IFS(Table1[[#This Row],[Wealthier_Winner]]=-1,"Wealthier Nation Loses",Table1[[#This Row],[Wealthier_Winner]]=0,"Tie",Table1[[#This Row],[Wealthier_Winner]]=1,"Wealthier Nation Wins")</f>
        <v>Wealthier Nation Wins</v>
      </c>
    </row>
    <row r="3778" spans="1:17" x14ac:dyDescent="0.2">
      <c r="A3778" s="1">
        <v>5778</v>
      </c>
      <c r="B3778" s="2">
        <v>39904</v>
      </c>
      <c r="C3778" s="7">
        <f>_xlfn.FLOOR.MATH(Table1[[#This Row],[year]],10)</f>
        <v>2000</v>
      </c>
      <c r="D3778" t="s">
        <v>601</v>
      </c>
      <c r="E3778" t="s">
        <v>52</v>
      </c>
      <c r="F3778">
        <v>0</v>
      </c>
      <c r="G3778">
        <v>2</v>
      </c>
      <c r="H3778" t="s">
        <v>224</v>
      </c>
      <c r="I3778" t="s">
        <v>602</v>
      </c>
      <c r="J3778" t="s">
        <v>601</v>
      </c>
      <c r="K3778" t="b">
        <v>0</v>
      </c>
      <c r="L3778">
        <v>2009</v>
      </c>
      <c r="M3778">
        <v>3688974807</v>
      </c>
      <c r="N3778">
        <v>62315996674</v>
      </c>
      <c r="O3778" t="b">
        <v>1</v>
      </c>
      <c r="P3778">
        <v>1</v>
      </c>
      <c r="Q3778" t="str" cm="1">
        <f t="array" ref="Q3778">_xlfn.IFS(Table1[[#This Row],[Wealthier_Winner]]=-1,"Wealthier Nation Loses",Table1[[#This Row],[Wealthier_Winner]]=0,"Tie",Table1[[#This Row],[Wealthier_Winner]]=1,"Wealthier Nation Wins")</f>
        <v>Wealthier Nation Wins</v>
      </c>
    </row>
    <row r="3779" spans="1:17" x14ac:dyDescent="0.2">
      <c r="A3779" s="1">
        <v>5779</v>
      </c>
      <c r="B3779" s="2">
        <v>39904</v>
      </c>
      <c r="C3779" s="7">
        <f>_xlfn.FLOOR.MATH(Table1[[#This Row],[year]],10)</f>
        <v>2000</v>
      </c>
      <c r="D3779" t="s">
        <v>28</v>
      </c>
      <c r="E3779" t="s">
        <v>563</v>
      </c>
      <c r="F3779">
        <v>2</v>
      </c>
      <c r="G3779">
        <v>0</v>
      </c>
      <c r="H3779" t="s">
        <v>224</v>
      </c>
      <c r="I3779" t="s">
        <v>301</v>
      </c>
      <c r="J3779" t="s">
        <v>28</v>
      </c>
      <c r="K3779" t="b">
        <v>0</v>
      </c>
      <c r="L3779">
        <v>2009</v>
      </c>
      <c r="M3779">
        <v>931761689770</v>
      </c>
      <c r="N3779">
        <v>33689223673</v>
      </c>
      <c r="O3779" t="b">
        <v>1</v>
      </c>
      <c r="P3779">
        <v>1</v>
      </c>
      <c r="Q3779" t="str" cm="1">
        <f t="array" ref="Q3779">_xlfn.IFS(Table1[[#This Row],[Wealthier_Winner]]=-1,"Wealthier Nation Loses",Table1[[#This Row],[Wealthier_Winner]]=0,"Tie",Table1[[#This Row],[Wealthier_Winner]]=1,"Wealthier Nation Wins")</f>
        <v>Wealthier Nation Wins</v>
      </c>
    </row>
    <row r="3780" spans="1:17" x14ac:dyDescent="0.2">
      <c r="A3780" s="1">
        <v>5780</v>
      </c>
      <c r="B3780" s="2">
        <v>39904</v>
      </c>
      <c r="C3780" s="7">
        <f>_xlfn.FLOOR.MATH(Table1[[#This Row],[year]],10)</f>
        <v>2000</v>
      </c>
      <c r="D3780" t="s">
        <v>29</v>
      </c>
      <c r="E3780" t="s">
        <v>44</v>
      </c>
      <c r="F3780">
        <v>2</v>
      </c>
      <c r="G3780">
        <v>1</v>
      </c>
      <c r="H3780" t="s">
        <v>224</v>
      </c>
      <c r="I3780" t="s">
        <v>720</v>
      </c>
      <c r="J3780" t="s">
        <v>29</v>
      </c>
      <c r="K3780" t="b">
        <v>0</v>
      </c>
      <c r="L3780">
        <v>2009</v>
      </c>
      <c r="M3780">
        <v>399290118782</v>
      </c>
      <c r="N3780">
        <v>174110532658</v>
      </c>
      <c r="O3780" t="b">
        <v>1</v>
      </c>
      <c r="P3780">
        <v>1</v>
      </c>
      <c r="Q3780" t="str" cm="1">
        <f t="array" ref="Q3780">_xlfn.IFS(Table1[[#This Row],[Wealthier_Winner]]=-1,"Wealthier Nation Loses",Table1[[#This Row],[Wealthier_Winner]]=0,"Tie",Table1[[#This Row],[Wealthier_Winner]]=1,"Wealthier Nation Wins")</f>
        <v>Wealthier Nation Wins</v>
      </c>
    </row>
    <row r="3781" spans="1:17" x14ac:dyDescent="0.2">
      <c r="A3781" s="1">
        <v>5781</v>
      </c>
      <c r="B3781" s="2">
        <v>39904</v>
      </c>
      <c r="C3781" s="7">
        <f>_xlfn.FLOOR.MATH(Table1[[#This Row],[year]],10)</f>
        <v>2000</v>
      </c>
      <c r="D3781" t="s">
        <v>361</v>
      </c>
      <c r="E3781" t="s">
        <v>68</v>
      </c>
      <c r="F3781">
        <v>1</v>
      </c>
      <c r="G3781">
        <v>0</v>
      </c>
      <c r="H3781" t="s">
        <v>224</v>
      </c>
      <c r="I3781" t="s">
        <v>419</v>
      </c>
      <c r="J3781" t="s">
        <v>361</v>
      </c>
      <c r="K3781" t="b">
        <v>0</v>
      </c>
      <c r="L3781">
        <v>2009</v>
      </c>
      <c r="M3781">
        <v>22938218085</v>
      </c>
      <c r="N3781">
        <v>97798351648</v>
      </c>
      <c r="O3781" t="b">
        <v>1</v>
      </c>
      <c r="P3781">
        <v>-1</v>
      </c>
      <c r="Q3781" t="str" cm="1">
        <f t="array" ref="Q3781">_xlfn.IFS(Table1[[#This Row],[Wealthier_Winner]]=-1,"Wealthier Nation Loses",Table1[[#This Row],[Wealthier_Winner]]=0,"Tie",Table1[[#This Row],[Wealthier_Winner]]=1,"Wealthier Nation Wins")</f>
        <v>Wealthier Nation Loses</v>
      </c>
    </row>
    <row r="3782" spans="1:17" x14ac:dyDescent="0.2">
      <c r="A3782" s="1">
        <v>5782</v>
      </c>
      <c r="B3782" s="2">
        <v>39904</v>
      </c>
      <c r="C3782" s="7">
        <f>_xlfn.FLOOR.MATH(Table1[[#This Row],[year]],10)</f>
        <v>2000</v>
      </c>
      <c r="D3782" t="s">
        <v>73</v>
      </c>
      <c r="E3782" t="s">
        <v>23</v>
      </c>
      <c r="F3782">
        <v>2</v>
      </c>
      <c r="G3782">
        <v>1</v>
      </c>
      <c r="H3782" t="s">
        <v>224</v>
      </c>
      <c r="I3782" t="s">
        <v>636</v>
      </c>
      <c r="J3782" t="s">
        <v>73</v>
      </c>
      <c r="K3782" t="b">
        <v>0</v>
      </c>
      <c r="L3782">
        <v>2009</v>
      </c>
      <c r="M3782">
        <v>17613949091</v>
      </c>
      <c r="N3782">
        <v>485014525992</v>
      </c>
      <c r="O3782" t="b">
        <v>1</v>
      </c>
      <c r="P3782">
        <v>-1</v>
      </c>
      <c r="Q3782" t="str" cm="1">
        <f t="array" ref="Q3782">_xlfn.IFS(Table1[[#This Row],[Wealthier_Winner]]=-1,"Wealthier Nation Loses",Table1[[#This Row],[Wealthier_Winner]]=0,"Tie",Table1[[#This Row],[Wealthier_Winner]]=1,"Wealthier Nation Wins")</f>
        <v>Wealthier Nation Loses</v>
      </c>
    </row>
    <row r="3783" spans="1:17" x14ac:dyDescent="0.2">
      <c r="A3783" s="1">
        <v>5783</v>
      </c>
      <c r="B3783" s="2">
        <v>39904</v>
      </c>
      <c r="C3783" s="7">
        <f>_xlfn.FLOOR.MATH(Table1[[#This Row],[year]],10)</f>
        <v>2000</v>
      </c>
      <c r="D3783" t="s">
        <v>33</v>
      </c>
      <c r="E3783" t="s">
        <v>351</v>
      </c>
      <c r="F3783">
        <v>2</v>
      </c>
      <c r="G3783">
        <v>0</v>
      </c>
      <c r="H3783" t="s">
        <v>224</v>
      </c>
      <c r="I3783" t="s">
        <v>375</v>
      </c>
      <c r="J3783" t="s">
        <v>33</v>
      </c>
      <c r="K3783" t="b">
        <v>0</v>
      </c>
      <c r="L3783">
        <v>2009</v>
      </c>
      <c r="M3783">
        <v>52023801230</v>
      </c>
      <c r="N3783">
        <v>26048179949</v>
      </c>
      <c r="O3783" t="b">
        <v>0</v>
      </c>
      <c r="P3783">
        <v>1</v>
      </c>
      <c r="Q3783" t="str" cm="1">
        <f t="array" ref="Q3783">_xlfn.IFS(Table1[[#This Row],[Wealthier_Winner]]=-1,"Wealthier Nation Loses",Table1[[#This Row],[Wealthier_Winner]]=0,"Tie",Table1[[#This Row],[Wealthier_Winner]]=1,"Wealthier Nation Wins")</f>
        <v>Wealthier Nation Wins</v>
      </c>
    </row>
    <row r="3784" spans="1:17" x14ac:dyDescent="0.2">
      <c r="A3784" s="1">
        <v>5784</v>
      </c>
      <c r="B3784" s="2">
        <v>39904</v>
      </c>
      <c r="C3784" s="7">
        <f>_xlfn.FLOOR.MATH(Table1[[#This Row],[year]],10)</f>
        <v>2000</v>
      </c>
      <c r="D3784" t="s">
        <v>56</v>
      </c>
      <c r="E3784" t="s">
        <v>69</v>
      </c>
      <c r="F3784">
        <v>1</v>
      </c>
      <c r="G3784">
        <v>0</v>
      </c>
      <c r="H3784" t="s">
        <v>224</v>
      </c>
      <c r="I3784" t="s">
        <v>225</v>
      </c>
      <c r="J3784" t="s">
        <v>56</v>
      </c>
      <c r="K3784" t="b">
        <v>0</v>
      </c>
      <c r="L3784">
        <v>2009</v>
      </c>
      <c r="M3784">
        <v>30745714312</v>
      </c>
      <c r="N3784">
        <v>17601620000</v>
      </c>
      <c r="O3784" t="b">
        <v>0</v>
      </c>
      <c r="P3784">
        <v>1</v>
      </c>
      <c r="Q3784" t="str" cm="1">
        <f t="array" ref="Q3784">_xlfn.IFS(Table1[[#This Row],[Wealthier_Winner]]=-1,"Wealthier Nation Loses",Table1[[#This Row],[Wealthier_Winner]]=0,"Tie",Table1[[#This Row],[Wealthier_Winner]]=1,"Wealthier Nation Wins")</f>
        <v>Wealthier Nation Wins</v>
      </c>
    </row>
    <row r="3785" spans="1:17" x14ac:dyDescent="0.2">
      <c r="A3785" s="1">
        <v>5786</v>
      </c>
      <c r="B3785" s="2">
        <v>39904</v>
      </c>
      <c r="C3785" s="7">
        <f>_xlfn.FLOOR.MATH(Table1[[#This Row],[year]],10)</f>
        <v>2000</v>
      </c>
      <c r="D3785" t="s">
        <v>36</v>
      </c>
      <c r="E3785" t="s">
        <v>373</v>
      </c>
      <c r="F3785">
        <v>3</v>
      </c>
      <c r="G3785">
        <v>0</v>
      </c>
      <c r="H3785" t="s">
        <v>224</v>
      </c>
      <c r="I3785" t="s">
        <v>264</v>
      </c>
      <c r="J3785" t="s">
        <v>36</v>
      </c>
      <c r="K3785" t="b">
        <v>0</v>
      </c>
      <c r="L3785">
        <v>2009</v>
      </c>
      <c r="M3785">
        <v>322619152194</v>
      </c>
      <c r="N3785">
        <v>12335540656</v>
      </c>
      <c r="O3785" t="b">
        <v>1</v>
      </c>
      <c r="P3785">
        <v>1</v>
      </c>
      <c r="Q3785" t="str" cm="1">
        <f t="array" ref="Q3785">_xlfn.IFS(Table1[[#This Row],[Wealthier_Winner]]=-1,"Wealthier Nation Loses",Table1[[#This Row],[Wealthier_Winner]]=0,"Tie",Table1[[#This Row],[Wealthier_Winner]]=1,"Wealthier Nation Wins")</f>
        <v>Wealthier Nation Wins</v>
      </c>
    </row>
    <row r="3786" spans="1:17" x14ac:dyDescent="0.2">
      <c r="A3786" s="1">
        <v>5787</v>
      </c>
      <c r="B3786" s="2">
        <v>39904</v>
      </c>
      <c r="C3786" s="7">
        <f>_xlfn.FLOOR.MATH(Table1[[#This Row],[year]],10)</f>
        <v>2000</v>
      </c>
      <c r="D3786" t="s">
        <v>194</v>
      </c>
      <c r="E3786" t="s">
        <v>64</v>
      </c>
      <c r="F3786">
        <v>2</v>
      </c>
      <c r="G3786">
        <v>1</v>
      </c>
      <c r="H3786" t="s">
        <v>224</v>
      </c>
      <c r="I3786" t="s">
        <v>80</v>
      </c>
      <c r="J3786" t="s">
        <v>194</v>
      </c>
      <c r="K3786" t="b">
        <v>0</v>
      </c>
      <c r="L3786">
        <v>2009</v>
      </c>
      <c r="M3786">
        <v>2429358155475</v>
      </c>
      <c r="N3786">
        <v>121552153444</v>
      </c>
      <c r="O3786" t="b">
        <v>1</v>
      </c>
      <c r="P3786">
        <v>1</v>
      </c>
      <c r="Q3786" t="str" cm="1">
        <f t="array" ref="Q3786">_xlfn.IFS(Table1[[#This Row],[Wealthier_Winner]]=-1,"Wealthier Nation Loses",Table1[[#This Row],[Wealthier_Winner]]=0,"Tie",Table1[[#This Row],[Wealthier_Winner]]=1,"Wealthier Nation Wins")</f>
        <v>Wealthier Nation Wins</v>
      </c>
    </row>
    <row r="3787" spans="1:17" x14ac:dyDescent="0.2">
      <c r="A3787" s="1">
        <v>5788</v>
      </c>
      <c r="B3787" s="2">
        <v>39904</v>
      </c>
      <c r="C3787" s="7">
        <f>_xlfn.FLOOR.MATH(Table1[[#This Row],[year]],10)</f>
        <v>2000</v>
      </c>
      <c r="D3787" t="s">
        <v>476</v>
      </c>
      <c r="E3787" t="s">
        <v>519</v>
      </c>
      <c r="F3787">
        <v>1</v>
      </c>
      <c r="G3787">
        <v>0</v>
      </c>
      <c r="H3787" t="s">
        <v>224</v>
      </c>
      <c r="I3787" t="s">
        <v>481</v>
      </c>
      <c r="J3787" t="s">
        <v>476</v>
      </c>
      <c r="K3787" t="b">
        <v>0</v>
      </c>
      <c r="L3787">
        <v>2009</v>
      </c>
      <c r="M3787">
        <v>19633984440</v>
      </c>
      <c r="N3787">
        <v>8647937081</v>
      </c>
      <c r="O3787" t="b">
        <v>1</v>
      </c>
      <c r="P3787">
        <v>1</v>
      </c>
      <c r="Q3787" t="str" cm="1">
        <f t="array" ref="Q3787">_xlfn.IFS(Table1[[#This Row],[Wealthier_Winner]]=-1,"Wealthier Nation Loses",Table1[[#This Row],[Wealthier_Winner]]=0,"Tie",Table1[[#This Row],[Wealthier_Winner]]=1,"Wealthier Nation Wins")</f>
        <v>Wealthier Nation Wins</v>
      </c>
    </row>
    <row r="3788" spans="1:17" x14ac:dyDescent="0.2">
      <c r="A3788" s="1">
        <v>5789</v>
      </c>
      <c r="B3788" s="2">
        <v>39904</v>
      </c>
      <c r="C3788" s="7">
        <f>_xlfn.FLOOR.MATH(Table1[[#This Row],[year]],10)</f>
        <v>2000</v>
      </c>
      <c r="D3788" t="s">
        <v>20</v>
      </c>
      <c r="E3788" t="s">
        <v>523</v>
      </c>
      <c r="F3788">
        <v>1</v>
      </c>
      <c r="G3788">
        <v>0</v>
      </c>
      <c r="H3788" t="s">
        <v>224</v>
      </c>
      <c r="I3788" t="s">
        <v>132</v>
      </c>
      <c r="J3788" t="s">
        <v>20</v>
      </c>
      <c r="K3788" t="b">
        <v>0</v>
      </c>
      <c r="L3788">
        <v>2009</v>
      </c>
      <c r="M3788">
        <v>2700075882518</v>
      </c>
      <c r="N3788">
        <v>37494380038</v>
      </c>
      <c r="O3788" t="b">
        <v>1</v>
      </c>
      <c r="P3788">
        <v>1</v>
      </c>
      <c r="Q3788" t="str" cm="1">
        <f t="array" ref="Q3788">_xlfn.IFS(Table1[[#This Row],[Wealthier_Winner]]=-1,"Wealthier Nation Loses",Table1[[#This Row],[Wealthier_Winner]]=0,"Tie",Table1[[#This Row],[Wealthier_Winner]]=1,"Wealthier Nation Wins")</f>
        <v>Wealthier Nation Wins</v>
      </c>
    </row>
    <row r="3789" spans="1:17" x14ac:dyDescent="0.2">
      <c r="A3789" s="1">
        <v>5790</v>
      </c>
      <c r="B3789" s="2">
        <v>39904</v>
      </c>
      <c r="C3789" s="7">
        <f>_xlfn.FLOOR.MATH(Table1[[#This Row],[year]],10)</f>
        <v>2000</v>
      </c>
      <c r="D3789" t="s">
        <v>534</v>
      </c>
      <c r="E3789" t="s">
        <v>705</v>
      </c>
      <c r="F3789">
        <v>0</v>
      </c>
      <c r="G3789">
        <v>0</v>
      </c>
      <c r="H3789" t="s">
        <v>224</v>
      </c>
      <c r="I3789" t="s">
        <v>536</v>
      </c>
      <c r="J3789" t="s">
        <v>534</v>
      </c>
      <c r="K3789" t="b">
        <v>0</v>
      </c>
      <c r="L3789">
        <v>2009</v>
      </c>
      <c r="M3789">
        <v>10766920065</v>
      </c>
      <c r="N3789">
        <v>4142640316</v>
      </c>
      <c r="O3789" t="b">
        <v>1</v>
      </c>
      <c r="P3789">
        <v>0</v>
      </c>
      <c r="Q3789" t="str" cm="1">
        <f t="array" ref="Q3789">_xlfn.IFS(Table1[[#This Row],[Wealthier_Winner]]=-1,"Wealthier Nation Loses",Table1[[#This Row],[Wealthier_Winner]]=0,"Tie",Table1[[#This Row],[Wealthier_Winner]]=1,"Wealthier Nation Wins")</f>
        <v>Tie</v>
      </c>
    </row>
    <row r="3790" spans="1:17" x14ac:dyDescent="0.2">
      <c r="A3790" s="1">
        <v>5791</v>
      </c>
      <c r="B3790" s="2">
        <v>39904</v>
      </c>
      <c r="C3790" s="7">
        <f>_xlfn.FLOOR.MATH(Table1[[#This Row],[year]],10)</f>
        <v>2000</v>
      </c>
      <c r="D3790" t="s">
        <v>48</v>
      </c>
      <c r="E3790" t="s">
        <v>22</v>
      </c>
      <c r="F3790">
        <v>2</v>
      </c>
      <c r="G3790">
        <v>1</v>
      </c>
      <c r="H3790" t="s">
        <v>224</v>
      </c>
      <c r="I3790" t="s">
        <v>627</v>
      </c>
      <c r="J3790" t="s">
        <v>48</v>
      </c>
      <c r="K3790" t="b">
        <v>0</v>
      </c>
      <c r="L3790">
        <v>2009</v>
      </c>
      <c r="M3790">
        <v>326829054686</v>
      </c>
      <c r="N3790">
        <v>213403181852</v>
      </c>
      <c r="O3790" t="b">
        <v>0</v>
      </c>
      <c r="P3790">
        <v>1</v>
      </c>
      <c r="Q3790" t="str" cm="1">
        <f t="array" ref="Q3790">_xlfn.IFS(Table1[[#This Row],[Wealthier_Winner]]=-1,"Wealthier Nation Loses",Table1[[#This Row],[Wealthier_Winner]]=0,"Tie",Table1[[#This Row],[Wealthier_Winner]]=1,"Wealthier Nation Wins")</f>
        <v>Wealthier Nation Wins</v>
      </c>
    </row>
    <row r="3791" spans="1:17" x14ac:dyDescent="0.2">
      <c r="A3791" s="1">
        <v>5792</v>
      </c>
      <c r="B3791" s="2">
        <v>39904</v>
      </c>
      <c r="C3791" s="7">
        <f>_xlfn.FLOOR.MATH(Table1[[#This Row],[year]],10)</f>
        <v>2000</v>
      </c>
      <c r="D3791" t="s">
        <v>65</v>
      </c>
      <c r="E3791" t="s">
        <v>17</v>
      </c>
      <c r="F3791">
        <v>3</v>
      </c>
      <c r="G3791">
        <v>1</v>
      </c>
      <c r="H3791" t="s">
        <v>224</v>
      </c>
      <c r="I3791" t="s">
        <v>254</v>
      </c>
      <c r="J3791" t="s">
        <v>65</v>
      </c>
      <c r="K3791" t="b">
        <v>0</v>
      </c>
      <c r="L3791">
        <v>2009</v>
      </c>
      <c r="M3791">
        <v>14587496229</v>
      </c>
      <c r="N3791">
        <v>943437415024</v>
      </c>
      <c r="O3791" t="b">
        <v>1</v>
      </c>
      <c r="P3791">
        <v>-1</v>
      </c>
      <c r="Q3791" t="str" cm="1">
        <f t="array" ref="Q3791">_xlfn.IFS(Table1[[#This Row],[Wealthier_Winner]]=-1,"Wealthier Nation Loses",Table1[[#This Row],[Wealthier_Winner]]=0,"Tie",Table1[[#This Row],[Wealthier_Winner]]=1,"Wealthier Nation Wins")</f>
        <v>Wealthier Nation Loses</v>
      </c>
    </row>
    <row r="3792" spans="1:17" x14ac:dyDescent="0.2">
      <c r="A3792" s="1">
        <v>5793</v>
      </c>
      <c r="B3792" s="2">
        <v>39904</v>
      </c>
      <c r="C3792" s="7">
        <f>_xlfn.FLOOR.MATH(Table1[[#This Row],[year]],10)</f>
        <v>2000</v>
      </c>
      <c r="D3792" t="s">
        <v>30</v>
      </c>
      <c r="E3792" t="s">
        <v>303</v>
      </c>
      <c r="F3792">
        <v>3</v>
      </c>
      <c r="G3792">
        <v>0</v>
      </c>
      <c r="H3792" t="s">
        <v>224</v>
      </c>
      <c r="I3792" t="s">
        <v>297</v>
      </c>
      <c r="J3792" t="s">
        <v>30</v>
      </c>
      <c r="K3792" t="b">
        <v>0</v>
      </c>
      <c r="L3792">
        <v>2009</v>
      </c>
      <c r="M3792">
        <v>130807441076</v>
      </c>
      <c r="N3792">
        <v>8734745697</v>
      </c>
      <c r="O3792" t="b">
        <v>1</v>
      </c>
      <c r="P3792">
        <v>1</v>
      </c>
      <c r="Q3792" t="str" cm="1">
        <f t="array" ref="Q3792">_xlfn.IFS(Table1[[#This Row],[Wealthier_Winner]]=-1,"Wealthier Nation Loses",Table1[[#This Row],[Wealthier_Winner]]=0,"Tie",Table1[[#This Row],[Wealthier_Winner]]=1,"Wealthier Nation Wins")</f>
        <v>Wealthier Nation Wins</v>
      </c>
    </row>
    <row r="3793" spans="1:17" x14ac:dyDescent="0.2">
      <c r="A3793" s="1">
        <v>5795</v>
      </c>
      <c r="B3793" s="2">
        <v>39904</v>
      </c>
      <c r="C3793" s="7">
        <f>_xlfn.FLOOR.MATH(Table1[[#This Row],[year]],10)</f>
        <v>2000</v>
      </c>
      <c r="D3793" t="s">
        <v>558</v>
      </c>
      <c r="E3793" t="s">
        <v>510</v>
      </c>
      <c r="F3793">
        <v>1</v>
      </c>
      <c r="G3793">
        <v>5</v>
      </c>
      <c r="H3793" t="s">
        <v>224</v>
      </c>
      <c r="I3793" t="s">
        <v>559</v>
      </c>
      <c r="J3793" t="s">
        <v>558</v>
      </c>
      <c r="K3793" t="b">
        <v>0</v>
      </c>
      <c r="L3793">
        <v>2009</v>
      </c>
      <c r="M3793">
        <v>115308686941</v>
      </c>
      <c r="N3793">
        <v>50873167326</v>
      </c>
      <c r="O3793" t="b">
        <v>1</v>
      </c>
      <c r="P3793">
        <v>-1</v>
      </c>
      <c r="Q3793" t="str" cm="1">
        <f t="array" ref="Q3793">_xlfn.IFS(Table1[[#This Row],[Wealthier_Winner]]=-1,"Wealthier Nation Loses",Table1[[#This Row],[Wealthier_Winner]]=0,"Tie",Table1[[#This Row],[Wealthier_Winner]]=1,"Wealthier Nation Wins")</f>
        <v>Wealthier Nation Loses</v>
      </c>
    </row>
    <row r="3794" spans="1:17" x14ac:dyDescent="0.2">
      <c r="A3794" s="1">
        <v>5797</v>
      </c>
      <c r="B3794" s="2">
        <v>39904</v>
      </c>
      <c r="C3794" s="7">
        <f>_xlfn.FLOOR.MATH(Table1[[#This Row],[year]],10)</f>
        <v>2000</v>
      </c>
      <c r="D3794" t="s">
        <v>525</v>
      </c>
      <c r="E3794" t="s">
        <v>232</v>
      </c>
      <c r="F3794">
        <v>2</v>
      </c>
      <c r="G3794">
        <v>0</v>
      </c>
      <c r="H3794" t="s">
        <v>224</v>
      </c>
      <c r="I3794" t="s">
        <v>526</v>
      </c>
      <c r="J3794" t="s">
        <v>525</v>
      </c>
      <c r="K3794" t="b">
        <v>0</v>
      </c>
      <c r="L3794">
        <v>2009</v>
      </c>
      <c r="M3794">
        <v>25691530442</v>
      </c>
      <c r="N3794">
        <v>54467289897</v>
      </c>
      <c r="O3794" t="b">
        <v>1</v>
      </c>
      <c r="P3794">
        <v>-1</v>
      </c>
      <c r="Q3794" t="str" cm="1">
        <f t="array" ref="Q3794">_xlfn.IFS(Table1[[#This Row],[Wealthier_Winner]]=-1,"Wealthier Nation Loses",Table1[[#This Row],[Wealthier_Winner]]=0,"Tie",Table1[[#This Row],[Wealthier_Winner]]=1,"Wealthier Nation Wins")</f>
        <v>Wealthier Nation Loses</v>
      </c>
    </row>
    <row r="3795" spans="1:17" x14ac:dyDescent="0.2">
      <c r="A3795" s="1">
        <v>5798</v>
      </c>
      <c r="B3795" s="2">
        <v>39904</v>
      </c>
      <c r="C3795" s="7">
        <f>_xlfn.FLOOR.MATH(Table1[[#This Row],[year]],10)</f>
        <v>2000</v>
      </c>
      <c r="D3795" t="s">
        <v>503</v>
      </c>
      <c r="E3795" t="s">
        <v>196</v>
      </c>
      <c r="F3795">
        <v>0</v>
      </c>
      <c r="G3795">
        <v>1</v>
      </c>
      <c r="H3795" t="s">
        <v>224</v>
      </c>
      <c r="I3795" t="s">
        <v>603</v>
      </c>
      <c r="J3795" t="s">
        <v>503</v>
      </c>
      <c r="K3795" t="b">
        <v>0</v>
      </c>
      <c r="L3795">
        <v>2009</v>
      </c>
      <c r="M3795">
        <v>4504375348</v>
      </c>
      <c r="N3795">
        <v>1222645900055</v>
      </c>
      <c r="O3795" t="b">
        <v>1</v>
      </c>
      <c r="P3795">
        <v>1</v>
      </c>
      <c r="Q3795" t="str" cm="1">
        <f t="array" ref="Q3795">_xlfn.IFS(Table1[[#This Row],[Wealthier_Winner]]=-1,"Wealthier Nation Loses",Table1[[#This Row],[Wealthier_Winner]]=0,"Tie",Table1[[#This Row],[Wealthier_Winner]]=1,"Wealthier Nation Wins")</f>
        <v>Wealthier Nation Wins</v>
      </c>
    </row>
    <row r="3796" spans="1:17" x14ac:dyDescent="0.2">
      <c r="A3796" s="1">
        <v>5799</v>
      </c>
      <c r="B3796" s="2">
        <v>39904</v>
      </c>
      <c r="C3796" s="7">
        <f>_xlfn.FLOOR.MATH(Table1[[#This Row],[year]],10)</f>
        <v>2000</v>
      </c>
      <c r="D3796" t="s">
        <v>27</v>
      </c>
      <c r="E3796" t="s">
        <v>502</v>
      </c>
      <c r="F3796">
        <v>4</v>
      </c>
      <c r="G3796">
        <v>0</v>
      </c>
      <c r="H3796" t="s">
        <v>224</v>
      </c>
      <c r="I3796" t="s">
        <v>263</v>
      </c>
      <c r="J3796" t="s">
        <v>27</v>
      </c>
      <c r="K3796" t="b">
        <v>0</v>
      </c>
      <c r="L3796">
        <v>2009</v>
      </c>
      <c r="M3796">
        <v>878954223140</v>
      </c>
      <c r="N3796">
        <v>9401736825</v>
      </c>
      <c r="O3796" t="b">
        <v>1</v>
      </c>
      <c r="P3796">
        <v>1</v>
      </c>
      <c r="Q3796" t="str" cm="1">
        <f t="array" ref="Q3796">_xlfn.IFS(Table1[[#This Row],[Wealthier_Winner]]=-1,"Wealthier Nation Loses",Table1[[#This Row],[Wealthier_Winner]]=0,"Tie",Table1[[#This Row],[Wealthier_Winner]]=1,"Wealthier Nation Wins")</f>
        <v>Wealthier Nation Wins</v>
      </c>
    </row>
    <row r="3797" spans="1:17" x14ac:dyDescent="0.2">
      <c r="A3797" s="1">
        <v>5801</v>
      </c>
      <c r="B3797" s="2">
        <v>39904</v>
      </c>
      <c r="C3797" s="7">
        <f>_xlfn.FLOOR.MATH(Table1[[#This Row],[year]],10)</f>
        <v>2000</v>
      </c>
      <c r="D3797" t="s">
        <v>58</v>
      </c>
      <c r="E3797" t="s">
        <v>549</v>
      </c>
      <c r="F3797">
        <v>10</v>
      </c>
      <c r="G3797">
        <v>0</v>
      </c>
      <c r="H3797" t="s">
        <v>224</v>
      </c>
      <c r="I3797" t="s">
        <v>721</v>
      </c>
      <c r="J3797" t="s">
        <v>58</v>
      </c>
      <c r="K3797" t="b">
        <v>0</v>
      </c>
      <c r="L3797">
        <v>2009</v>
      </c>
      <c r="M3797">
        <v>440891472247</v>
      </c>
      <c r="N3797">
        <v>2064277126</v>
      </c>
      <c r="O3797" t="b">
        <v>1</v>
      </c>
      <c r="P3797">
        <v>1</v>
      </c>
      <c r="Q3797" t="str" cm="1">
        <f t="array" ref="Q3797">_xlfn.IFS(Table1[[#This Row],[Wealthier_Winner]]=-1,"Wealthier Nation Loses",Table1[[#This Row],[Wealthier_Winner]]=0,"Tie",Table1[[#This Row],[Wealthier_Winner]]=1,"Wealthier Nation Wins")</f>
        <v>Wealthier Nation Wins</v>
      </c>
    </row>
    <row r="3798" spans="1:17" x14ac:dyDescent="0.2">
      <c r="A3798" s="1">
        <v>5802</v>
      </c>
      <c r="B3798" s="2">
        <v>39904</v>
      </c>
      <c r="C3798" s="7">
        <f>_xlfn.FLOOR.MATH(Table1[[#This Row],[year]],10)</f>
        <v>2000</v>
      </c>
      <c r="D3798" t="s">
        <v>45</v>
      </c>
      <c r="E3798" t="s">
        <v>39</v>
      </c>
      <c r="F3798">
        <v>3</v>
      </c>
      <c r="G3798">
        <v>2</v>
      </c>
      <c r="H3798" t="s">
        <v>224</v>
      </c>
      <c r="I3798" t="s">
        <v>356</v>
      </c>
      <c r="J3798" t="s">
        <v>45</v>
      </c>
      <c r="K3798" t="b">
        <v>0</v>
      </c>
      <c r="L3798">
        <v>2009</v>
      </c>
      <c r="M3798">
        <v>429097866666</v>
      </c>
      <c r="N3798">
        <v>253547358747</v>
      </c>
      <c r="O3798" t="b">
        <v>0</v>
      </c>
      <c r="P3798">
        <v>1</v>
      </c>
      <c r="Q3798" t="str" cm="1">
        <f t="array" ref="Q3798">_xlfn.IFS(Table1[[#This Row],[Wealthier_Winner]]=-1,"Wealthier Nation Loses",Table1[[#This Row],[Wealthier_Winner]]=0,"Tie",Table1[[#This Row],[Wealthier_Winner]]=1,"Wealthier Nation Wins")</f>
        <v>Wealthier Nation Wins</v>
      </c>
    </row>
    <row r="3799" spans="1:17" x14ac:dyDescent="0.2">
      <c r="A3799" s="1">
        <v>5804</v>
      </c>
      <c r="B3799" s="2">
        <v>39904</v>
      </c>
      <c r="C3799" s="7">
        <f>_xlfn.FLOOR.MATH(Table1[[#This Row],[year]],10)</f>
        <v>2000</v>
      </c>
      <c r="D3799" t="s">
        <v>46</v>
      </c>
      <c r="E3799" t="s">
        <v>527</v>
      </c>
      <c r="F3799">
        <v>2</v>
      </c>
      <c r="G3799">
        <v>0</v>
      </c>
      <c r="H3799" t="s">
        <v>224</v>
      </c>
      <c r="I3799" t="s">
        <v>722</v>
      </c>
      <c r="J3799" t="s">
        <v>46</v>
      </c>
      <c r="K3799" t="b">
        <v>0</v>
      </c>
      <c r="L3799">
        <v>2009</v>
      </c>
      <c r="M3799">
        <v>554212916092</v>
      </c>
      <c r="N3799">
        <v>5439434271</v>
      </c>
      <c r="O3799" t="b">
        <v>1</v>
      </c>
      <c r="P3799">
        <v>1</v>
      </c>
      <c r="Q3799" t="str" cm="1">
        <f t="array" ref="Q3799">_xlfn.IFS(Table1[[#This Row],[Wealthier_Winner]]=-1,"Wealthier Nation Loses",Table1[[#This Row],[Wealthier_Winner]]=0,"Tie",Table1[[#This Row],[Wealthier_Winner]]=1,"Wealthier Nation Wins")</f>
        <v>Wealthier Nation Wins</v>
      </c>
    </row>
    <row r="3800" spans="1:17" x14ac:dyDescent="0.2">
      <c r="A3800" s="1">
        <v>5806</v>
      </c>
      <c r="B3800" s="2">
        <v>39904</v>
      </c>
      <c r="C3800" s="7">
        <f>_xlfn.FLOOR.MATH(Table1[[#This Row],[year]],10)</f>
        <v>2000</v>
      </c>
      <c r="D3800" t="s">
        <v>41</v>
      </c>
      <c r="E3800" t="s">
        <v>59</v>
      </c>
      <c r="F3800">
        <v>3</v>
      </c>
      <c r="G3800">
        <v>0</v>
      </c>
      <c r="H3800" t="s">
        <v>224</v>
      </c>
      <c r="I3800" t="s">
        <v>723</v>
      </c>
      <c r="J3800" t="s">
        <v>41</v>
      </c>
      <c r="K3800" t="b">
        <v>0</v>
      </c>
      <c r="L3800">
        <v>2009</v>
      </c>
      <c r="M3800">
        <v>14478064934000</v>
      </c>
      <c r="N3800">
        <v>19172165225</v>
      </c>
      <c r="O3800" t="b">
        <v>1</v>
      </c>
      <c r="P3800">
        <v>1</v>
      </c>
      <c r="Q3800" t="str" cm="1">
        <f t="array" ref="Q3800">_xlfn.IFS(Table1[[#This Row],[Wealthier_Winner]]=-1,"Wealthier Nation Loses",Table1[[#This Row],[Wealthier_Winner]]=0,"Tie",Table1[[#This Row],[Wealthier_Winner]]=1,"Wealthier Nation Wins")</f>
        <v>Wealthier Nation Wins</v>
      </c>
    </row>
    <row r="3801" spans="1:17" x14ac:dyDescent="0.2">
      <c r="A3801" s="1">
        <v>5808</v>
      </c>
      <c r="B3801" s="2">
        <v>39904</v>
      </c>
      <c r="C3801" s="7">
        <f>_xlfn.FLOOR.MATH(Table1[[#This Row],[year]],10)</f>
        <v>2000</v>
      </c>
      <c r="D3801" t="s">
        <v>47</v>
      </c>
      <c r="E3801" t="s">
        <v>19</v>
      </c>
      <c r="F3801">
        <v>6</v>
      </c>
      <c r="G3801">
        <v>1</v>
      </c>
      <c r="H3801" t="s">
        <v>224</v>
      </c>
      <c r="I3801" t="s">
        <v>246</v>
      </c>
      <c r="J3801" t="s">
        <v>47</v>
      </c>
      <c r="K3801" t="b">
        <v>0</v>
      </c>
      <c r="L3801">
        <v>2009</v>
      </c>
      <c r="M3801">
        <v>17339992193</v>
      </c>
      <c r="N3801">
        <v>332976484577</v>
      </c>
      <c r="O3801" t="b">
        <v>1</v>
      </c>
      <c r="P3801">
        <v>-1</v>
      </c>
      <c r="Q3801" t="str" cm="1">
        <f t="array" ref="Q3801">_xlfn.IFS(Table1[[#This Row],[Wealthier_Winner]]=-1,"Wealthier Nation Loses",Table1[[#This Row],[Wealthier_Winner]]=0,"Tie",Table1[[#This Row],[Wealthier_Winner]]=1,"Wealthier Nation Wins")</f>
        <v>Wealthier Nation Loses</v>
      </c>
    </row>
    <row r="3802" spans="1:17" x14ac:dyDescent="0.2">
      <c r="A3802" s="1">
        <v>5809</v>
      </c>
      <c r="B3802" s="2">
        <v>39904</v>
      </c>
      <c r="C3802" s="7">
        <f>_xlfn.FLOOR.MATH(Table1[[#This Row],[year]],10)</f>
        <v>2000</v>
      </c>
      <c r="D3802" t="s">
        <v>57</v>
      </c>
      <c r="E3802" t="s">
        <v>35</v>
      </c>
      <c r="F3802">
        <v>1</v>
      </c>
      <c r="G3802">
        <v>1</v>
      </c>
      <c r="H3802" t="s">
        <v>224</v>
      </c>
      <c r="I3802" t="s">
        <v>335</v>
      </c>
      <c r="J3802" t="s">
        <v>57</v>
      </c>
      <c r="K3802" t="b">
        <v>0</v>
      </c>
      <c r="L3802">
        <v>2009</v>
      </c>
      <c r="M3802">
        <v>60094978000</v>
      </c>
      <c r="N3802">
        <v>22355151162</v>
      </c>
      <c r="O3802" t="b">
        <v>1</v>
      </c>
      <c r="P3802">
        <v>0</v>
      </c>
      <c r="Q3802" t="str" cm="1">
        <f t="array" ref="Q3802">_xlfn.IFS(Table1[[#This Row],[Wealthier_Winner]]=-1,"Wealthier Nation Loses",Table1[[#This Row],[Wealthier_Winner]]=0,"Tie",Table1[[#This Row],[Wealthier_Winner]]=1,"Wealthier Nation Wins")</f>
        <v>Tie</v>
      </c>
    </row>
    <row r="3803" spans="1:17" x14ac:dyDescent="0.2">
      <c r="A3803" s="1">
        <v>5810</v>
      </c>
      <c r="B3803" s="2">
        <v>39904</v>
      </c>
      <c r="C3803" s="7">
        <f>_xlfn.FLOOR.MATH(Table1[[#This Row],[year]],10)</f>
        <v>2000</v>
      </c>
      <c r="D3803" t="s">
        <v>14</v>
      </c>
      <c r="E3803" t="s">
        <v>26</v>
      </c>
      <c r="F3803">
        <v>0</v>
      </c>
      <c r="G3803">
        <v>0</v>
      </c>
      <c r="H3803" t="s">
        <v>224</v>
      </c>
      <c r="I3803" t="s">
        <v>75</v>
      </c>
      <c r="J3803" t="s">
        <v>14</v>
      </c>
      <c r="K3803" t="b">
        <v>0</v>
      </c>
      <c r="L3803">
        <v>2009</v>
      </c>
      <c r="M3803">
        <v>171777900623</v>
      </c>
      <c r="N3803">
        <v>32708319077</v>
      </c>
      <c r="O3803" t="b">
        <v>1</v>
      </c>
      <c r="P3803">
        <v>0</v>
      </c>
      <c r="Q3803" t="str" cm="1">
        <f t="array" ref="Q3803">_xlfn.IFS(Table1[[#This Row],[Wealthier_Winner]]=-1,"Wealthier Nation Loses",Table1[[#This Row],[Wealthier_Winner]]=0,"Tie",Table1[[#This Row],[Wealthier_Winner]]=1,"Wealthier Nation Wins")</f>
        <v>Tie</v>
      </c>
    </row>
    <row r="3804" spans="1:17" x14ac:dyDescent="0.2">
      <c r="A3804" s="1">
        <v>5811</v>
      </c>
      <c r="B3804" s="2">
        <v>39904</v>
      </c>
      <c r="C3804" s="7">
        <f>_xlfn.FLOOR.MATH(Table1[[#This Row],[year]],10)</f>
        <v>2000</v>
      </c>
      <c r="D3804" t="s">
        <v>13</v>
      </c>
      <c r="E3804" t="s">
        <v>31</v>
      </c>
      <c r="F3804">
        <v>3</v>
      </c>
      <c r="G3804">
        <v>0</v>
      </c>
      <c r="H3804" t="s">
        <v>224</v>
      </c>
      <c r="I3804" t="s">
        <v>174</v>
      </c>
      <c r="J3804" t="s">
        <v>13</v>
      </c>
      <c r="K3804" t="b">
        <v>0</v>
      </c>
      <c r="L3804">
        <v>2009</v>
      </c>
      <c r="M3804">
        <v>1666996294252</v>
      </c>
      <c r="N3804">
        <v>120822986521</v>
      </c>
      <c r="O3804" t="b">
        <v>1</v>
      </c>
      <c r="P3804">
        <v>1</v>
      </c>
      <c r="Q3804" t="str" cm="1">
        <f t="array" ref="Q3804">_xlfn.IFS(Table1[[#This Row],[Wealthier_Winner]]=-1,"Wealthier Nation Loses",Table1[[#This Row],[Wealthier_Winner]]=0,"Tie",Table1[[#This Row],[Wealthier_Winner]]=1,"Wealthier Nation Wins")</f>
        <v>Wealthier Nation Wins</v>
      </c>
    </row>
    <row r="3805" spans="1:17" x14ac:dyDescent="0.2">
      <c r="A3805" s="1">
        <v>5812</v>
      </c>
      <c r="B3805" s="2">
        <v>39967</v>
      </c>
      <c r="C3805" s="7">
        <f>_xlfn.FLOOR.MATH(Table1[[#This Row],[year]],10)</f>
        <v>2000</v>
      </c>
      <c r="D3805" t="s">
        <v>56</v>
      </c>
      <c r="E3805" t="s">
        <v>41</v>
      </c>
      <c r="F3805">
        <v>3</v>
      </c>
      <c r="G3805">
        <v>1</v>
      </c>
      <c r="H3805" t="s">
        <v>224</v>
      </c>
      <c r="I3805" t="s">
        <v>225</v>
      </c>
      <c r="J3805" t="s">
        <v>56</v>
      </c>
      <c r="K3805" t="b">
        <v>0</v>
      </c>
      <c r="L3805">
        <v>2009</v>
      </c>
      <c r="M3805">
        <v>30745714312</v>
      </c>
      <c r="N3805">
        <v>14478064934000</v>
      </c>
      <c r="O3805" t="b">
        <v>1</v>
      </c>
      <c r="P3805">
        <v>-1</v>
      </c>
      <c r="Q3805" t="str" cm="1">
        <f t="array" ref="Q3805">_xlfn.IFS(Table1[[#This Row],[Wealthier_Winner]]=-1,"Wealthier Nation Loses",Table1[[#This Row],[Wealthier_Winner]]=0,"Tie",Table1[[#This Row],[Wealthier_Winner]]=1,"Wealthier Nation Wins")</f>
        <v>Wealthier Nation Loses</v>
      </c>
    </row>
    <row r="3806" spans="1:17" x14ac:dyDescent="0.2">
      <c r="A3806" s="1">
        <v>5813</v>
      </c>
      <c r="B3806" s="2">
        <v>39970</v>
      </c>
      <c r="C3806" s="7">
        <f>_xlfn.FLOOR.MATH(Table1[[#This Row],[year]],10)</f>
        <v>2000</v>
      </c>
      <c r="D3806" t="s">
        <v>373</v>
      </c>
      <c r="E3806" t="s">
        <v>38</v>
      </c>
      <c r="F3806">
        <v>1</v>
      </c>
      <c r="G3806">
        <v>2</v>
      </c>
      <c r="H3806" t="s">
        <v>224</v>
      </c>
      <c r="I3806" t="s">
        <v>374</v>
      </c>
      <c r="J3806" t="s">
        <v>373</v>
      </c>
      <c r="K3806" t="b">
        <v>0</v>
      </c>
      <c r="L3806">
        <v>2009</v>
      </c>
      <c r="M3806">
        <v>12335540656</v>
      </c>
      <c r="N3806">
        <v>244667762835</v>
      </c>
      <c r="O3806" t="b">
        <v>1</v>
      </c>
      <c r="P3806">
        <v>1</v>
      </c>
      <c r="Q3806" t="str" cm="1">
        <f t="array" ref="Q3806">_xlfn.IFS(Table1[[#This Row],[Wealthier_Winner]]=-1,"Wealthier Nation Loses",Table1[[#This Row],[Wealthier_Winner]]=0,"Tie",Table1[[#This Row],[Wealthier_Winner]]=1,"Wealthier Nation Wins")</f>
        <v>Wealthier Nation Wins</v>
      </c>
    </row>
    <row r="3807" spans="1:17" x14ac:dyDescent="0.2">
      <c r="A3807" s="1">
        <v>5814</v>
      </c>
      <c r="B3807" s="2">
        <v>39970</v>
      </c>
      <c r="C3807" s="7">
        <f>_xlfn.FLOOR.MATH(Table1[[#This Row],[year]],10)</f>
        <v>2000</v>
      </c>
      <c r="D3807" t="s">
        <v>19</v>
      </c>
      <c r="E3807" t="s">
        <v>15</v>
      </c>
      <c r="F3807">
        <v>1</v>
      </c>
      <c r="G3807">
        <v>0</v>
      </c>
      <c r="H3807" t="s">
        <v>224</v>
      </c>
      <c r="I3807" t="s">
        <v>93</v>
      </c>
      <c r="J3807" t="s">
        <v>19</v>
      </c>
      <c r="K3807" t="b">
        <v>0</v>
      </c>
      <c r="L3807">
        <v>2009</v>
      </c>
      <c r="M3807">
        <v>332976484577</v>
      </c>
      <c r="N3807">
        <v>232468663109</v>
      </c>
      <c r="O3807" t="b">
        <v>0</v>
      </c>
      <c r="P3807">
        <v>1</v>
      </c>
      <c r="Q3807" t="str" cm="1">
        <f t="array" ref="Q3807">_xlfn.IFS(Table1[[#This Row],[Wealthier_Winner]]=-1,"Wealthier Nation Loses",Table1[[#This Row],[Wealthier_Winner]]=0,"Tie",Table1[[#This Row],[Wealthier_Winner]]=1,"Wealthier Nation Wins")</f>
        <v>Wealthier Nation Wins</v>
      </c>
    </row>
    <row r="3808" spans="1:17" x14ac:dyDescent="0.2">
      <c r="A3808" s="1">
        <v>5816</v>
      </c>
      <c r="B3808" s="2">
        <v>39970</v>
      </c>
      <c r="C3808" s="7">
        <f>_xlfn.FLOOR.MATH(Table1[[#This Row],[year]],10)</f>
        <v>2000</v>
      </c>
      <c r="D3808" t="s">
        <v>510</v>
      </c>
      <c r="E3808" t="s">
        <v>601</v>
      </c>
      <c r="F3808">
        <v>5</v>
      </c>
      <c r="G3808">
        <v>1</v>
      </c>
      <c r="H3808" t="s">
        <v>224</v>
      </c>
      <c r="I3808" t="s">
        <v>724</v>
      </c>
      <c r="J3808" t="s">
        <v>510</v>
      </c>
      <c r="K3808" t="b">
        <v>0</v>
      </c>
      <c r="L3808">
        <v>2009</v>
      </c>
      <c r="M3808">
        <v>50873167326</v>
      </c>
      <c r="N3808">
        <v>3688974807</v>
      </c>
      <c r="O3808" t="b">
        <v>1</v>
      </c>
      <c r="P3808">
        <v>1</v>
      </c>
      <c r="Q3808" t="str" cm="1">
        <f t="array" ref="Q3808">_xlfn.IFS(Table1[[#This Row],[Wealthier_Winner]]=-1,"Wealthier Nation Loses",Table1[[#This Row],[Wealthier_Winner]]=0,"Tie",Table1[[#This Row],[Wealthier_Winner]]=1,"Wealthier Nation Wins")</f>
        <v>Wealthier Nation Wins</v>
      </c>
    </row>
    <row r="3809" spans="1:17" x14ac:dyDescent="0.2">
      <c r="A3809" s="1">
        <v>5817</v>
      </c>
      <c r="B3809" s="2">
        <v>39970</v>
      </c>
      <c r="C3809" s="7">
        <f>_xlfn.FLOOR.MATH(Table1[[#This Row],[year]],10)</f>
        <v>2000</v>
      </c>
      <c r="D3809" t="s">
        <v>47</v>
      </c>
      <c r="E3809" t="s">
        <v>258</v>
      </c>
      <c r="F3809">
        <v>0</v>
      </c>
      <c r="G3809">
        <v>1</v>
      </c>
      <c r="H3809" t="s">
        <v>224</v>
      </c>
      <c r="I3809" t="s">
        <v>246</v>
      </c>
      <c r="J3809" t="s">
        <v>47</v>
      </c>
      <c r="K3809" t="b">
        <v>0</v>
      </c>
      <c r="L3809">
        <v>2009</v>
      </c>
      <c r="M3809">
        <v>17339992193</v>
      </c>
      <c r="N3809">
        <v>329787628928</v>
      </c>
      <c r="O3809" t="b">
        <v>1</v>
      </c>
      <c r="P3809">
        <v>1</v>
      </c>
      <c r="Q3809" t="str" cm="1">
        <f t="array" ref="Q3809">_xlfn.IFS(Table1[[#This Row],[Wealthier_Winner]]=-1,"Wealthier Nation Loses",Table1[[#This Row],[Wealthier_Winner]]=0,"Tie",Table1[[#This Row],[Wealthier_Winner]]=1,"Wealthier Nation Wins")</f>
        <v>Wealthier Nation Wins</v>
      </c>
    </row>
    <row r="3810" spans="1:17" x14ac:dyDescent="0.2">
      <c r="A3810" s="1">
        <v>5819</v>
      </c>
      <c r="B3810" s="2">
        <v>39970</v>
      </c>
      <c r="C3810" s="7">
        <f>_xlfn.FLOOR.MATH(Table1[[#This Row],[year]],10)</f>
        <v>2000</v>
      </c>
      <c r="D3810" t="s">
        <v>52</v>
      </c>
      <c r="E3810" t="s">
        <v>64</v>
      </c>
      <c r="F3810">
        <v>2</v>
      </c>
      <c r="G3810">
        <v>2</v>
      </c>
      <c r="H3810" t="s">
        <v>224</v>
      </c>
      <c r="I3810" t="s">
        <v>538</v>
      </c>
      <c r="J3810" t="s">
        <v>52</v>
      </c>
      <c r="K3810" t="b">
        <v>0</v>
      </c>
      <c r="L3810">
        <v>2009</v>
      </c>
      <c r="M3810">
        <v>62315996674</v>
      </c>
      <c r="N3810">
        <v>121552153444</v>
      </c>
      <c r="O3810" t="b">
        <v>0</v>
      </c>
      <c r="P3810">
        <v>0</v>
      </c>
      <c r="Q3810" t="str" cm="1">
        <f t="array" ref="Q3810">_xlfn.IFS(Table1[[#This Row],[Wealthier_Winner]]=-1,"Wealthier Nation Loses",Table1[[#This Row],[Wealthier_Winner]]=0,"Tie",Table1[[#This Row],[Wealthier_Winner]]=1,"Wealthier Nation Wins")</f>
        <v>Tie</v>
      </c>
    </row>
    <row r="3811" spans="1:17" x14ac:dyDescent="0.2">
      <c r="A3811" s="1">
        <v>5820</v>
      </c>
      <c r="B3811" s="2">
        <v>39970</v>
      </c>
      <c r="C3811" s="7">
        <f>_xlfn.FLOOR.MATH(Table1[[#This Row],[year]],10)</f>
        <v>2000</v>
      </c>
      <c r="D3811" t="s">
        <v>351</v>
      </c>
      <c r="E3811" t="s">
        <v>705</v>
      </c>
      <c r="F3811">
        <v>2</v>
      </c>
      <c r="G3811">
        <v>2</v>
      </c>
      <c r="H3811" t="s">
        <v>224</v>
      </c>
      <c r="I3811" t="s">
        <v>468</v>
      </c>
      <c r="J3811" t="s">
        <v>351</v>
      </c>
      <c r="K3811" t="b">
        <v>0</v>
      </c>
      <c r="L3811">
        <v>2009</v>
      </c>
      <c r="M3811">
        <v>26048179949</v>
      </c>
      <c r="N3811">
        <v>4142640316</v>
      </c>
      <c r="O3811" t="b">
        <v>1</v>
      </c>
      <c r="P3811">
        <v>0</v>
      </c>
      <c r="Q3811" t="str" cm="1">
        <f t="array" ref="Q3811">_xlfn.IFS(Table1[[#This Row],[Wealthier_Winner]]=-1,"Wealthier Nation Loses",Table1[[#This Row],[Wealthier_Winner]]=0,"Tie",Table1[[#This Row],[Wealthier_Winner]]=1,"Wealthier Nation Wins")</f>
        <v>Tie</v>
      </c>
    </row>
    <row r="3812" spans="1:17" x14ac:dyDescent="0.2">
      <c r="A3812" s="1">
        <v>5821</v>
      </c>
      <c r="B3812" s="2">
        <v>39970</v>
      </c>
      <c r="C3812" s="7">
        <f>_xlfn.FLOOR.MATH(Table1[[#This Row],[year]],10)</f>
        <v>2000</v>
      </c>
      <c r="D3812" t="s">
        <v>69</v>
      </c>
      <c r="E3812" t="s">
        <v>17</v>
      </c>
      <c r="F3812">
        <v>2</v>
      </c>
      <c r="G3812">
        <v>1</v>
      </c>
      <c r="H3812" t="s">
        <v>224</v>
      </c>
      <c r="I3812" t="s">
        <v>281</v>
      </c>
      <c r="J3812" t="s">
        <v>69</v>
      </c>
      <c r="K3812" t="b">
        <v>0</v>
      </c>
      <c r="L3812">
        <v>2009</v>
      </c>
      <c r="M3812">
        <v>17601620000</v>
      </c>
      <c r="N3812">
        <v>943437415024</v>
      </c>
      <c r="O3812" t="b">
        <v>1</v>
      </c>
      <c r="P3812">
        <v>-1</v>
      </c>
      <c r="Q3812" t="str" cm="1">
        <f t="array" ref="Q3812">_xlfn.IFS(Table1[[#This Row],[Wealthier_Winner]]=-1,"Wealthier Nation Loses",Table1[[#This Row],[Wealthier_Winner]]=0,"Tie",Table1[[#This Row],[Wealthier_Winner]]=1,"Wealthier Nation Wins")</f>
        <v>Wealthier Nation Loses</v>
      </c>
    </row>
    <row r="3813" spans="1:17" x14ac:dyDescent="0.2">
      <c r="A3813" s="1">
        <v>5822</v>
      </c>
      <c r="B3813" s="2">
        <v>39970</v>
      </c>
      <c r="C3813" s="7">
        <f>_xlfn.FLOOR.MATH(Table1[[#This Row],[year]],10)</f>
        <v>2000</v>
      </c>
      <c r="D3813" t="s">
        <v>230</v>
      </c>
      <c r="E3813" t="s">
        <v>503</v>
      </c>
      <c r="F3813">
        <v>2</v>
      </c>
      <c r="G3813">
        <v>1</v>
      </c>
      <c r="H3813" t="s">
        <v>224</v>
      </c>
      <c r="I3813" t="s">
        <v>231</v>
      </c>
      <c r="J3813" t="s">
        <v>230</v>
      </c>
      <c r="K3813" t="b">
        <v>0</v>
      </c>
      <c r="L3813">
        <v>2009</v>
      </c>
      <c r="M3813">
        <v>253480783439</v>
      </c>
      <c r="N3813">
        <v>4504375348</v>
      </c>
      <c r="O3813" t="b">
        <v>1</v>
      </c>
      <c r="P3813">
        <v>1</v>
      </c>
      <c r="Q3813" t="str" cm="1">
        <f t="array" ref="Q3813">_xlfn.IFS(Table1[[#This Row],[Wealthier_Winner]]=-1,"Wealthier Nation Loses",Table1[[#This Row],[Wealthier_Winner]]=0,"Tie",Table1[[#This Row],[Wealthier_Winner]]=1,"Wealthier Nation Wins")</f>
        <v>Wealthier Nation Wins</v>
      </c>
    </row>
    <row r="3814" spans="1:17" x14ac:dyDescent="0.2">
      <c r="A3814" s="1">
        <v>5823</v>
      </c>
      <c r="B3814" s="2">
        <v>39970</v>
      </c>
      <c r="C3814" s="7">
        <f>_xlfn.FLOOR.MATH(Table1[[#This Row],[year]],10)</f>
        <v>2000</v>
      </c>
      <c r="D3814" t="s">
        <v>433</v>
      </c>
      <c r="E3814" t="s">
        <v>62</v>
      </c>
      <c r="F3814">
        <v>3</v>
      </c>
      <c r="G3814">
        <v>0</v>
      </c>
      <c r="H3814" t="s">
        <v>224</v>
      </c>
      <c r="I3814" t="s">
        <v>436</v>
      </c>
      <c r="J3814" t="s">
        <v>433</v>
      </c>
      <c r="K3814" t="b">
        <v>0</v>
      </c>
      <c r="L3814">
        <v>2009</v>
      </c>
      <c r="M3814">
        <v>12113699068</v>
      </c>
      <c r="N3814">
        <v>4721888275</v>
      </c>
      <c r="O3814" t="b">
        <v>1</v>
      </c>
      <c r="P3814">
        <v>1</v>
      </c>
      <c r="Q3814" t="str" cm="1">
        <f t="array" ref="Q3814">_xlfn.IFS(Table1[[#This Row],[Wealthier_Winner]]=-1,"Wealthier Nation Loses",Table1[[#This Row],[Wealthier_Winner]]=0,"Tie",Table1[[#This Row],[Wealthier_Winner]]=1,"Wealthier Nation Wins")</f>
        <v>Wealthier Nation Wins</v>
      </c>
    </row>
    <row r="3815" spans="1:17" x14ac:dyDescent="0.2">
      <c r="A3815" s="1">
        <v>5824</v>
      </c>
      <c r="B3815" s="2">
        <v>39970</v>
      </c>
      <c r="C3815" s="7">
        <f>_xlfn.FLOOR.MATH(Table1[[#This Row],[year]],10)</f>
        <v>2000</v>
      </c>
      <c r="D3815" t="s">
        <v>66</v>
      </c>
      <c r="E3815" t="s">
        <v>27</v>
      </c>
      <c r="F3815">
        <v>1</v>
      </c>
      <c r="G3815">
        <v>2</v>
      </c>
      <c r="H3815" t="s">
        <v>224</v>
      </c>
      <c r="I3815" t="s">
        <v>336</v>
      </c>
      <c r="J3815" t="s">
        <v>66</v>
      </c>
      <c r="K3815" t="b">
        <v>0</v>
      </c>
      <c r="L3815">
        <v>2009</v>
      </c>
      <c r="M3815">
        <v>13212543837</v>
      </c>
      <c r="N3815">
        <v>878954223140</v>
      </c>
      <c r="O3815" t="b">
        <v>1</v>
      </c>
      <c r="P3815">
        <v>1</v>
      </c>
      <c r="Q3815" t="str" cm="1">
        <f t="array" ref="Q3815">_xlfn.IFS(Table1[[#This Row],[Wealthier_Winner]]=-1,"Wealthier Nation Loses",Table1[[#This Row],[Wealthier_Winner]]=0,"Tie",Table1[[#This Row],[Wealthier_Winner]]=1,"Wealthier Nation Wins")</f>
        <v>Wealthier Nation Wins</v>
      </c>
    </row>
    <row r="3816" spans="1:17" x14ac:dyDescent="0.2">
      <c r="A3816" s="1">
        <v>5825</v>
      </c>
      <c r="B3816" s="2">
        <v>39970</v>
      </c>
      <c r="C3816" s="7">
        <f>_xlfn.FLOOR.MATH(Table1[[#This Row],[year]],10)</f>
        <v>2000</v>
      </c>
      <c r="D3816" t="s">
        <v>558</v>
      </c>
      <c r="E3816" t="s">
        <v>194</v>
      </c>
      <c r="F3816">
        <v>0</v>
      </c>
      <c r="G3816">
        <v>4</v>
      </c>
      <c r="H3816" t="s">
        <v>224</v>
      </c>
      <c r="I3816" t="s">
        <v>559</v>
      </c>
      <c r="J3816" t="s">
        <v>558</v>
      </c>
      <c r="K3816" t="b">
        <v>0</v>
      </c>
      <c r="L3816">
        <v>2009</v>
      </c>
      <c r="M3816">
        <v>115308686941</v>
      </c>
      <c r="N3816">
        <v>2429358155475</v>
      </c>
      <c r="O3816" t="b">
        <v>1</v>
      </c>
      <c r="P3816">
        <v>1</v>
      </c>
      <c r="Q3816" t="str" cm="1">
        <f t="array" ref="Q3816">_xlfn.IFS(Table1[[#This Row],[Wealthier_Winner]]=-1,"Wealthier Nation Loses",Table1[[#This Row],[Wealthier_Winner]]=0,"Tie",Table1[[#This Row],[Wealthier_Winner]]=1,"Wealthier Nation Wins")</f>
        <v>Wealthier Nation Wins</v>
      </c>
    </row>
    <row r="3817" spans="1:17" x14ac:dyDescent="0.2">
      <c r="A3817" s="1">
        <v>5827</v>
      </c>
      <c r="B3817" s="2">
        <v>39970</v>
      </c>
      <c r="C3817" s="7">
        <f>_xlfn.FLOOR.MATH(Table1[[#This Row],[year]],10)</f>
        <v>2000</v>
      </c>
      <c r="D3817" t="s">
        <v>523</v>
      </c>
      <c r="E3817" t="s">
        <v>44</v>
      </c>
      <c r="F3817">
        <v>0</v>
      </c>
      <c r="G3817">
        <v>1</v>
      </c>
      <c r="H3817" t="s">
        <v>224</v>
      </c>
      <c r="I3817" t="s">
        <v>711</v>
      </c>
      <c r="J3817" t="s">
        <v>523</v>
      </c>
      <c r="K3817" t="b">
        <v>0</v>
      </c>
      <c r="L3817">
        <v>2009</v>
      </c>
      <c r="M3817">
        <v>37494380038</v>
      </c>
      <c r="N3817">
        <v>174110532658</v>
      </c>
      <c r="O3817" t="b">
        <v>1</v>
      </c>
      <c r="P3817">
        <v>1</v>
      </c>
      <c r="Q3817" t="str" cm="1">
        <f t="array" ref="Q3817">_xlfn.IFS(Table1[[#This Row],[Wealthier_Winner]]=-1,"Wealthier Nation Loses",Table1[[#This Row],[Wealthier_Winner]]=0,"Tie",Table1[[#This Row],[Wealthier_Winner]]=1,"Wealthier Nation Wins")</f>
        <v>Wealthier Nation Wins</v>
      </c>
    </row>
    <row r="3818" spans="1:17" x14ac:dyDescent="0.2">
      <c r="A3818" s="1">
        <v>5828</v>
      </c>
      <c r="B3818" s="2">
        <v>39970</v>
      </c>
      <c r="C3818" s="7">
        <f>_xlfn.FLOOR.MATH(Table1[[#This Row],[year]],10)</f>
        <v>2000</v>
      </c>
      <c r="D3818" t="s">
        <v>502</v>
      </c>
      <c r="E3818" t="s">
        <v>42</v>
      </c>
      <c r="F3818">
        <v>0</v>
      </c>
      <c r="G3818">
        <v>0</v>
      </c>
      <c r="H3818" t="s">
        <v>224</v>
      </c>
      <c r="I3818" t="s">
        <v>504</v>
      </c>
      <c r="J3818" t="s">
        <v>502</v>
      </c>
      <c r="K3818" t="b">
        <v>0</v>
      </c>
      <c r="L3818">
        <v>2009</v>
      </c>
      <c r="M3818">
        <v>9401736825</v>
      </c>
      <c r="N3818">
        <v>387976400617</v>
      </c>
      <c r="O3818" t="b">
        <v>1</v>
      </c>
      <c r="P3818">
        <v>0</v>
      </c>
      <c r="Q3818" t="str" cm="1">
        <f t="array" ref="Q3818">_xlfn.IFS(Table1[[#This Row],[Wealthier_Winner]]=-1,"Wealthier Nation Loses",Table1[[#This Row],[Wealthier_Winner]]=0,"Tie",Table1[[#This Row],[Wealthier_Winner]]=1,"Wealthier Nation Wins")</f>
        <v>Tie</v>
      </c>
    </row>
    <row r="3819" spans="1:17" x14ac:dyDescent="0.2">
      <c r="A3819" s="1">
        <v>5829</v>
      </c>
      <c r="B3819" s="2">
        <v>39970</v>
      </c>
      <c r="C3819" s="7">
        <f>_xlfn.FLOOR.MATH(Table1[[#This Row],[year]],10)</f>
        <v>2000</v>
      </c>
      <c r="D3819" t="s">
        <v>370</v>
      </c>
      <c r="E3819" t="s">
        <v>345</v>
      </c>
      <c r="F3819">
        <v>0</v>
      </c>
      <c r="G3819">
        <v>1</v>
      </c>
      <c r="H3819" t="s">
        <v>224</v>
      </c>
      <c r="I3819" t="s">
        <v>372</v>
      </c>
      <c r="J3819" t="s">
        <v>370</v>
      </c>
      <c r="K3819" t="b">
        <v>0</v>
      </c>
      <c r="L3819">
        <v>2009</v>
      </c>
      <c r="M3819">
        <v>9009887946</v>
      </c>
      <c r="N3819">
        <v>9450696873</v>
      </c>
      <c r="O3819" t="b">
        <v>0</v>
      </c>
      <c r="P3819">
        <v>1</v>
      </c>
      <c r="Q3819" t="str" cm="1">
        <f t="array" ref="Q3819">_xlfn.IFS(Table1[[#This Row],[Wealthier_Winner]]=-1,"Wealthier Nation Loses",Table1[[#This Row],[Wealthier_Winner]]=0,"Tie",Table1[[#This Row],[Wealthier_Winner]]=1,"Wealthier Nation Wins")</f>
        <v>Wealthier Nation Wins</v>
      </c>
    </row>
    <row r="3820" spans="1:17" x14ac:dyDescent="0.2">
      <c r="A3820" s="1">
        <v>5830</v>
      </c>
      <c r="B3820" s="2">
        <v>39970</v>
      </c>
      <c r="C3820" s="7">
        <f>_xlfn.FLOOR.MATH(Table1[[#This Row],[year]],10)</f>
        <v>2000</v>
      </c>
      <c r="D3820" t="s">
        <v>35</v>
      </c>
      <c r="E3820" t="s">
        <v>14</v>
      </c>
      <c r="F3820">
        <v>0</v>
      </c>
      <c r="G3820">
        <v>2</v>
      </c>
      <c r="H3820" t="s">
        <v>224</v>
      </c>
      <c r="I3820" t="s">
        <v>250</v>
      </c>
      <c r="J3820" t="s">
        <v>35</v>
      </c>
      <c r="K3820" t="b">
        <v>0</v>
      </c>
      <c r="L3820">
        <v>2009</v>
      </c>
      <c r="M3820">
        <v>22355151162</v>
      </c>
      <c r="N3820">
        <v>171777900623</v>
      </c>
      <c r="O3820" t="b">
        <v>1</v>
      </c>
      <c r="P3820">
        <v>1</v>
      </c>
      <c r="Q3820" t="str" cm="1">
        <f t="array" ref="Q3820">_xlfn.IFS(Table1[[#This Row],[Wealthier_Winner]]=-1,"Wealthier Nation Loses",Table1[[#This Row],[Wealthier_Winner]]=0,"Tie",Table1[[#This Row],[Wealthier_Winner]]=1,"Wealthier Nation Wins")</f>
        <v>Wealthier Nation Wins</v>
      </c>
    </row>
    <row r="3821" spans="1:17" x14ac:dyDescent="0.2">
      <c r="A3821" s="1">
        <v>5831</v>
      </c>
      <c r="B3821" s="2">
        <v>39970</v>
      </c>
      <c r="C3821" s="7">
        <f>_xlfn.FLOOR.MATH(Table1[[#This Row],[year]],10)</f>
        <v>2000</v>
      </c>
      <c r="D3821" t="s">
        <v>68</v>
      </c>
      <c r="E3821" t="s">
        <v>28</v>
      </c>
      <c r="F3821">
        <v>0</v>
      </c>
      <c r="G3821">
        <v>0</v>
      </c>
      <c r="H3821" t="s">
        <v>224</v>
      </c>
      <c r="I3821" t="s">
        <v>190</v>
      </c>
      <c r="J3821" t="s">
        <v>68</v>
      </c>
      <c r="K3821" t="b">
        <v>0</v>
      </c>
      <c r="L3821">
        <v>2009</v>
      </c>
      <c r="M3821">
        <v>97798351648</v>
      </c>
      <c r="N3821">
        <v>931761689770</v>
      </c>
      <c r="O3821" t="b">
        <v>1</v>
      </c>
      <c r="P3821">
        <v>0</v>
      </c>
      <c r="Q3821" t="str" cm="1">
        <f t="array" ref="Q3821">_xlfn.IFS(Table1[[#This Row],[Wealthier_Winner]]=-1,"Wealthier Nation Loses",Table1[[#This Row],[Wealthier_Winner]]=0,"Tie",Table1[[#This Row],[Wealthier_Winner]]=1,"Wealthier Nation Wins")</f>
        <v>Tie</v>
      </c>
    </row>
    <row r="3822" spans="1:17" x14ac:dyDescent="0.2">
      <c r="A3822" s="1">
        <v>5832</v>
      </c>
      <c r="B3822" s="2">
        <v>39970</v>
      </c>
      <c r="C3822" s="7">
        <f>_xlfn.FLOOR.MATH(Table1[[#This Row],[year]],10)</f>
        <v>2000</v>
      </c>
      <c r="D3822" t="s">
        <v>61</v>
      </c>
      <c r="E3822" t="s">
        <v>29</v>
      </c>
      <c r="F3822">
        <v>1</v>
      </c>
      <c r="G3822">
        <v>0</v>
      </c>
      <c r="H3822" t="s">
        <v>224</v>
      </c>
      <c r="I3822" t="s">
        <v>505</v>
      </c>
      <c r="J3822" t="s">
        <v>61</v>
      </c>
      <c r="K3822" t="b">
        <v>0</v>
      </c>
      <c r="L3822">
        <v>2009</v>
      </c>
      <c r="M3822">
        <v>46955984409</v>
      </c>
      <c r="N3822">
        <v>399290118782</v>
      </c>
      <c r="O3822" t="b">
        <v>1</v>
      </c>
      <c r="P3822">
        <v>-1</v>
      </c>
      <c r="Q3822" t="str" cm="1">
        <f t="array" ref="Q3822">_xlfn.IFS(Table1[[#This Row],[Wealthier_Winner]]=-1,"Wealthier Nation Loses",Table1[[#This Row],[Wealthier_Winner]]=0,"Tie",Table1[[#This Row],[Wealthier_Winner]]=1,"Wealthier Nation Wins")</f>
        <v>Wealthier Nation Loses</v>
      </c>
    </row>
    <row r="3823" spans="1:17" x14ac:dyDescent="0.2">
      <c r="A3823" s="1">
        <v>5834</v>
      </c>
      <c r="B3823" s="2">
        <v>39970</v>
      </c>
      <c r="C3823" s="7">
        <f>_xlfn.FLOOR.MATH(Table1[[#This Row],[year]],10)</f>
        <v>2000</v>
      </c>
      <c r="D3823" t="s">
        <v>25</v>
      </c>
      <c r="E3823" t="s">
        <v>36</v>
      </c>
      <c r="F3823">
        <v>0</v>
      </c>
      <c r="G3823">
        <v>1</v>
      </c>
      <c r="H3823" t="s">
        <v>224</v>
      </c>
      <c r="I3823" t="s">
        <v>233</v>
      </c>
      <c r="J3823" t="s">
        <v>25</v>
      </c>
      <c r="K3823" t="b">
        <v>0</v>
      </c>
      <c r="L3823">
        <v>2009</v>
      </c>
      <c r="M3823">
        <v>434311714442</v>
      </c>
      <c r="N3823">
        <v>322619152194</v>
      </c>
      <c r="O3823" t="b">
        <v>0</v>
      </c>
      <c r="P3823">
        <v>-1</v>
      </c>
      <c r="Q3823" t="str" cm="1">
        <f t="array" ref="Q3823">_xlfn.IFS(Table1[[#This Row],[Wealthier_Winner]]=-1,"Wealthier Nation Loses",Table1[[#This Row],[Wealthier_Winner]]=0,"Tie",Table1[[#This Row],[Wealthier_Winner]]=1,"Wealthier Nation Wins")</f>
        <v>Wealthier Nation Loses</v>
      </c>
    </row>
    <row r="3824" spans="1:17" x14ac:dyDescent="0.2">
      <c r="A3824" s="1">
        <v>5835</v>
      </c>
      <c r="B3824" s="2">
        <v>39970</v>
      </c>
      <c r="C3824" s="7">
        <f>_xlfn.FLOOR.MATH(Table1[[#This Row],[year]],10)</f>
        <v>2000</v>
      </c>
      <c r="D3824" t="s">
        <v>59</v>
      </c>
      <c r="E3824" t="s">
        <v>56</v>
      </c>
      <c r="F3824">
        <v>2</v>
      </c>
      <c r="G3824">
        <v>3</v>
      </c>
      <c r="H3824" t="s">
        <v>224</v>
      </c>
      <c r="I3824" t="s">
        <v>725</v>
      </c>
      <c r="J3824" t="s">
        <v>59</v>
      </c>
      <c r="K3824" t="b">
        <v>0</v>
      </c>
      <c r="L3824">
        <v>2009</v>
      </c>
      <c r="M3824">
        <v>19172165225</v>
      </c>
      <c r="N3824">
        <v>30745714312</v>
      </c>
      <c r="O3824" t="b">
        <v>0</v>
      </c>
      <c r="P3824">
        <v>1</v>
      </c>
      <c r="Q3824" t="str" cm="1">
        <f t="array" ref="Q3824">_xlfn.IFS(Table1[[#This Row],[Wealthier_Winner]]=-1,"Wealthier Nation Loses",Table1[[#This Row],[Wealthier_Winner]]=0,"Tie",Table1[[#This Row],[Wealthier_Winner]]=1,"Wealthier Nation Wins")</f>
        <v>Wealthier Nation Wins</v>
      </c>
    </row>
    <row r="3825" spans="1:17" x14ac:dyDescent="0.2">
      <c r="A3825" s="1">
        <v>5836</v>
      </c>
      <c r="B3825" s="2">
        <v>39970</v>
      </c>
      <c r="C3825" s="7">
        <f>_xlfn.FLOOR.MATH(Table1[[#This Row],[year]],10)</f>
        <v>2000</v>
      </c>
      <c r="D3825" t="s">
        <v>53</v>
      </c>
      <c r="E3825" t="s">
        <v>300</v>
      </c>
      <c r="F3825">
        <v>2</v>
      </c>
      <c r="G3825">
        <v>0</v>
      </c>
      <c r="H3825" t="s">
        <v>224</v>
      </c>
      <c r="I3825" t="s">
        <v>658</v>
      </c>
      <c r="J3825" t="s">
        <v>53</v>
      </c>
      <c r="K3825" t="b">
        <v>0</v>
      </c>
      <c r="L3825">
        <v>2009</v>
      </c>
      <c r="M3825">
        <v>43455740497</v>
      </c>
      <c r="N3825">
        <v>12263894790</v>
      </c>
      <c r="O3825" t="b">
        <v>1</v>
      </c>
      <c r="P3825">
        <v>1</v>
      </c>
      <c r="Q3825" t="str" cm="1">
        <f t="array" ref="Q3825">_xlfn.IFS(Table1[[#This Row],[Wealthier_Winner]]=-1,"Wealthier Nation Loses",Table1[[#This Row],[Wealthier_Winner]]=0,"Tie",Table1[[#This Row],[Wealthier_Winner]]=1,"Wealthier Nation Wins")</f>
        <v>Wealthier Nation Wins</v>
      </c>
    </row>
    <row r="3826" spans="1:17" x14ac:dyDescent="0.2">
      <c r="A3826" s="1">
        <v>5837</v>
      </c>
      <c r="B3826" s="2">
        <v>39970</v>
      </c>
      <c r="C3826" s="7">
        <f>_xlfn.FLOOR.MATH(Table1[[#This Row],[year]],10)</f>
        <v>2000</v>
      </c>
      <c r="D3826" t="s">
        <v>39</v>
      </c>
      <c r="E3826" t="s">
        <v>195</v>
      </c>
      <c r="F3826">
        <v>0</v>
      </c>
      <c r="G3826">
        <v>2</v>
      </c>
      <c r="H3826" t="s">
        <v>224</v>
      </c>
      <c r="I3826" t="s">
        <v>412</v>
      </c>
      <c r="J3826" t="s">
        <v>39</v>
      </c>
      <c r="K3826" t="b">
        <v>0</v>
      </c>
      <c r="L3826">
        <v>2009</v>
      </c>
      <c r="M3826">
        <v>253547358747</v>
      </c>
      <c r="N3826">
        <v>983065242417</v>
      </c>
      <c r="O3826" t="b">
        <v>1</v>
      </c>
      <c r="P3826">
        <v>1</v>
      </c>
      <c r="Q3826" t="str" cm="1">
        <f t="array" ref="Q3826">_xlfn.IFS(Table1[[#This Row],[Wealthier_Winner]]=-1,"Wealthier Nation Loses",Table1[[#This Row],[Wealthier_Winner]]=0,"Tie",Table1[[#This Row],[Wealthier_Winner]]=1,"Wealthier Nation Wins")</f>
        <v>Wealthier Nation Wins</v>
      </c>
    </row>
    <row r="3827" spans="1:17" x14ac:dyDescent="0.2">
      <c r="A3827" s="1">
        <v>5838</v>
      </c>
      <c r="B3827" s="2">
        <v>39970</v>
      </c>
      <c r="C3827" s="7">
        <f>_xlfn.FLOOR.MATH(Table1[[#This Row],[year]],10)</f>
        <v>2000</v>
      </c>
      <c r="D3827" t="s">
        <v>26</v>
      </c>
      <c r="E3827" t="s">
        <v>13</v>
      </c>
      <c r="F3827">
        <v>0</v>
      </c>
      <c r="G3827">
        <v>4</v>
      </c>
      <c r="H3827" t="s">
        <v>224</v>
      </c>
      <c r="I3827" t="s">
        <v>247</v>
      </c>
      <c r="J3827" t="s">
        <v>26</v>
      </c>
      <c r="K3827" t="b">
        <v>0</v>
      </c>
      <c r="L3827">
        <v>2009</v>
      </c>
      <c r="M3827">
        <v>32708319077</v>
      </c>
      <c r="N3827">
        <v>1666996294252</v>
      </c>
      <c r="O3827" t="b">
        <v>1</v>
      </c>
      <c r="P3827">
        <v>1</v>
      </c>
      <c r="Q3827" t="str" cm="1">
        <f t="array" ref="Q3827">_xlfn.IFS(Table1[[#This Row],[Wealthier_Winner]]=-1,"Wealthier Nation Loses",Table1[[#This Row],[Wealthier_Winner]]=0,"Tie",Table1[[#This Row],[Wealthier_Winner]]=1,"Wealthier Nation Wins")</f>
        <v>Wealthier Nation Wins</v>
      </c>
    </row>
    <row r="3828" spans="1:17" x14ac:dyDescent="0.2">
      <c r="A3828" s="1">
        <v>5839</v>
      </c>
      <c r="B3828" s="2">
        <v>39970</v>
      </c>
      <c r="C3828" s="7">
        <f>_xlfn.FLOOR.MATH(Table1[[#This Row],[year]],10)</f>
        <v>2000</v>
      </c>
      <c r="D3828" t="s">
        <v>41</v>
      </c>
      <c r="E3828" t="s">
        <v>65</v>
      </c>
      <c r="F3828">
        <v>2</v>
      </c>
      <c r="G3828">
        <v>1</v>
      </c>
      <c r="H3828" t="s">
        <v>224</v>
      </c>
      <c r="I3828" t="s">
        <v>118</v>
      </c>
      <c r="J3828" t="s">
        <v>41</v>
      </c>
      <c r="K3828" t="b">
        <v>0</v>
      </c>
      <c r="L3828">
        <v>2009</v>
      </c>
      <c r="M3828">
        <v>14478064934000</v>
      </c>
      <c r="N3828">
        <v>14587496229</v>
      </c>
      <c r="O3828" t="b">
        <v>1</v>
      </c>
      <c r="P3828">
        <v>1</v>
      </c>
      <c r="Q3828" t="str" cm="1">
        <f t="array" ref="Q3828">_xlfn.IFS(Table1[[#This Row],[Wealthier_Winner]]=-1,"Wealthier Nation Loses",Table1[[#This Row],[Wealthier_Winner]]=0,"Tie",Table1[[#This Row],[Wealthier_Winner]]=1,"Wealthier Nation Wins")</f>
        <v>Wealthier Nation Wins</v>
      </c>
    </row>
    <row r="3829" spans="1:17" x14ac:dyDescent="0.2">
      <c r="A3829" s="1">
        <v>5840</v>
      </c>
      <c r="B3829" s="2">
        <v>39970</v>
      </c>
      <c r="C3829" s="7">
        <f>_xlfn.FLOOR.MATH(Table1[[#This Row],[year]],10)</f>
        <v>2000</v>
      </c>
      <c r="D3829" t="s">
        <v>563</v>
      </c>
      <c r="E3829" t="s">
        <v>51</v>
      </c>
      <c r="F3829">
        <v>0</v>
      </c>
      <c r="G3829">
        <v>1</v>
      </c>
      <c r="H3829" t="s">
        <v>224</v>
      </c>
      <c r="I3829" t="s">
        <v>564</v>
      </c>
      <c r="J3829" t="s">
        <v>563</v>
      </c>
      <c r="K3829" t="b">
        <v>0</v>
      </c>
      <c r="L3829">
        <v>2009</v>
      </c>
      <c r="M3829">
        <v>33689223673</v>
      </c>
      <c r="N3829">
        <v>5289493117993</v>
      </c>
      <c r="O3829" t="b">
        <v>1</v>
      </c>
      <c r="P3829">
        <v>1</v>
      </c>
      <c r="Q3829" t="str" cm="1">
        <f t="array" ref="Q3829">_xlfn.IFS(Table1[[#This Row],[Wealthier_Winner]]=-1,"Wealthier Nation Loses",Table1[[#This Row],[Wealthier_Winner]]=0,"Tie",Table1[[#This Row],[Wealthier_Winner]]=1,"Wealthier Nation Wins")</f>
        <v>Wealthier Nation Wins</v>
      </c>
    </row>
    <row r="3830" spans="1:17" x14ac:dyDescent="0.2">
      <c r="A3830" s="1">
        <v>5841</v>
      </c>
      <c r="B3830" s="2">
        <v>39970</v>
      </c>
      <c r="C3830" s="7">
        <f>_xlfn.FLOOR.MATH(Table1[[#This Row],[year]],10)</f>
        <v>2000</v>
      </c>
      <c r="D3830" t="s">
        <v>273</v>
      </c>
      <c r="E3830" t="s">
        <v>514</v>
      </c>
      <c r="F3830">
        <v>1</v>
      </c>
      <c r="G3830">
        <v>0</v>
      </c>
      <c r="H3830" t="s">
        <v>224</v>
      </c>
      <c r="I3830" t="s">
        <v>677</v>
      </c>
      <c r="J3830" t="s">
        <v>273</v>
      </c>
      <c r="K3830" t="b">
        <v>0</v>
      </c>
      <c r="L3830">
        <v>2009</v>
      </c>
      <c r="M3830">
        <v>15328342303</v>
      </c>
      <c r="N3830">
        <v>5674476969</v>
      </c>
      <c r="O3830" t="b">
        <v>1</v>
      </c>
      <c r="P3830">
        <v>1</v>
      </c>
      <c r="Q3830" t="str" cm="1">
        <f t="array" ref="Q3830">_xlfn.IFS(Table1[[#This Row],[Wealthier_Winner]]=-1,"Wealthier Nation Loses",Table1[[#This Row],[Wealthier_Winner]]=0,"Tie",Table1[[#This Row],[Wealthier_Winner]]=1,"Wealthier Nation Wins")</f>
        <v>Wealthier Nation Wins</v>
      </c>
    </row>
    <row r="3831" spans="1:17" x14ac:dyDescent="0.2">
      <c r="A3831" s="1">
        <v>5842</v>
      </c>
      <c r="B3831" s="2">
        <v>39971</v>
      </c>
      <c r="C3831" s="7">
        <f>_xlfn.FLOOR.MATH(Table1[[#This Row],[year]],10)</f>
        <v>2000</v>
      </c>
      <c r="D3831" t="s">
        <v>40</v>
      </c>
      <c r="E3831" t="s">
        <v>24</v>
      </c>
      <c r="F3831">
        <v>0</v>
      </c>
      <c r="G3831">
        <v>0</v>
      </c>
      <c r="H3831" t="s">
        <v>224</v>
      </c>
      <c r="I3831" t="s">
        <v>371</v>
      </c>
      <c r="J3831" t="s">
        <v>40</v>
      </c>
      <c r="K3831" t="b">
        <v>0</v>
      </c>
      <c r="L3831">
        <v>2009</v>
      </c>
      <c r="M3831">
        <v>27932970317</v>
      </c>
      <c r="N3831">
        <v>101154952240</v>
      </c>
      <c r="O3831" t="b">
        <v>1</v>
      </c>
      <c r="P3831">
        <v>0</v>
      </c>
      <c r="Q3831" t="str" cm="1">
        <f t="array" ref="Q3831">_xlfn.IFS(Table1[[#This Row],[Wealthier_Winner]]=-1,"Wealthier Nation Loses",Table1[[#This Row],[Wealthier_Winner]]=0,"Tie",Table1[[#This Row],[Wealthier_Winner]]=1,"Wealthier Nation Wins")</f>
        <v>Tie</v>
      </c>
    </row>
    <row r="3832" spans="1:17" x14ac:dyDescent="0.2">
      <c r="A3832" s="1">
        <v>5844</v>
      </c>
      <c r="B3832" s="2">
        <v>39971</v>
      </c>
      <c r="C3832" s="7">
        <f>_xlfn.FLOOR.MATH(Table1[[#This Row],[year]],10)</f>
        <v>2000</v>
      </c>
      <c r="D3832" t="s">
        <v>31</v>
      </c>
      <c r="E3832" t="s">
        <v>57</v>
      </c>
      <c r="F3832">
        <v>1</v>
      </c>
      <c r="G3832">
        <v>2</v>
      </c>
      <c r="H3832" t="s">
        <v>224</v>
      </c>
      <c r="I3832" t="s">
        <v>242</v>
      </c>
      <c r="J3832" t="s">
        <v>31</v>
      </c>
      <c r="K3832" t="b">
        <v>0</v>
      </c>
      <c r="L3832">
        <v>2009</v>
      </c>
      <c r="M3832">
        <v>120822986521</v>
      </c>
      <c r="N3832">
        <v>60094978000</v>
      </c>
      <c r="O3832" t="b">
        <v>1</v>
      </c>
      <c r="P3832">
        <v>-1</v>
      </c>
      <c r="Q3832" t="str" cm="1">
        <f t="array" ref="Q3832">_xlfn.IFS(Table1[[#This Row],[Wealthier_Winner]]=-1,"Wealthier Nation Loses",Table1[[#This Row],[Wealthier_Winner]]=0,"Tie",Table1[[#This Row],[Wealthier_Winner]]=1,"Wealthier Nation Wins")</f>
        <v>Wealthier Nation Loses</v>
      </c>
    </row>
    <row r="3833" spans="1:17" x14ac:dyDescent="0.2">
      <c r="A3833" s="1">
        <v>5845</v>
      </c>
      <c r="B3833" s="2">
        <v>39971</v>
      </c>
      <c r="C3833" s="7">
        <f>_xlfn.FLOOR.MATH(Table1[[#This Row],[year]],10)</f>
        <v>2000</v>
      </c>
      <c r="D3833" t="s">
        <v>32</v>
      </c>
      <c r="E3833" t="s">
        <v>212</v>
      </c>
      <c r="F3833">
        <v>3</v>
      </c>
      <c r="G3833">
        <v>1</v>
      </c>
      <c r="H3833" t="s">
        <v>224</v>
      </c>
      <c r="I3833" t="s">
        <v>697</v>
      </c>
      <c r="J3833" t="s">
        <v>32</v>
      </c>
      <c r="K3833" t="b">
        <v>0</v>
      </c>
      <c r="L3833">
        <v>2009</v>
      </c>
      <c r="M3833">
        <v>150317292079</v>
      </c>
      <c r="N3833">
        <v>189147005444</v>
      </c>
      <c r="O3833" t="b">
        <v>0</v>
      </c>
      <c r="P3833">
        <v>-1</v>
      </c>
      <c r="Q3833" t="str" cm="1">
        <f t="array" ref="Q3833">_xlfn.IFS(Table1[[#This Row],[Wealthier_Winner]]=-1,"Wealthier Nation Loses",Table1[[#This Row],[Wealthier_Winner]]=0,"Tie",Table1[[#This Row],[Wealthier_Winner]]=1,"Wealthier Nation Wins")</f>
        <v>Wealthier Nation Loses</v>
      </c>
    </row>
    <row r="3834" spans="1:17" x14ac:dyDescent="0.2">
      <c r="A3834" s="1">
        <v>5846</v>
      </c>
      <c r="B3834" s="2">
        <v>39971</v>
      </c>
      <c r="C3834" s="7">
        <f>_xlfn.FLOOR.MATH(Table1[[#This Row],[year]],10)</f>
        <v>2000</v>
      </c>
      <c r="D3834" t="s">
        <v>310</v>
      </c>
      <c r="E3834" t="s">
        <v>274</v>
      </c>
      <c r="F3834">
        <v>1</v>
      </c>
      <c r="G3834">
        <v>0</v>
      </c>
      <c r="H3834" t="s">
        <v>224</v>
      </c>
      <c r="I3834" t="s">
        <v>311</v>
      </c>
      <c r="J3834" t="s">
        <v>310</v>
      </c>
      <c r="K3834" t="b">
        <v>0</v>
      </c>
      <c r="L3834">
        <v>2009</v>
      </c>
      <c r="M3834">
        <v>9738626517</v>
      </c>
      <c r="N3834">
        <v>51621044076</v>
      </c>
      <c r="O3834" t="b">
        <v>1</v>
      </c>
      <c r="P3834">
        <v>-1</v>
      </c>
      <c r="Q3834" t="str" cm="1">
        <f t="array" ref="Q3834">_xlfn.IFS(Table1[[#This Row],[Wealthier_Winner]]=-1,"Wealthier Nation Loses",Table1[[#This Row],[Wealthier_Winner]]=0,"Tie",Table1[[#This Row],[Wealthier_Winner]]=1,"Wealthier Nation Wins")</f>
        <v>Wealthier Nation Loses</v>
      </c>
    </row>
    <row r="3835" spans="1:17" x14ac:dyDescent="0.2">
      <c r="A3835" s="1">
        <v>5847</v>
      </c>
      <c r="B3835" s="2">
        <v>39971</v>
      </c>
      <c r="C3835" s="7">
        <f>_xlfn.FLOOR.MATH(Table1[[#This Row],[year]],10)</f>
        <v>2000</v>
      </c>
      <c r="D3835" t="s">
        <v>590</v>
      </c>
      <c r="E3835" t="s">
        <v>63</v>
      </c>
      <c r="F3835">
        <v>0</v>
      </c>
      <c r="G3835">
        <v>2</v>
      </c>
      <c r="H3835" t="s">
        <v>224</v>
      </c>
      <c r="I3835" t="s">
        <v>596</v>
      </c>
      <c r="J3835" t="s">
        <v>590</v>
      </c>
      <c r="K3835" t="b">
        <v>0</v>
      </c>
      <c r="L3835">
        <v>2009</v>
      </c>
      <c r="M3835">
        <v>12155217832</v>
      </c>
      <c r="N3835">
        <v>26048720005</v>
      </c>
      <c r="O3835" t="b">
        <v>1</v>
      </c>
      <c r="P3835">
        <v>1</v>
      </c>
      <c r="Q3835" t="str" cm="1">
        <f t="array" ref="Q3835">_xlfn.IFS(Table1[[#This Row],[Wealthier_Winner]]=-1,"Wealthier Nation Loses",Table1[[#This Row],[Wealthier_Winner]]=0,"Tie",Table1[[#This Row],[Wealthier_Winner]]=1,"Wealthier Nation Wins")</f>
        <v>Wealthier Nation Wins</v>
      </c>
    </row>
    <row r="3836" spans="1:17" x14ac:dyDescent="0.2">
      <c r="A3836" s="1">
        <v>5848</v>
      </c>
      <c r="B3836" s="2">
        <v>39971</v>
      </c>
      <c r="C3836" s="7">
        <f>_xlfn.FLOOR.MATH(Table1[[#This Row],[year]],10)</f>
        <v>2000</v>
      </c>
      <c r="D3836" t="s">
        <v>43</v>
      </c>
      <c r="E3836" t="s">
        <v>314</v>
      </c>
      <c r="F3836">
        <v>3</v>
      </c>
      <c r="G3836">
        <v>0</v>
      </c>
      <c r="H3836" t="s">
        <v>224</v>
      </c>
      <c r="I3836" t="s">
        <v>657</v>
      </c>
      <c r="J3836" t="s">
        <v>43</v>
      </c>
      <c r="K3836" t="b">
        <v>0</v>
      </c>
      <c r="L3836">
        <v>2009</v>
      </c>
      <c r="M3836">
        <v>295008835380</v>
      </c>
      <c r="N3836">
        <v>42347217912</v>
      </c>
      <c r="O3836" t="b">
        <v>1</v>
      </c>
      <c r="P3836">
        <v>1</v>
      </c>
      <c r="Q3836" t="str" cm="1">
        <f t="array" ref="Q3836">_xlfn.IFS(Table1[[#This Row],[Wealthier_Winner]]=-1,"Wealthier Nation Loses",Table1[[#This Row],[Wealthier_Winner]]=0,"Tie",Table1[[#This Row],[Wealthier_Winner]]=1,"Wealthier Nation Wins")</f>
        <v>Wealthier Nation Wins</v>
      </c>
    </row>
    <row r="3837" spans="1:17" x14ac:dyDescent="0.2">
      <c r="A3837" s="1">
        <v>5849</v>
      </c>
      <c r="B3837" s="2">
        <v>39974</v>
      </c>
      <c r="C3837" s="7">
        <f>_xlfn.FLOOR.MATH(Table1[[#This Row],[year]],10)</f>
        <v>2000</v>
      </c>
      <c r="D3837" t="s">
        <v>28</v>
      </c>
      <c r="E3837" t="s">
        <v>361</v>
      </c>
      <c r="F3837">
        <v>2</v>
      </c>
      <c r="G3837">
        <v>0</v>
      </c>
      <c r="H3837" t="s">
        <v>224</v>
      </c>
      <c r="I3837" t="s">
        <v>301</v>
      </c>
      <c r="J3837" t="s">
        <v>28</v>
      </c>
      <c r="K3837" t="b">
        <v>0</v>
      </c>
      <c r="L3837">
        <v>2009</v>
      </c>
      <c r="M3837">
        <v>931761689770</v>
      </c>
      <c r="N3837">
        <v>22938218085</v>
      </c>
      <c r="O3837" t="b">
        <v>1</v>
      </c>
      <c r="P3837">
        <v>1</v>
      </c>
      <c r="Q3837" t="str" cm="1">
        <f t="array" ref="Q3837">_xlfn.IFS(Table1[[#This Row],[Wealthier_Winner]]=-1,"Wealthier Nation Loses",Table1[[#This Row],[Wealthier_Winner]]=0,"Tie",Table1[[#This Row],[Wealthier_Winner]]=1,"Wealthier Nation Wins")</f>
        <v>Wealthier Nation Wins</v>
      </c>
    </row>
    <row r="3838" spans="1:17" x14ac:dyDescent="0.2">
      <c r="A3838" s="1">
        <v>5850</v>
      </c>
      <c r="B3838" s="2">
        <v>39974</v>
      </c>
      <c r="C3838" s="7">
        <f>_xlfn.FLOOR.MATH(Table1[[#This Row],[year]],10)</f>
        <v>2000</v>
      </c>
      <c r="D3838" t="s">
        <v>13</v>
      </c>
      <c r="E3838" t="s">
        <v>35</v>
      </c>
      <c r="F3838">
        <v>2</v>
      </c>
      <c r="G3838">
        <v>1</v>
      </c>
      <c r="H3838" t="s">
        <v>224</v>
      </c>
      <c r="I3838" t="s">
        <v>177</v>
      </c>
      <c r="J3838" t="s">
        <v>13</v>
      </c>
      <c r="K3838" t="b">
        <v>0</v>
      </c>
      <c r="L3838">
        <v>2009</v>
      </c>
      <c r="M3838">
        <v>1666996294252</v>
      </c>
      <c r="N3838">
        <v>22355151162</v>
      </c>
      <c r="O3838" t="b">
        <v>1</v>
      </c>
      <c r="P3838">
        <v>1</v>
      </c>
      <c r="Q3838" t="str" cm="1">
        <f t="array" ref="Q3838">_xlfn.IFS(Table1[[#This Row],[Wealthier_Winner]]=-1,"Wealthier Nation Loses",Table1[[#This Row],[Wealthier_Winner]]=0,"Tie",Table1[[#This Row],[Wealthier_Winner]]=1,"Wealthier Nation Wins")</f>
        <v>Wealthier Nation Wins</v>
      </c>
    </row>
    <row r="3839" spans="1:17" x14ac:dyDescent="0.2">
      <c r="A3839" s="1">
        <v>5851</v>
      </c>
      <c r="B3839" s="2">
        <v>39974</v>
      </c>
      <c r="C3839" s="7">
        <f>_xlfn.FLOOR.MATH(Table1[[#This Row],[year]],10)</f>
        <v>2000</v>
      </c>
      <c r="D3839" t="s">
        <v>14</v>
      </c>
      <c r="E3839" t="s">
        <v>47</v>
      </c>
      <c r="F3839">
        <v>4</v>
      </c>
      <c r="G3839">
        <v>0</v>
      </c>
      <c r="H3839" t="s">
        <v>224</v>
      </c>
      <c r="I3839" t="s">
        <v>75</v>
      </c>
      <c r="J3839" t="s">
        <v>14</v>
      </c>
      <c r="K3839" t="b">
        <v>0</v>
      </c>
      <c r="L3839">
        <v>2009</v>
      </c>
      <c r="M3839">
        <v>171777900623</v>
      </c>
      <c r="N3839">
        <v>17339992193</v>
      </c>
      <c r="O3839" t="b">
        <v>1</v>
      </c>
      <c r="P3839">
        <v>1</v>
      </c>
      <c r="Q3839" t="str" cm="1">
        <f t="array" ref="Q3839">_xlfn.IFS(Table1[[#This Row],[Wealthier_Winner]]=-1,"Wealthier Nation Loses",Table1[[#This Row],[Wealthier_Winner]]=0,"Tie",Table1[[#This Row],[Wealthier_Winner]]=1,"Wealthier Nation Wins")</f>
        <v>Wealthier Nation Wins</v>
      </c>
    </row>
    <row r="3840" spans="1:17" x14ac:dyDescent="0.2">
      <c r="A3840" s="1">
        <v>5852</v>
      </c>
      <c r="B3840" s="2">
        <v>39974</v>
      </c>
      <c r="C3840" s="7">
        <f>_xlfn.FLOOR.MATH(Table1[[#This Row],[year]],10)</f>
        <v>2000</v>
      </c>
      <c r="D3840" t="s">
        <v>15</v>
      </c>
      <c r="E3840" t="s">
        <v>31</v>
      </c>
      <c r="F3840">
        <v>1</v>
      </c>
      <c r="G3840">
        <v>0</v>
      </c>
      <c r="H3840" t="s">
        <v>224</v>
      </c>
      <c r="I3840" t="s">
        <v>726</v>
      </c>
      <c r="J3840" t="s">
        <v>15</v>
      </c>
      <c r="K3840" t="b">
        <v>0</v>
      </c>
      <c r="L3840">
        <v>2009</v>
      </c>
      <c r="M3840">
        <v>232468663109</v>
      </c>
      <c r="N3840">
        <v>120822986521</v>
      </c>
      <c r="O3840" t="b">
        <v>0</v>
      </c>
      <c r="P3840">
        <v>1</v>
      </c>
      <c r="Q3840" t="str" cm="1">
        <f t="array" ref="Q3840">_xlfn.IFS(Table1[[#This Row],[Wealthier_Winner]]=-1,"Wealthier Nation Loses",Table1[[#This Row],[Wealthier_Winner]]=0,"Tie",Table1[[#This Row],[Wealthier_Winner]]=1,"Wealthier Nation Wins")</f>
        <v>Wealthier Nation Wins</v>
      </c>
    </row>
    <row r="3841" spans="1:17" x14ac:dyDescent="0.2">
      <c r="A3841" s="1">
        <v>5853</v>
      </c>
      <c r="B3841" s="2">
        <v>39974</v>
      </c>
      <c r="C3841" s="7">
        <f>_xlfn.FLOOR.MATH(Table1[[#This Row],[year]],10)</f>
        <v>2000</v>
      </c>
      <c r="D3841" t="s">
        <v>57</v>
      </c>
      <c r="E3841" t="s">
        <v>19</v>
      </c>
      <c r="F3841">
        <v>2</v>
      </c>
      <c r="G3841">
        <v>0</v>
      </c>
      <c r="H3841" t="s">
        <v>224</v>
      </c>
      <c r="I3841" t="s">
        <v>335</v>
      </c>
      <c r="J3841" t="s">
        <v>57</v>
      </c>
      <c r="K3841" t="b">
        <v>0</v>
      </c>
      <c r="L3841">
        <v>2009</v>
      </c>
      <c r="M3841">
        <v>60094978000</v>
      </c>
      <c r="N3841">
        <v>332976484577</v>
      </c>
      <c r="O3841" t="b">
        <v>1</v>
      </c>
      <c r="P3841">
        <v>-1</v>
      </c>
      <c r="Q3841" t="str" cm="1">
        <f t="array" ref="Q3841">_xlfn.IFS(Table1[[#This Row],[Wealthier_Winner]]=-1,"Wealthier Nation Loses",Table1[[#This Row],[Wealthier_Winner]]=0,"Tie",Table1[[#This Row],[Wealthier_Winner]]=1,"Wealthier Nation Wins")</f>
        <v>Wealthier Nation Loses</v>
      </c>
    </row>
    <row r="3842" spans="1:17" x14ac:dyDescent="0.2">
      <c r="A3842" s="1">
        <v>5854</v>
      </c>
      <c r="B3842" s="2">
        <v>39974</v>
      </c>
      <c r="C3842" s="7">
        <f>_xlfn.FLOOR.MATH(Table1[[#This Row],[year]],10)</f>
        <v>2000</v>
      </c>
      <c r="D3842" t="s">
        <v>194</v>
      </c>
      <c r="E3842" t="s">
        <v>601</v>
      </c>
      <c r="F3842">
        <v>6</v>
      </c>
      <c r="G3842">
        <v>0</v>
      </c>
      <c r="H3842" t="s">
        <v>224</v>
      </c>
      <c r="I3842" t="s">
        <v>80</v>
      </c>
      <c r="J3842" t="s">
        <v>194</v>
      </c>
      <c r="K3842" t="b">
        <v>0</v>
      </c>
      <c r="L3842">
        <v>2009</v>
      </c>
      <c r="M3842">
        <v>2429358155475</v>
      </c>
      <c r="N3842">
        <v>3688974807</v>
      </c>
      <c r="O3842" t="b">
        <v>1</v>
      </c>
      <c r="P3842">
        <v>1</v>
      </c>
      <c r="Q3842" t="str" cm="1">
        <f t="array" ref="Q3842">_xlfn.IFS(Table1[[#This Row],[Wealthier_Winner]]=-1,"Wealthier Nation Loses",Table1[[#This Row],[Wealthier_Winner]]=0,"Tie",Table1[[#This Row],[Wealthier_Winner]]=1,"Wealthier Nation Wins")</f>
        <v>Wealthier Nation Wins</v>
      </c>
    </row>
    <row r="3843" spans="1:17" x14ac:dyDescent="0.2">
      <c r="A3843" s="1">
        <v>5855</v>
      </c>
      <c r="B3843" s="2">
        <v>39974</v>
      </c>
      <c r="C3843" s="7">
        <f>_xlfn.FLOOR.MATH(Table1[[#This Row],[year]],10)</f>
        <v>2000</v>
      </c>
      <c r="D3843" t="s">
        <v>447</v>
      </c>
      <c r="E3843" t="s">
        <v>61</v>
      </c>
      <c r="F3843">
        <v>0</v>
      </c>
      <c r="G3843">
        <v>2</v>
      </c>
      <c r="H3843" t="s">
        <v>224</v>
      </c>
      <c r="I3843" t="s">
        <v>631</v>
      </c>
      <c r="J3843" t="s">
        <v>447</v>
      </c>
      <c r="K3843" t="b">
        <v>0</v>
      </c>
      <c r="L3843">
        <v>2009</v>
      </c>
      <c r="M3843">
        <v>2296065170</v>
      </c>
      <c r="N3843">
        <v>46955984409</v>
      </c>
      <c r="O3843" t="b">
        <v>1</v>
      </c>
      <c r="P3843">
        <v>1</v>
      </c>
      <c r="Q3843" t="str" cm="1">
        <f t="array" ref="Q3843">_xlfn.IFS(Table1[[#This Row],[Wealthier_Winner]]=-1,"Wealthier Nation Loses",Table1[[#This Row],[Wealthier_Winner]]=0,"Tie",Table1[[#This Row],[Wealthier_Winner]]=1,"Wealthier Nation Wins")</f>
        <v>Wealthier Nation Wins</v>
      </c>
    </row>
    <row r="3844" spans="1:17" x14ac:dyDescent="0.2">
      <c r="A3844" s="1">
        <v>5856</v>
      </c>
      <c r="B3844" s="2">
        <v>39974</v>
      </c>
      <c r="C3844" s="7">
        <f>_xlfn.FLOOR.MATH(Table1[[#This Row],[year]],10)</f>
        <v>2000</v>
      </c>
      <c r="D3844" t="s">
        <v>230</v>
      </c>
      <c r="E3844" t="s">
        <v>196</v>
      </c>
      <c r="F3844">
        <v>0</v>
      </c>
      <c r="G3844">
        <v>3</v>
      </c>
      <c r="H3844" t="s">
        <v>224</v>
      </c>
      <c r="I3844" t="s">
        <v>231</v>
      </c>
      <c r="J3844" t="s">
        <v>230</v>
      </c>
      <c r="K3844" t="b">
        <v>0</v>
      </c>
      <c r="L3844">
        <v>2009</v>
      </c>
      <c r="M3844">
        <v>253480783439</v>
      </c>
      <c r="N3844">
        <v>1222645900055</v>
      </c>
      <c r="O3844" t="b">
        <v>1</v>
      </c>
      <c r="P3844">
        <v>1</v>
      </c>
      <c r="Q3844" t="str" cm="1">
        <f t="array" ref="Q3844">_xlfn.IFS(Table1[[#This Row],[Wealthier_Winner]]=-1,"Wealthier Nation Loses",Table1[[#This Row],[Wealthier_Winner]]=0,"Tie",Table1[[#This Row],[Wealthier_Winner]]=1,"Wealthier Nation Wins")</f>
        <v>Wealthier Nation Wins</v>
      </c>
    </row>
    <row r="3845" spans="1:17" x14ac:dyDescent="0.2">
      <c r="A3845" s="1">
        <v>5857</v>
      </c>
      <c r="B3845" s="2">
        <v>39974</v>
      </c>
      <c r="C3845" s="7">
        <f>_xlfn.FLOOR.MATH(Table1[[#This Row],[year]],10)</f>
        <v>2000</v>
      </c>
      <c r="D3845" t="s">
        <v>65</v>
      </c>
      <c r="E3845" t="s">
        <v>69</v>
      </c>
      <c r="F3845">
        <v>1</v>
      </c>
      <c r="G3845">
        <v>0</v>
      </c>
      <c r="H3845" t="s">
        <v>224</v>
      </c>
      <c r="I3845" t="s">
        <v>254</v>
      </c>
      <c r="J3845" t="s">
        <v>65</v>
      </c>
      <c r="K3845" t="b">
        <v>0</v>
      </c>
      <c r="L3845">
        <v>2009</v>
      </c>
      <c r="M3845">
        <v>14587496229</v>
      </c>
      <c r="N3845">
        <v>17601620000</v>
      </c>
      <c r="O3845" t="b">
        <v>0</v>
      </c>
      <c r="P3845">
        <v>-1</v>
      </c>
      <c r="Q3845" t="str" cm="1">
        <f t="array" ref="Q3845">_xlfn.IFS(Table1[[#This Row],[Wealthier_Winner]]=-1,"Wealthier Nation Loses",Table1[[#This Row],[Wealthier_Winner]]=0,"Tie",Table1[[#This Row],[Wealthier_Winner]]=1,"Wealthier Nation Wins")</f>
        <v>Wealthier Nation Loses</v>
      </c>
    </row>
    <row r="3846" spans="1:17" x14ac:dyDescent="0.2">
      <c r="A3846" s="1">
        <v>5858</v>
      </c>
      <c r="B3846" s="2">
        <v>39974</v>
      </c>
      <c r="C3846" s="7">
        <f>_xlfn.FLOOR.MATH(Table1[[#This Row],[year]],10)</f>
        <v>2000</v>
      </c>
      <c r="D3846" t="s">
        <v>210</v>
      </c>
      <c r="E3846" t="s">
        <v>39</v>
      </c>
      <c r="F3846">
        <v>1</v>
      </c>
      <c r="G3846">
        <v>0</v>
      </c>
      <c r="H3846" t="s">
        <v>224</v>
      </c>
      <c r="I3846" t="s">
        <v>332</v>
      </c>
      <c r="J3846" t="s">
        <v>210</v>
      </c>
      <c r="K3846" t="b">
        <v>0</v>
      </c>
      <c r="L3846">
        <v>2009</v>
      </c>
      <c r="M3846">
        <v>414059094949</v>
      </c>
      <c r="N3846">
        <v>253547358747</v>
      </c>
      <c r="O3846" t="b">
        <v>0</v>
      </c>
      <c r="P3846">
        <v>1</v>
      </c>
      <c r="Q3846" t="str" cm="1">
        <f t="array" ref="Q3846">_xlfn.IFS(Table1[[#This Row],[Wealthier_Winner]]=-1,"Wealthier Nation Loses",Table1[[#This Row],[Wealthier_Winner]]=0,"Tie",Table1[[#This Row],[Wealthier_Winner]]=1,"Wealthier Nation Wins")</f>
        <v>Wealthier Nation Wins</v>
      </c>
    </row>
    <row r="3847" spans="1:17" x14ac:dyDescent="0.2">
      <c r="A3847" s="1">
        <v>5859</v>
      </c>
      <c r="B3847" s="2">
        <v>39974</v>
      </c>
      <c r="C3847" s="7">
        <f>_xlfn.FLOOR.MATH(Table1[[#This Row],[year]],10)</f>
        <v>2000</v>
      </c>
      <c r="D3847" t="s">
        <v>51</v>
      </c>
      <c r="E3847" t="s">
        <v>68</v>
      </c>
      <c r="F3847">
        <v>1</v>
      </c>
      <c r="G3847">
        <v>1</v>
      </c>
      <c r="H3847" t="s">
        <v>224</v>
      </c>
      <c r="I3847" t="s">
        <v>153</v>
      </c>
      <c r="J3847" t="s">
        <v>51</v>
      </c>
      <c r="K3847" t="b">
        <v>0</v>
      </c>
      <c r="L3847">
        <v>2009</v>
      </c>
      <c r="M3847">
        <v>5289493117993</v>
      </c>
      <c r="N3847">
        <v>97798351648</v>
      </c>
      <c r="O3847" t="b">
        <v>1</v>
      </c>
      <c r="P3847">
        <v>0</v>
      </c>
      <c r="Q3847" t="str" cm="1">
        <f t="array" ref="Q3847">_xlfn.IFS(Table1[[#This Row],[Wealthier_Winner]]=-1,"Wealthier Nation Loses",Table1[[#This Row],[Wealthier_Winner]]=0,"Tie",Table1[[#This Row],[Wealthier_Winner]]=1,"Wealthier Nation Wins")</f>
        <v>Tie</v>
      </c>
    </row>
    <row r="3848" spans="1:17" x14ac:dyDescent="0.2">
      <c r="A3848" s="1">
        <v>5860</v>
      </c>
      <c r="B3848" s="2">
        <v>39974</v>
      </c>
      <c r="C3848" s="7">
        <f>_xlfn.FLOOR.MATH(Table1[[#This Row],[year]],10)</f>
        <v>2000</v>
      </c>
      <c r="D3848" t="s">
        <v>195</v>
      </c>
      <c r="E3848" t="s">
        <v>45</v>
      </c>
      <c r="F3848">
        <v>0</v>
      </c>
      <c r="G3848">
        <v>0</v>
      </c>
      <c r="H3848" t="s">
        <v>224</v>
      </c>
      <c r="I3848" t="s">
        <v>136</v>
      </c>
      <c r="J3848" t="s">
        <v>195</v>
      </c>
      <c r="K3848" t="b">
        <v>0</v>
      </c>
      <c r="L3848">
        <v>2009</v>
      </c>
      <c r="M3848">
        <v>983065242417</v>
      </c>
      <c r="N3848">
        <v>429097866666</v>
      </c>
      <c r="O3848" t="b">
        <v>1</v>
      </c>
      <c r="P3848">
        <v>0</v>
      </c>
      <c r="Q3848" t="str" cm="1">
        <f t="array" ref="Q3848">_xlfn.IFS(Table1[[#This Row],[Wealthier_Winner]]=-1,"Wealthier Nation Loses",Table1[[#This Row],[Wealthier_Winner]]=0,"Tie",Table1[[#This Row],[Wealthier_Winner]]=1,"Wealthier Nation Wins")</f>
        <v>Tie</v>
      </c>
    </row>
    <row r="3849" spans="1:17" x14ac:dyDescent="0.2">
      <c r="A3849" s="1">
        <v>5861</v>
      </c>
      <c r="B3849" s="2">
        <v>39974</v>
      </c>
      <c r="C3849" s="7">
        <f>_xlfn.FLOOR.MATH(Table1[[#This Row],[year]],10)</f>
        <v>2000</v>
      </c>
      <c r="D3849" t="s">
        <v>502</v>
      </c>
      <c r="E3849" t="s">
        <v>66</v>
      </c>
      <c r="F3849">
        <v>2</v>
      </c>
      <c r="G3849">
        <v>0</v>
      </c>
      <c r="H3849" t="s">
        <v>224</v>
      </c>
      <c r="I3849" t="s">
        <v>504</v>
      </c>
      <c r="J3849" t="s">
        <v>502</v>
      </c>
      <c r="K3849" t="b">
        <v>0</v>
      </c>
      <c r="L3849">
        <v>2009</v>
      </c>
      <c r="M3849">
        <v>9401736825</v>
      </c>
      <c r="N3849">
        <v>13212543837</v>
      </c>
      <c r="O3849" t="b">
        <v>0</v>
      </c>
      <c r="P3849">
        <v>-1</v>
      </c>
      <c r="Q3849" t="str" cm="1">
        <f t="array" ref="Q3849">_xlfn.IFS(Table1[[#This Row],[Wealthier_Winner]]=-1,"Wealthier Nation Loses",Table1[[#This Row],[Wealthier_Winner]]=0,"Tie",Table1[[#This Row],[Wealthier_Winner]]=1,"Wealthier Nation Wins")</f>
        <v>Wealthier Nation Loses</v>
      </c>
    </row>
    <row r="3850" spans="1:17" x14ac:dyDescent="0.2">
      <c r="A3850" s="1">
        <v>5862</v>
      </c>
      <c r="B3850" s="2">
        <v>39974</v>
      </c>
      <c r="C3850" s="7">
        <f>_xlfn.FLOOR.MATH(Table1[[#This Row],[year]],10)</f>
        <v>2000</v>
      </c>
      <c r="D3850" t="s">
        <v>17</v>
      </c>
      <c r="E3850" t="s">
        <v>59</v>
      </c>
      <c r="F3850">
        <v>2</v>
      </c>
      <c r="G3850">
        <v>1</v>
      </c>
      <c r="H3850" t="s">
        <v>224</v>
      </c>
      <c r="I3850" t="s">
        <v>83</v>
      </c>
      <c r="J3850" t="s">
        <v>17</v>
      </c>
      <c r="K3850" t="b">
        <v>0</v>
      </c>
      <c r="L3850">
        <v>2009</v>
      </c>
      <c r="M3850">
        <v>943437415024</v>
      </c>
      <c r="N3850">
        <v>19172165225</v>
      </c>
      <c r="O3850" t="b">
        <v>1</v>
      </c>
      <c r="P3850">
        <v>1</v>
      </c>
      <c r="Q3850" t="str" cm="1">
        <f t="array" ref="Q3850">_xlfn.IFS(Table1[[#This Row],[Wealthier_Winner]]=-1,"Wealthier Nation Loses",Table1[[#This Row],[Wealthier_Winner]]=0,"Tie",Table1[[#This Row],[Wealthier_Winner]]=1,"Wealthier Nation Wins")</f>
        <v>Wealthier Nation Wins</v>
      </c>
    </row>
    <row r="3851" spans="1:17" x14ac:dyDescent="0.2">
      <c r="A3851" s="1">
        <v>5863</v>
      </c>
      <c r="B3851" s="2">
        <v>39974</v>
      </c>
      <c r="C3851" s="7">
        <f>_xlfn.FLOOR.MATH(Table1[[#This Row],[year]],10)</f>
        <v>2000</v>
      </c>
      <c r="D3851" t="s">
        <v>27</v>
      </c>
      <c r="E3851" t="s">
        <v>42</v>
      </c>
      <c r="F3851">
        <v>2</v>
      </c>
      <c r="G3851">
        <v>0</v>
      </c>
      <c r="H3851" t="s">
        <v>224</v>
      </c>
      <c r="I3851" t="s">
        <v>265</v>
      </c>
      <c r="J3851" t="s">
        <v>27</v>
      </c>
      <c r="K3851" t="b">
        <v>0</v>
      </c>
      <c r="L3851">
        <v>2009</v>
      </c>
      <c r="M3851">
        <v>878954223140</v>
      </c>
      <c r="N3851">
        <v>387976400617</v>
      </c>
      <c r="O3851" t="b">
        <v>1</v>
      </c>
      <c r="P3851">
        <v>1</v>
      </c>
      <c r="Q3851" t="str" cm="1">
        <f t="array" ref="Q3851">_xlfn.IFS(Table1[[#This Row],[Wealthier_Winner]]=-1,"Wealthier Nation Loses",Table1[[#This Row],[Wealthier_Winner]]=0,"Tie",Table1[[#This Row],[Wealthier_Winner]]=1,"Wealthier Nation Wins")</f>
        <v>Wealthier Nation Wins</v>
      </c>
    </row>
    <row r="3852" spans="1:17" x14ac:dyDescent="0.2">
      <c r="A3852" s="1">
        <v>5864</v>
      </c>
      <c r="B3852" s="2">
        <v>39974</v>
      </c>
      <c r="C3852" s="7">
        <f>_xlfn.FLOOR.MATH(Table1[[#This Row],[year]],10)</f>
        <v>2000</v>
      </c>
      <c r="D3852" t="s">
        <v>25</v>
      </c>
      <c r="E3852" t="s">
        <v>303</v>
      </c>
      <c r="F3852">
        <v>4</v>
      </c>
      <c r="G3852">
        <v>0</v>
      </c>
      <c r="H3852" t="s">
        <v>224</v>
      </c>
      <c r="I3852" t="s">
        <v>317</v>
      </c>
      <c r="J3852" t="s">
        <v>25</v>
      </c>
      <c r="K3852" t="b">
        <v>0</v>
      </c>
      <c r="L3852">
        <v>2009</v>
      </c>
      <c r="M3852">
        <v>434311714442</v>
      </c>
      <c r="N3852">
        <v>8734745697</v>
      </c>
      <c r="O3852" t="b">
        <v>1</v>
      </c>
      <c r="P3852">
        <v>1</v>
      </c>
      <c r="Q3852" t="str" cm="1">
        <f t="array" ref="Q3852">_xlfn.IFS(Table1[[#This Row],[Wealthier_Winner]]=-1,"Wealthier Nation Loses",Table1[[#This Row],[Wealthier_Winner]]=0,"Tie",Table1[[#This Row],[Wealthier_Winner]]=1,"Wealthier Nation Wins")</f>
        <v>Wealthier Nation Wins</v>
      </c>
    </row>
    <row r="3853" spans="1:17" x14ac:dyDescent="0.2">
      <c r="A3853" s="1">
        <v>5865</v>
      </c>
      <c r="B3853" s="2">
        <v>39974</v>
      </c>
      <c r="C3853" s="7">
        <f>_xlfn.FLOOR.MATH(Table1[[#This Row],[year]],10)</f>
        <v>2000</v>
      </c>
      <c r="D3853" t="s">
        <v>64</v>
      </c>
      <c r="E3853" t="s">
        <v>558</v>
      </c>
      <c r="F3853">
        <v>2</v>
      </c>
      <c r="G3853">
        <v>1</v>
      </c>
      <c r="H3853" t="s">
        <v>224</v>
      </c>
      <c r="I3853" t="s">
        <v>423</v>
      </c>
      <c r="J3853" t="s">
        <v>64</v>
      </c>
      <c r="K3853" t="b">
        <v>0</v>
      </c>
      <c r="L3853">
        <v>2009</v>
      </c>
      <c r="M3853">
        <v>121552153444</v>
      </c>
      <c r="N3853">
        <v>115308686941</v>
      </c>
      <c r="O3853" t="b">
        <v>0</v>
      </c>
      <c r="P3853">
        <v>1</v>
      </c>
      <c r="Q3853" t="str" cm="1">
        <f t="array" ref="Q3853">_xlfn.IFS(Table1[[#This Row],[Wealthier_Winner]]=-1,"Wealthier Nation Loses",Table1[[#This Row],[Wealthier_Winner]]=0,"Tie",Table1[[#This Row],[Wealthier_Winner]]=1,"Wealthier Nation Wins")</f>
        <v>Wealthier Nation Wins</v>
      </c>
    </row>
    <row r="3854" spans="1:17" x14ac:dyDescent="0.2">
      <c r="A3854" s="1">
        <v>5866</v>
      </c>
      <c r="B3854" s="2">
        <v>39974</v>
      </c>
      <c r="C3854" s="7">
        <f>_xlfn.FLOOR.MATH(Table1[[#This Row],[year]],10)</f>
        <v>2000</v>
      </c>
      <c r="D3854" t="s">
        <v>258</v>
      </c>
      <c r="E3854" t="s">
        <v>26</v>
      </c>
      <c r="F3854">
        <v>2</v>
      </c>
      <c r="G3854">
        <v>2</v>
      </c>
      <c r="H3854" t="s">
        <v>224</v>
      </c>
      <c r="I3854" t="s">
        <v>487</v>
      </c>
      <c r="J3854" t="s">
        <v>258</v>
      </c>
      <c r="K3854" t="b">
        <v>0</v>
      </c>
      <c r="L3854">
        <v>2009</v>
      </c>
      <c r="M3854">
        <v>329787628928</v>
      </c>
      <c r="N3854">
        <v>32708319077</v>
      </c>
      <c r="O3854" t="b">
        <v>1</v>
      </c>
      <c r="P3854">
        <v>0</v>
      </c>
      <c r="Q3854" t="str" cm="1">
        <f t="array" ref="Q3854">_xlfn.IFS(Table1[[#This Row],[Wealthier_Winner]]=-1,"Wealthier Nation Loses",Table1[[#This Row],[Wealthier_Winner]]=0,"Tie",Table1[[#This Row],[Wealthier_Winner]]=1,"Wealthier Nation Wins")</f>
        <v>Tie</v>
      </c>
    </row>
    <row r="3855" spans="1:17" x14ac:dyDescent="0.2">
      <c r="A3855" s="1">
        <v>5867</v>
      </c>
      <c r="B3855" s="2">
        <v>39981</v>
      </c>
      <c r="C3855" s="7">
        <f>_xlfn.FLOOR.MATH(Table1[[#This Row],[year]],10)</f>
        <v>2000</v>
      </c>
      <c r="D3855" t="s">
        <v>28</v>
      </c>
      <c r="E3855" t="s">
        <v>51</v>
      </c>
      <c r="F3855">
        <v>2</v>
      </c>
      <c r="G3855">
        <v>1</v>
      </c>
      <c r="H3855" t="s">
        <v>224</v>
      </c>
      <c r="I3855" t="s">
        <v>329</v>
      </c>
      <c r="J3855" t="s">
        <v>28</v>
      </c>
      <c r="K3855" t="b">
        <v>0</v>
      </c>
      <c r="L3855">
        <v>2009</v>
      </c>
      <c r="M3855">
        <v>931761689770</v>
      </c>
      <c r="N3855">
        <v>5289493117993</v>
      </c>
      <c r="O3855" t="b">
        <v>1</v>
      </c>
      <c r="P3855">
        <v>-1</v>
      </c>
      <c r="Q3855" t="str" cm="1">
        <f t="array" ref="Q3855">_xlfn.IFS(Table1[[#This Row],[Wealthier_Winner]]=-1,"Wealthier Nation Loses",Table1[[#This Row],[Wealthier_Winner]]=0,"Tie",Table1[[#This Row],[Wealthier_Winner]]=1,"Wealthier Nation Wins")</f>
        <v>Wealthier Nation Loses</v>
      </c>
    </row>
    <row r="3856" spans="1:17" x14ac:dyDescent="0.2">
      <c r="A3856" s="1">
        <v>5868</v>
      </c>
      <c r="B3856" s="2">
        <v>39981</v>
      </c>
      <c r="C3856" s="7">
        <f>_xlfn.FLOOR.MATH(Table1[[#This Row],[year]],10)</f>
        <v>2000</v>
      </c>
      <c r="D3856" t="s">
        <v>361</v>
      </c>
      <c r="E3856" t="s">
        <v>563</v>
      </c>
      <c r="F3856">
        <v>1</v>
      </c>
      <c r="G3856">
        <v>0</v>
      </c>
      <c r="H3856" t="s">
        <v>224</v>
      </c>
      <c r="I3856" t="s">
        <v>419</v>
      </c>
      <c r="J3856" t="s">
        <v>361</v>
      </c>
      <c r="K3856" t="b">
        <v>0</v>
      </c>
      <c r="L3856">
        <v>2009</v>
      </c>
      <c r="M3856">
        <v>22938218085</v>
      </c>
      <c r="N3856">
        <v>33689223673</v>
      </c>
      <c r="O3856" t="b">
        <v>0</v>
      </c>
      <c r="P3856">
        <v>-1</v>
      </c>
      <c r="Q3856" t="str" cm="1">
        <f t="array" ref="Q3856">_xlfn.IFS(Table1[[#This Row],[Wealthier_Winner]]=-1,"Wealthier Nation Loses",Table1[[#This Row],[Wealthier_Winner]]=0,"Tie",Table1[[#This Row],[Wealthier_Winner]]=1,"Wealthier Nation Wins")</f>
        <v>Wealthier Nation Loses</v>
      </c>
    </row>
    <row r="3857" spans="1:17" x14ac:dyDescent="0.2">
      <c r="A3857" s="1">
        <v>5869</v>
      </c>
      <c r="B3857" s="2">
        <v>39981</v>
      </c>
      <c r="C3857" s="7">
        <f>_xlfn.FLOOR.MATH(Table1[[#This Row],[year]],10)</f>
        <v>2000</v>
      </c>
      <c r="D3857" t="s">
        <v>195</v>
      </c>
      <c r="E3857" t="s">
        <v>210</v>
      </c>
      <c r="F3857">
        <v>1</v>
      </c>
      <c r="G3857">
        <v>1</v>
      </c>
      <c r="H3857" t="s">
        <v>224</v>
      </c>
      <c r="I3857" t="s">
        <v>136</v>
      </c>
      <c r="J3857" t="s">
        <v>195</v>
      </c>
      <c r="K3857" t="b">
        <v>0</v>
      </c>
      <c r="L3857">
        <v>2009</v>
      </c>
      <c r="M3857">
        <v>983065242417</v>
      </c>
      <c r="N3857">
        <v>414059094949</v>
      </c>
      <c r="O3857" t="b">
        <v>1</v>
      </c>
      <c r="P3857">
        <v>0</v>
      </c>
      <c r="Q3857" t="str" cm="1">
        <f t="array" ref="Q3857">_xlfn.IFS(Table1[[#This Row],[Wealthier_Winner]]=-1,"Wealthier Nation Loses",Table1[[#This Row],[Wealthier_Winner]]=0,"Tie",Table1[[#This Row],[Wealthier_Winner]]=1,"Wealthier Nation Wins")</f>
        <v>Tie</v>
      </c>
    </row>
    <row r="3858" spans="1:17" x14ac:dyDescent="0.2">
      <c r="A3858" s="1">
        <v>5872</v>
      </c>
      <c r="B3858" s="2">
        <v>39984</v>
      </c>
      <c r="C3858" s="7">
        <f>_xlfn.FLOOR.MATH(Table1[[#This Row],[year]],10)</f>
        <v>2000</v>
      </c>
      <c r="D3858" t="s">
        <v>314</v>
      </c>
      <c r="E3858" t="s">
        <v>300</v>
      </c>
      <c r="F3858">
        <v>2</v>
      </c>
      <c r="G3858">
        <v>1</v>
      </c>
      <c r="H3858" t="s">
        <v>224</v>
      </c>
      <c r="I3858" t="s">
        <v>315</v>
      </c>
      <c r="J3858" t="s">
        <v>314</v>
      </c>
      <c r="K3858" t="b">
        <v>0</v>
      </c>
      <c r="L3858">
        <v>2009</v>
      </c>
      <c r="M3858">
        <v>42347217912</v>
      </c>
      <c r="N3858">
        <v>12263894790</v>
      </c>
      <c r="O3858" t="b">
        <v>1</v>
      </c>
      <c r="P3858">
        <v>1</v>
      </c>
      <c r="Q3858" t="str" cm="1">
        <f t="array" ref="Q3858">_xlfn.IFS(Table1[[#This Row],[Wealthier_Winner]]=-1,"Wealthier Nation Loses",Table1[[#This Row],[Wealthier_Winner]]=0,"Tie",Table1[[#This Row],[Wealthier_Winner]]=1,"Wealthier Nation Wins")</f>
        <v>Wealthier Nation Wins</v>
      </c>
    </row>
    <row r="3859" spans="1:17" x14ac:dyDescent="0.2">
      <c r="A3859" s="1">
        <v>5873</v>
      </c>
      <c r="B3859" s="2">
        <v>39984</v>
      </c>
      <c r="C3859" s="7">
        <f>_xlfn.FLOOR.MATH(Table1[[#This Row],[year]],10)</f>
        <v>2000</v>
      </c>
      <c r="D3859" t="s">
        <v>24</v>
      </c>
      <c r="E3859" t="s">
        <v>62</v>
      </c>
      <c r="F3859">
        <v>0</v>
      </c>
      <c r="G3859">
        <v>0</v>
      </c>
      <c r="H3859" t="s">
        <v>224</v>
      </c>
      <c r="I3859" t="s">
        <v>319</v>
      </c>
      <c r="J3859" t="s">
        <v>24</v>
      </c>
      <c r="K3859" t="b">
        <v>0</v>
      </c>
      <c r="L3859">
        <v>2009</v>
      </c>
      <c r="M3859">
        <v>101154952240</v>
      </c>
      <c r="N3859">
        <v>4721888275</v>
      </c>
      <c r="O3859" t="b">
        <v>1</v>
      </c>
      <c r="P3859">
        <v>0</v>
      </c>
      <c r="Q3859" t="str" cm="1">
        <f t="array" ref="Q3859">_xlfn.IFS(Table1[[#This Row],[Wealthier_Winner]]=-1,"Wealthier Nation Loses",Table1[[#This Row],[Wealthier_Winner]]=0,"Tie",Table1[[#This Row],[Wealthier_Winner]]=1,"Wealthier Nation Wins")</f>
        <v>Tie</v>
      </c>
    </row>
    <row r="3860" spans="1:17" x14ac:dyDescent="0.2">
      <c r="A3860" s="1">
        <v>5874</v>
      </c>
      <c r="B3860" s="2">
        <v>39984</v>
      </c>
      <c r="C3860" s="7">
        <f>_xlfn.FLOOR.MATH(Table1[[#This Row],[year]],10)</f>
        <v>2000</v>
      </c>
      <c r="D3860" t="s">
        <v>274</v>
      </c>
      <c r="E3860" t="s">
        <v>63</v>
      </c>
      <c r="F3860">
        <v>0</v>
      </c>
      <c r="G3860">
        <v>2</v>
      </c>
      <c r="H3860" t="s">
        <v>224</v>
      </c>
      <c r="I3860" t="s">
        <v>591</v>
      </c>
      <c r="J3860" t="s">
        <v>274</v>
      </c>
      <c r="K3860" t="b">
        <v>0</v>
      </c>
      <c r="L3860">
        <v>2009</v>
      </c>
      <c r="M3860">
        <v>51621044076</v>
      </c>
      <c r="N3860">
        <v>26048720005</v>
      </c>
      <c r="O3860" t="b">
        <v>0</v>
      </c>
      <c r="P3860">
        <v>-1</v>
      </c>
      <c r="Q3860" t="str" cm="1">
        <f t="array" ref="Q3860">_xlfn.IFS(Table1[[#This Row],[Wealthier_Winner]]=-1,"Wealthier Nation Loses",Table1[[#This Row],[Wealthier_Winner]]=0,"Tie",Table1[[#This Row],[Wealthier_Winner]]=1,"Wealthier Nation Wins")</f>
        <v>Wealthier Nation Loses</v>
      </c>
    </row>
    <row r="3861" spans="1:17" x14ac:dyDescent="0.2">
      <c r="A3861" s="1">
        <v>5875</v>
      </c>
      <c r="B3861" s="2">
        <v>39984</v>
      </c>
      <c r="C3861" s="7">
        <f>_xlfn.FLOOR.MATH(Table1[[#This Row],[year]],10)</f>
        <v>2000</v>
      </c>
      <c r="D3861" t="s">
        <v>53</v>
      </c>
      <c r="E3861" t="s">
        <v>43</v>
      </c>
      <c r="F3861">
        <v>0</v>
      </c>
      <c r="G3861">
        <v>0</v>
      </c>
      <c r="H3861" t="s">
        <v>224</v>
      </c>
      <c r="I3861" t="s">
        <v>658</v>
      </c>
      <c r="J3861" t="s">
        <v>53</v>
      </c>
      <c r="K3861" t="b">
        <v>0</v>
      </c>
      <c r="L3861">
        <v>2009</v>
      </c>
      <c r="M3861">
        <v>43455740497</v>
      </c>
      <c r="N3861">
        <v>295008835380</v>
      </c>
      <c r="O3861" t="b">
        <v>1</v>
      </c>
      <c r="P3861">
        <v>0</v>
      </c>
      <c r="Q3861" t="str" cm="1">
        <f t="array" ref="Q3861">_xlfn.IFS(Table1[[#This Row],[Wealthier_Winner]]=-1,"Wealthier Nation Loses",Table1[[#This Row],[Wealthier_Winner]]=0,"Tie",Table1[[#This Row],[Wealthier_Winner]]=1,"Wealthier Nation Wins")</f>
        <v>Tie</v>
      </c>
    </row>
    <row r="3862" spans="1:17" x14ac:dyDescent="0.2">
      <c r="A3862" s="1">
        <v>5876</v>
      </c>
      <c r="B3862" s="2">
        <v>39984</v>
      </c>
      <c r="C3862" s="7">
        <f>_xlfn.FLOOR.MATH(Table1[[#This Row],[year]],10)</f>
        <v>2000</v>
      </c>
      <c r="D3862" t="s">
        <v>273</v>
      </c>
      <c r="E3862" t="s">
        <v>32</v>
      </c>
      <c r="F3862">
        <v>0</v>
      </c>
      <c r="G3862">
        <v>2</v>
      </c>
      <c r="H3862" t="s">
        <v>224</v>
      </c>
      <c r="I3862" t="s">
        <v>677</v>
      </c>
      <c r="J3862" t="s">
        <v>273</v>
      </c>
      <c r="K3862" t="b">
        <v>0</v>
      </c>
      <c r="L3862">
        <v>2009</v>
      </c>
      <c r="M3862">
        <v>15328342303</v>
      </c>
      <c r="N3862">
        <v>150317292079</v>
      </c>
      <c r="O3862" t="b">
        <v>1</v>
      </c>
      <c r="P3862">
        <v>1</v>
      </c>
      <c r="Q3862" t="str" cm="1">
        <f t="array" ref="Q3862">_xlfn.IFS(Table1[[#This Row],[Wealthier_Winner]]=-1,"Wealthier Nation Loses",Table1[[#This Row],[Wealthier_Winner]]=0,"Tie",Table1[[#This Row],[Wealthier_Winner]]=1,"Wealthier Nation Wins")</f>
        <v>Wealthier Nation Wins</v>
      </c>
    </row>
    <row r="3863" spans="1:17" x14ac:dyDescent="0.2">
      <c r="A3863" s="1">
        <v>5877</v>
      </c>
      <c r="B3863" s="2">
        <v>39985</v>
      </c>
      <c r="C3863" s="7">
        <f>_xlfn.FLOOR.MATH(Table1[[#This Row],[year]],10)</f>
        <v>2000</v>
      </c>
      <c r="D3863" t="s">
        <v>305</v>
      </c>
      <c r="E3863" t="s">
        <v>370</v>
      </c>
      <c r="F3863">
        <v>2</v>
      </c>
      <c r="G3863">
        <v>1</v>
      </c>
      <c r="H3863" t="s">
        <v>224</v>
      </c>
      <c r="I3863" t="s">
        <v>306</v>
      </c>
      <c r="J3863" t="s">
        <v>305</v>
      </c>
      <c r="K3863" t="b">
        <v>0</v>
      </c>
      <c r="L3863">
        <v>2009</v>
      </c>
      <c r="M3863">
        <v>6716905339</v>
      </c>
      <c r="N3863">
        <v>9009887946</v>
      </c>
      <c r="O3863" t="b">
        <v>0</v>
      </c>
      <c r="P3863">
        <v>-1</v>
      </c>
      <c r="Q3863" t="str" cm="1">
        <f t="array" ref="Q3863">_xlfn.IFS(Table1[[#This Row],[Wealthier_Winner]]=-1,"Wealthier Nation Loses",Table1[[#This Row],[Wealthier_Winner]]=0,"Tie",Table1[[#This Row],[Wealthier_Winner]]=1,"Wealthier Nation Wins")</f>
        <v>Wealthier Nation Loses</v>
      </c>
    </row>
    <row r="3864" spans="1:17" x14ac:dyDescent="0.2">
      <c r="A3864" s="1">
        <v>5878</v>
      </c>
      <c r="B3864" s="2">
        <v>39985</v>
      </c>
      <c r="C3864" s="7">
        <f>_xlfn.FLOOR.MATH(Table1[[#This Row],[year]],10)</f>
        <v>2000</v>
      </c>
      <c r="D3864" t="s">
        <v>590</v>
      </c>
      <c r="E3864" t="s">
        <v>310</v>
      </c>
      <c r="F3864">
        <v>3</v>
      </c>
      <c r="G3864">
        <v>1</v>
      </c>
      <c r="H3864" t="s">
        <v>224</v>
      </c>
      <c r="I3864" t="s">
        <v>596</v>
      </c>
      <c r="J3864" t="s">
        <v>590</v>
      </c>
      <c r="K3864" t="b">
        <v>0</v>
      </c>
      <c r="L3864">
        <v>2009</v>
      </c>
      <c r="M3864">
        <v>12155217832</v>
      </c>
      <c r="N3864">
        <v>9738626517</v>
      </c>
      <c r="O3864" t="b">
        <v>0</v>
      </c>
      <c r="P3864">
        <v>1</v>
      </c>
      <c r="Q3864" t="str" cm="1">
        <f t="array" ref="Q3864">_xlfn.IFS(Table1[[#This Row],[Wealthier_Winner]]=-1,"Wealthier Nation Loses",Table1[[#This Row],[Wealthier_Winner]]=0,"Tie",Table1[[#This Row],[Wealthier_Winner]]=1,"Wealthier Nation Wins")</f>
        <v>Wealthier Nation Wins</v>
      </c>
    </row>
    <row r="3865" spans="1:17" x14ac:dyDescent="0.2">
      <c r="A3865" s="1">
        <v>5879</v>
      </c>
      <c r="B3865" s="2">
        <v>39999</v>
      </c>
      <c r="C3865" s="7">
        <f>_xlfn.FLOOR.MATH(Table1[[#This Row],[year]],10)</f>
        <v>2000</v>
      </c>
      <c r="D3865" t="s">
        <v>212</v>
      </c>
      <c r="E3865" t="s">
        <v>514</v>
      </c>
      <c r="F3865">
        <v>3</v>
      </c>
      <c r="G3865">
        <v>0</v>
      </c>
      <c r="H3865" t="s">
        <v>224</v>
      </c>
      <c r="I3865" t="s">
        <v>322</v>
      </c>
      <c r="J3865" t="s">
        <v>212</v>
      </c>
      <c r="K3865" t="b">
        <v>0</v>
      </c>
      <c r="L3865">
        <v>2009</v>
      </c>
      <c r="M3865">
        <v>189147005444</v>
      </c>
      <c r="N3865">
        <v>5674476969</v>
      </c>
      <c r="O3865" t="b">
        <v>1</v>
      </c>
      <c r="P3865">
        <v>1</v>
      </c>
      <c r="Q3865" t="str" cm="1">
        <f t="array" ref="Q3865">_xlfn.IFS(Table1[[#This Row],[Wealthier_Winner]]=-1,"Wealthier Nation Loses",Table1[[#This Row],[Wealthier_Winner]]=0,"Tie",Table1[[#This Row],[Wealthier_Winner]]=1,"Wealthier Nation Wins")</f>
        <v>Wealthier Nation Wins</v>
      </c>
    </row>
    <row r="3866" spans="1:17" x14ac:dyDescent="0.2">
      <c r="A3866" s="1">
        <v>5880</v>
      </c>
      <c r="B3866" s="2">
        <v>40037</v>
      </c>
      <c r="C3866" s="7">
        <f>_xlfn.FLOOR.MATH(Table1[[#This Row],[year]],10)</f>
        <v>2000</v>
      </c>
      <c r="D3866" t="s">
        <v>513</v>
      </c>
      <c r="E3866" t="s">
        <v>16</v>
      </c>
      <c r="F3866">
        <v>0</v>
      </c>
      <c r="G3866">
        <v>2</v>
      </c>
      <c r="H3866" t="s">
        <v>224</v>
      </c>
      <c r="I3866" t="s">
        <v>521</v>
      </c>
      <c r="J3866" t="s">
        <v>513</v>
      </c>
      <c r="K3866" t="b">
        <v>0</v>
      </c>
      <c r="L3866">
        <v>2009</v>
      </c>
      <c r="M3866">
        <v>44292427184</v>
      </c>
      <c r="N3866">
        <v>3478545516683</v>
      </c>
      <c r="O3866" t="b">
        <v>1</v>
      </c>
      <c r="P3866">
        <v>1</v>
      </c>
      <c r="Q3866" t="str" cm="1">
        <f t="array" ref="Q3866">_xlfn.IFS(Table1[[#This Row],[Wealthier_Winner]]=-1,"Wealthier Nation Loses",Table1[[#This Row],[Wealthier_Winner]]=0,"Tie",Table1[[#This Row],[Wealthier_Winner]]=1,"Wealthier Nation Wins")</f>
        <v>Wealthier Nation Wins</v>
      </c>
    </row>
    <row r="3867" spans="1:17" x14ac:dyDescent="0.2">
      <c r="A3867" s="1">
        <v>5881</v>
      </c>
      <c r="B3867" s="2">
        <v>40037</v>
      </c>
      <c r="C3867" s="7">
        <f>_xlfn.FLOOR.MATH(Table1[[#This Row],[year]],10)</f>
        <v>2000</v>
      </c>
      <c r="D3867" t="s">
        <v>510</v>
      </c>
      <c r="E3867" t="s">
        <v>52</v>
      </c>
      <c r="F3867">
        <v>1</v>
      </c>
      <c r="G3867">
        <v>3</v>
      </c>
      <c r="H3867" t="s">
        <v>224</v>
      </c>
      <c r="I3867" t="s">
        <v>522</v>
      </c>
      <c r="J3867" t="s">
        <v>510</v>
      </c>
      <c r="K3867" t="b">
        <v>0</v>
      </c>
      <c r="L3867">
        <v>2009</v>
      </c>
      <c r="M3867">
        <v>50873167326</v>
      </c>
      <c r="N3867">
        <v>62315996674</v>
      </c>
      <c r="O3867" t="b">
        <v>0</v>
      </c>
      <c r="P3867">
        <v>1</v>
      </c>
      <c r="Q3867" t="str" cm="1">
        <f t="array" ref="Q3867">_xlfn.IFS(Table1[[#This Row],[Wealthier_Winner]]=-1,"Wealthier Nation Loses",Table1[[#This Row],[Wealthier_Winner]]=0,"Tie",Table1[[#This Row],[Wealthier_Winner]]=1,"Wealthier Nation Wins")</f>
        <v>Wealthier Nation Wins</v>
      </c>
    </row>
    <row r="3868" spans="1:17" x14ac:dyDescent="0.2">
      <c r="A3868" s="1">
        <v>5882</v>
      </c>
      <c r="B3868" s="2">
        <v>40037</v>
      </c>
      <c r="C3868" s="7">
        <f>_xlfn.FLOOR.MATH(Table1[[#This Row],[year]],10)</f>
        <v>2000</v>
      </c>
      <c r="D3868" t="s">
        <v>447</v>
      </c>
      <c r="E3868" t="s">
        <v>20</v>
      </c>
      <c r="F3868">
        <v>0</v>
      </c>
      <c r="G3868">
        <v>1</v>
      </c>
      <c r="H3868" t="s">
        <v>224</v>
      </c>
      <c r="I3868" t="s">
        <v>631</v>
      </c>
      <c r="J3868" t="s">
        <v>447</v>
      </c>
      <c r="K3868" t="b">
        <v>0</v>
      </c>
      <c r="L3868">
        <v>2009</v>
      </c>
      <c r="M3868">
        <v>2296065170</v>
      </c>
      <c r="N3868">
        <v>2700075882518</v>
      </c>
      <c r="O3868" t="b">
        <v>1</v>
      </c>
      <c r="P3868">
        <v>1</v>
      </c>
      <c r="Q3868" t="str" cm="1">
        <f t="array" ref="Q3868">_xlfn.IFS(Table1[[#This Row],[Wealthier_Winner]]=-1,"Wealthier Nation Loses",Table1[[#This Row],[Wealthier_Winner]]=0,"Tie",Table1[[#This Row],[Wealthier_Winner]]=1,"Wealthier Nation Wins")</f>
        <v>Wealthier Nation Wins</v>
      </c>
    </row>
    <row r="3869" spans="1:17" x14ac:dyDescent="0.2">
      <c r="A3869" s="1">
        <v>5883</v>
      </c>
      <c r="B3869" s="2">
        <v>40037</v>
      </c>
      <c r="C3869" s="7">
        <f>_xlfn.FLOOR.MATH(Table1[[#This Row],[year]],10)</f>
        <v>2000</v>
      </c>
      <c r="D3869" t="s">
        <v>65</v>
      </c>
      <c r="E3869" t="s">
        <v>56</v>
      </c>
      <c r="F3869">
        <v>4</v>
      </c>
      <c r="G3869">
        <v>0</v>
      </c>
      <c r="H3869" t="s">
        <v>224</v>
      </c>
      <c r="I3869" t="s">
        <v>254</v>
      </c>
      <c r="J3869" t="s">
        <v>65</v>
      </c>
      <c r="K3869" t="b">
        <v>0</v>
      </c>
      <c r="L3869">
        <v>2009</v>
      </c>
      <c r="M3869">
        <v>14587496229</v>
      </c>
      <c r="N3869">
        <v>30745714312</v>
      </c>
      <c r="O3869" t="b">
        <v>1</v>
      </c>
      <c r="P3869">
        <v>-1</v>
      </c>
      <c r="Q3869" t="str" cm="1">
        <f t="array" ref="Q3869">_xlfn.IFS(Table1[[#This Row],[Wealthier_Winner]]=-1,"Wealthier Nation Loses",Table1[[#This Row],[Wealthier_Winner]]=0,"Tie",Table1[[#This Row],[Wealthier_Winner]]=1,"Wealthier Nation Wins")</f>
        <v>Wealthier Nation Loses</v>
      </c>
    </row>
    <row r="3870" spans="1:17" x14ac:dyDescent="0.2">
      <c r="A3870" s="1">
        <v>5884</v>
      </c>
      <c r="B3870" s="2">
        <v>40037</v>
      </c>
      <c r="C3870" s="7">
        <f>_xlfn.FLOOR.MATH(Table1[[#This Row],[year]],10)</f>
        <v>2000</v>
      </c>
      <c r="D3870" t="s">
        <v>17</v>
      </c>
      <c r="E3870" t="s">
        <v>41</v>
      </c>
      <c r="F3870">
        <v>2</v>
      </c>
      <c r="G3870">
        <v>1</v>
      </c>
      <c r="H3870" t="s">
        <v>224</v>
      </c>
      <c r="I3870" t="s">
        <v>83</v>
      </c>
      <c r="J3870" t="s">
        <v>17</v>
      </c>
      <c r="K3870" t="b">
        <v>0</v>
      </c>
      <c r="L3870">
        <v>2009</v>
      </c>
      <c r="M3870">
        <v>943437415024</v>
      </c>
      <c r="N3870">
        <v>14478064934000</v>
      </c>
      <c r="O3870" t="b">
        <v>1</v>
      </c>
      <c r="P3870">
        <v>-1</v>
      </c>
      <c r="Q3870" t="str" cm="1">
        <f t="array" ref="Q3870">_xlfn.IFS(Table1[[#This Row],[Wealthier_Winner]]=-1,"Wealthier Nation Loses",Table1[[#This Row],[Wealthier_Winner]]=0,"Tie",Table1[[#This Row],[Wealthier_Winner]]=1,"Wealthier Nation Wins")</f>
        <v>Wealthier Nation Loses</v>
      </c>
    </row>
    <row r="3871" spans="1:17" x14ac:dyDescent="0.2">
      <c r="A3871" s="1">
        <v>5886</v>
      </c>
      <c r="B3871" s="2">
        <v>40037</v>
      </c>
      <c r="C3871" s="7">
        <f>_xlfn.FLOOR.MATH(Table1[[#This Row],[year]],10)</f>
        <v>2000</v>
      </c>
      <c r="D3871" t="s">
        <v>55</v>
      </c>
      <c r="E3871" t="s">
        <v>549</v>
      </c>
      <c r="F3871">
        <v>5</v>
      </c>
      <c r="G3871">
        <v>0</v>
      </c>
      <c r="H3871" t="s">
        <v>224</v>
      </c>
      <c r="I3871" t="s">
        <v>727</v>
      </c>
      <c r="J3871" t="s">
        <v>55</v>
      </c>
      <c r="K3871" t="b">
        <v>0</v>
      </c>
      <c r="L3871">
        <v>2009</v>
      </c>
      <c r="M3871">
        <v>49975540954</v>
      </c>
      <c r="N3871">
        <v>2064277126</v>
      </c>
      <c r="O3871" t="b">
        <v>1</v>
      </c>
      <c r="P3871">
        <v>1</v>
      </c>
      <c r="Q3871" t="str" cm="1">
        <f t="array" ref="Q3871">_xlfn.IFS(Table1[[#This Row],[Wealthier_Winner]]=-1,"Wealthier Nation Loses",Table1[[#This Row],[Wealthier_Winner]]=0,"Tie",Table1[[#This Row],[Wealthier_Winner]]=1,"Wealthier Nation Wins")</f>
        <v>Wealthier Nation Wins</v>
      </c>
    </row>
    <row r="3872" spans="1:17" x14ac:dyDescent="0.2">
      <c r="A3872" s="1">
        <v>5887</v>
      </c>
      <c r="B3872" s="2">
        <v>40037</v>
      </c>
      <c r="C3872" s="7">
        <f>_xlfn.FLOOR.MATH(Table1[[#This Row],[year]],10)</f>
        <v>2000</v>
      </c>
      <c r="D3872" t="s">
        <v>59</v>
      </c>
      <c r="E3872" t="s">
        <v>69</v>
      </c>
      <c r="F3872">
        <v>1</v>
      </c>
      <c r="G3872">
        <v>0</v>
      </c>
      <c r="H3872" t="s">
        <v>224</v>
      </c>
      <c r="I3872" t="s">
        <v>253</v>
      </c>
      <c r="J3872" t="s">
        <v>59</v>
      </c>
      <c r="K3872" t="b">
        <v>0</v>
      </c>
      <c r="L3872">
        <v>2009</v>
      </c>
      <c r="M3872">
        <v>19172165225</v>
      </c>
      <c r="N3872">
        <v>17601620000</v>
      </c>
      <c r="O3872" t="b">
        <v>0</v>
      </c>
      <c r="P3872">
        <v>1</v>
      </c>
      <c r="Q3872" t="str" cm="1">
        <f t="array" ref="Q3872">_xlfn.IFS(Table1[[#This Row],[Wealthier_Winner]]=-1,"Wealthier Nation Loses",Table1[[#This Row],[Wealthier_Winner]]=0,"Tie",Table1[[#This Row],[Wealthier_Winner]]=1,"Wealthier Nation Wins")</f>
        <v>Wealthier Nation Wins</v>
      </c>
    </row>
    <row r="3873" spans="1:17" x14ac:dyDescent="0.2">
      <c r="A3873" s="1">
        <v>5888</v>
      </c>
      <c r="B3873" s="2">
        <v>40061</v>
      </c>
      <c r="C3873" s="7">
        <f>_xlfn.FLOOR.MATH(Table1[[#This Row],[year]],10)</f>
        <v>2000</v>
      </c>
      <c r="D3873" t="s">
        <v>19</v>
      </c>
      <c r="E3873" t="s">
        <v>13</v>
      </c>
      <c r="F3873">
        <v>1</v>
      </c>
      <c r="G3873">
        <v>3</v>
      </c>
      <c r="H3873" t="s">
        <v>224</v>
      </c>
      <c r="I3873" t="s">
        <v>95</v>
      </c>
      <c r="J3873" t="s">
        <v>19</v>
      </c>
      <c r="K3873" t="b">
        <v>0</v>
      </c>
      <c r="L3873">
        <v>2009</v>
      </c>
      <c r="M3873">
        <v>332976484577</v>
      </c>
      <c r="N3873">
        <v>1666996294252</v>
      </c>
      <c r="O3873" t="b">
        <v>1</v>
      </c>
      <c r="P3873">
        <v>1</v>
      </c>
      <c r="Q3873" t="str" cm="1">
        <f t="array" ref="Q3873">_xlfn.IFS(Table1[[#This Row],[Wealthier_Winner]]=-1,"Wealthier Nation Loses",Table1[[#This Row],[Wealthier_Winner]]=0,"Tie",Table1[[#This Row],[Wealthier_Winner]]=1,"Wealthier Nation Wins")</f>
        <v>Wealthier Nation Wins</v>
      </c>
    </row>
    <row r="3874" spans="1:17" x14ac:dyDescent="0.2">
      <c r="A3874" s="1">
        <v>5889</v>
      </c>
      <c r="B3874" s="2">
        <v>40061</v>
      </c>
      <c r="C3874" s="7">
        <f>_xlfn.FLOOR.MATH(Table1[[#This Row],[year]],10)</f>
        <v>2000</v>
      </c>
      <c r="D3874" t="s">
        <v>519</v>
      </c>
      <c r="E3874" t="s">
        <v>73</v>
      </c>
      <c r="F3874">
        <v>0</v>
      </c>
      <c r="G3874">
        <v>2</v>
      </c>
      <c r="H3874" t="s">
        <v>224</v>
      </c>
      <c r="I3874" t="s">
        <v>520</v>
      </c>
      <c r="J3874" t="s">
        <v>519</v>
      </c>
      <c r="K3874" t="b">
        <v>0</v>
      </c>
      <c r="L3874">
        <v>2009</v>
      </c>
      <c r="M3874">
        <v>8647937081</v>
      </c>
      <c r="N3874">
        <v>17613949091</v>
      </c>
      <c r="O3874" t="b">
        <v>1</v>
      </c>
      <c r="P3874">
        <v>1</v>
      </c>
      <c r="Q3874" t="str" cm="1">
        <f t="array" ref="Q3874">_xlfn.IFS(Table1[[#This Row],[Wealthier_Winner]]=-1,"Wealthier Nation Loses",Table1[[#This Row],[Wealthier_Winner]]=0,"Tie",Table1[[#This Row],[Wealthier_Winner]]=1,"Wealthier Nation Wins")</f>
        <v>Wealthier Nation Wins</v>
      </c>
    </row>
    <row r="3875" spans="1:17" x14ac:dyDescent="0.2">
      <c r="A3875" s="1">
        <v>5890</v>
      </c>
      <c r="B3875" s="2">
        <v>40061</v>
      </c>
      <c r="C3875" s="7">
        <f>_xlfn.FLOOR.MATH(Table1[[#This Row],[year]],10)</f>
        <v>2000</v>
      </c>
      <c r="D3875" t="s">
        <v>29</v>
      </c>
      <c r="E3875" t="s">
        <v>447</v>
      </c>
      <c r="F3875">
        <v>3</v>
      </c>
      <c r="G3875">
        <v>1</v>
      </c>
      <c r="H3875" t="s">
        <v>224</v>
      </c>
      <c r="I3875" t="s">
        <v>414</v>
      </c>
      <c r="J3875" t="s">
        <v>29</v>
      </c>
      <c r="K3875" t="b">
        <v>0</v>
      </c>
      <c r="L3875">
        <v>2009</v>
      </c>
      <c r="M3875">
        <v>399290118782</v>
      </c>
      <c r="N3875">
        <v>2296065170</v>
      </c>
      <c r="O3875" t="b">
        <v>1</v>
      </c>
      <c r="P3875">
        <v>1</v>
      </c>
      <c r="Q3875" t="str" cm="1">
        <f t="array" ref="Q3875">_xlfn.IFS(Table1[[#This Row],[Wealthier_Winner]]=-1,"Wealthier Nation Loses",Table1[[#This Row],[Wealthier_Winner]]=0,"Tie",Table1[[#This Row],[Wealthier_Winner]]=1,"Wealthier Nation Wins")</f>
        <v>Wealthier Nation Wins</v>
      </c>
    </row>
    <row r="3876" spans="1:17" x14ac:dyDescent="0.2">
      <c r="A3876" s="1">
        <v>5891</v>
      </c>
      <c r="B3876" s="2">
        <v>40061</v>
      </c>
      <c r="C3876" s="7">
        <f>_xlfn.FLOOR.MATH(Table1[[#This Row],[year]],10)</f>
        <v>2000</v>
      </c>
      <c r="D3876" t="s">
        <v>513</v>
      </c>
      <c r="E3876" t="s">
        <v>230</v>
      </c>
      <c r="F3876">
        <v>1</v>
      </c>
      <c r="G3876">
        <v>2</v>
      </c>
      <c r="H3876" t="s">
        <v>224</v>
      </c>
      <c r="I3876" t="s">
        <v>728</v>
      </c>
      <c r="J3876" t="s">
        <v>513</v>
      </c>
      <c r="K3876" t="b">
        <v>0</v>
      </c>
      <c r="L3876">
        <v>2009</v>
      </c>
      <c r="M3876">
        <v>44292427184</v>
      </c>
      <c r="N3876">
        <v>253480783439</v>
      </c>
      <c r="O3876" t="b">
        <v>1</v>
      </c>
      <c r="P3876">
        <v>1</v>
      </c>
      <c r="Q3876" t="str" cm="1">
        <f t="array" ref="Q3876">_xlfn.IFS(Table1[[#This Row],[Wealthier_Winner]]=-1,"Wealthier Nation Loses",Table1[[#This Row],[Wealthier_Winner]]=0,"Tie",Table1[[#This Row],[Wealthier_Winner]]=1,"Wealthier Nation Wins")</f>
        <v>Wealthier Nation Wins</v>
      </c>
    </row>
    <row r="3877" spans="1:17" x14ac:dyDescent="0.2">
      <c r="A3877" s="1">
        <v>5892</v>
      </c>
      <c r="B3877" s="2">
        <v>40061</v>
      </c>
      <c r="C3877" s="7">
        <f>_xlfn.FLOOR.MATH(Table1[[#This Row],[year]],10)</f>
        <v>2000</v>
      </c>
      <c r="D3877" t="s">
        <v>361</v>
      </c>
      <c r="E3877" t="s">
        <v>45</v>
      </c>
      <c r="F3877">
        <v>0</v>
      </c>
      <c r="G3877">
        <v>0</v>
      </c>
      <c r="H3877" t="s">
        <v>224</v>
      </c>
      <c r="I3877" t="s">
        <v>419</v>
      </c>
      <c r="J3877" t="s">
        <v>361</v>
      </c>
      <c r="K3877" t="b">
        <v>0</v>
      </c>
      <c r="L3877">
        <v>2009</v>
      </c>
      <c r="M3877">
        <v>22938218085</v>
      </c>
      <c r="N3877">
        <v>429097866666</v>
      </c>
      <c r="O3877" t="b">
        <v>1</v>
      </c>
      <c r="P3877">
        <v>0</v>
      </c>
      <c r="Q3877" t="str" cm="1">
        <f t="array" ref="Q3877">_xlfn.IFS(Table1[[#This Row],[Wealthier_Winner]]=-1,"Wealthier Nation Loses",Table1[[#This Row],[Wealthier_Winner]]=0,"Tie",Table1[[#This Row],[Wealthier_Winner]]=1,"Wealthier Nation Wins")</f>
        <v>Tie</v>
      </c>
    </row>
    <row r="3878" spans="1:17" x14ac:dyDescent="0.2">
      <c r="A3878" s="1">
        <v>5893</v>
      </c>
      <c r="B3878" s="2">
        <v>40061</v>
      </c>
      <c r="C3878" s="7">
        <f>_xlfn.FLOOR.MATH(Table1[[#This Row],[year]],10)</f>
        <v>2000</v>
      </c>
      <c r="D3878" t="s">
        <v>33</v>
      </c>
      <c r="E3878" t="s">
        <v>705</v>
      </c>
      <c r="F3878">
        <v>4</v>
      </c>
      <c r="G3878">
        <v>1</v>
      </c>
      <c r="H3878" t="s">
        <v>224</v>
      </c>
      <c r="I3878" t="s">
        <v>375</v>
      </c>
      <c r="J3878" t="s">
        <v>33</v>
      </c>
      <c r="K3878" t="b">
        <v>0</v>
      </c>
      <c r="L3878">
        <v>2009</v>
      </c>
      <c r="M3878">
        <v>52023801230</v>
      </c>
      <c r="N3878">
        <v>4142640316</v>
      </c>
      <c r="O3878" t="b">
        <v>1</v>
      </c>
      <c r="P3878">
        <v>1</v>
      </c>
      <c r="Q3878" t="str" cm="1">
        <f t="array" ref="Q3878">_xlfn.IFS(Table1[[#This Row],[Wealthier_Winner]]=-1,"Wealthier Nation Loses",Table1[[#This Row],[Wealthier_Winner]]=0,"Tie",Table1[[#This Row],[Wealthier_Winner]]=1,"Wealthier Nation Wins")</f>
        <v>Wealthier Nation Wins</v>
      </c>
    </row>
    <row r="3879" spans="1:17" x14ac:dyDescent="0.2">
      <c r="A3879" s="1">
        <v>5894</v>
      </c>
      <c r="B3879" s="2">
        <v>40061</v>
      </c>
      <c r="C3879" s="7">
        <f>_xlfn.FLOOR.MATH(Table1[[#This Row],[year]],10)</f>
        <v>2000</v>
      </c>
      <c r="D3879" t="s">
        <v>14</v>
      </c>
      <c r="E3879" t="s">
        <v>258</v>
      </c>
      <c r="F3879">
        <v>2</v>
      </c>
      <c r="G3879">
        <v>2</v>
      </c>
      <c r="H3879" t="s">
        <v>224</v>
      </c>
      <c r="I3879" t="s">
        <v>75</v>
      </c>
      <c r="J3879" t="s">
        <v>14</v>
      </c>
      <c r="K3879" t="b">
        <v>0</v>
      </c>
      <c r="L3879">
        <v>2009</v>
      </c>
      <c r="M3879">
        <v>171777900623</v>
      </c>
      <c r="N3879">
        <v>329787628928</v>
      </c>
      <c r="O3879" t="b">
        <v>0</v>
      </c>
      <c r="P3879">
        <v>0</v>
      </c>
      <c r="Q3879" t="str" cm="1">
        <f t="array" ref="Q3879">_xlfn.IFS(Table1[[#This Row],[Wealthier_Winner]]=-1,"Wealthier Nation Loses",Table1[[#This Row],[Wealthier_Winner]]=0,"Tie",Table1[[#This Row],[Wealthier_Winner]]=1,"Wealthier Nation Wins")</f>
        <v>Tie</v>
      </c>
    </row>
    <row r="3880" spans="1:17" x14ac:dyDescent="0.2">
      <c r="A3880" s="1">
        <v>5895</v>
      </c>
      <c r="B3880" s="2">
        <v>40061</v>
      </c>
      <c r="C3880" s="7">
        <f>_xlfn.FLOOR.MATH(Table1[[#This Row],[year]],10)</f>
        <v>2000</v>
      </c>
      <c r="D3880" t="s">
        <v>15</v>
      </c>
      <c r="E3880" t="s">
        <v>57</v>
      </c>
      <c r="F3880">
        <v>2</v>
      </c>
      <c r="G3880">
        <v>0</v>
      </c>
      <c r="H3880" t="s">
        <v>224</v>
      </c>
      <c r="I3880" t="s">
        <v>726</v>
      </c>
      <c r="J3880" t="s">
        <v>15</v>
      </c>
      <c r="K3880" t="b">
        <v>0</v>
      </c>
      <c r="L3880">
        <v>2009</v>
      </c>
      <c r="M3880">
        <v>232468663109</v>
      </c>
      <c r="N3880">
        <v>60094978000</v>
      </c>
      <c r="O3880" t="b">
        <v>1</v>
      </c>
      <c r="P3880">
        <v>1</v>
      </c>
      <c r="Q3880" t="str" cm="1">
        <f t="array" ref="Q3880">_xlfn.IFS(Table1[[#This Row],[Wealthier_Winner]]=-1,"Wealthier Nation Loses",Table1[[#This Row],[Wealthier_Winner]]=0,"Tie",Table1[[#This Row],[Wealthier_Winner]]=1,"Wealthier Nation Wins")</f>
        <v>Wealthier Nation Wins</v>
      </c>
    </row>
    <row r="3881" spans="1:17" x14ac:dyDescent="0.2">
      <c r="A3881" s="1">
        <v>5896</v>
      </c>
      <c r="B3881" s="2">
        <v>40061</v>
      </c>
      <c r="C3881" s="7">
        <f>_xlfn.FLOOR.MATH(Table1[[#This Row],[year]],10)</f>
        <v>2000</v>
      </c>
      <c r="D3881" t="s">
        <v>56</v>
      </c>
      <c r="E3881" t="s">
        <v>17</v>
      </c>
      <c r="F3881">
        <v>0</v>
      </c>
      <c r="G3881">
        <v>3</v>
      </c>
      <c r="H3881" t="s">
        <v>224</v>
      </c>
      <c r="I3881" t="s">
        <v>225</v>
      </c>
      <c r="J3881" t="s">
        <v>56</v>
      </c>
      <c r="K3881" t="b">
        <v>0</v>
      </c>
      <c r="L3881">
        <v>2009</v>
      </c>
      <c r="M3881">
        <v>30745714312</v>
      </c>
      <c r="N3881">
        <v>943437415024</v>
      </c>
      <c r="O3881" t="b">
        <v>1</v>
      </c>
      <c r="P3881">
        <v>1</v>
      </c>
      <c r="Q3881" t="str" cm="1">
        <f t="array" ref="Q3881">_xlfn.IFS(Table1[[#This Row],[Wealthier_Winner]]=-1,"Wealthier Nation Loses",Table1[[#This Row],[Wealthier_Winner]]=0,"Tie",Table1[[#This Row],[Wealthier_Winner]]=1,"Wealthier Nation Wins")</f>
        <v>Wealthier Nation Wins</v>
      </c>
    </row>
    <row r="3882" spans="1:17" x14ac:dyDescent="0.2">
      <c r="A3882" s="1">
        <v>5897</v>
      </c>
      <c r="B3882" s="2">
        <v>40061</v>
      </c>
      <c r="C3882" s="7">
        <f>_xlfn.FLOOR.MATH(Table1[[#This Row],[year]],10)</f>
        <v>2000</v>
      </c>
      <c r="D3882" t="s">
        <v>52</v>
      </c>
      <c r="E3882" t="s">
        <v>510</v>
      </c>
      <c r="F3882">
        <v>1</v>
      </c>
      <c r="G3882">
        <v>0</v>
      </c>
      <c r="H3882" t="s">
        <v>224</v>
      </c>
      <c r="I3882" t="s">
        <v>538</v>
      </c>
      <c r="J3882" t="s">
        <v>52</v>
      </c>
      <c r="K3882" t="b">
        <v>0</v>
      </c>
      <c r="L3882">
        <v>2009</v>
      </c>
      <c r="M3882">
        <v>62315996674</v>
      </c>
      <c r="N3882">
        <v>50873167326</v>
      </c>
      <c r="O3882" t="b">
        <v>0</v>
      </c>
      <c r="P3882">
        <v>1</v>
      </c>
      <c r="Q3882" t="str" cm="1">
        <f t="array" ref="Q3882">_xlfn.IFS(Table1[[#This Row],[Wealthier_Winner]]=-1,"Wealthier Nation Loses",Table1[[#This Row],[Wealthier_Winner]]=0,"Tie",Table1[[#This Row],[Wealthier_Winner]]=1,"Wealthier Nation Wins")</f>
        <v>Wealthier Nation Wins</v>
      </c>
    </row>
    <row r="3883" spans="1:17" x14ac:dyDescent="0.2">
      <c r="A3883" s="1">
        <v>5899</v>
      </c>
      <c r="B3883" s="2">
        <v>40061</v>
      </c>
      <c r="C3883" s="7">
        <f>_xlfn.FLOOR.MATH(Table1[[#This Row],[year]],10)</f>
        <v>2000</v>
      </c>
      <c r="D3883" t="s">
        <v>36</v>
      </c>
      <c r="E3883" t="s">
        <v>38</v>
      </c>
      <c r="F3883">
        <v>1</v>
      </c>
      <c r="G3883">
        <v>1</v>
      </c>
      <c r="H3883" t="s">
        <v>224</v>
      </c>
      <c r="I3883" t="s">
        <v>264</v>
      </c>
      <c r="J3883" t="s">
        <v>36</v>
      </c>
      <c r="K3883" t="b">
        <v>0</v>
      </c>
      <c r="L3883">
        <v>2009</v>
      </c>
      <c r="M3883">
        <v>322619152194</v>
      </c>
      <c r="N3883">
        <v>244667762835</v>
      </c>
      <c r="O3883" t="b">
        <v>0</v>
      </c>
      <c r="P3883">
        <v>0</v>
      </c>
      <c r="Q3883" t="str" cm="1">
        <f t="array" ref="Q3883">_xlfn.IFS(Table1[[#This Row],[Wealthier_Winner]]=-1,"Wealthier Nation Loses",Table1[[#This Row],[Wealthier_Winner]]=0,"Tie",Table1[[#This Row],[Wealthier_Winner]]=1,"Wealthier Nation Wins")</f>
        <v>Tie</v>
      </c>
    </row>
    <row r="3884" spans="1:17" x14ac:dyDescent="0.2">
      <c r="A3884" s="1">
        <v>5900</v>
      </c>
      <c r="B3884" s="2">
        <v>40061</v>
      </c>
      <c r="C3884" s="7">
        <f>_xlfn.FLOOR.MATH(Table1[[#This Row],[year]],10)</f>
        <v>2000</v>
      </c>
      <c r="D3884" t="s">
        <v>20</v>
      </c>
      <c r="E3884" t="s">
        <v>44</v>
      </c>
      <c r="F3884">
        <v>1</v>
      </c>
      <c r="G3884">
        <v>1</v>
      </c>
      <c r="H3884" t="s">
        <v>224</v>
      </c>
      <c r="I3884" t="s">
        <v>132</v>
      </c>
      <c r="J3884" t="s">
        <v>20</v>
      </c>
      <c r="K3884" t="b">
        <v>0</v>
      </c>
      <c r="L3884">
        <v>2009</v>
      </c>
      <c r="M3884">
        <v>2700075882518</v>
      </c>
      <c r="N3884">
        <v>174110532658</v>
      </c>
      <c r="O3884" t="b">
        <v>1</v>
      </c>
      <c r="P3884">
        <v>0</v>
      </c>
      <c r="Q3884" t="str" cm="1">
        <f t="array" ref="Q3884">_xlfn.IFS(Table1[[#This Row],[Wealthier_Winner]]=-1,"Wealthier Nation Loses",Table1[[#This Row],[Wealthier_Winner]]=0,"Tie",Table1[[#This Row],[Wealthier_Winner]]=1,"Wealthier Nation Wins")</f>
        <v>Tie</v>
      </c>
    </row>
    <row r="3885" spans="1:17" x14ac:dyDescent="0.2">
      <c r="A3885" s="1">
        <v>5901</v>
      </c>
      <c r="B3885" s="2">
        <v>40061</v>
      </c>
      <c r="C3885" s="7">
        <f>_xlfn.FLOOR.MATH(Table1[[#This Row],[year]],10)</f>
        <v>2000</v>
      </c>
      <c r="D3885" t="s">
        <v>433</v>
      </c>
      <c r="E3885" t="s">
        <v>40</v>
      </c>
      <c r="F3885">
        <v>0</v>
      </c>
      <c r="G3885">
        <v>2</v>
      </c>
      <c r="H3885" t="s">
        <v>224</v>
      </c>
      <c r="I3885" t="s">
        <v>436</v>
      </c>
      <c r="J3885" t="s">
        <v>433</v>
      </c>
      <c r="K3885" t="b">
        <v>0</v>
      </c>
      <c r="L3885">
        <v>2009</v>
      </c>
      <c r="M3885">
        <v>12113699068</v>
      </c>
      <c r="N3885">
        <v>27932970317</v>
      </c>
      <c r="O3885" t="b">
        <v>1</v>
      </c>
      <c r="P3885">
        <v>1</v>
      </c>
      <c r="Q3885" t="str" cm="1">
        <f t="array" ref="Q3885">_xlfn.IFS(Table1[[#This Row],[Wealthier_Winner]]=-1,"Wealthier Nation Loses",Table1[[#This Row],[Wealthier_Winner]]=0,"Tie",Table1[[#This Row],[Wealthier_Winner]]=1,"Wealthier Nation Wins")</f>
        <v>Wealthier Nation Wins</v>
      </c>
    </row>
    <row r="3886" spans="1:17" x14ac:dyDescent="0.2">
      <c r="A3886" s="1">
        <v>5902</v>
      </c>
      <c r="B3886" s="2">
        <v>40061</v>
      </c>
      <c r="C3886" s="7">
        <f>_xlfn.FLOOR.MATH(Table1[[#This Row],[year]],10)</f>
        <v>2000</v>
      </c>
      <c r="D3886" t="s">
        <v>534</v>
      </c>
      <c r="E3886" t="s">
        <v>18</v>
      </c>
      <c r="F3886">
        <v>0</v>
      </c>
      <c r="G3886">
        <v>2</v>
      </c>
      <c r="H3886" t="s">
        <v>224</v>
      </c>
      <c r="I3886" t="s">
        <v>536</v>
      </c>
      <c r="J3886" t="s">
        <v>534</v>
      </c>
      <c r="K3886" t="b">
        <v>0</v>
      </c>
      <c r="L3886">
        <v>2009</v>
      </c>
      <c r="M3886">
        <v>10766920065</v>
      </c>
      <c r="N3886">
        <v>2209484319012</v>
      </c>
      <c r="O3886" t="b">
        <v>1</v>
      </c>
      <c r="P3886">
        <v>1</v>
      </c>
      <c r="Q3886" t="str" cm="1">
        <f t="array" ref="Q3886">_xlfn.IFS(Table1[[#This Row],[Wealthier_Winner]]=-1,"Wealthier Nation Loses",Table1[[#This Row],[Wealthier_Winner]]=0,"Tie",Table1[[#This Row],[Wealthier_Winner]]=1,"Wealthier Nation Wins")</f>
        <v>Wealthier Nation Wins</v>
      </c>
    </row>
    <row r="3887" spans="1:17" x14ac:dyDescent="0.2">
      <c r="A3887" s="1">
        <v>5903</v>
      </c>
      <c r="B3887" s="2">
        <v>40061</v>
      </c>
      <c r="C3887" s="7">
        <f>_xlfn.FLOOR.MATH(Table1[[#This Row],[year]],10)</f>
        <v>2000</v>
      </c>
      <c r="D3887" t="s">
        <v>65</v>
      </c>
      <c r="E3887" t="s">
        <v>59</v>
      </c>
      <c r="F3887">
        <v>4</v>
      </c>
      <c r="G3887">
        <v>1</v>
      </c>
      <c r="H3887" t="s">
        <v>224</v>
      </c>
      <c r="I3887" t="s">
        <v>254</v>
      </c>
      <c r="J3887" t="s">
        <v>65</v>
      </c>
      <c r="K3887" t="b">
        <v>0</v>
      </c>
      <c r="L3887">
        <v>2009</v>
      </c>
      <c r="M3887">
        <v>14587496229</v>
      </c>
      <c r="N3887">
        <v>19172165225</v>
      </c>
      <c r="O3887" t="b">
        <v>0</v>
      </c>
      <c r="P3887">
        <v>-1</v>
      </c>
      <c r="Q3887" t="str" cm="1">
        <f t="array" ref="Q3887">_xlfn.IFS(Table1[[#This Row],[Wealthier_Winner]]=-1,"Wealthier Nation Loses",Table1[[#This Row],[Wealthier_Winner]]=0,"Tie",Table1[[#This Row],[Wealthier_Winner]]=1,"Wealthier Nation Wins")</f>
        <v>Wealthier Nation Loses</v>
      </c>
    </row>
    <row r="3888" spans="1:17" x14ac:dyDescent="0.2">
      <c r="A3888" s="1">
        <v>5904</v>
      </c>
      <c r="B3888" s="2">
        <v>40061</v>
      </c>
      <c r="C3888" s="7">
        <f>_xlfn.FLOOR.MATH(Table1[[#This Row],[year]],10)</f>
        <v>2000</v>
      </c>
      <c r="D3888" t="s">
        <v>30</v>
      </c>
      <c r="E3888" t="s">
        <v>25</v>
      </c>
      <c r="F3888">
        <v>1</v>
      </c>
      <c r="G3888">
        <v>2</v>
      </c>
      <c r="H3888" t="s">
        <v>224</v>
      </c>
      <c r="I3888" t="s">
        <v>297</v>
      </c>
      <c r="J3888" t="s">
        <v>30</v>
      </c>
      <c r="K3888" t="b">
        <v>0</v>
      </c>
      <c r="L3888">
        <v>2009</v>
      </c>
      <c r="M3888">
        <v>130807441076</v>
      </c>
      <c r="N3888">
        <v>434311714442</v>
      </c>
      <c r="O3888" t="b">
        <v>1</v>
      </c>
      <c r="P3888">
        <v>1</v>
      </c>
      <c r="Q3888" t="str" cm="1">
        <f t="array" ref="Q3888">_xlfn.IFS(Table1[[#This Row],[Wealthier_Winner]]=-1,"Wealthier Nation Loses",Table1[[#This Row],[Wealthier_Winner]]=0,"Tie",Table1[[#This Row],[Wealthier_Winner]]=1,"Wealthier Nation Wins")</f>
        <v>Wealthier Nation Wins</v>
      </c>
    </row>
    <row r="3889" spans="1:17" x14ac:dyDescent="0.2">
      <c r="A3889" s="1">
        <v>5905</v>
      </c>
      <c r="B3889" s="2">
        <v>40061</v>
      </c>
      <c r="C3889" s="7">
        <f>_xlfn.FLOOR.MATH(Table1[[#This Row],[year]],10)</f>
        <v>2000</v>
      </c>
      <c r="D3889" t="s">
        <v>66</v>
      </c>
      <c r="E3889" t="s">
        <v>42</v>
      </c>
      <c r="F3889">
        <v>1</v>
      </c>
      <c r="G3889">
        <v>1</v>
      </c>
      <c r="H3889" t="s">
        <v>224</v>
      </c>
      <c r="I3889" t="s">
        <v>336</v>
      </c>
      <c r="J3889" t="s">
        <v>66</v>
      </c>
      <c r="K3889" t="b">
        <v>0</v>
      </c>
      <c r="L3889">
        <v>2009</v>
      </c>
      <c r="M3889">
        <v>13212543837</v>
      </c>
      <c r="N3889">
        <v>387976400617</v>
      </c>
      <c r="O3889" t="b">
        <v>1</v>
      </c>
      <c r="P3889">
        <v>0</v>
      </c>
      <c r="Q3889" t="str" cm="1">
        <f t="array" ref="Q3889">_xlfn.IFS(Table1[[#This Row],[Wealthier_Winner]]=-1,"Wealthier Nation Loses",Table1[[#This Row],[Wealthier_Winner]]=0,"Tie",Table1[[#This Row],[Wealthier_Winner]]=1,"Wealthier Nation Wins")</f>
        <v>Tie</v>
      </c>
    </row>
    <row r="3890" spans="1:17" x14ac:dyDescent="0.2">
      <c r="A3890" s="1">
        <v>5906</v>
      </c>
      <c r="B3890" s="2">
        <v>40061</v>
      </c>
      <c r="C3890" s="7">
        <f>_xlfn.FLOOR.MATH(Table1[[#This Row],[year]],10)</f>
        <v>2000</v>
      </c>
      <c r="D3890" t="s">
        <v>22</v>
      </c>
      <c r="E3890" t="s">
        <v>525</v>
      </c>
      <c r="F3890">
        <v>0</v>
      </c>
      <c r="G3890">
        <v>1</v>
      </c>
      <c r="H3890" t="s">
        <v>224</v>
      </c>
      <c r="I3890" t="s">
        <v>239</v>
      </c>
      <c r="J3890" t="s">
        <v>22</v>
      </c>
      <c r="K3890" t="b">
        <v>0</v>
      </c>
      <c r="L3890">
        <v>2009</v>
      </c>
      <c r="M3890">
        <v>213403181852</v>
      </c>
      <c r="N3890">
        <v>25691530442</v>
      </c>
      <c r="O3890" t="b">
        <v>1</v>
      </c>
      <c r="P3890">
        <v>-1</v>
      </c>
      <c r="Q3890" t="str" cm="1">
        <f t="array" ref="Q3890">_xlfn.IFS(Table1[[#This Row],[Wealthier_Winner]]=-1,"Wealthier Nation Loses",Table1[[#This Row],[Wealthier_Winner]]=0,"Tie",Table1[[#This Row],[Wealthier_Winner]]=1,"Wealthier Nation Wins")</f>
        <v>Wealthier Nation Loses</v>
      </c>
    </row>
    <row r="3891" spans="1:17" x14ac:dyDescent="0.2">
      <c r="A3891" s="1">
        <v>5908</v>
      </c>
      <c r="B3891" s="2">
        <v>40061</v>
      </c>
      <c r="C3891" s="7">
        <f>_xlfn.FLOOR.MATH(Table1[[#This Row],[year]],10)</f>
        <v>2000</v>
      </c>
      <c r="D3891" t="s">
        <v>370</v>
      </c>
      <c r="E3891" t="s">
        <v>305</v>
      </c>
      <c r="F3891">
        <v>2</v>
      </c>
      <c r="G3891">
        <v>1</v>
      </c>
      <c r="H3891" t="s">
        <v>224</v>
      </c>
      <c r="I3891" t="s">
        <v>372</v>
      </c>
      <c r="J3891" t="s">
        <v>370</v>
      </c>
      <c r="K3891" t="b">
        <v>0</v>
      </c>
      <c r="L3891">
        <v>2009</v>
      </c>
      <c r="M3891">
        <v>9009887946</v>
      </c>
      <c r="N3891">
        <v>6716905339</v>
      </c>
      <c r="O3891" t="b">
        <v>0</v>
      </c>
      <c r="P3891">
        <v>1</v>
      </c>
      <c r="Q3891" t="str" cm="1">
        <f t="array" ref="Q3891">_xlfn.IFS(Table1[[#This Row],[Wealthier_Winner]]=-1,"Wealthier Nation Loses",Table1[[#This Row],[Wealthier_Winner]]=0,"Tie",Table1[[#This Row],[Wealthier_Winner]]=1,"Wealthier Nation Wins")</f>
        <v>Wealthier Nation Wins</v>
      </c>
    </row>
    <row r="3892" spans="1:17" x14ac:dyDescent="0.2">
      <c r="A3892" s="1">
        <v>5909</v>
      </c>
      <c r="B3892" s="2">
        <v>40061</v>
      </c>
      <c r="C3892" s="7">
        <f>_xlfn.FLOOR.MATH(Table1[[#This Row],[year]],10)</f>
        <v>2000</v>
      </c>
      <c r="D3892" t="s">
        <v>527</v>
      </c>
      <c r="E3892" t="s">
        <v>232</v>
      </c>
      <c r="F3892">
        <v>0</v>
      </c>
      <c r="G3892">
        <v>0</v>
      </c>
      <c r="H3892" t="s">
        <v>224</v>
      </c>
      <c r="I3892" t="s">
        <v>528</v>
      </c>
      <c r="J3892" t="s">
        <v>527</v>
      </c>
      <c r="K3892" t="b">
        <v>0</v>
      </c>
      <c r="L3892">
        <v>2009</v>
      </c>
      <c r="M3892">
        <v>5439434271</v>
      </c>
      <c r="N3892">
        <v>54467289897</v>
      </c>
      <c r="O3892" t="b">
        <v>1</v>
      </c>
      <c r="P3892">
        <v>0</v>
      </c>
      <c r="Q3892" t="str" cm="1">
        <f t="array" ref="Q3892">_xlfn.IFS(Table1[[#This Row],[Wealthier_Winner]]=-1,"Wealthier Nation Loses",Table1[[#This Row],[Wealthier_Winner]]=0,"Tie",Table1[[#This Row],[Wealthier_Winner]]=1,"Wealthier Nation Wins")</f>
        <v>Tie</v>
      </c>
    </row>
    <row r="3893" spans="1:17" x14ac:dyDescent="0.2">
      <c r="A3893" s="1">
        <v>5910</v>
      </c>
      <c r="B3893" s="2">
        <v>40061</v>
      </c>
      <c r="C3893" s="7">
        <f>_xlfn.FLOOR.MATH(Table1[[#This Row],[year]],10)</f>
        <v>2000</v>
      </c>
      <c r="D3893" t="s">
        <v>35</v>
      </c>
      <c r="E3893" t="s">
        <v>47</v>
      </c>
      <c r="F3893">
        <v>1</v>
      </c>
      <c r="G3893">
        <v>0</v>
      </c>
      <c r="H3893" t="s">
        <v>224</v>
      </c>
      <c r="I3893" t="s">
        <v>250</v>
      </c>
      <c r="J3893" t="s">
        <v>35</v>
      </c>
      <c r="K3893" t="b">
        <v>0</v>
      </c>
      <c r="L3893">
        <v>2009</v>
      </c>
      <c r="M3893">
        <v>22355151162</v>
      </c>
      <c r="N3893">
        <v>17339992193</v>
      </c>
      <c r="O3893" t="b">
        <v>0</v>
      </c>
      <c r="P3893">
        <v>1</v>
      </c>
      <c r="Q3893" t="str" cm="1">
        <f t="array" ref="Q3893">_xlfn.IFS(Table1[[#This Row],[Wealthier_Winner]]=-1,"Wealthier Nation Loses",Table1[[#This Row],[Wealthier_Winner]]=0,"Tie",Table1[[#This Row],[Wealthier_Winner]]=1,"Wealthier Nation Wins")</f>
        <v>Wealthier Nation Wins</v>
      </c>
    </row>
    <row r="3894" spans="1:17" x14ac:dyDescent="0.2">
      <c r="A3894" s="1">
        <v>5911</v>
      </c>
      <c r="B3894" s="2">
        <v>40061</v>
      </c>
      <c r="C3894" s="7">
        <f>_xlfn.FLOOR.MATH(Table1[[#This Row],[year]],10)</f>
        <v>2000</v>
      </c>
      <c r="D3894" t="s">
        <v>31</v>
      </c>
      <c r="E3894" t="s">
        <v>26</v>
      </c>
      <c r="F3894">
        <v>1</v>
      </c>
      <c r="G3894">
        <v>0</v>
      </c>
      <c r="H3894" t="s">
        <v>224</v>
      </c>
      <c r="I3894" t="s">
        <v>242</v>
      </c>
      <c r="J3894" t="s">
        <v>31</v>
      </c>
      <c r="K3894" t="b">
        <v>0</v>
      </c>
      <c r="L3894">
        <v>2009</v>
      </c>
      <c r="M3894">
        <v>120822986521</v>
      </c>
      <c r="N3894">
        <v>32708319077</v>
      </c>
      <c r="O3894" t="b">
        <v>1</v>
      </c>
      <c r="P3894">
        <v>1</v>
      </c>
      <c r="Q3894" t="str" cm="1">
        <f t="array" ref="Q3894">_xlfn.IFS(Table1[[#This Row],[Wealthier_Winner]]=-1,"Wealthier Nation Loses",Table1[[#This Row],[Wealthier_Winner]]=0,"Tie",Table1[[#This Row],[Wealthier_Winner]]=1,"Wealthier Nation Wins")</f>
        <v>Wealthier Nation Wins</v>
      </c>
    </row>
    <row r="3895" spans="1:17" x14ac:dyDescent="0.2">
      <c r="A3895" s="1">
        <v>5913</v>
      </c>
      <c r="B3895" s="2">
        <v>40061</v>
      </c>
      <c r="C3895" s="7">
        <f>_xlfn.FLOOR.MATH(Table1[[#This Row],[year]],10)</f>
        <v>2000</v>
      </c>
      <c r="D3895" t="s">
        <v>196</v>
      </c>
      <c r="E3895" t="s">
        <v>503</v>
      </c>
      <c r="F3895">
        <v>3</v>
      </c>
      <c r="G3895">
        <v>0</v>
      </c>
      <c r="H3895" t="s">
        <v>224</v>
      </c>
      <c r="I3895" t="s">
        <v>187</v>
      </c>
      <c r="J3895" t="s">
        <v>196</v>
      </c>
      <c r="K3895" t="b">
        <v>0</v>
      </c>
      <c r="L3895">
        <v>2009</v>
      </c>
      <c r="M3895">
        <v>1222645900055</v>
      </c>
      <c r="N3895">
        <v>4504375348</v>
      </c>
      <c r="O3895" t="b">
        <v>1</v>
      </c>
      <c r="P3895">
        <v>1</v>
      </c>
      <c r="Q3895" t="str" cm="1">
        <f t="array" ref="Q3895">_xlfn.IFS(Table1[[#This Row],[Wealthier_Winner]]=-1,"Wealthier Nation Loses",Table1[[#This Row],[Wealthier_Winner]]=0,"Tie",Table1[[#This Row],[Wealthier_Winner]]=1,"Wealthier Nation Wins")</f>
        <v>Wealthier Nation Wins</v>
      </c>
    </row>
    <row r="3896" spans="1:17" x14ac:dyDescent="0.2">
      <c r="A3896" s="1">
        <v>5914</v>
      </c>
      <c r="B3896" s="2">
        <v>40061</v>
      </c>
      <c r="C3896" s="7">
        <f>_xlfn.FLOOR.MATH(Table1[[#This Row],[year]],10)</f>
        <v>2000</v>
      </c>
      <c r="D3896" t="s">
        <v>514</v>
      </c>
      <c r="E3896" t="s">
        <v>212</v>
      </c>
      <c r="F3896">
        <v>0</v>
      </c>
      <c r="G3896">
        <v>1</v>
      </c>
      <c r="H3896" t="s">
        <v>224</v>
      </c>
      <c r="I3896" t="s">
        <v>515</v>
      </c>
      <c r="J3896" t="s">
        <v>514</v>
      </c>
      <c r="K3896" t="b">
        <v>0</v>
      </c>
      <c r="L3896">
        <v>2009</v>
      </c>
      <c r="M3896">
        <v>5674476969</v>
      </c>
      <c r="N3896">
        <v>189147005444</v>
      </c>
      <c r="O3896" t="b">
        <v>1</v>
      </c>
      <c r="P3896">
        <v>1</v>
      </c>
      <c r="Q3896" t="str" cm="1">
        <f t="array" ref="Q3896">_xlfn.IFS(Table1[[#This Row],[Wealthier_Winner]]=-1,"Wealthier Nation Loses",Table1[[#This Row],[Wealthier_Winner]]=0,"Tie",Table1[[#This Row],[Wealthier_Winner]]=1,"Wealthier Nation Wins")</f>
        <v>Wealthier Nation Wins</v>
      </c>
    </row>
    <row r="3897" spans="1:17" x14ac:dyDescent="0.2">
      <c r="A3897" s="1">
        <v>5917</v>
      </c>
      <c r="B3897" s="2">
        <v>40061</v>
      </c>
      <c r="C3897" s="7">
        <f>_xlfn.FLOOR.MATH(Table1[[#This Row],[year]],10)</f>
        <v>2000</v>
      </c>
      <c r="D3897" t="s">
        <v>21</v>
      </c>
      <c r="E3897" t="s">
        <v>23</v>
      </c>
      <c r="F3897">
        <v>5</v>
      </c>
      <c r="G3897">
        <v>0</v>
      </c>
      <c r="H3897" t="s">
        <v>224</v>
      </c>
      <c r="I3897" t="s">
        <v>393</v>
      </c>
      <c r="J3897" t="s">
        <v>21</v>
      </c>
      <c r="K3897" t="b">
        <v>0</v>
      </c>
      <c r="L3897">
        <v>2009</v>
      </c>
      <c r="M3897">
        <v>1496587590847</v>
      </c>
      <c r="N3897">
        <v>485014525992</v>
      </c>
      <c r="O3897" t="b">
        <v>1</v>
      </c>
      <c r="P3897">
        <v>1</v>
      </c>
      <c r="Q3897" t="str" cm="1">
        <f t="array" ref="Q3897">_xlfn.IFS(Table1[[#This Row],[Wealthier_Winner]]=-1,"Wealthier Nation Loses",Table1[[#This Row],[Wealthier_Winner]]=0,"Tie",Table1[[#This Row],[Wealthier_Winner]]=1,"Wealthier Nation Wins")</f>
        <v>Wealthier Nation Wins</v>
      </c>
    </row>
    <row r="3898" spans="1:17" x14ac:dyDescent="0.2">
      <c r="A3898" s="1">
        <v>5918</v>
      </c>
      <c r="B3898" s="2">
        <v>40061</v>
      </c>
      <c r="C3898" s="7">
        <f>_xlfn.FLOOR.MATH(Table1[[#This Row],[year]],10)</f>
        <v>2000</v>
      </c>
      <c r="D3898" t="s">
        <v>46</v>
      </c>
      <c r="E3898" t="s">
        <v>48</v>
      </c>
      <c r="F3898">
        <v>2</v>
      </c>
      <c r="G3898">
        <v>0</v>
      </c>
      <c r="H3898" t="s">
        <v>224</v>
      </c>
      <c r="I3898" t="s">
        <v>269</v>
      </c>
      <c r="J3898" t="s">
        <v>46</v>
      </c>
      <c r="K3898" t="b">
        <v>0</v>
      </c>
      <c r="L3898">
        <v>2009</v>
      </c>
      <c r="M3898">
        <v>554212916092</v>
      </c>
      <c r="N3898">
        <v>326829054686</v>
      </c>
      <c r="O3898" t="b">
        <v>0</v>
      </c>
      <c r="P3898">
        <v>1</v>
      </c>
      <c r="Q3898" t="str" cm="1">
        <f t="array" ref="Q3898">_xlfn.IFS(Table1[[#This Row],[Wealthier_Winner]]=-1,"Wealthier Nation Loses",Table1[[#This Row],[Wealthier_Winner]]=0,"Tie",Table1[[#This Row],[Wealthier_Winner]]=1,"Wealthier Nation Wins")</f>
        <v>Wealthier Nation Wins</v>
      </c>
    </row>
    <row r="3899" spans="1:17" x14ac:dyDescent="0.2">
      <c r="A3899" s="1">
        <v>5920</v>
      </c>
      <c r="B3899" s="2">
        <v>40061</v>
      </c>
      <c r="C3899" s="7">
        <f>_xlfn.FLOOR.MATH(Table1[[#This Row],[year]],10)</f>
        <v>2000</v>
      </c>
      <c r="D3899" t="s">
        <v>64</v>
      </c>
      <c r="E3899" t="s">
        <v>601</v>
      </c>
      <c r="F3899">
        <v>5</v>
      </c>
      <c r="G3899">
        <v>0</v>
      </c>
      <c r="H3899" t="s">
        <v>224</v>
      </c>
      <c r="I3899" t="s">
        <v>423</v>
      </c>
      <c r="J3899" t="s">
        <v>64</v>
      </c>
      <c r="K3899" t="b">
        <v>0</v>
      </c>
      <c r="L3899">
        <v>2009</v>
      </c>
      <c r="M3899">
        <v>121552153444</v>
      </c>
      <c r="N3899">
        <v>3688974807</v>
      </c>
      <c r="O3899" t="b">
        <v>1</v>
      </c>
      <c r="P3899">
        <v>1</v>
      </c>
      <c r="Q3899" t="str" cm="1">
        <f t="array" ref="Q3899">_xlfn.IFS(Table1[[#This Row],[Wealthier_Winner]]=-1,"Wealthier Nation Loses",Table1[[#This Row],[Wealthier_Winner]]=0,"Tie",Table1[[#This Row],[Wealthier_Winner]]=1,"Wealthier Nation Wins")</f>
        <v>Wealthier Nation Wins</v>
      </c>
    </row>
    <row r="3900" spans="1:17" x14ac:dyDescent="0.2">
      <c r="A3900" s="1">
        <v>5921</v>
      </c>
      <c r="B3900" s="2">
        <v>40061</v>
      </c>
      <c r="C3900" s="7">
        <f>_xlfn.FLOOR.MATH(Table1[[#This Row],[year]],10)</f>
        <v>2000</v>
      </c>
      <c r="D3900" t="s">
        <v>41</v>
      </c>
      <c r="E3900" t="s">
        <v>69</v>
      </c>
      <c r="F3900">
        <v>2</v>
      </c>
      <c r="G3900">
        <v>1</v>
      </c>
      <c r="H3900" t="s">
        <v>224</v>
      </c>
      <c r="I3900" t="s">
        <v>729</v>
      </c>
      <c r="J3900" t="s">
        <v>41</v>
      </c>
      <c r="K3900" t="b">
        <v>0</v>
      </c>
      <c r="L3900">
        <v>2009</v>
      </c>
      <c r="M3900">
        <v>14478064934000</v>
      </c>
      <c r="N3900">
        <v>17601620000</v>
      </c>
      <c r="O3900" t="b">
        <v>1</v>
      </c>
      <c r="P3900">
        <v>1</v>
      </c>
      <c r="Q3900" t="str" cm="1">
        <f t="array" ref="Q3900">_xlfn.IFS(Table1[[#This Row],[Wealthier_Winner]]=-1,"Wealthier Nation Loses",Table1[[#This Row],[Wealthier_Winner]]=0,"Tie",Table1[[#This Row],[Wealthier_Winner]]=1,"Wealthier Nation Wins")</f>
        <v>Wealthier Nation Wins</v>
      </c>
    </row>
    <row r="3901" spans="1:17" x14ac:dyDescent="0.2">
      <c r="A3901" s="1">
        <v>5922</v>
      </c>
      <c r="B3901" s="2">
        <v>40062</v>
      </c>
      <c r="C3901" s="7">
        <f>_xlfn.FLOOR.MATH(Table1[[#This Row],[year]],10)</f>
        <v>2000</v>
      </c>
      <c r="D3901" t="s">
        <v>32</v>
      </c>
      <c r="E3901" t="s">
        <v>273</v>
      </c>
      <c r="F3901">
        <v>1</v>
      </c>
      <c r="G3901">
        <v>0</v>
      </c>
      <c r="H3901" t="s">
        <v>224</v>
      </c>
      <c r="I3901" t="s">
        <v>697</v>
      </c>
      <c r="J3901" t="s">
        <v>32</v>
      </c>
      <c r="K3901" t="b">
        <v>0</v>
      </c>
      <c r="L3901">
        <v>2009</v>
      </c>
      <c r="M3901">
        <v>150317292079</v>
      </c>
      <c r="N3901">
        <v>15328342303</v>
      </c>
      <c r="O3901" t="b">
        <v>1</v>
      </c>
      <c r="P3901">
        <v>1</v>
      </c>
      <c r="Q3901" t="str" cm="1">
        <f t="array" ref="Q3901">_xlfn.IFS(Table1[[#This Row],[Wealthier_Winner]]=-1,"Wealthier Nation Loses",Table1[[#This Row],[Wealthier_Winner]]=0,"Tie",Table1[[#This Row],[Wealthier_Winner]]=1,"Wealthier Nation Wins")</f>
        <v>Wealthier Nation Wins</v>
      </c>
    </row>
    <row r="3902" spans="1:17" x14ac:dyDescent="0.2">
      <c r="A3902" s="1">
        <v>5923</v>
      </c>
      <c r="B3902" s="2">
        <v>40062</v>
      </c>
      <c r="C3902" s="7">
        <f>_xlfn.FLOOR.MATH(Table1[[#This Row],[year]],10)</f>
        <v>2000</v>
      </c>
      <c r="D3902" t="s">
        <v>310</v>
      </c>
      <c r="E3902" t="s">
        <v>590</v>
      </c>
      <c r="F3902">
        <v>1</v>
      </c>
      <c r="G3902">
        <v>1</v>
      </c>
      <c r="H3902" t="s">
        <v>224</v>
      </c>
      <c r="I3902" t="s">
        <v>311</v>
      </c>
      <c r="J3902" t="s">
        <v>310</v>
      </c>
      <c r="K3902" t="b">
        <v>0</v>
      </c>
      <c r="L3902">
        <v>2009</v>
      </c>
      <c r="M3902">
        <v>9738626517</v>
      </c>
      <c r="N3902">
        <v>12155217832</v>
      </c>
      <c r="O3902" t="b">
        <v>0</v>
      </c>
      <c r="P3902">
        <v>0</v>
      </c>
      <c r="Q3902" t="str" cm="1">
        <f t="array" ref="Q3902">_xlfn.IFS(Table1[[#This Row],[Wealthier_Winner]]=-1,"Wealthier Nation Loses",Table1[[#This Row],[Wealthier_Winner]]=0,"Tie",Table1[[#This Row],[Wealthier_Winner]]=1,"Wealthier Nation Wins")</f>
        <v>Tie</v>
      </c>
    </row>
    <row r="3903" spans="1:17" x14ac:dyDescent="0.2">
      <c r="A3903" s="1">
        <v>5924</v>
      </c>
      <c r="B3903" s="2">
        <v>40062</v>
      </c>
      <c r="C3903" s="7">
        <f>_xlfn.FLOOR.MATH(Table1[[#This Row],[year]],10)</f>
        <v>2000</v>
      </c>
      <c r="D3903" t="s">
        <v>63</v>
      </c>
      <c r="E3903" t="s">
        <v>274</v>
      </c>
      <c r="F3903">
        <v>2</v>
      </c>
      <c r="G3903">
        <v>0</v>
      </c>
      <c r="H3903" t="s">
        <v>224</v>
      </c>
      <c r="I3903" t="s">
        <v>226</v>
      </c>
      <c r="J3903" t="s">
        <v>63</v>
      </c>
      <c r="K3903" t="b">
        <v>0</v>
      </c>
      <c r="L3903">
        <v>2009</v>
      </c>
      <c r="M3903">
        <v>26048720005</v>
      </c>
      <c r="N3903">
        <v>51621044076</v>
      </c>
      <c r="O3903" t="b">
        <v>0</v>
      </c>
      <c r="P3903">
        <v>-1</v>
      </c>
      <c r="Q3903" t="str" cm="1">
        <f t="array" ref="Q3903">_xlfn.IFS(Table1[[#This Row],[Wealthier_Winner]]=-1,"Wealthier Nation Loses",Table1[[#This Row],[Wealthier_Winner]]=0,"Tie",Table1[[#This Row],[Wealthier_Winner]]=1,"Wealthier Nation Wins")</f>
        <v>Wealthier Nation Loses</v>
      </c>
    </row>
    <row r="3904" spans="1:17" x14ac:dyDescent="0.2">
      <c r="A3904" s="1">
        <v>5925</v>
      </c>
      <c r="B3904" s="2">
        <v>40062</v>
      </c>
      <c r="C3904" s="7">
        <f>_xlfn.FLOOR.MATH(Table1[[#This Row],[year]],10)</f>
        <v>2000</v>
      </c>
      <c r="D3904" t="s">
        <v>300</v>
      </c>
      <c r="E3904" t="s">
        <v>314</v>
      </c>
      <c r="F3904">
        <v>1</v>
      </c>
      <c r="G3904">
        <v>0</v>
      </c>
      <c r="H3904" t="s">
        <v>224</v>
      </c>
      <c r="I3904" t="s">
        <v>299</v>
      </c>
      <c r="J3904" t="s">
        <v>300</v>
      </c>
      <c r="K3904" t="b">
        <v>0</v>
      </c>
      <c r="L3904">
        <v>2009</v>
      </c>
      <c r="M3904">
        <v>12263894790</v>
      </c>
      <c r="N3904">
        <v>42347217912</v>
      </c>
      <c r="O3904" t="b">
        <v>1</v>
      </c>
      <c r="P3904">
        <v>-1</v>
      </c>
      <c r="Q3904" t="str" cm="1">
        <f t="array" ref="Q3904">_xlfn.IFS(Table1[[#This Row],[Wealthier_Winner]]=-1,"Wealthier Nation Loses",Table1[[#This Row],[Wealthier_Winner]]=0,"Tie",Table1[[#This Row],[Wealthier_Winner]]=1,"Wealthier Nation Wins")</f>
        <v>Wealthier Nation Loses</v>
      </c>
    </row>
    <row r="3905" spans="1:17" x14ac:dyDescent="0.2">
      <c r="A3905" s="1">
        <v>5926</v>
      </c>
      <c r="B3905" s="2">
        <v>40062</v>
      </c>
      <c r="C3905" s="7">
        <f>_xlfn.FLOOR.MATH(Table1[[#This Row],[year]],10)</f>
        <v>2000</v>
      </c>
      <c r="D3905" t="s">
        <v>43</v>
      </c>
      <c r="E3905" t="s">
        <v>53</v>
      </c>
      <c r="F3905">
        <v>2</v>
      </c>
      <c r="G3905">
        <v>2</v>
      </c>
      <c r="H3905" t="s">
        <v>224</v>
      </c>
      <c r="I3905" t="s">
        <v>657</v>
      </c>
      <c r="J3905" t="s">
        <v>43</v>
      </c>
      <c r="K3905" t="b">
        <v>0</v>
      </c>
      <c r="L3905">
        <v>2009</v>
      </c>
      <c r="M3905">
        <v>295008835380</v>
      </c>
      <c r="N3905">
        <v>43455740497</v>
      </c>
      <c r="O3905" t="b">
        <v>1</v>
      </c>
      <c r="P3905">
        <v>0</v>
      </c>
      <c r="Q3905" t="str" cm="1">
        <f t="array" ref="Q3905">_xlfn.IFS(Table1[[#This Row],[Wealthier_Winner]]=-1,"Wealthier Nation Loses",Table1[[#This Row],[Wealthier_Winner]]=0,"Tie",Table1[[#This Row],[Wealthier_Winner]]=1,"Wealthier Nation Wins")</f>
        <v>Tie</v>
      </c>
    </row>
    <row r="3906" spans="1:17" x14ac:dyDescent="0.2">
      <c r="A3906" s="1">
        <v>5927</v>
      </c>
      <c r="B3906" s="2">
        <v>40062</v>
      </c>
      <c r="C3906" s="7">
        <f>_xlfn.FLOOR.MATH(Table1[[#This Row],[year]],10)</f>
        <v>2000</v>
      </c>
      <c r="D3906" t="s">
        <v>62</v>
      </c>
      <c r="E3906" t="s">
        <v>24</v>
      </c>
      <c r="F3906">
        <v>1</v>
      </c>
      <c r="G3906">
        <v>1</v>
      </c>
      <c r="H3906" t="s">
        <v>224</v>
      </c>
      <c r="I3906" t="s">
        <v>353</v>
      </c>
      <c r="J3906" t="s">
        <v>62</v>
      </c>
      <c r="K3906" t="b">
        <v>0</v>
      </c>
      <c r="L3906">
        <v>2009</v>
      </c>
      <c r="M3906">
        <v>4721888275</v>
      </c>
      <c r="N3906">
        <v>101154952240</v>
      </c>
      <c r="O3906" t="b">
        <v>1</v>
      </c>
      <c r="P3906">
        <v>0</v>
      </c>
      <c r="Q3906" t="str" cm="1">
        <f t="array" ref="Q3906">_xlfn.IFS(Table1[[#This Row],[Wealthier_Winner]]=-1,"Wealthier Nation Loses",Table1[[#This Row],[Wealthier_Winner]]=0,"Tie",Table1[[#This Row],[Wealthier_Winner]]=1,"Wealthier Nation Wins")</f>
        <v>Tie</v>
      </c>
    </row>
    <row r="3907" spans="1:17" x14ac:dyDescent="0.2">
      <c r="A3907" s="1">
        <v>5928</v>
      </c>
      <c r="B3907" s="2">
        <v>40065</v>
      </c>
      <c r="C3907" s="7">
        <f>_xlfn.FLOOR.MATH(Table1[[#This Row],[year]],10)</f>
        <v>2000</v>
      </c>
      <c r="D3907" t="s">
        <v>373</v>
      </c>
      <c r="E3907" t="s">
        <v>36</v>
      </c>
      <c r="F3907">
        <v>1</v>
      </c>
      <c r="G3907">
        <v>1</v>
      </c>
      <c r="H3907" t="s">
        <v>224</v>
      </c>
      <c r="I3907" t="s">
        <v>374</v>
      </c>
      <c r="J3907" t="s">
        <v>373</v>
      </c>
      <c r="K3907" t="b">
        <v>0</v>
      </c>
      <c r="L3907">
        <v>2009</v>
      </c>
      <c r="M3907">
        <v>12335540656</v>
      </c>
      <c r="N3907">
        <v>322619152194</v>
      </c>
      <c r="O3907" t="b">
        <v>1</v>
      </c>
      <c r="P3907">
        <v>0</v>
      </c>
      <c r="Q3907" t="str" cm="1">
        <f t="array" ref="Q3907">_xlfn.IFS(Table1[[#This Row],[Wealthier_Winner]]=-1,"Wealthier Nation Loses",Table1[[#This Row],[Wealthier_Winner]]=0,"Tie",Table1[[#This Row],[Wealthier_Winner]]=1,"Wealthier Nation Wins")</f>
        <v>Tie</v>
      </c>
    </row>
    <row r="3908" spans="1:17" x14ac:dyDescent="0.2">
      <c r="A3908" s="1">
        <v>5929</v>
      </c>
      <c r="B3908" s="2">
        <v>40065</v>
      </c>
      <c r="C3908" s="7">
        <f>_xlfn.FLOOR.MATH(Table1[[#This Row],[year]],10)</f>
        <v>2000</v>
      </c>
      <c r="D3908" t="s">
        <v>601</v>
      </c>
      <c r="E3908" t="s">
        <v>558</v>
      </c>
      <c r="F3908">
        <v>1</v>
      </c>
      <c r="G3908">
        <v>3</v>
      </c>
      <c r="H3908" t="s">
        <v>224</v>
      </c>
      <c r="I3908" t="s">
        <v>602</v>
      </c>
      <c r="J3908" t="s">
        <v>601</v>
      </c>
      <c r="K3908" t="b">
        <v>0</v>
      </c>
      <c r="L3908">
        <v>2009</v>
      </c>
      <c r="M3908">
        <v>3688974807</v>
      </c>
      <c r="N3908">
        <v>115308686941</v>
      </c>
      <c r="O3908" t="b">
        <v>1</v>
      </c>
      <c r="P3908">
        <v>1</v>
      </c>
      <c r="Q3908" t="str" cm="1">
        <f t="array" ref="Q3908">_xlfn.IFS(Table1[[#This Row],[Wealthier_Winner]]=-1,"Wealthier Nation Loses",Table1[[#This Row],[Wealthier_Winner]]=0,"Tie",Table1[[#This Row],[Wealthier_Winner]]=1,"Wealthier Nation Wins")</f>
        <v>Wealthier Nation Wins</v>
      </c>
    </row>
    <row r="3909" spans="1:17" x14ac:dyDescent="0.2">
      <c r="A3909" s="1">
        <v>5930</v>
      </c>
      <c r="B3909" s="2">
        <v>40065</v>
      </c>
      <c r="C3909" s="7">
        <f>_xlfn.FLOOR.MATH(Table1[[#This Row],[year]],10)</f>
        <v>2000</v>
      </c>
      <c r="D3909" t="s">
        <v>519</v>
      </c>
      <c r="E3909" t="s">
        <v>23</v>
      </c>
      <c r="F3909">
        <v>2</v>
      </c>
      <c r="G3909">
        <v>1</v>
      </c>
      <c r="H3909" t="s">
        <v>224</v>
      </c>
      <c r="I3909" t="s">
        <v>520</v>
      </c>
      <c r="J3909" t="s">
        <v>519</v>
      </c>
      <c r="K3909" t="b">
        <v>0</v>
      </c>
      <c r="L3909">
        <v>2009</v>
      </c>
      <c r="M3909">
        <v>8647937081</v>
      </c>
      <c r="N3909">
        <v>485014525992</v>
      </c>
      <c r="O3909" t="b">
        <v>1</v>
      </c>
      <c r="P3909">
        <v>-1</v>
      </c>
      <c r="Q3909" t="str" cm="1">
        <f t="array" ref="Q3909">_xlfn.IFS(Table1[[#This Row],[Wealthier_Winner]]=-1,"Wealthier Nation Loses",Table1[[#This Row],[Wealthier_Winner]]=0,"Tie",Table1[[#This Row],[Wealthier_Winner]]=1,"Wealthier Nation Wins")</f>
        <v>Wealthier Nation Loses</v>
      </c>
    </row>
    <row r="3910" spans="1:17" x14ac:dyDescent="0.2">
      <c r="A3910" s="1">
        <v>5931</v>
      </c>
      <c r="B3910" s="2">
        <v>40065</v>
      </c>
      <c r="C3910" s="7">
        <f>_xlfn.FLOOR.MATH(Table1[[#This Row],[year]],10)</f>
        <v>2000</v>
      </c>
      <c r="D3910" t="s">
        <v>510</v>
      </c>
      <c r="E3910" t="s">
        <v>64</v>
      </c>
      <c r="F3910">
        <v>0</v>
      </c>
      <c r="G3910">
        <v>0</v>
      </c>
      <c r="H3910" t="s">
        <v>224</v>
      </c>
      <c r="I3910" t="s">
        <v>522</v>
      </c>
      <c r="J3910" t="s">
        <v>510</v>
      </c>
      <c r="K3910" t="b">
        <v>0</v>
      </c>
      <c r="L3910">
        <v>2009</v>
      </c>
      <c r="M3910">
        <v>50873167326</v>
      </c>
      <c r="N3910">
        <v>121552153444</v>
      </c>
      <c r="O3910" t="b">
        <v>1</v>
      </c>
      <c r="P3910">
        <v>0</v>
      </c>
      <c r="Q3910" t="str" cm="1">
        <f t="array" ref="Q3910">_xlfn.IFS(Table1[[#This Row],[Wealthier_Winner]]=-1,"Wealthier Nation Loses",Table1[[#This Row],[Wealthier_Winner]]=0,"Tie",Table1[[#This Row],[Wealthier_Winner]]=1,"Wealthier Nation Wins")</f>
        <v>Tie</v>
      </c>
    </row>
    <row r="3911" spans="1:17" x14ac:dyDescent="0.2">
      <c r="A3911" s="1">
        <v>5932</v>
      </c>
      <c r="B3911" s="2">
        <v>40065</v>
      </c>
      <c r="C3911" s="7">
        <f>_xlfn.FLOOR.MATH(Table1[[#This Row],[year]],10)</f>
        <v>2000</v>
      </c>
      <c r="D3911" t="s">
        <v>47</v>
      </c>
      <c r="E3911" t="s">
        <v>57</v>
      </c>
      <c r="F3911">
        <v>1</v>
      </c>
      <c r="G3911">
        <v>3</v>
      </c>
      <c r="H3911" t="s">
        <v>224</v>
      </c>
      <c r="I3911" t="s">
        <v>246</v>
      </c>
      <c r="J3911" t="s">
        <v>47</v>
      </c>
      <c r="K3911" t="b">
        <v>0</v>
      </c>
      <c r="L3911">
        <v>2009</v>
      </c>
      <c r="M3911">
        <v>17339992193</v>
      </c>
      <c r="N3911">
        <v>60094978000</v>
      </c>
      <c r="O3911" t="b">
        <v>1</v>
      </c>
      <c r="P3911">
        <v>1</v>
      </c>
      <c r="Q3911" t="str" cm="1">
        <f t="array" ref="Q3911">_xlfn.IFS(Table1[[#This Row],[Wealthier_Winner]]=-1,"Wealthier Nation Loses",Table1[[#This Row],[Wealthier_Winner]]=0,"Tie",Table1[[#This Row],[Wealthier_Winner]]=1,"Wealthier Nation Wins")</f>
        <v>Wealthier Nation Wins</v>
      </c>
    </row>
    <row r="3912" spans="1:17" x14ac:dyDescent="0.2">
      <c r="A3912" s="1">
        <v>5934</v>
      </c>
      <c r="B3912" s="2">
        <v>40065</v>
      </c>
      <c r="C3912" s="7">
        <f>_xlfn.FLOOR.MATH(Table1[[#This Row],[year]],10)</f>
        <v>2000</v>
      </c>
      <c r="D3912" t="s">
        <v>40</v>
      </c>
      <c r="E3912" t="s">
        <v>433</v>
      </c>
      <c r="F3912">
        <v>2</v>
      </c>
      <c r="G3912">
        <v>1</v>
      </c>
      <c r="H3912" t="s">
        <v>224</v>
      </c>
      <c r="I3912" t="s">
        <v>371</v>
      </c>
      <c r="J3912" t="s">
        <v>40</v>
      </c>
      <c r="K3912" t="b">
        <v>0</v>
      </c>
      <c r="L3912">
        <v>2009</v>
      </c>
      <c r="M3912">
        <v>27932970317</v>
      </c>
      <c r="N3912">
        <v>12113699068</v>
      </c>
      <c r="O3912" t="b">
        <v>1</v>
      </c>
      <c r="P3912">
        <v>1</v>
      </c>
      <c r="Q3912" t="str" cm="1">
        <f t="array" ref="Q3912">_xlfn.IFS(Table1[[#This Row],[Wealthier_Winner]]=-1,"Wealthier Nation Loses",Table1[[#This Row],[Wealthier_Winner]]=0,"Tie",Table1[[#This Row],[Wealthier_Winner]]=1,"Wealthier Nation Wins")</f>
        <v>Wealthier Nation Wins</v>
      </c>
    </row>
    <row r="3913" spans="1:17" x14ac:dyDescent="0.2">
      <c r="A3913" s="1">
        <v>5936</v>
      </c>
      <c r="B3913" s="2">
        <v>40065</v>
      </c>
      <c r="C3913" s="7">
        <f>_xlfn.FLOOR.MATH(Table1[[#This Row],[year]],10)</f>
        <v>2000</v>
      </c>
      <c r="D3913" t="s">
        <v>69</v>
      </c>
      <c r="E3913" t="s">
        <v>56</v>
      </c>
      <c r="F3913">
        <v>1</v>
      </c>
      <c r="G3913">
        <v>0</v>
      </c>
      <c r="H3913" t="s">
        <v>224</v>
      </c>
      <c r="I3913" t="s">
        <v>281</v>
      </c>
      <c r="J3913" t="s">
        <v>69</v>
      </c>
      <c r="K3913" t="b">
        <v>0</v>
      </c>
      <c r="L3913">
        <v>2009</v>
      </c>
      <c r="M3913">
        <v>17601620000</v>
      </c>
      <c r="N3913">
        <v>30745714312</v>
      </c>
      <c r="O3913" t="b">
        <v>0</v>
      </c>
      <c r="P3913">
        <v>-1</v>
      </c>
      <c r="Q3913" t="str" cm="1">
        <f t="array" ref="Q3913">_xlfn.IFS(Table1[[#This Row],[Wealthier_Winner]]=-1,"Wealthier Nation Loses",Table1[[#This Row],[Wealthier_Winner]]=0,"Tie",Table1[[#This Row],[Wealthier_Winner]]=1,"Wealthier Nation Wins")</f>
        <v>Wealthier Nation Loses</v>
      </c>
    </row>
    <row r="3914" spans="1:17" x14ac:dyDescent="0.2">
      <c r="A3914" s="1">
        <v>5937</v>
      </c>
      <c r="B3914" s="2">
        <v>40065</v>
      </c>
      <c r="C3914" s="7">
        <f>_xlfn.FLOOR.MATH(Table1[[#This Row],[year]],10)</f>
        <v>2000</v>
      </c>
      <c r="D3914" t="s">
        <v>194</v>
      </c>
      <c r="E3914" t="s">
        <v>52</v>
      </c>
      <c r="F3914">
        <v>5</v>
      </c>
      <c r="G3914">
        <v>1</v>
      </c>
      <c r="H3914" t="s">
        <v>224</v>
      </c>
      <c r="I3914" t="s">
        <v>80</v>
      </c>
      <c r="J3914" t="s">
        <v>194</v>
      </c>
      <c r="K3914" t="b">
        <v>0</v>
      </c>
      <c r="L3914">
        <v>2009</v>
      </c>
      <c r="M3914">
        <v>2429358155475</v>
      </c>
      <c r="N3914">
        <v>62315996674</v>
      </c>
      <c r="O3914" t="b">
        <v>1</v>
      </c>
      <c r="P3914">
        <v>1</v>
      </c>
      <c r="Q3914" t="str" cm="1">
        <f t="array" ref="Q3914">_xlfn.IFS(Table1[[#This Row],[Wealthier_Winner]]=-1,"Wealthier Nation Loses",Table1[[#This Row],[Wealthier_Winner]]=0,"Tie",Table1[[#This Row],[Wealthier_Winner]]=1,"Wealthier Nation Wins")</f>
        <v>Wealthier Nation Wins</v>
      </c>
    </row>
    <row r="3915" spans="1:17" x14ac:dyDescent="0.2">
      <c r="A3915" s="1">
        <v>5938</v>
      </c>
      <c r="B3915" s="2">
        <v>40065</v>
      </c>
      <c r="C3915" s="7">
        <f>_xlfn.FLOOR.MATH(Table1[[#This Row],[year]],10)</f>
        <v>2000</v>
      </c>
      <c r="D3915" t="s">
        <v>447</v>
      </c>
      <c r="E3915" t="s">
        <v>523</v>
      </c>
      <c r="F3915">
        <v>2</v>
      </c>
      <c r="G3915">
        <v>1</v>
      </c>
      <c r="H3915" t="s">
        <v>224</v>
      </c>
      <c r="I3915" t="s">
        <v>448</v>
      </c>
      <c r="J3915" t="s">
        <v>447</v>
      </c>
      <c r="K3915" t="b">
        <v>0</v>
      </c>
      <c r="L3915">
        <v>2009</v>
      </c>
      <c r="M3915">
        <v>2296065170</v>
      </c>
      <c r="N3915">
        <v>37494380038</v>
      </c>
      <c r="O3915" t="b">
        <v>1</v>
      </c>
      <c r="P3915">
        <v>-1</v>
      </c>
      <c r="Q3915" t="str" cm="1">
        <f t="array" ref="Q3915">_xlfn.IFS(Table1[[#This Row],[Wealthier_Winner]]=-1,"Wealthier Nation Loses",Table1[[#This Row],[Wealthier_Winner]]=0,"Tie",Table1[[#This Row],[Wealthier_Winner]]=1,"Wealthier Nation Wins")</f>
        <v>Wealthier Nation Loses</v>
      </c>
    </row>
    <row r="3916" spans="1:17" x14ac:dyDescent="0.2">
      <c r="A3916" s="1">
        <v>5939</v>
      </c>
      <c r="B3916" s="2">
        <v>40065</v>
      </c>
      <c r="C3916" s="7">
        <f>_xlfn.FLOOR.MATH(Table1[[#This Row],[year]],10)</f>
        <v>2000</v>
      </c>
      <c r="D3916" t="s">
        <v>16</v>
      </c>
      <c r="E3916" t="s">
        <v>513</v>
      </c>
      <c r="F3916">
        <v>4</v>
      </c>
      <c r="G3916">
        <v>0</v>
      </c>
      <c r="H3916" t="s">
        <v>224</v>
      </c>
      <c r="I3916" t="s">
        <v>88</v>
      </c>
      <c r="J3916" t="s">
        <v>16</v>
      </c>
      <c r="K3916" t="b">
        <v>0</v>
      </c>
      <c r="L3916">
        <v>2009</v>
      </c>
      <c r="M3916">
        <v>3478545516683</v>
      </c>
      <c r="N3916">
        <v>44292427184</v>
      </c>
      <c r="O3916" t="b">
        <v>1</v>
      </c>
      <c r="P3916">
        <v>1</v>
      </c>
      <c r="Q3916" t="str" cm="1">
        <f t="array" ref="Q3916">_xlfn.IFS(Table1[[#This Row],[Wealthier_Winner]]=-1,"Wealthier Nation Loses",Table1[[#This Row],[Wealthier_Winner]]=0,"Tie",Table1[[#This Row],[Wealthier_Winner]]=1,"Wealthier Nation Wins")</f>
        <v>Wealthier Nation Wins</v>
      </c>
    </row>
    <row r="3917" spans="1:17" x14ac:dyDescent="0.2">
      <c r="A3917" s="1">
        <v>5940</v>
      </c>
      <c r="B3917" s="2">
        <v>40065</v>
      </c>
      <c r="C3917" s="7">
        <f>_xlfn.FLOOR.MATH(Table1[[#This Row],[year]],10)</f>
        <v>2000</v>
      </c>
      <c r="D3917" t="s">
        <v>30</v>
      </c>
      <c r="E3917" t="s">
        <v>38</v>
      </c>
      <c r="F3917">
        <v>0</v>
      </c>
      <c r="G3917">
        <v>1</v>
      </c>
      <c r="H3917" t="s">
        <v>224</v>
      </c>
      <c r="I3917" t="s">
        <v>297</v>
      </c>
      <c r="J3917" t="s">
        <v>30</v>
      </c>
      <c r="K3917" t="b">
        <v>0</v>
      </c>
      <c r="L3917">
        <v>2009</v>
      </c>
      <c r="M3917">
        <v>130807441076</v>
      </c>
      <c r="N3917">
        <v>244667762835</v>
      </c>
      <c r="O3917" t="b">
        <v>0</v>
      </c>
      <c r="P3917">
        <v>1</v>
      </c>
      <c r="Q3917" t="str" cm="1">
        <f t="array" ref="Q3917">_xlfn.IFS(Table1[[#This Row],[Wealthier_Winner]]=-1,"Wealthier Nation Loses",Table1[[#This Row],[Wealthier_Winner]]=0,"Tie",Table1[[#This Row],[Wealthier_Winner]]=1,"Wealthier Nation Wins")</f>
        <v>Wealthier Nation Wins</v>
      </c>
    </row>
    <row r="3918" spans="1:17" x14ac:dyDescent="0.2">
      <c r="A3918" s="1">
        <v>5941</v>
      </c>
      <c r="B3918" s="2">
        <v>40065</v>
      </c>
      <c r="C3918" s="7">
        <f>_xlfn.FLOOR.MATH(Table1[[#This Row],[year]],10)</f>
        <v>2000</v>
      </c>
      <c r="D3918" t="s">
        <v>22</v>
      </c>
      <c r="E3918" t="s">
        <v>232</v>
      </c>
      <c r="F3918">
        <v>7</v>
      </c>
      <c r="G3918">
        <v>0</v>
      </c>
      <c r="H3918" t="s">
        <v>224</v>
      </c>
      <c r="I3918" t="s">
        <v>239</v>
      </c>
      <c r="J3918" t="s">
        <v>22</v>
      </c>
      <c r="K3918" t="b">
        <v>0</v>
      </c>
      <c r="L3918">
        <v>2009</v>
      </c>
      <c r="M3918">
        <v>213403181852</v>
      </c>
      <c r="N3918">
        <v>54467289897</v>
      </c>
      <c r="O3918" t="b">
        <v>1</v>
      </c>
      <c r="P3918">
        <v>1</v>
      </c>
      <c r="Q3918" t="str" cm="1">
        <f t="array" ref="Q3918">_xlfn.IFS(Table1[[#This Row],[Wealthier_Winner]]=-1,"Wealthier Nation Loses",Table1[[#This Row],[Wealthier_Winner]]=0,"Tie",Table1[[#This Row],[Wealthier_Winner]]=1,"Wealthier Nation Wins")</f>
        <v>Wealthier Nation Wins</v>
      </c>
    </row>
    <row r="3919" spans="1:17" x14ac:dyDescent="0.2">
      <c r="A3919" s="1">
        <v>5942</v>
      </c>
      <c r="B3919" s="2">
        <v>40065</v>
      </c>
      <c r="C3919" s="7">
        <f>_xlfn.FLOOR.MATH(Table1[[#This Row],[year]],10)</f>
        <v>2000</v>
      </c>
      <c r="D3919" t="s">
        <v>18</v>
      </c>
      <c r="E3919" t="s">
        <v>33</v>
      </c>
      <c r="F3919">
        <v>2</v>
      </c>
      <c r="G3919">
        <v>0</v>
      </c>
      <c r="H3919" t="s">
        <v>224</v>
      </c>
      <c r="I3919" t="s">
        <v>111</v>
      </c>
      <c r="J3919" t="s">
        <v>18</v>
      </c>
      <c r="K3919" t="b">
        <v>0</v>
      </c>
      <c r="L3919">
        <v>2009</v>
      </c>
      <c r="M3919">
        <v>2209484319012</v>
      </c>
      <c r="N3919">
        <v>52023801230</v>
      </c>
      <c r="O3919" t="b">
        <v>1</v>
      </c>
      <c r="P3919">
        <v>1</v>
      </c>
      <c r="Q3919" t="str" cm="1">
        <f t="array" ref="Q3919">_xlfn.IFS(Table1[[#This Row],[Wealthier_Winner]]=-1,"Wealthier Nation Loses",Table1[[#This Row],[Wealthier_Winner]]=0,"Tie",Table1[[#This Row],[Wealthier_Winner]]=1,"Wealthier Nation Wins")</f>
        <v>Wealthier Nation Wins</v>
      </c>
    </row>
    <row r="3920" spans="1:17" x14ac:dyDescent="0.2">
      <c r="A3920" s="1">
        <v>5943</v>
      </c>
      <c r="B3920" s="2">
        <v>40065</v>
      </c>
      <c r="C3920" s="7">
        <f>_xlfn.FLOOR.MATH(Table1[[#This Row],[year]],10)</f>
        <v>2000</v>
      </c>
      <c r="D3920" t="s">
        <v>525</v>
      </c>
      <c r="E3920" t="s">
        <v>46</v>
      </c>
      <c r="F3920">
        <v>2</v>
      </c>
      <c r="G3920">
        <v>2</v>
      </c>
      <c r="H3920" t="s">
        <v>224</v>
      </c>
      <c r="I3920" t="s">
        <v>526</v>
      </c>
      <c r="J3920" t="s">
        <v>525</v>
      </c>
      <c r="K3920" t="b">
        <v>0</v>
      </c>
      <c r="L3920">
        <v>2009</v>
      </c>
      <c r="M3920">
        <v>25691530442</v>
      </c>
      <c r="N3920">
        <v>554212916092</v>
      </c>
      <c r="O3920" t="b">
        <v>1</v>
      </c>
      <c r="P3920">
        <v>0</v>
      </c>
      <c r="Q3920" t="str" cm="1">
        <f t="array" ref="Q3920">_xlfn.IFS(Table1[[#This Row],[Wealthier_Winner]]=-1,"Wealthier Nation Loses",Table1[[#This Row],[Wealthier_Winner]]=0,"Tie",Table1[[#This Row],[Wealthier_Winner]]=1,"Wealthier Nation Wins")</f>
        <v>Tie</v>
      </c>
    </row>
    <row r="3921" spans="1:17" x14ac:dyDescent="0.2">
      <c r="A3921" s="1">
        <v>5944</v>
      </c>
      <c r="B3921" s="2">
        <v>40065</v>
      </c>
      <c r="C3921" s="7">
        <f>_xlfn.FLOOR.MATH(Table1[[#This Row],[year]],10)</f>
        <v>2000</v>
      </c>
      <c r="D3921" t="s">
        <v>503</v>
      </c>
      <c r="E3921" t="s">
        <v>230</v>
      </c>
      <c r="F3921">
        <v>1</v>
      </c>
      <c r="G3921">
        <v>1</v>
      </c>
      <c r="H3921" t="s">
        <v>224</v>
      </c>
      <c r="I3921" t="s">
        <v>603</v>
      </c>
      <c r="J3921" t="s">
        <v>503</v>
      </c>
      <c r="K3921" t="b">
        <v>0</v>
      </c>
      <c r="L3921">
        <v>2009</v>
      </c>
      <c r="M3921">
        <v>4504375348</v>
      </c>
      <c r="N3921">
        <v>253480783439</v>
      </c>
      <c r="O3921" t="b">
        <v>1</v>
      </c>
      <c r="P3921">
        <v>0</v>
      </c>
      <c r="Q3921" t="str" cm="1">
        <f t="array" ref="Q3921">_xlfn.IFS(Table1[[#This Row],[Wealthier_Winner]]=-1,"Wealthier Nation Loses",Table1[[#This Row],[Wealthier_Winner]]=0,"Tie",Table1[[#This Row],[Wealthier_Winner]]=1,"Wealthier Nation Wins")</f>
        <v>Tie</v>
      </c>
    </row>
    <row r="3922" spans="1:17" x14ac:dyDescent="0.2">
      <c r="A3922" s="1">
        <v>5945</v>
      </c>
      <c r="B3922" s="2">
        <v>40065</v>
      </c>
      <c r="C3922" s="7">
        <f>_xlfn.FLOOR.MATH(Table1[[#This Row],[year]],10)</f>
        <v>2000</v>
      </c>
      <c r="D3922" t="s">
        <v>303</v>
      </c>
      <c r="E3922" t="s">
        <v>25</v>
      </c>
      <c r="F3922">
        <v>0</v>
      </c>
      <c r="G3922">
        <v>1</v>
      </c>
      <c r="H3922" t="s">
        <v>224</v>
      </c>
      <c r="I3922" t="s">
        <v>399</v>
      </c>
      <c r="J3922" t="s">
        <v>303</v>
      </c>
      <c r="K3922" t="b">
        <v>0</v>
      </c>
      <c r="L3922">
        <v>2009</v>
      </c>
      <c r="M3922">
        <v>8734745697</v>
      </c>
      <c r="N3922">
        <v>434311714442</v>
      </c>
      <c r="O3922" t="b">
        <v>1</v>
      </c>
      <c r="P3922">
        <v>1</v>
      </c>
      <c r="Q3922" t="str" cm="1">
        <f t="array" ref="Q3922">_xlfn.IFS(Table1[[#This Row],[Wealthier_Winner]]=-1,"Wealthier Nation Loses",Table1[[#This Row],[Wealthier_Winner]]=0,"Tie",Table1[[#This Row],[Wealthier_Winner]]=1,"Wealthier Nation Wins")</f>
        <v>Wealthier Nation Wins</v>
      </c>
    </row>
    <row r="3923" spans="1:17" x14ac:dyDescent="0.2">
      <c r="A3923" s="1">
        <v>5946</v>
      </c>
      <c r="B3923" s="2">
        <v>40065</v>
      </c>
      <c r="C3923" s="7">
        <f>_xlfn.FLOOR.MATH(Table1[[#This Row],[year]],10)</f>
        <v>2000</v>
      </c>
      <c r="D3923" t="s">
        <v>17</v>
      </c>
      <c r="E3923" t="s">
        <v>65</v>
      </c>
      <c r="F3923">
        <v>1</v>
      </c>
      <c r="G3923">
        <v>0</v>
      </c>
      <c r="H3923" t="s">
        <v>224</v>
      </c>
      <c r="I3923" t="s">
        <v>83</v>
      </c>
      <c r="J3923" t="s">
        <v>17</v>
      </c>
      <c r="K3923" t="b">
        <v>0</v>
      </c>
      <c r="L3923">
        <v>2009</v>
      </c>
      <c r="M3923">
        <v>943437415024</v>
      </c>
      <c r="N3923">
        <v>14587496229</v>
      </c>
      <c r="O3923" t="b">
        <v>1</v>
      </c>
      <c r="P3923">
        <v>1</v>
      </c>
      <c r="Q3923" t="str" cm="1">
        <f t="array" ref="Q3923">_xlfn.IFS(Table1[[#This Row],[Wealthier_Winner]]=-1,"Wealthier Nation Loses",Table1[[#This Row],[Wealthier_Winner]]=0,"Tie",Table1[[#This Row],[Wealthier_Winner]]=1,"Wealthier Nation Wins")</f>
        <v>Wealthier Nation Wins</v>
      </c>
    </row>
    <row r="3924" spans="1:17" x14ac:dyDescent="0.2">
      <c r="A3924" s="1">
        <v>5947</v>
      </c>
      <c r="B3924" s="2">
        <v>40065</v>
      </c>
      <c r="C3924" s="7">
        <f>_xlfn.FLOOR.MATH(Table1[[#This Row],[year]],10)</f>
        <v>2000</v>
      </c>
      <c r="D3924" t="s">
        <v>527</v>
      </c>
      <c r="E3924" t="s">
        <v>48</v>
      </c>
      <c r="F3924">
        <v>1</v>
      </c>
      <c r="G3924">
        <v>1</v>
      </c>
      <c r="H3924" t="s">
        <v>224</v>
      </c>
      <c r="I3924" t="s">
        <v>528</v>
      </c>
      <c r="J3924" t="s">
        <v>527</v>
      </c>
      <c r="K3924" t="b">
        <v>0</v>
      </c>
      <c r="L3924">
        <v>2009</v>
      </c>
      <c r="M3924">
        <v>5439434271</v>
      </c>
      <c r="N3924">
        <v>326829054686</v>
      </c>
      <c r="O3924" t="b">
        <v>1</v>
      </c>
      <c r="P3924">
        <v>0</v>
      </c>
      <c r="Q3924" t="str" cm="1">
        <f t="array" ref="Q3924">_xlfn.IFS(Table1[[#This Row],[Wealthier_Winner]]=-1,"Wealthier Nation Loses",Table1[[#This Row],[Wealthier_Winner]]=0,"Tie",Table1[[#This Row],[Wealthier_Winner]]=1,"Wealthier Nation Wins")</f>
        <v>Tie</v>
      </c>
    </row>
    <row r="3925" spans="1:17" x14ac:dyDescent="0.2">
      <c r="A3925" s="1">
        <v>5948</v>
      </c>
      <c r="B3925" s="2">
        <v>40065</v>
      </c>
      <c r="C3925" s="7">
        <f>_xlfn.FLOOR.MATH(Table1[[#This Row],[year]],10)</f>
        <v>2000</v>
      </c>
      <c r="D3925" t="s">
        <v>705</v>
      </c>
      <c r="E3925" t="s">
        <v>351</v>
      </c>
      <c r="F3925">
        <v>1</v>
      </c>
      <c r="G3925">
        <v>1</v>
      </c>
      <c r="H3925" t="s">
        <v>224</v>
      </c>
      <c r="I3925" t="s">
        <v>706</v>
      </c>
      <c r="J3925" t="s">
        <v>705</v>
      </c>
      <c r="K3925" t="b">
        <v>0</v>
      </c>
      <c r="L3925">
        <v>2009</v>
      </c>
      <c r="M3925">
        <v>4142640316</v>
      </c>
      <c r="N3925">
        <v>26048179949</v>
      </c>
      <c r="O3925" t="b">
        <v>1</v>
      </c>
      <c r="P3925">
        <v>0</v>
      </c>
      <c r="Q3925" t="str" cm="1">
        <f t="array" ref="Q3925">_xlfn.IFS(Table1[[#This Row],[Wealthier_Winner]]=-1,"Wealthier Nation Loses",Table1[[#This Row],[Wealthier_Winner]]=0,"Tie",Table1[[#This Row],[Wealthier_Winner]]=1,"Wealthier Nation Wins")</f>
        <v>Tie</v>
      </c>
    </row>
    <row r="3926" spans="1:17" x14ac:dyDescent="0.2">
      <c r="A3926" s="1">
        <v>5950</v>
      </c>
      <c r="B3926" s="2">
        <v>40065</v>
      </c>
      <c r="C3926" s="7">
        <f>_xlfn.FLOOR.MATH(Table1[[#This Row],[year]],10)</f>
        <v>2000</v>
      </c>
      <c r="D3926" t="s">
        <v>42</v>
      </c>
      <c r="E3926" t="s">
        <v>502</v>
      </c>
      <c r="F3926">
        <v>2</v>
      </c>
      <c r="G3926">
        <v>1</v>
      </c>
      <c r="H3926" t="s">
        <v>224</v>
      </c>
      <c r="I3926" t="s">
        <v>262</v>
      </c>
      <c r="J3926" t="s">
        <v>42</v>
      </c>
      <c r="K3926" t="b">
        <v>0</v>
      </c>
      <c r="L3926">
        <v>2009</v>
      </c>
      <c r="M3926">
        <v>387976400617</v>
      </c>
      <c r="N3926">
        <v>9401736825</v>
      </c>
      <c r="O3926" t="b">
        <v>1</v>
      </c>
      <c r="P3926">
        <v>1</v>
      </c>
      <c r="Q3926" t="str" cm="1">
        <f t="array" ref="Q3926">_xlfn.IFS(Table1[[#This Row],[Wealthier_Winner]]=-1,"Wealthier Nation Loses",Table1[[#This Row],[Wealthier_Winner]]=0,"Tie",Table1[[#This Row],[Wealthier_Winner]]=1,"Wealthier Nation Wins")</f>
        <v>Wealthier Nation Wins</v>
      </c>
    </row>
    <row r="3927" spans="1:17" x14ac:dyDescent="0.2">
      <c r="A3927" s="1">
        <v>5951</v>
      </c>
      <c r="B3927" s="2">
        <v>40065</v>
      </c>
      <c r="C3927" s="7">
        <f>_xlfn.FLOOR.MATH(Table1[[#This Row],[year]],10)</f>
        <v>2000</v>
      </c>
      <c r="D3927" t="s">
        <v>44</v>
      </c>
      <c r="E3927" t="s">
        <v>29</v>
      </c>
      <c r="F3927">
        <v>1</v>
      </c>
      <c r="G3927">
        <v>1</v>
      </c>
      <c r="H3927" t="s">
        <v>224</v>
      </c>
      <c r="I3927" t="s">
        <v>425</v>
      </c>
      <c r="J3927" t="s">
        <v>44</v>
      </c>
      <c r="K3927" t="b">
        <v>0</v>
      </c>
      <c r="L3927">
        <v>2009</v>
      </c>
      <c r="M3927">
        <v>174110532658</v>
      </c>
      <c r="N3927">
        <v>399290118782</v>
      </c>
      <c r="O3927" t="b">
        <v>1</v>
      </c>
      <c r="P3927">
        <v>0</v>
      </c>
      <c r="Q3927" t="str" cm="1">
        <f t="array" ref="Q3927">_xlfn.IFS(Table1[[#This Row],[Wealthier_Winner]]=-1,"Wealthier Nation Loses",Table1[[#This Row],[Wealthier_Winner]]=0,"Tie",Table1[[#This Row],[Wealthier_Winner]]=1,"Wealthier Nation Wins")</f>
        <v>Tie</v>
      </c>
    </row>
    <row r="3928" spans="1:17" x14ac:dyDescent="0.2">
      <c r="A3928" s="1">
        <v>5952</v>
      </c>
      <c r="B3928" s="2">
        <v>40065</v>
      </c>
      <c r="C3928" s="7">
        <f>_xlfn.FLOOR.MATH(Table1[[#This Row],[year]],10)</f>
        <v>2000</v>
      </c>
      <c r="D3928" t="s">
        <v>45</v>
      </c>
      <c r="E3928" t="s">
        <v>361</v>
      </c>
      <c r="F3928">
        <v>2</v>
      </c>
      <c r="G3928">
        <v>2</v>
      </c>
      <c r="H3928" t="s">
        <v>224</v>
      </c>
      <c r="I3928" t="s">
        <v>356</v>
      </c>
      <c r="J3928" t="s">
        <v>45</v>
      </c>
      <c r="K3928" t="b">
        <v>0</v>
      </c>
      <c r="L3928">
        <v>2009</v>
      </c>
      <c r="M3928">
        <v>429097866666</v>
      </c>
      <c r="N3928">
        <v>22938218085</v>
      </c>
      <c r="O3928" t="b">
        <v>1</v>
      </c>
      <c r="P3928">
        <v>0</v>
      </c>
      <c r="Q3928" t="str" cm="1">
        <f t="array" ref="Q3928">_xlfn.IFS(Table1[[#This Row],[Wealthier_Winner]]=-1,"Wealthier Nation Loses",Table1[[#This Row],[Wealthier_Winner]]=0,"Tie",Table1[[#This Row],[Wealthier_Winner]]=1,"Wealthier Nation Wins")</f>
        <v>Tie</v>
      </c>
    </row>
    <row r="3929" spans="1:17" x14ac:dyDescent="0.2">
      <c r="A3929" s="1">
        <v>5954</v>
      </c>
      <c r="B3929" s="2">
        <v>40065</v>
      </c>
      <c r="C3929" s="7">
        <f>_xlfn.FLOOR.MATH(Table1[[#This Row],[year]],10)</f>
        <v>2000</v>
      </c>
      <c r="D3929" t="s">
        <v>61</v>
      </c>
      <c r="E3929" t="s">
        <v>20</v>
      </c>
      <c r="F3929">
        <v>1</v>
      </c>
      <c r="G3929">
        <v>1</v>
      </c>
      <c r="H3929" t="s">
        <v>224</v>
      </c>
      <c r="I3929" t="s">
        <v>505</v>
      </c>
      <c r="J3929" t="s">
        <v>61</v>
      </c>
      <c r="K3929" t="b">
        <v>0</v>
      </c>
      <c r="L3929">
        <v>2009</v>
      </c>
      <c r="M3929">
        <v>46955984409</v>
      </c>
      <c r="N3929">
        <v>2700075882518</v>
      </c>
      <c r="O3929" t="b">
        <v>1</v>
      </c>
      <c r="P3929">
        <v>0</v>
      </c>
      <c r="Q3929" t="str" cm="1">
        <f t="array" ref="Q3929">_xlfn.IFS(Table1[[#This Row],[Wealthier_Winner]]=-1,"Wealthier Nation Loses",Table1[[#This Row],[Wealthier_Winner]]=0,"Tie",Table1[[#This Row],[Wealthier_Winner]]=1,"Wealthier Nation Wins")</f>
        <v>Tie</v>
      </c>
    </row>
    <row r="3930" spans="1:17" x14ac:dyDescent="0.2">
      <c r="A3930" s="1">
        <v>5955</v>
      </c>
      <c r="B3930" s="2">
        <v>40065</v>
      </c>
      <c r="C3930" s="7">
        <f>_xlfn.FLOOR.MATH(Table1[[#This Row],[year]],10)</f>
        <v>2000</v>
      </c>
      <c r="D3930" t="s">
        <v>55</v>
      </c>
      <c r="E3930" t="s">
        <v>58</v>
      </c>
      <c r="F3930">
        <v>3</v>
      </c>
      <c r="G3930">
        <v>0</v>
      </c>
      <c r="H3930" t="s">
        <v>224</v>
      </c>
      <c r="I3930" t="s">
        <v>727</v>
      </c>
      <c r="J3930" t="s">
        <v>55</v>
      </c>
      <c r="K3930" t="b">
        <v>0</v>
      </c>
      <c r="L3930">
        <v>2009</v>
      </c>
      <c r="M3930">
        <v>49975540954</v>
      </c>
      <c r="N3930">
        <v>440891472247</v>
      </c>
      <c r="O3930" t="b">
        <v>1</v>
      </c>
      <c r="P3930">
        <v>-1</v>
      </c>
      <c r="Q3930" t="str" cm="1">
        <f t="array" ref="Q3930">_xlfn.IFS(Table1[[#This Row],[Wealthier_Winner]]=-1,"Wealthier Nation Loses",Table1[[#This Row],[Wealthier_Winner]]=0,"Tie",Table1[[#This Row],[Wealthier_Winner]]=1,"Wealthier Nation Wins")</f>
        <v>Wealthier Nation Loses</v>
      </c>
    </row>
    <row r="3931" spans="1:17" x14ac:dyDescent="0.2">
      <c r="A3931" s="1">
        <v>5956</v>
      </c>
      <c r="B3931" s="2">
        <v>40065</v>
      </c>
      <c r="C3931" s="7">
        <f>_xlfn.FLOOR.MATH(Table1[[#This Row],[year]],10)</f>
        <v>2000</v>
      </c>
      <c r="D3931" t="s">
        <v>21</v>
      </c>
      <c r="E3931" t="s">
        <v>476</v>
      </c>
      <c r="F3931">
        <v>3</v>
      </c>
      <c r="G3931">
        <v>0</v>
      </c>
      <c r="H3931" t="s">
        <v>224</v>
      </c>
      <c r="I3931" t="s">
        <v>545</v>
      </c>
      <c r="J3931" t="s">
        <v>21</v>
      </c>
      <c r="K3931" t="b">
        <v>0</v>
      </c>
      <c r="L3931">
        <v>2009</v>
      </c>
      <c r="M3931">
        <v>1496587590847</v>
      </c>
      <c r="N3931">
        <v>19633984440</v>
      </c>
      <c r="O3931" t="b">
        <v>1</v>
      </c>
      <c r="P3931">
        <v>1</v>
      </c>
      <c r="Q3931" t="str" cm="1">
        <f t="array" ref="Q3931">_xlfn.IFS(Table1[[#This Row],[Wealthier_Winner]]=-1,"Wealthier Nation Loses",Table1[[#This Row],[Wealthier_Winner]]=0,"Tie",Table1[[#This Row],[Wealthier_Winner]]=1,"Wealthier Nation Wins")</f>
        <v>Wealthier Nation Wins</v>
      </c>
    </row>
    <row r="3932" spans="1:17" x14ac:dyDescent="0.2">
      <c r="A3932" s="1">
        <v>5957</v>
      </c>
      <c r="B3932" s="2">
        <v>40065</v>
      </c>
      <c r="C3932" s="7">
        <f>_xlfn.FLOOR.MATH(Table1[[#This Row],[year]],10)</f>
        <v>2000</v>
      </c>
      <c r="D3932" t="s">
        <v>59</v>
      </c>
      <c r="E3932" t="s">
        <v>41</v>
      </c>
      <c r="F3932">
        <v>0</v>
      </c>
      <c r="G3932">
        <v>1</v>
      </c>
      <c r="H3932" t="s">
        <v>224</v>
      </c>
      <c r="I3932" t="s">
        <v>253</v>
      </c>
      <c r="J3932" t="s">
        <v>59</v>
      </c>
      <c r="K3932" t="b">
        <v>0</v>
      </c>
      <c r="L3932">
        <v>2009</v>
      </c>
      <c r="M3932">
        <v>19172165225</v>
      </c>
      <c r="N3932">
        <v>14478064934000</v>
      </c>
      <c r="O3932" t="b">
        <v>1</v>
      </c>
      <c r="P3932">
        <v>1</v>
      </c>
      <c r="Q3932" t="str" cm="1">
        <f t="array" ref="Q3932">_xlfn.IFS(Table1[[#This Row],[Wealthier_Winner]]=-1,"Wealthier Nation Loses",Table1[[#This Row],[Wealthier_Winner]]=0,"Tie",Table1[[#This Row],[Wealthier_Winner]]=1,"Wealthier Nation Wins")</f>
        <v>Wealthier Nation Wins</v>
      </c>
    </row>
    <row r="3933" spans="1:17" x14ac:dyDescent="0.2">
      <c r="A3933" s="1">
        <v>5959</v>
      </c>
      <c r="B3933" s="2">
        <v>40065</v>
      </c>
      <c r="C3933" s="7">
        <f>_xlfn.FLOOR.MATH(Table1[[#This Row],[year]],10)</f>
        <v>2000</v>
      </c>
      <c r="D3933" t="s">
        <v>26</v>
      </c>
      <c r="E3933" t="s">
        <v>15</v>
      </c>
      <c r="F3933">
        <v>3</v>
      </c>
      <c r="G3933">
        <v>1</v>
      </c>
      <c r="H3933" t="s">
        <v>224</v>
      </c>
      <c r="I3933" t="s">
        <v>247</v>
      </c>
      <c r="J3933" t="s">
        <v>26</v>
      </c>
      <c r="K3933" t="b">
        <v>0</v>
      </c>
      <c r="L3933">
        <v>2009</v>
      </c>
      <c r="M3933">
        <v>32708319077</v>
      </c>
      <c r="N3933">
        <v>232468663109</v>
      </c>
      <c r="O3933" t="b">
        <v>1</v>
      </c>
      <c r="P3933">
        <v>-1</v>
      </c>
      <c r="Q3933" t="str" cm="1">
        <f t="array" ref="Q3933">_xlfn.IFS(Table1[[#This Row],[Wealthier_Winner]]=-1,"Wealthier Nation Loses",Table1[[#This Row],[Wealthier_Winner]]=0,"Tie",Table1[[#This Row],[Wealthier_Winner]]=1,"Wealthier Nation Wins")</f>
        <v>Wealthier Nation Loses</v>
      </c>
    </row>
    <row r="3934" spans="1:17" x14ac:dyDescent="0.2">
      <c r="A3934" s="1">
        <v>5960</v>
      </c>
      <c r="B3934" s="2">
        <v>40065</v>
      </c>
      <c r="C3934" s="7">
        <f>_xlfn.FLOOR.MATH(Table1[[#This Row],[year]],10)</f>
        <v>2000</v>
      </c>
      <c r="D3934" t="s">
        <v>35</v>
      </c>
      <c r="E3934" t="s">
        <v>19</v>
      </c>
      <c r="F3934">
        <v>1</v>
      </c>
      <c r="G3934">
        <v>0</v>
      </c>
      <c r="H3934" t="s">
        <v>224</v>
      </c>
      <c r="I3934" t="s">
        <v>250</v>
      </c>
      <c r="J3934" t="s">
        <v>35</v>
      </c>
      <c r="K3934" t="b">
        <v>0</v>
      </c>
      <c r="L3934">
        <v>2009</v>
      </c>
      <c r="M3934">
        <v>22355151162</v>
      </c>
      <c r="N3934">
        <v>332976484577</v>
      </c>
      <c r="O3934" t="b">
        <v>1</v>
      </c>
      <c r="P3934">
        <v>-1</v>
      </c>
      <c r="Q3934" t="str" cm="1">
        <f t="array" ref="Q3934">_xlfn.IFS(Table1[[#This Row],[Wealthier_Winner]]=-1,"Wealthier Nation Loses",Table1[[#This Row],[Wealthier_Winner]]=0,"Tie",Table1[[#This Row],[Wealthier_Winner]]=1,"Wealthier Nation Wins")</f>
        <v>Wealthier Nation Loses</v>
      </c>
    </row>
    <row r="3935" spans="1:17" x14ac:dyDescent="0.2">
      <c r="A3935" s="1">
        <v>5961</v>
      </c>
      <c r="B3935" s="2">
        <v>40065</v>
      </c>
      <c r="C3935" s="7">
        <f>_xlfn.FLOOR.MATH(Table1[[#This Row],[year]],10)</f>
        <v>2000</v>
      </c>
      <c r="D3935" t="s">
        <v>13</v>
      </c>
      <c r="E3935" t="s">
        <v>14</v>
      </c>
      <c r="F3935">
        <v>4</v>
      </c>
      <c r="G3935">
        <v>2</v>
      </c>
      <c r="H3935" t="s">
        <v>224</v>
      </c>
      <c r="I3935" t="s">
        <v>170</v>
      </c>
      <c r="J3935" t="s">
        <v>13</v>
      </c>
      <c r="K3935" t="b">
        <v>0</v>
      </c>
      <c r="L3935">
        <v>2009</v>
      </c>
      <c r="M3935">
        <v>1666996294252</v>
      </c>
      <c r="N3935">
        <v>171777900623</v>
      </c>
      <c r="O3935" t="b">
        <v>1</v>
      </c>
      <c r="P3935">
        <v>1</v>
      </c>
      <c r="Q3935" t="str" cm="1">
        <f t="array" ref="Q3935">_xlfn.IFS(Table1[[#This Row],[Wealthier_Winner]]=-1,"Wealthier Nation Loses",Table1[[#This Row],[Wealthier_Winner]]=0,"Tie",Table1[[#This Row],[Wealthier_Winner]]=1,"Wealthier Nation Wins")</f>
        <v>Wealthier Nation Wins</v>
      </c>
    </row>
    <row r="3936" spans="1:17" x14ac:dyDescent="0.2">
      <c r="A3936" s="1">
        <v>5962</v>
      </c>
      <c r="B3936" s="2">
        <v>40065</v>
      </c>
      <c r="C3936" s="7">
        <f>_xlfn.FLOOR.MATH(Table1[[#This Row],[year]],10)</f>
        <v>2000</v>
      </c>
      <c r="D3936" t="s">
        <v>258</v>
      </c>
      <c r="E3936" t="s">
        <v>31</v>
      </c>
      <c r="F3936">
        <v>3</v>
      </c>
      <c r="G3936">
        <v>1</v>
      </c>
      <c r="H3936" t="s">
        <v>224</v>
      </c>
      <c r="I3936" t="s">
        <v>701</v>
      </c>
      <c r="J3936" t="s">
        <v>258</v>
      </c>
      <c r="K3936" t="b">
        <v>0</v>
      </c>
      <c r="L3936">
        <v>2009</v>
      </c>
      <c r="M3936">
        <v>329787628928</v>
      </c>
      <c r="N3936">
        <v>120822986521</v>
      </c>
      <c r="O3936" t="b">
        <v>1</v>
      </c>
      <c r="P3936">
        <v>1</v>
      </c>
      <c r="Q3936" t="str" cm="1">
        <f t="array" ref="Q3936">_xlfn.IFS(Table1[[#This Row],[Wealthier_Winner]]=-1,"Wealthier Nation Loses",Table1[[#This Row],[Wealthier_Winner]]=0,"Tie",Table1[[#This Row],[Wealthier_Winner]]=1,"Wealthier Nation Wins")</f>
        <v>Wealthier Nation Wins</v>
      </c>
    </row>
    <row r="3937" spans="1:17" x14ac:dyDescent="0.2">
      <c r="A3937" s="1">
        <v>5963</v>
      </c>
      <c r="B3937" s="2">
        <v>40096</v>
      </c>
      <c r="C3937" s="7">
        <f>_xlfn.FLOOR.MATH(Table1[[#This Row],[year]],10)</f>
        <v>2000</v>
      </c>
      <c r="D3937" t="s">
        <v>19</v>
      </c>
      <c r="E3937" t="s">
        <v>31</v>
      </c>
      <c r="F3937">
        <v>2</v>
      </c>
      <c r="G3937">
        <v>1</v>
      </c>
      <c r="H3937" t="s">
        <v>224</v>
      </c>
      <c r="I3937" t="s">
        <v>93</v>
      </c>
      <c r="J3937" t="s">
        <v>19</v>
      </c>
      <c r="K3937" t="b">
        <v>0</v>
      </c>
      <c r="L3937">
        <v>2009</v>
      </c>
      <c r="M3937">
        <v>332976484577</v>
      </c>
      <c r="N3937">
        <v>120822986521</v>
      </c>
      <c r="O3937" t="b">
        <v>1</v>
      </c>
      <c r="P3937">
        <v>1</v>
      </c>
      <c r="Q3937" t="str" cm="1">
        <f t="array" ref="Q3937">_xlfn.IFS(Table1[[#This Row],[Wealthier_Winner]]=-1,"Wealthier Nation Loses",Table1[[#This Row],[Wealthier_Winner]]=0,"Tie",Table1[[#This Row],[Wealthier_Winner]]=1,"Wealthier Nation Wins")</f>
        <v>Wealthier Nation Wins</v>
      </c>
    </row>
    <row r="3938" spans="1:17" x14ac:dyDescent="0.2">
      <c r="A3938" s="1">
        <v>5964</v>
      </c>
      <c r="B3938" s="2">
        <v>40096</v>
      </c>
      <c r="C3938" s="7">
        <f>_xlfn.FLOOR.MATH(Table1[[#This Row],[year]],10)</f>
        <v>2000</v>
      </c>
      <c r="D3938" t="s">
        <v>519</v>
      </c>
      <c r="E3938" t="s">
        <v>21</v>
      </c>
      <c r="F3938">
        <v>1</v>
      </c>
      <c r="G3938">
        <v>2</v>
      </c>
      <c r="H3938" t="s">
        <v>224</v>
      </c>
      <c r="I3938" t="s">
        <v>520</v>
      </c>
      <c r="J3938" t="s">
        <v>519</v>
      </c>
      <c r="K3938" t="b">
        <v>0</v>
      </c>
      <c r="L3938">
        <v>2009</v>
      </c>
      <c r="M3938">
        <v>8647937081</v>
      </c>
      <c r="N3938">
        <v>1496587590847</v>
      </c>
      <c r="O3938" t="b">
        <v>1</v>
      </c>
      <c r="P3938">
        <v>1</v>
      </c>
      <c r="Q3938" t="str" cm="1">
        <f t="array" ref="Q3938">_xlfn.IFS(Table1[[#This Row],[Wealthier_Winner]]=-1,"Wealthier Nation Loses",Table1[[#This Row],[Wealthier_Winner]]=0,"Tie",Table1[[#This Row],[Wealthier_Winner]]=1,"Wealthier Nation Wins")</f>
        <v>Wealthier Nation Wins</v>
      </c>
    </row>
    <row r="3939" spans="1:17" x14ac:dyDescent="0.2">
      <c r="A3939" s="1">
        <v>5965</v>
      </c>
      <c r="B3939" s="2">
        <v>40096</v>
      </c>
      <c r="C3939" s="7">
        <f>_xlfn.FLOOR.MATH(Table1[[#This Row],[year]],10)</f>
        <v>2000</v>
      </c>
      <c r="D3939" t="s">
        <v>29</v>
      </c>
      <c r="E3939" t="s">
        <v>523</v>
      </c>
      <c r="F3939">
        <v>2</v>
      </c>
      <c r="G3939">
        <v>1</v>
      </c>
      <c r="H3939" t="s">
        <v>224</v>
      </c>
      <c r="I3939" t="s">
        <v>623</v>
      </c>
      <c r="J3939" t="s">
        <v>29</v>
      </c>
      <c r="K3939" t="b">
        <v>0</v>
      </c>
      <c r="L3939">
        <v>2009</v>
      </c>
      <c r="M3939">
        <v>399290118782</v>
      </c>
      <c r="N3939">
        <v>37494380038</v>
      </c>
      <c r="O3939" t="b">
        <v>1</v>
      </c>
      <c r="P3939">
        <v>1</v>
      </c>
      <c r="Q3939" t="str" cm="1">
        <f t="array" ref="Q3939">_xlfn.IFS(Table1[[#This Row],[Wealthier_Winner]]=-1,"Wealthier Nation Loses",Table1[[#This Row],[Wealthier_Winner]]=0,"Tie",Table1[[#This Row],[Wealthier_Winner]]=1,"Wealthier Nation Wins")</f>
        <v>Wealthier Nation Wins</v>
      </c>
    </row>
    <row r="3940" spans="1:17" x14ac:dyDescent="0.2">
      <c r="A3940" s="1">
        <v>5966</v>
      </c>
      <c r="B3940" s="2">
        <v>40096</v>
      </c>
      <c r="C3940" s="7">
        <f>_xlfn.FLOOR.MATH(Table1[[#This Row],[year]],10)</f>
        <v>2000</v>
      </c>
      <c r="D3940" t="s">
        <v>361</v>
      </c>
      <c r="E3940" t="s">
        <v>72</v>
      </c>
      <c r="F3940">
        <v>0</v>
      </c>
      <c r="G3940">
        <v>0</v>
      </c>
      <c r="H3940" t="s">
        <v>224</v>
      </c>
      <c r="I3940" t="s">
        <v>419</v>
      </c>
      <c r="J3940" t="s">
        <v>361</v>
      </c>
      <c r="K3940" t="b">
        <v>0</v>
      </c>
      <c r="L3940">
        <v>2009</v>
      </c>
      <c r="M3940">
        <v>22938218085</v>
      </c>
      <c r="N3940">
        <v>121663439315</v>
      </c>
      <c r="O3940" t="b">
        <v>1</v>
      </c>
      <c r="P3940">
        <v>0</v>
      </c>
      <c r="Q3940" t="str" cm="1">
        <f t="array" ref="Q3940">_xlfn.IFS(Table1[[#This Row],[Wealthier_Winner]]=-1,"Wealthier Nation Loses",Table1[[#This Row],[Wealthier_Winner]]=0,"Tie",Table1[[#This Row],[Wealthier_Winner]]=1,"Wealthier Nation Wins")</f>
        <v>Tie</v>
      </c>
    </row>
    <row r="3941" spans="1:17" x14ac:dyDescent="0.2">
      <c r="A3941" s="1">
        <v>5967</v>
      </c>
      <c r="B3941" s="2">
        <v>40096</v>
      </c>
      <c r="C3941" s="7">
        <f>_xlfn.FLOOR.MATH(Table1[[#This Row],[year]],10)</f>
        <v>2000</v>
      </c>
      <c r="D3941" t="s">
        <v>510</v>
      </c>
      <c r="E3941" t="s">
        <v>558</v>
      </c>
      <c r="F3941">
        <v>4</v>
      </c>
      <c r="G3941">
        <v>0</v>
      </c>
      <c r="H3941" t="s">
        <v>224</v>
      </c>
      <c r="I3941" t="s">
        <v>730</v>
      </c>
      <c r="J3941" t="s">
        <v>510</v>
      </c>
      <c r="K3941" t="b">
        <v>0</v>
      </c>
      <c r="L3941">
        <v>2009</v>
      </c>
      <c r="M3941">
        <v>50873167326</v>
      </c>
      <c r="N3941">
        <v>115308686941</v>
      </c>
      <c r="O3941" t="b">
        <v>1</v>
      </c>
      <c r="P3941">
        <v>-1</v>
      </c>
      <c r="Q3941" t="str" cm="1">
        <f t="array" ref="Q3941">_xlfn.IFS(Table1[[#This Row],[Wealthier_Winner]]=-1,"Wealthier Nation Loses",Table1[[#This Row],[Wealthier_Winner]]=0,"Tie",Table1[[#This Row],[Wealthier_Winner]]=1,"Wealthier Nation Wins")</f>
        <v>Wealthier Nation Loses</v>
      </c>
    </row>
    <row r="3942" spans="1:17" x14ac:dyDescent="0.2">
      <c r="A3942" s="1">
        <v>5969</v>
      </c>
      <c r="B3942" s="2">
        <v>40096</v>
      </c>
      <c r="C3942" s="7">
        <f>_xlfn.FLOOR.MATH(Table1[[#This Row],[year]],10)</f>
        <v>2000</v>
      </c>
      <c r="D3942" t="s">
        <v>40</v>
      </c>
      <c r="E3942" t="s">
        <v>62</v>
      </c>
      <c r="F3942">
        <v>3</v>
      </c>
      <c r="G3942">
        <v>0</v>
      </c>
      <c r="H3942" t="s">
        <v>224</v>
      </c>
      <c r="I3942" t="s">
        <v>371</v>
      </c>
      <c r="J3942" t="s">
        <v>40</v>
      </c>
      <c r="K3942" t="b">
        <v>0</v>
      </c>
      <c r="L3942">
        <v>2009</v>
      </c>
      <c r="M3942">
        <v>27932970317</v>
      </c>
      <c r="N3942">
        <v>4721888275</v>
      </c>
      <c r="O3942" t="b">
        <v>1</v>
      </c>
      <c r="P3942">
        <v>1</v>
      </c>
      <c r="Q3942" t="str" cm="1">
        <f t="array" ref="Q3942">_xlfn.IFS(Table1[[#This Row],[Wealthier_Winner]]=-1,"Wealthier Nation Loses",Table1[[#This Row],[Wealthier_Winner]]=0,"Tie",Table1[[#This Row],[Wealthier_Winner]]=1,"Wealthier Nation Wins")</f>
        <v>Wealthier Nation Wins</v>
      </c>
    </row>
    <row r="3943" spans="1:17" x14ac:dyDescent="0.2">
      <c r="A3943" s="1">
        <v>5970</v>
      </c>
      <c r="B3943" s="2">
        <v>40096</v>
      </c>
      <c r="C3943" s="7">
        <f>_xlfn.FLOOR.MATH(Table1[[#This Row],[year]],10)</f>
        <v>2000</v>
      </c>
      <c r="D3943" t="s">
        <v>15</v>
      </c>
      <c r="E3943" t="s">
        <v>14</v>
      </c>
      <c r="F3943">
        <v>2</v>
      </c>
      <c r="G3943">
        <v>4</v>
      </c>
      <c r="H3943" t="s">
        <v>224</v>
      </c>
      <c r="I3943" t="s">
        <v>726</v>
      </c>
      <c r="J3943" t="s">
        <v>15</v>
      </c>
      <c r="K3943" t="b">
        <v>0</v>
      </c>
      <c r="L3943">
        <v>2009</v>
      </c>
      <c r="M3943">
        <v>232468663109</v>
      </c>
      <c r="N3943">
        <v>171777900623</v>
      </c>
      <c r="O3943" t="b">
        <v>0</v>
      </c>
      <c r="P3943">
        <v>-1</v>
      </c>
      <c r="Q3943" t="str" cm="1">
        <f t="array" ref="Q3943">_xlfn.IFS(Table1[[#This Row],[Wealthier_Winner]]=-1,"Wealthier Nation Loses",Table1[[#This Row],[Wealthier_Winner]]=0,"Tie",Table1[[#This Row],[Wealthier_Winner]]=1,"Wealthier Nation Wins")</f>
        <v>Wealthier Nation Loses</v>
      </c>
    </row>
    <row r="3944" spans="1:17" x14ac:dyDescent="0.2">
      <c r="A3944" s="1">
        <v>5971</v>
      </c>
      <c r="B3944" s="2">
        <v>40096</v>
      </c>
      <c r="C3944" s="7">
        <f>_xlfn.FLOOR.MATH(Table1[[#This Row],[year]],10)</f>
        <v>2000</v>
      </c>
      <c r="D3944" t="s">
        <v>56</v>
      </c>
      <c r="E3944" t="s">
        <v>59</v>
      </c>
      <c r="F3944">
        <v>4</v>
      </c>
      <c r="G3944">
        <v>0</v>
      </c>
      <c r="H3944" t="s">
        <v>224</v>
      </c>
      <c r="I3944" t="s">
        <v>225</v>
      </c>
      <c r="J3944" t="s">
        <v>56</v>
      </c>
      <c r="K3944" t="b">
        <v>0</v>
      </c>
      <c r="L3944">
        <v>2009</v>
      </c>
      <c r="M3944">
        <v>30745714312</v>
      </c>
      <c r="N3944">
        <v>19172165225</v>
      </c>
      <c r="O3944" t="b">
        <v>0</v>
      </c>
      <c r="P3944">
        <v>1</v>
      </c>
      <c r="Q3944" t="str" cm="1">
        <f t="array" ref="Q3944">_xlfn.IFS(Table1[[#This Row],[Wealthier_Winner]]=-1,"Wealthier Nation Loses",Table1[[#This Row],[Wealthier_Winner]]=0,"Tie",Table1[[#This Row],[Wealthier_Winner]]=1,"Wealthier Nation Wins")</f>
        <v>Wealthier Nation Wins</v>
      </c>
    </row>
    <row r="3945" spans="1:17" x14ac:dyDescent="0.2">
      <c r="A3945" s="1">
        <v>5972</v>
      </c>
      <c r="B3945" s="2">
        <v>40096</v>
      </c>
      <c r="C3945" s="7">
        <f>_xlfn.FLOOR.MATH(Table1[[#This Row],[year]],10)</f>
        <v>2000</v>
      </c>
      <c r="D3945" t="s">
        <v>351</v>
      </c>
      <c r="E3945" t="s">
        <v>33</v>
      </c>
      <c r="F3945">
        <v>4</v>
      </c>
      <c r="G3945">
        <v>1</v>
      </c>
      <c r="H3945" t="s">
        <v>224</v>
      </c>
      <c r="I3945" t="s">
        <v>468</v>
      </c>
      <c r="J3945" t="s">
        <v>351</v>
      </c>
      <c r="K3945" t="b">
        <v>0</v>
      </c>
      <c r="L3945">
        <v>2009</v>
      </c>
      <c r="M3945">
        <v>26048179949</v>
      </c>
      <c r="N3945">
        <v>52023801230</v>
      </c>
      <c r="O3945" t="b">
        <v>0</v>
      </c>
      <c r="P3945">
        <v>-1</v>
      </c>
      <c r="Q3945" t="str" cm="1">
        <f t="array" ref="Q3945">_xlfn.IFS(Table1[[#This Row],[Wealthier_Winner]]=-1,"Wealthier Nation Loses",Table1[[#This Row],[Wealthier_Winner]]=0,"Tie",Table1[[#This Row],[Wealthier_Winner]]=1,"Wealthier Nation Wins")</f>
        <v>Wealthier Nation Loses</v>
      </c>
    </row>
    <row r="3946" spans="1:17" x14ac:dyDescent="0.2">
      <c r="A3946" s="1">
        <v>5974</v>
      </c>
      <c r="B3946" s="2">
        <v>40096</v>
      </c>
      <c r="C3946" s="7">
        <f>_xlfn.FLOOR.MATH(Table1[[#This Row],[year]],10)</f>
        <v>2000</v>
      </c>
      <c r="D3946" t="s">
        <v>36</v>
      </c>
      <c r="E3946" t="s">
        <v>25</v>
      </c>
      <c r="F3946">
        <v>1</v>
      </c>
      <c r="G3946">
        <v>0</v>
      </c>
      <c r="H3946" t="s">
        <v>224</v>
      </c>
      <c r="I3946" t="s">
        <v>264</v>
      </c>
      <c r="J3946" t="s">
        <v>36</v>
      </c>
      <c r="K3946" t="b">
        <v>0</v>
      </c>
      <c r="L3946">
        <v>2009</v>
      </c>
      <c r="M3946">
        <v>322619152194</v>
      </c>
      <c r="N3946">
        <v>434311714442</v>
      </c>
      <c r="O3946" t="b">
        <v>0</v>
      </c>
      <c r="P3946">
        <v>-1</v>
      </c>
      <c r="Q3946" t="str" cm="1">
        <f t="array" ref="Q3946">_xlfn.IFS(Table1[[#This Row],[Wealthier_Winner]]=-1,"Wealthier Nation Loses",Table1[[#This Row],[Wealthier_Winner]]=0,"Tie",Table1[[#This Row],[Wealthier_Winner]]=1,"Wealthier Nation Wins")</f>
        <v>Wealthier Nation Loses</v>
      </c>
    </row>
    <row r="3947" spans="1:17" x14ac:dyDescent="0.2">
      <c r="A3947" s="1">
        <v>5975</v>
      </c>
      <c r="B3947" s="2">
        <v>40096</v>
      </c>
      <c r="C3947" s="7">
        <f>_xlfn.FLOOR.MATH(Table1[[#This Row],[year]],10)</f>
        <v>2000</v>
      </c>
      <c r="D3947" t="s">
        <v>57</v>
      </c>
      <c r="E3947" t="s">
        <v>26</v>
      </c>
      <c r="F3947">
        <v>1</v>
      </c>
      <c r="G3947">
        <v>2</v>
      </c>
      <c r="H3947" t="s">
        <v>224</v>
      </c>
      <c r="I3947" t="s">
        <v>335</v>
      </c>
      <c r="J3947" t="s">
        <v>57</v>
      </c>
      <c r="K3947" t="b">
        <v>0</v>
      </c>
      <c r="L3947">
        <v>2009</v>
      </c>
      <c r="M3947">
        <v>60094978000</v>
      </c>
      <c r="N3947">
        <v>32708319077</v>
      </c>
      <c r="O3947" t="b">
        <v>0</v>
      </c>
      <c r="P3947">
        <v>-1</v>
      </c>
      <c r="Q3947" t="str" cm="1">
        <f t="array" ref="Q3947">_xlfn.IFS(Table1[[#This Row],[Wealthier_Winner]]=-1,"Wealthier Nation Loses",Table1[[#This Row],[Wealthier_Winner]]=0,"Tie",Table1[[#This Row],[Wealthier_Winner]]=1,"Wealthier Nation Wins")</f>
        <v>Wealthier Nation Loses</v>
      </c>
    </row>
    <row r="3948" spans="1:17" x14ac:dyDescent="0.2">
      <c r="A3948" s="1">
        <v>5976</v>
      </c>
      <c r="B3948" s="2">
        <v>40096</v>
      </c>
      <c r="C3948" s="7">
        <f>_xlfn.FLOOR.MATH(Table1[[#This Row],[year]],10)</f>
        <v>2000</v>
      </c>
      <c r="D3948" t="s">
        <v>476</v>
      </c>
      <c r="E3948" t="s">
        <v>73</v>
      </c>
      <c r="F3948">
        <v>0</v>
      </c>
      <c r="G3948">
        <v>2</v>
      </c>
      <c r="H3948" t="s">
        <v>224</v>
      </c>
      <c r="I3948" t="s">
        <v>481</v>
      </c>
      <c r="J3948" t="s">
        <v>476</v>
      </c>
      <c r="K3948" t="b">
        <v>0</v>
      </c>
      <c r="L3948">
        <v>2009</v>
      </c>
      <c r="M3948">
        <v>19633984440</v>
      </c>
      <c r="N3948">
        <v>17613949091</v>
      </c>
      <c r="O3948" t="b">
        <v>0</v>
      </c>
      <c r="P3948">
        <v>-1</v>
      </c>
      <c r="Q3948" t="str" cm="1">
        <f t="array" ref="Q3948">_xlfn.IFS(Table1[[#This Row],[Wealthier_Winner]]=-1,"Wealthier Nation Loses",Table1[[#This Row],[Wealthier_Winner]]=0,"Tie",Table1[[#This Row],[Wealthier_Winner]]=1,"Wealthier Nation Wins")</f>
        <v>Wealthier Nation Loses</v>
      </c>
    </row>
    <row r="3949" spans="1:17" x14ac:dyDescent="0.2">
      <c r="A3949" s="1">
        <v>5978</v>
      </c>
      <c r="B3949" s="2">
        <v>40096</v>
      </c>
      <c r="C3949" s="7">
        <f>_xlfn.FLOOR.MATH(Table1[[#This Row],[year]],10)</f>
        <v>2000</v>
      </c>
      <c r="D3949" t="s">
        <v>20</v>
      </c>
      <c r="E3949" t="s">
        <v>447</v>
      </c>
      <c r="F3949">
        <v>5</v>
      </c>
      <c r="G3949">
        <v>0</v>
      </c>
      <c r="H3949" t="s">
        <v>224</v>
      </c>
      <c r="I3949" t="s">
        <v>731</v>
      </c>
      <c r="J3949" t="s">
        <v>20</v>
      </c>
      <c r="K3949" t="b">
        <v>0</v>
      </c>
      <c r="L3949">
        <v>2009</v>
      </c>
      <c r="M3949">
        <v>2700075882518</v>
      </c>
      <c r="N3949">
        <v>2296065170</v>
      </c>
      <c r="O3949" t="b">
        <v>1</v>
      </c>
      <c r="P3949">
        <v>1</v>
      </c>
      <c r="Q3949" t="str" cm="1">
        <f t="array" ref="Q3949">_xlfn.IFS(Table1[[#This Row],[Wealthier_Winner]]=-1,"Wealthier Nation Loses",Table1[[#This Row],[Wealthier_Winner]]=0,"Tie",Table1[[#This Row],[Wealthier_Winner]]=1,"Wealthier Nation Wins")</f>
        <v>Wealthier Nation Wins</v>
      </c>
    </row>
    <row r="3950" spans="1:17" x14ac:dyDescent="0.2">
      <c r="A3950" s="1">
        <v>5979</v>
      </c>
      <c r="B3950" s="2">
        <v>40096</v>
      </c>
      <c r="C3950" s="7">
        <f>_xlfn.FLOOR.MATH(Table1[[#This Row],[year]],10)</f>
        <v>2000</v>
      </c>
      <c r="D3950" t="s">
        <v>433</v>
      </c>
      <c r="E3950" t="s">
        <v>24</v>
      </c>
      <c r="F3950">
        <v>3</v>
      </c>
      <c r="G3950">
        <v>1</v>
      </c>
      <c r="H3950" t="s">
        <v>224</v>
      </c>
      <c r="I3950" t="s">
        <v>436</v>
      </c>
      <c r="J3950" t="s">
        <v>433</v>
      </c>
      <c r="K3950" t="b">
        <v>0</v>
      </c>
      <c r="L3950">
        <v>2009</v>
      </c>
      <c r="M3950">
        <v>12113699068</v>
      </c>
      <c r="N3950">
        <v>101154952240</v>
      </c>
      <c r="O3950" t="b">
        <v>1</v>
      </c>
      <c r="P3950">
        <v>-1</v>
      </c>
      <c r="Q3950" t="str" cm="1">
        <f t="array" ref="Q3950">_xlfn.IFS(Table1[[#This Row],[Wealthier_Winner]]=-1,"Wealthier Nation Loses",Table1[[#This Row],[Wealthier_Winner]]=0,"Tie",Table1[[#This Row],[Wealthier_Winner]]=1,"Wealthier Nation Wins")</f>
        <v>Wealthier Nation Loses</v>
      </c>
    </row>
    <row r="3951" spans="1:17" x14ac:dyDescent="0.2">
      <c r="A3951" s="1">
        <v>5980</v>
      </c>
      <c r="B3951" s="2">
        <v>40096</v>
      </c>
      <c r="C3951" s="7">
        <f>_xlfn.FLOOR.MATH(Table1[[#This Row],[year]],10)</f>
        <v>2000</v>
      </c>
      <c r="D3951" t="s">
        <v>48</v>
      </c>
      <c r="E3951" t="s">
        <v>525</v>
      </c>
      <c r="F3951">
        <v>5</v>
      </c>
      <c r="G3951">
        <v>2</v>
      </c>
      <c r="H3951" t="s">
        <v>224</v>
      </c>
      <c r="I3951" t="s">
        <v>236</v>
      </c>
      <c r="J3951" t="s">
        <v>48</v>
      </c>
      <c r="K3951" t="b">
        <v>0</v>
      </c>
      <c r="L3951">
        <v>2009</v>
      </c>
      <c r="M3951">
        <v>326829054686</v>
      </c>
      <c r="N3951">
        <v>25691530442</v>
      </c>
      <c r="O3951" t="b">
        <v>1</v>
      </c>
      <c r="P3951">
        <v>1</v>
      </c>
      <c r="Q3951" t="str" cm="1">
        <f t="array" ref="Q3951">_xlfn.IFS(Table1[[#This Row],[Wealthier_Winner]]=-1,"Wealthier Nation Loses",Table1[[#This Row],[Wealthier_Winner]]=0,"Tie",Table1[[#This Row],[Wealthier_Winner]]=1,"Wealthier Nation Wins")</f>
        <v>Wealthier Nation Wins</v>
      </c>
    </row>
    <row r="3952" spans="1:17" x14ac:dyDescent="0.2">
      <c r="A3952" s="1">
        <v>5981</v>
      </c>
      <c r="B3952" s="2">
        <v>40096</v>
      </c>
      <c r="C3952" s="7">
        <f>_xlfn.FLOOR.MATH(Table1[[#This Row],[year]],10)</f>
        <v>2000</v>
      </c>
      <c r="D3952" t="s">
        <v>65</v>
      </c>
      <c r="E3952" t="s">
        <v>41</v>
      </c>
      <c r="F3952">
        <v>2</v>
      </c>
      <c r="G3952">
        <v>3</v>
      </c>
      <c r="H3952" t="s">
        <v>224</v>
      </c>
      <c r="I3952" t="s">
        <v>254</v>
      </c>
      <c r="J3952" t="s">
        <v>65</v>
      </c>
      <c r="K3952" t="b">
        <v>0</v>
      </c>
      <c r="L3952">
        <v>2009</v>
      </c>
      <c r="M3952">
        <v>14587496229</v>
      </c>
      <c r="N3952">
        <v>14478064934000</v>
      </c>
      <c r="O3952" t="b">
        <v>1</v>
      </c>
      <c r="P3952">
        <v>1</v>
      </c>
      <c r="Q3952" t="str" cm="1">
        <f t="array" ref="Q3952">_xlfn.IFS(Table1[[#This Row],[Wealthier_Winner]]=-1,"Wealthier Nation Loses",Table1[[#This Row],[Wealthier_Winner]]=0,"Tie",Table1[[#This Row],[Wealthier_Winner]]=1,"Wealthier Nation Wins")</f>
        <v>Wealthier Nation Wins</v>
      </c>
    </row>
    <row r="3953" spans="1:17" x14ac:dyDescent="0.2">
      <c r="A3953" s="1">
        <v>5983</v>
      </c>
      <c r="B3953" s="2">
        <v>40096</v>
      </c>
      <c r="C3953" s="7">
        <f>_xlfn.FLOOR.MATH(Table1[[#This Row],[year]],10)</f>
        <v>2000</v>
      </c>
      <c r="D3953" t="s">
        <v>22</v>
      </c>
      <c r="E3953" t="s">
        <v>527</v>
      </c>
      <c r="F3953">
        <v>3</v>
      </c>
      <c r="G3953">
        <v>1</v>
      </c>
      <c r="H3953" t="s">
        <v>224</v>
      </c>
      <c r="I3953" t="s">
        <v>239</v>
      </c>
      <c r="J3953" t="s">
        <v>22</v>
      </c>
      <c r="K3953" t="b">
        <v>0</v>
      </c>
      <c r="L3953">
        <v>2009</v>
      </c>
      <c r="M3953">
        <v>213403181852</v>
      </c>
      <c r="N3953">
        <v>5439434271</v>
      </c>
      <c r="O3953" t="b">
        <v>1</v>
      </c>
      <c r="P3953">
        <v>1</v>
      </c>
      <c r="Q3953" t="str" cm="1">
        <f t="array" ref="Q3953">_xlfn.IFS(Table1[[#This Row],[Wealthier_Winner]]=-1,"Wealthier Nation Loses",Table1[[#This Row],[Wealthier_Winner]]=0,"Tie",Table1[[#This Row],[Wealthier_Winner]]=1,"Wealthier Nation Wins")</f>
        <v>Wealthier Nation Wins</v>
      </c>
    </row>
    <row r="3954" spans="1:17" x14ac:dyDescent="0.2">
      <c r="A3954" s="1">
        <v>5984</v>
      </c>
      <c r="B3954" s="2">
        <v>40096</v>
      </c>
      <c r="C3954" s="7">
        <f>_xlfn.FLOOR.MATH(Table1[[#This Row],[year]],10)</f>
        <v>2000</v>
      </c>
      <c r="D3954" t="s">
        <v>503</v>
      </c>
      <c r="E3954" t="s">
        <v>513</v>
      </c>
      <c r="F3954">
        <v>0</v>
      </c>
      <c r="G3954">
        <v>2</v>
      </c>
      <c r="H3954" t="s">
        <v>224</v>
      </c>
      <c r="I3954" t="s">
        <v>603</v>
      </c>
      <c r="J3954" t="s">
        <v>503</v>
      </c>
      <c r="K3954" t="b">
        <v>0</v>
      </c>
      <c r="L3954">
        <v>2009</v>
      </c>
      <c r="M3954">
        <v>4504375348</v>
      </c>
      <c r="N3954">
        <v>44292427184</v>
      </c>
      <c r="O3954" t="b">
        <v>1</v>
      </c>
      <c r="P3954">
        <v>1</v>
      </c>
      <c r="Q3954" t="str" cm="1">
        <f t="array" ref="Q3954">_xlfn.IFS(Table1[[#This Row],[Wealthier_Winner]]=-1,"Wealthier Nation Loses",Table1[[#This Row],[Wealthier_Winner]]=0,"Tie",Table1[[#This Row],[Wealthier_Winner]]=1,"Wealthier Nation Wins")</f>
        <v>Wealthier Nation Wins</v>
      </c>
    </row>
    <row r="3955" spans="1:17" x14ac:dyDescent="0.2">
      <c r="A3955" s="1">
        <v>5985</v>
      </c>
      <c r="B3955" s="2">
        <v>40096</v>
      </c>
      <c r="C3955" s="7">
        <f>_xlfn.FLOOR.MATH(Table1[[#This Row],[year]],10)</f>
        <v>2000</v>
      </c>
      <c r="D3955" t="s">
        <v>232</v>
      </c>
      <c r="E3955" t="s">
        <v>46</v>
      </c>
      <c r="F3955">
        <v>0</v>
      </c>
      <c r="G3955">
        <v>3</v>
      </c>
      <c r="H3955" t="s">
        <v>224</v>
      </c>
      <c r="I3955" t="s">
        <v>232</v>
      </c>
      <c r="J3955" t="s">
        <v>232</v>
      </c>
      <c r="K3955" t="b">
        <v>0</v>
      </c>
      <c r="L3955">
        <v>2009</v>
      </c>
      <c r="M3955">
        <v>54467289897</v>
      </c>
      <c r="N3955">
        <v>554212916092</v>
      </c>
      <c r="O3955" t="b">
        <v>1</v>
      </c>
      <c r="P3955">
        <v>1</v>
      </c>
      <c r="Q3955" t="str" cm="1">
        <f t="array" ref="Q3955">_xlfn.IFS(Table1[[#This Row],[Wealthier_Winner]]=-1,"Wealthier Nation Loses",Table1[[#This Row],[Wealthier_Winner]]=0,"Tie",Table1[[#This Row],[Wealthier_Winner]]=1,"Wealthier Nation Wins")</f>
        <v>Wealthier Nation Wins</v>
      </c>
    </row>
    <row r="3956" spans="1:17" x14ac:dyDescent="0.2">
      <c r="A3956" s="1">
        <v>5987</v>
      </c>
      <c r="B3956" s="2">
        <v>40096</v>
      </c>
      <c r="C3956" s="7">
        <f>_xlfn.FLOOR.MATH(Table1[[#This Row],[year]],10)</f>
        <v>2000</v>
      </c>
      <c r="D3956" t="s">
        <v>17</v>
      </c>
      <c r="E3956" t="s">
        <v>69</v>
      </c>
      <c r="F3956">
        <v>4</v>
      </c>
      <c r="G3956">
        <v>1</v>
      </c>
      <c r="H3956" t="s">
        <v>224</v>
      </c>
      <c r="I3956" t="s">
        <v>83</v>
      </c>
      <c r="J3956" t="s">
        <v>17</v>
      </c>
      <c r="K3956" t="b">
        <v>0</v>
      </c>
      <c r="L3956">
        <v>2009</v>
      </c>
      <c r="M3956">
        <v>943437415024</v>
      </c>
      <c r="N3956">
        <v>17601620000</v>
      </c>
      <c r="O3956" t="b">
        <v>1</v>
      </c>
      <c r="P3956">
        <v>1</v>
      </c>
      <c r="Q3956" t="str" cm="1">
        <f t="array" ref="Q3956">_xlfn.IFS(Table1[[#This Row],[Wealthier_Winner]]=-1,"Wealthier Nation Loses",Table1[[#This Row],[Wealthier_Winner]]=0,"Tie",Table1[[#This Row],[Wealthier_Winner]]=1,"Wealthier Nation Wins")</f>
        <v>Wealthier Nation Wins</v>
      </c>
    </row>
    <row r="3957" spans="1:17" x14ac:dyDescent="0.2">
      <c r="A3957" s="1">
        <v>5988</v>
      </c>
      <c r="B3957" s="2">
        <v>40096</v>
      </c>
      <c r="C3957" s="7">
        <f>_xlfn.FLOOR.MATH(Table1[[#This Row],[year]],10)</f>
        <v>2000</v>
      </c>
      <c r="D3957" t="s">
        <v>705</v>
      </c>
      <c r="E3957" t="s">
        <v>534</v>
      </c>
      <c r="F3957">
        <v>2</v>
      </c>
      <c r="G3957">
        <v>1</v>
      </c>
      <c r="H3957" t="s">
        <v>224</v>
      </c>
      <c r="I3957" t="s">
        <v>706</v>
      </c>
      <c r="J3957" t="s">
        <v>705</v>
      </c>
      <c r="K3957" t="b">
        <v>0</v>
      </c>
      <c r="L3957">
        <v>2009</v>
      </c>
      <c r="M3957">
        <v>4142640316</v>
      </c>
      <c r="N3957">
        <v>10766920065</v>
      </c>
      <c r="O3957" t="b">
        <v>1</v>
      </c>
      <c r="P3957">
        <v>-1</v>
      </c>
      <c r="Q3957" t="str" cm="1">
        <f t="array" ref="Q3957">_xlfn.IFS(Table1[[#This Row],[Wealthier_Winner]]=-1,"Wealthier Nation Loses",Table1[[#This Row],[Wealthier_Winner]]=0,"Tie",Table1[[#This Row],[Wealthier_Winner]]=1,"Wealthier Nation Wins")</f>
        <v>Wealthier Nation Loses</v>
      </c>
    </row>
    <row r="3958" spans="1:17" x14ac:dyDescent="0.2">
      <c r="A3958" s="1">
        <v>5989</v>
      </c>
      <c r="B3958" s="2">
        <v>40096</v>
      </c>
      <c r="C3958" s="7">
        <f>_xlfn.FLOOR.MATH(Table1[[#This Row],[year]],10)</f>
        <v>2000</v>
      </c>
      <c r="D3958" t="s">
        <v>38</v>
      </c>
      <c r="E3958" t="s">
        <v>30</v>
      </c>
      <c r="F3958">
        <v>3</v>
      </c>
      <c r="G3958">
        <v>0</v>
      </c>
      <c r="H3958" t="s">
        <v>224</v>
      </c>
      <c r="I3958" t="s">
        <v>291</v>
      </c>
      <c r="J3958" t="s">
        <v>38</v>
      </c>
      <c r="K3958" t="b">
        <v>0</v>
      </c>
      <c r="L3958">
        <v>2009</v>
      </c>
      <c r="M3958">
        <v>244667762835</v>
      </c>
      <c r="N3958">
        <v>130807441076</v>
      </c>
      <c r="O3958" t="b">
        <v>0</v>
      </c>
      <c r="P3958">
        <v>1</v>
      </c>
      <c r="Q3958" t="str" cm="1">
        <f t="array" ref="Q3958">_xlfn.IFS(Table1[[#This Row],[Wealthier_Winner]]=-1,"Wealthier Nation Loses",Table1[[#This Row],[Wealthier_Winner]]=0,"Tie",Table1[[#This Row],[Wealthier_Winner]]=1,"Wealthier Nation Wins")</f>
        <v>Wealthier Nation Wins</v>
      </c>
    </row>
    <row r="3959" spans="1:17" x14ac:dyDescent="0.2">
      <c r="A3959" s="1">
        <v>5990</v>
      </c>
      <c r="B3959" s="2">
        <v>40096</v>
      </c>
      <c r="C3959" s="7">
        <f>_xlfn.FLOOR.MATH(Table1[[#This Row],[year]],10)</f>
        <v>2000</v>
      </c>
      <c r="D3959" t="s">
        <v>196</v>
      </c>
      <c r="E3959" t="s">
        <v>16</v>
      </c>
      <c r="F3959">
        <v>0</v>
      </c>
      <c r="G3959">
        <v>1</v>
      </c>
      <c r="H3959" t="s">
        <v>224</v>
      </c>
      <c r="I3959" t="s">
        <v>180</v>
      </c>
      <c r="J3959" t="s">
        <v>196</v>
      </c>
      <c r="K3959" t="b">
        <v>0</v>
      </c>
      <c r="L3959">
        <v>2009</v>
      </c>
      <c r="M3959">
        <v>1222645900055</v>
      </c>
      <c r="N3959">
        <v>3478545516683</v>
      </c>
      <c r="O3959" t="b">
        <v>1</v>
      </c>
      <c r="P3959">
        <v>1</v>
      </c>
      <c r="Q3959" t="str" cm="1">
        <f t="array" ref="Q3959">_xlfn.IFS(Table1[[#This Row],[Wealthier_Winner]]=-1,"Wealthier Nation Loses",Table1[[#This Row],[Wealthier_Winner]]=0,"Tie",Table1[[#This Row],[Wealthier_Winner]]=1,"Wealthier Nation Wins")</f>
        <v>Wealthier Nation Wins</v>
      </c>
    </row>
    <row r="3960" spans="1:17" x14ac:dyDescent="0.2">
      <c r="A3960" s="1">
        <v>5991</v>
      </c>
      <c r="B3960" s="2">
        <v>40096</v>
      </c>
      <c r="C3960" s="7">
        <f>_xlfn.FLOOR.MATH(Table1[[#This Row],[year]],10)</f>
        <v>2000</v>
      </c>
      <c r="D3960" t="s">
        <v>61</v>
      </c>
      <c r="E3960" t="s">
        <v>44</v>
      </c>
      <c r="F3960">
        <v>5</v>
      </c>
      <c r="G3960">
        <v>0</v>
      </c>
      <c r="H3960" t="s">
        <v>224</v>
      </c>
      <c r="I3960" t="s">
        <v>505</v>
      </c>
      <c r="J3960" t="s">
        <v>61</v>
      </c>
      <c r="K3960" t="b">
        <v>0</v>
      </c>
      <c r="L3960">
        <v>2009</v>
      </c>
      <c r="M3960">
        <v>46955984409</v>
      </c>
      <c r="N3960">
        <v>174110532658</v>
      </c>
      <c r="O3960" t="b">
        <v>1</v>
      </c>
      <c r="P3960">
        <v>-1</v>
      </c>
      <c r="Q3960" t="str" cm="1">
        <f t="array" ref="Q3960">_xlfn.IFS(Table1[[#This Row],[Wealthier_Winner]]=-1,"Wealthier Nation Loses",Table1[[#This Row],[Wealthier_Winner]]=0,"Tie",Table1[[#This Row],[Wealthier_Winner]]=1,"Wealthier Nation Wins")</f>
        <v>Wealthier Nation Loses</v>
      </c>
    </row>
    <row r="3961" spans="1:17" x14ac:dyDescent="0.2">
      <c r="A3961" s="1">
        <v>5993</v>
      </c>
      <c r="B3961" s="2">
        <v>40096</v>
      </c>
      <c r="C3961" s="7">
        <f>_xlfn.FLOOR.MATH(Table1[[#This Row],[year]],10)</f>
        <v>2000</v>
      </c>
      <c r="D3961" t="s">
        <v>64</v>
      </c>
      <c r="E3961" t="s">
        <v>194</v>
      </c>
      <c r="F3961">
        <v>1</v>
      </c>
      <c r="G3961">
        <v>0</v>
      </c>
      <c r="H3961" t="s">
        <v>224</v>
      </c>
      <c r="I3961" t="s">
        <v>683</v>
      </c>
      <c r="J3961" t="s">
        <v>64</v>
      </c>
      <c r="K3961" t="b">
        <v>0</v>
      </c>
      <c r="L3961">
        <v>2009</v>
      </c>
      <c r="M3961">
        <v>121552153444</v>
      </c>
      <c r="N3961">
        <v>2429358155475</v>
      </c>
      <c r="O3961" t="b">
        <v>1</v>
      </c>
      <c r="P3961">
        <v>-1</v>
      </c>
      <c r="Q3961" t="str" cm="1">
        <f t="array" ref="Q3961">_xlfn.IFS(Table1[[#This Row],[Wealthier_Winner]]=-1,"Wealthier Nation Loses",Table1[[#This Row],[Wealthier_Winner]]=0,"Tie",Table1[[#This Row],[Wealthier_Winner]]=1,"Wealthier Nation Wins")</f>
        <v>Wealthier Nation Loses</v>
      </c>
    </row>
    <row r="3962" spans="1:17" x14ac:dyDescent="0.2">
      <c r="A3962" s="1">
        <v>5994</v>
      </c>
      <c r="B3962" s="2">
        <v>40096</v>
      </c>
      <c r="C3962" s="7">
        <f>_xlfn.FLOOR.MATH(Table1[[#This Row],[year]],10)</f>
        <v>2000</v>
      </c>
      <c r="D3962" t="s">
        <v>258</v>
      </c>
      <c r="E3962" t="s">
        <v>35</v>
      </c>
      <c r="F3962">
        <v>1</v>
      </c>
      <c r="G3962">
        <v>2</v>
      </c>
      <c r="H3962" t="s">
        <v>224</v>
      </c>
      <c r="I3962" t="s">
        <v>487</v>
      </c>
      <c r="J3962" t="s">
        <v>258</v>
      </c>
      <c r="K3962" t="b">
        <v>0</v>
      </c>
      <c r="L3962">
        <v>2009</v>
      </c>
      <c r="M3962">
        <v>329787628928</v>
      </c>
      <c r="N3962">
        <v>22355151162</v>
      </c>
      <c r="O3962" t="b">
        <v>1</v>
      </c>
      <c r="P3962">
        <v>-1</v>
      </c>
      <c r="Q3962" t="str" cm="1">
        <f t="array" ref="Q3962">_xlfn.IFS(Table1[[#This Row],[Wealthier_Winner]]=-1,"Wealthier Nation Loses",Table1[[#This Row],[Wealthier_Winner]]=0,"Tie",Table1[[#This Row],[Wealthier_Winner]]=1,"Wealthier Nation Wins")</f>
        <v>Wealthier Nation Loses</v>
      </c>
    </row>
    <row r="3963" spans="1:17" x14ac:dyDescent="0.2">
      <c r="A3963" s="1">
        <v>5995</v>
      </c>
      <c r="B3963" s="2">
        <v>40096</v>
      </c>
      <c r="C3963" s="7">
        <f>_xlfn.FLOOR.MATH(Table1[[#This Row],[year]],10)</f>
        <v>2000</v>
      </c>
      <c r="D3963" t="s">
        <v>273</v>
      </c>
      <c r="E3963" t="s">
        <v>212</v>
      </c>
      <c r="F3963">
        <v>0</v>
      </c>
      <c r="G3963">
        <v>1</v>
      </c>
      <c r="H3963" t="s">
        <v>224</v>
      </c>
      <c r="I3963" t="s">
        <v>677</v>
      </c>
      <c r="J3963" t="s">
        <v>273</v>
      </c>
      <c r="K3963" t="b">
        <v>0</v>
      </c>
      <c r="L3963">
        <v>2009</v>
      </c>
      <c r="M3963">
        <v>15328342303</v>
      </c>
      <c r="N3963">
        <v>189147005444</v>
      </c>
      <c r="O3963" t="b">
        <v>1</v>
      </c>
      <c r="P3963">
        <v>1</v>
      </c>
      <c r="Q3963" t="str" cm="1">
        <f t="array" ref="Q3963">_xlfn.IFS(Table1[[#This Row],[Wealthier_Winner]]=-1,"Wealthier Nation Loses",Table1[[#This Row],[Wealthier_Winner]]=0,"Tie",Table1[[#This Row],[Wealthier_Winner]]=1,"Wealthier Nation Wins")</f>
        <v>Wealthier Nation Wins</v>
      </c>
    </row>
    <row r="3964" spans="1:17" x14ac:dyDescent="0.2">
      <c r="A3964" s="1">
        <v>5996</v>
      </c>
      <c r="B3964" s="2">
        <v>40097</v>
      </c>
      <c r="C3964" s="7">
        <f>_xlfn.FLOOR.MATH(Table1[[#This Row],[year]],10)</f>
        <v>2000</v>
      </c>
      <c r="D3964" t="s">
        <v>32</v>
      </c>
      <c r="E3964" t="s">
        <v>514</v>
      </c>
      <c r="F3964">
        <v>3</v>
      </c>
      <c r="G3964">
        <v>1</v>
      </c>
      <c r="H3964" t="s">
        <v>224</v>
      </c>
      <c r="I3964" t="s">
        <v>697</v>
      </c>
      <c r="J3964" t="s">
        <v>32</v>
      </c>
      <c r="K3964" t="b">
        <v>0</v>
      </c>
      <c r="L3964">
        <v>2009</v>
      </c>
      <c r="M3964">
        <v>150317292079</v>
      </c>
      <c r="N3964">
        <v>5674476969</v>
      </c>
      <c r="O3964" t="b">
        <v>1</v>
      </c>
      <c r="P3964">
        <v>1</v>
      </c>
      <c r="Q3964" t="str" cm="1">
        <f t="array" ref="Q3964">_xlfn.IFS(Table1[[#This Row],[Wealthier_Winner]]=-1,"Wealthier Nation Loses",Table1[[#This Row],[Wealthier_Winner]]=0,"Tie",Table1[[#This Row],[Wealthier_Winner]]=1,"Wealthier Nation Wins")</f>
        <v>Wealthier Nation Wins</v>
      </c>
    </row>
    <row r="3965" spans="1:17" x14ac:dyDescent="0.2">
      <c r="A3965" s="1">
        <v>5997</v>
      </c>
      <c r="B3965" s="2">
        <v>40097</v>
      </c>
      <c r="C3965" s="7">
        <f>_xlfn.FLOOR.MATH(Table1[[#This Row],[year]],10)</f>
        <v>2000</v>
      </c>
      <c r="D3965" t="s">
        <v>310</v>
      </c>
      <c r="E3965" t="s">
        <v>63</v>
      </c>
      <c r="F3965">
        <v>1</v>
      </c>
      <c r="G3965">
        <v>0</v>
      </c>
      <c r="H3965" t="s">
        <v>224</v>
      </c>
      <c r="I3965" t="s">
        <v>311</v>
      </c>
      <c r="J3965" t="s">
        <v>310</v>
      </c>
      <c r="K3965" t="b">
        <v>0</v>
      </c>
      <c r="L3965">
        <v>2009</v>
      </c>
      <c r="M3965">
        <v>9738626517</v>
      </c>
      <c r="N3965">
        <v>26048720005</v>
      </c>
      <c r="O3965" t="b">
        <v>1</v>
      </c>
      <c r="P3965">
        <v>-1</v>
      </c>
      <c r="Q3965" t="str" cm="1">
        <f t="array" ref="Q3965">_xlfn.IFS(Table1[[#This Row],[Wealthier_Winner]]=-1,"Wealthier Nation Loses",Table1[[#This Row],[Wealthier_Winner]]=0,"Tie",Table1[[#This Row],[Wealthier_Winner]]=1,"Wealthier Nation Wins")</f>
        <v>Wealthier Nation Loses</v>
      </c>
    </row>
    <row r="3966" spans="1:17" x14ac:dyDescent="0.2">
      <c r="A3966" s="1">
        <v>5998</v>
      </c>
      <c r="B3966" s="2">
        <v>40097</v>
      </c>
      <c r="C3966" s="7">
        <f>_xlfn.FLOOR.MATH(Table1[[#This Row],[year]],10)</f>
        <v>2000</v>
      </c>
      <c r="D3966" t="s">
        <v>305</v>
      </c>
      <c r="E3966" t="s">
        <v>345</v>
      </c>
      <c r="F3966">
        <v>1</v>
      </c>
      <c r="G3966">
        <v>2</v>
      </c>
      <c r="H3966" t="s">
        <v>224</v>
      </c>
      <c r="I3966" t="s">
        <v>226</v>
      </c>
      <c r="J3966" t="s">
        <v>63</v>
      </c>
      <c r="K3966" t="b">
        <v>1</v>
      </c>
      <c r="L3966">
        <v>2009</v>
      </c>
      <c r="M3966">
        <v>6716905339</v>
      </c>
      <c r="N3966">
        <v>9450696873</v>
      </c>
      <c r="O3966" t="b">
        <v>0</v>
      </c>
      <c r="P3966">
        <v>1</v>
      </c>
      <c r="Q3966" t="str" cm="1">
        <f t="array" ref="Q3966">_xlfn.IFS(Table1[[#This Row],[Wealthier_Winner]]=-1,"Wealthier Nation Loses",Table1[[#This Row],[Wealthier_Winner]]=0,"Tie",Table1[[#This Row],[Wealthier_Winner]]=1,"Wealthier Nation Wins")</f>
        <v>Wealthier Nation Wins</v>
      </c>
    </row>
    <row r="3967" spans="1:17" x14ac:dyDescent="0.2">
      <c r="A3967" s="1">
        <v>5999</v>
      </c>
      <c r="B3967" s="2">
        <v>40097</v>
      </c>
      <c r="C3967" s="7">
        <f>_xlfn.FLOOR.MATH(Table1[[#This Row],[year]],10)</f>
        <v>2000</v>
      </c>
      <c r="D3967" t="s">
        <v>590</v>
      </c>
      <c r="E3967" t="s">
        <v>274</v>
      </c>
      <c r="F3967">
        <v>1</v>
      </c>
      <c r="G3967">
        <v>0</v>
      </c>
      <c r="H3967" t="s">
        <v>224</v>
      </c>
      <c r="I3967" t="s">
        <v>596</v>
      </c>
      <c r="J3967" t="s">
        <v>590</v>
      </c>
      <c r="K3967" t="b">
        <v>0</v>
      </c>
      <c r="L3967">
        <v>2009</v>
      </c>
      <c r="M3967">
        <v>12155217832</v>
      </c>
      <c r="N3967">
        <v>51621044076</v>
      </c>
      <c r="O3967" t="b">
        <v>1</v>
      </c>
      <c r="P3967">
        <v>-1</v>
      </c>
      <c r="Q3967" t="str" cm="1">
        <f t="array" ref="Q3967">_xlfn.IFS(Table1[[#This Row],[Wealthier_Winner]]=-1,"Wealthier Nation Loses",Table1[[#This Row],[Wealthier_Winner]]=0,"Tie",Table1[[#This Row],[Wealthier_Winner]]=1,"Wealthier Nation Wins")</f>
        <v>Wealthier Nation Loses</v>
      </c>
    </row>
    <row r="3968" spans="1:17" x14ac:dyDescent="0.2">
      <c r="A3968" s="1">
        <v>6000</v>
      </c>
      <c r="B3968" s="2">
        <v>40097</v>
      </c>
      <c r="C3968" s="7">
        <f>_xlfn.FLOOR.MATH(Table1[[#This Row],[year]],10)</f>
        <v>2000</v>
      </c>
      <c r="D3968" t="s">
        <v>43</v>
      </c>
      <c r="E3968" t="s">
        <v>300</v>
      </c>
      <c r="F3968">
        <v>1</v>
      </c>
      <c r="G3968">
        <v>0</v>
      </c>
      <c r="H3968" t="s">
        <v>224</v>
      </c>
      <c r="I3968" t="s">
        <v>657</v>
      </c>
      <c r="J3968" t="s">
        <v>43</v>
      </c>
      <c r="K3968" t="b">
        <v>0</v>
      </c>
      <c r="L3968">
        <v>2009</v>
      </c>
      <c r="M3968">
        <v>295008835380</v>
      </c>
      <c r="N3968">
        <v>12263894790</v>
      </c>
      <c r="O3968" t="b">
        <v>1</v>
      </c>
      <c r="P3968">
        <v>1</v>
      </c>
      <c r="Q3968" t="str" cm="1">
        <f t="array" ref="Q3968">_xlfn.IFS(Table1[[#This Row],[Wealthier_Winner]]=-1,"Wealthier Nation Loses",Table1[[#This Row],[Wealthier_Winner]]=0,"Tie",Table1[[#This Row],[Wealthier_Winner]]=1,"Wealthier Nation Wins")</f>
        <v>Wealthier Nation Wins</v>
      </c>
    </row>
    <row r="3969" spans="1:17" x14ac:dyDescent="0.2">
      <c r="A3969" s="1">
        <v>6001</v>
      </c>
      <c r="B3969" s="2">
        <v>40097</v>
      </c>
      <c r="C3969" s="7">
        <f>_xlfn.FLOOR.MATH(Table1[[#This Row],[year]],10)</f>
        <v>2000</v>
      </c>
      <c r="D3969" t="s">
        <v>47</v>
      </c>
      <c r="E3969" t="s">
        <v>13</v>
      </c>
      <c r="F3969">
        <v>2</v>
      </c>
      <c r="G3969">
        <v>1</v>
      </c>
      <c r="H3969" t="s">
        <v>224</v>
      </c>
      <c r="I3969" t="s">
        <v>246</v>
      </c>
      <c r="J3969" t="s">
        <v>47</v>
      </c>
      <c r="K3969" t="b">
        <v>0</v>
      </c>
      <c r="L3969">
        <v>2009</v>
      </c>
      <c r="M3969">
        <v>17339992193</v>
      </c>
      <c r="N3969">
        <v>1666996294252</v>
      </c>
      <c r="O3969" t="b">
        <v>1</v>
      </c>
      <c r="P3969">
        <v>-1</v>
      </c>
      <c r="Q3969" t="str" cm="1">
        <f t="array" ref="Q3969">_xlfn.IFS(Table1[[#This Row],[Wealthier_Winner]]=-1,"Wealthier Nation Loses",Table1[[#This Row],[Wealthier_Winner]]=0,"Tie",Table1[[#This Row],[Wealthier_Winner]]=1,"Wealthier Nation Wins")</f>
        <v>Wealthier Nation Loses</v>
      </c>
    </row>
    <row r="3970" spans="1:17" x14ac:dyDescent="0.2">
      <c r="A3970" s="1">
        <v>6002</v>
      </c>
      <c r="B3970" s="2">
        <v>40097</v>
      </c>
      <c r="C3970" s="7">
        <f>_xlfn.FLOOR.MATH(Table1[[#This Row],[year]],10)</f>
        <v>2000</v>
      </c>
      <c r="D3970" t="s">
        <v>53</v>
      </c>
      <c r="E3970" t="s">
        <v>314</v>
      </c>
      <c r="F3970">
        <v>1</v>
      </c>
      <c r="G3970">
        <v>0</v>
      </c>
      <c r="H3970" t="s">
        <v>224</v>
      </c>
      <c r="I3970" t="s">
        <v>284</v>
      </c>
      <c r="J3970" t="s">
        <v>53</v>
      </c>
      <c r="K3970" t="b">
        <v>0</v>
      </c>
      <c r="L3970">
        <v>2009</v>
      </c>
      <c r="M3970">
        <v>43455740497</v>
      </c>
      <c r="N3970">
        <v>42347217912</v>
      </c>
      <c r="O3970" t="b">
        <v>0</v>
      </c>
      <c r="P3970">
        <v>1</v>
      </c>
      <c r="Q3970" t="str" cm="1">
        <f t="array" ref="Q3970">_xlfn.IFS(Table1[[#This Row],[Wealthier_Winner]]=-1,"Wealthier Nation Loses",Table1[[#This Row],[Wealthier_Winner]]=0,"Tie",Table1[[#This Row],[Wealthier_Winner]]=1,"Wealthier Nation Wins")</f>
        <v>Wealthier Nation Wins</v>
      </c>
    </row>
    <row r="3971" spans="1:17" x14ac:dyDescent="0.2">
      <c r="A3971" s="1">
        <v>6003</v>
      </c>
      <c r="B3971" s="2">
        <v>40100</v>
      </c>
      <c r="C3971" s="7">
        <f>_xlfn.FLOOR.MATH(Table1[[#This Row],[year]],10)</f>
        <v>2000</v>
      </c>
      <c r="D3971" t="s">
        <v>601</v>
      </c>
      <c r="E3971" t="s">
        <v>64</v>
      </c>
      <c r="F3971">
        <v>0</v>
      </c>
      <c r="G3971">
        <v>6</v>
      </c>
      <c r="H3971" t="s">
        <v>224</v>
      </c>
      <c r="I3971" t="s">
        <v>602</v>
      </c>
      <c r="J3971" t="s">
        <v>601</v>
      </c>
      <c r="K3971" t="b">
        <v>0</v>
      </c>
      <c r="L3971">
        <v>2009</v>
      </c>
      <c r="M3971">
        <v>3688974807</v>
      </c>
      <c r="N3971">
        <v>121552153444</v>
      </c>
      <c r="O3971" t="b">
        <v>1</v>
      </c>
      <c r="P3971">
        <v>1</v>
      </c>
      <c r="Q3971" t="str" cm="1">
        <f t="array" ref="Q3971">_xlfn.IFS(Table1[[#This Row],[Wealthier_Winner]]=-1,"Wealthier Nation Loses",Table1[[#This Row],[Wealthier_Winner]]=0,"Tie",Table1[[#This Row],[Wealthier_Winner]]=1,"Wealthier Nation Wins")</f>
        <v>Wealthier Nation Wins</v>
      </c>
    </row>
    <row r="3972" spans="1:17" x14ac:dyDescent="0.2">
      <c r="A3972" s="1">
        <v>6004</v>
      </c>
      <c r="B3972" s="2">
        <v>40100</v>
      </c>
      <c r="C3972" s="7">
        <f>_xlfn.FLOOR.MATH(Table1[[#This Row],[year]],10)</f>
        <v>2000</v>
      </c>
      <c r="D3972" t="s">
        <v>513</v>
      </c>
      <c r="E3972" t="s">
        <v>196</v>
      </c>
      <c r="F3972">
        <v>1</v>
      </c>
      <c r="G3972">
        <v>1</v>
      </c>
      <c r="H3972" t="s">
        <v>224</v>
      </c>
      <c r="I3972" t="s">
        <v>521</v>
      </c>
      <c r="J3972" t="s">
        <v>513</v>
      </c>
      <c r="K3972" t="b">
        <v>0</v>
      </c>
      <c r="L3972">
        <v>2009</v>
      </c>
      <c r="M3972">
        <v>44292427184</v>
      </c>
      <c r="N3972">
        <v>1222645900055</v>
      </c>
      <c r="O3972" t="b">
        <v>1</v>
      </c>
      <c r="P3972">
        <v>0</v>
      </c>
      <c r="Q3972" t="str" cm="1">
        <f t="array" ref="Q3972">_xlfn.IFS(Table1[[#This Row],[Wealthier_Winner]]=-1,"Wealthier Nation Loses",Table1[[#This Row],[Wealthier_Winner]]=0,"Tie",Table1[[#This Row],[Wealthier_Winner]]=1,"Wealthier Nation Wins")</f>
        <v>Tie</v>
      </c>
    </row>
    <row r="3973" spans="1:17" x14ac:dyDescent="0.2">
      <c r="A3973" s="1">
        <v>6005</v>
      </c>
      <c r="B3973" s="2">
        <v>40100</v>
      </c>
      <c r="C3973" s="7">
        <f>_xlfn.FLOOR.MATH(Table1[[#This Row],[year]],10)</f>
        <v>2000</v>
      </c>
      <c r="D3973" t="s">
        <v>73</v>
      </c>
      <c r="E3973" t="s">
        <v>21</v>
      </c>
      <c r="F3973">
        <v>2</v>
      </c>
      <c r="G3973">
        <v>5</v>
      </c>
      <c r="H3973" t="s">
        <v>224</v>
      </c>
      <c r="I3973" t="s">
        <v>636</v>
      </c>
      <c r="J3973" t="s">
        <v>73</v>
      </c>
      <c r="K3973" t="b">
        <v>0</v>
      </c>
      <c r="L3973">
        <v>2009</v>
      </c>
      <c r="M3973">
        <v>17613949091</v>
      </c>
      <c r="N3973">
        <v>1496587590847</v>
      </c>
      <c r="O3973" t="b">
        <v>1</v>
      </c>
      <c r="P3973">
        <v>1</v>
      </c>
      <c r="Q3973" t="str" cm="1">
        <f t="array" ref="Q3973">_xlfn.IFS(Table1[[#This Row],[Wealthier_Winner]]=-1,"Wealthier Nation Loses",Table1[[#This Row],[Wealthier_Winner]]=0,"Tie",Table1[[#This Row],[Wealthier_Winner]]=1,"Wealthier Nation Wins")</f>
        <v>Wealthier Nation Wins</v>
      </c>
    </row>
    <row r="3974" spans="1:17" x14ac:dyDescent="0.2">
      <c r="A3974" s="1">
        <v>6006</v>
      </c>
      <c r="B3974" s="2">
        <v>40100</v>
      </c>
      <c r="C3974" s="7">
        <f>_xlfn.FLOOR.MATH(Table1[[#This Row],[year]],10)</f>
        <v>2000</v>
      </c>
      <c r="D3974" t="s">
        <v>13</v>
      </c>
      <c r="E3974" t="s">
        <v>258</v>
      </c>
      <c r="F3974">
        <v>0</v>
      </c>
      <c r="G3974">
        <v>0</v>
      </c>
      <c r="H3974" t="s">
        <v>224</v>
      </c>
      <c r="I3974" t="s">
        <v>732</v>
      </c>
      <c r="J3974" t="s">
        <v>13</v>
      </c>
      <c r="K3974" t="b">
        <v>0</v>
      </c>
      <c r="L3974">
        <v>2009</v>
      </c>
      <c r="M3974">
        <v>1666996294252</v>
      </c>
      <c r="N3974">
        <v>329787628928</v>
      </c>
      <c r="O3974" t="b">
        <v>1</v>
      </c>
      <c r="P3974">
        <v>0</v>
      </c>
      <c r="Q3974" t="str" cm="1">
        <f t="array" ref="Q3974">_xlfn.IFS(Table1[[#This Row],[Wealthier_Winner]]=-1,"Wealthier Nation Loses",Table1[[#This Row],[Wealthier_Winner]]=0,"Tie",Table1[[#This Row],[Wealthier_Winner]]=1,"Wealthier Nation Wins")</f>
        <v>Tie</v>
      </c>
    </row>
    <row r="3975" spans="1:17" x14ac:dyDescent="0.2">
      <c r="A3975" s="1">
        <v>6007</v>
      </c>
      <c r="B3975" s="2">
        <v>40100</v>
      </c>
      <c r="C3975" s="7">
        <f>_xlfn.FLOOR.MATH(Table1[[#This Row],[year]],10)</f>
        <v>2000</v>
      </c>
      <c r="D3975" t="s">
        <v>33</v>
      </c>
      <c r="E3975" t="s">
        <v>534</v>
      </c>
      <c r="F3975">
        <v>6</v>
      </c>
      <c r="G3975">
        <v>2</v>
      </c>
      <c r="H3975" t="s">
        <v>224</v>
      </c>
      <c r="I3975" t="s">
        <v>375</v>
      </c>
      <c r="J3975" t="s">
        <v>33</v>
      </c>
      <c r="K3975" t="b">
        <v>0</v>
      </c>
      <c r="L3975">
        <v>2009</v>
      </c>
      <c r="M3975">
        <v>52023801230</v>
      </c>
      <c r="N3975">
        <v>10766920065</v>
      </c>
      <c r="O3975" t="b">
        <v>1</v>
      </c>
      <c r="P3975">
        <v>1</v>
      </c>
      <c r="Q3975" t="str" cm="1">
        <f t="array" ref="Q3975">_xlfn.IFS(Table1[[#This Row],[Wealthier_Winner]]=-1,"Wealthier Nation Loses",Table1[[#This Row],[Wealthier_Winner]]=0,"Tie",Table1[[#This Row],[Wealthier_Winner]]=1,"Wealthier Nation Wins")</f>
        <v>Wealthier Nation Wins</v>
      </c>
    </row>
    <row r="3976" spans="1:17" x14ac:dyDescent="0.2">
      <c r="A3976" s="1">
        <v>6008</v>
      </c>
      <c r="B3976" s="2">
        <v>40100</v>
      </c>
      <c r="C3976" s="7">
        <f>_xlfn.FLOOR.MATH(Table1[[#This Row],[year]],10)</f>
        <v>2000</v>
      </c>
      <c r="D3976" t="s">
        <v>14</v>
      </c>
      <c r="E3976" t="s">
        <v>57</v>
      </c>
      <c r="F3976">
        <v>1</v>
      </c>
      <c r="G3976">
        <v>0</v>
      </c>
      <c r="H3976" t="s">
        <v>224</v>
      </c>
      <c r="I3976" t="s">
        <v>75</v>
      </c>
      <c r="J3976" t="s">
        <v>14</v>
      </c>
      <c r="K3976" t="b">
        <v>0</v>
      </c>
      <c r="L3976">
        <v>2009</v>
      </c>
      <c r="M3976">
        <v>171777900623</v>
      </c>
      <c r="N3976">
        <v>60094978000</v>
      </c>
      <c r="O3976" t="b">
        <v>1</v>
      </c>
      <c r="P3976">
        <v>1</v>
      </c>
      <c r="Q3976" t="str" cm="1">
        <f t="array" ref="Q3976">_xlfn.IFS(Table1[[#This Row],[Wealthier_Winner]]=-1,"Wealthier Nation Loses",Table1[[#This Row],[Wealthier_Winner]]=0,"Tie",Table1[[#This Row],[Wealthier_Winner]]=1,"Wealthier Nation Wins")</f>
        <v>Wealthier Nation Wins</v>
      </c>
    </row>
    <row r="3977" spans="1:17" x14ac:dyDescent="0.2">
      <c r="A3977" s="1">
        <v>6010</v>
      </c>
      <c r="B3977" s="2">
        <v>40100</v>
      </c>
      <c r="C3977" s="7">
        <f>_xlfn.FLOOR.MATH(Table1[[#This Row],[year]],10)</f>
        <v>2000</v>
      </c>
      <c r="D3977" t="s">
        <v>36</v>
      </c>
      <c r="E3977" t="s">
        <v>30</v>
      </c>
      <c r="F3977">
        <v>0</v>
      </c>
      <c r="G3977">
        <v>1</v>
      </c>
      <c r="H3977" t="s">
        <v>224</v>
      </c>
      <c r="I3977" t="s">
        <v>264</v>
      </c>
      <c r="J3977" t="s">
        <v>36</v>
      </c>
      <c r="K3977" t="b">
        <v>0</v>
      </c>
      <c r="L3977">
        <v>2009</v>
      </c>
      <c r="M3977">
        <v>322619152194</v>
      </c>
      <c r="N3977">
        <v>130807441076</v>
      </c>
      <c r="O3977" t="b">
        <v>1</v>
      </c>
      <c r="P3977">
        <v>-1</v>
      </c>
      <c r="Q3977" t="str" cm="1">
        <f t="array" ref="Q3977">_xlfn.IFS(Table1[[#This Row],[Wealthier_Winner]]=-1,"Wealthier Nation Loses",Table1[[#This Row],[Wealthier_Winner]]=0,"Tie",Table1[[#This Row],[Wealthier_Winner]]=1,"Wealthier Nation Wins")</f>
        <v>Wealthier Nation Loses</v>
      </c>
    </row>
    <row r="3978" spans="1:17" x14ac:dyDescent="0.2">
      <c r="A3978" s="1">
        <v>6011</v>
      </c>
      <c r="B3978" s="2">
        <v>40100</v>
      </c>
      <c r="C3978" s="7">
        <f>_xlfn.FLOOR.MATH(Table1[[#This Row],[year]],10)</f>
        <v>2000</v>
      </c>
      <c r="D3978" t="s">
        <v>69</v>
      </c>
      <c r="E3978" t="s">
        <v>65</v>
      </c>
      <c r="F3978">
        <v>0</v>
      </c>
      <c r="G3978">
        <v>1</v>
      </c>
      <c r="H3978" t="s">
        <v>224</v>
      </c>
      <c r="I3978" t="s">
        <v>281</v>
      </c>
      <c r="J3978" t="s">
        <v>69</v>
      </c>
      <c r="K3978" t="b">
        <v>0</v>
      </c>
      <c r="L3978">
        <v>2009</v>
      </c>
      <c r="M3978">
        <v>17601620000</v>
      </c>
      <c r="N3978">
        <v>14587496229</v>
      </c>
      <c r="O3978" t="b">
        <v>0</v>
      </c>
      <c r="P3978">
        <v>-1</v>
      </c>
      <c r="Q3978" t="str" cm="1">
        <f t="array" ref="Q3978">_xlfn.IFS(Table1[[#This Row],[Wealthier_Winner]]=-1,"Wealthier Nation Loses",Table1[[#This Row],[Wealthier_Winner]]=0,"Tie",Table1[[#This Row],[Wealthier_Winner]]=1,"Wealthier Nation Wins")</f>
        <v>Wealthier Nation Loses</v>
      </c>
    </row>
    <row r="3979" spans="1:17" x14ac:dyDescent="0.2">
      <c r="A3979" s="1">
        <v>6012</v>
      </c>
      <c r="B3979" s="2">
        <v>40100</v>
      </c>
      <c r="C3979" s="7">
        <f>_xlfn.FLOOR.MATH(Table1[[#This Row],[year]],10)</f>
        <v>2000</v>
      </c>
      <c r="D3979" t="s">
        <v>194</v>
      </c>
      <c r="E3979" t="s">
        <v>510</v>
      </c>
      <c r="F3979">
        <v>3</v>
      </c>
      <c r="G3979">
        <v>0</v>
      </c>
      <c r="H3979" t="s">
        <v>224</v>
      </c>
      <c r="I3979" t="s">
        <v>80</v>
      </c>
      <c r="J3979" t="s">
        <v>194</v>
      </c>
      <c r="K3979" t="b">
        <v>0</v>
      </c>
      <c r="L3979">
        <v>2009</v>
      </c>
      <c r="M3979">
        <v>2429358155475</v>
      </c>
      <c r="N3979">
        <v>50873167326</v>
      </c>
      <c r="O3979" t="b">
        <v>1</v>
      </c>
      <c r="P3979">
        <v>1</v>
      </c>
      <c r="Q3979" t="str" cm="1">
        <f t="array" ref="Q3979">_xlfn.IFS(Table1[[#This Row],[Wealthier_Winner]]=-1,"Wealthier Nation Loses",Table1[[#This Row],[Wealthier_Winner]]=0,"Tie",Table1[[#This Row],[Wealthier_Winner]]=1,"Wealthier Nation Wins")</f>
        <v>Wealthier Nation Wins</v>
      </c>
    </row>
    <row r="3980" spans="1:17" x14ac:dyDescent="0.2">
      <c r="A3980" s="1">
        <v>6013</v>
      </c>
      <c r="B3980" s="2">
        <v>40100</v>
      </c>
      <c r="C3980" s="7">
        <f>_xlfn.FLOOR.MATH(Table1[[#This Row],[year]],10)</f>
        <v>2000</v>
      </c>
      <c r="D3980" t="s">
        <v>476</v>
      </c>
      <c r="E3980" t="s">
        <v>23</v>
      </c>
      <c r="F3980">
        <v>2</v>
      </c>
      <c r="G3980">
        <v>0</v>
      </c>
      <c r="H3980" t="s">
        <v>224</v>
      </c>
      <c r="I3980" t="s">
        <v>481</v>
      </c>
      <c r="J3980" t="s">
        <v>476</v>
      </c>
      <c r="K3980" t="b">
        <v>0</v>
      </c>
      <c r="L3980">
        <v>2009</v>
      </c>
      <c r="M3980">
        <v>19633984440</v>
      </c>
      <c r="N3980">
        <v>485014525992</v>
      </c>
      <c r="O3980" t="b">
        <v>1</v>
      </c>
      <c r="P3980">
        <v>-1</v>
      </c>
      <c r="Q3980" t="str" cm="1">
        <f t="array" ref="Q3980">_xlfn.IFS(Table1[[#This Row],[Wealthier_Winner]]=-1,"Wealthier Nation Loses",Table1[[#This Row],[Wealthier_Winner]]=0,"Tie",Table1[[#This Row],[Wealthier_Winner]]=1,"Wealthier Nation Wins")</f>
        <v>Wealthier Nation Loses</v>
      </c>
    </row>
    <row r="3981" spans="1:17" x14ac:dyDescent="0.2">
      <c r="A3981" s="1">
        <v>6014</v>
      </c>
      <c r="B3981" s="2">
        <v>40100</v>
      </c>
      <c r="C3981" s="7">
        <f>_xlfn.FLOOR.MATH(Table1[[#This Row],[year]],10)</f>
        <v>2000</v>
      </c>
      <c r="D3981" t="s">
        <v>20</v>
      </c>
      <c r="E3981" t="s">
        <v>29</v>
      </c>
      <c r="F3981">
        <v>3</v>
      </c>
      <c r="G3981">
        <v>1</v>
      </c>
      <c r="H3981" t="s">
        <v>224</v>
      </c>
      <c r="I3981" t="s">
        <v>132</v>
      </c>
      <c r="J3981" t="s">
        <v>20</v>
      </c>
      <c r="K3981" t="b">
        <v>0</v>
      </c>
      <c r="L3981">
        <v>2009</v>
      </c>
      <c r="M3981">
        <v>2700075882518</v>
      </c>
      <c r="N3981">
        <v>399290118782</v>
      </c>
      <c r="O3981" t="b">
        <v>1</v>
      </c>
      <c r="P3981">
        <v>1</v>
      </c>
      <c r="Q3981" t="str" cm="1">
        <f t="array" ref="Q3981">_xlfn.IFS(Table1[[#This Row],[Wealthier_Winner]]=-1,"Wealthier Nation Loses",Table1[[#This Row],[Wealthier_Winner]]=0,"Tie",Table1[[#This Row],[Wealthier_Winner]]=1,"Wealthier Nation Wins")</f>
        <v>Wealthier Nation Wins</v>
      </c>
    </row>
    <row r="3982" spans="1:17" x14ac:dyDescent="0.2">
      <c r="A3982" s="1">
        <v>6015</v>
      </c>
      <c r="B3982" s="2">
        <v>40100</v>
      </c>
      <c r="C3982" s="7">
        <f>_xlfn.FLOOR.MATH(Table1[[#This Row],[year]],10)</f>
        <v>2000</v>
      </c>
      <c r="D3982" t="s">
        <v>16</v>
      </c>
      <c r="E3982" t="s">
        <v>230</v>
      </c>
      <c r="F3982">
        <v>1</v>
      </c>
      <c r="G3982">
        <v>1</v>
      </c>
      <c r="H3982" t="s">
        <v>224</v>
      </c>
      <c r="I3982" t="s">
        <v>89</v>
      </c>
      <c r="J3982" t="s">
        <v>16</v>
      </c>
      <c r="K3982" t="b">
        <v>0</v>
      </c>
      <c r="L3982">
        <v>2009</v>
      </c>
      <c r="M3982">
        <v>3478545516683</v>
      </c>
      <c r="N3982">
        <v>253480783439</v>
      </c>
      <c r="O3982" t="b">
        <v>1</v>
      </c>
      <c r="P3982">
        <v>0</v>
      </c>
      <c r="Q3982" t="str" cm="1">
        <f t="array" ref="Q3982">_xlfn.IFS(Table1[[#This Row],[Wealthier_Winner]]=-1,"Wealthier Nation Loses",Table1[[#This Row],[Wealthier_Winner]]=0,"Tie",Table1[[#This Row],[Wealthier_Winner]]=1,"Wealthier Nation Wins")</f>
        <v>Tie</v>
      </c>
    </row>
    <row r="3983" spans="1:17" x14ac:dyDescent="0.2">
      <c r="A3983" s="1">
        <v>6016</v>
      </c>
      <c r="B3983" s="2">
        <v>40100</v>
      </c>
      <c r="C3983" s="7">
        <f>_xlfn.FLOOR.MATH(Table1[[#This Row],[year]],10)</f>
        <v>2000</v>
      </c>
      <c r="D3983" t="s">
        <v>48</v>
      </c>
      <c r="E3983" t="s">
        <v>232</v>
      </c>
      <c r="F3983">
        <v>2</v>
      </c>
      <c r="G3983">
        <v>1</v>
      </c>
      <c r="H3983" t="s">
        <v>224</v>
      </c>
      <c r="I3983" t="s">
        <v>236</v>
      </c>
      <c r="J3983" t="s">
        <v>48</v>
      </c>
      <c r="K3983" t="b">
        <v>0</v>
      </c>
      <c r="L3983">
        <v>2009</v>
      </c>
      <c r="M3983">
        <v>326829054686</v>
      </c>
      <c r="N3983">
        <v>54467289897</v>
      </c>
      <c r="O3983" t="b">
        <v>1</v>
      </c>
      <c r="P3983">
        <v>1</v>
      </c>
      <c r="Q3983" t="str" cm="1">
        <f t="array" ref="Q3983">_xlfn.IFS(Table1[[#This Row],[Wealthier_Winner]]=-1,"Wealthier Nation Loses",Table1[[#This Row],[Wealthier_Winner]]=0,"Tie",Table1[[#This Row],[Wealthier_Winner]]=1,"Wealthier Nation Wins")</f>
        <v>Wealthier Nation Wins</v>
      </c>
    </row>
    <row r="3984" spans="1:17" x14ac:dyDescent="0.2">
      <c r="A3984" s="1">
        <v>6018</v>
      </c>
      <c r="B3984" s="2">
        <v>40100</v>
      </c>
      <c r="C3984" s="7">
        <f>_xlfn.FLOOR.MATH(Table1[[#This Row],[year]],10)</f>
        <v>2000</v>
      </c>
      <c r="D3984" t="s">
        <v>18</v>
      </c>
      <c r="E3984" t="s">
        <v>351</v>
      </c>
      <c r="F3984">
        <v>3</v>
      </c>
      <c r="G3984">
        <v>2</v>
      </c>
      <c r="H3984" t="s">
        <v>224</v>
      </c>
      <c r="I3984" t="s">
        <v>634</v>
      </c>
      <c r="J3984" t="s">
        <v>18</v>
      </c>
      <c r="K3984" t="b">
        <v>0</v>
      </c>
      <c r="L3984">
        <v>2009</v>
      </c>
      <c r="M3984">
        <v>2209484319012</v>
      </c>
      <c r="N3984">
        <v>26048179949</v>
      </c>
      <c r="O3984" t="b">
        <v>1</v>
      </c>
      <c r="P3984">
        <v>1</v>
      </c>
      <c r="Q3984" t="str" cm="1">
        <f t="array" ref="Q3984">_xlfn.IFS(Table1[[#This Row],[Wealthier_Winner]]=-1,"Wealthier Nation Loses",Table1[[#This Row],[Wealthier_Winner]]=0,"Tie",Table1[[#This Row],[Wealthier_Winner]]=1,"Wealthier Nation Wins")</f>
        <v>Wealthier Nation Wins</v>
      </c>
    </row>
    <row r="3985" spans="1:17" x14ac:dyDescent="0.2">
      <c r="A3985" s="1">
        <v>6019</v>
      </c>
      <c r="B3985" s="2">
        <v>40100</v>
      </c>
      <c r="C3985" s="7">
        <f>_xlfn.FLOOR.MATH(Table1[[#This Row],[year]],10)</f>
        <v>2000</v>
      </c>
      <c r="D3985" t="s">
        <v>558</v>
      </c>
      <c r="E3985" t="s">
        <v>52</v>
      </c>
      <c r="F3985">
        <v>1</v>
      </c>
      <c r="G3985">
        <v>2</v>
      </c>
      <c r="H3985" t="s">
        <v>224</v>
      </c>
      <c r="I3985" t="s">
        <v>733</v>
      </c>
      <c r="J3985" t="s">
        <v>558</v>
      </c>
      <c r="K3985" t="b">
        <v>0</v>
      </c>
      <c r="L3985">
        <v>2009</v>
      </c>
      <c r="M3985">
        <v>115308686941</v>
      </c>
      <c r="N3985">
        <v>62315996674</v>
      </c>
      <c r="O3985" t="b">
        <v>0</v>
      </c>
      <c r="P3985">
        <v>-1</v>
      </c>
      <c r="Q3985" t="str" cm="1">
        <f t="array" ref="Q3985">_xlfn.IFS(Table1[[#This Row],[Wealthier_Winner]]=-1,"Wealthier Nation Loses",Table1[[#This Row],[Wealthier_Winner]]=0,"Tie",Table1[[#This Row],[Wealthier_Winner]]=1,"Wealthier Nation Wins")</f>
        <v>Wealthier Nation Loses</v>
      </c>
    </row>
    <row r="3986" spans="1:17" x14ac:dyDescent="0.2">
      <c r="A3986" s="1">
        <v>6020</v>
      </c>
      <c r="B3986" s="2">
        <v>40100</v>
      </c>
      <c r="C3986" s="7">
        <f>_xlfn.FLOOR.MATH(Table1[[#This Row],[year]],10)</f>
        <v>2000</v>
      </c>
      <c r="D3986" t="s">
        <v>525</v>
      </c>
      <c r="E3986" t="s">
        <v>527</v>
      </c>
      <c r="F3986">
        <v>3</v>
      </c>
      <c r="G3986">
        <v>2</v>
      </c>
      <c r="H3986" t="s">
        <v>224</v>
      </c>
      <c r="I3986" t="s">
        <v>526</v>
      </c>
      <c r="J3986" t="s">
        <v>525</v>
      </c>
      <c r="K3986" t="b">
        <v>0</v>
      </c>
      <c r="L3986">
        <v>2009</v>
      </c>
      <c r="M3986">
        <v>25691530442</v>
      </c>
      <c r="N3986">
        <v>5439434271</v>
      </c>
      <c r="O3986" t="b">
        <v>1</v>
      </c>
      <c r="P3986">
        <v>1</v>
      </c>
      <c r="Q3986" t="str" cm="1">
        <f t="array" ref="Q3986">_xlfn.IFS(Table1[[#This Row],[Wealthier_Winner]]=-1,"Wealthier Nation Loses",Table1[[#This Row],[Wealthier_Winner]]=0,"Tie",Table1[[#This Row],[Wealthier_Winner]]=1,"Wealthier Nation Wins")</f>
        <v>Wealthier Nation Wins</v>
      </c>
    </row>
    <row r="3987" spans="1:17" x14ac:dyDescent="0.2">
      <c r="A3987" s="1">
        <v>6022</v>
      </c>
      <c r="B3987" s="2">
        <v>40100</v>
      </c>
      <c r="C3987" s="7">
        <f>_xlfn.FLOOR.MATH(Table1[[#This Row],[year]],10)</f>
        <v>2000</v>
      </c>
      <c r="D3987" t="s">
        <v>523</v>
      </c>
      <c r="E3987" t="s">
        <v>61</v>
      </c>
      <c r="F3987">
        <v>2</v>
      </c>
      <c r="G3987">
        <v>1</v>
      </c>
      <c r="H3987" t="s">
        <v>224</v>
      </c>
      <c r="I3987" t="s">
        <v>711</v>
      </c>
      <c r="J3987" t="s">
        <v>523</v>
      </c>
      <c r="K3987" t="b">
        <v>0</v>
      </c>
      <c r="L3987">
        <v>2009</v>
      </c>
      <c r="M3987">
        <v>37494380038</v>
      </c>
      <c r="N3987">
        <v>46955984409</v>
      </c>
      <c r="O3987" t="b">
        <v>0</v>
      </c>
      <c r="P3987">
        <v>-1</v>
      </c>
      <c r="Q3987" t="str" cm="1">
        <f t="array" ref="Q3987">_xlfn.IFS(Table1[[#This Row],[Wealthier_Winner]]=-1,"Wealthier Nation Loses",Table1[[#This Row],[Wealthier_Winner]]=0,"Tie",Table1[[#This Row],[Wealthier_Winner]]=1,"Wealthier Nation Wins")</f>
        <v>Wealthier Nation Loses</v>
      </c>
    </row>
    <row r="3988" spans="1:17" x14ac:dyDescent="0.2">
      <c r="A3988" s="1">
        <v>6023</v>
      </c>
      <c r="B3988" s="2">
        <v>40100</v>
      </c>
      <c r="C3988" s="7">
        <f>_xlfn.FLOOR.MATH(Table1[[#This Row],[year]],10)</f>
        <v>2000</v>
      </c>
      <c r="D3988" t="s">
        <v>35</v>
      </c>
      <c r="E3988" t="s">
        <v>15</v>
      </c>
      <c r="F3988">
        <v>0</v>
      </c>
      <c r="G3988">
        <v>2</v>
      </c>
      <c r="H3988" t="s">
        <v>224</v>
      </c>
      <c r="I3988" t="s">
        <v>250</v>
      </c>
      <c r="J3988" t="s">
        <v>35</v>
      </c>
      <c r="K3988" t="b">
        <v>0</v>
      </c>
      <c r="L3988">
        <v>2009</v>
      </c>
      <c r="M3988">
        <v>22355151162</v>
      </c>
      <c r="N3988">
        <v>232468663109</v>
      </c>
      <c r="O3988" t="b">
        <v>1</v>
      </c>
      <c r="P3988">
        <v>1</v>
      </c>
      <c r="Q3988" t="str" cm="1">
        <f t="array" ref="Q3988">_xlfn.IFS(Table1[[#This Row],[Wealthier_Winner]]=-1,"Wealthier Nation Loses",Table1[[#This Row],[Wealthier_Winner]]=0,"Tie",Table1[[#This Row],[Wealthier_Winner]]=1,"Wealthier Nation Wins")</f>
        <v>Wealthier Nation Wins</v>
      </c>
    </row>
    <row r="3989" spans="1:17" x14ac:dyDescent="0.2">
      <c r="A3989" s="1">
        <v>6024</v>
      </c>
      <c r="B3989" s="2">
        <v>40100</v>
      </c>
      <c r="C3989" s="7">
        <f>_xlfn.FLOOR.MATH(Table1[[#This Row],[year]],10)</f>
        <v>2000</v>
      </c>
      <c r="D3989" t="s">
        <v>31</v>
      </c>
      <c r="E3989" t="s">
        <v>47</v>
      </c>
      <c r="F3989">
        <v>1</v>
      </c>
      <c r="G3989">
        <v>0</v>
      </c>
      <c r="H3989" t="s">
        <v>224</v>
      </c>
      <c r="I3989" t="s">
        <v>242</v>
      </c>
      <c r="J3989" t="s">
        <v>31</v>
      </c>
      <c r="K3989" t="b">
        <v>0</v>
      </c>
      <c r="L3989">
        <v>2009</v>
      </c>
      <c r="M3989">
        <v>120822986521</v>
      </c>
      <c r="N3989">
        <v>17339992193</v>
      </c>
      <c r="O3989" t="b">
        <v>1</v>
      </c>
      <c r="P3989">
        <v>1</v>
      </c>
      <c r="Q3989" t="str" cm="1">
        <f t="array" ref="Q3989">_xlfn.IFS(Table1[[#This Row],[Wealthier_Winner]]=-1,"Wealthier Nation Loses",Table1[[#This Row],[Wealthier_Winner]]=0,"Tie",Table1[[#This Row],[Wealthier_Winner]]=1,"Wealthier Nation Wins")</f>
        <v>Wealthier Nation Wins</v>
      </c>
    </row>
    <row r="3990" spans="1:17" x14ac:dyDescent="0.2">
      <c r="A3990" s="1">
        <v>6026</v>
      </c>
      <c r="B3990" s="2">
        <v>40100</v>
      </c>
      <c r="C3990" s="7">
        <f>_xlfn.FLOOR.MATH(Table1[[#This Row],[year]],10)</f>
        <v>2000</v>
      </c>
      <c r="D3990" t="s">
        <v>38</v>
      </c>
      <c r="E3990" t="s">
        <v>303</v>
      </c>
      <c r="F3990">
        <v>4</v>
      </c>
      <c r="G3990">
        <v>0</v>
      </c>
      <c r="H3990" t="s">
        <v>224</v>
      </c>
      <c r="I3990" t="s">
        <v>734</v>
      </c>
      <c r="J3990" t="s">
        <v>38</v>
      </c>
      <c r="K3990" t="b">
        <v>0</v>
      </c>
      <c r="L3990">
        <v>2009</v>
      </c>
      <c r="M3990">
        <v>244667762835</v>
      </c>
      <c r="N3990">
        <v>8734745697</v>
      </c>
      <c r="O3990" t="b">
        <v>1</v>
      </c>
      <c r="P3990">
        <v>1</v>
      </c>
      <c r="Q3990" t="str" cm="1">
        <f t="array" ref="Q3990">_xlfn.IFS(Table1[[#This Row],[Wealthier_Winner]]=-1,"Wealthier Nation Loses",Table1[[#This Row],[Wealthier_Winner]]=0,"Tie",Table1[[#This Row],[Wealthier_Winner]]=1,"Wealthier Nation Wins")</f>
        <v>Wealthier Nation Wins</v>
      </c>
    </row>
    <row r="3991" spans="1:17" x14ac:dyDescent="0.2">
      <c r="A3991" s="1">
        <v>6027</v>
      </c>
      <c r="B3991" s="2">
        <v>40100</v>
      </c>
      <c r="C3991" s="7">
        <f>_xlfn.FLOOR.MATH(Table1[[#This Row],[year]],10)</f>
        <v>2000</v>
      </c>
      <c r="D3991" t="s">
        <v>44</v>
      </c>
      <c r="E3991" t="s">
        <v>447</v>
      </c>
      <c r="F3991">
        <v>3</v>
      </c>
      <c r="G3991">
        <v>1</v>
      </c>
      <c r="H3991" t="s">
        <v>224</v>
      </c>
      <c r="I3991" t="s">
        <v>735</v>
      </c>
      <c r="J3991" t="s">
        <v>44</v>
      </c>
      <c r="K3991" t="b">
        <v>0</v>
      </c>
      <c r="L3991">
        <v>2009</v>
      </c>
      <c r="M3991">
        <v>174110532658</v>
      </c>
      <c r="N3991">
        <v>2296065170</v>
      </c>
      <c r="O3991" t="b">
        <v>1</v>
      </c>
      <c r="P3991">
        <v>1</v>
      </c>
      <c r="Q3991" t="str" cm="1">
        <f t="array" ref="Q3991">_xlfn.IFS(Table1[[#This Row],[Wealthier_Winner]]=-1,"Wealthier Nation Loses",Table1[[#This Row],[Wealthier_Winner]]=0,"Tie",Table1[[#This Row],[Wealthier_Winner]]=1,"Wealthier Nation Wins")</f>
        <v>Wealthier Nation Wins</v>
      </c>
    </row>
    <row r="3992" spans="1:17" x14ac:dyDescent="0.2">
      <c r="A3992" s="1">
        <v>6028</v>
      </c>
      <c r="B3992" s="2">
        <v>40100</v>
      </c>
      <c r="C3992" s="7">
        <f>_xlfn.FLOOR.MATH(Table1[[#This Row],[year]],10)</f>
        <v>2000</v>
      </c>
      <c r="D3992" t="s">
        <v>549</v>
      </c>
      <c r="E3992" t="s">
        <v>55</v>
      </c>
      <c r="F3992">
        <v>0</v>
      </c>
      <c r="G3992">
        <v>3</v>
      </c>
      <c r="H3992" t="s">
        <v>224</v>
      </c>
      <c r="I3992" t="s">
        <v>555</v>
      </c>
      <c r="J3992" t="s">
        <v>549</v>
      </c>
      <c r="K3992" t="b">
        <v>0</v>
      </c>
      <c r="L3992">
        <v>2009</v>
      </c>
      <c r="M3992">
        <v>2064277126</v>
      </c>
      <c r="N3992">
        <v>49975540954</v>
      </c>
      <c r="O3992" t="b">
        <v>1</v>
      </c>
      <c r="P3992">
        <v>1</v>
      </c>
      <c r="Q3992" t="str" cm="1">
        <f t="array" ref="Q3992">_xlfn.IFS(Table1[[#This Row],[Wealthier_Winner]]=-1,"Wealthier Nation Loses",Table1[[#This Row],[Wealthier_Winner]]=0,"Tie",Table1[[#This Row],[Wealthier_Winner]]=1,"Wealthier Nation Wins")</f>
        <v>Wealthier Nation Wins</v>
      </c>
    </row>
    <row r="3993" spans="1:17" x14ac:dyDescent="0.2">
      <c r="A3993" s="1">
        <v>6029</v>
      </c>
      <c r="B3993" s="2">
        <v>40100</v>
      </c>
      <c r="C3993" s="7">
        <f>_xlfn.FLOOR.MATH(Table1[[#This Row],[year]],10)</f>
        <v>2000</v>
      </c>
      <c r="D3993" t="s">
        <v>25</v>
      </c>
      <c r="E3993" t="s">
        <v>373</v>
      </c>
      <c r="F3993">
        <v>4</v>
      </c>
      <c r="G3993">
        <v>1</v>
      </c>
      <c r="H3993" t="s">
        <v>224</v>
      </c>
      <c r="I3993" t="s">
        <v>233</v>
      </c>
      <c r="J3993" t="s">
        <v>25</v>
      </c>
      <c r="K3993" t="b">
        <v>0</v>
      </c>
      <c r="L3993">
        <v>2009</v>
      </c>
      <c r="M3993">
        <v>434311714442</v>
      </c>
      <c r="N3993">
        <v>12335540656</v>
      </c>
      <c r="O3993" t="b">
        <v>1</v>
      </c>
      <c r="P3993">
        <v>1</v>
      </c>
      <c r="Q3993" t="str" cm="1">
        <f t="array" ref="Q3993">_xlfn.IFS(Table1[[#This Row],[Wealthier_Winner]]=-1,"Wealthier Nation Loses",Table1[[#This Row],[Wealthier_Winner]]=0,"Tie",Table1[[#This Row],[Wealthier_Winner]]=1,"Wealthier Nation Wins")</f>
        <v>Wealthier Nation Wins</v>
      </c>
    </row>
    <row r="3994" spans="1:17" x14ac:dyDescent="0.2">
      <c r="A3994" s="1">
        <v>6030</v>
      </c>
      <c r="B3994" s="2">
        <v>40100</v>
      </c>
      <c r="C3994" s="7">
        <f>_xlfn.FLOOR.MATH(Table1[[#This Row],[year]],10)</f>
        <v>2000</v>
      </c>
      <c r="D3994" t="s">
        <v>46</v>
      </c>
      <c r="E3994" t="s">
        <v>22</v>
      </c>
      <c r="F3994">
        <v>0</v>
      </c>
      <c r="G3994">
        <v>0</v>
      </c>
      <c r="H3994" t="s">
        <v>224</v>
      </c>
      <c r="I3994" t="s">
        <v>269</v>
      </c>
      <c r="J3994" t="s">
        <v>46</v>
      </c>
      <c r="K3994" t="b">
        <v>0</v>
      </c>
      <c r="L3994">
        <v>2009</v>
      </c>
      <c r="M3994">
        <v>554212916092</v>
      </c>
      <c r="N3994">
        <v>213403181852</v>
      </c>
      <c r="O3994" t="b">
        <v>1</v>
      </c>
      <c r="P3994">
        <v>0</v>
      </c>
      <c r="Q3994" t="str" cm="1">
        <f t="array" ref="Q3994">_xlfn.IFS(Table1[[#This Row],[Wealthier_Winner]]=-1,"Wealthier Nation Loses",Table1[[#This Row],[Wealthier_Winner]]=0,"Tie",Table1[[#This Row],[Wealthier_Winner]]=1,"Wealthier Nation Wins")</f>
        <v>Tie</v>
      </c>
    </row>
    <row r="3995" spans="1:17" x14ac:dyDescent="0.2">
      <c r="A3995" s="1">
        <v>6031</v>
      </c>
      <c r="B3995" s="2">
        <v>40100</v>
      </c>
      <c r="C3995" s="7">
        <f>_xlfn.FLOOR.MATH(Table1[[#This Row],[year]],10)</f>
        <v>2000</v>
      </c>
      <c r="D3995" t="s">
        <v>59</v>
      </c>
      <c r="E3995" t="s">
        <v>17</v>
      </c>
      <c r="F3995">
        <v>2</v>
      </c>
      <c r="G3995">
        <v>2</v>
      </c>
      <c r="H3995" t="s">
        <v>224</v>
      </c>
      <c r="I3995" t="s">
        <v>253</v>
      </c>
      <c r="J3995" t="s">
        <v>59</v>
      </c>
      <c r="K3995" t="b">
        <v>0</v>
      </c>
      <c r="L3995">
        <v>2009</v>
      </c>
      <c r="M3995">
        <v>19172165225</v>
      </c>
      <c r="N3995">
        <v>943437415024</v>
      </c>
      <c r="O3995" t="b">
        <v>1</v>
      </c>
      <c r="P3995">
        <v>0</v>
      </c>
      <c r="Q3995" t="str" cm="1">
        <f t="array" ref="Q3995">_xlfn.IFS(Table1[[#This Row],[Wealthier_Winner]]=-1,"Wealthier Nation Loses",Table1[[#This Row],[Wealthier_Winner]]=0,"Tie",Table1[[#This Row],[Wealthier_Winner]]=1,"Wealthier Nation Wins")</f>
        <v>Tie</v>
      </c>
    </row>
    <row r="3996" spans="1:17" x14ac:dyDescent="0.2">
      <c r="A3996" s="1">
        <v>6033</v>
      </c>
      <c r="B3996" s="2">
        <v>40100</v>
      </c>
      <c r="C3996" s="7">
        <f>_xlfn.FLOOR.MATH(Table1[[#This Row],[year]],10)</f>
        <v>2000</v>
      </c>
      <c r="D3996" t="s">
        <v>26</v>
      </c>
      <c r="E3996" t="s">
        <v>19</v>
      </c>
      <c r="F3996">
        <v>0</v>
      </c>
      <c r="G3996">
        <v>1</v>
      </c>
      <c r="H3996" t="s">
        <v>224</v>
      </c>
      <c r="I3996" t="s">
        <v>247</v>
      </c>
      <c r="J3996" t="s">
        <v>26</v>
      </c>
      <c r="K3996" t="b">
        <v>0</v>
      </c>
      <c r="L3996">
        <v>2009</v>
      </c>
      <c r="M3996">
        <v>32708319077</v>
      </c>
      <c r="N3996">
        <v>332976484577</v>
      </c>
      <c r="O3996" t="b">
        <v>1</v>
      </c>
      <c r="P3996">
        <v>1</v>
      </c>
      <c r="Q3996" t="str" cm="1">
        <f t="array" ref="Q3996">_xlfn.IFS(Table1[[#This Row],[Wealthier_Winner]]=-1,"Wealthier Nation Loses",Table1[[#This Row],[Wealthier_Winner]]=0,"Tie",Table1[[#This Row],[Wealthier_Winner]]=1,"Wealthier Nation Wins")</f>
        <v>Wealthier Nation Wins</v>
      </c>
    </row>
    <row r="3997" spans="1:17" x14ac:dyDescent="0.2">
      <c r="A3997" s="1">
        <v>6034</v>
      </c>
      <c r="B3997" s="2">
        <v>40100</v>
      </c>
      <c r="C3997" s="7">
        <f>_xlfn.FLOOR.MATH(Table1[[#This Row],[year]],10)</f>
        <v>2000</v>
      </c>
      <c r="D3997" t="s">
        <v>41</v>
      </c>
      <c r="E3997" t="s">
        <v>56</v>
      </c>
      <c r="F3997">
        <v>2</v>
      </c>
      <c r="G3997">
        <v>2</v>
      </c>
      <c r="H3997" t="s">
        <v>224</v>
      </c>
      <c r="I3997" t="s">
        <v>122</v>
      </c>
      <c r="J3997" t="s">
        <v>41</v>
      </c>
      <c r="K3997" t="b">
        <v>0</v>
      </c>
      <c r="L3997">
        <v>2009</v>
      </c>
      <c r="M3997">
        <v>14478064934000</v>
      </c>
      <c r="N3997">
        <v>30745714312</v>
      </c>
      <c r="O3997" t="b">
        <v>1</v>
      </c>
      <c r="P3997">
        <v>0</v>
      </c>
      <c r="Q3997" t="str" cm="1">
        <f t="array" ref="Q3997">_xlfn.IFS(Table1[[#This Row],[Wealthier_Winner]]=-1,"Wealthier Nation Loses",Table1[[#This Row],[Wealthier_Winner]]=0,"Tie",Table1[[#This Row],[Wealthier_Winner]]=1,"Wealthier Nation Wins")</f>
        <v>Tie</v>
      </c>
    </row>
    <row r="3998" spans="1:17" x14ac:dyDescent="0.2">
      <c r="A3998" s="1">
        <v>6035</v>
      </c>
      <c r="B3998" s="2">
        <v>40131</v>
      </c>
      <c r="C3998" s="7">
        <f>_xlfn.FLOOR.MATH(Table1[[#This Row],[year]],10)</f>
        <v>2000</v>
      </c>
      <c r="D3998" t="s">
        <v>345</v>
      </c>
      <c r="E3998" t="s">
        <v>370</v>
      </c>
      <c r="F3998">
        <v>1</v>
      </c>
      <c r="G3998">
        <v>0</v>
      </c>
      <c r="H3998" t="s">
        <v>224</v>
      </c>
      <c r="I3998" t="s">
        <v>347</v>
      </c>
      <c r="J3998" t="s">
        <v>345</v>
      </c>
      <c r="K3998" t="b">
        <v>0</v>
      </c>
      <c r="L3998">
        <v>2009</v>
      </c>
      <c r="M3998">
        <v>9450696873</v>
      </c>
      <c r="N3998">
        <v>9009887946</v>
      </c>
      <c r="O3998" t="b">
        <v>0</v>
      </c>
      <c r="P3998">
        <v>1</v>
      </c>
      <c r="Q3998" t="str" cm="1">
        <f t="array" ref="Q3998">_xlfn.IFS(Table1[[#This Row],[Wealthier_Winner]]=-1,"Wealthier Nation Loses",Table1[[#This Row],[Wealthier_Winner]]=0,"Tie",Table1[[#This Row],[Wealthier_Winner]]=1,"Wealthier Nation Wins")</f>
        <v>Wealthier Nation Wins</v>
      </c>
    </row>
    <row r="3999" spans="1:17" x14ac:dyDescent="0.2">
      <c r="A3999" s="1">
        <v>6036</v>
      </c>
      <c r="B3999" s="2">
        <v>40131</v>
      </c>
      <c r="C3999" s="7">
        <f>_xlfn.FLOOR.MATH(Table1[[#This Row],[year]],10)</f>
        <v>2000</v>
      </c>
      <c r="D3999" t="s">
        <v>56</v>
      </c>
      <c r="E3999" t="s">
        <v>26</v>
      </c>
      <c r="F3999">
        <v>0</v>
      </c>
      <c r="G3999">
        <v>1</v>
      </c>
      <c r="H3999" t="s">
        <v>224</v>
      </c>
      <c r="I3999" t="s">
        <v>225</v>
      </c>
      <c r="J3999" t="s">
        <v>56</v>
      </c>
      <c r="K3999" t="b">
        <v>0</v>
      </c>
      <c r="L3999">
        <v>2009</v>
      </c>
      <c r="M3999">
        <v>30745714312</v>
      </c>
      <c r="N3999">
        <v>32708319077</v>
      </c>
      <c r="O3999" t="b">
        <v>0</v>
      </c>
      <c r="P3999">
        <v>1</v>
      </c>
      <c r="Q3999" t="str" cm="1">
        <f t="array" ref="Q3999">_xlfn.IFS(Table1[[#This Row],[Wealthier_Winner]]=-1,"Wealthier Nation Loses",Table1[[#This Row],[Wealthier_Winner]]=0,"Tie",Table1[[#This Row],[Wealthier_Winner]]=1,"Wealthier Nation Wins")</f>
        <v>Wealthier Nation Wins</v>
      </c>
    </row>
    <row r="4000" spans="1:17" x14ac:dyDescent="0.2">
      <c r="A4000" s="1">
        <v>6037</v>
      </c>
      <c r="B4000" s="2">
        <v>40131</v>
      </c>
      <c r="C4000" s="7">
        <f>_xlfn.FLOOR.MATH(Table1[[#This Row],[year]],10)</f>
        <v>2000</v>
      </c>
      <c r="D4000" t="s">
        <v>212</v>
      </c>
      <c r="E4000" t="s">
        <v>32</v>
      </c>
      <c r="F4000">
        <v>2</v>
      </c>
      <c r="G4000">
        <v>0</v>
      </c>
      <c r="H4000" t="s">
        <v>224</v>
      </c>
      <c r="I4000" t="s">
        <v>322</v>
      </c>
      <c r="J4000" t="s">
        <v>212</v>
      </c>
      <c r="K4000" t="b">
        <v>0</v>
      </c>
      <c r="L4000">
        <v>2009</v>
      </c>
      <c r="M4000">
        <v>189147005444</v>
      </c>
      <c r="N4000">
        <v>150317292079</v>
      </c>
      <c r="O4000" t="b">
        <v>0</v>
      </c>
      <c r="P4000">
        <v>1</v>
      </c>
      <c r="Q4000" t="str" cm="1">
        <f t="array" ref="Q4000">_xlfn.IFS(Table1[[#This Row],[Wealthier_Winner]]=-1,"Wealthier Nation Loses",Table1[[#This Row],[Wealthier_Winner]]=0,"Tie",Table1[[#This Row],[Wealthier_Winner]]=1,"Wealthier Nation Wins")</f>
        <v>Wealthier Nation Wins</v>
      </c>
    </row>
    <row r="4001" spans="1:17" x14ac:dyDescent="0.2">
      <c r="A4001" s="1">
        <v>6038</v>
      </c>
      <c r="B4001" s="2">
        <v>40131</v>
      </c>
      <c r="C4001" s="7">
        <f>_xlfn.FLOOR.MATH(Table1[[#This Row],[year]],10)</f>
        <v>2000</v>
      </c>
      <c r="D4001" t="s">
        <v>48</v>
      </c>
      <c r="E4001" t="s">
        <v>64</v>
      </c>
      <c r="F4001">
        <v>0</v>
      </c>
      <c r="G4001">
        <v>0</v>
      </c>
      <c r="H4001" t="s">
        <v>224</v>
      </c>
      <c r="I4001" t="s">
        <v>236</v>
      </c>
      <c r="J4001" t="s">
        <v>48</v>
      </c>
      <c r="K4001" t="b">
        <v>0</v>
      </c>
      <c r="L4001">
        <v>2009</v>
      </c>
      <c r="M4001">
        <v>326829054686</v>
      </c>
      <c r="N4001">
        <v>121552153444</v>
      </c>
      <c r="O4001" t="b">
        <v>1</v>
      </c>
      <c r="P4001">
        <v>0</v>
      </c>
      <c r="Q4001" t="str" cm="1">
        <f t="array" ref="Q4001">_xlfn.IFS(Table1[[#This Row],[Wealthier_Winner]]=-1,"Wealthier Nation Loses",Table1[[#This Row],[Wealthier_Winner]]=0,"Tie",Table1[[#This Row],[Wealthier_Winner]]=1,"Wealthier Nation Wins")</f>
        <v>Tie</v>
      </c>
    </row>
    <row r="4002" spans="1:17" x14ac:dyDescent="0.2">
      <c r="A4002" s="1">
        <v>6041</v>
      </c>
      <c r="B4002" s="2">
        <v>40131</v>
      </c>
      <c r="C4002" s="7">
        <f>_xlfn.FLOOR.MATH(Table1[[#This Row],[year]],10)</f>
        <v>2000</v>
      </c>
      <c r="D4002" t="s">
        <v>314</v>
      </c>
      <c r="E4002" t="s">
        <v>43</v>
      </c>
      <c r="F4002">
        <v>2</v>
      </c>
      <c r="G4002">
        <v>3</v>
      </c>
      <c r="H4002" t="s">
        <v>224</v>
      </c>
      <c r="I4002" t="s">
        <v>315</v>
      </c>
      <c r="J4002" t="s">
        <v>314</v>
      </c>
      <c r="K4002" t="b">
        <v>0</v>
      </c>
      <c r="L4002">
        <v>2009</v>
      </c>
      <c r="M4002">
        <v>42347217912</v>
      </c>
      <c r="N4002">
        <v>295008835380</v>
      </c>
      <c r="O4002" t="b">
        <v>1</v>
      </c>
      <c r="P4002">
        <v>1</v>
      </c>
      <c r="Q4002" t="str" cm="1">
        <f t="array" ref="Q4002">_xlfn.IFS(Table1[[#This Row],[Wealthier_Winner]]=-1,"Wealthier Nation Loses",Table1[[#This Row],[Wealthier_Winner]]=0,"Tie",Table1[[#This Row],[Wealthier_Winner]]=1,"Wealthier Nation Wins")</f>
        <v>Wealthier Nation Wins</v>
      </c>
    </row>
    <row r="4003" spans="1:17" x14ac:dyDescent="0.2">
      <c r="A4003" s="1">
        <v>6042</v>
      </c>
      <c r="B4003" s="2">
        <v>40131</v>
      </c>
      <c r="C4003" s="7">
        <f>_xlfn.FLOOR.MATH(Table1[[#This Row],[year]],10)</f>
        <v>2000</v>
      </c>
      <c r="D4003" t="s">
        <v>24</v>
      </c>
      <c r="E4003" t="s">
        <v>40</v>
      </c>
      <c r="F4003">
        <v>0</v>
      </c>
      <c r="G4003">
        <v>2</v>
      </c>
      <c r="H4003" t="s">
        <v>224</v>
      </c>
      <c r="I4003" t="s">
        <v>376</v>
      </c>
      <c r="J4003" t="s">
        <v>24</v>
      </c>
      <c r="K4003" t="b">
        <v>0</v>
      </c>
      <c r="L4003">
        <v>2009</v>
      </c>
      <c r="M4003">
        <v>101154952240</v>
      </c>
      <c r="N4003">
        <v>27932970317</v>
      </c>
      <c r="O4003" t="b">
        <v>1</v>
      </c>
      <c r="P4003">
        <v>-1</v>
      </c>
      <c r="Q4003" t="str" cm="1">
        <f t="array" ref="Q4003">_xlfn.IFS(Table1[[#This Row],[Wealthier_Winner]]=-1,"Wealthier Nation Loses",Table1[[#This Row],[Wealthier_Winner]]=0,"Tie",Table1[[#This Row],[Wealthier_Winner]]=1,"Wealthier Nation Wins")</f>
        <v>Wealthier Nation Loses</v>
      </c>
    </row>
    <row r="4004" spans="1:17" x14ac:dyDescent="0.2">
      <c r="A4004" s="1">
        <v>6043</v>
      </c>
      <c r="B4004" s="2">
        <v>40131</v>
      </c>
      <c r="C4004" s="7">
        <f>_xlfn.FLOOR.MATH(Table1[[#This Row],[year]],10)</f>
        <v>2000</v>
      </c>
      <c r="D4004" t="s">
        <v>300</v>
      </c>
      <c r="E4004" t="s">
        <v>53</v>
      </c>
      <c r="F4004">
        <v>1</v>
      </c>
      <c r="G4004">
        <v>0</v>
      </c>
      <c r="H4004" t="s">
        <v>224</v>
      </c>
      <c r="I4004" t="s">
        <v>299</v>
      </c>
      <c r="J4004" t="s">
        <v>300</v>
      </c>
      <c r="K4004" t="b">
        <v>0</v>
      </c>
      <c r="L4004">
        <v>2009</v>
      </c>
      <c r="M4004">
        <v>12263894790</v>
      </c>
      <c r="N4004">
        <v>43455740497</v>
      </c>
      <c r="O4004" t="b">
        <v>1</v>
      </c>
      <c r="P4004">
        <v>-1</v>
      </c>
      <c r="Q4004" t="str" cm="1">
        <f t="array" ref="Q4004">_xlfn.IFS(Table1[[#This Row],[Wealthier_Winner]]=-1,"Wealthier Nation Loses",Table1[[#This Row],[Wealthier_Winner]]=0,"Tie",Table1[[#This Row],[Wealthier_Winner]]=1,"Wealthier Nation Wins")</f>
        <v>Wealthier Nation Loses</v>
      </c>
    </row>
    <row r="4005" spans="1:17" x14ac:dyDescent="0.2">
      <c r="A4005" s="1">
        <v>6044</v>
      </c>
      <c r="B4005" s="2">
        <v>40131</v>
      </c>
      <c r="C4005" s="7">
        <f>_xlfn.FLOOR.MATH(Table1[[#This Row],[year]],10)</f>
        <v>2000</v>
      </c>
      <c r="D4005" t="s">
        <v>72</v>
      </c>
      <c r="E4005" t="s">
        <v>361</v>
      </c>
      <c r="F4005">
        <v>1</v>
      </c>
      <c r="G4005">
        <v>0</v>
      </c>
      <c r="H4005" t="s">
        <v>224</v>
      </c>
      <c r="I4005" t="s">
        <v>629</v>
      </c>
      <c r="J4005" t="s">
        <v>72</v>
      </c>
      <c r="K4005" t="b">
        <v>0</v>
      </c>
      <c r="L4005">
        <v>2009</v>
      </c>
      <c r="M4005">
        <v>121663439315</v>
      </c>
      <c r="N4005">
        <v>22938218085</v>
      </c>
      <c r="O4005" t="b">
        <v>1</v>
      </c>
      <c r="P4005">
        <v>1</v>
      </c>
      <c r="Q4005" t="str" cm="1">
        <f t="array" ref="Q4005">_xlfn.IFS(Table1[[#This Row],[Wealthier_Winner]]=-1,"Wealthier Nation Loses",Table1[[#This Row],[Wealthier_Winner]]=0,"Tie",Table1[[#This Row],[Wealthier_Winner]]=1,"Wealthier Nation Wins")</f>
        <v>Wealthier Nation Wins</v>
      </c>
    </row>
    <row r="4006" spans="1:17" x14ac:dyDescent="0.2">
      <c r="A4006" s="1">
        <v>6045</v>
      </c>
      <c r="B4006" s="2">
        <v>40131</v>
      </c>
      <c r="C4006" s="7">
        <f>_xlfn.FLOOR.MATH(Table1[[#This Row],[year]],10)</f>
        <v>2000</v>
      </c>
      <c r="D4006" t="s">
        <v>38</v>
      </c>
      <c r="E4006" t="s">
        <v>73</v>
      </c>
      <c r="F4006">
        <v>1</v>
      </c>
      <c r="G4006">
        <v>0</v>
      </c>
      <c r="H4006" t="s">
        <v>224</v>
      </c>
      <c r="I4006" t="s">
        <v>291</v>
      </c>
      <c r="J4006" t="s">
        <v>38</v>
      </c>
      <c r="K4006" t="b">
        <v>0</v>
      </c>
      <c r="L4006">
        <v>2009</v>
      </c>
      <c r="M4006">
        <v>244667762835</v>
      </c>
      <c r="N4006">
        <v>17613949091</v>
      </c>
      <c r="O4006" t="b">
        <v>1</v>
      </c>
      <c r="P4006">
        <v>1</v>
      </c>
      <c r="Q4006" t="str" cm="1">
        <f t="array" ref="Q4006">_xlfn.IFS(Table1[[#This Row],[Wealthier_Winner]]=-1,"Wealthier Nation Loses",Table1[[#This Row],[Wealthier_Winner]]=0,"Tie",Table1[[#This Row],[Wealthier_Winner]]=1,"Wealthier Nation Wins")</f>
        <v>Wealthier Nation Wins</v>
      </c>
    </row>
    <row r="4007" spans="1:17" x14ac:dyDescent="0.2">
      <c r="A4007" s="1">
        <v>6046</v>
      </c>
      <c r="B4007" s="2">
        <v>40131</v>
      </c>
      <c r="C4007" s="7">
        <f>_xlfn.FLOOR.MATH(Table1[[#This Row],[year]],10)</f>
        <v>2000</v>
      </c>
      <c r="D4007" t="s">
        <v>196</v>
      </c>
      <c r="E4007" t="s">
        <v>55</v>
      </c>
      <c r="F4007">
        <v>2</v>
      </c>
      <c r="G4007">
        <v>1</v>
      </c>
      <c r="H4007" t="s">
        <v>224</v>
      </c>
      <c r="I4007" t="s">
        <v>180</v>
      </c>
      <c r="J4007" t="s">
        <v>196</v>
      </c>
      <c r="K4007" t="b">
        <v>0</v>
      </c>
      <c r="L4007">
        <v>2009</v>
      </c>
      <c r="M4007">
        <v>1222645900055</v>
      </c>
      <c r="N4007">
        <v>49975540954</v>
      </c>
      <c r="O4007" t="b">
        <v>1</v>
      </c>
      <c r="P4007">
        <v>1</v>
      </c>
      <c r="Q4007" t="str" cm="1">
        <f t="array" ref="Q4007">_xlfn.IFS(Table1[[#This Row],[Wealthier_Winner]]=-1,"Wealthier Nation Loses",Table1[[#This Row],[Wealthier_Winner]]=0,"Tie",Table1[[#This Row],[Wealthier_Winner]]=1,"Wealthier Nation Wins")</f>
        <v>Wealthier Nation Wins</v>
      </c>
    </row>
    <row r="4008" spans="1:17" x14ac:dyDescent="0.2">
      <c r="A4008" s="1">
        <v>6047</v>
      </c>
      <c r="B4008" s="2">
        <v>40131</v>
      </c>
      <c r="C4008" s="7">
        <f>_xlfn.FLOOR.MATH(Table1[[#This Row],[year]],10)</f>
        <v>2000</v>
      </c>
      <c r="D4008" t="s">
        <v>514</v>
      </c>
      <c r="E4008" t="s">
        <v>273</v>
      </c>
      <c r="F4008">
        <v>0</v>
      </c>
      <c r="G4008">
        <v>0</v>
      </c>
      <c r="H4008" t="s">
        <v>224</v>
      </c>
      <c r="I4008" t="s">
        <v>515</v>
      </c>
      <c r="J4008" t="s">
        <v>514</v>
      </c>
      <c r="K4008" t="b">
        <v>0</v>
      </c>
      <c r="L4008">
        <v>2009</v>
      </c>
      <c r="M4008">
        <v>5674476969</v>
      </c>
      <c r="N4008">
        <v>15328342303</v>
      </c>
      <c r="O4008" t="b">
        <v>1</v>
      </c>
      <c r="P4008">
        <v>0</v>
      </c>
      <c r="Q4008" t="str" cm="1">
        <f t="array" ref="Q4008">_xlfn.IFS(Table1[[#This Row],[Wealthier_Winner]]=-1,"Wealthier Nation Loses",Table1[[#This Row],[Wealthier_Winner]]=0,"Tie",Table1[[#This Row],[Wealthier_Winner]]=1,"Wealthier Nation Wins")</f>
        <v>Tie</v>
      </c>
    </row>
    <row r="4009" spans="1:17" x14ac:dyDescent="0.2">
      <c r="A4009" s="1">
        <v>6048</v>
      </c>
      <c r="B4009" s="2">
        <v>40131</v>
      </c>
      <c r="C4009" s="7">
        <f>_xlfn.FLOOR.MATH(Table1[[#This Row],[year]],10)</f>
        <v>2000</v>
      </c>
      <c r="D4009" t="s">
        <v>274</v>
      </c>
      <c r="E4009" t="s">
        <v>310</v>
      </c>
      <c r="F4009">
        <v>1</v>
      </c>
      <c r="G4009">
        <v>2</v>
      </c>
      <c r="H4009" t="s">
        <v>224</v>
      </c>
      <c r="I4009" t="s">
        <v>591</v>
      </c>
      <c r="J4009" t="s">
        <v>274</v>
      </c>
      <c r="K4009" t="b">
        <v>0</v>
      </c>
      <c r="L4009">
        <v>2009</v>
      </c>
      <c r="M4009">
        <v>51621044076</v>
      </c>
      <c r="N4009">
        <v>9738626517</v>
      </c>
      <c r="O4009" t="b">
        <v>1</v>
      </c>
      <c r="P4009">
        <v>-1</v>
      </c>
      <c r="Q4009" t="str" cm="1">
        <f t="array" ref="Q4009">_xlfn.IFS(Table1[[#This Row],[Wealthier_Winner]]=-1,"Wealthier Nation Loses",Table1[[#This Row],[Wealthier_Winner]]=0,"Tie",Table1[[#This Row],[Wealthier_Winner]]=1,"Wealthier Nation Wins")</f>
        <v>Wealthier Nation Loses</v>
      </c>
    </row>
    <row r="4010" spans="1:17" x14ac:dyDescent="0.2">
      <c r="A4010" s="1">
        <v>6049</v>
      </c>
      <c r="B4010" s="2">
        <v>40131</v>
      </c>
      <c r="C4010" s="7">
        <f>_xlfn.FLOOR.MATH(Table1[[#This Row],[year]],10)</f>
        <v>2000</v>
      </c>
      <c r="D4010" t="s">
        <v>62</v>
      </c>
      <c r="E4010" t="s">
        <v>433</v>
      </c>
      <c r="F4010">
        <v>1</v>
      </c>
      <c r="G4010">
        <v>0</v>
      </c>
      <c r="H4010" t="s">
        <v>224</v>
      </c>
      <c r="I4010" t="s">
        <v>353</v>
      </c>
      <c r="J4010" t="s">
        <v>62</v>
      </c>
      <c r="K4010" t="b">
        <v>0</v>
      </c>
      <c r="L4010">
        <v>2009</v>
      </c>
      <c r="M4010">
        <v>4721888275</v>
      </c>
      <c r="N4010">
        <v>12113699068</v>
      </c>
      <c r="O4010" t="b">
        <v>1</v>
      </c>
      <c r="P4010">
        <v>-1</v>
      </c>
      <c r="Q4010" t="str" cm="1">
        <f t="array" ref="Q4010">_xlfn.IFS(Table1[[#This Row],[Wealthier_Winner]]=-1,"Wealthier Nation Loses",Table1[[#This Row],[Wealthier_Winner]]=0,"Tie",Table1[[#This Row],[Wealthier_Winner]]=1,"Wealthier Nation Wins")</f>
        <v>Wealthier Nation Loses</v>
      </c>
    </row>
    <row r="4011" spans="1:17" x14ac:dyDescent="0.2">
      <c r="A4011" s="1">
        <v>6050</v>
      </c>
      <c r="B4011" s="2">
        <v>40132</v>
      </c>
      <c r="C4011" s="7">
        <f>_xlfn.FLOOR.MATH(Table1[[#This Row],[year]],10)</f>
        <v>2000</v>
      </c>
      <c r="D4011" t="s">
        <v>63</v>
      </c>
      <c r="E4011" t="s">
        <v>590</v>
      </c>
      <c r="F4011">
        <v>2</v>
      </c>
      <c r="G4011">
        <v>2</v>
      </c>
      <c r="H4011" t="s">
        <v>224</v>
      </c>
      <c r="I4011" t="s">
        <v>313</v>
      </c>
      <c r="J4011" t="s">
        <v>63</v>
      </c>
      <c r="K4011" t="b">
        <v>0</v>
      </c>
      <c r="L4011">
        <v>2009</v>
      </c>
      <c r="M4011">
        <v>26048720005</v>
      </c>
      <c r="N4011">
        <v>12155217832</v>
      </c>
      <c r="O4011" t="b">
        <v>1</v>
      </c>
      <c r="P4011">
        <v>0</v>
      </c>
      <c r="Q4011" t="str" cm="1">
        <f t="array" ref="Q4011">_xlfn.IFS(Table1[[#This Row],[Wealthier_Winner]]=-1,"Wealthier Nation Loses",Table1[[#This Row],[Wealthier_Winner]]=0,"Tie",Table1[[#This Row],[Wealthier_Winner]]=1,"Wealthier Nation Wins")</f>
        <v>Tie</v>
      </c>
    </row>
    <row r="4012" spans="1:17" x14ac:dyDescent="0.2">
      <c r="A4012" s="1">
        <v>6051</v>
      </c>
      <c r="B4012" s="2">
        <v>40135</v>
      </c>
      <c r="C4012" s="7">
        <f>_xlfn.FLOOR.MATH(Table1[[#This Row],[year]],10)</f>
        <v>2000</v>
      </c>
      <c r="D4012" t="s">
        <v>32</v>
      </c>
      <c r="E4012" t="s">
        <v>212</v>
      </c>
      <c r="F4012">
        <v>1</v>
      </c>
      <c r="G4012">
        <v>0</v>
      </c>
      <c r="H4012" t="s">
        <v>224</v>
      </c>
      <c r="I4012" t="s">
        <v>591</v>
      </c>
      <c r="J4012" t="s">
        <v>274</v>
      </c>
      <c r="K4012" t="b">
        <v>1</v>
      </c>
      <c r="L4012">
        <v>2009</v>
      </c>
      <c r="M4012">
        <v>150317292079</v>
      </c>
      <c r="N4012">
        <v>189147005444</v>
      </c>
      <c r="O4012" t="b">
        <v>0</v>
      </c>
      <c r="P4012">
        <v>-1</v>
      </c>
      <c r="Q4012" t="str" cm="1">
        <f t="array" ref="Q4012">_xlfn.IFS(Table1[[#This Row],[Wealthier_Winner]]=-1,"Wealthier Nation Loses",Table1[[#This Row],[Wealthier_Winner]]=0,"Tie",Table1[[#This Row],[Wealthier_Winner]]=1,"Wealthier Nation Wins")</f>
        <v>Wealthier Nation Loses</v>
      </c>
    </row>
    <row r="4013" spans="1:17" x14ac:dyDescent="0.2">
      <c r="A4013" s="1">
        <v>6052</v>
      </c>
      <c r="B4013" s="2">
        <v>40135</v>
      </c>
      <c r="C4013" s="7">
        <f>_xlfn.FLOOR.MATH(Table1[[#This Row],[year]],10)</f>
        <v>2000</v>
      </c>
      <c r="D4013" t="s">
        <v>73</v>
      </c>
      <c r="E4013" t="s">
        <v>38</v>
      </c>
      <c r="F4013">
        <v>0</v>
      </c>
      <c r="G4013">
        <v>1</v>
      </c>
      <c r="H4013" t="s">
        <v>224</v>
      </c>
      <c r="I4013" t="s">
        <v>636</v>
      </c>
      <c r="J4013" t="s">
        <v>73</v>
      </c>
      <c r="K4013" t="b">
        <v>0</v>
      </c>
      <c r="L4013">
        <v>2009</v>
      </c>
      <c r="M4013">
        <v>17613949091</v>
      </c>
      <c r="N4013">
        <v>244667762835</v>
      </c>
      <c r="O4013" t="b">
        <v>1</v>
      </c>
      <c r="P4013">
        <v>1</v>
      </c>
      <c r="Q4013" t="str" cm="1">
        <f t="array" ref="Q4013">_xlfn.IFS(Table1[[#This Row],[Wealthier_Winner]]=-1,"Wealthier Nation Loses",Table1[[#This Row],[Wealthier_Winner]]=0,"Tie",Table1[[#This Row],[Wealthier_Winner]]=1,"Wealthier Nation Wins")</f>
        <v>Wealthier Nation Wins</v>
      </c>
    </row>
    <row r="4014" spans="1:17" x14ac:dyDescent="0.2">
      <c r="A4014" s="1">
        <v>6054</v>
      </c>
      <c r="B4014" s="2">
        <v>40135</v>
      </c>
      <c r="C4014" s="7">
        <f>_xlfn.FLOOR.MATH(Table1[[#This Row],[year]],10)</f>
        <v>2000</v>
      </c>
      <c r="D4014" t="s">
        <v>55</v>
      </c>
      <c r="E4014" t="s">
        <v>196</v>
      </c>
      <c r="F4014">
        <v>1</v>
      </c>
      <c r="G4014">
        <v>0</v>
      </c>
      <c r="H4014" t="s">
        <v>224</v>
      </c>
      <c r="I4014" t="s">
        <v>727</v>
      </c>
      <c r="J4014" t="s">
        <v>55</v>
      </c>
      <c r="K4014" t="b">
        <v>0</v>
      </c>
      <c r="L4014">
        <v>2009</v>
      </c>
      <c r="M4014">
        <v>49975540954</v>
      </c>
      <c r="N4014">
        <v>1222645900055</v>
      </c>
      <c r="O4014" t="b">
        <v>1</v>
      </c>
      <c r="P4014">
        <v>-1</v>
      </c>
      <c r="Q4014" t="str" cm="1">
        <f t="array" ref="Q4014">_xlfn.IFS(Table1[[#This Row],[Wealthier_Winner]]=-1,"Wealthier Nation Loses",Table1[[#This Row],[Wealthier_Winner]]=0,"Tie",Table1[[#This Row],[Wealthier_Winner]]=1,"Wealthier Nation Wins")</f>
        <v>Wealthier Nation Loses</v>
      </c>
    </row>
    <row r="4015" spans="1:17" x14ac:dyDescent="0.2">
      <c r="A4015" s="1">
        <v>6055</v>
      </c>
      <c r="B4015" s="2">
        <v>40135</v>
      </c>
      <c r="C4015" s="7">
        <f>_xlfn.FLOOR.MATH(Table1[[#This Row],[year]],10)</f>
        <v>2000</v>
      </c>
      <c r="D4015" t="s">
        <v>64</v>
      </c>
      <c r="E4015" t="s">
        <v>48</v>
      </c>
      <c r="F4015">
        <v>0</v>
      </c>
      <c r="G4015">
        <v>1</v>
      </c>
      <c r="H4015" t="s">
        <v>224</v>
      </c>
      <c r="I4015" t="s">
        <v>736</v>
      </c>
      <c r="J4015" t="s">
        <v>64</v>
      </c>
      <c r="K4015" t="b">
        <v>0</v>
      </c>
      <c r="L4015">
        <v>2009</v>
      </c>
      <c r="M4015">
        <v>121552153444</v>
      </c>
      <c r="N4015">
        <v>326829054686</v>
      </c>
      <c r="O4015" t="b">
        <v>1</v>
      </c>
      <c r="P4015">
        <v>1</v>
      </c>
      <c r="Q4015" t="str" cm="1">
        <f t="array" ref="Q4015">_xlfn.IFS(Table1[[#This Row],[Wealthier_Winner]]=-1,"Wealthier Nation Loses",Table1[[#This Row],[Wealthier_Winner]]=0,"Tie",Table1[[#This Row],[Wealthier_Winner]]=1,"Wealthier Nation Wins")</f>
        <v>Wealthier Nation Wins</v>
      </c>
    </row>
    <row r="4016" spans="1:17" x14ac:dyDescent="0.2">
      <c r="A4016" s="1">
        <v>6056</v>
      </c>
      <c r="B4016" s="2">
        <v>40135</v>
      </c>
      <c r="C4016" s="7">
        <f>_xlfn.FLOOR.MATH(Table1[[#This Row],[year]],10)</f>
        <v>2000</v>
      </c>
      <c r="D4016" t="s">
        <v>26</v>
      </c>
      <c r="E4016" t="s">
        <v>56</v>
      </c>
      <c r="F4016">
        <v>1</v>
      </c>
      <c r="G4016">
        <v>1</v>
      </c>
      <c r="H4016" t="s">
        <v>224</v>
      </c>
      <c r="I4016" t="s">
        <v>247</v>
      </c>
      <c r="J4016" t="s">
        <v>26</v>
      </c>
      <c r="K4016" t="b">
        <v>0</v>
      </c>
      <c r="L4016">
        <v>2009</v>
      </c>
      <c r="M4016">
        <v>32708319077</v>
      </c>
      <c r="N4016">
        <v>30745714312</v>
      </c>
      <c r="O4016" t="b">
        <v>0</v>
      </c>
      <c r="P4016">
        <v>0</v>
      </c>
      <c r="Q4016" t="str" cm="1">
        <f t="array" ref="Q4016">_xlfn.IFS(Table1[[#This Row],[Wealthier_Winner]]=-1,"Wealthier Nation Loses",Table1[[#This Row],[Wealthier_Winner]]=0,"Tie",Table1[[#This Row],[Wealthier_Winner]]=1,"Wealthier Nation Wins")</f>
        <v>Tie</v>
      </c>
    </row>
    <row r="4017" spans="1:17" x14ac:dyDescent="0.2">
      <c r="A4017" s="1">
        <v>6057</v>
      </c>
      <c r="B4017" s="2">
        <v>40340</v>
      </c>
      <c r="C4017" s="7">
        <f>_xlfn.FLOOR.MATH(Table1[[#This Row],[year]],10)</f>
        <v>2010</v>
      </c>
      <c r="D4017" t="s">
        <v>50</v>
      </c>
      <c r="E4017" t="s">
        <v>17</v>
      </c>
      <c r="F4017">
        <v>1</v>
      </c>
      <c r="G4017">
        <v>1</v>
      </c>
      <c r="H4017" t="s">
        <v>74</v>
      </c>
      <c r="I4017" t="s">
        <v>160</v>
      </c>
      <c r="J4017" t="s">
        <v>50</v>
      </c>
      <c r="K4017" t="b">
        <v>0</v>
      </c>
      <c r="L4017">
        <v>2010</v>
      </c>
      <c r="M4017">
        <v>417363822801</v>
      </c>
      <c r="N4017">
        <v>1105424238731</v>
      </c>
      <c r="O4017" t="b">
        <v>1</v>
      </c>
      <c r="P4017">
        <v>0</v>
      </c>
      <c r="Q4017" t="str" cm="1">
        <f t="array" ref="Q4017">_xlfn.IFS(Table1[[#This Row],[Wealthier_Winner]]=-1,"Wealthier Nation Loses",Table1[[#This Row],[Wealthier_Winner]]=0,"Tie",Table1[[#This Row],[Wealthier_Winner]]=1,"Wealthier Nation Wins")</f>
        <v>Tie</v>
      </c>
    </row>
    <row r="4018" spans="1:17" x14ac:dyDescent="0.2">
      <c r="A4018" s="1">
        <v>6058</v>
      </c>
      <c r="B4018" s="2">
        <v>40340</v>
      </c>
      <c r="C4018" s="7">
        <f>_xlfn.FLOOR.MATH(Table1[[#This Row],[year]],10)</f>
        <v>2010</v>
      </c>
      <c r="D4018" t="s">
        <v>26</v>
      </c>
      <c r="E4018" t="s">
        <v>20</v>
      </c>
      <c r="F4018">
        <v>0</v>
      </c>
      <c r="G4018">
        <v>0</v>
      </c>
      <c r="H4018" t="s">
        <v>74</v>
      </c>
      <c r="I4018" t="s">
        <v>161</v>
      </c>
      <c r="J4018" t="s">
        <v>50</v>
      </c>
      <c r="K4018" t="b">
        <v>1</v>
      </c>
      <c r="L4018">
        <v>2010</v>
      </c>
      <c r="M4018">
        <v>41950361211</v>
      </c>
      <c r="N4018">
        <v>2646230027988</v>
      </c>
      <c r="O4018" t="b">
        <v>1</v>
      </c>
      <c r="P4018">
        <v>0</v>
      </c>
      <c r="Q4018" t="str" cm="1">
        <f t="array" ref="Q4018">_xlfn.IFS(Table1[[#This Row],[Wealthier_Winner]]=-1,"Wealthier Nation Loses",Table1[[#This Row],[Wealthier_Winner]]=0,"Tie",Table1[[#This Row],[Wealthier_Winner]]=1,"Wealthier Nation Wins")</f>
        <v>Tie</v>
      </c>
    </row>
    <row r="4019" spans="1:17" x14ac:dyDescent="0.2">
      <c r="A4019" s="1">
        <v>6059</v>
      </c>
      <c r="B4019" s="2">
        <v>40341</v>
      </c>
      <c r="C4019" s="7">
        <f>_xlfn.FLOOR.MATH(Table1[[#This Row],[year]],10)</f>
        <v>2010</v>
      </c>
      <c r="D4019" t="s">
        <v>19</v>
      </c>
      <c r="E4019" t="s">
        <v>43</v>
      </c>
      <c r="F4019">
        <v>1</v>
      </c>
      <c r="G4019">
        <v>0</v>
      </c>
      <c r="H4019" t="s">
        <v>74</v>
      </c>
      <c r="I4019" t="s">
        <v>160</v>
      </c>
      <c r="J4019" t="s">
        <v>50</v>
      </c>
      <c r="K4019" t="b">
        <v>1</v>
      </c>
      <c r="L4019">
        <v>2010</v>
      </c>
      <c r="M4019">
        <v>423627422092</v>
      </c>
      <c r="N4019">
        <v>366990417129</v>
      </c>
      <c r="O4019" t="b">
        <v>0</v>
      </c>
      <c r="P4019">
        <v>1</v>
      </c>
      <c r="Q4019" t="str" cm="1">
        <f t="array" ref="Q4019">_xlfn.IFS(Table1[[#This Row],[Wealthier_Winner]]=-1,"Wealthier Nation Loses",Table1[[#This Row],[Wealthier_Winner]]=0,"Tie",Table1[[#This Row],[Wealthier_Winner]]=1,"Wealthier Nation Wins")</f>
        <v>Wealthier Nation Wins</v>
      </c>
    </row>
    <row r="4020" spans="1:17" x14ac:dyDescent="0.2">
      <c r="A4020" s="1">
        <v>6060</v>
      </c>
      <c r="B4020" s="2">
        <v>40341</v>
      </c>
      <c r="C4020" s="7">
        <f>_xlfn.FLOOR.MATH(Table1[[#This Row],[year]],10)</f>
        <v>2010</v>
      </c>
      <c r="D4020" t="s">
        <v>194</v>
      </c>
      <c r="E4020" t="s">
        <v>41</v>
      </c>
      <c r="F4020">
        <v>1</v>
      </c>
      <c r="G4020">
        <v>1</v>
      </c>
      <c r="H4020" t="s">
        <v>74</v>
      </c>
      <c r="I4020" t="s">
        <v>168</v>
      </c>
      <c r="J4020" t="s">
        <v>50</v>
      </c>
      <c r="K4020" t="b">
        <v>1</v>
      </c>
      <c r="L4020">
        <v>2010</v>
      </c>
      <c r="M4020">
        <v>2496740681057</v>
      </c>
      <c r="N4020">
        <v>15048964444000</v>
      </c>
      <c r="O4020" t="b">
        <v>1</v>
      </c>
      <c r="P4020">
        <v>0</v>
      </c>
      <c r="Q4020" t="str" cm="1">
        <f t="array" ref="Q4020">_xlfn.IFS(Table1[[#This Row],[Wealthier_Winner]]=-1,"Wealthier Nation Loses",Table1[[#This Row],[Wealthier_Winner]]=0,"Tie",Table1[[#This Row],[Wealthier_Winner]]=1,"Wealthier Nation Wins")</f>
        <v>Tie</v>
      </c>
    </row>
    <row r="4021" spans="1:17" x14ac:dyDescent="0.2">
      <c r="A4021" s="1">
        <v>6061</v>
      </c>
      <c r="B4021" s="2">
        <v>40341</v>
      </c>
      <c r="C4021" s="7">
        <f>_xlfn.FLOOR.MATH(Table1[[#This Row],[year]],10)</f>
        <v>2010</v>
      </c>
      <c r="D4021" t="s">
        <v>195</v>
      </c>
      <c r="E4021" t="s">
        <v>48</v>
      </c>
      <c r="F4021">
        <v>2</v>
      </c>
      <c r="G4021">
        <v>0</v>
      </c>
      <c r="H4021" t="s">
        <v>74</v>
      </c>
      <c r="I4021" t="s">
        <v>167</v>
      </c>
      <c r="J4021" t="s">
        <v>50</v>
      </c>
      <c r="K4021" t="b">
        <v>1</v>
      </c>
      <c r="L4021">
        <v>2010</v>
      </c>
      <c r="M4021">
        <v>1192830015737</v>
      </c>
      <c r="N4021">
        <v>296417644404</v>
      </c>
      <c r="O4021" t="b">
        <v>1</v>
      </c>
      <c r="P4021">
        <v>1</v>
      </c>
      <c r="Q4021" t="str" cm="1">
        <f t="array" ref="Q4021">_xlfn.IFS(Table1[[#This Row],[Wealthier_Winner]]=-1,"Wealthier Nation Loses",Table1[[#This Row],[Wealthier_Winner]]=0,"Tie",Table1[[#This Row],[Wealthier_Winner]]=1,"Wealthier Nation Wins")</f>
        <v>Wealthier Nation Wins</v>
      </c>
    </row>
    <row r="4022" spans="1:17" x14ac:dyDescent="0.2">
      <c r="A4022" s="1">
        <v>6062</v>
      </c>
      <c r="B4022" s="2">
        <v>40342</v>
      </c>
      <c r="C4022" s="7">
        <f>_xlfn.FLOOR.MATH(Table1[[#This Row],[year]],10)</f>
        <v>2010</v>
      </c>
      <c r="D4022" t="s">
        <v>32</v>
      </c>
      <c r="E4022" t="s">
        <v>55</v>
      </c>
      <c r="F4022">
        <v>0</v>
      </c>
      <c r="G4022">
        <v>1</v>
      </c>
      <c r="H4022" t="s">
        <v>74</v>
      </c>
      <c r="I4022" t="s">
        <v>162</v>
      </c>
      <c r="J4022" t="s">
        <v>50</v>
      </c>
      <c r="K4022" t="b">
        <v>1</v>
      </c>
      <c r="L4022">
        <v>2010</v>
      </c>
      <c r="M4022">
        <v>177785053939</v>
      </c>
      <c r="N4022">
        <v>47793117240</v>
      </c>
      <c r="O4022" t="b">
        <v>1</v>
      </c>
      <c r="P4022">
        <v>-1</v>
      </c>
      <c r="Q4022" t="str" cm="1">
        <f t="array" ref="Q4022">_xlfn.IFS(Table1[[#This Row],[Wealthier_Winner]]=-1,"Wealthier Nation Loses",Table1[[#This Row],[Wealthier_Winner]]=0,"Tie",Table1[[#This Row],[Wealthier_Winner]]=1,"Wealthier Nation Wins")</f>
        <v>Wealthier Nation Loses</v>
      </c>
    </row>
    <row r="4023" spans="1:17" x14ac:dyDescent="0.2">
      <c r="A4023" s="1">
        <v>6063</v>
      </c>
      <c r="B4023" s="2">
        <v>40342</v>
      </c>
      <c r="C4023" s="7">
        <f>_xlfn.FLOOR.MATH(Table1[[#This Row],[year]],10)</f>
        <v>2010</v>
      </c>
      <c r="D4023" t="s">
        <v>16</v>
      </c>
      <c r="E4023" t="s">
        <v>28</v>
      </c>
      <c r="F4023">
        <v>4</v>
      </c>
      <c r="G4023">
        <v>0</v>
      </c>
      <c r="H4023" t="s">
        <v>74</v>
      </c>
      <c r="I4023" t="s">
        <v>163</v>
      </c>
      <c r="J4023" t="s">
        <v>50</v>
      </c>
      <c r="K4023" t="b">
        <v>1</v>
      </c>
      <c r="L4023">
        <v>2010</v>
      </c>
      <c r="M4023">
        <v>3467093769666</v>
      </c>
      <c r="N4023">
        <v>1152566632022</v>
      </c>
      <c r="O4023" t="b">
        <v>1</v>
      </c>
      <c r="P4023">
        <v>1</v>
      </c>
      <c r="Q4023" t="str" cm="1">
        <f t="array" ref="Q4023">_xlfn.IFS(Table1[[#This Row],[Wealthier_Winner]]=-1,"Wealthier Nation Loses",Table1[[#This Row],[Wealthier_Winner]]=0,"Tie",Table1[[#This Row],[Wealthier_Winner]]=1,"Wealthier Nation Wins")</f>
        <v>Wealthier Nation Wins</v>
      </c>
    </row>
    <row r="4024" spans="1:17" x14ac:dyDescent="0.2">
      <c r="A4024" s="1">
        <v>6064</v>
      </c>
      <c r="B4024" s="2">
        <v>40342</v>
      </c>
      <c r="C4024" s="7">
        <f>_xlfn.FLOOR.MATH(Table1[[#This Row],[year]],10)</f>
        <v>2010</v>
      </c>
      <c r="D4024" t="s">
        <v>61</v>
      </c>
      <c r="E4024" t="s">
        <v>63</v>
      </c>
      <c r="F4024">
        <v>0</v>
      </c>
      <c r="G4024">
        <v>1</v>
      </c>
      <c r="H4024" t="s">
        <v>74</v>
      </c>
      <c r="I4024" t="s">
        <v>164</v>
      </c>
      <c r="J4024" t="s">
        <v>50</v>
      </c>
      <c r="K4024" t="b">
        <v>1</v>
      </c>
      <c r="L4024">
        <v>2010</v>
      </c>
      <c r="M4024">
        <v>43536629233</v>
      </c>
      <c r="N4024">
        <v>32197655566</v>
      </c>
      <c r="O4024" t="b">
        <v>0</v>
      </c>
      <c r="P4024">
        <v>-1</v>
      </c>
      <c r="Q4024" t="str" cm="1">
        <f t="array" ref="Q4024">_xlfn.IFS(Table1[[#This Row],[Wealthier_Winner]]=-1,"Wealthier Nation Loses",Table1[[#This Row],[Wealthier_Winner]]=0,"Tie",Table1[[#This Row],[Wealthier_Winner]]=1,"Wealthier Nation Wins")</f>
        <v>Wealthier Nation Loses</v>
      </c>
    </row>
    <row r="4025" spans="1:17" x14ac:dyDescent="0.2">
      <c r="A4025" s="1">
        <v>6065</v>
      </c>
      <c r="B4025" s="2">
        <v>40343</v>
      </c>
      <c r="C4025" s="7">
        <f>_xlfn.FLOOR.MATH(Table1[[#This Row],[year]],10)</f>
        <v>2010</v>
      </c>
      <c r="D4025" t="s">
        <v>18</v>
      </c>
      <c r="E4025" t="s">
        <v>35</v>
      </c>
      <c r="F4025">
        <v>1</v>
      </c>
      <c r="G4025">
        <v>1</v>
      </c>
      <c r="H4025" t="s">
        <v>74</v>
      </c>
      <c r="I4025" t="s">
        <v>161</v>
      </c>
      <c r="J4025" t="s">
        <v>50</v>
      </c>
      <c r="K4025" t="b">
        <v>1</v>
      </c>
      <c r="L4025">
        <v>2010</v>
      </c>
      <c r="M4025">
        <v>2144936254535</v>
      </c>
      <c r="N4025">
        <v>27260886405</v>
      </c>
      <c r="O4025" t="b">
        <v>1</v>
      </c>
      <c r="P4025">
        <v>0</v>
      </c>
      <c r="Q4025" t="str" cm="1">
        <f t="array" ref="Q4025">_xlfn.IFS(Table1[[#This Row],[Wealthier_Winner]]=-1,"Wealthier Nation Loses",Table1[[#This Row],[Wealthier_Winner]]=0,"Tie",Table1[[#This Row],[Wealthier_Winner]]=1,"Wealthier Nation Wins")</f>
        <v>Tie</v>
      </c>
    </row>
    <row r="4026" spans="1:17" x14ac:dyDescent="0.2">
      <c r="A4026" s="1">
        <v>6066</v>
      </c>
      <c r="B4026" s="2">
        <v>40343</v>
      </c>
      <c r="C4026" s="7">
        <f>_xlfn.FLOOR.MATH(Table1[[#This Row],[year]],10)</f>
        <v>2010</v>
      </c>
      <c r="D4026" t="s">
        <v>51</v>
      </c>
      <c r="E4026" t="s">
        <v>40</v>
      </c>
      <c r="F4026">
        <v>1</v>
      </c>
      <c r="G4026">
        <v>0</v>
      </c>
      <c r="H4026" t="s">
        <v>74</v>
      </c>
      <c r="I4026" t="s">
        <v>165</v>
      </c>
      <c r="J4026" t="s">
        <v>50</v>
      </c>
      <c r="K4026" t="b">
        <v>1</v>
      </c>
      <c r="L4026">
        <v>2010</v>
      </c>
      <c r="M4026">
        <v>5759071769013</v>
      </c>
      <c r="N4026">
        <v>27507501821</v>
      </c>
      <c r="O4026" t="b">
        <v>1</v>
      </c>
      <c r="P4026">
        <v>1</v>
      </c>
      <c r="Q4026" t="str" cm="1">
        <f t="array" ref="Q4026">_xlfn.IFS(Table1[[#This Row],[Wealthier_Winner]]=-1,"Wealthier Nation Loses",Table1[[#This Row],[Wealthier_Winner]]=0,"Tie",Table1[[#This Row],[Wealthier_Winner]]=1,"Wealthier Nation Wins")</f>
        <v>Wealthier Nation Wins</v>
      </c>
    </row>
    <row r="4027" spans="1:17" x14ac:dyDescent="0.2">
      <c r="A4027" s="1">
        <v>6067</v>
      </c>
      <c r="B4027" s="2">
        <v>40343</v>
      </c>
      <c r="C4027" s="7">
        <f>_xlfn.FLOOR.MATH(Table1[[#This Row],[year]],10)</f>
        <v>2010</v>
      </c>
      <c r="D4027" t="s">
        <v>27</v>
      </c>
      <c r="E4027" t="s">
        <v>36</v>
      </c>
      <c r="F4027">
        <v>2</v>
      </c>
      <c r="G4027">
        <v>0</v>
      </c>
      <c r="H4027" t="s">
        <v>74</v>
      </c>
      <c r="I4027" t="s">
        <v>160</v>
      </c>
      <c r="J4027" t="s">
        <v>50</v>
      </c>
      <c r="K4027" t="b">
        <v>1</v>
      </c>
      <c r="L4027">
        <v>2010</v>
      </c>
      <c r="M4027">
        <v>852464982433</v>
      </c>
      <c r="N4027">
        <v>322345594075</v>
      </c>
      <c r="O4027" t="b">
        <v>1</v>
      </c>
      <c r="P4027">
        <v>1</v>
      </c>
      <c r="Q4027" t="str" cm="1">
        <f t="array" ref="Q4027">_xlfn.IFS(Table1[[#This Row],[Wealthier_Winner]]=-1,"Wealthier Nation Loses",Table1[[#This Row],[Wealthier_Winner]]=0,"Tie",Table1[[#This Row],[Wealthier_Winner]]=1,"Wealthier Nation Wins")</f>
        <v>Wealthier Nation Wins</v>
      </c>
    </row>
    <row r="4028" spans="1:17" x14ac:dyDescent="0.2">
      <c r="A4028" s="1">
        <v>6071</v>
      </c>
      <c r="B4028" s="2">
        <v>40345</v>
      </c>
      <c r="C4028" s="7">
        <f>_xlfn.FLOOR.MATH(Table1[[#This Row],[year]],10)</f>
        <v>2010</v>
      </c>
      <c r="D4028" t="s">
        <v>65</v>
      </c>
      <c r="E4028" t="s">
        <v>14</v>
      </c>
      <c r="F4028">
        <v>0</v>
      </c>
      <c r="G4028">
        <v>1</v>
      </c>
      <c r="H4028" t="s">
        <v>74</v>
      </c>
      <c r="I4028" t="s">
        <v>166</v>
      </c>
      <c r="J4028" t="s">
        <v>50</v>
      </c>
      <c r="K4028" t="b">
        <v>1</v>
      </c>
      <c r="L4028">
        <v>2010</v>
      </c>
      <c r="M4028">
        <v>15839344591</v>
      </c>
      <c r="N4028">
        <v>217051209238</v>
      </c>
      <c r="O4028" t="b">
        <v>1</v>
      </c>
      <c r="P4028">
        <v>1</v>
      </c>
      <c r="Q4028" t="str" cm="1">
        <f t="array" ref="Q4028">_xlfn.IFS(Table1[[#This Row],[Wealthier_Winner]]=-1,"Wealthier Nation Loses",Table1[[#This Row],[Wealthier_Winner]]=0,"Tie",Table1[[#This Row],[Wealthier_Winner]]=1,"Wealthier Nation Wins")</f>
        <v>Wealthier Nation Wins</v>
      </c>
    </row>
    <row r="4029" spans="1:17" x14ac:dyDescent="0.2">
      <c r="A4029" s="1">
        <v>6072</v>
      </c>
      <c r="B4029" s="2">
        <v>40345</v>
      </c>
      <c r="C4029" s="7">
        <f>_xlfn.FLOOR.MATH(Table1[[#This Row],[year]],10)</f>
        <v>2010</v>
      </c>
      <c r="D4029" t="s">
        <v>50</v>
      </c>
      <c r="E4029" t="s">
        <v>26</v>
      </c>
      <c r="F4029">
        <v>0</v>
      </c>
      <c r="G4029">
        <v>3</v>
      </c>
      <c r="H4029" t="s">
        <v>74</v>
      </c>
      <c r="I4029" t="s">
        <v>164</v>
      </c>
      <c r="J4029" t="s">
        <v>50</v>
      </c>
      <c r="K4029" t="b">
        <v>0</v>
      </c>
      <c r="L4029">
        <v>2010</v>
      </c>
      <c r="M4029">
        <v>417363822801</v>
      </c>
      <c r="N4029">
        <v>41950361211</v>
      </c>
      <c r="O4029" t="b">
        <v>1</v>
      </c>
      <c r="P4029">
        <v>-1</v>
      </c>
      <c r="Q4029" t="str" cm="1">
        <f t="array" ref="Q4029">_xlfn.IFS(Table1[[#This Row],[Wealthier_Winner]]=-1,"Wealthier Nation Loses",Table1[[#This Row],[Wealthier_Winner]]=0,"Tie",Table1[[#This Row],[Wealthier_Winner]]=1,"Wealthier Nation Wins")</f>
        <v>Wealthier Nation Loses</v>
      </c>
    </row>
    <row r="4030" spans="1:17" x14ac:dyDescent="0.2">
      <c r="A4030" s="1">
        <v>6073</v>
      </c>
      <c r="B4030" s="2">
        <v>40345</v>
      </c>
      <c r="C4030" s="7">
        <f>_xlfn.FLOOR.MATH(Table1[[#This Row],[year]],10)</f>
        <v>2010</v>
      </c>
      <c r="D4030" t="s">
        <v>21</v>
      </c>
      <c r="E4030" t="s">
        <v>46</v>
      </c>
      <c r="F4030">
        <v>0</v>
      </c>
      <c r="G4030">
        <v>1</v>
      </c>
      <c r="H4030" t="s">
        <v>74</v>
      </c>
      <c r="I4030" t="s">
        <v>163</v>
      </c>
      <c r="J4030" t="s">
        <v>50</v>
      </c>
      <c r="K4030" t="b">
        <v>1</v>
      </c>
      <c r="L4030">
        <v>2010</v>
      </c>
      <c r="M4030">
        <v>1427989078916</v>
      </c>
      <c r="N4030">
        <v>598851028906</v>
      </c>
      <c r="O4030" t="b">
        <v>1</v>
      </c>
      <c r="P4030">
        <v>-1</v>
      </c>
      <c r="Q4030" t="str" cm="1">
        <f t="array" ref="Q4030">_xlfn.IFS(Table1[[#This Row],[Wealthier_Winner]]=-1,"Wealthier Nation Loses",Table1[[#This Row],[Wealthier_Winner]]=0,"Tie",Table1[[#This Row],[Wealthier_Winner]]=1,"Wealthier Nation Wins")</f>
        <v>Wealthier Nation Loses</v>
      </c>
    </row>
    <row r="4031" spans="1:17" x14ac:dyDescent="0.2">
      <c r="A4031" s="1">
        <v>6074</v>
      </c>
      <c r="B4031" s="2">
        <v>40346</v>
      </c>
      <c r="C4031" s="7">
        <f>_xlfn.FLOOR.MATH(Table1[[#This Row],[year]],10)</f>
        <v>2010</v>
      </c>
      <c r="D4031" t="s">
        <v>19</v>
      </c>
      <c r="E4031" t="s">
        <v>195</v>
      </c>
      <c r="F4031">
        <v>4</v>
      </c>
      <c r="G4031">
        <v>1</v>
      </c>
      <c r="H4031" t="s">
        <v>74</v>
      </c>
      <c r="I4031" t="s">
        <v>160</v>
      </c>
      <c r="J4031" t="s">
        <v>50</v>
      </c>
      <c r="K4031" t="b">
        <v>1</v>
      </c>
      <c r="L4031">
        <v>2010</v>
      </c>
      <c r="M4031">
        <v>423627422092</v>
      </c>
      <c r="N4031">
        <v>1192830015737</v>
      </c>
      <c r="O4031" t="b">
        <v>1</v>
      </c>
      <c r="P4031">
        <v>-1</v>
      </c>
      <c r="Q4031" t="str" cm="1">
        <f t="array" ref="Q4031">_xlfn.IFS(Table1[[#This Row],[Wealthier_Winner]]=-1,"Wealthier Nation Loses",Table1[[#This Row],[Wealthier_Winner]]=0,"Tie",Table1[[#This Row],[Wealthier_Winner]]=1,"Wealthier Nation Wins")</f>
        <v>Wealthier Nation Loses</v>
      </c>
    </row>
    <row r="4032" spans="1:17" x14ac:dyDescent="0.2">
      <c r="A4032" s="1">
        <v>6075</v>
      </c>
      <c r="B4032" s="2">
        <v>40346</v>
      </c>
      <c r="C4032" s="7">
        <f>_xlfn.FLOOR.MATH(Table1[[#This Row],[year]],10)</f>
        <v>2010</v>
      </c>
      <c r="D4032" t="s">
        <v>20</v>
      </c>
      <c r="E4032" t="s">
        <v>17</v>
      </c>
      <c r="F4032">
        <v>0</v>
      </c>
      <c r="G4032">
        <v>2</v>
      </c>
      <c r="H4032" t="s">
        <v>74</v>
      </c>
      <c r="I4032" t="s">
        <v>162</v>
      </c>
      <c r="J4032" t="s">
        <v>50</v>
      </c>
      <c r="K4032" t="b">
        <v>1</v>
      </c>
      <c r="L4032">
        <v>2010</v>
      </c>
      <c r="M4032">
        <v>2646230027988</v>
      </c>
      <c r="N4032">
        <v>1105424238731</v>
      </c>
      <c r="O4032" t="b">
        <v>1</v>
      </c>
      <c r="P4032">
        <v>-1</v>
      </c>
      <c r="Q4032" t="str" cm="1">
        <f t="array" ref="Q4032">_xlfn.IFS(Table1[[#This Row],[Wealthier_Winner]]=-1,"Wealthier Nation Loses",Table1[[#This Row],[Wealthier_Winner]]=0,"Tie",Table1[[#This Row],[Wealthier_Winner]]=1,"Wealthier Nation Wins")</f>
        <v>Wealthier Nation Loses</v>
      </c>
    </row>
    <row r="4033" spans="1:17" x14ac:dyDescent="0.2">
      <c r="A4033" s="1">
        <v>6076</v>
      </c>
      <c r="B4033" s="2">
        <v>40346</v>
      </c>
      <c r="C4033" s="7">
        <f>_xlfn.FLOOR.MATH(Table1[[#This Row],[year]],10)</f>
        <v>2010</v>
      </c>
      <c r="D4033" t="s">
        <v>48</v>
      </c>
      <c r="E4033" t="s">
        <v>43</v>
      </c>
      <c r="F4033">
        <v>2</v>
      </c>
      <c r="G4033">
        <v>1</v>
      </c>
      <c r="H4033" t="s">
        <v>74</v>
      </c>
      <c r="I4033" t="s">
        <v>165</v>
      </c>
      <c r="J4033" t="s">
        <v>50</v>
      </c>
      <c r="K4033" t="b">
        <v>1</v>
      </c>
      <c r="L4033">
        <v>2010</v>
      </c>
      <c r="M4033">
        <v>296417644404</v>
      </c>
      <c r="N4033">
        <v>366990417129</v>
      </c>
      <c r="O4033" t="b">
        <v>0</v>
      </c>
      <c r="P4033">
        <v>-1</v>
      </c>
      <c r="Q4033" t="str" cm="1">
        <f t="array" ref="Q4033">_xlfn.IFS(Table1[[#This Row],[Wealthier_Winner]]=-1,"Wealthier Nation Loses",Table1[[#This Row],[Wealthier_Winner]]=0,"Tie",Table1[[#This Row],[Wealthier_Winner]]=1,"Wealthier Nation Wins")</f>
        <v>Wealthier Nation Loses</v>
      </c>
    </row>
    <row r="4034" spans="1:17" x14ac:dyDescent="0.2">
      <c r="A4034" s="1">
        <v>6077</v>
      </c>
      <c r="B4034" s="2">
        <v>40347</v>
      </c>
      <c r="C4034" s="7">
        <f>_xlfn.FLOOR.MATH(Table1[[#This Row],[year]],10)</f>
        <v>2010</v>
      </c>
      <c r="D4034" t="s">
        <v>194</v>
      </c>
      <c r="E4034" t="s">
        <v>32</v>
      </c>
      <c r="F4034">
        <v>0</v>
      </c>
      <c r="G4034">
        <v>0</v>
      </c>
      <c r="H4034" t="s">
        <v>74</v>
      </c>
      <c r="I4034" t="s">
        <v>161</v>
      </c>
      <c r="J4034" t="s">
        <v>50</v>
      </c>
      <c r="K4034" t="b">
        <v>1</v>
      </c>
      <c r="L4034">
        <v>2010</v>
      </c>
      <c r="M4034">
        <v>2496740681057</v>
      </c>
      <c r="N4034">
        <v>177785053939</v>
      </c>
      <c r="O4034" t="b">
        <v>1</v>
      </c>
      <c r="P4034">
        <v>0</v>
      </c>
      <c r="Q4034" t="str" cm="1">
        <f t="array" ref="Q4034">_xlfn.IFS(Table1[[#This Row],[Wealthier_Winner]]=-1,"Wealthier Nation Loses",Table1[[#This Row],[Wealthier_Winner]]=0,"Tie",Table1[[#This Row],[Wealthier_Winner]]=1,"Wealthier Nation Wins")</f>
        <v>Tie</v>
      </c>
    </row>
    <row r="4035" spans="1:17" x14ac:dyDescent="0.2">
      <c r="A4035" s="1">
        <v>6078</v>
      </c>
      <c r="B4035" s="2">
        <v>40347</v>
      </c>
      <c r="C4035" s="7">
        <f>_xlfn.FLOOR.MATH(Table1[[#This Row],[year]],10)</f>
        <v>2010</v>
      </c>
      <c r="D4035" t="s">
        <v>16</v>
      </c>
      <c r="E4035" t="s">
        <v>61</v>
      </c>
      <c r="F4035">
        <v>0</v>
      </c>
      <c r="G4035">
        <v>1</v>
      </c>
      <c r="H4035" t="s">
        <v>74</v>
      </c>
      <c r="I4035" t="s">
        <v>167</v>
      </c>
      <c r="J4035" t="s">
        <v>50</v>
      </c>
      <c r="K4035" t="b">
        <v>1</v>
      </c>
      <c r="L4035">
        <v>2010</v>
      </c>
      <c r="M4035">
        <v>3467093769666</v>
      </c>
      <c r="N4035">
        <v>43536629233</v>
      </c>
      <c r="O4035" t="b">
        <v>1</v>
      </c>
      <c r="P4035">
        <v>-1</v>
      </c>
      <c r="Q4035" t="str" cm="1">
        <f t="array" ref="Q4035">_xlfn.IFS(Table1[[#This Row],[Wealthier_Winner]]=-1,"Wealthier Nation Loses",Table1[[#This Row],[Wealthier_Winner]]=0,"Tie",Table1[[#This Row],[Wealthier_Winner]]=1,"Wealthier Nation Wins")</f>
        <v>Wealthier Nation Loses</v>
      </c>
    </row>
    <row r="4036" spans="1:17" x14ac:dyDescent="0.2">
      <c r="A4036" s="1">
        <v>6079</v>
      </c>
      <c r="B4036" s="2">
        <v>40347</v>
      </c>
      <c r="C4036" s="7">
        <f>_xlfn.FLOOR.MATH(Table1[[#This Row],[year]],10)</f>
        <v>2010</v>
      </c>
      <c r="D4036" t="s">
        <v>55</v>
      </c>
      <c r="E4036" t="s">
        <v>41</v>
      </c>
      <c r="F4036">
        <v>2</v>
      </c>
      <c r="G4036">
        <v>2</v>
      </c>
      <c r="H4036" t="s">
        <v>74</v>
      </c>
      <c r="I4036" t="s">
        <v>160</v>
      </c>
      <c r="J4036" t="s">
        <v>50</v>
      </c>
      <c r="K4036" t="b">
        <v>1</v>
      </c>
      <c r="L4036">
        <v>2010</v>
      </c>
      <c r="M4036">
        <v>47793117240</v>
      </c>
      <c r="N4036">
        <v>15048964444000</v>
      </c>
      <c r="O4036" t="b">
        <v>1</v>
      </c>
      <c r="P4036">
        <v>0</v>
      </c>
      <c r="Q4036" t="str" cm="1">
        <f t="array" ref="Q4036">_xlfn.IFS(Table1[[#This Row],[Wealthier_Winner]]=-1,"Wealthier Nation Loses",Table1[[#This Row],[Wealthier_Winner]]=0,"Tie",Table1[[#This Row],[Wealthier_Winner]]=1,"Wealthier Nation Wins")</f>
        <v>Tie</v>
      </c>
    </row>
    <row r="4037" spans="1:17" x14ac:dyDescent="0.2">
      <c r="A4037" s="1">
        <v>6080</v>
      </c>
      <c r="B4037" s="2">
        <v>40348</v>
      </c>
      <c r="C4037" s="7">
        <f>_xlfn.FLOOR.MATH(Table1[[#This Row],[year]],10)</f>
        <v>2010</v>
      </c>
      <c r="D4037" t="s">
        <v>40</v>
      </c>
      <c r="E4037" t="s">
        <v>36</v>
      </c>
      <c r="F4037">
        <v>1</v>
      </c>
      <c r="G4037">
        <v>2</v>
      </c>
      <c r="H4037" t="s">
        <v>74</v>
      </c>
      <c r="I4037" t="s">
        <v>164</v>
      </c>
      <c r="J4037" t="s">
        <v>50</v>
      </c>
      <c r="K4037" t="b">
        <v>1</v>
      </c>
      <c r="L4037">
        <v>2010</v>
      </c>
      <c r="M4037">
        <v>27507501821</v>
      </c>
      <c r="N4037">
        <v>322345594075</v>
      </c>
      <c r="O4037" t="b">
        <v>1</v>
      </c>
      <c r="P4037">
        <v>1</v>
      </c>
      <c r="Q4037" t="str" cm="1">
        <f t="array" ref="Q4037">_xlfn.IFS(Table1[[#This Row],[Wealthier_Winner]]=-1,"Wealthier Nation Loses",Table1[[#This Row],[Wealthier_Winner]]=0,"Tie",Table1[[#This Row],[Wealthier_Winner]]=1,"Wealthier Nation Wins")</f>
        <v>Wealthier Nation Wins</v>
      </c>
    </row>
    <row r="4038" spans="1:17" x14ac:dyDescent="0.2">
      <c r="A4038" s="1">
        <v>6081</v>
      </c>
      <c r="B4038" s="2">
        <v>40348</v>
      </c>
      <c r="C4038" s="7">
        <f>_xlfn.FLOOR.MATH(Table1[[#This Row],[year]],10)</f>
        <v>2010</v>
      </c>
      <c r="D4038" t="s">
        <v>63</v>
      </c>
      <c r="E4038" t="s">
        <v>28</v>
      </c>
      <c r="F4038">
        <v>1</v>
      </c>
      <c r="G4038">
        <v>1</v>
      </c>
      <c r="H4038" t="s">
        <v>74</v>
      </c>
      <c r="I4038" t="s">
        <v>168</v>
      </c>
      <c r="J4038" t="s">
        <v>50</v>
      </c>
      <c r="K4038" t="b">
        <v>1</v>
      </c>
      <c r="L4038">
        <v>2010</v>
      </c>
      <c r="M4038">
        <v>32197655566</v>
      </c>
      <c r="N4038">
        <v>1152566632022</v>
      </c>
      <c r="O4038" t="b">
        <v>1</v>
      </c>
      <c r="P4038">
        <v>0</v>
      </c>
      <c r="Q4038" t="str" cm="1">
        <f t="array" ref="Q4038">_xlfn.IFS(Table1[[#This Row],[Wealthier_Winner]]=-1,"Wealthier Nation Loses",Table1[[#This Row],[Wealthier_Winner]]=0,"Tie",Table1[[#This Row],[Wealthier_Winner]]=1,"Wealthier Nation Wins")</f>
        <v>Tie</v>
      </c>
    </row>
    <row r="4039" spans="1:17" x14ac:dyDescent="0.2">
      <c r="A4039" s="1">
        <v>6082</v>
      </c>
      <c r="B4039" s="2">
        <v>40348</v>
      </c>
      <c r="C4039" s="7">
        <f>_xlfn.FLOOR.MATH(Table1[[#This Row],[year]],10)</f>
        <v>2010</v>
      </c>
      <c r="D4039" t="s">
        <v>27</v>
      </c>
      <c r="E4039" t="s">
        <v>51</v>
      </c>
      <c r="F4039">
        <v>1</v>
      </c>
      <c r="G4039">
        <v>0</v>
      </c>
      <c r="H4039" t="s">
        <v>74</v>
      </c>
      <c r="I4039" t="s">
        <v>163</v>
      </c>
      <c r="J4039" t="s">
        <v>50</v>
      </c>
      <c r="K4039" t="b">
        <v>1</v>
      </c>
      <c r="L4039">
        <v>2010</v>
      </c>
      <c r="M4039">
        <v>852464982433</v>
      </c>
      <c r="N4039">
        <v>5759071769013</v>
      </c>
      <c r="O4039" t="b">
        <v>1</v>
      </c>
      <c r="P4039">
        <v>-1</v>
      </c>
      <c r="Q4039" t="str" cm="1">
        <f t="array" ref="Q4039">_xlfn.IFS(Table1[[#This Row],[Wealthier_Winner]]=-1,"Wealthier Nation Loses",Table1[[#This Row],[Wealthier_Winner]]=0,"Tie",Table1[[#This Row],[Wealthier_Winner]]=1,"Wealthier Nation Wins")</f>
        <v>Wealthier Nation Loses</v>
      </c>
    </row>
    <row r="4040" spans="1:17" x14ac:dyDescent="0.2">
      <c r="A4040" s="1">
        <v>6084</v>
      </c>
      <c r="B4040" s="2">
        <v>40349</v>
      </c>
      <c r="C4040" s="7">
        <f>_xlfn.FLOOR.MATH(Table1[[#This Row],[year]],10)</f>
        <v>2010</v>
      </c>
      <c r="D4040" t="s">
        <v>18</v>
      </c>
      <c r="E4040" t="s">
        <v>72</v>
      </c>
      <c r="F4040">
        <v>1</v>
      </c>
      <c r="G4040">
        <v>1</v>
      </c>
      <c r="H4040" t="s">
        <v>74</v>
      </c>
      <c r="I4040" t="s">
        <v>166</v>
      </c>
      <c r="J4040" t="s">
        <v>50</v>
      </c>
      <c r="K4040" t="b">
        <v>1</v>
      </c>
      <c r="L4040">
        <v>2010</v>
      </c>
      <c r="M4040">
        <v>2144936254535</v>
      </c>
      <c r="N4040">
        <v>146887902524</v>
      </c>
      <c r="O4040" t="b">
        <v>1</v>
      </c>
      <c r="P4040">
        <v>0</v>
      </c>
      <c r="Q4040" t="str" cm="1">
        <f t="array" ref="Q4040">_xlfn.IFS(Table1[[#This Row],[Wealthier_Winner]]=-1,"Wealthier Nation Loses",Table1[[#This Row],[Wealthier_Winner]]=0,"Tie",Table1[[#This Row],[Wealthier_Winner]]=1,"Wealthier Nation Wins")</f>
        <v>Tie</v>
      </c>
    </row>
    <row r="4041" spans="1:17" x14ac:dyDescent="0.2">
      <c r="A4041" s="1">
        <v>6086</v>
      </c>
      <c r="B4041" s="2">
        <v>40350</v>
      </c>
      <c r="C4041" s="7">
        <f>_xlfn.FLOOR.MATH(Table1[[#This Row],[year]],10)</f>
        <v>2010</v>
      </c>
      <c r="D4041" t="s">
        <v>14</v>
      </c>
      <c r="E4041" t="s">
        <v>46</v>
      </c>
      <c r="F4041">
        <v>1</v>
      </c>
      <c r="G4041">
        <v>0</v>
      </c>
      <c r="H4041" t="s">
        <v>74</v>
      </c>
      <c r="I4041" t="s">
        <v>167</v>
      </c>
      <c r="J4041" t="s">
        <v>50</v>
      </c>
      <c r="K4041" t="b">
        <v>1</v>
      </c>
      <c r="L4041">
        <v>2010</v>
      </c>
      <c r="M4041">
        <v>217051209238</v>
      </c>
      <c r="N4041">
        <v>598851028906</v>
      </c>
      <c r="O4041" t="b">
        <v>1</v>
      </c>
      <c r="P4041">
        <v>-1</v>
      </c>
      <c r="Q4041" t="str" cm="1">
        <f t="array" ref="Q4041">_xlfn.IFS(Table1[[#This Row],[Wealthier_Winner]]=-1,"Wealthier Nation Loses",Table1[[#This Row],[Wealthier_Winner]]=0,"Tie",Table1[[#This Row],[Wealthier_Winner]]=1,"Wealthier Nation Wins")</f>
        <v>Wealthier Nation Loses</v>
      </c>
    </row>
    <row r="4042" spans="1:17" x14ac:dyDescent="0.2">
      <c r="A4042" s="1">
        <v>6088</v>
      </c>
      <c r="B4042" s="2">
        <v>40350</v>
      </c>
      <c r="C4042" s="7">
        <f>_xlfn.FLOOR.MATH(Table1[[#This Row],[year]],10)</f>
        <v>2010</v>
      </c>
      <c r="D4042" t="s">
        <v>21</v>
      </c>
      <c r="E4042" t="s">
        <v>65</v>
      </c>
      <c r="F4042">
        <v>2</v>
      </c>
      <c r="G4042">
        <v>0</v>
      </c>
      <c r="H4042" t="s">
        <v>74</v>
      </c>
      <c r="I4042" t="s">
        <v>160</v>
      </c>
      <c r="J4042" t="s">
        <v>50</v>
      </c>
      <c r="K4042" t="b">
        <v>1</v>
      </c>
      <c r="L4042">
        <v>2010</v>
      </c>
      <c r="M4042">
        <v>1427989078916</v>
      </c>
      <c r="N4042">
        <v>15839344591</v>
      </c>
      <c r="O4042" t="b">
        <v>1</v>
      </c>
      <c r="P4042">
        <v>1</v>
      </c>
      <c r="Q4042" t="str" cm="1">
        <f t="array" ref="Q4042">_xlfn.IFS(Table1[[#This Row],[Wealthier_Winner]]=-1,"Wealthier Nation Loses",Table1[[#This Row],[Wealthier_Winner]]=0,"Tie",Table1[[#This Row],[Wealthier_Winner]]=1,"Wealthier Nation Wins")</f>
        <v>Wealthier Nation Wins</v>
      </c>
    </row>
    <row r="4043" spans="1:17" x14ac:dyDescent="0.2">
      <c r="A4043" s="1">
        <v>6089</v>
      </c>
      <c r="B4043" s="2">
        <v>40351</v>
      </c>
      <c r="C4043" s="7">
        <f>_xlfn.FLOOR.MATH(Table1[[#This Row],[year]],10)</f>
        <v>2010</v>
      </c>
      <c r="D4043" t="s">
        <v>48</v>
      </c>
      <c r="E4043" t="s">
        <v>19</v>
      </c>
      <c r="F4043">
        <v>0</v>
      </c>
      <c r="G4043">
        <v>2</v>
      </c>
      <c r="H4043" t="s">
        <v>74</v>
      </c>
      <c r="I4043" t="s">
        <v>162</v>
      </c>
      <c r="J4043" t="s">
        <v>50</v>
      </c>
      <c r="K4043" t="b">
        <v>1</v>
      </c>
      <c r="L4043">
        <v>2010</v>
      </c>
      <c r="M4043">
        <v>296417644404</v>
      </c>
      <c r="N4043">
        <v>423627422092</v>
      </c>
      <c r="O4043" t="b">
        <v>0</v>
      </c>
      <c r="P4043">
        <v>1</v>
      </c>
      <c r="Q4043" t="str" cm="1">
        <f t="array" ref="Q4043">_xlfn.IFS(Table1[[#This Row],[Wealthier_Winner]]=-1,"Wealthier Nation Loses",Table1[[#This Row],[Wealthier_Winner]]=0,"Tie",Table1[[#This Row],[Wealthier_Winner]]=1,"Wealthier Nation Wins")</f>
        <v>Wealthier Nation Wins</v>
      </c>
    </row>
    <row r="4044" spans="1:17" x14ac:dyDescent="0.2">
      <c r="A4044" s="1">
        <v>6090</v>
      </c>
      <c r="B4044" s="2">
        <v>40351</v>
      </c>
      <c r="C4044" s="7">
        <f>_xlfn.FLOOR.MATH(Table1[[#This Row],[year]],10)</f>
        <v>2010</v>
      </c>
      <c r="D4044" t="s">
        <v>17</v>
      </c>
      <c r="E4044" t="s">
        <v>26</v>
      </c>
      <c r="F4044">
        <v>0</v>
      </c>
      <c r="G4044">
        <v>1</v>
      </c>
      <c r="H4044" t="s">
        <v>74</v>
      </c>
      <c r="I4044" t="s">
        <v>168</v>
      </c>
      <c r="J4044" t="s">
        <v>50</v>
      </c>
      <c r="K4044" t="b">
        <v>1</v>
      </c>
      <c r="L4044">
        <v>2010</v>
      </c>
      <c r="M4044">
        <v>1105424238731</v>
      </c>
      <c r="N4044">
        <v>41950361211</v>
      </c>
      <c r="O4044" t="b">
        <v>1</v>
      </c>
      <c r="P4044">
        <v>-1</v>
      </c>
      <c r="Q4044" t="str" cm="1">
        <f t="array" ref="Q4044">_xlfn.IFS(Table1[[#This Row],[Wealthier_Winner]]=-1,"Wealthier Nation Loses",Table1[[#This Row],[Wealthier_Winner]]=0,"Tie",Table1[[#This Row],[Wealthier_Winner]]=1,"Wealthier Nation Wins")</f>
        <v>Wealthier Nation Loses</v>
      </c>
    </row>
    <row r="4045" spans="1:17" x14ac:dyDescent="0.2">
      <c r="A4045" s="1">
        <v>6091</v>
      </c>
      <c r="B4045" s="2">
        <v>40351</v>
      </c>
      <c r="C4045" s="7">
        <f>_xlfn.FLOOR.MATH(Table1[[#This Row],[year]],10)</f>
        <v>2010</v>
      </c>
      <c r="D4045" t="s">
        <v>43</v>
      </c>
      <c r="E4045" t="s">
        <v>195</v>
      </c>
      <c r="F4045">
        <v>2</v>
      </c>
      <c r="G4045">
        <v>2</v>
      </c>
      <c r="H4045" t="s">
        <v>74</v>
      </c>
      <c r="I4045" t="s">
        <v>163</v>
      </c>
      <c r="J4045" t="s">
        <v>50</v>
      </c>
      <c r="K4045" t="b">
        <v>1</v>
      </c>
      <c r="L4045">
        <v>2010</v>
      </c>
      <c r="M4045">
        <v>366990417129</v>
      </c>
      <c r="N4045">
        <v>1192830015737</v>
      </c>
      <c r="O4045" t="b">
        <v>1</v>
      </c>
      <c r="P4045">
        <v>0</v>
      </c>
      <c r="Q4045" t="str" cm="1">
        <f t="array" ref="Q4045">_xlfn.IFS(Table1[[#This Row],[Wealthier_Winner]]=-1,"Wealthier Nation Loses",Table1[[#This Row],[Wealthier_Winner]]=0,"Tie",Table1[[#This Row],[Wealthier_Winner]]=1,"Wealthier Nation Wins")</f>
        <v>Tie</v>
      </c>
    </row>
    <row r="4046" spans="1:17" x14ac:dyDescent="0.2">
      <c r="A4046" s="1">
        <v>6092</v>
      </c>
      <c r="B4046" s="2">
        <v>40351</v>
      </c>
      <c r="C4046" s="7">
        <f>_xlfn.FLOOR.MATH(Table1[[#This Row],[year]],10)</f>
        <v>2010</v>
      </c>
      <c r="D4046" t="s">
        <v>50</v>
      </c>
      <c r="E4046" t="s">
        <v>20</v>
      </c>
      <c r="F4046">
        <v>2</v>
      </c>
      <c r="G4046">
        <v>1</v>
      </c>
      <c r="H4046" t="s">
        <v>74</v>
      </c>
      <c r="I4046" t="s">
        <v>165</v>
      </c>
      <c r="J4046" t="s">
        <v>50</v>
      </c>
      <c r="K4046" t="b">
        <v>0</v>
      </c>
      <c r="L4046">
        <v>2010</v>
      </c>
      <c r="M4046">
        <v>417363822801</v>
      </c>
      <c r="N4046">
        <v>2646230027988</v>
      </c>
      <c r="O4046" t="b">
        <v>1</v>
      </c>
      <c r="P4046">
        <v>-1</v>
      </c>
      <c r="Q4046" t="str" cm="1">
        <f t="array" ref="Q4046">_xlfn.IFS(Table1[[#This Row],[Wealthier_Winner]]=-1,"Wealthier Nation Loses",Table1[[#This Row],[Wealthier_Winner]]=0,"Tie",Table1[[#This Row],[Wealthier_Winner]]=1,"Wealthier Nation Wins")</f>
        <v>Wealthier Nation Loses</v>
      </c>
    </row>
    <row r="4047" spans="1:17" x14ac:dyDescent="0.2">
      <c r="A4047" s="1">
        <v>6093</v>
      </c>
      <c r="B4047" s="2">
        <v>40352</v>
      </c>
      <c r="C4047" s="7">
        <f>_xlfn.FLOOR.MATH(Table1[[#This Row],[year]],10)</f>
        <v>2010</v>
      </c>
      <c r="D4047" t="s">
        <v>28</v>
      </c>
      <c r="E4047" t="s">
        <v>61</v>
      </c>
      <c r="F4047">
        <v>2</v>
      </c>
      <c r="G4047">
        <v>1</v>
      </c>
      <c r="H4047" t="s">
        <v>74</v>
      </c>
      <c r="I4047" t="s">
        <v>166</v>
      </c>
      <c r="J4047" t="s">
        <v>50</v>
      </c>
      <c r="K4047" t="b">
        <v>1</v>
      </c>
      <c r="L4047">
        <v>2010</v>
      </c>
      <c r="M4047">
        <v>1152566632022</v>
      </c>
      <c r="N4047">
        <v>43536629233</v>
      </c>
      <c r="O4047" t="b">
        <v>1</v>
      </c>
      <c r="P4047">
        <v>1</v>
      </c>
      <c r="Q4047" t="str" cm="1">
        <f t="array" ref="Q4047">_xlfn.IFS(Table1[[#This Row],[Wealthier_Winner]]=-1,"Wealthier Nation Loses",Table1[[#This Row],[Wealthier_Winner]]=0,"Tie",Table1[[#This Row],[Wealthier_Winner]]=1,"Wealthier Nation Wins")</f>
        <v>Wealthier Nation Wins</v>
      </c>
    </row>
    <row r="4048" spans="1:17" x14ac:dyDescent="0.2">
      <c r="A4048" s="1">
        <v>6094</v>
      </c>
      <c r="B4048" s="2">
        <v>40352</v>
      </c>
      <c r="C4048" s="7">
        <f>_xlfn.FLOOR.MATH(Table1[[#This Row],[year]],10)</f>
        <v>2010</v>
      </c>
      <c r="D4048" t="s">
        <v>63</v>
      </c>
      <c r="E4048" t="s">
        <v>16</v>
      </c>
      <c r="F4048">
        <v>0</v>
      </c>
      <c r="G4048">
        <v>1</v>
      </c>
      <c r="H4048" t="s">
        <v>74</v>
      </c>
      <c r="I4048" t="s">
        <v>160</v>
      </c>
      <c r="J4048" t="s">
        <v>50</v>
      </c>
      <c r="K4048" t="b">
        <v>1</v>
      </c>
      <c r="L4048">
        <v>2010</v>
      </c>
      <c r="M4048">
        <v>32197655566</v>
      </c>
      <c r="N4048">
        <v>3467093769666</v>
      </c>
      <c r="O4048" t="b">
        <v>1</v>
      </c>
      <c r="P4048">
        <v>1</v>
      </c>
      <c r="Q4048" t="str" cm="1">
        <f t="array" ref="Q4048">_xlfn.IFS(Table1[[#This Row],[Wealthier_Winner]]=-1,"Wealthier Nation Loses",Table1[[#This Row],[Wealthier_Winner]]=0,"Tie",Table1[[#This Row],[Wealthier_Winner]]=1,"Wealthier Nation Wins")</f>
        <v>Wealthier Nation Wins</v>
      </c>
    </row>
    <row r="4049" spans="1:17" x14ac:dyDescent="0.2">
      <c r="A4049" s="1">
        <v>6095</v>
      </c>
      <c r="B4049" s="2">
        <v>40352</v>
      </c>
      <c r="C4049" s="7">
        <f>_xlfn.FLOOR.MATH(Table1[[#This Row],[year]],10)</f>
        <v>2010</v>
      </c>
      <c r="D4049" t="s">
        <v>55</v>
      </c>
      <c r="E4049" t="s">
        <v>194</v>
      </c>
      <c r="F4049">
        <v>0</v>
      </c>
      <c r="G4049">
        <v>1</v>
      </c>
      <c r="H4049" t="s">
        <v>74</v>
      </c>
      <c r="I4049" t="s">
        <v>167</v>
      </c>
      <c r="J4049" t="s">
        <v>50</v>
      </c>
      <c r="K4049" t="b">
        <v>1</v>
      </c>
      <c r="L4049">
        <v>2010</v>
      </c>
      <c r="M4049">
        <v>47793117240</v>
      </c>
      <c r="N4049">
        <v>2496740681057</v>
      </c>
      <c r="O4049" t="b">
        <v>1</v>
      </c>
      <c r="P4049">
        <v>1</v>
      </c>
      <c r="Q4049" t="str" cm="1">
        <f t="array" ref="Q4049">_xlfn.IFS(Table1[[#This Row],[Wealthier_Winner]]=-1,"Wealthier Nation Loses",Table1[[#This Row],[Wealthier_Winner]]=0,"Tie",Table1[[#This Row],[Wealthier_Winner]]=1,"Wealthier Nation Wins")</f>
        <v>Wealthier Nation Wins</v>
      </c>
    </row>
    <row r="4050" spans="1:17" x14ac:dyDescent="0.2">
      <c r="A4050" s="1">
        <v>6096</v>
      </c>
      <c r="B4050" s="2">
        <v>40352</v>
      </c>
      <c r="C4050" s="7">
        <f>_xlfn.FLOOR.MATH(Table1[[#This Row],[year]],10)</f>
        <v>2010</v>
      </c>
      <c r="D4050" t="s">
        <v>41</v>
      </c>
      <c r="E4050" t="s">
        <v>32</v>
      </c>
      <c r="F4050">
        <v>1</v>
      </c>
      <c r="G4050">
        <v>0</v>
      </c>
      <c r="H4050" t="s">
        <v>74</v>
      </c>
      <c r="I4050" t="s">
        <v>164</v>
      </c>
      <c r="J4050" t="s">
        <v>50</v>
      </c>
      <c r="K4050" t="b">
        <v>1</v>
      </c>
      <c r="L4050">
        <v>2010</v>
      </c>
      <c r="M4050">
        <v>15048964444000</v>
      </c>
      <c r="N4050">
        <v>177785053939</v>
      </c>
      <c r="O4050" t="b">
        <v>1</v>
      </c>
      <c r="P4050">
        <v>1</v>
      </c>
      <c r="Q4050" t="str" cm="1">
        <f t="array" ref="Q4050">_xlfn.IFS(Table1[[#This Row],[Wealthier_Winner]]=-1,"Wealthier Nation Loses",Table1[[#This Row],[Wealthier_Winner]]=0,"Tie",Table1[[#This Row],[Wealthier_Winner]]=1,"Wealthier Nation Wins")</f>
        <v>Wealthier Nation Wins</v>
      </c>
    </row>
    <row r="4051" spans="1:17" x14ac:dyDescent="0.2">
      <c r="A4051" s="1">
        <v>6097</v>
      </c>
      <c r="B4051" s="2">
        <v>40353</v>
      </c>
      <c r="C4051" s="7">
        <f>_xlfn.FLOOR.MATH(Table1[[#This Row],[year]],10)</f>
        <v>2010</v>
      </c>
      <c r="D4051" t="s">
        <v>40</v>
      </c>
      <c r="E4051" t="s">
        <v>27</v>
      </c>
      <c r="F4051">
        <v>1</v>
      </c>
      <c r="G4051">
        <v>2</v>
      </c>
      <c r="H4051" t="s">
        <v>74</v>
      </c>
      <c r="I4051" t="s">
        <v>161</v>
      </c>
      <c r="J4051" t="s">
        <v>50</v>
      </c>
      <c r="K4051" t="b">
        <v>1</v>
      </c>
      <c r="L4051">
        <v>2010</v>
      </c>
      <c r="M4051">
        <v>27507501821</v>
      </c>
      <c r="N4051">
        <v>852464982433</v>
      </c>
      <c r="O4051" t="b">
        <v>1</v>
      </c>
      <c r="P4051">
        <v>1</v>
      </c>
      <c r="Q4051" t="str" cm="1">
        <f t="array" ref="Q4051">_xlfn.IFS(Table1[[#This Row],[Wealthier_Winner]]=-1,"Wealthier Nation Loses",Table1[[#This Row],[Wealthier_Winner]]=0,"Tie",Table1[[#This Row],[Wealthier_Winner]]=1,"Wealthier Nation Wins")</f>
        <v>Wealthier Nation Wins</v>
      </c>
    </row>
    <row r="4052" spans="1:17" x14ac:dyDescent="0.2">
      <c r="A4052" s="1">
        <v>6098</v>
      </c>
      <c r="B4052" s="2">
        <v>40353</v>
      </c>
      <c r="C4052" s="7">
        <f>_xlfn.FLOOR.MATH(Table1[[#This Row],[year]],10)</f>
        <v>2010</v>
      </c>
      <c r="D4052" t="s">
        <v>36</v>
      </c>
      <c r="E4052" t="s">
        <v>51</v>
      </c>
      <c r="F4052">
        <v>1</v>
      </c>
      <c r="G4052">
        <v>3</v>
      </c>
      <c r="H4052" t="s">
        <v>74</v>
      </c>
      <c r="I4052" t="s">
        <v>168</v>
      </c>
      <c r="J4052" t="s">
        <v>50</v>
      </c>
      <c r="K4052" t="b">
        <v>1</v>
      </c>
      <c r="L4052">
        <v>2010</v>
      </c>
      <c r="M4052">
        <v>322345594075</v>
      </c>
      <c r="N4052">
        <v>5759071769013</v>
      </c>
      <c r="O4052" t="b">
        <v>1</v>
      </c>
      <c r="P4052">
        <v>1</v>
      </c>
      <c r="Q4052" t="str" cm="1">
        <f t="array" ref="Q4052">_xlfn.IFS(Table1[[#This Row],[Wealthier_Winner]]=-1,"Wealthier Nation Loses",Table1[[#This Row],[Wealthier_Winner]]=0,"Tie",Table1[[#This Row],[Wealthier_Winner]]=1,"Wealthier Nation Wins")</f>
        <v>Wealthier Nation Wins</v>
      </c>
    </row>
    <row r="4053" spans="1:17" x14ac:dyDescent="0.2">
      <c r="A4053" s="1">
        <v>6099</v>
      </c>
      <c r="B4053" s="2">
        <v>40353</v>
      </c>
      <c r="C4053" s="7">
        <f>_xlfn.FLOOR.MATH(Table1[[#This Row],[year]],10)</f>
        <v>2010</v>
      </c>
      <c r="D4053" t="s">
        <v>35</v>
      </c>
      <c r="E4053" t="s">
        <v>72</v>
      </c>
      <c r="F4053">
        <v>0</v>
      </c>
      <c r="G4053">
        <v>0</v>
      </c>
      <c r="H4053" t="s">
        <v>74</v>
      </c>
      <c r="I4053" t="s">
        <v>162</v>
      </c>
      <c r="J4053" t="s">
        <v>50</v>
      </c>
      <c r="K4053" t="b">
        <v>1</v>
      </c>
      <c r="L4053">
        <v>2010</v>
      </c>
      <c r="M4053">
        <v>27260886405</v>
      </c>
      <c r="N4053">
        <v>146887902524</v>
      </c>
      <c r="O4053" t="b">
        <v>1</v>
      </c>
      <c r="P4053">
        <v>0</v>
      </c>
      <c r="Q4053" t="str" cm="1">
        <f t="array" ref="Q4053">_xlfn.IFS(Table1[[#This Row],[Wealthier_Winner]]=-1,"Wealthier Nation Loses",Table1[[#This Row],[Wealthier_Winner]]=0,"Tie",Table1[[#This Row],[Wealthier_Winner]]=1,"Wealthier Nation Wins")</f>
        <v>Tie</v>
      </c>
    </row>
    <row r="4054" spans="1:17" x14ac:dyDescent="0.2">
      <c r="A4054" s="1">
        <v>6101</v>
      </c>
      <c r="B4054" s="2">
        <v>40354</v>
      </c>
      <c r="C4054" s="7">
        <f>_xlfn.FLOOR.MATH(Table1[[#This Row],[year]],10)</f>
        <v>2010</v>
      </c>
      <c r="D4054" t="s">
        <v>14</v>
      </c>
      <c r="E4054" t="s">
        <v>21</v>
      </c>
      <c r="F4054">
        <v>1</v>
      </c>
      <c r="G4054">
        <v>2</v>
      </c>
      <c r="H4054" t="s">
        <v>74</v>
      </c>
      <c r="I4054" t="s">
        <v>164</v>
      </c>
      <c r="J4054" t="s">
        <v>50</v>
      </c>
      <c r="K4054" t="b">
        <v>1</v>
      </c>
      <c r="L4054">
        <v>2010</v>
      </c>
      <c r="M4054">
        <v>217051209238</v>
      </c>
      <c r="N4054">
        <v>1427989078916</v>
      </c>
      <c r="O4054" t="b">
        <v>1</v>
      </c>
      <c r="P4054">
        <v>1</v>
      </c>
      <c r="Q4054" t="str" cm="1">
        <f t="array" ref="Q4054">_xlfn.IFS(Table1[[#This Row],[Wealthier_Winner]]=-1,"Wealthier Nation Loses",Table1[[#This Row],[Wealthier_Winner]]=0,"Tie",Table1[[#This Row],[Wealthier_Winner]]=1,"Wealthier Nation Wins")</f>
        <v>Wealthier Nation Wins</v>
      </c>
    </row>
    <row r="4055" spans="1:17" x14ac:dyDescent="0.2">
      <c r="A4055" s="1">
        <v>6103</v>
      </c>
      <c r="B4055" s="2">
        <v>40354</v>
      </c>
      <c r="C4055" s="7">
        <f>_xlfn.FLOOR.MATH(Table1[[#This Row],[year]],10)</f>
        <v>2010</v>
      </c>
      <c r="D4055" t="s">
        <v>38</v>
      </c>
      <c r="E4055" t="s">
        <v>13</v>
      </c>
      <c r="F4055">
        <v>0</v>
      </c>
      <c r="G4055">
        <v>0</v>
      </c>
      <c r="H4055" t="s">
        <v>74</v>
      </c>
      <c r="I4055" t="s">
        <v>163</v>
      </c>
      <c r="J4055" t="s">
        <v>50</v>
      </c>
      <c r="K4055" t="b">
        <v>1</v>
      </c>
      <c r="L4055">
        <v>2010</v>
      </c>
      <c r="M4055">
        <v>238443864993</v>
      </c>
      <c r="N4055">
        <v>2208838108484</v>
      </c>
      <c r="O4055" t="b">
        <v>1</v>
      </c>
      <c r="P4055">
        <v>0</v>
      </c>
      <c r="Q4055" t="str" cm="1">
        <f t="array" ref="Q4055">_xlfn.IFS(Table1[[#This Row],[Wealthier_Winner]]=-1,"Wealthier Nation Loses",Table1[[#This Row],[Wealthier_Winner]]=0,"Tie",Table1[[#This Row],[Wealthier_Winner]]=1,"Wealthier Nation Wins")</f>
        <v>Tie</v>
      </c>
    </row>
    <row r="4056" spans="1:17" x14ac:dyDescent="0.2">
      <c r="A4056" s="1">
        <v>6104</v>
      </c>
      <c r="B4056" s="2">
        <v>40354</v>
      </c>
      <c r="C4056" s="7">
        <f>_xlfn.FLOOR.MATH(Table1[[#This Row],[year]],10)</f>
        <v>2010</v>
      </c>
      <c r="D4056" t="s">
        <v>46</v>
      </c>
      <c r="E4056" t="s">
        <v>65</v>
      </c>
      <c r="F4056">
        <v>0</v>
      </c>
      <c r="G4056">
        <v>0</v>
      </c>
      <c r="H4056" t="s">
        <v>74</v>
      </c>
      <c r="I4056" t="s">
        <v>165</v>
      </c>
      <c r="J4056" t="s">
        <v>50</v>
      </c>
      <c r="K4056" t="b">
        <v>1</v>
      </c>
      <c r="L4056">
        <v>2010</v>
      </c>
      <c r="M4056">
        <v>598851028906</v>
      </c>
      <c r="N4056">
        <v>15839344591</v>
      </c>
      <c r="O4056" t="b">
        <v>1</v>
      </c>
      <c r="P4056">
        <v>0</v>
      </c>
      <c r="Q4056" t="str" cm="1">
        <f t="array" ref="Q4056">_xlfn.IFS(Table1[[#This Row],[Wealthier_Winner]]=-1,"Wealthier Nation Loses",Table1[[#This Row],[Wealthier_Winner]]=0,"Tie",Table1[[#This Row],[Wealthier_Winner]]=1,"Wealthier Nation Wins")</f>
        <v>Tie</v>
      </c>
    </row>
    <row r="4057" spans="1:17" x14ac:dyDescent="0.2">
      <c r="A4057" s="1">
        <v>6105</v>
      </c>
      <c r="B4057" s="2">
        <v>40355</v>
      </c>
      <c r="C4057" s="7">
        <f>_xlfn.FLOOR.MATH(Table1[[#This Row],[year]],10)</f>
        <v>2010</v>
      </c>
      <c r="D4057" t="s">
        <v>26</v>
      </c>
      <c r="E4057" t="s">
        <v>195</v>
      </c>
      <c r="F4057">
        <v>2</v>
      </c>
      <c r="G4057">
        <v>1</v>
      </c>
      <c r="H4057" t="s">
        <v>74</v>
      </c>
      <c r="I4057" t="s">
        <v>167</v>
      </c>
      <c r="J4057" t="s">
        <v>50</v>
      </c>
      <c r="K4057" t="b">
        <v>1</v>
      </c>
      <c r="L4057">
        <v>2010</v>
      </c>
      <c r="M4057">
        <v>41950361211</v>
      </c>
      <c r="N4057">
        <v>1192830015737</v>
      </c>
      <c r="O4057" t="b">
        <v>1</v>
      </c>
      <c r="P4057">
        <v>-1</v>
      </c>
      <c r="Q4057" t="str" cm="1">
        <f t="array" ref="Q4057">_xlfn.IFS(Table1[[#This Row],[Wealthier_Winner]]=-1,"Wealthier Nation Loses",Table1[[#This Row],[Wealthier_Winner]]=0,"Tie",Table1[[#This Row],[Wealthier_Winner]]=1,"Wealthier Nation Wins")</f>
        <v>Wealthier Nation Loses</v>
      </c>
    </row>
    <row r="4058" spans="1:17" x14ac:dyDescent="0.2">
      <c r="A4058" s="1">
        <v>6106</v>
      </c>
      <c r="B4058" s="2">
        <v>40355</v>
      </c>
      <c r="C4058" s="7">
        <f>_xlfn.FLOOR.MATH(Table1[[#This Row],[year]],10)</f>
        <v>2010</v>
      </c>
      <c r="D4058" t="s">
        <v>41</v>
      </c>
      <c r="E4058" t="s">
        <v>63</v>
      </c>
      <c r="F4058">
        <v>1</v>
      </c>
      <c r="G4058">
        <v>2</v>
      </c>
      <c r="H4058" t="s">
        <v>74</v>
      </c>
      <c r="I4058" t="s">
        <v>168</v>
      </c>
      <c r="J4058" t="s">
        <v>50</v>
      </c>
      <c r="K4058" t="b">
        <v>1</v>
      </c>
      <c r="L4058">
        <v>2010</v>
      </c>
      <c r="M4058">
        <v>15048964444000</v>
      </c>
      <c r="N4058">
        <v>32197655566</v>
      </c>
      <c r="O4058" t="b">
        <v>1</v>
      </c>
      <c r="P4058">
        <v>-1</v>
      </c>
      <c r="Q4058" t="str" cm="1">
        <f t="array" ref="Q4058">_xlfn.IFS(Table1[[#This Row],[Wealthier_Winner]]=-1,"Wealthier Nation Loses",Table1[[#This Row],[Wealthier_Winner]]=0,"Tie",Table1[[#This Row],[Wealthier_Winner]]=1,"Wealthier Nation Wins")</f>
        <v>Wealthier Nation Loses</v>
      </c>
    </row>
    <row r="4059" spans="1:17" x14ac:dyDescent="0.2">
      <c r="A4059" s="1">
        <v>6107</v>
      </c>
      <c r="B4059" s="2">
        <v>40356</v>
      </c>
      <c r="C4059" s="7">
        <f>_xlfn.FLOOR.MATH(Table1[[#This Row],[year]],10)</f>
        <v>2010</v>
      </c>
      <c r="D4059" t="s">
        <v>19</v>
      </c>
      <c r="E4059" t="s">
        <v>17</v>
      </c>
      <c r="F4059">
        <v>3</v>
      </c>
      <c r="G4059">
        <v>1</v>
      </c>
      <c r="H4059" t="s">
        <v>74</v>
      </c>
      <c r="I4059" t="s">
        <v>160</v>
      </c>
      <c r="J4059" t="s">
        <v>50</v>
      </c>
      <c r="K4059" t="b">
        <v>1</v>
      </c>
      <c r="L4059">
        <v>2010</v>
      </c>
      <c r="M4059">
        <v>423627422092</v>
      </c>
      <c r="N4059">
        <v>1105424238731</v>
      </c>
      <c r="O4059" t="b">
        <v>1</v>
      </c>
      <c r="P4059">
        <v>-1</v>
      </c>
      <c r="Q4059" t="str" cm="1">
        <f t="array" ref="Q4059">_xlfn.IFS(Table1[[#This Row],[Wealthier_Winner]]=-1,"Wealthier Nation Loses",Table1[[#This Row],[Wealthier_Winner]]=0,"Tie",Table1[[#This Row],[Wealthier_Winner]]=1,"Wealthier Nation Wins")</f>
        <v>Wealthier Nation Loses</v>
      </c>
    </row>
    <row r="4060" spans="1:17" x14ac:dyDescent="0.2">
      <c r="A4060" s="1">
        <v>6108</v>
      </c>
      <c r="B4060" s="2">
        <v>40356</v>
      </c>
      <c r="C4060" s="7">
        <f>_xlfn.FLOOR.MATH(Table1[[#This Row],[year]],10)</f>
        <v>2010</v>
      </c>
      <c r="D4060" t="s">
        <v>16</v>
      </c>
      <c r="E4060" t="s">
        <v>194</v>
      </c>
      <c r="F4060">
        <v>4</v>
      </c>
      <c r="G4060">
        <v>1</v>
      </c>
      <c r="H4060" t="s">
        <v>74</v>
      </c>
      <c r="I4060" t="s">
        <v>165</v>
      </c>
      <c r="J4060" t="s">
        <v>50</v>
      </c>
      <c r="K4060" t="b">
        <v>1</v>
      </c>
      <c r="L4060">
        <v>2010</v>
      </c>
      <c r="M4060">
        <v>3467093769666</v>
      </c>
      <c r="N4060">
        <v>2496740681057</v>
      </c>
      <c r="O4060" t="b">
        <v>0</v>
      </c>
      <c r="P4060">
        <v>1</v>
      </c>
      <c r="Q4060" t="str" cm="1">
        <f t="array" ref="Q4060">_xlfn.IFS(Table1[[#This Row],[Wealthier_Winner]]=-1,"Wealthier Nation Loses",Table1[[#This Row],[Wealthier_Winner]]=0,"Tie",Table1[[#This Row],[Wealthier_Winner]]=1,"Wealthier Nation Wins")</f>
        <v>Wealthier Nation Wins</v>
      </c>
    </row>
    <row r="4061" spans="1:17" x14ac:dyDescent="0.2">
      <c r="A4061" s="1">
        <v>6109</v>
      </c>
      <c r="B4061" s="2">
        <v>40357</v>
      </c>
      <c r="C4061" s="7">
        <f>_xlfn.FLOOR.MATH(Table1[[#This Row],[year]],10)</f>
        <v>2010</v>
      </c>
      <c r="D4061" t="s">
        <v>13</v>
      </c>
      <c r="E4061" t="s">
        <v>14</v>
      </c>
      <c r="F4061">
        <v>3</v>
      </c>
      <c r="G4061">
        <v>0</v>
      </c>
      <c r="H4061" t="s">
        <v>74</v>
      </c>
      <c r="I4061" t="s">
        <v>160</v>
      </c>
      <c r="J4061" t="s">
        <v>50</v>
      </c>
      <c r="K4061" t="b">
        <v>1</v>
      </c>
      <c r="L4061">
        <v>2010</v>
      </c>
      <c r="M4061">
        <v>2208838108484</v>
      </c>
      <c r="N4061">
        <v>217051209238</v>
      </c>
      <c r="O4061" t="b">
        <v>1</v>
      </c>
      <c r="P4061">
        <v>1</v>
      </c>
      <c r="Q4061" t="str" cm="1">
        <f t="array" ref="Q4061">_xlfn.IFS(Table1[[#This Row],[Wealthier_Winner]]=-1,"Wealthier Nation Loses",Table1[[#This Row],[Wealthier_Winner]]=0,"Tie",Table1[[#This Row],[Wealthier_Winner]]=1,"Wealthier Nation Wins")</f>
        <v>Wealthier Nation Wins</v>
      </c>
    </row>
    <row r="4062" spans="1:17" x14ac:dyDescent="0.2">
      <c r="A4062" s="1">
        <v>6111</v>
      </c>
      <c r="B4062" s="2">
        <v>40358</v>
      </c>
      <c r="C4062" s="7">
        <f>_xlfn.FLOOR.MATH(Table1[[#This Row],[year]],10)</f>
        <v>2010</v>
      </c>
      <c r="D4062" t="s">
        <v>35</v>
      </c>
      <c r="E4062" t="s">
        <v>51</v>
      </c>
      <c r="F4062">
        <v>0</v>
      </c>
      <c r="G4062">
        <v>0</v>
      </c>
      <c r="H4062" t="s">
        <v>74</v>
      </c>
      <c r="I4062" t="s">
        <v>164</v>
      </c>
      <c r="J4062" t="s">
        <v>50</v>
      </c>
      <c r="K4062" t="b">
        <v>1</v>
      </c>
      <c r="L4062">
        <v>2010</v>
      </c>
      <c r="M4062">
        <v>27260886405</v>
      </c>
      <c r="N4062">
        <v>5759071769013</v>
      </c>
      <c r="O4062" t="b">
        <v>1</v>
      </c>
      <c r="P4062">
        <v>0</v>
      </c>
      <c r="Q4062" t="str" cm="1">
        <f t="array" ref="Q4062">_xlfn.IFS(Table1[[#This Row],[Wealthier_Winner]]=-1,"Wealthier Nation Loses",Table1[[#This Row],[Wealthier_Winner]]=0,"Tie",Table1[[#This Row],[Wealthier_Winner]]=1,"Wealthier Nation Wins")</f>
        <v>Tie</v>
      </c>
    </row>
    <row r="4063" spans="1:17" x14ac:dyDescent="0.2">
      <c r="A4063" s="1">
        <v>6112</v>
      </c>
      <c r="B4063" s="2">
        <v>40358</v>
      </c>
      <c r="C4063" s="7">
        <f>_xlfn.FLOOR.MATH(Table1[[#This Row],[year]],10)</f>
        <v>2010</v>
      </c>
      <c r="D4063" t="s">
        <v>21</v>
      </c>
      <c r="E4063" t="s">
        <v>38</v>
      </c>
      <c r="F4063">
        <v>1</v>
      </c>
      <c r="G4063">
        <v>0</v>
      </c>
      <c r="H4063" t="s">
        <v>74</v>
      </c>
      <c r="I4063" t="s">
        <v>161</v>
      </c>
      <c r="J4063" t="s">
        <v>50</v>
      </c>
      <c r="K4063" t="b">
        <v>1</v>
      </c>
      <c r="L4063">
        <v>2010</v>
      </c>
      <c r="M4063">
        <v>1427989078916</v>
      </c>
      <c r="N4063">
        <v>238443864993</v>
      </c>
      <c r="O4063" t="b">
        <v>1</v>
      </c>
      <c r="P4063">
        <v>1</v>
      </c>
      <c r="Q4063" t="str" cm="1">
        <f t="array" ref="Q4063">_xlfn.IFS(Table1[[#This Row],[Wealthier_Winner]]=-1,"Wealthier Nation Loses",Table1[[#This Row],[Wealthier_Winner]]=0,"Tie",Table1[[#This Row],[Wealthier_Winner]]=1,"Wealthier Nation Wins")</f>
        <v>Wealthier Nation Wins</v>
      </c>
    </row>
    <row r="4064" spans="1:17" x14ac:dyDescent="0.2">
      <c r="A4064" s="1">
        <v>6113</v>
      </c>
      <c r="B4064" s="2">
        <v>40361</v>
      </c>
      <c r="C4064" s="7">
        <f>_xlfn.FLOOR.MATH(Table1[[#This Row],[year]],10)</f>
        <v>2010</v>
      </c>
      <c r="D4064" t="s">
        <v>27</v>
      </c>
      <c r="E4064" t="s">
        <v>13</v>
      </c>
      <c r="F4064">
        <v>2</v>
      </c>
      <c r="G4064">
        <v>1</v>
      </c>
      <c r="H4064" t="s">
        <v>74</v>
      </c>
      <c r="I4064" t="s">
        <v>167</v>
      </c>
      <c r="J4064" t="s">
        <v>50</v>
      </c>
      <c r="K4064" t="b">
        <v>1</v>
      </c>
      <c r="L4064">
        <v>2010</v>
      </c>
      <c r="M4064">
        <v>852464982433</v>
      </c>
      <c r="N4064">
        <v>2208838108484</v>
      </c>
      <c r="O4064" t="b">
        <v>1</v>
      </c>
      <c r="P4064">
        <v>-1</v>
      </c>
      <c r="Q4064" t="str" cm="1">
        <f t="array" ref="Q4064">_xlfn.IFS(Table1[[#This Row],[Wealthier_Winner]]=-1,"Wealthier Nation Loses",Table1[[#This Row],[Wealthier_Winner]]=0,"Tie",Table1[[#This Row],[Wealthier_Winner]]=1,"Wealthier Nation Wins")</f>
        <v>Wealthier Nation Loses</v>
      </c>
    </row>
    <row r="4065" spans="1:17" x14ac:dyDescent="0.2">
      <c r="A4065" s="1">
        <v>6114</v>
      </c>
      <c r="B4065" s="2">
        <v>40361</v>
      </c>
      <c r="C4065" s="7">
        <f>_xlfn.FLOOR.MATH(Table1[[#This Row],[year]],10)</f>
        <v>2010</v>
      </c>
      <c r="D4065" t="s">
        <v>26</v>
      </c>
      <c r="E4065" t="s">
        <v>63</v>
      </c>
      <c r="F4065">
        <v>1</v>
      </c>
      <c r="G4065">
        <v>1</v>
      </c>
      <c r="H4065" t="s">
        <v>74</v>
      </c>
      <c r="I4065" t="s">
        <v>160</v>
      </c>
      <c r="J4065" t="s">
        <v>50</v>
      </c>
      <c r="K4065" t="b">
        <v>1</v>
      </c>
      <c r="L4065">
        <v>2010</v>
      </c>
      <c r="M4065">
        <v>41950361211</v>
      </c>
      <c r="N4065">
        <v>32197655566</v>
      </c>
      <c r="O4065" t="b">
        <v>0</v>
      </c>
      <c r="P4065">
        <v>0</v>
      </c>
      <c r="Q4065" t="str" cm="1">
        <f t="array" ref="Q4065">_xlfn.IFS(Table1[[#This Row],[Wealthier_Winner]]=-1,"Wealthier Nation Loses",Table1[[#This Row],[Wealthier_Winner]]=0,"Tie",Table1[[#This Row],[Wealthier_Winner]]=1,"Wealthier Nation Wins")</f>
        <v>Tie</v>
      </c>
    </row>
    <row r="4066" spans="1:17" x14ac:dyDescent="0.2">
      <c r="A4066" s="1">
        <v>6115</v>
      </c>
      <c r="B4066" s="2">
        <v>40362</v>
      </c>
      <c r="C4066" s="7">
        <f>_xlfn.FLOOR.MATH(Table1[[#This Row],[year]],10)</f>
        <v>2010</v>
      </c>
      <c r="D4066" t="s">
        <v>19</v>
      </c>
      <c r="E4066" t="s">
        <v>16</v>
      </c>
      <c r="F4066">
        <v>0</v>
      </c>
      <c r="G4066">
        <v>4</v>
      </c>
      <c r="H4066" t="s">
        <v>74</v>
      </c>
      <c r="I4066" t="s">
        <v>161</v>
      </c>
      <c r="J4066" t="s">
        <v>50</v>
      </c>
      <c r="K4066" t="b">
        <v>1</v>
      </c>
      <c r="L4066">
        <v>2010</v>
      </c>
      <c r="M4066">
        <v>423627422092</v>
      </c>
      <c r="N4066">
        <v>3467093769666</v>
      </c>
      <c r="O4066" t="b">
        <v>1</v>
      </c>
      <c r="P4066">
        <v>1</v>
      </c>
      <c r="Q4066" t="str" cm="1">
        <f t="array" ref="Q4066">_xlfn.IFS(Table1[[#This Row],[Wealthier_Winner]]=-1,"Wealthier Nation Loses",Table1[[#This Row],[Wealthier_Winner]]=0,"Tie",Table1[[#This Row],[Wealthier_Winner]]=1,"Wealthier Nation Wins")</f>
        <v>Wealthier Nation Wins</v>
      </c>
    </row>
    <row r="4067" spans="1:17" x14ac:dyDescent="0.2">
      <c r="A4067" s="1">
        <v>6116</v>
      </c>
      <c r="B4067" s="2">
        <v>40362</v>
      </c>
      <c r="C4067" s="7">
        <f>_xlfn.FLOOR.MATH(Table1[[#This Row],[year]],10)</f>
        <v>2010</v>
      </c>
      <c r="D4067" t="s">
        <v>35</v>
      </c>
      <c r="E4067" t="s">
        <v>21</v>
      </c>
      <c r="F4067">
        <v>0</v>
      </c>
      <c r="G4067">
        <v>1</v>
      </c>
      <c r="H4067" t="s">
        <v>74</v>
      </c>
      <c r="I4067" t="s">
        <v>160</v>
      </c>
      <c r="J4067" t="s">
        <v>50</v>
      </c>
      <c r="K4067" t="b">
        <v>1</v>
      </c>
      <c r="L4067">
        <v>2010</v>
      </c>
      <c r="M4067">
        <v>27260886405</v>
      </c>
      <c r="N4067">
        <v>1427989078916</v>
      </c>
      <c r="O4067" t="b">
        <v>1</v>
      </c>
      <c r="P4067">
        <v>1</v>
      </c>
      <c r="Q4067" t="str" cm="1">
        <f t="array" ref="Q4067">_xlfn.IFS(Table1[[#This Row],[Wealthier_Winner]]=-1,"Wealthier Nation Loses",Table1[[#This Row],[Wealthier_Winner]]=0,"Tie",Table1[[#This Row],[Wealthier_Winner]]=1,"Wealthier Nation Wins")</f>
        <v>Wealthier Nation Wins</v>
      </c>
    </row>
    <row r="4068" spans="1:17" x14ac:dyDescent="0.2">
      <c r="A4068" s="1">
        <v>6117</v>
      </c>
      <c r="B4068" s="2">
        <v>40365</v>
      </c>
      <c r="C4068" s="7">
        <f>_xlfn.FLOOR.MATH(Table1[[#This Row],[year]],10)</f>
        <v>2010</v>
      </c>
      <c r="D4068" t="s">
        <v>26</v>
      </c>
      <c r="E4068" t="s">
        <v>27</v>
      </c>
      <c r="F4068">
        <v>2</v>
      </c>
      <c r="G4068">
        <v>3</v>
      </c>
      <c r="H4068" t="s">
        <v>74</v>
      </c>
      <c r="I4068" t="s">
        <v>161</v>
      </c>
      <c r="J4068" t="s">
        <v>50</v>
      </c>
      <c r="K4068" t="b">
        <v>1</v>
      </c>
      <c r="L4068">
        <v>2010</v>
      </c>
      <c r="M4068">
        <v>41950361211</v>
      </c>
      <c r="N4068">
        <v>852464982433</v>
      </c>
      <c r="O4068" t="b">
        <v>1</v>
      </c>
      <c r="P4068">
        <v>1</v>
      </c>
      <c r="Q4068" t="str" cm="1">
        <f t="array" ref="Q4068">_xlfn.IFS(Table1[[#This Row],[Wealthier_Winner]]=-1,"Wealthier Nation Loses",Table1[[#This Row],[Wealthier_Winner]]=0,"Tie",Table1[[#This Row],[Wealthier_Winner]]=1,"Wealthier Nation Wins")</f>
        <v>Wealthier Nation Wins</v>
      </c>
    </row>
    <row r="4069" spans="1:17" x14ac:dyDescent="0.2">
      <c r="A4069" s="1">
        <v>6118</v>
      </c>
      <c r="B4069" s="2">
        <v>40366</v>
      </c>
      <c r="C4069" s="7">
        <f>_xlfn.FLOOR.MATH(Table1[[#This Row],[year]],10)</f>
        <v>2010</v>
      </c>
      <c r="D4069" t="s">
        <v>16</v>
      </c>
      <c r="E4069" t="s">
        <v>21</v>
      </c>
      <c r="F4069">
        <v>0</v>
      </c>
      <c r="G4069">
        <v>1</v>
      </c>
      <c r="H4069" t="s">
        <v>74</v>
      </c>
      <c r="I4069" t="s">
        <v>163</v>
      </c>
      <c r="J4069" t="s">
        <v>50</v>
      </c>
      <c r="K4069" t="b">
        <v>1</v>
      </c>
      <c r="L4069">
        <v>2010</v>
      </c>
      <c r="M4069">
        <v>3467093769666</v>
      </c>
      <c r="N4069">
        <v>1427989078916</v>
      </c>
      <c r="O4069" t="b">
        <v>1</v>
      </c>
      <c r="P4069">
        <v>-1</v>
      </c>
      <c r="Q4069" t="str" cm="1">
        <f t="array" ref="Q4069">_xlfn.IFS(Table1[[#This Row],[Wealthier_Winner]]=-1,"Wealthier Nation Loses",Table1[[#This Row],[Wealthier_Winner]]=0,"Tie",Table1[[#This Row],[Wealthier_Winner]]=1,"Wealthier Nation Wins")</f>
        <v>Wealthier Nation Loses</v>
      </c>
    </row>
    <row r="4070" spans="1:17" x14ac:dyDescent="0.2">
      <c r="A4070" s="1">
        <v>6119</v>
      </c>
      <c r="B4070" s="2">
        <v>40369</v>
      </c>
      <c r="C4070" s="7">
        <f>_xlfn.FLOOR.MATH(Table1[[#This Row],[year]],10)</f>
        <v>2010</v>
      </c>
      <c r="D4070" t="s">
        <v>26</v>
      </c>
      <c r="E4070" t="s">
        <v>16</v>
      </c>
      <c r="F4070">
        <v>2</v>
      </c>
      <c r="G4070">
        <v>3</v>
      </c>
      <c r="H4070" t="s">
        <v>74</v>
      </c>
      <c r="I4070" t="s">
        <v>167</v>
      </c>
      <c r="J4070" t="s">
        <v>50</v>
      </c>
      <c r="K4070" t="b">
        <v>1</v>
      </c>
      <c r="L4070">
        <v>2010</v>
      </c>
      <c r="M4070">
        <v>41950361211</v>
      </c>
      <c r="N4070">
        <v>3467093769666</v>
      </c>
      <c r="O4070" t="b">
        <v>1</v>
      </c>
      <c r="P4070">
        <v>1</v>
      </c>
      <c r="Q4070" t="str" cm="1">
        <f t="array" ref="Q4070">_xlfn.IFS(Table1[[#This Row],[Wealthier_Winner]]=-1,"Wealthier Nation Loses",Table1[[#This Row],[Wealthier_Winner]]=0,"Tie",Table1[[#This Row],[Wealthier_Winner]]=1,"Wealthier Nation Wins")</f>
        <v>Wealthier Nation Wins</v>
      </c>
    </row>
    <row r="4071" spans="1:17" x14ac:dyDescent="0.2">
      <c r="A4071" s="1">
        <v>6120</v>
      </c>
      <c r="B4071" s="2">
        <v>40370</v>
      </c>
      <c r="C4071" s="7">
        <f>_xlfn.FLOOR.MATH(Table1[[#This Row],[year]],10)</f>
        <v>2010</v>
      </c>
      <c r="D4071" t="s">
        <v>27</v>
      </c>
      <c r="E4071" t="s">
        <v>21</v>
      </c>
      <c r="F4071">
        <v>0</v>
      </c>
      <c r="G4071">
        <v>1</v>
      </c>
      <c r="H4071" t="s">
        <v>74</v>
      </c>
      <c r="I4071" t="s">
        <v>160</v>
      </c>
      <c r="J4071" t="s">
        <v>50</v>
      </c>
      <c r="K4071" t="b">
        <v>1</v>
      </c>
      <c r="L4071">
        <v>2010</v>
      </c>
      <c r="M4071">
        <v>852464982433</v>
      </c>
      <c r="N4071">
        <v>1427989078916</v>
      </c>
      <c r="O4071" t="b">
        <v>0</v>
      </c>
      <c r="P4071">
        <v>1</v>
      </c>
      <c r="Q4071" t="str" cm="1">
        <f t="array" ref="Q4071">_xlfn.IFS(Table1[[#This Row],[Wealthier_Winner]]=-1,"Wealthier Nation Loses",Table1[[#This Row],[Wealthier_Winner]]=0,"Tie",Table1[[#This Row],[Wealthier_Winner]]=1,"Wealthier Nation Wins")</f>
        <v>Wealthier Nation Wins</v>
      </c>
    </row>
    <row r="4072" spans="1:17" x14ac:dyDescent="0.2">
      <c r="A4072" s="1">
        <v>6123</v>
      </c>
      <c r="B4072" s="2">
        <v>40723</v>
      </c>
      <c r="C4072" s="7">
        <f>_xlfn.FLOOR.MATH(Table1[[#This Row],[year]],10)</f>
        <v>2010</v>
      </c>
      <c r="D4072" t="s">
        <v>405</v>
      </c>
      <c r="E4072" t="s">
        <v>431</v>
      </c>
      <c r="F4072">
        <v>3</v>
      </c>
      <c r="G4072">
        <v>0</v>
      </c>
      <c r="H4072" t="s">
        <v>224</v>
      </c>
      <c r="I4072" t="s">
        <v>409</v>
      </c>
      <c r="J4072" t="s">
        <v>405</v>
      </c>
      <c r="K4072" t="b">
        <v>0</v>
      </c>
      <c r="L4072">
        <v>2011</v>
      </c>
      <c r="M4072">
        <v>128607482310</v>
      </c>
      <c r="N4072">
        <v>230586581059</v>
      </c>
      <c r="O4072" t="b">
        <v>0</v>
      </c>
      <c r="P4072">
        <v>-1</v>
      </c>
      <c r="Q4072" t="str" cm="1">
        <f t="array" ref="Q4072">_xlfn.IFS(Table1[[#This Row],[Wealthier_Winner]]=-1,"Wealthier Nation Loses",Table1[[#This Row],[Wealthier_Winner]]=0,"Tie",Table1[[#This Row],[Wealthier_Winner]]=1,"Wealthier Nation Wins")</f>
        <v>Wealthier Nation Loses</v>
      </c>
    </row>
    <row r="4073" spans="1:17" x14ac:dyDescent="0.2">
      <c r="A4073" s="1">
        <v>6126</v>
      </c>
      <c r="B4073" s="2">
        <v>40723</v>
      </c>
      <c r="C4073" s="7">
        <f>_xlfn.FLOOR.MATH(Table1[[#This Row],[year]],10)</f>
        <v>2010</v>
      </c>
      <c r="D4073" t="s">
        <v>611</v>
      </c>
      <c r="E4073" t="s">
        <v>737</v>
      </c>
      <c r="F4073">
        <v>1</v>
      </c>
      <c r="G4073">
        <v>0</v>
      </c>
      <c r="H4073" t="s">
        <v>224</v>
      </c>
      <c r="I4073" t="s">
        <v>643</v>
      </c>
      <c r="J4073" t="s">
        <v>611</v>
      </c>
      <c r="K4073" t="b">
        <v>0</v>
      </c>
      <c r="L4073">
        <v>2011</v>
      </c>
      <c r="M4073">
        <v>10409797377</v>
      </c>
      <c r="N4073">
        <v>59977326085</v>
      </c>
      <c r="O4073" t="b">
        <v>1</v>
      </c>
      <c r="P4073">
        <v>-1</v>
      </c>
      <c r="Q4073" t="str" cm="1">
        <f t="array" ref="Q4073">_xlfn.IFS(Table1[[#This Row],[Wealthier_Winner]]=-1,"Wealthier Nation Loses",Table1[[#This Row],[Wealthier_Winner]]=0,"Tie",Table1[[#This Row],[Wealthier_Winner]]=1,"Wealthier Nation Wins")</f>
        <v>Wealthier Nation Loses</v>
      </c>
    </row>
    <row r="4074" spans="1:17" x14ac:dyDescent="0.2">
      <c r="A4074" s="1">
        <v>6127</v>
      </c>
      <c r="B4074" s="2">
        <v>40723</v>
      </c>
      <c r="C4074" s="7">
        <f>_xlfn.FLOOR.MATH(Table1[[#This Row],[year]],10)</f>
        <v>2010</v>
      </c>
      <c r="D4074" t="s">
        <v>400</v>
      </c>
      <c r="E4074" t="s">
        <v>738</v>
      </c>
      <c r="F4074">
        <v>2</v>
      </c>
      <c r="G4074">
        <v>1</v>
      </c>
      <c r="H4074" t="s">
        <v>224</v>
      </c>
      <c r="I4074" t="s">
        <v>401</v>
      </c>
      <c r="J4074" t="s">
        <v>400</v>
      </c>
      <c r="K4074" t="b">
        <v>0</v>
      </c>
      <c r="L4074">
        <v>2011</v>
      </c>
      <c r="M4074">
        <v>21573872420</v>
      </c>
      <c r="N4074">
        <v>1042534597</v>
      </c>
      <c r="O4074" t="b">
        <v>1</v>
      </c>
      <c r="P4074">
        <v>1</v>
      </c>
      <c r="Q4074" t="str" cm="1">
        <f t="array" ref="Q4074">_xlfn.IFS(Table1[[#This Row],[Wealthier_Winner]]=-1,"Wealthier Nation Loses",Table1[[#This Row],[Wealthier_Winner]]=0,"Tie",Table1[[#This Row],[Wealthier_Winner]]=1,"Wealthier Nation Wins")</f>
        <v>Wealthier Nation Wins</v>
      </c>
    </row>
    <row r="4075" spans="1:17" x14ac:dyDescent="0.2">
      <c r="A4075" s="1">
        <v>6128</v>
      </c>
      <c r="B4075" s="2">
        <v>40723</v>
      </c>
      <c r="C4075" s="7">
        <f>_xlfn.FLOOR.MATH(Table1[[#This Row],[year]],10)</f>
        <v>2010</v>
      </c>
      <c r="D4075" t="s">
        <v>473</v>
      </c>
      <c r="E4075" t="s">
        <v>532</v>
      </c>
      <c r="F4075">
        <v>1</v>
      </c>
      <c r="G4075">
        <v>1</v>
      </c>
      <c r="H4075" t="s">
        <v>224</v>
      </c>
      <c r="I4075" t="s">
        <v>652</v>
      </c>
      <c r="J4075" t="s">
        <v>473</v>
      </c>
      <c r="K4075" t="b">
        <v>0</v>
      </c>
      <c r="L4075">
        <v>2011</v>
      </c>
      <c r="M4075">
        <v>67753285896</v>
      </c>
      <c r="N4075">
        <v>234216730291</v>
      </c>
      <c r="O4075" t="b">
        <v>1</v>
      </c>
      <c r="P4075">
        <v>0</v>
      </c>
      <c r="Q4075" t="str" cm="1">
        <f t="array" ref="Q4075">_xlfn.IFS(Table1[[#This Row],[Wealthier_Winner]]=-1,"Wealthier Nation Loses",Table1[[#This Row],[Wealthier_Winner]]=0,"Tie",Table1[[#This Row],[Wealthier_Winner]]=1,"Wealthier Nation Wins")</f>
        <v>Tie</v>
      </c>
    </row>
    <row r="4076" spans="1:17" x14ac:dyDescent="0.2">
      <c r="A4076" s="1">
        <v>6130</v>
      </c>
      <c r="B4076" s="2">
        <v>40726</v>
      </c>
      <c r="C4076" s="7">
        <f>_xlfn.FLOOR.MATH(Table1[[#This Row],[year]],10)</f>
        <v>2010</v>
      </c>
      <c r="D4076" t="s">
        <v>400</v>
      </c>
      <c r="E4076" t="s">
        <v>738</v>
      </c>
      <c r="F4076">
        <v>5</v>
      </c>
      <c r="G4076">
        <v>0</v>
      </c>
      <c r="H4076" t="s">
        <v>224</v>
      </c>
      <c r="I4076" t="s">
        <v>401</v>
      </c>
      <c r="J4076" t="s">
        <v>400</v>
      </c>
      <c r="K4076" t="b">
        <v>0</v>
      </c>
      <c r="L4076">
        <v>2011</v>
      </c>
      <c r="M4076">
        <v>21573872420</v>
      </c>
      <c r="N4076">
        <v>1042534597</v>
      </c>
      <c r="O4076" t="b">
        <v>1</v>
      </c>
      <c r="P4076">
        <v>1</v>
      </c>
      <c r="Q4076" t="str" cm="1">
        <f t="array" ref="Q4076">_xlfn.IFS(Table1[[#This Row],[Wealthier_Winner]]=-1,"Wealthier Nation Loses",Table1[[#This Row],[Wealthier_Winner]]=0,"Tie",Table1[[#This Row],[Wealthier_Winner]]=1,"Wealthier Nation Wins")</f>
        <v>Wealthier Nation Wins</v>
      </c>
    </row>
    <row r="4077" spans="1:17" x14ac:dyDescent="0.2">
      <c r="A4077" s="1">
        <v>6132</v>
      </c>
      <c r="B4077" s="2">
        <v>40727</v>
      </c>
      <c r="C4077" s="7">
        <f>_xlfn.FLOOR.MATH(Table1[[#This Row],[year]],10)</f>
        <v>2010</v>
      </c>
      <c r="D4077" t="s">
        <v>737</v>
      </c>
      <c r="E4077" t="s">
        <v>611</v>
      </c>
      <c r="F4077">
        <v>2</v>
      </c>
      <c r="G4077">
        <v>0</v>
      </c>
      <c r="H4077" t="s">
        <v>224</v>
      </c>
      <c r="I4077" t="s">
        <v>739</v>
      </c>
      <c r="J4077" t="s">
        <v>737</v>
      </c>
      <c r="K4077" t="b">
        <v>0</v>
      </c>
      <c r="L4077">
        <v>2011</v>
      </c>
      <c r="M4077">
        <v>59977326085</v>
      </c>
      <c r="N4077">
        <v>10409797377</v>
      </c>
      <c r="O4077" t="b">
        <v>1</v>
      </c>
      <c r="P4077">
        <v>1</v>
      </c>
      <c r="Q4077" t="str" cm="1">
        <f t="array" ref="Q4077">_xlfn.IFS(Table1[[#This Row],[Wealthier_Winner]]=-1,"Wealthier Nation Loses",Table1[[#This Row],[Wealthier_Winner]]=0,"Tie",Table1[[#This Row],[Wealthier_Winner]]=1,"Wealthier Nation Wins")</f>
        <v>Wealthier Nation Wins</v>
      </c>
    </row>
    <row r="4078" spans="1:17" x14ac:dyDescent="0.2">
      <c r="A4078" s="1">
        <v>6135</v>
      </c>
      <c r="B4078" s="2">
        <v>40727</v>
      </c>
      <c r="C4078" s="7">
        <f>_xlfn.FLOOR.MATH(Table1[[#This Row],[year]],10)</f>
        <v>2010</v>
      </c>
      <c r="D4078" t="s">
        <v>431</v>
      </c>
      <c r="E4078" t="s">
        <v>405</v>
      </c>
      <c r="F4078">
        <v>0</v>
      </c>
      <c r="G4078">
        <v>0</v>
      </c>
      <c r="H4078" t="s">
        <v>224</v>
      </c>
      <c r="I4078" t="s">
        <v>562</v>
      </c>
      <c r="J4078" t="s">
        <v>431</v>
      </c>
      <c r="K4078" t="b">
        <v>0</v>
      </c>
      <c r="L4078">
        <v>2011</v>
      </c>
      <c r="M4078">
        <v>230586581059</v>
      </c>
      <c r="N4078">
        <v>128607482310</v>
      </c>
      <c r="O4078" t="b">
        <v>0</v>
      </c>
      <c r="P4078">
        <v>0</v>
      </c>
      <c r="Q4078" t="str" cm="1">
        <f t="array" ref="Q4078">_xlfn.IFS(Table1[[#This Row],[Wealthier_Winner]]=-1,"Wealthier Nation Loses",Table1[[#This Row],[Wealthier_Winner]]=0,"Tie",Table1[[#This Row],[Wealthier_Winner]]=1,"Wealthier Nation Wins")</f>
        <v>Tie</v>
      </c>
    </row>
    <row r="4079" spans="1:17" x14ac:dyDescent="0.2">
      <c r="A4079" s="1">
        <v>6137</v>
      </c>
      <c r="B4079" s="2">
        <v>40727</v>
      </c>
      <c r="C4079" s="7">
        <f>_xlfn.FLOOR.MATH(Table1[[#This Row],[year]],10)</f>
        <v>2010</v>
      </c>
      <c r="D4079" t="s">
        <v>532</v>
      </c>
      <c r="E4079" t="s">
        <v>473</v>
      </c>
      <c r="F4079">
        <v>4</v>
      </c>
      <c r="G4079">
        <v>0</v>
      </c>
      <c r="H4079" t="s">
        <v>224</v>
      </c>
      <c r="I4079" t="s">
        <v>740</v>
      </c>
      <c r="J4079" t="s">
        <v>532</v>
      </c>
      <c r="K4079" t="b">
        <v>0</v>
      </c>
      <c r="L4079">
        <v>2011</v>
      </c>
      <c r="M4079">
        <v>234216730291</v>
      </c>
      <c r="N4079">
        <v>67753285896</v>
      </c>
      <c r="O4079" t="b">
        <v>1</v>
      </c>
      <c r="P4079">
        <v>1</v>
      </c>
      <c r="Q4079" t="str" cm="1">
        <f t="array" ref="Q4079">_xlfn.IFS(Table1[[#This Row],[Wealthier_Winner]]=-1,"Wealthier Nation Loses",Table1[[#This Row],[Wealthier_Winner]]=0,"Tie",Table1[[#This Row],[Wealthier_Winner]]=1,"Wealthier Nation Wins")</f>
        <v>Wealthier Nation Wins</v>
      </c>
    </row>
    <row r="4080" spans="1:17" x14ac:dyDescent="0.2">
      <c r="A4080" s="1">
        <v>6148</v>
      </c>
      <c r="B4080" s="2">
        <v>40747</v>
      </c>
      <c r="C4080" s="7">
        <f>_xlfn.FLOOR.MATH(Table1[[#This Row],[year]],10)</f>
        <v>2010</v>
      </c>
      <c r="D4080" t="s">
        <v>210</v>
      </c>
      <c r="E4080" t="s">
        <v>567</v>
      </c>
      <c r="F4080">
        <v>4</v>
      </c>
      <c r="G4080">
        <v>0</v>
      </c>
      <c r="H4080" t="s">
        <v>224</v>
      </c>
      <c r="I4080" t="s">
        <v>332</v>
      </c>
      <c r="J4080" t="s">
        <v>210</v>
      </c>
      <c r="K4080" t="b">
        <v>0</v>
      </c>
      <c r="L4080">
        <v>2011</v>
      </c>
      <c r="M4080">
        <v>629082257472</v>
      </c>
      <c r="N4080">
        <v>2774350240</v>
      </c>
      <c r="O4080" t="b">
        <v>1</v>
      </c>
      <c r="P4080">
        <v>1</v>
      </c>
      <c r="Q4080" t="str" cm="1">
        <f t="array" ref="Q4080">_xlfn.IFS(Table1[[#This Row],[Wealthier_Winner]]=-1,"Wealthier Nation Loses",Table1[[#This Row],[Wealthier_Winner]]=0,"Tie",Table1[[#This Row],[Wealthier_Winner]]=1,"Wealthier Nation Wins")</f>
        <v>Wealthier Nation Wins</v>
      </c>
    </row>
    <row r="4081" spans="1:17" x14ac:dyDescent="0.2">
      <c r="A4081" s="1">
        <v>6150</v>
      </c>
      <c r="B4081" s="2">
        <v>40747</v>
      </c>
      <c r="C4081" s="7">
        <f>_xlfn.FLOOR.MATH(Table1[[#This Row],[year]],10)</f>
        <v>2010</v>
      </c>
      <c r="D4081" t="s">
        <v>403</v>
      </c>
      <c r="E4081" t="s">
        <v>400</v>
      </c>
      <c r="F4081">
        <v>9</v>
      </c>
      <c r="G4081">
        <v>0</v>
      </c>
      <c r="H4081" t="s">
        <v>224</v>
      </c>
      <c r="I4081" t="s">
        <v>404</v>
      </c>
      <c r="J4081" t="s">
        <v>403</v>
      </c>
      <c r="K4081" t="b">
        <v>0</v>
      </c>
      <c r="L4081">
        <v>2011</v>
      </c>
      <c r="M4081">
        <v>29524149154</v>
      </c>
      <c r="N4081">
        <v>21573872420</v>
      </c>
      <c r="O4081" t="b">
        <v>0</v>
      </c>
      <c r="P4081">
        <v>1</v>
      </c>
      <c r="Q4081" t="str" cm="1">
        <f t="array" ref="Q4081">_xlfn.IFS(Table1[[#This Row],[Wealthier_Winner]]=-1,"Wealthier Nation Loses",Table1[[#This Row],[Wealthier_Winner]]=0,"Tie",Table1[[#This Row],[Wealthier_Winner]]=1,"Wealthier Nation Wins")</f>
        <v>Wealthier Nation Wins</v>
      </c>
    </row>
    <row r="4082" spans="1:17" x14ac:dyDescent="0.2">
      <c r="A4082" s="1">
        <v>6151</v>
      </c>
      <c r="B4082" s="2">
        <v>40747</v>
      </c>
      <c r="C4082" s="7">
        <f>_xlfn.FLOOR.MATH(Table1[[#This Row],[year]],10)</f>
        <v>2010</v>
      </c>
      <c r="D4082" t="s">
        <v>71</v>
      </c>
      <c r="E4082" t="s">
        <v>532</v>
      </c>
      <c r="F4082">
        <v>3</v>
      </c>
      <c r="G4082">
        <v>0</v>
      </c>
      <c r="H4082" t="s">
        <v>224</v>
      </c>
      <c r="I4082" t="s">
        <v>741</v>
      </c>
      <c r="J4082" t="s">
        <v>71</v>
      </c>
      <c r="K4082" t="b">
        <v>0</v>
      </c>
      <c r="L4082">
        <v>2011</v>
      </c>
      <c r="M4082">
        <v>154039231245</v>
      </c>
      <c r="N4082">
        <v>234216730291</v>
      </c>
      <c r="O4082" t="b">
        <v>0</v>
      </c>
      <c r="P4082">
        <v>-1</v>
      </c>
      <c r="Q4082" t="str" cm="1">
        <f t="array" ref="Q4082">_xlfn.IFS(Table1[[#This Row],[Wealthier_Winner]]=-1,"Wealthier Nation Loses",Table1[[#This Row],[Wealthier_Winner]]=0,"Tie",Table1[[#This Row],[Wealthier_Winner]]=1,"Wealthier Nation Wins")</f>
        <v>Wealthier Nation Loses</v>
      </c>
    </row>
    <row r="4083" spans="1:17" x14ac:dyDescent="0.2">
      <c r="A4083" s="1">
        <v>6152</v>
      </c>
      <c r="B4083" s="2">
        <v>40747</v>
      </c>
      <c r="C4083" s="7">
        <f>_xlfn.FLOOR.MATH(Table1[[#This Row],[year]],10)</f>
        <v>2010</v>
      </c>
      <c r="D4083" t="s">
        <v>479</v>
      </c>
      <c r="E4083" t="s">
        <v>405</v>
      </c>
      <c r="F4083">
        <v>4</v>
      </c>
      <c r="G4083">
        <v>0</v>
      </c>
      <c r="H4083" t="s">
        <v>224</v>
      </c>
      <c r="I4083" t="s">
        <v>480</v>
      </c>
      <c r="J4083" t="s">
        <v>479</v>
      </c>
      <c r="K4083" t="b">
        <v>0</v>
      </c>
      <c r="L4083">
        <v>2011</v>
      </c>
      <c r="M4083">
        <v>39927125961</v>
      </c>
      <c r="N4083">
        <v>128607482310</v>
      </c>
      <c r="O4083" t="b">
        <v>1</v>
      </c>
      <c r="P4083">
        <v>-1</v>
      </c>
      <c r="Q4083" t="str" cm="1">
        <f t="array" ref="Q4083">_xlfn.IFS(Table1[[#This Row],[Wealthier_Winner]]=-1,"Wealthier Nation Loses",Table1[[#This Row],[Wealthier_Winner]]=0,"Tie",Table1[[#This Row],[Wealthier_Winner]]=1,"Wealthier Nation Wins")</f>
        <v>Wealthier Nation Loses</v>
      </c>
    </row>
    <row r="4084" spans="1:17" x14ac:dyDescent="0.2">
      <c r="A4084" s="1">
        <v>6153</v>
      </c>
      <c r="B4084" s="2">
        <v>40747</v>
      </c>
      <c r="C4084" s="7">
        <f>_xlfn.FLOOR.MATH(Table1[[#This Row],[year]],10)</f>
        <v>2010</v>
      </c>
      <c r="D4084" t="s">
        <v>429</v>
      </c>
      <c r="E4084" t="s">
        <v>737</v>
      </c>
      <c r="F4084">
        <v>2</v>
      </c>
      <c r="G4084">
        <v>0</v>
      </c>
      <c r="H4084" t="s">
        <v>224</v>
      </c>
      <c r="I4084" t="s">
        <v>430</v>
      </c>
      <c r="J4084" t="s">
        <v>429</v>
      </c>
      <c r="K4084" t="b">
        <v>0</v>
      </c>
      <c r="L4084">
        <v>2011</v>
      </c>
      <c r="M4084">
        <v>77497529258</v>
      </c>
      <c r="N4084">
        <v>59977326085</v>
      </c>
      <c r="O4084" t="b">
        <v>0</v>
      </c>
      <c r="P4084">
        <v>1</v>
      </c>
      <c r="Q4084" t="str" cm="1">
        <f t="array" ref="Q4084">_xlfn.IFS(Table1[[#This Row],[Wealthier_Winner]]=-1,"Wealthier Nation Loses",Table1[[#This Row],[Wealthier_Winner]]=0,"Tie",Table1[[#This Row],[Wealthier_Winner]]=1,"Wealthier Nation Wins")</f>
        <v>Wealthier Nation Wins</v>
      </c>
    </row>
    <row r="4085" spans="1:17" x14ac:dyDescent="0.2">
      <c r="A4085" s="1">
        <v>6154</v>
      </c>
      <c r="B4085" s="2">
        <v>40747</v>
      </c>
      <c r="C4085" s="7">
        <f>_xlfn.FLOOR.MATH(Table1[[#This Row],[year]],10)</f>
        <v>2010</v>
      </c>
      <c r="D4085" t="s">
        <v>68</v>
      </c>
      <c r="E4085" t="s">
        <v>475</v>
      </c>
      <c r="F4085">
        <v>3</v>
      </c>
      <c r="G4085">
        <v>0</v>
      </c>
      <c r="H4085" t="s">
        <v>224</v>
      </c>
      <c r="I4085" t="s">
        <v>190</v>
      </c>
      <c r="J4085" t="s">
        <v>68</v>
      </c>
      <c r="K4085" t="b">
        <v>0</v>
      </c>
      <c r="L4085">
        <v>2011</v>
      </c>
      <c r="M4085">
        <v>167775274725</v>
      </c>
      <c r="N4085">
        <v>172595049183</v>
      </c>
      <c r="O4085" t="b">
        <v>0</v>
      </c>
      <c r="P4085">
        <v>-1</v>
      </c>
      <c r="Q4085" t="str" cm="1">
        <f t="array" ref="Q4085">_xlfn.IFS(Table1[[#This Row],[Wealthier_Winner]]=-1,"Wealthier Nation Loses",Table1[[#This Row],[Wealthier_Winner]]=0,"Tie",Table1[[#This Row],[Wealthier_Winner]]=1,"Wealthier Nation Wins")</f>
        <v>Wealthier Nation Loses</v>
      </c>
    </row>
    <row r="4086" spans="1:17" x14ac:dyDescent="0.2">
      <c r="A4086" s="1">
        <v>6156</v>
      </c>
      <c r="B4086" s="2">
        <v>40747</v>
      </c>
      <c r="C4086" s="7">
        <f>_xlfn.FLOOR.MATH(Table1[[#This Row],[year]],10)</f>
        <v>2010</v>
      </c>
      <c r="D4086" t="s">
        <v>359</v>
      </c>
      <c r="E4086" t="s">
        <v>333</v>
      </c>
      <c r="F4086">
        <v>5</v>
      </c>
      <c r="G4086">
        <v>3</v>
      </c>
      <c r="H4086" t="s">
        <v>224</v>
      </c>
      <c r="I4086" t="s">
        <v>359</v>
      </c>
      <c r="J4086" t="s">
        <v>359</v>
      </c>
      <c r="K4086" t="b">
        <v>0</v>
      </c>
      <c r="L4086">
        <v>2011</v>
      </c>
      <c r="M4086">
        <v>279356499090</v>
      </c>
      <c r="N4086">
        <v>297951668674</v>
      </c>
      <c r="O4086" t="b">
        <v>0</v>
      </c>
      <c r="P4086">
        <v>-1</v>
      </c>
      <c r="Q4086" t="str" cm="1">
        <f t="array" ref="Q4086">_xlfn.IFS(Table1[[#This Row],[Wealthier_Winner]]=-1,"Wealthier Nation Loses",Table1[[#This Row],[Wealthier_Winner]]=0,"Tie",Table1[[#This Row],[Wealthier_Winner]]=1,"Wealthier Nation Wins")</f>
        <v>Wealthier Nation Loses</v>
      </c>
    </row>
    <row r="4087" spans="1:17" x14ac:dyDescent="0.2">
      <c r="A4087" s="1">
        <v>6157</v>
      </c>
      <c r="B4087" s="2">
        <v>40747</v>
      </c>
      <c r="C4087" s="7">
        <f>_xlfn.FLOOR.MATH(Table1[[#This Row],[year]],10)</f>
        <v>2010</v>
      </c>
      <c r="D4087" t="s">
        <v>331</v>
      </c>
      <c r="E4087" t="s">
        <v>556</v>
      </c>
      <c r="F4087">
        <v>0</v>
      </c>
      <c r="G4087">
        <v>3</v>
      </c>
      <c r="H4087" t="s">
        <v>224</v>
      </c>
      <c r="I4087" t="s">
        <v>404</v>
      </c>
      <c r="J4087" t="s">
        <v>403</v>
      </c>
      <c r="K4087" t="b">
        <v>1</v>
      </c>
      <c r="L4087">
        <v>2011</v>
      </c>
      <c r="M4087">
        <v>67539428159</v>
      </c>
      <c r="N4087">
        <v>6522756255</v>
      </c>
      <c r="O4087" t="b">
        <v>1</v>
      </c>
      <c r="P4087">
        <v>-1</v>
      </c>
      <c r="Q4087" t="str" cm="1">
        <f t="array" ref="Q4087">_xlfn.IFS(Table1[[#This Row],[Wealthier_Winner]]=-1,"Wealthier Nation Loses",Table1[[#This Row],[Wealthier_Winner]]=0,"Tie",Table1[[#This Row],[Wealthier_Winner]]=1,"Wealthier Nation Wins")</f>
        <v>Wealthier Nation Loses</v>
      </c>
    </row>
    <row r="4088" spans="1:17" x14ac:dyDescent="0.2">
      <c r="A4088" s="1">
        <v>6159</v>
      </c>
      <c r="B4088" s="2">
        <v>40747</v>
      </c>
      <c r="C4088" s="7">
        <f>_xlfn.FLOOR.MATH(Table1[[#This Row],[year]],10)</f>
        <v>2010</v>
      </c>
      <c r="D4088" t="s">
        <v>560</v>
      </c>
      <c r="E4088" t="s">
        <v>328</v>
      </c>
      <c r="F4088">
        <v>1</v>
      </c>
      <c r="G4088">
        <v>1</v>
      </c>
      <c r="H4088" t="s">
        <v>224</v>
      </c>
      <c r="I4088" t="s">
        <v>561</v>
      </c>
      <c r="J4088" t="s">
        <v>560</v>
      </c>
      <c r="K4088" t="b">
        <v>0</v>
      </c>
      <c r="L4088">
        <v>2011</v>
      </c>
      <c r="M4088">
        <v>29233333333</v>
      </c>
      <c r="N4088">
        <v>892969104563</v>
      </c>
      <c r="O4088" t="b">
        <v>1</v>
      </c>
      <c r="P4088">
        <v>0</v>
      </c>
      <c r="Q4088" t="str" cm="1">
        <f t="array" ref="Q4088">_xlfn.IFS(Table1[[#This Row],[Wealthier_Winner]]=-1,"Wealthier Nation Loses",Table1[[#This Row],[Wealthier_Winner]]=0,"Tie",Table1[[#This Row],[Wealthier_Winner]]=1,"Wealthier Nation Wins")</f>
        <v>Tie</v>
      </c>
    </row>
    <row r="4089" spans="1:17" x14ac:dyDescent="0.2">
      <c r="A4089" s="1">
        <v>6160</v>
      </c>
      <c r="B4089" s="2">
        <v>40747</v>
      </c>
      <c r="C4089" s="7">
        <f>_xlfn.FLOOR.MATH(Table1[[#This Row],[year]],10)</f>
        <v>2010</v>
      </c>
      <c r="D4089" t="s">
        <v>39</v>
      </c>
      <c r="E4089" t="s">
        <v>406</v>
      </c>
      <c r="F4089">
        <v>3</v>
      </c>
      <c r="G4089">
        <v>0</v>
      </c>
      <c r="H4089" t="s">
        <v>224</v>
      </c>
      <c r="I4089" t="s">
        <v>478</v>
      </c>
      <c r="J4089" t="s">
        <v>39</v>
      </c>
      <c r="K4089" t="b">
        <v>0</v>
      </c>
      <c r="L4089">
        <v>2011</v>
      </c>
      <c r="M4089">
        <v>368881143635</v>
      </c>
      <c r="N4089">
        <v>1823051829894</v>
      </c>
      <c r="O4089" t="b">
        <v>1</v>
      </c>
      <c r="P4089">
        <v>-1</v>
      </c>
      <c r="Q4089" t="str" cm="1">
        <f t="array" ref="Q4089">_xlfn.IFS(Table1[[#This Row],[Wealthier_Winner]]=-1,"Wealthier Nation Loses",Table1[[#This Row],[Wealthier_Winner]]=0,"Tie",Table1[[#This Row],[Wealthier_Winner]]=1,"Wealthier Nation Wins")</f>
        <v>Wealthier Nation Loses</v>
      </c>
    </row>
    <row r="4090" spans="1:17" x14ac:dyDescent="0.2">
      <c r="A4090" s="1">
        <v>6162</v>
      </c>
      <c r="B4090" s="2">
        <v>40752</v>
      </c>
      <c r="C4090" s="7">
        <f>_xlfn.FLOOR.MATH(Table1[[#This Row],[year]],10)</f>
        <v>2010</v>
      </c>
      <c r="D4090" t="s">
        <v>405</v>
      </c>
      <c r="E4090" t="s">
        <v>479</v>
      </c>
      <c r="F4090">
        <v>2</v>
      </c>
      <c r="G4090">
        <v>0</v>
      </c>
      <c r="H4090" t="s">
        <v>224</v>
      </c>
      <c r="I4090" t="s">
        <v>409</v>
      </c>
      <c r="J4090" t="s">
        <v>405</v>
      </c>
      <c r="K4090" t="b">
        <v>0</v>
      </c>
      <c r="L4090">
        <v>2011</v>
      </c>
      <c r="M4090">
        <v>128607482310</v>
      </c>
      <c r="N4090">
        <v>39927125961</v>
      </c>
      <c r="O4090" t="b">
        <v>1</v>
      </c>
      <c r="P4090">
        <v>1</v>
      </c>
      <c r="Q4090" t="str" cm="1">
        <f t="array" ref="Q4090">_xlfn.IFS(Table1[[#This Row],[Wealthier_Winner]]=-1,"Wealthier Nation Loses",Table1[[#This Row],[Wealthier_Winner]]=0,"Tie",Table1[[#This Row],[Wealthier_Winner]]=1,"Wealthier Nation Wins")</f>
        <v>Wealthier Nation Wins</v>
      </c>
    </row>
    <row r="4091" spans="1:17" x14ac:dyDescent="0.2">
      <c r="A4091" s="1">
        <v>6163</v>
      </c>
      <c r="B4091" s="2">
        <v>40752</v>
      </c>
      <c r="C4091" s="7">
        <f>_xlfn.FLOOR.MATH(Table1[[#This Row],[year]],10)</f>
        <v>2010</v>
      </c>
      <c r="D4091" t="s">
        <v>737</v>
      </c>
      <c r="E4091" t="s">
        <v>429</v>
      </c>
      <c r="F4091">
        <v>0</v>
      </c>
      <c r="G4091">
        <v>2</v>
      </c>
      <c r="H4091" t="s">
        <v>224</v>
      </c>
      <c r="I4091" t="s">
        <v>739</v>
      </c>
      <c r="J4091" t="s">
        <v>737</v>
      </c>
      <c r="K4091" t="b">
        <v>0</v>
      </c>
      <c r="L4091">
        <v>2011</v>
      </c>
      <c r="M4091">
        <v>59977326085</v>
      </c>
      <c r="N4091">
        <v>77497529258</v>
      </c>
      <c r="O4091" t="b">
        <v>0</v>
      </c>
      <c r="P4091">
        <v>1</v>
      </c>
      <c r="Q4091" t="str" cm="1">
        <f t="array" ref="Q4091">_xlfn.IFS(Table1[[#This Row],[Wealthier_Winner]]=-1,"Wealthier Nation Loses",Table1[[#This Row],[Wealthier_Winner]]=0,"Tie",Table1[[#This Row],[Wealthier_Winner]]=1,"Wealthier Nation Wins")</f>
        <v>Wealthier Nation Wins</v>
      </c>
    </row>
    <row r="4092" spans="1:17" x14ac:dyDescent="0.2">
      <c r="A4092" s="1">
        <v>6165</v>
      </c>
      <c r="B4092" s="2">
        <v>40752</v>
      </c>
      <c r="C4092" s="7">
        <f>_xlfn.FLOOR.MATH(Table1[[#This Row],[year]],10)</f>
        <v>2010</v>
      </c>
      <c r="D4092" t="s">
        <v>406</v>
      </c>
      <c r="E4092" t="s">
        <v>39</v>
      </c>
      <c r="F4092">
        <v>2</v>
      </c>
      <c r="G4092">
        <v>2</v>
      </c>
      <c r="H4092" t="s">
        <v>224</v>
      </c>
      <c r="I4092" t="s">
        <v>742</v>
      </c>
      <c r="J4092" t="s">
        <v>406</v>
      </c>
      <c r="K4092" t="b">
        <v>0</v>
      </c>
      <c r="L4092">
        <v>2011</v>
      </c>
      <c r="M4092">
        <v>1823051829894</v>
      </c>
      <c r="N4092">
        <v>368881143635</v>
      </c>
      <c r="O4092" t="b">
        <v>1</v>
      </c>
      <c r="P4092">
        <v>0</v>
      </c>
      <c r="Q4092" t="str" cm="1">
        <f t="array" ref="Q4092">_xlfn.IFS(Table1[[#This Row],[Wealthier_Winner]]=-1,"Wealthier Nation Loses",Table1[[#This Row],[Wealthier_Winner]]=0,"Tie",Table1[[#This Row],[Wealthier_Winner]]=1,"Wealthier Nation Wins")</f>
        <v>Tie</v>
      </c>
    </row>
    <row r="4093" spans="1:17" x14ac:dyDescent="0.2">
      <c r="A4093" s="1">
        <v>6166</v>
      </c>
      <c r="B4093" s="2">
        <v>40752</v>
      </c>
      <c r="C4093" s="7">
        <f>_xlfn.FLOOR.MATH(Table1[[#This Row],[year]],10)</f>
        <v>2010</v>
      </c>
      <c r="D4093" t="s">
        <v>328</v>
      </c>
      <c r="E4093" t="s">
        <v>560</v>
      </c>
      <c r="F4093">
        <v>4</v>
      </c>
      <c r="G4093">
        <v>3</v>
      </c>
      <c r="H4093" t="s">
        <v>224</v>
      </c>
      <c r="I4093" t="s">
        <v>386</v>
      </c>
      <c r="J4093" t="s">
        <v>328</v>
      </c>
      <c r="K4093" t="b">
        <v>0</v>
      </c>
      <c r="L4093">
        <v>2011</v>
      </c>
      <c r="M4093">
        <v>892969104563</v>
      </c>
      <c r="N4093">
        <v>29233333333</v>
      </c>
      <c r="O4093" t="b">
        <v>1</v>
      </c>
      <c r="P4093">
        <v>1</v>
      </c>
      <c r="Q4093" t="str" cm="1">
        <f t="array" ref="Q4093">_xlfn.IFS(Table1[[#This Row],[Wealthier_Winner]]=-1,"Wealthier Nation Loses",Table1[[#This Row],[Wealthier_Winner]]=0,"Tie",Table1[[#This Row],[Wealthier_Winner]]=1,"Wealthier Nation Wins")</f>
        <v>Wealthier Nation Wins</v>
      </c>
    </row>
    <row r="4094" spans="1:17" x14ac:dyDescent="0.2">
      <c r="A4094" s="1">
        <v>6169</v>
      </c>
      <c r="B4094" s="2">
        <v>40752</v>
      </c>
      <c r="C4094" s="7">
        <f>_xlfn.FLOOR.MATH(Table1[[#This Row],[year]],10)</f>
        <v>2010</v>
      </c>
      <c r="D4094" t="s">
        <v>333</v>
      </c>
      <c r="E4094" t="s">
        <v>359</v>
      </c>
      <c r="F4094">
        <v>1</v>
      </c>
      <c r="G4094">
        <v>1</v>
      </c>
      <c r="H4094" t="s">
        <v>224</v>
      </c>
      <c r="I4094" t="s">
        <v>402</v>
      </c>
      <c r="J4094" t="s">
        <v>333</v>
      </c>
      <c r="K4094" t="b">
        <v>0</v>
      </c>
      <c r="L4094">
        <v>2011</v>
      </c>
      <c r="M4094">
        <v>297951668674</v>
      </c>
      <c r="N4094">
        <v>279356499090</v>
      </c>
      <c r="O4094" t="b">
        <v>0</v>
      </c>
      <c r="P4094">
        <v>0</v>
      </c>
      <c r="Q4094" t="str" cm="1">
        <f t="array" ref="Q4094">_xlfn.IFS(Table1[[#This Row],[Wealthier_Winner]]=-1,"Wealthier Nation Loses",Table1[[#This Row],[Wealthier_Winner]]=0,"Tie",Table1[[#This Row],[Wealthier_Winner]]=1,"Wealthier Nation Wins")</f>
        <v>Tie</v>
      </c>
    </row>
    <row r="4095" spans="1:17" x14ac:dyDescent="0.2">
      <c r="A4095" s="1">
        <v>6170</v>
      </c>
      <c r="B4095" s="2">
        <v>40752</v>
      </c>
      <c r="C4095" s="7">
        <f>_xlfn.FLOOR.MATH(Table1[[#This Row],[year]],10)</f>
        <v>2010</v>
      </c>
      <c r="D4095" t="s">
        <v>567</v>
      </c>
      <c r="E4095" t="s">
        <v>210</v>
      </c>
      <c r="F4095">
        <v>0</v>
      </c>
      <c r="G4095">
        <v>1</v>
      </c>
      <c r="H4095" t="s">
        <v>224</v>
      </c>
      <c r="I4095" t="s">
        <v>620</v>
      </c>
      <c r="J4095" t="s">
        <v>567</v>
      </c>
      <c r="K4095" t="b">
        <v>0</v>
      </c>
      <c r="L4095">
        <v>2011</v>
      </c>
      <c r="M4095">
        <v>2774350240</v>
      </c>
      <c r="N4095">
        <v>629082257472</v>
      </c>
      <c r="O4095" t="b">
        <v>1</v>
      </c>
      <c r="P4095">
        <v>1</v>
      </c>
      <c r="Q4095" t="str" cm="1">
        <f t="array" ref="Q4095">_xlfn.IFS(Table1[[#This Row],[Wealthier_Winner]]=-1,"Wealthier Nation Loses",Table1[[#This Row],[Wealthier_Winner]]=0,"Tie",Table1[[#This Row],[Wealthier_Winner]]=1,"Wealthier Nation Wins")</f>
        <v>Wealthier Nation Wins</v>
      </c>
    </row>
    <row r="4096" spans="1:17" x14ac:dyDescent="0.2">
      <c r="A4096" s="1">
        <v>6171</v>
      </c>
      <c r="B4096" s="2">
        <v>40752</v>
      </c>
      <c r="C4096" s="7">
        <f>_xlfn.FLOOR.MATH(Table1[[#This Row],[year]],10)</f>
        <v>2010</v>
      </c>
      <c r="D4096" t="s">
        <v>400</v>
      </c>
      <c r="E4096" t="s">
        <v>403</v>
      </c>
      <c r="F4096">
        <v>1</v>
      </c>
      <c r="G4096">
        <v>1</v>
      </c>
      <c r="H4096" t="s">
        <v>224</v>
      </c>
      <c r="I4096" t="s">
        <v>401</v>
      </c>
      <c r="J4096" t="s">
        <v>400</v>
      </c>
      <c r="K4096" t="b">
        <v>0</v>
      </c>
      <c r="L4096">
        <v>2011</v>
      </c>
      <c r="M4096">
        <v>21573872420</v>
      </c>
      <c r="N4096">
        <v>29524149154</v>
      </c>
      <c r="O4096" t="b">
        <v>0</v>
      </c>
      <c r="P4096">
        <v>0</v>
      </c>
      <c r="Q4096" t="str" cm="1">
        <f t="array" ref="Q4096">_xlfn.IFS(Table1[[#This Row],[Wealthier_Winner]]=-1,"Wealthier Nation Loses",Table1[[#This Row],[Wealthier_Winner]]=0,"Tie",Table1[[#This Row],[Wealthier_Winner]]=1,"Wealthier Nation Wins")</f>
        <v>Tie</v>
      </c>
    </row>
    <row r="4097" spans="1:17" x14ac:dyDescent="0.2">
      <c r="A4097" s="1">
        <v>6173</v>
      </c>
      <c r="B4097" s="2">
        <v>40752</v>
      </c>
      <c r="C4097" s="7">
        <f>_xlfn.FLOOR.MATH(Table1[[#This Row],[year]],10)</f>
        <v>2010</v>
      </c>
      <c r="D4097" t="s">
        <v>532</v>
      </c>
      <c r="E4097" t="s">
        <v>71</v>
      </c>
      <c r="F4097">
        <v>1</v>
      </c>
      <c r="G4097">
        <v>2</v>
      </c>
      <c r="H4097" t="s">
        <v>224</v>
      </c>
      <c r="I4097" t="s">
        <v>740</v>
      </c>
      <c r="J4097" t="s">
        <v>532</v>
      </c>
      <c r="K4097" t="b">
        <v>0</v>
      </c>
      <c r="L4097">
        <v>2011</v>
      </c>
      <c r="M4097">
        <v>234216730291</v>
      </c>
      <c r="N4097">
        <v>154039231245</v>
      </c>
      <c r="O4097" t="b">
        <v>0</v>
      </c>
      <c r="P4097">
        <v>-1</v>
      </c>
      <c r="Q4097" t="str" cm="1">
        <f t="array" ref="Q4097">_xlfn.IFS(Table1[[#This Row],[Wealthier_Winner]]=-1,"Wealthier Nation Loses",Table1[[#This Row],[Wealthier_Winner]]=0,"Tie",Table1[[#This Row],[Wealthier_Winner]]=1,"Wealthier Nation Wins")</f>
        <v>Wealthier Nation Loses</v>
      </c>
    </row>
    <row r="4098" spans="1:17" x14ac:dyDescent="0.2">
      <c r="A4098" s="1">
        <v>6174</v>
      </c>
      <c r="B4098" s="2">
        <v>40752</v>
      </c>
      <c r="C4098" s="7">
        <f>_xlfn.FLOOR.MATH(Table1[[#This Row],[year]],10)</f>
        <v>2010</v>
      </c>
      <c r="D4098" t="s">
        <v>556</v>
      </c>
      <c r="E4098" t="s">
        <v>331</v>
      </c>
      <c r="F4098">
        <v>3</v>
      </c>
      <c r="G4098">
        <v>0</v>
      </c>
      <c r="H4098" t="s">
        <v>224</v>
      </c>
      <c r="I4098" t="s">
        <v>743</v>
      </c>
      <c r="J4098" t="s">
        <v>556</v>
      </c>
      <c r="K4098" t="b">
        <v>0</v>
      </c>
      <c r="L4098">
        <v>2011</v>
      </c>
      <c r="M4098">
        <v>6522756255</v>
      </c>
      <c r="N4098">
        <v>67539428159</v>
      </c>
      <c r="O4098" t="b">
        <v>1</v>
      </c>
      <c r="P4098">
        <v>-1</v>
      </c>
      <c r="Q4098" t="str" cm="1">
        <f t="array" ref="Q4098">_xlfn.IFS(Table1[[#This Row],[Wealthier_Winner]]=-1,"Wealthier Nation Loses",Table1[[#This Row],[Wealthier_Winner]]=0,"Tie",Table1[[#This Row],[Wealthier_Winner]]=1,"Wealthier Nation Wins")</f>
        <v>Wealthier Nation Loses</v>
      </c>
    </row>
    <row r="4099" spans="1:17" x14ac:dyDescent="0.2">
      <c r="A4099" s="1">
        <v>6175</v>
      </c>
      <c r="B4099" s="2">
        <v>40752</v>
      </c>
      <c r="C4099" s="7">
        <f>_xlfn.FLOOR.MATH(Table1[[#This Row],[year]],10)</f>
        <v>2010</v>
      </c>
      <c r="D4099" t="s">
        <v>475</v>
      </c>
      <c r="E4099" t="s">
        <v>68</v>
      </c>
      <c r="F4099">
        <v>2</v>
      </c>
      <c r="G4099">
        <v>1</v>
      </c>
      <c r="H4099" t="s">
        <v>224</v>
      </c>
      <c r="I4099" t="s">
        <v>647</v>
      </c>
      <c r="J4099" t="s">
        <v>475</v>
      </c>
      <c r="K4099" t="b">
        <v>0</v>
      </c>
      <c r="L4099">
        <v>2011</v>
      </c>
      <c r="M4099">
        <v>172595049183</v>
      </c>
      <c r="N4099">
        <v>167775274725</v>
      </c>
      <c r="O4099" t="b">
        <v>0</v>
      </c>
      <c r="P4099">
        <v>1</v>
      </c>
      <c r="Q4099" t="str" cm="1">
        <f t="array" ref="Q4099">_xlfn.IFS(Table1[[#This Row],[Wealthier_Winner]]=-1,"Wealthier Nation Loses",Table1[[#This Row],[Wealthier_Winner]]=0,"Tie",Table1[[#This Row],[Wealthier_Winner]]=1,"Wealthier Nation Wins")</f>
        <v>Wealthier Nation Wins</v>
      </c>
    </row>
    <row r="4100" spans="1:17" x14ac:dyDescent="0.2">
      <c r="A4100" s="1">
        <v>6178</v>
      </c>
      <c r="B4100" s="2">
        <v>40788</v>
      </c>
      <c r="C4100" s="7">
        <f>_xlfn.FLOOR.MATH(Table1[[#This Row],[year]],10)</f>
        <v>2010</v>
      </c>
      <c r="D4100" t="s">
        <v>28</v>
      </c>
      <c r="E4100" t="s">
        <v>334</v>
      </c>
      <c r="F4100">
        <v>2</v>
      </c>
      <c r="G4100">
        <v>1</v>
      </c>
      <c r="H4100" t="s">
        <v>224</v>
      </c>
      <c r="I4100" t="s">
        <v>695</v>
      </c>
      <c r="J4100" t="s">
        <v>28</v>
      </c>
      <c r="K4100" t="b">
        <v>0</v>
      </c>
      <c r="L4100">
        <v>2011</v>
      </c>
      <c r="M4100">
        <v>1402939868653</v>
      </c>
      <c r="N4100">
        <v>370818739623</v>
      </c>
      <c r="O4100" t="b">
        <v>1</v>
      </c>
      <c r="P4100">
        <v>1</v>
      </c>
      <c r="Q4100" t="str" cm="1">
        <f t="array" ref="Q4100">_xlfn.IFS(Table1[[#This Row],[Wealthier_Winner]]=-1,"Wealthier Nation Loses",Table1[[#This Row],[Wealthier_Winner]]=0,"Tie",Table1[[#This Row],[Wealthier_Winner]]=1,"Wealthier Nation Wins")</f>
        <v>Wealthier Nation Wins</v>
      </c>
    </row>
    <row r="4101" spans="1:17" x14ac:dyDescent="0.2">
      <c r="A4101" s="1">
        <v>6179</v>
      </c>
      <c r="B4101" s="2">
        <v>40788</v>
      </c>
      <c r="C4101" s="7">
        <f>_xlfn.FLOOR.MATH(Table1[[#This Row],[year]],10)</f>
        <v>2010</v>
      </c>
      <c r="D4101" t="s">
        <v>361</v>
      </c>
      <c r="E4101" t="s">
        <v>68</v>
      </c>
      <c r="F4101">
        <v>0</v>
      </c>
      <c r="G4101">
        <v>0</v>
      </c>
      <c r="H4101" t="s">
        <v>224</v>
      </c>
      <c r="I4101" t="s">
        <v>419</v>
      </c>
      <c r="J4101" t="s">
        <v>361</v>
      </c>
      <c r="K4101" t="b">
        <v>0</v>
      </c>
      <c r="L4101">
        <v>2011</v>
      </c>
      <c r="M4101">
        <v>29914680851</v>
      </c>
      <c r="N4101">
        <v>167775274725</v>
      </c>
      <c r="O4101" t="b">
        <v>1</v>
      </c>
      <c r="P4101">
        <v>0</v>
      </c>
      <c r="Q4101" t="str" cm="1">
        <f t="array" ref="Q4101">_xlfn.IFS(Table1[[#This Row],[Wealthier_Winner]]=-1,"Wealthier Nation Loses",Table1[[#This Row],[Wealthier_Winner]]=0,"Tie",Table1[[#This Row],[Wealthier_Winner]]=1,"Wealthier Nation Wins")</f>
        <v>Tie</v>
      </c>
    </row>
    <row r="4102" spans="1:17" x14ac:dyDescent="0.2">
      <c r="A4102" s="1">
        <v>6182</v>
      </c>
      <c r="B4102" s="2">
        <v>40788</v>
      </c>
      <c r="C4102" s="7">
        <f>_xlfn.FLOOR.MATH(Table1[[#This Row],[year]],10)</f>
        <v>2010</v>
      </c>
      <c r="D4102" t="s">
        <v>494</v>
      </c>
      <c r="E4102" t="s">
        <v>453</v>
      </c>
      <c r="F4102">
        <v>0</v>
      </c>
      <c r="G4102">
        <v>2</v>
      </c>
      <c r="H4102" t="s">
        <v>224</v>
      </c>
      <c r="I4102" t="s">
        <v>495</v>
      </c>
      <c r="J4102" t="s">
        <v>494</v>
      </c>
      <c r="K4102" t="b">
        <v>0</v>
      </c>
      <c r="L4102">
        <v>2011</v>
      </c>
      <c r="M4102">
        <v>532081481</v>
      </c>
      <c r="N4102">
        <v>9774329332</v>
      </c>
      <c r="O4102" t="b">
        <v>1</v>
      </c>
      <c r="P4102">
        <v>1</v>
      </c>
      <c r="Q4102" t="str" cm="1">
        <f t="array" ref="Q4102">_xlfn.IFS(Table1[[#This Row],[Wealthier_Winner]]=-1,"Wealthier Nation Loses",Table1[[#This Row],[Wealthier_Winner]]=0,"Tie",Table1[[#This Row],[Wealthier_Winner]]=1,"Wealthier Nation Wins")</f>
        <v>Wealthier Nation Wins</v>
      </c>
    </row>
    <row r="4103" spans="1:17" x14ac:dyDescent="0.2">
      <c r="A4103" s="1">
        <v>6183</v>
      </c>
      <c r="B4103" s="2">
        <v>40788</v>
      </c>
      <c r="C4103" s="7">
        <f>_xlfn.FLOOR.MATH(Table1[[#This Row],[year]],10)</f>
        <v>2010</v>
      </c>
      <c r="D4103" t="s">
        <v>69</v>
      </c>
      <c r="E4103" t="s">
        <v>496</v>
      </c>
      <c r="F4103">
        <v>3</v>
      </c>
      <c r="G4103">
        <v>2</v>
      </c>
      <c r="H4103" t="s">
        <v>224</v>
      </c>
      <c r="I4103" t="s">
        <v>281</v>
      </c>
      <c r="J4103" t="s">
        <v>69</v>
      </c>
      <c r="K4103" t="b">
        <v>0</v>
      </c>
      <c r="L4103">
        <v>2011</v>
      </c>
      <c r="M4103">
        <v>20283780000</v>
      </c>
      <c r="N4103">
        <v>57948261615</v>
      </c>
      <c r="O4103" t="b">
        <v>1</v>
      </c>
      <c r="P4103">
        <v>-1</v>
      </c>
      <c r="Q4103" t="str" cm="1">
        <f t="array" ref="Q4103">_xlfn.IFS(Table1[[#This Row],[Wealthier_Winner]]=-1,"Wealthier Nation Loses",Table1[[#This Row],[Wealthier_Winner]]=0,"Tie",Table1[[#This Row],[Wealthier_Winner]]=1,"Wealthier Nation Wins")</f>
        <v>Wealthier Nation Loses</v>
      </c>
    </row>
    <row r="4104" spans="1:17" x14ac:dyDescent="0.2">
      <c r="A4104" s="1">
        <v>6184</v>
      </c>
      <c r="B4104" s="2">
        <v>40788</v>
      </c>
      <c r="C4104" s="7">
        <f>_xlfn.FLOOR.MATH(Table1[[#This Row],[year]],10)</f>
        <v>2010</v>
      </c>
      <c r="D4104" t="s">
        <v>499</v>
      </c>
      <c r="E4104" t="s">
        <v>511</v>
      </c>
      <c r="F4104">
        <v>0</v>
      </c>
      <c r="G4104">
        <v>3</v>
      </c>
      <c r="H4104" t="s">
        <v>224</v>
      </c>
      <c r="I4104" t="s">
        <v>501</v>
      </c>
      <c r="J4104" t="s">
        <v>499</v>
      </c>
      <c r="K4104" t="b">
        <v>0</v>
      </c>
      <c r="L4104">
        <v>2011</v>
      </c>
      <c r="M4104">
        <v>778655555</v>
      </c>
      <c r="N4104">
        <v>1831576700</v>
      </c>
      <c r="O4104" t="b">
        <v>1</v>
      </c>
      <c r="P4104">
        <v>1</v>
      </c>
      <c r="Q4104" t="str" cm="1">
        <f t="array" ref="Q4104">_xlfn.IFS(Table1[[#This Row],[Wealthier_Winner]]=-1,"Wealthier Nation Loses",Table1[[#This Row],[Wealthier_Winner]]=0,"Tie",Table1[[#This Row],[Wealthier_Winner]]=1,"Wealthier Nation Wins")</f>
        <v>Wealthier Nation Wins</v>
      </c>
    </row>
    <row r="4105" spans="1:17" x14ac:dyDescent="0.2">
      <c r="A4105" s="1">
        <v>6185</v>
      </c>
      <c r="B4105" s="2">
        <v>40788</v>
      </c>
      <c r="C4105" s="7">
        <f>_xlfn.FLOOR.MATH(Table1[[#This Row],[year]],10)</f>
        <v>2010</v>
      </c>
      <c r="D4105" t="s">
        <v>445</v>
      </c>
      <c r="E4105" t="s">
        <v>443</v>
      </c>
      <c r="F4105">
        <v>2</v>
      </c>
      <c r="G4105">
        <v>0</v>
      </c>
      <c r="H4105" t="s">
        <v>224</v>
      </c>
      <c r="I4105" t="s">
        <v>703</v>
      </c>
      <c r="J4105" t="s">
        <v>445</v>
      </c>
      <c r="K4105" t="b">
        <v>0</v>
      </c>
      <c r="L4105">
        <v>2011</v>
      </c>
      <c r="M4105">
        <v>3691384317</v>
      </c>
      <c r="N4105">
        <v>5663100000</v>
      </c>
      <c r="O4105" t="b">
        <v>0</v>
      </c>
      <c r="P4105">
        <v>-1</v>
      </c>
      <c r="Q4105" t="str" cm="1">
        <f t="array" ref="Q4105">_xlfn.IFS(Table1[[#This Row],[Wealthier_Winner]]=-1,"Wealthier Nation Loses",Table1[[#This Row],[Wealthier_Winner]]=0,"Tie",Table1[[#This Row],[Wealthier_Winner]]=1,"Wealthier Nation Wins")</f>
        <v>Wealthier Nation Loses</v>
      </c>
    </row>
    <row r="4106" spans="1:17" x14ac:dyDescent="0.2">
      <c r="A4106" s="1">
        <v>6186</v>
      </c>
      <c r="B4106" s="2">
        <v>40788</v>
      </c>
      <c r="C4106" s="7">
        <f>_xlfn.FLOOR.MATH(Table1[[#This Row],[year]],10)</f>
        <v>2010</v>
      </c>
      <c r="D4106" t="s">
        <v>70</v>
      </c>
      <c r="E4106" t="s">
        <v>692</v>
      </c>
      <c r="F4106">
        <v>6</v>
      </c>
      <c r="G4106">
        <v>0</v>
      </c>
      <c r="H4106" t="s">
        <v>224</v>
      </c>
      <c r="I4106" t="s">
        <v>280</v>
      </c>
      <c r="J4106" t="s">
        <v>70</v>
      </c>
      <c r="K4106" t="b">
        <v>0</v>
      </c>
      <c r="L4106">
        <v>2011</v>
      </c>
      <c r="M4106">
        <v>13008746038</v>
      </c>
      <c r="N4106">
        <v>4223000000</v>
      </c>
      <c r="O4106" t="b">
        <v>1</v>
      </c>
      <c r="P4106">
        <v>1</v>
      </c>
      <c r="Q4106" t="str" cm="1">
        <f t="array" ref="Q4106">_xlfn.IFS(Table1[[#This Row],[Wealthier_Winner]]=-1,"Wealthier Nation Loses",Table1[[#This Row],[Wealthier_Winner]]=0,"Tie",Table1[[#This Row],[Wealthier_Winner]]=1,"Wealthier Nation Wins")</f>
        <v>Wealthier Nation Wins</v>
      </c>
    </row>
    <row r="4107" spans="1:17" x14ac:dyDescent="0.2">
      <c r="A4107" s="1">
        <v>6187</v>
      </c>
      <c r="B4107" s="2">
        <v>40788</v>
      </c>
      <c r="C4107" s="7">
        <f>_xlfn.FLOOR.MATH(Table1[[#This Row],[year]],10)</f>
        <v>2010</v>
      </c>
      <c r="D4107" t="s">
        <v>210</v>
      </c>
      <c r="E4107" t="s">
        <v>328</v>
      </c>
      <c r="F4107">
        <v>3</v>
      </c>
      <c r="G4107">
        <v>0</v>
      </c>
      <c r="H4107" t="s">
        <v>224</v>
      </c>
      <c r="I4107" t="s">
        <v>332</v>
      </c>
      <c r="J4107" t="s">
        <v>210</v>
      </c>
      <c r="K4107" t="b">
        <v>0</v>
      </c>
      <c r="L4107">
        <v>2011</v>
      </c>
      <c r="M4107">
        <v>629082257472</v>
      </c>
      <c r="N4107">
        <v>892969104563</v>
      </c>
      <c r="O4107" t="b">
        <v>0</v>
      </c>
      <c r="P4107">
        <v>-1</v>
      </c>
      <c r="Q4107" t="str" cm="1">
        <f t="array" ref="Q4107">_xlfn.IFS(Table1[[#This Row],[Wealthier_Winner]]=-1,"Wealthier Nation Loses",Table1[[#This Row],[Wealthier_Winner]]=0,"Tie",Table1[[#This Row],[Wealthier_Winner]]=1,"Wealthier Nation Wins")</f>
        <v>Wealthier Nation Loses</v>
      </c>
    </row>
    <row r="4108" spans="1:17" x14ac:dyDescent="0.2">
      <c r="A4108" s="1">
        <v>6188</v>
      </c>
      <c r="B4108" s="2">
        <v>40788</v>
      </c>
      <c r="C4108" s="7">
        <f>_xlfn.FLOOR.MATH(Table1[[#This Row],[year]],10)</f>
        <v>2010</v>
      </c>
      <c r="D4108" t="s">
        <v>37</v>
      </c>
      <c r="E4108" t="s">
        <v>403</v>
      </c>
      <c r="F4108">
        <v>0</v>
      </c>
      <c r="G4108">
        <v>2</v>
      </c>
      <c r="H4108" t="s">
        <v>224</v>
      </c>
      <c r="I4108" t="s">
        <v>744</v>
      </c>
      <c r="J4108" t="s">
        <v>37</v>
      </c>
      <c r="K4108" t="b">
        <v>0</v>
      </c>
      <c r="L4108">
        <v>2011</v>
      </c>
      <c r="M4108">
        <v>185749664444</v>
      </c>
      <c r="N4108">
        <v>29524149154</v>
      </c>
      <c r="O4108" t="b">
        <v>1</v>
      </c>
      <c r="P4108">
        <v>-1</v>
      </c>
      <c r="Q4108" t="str" cm="1">
        <f t="array" ref="Q4108">_xlfn.IFS(Table1[[#This Row],[Wealthier_Winner]]=-1,"Wealthier Nation Loses",Table1[[#This Row],[Wealthier_Winner]]=0,"Tie",Table1[[#This Row],[Wealthier_Winner]]=1,"Wealthier Nation Wins")</f>
        <v>Wealthier Nation Loses</v>
      </c>
    </row>
    <row r="4109" spans="1:17" x14ac:dyDescent="0.2">
      <c r="A4109" s="1">
        <v>6190</v>
      </c>
      <c r="B4109" s="2">
        <v>40788</v>
      </c>
      <c r="C4109" s="7">
        <f>_xlfn.FLOOR.MATH(Table1[[#This Row],[year]],10)</f>
        <v>2010</v>
      </c>
      <c r="D4109" t="s">
        <v>195</v>
      </c>
      <c r="E4109" t="s">
        <v>479</v>
      </c>
      <c r="F4109">
        <v>6</v>
      </c>
      <c r="G4109">
        <v>0</v>
      </c>
      <c r="H4109" t="s">
        <v>224</v>
      </c>
      <c r="I4109" t="s">
        <v>745</v>
      </c>
      <c r="J4109" t="s">
        <v>195</v>
      </c>
      <c r="K4109" t="b">
        <v>0</v>
      </c>
      <c r="L4109">
        <v>2011</v>
      </c>
      <c r="M4109">
        <v>1307103477219</v>
      </c>
      <c r="N4109">
        <v>39927125961</v>
      </c>
      <c r="O4109" t="b">
        <v>1</v>
      </c>
      <c r="P4109">
        <v>1</v>
      </c>
      <c r="Q4109" t="str" cm="1">
        <f t="array" ref="Q4109">_xlfn.IFS(Table1[[#This Row],[Wealthier_Winner]]=-1,"Wealthier Nation Loses",Table1[[#This Row],[Wealthier_Winner]]=0,"Tie",Table1[[#This Row],[Wealthier_Winner]]=1,"Wealthier Nation Wins")</f>
        <v>Wealthier Nation Wins</v>
      </c>
    </row>
    <row r="4110" spans="1:17" x14ac:dyDescent="0.2">
      <c r="A4110" s="1">
        <v>6191</v>
      </c>
      <c r="B4110" s="2">
        <v>40788</v>
      </c>
      <c r="C4110" s="7">
        <f>_xlfn.FLOOR.MATH(Table1[[#This Row],[year]],10)</f>
        <v>2010</v>
      </c>
      <c r="D4110" t="s">
        <v>429</v>
      </c>
      <c r="E4110" t="s">
        <v>45</v>
      </c>
      <c r="F4110">
        <v>0</v>
      </c>
      <c r="G4110">
        <v>0</v>
      </c>
      <c r="H4110" t="s">
        <v>224</v>
      </c>
      <c r="I4110" t="s">
        <v>430</v>
      </c>
      <c r="J4110" t="s">
        <v>429</v>
      </c>
      <c r="K4110" t="b">
        <v>0</v>
      </c>
      <c r="L4110">
        <v>2011</v>
      </c>
      <c r="M4110">
        <v>77497529258</v>
      </c>
      <c r="N4110">
        <v>680660800000</v>
      </c>
      <c r="O4110" t="b">
        <v>1</v>
      </c>
      <c r="P4110">
        <v>0</v>
      </c>
      <c r="Q4110" t="str" cm="1">
        <f t="array" ref="Q4110">_xlfn.IFS(Table1[[#This Row],[Wealthier_Winner]]=-1,"Wealthier Nation Loses",Table1[[#This Row],[Wealthier_Winner]]=0,"Tie",Table1[[#This Row],[Wealthier_Winner]]=1,"Wealthier Nation Wins")</f>
        <v>Tie</v>
      </c>
    </row>
    <row r="4111" spans="1:17" x14ac:dyDescent="0.2">
      <c r="A4111" s="1">
        <v>6193</v>
      </c>
      <c r="B4111" s="2">
        <v>40788</v>
      </c>
      <c r="C4111" s="7">
        <f>_xlfn.FLOOR.MATH(Table1[[#This Row],[year]],10)</f>
        <v>2010</v>
      </c>
      <c r="D4111" t="s">
        <v>252</v>
      </c>
      <c r="E4111" t="s">
        <v>691</v>
      </c>
      <c r="F4111">
        <v>1</v>
      </c>
      <c r="G4111">
        <v>0</v>
      </c>
      <c r="H4111" t="s">
        <v>224</v>
      </c>
      <c r="I4111" t="s">
        <v>255</v>
      </c>
      <c r="J4111" t="s">
        <v>252</v>
      </c>
      <c r="K4111" t="b">
        <v>0</v>
      </c>
      <c r="L4111">
        <v>2011</v>
      </c>
      <c r="M4111">
        <v>4422276621</v>
      </c>
      <c r="N4111">
        <v>4186073160</v>
      </c>
      <c r="O4111" t="b">
        <v>0</v>
      </c>
      <c r="P4111">
        <v>1</v>
      </c>
      <c r="Q4111" t="str" cm="1">
        <f t="array" ref="Q4111">_xlfn.IFS(Table1[[#This Row],[Wealthier_Winner]]=-1,"Wealthier Nation Loses",Table1[[#This Row],[Wealthier_Winner]]=0,"Tie",Table1[[#This Row],[Wealthier_Winner]]=1,"Wealthier Nation Wins")</f>
        <v>Wealthier Nation Wins</v>
      </c>
    </row>
    <row r="4112" spans="1:17" x14ac:dyDescent="0.2">
      <c r="A4112" s="1">
        <v>6194</v>
      </c>
      <c r="B4112" s="2">
        <v>40788</v>
      </c>
      <c r="C4112" s="7">
        <f>_xlfn.FLOOR.MATH(Table1[[#This Row],[year]],10)</f>
        <v>2010</v>
      </c>
      <c r="D4112" t="s">
        <v>556</v>
      </c>
      <c r="E4112" t="s">
        <v>563</v>
      </c>
      <c r="F4112">
        <v>0</v>
      </c>
      <c r="G4112">
        <v>1</v>
      </c>
      <c r="H4112" t="s">
        <v>224</v>
      </c>
      <c r="I4112" t="s">
        <v>743</v>
      </c>
      <c r="J4112" t="s">
        <v>556</v>
      </c>
      <c r="K4112" t="b">
        <v>0</v>
      </c>
      <c r="L4112">
        <v>2011</v>
      </c>
      <c r="M4112">
        <v>6522756255</v>
      </c>
      <c r="N4112">
        <v>60178909297</v>
      </c>
      <c r="O4112" t="b">
        <v>1</v>
      </c>
      <c r="P4112">
        <v>1</v>
      </c>
      <c r="Q4112" t="str" cm="1">
        <f t="array" ref="Q4112">_xlfn.IFS(Table1[[#This Row],[Wealthier_Winner]]=-1,"Wealthier Nation Loses",Table1[[#This Row],[Wealthier_Winner]]=0,"Tie",Table1[[#This Row],[Wealthier_Winner]]=1,"Wealthier Nation Wins")</f>
        <v>Wealthier Nation Wins</v>
      </c>
    </row>
    <row r="4113" spans="1:17" x14ac:dyDescent="0.2">
      <c r="A4113" s="1">
        <v>6195</v>
      </c>
      <c r="B4113" s="2">
        <v>40788</v>
      </c>
      <c r="C4113" s="7">
        <f>_xlfn.FLOOR.MATH(Table1[[#This Row],[year]],10)</f>
        <v>2010</v>
      </c>
      <c r="D4113" t="s">
        <v>59</v>
      </c>
      <c r="E4113" t="s">
        <v>266</v>
      </c>
      <c r="F4113">
        <v>1</v>
      </c>
      <c r="G4113">
        <v>0</v>
      </c>
      <c r="H4113" t="s">
        <v>224</v>
      </c>
      <c r="I4113" t="s">
        <v>253</v>
      </c>
      <c r="J4113" t="s">
        <v>59</v>
      </c>
      <c r="K4113" t="b">
        <v>0</v>
      </c>
      <c r="L4113">
        <v>2011</v>
      </c>
      <c r="M4113">
        <v>25433007437</v>
      </c>
      <c r="N4113">
        <v>6312691000</v>
      </c>
      <c r="O4113" t="b">
        <v>1</v>
      </c>
      <c r="P4113">
        <v>1</v>
      </c>
      <c r="Q4113" t="str" cm="1">
        <f t="array" ref="Q4113">_xlfn.IFS(Table1[[#This Row],[Wealthier_Winner]]=-1,"Wealthier Nation Loses",Table1[[#This Row],[Wealthier_Winner]]=0,"Tie",Table1[[#This Row],[Wealthier_Winner]]=1,"Wealthier Nation Wins")</f>
        <v>Wealthier Nation Wins</v>
      </c>
    </row>
    <row r="4114" spans="1:17" x14ac:dyDescent="0.2">
      <c r="A4114" s="1">
        <v>6196</v>
      </c>
      <c r="B4114" s="2">
        <v>40788</v>
      </c>
      <c r="C4114" s="7">
        <f>_xlfn.FLOOR.MATH(Table1[[#This Row],[year]],10)</f>
        <v>2010</v>
      </c>
      <c r="D4114" t="s">
        <v>39</v>
      </c>
      <c r="E4114" t="s">
        <v>71</v>
      </c>
      <c r="F4114">
        <v>2</v>
      </c>
      <c r="G4114">
        <v>3</v>
      </c>
      <c r="H4114" t="s">
        <v>224</v>
      </c>
      <c r="I4114" t="s">
        <v>478</v>
      </c>
      <c r="J4114" t="s">
        <v>39</v>
      </c>
      <c r="K4114" t="b">
        <v>0</v>
      </c>
      <c r="L4114">
        <v>2011</v>
      </c>
      <c r="M4114">
        <v>368881143635</v>
      </c>
      <c r="N4114">
        <v>154039231245</v>
      </c>
      <c r="O4114" t="b">
        <v>1</v>
      </c>
      <c r="P4114">
        <v>-1</v>
      </c>
      <c r="Q4114" t="str" cm="1">
        <f t="array" ref="Q4114">_xlfn.IFS(Table1[[#This Row],[Wealthier_Winner]]=-1,"Wealthier Nation Loses",Table1[[#This Row],[Wealthier_Winner]]=0,"Tie",Table1[[#This Row],[Wealthier_Winner]]=1,"Wealthier Nation Wins")</f>
        <v>Wealthier Nation Loses</v>
      </c>
    </row>
    <row r="4115" spans="1:17" x14ac:dyDescent="0.2">
      <c r="A4115" s="1">
        <v>6198</v>
      </c>
      <c r="B4115" s="2">
        <v>40792</v>
      </c>
      <c r="C4115" s="7">
        <f>_xlfn.FLOOR.MATH(Table1[[#This Row],[year]],10)</f>
        <v>2010</v>
      </c>
      <c r="D4115" t="s">
        <v>443</v>
      </c>
      <c r="E4115" t="s">
        <v>59</v>
      </c>
      <c r="F4115">
        <v>0</v>
      </c>
      <c r="G4115">
        <v>2</v>
      </c>
      <c r="H4115" t="s">
        <v>224</v>
      </c>
      <c r="I4115" t="s">
        <v>444</v>
      </c>
      <c r="J4115" t="s">
        <v>443</v>
      </c>
      <c r="K4115" t="b">
        <v>0</v>
      </c>
      <c r="L4115">
        <v>2011</v>
      </c>
      <c r="M4115">
        <v>5663100000</v>
      </c>
      <c r="N4115">
        <v>25433007437</v>
      </c>
      <c r="O4115" t="b">
        <v>1</v>
      </c>
      <c r="P4115">
        <v>1</v>
      </c>
      <c r="Q4115" t="str" cm="1">
        <f t="array" ref="Q4115">_xlfn.IFS(Table1[[#This Row],[Wealthier_Winner]]=-1,"Wealthier Nation Loses",Table1[[#This Row],[Wealthier_Winner]]=0,"Tie",Table1[[#This Row],[Wealthier_Winner]]=1,"Wealthier Nation Wins")</f>
        <v>Wealthier Nation Wins</v>
      </c>
    </row>
    <row r="4116" spans="1:17" x14ac:dyDescent="0.2">
      <c r="A4116" s="1">
        <v>6199</v>
      </c>
      <c r="B4116" s="2">
        <v>40792</v>
      </c>
      <c r="C4116" s="7">
        <f>_xlfn.FLOOR.MATH(Table1[[#This Row],[year]],10)</f>
        <v>2010</v>
      </c>
      <c r="D4116" t="s">
        <v>511</v>
      </c>
      <c r="E4116" t="s">
        <v>223</v>
      </c>
      <c r="F4116">
        <v>1</v>
      </c>
      <c r="G4116">
        <v>2</v>
      </c>
      <c r="H4116" t="s">
        <v>224</v>
      </c>
      <c r="I4116" t="s">
        <v>746</v>
      </c>
      <c r="J4116" t="s">
        <v>511</v>
      </c>
      <c r="K4116" t="b">
        <v>0</v>
      </c>
      <c r="L4116">
        <v>2011</v>
      </c>
      <c r="M4116">
        <v>1831576700</v>
      </c>
      <c r="N4116">
        <v>46876006272</v>
      </c>
      <c r="O4116" t="b">
        <v>1</v>
      </c>
      <c r="P4116">
        <v>1</v>
      </c>
      <c r="Q4116" t="str" cm="1">
        <f t="array" ref="Q4116">_xlfn.IFS(Table1[[#This Row],[Wealthier_Winner]]=-1,"Wealthier Nation Loses",Table1[[#This Row],[Wealthier_Winner]]=0,"Tie",Table1[[#This Row],[Wealthier_Winner]]=1,"Wealthier Nation Wins")</f>
        <v>Wealthier Nation Wins</v>
      </c>
    </row>
    <row r="4117" spans="1:17" x14ac:dyDescent="0.2">
      <c r="A4117" s="1">
        <v>6200</v>
      </c>
      <c r="B4117" s="2">
        <v>40792</v>
      </c>
      <c r="C4117" s="7">
        <f>_xlfn.FLOOR.MATH(Table1[[#This Row],[year]],10)</f>
        <v>2010</v>
      </c>
      <c r="D4117" t="s">
        <v>691</v>
      </c>
      <c r="E4117" t="s">
        <v>69</v>
      </c>
      <c r="F4117">
        <v>1</v>
      </c>
      <c r="G4117">
        <v>4</v>
      </c>
      <c r="H4117" t="s">
        <v>224</v>
      </c>
      <c r="I4117" t="s">
        <v>693</v>
      </c>
      <c r="J4117" t="s">
        <v>691</v>
      </c>
      <c r="K4117" t="b">
        <v>0</v>
      </c>
      <c r="L4117">
        <v>2011</v>
      </c>
      <c r="M4117">
        <v>4186073160</v>
      </c>
      <c r="N4117">
        <v>20283780000</v>
      </c>
      <c r="O4117" t="b">
        <v>1</v>
      </c>
      <c r="P4117">
        <v>1</v>
      </c>
      <c r="Q4117" t="str" cm="1">
        <f t="array" ref="Q4117">_xlfn.IFS(Table1[[#This Row],[Wealthier_Winner]]=-1,"Wealthier Nation Loses",Table1[[#This Row],[Wealthier_Winner]]=0,"Tie",Table1[[#This Row],[Wealthier_Winner]]=1,"Wealthier Nation Wins")</f>
        <v>Wealthier Nation Wins</v>
      </c>
    </row>
    <row r="4118" spans="1:17" x14ac:dyDescent="0.2">
      <c r="A4118" s="1">
        <v>6202</v>
      </c>
      <c r="B4118" s="2">
        <v>40792</v>
      </c>
      <c r="C4118" s="7">
        <f>_xlfn.FLOOR.MATH(Table1[[#This Row],[year]],10)</f>
        <v>2010</v>
      </c>
      <c r="D4118" t="s">
        <v>496</v>
      </c>
      <c r="E4118" t="s">
        <v>252</v>
      </c>
      <c r="F4118">
        <v>1</v>
      </c>
      <c r="G4118">
        <v>1</v>
      </c>
      <c r="H4118" t="s">
        <v>224</v>
      </c>
      <c r="I4118" t="s">
        <v>416</v>
      </c>
      <c r="J4118" t="s">
        <v>496</v>
      </c>
      <c r="K4118" t="b">
        <v>0</v>
      </c>
      <c r="L4118">
        <v>2011</v>
      </c>
      <c r="M4118">
        <v>57948261615</v>
      </c>
      <c r="N4118">
        <v>4422276621</v>
      </c>
      <c r="O4118" t="b">
        <v>1</v>
      </c>
      <c r="P4118">
        <v>0</v>
      </c>
      <c r="Q4118" t="str" cm="1">
        <f t="array" ref="Q4118">_xlfn.IFS(Table1[[#This Row],[Wealthier_Winner]]=-1,"Wealthier Nation Loses",Table1[[#This Row],[Wealthier_Winner]]=0,"Tie",Table1[[#This Row],[Wealthier_Winner]]=1,"Wealthier Nation Wins")</f>
        <v>Tie</v>
      </c>
    </row>
    <row r="4119" spans="1:17" x14ac:dyDescent="0.2">
      <c r="A4119" s="1">
        <v>6203</v>
      </c>
      <c r="B4119" s="2">
        <v>40792</v>
      </c>
      <c r="C4119" s="7">
        <f>_xlfn.FLOOR.MATH(Table1[[#This Row],[year]],10)</f>
        <v>2010</v>
      </c>
      <c r="D4119" t="s">
        <v>445</v>
      </c>
      <c r="E4119" t="s">
        <v>266</v>
      </c>
      <c r="F4119">
        <v>2</v>
      </c>
      <c r="G4119">
        <v>1</v>
      </c>
      <c r="H4119" t="s">
        <v>224</v>
      </c>
      <c r="I4119" t="s">
        <v>446</v>
      </c>
      <c r="J4119" t="s">
        <v>445</v>
      </c>
      <c r="K4119" t="b">
        <v>0</v>
      </c>
      <c r="L4119">
        <v>2011</v>
      </c>
      <c r="M4119">
        <v>3691384317</v>
      </c>
      <c r="N4119">
        <v>6312691000</v>
      </c>
      <c r="O4119" t="b">
        <v>0</v>
      </c>
      <c r="P4119">
        <v>-1</v>
      </c>
      <c r="Q4119" t="str" cm="1">
        <f t="array" ref="Q4119">_xlfn.IFS(Table1[[#This Row],[Wealthier_Winner]]=-1,"Wealthier Nation Loses",Table1[[#This Row],[Wealthier_Winner]]=0,"Tie",Table1[[#This Row],[Wealthier_Winner]]=1,"Wealthier Nation Wins")</f>
        <v>Wealthier Nation Loses</v>
      </c>
    </row>
    <row r="4120" spans="1:17" x14ac:dyDescent="0.2">
      <c r="A4120" s="1">
        <v>6204</v>
      </c>
      <c r="B4120" s="2">
        <v>40792</v>
      </c>
      <c r="C4120" s="7">
        <f>_xlfn.FLOOR.MATH(Table1[[#This Row],[year]],10)</f>
        <v>2010</v>
      </c>
      <c r="D4120" t="s">
        <v>328</v>
      </c>
      <c r="E4120" t="s">
        <v>361</v>
      </c>
      <c r="F4120">
        <v>0</v>
      </c>
      <c r="G4120">
        <v>2</v>
      </c>
      <c r="H4120" t="s">
        <v>224</v>
      </c>
      <c r="I4120" t="s">
        <v>386</v>
      </c>
      <c r="J4120" t="s">
        <v>328</v>
      </c>
      <c r="K4120" t="b">
        <v>0</v>
      </c>
      <c r="L4120">
        <v>2011</v>
      </c>
      <c r="M4120">
        <v>892969104563</v>
      </c>
      <c r="N4120">
        <v>29914680851</v>
      </c>
      <c r="O4120" t="b">
        <v>1</v>
      </c>
      <c r="P4120">
        <v>-1</v>
      </c>
      <c r="Q4120" t="str" cm="1">
        <f t="array" ref="Q4120">_xlfn.IFS(Table1[[#This Row],[Wealthier_Winner]]=-1,"Wealthier Nation Loses",Table1[[#This Row],[Wealthier_Winner]]=0,"Tie",Table1[[#This Row],[Wealthier_Winner]]=1,"Wealthier Nation Wins")</f>
        <v>Wealthier Nation Loses</v>
      </c>
    </row>
    <row r="4121" spans="1:17" x14ac:dyDescent="0.2">
      <c r="A4121" s="1">
        <v>6207</v>
      </c>
      <c r="B4121" s="2">
        <v>40792</v>
      </c>
      <c r="C4121" s="7">
        <f>_xlfn.FLOOR.MATH(Table1[[#This Row],[year]],10)</f>
        <v>2010</v>
      </c>
      <c r="D4121" t="s">
        <v>71</v>
      </c>
      <c r="E4121" t="s">
        <v>195</v>
      </c>
      <c r="F4121">
        <v>1</v>
      </c>
      <c r="G4121">
        <v>1</v>
      </c>
      <c r="H4121" t="s">
        <v>224</v>
      </c>
      <c r="I4121" t="s">
        <v>366</v>
      </c>
      <c r="J4121" t="s">
        <v>71</v>
      </c>
      <c r="K4121" t="b">
        <v>0</v>
      </c>
      <c r="L4121">
        <v>2011</v>
      </c>
      <c r="M4121">
        <v>154039231245</v>
      </c>
      <c r="N4121">
        <v>1307103477219</v>
      </c>
      <c r="O4121" t="b">
        <v>1</v>
      </c>
      <c r="P4121">
        <v>0</v>
      </c>
      <c r="Q4121" t="str" cm="1">
        <f t="array" ref="Q4121">_xlfn.IFS(Table1[[#This Row],[Wealthier_Winner]]=-1,"Wealthier Nation Loses",Table1[[#This Row],[Wealthier_Winner]]=0,"Tie",Table1[[#This Row],[Wealthier_Winner]]=1,"Wealthier Nation Wins")</f>
        <v>Tie</v>
      </c>
    </row>
    <row r="4122" spans="1:17" x14ac:dyDescent="0.2">
      <c r="A4122" s="1">
        <v>6208</v>
      </c>
      <c r="B4122" s="2">
        <v>40792</v>
      </c>
      <c r="C4122" s="7">
        <f>_xlfn.FLOOR.MATH(Table1[[#This Row],[year]],10)</f>
        <v>2010</v>
      </c>
      <c r="D4122" t="s">
        <v>479</v>
      </c>
      <c r="E4122" t="s">
        <v>39</v>
      </c>
      <c r="F4122">
        <v>3</v>
      </c>
      <c r="G4122">
        <v>1</v>
      </c>
      <c r="H4122" t="s">
        <v>224</v>
      </c>
      <c r="I4122" t="s">
        <v>480</v>
      </c>
      <c r="J4122" t="s">
        <v>479</v>
      </c>
      <c r="K4122" t="b">
        <v>0</v>
      </c>
      <c r="L4122">
        <v>2011</v>
      </c>
      <c r="M4122">
        <v>39927125961</v>
      </c>
      <c r="N4122">
        <v>368881143635</v>
      </c>
      <c r="O4122" t="b">
        <v>1</v>
      </c>
      <c r="P4122">
        <v>-1</v>
      </c>
      <c r="Q4122" t="str" cm="1">
        <f t="array" ref="Q4122">_xlfn.IFS(Table1[[#This Row],[Wealthier_Winner]]=-1,"Wealthier Nation Loses",Table1[[#This Row],[Wealthier_Winner]]=0,"Tie",Table1[[#This Row],[Wealthier_Winner]]=1,"Wealthier Nation Wins")</f>
        <v>Wealthier Nation Loses</v>
      </c>
    </row>
    <row r="4123" spans="1:17" x14ac:dyDescent="0.2">
      <c r="A4123" s="1">
        <v>6209</v>
      </c>
      <c r="B4123" s="2">
        <v>40792</v>
      </c>
      <c r="C4123" s="7">
        <f>_xlfn.FLOOR.MATH(Table1[[#This Row],[year]],10)</f>
        <v>2010</v>
      </c>
      <c r="D4123" t="s">
        <v>453</v>
      </c>
      <c r="E4123" t="s">
        <v>67</v>
      </c>
      <c r="F4123">
        <v>1</v>
      </c>
      <c r="G4123">
        <v>2</v>
      </c>
      <c r="H4123" t="s">
        <v>224</v>
      </c>
      <c r="I4123" t="s">
        <v>454</v>
      </c>
      <c r="J4123" t="s">
        <v>453</v>
      </c>
      <c r="K4123" t="b">
        <v>0</v>
      </c>
      <c r="L4123">
        <v>2011</v>
      </c>
      <c r="M4123">
        <v>9774329332</v>
      </c>
      <c r="N4123">
        <v>35687738251</v>
      </c>
      <c r="O4123" t="b">
        <v>1</v>
      </c>
      <c r="P4123">
        <v>1</v>
      </c>
      <c r="Q4123" t="str" cm="1">
        <f t="array" ref="Q4123">_xlfn.IFS(Table1[[#This Row],[Wealthier_Winner]]=-1,"Wealthier Nation Loses",Table1[[#This Row],[Wealthier_Winner]]=0,"Tie",Table1[[#This Row],[Wealthier_Winner]]=1,"Wealthier Nation Wins")</f>
        <v>Wealthier Nation Wins</v>
      </c>
    </row>
    <row r="4124" spans="1:17" x14ac:dyDescent="0.2">
      <c r="A4124" s="1">
        <v>6211</v>
      </c>
      <c r="B4124" s="2">
        <v>40792</v>
      </c>
      <c r="C4124" s="7">
        <f>_xlfn.FLOOR.MATH(Table1[[#This Row],[year]],10)</f>
        <v>2010</v>
      </c>
      <c r="D4124" t="s">
        <v>68</v>
      </c>
      <c r="E4124" t="s">
        <v>210</v>
      </c>
      <c r="F4124">
        <v>1</v>
      </c>
      <c r="G4124">
        <v>1</v>
      </c>
      <c r="H4124" t="s">
        <v>224</v>
      </c>
      <c r="I4124" t="s">
        <v>190</v>
      </c>
      <c r="J4124" t="s">
        <v>68</v>
      </c>
      <c r="K4124" t="b">
        <v>0</v>
      </c>
      <c r="L4124">
        <v>2011</v>
      </c>
      <c r="M4124">
        <v>167775274725</v>
      </c>
      <c r="N4124">
        <v>629082257472</v>
      </c>
      <c r="O4124" t="b">
        <v>1</v>
      </c>
      <c r="P4124">
        <v>0</v>
      </c>
      <c r="Q4124" t="str" cm="1">
        <f t="array" ref="Q4124">_xlfn.IFS(Table1[[#This Row],[Wealthier_Winner]]=-1,"Wealthier Nation Loses",Table1[[#This Row],[Wealthier_Winner]]=0,"Tie",Table1[[#This Row],[Wealthier_Winner]]=1,"Wealthier Nation Wins")</f>
        <v>Tie</v>
      </c>
    </row>
    <row r="4125" spans="1:17" x14ac:dyDescent="0.2">
      <c r="A4125" s="1">
        <v>6212</v>
      </c>
      <c r="B4125" s="2">
        <v>40792</v>
      </c>
      <c r="C4125" s="7">
        <f>_xlfn.FLOOR.MATH(Table1[[#This Row],[year]],10)</f>
        <v>2010</v>
      </c>
      <c r="D4125" t="s">
        <v>45</v>
      </c>
      <c r="E4125" t="s">
        <v>28</v>
      </c>
      <c r="F4125">
        <v>1</v>
      </c>
      <c r="G4125">
        <v>3</v>
      </c>
      <c r="H4125" t="s">
        <v>224</v>
      </c>
      <c r="I4125" t="s">
        <v>356</v>
      </c>
      <c r="J4125" t="s">
        <v>45</v>
      </c>
      <c r="K4125" t="b">
        <v>0</v>
      </c>
      <c r="L4125">
        <v>2011</v>
      </c>
      <c r="M4125">
        <v>680660800000</v>
      </c>
      <c r="N4125">
        <v>1402939868653</v>
      </c>
      <c r="O4125" t="b">
        <v>1</v>
      </c>
      <c r="P4125">
        <v>1</v>
      </c>
      <c r="Q4125" t="str" cm="1">
        <f t="array" ref="Q4125">_xlfn.IFS(Table1[[#This Row],[Wealthier_Winner]]=-1,"Wealthier Nation Loses",Table1[[#This Row],[Wealthier_Winner]]=0,"Tie",Table1[[#This Row],[Wealthier_Winner]]=1,"Wealthier Nation Wins")</f>
        <v>Wealthier Nation Wins</v>
      </c>
    </row>
    <row r="4126" spans="1:17" x14ac:dyDescent="0.2">
      <c r="A4126" s="1">
        <v>6213</v>
      </c>
      <c r="B4126" s="2">
        <v>40792</v>
      </c>
      <c r="C4126" s="7">
        <f>_xlfn.FLOOR.MATH(Table1[[#This Row],[year]],10)</f>
        <v>2010</v>
      </c>
      <c r="D4126" t="s">
        <v>359</v>
      </c>
      <c r="E4126" t="s">
        <v>37</v>
      </c>
      <c r="F4126">
        <v>0</v>
      </c>
      <c r="G4126">
        <v>2</v>
      </c>
      <c r="H4126" t="s">
        <v>224</v>
      </c>
      <c r="I4126" t="s">
        <v>359</v>
      </c>
      <c r="J4126" t="s">
        <v>359</v>
      </c>
      <c r="K4126" t="b">
        <v>0</v>
      </c>
      <c r="L4126">
        <v>2011</v>
      </c>
      <c r="M4126">
        <v>279356499090</v>
      </c>
      <c r="N4126">
        <v>185749664444</v>
      </c>
      <c r="O4126" t="b">
        <v>0</v>
      </c>
      <c r="P4126">
        <v>-1</v>
      </c>
      <c r="Q4126" t="str" cm="1">
        <f t="array" ref="Q4126">_xlfn.IFS(Table1[[#This Row],[Wealthier_Winner]]=-1,"Wealthier Nation Loses",Table1[[#This Row],[Wealthier_Winner]]=0,"Tie",Table1[[#This Row],[Wealthier_Winner]]=1,"Wealthier Nation Wins")</f>
        <v>Wealthier Nation Loses</v>
      </c>
    </row>
    <row r="4127" spans="1:17" x14ac:dyDescent="0.2">
      <c r="A4127" s="1">
        <v>6215</v>
      </c>
      <c r="B4127" s="2">
        <v>40792</v>
      </c>
      <c r="C4127" s="7">
        <f>_xlfn.FLOOR.MATH(Table1[[#This Row],[year]],10)</f>
        <v>2010</v>
      </c>
      <c r="D4127" t="s">
        <v>334</v>
      </c>
      <c r="E4127" t="s">
        <v>429</v>
      </c>
      <c r="F4127">
        <v>3</v>
      </c>
      <c r="G4127">
        <v>0</v>
      </c>
      <c r="H4127" t="s">
        <v>224</v>
      </c>
      <c r="I4127" t="s">
        <v>407</v>
      </c>
      <c r="J4127" t="s">
        <v>334</v>
      </c>
      <c r="K4127" t="b">
        <v>0</v>
      </c>
      <c r="L4127">
        <v>2011</v>
      </c>
      <c r="M4127">
        <v>370818739623</v>
      </c>
      <c r="N4127">
        <v>77497529258</v>
      </c>
      <c r="O4127" t="b">
        <v>1</v>
      </c>
      <c r="P4127">
        <v>1</v>
      </c>
      <c r="Q4127" t="str" cm="1">
        <f t="array" ref="Q4127">_xlfn.IFS(Table1[[#This Row],[Wealthier_Winner]]=-1,"Wealthier Nation Loses",Table1[[#This Row],[Wealthier_Winner]]=0,"Tie",Table1[[#This Row],[Wealthier_Winner]]=1,"Wealthier Nation Wins")</f>
        <v>Wealthier Nation Wins</v>
      </c>
    </row>
    <row r="4128" spans="1:17" x14ac:dyDescent="0.2">
      <c r="A4128" s="1">
        <v>6216</v>
      </c>
      <c r="B4128" s="2">
        <v>40792</v>
      </c>
      <c r="C4128" s="7">
        <f>_xlfn.FLOOR.MATH(Table1[[#This Row],[year]],10)</f>
        <v>2010</v>
      </c>
      <c r="D4128" t="s">
        <v>563</v>
      </c>
      <c r="E4128" t="s">
        <v>51</v>
      </c>
      <c r="F4128">
        <v>1</v>
      </c>
      <c r="G4128">
        <v>1</v>
      </c>
      <c r="H4128" t="s">
        <v>224</v>
      </c>
      <c r="I4128" t="s">
        <v>564</v>
      </c>
      <c r="J4128" t="s">
        <v>563</v>
      </c>
      <c r="K4128" t="b">
        <v>0</v>
      </c>
      <c r="L4128">
        <v>2011</v>
      </c>
      <c r="M4128">
        <v>60178909297</v>
      </c>
      <c r="N4128">
        <v>6233147172341</v>
      </c>
      <c r="O4128" t="b">
        <v>1</v>
      </c>
      <c r="P4128">
        <v>0</v>
      </c>
      <c r="Q4128" t="str" cm="1">
        <f t="array" ref="Q4128">_xlfn.IFS(Table1[[#This Row],[Wealthier_Winner]]=-1,"Wealthier Nation Loses",Table1[[#This Row],[Wealthier_Winner]]=0,"Tie",Table1[[#This Row],[Wealthier_Winner]]=1,"Wealthier Nation Wins")</f>
        <v>Tie</v>
      </c>
    </row>
    <row r="4129" spans="1:17" x14ac:dyDescent="0.2">
      <c r="A4129" s="1">
        <v>6217</v>
      </c>
      <c r="B4129" s="2">
        <v>40792</v>
      </c>
      <c r="C4129" s="7">
        <f>_xlfn.FLOOR.MATH(Table1[[#This Row],[year]],10)</f>
        <v>2010</v>
      </c>
      <c r="D4129" t="s">
        <v>692</v>
      </c>
      <c r="E4129" t="s">
        <v>449</v>
      </c>
      <c r="F4129">
        <v>1</v>
      </c>
      <c r="G4129">
        <v>8</v>
      </c>
      <c r="H4129" t="s">
        <v>224</v>
      </c>
      <c r="I4129" t="s">
        <v>747</v>
      </c>
      <c r="J4129" t="s">
        <v>692</v>
      </c>
      <c r="K4129" t="b">
        <v>0</v>
      </c>
      <c r="L4129">
        <v>2011</v>
      </c>
      <c r="M4129">
        <v>4223000000</v>
      </c>
      <c r="N4129">
        <v>1287359259</v>
      </c>
      <c r="O4129" t="b">
        <v>1</v>
      </c>
      <c r="P4129">
        <v>-1</v>
      </c>
      <c r="Q4129" t="str" cm="1">
        <f t="array" ref="Q4129">_xlfn.IFS(Table1[[#This Row],[Wealthier_Winner]]=-1,"Wealthier Nation Loses",Table1[[#This Row],[Wealthier_Winner]]=0,"Tie",Table1[[#This Row],[Wealthier_Winner]]=1,"Wealthier Nation Wins")</f>
        <v>Wealthier Nation Loses</v>
      </c>
    </row>
    <row r="4130" spans="1:17" x14ac:dyDescent="0.2">
      <c r="A4130" s="1">
        <v>6219</v>
      </c>
      <c r="B4130" s="2">
        <v>40823</v>
      </c>
      <c r="C4130" s="7">
        <f>_xlfn.FLOOR.MATH(Table1[[#This Row],[year]],10)</f>
        <v>2010</v>
      </c>
      <c r="D4130" t="s">
        <v>19</v>
      </c>
      <c r="E4130" t="s">
        <v>14</v>
      </c>
      <c r="F4130">
        <v>4</v>
      </c>
      <c r="G4130">
        <v>1</v>
      </c>
      <c r="H4130" t="s">
        <v>224</v>
      </c>
      <c r="I4130" t="s">
        <v>93</v>
      </c>
      <c r="J4130" t="s">
        <v>19</v>
      </c>
      <c r="K4130" t="b">
        <v>0</v>
      </c>
      <c r="L4130">
        <v>2011</v>
      </c>
      <c r="M4130">
        <v>530158122010</v>
      </c>
      <c r="N4130">
        <v>251382573893</v>
      </c>
      <c r="O4130" t="b">
        <v>1</v>
      </c>
      <c r="P4130">
        <v>1</v>
      </c>
      <c r="Q4130" t="str" cm="1">
        <f t="array" ref="Q4130">_xlfn.IFS(Table1[[#This Row],[Wealthier_Winner]]=-1,"Wealthier Nation Loses",Table1[[#This Row],[Wealthier_Winner]]=0,"Tie",Table1[[#This Row],[Wealthier_Winner]]=1,"Wealthier Nation Wins")</f>
        <v>Wealthier Nation Wins</v>
      </c>
    </row>
    <row r="4131" spans="1:17" x14ac:dyDescent="0.2">
      <c r="A4131" s="1">
        <v>6220</v>
      </c>
      <c r="B4131" s="2">
        <v>40823</v>
      </c>
      <c r="C4131" s="7">
        <f>_xlfn.FLOOR.MATH(Table1[[#This Row],[year]],10)</f>
        <v>2010</v>
      </c>
      <c r="D4131" t="s">
        <v>443</v>
      </c>
      <c r="E4131" t="s">
        <v>445</v>
      </c>
      <c r="F4131">
        <v>0</v>
      </c>
      <c r="G4131">
        <v>2</v>
      </c>
      <c r="H4131" t="s">
        <v>224</v>
      </c>
      <c r="I4131" t="s">
        <v>444</v>
      </c>
      <c r="J4131" t="s">
        <v>443</v>
      </c>
      <c r="K4131" t="b">
        <v>0</v>
      </c>
      <c r="L4131">
        <v>2011</v>
      </c>
      <c r="M4131">
        <v>5663100000</v>
      </c>
      <c r="N4131">
        <v>3691384317</v>
      </c>
      <c r="O4131" t="b">
        <v>0</v>
      </c>
      <c r="P4131">
        <v>-1</v>
      </c>
      <c r="Q4131" t="str" cm="1">
        <f t="array" ref="Q4131">_xlfn.IFS(Table1[[#This Row],[Wealthier_Winner]]=-1,"Wealthier Nation Loses",Table1[[#This Row],[Wealthier_Winner]]=0,"Tie",Table1[[#This Row],[Wealthier_Winner]]=1,"Wealthier Nation Wins")</f>
        <v>Wealthier Nation Loses</v>
      </c>
    </row>
    <row r="4132" spans="1:17" x14ac:dyDescent="0.2">
      <c r="A4132" s="1">
        <v>6221</v>
      </c>
      <c r="B4132" s="2">
        <v>40823</v>
      </c>
      <c r="C4132" s="7">
        <f>_xlfn.FLOOR.MATH(Table1[[#This Row],[year]],10)</f>
        <v>2010</v>
      </c>
      <c r="D4132" t="s">
        <v>511</v>
      </c>
      <c r="E4132" t="s">
        <v>499</v>
      </c>
      <c r="F4132">
        <v>1</v>
      </c>
      <c r="G4132">
        <v>4</v>
      </c>
      <c r="H4132" t="s">
        <v>224</v>
      </c>
      <c r="I4132" t="s">
        <v>746</v>
      </c>
      <c r="J4132" t="s">
        <v>511</v>
      </c>
      <c r="K4132" t="b">
        <v>0</v>
      </c>
      <c r="L4132">
        <v>2011</v>
      </c>
      <c r="M4132">
        <v>1831576700</v>
      </c>
      <c r="N4132">
        <v>778655555</v>
      </c>
      <c r="O4132" t="b">
        <v>1</v>
      </c>
      <c r="P4132">
        <v>-1</v>
      </c>
      <c r="Q4132" t="str" cm="1">
        <f t="array" ref="Q4132">_xlfn.IFS(Table1[[#This Row],[Wealthier_Winner]]=-1,"Wealthier Nation Loses",Table1[[#This Row],[Wealthier_Winner]]=0,"Tie",Table1[[#This Row],[Wealthier_Winner]]=1,"Wealthier Nation Wins")</f>
        <v>Wealthier Nation Loses</v>
      </c>
    </row>
    <row r="4133" spans="1:17" x14ac:dyDescent="0.2">
      <c r="A4133" s="1">
        <v>6222</v>
      </c>
      <c r="B4133" s="2">
        <v>40823</v>
      </c>
      <c r="C4133" s="7">
        <f>_xlfn.FLOOR.MATH(Table1[[#This Row],[year]],10)</f>
        <v>2010</v>
      </c>
      <c r="D4133" t="s">
        <v>266</v>
      </c>
      <c r="E4133" t="s">
        <v>59</v>
      </c>
      <c r="F4133">
        <v>2</v>
      </c>
      <c r="G4133">
        <v>1</v>
      </c>
      <c r="H4133" t="s">
        <v>224</v>
      </c>
      <c r="I4133" t="s">
        <v>271</v>
      </c>
      <c r="J4133" t="s">
        <v>266</v>
      </c>
      <c r="K4133" t="b">
        <v>0</v>
      </c>
      <c r="L4133">
        <v>2011</v>
      </c>
      <c r="M4133">
        <v>6312691000</v>
      </c>
      <c r="N4133">
        <v>25433007437</v>
      </c>
      <c r="O4133" t="b">
        <v>1</v>
      </c>
      <c r="P4133">
        <v>-1</v>
      </c>
      <c r="Q4133" t="str" cm="1">
        <f t="array" ref="Q4133">_xlfn.IFS(Table1[[#This Row],[Wealthier_Winner]]=-1,"Wealthier Nation Loses",Table1[[#This Row],[Wealthier_Winner]]=0,"Tie",Table1[[#This Row],[Wealthier_Winner]]=1,"Wealthier Nation Wins")</f>
        <v>Wealthier Nation Loses</v>
      </c>
    </row>
    <row r="4134" spans="1:17" x14ac:dyDescent="0.2">
      <c r="A4134" s="1">
        <v>6223</v>
      </c>
      <c r="B4134" s="2">
        <v>40823</v>
      </c>
      <c r="C4134" s="7">
        <f>_xlfn.FLOOR.MATH(Table1[[#This Row],[year]],10)</f>
        <v>2010</v>
      </c>
      <c r="D4134" t="s">
        <v>691</v>
      </c>
      <c r="E4134" t="s">
        <v>252</v>
      </c>
      <c r="F4134">
        <v>0</v>
      </c>
      <c r="G4134">
        <v>1</v>
      </c>
      <c r="H4134" t="s">
        <v>224</v>
      </c>
      <c r="I4134" t="s">
        <v>693</v>
      </c>
      <c r="J4134" t="s">
        <v>691</v>
      </c>
      <c r="K4134" t="b">
        <v>0</v>
      </c>
      <c r="L4134">
        <v>2011</v>
      </c>
      <c r="M4134">
        <v>4186073160</v>
      </c>
      <c r="N4134">
        <v>4422276621</v>
      </c>
      <c r="O4134" t="b">
        <v>0</v>
      </c>
      <c r="P4134">
        <v>1</v>
      </c>
      <c r="Q4134" t="str" cm="1">
        <f t="array" ref="Q4134">_xlfn.IFS(Table1[[#This Row],[Wealthier_Winner]]=-1,"Wealthier Nation Loses",Table1[[#This Row],[Wealthier_Winner]]=0,"Tie",Table1[[#This Row],[Wealthier_Winner]]=1,"Wealthier Nation Wins")</f>
        <v>Wealthier Nation Wins</v>
      </c>
    </row>
    <row r="4135" spans="1:17" x14ac:dyDescent="0.2">
      <c r="A4135" s="1">
        <v>6225</v>
      </c>
      <c r="B4135" s="2">
        <v>40823</v>
      </c>
      <c r="C4135" s="7">
        <f>_xlfn.FLOOR.MATH(Table1[[#This Row],[year]],10)</f>
        <v>2010</v>
      </c>
      <c r="D4135" t="s">
        <v>494</v>
      </c>
      <c r="E4135" t="s">
        <v>67</v>
      </c>
      <c r="F4135">
        <v>0</v>
      </c>
      <c r="G4135">
        <v>5</v>
      </c>
      <c r="H4135" t="s">
        <v>224</v>
      </c>
      <c r="I4135" t="s">
        <v>495</v>
      </c>
      <c r="J4135" t="s">
        <v>494</v>
      </c>
      <c r="K4135" t="b">
        <v>0</v>
      </c>
      <c r="L4135">
        <v>2011</v>
      </c>
      <c r="M4135">
        <v>532081481</v>
      </c>
      <c r="N4135">
        <v>35687738251</v>
      </c>
      <c r="O4135" t="b">
        <v>1</v>
      </c>
      <c r="P4135">
        <v>1</v>
      </c>
      <c r="Q4135" t="str" cm="1">
        <f t="array" ref="Q4135">_xlfn.IFS(Table1[[#This Row],[Wealthier_Winner]]=-1,"Wealthier Nation Loses",Table1[[#This Row],[Wealthier_Winner]]=0,"Tie",Table1[[#This Row],[Wealthier_Winner]]=1,"Wealthier Nation Wins")</f>
        <v>Wealthier Nation Wins</v>
      </c>
    </row>
    <row r="4136" spans="1:17" x14ac:dyDescent="0.2">
      <c r="A4136" s="1">
        <v>6226</v>
      </c>
      <c r="B4136" s="2">
        <v>40823</v>
      </c>
      <c r="C4136" s="7">
        <f>_xlfn.FLOOR.MATH(Table1[[#This Row],[year]],10)</f>
        <v>2010</v>
      </c>
      <c r="D4136" t="s">
        <v>496</v>
      </c>
      <c r="E4136" t="s">
        <v>69</v>
      </c>
      <c r="F4136">
        <v>1</v>
      </c>
      <c r="G4136">
        <v>2</v>
      </c>
      <c r="H4136" t="s">
        <v>224</v>
      </c>
      <c r="I4136" t="s">
        <v>416</v>
      </c>
      <c r="J4136" t="s">
        <v>496</v>
      </c>
      <c r="K4136" t="b">
        <v>0</v>
      </c>
      <c r="L4136">
        <v>2011</v>
      </c>
      <c r="M4136">
        <v>57948261615</v>
      </c>
      <c r="N4136">
        <v>20283780000</v>
      </c>
      <c r="O4136" t="b">
        <v>1</v>
      </c>
      <c r="P4136">
        <v>-1</v>
      </c>
      <c r="Q4136" t="str" cm="1">
        <f t="array" ref="Q4136">_xlfn.IFS(Table1[[#This Row],[Wealthier_Winner]]=-1,"Wealthier Nation Loses",Table1[[#This Row],[Wealthier_Winner]]=0,"Tie",Table1[[#This Row],[Wealthier_Winner]]=1,"Wealthier Nation Wins")</f>
        <v>Wealthier Nation Loses</v>
      </c>
    </row>
    <row r="4137" spans="1:17" x14ac:dyDescent="0.2">
      <c r="A4137" s="1">
        <v>6227</v>
      </c>
      <c r="B4137" s="2">
        <v>40823</v>
      </c>
      <c r="C4137" s="7">
        <f>_xlfn.FLOOR.MATH(Table1[[#This Row],[year]],10)</f>
        <v>2010</v>
      </c>
      <c r="D4137" t="s">
        <v>57</v>
      </c>
      <c r="E4137" t="s">
        <v>258</v>
      </c>
      <c r="F4137">
        <v>2</v>
      </c>
      <c r="G4137">
        <v>0</v>
      </c>
      <c r="H4137" t="s">
        <v>224</v>
      </c>
      <c r="I4137" t="s">
        <v>335</v>
      </c>
      <c r="J4137" t="s">
        <v>57</v>
      </c>
      <c r="K4137" t="b">
        <v>0</v>
      </c>
      <c r="L4137">
        <v>2011</v>
      </c>
      <c r="M4137">
        <v>78986648000</v>
      </c>
      <c r="N4137">
        <v>316482190800</v>
      </c>
      <c r="O4137" t="b">
        <v>1</v>
      </c>
      <c r="P4137">
        <v>-1</v>
      </c>
      <c r="Q4137" t="str" cm="1">
        <f t="array" ref="Q4137">_xlfn.IFS(Table1[[#This Row],[Wealthier_Winner]]=-1,"Wealthier Nation Loses",Table1[[#This Row],[Wealthier_Winner]]=0,"Tie",Table1[[#This Row],[Wealthier_Winner]]=1,"Wealthier Nation Wins")</f>
        <v>Wealthier Nation Loses</v>
      </c>
    </row>
    <row r="4138" spans="1:17" x14ac:dyDescent="0.2">
      <c r="A4138" s="1">
        <v>6228</v>
      </c>
      <c r="B4138" s="2">
        <v>40823</v>
      </c>
      <c r="C4138" s="7">
        <f>_xlfn.FLOOR.MATH(Table1[[#This Row],[year]],10)</f>
        <v>2010</v>
      </c>
      <c r="D4138" t="s">
        <v>31</v>
      </c>
      <c r="E4138" t="s">
        <v>35</v>
      </c>
      <c r="F4138">
        <v>2</v>
      </c>
      <c r="G4138">
        <v>0</v>
      </c>
      <c r="H4138" t="s">
        <v>224</v>
      </c>
      <c r="I4138" t="s">
        <v>242</v>
      </c>
      <c r="J4138" t="s">
        <v>31</v>
      </c>
      <c r="K4138" t="b">
        <v>0</v>
      </c>
      <c r="L4138">
        <v>2011</v>
      </c>
      <c r="M4138">
        <v>171761737046</v>
      </c>
      <c r="N4138">
        <v>33756238766</v>
      </c>
      <c r="O4138" t="b">
        <v>1</v>
      </c>
      <c r="P4138">
        <v>1</v>
      </c>
      <c r="Q4138" t="str" cm="1">
        <f t="array" ref="Q4138">_xlfn.IFS(Table1[[#This Row],[Wealthier_Winner]]=-1,"Wealthier Nation Loses",Table1[[#This Row],[Wealthier_Winner]]=0,"Tie",Table1[[#This Row],[Wealthier_Winner]]=1,"Wealthier Nation Wins")</f>
        <v>Wealthier Nation Wins</v>
      </c>
    </row>
    <row r="4139" spans="1:17" x14ac:dyDescent="0.2">
      <c r="A4139" s="1">
        <v>6231</v>
      </c>
      <c r="B4139" s="2">
        <v>40823</v>
      </c>
      <c r="C4139" s="7">
        <f>_xlfn.FLOOR.MATH(Table1[[#This Row],[year]],10)</f>
        <v>2010</v>
      </c>
      <c r="D4139" t="s">
        <v>26</v>
      </c>
      <c r="E4139" t="s">
        <v>47</v>
      </c>
      <c r="F4139">
        <v>4</v>
      </c>
      <c r="G4139">
        <v>2</v>
      </c>
      <c r="H4139" t="s">
        <v>224</v>
      </c>
      <c r="I4139" t="s">
        <v>247</v>
      </c>
      <c r="J4139" t="s">
        <v>26</v>
      </c>
      <c r="K4139" t="b">
        <v>0</v>
      </c>
      <c r="L4139">
        <v>2011</v>
      </c>
      <c r="M4139">
        <v>50342406067</v>
      </c>
      <c r="N4139">
        <v>23963164696</v>
      </c>
      <c r="O4139" t="b">
        <v>1</v>
      </c>
      <c r="P4139">
        <v>1</v>
      </c>
      <c r="Q4139" t="str" cm="1">
        <f t="array" ref="Q4139">_xlfn.IFS(Table1[[#This Row],[Wealthier_Winner]]=-1,"Wealthier Nation Loses",Table1[[#This Row],[Wealthier_Winner]]=0,"Tie",Table1[[#This Row],[Wealthier_Winner]]=1,"Wealthier Nation Wins")</f>
        <v>Wealthier Nation Wins</v>
      </c>
    </row>
    <row r="4140" spans="1:17" x14ac:dyDescent="0.2">
      <c r="A4140" s="1">
        <v>6232</v>
      </c>
      <c r="B4140" s="2">
        <v>40823</v>
      </c>
      <c r="C4140" s="7">
        <f>_xlfn.FLOOR.MATH(Table1[[#This Row],[year]],10)</f>
        <v>2010</v>
      </c>
      <c r="D4140" t="s">
        <v>692</v>
      </c>
      <c r="E4140" t="s">
        <v>70</v>
      </c>
      <c r="F4140">
        <v>0</v>
      </c>
      <c r="G4140">
        <v>7</v>
      </c>
      <c r="H4140" t="s">
        <v>224</v>
      </c>
      <c r="I4140" t="s">
        <v>747</v>
      </c>
      <c r="J4140" t="s">
        <v>692</v>
      </c>
      <c r="K4140" t="b">
        <v>0</v>
      </c>
      <c r="L4140">
        <v>2011</v>
      </c>
      <c r="M4140">
        <v>4223000000</v>
      </c>
      <c r="N4140">
        <v>13008746038</v>
      </c>
      <c r="O4140" t="b">
        <v>1</v>
      </c>
      <c r="P4140">
        <v>1</v>
      </c>
      <c r="Q4140" t="str" cm="1">
        <f t="array" ref="Q4140">_xlfn.IFS(Table1[[#This Row],[Wealthier_Winner]]=-1,"Wealthier Nation Loses",Table1[[#This Row],[Wealthier_Winner]]=0,"Tie",Table1[[#This Row],[Wealthier_Winner]]=1,"Wealthier Nation Wins")</f>
        <v>Wealthier Nation Wins</v>
      </c>
    </row>
    <row r="4141" spans="1:17" x14ac:dyDescent="0.2">
      <c r="A4141" s="1">
        <v>6234</v>
      </c>
      <c r="B4141" s="2">
        <v>40827</v>
      </c>
      <c r="C4141" s="7">
        <f>_xlfn.FLOOR.MATH(Table1[[#This Row],[year]],10)</f>
        <v>2010</v>
      </c>
      <c r="D4141" t="s">
        <v>449</v>
      </c>
      <c r="E4141" t="s">
        <v>692</v>
      </c>
      <c r="F4141">
        <v>10</v>
      </c>
      <c r="G4141">
        <v>0</v>
      </c>
      <c r="H4141" t="s">
        <v>224</v>
      </c>
      <c r="I4141" t="s">
        <v>450</v>
      </c>
      <c r="J4141" t="s">
        <v>449</v>
      </c>
      <c r="K4141" t="b">
        <v>0</v>
      </c>
      <c r="L4141">
        <v>2011</v>
      </c>
      <c r="M4141">
        <v>1287359259</v>
      </c>
      <c r="N4141">
        <v>4223000000</v>
      </c>
      <c r="O4141" t="b">
        <v>1</v>
      </c>
      <c r="P4141">
        <v>-1</v>
      </c>
      <c r="Q4141" t="str" cm="1">
        <f t="array" ref="Q4141">_xlfn.IFS(Table1[[#This Row],[Wealthier_Winner]]=-1,"Wealthier Nation Loses",Table1[[#This Row],[Wealthier_Winner]]=0,"Tie",Table1[[#This Row],[Wealthier_Winner]]=1,"Wealthier Nation Wins")</f>
        <v>Wealthier Nation Loses</v>
      </c>
    </row>
    <row r="4142" spans="1:17" x14ac:dyDescent="0.2">
      <c r="A4142" s="1">
        <v>6235</v>
      </c>
      <c r="B4142" s="2">
        <v>40827</v>
      </c>
      <c r="C4142" s="7">
        <f>_xlfn.FLOOR.MATH(Table1[[#This Row],[year]],10)</f>
        <v>2010</v>
      </c>
      <c r="D4142" t="s">
        <v>28</v>
      </c>
      <c r="E4142" t="s">
        <v>429</v>
      </c>
      <c r="F4142">
        <v>3</v>
      </c>
      <c r="G4142">
        <v>0</v>
      </c>
      <c r="H4142" t="s">
        <v>224</v>
      </c>
      <c r="I4142" t="s">
        <v>301</v>
      </c>
      <c r="J4142" t="s">
        <v>28</v>
      </c>
      <c r="K4142" t="b">
        <v>0</v>
      </c>
      <c r="L4142">
        <v>2011</v>
      </c>
      <c r="M4142">
        <v>1402939868653</v>
      </c>
      <c r="N4142">
        <v>77497529258</v>
      </c>
      <c r="O4142" t="b">
        <v>1</v>
      </c>
      <c r="P4142">
        <v>1</v>
      </c>
      <c r="Q4142" t="str" cm="1">
        <f t="array" ref="Q4142">_xlfn.IFS(Table1[[#This Row],[Wealthier_Winner]]=-1,"Wealthier Nation Loses",Table1[[#This Row],[Wealthier_Winner]]=0,"Tie",Table1[[#This Row],[Wealthier_Winner]]=1,"Wealthier Nation Wins")</f>
        <v>Wealthier Nation Wins</v>
      </c>
    </row>
    <row r="4143" spans="1:17" x14ac:dyDescent="0.2">
      <c r="A4143" s="1">
        <v>6236</v>
      </c>
      <c r="B4143" s="2">
        <v>40827</v>
      </c>
      <c r="C4143" s="7">
        <f>_xlfn.FLOOR.MATH(Table1[[#This Row],[year]],10)</f>
        <v>2010</v>
      </c>
      <c r="D4143" t="s">
        <v>266</v>
      </c>
      <c r="E4143" t="s">
        <v>445</v>
      </c>
      <c r="F4143">
        <v>1</v>
      </c>
      <c r="G4143">
        <v>1</v>
      </c>
      <c r="H4143" t="s">
        <v>224</v>
      </c>
      <c r="I4143" t="s">
        <v>271</v>
      </c>
      <c r="J4143" t="s">
        <v>266</v>
      </c>
      <c r="K4143" t="b">
        <v>0</v>
      </c>
      <c r="L4143">
        <v>2011</v>
      </c>
      <c r="M4143">
        <v>6312691000</v>
      </c>
      <c r="N4143">
        <v>3691384317</v>
      </c>
      <c r="O4143" t="b">
        <v>0</v>
      </c>
      <c r="P4143">
        <v>0</v>
      </c>
      <c r="Q4143" t="str" cm="1">
        <f t="array" ref="Q4143">_xlfn.IFS(Table1[[#This Row],[Wealthier_Winner]]=-1,"Wealthier Nation Loses",Table1[[#This Row],[Wealthier_Winner]]=0,"Tie",Table1[[#This Row],[Wealthier_Winner]]=1,"Wealthier Nation Wins")</f>
        <v>Tie</v>
      </c>
    </row>
    <row r="4144" spans="1:17" x14ac:dyDescent="0.2">
      <c r="A4144" s="1">
        <v>6237</v>
      </c>
      <c r="B4144" s="2">
        <v>40827</v>
      </c>
      <c r="C4144" s="7">
        <f>_xlfn.FLOOR.MATH(Table1[[#This Row],[year]],10)</f>
        <v>2010</v>
      </c>
      <c r="D4144" t="s">
        <v>47</v>
      </c>
      <c r="E4144" t="s">
        <v>15</v>
      </c>
      <c r="F4144">
        <v>1</v>
      </c>
      <c r="G4144">
        <v>2</v>
      </c>
      <c r="H4144" t="s">
        <v>224</v>
      </c>
      <c r="I4144" t="s">
        <v>246</v>
      </c>
      <c r="J4144" t="s">
        <v>47</v>
      </c>
      <c r="K4144" t="b">
        <v>0</v>
      </c>
      <c r="L4144">
        <v>2011</v>
      </c>
      <c r="M4144">
        <v>23963164696</v>
      </c>
      <c r="N4144">
        <v>334966134804</v>
      </c>
      <c r="O4144" t="b">
        <v>1</v>
      </c>
      <c r="P4144">
        <v>1</v>
      </c>
      <c r="Q4144" t="str" cm="1">
        <f t="array" ref="Q4144">_xlfn.IFS(Table1[[#This Row],[Wealthier_Winner]]=-1,"Wealthier Nation Loses",Table1[[#This Row],[Wealthier_Winner]]=0,"Tie",Table1[[#This Row],[Wealthier_Winner]]=1,"Wealthier Nation Wins")</f>
        <v>Wealthier Nation Wins</v>
      </c>
    </row>
    <row r="4145" spans="1:17" x14ac:dyDescent="0.2">
      <c r="A4145" s="1">
        <v>6239</v>
      </c>
      <c r="B4145" s="2">
        <v>40827</v>
      </c>
      <c r="C4145" s="7">
        <f>_xlfn.FLOOR.MATH(Table1[[#This Row],[year]],10)</f>
        <v>2010</v>
      </c>
      <c r="D4145" t="s">
        <v>14</v>
      </c>
      <c r="E4145" t="s">
        <v>31</v>
      </c>
      <c r="F4145">
        <v>4</v>
      </c>
      <c r="G4145">
        <v>2</v>
      </c>
      <c r="H4145" t="s">
        <v>224</v>
      </c>
      <c r="I4145" t="s">
        <v>75</v>
      </c>
      <c r="J4145" t="s">
        <v>14</v>
      </c>
      <c r="K4145" t="b">
        <v>0</v>
      </c>
      <c r="L4145">
        <v>2011</v>
      </c>
      <c r="M4145">
        <v>251382573893</v>
      </c>
      <c r="N4145">
        <v>171761737046</v>
      </c>
      <c r="O4145" t="b">
        <v>0</v>
      </c>
      <c r="P4145">
        <v>1</v>
      </c>
      <c r="Q4145" t="str" cm="1">
        <f t="array" ref="Q4145">_xlfn.IFS(Table1[[#This Row],[Wealthier_Winner]]=-1,"Wealthier Nation Loses",Table1[[#This Row],[Wealthier_Winner]]=0,"Tie",Table1[[#This Row],[Wealthier_Winner]]=1,"Wealthier Nation Wins")</f>
        <v>Wealthier Nation Wins</v>
      </c>
    </row>
    <row r="4146" spans="1:17" x14ac:dyDescent="0.2">
      <c r="A4146" s="1">
        <v>6241</v>
      </c>
      <c r="B4146" s="2">
        <v>40827</v>
      </c>
      <c r="C4146" s="7">
        <f>_xlfn.FLOOR.MATH(Table1[[#This Row],[year]],10)</f>
        <v>2010</v>
      </c>
      <c r="D4146" t="s">
        <v>69</v>
      </c>
      <c r="E4146" t="s">
        <v>691</v>
      </c>
      <c r="F4146">
        <v>4</v>
      </c>
      <c r="G4146">
        <v>0</v>
      </c>
      <c r="H4146" t="s">
        <v>224</v>
      </c>
      <c r="I4146" t="s">
        <v>281</v>
      </c>
      <c r="J4146" t="s">
        <v>69</v>
      </c>
      <c r="K4146" t="b">
        <v>0</v>
      </c>
      <c r="L4146">
        <v>2011</v>
      </c>
      <c r="M4146">
        <v>20283780000</v>
      </c>
      <c r="N4146">
        <v>4186073160</v>
      </c>
      <c r="O4146" t="b">
        <v>1</v>
      </c>
      <c r="P4146">
        <v>1</v>
      </c>
      <c r="Q4146" t="str" cm="1">
        <f t="array" ref="Q4146">_xlfn.IFS(Table1[[#This Row],[Wealthier_Winner]]=-1,"Wealthier Nation Loses",Table1[[#This Row],[Wealthier_Winner]]=0,"Tie",Table1[[#This Row],[Wealthier_Winner]]=1,"Wealthier Nation Wins")</f>
        <v>Wealthier Nation Wins</v>
      </c>
    </row>
    <row r="4147" spans="1:17" x14ac:dyDescent="0.2">
      <c r="A4147" s="1">
        <v>6242</v>
      </c>
      <c r="B4147" s="2">
        <v>40827</v>
      </c>
      <c r="C4147" s="7">
        <f>_xlfn.FLOOR.MATH(Table1[[#This Row],[year]],10)</f>
        <v>2010</v>
      </c>
      <c r="D4147" t="s">
        <v>223</v>
      </c>
      <c r="E4147" t="s">
        <v>511</v>
      </c>
      <c r="F4147">
        <v>3</v>
      </c>
      <c r="G4147">
        <v>1</v>
      </c>
      <c r="H4147" t="s">
        <v>224</v>
      </c>
      <c r="I4147" t="s">
        <v>227</v>
      </c>
      <c r="J4147" t="s">
        <v>223</v>
      </c>
      <c r="K4147" t="b">
        <v>0</v>
      </c>
      <c r="L4147">
        <v>2011</v>
      </c>
      <c r="M4147">
        <v>46876006272</v>
      </c>
      <c r="N4147">
        <v>1831576700</v>
      </c>
      <c r="O4147" t="b">
        <v>1</v>
      </c>
      <c r="P4147">
        <v>1</v>
      </c>
      <c r="Q4147" t="str" cm="1">
        <f t="array" ref="Q4147">_xlfn.IFS(Table1[[#This Row],[Wealthier_Winner]]=-1,"Wealthier Nation Loses",Table1[[#This Row],[Wealthier_Winner]]=0,"Tie",Table1[[#This Row],[Wealthier_Winner]]=1,"Wealthier Nation Wins")</f>
        <v>Wealthier Nation Wins</v>
      </c>
    </row>
    <row r="4148" spans="1:17" x14ac:dyDescent="0.2">
      <c r="A4148" s="1">
        <v>6244</v>
      </c>
      <c r="B4148" s="2">
        <v>40827</v>
      </c>
      <c r="C4148" s="7">
        <f>_xlfn.FLOOR.MATH(Table1[[#This Row],[year]],10)</f>
        <v>2010</v>
      </c>
      <c r="D4148" t="s">
        <v>328</v>
      </c>
      <c r="E4148" t="s">
        <v>68</v>
      </c>
      <c r="F4148">
        <v>2</v>
      </c>
      <c r="G4148">
        <v>3</v>
      </c>
      <c r="H4148" t="s">
        <v>224</v>
      </c>
      <c r="I4148" t="s">
        <v>386</v>
      </c>
      <c r="J4148" t="s">
        <v>328</v>
      </c>
      <c r="K4148" t="b">
        <v>0</v>
      </c>
      <c r="L4148">
        <v>2011</v>
      </c>
      <c r="M4148">
        <v>892969104563</v>
      </c>
      <c r="N4148">
        <v>167775274725</v>
      </c>
      <c r="O4148" t="b">
        <v>1</v>
      </c>
      <c r="P4148">
        <v>-1</v>
      </c>
      <c r="Q4148" t="str" cm="1">
        <f t="array" ref="Q4148">_xlfn.IFS(Table1[[#This Row],[Wealthier_Winner]]=-1,"Wealthier Nation Loses",Table1[[#This Row],[Wealthier_Winner]]=0,"Tie",Table1[[#This Row],[Wealthier_Winner]]=1,"Wealthier Nation Wins")</f>
        <v>Wealthier Nation Loses</v>
      </c>
    </row>
    <row r="4149" spans="1:17" x14ac:dyDescent="0.2">
      <c r="A4149" s="1">
        <v>6245</v>
      </c>
      <c r="B4149" s="2">
        <v>40827</v>
      </c>
      <c r="C4149" s="7">
        <f>_xlfn.FLOOR.MATH(Table1[[#This Row],[year]],10)</f>
        <v>2010</v>
      </c>
      <c r="D4149" t="s">
        <v>210</v>
      </c>
      <c r="E4149" t="s">
        <v>361</v>
      </c>
      <c r="F4149">
        <v>6</v>
      </c>
      <c r="G4149">
        <v>0</v>
      </c>
      <c r="H4149" t="s">
        <v>224</v>
      </c>
      <c r="I4149" t="s">
        <v>332</v>
      </c>
      <c r="J4149" t="s">
        <v>210</v>
      </c>
      <c r="K4149" t="b">
        <v>0</v>
      </c>
      <c r="L4149">
        <v>2011</v>
      </c>
      <c r="M4149">
        <v>629082257472</v>
      </c>
      <c r="N4149">
        <v>29914680851</v>
      </c>
      <c r="O4149" t="b">
        <v>1</v>
      </c>
      <c r="P4149">
        <v>1</v>
      </c>
      <c r="Q4149" t="str" cm="1">
        <f t="array" ref="Q4149">_xlfn.IFS(Table1[[#This Row],[Wealthier_Winner]]=-1,"Wealthier Nation Loses",Table1[[#This Row],[Wealthier_Winner]]=0,"Tie",Table1[[#This Row],[Wealthier_Winner]]=1,"Wealthier Nation Wins")</f>
        <v>Wealthier Nation Wins</v>
      </c>
    </row>
    <row r="4150" spans="1:17" x14ac:dyDescent="0.2">
      <c r="A4150" s="1">
        <v>6246</v>
      </c>
      <c r="B4150" s="2">
        <v>40827</v>
      </c>
      <c r="C4150" s="7">
        <f>_xlfn.FLOOR.MATH(Table1[[#This Row],[year]],10)</f>
        <v>2010</v>
      </c>
      <c r="D4150" t="s">
        <v>51</v>
      </c>
      <c r="E4150" t="s">
        <v>556</v>
      </c>
      <c r="F4150">
        <v>8</v>
      </c>
      <c r="G4150">
        <v>0</v>
      </c>
      <c r="H4150" t="s">
        <v>224</v>
      </c>
      <c r="I4150" t="s">
        <v>154</v>
      </c>
      <c r="J4150" t="s">
        <v>51</v>
      </c>
      <c r="K4150" t="b">
        <v>0</v>
      </c>
      <c r="L4150">
        <v>2011</v>
      </c>
      <c r="M4150">
        <v>6233147172341</v>
      </c>
      <c r="N4150">
        <v>6522756255</v>
      </c>
      <c r="O4150" t="b">
        <v>1</v>
      </c>
      <c r="P4150">
        <v>1</v>
      </c>
      <c r="Q4150" t="str" cm="1">
        <f t="array" ref="Q4150">_xlfn.IFS(Table1[[#This Row],[Wealthier_Winner]]=-1,"Wealthier Nation Loses",Table1[[#This Row],[Wealthier_Winner]]=0,"Tie",Table1[[#This Row],[Wealthier_Winner]]=1,"Wealthier Nation Wins")</f>
        <v>Wealthier Nation Wins</v>
      </c>
    </row>
    <row r="4151" spans="1:17" x14ac:dyDescent="0.2">
      <c r="A4151" s="1">
        <v>6248</v>
      </c>
      <c r="B4151" s="2">
        <v>40827</v>
      </c>
      <c r="C4151" s="7">
        <f>_xlfn.FLOOR.MATH(Table1[[#This Row],[year]],10)</f>
        <v>2010</v>
      </c>
      <c r="D4151" t="s">
        <v>195</v>
      </c>
      <c r="E4151" t="s">
        <v>39</v>
      </c>
      <c r="F4151">
        <v>2</v>
      </c>
      <c r="G4151">
        <v>1</v>
      </c>
      <c r="H4151" t="s">
        <v>224</v>
      </c>
      <c r="I4151" t="s">
        <v>144</v>
      </c>
      <c r="J4151" t="s">
        <v>195</v>
      </c>
      <c r="K4151" t="b">
        <v>0</v>
      </c>
      <c r="L4151">
        <v>2011</v>
      </c>
      <c r="M4151">
        <v>1307103477219</v>
      </c>
      <c r="N4151">
        <v>368881143635</v>
      </c>
      <c r="O4151" t="b">
        <v>1</v>
      </c>
      <c r="P4151">
        <v>1</v>
      </c>
      <c r="Q4151" t="str" cm="1">
        <f t="array" ref="Q4151">_xlfn.IFS(Table1[[#This Row],[Wealthier_Winner]]=-1,"Wealthier Nation Loses",Table1[[#This Row],[Wealthier_Winner]]=0,"Tie",Table1[[#This Row],[Wealthier_Winner]]=1,"Wealthier Nation Wins")</f>
        <v>Wealthier Nation Wins</v>
      </c>
    </row>
    <row r="4152" spans="1:17" x14ac:dyDescent="0.2">
      <c r="A4152" s="1">
        <v>6249</v>
      </c>
      <c r="B4152" s="2">
        <v>40827</v>
      </c>
      <c r="C4152" s="7">
        <f>_xlfn.FLOOR.MATH(Table1[[#This Row],[year]],10)</f>
        <v>2010</v>
      </c>
      <c r="D4152" t="s">
        <v>479</v>
      </c>
      <c r="E4152" t="s">
        <v>71</v>
      </c>
      <c r="F4152">
        <v>2</v>
      </c>
      <c r="G4152">
        <v>2</v>
      </c>
      <c r="H4152" t="s">
        <v>224</v>
      </c>
      <c r="I4152" t="s">
        <v>480</v>
      </c>
      <c r="J4152" t="s">
        <v>479</v>
      </c>
      <c r="K4152" t="b">
        <v>0</v>
      </c>
      <c r="L4152">
        <v>2011</v>
      </c>
      <c r="M4152">
        <v>39927125961</v>
      </c>
      <c r="N4152">
        <v>154039231245</v>
      </c>
      <c r="O4152" t="b">
        <v>1</v>
      </c>
      <c r="P4152">
        <v>0</v>
      </c>
      <c r="Q4152" t="str" cm="1">
        <f t="array" ref="Q4152">_xlfn.IFS(Table1[[#This Row],[Wealthier_Winner]]=-1,"Wealthier Nation Loses",Table1[[#This Row],[Wealthier_Winner]]=0,"Tie",Table1[[#This Row],[Wealthier_Winner]]=1,"Wealthier Nation Wins")</f>
        <v>Tie</v>
      </c>
    </row>
    <row r="4153" spans="1:17" x14ac:dyDescent="0.2">
      <c r="A4153" s="1">
        <v>6250</v>
      </c>
      <c r="B4153" s="2">
        <v>40827</v>
      </c>
      <c r="C4153" s="7">
        <f>_xlfn.FLOOR.MATH(Table1[[#This Row],[year]],10)</f>
        <v>2010</v>
      </c>
      <c r="D4153" t="s">
        <v>67</v>
      </c>
      <c r="E4153" t="s">
        <v>453</v>
      </c>
      <c r="F4153">
        <v>5</v>
      </c>
      <c r="G4153">
        <v>1</v>
      </c>
      <c r="H4153" t="s">
        <v>224</v>
      </c>
      <c r="I4153" t="s">
        <v>455</v>
      </c>
      <c r="J4153" t="s">
        <v>67</v>
      </c>
      <c r="K4153" t="b">
        <v>0</v>
      </c>
      <c r="L4153">
        <v>2011</v>
      </c>
      <c r="M4153">
        <v>35687738251</v>
      </c>
      <c r="N4153">
        <v>9774329332</v>
      </c>
      <c r="O4153" t="b">
        <v>1</v>
      </c>
      <c r="P4153">
        <v>1</v>
      </c>
      <c r="Q4153" t="str" cm="1">
        <f t="array" ref="Q4153">_xlfn.IFS(Table1[[#This Row],[Wealthier_Winner]]=-1,"Wealthier Nation Loses",Table1[[#This Row],[Wealthier_Winner]]=0,"Tie",Table1[[#This Row],[Wealthier_Winner]]=1,"Wealthier Nation Wins")</f>
        <v>Wealthier Nation Wins</v>
      </c>
    </row>
    <row r="4154" spans="1:17" x14ac:dyDescent="0.2">
      <c r="A4154" s="1">
        <v>6251</v>
      </c>
      <c r="B4154" s="2">
        <v>40827</v>
      </c>
      <c r="C4154" s="7">
        <f>_xlfn.FLOOR.MATH(Table1[[#This Row],[year]],10)</f>
        <v>2010</v>
      </c>
      <c r="D4154" t="s">
        <v>35</v>
      </c>
      <c r="E4154" t="s">
        <v>26</v>
      </c>
      <c r="F4154">
        <v>1</v>
      </c>
      <c r="G4154">
        <v>1</v>
      </c>
      <c r="H4154" t="s">
        <v>224</v>
      </c>
      <c r="I4154" t="s">
        <v>250</v>
      </c>
      <c r="J4154" t="s">
        <v>35</v>
      </c>
      <c r="K4154" t="b">
        <v>0</v>
      </c>
      <c r="L4154">
        <v>2011</v>
      </c>
      <c r="M4154">
        <v>33756238766</v>
      </c>
      <c r="N4154">
        <v>50342406067</v>
      </c>
      <c r="O4154" t="b">
        <v>0</v>
      </c>
      <c r="P4154">
        <v>0</v>
      </c>
      <c r="Q4154" t="str" cm="1">
        <f t="array" ref="Q4154">_xlfn.IFS(Table1[[#This Row],[Wealthier_Winner]]=-1,"Wealthier Nation Loses",Table1[[#This Row],[Wealthier_Winner]]=0,"Tie",Table1[[#This Row],[Wealthier_Winner]]=1,"Wealthier Nation Wins")</f>
        <v>Tie</v>
      </c>
    </row>
    <row r="4155" spans="1:17" x14ac:dyDescent="0.2">
      <c r="A4155" s="1">
        <v>6252</v>
      </c>
      <c r="B4155" s="2">
        <v>40827</v>
      </c>
      <c r="C4155" s="7">
        <f>_xlfn.FLOOR.MATH(Table1[[#This Row],[year]],10)</f>
        <v>2010</v>
      </c>
      <c r="D4155" t="s">
        <v>359</v>
      </c>
      <c r="E4155" t="s">
        <v>403</v>
      </c>
      <c r="F4155">
        <v>0</v>
      </c>
      <c r="G4155">
        <v>3</v>
      </c>
      <c r="H4155" t="s">
        <v>224</v>
      </c>
      <c r="I4155" t="s">
        <v>359</v>
      </c>
      <c r="J4155" t="s">
        <v>359</v>
      </c>
      <c r="K4155" t="b">
        <v>0</v>
      </c>
      <c r="L4155">
        <v>2011</v>
      </c>
      <c r="M4155">
        <v>279356499090</v>
      </c>
      <c r="N4155">
        <v>29524149154</v>
      </c>
      <c r="O4155" t="b">
        <v>1</v>
      </c>
      <c r="P4155">
        <v>-1</v>
      </c>
      <c r="Q4155" t="str" cm="1">
        <f t="array" ref="Q4155">_xlfn.IFS(Table1[[#This Row],[Wealthier_Winner]]=-1,"Wealthier Nation Loses",Table1[[#This Row],[Wealthier_Winner]]=0,"Tie",Table1[[#This Row],[Wealthier_Winner]]=1,"Wealthier Nation Wins")</f>
        <v>Wealthier Nation Loses</v>
      </c>
    </row>
    <row r="4156" spans="1:17" x14ac:dyDescent="0.2">
      <c r="A4156" s="1">
        <v>6254</v>
      </c>
      <c r="B4156" s="2">
        <v>40827</v>
      </c>
      <c r="C4156" s="7">
        <f>_xlfn.FLOOR.MATH(Table1[[#This Row],[year]],10)</f>
        <v>2010</v>
      </c>
      <c r="D4156" t="s">
        <v>252</v>
      </c>
      <c r="E4156" t="s">
        <v>496</v>
      </c>
      <c r="F4156">
        <v>1</v>
      </c>
      <c r="G4156">
        <v>3</v>
      </c>
      <c r="H4156" t="s">
        <v>224</v>
      </c>
      <c r="I4156" t="s">
        <v>255</v>
      </c>
      <c r="J4156" t="s">
        <v>252</v>
      </c>
      <c r="K4156" t="b">
        <v>0</v>
      </c>
      <c r="L4156">
        <v>2011</v>
      </c>
      <c r="M4156">
        <v>4422276621</v>
      </c>
      <c r="N4156">
        <v>57948261615</v>
      </c>
      <c r="O4156" t="b">
        <v>1</v>
      </c>
      <c r="P4156">
        <v>1</v>
      </c>
      <c r="Q4156" t="str" cm="1">
        <f t="array" ref="Q4156">_xlfn.IFS(Table1[[#This Row],[Wealthier_Winner]]=-1,"Wealthier Nation Loses",Table1[[#This Row],[Wealthier_Winner]]=0,"Tie",Table1[[#This Row],[Wealthier_Winner]]=1,"Wealthier Nation Wins")</f>
        <v>Wealthier Nation Wins</v>
      </c>
    </row>
    <row r="4157" spans="1:17" x14ac:dyDescent="0.2">
      <c r="A4157" s="1">
        <v>6255</v>
      </c>
      <c r="B4157" s="2">
        <v>40827</v>
      </c>
      <c r="C4157" s="7">
        <f>_xlfn.FLOOR.MATH(Table1[[#This Row],[year]],10)</f>
        <v>2010</v>
      </c>
      <c r="D4157" t="s">
        <v>334</v>
      </c>
      <c r="E4157" t="s">
        <v>45</v>
      </c>
      <c r="F4157">
        <v>0</v>
      </c>
      <c r="G4157">
        <v>0</v>
      </c>
      <c r="H4157" t="s">
        <v>224</v>
      </c>
      <c r="I4157" t="s">
        <v>407</v>
      </c>
      <c r="J4157" t="s">
        <v>334</v>
      </c>
      <c r="K4157" t="b">
        <v>0</v>
      </c>
      <c r="L4157">
        <v>2011</v>
      </c>
      <c r="M4157">
        <v>370818739623</v>
      </c>
      <c r="N4157">
        <v>680660800000</v>
      </c>
      <c r="O4157" t="b">
        <v>0</v>
      </c>
      <c r="P4157">
        <v>0</v>
      </c>
      <c r="Q4157" t="str" cm="1">
        <f t="array" ref="Q4157">_xlfn.IFS(Table1[[#This Row],[Wealthier_Winner]]=-1,"Wealthier Nation Loses",Table1[[#This Row],[Wealthier_Winner]]=0,"Tie",Table1[[#This Row],[Wealthier_Winner]]=1,"Wealthier Nation Wins")</f>
        <v>Tie</v>
      </c>
    </row>
    <row r="4158" spans="1:17" x14ac:dyDescent="0.2">
      <c r="A4158" s="1">
        <v>6256</v>
      </c>
      <c r="B4158" s="2">
        <v>40827</v>
      </c>
      <c r="C4158" s="7">
        <f>_xlfn.FLOOR.MATH(Table1[[#This Row],[year]],10)</f>
        <v>2010</v>
      </c>
      <c r="D4158" t="s">
        <v>59</v>
      </c>
      <c r="E4158" t="s">
        <v>443</v>
      </c>
      <c r="F4158">
        <v>4</v>
      </c>
      <c r="G4158">
        <v>0</v>
      </c>
      <c r="H4158" t="s">
        <v>224</v>
      </c>
      <c r="I4158" t="s">
        <v>253</v>
      </c>
      <c r="J4158" t="s">
        <v>59</v>
      </c>
      <c r="K4158" t="b">
        <v>0</v>
      </c>
      <c r="L4158">
        <v>2011</v>
      </c>
      <c r="M4158">
        <v>25433007437</v>
      </c>
      <c r="N4158">
        <v>5663100000</v>
      </c>
      <c r="O4158" t="b">
        <v>1</v>
      </c>
      <c r="P4158">
        <v>1</v>
      </c>
      <c r="Q4158" t="str" cm="1">
        <f t="array" ref="Q4158">_xlfn.IFS(Table1[[#This Row],[Wealthier_Winner]]=-1,"Wealthier Nation Loses",Table1[[#This Row],[Wealthier_Winner]]=0,"Tie",Table1[[#This Row],[Wealthier_Winner]]=1,"Wealthier Nation Wins")</f>
        <v>Wealthier Nation Wins</v>
      </c>
    </row>
    <row r="4159" spans="1:17" x14ac:dyDescent="0.2">
      <c r="A4159" s="1">
        <v>6257</v>
      </c>
      <c r="B4159" s="2">
        <v>40827</v>
      </c>
      <c r="C4159" s="7">
        <f>_xlfn.FLOOR.MATH(Table1[[#This Row],[year]],10)</f>
        <v>2010</v>
      </c>
      <c r="D4159" t="s">
        <v>258</v>
      </c>
      <c r="E4159" t="s">
        <v>19</v>
      </c>
      <c r="F4159">
        <v>1</v>
      </c>
      <c r="G4159">
        <v>0</v>
      </c>
      <c r="H4159" t="s">
        <v>224</v>
      </c>
      <c r="I4159" t="s">
        <v>701</v>
      </c>
      <c r="J4159" t="s">
        <v>258</v>
      </c>
      <c r="K4159" t="b">
        <v>0</v>
      </c>
      <c r="L4159">
        <v>2011</v>
      </c>
      <c r="M4159">
        <v>316482190800</v>
      </c>
      <c r="N4159">
        <v>530158122010</v>
      </c>
      <c r="O4159" t="b">
        <v>0</v>
      </c>
      <c r="P4159">
        <v>-1</v>
      </c>
      <c r="Q4159" t="str" cm="1">
        <f t="array" ref="Q4159">_xlfn.IFS(Table1[[#This Row],[Wealthier_Winner]]=-1,"Wealthier Nation Loses",Table1[[#This Row],[Wealthier_Winner]]=0,"Tie",Table1[[#This Row],[Wealthier_Winner]]=1,"Wealthier Nation Wins")</f>
        <v>Wealthier Nation Loses</v>
      </c>
    </row>
    <row r="4160" spans="1:17" x14ac:dyDescent="0.2">
      <c r="A4160" s="1">
        <v>6259</v>
      </c>
      <c r="B4160" s="2">
        <v>40858</v>
      </c>
      <c r="C4160" s="7">
        <f>_xlfn.FLOOR.MATH(Table1[[#This Row],[year]],10)</f>
        <v>2010</v>
      </c>
      <c r="D4160" t="s">
        <v>449</v>
      </c>
      <c r="E4160" t="s">
        <v>70</v>
      </c>
      <c r="F4160">
        <v>1</v>
      </c>
      <c r="G4160">
        <v>0</v>
      </c>
      <c r="H4160" t="s">
        <v>224</v>
      </c>
      <c r="I4160" t="s">
        <v>450</v>
      </c>
      <c r="J4160" t="s">
        <v>449</v>
      </c>
      <c r="K4160" t="b">
        <v>0</v>
      </c>
      <c r="L4160">
        <v>2011</v>
      </c>
      <c r="M4160">
        <v>1287359259</v>
      </c>
      <c r="N4160">
        <v>13008746038</v>
      </c>
      <c r="O4160" t="b">
        <v>1</v>
      </c>
      <c r="P4160">
        <v>-1</v>
      </c>
      <c r="Q4160" t="str" cm="1">
        <f t="array" ref="Q4160">_xlfn.IFS(Table1[[#This Row],[Wealthier_Winner]]=-1,"Wealthier Nation Loses",Table1[[#This Row],[Wealthier_Winner]]=0,"Tie",Table1[[#This Row],[Wealthier_Winner]]=1,"Wealthier Nation Wins")</f>
        <v>Wealthier Nation Loses</v>
      </c>
    </row>
    <row r="4161" spans="1:17" x14ac:dyDescent="0.2">
      <c r="A4161" s="1">
        <v>6260</v>
      </c>
      <c r="B4161" s="2">
        <v>40858</v>
      </c>
      <c r="C4161" s="7">
        <f>_xlfn.FLOOR.MATH(Table1[[#This Row],[year]],10)</f>
        <v>2010</v>
      </c>
      <c r="D4161" t="s">
        <v>19</v>
      </c>
      <c r="E4161" t="s">
        <v>47</v>
      </c>
      <c r="F4161">
        <v>1</v>
      </c>
      <c r="G4161">
        <v>1</v>
      </c>
      <c r="H4161" t="s">
        <v>224</v>
      </c>
      <c r="I4161" t="s">
        <v>93</v>
      </c>
      <c r="J4161" t="s">
        <v>19</v>
      </c>
      <c r="K4161" t="b">
        <v>0</v>
      </c>
      <c r="L4161">
        <v>2011</v>
      </c>
      <c r="M4161">
        <v>530158122010</v>
      </c>
      <c r="N4161">
        <v>23963164696</v>
      </c>
      <c r="O4161" t="b">
        <v>1</v>
      </c>
      <c r="P4161">
        <v>0</v>
      </c>
      <c r="Q4161" t="str" cm="1">
        <f t="array" ref="Q4161">_xlfn.IFS(Table1[[#This Row],[Wealthier_Winner]]=-1,"Wealthier Nation Loses",Table1[[#This Row],[Wealthier_Winner]]=0,"Tie",Table1[[#This Row],[Wealthier_Winner]]=1,"Wealthier Nation Wins")</f>
        <v>Tie</v>
      </c>
    </row>
    <row r="4162" spans="1:17" x14ac:dyDescent="0.2">
      <c r="A4162" s="1">
        <v>6261</v>
      </c>
      <c r="B4162" s="2">
        <v>40858</v>
      </c>
      <c r="C4162" s="7">
        <f>_xlfn.FLOOR.MATH(Table1[[#This Row],[year]],10)</f>
        <v>2010</v>
      </c>
      <c r="D4162" t="s">
        <v>361</v>
      </c>
      <c r="E4162" t="s">
        <v>210</v>
      </c>
      <c r="F4162">
        <v>1</v>
      </c>
      <c r="G4162">
        <v>1</v>
      </c>
      <c r="H4162" t="s">
        <v>224</v>
      </c>
      <c r="I4162" t="s">
        <v>419</v>
      </c>
      <c r="J4162" t="s">
        <v>361</v>
      </c>
      <c r="K4162" t="b">
        <v>0</v>
      </c>
      <c r="L4162">
        <v>2011</v>
      </c>
      <c r="M4162">
        <v>29914680851</v>
      </c>
      <c r="N4162">
        <v>629082257472</v>
      </c>
      <c r="O4162" t="b">
        <v>1</v>
      </c>
      <c r="P4162">
        <v>0</v>
      </c>
      <c r="Q4162" t="str" cm="1">
        <f t="array" ref="Q4162">_xlfn.IFS(Table1[[#This Row],[Wealthier_Winner]]=-1,"Wealthier Nation Loses",Table1[[#This Row],[Wealthier_Winner]]=0,"Tie",Table1[[#This Row],[Wealthier_Winner]]=1,"Wealthier Nation Wins")</f>
        <v>Tie</v>
      </c>
    </row>
    <row r="4163" spans="1:17" x14ac:dyDescent="0.2">
      <c r="A4163" s="1">
        <v>6262</v>
      </c>
      <c r="B4163" s="2">
        <v>40858</v>
      </c>
      <c r="C4163" s="7">
        <f>_xlfn.FLOOR.MATH(Table1[[#This Row],[year]],10)</f>
        <v>2010</v>
      </c>
      <c r="D4163" t="s">
        <v>266</v>
      </c>
      <c r="E4163" t="s">
        <v>443</v>
      </c>
      <c r="F4163">
        <v>2</v>
      </c>
      <c r="G4163">
        <v>1</v>
      </c>
      <c r="H4163" t="s">
        <v>224</v>
      </c>
      <c r="I4163" t="s">
        <v>271</v>
      </c>
      <c r="J4163" t="s">
        <v>266</v>
      </c>
      <c r="K4163" t="b">
        <v>0</v>
      </c>
      <c r="L4163">
        <v>2011</v>
      </c>
      <c r="M4163">
        <v>6312691000</v>
      </c>
      <c r="N4163">
        <v>5663100000</v>
      </c>
      <c r="O4163" t="b">
        <v>0</v>
      </c>
      <c r="P4163">
        <v>1</v>
      </c>
      <c r="Q4163" t="str" cm="1">
        <f t="array" ref="Q4163">_xlfn.IFS(Table1[[#This Row],[Wealthier_Winner]]=-1,"Wealthier Nation Loses",Table1[[#This Row],[Wealthier_Winner]]=0,"Tie",Table1[[#This Row],[Wealthier_Winner]]=1,"Wealthier Nation Wins")</f>
        <v>Wealthier Nation Wins</v>
      </c>
    </row>
    <row r="4164" spans="1:17" x14ac:dyDescent="0.2">
      <c r="A4164" s="1">
        <v>6263</v>
      </c>
      <c r="B4164" s="2">
        <v>40858</v>
      </c>
      <c r="C4164" s="7">
        <f>_xlfn.FLOOR.MATH(Table1[[#This Row],[year]],10)</f>
        <v>2010</v>
      </c>
      <c r="D4164" t="s">
        <v>586</v>
      </c>
      <c r="E4164" t="s">
        <v>320</v>
      </c>
      <c r="F4164">
        <v>1</v>
      </c>
      <c r="G4164">
        <v>2</v>
      </c>
      <c r="H4164" t="s">
        <v>224</v>
      </c>
      <c r="I4164" t="s">
        <v>587</v>
      </c>
      <c r="J4164" t="s">
        <v>586</v>
      </c>
      <c r="K4164" t="b">
        <v>0</v>
      </c>
      <c r="L4164">
        <v>2011</v>
      </c>
      <c r="M4164">
        <v>16685349673</v>
      </c>
      <c r="N4164">
        <v>34657140096</v>
      </c>
      <c r="O4164" t="b">
        <v>1</v>
      </c>
      <c r="P4164">
        <v>1</v>
      </c>
      <c r="Q4164" t="str" cm="1">
        <f t="array" ref="Q4164">_xlfn.IFS(Table1[[#This Row],[Wealthier_Winner]]=-1,"Wealthier Nation Loses",Table1[[#This Row],[Wealthier_Winner]]=0,"Tie",Table1[[#This Row],[Wealthier_Winner]]=1,"Wealthier Nation Wins")</f>
        <v>Wealthier Nation Wins</v>
      </c>
    </row>
    <row r="4165" spans="1:17" x14ac:dyDescent="0.2">
      <c r="A4165" s="1">
        <v>6264</v>
      </c>
      <c r="B4165" s="2">
        <v>40858</v>
      </c>
      <c r="C4165" s="7">
        <f>_xlfn.FLOOR.MATH(Table1[[#This Row],[year]],10)</f>
        <v>2010</v>
      </c>
      <c r="D4165" t="s">
        <v>15</v>
      </c>
      <c r="E4165" t="s">
        <v>258</v>
      </c>
      <c r="F4165">
        <v>1</v>
      </c>
      <c r="G4165">
        <v>1</v>
      </c>
      <c r="H4165" t="s">
        <v>224</v>
      </c>
      <c r="I4165" t="s">
        <v>261</v>
      </c>
      <c r="J4165" t="s">
        <v>15</v>
      </c>
      <c r="K4165" t="b">
        <v>0</v>
      </c>
      <c r="L4165">
        <v>2011</v>
      </c>
      <c r="M4165">
        <v>334966134804</v>
      </c>
      <c r="N4165">
        <v>316482190800</v>
      </c>
      <c r="O4165" t="b">
        <v>0</v>
      </c>
      <c r="P4165">
        <v>0</v>
      </c>
      <c r="Q4165" t="str" cm="1">
        <f t="array" ref="Q4165">_xlfn.IFS(Table1[[#This Row],[Wealthier_Winner]]=-1,"Wealthier Nation Loses",Table1[[#This Row],[Wealthier_Winner]]=0,"Tie",Table1[[#This Row],[Wealthier_Winner]]=1,"Wealthier Nation Wins")</f>
        <v>Tie</v>
      </c>
    </row>
    <row r="4166" spans="1:17" x14ac:dyDescent="0.2">
      <c r="A4166" s="1">
        <v>6265</v>
      </c>
      <c r="B4166" s="2">
        <v>40858</v>
      </c>
      <c r="C4166" s="7">
        <f>_xlfn.FLOOR.MATH(Table1[[#This Row],[year]],10)</f>
        <v>2010</v>
      </c>
      <c r="D4166" t="s">
        <v>688</v>
      </c>
      <c r="E4166" t="s">
        <v>300</v>
      </c>
      <c r="F4166">
        <v>0</v>
      </c>
      <c r="G4166">
        <v>1</v>
      </c>
      <c r="H4166" t="s">
        <v>224</v>
      </c>
      <c r="I4166" t="s">
        <v>748</v>
      </c>
      <c r="J4166" t="s">
        <v>688</v>
      </c>
      <c r="K4166" t="b">
        <v>0</v>
      </c>
      <c r="L4166">
        <v>2011</v>
      </c>
      <c r="M4166">
        <v>1023086273</v>
      </c>
      <c r="N4166">
        <v>14619279988</v>
      </c>
      <c r="O4166" t="b">
        <v>1</v>
      </c>
      <c r="P4166">
        <v>1</v>
      </c>
      <c r="Q4166" t="str" cm="1">
        <f t="array" ref="Q4166">_xlfn.IFS(Table1[[#This Row],[Wealthier_Winner]]=-1,"Wealthier Nation Loses",Table1[[#This Row],[Wealthier_Winner]]=0,"Tie",Table1[[#This Row],[Wealthier_Winner]]=1,"Wealthier Nation Wins")</f>
        <v>Wealthier Nation Wins</v>
      </c>
    </row>
    <row r="4167" spans="1:17" x14ac:dyDescent="0.2">
      <c r="A4167" s="1">
        <v>6266</v>
      </c>
      <c r="B4167" s="2">
        <v>40858</v>
      </c>
      <c r="C4167" s="7">
        <f>_xlfn.FLOOR.MATH(Table1[[#This Row],[year]],10)</f>
        <v>2010</v>
      </c>
      <c r="D4167" t="s">
        <v>694</v>
      </c>
      <c r="E4167" t="s">
        <v>462</v>
      </c>
      <c r="F4167">
        <v>0</v>
      </c>
      <c r="G4167">
        <v>4</v>
      </c>
      <c r="H4167" t="s">
        <v>224</v>
      </c>
      <c r="I4167" t="s">
        <v>694</v>
      </c>
      <c r="J4167" t="s">
        <v>694</v>
      </c>
      <c r="K4167" t="b">
        <v>0</v>
      </c>
      <c r="L4167">
        <v>2011</v>
      </c>
      <c r="M4167">
        <v>1239144501</v>
      </c>
      <c r="N4167">
        <v>12523359440</v>
      </c>
      <c r="O4167" t="b">
        <v>1</v>
      </c>
      <c r="P4167">
        <v>1</v>
      </c>
      <c r="Q4167" t="str" cm="1">
        <f t="array" ref="Q4167">_xlfn.IFS(Table1[[#This Row],[Wealthier_Winner]]=-1,"Wealthier Nation Loses",Table1[[#This Row],[Wealthier_Winner]]=0,"Tie",Table1[[#This Row],[Wealthier_Winner]]=1,"Wealthier Nation Wins")</f>
        <v>Wealthier Nation Wins</v>
      </c>
    </row>
    <row r="4168" spans="1:17" x14ac:dyDescent="0.2">
      <c r="A4168" s="1">
        <v>6267</v>
      </c>
      <c r="B4168" s="2">
        <v>40858</v>
      </c>
      <c r="C4168" s="7">
        <f>_xlfn.FLOOR.MATH(Table1[[#This Row],[year]],10)</f>
        <v>2010</v>
      </c>
      <c r="D4168" t="s">
        <v>496</v>
      </c>
      <c r="E4168" t="s">
        <v>691</v>
      </c>
      <c r="F4168">
        <v>4</v>
      </c>
      <c r="G4168">
        <v>0</v>
      </c>
      <c r="H4168" t="s">
        <v>224</v>
      </c>
      <c r="I4168" t="s">
        <v>416</v>
      </c>
      <c r="J4168" t="s">
        <v>496</v>
      </c>
      <c r="K4168" t="b">
        <v>0</v>
      </c>
      <c r="L4168">
        <v>2011</v>
      </c>
      <c r="M4168">
        <v>57948261615</v>
      </c>
      <c r="N4168">
        <v>4186073160</v>
      </c>
      <c r="O4168" t="b">
        <v>1</v>
      </c>
      <c r="P4168">
        <v>1</v>
      </c>
      <c r="Q4168" t="str" cm="1">
        <f t="array" ref="Q4168">_xlfn.IFS(Table1[[#This Row],[Wealthier_Winner]]=-1,"Wealthier Nation Loses",Table1[[#This Row],[Wealthier_Winner]]=0,"Tie",Table1[[#This Row],[Wealthier_Winner]]=1,"Wealthier Nation Wins")</f>
        <v>Wealthier Nation Wins</v>
      </c>
    </row>
    <row r="4169" spans="1:17" x14ac:dyDescent="0.2">
      <c r="A4169" s="1">
        <v>6268</v>
      </c>
      <c r="B4169" s="2">
        <v>40858</v>
      </c>
      <c r="C4169" s="7">
        <f>_xlfn.FLOOR.MATH(Table1[[#This Row],[year]],10)</f>
        <v>2010</v>
      </c>
      <c r="D4169" t="s">
        <v>639</v>
      </c>
      <c r="E4169" t="s">
        <v>410</v>
      </c>
      <c r="F4169">
        <v>2</v>
      </c>
      <c r="G4169">
        <v>0</v>
      </c>
      <c r="H4169" t="s">
        <v>224</v>
      </c>
      <c r="I4169" t="s">
        <v>696</v>
      </c>
      <c r="J4169" t="s">
        <v>639</v>
      </c>
      <c r="K4169" t="b">
        <v>0</v>
      </c>
      <c r="L4169">
        <v>2011</v>
      </c>
      <c r="M4169">
        <v>21357343668</v>
      </c>
      <c r="N4169">
        <v>11551819617</v>
      </c>
      <c r="O4169" t="b">
        <v>0</v>
      </c>
      <c r="P4169">
        <v>1</v>
      </c>
      <c r="Q4169" t="str" cm="1">
        <f t="array" ref="Q4169">_xlfn.IFS(Table1[[#This Row],[Wealthier_Winner]]=-1,"Wealthier Nation Loses",Table1[[#This Row],[Wealthier_Winner]]=0,"Tie",Table1[[#This Row],[Wealthier_Winner]]=1,"Wealthier Nation Wins")</f>
        <v>Wealthier Nation Wins</v>
      </c>
    </row>
    <row r="4170" spans="1:17" x14ac:dyDescent="0.2">
      <c r="A4170" s="1">
        <v>6269</v>
      </c>
      <c r="B4170" s="2">
        <v>40858</v>
      </c>
      <c r="C4170" s="7">
        <f>_xlfn.FLOOR.MATH(Table1[[#This Row],[year]],10)</f>
        <v>2010</v>
      </c>
      <c r="D4170" t="s">
        <v>588</v>
      </c>
      <c r="E4170" t="s">
        <v>514</v>
      </c>
      <c r="F4170">
        <v>1</v>
      </c>
      <c r="G4170">
        <v>1</v>
      </c>
      <c r="H4170" t="s">
        <v>224</v>
      </c>
      <c r="I4170" t="s">
        <v>589</v>
      </c>
      <c r="J4170" t="s">
        <v>588</v>
      </c>
      <c r="K4170" t="b">
        <v>0</v>
      </c>
      <c r="L4170">
        <v>2011</v>
      </c>
      <c r="M4170">
        <v>2065001626</v>
      </c>
      <c r="N4170">
        <v>6884913658</v>
      </c>
      <c r="O4170" t="b">
        <v>1</v>
      </c>
      <c r="P4170">
        <v>0</v>
      </c>
      <c r="Q4170" t="str" cm="1">
        <f t="array" ref="Q4170">_xlfn.IFS(Table1[[#This Row],[Wealthier_Winner]]=-1,"Wealthier Nation Loses",Table1[[#This Row],[Wealthier_Winner]]=0,"Tie",Table1[[#This Row],[Wealthier_Winner]]=1,"Wealthier Nation Wins")</f>
        <v>Tie</v>
      </c>
    </row>
    <row r="4171" spans="1:17" x14ac:dyDescent="0.2">
      <c r="A4171" s="1">
        <v>6270</v>
      </c>
      <c r="B4171" s="2">
        <v>40858</v>
      </c>
      <c r="C4171" s="7">
        <f>_xlfn.FLOOR.MATH(Table1[[#This Row],[year]],10)</f>
        <v>2010</v>
      </c>
      <c r="D4171" t="s">
        <v>223</v>
      </c>
      <c r="E4171" t="s">
        <v>499</v>
      </c>
      <c r="F4171">
        <v>3</v>
      </c>
      <c r="G4171">
        <v>0</v>
      </c>
      <c r="H4171" t="s">
        <v>224</v>
      </c>
      <c r="I4171" t="s">
        <v>227</v>
      </c>
      <c r="J4171" t="s">
        <v>223</v>
      </c>
      <c r="K4171" t="b">
        <v>0</v>
      </c>
      <c r="L4171">
        <v>2011</v>
      </c>
      <c r="M4171">
        <v>46876006272</v>
      </c>
      <c r="N4171">
        <v>778655555</v>
      </c>
      <c r="O4171" t="b">
        <v>1</v>
      </c>
      <c r="P4171">
        <v>1</v>
      </c>
      <c r="Q4171" t="str" cm="1">
        <f t="array" ref="Q4171">_xlfn.IFS(Table1[[#This Row],[Wealthier_Winner]]=-1,"Wealthier Nation Loses",Table1[[#This Row],[Wealthier_Winner]]=0,"Tie",Table1[[#This Row],[Wealthier_Winner]]=1,"Wealthier Nation Wins")</f>
        <v>Wealthier Nation Wins</v>
      </c>
    </row>
    <row r="4172" spans="1:17" x14ac:dyDescent="0.2">
      <c r="A4172" s="1">
        <v>6271</v>
      </c>
      <c r="B4172" s="2">
        <v>40858</v>
      </c>
      <c r="C4172" s="7">
        <f>_xlfn.FLOOR.MATH(Table1[[#This Row],[year]],10)</f>
        <v>2010</v>
      </c>
      <c r="D4172" t="s">
        <v>508</v>
      </c>
      <c r="E4172" t="s">
        <v>62</v>
      </c>
      <c r="F4172">
        <v>1</v>
      </c>
      <c r="G4172">
        <v>1</v>
      </c>
      <c r="H4172" t="s">
        <v>224</v>
      </c>
      <c r="I4172" t="s">
        <v>509</v>
      </c>
      <c r="J4172" t="s">
        <v>508</v>
      </c>
      <c r="K4172" t="b">
        <v>0</v>
      </c>
      <c r="L4172">
        <v>2011</v>
      </c>
      <c r="M4172">
        <v>1157074319</v>
      </c>
      <c r="N4172">
        <v>5422439152</v>
      </c>
      <c r="O4172" t="b">
        <v>1</v>
      </c>
      <c r="P4172">
        <v>0</v>
      </c>
      <c r="Q4172" t="str" cm="1">
        <f t="array" ref="Q4172">_xlfn.IFS(Table1[[#This Row],[Wealthier_Winner]]=-1,"Wealthier Nation Loses",Table1[[#This Row],[Wealthier_Winner]]=0,"Tie",Table1[[#This Row],[Wealthier_Winner]]=1,"Wealthier Nation Wins")</f>
        <v>Tie</v>
      </c>
    </row>
    <row r="4173" spans="1:17" x14ac:dyDescent="0.2">
      <c r="A4173" s="1">
        <v>6272</v>
      </c>
      <c r="B4173" s="2">
        <v>40858</v>
      </c>
      <c r="C4173" s="7">
        <f>_xlfn.FLOOR.MATH(Table1[[#This Row],[year]],10)</f>
        <v>2010</v>
      </c>
      <c r="D4173" t="s">
        <v>445</v>
      </c>
      <c r="E4173" t="s">
        <v>59</v>
      </c>
      <c r="F4173">
        <v>2</v>
      </c>
      <c r="G4173">
        <v>1</v>
      </c>
      <c r="H4173" t="s">
        <v>224</v>
      </c>
      <c r="I4173" t="s">
        <v>703</v>
      </c>
      <c r="J4173" t="s">
        <v>445</v>
      </c>
      <c r="K4173" t="b">
        <v>0</v>
      </c>
      <c r="L4173">
        <v>2011</v>
      </c>
      <c r="M4173">
        <v>3691384317</v>
      </c>
      <c r="N4173">
        <v>25433007437</v>
      </c>
      <c r="O4173" t="b">
        <v>1</v>
      </c>
      <c r="P4173">
        <v>-1</v>
      </c>
      <c r="Q4173" t="str" cm="1">
        <f t="array" ref="Q4173">_xlfn.IFS(Table1[[#This Row],[Wealthier_Winner]]=-1,"Wealthier Nation Loses",Table1[[#This Row],[Wealthier_Winner]]=0,"Tie",Table1[[#This Row],[Wealthier_Winner]]=1,"Wealthier Nation Wins")</f>
        <v>Wealthier Nation Loses</v>
      </c>
    </row>
    <row r="4174" spans="1:17" x14ac:dyDescent="0.2">
      <c r="A4174" s="1">
        <v>6274</v>
      </c>
      <c r="B4174" s="2">
        <v>40858</v>
      </c>
      <c r="C4174" s="7">
        <f>_xlfn.FLOOR.MATH(Table1[[#This Row],[year]],10)</f>
        <v>2010</v>
      </c>
      <c r="D4174" t="s">
        <v>403</v>
      </c>
      <c r="E4174" t="s">
        <v>359</v>
      </c>
      <c r="F4174">
        <v>2</v>
      </c>
      <c r="G4174">
        <v>0</v>
      </c>
      <c r="H4174" t="s">
        <v>224</v>
      </c>
      <c r="I4174" t="s">
        <v>404</v>
      </c>
      <c r="J4174" t="s">
        <v>403</v>
      </c>
      <c r="K4174" t="b">
        <v>0</v>
      </c>
      <c r="L4174">
        <v>2011</v>
      </c>
      <c r="M4174">
        <v>29524149154</v>
      </c>
      <c r="N4174">
        <v>279356499090</v>
      </c>
      <c r="O4174" t="b">
        <v>1</v>
      </c>
      <c r="P4174">
        <v>-1</v>
      </c>
      <c r="Q4174" t="str" cm="1">
        <f t="array" ref="Q4174">_xlfn.IFS(Table1[[#This Row],[Wealthier_Winner]]=-1,"Wealthier Nation Loses",Table1[[#This Row],[Wealthier_Winner]]=0,"Tie",Table1[[#This Row],[Wealthier_Winner]]=1,"Wealthier Nation Wins")</f>
        <v>Wealthier Nation Loses</v>
      </c>
    </row>
    <row r="4175" spans="1:17" x14ac:dyDescent="0.2">
      <c r="A4175" s="1">
        <v>6275</v>
      </c>
      <c r="B4175" s="2">
        <v>40858</v>
      </c>
      <c r="C4175" s="7">
        <f>_xlfn.FLOOR.MATH(Table1[[#This Row],[year]],10)</f>
        <v>2010</v>
      </c>
      <c r="D4175" t="s">
        <v>71</v>
      </c>
      <c r="E4175" t="s">
        <v>479</v>
      </c>
      <c r="F4175">
        <v>0</v>
      </c>
      <c r="G4175">
        <v>1</v>
      </c>
      <c r="H4175" t="s">
        <v>224</v>
      </c>
      <c r="I4175" t="s">
        <v>366</v>
      </c>
      <c r="J4175" t="s">
        <v>71</v>
      </c>
      <c r="K4175" t="b">
        <v>0</v>
      </c>
      <c r="L4175">
        <v>2011</v>
      </c>
      <c r="M4175">
        <v>154039231245</v>
      </c>
      <c r="N4175">
        <v>39927125961</v>
      </c>
      <c r="O4175" t="b">
        <v>1</v>
      </c>
      <c r="P4175">
        <v>-1</v>
      </c>
      <c r="Q4175" t="str" cm="1">
        <f t="array" ref="Q4175">_xlfn.IFS(Table1[[#This Row],[Wealthier_Winner]]=-1,"Wealthier Nation Loses",Table1[[#This Row],[Wealthier_Winner]]=0,"Tie",Table1[[#This Row],[Wealthier_Winner]]=1,"Wealthier Nation Wins")</f>
        <v>Wealthier Nation Loses</v>
      </c>
    </row>
    <row r="4176" spans="1:17" x14ac:dyDescent="0.2">
      <c r="A4176" s="1">
        <v>6276</v>
      </c>
      <c r="B4176" s="2">
        <v>40858</v>
      </c>
      <c r="C4176" s="7">
        <f>_xlfn.FLOOR.MATH(Table1[[#This Row],[year]],10)</f>
        <v>2010</v>
      </c>
      <c r="D4176" t="s">
        <v>307</v>
      </c>
      <c r="E4176" t="s">
        <v>460</v>
      </c>
      <c r="F4176">
        <v>1</v>
      </c>
      <c r="G4176">
        <v>0</v>
      </c>
      <c r="H4176" t="s">
        <v>224</v>
      </c>
      <c r="I4176" t="s">
        <v>308</v>
      </c>
      <c r="J4176" t="s">
        <v>307</v>
      </c>
      <c r="K4176" t="b">
        <v>0</v>
      </c>
      <c r="L4176">
        <v>2011</v>
      </c>
      <c r="M4176">
        <v>2579409619</v>
      </c>
      <c r="N4176">
        <v>2235812879</v>
      </c>
      <c r="O4176" t="b">
        <v>0</v>
      </c>
      <c r="P4176">
        <v>1</v>
      </c>
      <c r="Q4176" t="str" cm="1">
        <f t="array" ref="Q4176">_xlfn.IFS(Table1[[#This Row],[Wealthier_Winner]]=-1,"Wealthier Nation Loses",Table1[[#This Row],[Wealthier_Winner]]=0,"Tie",Table1[[#This Row],[Wealthier_Winner]]=1,"Wealthier Nation Wins")</f>
        <v>Wealthier Nation Wins</v>
      </c>
    </row>
    <row r="4177" spans="1:17" x14ac:dyDescent="0.2">
      <c r="A4177" s="1">
        <v>6277</v>
      </c>
      <c r="B4177" s="2">
        <v>40858</v>
      </c>
      <c r="C4177" s="7">
        <f>_xlfn.FLOOR.MATH(Table1[[#This Row],[year]],10)</f>
        <v>2010</v>
      </c>
      <c r="D4177" t="s">
        <v>453</v>
      </c>
      <c r="E4177" t="s">
        <v>494</v>
      </c>
      <c r="F4177">
        <v>1</v>
      </c>
      <c r="G4177">
        <v>0</v>
      </c>
      <c r="H4177" t="s">
        <v>224</v>
      </c>
      <c r="I4177" t="s">
        <v>454</v>
      </c>
      <c r="J4177" t="s">
        <v>453</v>
      </c>
      <c r="K4177" t="b">
        <v>0</v>
      </c>
      <c r="L4177">
        <v>2011</v>
      </c>
      <c r="M4177">
        <v>9774329332</v>
      </c>
      <c r="N4177">
        <v>532081481</v>
      </c>
      <c r="O4177" t="b">
        <v>1</v>
      </c>
      <c r="P4177">
        <v>1</v>
      </c>
      <c r="Q4177" t="str" cm="1">
        <f t="array" ref="Q4177">_xlfn.IFS(Table1[[#This Row],[Wealthier_Winner]]=-1,"Wealthier Nation Loses",Table1[[#This Row],[Wealthier_Winner]]=0,"Tie",Table1[[#This Row],[Wealthier_Winner]]=1,"Wealthier Nation Wins")</f>
        <v>Wealthier Nation Wins</v>
      </c>
    </row>
    <row r="4178" spans="1:17" x14ac:dyDescent="0.2">
      <c r="A4178" s="1">
        <v>6278</v>
      </c>
      <c r="B4178" s="2">
        <v>40858</v>
      </c>
      <c r="C4178" s="7">
        <f>_xlfn.FLOOR.MATH(Table1[[#This Row],[year]],10)</f>
        <v>2010</v>
      </c>
      <c r="D4178" t="s">
        <v>429</v>
      </c>
      <c r="E4178" t="s">
        <v>28</v>
      </c>
      <c r="F4178">
        <v>1</v>
      </c>
      <c r="G4178">
        <v>0</v>
      </c>
      <c r="H4178" t="s">
        <v>224</v>
      </c>
      <c r="I4178" t="s">
        <v>430</v>
      </c>
      <c r="J4178" t="s">
        <v>429</v>
      </c>
      <c r="K4178" t="b">
        <v>0</v>
      </c>
      <c r="L4178">
        <v>2011</v>
      </c>
      <c r="M4178">
        <v>77497529258</v>
      </c>
      <c r="N4178">
        <v>1402939868653</v>
      </c>
      <c r="O4178" t="b">
        <v>1</v>
      </c>
      <c r="P4178">
        <v>-1</v>
      </c>
      <c r="Q4178" t="str" cm="1">
        <f t="array" ref="Q4178">_xlfn.IFS(Table1[[#This Row],[Wealthier_Winner]]=-1,"Wealthier Nation Loses",Table1[[#This Row],[Wealthier_Winner]]=0,"Tie",Table1[[#This Row],[Wealthier_Winner]]=1,"Wealthier Nation Wins")</f>
        <v>Wealthier Nation Loses</v>
      </c>
    </row>
    <row r="4179" spans="1:17" x14ac:dyDescent="0.2">
      <c r="A4179" s="1">
        <v>6279</v>
      </c>
      <c r="B4179" s="2">
        <v>40858</v>
      </c>
      <c r="C4179" s="7">
        <f>_xlfn.FLOOR.MATH(Table1[[#This Row],[year]],10)</f>
        <v>2010</v>
      </c>
      <c r="D4179" t="s">
        <v>35</v>
      </c>
      <c r="E4179" t="s">
        <v>57</v>
      </c>
      <c r="F4179">
        <v>2</v>
      </c>
      <c r="G4179">
        <v>1</v>
      </c>
      <c r="H4179" t="s">
        <v>224</v>
      </c>
      <c r="I4179" t="s">
        <v>250</v>
      </c>
      <c r="J4179" t="s">
        <v>35</v>
      </c>
      <c r="K4179" t="b">
        <v>0</v>
      </c>
      <c r="L4179">
        <v>2011</v>
      </c>
      <c r="M4179">
        <v>33756238766</v>
      </c>
      <c r="N4179">
        <v>78986648000</v>
      </c>
      <c r="O4179" t="b">
        <v>1</v>
      </c>
      <c r="P4179">
        <v>-1</v>
      </c>
      <c r="Q4179" t="str" cm="1">
        <f t="array" ref="Q4179">_xlfn.IFS(Table1[[#This Row],[Wealthier_Winner]]=-1,"Wealthier Nation Loses",Table1[[#This Row],[Wealthier_Winner]]=0,"Tie",Table1[[#This Row],[Wealthier_Winner]]=1,"Wealthier Nation Wins")</f>
        <v>Wealthier Nation Loses</v>
      </c>
    </row>
    <row r="4180" spans="1:17" x14ac:dyDescent="0.2">
      <c r="A4180" s="1">
        <v>6281</v>
      </c>
      <c r="B4180" s="2">
        <v>40858</v>
      </c>
      <c r="C4180" s="7">
        <f>_xlfn.FLOOR.MATH(Table1[[#This Row],[year]],10)</f>
        <v>2010</v>
      </c>
      <c r="D4180" t="s">
        <v>68</v>
      </c>
      <c r="E4180" t="s">
        <v>328</v>
      </c>
      <c r="F4180">
        <v>4</v>
      </c>
      <c r="G4180">
        <v>0</v>
      </c>
      <c r="H4180" t="s">
        <v>224</v>
      </c>
      <c r="I4180" t="s">
        <v>190</v>
      </c>
      <c r="J4180" t="s">
        <v>68</v>
      </c>
      <c r="K4180" t="b">
        <v>0</v>
      </c>
      <c r="L4180">
        <v>2011</v>
      </c>
      <c r="M4180">
        <v>167775274725</v>
      </c>
      <c r="N4180">
        <v>892969104563</v>
      </c>
      <c r="O4180" t="b">
        <v>1</v>
      </c>
      <c r="P4180">
        <v>-1</v>
      </c>
      <c r="Q4180" t="str" cm="1">
        <f t="array" ref="Q4180">_xlfn.IFS(Table1[[#This Row],[Wealthier_Winner]]=-1,"Wealthier Nation Loses",Table1[[#This Row],[Wealthier_Winner]]=0,"Tie",Table1[[#This Row],[Wealthier_Winner]]=1,"Wealthier Nation Wins")</f>
        <v>Wealthier Nation Loses</v>
      </c>
    </row>
    <row r="4181" spans="1:17" x14ac:dyDescent="0.2">
      <c r="A4181" s="1">
        <v>6283</v>
      </c>
      <c r="B4181" s="2">
        <v>40858</v>
      </c>
      <c r="C4181" s="7">
        <f>_xlfn.FLOOR.MATH(Table1[[#This Row],[year]],10)</f>
        <v>2010</v>
      </c>
      <c r="D4181" t="s">
        <v>45</v>
      </c>
      <c r="E4181" t="s">
        <v>334</v>
      </c>
      <c r="F4181">
        <v>3</v>
      </c>
      <c r="G4181">
        <v>0</v>
      </c>
      <c r="H4181" t="s">
        <v>224</v>
      </c>
      <c r="I4181" t="s">
        <v>356</v>
      </c>
      <c r="J4181" t="s">
        <v>45</v>
      </c>
      <c r="K4181" t="b">
        <v>0</v>
      </c>
      <c r="L4181">
        <v>2011</v>
      </c>
      <c r="M4181">
        <v>680660800000</v>
      </c>
      <c r="N4181">
        <v>370818739623</v>
      </c>
      <c r="O4181" t="b">
        <v>0</v>
      </c>
      <c r="P4181">
        <v>1</v>
      </c>
      <c r="Q4181" t="str" cm="1">
        <f t="array" ref="Q4181">_xlfn.IFS(Table1[[#This Row],[Wealthier_Winner]]=-1,"Wealthier Nation Loses",Table1[[#This Row],[Wealthier_Winner]]=0,"Tie",Table1[[#This Row],[Wealthier_Winner]]=1,"Wealthier Nation Wins")</f>
        <v>Wealthier Nation Wins</v>
      </c>
    </row>
    <row r="4182" spans="1:17" x14ac:dyDescent="0.2">
      <c r="A4182" s="1">
        <v>6284</v>
      </c>
      <c r="B4182" s="2">
        <v>40858</v>
      </c>
      <c r="C4182" s="7">
        <f>_xlfn.FLOOR.MATH(Table1[[#This Row],[year]],10)</f>
        <v>2010</v>
      </c>
      <c r="D4182" t="s">
        <v>583</v>
      </c>
      <c r="E4182" t="s">
        <v>314</v>
      </c>
      <c r="F4182">
        <v>0</v>
      </c>
      <c r="G4182">
        <v>3</v>
      </c>
      <c r="H4182" t="s">
        <v>224</v>
      </c>
      <c r="I4182" t="s">
        <v>584</v>
      </c>
      <c r="J4182" t="s">
        <v>583</v>
      </c>
      <c r="K4182" t="b">
        <v>0</v>
      </c>
      <c r="L4182">
        <v>2011</v>
      </c>
      <c r="M4182">
        <v>1058918707</v>
      </c>
      <c r="N4182">
        <v>46869473150</v>
      </c>
      <c r="O4182" t="b">
        <v>1</v>
      </c>
      <c r="P4182">
        <v>1</v>
      </c>
      <c r="Q4182" t="str" cm="1">
        <f t="array" ref="Q4182">_xlfn.IFS(Table1[[#This Row],[Wealthier_Winner]]=-1,"Wealthier Nation Loses",Table1[[#This Row],[Wealthier_Winner]]=0,"Tie",Table1[[#This Row],[Wealthier_Winner]]=1,"Wealthier Nation Wins")</f>
        <v>Wealthier Nation Wins</v>
      </c>
    </row>
    <row r="4183" spans="1:17" x14ac:dyDescent="0.2">
      <c r="A4183" s="1">
        <v>6286</v>
      </c>
      <c r="B4183" s="2">
        <v>40858</v>
      </c>
      <c r="C4183" s="7">
        <f>_xlfn.FLOOR.MATH(Table1[[#This Row],[year]],10)</f>
        <v>2010</v>
      </c>
      <c r="D4183" t="s">
        <v>252</v>
      </c>
      <c r="E4183" t="s">
        <v>69</v>
      </c>
      <c r="F4183">
        <v>1</v>
      </c>
      <c r="G4183">
        <v>3</v>
      </c>
      <c r="H4183" t="s">
        <v>224</v>
      </c>
      <c r="I4183" t="s">
        <v>255</v>
      </c>
      <c r="J4183" t="s">
        <v>252</v>
      </c>
      <c r="K4183" t="b">
        <v>0</v>
      </c>
      <c r="L4183">
        <v>2011</v>
      </c>
      <c r="M4183">
        <v>4422276621</v>
      </c>
      <c r="N4183">
        <v>20283780000</v>
      </c>
      <c r="O4183" t="b">
        <v>1</v>
      </c>
      <c r="P4183">
        <v>1</v>
      </c>
      <c r="Q4183" t="str" cm="1">
        <f t="array" ref="Q4183">_xlfn.IFS(Table1[[#This Row],[Wealthier_Winner]]=-1,"Wealthier Nation Loses",Table1[[#This Row],[Wealthier_Winner]]=0,"Tie",Table1[[#This Row],[Wealthier_Winner]]=1,"Wealthier Nation Wins")</f>
        <v>Wealthier Nation Wins</v>
      </c>
    </row>
    <row r="4184" spans="1:17" x14ac:dyDescent="0.2">
      <c r="A4184" s="1">
        <v>6288</v>
      </c>
      <c r="B4184" s="2">
        <v>40858</v>
      </c>
      <c r="C4184" s="7">
        <f>_xlfn.FLOOR.MATH(Table1[[#This Row],[year]],10)</f>
        <v>2010</v>
      </c>
      <c r="D4184" t="s">
        <v>556</v>
      </c>
      <c r="E4184" t="s">
        <v>51</v>
      </c>
      <c r="F4184">
        <v>0</v>
      </c>
      <c r="G4184">
        <v>4</v>
      </c>
      <c r="H4184" t="s">
        <v>224</v>
      </c>
      <c r="I4184" t="s">
        <v>557</v>
      </c>
      <c r="J4184" t="s">
        <v>556</v>
      </c>
      <c r="K4184" t="b">
        <v>0</v>
      </c>
      <c r="L4184">
        <v>2011</v>
      </c>
      <c r="M4184">
        <v>6522756255</v>
      </c>
      <c r="N4184">
        <v>6233147172341</v>
      </c>
      <c r="O4184" t="b">
        <v>1</v>
      </c>
      <c r="P4184">
        <v>1</v>
      </c>
      <c r="Q4184" t="str" cm="1">
        <f t="array" ref="Q4184">_xlfn.IFS(Table1[[#This Row],[Wealthier_Winner]]=-1,"Wealthier Nation Loses",Table1[[#This Row],[Wealthier_Winner]]=0,"Tie",Table1[[#This Row],[Wealthier_Winner]]=1,"Wealthier Nation Wins")</f>
        <v>Wealthier Nation Wins</v>
      </c>
    </row>
    <row r="4185" spans="1:17" x14ac:dyDescent="0.2">
      <c r="A4185" s="1">
        <v>6289</v>
      </c>
      <c r="B4185" s="2">
        <v>40858</v>
      </c>
      <c r="C4185" s="7">
        <f>_xlfn.FLOOR.MATH(Table1[[#This Row],[year]],10)</f>
        <v>2010</v>
      </c>
      <c r="D4185" t="s">
        <v>39</v>
      </c>
      <c r="E4185" t="s">
        <v>195</v>
      </c>
      <c r="F4185">
        <v>0</v>
      </c>
      <c r="G4185">
        <v>2</v>
      </c>
      <c r="H4185" t="s">
        <v>224</v>
      </c>
      <c r="I4185" t="s">
        <v>412</v>
      </c>
      <c r="J4185" t="s">
        <v>39</v>
      </c>
      <c r="K4185" t="b">
        <v>0</v>
      </c>
      <c r="L4185">
        <v>2011</v>
      </c>
      <c r="M4185">
        <v>368881143635</v>
      </c>
      <c r="N4185">
        <v>1307103477219</v>
      </c>
      <c r="O4185" t="b">
        <v>1</v>
      </c>
      <c r="P4185">
        <v>1</v>
      </c>
      <c r="Q4185" t="str" cm="1">
        <f t="array" ref="Q4185">_xlfn.IFS(Table1[[#This Row],[Wealthier_Winner]]=-1,"Wealthier Nation Loses",Table1[[#This Row],[Wealthier_Winner]]=0,"Tie",Table1[[#This Row],[Wealthier_Winner]]=1,"Wealthier Nation Wins")</f>
        <v>Wealthier Nation Wins</v>
      </c>
    </row>
    <row r="4186" spans="1:17" x14ac:dyDescent="0.2">
      <c r="A4186" s="1">
        <v>6290</v>
      </c>
      <c r="B4186" s="2">
        <v>40858</v>
      </c>
      <c r="C4186" s="7">
        <f>_xlfn.FLOOR.MATH(Table1[[#This Row],[year]],10)</f>
        <v>2010</v>
      </c>
      <c r="D4186" t="s">
        <v>26</v>
      </c>
      <c r="E4186" t="s">
        <v>14</v>
      </c>
      <c r="F4186">
        <v>4</v>
      </c>
      <c r="G4186">
        <v>0</v>
      </c>
      <c r="H4186" t="s">
        <v>224</v>
      </c>
      <c r="I4186" t="s">
        <v>247</v>
      </c>
      <c r="J4186" t="s">
        <v>26</v>
      </c>
      <c r="K4186" t="b">
        <v>0</v>
      </c>
      <c r="L4186">
        <v>2011</v>
      </c>
      <c r="M4186">
        <v>50342406067</v>
      </c>
      <c r="N4186">
        <v>251382573893</v>
      </c>
      <c r="O4186" t="b">
        <v>1</v>
      </c>
      <c r="P4186">
        <v>-1</v>
      </c>
      <c r="Q4186" t="str" cm="1">
        <f t="array" ref="Q4186">_xlfn.IFS(Table1[[#This Row],[Wealthier_Winner]]=-1,"Wealthier Nation Loses",Table1[[#This Row],[Wealthier_Winner]]=0,"Tie",Table1[[#This Row],[Wealthier_Winner]]=1,"Wealthier Nation Wins")</f>
        <v>Wealthier Nation Loses</v>
      </c>
    </row>
    <row r="4187" spans="1:17" x14ac:dyDescent="0.2">
      <c r="A4187" s="1">
        <v>6295</v>
      </c>
      <c r="B4187" s="2">
        <v>40861</v>
      </c>
      <c r="C4187" s="7">
        <f>_xlfn.FLOOR.MATH(Table1[[#This Row],[year]],10)</f>
        <v>2010</v>
      </c>
      <c r="D4187" t="s">
        <v>266</v>
      </c>
      <c r="E4187" t="s">
        <v>443</v>
      </c>
      <c r="F4187">
        <v>2</v>
      </c>
      <c r="G4187">
        <v>1</v>
      </c>
      <c r="H4187" t="s">
        <v>224</v>
      </c>
      <c r="I4187" t="s">
        <v>271</v>
      </c>
      <c r="J4187" t="s">
        <v>266</v>
      </c>
      <c r="K4187" t="b">
        <v>0</v>
      </c>
      <c r="L4187">
        <v>2011</v>
      </c>
      <c r="M4187">
        <v>6312691000</v>
      </c>
      <c r="N4187">
        <v>5663100000</v>
      </c>
      <c r="O4187" t="b">
        <v>0</v>
      </c>
      <c r="P4187">
        <v>1</v>
      </c>
      <c r="Q4187" t="str" cm="1">
        <f t="array" ref="Q4187">_xlfn.IFS(Table1[[#This Row],[Wealthier_Winner]]=-1,"Wealthier Nation Loses",Table1[[#This Row],[Wealthier_Winner]]=0,"Tie",Table1[[#This Row],[Wealthier_Winner]]=1,"Wealthier Nation Wins")</f>
        <v>Wealthier Nation Wins</v>
      </c>
    </row>
    <row r="4188" spans="1:17" x14ac:dyDescent="0.2">
      <c r="A4188" s="1">
        <v>6296</v>
      </c>
      <c r="B4188" s="2">
        <v>40861</v>
      </c>
      <c r="C4188" s="7">
        <f>_xlfn.FLOOR.MATH(Table1[[#This Row],[year]],10)</f>
        <v>2010</v>
      </c>
      <c r="D4188" t="s">
        <v>691</v>
      </c>
      <c r="E4188" t="s">
        <v>496</v>
      </c>
      <c r="F4188">
        <v>1</v>
      </c>
      <c r="G4188">
        <v>1</v>
      </c>
      <c r="H4188" t="s">
        <v>224</v>
      </c>
      <c r="I4188" t="s">
        <v>693</v>
      </c>
      <c r="J4188" t="s">
        <v>691</v>
      </c>
      <c r="K4188" t="b">
        <v>0</v>
      </c>
      <c r="L4188">
        <v>2011</v>
      </c>
      <c r="M4188">
        <v>4186073160</v>
      </c>
      <c r="N4188">
        <v>57948261615</v>
      </c>
      <c r="O4188" t="b">
        <v>1</v>
      </c>
      <c r="P4188">
        <v>0</v>
      </c>
      <c r="Q4188" t="str" cm="1">
        <f t="array" ref="Q4188">_xlfn.IFS(Table1[[#This Row],[Wealthier_Winner]]=-1,"Wealthier Nation Loses",Table1[[#This Row],[Wealthier_Winner]]=0,"Tie",Table1[[#This Row],[Wealthier_Winner]]=1,"Wealthier Nation Wins")</f>
        <v>Tie</v>
      </c>
    </row>
    <row r="4189" spans="1:17" x14ac:dyDescent="0.2">
      <c r="A4189" s="1">
        <v>6298</v>
      </c>
      <c r="B4189" s="2">
        <v>40862</v>
      </c>
      <c r="C4189" s="7">
        <f>_xlfn.FLOOR.MATH(Table1[[#This Row],[year]],10)</f>
        <v>2010</v>
      </c>
      <c r="D4189" t="s">
        <v>460</v>
      </c>
      <c r="E4189" t="s">
        <v>307</v>
      </c>
      <c r="F4189">
        <v>2</v>
      </c>
      <c r="G4189">
        <v>2</v>
      </c>
      <c r="H4189" t="s">
        <v>224</v>
      </c>
      <c r="I4189" t="s">
        <v>464</v>
      </c>
      <c r="J4189" t="s">
        <v>460</v>
      </c>
      <c r="K4189" t="b">
        <v>0</v>
      </c>
      <c r="L4189">
        <v>2011</v>
      </c>
      <c r="M4189">
        <v>2235812879</v>
      </c>
      <c r="N4189">
        <v>2579409619</v>
      </c>
      <c r="O4189" t="b">
        <v>0</v>
      </c>
      <c r="P4189">
        <v>0</v>
      </c>
      <c r="Q4189" t="str" cm="1">
        <f t="array" ref="Q4189">_xlfn.IFS(Table1[[#This Row],[Wealthier_Winner]]=-1,"Wealthier Nation Loses",Table1[[#This Row],[Wealthier_Winner]]=0,"Tie",Table1[[#This Row],[Wealthier_Winner]]=1,"Wealthier Nation Wins")</f>
        <v>Tie</v>
      </c>
    </row>
    <row r="4190" spans="1:17" x14ac:dyDescent="0.2">
      <c r="A4190" s="1">
        <v>6300</v>
      </c>
      <c r="B4190" s="2">
        <v>40862</v>
      </c>
      <c r="C4190" s="7">
        <f>_xlfn.FLOOR.MATH(Table1[[#This Row],[year]],10)</f>
        <v>2010</v>
      </c>
      <c r="D4190" t="s">
        <v>14</v>
      </c>
      <c r="E4190" t="s">
        <v>35</v>
      </c>
      <c r="F4190">
        <v>2</v>
      </c>
      <c r="G4190">
        <v>0</v>
      </c>
      <c r="H4190" t="s">
        <v>224</v>
      </c>
      <c r="I4190" t="s">
        <v>75</v>
      </c>
      <c r="J4190" t="s">
        <v>14</v>
      </c>
      <c r="K4190" t="b">
        <v>0</v>
      </c>
      <c r="L4190">
        <v>2011</v>
      </c>
      <c r="M4190">
        <v>251382573893</v>
      </c>
      <c r="N4190">
        <v>33756238766</v>
      </c>
      <c r="O4190" t="b">
        <v>1</v>
      </c>
      <c r="P4190">
        <v>1</v>
      </c>
      <c r="Q4190" t="str" cm="1">
        <f t="array" ref="Q4190">_xlfn.IFS(Table1[[#This Row],[Wealthier_Winner]]=-1,"Wealthier Nation Loses",Table1[[#This Row],[Wealthier_Winner]]=0,"Tie",Table1[[#This Row],[Wealthier_Winner]]=1,"Wealthier Nation Wins")</f>
        <v>Wealthier Nation Wins</v>
      </c>
    </row>
    <row r="4191" spans="1:17" x14ac:dyDescent="0.2">
      <c r="A4191" s="1">
        <v>6301</v>
      </c>
      <c r="B4191" s="2">
        <v>40862</v>
      </c>
      <c r="C4191" s="7">
        <f>_xlfn.FLOOR.MATH(Table1[[#This Row],[year]],10)</f>
        <v>2010</v>
      </c>
      <c r="D4191" t="s">
        <v>15</v>
      </c>
      <c r="E4191" t="s">
        <v>19</v>
      </c>
      <c r="F4191">
        <v>1</v>
      </c>
      <c r="G4191">
        <v>2</v>
      </c>
      <c r="H4191" t="s">
        <v>224</v>
      </c>
      <c r="I4191" t="s">
        <v>261</v>
      </c>
      <c r="J4191" t="s">
        <v>15</v>
      </c>
      <c r="K4191" t="b">
        <v>0</v>
      </c>
      <c r="L4191">
        <v>2011</v>
      </c>
      <c r="M4191">
        <v>334966134804</v>
      </c>
      <c r="N4191">
        <v>530158122010</v>
      </c>
      <c r="O4191" t="b">
        <v>0</v>
      </c>
      <c r="P4191">
        <v>1</v>
      </c>
      <c r="Q4191" t="str" cm="1">
        <f t="array" ref="Q4191">_xlfn.IFS(Table1[[#This Row],[Wealthier_Winner]]=-1,"Wealthier Nation Loses",Table1[[#This Row],[Wealthier_Winner]]=0,"Tie",Table1[[#This Row],[Wealthier_Winner]]=1,"Wealthier Nation Wins")</f>
        <v>Wealthier Nation Wins</v>
      </c>
    </row>
    <row r="4192" spans="1:17" x14ac:dyDescent="0.2">
      <c r="A4192" s="1">
        <v>6305</v>
      </c>
      <c r="B4192" s="2">
        <v>40862</v>
      </c>
      <c r="C4192" s="7">
        <f>_xlfn.FLOOR.MATH(Table1[[#This Row],[year]],10)</f>
        <v>2010</v>
      </c>
      <c r="D4192" t="s">
        <v>57</v>
      </c>
      <c r="E4192" t="s">
        <v>31</v>
      </c>
      <c r="F4192">
        <v>2</v>
      </c>
      <c r="G4192">
        <v>0</v>
      </c>
      <c r="H4192" t="s">
        <v>224</v>
      </c>
      <c r="I4192" t="s">
        <v>335</v>
      </c>
      <c r="J4192" t="s">
        <v>57</v>
      </c>
      <c r="K4192" t="b">
        <v>0</v>
      </c>
      <c r="L4192">
        <v>2011</v>
      </c>
      <c r="M4192">
        <v>78986648000</v>
      </c>
      <c r="N4192">
        <v>171761737046</v>
      </c>
      <c r="O4192" t="b">
        <v>1</v>
      </c>
      <c r="P4192">
        <v>-1</v>
      </c>
      <c r="Q4192" t="str" cm="1">
        <f t="array" ref="Q4192">_xlfn.IFS(Table1[[#This Row],[Wealthier_Winner]]=-1,"Wealthier Nation Loses",Table1[[#This Row],[Wealthier_Winner]]=0,"Tie",Table1[[#This Row],[Wealthier_Winner]]=1,"Wealthier Nation Wins")</f>
        <v>Wealthier Nation Loses</v>
      </c>
    </row>
    <row r="4193" spans="1:17" x14ac:dyDescent="0.2">
      <c r="A4193" s="1">
        <v>6306</v>
      </c>
      <c r="B4193" s="2">
        <v>40862</v>
      </c>
      <c r="C4193" s="7">
        <f>_xlfn.FLOOR.MATH(Table1[[#This Row],[year]],10)</f>
        <v>2010</v>
      </c>
      <c r="D4193" t="s">
        <v>69</v>
      </c>
      <c r="E4193" t="s">
        <v>252</v>
      </c>
      <c r="F4193">
        <v>4</v>
      </c>
      <c r="G4193">
        <v>0</v>
      </c>
      <c r="H4193" t="s">
        <v>224</v>
      </c>
      <c r="I4193" t="s">
        <v>281</v>
      </c>
      <c r="J4193" t="s">
        <v>69</v>
      </c>
      <c r="K4193" t="b">
        <v>0</v>
      </c>
      <c r="L4193">
        <v>2011</v>
      </c>
      <c r="M4193">
        <v>20283780000</v>
      </c>
      <c r="N4193">
        <v>4422276621</v>
      </c>
      <c r="O4193" t="b">
        <v>1</v>
      </c>
      <c r="P4193">
        <v>1</v>
      </c>
      <c r="Q4193" t="str" cm="1">
        <f t="array" ref="Q4193">_xlfn.IFS(Table1[[#This Row],[Wealthier_Winner]]=-1,"Wealthier Nation Loses",Table1[[#This Row],[Wealthier_Winner]]=0,"Tie",Table1[[#This Row],[Wealthier_Winner]]=1,"Wealthier Nation Wins")</f>
        <v>Wealthier Nation Wins</v>
      </c>
    </row>
    <row r="4194" spans="1:17" x14ac:dyDescent="0.2">
      <c r="A4194" s="1">
        <v>6307</v>
      </c>
      <c r="B4194" s="2">
        <v>40862</v>
      </c>
      <c r="C4194" s="7">
        <f>_xlfn.FLOOR.MATH(Table1[[#This Row],[year]],10)</f>
        <v>2010</v>
      </c>
      <c r="D4194" t="s">
        <v>499</v>
      </c>
      <c r="E4194" t="s">
        <v>223</v>
      </c>
      <c r="F4194">
        <v>1</v>
      </c>
      <c r="G4194">
        <v>4</v>
      </c>
      <c r="H4194" t="s">
        <v>224</v>
      </c>
      <c r="I4194" t="s">
        <v>501</v>
      </c>
      <c r="J4194" t="s">
        <v>499</v>
      </c>
      <c r="K4194" t="b">
        <v>0</v>
      </c>
      <c r="L4194">
        <v>2011</v>
      </c>
      <c r="M4194">
        <v>778655555</v>
      </c>
      <c r="N4194">
        <v>46876006272</v>
      </c>
      <c r="O4194" t="b">
        <v>1</v>
      </c>
      <c r="P4194">
        <v>1</v>
      </c>
      <c r="Q4194" t="str" cm="1">
        <f t="array" ref="Q4194">_xlfn.IFS(Table1[[#This Row],[Wealthier_Winner]]=-1,"Wealthier Nation Loses",Table1[[#This Row],[Wealthier_Winner]]=0,"Tie",Table1[[#This Row],[Wealthier_Winner]]=1,"Wealthier Nation Wins")</f>
        <v>Wealthier Nation Wins</v>
      </c>
    </row>
    <row r="4195" spans="1:17" x14ac:dyDescent="0.2">
      <c r="A4195" s="1">
        <v>6308</v>
      </c>
      <c r="B4195" s="2">
        <v>40862</v>
      </c>
      <c r="C4195" s="7">
        <f>_xlfn.FLOOR.MATH(Table1[[#This Row],[year]],10)</f>
        <v>2010</v>
      </c>
      <c r="D4195" t="s">
        <v>70</v>
      </c>
      <c r="E4195" t="s">
        <v>449</v>
      </c>
      <c r="F4195">
        <v>2</v>
      </c>
      <c r="G4195">
        <v>1</v>
      </c>
      <c r="H4195" t="s">
        <v>224</v>
      </c>
      <c r="I4195" t="s">
        <v>280</v>
      </c>
      <c r="J4195" t="s">
        <v>70</v>
      </c>
      <c r="K4195" t="b">
        <v>0</v>
      </c>
      <c r="L4195">
        <v>2011</v>
      </c>
      <c r="M4195">
        <v>13008746038</v>
      </c>
      <c r="N4195">
        <v>1287359259</v>
      </c>
      <c r="O4195" t="b">
        <v>1</v>
      </c>
      <c r="P4195">
        <v>1</v>
      </c>
      <c r="Q4195" t="str" cm="1">
        <f t="array" ref="Q4195">_xlfn.IFS(Table1[[#This Row],[Wealthier_Winner]]=-1,"Wealthier Nation Loses",Table1[[#This Row],[Wealthier_Winner]]=0,"Tie",Table1[[#This Row],[Wealthier_Winner]]=1,"Wealthier Nation Wins")</f>
        <v>Wealthier Nation Wins</v>
      </c>
    </row>
    <row r="4196" spans="1:17" x14ac:dyDescent="0.2">
      <c r="A4196" s="1">
        <v>6309</v>
      </c>
      <c r="B4196" s="2">
        <v>40862</v>
      </c>
      <c r="C4196" s="7">
        <f>_xlfn.FLOOR.MATH(Table1[[#This Row],[year]],10)</f>
        <v>2010</v>
      </c>
      <c r="D4196" t="s">
        <v>328</v>
      </c>
      <c r="E4196" t="s">
        <v>210</v>
      </c>
      <c r="F4196">
        <v>1</v>
      </c>
      <c r="G4196">
        <v>4</v>
      </c>
      <c r="H4196" t="s">
        <v>224</v>
      </c>
      <c r="I4196" t="s">
        <v>386</v>
      </c>
      <c r="J4196" t="s">
        <v>328</v>
      </c>
      <c r="K4196" t="b">
        <v>0</v>
      </c>
      <c r="L4196">
        <v>2011</v>
      </c>
      <c r="M4196">
        <v>892969104563</v>
      </c>
      <c r="N4196">
        <v>629082257472</v>
      </c>
      <c r="O4196" t="b">
        <v>0</v>
      </c>
      <c r="P4196">
        <v>-1</v>
      </c>
      <c r="Q4196" t="str" cm="1">
        <f t="array" ref="Q4196">_xlfn.IFS(Table1[[#This Row],[Wealthier_Winner]]=-1,"Wealthier Nation Loses",Table1[[#This Row],[Wealthier_Winner]]=0,"Tie",Table1[[#This Row],[Wealthier_Winner]]=1,"Wealthier Nation Wins")</f>
        <v>Wealthier Nation Loses</v>
      </c>
    </row>
    <row r="4197" spans="1:17" x14ac:dyDescent="0.2">
      <c r="A4197" s="1">
        <v>6310</v>
      </c>
      <c r="B4197" s="2">
        <v>40862</v>
      </c>
      <c r="C4197" s="7">
        <f>_xlfn.FLOOR.MATH(Table1[[#This Row],[year]],10)</f>
        <v>2010</v>
      </c>
      <c r="D4197" t="s">
        <v>403</v>
      </c>
      <c r="E4197" t="s">
        <v>37</v>
      </c>
      <c r="F4197">
        <v>1</v>
      </c>
      <c r="G4197">
        <v>3</v>
      </c>
      <c r="H4197" t="s">
        <v>224</v>
      </c>
      <c r="I4197" t="s">
        <v>404</v>
      </c>
      <c r="J4197" t="s">
        <v>403</v>
      </c>
      <c r="K4197" t="b">
        <v>0</v>
      </c>
      <c r="L4197">
        <v>2011</v>
      </c>
      <c r="M4197">
        <v>29524149154</v>
      </c>
      <c r="N4197">
        <v>185749664444</v>
      </c>
      <c r="O4197" t="b">
        <v>1</v>
      </c>
      <c r="P4197">
        <v>1</v>
      </c>
      <c r="Q4197" t="str" cm="1">
        <f t="array" ref="Q4197">_xlfn.IFS(Table1[[#This Row],[Wealthier_Winner]]=-1,"Wealthier Nation Loses",Table1[[#This Row],[Wealthier_Winner]]=0,"Tie",Table1[[#This Row],[Wealthier_Winner]]=1,"Wealthier Nation Wins")</f>
        <v>Wealthier Nation Wins</v>
      </c>
    </row>
    <row r="4198" spans="1:17" x14ac:dyDescent="0.2">
      <c r="A4198" s="1">
        <v>6311</v>
      </c>
      <c r="B4198" s="2">
        <v>40862</v>
      </c>
      <c r="C4198" s="7">
        <f>_xlfn.FLOOR.MATH(Table1[[#This Row],[year]],10)</f>
        <v>2010</v>
      </c>
      <c r="D4198" t="s">
        <v>314</v>
      </c>
      <c r="E4198" t="s">
        <v>583</v>
      </c>
      <c r="F4198">
        <v>4</v>
      </c>
      <c r="G4198">
        <v>0</v>
      </c>
      <c r="H4198" t="s">
        <v>224</v>
      </c>
      <c r="I4198" t="s">
        <v>315</v>
      </c>
      <c r="J4198" t="s">
        <v>314</v>
      </c>
      <c r="K4198" t="b">
        <v>0</v>
      </c>
      <c r="L4198">
        <v>2011</v>
      </c>
      <c r="M4198">
        <v>46869473150</v>
      </c>
      <c r="N4198">
        <v>1058918707</v>
      </c>
      <c r="O4198" t="b">
        <v>1</v>
      </c>
      <c r="P4198">
        <v>1</v>
      </c>
      <c r="Q4198" t="str" cm="1">
        <f t="array" ref="Q4198">_xlfn.IFS(Table1[[#This Row],[Wealthier_Winner]]=-1,"Wealthier Nation Loses",Table1[[#This Row],[Wealthier_Winner]]=0,"Tie",Table1[[#This Row],[Wealthier_Winner]]=1,"Wealthier Nation Wins")</f>
        <v>Wealthier Nation Wins</v>
      </c>
    </row>
    <row r="4199" spans="1:17" x14ac:dyDescent="0.2">
      <c r="A4199" s="1">
        <v>6313</v>
      </c>
      <c r="B4199" s="2">
        <v>40862</v>
      </c>
      <c r="C4199" s="7">
        <f>_xlfn.FLOOR.MATH(Table1[[#This Row],[year]],10)</f>
        <v>2010</v>
      </c>
      <c r="D4199" t="s">
        <v>71</v>
      </c>
      <c r="E4199" t="s">
        <v>39</v>
      </c>
      <c r="F4199">
        <v>2</v>
      </c>
      <c r="G4199">
        <v>1</v>
      </c>
      <c r="H4199" t="s">
        <v>224</v>
      </c>
      <c r="I4199" t="s">
        <v>366</v>
      </c>
      <c r="J4199" t="s">
        <v>71</v>
      </c>
      <c r="K4199" t="b">
        <v>0</v>
      </c>
      <c r="L4199">
        <v>2011</v>
      </c>
      <c r="M4199">
        <v>154039231245</v>
      </c>
      <c r="N4199">
        <v>368881143635</v>
      </c>
      <c r="O4199" t="b">
        <v>1</v>
      </c>
      <c r="P4199">
        <v>-1</v>
      </c>
      <c r="Q4199" t="str" cm="1">
        <f t="array" ref="Q4199">_xlfn.IFS(Table1[[#This Row],[Wealthier_Winner]]=-1,"Wealthier Nation Loses",Table1[[#This Row],[Wealthier_Winner]]=0,"Tie",Table1[[#This Row],[Wealthier_Winner]]=1,"Wealthier Nation Wins")</f>
        <v>Wealthier Nation Loses</v>
      </c>
    </row>
    <row r="4200" spans="1:17" x14ac:dyDescent="0.2">
      <c r="A4200" s="1">
        <v>6314</v>
      </c>
      <c r="B4200" s="2">
        <v>40862</v>
      </c>
      <c r="C4200" s="7">
        <f>_xlfn.FLOOR.MATH(Table1[[#This Row],[year]],10)</f>
        <v>2010</v>
      </c>
      <c r="D4200" t="s">
        <v>479</v>
      </c>
      <c r="E4200" t="s">
        <v>195</v>
      </c>
      <c r="F4200">
        <v>2</v>
      </c>
      <c r="G4200">
        <v>1</v>
      </c>
      <c r="H4200" t="s">
        <v>224</v>
      </c>
      <c r="I4200" t="s">
        <v>480</v>
      </c>
      <c r="J4200" t="s">
        <v>479</v>
      </c>
      <c r="K4200" t="b">
        <v>0</v>
      </c>
      <c r="L4200">
        <v>2011</v>
      </c>
      <c r="M4200">
        <v>39927125961</v>
      </c>
      <c r="N4200">
        <v>1307103477219</v>
      </c>
      <c r="O4200" t="b">
        <v>1</v>
      </c>
      <c r="P4200">
        <v>-1</v>
      </c>
      <c r="Q4200" t="str" cm="1">
        <f t="array" ref="Q4200">_xlfn.IFS(Table1[[#This Row],[Wealthier_Winner]]=-1,"Wealthier Nation Loses",Table1[[#This Row],[Wealthier_Winner]]=0,"Tie",Table1[[#This Row],[Wealthier_Winner]]=1,"Wealthier Nation Wins")</f>
        <v>Wealthier Nation Loses</v>
      </c>
    </row>
    <row r="4201" spans="1:17" x14ac:dyDescent="0.2">
      <c r="A4201" s="1">
        <v>6315</v>
      </c>
      <c r="B4201" s="2">
        <v>40862</v>
      </c>
      <c r="C4201" s="7">
        <f>_xlfn.FLOOR.MATH(Table1[[#This Row],[year]],10)</f>
        <v>2010</v>
      </c>
      <c r="D4201" t="s">
        <v>410</v>
      </c>
      <c r="E4201" t="s">
        <v>639</v>
      </c>
      <c r="F4201">
        <v>2</v>
      </c>
      <c r="G4201">
        <v>1</v>
      </c>
      <c r="H4201" t="s">
        <v>224</v>
      </c>
      <c r="I4201" t="s">
        <v>413</v>
      </c>
      <c r="J4201" t="s">
        <v>410</v>
      </c>
      <c r="K4201" t="b">
        <v>0</v>
      </c>
      <c r="L4201">
        <v>2011</v>
      </c>
      <c r="M4201">
        <v>11551819617</v>
      </c>
      <c r="N4201">
        <v>21357343668</v>
      </c>
      <c r="O4201" t="b">
        <v>0</v>
      </c>
      <c r="P4201">
        <v>-1</v>
      </c>
      <c r="Q4201" t="str" cm="1">
        <f t="array" ref="Q4201">_xlfn.IFS(Table1[[#This Row],[Wealthier_Winner]]=-1,"Wealthier Nation Loses",Table1[[#This Row],[Wealthier_Winner]]=0,"Tie",Table1[[#This Row],[Wealthier_Winner]]=1,"Wealthier Nation Wins")</f>
        <v>Wealthier Nation Loses</v>
      </c>
    </row>
    <row r="4202" spans="1:17" x14ac:dyDescent="0.2">
      <c r="A4202" s="1">
        <v>6316</v>
      </c>
      <c r="B4202" s="2">
        <v>40862</v>
      </c>
      <c r="C4202" s="7">
        <f>_xlfn.FLOOR.MATH(Table1[[#This Row],[year]],10)</f>
        <v>2010</v>
      </c>
      <c r="D4202" t="s">
        <v>300</v>
      </c>
      <c r="E4202" t="s">
        <v>688</v>
      </c>
      <c r="F4202">
        <v>4</v>
      </c>
      <c r="G4202">
        <v>1</v>
      </c>
      <c r="H4202" t="s">
        <v>224</v>
      </c>
      <c r="I4202" t="s">
        <v>299</v>
      </c>
      <c r="J4202" t="s">
        <v>300</v>
      </c>
      <c r="K4202" t="b">
        <v>0</v>
      </c>
      <c r="L4202">
        <v>2011</v>
      </c>
      <c r="M4202">
        <v>14619279988</v>
      </c>
      <c r="N4202">
        <v>1023086273</v>
      </c>
      <c r="O4202" t="b">
        <v>1</v>
      </c>
      <c r="P4202">
        <v>1</v>
      </c>
      <c r="Q4202" t="str" cm="1">
        <f t="array" ref="Q4202">_xlfn.IFS(Table1[[#This Row],[Wealthier_Winner]]=-1,"Wealthier Nation Loses",Table1[[#This Row],[Wealthier_Winner]]=0,"Tie",Table1[[#This Row],[Wealthier_Winner]]=1,"Wealthier Nation Wins")</f>
        <v>Wealthier Nation Wins</v>
      </c>
    </row>
    <row r="4203" spans="1:17" x14ac:dyDescent="0.2">
      <c r="A4203" s="1">
        <v>6317</v>
      </c>
      <c r="B4203" s="2">
        <v>40862</v>
      </c>
      <c r="C4203" s="7">
        <f>_xlfn.FLOOR.MATH(Table1[[#This Row],[year]],10)</f>
        <v>2010</v>
      </c>
      <c r="D4203" t="s">
        <v>462</v>
      </c>
      <c r="E4203" t="s">
        <v>694</v>
      </c>
      <c r="F4203">
        <v>4</v>
      </c>
      <c r="G4203">
        <v>0</v>
      </c>
      <c r="H4203" t="s">
        <v>224</v>
      </c>
      <c r="I4203" t="s">
        <v>465</v>
      </c>
      <c r="J4203" t="s">
        <v>462</v>
      </c>
      <c r="K4203" t="b">
        <v>0</v>
      </c>
      <c r="L4203">
        <v>2011</v>
      </c>
      <c r="M4203">
        <v>12523359440</v>
      </c>
      <c r="N4203">
        <v>1239144501</v>
      </c>
      <c r="O4203" t="b">
        <v>1</v>
      </c>
      <c r="P4203">
        <v>1</v>
      </c>
      <c r="Q4203" t="str" cm="1">
        <f t="array" ref="Q4203">_xlfn.IFS(Table1[[#This Row],[Wealthier_Winner]]=-1,"Wealthier Nation Loses",Table1[[#This Row],[Wealthier_Winner]]=0,"Tie",Table1[[#This Row],[Wealthier_Winner]]=1,"Wealthier Nation Wins")</f>
        <v>Wealthier Nation Wins</v>
      </c>
    </row>
    <row r="4204" spans="1:17" x14ac:dyDescent="0.2">
      <c r="A4204" s="1">
        <v>6318</v>
      </c>
      <c r="B4204" s="2">
        <v>40862</v>
      </c>
      <c r="C4204" s="7">
        <f>_xlfn.FLOOR.MATH(Table1[[#This Row],[year]],10)</f>
        <v>2010</v>
      </c>
      <c r="D4204" t="s">
        <v>67</v>
      </c>
      <c r="E4204" t="s">
        <v>494</v>
      </c>
      <c r="F4204">
        <v>3</v>
      </c>
      <c r="G4204">
        <v>0</v>
      </c>
      <c r="H4204" t="s">
        <v>224</v>
      </c>
      <c r="I4204" t="s">
        <v>455</v>
      </c>
      <c r="J4204" t="s">
        <v>67</v>
      </c>
      <c r="K4204" t="b">
        <v>0</v>
      </c>
      <c r="L4204">
        <v>2011</v>
      </c>
      <c r="M4204">
        <v>35687738251</v>
      </c>
      <c r="N4204">
        <v>532081481</v>
      </c>
      <c r="O4204" t="b">
        <v>1</v>
      </c>
      <c r="P4204">
        <v>1</v>
      </c>
      <c r="Q4204" t="str" cm="1">
        <f t="array" ref="Q4204">_xlfn.IFS(Table1[[#This Row],[Wealthier_Winner]]=-1,"Wealthier Nation Loses",Table1[[#This Row],[Wealthier_Winner]]=0,"Tie",Table1[[#This Row],[Wealthier_Winner]]=1,"Wealthier Nation Wins")</f>
        <v>Wealthier Nation Wins</v>
      </c>
    </row>
    <row r="4205" spans="1:17" x14ac:dyDescent="0.2">
      <c r="A4205" s="1">
        <v>6319</v>
      </c>
      <c r="B4205" s="2">
        <v>40862</v>
      </c>
      <c r="C4205" s="7">
        <f>_xlfn.FLOOR.MATH(Table1[[#This Row],[year]],10)</f>
        <v>2010</v>
      </c>
      <c r="D4205" t="s">
        <v>68</v>
      </c>
      <c r="E4205" t="s">
        <v>361</v>
      </c>
      <c r="F4205">
        <v>0</v>
      </c>
      <c r="G4205">
        <v>0</v>
      </c>
      <c r="H4205" t="s">
        <v>224</v>
      </c>
      <c r="I4205" t="s">
        <v>190</v>
      </c>
      <c r="J4205" t="s">
        <v>68</v>
      </c>
      <c r="K4205" t="b">
        <v>0</v>
      </c>
      <c r="L4205">
        <v>2011</v>
      </c>
      <c r="M4205">
        <v>167775274725</v>
      </c>
      <c r="N4205">
        <v>29914680851</v>
      </c>
      <c r="O4205" t="b">
        <v>1</v>
      </c>
      <c r="P4205">
        <v>0</v>
      </c>
      <c r="Q4205" t="str" cm="1">
        <f t="array" ref="Q4205">_xlfn.IFS(Table1[[#This Row],[Wealthier_Winner]]=-1,"Wealthier Nation Loses",Table1[[#This Row],[Wealthier_Winner]]=0,"Tie",Table1[[#This Row],[Wealthier_Winner]]=1,"Wealthier Nation Wins")</f>
        <v>Tie</v>
      </c>
    </row>
    <row r="4206" spans="1:17" x14ac:dyDescent="0.2">
      <c r="A4206" s="1">
        <v>6320</v>
      </c>
      <c r="B4206" s="2">
        <v>40862</v>
      </c>
      <c r="C4206" s="7">
        <f>_xlfn.FLOOR.MATH(Table1[[#This Row],[year]],10)</f>
        <v>2010</v>
      </c>
      <c r="D4206" t="s">
        <v>514</v>
      </c>
      <c r="E4206" t="s">
        <v>588</v>
      </c>
      <c r="F4206">
        <v>3</v>
      </c>
      <c r="G4206">
        <v>1</v>
      </c>
      <c r="H4206" t="s">
        <v>224</v>
      </c>
      <c r="I4206" t="s">
        <v>515</v>
      </c>
      <c r="J4206" t="s">
        <v>514</v>
      </c>
      <c r="K4206" t="b">
        <v>0</v>
      </c>
      <c r="L4206">
        <v>2011</v>
      </c>
      <c r="M4206">
        <v>6884913658</v>
      </c>
      <c r="N4206">
        <v>2065001626</v>
      </c>
      <c r="O4206" t="b">
        <v>1</v>
      </c>
      <c r="P4206">
        <v>1</v>
      </c>
      <c r="Q4206" t="str" cm="1">
        <f t="array" ref="Q4206">_xlfn.IFS(Table1[[#This Row],[Wealthier_Winner]]=-1,"Wealthier Nation Loses",Table1[[#This Row],[Wealthier_Winner]]=0,"Tie",Table1[[#This Row],[Wealthier_Winner]]=1,"Wealthier Nation Wins")</f>
        <v>Wealthier Nation Wins</v>
      </c>
    </row>
    <row r="4207" spans="1:17" x14ac:dyDescent="0.2">
      <c r="A4207" s="1">
        <v>6321</v>
      </c>
      <c r="B4207" s="2">
        <v>40862</v>
      </c>
      <c r="C4207" s="7">
        <f>_xlfn.FLOOR.MATH(Table1[[#This Row],[year]],10)</f>
        <v>2010</v>
      </c>
      <c r="D4207" t="s">
        <v>45</v>
      </c>
      <c r="E4207" t="s">
        <v>429</v>
      </c>
      <c r="F4207">
        <v>0</v>
      </c>
      <c r="G4207">
        <v>0</v>
      </c>
      <c r="H4207" t="s">
        <v>224</v>
      </c>
      <c r="I4207" t="s">
        <v>356</v>
      </c>
      <c r="J4207" t="s">
        <v>45</v>
      </c>
      <c r="K4207" t="b">
        <v>0</v>
      </c>
      <c r="L4207">
        <v>2011</v>
      </c>
      <c r="M4207">
        <v>680660800000</v>
      </c>
      <c r="N4207">
        <v>77497529258</v>
      </c>
      <c r="O4207" t="b">
        <v>1</v>
      </c>
      <c r="P4207">
        <v>0</v>
      </c>
      <c r="Q4207" t="str" cm="1">
        <f t="array" ref="Q4207">_xlfn.IFS(Table1[[#This Row],[Wealthier_Winner]]=-1,"Wealthier Nation Loses",Table1[[#This Row],[Wealthier_Winner]]=0,"Tie",Table1[[#This Row],[Wealthier_Winner]]=1,"Wealthier Nation Wins")</f>
        <v>Tie</v>
      </c>
    </row>
    <row r="4208" spans="1:17" x14ac:dyDescent="0.2">
      <c r="A4208" s="1">
        <v>6323</v>
      </c>
      <c r="B4208" s="2">
        <v>40862</v>
      </c>
      <c r="C4208" s="7">
        <f>_xlfn.FLOOR.MATH(Table1[[#This Row],[year]],10)</f>
        <v>2010</v>
      </c>
      <c r="D4208" t="s">
        <v>320</v>
      </c>
      <c r="E4208" t="s">
        <v>586</v>
      </c>
      <c r="F4208">
        <v>0</v>
      </c>
      <c r="G4208">
        <v>1</v>
      </c>
      <c r="H4208" t="s">
        <v>224</v>
      </c>
      <c r="I4208" t="s">
        <v>321</v>
      </c>
      <c r="J4208" t="s">
        <v>320</v>
      </c>
      <c r="K4208" t="b">
        <v>0</v>
      </c>
      <c r="L4208">
        <v>2011</v>
      </c>
      <c r="M4208">
        <v>34657140096</v>
      </c>
      <c r="N4208">
        <v>16685349673</v>
      </c>
      <c r="O4208" t="b">
        <v>1</v>
      </c>
      <c r="P4208">
        <v>-1</v>
      </c>
      <c r="Q4208" t="str" cm="1">
        <f t="array" ref="Q4208">_xlfn.IFS(Table1[[#This Row],[Wealthier_Winner]]=-1,"Wealthier Nation Loses",Table1[[#This Row],[Wealthier_Winner]]=0,"Tie",Table1[[#This Row],[Wealthier_Winner]]=1,"Wealthier Nation Wins")</f>
        <v>Wealthier Nation Loses</v>
      </c>
    </row>
    <row r="4209" spans="1:17" x14ac:dyDescent="0.2">
      <c r="A4209" s="1">
        <v>6324</v>
      </c>
      <c r="B4209" s="2">
        <v>40862</v>
      </c>
      <c r="C4209" s="7">
        <f>_xlfn.FLOOR.MATH(Table1[[#This Row],[year]],10)</f>
        <v>2010</v>
      </c>
      <c r="D4209" t="s">
        <v>334</v>
      </c>
      <c r="E4209" t="s">
        <v>28</v>
      </c>
      <c r="F4209">
        <v>0</v>
      </c>
      <c r="G4209">
        <v>1</v>
      </c>
      <c r="H4209" t="s">
        <v>224</v>
      </c>
      <c r="I4209" t="s">
        <v>407</v>
      </c>
      <c r="J4209" t="s">
        <v>334</v>
      </c>
      <c r="K4209" t="b">
        <v>0</v>
      </c>
      <c r="L4209">
        <v>2011</v>
      </c>
      <c r="M4209">
        <v>370818739623</v>
      </c>
      <c r="N4209">
        <v>1402939868653</v>
      </c>
      <c r="O4209" t="b">
        <v>1</v>
      </c>
      <c r="P4209">
        <v>1</v>
      </c>
      <c r="Q4209" t="str" cm="1">
        <f t="array" ref="Q4209">_xlfn.IFS(Table1[[#This Row],[Wealthier_Winner]]=-1,"Wealthier Nation Loses",Table1[[#This Row],[Wealthier_Winner]]=0,"Tie",Table1[[#This Row],[Wealthier_Winner]]=1,"Wealthier Nation Wins")</f>
        <v>Wealthier Nation Wins</v>
      </c>
    </row>
    <row r="4210" spans="1:17" x14ac:dyDescent="0.2">
      <c r="A4210" s="1">
        <v>6325</v>
      </c>
      <c r="B4210" s="2">
        <v>40862</v>
      </c>
      <c r="C4210" s="7">
        <f>_xlfn.FLOOR.MATH(Table1[[#This Row],[year]],10)</f>
        <v>2010</v>
      </c>
      <c r="D4210" t="s">
        <v>62</v>
      </c>
      <c r="E4210" t="s">
        <v>508</v>
      </c>
      <c r="F4210">
        <v>1</v>
      </c>
      <c r="G4210">
        <v>0</v>
      </c>
      <c r="H4210" t="s">
        <v>224</v>
      </c>
      <c r="I4210" t="s">
        <v>353</v>
      </c>
      <c r="J4210" t="s">
        <v>62</v>
      </c>
      <c r="K4210" t="b">
        <v>0</v>
      </c>
      <c r="L4210">
        <v>2011</v>
      </c>
      <c r="M4210">
        <v>5422439152</v>
      </c>
      <c r="N4210">
        <v>1157074319</v>
      </c>
      <c r="O4210" t="b">
        <v>1</v>
      </c>
      <c r="P4210">
        <v>1</v>
      </c>
      <c r="Q4210" t="str" cm="1">
        <f t="array" ref="Q4210">_xlfn.IFS(Table1[[#This Row],[Wealthier_Winner]]=-1,"Wealthier Nation Loses",Table1[[#This Row],[Wealthier_Winner]]=0,"Tie",Table1[[#This Row],[Wealthier_Winner]]=1,"Wealthier Nation Wins")</f>
        <v>Wealthier Nation Wins</v>
      </c>
    </row>
    <row r="4211" spans="1:17" x14ac:dyDescent="0.2">
      <c r="A4211" s="1">
        <v>6326</v>
      </c>
      <c r="B4211" s="2">
        <v>40862</v>
      </c>
      <c r="C4211" s="7">
        <f>_xlfn.FLOOR.MATH(Table1[[#This Row],[year]],10)</f>
        <v>2010</v>
      </c>
      <c r="D4211" t="s">
        <v>59</v>
      </c>
      <c r="E4211" t="s">
        <v>445</v>
      </c>
      <c r="F4211">
        <v>2</v>
      </c>
      <c r="G4211">
        <v>0</v>
      </c>
      <c r="H4211" t="s">
        <v>224</v>
      </c>
      <c r="I4211" t="s">
        <v>253</v>
      </c>
      <c r="J4211" t="s">
        <v>59</v>
      </c>
      <c r="K4211" t="b">
        <v>0</v>
      </c>
      <c r="L4211">
        <v>2011</v>
      </c>
      <c r="M4211">
        <v>25433007437</v>
      </c>
      <c r="N4211">
        <v>3691384317</v>
      </c>
      <c r="O4211" t="b">
        <v>1</v>
      </c>
      <c r="P4211">
        <v>1</v>
      </c>
      <c r="Q4211" t="str" cm="1">
        <f t="array" ref="Q4211">_xlfn.IFS(Table1[[#This Row],[Wealthier_Winner]]=-1,"Wealthier Nation Loses",Table1[[#This Row],[Wealthier_Winner]]=0,"Tie",Table1[[#This Row],[Wealthier_Winner]]=1,"Wealthier Nation Wins")</f>
        <v>Wealthier Nation Wins</v>
      </c>
    </row>
    <row r="4212" spans="1:17" x14ac:dyDescent="0.2">
      <c r="A4212" s="1">
        <v>6327</v>
      </c>
      <c r="B4212" s="2">
        <v>40862</v>
      </c>
      <c r="C4212" s="7">
        <f>_xlfn.FLOOR.MATH(Table1[[#This Row],[year]],10)</f>
        <v>2010</v>
      </c>
      <c r="D4212" t="s">
        <v>563</v>
      </c>
      <c r="E4212" t="s">
        <v>556</v>
      </c>
      <c r="F4212">
        <v>3</v>
      </c>
      <c r="G4212">
        <v>0</v>
      </c>
      <c r="H4212" t="s">
        <v>224</v>
      </c>
      <c r="I4212" t="s">
        <v>564</v>
      </c>
      <c r="J4212" t="s">
        <v>563</v>
      </c>
      <c r="K4212" t="b">
        <v>0</v>
      </c>
      <c r="L4212">
        <v>2011</v>
      </c>
      <c r="M4212">
        <v>60178909297</v>
      </c>
      <c r="N4212">
        <v>6522756255</v>
      </c>
      <c r="O4212" t="b">
        <v>1</v>
      </c>
      <c r="P4212">
        <v>1</v>
      </c>
      <c r="Q4212" t="str" cm="1">
        <f t="array" ref="Q4212">_xlfn.IFS(Table1[[#This Row],[Wealthier_Winner]]=-1,"Wealthier Nation Loses",Table1[[#This Row],[Wealthier_Winner]]=0,"Tie",Table1[[#This Row],[Wealthier_Winner]]=1,"Wealthier Nation Wins")</f>
        <v>Wealthier Nation Wins</v>
      </c>
    </row>
    <row r="4213" spans="1:17" x14ac:dyDescent="0.2">
      <c r="A4213" s="1">
        <v>6328</v>
      </c>
      <c r="B4213" s="2">
        <v>40862</v>
      </c>
      <c r="C4213" s="7">
        <f>_xlfn.FLOOR.MATH(Table1[[#This Row],[year]],10)</f>
        <v>2010</v>
      </c>
      <c r="D4213" t="s">
        <v>258</v>
      </c>
      <c r="E4213" t="s">
        <v>47</v>
      </c>
      <c r="F4213">
        <v>1</v>
      </c>
      <c r="G4213">
        <v>0</v>
      </c>
      <c r="H4213" t="s">
        <v>224</v>
      </c>
      <c r="I4213" t="s">
        <v>416</v>
      </c>
      <c r="J4213" t="s">
        <v>258</v>
      </c>
      <c r="K4213" t="b">
        <v>0</v>
      </c>
      <c r="L4213">
        <v>2011</v>
      </c>
      <c r="M4213">
        <v>316482190800</v>
      </c>
      <c r="N4213">
        <v>23963164696</v>
      </c>
      <c r="O4213" t="b">
        <v>1</v>
      </c>
      <c r="P4213">
        <v>1</v>
      </c>
      <c r="Q4213" t="str" cm="1">
        <f t="array" ref="Q4213">_xlfn.IFS(Table1[[#This Row],[Wealthier_Winner]]=-1,"Wealthier Nation Loses",Table1[[#This Row],[Wealthier_Winner]]=0,"Tie",Table1[[#This Row],[Wealthier_Winner]]=1,"Wealthier Nation Wins")</f>
        <v>Wealthier Nation Wins</v>
      </c>
    </row>
    <row r="4214" spans="1:17" x14ac:dyDescent="0.2">
      <c r="A4214" s="1">
        <v>6331</v>
      </c>
      <c r="B4214" s="2">
        <v>40869</v>
      </c>
      <c r="C4214" s="7">
        <f>_xlfn.FLOOR.MATH(Table1[[#This Row],[year]],10)</f>
        <v>2010</v>
      </c>
      <c r="D4214" t="s">
        <v>655</v>
      </c>
      <c r="E4214" t="s">
        <v>541</v>
      </c>
      <c r="F4214">
        <v>2</v>
      </c>
      <c r="G4214">
        <v>1</v>
      </c>
      <c r="H4214" t="s">
        <v>224</v>
      </c>
      <c r="I4214" t="s">
        <v>654</v>
      </c>
      <c r="J4214" t="s">
        <v>542</v>
      </c>
      <c r="K4214" t="b">
        <v>1</v>
      </c>
      <c r="L4214">
        <v>2011</v>
      </c>
      <c r="M4214">
        <v>570000000</v>
      </c>
      <c r="N4214">
        <v>414143828</v>
      </c>
      <c r="O4214" t="b">
        <v>0</v>
      </c>
      <c r="P4214">
        <v>1</v>
      </c>
      <c r="Q4214" t="str" cm="1">
        <f t="array" ref="Q4214">_xlfn.IFS(Table1[[#This Row],[Wealthier_Winner]]=-1,"Wealthier Nation Loses",Table1[[#This Row],[Wealthier_Winner]]=0,"Tie",Table1[[#This Row],[Wealthier_Winner]]=1,"Wealthier Nation Wins")</f>
        <v>Wealthier Nation Wins</v>
      </c>
    </row>
    <row r="4215" spans="1:17" x14ac:dyDescent="0.2">
      <c r="A4215" s="1">
        <v>6334</v>
      </c>
      <c r="B4215" s="2">
        <v>40871</v>
      </c>
      <c r="C4215" s="7">
        <f>_xlfn.FLOOR.MATH(Table1[[#This Row],[year]],10)</f>
        <v>2010</v>
      </c>
      <c r="D4215" t="s">
        <v>542</v>
      </c>
      <c r="E4215" t="s">
        <v>541</v>
      </c>
      <c r="F4215">
        <v>1</v>
      </c>
      <c r="G4215">
        <v>1</v>
      </c>
      <c r="H4215" t="s">
        <v>224</v>
      </c>
      <c r="I4215" t="s">
        <v>654</v>
      </c>
      <c r="J4215" t="s">
        <v>542</v>
      </c>
      <c r="K4215" t="b">
        <v>0</v>
      </c>
      <c r="L4215">
        <v>2011</v>
      </c>
      <c r="M4215">
        <v>744097050</v>
      </c>
      <c r="N4215">
        <v>414143828</v>
      </c>
      <c r="O4215" t="b">
        <v>0</v>
      </c>
      <c r="P4215">
        <v>0</v>
      </c>
      <c r="Q4215" t="str" cm="1">
        <f t="array" ref="Q4215">_xlfn.IFS(Table1[[#This Row],[Wealthier_Winner]]=-1,"Wealthier Nation Loses",Table1[[#This Row],[Wealthier_Winner]]=0,"Tie",Table1[[#This Row],[Wealthier_Winner]]=1,"Wealthier Nation Wins")</f>
        <v>Tie</v>
      </c>
    </row>
    <row r="4216" spans="1:17" x14ac:dyDescent="0.2">
      <c r="A4216" s="1">
        <v>6335</v>
      </c>
      <c r="B4216" s="2">
        <v>40873</v>
      </c>
      <c r="C4216" s="7">
        <f>_xlfn.FLOOR.MATH(Table1[[#This Row],[year]],10)</f>
        <v>2010</v>
      </c>
      <c r="D4216" t="s">
        <v>542</v>
      </c>
      <c r="E4216" t="s">
        <v>655</v>
      </c>
      <c r="F4216">
        <v>1</v>
      </c>
      <c r="G4216">
        <v>0</v>
      </c>
      <c r="H4216" t="s">
        <v>224</v>
      </c>
      <c r="I4216" t="s">
        <v>654</v>
      </c>
      <c r="J4216" t="s">
        <v>542</v>
      </c>
      <c r="K4216" t="b">
        <v>0</v>
      </c>
      <c r="L4216">
        <v>2011</v>
      </c>
      <c r="M4216">
        <v>744097050</v>
      </c>
      <c r="N4216">
        <v>570000000</v>
      </c>
      <c r="O4216" t="b">
        <v>0</v>
      </c>
      <c r="P4216">
        <v>1</v>
      </c>
      <c r="Q4216" t="str" cm="1">
        <f t="array" ref="Q4216">_xlfn.IFS(Table1[[#This Row],[Wealthier_Winner]]=-1,"Wealthier Nation Loses",Table1[[#This Row],[Wealthier_Winner]]=0,"Tie",Table1[[#This Row],[Wealthier_Winner]]=1,"Wealthier Nation Wins")</f>
        <v>Wealthier Nation Wins</v>
      </c>
    </row>
    <row r="4217" spans="1:17" x14ac:dyDescent="0.2">
      <c r="A4217" s="1">
        <v>6337</v>
      </c>
      <c r="B4217" s="2">
        <v>40968</v>
      </c>
      <c r="C4217" s="7">
        <f>_xlfn.FLOOR.MATH(Table1[[#This Row],[year]],10)</f>
        <v>2010</v>
      </c>
      <c r="D4217" t="s">
        <v>28</v>
      </c>
      <c r="E4217" t="s">
        <v>45</v>
      </c>
      <c r="F4217">
        <v>4</v>
      </c>
      <c r="G4217">
        <v>2</v>
      </c>
      <c r="H4217" t="s">
        <v>224</v>
      </c>
      <c r="I4217" t="s">
        <v>329</v>
      </c>
      <c r="J4217" t="s">
        <v>28</v>
      </c>
      <c r="K4217" t="b">
        <v>0</v>
      </c>
      <c r="L4217">
        <v>2012</v>
      </c>
      <c r="M4217">
        <v>1552728401401</v>
      </c>
      <c r="N4217">
        <v>751921333333</v>
      </c>
      <c r="O4217" t="b">
        <v>1</v>
      </c>
      <c r="P4217">
        <v>1</v>
      </c>
      <c r="Q4217" t="str" cm="1">
        <f t="array" ref="Q4217">_xlfn.IFS(Table1[[#This Row],[Wealthier_Winner]]=-1,"Wealthier Nation Loses",Table1[[#This Row],[Wealthier_Winner]]=0,"Tie",Table1[[#This Row],[Wealthier_Winner]]=1,"Wealthier Nation Wins")</f>
        <v>Wealthier Nation Wins</v>
      </c>
    </row>
    <row r="4218" spans="1:17" x14ac:dyDescent="0.2">
      <c r="A4218" s="1">
        <v>6338</v>
      </c>
      <c r="B4218" s="2">
        <v>40968</v>
      </c>
      <c r="C4218" s="7">
        <f>_xlfn.FLOOR.MATH(Table1[[#This Row],[year]],10)</f>
        <v>2010</v>
      </c>
      <c r="D4218" t="s">
        <v>361</v>
      </c>
      <c r="E4218" t="s">
        <v>328</v>
      </c>
      <c r="F4218">
        <v>10</v>
      </c>
      <c r="G4218">
        <v>0</v>
      </c>
      <c r="H4218" t="s">
        <v>224</v>
      </c>
      <c r="I4218" t="s">
        <v>419</v>
      </c>
      <c r="J4218" t="s">
        <v>361</v>
      </c>
      <c r="K4218" t="b">
        <v>0</v>
      </c>
      <c r="L4218">
        <v>2012</v>
      </c>
      <c r="M4218">
        <v>31963404255</v>
      </c>
      <c r="N4218">
        <v>917869913332</v>
      </c>
      <c r="O4218" t="b">
        <v>1</v>
      </c>
      <c r="P4218">
        <v>-1</v>
      </c>
      <c r="Q4218" t="str" cm="1">
        <f t="array" ref="Q4218">_xlfn.IFS(Table1[[#This Row],[Wealthier_Winner]]=-1,"Wealthier Nation Loses",Table1[[#This Row],[Wealthier_Winner]]=0,"Tie",Table1[[#This Row],[Wealthier_Winner]]=1,"Wealthier Nation Wins")</f>
        <v>Wealthier Nation Loses</v>
      </c>
    </row>
    <row r="4219" spans="1:17" x14ac:dyDescent="0.2">
      <c r="A4219" s="1">
        <v>6340</v>
      </c>
      <c r="B4219" s="2">
        <v>40968</v>
      </c>
      <c r="C4219" s="7">
        <f>_xlfn.FLOOR.MATH(Table1[[#This Row],[year]],10)</f>
        <v>2010</v>
      </c>
      <c r="D4219" t="s">
        <v>210</v>
      </c>
      <c r="E4219" t="s">
        <v>68</v>
      </c>
      <c r="F4219">
        <v>2</v>
      </c>
      <c r="G4219">
        <v>2</v>
      </c>
      <c r="H4219" t="s">
        <v>224</v>
      </c>
      <c r="I4219" t="s">
        <v>332</v>
      </c>
      <c r="J4219" t="s">
        <v>210</v>
      </c>
      <c r="K4219" t="b">
        <v>0</v>
      </c>
      <c r="L4219">
        <v>2012</v>
      </c>
      <c r="M4219">
        <v>644019315003</v>
      </c>
      <c r="N4219">
        <v>186833516483</v>
      </c>
      <c r="O4219" t="b">
        <v>1</v>
      </c>
      <c r="P4219">
        <v>0</v>
      </c>
      <c r="Q4219" t="str" cm="1">
        <f t="array" ref="Q4219">_xlfn.IFS(Table1[[#This Row],[Wealthier_Winner]]=-1,"Wealthier Nation Loses",Table1[[#This Row],[Wealthier_Winner]]=0,"Tie",Table1[[#This Row],[Wealthier_Winner]]=1,"Wealthier Nation Wins")</f>
        <v>Tie</v>
      </c>
    </row>
    <row r="4220" spans="1:17" x14ac:dyDescent="0.2">
      <c r="A4220" s="1">
        <v>6341</v>
      </c>
      <c r="B4220" s="2">
        <v>40968</v>
      </c>
      <c r="C4220" s="7">
        <f>_xlfn.FLOOR.MATH(Table1[[#This Row],[year]],10)</f>
        <v>2010</v>
      </c>
      <c r="D4220" t="s">
        <v>37</v>
      </c>
      <c r="E4220" t="s">
        <v>359</v>
      </c>
      <c r="F4220">
        <v>7</v>
      </c>
      <c r="G4220">
        <v>1</v>
      </c>
      <c r="H4220" t="s">
        <v>224</v>
      </c>
      <c r="I4220" t="s">
        <v>190</v>
      </c>
      <c r="J4220" t="s">
        <v>68</v>
      </c>
      <c r="K4220" t="b">
        <v>1</v>
      </c>
      <c r="L4220">
        <v>2012</v>
      </c>
      <c r="M4220">
        <v>218002476129</v>
      </c>
      <c r="N4220">
        <v>295092888076</v>
      </c>
      <c r="O4220" t="b">
        <v>0</v>
      </c>
      <c r="P4220">
        <v>-1</v>
      </c>
      <c r="Q4220" t="str" cm="1">
        <f t="array" ref="Q4220">_xlfn.IFS(Table1[[#This Row],[Wealthier_Winner]]=-1,"Wealthier Nation Loses",Table1[[#This Row],[Wealthier_Winner]]=0,"Tie",Table1[[#This Row],[Wealthier_Winner]]=1,"Wealthier Nation Wins")</f>
        <v>Wealthier Nation Loses</v>
      </c>
    </row>
    <row r="4221" spans="1:17" x14ac:dyDescent="0.2">
      <c r="A4221" s="1">
        <v>6342</v>
      </c>
      <c r="B4221" s="2">
        <v>40968</v>
      </c>
      <c r="C4221" s="7">
        <f>_xlfn.FLOOR.MATH(Table1[[#This Row],[year]],10)</f>
        <v>2010</v>
      </c>
      <c r="D4221" t="s">
        <v>51</v>
      </c>
      <c r="E4221" t="s">
        <v>563</v>
      </c>
      <c r="F4221">
        <v>0</v>
      </c>
      <c r="G4221">
        <v>1</v>
      </c>
      <c r="H4221" t="s">
        <v>224</v>
      </c>
      <c r="I4221" t="s">
        <v>749</v>
      </c>
      <c r="J4221" t="s">
        <v>51</v>
      </c>
      <c r="K4221" t="b">
        <v>0</v>
      </c>
      <c r="L4221">
        <v>2012</v>
      </c>
      <c r="M4221">
        <v>6272362996105</v>
      </c>
      <c r="N4221">
        <v>67517349212</v>
      </c>
      <c r="O4221" t="b">
        <v>1</v>
      </c>
      <c r="P4221">
        <v>-1</v>
      </c>
      <c r="Q4221" t="str" cm="1">
        <f t="array" ref="Q4221">_xlfn.IFS(Table1[[#This Row],[Wealthier_Winner]]=-1,"Wealthier Nation Loses",Table1[[#This Row],[Wealthier_Winner]]=0,"Tie",Table1[[#This Row],[Wealthier_Winner]]=1,"Wealthier Nation Wins")</f>
        <v>Wealthier Nation Loses</v>
      </c>
    </row>
    <row r="4222" spans="1:17" x14ac:dyDescent="0.2">
      <c r="A4222" s="1">
        <v>6343</v>
      </c>
      <c r="B4222" s="2">
        <v>40968</v>
      </c>
      <c r="C4222" s="7">
        <f>_xlfn.FLOOR.MATH(Table1[[#This Row],[year]],10)</f>
        <v>2010</v>
      </c>
      <c r="D4222" t="s">
        <v>195</v>
      </c>
      <c r="E4222" t="s">
        <v>71</v>
      </c>
      <c r="F4222">
        <v>2</v>
      </c>
      <c r="G4222">
        <v>0</v>
      </c>
      <c r="H4222" t="s">
        <v>224</v>
      </c>
      <c r="I4222" t="s">
        <v>136</v>
      </c>
      <c r="J4222" t="s">
        <v>195</v>
      </c>
      <c r="K4222" t="b">
        <v>0</v>
      </c>
      <c r="L4222">
        <v>2012</v>
      </c>
      <c r="M4222">
        <v>1335343586437</v>
      </c>
      <c r="N4222">
        <v>174047662680</v>
      </c>
      <c r="O4222" t="b">
        <v>1</v>
      </c>
      <c r="P4222">
        <v>1</v>
      </c>
      <c r="Q4222" t="str" cm="1">
        <f t="array" ref="Q4222">_xlfn.IFS(Table1[[#This Row],[Wealthier_Winner]]=-1,"Wealthier Nation Loses",Table1[[#This Row],[Wealthier_Winner]]=0,"Tie",Table1[[#This Row],[Wealthier_Winner]]=1,"Wealthier Nation Wins")</f>
        <v>Wealthier Nation Wins</v>
      </c>
    </row>
    <row r="4223" spans="1:17" x14ac:dyDescent="0.2">
      <c r="A4223" s="1">
        <v>6344</v>
      </c>
      <c r="B4223" s="2">
        <v>40968</v>
      </c>
      <c r="C4223" s="7">
        <f>_xlfn.FLOOR.MATH(Table1[[#This Row],[year]],10)</f>
        <v>2010</v>
      </c>
      <c r="D4223" t="s">
        <v>429</v>
      </c>
      <c r="E4223" t="s">
        <v>334</v>
      </c>
      <c r="F4223">
        <v>2</v>
      </c>
      <c r="G4223">
        <v>0</v>
      </c>
      <c r="H4223" t="s">
        <v>224</v>
      </c>
      <c r="I4223" t="s">
        <v>430</v>
      </c>
      <c r="J4223" t="s">
        <v>429</v>
      </c>
      <c r="K4223" t="b">
        <v>0</v>
      </c>
      <c r="L4223">
        <v>2012</v>
      </c>
      <c r="M4223">
        <v>87408842652</v>
      </c>
      <c r="N4223">
        <v>397558325278</v>
      </c>
      <c r="O4223" t="b">
        <v>1</v>
      </c>
      <c r="P4223">
        <v>-1</v>
      </c>
      <c r="Q4223" t="str" cm="1">
        <f t="array" ref="Q4223">_xlfn.IFS(Table1[[#This Row],[Wealthier_Winner]]=-1,"Wealthier Nation Loses",Table1[[#This Row],[Wealthier_Winner]]=0,"Tie",Table1[[#This Row],[Wealthier_Winner]]=1,"Wealthier Nation Wins")</f>
        <v>Wealthier Nation Loses</v>
      </c>
    </row>
    <row r="4224" spans="1:17" x14ac:dyDescent="0.2">
      <c r="A4224" s="1">
        <v>6346</v>
      </c>
      <c r="B4224" s="2">
        <v>40968</v>
      </c>
      <c r="C4224" s="7">
        <f>_xlfn.FLOOR.MATH(Table1[[#This Row],[year]],10)</f>
        <v>2010</v>
      </c>
      <c r="D4224" t="s">
        <v>39</v>
      </c>
      <c r="E4224" t="s">
        <v>479</v>
      </c>
      <c r="F4224">
        <v>4</v>
      </c>
      <c r="G4224">
        <v>2</v>
      </c>
      <c r="H4224" t="s">
        <v>224</v>
      </c>
      <c r="I4224" t="s">
        <v>576</v>
      </c>
      <c r="J4224" t="s">
        <v>39</v>
      </c>
      <c r="K4224" t="b">
        <v>0</v>
      </c>
      <c r="L4224">
        <v>2012</v>
      </c>
      <c r="M4224">
        <v>392793464942</v>
      </c>
      <c r="N4224">
        <v>44016799515</v>
      </c>
      <c r="O4224" t="b">
        <v>1</v>
      </c>
      <c r="P4224">
        <v>1</v>
      </c>
      <c r="Q4224" t="str" cm="1">
        <f t="array" ref="Q4224">_xlfn.IFS(Table1[[#This Row],[Wealthier_Winner]]=-1,"Wealthier Nation Loses",Table1[[#This Row],[Wealthier_Winner]]=0,"Tie",Table1[[#This Row],[Wealthier_Winner]]=1,"Wealthier Nation Wins")</f>
        <v>Wealthier Nation Wins</v>
      </c>
    </row>
    <row r="4225" spans="1:17" x14ac:dyDescent="0.2">
      <c r="A4225" s="1">
        <v>6347</v>
      </c>
      <c r="B4225" s="2">
        <v>41061</v>
      </c>
      <c r="C4225" s="7">
        <f>_xlfn.FLOOR.MATH(Table1[[#This Row],[year]],10)</f>
        <v>2010</v>
      </c>
      <c r="D4225" t="s">
        <v>212</v>
      </c>
      <c r="E4225" t="s">
        <v>300</v>
      </c>
      <c r="F4225">
        <v>2</v>
      </c>
      <c r="G4225">
        <v>0</v>
      </c>
      <c r="H4225" t="s">
        <v>224</v>
      </c>
      <c r="I4225" t="s">
        <v>594</v>
      </c>
      <c r="J4225" t="s">
        <v>212</v>
      </c>
      <c r="K4225" t="b">
        <v>0</v>
      </c>
      <c r="L4225">
        <v>2012</v>
      </c>
      <c r="M4225">
        <v>279116666666</v>
      </c>
      <c r="N4225">
        <v>16688114144</v>
      </c>
      <c r="O4225" t="b">
        <v>1</v>
      </c>
      <c r="P4225">
        <v>1</v>
      </c>
      <c r="Q4225" t="str" cm="1">
        <f t="array" ref="Q4225">_xlfn.IFS(Table1[[#This Row],[Wealthier_Winner]]=-1,"Wealthier Nation Loses",Table1[[#This Row],[Wealthier_Winner]]=0,"Tie",Table1[[#This Row],[Wealthier_Winner]]=1,"Wealthier Nation Wins")</f>
        <v>Wealthier Nation Wins</v>
      </c>
    </row>
    <row r="4226" spans="1:17" x14ac:dyDescent="0.2">
      <c r="A4226" s="1">
        <v>6348</v>
      </c>
      <c r="B4226" s="2">
        <v>41061</v>
      </c>
      <c r="C4226" s="7">
        <f>_xlfn.FLOOR.MATH(Table1[[#This Row],[year]],10)</f>
        <v>2010</v>
      </c>
      <c r="D4226" t="s">
        <v>63</v>
      </c>
      <c r="E4226" t="s">
        <v>307</v>
      </c>
      <c r="F4226">
        <v>7</v>
      </c>
      <c r="G4226">
        <v>0</v>
      </c>
      <c r="H4226" t="s">
        <v>224</v>
      </c>
      <c r="I4226" t="s">
        <v>313</v>
      </c>
      <c r="J4226" t="s">
        <v>63</v>
      </c>
      <c r="K4226" t="b">
        <v>0</v>
      </c>
      <c r="L4226">
        <v>2012</v>
      </c>
      <c r="M4226">
        <v>41271701060</v>
      </c>
      <c r="N4226">
        <v>2477702216</v>
      </c>
      <c r="O4226" t="b">
        <v>1</v>
      </c>
      <c r="P4226">
        <v>1</v>
      </c>
      <c r="Q4226" t="str" cm="1">
        <f t="array" ref="Q4226">_xlfn.IFS(Table1[[#This Row],[Wealthier_Winner]]=-1,"Wealthier Nation Loses",Table1[[#This Row],[Wealthier_Winner]]=0,"Tie",Table1[[#This Row],[Wealthier_Winner]]=1,"Wealthier Nation Wins")</f>
        <v>Wealthier Nation Wins</v>
      </c>
    </row>
    <row r="4227" spans="1:17" x14ac:dyDescent="0.2">
      <c r="A4227" s="1">
        <v>6349</v>
      </c>
      <c r="B4227" s="2">
        <v>41062</v>
      </c>
      <c r="C4227" s="7">
        <f>_xlfn.FLOOR.MATH(Table1[[#This Row],[year]],10)</f>
        <v>2010</v>
      </c>
      <c r="D4227" t="s">
        <v>32</v>
      </c>
      <c r="E4227" t="s">
        <v>514</v>
      </c>
      <c r="F4227">
        <v>4</v>
      </c>
      <c r="G4227">
        <v>0</v>
      </c>
      <c r="H4227" t="s">
        <v>224</v>
      </c>
      <c r="I4227" t="s">
        <v>697</v>
      </c>
      <c r="J4227" t="s">
        <v>32</v>
      </c>
      <c r="K4227" t="b">
        <v>0</v>
      </c>
      <c r="L4227">
        <v>2012</v>
      </c>
      <c r="M4227">
        <v>227143746075</v>
      </c>
      <c r="N4227">
        <v>7654761050</v>
      </c>
      <c r="O4227" t="b">
        <v>1</v>
      </c>
      <c r="P4227">
        <v>1</v>
      </c>
      <c r="Q4227" t="str" cm="1">
        <f t="array" ref="Q4227">_xlfn.IFS(Table1[[#This Row],[Wealthier_Winner]]=-1,"Wealthier Nation Loses",Table1[[#This Row],[Wealthier_Winner]]=0,"Tie",Table1[[#This Row],[Wealthier_Winner]]=1,"Wealthier Nation Wins")</f>
        <v>Wealthier Nation Wins</v>
      </c>
    </row>
    <row r="4228" spans="1:17" x14ac:dyDescent="0.2">
      <c r="A4228" s="1">
        <v>6350</v>
      </c>
      <c r="B4228" s="2">
        <v>41062</v>
      </c>
      <c r="C4228" s="7">
        <f>_xlfn.FLOOR.MATH(Table1[[#This Row],[year]],10)</f>
        <v>2010</v>
      </c>
      <c r="D4228" t="s">
        <v>19</v>
      </c>
      <c r="E4228" t="s">
        <v>57</v>
      </c>
      <c r="F4228">
        <v>4</v>
      </c>
      <c r="G4228">
        <v>0</v>
      </c>
      <c r="H4228" t="s">
        <v>224</v>
      </c>
      <c r="I4228" t="s">
        <v>93</v>
      </c>
      <c r="J4228" t="s">
        <v>19</v>
      </c>
      <c r="K4228" t="b">
        <v>0</v>
      </c>
      <c r="L4228">
        <v>2012</v>
      </c>
      <c r="M4228">
        <v>545982375701</v>
      </c>
      <c r="N4228">
        <v>87735048000</v>
      </c>
      <c r="O4228" t="b">
        <v>1</v>
      </c>
      <c r="P4228">
        <v>1</v>
      </c>
      <c r="Q4228" t="str" cm="1">
        <f t="array" ref="Q4228">_xlfn.IFS(Table1[[#This Row],[Wealthier_Winner]]=-1,"Wealthier Nation Loses",Table1[[#This Row],[Wealthier_Winner]]=0,"Tie",Table1[[#This Row],[Wealthier_Winner]]=1,"Wealthier Nation Wins")</f>
        <v>Wealthier Nation Wins</v>
      </c>
    </row>
    <row r="4229" spans="1:17" x14ac:dyDescent="0.2">
      <c r="A4229" s="1">
        <v>6351</v>
      </c>
      <c r="B4229" s="2">
        <v>41062</v>
      </c>
      <c r="C4229" s="7">
        <f>_xlfn.FLOOR.MATH(Table1[[#This Row],[year]],10)</f>
        <v>2010</v>
      </c>
      <c r="D4229" t="s">
        <v>47</v>
      </c>
      <c r="E4229" t="s">
        <v>14</v>
      </c>
      <c r="F4229">
        <v>0</v>
      </c>
      <c r="G4229">
        <v>2</v>
      </c>
      <c r="H4229" t="s">
        <v>224</v>
      </c>
      <c r="I4229" t="s">
        <v>246</v>
      </c>
      <c r="J4229" t="s">
        <v>47</v>
      </c>
      <c r="K4229" t="b">
        <v>0</v>
      </c>
      <c r="L4229">
        <v>2012</v>
      </c>
      <c r="M4229">
        <v>27084497481</v>
      </c>
      <c r="N4229">
        <v>267024782486</v>
      </c>
      <c r="O4229" t="b">
        <v>1</v>
      </c>
      <c r="P4229">
        <v>1</v>
      </c>
      <c r="Q4229" t="str" cm="1">
        <f t="array" ref="Q4229">_xlfn.IFS(Table1[[#This Row],[Wealthier_Winner]]=-1,"Wealthier Nation Loses",Table1[[#This Row],[Wealthier_Winner]]=0,"Tie",Table1[[#This Row],[Wealthier_Winner]]=1,"Wealthier Nation Wins")</f>
        <v>Wealthier Nation Wins</v>
      </c>
    </row>
    <row r="4230" spans="1:17" x14ac:dyDescent="0.2">
      <c r="A4230" s="1">
        <v>6354</v>
      </c>
      <c r="B4230" s="2">
        <v>41062</v>
      </c>
      <c r="C4230" s="7">
        <f>_xlfn.FLOOR.MATH(Table1[[#This Row],[year]],10)</f>
        <v>2010</v>
      </c>
      <c r="D4230" t="s">
        <v>581</v>
      </c>
      <c r="E4230" t="s">
        <v>469</v>
      </c>
      <c r="F4230">
        <v>2</v>
      </c>
      <c r="G4230">
        <v>0</v>
      </c>
      <c r="H4230" t="s">
        <v>224</v>
      </c>
      <c r="I4230" t="s">
        <v>582</v>
      </c>
      <c r="J4230" t="s">
        <v>581</v>
      </c>
      <c r="K4230" t="b">
        <v>0</v>
      </c>
      <c r="L4230">
        <v>2012</v>
      </c>
      <c r="M4230">
        <v>2510126512</v>
      </c>
      <c r="N4230">
        <v>13907464500</v>
      </c>
      <c r="O4230" t="b">
        <v>1</v>
      </c>
      <c r="P4230">
        <v>-1</v>
      </c>
      <c r="Q4230" t="str" cm="1">
        <f t="array" ref="Q4230">_xlfn.IFS(Table1[[#This Row],[Wealthier_Winner]]=-1,"Wealthier Nation Loses",Table1[[#This Row],[Wealthier_Winner]]=0,"Tie",Table1[[#This Row],[Wealthier_Winner]]=1,"Wealthier Nation Wins")</f>
        <v>Wealthier Nation Loses</v>
      </c>
    </row>
    <row r="4231" spans="1:17" x14ac:dyDescent="0.2">
      <c r="A4231" s="1">
        <v>6357</v>
      </c>
      <c r="B4231" s="2">
        <v>41062</v>
      </c>
      <c r="C4231" s="7">
        <f>_xlfn.FLOOR.MATH(Table1[[#This Row],[year]],10)</f>
        <v>2010</v>
      </c>
      <c r="D4231" t="s">
        <v>314</v>
      </c>
      <c r="E4231" t="s">
        <v>370</v>
      </c>
      <c r="F4231">
        <v>0</v>
      </c>
      <c r="G4231">
        <v>0</v>
      </c>
      <c r="H4231" t="s">
        <v>224</v>
      </c>
      <c r="I4231" t="s">
        <v>315</v>
      </c>
      <c r="J4231" t="s">
        <v>314</v>
      </c>
      <c r="K4231" t="b">
        <v>0</v>
      </c>
      <c r="L4231">
        <v>2012</v>
      </c>
      <c r="M4231">
        <v>56396704671</v>
      </c>
      <c r="N4231">
        <v>8773203178</v>
      </c>
      <c r="O4231" t="b">
        <v>1</v>
      </c>
      <c r="P4231">
        <v>0</v>
      </c>
      <c r="Q4231" t="str" cm="1">
        <f t="array" ref="Q4231">_xlfn.IFS(Table1[[#This Row],[Wealthier_Winner]]=-1,"Wealthier Nation Loses",Table1[[#This Row],[Wealthier_Winner]]=0,"Tie",Table1[[#This Row],[Wealthier_Winner]]=1,"Wealthier Nation Wins")</f>
        <v>Tie</v>
      </c>
    </row>
    <row r="4232" spans="1:17" x14ac:dyDescent="0.2">
      <c r="A4232" s="1">
        <v>6358</v>
      </c>
      <c r="B4232" s="2">
        <v>41062</v>
      </c>
      <c r="C4232" s="7">
        <f>_xlfn.FLOOR.MATH(Table1[[#This Row],[year]],10)</f>
        <v>2010</v>
      </c>
      <c r="D4232" t="s">
        <v>54</v>
      </c>
      <c r="E4232" t="s">
        <v>378</v>
      </c>
      <c r="F4232">
        <v>3</v>
      </c>
      <c r="G4232">
        <v>1</v>
      </c>
      <c r="H4232" t="s">
        <v>224</v>
      </c>
      <c r="I4232" t="s">
        <v>285</v>
      </c>
      <c r="J4232" t="s">
        <v>54</v>
      </c>
      <c r="K4232" t="b">
        <v>0</v>
      </c>
      <c r="L4232">
        <v>2012</v>
      </c>
      <c r="M4232">
        <v>17660870411</v>
      </c>
      <c r="N4232">
        <v>2791614000</v>
      </c>
      <c r="O4232" t="b">
        <v>1</v>
      </c>
      <c r="P4232">
        <v>1</v>
      </c>
      <c r="Q4232" t="str" cm="1">
        <f t="array" ref="Q4232">_xlfn.IFS(Table1[[#This Row],[Wealthier_Winner]]=-1,"Wealthier Nation Loses",Table1[[#This Row],[Wealthier_Winner]]=0,"Tie",Table1[[#This Row],[Wealthier_Winner]]=1,"Wealthier Nation Wins")</f>
        <v>Wealthier Nation Wins</v>
      </c>
    </row>
    <row r="4233" spans="1:17" x14ac:dyDescent="0.2">
      <c r="A4233" s="1">
        <v>6360</v>
      </c>
      <c r="B4233" s="2">
        <v>41062</v>
      </c>
      <c r="C4233" s="7">
        <f>_xlfn.FLOOR.MATH(Table1[[#This Row],[year]],10)</f>
        <v>2010</v>
      </c>
      <c r="D4233" t="s">
        <v>274</v>
      </c>
      <c r="E4233" t="s">
        <v>273</v>
      </c>
      <c r="F4233">
        <v>0</v>
      </c>
      <c r="G4233">
        <v>3</v>
      </c>
      <c r="H4233" t="s">
        <v>224</v>
      </c>
      <c r="I4233" t="s">
        <v>278</v>
      </c>
      <c r="J4233" t="s">
        <v>274</v>
      </c>
      <c r="K4233" t="b">
        <v>0</v>
      </c>
      <c r="L4233">
        <v>2012</v>
      </c>
      <c r="M4233">
        <v>37632919966</v>
      </c>
      <c r="N4233">
        <v>25503060420</v>
      </c>
      <c r="O4233" t="b">
        <v>0</v>
      </c>
      <c r="P4233">
        <v>-1</v>
      </c>
      <c r="Q4233" t="str" cm="1">
        <f t="array" ref="Q4233">_xlfn.IFS(Table1[[#This Row],[Wealthier_Winner]]=-1,"Wealthier Nation Loses",Table1[[#This Row],[Wealthier_Winner]]=0,"Tie",Table1[[#This Row],[Wealthier_Winner]]=1,"Wealthier Nation Wins")</f>
        <v>Wealthier Nation Loses</v>
      </c>
    </row>
    <row r="4234" spans="1:17" x14ac:dyDescent="0.2">
      <c r="A4234" s="1">
        <v>6361</v>
      </c>
      <c r="B4234" s="2">
        <v>41062</v>
      </c>
      <c r="C4234" s="7">
        <f>_xlfn.FLOOR.MATH(Table1[[#This Row],[year]],10)</f>
        <v>2010</v>
      </c>
      <c r="D4234" t="s">
        <v>53</v>
      </c>
      <c r="E4234" t="s">
        <v>639</v>
      </c>
      <c r="F4234">
        <v>3</v>
      </c>
      <c r="G4234">
        <v>1</v>
      </c>
      <c r="H4234" t="s">
        <v>224</v>
      </c>
      <c r="I4234" t="s">
        <v>750</v>
      </c>
      <c r="J4234" t="s">
        <v>53</v>
      </c>
      <c r="K4234" t="b">
        <v>0</v>
      </c>
      <c r="L4234">
        <v>2012</v>
      </c>
      <c r="M4234">
        <v>47311401812</v>
      </c>
      <c r="N4234">
        <v>22388344143</v>
      </c>
      <c r="O4234" t="b">
        <v>1</v>
      </c>
      <c r="P4234">
        <v>1</v>
      </c>
      <c r="Q4234" t="str" cm="1">
        <f t="array" ref="Q4234">_xlfn.IFS(Table1[[#This Row],[Wealthier_Winner]]=-1,"Wealthier Nation Loses",Table1[[#This Row],[Wealthier_Winner]]=0,"Tie",Table1[[#This Row],[Wealthier_Winner]]=1,"Wealthier Nation Wins")</f>
        <v>Wealthier Nation Wins</v>
      </c>
    </row>
    <row r="4235" spans="1:17" x14ac:dyDescent="0.2">
      <c r="A4235" s="1">
        <v>6362</v>
      </c>
      <c r="B4235" s="2">
        <v>41062</v>
      </c>
      <c r="C4235" s="7">
        <f>_xlfn.FLOOR.MATH(Table1[[#This Row],[year]],10)</f>
        <v>2010</v>
      </c>
      <c r="D4235" t="s">
        <v>26</v>
      </c>
      <c r="E4235" t="s">
        <v>258</v>
      </c>
      <c r="F4235">
        <v>1</v>
      </c>
      <c r="G4235">
        <v>1</v>
      </c>
      <c r="H4235" t="s">
        <v>224</v>
      </c>
      <c r="I4235" t="s">
        <v>247</v>
      </c>
      <c r="J4235" t="s">
        <v>26</v>
      </c>
      <c r="K4235" t="b">
        <v>0</v>
      </c>
      <c r="L4235">
        <v>2012</v>
      </c>
      <c r="M4235">
        <v>54232266358</v>
      </c>
      <c r="N4235">
        <v>372592062768</v>
      </c>
      <c r="O4235" t="b">
        <v>1</v>
      </c>
      <c r="P4235">
        <v>0</v>
      </c>
      <c r="Q4235" t="str" cm="1">
        <f t="array" ref="Q4235">_xlfn.IFS(Table1[[#This Row],[Wealthier_Winner]]=-1,"Wealthier Nation Loses",Table1[[#This Row],[Wealthier_Winner]]=0,"Tie",Table1[[#This Row],[Wealthier_Winner]]=1,"Wealthier Nation Wins")</f>
        <v>Tie</v>
      </c>
    </row>
    <row r="4236" spans="1:17" x14ac:dyDescent="0.2">
      <c r="A4236" s="1">
        <v>6363</v>
      </c>
      <c r="B4236" s="2">
        <v>41063</v>
      </c>
      <c r="C4236" s="7">
        <f>_xlfn.FLOOR.MATH(Table1[[#This Row],[year]],10)</f>
        <v>2010</v>
      </c>
      <c r="D4236" t="s">
        <v>60</v>
      </c>
      <c r="E4236" t="s">
        <v>357</v>
      </c>
      <c r="F4236">
        <v>1</v>
      </c>
      <c r="G4236">
        <v>1</v>
      </c>
      <c r="H4236" t="s">
        <v>224</v>
      </c>
      <c r="I4236" t="s">
        <v>396</v>
      </c>
      <c r="J4236" t="s">
        <v>60</v>
      </c>
      <c r="K4236" t="b">
        <v>0</v>
      </c>
      <c r="L4236">
        <v>2012</v>
      </c>
      <c r="M4236">
        <v>143572907527</v>
      </c>
      <c r="N4236">
        <v>27305915910</v>
      </c>
      <c r="O4236" t="b">
        <v>1</v>
      </c>
      <c r="P4236">
        <v>0</v>
      </c>
      <c r="Q4236" t="str" cm="1">
        <f t="array" ref="Q4236">_xlfn.IFS(Table1[[#This Row],[Wealthier_Winner]]=-1,"Wealthier Nation Loses",Table1[[#This Row],[Wealthier_Winner]]=0,"Tie",Table1[[#This Row],[Wealthier_Winner]]=1,"Wealthier Nation Wins")</f>
        <v>Tie</v>
      </c>
    </row>
    <row r="4237" spans="1:17" x14ac:dyDescent="0.2">
      <c r="A4237" s="1">
        <v>6364</v>
      </c>
      <c r="B4237" s="2">
        <v>41063</v>
      </c>
      <c r="C4237" s="7">
        <f>_xlfn.FLOOR.MATH(Table1[[#This Row],[year]],10)</f>
        <v>2010</v>
      </c>
      <c r="D4237" t="s">
        <v>310</v>
      </c>
      <c r="E4237" t="s">
        <v>590</v>
      </c>
      <c r="F4237">
        <v>1</v>
      </c>
      <c r="G4237">
        <v>0</v>
      </c>
      <c r="H4237" t="s">
        <v>224</v>
      </c>
      <c r="I4237" t="s">
        <v>311</v>
      </c>
      <c r="J4237" t="s">
        <v>310</v>
      </c>
      <c r="K4237" t="b">
        <v>0</v>
      </c>
      <c r="L4237">
        <v>2012</v>
      </c>
      <c r="M4237">
        <v>11141358115</v>
      </c>
      <c r="N4237">
        <v>14795114602</v>
      </c>
      <c r="O4237" t="b">
        <v>0</v>
      </c>
      <c r="P4237">
        <v>-1</v>
      </c>
      <c r="Q4237" t="str" cm="1">
        <f t="array" ref="Q4237">_xlfn.IFS(Table1[[#This Row],[Wealthier_Winner]]=-1,"Wealthier Nation Loses",Table1[[#This Row],[Wealthier_Winner]]=0,"Tie",Table1[[#This Row],[Wealthier_Winner]]=1,"Wealthier Nation Wins")</f>
        <v>Wealthier Nation Loses</v>
      </c>
    </row>
    <row r="4238" spans="1:17" x14ac:dyDescent="0.2">
      <c r="A4238" s="1">
        <v>6365</v>
      </c>
      <c r="B4238" s="2">
        <v>41063</v>
      </c>
      <c r="C4238" s="7">
        <f>_xlfn.FLOOR.MATH(Table1[[#This Row],[year]],10)</f>
        <v>2010</v>
      </c>
      <c r="D4238" t="s">
        <v>51</v>
      </c>
      <c r="E4238" t="s">
        <v>429</v>
      </c>
      <c r="F4238">
        <v>3</v>
      </c>
      <c r="G4238">
        <v>0</v>
      </c>
      <c r="H4238" t="s">
        <v>224</v>
      </c>
      <c r="I4238" t="s">
        <v>143</v>
      </c>
      <c r="J4238" t="s">
        <v>51</v>
      </c>
      <c r="K4238" t="b">
        <v>0</v>
      </c>
      <c r="L4238">
        <v>2012</v>
      </c>
      <c r="M4238">
        <v>6272362996105</v>
      </c>
      <c r="N4238">
        <v>87408842652</v>
      </c>
      <c r="O4238" t="b">
        <v>1</v>
      </c>
      <c r="P4238">
        <v>1</v>
      </c>
      <c r="Q4238" t="str" cm="1">
        <f t="array" ref="Q4238">_xlfn.IFS(Table1[[#This Row],[Wealthier_Winner]]=-1,"Wealthier Nation Loses",Table1[[#This Row],[Wealthier_Winner]]=0,"Tie",Table1[[#This Row],[Wealthier_Winner]]=1,"Wealthier Nation Wins")</f>
        <v>Wealthier Nation Wins</v>
      </c>
    </row>
    <row r="4239" spans="1:17" x14ac:dyDescent="0.2">
      <c r="A4239" s="1">
        <v>6366</v>
      </c>
      <c r="B4239" s="2">
        <v>41063</v>
      </c>
      <c r="C4239" s="7">
        <f>_xlfn.FLOOR.MATH(Table1[[#This Row],[year]],10)</f>
        <v>2010</v>
      </c>
      <c r="D4239" t="s">
        <v>403</v>
      </c>
      <c r="E4239" t="s">
        <v>37</v>
      </c>
      <c r="F4239">
        <v>1</v>
      </c>
      <c r="G4239">
        <v>1</v>
      </c>
      <c r="H4239" t="s">
        <v>224</v>
      </c>
      <c r="I4239" t="s">
        <v>404</v>
      </c>
      <c r="J4239" t="s">
        <v>403</v>
      </c>
      <c r="K4239" t="b">
        <v>0</v>
      </c>
      <c r="L4239">
        <v>2012</v>
      </c>
      <c r="M4239">
        <v>31634561690</v>
      </c>
      <c r="N4239">
        <v>218002476129</v>
      </c>
      <c r="O4239" t="b">
        <v>1</v>
      </c>
      <c r="P4239">
        <v>0</v>
      </c>
      <c r="Q4239" t="str" cm="1">
        <f t="array" ref="Q4239">_xlfn.IFS(Table1[[#This Row],[Wealthier_Winner]]=-1,"Wealthier Nation Loses",Table1[[#This Row],[Wealthier_Winner]]=0,"Tie",Table1[[#This Row],[Wealthier_Winner]]=1,"Wealthier Nation Wins")</f>
        <v>Tie</v>
      </c>
    </row>
    <row r="4240" spans="1:17" x14ac:dyDescent="0.2">
      <c r="A4240" s="1">
        <v>6367</v>
      </c>
      <c r="B4240" s="2">
        <v>41063</v>
      </c>
      <c r="C4240" s="7">
        <f>_xlfn.FLOOR.MATH(Table1[[#This Row],[year]],10)</f>
        <v>2010</v>
      </c>
      <c r="D4240" t="s">
        <v>479</v>
      </c>
      <c r="E4240" t="s">
        <v>68</v>
      </c>
      <c r="F4240">
        <v>0</v>
      </c>
      <c r="G4240">
        <v>1</v>
      </c>
      <c r="H4240" t="s">
        <v>224</v>
      </c>
      <c r="I4240" t="s">
        <v>480</v>
      </c>
      <c r="J4240" t="s">
        <v>479</v>
      </c>
      <c r="K4240" t="b">
        <v>0</v>
      </c>
      <c r="L4240">
        <v>2012</v>
      </c>
      <c r="M4240">
        <v>44016799515</v>
      </c>
      <c r="N4240">
        <v>186833516483</v>
      </c>
      <c r="O4240" t="b">
        <v>1</v>
      </c>
      <c r="P4240">
        <v>1</v>
      </c>
      <c r="Q4240" t="str" cm="1">
        <f t="array" ref="Q4240">_xlfn.IFS(Table1[[#This Row],[Wealthier_Winner]]=-1,"Wealthier Nation Loses",Table1[[#This Row],[Wealthier_Winner]]=0,"Tie",Table1[[#This Row],[Wealthier_Winner]]=1,"Wealthier Nation Wins")</f>
        <v>Wealthier Nation Wins</v>
      </c>
    </row>
    <row r="4241" spans="1:17" x14ac:dyDescent="0.2">
      <c r="A4241" s="1">
        <v>6368</v>
      </c>
      <c r="B4241" s="2">
        <v>41063</v>
      </c>
      <c r="C4241" s="7">
        <f>_xlfn.FLOOR.MATH(Table1[[#This Row],[year]],10)</f>
        <v>2010</v>
      </c>
      <c r="D4241" t="s">
        <v>343</v>
      </c>
      <c r="E4241" t="s">
        <v>433</v>
      </c>
      <c r="F4241">
        <v>3</v>
      </c>
      <c r="G4241">
        <v>0</v>
      </c>
      <c r="H4241" t="s">
        <v>224</v>
      </c>
      <c r="I4241" t="s">
        <v>349</v>
      </c>
      <c r="J4241" t="s">
        <v>343</v>
      </c>
      <c r="K4241" t="b">
        <v>0</v>
      </c>
      <c r="L4241">
        <v>2012</v>
      </c>
      <c r="M4241">
        <v>9426912647</v>
      </c>
      <c r="N4241">
        <v>17170464016</v>
      </c>
      <c r="O4241" t="b">
        <v>0</v>
      </c>
      <c r="P4241">
        <v>-1</v>
      </c>
      <c r="Q4241" t="str" cm="1">
        <f t="array" ref="Q4241">_xlfn.IFS(Table1[[#This Row],[Wealthier_Winner]]=-1,"Wealthier Nation Loses",Table1[[#This Row],[Wealthier_Winner]]=0,"Tie",Table1[[#This Row],[Wealthier_Winner]]=1,"Wealthier Nation Wins")</f>
        <v>Wealthier Nation Loses</v>
      </c>
    </row>
    <row r="4242" spans="1:17" x14ac:dyDescent="0.2">
      <c r="A4242" s="1">
        <v>6369</v>
      </c>
      <c r="B4242" s="2">
        <v>41063</v>
      </c>
      <c r="C4242" s="7">
        <f>_xlfn.FLOOR.MATH(Table1[[#This Row],[year]],10)</f>
        <v>2010</v>
      </c>
      <c r="D4242" t="s">
        <v>43</v>
      </c>
      <c r="E4242" t="s">
        <v>462</v>
      </c>
      <c r="F4242">
        <v>1</v>
      </c>
      <c r="G4242">
        <v>0</v>
      </c>
      <c r="H4242" t="s">
        <v>224</v>
      </c>
      <c r="I4242" t="s">
        <v>751</v>
      </c>
      <c r="J4242" t="s">
        <v>43</v>
      </c>
      <c r="K4242" t="b">
        <v>0</v>
      </c>
      <c r="L4242">
        <v>2012</v>
      </c>
      <c r="M4242">
        <v>463971018239</v>
      </c>
      <c r="N4242">
        <v>13042053591</v>
      </c>
      <c r="O4242" t="b">
        <v>1</v>
      </c>
      <c r="P4242">
        <v>1</v>
      </c>
      <c r="Q4242" t="str" cm="1">
        <f t="array" ref="Q4242">_xlfn.IFS(Table1[[#This Row],[Wealthier_Winner]]=-1,"Wealthier Nation Loses",Table1[[#This Row],[Wealthier_Winner]]=0,"Tie",Table1[[#This Row],[Wealthier_Winner]]=1,"Wealthier Nation Wins")</f>
        <v>Wealthier Nation Wins</v>
      </c>
    </row>
    <row r="4243" spans="1:17" x14ac:dyDescent="0.2">
      <c r="A4243" s="1">
        <v>6370</v>
      </c>
      <c r="B4243" s="2">
        <v>41063</v>
      </c>
      <c r="C4243" s="7">
        <f>_xlfn.FLOOR.MATH(Table1[[#This Row],[year]],10)</f>
        <v>2010</v>
      </c>
      <c r="D4243" t="s">
        <v>31</v>
      </c>
      <c r="E4243" t="s">
        <v>15</v>
      </c>
      <c r="F4243">
        <v>0</v>
      </c>
      <c r="G4243">
        <v>1</v>
      </c>
      <c r="H4243" t="s">
        <v>224</v>
      </c>
      <c r="I4243" t="s">
        <v>242</v>
      </c>
      <c r="J4243" t="s">
        <v>31</v>
      </c>
      <c r="K4243" t="b">
        <v>0</v>
      </c>
      <c r="L4243">
        <v>2012</v>
      </c>
      <c r="M4243">
        <v>192650021648</v>
      </c>
      <c r="N4243">
        <v>370691143018</v>
      </c>
      <c r="O4243" t="b">
        <v>0</v>
      </c>
      <c r="P4243">
        <v>1</v>
      </c>
      <c r="Q4243" t="str" cm="1">
        <f t="array" ref="Q4243">_xlfn.IFS(Table1[[#This Row],[Wealthier_Winner]]=-1,"Wealthier Nation Loses",Table1[[#This Row],[Wealthier_Winner]]=0,"Tie",Table1[[#This Row],[Wealthier_Winner]]=1,"Wealthier Nation Wins")</f>
        <v>Wealthier Nation Wins</v>
      </c>
    </row>
    <row r="4244" spans="1:17" x14ac:dyDescent="0.2">
      <c r="A4244" s="1">
        <v>6371</v>
      </c>
      <c r="B4244" s="2">
        <v>41063</v>
      </c>
      <c r="C4244" s="7">
        <f>_xlfn.FLOOR.MATH(Table1[[#This Row],[year]],10)</f>
        <v>2010</v>
      </c>
      <c r="D4244" t="s">
        <v>50</v>
      </c>
      <c r="E4244" t="s">
        <v>238</v>
      </c>
      <c r="F4244">
        <v>1</v>
      </c>
      <c r="G4244">
        <v>1</v>
      </c>
      <c r="H4244" t="s">
        <v>224</v>
      </c>
      <c r="I4244" t="s">
        <v>168</v>
      </c>
      <c r="J4244" t="s">
        <v>50</v>
      </c>
      <c r="K4244" t="b">
        <v>0</v>
      </c>
      <c r="L4244">
        <v>2012</v>
      </c>
      <c r="M4244">
        <v>434400545085</v>
      </c>
      <c r="N4244">
        <v>43310721414</v>
      </c>
      <c r="O4244" t="b">
        <v>1</v>
      </c>
      <c r="P4244">
        <v>0</v>
      </c>
      <c r="Q4244" t="str" cm="1">
        <f t="array" ref="Q4244">_xlfn.IFS(Table1[[#This Row],[Wealthier_Winner]]=-1,"Wealthier Nation Loses",Table1[[#This Row],[Wealthier_Winner]]=0,"Tie",Table1[[#This Row],[Wealthier_Winner]]=1,"Wealthier Nation Wins")</f>
        <v>Tie</v>
      </c>
    </row>
    <row r="4245" spans="1:17" x14ac:dyDescent="0.2">
      <c r="A4245" s="1">
        <v>6372</v>
      </c>
      <c r="B4245" s="2">
        <v>41063</v>
      </c>
      <c r="C4245" s="7">
        <f>_xlfn.FLOOR.MATH(Table1[[#This Row],[year]],10)</f>
        <v>2010</v>
      </c>
      <c r="D4245" t="s">
        <v>62</v>
      </c>
      <c r="E4245" t="s">
        <v>286</v>
      </c>
      <c r="F4245">
        <v>1</v>
      </c>
      <c r="G4245">
        <v>1</v>
      </c>
      <c r="H4245" t="s">
        <v>224</v>
      </c>
      <c r="I4245" t="s">
        <v>353</v>
      </c>
      <c r="J4245" t="s">
        <v>62</v>
      </c>
      <c r="K4245" t="b">
        <v>0</v>
      </c>
      <c r="L4245">
        <v>2012</v>
      </c>
      <c r="M4245">
        <v>5413541649</v>
      </c>
      <c r="N4245">
        <v>92540938129</v>
      </c>
      <c r="O4245" t="b">
        <v>1</v>
      </c>
      <c r="P4245">
        <v>0</v>
      </c>
      <c r="Q4245" t="str" cm="1">
        <f t="array" ref="Q4245">_xlfn.IFS(Table1[[#This Row],[Wealthier_Winner]]=-1,"Wealthier Nation Loses",Table1[[#This Row],[Wealthier_Winner]]=0,"Tie",Table1[[#This Row],[Wealthier_Winner]]=1,"Wealthier Nation Wins")</f>
        <v>Tie</v>
      </c>
    </row>
    <row r="4246" spans="1:17" x14ac:dyDescent="0.2">
      <c r="A4246" s="1">
        <v>6373</v>
      </c>
      <c r="B4246" s="2">
        <v>41063</v>
      </c>
      <c r="C4246" s="7">
        <f>_xlfn.FLOOR.MATH(Table1[[#This Row],[year]],10)</f>
        <v>2010</v>
      </c>
      <c r="D4246" t="s">
        <v>563</v>
      </c>
      <c r="E4246" t="s">
        <v>210</v>
      </c>
      <c r="F4246">
        <v>0</v>
      </c>
      <c r="G4246">
        <v>1</v>
      </c>
      <c r="H4246" t="s">
        <v>224</v>
      </c>
      <c r="I4246" t="s">
        <v>564</v>
      </c>
      <c r="J4246" t="s">
        <v>563</v>
      </c>
      <c r="K4246" t="b">
        <v>0</v>
      </c>
      <c r="L4246">
        <v>2012</v>
      </c>
      <c r="M4246">
        <v>67517349212</v>
      </c>
      <c r="N4246">
        <v>644019315003</v>
      </c>
      <c r="O4246" t="b">
        <v>1</v>
      </c>
      <c r="P4246">
        <v>1</v>
      </c>
      <c r="Q4246" t="str" cm="1">
        <f t="array" ref="Q4246">_xlfn.IFS(Table1[[#This Row],[Wealthier_Winner]]=-1,"Wealthier Nation Loses",Table1[[#This Row],[Wealthier_Winner]]=0,"Tie",Table1[[#This Row],[Wealthier_Winner]]=1,"Wealthier Nation Wins")</f>
        <v>Wealthier Nation Wins</v>
      </c>
    </row>
    <row r="4247" spans="1:17" x14ac:dyDescent="0.2">
      <c r="A4247" s="1">
        <v>6374</v>
      </c>
      <c r="B4247" s="2">
        <v>41063</v>
      </c>
      <c r="C4247" s="7">
        <f>_xlfn.FLOOR.MATH(Table1[[#This Row],[year]],10)</f>
        <v>2010</v>
      </c>
      <c r="D4247" t="s">
        <v>298</v>
      </c>
      <c r="E4247" t="s">
        <v>305</v>
      </c>
      <c r="F4247">
        <v>0</v>
      </c>
      <c r="G4247">
        <v>1</v>
      </c>
      <c r="H4247" t="s">
        <v>224</v>
      </c>
      <c r="I4247" t="s">
        <v>377</v>
      </c>
      <c r="J4247" t="s">
        <v>298</v>
      </c>
      <c r="K4247" t="b">
        <v>0</v>
      </c>
      <c r="L4247">
        <v>2012</v>
      </c>
      <c r="M4247">
        <v>17123500000</v>
      </c>
      <c r="N4247">
        <v>7638044556</v>
      </c>
      <c r="O4247" t="b">
        <v>1</v>
      </c>
      <c r="P4247">
        <v>-1</v>
      </c>
      <c r="Q4247" t="str" cm="1">
        <f t="array" ref="Q4247">_xlfn.IFS(Table1[[#This Row],[Wealthier_Winner]]=-1,"Wealthier Nation Loses",Table1[[#This Row],[Wealthier_Winner]]=0,"Tie",Table1[[#This Row],[Wealthier_Winner]]=1,"Wealthier Nation Wins")</f>
        <v>Wealthier Nation Loses</v>
      </c>
    </row>
    <row r="4248" spans="1:17" x14ac:dyDescent="0.2">
      <c r="A4248" s="1">
        <v>6375</v>
      </c>
      <c r="B4248" s="2">
        <v>41068</v>
      </c>
      <c r="C4248" s="7">
        <f>_xlfn.FLOOR.MATH(Table1[[#This Row],[year]],10)</f>
        <v>2010</v>
      </c>
      <c r="D4248" t="s">
        <v>56</v>
      </c>
      <c r="E4248" t="s">
        <v>69</v>
      </c>
      <c r="F4248">
        <v>2</v>
      </c>
      <c r="G4248">
        <v>2</v>
      </c>
      <c r="H4248" t="s">
        <v>224</v>
      </c>
      <c r="I4248" t="s">
        <v>225</v>
      </c>
      <c r="J4248" t="s">
        <v>56</v>
      </c>
      <c r="K4248" t="b">
        <v>0</v>
      </c>
      <c r="L4248">
        <v>2012</v>
      </c>
      <c r="M4248">
        <v>47231655431</v>
      </c>
      <c r="N4248">
        <v>21386150000</v>
      </c>
      <c r="O4248" t="b">
        <v>1</v>
      </c>
      <c r="P4248">
        <v>0</v>
      </c>
      <c r="Q4248" t="str" cm="1">
        <f t="array" ref="Q4248">_xlfn.IFS(Table1[[#This Row],[Wealthier_Winner]]=-1,"Wealthier Nation Loses",Table1[[#This Row],[Wealthier_Winner]]=0,"Tie",Table1[[#This Row],[Wealthier_Winner]]=1,"Wealthier Nation Wins")</f>
        <v>Tie</v>
      </c>
    </row>
    <row r="4249" spans="1:17" x14ac:dyDescent="0.2">
      <c r="A4249" s="1">
        <v>6376</v>
      </c>
      <c r="B4249" s="2">
        <v>41068</v>
      </c>
      <c r="C4249" s="7">
        <f>_xlfn.FLOOR.MATH(Table1[[#This Row],[year]],10)</f>
        <v>2010</v>
      </c>
      <c r="D4249" t="s">
        <v>517</v>
      </c>
      <c r="E4249" t="s">
        <v>34</v>
      </c>
      <c r="F4249">
        <v>0</v>
      </c>
      <c r="G4249">
        <v>1</v>
      </c>
      <c r="H4249" t="s">
        <v>224</v>
      </c>
      <c r="I4249" t="s">
        <v>580</v>
      </c>
      <c r="J4249" t="s">
        <v>517</v>
      </c>
      <c r="K4249" t="b">
        <v>0</v>
      </c>
      <c r="L4249">
        <v>2012</v>
      </c>
      <c r="M4249">
        <v>73141000000</v>
      </c>
      <c r="N4249">
        <v>1828366481521</v>
      </c>
      <c r="O4249" t="b">
        <v>1</v>
      </c>
      <c r="P4249">
        <v>1</v>
      </c>
      <c r="Q4249" t="str" cm="1">
        <f t="array" ref="Q4249">_xlfn.IFS(Table1[[#This Row],[Wealthier_Winner]]=-1,"Wealthier Nation Loses",Table1[[#This Row],[Wealthier_Winner]]=0,"Tie",Table1[[#This Row],[Wealthier_Winner]]=1,"Wealthier Nation Wins")</f>
        <v>Wealthier Nation Wins</v>
      </c>
    </row>
    <row r="4250" spans="1:17" x14ac:dyDescent="0.2">
      <c r="A4250" s="1">
        <v>6377</v>
      </c>
      <c r="B4250" s="2">
        <v>41068</v>
      </c>
      <c r="C4250" s="7">
        <f>_xlfn.FLOOR.MATH(Table1[[#This Row],[year]],10)</f>
        <v>2010</v>
      </c>
      <c r="D4250" t="s">
        <v>65</v>
      </c>
      <c r="E4250" t="s">
        <v>67</v>
      </c>
      <c r="F4250">
        <v>0</v>
      </c>
      <c r="G4250">
        <v>2</v>
      </c>
      <c r="H4250" t="s">
        <v>224</v>
      </c>
      <c r="I4250" t="s">
        <v>254</v>
      </c>
      <c r="J4250" t="s">
        <v>65</v>
      </c>
      <c r="K4250" t="b">
        <v>0</v>
      </c>
      <c r="L4250">
        <v>2012</v>
      </c>
      <c r="M4250">
        <v>18528554397</v>
      </c>
      <c r="N4250">
        <v>41595439720</v>
      </c>
      <c r="O4250" t="b">
        <v>1</v>
      </c>
      <c r="P4250">
        <v>1</v>
      </c>
      <c r="Q4250" t="str" cm="1">
        <f t="array" ref="Q4250">_xlfn.IFS(Table1[[#This Row],[Wealthier_Winner]]=-1,"Wealthier Nation Loses",Table1[[#This Row],[Wealthier_Winner]]=0,"Tie",Table1[[#This Row],[Wealthier_Winner]]=1,"Wealthier Nation Wins")</f>
        <v>Wealthier Nation Wins</v>
      </c>
    </row>
    <row r="4251" spans="1:17" x14ac:dyDescent="0.2">
      <c r="A4251" s="1">
        <v>6378</v>
      </c>
      <c r="B4251" s="2">
        <v>41068</v>
      </c>
      <c r="C4251" s="7">
        <f>_xlfn.FLOOR.MATH(Table1[[#This Row],[year]],10)</f>
        <v>2010</v>
      </c>
      <c r="D4251" t="s">
        <v>49</v>
      </c>
      <c r="E4251" t="s">
        <v>223</v>
      </c>
      <c r="F4251">
        <v>2</v>
      </c>
      <c r="G4251">
        <v>1</v>
      </c>
      <c r="H4251" t="s">
        <v>224</v>
      </c>
      <c r="I4251" t="s">
        <v>257</v>
      </c>
      <c r="J4251" t="s">
        <v>49</v>
      </c>
      <c r="K4251" t="b">
        <v>0</v>
      </c>
      <c r="L4251">
        <v>2012</v>
      </c>
      <c r="M4251">
        <v>14807086555</v>
      </c>
      <c r="N4251">
        <v>49593929487</v>
      </c>
      <c r="O4251" t="b">
        <v>1</v>
      </c>
      <c r="P4251">
        <v>-1</v>
      </c>
      <c r="Q4251" t="str" cm="1">
        <f t="array" ref="Q4251">_xlfn.IFS(Table1[[#This Row],[Wealthier_Winner]]=-1,"Wealthier Nation Loses",Table1[[#This Row],[Wealthier_Winner]]=0,"Tie",Table1[[#This Row],[Wealthier_Winner]]=1,"Wealthier Nation Wins")</f>
        <v>Wealthier Nation Loses</v>
      </c>
    </row>
    <row r="4252" spans="1:17" x14ac:dyDescent="0.2">
      <c r="A4252" s="1">
        <v>6379</v>
      </c>
      <c r="B4252" s="2">
        <v>41068</v>
      </c>
      <c r="C4252" s="7">
        <f>_xlfn.FLOOR.MATH(Table1[[#This Row],[year]],10)</f>
        <v>2010</v>
      </c>
      <c r="D4252" t="s">
        <v>51</v>
      </c>
      <c r="E4252" t="s">
        <v>403</v>
      </c>
      <c r="F4252">
        <v>6</v>
      </c>
      <c r="G4252">
        <v>0</v>
      </c>
      <c r="H4252" t="s">
        <v>224</v>
      </c>
      <c r="I4252" t="s">
        <v>143</v>
      </c>
      <c r="J4252" t="s">
        <v>51</v>
      </c>
      <c r="K4252" t="b">
        <v>0</v>
      </c>
      <c r="L4252">
        <v>2012</v>
      </c>
      <c r="M4252">
        <v>6272362996105</v>
      </c>
      <c r="N4252">
        <v>31634561690</v>
      </c>
      <c r="O4252" t="b">
        <v>1</v>
      </c>
      <c r="P4252">
        <v>1</v>
      </c>
      <c r="Q4252" t="str" cm="1">
        <f t="array" ref="Q4252">_xlfn.IFS(Table1[[#This Row],[Wealthier_Winner]]=-1,"Wealthier Nation Loses",Table1[[#This Row],[Wealthier_Winner]]=0,"Tie",Table1[[#This Row],[Wealthier_Winner]]=1,"Wealthier Nation Wins")</f>
        <v>Wealthier Nation Wins</v>
      </c>
    </row>
    <row r="4253" spans="1:17" x14ac:dyDescent="0.2">
      <c r="A4253" s="1">
        <v>6380</v>
      </c>
      <c r="B4253" s="2">
        <v>41068</v>
      </c>
      <c r="C4253" s="7">
        <f>_xlfn.FLOOR.MATH(Table1[[#This Row],[year]],10)</f>
        <v>2010</v>
      </c>
      <c r="D4253" t="s">
        <v>479</v>
      </c>
      <c r="E4253" t="s">
        <v>563</v>
      </c>
      <c r="F4253">
        <v>1</v>
      </c>
      <c r="G4253">
        <v>1</v>
      </c>
      <c r="H4253" t="s">
        <v>224</v>
      </c>
      <c r="I4253" t="s">
        <v>480</v>
      </c>
      <c r="J4253" t="s">
        <v>479</v>
      </c>
      <c r="K4253" t="b">
        <v>0</v>
      </c>
      <c r="L4253">
        <v>2012</v>
      </c>
      <c r="M4253">
        <v>44016799515</v>
      </c>
      <c r="N4253">
        <v>67517349212</v>
      </c>
      <c r="O4253" t="b">
        <v>0</v>
      </c>
      <c r="P4253">
        <v>0</v>
      </c>
      <c r="Q4253" t="str" cm="1">
        <f t="array" ref="Q4253">_xlfn.IFS(Table1[[#This Row],[Wealthier_Winner]]=-1,"Wealthier Nation Loses",Table1[[#This Row],[Wealthier_Winner]]=0,"Tie",Table1[[#This Row],[Wealthier_Winner]]=1,"Wealthier Nation Wins")</f>
        <v>Tie</v>
      </c>
    </row>
    <row r="4254" spans="1:17" x14ac:dyDescent="0.2">
      <c r="A4254" s="1">
        <v>6381</v>
      </c>
      <c r="B4254" s="2">
        <v>41068</v>
      </c>
      <c r="C4254" s="7">
        <f>_xlfn.FLOOR.MATH(Table1[[#This Row],[year]],10)</f>
        <v>2010</v>
      </c>
      <c r="D4254" t="s">
        <v>17</v>
      </c>
      <c r="E4254" t="s">
        <v>445</v>
      </c>
      <c r="F4254">
        <v>3</v>
      </c>
      <c r="G4254">
        <v>1</v>
      </c>
      <c r="H4254" t="s">
        <v>224</v>
      </c>
      <c r="I4254" t="s">
        <v>83</v>
      </c>
      <c r="J4254" t="s">
        <v>17</v>
      </c>
      <c r="K4254" t="b">
        <v>0</v>
      </c>
      <c r="L4254">
        <v>2012</v>
      </c>
      <c r="M4254">
        <v>1255110424817</v>
      </c>
      <c r="N4254">
        <v>4063088535</v>
      </c>
      <c r="O4254" t="b">
        <v>1</v>
      </c>
      <c r="P4254">
        <v>1</v>
      </c>
      <c r="Q4254" t="str" cm="1">
        <f t="array" ref="Q4254">_xlfn.IFS(Table1[[#This Row],[Wealthier_Winner]]=-1,"Wealthier Nation Loses",Table1[[#This Row],[Wealthier_Winner]]=0,"Tie",Table1[[#This Row],[Wealthier_Winner]]=1,"Wealthier Nation Wins")</f>
        <v>Wealthier Nation Wins</v>
      </c>
    </row>
    <row r="4255" spans="1:17" x14ac:dyDescent="0.2">
      <c r="A4255" s="1">
        <v>6382</v>
      </c>
      <c r="B4255" s="2">
        <v>41068</v>
      </c>
      <c r="C4255" s="7">
        <f>_xlfn.FLOOR.MATH(Table1[[#This Row],[year]],10)</f>
        <v>2010</v>
      </c>
      <c r="D4255" t="s">
        <v>429</v>
      </c>
      <c r="E4255" t="s">
        <v>28</v>
      </c>
      <c r="F4255">
        <v>0</v>
      </c>
      <c r="G4255">
        <v>0</v>
      </c>
      <c r="H4255" t="s">
        <v>224</v>
      </c>
      <c r="I4255" t="s">
        <v>430</v>
      </c>
      <c r="J4255" t="s">
        <v>429</v>
      </c>
      <c r="K4255" t="b">
        <v>0</v>
      </c>
      <c r="L4255">
        <v>2012</v>
      </c>
      <c r="M4255">
        <v>87408842652</v>
      </c>
      <c r="N4255">
        <v>1552728401401</v>
      </c>
      <c r="O4255" t="b">
        <v>1</v>
      </c>
      <c r="P4255">
        <v>0</v>
      </c>
      <c r="Q4255" t="str" cm="1">
        <f t="array" ref="Q4255">_xlfn.IFS(Table1[[#This Row],[Wealthier_Winner]]=-1,"Wealthier Nation Loses",Table1[[#This Row],[Wealthier_Winner]]=0,"Tie",Table1[[#This Row],[Wealthier_Winner]]=1,"Wealthier Nation Wins")</f>
        <v>Tie</v>
      </c>
    </row>
    <row r="4256" spans="1:17" x14ac:dyDescent="0.2">
      <c r="A4256" s="1">
        <v>6383</v>
      </c>
      <c r="B4256" s="2">
        <v>41068</v>
      </c>
      <c r="C4256" s="7">
        <f>_xlfn.FLOOR.MATH(Table1[[#This Row],[year]],10)</f>
        <v>2010</v>
      </c>
      <c r="D4256" t="s">
        <v>68</v>
      </c>
      <c r="E4256" t="s">
        <v>195</v>
      </c>
      <c r="F4256">
        <v>1</v>
      </c>
      <c r="G4256">
        <v>4</v>
      </c>
      <c r="H4256" t="s">
        <v>224</v>
      </c>
      <c r="I4256" t="s">
        <v>190</v>
      </c>
      <c r="J4256" t="s">
        <v>68</v>
      </c>
      <c r="K4256" t="b">
        <v>0</v>
      </c>
      <c r="L4256">
        <v>2012</v>
      </c>
      <c r="M4256">
        <v>186833516483</v>
      </c>
      <c r="N4256">
        <v>1335343586437</v>
      </c>
      <c r="O4256" t="b">
        <v>1</v>
      </c>
      <c r="P4256">
        <v>1</v>
      </c>
      <c r="Q4256" t="str" cm="1">
        <f t="array" ref="Q4256">_xlfn.IFS(Table1[[#This Row],[Wealthier_Winner]]=-1,"Wealthier Nation Loses",Table1[[#This Row],[Wealthier_Winner]]=0,"Tie",Table1[[#This Row],[Wealthier_Winner]]=1,"Wealthier Nation Wins")</f>
        <v>Wealthier Nation Wins</v>
      </c>
    </row>
    <row r="4257" spans="1:17" x14ac:dyDescent="0.2">
      <c r="A4257" s="1">
        <v>6384</v>
      </c>
      <c r="B4257" s="2">
        <v>41068</v>
      </c>
      <c r="C4257" s="7">
        <f>_xlfn.FLOOR.MATH(Table1[[#This Row],[year]],10)</f>
        <v>2010</v>
      </c>
      <c r="D4257" t="s">
        <v>41</v>
      </c>
      <c r="E4257" t="s">
        <v>449</v>
      </c>
      <c r="F4257">
        <v>3</v>
      </c>
      <c r="G4257">
        <v>1</v>
      </c>
      <c r="H4257" t="s">
        <v>224</v>
      </c>
      <c r="I4257" t="s">
        <v>752</v>
      </c>
      <c r="J4257" t="s">
        <v>41</v>
      </c>
      <c r="K4257" t="b">
        <v>0</v>
      </c>
      <c r="L4257">
        <v>2012</v>
      </c>
      <c r="M4257">
        <v>16253972230000</v>
      </c>
      <c r="N4257">
        <v>1364729629</v>
      </c>
      <c r="O4257" t="b">
        <v>1</v>
      </c>
      <c r="P4257">
        <v>1</v>
      </c>
      <c r="Q4257" t="str" cm="1">
        <f t="array" ref="Q4257">_xlfn.IFS(Table1[[#This Row],[Wealthier_Winner]]=-1,"Wealthier Nation Loses",Table1[[#This Row],[Wealthier_Winner]]=0,"Tie",Table1[[#This Row],[Wealthier_Winner]]=1,"Wealthier Nation Wins")</f>
        <v>Wealthier Nation Wins</v>
      </c>
    </row>
    <row r="4258" spans="1:17" x14ac:dyDescent="0.2">
      <c r="A4258" s="1">
        <v>6385</v>
      </c>
      <c r="B4258" s="2">
        <v>41069</v>
      </c>
      <c r="C4258" s="7">
        <f>_xlfn.FLOOR.MATH(Table1[[#This Row],[year]],10)</f>
        <v>2010</v>
      </c>
      <c r="D4258" t="s">
        <v>47</v>
      </c>
      <c r="E4258" t="s">
        <v>35</v>
      </c>
      <c r="F4258">
        <v>3</v>
      </c>
      <c r="G4258">
        <v>1</v>
      </c>
      <c r="H4258" t="s">
        <v>224</v>
      </c>
      <c r="I4258" t="s">
        <v>246</v>
      </c>
      <c r="J4258" t="s">
        <v>47</v>
      </c>
      <c r="K4258" t="b">
        <v>0</v>
      </c>
      <c r="L4258">
        <v>2012</v>
      </c>
      <c r="M4258">
        <v>27084497481</v>
      </c>
      <c r="N4258">
        <v>33271921136</v>
      </c>
      <c r="O4258" t="b">
        <v>0</v>
      </c>
      <c r="P4258">
        <v>-1</v>
      </c>
      <c r="Q4258" t="str" cm="1">
        <f t="array" ref="Q4258">_xlfn.IFS(Table1[[#This Row],[Wealthier_Winner]]=-1,"Wealthier Nation Loses",Table1[[#This Row],[Wealthier_Winner]]=0,"Tie",Table1[[#This Row],[Wealthier_Winner]]=1,"Wealthier Nation Wins")</f>
        <v>Wealthier Nation Loses</v>
      </c>
    </row>
    <row r="4259" spans="1:17" x14ac:dyDescent="0.2">
      <c r="A4259" s="1">
        <v>6386</v>
      </c>
      <c r="B4259" s="2">
        <v>41069</v>
      </c>
      <c r="C4259" s="7">
        <f>_xlfn.FLOOR.MATH(Table1[[#This Row],[year]],10)</f>
        <v>2010</v>
      </c>
      <c r="D4259" t="s">
        <v>469</v>
      </c>
      <c r="E4259" t="s">
        <v>50</v>
      </c>
      <c r="F4259">
        <v>1</v>
      </c>
      <c r="G4259">
        <v>1</v>
      </c>
      <c r="H4259" t="s">
        <v>224</v>
      </c>
      <c r="I4259" t="s">
        <v>470</v>
      </c>
      <c r="J4259" t="s">
        <v>469</v>
      </c>
      <c r="K4259" t="b">
        <v>0</v>
      </c>
      <c r="L4259">
        <v>2012</v>
      </c>
      <c r="M4259">
        <v>13907464500</v>
      </c>
      <c r="N4259">
        <v>434400545085</v>
      </c>
      <c r="O4259" t="b">
        <v>1</v>
      </c>
      <c r="P4259">
        <v>0</v>
      </c>
      <c r="Q4259" t="str" cm="1">
        <f t="array" ref="Q4259">_xlfn.IFS(Table1[[#This Row],[Wealthier_Winner]]=-1,"Wealthier Nation Loses",Table1[[#This Row],[Wealthier_Winner]]=0,"Tie",Table1[[#This Row],[Wealthier_Winner]]=1,"Wealthier Nation Wins")</f>
        <v>Tie</v>
      </c>
    </row>
    <row r="4260" spans="1:17" x14ac:dyDescent="0.2">
      <c r="A4260" s="1">
        <v>6389</v>
      </c>
      <c r="B4260" s="2">
        <v>41069</v>
      </c>
      <c r="C4260" s="7">
        <f>_xlfn.FLOOR.MATH(Table1[[#This Row],[year]],10)</f>
        <v>2010</v>
      </c>
      <c r="D4260" t="s">
        <v>639</v>
      </c>
      <c r="E4260" t="s">
        <v>342</v>
      </c>
      <c r="F4260">
        <v>2</v>
      </c>
      <c r="G4260">
        <v>2</v>
      </c>
      <c r="H4260" t="s">
        <v>224</v>
      </c>
      <c r="I4260" t="s">
        <v>696</v>
      </c>
      <c r="J4260" t="s">
        <v>639</v>
      </c>
      <c r="K4260" t="b">
        <v>0</v>
      </c>
      <c r="L4260">
        <v>2012</v>
      </c>
      <c r="M4260">
        <v>22388344143</v>
      </c>
      <c r="N4260">
        <v>6141666509</v>
      </c>
      <c r="O4260" t="b">
        <v>1</v>
      </c>
      <c r="P4260">
        <v>0</v>
      </c>
      <c r="Q4260" t="str" cm="1">
        <f t="array" ref="Q4260">_xlfn.IFS(Table1[[#This Row],[Wealthier_Winner]]=-1,"Wealthier Nation Loses",Table1[[#This Row],[Wealthier_Winner]]=0,"Tie",Table1[[#This Row],[Wealthier_Winner]]=1,"Wealthier Nation Wins")</f>
        <v>Tie</v>
      </c>
    </row>
    <row r="4261" spans="1:17" x14ac:dyDescent="0.2">
      <c r="A4261" s="1">
        <v>6390</v>
      </c>
      <c r="B4261" s="2">
        <v>41069</v>
      </c>
      <c r="C4261" s="7">
        <f>_xlfn.FLOOR.MATH(Table1[[#This Row],[year]],10)</f>
        <v>2010</v>
      </c>
      <c r="D4261" t="s">
        <v>433</v>
      </c>
      <c r="E4261" t="s">
        <v>345</v>
      </c>
      <c r="F4261">
        <v>1</v>
      </c>
      <c r="G4261">
        <v>0</v>
      </c>
      <c r="H4261" t="s">
        <v>224</v>
      </c>
      <c r="I4261" t="s">
        <v>436</v>
      </c>
      <c r="J4261" t="s">
        <v>433</v>
      </c>
      <c r="K4261" t="b">
        <v>0</v>
      </c>
      <c r="L4261">
        <v>2012</v>
      </c>
      <c r="M4261">
        <v>17170464016</v>
      </c>
      <c r="N4261">
        <v>12561015156</v>
      </c>
      <c r="O4261" t="b">
        <v>0</v>
      </c>
      <c r="P4261">
        <v>1</v>
      </c>
      <c r="Q4261" t="str" cm="1">
        <f t="array" ref="Q4261">_xlfn.IFS(Table1[[#This Row],[Wealthier_Winner]]=-1,"Wealthier Nation Loses",Table1[[#This Row],[Wealthier_Winner]]=0,"Tie",Table1[[#This Row],[Wealthier_Winner]]=1,"Wealthier Nation Wins")</f>
        <v>Wealthier Nation Wins</v>
      </c>
    </row>
    <row r="4262" spans="1:17" x14ac:dyDescent="0.2">
      <c r="A4262" s="1">
        <v>6391</v>
      </c>
      <c r="B4262" s="2">
        <v>41069</v>
      </c>
      <c r="C4262" s="7">
        <f>_xlfn.FLOOR.MATH(Table1[[#This Row],[year]],10)</f>
        <v>2010</v>
      </c>
      <c r="D4262" t="s">
        <v>370</v>
      </c>
      <c r="E4262" t="s">
        <v>43</v>
      </c>
      <c r="F4262">
        <v>1</v>
      </c>
      <c r="G4262">
        <v>1</v>
      </c>
      <c r="H4262" t="s">
        <v>224</v>
      </c>
      <c r="I4262" t="s">
        <v>372</v>
      </c>
      <c r="J4262" t="s">
        <v>370</v>
      </c>
      <c r="K4262" t="b">
        <v>0</v>
      </c>
      <c r="L4262">
        <v>2012</v>
      </c>
      <c r="M4262">
        <v>8773203178</v>
      </c>
      <c r="N4262">
        <v>463971018239</v>
      </c>
      <c r="O4262" t="b">
        <v>1</v>
      </c>
      <c r="P4262">
        <v>0</v>
      </c>
      <c r="Q4262" t="str" cm="1">
        <f t="array" ref="Q4262">_xlfn.IFS(Table1[[#This Row],[Wealthier_Winner]]=-1,"Wealthier Nation Loses",Table1[[#This Row],[Wealthier_Winner]]=0,"Tie",Table1[[#This Row],[Wealthier_Winner]]=1,"Wealthier Nation Wins")</f>
        <v>Tie</v>
      </c>
    </row>
    <row r="4263" spans="1:17" x14ac:dyDescent="0.2">
      <c r="A4263" s="1">
        <v>6393</v>
      </c>
      <c r="B4263" s="2">
        <v>41069</v>
      </c>
      <c r="C4263" s="7">
        <f>_xlfn.FLOOR.MATH(Table1[[#This Row],[year]],10)</f>
        <v>2010</v>
      </c>
      <c r="D4263" t="s">
        <v>462</v>
      </c>
      <c r="E4263" t="s">
        <v>314</v>
      </c>
      <c r="F4263">
        <v>1</v>
      </c>
      <c r="G4263">
        <v>0</v>
      </c>
      <c r="H4263" t="s">
        <v>224</v>
      </c>
      <c r="I4263" t="s">
        <v>465</v>
      </c>
      <c r="J4263" t="s">
        <v>462</v>
      </c>
      <c r="K4263" t="b">
        <v>0</v>
      </c>
      <c r="L4263">
        <v>2012</v>
      </c>
      <c r="M4263">
        <v>13042053591</v>
      </c>
      <c r="N4263">
        <v>56396704671</v>
      </c>
      <c r="O4263" t="b">
        <v>1</v>
      </c>
      <c r="P4263">
        <v>-1</v>
      </c>
      <c r="Q4263" t="str" cm="1">
        <f t="array" ref="Q4263">_xlfn.IFS(Table1[[#This Row],[Wealthier_Winner]]=-1,"Wealthier Nation Loses",Table1[[#This Row],[Wealthier_Winner]]=0,"Tie",Table1[[#This Row],[Wealthier_Winner]]=1,"Wealthier Nation Wins")</f>
        <v>Wealthier Nation Loses</v>
      </c>
    </row>
    <row r="4264" spans="1:17" x14ac:dyDescent="0.2">
      <c r="A4264" s="1">
        <v>6394</v>
      </c>
      <c r="B4264" s="2">
        <v>41069</v>
      </c>
      <c r="C4264" s="7">
        <f>_xlfn.FLOOR.MATH(Table1[[#This Row],[year]],10)</f>
        <v>2010</v>
      </c>
      <c r="D4264" t="s">
        <v>357</v>
      </c>
      <c r="E4264" t="s">
        <v>54</v>
      </c>
      <c r="F4264">
        <v>1</v>
      </c>
      <c r="G4264">
        <v>1</v>
      </c>
      <c r="H4264" t="s">
        <v>224</v>
      </c>
      <c r="I4264" t="s">
        <v>358</v>
      </c>
      <c r="J4264" t="s">
        <v>357</v>
      </c>
      <c r="K4264" t="b">
        <v>0</v>
      </c>
      <c r="L4264">
        <v>2012</v>
      </c>
      <c r="M4264">
        <v>27305915910</v>
      </c>
      <c r="N4264">
        <v>17660870411</v>
      </c>
      <c r="O4264" t="b">
        <v>0</v>
      </c>
      <c r="P4264">
        <v>0</v>
      </c>
      <c r="Q4264" t="str" cm="1">
        <f t="array" ref="Q4264">_xlfn.IFS(Table1[[#This Row],[Wealthier_Winner]]=-1,"Wealthier Nation Loses",Table1[[#This Row],[Wealthier_Winner]]=0,"Tie",Table1[[#This Row],[Wealthier_Winner]]=1,"Wealthier Nation Wins")</f>
        <v>Tie</v>
      </c>
    </row>
    <row r="4265" spans="1:17" x14ac:dyDescent="0.2">
      <c r="A4265" s="1">
        <v>6395</v>
      </c>
      <c r="B4265" s="2">
        <v>41069</v>
      </c>
      <c r="C4265" s="7">
        <f>_xlfn.FLOOR.MATH(Table1[[#This Row],[year]],10)</f>
        <v>2010</v>
      </c>
      <c r="D4265" t="s">
        <v>258</v>
      </c>
      <c r="E4265" t="s">
        <v>14</v>
      </c>
      <c r="F4265">
        <v>0</v>
      </c>
      <c r="G4265">
        <v>2</v>
      </c>
      <c r="H4265" t="s">
        <v>224</v>
      </c>
      <c r="I4265" t="s">
        <v>701</v>
      </c>
      <c r="J4265" t="s">
        <v>258</v>
      </c>
      <c r="K4265" t="b">
        <v>0</v>
      </c>
      <c r="L4265">
        <v>2012</v>
      </c>
      <c r="M4265">
        <v>372592062768</v>
      </c>
      <c r="N4265">
        <v>267024782486</v>
      </c>
      <c r="O4265" t="b">
        <v>0</v>
      </c>
      <c r="P4265">
        <v>-1</v>
      </c>
      <c r="Q4265" t="str" cm="1">
        <f t="array" ref="Q4265">_xlfn.IFS(Table1[[#This Row],[Wealthier_Winner]]=-1,"Wealthier Nation Loses",Table1[[#This Row],[Wealthier_Winner]]=0,"Tie",Table1[[#This Row],[Wealthier_Winner]]=1,"Wealthier Nation Wins")</f>
        <v>Wealthier Nation Loses</v>
      </c>
    </row>
    <row r="4266" spans="1:17" x14ac:dyDescent="0.2">
      <c r="A4266" s="1">
        <v>6396</v>
      </c>
      <c r="B4266" s="2">
        <v>41069</v>
      </c>
      <c r="C4266" s="7">
        <f>_xlfn.FLOOR.MATH(Table1[[#This Row],[year]],10)</f>
        <v>2010</v>
      </c>
      <c r="D4266" t="s">
        <v>273</v>
      </c>
      <c r="E4266" t="s">
        <v>63</v>
      </c>
      <c r="F4266">
        <v>1</v>
      </c>
      <c r="G4266">
        <v>0</v>
      </c>
      <c r="H4266" t="s">
        <v>224</v>
      </c>
      <c r="I4266" t="s">
        <v>275</v>
      </c>
      <c r="J4266" t="s">
        <v>273</v>
      </c>
      <c r="K4266" t="b">
        <v>0</v>
      </c>
      <c r="L4266">
        <v>2012</v>
      </c>
      <c r="M4266">
        <v>25503060420</v>
      </c>
      <c r="N4266">
        <v>41271701060</v>
      </c>
      <c r="O4266" t="b">
        <v>0</v>
      </c>
      <c r="P4266">
        <v>-1</v>
      </c>
      <c r="Q4266" t="str" cm="1">
        <f t="array" ref="Q4266">_xlfn.IFS(Table1[[#This Row],[Wealthier_Winner]]=-1,"Wealthier Nation Loses",Table1[[#This Row],[Wealthier_Winner]]=0,"Tie",Table1[[#This Row],[Wealthier_Winner]]=1,"Wealthier Nation Wins")</f>
        <v>Wealthier Nation Loses</v>
      </c>
    </row>
    <row r="4267" spans="1:17" x14ac:dyDescent="0.2">
      <c r="A4267" s="1">
        <v>6398</v>
      </c>
      <c r="B4267" s="2">
        <v>41070</v>
      </c>
      <c r="C4267" s="7">
        <f>_xlfn.FLOOR.MATH(Table1[[#This Row],[year]],10)</f>
        <v>2010</v>
      </c>
      <c r="D4267" t="s">
        <v>57</v>
      </c>
      <c r="E4267" t="s">
        <v>15</v>
      </c>
      <c r="F4267">
        <v>1</v>
      </c>
      <c r="G4267">
        <v>0</v>
      </c>
      <c r="H4267" t="s">
        <v>224</v>
      </c>
      <c r="I4267" t="s">
        <v>335</v>
      </c>
      <c r="J4267" t="s">
        <v>57</v>
      </c>
      <c r="K4267" t="b">
        <v>0</v>
      </c>
      <c r="L4267">
        <v>2012</v>
      </c>
      <c r="M4267">
        <v>87735048000</v>
      </c>
      <c r="N4267">
        <v>370691143018</v>
      </c>
      <c r="O4267" t="b">
        <v>1</v>
      </c>
      <c r="P4267">
        <v>-1</v>
      </c>
      <c r="Q4267" t="str" cm="1">
        <f t="array" ref="Q4267">_xlfn.IFS(Table1[[#This Row],[Wealthier_Winner]]=-1,"Wealthier Nation Loses",Table1[[#This Row],[Wealthier_Winner]]=0,"Tie",Table1[[#This Row],[Wealthier_Winner]]=1,"Wealthier Nation Wins")</f>
        <v>Wealthier Nation Loses</v>
      </c>
    </row>
    <row r="4268" spans="1:17" x14ac:dyDescent="0.2">
      <c r="A4268" s="1">
        <v>6399</v>
      </c>
      <c r="B4268" s="2">
        <v>41070</v>
      </c>
      <c r="C4268" s="7">
        <f>_xlfn.FLOOR.MATH(Table1[[#This Row],[year]],10)</f>
        <v>2010</v>
      </c>
      <c r="D4268" t="s">
        <v>238</v>
      </c>
      <c r="E4268" t="s">
        <v>581</v>
      </c>
      <c r="F4268">
        <v>2</v>
      </c>
      <c r="G4268">
        <v>0</v>
      </c>
      <c r="H4268" t="s">
        <v>224</v>
      </c>
      <c r="I4268" t="s">
        <v>288</v>
      </c>
      <c r="J4268" t="s">
        <v>238</v>
      </c>
      <c r="K4268" t="b">
        <v>0</v>
      </c>
      <c r="L4268">
        <v>2012</v>
      </c>
      <c r="M4268">
        <v>43310721414</v>
      </c>
      <c r="N4268">
        <v>2510126512</v>
      </c>
      <c r="O4268" t="b">
        <v>1</v>
      </c>
      <c r="P4268">
        <v>1</v>
      </c>
      <c r="Q4268" t="str" cm="1">
        <f t="array" ref="Q4268">_xlfn.IFS(Table1[[#This Row],[Wealthier_Winner]]=-1,"Wealthier Nation Loses",Table1[[#This Row],[Wealthier_Winner]]=0,"Tie",Table1[[#This Row],[Wealthier_Winner]]=1,"Wealthier Nation Wins")</f>
        <v>Wealthier Nation Wins</v>
      </c>
    </row>
    <row r="4269" spans="1:17" x14ac:dyDescent="0.2">
      <c r="A4269" s="1">
        <v>6400</v>
      </c>
      <c r="B4269" s="2">
        <v>41070</v>
      </c>
      <c r="C4269" s="7">
        <f>_xlfn.FLOOR.MATH(Table1[[#This Row],[year]],10)</f>
        <v>2010</v>
      </c>
      <c r="D4269" t="s">
        <v>305</v>
      </c>
      <c r="E4269" t="s">
        <v>212</v>
      </c>
      <c r="F4269">
        <v>2</v>
      </c>
      <c r="G4269">
        <v>3</v>
      </c>
      <c r="H4269" t="s">
        <v>224</v>
      </c>
      <c r="I4269" t="s">
        <v>306</v>
      </c>
      <c r="J4269" t="s">
        <v>305</v>
      </c>
      <c r="K4269" t="b">
        <v>0</v>
      </c>
      <c r="L4269">
        <v>2012</v>
      </c>
      <c r="M4269">
        <v>7638044556</v>
      </c>
      <c r="N4269">
        <v>279116666666</v>
      </c>
      <c r="O4269" t="b">
        <v>1</v>
      </c>
      <c r="P4269">
        <v>1</v>
      </c>
      <c r="Q4269" t="str" cm="1">
        <f t="array" ref="Q4269">_xlfn.IFS(Table1[[#This Row],[Wealthier_Winner]]=-1,"Wealthier Nation Loses",Table1[[#This Row],[Wealthier_Winner]]=0,"Tie",Table1[[#This Row],[Wealthier_Winner]]=1,"Wealthier Nation Wins")</f>
        <v>Wealthier Nation Wins</v>
      </c>
    </row>
    <row r="4270" spans="1:17" x14ac:dyDescent="0.2">
      <c r="A4270" s="1">
        <v>6401</v>
      </c>
      <c r="B4270" s="2">
        <v>41070</v>
      </c>
      <c r="C4270" s="7">
        <f>_xlfn.FLOOR.MATH(Table1[[#This Row],[year]],10)</f>
        <v>2010</v>
      </c>
      <c r="D4270" t="s">
        <v>307</v>
      </c>
      <c r="E4270" t="s">
        <v>274</v>
      </c>
      <c r="F4270">
        <v>0</v>
      </c>
      <c r="G4270">
        <v>0</v>
      </c>
      <c r="H4270" t="s">
        <v>224</v>
      </c>
      <c r="I4270" t="s">
        <v>308</v>
      </c>
      <c r="J4270" t="s">
        <v>307</v>
      </c>
      <c r="K4270" t="b">
        <v>0</v>
      </c>
      <c r="L4270">
        <v>2012</v>
      </c>
      <c r="M4270">
        <v>2477702216</v>
      </c>
      <c r="N4270">
        <v>37632919966</v>
      </c>
      <c r="O4270" t="b">
        <v>1</v>
      </c>
      <c r="P4270">
        <v>0</v>
      </c>
      <c r="Q4270" t="str" cm="1">
        <f t="array" ref="Q4270">_xlfn.IFS(Table1[[#This Row],[Wealthier_Winner]]=-1,"Wealthier Nation Loses",Table1[[#This Row],[Wealthier_Winner]]=0,"Tie",Table1[[#This Row],[Wealthier_Winner]]=1,"Wealthier Nation Wins")</f>
        <v>Tie</v>
      </c>
    </row>
    <row r="4271" spans="1:17" x14ac:dyDescent="0.2">
      <c r="A4271" s="1">
        <v>6402</v>
      </c>
      <c r="B4271" s="2">
        <v>41070</v>
      </c>
      <c r="C4271" s="7">
        <f>_xlfn.FLOOR.MATH(Table1[[#This Row],[year]],10)</f>
        <v>2010</v>
      </c>
      <c r="D4271" t="s">
        <v>378</v>
      </c>
      <c r="E4271" t="s">
        <v>60</v>
      </c>
      <c r="F4271">
        <v>0</v>
      </c>
      <c r="G4271">
        <v>0</v>
      </c>
      <c r="H4271" t="s">
        <v>224</v>
      </c>
      <c r="I4271" t="s">
        <v>379</v>
      </c>
      <c r="J4271" t="s">
        <v>378</v>
      </c>
      <c r="K4271" t="b">
        <v>0</v>
      </c>
      <c r="L4271">
        <v>2012</v>
      </c>
      <c r="M4271">
        <v>2791614000</v>
      </c>
      <c r="N4271">
        <v>143572907527</v>
      </c>
      <c r="O4271" t="b">
        <v>1</v>
      </c>
      <c r="P4271">
        <v>0</v>
      </c>
      <c r="Q4271" t="str" cm="1">
        <f t="array" ref="Q4271">_xlfn.IFS(Table1[[#This Row],[Wealthier_Winner]]=-1,"Wealthier Nation Loses",Table1[[#This Row],[Wealthier_Winner]]=0,"Tie",Table1[[#This Row],[Wealthier_Winner]]=1,"Wealthier Nation Wins")</f>
        <v>Tie</v>
      </c>
    </row>
    <row r="4272" spans="1:17" x14ac:dyDescent="0.2">
      <c r="A4272" s="1">
        <v>6403</v>
      </c>
      <c r="B4272" s="2">
        <v>41070</v>
      </c>
      <c r="C4272" s="7">
        <f>_xlfn.FLOOR.MATH(Table1[[#This Row],[year]],10)</f>
        <v>2010</v>
      </c>
      <c r="D4272" t="s">
        <v>286</v>
      </c>
      <c r="E4272" t="s">
        <v>40</v>
      </c>
      <c r="F4272">
        <v>2</v>
      </c>
      <c r="G4272">
        <v>1</v>
      </c>
      <c r="H4272" t="s">
        <v>224</v>
      </c>
      <c r="I4272" t="s">
        <v>753</v>
      </c>
      <c r="J4272" t="s">
        <v>53</v>
      </c>
      <c r="K4272" t="b">
        <v>1</v>
      </c>
      <c r="L4272">
        <v>2012</v>
      </c>
      <c r="M4272">
        <v>92540938129</v>
      </c>
      <c r="N4272">
        <v>30155062329</v>
      </c>
      <c r="O4272" t="b">
        <v>1</v>
      </c>
      <c r="P4272">
        <v>1</v>
      </c>
      <c r="Q4272" t="str" cm="1">
        <f t="array" ref="Q4272">_xlfn.IFS(Table1[[#This Row],[Wealthier_Winner]]=-1,"Wealthier Nation Loses",Table1[[#This Row],[Wealthier_Winner]]=0,"Tie",Table1[[#This Row],[Wealthier_Winner]]=1,"Wealthier Nation Wins")</f>
        <v>Wealthier Nation Wins</v>
      </c>
    </row>
    <row r="4273" spans="1:17" x14ac:dyDescent="0.2">
      <c r="A4273" s="1">
        <v>6404</v>
      </c>
      <c r="B4273" s="2">
        <v>41070</v>
      </c>
      <c r="C4273" s="7">
        <f>_xlfn.FLOOR.MATH(Table1[[#This Row],[year]],10)</f>
        <v>2010</v>
      </c>
      <c r="D4273" t="s">
        <v>590</v>
      </c>
      <c r="E4273" t="s">
        <v>32</v>
      </c>
      <c r="F4273">
        <v>2</v>
      </c>
      <c r="G4273">
        <v>1</v>
      </c>
      <c r="H4273" t="s">
        <v>224</v>
      </c>
      <c r="I4273" t="s">
        <v>347</v>
      </c>
      <c r="J4273" t="s">
        <v>345</v>
      </c>
      <c r="K4273" t="b">
        <v>1</v>
      </c>
      <c r="L4273">
        <v>2012</v>
      </c>
      <c r="M4273">
        <v>14795114602</v>
      </c>
      <c r="N4273">
        <v>227143746075</v>
      </c>
      <c r="O4273" t="b">
        <v>1</v>
      </c>
      <c r="P4273">
        <v>-1</v>
      </c>
      <c r="Q4273" t="str" cm="1">
        <f t="array" ref="Q4273">_xlfn.IFS(Table1[[#This Row],[Wealthier_Winner]]=-1,"Wealthier Nation Loses",Table1[[#This Row],[Wealthier_Winner]]=0,"Tie",Table1[[#This Row],[Wealthier_Winner]]=1,"Wealthier Nation Wins")</f>
        <v>Wealthier Nation Loses</v>
      </c>
    </row>
    <row r="4274" spans="1:17" x14ac:dyDescent="0.2">
      <c r="A4274" s="1">
        <v>6405</v>
      </c>
      <c r="B4274" s="2">
        <v>41070</v>
      </c>
      <c r="C4274" s="7">
        <f>_xlfn.FLOOR.MATH(Table1[[#This Row],[year]],10)</f>
        <v>2010</v>
      </c>
      <c r="D4274" t="s">
        <v>300</v>
      </c>
      <c r="E4274" t="s">
        <v>298</v>
      </c>
      <c r="F4274">
        <v>0</v>
      </c>
      <c r="G4274">
        <v>0</v>
      </c>
      <c r="H4274" t="s">
        <v>224</v>
      </c>
      <c r="I4274" t="s">
        <v>299</v>
      </c>
      <c r="J4274" t="s">
        <v>300</v>
      </c>
      <c r="K4274" t="b">
        <v>0</v>
      </c>
      <c r="L4274">
        <v>2012</v>
      </c>
      <c r="M4274">
        <v>16688114144</v>
      </c>
      <c r="N4274">
        <v>17123500000</v>
      </c>
      <c r="O4274" t="b">
        <v>0</v>
      </c>
      <c r="P4274">
        <v>0</v>
      </c>
      <c r="Q4274" t="str" cm="1">
        <f t="array" ref="Q4274">_xlfn.IFS(Table1[[#This Row],[Wealthier_Winner]]=-1,"Wealthier Nation Loses",Table1[[#This Row],[Wealthier_Winner]]=0,"Tie",Table1[[#This Row],[Wealthier_Winner]]=1,"Wealthier Nation Wins")</f>
        <v>Tie</v>
      </c>
    </row>
    <row r="4275" spans="1:17" x14ac:dyDescent="0.2">
      <c r="A4275" s="1">
        <v>6406</v>
      </c>
      <c r="B4275" s="2">
        <v>41070</v>
      </c>
      <c r="C4275" s="7">
        <f>_xlfn.FLOOR.MATH(Table1[[#This Row],[year]],10)</f>
        <v>2010</v>
      </c>
      <c r="D4275" t="s">
        <v>514</v>
      </c>
      <c r="E4275" t="s">
        <v>310</v>
      </c>
      <c r="F4275">
        <v>1</v>
      </c>
      <c r="G4275">
        <v>1</v>
      </c>
      <c r="H4275" t="s">
        <v>224</v>
      </c>
      <c r="I4275" t="s">
        <v>515</v>
      </c>
      <c r="J4275" t="s">
        <v>514</v>
      </c>
      <c r="K4275" t="b">
        <v>0</v>
      </c>
      <c r="L4275">
        <v>2012</v>
      </c>
      <c r="M4275">
        <v>7654761050</v>
      </c>
      <c r="N4275">
        <v>11141358115</v>
      </c>
      <c r="O4275" t="b">
        <v>0</v>
      </c>
      <c r="P4275">
        <v>0</v>
      </c>
      <c r="Q4275" t="str" cm="1">
        <f t="array" ref="Q4275">_xlfn.IFS(Table1[[#This Row],[Wealthier_Winner]]=-1,"Wealthier Nation Loses",Table1[[#This Row],[Wealthier_Winner]]=0,"Tie",Table1[[#This Row],[Wealthier_Winner]]=1,"Wealthier Nation Wins")</f>
        <v>Tie</v>
      </c>
    </row>
    <row r="4276" spans="1:17" x14ac:dyDescent="0.2">
      <c r="A4276" s="1">
        <v>6408</v>
      </c>
      <c r="B4276" s="2">
        <v>41070</v>
      </c>
      <c r="C4276" s="7">
        <f>_xlfn.FLOOR.MATH(Table1[[#This Row],[year]],10)</f>
        <v>2010</v>
      </c>
      <c r="D4276" t="s">
        <v>26</v>
      </c>
      <c r="E4276" t="s">
        <v>31</v>
      </c>
      <c r="F4276">
        <v>4</v>
      </c>
      <c r="G4276">
        <v>2</v>
      </c>
      <c r="H4276" t="s">
        <v>224</v>
      </c>
      <c r="I4276" t="s">
        <v>247</v>
      </c>
      <c r="J4276" t="s">
        <v>26</v>
      </c>
      <c r="K4276" t="b">
        <v>0</v>
      </c>
      <c r="L4276">
        <v>2012</v>
      </c>
      <c r="M4276">
        <v>54232266358</v>
      </c>
      <c r="N4276">
        <v>192650021648</v>
      </c>
      <c r="O4276" t="b">
        <v>1</v>
      </c>
      <c r="P4276">
        <v>-1</v>
      </c>
      <c r="Q4276" t="str" cm="1">
        <f t="array" ref="Q4276">_xlfn.IFS(Table1[[#This Row],[Wealthier_Winner]]=-1,"Wealthier Nation Loses",Table1[[#This Row],[Wealthier_Winner]]=0,"Tie",Table1[[#This Row],[Wealthier_Winner]]=1,"Wealthier Nation Wins")</f>
        <v>Wealthier Nation Loses</v>
      </c>
    </row>
    <row r="4277" spans="1:17" x14ac:dyDescent="0.2">
      <c r="A4277" s="1">
        <v>6409</v>
      </c>
      <c r="B4277" s="2">
        <v>41072</v>
      </c>
      <c r="C4277" s="7">
        <f>_xlfn.FLOOR.MATH(Table1[[#This Row],[year]],10)</f>
        <v>2010</v>
      </c>
      <c r="D4277" t="s">
        <v>449</v>
      </c>
      <c r="E4277" t="s">
        <v>49</v>
      </c>
      <c r="F4277">
        <v>0</v>
      </c>
      <c r="G4277">
        <v>0</v>
      </c>
      <c r="H4277" t="s">
        <v>224</v>
      </c>
      <c r="I4277" t="s">
        <v>450</v>
      </c>
      <c r="J4277" t="s">
        <v>449</v>
      </c>
      <c r="K4277" t="b">
        <v>0</v>
      </c>
      <c r="L4277">
        <v>2012</v>
      </c>
      <c r="M4277">
        <v>1364729629</v>
      </c>
      <c r="N4277">
        <v>14807086555</v>
      </c>
      <c r="O4277" t="b">
        <v>1</v>
      </c>
      <c r="P4277">
        <v>0</v>
      </c>
      <c r="Q4277" t="str" cm="1">
        <f t="array" ref="Q4277">_xlfn.IFS(Table1[[#This Row],[Wealthier_Winner]]=-1,"Wealthier Nation Loses",Table1[[#This Row],[Wealthier_Winner]]=0,"Tie",Table1[[#This Row],[Wealthier_Winner]]=1,"Wealthier Nation Wins")</f>
        <v>Tie</v>
      </c>
    </row>
    <row r="4278" spans="1:17" x14ac:dyDescent="0.2">
      <c r="A4278" s="1">
        <v>6410</v>
      </c>
      <c r="B4278" s="2">
        <v>41072</v>
      </c>
      <c r="C4278" s="7">
        <f>_xlfn.FLOOR.MATH(Table1[[#This Row],[year]],10)</f>
        <v>2010</v>
      </c>
      <c r="D4278" t="s">
        <v>28</v>
      </c>
      <c r="E4278" t="s">
        <v>51</v>
      </c>
      <c r="F4278">
        <v>1</v>
      </c>
      <c r="G4278">
        <v>1</v>
      </c>
      <c r="H4278" t="s">
        <v>224</v>
      </c>
      <c r="I4278" t="s">
        <v>695</v>
      </c>
      <c r="J4278" t="s">
        <v>28</v>
      </c>
      <c r="K4278" t="b">
        <v>0</v>
      </c>
      <c r="L4278">
        <v>2012</v>
      </c>
      <c r="M4278">
        <v>1552728401401</v>
      </c>
      <c r="N4278">
        <v>6272362996105</v>
      </c>
      <c r="O4278" t="b">
        <v>1</v>
      </c>
      <c r="P4278">
        <v>0</v>
      </c>
      <c r="Q4278" t="str" cm="1">
        <f t="array" ref="Q4278">_xlfn.IFS(Table1[[#This Row],[Wealthier_Winner]]=-1,"Wealthier Nation Loses",Table1[[#This Row],[Wealthier_Winner]]=0,"Tie",Table1[[#This Row],[Wealthier_Winner]]=1,"Wealthier Nation Wins")</f>
        <v>Tie</v>
      </c>
    </row>
    <row r="4279" spans="1:17" x14ac:dyDescent="0.2">
      <c r="A4279" s="1">
        <v>6411</v>
      </c>
      <c r="B4279" s="2">
        <v>41072</v>
      </c>
      <c r="C4279" s="7">
        <f>_xlfn.FLOOR.MATH(Table1[[#This Row],[year]],10)</f>
        <v>2010</v>
      </c>
      <c r="D4279" t="s">
        <v>34</v>
      </c>
      <c r="E4279" t="s">
        <v>65</v>
      </c>
      <c r="F4279">
        <v>0</v>
      </c>
      <c r="G4279">
        <v>0</v>
      </c>
      <c r="H4279" t="s">
        <v>224</v>
      </c>
      <c r="I4279" t="s">
        <v>267</v>
      </c>
      <c r="J4279" t="s">
        <v>34</v>
      </c>
      <c r="K4279" t="b">
        <v>0</v>
      </c>
      <c r="L4279">
        <v>2012</v>
      </c>
      <c r="M4279">
        <v>1828366481521</v>
      </c>
      <c r="N4279">
        <v>18528554397</v>
      </c>
      <c r="O4279" t="b">
        <v>1</v>
      </c>
      <c r="P4279">
        <v>0</v>
      </c>
      <c r="Q4279" t="str" cm="1">
        <f t="array" ref="Q4279">_xlfn.IFS(Table1[[#This Row],[Wealthier_Winner]]=-1,"Wealthier Nation Loses",Table1[[#This Row],[Wealthier_Winner]]=0,"Tie",Table1[[#This Row],[Wealthier_Winner]]=1,"Wealthier Nation Wins")</f>
        <v>Tie</v>
      </c>
    </row>
    <row r="4280" spans="1:17" x14ac:dyDescent="0.2">
      <c r="A4280" s="1">
        <v>6412</v>
      </c>
      <c r="B4280" s="2">
        <v>41072</v>
      </c>
      <c r="C4280" s="7">
        <f>_xlfn.FLOOR.MATH(Table1[[#This Row],[year]],10)</f>
        <v>2010</v>
      </c>
      <c r="D4280" t="s">
        <v>69</v>
      </c>
      <c r="E4280" t="s">
        <v>17</v>
      </c>
      <c r="F4280">
        <v>1</v>
      </c>
      <c r="G4280">
        <v>2</v>
      </c>
      <c r="H4280" t="s">
        <v>224</v>
      </c>
      <c r="I4280" t="s">
        <v>281</v>
      </c>
      <c r="J4280" t="s">
        <v>69</v>
      </c>
      <c r="K4280" t="b">
        <v>0</v>
      </c>
      <c r="L4280">
        <v>2012</v>
      </c>
      <c r="M4280">
        <v>21386150000</v>
      </c>
      <c r="N4280">
        <v>1255110424817</v>
      </c>
      <c r="O4280" t="b">
        <v>1</v>
      </c>
      <c r="P4280">
        <v>1</v>
      </c>
      <c r="Q4280" t="str" cm="1">
        <f t="array" ref="Q4280">_xlfn.IFS(Table1[[#This Row],[Wealthier_Winner]]=-1,"Wealthier Nation Loses",Table1[[#This Row],[Wealthier_Winner]]=0,"Tie",Table1[[#This Row],[Wealthier_Winner]]=1,"Wealthier Nation Wins")</f>
        <v>Wealthier Nation Wins</v>
      </c>
    </row>
    <row r="4281" spans="1:17" x14ac:dyDescent="0.2">
      <c r="A4281" s="1">
        <v>6413</v>
      </c>
      <c r="B4281" s="2">
        <v>41072</v>
      </c>
      <c r="C4281" s="7">
        <f>_xlfn.FLOOR.MATH(Table1[[#This Row],[year]],10)</f>
        <v>2010</v>
      </c>
      <c r="D4281" t="s">
        <v>223</v>
      </c>
      <c r="E4281" t="s">
        <v>41</v>
      </c>
      <c r="F4281">
        <v>1</v>
      </c>
      <c r="G4281">
        <v>1</v>
      </c>
      <c r="H4281" t="s">
        <v>224</v>
      </c>
      <c r="I4281" t="s">
        <v>227</v>
      </c>
      <c r="J4281" t="s">
        <v>223</v>
      </c>
      <c r="K4281" t="b">
        <v>0</v>
      </c>
      <c r="L4281">
        <v>2012</v>
      </c>
      <c r="M4281">
        <v>49593929487</v>
      </c>
      <c r="N4281">
        <v>16253972230000</v>
      </c>
      <c r="O4281" t="b">
        <v>1</v>
      </c>
      <c r="P4281">
        <v>0</v>
      </c>
      <c r="Q4281" t="str" cm="1">
        <f t="array" ref="Q4281">_xlfn.IFS(Table1[[#This Row],[Wealthier_Winner]]=-1,"Wealthier Nation Loses",Table1[[#This Row],[Wealthier_Winner]]=0,"Tie",Table1[[#This Row],[Wealthier_Winner]]=1,"Wealthier Nation Wins")</f>
        <v>Tie</v>
      </c>
    </row>
    <row r="4282" spans="1:17" x14ac:dyDescent="0.2">
      <c r="A4282" s="1">
        <v>6414</v>
      </c>
      <c r="B4282" s="2">
        <v>41072</v>
      </c>
      <c r="C4282" s="7">
        <f>_xlfn.FLOOR.MATH(Table1[[#This Row],[year]],10)</f>
        <v>2010</v>
      </c>
      <c r="D4282" t="s">
        <v>445</v>
      </c>
      <c r="E4282" t="s">
        <v>56</v>
      </c>
      <c r="F4282">
        <v>0</v>
      </c>
      <c r="G4282">
        <v>4</v>
      </c>
      <c r="H4282" t="s">
        <v>224</v>
      </c>
      <c r="I4282" t="s">
        <v>703</v>
      </c>
      <c r="J4282" t="s">
        <v>445</v>
      </c>
      <c r="K4282" t="b">
        <v>0</v>
      </c>
      <c r="L4282">
        <v>2012</v>
      </c>
      <c r="M4282">
        <v>4063088535</v>
      </c>
      <c r="N4282">
        <v>47231655431</v>
      </c>
      <c r="O4282" t="b">
        <v>1</v>
      </c>
      <c r="P4282">
        <v>1</v>
      </c>
      <c r="Q4282" t="str" cm="1">
        <f t="array" ref="Q4282">_xlfn.IFS(Table1[[#This Row],[Wealthier_Winner]]=-1,"Wealthier Nation Loses",Table1[[#This Row],[Wealthier_Winner]]=0,"Tie",Table1[[#This Row],[Wealthier_Winner]]=1,"Wealthier Nation Wins")</f>
        <v>Wealthier Nation Wins</v>
      </c>
    </row>
    <row r="4283" spans="1:17" x14ac:dyDescent="0.2">
      <c r="A4283" s="1">
        <v>6415</v>
      </c>
      <c r="B4283" s="2">
        <v>41072</v>
      </c>
      <c r="C4283" s="7">
        <f>_xlfn.FLOOR.MATH(Table1[[#This Row],[year]],10)</f>
        <v>2010</v>
      </c>
      <c r="D4283" t="s">
        <v>210</v>
      </c>
      <c r="E4283" t="s">
        <v>68</v>
      </c>
      <c r="F4283">
        <v>0</v>
      </c>
      <c r="G4283">
        <v>0</v>
      </c>
      <c r="H4283" t="s">
        <v>224</v>
      </c>
      <c r="I4283" t="s">
        <v>332</v>
      </c>
      <c r="J4283" t="s">
        <v>210</v>
      </c>
      <c r="K4283" t="b">
        <v>0</v>
      </c>
      <c r="L4283">
        <v>2012</v>
      </c>
      <c r="M4283">
        <v>644019315003</v>
      </c>
      <c r="N4283">
        <v>186833516483</v>
      </c>
      <c r="O4283" t="b">
        <v>1</v>
      </c>
      <c r="P4283">
        <v>0</v>
      </c>
      <c r="Q4283" t="str" cm="1">
        <f t="array" ref="Q4283">_xlfn.IFS(Table1[[#This Row],[Wealthier_Winner]]=-1,"Wealthier Nation Loses",Table1[[#This Row],[Wealthier_Winner]]=0,"Tie",Table1[[#This Row],[Wealthier_Winner]]=1,"Wealthier Nation Wins")</f>
        <v>Tie</v>
      </c>
    </row>
    <row r="4284" spans="1:17" x14ac:dyDescent="0.2">
      <c r="A4284" s="1">
        <v>6416</v>
      </c>
      <c r="B4284" s="2">
        <v>41072</v>
      </c>
      <c r="C4284" s="7">
        <f>_xlfn.FLOOR.MATH(Table1[[#This Row],[year]],10)</f>
        <v>2010</v>
      </c>
      <c r="D4284" t="s">
        <v>37</v>
      </c>
      <c r="E4284" t="s">
        <v>429</v>
      </c>
      <c r="F4284">
        <v>1</v>
      </c>
      <c r="G4284">
        <v>1</v>
      </c>
      <c r="H4284" t="s">
        <v>224</v>
      </c>
      <c r="I4284" t="s">
        <v>190</v>
      </c>
      <c r="J4284" t="s">
        <v>68</v>
      </c>
      <c r="K4284" t="b">
        <v>1</v>
      </c>
      <c r="L4284">
        <v>2012</v>
      </c>
      <c r="M4284">
        <v>218002476129</v>
      </c>
      <c r="N4284">
        <v>87408842652</v>
      </c>
      <c r="O4284" t="b">
        <v>1</v>
      </c>
      <c r="P4284">
        <v>0</v>
      </c>
      <c r="Q4284" t="str" cm="1">
        <f t="array" ref="Q4284">_xlfn.IFS(Table1[[#This Row],[Wealthier_Winner]]=-1,"Wealthier Nation Loses",Table1[[#This Row],[Wealthier_Winner]]=0,"Tie",Table1[[#This Row],[Wealthier_Winner]]=1,"Wealthier Nation Wins")</f>
        <v>Tie</v>
      </c>
    </row>
    <row r="4285" spans="1:17" x14ac:dyDescent="0.2">
      <c r="A4285" s="1">
        <v>6417</v>
      </c>
      <c r="B4285" s="2">
        <v>41072</v>
      </c>
      <c r="C4285" s="7">
        <f>_xlfn.FLOOR.MATH(Table1[[#This Row],[year]],10)</f>
        <v>2010</v>
      </c>
      <c r="D4285" t="s">
        <v>195</v>
      </c>
      <c r="E4285" t="s">
        <v>479</v>
      </c>
      <c r="F4285">
        <v>3</v>
      </c>
      <c r="G4285">
        <v>0</v>
      </c>
      <c r="H4285" t="s">
        <v>224</v>
      </c>
      <c r="I4285" t="s">
        <v>745</v>
      </c>
      <c r="J4285" t="s">
        <v>195</v>
      </c>
      <c r="K4285" t="b">
        <v>0</v>
      </c>
      <c r="L4285">
        <v>2012</v>
      </c>
      <c r="M4285">
        <v>1335343586437</v>
      </c>
      <c r="N4285">
        <v>44016799515</v>
      </c>
      <c r="O4285" t="b">
        <v>1</v>
      </c>
      <c r="P4285">
        <v>1</v>
      </c>
      <c r="Q4285" t="str" cm="1">
        <f t="array" ref="Q4285">_xlfn.IFS(Table1[[#This Row],[Wealthier_Winner]]=-1,"Wealthier Nation Loses",Table1[[#This Row],[Wealthier_Winner]]=0,"Tie",Table1[[#This Row],[Wealthier_Winner]]=1,"Wealthier Nation Wins")</f>
        <v>Wealthier Nation Wins</v>
      </c>
    </row>
    <row r="4286" spans="1:17" x14ac:dyDescent="0.2">
      <c r="A4286" s="1">
        <v>6418</v>
      </c>
      <c r="B4286" s="2">
        <v>41072</v>
      </c>
      <c r="C4286" s="7">
        <f>_xlfn.FLOOR.MATH(Table1[[#This Row],[year]],10)</f>
        <v>2010</v>
      </c>
      <c r="D4286" t="s">
        <v>67</v>
      </c>
      <c r="E4286" t="s">
        <v>517</v>
      </c>
      <c r="F4286">
        <v>1</v>
      </c>
      <c r="G4286">
        <v>0</v>
      </c>
      <c r="H4286" t="s">
        <v>224</v>
      </c>
      <c r="I4286" t="s">
        <v>455</v>
      </c>
      <c r="J4286" t="s">
        <v>67</v>
      </c>
      <c r="K4286" t="b">
        <v>0</v>
      </c>
      <c r="L4286">
        <v>2012</v>
      </c>
      <c r="M4286">
        <v>41595439720</v>
      </c>
      <c r="N4286">
        <v>73141000000</v>
      </c>
      <c r="O4286" t="b">
        <v>0</v>
      </c>
      <c r="P4286">
        <v>-1</v>
      </c>
      <c r="Q4286" t="str" cm="1">
        <f t="array" ref="Q4286">_xlfn.IFS(Table1[[#This Row],[Wealthier_Winner]]=-1,"Wealthier Nation Loses",Table1[[#This Row],[Wealthier_Winner]]=0,"Tie",Table1[[#This Row],[Wealthier_Winner]]=1,"Wealthier Nation Wins")</f>
        <v>Wealthier Nation Loses</v>
      </c>
    </row>
    <row r="4287" spans="1:17" x14ac:dyDescent="0.2">
      <c r="A4287" s="1">
        <v>6419</v>
      </c>
      <c r="B4287" s="2">
        <v>41159</v>
      </c>
      <c r="C4287" s="7">
        <f>_xlfn.FLOOR.MATH(Table1[[#This Row],[year]],10)</f>
        <v>2010</v>
      </c>
      <c r="D4287" t="s">
        <v>373</v>
      </c>
      <c r="E4287" t="s">
        <v>351</v>
      </c>
      <c r="F4287">
        <v>3</v>
      </c>
      <c r="G4287">
        <v>1</v>
      </c>
      <c r="H4287" t="s">
        <v>224</v>
      </c>
      <c r="I4287" t="s">
        <v>374</v>
      </c>
      <c r="J4287" t="s">
        <v>373</v>
      </c>
      <c r="K4287" t="b">
        <v>0</v>
      </c>
      <c r="L4287">
        <v>2012</v>
      </c>
      <c r="M4287">
        <v>12246499747</v>
      </c>
      <c r="N4287">
        <v>25047436974</v>
      </c>
      <c r="O4287" t="b">
        <v>1</v>
      </c>
      <c r="P4287">
        <v>-1</v>
      </c>
      <c r="Q4287" t="str" cm="1">
        <f t="array" ref="Q4287">_xlfn.IFS(Table1[[#This Row],[Wealthier_Winner]]=-1,"Wealthier Nation Loses",Table1[[#This Row],[Wealthier_Winner]]=0,"Tie",Table1[[#This Row],[Wealthier_Winner]]=1,"Wealthier Nation Wins")</f>
        <v>Wealthier Nation Loses</v>
      </c>
    </row>
    <row r="4288" spans="1:17" x14ac:dyDescent="0.2">
      <c r="A4288" s="1">
        <v>6420</v>
      </c>
      <c r="B4288" s="2">
        <v>41159</v>
      </c>
      <c r="C4288" s="7">
        <f>_xlfn.FLOOR.MATH(Table1[[#This Row],[year]],10)</f>
        <v>2010</v>
      </c>
      <c r="D4288" t="s">
        <v>601</v>
      </c>
      <c r="E4288" t="s">
        <v>30</v>
      </c>
      <c r="F4288">
        <v>0</v>
      </c>
      <c r="G4288">
        <v>5</v>
      </c>
      <c r="H4288" t="s">
        <v>224</v>
      </c>
      <c r="I4288" t="s">
        <v>602</v>
      </c>
      <c r="J4288" t="s">
        <v>601</v>
      </c>
      <c r="K4288" t="b">
        <v>0</v>
      </c>
      <c r="L4288">
        <v>2012</v>
      </c>
      <c r="M4288">
        <v>3188653258</v>
      </c>
      <c r="N4288">
        <v>128470269689</v>
      </c>
      <c r="O4288" t="b">
        <v>1</v>
      </c>
      <c r="P4288">
        <v>1</v>
      </c>
      <c r="Q4288" t="str" cm="1">
        <f t="array" ref="Q4288">_xlfn.IFS(Table1[[#This Row],[Wealthier_Winner]]=-1,"Wealthier Nation Loses",Table1[[#This Row],[Wealthier_Winner]]=0,"Tie",Table1[[#This Row],[Wealthier_Winner]]=1,"Wealthier Nation Wins")</f>
        <v>Wealthier Nation Wins</v>
      </c>
    </row>
    <row r="4289" spans="1:17" x14ac:dyDescent="0.2">
      <c r="A4289" s="1">
        <v>6421</v>
      </c>
      <c r="B4289" s="2">
        <v>41159</v>
      </c>
      <c r="C4289" s="7">
        <f>_xlfn.FLOOR.MATH(Table1[[#This Row],[year]],10)</f>
        <v>2010</v>
      </c>
      <c r="D4289" t="s">
        <v>19</v>
      </c>
      <c r="E4289" t="s">
        <v>35</v>
      </c>
      <c r="F4289">
        <v>3</v>
      </c>
      <c r="G4289">
        <v>1</v>
      </c>
      <c r="H4289" t="s">
        <v>224</v>
      </c>
      <c r="I4289" t="s">
        <v>368</v>
      </c>
      <c r="J4289" t="s">
        <v>19</v>
      </c>
      <c r="K4289" t="b">
        <v>0</v>
      </c>
      <c r="L4289">
        <v>2012</v>
      </c>
      <c r="M4289">
        <v>545982375701</v>
      </c>
      <c r="N4289">
        <v>33271921136</v>
      </c>
      <c r="O4289" t="b">
        <v>1</v>
      </c>
      <c r="P4289">
        <v>1</v>
      </c>
      <c r="Q4289" t="str" cm="1">
        <f t="array" ref="Q4289">_xlfn.IFS(Table1[[#This Row],[Wealthier_Winner]]=-1,"Wealthier Nation Loses",Table1[[#This Row],[Wealthier_Winner]]=0,"Tie",Table1[[#This Row],[Wealthier_Winner]]=1,"Wealthier Nation Wins")</f>
        <v>Wealthier Nation Wins</v>
      </c>
    </row>
    <row r="4290" spans="1:17" x14ac:dyDescent="0.2">
      <c r="A4290" s="1">
        <v>6422</v>
      </c>
      <c r="B4290" s="2">
        <v>41159</v>
      </c>
      <c r="C4290" s="7">
        <f>_xlfn.FLOOR.MATH(Table1[[#This Row],[year]],10)</f>
        <v>2010</v>
      </c>
      <c r="D4290" t="s">
        <v>513</v>
      </c>
      <c r="E4290" t="s">
        <v>22</v>
      </c>
      <c r="F4290">
        <v>1</v>
      </c>
      <c r="G4290">
        <v>1</v>
      </c>
      <c r="H4290" t="s">
        <v>224</v>
      </c>
      <c r="I4290" t="s">
        <v>521</v>
      </c>
      <c r="J4290" t="s">
        <v>513</v>
      </c>
      <c r="K4290" t="b">
        <v>0</v>
      </c>
      <c r="L4290">
        <v>2012</v>
      </c>
      <c r="M4290">
        <v>69679944504</v>
      </c>
      <c r="N4290">
        <v>263589172712</v>
      </c>
      <c r="O4290" t="b">
        <v>1</v>
      </c>
      <c r="P4290">
        <v>0</v>
      </c>
      <c r="Q4290" t="str" cm="1">
        <f t="array" ref="Q4290">_xlfn.IFS(Table1[[#This Row],[Wealthier_Winner]]=-1,"Wealthier Nation Loses",Table1[[#This Row],[Wealthier_Winner]]=0,"Tie",Table1[[#This Row],[Wealthier_Winner]]=1,"Wealthier Nation Wins")</f>
        <v>Tie</v>
      </c>
    </row>
    <row r="4291" spans="1:17" x14ac:dyDescent="0.2">
      <c r="A4291" s="1">
        <v>6423</v>
      </c>
      <c r="B4291" s="2">
        <v>41159</v>
      </c>
      <c r="C4291" s="7">
        <f>_xlfn.FLOOR.MATH(Table1[[#This Row],[year]],10)</f>
        <v>2010</v>
      </c>
      <c r="D4291" t="s">
        <v>33</v>
      </c>
      <c r="E4291" t="s">
        <v>18</v>
      </c>
      <c r="F4291">
        <v>2</v>
      </c>
      <c r="G4291">
        <v>2</v>
      </c>
      <c r="H4291" t="s">
        <v>224</v>
      </c>
      <c r="I4291" t="s">
        <v>375</v>
      </c>
      <c r="J4291" t="s">
        <v>33</v>
      </c>
      <c r="K4291" t="b">
        <v>0</v>
      </c>
      <c r="L4291">
        <v>2012</v>
      </c>
      <c r="M4291">
        <v>54297052002</v>
      </c>
      <c r="N4291">
        <v>2097929495121</v>
      </c>
      <c r="O4291" t="b">
        <v>1</v>
      </c>
      <c r="P4291">
        <v>0</v>
      </c>
      <c r="Q4291" t="str" cm="1">
        <f t="array" ref="Q4291">_xlfn.IFS(Table1[[#This Row],[Wealthier_Winner]]=-1,"Wealthier Nation Loses",Table1[[#This Row],[Wealthier_Winner]]=0,"Tie",Table1[[#This Row],[Wealthier_Winner]]=1,"Wealthier Nation Wins")</f>
        <v>Tie</v>
      </c>
    </row>
    <row r="4292" spans="1:17" x14ac:dyDescent="0.2">
      <c r="A4292" s="1">
        <v>6424</v>
      </c>
      <c r="B4292" s="2">
        <v>41159</v>
      </c>
      <c r="C4292" s="7">
        <f>_xlfn.FLOOR.MATH(Table1[[#This Row],[year]],10)</f>
        <v>2010</v>
      </c>
      <c r="D4292" t="s">
        <v>34</v>
      </c>
      <c r="E4292" t="s">
        <v>67</v>
      </c>
      <c r="F4292">
        <v>1</v>
      </c>
      <c r="G4292">
        <v>0</v>
      </c>
      <c r="H4292" t="s">
        <v>224</v>
      </c>
      <c r="I4292" t="s">
        <v>267</v>
      </c>
      <c r="J4292" t="s">
        <v>34</v>
      </c>
      <c r="K4292" t="b">
        <v>0</v>
      </c>
      <c r="L4292">
        <v>2012</v>
      </c>
      <c r="M4292">
        <v>1828366481521</v>
      </c>
      <c r="N4292">
        <v>41595439720</v>
      </c>
      <c r="O4292" t="b">
        <v>1</v>
      </c>
      <c r="P4292">
        <v>1</v>
      </c>
      <c r="Q4292" t="str" cm="1">
        <f t="array" ref="Q4292">_xlfn.IFS(Table1[[#This Row],[Wealthier_Winner]]=-1,"Wealthier Nation Loses",Table1[[#This Row],[Wealthier_Winner]]=0,"Tie",Table1[[#This Row],[Wealthier_Winner]]=1,"Wealthier Nation Wins")</f>
        <v>Wealthier Nation Wins</v>
      </c>
    </row>
    <row r="4293" spans="1:17" x14ac:dyDescent="0.2">
      <c r="A4293" s="1">
        <v>6425</v>
      </c>
      <c r="B4293" s="2">
        <v>41159</v>
      </c>
      <c r="C4293" s="7">
        <f>_xlfn.FLOOR.MATH(Table1[[#This Row],[year]],10)</f>
        <v>2010</v>
      </c>
      <c r="D4293" t="s">
        <v>15</v>
      </c>
      <c r="E4293" t="s">
        <v>26</v>
      </c>
      <c r="F4293">
        <v>4</v>
      </c>
      <c r="G4293">
        <v>0</v>
      </c>
      <c r="H4293" t="s">
        <v>224</v>
      </c>
      <c r="I4293" t="s">
        <v>261</v>
      </c>
      <c r="J4293" t="s">
        <v>15</v>
      </c>
      <c r="K4293" t="b">
        <v>0</v>
      </c>
      <c r="L4293">
        <v>2012</v>
      </c>
      <c r="M4293">
        <v>370691143018</v>
      </c>
      <c r="N4293">
        <v>54232266358</v>
      </c>
      <c r="O4293" t="b">
        <v>1</v>
      </c>
      <c r="P4293">
        <v>1</v>
      </c>
      <c r="Q4293" t="str" cm="1">
        <f t="array" ref="Q4293">_xlfn.IFS(Table1[[#This Row],[Wealthier_Winner]]=-1,"Wealthier Nation Loses",Table1[[#This Row],[Wealthier_Winner]]=0,"Tie",Table1[[#This Row],[Wealthier_Winner]]=1,"Wealthier Nation Wins")</f>
        <v>Wealthier Nation Wins</v>
      </c>
    </row>
    <row r="4294" spans="1:17" x14ac:dyDescent="0.2">
      <c r="A4294" s="1">
        <v>6426</v>
      </c>
      <c r="B4294" s="2">
        <v>41159</v>
      </c>
      <c r="C4294" s="7">
        <f>_xlfn.FLOOR.MATH(Table1[[#This Row],[year]],10)</f>
        <v>2010</v>
      </c>
      <c r="D4294" t="s">
        <v>56</v>
      </c>
      <c r="E4294" t="s">
        <v>17</v>
      </c>
      <c r="F4294">
        <v>0</v>
      </c>
      <c r="G4294">
        <v>2</v>
      </c>
      <c r="H4294" t="s">
        <v>224</v>
      </c>
      <c r="I4294" t="s">
        <v>225</v>
      </c>
      <c r="J4294" t="s">
        <v>56</v>
      </c>
      <c r="K4294" t="b">
        <v>0</v>
      </c>
      <c r="L4294">
        <v>2012</v>
      </c>
      <c r="M4294">
        <v>47231655431</v>
      </c>
      <c r="N4294">
        <v>1255110424817</v>
      </c>
      <c r="O4294" t="b">
        <v>1</v>
      </c>
      <c r="P4294">
        <v>1</v>
      </c>
      <c r="Q4294" t="str" cm="1">
        <f t="array" ref="Q4294">_xlfn.IFS(Table1[[#This Row],[Wealthier_Winner]]=-1,"Wealthier Nation Loses",Table1[[#This Row],[Wealthier_Winner]]=0,"Tie",Table1[[#This Row],[Wealthier_Winner]]=1,"Wealthier Nation Wins")</f>
        <v>Wealthier Nation Wins</v>
      </c>
    </row>
    <row r="4295" spans="1:17" x14ac:dyDescent="0.2">
      <c r="A4295" s="1">
        <v>6427</v>
      </c>
      <c r="B4295" s="2">
        <v>41159</v>
      </c>
      <c r="C4295" s="7">
        <f>_xlfn.FLOOR.MATH(Table1[[#This Row],[year]],10)</f>
        <v>2010</v>
      </c>
      <c r="D4295" t="s">
        <v>52</v>
      </c>
      <c r="E4295" t="s">
        <v>502</v>
      </c>
      <c r="F4295">
        <v>1</v>
      </c>
      <c r="G4295">
        <v>0</v>
      </c>
      <c r="H4295" t="s">
        <v>224</v>
      </c>
      <c r="I4295" t="s">
        <v>538</v>
      </c>
      <c r="J4295" t="s">
        <v>52</v>
      </c>
      <c r="K4295" t="b">
        <v>0</v>
      </c>
      <c r="L4295">
        <v>2012</v>
      </c>
      <c r="M4295">
        <v>57548115904</v>
      </c>
      <c r="N4295">
        <v>9745261300</v>
      </c>
      <c r="O4295" t="b">
        <v>1</v>
      </c>
      <c r="P4295">
        <v>1</v>
      </c>
      <c r="Q4295" t="str" cm="1">
        <f t="array" ref="Q4295">_xlfn.IFS(Table1[[#This Row],[Wealthier_Winner]]=-1,"Wealthier Nation Loses",Table1[[#This Row],[Wealthier_Winner]]=0,"Tie",Table1[[#This Row],[Wealthier_Winner]]=1,"Wealthier Nation Wins")</f>
        <v>Wealthier Nation Wins</v>
      </c>
    </row>
    <row r="4296" spans="1:17" x14ac:dyDescent="0.2">
      <c r="A4296" s="1">
        <v>6428</v>
      </c>
      <c r="B4296" s="2">
        <v>41159</v>
      </c>
      <c r="C4296" s="7">
        <f>_xlfn.FLOOR.MATH(Table1[[#This Row],[year]],10)</f>
        <v>2010</v>
      </c>
      <c r="D4296" t="s">
        <v>517</v>
      </c>
      <c r="E4296" t="s">
        <v>65</v>
      </c>
      <c r="F4296">
        <v>0</v>
      </c>
      <c r="G4296">
        <v>3</v>
      </c>
      <c r="H4296" t="s">
        <v>224</v>
      </c>
      <c r="I4296" t="s">
        <v>580</v>
      </c>
      <c r="J4296" t="s">
        <v>517</v>
      </c>
      <c r="K4296" t="b">
        <v>0</v>
      </c>
      <c r="L4296">
        <v>2012</v>
      </c>
      <c r="M4296">
        <v>73141000000</v>
      </c>
      <c r="N4296">
        <v>18528554397</v>
      </c>
      <c r="O4296" t="b">
        <v>1</v>
      </c>
      <c r="P4296">
        <v>-1</v>
      </c>
      <c r="Q4296" t="str" cm="1">
        <f t="array" ref="Q4296">_xlfn.IFS(Table1[[#This Row],[Wealthier_Winner]]=-1,"Wealthier Nation Loses",Table1[[#This Row],[Wealthier_Winner]]=0,"Tie",Table1[[#This Row],[Wealthier_Winner]]=1,"Wealthier Nation Wins")</f>
        <v>Wealthier Nation Loses</v>
      </c>
    </row>
    <row r="4297" spans="1:17" x14ac:dyDescent="0.2">
      <c r="A4297" s="1">
        <v>6429</v>
      </c>
      <c r="B4297" s="2">
        <v>41159</v>
      </c>
      <c r="C4297" s="7">
        <f>_xlfn.FLOOR.MATH(Table1[[#This Row],[year]],10)</f>
        <v>2010</v>
      </c>
      <c r="D4297" t="s">
        <v>57</v>
      </c>
      <c r="E4297" t="s">
        <v>47</v>
      </c>
      <c r="F4297">
        <v>1</v>
      </c>
      <c r="G4297">
        <v>0</v>
      </c>
      <c r="H4297" t="s">
        <v>224</v>
      </c>
      <c r="I4297" t="s">
        <v>335</v>
      </c>
      <c r="J4297" t="s">
        <v>57</v>
      </c>
      <c r="K4297" t="b">
        <v>0</v>
      </c>
      <c r="L4297">
        <v>2012</v>
      </c>
      <c r="M4297">
        <v>87735048000</v>
      </c>
      <c r="N4297">
        <v>27084497481</v>
      </c>
      <c r="O4297" t="b">
        <v>1</v>
      </c>
      <c r="P4297">
        <v>1</v>
      </c>
      <c r="Q4297" t="str" cm="1">
        <f t="array" ref="Q4297">_xlfn.IFS(Table1[[#This Row],[Wealthier_Winner]]=-1,"Wealthier Nation Loses",Table1[[#This Row],[Wealthier_Winner]]=0,"Tie",Table1[[#This Row],[Wealthier_Winner]]=1,"Wealthier Nation Wins")</f>
        <v>Wealthier Nation Wins</v>
      </c>
    </row>
    <row r="4298" spans="1:17" x14ac:dyDescent="0.2">
      <c r="A4298" s="1">
        <v>6430</v>
      </c>
      <c r="B4298" s="2">
        <v>41159</v>
      </c>
      <c r="C4298" s="7">
        <f>_xlfn.FLOOR.MATH(Table1[[#This Row],[year]],10)</f>
        <v>2010</v>
      </c>
      <c r="D4298" t="s">
        <v>69</v>
      </c>
      <c r="E4298" t="s">
        <v>445</v>
      </c>
      <c r="F4298">
        <v>2</v>
      </c>
      <c r="G4298">
        <v>2</v>
      </c>
      <c r="H4298" t="s">
        <v>224</v>
      </c>
      <c r="I4298" t="s">
        <v>281</v>
      </c>
      <c r="J4298" t="s">
        <v>69</v>
      </c>
      <c r="K4298" t="b">
        <v>0</v>
      </c>
      <c r="L4298">
        <v>2012</v>
      </c>
      <c r="M4298">
        <v>21386150000</v>
      </c>
      <c r="N4298">
        <v>4063088535</v>
      </c>
      <c r="O4298" t="b">
        <v>1</v>
      </c>
      <c r="P4298">
        <v>0</v>
      </c>
      <c r="Q4298" t="str" cm="1">
        <f t="array" ref="Q4298">_xlfn.IFS(Table1[[#This Row],[Wealthier_Winner]]=-1,"Wealthier Nation Loses",Table1[[#This Row],[Wealthier_Winner]]=0,"Tie",Table1[[#This Row],[Wealthier_Winner]]=1,"Wealthier Nation Wins")</f>
        <v>Tie</v>
      </c>
    </row>
    <row r="4299" spans="1:17" x14ac:dyDescent="0.2">
      <c r="A4299" s="1">
        <v>6431</v>
      </c>
      <c r="B4299" s="2">
        <v>41159</v>
      </c>
      <c r="C4299" s="7">
        <f>_xlfn.FLOOR.MATH(Table1[[#This Row],[year]],10)</f>
        <v>2010</v>
      </c>
      <c r="D4299" t="s">
        <v>476</v>
      </c>
      <c r="E4299" t="s">
        <v>44</v>
      </c>
      <c r="F4299">
        <v>0</v>
      </c>
      <c r="G4299">
        <v>2</v>
      </c>
      <c r="H4299" t="s">
        <v>224</v>
      </c>
      <c r="I4299" t="s">
        <v>481</v>
      </c>
      <c r="J4299" t="s">
        <v>476</v>
      </c>
      <c r="K4299" t="b">
        <v>0</v>
      </c>
      <c r="L4299">
        <v>2012</v>
      </c>
      <c r="M4299">
        <v>23237406116</v>
      </c>
      <c r="N4299">
        <v>179117323107</v>
      </c>
      <c r="O4299" t="b">
        <v>1</v>
      </c>
      <c r="P4299">
        <v>1</v>
      </c>
      <c r="Q4299" t="str" cm="1">
        <f t="array" ref="Q4299">_xlfn.IFS(Table1[[#This Row],[Wealthier_Winner]]=-1,"Wealthier Nation Loses",Table1[[#This Row],[Wealthier_Winner]]=0,"Tie",Table1[[#This Row],[Wealthier_Winner]]=1,"Wealthier Nation Wins")</f>
        <v>Wealthier Nation Wins</v>
      </c>
    </row>
    <row r="4300" spans="1:17" x14ac:dyDescent="0.2">
      <c r="A4300" s="1">
        <v>6432</v>
      </c>
      <c r="B4300" s="2">
        <v>41159</v>
      </c>
      <c r="C4300" s="7">
        <f>_xlfn.FLOOR.MATH(Table1[[#This Row],[year]],10)</f>
        <v>2010</v>
      </c>
      <c r="D4300" t="s">
        <v>230</v>
      </c>
      <c r="E4300" t="s">
        <v>20</v>
      </c>
      <c r="F4300">
        <v>0</v>
      </c>
      <c r="G4300">
        <v>1</v>
      </c>
      <c r="H4300" t="s">
        <v>224</v>
      </c>
      <c r="I4300" t="s">
        <v>231</v>
      </c>
      <c r="J4300" t="s">
        <v>230</v>
      </c>
      <c r="K4300" t="b">
        <v>0</v>
      </c>
      <c r="L4300">
        <v>2012</v>
      </c>
      <c r="M4300">
        <v>257443384492</v>
      </c>
      <c r="N4300">
        <v>2683007095787</v>
      </c>
      <c r="O4300" t="b">
        <v>1</v>
      </c>
      <c r="P4300">
        <v>1</v>
      </c>
      <c r="Q4300" t="str" cm="1">
        <f t="array" ref="Q4300">_xlfn.IFS(Table1[[#This Row],[Wealthier_Winner]]=-1,"Wealthier Nation Loses",Table1[[#This Row],[Wealthier_Winner]]=0,"Tie",Table1[[#This Row],[Wealthier_Winner]]=1,"Wealthier Nation Wins")</f>
        <v>Wealthier Nation Wins</v>
      </c>
    </row>
    <row r="4301" spans="1:17" x14ac:dyDescent="0.2">
      <c r="A4301" s="1">
        <v>6433</v>
      </c>
      <c r="B4301" s="2">
        <v>41159</v>
      </c>
      <c r="C4301" s="7">
        <f>_xlfn.FLOOR.MATH(Table1[[#This Row],[year]],10)</f>
        <v>2010</v>
      </c>
      <c r="D4301" t="s">
        <v>534</v>
      </c>
      <c r="E4301" t="s">
        <v>510</v>
      </c>
      <c r="F4301">
        <v>1</v>
      </c>
      <c r="G4301">
        <v>0</v>
      </c>
      <c r="H4301" t="s">
        <v>224</v>
      </c>
      <c r="I4301" t="s">
        <v>536</v>
      </c>
      <c r="J4301" t="s">
        <v>534</v>
      </c>
      <c r="K4301" t="b">
        <v>0</v>
      </c>
      <c r="L4301">
        <v>2012</v>
      </c>
      <c r="M4301">
        <v>16894392033</v>
      </c>
      <c r="N4301">
        <v>65685890438</v>
      </c>
      <c r="O4301" t="b">
        <v>1</v>
      </c>
      <c r="P4301">
        <v>-1</v>
      </c>
      <c r="Q4301" t="str" cm="1">
        <f t="array" ref="Q4301">_xlfn.IFS(Table1[[#This Row],[Wealthier_Winner]]=-1,"Wealthier Nation Loses",Table1[[#This Row],[Wealthier_Winner]]=0,"Tie",Table1[[#This Row],[Wealthier_Winner]]=1,"Wealthier Nation Wins")</f>
        <v>Wealthier Nation Loses</v>
      </c>
    </row>
    <row r="4302" spans="1:17" x14ac:dyDescent="0.2">
      <c r="A4302" s="1">
        <v>6434</v>
      </c>
      <c r="B4302" s="2">
        <v>41159</v>
      </c>
      <c r="C4302" s="7">
        <f>_xlfn.FLOOR.MATH(Table1[[#This Row],[year]],10)</f>
        <v>2010</v>
      </c>
      <c r="D4302" t="s">
        <v>16</v>
      </c>
      <c r="E4302" t="s">
        <v>447</v>
      </c>
      <c r="F4302">
        <v>3</v>
      </c>
      <c r="G4302">
        <v>0</v>
      </c>
      <c r="H4302" t="s">
        <v>224</v>
      </c>
      <c r="I4302" t="s">
        <v>88</v>
      </c>
      <c r="J4302" t="s">
        <v>16</v>
      </c>
      <c r="K4302" t="b">
        <v>0</v>
      </c>
      <c r="L4302">
        <v>2012</v>
      </c>
      <c r="M4302">
        <v>3596483233406</v>
      </c>
      <c r="N4302">
        <v>2427200388</v>
      </c>
      <c r="O4302" t="b">
        <v>1</v>
      </c>
      <c r="P4302">
        <v>1</v>
      </c>
      <c r="Q4302" t="str" cm="1">
        <f t="array" ref="Q4302">_xlfn.IFS(Table1[[#This Row],[Wealthier_Winner]]=-1,"Wealthier Nation Loses",Table1[[#This Row],[Wealthier_Winner]]=0,"Tie",Table1[[#This Row],[Wealthier_Winner]]=1,"Wealthier Nation Wins")</f>
        <v>Wealthier Nation Wins</v>
      </c>
    </row>
    <row r="4303" spans="1:17" x14ac:dyDescent="0.2">
      <c r="A4303" s="1">
        <v>6435</v>
      </c>
      <c r="B4303" s="2">
        <v>41159</v>
      </c>
      <c r="C4303" s="7">
        <f>_xlfn.FLOOR.MATH(Table1[[#This Row],[year]],10)</f>
        <v>2010</v>
      </c>
      <c r="D4303" t="s">
        <v>223</v>
      </c>
      <c r="E4303" t="s">
        <v>449</v>
      </c>
      <c r="F4303">
        <v>3</v>
      </c>
      <c r="G4303">
        <v>1</v>
      </c>
      <c r="H4303" t="s">
        <v>224</v>
      </c>
      <c r="I4303" t="s">
        <v>227</v>
      </c>
      <c r="J4303" t="s">
        <v>223</v>
      </c>
      <c r="K4303" t="b">
        <v>0</v>
      </c>
      <c r="L4303">
        <v>2012</v>
      </c>
      <c r="M4303">
        <v>49593929487</v>
      </c>
      <c r="N4303">
        <v>1364729629</v>
      </c>
      <c r="O4303" t="b">
        <v>1</v>
      </c>
      <c r="P4303">
        <v>1</v>
      </c>
      <c r="Q4303" t="str" cm="1">
        <f t="array" ref="Q4303">_xlfn.IFS(Table1[[#This Row],[Wealthier_Winner]]=-1,"Wealthier Nation Loses",Table1[[#This Row],[Wealthier_Winner]]=0,"Tie",Table1[[#This Row],[Wealthier_Winner]]=1,"Wealthier Nation Wins")</f>
        <v>Wealthier Nation Wins</v>
      </c>
    </row>
    <row r="4304" spans="1:17" x14ac:dyDescent="0.2">
      <c r="A4304" s="1">
        <v>6436</v>
      </c>
      <c r="B4304" s="2">
        <v>41159</v>
      </c>
      <c r="C4304" s="7">
        <f>_xlfn.FLOOR.MATH(Table1[[#This Row],[year]],10)</f>
        <v>2010</v>
      </c>
      <c r="D4304" t="s">
        <v>66</v>
      </c>
      <c r="E4304" t="s">
        <v>42</v>
      </c>
      <c r="F4304">
        <v>2</v>
      </c>
      <c r="G4304">
        <v>0</v>
      </c>
      <c r="H4304" t="s">
        <v>224</v>
      </c>
      <c r="I4304" t="s">
        <v>336</v>
      </c>
      <c r="J4304" t="s">
        <v>66</v>
      </c>
      <c r="K4304" t="b">
        <v>0</v>
      </c>
      <c r="L4304">
        <v>2012</v>
      </c>
      <c r="M4304">
        <v>14943757823</v>
      </c>
      <c r="N4304">
        <v>512777309840</v>
      </c>
      <c r="O4304" t="b">
        <v>1</v>
      </c>
      <c r="P4304">
        <v>-1</v>
      </c>
      <c r="Q4304" t="str" cm="1">
        <f t="array" ref="Q4304">_xlfn.IFS(Table1[[#This Row],[Wealthier_Winner]]=-1,"Wealthier Nation Loses",Table1[[#This Row],[Wealthier_Winner]]=0,"Tie",Table1[[#This Row],[Wealthier_Winner]]=1,"Wealthier Nation Wins")</f>
        <v>Wealthier Nation Loses</v>
      </c>
    </row>
    <row r="4305" spans="1:17" x14ac:dyDescent="0.2">
      <c r="A4305" s="1">
        <v>6437</v>
      </c>
      <c r="B4305" s="2">
        <v>41159</v>
      </c>
      <c r="C4305" s="7">
        <f>_xlfn.FLOOR.MATH(Table1[[#This Row],[year]],10)</f>
        <v>2010</v>
      </c>
      <c r="D4305" t="s">
        <v>49</v>
      </c>
      <c r="E4305" t="s">
        <v>41</v>
      </c>
      <c r="F4305">
        <v>2</v>
      </c>
      <c r="G4305">
        <v>1</v>
      </c>
      <c r="H4305" t="s">
        <v>224</v>
      </c>
      <c r="I4305" t="s">
        <v>257</v>
      </c>
      <c r="J4305" t="s">
        <v>49</v>
      </c>
      <c r="K4305" t="b">
        <v>0</v>
      </c>
      <c r="L4305">
        <v>2012</v>
      </c>
      <c r="M4305">
        <v>14807086555</v>
      </c>
      <c r="N4305">
        <v>16253972230000</v>
      </c>
      <c r="O4305" t="b">
        <v>1</v>
      </c>
      <c r="P4305">
        <v>-1</v>
      </c>
      <c r="Q4305" t="str" cm="1">
        <f t="array" ref="Q4305">_xlfn.IFS(Table1[[#This Row],[Wealthier_Winner]]=-1,"Wealthier Nation Loses",Table1[[#This Row],[Wealthier_Winner]]=0,"Tie",Table1[[#This Row],[Wealthier_Winner]]=1,"Wealthier Nation Wins")</f>
        <v>Wealthier Nation Loses</v>
      </c>
    </row>
    <row r="4306" spans="1:17" x14ac:dyDescent="0.2">
      <c r="A4306" s="1">
        <v>6439</v>
      </c>
      <c r="B4306" s="2">
        <v>41159</v>
      </c>
      <c r="C4306" s="7">
        <f>_xlfn.FLOOR.MATH(Table1[[#This Row],[year]],10)</f>
        <v>2010</v>
      </c>
      <c r="D4306" t="s">
        <v>525</v>
      </c>
      <c r="E4306" t="s">
        <v>48</v>
      </c>
      <c r="F4306">
        <v>1</v>
      </c>
      <c r="G4306">
        <v>2</v>
      </c>
      <c r="H4306" t="s">
        <v>224</v>
      </c>
      <c r="I4306" t="s">
        <v>526</v>
      </c>
      <c r="J4306" t="s">
        <v>525</v>
      </c>
      <c r="K4306" t="b">
        <v>0</v>
      </c>
      <c r="L4306">
        <v>2012</v>
      </c>
      <c r="M4306">
        <v>27116149948</v>
      </c>
      <c r="N4306">
        <v>238841140018</v>
      </c>
      <c r="O4306" t="b">
        <v>1</v>
      </c>
      <c r="P4306">
        <v>1</v>
      </c>
      <c r="Q4306" t="str" cm="1">
        <f t="array" ref="Q4306">_xlfn.IFS(Table1[[#This Row],[Wealthier_Winner]]=-1,"Wealthier Nation Loses",Table1[[#This Row],[Wealthier_Winner]]=0,"Tie",Table1[[#This Row],[Wealthier_Winner]]=1,"Wealthier Nation Wins")</f>
        <v>Wealthier Nation Wins</v>
      </c>
    </row>
    <row r="4307" spans="1:17" x14ac:dyDescent="0.2">
      <c r="A4307" s="1">
        <v>6440</v>
      </c>
      <c r="B4307" s="2">
        <v>41159</v>
      </c>
      <c r="C4307" s="7">
        <f>_xlfn.FLOOR.MATH(Table1[[#This Row],[year]],10)</f>
        <v>2010</v>
      </c>
      <c r="D4307" t="s">
        <v>503</v>
      </c>
      <c r="E4307" t="s">
        <v>73</v>
      </c>
      <c r="F4307">
        <v>1</v>
      </c>
      <c r="G4307">
        <v>8</v>
      </c>
      <c r="H4307" t="s">
        <v>224</v>
      </c>
      <c r="I4307" t="s">
        <v>603</v>
      </c>
      <c r="J4307" t="s">
        <v>503</v>
      </c>
      <c r="K4307" t="b">
        <v>0</v>
      </c>
      <c r="L4307">
        <v>2012</v>
      </c>
      <c r="M4307">
        <v>5456102482</v>
      </c>
      <c r="N4307">
        <v>17226735995</v>
      </c>
      <c r="O4307" t="b">
        <v>1</v>
      </c>
      <c r="P4307">
        <v>1</v>
      </c>
      <c r="Q4307" t="str" cm="1">
        <f t="array" ref="Q4307">_xlfn.IFS(Table1[[#This Row],[Wealthier_Winner]]=-1,"Wealthier Nation Loses",Table1[[#This Row],[Wealthier_Winner]]=0,"Tie",Table1[[#This Row],[Wealthier_Winner]]=1,"Wealthier Nation Wins")</f>
        <v>Wealthier Nation Wins</v>
      </c>
    </row>
    <row r="4308" spans="1:17" x14ac:dyDescent="0.2">
      <c r="A4308" s="1">
        <v>6442</v>
      </c>
      <c r="B4308" s="2">
        <v>41159</v>
      </c>
      <c r="C4308" s="7">
        <f>_xlfn.FLOOR.MATH(Table1[[#This Row],[year]],10)</f>
        <v>2010</v>
      </c>
      <c r="D4308" t="s">
        <v>232</v>
      </c>
      <c r="E4308" t="s">
        <v>38</v>
      </c>
      <c r="F4308">
        <v>1</v>
      </c>
      <c r="G4308">
        <v>2</v>
      </c>
      <c r="H4308" t="s">
        <v>224</v>
      </c>
      <c r="I4308" t="s">
        <v>232</v>
      </c>
      <c r="J4308" t="s">
        <v>232</v>
      </c>
      <c r="K4308" t="b">
        <v>0</v>
      </c>
      <c r="L4308">
        <v>2012</v>
      </c>
      <c r="M4308">
        <v>59776383527</v>
      </c>
      <c r="N4308">
        <v>216536676771</v>
      </c>
      <c r="O4308" t="b">
        <v>1</v>
      </c>
      <c r="P4308">
        <v>1</v>
      </c>
      <c r="Q4308" t="str" cm="1">
        <f t="array" ref="Q4308">_xlfn.IFS(Table1[[#This Row],[Wealthier_Winner]]=-1,"Wealthier Nation Loses",Table1[[#This Row],[Wealthier_Winner]]=0,"Tie",Table1[[#This Row],[Wealthier_Winner]]=1,"Wealthier Nation Wins")</f>
        <v>Wealthier Nation Wins</v>
      </c>
    </row>
    <row r="4309" spans="1:17" x14ac:dyDescent="0.2">
      <c r="A4309" s="1">
        <v>6443</v>
      </c>
      <c r="B4309" s="2">
        <v>41159</v>
      </c>
      <c r="C4309" s="7">
        <f>_xlfn.FLOOR.MATH(Table1[[#This Row],[year]],10)</f>
        <v>2010</v>
      </c>
      <c r="D4309" t="s">
        <v>303</v>
      </c>
      <c r="E4309" t="s">
        <v>519</v>
      </c>
      <c r="F4309">
        <v>0</v>
      </c>
      <c r="G4309">
        <v>1</v>
      </c>
      <c r="H4309" t="s">
        <v>224</v>
      </c>
      <c r="I4309" t="s">
        <v>399</v>
      </c>
      <c r="J4309" t="s">
        <v>303</v>
      </c>
      <c r="K4309" t="b">
        <v>0</v>
      </c>
      <c r="L4309">
        <v>2012</v>
      </c>
      <c r="M4309">
        <v>9609532089</v>
      </c>
      <c r="N4309">
        <v>10619320682</v>
      </c>
      <c r="O4309" t="b">
        <v>0</v>
      </c>
      <c r="P4309">
        <v>1</v>
      </c>
      <c r="Q4309" t="str" cm="1">
        <f t="array" ref="Q4309">_xlfn.IFS(Table1[[#This Row],[Wealthier_Winner]]=-1,"Wealthier Nation Loses",Table1[[#This Row],[Wealthier_Winner]]=0,"Tie",Table1[[#This Row],[Wealthier_Winner]]=1,"Wealthier Nation Wins")</f>
        <v>Wealthier Nation Wins</v>
      </c>
    </row>
    <row r="4310" spans="1:17" x14ac:dyDescent="0.2">
      <c r="A4310" s="1">
        <v>6444</v>
      </c>
      <c r="B4310" s="2">
        <v>41159</v>
      </c>
      <c r="C4310" s="7">
        <f>_xlfn.FLOOR.MATH(Table1[[#This Row],[year]],10)</f>
        <v>2010</v>
      </c>
      <c r="D4310" t="s">
        <v>527</v>
      </c>
      <c r="E4310" t="s">
        <v>194</v>
      </c>
      <c r="F4310">
        <v>0</v>
      </c>
      <c r="G4310">
        <v>5</v>
      </c>
      <c r="H4310" t="s">
        <v>224</v>
      </c>
      <c r="I4310" t="s">
        <v>528</v>
      </c>
      <c r="J4310" t="s">
        <v>527</v>
      </c>
      <c r="K4310" t="b">
        <v>0</v>
      </c>
      <c r="L4310">
        <v>2012</v>
      </c>
      <c r="M4310">
        <v>8709138634</v>
      </c>
      <c r="N4310">
        <v>2719715961539</v>
      </c>
      <c r="O4310" t="b">
        <v>1</v>
      </c>
      <c r="P4310">
        <v>1</v>
      </c>
      <c r="Q4310" t="str" cm="1">
        <f t="array" ref="Q4310">_xlfn.IFS(Table1[[#This Row],[Wealthier_Winner]]=-1,"Wealthier Nation Loses",Table1[[#This Row],[Wealthier_Winner]]=0,"Tie",Table1[[#This Row],[Wealthier_Winner]]=1,"Wealthier Nation Wins")</f>
        <v>Wealthier Nation Wins</v>
      </c>
    </row>
    <row r="4311" spans="1:17" x14ac:dyDescent="0.2">
      <c r="A4311" s="1">
        <v>6445</v>
      </c>
      <c r="B4311" s="2">
        <v>41159</v>
      </c>
      <c r="C4311" s="7">
        <f>_xlfn.FLOOR.MATH(Table1[[#This Row],[year]],10)</f>
        <v>2010</v>
      </c>
      <c r="D4311" t="s">
        <v>705</v>
      </c>
      <c r="E4311" t="s">
        <v>58</v>
      </c>
      <c r="F4311">
        <v>2</v>
      </c>
      <c r="G4311">
        <v>2</v>
      </c>
      <c r="H4311" t="s">
        <v>224</v>
      </c>
      <c r="I4311" t="s">
        <v>706</v>
      </c>
      <c r="J4311" t="s">
        <v>705</v>
      </c>
      <c r="K4311" t="b">
        <v>0</v>
      </c>
      <c r="L4311">
        <v>2012</v>
      </c>
      <c r="M4311">
        <v>4071829462</v>
      </c>
      <c r="N4311">
        <v>498148649702</v>
      </c>
      <c r="O4311" t="b">
        <v>1</v>
      </c>
      <c r="P4311">
        <v>0</v>
      </c>
      <c r="Q4311" t="str" cm="1">
        <f t="array" ref="Q4311">_xlfn.IFS(Table1[[#This Row],[Wealthier_Winner]]=-1,"Wealthier Nation Loses",Table1[[#This Row],[Wealthier_Winner]]=0,"Tie",Table1[[#This Row],[Wealthier_Winner]]=1,"Wealthier Nation Wins")</f>
        <v>Tie</v>
      </c>
    </row>
    <row r="4312" spans="1:17" x14ac:dyDescent="0.2">
      <c r="A4312" s="1">
        <v>6447</v>
      </c>
      <c r="B4312" s="2">
        <v>41159</v>
      </c>
      <c r="C4312" s="7">
        <f>_xlfn.FLOOR.MATH(Table1[[#This Row],[year]],10)</f>
        <v>2010</v>
      </c>
      <c r="D4312" t="s">
        <v>656</v>
      </c>
      <c r="E4312" t="s">
        <v>72</v>
      </c>
      <c r="F4312">
        <v>0</v>
      </c>
      <c r="G4312">
        <v>2</v>
      </c>
      <c r="H4312" t="s">
        <v>224</v>
      </c>
      <c r="I4312" t="s">
        <v>754</v>
      </c>
      <c r="J4312" t="s">
        <v>656</v>
      </c>
      <c r="K4312" t="b">
        <v>0</v>
      </c>
      <c r="L4312">
        <v>2012</v>
      </c>
      <c r="M4312">
        <v>9659151917</v>
      </c>
      <c r="N4312">
        <v>176560711239</v>
      </c>
      <c r="O4312" t="b">
        <v>1</v>
      </c>
      <c r="P4312">
        <v>1</v>
      </c>
      <c r="Q4312" t="str" cm="1">
        <f t="array" ref="Q4312">_xlfn.IFS(Table1[[#This Row],[Wealthier_Winner]]=-1,"Wealthier Nation Loses",Table1[[#This Row],[Wealthier_Winner]]=0,"Tie",Table1[[#This Row],[Wealthier_Winner]]=1,"Wealthier Nation Wins")</f>
        <v>Wealthier Nation Wins</v>
      </c>
    </row>
    <row r="4313" spans="1:17" x14ac:dyDescent="0.2">
      <c r="A4313" s="1">
        <v>6448</v>
      </c>
      <c r="B4313" s="2">
        <v>41159</v>
      </c>
      <c r="C4313" s="7">
        <f>_xlfn.FLOOR.MATH(Table1[[#This Row],[year]],10)</f>
        <v>2010</v>
      </c>
      <c r="D4313" t="s">
        <v>31</v>
      </c>
      <c r="E4313" t="s">
        <v>258</v>
      </c>
      <c r="F4313">
        <v>2</v>
      </c>
      <c r="G4313">
        <v>1</v>
      </c>
      <c r="H4313" t="s">
        <v>224</v>
      </c>
      <c r="I4313" t="s">
        <v>242</v>
      </c>
      <c r="J4313" t="s">
        <v>31</v>
      </c>
      <c r="K4313" t="b">
        <v>0</v>
      </c>
      <c r="L4313">
        <v>2012</v>
      </c>
      <c r="M4313">
        <v>192650021648</v>
      </c>
      <c r="N4313">
        <v>372592062768</v>
      </c>
      <c r="O4313" t="b">
        <v>0</v>
      </c>
      <c r="P4313">
        <v>-1</v>
      </c>
      <c r="Q4313" t="str" cm="1">
        <f t="array" ref="Q4313">_xlfn.IFS(Table1[[#This Row],[Wealthier_Winner]]=-1,"Wealthier Nation Loses",Table1[[#This Row],[Wealthier_Winner]]=0,"Tie",Table1[[#This Row],[Wealthier_Winner]]=1,"Wealthier Nation Wins")</f>
        <v>Wealthier Nation Loses</v>
      </c>
    </row>
    <row r="4314" spans="1:17" x14ac:dyDescent="0.2">
      <c r="A4314" s="1">
        <v>6450</v>
      </c>
      <c r="B4314" s="2">
        <v>41159</v>
      </c>
      <c r="C4314" s="7">
        <f>_xlfn.FLOOR.MATH(Table1[[#This Row],[year]],10)</f>
        <v>2010</v>
      </c>
      <c r="D4314" t="s">
        <v>55</v>
      </c>
      <c r="E4314" t="s">
        <v>46</v>
      </c>
      <c r="F4314">
        <v>0</v>
      </c>
      <c r="G4314">
        <v>2</v>
      </c>
      <c r="H4314" t="s">
        <v>224</v>
      </c>
      <c r="I4314" t="s">
        <v>529</v>
      </c>
      <c r="J4314" t="s">
        <v>55</v>
      </c>
      <c r="K4314" t="b">
        <v>0</v>
      </c>
      <c r="L4314">
        <v>2012</v>
      </c>
      <c r="M4314">
        <v>46167053954</v>
      </c>
      <c r="N4314">
        <v>686420221557</v>
      </c>
      <c r="O4314" t="b">
        <v>1</v>
      </c>
      <c r="P4314">
        <v>1</v>
      </c>
      <c r="Q4314" t="str" cm="1">
        <f t="array" ref="Q4314">_xlfn.IFS(Table1[[#This Row],[Wealthier_Winner]]=-1,"Wealthier Nation Loses",Table1[[#This Row],[Wealthier_Winner]]=0,"Tie",Table1[[#This Row],[Wealthier_Winner]]=1,"Wealthier Nation Wins")</f>
        <v>Wealthier Nation Wins</v>
      </c>
    </row>
    <row r="4315" spans="1:17" x14ac:dyDescent="0.2">
      <c r="A4315" s="1">
        <v>6455</v>
      </c>
      <c r="B4315" s="2">
        <v>41163</v>
      </c>
      <c r="C4315" s="7">
        <f>_xlfn.FLOOR.MATH(Table1[[#This Row],[year]],10)</f>
        <v>2010</v>
      </c>
      <c r="D4315" t="s">
        <v>449</v>
      </c>
      <c r="E4315" t="s">
        <v>223</v>
      </c>
      <c r="F4315">
        <v>0</v>
      </c>
      <c r="G4315">
        <v>1</v>
      </c>
      <c r="H4315" t="s">
        <v>224</v>
      </c>
      <c r="I4315" t="s">
        <v>450</v>
      </c>
      <c r="J4315" t="s">
        <v>449</v>
      </c>
      <c r="K4315" t="b">
        <v>0</v>
      </c>
      <c r="L4315">
        <v>2012</v>
      </c>
      <c r="M4315">
        <v>1364729629</v>
      </c>
      <c r="N4315">
        <v>49593929487</v>
      </c>
      <c r="O4315" t="b">
        <v>1</v>
      </c>
      <c r="P4315">
        <v>1</v>
      </c>
      <c r="Q4315" t="str" cm="1">
        <f t="array" ref="Q4315">_xlfn.IFS(Table1[[#This Row],[Wealthier_Winner]]=-1,"Wealthier Nation Loses",Table1[[#This Row],[Wealthier_Winner]]=0,"Tie",Table1[[#This Row],[Wealthier_Winner]]=1,"Wealthier Nation Wins")</f>
        <v>Wealthier Nation Wins</v>
      </c>
    </row>
    <row r="4316" spans="1:17" x14ac:dyDescent="0.2">
      <c r="A4316" s="1">
        <v>6456</v>
      </c>
      <c r="B4316" s="2">
        <v>41163</v>
      </c>
      <c r="C4316" s="7">
        <f>_xlfn.FLOOR.MATH(Table1[[#This Row],[year]],10)</f>
        <v>2010</v>
      </c>
      <c r="D4316" t="s">
        <v>29</v>
      </c>
      <c r="E4316" t="s">
        <v>16</v>
      </c>
      <c r="F4316">
        <v>1</v>
      </c>
      <c r="G4316">
        <v>2</v>
      </c>
      <c r="H4316" t="s">
        <v>224</v>
      </c>
      <c r="I4316" t="s">
        <v>270</v>
      </c>
      <c r="J4316" t="s">
        <v>29</v>
      </c>
      <c r="K4316" t="b">
        <v>0</v>
      </c>
      <c r="L4316">
        <v>2012</v>
      </c>
      <c r="M4316">
        <v>406750487603</v>
      </c>
      <c r="N4316">
        <v>3596483233406</v>
      </c>
      <c r="O4316" t="b">
        <v>1</v>
      </c>
      <c r="P4316">
        <v>1</v>
      </c>
      <c r="Q4316" t="str" cm="1">
        <f t="array" ref="Q4316">_xlfn.IFS(Table1[[#This Row],[Wealthier_Winner]]=-1,"Wealthier Nation Loses",Table1[[#This Row],[Wealthier_Winner]]=0,"Tie",Table1[[#This Row],[Wealthier_Winner]]=1,"Wealthier Nation Wins")</f>
        <v>Wealthier Nation Wins</v>
      </c>
    </row>
    <row r="4317" spans="1:17" x14ac:dyDescent="0.2">
      <c r="A4317" s="1">
        <v>6457</v>
      </c>
      <c r="B4317" s="2">
        <v>41163</v>
      </c>
      <c r="C4317" s="7">
        <f>_xlfn.FLOOR.MATH(Table1[[#This Row],[year]],10)</f>
        <v>2010</v>
      </c>
      <c r="D4317" t="s">
        <v>23</v>
      </c>
      <c r="E4317" t="s">
        <v>52</v>
      </c>
      <c r="F4317">
        <v>1</v>
      </c>
      <c r="G4317">
        <v>1</v>
      </c>
      <c r="H4317" t="s">
        <v>224</v>
      </c>
      <c r="I4317" t="s">
        <v>235</v>
      </c>
      <c r="J4317" t="s">
        <v>23</v>
      </c>
      <c r="K4317" t="b">
        <v>0</v>
      </c>
      <c r="L4317">
        <v>2012</v>
      </c>
      <c r="M4317">
        <v>498414364944</v>
      </c>
      <c r="N4317">
        <v>57548115904</v>
      </c>
      <c r="O4317" t="b">
        <v>1</v>
      </c>
      <c r="P4317">
        <v>0</v>
      </c>
      <c r="Q4317" t="str" cm="1">
        <f t="array" ref="Q4317">_xlfn.IFS(Table1[[#This Row],[Wealthier_Winner]]=-1,"Wealthier Nation Loses",Table1[[#This Row],[Wealthier_Winner]]=0,"Tie",Table1[[#This Row],[Wealthier_Winner]]=1,"Wealthier Nation Wins")</f>
        <v>Tie</v>
      </c>
    </row>
    <row r="4318" spans="1:17" x14ac:dyDescent="0.2">
      <c r="A4318" s="1">
        <v>6458</v>
      </c>
      <c r="B4318" s="2">
        <v>41163</v>
      </c>
      <c r="C4318" s="7">
        <f>_xlfn.FLOOR.MATH(Table1[[#This Row],[year]],10)</f>
        <v>2010</v>
      </c>
      <c r="D4318" t="s">
        <v>73</v>
      </c>
      <c r="E4318" t="s">
        <v>525</v>
      </c>
      <c r="F4318">
        <v>4</v>
      </c>
      <c r="G4318">
        <v>1</v>
      </c>
      <c r="H4318" t="s">
        <v>224</v>
      </c>
      <c r="I4318" t="s">
        <v>636</v>
      </c>
      <c r="J4318" t="s">
        <v>73</v>
      </c>
      <c r="K4318" t="b">
        <v>0</v>
      </c>
      <c r="L4318">
        <v>2012</v>
      </c>
      <c r="M4318">
        <v>17226735995</v>
      </c>
      <c r="N4318">
        <v>27116149948</v>
      </c>
      <c r="O4318" t="b">
        <v>0</v>
      </c>
      <c r="P4318">
        <v>-1</v>
      </c>
      <c r="Q4318" t="str" cm="1">
        <f t="array" ref="Q4318">_xlfn.IFS(Table1[[#This Row],[Wealthier_Winner]]=-1,"Wealthier Nation Loses",Table1[[#This Row],[Wealthier_Winner]]=0,"Tie",Table1[[#This Row],[Wealthier_Winner]]=1,"Wealthier Nation Wins")</f>
        <v>Wealthier Nation Loses</v>
      </c>
    </row>
    <row r="4319" spans="1:17" x14ac:dyDescent="0.2">
      <c r="A4319" s="1">
        <v>6459</v>
      </c>
      <c r="B4319" s="2">
        <v>41163</v>
      </c>
      <c r="C4319" s="7">
        <f>_xlfn.FLOOR.MATH(Table1[[#This Row],[year]],10)</f>
        <v>2010</v>
      </c>
      <c r="D4319" t="s">
        <v>33</v>
      </c>
      <c r="E4319" t="s">
        <v>519</v>
      </c>
      <c r="F4319">
        <v>1</v>
      </c>
      <c r="G4319">
        <v>0</v>
      </c>
      <c r="H4319" t="s">
        <v>224</v>
      </c>
      <c r="I4319" t="s">
        <v>375</v>
      </c>
      <c r="J4319" t="s">
        <v>33</v>
      </c>
      <c r="K4319" t="b">
        <v>0</v>
      </c>
      <c r="L4319">
        <v>2012</v>
      </c>
      <c r="M4319">
        <v>54297052002</v>
      </c>
      <c r="N4319">
        <v>10619320682</v>
      </c>
      <c r="O4319" t="b">
        <v>1</v>
      </c>
      <c r="P4319">
        <v>1</v>
      </c>
      <c r="Q4319" t="str" cm="1">
        <f t="array" ref="Q4319">_xlfn.IFS(Table1[[#This Row],[Wealthier_Winner]]=-1,"Wealthier Nation Loses",Table1[[#This Row],[Wealthier_Winner]]=0,"Tie",Table1[[#This Row],[Wealthier_Winner]]=1,"Wealthier Nation Wins")</f>
        <v>Wealthier Nation Wins</v>
      </c>
    </row>
    <row r="4320" spans="1:17" x14ac:dyDescent="0.2">
      <c r="A4320" s="1">
        <v>6460</v>
      </c>
      <c r="B4320" s="2">
        <v>41163</v>
      </c>
      <c r="C4320" s="7">
        <f>_xlfn.FLOOR.MATH(Table1[[#This Row],[year]],10)</f>
        <v>2010</v>
      </c>
      <c r="D4320" t="s">
        <v>14</v>
      </c>
      <c r="E4320" t="s">
        <v>15</v>
      </c>
      <c r="F4320">
        <v>1</v>
      </c>
      <c r="G4320">
        <v>3</v>
      </c>
      <c r="H4320" t="s">
        <v>224</v>
      </c>
      <c r="I4320" t="s">
        <v>75</v>
      </c>
      <c r="J4320" t="s">
        <v>14</v>
      </c>
      <c r="K4320" t="b">
        <v>0</v>
      </c>
      <c r="L4320">
        <v>2012</v>
      </c>
      <c r="M4320">
        <v>267024782486</v>
      </c>
      <c r="N4320">
        <v>370691143018</v>
      </c>
      <c r="O4320" t="b">
        <v>0</v>
      </c>
      <c r="P4320">
        <v>1</v>
      </c>
      <c r="Q4320" t="str" cm="1">
        <f t="array" ref="Q4320">_xlfn.IFS(Table1[[#This Row],[Wealthier_Winner]]=-1,"Wealthier Nation Loses",Table1[[#This Row],[Wealthier_Winner]]=0,"Tie",Table1[[#This Row],[Wealthier_Winner]]=1,"Wealthier Nation Wins")</f>
        <v>Wealthier Nation Wins</v>
      </c>
    </row>
    <row r="4321" spans="1:17" x14ac:dyDescent="0.2">
      <c r="A4321" s="1">
        <v>6461</v>
      </c>
      <c r="B4321" s="2">
        <v>41163</v>
      </c>
      <c r="C4321" s="7">
        <f>_xlfn.FLOOR.MATH(Table1[[#This Row],[year]],10)</f>
        <v>2010</v>
      </c>
      <c r="D4321" t="s">
        <v>351</v>
      </c>
      <c r="E4321" t="s">
        <v>66</v>
      </c>
      <c r="F4321">
        <v>1</v>
      </c>
      <c r="G4321">
        <v>0</v>
      </c>
      <c r="H4321" t="s">
        <v>224</v>
      </c>
      <c r="I4321" t="s">
        <v>468</v>
      </c>
      <c r="J4321" t="s">
        <v>351</v>
      </c>
      <c r="K4321" t="b">
        <v>0</v>
      </c>
      <c r="L4321">
        <v>2012</v>
      </c>
      <c r="M4321">
        <v>25047436974</v>
      </c>
      <c r="N4321">
        <v>14943757823</v>
      </c>
      <c r="O4321" t="b">
        <v>0</v>
      </c>
      <c r="P4321">
        <v>1</v>
      </c>
      <c r="Q4321" t="str" cm="1">
        <f t="array" ref="Q4321">_xlfn.IFS(Table1[[#This Row],[Wealthier_Winner]]=-1,"Wealthier Nation Loses",Table1[[#This Row],[Wealthier_Winner]]=0,"Tie",Table1[[#This Row],[Wealthier_Winner]]=1,"Wealthier Nation Wins")</f>
        <v>Wealthier Nation Wins</v>
      </c>
    </row>
    <row r="4322" spans="1:17" x14ac:dyDescent="0.2">
      <c r="A4322" s="1">
        <v>6462</v>
      </c>
      <c r="B4322" s="2">
        <v>41163</v>
      </c>
      <c r="C4322" s="7">
        <f>_xlfn.FLOOR.MATH(Table1[[#This Row],[year]],10)</f>
        <v>2010</v>
      </c>
      <c r="D4322" t="s">
        <v>194</v>
      </c>
      <c r="E4322" t="s">
        <v>64</v>
      </c>
      <c r="F4322">
        <v>1</v>
      </c>
      <c r="G4322">
        <v>1</v>
      </c>
      <c r="H4322" t="s">
        <v>224</v>
      </c>
      <c r="I4322" t="s">
        <v>80</v>
      </c>
      <c r="J4322" t="s">
        <v>194</v>
      </c>
      <c r="K4322" t="b">
        <v>0</v>
      </c>
      <c r="L4322">
        <v>2012</v>
      </c>
      <c r="M4322">
        <v>2719715961539</v>
      </c>
      <c r="N4322">
        <v>182591753827</v>
      </c>
      <c r="O4322" t="b">
        <v>1</v>
      </c>
      <c r="P4322">
        <v>0</v>
      </c>
      <c r="Q4322" t="str" cm="1">
        <f t="array" ref="Q4322">_xlfn.IFS(Table1[[#This Row],[Wealthier_Winner]]=-1,"Wealthier Nation Loses",Table1[[#This Row],[Wealthier_Winner]]=0,"Tie",Table1[[#This Row],[Wealthier_Winner]]=1,"Wealthier Nation Wins")</f>
        <v>Tie</v>
      </c>
    </row>
    <row r="4323" spans="1:17" x14ac:dyDescent="0.2">
      <c r="A4323" s="1">
        <v>6463</v>
      </c>
      <c r="B4323" s="2">
        <v>41163</v>
      </c>
      <c r="C4323" s="7">
        <f>_xlfn.FLOOR.MATH(Table1[[#This Row],[year]],10)</f>
        <v>2010</v>
      </c>
      <c r="D4323" t="s">
        <v>20</v>
      </c>
      <c r="E4323" t="s">
        <v>510</v>
      </c>
      <c r="F4323">
        <v>3</v>
      </c>
      <c r="G4323">
        <v>1</v>
      </c>
      <c r="H4323" t="s">
        <v>224</v>
      </c>
      <c r="I4323" t="s">
        <v>132</v>
      </c>
      <c r="J4323" t="s">
        <v>20</v>
      </c>
      <c r="K4323" t="b">
        <v>0</v>
      </c>
      <c r="L4323">
        <v>2012</v>
      </c>
      <c r="M4323">
        <v>2683007095787</v>
      </c>
      <c r="N4323">
        <v>65685890438</v>
      </c>
      <c r="O4323" t="b">
        <v>1</v>
      </c>
      <c r="P4323">
        <v>1</v>
      </c>
      <c r="Q4323" t="str" cm="1">
        <f t="array" ref="Q4323">_xlfn.IFS(Table1[[#This Row],[Wealthier_Winner]]=-1,"Wealthier Nation Loses",Table1[[#This Row],[Wealthier_Winner]]=0,"Tie",Table1[[#This Row],[Wealthier_Winner]]=1,"Wealthier Nation Wins")</f>
        <v>Wealthier Nation Wins</v>
      </c>
    </row>
    <row r="4324" spans="1:17" x14ac:dyDescent="0.2">
      <c r="A4324" s="1">
        <v>6464</v>
      </c>
      <c r="B4324" s="2">
        <v>41163</v>
      </c>
      <c r="C4324" s="7">
        <f>_xlfn.FLOOR.MATH(Table1[[#This Row],[year]],10)</f>
        <v>2010</v>
      </c>
      <c r="D4324" t="s">
        <v>534</v>
      </c>
      <c r="E4324" t="s">
        <v>21</v>
      </c>
      <c r="F4324">
        <v>0</v>
      </c>
      <c r="G4324">
        <v>1</v>
      </c>
      <c r="H4324" t="s">
        <v>224</v>
      </c>
      <c r="I4324" t="s">
        <v>536</v>
      </c>
      <c r="J4324" t="s">
        <v>534</v>
      </c>
      <c r="K4324" t="b">
        <v>0</v>
      </c>
      <c r="L4324">
        <v>2012</v>
      </c>
      <c r="M4324">
        <v>16894392033</v>
      </c>
      <c r="N4324">
        <v>1330994811670</v>
      </c>
      <c r="O4324" t="b">
        <v>1</v>
      </c>
      <c r="P4324">
        <v>1</v>
      </c>
      <c r="Q4324" t="str" cm="1">
        <f t="array" ref="Q4324">_xlfn.IFS(Table1[[#This Row],[Wealthier_Winner]]=-1,"Wealthier Nation Loses",Table1[[#This Row],[Wealthier_Winner]]=0,"Tie",Table1[[#This Row],[Wealthier_Winner]]=1,"Wealthier Nation Wins")</f>
        <v>Wealthier Nation Wins</v>
      </c>
    </row>
    <row r="4325" spans="1:17" x14ac:dyDescent="0.2">
      <c r="A4325" s="1">
        <v>6465</v>
      </c>
      <c r="B4325" s="2">
        <v>41163</v>
      </c>
      <c r="C4325" s="7">
        <f>_xlfn.FLOOR.MATH(Table1[[#This Row],[year]],10)</f>
        <v>2010</v>
      </c>
      <c r="D4325" t="s">
        <v>48</v>
      </c>
      <c r="E4325" t="s">
        <v>523</v>
      </c>
      <c r="F4325">
        <v>2</v>
      </c>
      <c r="G4325">
        <v>0</v>
      </c>
      <c r="H4325" t="s">
        <v>224</v>
      </c>
      <c r="I4325" t="s">
        <v>282</v>
      </c>
      <c r="J4325" t="s">
        <v>48</v>
      </c>
      <c r="K4325" t="b">
        <v>0</v>
      </c>
      <c r="L4325">
        <v>2012</v>
      </c>
      <c r="M4325">
        <v>238841140018</v>
      </c>
      <c r="N4325">
        <v>42709372066</v>
      </c>
      <c r="O4325" t="b">
        <v>1</v>
      </c>
      <c r="P4325">
        <v>1</v>
      </c>
      <c r="Q4325" t="str" cm="1">
        <f t="array" ref="Q4325">_xlfn.IFS(Table1[[#This Row],[Wealthier_Winner]]=-1,"Wealthier Nation Loses",Table1[[#This Row],[Wealthier_Winner]]=0,"Tie",Table1[[#This Row],[Wealthier_Winner]]=1,"Wealthier Nation Wins")</f>
        <v>Wealthier Nation Wins</v>
      </c>
    </row>
    <row r="4326" spans="1:17" x14ac:dyDescent="0.2">
      <c r="A4326" s="1">
        <v>6466</v>
      </c>
      <c r="B4326" s="2">
        <v>41163</v>
      </c>
      <c r="C4326" s="7">
        <f>_xlfn.FLOOR.MATH(Table1[[#This Row],[year]],10)</f>
        <v>2010</v>
      </c>
      <c r="D4326" t="s">
        <v>445</v>
      </c>
      <c r="E4326" t="s">
        <v>69</v>
      </c>
      <c r="F4326">
        <v>2</v>
      </c>
      <c r="G4326">
        <v>3</v>
      </c>
      <c r="H4326" t="s">
        <v>224</v>
      </c>
      <c r="I4326" t="s">
        <v>703</v>
      </c>
      <c r="J4326" t="s">
        <v>445</v>
      </c>
      <c r="K4326" t="b">
        <v>0</v>
      </c>
      <c r="L4326">
        <v>2012</v>
      </c>
      <c r="M4326">
        <v>4063088535</v>
      </c>
      <c r="N4326">
        <v>21386150000</v>
      </c>
      <c r="O4326" t="b">
        <v>1</v>
      </c>
      <c r="P4326">
        <v>1</v>
      </c>
      <c r="Q4326" t="str" cm="1">
        <f t="array" ref="Q4326">_xlfn.IFS(Table1[[#This Row],[Wealthier_Winner]]=-1,"Wealthier Nation Loses",Table1[[#This Row],[Wealthier_Winner]]=0,"Tie",Table1[[#This Row],[Wealthier_Winner]]=1,"Wealthier Nation Wins")</f>
        <v>Wealthier Nation Wins</v>
      </c>
    </row>
    <row r="4327" spans="1:17" x14ac:dyDescent="0.2">
      <c r="A4327" s="1">
        <v>6467</v>
      </c>
      <c r="B4327" s="2">
        <v>41163</v>
      </c>
      <c r="C4327" s="7">
        <f>_xlfn.FLOOR.MATH(Table1[[#This Row],[year]],10)</f>
        <v>2010</v>
      </c>
      <c r="D4327" t="s">
        <v>65</v>
      </c>
      <c r="E4327" t="s">
        <v>517</v>
      </c>
      <c r="F4327">
        <v>1</v>
      </c>
      <c r="G4327">
        <v>0</v>
      </c>
      <c r="H4327" t="s">
        <v>224</v>
      </c>
      <c r="I4327" t="s">
        <v>254</v>
      </c>
      <c r="J4327" t="s">
        <v>65</v>
      </c>
      <c r="K4327" t="b">
        <v>0</v>
      </c>
      <c r="L4327">
        <v>2012</v>
      </c>
      <c r="M4327">
        <v>18528554397</v>
      </c>
      <c r="N4327">
        <v>73141000000</v>
      </c>
      <c r="O4327" t="b">
        <v>1</v>
      </c>
      <c r="P4327">
        <v>-1</v>
      </c>
      <c r="Q4327" t="str" cm="1">
        <f t="array" ref="Q4327">_xlfn.IFS(Table1[[#This Row],[Wealthier_Winner]]=-1,"Wealthier Nation Loses",Table1[[#This Row],[Wealthier_Winner]]=0,"Tie",Table1[[#This Row],[Wealthier_Winner]]=1,"Wealthier Nation Wins")</f>
        <v>Wealthier Nation Loses</v>
      </c>
    </row>
    <row r="4328" spans="1:17" x14ac:dyDescent="0.2">
      <c r="A4328" s="1">
        <v>6468</v>
      </c>
      <c r="B4328" s="2">
        <v>41163</v>
      </c>
      <c r="C4328" s="7">
        <f>_xlfn.FLOOR.MATH(Table1[[#This Row],[year]],10)</f>
        <v>2010</v>
      </c>
      <c r="D4328" t="s">
        <v>30</v>
      </c>
      <c r="E4328" t="s">
        <v>27</v>
      </c>
      <c r="F4328">
        <v>1</v>
      </c>
      <c r="G4328">
        <v>4</v>
      </c>
      <c r="H4328" t="s">
        <v>224</v>
      </c>
      <c r="I4328" t="s">
        <v>297</v>
      </c>
      <c r="J4328" t="s">
        <v>30</v>
      </c>
      <c r="K4328" t="b">
        <v>0</v>
      </c>
      <c r="L4328">
        <v>2012</v>
      </c>
      <c r="M4328">
        <v>128470269689</v>
      </c>
      <c r="N4328">
        <v>845689017065</v>
      </c>
      <c r="O4328" t="b">
        <v>1</v>
      </c>
      <c r="P4328">
        <v>1</v>
      </c>
      <c r="Q4328" t="str" cm="1">
        <f t="array" ref="Q4328">_xlfn.IFS(Table1[[#This Row],[Wealthier_Winner]]=-1,"Wealthier Nation Loses",Table1[[#This Row],[Wealthier_Winner]]=0,"Tie",Table1[[#This Row],[Wealthier_Winner]]=1,"Wealthier Nation Wins")</f>
        <v>Wealthier Nation Wins</v>
      </c>
    </row>
    <row r="4329" spans="1:17" x14ac:dyDescent="0.2">
      <c r="A4329" s="1">
        <v>6469</v>
      </c>
      <c r="B4329" s="2">
        <v>41163</v>
      </c>
      <c r="C4329" s="7">
        <f>_xlfn.FLOOR.MATH(Table1[[#This Row],[year]],10)</f>
        <v>2010</v>
      </c>
      <c r="D4329" t="s">
        <v>22</v>
      </c>
      <c r="E4329" t="s">
        <v>196</v>
      </c>
      <c r="F4329">
        <v>0</v>
      </c>
      <c r="G4329">
        <v>4</v>
      </c>
      <c r="H4329" t="s">
        <v>224</v>
      </c>
      <c r="I4329" t="s">
        <v>239</v>
      </c>
      <c r="J4329" t="s">
        <v>22</v>
      </c>
      <c r="K4329" t="b">
        <v>0</v>
      </c>
      <c r="L4329">
        <v>2012</v>
      </c>
      <c r="M4329">
        <v>263589172712</v>
      </c>
      <c r="N4329">
        <v>2208293553878</v>
      </c>
      <c r="O4329" t="b">
        <v>1</v>
      </c>
      <c r="P4329">
        <v>1</v>
      </c>
      <c r="Q4329" t="str" cm="1">
        <f t="array" ref="Q4329">_xlfn.IFS(Table1[[#This Row],[Wealthier_Winner]]=-1,"Wealthier Nation Loses",Table1[[#This Row],[Wealthier_Winner]]=0,"Tie",Table1[[#This Row],[Wealthier_Winner]]=1,"Wealthier Nation Wins")</f>
        <v>Wealthier Nation Wins</v>
      </c>
    </row>
    <row r="4330" spans="1:17" x14ac:dyDescent="0.2">
      <c r="A4330" s="1">
        <v>6470</v>
      </c>
      <c r="B4330" s="2">
        <v>41163</v>
      </c>
      <c r="C4330" s="7">
        <f>_xlfn.FLOOR.MATH(Table1[[#This Row],[year]],10)</f>
        <v>2010</v>
      </c>
      <c r="D4330" t="s">
        <v>18</v>
      </c>
      <c r="E4330" t="s">
        <v>303</v>
      </c>
      <c r="F4330">
        <v>2</v>
      </c>
      <c r="G4330">
        <v>0</v>
      </c>
      <c r="H4330" t="s">
        <v>224</v>
      </c>
      <c r="I4330" t="s">
        <v>755</v>
      </c>
      <c r="J4330" t="s">
        <v>18</v>
      </c>
      <c r="K4330" t="b">
        <v>0</v>
      </c>
      <c r="L4330">
        <v>2012</v>
      </c>
      <c r="M4330">
        <v>2097929495121</v>
      </c>
      <c r="N4330">
        <v>9609532089</v>
      </c>
      <c r="O4330" t="b">
        <v>1</v>
      </c>
      <c r="P4330">
        <v>1</v>
      </c>
      <c r="Q4330" t="str" cm="1">
        <f t="array" ref="Q4330">_xlfn.IFS(Table1[[#This Row],[Wealthier_Winner]]=-1,"Wealthier Nation Loses",Table1[[#This Row],[Wealthier_Winner]]=0,"Tie",Table1[[#This Row],[Wealthier_Winner]]=1,"Wealthier Nation Wins")</f>
        <v>Wealthier Nation Wins</v>
      </c>
    </row>
    <row r="4331" spans="1:17" x14ac:dyDescent="0.2">
      <c r="A4331" s="1">
        <v>6471</v>
      </c>
      <c r="B4331" s="2">
        <v>41163</v>
      </c>
      <c r="C4331" s="7">
        <f>_xlfn.FLOOR.MATH(Table1[[#This Row],[year]],10)</f>
        <v>2010</v>
      </c>
      <c r="D4331" t="s">
        <v>51</v>
      </c>
      <c r="E4331" t="s">
        <v>37</v>
      </c>
      <c r="F4331">
        <v>1</v>
      </c>
      <c r="G4331">
        <v>0</v>
      </c>
      <c r="H4331" t="s">
        <v>224</v>
      </c>
      <c r="I4331" t="s">
        <v>143</v>
      </c>
      <c r="J4331" t="s">
        <v>51</v>
      </c>
      <c r="K4331" t="b">
        <v>0</v>
      </c>
      <c r="L4331">
        <v>2012</v>
      </c>
      <c r="M4331">
        <v>6272362996105</v>
      </c>
      <c r="N4331">
        <v>218002476129</v>
      </c>
      <c r="O4331" t="b">
        <v>1</v>
      </c>
      <c r="P4331">
        <v>1</v>
      </c>
      <c r="Q4331" t="str" cm="1">
        <f t="array" ref="Q4331">_xlfn.IFS(Table1[[#This Row],[Wealthier_Winner]]=-1,"Wealthier Nation Loses",Table1[[#This Row],[Wealthier_Winner]]=0,"Tie",Table1[[#This Row],[Wealthier_Winner]]=1,"Wealthier Nation Wins")</f>
        <v>Wealthier Nation Wins</v>
      </c>
    </row>
    <row r="4332" spans="1:17" x14ac:dyDescent="0.2">
      <c r="A4332" s="1">
        <v>6472</v>
      </c>
      <c r="B4332" s="2">
        <v>41163</v>
      </c>
      <c r="C4332" s="7">
        <f>_xlfn.FLOOR.MATH(Table1[[#This Row],[year]],10)</f>
        <v>2010</v>
      </c>
      <c r="D4332" t="s">
        <v>403</v>
      </c>
      <c r="E4332" t="s">
        <v>28</v>
      </c>
      <c r="F4332">
        <v>2</v>
      </c>
      <c r="G4332">
        <v>1</v>
      </c>
      <c r="H4332" t="s">
        <v>224</v>
      </c>
      <c r="I4332" t="s">
        <v>404</v>
      </c>
      <c r="J4332" t="s">
        <v>403</v>
      </c>
      <c r="K4332" t="b">
        <v>0</v>
      </c>
      <c r="L4332">
        <v>2012</v>
      </c>
      <c r="M4332">
        <v>31634561690</v>
      </c>
      <c r="N4332">
        <v>1552728401401</v>
      </c>
      <c r="O4332" t="b">
        <v>1</v>
      </c>
      <c r="P4332">
        <v>-1</v>
      </c>
      <c r="Q4332" t="str" cm="1">
        <f t="array" ref="Q4332">_xlfn.IFS(Table1[[#This Row],[Wealthier_Winner]]=-1,"Wealthier Nation Loses",Table1[[#This Row],[Wealthier_Winner]]=0,"Tie",Table1[[#This Row],[Wealthier_Winner]]=1,"Wealthier Nation Wins")</f>
        <v>Wealthier Nation Loses</v>
      </c>
    </row>
    <row r="4333" spans="1:17" x14ac:dyDescent="0.2">
      <c r="A4333" s="1">
        <v>6473</v>
      </c>
      <c r="B4333" s="2">
        <v>41163</v>
      </c>
      <c r="C4333" s="7">
        <f>_xlfn.FLOOR.MATH(Table1[[#This Row],[year]],10)</f>
        <v>2010</v>
      </c>
      <c r="D4333" t="s">
        <v>479</v>
      </c>
      <c r="E4333" t="s">
        <v>210</v>
      </c>
      <c r="F4333">
        <v>1</v>
      </c>
      <c r="G4333">
        <v>0</v>
      </c>
      <c r="H4333" t="s">
        <v>224</v>
      </c>
      <c r="I4333" t="s">
        <v>480</v>
      </c>
      <c r="J4333" t="s">
        <v>479</v>
      </c>
      <c r="K4333" t="b">
        <v>0</v>
      </c>
      <c r="L4333">
        <v>2012</v>
      </c>
      <c r="M4333">
        <v>44016799515</v>
      </c>
      <c r="N4333">
        <v>644019315003</v>
      </c>
      <c r="O4333" t="b">
        <v>1</v>
      </c>
      <c r="P4333">
        <v>-1</v>
      </c>
      <c r="Q4333" t="str" cm="1">
        <f t="array" ref="Q4333">_xlfn.IFS(Table1[[#This Row],[Wealthier_Winner]]=-1,"Wealthier Nation Loses",Table1[[#This Row],[Wealthier_Winner]]=0,"Tie",Table1[[#This Row],[Wealthier_Winner]]=1,"Wealthier Nation Wins")</f>
        <v>Wealthier Nation Loses</v>
      </c>
    </row>
    <row r="4334" spans="1:17" x14ac:dyDescent="0.2">
      <c r="A4334" s="1">
        <v>6474</v>
      </c>
      <c r="B4334" s="2">
        <v>41163</v>
      </c>
      <c r="C4334" s="7">
        <f>_xlfn.FLOOR.MATH(Table1[[#This Row],[year]],10)</f>
        <v>2010</v>
      </c>
      <c r="D4334" t="s">
        <v>17</v>
      </c>
      <c r="E4334" t="s">
        <v>56</v>
      </c>
      <c r="F4334">
        <v>1</v>
      </c>
      <c r="G4334">
        <v>0</v>
      </c>
      <c r="H4334" t="s">
        <v>224</v>
      </c>
      <c r="I4334" t="s">
        <v>83</v>
      </c>
      <c r="J4334" t="s">
        <v>17</v>
      </c>
      <c r="K4334" t="b">
        <v>0</v>
      </c>
      <c r="L4334">
        <v>2012</v>
      </c>
      <c r="M4334">
        <v>1255110424817</v>
      </c>
      <c r="N4334">
        <v>47231655431</v>
      </c>
      <c r="O4334" t="b">
        <v>1</v>
      </c>
      <c r="P4334">
        <v>1</v>
      </c>
      <c r="Q4334" t="str" cm="1">
        <f t="array" ref="Q4334">_xlfn.IFS(Table1[[#This Row],[Wealthier_Winner]]=-1,"Wealthier Nation Loses",Table1[[#This Row],[Wealthier_Winner]]=0,"Tie",Table1[[#This Row],[Wealthier_Winner]]=1,"Wealthier Nation Wins")</f>
        <v>Wealthier Nation Wins</v>
      </c>
    </row>
    <row r="4335" spans="1:17" x14ac:dyDescent="0.2">
      <c r="A4335" s="1">
        <v>6475</v>
      </c>
      <c r="B4335" s="2">
        <v>41163</v>
      </c>
      <c r="C4335" s="7">
        <f>_xlfn.FLOOR.MATH(Table1[[#This Row],[year]],10)</f>
        <v>2010</v>
      </c>
      <c r="D4335" t="s">
        <v>72</v>
      </c>
      <c r="E4335" t="s">
        <v>456</v>
      </c>
      <c r="F4335">
        <v>6</v>
      </c>
      <c r="G4335">
        <v>1</v>
      </c>
      <c r="H4335" t="s">
        <v>224</v>
      </c>
      <c r="I4335" t="s">
        <v>327</v>
      </c>
      <c r="J4335" t="s">
        <v>72</v>
      </c>
      <c r="K4335" t="b">
        <v>0</v>
      </c>
      <c r="L4335">
        <v>2012</v>
      </c>
      <c r="M4335">
        <v>176560711239</v>
      </c>
      <c r="N4335">
        <v>1185217634</v>
      </c>
      <c r="O4335" t="b">
        <v>1</v>
      </c>
      <c r="P4335">
        <v>1</v>
      </c>
      <c r="Q4335" t="str" cm="1">
        <f t="array" ref="Q4335">_xlfn.IFS(Table1[[#This Row],[Wealthier_Winner]]=-1,"Wealthier Nation Loses",Table1[[#This Row],[Wealthier_Winner]]=0,"Tie",Table1[[#This Row],[Wealthier_Winner]]=1,"Wealthier Nation Wins")</f>
        <v>Wealthier Nation Wins</v>
      </c>
    </row>
    <row r="4336" spans="1:17" x14ac:dyDescent="0.2">
      <c r="A4336" s="1">
        <v>6477</v>
      </c>
      <c r="B4336" s="2">
        <v>41163</v>
      </c>
      <c r="C4336" s="7">
        <f>_xlfn.FLOOR.MATH(Table1[[#This Row],[year]],10)</f>
        <v>2010</v>
      </c>
      <c r="D4336" t="s">
        <v>42</v>
      </c>
      <c r="E4336" t="s">
        <v>55</v>
      </c>
      <c r="F4336">
        <v>2</v>
      </c>
      <c r="G4336">
        <v>1</v>
      </c>
      <c r="H4336" t="s">
        <v>224</v>
      </c>
      <c r="I4336" t="s">
        <v>262</v>
      </c>
      <c r="J4336" t="s">
        <v>42</v>
      </c>
      <c r="K4336" t="b">
        <v>0</v>
      </c>
      <c r="L4336">
        <v>2012</v>
      </c>
      <c r="M4336">
        <v>512777309840</v>
      </c>
      <c r="N4336">
        <v>46167053954</v>
      </c>
      <c r="O4336" t="b">
        <v>1</v>
      </c>
      <c r="P4336">
        <v>1</v>
      </c>
      <c r="Q4336" t="str" cm="1">
        <f t="array" ref="Q4336">_xlfn.IFS(Table1[[#This Row],[Wealthier_Winner]]=-1,"Wealthier Nation Loses",Table1[[#This Row],[Wealthier_Winner]]=0,"Tie",Table1[[#This Row],[Wealthier_Winner]]=1,"Wealthier Nation Wins")</f>
        <v>Wealthier Nation Wins</v>
      </c>
    </row>
    <row r="4337" spans="1:17" x14ac:dyDescent="0.2">
      <c r="A4337" s="1">
        <v>6478</v>
      </c>
      <c r="B4337" s="2">
        <v>41163</v>
      </c>
      <c r="C4337" s="7">
        <f>_xlfn.FLOOR.MATH(Table1[[#This Row],[year]],10)</f>
        <v>2010</v>
      </c>
      <c r="D4337" t="s">
        <v>67</v>
      </c>
      <c r="E4337" t="s">
        <v>34</v>
      </c>
      <c r="F4337">
        <v>2</v>
      </c>
      <c r="G4337">
        <v>0</v>
      </c>
      <c r="H4337" t="s">
        <v>224</v>
      </c>
      <c r="I4337" t="s">
        <v>455</v>
      </c>
      <c r="J4337" t="s">
        <v>67</v>
      </c>
      <c r="K4337" t="b">
        <v>0</v>
      </c>
      <c r="L4337">
        <v>2012</v>
      </c>
      <c r="M4337">
        <v>41595439720</v>
      </c>
      <c r="N4337">
        <v>1828366481521</v>
      </c>
      <c r="O4337" t="b">
        <v>1</v>
      </c>
      <c r="P4337">
        <v>-1</v>
      </c>
      <c r="Q4337" t="str" cm="1">
        <f t="array" ref="Q4337">_xlfn.IFS(Table1[[#This Row],[Wealthier_Winner]]=-1,"Wealthier Nation Loses",Table1[[#This Row],[Wealthier_Winner]]=0,"Tie",Table1[[#This Row],[Wealthier_Winner]]=1,"Wealthier Nation Wins")</f>
        <v>Wealthier Nation Loses</v>
      </c>
    </row>
    <row r="4338" spans="1:17" x14ac:dyDescent="0.2">
      <c r="A4338" s="1">
        <v>6479</v>
      </c>
      <c r="B4338" s="2">
        <v>41163</v>
      </c>
      <c r="C4338" s="7">
        <f>_xlfn.FLOOR.MATH(Table1[[#This Row],[year]],10)</f>
        <v>2010</v>
      </c>
      <c r="D4338" t="s">
        <v>35</v>
      </c>
      <c r="E4338" t="s">
        <v>258</v>
      </c>
      <c r="F4338">
        <v>0</v>
      </c>
      <c r="G4338">
        <v>2</v>
      </c>
      <c r="H4338" t="s">
        <v>224</v>
      </c>
      <c r="I4338" t="s">
        <v>250</v>
      </c>
      <c r="J4338" t="s">
        <v>35</v>
      </c>
      <c r="K4338" t="b">
        <v>0</v>
      </c>
      <c r="L4338">
        <v>2012</v>
      </c>
      <c r="M4338">
        <v>33271921136</v>
      </c>
      <c r="N4338">
        <v>372592062768</v>
      </c>
      <c r="O4338" t="b">
        <v>1</v>
      </c>
      <c r="P4338">
        <v>1</v>
      </c>
      <c r="Q4338" t="str" cm="1">
        <f t="array" ref="Q4338">_xlfn.IFS(Table1[[#This Row],[Wealthier_Winner]]=-1,"Wealthier Nation Loses",Table1[[#This Row],[Wealthier_Winner]]=0,"Tie",Table1[[#This Row],[Wealthier_Winner]]=1,"Wealthier Nation Wins")</f>
        <v>Wealthier Nation Wins</v>
      </c>
    </row>
    <row r="4339" spans="1:17" x14ac:dyDescent="0.2">
      <c r="A4339" s="1">
        <v>6480</v>
      </c>
      <c r="B4339" s="2">
        <v>41163</v>
      </c>
      <c r="C4339" s="7">
        <f>_xlfn.FLOOR.MATH(Table1[[#This Row],[year]],10)</f>
        <v>2010</v>
      </c>
      <c r="D4339" t="s">
        <v>31</v>
      </c>
      <c r="E4339" t="s">
        <v>19</v>
      </c>
      <c r="F4339">
        <v>1</v>
      </c>
      <c r="G4339">
        <v>1</v>
      </c>
      <c r="H4339" t="s">
        <v>224</v>
      </c>
      <c r="I4339" t="s">
        <v>242</v>
      </c>
      <c r="J4339" t="s">
        <v>31</v>
      </c>
      <c r="K4339" t="b">
        <v>0</v>
      </c>
      <c r="L4339">
        <v>2012</v>
      </c>
      <c r="M4339">
        <v>192650021648</v>
      </c>
      <c r="N4339">
        <v>545982375701</v>
      </c>
      <c r="O4339" t="b">
        <v>1</v>
      </c>
      <c r="P4339">
        <v>0</v>
      </c>
      <c r="Q4339" t="str" cm="1">
        <f t="array" ref="Q4339">_xlfn.IFS(Table1[[#This Row],[Wealthier_Winner]]=-1,"Wealthier Nation Loses",Table1[[#This Row],[Wealthier_Winner]]=0,"Tie",Table1[[#This Row],[Wealthier_Winner]]=1,"Wealthier Nation Wins")</f>
        <v>Tie</v>
      </c>
    </row>
    <row r="4340" spans="1:17" x14ac:dyDescent="0.2">
      <c r="A4340" s="1">
        <v>6481</v>
      </c>
      <c r="B4340" s="2">
        <v>41163</v>
      </c>
      <c r="C4340" s="7">
        <f>_xlfn.FLOOR.MATH(Table1[[#This Row],[year]],10)</f>
        <v>2010</v>
      </c>
      <c r="D4340" t="s">
        <v>58</v>
      </c>
      <c r="E4340" t="s">
        <v>527</v>
      </c>
      <c r="F4340">
        <v>2</v>
      </c>
      <c r="G4340">
        <v>0</v>
      </c>
      <c r="H4340" t="s">
        <v>224</v>
      </c>
      <c r="I4340" t="s">
        <v>707</v>
      </c>
      <c r="J4340" t="s">
        <v>58</v>
      </c>
      <c r="K4340" t="b">
        <v>0</v>
      </c>
      <c r="L4340">
        <v>2012</v>
      </c>
      <c r="M4340">
        <v>498148649702</v>
      </c>
      <c r="N4340">
        <v>8709138634</v>
      </c>
      <c r="O4340" t="b">
        <v>1</v>
      </c>
      <c r="P4340">
        <v>1</v>
      </c>
      <c r="Q4340" t="str" cm="1">
        <f t="array" ref="Q4340">_xlfn.IFS(Table1[[#This Row],[Wealthier_Winner]]=-1,"Wealthier Nation Loses",Table1[[#This Row],[Wealthier_Winner]]=0,"Tie",Table1[[#This Row],[Wealthier_Winner]]=1,"Wealthier Nation Wins")</f>
        <v>Wealthier Nation Wins</v>
      </c>
    </row>
    <row r="4341" spans="1:17" x14ac:dyDescent="0.2">
      <c r="A4341" s="1">
        <v>6482</v>
      </c>
      <c r="B4341" s="2">
        <v>41163</v>
      </c>
      <c r="C4341" s="7">
        <f>_xlfn.FLOOR.MATH(Table1[[#This Row],[year]],10)</f>
        <v>2010</v>
      </c>
      <c r="D4341" t="s">
        <v>38</v>
      </c>
      <c r="E4341" t="s">
        <v>513</v>
      </c>
      <c r="F4341">
        <v>3</v>
      </c>
      <c r="G4341">
        <v>0</v>
      </c>
      <c r="H4341" t="s">
        <v>224</v>
      </c>
      <c r="I4341" t="s">
        <v>717</v>
      </c>
      <c r="J4341" t="s">
        <v>38</v>
      </c>
      <c r="K4341" t="b">
        <v>0</v>
      </c>
      <c r="L4341">
        <v>2012</v>
      </c>
      <c r="M4341">
        <v>216536676771</v>
      </c>
      <c r="N4341">
        <v>69679944504</v>
      </c>
      <c r="O4341" t="b">
        <v>1</v>
      </c>
      <c r="P4341">
        <v>1</v>
      </c>
      <c r="Q4341" t="str" cm="1">
        <f t="array" ref="Q4341">_xlfn.IFS(Table1[[#This Row],[Wealthier_Winner]]=-1,"Wealthier Nation Loses",Table1[[#This Row],[Wealthier_Winner]]=0,"Tie",Table1[[#This Row],[Wealthier_Winner]]=1,"Wealthier Nation Wins")</f>
        <v>Wealthier Nation Wins</v>
      </c>
    </row>
    <row r="4342" spans="1:17" x14ac:dyDescent="0.2">
      <c r="A4342" s="1">
        <v>6483</v>
      </c>
      <c r="B4342" s="2">
        <v>41163</v>
      </c>
      <c r="C4342" s="7">
        <f>_xlfn.FLOOR.MATH(Table1[[#This Row],[year]],10)</f>
        <v>2010</v>
      </c>
      <c r="D4342" t="s">
        <v>44</v>
      </c>
      <c r="E4342" t="s">
        <v>601</v>
      </c>
      <c r="F4342">
        <v>4</v>
      </c>
      <c r="G4342">
        <v>0</v>
      </c>
      <c r="H4342" t="s">
        <v>224</v>
      </c>
      <c r="I4342" t="s">
        <v>425</v>
      </c>
      <c r="J4342" t="s">
        <v>44</v>
      </c>
      <c r="K4342" t="b">
        <v>0</v>
      </c>
      <c r="L4342">
        <v>2012</v>
      </c>
      <c r="M4342">
        <v>179117323107</v>
      </c>
      <c r="N4342">
        <v>3188653258</v>
      </c>
      <c r="O4342" t="b">
        <v>1</v>
      </c>
      <c r="P4342">
        <v>1</v>
      </c>
      <c r="Q4342" t="str" cm="1">
        <f t="array" ref="Q4342">_xlfn.IFS(Table1[[#This Row],[Wealthier_Winner]]=-1,"Wealthier Nation Loses",Table1[[#This Row],[Wealthier_Winner]]=0,"Tie",Table1[[#This Row],[Wealthier_Winner]]=1,"Wealthier Nation Wins")</f>
        <v>Wealthier Nation Wins</v>
      </c>
    </row>
    <row r="4343" spans="1:17" x14ac:dyDescent="0.2">
      <c r="A4343" s="1">
        <v>6484</v>
      </c>
      <c r="B4343" s="2">
        <v>41163</v>
      </c>
      <c r="C4343" s="7">
        <f>_xlfn.FLOOR.MATH(Table1[[#This Row],[year]],10)</f>
        <v>2010</v>
      </c>
      <c r="D4343" t="s">
        <v>549</v>
      </c>
      <c r="E4343" t="s">
        <v>705</v>
      </c>
      <c r="F4343">
        <v>0</v>
      </c>
      <c r="G4343">
        <v>6</v>
      </c>
      <c r="H4343" t="s">
        <v>224</v>
      </c>
      <c r="I4343" t="s">
        <v>555</v>
      </c>
      <c r="J4343" t="s">
        <v>549</v>
      </c>
      <c r="K4343" t="b">
        <v>0</v>
      </c>
      <c r="L4343">
        <v>2012</v>
      </c>
      <c r="M4343">
        <v>1604701299</v>
      </c>
      <c r="N4343">
        <v>4071829462</v>
      </c>
      <c r="O4343" t="b">
        <v>1</v>
      </c>
      <c r="P4343">
        <v>1</v>
      </c>
      <c r="Q4343" t="str" cm="1">
        <f t="array" ref="Q4343">_xlfn.IFS(Table1[[#This Row],[Wealthier_Winner]]=-1,"Wealthier Nation Loses",Table1[[#This Row],[Wealthier_Winner]]=0,"Tie",Table1[[#This Row],[Wealthier_Winner]]=1,"Wealthier Nation Wins")</f>
        <v>Wealthier Nation Wins</v>
      </c>
    </row>
    <row r="4344" spans="1:17" x14ac:dyDescent="0.2">
      <c r="A4344" s="1">
        <v>6488</v>
      </c>
      <c r="B4344" s="2">
        <v>41163</v>
      </c>
      <c r="C4344" s="7">
        <f>_xlfn.FLOOR.MATH(Table1[[#This Row],[year]],10)</f>
        <v>2010</v>
      </c>
      <c r="D4344" t="s">
        <v>25</v>
      </c>
      <c r="E4344" t="s">
        <v>558</v>
      </c>
      <c r="F4344">
        <v>2</v>
      </c>
      <c r="G4344">
        <v>0</v>
      </c>
      <c r="H4344" t="s">
        <v>224</v>
      </c>
      <c r="I4344" t="s">
        <v>756</v>
      </c>
      <c r="J4344" t="s">
        <v>25</v>
      </c>
      <c r="K4344" t="b">
        <v>0</v>
      </c>
      <c r="L4344">
        <v>2012</v>
      </c>
      <c r="M4344">
        <v>549739674655</v>
      </c>
      <c r="N4344">
        <v>207998568865</v>
      </c>
      <c r="O4344" t="b">
        <v>1</v>
      </c>
      <c r="P4344">
        <v>1</v>
      </c>
      <c r="Q4344" t="str" cm="1">
        <f t="array" ref="Q4344">_xlfn.IFS(Table1[[#This Row],[Wealthier_Winner]]=-1,"Wealthier Nation Loses",Table1[[#This Row],[Wealthier_Winner]]=0,"Tie",Table1[[#This Row],[Wealthier_Winner]]=1,"Wealthier Nation Wins")</f>
        <v>Wealthier Nation Wins</v>
      </c>
    </row>
    <row r="4345" spans="1:17" x14ac:dyDescent="0.2">
      <c r="A4345" s="1">
        <v>6489</v>
      </c>
      <c r="B4345" s="2">
        <v>41163</v>
      </c>
      <c r="C4345" s="7">
        <f>_xlfn.FLOOR.MATH(Table1[[#This Row],[year]],10)</f>
        <v>2010</v>
      </c>
      <c r="D4345" t="s">
        <v>46</v>
      </c>
      <c r="E4345" t="s">
        <v>373</v>
      </c>
      <c r="F4345">
        <v>2</v>
      </c>
      <c r="G4345">
        <v>0</v>
      </c>
      <c r="H4345" t="s">
        <v>224</v>
      </c>
      <c r="I4345" t="s">
        <v>338</v>
      </c>
      <c r="J4345" t="s">
        <v>46</v>
      </c>
      <c r="K4345" t="b">
        <v>0</v>
      </c>
      <c r="L4345">
        <v>2012</v>
      </c>
      <c r="M4345">
        <v>686420221557</v>
      </c>
      <c r="N4345">
        <v>12246499747</v>
      </c>
      <c r="O4345" t="b">
        <v>1</v>
      </c>
      <c r="P4345">
        <v>1</v>
      </c>
      <c r="Q4345" t="str" cm="1">
        <f t="array" ref="Q4345">_xlfn.IFS(Table1[[#This Row],[Wealthier_Winner]]=-1,"Wealthier Nation Loses",Table1[[#This Row],[Wealthier_Winner]]=0,"Tie",Table1[[#This Row],[Wealthier_Winner]]=1,"Wealthier Nation Wins")</f>
        <v>Wealthier Nation Wins</v>
      </c>
    </row>
    <row r="4346" spans="1:17" x14ac:dyDescent="0.2">
      <c r="A4346" s="1">
        <v>6492</v>
      </c>
      <c r="B4346" s="2">
        <v>41163</v>
      </c>
      <c r="C4346" s="7">
        <f>_xlfn.FLOOR.MATH(Table1[[#This Row],[year]],10)</f>
        <v>2010</v>
      </c>
      <c r="D4346" t="s">
        <v>26</v>
      </c>
      <c r="E4346" t="s">
        <v>57</v>
      </c>
      <c r="F4346">
        <v>1</v>
      </c>
      <c r="G4346">
        <v>1</v>
      </c>
      <c r="H4346" t="s">
        <v>224</v>
      </c>
      <c r="I4346" t="s">
        <v>247</v>
      </c>
      <c r="J4346" t="s">
        <v>26</v>
      </c>
      <c r="K4346" t="b">
        <v>0</v>
      </c>
      <c r="L4346">
        <v>2012</v>
      </c>
      <c r="M4346">
        <v>54232266358</v>
      </c>
      <c r="N4346">
        <v>87735048000</v>
      </c>
      <c r="O4346" t="b">
        <v>0</v>
      </c>
      <c r="P4346">
        <v>0</v>
      </c>
      <c r="Q4346" t="str" cm="1">
        <f t="array" ref="Q4346">_xlfn.IFS(Table1[[#This Row],[Wealthier_Winner]]=-1,"Wealthier Nation Loses",Table1[[#This Row],[Wealthier_Winner]]=0,"Tie",Table1[[#This Row],[Wealthier_Winner]]=1,"Wealthier Nation Wins")</f>
        <v>Tie</v>
      </c>
    </row>
    <row r="4347" spans="1:17" x14ac:dyDescent="0.2">
      <c r="A4347" s="1">
        <v>6493</v>
      </c>
      <c r="B4347" s="2">
        <v>41163</v>
      </c>
      <c r="C4347" s="7">
        <f>_xlfn.FLOOR.MATH(Table1[[#This Row],[year]],10)</f>
        <v>2010</v>
      </c>
      <c r="D4347" t="s">
        <v>41</v>
      </c>
      <c r="E4347" t="s">
        <v>49</v>
      </c>
      <c r="F4347">
        <v>1</v>
      </c>
      <c r="G4347">
        <v>0</v>
      </c>
      <c r="H4347" t="s">
        <v>224</v>
      </c>
      <c r="I4347" t="s">
        <v>607</v>
      </c>
      <c r="J4347" t="s">
        <v>41</v>
      </c>
      <c r="K4347" t="b">
        <v>0</v>
      </c>
      <c r="L4347">
        <v>2012</v>
      </c>
      <c r="M4347">
        <v>16253972230000</v>
      </c>
      <c r="N4347">
        <v>14807086555</v>
      </c>
      <c r="O4347" t="b">
        <v>1</v>
      </c>
      <c r="P4347">
        <v>1</v>
      </c>
      <c r="Q4347" t="str" cm="1">
        <f t="array" ref="Q4347">_xlfn.IFS(Table1[[#This Row],[Wealthier_Winner]]=-1,"Wealthier Nation Loses",Table1[[#This Row],[Wealthier_Winner]]=0,"Tie",Table1[[#This Row],[Wealthier_Winner]]=1,"Wealthier Nation Wins")</f>
        <v>Wealthier Nation Wins</v>
      </c>
    </row>
    <row r="4348" spans="1:17" x14ac:dyDescent="0.2">
      <c r="A4348" s="1">
        <v>6494</v>
      </c>
      <c r="B4348" s="2">
        <v>41163</v>
      </c>
      <c r="C4348" s="7">
        <f>_xlfn.FLOOR.MATH(Table1[[#This Row],[year]],10)</f>
        <v>2010</v>
      </c>
      <c r="D4348" t="s">
        <v>563</v>
      </c>
      <c r="E4348" t="s">
        <v>195</v>
      </c>
      <c r="F4348">
        <v>2</v>
      </c>
      <c r="G4348">
        <v>2</v>
      </c>
      <c r="H4348" t="s">
        <v>224</v>
      </c>
      <c r="I4348" t="s">
        <v>564</v>
      </c>
      <c r="J4348" t="s">
        <v>563</v>
      </c>
      <c r="K4348" t="b">
        <v>0</v>
      </c>
      <c r="L4348">
        <v>2012</v>
      </c>
      <c r="M4348">
        <v>67517349212</v>
      </c>
      <c r="N4348">
        <v>1335343586437</v>
      </c>
      <c r="O4348" t="b">
        <v>1</v>
      </c>
      <c r="P4348">
        <v>0</v>
      </c>
      <c r="Q4348" t="str" cm="1">
        <f t="array" ref="Q4348">_xlfn.IFS(Table1[[#This Row],[Wealthier_Winner]]=-1,"Wealthier Nation Loses",Table1[[#This Row],[Wealthier_Winner]]=0,"Tie",Table1[[#This Row],[Wealthier_Winner]]=1,"Wealthier Nation Wins")</f>
        <v>Tie</v>
      </c>
    </row>
    <row r="4349" spans="1:17" x14ac:dyDescent="0.2">
      <c r="A4349" s="1">
        <v>6495</v>
      </c>
      <c r="B4349" s="2">
        <v>41194</v>
      </c>
      <c r="C4349" s="7">
        <f>_xlfn.FLOOR.MATH(Table1[[#This Row],[year]],10)</f>
        <v>2010</v>
      </c>
      <c r="D4349" t="s">
        <v>373</v>
      </c>
      <c r="E4349" t="s">
        <v>66</v>
      </c>
      <c r="F4349">
        <v>1</v>
      </c>
      <c r="G4349">
        <v>2</v>
      </c>
      <c r="H4349" t="s">
        <v>224</v>
      </c>
      <c r="I4349" t="s">
        <v>374</v>
      </c>
      <c r="J4349" t="s">
        <v>373</v>
      </c>
      <c r="K4349" t="b">
        <v>0</v>
      </c>
      <c r="L4349">
        <v>2012</v>
      </c>
      <c r="M4349">
        <v>12246499747</v>
      </c>
      <c r="N4349">
        <v>14943757823</v>
      </c>
      <c r="O4349" t="b">
        <v>0</v>
      </c>
      <c r="P4349">
        <v>1</v>
      </c>
      <c r="Q4349" t="str" cm="1">
        <f t="array" ref="Q4349">_xlfn.IFS(Table1[[#This Row],[Wealthier_Winner]]=-1,"Wealthier Nation Loses",Table1[[#This Row],[Wealthier_Winner]]=0,"Tie",Table1[[#This Row],[Wealthier_Winner]]=1,"Wealthier Nation Wins")</f>
        <v>Wealthier Nation Wins</v>
      </c>
    </row>
    <row r="4350" spans="1:17" x14ac:dyDescent="0.2">
      <c r="A4350" s="1">
        <v>6496</v>
      </c>
      <c r="B4350" s="2">
        <v>41194</v>
      </c>
      <c r="C4350" s="7">
        <f>_xlfn.FLOOR.MATH(Table1[[#This Row],[year]],10)</f>
        <v>2010</v>
      </c>
      <c r="D4350" t="s">
        <v>449</v>
      </c>
      <c r="E4350" t="s">
        <v>41</v>
      </c>
      <c r="F4350">
        <v>1</v>
      </c>
      <c r="G4350">
        <v>2</v>
      </c>
      <c r="H4350" t="s">
        <v>224</v>
      </c>
      <c r="I4350" t="s">
        <v>450</v>
      </c>
      <c r="J4350" t="s">
        <v>449</v>
      </c>
      <c r="K4350" t="b">
        <v>0</v>
      </c>
      <c r="L4350">
        <v>2012</v>
      </c>
      <c r="M4350">
        <v>1364729629</v>
      </c>
      <c r="N4350">
        <v>16253972230000</v>
      </c>
      <c r="O4350" t="b">
        <v>1</v>
      </c>
      <c r="P4350">
        <v>1</v>
      </c>
      <c r="Q4350" t="str" cm="1">
        <f t="array" ref="Q4350">_xlfn.IFS(Table1[[#This Row],[Wealthier_Winner]]=-1,"Wealthier Nation Loses",Table1[[#This Row],[Wealthier_Winner]]=0,"Tie",Table1[[#This Row],[Wealthier_Winner]]=1,"Wealthier Nation Wins")</f>
        <v>Wealthier Nation Wins</v>
      </c>
    </row>
    <row r="4351" spans="1:17" x14ac:dyDescent="0.2">
      <c r="A4351" s="1">
        <v>6497</v>
      </c>
      <c r="B4351" s="2">
        <v>41194</v>
      </c>
      <c r="C4351" s="7">
        <f>_xlfn.FLOOR.MATH(Table1[[#This Row],[year]],10)</f>
        <v>2010</v>
      </c>
      <c r="D4351" t="s">
        <v>19</v>
      </c>
      <c r="E4351" t="s">
        <v>26</v>
      </c>
      <c r="F4351">
        <v>3</v>
      </c>
      <c r="G4351">
        <v>0</v>
      </c>
      <c r="H4351" t="s">
        <v>224</v>
      </c>
      <c r="I4351" t="s">
        <v>96</v>
      </c>
      <c r="J4351" t="s">
        <v>19</v>
      </c>
      <c r="K4351" t="b">
        <v>0</v>
      </c>
      <c r="L4351">
        <v>2012</v>
      </c>
      <c r="M4351">
        <v>545982375701</v>
      </c>
      <c r="N4351">
        <v>54232266358</v>
      </c>
      <c r="O4351" t="b">
        <v>1</v>
      </c>
      <c r="P4351">
        <v>1</v>
      </c>
      <c r="Q4351" t="str" cm="1">
        <f t="array" ref="Q4351">_xlfn.IFS(Table1[[#This Row],[Wealthier_Winner]]=-1,"Wealthier Nation Loses",Table1[[#This Row],[Wealthier_Winner]]=0,"Tie",Table1[[#This Row],[Wealthier_Winner]]=1,"Wealthier Nation Wins")</f>
        <v>Wealthier Nation Wins</v>
      </c>
    </row>
    <row r="4352" spans="1:17" x14ac:dyDescent="0.2">
      <c r="A4352" s="1">
        <v>6498</v>
      </c>
      <c r="B4352" s="2">
        <v>41194</v>
      </c>
      <c r="C4352" s="7">
        <f>_xlfn.FLOOR.MATH(Table1[[#This Row],[year]],10)</f>
        <v>2010</v>
      </c>
      <c r="D4352" t="s">
        <v>519</v>
      </c>
      <c r="E4352" t="s">
        <v>18</v>
      </c>
      <c r="F4352">
        <v>1</v>
      </c>
      <c r="G4352">
        <v>3</v>
      </c>
      <c r="H4352" t="s">
        <v>224</v>
      </c>
      <c r="I4352" t="s">
        <v>520</v>
      </c>
      <c r="J4352" t="s">
        <v>519</v>
      </c>
      <c r="K4352" t="b">
        <v>0</v>
      </c>
      <c r="L4352">
        <v>2012</v>
      </c>
      <c r="M4352">
        <v>10619320682</v>
      </c>
      <c r="N4352">
        <v>2097929495121</v>
      </c>
      <c r="O4352" t="b">
        <v>1</v>
      </c>
      <c r="P4352">
        <v>1</v>
      </c>
      <c r="Q4352" t="str" cm="1">
        <f t="array" ref="Q4352">_xlfn.IFS(Table1[[#This Row],[Wealthier_Winner]]=-1,"Wealthier Nation Loses",Table1[[#This Row],[Wealthier_Winner]]=0,"Tie",Table1[[#This Row],[Wealthier_Winner]]=1,"Wealthier Nation Wins")</f>
        <v>Wealthier Nation Wins</v>
      </c>
    </row>
    <row r="4353" spans="1:17" x14ac:dyDescent="0.2">
      <c r="A4353" s="1">
        <v>6499</v>
      </c>
      <c r="B4353" s="2">
        <v>41194</v>
      </c>
      <c r="C4353" s="7">
        <f>_xlfn.FLOOR.MATH(Table1[[#This Row],[year]],10)</f>
        <v>2010</v>
      </c>
      <c r="D4353" t="s">
        <v>510</v>
      </c>
      <c r="E4353" t="s">
        <v>21</v>
      </c>
      <c r="F4353">
        <v>0</v>
      </c>
      <c r="G4353">
        <v>4</v>
      </c>
      <c r="H4353" t="s">
        <v>224</v>
      </c>
      <c r="I4353" t="s">
        <v>522</v>
      </c>
      <c r="J4353" t="s">
        <v>510</v>
      </c>
      <c r="K4353" t="b">
        <v>0</v>
      </c>
      <c r="L4353">
        <v>2012</v>
      </c>
      <c r="M4353">
        <v>65685890438</v>
      </c>
      <c r="N4353">
        <v>1330994811670</v>
      </c>
      <c r="O4353" t="b">
        <v>1</v>
      </c>
      <c r="P4353">
        <v>1</v>
      </c>
      <c r="Q4353" t="str" cm="1">
        <f t="array" ref="Q4353">_xlfn.IFS(Table1[[#This Row],[Wealthier_Winner]]=-1,"Wealthier Nation Loses",Table1[[#This Row],[Wealthier_Winner]]=0,"Tie",Table1[[#This Row],[Wealthier_Winner]]=1,"Wealthier Nation Wins")</f>
        <v>Wealthier Nation Wins</v>
      </c>
    </row>
    <row r="4354" spans="1:17" x14ac:dyDescent="0.2">
      <c r="A4354" s="1">
        <v>6500</v>
      </c>
      <c r="B4354" s="2">
        <v>41194</v>
      </c>
      <c r="C4354" s="7">
        <f>_xlfn.FLOOR.MATH(Table1[[#This Row],[year]],10)</f>
        <v>2010</v>
      </c>
      <c r="D4354" t="s">
        <v>47</v>
      </c>
      <c r="E4354" t="s">
        <v>31</v>
      </c>
      <c r="F4354">
        <v>1</v>
      </c>
      <c r="G4354">
        <v>1</v>
      </c>
      <c r="H4354" t="s">
        <v>224</v>
      </c>
      <c r="I4354" t="s">
        <v>246</v>
      </c>
      <c r="J4354" t="s">
        <v>47</v>
      </c>
      <c r="K4354" t="b">
        <v>0</v>
      </c>
      <c r="L4354">
        <v>2012</v>
      </c>
      <c r="M4354">
        <v>27084497481</v>
      </c>
      <c r="N4354">
        <v>192650021648</v>
      </c>
      <c r="O4354" t="b">
        <v>1</v>
      </c>
      <c r="P4354">
        <v>0</v>
      </c>
      <c r="Q4354" t="str" cm="1">
        <f t="array" ref="Q4354">_xlfn.IFS(Table1[[#This Row],[Wealthier_Winner]]=-1,"Wealthier Nation Loses",Table1[[#This Row],[Wealthier_Winner]]=0,"Tie",Table1[[#This Row],[Wealthier_Winner]]=1,"Wealthier Nation Wins")</f>
        <v>Tie</v>
      </c>
    </row>
    <row r="4355" spans="1:17" x14ac:dyDescent="0.2">
      <c r="A4355" s="1">
        <v>6501</v>
      </c>
      <c r="B4355" s="2">
        <v>41194</v>
      </c>
      <c r="C4355" s="7">
        <f>_xlfn.FLOOR.MATH(Table1[[#This Row],[year]],10)</f>
        <v>2010</v>
      </c>
      <c r="D4355" t="s">
        <v>33</v>
      </c>
      <c r="E4355" t="s">
        <v>36</v>
      </c>
      <c r="F4355">
        <v>1</v>
      </c>
      <c r="G4355">
        <v>1</v>
      </c>
      <c r="H4355" t="s">
        <v>224</v>
      </c>
      <c r="I4355" t="s">
        <v>375</v>
      </c>
      <c r="J4355" t="s">
        <v>33</v>
      </c>
      <c r="K4355" t="b">
        <v>0</v>
      </c>
      <c r="L4355">
        <v>2012</v>
      </c>
      <c r="M4355">
        <v>54297052002</v>
      </c>
      <c r="N4355">
        <v>326792574244</v>
      </c>
      <c r="O4355" t="b">
        <v>1</v>
      </c>
      <c r="P4355">
        <v>0</v>
      </c>
      <c r="Q4355" t="str" cm="1">
        <f t="array" ref="Q4355">_xlfn.IFS(Table1[[#This Row],[Wealthier_Winner]]=-1,"Wealthier Nation Loses",Table1[[#This Row],[Wealthier_Winner]]=0,"Tie",Table1[[#This Row],[Wealthier_Winner]]=1,"Wealthier Nation Wins")</f>
        <v>Tie</v>
      </c>
    </row>
    <row r="4356" spans="1:17" x14ac:dyDescent="0.2">
      <c r="A4356" s="1">
        <v>6502</v>
      </c>
      <c r="B4356" s="2">
        <v>41194</v>
      </c>
      <c r="C4356" s="7">
        <f>_xlfn.FLOOR.MATH(Table1[[#This Row],[year]],10)</f>
        <v>2010</v>
      </c>
      <c r="D4356" t="s">
        <v>34</v>
      </c>
      <c r="E4356" t="s">
        <v>517</v>
      </c>
      <c r="F4356">
        <v>3</v>
      </c>
      <c r="G4356">
        <v>0</v>
      </c>
      <c r="H4356" t="s">
        <v>224</v>
      </c>
      <c r="I4356" t="s">
        <v>267</v>
      </c>
      <c r="J4356" t="s">
        <v>34</v>
      </c>
      <c r="K4356" t="b">
        <v>0</v>
      </c>
      <c r="L4356">
        <v>2012</v>
      </c>
      <c r="M4356">
        <v>1828366481521</v>
      </c>
      <c r="N4356">
        <v>73141000000</v>
      </c>
      <c r="O4356" t="b">
        <v>1</v>
      </c>
      <c r="P4356">
        <v>1</v>
      </c>
      <c r="Q4356" t="str" cm="1">
        <f t="array" ref="Q4356">_xlfn.IFS(Table1[[#This Row],[Wealthier_Winner]]=-1,"Wealthier Nation Loses",Table1[[#This Row],[Wealthier_Winner]]=0,"Tie",Table1[[#This Row],[Wealthier_Winner]]=1,"Wealthier Nation Wins")</f>
        <v>Wealthier Nation Wins</v>
      </c>
    </row>
    <row r="4357" spans="1:17" x14ac:dyDescent="0.2">
      <c r="A4357" s="1">
        <v>6503</v>
      </c>
      <c r="B4357" s="2">
        <v>41194</v>
      </c>
      <c r="C4357" s="7">
        <f>_xlfn.FLOOR.MATH(Table1[[#This Row],[year]],10)</f>
        <v>2010</v>
      </c>
      <c r="D4357" t="s">
        <v>15</v>
      </c>
      <c r="E4357" t="s">
        <v>35</v>
      </c>
      <c r="F4357">
        <v>2</v>
      </c>
      <c r="G4357">
        <v>0</v>
      </c>
      <c r="H4357" t="s">
        <v>224</v>
      </c>
      <c r="I4357" t="s">
        <v>261</v>
      </c>
      <c r="J4357" t="s">
        <v>15</v>
      </c>
      <c r="K4357" t="b">
        <v>0</v>
      </c>
      <c r="L4357">
        <v>2012</v>
      </c>
      <c r="M4357">
        <v>370691143018</v>
      </c>
      <c r="N4357">
        <v>33271921136</v>
      </c>
      <c r="O4357" t="b">
        <v>1</v>
      </c>
      <c r="P4357">
        <v>1</v>
      </c>
      <c r="Q4357" t="str" cm="1">
        <f t="array" ref="Q4357">_xlfn.IFS(Table1[[#This Row],[Wealthier_Winner]]=-1,"Wealthier Nation Loses",Table1[[#This Row],[Wealthier_Winner]]=0,"Tie",Table1[[#This Row],[Wealthier_Winner]]=1,"Wealthier Nation Wins")</f>
        <v>Wealthier Nation Wins</v>
      </c>
    </row>
    <row r="4358" spans="1:17" x14ac:dyDescent="0.2">
      <c r="A4358" s="1">
        <v>6505</v>
      </c>
      <c r="B4358" s="2">
        <v>41194</v>
      </c>
      <c r="C4358" s="7">
        <f>_xlfn.FLOOR.MATH(Table1[[#This Row],[year]],10)</f>
        <v>2010</v>
      </c>
      <c r="D4358" t="s">
        <v>57</v>
      </c>
      <c r="E4358" t="s">
        <v>14</v>
      </c>
      <c r="F4358">
        <v>3</v>
      </c>
      <c r="G4358">
        <v>1</v>
      </c>
      <c r="H4358" t="s">
        <v>224</v>
      </c>
      <c r="I4358" t="s">
        <v>335</v>
      </c>
      <c r="J4358" t="s">
        <v>57</v>
      </c>
      <c r="K4358" t="b">
        <v>0</v>
      </c>
      <c r="L4358">
        <v>2012</v>
      </c>
      <c r="M4358">
        <v>87735048000</v>
      </c>
      <c r="N4358">
        <v>267024782486</v>
      </c>
      <c r="O4358" t="b">
        <v>1</v>
      </c>
      <c r="P4358">
        <v>-1</v>
      </c>
      <c r="Q4358" t="str" cm="1">
        <f t="array" ref="Q4358">_xlfn.IFS(Table1[[#This Row],[Wealthier_Winner]]=-1,"Wealthier Nation Loses",Table1[[#This Row],[Wealthier_Winner]]=0,"Tie",Table1[[#This Row],[Wealthier_Winner]]=1,"Wealthier Nation Wins")</f>
        <v>Wealthier Nation Loses</v>
      </c>
    </row>
    <row r="4359" spans="1:17" x14ac:dyDescent="0.2">
      <c r="A4359" s="1">
        <v>6506</v>
      </c>
      <c r="B4359" s="2">
        <v>41194</v>
      </c>
      <c r="C4359" s="7">
        <f>_xlfn.FLOOR.MATH(Table1[[#This Row],[year]],10)</f>
        <v>2010</v>
      </c>
      <c r="D4359" t="s">
        <v>69</v>
      </c>
      <c r="E4359" t="s">
        <v>56</v>
      </c>
      <c r="F4359">
        <v>0</v>
      </c>
      <c r="G4359">
        <v>1</v>
      </c>
      <c r="H4359" t="s">
        <v>224</v>
      </c>
      <c r="I4359" t="s">
        <v>281</v>
      </c>
      <c r="J4359" t="s">
        <v>69</v>
      </c>
      <c r="K4359" t="b">
        <v>0</v>
      </c>
      <c r="L4359">
        <v>2012</v>
      </c>
      <c r="M4359">
        <v>21386150000</v>
      </c>
      <c r="N4359">
        <v>47231655431</v>
      </c>
      <c r="O4359" t="b">
        <v>1</v>
      </c>
      <c r="P4359">
        <v>1</v>
      </c>
      <c r="Q4359" t="str" cm="1">
        <f t="array" ref="Q4359">_xlfn.IFS(Table1[[#This Row],[Wealthier_Winner]]=-1,"Wealthier Nation Loses",Table1[[#This Row],[Wealthier_Winner]]=0,"Tie",Table1[[#This Row],[Wealthier_Winner]]=1,"Wealthier Nation Wins")</f>
        <v>Wealthier Nation Wins</v>
      </c>
    </row>
    <row r="4360" spans="1:17" x14ac:dyDescent="0.2">
      <c r="A4360" s="1">
        <v>6507</v>
      </c>
      <c r="B4360" s="2">
        <v>41194</v>
      </c>
      <c r="C4360" s="7">
        <f>_xlfn.FLOOR.MATH(Table1[[#This Row],[year]],10)</f>
        <v>2010</v>
      </c>
      <c r="D4360" t="s">
        <v>194</v>
      </c>
      <c r="E4360" t="s">
        <v>549</v>
      </c>
      <c r="F4360">
        <v>5</v>
      </c>
      <c r="G4360">
        <v>0</v>
      </c>
      <c r="H4360" t="s">
        <v>224</v>
      </c>
      <c r="I4360" t="s">
        <v>80</v>
      </c>
      <c r="J4360" t="s">
        <v>194</v>
      </c>
      <c r="K4360" t="b">
        <v>0</v>
      </c>
      <c r="L4360">
        <v>2012</v>
      </c>
      <c r="M4360">
        <v>2719715961539</v>
      </c>
      <c r="N4360">
        <v>1604701299</v>
      </c>
      <c r="O4360" t="b">
        <v>1</v>
      </c>
      <c r="P4360">
        <v>1</v>
      </c>
      <c r="Q4360" t="str" cm="1">
        <f t="array" ref="Q4360">_xlfn.IFS(Table1[[#This Row],[Wealthier_Winner]]=-1,"Wealthier Nation Loses",Table1[[#This Row],[Wealthier_Winner]]=0,"Tie",Table1[[#This Row],[Wealthier_Winner]]=1,"Wealthier Nation Wins")</f>
        <v>Wealthier Nation Wins</v>
      </c>
    </row>
    <row r="4361" spans="1:17" x14ac:dyDescent="0.2">
      <c r="A4361" s="1">
        <v>6508</v>
      </c>
      <c r="B4361" s="2">
        <v>41194</v>
      </c>
      <c r="C4361" s="7">
        <f>_xlfn.FLOOR.MATH(Table1[[#This Row],[year]],10)</f>
        <v>2010</v>
      </c>
      <c r="D4361" t="s">
        <v>476</v>
      </c>
      <c r="E4361" t="s">
        <v>30</v>
      </c>
      <c r="F4361">
        <v>0</v>
      </c>
      <c r="G4361">
        <v>1</v>
      </c>
      <c r="H4361" t="s">
        <v>224</v>
      </c>
      <c r="I4361" t="s">
        <v>481</v>
      </c>
      <c r="J4361" t="s">
        <v>476</v>
      </c>
      <c r="K4361" t="b">
        <v>0</v>
      </c>
      <c r="L4361">
        <v>2012</v>
      </c>
      <c r="M4361">
        <v>23237406116</v>
      </c>
      <c r="N4361">
        <v>128470269689</v>
      </c>
      <c r="O4361" t="b">
        <v>1</v>
      </c>
      <c r="P4361">
        <v>1</v>
      </c>
      <c r="Q4361" t="str" cm="1">
        <f t="array" ref="Q4361">_xlfn.IFS(Table1[[#This Row],[Wealthier_Winner]]=-1,"Wealthier Nation Loses",Table1[[#This Row],[Wealthier_Winner]]=0,"Tie",Table1[[#This Row],[Wealthier_Winner]]=1,"Wealthier Nation Wins")</f>
        <v>Wealthier Nation Wins</v>
      </c>
    </row>
    <row r="4362" spans="1:17" x14ac:dyDescent="0.2">
      <c r="A4362" s="1">
        <v>6509</v>
      </c>
      <c r="B4362" s="2">
        <v>41194</v>
      </c>
      <c r="C4362" s="7">
        <f>_xlfn.FLOOR.MATH(Table1[[#This Row],[year]],10)</f>
        <v>2010</v>
      </c>
      <c r="D4362" t="s">
        <v>447</v>
      </c>
      <c r="E4362" t="s">
        <v>25</v>
      </c>
      <c r="F4362">
        <v>1</v>
      </c>
      <c r="G4362">
        <v>2</v>
      </c>
      <c r="H4362" t="s">
        <v>224</v>
      </c>
      <c r="I4362" t="s">
        <v>631</v>
      </c>
      <c r="J4362" t="s">
        <v>447</v>
      </c>
      <c r="K4362" t="b">
        <v>0</v>
      </c>
      <c r="L4362">
        <v>2012</v>
      </c>
      <c r="M4362">
        <v>2427200388</v>
      </c>
      <c r="N4362">
        <v>549739674655</v>
      </c>
      <c r="O4362" t="b">
        <v>1</v>
      </c>
      <c r="P4362">
        <v>1</v>
      </c>
      <c r="Q4362" t="str" cm="1">
        <f t="array" ref="Q4362">_xlfn.IFS(Table1[[#This Row],[Wealthier_Winner]]=-1,"Wealthier Nation Loses",Table1[[#This Row],[Wealthier_Winner]]=0,"Tie",Table1[[#This Row],[Wealthier_Winner]]=1,"Wealthier Nation Wins")</f>
        <v>Wealthier Nation Wins</v>
      </c>
    </row>
    <row r="4363" spans="1:17" x14ac:dyDescent="0.2">
      <c r="A4363" s="1">
        <v>6510</v>
      </c>
      <c r="B4363" s="2">
        <v>41194</v>
      </c>
      <c r="C4363" s="7">
        <f>_xlfn.FLOOR.MATH(Table1[[#This Row],[year]],10)</f>
        <v>2010</v>
      </c>
      <c r="D4363" t="s">
        <v>230</v>
      </c>
      <c r="E4363" t="s">
        <v>534</v>
      </c>
      <c r="F4363">
        <v>1</v>
      </c>
      <c r="G4363">
        <v>1</v>
      </c>
      <c r="H4363" t="s">
        <v>224</v>
      </c>
      <c r="I4363" t="s">
        <v>231</v>
      </c>
      <c r="J4363" t="s">
        <v>230</v>
      </c>
      <c r="K4363" t="b">
        <v>0</v>
      </c>
      <c r="L4363">
        <v>2012</v>
      </c>
      <c r="M4363">
        <v>257443384492</v>
      </c>
      <c r="N4363">
        <v>16894392033</v>
      </c>
      <c r="O4363" t="b">
        <v>1</v>
      </c>
      <c r="P4363">
        <v>0</v>
      </c>
      <c r="Q4363" t="str" cm="1">
        <f t="array" ref="Q4363">_xlfn.IFS(Table1[[#This Row],[Wealthier_Winner]]=-1,"Wealthier Nation Loses",Table1[[#This Row],[Wealthier_Winner]]=0,"Tie",Table1[[#This Row],[Wealthier_Winner]]=1,"Wealthier Nation Wins")</f>
        <v>Tie</v>
      </c>
    </row>
    <row r="4364" spans="1:17" x14ac:dyDescent="0.2">
      <c r="A4364" s="1">
        <v>6511</v>
      </c>
      <c r="B4364" s="2">
        <v>41194</v>
      </c>
      <c r="C4364" s="7">
        <f>_xlfn.FLOOR.MATH(Table1[[#This Row],[year]],10)</f>
        <v>2010</v>
      </c>
      <c r="D4364" t="s">
        <v>48</v>
      </c>
      <c r="E4364" t="s">
        <v>73</v>
      </c>
      <c r="F4364">
        <v>0</v>
      </c>
      <c r="G4364">
        <v>0</v>
      </c>
      <c r="H4364" t="s">
        <v>224</v>
      </c>
      <c r="I4364" t="s">
        <v>282</v>
      </c>
      <c r="J4364" t="s">
        <v>48</v>
      </c>
      <c r="K4364" t="b">
        <v>0</v>
      </c>
      <c r="L4364">
        <v>2012</v>
      </c>
      <c r="M4364">
        <v>238841140018</v>
      </c>
      <c r="N4364">
        <v>17226735995</v>
      </c>
      <c r="O4364" t="b">
        <v>1</v>
      </c>
      <c r="P4364">
        <v>0</v>
      </c>
      <c r="Q4364" t="str" cm="1">
        <f t="array" ref="Q4364">_xlfn.IFS(Table1[[#This Row],[Wealthier_Winner]]=-1,"Wealthier Nation Loses",Table1[[#This Row],[Wealthier_Winner]]=0,"Tie",Table1[[#This Row],[Wealthier_Winner]]=1,"Wealthier Nation Wins")</f>
        <v>Tie</v>
      </c>
    </row>
    <row r="4365" spans="1:17" x14ac:dyDescent="0.2">
      <c r="A4365" s="1">
        <v>6512</v>
      </c>
      <c r="B4365" s="2">
        <v>41194</v>
      </c>
      <c r="C4365" s="7">
        <f>_xlfn.FLOOR.MATH(Table1[[#This Row],[year]],10)</f>
        <v>2010</v>
      </c>
      <c r="D4365" t="s">
        <v>223</v>
      </c>
      <c r="E4365" t="s">
        <v>49</v>
      </c>
      <c r="F4365">
        <v>2</v>
      </c>
      <c r="G4365">
        <v>1</v>
      </c>
      <c r="H4365" t="s">
        <v>224</v>
      </c>
      <c r="I4365" t="s">
        <v>227</v>
      </c>
      <c r="J4365" t="s">
        <v>223</v>
      </c>
      <c r="K4365" t="b">
        <v>0</v>
      </c>
      <c r="L4365">
        <v>2012</v>
      </c>
      <c r="M4365">
        <v>49593929487</v>
      </c>
      <c r="N4365">
        <v>14807086555</v>
      </c>
      <c r="O4365" t="b">
        <v>1</v>
      </c>
      <c r="P4365">
        <v>1</v>
      </c>
      <c r="Q4365" t="str" cm="1">
        <f t="array" ref="Q4365">_xlfn.IFS(Table1[[#This Row],[Wealthier_Winner]]=-1,"Wealthier Nation Loses",Table1[[#This Row],[Wealthier_Winner]]=0,"Tie",Table1[[#This Row],[Wealthier_Winner]]=1,"Wealthier Nation Wins")</f>
        <v>Wealthier Nation Wins</v>
      </c>
    </row>
    <row r="4366" spans="1:17" x14ac:dyDescent="0.2">
      <c r="A4366" s="1">
        <v>6513</v>
      </c>
      <c r="B4366" s="2">
        <v>41194</v>
      </c>
      <c r="C4366" s="7">
        <f>_xlfn.FLOOR.MATH(Table1[[#This Row],[year]],10)</f>
        <v>2010</v>
      </c>
      <c r="D4366" t="s">
        <v>445</v>
      </c>
      <c r="E4366" t="s">
        <v>17</v>
      </c>
      <c r="F4366">
        <v>0</v>
      </c>
      <c r="G4366">
        <v>5</v>
      </c>
      <c r="H4366" t="s">
        <v>224</v>
      </c>
      <c r="I4366" t="s">
        <v>698</v>
      </c>
      <c r="J4366" t="s">
        <v>41</v>
      </c>
      <c r="K4366" t="b">
        <v>1</v>
      </c>
      <c r="L4366">
        <v>2012</v>
      </c>
      <c r="M4366">
        <v>4063088535</v>
      </c>
      <c r="N4366">
        <v>1255110424817</v>
      </c>
      <c r="O4366" t="b">
        <v>1</v>
      </c>
      <c r="P4366">
        <v>1</v>
      </c>
      <c r="Q4366" t="str" cm="1">
        <f t="array" ref="Q4366">_xlfn.IFS(Table1[[#This Row],[Wealthier_Winner]]=-1,"Wealthier Nation Loses",Table1[[#This Row],[Wealthier_Winner]]=0,"Tie",Table1[[#This Row],[Wealthier_Winner]]=1,"Wealthier Nation Wins")</f>
        <v>Wealthier Nation Wins</v>
      </c>
    </row>
    <row r="4367" spans="1:17" x14ac:dyDescent="0.2">
      <c r="A4367" s="1">
        <v>6515</v>
      </c>
      <c r="B4367" s="2">
        <v>41194</v>
      </c>
      <c r="C4367" s="7">
        <f>_xlfn.FLOOR.MATH(Table1[[#This Row],[year]],10)</f>
        <v>2010</v>
      </c>
      <c r="D4367" t="s">
        <v>558</v>
      </c>
      <c r="E4367" t="s">
        <v>29</v>
      </c>
      <c r="F4367">
        <v>0</v>
      </c>
      <c r="G4367">
        <v>0</v>
      </c>
      <c r="H4367" t="s">
        <v>224</v>
      </c>
      <c r="I4367" t="s">
        <v>733</v>
      </c>
      <c r="J4367" t="s">
        <v>558</v>
      </c>
      <c r="K4367" t="b">
        <v>0</v>
      </c>
      <c r="L4367">
        <v>2012</v>
      </c>
      <c r="M4367">
        <v>207998568865</v>
      </c>
      <c r="N4367">
        <v>406750487603</v>
      </c>
      <c r="O4367" t="b">
        <v>0</v>
      </c>
      <c r="P4367">
        <v>0</v>
      </c>
      <c r="Q4367" t="str" cm="1">
        <f t="array" ref="Q4367">_xlfn.IFS(Table1[[#This Row],[Wealthier_Winner]]=-1,"Wealthier Nation Loses",Table1[[#This Row],[Wealthier_Winner]]=0,"Tie",Table1[[#This Row],[Wealthier_Winner]]=1,"Wealthier Nation Wins")</f>
        <v>Tie</v>
      </c>
    </row>
    <row r="4368" spans="1:17" x14ac:dyDescent="0.2">
      <c r="A4368" s="1">
        <v>6516</v>
      </c>
      <c r="B4368" s="2">
        <v>41194</v>
      </c>
      <c r="C4368" s="7">
        <f>_xlfn.FLOOR.MATH(Table1[[#This Row],[year]],10)</f>
        <v>2010</v>
      </c>
      <c r="D4368" t="s">
        <v>503</v>
      </c>
      <c r="E4368" t="s">
        <v>523</v>
      </c>
      <c r="F4368">
        <v>0</v>
      </c>
      <c r="G4368">
        <v>2</v>
      </c>
      <c r="H4368" t="s">
        <v>224</v>
      </c>
      <c r="I4368" t="s">
        <v>603</v>
      </c>
      <c r="J4368" t="s">
        <v>503</v>
      </c>
      <c r="K4368" t="b">
        <v>0</v>
      </c>
      <c r="L4368">
        <v>2012</v>
      </c>
      <c r="M4368">
        <v>5456102482</v>
      </c>
      <c r="N4368">
        <v>42709372066</v>
      </c>
      <c r="O4368" t="b">
        <v>1</v>
      </c>
      <c r="P4368">
        <v>1</v>
      </c>
      <c r="Q4368" t="str" cm="1">
        <f t="array" ref="Q4368">_xlfn.IFS(Table1[[#This Row],[Wealthier_Winner]]=-1,"Wealthier Nation Loses",Table1[[#This Row],[Wealthier_Winner]]=0,"Tie",Table1[[#This Row],[Wealthier_Winner]]=1,"Wealthier Nation Wins")</f>
        <v>Wealthier Nation Wins</v>
      </c>
    </row>
    <row r="4369" spans="1:17" x14ac:dyDescent="0.2">
      <c r="A4369" s="1">
        <v>6517</v>
      </c>
      <c r="B4369" s="2">
        <v>41194</v>
      </c>
      <c r="C4369" s="7">
        <f>_xlfn.FLOOR.MATH(Table1[[#This Row],[year]],10)</f>
        <v>2010</v>
      </c>
      <c r="D4369" t="s">
        <v>232</v>
      </c>
      <c r="E4369" t="s">
        <v>22</v>
      </c>
      <c r="F4369">
        <v>0</v>
      </c>
      <c r="G4369">
        <v>6</v>
      </c>
      <c r="H4369" t="s">
        <v>224</v>
      </c>
      <c r="I4369" t="s">
        <v>232</v>
      </c>
      <c r="J4369" t="s">
        <v>232</v>
      </c>
      <c r="K4369" t="b">
        <v>0</v>
      </c>
      <c r="L4369">
        <v>2012</v>
      </c>
      <c r="M4369">
        <v>59776383527</v>
      </c>
      <c r="N4369">
        <v>263589172712</v>
      </c>
      <c r="O4369" t="b">
        <v>1</v>
      </c>
      <c r="P4369">
        <v>1</v>
      </c>
      <c r="Q4369" t="str" cm="1">
        <f t="array" ref="Q4369">_xlfn.IFS(Table1[[#This Row],[Wealthier_Winner]]=-1,"Wealthier Nation Loses",Table1[[#This Row],[Wealthier_Winner]]=0,"Tie",Table1[[#This Row],[Wealthier_Winner]]=1,"Wealthier Nation Wins")</f>
        <v>Wealthier Nation Wins</v>
      </c>
    </row>
    <row r="4370" spans="1:17" x14ac:dyDescent="0.2">
      <c r="A4370" s="1">
        <v>6518</v>
      </c>
      <c r="B4370" s="2">
        <v>41194</v>
      </c>
      <c r="C4370" s="7">
        <f>_xlfn.FLOOR.MATH(Table1[[#This Row],[year]],10)</f>
        <v>2010</v>
      </c>
      <c r="D4370" t="s">
        <v>502</v>
      </c>
      <c r="E4370" t="s">
        <v>52</v>
      </c>
      <c r="F4370">
        <v>1</v>
      </c>
      <c r="G4370">
        <v>2</v>
      </c>
      <c r="H4370" t="s">
        <v>224</v>
      </c>
      <c r="I4370" t="s">
        <v>504</v>
      </c>
      <c r="J4370" t="s">
        <v>502</v>
      </c>
      <c r="K4370" t="b">
        <v>0</v>
      </c>
      <c r="L4370">
        <v>2012</v>
      </c>
      <c r="M4370">
        <v>9745261300</v>
      </c>
      <c r="N4370">
        <v>57548115904</v>
      </c>
      <c r="O4370" t="b">
        <v>1</v>
      </c>
      <c r="P4370">
        <v>1</v>
      </c>
      <c r="Q4370" t="str" cm="1">
        <f t="array" ref="Q4370">_xlfn.IFS(Table1[[#This Row],[Wealthier_Winner]]=-1,"Wealthier Nation Loses",Table1[[#This Row],[Wealthier_Winner]]=0,"Tie",Table1[[#This Row],[Wealthier_Winner]]=1,"Wealthier Nation Wins")</f>
        <v>Wealthier Nation Wins</v>
      </c>
    </row>
    <row r="4371" spans="1:17" x14ac:dyDescent="0.2">
      <c r="A4371" s="1">
        <v>6519</v>
      </c>
      <c r="B4371" s="2">
        <v>41194</v>
      </c>
      <c r="C4371" s="7">
        <f>_xlfn.FLOOR.MATH(Table1[[#This Row],[year]],10)</f>
        <v>2010</v>
      </c>
      <c r="D4371" t="s">
        <v>527</v>
      </c>
      <c r="E4371" t="s">
        <v>64</v>
      </c>
      <c r="F4371">
        <v>0</v>
      </c>
      <c r="G4371">
        <v>0</v>
      </c>
      <c r="H4371" t="s">
        <v>224</v>
      </c>
      <c r="I4371" t="s">
        <v>528</v>
      </c>
      <c r="J4371" t="s">
        <v>527</v>
      </c>
      <c r="K4371" t="b">
        <v>0</v>
      </c>
      <c r="L4371">
        <v>2012</v>
      </c>
      <c r="M4371">
        <v>8709138634</v>
      </c>
      <c r="N4371">
        <v>182591753827</v>
      </c>
      <c r="O4371" t="b">
        <v>1</v>
      </c>
      <c r="P4371">
        <v>0</v>
      </c>
      <c r="Q4371" t="str" cm="1">
        <f t="array" ref="Q4371">_xlfn.IFS(Table1[[#This Row],[Wealthier_Winner]]=-1,"Wealthier Nation Loses",Table1[[#This Row],[Wealthier_Winner]]=0,"Tie",Table1[[#This Row],[Wealthier_Winner]]=1,"Wealthier Nation Wins")</f>
        <v>Tie</v>
      </c>
    </row>
    <row r="4372" spans="1:17" x14ac:dyDescent="0.2">
      <c r="A4372" s="1">
        <v>6520</v>
      </c>
      <c r="B4372" s="2">
        <v>41194</v>
      </c>
      <c r="C4372" s="7">
        <f>_xlfn.FLOOR.MATH(Table1[[#This Row],[year]],10)</f>
        <v>2010</v>
      </c>
      <c r="D4372" t="s">
        <v>27</v>
      </c>
      <c r="E4372" t="s">
        <v>601</v>
      </c>
      <c r="F4372">
        <v>3</v>
      </c>
      <c r="G4372">
        <v>0</v>
      </c>
      <c r="H4372" t="s">
        <v>224</v>
      </c>
      <c r="I4372" t="s">
        <v>265</v>
      </c>
      <c r="J4372" t="s">
        <v>27</v>
      </c>
      <c r="K4372" t="b">
        <v>0</v>
      </c>
      <c r="L4372">
        <v>2012</v>
      </c>
      <c r="M4372">
        <v>845689017065</v>
      </c>
      <c r="N4372">
        <v>3188653258</v>
      </c>
      <c r="O4372" t="b">
        <v>1</v>
      </c>
      <c r="P4372">
        <v>1</v>
      </c>
      <c r="Q4372" t="str" cm="1">
        <f t="array" ref="Q4372">_xlfn.IFS(Table1[[#This Row],[Wealthier_Winner]]=-1,"Wealthier Nation Loses",Table1[[#This Row],[Wealthier_Winner]]=0,"Tie",Table1[[#This Row],[Wealthier_Winner]]=1,"Wealthier Nation Wins")</f>
        <v>Wealthier Nation Wins</v>
      </c>
    </row>
    <row r="4373" spans="1:17" x14ac:dyDescent="0.2">
      <c r="A4373" s="1">
        <v>6521</v>
      </c>
      <c r="B4373" s="2">
        <v>41194</v>
      </c>
      <c r="C4373" s="7">
        <f>_xlfn.FLOOR.MATH(Table1[[#This Row],[year]],10)</f>
        <v>2010</v>
      </c>
      <c r="D4373" t="s">
        <v>67</v>
      </c>
      <c r="E4373" t="s">
        <v>65</v>
      </c>
      <c r="F4373">
        <v>0</v>
      </c>
      <c r="G4373">
        <v>0</v>
      </c>
      <c r="H4373" t="s">
        <v>224</v>
      </c>
      <c r="I4373" t="s">
        <v>455</v>
      </c>
      <c r="J4373" t="s">
        <v>67</v>
      </c>
      <c r="K4373" t="b">
        <v>0</v>
      </c>
      <c r="L4373">
        <v>2012</v>
      </c>
      <c r="M4373">
        <v>41595439720</v>
      </c>
      <c r="N4373">
        <v>18528554397</v>
      </c>
      <c r="O4373" t="b">
        <v>1</v>
      </c>
      <c r="P4373">
        <v>0</v>
      </c>
      <c r="Q4373" t="str" cm="1">
        <f t="array" ref="Q4373">_xlfn.IFS(Table1[[#This Row],[Wealthier_Winner]]=-1,"Wealthier Nation Loses",Table1[[#This Row],[Wealthier_Winner]]=0,"Tie",Table1[[#This Row],[Wealthier_Winner]]=1,"Wealthier Nation Wins")</f>
        <v>Tie</v>
      </c>
    </row>
    <row r="4374" spans="1:17" x14ac:dyDescent="0.2">
      <c r="A4374" s="1">
        <v>6522</v>
      </c>
      <c r="B4374" s="2">
        <v>41194</v>
      </c>
      <c r="C4374" s="7">
        <f>_xlfn.FLOOR.MATH(Table1[[#This Row],[year]],10)</f>
        <v>2010</v>
      </c>
      <c r="D4374" t="s">
        <v>196</v>
      </c>
      <c r="E4374" t="s">
        <v>38</v>
      </c>
      <c r="F4374">
        <v>1</v>
      </c>
      <c r="G4374">
        <v>0</v>
      </c>
      <c r="H4374" t="s">
        <v>224</v>
      </c>
      <c r="I4374" t="s">
        <v>180</v>
      </c>
      <c r="J4374" t="s">
        <v>196</v>
      </c>
      <c r="K4374" t="b">
        <v>0</v>
      </c>
      <c r="L4374">
        <v>2012</v>
      </c>
      <c r="M4374">
        <v>2208293553878</v>
      </c>
      <c r="N4374">
        <v>216536676771</v>
      </c>
      <c r="O4374" t="b">
        <v>1</v>
      </c>
      <c r="P4374">
        <v>1</v>
      </c>
      <c r="Q4374" t="str" cm="1">
        <f t="array" ref="Q4374">_xlfn.IFS(Table1[[#This Row],[Wealthier_Winner]]=-1,"Wealthier Nation Loses",Table1[[#This Row],[Wealthier_Winner]]=0,"Tie",Table1[[#This Row],[Wealthier_Winner]]=1,"Wealthier Nation Wins")</f>
        <v>Wealthier Nation Wins</v>
      </c>
    </row>
    <row r="4375" spans="1:17" x14ac:dyDescent="0.2">
      <c r="A4375" s="1">
        <v>6523</v>
      </c>
      <c r="B4375" s="2">
        <v>41194</v>
      </c>
      <c r="C4375" s="7">
        <f>_xlfn.FLOOR.MATH(Table1[[#This Row],[year]],10)</f>
        <v>2010</v>
      </c>
      <c r="D4375" t="s">
        <v>61</v>
      </c>
      <c r="E4375" t="s">
        <v>23</v>
      </c>
      <c r="F4375">
        <v>0</v>
      </c>
      <c r="G4375">
        <v>3</v>
      </c>
      <c r="H4375" t="s">
        <v>224</v>
      </c>
      <c r="I4375" t="s">
        <v>505</v>
      </c>
      <c r="J4375" t="s">
        <v>61</v>
      </c>
      <c r="K4375" t="b">
        <v>0</v>
      </c>
      <c r="L4375">
        <v>2012</v>
      </c>
      <c r="M4375">
        <v>45103269969</v>
      </c>
      <c r="N4375">
        <v>498414364944</v>
      </c>
      <c r="O4375" t="b">
        <v>1</v>
      </c>
      <c r="P4375">
        <v>1</v>
      </c>
      <c r="Q4375" t="str" cm="1">
        <f t="array" ref="Q4375">_xlfn.IFS(Table1[[#This Row],[Wealthier_Winner]]=-1,"Wealthier Nation Loses",Table1[[#This Row],[Wealthier_Winner]]=0,"Tie",Table1[[#This Row],[Wealthier_Winner]]=1,"Wealthier Nation Wins")</f>
        <v>Wealthier Nation Wins</v>
      </c>
    </row>
    <row r="4376" spans="1:17" x14ac:dyDescent="0.2">
      <c r="A4376" s="1">
        <v>6525</v>
      </c>
      <c r="B4376" s="2">
        <v>41194</v>
      </c>
      <c r="C4376" s="7">
        <f>_xlfn.FLOOR.MATH(Table1[[#This Row],[year]],10)</f>
        <v>2010</v>
      </c>
      <c r="D4376" t="s">
        <v>55</v>
      </c>
      <c r="E4376" t="s">
        <v>351</v>
      </c>
      <c r="F4376">
        <v>2</v>
      </c>
      <c r="G4376">
        <v>1</v>
      </c>
      <c r="H4376" t="s">
        <v>224</v>
      </c>
      <c r="I4376" t="s">
        <v>727</v>
      </c>
      <c r="J4376" t="s">
        <v>55</v>
      </c>
      <c r="K4376" t="b">
        <v>0</v>
      </c>
      <c r="L4376">
        <v>2012</v>
      </c>
      <c r="M4376">
        <v>46167053954</v>
      </c>
      <c r="N4376">
        <v>25047436974</v>
      </c>
      <c r="O4376" t="b">
        <v>0</v>
      </c>
      <c r="P4376">
        <v>1</v>
      </c>
      <c r="Q4376" t="str" cm="1">
        <f t="array" ref="Q4376">_xlfn.IFS(Table1[[#This Row],[Wealthier_Winner]]=-1,"Wealthier Nation Loses",Table1[[#This Row],[Wealthier_Winner]]=0,"Tie",Table1[[#This Row],[Wealthier_Winner]]=1,"Wealthier Nation Wins")</f>
        <v>Wealthier Nation Wins</v>
      </c>
    </row>
    <row r="4377" spans="1:17" x14ac:dyDescent="0.2">
      <c r="A4377" s="1">
        <v>6526</v>
      </c>
      <c r="B4377" s="2">
        <v>41194</v>
      </c>
      <c r="C4377" s="7">
        <f>_xlfn.FLOOR.MATH(Table1[[#This Row],[year]],10)</f>
        <v>2010</v>
      </c>
      <c r="D4377" t="s">
        <v>456</v>
      </c>
      <c r="E4377" t="s">
        <v>656</v>
      </c>
      <c r="F4377">
        <v>2</v>
      </c>
      <c r="G4377">
        <v>6</v>
      </c>
      <c r="H4377" t="s">
        <v>224</v>
      </c>
      <c r="I4377" t="s">
        <v>457</v>
      </c>
      <c r="J4377" t="s">
        <v>456</v>
      </c>
      <c r="K4377" t="b">
        <v>0</v>
      </c>
      <c r="L4377">
        <v>2012</v>
      </c>
      <c r="M4377">
        <v>1185217634</v>
      </c>
      <c r="N4377">
        <v>9659151917</v>
      </c>
      <c r="O4377" t="b">
        <v>1</v>
      </c>
      <c r="P4377">
        <v>1</v>
      </c>
      <c r="Q4377" t="str" cm="1">
        <f t="array" ref="Q4377">_xlfn.IFS(Table1[[#This Row],[Wealthier_Winner]]=-1,"Wealthier Nation Loses",Table1[[#This Row],[Wealthier_Winner]]=0,"Tie",Table1[[#This Row],[Wealthier_Winner]]=1,"Wealthier Nation Wins")</f>
        <v>Wealthier Nation Wins</v>
      </c>
    </row>
    <row r="4378" spans="1:17" x14ac:dyDescent="0.2">
      <c r="A4378" s="1">
        <v>6527</v>
      </c>
      <c r="B4378" s="2">
        <v>41194</v>
      </c>
      <c r="C4378" s="7">
        <f>_xlfn.FLOOR.MATH(Table1[[#This Row],[year]],10)</f>
        <v>2010</v>
      </c>
      <c r="D4378" t="s">
        <v>46</v>
      </c>
      <c r="E4378" t="s">
        <v>42</v>
      </c>
      <c r="F4378">
        <v>1</v>
      </c>
      <c r="G4378">
        <v>1</v>
      </c>
      <c r="H4378" t="s">
        <v>224</v>
      </c>
      <c r="I4378" t="s">
        <v>249</v>
      </c>
      <c r="J4378" t="s">
        <v>46</v>
      </c>
      <c r="K4378" t="b">
        <v>0</v>
      </c>
      <c r="L4378">
        <v>2012</v>
      </c>
      <c r="M4378">
        <v>686420221557</v>
      </c>
      <c r="N4378">
        <v>512777309840</v>
      </c>
      <c r="O4378" t="b">
        <v>0</v>
      </c>
      <c r="P4378">
        <v>0</v>
      </c>
      <c r="Q4378" t="str" cm="1">
        <f t="array" ref="Q4378">_xlfn.IFS(Table1[[#This Row],[Wealthier_Winner]]=-1,"Wealthier Nation Loses",Table1[[#This Row],[Wealthier_Winner]]=0,"Tie",Table1[[#This Row],[Wealthier_Winner]]=1,"Wealthier Nation Wins")</f>
        <v>Tie</v>
      </c>
    </row>
    <row r="4379" spans="1:17" x14ac:dyDescent="0.2">
      <c r="A4379" s="1">
        <v>6531</v>
      </c>
      <c r="B4379" s="2">
        <v>41198</v>
      </c>
      <c r="C4379" s="7">
        <f>_xlfn.FLOOR.MATH(Table1[[#This Row],[year]],10)</f>
        <v>2010</v>
      </c>
      <c r="D4379" t="s">
        <v>373</v>
      </c>
      <c r="E4379" t="s">
        <v>55</v>
      </c>
      <c r="F4379">
        <v>1</v>
      </c>
      <c r="G4379">
        <v>0</v>
      </c>
      <c r="H4379" t="s">
        <v>224</v>
      </c>
      <c r="I4379" t="s">
        <v>374</v>
      </c>
      <c r="J4379" t="s">
        <v>373</v>
      </c>
      <c r="K4379" t="b">
        <v>0</v>
      </c>
      <c r="L4379">
        <v>2012</v>
      </c>
      <c r="M4379">
        <v>12246499747</v>
      </c>
      <c r="N4379">
        <v>46167053954</v>
      </c>
      <c r="O4379" t="b">
        <v>1</v>
      </c>
      <c r="P4379">
        <v>-1</v>
      </c>
      <c r="Q4379" t="str" cm="1">
        <f t="array" ref="Q4379">_xlfn.IFS(Table1[[#This Row],[Wealthier_Winner]]=-1,"Wealthier Nation Loses",Table1[[#This Row],[Wealthier_Winner]]=0,"Tie",Table1[[#This Row],[Wealthier_Winner]]=1,"Wealthier Nation Wins")</f>
        <v>Wealthier Nation Loses</v>
      </c>
    </row>
    <row r="4380" spans="1:17" x14ac:dyDescent="0.2">
      <c r="A4380" s="1">
        <v>6532</v>
      </c>
      <c r="B4380" s="2">
        <v>41198</v>
      </c>
      <c r="C4380" s="7">
        <f>_xlfn.FLOOR.MATH(Table1[[#This Row],[year]],10)</f>
        <v>2010</v>
      </c>
      <c r="D4380" t="s">
        <v>601</v>
      </c>
      <c r="E4380" t="s">
        <v>476</v>
      </c>
      <c r="F4380">
        <v>0</v>
      </c>
      <c r="G4380">
        <v>1</v>
      </c>
      <c r="H4380" t="s">
        <v>224</v>
      </c>
      <c r="I4380" t="s">
        <v>602</v>
      </c>
      <c r="J4380" t="s">
        <v>601</v>
      </c>
      <c r="K4380" t="b">
        <v>0</v>
      </c>
      <c r="L4380">
        <v>2012</v>
      </c>
      <c r="M4380">
        <v>3188653258</v>
      </c>
      <c r="N4380">
        <v>23237406116</v>
      </c>
      <c r="O4380" t="b">
        <v>1</v>
      </c>
      <c r="P4380">
        <v>1</v>
      </c>
      <c r="Q4380" t="str" cm="1">
        <f t="array" ref="Q4380">_xlfn.IFS(Table1[[#This Row],[Wealthier_Winner]]=-1,"Wealthier Nation Loses",Table1[[#This Row],[Wealthier_Winner]]=0,"Tie",Table1[[#This Row],[Wealthier_Winner]]=1,"Wealthier Nation Wins")</f>
        <v>Wealthier Nation Wins</v>
      </c>
    </row>
    <row r="4381" spans="1:17" x14ac:dyDescent="0.2">
      <c r="A4381" s="1">
        <v>6533</v>
      </c>
      <c r="B4381" s="2">
        <v>41198</v>
      </c>
      <c r="C4381" s="7">
        <f>_xlfn.FLOOR.MATH(Table1[[#This Row],[year]],10)</f>
        <v>2010</v>
      </c>
      <c r="D4381" t="s">
        <v>29</v>
      </c>
      <c r="E4381" t="s">
        <v>558</v>
      </c>
      <c r="F4381">
        <v>4</v>
      </c>
      <c r="G4381">
        <v>0</v>
      </c>
      <c r="H4381" t="s">
        <v>224</v>
      </c>
      <c r="I4381" t="s">
        <v>270</v>
      </c>
      <c r="J4381" t="s">
        <v>29</v>
      </c>
      <c r="K4381" t="b">
        <v>0</v>
      </c>
      <c r="L4381">
        <v>2012</v>
      </c>
      <c r="M4381">
        <v>406750487603</v>
      </c>
      <c r="N4381">
        <v>207998568865</v>
      </c>
      <c r="O4381" t="b">
        <v>0</v>
      </c>
      <c r="P4381">
        <v>1</v>
      </c>
      <c r="Q4381" t="str" cm="1">
        <f t="array" ref="Q4381">_xlfn.IFS(Table1[[#This Row],[Wealthier_Winner]]=-1,"Wealthier Nation Loses",Table1[[#This Row],[Wealthier_Winner]]=0,"Tie",Table1[[#This Row],[Wealthier_Winner]]=1,"Wealthier Nation Wins")</f>
        <v>Wealthier Nation Wins</v>
      </c>
    </row>
    <row r="4382" spans="1:17" x14ac:dyDescent="0.2">
      <c r="A4382" s="1">
        <v>6534</v>
      </c>
      <c r="B4382" s="2">
        <v>41198</v>
      </c>
      <c r="C4382" s="7">
        <f>_xlfn.FLOOR.MATH(Table1[[#This Row],[year]],10)</f>
        <v>2010</v>
      </c>
      <c r="D4382" t="s">
        <v>510</v>
      </c>
      <c r="E4382" t="s">
        <v>534</v>
      </c>
      <c r="F4382">
        <v>2</v>
      </c>
      <c r="G4382">
        <v>0</v>
      </c>
      <c r="H4382" t="s">
        <v>224</v>
      </c>
      <c r="I4382" t="s">
        <v>522</v>
      </c>
      <c r="J4382" t="s">
        <v>510</v>
      </c>
      <c r="K4382" t="b">
        <v>0</v>
      </c>
      <c r="L4382">
        <v>2012</v>
      </c>
      <c r="M4382">
        <v>65685890438</v>
      </c>
      <c r="N4382">
        <v>16894392033</v>
      </c>
      <c r="O4382" t="b">
        <v>1</v>
      </c>
      <c r="P4382">
        <v>1</v>
      </c>
      <c r="Q4382" t="str" cm="1">
        <f t="array" ref="Q4382">_xlfn.IFS(Table1[[#This Row],[Wealthier_Winner]]=-1,"Wealthier Nation Loses",Table1[[#This Row],[Wealthier_Winner]]=0,"Tie",Table1[[#This Row],[Wealthier_Winner]]=1,"Wealthier Nation Wins")</f>
        <v>Wealthier Nation Wins</v>
      </c>
    </row>
    <row r="4383" spans="1:17" x14ac:dyDescent="0.2">
      <c r="A4383" s="1">
        <v>6536</v>
      </c>
      <c r="B4383" s="2">
        <v>41198</v>
      </c>
      <c r="C4383" s="7">
        <f>_xlfn.FLOOR.MATH(Table1[[#This Row],[year]],10)</f>
        <v>2010</v>
      </c>
      <c r="D4383" t="s">
        <v>47</v>
      </c>
      <c r="E4383" t="s">
        <v>26</v>
      </c>
      <c r="F4383">
        <v>4</v>
      </c>
      <c r="G4383">
        <v>1</v>
      </c>
      <c r="H4383" t="s">
        <v>224</v>
      </c>
      <c r="I4383" t="s">
        <v>246</v>
      </c>
      <c r="J4383" t="s">
        <v>47</v>
      </c>
      <c r="K4383" t="b">
        <v>0</v>
      </c>
      <c r="L4383">
        <v>2012</v>
      </c>
      <c r="M4383">
        <v>27084497481</v>
      </c>
      <c r="N4383">
        <v>54232266358</v>
      </c>
      <c r="O4383" t="b">
        <v>1</v>
      </c>
      <c r="P4383">
        <v>-1</v>
      </c>
      <c r="Q4383" t="str" cm="1">
        <f t="array" ref="Q4383">_xlfn.IFS(Table1[[#This Row],[Wealthier_Winner]]=-1,"Wealthier Nation Loses",Table1[[#This Row],[Wealthier_Winner]]=0,"Tie",Table1[[#This Row],[Wealthier_Winner]]=1,"Wealthier Nation Wins")</f>
        <v>Wealthier Nation Loses</v>
      </c>
    </row>
    <row r="4384" spans="1:17" x14ac:dyDescent="0.2">
      <c r="A4384" s="1">
        <v>6537</v>
      </c>
      <c r="B4384" s="2">
        <v>41198</v>
      </c>
      <c r="C4384" s="7">
        <f>_xlfn.FLOOR.MATH(Table1[[#This Row],[year]],10)</f>
        <v>2010</v>
      </c>
      <c r="D4384" t="s">
        <v>73</v>
      </c>
      <c r="E4384" t="s">
        <v>523</v>
      </c>
      <c r="F4384">
        <v>3</v>
      </c>
      <c r="G4384">
        <v>0</v>
      </c>
      <c r="H4384" t="s">
        <v>224</v>
      </c>
      <c r="I4384" t="s">
        <v>636</v>
      </c>
      <c r="J4384" t="s">
        <v>73</v>
      </c>
      <c r="K4384" t="b">
        <v>0</v>
      </c>
      <c r="L4384">
        <v>2012</v>
      </c>
      <c r="M4384">
        <v>17226735995</v>
      </c>
      <c r="N4384">
        <v>42709372066</v>
      </c>
      <c r="O4384" t="b">
        <v>1</v>
      </c>
      <c r="P4384">
        <v>-1</v>
      </c>
      <c r="Q4384" t="str" cm="1">
        <f t="array" ref="Q4384">_xlfn.IFS(Table1[[#This Row],[Wealthier_Winner]]=-1,"Wealthier Nation Loses",Table1[[#This Row],[Wealthier_Winner]]=0,"Tie",Table1[[#This Row],[Wealthier_Winner]]=1,"Wealthier Nation Wins")</f>
        <v>Wealthier Nation Loses</v>
      </c>
    </row>
    <row r="4385" spans="1:17" x14ac:dyDescent="0.2">
      <c r="A4385" s="1">
        <v>6538</v>
      </c>
      <c r="B4385" s="2">
        <v>41198</v>
      </c>
      <c r="C4385" s="7">
        <f>_xlfn.FLOOR.MATH(Table1[[#This Row],[year]],10)</f>
        <v>2010</v>
      </c>
      <c r="D4385" t="s">
        <v>14</v>
      </c>
      <c r="E4385" t="s">
        <v>19</v>
      </c>
      <c r="F4385">
        <v>1</v>
      </c>
      <c r="G4385">
        <v>2</v>
      </c>
      <c r="H4385" t="s">
        <v>224</v>
      </c>
      <c r="I4385" t="s">
        <v>75</v>
      </c>
      <c r="J4385" t="s">
        <v>14</v>
      </c>
      <c r="K4385" t="b">
        <v>0</v>
      </c>
      <c r="L4385">
        <v>2012</v>
      </c>
      <c r="M4385">
        <v>267024782486</v>
      </c>
      <c r="N4385">
        <v>545982375701</v>
      </c>
      <c r="O4385" t="b">
        <v>1</v>
      </c>
      <c r="P4385">
        <v>1</v>
      </c>
      <c r="Q4385" t="str" cm="1">
        <f t="array" ref="Q4385">_xlfn.IFS(Table1[[#This Row],[Wealthier_Winner]]=-1,"Wealthier Nation Loses",Table1[[#This Row],[Wealthier_Winner]]=0,"Tie",Table1[[#This Row],[Wealthier_Winner]]=1,"Wealthier Nation Wins")</f>
        <v>Wealthier Nation Wins</v>
      </c>
    </row>
    <row r="4386" spans="1:17" x14ac:dyDescent="0.2">
      <c r="A4386" s="1">
        <v>6539</v>
      </c>
      <c r="B4386" s="2">
        <v>41198</v>
      </c>
      <c r="C4386" s="7">
        <f>_xlfn.FLOOR.MATH(Table1[[#This Row],[year]],10)</f>
        <v>2010</v>
      </c>
      <c r="D4386" t="s">
        <v>56</v>
      </c>
      <c r="E4386" t="s">
        <v>445</v>
      </c>
      <c r="F4386">
        <v>7</v>
      </c>
      <c r="G4386">
        <v>0</v>
      </c>
      <c r="H4386" t="s">
        <v>224</v>
      </c>
      <c r="I4386" t="s">
        <v>225</v>
      </c>
      <c r="J4386" t="s">
        <v>56</v>
      </c>
      <c r="K4386" t="b">
        <v>0</v>
      </c>
      <c r="L4386">
        <v>2012</v>
      </c>
      <c r="M4386">
        <v>47231655431</v>
      </c>
      <c r="N4386">
        <v>4063088535</v>
      </c>
      <c r="O4386" t="b">
        <v>1</v>
      </c>
      <c r="P4386">
        <v>1</v>
      </c>
      <c r="Q4386" t="str" cm="1">
        <f t="array" ref="Q4386">_xlfn.IFS(Table1[[#This Row],[Wealthier_Winner]]=-1,"Wealthier Nation Loses",Table1[[#This Row],[Wealthier_Winner]]=0,"Tie",Table1[[#This Row],[Wealthier_Winner]]=1,"Wealthier Nation Wins")</f>
        <v>Wealthier Nation Wins</v>
      </c>
    </row>
    <row r="4387" spans="1:17" x14ac:dyDescent="0.2">
      <c r="A4387" s="1">
        <v>6541</v>
      </c>
      <c r="B4387" s="2">
        <v>41198</v>
      </c>
      <c r="C4387" s="7">
        <f>_xlfn.FLOOR.MATH(Table1[[#This Row],[year]],10)</f>
        <v>2010</v>
      </c>
      <c r="D4387" t="s">
        <v>517</v>
      </c>
      <c r="E4387" t="s">
        <v>67</v>
      </c>
      <c r="F4387">
        <v>1</v>
      </c>
      <c r="G4387">
        <v>1</v>
      </c>
      <c r="H4387" t="s">
        <v>224</v>
      </c>
      <c r="I4387" t="s">
        <v>580</v>
      </c>
      <c r="J4387" t="s">
        <v>517</v>
      </c>
      <c r="K4387" t="b">
        <v>0</v>
      </c>
      <c r="L4387">
        <v>2012</v>
      </c>
      <c r="M4387">
        <v>73141000000</v>
      </c>
      <c r="N4387">
        <v>41595439720</v>
      </c>
      <c r="O4387" t="b">
        <v>0</v>
      </c>
      <c r="P4387">
        <v>0</v>
      </c>
      <c r="Q4387" t="str" cm="1">
        <f t="array" ref="Q4387">_xlfn.IFS(Table1[[#This Row],[Wealthier_Winner]]=-1,"Wealthier Nation Loses",Table1[[#This Row],[Wealthier_Winner]]=0,"Tie",Table1[[#This Row],[Wealthier_Winner]]=1,"Wealthier Nation Wins")</f>
        <v>Tie</v>
      </c>
    </row>
    <row r="4388" spans="1:17" x14ac:dyDescent="0.2">
      <c r="A4388" s="1">
        <v>6542</v>
      </c>
      <c r="B4388" s="2">
        <v>41198</v>
      </c>
      <c r="C4388" s="7">
        <f>_xlfn.FLOOR.MATH(Table1[[#This Row],[year]],10)</f>
        <v>2010</v>
      </c>
      <c r="D4388" t="s">
        <v>351</v>
      </c>
      <c r="E4388" t="s">
        <v>42</v>
      </c>
      <c r="F4388">
        <v>1</v>
      </c>
      <c r="G4388">
        <v>3</v>
      </c>
      <c r="H4388" t="s">
        <v>224</v>
      </c>
      <c r="I4388" t="s">
        <v>468</v>
      </c>
      <c r="J4388" t="s">
        <v>351</v>
      </c>
      <c r="K4388" t="b">
        <v>0</v>
      </c>
      <c r="L4388">
        <v>2012</v>
      </c>
      <c r="M4388">
        <v>25047436974</v>
      </c>
      <c r="N4388">
        <v>512777309840</v>
      </c>
      <c r="O4388" t="b">
        <v>1</v>
      </c>
      <c r="P4388">
        <v>1</v>
      </c>
      <c r="Q4388" t="str" cm="1">
        <f t="array" ref="Q4388">_xlfn.IFS(Table1[[#This Row],[Wealthier_Winner]]=-1,"Wealthier Nation Loses",Table1[[#This Row],[Wealthier_Winner]]=0,"Tie",Table1[[#This Row],[Wealthier_Winner]]=1,"Wealthier Nation Wins")</f>
        <v>Wealthier Nation Wins</v>
      </c>
    </row>
    <row r="4389" spans="1:17" x14ac:dyDescent="0.2">
      <c r="A4389" s="1">
        <v>6545</v>
      </c>
      <c r="B4389" s="2">
        <v>41198</v>
      </c>
      <c r="C4389" s="7">
        <f>_xlfn.FLOOR.MATH(Table1[[#This Row],[year]],10)</f>
        <v>2010</v>
      </c>
      <c r="D4389" t="s">
        <v>16</v>
      </c>
      <c r="E4389" t="s">
        <v>25</v>
      </c>
      <c r="F4389">
        <v>4</v>
      </c>
      <c r="G4389">
        <v>4</v>
      </c>
      <c r="H4389" t="s">
        <v>224</v>
      </c>
      <c r="I4389" t="s">
        <v>86</v>
      </c>
      <c r="J4389" t="s">
        <v>16</v>
      </c>
      <c r="K4389" t="b">
        <v>0</v>
      </c>
      <c r="L4389">
        <v>2012</v>
      </c>
      <c r="M4389">
        <v>3596483233406</v>
      </c>
      <c r="N4389">
        <v>549739674655</v>
      </c>
      <c r="O4389" t="b">
        <v>1</v>
      </c>
      <c r="P4389">
        <v>0</v>
      </c>
      <c r="Q4389" t="str" cm="1">
        <f t="array" ref="Q4389">_xlfn.IFS(Table1[[#This Row],[Wealthier_Winner]]=-1,"Wealthier Nation Loses",Table1[[#This Row],[Wealthier_Winner]]=0,"Tie",Table1[[#This Row],[Wealthier_Winner]]=1,"Wealthier Nation Wins")</f>
        <v>Tie</v>
      </c>
    </row>
    <row r="4390" spans="1:17" x14ac:dyDescent="0.2">
      <c r="A4390" s="1">
        <v>6546</v>
      </c>
      <c r="B4390" s="2">
        <v>41198</v>
      </c>
      <c r="C4390" s="7">
        <f>_xlfn.FLOOR.MATH(Table1[[#This Row],[year]],10)</f>
        <v>2010</v>
      </c>
      <c r="D4390" t="s">
        <v>65</v>
      </c>
      <c r="E4390" t="s">
        <v>34</v>
      </c>
      <c r="F4390">
        <v>8</v>
      </c>
      <c r="G4390">
        <v>1</v>
      </c>
      <c r="H4390" t="s">
        <v>224</v>
      </c>
      <c r="I4390" t="s">
        <v>254</v>
      </c>
      <c r="J4390" t="s">
        <v>65</v>
      </c>
      <c r="K4390" t="b">
        <v>0</v>
      </c>
      <c r="L4390">
        <v>2012</v>
      </c>
      <c r="M4390">
        <v>18528554397</v>
      </c>
      <c r="N4390">
        <v>1828366481521</v>
      </c>
      <c r="O4390" t="b">
        <v>1</v>
      </c>
      <c r="P4390">
        <v>-1</v>
      </c>
      <c r="Q4390" t="str" cm="1">
        <f t="array" ref="Q4390">_xlfn.IFS(Table1[[#This Row],[Wealthier_Winner]]=-1,"Wealthier Nation Loses",Table1[[#This Row],[Wealthier_Winner]]=0,"Tie",Table1[[#This Row],[Wealthier_Winner]]=1,"Wealthier Nation Wins")</f>
        <v>Wealthier Nation Loses</v>
      </c>
    </row>
    <row r="4391" spans="1:17" x14ac:dyDescent="0.2">
      <c r="A4391" s="1">
        <v>6548</v>
      </c>
      <c r="B4391" s="2">
        <v>41198</v>
      </c>
      <c r="C4391" s="7">
        <f>_xlfn.FLOOR.MATH(Table1[[#This Row],[year]],10)</f>
        <v>2010</v>
      </c>
      <c r="D4391" t="s">
        <v>66</v>
      </c>
      <c r="E4391" t="s">
        <v>46</v>
      </c>
      <c r="F4391">
        <v>0</v>
      </c>
      <c r="G4391">
        <v>2</v>
      </c>
      <c r="H4391" t="s">
        <v>224</v>
      </c>
      <c r="I4391" t="s">
        <v>336</v>
      </c>
      <c r="J4391" t="s">
        <v>66</v>
      </c>
      <c r="K4391" t="b">
        <v>0</v>
      </c>
      <c r="L4391">
        <v>2012</v>
      </c>
      <c r="M4391">
        <v>14943757823</v>
      </c>
      <c r="N4391">
        <v>686420221557</v>
      </c>
      <c r="O4391" t="b">
        <v>1</v>
      </c>
      <c r="P4391">
        <v>1</v>
      </c>
      <c r="Q4391" t="str" cm="1">
        <f t="array" ref="Q4391">_xlfn.IFS(Table1[[#This Row],[Wealthier_Winner]]=-1,"Wealthier Nation Loses",Table1[[#This Row],[Wealthier_Winner]]=0,"Tie",Table1[[#This Row],[Wealthier_Winner]]=1,"Wealthier Nation Wins")</f>
        <v>Wealthier Nation Wins</v>
      </c>
    </row>
    <row r="4392" spans="1:17" x14ac:dyDescent="0.2">
      <c r="A4392" s="1">
        <v>6549</v>
      </c>
      <c r="B4392" s="2">
        <v>41198</v>
      </c>
      <c r="C4392" s="7">
        <f>_xlfn.FLOOR.MATH(Table1[[#This Row],[year]],10)</f>
        <v>2010</v>
      </c>
      <c r="D4392" t="s">
        <v>210</v>
      </c>
      <c r="E4392" t="s">
        <v>195</v>
      </c>
      <c r="F4392">
        <v>1</v>
      </c>
      <c r="G4392">
        <v>0</v>
      </c>
      <c r="H4392" t="s">
        <v>224</v>
      </c>
      <c r="I4392" t="s">
        <v>332</v>
      </c>
      <c r="J4392" t="s">
        <v>210</v>
      </c>
      <c r="K4392" t="b">
        <v>0</v>
      </c>
      <c r="L4392">
        <v>2012</v>
      </c>
      <c r="M4392">
        <v>644019315003</v>
      </c>
      <c r="N4392">
        <v>1335343586437</v>
      </c>
      <c r="O4392" t="b">
        <v>1</v>
      </c>
      <c r="P4392">
        <v>-1</v>
      </c>
      <c r="Q4392" t="str" cm="1">
        <f t="array" ref="Q4392">_xlfn.IFS(Table1[[#This Row],[Wealthier_Winner]]=-1,"Wealthier Nation Loses",Table1[[#This Row],[Wealthier_Winner]]=0,"Tie",Table1[[#This Row],[Wealthier_Winner]]=1,"Wealthier Nation Wins")</f>
        <v>Wealthier Nation Loses</v>
      </c>
    </row>
    <row r="4393" spans="1:17" x14ac:dyDescent="0.2">
      <c r="A4393" s="1">
        <v>6550</v>
      </c>
      <c r="B4393" s="2">
        <v>41198</v>
      </c>
      <c r="C4393" s="7">
        <f>_xlfn.FLOOR.MATH(Table1[[#This Row],[year]],10)</f>
        <v>2010</v>
      </c>
      <c r="D4393" t="s">
        <v>37</v>
      </c>
      <c r="E4393" t="s">
        <v>28</v>
      </c>
      <c r="F4393">
        <v>1</v>
      </c>
      <c r="G4393">
        <v>2</v>
      </c>
      <c r="H4393" t="s">
        <v>224</v>
      </c>
      <c r="I4393" t="s">
        <v>190</v>
      </c>
      <c r="J4393" t="s">
        <v>68</v>
      </c>
      <c r="K4393" t="b">
        <v>1</v>
      </c>
      <c r="L4393">
        <v>2012</v>
      </c>
      <c r="M4393">
        <v>218002476129</v>
      </c>
      <c r="N4393">
        <v>1552728401401</v>
      </c>
      <c r="O4393" t="b">
        <v>1</v>
      </c>
      <c r="P4393">
        <v>1</v>
      </c>
      <c r="Q4393" t="str" cm="1">
        <f t="array" ref="Q4393">_xlfn.IFS(Table1[[#This Row],[Wealthier_Winner]]=-1,"Wealthier Nation Loses",Table1[[#This Row],[Wealthier_Winner]]=0,"Tie",Table1[[#This Row],[Wealthier_Winner]]=1,"Wealthier Nation Wins")</f>
        <v>Wealthier Nation Wins</v>
      </c>
    </row>
    <row r="4394" spans="1:17" x14ac:dyDescent="0.2">
      <c r="A4394" s="1">
        <v>6551</v>
      </c>
      <c r="B4394" s="2">
        <v>41198</v>
      </c>
      <c r="C4394" s="7">
        <f>_xlfn.FLOOR.MATH(Table1[[#This Row],[year]],10)</f>
        <v>2010</v>
      </c>
      <c r="D4394" t="s">
        <v>22</v>
      </c>
      <c r="E4394" t="s">
        <v>232</v>
      </c>
      <c r="F4394">
        <v>3</v>
      </c>
      <c r="G4394">
        <v>0</v>
      </c>
      <c r="H4394" t="s">
        <v>224</v>
      </c>
      <c r="I4394" t="s">
        <v>239</v>
      </c>
      <c r="J4394" t="s">
        <v>22</v>
      </c>
      <c r="K4394" t="b">
        <v>0</v>
      </c>
      <c r="L4394">
        <v>2012</v>
      </c>
      <c r="M4394">
        <v>263589172712</v>
      </c>
      <c r="N4394">
        <v>59776383527</v>
      </c>
      <c r="O4394" t="b">
        <v>1</v>
      </c>
      <c r="P4394">
        <v>1</v>
      </c>
      <c r="Q4394" t="str" cm="1">
        <f t="array" ref="Q4394">_xlfn.IFS(Table1[[#This Row],[Wealthier_Winner]]=-1,"Wealthier Nation Loses",Table1[[#This Row],[Wealthier_Winner]]=0,"Tie",Table1[[#This Row],[Wealthier_Winner]]=1,"Wealthier Nation Wins")</f>
        <v>Wealthier Nation Wins</v>
      </c>
    </row>
    <row r="4395" spans="1:17" x14ac:dyDescent="0.2">
      <c r="A4395" s="1">
        <v>6552</v>
      </c>
      <c r="B4395" s="2">
        <v>41198</v>
      </c>
      <c r="C4395" s="7">
        <f>_xlfn.FLOOR.MATH(Table1[[#This Row],[year]],10)</f>
        <v>2010</v>
      </c>
      <c r="D4395" t="s">
        <v>18</v>
      </c>
      <c r="E4395" t="s">
        <v>36</v>
      </c>
      <c r="F4395">
        <v>3</v>
      </c>
      <c r="G4395">
        <v>1</v>
      </c>
      <c r="H4395" t="s">
        <v>224</v>
      </c>
      <c r="I4395" t="s">
        <v>108</v>
      </c>
      <c r="J4395" t="s">
        <v>18</v>
      </c>
      <c r="K4395" t="b">
        <v>0</v>
      </c>
      <c r="L4395">
        <v>2012</v>
      </c>
      <c r="M4395">
        <v>2097929495121</v>
      </c>
      <c r="N4395">
        <v>326792574244</v>
      </c>
      <c r="O4395" t="b">
        <v>1</v>
      </c>
      <c r="P4395">
        <v>1</v>
      </c>
      <c r="Q4395" t="str" cm="1">
        <f t="array" ref="Q4395">_xlfn.IFS(Table1[[#This Row],[Wealthier_Winner]]=-1,"Wealthier Nation Loses",Table1[[#This Row],[Wealthier_Winner]]=0,"Tie",Table1[[#This Row],[Wealthier_Winner]]=1,"Wealthier Nation Wins")</f>
        <v>Wealthier Nation Wins</v>
      </c>
    </row>
    <row r="4396" spans="1:17" x14ac:dyDescent="0.2">
      <c r="A4396" s="1">
        <v>6553</v>
      </c>
      <c r="B4396" s="2">
        <v>41198</v>
      </c>
      <c r="C4396" s="7">
        <f>_xlfn.FLOOR.MATH(Table1[[#This Row],[year]],10)</f>
        <v>2010</v>
      </c>
      <c r="D4396" t="s">
        <v>49</v>
      </c>
      <c r="E4396" t="s">
        <v>449</v>
      </c>
      <c r="F4396">
        <v>4</v>
      </c>
      <c r="G4396">
        <v>1</v>
      </c>
      <c r="H4396" t="s">
        <v>224</v>
      </c>
      <c r="I4396" t="s">
        <v>257</v>
      </c>
      <c r="J4396" t="s">
        <v>49</v>
      </c>
      <c r="K4396" t="b">
        <v>0</v>
      </c>
      <c r="L4396">
        <v>2012</v>
      </c>
      <c r="M4396">
        <v>14807086555</v>
      </c>
      <c r="N4396">
        <v>1364729629</v>
      </c>
      <c r="O4396" t="b">
        <v>1</v>
      </c>
      <c r="P4396">
        <v>1</v>
      </c>
      <c r="Q4396" t="str" cm="1">
        <f t="array" ref="Q4396">_xlfn.IFS(Table1[[#This Row],[Wealthier_Winner]]=-1,"Wealthier Nation Loses",Table1[[#This Row],[Wealthier_Winner]]=0,"Tie",Table1[[#This Row],[Wealthier_Winner]]=1,"Wealthier Nation Wins")</f>
        <v>Wealthier Nation Wins</v>
      </c>
    </row>
    <row r="4397" spans="1:17" x14ac:dyDescent="0.2">
      <c r="A4397" s="1">
        <v>6554</v>
      </c>
      <c r="B4397" s="2">
        <v>41198</v>
      </c>
      <c r="C4397" s="7">
        <f>_xlfn.FLOOR.MATH(Table1[[#This Row],[year]],10)</f>
        <v>2010</v>
      </c>
      <c r="D4397" t="s">
        <v>525</v>
      </c>
      <c r="E4397" t="s">
        <v>503</v>
      </c>
      <c r="F4397">
        <v>2</v>
      </c>
      <c r="G4397">
        <v>0</v>
      </c>
      <c r="H4397" t="s">
        <v>224</v>
      </c>
      <c r="I4397" t="s">
        <v>526</v>
      </c>
      <c r="J4397" t="s">
        <v>525</v>
      </c>
      <c r="K4397" t="b">
        <v>0</v>
      </c>
      <c r="L4397">
        <v>2012</v>
      </c>
      <c r="M4397">
        <v>27116149948</v>
      </c>
      <c r="N4397">
        <v>5456102482</v>
      </c>
      <c r="O4397" t="b">
        <v>1</v>
      </c>
      <c r="P4397">
        <v>1</v>
      </c>
      <c r="Q4397" t="str" cm="1">
        <f t="array" ref="Q4397">_xlfn.IFS(Table1[[#This Row],[Wealthier_Winner]]=-1,"Wealthier Nation Loses",Table1[[#This Row],[Wealthier_Winner]]=0,"Tie",Table1[[#This Row],[Wealthier_Winner]]=1,"Wealthier Nation Wins")</f>
        <v>Wealthier Nation Wins</v>
      </c>
    </row>
    <row r="4398" spans="1:17" x14ac:dyDescent="0.2">
      <c r="A4398" s="1">
        <v>6555</v>
      </c>
      <c r="B4398" s="2">
        <v>41198</v>
      </c>
      <c r="C4398" s="7">
        <f>_xlfn.FLOOR.MATH(Table1[[#This Row],[year]],10)</f>
        <v>2010</v>
      </c>
      <c r="D4398" t="s">
        <v>502</v>
      </c>
      <c r="E4398" t="s">
        <v>61</v>
      </c>
      <c r="F4398">
        <v>1</v>
      </c>
      <c r="G4398">
        <v>0</v>
      </c>
      <c r="H4398" t="s">
        <v>224</v>
      </c>
      <c r="I4398" t="s">
        <v>504</v>
      </c>
      <c r="J4398" t="s">
        <v>502</v>
      </c>
      <c r="K4398" t="b">
        <v>0</v>
      </c>
      <c r="L4398">
        <v>2012</v>
      </c>
      <c r="M4398">
        <v>9745261300</v>
      </c>
      <c r="N4398">
        <v>45103269969</v>
      </c>
      <c r="O4398" t="b">
        <v>1</v>
      </c>
      <c r="P4398">
        <v>-1</v>
      </c>
      <c r="Q4398" t="str" cm="1">
        <f t="array" ref="Q4398">_xlfn.IFS(Table1[[#This Row],[Wealthier_Winner]]=-1,"Wealthier Nation Loses",Table1[[#This Row],[Wealthier_Winner]]=0,"Tie",Table1[[#This Row],[Wealthier_Winner]]=1,"Wealthier Nation Wins")</f>
        <v>Wealthier Nation Loses</v>
      </c>
    </row>
    <row r="4399" spans="1:17" x14ac:dyDescent="0.2">
      <c r="A4399" s="1">
        <v>6556</v>
      </c>
      <c r="B4399" s="2">
        <v>41198</v>
      </c>
      <c r="C4399" s="7">
        <f>_xlfn.FLOOR.MATH(Table1[[#This Row],[year]],10)</f>
        <v>2010</v>
      </c>
      <c r="D4399" t="s">
        <v>17</v>
      </c>
      <c r="E4399" t="s">
        <v>69</v>
      </c>
      <c r="F4399">
        <v>2</v>
      </c>
      <c r="G4399">
        <v>0</v>
      </c>
      <c r="H4399" t="s">
        <v>224</v>
      </c>
      <c r="I4399" t="s">
        <v>757</v>
      </c>
      <c r="J4399" t="s">
        <v>17</v>
      </c>
      <c r="K4399" t="b">
        <v>0</v>
      </c>
      <c r="L4399">
        <v>2012</v>
      </c>
      <c r="M4399">
        <v>1255110424817</v>
      </c>
      <c r="N4399">
        <v>21386150000</v>
      </c>
      <c r="O4399" t="b">
        <v>1</v>
      </c>
      <c r="P4399">
        <v>1</v>
      </c>
      <c r="Q4399" t="str" cm="1">
        <f t="array" ref="Q4399">_xlfn.IFS(Table1[[#This Row],[Wealthier_Winner]]=-1,"Wealthier Nation Loses",Table1[[#This Row],[Wealthier_Winner]]=0,"Tie",Table1[[#This Row],[Wealthier_Winner]]=1,"Wealthier Nation Wins")</f>
        <v>Wealthier Nation Wins</v>
      </c>
    </row>
    <row r="4400" spans="1:17" x14ac:dyDescent="0.2">
      <c r="A4400" s="1">
        <v>6557</v>
      </c>
      <c r="B4400" s="2">
        <v>41198</v>
      </c>
      <c r="C4400" s="7">
        <f>_xlfn.FLOOR.MATH(Table1[[#This Row],[year]],10)</f>
        <v>2010</v>
      </c>
      <c r="D4400" t="s">
        <v>656</v>
      </c>
      <c r="E4400" t="s">
        <v>456</v>
      </c>
      <c r="F4400">
        <v>5</v>
      </c>
      <c r="G4400">
        <v>0</v>
      </c>
      <c r="H4400" t="s">
        <v>224</v>
      </c>
      <c r="I4400" t="s">
        <v>754</v>
      </c>
      <c r="J4400" t="s">
        <v>656</v>
      </c>
      <c r="K4400" t="b">
        <v>0</v>
      </c>
      <c r="L4400">
        <v>2012</v>
      </c>
      <c r="M4400">
        <v>9659151917</v>
      </c>
      <c r="N4400">
        <v>1185217634</v>
      </c>
      <c r="O4400" t="b">
        <v>1</v>
      </c>
      <c r="P4400">
        <v>1</v>
      </c>
      <c r="Q4400" t="str" cm="1">
        <f t="array" ref="Q4400">_xlfn.IFS(Table1[[#This Row],[Wealthier_Winner]]=-1,"Wealthier Nation Loses",Table1[[#This Row],[Wealthier_Winner]]=0,"Tie",Table1[[#This Row],[Wealthier_Winner]]=1,"Wealthier Nation Wins")</f>
        <v>Wealthier Nation Wins</v>
      </c>
    </row>
    <row r="4401" spans="1:17" x14ac:dyDescent="0.2">
      <c r="A4401" s="1">
        <v>6559</v>
      </c>
      <c r="B4401" s="2">
        <v>41198</v>
      </c>
      <c r="C4401" s="7">
        <f>_xlfn.FLOOR.MATH(Table1[[#This Row],[year]],10)</f>
        <v>2010</v>
      </c>
      <c r="D4401" t="s">
        <v>429</v>
      </c>
      <c r="E4401" t="s">
        <v>403</v>
      </c>
      <c r="F4401">
        <v>2</v>
      </c>
      <c r="G4401">
        <v>1</v>
      </c>
      <c r="H4401" t="s">
        <v>224</v>
      </c>
      <c r="I4401" t="s">
        <v>430</v>
      </c>
      <c r="J4401" t="s">
        <v>429</v>
      </c>
      <c r="K4401" t="b">
        <v>0</v>
      </c>
      <c r="L4401">
        <v>2012</v>
      </c>
      <c r="M4401">
        <v>87408842652</v>
      </c>
      <c r="N4401">
        <v>31634561690</v>
      </c>
      <c r="O4401" t="b">
        <v>1</v>
      </c>
      <c r="P4401">
        <v>1</v>
      </c>
      <c r="Q4401" t="str" cm="1">
        <f t="array" ref="Q4401">_xlfn.IFS(Table1[[#This Row],[Wealthier_Winner]]=-1,"Wealthier Nation Loses",Table1[[#This Row],[Wealthier_Winner]]=0,"Tie",Table1[[#This Row],[Wealthier_Winner]]=1,"Wealthier Nation Wins")</f>
        <v>Wealthier Nation Wins</v>
      </c>
    </row>
    <row r="4402" spans="1:17" x14ac:dyDescent="0.2">
      <c r="A4402" s="1">
        <v>6560</v>
      </c>
      <c r="B4402" s="2">
        <v>41198</v>
      </c>
      <c r="C4402" s="7">
        <f>_xlfn.FLOOR.MATH(Table1[[#This Row],[year]],10)</f>
        <v>2010</v>
      </c>
      <c r="D4402" t="s">
        <v>35</v>
      </c>
      <c r="E4402" t="s">
        <v>31</v>
      </c>
      <c r="F4402">
        <v>1</v>
      </c>
      <c r="G4402">
        <v>0</v>
      </c>
      <c r="H4402" t="s">
        <v>224</v>
      </c>
      <c r="I4402" t="s">
        <v>250</v>
      </c>
      <c r="J4402" t="s">
        <v>35</v>
      </c>
      <c r="K4402" t="b">
        <v>0</v>
      </c>
      <c r="L4402">
        <v>2012</v>
      </c>
      <c r="M4402">
        <v>33271921136</v>
      </c>
      <c r="N4402">
        <v>192650021648</v>
      </c>
      <c r="O4402" t="b">
        <v>1</v>
      </c>
      <c r="P4402">
        <v>-1</v>
      </c>
      <c r="Q4402" t="str" cm="1">
        <f t="array" ref="Q4402">_xlfn.IFS(Table1[[#This Row],[Wealthier_Winner]]=-1,"Wealthier Nation Loses",Table1[[#This Row],[Wealthier_Winner]]=0,"Tie",Table1[[#This Row],[Wealthier_Winner]]=1,"Wealthier Nation Wins")</f>
        <v>Wealthier Nation Loses</v>
      </c>
    </row>
    <row r="4403" spans="1:17" x14ac:dyDescent="0.2">
      <c r="A4403" s="1">
        <v>6562</v>
      </c>
      <c r="B4403" s="2">
        <v>41198</v>
      </c>
      <c r="C4403" s="7">
        <f>_xlfn.FLOOR.MATH(Table1[[#This Row],[year]],10)</f>
        <v>2010</v>
      </c>
      <c r="D4403" t="s">
        <v>68</v>
      </c>
      <c r="E4403" t="s">
        <v>563</v>
      </c>
      <c r="F4403">
        <v>0</v>
      </c>
      <c r="G4403">
        <v>1</v>
      </c>
      <c r="H4403" t="s">
        <v>224</v>
      </c>
      <c r="I4403" t="s">
        <v>190</v>
      </c>
      <c r="J4403" t="s">
        <v>68</v>
      </c>
      <c r="K4403" t="b">
        <v>0</v>
      </c>
      <c r="L4403">
        <v>2012</v>
      </c>
      <c r="M4403">
        <v>186833516483</v>
      </c>
      <c r="N4403">
        <v>67517349212</v>
      </c>
      <c r="O4403" t="b">
        <v>1</v>
      </c>
      <c r="P4403">
        <v>-1</v>
      </c>
      <c r="Q4403" t="str" cm="1">
        <f t="array" ref="Q4403">_xlfn.IFS(Table1[[#This Row],[Wealthier_Winner]]=-1,"Wealthier Nation Loses",Table1[[#This Row],[Wealthier_Winner]]=0,"Tie",Table1[[#This Row],[Wealthier_Winner]]=1,"Wealthier Nation Wins")</f>
        <v>Wealthier Nation Loses</v>
      </c>
    </row>
    <row r="4404" spans="1:17" x14ac:dyDescent="0.2">
      <c r="A4404" s="1">
        <v>6563</v>
      </c>
      <c r="B4404" s="2">
        <v>41198</v>
      </c>
      <c r="C4404" s="7">
        <f>_xlfn.FLOOR.MATH(Table1[[#This Row],[year]],10)</f>
        <v>2010</v>
      </c>
      <c r="D4404" t="s">
        <v>44</v>
      </c>
      <c r="E4404" t="s">
        <v>27</v>
      </c>
      <c r="F4404">
        <v>1</v>
      </c>
      <c r="G4404">
        <v>4</v>
      </c>
      <c r="H4404" t="s">
        <v>224</v>
      </c>
      <c r="I4404" t="s">
        <v>425</v>
      </c>
      <c r="J4404" t="s">
        <v>44</v>
      </c>
      <c r="K4404" t="b">
        <v>0</v>
      </c>
      <c r="L4404">
        <v>2012</v>
      </c>
      <c r="M4404">
        <v>179117323107</v>
      </c>
      <c r="N4404">
        <v>845689017065</v>
      </c>
      <c r="O4404" t="b">
        <v>1</v>
      </c>
      <c r="P4404">
        <v>1</v>
      </c>
      <c r="Q4404" t="str" cm="1">
        <f t="array" ref="Q4404">_xlfn.IFS(Table1[[#This Row],[Wealthier_Winner]]=-1,"Wealthier Nation Loses",Table1[[#This Row],[Wealthier_Winner]]=0,"Tie",Table1[[#This Row],[Wealthier_Winner]]=1,"Wealthier Nation Wins")</f>
        <v>Wealthier Nation Wins</v>
      </c>
    </row>
    <row r="4405" spans="1:17" x14ac:dyDescent="0.2">
      <c r="A4405" s="1">
        <v>6564</v>
      </c>
      <c r="B4405" s="2">
        <v>41198</v>
      </c>
      <c r="C4405" s="7">
        <f>_xlfn.FLOOR.MATH(Table1[[#This Row],[year]],10)</f>
        <v>2010</v>
      </c>
      <c r="D4405" t="s">
        <v>196</v>
      </c>
      <c r="E4405" t="s">
        <v>513</v>
      </c>
      <c r="F4405">
        <v>1</v>
      </c>
      <c r="G4405">
        <v>0</v>
      </c>
      <c r="H4405" t="s">
        <v>224</v>
      </c>
      <c r="I4405" t="s">
        <v>180</v>
      </c>
      <c r="J4405" t="s">
        <v>196</v>
      </c>
      <c r="K4405" t="b">
        <v>0</v>
      </c>
      <c r="L4405">
        <v>2012</v>
      </c>
      <c r="M4405">
        <v>2208293553878</v>
      </c>
      <c r="N4405">
        <v>69679944504</v>
      </c>
      <c r="O4405" t="b">
        <v>1</v>
      </c>
      <c r="P4405">
        <v>1</v>
      </c>
      <c r="Q4405" t="str" cm="1">
        <f t="array" ref="Q4405">_xlfn.IFS(Table1[[#This Row],[Wealthier_Winner]]=-1,"Wealthier Nation Loses",Table1[[#This Row],[Wealthier_Winner]]=0,"Tie",Table1[[#This Row],[Wealthier_Winner]]=1,"Wealthier Nation Wins")</f>
        <v>Wealthier Nation Wins</v>
      </c>
    </row>
    <row r="4406" spans="1:17" x14ac:dyDescent="0.2">
      <c r="A4406" s="1">
        <v>6565</v>
      </c>
      <c r="B4406" s="2">
        <v>41198</v>
      </c>
      <c r="C4406" s="7">
        <f>_xlfn.FLOOR.MATH(Table1[[#This Row],[year]],10)</f>
        <v>2010</v>
      </c>
      <c r="D4406" t="s">
        <v>549</v>
      </c>
      <c r="E4406" t="s">
        <v>527</v>
      </c>
      <c r="F4406">
        <v>0</v>
      </c>
      <c r="G4406">
        <v>2</v>
      </c>
      <c r="H4406" t="s">
        <v>224</v>
      </c>
      <c r="I4406" t="s">
        <v>555</v>
      </c>
      <c r="J4406" t="s">
        <v>549</v>
      </c>
      <c r="K4406" t="b">
        <v>0</v>
      </c>
      <c r="L4406">
        <v>2012</v>
      </c>
      <c r="M4406">
        <v>1604701299</v>
      </c>
      <c r="N4406">
        <v>8709138634</v>
      </c>
      <c r="O4406" t="b">
        <v>1</v>
      </c>
      <c r="P4406">
        <v>1</v>
      </c>
      <c r="Q4406" t="str" cm="1">
        <f t="array" ref="Q4406">_xlfn.IFS(Table1[[#This Row],[Wealthier_Winner]]=-1,"Wealthier Nation Loses",Table1[[#This Row],[Wealthier_Winner]]=0,"Tie",Table1[[#This Row],[Wealthier_Winner]]=1,"Wealthier Nation Wins")</f>
        <v>Wealthier Nation Wins</v>
      </c>
    </row>
    <row r="4407" spans="1:17" x14ac:dyDescent="0.2">
      <c r="A4407" s="1">
        <v>6567</v>
      </c>
      <c r="B4407" s="2">
        <v>41198</v>
      </c>
      <c r="C4407" s="7">
        <f>_xlfn.FLOOR.MATH(Table1[[#This Row],[year]],10)</f>
        <v>2010</v>
      </c>
      <c r="D4407" t="s">
        <v>21</v>
      </c>
      <c r="E4407" t="s">
        <v>20</v>
      </c>
      <c r="F4407">
        <v>1</v>
      </c>
      <c r="G4407">
        <v>1</v>
      </c>
      <c r="H4407" t="s">
        <v>224</v>
      </c>
      <c r="I4407" t="s">
        <v>105</v>
      </c>
      <c r="J4407" t="s">
        <v>21</v>
      </c>
      <c r="K4407" t="b">
        <v>0</v>
      </c>
      <c r="L4407">
        <v>2012</v>
      </c>
      <c r="M4407">
        <v>1330994811670</v>
      </c>
      <c r="N4407">
        <v>2683007095787</v>
      </c>
      <c r="O4407" t="b">
        <v>1</v>
      </c>
      <c r="P4407">
        <v>0</v>
      </c>
      <c r="Q4407" t="str" cm="1">
        <f t="array" ref="Q4407">_xlfn.IFS(Table1[[#This Row],[Wealthier_Winner]]=-1,"Wealthier Nation Loses",Table1[[#This Row],[Wealthier_Winner]]=0,"Tie",Table1[[#This Row],[Wealthier_Winner]]=1,"Wealthier Nation Wins")</f>
        <v>Tie</v>
      </c>
    </row>
    <row r="4408" spans="1:17" x14ac:dyDescent="0.2">
      <c r="A4408" s="1">
        <v>6568</v>
      </c>
      <c r="B4408" s="2">
        <v>41198</v>
      </c>
      <c r="C4408" s="7">
        <f>_xlfn.FLOOR.MATH(Table1[[#This Row],[year]],10)</f>
        <v>2010</v>
      </c>
      <c r="D4408" t="s">
        <v>64</v>
      </c>
      <c r="E4408" t="s">
        <v>705</v>
      </c>
      <c r="F4408">
        <v>0</v>
      </c>
      <c r="G4408">
        <v>1</v>
      </c>
      <c r="H4408" t="s">
        <v>224</v>
      </c>
      <c r="I4408" t="s">
        <v>423</v>
      </c>
      <c r="J4408" t="s">
        <v>64</v>
      </c>
      <c r="K4408" t="b">
        <v>0</v>
      </c>
      <c r="L4408">
        <v>2012</v>
      </c>
      <c r="M4408">
        <v>182591753827</v>
      </c>
      <c r="N4408">
        <v>4071829462</v>
      </c>
      <c r="O4408" t="b">
        <v>1</v>
      </c>
      <c r="P4408">
        <v>-1</v>
      </c>
      <c r="Q4408" t="str" cm="1">
        <f t="array" ref="Q4408">_xlfn.IFS(Table1[[#This Row],[Wealthier_Winner]]=-1,"Wealthier Nation Loses",Table1[[#This Row],[Wealthier_Winner]]=0,"Tie",Table1[[#This Row],[Wealthier_Winner]]=1,"Wealthier Nation Wins")</f>
        <v>Wealthier Nation Loses</v>
      </c>
    </row>
    <row r="4409" spans="1:17" x14ac:dyDescent="0.2">
      <c r="A4409" s="1">
        <v>6569</v>
      </c>
      <c r="B4409" s="2">
        <v>41198</v>
      </c>
      <c r="C4409" s="7">
        <f>_xlfn.FLOOR.MATH(Table1[[#This Row],[year]],10)</f>
        <v>2010</v>
      </c>
      <c r="D4409" t="s">
        <v>41</v>
      </c>
      <c r="E4409" t="s">
        <v>223</v>
      </c>
      <c r="F4409">
        <v>3</v>
      </c>
      <c r="G4409">
        <v>1</v>
      </c>
      <c r="H4409" t="s">
        <v>224</v>
      </c>
      <c r="I4409" t="s">
        <v>276</v>
      </c>
      <c r="J4409" t="s">
        <v>41</v>
      </c>
      <c r="K4409" t="b">
        <v>0</v>
      </c>
      <c r="L4409">
        <v>2012</v>
      </c>
      <c r="M4409">
        <v>16253972230000</v>
      </c>
      <c r="N4409">
        <v>49593929487</v>
      </c>
      <c r="O4409" t="b">
        <v>1</v>
      </c>
      <c r="P4409">
        <v>1</v>
      </c>
      <c r="Q4409" t="str" cm="1">
        <f t="array" ref="Q4409">_xlfn.IFS(Table1[[#This Row],[Wealthier_Winner]]=-1,"Wealthier Nation Loses",Table1[[#This Row],[Wealthier_Winner]]=0,"Tie",Table1[[#This Row],[Wealthier_Winner]]=1,"Wealthier Nation Wins")</f>
        <v>Wealthier Nation Wins</v>
      </c>
    </row>
    <row r="4410" spans="1:17" x14ac:dyDescent="0.2">
      <c r="A4410" s="1">
        <v>6570</v>
      </c>
      <c r="B4410" s="2">
        <v>41198</v>
      </c>
      <c r="C4410" s="7">
        <f>_xlfn.FLOOR.MATH(Table1[[#This Row],[year]],10)</f>
        <v>2010</v>
      </c>
      <c r="D4410" t="s">
        <v>258</v>
      </c>
      <c r="E4410" t="s">
        <v>57</v>
      </c>
      <c r="F4410">
        <v>1</v>
      </c>
      <c r="G4410">
        <v>1</v>
      </c>
      <c r="H4410" t="s">
        <v>224</v>
      </c>
      <c r="I4410" t="s">
        <v>701</v>
      </c>
      <c r="J4410" t="s">
        <v>258</v>
      </c>
      <c r="K4410" t="b">
        <v>0</v>
      </c>
      <c r="L4410">
        <v>2012</v>
      </c>
      <c r="M4410">
        <v>372592062768</v>
      </c>
      <c r="N4410">
        <v>87735048000</v>
      </c>
      <c r="O4410" t="b">
        <v>1</v>
      </c>
      <c r="P4410">
        <v>0</v>
      </c>
      <c r="Q4410" t="str" cm="1">
        <f t="array" ref="Q4410">_xlfn.IFS(Table1[[#This Row],[Wealthier_Winner]]=-1,"Wealthier Nation Loses",Table1[[#This Row],[Wealthier_Winner]]=0,"Tie",Table1[[#This Row],[Wealthier_Winner]]=1,"Wealthier Nation Wins")</f>
        <v>Tie</v>
      </c>
    </row>
    <row r="4411" spans="1:17" x14ac:dyDescent="0.2">
      <c r="A4411" s="1">
        <v>6571</v>
      </c>
      <c r="B4411" s="2">
        <v>41199</v>
      </c>
      <c r="C4411" s="7">
        <f>_xlfn.FLOOR.MATH(Table1[[#This Row],[year]],10)</f>
        <v>2010</v>
      </c>
      <c r="D4411" t="s">
        <v>58</v>
      </c>
      <c r="E4411" t="s">
        <v>194</v>
      </c>
      <c r="F4411">
        <v>1</v>
      </c>
      <c r="G4411">
        <v>1</v>
      </c>
      <c r="H4411" t="s">
        <v>224</v>
      </c>
      <c r="I4411" t="s">
        <v>619</v>
      </c>
      <c r="J4411" t="s">
        <v>58</v>
      </c>
      <c r="K4411" t="b">
        <v>0</v>
      </c>
      <c r="L4411">
        <v>2012</v>
      </c>
      <c r="M4411">
        <v>498148649702</v>
      </c>
      <c r="N4411">
        <v>2719715961539</v>
      </c>
      <c r="O4411" t="b">
        <v>1</v>
      </c>
      <c r="P4411">
        <v>0</v>
      </c>
      <c r="Q4411" t="str" cm="1">
        <f t="array" ref="Q4411">_xlfn.IFS(Table1[[#This Row],[Wealthier_Winner]]=-1,"Wealthier Nation Loses",Table1[[#This Row],[Wealthier_Winner]]=0,"Tie",Table1[[#This Row],[Wealthier_Winner]]=1,"Wealthier Nation Wins")</f>
        <v>Tie</v>
      </c>
    </row>
    <row r="4412" spans="1:17" x14ac:dyDescent="0.2">
      <c r="A4412" s="1">
        <v>6572</v>
      </c>
      <c r="B4412" s="2">
        <v>41227</v>
      </c>
      <c r="C4412" s="7">
        <f>_xlfn.FLOOR.MATH(Table1[[#This Row],[year]],10)</f>
        <v>2010</v>
      </c>
      <c r="D4412" t="s">
        <v>210</v>
      </c>
      <c r="E4412" t="s">
        <v>563</v>
      </c>
      <c r="F4412">
        <v>0</v>
      </c>
      <c r="G4412">
        <v>1</v>
      </c>
      <c r="H4412" t="s">
        <v>224</v>
      </c>
      <c r="I4412" t="s">
        <v>332</v>
      </c>
      <c r="J4412" t="s">
        <v>210</v>
      </c>
      <c r="K4412" t="b">
        <v>0</v>
      </c>
      <c r="L4412">
        <v>2012</v>
      </c>
      <c r="M4412">
        <v>644019315003</v>
      </c>
      <c r="N4412">
        <v>67517349212</v>
      </c>
      <c r="O4412" t="b">
        <v>1</v>
      </c>
      <c r="P4412">
        <v>-1</v>
      </c>
      <c r="Q4412" t="str" cm="1">
        <f t="array" ref="Q4412">_xlfn.IFS(Table1[[#This Row],[Wealthier_Winner]]=-1,"Wealthier Nation Loses",Table1[[#This Row],[Wealthier_Winner]]=0,"Tie",Table1[[#This Row],[Wealthier_Winner]]=1,"Wealthier Nation Wins")</f>
        <v>Wealthier Nation Loses</v>
      </c>
    </row>
    <row r="4413" spans="1:17" x14ac:dyDescent="0.2">
      <c r="A4413" s="1">
        <v>6573</v>
      </c>
      <c r="B4413" s="2">
        <v>41227</v>
      </c>
      <c r="C4413" s="7">
        <f>_xlfn.FLOOR.MATH(Table1[[#This Row],[year]],10)</f>
        <v>2010</v>
      </c>
      <c r="D4413" t="s">
        <v>37</v>
      </c>
      <c r="E4413" t="s">
        <v>403</v>
      </c>
      <c r="F4413">
        <v>1</v>
      </c>
      <c r="G4413">
        <v>0</v>
      </c>
      <c r="H4413" t="s">
        <v>224</v>
      </c>
      <c r="I4413" t="s">
        <v>190</v>
      </c>
      <c r="J4413" t="s">
        <v>68</v>
      </c>
      <c r="K4413" t="b">
        <v>1</v>
      </c>
      <c r="L4413">
        <v>2012</v>
      </c>
      <c r="M4413">
        <v>218002476129</v>
      </c>
      <c r="N4413">
        <v>31634561690</v>
      </c>
      <c r="O4413" t="b">
        <v>1</v>
      </c>
      <c r="P4413">
        <v>1</v>
      </c>
      <c r="Q4413" t="str" cm="1">
        <f t="array" ref="Q4413">_xlfn.IFS(Table1[[#This Row],[Wealthier_Winner]]=-1,"Wealthier Nation Loses",Table1[[#This Row],[Wealthier_Winner]]=0,"Tie",Table1[[#This Row],[Wealthier_Winner]]=1,"Wealthier Nation Wins")</f>
        <v>Wealthier Nation Wins</v>
      </c>
    </row>
    <row r="4414" spans="1:17" x14ac:dyDescent="0.2">
      <c r="A4414" s="1">
        <v>6574</v>
      </c>
      <c r="B4414" s="2">
        <v>41227</v>
      </c>
      <c r="C4414" s="7">
        <f>_xlfn.FLOOR.MATH(Table1[[#This Row],[year]],10)</f>
        <v>2010</v>
      </c>
      <c r="D4414" t="s">
        <v>705</v>
      </c>
      <c r="E4414" t="s">
        <v>549</v>
      </c>
      <c r="F4414">
        <v>3</v>
      </c>
      <c r="G4414">
        <v>0</v>
      </c>
      <c r="H4414" t="s">
        <v>224</v>
      </c>
      <c r="I4414" t="s">
        <v>706</v>
      </c>
      <c r="J4414" t="s">
        <v>705</v>
      </c>
      <c r="K4414" t="b">
        <v>0</v>
      </c>
      <c r="L4414">
        <v>2012</v>
      </c>
      <c r="M4414">
        <v>4071829462</v>
      </c>
      <c r="N4414">
        <v>1604701299</v>
      </c>
      <c r="O4414" t="b">
        <v>1</v>
      </c>
      <c r="P4414">
        <v>1</v>
      </c>
      <c r="Q4414" t="str" cm="1">
        <f t="array" ref="Q4414">_xlfn.IFS(Table1[[#This Row],[Wealthier_Winner]]=-1,"Wealthier Nation Loses",Table1[[#This Row],[Wealthier_Winner]]=0,"Tie",Table1[[#This Row],[Wealthier_Winner]]=1,"Wealthier Nation Wins")</f>
        <v>Wealthier Nation Wins</v>
      </c>
    </row>
    <row r="4415" spans="1:17" x14ac:dyDescent="0.2">
      <c r="A4415" s="1">
        <v>6576</v>
      </c>
      <c r="B4415" s="2">
        <v>41227</v>
      </c>
      <c r="C4415" s="7">
        <f>_xlfn.FLOOR.MATH(Table1[[#This Row],[year]],10)</f>
        <v>2010</v>
      </c>
      <c r="D4415" t="s">
        <v>429</v>
      </c>
      <c r="E4415" t="s">
        <v>51</v>
      </c>
      <c r="F4415">
        <v>1</v>
      </c>
      <c r="G4415">
        <v>2</v>
      </c>
      <c r="H4415" t="s">
        <v>224</v>
      </c>
      <c r="I4415" t="s">
        <v>430</v>
      </c>
      <c r="J4415" t="s">
        <v>429</v>
      </c>
      <c r="K4415" t="b">
        <v>0</v>
      </c>
      <c r="L4415">
        <v>2012</v>
      </c>
      <c r="M4415">
        <v>87408842652</v>
      </c>
      <c r="N4415">
        <v>6272362996105</v>
      </c>
      <c r="O4415" t="b">
        <v>1</v>
      </c>
      <c r="P4415">
        <v>1</v>
      </c>
      <c r="Q4415" t="str" cm="1">
        <f t="array" ref="Q4415">_xlfn.IFS(Table1[[#This Row],[Wealthier_Winner]]=-1,"Wealthier Nation Loses",Table1[[#This Row],[Wealthier_Winner]]=0,"Tie",Table1[[#This Row],[Wealthier_Winner]]=1,"Wealthier Nation Wins")</f>
        <v>Wealthier Nation Wins</v>
      </c>
    </row>
    <row r="4416" spans="1:17" x14ac:dyDescent="0.2">
      <c r="A4416" s="1">
        <v>6577</v>
      </c>
      <c r="B4416" s="2">
        <v>41227</v>
      </c>
      <c r="C4416" s="7">
        <f>_xlfn.FLOOR.MATH(Table1[[#This Row],[year]],10)</f>
        <v>2010</v>
      </c>
      <c r="D4416" t="s">
        <v>68</v>
      </c>
      <c r="E4416" t="s">
        <v>479</v>
      </c>
      <c r="F4416">
        <v>1</v>
      </c>
      <c r="G4416">
        <v>0</v>
      </c>
      <c r="H4416" t="s">
        <v>224</v>
      </c>
      <c r="I4416" t="s">
        <v>190</v>
      </c>
      <c r="J4416" t="s">
        <v>68</v>
      </c>
      <c r="K4416" t="b">
        <v>0</v>
      </c>
      <c r="L4416">
        <v>2012</v>
      </c>
      <c r="M4416">
        <v>186833516483</v>
      </c>
      <c r="N4416">
        <v>44016799515</v>
      </c>
      <c r="O4416" t="b">
        <v>1</v>
      </c>
      <c r="P4416">
        <v>1</v>
      </c>
      <c r="Q4416" t="str" cm="1">
        <f t="array" ref="Q4416">_xlfn.IFS(Table1[[#This Row],[Wealthier_Winner]]=-1,"Wealthier Nation Loses",Table1[[#This Row],[Wealthier_Winner]]=0,"Tie",Table1[[#This Row],[Wealthier_Winner]]=1,"Wealthier Nation Wins")</f>
        <v>Wealthier Nation Wins</v>
      </c>
    </row>
    <row r="4417" spans="1:17" x14ac:dyDescent="0.2">
      <c r="A4417" s="1">
        <v>6578</v>
      </c>
      <c r="B4417" s="2">
        <v>41311</v>
      </c>
      <c r="C4417" s="7">
        <f>_xlfn.FLOOR.MATH(Table1[[#This Row],[year]],10)</f>
        <v>2010</v>
      </c>
      <c r="D4417" t="s">
        <v>65</v>
      </c>
      <c r="E4417" t="s">
        <v>41</v>
      </c>
      <c r="F4417">
        <v>2</v>
      </c>
      <c r="G4417">
        <v>1</v>
      </c>
      <c r="H4417" t="s">
        <v>224</v>
      </c>
      <c r="I4417" t="s">
        <v>254</v>
      </c>
      <c r="J4417" t="s">
        <v>65</v>
      </c>
      <c r="K4417" t="b">
        <v>0</v>
      </c>
      <c r="L4417">
        <v>2013</v>
      </c>
      <c r="M4417">
        <v>18499729214</v>
      </c>
      <c r="N4417">
        <v>16843190993000</v>
      </c>
      <c r="O4417" t="b">
        <v>1</v>
      </c>
      <c r="P4417">
        <v>-1</v>
      </c>
      <c r="Q4417" t="str" cm="1">
        <f t="array" ref="Q4417">_xlfn.IFS(Table1[[#This Row],[Wealthier_Winner]]=-1,"Wealthier Nation Loses",Table1[[#This Row],[Wealthier_Winner]]=0,"Tie",Table1[[#This Row],[Wealthier_Winner]]=1,"Wealthier Nation Wins")</f>
        <v>Wealthier Nation Loses</v>
      </c>
    </row>
    <row r="4418" spans="1:17" x14ac:dyDescent="0.2">
      <c r="A4418" s="1">
        <v>6579</v>
      </c>
      <c r="B4418" s="2">
        <v>41311</v>
      </c>
      <c r="C4418" s="7">
        <f>_xlfn.FLOOR.MATH(Table1[[#This Row],[year]],10)</f>
        <v>2010</v>
      </c>
      <c r="D4418" t="s">
        <v>17</v>
      </c>
      <c r="E4418" t="s">
        <v>49</v>
      </c>
      <c r="F4418">
        <v>0</v>
      </c>
      <c r="G4418">
        <v>0</v>
      </c>
      <c r="H4418" t="s">
        <v>224</v>
      </c>
      <c r="I4418" t="s">
        <v>83</v>
      </c>
      <c r="J4418" t="s">
        <v>17</v>
      </c>
      <c r="K4418" t="b">
        <v>0</v>
      </c>
      <c r="L4418">
        <v>2013</v>
      </c>
      <c r="M4418">
        <v>1327436290282</v>
      </c>
      <c r="N4418">
        <v>14264205152</v>
      </c>
      <c r="O4418" t="b">
        <v>1</v>
      </c>
      <c r="P4418">
        <v>0</v>
      </c>
      <c r="Q4418" t="str" cm="1">
        <f t="array" ref="Q4418">_xlfn.IFS(Table1[[#This Row],[Wealthier_Winner]]=-1,"Wealthier Nation Loses",Table1[[#This Row],[Wealthier_Winner]]=0,"Tie",Table1[[#This Row],[Wealthier_Winner]]=1,"Wealthier Nation Wins")</f>
        <v>Tie</v>
      </c>
    </row>
    <row r="4419" spans="1:17" x14ac:dyDescent="0.2">
      <c r="A4419" s="1">
        <v>6580</v>
      </c>
      <c r="B4419" s="2">
        <v>41311</v>
      </c>
      <c r="C4419" s="7">
        <f>_xlfn.FLOOR.MATH(Table1[[#This Row],[year]],10)</f>
        <v>2010</v>
      </c>
      <c r="D4419" t="s">
        <v>67</v>
      </c>
      <c r="E4419" t="s">
        <v>56</v>
      </c>
      <c r="F4419">
        <v>2</v>
      </c>
      <c r="G4419">
        <v>2</v>
      </c>
      <c r="H4419" t="s">
        <v>224</v>
      </c>
      <c r="I4419" t="s">
        <v>455</v>
      </c>
      <c r="J4419" t="s">
        <v>67</v>
      </c>
      <c r="K4419" t="b">
        <v>0</v>
      </c>
      <c r="L4419">
        <v>2013</v>
      </c>
      <c r="M4419">
        <v>46949496479</v>
      </c>
      <c r="N4419">
        <v>50949668841</v>
      </c>
      <c r="O4419" t="b">
        <v>0</v>
      </c>
      <c r="P4419">
        <v>0</v>
      </c>
      <c r="Q4419" t="str" cm="1">
        <f t="array" ref="Q4419">_xlfn.IFS(Table1[[#This Row],[Wealthier_Winner]]=-1,"Wealthier Nation Loses",Table1[[#This Row],[Wealthier_Winner]]=0,"Tie",Table1[[#This Row],[Wealthier_Winner]]=1,"Wealthier Nation Wins")</f>
        <v>Tie</v>
      </c>
    </row>
    <row r="4420" spans="1:17" x14ac:dyDescent="0.2">
      <c r="A4420" s="1">
        <v>6582</v>
      </c>
      <c r="B4420" s="2">
        <v>41355</v>
      </c>
      <c r="C4420" s="7">
        <f>_xlfn.FLOOR.MATH(Table1[[#This Row],[year]],10)</f>
        <v>2010</v>
      </c>
      <c r="D4420" t="s">
        <v>19</v>
      </c>
      <c r="E4420" t="s">
        <v>258</v>
      </c>
      <c r="F4420">
        <v>3</v>
      </c>
      <c r="G4420">
        <v>0</v>
      </c>
      <c r="H4420" t="s">
        <v>224</v>
      </c>
      <c r="I4420" t="s">
        <v>93</v>
      </c>
      <c r="J4420" t="s">
        <v>19</v>
      </c>
      <c r="K4420" t="b">
        <v>0</v>
      </c>
      <c r="L4420">
        <v>2013</v>
      </c>
      <c r="M4420">
        <v>552025140252</v>
      </c>
      <c r="N4420">
        <v>258930655486</v>
      </c>
      <c r="O4420" t="b">
        <v>1</v>
      </c>
      <c r="P4420">
        <v>1</v>
      </c>
      <c r="Q4420" t="str" cm="1">
        <f t="array" ref="Q4420">_xlfn.IFS(Table1[[#This Row],[Wealthier_Winner]]=-1,"Wealthier Nation Loses",Table1[[#This Row],[Wealthier_Winner]]=0,"Tie",Table1[[#This Row],[Wealthier_Winner]]=1,"Wealthier Nation Wins")</f>
        <v>Wealthier Nation Wins</v>
      </c>
    </row>
    <row r="4421" spans="1:17" x14ac:dyDescent="0.2">
      <c r="A4421" s="1">
        <v>6583</v>
      </c>
      <c r="B4421" s="2">
        <v>41355</v>
      </c>
      <c r="C4421" s="7">
        <f>_xlfn.FLOOR.MATH(Table1[[#This Row],[year]],10)</f>
        <v>2010</v>
      </c>
      <c r="D4421" t="s">
        <v>29</v>
      </c>
      <c r="E4421" t="s">
        <v>447</v>
      </c>
      <c r="F4421">
        <v>6</v>
      </c>
      <c r="G4421">
        <v>0</v>
      </c>
      <c r="H4421" t="s">
        <v>224</v>
      </c>
      <c r="I4421" t="s">
        <v>270</v>
      </c>
      <c r="J4421" t="s">
        <v>29</v>
      </c>
      <c r="K4421" t="b">
        <v>0</v>
      </c>
      <c r="L4421">
        <v>2013</v>
      </c>
      <c r="M4421">
        <v>426580502769</v>
      </c>
      <c r="N4421">
        <v>2690110520</v>
      </c>
      <c r="O4421" t="b">
        <v>1</v>
      </c>
      <c r="P4421">
        <v>1</v>
      </c>
      <c r="Q4421" t="str" cm="1">
        <f t="array" ref="Q4421">_xlfn.IFS(Table1[[#This Row],[Wealthier_Winner]]=-1,"Wealthier Nation Loses",Table1[[#This Row],[Wealthier_Winner]]=0,"Tie",Table1[[#This Row],[Wealthier_Winner]]=1,"Wealthier Nation Wins")</f>
        <v>Wealthier Nation Wins</v>
      </c>
    </row>
    <row r="4422" spans="1:17" x14ac:dyDescent="0.2">
      <c r="A4422" s="1">
        <v>6584</v>
      </c>
      <c r="B4422" s="2">
        <v>41355</v>
      </c>
      <c r="C4422" s="7">
        <f>_xlfn.FLOOR.MATH(Table1[[#This Row],[year]],10)</f>
        <v>2010</v>
      </c>
      <c r="D4422" t="s">
        <v>73</v>
      </c>
      <c r="E4422" t="s">
        <v>48</v>
      </c>
      <c r="F4422">
        <v>3</v>
      </c>
      <c r="G4422">
        <v>1</v>
      </c>
      <c r="H4422" t="s">
        <v>224</v>
      </c>
      <c r="I4422" t="s">
        <v>636</v>
      </c>
      <c r="J4422" t="s">
        <v>73</v>
      </c>
      <c r="K4422" t="b">
        <v>0</v>
      </c>
      <c r="L4422">
        <v>2013</v>
      </c>
      <c r="M4422">
        <v>18179109209</v>
      </c>
      <c r="N4422">
        <v>236556279640</v>
      </c>
      <c r="O4422" t="b">
        <v>1</v>
      </c>
      <c r="P4422">
        <v>-1</v>
      </c>
      <c r="Q4422" t="str" cm="1">
        <f t="array" ref="Q4422">_xlfn.IFS(Table1[[#This Row],[Wealthier_Winner]]=-1,"Wealthier Nation Loses",Table1[[#This Row],[Wealthier_Winner]]=0,"Tie",Table1[[#This Row],[Wealthier_Winner]]=1,"Wealthier Nation Wins")</f>
        <v>Wealthier Nation Loses</v>
      </c>
    </row>
    <row r="4423" spans="1:17" x14ac:dyDescent="0.2">
      <c r="A4423" s="1">
        <v>6585</v>
      </c>
      <c r="B4423" s="2">
        <v>41355</v>
      </c>
      <c r="C4423" s="7">
        <f>_xlfn.FLOOR.MATH(Table1[[#This Row],[year]],10)</f>
        <v>2010</v>
      </c>
      <c r="D4423" t="s">
        <v>33</v>
      </c>
      <c r="E4423" t="s">
        <v>303</v>
      </c>
      <c r="F4423">
        <v>6</v>
      </c>
      <c r="G4423">
        <v>0</v>
      </c>
      <c r="H4423" t="s">
        <v>224</v>
      </c>
      <c r="I4423" t="s">
        <v>375</v>
      </c>
      <c r="J4423" t="s">
        <v>33</v>
      </c>
      <c r="K4423" t="b">
        <v>0</v>
      </c>
      <c r="L4423">
        <v>2013</v>
      </c>
      <c r="M4423">
        <v>55819262374</v>
      </c>
      <c r="N4423">
        <v>10796782636</v>
      </c>
      <c r="O4423" t="b">
        <v>1</v>
      </c>
      <c r="P4423">
        <v>1</v>
      </c>
      <c r="Q4423" t="str" cm="1">
        <f t="array" ref="Q4423">_xlfn.IFS(Table1[[#This Row],[Wealthier_Winner]]=-1,"Wealthier Nation Loses",Table1[[#This Row],[Wealthier_Winner]]=0,"Tie",Table1[[#This Row],[Wealthier_Winner]]=1,"Wealthier Nation Wins")</f>
        <v>Wealthier Nation Wins</v>
      </c>
    </row>
    <row r="4424" spans="1:17" x14ac:dyDescent="0.2">
      <c r="A4424" s="1">
        <v>6586</v>
      </c>
      <c r="B4424" s="2">
        <v>41355</v>
      </c>
      <c r="C4424" s="7">
        <f>_xlfn.FLOOR.MATH(Table1[[#This Row],[year]],10)</f>
        <v>2010</v>
      </c>
      <c r="D4424" t="s">
        <v>15</v>
      </c>
      <c r="E4424" t="s">
        <v>47</v>
      </c>
      <c r="F4424">
        <v>5</v>
      </c>
      <c r="G4424">
        <v>0</v>
      </c>
      <c r="H4424" t="s">
        <v>224</v>
      </c>
      <c r="I4424" t="s">
        <v>261</v>
      </c>
      <c r="J4424" t="s">
        <v>15</v>
      </c>
      <c r="K4424" t="b">
        <v>0</v>
      </c>
      <c r="L4424">
        <v>2013</v>
      </c>
      <c r="M4424">
        <v>382093697077</v>
      </c>
      <c r="N4424">
        <v>30659338885</v>
      </c>
      <c r="O4424" t="b">
        <v>1</v>
      </c>
      <c r="P4424">
        <v>1</v>
      </c>
      <c r="Q4424" t="str" cm="1">
        <f t="array" ref="Q4424">_xlfn.IFS(Table1[[#This Row],[Wealthier_Winner]]=-1,"Wealthier Nation Loses",Table1[[#This Row],[Wealthier_Winner]]=0,"Tie",Table1[[#This Row],[Wealthier_Winner]]=1,"Wealthier Nation Wins")</f>
        <v>Wealthier Nation Wins</v>
      </c>
    </row>
    <row r="4425" spans="1:17" x14ac:dyDescent="0.2">
      <c r="A4425" s="1">
        <v>6587</v>
      </c>
      <c r="B4425" s="2">
        <v>41355</v>
      </c>
      <c r="C4425" s="7">
        <f>_xlfn.FLOOR.MATH(Table1[[#This Row],[year]],10)</f>
        <v>2010</v>
      </c>
      <c r="D4425" t="s">
        <v>52</v>
      </c>
      <c r="E4425" t="s">
        <v>61</v>
      </c>
      <c r="F4425">
        <v>2</v>
      </c>
      <c r="G4425">
        <v>0</v>
      </c>
      <c r="H4425" t="s">
        <v>224</v>
      </c>
      <c r="I4425" t="s">
        <v>538</v>
      </c>
      <c r="J4425" t="s">
        <v>52</v>
      </c>
      <c r="K4425" t="b">
        <v>0</v>
      </c>
      <c r="L4425">
        <v>2013</v>
      </c>
      <c r="M4425">
        <v>59846265181</v>
      </c>
      <c r="N4425">
        <v>50455529604</v>
      </c>
      <c r="O4425" t="b">
        <v>0</v>
      </c>
      <c r="P4425">
        <v>1</v>
      </c>
      <c r="Q4425" t="str" cm="1">
        <f t="array" ref="Q4425">_xlfn.IFS(Table1[[#This Row],[Wealthier_Winner]]=-1,"Wealthier Nation Loses",Table1[[#This Row],[Wealthier_Winner]]=0,"Tie",Table1[[#This Row],[Wealthier_Winner]]=1,"Wealthier Nation Wins")</f>
        <v>Wealthier Nation Wins</v>
      </c>
    </row>
    <row r="4426" spans="1:17" x14ac:dyDescent="0.2">
      <c r="A4426" s="1">
        <v>6589</v>
      </c>
      <c r="B4426" s="2">
        <v>41355</v>
      </c>
      <c r="C4426" s="7">
        <f>_xlfn.FLOOR.MATH(Table1[[#This Row],[year]],10)</f>
        <v>2010</v>
      </c>
      <c r="D4426" t="s">
        <v>20</v>
      </c>
      <c r="E4426" t="s">
        <v>534</v>
      </c>
      <c r="F4426">
        <v>3</v>
      </c>
      <c r="G4426">
        <v>1</v>
      </c>
      <c r="H4426" t="s">
        <v>224</v>
      </c>
      <c r="I4426" t="s">
        <v>132</v>
      </c>
      <c r="J4426" t="s">
        <v>20</v>
      </c>
      <c r="K4426" t="b">
        <v>0</v>
      </c>
      <c r="L4426">
        <v>2013</v>
      </c>
      <c r="M4426">
        <v>2816077607875</v>
      </c>
      <c r="N4426">
        <v>17517660143</v>
      </c>
      <c r="O4426" t="b">
        <v>1</v>
      </c>
      <c r="P4426">
        <v>1</v>
      </c>
      <c r="Q4426" t="str" cm="1">
        <f t="array" ref="Q4426">_xlfn.IFS(Table1[[#This Row],[Wealthier_Winner]]=-1,"Wealthier Nation Loses",Table1[[#This Row],[Wealthier_Winner]]=0,"Tie",Table1[[#This Row],[Wealthier_Winner]]=1,"Wealthier Nation Wins")</f>
        <v>Wealthier Nation Wins</v>
      </c>
    </row>
    <row r="4427" spans="1:17" x14ac:dyDescent="0.2">
      <c r="A4427" s="1">
        <v>6590</v>
      </c>
      <c r="B4427" s="2">
        <v>41355</v>
      </c>
      <c r="C4427" s="7">
        <f>_xlfn.FLOOR.MATH(Table1[[#This Row],[year]],10)</f>
        <v>2010</v>
      </c>
      <c r="D4427" t="s">
        <v>65</v>
      </c>
      <c r="E4427" t="s">
        <v>17</v>
      </c>
      <c r="F4427">
        <v>2</v>
      </c>
      <c r="G4427">
        <v>2</v>
      </c>
      <c r="H4427" t="s">
        <v>224</v>
      </c>
      <c r="I4427" t="s">
        <v>254</v>
      </c>
      <c r="J4427" t="s">
        <v>65</v>
      </c>
      <c r="K4427" t="b">
        <v>0</v>
      </c>
      <c r="L4427">
        <v>2013</v>
      </c>
      <c r="M4427">
        <v>18499729214</v>
      </c>
      <c r="N4427">
        <v>1327436290282</v>
      </c>
      <c r="O4427" t="b">
        <v>1</v>
      </c>
      <c r="P4427">
        <v>0</v>
      </c>
      <c r="Q4427" t="str" cm="1">
        <f t="array" ref="Q4427">_xlfn.IFS(Table1[[#This Row],[Wealthier_Winner]]=-1,"Wealthier Nation Loses",Table1[[#This Row],[Wealthier_Winner]]=0,"Tie",Table1[[#This Row],[Wealthier_Winner]]=1,"Wealthier Nation Wins")</f>
        <v>Tie</v>
      </c>
    </row>
    <row r="4428" spans="1:17" x14ac:dyDescent="0.2">
      <c r="A4428" s="1">
        <v>6591</v>
      </c>
      <c r="B4428" s="2">
        <v>41355</v>
      </c>
      <c r="C4428" s="7">
        <f>_xlfn.FLOOR.MATH(Table1[[#This Row],[year]],10)</f>
        <v>2010</v>
      </c>
      <c r="D4428" t="s">
        <v>30</v>
      </c>
      <c r="E4428" t="s">
        <v>44</v>
      </c>
      <c r="F4428">
        <v>2</v>
      </c>
      <c r="G4428">
        <v>2</v>
      </c>
      <c r="H4428" t="s">
        <v>224</v>
      </c>
      <c r="I4428" t="s">
        <v>297</v>
      </c>
      <c r="J4428" t="s">
        <v>30</v>
      </c>
      <c r="K4428" t="b">
        <v>0</v>
      </c>
      <c r="L4428">
        <v>2013</v>
      </c>
      <c r="M4428">
        <v>135646053778</v>
      </c>
      <c r="N4428">
        <v>189798603751</v>
      </c>
      <c r="O4428" t="b">
        <v>0</v>
      </c>
      <c r="P4428">
        <v>0</v>
      </c>
      <c r="Q4428" t="str" cm="1">
        <f t="array" ref="Q4428">_xlfn.IFS(Table1[[#This Row],[Wealthier_Winner]]=-1,"Wealthier Nation Loses",Table1[[#This Row],[Wealthier_Winner]]=0,"Tie",Table1[[#This Row],[Wealthier_Winner]]=1,"Wealthier Nation Wins")</f>
        <v>Tie</v>
      </c>
    </row>
    <row r="4429" spans="1:17" x14ac:dyDescent="0.2">
      <c r="A4429" s="1">
        <v>6592</v>
      </c>
      <c r="B4429" s="2">
        <v>41355</v>
      </c>
      <c r="C4429" s="7">
        <f>_xlfn.FLOOR.MATH(Table1[[#This Row],[year]],10)</f>
        <v>2010</v>
      </c>
      <c r="D4429" t="s">
        <v>22</v>
      </c>
      <c r="E4429" t="s">
        <v>38</v>
      </c>
      <c r="F4429">
        <v>3</v>
      </c>
      <c r="G4429">
        <v>3</v>
      </c>
      <c r="H4429" t="s">
        <v>224</v>
      </c>
      <c r="I4429" t="s">
        <v>239</v>
      </c>
      <c r="J4429" t="s">
        <v>22</v>
      </c>
      <c r="K4429" t="b">
        <v>0</v>
      </c>
      <c r="L4429">
        <v>2013</v>
      </c>
      <c r="M4429">
        <v>298478070673</v>
      </c>
      <c r="N4429">
        <v>226677408291</v>
      </c>
      <c r="O4429" t="b">
        <v>0</v>
      </c>
      <c r="P4429">
        <v>0</v>
      </c>
      <c r="Q4429" t="str" cm="1">
        <f t="array" ref="Q4429">_xlfn.IFS(Table1[[#This Row],[Wealthier_Winner]]=-1,"Wealthier Nation Loses",Table1[[#This Row],[Wealthier_Winner]]=0,"Tie",Table1[[#This Row],[Wealthier_Winner]]=1,"Wealthier Nation Wins")</f>
        <v>Tie</v>
      </c>
    </row>
    <row r="4430" spans="1:17" x14ac:dyDescent="0.2">
      <c r="A4430" s="1">
        <v>6593</v>
      </c>
      <c r="B4430" s="2">
        <v>41355</v>
      </c>
      <c r="C4430" s="7">
        <f>_xlfn.FLOOR.MATH(Table1[[#This Row],[year]],10)</f>
        <v>2010</v>
      </c>
      <c r="D4430" t="s">
        <v>49</v>
      </c>
      <c r="E4430" t="s">
        <v>67</v>
      </c>
      <c r="F4430">
        <v>1</v>
      </c>
      <c r="G4430">
        <v>1</v>
      </c>
      <c r="H4430" t="s">
        <v>224</v>
      </c>
      <c r="I4430" t="s">
        <v>257</v>
      </c>
      <c r="J4430" t="s">
        <v>49</v>
      </c>
      <c r="K4430" t="b">
        <v>0</v>
      </c>
      <c r="L4430">
        <v>2013</v>
      </c>
      <c r="M4430">
        <v>14264205152</v>
      </c>
      <c r="N4430">
        <v>46949496479</v>
      </c>
      <c r="O4430" t="b">
        <v>1</v>
      </c>
      <c r="P4430">
        <v>0</v>
      </c>
      <c r="Q4430" t="str" cm="1">
        <f t="array" ref="Q4430">_xlfn.IFS(Table1[[#This Row],[Wealthier_Winner]]=-1,"Wealthier Nation Loses",Table1[[#This Row],[Wealthier_Winner]]=0,"Tie",Table1[[#This Row],[Wealthier_Winner]]=1,"Wealthier Nation Wins")</f>
        <v>Tie</v>
      </c>
    </row>
    <row r="4431" spans="1:17" x14ac:dyDescent="0.2">
      <c r="A4431" s="1">
        <v>6594</v>
      </c>
      <c r="B4431" s="2">
        <v>41355</v>
      </c>
      <c r="C4431" s="7">
        <f>_xlfn.FLOOR.MATH(Table1[[#This Row],[year]],10)</f>
        <v>2010</v>
      </c>
      <c r="D4431" t="s">
        <v>558</v>
      </c>
      <c r="E4431" t="s">
        <v>16</v>
      </c>
      <c r="F4431">
        <v>0</v>
      </c>
      <c r="G4431">
        <v>3</v>
      </c>
      <c r="H4431" t="s">
        <v>224</v>
      </c>
      <c r="I4431" t="s">
        <v>733</v>
      </c>
      <c r="J4431" t="s">
        <v>558</v>
      </c>
      <c r="K4431" t="b">
        <v>0</v>
      </c>
      <c r="L4431">
        <v>2013</v>
      </c>
      <c r="M4431">
        <v>236634603409</v>
      </c>
      <c r="N4431">
        <v>3807023797050</v>
      </c>
      <c r="O4431" t="b">
        <v>1</v>
      </c>
      <c r="P4431">
        <v>1</v>
      </c>
      <c r="Q4431" t="str" cm="1">
        <f t="array" ref="Q4431">_xlfn.IFS(Table1[[#This Row],[Wealthier_Winner]]=-1,"Wealthier Nation Loses",Table1[[#This Row],[Wealthier_Winner]]=0,"Tie",Table1[[#This Row],[Wealthier_Winner]]=1,"Wealthier Nation Wins")</f>
        <v>Wealthier Nation Wins</v>
      </c>
    </row>
    <row r="4432" spans="1:17" x14ac:dyDescent="0.2">
      <c r="A4432" s="1">
        <v>6595</v>
      </c>
      <c r="B4432" s="2">
        <v>41355</v>
      </c>
      <c r="C4432" s="7">
        <f>_xlfn.FLOOR.MATH(Table1[[#This Row],[year]],10)</f>
        <v>2010</v>
      </c>
      <c r="D4432" t="s">
        <v>503</v>
      </c>
      <c r="E4432" t="s">
        <v>525</v>
      </c>
      <c r="F4432">
        <v>1</v>
      </c>
      <c r="G4432">
        <v>1</v>
      </c>
      <c r="H4432" t="s">
        <v>224</v>
      </c>
      <c r="I4432" t="s">
        <v>603</v>
      </c>
      <c r="J4432" t="s">
        <v>503</v>
      </c>
      <c r="K4432" t="b">
        <v>0</v>
      </c>
      <c r="L4432">
        <v>2013</v>
      </c>
      <c r="M4432">
        <v>6391708310</v>
      </c>
      <c r="N4432">
        <v>29152128167</v>
      </c>
      <c r="O4432" t="b">
        <v>1</v>
      </c>
      <c r="P4432">
        <v>0</v>
      </c>
      <c r="Q4432" t="str" cm="1">
        <f t="array" ref="Q4432">_xlfn.IFS(Table1[[#This Row],[Wealthier_Winner]]=-1,"Wealthier Nation Loses",Table1[[#This Row],[Wealthier_Winner]]=0,"Tie",Table1[[#This Row],[Wealthier_Winner]]=1,"Wealthier Nation Wins")</f>
        <v>Tie</v>
      </c>
    </row>
    <row r="4433" spans="1:17" x14ac:dyDescent="0.2">
      <c r="A4433" s="1">
        <v>6596</v>
      </c>
      <c r="B4433" s="2">
        <v>41355</v>
      </c>
      <c r="C4433" s="7">
        <f>_xlfn.FLOOR.MATH(Table1[[#This Row],[year]],10)</f>
        <v>2010</v>
      </c>
      <c r="D4433" t="s">
        <v>232</v>
      </c>
      <c r="E4433" t="s">
        <v>513</v>
      </c>
      <c r="F4433">
        <v>0</v>
      </c>
      <c r="G4433">
        <v>0</v>
      </c>
      <c r="H4433" t="s">
        <v>224</v>
      </c>
      <c r="I4433" t="s">
        <v>232</v>
      </c>
      <c r="J4433" t="s">
        <v>232</v>
      </c>
      <c r="K4433" t="b">
        <v>0</v>
      </c>
      <c r="L4433">
        <v>2013</v>
      </c>
      <c r="M4433">
        <v>65203276466</v>
      </c>
      <c r="N4433">
        <v>74160560123</v>
      </c>
      <c r="O4433" t="b">
        <v>0</v>
      </c>
      <c r="P4433">
        <v>0</v>
      </c>
      <c r="Q4433" t="str" cm="1">
        <f t="array" ref="Q4433">_xlfn.IFS(Table1[[#This Row],[Wealthier_Winner]]=-1,"Wealthier Nation Loses",Table1[[#This Row],[Wealthier_Winner]]=0,"Tie",Table1[[#This Row],[Wealthier_Winner]]=1,"Wealthier Nation Wins")</f>
        <v>Tie</v>
      </c>
    </row>
    <row r="4434" spans="1:17" x14ac:dyDescent="0.2">
      <c r="A4434" s="1">
        <v>6597</v>
      </c>
      <c r="B4434" s="2">
        <v>41355</v>
      </c>
      <c r="C4434" s="7">
        <f>_xlfn.FLOOR.MATH(Table1[[#This Row],[year]],10)</f>
        <v>2010</v>
      </c>
      <c r="D4434" t="s">
        <v>502</v>
      </c>
      <c r="E4434" t="s">
        <v>23</v>
      </c>
      <c r="F4434">
        <v>0</v>
      </c>
      <c r="G4434">
        <v>2</v>
      </c>
      <c r="H4434" t="s">
        <v>224</v>
      </c>
      <c r="I4434" t="s">
        <v>504</v>
      </c>
      <c r="J4434" t="s">
        <v>502</v>
      </c>
      <c r="K4434" t="b">
        <v>0</v>
      </c>
      <c r="L4434">
        <v>2013</v>
      </c>
      <c r="M4434">
        <v>10817702346</v>
      </c>
      <c r="N4434">
        <v>524097026598</v>
      </c>
      <c r="O4434" t="b">
        <v>1</v>
      </c>
      <c r="P4434">
        <v>1</v>
      </c>
      <c r="Q4434" t="str" cm="1">
        <f t="array" ref="Q4434">_xlfn.IFS(Table1[[#This Row],[Wealthier_Winner]]=-1,"Wealthier Nation Loses",Table1[[#This Row],[Wealthier_Winner]]=0,"Tie",Table1[[#This Row],[Wealthier_Winner]]=1,"Wealthier Nation Wins")</f>
        <v>Wealthier Nation Wins</v>
      </c>
    </row>
    <row r="4435" spans="1:17" x14ac:dyDescent="0.2">
      <c r="A4435" s="1">
        <v>6598</v>
      </c>
      <c r="B4435" s="2">
        <v>41355</v>
      </c>
      <c r="C4435" s="7">
        <f>_xlfn.FLOOR.MATH(Table1[[#This Row],[year]],10)</f>
        <v>2010</v>
      </c>
      <c r="D4435" t="s">
        <v>527</v>
      </c>
      <c r="E4435" t="s">
        <v>705</v>
      </c>
      <c r="F4435">
        <v>0</v>
      </c>
      <c r="G4435">
        <v>1</v>
      </c>
      <c r="H4435" t="s">
        <v>224</v>
      </c>
      <c r="I4435" t="s">
        <v>528</v>
      </c>
      <c r="J4435" t="s">
        <v>527</v>
      </c>
      <c r="K4435" t="b">
        <v>0</v>
      </c>
      <c r="L4435">
        <v>2013</v>
      </c>
      <c r="M4435">
        <v>9496717875</v>
      </c>
      <c r="N4435">
        <v>4422097762</v>
      </c>
      <c r="O4435" t="b">
        <v>1</v>
      </c>
      <c r="P4435">
        <v>-1</v>
      </c>
      <c r="Q4435" t="str" cm="1">
        <f t="array" ref="Q4435">_xlfn.IFS(Table1[[#This Row],[Wealthier_Winner]]=-1,"Wealthier Nation Loses",Table1[[#This Row],[Wealthier_Winner]]=0,"Tie",Table1[[#This Row],[Wealthier_Winner]]=1,"Wealthier Nation Wins")</f>
        <v>Wealthier Nation Loses</v>
      </c>
    </row>
    <row r="4436" spans="1:17" x14ac:dyDescent="0.2">
      <c r="A4436" s="1">
        <v>6599</v>
      </c>
      <c r="B4436" s="2">
        <v>41355</v>
      </c>
      <c r="C4436" s="7">
        <f>_xlfn.FLOOR.MATH(Table1[[#This Row],[year]],10)</f>
        <v>2010</v>
      </c>
      <c r="D4436" t="s">
        <v>27</v>
      </c>
      <c r="E4436" t="s">
        <v>476</v>
      </c>
      <c r="F4436">
        <v>3</v>
      </c>
      <c r="G4436">
        <v>0</v>
      </c>
      <c r="H4436" t="s">
        <v>224</v>
      </c>
      <c r="I4436" t="s">
        <v>263</v>
      </c>
      <c r="J4436" t="s">
        <v>27</v>
      </c>
      <c r="K4436" t="b">
        <v>0</v>
      </c>
      <c r="L4436">
        <v>2013</v>
      </c>
      <c r="M4436">
        <v>883951539006</v>
      </c>
      <c r="N4436">
        <v>25451032780</v>
      </c>
      <c r="O4436" t="b">
        <v>1</v>
      </c>
      <c r="P4436">
        <v>1</v>
      </c>
      <c r="Q4436" t="str" cm="1">
        <f t="array" ref="Q4436">_xlfn.IFS(Table1[[#This Row],[Wealthier_Winner]]=-1,"Wealthier Nation Loses",Table1[[#This Row],[Wealthier_Winner]]=0,"Tie",Table1[[#This Row],[Wealthier_Winner]]=1,"Wealthier Nation Wins")</f>
        <v>Wealthier Nation Wins</v>
      </c>
    </row>
    <row r="4437" spans="1:17" x14ac:dyDescent="0.2">
      <c r="A4437" s="1">
        <v>6600</v>
      </c>
      <c r="B4437" s="2">
        <v>41355</v>
      </c>
      <c r="C4437" s="7">
        <f>_xlfn.FLOOR.MATH(Table1[[#This Row],[year]],10)</f>
        <v>2010</v>
      </c>
      <c r="D4437" t="s">
        <v>72</v>
      </c>
      <c r="E4437" t="s">
        <v>656</v>
      </c>
      <c r="F4437">
        <v>2</v>
      </c>
      <c r="G4437">
        <v>1</v>
      </c>
      <c r="H4437" t="s">
        <v>224</v>
      </c>
      <c r="I4437" t="s">
        <v>758</v>
      </c>
      <c r="J4437" t="s">
        <v>72</v>
      </c>
      <c r="K4437" t="b">
        <v>0</v>
      </c>
      <c r="L4437">
        <v>2013</v>
      </c>
      <c r="M4437">
        <v>191012364176</v>
      </c>
      <c r="N4437">
        <v>10151382933</v>
      </c>
      <c r="O4437" t="b">
        <v>1</v>
      </c>
      <c r="P4437">
        <v>1</v>
      </c>
      <c r="Q4437" t="str" cm="1">
        <f t="array" ref="Q4437">_xlfn.IFS(Table1[[#This Row],[Wealthier_Winner]]=-1,"Wealthier Nation Loses",Table1[[#This Row],[Wealthier_Winner]]=0,"Tie",Table1[[#This Row],[Wealthier_Winner]]=1,"Wealthier Nation Wins")</f>
        <v>Wealthier Nation Wins</v>
      </c>
    </row>
    <row r="4438" spans="1:17" x14ac:dyDescent="0.2">
      <c r="A4438" s="1">
        <v>6601</v>
      </c>
      <c r="B4438" s="2">
        <v>41355</v>
      </c>
      <c r="C4438" s="7">
        <f>_xlfn.FLOOR.MATH(Table1[[#This Row],[year]],10)</f>
        <v>2010</v>
      </c>
      <c r="D4438" t="s">
        <v>42</v>
      </c>
      <c r="E4438" t="s">
        <v>373</v>
      </c>
      <c r="F4438">
        <v>0</v>
      </c>
      <c r="G4438">
        <v>1</v>
      </c>
      <c r="H4438" t="s">
        <v>224</v>
      </c>
      <c r="I4438" t="s">
        <v>262</v>
      </c>
      <c r="J4438" t="s">
        <v>42</v>
      </c>
      <c r="K4438" t="b">
        <v>0</v>
      </c>
      <c r="L4438">
        <v>2013</v>
      </c>
      <c r="M4438">
        <v>526014468085</v>
      </c>
      <c r="N4438">
        <v>12796985886</v>
      </c>
      <c r="O4438" t="b">
        <v>1</v>
      </c>
      <c r="P4438">
        <v>-1</v>
      </c>
      <c r="Q4438" t="str" cm="1">
        <f t="array" ref="Q4438">_xlfn.IFS(Table1[[#This Row],[Wealthier_Winner]]=-1,"Wealthier Nation Loses",Table1[[#This Row],[Wealthier_Winner]]=0,"Tie",Table1[[#This Row],[Wealthier_Winner]]=1,"Wealthier Nation Wins")</f>
        <v>Wealthier Nation Loses</v>
      </c>
    </row>
    <row r="4439" spans="1:17" x14ac:dyDescent="0.2">
      <c r="A4439" s="1">
        <v>6602</v>
      </c>
      <c r="B4439" s="2">
        <v>41355</v>
      </c>
      <c r="C4439" s="7">
        <f>_xlfn.FLOOR.MATH(Table1[[#This Row],[year]],10)</f>
        <v>2010</v>
      </c>
      <c r="D4439" t="s">
        <v>31</v>
      </c>
      <c r="E4439" t="s">
        <v>14</v>
      </c>
      <c r="F4439">
        <v>1</v>
      </c>
      <c r="G4439">
        <v>0</v>
      </c>
      <c r="H4439" t="s">
        <v>224</v>
      </c>
      <c r="I4439" t="s">
        <v>242</v>
      </c>
      <c r="J4439" t="s">
        <v>31</v>
      </c>
      <c r="K4439" t="b">
        <v>0</v>
      </c>
      <c r="L4439">
        <v>2013</v>
      </c>
      <c r="M4439">
        <v>201175543571</v>
      </c>
      <c r="N4439">
        <v>277395018842</v>
      </c>
      <c r="O4439" t="b">
        <v>0</v>
      </c>
      <c r="P4439">
        <v>-1</v>
      </c>
      <c r="Q4439" t="str" cm="1">
        <f t="array" ref="Q4439">_xlfn.IFS(Table1[[#This Row],[Wealthier_Winner]]=-1,"Wealthier Nation Loses",Table1[[#This Row],[Wealthier_Winner]]=0,"Tie",Table1[[#This Row],[Wealthier_Winner]]=1,"Wealthier Nation Wins")</f>
        <v>Wealthier Nation Loses</v>
      </c>
    </row>
    <row r="4440" spans="1:17" x14ac:dyDescent="0.2">
      <c r="A4440" s="1">
        <v>6603</v>
      </c>
      <c r="B4440" s="2">
        <v>41355</v>
      </c>
      <c r="C4440" s="7">
        <f>_xlfn.FLOOR.MATH(Table1[[#This Row],[year]],10)</f>
        <v>2010</v>
      </c>
      <c r="D4440" t="s">
        <v>58</v>
      </c>
      <c r="E4440" t="s">
        <v>64</v>
      </c>
      <c r="F4440">
        <v>1</v>
      </c>
      <c r="G4440">
        <v>3</v>
      </c>
      <c r="H4440" t="s">
        <v>224</v>
      </c>
      <c r="I4440" t="s">
        <v>619</v>
      </c>
      <c r="J4440" t="s">
        <v>58</v>
      </c>
      <c r="K4440" t="b">
        <v>0</v>
      </c>
      <c r="L4440">
        <v>2013</v>
      </c>
      <c r="M4440">
        <v>518179836405</v>
      </c>
      <c r="N4440">
        <v>190498811460</v>
      </c>
      <c r="O4440" t="b">
        <v>1</v>
      </c>
      <c r="P4440">
        <v>-1</v>
      </c>
      <c r="Q4440" t="str" cm="1">
        <f t="array" ref="Q4440">_xlfn.IFS(Table1[[#This Row],[Wealthier_Winner]]=-1,"Wealthier Nation Loses",Table1[[#This Row],[Wealthier_Winner]]=0,"Tie",Table1[[#This Row],[Wealthier_Winner]]=1,"Wealthier Nation Wins")</f>
        <v>Wealthier Nation Loses</v>
      </c>
    </row>
    <row r="4441" spans="1:17" x14ac:dyDescent="0.2">
      <c r="A4441" s="1">
        <v>6604</v>
      </c>
      <c r="B4441" s="2">
        <v>41355</v>
      </c>
      <c r="C4441" s="7">
        <f>_xlfn.FLOOR.MATH(Table1[[#This Row],[year]],10)</f>
        <v>2010</v>
      </c>
      <c r="D4441" t="s">
        <v>549</v>
      </c>
      <c r="E4441" t="s">
        <v>194</v>
      </c>
      <c r="F4441">
        <v>0</v>
      </c>
      <c r="G4441">
        <v>8</v>
      </c>
      <c r="H4441" t="s">
        <v>224</v>
      </c>
      <c r="I4441" t="s">
        <v>555</v>
      </c>
      <c r="J4441" t="s">
        <v>549</v>
      </c>
      <c r="K4441" t="b">
        <v>0</v>
      </c>
      <c r="L4441">
        <v>2013</v>
      </c>
      <c r="M4441">
        <v>1678741475</v>
      </c>
      <c r="N4441">
        <v>2796908333283</v>
      </c>
      <c r="O4441" t="b">
        <v>1</v>
      </c>
      <c r="P4441">
        <v>1</v>
      </c>
      <c r="Q4441" t="str" cm="1">
        <f t="array" ref="Q4441">_xlfn.IFS(Table1[[#This Row],[Wealthier_Winner]]=-1,"Wealthier Nation Loses",Table1[[#This Row],[Wealthier_Winner]]=0,"Tie",Table1[[#This Row],[Wealthier_Winner]]=1,"Wealthier Nation Wins")</f>
        <v>Wealthier Nation Wins</v>
      </c>
    </row>
    <row r="4442" spans="1:17" x14ac:dyDescent="0.2">
      <c r="A4442" s="1">
        <v>6607</v>
      </c>
      <c r="B4442" s="2">
        <v>41355</v>
      </c>
      <c r="C4442" s="7">
        <f>_xlfn.FLOOR.MATH(Table1[[#This Row],[year]],10)</f>
        <v>2010</v>
      </c>
      <c r="D4442" t="s">
        <v>55</v>
      </c>
      <c r="E4442" t="s">
        <v>66</v>
      </c>
      <c r="F4442">
        <v>1</v>
      </c>
      <c r="G4442">
        <v>2</v>
      </c>
      <c r="H4442" t="s">
        <v>224</v>
      </c>
      <c r="I4442" t="s">
        <v>529</v>
      </c>
      <c r="J4442" t="s">
        <v>55</v>
      </c>
      <c r="K4442" t="b">
        <v>0</v>
      </c>
      <c r="L4442">
        <v>2013</v>
      </c>
      <c r="M4442">
        <v>47867056858</v>
      </c>
      <c r="N4442">
        <v>16244319958</v>
      </c>
      <c r="O4442" t="b">
        <v>1</v>
      </c>
      <c r="P4442">
        <v>-1</v>
      </c>
      <c r="Q4442" t="str" cm="1">
        <f t="array" ref="Q4442">_xlfn.IFS(Table1[[#This Row],[Wealthier_Winner]]=-1,"Wealthier Nation Loses",Table1[[#This Row],[Wealthier_Winner]]=0,"Tie",Table1[[#This Row],[Wealthier_Winner]]=1,"Wealthier Nation Wins")</f>
        <v>Wealthier Nation Loses</v>
      </c>
    </row>
    <row r="4443" spans="1:17" x14ac:dyDescent="0.2">
      <c r="A4443" s="1">
        <v>6608</v>
      </c>
      <c r="B4443" s="2">
        <v>41355</v>
      </c>
      <c r="C4443" s="7">
        <f>_xlfn.FLOOR.MATH(Table1[[#This Row],[year]],10)</f>
        <v>2010</v>
      </c>
      <c r="D4443" t="s">
        <v>21</v>
      </c>
      <c r="E4443" t="s">
        <v>230</v>
      </c>
      <c r="F4443">
        <v>1</v>
      </c>
      <c r="G4443">
        <v>1</v>
      </c>
      <c r="H4443" t="s">
        <v>224</v>
      </c>
      <c r="I4443" t="s">
        <v>394</v>
      </c>
      <c r="J4443" t="s">
        <v>21</v>
      </c>
      <c r="K4443" t="b">
        <v>0</v>
      </c>
      <c r="L4443">
        <v>2013</v>
      </c>
      <c r="M4443">
        <v>1362186923157</v>
      </c>
      <c r="N4443">
        <v>270268036626</v>
      </c>
      <c r="O4443" t="b">
        <v>1</v>
      </c>
      <c r="P4443">
        <v>0</v>
      </c>
      <c r="Q4443" t="str" cm="1">
        <f t="array" ref="Q4443">_xlfn.IFS(Table1[[#This Row],[Wealthier_Winner]]=-1,"Wealthier Nation Loses",Table1[[#This Row],[Wealthier_Winner]]=0,"Tie",Table1[[#This Row],[Wealthier_Winner]]=1,"Wealthier Nation Wins")</f>
        <v>Tie</v>
      </c>
    </row>
    <row r="4444" spans="1:17" x14ac:dyDescent="0.2">
      <c r="A4444" s="1">
        <v>6611</v>
      </c>
      <c r="B4444" s="2">
        <v>41355</v>
      </c>
      <c r="C4444" s="7">
        <f>_xlfn.FLOOR.MATH(Table1[[#This Row],[year]],10)</f>
        <v>2010</v>
      </c>
      <c r="D4444" t="s">
        <v>26</v>
      </c>
      <c r="E4444" t="s">
        <v>35</v>
      </c>
      <c r="F4444">
        <v>1</v>
      </c>
      <c r="G4444">
        <v>1</v>
      </c>
      <c r="H4444" t="s">
        <v>224</v>
      </c>
      <c r="I4444" t="s">
        <v>247</v>
      </c>
      <c r="J4444" t="s">
        <v>26</v>
      </c>
      <c r="K4444" t="b">
        <v>0</v>
      </c>
      <c r="L4444">
        <v>2013</v>
      </c>
      <c r="M4444">
        <v>61337621933</v>
      </c>
      <c r="N4444">
        <v>38501122141</v>
      </c>
      <c r="O4444" t="b">
        <v>0</v>
      </c>
      <c r="P4444">
        <v>0</v>
      </c>
      <c r="Q4444" t="str" cm="1">
        <f t="array" ref="Q4444">_xlfn.IFS(Table1[[#This Row],[Wealthier_Winner]]=-1,"Wealthier Nation Loses",Table1[[#This Row],[Wealthier_Winner]]=0,"Tie",Table1[[#This Row],[Wealthier_Winner]]=1,"Wealthier Nation Wins")</f>
        <v>Tie</v>
      </c>
    </row>
    <row r="4445" spans="1:17" x14ac:dyDescent="0.2">
      <c r="A4445" s="1">
        <v>6612</v>
      </c>
      <c r="B4445" s="2">
        <v>41355</v>
      </c>
      <c r="C4445" s="7">
        <f>_xlfn.FLOOR.MATH(Table1[[#This Row],[year]],10)</f>
        <v>2010</v>
      </c>
      <c r="D4445" t="s">
        <v>41</v>
      </c>
      <c r="E4445" t="s">
        <v>56</v>
      </c>
      <c r="F4445">
        <v>1</v>
      </c>
      <c r="G4445">
        <v>0</v>
      </c>
      <c r="H4445" t="s">
        <v>224</v>
      </c>
      <c r="I4445" t="s">
        <v>718</v>
      </c>
      <c r="J4445" t="s">
        <v>41</v>
      </c>
      <c r="K4445" t="b">
        <v>0</v>
      </c>
      <c r="L4445">
        <v>2013</v>
      </c>
      <c r="M4445">
        <v>16843190993000</v>
      </c>
      <c r="N4445">
        <v>50949668841</v>
      </c>
      <c r="O4445" t="b">
        <v>1</v>
      </c>
      <c r="P4445">
        <v>1</v>
      </c>
      <c r="Q4445" t="str" cm="1">
        <f t="array" ref="Q4445">_xlfn.IFS(Table1[[#This Row],[Wealthier_Winner]]=-1,"Wealthier Nation Loses",Table1[[#This Row],[Wealthier_Winner]]=0,"Tie",Table1[[#This Row],[Wealthier_Winner]]=1,"Wealthier Nation Wins")</f>
        <v>Wealthier Nation Wins</v>
      </c>
    </row>
    <row r="4446" spans="1:17" x14ac:dyDescent="0.2">
      <c r="A4446" s="1">
        <v>6613</v>
      </c>
      <c r="B4446" s="2">
        <v>41356</v>
      </c>
      <c r="C4446" s="7">
        <f>_xlfn.FLOOR.MATH(Table1[[#This Row],[year]],10)</f>
        <v>2010</v>
      </c>
      <c r="D4446" t="s">
        <v>345</v>
      </c>
      <c r="E4446" t="s">
        <v>343</v>
      </c>
      <c r="F4446">
        <v>4</v>
      </c>
      <c r="G4446">
        <v>0</v>
      </c>
      <c r="H4446" t="s">
        <v>224</v>
      </c>
      <c r="I4446" t="s">
        <v>347</v>
      </c>
      <c r="J4446" t="s">
        <v>345</v>
      </c>
      <c r="K4446" t="b">
        <v>0</v>
      </c>
      <c r="L4446">
        <v>2013</v>
      </c>
      <c r="M4446">
        <v>13444300485</v>
      </c>
      <c r="N4446">
        <v>10224897437</v>
      </c>
      <c r="O4446" t="b">
        <v>0</v>
      </c>
      <c r="P4446">
        <v>1</v>
      </c>
      <c r="Q4446" t="str" cm="1">
        <f t="array" ref="Q4446">_xlfn.IFS(Table1[[#This Row],[Wealthier_Winner]]=-1,"Wealthier Nation Loses",Table1[[#This Row],[Wealthier_Winner]]=0,"Tie",Table1[[#This Row],[Wealthier_Winner]]=1,"Wealthier Nation Wins")</f>
        <v>Wealthier Nation Wins</v>
      </c>
    </row>
    <row r="4447" spans="1:17" x14ac:dyDescent="0.2">
      <c r="A4447" s="1">
        <v>6614</v>
      </c>
      <c r="B4447" s="2">
        <v>41356</v>
      </c>
      <c r="C4447" s="7">
        <f>_xlfn.FLOOR.MATH(Table1[[#This Row],[year]],10)</f>
        <v>2010</v>
      </c>
      <c r="D4447" t="s">
        <v>40</v>
      </c>
      <c r="E4447" t="s">
        <v>62</v>
      </c>
      <c r="F4447">
        <v>2</v>
      </c>
      <c r="G4447">
        <v>1</v>
      </c>
      <c r="H4447" t="s">
        <v>224</v>
      </c>
      <c r="I4447" t="s">
        <v>371</v>
      </c>
      <c r="J4447" t="s">
        <v>40</v>
      </c>
      <c r="K4447" t="b">
        <v>0</v>
      </c>
      <c r="L4447">
        <v>2013</v>
      </c>
      <c r="M4447">
        <v>33728621180</v>
      </c>
      <c r="N4447">
        <v>6021729629</v>
      </c>
      <c r="O4447" t="b">
        <v>1</v>
      </c>
      <c r="P4447">
        <v>1</v>
      </c>
      <c r="Q4447" t="str" cm="1">
        <f t="array" ref="Q4447">_xlfn.IFS(Table1[[#This Row],[Wealthier_Winner]]=-1,"Wealthier Nation Loses",Table1[[#This Row],[Wealthier_Winner]]=0,"Tie",Table1[[#This Row],[Wealthier_Winner]]=1,"Wealthier Nation Wins")</f>
        <v>Wealthier Nation Wins</v>
      </c>
    </row>
    <row r="4448" spans="1:17" x14ac:dyDescent="0.2">
      <c r="A4448" s="1">
        <v>6616</v>
      </c>
      <c r="B4448" s="2">
        <v>41356</v>
      </c>
      <c r="C4448" s="7">
        <f>_xlfn.FLOOR.MATH(Table1[[#This Row],[year]],10)</f>
        <v>2010</v>
      </c>
      <c r="D4448" t="s">
        <v>351</v>
      </c>
      <c r="E4448" t="s">
        <v>46</v>
      </c>
      <c r="F4448">
        <v>0</v>
      </c>
      <c r="G4448">
        <v>0</v>
      </c>
      <c r="H4448" t="s">
        <v>224</v>
      </c>
      <c r="I4448" t="s">
        <v>381</v>
      </c>
      <c r="J4448" t="s">
        <v>351</v>
      </c>
      <c r="K4448" t="b">
        <v>0</v>
      </c>
      <c r="L4448">
        <v>2013</v>
      </c>
      <c r="M4448">
        <v>23959712860</v>
      </c>
      <c r="N4448">
        <v>706234937370</v>
      </c>
      <c r="O4448" t="b">
        <v>1</v>
      </c>
      <c r="P4448">
        <v>0</v>
      </c>
      <c r="Q4448" t="str" cm="1">
        <f t="array" ref="Q4448">_xlfn.IFS(Table1[[#This Row],[Wealthier_Winner]]=-1,"Wealthier Nation Loses",Table1[[#This Row],[Wealthier_Winner]]=0,"Tie",Table1[[#This Row],[Wealthier_Winner]]=1,"Wealthier Nation Wins")</f>
        <v>Tie</v>
      </c>
    </row>
    <row r="4449" spans="1:17" x14ac:dyDescent="0.2">
      <c r="A4449" s="1">
        <v>6618</v>
      </c>
      <c r="B4449" s="2">
        <v>41356</v>
      </c>
      <c r="C4449" s="7">
        <f>_xlfn.FLOOR.MATH(Table1[[#This Row],[year]],10)</f>
        <v>2010</v>
      </c>
      <c r="D4449" t="s">
        <v>462</v>
      </c>
      <c r="E4449" t="s">
        <v>370</v>
      </c>
      <c r="F4449">
        <v>0</v>
      </c>
      <c r="G4449">
        <v>1</v>
      </c>
      <c r="H4449" t="s">
        <v>224</v>
      </c>
      <c r="I4449" t="s">
        <v>465</v>
      </c>
      <c r="J4449" t="s">
        <v>462</v>
      </c>
      <c r="K4449" t="b">
        <v>0</v>
      </c>
      <c r="L4449">
        <v>2013</v>
      </c>
      <c r="M4449">
        <v>12043307277</v>
      </c>
      <c r="N4449">
        <v>8031571927</v>
      </c>
      <c r="O4449" t="b">
        <v>0</v>
      </c>
      <c r="P4449">
        <v>-1</v>
      </c>
      <c r="Q4449" t="str" cm="1">
        <f t="array" ref="Q4449">_xlfn.IFS(Table1[[#This Row],[Wealthier_Winner]]=-1,"Wealthier Nation Loses",Table1[[#This Row],[Wealthier_Winner]]=0,"Tie",Table1[[#This Row],[Wealthier_Winner]]=1,"Wealthier Nation Wins")</f>
        <v>Wealthier Nation Loses</v>
      </c>
    </row>
    <row r="4450" spans="1:17" x14ac:dyDescent="0.2">
      <c r="A4450" s="1">
        <v>6619</v>
      </c>
      <c r="B4450" s="2">
        <v>41356</v>
      </c>
      <c r="C4450" s="7">
        <f>_xlfn.FLOOR.MATH(Table1[[#This Row],[year]],10)</f>
        <v>2010</v>
      </c>
      <c r="D4450" t="s">
        <v>43</v>
      </c>
      <c r="E4450" t="s">
        <v>314</v>
      </c>
      <c r="F4450">
        <v>1</v>
      </c>
      <c r="G4450">
        <v>1</v>
      </c>
      <c r="H4450" t="s">
        <v>224</v>
      </c>
      <c r="I4450" t="s">
        <v>751</v>
      </c>
      <c r="J4450" t="s">
        <v>43</v>
      </c>
      <c r="K4450" t="b">
        <v>0</v>
      </c>
      <c r="L4450">
        <v>2013</v>
      </c>
      <c r="M4450">
        <v>520117180313</v>
      </c>
      <c r="N4450">
        <v>61671440407</v>
      </c>
      <c r="O4450" t="b">
        <v>1</v>
      </c>
      <c r="P4450">
        <v>0</v>
      </c>
      <c r="Q4450" t="str" cm="1">
        <f t="array" ref="Q4450">_xlfn.IFS(Table1[[#This Row],[Wealthier_Winner]]=-1,"Wealthier Nation Loses",Table1[[#This Row],[Wealthier_Winner]]=0,"Tie",Table1[[#This Row],[Wealthier_Winner]]=1,"Wealthier Nation Wins")</f>
        <v>Tie</v>
      </c>
    </row>
    <row r="4451" spans="1:17" x14ac:dyDescent="0.2">
      <c r="A4451" s="1">
        <v>6620</v>
      </c>
      <c r="B4451" s="2">
        <v>41356</v>
      </c>
      <c r="C4451" s="7">
        <f>_xlfn.FLOOR.MATH(Table1[[#This Row],[year]],10)</f>
        <v>2010</v>
      </c>
      <c r="D4451" t="s">
        <v>54</v>
      </c>
      <c r="E4451" t="s">
        <v>60</v>
      </c>
      <c r="F4451">
        <v>1</v>
      </c>
      <c r="G4451">
        <v>1</v>
      </c>
      <c r="H4451" t="s">
        <v>224</v>
      </c>
      <c r="I4451" t="s">
        <v>306</v>
      </c>
      <c r="J4451" t="s">
        <v>305</v>
      </c>
      <c r="K4451" t="b">
        <v>1</v>
      </c>
      <c r="L4451">
        <v>2013</v>
      </c>
      <c r="M4451">
        <v>18918667724</v>
      </c>
      <c r="N4451">
        <v>148845200696</v>
      </c>
      <c r="O4451" t="b">
        <v>1</v>
      </c>
      <c r="P4451">
        <v>0</v>
      </c>
      <c r="Q4451" t="str" cm="1">
        <f t="array" ref="Q4451">_xlfn.IFS(Table1[[#This Row],[Wealthier_Winner]]=-1,"Wealthier Nation Loses",Table1[[#This Row],[Wealthier_Winner]]=0,"Tie",Table1[[#This Row],[Wealthier_Winner]]=1,"Wealthier Nation Wins")</f>
        <v>Tie</v>
      </c>
    </row>
    <row r="4452" spans="1:17" x14ac:dyDescent="0.2">
      <c r="A4452" s="1">
        <v>6621</v>
      </c>
      <c r="B4452" s="2">
        <v>41356</v>
      </c>
      <c r="C4452" s="7">
        <f>_xlfn.FLOOR.MATH(Table1[[#This Row],[year]],10)</f>
        <v>2010</v>
      </c>
      <c r="D4452" t="s">
        <v>50</v>
      </c>
      <c r="E4452" t="s">
        <v>581</v>
      </c>
      <c r="F4452">
        <v>2</v>
      </c>
      <c r="G4452">
        <v>0</v>
      </c>
      <c r="H4452" t="s">
        <v>224</v>
      </c>
      <c r="I4452" t="s">
        <v>161</v>
      </c>
      <c r="J4452" t="s">
        <v>50</v>
      </c>
      <c r="K4452" t="b">
        <v>0</v>
      </c>
      <c r="L4452">
        <v>2013</v>
      </c>
      <c r="M4452">
        <v>400886013595</v>
      </c>
      <c r="N4452">
        <v>1691544110</v>
      </c>
      <c r="O4452" t="b">
        <v>1</v>
      </c>
      <c r="P4452">
        <v>1</v>
      </c>
      <c r="Q4452" t="str" cm="1">
        <f t="array" ref="Q4452">_xlfn.IFS(Table1[[#This Row],[Wealthier_Winner]]=-1,"Wealthier Nation Loses",Table1[[#This Row],[Wealthier_Winner]]=0,"Tie",Table1[[#This Row],[Wealthier_Winner]]=1,"Wealthier Nation Wins")</f>
        <v>Wealthier Nation Wins</v>
      </c>
    </row>
    <row r="4453" spans="1:17" x14ac:dyDescent="0.2">
      <c r="A4453" s="1">
        <v>6622</v>
      </c>
      <c r="B4453" s="2">
        <v>41356</v>
      </c>
      <c r="C4453" s="7">
        <f>_xlfn.FLOOR.MATH(Table1[[#This Row],[year]],10)</f>
        <v>2010</v>
      </c>
      <c r="D4453" t="s">
        <v>53</v>
      </c>
      <c r="E4453" t="s">
        <v>342</v>
      </c>
      <c r="F4453">
        <v>2</v>
      </c>
      <c r="G4453">
        <v>1</v>
      </c>
      <c r="H4453" t="s">
        <v>224</v>
      </c>
      <c r="I4453" t="s">
        <v>658</v>
      </c>
      <c r="J4453" t="s">
        <v>53</v>
      </c>
      <c r="K4453" t="b">
        <v>0</v>
      </c>
      <c r="L4453">
        <v>2013</v>
      </c>
      <c r="M4453">
        <v>48685446413</v>
      </c>
      <c r="N4453">
        <v>7502762862</v>
      </c>
      <c r="O4453" t="b">
        <v>1</v>
      </c>
      <c r="P4453">
        <v>1</v>
      </c>
      <c r="Q4453" t="str" cm="1">
        <f t="array" ref="Q4453">_xlfn.IFS(Table1[[#This Row],[Wealthier_Winner]]=-1,"Wealthier Nation Loses",Table1[[#This Row],[Wealthier_Winner]]=0,"Tie",Table1[[#This Row],[Wealthier_Winner]]=1,"Wealthier Nation Wins")</f>
        <v>Wealthier Nation Wins</v>
      </c>
    </row>
    <row r="4454" spans="1:17" x14ac:dyDescent="0.2">
      <c r="A4454" s="1">
        <v>6625</v>
      </c>
      <c r="B4454" s="2">
        <v>41357</v>
      </c>
      <c r="C4454" s="7">
        <f>_xlfn.FLOOR.MATH(Table1[[#This Row],[year]],10)</f>
        <v>2010</v>
      </c>
      <c r="D4454" t="s">
        <v>238</v>
      </c>
      <c r="E4454" t="s">
        <v>469</v>
      </c>
      <c r="F4454">
        <v>1</v>
      </c>
      <c r="G4454">
        <v>0</v>
      </c>
      <c r="H4454" t="s">
        <v>224</v>
      </c>
      <c r="I4454" t="s">
        <v>288</v>
      </c>
      <c r="J4454" t="s">
        <v>238</v>
      </c>
      <c r="K4454" t="b">
        <v>0</v>
      </c>
      <c r="L4454">
        <v>2013</v>
      </c>
      <c r="M4454">
        <v>47648276605</v>
      </c>
      <c r="N4454">
        <v>14271738933</v>
      </c>
      <c r="O4454" t="b">
        <v>1</v>
      </c>
      <c r="P4454">
        <v>1</v>
      </c>
      <c r="Q4454" t="str" cm="1">
        <f t="array" ref="Q4454">_xlfn.IFS(Table1[[#This Row],[Wealthier_Winner]]=-1,"Wealthier Nation Loses",Table1[[#This Row],[Wealthier_Winner]]=0,"Tie",Table1[[#This Row],[Wealthier_Winner]]=1,"Wealthier Nation Wins")</f>
        <v>Wealthier Nation Wins</v>
      </c>
    </row>
    <row r="4455" spans="1:17" x14ac:dyDescent="0.2">
      <c r="A4455" s="1">
        <v>6626</v>
      </c>
      <c r="B4455" s="2">
        <v>41357</v>
      </c>
      <c r="C4455" s="7">
        <f>_xlfn.FLOOR.MATH(Table1[[#This Row],[year]],10)</f>
        <v>2010</v>
      </c>
      <c r="D4455" t="s">
        <v>63</v>
      </c>
      <c r="E4455" t="s">
        <v>274</v>
      </c>
      <c r="F4455">
        <v>4</v>
      </c>
      <c r="G4455">
        <v>0</v>
      </c>
      <c r="H4455" t="s">
        <v>224</v>
      </c>
      <c r="I4455" t="s">
        <v>313</v>
      </c>
      <c r="J4455" t="s">
        <v>63</v>
      </c>
      <c r="K4455" t="b">
        <v>0</v>
      </c>
      <c r="L4455">
        <v>2013</v>
      </c>
      <c r="M4455">
        <v>62845721959</v>
      </c>
      <c r="N4455">
        <v>43024018082</v>
      </c>
      <c r="O4455" t="b">
        <v>0</v>
      </c>
      <c r="P4455">
        <v>1</v>
      </c>
      <c r="Q4455" t="str" cm="1">
        <f t="array" ref="Q4455">_xlfn.IFS(Table1[[#This Row],[Wealthier_Winner]]=-1,"Wealthier Nation Loses",Table1[[#This Row],[Wealthier_Winner]]=0,"Tie",Table1[[#This Row],[Wealthier_Winner]]=1,"Wealthier Nation Wins")</f>
        <v>Wealthier Nation Wins</v>
      </c>
    </row>
    <row r="4456" spans="1:17" x14ac:dyDescent="0.2">
      <c r="A4456" s="1">
        <v>6627</v>
      </c>
      <c r="B4456" s="2">
        <v>41357</v>
      </c>
      <c r="C4456" s="7">
        <f>_xlfn.FLOOR.MATH(Table1[[#This Row],[year]],10)</f>
        <v>2010</v>
      </c>
      <c r="D4456" t="s">
        <v>307</v>
      </c>
      <c r="E4456" t="s">
        <v>273</v>
      </c>
      <c r="F4456">
        <v>1</v>
      </c>
      <c r="G4456">
        <v>1</v>
      </c>
      <c r="H4456" t="s">
        <v>224</v>
      </c>
      <c r="I4456" t="s">
        <v>308</v>
      </c>
      <c r="J4456" t="s">
        <v>307</v>
      </c>
      <c r="K4456" t="b">
        <v>0</v>
      </c>
      <c r="L4456">
        <v>2013</v>
      </c>
      <c r="M4456">
        <v>2367112931</v>
      </c>
      <c r="N4456">
        <v>28037239462</v>
      </c>
      <c r="O4456" t="b">
        <v>1</v>
      </c>
      <c r="P4456">
        <v>0</v>
      </c>
      <c r="Q4456" t="str" cm="1">
        <f t="array" ref="Q4456">_xlfn.IFS(Table1[[#This Row],[Wealthier_Winner]]=-1,"Wealthier Nation Loses",Table1[[#This Row],[Wealthier_Winner]]=0,"Tie",Table1[[#This Row],[Wealthier_Winner]]=1,"Wealthier Nation Wins")</f>
        <v>Tie</v>
      </c>
    </row>
    <row r="4457" spans="1:17" x14ac:dyDescent="0.2">
      <c r="A4457" s="1">
        <v>6628</v>
      </c>
      <c r="B4457" s="2">
        <v>41357</v>
      </c>
      <c r="C4457" s="7">
        <f>_xlfn.FLOOR.MATH(Table1[[#This Row],[year]],10)</f>
        <v>2010</v>
      </c>
      <c r="D4457" t="s">
        <v>378</v>
      </c>
      <c r="E4457" t="s">
        <v>357</v>
      </c>
      <c r="F4457">
        <v>2</v>
      </c>
      <c r="G4457">
        <v>0</v>
      </c>
      <c r="H4457" t="s">
        <v>224</v>
      </c>
      <c r="I4457" t="s">
        <v>595</v>
      </c>
      <c r="J4457" t="s">
        <v>378</v>
      </c>
      <c r="K4457" t="b">
        <v>0</v>
      </c>
      <c r="L4457">
        <v>2013</v>
      </c>
      <c r="M4457">
        <v>3177198100</v>
      </c>
      <c r="N4457">
        <v>28915786516</v>
      </c>
      <c r="O4457" t="b">
        <v>1</v>
      </c>
      <c r="P4457">
        <v>-1</v>
      </c>
      <c r="Q4457" t="str" cm="1">
        <f t="array" ref="Q4457">_xlfn.IFS(Table1[[#This Row],[Wealthier_Winner]]=-1,"Wealthier Nation Loses",Table1[[#This Row],[Wealthier_Winner]]=0,"Tie",Table1[[#This Row],[Wealthier_Winner]]=1,"Wealthier Nation Wins")</f>
        <v>Wealthier Nation Loses</v>
      </c>
    </row>
    <row r="4458" spans="1:17" x14ac:dyDescent="0.2">
      <c r="A4458" s="1">
        <v>6629</v>
      </c>
      <c r="B4458" s="2">
        <v>41357</v>
      </c>
      <c r="C4458" s="7">
        <f>_xlfn.FLOOR.MATH(Table1[[#This Row],[year]],10)</f>
        <v>2010</v>
      </c>
      <c r="D4458" t="s">
        <v>300</v>
      </c>
      <c r="E4458" t="s">
        <v>305</v>
      </c>
      <c r="F4458">
        <v>0</v>
      </c>
      <c r="G4458">
        <v>0</v>
      </c>
      <c r="H4458" t="s">
        <v>224</v>
      </c>
      <c r="I4458" t="s">
        <v>299</v>
      </c>
      <c r="J4458" t="s">
        <v>300</v>
      </c>
      <c r="K4458" t="b">
        <v>0</v>
      </c>
      <c r="L4458">
        <v>2013</v>
      </c>
      <c r="M4458">
        <v>17198073057</v>
      </c>
      <c r="N4458">
        <v>8376613539</v>
      </c>
      <c r="O4458" t="b">
        <v>1</v>
      </c>
      <c r="P4458">
        <v>0</v>
      </c>
      <c r="Q4458" t="str" cm="1">
        <f t="array" ref="Q4458">_xlfn.IFS(Table1[[#This Row],[Wealthier_Winner]]=-1,"Wealthier Nation Loses",Table1[[#This Row],[Wealthier_Winner]]=0,"Tie",Table1[[#This Row],[Wealthier_Winner]]=1,"Wealthier Nation Wins")</f>
        <v>Tie</v>
      </c>
    </row>
    <row r="4459" spans="1:17" x14ac:dyDescent="0.2">
      <c r="A4459" s="1">
        <v>6630</v>
      </c>
      <c r="B4459" s="2">
        <v>41357</v>
      </c>
      <c r="C4459" s="7">
        <f>_xlfn.FLOOR.MATH(Table1[[#This Row],[year]],10)</f>
        <v>2010</v>
      </c>
      <c r="D4459" t="s">
        <v>514</v>
      </c>
      <c r="E4459" t="s">
        <v>590</v>
      </c>
      <c r="F4459">
        <v>1</v>
      </c>
      <c r="G4459">
        <v>2</v>
      </c>
      <c r="H4459" t="s">
        <v>224</v>
      </c>
      <c r="I4459" t="s">
        <v>515</v>
      </c>
      <c r="J4459" t="s">
        <v>514</v>
      </c>
      <c r="K4459" t="b">
        <v>0</v>
      </c>
      <c r="L4459">
        <v>2013</v>
      </c>
      <c r="M4459">
        <v>7819964030</v>
      </c>
      <c r="N4459">
        <v>15747192680</v>
      </c>
      <c r="O4459" t="b">
        <v>1</v>
      </c>
      <c r="P4459">
        <v>1</v>
      </c>
      <c r="Q4459" t="str" cm="1">
        <f t="array" ref="Q4459">_xlfn.IFS(Table1[[#This Row],[Wealthier_Winner]]=-1,"Wealthier Nation Loses",Table1[[#This Row],[Wealthier_Winner]]=0,"Tie",Table1[[#This Row],[Wealthier_Winner]]=1,"Wealthier Nation Wins")</f>
        <v>Wealthier Nation Wins</v>
      </c>
    </row>
    <row r="4460" spans="1:17" x14ac:dyDescent="0.2">
      <c r="A4460" s="1">
        <v>6631</v>
      </c>
      <c r="B4460" s="2">
        <v>41357</v>
      </c>
      <c r="C4460" s="7">
        <f>_xlfn.FLOOR.MATH(Table1[[#This Row],[year]],10)</f>
        <v>2010</v>
      </c>
      <c r="D4460" t="s">
        <v>320</v>
      </c>
      <c r="E4460" t="s">
        <v>24</v>
      </c>
      <c r="F4460">
        <v>3</v>
      </c>
      <c r="G4460">
        <v>1</v>
      </c>
      <c r="H4460" t="s">
        <v>224</v>
      </c>
      <c r="I4460" t="s">
        <v>321</v>
      </c>
      <c r="J4460" t="s">
        <v>320</v>
      </c>
      <c r="K4460" t="b">
        <v>0</v>
      </c>
      <c r="L4460">
        <v>2013</v>
      </c>
      <c r="M4460">
        <v>45648857242</v>
      </c>
      <c r="N4460">
        <v>115739287305</v>
      </c>
      <c r="O4460" t="b">
        <v>1</v>
      </c>
      <c r="P4460">
        <v>-1</v>
      </c>
      <c r="Q4460" t="str" cm="1">
        <f t="array" ref="Q4460">_xlfn.IFS(Table1[[#This Row],[Wealthier_Winner]]=-1,"Wealthier Nation Loses",Table1[[#This Row],[Wealthier_Winner]]=0,"Tie",Table1[[#This Row],[Wealthier_Winner]]=1,"Wealthier Nation Wins")</f>
        <v>Wealthier Nation Loses</v>
      </c>
    </row>
    <row r="4461" spans="1:17" x14ac:dyDescent="0.2">
      <c r="A4461" s="1">
        <v>6632</v>
      </c>
      <c r="B4461" s="2">
        <v>41359</v>
      </c>
      <c r="C4461" s="7">
        <f>_xlfn.FLOOR.MATH(Table1[[#This Row],[year]],10)</f>
        <v>2010</v>
      </c>
      <c r="D4461" t="s">
        <v>32</v>
      </c>
      <c r="E4461" t="s">
        <v>310</v>
      </c>
      <c r="F4461">
        <v>3</v>
      </c>
      <c r="G4461">
        <v>1</v>
      </c>
      <c r="H4461" t="s">
        <v>224</v>
      </c>
      <c r="I4461" t="s">
        <v>697</v>
      </c>
      <c r="J4461" t="s">
        <v>32</v>
      </c>
      <c r="K4461" t="b">
        <v>0</v>
      </c>
      <c r="L4461">
        <v>2013</v>
      </c>
      <c r="M4461">
        <v>229701430292</v>
      </c>
      <c r="N4461">
        <v>12517845123</v>
      </c>
      <c r="O4461" t="b">
        <v>1</v>
      </c>
      <c r="P4461">
        <v>1</v>
      </c>
      <c r="Q4461" t="str" cm="1">
        <f t="array" ref="Q4461">_xlfn.IFS(Table1[[#This Row],[Wealthier_Winner]]=-1,"Wealthier Nation Loses",Table1[[#This Row],[Wealthier_Winner]]=0,"Tie",Table1[[#This Row],[Wealthier_Winner]]=1,"Wealthier Nation Wins")</f>
        <v>Wealthier Nation Wins</v>
      </c>
    </row>
    <row r="4462" spans="1:17" x14ac:dyDescent="0.2">
      <c r="A4462" s="1">
        <v>6634</v>
      </c>
      <c r="B4462" s="2">
        <v>41359</v>
      </c>
      <c r="C4462" s="7">
        <f>_xlfn.FLOOR.MATH(Table1[[#This Row],[year]],10)</f>
        <v>2010</v>
      </c>
      <c r="D4462" t="s">
        <v>28</v>
      </c>
      <c r="E4462" t="s">
        <v>429</v>
      </c>
      <c r="F4462">
        <v>2</v>
      </c>
      <c r="G4462">
        <v>2</v>
      </c>
      <c r="H4462" t="s">
        <v>224</v>
      </c>
      <c r="I4462" t="s">
        <v>301</v>
      </c>
      <c r="J4462" t="s">
        <v>28</v>
      </c>
      <c r="K4462" t="b">
        <v>0</v>
      </c>
      <c r="L4462">
        <v>2013</v>
      </c>
      <c r="M4462">
        <v>1583737461925</v>
      </c>
      <c r="N4462">
        <v>89936020806</v>
      </c>
      <c r="O4462" t="b">
        <v>1</v>
      </c>
      <c r="P4462">
        <v>0</v>
      </c>
      <c r="Q4462" t="str" cm="1">
        <f t="array" ref="Q4462">_xlfn.IFS(Table1[[#This Row],[Wealthier_Winner]]=-1,"Wealthier Nation Loses",Table1[[#This Row],[Wealthier_Winner]]=0,"Tie",Table1[[#This Row],[Wealthier_Winner]]=1,"Wealthier Nation Wins")</f>
        <v>Tie</v>
      </c>
    </row>
    <row r="4463" spans="1:17" x14ac:dyDescent="0.2">
      <c r="A4463" s="1">
        <v>6635</v>
      </c>
      <c r="B4463" s="2">
        <v>41359</v>
      </c>
      <c r="C4463" s="7">
        <f>_xlfn.FLOOR.MATH(Table1[[#This Row],[year]],10)</f>
        <v>2010</v>
      </c>
      <c r="D4463" t="s">
        <v>513</v>
      </c>
      <c r="E4463" t="s">
        <v>38</v>
      </c>
      <c r="F4463">
        <v>0</v>
      </c>
      <c r="G4463">
        <v>2</v>
      </c>
      <c r="H4463" t="s">
        <v>224</v>
      </c>
      <c r="I4463" t="s">
        <v>521</v>
      </c>
      <c r="J4463" t="s">
        <v>513</v>
      </c>
      <c r="K4463" t="b">
        <v>0</v>
      </c>
      <c r="L4463">
        <v>2013</v>
      </c>
      <c r="M4463">
        <v>74160560123</v>
      </c>
      <c r="N4463">
        <v>226677408291</v>
      </c>
      <c r="O4463" t="b">
        <v>1</v>
      </c>
      <c r="P4463">
        <v>1</v>
      </c>
      <c r="Q4463" t="str" cm="1">
        <f t="array" ref="Q4463">_xlfn.IFS(Table1[[#This Row],[Wealthier_Winner]]=-1,"Wealthier Nation Loses",Table1[[#This Row],[Wealthier_Winner]]=0,"Tie",Table1[[#This Row],[Wealthier_Winner]]=1,"Wealthier Nation Wins")</f>
        <v>Wealthier Nation Wins</v>
      </c>
    </row>
    <row r="4464" spans="1:17" x14ac:dyDescent="0.2">
      <c r="A4464" s="1">
        <v>6636</v>
      </c>
      <c r="B4464" s="2">
        <v>41359</v>
      </c>
      <c r="C4464" s="7">
        <f>_xlfn.FLOOR.MATH(Table1[[#This Row],[year]],10)</f>
        <v>2010</v>
      </c>
      <c r="D4464" t="s">
        <v>23</v>
      </c>
      <c r="E4464" t="s">
        <v>502</v>
      </c>
      <c r="F4464">
        <v>1</v>
      </c>
      <c r="G4464">
        <v>0</v>
      </c>
      <c r="H4464" t="s">
        <v>224</v>
      </c>
      <c r="I4464" t="s">
        <v>235</v>
      </c>
      <c r="J4464" t="s">
        <v>23</v>
      </c>
      <c r="K4464" t="b">
        <v>0</v>
      </c>
      <c r="L4464">
        <v>2013</v>
      </c>
      <c r="M4464">
        <v>524097026598</v>
      </c>
      <c r="N4464">
        <v>10817702346</v>
      </c>
      <c r="O4464" t="b">
        <v>1</v>
      </c>
      <c r="P4464">
        <v>1</v>
      </c>
      <c r="Q4464" t="str" cm="1">
        <f t="array" ref="Q4464">_xlfn.IFS(Table1[[#This Row],[Wealthier_Winner]]=-1,"Wealthier Nation Loses",Table1[[#This Row],[Wealthier_Winner]]=0,"Tie",Table1[[#This Row],[Wealthier_Winner]]=1,"Wealthier Nation Wins")</f>
        <v>Wealthier Nation Wins</v>
      </c>
    </row>
    <row r="4465" spans="1:17" x14ac:dyDescent="0.2">
      <c r="A4465" s="1">
        <v>6637</v>
      </c>
      <c r="B4465" s="2">
        <v>41359</v>
      </c>
      <c r="C4465" s="7">
        <f>_xlfn.FLOOR.MATH(Table1[[#This Row],[year]],10)</f>
        <v>2010</v>
      </c>
      <c r="D4465" t="s">
        <v>47</v>
      </c>
      <c r="E4465" t="s">
        <v>19</v>
      </c>
      <c r="F4465">
        <v>1</v>
      </c>
      <c r="G4465">
        <v>1</v>
      </c>
      <c r="H4465" t="s">
        <v>224</v>
      </c>
      <c r="I4465" t="s">
        <v>246</v>
      </c>
      <c r="J4465" t="s">
        <v>47</v>
      </c>
      <c r="K4465" t="b">
        <v>0</v>
      </c>
      <c r="L4465">
        <v>2013</v>
      </c>
      <c r="M4465">
        <v>30659338885</v>
      </c>
      <c r="N4465">
        <v>552025140252</v>
      </c>
      <c r="O4465" t="b">
        <v>1</v>
      </c>
      <c r="P4465">
        <v>0</v>
      </c>
      <c r="Q4465" t="str" cm="1">
        <f t="array" ref="Q4465">_xlfn.IFS(Table1[[#This Row],[Wealthier_Winner]]=-1,"Wealthier Nation Loses",Table1[[#This Row],[Wealthier_Winner]]=0,"Tie",Table1[[#This Row],[Wealthier_Winner]]=1,"Wealthier Nation Wins")</f>
        <v>Tie</v>
      </c>
    </row>
    <row r="4466" spans="1:17" x14ac:dyDescent="0.2">
      <c r="A4466" s="1">
        <v>6638</v>
      </c>
      <c r="B4466" s="2">
        <v>41359</v>
      </c>
      <c r="C4466" s="7">
        <f>_xlfn.FLOOR.MATH(Table1[[#This Row],[year]],10)</f>
        <v>2010</v>
      </c>
      <c r="D4466" t="s">
        <v>14</v>
      </c>
      <c r="E4466" t="s">
        <v>26</v>
      </c>
      <c r="F4466">
        <v>2</v>
      </c>
      <c r="G4466">
        <v>0</v>
      </c>
      <c r="H4466" t="s">
        <v>224</v>
      </c>
      <c r="I4466" t="s">
        <v>75</v>
      </c>
      <c r="J4466" t="s">
        <v>14</v>
      </c>
      <c r="K4466" t="b">
        <v>0</v>
      </c>
      <c r="L4466">
        <v>2013</v>
      </c>
      <c r="M4466">
        <v>277395018842</v>
      </c>
      <c r="N4466">
        <v>61337621933</v>
      </c>
      <c r="O4466" t="b">
        <v>1</v>
      </c>
      <c r="P4466">
        <v>1</v>
      </c>
      <c r="Q4466" t="str" cm="1">
        <f t="array" ref="Q4466">_xlfn.IFS(Table1[[#This Row],[Wealthier_Winner]]=-1,"Wealthier Nation Loses",Table1[[#This Row],[Wealthier_Winner]]=0,"Tie",Table1[[#This Row],[Wealthier_Winner]]=1,"Wealthier Nation Wins")</f>
        <v>Wealthier Nation Wins</v>
      </c>
    </row>
    <row r="4467" spans="1:17" x14ac:dyDescent="0.2">
      <c r="A4467" s="1">
        <v>6639</v>
      </c>
      <c r="B4467" s="2">
        <v>41359</v>
      </c>
      <c r="C4467" s="7">
        <f>_xlfn.FLOOR.MATH(Table1[[#This Row],[year]],10)</f>
        <v>2010</v>
      </c>
      <c r="D4467" t="s">
        <v>56</v>
      </c>
      <c r="E4467" t="s">
        <v>49</v>
      </c>
      <c r="F4467">
        <v>2</v>
      </c>
      <c r="G4467">
        <v>0</v>
      </c>
      <c r="H4467" t="s">
        <v>224</v>
      </c>
      <c r="I4467" t="s">
        <v>225</v>
      </c>
      <c r="J4467" t="s">
        <v>56</v>
      </c>
      <c r="K4467" t="b">
        <v>0</v>
      </c>
      <c r="L4467">
        <v>2013</v>
      </c>
      <c r="M4467">
        <v>50949668841</v>
      </c>
      <c r="N4467">
        <v>14264205152</v>
      </c>
      <c r="O4467" t="b">
        <v>1</v>
      </c>
      <c r="P4467">
        <v>1</v>
      </c>
      <c r="Q4467" t="str" cm="1">
        <f t="array" ref="Q4467">_xlfn.IFS(Table1[[#This Row],[Wealthier_Winner]]=-1,"Wealthier Nation Loses",Table1[[#This Row],[Wealthier_Winner]]=0,"Tie",Table1[[#This Row],[Wealthier_Winner]]=1,"Wealthier Nation Wins")</f>
        <v>Wealthier Nation Wins</v>
      </c>
    </row>
    <row r="4468" spans="1:17" x14ac:dyDescent="0.2">
      <c r="A4468" s="1">
        <v>6640</v>
      </c>
      <c r="B4468" s="2">
        <v>41359</v>
      </c>
      <c r="C4468" s="7">
        <f>_xlfn.FLOOR.MATH(Table1[[#This Row],[year]],10)</f>
        <v>2010</v>
      </c>
      <c r="D4468" t="s">
        <v>36</v>
      </c>
      <c r="E4468" t="s">
        <v>33</v>
      </c>
      <c r="F4468">
        <v>1</v>
      </c>
      <c r="G4468">
        <v>1</v>
      </c>
      <c r="H4468" t="s">
        <v>224</v>
      </c>
      <c r="I4468" t="s">
        <v>264</v>
      </c>
      <c r="J4468" t="s">
        <v>36</v>
      </c>
      <c r="K4468" t="b">
        <v>0</v>
      </c>
      <c r="L4468">
        <v>2013</v>
      </c>
      <c r="M4468">
        <v>344631016965</v>
      </c>
      <c r="N4468">
        <v>55819262374</v>
      </c>
      <c r="O4468" t="b">
        <v>1</v>
      </c>
      <c r="P4468">
        <v>0</v>
      </c>
      <c r="Q4468" t="str" cm="1">
        <f t="array" ref="Q4468">_xlfn.IFS(Table1[[#This Row],[Wealthier_Winner]]=-1,"Wealthier Nation Loses",Table1[[#This Row],[Wealthier_Winner]]=0,"Tie",Table1[[#This Row],[Wealthier_Winner]]=1,"Wealthier Nation Wins")</f>
        <v>Tie</v>
      </c>
    </row>
    <row r="4469" spans="1:17" x14ac:dyDescent="0.2">
      <c r="A4469" s="1">
        <v>6641</v>
      </c>
      <c r="B4469" s="2">
        <v>41359</v>
      </c>
      <c r="C4469" s="7">
        <f>_xlfn.FLOOR.MATH(Table1[[#This Row],[year]],10)</f>
        <v>2010</v>
      </c>
      <c r="D4469" t="s">
        <v>57</v>
      </c>
      <c r="E4469" t="s">
        <v>35</v>
      </c>
      <c r="F4469">
        <v>4</v>
      </c>
      <c r="G4469">
        <v>1</v>
      </c>
      <c r="H4469" t="s">
        <v>224</v>
      </c>
      <c r="I4469" t="s">
        <v>335</v>
      </c>
      <c r="J4469" t="s">
        <v>57</v>
      </c>
      <c r="K4469" t="b">
        <v>0</v>
      </c>
      <c r="L4469">
        <v>2013</v>
      </c>
      <c r="M4469">
        <v>96570334000</v>
      </c>
      <c r="N4469">
        <v>38501122141</v>
      </c>
      <c r="O4469" t="b">
        <v>1</v>
      </c>
      <c r="P4469">
        <v>1</v>
      </c>
      <c r="Q4469" t="str" cm="1">
        <f t="array" ref="Q4469">_xlfn.IFS(Table1[[#This Row],[Wealthier_Winner]]=-1,"Wealthier Nation Loses",Table1[[#This Row],[Wealthier_Winner]]=0,"Tie",Table1[[#This Row],[Wealthier_Winner]]=1,"Wealthier Nation Wins")</f>
        <v>Wealthier Nation Wins</v>
      </c>
    </row>
    <row r="4470" spans="1:17" x14ac:dyDescent="0.2">
      <c r="A4470" s="1">
        <v>6642</v>
      </c>
      <c r="B4470" s="2">
        <v>41359</v>
      </c>
      <c r="C4470" s="7">
        <f>_xlfn.FLOOR.MATH(Table1[[#This Row],[year]],10)</f>
        <v>2010</v>
      </c>
      <c r="D4470" t="s">
        <v>212</v>
      </c>
      <c r="E4470" t="s">
        <v>298</v>
      </c>
      <c r="F4470">
        <v>2</v>
      </c>
      <c r="G4470">
        <v>1</v>
      </c>
      <c r="H4470" t="s">
        <v>224</v>
      </c>
      <c r="I4470" t="s">
        <v>594</v>
      </c>
      <c r="J4470" t="s">
        <v>212</v>
      </c>
      <c r="K4470" t="b">
        <v>0</v>
      </c>
      <c r="L4470">
        <v>2013</v>
      </c>
      <c r="M4470">
        <v>288434108527</v>
      </c>
      <c r="N4470">
        <v>19100750000</v>
      </c>
      <c r="O4470" t="b">
        <v>1</v>
      </c>
      <c r="P4470">
        <v>1</v>
      </c>
      <c r="Q4470" t="str" cm="1">
        <f t="array" ref="Q4470">_xlfn.IFS(Table1[[#This Row],[Wealthier_Winner]]=-1,"Wealthier Nation Loses",Table1[[#This Row],[Wealthier_Winner]]=0,"Tie",Table1[[#This Row],[Wealthier_Winner]]=1,"Wealthier Nation Wins")</f>
        <v>Wealthier Nation Wins</v>
      </c>
    </row>
    <row r="4471" spans="1:17" x14ac:dyDescent="0.2">
      <c r="A4471" s="1">
        <v>6643</v>
      </c>
      <c r="B4471" s="2">
        <v>41359</v>
      </c>
      <c r="C4471" s="7">
        <f>_xlfn.FLOOR.MATH(Table1[[#This Row],[year]],10)</f>
        <v>2010</v>
      </c>
      <c r="D4471" t="s">
        <v>476</v>
      </c>
      <c r="E4471" t="s">
        <v>601</v>
      </c>
      <c r="F4471">
        <v>2</v>
      </c>
      <c r="G4471">
        <v>0</v>
      </c>
      <c r="H4471" t="s">
        <v>224</v>
      </c>
      <c r="I4471" t="s">
        <v>481</v>
      </c>
      <c r="J4471" t="s">
        <v>476</v>
      </c>
      <c r="K4471" t="b">
        <v>0</v>
      </c>
      <c r="L4471">
        <v>2013</v>
      </c>
      <c r="M4471">
        <v>25451032780</v>
      </c>
      <c r="N4471">
        <v>3193513470</v>
      </c>
      <c r="O4471" t="b">
        <v>1</v>
      </c>
      <c r="P4471">
        <v>1</v>
      </c>
      <c r="Q4471" t="str" cm="1">
        <f t="array" ref="Q4471">_xlfn.IFS(Table1[[#This Row],[Wealthier_Winner]]=-1,"Wealthier Nation Loses",Table1[[#This Row],[Wealthier_Winner]]=0,"Tie",Table1[[#This Row],[Wealthier_Winner]]=1,"Wealthier Nation Wins")</f>
        <v>Wealthier Nation Wins</v>
      </c>
    </row>
    <row r="4472" spans="1:17" x14ac:dyDescent="0.2">
      <c r="A4472" s="1">
        <v>6644</v>
      </c>
      <c r="B4472" s="2">
        <v>41359</v>
      </c>
      <c r="C4472" s="7">
        <f>_xlfn.FLOOR.MATH(Table1[[#This Row],[year]],10)</f>
        <v>2010</v>
      </c>
      <c r="D4472" t="s">
        <v>20</v>
      </c>
      <c r="E4472" t="s">
        <v>21</v>
      </c>
      <c r="F4472">
        <v>0</v>
      </c>
      <c r="G4472">
        <v>1</v>
      </c>
      <c r="H4472" t="s">
        <v>224</v>
      </c>
      <c r="I4472" t="s">
        <v>132</v>
      </c>
      <c r="J4472" t="s">
        <v>20</v>
      </c>
      <c r="K4472" t="b">
        <v>0</v>
      </c>
      <c r="L4472">
        <v>2013</v>
      </c>
      <c r="M4472">
        <v>2816077607875</v>
      </c>
      <c r="N4472">
        <v>1362186923157</v>
      </c>
      <c r="O4472" t="b">
        <v>1</v>
      </c>
      <c r="P4472">
        <v>-1</v>
      </c>
      <c r="Q4472" t="str" cm="1">
        <f t="array" ref="Q4472">_xlfn.IFS(Table1[[#This Row],[Wealthier_Winner]]=-1,"Wealthier Nation Loses",Table1[[#This Row],[Wealthier_Winner]]=0,"Tie",Table1[[#This Row],[Wealthier_Winner]]=1,"Wealthier Nation Wins")</f>
        <v>Wealthier Nation Loses</v>
      </c>
    </row>
    <row r="4473" spans="1:17" x14ac:dyDescent="0.2">
      <c r="A4473" s="1">
        <v>6645</v>
      </c>
      <c r="B4473" s="2">
        <v>41359</v>
      </c>
      <c r="C4473" s="7">
        <f>_xlfn.FLOOR.MATH(Table1[[#This Row],[year]],10)</f>
        <v>2010</v>
      </c>
      <c r="D4473" t="s">
        <v>16</v>
      </c>
      <c r="E4473" t="s">
        <v>558</v>
      </c>
      <c r="F4473">
        <v>4</v>
      </c>
      <c r="G4473">
        <v>1</v>
      </c>
      <c r="H4473" t="s">
        <v>224</v>
      </c>
      <c r="I4473" t="s">
        <v>158</v>
      </c>
      <c r="J4473" t="s">
        <v>16</v>
      </c>
      <c r="K4473" t="b">
        <v>0</v>
      </c>
      <c r="L4473">
        <v>2013</v>
      </c>
      <c r="M4473">
        <v>3807023797050</v>
      </c>
      <c r="N4473">
        <v>236634603409</v>
      </c>
      <c r="O4473" t="b">
        <v>1</v>
      </c>
      <c r="P4473">
        <v>1</v>
      </c>
      <c r="Q4473" t="str" cm="1">
        <f t="array" ref="Q4473">_xlfn.IFS(Table1[[#This Row],[Wealthier_Winner]]=-1,"Wealthier Nation Loses",Table1[[#This Row],[Wealthier_Winner]]=0,"Tie",Table1[[#This Row],[Wealthier_Winner]]=1,"Wealthier Nation Wins")</f>
        <v>Wealthier Nation Wins</v>
      </c>
    </row>
    <row r="4474" spans="1:17" x14ac:dyDescent="0.2">
      <c r="A4474" s="1">
        <v>6647</v>
      </c>
      <c r="B4474" s="2">
        <v>41359</v>
      </c>
      <c r="C4474" s="7">
        <f>_xlfn.FLOOR.MATH(Table1[[#This Row],[year]],10)</f>
        <v>2010</v>
      </c>
      <c r="D4474" t="s">
        <v>403</v>
      </c>
      <c r="E4474" t="s">
        <v>51</v>
      </c>
      <c r="F4474">
        <v>2</v>
      </c>
      <c r="G4474">
        <v>1</v>
      </c>
      <c r="H4474" t="s">
        <v>224</v>
      </c>
      <c r="I4474" t="s">
        <v>404</v>
      </c>
      <c r="J4474" t="s">
        <v>403</v>
      </c>
      <c r="K4474" t="b">
        <v>0</v>
      </c>
      <c r="L4474">
        <v>2013</v>
      </c>
      <c r="M4474">
        <v>34454440140</v>
      </c>
      <c r="N4474">
        <v>5212328181166</v>
      </c>
      <c r="O4474" t="b">
        <v>1</v>
      </c>
      <c r="P4474">
        <v>-1</v>
      </c>
      <c r="Q4474" t="str" cm="1">
        <f t="array" ref="Q4474">_xlfn.IFS(Table1[[#This Row],[Wealthier_Winner]]=-1,"Wealthier Nation Loses",Table1[[#This Row],[Wealthier_Winner]]=0,"Tie",Table1[[#This Row],[Wealthier_Winner]]=1,"Wealthier Nation Wins")</f>
        <v>Wealthier Nation Loses</v>
      </c>
    </row>
    <row r="4475" spans="1:17" x14ac:dyDescent="0.2">
      <c r="A4475" s="1">
        <v>6648</v>
      </c>
      <c r="B4475" s="2">
        <v>41359</v>
      </c>
      <c r="C4475" s="7">
        <f>_xlfn.FLOOR.MATH(Table1[[#This Row],[year]],10)</f>
        <v>2010</v>
      </c>
      <c r="D4475" t="s">
        <v>195</v>
      </c>
      <c r="E4475" t="s">
        <v>68</v>
      </c>
      <c r="F4475">
        <v>2</v>
      </c>
      <c r="G4475">
        <v>1</v>
      </c>
      <c r="H4475" t="s">
        <v>224</v>
      </c>
      <c r="I4475" t="s">
        <v>136</v>
      </c>
      <c r="J4475" t="s">
        <v>195</v>
      </c>
      <c r="K4475" t="b">
        <v>0</v>
      </c>
      <c r="L4475">
        <v>2013</v>
      </c>
      <c r="M4475">
        <v>1434669686501</v>
      </c>
      <c r="N4475">
        <v>198727747252</v>
      </c>
      <c r="O4475" t="b">
        <v>1</v>
      </c>
      <c r="P4475">
        <v>1</v>
      </c>
      <c r="Q4475" t="str" cm="1">
        <f t="array" ref="Q4475">_xlfn.IFS(Table1[[#This Row],[Wealthier_Winner]]=-1,"Wealthier Nation Loses",Table1[[#This Row],[Wealthier_Winner]]=0,"Tie",Table1[[#This Row],[Wealthier_Winner]]=1,"Wealthier Nation Wins")</f>
        <v>Wealthier Nation Wins</v>
      </c>
    </row>
    <row r="4476" spans="1:17" x14ac:dyDescent="0.2">
      <c r="A4476" s="1">
        <v>6649</v>
      </c>
      <c r="B4476" s="2">
        <v>41359</v>
      </c>
      <c r="C4476" s="7">
        <f>_xlfn.FLOOR.MATH(Table1[[#This Row],[year]],10)</f>
        <v>2010</v>
      </c>
      <c r="D4476" t="s">
        <v>303</v>
      </c>
      <c r="E4476" t="s">
        <v>18</v>
      </c>
      <c r="F4476">
        <v>0</v>
      </c>
      <c r="G4476">
        <v>2</v>
      </c>
      <c r="H4476" t="s">
        <v>224</v>
      </c>
      <c r="I4476" t="s">
        <v>399</v>
      </c>
      <c r="J4476" t="s">
        <v>303</v>
      </c>
      <c r="K4476" t="b">
        <v>0</v>
      </c>
      <c r="L4476">
        <v>2013</v>
      </c>
      <c r="M4476">
        <v>10796782636</v>
      </c>
      <c r="N4476">
        <v>2153225581941</v>
      </c>
      <c r="O4476" t="b">
        <v>1</v>
      </c>
      <c r="P4476">
        <v>1</v>
      </c>
      <c r="Q4476" t="str" cm="1">
        <f t="array" ref="Q4476">_xlfn.IFS(Table1[[#This Row],[Wealthier_Winner]]=-1,"Wealthier Nation Loses",Table1[[#This Row],[Wealthier_Winner]]=0,"Tie",Table1[[#This Row],[Wealthier_Winner]]=1,"Wealthier Nation Wins")</f>
        <v>Wealthier Nation Wins</v>
      </c>
    </row>
    <row r="4477" spans="1:17" x14ac:dyDescent="0.2">
      <c r="A4477" s="1">
        <v>6650</v>
      </c>
      <c r="B4477" s="2">
        <v>41359</v>
      </c>
      <c r="C4477" s="7">
        <f>_xlfn.FLOOR.MATH(Table1[[#This Row],[year]],10)</f>
        <v>2010</v>
      </c>
      <c r="D4477" t="s">
        <v>17</v>
      </c>
      <c r="E4477" t="s">
        <v>41</v>
      </c>
      <c r="F4477">
        <v>0</v>
      </c>
      <c r="G4477">
        <v>0</v>
      </c>
      <c r="H4477" t="s">
        <v>224</v>
      </c>
      <c r="I4477" t="s">
        <v>83</v>
      </c>
      <c r="J4477" t="s">
        <v>17</v>
      </c>
      <c r="K4477" t="b">
        <v>0</v>
      </c>
      <c r="L4477">
        <v>2013</v>
      </c>
      <c r="M4477">
        <v>1327436290282</v>
      </c>
      <c r="N4477">
        <v>16843190993000</v>
      </c>
      <c r="O4477" t="b">
        <v>1</v>
      </c>
      <c r="P4477">
        <v>0</v>
      </c>
      <c r="Q4477" t="str" cm="1">
        <f t="array" ref="Q4477">_xlfn.IFS(Table1[[#This Row],[Wealthier_Winner]]=-1,"Wealthier Nation Loses",Table1[[#This Row],[Wealthier_Winner]]=0,"Tie",Table1[[#This Row],[Wealthier_Winner]]=1,"Wealthier Nation Wins")</f>
        <v>Tie</v>
      </c>
    </row>
    <row r="4478" spans="1:17" x14ac:dyDescent="0.2">
      <c r="A4478" s="1">
        <v>6651</v>
      </c>
      <c r="B4478" s="2">
        <v>41359</v>
      </c>
      <c r="C4478" s="7">
        <f>_xlfn.FLOOR.MATH(Table1[[#This Row],[year]],10)</f>
        <v>2010</v>
      </c>
      <c r="D4478" t="s">
        <v>705</v>
      </c>
      <c r="E4478" t="s">
        <v>194</v>
      </c>
      <c r="F4478">
        <v>1</v>
      </c>
      <c r="G4478">
        <v>1</v>
      </c>
      <c r="H4478" t="s">
        <v>224</v>
      </c>
      <c r="I4478" t="s">
        <v>706</v>
      </c>
      <c r="J4478" t="s">
        <v>705</v>
      </c>
      <c r="K4478" t="b">
        <v>0</v>
      </c>
      <c r="L4478">
        <v>2013</v>
      </c>
      <c r="M4478">
        <v>4422097762</v>
      </c>
      <c r="N4478">
        <v>2796908333283</v>
      </c>
      <c r="O4478" t="b">
        <v>1</v>
      </c>
      <c r="P4478">
        <v>0</v>
      </c>
      <c r="Q4478" t="str" cm="1">
        <f t="array" ref="Q4478">_xlfn.IFS(Table1[[#This Row],[Wealthier_Winner]]=-1,"Wealthier Nation Loses",Table1[[#This Row],[Wealthier_Winner]]=0,"Tie",Table1[[#This Row],[Wealthier_Winner]]=1,"Wealthier Nation Wins")</f>
        <v>Tie</v>
      </c>
    </row>
    <row r="4479" spans="1:17" x14ac:dyDescent="0.2">
      <c r="A4479" s="1">
        <v>6652</v>
      </c>
      <c r="B4479" s="2">
        <v>41359</v>
      </c>
      <c r="C4479" s="7">
        <f>_xlfn.FLOOR.MATH(Table1[[#This Row],[year]],10)</f>
        <v>2010</v>
      </c>
      <c r="D4479" t="s">
        <v>27</v>
      </c>
      <c r="E4479" t="s">
        <v>44</v>
      </c>
      <c r="F4479">
        <v>4</v>
      </c>
      <c r="G4479">
        <v>0</v>
      </c>
      <c r="H4479" t="s">
        <v>224</v>
      </c>
      <c r="I4479" t="s">
        <v>263</v>
      </c>
      <c r="J4479" t="s">
        <v>27</v>
      </c>
      <c r="K4479" t="b">
        <v>0</v>
      </c>
      <c r="L4479">
        <v>2013</v>
      </c>
      <c r="M4479">
        <v>883951539006</v>
      </c>
      <c r="N4479">
        <v>189798603751</v>
      </c>
      <c r="O4479" t="b">
        <v>1</v>
      </c>
      <c r="P4479">
        <v>1</v>
      </c>
      <c r="Q4479" t="str" cm="1">
        <f t="array" ref="Q4479">_xlfn.IFS(Table1[[#This Row],[Wealthier_Winner]]=-1,"Wealthier Nation Loses",Table1[[#This Row],[Wealthier_Winner]]=0,"Tie",Table1[[#This Row],[Wealthier_Winner]]=1,"Wealthier Nation Wins")</f>
        <v>Wealthier Nation Wins</v>
      </c>
    </row>
    <row r="4480" spans="1:17" x14ac:dyDescent="0.2">
      <c r="A4480" s="1">
        <v>6655</v>
      </c>
      <c r="B4480" s="2">
        <v>41359</v>
      </c>
      <c r="C4480" s="7">
        <f>_xlfn.FLOOR.MATH(Table1[[#This Row],[year]],10)</f>
        <v>2010</v>
      </c>
      <c r="D4480" t="s">
        <v>67</v>
      </c>
      <c r="E4480" t="s">
        <v>65</v>
      </c>
      <c r="F4480">
        <v>2</v>
      </c>
      <c r="G4480">
        <v>0</v>
      </c>
      <c r="H4480" t="s">
        <v>224</v>
      </c>
      <c r="I4480" t="s">
        <v>455</v>
      </c>
      <c r="J4480" t="s">
        <v>67</v>
      </c>
      <c r="K4480" t="b">
        <v>0</v>
      </c>
      <c r="L4480">
        <v>2013</v>
      </c>
      <c r="M4480">
        <v>46949496479</v>
      </c>
      <c r="N4480">
        <v>18499729214</v>
      </c>
      <c r="O4480" t="b">
        <v>1</v>
      </c>
      <c r="P4480">
        <v>1</v>
      </c>
      <c r="Q4480" t="str" cm="1">
        <f t="array" ref="Q4480">_xlfn.IFS(Table1[[#This Row],[Wealthier_Winner]]=-1,"Wealthier Nation Loses",Table1[[#This Row],[Wealthier_Winner]]=0,"Tie",Table1[[#This Row],[Wealthier_Winner]]=1,"Wealthier Nation Wins")</f>
        <v>Wealthier Nation Wins</v>
      </c>
    </row>
    <row r="4481" spans="1:17" x14ac:dyDescent="0.2">
      <c r="A4481" s="1">
        <v>6656</v>
      </c>
      <c r="B4481" s="2">
        <v>41359</v>
      </c>
      <c r="C4481" s="7">
        <f>_xlfn.FLOOR.MATH(Table1[[#This Row],[year]],10)</f>
        <v>2010</v>
      </c>
      <c r="D4481" t="s">
        <v>58</v>
      </c>
      <c r="E4481" t="s">
        <v>549</v>
      </c>
      <c r="F4481">
        <v>5</v>
      </c>
      <c r="G4481">
        <v>0</v>
      </c>
      <c r="H4481" t="s">
        <v>224</v>
      </c>
      <c r="I4481" t="s">
        <v>619</v>
      </c>
      <c r="J4481" t="s">
        <v>58</v>
      </c>
      <c r="K4481" t="b">
        <v>0</v>
      </c>
      <c r="L4481">
        <v>2013</v>
      </c>
      <c r="M4481">
        <v>518179836405</v>
      </c>
      <c r="N4481">
        <v>1678741475</v>
      </c>
      <c r="O4481" t="b">
        <v>1</v>
      </c>
      <c r="P4481">
        <v>1</v>
      </c>
      <c r="Q4481" t="str" cm="1">
        <f t="array" ref="Q4481">_xlfn.IFS(Table1[[#This Row],[Wealthier_Winner]]=-1,"Wealthier Nation Loses",Table1[[#This Row],[Wealthier_Winner]]=0,"Tie",Table1[[#This Row],[Wealthier_Winner]]=1,"Wealthier Nation Wins")</f>
        <v>Wealthier Nation Wins</v>
      </c>
    </row>
    <row r="4482" spans="1:17" x14ac:dyDescent="0.2">
      <c r="A4482" s="1">
        <v>6658</v>
      </c>
      <c r="B4482" s="2">
        <v>41359</v>
      </c>
      <c r="C4482" s="7">
        <f>_xlfn.FLOOR.MATH(Table1[[#This Row],[year]],10)</f>
        <v>2010</v>
      </c>
      <c r="D4482" t="s">
        <v>456</v>
      </c>
      <c r="E4482" t="s">
        <v>72</v>
      </c>
      <c r="F4482">
        <v>0</v>
      </c>
      <c r="G4482">
        <v>2</v>
      </c>
      <c r="H4482" t="s">
        <v>224</v>
      </c>
      <c r="I4482" t="s">
        <v>457</v>
      </c>
      <c r="J4482" t="s">
        <v>456</v>
      </c>
      <c r="K4482" t="b">
        <v>0</v>
      </c>
      <c r="L4482">
        <v>2013</v>
      </c>
      <c r="M4482">
        <v>1285905957</v>
      </c>
      <c r="N4482">
        <v>191012364176</v>
      </c>
      <c r="O4482" t="b">
        <v>1</v>
      </c>
      <c r="P4482">
        <v>1</v>
      </c>
      <c r="Q4482" t="str" cm="1">
        <f t="array" ref="Q4482">_xlfn.IFS(Table1[[#This Row],[Wealthier_Winner]]=-1,"Wealthier Nation Loses",Table1[[#This Row],[Wealthier_Winner]]=0,"Tie",Table1[[#This Row],[Wealthier_Winner]]=1,"Wealthier Nation Wins")</f>
        <v>Wealthier Nation Wins</v>
      </c>
    </row>
    <row r="4483" spans="1:17" x14ac:dyDescent="0.2">
      <c r="A4483" s="1">
        <v>6660</v>
      </c>
      <c r="B4483" s="2">
        <v>41359</v>
      </c>
      <c r="C4483" s="7">
        <f>_xlfn.FLOOR.MATH(Table1[[#This Row],[year]],10)</f>
        <v>2010</v>
      </c>
      <c r="D4483" t="s">
        <v>64</v>
      </c>
      <c r="E4483" t="s">
        <v>527</v>
      </c>
      <c r="F4483">
        <v>2</v>
      </c>
      <c r="G4483">
        <v>1</v>
      </c>
      <c r="H4483" t="s">
        <v>224</v>
      </c>
      <c r="I4483" t="s">
        <v>759</v>
      </c>
      <c r="J4483" t="s">
        <v>64</v>
      </c>
      <c r="K4483" t="b">
        <v>0</v>
      </c>
      <c r="L4483">
        <v>2013</v>
      </c>
      <c r="M4483">
        <v>190498811460</v>
      </c>
      <c r="N4483">
        <v>9496717875</v>
      </c>
      <c r="O4483" t="b">
        <v>1</v>
      </c>
      <c r="P4483">
        <v>1</v>
      </c>
      <c r="Q4483" t="str" cm="1">
        <f t="array" ref="Q4483">_xlfn.IFS(Table1[[#This Row],[Wealthier_Winner]]=-1,"Wealthier Nation Loses",Table1[[#This Row],[Wealthier_Winner]]=0,"Tie",Table1[[#This Row],[Wealthier_Winner]]=1,"Wealthier Nation Wins")</f>
        <v>Wealthier Nation Wins</v>
      </c>
    </row>
    <row r="4484" spans="1:17" x14ac:dyDescent="0.2">
      <c r="A4484" s="1">
        <v>6661</v>
      </c>
      <c r="B4484" s="2">
        <v>41359</v>
      </c>
      <c r="C4484" s="7">
        <f>_xlfn.FLOOR.MATH(Table1[[#This Row],[year]],10)</f>
        <v>2010</v>
      </c>
      <c r="D4484" t="s">
        <v>563</v>
      </c>
      <c r="E4484" t="s">
        <v>479</v>
      </c>
      <c r="F4484">
        <v>1</v>
      </c>
      <c r="G4484">
        <v>0</v>
      </c>
      <c r="H4484" t="s">
        <v>224</v>
      </c>
      <c r="I4484" t="s">
        <v>564</v>
      </c>
      <c r="J4484" t="s">
        <v>563</v>
      </c>
      <c r="K4484" t="b">
        <v>0</v>
      </c>
      <c r="L4484">
        <v>2013</v>
      </c>
      <c r="M4484">
        <v>73180037914</v>
      </c>
      <c r="N4484">
        <v>46880103080</v>
      </c>
      <c r="O4484" t="b">
        <v>0</v>
      </c>
      <c r="P4484">
        <v>1</v>
      </c>
      <c r="Q4484" t="str" cm="1">
        <f t="array" ref="Q4484">_xlfn.IFS(Table1[[#This Row],[Wealthier_Winner]]=-1,"Wealthier Nation Loses",Table1[[#This Row],[Wealthier_Winner]]=0,"Tie",Table1[[#This Row],[Wealthier_Winner]]=1,"Wealthier Nation Wins")</f>
        <v>Wealthier Nation Wins</v>
      </c>
    </row>
    <row r="4485" spans="1:17" x14ac:dyDescent="0.2">
      <c r="A4485" s="1">
        <v>6662</v>
      </c>
      <c r="B4485" s="2">
        <v>41359</v>
      </c>
      <c r="C4485" s="7">
        <f>_xlfn.FLOOR.MATH(Table1[[#This Row],[year]],10)</f>
        <v>2010</v>
      </c>
      <c r="D4485" t="s">
        <v>258</v>
      </c>
      <c r="E4485" t="s">
        <v>15</v>
      </c>
      <c r="F4485">
        <v>1</v>
      </c>
      <c r="G4485">
        <v>0</v>
      </c>
      <c r="H4485" t="s">
        <v>224</v>
      </c>
      <c r="I4485" t="s">
        <v>487</v>
      </c>
      <c r="J4485" t="s">
        <v>258</v>
      </c>
      <c r="K4485" t="b">
        <v>0</v>
      </c>
      <c r="L4485">
        <v>2013</v>
      </c>
      <c r="M4485">
        <v>258930655486</v>
      </c>
      <c r="N4485">
        <v>382093697077</v>
      </c>
      <c r="O4485" t="b">
        <v>0</v>
      </c>
      <c r="P4485">
        <v>-1</v>
      </c>
      <c r="Q4485" t="str" cm="1">
        <f t="array" ref="Q4485">_xlfn.IFS(Table1[[#This Row],[Wealthier_Winner]]=-1,"Wealthier Nation Loses",Table1[[#This Row],[Wealthier_Winner]]=0,"Tie",Table1[[#This Row],[Wealthier_Winner]]=1,"Wealthier Nation Wins")</f>
        <v>Wealthier Nation Loses</v>
      </c>
    </row>
    <row r="4486" spans="1:17" x14ac:dyDescent="0.2">
      <c r="A4486" s="1">
        <v>6664</v>
      </c>
      <c r="B4486" s="2">
        <v>41429</v>
      </c>
      <c r="C4486" s="7">
        <f>_xlfn.FLOOR.MATH(Table1[[#This Row],[year]],10)</f>
        <v>2010</v>
      </c>
      <c r="D4486" t="s">
        <v>49</v>
      </c>
      <c r="E4486" t="s">
        <v>17</v>
      </c>
      <c r="F4486">
        <v>0</v>
      </c>
      <c r="G4486">
        <v>1</v>
      </c>
      <c r="H4486" t="s">
        <v>224</v>
      </c>
      <c r="I4486" t="s">
        <v>257</v>
      </c>
      <c r="J4486" t="s">
        <v>49</v>
      </c>
      <c r="K4486" t="b">
        <v>0</v>
      </c>
      <c r="L4486">
        <v>2013</v>
      </c>
      <c r="M4486">
        <v>14264205152</v>
      </c>
      <c r="N4486">
        <v>1327436290282</v>
      </c>
      <c r="O4486" t="b">
        <v>1</v>
      </c>
      <c r="P4486">
        <v>1</v>
      </c>
      <c r="Q4486" t="str" cm="1">
        <f t="array" ref="Q4486">_xlfn.IFS(Table1[[#This Row],[Wealthier_Winner]]=-1,"Wealthier Nation Loses",Table1[[#This Row],[Wealthier_Winner]]=0,"Tie",Table1[[#This Row],[Wealthier_Winner]]=1,"Wealthier Nation Wins")</f>
        <v>Wealthier Nation Wins</v>
      </c>
    </row>
    <row r="4487" spans="1:17" x14ac:dyDescent="0.2">
      <c r="A4487" s="1">
        <v>6665</v>
      </c>
      <c r="B4487" s="2">
        <v>41429</v>
      </c>
      <c r="C4487" s="7">
        <f>_xlfn.FLOOR.MATH(Table1[[#This Row],[year]],10)</f>
        <v>2010</v>
      </c>
      <c r="D4487" t="s">
        <v>51</v>
      </c>
      <c r="E4487" t="s">
        <v>28</v>
      </c>
      <c r="F4487">
        <v>1</v>
      </c>
      <c r="G4487">
        <v>1</v>
      </c>
      <c r="H4487" t="s">
        <v>224</v>
      </c>
      <c r="I4487" t="s">
        <v>143</v>
      </c>
      <c r="J4487" t="s">
        <v>51</v>
      </c>
      <c r="K4487" t="b">
        <v>0</v>
      </c>
      <c r="L4487">
        <v>2013</v>
      </c>
      <c r="M4487">
        <v>5212328181166</v>
      </c>
      <c r="N4487">
        <v>1583737461925</v>
      </c>
      <c r="O4487" t="b">
        <v>1</v>
      </c>
      <c r="P4487">
        <v>0</v>
      </c>
      <c r="Q4487" t="str" cm="1">
        <f t="array" ref="Q4487">_xlfn.IFS(Table1[[#This Row],[Wealthier_Winner]]=-1,"Wealthier Nation Loses",Table1[[#This Row],[Wealthier_Winner]]=0,"Tie",Table1[[#This Row],[Wealthier_Winner]]=1,"Wealthier Nation Wins")</f>
        <v>Tie</v>
      </c>
    </row>
    <row r="4488" spans="1:17" x14ac:dyDescent="0.2">
      <c r="A4488" s="1">
        <v>6666</v>
      </c>
      <c r="B4488" s="2">
        <v>41429</v>
      </c>
      <c r="C4488" s="7">
        <f>_xlfn.FLOOR.MATH(Table1[[#This Row],[year]],10)</f>
        <v>2010</v>
      </c>
      <c r="D4488" t="s">
        <v>479</v>
      </c>
      <c r="E4488" t="s">
        <v>195</v>
      </c>
      <c r="F4488">
        <v>1</v>
      </c>
      <c r="G4488">
        <v>1</v>
      </c>
      <c r="H4488" t="s">
        <v>224</v>
      </c>
      <c r="I4488" t="s">
        <v>480</v>
      </c>
      <c r="J4488" t="s">
        <v>479</v>
      </c>
      <c r="K4488" t="b">
        <v>0</v>
      </c>
      <c r="L4488">
        <v>2013</v>
      </c>
      <c r="M4488">
        <v>46880103080</v>
      </c>
      <c r="N4488">
        <v>1434669686501</v>
      </c>
      <c r="O4488" t="b">
        <v>1</v>
      </c>
      <c r="P4488">
        <v>0</v>
      </c>
      <c r="Q4488" t="str" cm="1">
        <f t="array" ref="Q4488">_xlfn.IFS(Table1[[#This Row],[Wealthier_Winner]]=-1,"Wealthier Nation Loses",Table1[[#This Row],[Wealthier_Winner]]=0,"Tie",Table1[[#This Row],[Wealthier_Winner]]=1,"Wealthier Nation Wins")</f>
        <v>Tie</v>
      </c>
    </row>
    <row r="4489" spans="1:17" x14ac:dyDescent="0.2">
      <c r="A4489" s="1">
        <v>6667</v>
      </c>
      <c r="B4489" s="2">
        <v>41429</v>
      </c>
      <c r="C4489" s="7">
        <f>_xlfn.FLOOR.MATH(Table1[[#This Row],[year]],10)</f>
        <v>2010</v>
      </c>
      <c r="D4489" t="s">
        <v>429</v>
      </c>
      <c r="E4489" t="s">
        <v>37</v>
      </c>
      <c r="F4489">
        <v>1</v>
      </c>
      <c r="G4489">
        <v>0</v>
      </c>
      <c r="H4489" t="s">
        <v>224</v>
      </c>
      <c r="I4489" t="s">
        <v>430</v>
      </c>
      <c r="J4489" t="s">
        <v>429</v>
      </c>
      <c r="K4489" t="b">
        <v>0</v>
      </c>
      <c r="L4489">
        <v>2013</v>
      </c>
      <c r="M4489">
        <v>89936020806</v>
      </c>
      <c r="N4489">
        <v>234637675128</v>
      </c>
      <c r="O4489" t="b">
        <v>1</v>
      </c>
      <c r="P4489">
        <v>-1</v>
      </c>
      <c r="Q4489" t="str" cm="1">
        <f t="array" ref="Q4489">_xlfn.IFS(Table1[[#This Row],[Wealthier_Winner]]=-1,"Wealthier Nation Loses",Table1[[#This Row],[Wealthier_Winner]]=0,"Tie",Table1[[#This Row],[Wealthier_Winner]]=1,"Wealthier Nation Wins")</f>
        <v>Wealthier Nation Loses</v>
      </c>
    </row>
    <row r="4490" spans="1:17" x14ac:dyDescent="0.2">
      <c r="A4490" s="1">
        <v>6668</v>
      </c>
      <c r="B4490" s="2">
        <v>41429</v>
      </c>
      <c r="C4490" s="7">
        <f>_xlfn.FLOOR.MATH(Table1[[#This Row],[year]],10)</f>
        <v>2010</v>
      </c>
      <c r="D4490" t="s">
        <v>68</v>
      </c>
      <c r="E4490" t="s">
        <v>210</v>
      </c>
      <c r="F4490">
        <v>0</v>
      </c>
      <c r="G4490">
        <v>1</v>
      </c>
      <c r="H4490" t="s">
        <v>224</v>
      </c>
      <c r="I4490" t="s">
        <v>190</v>
      </c>
      <c r="J4490" t="s">
        <v>68</v>
      </c>
      <c r="K4490" t="b">
        <v>0</v>
      </c>
      <c r="L4490">
        <v>2013</v>
      </c>
      <c r="M4490">
        <v>198727747252</v>
      </c>
      <c r="N4490">
        <v>500399839839</v>
      </c>
      <c r="O4490" t="b">
        <v>1</v>
      </c>
      <c r="P4490">
        <v>1</v>
      </c>
      <c r="Q4490" t="str" cm="1">
        <f t="array" ref="Q4490">_xlfn.IFS(Table1[[#This Row],[Wealthier_Winner]]=-1,"Wealthier Nation Loses",Table1[[#This Row],[Wealthier_Winner]]=0,"Tie",Table1[[#This Row],[Wealthier_Winner]]=1,"Wealthier Nation Wins")</f>
        <v>Wealthier Nation Wins</v>
      </c>
    </row>
    <row r="4491" spans="1:17" x14ac:dyDescent="0.2">
      <c r="A4491" s="1">
        <v>6669</v>
      </c>
      <c r="B4491" s="2">
        <v>41430</v>
      </c>
      <c r="C4491" s="7">
        <f>_xlfn.FLOOR.MATH(Table1[[#This Row],[year]],10)</f>
        <v>2010</v>
      </c>
      <c r="D4491" t="s">
        <v>314</v>
      </c>
      <c r="E4491" t="s">
        <v>43</v>
      </c>
      <c r="F4491">
        <v>0</v>
      </c>
      <c r="G4491">
        <v>1</v>
      </c>
      <c r="H4491" t="s">
        <v>224</v>
      </c>
      <c r="I4491" t="s">
        <v>315</v>
      </c>
      <c r="J4491" t="s">
        <v>314</v>
      </c>
      <c r="K4491" t="b">
        <v>0</v>
      </c>
      <c r="L4491">
        <v>2013</v>
      </c>
      <c r="M4491">
        <v>61671440407</v>
      </c>
      <c r="N4491">
        <v>520117180313</v>
      </c>
      <c r="O4491" t="b">
        <v>1</v>
      </c>
      <c r="P4491">
        <v>1</v>
      </c>
      <c r="Q4491" t="str" cm="1">
        <f t="array" ref="Q4491">_xlfn.IFS(Table1[[#This Row],[Wealthier_Winner]]=-1,"Wealthier Nation Loses",Table1[[#This Row],[Wealthier_Winner]]=0,"Tie",Table1[[#This Row],[Wealthier_Winner]]=1,"Wealthier Nation Wins")</f>
        <v>Wealthier Nation Wins</v>
      </c>
    </row>
    <row r="4492" spans="1:17" x14ac:dyDescent="0.2">
      <c r="A4492" s="1">
        <v>6670</v>
      </c>
      <c r="B4492" s="2">
        <v>41430</v>
      </c>
      <c r="C4492" s="7">
        <f>_xlfn.FLOOR.MATH(Table1[[#This Row],[year]],10)</f>
        <v>2010</v>
      </c>
      <c r="D4492" t="s">
        <v>370</v>
      </c>
      <c r="E4492" t="s">
        <v>462</v>
      </c>
      <c r="F4492">
        <v>0</v>
      </c>
      <c r="G4492">
        <v>0</v>
      </c>
      <c r="H4492" t="s">
        <v>224</v>
      </c>
      <c r="I4492" t="s">
        <v>372</v>
      </c>
      <c r="J4492" t="s">
        <v>370</v>
      </c>
      <c r="K4492" t="b">
        <v>0</v>
      </c>
      <c r="L4492">
        <v>2013</v>
      </c>
      <c r="M4492">
        <v>8031571927</v>
      </c>
      <c r="N4492">
        <v>12043307277</v>
      </c>
      <c r="O4492" t="b">
        <v>0</v>
      </c>
      <c r="P4492">
        <v>0</v>
      </c>
      <c r="Q4492" t="str" cm="1">
        <f t="array" ref="Q4492">_xlfn.IFS(Table1[[#This Row],[Wealthier_Winner]]=-1,"Wealthier Nation Loses",Table1[[#This Row],[Wealthier_Winner]]=0,"Tie",Table1[[#This Row],[Wealthier_Winner]]=1,"Wealthier Nation Wins")</f>
        <v>Tie</v>
      </c>
    </row>
    <row r="4493" spans="1:17" x14ac:dyDescent="0.2">
      <c r="A4493" s="1">
        <v>6671</v>
      </c>
      <c r="B4493" s="2">
        <v>41432</v>
      </c>
      <c r="C4493" s="7">
        <f>_xlfn.FLOOR.MATH(Table1[[#This Row],[year]],10)</f>
        <v>2010</v>
      </c>
      <c r="D4493" t="s">
        <v>373</v>
      </c>
      <c r="E4493" t="s">
        <v>42</v>
      </c>
      <c r="F4493">
        <v>1</v>
      </c>
      <c r="G4493">
        <v>1</v>
      </c>
      <c r="H4493" t="s">
        <v>224</v>
      </c>
      <c r="I4493" t="s">
        <v>374</v>
      </c>
      <c r="J4493" t="s">
        <v>373</v>
      </c>
      <c r="K4493" t="b">
        <v>0</v>
      </c>
      <c r="L4493">
        <v>2013</v>
      </c>
      <c r="M4493">
        <v>12796985886</v>
      </c>
      <c r="N4493">
        <v>526014468085</v>
      </c>
      <c r="O4493" t="b">
        <v>1</v>
      </c>
      <c r="P4493">
        <v>0</v>
      </c>
      <c r="Q4493" t="str" cm="1">
        <f t="array" ref="Q4493">_xlfn.IFS(Table1[[#This Row],[Wealthier_Winner]]=-1,"Wealthier Nation Loses",Table1[[#This Row],[Wealthier_Winner]]=0,"Tie",Table1[[#This Row],[Wealthier_Winner]]=1,"Wealthier Nation Wins")</f>
        <v>Tie</v>
      </c>
    </row>
    <row r="4494" spans="1:17" x14ac:dyDescent="0.2">
      <c r="A4494" s="1">
        <v>6672</v>
      </c>
      <c r="B4494" s="2">
        <v>41432</v>
      </c>
      <c r="C4494" s="7">
        <f>_xlfn.FLOOR.MATH(Table1[[#This Row],[year]],10)</f>
        <v>2010</v>
      </c>
      <c r="D4494" t="s">
        <v>19</v>
      </c>
      <c r="E4494" t="s">
        <v>15</v>
      </c>
      <c r="F4494">
        <v>0</v>
      </c>
      <c r="G4494">
        <v>0</v>
      </c>
      <c r="H4494" t="s">
        <v>224</v>
      </c>
      <c r="I4494" t="s">
        <v>93</v>
      </c>
      <c r="J4494" t="s">
        <v>19</v>
      </c>
      <c r="K4494" t="b">
        <v>0</v>
      </c>
      <c r="L4494">
        <v>2013</v>
      </c>
      <c r="M4494">
        <v>552025140252</v>
      </c>
      <c r="N4494">
        <v>382093697077</v>
      </c>
      <c r="O4494" t="b">
        <v>0</v>
      </c>
      <c r="P4494">
        <v>0</v>
      </c>
      <c r="Q4494" t="str" cm="1">
        <f t="array" ref="Q4494">_xlfn.IFS(Table1[[#This Row],[Wealthier_Winner]]=-1,"Wealthier Nation Loses",Table1[[#This Row],[Wealthier_Winner]]=0,"Tie",Table1[[#This Row],[Wealthier_Winner]]=1,"Wealthier Nation Wins")</f>
        <v>Tie</v>
      </c>
    </row>
    <row r="4495" spans="1:17" x14ac:dyDescent="0.2">
      <c r="A4495" s="1">
        <v>6673</v>
      </c>
      <c r="B4495" s="2">
        <v>41432</v>
      </c>
      <c r="C4495" s="7">
        <f>_xlfn.FLOOR.MATH(Table1[[#This Row],[year]],10)</f>
        <v>2010</v>
      </c>
      <c r="D4495" t="s">
        <v>519</v>
      </c>
      <c r="E4495" t="s">
        <v>303</v>
      </c>
      <c r="F4495">
        <v>0</v>
      </c>
      <c r="G4495">
        <v>1</v>
      </c>
      <c r="H4495" t="s">
        <v>224</v>
      </c>
      <c r="I4495" t="s">
        <v>520</v>
      </c>
      <c r="J4495" t="s">
        <v>519</v>
      </c>
      <c r="K4495" t="b">
        <v>0</v>
      </c>
      <c r="L4495">
        <v>2013</v>
      </c>
      <c r="M4495">
        <v>11121464437</v>
      </c>
      <c r="N4495">
        <v>10796782636</v>
      </c>
      <c r="O4495" t="b">
        <v>0</v>
      </c>
      <c r="P4495">
        <v>-1</v>
      </c>
      <c r="Q4495" t="str" cm="1">
        <f t="array" ref="Q4495">_xlfn.IFS(Table1[[#This Row],[Wealthier_Winner]]=-1,"Wealthier Nation Loses",Table1[[#This Row],[Wealthier_Winner]]=0,"Tie",Table1[[#This Row],[Wealthier_Winner]]=1,"Wealthier Nation Wins")</f>
        <v>Wealthier Nation Loses</v>
      </c>
    </row>
    <row r="4496" spans="1:17" x14ac:dyDescent="0.2">
      <c r="A4496" s="1">
        <v>6674</v>
      </c>
      <c r="B4496" s="2">
        <v>41432</v>
      </c>
      <c r="C4496" s="7">
        <f>_xlfn.FLOOR.MATH(Table1[[#This Row],[year]],10)</f>
        <v>2010</v>
      </c>
      <c r="D4496" t="s">
        <v>29</v>
      </c>
      <c r="E4496" t="s">
        <v>25</v>
      </c>
      <c r="F4496">
        <v>2</v>
      </c>
      <c r="G4496">
        <v>1</v>
      </c>
      <c r="H4496" t="s">
        <v>224</v>
      </c>
      <c r="I4496" t="s">
        <v>270</v>
      </c>
      <c r="J4496" t="s">
        <v>29</v>
      </c>
      <c r="K4496" t="b">
        <v>0</v>
      </c>
      <c r="L4496">
        <v>2013</v>
      </c>
      <c r="M4496">
        <v>426580502769</v>
      </c>
      <c r="N4496">
        <v>584125353119</v>
      </c>
      <c r="O4496" t="b">
        <v>0</v>
      </c>
      <c r="P4496">
        <v>-1</v>
      </c>
      <c r="Q4496" t="str" cm="1">
        <f t="array" ref="Q4496">_xlfn.IFS(Table1[[#This Row],[Wealthier_Winner]]=-1,"Wealthier Nation Loses",Table1[[#This Row],[Wealthier_Winner]]=0,"Tie",Table1[[#This Row],[Wealthier_Winner]]=1,"Wealthier Nation Wins")</f>
        <v>Wealthier Nation Loses</v>
      </c>
    </row>
    <row r="4497" spans="1:17" x14ac:dyDescent="0.2">
      <c r="A4497" s="1">
        <v>6675</v>
      </c>
      <c r="B4497" s="2">
        <v>41432</v>
      </c>
      <c r="C4497" s="7">
        <f>_xlfn.FLOOR.MATH(Table1[[#This Row],[year]],10)</f>
        <v>2010</v>
      </c>
      <c r="D4497" t="s">
        <v>513</v>
      </c>
      <c r="E4497" t="s">
        <v>232</v>
      </c>
      <c r="F4497">
        <v>1</v>
      </c>
      <c r="G4497">
        <v>1</v>
      </c>
      <c r="H4497" t="s">
        <v>224</v>
      </c>
      <c r="I4497" t="s">
        <v>521</v>
      </c>
      <c r="J4497" t="s">
        <v>513</v>
      </c>
      <c r="K4497" t="b">
        <v>0</v>
      </c>
      <c r="L4497">
        <v>2013</v>
      </c>
      <c r="M4497">
        <v>74160560123</v>
      </c>
      <c r="N4497">
        <v>65203276466</v>
      </c>
      <c r="O4497" t="b">
        <v>0</v>
      </c>
      <c r="P4497">
        <v>0</v>
      </c>
      <c r="Q4497" t="str" cm="1">
        <f t="array" ref="Q4497">_xlfn.IFS(Table1[[#This Row],[Wealthier_Winner]]=-1,"Wealthier Nation Loses",Table1[[#This Row],[Wealthier_Winner]]=0,"Tie",Table1[[#This Row],[Wealthier_Winner]]=1,"Wealthier Nation Wins")</f>
        <v>Tie</v>
      </c>
    </row>
    <row r="4498" spans="1:17" x14ac:dyDescent="0.2">
      <c r="A4498" s="1">
        <v>6676</v>
      </c>
      <c r="B4498" s="2">
        <v>41432</v>
      </c>
      <c r="C4498" s="7">
        <f>_xlfn.FLOOR.MATH(Table1[[#This Row],[year]],10)</f>
        <v>2010</v>
      </c>
      <c r="D4498" t="s">
        <v>23</v>
      </c>
      <c r="E4498" t="s">
        <v>61</v>
      </c>
      <c r="F4498">
        <v>2</v>
      </c>
      <c r="G4498">
        <v>1</v>
      </c>
      <c r="H4498" t="s">
        <v>224</v>
      </c>
      <c r="I4498" t="s">
        <v>235</v>
      </c>
      <c r="J4498" t="s">
        <v>23</v>
      </c>
      <c r="K4498" t="b">
        <v>0</v>
      </c>
      <c r="L4498">
        <v>2013</v>
      </c>
      <c r="M4498">
        <v>524097026598</v>
      </c>
      <c r="N4498">
        <v>50455529604</v>
      </c>
      <c r="O4498" t="b">
        <v>1</v>
      </c>
      <c r="P4498">
        <v>1</v>
      </c>
      <c r="Q4498" t="str" cm="1">
        <f t="array" ref="Q4498">_xlfn.IFS(Table1[[#This Row],[Wealthier_Winner]]=-1,"Wealthier Nation Loses",Table1[[#This Row],[Wealthier_Winner]]=0,"Tie",Table1[[#This Row],[Wealthier_Winner]]=1,"Wealthier Nation Wins")</f>
        <v>Wealthier Nation Wins</v>
      </c>
    </row>
    <row r="4499" spans="1:17" x14ac:dyDescent="0.2">
      <c r="A4499" s="1">
        <v>6677</v>
      </c>
      <c r="B4499" s="2">
        <v>41432</v>
      </c>
      <c r="C4499" s="7">
        <f>_xlfn.FLOOR.MATH(Table1[[#This Row],[year]],10)</f>
        <v>2010</v>
      </c>
      <c r="D4499" t="s">
        <v>47</v>
      </c>
      <c r="E4499" t="s">
        <v>258</v>
      </c>
      <c r="F4499">
        <v>1</v>
      </c>
      <c r="G4499">
        <v>1</v>
      </c>
      <c r="H4499" t="s">
        <v>224</v>
      </c>
      <c r="I4499" t="s">
        <v>246</v>
      </c>
      <c r="J4499" t="s">
        <v>47</v>
      </c>
      <c r="K4499" t="b">
        <v>0</v>
      </c>
      <c r="L4499">
        <v>2013</v>
      </c>
      <c r="M4499">
        <v>30659338885</v>
      </c>
      <c r="N4499">
        <v>258930655486</v>
      </c>
      <c r="O4499" t="b">
        <v>1</v>
      </c>
      <c r="P4499">
        <v>0</v>
      </c>
      <c r="Q4499" t="str" cm="1">
        <f t="array" ref="Q4499">_xlfn.IFS(Table1[[#This Row],[Wealthier_Winner]]=-1,"Wealthier Nation Loses",Table1[[#This Row],[Wealthier_Winner]]=0,"Tie",Table1[[#This Row],[Wealthier_Winner]]=1,"Wealthier Nation Wins")</f>
        <v>Tie</v>
      </c>
    </row>
    <row r="4500" spans="1:17" x14ac:dyDescent="0.2">
      <c r="A4500" s="1">
        <v>6678</v>
      </c>
      <c r="B4500" s="2">
        <v>41432</v>
      </c>
      <c r="C4500" s="7">
        <f>_xlfn.FLOOR.MATH(Table1[[#This Row],[year]],10)</f>
        <v>2010</v>
      </c>
      <c r="D4500" t="s">
        <v>56</v>
      </c>
      <c r="E4500" t="s">
        <v>65</v>
      </c>
      <c r="F4500">
        <v>1</v>
      </c>
      <c r="G4500">
        <v>0</v>
      </c>
      <c r="H4500" t="s">
        <v>224</v>
      </c>
      <c r="I4500" t="s">
        <v>225</v>
      </c>
      <c r="J4500" t="s">
        <v>56</v>
      </c>
      <c r="K4500" t="b">
        <v>0</v>
      </c>
      <c r="L4500">
        <v>2013</v>
      </c>
      <c r="M4500">
        <v>50949668841</v>
      </c>
      <c r="N4500">
        <v>18499729214</v>
      </c>
      <c r="O4500" t="b">
        <v>1</v>
      </c>
      <c r="P4500">
        <v>1</v>
      </c>
      <c r="Q4500" t="str" cm="1">
        <f t="array" ref="Q4500">_xlfn.IFS(Table1[[#This Row],[Wealthier_Winner]]=-1,"Wealthier Nation Loses",Table1[[#This Row],[Wealthier_Winner]]=0,"Tie",Table1[[#This Row],[Wealthier_Winner]]=1,"Wealthier Nation Wins")</f>
        <v>Wealthier Nation Wins</v>
      </c>
    </row>
    <row r="4501" spans="1:17" x14ac:dyDescent="0.2">
      <c r="A4501" s="1">
        <v>6681</v>
      </c>
      <c r="B4501" s="2">
        <v>41432</v>
      </c>
      <c r="C4501" s="7">
        <f>_xlfn.FLOOR.MATH(Table1[[#This Row],[year]],10)</f>
        <v>2010</v>
      </c>
      <c r="D4501" t="s">
        <v>230</v>
      </c>
      <c r="E4501" t="s">
        <v>510</v>
      </c>
      <c r="F4501">
        <v>1</v>
      </c>
      <c r="G4501">
        <v>0</v>
      </c>
      <c r="H4501" t="s">
        <v>224</v>
      </c>
      <c r="I4501" t="s">
        <v>231</v>
      </c>
      <c r="J4501" t="s">
        <v>230</v>
      </c>
      <c r="K4501" t="b">
        <v>0</v>
      </c>
      <c r="L4501">
        <v>2013</v>
      </c>
      <c r="M4501">
        <v>270268036626</v>
      </c>
      <c r="N4501">
        <v>75527558966</v>
      </c>
      <c r="O4501" t="b">
        <v>1</v>
      </c>
      <c r="P4501">
        <v>1</v>
      </c>
      <c r="Q4501" t="str" cm="1">
        <f t="array" ref="Q4501">_xlfn.IFS(Table1[[#This Row],[Wealthier_Winner]]=-1,"Wealthier Nation Loses",Table1[[#This Row],[Wealthier_Winner]]=0,"Tie",Table1[[#This Row],[Wealthier_Winner]]=1,"Wealthier Nation Wins")</f>
        <v>Wealthier Nation Wins</v>
      </c>
    </row>
    <row r="4502" spans="1:17" x14ac:dyDescent="0.2">
      <c r="A4502" s="1">
        <v>6682</v>
      </c>
      <c r="B4502" s="2">
        <v>41432</v>
      </c>
      <c r="C4502" s="7">
        <f>_xlfn.FLOOR.MATH(Table1[[#This Row],[year]],10)</f>
        <v>2010</v>
      </c>
      <c r="D4502" t="s">
        <v>66</v>
      </c>
      <c r="E4502" t="s">
        <v>55</v>
      </c>
      <c r="F4502">
        <v>2</v>
      </c>
      <c r="G4502">
        <v>4</v>
      </c>
      <c r="H4502" t="s">
        <v>224</v>
      </c>
      <c r="I4502" t="s">
        <v>336</v>
      </c>
      <c r="J4502" t="s">
        <v>66</v>
      </c>
      <c r="K4502" t="b">
        <v>0</v>
      </c>
      <c r="L4502">
        <v>2013</v>
      </c>
      <c r="M4502">
        <v>16244319958</v>
      </c>
      <c r="N4502">
        <v>47867056858</v>
      </c>
      <c r="O4502" t="b">
        <v>1</v>
      </c>
      <c r="P4502">
        <v>1</v>
      </c>
      <c r="Q4502" t="str" cm="1">
        <f t="array" ref="Q4502">_xlfn.IFS(Table1[[#This Row],[Wealthier_Winner]]=-1,"Wealthier Nation Loses",Table1[[#This Row],[Wealthier_Winner]]=0,"Tie",Table1[[#This Row],[Wealthier_Winner]]=1,"Wealthier Nation Wins")</f>
        <v>Wealthier Nation Wins</v>
      </c>
    </row>
    <row r="4503" spans="1:17" x14ac:dyDescent="0.2">
      <c r="A4503" s="1">
        <v>6684</v>
      </c>
      <c r="B4503" s="2">
        <v>41432</v>
      </c>
      <c r="C4503" s="7">
        <f>_xlfn.FLOOR.MATH(Table1[[#This Row],[year]],10)</f>
        <v>2010</v>
      </c>
      <c r="D4503" t="s">
        <v>49</v>
      </c>
      <c r="E4503" t="s">
        <v>41</v>
      </c>
      <c r="F4503">
        <v>1</v>
      </c>
      <c r="G4503">
        <v>2</v>
      </c>
      <c r="H4503" t="s">
        <v>224</v>
      </c>
      <c r="I4503" t="s">
        <v>257</v>
      </c>
      <c r="J4503" t="s">
        <v>49</v>
      </c>
      <c r="K4503" t="b">
        <v>0</v>
      </c>
      <c r="L4503">
        <v>2013</v>
      </c>
      <c r="M4503">
        <v>14264205152</v>
      </c>
      <c r="N4503">
        <v>16843190993000</v>
      </c>
      <c r="O4503" t="b">
        <v>1</v>
      </c>
      <c r="P4503">
        <v>1</v>
      </c>
      <c r="Q4503" t="str" cm="1">
        <f t="array" ref="Q4503">_xlfn.IFS(Table1[[#This Row],[Wealthier_Winner]]=-1,"Wealthier Nation Loses",Table1[[#This Row],[Wealthier_Winner]]=0,"Tie",Table1[[#This Row],[Wealthier_Winner]]=1,"Wealthier Nation Wins")</f>
        <v>Wealthier Nation Wins</v>
      </c>
    </row>
    <row r="4504" spans="1:17" x14ac:dyDescent="0.2">
      <c r="A4504" s="1">
        <v>6685</v>
      </c>
      <c r="B4504" s="2">
        <v>41432</v>
      </c>
      <c r="C4504" s="7">
        <f>_xlfn.FLOOR.MATH(Table1[[#This Row],[year]],10)</f>
        <v>2010</v>
      </c>
      <c r="D4504" t="s">
        <v>525</v>
      </c>
      <c r="E4504" t="s">
        <v>73</v>
      </c>
      <c r="F4504">
        <v>0</v>
      </c>
      <c r="G4504">
        <v>5</v>
      </c>
      <c r="H4504" t="s">
        <v>224</v>
      </c>
      <c r="I4504" t="s">
        <v>526</v>
      </c>
      <c r="J4504" t="s">
        <v>525</v>
      </c>
      <c r="K4504" t="b">
        <v>0</v>
      </c>
      <c r="L4504">
        <v>2013</v>
      </c>
      <c r="M4504">
        <v>29152128167</v>
      </c>
      <c r="N4504">
        <v>18179109209</v>
      </c>
      <c r="O4504" t="b">
        <v>0</v>
      </c>
      <c r="P4504">
        <v>-1</v>
      </c>
      <c r="Q4504" t="str" cm="1">
        <f t="array" ref="Q4504">_xlfn.IFS(Table1[[#This Row],[Wealthier_Winner]]=-1,"Wealthier Nation Loses",Table1[[#This Row],[Wealthier_Winner]]=0,"Tie",Table1[[#This Row],[Wealthier_Winner]]=1,"Wealthier Nation Wins")</f>
        <v>Wealthier Nation Loses</v>
      </c>
    </row>
    <row r="4505" spans="1:17" x14ac:dyDescent="0.2">
      <c r="A4505" s="1">
        <v>6688</v>
      </c>
      <c r="B4505" s="2">
        <v>41432</v>
      </c>
      <c r="C4505" s="7">
        <f>_xlfn.FLOOR.MATH(Table1[[#This Row],[year]],10)</f>
        <v>2010</v>
      </c>
      <c r="D4505" t="s">
        <v>523</v>
      </c>
      <c r="E4505" t="s">
        <v>48</v>
      </c>
      <c r="F4505">
        <v>0</v>
      </c>
      <c r="G4505">
        <v>1</v>
      </c>
      <c r="H4505" t="s">
        <v>224</v>
      </c>
      <c r="I4505" t="s">
        <v>533</v>
      </c>
      <c r="J4505" t="s">
        <v>523</v>
      </c>
      <c r="K4505" t="b">
        <v>0</v>
      </c>
      <c r="L4505">
        <v>2013</v>
      </c>
      <c r="M4505">
        <v>46303660422</v>
      </c>
      <c r="N4505">
        <v>236556279640</v>
      </c>
      <c r="O4505" t="b">
        <v>1</v>
      </c>
      <c r="P4505">
        <v>1</v>
      </c>
      <c r="Q4505" t="str" cm="1">
        <f t="array" ref="Q4505">_xlfn.IFS(Table1[[#This Row],[Wealthier_Winner]]=-1,"Wealthier Nation Loses",Table1[[#This Row],[Wealthier_Winner]]=0,"Tie",Table1[[#This Row],[Wealthier_Winner]]=1,"Wealthier Nation Wins")</f>
        <v>Wealthier Nation Wins</v>
      </c>
    </row>
    <row r="4506" spans="1:17" x14ac:dyDescent="0.2">
      <c r="A4506" s="1">
        <v>6689</v>
      </c>
      <c r="B4506" s="2">
        <v>41432</v>
      </c>
      <c r="C4506" s="7">
        <f>_xlfn.FLOOR.MATH(Table1[[#This Row],[year]],10)</f>
        <v>2010</v>
      </c>
      <c r="D4506" t="s">
        <v>527</v>
      </c>
      <c r="E4506" t="s">
        <v>58</v>
      </c>
      <c r="F4506">
        <v>1</v>
      </c>
      <c r="G4506">
        <v>1</v>
      </c>
      <c r="H4506" t="s">
        <v>224</v>
      </c>
      <c r="I4506" t="s">
        <v>528</v>
      </c>
      <c r="J4506" t="s">
        <v>527</v>
      </c>
      <c r="K4506" t="b">
        <v>0</v>
      </c>
      <c r="L4506">
        <v>2013</v>
      </c>
      <c r="M4506">
        <v>9496717875</v>
      </c>
      <c r="N4506">
        <v>518179836405</v>
      </c>
      <c r="O4506" t="b">
        <v>1</v>
      </c>
      <c r="P4506">
        <v>0</v>
      </c>
      <c r="Q4506" t="str" cm="1">
        <f t="array" ref="Q4506">_xlfn.IFS(Table1[[#This Row],[Wealthier_Winner]]=-1,"Wealthier Nation Loses",Table1[[#This Row],[Wealthier_Winner]]=0,"Tie",Table1[[#This Row],[Wealthier_Winner]]=1,"Wealthier Nation Wins")</f>
        <v>Tie</v>
      </c>
    </row>
    <row r="4507" spans="1:17" x14ac:dyDescent="0.2">
      <c r="A4507" s="1">
        <v>6690</v>
      </c>
      <c r="B4507" s="2">
        <v>41432</v>
      </c>
      <c r="C4507" s="7">
        <f>_xlfn.FLOOR.MATH(Table1[[#This Row],[year]],10)</f>
        <v>2010</v>
      </c>
      <c r="D4507" t="s">
        <v>705</v>
      </c>
      <c r="E4507" t="s">
        <v>64</v>
      </c>
      <c r="F4507">
        <v>0</v>
      </c>
      <c r="G4507">
        <v>4</v>
      </c>
      <c r="H4507" t="s">
        <v>224</v>
      </c>
      <c r="I4507" t="s">
        <v>706</v>
      </c>
      <c r="J4507" t="s">
        <v>705</v>
      </c>
      <c r="K4507" t="b">
        <v>0</v>
      </c>
      <c r="L4507">
        <v>2013</v>
      </c>
      <c r="M4507">
        <v>4422097762</v>
      </c>
      <c r="N4507">
        <v>190498811460</v>
      </c>
      <c r="O4507" t="b">
        <v>1</v>
      </c>
      <c r="P4507">
        <v>1</v>
      </c>
      <c r="Q4507" t="str" cm="1">
        <f t="array" ref="Q4507">_xlfn.IFS(Table1[[#This Row],[Wealthier_Winner]]=-1,"Wealthier Nation Loses",Table1[[#This Row],[Wealthier_Winner]]=0,"Tie",Table1[[#This Row],[Wealthier_Winner]]=1,"Wealthier Nation Wins")</f>
        <v>Wealthier Nation Wins</v>
      </c>
    </row>
    <row r="4508" spans="1:17" x14ac:dyDescent="0.2">
      <c r="A4508" s="1">
        <v>6691</v>
      </c>
      <c r="B4508" s="2">
        <v>41432</v>
      </c>
      <c r="C4508" s="7">
        <f>_xlfn.FLOOR.MATH(Table1[[#This Row],[year]],10)</f>
        <v>2010</v>
      </c>
      <c r="D4508" t="s">
        <v>67</v>
      </c>
      <c r="E4508" t="s">
        <v>17</v>
      </c>
      <c r="F4508">
        <v>0</v>
      </c>
      <c r="G4508">
        <v>0</v>
      </c>
      <c r="H4508" t="s">
        <v>224</v>
      </c>
      <c r="I4508" t="s">
        <v>455</v>
      </c>
      <c r="J4508" t="s">
        <v>67</v>
      </c>
      <c r="K4508" t="b">
        <v>0</v>
      </c>
      <c r="L4508">
        <v>2013</v>
      </c>
      <c r="M4508">
        <v>46949496479</v>
      </c>
      <c r="N4508">
        <v>1327436290282</v>
      </c>
      <c r="O4508" t="b">
        <v>1</v>
      </c>
      <c r="P4508">
        <v>0</v>
      </c>
      <c r="Q4508" t="str" cm="1">
        <f t="array" ref="Q4508">_xlfn.IFS(Table1[[#This Row],[Wealthier_Winner]]=-1,"Wealthier Nation Loses",Table1[[#This Row],[Wealthier_Winner]]=0,"Tie",Table1[[#This Row],[Wealthier_Winner]]=1,"Wealthier Nation Wins")</f>
        <v>Tie</v>
      </c>
    </row>
    <row r="4509" spans="1:17" x14ac:dyDescent="0.2">
      <c r="A4509" s="1">
        <v>6692</v>
      </c>
      <c r="B4509" s="2">
        <v>41432</v>
      </c>
      <c r="C4509" s="7">
        <f>_xlfn.FLOOR.MATH(Table1[[#This Row],[year]],10)</f>
        <v>2010</v>
      </c>
      <c r="D4509" t="s">
        <v>35</v>
      </c>
      <c r="E4509" t="s">
        <v>14</v>
      </c>
      <c r="F4509">
        <v>1</v>
      </c>
      <c r="G4509">
        <v>2</v>
      </c>
      <c r="H4509" t="s">
        <v>224</v>
      </c>
      <c r="I4509" t="s">
        <v>250</v>
      </c>
      <c r="J4509" t="s">
        <v>35</v>
      </c>
      <c r="K4509" t="b">
        <v>0</v>
      </c>
      <c r="L4509">
        <v>2013</v>
      </c>
      <c r="M4509">
        <v>38501122141</v>
      </c>
      <c r="N4509">
        <v>277395018842</v>
      </c>
      <c r="O4509" t="b">
        <v>1</v>
      </c>
      <c r="P4509">
        <v>1</v>
      </c>
      <c r="Q4509" t="str" cm="1">
        <f t="array" ref="Q4509">_xlfn.IFS(Table1[[#This Row],[Wealthier_Winner]]=-1,"Wealthier Nation Loses",Table1[[#This Row],[Wealthier_Winner]]=0,"Tie",Table1[[#This Row],[Wealthier_Winner]]=1,"Wealthier Nation Wins")</f>
        <v>Wealthier Nation Wins</v>
      </c>
    </row>
    <row r="4510" spans="1:17" x14ac:dyDescent="0.2">
      <c r="A4510" s="1">
        <v>6693</v>
      </c>
      <c r="B4510" s="2">
        <v>41432</v>
      </c>
      <c r="C4510" s="7">
        <f>_xlfn.FLOOR.MATH(Table1[[#This Row],[year]],10)</f>
        <v>2010</v>
      </c>
      <c r="D4510" t="s">
        <v>31</v>
      </c>
      <c r="E4510" t="s">
        <v>57</v>
      </c>
      <c r="F4510">
        <v>1</v>
      </c>
      <c r="G4510">
        <v>0</v>
      </c>
      <c r="H4510" t="s">
        <v>224</v>
      </c>
      <c r="I4510" t="s">
        <v>242</v>
      </c>
      <c r="J4510" t="s">
        <v>31</v>
      </c>
      <c r="K4510" t="b">
        <v>0</v>
      </c>
      <c r="L4510">
        <v>2013</v>
      </c>
      <c r="M4510">
        <v>201175543571</v>
      </c>
      <c r="N4510">
        <v>96570334000</v>
      </c>
      <c r="O4510" t="b">
        <v>1</v>
      </c>
      <c r="P4510">
        <v>1</v>
      </c>
      <c r="Q4510" t="str" cm="1">
        <f t="array" ref="Q4510">_xlfn.IFS(Table1[[#This Row],[Wealthier_Winner]]=-1,"Wealthier Nation Loses",Table1[[#This Row],[Wealthier_Winner]]=0,"Tie",Table1[[#This Row],[Wealthier_Winner]]=1,"Wealthier Nation Wins")</f>
        <v>Wealthier Nation Wins</v>
      </c>
    </row>
    <row r="4511" spans="1:17" x14ac:dyDescent="0.2">
      <c r="A4511" s="1">
        <v>6694</v>
      </c>
      <c r="B4511" s="2">
        <v>41432</v>
      </c>
      <c r="C4511" s="7">
        <f>_xlfn.FLOOR.MATH(Table1[[#This Row],[year]],10)</f>
        <v>2010</v>
      </c>
      <c r="D4511" t="s">
        <v>38</v>
      </c>
      <c r="E4511" t="s">
        <v>196</v>
      </c>
      <c r="F4511">
        <v>1</v>
      </c>
      <c r="G4511">
        <v>0</v>
      </c>
      <c r="H4511" t="s">
        <v>224</v>
      </c>
      <c r="I4511" t="s">
        <v>291</v>
      </c>
      <c r="J4511" t="s">
        <v>38</v>
      </c>
      <c r="K4511" t="b">
        <v>0</v>
      </c>
      <c r="L4511">
        <v>2013</v>
      </c>
      <c r="M4511">
        <v>226677408291</v>
      </c>
      <c r="N4511">
        <v>2292470078346</v>
      </c>
      <c r="O4511" t="b">
        <v>1</v>
      </c>
      <c r="P4511">
        <v>-1</v>
      </c>
      <c r="Q4511" t="str" cm="1">
        <f t="array" ref="Q4511">_xlfn.IFS(Table1[[#This Row],[Wealthier_Winner]]=-1,"Wealthier Nation Loses",Table1[[#This Row],[Wealthier_Winner]]=0,"Tie",Table1[[#This Row],[Wealthier_Winner]]=1,"Wealthier Nation Wins")</f>
        <v>Wealthier Nation Loses</v>
      </c>
    </row>
    <row r="4512" spans="1:17" x14ac:dyDescent="0.2">
      <c r="A4512" s="1">
        <v>6695</v>
      </c>
      <c r="B4512" s="2">
        <v>41432</v>
      </c>
      <c r="C4512" s="7">
        <f>_xlfn.FLOOR.MATH(Table1[[#This Row],[year]],10)</f>
        <v>2010</v>
      </c>
      <c r="D4512" t="s">
        <v>274</v>
      </c>
      <c r="E4512" t="s">
        <v>63</v>
      </c>
      <c r="F4512">
        <v>1</v>
      </c>
      <c r="G4512">
        <v>3</v>
      </c>
      <c r="H4512" t="s">
        <v>224</v>
      </c>
      <c r="I4512" t="s">
        <v>591</v>
      </c>
      <c r="J4512" t="s">
        <v>274</v>
      </c>
      <c r="K4512" t="b">
        <v>0</v>
      </c>
      <c r="L4512">
        <v>2013</v>
      </c>
      <c r="M4512">
        <v>43024018082</v>
      </c>
      <c r="N4512">
        <v>62845721959</v>
      </c>
      <c r="O4512" t="b">
        <v>0</v>
      </c>
      <c r="P4512">
        <v>1</v>
      </c>
      <c r="Q4512" t="str" cm="1">
        <f t="array" ref="Q4512">_xlfn.IFS(Table1[[#This Row],[Wealthier_Winner]]=-1,"Wealthier Nation Loses",Table1[[#This Row],[Wealthier_Winner]]=0,"Tie",Table1[[#This Row],[Wealthier_Winner]]=1,"Wealthier Nation Wins")</f>
        <v>Wealthier Nation Wins</v>
      </c>
    </row>
    <row r="4513" spans="1:17" x14ac:dyDescent="0.2">
      <c r="A4513" s="1">
        <v>6696</v>
      </c>
      <c r="B4513" s="2">
        <v>41433</v>
      </c>
      <c r="C4513" s="7">
        <f>_xlfn.FLOOR.MATH(Table1[[#This Row],[year]],10)</f>
        <v>2010</v>
      </c>
      <c r="D4513" t="s">
        <v>60</v>
      </c>
      <c r="E4513" t="s">
        <v>54</v>
      </c>
      <c r="F4513">
        <v>1</v>
      </c>
      <c r="G4513">
        <v>1</v>
      </c>
      <c r="H4513" t="s">
        <v>224</v>
      </c>
      <c r="I4513" t="s">
        <v>396</v>
      </c>
      <c r="J4513" t="s">
        <v>60</v>
      </c>
      <c r="K4513" t="b">
        <v>0</v>
      </c>
      <c r="L4513">
        <v>2013</v>
      </c>
      <c r="M4513">
        <v>148845200696</v>
      </c>
      <c r="N4513">
        <v>18918667724</v>
      </c>
      <c r="O4513" t="b">
        <v>1</v>
      </c>
      <c r="P4513">
        <v>0</v>
      </c>
      <c r="Q4513" t="str" cm="1">
        <f t="array" ref="Q4513">_xlfn.IFS(Table1[[#This Row],[Wealthier_Winner]]=-1,"Wealthier Nation Loses",Table1[[#This Row],[Wealthier_Winner]]=0,"Tie",Table1[[#This Row],[Wealthier_Winner]]=1,"Wealthier Nation Wins")</f>
        <v>Tie</v>
      </c>
    </row>
    <row r="4514" spans="1:17" x14ac:dyDescent="0.2">
      <c r="A4514" s="1">
        <v>6697</v>
      </c>
      <c r="B4514" s="2">
        <v>41433</v>
      </c>
      <c r="C4514" s="7">
        <f>_xlfn.FLOOR.MATH(Table1[[#This Row],[year]],10)</f>
        <v>2010</v>
      </c>
      <c r="D4514" t="s">
        <v>469</v>
      </c>
      <c r="E4514" t="s">
        <v>238</v>
      </c>
      <c r="F4514">
        <v>3</v>
      </c>
      <c r="G4514">
        <v>0</v>
      </c>
      <c r="H4514" t="s">
        <v>224</v>
      </c>
      <c r="I4514" t="s">
        <v>760</v>
      </c>
      <c r="J4514" t="s">
        <v>469</v>
      </c>
      <c r="K4514" t="b">
        <v>0</v>
      </c>
      <c r="L4514">
        <v>2013</v>
      </c>
      <c r="M4514">
        <v>14271738933</v>
      </c>
      <c r="N4514">
        <v>47648276605</v>
      </c>
      <c r="O4514" t="b">
        <v>1</v>
      </c>
      <c r="P4514">
        <v>-1</v>
      </c>
      <c r="Q4514" t="str" cm="1">
        <f t="array" ref="Q4514">_xlfn.IFS(Table1[[#This Row],[Wealthier_Winner]]=-1,"Wealthier Nation Loses",Table1[[#This Row],[Wealthier_Winner]]=0,"Tie",Table1[[#This Row],[Wealthier_Winner]]=1,"Wealthier Nation Wins")</f>
        <v>Wealthier Nation Loses</v>
      </c>
    </row>
    <row r="4515" spans="1:17" x14ac:dyDescent="0.2">
      <c r="A4515" s="1">
        <v>6699</v>
      </c>
      <c r="B4515" s="2">
        <v>41433</v>
      </c>
      <c r="C4515" s="7">
        <f>_xlfn.FLOOR.MATH(Table1[[#This Row],[year]],10)</f>
        <v>2010</v>
      </c>
      <c r="D4515" t="s">
        <v>581</v>
      </c>
      <c r="E4515" t="s">
        <v>50</v>
      </c>
      <c r="F4515">
        <v>0</v>
      </c>
      <c r="G4515">
        <v>3</v>
      </c>
      <c r="H4515" t="s">
        <v>224</v>
      </c>
      <c r="I4515" t="s">
        <v>371</v>
      </c>
      <c r="J4515" t="s">
        <v>40</v>
      </c>
      <c r="K4515" t="b">
        <v>1</v>
      </c>
      <c r="L4515">
        <v>2013</v>
      </c>
      <c r="M4515">
        <v>1691544110</v>
      </c>
      <c r="N4515">
        <v>400886013595</v>
      </c>
      <c r="O4515" t="b">
        <v>1</v>
      </c>
      <c r="P4515">
        <v>1</v>
      </c>
      <c r="Q4515" t="str" cm="1">
        <f t="array" ref="Q4515">_xlfn.IFS(Table1[[#This Row],[Wealthier_Winner]]=-1,"Wealthier Nation Loses",Table1[[#This Row],[Wealthier_Winner]]=0,"Tie",Table1[[#This Row],[Wealthier_Winner]]=1,"Wealthier Nation Wins")</f>
        <v>Wealthier Nation Wins</v>
      </c>
    </row>
    <row r="4516" spans="1:17" x14ac:dyDescent="0.2">
      <c r="A4516" s="1">
        <v>6702</v>
      </c>
      <c r="B4516" s="2">
        <v>41433</v>
      </c>
      <c r="C4516" s="7">
        <f>_xlfn.FLOOR.MATH(Table1[[#This Row],[year]],10)</f>
        <v>2010</v>
      </c>
      <c r="D4516" t="s">
        <v>24</v>
      </c>
      <c r="E4516" t="s">
        <v>320</v>
      </c>
      <c r="F4516">
        <v>2</v>
      </c>
      <c r="G4516">
        <v>1</v>
      </c>
      <c r="H4516" t="s">
        <v>224</v>
      </c>
      <c r="I4516" t="s">
        <v>761</v>
      </c>
      <c r="J4516" t="s">
        <v>24</v>
      </c>
      <c r="K4516" t="b">
        <v>0</v>
      </c>
      <c r="L4516">
        <v>2013</v>
      </c>
      <c r="M4516">
        <v>115739287305</v>
      </c>
      <c r="N4516">
        <v>45648857242</v>
      </c>
      <c r="O4516" t="b">
        <v>1</v>
      </c>
      <c r="P4516">
        <v>1</v>
      </c>
      <c r="Q4516" t="str" cm="1">
        <f t="array" ref="Q4516">_xlfn.IFS(Table1[[#This Row],[Wealthier_Winner]]=-1,"Wealthier Nation Loses",Table1[[#This Row],[Wealthier_Winner]]=0,"Tie",Table1[[#This Row],[Wealthier_Winner]]=1,"Wealthier Nation Wins")</f>
        <v>Wealthier Nation Wins</v>
      </c>
    </row>
    <row r="4517" spans="1:17" x14ac:dyDescent="0.2">
      <c r="A4517" s="1">
        <v>6703</v>
      </c>
      <c r="B4517" s="2">
        <v>41433</v>
      </c>
      <c r="C4517" s="7">
        <f>_xlfn.FLOOR.MATH(Table1[[#This Row],[year]],10)</f>
        <v>2010</v>
      </c>
      <c r="D4517" t="s">
        <v>342</v>
      </c>
      <c r="E4517" t="s">
        <v>53</v>
      </c>
      <c r="F4517">
        <v>2</v>
      </c>
      <c r="G4517">
        <v>2</v>
      </c>
      <c r="H4517" t="s">
        <v>224</v>
      </c>
      <c r="I4517" t="s">
        <v>344</v>
      </c>
      <c r="J4517" t="s">
        <v>342</v>
      </c>
      <c r="K4517" t="b">
        <v>0</v>
      </c>
      <c r="L4517">
        <v>2013</v>
      </c>
      <c r="M4517">
        <v>7502762862</v>
      </c>
      <c r="N4517">
        <v>48685446413</v>
      </c>
      <c r="O4517" t="b">
        <v>1</v>
      </c>
      <c r="P4517">
        <v>0</v>
      </c>
      <c r="Q4517" t="str" cm="1">
        <f t="array" ref="Q4517">_xlfn.IFS(Table1[[#This Row],[Wealthier_Winner]]=-1,"Wealthier Nation Loses",Table1[[#This Row],[Wealthier_Winner]]=0,"Tie",Table1[[#This Row],[Wealthier_Winner]]=1,"Wealthier Nation Wins")</f>
        <v>Tie</v>
      </c>
    </row>
    <row r="4518" spans="1:17" x14ac:dyDescent="0.2">
      <c r="A4518" s="1">
        <v>6704</v>
      </c>
      <c r="B4518" s="2">
        <v>41433</v>
      </c>
      <c r="C4518" s="7">
        <f>_xlfn.FLOOR.MATH(Table1[[#This Row],[year]],10)</f>
        <v>2010</v>
      </c>
      <c r="D4518" t="s">
        <v>46</v>
      </c>
      <c r="E4518" t="s">
        <v>351</v>
      </c>
      <c r="F4518">
        <v>1</v>
      </c>
      <c r="G4518">
        <v>0</v>
      </c>
      <c r="H4518" t="s">
        <v>224</v>
      </c>
      <c r="I4518" t="s">
        <v>722</v>
      </c>
      <c r="J4518" t="s">
        <v>46</v>
      </c>
      <c r="K4518" t="b">
        <v>0</v>
      </c>
      <c r="L4518">
        <v>2013</v>
      </c>
      <c r="M4518">
        <v>706234937370</v>
      </c>
      <c r="N4518">
        <v>23959712860</v>
      </c>
      <c r="O4518" t="b">
        <v>1</v>
      </c>
      <c r="P4518">
        <v>1</v>
      </c>
      <c r="Q4518" t="str" cm="1">
        <f t="array" ref="Q4518">_xlfn.IFS(Table1[[#This Row],[Wealthier_Winner]]=-1,"Wealthier Nation Loses",Table1[[#This Row],[Wealthier_Winner]]=0,"Tie",Table1[[#This Row],[Wealthier_Winner]]=1,"Wealthier Nation Wins")</f>
        <v>Wealthier Nation Wins</v>
      </c>
    </row>
    <row r="4519" spans="1:17" x14ac:dyDescent="0.2">
      <c r="A4519" s="1">
        <v>6705</v>
      </c>
      <c r="B4519" s="2">
        <v>41433</v>
      </c>
      <c r="C4519" s="7">
        <f>_xlfn.FLOOR.MATH(Table1[[#This Row],[year]],10)</f>
        <v>2010</v>
      </c>
      <c r="D4519" t="s">
        <v>357</v>
      </c>
      <c r="E4519" t="s">
        <v>378</v>
      </c>
      <c r="F4519">
        <v>1</v>
      </c>
      <c r="G4519">
        <v>0</v>
      </c>
      <c r="H4519" t="s">
        <v>224</v>
      </c>
      <c r="I4519" t="s">
        <v>358</v>
      </c>
      <c r="J4519" t="s">
        <v>357</v>
      </c>
      <c r="K4519" t="b">
        <v>0</v>
      </c>
      <c r="L4519">
        <v>2013</v>
      </c>
      <c r="M4519">
        <v>28915786516</v>
      </c>
      <c r="N4519">
        <v>3177198100</v>
      </c>
      <c r="O4519" t="b">
        <v>1</v>
      </c>
      <c r="P4519">
        <v>1</v>
      </c>
      <c r="Q4519" t="str" cm="1">
        <f t="array" ref="Q4519">_xlfn.IFS(Table1[[#This Row],[Wealthier_Winner]]=-1,"Wealthier Nation Loses",Table1[[#This Row],[Wealthier_Winner]]=0,"Tie",Table1[[#This Row],[Wealthier_Winner]]=1,"Wealthier Nation Wins")</f>
        <v>Wealthier Nation Wins</v>
      </c>
    </row>
    <row r="4520" spans="1:17" x14ac:dyDescent="0.2">
      <c r="A4520" s="1">
        <v>6706</v>
      </c>
      <c r="B4520" s="2">
        <v>41433</v>
      </c>
      <c r="C4520" s="7">
        <f>_xlfn.FLOOR.MATH(Table1[[#This Row],[year]],10)</f>
        <v>2010</v>
      </c>
      <c r="D4520" t="s">
        <v>273</v>
      </c>
      <c r="E4520" t="s">
        <v>307</v>
      </c>
      <c r="F4520">
        <v>4</v>
      </c>
      <c r="G4520">
        <v>0</v>
      </c>
      <c r="H4520" t="s">
        <v>224</v>
      </c>
      <c r="I4520" t="s">
        <v>275</v>
      </c>
      <c r="J4520" t="s">
        <v>273</v>
      </c>
      <c r="K4520" t="b">
        <v>0</v>
      </c>
      <c r="L4520">
        <v>2013</v>
      </c>
      <c r="M4520">
        <v>28037239462</v>
      </c>
      <c r="N4520">
        <v>2367112931</v>
      </c>
      <c r="O4520" t="b">
        <v>1</v>
      </c>
      <c r="P4520">
        <v>1</v>
      </c>
      <c r="Q4520" t="str" cm="1">
        <f t="array" ref="Q4520">_xlfn.IFS(Table1[[#This Row],[Wealthier_Winner]]=-1,"Wealthier Nation Loses",Table1[[#This Row],[Wealthier_Winner]]=0,"Tie",Table1[[#This Row],[Wealthier_Winner]]=1,"Wealthier Nation Wins")</f>
        <v>Wealthier Nation Wins</v>
      </c>
    </row>
    <row r="4521" spans="1:17" x14ac:dyDescent="0.2">
      <c r="A4521" s="1">
        <v>6707</v>
      </c>
      <c r="B4521" s="2">
        <v>41434</v>
      </c>
      <c r="C4521" s="7">
        <f>_xlfn.FLOOR.MATH(Table1[[#This Row],[year]],10)</f>
        <v>2010</v>
      </c>
      <c r="D4521" t="s">
        <v>310</v>
      </c>
      <c r="E4521" t="s">
        <v>32</v>
      </c>
      <c r="F4521">
        <v>1</v>
      </c>
      <c r="G4521">
        <v>3</v>
      </c>
      <c r="H4521" t="s">
        <v>224</v>
      </c>
      <c r="I4521" t="s">
        <v>762</v>
      </c>
      <c r="J4521" t="s">
        <v>310</v>
      </c>
      <c r="K4521" t="b">
        <v>0</v>
      </c>
      <c r="L4521">
        <v>2013</v>
      </c>
      <c r="M4521">
        <v>12517845123</v>
      </c>
      <c r="N4521">
        <v>229701430292</v>
      </c>
      <c r="O4521" t="b">
        <v>1</v>
      </c>
      <c r="P4521">
        <v>1</v>
      </c>
      <c r="Q4521" t="str" cm="1">
        <f t="array" ref="Q4521">_xlfn.IFS(Table1[[#This Row],[Wealthier_Winner]]=-1,"Wealthier Nation Loses",Table1[[#This Row],[Wealthier_Winner]]=0,"Tie",Table1[[#This Row],[Wealthier_Winner]]=1,"Wealthier Nation Wins")</f>
        <v>Wealthier Nation Wins</v>
      </c>
    </row>
    <row r="4522" spans="1:17" x14ac:dyDescent="0.2">
      <c r="A4522" s="1">
        <v>6708</v>
      </c>
      <c r="B4522" s="2">
        <v>41434</v>
      </c>
      <c r="C4522" s="7">
        <f>_xlfn.FLOOR.MATH(Table1[[#This Row],[year]],10)</f>
        <v>2010</v>
      </c>
      <c r="D4522" t="s">
        <v>305</v>
      </c>
      <c r="E4522" t="s">
        <v>300</v>
      </c>
      <c r="F4522">
        <v>6</v>
      </c>
      <c r="G4522">
        <v>1</v>
      </c>
      <c r="H4522" t="s">
        <v>224</v>
      </c>
      <c r="I4522" t="s">
        <v>306</v>
      </c>
      <c r="J4522" t="s">
        <v>305</v>
      </c>
      <c r="K4522" t="b">
        <v>0</v>
      </c>
      <c r="L4522">
        <v>2013</v>
      </c>
      <c r="M4522">
        <v>8376613539</v>
      </c>
      <c r="N4522">
        <v>17198073057</v>
      </c>
      <c r="O4522" t="b">
        <v>1</v>
      </c>
      <c r="P4522">
        <v>-1</v>
      </c>
      <c r="Q4522" t="str" cm="1">
        <f t="array" ref="Q4522">_xlfn.IFS(Table1[[#This Row],[Wealthier_Winner]]=-1,"Wealthier Nation Loses",Table1[[#This Row],[Wealthier_Winner]]=0,"Tie",Table1[[#This Row],[Wealthier_Winner]]=1,"Wealthier Nation Wins")</f>
        <v>Wealthier Nation Loses</v>
      </c>
    </row>
    <row r="4523" spans="1:17" x14ac:dyDescent="0.2">
      <c r="A4523" s="1">
        <v>6709</v>
      </c>
      <c r="B4523" s="2">
        <v>41434</v>
      </c>
      <c r="C4523" s="7">
        <f>_xlfn.FLOOR.MATH(Table1[[#This Row],[year]],10)</f>
        <v>2010</v>
      </c>
      <c r="D4523" t="s">
        <v>590</v>
      </c>
      <c r="E4523" t="s">
        <v>514</v>
      </c>
      <c r="F4523">
        <v>1</v>
      </c>
      <c r="G4523">
        <v>1</v>
      </c>
      <c r="H4523" t="s">
        <v>224</v>
      </c>
      <c r="I4523" t="s">
        <v>596</v>
      </c>
      <c r="J4523" t="s">
        <v>590</v>
      </c>
      <c r="K4523" t="b">
        <v>0</v>
      </c>
      <c r="L4523">
        <v>2013</v>
      </c>
      <c r="M4523">
        <v>15747192680</v>
      </c>
      <c r="N4523">
        <v>7819964030</v>
      </c>
      <c r="O4523" t="b">
        <v>1</v>
      </c>
      <c r="P4523">
        <v>0</v>
      </c>
      <c r="Q4523" t="str" cm="1">
        <f t="array" ref="Q4523">_xlfn.IFS(Table1[[#This Row],[Wealthier_Winner]]=-1,"Wealthier Nation Loses",Table1[[#This Row],[Wealthier_Winner]]=0,"Tie",Table1[[#This Row],[Wealthier_Winner]]=1,"Wealthier Nation Wins")</f>
        <v>Tie</v>
      </c>
    </row>
    <row r="4524" spans="1:17" x14ac:dyDescent="0.2">
      <c r="A4524" s="1">
        <v>6710</v>
      </c>
      <c r="B4524" s="2">
        <v>41434</v>
      </c>
      <c r="C4524" s="7">
        <f>_xlfn.FLOOR.MATH(Table1[[#This Row],[year]],10)</f>
        <v>2010</v>
      </c>
      <c r="D4524" t="s">
        <v>343</v>
      </c>
      <c r="E4524" t="s">
        <v>345</v>
      </c>
      <c r="F4524">
        <v>0</v>
      </c>
      <c r="G4524">
        <v>1</v>
      </c>
      <c r="H4524" t="s">
        <v>224</v>
      </c>
      <c r="I4524" t="s">
        <v>349</v>
      </c>
      <c r="J4524" t="s">
        <v>343</v>
      </c>
      <c r="K4524" t="b">
        <v>0</v>
      </c>
      <c r="L4524">
        <v>2013</v>
      </c>
      <c r="M4524">
        <v>10224897437</v>
      </c>
      <c r="N4524">
        <v>13444300485</v>
      </c>
      <c r="O4524" t="b">
        <v>0</v>
      </c>
      <c r="P4524">
        <v>1</v>
      </c>
      <c r="Q4524" t="str" cm="1">
        <f t="array" ref="Q4524">_xlfn.IFS(Table1[[#This Row],[Wealthier_Winner]]=-1,"Wealthier Nation Loses",Table1[[#This Row],[Wealthier_Winner]]=0,"Tie",Table1[[#This Row],[Wealthier_Winner]]=1,"Wealthier Nation Wins")</f>
        <v>Wealthier Nation Wins</v>
      </c>
    </row>
    <row r="4525" spans="1:17" x14ac:dyDescent="0.2">
      <c r="A4525" s="1">
        <v>6711</v>
      </c>
      <c r="B4525" s="2">
        <v>41434</v>
      </c>
      <c r="C4525" s="7">
        <f>_xlfn.FLOOR.MATH(Table1[[#This Row],[year]],10)</f>
        <v>2010</v>
      </c>
      <c r="D4525" t="s">
        <v>62</v>
      </c>
      <c r="E4525" t="s">
        <v>40</v>
      </c>
      <c r="F4525">
        <v>0</v>
      </c>
      <c r="G4525">
        <v>3</v>
      </c>
      <c r="H4525" t="s">
        <v>224</v>
      </c>
      <c r="I4525" t="s">
        <v>353</v>
      </c>
      <c r="J4525" t="s">
        <v>62</v>
      </c>
      <c r="K4525" t="b">
        <v>0</v>
      </c>
      <c r="L4525">
        <v>2013</v>
      </c>
      <c r="M4525">
        <v>6021729629</v>
      </c>
      <c r="N4525">
        <v>33728621180</v>
      </c>
      <c r="O4525" t="b">
        <v>1</v>
      </c>
      <c r="P4525">
        <v>1</v>
      </c>
      <c r="Q4525" t="str" cm="1">
        <f t="array" ref="Q4525">_xlfn.IFS(Table1[[#This Row],[Wealthier_Winner]]=-1,"Wealthier Nation Loses",Table1[[#This Row],[Wealthier_Winner]]=0,"Tie",Table1[[#This Row],[Wealthier_Winner]]=1,"Wealthier Nation Wins")</f>
        <v>Wealthier Nation Wins</v>
      </c>
    </row>
    <row r="4526" spans="1:17" x14ac:dyDescent="0.2">
      <c r="A4526" s="1">
        <v>6712</v>
      </c>
      <c r="B4526" s="2">
        <v>41434</v>
      </c>
      <c r="C4526" s="7">
        <f>_xlfn.FLOOR.MATH(Table1[[#This Row],[year]],10)</f>
        <v>2010</v>
      </c>
      <c r="D4526" t="s">
        <v>298</v>
      </c>
      <c r="E4526" t="s">
        <v>212</v>
      </c>
      <c r="F4526">
        <v>2</v>
      </c>
      <c r="G4526">
        <v>4</v>
      </c>
      <c r="H4526" t="s">
        <v>224</v>
      </c>
      <c r="I4526" t="s">
        <v>377</v>
      </c>
      <c r="J4526" t="s">
        <v>298</v>
      </c>
      <c r="K4526" t="b">
        <v>0</v>
      </c>
      <c r="L4526">
        <v>2013</v>
      </c>
      <c r="M4526">
        <v>19100750000</v>
      </c>
      <c r="N4526">
        <v>288434108527</v>
      </c>
      <c r="O4526" t="b">
        <v>1</v>
      </c>
      <c r="P4526">
        <v>1</v>
      </c>
      <c r="Q4526" t="str" cm="1">
        <f t="array" ref="Q4526">_xlfn.IFS(Table1[[#This Row],[Wealthier_Winner]]=-1,"Wealthier Nation Loses",Table1[[#This Row],[Wealthier_Winner]]=0,"Tie",Table1[[#This Row],[Wealthier_Winner]]=1,"Wealthier Nation Wins")</f>
        <v>Wealthier Nation Wins</v>
      </c>
    </row>
    <row r="4527" spans="1:17" x14ac:dyDescent="0.2">
      <c r="A4527" s="1">
        <v>6713</v>
      </c>
      <c r="B4527" s="2">
        <v>41436</v>
      </c>
      <c r="C4527" s="7">
        <f>_xlfn.FLOOR.MATH(Table1[[#This Row],[year]],10)</f>
        <v>2010</v>
      </c>
      <c r="D4527" t="s">
        <v>28</v>
      </c>
      <c r="E4527" t="s">
        <v>403</v>
      </c>
      <c r="F4527">
        <v>4</v>
      </c>
      <c r="G4527">
        <v>0</v>
      </c>
      <c r="H4527" t="s">
        <v>224</v>
      </c>
      <c r="I4527" t="s">
        <v>329</v>
      </c>
      <c r="J4527" t="s">
        <v>28</v>
      </c>
      <c r="K4527" t="b">
        <v>0</v>
      </c>
      <c r="L4527">
        <v>2013</v>
      </c>
      <c r="M4527">
        <v>1583737461925</v>
      </c>
      <c r="N4527">
        <v>34454440140</v>
      </c>
      <c r="O4527" t="b">
        <v>1</v>
      </c>
      <c r="P4527">
        <v>1</v>
      </c>
      <c r="Q4527" t="str" cm="1">
        <f t="array" ref="Q4527">_xlfn.IFS(Table1[[#This Row],[Wealthier_Winner]]=-1,"Wealthier Nation Loses",Table1[[#This Row],[Wealthier_Winner]]=0,"Tie",Table1[[#This Row],[Wealthier_Winner]]=1,"Wealthier Nation Wins")</f>
        <v>Wealthier Nation Wins</v>
      </c>
    </row>
    <row r="4528" spans="1:17" x14ac:dyDescent="0.2">
      <c r="A4528" s="1">
        <v>6714</v>
      </c>
      <c r="B4528" s="2">
        <v>41436</v>
      </c>
      <c r="C4528" s="7">
        <f>_xlfn.FLOOR.MATH(Table1[[#This Row],[year]],10)</f>
        <v>2010</v>
      </c>
      <c r="D4528" t="s">
        <v>510</v>
      </c>
      <c r="E4528" t="s">
        <v>230</v>
      </c>
      <c r="F4528">
        <v>1</v>
      </c>
      <c r="G4528">
        <v>1</v>
      </c>
      <c r="H4528" t="s">
        <v>224</v>
      </c>
      <c r="I4528" t="s">
        <v>763</v>
      </c>
      <c r="J4528" t="s">
        <v>510</v>
      </c>
      <c r="K4528" t="b">
        <v>0</v>
      </c>
      <c r="L4528">
        <v>2013</v>
      </c>
      <c r="M4528">
        <v>75527558966</v>
      </c>
      <c r="N4528">
        <v>270268036626</v>
      </c>
      <c r="O4528" t="b">
        <v>1</v>
      </c>
      <c r="P4528">
        <v>0</v>
      </c>
      <c r="Q4528" t="str" cm="1">
        <f t="array" ref="Q4528">_xlfn.IFS(Table1[[#This Row],[Wealthier_Winner]]=-1,"Wealthier Nation Loses",Table1[[#This Row],[Wealthier_Winner]]=0,"Tie",Table1[[#This Row],[Wealthier_Winner]]=1,"Wealthier Nation Wins")</f>
        <v>Tie</v>
      </c>
    </row>
    <row r="4529" spans="1:17" x14ac:dyDescent="0.2">
      <c r="A4529" s="1">
        <v>6715</v>
      </c>
      <c r="B4529" s="2">
        <v>41436</v>
      </c>
      <c r="C4529" s="7">
        <f>_xlfn.FLOOR.MATH(Table1[[#This Row],[year]],10)</f>
        <v>2010</v>
      </c>
      <c r="D4529" t="s">
        <v>14</v>
      </c>
      <c r="E4529" t="s">
        <v>47</v>
      </c>
      <c r="F4529">
        <v>3</v>
      </c>
      <c r="G4529">
        <v>1</v>
      </c>
      <c r="H4529" t="s">
        <v>224</v>
      </c>
      <c r="I4529" t="s">
        <v>75</v>
      </c>
      <c r="J4529" t="s">
        <v>14</v>
      </c>
      <c r="K4529" t="b">
        <v>0</v>
      </c>
      <c r="L4529">
        <v>2013</v>
      </c>
      <c r="M4529">
        <v>277395018842</v>
      </c>
      <c r="N4529">
        <v>30659338885</v>
      </c>
      <c r="O4529" t="b">
        <v>1</v>
      </c>
      <c r="P4529">
        <v>1</v>
      </c>
      <c r="Q4529" t="str" cm="1">
        <f t="array" ref="Q4529">_xlfn.IFS(Table1[[#This Row],[Wealthier_Winner]]=-1,"Wealthier Nation Loses",Table1[[#This Row],[Wealthier_Winner]]=0,"Tie",Table1[[#This Row],[Wealthier_Winner]]=1,"Wealthier Nation Wins")</f>
        <v>Wealthier Nation Wins</v>
      </c>
    </row>
    <row r="4530" spans="1:17" x14ac:dyDescent="0.2">
      <c r="A4530" s="1">
        <v>6716</v>
      </c>
      <c r="B4530" s="2">
        <v>41436</v>
      </c>
      <c r="C4530" s="7">
        <f>_xlfn.FLOOR.MATH(Table1[[#This Row],[year]],10)</f>
        <v>2010</v>
      </c>
      <c r="D4530" t="s">
        <v>15</v>
      </c>
      <c r="E4530" t="s">
        <v>31</v>
      </c>
      <c r="F4530">
        <v>2</v>
      </c>
      <c r="G4530">
        <v>0</v>
      </c>
      <c r="H4530" t="s">
        <v>224</v>
      </c>
      <c r="I4530" t="s">
        <v>261</v>
      </c>
      <c r="J4530" t="s">
        <v>15</v>
      </c>
      <c r="K4530" t="b">
        <v>0</v>
      </c>
      <c r="L4530">
        <v>2013</v>
      </c>
      <c r="M4530">
        <v>382093697077</v>
      </c>
      <c r="N4530">
        <v>201175543571</v>
      </c>
      <c r="O4530" t="b">
        <v>0</v>
      </c>
      <c r="P4530">
        <v>1</v>
      </c>
      <c r="Q4530" t="str" cm="1">
        <f t="array" ref="Q4530">_xlfn.IFS(Table1[[#This Row],[Wealthier_Winner]]=-1,"Wealthier Nation Loses",Table1[[#This Row],[Wealthier_Winner]]=0,"Tie",Table1[[#This Row],[Wealthier_Winner]]=1,"Wealthier Nation Wins")</f>
        <v>Wealthier Nation Wins</v>
      </c>
    </row>
    <row r="4531" spans="1:17" x14ac:dyDescent="0.2">
      <c r="A4531" s="1">
        <v>6717</v>
      </c>
      <c r="B4531" s="2">
        <v>41436</v>
      </c>
      <c r="C4531" s="7">
        <f>_xlfn.FLOOR.MATH(Table1[[#This Row],[year]],10)</f>
        <v>2010</v>
      </c>
      <c r="D4531" t="s">
        <v>36</v>
      </c>
      <c r="E4531" t="s">
        <v>519</v>
      </c>
      <c r="F4531">
        <v>0</v>
      </c>
      <c r="G4531">
        <v>4</v>
      </c>
      <c r="H4531" t="s">
        <v>224</v>
      </c>
      <c r="I4531" t="s">
        <v>264</v>
      </c>
      <c r="J4531" t="s">
        <v>36</v>
      </c>
      <c r="K4531" t="b">
        <v>0</v>
      </c>
      <c r="L4531">
        <v>2013</v>
      </c>
      <c r="M4531">
        <v>344631016965</v>
      </c>
      <c r="N4531">
        <v>11121464437</v>
      </c>
      <c r="O4531" t="b">
        <v>1</v>
      </c>
      <c r="P4531">
        <v>-1</v>
      </c>
      <c r="Q4531" t="str" cm="1">
        <f t="array" ref="Q4531">_xlfn.IFS(Table1[[#This Row],[Wealthier_Winner]]=-1,"Wealthier Nation Loses",Table1[[#This Row],[Wealthier_Winner]]=0,"Tie",Table1[[#This Row],[Wealthier_Winner]]=1,"Wealthier Nation Wins")</f>
        <v>Wealthier Nation Loses</v>
      </c>
    </row>
    <row r="4532" spans="1:17" x14ac:dyDescent="0.2">
      <c r="A4532" s="1">
        <v>6718</v>
      </c>
      <c r="B4532" s="2">
        <v>41436</v>
      </c>
      <c r="C4532" s="7">
        <f>_xlfn.FLOOR.MATH(Table1[[#This Row],[year]],10)</f>
        <v>2010</v>
      </c>
      <c r="D4532" t="s">
        <v>57</v>
      </c>
      <c r="E4532" t="s">
        <v>19</v>
      </c>
      <c r="F4532">
        <v>1</v>
      </c>
      <c r="G4532">
        <v>1</v>
      </c>
      <c r="H4532" t="s">
        <v>224</v>
      </c>
      <c r="I4532" t="s">
        <v>335</v>
      </c>
      <c r="J4532" t="s">
        <v>57</v>
      </c>
      <c r="K4532" t="b">
        <v>0</v>
      </c>
      <c r="L4532">
        <v>2013</v>
      </c>
      <c r="M4532">
        <v>96570334000</v>
      </c>
      <c r="N4532">
        <v>552025140252</v>
      </c>
      <c r="O4532" t="b">
        <v>1</v>
      </c>
      <c r="P4532">
        <v>0</v>
      </c>
      <c r="Q4532" t="str" cm="1">
        <f t="array" ref="Q4532">_xlfn.IFS(Table1[[#This Row],[Wealthier_Winner]]=-1,"Wealthier Nation Loses",Table1[[#This Row],[Wealthier_Winner]]=0,"Tie",Table1[[#This Row],[Wealthier_Winner]]=1,"Wealthier Nation Wins")</f>
        <v>Tie</v>
      </c>
    </row>
    <row r="4533" spans="1:17" x14ac:dyDescent="0.2">
      <c r="A4533" s="1">
        <v>6719</v>
      </c>
      <c r="B4533" s="2">
        <v>41436</v>
      </c>
      <c r="C4533" s="7">
        <f>_xlfn.FLOOR.MATH(Table1[[#This Row],[year]],10)</f>
        <v>2010</v>
      </c>
      <c r="D4533" t="s">
        <v>65</v>
      </c>
      <c r="E4533" t="s">
        <v>49</v>
      </c>
      <c r="F4533">
        <v>2</v>
      </c>
      <c r="G4533">
        <v>0</v>
      </c>
      <c r="H4533" t="s">
        <v>224</v>
      </c>
      <c r="I4533" t="s">
        <v>228</v>
      </c>
      <c r="J4533" t="s">
        <v>65</v>
      </c>
      <c r="K4533" t="b">
        <v>0</v>
      </c>
      <c r="L4533">
        <v>2013</v>
      </c>
      <c r="M4533">
        <v>18499729214</v>
      </c>
      <c r="N4533">
        <v>14264205152</v>
      </c>
      <c r="O4533" t="b">
        <v>0</v>
      </c>
      <c r="P4533">
        <v>1</v>
      </c>
      <c r="Q4533" t="str" cm="1">
        <f t="array" ref="Q4533">_xlfn.IFS(Table1[[#This Row],[Wealthier_Winner]]=-1,"Wealthier Nation Loses",Table1[[#This Row],[Wealthier_Winner]]=0,"Tie",Table1[[#This Row],[Wealthier_Winner]]=1,"Wealthier Nation Wins")</f>
        <v>Wealthier Nation Wins</v>
      </c>
    </row>
    <row r="4534" spans="1:17" x14ac:dyDescent="0.2">
      <c r="A4534" s="1">
        <v>6720</v>
      </c>
      <c r="B4534" s="2">
        <v>41436</v>
      </c>
      <c r="C4534" s="7">
        <f>_xlfn.FLOOR.MATH(Table1[[#This Row],[year]],10)</f>
        <v>2010</v>
      </c>
      <c r="D4534" t="s">
        <v>210</v>
      </c>
      <c r="E4534" t="s">
        <v>479</v>
      </c>
      <c r="F4534">
        <v>4</v>
      </c>
      <c r="G4534">
        <v>0</v>
      </c>
      <c r="H4534" t="s">
        <v>224</v>
      </c>
      <c r="I4534" t="s">
        <v>332</v>
      </c>
      <c r="J4534" t="s">
        <v>210</v>
      </c>
      <c r="K4534" t="b">
        <v>0</v>
      </c>
      <c r="L4534">
        <v>2013</v>
      </c>
      <c r="M4534">
        <v>500399839839</v>
      </c>
      <c r="N4534">
        <v>46880103080</v>
      </c>
      <c r="O4534" t="b">
        <v>1</v>
      </c>
      <c r="P4534">
        <v>1</v>
      </c>
      <c r="Q4534" t="str" cm="1">
        <f t="array" ref="Q4534">_xlfn.IFS(Table1[[#This Row],[Wealthier_Winner]]=-1,"Wealthier Nation Loses",Table1[[#This Row],[Wealthier_Winner]]=0,"Tie",Table1[[#This Row],[Wealthier_Winner]]=1,"Wealthier Nation Wins")</f>
        <v>Wealthier Nation Wins</v>
      </c>
    </row>
    <row r="4535" spans="1:17" x14ac:dyDescent="0.2">
      <c r="A4535" s="1">
        <v>6721</v>
      </c>
      <c r="B4535" s="2">
        <v>41436</v>
      </c>
      <c r="C4535" s="7">
        <f>_xlfn.FLOOR.MATH(Table1[[#This Row],[year]],10)</f>
        <v>2010</v>
      </c>
      <c r="D4535" t="s">
        <v>37</v>
      </c>
      <c r="E4535" t="s">
        <v>51</v>
      </c>
      <c r="F4535">
        <v>0</v>
      </c>
      <c r="G4535">
        <v>1</v>
      </c>
      <c r="H4535" t="s">
        <v>224</v>
      </c>
      <c r="I4535" t="s">
        <v>190</v>
      </c>
      <c r="J4535" t="s">
        <v>68</v>
      </c>
      <c r="K4535" t="b">
        <v>1</v>
      </c>
      <c r="L4535">
        <v>2013</v>
      </c>
      <c r="M4535">
        <v>234637675128</v>
      </c>
      <c r="N4535">
        <v>5212328181166</v>
      </c>
      <c r="O4535" t="b">
        <v>1</v>
      </c>
      <c r="P4535">
        <v>1</v>
      </c>
      <c r="Q4535" t="str" cm="1">
        <f t="array" ref="Q4535">_xlfn.IFS(Table1[[#This Row],[Wealthier_Winner]]=-1,"Wealthier Nation Loses",Table1[[#This Row],[Wealthier_Winner]]=0,"Tie",Table1[[#This Row],[Wealthier_Winner]]=1,"Wealthier Nation Wins")</f>
        <v>Wealthier Nation Wins</v>
      </c>
    </row>
    <row r="4536" spans="1:17" x14ac:dyDescent="0.2">
      <c r="A4536" s="1">
        <v>6722</v>
      </c>
      <c r="B4536" s="2">
        <v>41436</v>
      </c>
      <c r="C4536" s="7">
        <f>_xlfn.FLOOR.MATH(Table1[[#This Row],[year]],10)</f>
        <v>2010</v>
      </c>
      <c r="D4536" t="s">
        <v>195</v>
      </c>
      <c r="E4536" t="s">
        <v>563</v>
      </c>
      <c r="F4536">
        <v>1</v>
      </c>
      <c r="G4536">
        <v>0</v>
      </c>
      <c r="H4536" t="s">
        <v>224</v>
      </c>
      <c r="I4536" t="s">
        <v>136</v>
      </c>
      <c r="J4536" t="s">
        <v>195</v>
      </c>
      <c r="K4536" t="b">
        <v>0</v>
      </c>
      <c r="L4536">
        <v>2013</v>
      </c>
      <c r="M4536">
        <v>1434669686501</v>
      </c>
      <c r="N4536">
        <v>73180037914</v>
      </c>
      <c r="O4536" t="b">
        <v>1</v>
      </c>
      <c r="P4536">
        <v>1</v>
      </c>
      <c r="Q4536" t="str" cm="1">
        <f t="array" ref="Q4536">_xlfn.IFS(Table1[[#This Row],[Wealthier_Winner]]=-1,"Wealthier Nation Loses",Table1[[#This Row],[Wealthier_Winner]]=0,"Tie",Table1[[#This Row],[Wealthier_Winner]]=1,"Wealthier Nation Wins")</f>
        <v>Wealthier Nation Wins</v>
      </c>
    </row>
    <row r="4537" spans="1:17" x14ac:dyDescent="0.2">
      <c r="A4537" s="1">
        <v>6723</v>
      </c>
      <c r="B4537" s="2">
        <v>41436</v>
      </c>
      <c r="C4537" s="7">
        <f>_xlfn.FLOOR.MATH(Table1[[#This Row],[year]],10)</f>
        <v>2010</v>
      </c>
      <c r="D4537" t="s">
        <v>17</v>
      </c>
      <c r="E4537" t="s">
        <v>56</v>
      </c>
      <c r="F4537">
        <v>0</v>
      </c>
      <c r="G4537">
        <v>0</v>
      </c>
      <c r="H4537" t="s">
        <v>224</v>
      </c>
      <c r="I4537" t="s">
        <v>83</v>
      </c>
      <c r="J4537" t="s">
        <v>17</v>
      </c>
      <c r="K4537" t="b">
        <v>0</v>
      </c>
      <c r="L4537">
        <v>2013</v>
      </c>
      <c r="M4537">
        <v>1327436290282</v>
      </c>
      <c r="N4537">
        <v>50949668841</v>
      </c>
      <c r="O4537" t="b">
        <v>1</v>
      </c>
      <c r="P4537">
        <v>0</v>
      </c>
      <c r="Q4537" t="str" cm="1">
        <f t="array" ref="Q4537">_xlfn.IFS(Table1[[#This Row],[Wealthier_Winner]]=-1,"Wealthier Nation Loses",Table1[[#This Row],[Wealthier_Winner]]=0,"Tie",Table1[[#This Row],[Wealthier_Winner]]=1,"Wealthier Nation Wins")</f>
        <v>Tie</v>
      </c>
    </row>
    <row r="4538" spans="1:17" x14ac:dyDescent="0.2">
      <c r="A4538" s="1">
        <v>6724</v>
      </c>
      <c r="B4538" s="2">
        <v>41436</v>
      </c>
      <c r="C4538" s="7">
        <f>_xlfn.FLOOR.MATH(Table1[[#This Row],[year]],10)</f>
        <v>2010</v>
      </c>
      <c r="D4538" t="s">
        <v>25</v>
      </c>
      <c r="E4538" t="s">
        <v>447</v>
      </c>
      <c r="F4538">
        <v>2</v>
      </c>
      <c r="G4538">
        <v>0</v>
      </c>
      <c r="H4538" t="s">
        <v>224</v>
      </c>
      <c r="I4538" t="s">
        <v>233</v>
      </c>
      <c r="J4538" t="s">
        <v>25</v>
      </c>
      <c r="K4538" t="b">
        <v>0</v>
      </c>
      <c r="L4538">
        <v>2013</v>
      </c>
      <c r="M4538">
        <v>584125353119</v>
      </c>
      <c r="N4538">
        <v>2690110520</v>
      </c>
      <c r="O4538" t="b">
        <v>1</v>
      </c>
      <c r="P4538">
        <v>1</v>
      </c>
      <c r="Q4538" t="str" cm="1">
        <f t="array" ref="Q4538">_xlfn.IFS(Table1[[#This Row],[Wealthier_Winner]]=-1,"Wealthier Nation Loses",Table1[[#This Row],[Wealthier_Winner]]=0,"Tie",Table1[[#This Row],[Wealthier_Winner]]=1,"Wealthier Nation Wins")</f>
        <v>Wealthier Nation Wins</v>
      </c>
    </row>
    <row r="4539" spans="1:17" x14ac:dyDescent="0.2">
      <c r="A4539" s="1">
        <v>6725</v>
      </c>
      <c r="B4539" s="2">
        <v>41436</v>
      </c>
      <c r="C4539" s="7">
        <f>_xlfn.FLOOR.MATH(Table1[[#This Row],[year]],10)</f>
        <v>2010</v>
      </c>
      <c r="D4539" t="s">
        <v>41</v>
      </c>
      <c r="E4539" t="s">
        <v>67</v>
      </c>
      <c r="F4539">
        <v>2</v>
      </c>
      <c r="G4539">
        <v>0</v>
      </c>
      <c r="H4539" t="s">
        <v>224</v>
      </c>
      <c r="I4539" t="s">
        <v>764</v>
      </c>
      <c r="J4539" t="s">
        <v>41</v>
      </c>
      <c r="K4539" t="b">
        <v>0</v>
      </c>
      <c r="L4539">
        <v>2013</v>
      </c>
      <c r="M4539">
        <v>16843190993000</v>
      </c>
      <c r="N4539">
        <v>46949496479</v>
      </c>
      <c r="O4539" t="b">
        <v>1</v>
      </c>
      <c r="P4539">
        <v>1</v>
      </c>
      <c r="Q4539" t="str" cm="1">
        <f t="array" ref="Q4539">_xlfn.IFS(Table1[[#This Row],[Wealthier_Winner]]=-1,"Wealthier Nation Loses",Table1[[#This Row],[Wealthier_Winner]]=0,"Tie",Table1[[#This Row],[Wealthier_Winner]]=1,"Wealthier Nation Wins")</f>
        <v>Wealthier Nation Wins</v>
      </c>
    </row>
    <row r="4540" spans="1:17" x14ac:dyDescent="0.2">
      <c r="A4540" s="1">
        <v>6726</v>
      </c>
      <c r="B4540" s="2">
        <v>41436</v>
      </c>
      <c r="C4540" s="7">
        <f>_xlfn.FLOOR.MATH(Table1[[#This Row],[year]],10)</f>
        <v>2010</v>
      </c>
      <c r="D4540" t="s">
        <v>258</v>
      </c>
      <c r="E4540" t="s">
        <v>26</v>
      </c>
      <c r="F4540">
        <v>0</v>
      </c>
      <c r="G4540">
        <v>1</v>
      </c>
      <c r="H4540" t="s">
        <v>224</v>
      </c>
      <c r="I4540" t="s">
        <v>487</v>
      </c>
      <c r="J4540" t="s">
        <v>258</v>
      </c>
      <c r="K4540" t="b">
        <v>0</v>
      </c>
      <c r="L4540">
        <v>2013</v>
      </c>
      <c r="M4540">
        <v>258930655486</v>
      </c>
      <c r="N4540">
        <v>61337621933</v>
      </c>
      <c r="O4540" t="b">
        <v>1</v>
      </c>
      <c r="P4540">
        <v>-1</v>
      </c>
      <c r="Q4540" t="str" cm="1">
        <f t="array" ref="Q4540">_xlfn.IFS(Table1[[#This Row],[Wealthier_Winner]]=-1,"Wealthier Nation Loses",Table1[[#This Row],[Wealthier_Winner]]=0,"Tie",Table1[[#This Row],[Wealthier_Winner]]=1,"Wealthier Nation Wins")</f>
        <v>Wealthier Nation Loses</v>
      </c>
    </row>
    <row r="4541" spans="1:17" x14ac:dyDescent="0.2">
      <c r="A4541" s="1">
        <v>6727</v>
      </c>
      <c r="B4541" s="2">
        <v>41437</v>
      </c>
      <c r="C4541" s="7">
        <f>_xlfn.FLOOR.MATH(Table1[[#This Row],[year]],10)</f>
        <v>2010</v>
      </c>
      <c r="D4541" t="s">
        <v>370</v>
      </c>
      <c r="E4541" t="s">
        <v>314</v>
      </c>
      <c r="F4541">
        <v>2</v>
      </c>
      <c r="G4541">
        <v>2</v>
      </c>
      <c r="H4541" t="s">
        <v>224</v>
      </c>
      <c r="I4541" t="s">
        <v>372</v>
      </c>
      <c r="J4541" t="s">
        <v>370</v>
      </c>
      <c r="K4541" t="b">
        <v>0</v>
      </c>
      <c r="L4541">
        <v>2013</v>
      </c>
      <c r="M4541">
        <v>8031571927</v>
      </c>
      <c r="N4541">
        <v>61671440407</v>
      </c>
      <c r="O4541" t="b">
        <v>1</v>
      </c>
      <c r="P4541">
        <v>0</v>
      </c>
      <c r="Q4541" t="str" cm="1">
        <f t="array" ref="Q4541">_xlfn.IFS(Table1[[#This Row],[Wealthier_Winner]]=-1,"Wealthier Nation Loses",Table1[[#This Row],[Wealthier_Winner]]=0,"Tie",Table1[[#This Row],[Wealthier_Winner]]=1,"Wealthier Nation Wins")</f>
        <v>Tie</v>
      </c>
    </row>
    <row r="4542" spans="1:17" x14ac:dyDescent="0.2">
      <c r="A4542" s="1">
        <v>6728</v>
      </c>
      <c r="B4542" s="2">
        <v>41437</v>
      </c>
      <c r="C4542" s="7">
        <f>_xlfn.FLOOR.MATH(Table1[[#This Row],[year]],10)</f>
        <v>2010</v>
      </c>
      <c r="D4542" t="s">
        <v>462</v>
      </c>
      <c r="E4542" t="s">
        <v>43</v>
      </c>
      <c r="F4542">
        <v>1</v>
      </c>
      <c r="G4542">
        <v>1</v>
      </c>
      <c r="H4542" t="s">
        <v>224</v>
      </c>
      <c r="I4542" t="s">
        <v>465</v>
      </c>
      <c r="J4542" t="s">
        <v>462</v>
      </c>
      <c r="K4542" t="b">
        <v>0</v>
      </c>
      <c r="L4542">
        <v>2013</v>
      </c>
      <c r="M4542">
        <v>12043307277</v>
      </c>
      <c r="N4542">
        <v>520117180313</v>
      </c>
      <c r="O4542" t="b">
        <v>1</v>
      </c>
      <c r="P4542">
        <v>0</v>
      </c>
      <c r="Q4542" t="str" cm="1">
        <f t="array" ref="Q4542">_xlfn.IFS(Table1[[#This Row],[Wealthier_Winner]]=-1,"Wealthier Nation Loses",Table1[[#This Row],[Wealthier_Winner]]=0,"Tie",Table1[[#This Row],[Wealthier_Winner]]=1,"Wealthier Nation Wins")</f>
        <v>Tie</v>
      </c>
    </row>
    <row r="4543" spans="1:17" x14ac:dyDescent="0.2">
      <c r="A4543" s="1">
        <v>6729</v>
      </c>
      <c r="B4543" s="2">
        <v>41439</v>
      </c>
      <c r="C4543" s="7">
        <f>_xlfn.FLOOR.MATH(Table1[[#This Row],[year]],10)</f>
        <v>2010</v>
      </c>
      <c r="D4543" t="s">
        <v>286</v>
      </c>
      <c r="E4543" t="s">
        <v>62</v>
      </c>
      <c r="F4543">
        <v>2</v>
      </c>
      <c r="G4543">
        <v>0</v>
      </c>
      <c r="H4543" t="s">
        <v>224</v>
      </c>
      <c r="I4543" t="s">
        <v>287</v>
      </c>
      <c r="J4543" t="s">
        <v>286</v>
      </c>
      <c r="K4543" t="b">
        <v>0</v>
      </c>
      <c r="L4543">
        <v>2013</v>
      </c>
      <c r="M4543">
        <v>75351107029</v>
      </c>
      <c r="N4543">
        <v>6021729629</v>
      </c>
      <c r="O4543" t="b">
        <v>1</v>
      </c>
      <c r="P4543">
        <v>1</v>
      </c>
      <c r="Q4543" t="str" cm="1">
        <f t="array" ref="Q4543">_xlfn.IFS(Table1[[#This Row],[Wealthier_Winner]]=-1,"Wealthier Nation Loses",Table1[[#This Row],[Wealthier_Winner]]=0,"Tie",Table1[[#This Row],[Wealthier_Winner]]=1,"Wealthier Nation Wins")</f>
        <v>Wealthier Nation Wins</v>
      </c>
    </row>
    <row r="4544" spans="1:17" x14ac:dyDescent="0.2">
      <c r="A4544" s="1">
        <v>6730</v>
      </c>
      <c r="B4544" s="2">
        <v>41440</v>
      </c>
      <c r="C4544" s="7">
        <f>_xlfn.FLOOR.MATH(Table1[[#This Row],[year]],10)</f>
        <v>2010</v>
      </c>
      <c r="D4544" t="s">
        <v>469</v>
      </c>
      <c r="E4544" t="s">
        <v>581</v>
      </c>
      <c r="F4544">
        <v>3</v>
      </c>
      <c r="G4544">
        <v>2</v>
      </c>
      <c r="H4544" t="s">
        <v>224</v>
      </c>
      <c r="I4544" t="s">
        <v>760</v>
      </c>
      <c r="J4544" t="s">
        <v>469</v>
      </c>
      <c r="K4544" t="b">
        <v>0</v>
      </c>
      <c r="L4544">
        <v>2013</v>
      </c>
      <c r="M4544">
        <v>14271738933</v>
      </c>
      <c r="N4544">
        <v>1691544110</v>
      </c>
      <c r="O4544" t="b">
        <v>1</v>
      </c>
      <c r="P4544">
        <v>1</v>
      </c>
      <c r="Q4544" t="str" cm="1">
        <f t="array" ref="Q4544">_xlfn.IFS(Table1[[#This Row],[Wealthier_Winner]]=-1,"Wealthier Nation Loses",Table1[[#This Row],[Wealthier_Winner]]=0,"Tie",Table1[[#This Row],[Wealthier_Winner]]=1,"Wealthier Nation Wins")</f>
        <v>Wealthier Nation Wins</v>
      </c>
    </row>
    <row r="4545" spans="1:17" x14ac:dyDescent="0.2">
      <c r="A4545" s="1">
        <v>6733</v>
      </c>
      <c r="B4545" s="2">
        <v>41440</v>
      </c>
      <c r="C4545" s="7">
        <f>_xlfn.FLOOR.MATH(Table1[[#This Row],[year]],10)</f>
        <v>2010</v>
      </c>
      <c r="D4545" t="s">
        <v>433</v>
      </c>
      <c r="E4545" t="s">
        <v>343</v>
      </c>
      <c r="F4545">
        <v>4</v>
      </c>
      <c r="G4545">
        <v>1</v>
      </c>
      <c r="H4545" t="s">
        <v>224</v>
      </c>
      <c r="I4545" t="s">
        <v>765</v>
      </c>
      <c r="J4545" t="s">
        <v>433</v>
      </c>
      <c r="K4545" t="b">
        <v>0</v>
      </c>
      <c r="L4545">
        <v>2013</v>
      </c>
      <c r="M4545">
        <v>17595744798</v>
      </c>
      <c r="N4545">
        <v>10224897437</v>
      </c>
      <c r="O4545" t="b">
        <v>0</v>
      </c>
      <c r="P4545">
        <v>1</v>
      </c>
      <c r="Q4545" t="str" cm="1">
        <f t="array" ref="Q4545">_xlfn.IFS(Table1[[#This Row],[Wealthier_Winner]]=-1,"Wealthier Nation Loses",Table1[[#This Row],[Wealthier_Winner]]=0,"Tie",Table1[[#This Row],[Wealthier_Winner]]=1,"Wealthier Nation Wins")</f>
        <v>Wealthier Nation Wins</v>
      </c>
    </row>
    <row r="4546" spans="1:17" x14ac:dyDescent="0.2">
      <c r="A4546" s="1">
        <v>6735</v>
      </c>
      <c r="B4546" s="2">
        <v>41440</v>
      </c>
      <c r="C4546" s="7">
        <f>_xlfn.FLOOR.MATH(Table1[[#This Row],[year]],10)</f>
        <v>2010</v>
      </c>
      <c r="D4546" t="s">
        <v>357</v>
      </c>
      <c r="E4546" t="s">
        <v>60</v>
      </c>
      <c r="F4546">
        <v>2</v>
      </c>
      <c r="G4546">
        <v>1</v>
      </c>
      <c r="H4546" t="s">
        <v>224</v>
      </c>
      <c r="I4546" t="s">
        <v>358</v>
      </c>
      <c r="J4546" t="s">
        <v>357</v>
      </c>
      <c r="K4546" t="b">
        <v>0</v>
      </c>
      <c r="L4546">
        <v>2013</v>
      </c>
      <c r="M4546">
        <v>28915786516</v>
      </c>
      <c r="N4546">
        <v>148845200696</v>
      </c>
      <c r="O4546" t="b">
        <v>1</v>
      </c>
      <c r="P4546">
        <v>-1</v>
      </c>
      <c r="Q4546" t="str" cm="1">
        <f t="array" ref="Q4546">_xlfn.IFS(Table1[[#This Row],[Wealthier_Winner]]=-1,"Wealthier Nation Loses",Table1[[#This Row],[Wealthier_Winner]]=0,"Tie",Table1[[#This Row],[Wealthier_Winner]]=1,"Wealthier Nation Wins")</f>
        <v>Wealthier Nation Loses</v>
      </c>
    </row>
    <row r="4547" spans="1:17" x14ac:dyDescent="0.2">
      <c r="A4547" s="1">
        <v>6736</v>
      </c>
      <c r="B4547" s="2">
        <v>41440</v>
      </c>
      <c r="C4547" s="7">
        <f>_xlfn.FLOOR.MATH(Table1[[#This Row],[year]],10)</f>
        <v>2010</v>
      </c>
      <c r="D4547" t="s">
        <v>273</v>
      </c>
      <c r="E4547" t="s">
        <v>274</v>
      </c>
      <c r="F4547">
        <v>1</v>
      </c>
      <c r="G4547">
        <v>1</v>
      </c>
      <c r="H4547" t="s">
        <v>224</v>
      </c>
      <c r="I4547" t="s">
        <v>275</v>
      </c>
      <c r="J4547" t="s">
        <v>273</v>
      </c>
      <c r="K4547" t="b">
        <v>0</v>
      </c>
      <c r="L4547">
        <v>2013</v>
      </c>
      <c r="M4547">
        <v>28037239462</v>
      </c>
      <c r="N4547">
        <v>43024018082</v>
      </c>
      <c r="O4547" t="b">
        <v>0</v>
      </c>
      <c r="P4547">
        <v>0</v>
      </c>
      <c r="Q4547" t="str" cm="1">
        <f t="array" ref="Q4547">_xlfn.IFS(Table1[[#This Row],[Wealthier_Winner]]=-1,"Wealthier Nation Loses",Table1[[#This Row],[Wealthier_Winner]]=0,"Tie",Table1[[#This Row],[Wealthier_Winner]]=1,"Wealthier Nation Wins")</f>
        <v>Tie</v>
      </c>
    </row>
    <row r="4548" spans="1:17" x14ac:dyDescent="0.2">
      <c r="A4548" s="1">
        <v>6738</v>
      </c>
      <c r="B4548" s="2">
        <v>41441</v>
      </c>
      <c r="C4548" s="7">
        <f>_xlfn.FLOOR.MATH(Table1[[#This Row],[year]],10)</f>
        <v>2010</v>
      </c>
      <c r="D4548" t="s">
        <v>639</v>
      </c>
      <c r="E4548" t="s">
        <v>53</v>
      </c>
      <c r="F4548">
        <v>1</v>
      </c>
      <c r="G4548">
        <v>1</v>
      </c>
      <c r="H4548" t="s">
        <v>224</v>
      </c>
      <c r="I4548" t="s">
        <v>696</v>
      </c>
      <c r="J4548" t="s">
        <v>639</v>
      </c>
      <c r="K4548" t="b">
        <v>0</v>
      </c>
      <c r="L4548">
        <v>2013</v>
      </c>
      <c r="M4548">
        <v>21948834283</v>
      </c>
      <c r="N4548">
        <v>48685446413</v>
      </c>
      <c r="O4548" t="b">
        <v>1</v>
      </c>
      <c r="P4548">
        <v>0</v>
      </c>
      <c r="Q4548" t="str" cm="1">
        <f t="array" ref="Q4548">_xlfn.IFS(Table1[[#This Row],[Wealthier_Winner]]=-1,"Wealthier Nation Loses",Table1[[#This Row],[Wealthier_Winner]]=0,"Tie",Table1[[#This Row],[Wealthier_Winner]]=1,"Wealthier Nation Wins")</f>
        <v>Tie</v>
      </c>
    </row>
    <row r="4549" spans="1:17" x14ac:dyDescent="0.2">
      <c r="A4549" s="1">
        <v>6739</v>
      </c>
      <c r="B4549" s="2">
        <v>41441</v>
      </c>
      <c r="C4549" s="7">
        <f>_xlfn.FLOOR.MATH(Table1[[#This Row],[year]],10)</f>
        <v>2010</v>
      </c>
      <c r="D4549" t="s">
        <v>238</v>
      </c>
      <c r="E4549" t="s">
        <v>50</v>
      </c>
      <c r="F4549">
        <v>2</v>
      </c>
      <c r="G4549">
        <v>1</v>
      </c>
      <c r="H4549" t="s">
        <v>224</v>
      </c>
      <c r="I4549" t="s">
        <v>288</v>
      </c>
      <c r="J4549" t="s">
        <v>238</v>
      </c>
      <c r="K4549" t="b">
        <v>0</v>
      </c>
      <c r="L4549">
        <v>2013</v>
      </c>
      <c r="M4549">
        <v>47648276605</v>
      </c>
      <c r="N4549">
        <v>400886013595</v>
      </c>
      <c r="O4549" t="b">
        <v>1</v>
      </c>
      <c r="P4549">
        <v>-1</v>
      </c>
      <c r="Q4549" t="str" cm="1">
        <f t="array" ref="Q4549">_xlfn.IFS(Table1[[#This Row],[Wealthier_Winner]]=-1,"Wealthier Nation Loses",Table1[[#This Row],[Wealthier_Winner]]=0,"Tie",Table1[[#This Row],[Wealthier_Winner]]=1,"Wealthier Nation Wins")</f>
        <v>Wealthier Nation Loses</v>
      </c>
    </row>
    <row r="4550" spans="1:17" x14ac:dyDescent="0.2">
      <c r="A4550" s="1">
        <v>6740</v>
      </c>
      <c r="B4550" s="2">
        <v>41441</v>
      </c>
      <c r="C4550" s="7">
        <f>_xlfn.FLOOR.MATH(Table1[[#This Row],[year]],10)</f>
        <v>2010</v>
      </c>
      <c r="D4550" t="s">
        <v>305</v>
      </c>
      <c r="E4550" t="s">
        <v>298</v>
      </c>
      <c r="F4550">
        <v>1</v>
      </c>
      <c r="G4550">
        <v>0</v>
      </c>
      <c r="H4550" t="s">
        <v>224</v>
      </c>
      <c r="I4550" t="s">
        <v>306</v>
      </c>
      <c r="J4550" t="s">
        <v>305</v>
      </c>
      <c r="K4550" t="b">
        <v>0</v>
      </c>
      <c r="L4550">
        <v>2013</v>
      </c>
      <c r="M4550">
        <v>8376613539</v>
      </c>
      <c r="N4550">
        <v>19100750000</v>
      </c>
      <c r="O4550" t="b">
        <v>1</v>
      </c>
      <c r="P4550">
        <v>-1</v>
      </c>
      <c r="Q4550" t="str" cm="1">
        <f t="array" ref="Q4550">_xlfn.IFS(Table1[[#This Row],[Wealthier_Winner]]=-1,"Wealthier Nation Loses",Table1[[#This Row],[Wealthier_Winner]]=0,"Tie",Table1[[#This Row],[Wealthier_Winner]]=1,"Wealthier Nation Wins")</f>
        <v>Wealthier Nation Loses</v>
      </c>
    </row>
    <row r="4551" spans="1:17" x14ac:dyDescent="0.2">
      <c r="A4551" s="1">
        <v>6741</v>
      </c>
      <c r="B4551" s="2">
        <v>41441</v>
      </c>
      <c r="C4551" s="7">
        <f>_xlfn.FLOOR.MATH(Table1[[#This Row],[year]],10)</f>
        <v>2010</v>
      </c>
      <c r="D4551" t="s">
        <v>307</v>
      </c>
      <c r="E4551" t="s">
        <v>63</v>
      </c>
      <c r="F4551">
        <v>0</v>
      </c>
      <c r="G4551">
        <v>2</v>
      </c>
      <c r="H4551" t="s">
        <v>224</v>
      </c>
      <c r="I4551" t="s">
        <v>308</v>
      </c>
      <c r="J4551" t="s">
        <v>307</v>
      </c>
      <c r="K4551" t="b">
        <v>0</v>
      </c>
      <c r="L4551">
        <v>2013</v>
      </c>
      <c r="M4551">
        <v>2367112931</v>
      </c>
      <c r="N4551">
        <v>62845721959</v>
      </c>
      <c r="O4551" t="b">
        <v>1</v>
      </c>
      <c r="P4551">
        <v>1</v>
      </c>
      <c r="Q4551" t="str" cm="1">
        <f t="array" ref="Q4551">_xlfn.IFS(Table1[[#This Row],[Wealthier_Winner]]=-1,"Wealthier Nation Loses",Table1[[#This Row],[Wealthier_Winner]]=0,"Tie",Table1[[#This Row],[Wealthier_Winner]]=1,"Wealthier Nation Wins")</f>
        <v>Wealthier Nation Wins</v>
      </c>
    </row>
    <row r="4552" spans="1:17" x14ac:dyDescent="0.2">
      <c r="A4552" s="1">
        <v>6742</v>
      </c>
      <c r="B4552" s="2">
        <v>41441</v>
      </c>
      <c r="C4552" s="7">
        <f>_xlfn.FLOOR.MATH(Table1[[#This Row],[year]],10)</f>
        <v>2010</v>
      </c>
      <c r="D4552" t="s">
        <v>378</v>
      </c>
      <c r="E4552" t="s">
        <v>54</v>
      </c>
      <c r="F4552">
        <v>0</v>
      </c>
      <c r="G4552">
        <v>2</v>
      </c>
      <c r="H4552" t="s">
        <v>224</v>
      </c>
      <c r="I4552" t="s">
        <v>595</v>
      </c>
      <c r="J4552" t="s">
        <v>378</v>
      </c>
      <c r="K4552" t="b">
        <v>0</v>
      </c>
      <c r="L4552">
        <v>2013</v>
      </c>
      <c r="M4552">
        <v>3177198100</v>
      </c>
      <c r="N4552">
        <v>18918667724</v>
      </c>
      <c r="O4552" t="b">
        <v>1</v>
      </c>
      <c r="P4552">
        <v>1</v>
      </c>
      <c r="Q4552" t="str" cm="1">
        <f t="array" ref="Q4552">_xlfn.IFS(Table1[[#This Row],[Wealthier_Winner]]=-1,"Wealthier Nation Loses",Table1[[#This Row],[Wealthier_Winner]]=0,"Tie",Table1[[#This Row],[Wealthier_Winner]]=1,"Wealthier Nation Wins")</f>
        <v>Wealthier Nation Wins</v>
      </c>
    </row>
    <row r="4553" spans="1:17" x14ac:dyDescent="0.2">
      <c r="A4553" s="1">
        <v>6743</v>
      </c>
      <c r="B4553" s="2">
        <v>41441</v>
      </c>
      <c r="C4553" s="7">
        <f>_xlfn.FLOOR.MATH(Table1[[#This Row],[year]],10)</f>
        <v>2010</v>
      </c>
      <c r="D4553" t="s">
        <v>590</v>
      </c>
      <c r="E4553" t="s">
        <v>310</v>
      </c>
      <c r="F4553">
        <v>2</v>
      </c>
      <c r="G4553">
        <v>2</v>
      </c>
      <c r="H4553" t="s">
        <v>224</v>
      </c>
      <c r="I4553" t="s">
        <v>596</v>
      </c>
      <c r="J4553" t="s">
        <v>590</v>
      </c>
      <c r="K4553" t="b">
        <v>0</v>
      </c>
      <c r="L4553">
        <v>2013</v>
      </c>
      <c r="M4553">
        <v>15747192680</v>
      </c>
      <c r="N4553">
        <v>12517845123</v>
      </c>
      <c r="O4553" t="b">
        <v>0</v>
      </c>
      <c r="P4553">
        <v>0</v>
      </c>
      <c r="Q4553" t="str" cm="1">
        <f t="array" ref="Q4553">_xlfn.IFS(Table1[[#This Row],[Wealthier_Winner]]=-1,"Wealthier Nation Loses",Table1[[#This Row],[Wealthier_Winner]]=0,"Tie",Table1[[#This Row],[Wealthier_Winner]]=1,"Wealthier Nation Wins")</f>
        <v>Tie</v>
      </c>
    </row>
    <row r="4554" spans="1:17" x14ac:dyDescent="0.2">
      <c r="A4554" s="1">
        <v>6744</v>
      </c>
      <c r="B4554" s="2">
        <v>41441</v>
      </c>
      <c r="C4554" s="7">
        <f>_xlfn.FLOOR.MATH(Table1[[#This Row],[year]],10)</f>
        <v>2010</v>
      </c>
      <c r="D4554" t="s">
        <v>300</v>
      </c>
      <c r="E4554" t="s">
        <v>212</v>
      </c>
      <c r="F4554">
        <v>0</v>
      </c>
      <c r="G4554">
        <v>1</v>
      </c>
      <c r="H4554" t="s">
        <v>224</v>
      </c>
      <c r="I4554" t="s">
        <v>299</v>
      </c>
      <c r="J4554" t="s">
        <v>300</v>
      </c>
      <c r="K4554" t="b">
        <v>0</v>
      </c>
      <c r="L4554">
        <v>2013</v>
      </c>
      <c r="M4554">
        <v>17198073057</v>
      </c>
      <c r="N4554">
        <v>288434108527</v>
      </c>
      <c r="O4554" t="b">
        <v>1</v>
      </c>
      <c r="P4554">
        <v>1</v>
      </c>
      <c r="Q4554" t="str" cm="1">
        <f t="array" ref="Q4554">_xlfn.IFS(Table1[[#This Row],[Wealthier_Winner]]=-1,"Wealthier Nation Loses",Table1[[#This Row],[Wealthier_Winner]]=0,"Tie",Table1[[#This Row],[Wealthier_Winner]]=1,"Wealthier Nation Wins")</f>
        <v>Wealthier Nation Wins</v>
      </c>
    </row>
    <row r="4555" spans="1:17" x14ac:dyDescent="0.2">
      <c r="A4555" s="1">
        <v>6745</v>
      </c>
      <c r="B4555" s="2">
        <v>41441</v>
      </c>
      <c r="C4555" s="7">
        <f>_xlfn.FLOOR.MATH(Table1[[#This Row],[year]],10)</f>
        <v>2010</v>
      </c>
      <c r="D4555" t="s">
        <v>514</v>
      </c>
      <c r="E4555" t="s">
        <v>32</v>
      </c>
      <c r="F4555">
        <v>0</v>
      </c>
      <c r="G4555">
        <v>1</v>
      </c>
      <c r="H4555" t="s">
        <v>224</v>
      </c>
      <c r="I4555" t="s">
        <v>515</v>
      </c>
      <c r="J4555" t="s">
        <v>514</v>
      </c>
      <c r="K4555" t="b">
        <v>0</v>
      </c>
      <c r="L4555">
        <v>2013</v>
      </c>
      <c r="M4555">
        <v>7819964030</v>
      </c>
      <c r="N4555">
        <v>229701430292</v>
      </c>
      <c r="O4555" t="b">
        <v>1</v>
      </c>
      <c r="P4555">
        <v>1</v>
      </c>
      <c r="Q4555" t="str" cm="1">
        <f t="array" ref="Q4555">_xlfn.IFS(Table1[[#This Row],[Wealthier_Winner]]=-1,"Wealthier Nation Loses",Table1[[#This Row],[Wealthier_Winner]]=0,"Tie",Table1[[#This Row],[Wealthier_Winner]]=1,"Wealthier Nation Wins")</f>
        <v>Wealthier Nation Wins</v>
      </c>
    </row>
    <row r="4556" spans="1:17" x14ac:dyDescent="0.2">
      <c r="A4556" s="1">
        <v>6747</v>
      </c>
      <c r="B4556" s="2">
        <v>41443</v>
      </c>
      <c r="C4556" s="7">
        <f>_xlfn.FLOOR.MATH(Table1[[#This Row],[year]],10)</f>
        <v>2010</v>
      </c>
      <c r="D4556" t="s">
        <v>28</v>
      </c>
      <c r="E4556" t="s">
        <v>37</v>
      </c>
      <c r="F4556">
        <v>1</v>
      </c>
      <c r="G4556">
        <v>0</v>
      </c>
      <c r="H4556" t="s">
        <v>224</v>
      </c>
      <c r="I4556" t="s">
        <v>301</v>
      </c>
      <c r="J4556" t="s">
        <v>28</v>
      </c>
      <c r="K4556" t="b">
        <v>0</v>
      </c>
      <c r="L4556">
        <v>2013</v>
      </c>
      <c r="M4556">
        <v>1583737461925</v>
      </c>
      <c r="N4556">
        <v>234637675128</v>
      </c>
      <c r="O4556" t="b">
        <v>1</v>
      </c>
      <c r="P4556">
        <v>1</v>
      </c>
      <c r="Q4556" t="str" cm="1">
        <f t="array" ref="Q4556">_xlfn.IFS(Table1[[#This Row],[Wealthier_Winner]]=-1,"Wealthier Nation Loses",Table1[[#This Row],[Wealthier_Winner]]=0,"Tie",Table1[[#This Row],[Wealthier_Winner]]=1,"Wealthier Nation Wins")</f>
        <v>Wealthier Nation Wins</v>
      </c>
    </row>
    <row r="4557" spans="1:17" x14ac:dyDescent="0.2">
      <c r="A4557" s="1">
        <v>6748</v>
      </c>
      <c r="B4557" s="2">
        <v>41443</v>
      </c>
      <c r="C4557" s="7">
        <f>_xlfn.FLOOR.MATH(Table1[[#This Row],[year]],10)</f>
        <v>2010</v>
      </c>
      <c r="D4557" t="s">
        <v>56</v>
      </c>
      <c r="E4557" t="s">
        <v>67</v>
      </c>
      <c r="F4557">
        <v>2</v>
      </c>
      <c r="G4557">
        <v>0</v>
      </c>
      <c r="H4557" t="s">
        <v>224</v>
      </c>
      <c r="I4557" t="s">
        <v>225</v>
      </c>
      <c r="J4557" t="s">
        <v>56</v>
      </c>
      <c r="K4557" t="b">
        <v>0</v>
      </c>
      <c r="L4557">
        <v>2013</v>
      </c>
      <c r="M4557">
        <v>50949668841</v>
      </c>
      <c r="N4557">
        <v>46949496479</v>
      </c>
      <c r="O4557" t="b">
        <v>0</v>
      </c>
      <c r="P4557">
        <v>1</v>
      </c>
      <c r="Q4557" t="str" cm="1">
        <f t="array" ref="Q4557">_xlfn.IFS(Table1[[#This Row],[Wealthier_Winner]]=-1,"Wealthier Nation Loses",Table1[[#This Row],[Wealthier_Winner]]=0,"Tie",Table1[[#This Row],[Wealthier_Winner]]=1,"Wealthier Nation Wins")</f>
        <v>Wealthier Nation Wins</v>
      </c>
    </row>
    <row r="4558" spans="1:17" x14ac:dyDescent="0.2">
      <c r="A4558" s="1">
        <v>6749</v>
      </c>
      <c r="B4558" s="2">
        <v>41443</v>
      </c>
      <c r="C4558" s="7">
        <f>_xlfn.FLOOR.MATH(Table1[[#This Row],[year]],10)</f>
        <v>2010</v>
      </c>
      <c r="D4558" t="s">
        <v>403</v>
      </c>
      <c r="E4558" t="s">
        <v>429</v>
      </c>
      <c r="F4558">
        <v>1</v>
      </c>
      <c r="G4558">
        <v>0</v>
      </c>
      <c r="H4558" t="s">
        <v>224</v>
      </c>
      <c r="I4558" t="s">
        <v>404</v>
      </c>
      <c r="J4558" t="s">
        <v>403</v>
      </c>
      <c r="K4558" t="b">
        <v>0</v>
      </c>
      <c r="L4558">
        <v>2013</v>
      </c>
      <c r="M4558">
        <v>34454440140</v>
      </c>
      <c r="N4558">
        <v>89936020806</v>
      </c>
      <c r="O4558" t="b">
        <v>1</v>
      </c>
      <c r="P4558">
        <v>-1</v>
      </c>
      <c r="Q4558" t="str" cm="1">
        <f t="array" ref="Q4558">_xlfn.IFS(Table1[[#This Row],[Wealthier_Winner]]=-1,"Wealthier Nation Loses",Table1[[#This Row],[Wealthier_Winner]]=0,"Tie",Table1[[#This Row],[Wealthier_Winner]]=1,"Wealthier Nation Wins")</f>
        <v>Wealthier Nation Loses</v>
      </c>
    </row>
    <row r="4559" spans="1:17" x14ac:dyDescent="0.2">
      <c r="A4559" s="1">
        <v>6750</v>
      </c>
      <c r="B4559" s="2">
        <v>41443</v>
      </c>
      <c r="C4559" s="7">
        <f>_xlfn.FLOOR.MATH(Table1[[#This Row],[year]],10)</f>
        <v>2010</v>
      </c>
      <c r="D4559" t="s">
        <v>195</v>
      </c>
      <c r="E4559" t="s">
        <v>210</v>
      </c>
      <c r="F4559">
        <v>0</v>
      </c>
      <c r="G4559">
        <v>1</v>
      </c>
      <c r="H4559" t="s">
        <v>224</v>
      </c>
      <c r="I4559" t="s">
        <v>138</v>
      </c>
      <c r="J4559" t="s">
        <v>195</v>
      </c>
      <c r="K4559" t="b">
        <v>0</v>
      </c>
      <c r="L4559">
        <v>2013</v>
      </c>
      <c r="M4559">
        <v>1434669686501</v>
      </c>
      <c r="N4559">
        <v>500399839839</v>
      </c>
      <c r="O4559" t="b">
        <v>1</v>
      </c>
      <c r="P4559">
        <v>-1</v>
      </c>
      <c r="Q4559" t="str" cm="1">
        <f t="array" ref="Q4559">_xlfn.IFS(Table1[[#This Row],[Wealthier_Winner]]=-1,"Wealthier Nation Loses",Table1[[#This Row],[Wealthier_Winner]]=0,"Tie",Table1[[#This Row],[Wealthier_Winner]]=1,"Wealthier Nation Wins")</f>
        <v>Wealthier Nation Loses</v>
      </c>
    </row>
    <row r="4560" spans="1:17" x14ac:dyDescent="0.2">
      <c r="A4560" s="1">
        <v>6751</v>
      </c>
      <c r="B4560" s="2">
        <v>41443</v>
      </c>
      <c r="C4560" s="7">
        <f>_xlfn.FLOOR.MATH(Table1[[#This Row],[year]],10)</f>
        <v>2010</v>
      </c>
      <c r="D4560" t="s">
        <v>41</v>
      </c>
      <c r="E4560" t="s">
        <v>65</v>
      </c>
      <c r="F4560">
        <v>1</v>
      </c>
      <c r="G4560">
        <v>0</v>
      </c>
      <c r="H4560" t="s">
        <v>224</v>
      </c>
      <c r="I4560" t="s">
        <v>766</v>
      </c>
      <c r="J4560" t="s">
        <v>41</v>
      </c>
      <c r="K4560" t="b">
        <v>0</v>
      </c>
      <c r="L4560">
        <v>2013</v>
      </c>
      <c r="M4560">
        <v>16843190993000</v>
      </c>
      <c r="N4560">
        <v>18499729214</v>
      </c>
      <c r="O4560" t="b">
        <v>1</v>
      </c>
      <c r="P4560">
        <v>1</v>
      </c>
      <c r="Q4560" t="str" cm="1">
        <f t="array" ref="Q4560">_xlfn.IFS(Table1[[#This Row],[Wealthier_Winner]]=-1,"Wealthier Nation Loses",Table1[[#This Row],[Wealthier_Winner]]=0,"Tie",Table1[[#This Row],[Wealthier_Winner]]=1,"Wealthier Nation Wins")</f>
        <v>Wealthier Nation Wins</v>
      </c>
    </row>
    <row r="4561" spans="1:17" x14ac:dyDescent="0.2">
      <c r="A4561" s="1">
        <v>6752</v>
      </c>
      <c r="B4561" s="2">
        <v>41443</v>
      </c>
      <c r="C4561" s="7">
        <f>_xlfn.FLOOR.MATH(Table1[[#This Row],[year]],10)</f>
        <v>2010</v>
      </c>
      <c r="D4561" t="s">
        <v>563</v>
      </c>
      <c r="E4561" t="s">
        <v>68</v>
      </c>
      <c r="F4561">
        <v>5</v>
      </c>
      <c r="G4561">
        <v>1</v>
      </c>
      <c r="H4561" t="s">
        <v>224</v>
      </c>
      <c r="I4561" t="s">
        <v>564</v>
      </c>
      <c r="J4561" t="s">
        <v>563</v>
      </c>
      <c r="K4561" t="b">
        <v>0</v>
      </c>
      <c r="L4561">
        <v>2013</v>
      </c>
      <c r="M4561">
        <v>73180037914</v>
      </c>
      <c r="N4561">
        <v>198727747252</v>
      </c>
      <c r="O4561" t="b">
        <v>1</v>
      </c>
      <c r="P4561">
        <v>-1</v>
      </c>
      <c r="Q4561" t="str" cm="1">
        <f t="array" ref="Q4561">_xlfn.IFS(Table1[[#This Row],[Wealthier_Winner]]=-1,"Wealthier Nation Loses",Table1[[#This Row],[Wealthier_Winner]]=0,"Tie",Table1[[#This Row],[Wealthier_Winner]]=1,"Wealthier Nation Wins")</f>
        <v>Wealthier Nation Loses</v>
      </c>
    </row>
    <row r="4562" spans="1:17" x14ac:dyDescent="0.2">
      <c r="A4562" s="1">
        <v>6755</v>
      </c>
      <c r="B4562" s="2">
        <v>41523</v>
      </c>
      <c r="C4562" s="7">
        <f>_xlfn.FLOOR.MATH(Table1[[#This Row],[year]],10)</f>
        <v>2010</v>
      </c>
      <c r="D4562" t="s">
        <v>14</v>
      </c>
      <c r="E4562" t="s">
        <v>258</v>
      </c>
      <c r="F4562">
        <v>3</v>
      </c>
      <c r="G4562">
        <v>0</v>
      </c>
      <c r="H4562" t="s">
        <v>224</v>
      </c>
      <c r="I4562" t="s">
        <v>75</v>
      </c>
      <c r="J4562" t="s">
        <v>14</v>
      </c>
      <c r="K4562" t="b">
        <v>0</v>
      </c>
      <c r="L4562">
        <v>2013</v>
      </c>
      <c r="M4562">
        <v>277395018842</v>
      </c>
      <c r="N4562">
        <v>258930655486</v>
      </c>
      <c r="O4562" t="b">
        <v>0</v>
      </c>
      <c r="P4562">
        <v>1</v>
      </c>
      <c r="Q4562" t="str" cm="1">
        <f t="array" ref="Q4562">_xlfn.IFS(Table1[[#This Row],[Wealthier_Winner]]=-1,"Wealthier Nation Loses",Table1[[#This Row],[Wealthier_Winner]]=0,"Tie",Table1[[#This Row],[Wealthier_Winner]]=1,"Wealthier Nation Wins")</f>
        <v>Wealthier Nation Wins</v>
      </c>
    </row>
    <row r="4563" spans="1:17" x14ac:dyDescent="0.2">
      <c r="A4563" s="1">
        <v>6756</v>
      </c>
      <c r="B4563" s="2">
        <v>41523</v>
      </c>
      <c r="C4563" s="7">
        <f>_xlfn.FLOOR.MATH(Table1[[#This Row],[year]],10)</f>
        <v>2010</v>
      </c>
      <c r="D4563" t="s">
        <v>15</v>
      </c>
      <c r="E4563" t="s">
        <v>57</v>
      </c>
      <c r="F4563">
        <v>1</v>
      </c>
      <c r="G4563">
        <v>0</v>
      </c>
      <c r="H4563" t="s">
        <v>224</v>
      </c>
      <c r="I4563" t="s">
        <v>261</v>
      </c>
      <c r="J4563" t="s">
        <v>15</v>
      </c>
      <c r="K4563" t="b">
        <v>0</v>
      </c>
      <c r="L4563">
        <v>2013</v>
      </c>
      <c r="M4563">
        <v>382093697077</v>
      </c>
      <c r="N4563">
        <v>96570334000</v>
      </c>
      <c r="O4563" t="b">
        <v>1</v>
      </c>
      <c r="P4563">
        <v>1</v>
      </c>
      <c r="Q4563" t="str" cm="1">
        <f t="array" ref="Q4563">_xlfn.IFS(Table1[[#This Row],[Wealthier_Winner]]=-1,"Wealthier Nation Loses",Table1[[#This Row],[Wealthier_Winner]]=0,"Tie",Table1[[#This Row],[Wealthier_Winner]]=1,"Wealthier Nation Wins")</f>
        <v>Wealthier Nation Wins</v>
      </c>
    </row>
    <row r="4564" spans="1:17" x14ac:dyDescent="0.2">
      <c r="A4564" s="1">
        <v>6757</v>
      </c>
      <c r="B4564" s="2">
        <v>41523</v>
      </c>
      <c r="C4564" s="7">
        <f>_xlfn.FLOOR.MATH(Table1[[#This Row],[year]],10)</f>
        <v>2010</v>
      </c>
      <c r="D4564" t="s">
        <v>56</v>
      </c>
      <c r="E4564" t="s">
        <v>41</v>
      </c>
      <c r="F4564">
        <v>3</v>
      </c>
      <c r="G4564">
        <v>1</v>
      </c>
      <c r="H4564" t="s">
        <v>224</v>
      </c>
      <c r="I4564" t="s">
        <v>225</v>
      </c>
      <c r="J4564" t="s">
        <v>56</v>
      </c>
      <c r="K4564" t="b">
        <v>0</v>
      </c>
      <c r="L4564">
        <v>2013</v>
      </c>
      <c r="M4564">
        <v>50949668841</v>
      </c>
      <c r="N4564">
        <v>16843190993000</v>
      </c>
      <c r="O4564" t="b">
        <v>1</v>
      </c>
      <c r="P4564">
        <v>-1</v>
      </c>
      <c r="Q4564" t="str" cm="1">
        <f t="array" ref="Q4564">_xlfn.IFS(Table1[[#This Row],[Wealthier_Winner]]=-1,"Wealthier Nation Loses",Table1[[#This Row],[Wealthier_Winner]]=0,"Tie",Table1[[#This Row],[Wealthier_Winner]]=1,"Wealthier Nation Wins")</f>
        <v>Wealthier Nation Loses</v>
      </c>
    </row>
    <row r="4565" spans="1:17" x14ac:dyDescent="0.2">
      <c r="A4565" s="1">
        <v>6759</v>
      </c>
      <c r="B4565" s="2">
        <v>41523</v>
      </c>
      <c r="C4565" s="7">
        <f>_xlfn.FLOOR.MATH(Table1[[#This Row],[year]],10)</f>
        <v>2010</v>
      </c>
      <c r="D4565" t="s">
        <v>194</v>
      </c>
      <c r="E4565" t="s">
        <v>527</v>
      </c>
      <c r="F4565">
        <v>4</v>
      </c>
      <c r="G4565">
        <v>0</v>
      </c>
      <c r="H4565" t="s">
        <v>224</v>
      </c>
      <c r="I4565" t="s">
        <v>80</v>
      </c>
      <c r="J4565" t="s">
        <v>194</v>
      </c>
      <c r="K4565" t="b">
        <v>0</v>
      </c>
      <c r="L4565">
        <v>2013</v>
      </c>
      <c r="M4565">
        <v>2796908333283</v>
      </c>
      <c r="N4565">
        <v>9496717875</v>
      </c>
      <c r="O4565" t="b">
        <v>1</v>
      </c>
      <c r="P4565">
        <v>1</v>
      </c>
      <c r="Q4565" t="str" cm="1">
        <f t="array" ref="Q4565">_xlfn.IFS(Table1[[#This Row],[Wealthier_Winner]]=-1,"Wealthier Nation Loses",Table1[[#This Row],[Wealthier_Winner]]=0,"Tie",Table1[[#This Row],[Wealthier_Winner]]=1,"Wealthier Nation Wins")</f>
        <v>Wealthier Nation Wins</v>
      </c>
    </row>
    <row r="4566" spans="1:17" x14ac:dyDescent="0.2">
      <c r="A4566" s="1">
        <v>6760</v>
      </c>
      <c r="B4566" s="2">
        <v>41523</v>
      </c>
      <c r="C4566" s="7">
        <f>_xlfn.FLOOR.MATH(Table1[[#This Row],[year]],10)</f>
        <v>2010</v>
      </c>
      <c r="D4566" t="s">
        <v>476</v>
      </c>
      <c r="E4566" t="s">
        <v>27</v>
      </c>
      <c r="F4566">
        <v>2</v>
      </c>
      <c r="G4566">
        <v>2</v>
      </c>
      <c r="H4566" t="s">
        <v>224</v>
      </c>
      <c r="I4566" t="s">
        <v>481</v>
      </c>
      <c r="J4566" t="s">
        <v>476</v>
      </c>
      <c r="K4566" t="b">
        <v>0</v>
      </c>
      <c r="L4566">
        <v>2013</v>
      </c>
      <c r="M4566">
        <v>25451032780</v>
      </c>
      <c r="N4566">
        <v>883951539006</v>
      </c>
      <c r="O4566" t="b">
        <v>1</v>
      </c>
      <c r="P4566">
        <v>0</v>
      </c>
      <c r="Q4566" t="str" cm="1">
        <f t="array" ref="Q4566">_xlfn.IFS(Table1[[#This Row],[Wealthier_Winner]]=-1,"Wealthier Nation Loses",Table1[[#This Row],[Wealthier_Winner]]=0,"Tie",Table1[[#This Row],[Wealthier_Winner]]=1,"Wealthier Nation Wins")</f>
        <v>Tie</v>
      </c>
    </row>
    <row r="4567" spans="1:17" x14ac:dyDescent="0.2">
      <c r="A4567" s="1">
        <v>6761</v>
      </c>
      <c r="B4567" s="2">
        <v>41523</v>
      </c>
      <c r="C4567" s="7">
        <f>_xlfn.FLOOR.MATH(Table1[[#This Row],[year]],10)</f>
        <v>2010</v>
      </c>
      <c r="D4567" t="s">
        <v>230</v>
      </c>
      <c r="E4567" t="s">
        <v>21</v>
      </c>
      <c r="F4567">
        <v>0</v>
      </c>
      <c r="G4567">
        <v>2</v>
      </c>
      <c r="H4567" t="s">
        <v>224</v>
      </c>
      <c r="I4567" t="s">
        <v>231</v>
      </c>
      <c r="J4567" t="s">
        <v>230</v>
      </c>
      <c r="K4567" t="b">
        <v>0</v>
      </c>
      <c r="L4567">
        <v>2013</v>
      </c>
      <c r="M4567">
        <v>270268036626</v>
      </c>
      <c r="N4567">
        <v>1362186923157</v>
      </c>
      <c r="O4567" t="b">
        <v>1</v>
      </c>
      <c r="P4567">
        <v>1</v>
      </c>
      <c r="Q4567" t="str" cm="1">
        <f t="array" ref="Q4567">_xlfn.IFS(Table1[[#This Row],[Wealthier_Winner]]=-1,"Wealthier Nation Loses",Table1[[#This Row],[Wealthier_Winner]]=0,"Tie",Table1[[#This Row],[Wealthier_Winner]]=1,"Wealthier Nation Wins")</f>
        <v>Wealthier Nation Wins</v>
      </c>
    </row>
    <row r="4568" spans="1:17" x14ac:dyDescent="0.2">
      <c r="A4568" s="1">
        <v>6762</v>
      </c>
      <c r="B4568" s="2">
        <v>41523</v>
      </c>
      <c r="C4568" s="7">
        <f>_xlfn.FLOOR.MATH(Table1[[#This Row],[year]],10)</f>
        <v>2010</v>
      </c>
      <c r="D4568" t="s">
        <v>534</v>
      </c>
      <c r="E4568" t="s">
        <v>20</v>
      </c>
      <c r="F4568">
        <v>0</v>
      </c>
      <c r="G4568">
        <v>0</v>
      </c>
      <c r="H4568" t="s">
        <v>224</v>
      </c>
      <c r="I4568" t="s">
        <v>536</v>
      </c>
      <c r="J4568" t="s">
        <v>534</v>
      </c>
      <c r="K4568" t="b">
        <v>0</v>
      </c>
      <c r="L4568">
        <v>2013</v>
      </c>
      <c r="M4568">
        <v>17517660143</v>
      </c>
      <c r="N4568">
        <v>2816077607875</v>
      </c>
      <c r="O4568" t="b">
        <v>1</v>
      </c>
      <c r="P4568">
        <v>0</v>
      </c>
      <c r="Q4568" t="str" cm="1">
        <f t="array" ref="Q4568">_xlfn.IFS(Table1[[#This Row],[Wealthier_Winner]]=-1,"Wealthier Nation Loses",Table1[[#This Row],[Wealthier_Winner]]=0,"Tie",Table1[[#This Row],[Wealthier_Winner]]=1,"Wealthier Nation Wins")</f>
        <v>Tie</v>
      </c>
    </row>
    <row r="4569" spans="1:17" x14ac:dyDescent="0.2">
      <c r="A4569" s="1">
        <v>6763</v>
      </c>
      <c r="B4569" s="2">
        <v>41523</v>
      </c>
      <c r="C4569" s="7">
        <f>_xlfn.FLOOR.MATH(Table1[[#This Row],[year]],10)</f>
        <v>2010</v>
      </c>
      <c r="D4569" t="s">
        <v>16</v>
      </c>
      <c r="E4569" t="s">
        <v>29</v>
      </c>
      <c r="F4569">
        <v>3</v>
      </c>
      <c r="G4569">
        <v>0</v>
      </c>
      <c r="H4569" t="s">
        <v>224</v>
      </c>
      <c r="I4569" t="s">
        <v>87</v>
      </c>
      <c r="J4569" t="s">
        <v>16</v>
      </c>
      <c r="K4569" t="b">
        <v>0</v>
      </c>
      <c r="L4569">
        <v>2013</v>
      </c>
      <c r="M4569">
        <v>3807023797050</v>
      </c>
      <c r="N4569">
        <v>426580502769</v>
      </c>
      <c r="O4569" t="b">
        <v>1</v>
      </c>
      <c r="P4569">
        <v>1</v>
      </c>
      <c r="Q4569" t="str" cm="1">
        <f t="array" ref="Q4569">_xlfn.IFS(Table1[[#This Row],[Wealthier_Winner]]=-1,"Wealthier Nation Loses",Table1[[#This Row],[Wealthier_Winner]]=0,"Tie",Table1[[#This Row],[Wealthier_Winner]]=1,"Wealthier Nation Wins")</f>
        <v>Wealthier Nation Wins</v>
      </c>
    </row>
    <row r="4570" spans="1:17" x14ac:dyDescent="0.2">
      <c r="A4570" s="1">
        <v>6764</v>
      </c>
      <c r="B4570" s="2">
        <v>41523</v>
      </c>
      <c r="C4570" s="7">
        <f>_xlfn.FLOOR.MATH(Table1[[#This Row],[year]],10)</f>
        <v>2010</v>
      </c>
      <c r="D4570" t="s">
        <v>63</v>
      </c>
      <c r="E4570" t="s">
        <v>273</v>
      </c>
      <c r="F4570">
        <v>2</v>
      </c>
      <c r="G4570">
        <v>1</v>
      </c>
      <c r="H4570" t="s">
        <v>224</v>
      </c>
      <c r="I4570" t="s">
        <v>313</v>
      </c>
      <c r="J4570" t="s">
        <v>63</v>
      </c>
      <c r="K4570" t="b">
        <v>0</v>
      </c>
      <c r="L4570">
        <v>2013</v>
      </c>
      <c r="M4570">
        <v>62845721959</v>
      </c>
      <c r="N4570">
        <v>28037239462</v>
      </c>
      <c r="O4570" t="b">
        <v>1</v>
      </c>
      <c r="P4570">
        <v>1</v>
      </c>
      <c r="Q4570" t="str" cm="1">
        <f t="array" ref="Q4570">_xlfn.IFS(Table1[[#This Row],[Wealthier_Winner]]=-1,"Wealthier Nation Loses",Table1[[#This Row],[Wealthier_Winner]]=0,"Tie",Table1[[#This Row],[Wealthier_Winner]]=1,"Wealthier Nation Wins")</f>
        <v>Wealthier Nation Wins</v>
      </c>
    </row>
    <row r="4571" spans="1:17" x14ac:dyDescent="0.2">
      <c r="A4571" s="1">
        <v>6766</v>
      </c>
      <c r="B4571" s="2">
        <v>41523</v>
      </c>
      <c r="C4571" s="7">
        <f>_xlfn.FLOOR.MATH(Table1[[#This Row],[year]],10)</f>
        <v>2010</v>
      </c>
      <c r="D4571" t="s">
        <v>18</v>
      </c>
      <c r="E4571" t="s">
        <v>33</v>
      </c>
      <c r="F4571">
        <v>1</v>
      </c>
      <c r="G4571">
        <v>0</v>
      </c>
      <c r="H4571" t="s">
        <v>224</v>
      </c>
      <c r="I4571" t="s">
        <v>213</v>
      </c>
      <c r="J4571" t="s">
        <v>18</v>
      </c>
      <c r="K4571" t="b">
        <v>0</v>
      </c>
      <c r="L4571">
        <v>2013</v>
      </c>
      <c r="M4571">
        <v>2153225581941</v>
      </c>
      <c r="N4571">
        <v>55819262374</v>
      </c>
      <c r="O4571" t="b">
        <v>1</v>
      </c>
      <c r="P4571">
        <v>1</v>
      </c>
      <c r="Q4571" t="str" cm="1">
        <f t="array" ref="Q4571">_xlfn.IFS(Table1[[#This Row],[Wealthier_Winner]]=-1,"Wealthier Nation Loses",Table1[[#This Row],[Wealthier_Winner]]=0,"Tie",Table1[[#This Row],[Wealthier_Winner]]=1,"Wealthier Nation Wins")</f>
        <v>Wealthier Nation Wins</v>
      </c>
    </row>
    <row r="4572" spans="1:17" x14ac:dyDescent="0.2">
      <c r="A4572" s="1">
        <v>6767</v>
      </c>
      <c r="B4572" s="2">
        <v>41523</v>
      </c>
      <c r="C4572" s="7">
        <f>_xlfn.FLOOR.MATH(Table1[[#This Row],[year]],10)</f>
        <v>2010</v>
      </c>
      <c r="D4572" t="s">
        <v>403</v>
      </c>
      <c r="E4572" t="s">
        <v>563</v>
      </c>
      <c r="F4572">
        <v>1</v>
      </c>
      <c r="G4572">
        <v>1</v>
      </c>
      <c r="H4572" t="s">
        <v>224</v>
      </c>
      <c r="I4572" t="s">
        <v>404</v>
      </c>
      <c r="J4572" t="s">
        <v>403</v>
      </c>
      <c r="K4572" t="b">
        <v>0</v>
      </c>
      <c r="L4572">
        <v>2013</v>
      </c>
      <c r="M4572">
        <v>34454440140</v>
      </c>
      <c r="N4572">
        <v>73180037914</v>
      </c>
      <c r="O4572" t="b">
        <v>1</v>
      </c>
      <c r="P4572">
        <v>0</v>
      </c>
      <c r="Q4572" t="str" cm="1">
        <f t="array" ref="Q4572">_xlfn.IFS(Table1[[#This Row],[Wealthier_Winner]]=-1,"Wealthier Nation Loses",Table1[[#This Row],[Wealthier_Winner]]=0,"Tie",Table1[[#This Row],[Wealthier_Winner]]=1,"Wealthier Nation Wins")</f>
        <v>Tie</v>
      </c>
    </row>
    <row r="4573" spans="1:17" x14ac:dyDescent="0.2">
      <c r="A4573" s="1">
        <v>6768</v>
      </c>
      <c r="B4573" s="2">
        <v>41523</v>
      </c>
      <c r="C4573" s="7">
        <f>_xlfn.FLOOR.MATH(Table1[[#This Row],[year]],10)</f>
        <v>2010</v>
      </c>
      <c r="D4573" t="s">
        <v>558</v>
      </c>
      <c r="E4573" t="s">
        <v>447</v>
      </c>
      <c r="F4573">
        <v>2</v>
      </c>
      <c r="G4573">
        <v>1</v>
      </c>
      <c r="H4573" t="s">
        <v>224</v>
      </c>
      <c r="I4573" t="s">
        <v>733</v>
      </c>
      <c r="J4573" t="s">
        <v>558</v>
      </c>
      <c r="K4573" t="b">
        <v>0</v>
      </c>
      <c r="L4573">
        <v>2013</v>
      </c>
      <c r="M4573">
        <v>236634603409</v>
      </c>
      <c r="N4573">
        <v>2690110520</v>
      </c>
      <c r="O4573" t="b">
        <v>1</v>
      </c>
      <c r="P4573">
        <v>1</v>
      </c>
      <c r="Q4573" t="str" cm="1">
        <f t="array" ref="Q4573">_xlfn.IFS(Table1[[#This Row],[Wealthier_Winner]]=-1,"Wealthier Nation Loses",Table1[[#This Row],[Wealthier_Winner]]=0,"Tie",Table1[[#This Row],[Wealthier_Winner]]=1,"Wealthier Nation Wins")</f>
        <v>Wealthier Nation Wins</v>
      </c>
    </row>
    <row r="4574" spans="1:17" x14ac:dyDescent="0.2">
      <c r="A4574" s="1">
        <v>6769</v>
      </c>
      <c r="B4574" s="2">
        <v>41523</v>
      </c>
      <c r="C4574" s="7">
        <f>_xlfn.FLOOR.MATH(Table1[[#This Row],[year]],10)</f>
        <v>2010</v>
      </c>
      <c r="D4574" t="s">
        <v>525</v>
      </c>
      <c r="E4574" t="s">
        <v>523</v>
      </c>
      <c r="F4574">
        <v>2</v>
      </c>
      <c r="G4574">
        <v>1</v>
      </c>
      <c r="H4574" t="s">
        <v>224</v>
      </c>
      <c r="I4574" t="s">
        <v>526</v>
      </c>
      <c r="J4574" t="s">
        <v>525</v>
      </c>
      <c r="K4574" t="b">
        <v>0</v>
      </c>
      <c r="L4574">
        <v>2013</v>
      </c>
      <c r="M4574">
        <v>29152128167</v>
      </c>
      <c r="N4574">
        <v>46303660422</v>
      </c>
      <c r="O4574" t="b">
        <v>0</v>
      </c>
      <c r="P4574">
        <v>-1</v>
      </c>
      <c r="Q4574" t="str" cm="1">
        <f t="array" ref="Q4574">_xlfn.IFS(Table1[[#This Row],[Wealthier_Winner]]=-1,"Wealthier Nation Loses",Table1[[#This Row],[Wealthier_Winner]]=0,"Tie",Table1[[#This Row],[Wealthier_Winner]]=1,"Wealthier Nation Wins")</f>
        <v>Wealthier Nation Loses</v>
      </c>
    </row>
    <row r="4575" spans="1:17" x14ac:dyDescent="0.2">
      <c r="A4575" s="1">
        <v>6770</v>
      </c>
      <c r="B4575" s="2">
        <v>41523</v>
      </c>
      <c r="C4575" s="7">
        <f>_xlfn.FLOOR.MATH(Table1[[#This Row],[year]],10)</f>
        <v>2010</v>
      </c>
      <c r="D4575" t="s">
        <v>503</v>
      </c>
      <c r="E4575" t="s">
        <v>48</v>
      </c>
      <c r="F4575">
        <v>0</v>
      </c>
      <c r="G4575">
        <v>1</v>
      </c>
      <c r="H4575" t="s">
        <v>224</v>
      </c>
      <c r="I4575" t="s">
        <v>603</v>
      </c>
      <c r="J4575" t="s">
        <v>503</v>
      </c>
      <c r="K4575" t="b">
        <v>0</v>
      </c>
      <c r="L4575">
        <v>2013</v>
      </c>
      <c r="M4575">
        <v>6391708310</v>
      </c>
      <c r="N4575">
        <v>236556279640</v>
      </c>
      <c r="O4575" t="b">
        <v>1</v>
      </c>
      <c r="P4575">
        <v>1</v>
      </c>
      <c r="Q4575" t="str" cm="1">
        <f t="array" ref="Q4575">_xlfn.IFS(Table1[[#This Row],[Wealthier_Winner]]=-1,"Wealthier Nation Loses",Table1[[#This Row],[Wealthier_Winner]]=0,"Tie",Table1[[#This Row],[Wealthier_Winner]]=1,"Wealthier Nation Wins")</f>
        <v>Wealthier Nation Wins</v>
      </c>
    </row>
    <row r="4576" spans="1:17" x14ac:dyDescent="0.2">
      <c r="A4576" s="1">
        <v>6772</v>
      </c>
      <c r="B4576" s="2">
        <v>41523</v>
      </c>
      <c r="C4576" s="7">
        <f>_xlfn.FLOOR.MATH(Table1[[#This Row],[year]],10)</f>
        <v>2010</v>
      </c>
      <c r="D4576" t="s">
        <v>303</v>
      </c>
      <c r="E4576" t="s">
        <v>36</v>
      </c>
      <c r="F4576">
        <v>1</v>
      </c>
      <c r="G4576">
        <v>2</v>
      </c>
      <c r="H4576" t="s">
        <v>224</v>
      </c>
      <c r="I4576" t="s">
        <v>399</v>
      </c>
      <c r="J4576" t="s">
        <v>303</v>
      </c>
      <c r="K4576" t="b">
        <v>0</v>
      </c>
      <c r="L4576">
        <v>2013</v>
      </c>
      <c r="M4576">
        <v>10796782636</v>
      </c>
      <c r="N4576">
        <v>344631016965</v>
      </c>
      <c r="O4576" t="b">
        <v>1</v>
      </c>
      <c r="P4576">
        <v>1</v>
      </c>
      <c r="Q4576" t="str" cm="1">
        <f t="array" ref="Q4576">_xlfn.IFS(Table1[[#This Row],[Wealthier_Winner]]=-1,"Wealthier Nation Loses",Table1[[#This Row],[Wealthier_Winner]]=0,"Tie",Table1[[#This Row],[Wealthier_Winner]]=1,"Wealthier Nation Wins")</f>
        <v>Wealthier Nation Wins</v>
      </c>
    </row>
    <row r="4577" spans="1:17" x14ac:dyDescent="0.2">
      <c r="A4577" s="1">
        <v>6773</v>
      </c>
      <c r="B4577" s="2">
        <v>41523</v>
      </c>
      <c r="C4577" s="7">
        <f>_xlfn.FLOOR.MATH(Table1[[#This Row],[year]],10)</f>
        <v>2010</v>
      </c>
      <c r="D4577" t="s">
        <v>17</v>
      </c>
      <c r="E4577" t="s">
        <v>65</v>
      </c>
      <c r="F4577">
        <v>1</v>
      </c>
      <c r="G4577">
        <v>2</v>
      </c>
      <c r="H4577" t="s">
        <v>224</v>
      </c>
      <c r="I4577" t="s">
        <v>83</v>
      </c>
      <c r="J4577" t="s">
        <v>17</v>
      </c>
      <c r="K4577" t="b">
        <v>0</v>
      </c>
      <c r="L4577">
        <v>2013</v>
      </c>
      <c r="M4577">
        <v>1327436290282</v>
      </c>
      <c r="N4577">
        <v>18499729214</v>
      </c>
      <c r="O4577" t="b">
        <v>1</v>
      </c>
      <c r="P4577">
        <v>-1</v>
      </c>
      <c r="Q4577" t="str" cm="1">
        <f t="array" ref="Q4577">_xlfn.IFS(Table1[[#This Row],[Wealthier_Winner]]=-1,"Wealthier Nation Loses",Table1[[#This Row],[Wealthier_Winner]]=0,"Tie",Table1[[#This Row],[Wealthier_Winner]]=1,"Wealthier Nation Wins")</f>
        <v>Wealthier Nation Loses</v>
      </c>
    </row>
    <row r="4578" spans="1:17" x14ac:dyDescent="0.2">
      <c r="A4578" s="1">
        <v>6775</v>
      </c>
      <c r="B4578" s="2">
        <v>41523</v>
      </c>
      <c r="C4578" s="7">
        <f>_xlfn.FLOOR.MATH(Table1[[#This Row],[year]],10)</f>
        <v>2010</v>
      </c>
      <c r="D4578" t="s">
        <v>42</v>
      </c>
      <c r="E4578" t="s">
        <v>351</v>
      </c>
      <c r="F4578">
        <v>2</v>
      </c>
      <c r="G4578">
        <v>0</v>
      </c>
      <c r="H4578" t="s">
        <v>224</v>
      </c>
      <c r="I4578" t="s">
        <v>262</v>
      </c>
      <c r="J4578" t="s">
        <v>42</v>
      </c>
      <c r="K4578" t="b">
        <v>0</v>
      </c>
      <c r="L4578">
        <v>2013</v>
      </c>
      <c r="M4578">
        <v>526014468085</v>
      </c>
      <c r="N4578">
        <v>23959712860</v>
      </c>
      <c r="O4578" t="b">
        <v>1</v>
      </c>
      <c r="P4578">
        <v>1</v>
      </c>
      <c r="Q4578" t="str" cm="1">
        <f t="array" ref="Q4578">_xlfn.IFS(Table1[[#This Row],[Wealthier_Winner]]=-1,"Wealthier Nation Loses",Table1[[#This Row],[Wealthier_Winner]]=0,"Tie",Table1[[#This Row],[Wealthier_Winner]]=1,"Wealthier Nation Wins")</f>
        <v>Wealthier Nation Wins</v>
      </c>
    </row>
    <row r="4579" spans="1:17" x14ac:dyDescent="0.2">
      <c r="A4579" s="1">
        <v>6776</v>
      </c>
      <c r="B4579" s="2">
        <v>41523</v>
      </c>
      <c r="C4579" s="7">
        <f>_xlfn.FLOOR.MATH(Table1[[#This Row],[year]],10)</f>
        <v>2010</v>
      </c>
      <c r="D4579" t="s">
        <v>67</v>
      </c>
      <c r="E4579" t="s">
        <v>49</v>
      </c>
      <c r="F4579">
        <v>0</v>
      </c>
      <c r="G4579">
        <v>0</v>
      </c>
      <c r="H4579" t="s">
        <v>224</v>
      </c>
      <c r="I4579" t="s">
        <v>455</v>
      </c>
      <c r="J4579" t="s">
        <v>67</v>
      </c>
      <c r="K4579" t="b">
        <v>0</v>
      </c>
      <c r="L4579">
        <v>2013</v>
      </c>
      <c r="M4579">
        <v>46949496479</v>
      </c>
      <c r="N4579">
        <v>14264205152</v>
      </c>
      <c r="O4579" t="b">
        <v>1</v>
      </c>
      <c r="P4579">
        <v>0</v>
      </c>
      <c r="Q4579" t="str" cm="1">
        <f t="array" ref="Q4579">_xlfn.IFS(Table1[[#This Row],[Wealthier_Winner]]=-1,"Wealthier Nation Loses",Table1[[#This Row],[Wealthier_Winner]]=0,"Tie",Table1[[#This Row],[Wealthier_Winner]]=1,"Wealthier Nation Wins")</f>
        <v>Tie</v>
      </c>
    </row>
    <row r="4580" spans="1:17" x14ac:dyDescent="0.2">
      <c r="A4580" s="1">
        <v>6777</v>
      </c>
      <c r="B4580" s="2">
        <v>41523</v>
      </c>
      <c r="C4580" s="7">
        <f>_xlfn.FLOOR.MATH(Table1[[#This Row],[year]],10)</f>
        <v>2010</v>
      </c>
      <c r="D4580" t="s">
        <v>35</v>
      </c>
      <c r="E4580" t="s">
        <v>47</v>
      </c>
      <c r="F4580">
        <v>4</v>
      </c>
      <c r="G4580">
        <v>0</v>
      </c>
      <c r="H4580" t="s">
        <v>224</v>
      </c>
      <c r="I4580" t="s">
        <v>250</v>
      </c>
      <c r="J4580" t="s">
        <v>35</v>
      </c>
      <c r="K4580" t="b">
        <v>0</v>
      </c>
      <c r="L4580">
        <v>2013</v>
      </c>
      <c r="M4580">
        <v>38501122141</v>
      </c>
      <c r="N4580">
        <v>30659338885</v>
      </c>
      <c r="O4580" t="b">
        <v>0</v>
      </c>
      <c r="P4580">
        <v>1</v>
      </c>
      <c r="Q4580" t="str" cm="1">
        <f t="array" ref="Q4580">_xlfn.IFS(Table1[[#This Row],[Wealthier_Winner]]=-1,"Wealthier Nation Loses",Table1[[#This Row],[Wealthier_Winner]]=0,"Tie",Table1[[#This Row],[Wealthier_Winner]]=1,"Wealthier Nation Wins")</f>
        <v>Wealthier Nation Wins</v>
      </c>
    </row>
    <row r="4581" spans="1:17" x14ac:dyDescent="0.2">
      <c r="A4581" s="1">
        <v>6778</v>
      </c>
      <c r="B4581" s="2">
        <v>41523</v>
      </c>
      <c r="C4581" s="7">
        <f>_xlfn.FLOOR.MATH(Table1[[#This Row],[year]],10)</f>
        <v>2010</v>
      </c>
      <c r="D4581" t="s">
        <v>31</v>
      </c>
      <c r="E4581" t="s">
        <v>26</v>
      </c>
      <c r="F4581">
        <v>1</v>
      </c>
      <c r="G4581">
        <v>2</v>
      </c>
      <c r="H4581" t="s">
        <v>224</v>
      </c>
      <c r="I4581" t="s">
        <v>242</v>
      </c>
      <c r="J4581" t="s">
        <v>31</v>
      </c>
      <c r="K4581" t="b">
        <v>0</v>
      </c>
      <c r="L4581">
        <v>2013</v>
      </c>
      <c r="M4581">
        <v>201175543571</v>
      </c>
      <c r="N4581">
        <v>61337621933</v>
      </c>
      <c r="O4581" t="b">
        <v>1</v>
      </c>
      <c r="P4581">
        <v>-1</v>
      </c>
      <c r="Q4581" t="str" cm="1">
        <f t="array" ref="Q4581">_xlfn.IFS(Table1[[#This Row],[Wealthier_Winner]]=-1,"Wealthier Nation Loses",Table1[[#This Row],[Wealthier_Winner]]=0,"Tie",Table1[[#This Row],[Wealthier_Winner]]=1,"Wealthier Nation Wins")</f>
        <v>Wealthier Nation Loses</v>
      </c>
    </row>
    <row r="4582" spans="1:17" x14ac:dyDescent="0.2">
      <c r="A4582" s="1">
        <v>6779</v>
      </c>
      <c r="B4582" s="2">
        <v>41523</v>
      </c>
      <c r="C4582" s="7">
        <f>_xlfn.FLOOR.MATH(Table1[[#This Row],[year]],10)</f>
        <v>2010</v>
      </c>
      <c r="D4582" t="s">
        <v>58</v>
      </c>
      <c r="E4582" t="s">
        <v>705</v>
      </c>
      <c r="F4582">
        <v>1</v>
      </c>
      <c r="G4582">
        <v>1</v>
      </c>
      <c r="H4582" t="s">
        <v>224</v>
      </c>
      <c r="I4582" t="s">
        <v>619</v>
      </c>
      <c r="J4582" t="s">
        <v>58</v>
      </c>
      <c r="K4582" t="b">
        <v>0</v>
      </c>
      <c r="L4582">
        <v>2013</v>
      </c>
      <c r="M4582">
        <v>518179836405</v>
      </c>
      <c r="N4582">
        <v>4422097762</v>
      </c>
      <c r="O4582" t="b">
        <v>1</v>
      </c>
      <c r="P4582">
        <v>0</v>
      </c>
      <c r="Q4582" t="str" cm="1">
        <f t="array" ref="Q4582">_xlfn.IFS(Table1[[#This Row],[Wealthier_Winner]]=-1,"Wealthier Nation Loses",Table1[[#This Row],[Wealthier_Winner]]=0,"Tie",Table1[[#This Row],[Wealthier_Winner]]=1,"Wealthier Nation Wins")</f>
        <v>Tie</v>
      </c>
    </row>
    <row r="4583" spans="1:17" x14ac:dyDescent="0.2">
      <c r="A4583" s="1">
        <v>6780</v>
      </c>
      <c r="B4583" s="2">
        <v>41523</v>
      </c>
      <c r="C4583" s="7">
        <f>_xlfn.FLOOR.MATH(Table1[[#This Row],[year]],10)</f>
        <v>2010</v>
      </c>
      <c r="D4583" t="s">
        <v>44</v>
      </c>
      <c r="E4583" t="s">
        <v>30</v>
      </c>
      <c r="F4583">
        <v>3</v>
      </c>
      <c r="G4583">
        <v>0</v>
      </c>
      <c r="H4583" t="s">
        <v>224</v>
      </c>
      <c r="I4583" t="s">
        <v>425</v>
      </c>
      <c r="J4583" t="s">
        <v>44</v>
      </c>
      <c r="K4583" t="b">
        <v>0</v>
      </c>
      <c r="L4583">
        <v>2013</v>
      </c>
      <c r="M4583">
        <v>189798603751</v>
      </c>
      <c r="N4583">
        <v>135646053778</v>
      </c>
      <c r="O4583" t="b">
        <v>0</v>
      </c>
      <c r="P4583">
        <v>1</v>
      </c>
      <c r="Q4583" t="str" cm="1">
        <f t="array" ref="Q4583">_xlfn.IFS(Table1[[#This Row],[Wealthier_Winner]]=-1,"Wealthier Nation Loses",Table1[[#This Row],[Wealthier_Winner]]=0,"Tie",Table1[[#This Row],[Wealthier_Winner]]=1,"Wealthier Nation Wins")</f>
        <v>Wealthier Nation Wins</v>
      </c>
    </row>
    <row r="4584" spans="1:17" x14ac:dyDescent="0.2">
      <c r="A4584" s="1">
        <v>6781</v>
      </c>
      <c r="B4584" s="2">
        <v>41523</v>
      </c>
      <c r="C4584" s="7">
        <f>_xlfn.FLOOR.MATH(Table1[[#This Row],[year]],10)</f>
        <v>2010</v>
      </c>
      <c r="D4584" t="s">
        <v>196</v>
      </c>
      <c r="E4584" t="s">
        <v>232</v>
      </c>
      <c r="F4584">
        <v>4</v>
      </c>
      <c r="G4584">
        <v>1</v>
      </c>
      <c r="H4584" t="s">
        <v>224</v>
      </c>
      <c r="I4584" t="s">
        <v>179</v>
      </c>
      <c r="J4584" t="s">
        <v>196</v>
      </c>
      <c r="K4584" t="b">
        <v>0</v>
      </c>
      <c r="L4584">
        <v>2013</v>
      </c>
      <c r="M4584">
        <v>2292470078346</v>
      </c>
      <c r="N4584">
        <v>65203276466</v>
      </c>
      <c r="O4584" t="b">
        <v>1</v>
      </c>
      <c r="P4584">
        <v>1</v>
      </c>
      <c r="Q4584" t="str" cm="1">
        <f t="array" ref="Q4584">_xlfn.IFS(Table1[[#This Row],[Wealthier_Winner]]=-1,"Wealthier Nation Loses",Table1[[#This Row],[Wealthier_Winner]]=0,"Tie",Table1[[#This Row],[Wealthier_Winner]]=1,"Wealthier Nation Wins")</f>
        <v>Wealthier Nation Wins</v>
      </c>
    </row>
    <row r="4585" spans="1:17" x14ac:dyDescent="0.2">
      <c r="A4585" s="1">
        <v>6783</v>
      </c>
      <c r="B4585" s="2">
        <v>41523</v>
      </c>
      <c r="C4585" s="7">
        <f>_xlfn.FLOOR.MATH(Table1[[#This Row],[year]],10)</f>
        <v>2010</v>
      </c>
      <c r="D4585" t="s">
        <v>61</v>
      </c>
      <c r="E4585" t="s">
        <v>52</v>
      </c>
      <c r="F4585">
        <v>1</v>
      </c>
      <c r="G4585">
        <v>1</v>
      </c>
      <c r="H4585" t="s">
        <v>224</v>
      </c>
      <c r="I4585" t="s">
        <v>505</v>
      </c>
      <c r="J4585" t="s">
        <v>61</v>
      </c>
      <c r="K4585" t="b">
        <v>0</v>
      </c>
      <c r="L4585">
        <v>2013</v>
      </c>
      <c r="M4585">
        <v>50455529604</v>
      </c>
      <c r="N4585">
        <v>59846265181</v>
      </c>
      <c r="O4585" t="b">
        <v>0</v>
      </c>
      <c r="P4585">
        <v>0</v>
      </c>
      <c r="Q4585" t="str" cm="1">
        <f t="array" ref="Q4585">_xlfn.IFS(Table1[[#This Row],[Wealthier_Winner]]=-1,"Wealthier Nation Loses",Table1[[#This Row],[Wealthier_Winner]]=0,"Tie",Table1[[#This Row],[Wealthier_Winner]]=1,"Wealthier Nation Wins")</f>
        <v>Tie</v>
      </c>
    </row>
    <row r="4586" spans="1:17" x14ac:dyDescent="0.2">
      <c r="A4586" s="1">
        <v>6784</v>
      </c>
      <c r="B4586" s="2">
        <v>41523</v>
      </c>
      <c r="C4586" s="7">
        <f>_xlfn.FLOOR.MATH(Table1[[#This Row],[year]],10)</f>
        <v>2010</v>
      </c>
      <c r="D4586" t="s">
        <v>55</v>
      </c>
      <c r="E4586" t="s">
        <v>373</v>
      </c>
      <c r="F4586">
        <v>1</v>
      </c>
      <c r="G4586">
        <v>0</v>
      </c>
      <c r="H4586" t="s">
        <v>224</v>
      </c>
      <c r="I4586" t="s">
        <v>529</v>
      </c>
      <c r="J4586" t="s">
        <v>55</v>
      </c>
      <c r="K4586" t="b">
        <v>0</v>
      </c>
      <c r="L4586">
        <v>2013</v>
      </c>
      <c r="M4586">
        <v>47867056858</v>
      </c>
      <c r="N4586">
        <v>12796985886</v>
      </c>
      <c r="O4586" t="b">
        <v>1</v>
      </c>
      <c r="P4586">
        <v>1</v>
      </c>
      <c r="Q4586" t="str" cm="1">
        <f t="array" ref="Q4586">_xlfn.IFS(Table1[[#This Row],[Wealthier_Winner]]=-1,"Wealthier Nation Loses",Table1[[#This Row],[Wealthier_Winner]]=0,"Tie",Table1[[#This Row],[Wealthier_Winner]]=1,"Wealthier Nation Wins")</f>
        <v>Wealthier Nation Wins</v>
      </c>
    </row>
    <row r="4587" spans="1:17" x14ac:dyDescent="0.2">
      <c r="A4587" s="1">
        <v>6785</v>
      </c>
      <c r="B4587" s="2">
        <v>41523</v>
      </c>
      <c r="C4587" s="7">
        <f>_xlfn.FLOOR.MATH(Table1[[#This Row],[year]],10)</f>
        <v>2010</v>
      </c>
      <c r="D4587" t="s">
        <v>46</v>
      </c>
      <c r="E4587" t="s">
        <v>66</v>
      </c>
      <c r="F4587">
        <v>4</v>
      </c>
      <c r="G4587">
        <v>4</v>
      </c>
      <c r="H4587" t="s">
        <v>224</v>
      </c>
      <c r="I4587" t="s">
        <v>249</v>
      </c>
      <c r="J4587" t="s">
        <v>46</v>
      </c>
      <c r="K4587" t="b">
        <v>0</v>
      </c>
      <c r="L4587">
        <v>2013</v>
      </c>
      <c r="M4587">
        <v>706234937370</v>
      </c>
      <c r="N4587">
        <v>16244319958</v>
      </c>
      <c r="O4587" t="b">
        <v>1</v>
      </c>
      <c r="P4587">
        <v>0</v>
      </c>
      <c r="Q4587" t="str" cm="1">
        <f t="array" ref="Q4587">_xlfn.IFS(Table1[[#This Row],[Wealthier_Winner]]=-1,"Wealthier Nation Loses",Table1[[#This Row],[Wealthier_Winner]]=0,"Tie",Table1[[#This Row],[Wealthier_Winner]]=1,"Wealthier Nation Wins")</f>
        <v>Tie</v>
      </c>
    </row>
    <row r="4588" spans="1:17" x14ac:dyDescent="0.2">
      <c r="A4588" s="1">
        <v>6787</v>
      </c>
      <c r="B4588" s="2">
        <v>41523</v>
      </c>
      <c r="C4588" s="7">
        <f>_xlfn.FLOOR.MATH(Table1[[#This Row],[year]],10)</f>
        <v>2010</v>
      </c>
      <c r="D4588" t="s">
        <v>64</v>
      </c>
      <c r="E4588" t="s">
        <v>549</v>
      </c>
      <c r="F4588">
        <v>9</v>
      </c>
      <c r="G4588">
        <v>0</v>
      </c>
      <c r="H4588" t="s">
        <v>224</v>
      </c>
      <c r="I4588" t="s">
        <v>632</v>
      </c>
      <c r="J4588" t="s">
        <v>64</v>
      </c>
      <c r="K4588" t="b">
        <v>0</v>
      </c>
      <c r="L4588">
        <v>2013</v>
      </c>
      <c r="M4588">
        <v>190498811460</v>
      </c>
      <c r="N4588">
        <v>1678741475</v>
      </c>
      <c r="O4588" t="b">
        <v>1</v>
      </c>
      <c r="P4588">
        <v>1</v>
      </c>
      <c r="Q4588" t="str" cm="1">
        <f t="array" ref="Q4588">_xlfn.IFS(Table1[[#This Row],[Wealthier_Winner]]=-1,"Wealthier Nation Loses",Table1[[#This Row],[Wealthier_Winner]]=0,"Tie",Table1[[#This Row],[Wealthier_Winner]]=1,"Wealthier Nation Wins")</f>
        <v>Wealthier Nation Wins</v>
      </c>
    </row>
    <row r="4589" spans="1:17" x14ac:dyDescent="0.2">
      <c r="A4589" s="1">
        <v>6788</v>
      </c>
      <c r="B4589" s="2">
        <v>41524</v>
      </c>
      <c r="C4589" s="7">
        <f>_xlfn.FLOOR.MATH(Table1[[#This Row],[year]],10)</f>
        <v>2010</v>
      </c>
      <c r="D4589" t="s">
        <v>60</v>
      </c>
      <c r="E4589" t="s">
        <v>378</v>
      </c>
      <c r="F4589">
        <v>4</v>
      </c>
      <c r="G4589">
        <v>1</v>
      </c>
      <c r="H4589" t="s">
        <v>224</v>
      </c>
      <c r="I4589" t="s">
        <v>767</v>
      </c>
      <c r="J4589" t="s">
        <v>60</v>
      </c>
      <c r="K4589" t="b">
        <v>0</v>
      </c>
      <c r="L4589">
        <v>2013</v>
      </c>
      <c r="M4589">
        <v>148845200696</v>
      </c>
      <c r="N4589">
        <v>3177198100</v>
      </c>
      <c r="O4589" t="b">
        <v>1</v>
      </c>
      <c r="P4589">
        <v>1</v>
      </c>
      <c r="Q4589" t="str" cm="1">
        <f t="array" ref="Q4589">_xlfn.IFS(Table1[[#This Row],[Wealthier_Winner]]=-1,"Wealthier Nation Loses",Table1[[#This Row],[Wealthier_Winner]]=0,"Tie",Table1[[#This Row],[Wealthier_Winner]]=1,"Wealthier Nation Wins")</f>
        <v>Wealthier Nation Wins</v>
      </c>
    </row>
    <row r="4590" spans="1:17" x14ac:dyDescent="0.2">
      <c r="A4590" s="1">
        <v>6789</v>
      </c>
      <c r="B4590" s="2">
        <v>41524</v>
      </c>
      <c r="C4590" s="7">
        <f>_xlfn.FLOOR.MATH(Table1[[#This Row],[year]],10)</f>
        <v>2010</v>
      </c>
      <c r="D4590" t="s">
        <v>345</v>
      </c>
      <c r="E4590" t="s">
        <v>433</v>
      </c>
      <c r="F4590">
        <v>1</v>
      </c>
      <c r="G4590">
        <v>0</v>
      </c>
      <c r="H4590" t="s">
        <v>224</v>
      </c>
      <c r="I4590" t="s">
        <v>347</v>
      </c>
      <c r="J4590" t="s">
        <v>345</v>
      </c>
      <c r="K4590" t="b">
        <v>0</v>
      </c>
      <c r="L4590">
        <v>2013</v>
      </c>
      <c r="M4590">
        <v>13444300485</v>
      </c>
      <c r="N4590">
        <v>17595744798</v>
      </c>
      <c r="O4590" t="b">
        <v>0</v>
      </c>
      <c r="P4590">
        <v>-1</v>
      </c>
      <c r="Q4590" t="str" cm="1">
        <f t="array" ref="Q4590">_xlfn.IFS(Table1[[#This Row],[Wealthier_Winner]]=-1,"Wealthier Nation Loses",Table1[[#This Row],[Wealthier_Winner]]=0,"Tie",Table1[[#This Row],[Wealthier_Winner]]=1,"Wealthier Nation Wins")</f>
        <v>Wealthier Nation Loses</v>
      </c>
    </row>
    <row r="4591" spans="1:17" x14ac:dyDescent="0.2">
      <c r="A4591" s="1">
        <v>6790</v>
      </c>
      <c r="B4591" s="2">
        <v>41524</v>
      </c>
      <c r="C4591" s="7">
        <f>_xlfn.FLOOR.MATH(Table1[[#This Row],[year]],10)</f>
        <v>2010</v>
      </c>
      <c r="D4591" t="s">
        <v>581</v>
      </c>
      <c r="E4591" t="s">
        <v>238</v>
      </c>
      <c r="F4591">
        <v>1</v>
      </c>
      <c r="G4591">
        <v>2</v>
      </c>
      <c r="H4591" t="s">
        <v>224</v>
      </c>
      <c r="I4591" t="s">
        <v>768</v>
      </c>
      <c r="J4591" t="s">
        <v>769</v>
      </c>
      <c r="K4591" t="b">
        <v>1</v>
      </c>
      <c r="L4591">
        <v>2013</v>
      </c>
      <c r="M4591">
        <v>1691544110</v>
      </c>
      <c r="N4591">
        <v>47648276605</v>
      </c>
      <c r="O4591" t="b">
        <v>1</v>
      </c>
      <c r="P4591">
        <v>1</v>
      </c>
      <c r="Q4591" t="str" cm="1">
        <f t="array" ref="Q4591">_xlfn.IFS(Table1[[#This Row],[Wealthier_Winner]]=-1,"Wealthier Nation Loses",Table1[[#This Row],[Wealthier_Winner]]=0,"Tie",Table1[[#This Row],[Wealthier_Winner]]=1,"Wealthier Nation Wins")</f>
        <v>Wealthier Nation Wins</v>
      </c>
    </row>
    <row r="4592" spans="1:17" x14ac:dyDescent="0.2">
      <c r="A4592" s="1">
        <v>6792</v>
      </c>
      <c r="B4592" s="2">
        <v>41524</v>
      </c>
      <c r="C4592" s="7">
        <f>_xlfn.FLOOR.MATH(Table1[[#This Row],[year]],10)</f>
        <v>2010</v>
      </c>
      <c r="D4592" t="s">
        <v>22</v>
      </c>
      <c r="E4592" t="s">
        <v>513</v>
      </c>
      <c r="F4592">
        <v>1</v>
      </c>
      <c r="G4592">
        <v>1</v>
      </c>
      <c r="H4592" t="s">
        <v>224</v>
      </c>
      <c r="I4592" t="s">
        <v>239</v>
      </c>
      <c r="J4592" t="s">
        <v>22</v>
      </c>
      <c r="K4592" t="b">
        <v>0</v>
      </c>
      <c r="L4592">
        <v>2013</v>
      </c>
      <c r="M4592">
        <v>298478070673</v>
      </c>
      <c r="N4592">
        <v>74160560123</v>
      </c>
      <c r="O4592" t="b">
        <v>1</v>
      </c>
      <c r="P4592">
        <v>0</v>
      </c>
      <c r="Q4592" t="str" cm="1">
        <f t="array" ref="Q4592">_xlfn.IFS(Table1[[#This Row],[Wealthier_Winner]]=-1,"Wealthier Nation Loses",Table1[[#This Row],[Wealthier_Winner]]=0,"Tie",Table1[[#This Row],[Wealthier_Winner]]=1,"Wealthier Nation Wins")</f>
        <v>Tie</v>
      </c>
    </row>
    <row r="4593" spans="1:17" x14ac:dyDescent="0.2">
      <c r="A4593" s="1">
        <v>6795</v>
      </c>
      <c r="B4593" s="2">
        <v>41524</v>
      </c>
      <c r="C4593" s="7">
        <f>_xlfn.FLOOR.MATH(Table1[[#This Row],[year]],10)</f>
        <v>2010</v>
      </c>
      <c r="D4593" t="s">
        <v>43</v>
      </c>
      <c r="E4593" t="s">
        <v>370</v>
      </c>
      <c r="F4593">
        <v>2</v>
      </c>
      <c r="G4593">
        <v>0</v>
      </c>
      <c r="H4593" t="s">
        <v>224</v>
      </c>
      <c r="I4593" t="s">
        <v>751</v>
      </c>
      <c r="J4593" t="s">
        <v>43</v>
      </c>
      <c r="K4593" t="b">
        <v>0</v>
      </c>
      <c r="L4593">
        <v>2013</v>
      </c>
      <c r="M4593">
        <v>520117180313</v>
      </c>
      <c r="N4593">
        <v>8031571927</v>
      </c>
      <c r="O4593" t="b">
        <v>1</v>
      </c>
      <c r="P4593">
        <v>1</v>
      </c>
      <c r="Q4593" t="str" cm="1">
        <f t="array" ref="Q4593">_xlfn.IFS(Table1[[#This Row],[Wealthier_Winner]]=-1,"Wealthier Nation Loses",Table1[[#This Row],[Wealthier_Winner]]=0,"Tie",Table1[[#This Row],[Wealthier_Winner]]=1,"Wealthier Nation Wins")</f>
        <v>Wealthier Nation Wins</v>
      </c>
    </row>
    <row r="4594" spans="1:17" x14ac:dyDescent="0.2">
      <c r="A4594" s="1">
        <v>6796</v>
      </c>
      <c r="B4594" s="2">
        <v>41524</v>
      </c>
      <c r="C4594" s="7">
        <f>_xlfn.FLOOR.MATH(Table1[[#This Row],[year]],10)</f>
        <v>2010</v>
      </c>
      <c r="D4594" t="s">
        <v>54</v>
      </c>
      <c r="E4594" t="s">
        <v>357</v>
      </c>
      <c r="F4594">
        <v>1</v>
      </c>
      <c r="G4594">
        <v>0</v>
      </c>
      <c r="H4594" t="s">
        <v>224</v>
      </c>
      <c r="I4594" t="s">
        <v>761</v>
      </c>
      <c r="J4594" t="s">
        <v>24</v>
      </c>
      <c r="K4594" t="b">
        <v>1</v>
      </c>
      <c r="L4594">
        <v>2013</v>
      </c>
      <c r="M4594">
        <v>18918667724</v>
      </c>
      <c r="N4594">
        <v>28915786516</v>
      </c>
      <c r="O4594" t="b">
        <v>0</v>
      </c>
      <c r="P4594">
        <v>-1</v>
      </c>
      <c r="Q4594" t="str" cm="1">
        <f t="array" ref="Q4594">_xlfn.IFS(Table1[[#This Row],[Wealthier_Winner]]=-1,"Wealthier Nation Loses",Table1[[#This Row],[Wealthier_Winner]]=0,"Tie",Table1[[#This Row],[Wealthier_Winner]]=1,"Wealthier Nation Wins")</f>
        <v>Wealthier Nation Loses</v>
      </c>
    </row>
    <row r="4595" spans="1:17" x14ac:dyDescent="0.2">
      <c r="A4595" s="1">
        <v>6797</v>
      </c>
      <c r="B4595" s="2">
        <v>41524</v>
      </c>
      <c r="C4595" s="7">
        <f>_xlfn.FLOOR.MATH(Table1[[#This Row],[year]],10)</f>
        <v>2010</v>
      </c>
      <c r="D4595" t="s">
        <v>342</v>
      </c>
      <c r="E4595" t="s">
        <v>639</v>
      </c>
      <c r="F4595">
        <v>3</v>
      </c>
      <c r="G4595">
        <v>2</v>
      </c>
      <c r="H4595" t="s">
        <v>224</v>
      </c>
      <c r="I4595" t="s">
        <v>344</v>
      </c>
      <c r="J4595" t="s">
        <v>342</v>
      </c>
      <c r="K4595" t="b">
        <v>0</v>
      </c>
      <c r="L4595">
        <v>2013</v>
      </c>
      <c r="M4595">
        <v>7502762862</v>
      </c>
      <c r="N4595">
        <v>21948834283</v>
      </c>
      <c r="O4595" t="b">
        <v>1</v>
      </c>
      <c r="P4595">
        <v>-1</v>
      </c>
      <c r="Q4595" t="str" cm="1">
        <f t="array" ref="Q4595">_xlfn.IFS(Table1[[#This Row],[Wealthier_Winner]]=-1,"Wealthier Nation Loses",Table1[[#This Row],[Wealthier_Winner]]=0,"Tie",Table1[[#This Row],[Wealthier_Winner]]=1,"Wealthier Nation Wins")</f>
        <v>Wealthier Nation Loses</v>
      </c>
    </row>
    <row r="4596" spans="1:17" x14ac:dyDescent="0.2">
      <c r="A4596" s="1">
        <v>6798</v>
      </c>
      <c r="B4596" s="2">
        <v>41524</v>
      </c>
      <c r="C4596" s="7">
        <f>_xlfn.FLOOR.MATH(Table1[[#This Row],[year]],10)</f>
        <v>2010</v>
      </c>
      <c r="D4596" t="s">
        <v>50</v>
      </c>
      <c r="E4596" t="s">
        <v>469</v>
      </c>
      <c r="F4596">
        <v>4</v>
      </c>
      <c r="G4596">
        <v>1</v>
      </c>
      <c r="H4596" t="s">
        <v>224</v>
      </c>
      <c r="I4596" t="s">
        <v>163</v>
      </c>
      <c r="J4596" t="s">
        <v>50</v>
      </c>
      <c r="K4596" t="b">
        <v>0</v>
      </c>
      <c r="L4596">
        <v>2013</v>
      </c>
      <c r="M4596">
        <v>400886013595</v>
      </c>
      <c r="N4596">
        <v>14271738933</v>
      </c>
      <c r="O4596" t="b">
        <v>1</v>
      </c>
      <c r="P4596">
        <v>1</v>
      </c>
      <c r="Q4596" t="str" cm="1">
        <f t="array" ref="Q4596">_xlfn.IFS(Table1[[#This Row],[Wealthier_Winner]]=-1,"Wealthier Nation Loses",Table1[[#This Row],[Wealthier_Winner]]=0,"Tie",Table1[[#This Row],[Wealthier_Winner]]=1,"Wealthier Nation Wins")</f>
        <v>Wealthier Nation Wins</v>
      </c>
    </row>
    <row r="4597" spans="1:17" x14ac:dyDescent="0.2">
      <c r="A4597" s="1">
        <v>6800</v>
      </c>
      <c r="B4597" s="2">
        <v>41525</v>
      </c>
      <c r="C4597" s="7">
        <f>_xlfn.FLOOR.MATH(Table1[[#This Row],[year]],10)</f>
        <v>2010</v>
      </c>
      <c r="D4597" t="s">
        <v>310</v>
      </c>
      <c r="E4597" t="s">
        <v>514</v>
      </c>
      <c r="F4597">
        <v>2</v>
      </c>
      <c r="G4597">
        <v>0</v>
      </c>
      <c r="H4597" t="s">
        <v>224</v>
      </c>
      <c r="I4597" t="s">
        <v>762</v>
      </c>
      <c r="J4597" t="s">
        <v>310</v>
      </c>
      <c r="K4597" t="b">
        <v>0</v>
      </c>
      <c r="L4597">
        <v>2013</v>
      </c>
      <c r="M4597">
        <v>12517845123</v>
      </c>
      <c r="N4597">
        <v>7819964030</v>
      </c>
      <c r="O4597" t="b">
        <v>0</v>
      </c>
      <c r="P4597">
        <v>1</v>
      </c>
      <c r="Q4597" t="str" cm="1">
        <f t="array" ref="Q4597">_xlfn.IFS(Table1[[#This Row],[Wealthier_Winner]]=-1,"Wealthier Nation Loses",Table1[[#This Row],[Wealthier_Winner]]=0,"Tie",Table1[[#This Row],[Wealthier_Winner]]=1,"Wealthier Nation Wins")</f>
        <v>Wealthier Nation Wins</v>
      </c>
    </row>
    <row r="4598" spans="1:17" x14ac:dyDescent="0.2">
      <c r="A4598" s="1">
        <v>6801</v>
      </c>
      <c r="B4598" s="2">
        <v>41525</v>
      </c>
      <c r="C4598" s="7">
        <f>_xlfn.FLOOR.MATH(Table1[[#This Row],[year]],10)</f>
        <v>2010</v>
      </c>
      <c r="D4598" t="s">
        <v>40</v>
      </c>
      <c r="E4598" t="s">
        <v>286</v>
      </c>
      <c r="F4598">
        <v>1</v>
      </c>
      <c r="G4598">
        <v>0</v>
      </c>
      <c r="H4598" t="s">
        <v>224</v>
      </c>
      <c r="I4598" t="s">
        <v>371</v>
      </c>
      <c r="J4598" t="s">
        <v>40</v>
      </c>
      <c r="K4598" t="b">
        <v>0</v>
      </c>
      <c r="L4598">
        <v>2013</v>
      </c>
      <c r="M4598">
        <v>33728621180</v>
      </c>
      <c r="N4598">
        <v>75351107029</v>
      </c>
      <c r="O4598" t="b">
        <v>1</v>
      </c>
      <c r="P4598">
        <v>-1</v>
      </c>
      <c r="Q4598" t="str" cm="1">
        <f t="array" ref="Q4598">_xlfn.IFS(Table1[[#This Row],[Wealthier_Winner]]=-1,"Wealthier Nation Loses",Table1[[#This Row],[Wealthier_Winner]]=0,"Tie",Table1[[#This Row],[Wealthier_Winner]]=1,"Wealthier Nation Wins")</f>
        <v>Wealthier Nation Loses</v>
      </c>
    </row>
    <row r="4599" spans="1:17" x14ac:dyDescent="0.2">
      <c r="A4599" s="1">
        <v>6802</v>
      </c>
      <c r="B4599" s="2">
        <v>41525</v>
      </c>
      <c r="C4599" s="7">
        <f>_xlfn.FLOOR.MATH(Table1[[#This Row],[year]],10)</f>
        <v>2010</v>
      </c>
      <c r="D4599" t="s">
        <v>314</v>
      </c>
      <c r="E4599" t="s">
        <v>462</v>
      </c>
      <c r="F4599">
        <v>1</v>
      </c>
      <c r="G4599">
        <v>0</v>
      </c>
      <c r="H4599" t="s">
        <v>224</v>
      </c>
      <c r="I4599" t="s">
        <v>315</v>
      </c>
      <c r="J4599" t="s">
        <v>314</v>
      </c>
      <c r="K4599" t="b">
        <v>0</v>
      </c>
      <c r="L4599">
        <v>2013</v>
      </c>
      <c r="M4599">
        <v>61671440407</v>
      </c>
      <c r="N4599">
        <v>12043307277</v>
      </c>
      <c r="O4599" t="b">
        <v>1</v>
      </c>
      <c r="P4599">
        <v>1</v>
      </c>
      <c r="Q4599" t="str" cm="1">
        <f t="array" ref="Q4599">_xlfn.IFS(Table1[[#This Row],[Wealthier_Winner]]=-1,"Wealthier Nation Loses",Table1[[#This Row],[Wealthier_Winner]]=0,"Tie",Table1[[#This Row],[Wealthier_Winner]]=1,"Wealthier Nation Wins")</f>
        <v>Wealthier Nation Wins</v>
      </c>
    </row>
    <row r="4600" spans="1:17" x14ac:dyDescent="0.2">
      <c r="A4600" s="1">
        <v>6803</v>
      </c>
      <c r="B4600" s="2">
        <v>41525</v>
      </c>
      <c r="C4600" s="7">
        <f>_xlfn.FLOOR.MATH(Table1[[#This Row],[year]],10)</f>
        <v>2010</v>
      </c>
      <c r="D4600" t="s">
        <v>274</v>
      </c>
      <c r="E4600" t="s">
        <v>307</v>
      </c>
      <c r="F4600">
        <v>1</v>
      </c>
      <c r="G4600">
        <v>3</v>
      </c>
      <c r="H4600" t="s">
        <v>224</v>
      </c>
      <c r="I4600" t="s">
        <v>591</v>
      </c>
      <c r="J4600" t="s">
        <v>274</v>
      </c>
      <c r="K4600" t="b">
        <v>0</v>
      </c>
      <c r="L4600">
        <v>2013</v>
      </c>
      <c r="M4600">
        <v>43024018082</v>
      </c>
      <c r="N4600">
        <v>2367112931</v>
      </c>
      <c r="O4600" t="b">
        <v>1</v>
      </c>
      <c r="P4600">
        <v>-1</v>
      </c>
      <c r="Q4600" t="str" cm="1">
        <f t="array" ref="Q4600">_xlfn.IFS(Table1[[#This Row],[Wealthier_Winner]]=-1,"Wealthier Nation Loses",Table1[[#This Row],[Wealthier_Winner]]=0,"Tie",Table1[[#This Row],[Wealthier_Winner]]=1,"Wealthier Nation Wins")</f>
        <v>Wealthier Nation Loses</v>
      </c>
    </row>
    <row r="4601" spans="1:17" x14ac:dyDescent="0.2">
      <c r="A4601" s="1">
        <v>6805</v>
      </c>
      <c r="B4601" s="2">
        <v>41525</v>
      </c>
      <c r="C4601" s="7">
        <f>_xlfn.FLOOR.MATH(Table1[[#This Row],[year]],10)</f>
        <v>2010</v>
      </c>
      <c r="D4601" t="s">
        <v>298</v>
      </c>
      <c r="E4601" t="s">
        <v>300</v>
      </c>
      <c r="F4601">
        <v>1</v>
      </c>
      <c r="G4601">
        <v>1</v>
      </c>
      <c r="H4601" t="s">
        <v>224</v>
      </c>
      <c r="I4601" t="s">
        <v>377</v>
      </c>
      <c r="J4601" t="s">
        <v>298</v>
      </c>
      <c r="K4601" t="b">
        <v>0</v>
      </c>
      <c r="L4601">
        <v>2013</v>
      </c>
      <c r="M4601">
        <v>19100750000</v>
      </c>
      <c r="N4601">
        <v>17198073057</v>
      </c>
      <c r="O4601" t="b">
        <v>0</v>
      </c>
      <c r="P4601">
        <v>0</v>
      </c>
      <c r="Q4601" t="str" cm="1">
        <f t="array" ref="Q4601">_xlfn.IFS(Table1[[#This Row],[Wealthier_Winner]]=-1,"Wealthier Nation Loses",Table1[[#This Row],[Wealthier_Winner]]=0,"Tie",Table1[[#This Row],[Wealthier_Winner]]=1,"Wealthier Nation Wins")</f>
        <v>Tie</v>
      </c>
    </row>
    <row r="4602" spans="1:17" x14ac:dyDescent="0.2">
      <c r="A4602" s="1">
        <v>6806</v>
      </c>
      <c r="B4602" s="2">
        <v>41527</v>
      </c>
      <c r="C4602" s="7">
        <f>_xlfn.FLOOR.MATH(Table1[[#This Row],[year]],10)</f>
        <v>2010</v>
      </c>
      <c r="D4602" t="s">
        <v>32</v>
      </c>
      <c r="E4602" t="s">
        <v>590</v>
      </c>
      <c r="F4602">
        <v>1</v>
      </c>
      <c r="G4602">
        <v>0</v>
      </c>
      <c r="H4602" t="s">
        <v>224</v>
      </c>
      <c r="I4602" t="s">
        <v>697</v>
      </c>
      <c r="J4602" t="s">
        <v>32</v>
      </c>
      <c r="K4602" t="b">
        <v>0</v>
      </c>
      <c r="L4602">
        <v>2013</v>
      </c>
      <c r="M4602">
        <v>229701430292</v>
      </c>
      <c r="N4602">
        <v>15747192680</v>
      </c>
      <c r="O4602" t="b">
        <v>1</v>
      </c>
      <c r="P4602">
        <v>1</v>
      </c>
      <c r="Q4602" t="str" cm="1">
        <f t="array" ref="Q4602">_xlfn.IFS(Table1[[#This Row],[Wealthier_Winner]]=-1,"Wealthier Nation Loses",Table1[[#This Row],[Wealthier_Winner]]=0,"Tie",Table1[[#This Row],[Wealthier_Winner]]=1,"Wealthier Nation Wins")</f>
        <v>Wealthier Nation Wins</v>
      </c>
    </row>
    <row r="4603" spans="1:17" x14ac:dyDescent="0.2">
      <c r="A4603" s="1">
        <v>6807</v>
      </c>
      <c r="B4603" s="2">
        <v>41527</v>
      </c>
      <c r="C4603" s="7">
        <f>_xlfn.FLOOR.MATH(Table1[[#This Row],[year]],10)</f>
        <v>2010</v>
      </c>
      <c r="D4603" t="s">
        <v>601</v>
      </c>
      <c r="E4603" t="s">
        <v>27</v>
      </c>
      <c r="F4603">
        <v>0</v>
      </c>
      <c r="G4603">
        <v>2</v>
      </c>
      <c r="H4603" t="s">
        <v>224</v>
      </c>
      <c r="I4603" t="s">
        <v>602</v>
      </c>
      <c r="J4603" t="s">
        <v>601</v>
      </c>
      <c r="K4603" t="b">
        <v>0</v>
      </c>
      <c r="L4603">
        <v>2013</v>
      </c>
      <c r="M4603">
        <v>3193513470</v>
      </c>
      <c r="N4603">
        <v>883951539006</v>
      </c>
      <c r="O4603" t="b">
        <v>1</v>
      </c>
      <c r="P4603">
        <v>1</v>
      </c>
      <c r="Q4603" t="str" cm="1">
        <f t="array" ref="Q4603">_xlfn.IFS(Table1[[#This Row],[Wealthier_Winner]]=-1,"Wealthier Nation Loses",Table1[[#This Row],[Wealthier_Winner]]=0,"Tie",Table1[[#This Row],[Wealthier_Winner]]=1,"Wealthier Nation Wins")</f>
        <v>Wealthier Nation Wins</v>
      </c>
    </row>
    <row r="4604" spans="1:17" x14ac:dyDescent="0.2">
      <c r="A4604" s="1">
        <v>6808</v>
      </c>
      <c r="B4604" s="2">
        <v>41527</v>
      </c>
      <c r="C4604" s="7">
        <f>_xlfn.FLOOR.MATH(Table1[[#This Row],[year]],10)</f>
        <v>2010</v>
      </c>
      <c r="D4604" t="s">
        <v>519</v>
      </c>
      <c r="E4604" t="s">
        <v>36</v>
      </c>
      <c r="F4604">
        <v>0</v>
      </c>
      <c r="G4604">
        <v>1</v>
      </c>
      <c r="H4604" t="s">
        <v>224</v>
      </c>
      <c r="I4604" t="s">
        <v>520</v>
      </c>
      <c r="J4604" t="s">
        <v>519</v>
      </c>
      <c r="K4604" t="b">
        <v>0</v>
      </c>
      <c r="L4604">
        <v>2013</v>
      </c>
      <c r="M4604">
        <v>11121464437</v>
      </c>
      <c r="N4604">
        <v>344631016965</v>
      </c>
      <c r="O4604" t="b">
        <v>1</v>
      </c>
      <c r="P4604">
        <v>1</v>
      </c>
      <c r="Q4604" t="str" cm="1">
        <f t="array" ref="Q4604">_xlfn.IFS(Table1[[#This Row],[Wealthier_Winner]]=-1,"Wealthier Nation Loses",Table1[[#This Row],[Wealthier_Winner]]=0,"Tie",Table1[[#This Row],[Wealthier_Winner]]=1,"Wealthier Nation Wins")</f>
        <v>Wealthier Nation Wins</v>
      </c>
    </row>
    <row r="4605" spans="1:17" x14ac:dyDescent="0.2">
      <c r="A4605" s="1">
        <v>6810</v>
      </c>
      <c r="B4605" s="2">
        <v>41527</v>
      </c>
      <c r="C4605" s="7">
        <f>_xlfn.FLOOR.MATH(Table1[[#This Row],[year]],10)</f>
        <v>2010</v>
      </c>
      <c r="D4605" t="s">
        <v>510</v>
      </c>
      <c r="E4605" t="s">
        <v>20</v>
      </c>
      <c r="F4605">
        <v>2</v>
      </c>
      <c r="G4605">
        <v>4</v>
      </c>
      <c r="H4605" t="s">
        <v>224</v>
      </c>
      <c r="I4605" t="s">
        <v>763</v>
      </c>
      <c r="J4605" t="s">
        <v>510</v>
      </c>
      <c r="K4605" t="b">
        <v>0</v>
      </c>
      <c r="L4605">
        <v>2013</v>
      </c>
      <c r="M4605">
        <v>75527558966</v>
      </c>
      <c r="N4605">
        <v>2816077607875</v>
      </c>
      <c r="O4605" t="b">
        <v>1</v>
      </c>
      <c r="P4605">
        <v>1</v>
      </c>
      <c r="Q4605" t="str" cm="1">
        <f t="array" ref="Q4605">_xlfn.IFS(Table1[[#This Row],[Wealthier_Winner]]=-1,"Wealthier Nation Loses",Table1[[#This Row],[Wealthier_Winner]]=0,"Tie",Table1[[#This Row],[Wealthier_Winner]]=1,"Wealthier Nation Wins")</f>
        <v>Wealthier Nation Wins</v>
      </c>
    </row>
    <row r="4606" spans="1:17" x14ac:dyDescent="0.2">
      <c r="A4606" s="1">
        <v>6811</v>
      </c>
      <c r="B4606" s="2">
        <v>41527</v>
      </c>
      <c r="C4606" s="7">
        <f>_xlfn.FLOOR.MATH(Table1[[#This Row],[year]],10)</f>
        <v>2010</v>
      </c>
      <c r="D4606" t="s">
        <v>47</v>
      </c>
      <c r="E4606" t="s">
        <v>57</v>
      </c>
      <c r="F4606">
        <v>1</v>
      </c>
      <c r="G4606">
        <v>1</v>
      </c>
      <c r="H4606" t="s">
        <v>224</v>
      </c>
      <c r="I4606" t="s">
        <v>246</v>
      </c>
      <c r="J4606" t="s">
        <v>47</v>
      </c>
      <c r="K4606" t="b">
        <v>0</v>
      </c>
      <c r="L4606">
        <v>2013</v>
      </c>
      <c r="M4606">
        <v>30659338885</v>
      </c>
      <c r="N4606">
        <v>96570334000</v>
      </c>
      <c r="O4606" t="b">
        <v>1</v>
      </c>
      <c r="P4606">
        <v>0</v>
      </c>
      <c r="Q4606" t="str" cm="1">
        <f t="array" ref="Q4606">_xlfn.IFS(Table1[[#This Row],[Wealthier_Winner]]=-1,"Wealthier Nation Loses",Table1[[#This Row],[Wealthier_Winner]]=0,"Tie",Table1[[#This Row],[Wealthier_Winner]]=1,"Wealthier Nation Wins")</f>
        <v>Tie</v>
      </c>
    </row>
    <row r="4607" spans="1:17" x14ac:dyDescent="0.2">
      <c r="A4607" s="1">
        <v>6812</v>
      </c>
      <c r="B4607" s="2">
        <v>41527</v>
      </c>
      <c r="C4607" s="7">
        <f>_xlfn.FLOOR.MATH(Table1[[#This Row],[year]],10)</f>
        <v>2010</v>
      </c>
      <c r="D4607" t="s">
        <v>351</v>
      </c>
      <c r="E4607" t="s">
        <v>55</v>
      </c>
      <c r="F4607">
        <v>0</v>
      </c>
      <c r="G4607">
        <v>2</v>
      </c>
      <c r="H4607" t="s">
        <v>224</v>
      </c>
      <c r="I4607" t="s">
        <v>381</v>
      </c>
      <c r="J4607" t="s">
        <v>351</v>
      </c>
      <c r="K4607" t="b">
        <v>0</v>
      </c>
      <c r="L4607">
        <v>2013</v>
      </c>
      <c r="M4607">
        <v>23959712860</v>
      </c>
      <c r="N4607">
        <v>47867056858</v>
      </c>
      <c r="O4607" t="b">
        <v>0</v>
      </c>
      <c r="P4607">
        <v>1</v>
      </c>
      <c r="Q4607" t="str" cm="1">
        <f t="array" ref="Q4607">_xlfn.IFS(Table1[[#This Row],[Wealthier_Winner]]=-1,"Wealthier Nation Loses",Table1[[#This Row],[Wealthier_Winner]]=0,"Tie",Table1[[#This Row],[Wealthier_Winner]]=1,"Wealthier Nation Wins")</f>
        <v>Wealthier Nation Wins</v>
      </c>
    </row>
    <row r="4608" spans="1:17" x14ac:dyDescent="0.2">
      <c r="A4608" s="1">
        <v>6813</v>
      </c>
      <c r="B4608" s="2">
        <v>41527</v>
      </c>
      <c r="C4608" s="7">
        <f>_xlfn.FLOOR.MATH(Table1[[#This Row],[year]],10)</f>
        <v>2010</v>
      </c>
      <c r="D4608" t="s">
        <v>212</v>
      </c>
      <c r="E4608" t="s">
        <v>305</v>
      </c>
      <c r="F4608">
        <v>4</v>
      </c>
      <c r="G4608">
        <v>2</v>
      </c>
      <c r="H4608" t="s">
        <v>224</v>
      </c>
      <c r="I4608" t="s">
        <v>770</v>
      </c>
      <c r="J4608" t="s">
        <v>212</v>
      </c>
      <c r="K4608" t="b">
        <v>0</v>
      </c>
      <c r="L4608">
        <v>2013</v>
      </c>
      <c r="M4608">
        <v>288434108527</v>
      </c>
      <c r="N4608">
        <v>8376613539</v>
      </c>
      <c r="O4608" t="b">
        <v>1</v>
      </c>
      <c r="P4608">
        <v>1</v>
      </c>
      <c r="Q4608" t="str" cm="1">
        <f t="array" ref="Q4608">_xlfn.IFS(Table1[[#This Row],[Wealthier_Winner]]=-1,"Wealthier Nation Loses",Table1[[#This Row],[Wealthier_Winner]]=0,"Tie",Table1[[#This Row],[Wealthier_Winner]]=1,"Wealthier Nation Wins")</f>
        <v>Wealthier Nation Wins</v>
      </c>
    </row>
    <row r="4609" spans="1:17" x14ac:dyDescent="0.2">
      <c r="A4609" s="1">
        <v>6814</v>
      </c>
      <c r="B4609" s="2">
        <v>41527</v>
      </c>
      <c r="C4609" s="7">
        <f>_xlfn.FLOOR.MATH(Table1[[#This Row],[year]],10)</f>
        <v>2010</v>
      </c>
      <c r="D4609" t="s">
        <v>447</v>
      </c>
      <c r="E4609" t="s">
        <v>16</v>
      </c>
      <c r="F4609">
        <v>0</v>
      </c>
      <c r="G4609">
        <v>3</v>
      </c>
      <c r="H4609" t="s">
        <v>224</v>
      </c>
      <c r="I4609" t="s">
        <v>631</v>
      </c>
      <c r="J4609" t="s">
        <v>447</v>
      </c>
      <c r="K4609" t="b">
        <v>0</v>
      </c>
      <c r="L4609">
        <v>2013</v>
      </c>
      <c r="M4609">
        <v>2690110520</v>
      </c>
      <c r="N4609">
        <v>3807023797050</v>
      </c>
      <c r="O4609" t="b">
        <v>1</v>
      </c>
      <c r="P4609">
        <v>1</v>
      </c>
      <c r="Q4609" t="str" cm="1">
        <f t="array" ref="Q4609">_xlfn.IFS(Table1[[#This Row],[Wealthier_Winner]]=-1,"Wealthier Nation Loses",Table1[[#This Row],[Wealthier_Winner]]=0,"Tie",Table1[[#This Row],[Wealthier_Winner]]=1,"Wealthier Nation Wins")</f>
        <v>Wealthier Nation Wins</v>
      </c>
    </row>
    <row r="4610" spans="1:17" x14ac:dyDescent="0.2">
      <c r="A4610" s="1">
        <v>6815</v>
      </c>
      <c r="B4610" s="2">
        <v>41527</v>
      </c>
      <c r="C4610" s="7">
        <f>_xlfn.FLOOR.MATH(Table1[[#This Row],[year]],10)</f>
        <v>2010</v>
      </c>
      <c r="D4610" t="s">
        <v>534</v>
      </c>
      <c r="E4610" t="s">
        <v>230</v>
      </c>
      <c r="F4610">
        <v>0</v>
      </c>
      <c r="G4610">
        <v>1</v>
      </c>
      <c r="H4610" t="s">
        <v>224</v>
      </c>
      <c r="I4610" t="s">
        <v>536</v>
      </c>
      <c r="J4610" t="s">
        <v>534</v>
      </c>
      <c r="K4610" t="b">
        <v>0</v>
      </c>
      <c r="L4610">
        <v>2013</v>
      </c>
      <c r="M4610">
        <v>17517660143</v>
      </c>
      <c r="N4610">
        <v>270268036626</v>
      </c>
      <c r="O4610" t="b">
        <v>1</v>
      </c>
      <c r="P4610">
        <v>1</v>
      </c>
      <c r="Q4610" t="str" cm="1">
        <f t="array" ref="Q4610">_xlfn.IFS(Table1[[#This Row],[Wealthier_Winner]]=-1,"Wealthier Nation Loses",Table1[[#This Row],[Wealthier_Winner]]=0,"Tie",Table1[[#This Row],[Wealthier_Winner]]=1,"Wealthier Nation Wins")</f>
        <v>Wealthier Nation Wins</v>
      </c>
    </row>
    <row r="4611" spans="1:17" x14ac:dyDescent="0.2">
      <c r="A4611" s="1">
        <v>6816</v>
      </c>
      <c r="B4611" s="2">
        <v>41527</v>
      </c>
      <c r="C4611" s="7">
        <f>_xlfn.FLOOR.MATH(Table1[[#This Row],[year]],10)</f>
        <v>2010</v>
      </c>
      <c r="D4611" t="s">
        <v>48</v>
      </c>
      <c r="E4611" t="s">
        <v>525</v>
      </c>
      <c r="F4611">
        <v>1</v>
      </c>
      <c r="G4611">
        <v>0</v>
      </c>
      <c r="H4611" t="s">
        <v>224</v>
      </c>
      <c r="I4611" t="s">
        <v>282</v>
      </c>
      <c r="J4611" t="s">
        <v>48</v>
      </c>
      <c r="K4611" t="b">
        <v>0</v>
      </c>
      <c r="L4611">
        <v>2013</v>
      </c>
      <c r="M4611">
        <v>236556279640</v>
      </c>
      <c r="N4611">
        <v>29152128167</v>
      </c>
      <c r="O4611" t="b">
        <v>1</v>
      </c>
      <c r="P4611">
        <v>1</v>
      </c>
      <c r="Q4611" t="str" cm="1">
        <f t="array" ref="Q4611">_xlfn.IFS(Table1[[#This Row],[Wealthier_Winner]]=-1,"Wealthier Nation Loses",Table1[[#This Row],[Wealthier_Winner]]=0,"Tie",Table1[[#This Row],[Wealthier_Winner]]=1,"Wealthier Nation Wins")</f>
        <v>Wealthier Nation Wins</v>
      </c>
    </row>
    <row r="4612" spans="1:17" x14ac:dyDescent="0.2">
      <c r="A4612" s="1">
        <v>6817</v>
      </c>
      <c r="B4612" s="2">
        <v>41527</v>
      </c>
      <c r="C4612" s="7">
        <f>_xlfn.FLOOR.MATH(Table1[[#This Row],[year]],10)</f>
        <v>2010</v>
      </c>
      <c r="D4612" t="s">
        <v>65</v>
      </c>
      <c r="E4612" t="s">
        <v>67</v>
      </c>
      <c r="F4612">
        <v>2</v>
      </c>
      <c r="G4612">
        <v>2</v>
      </c>
      <c r="H4612" t="s">
        <v>224</v>
      </c>
      <c r="I4612" t="s">
        <v>228</v>
      </c>
      <c r="J4612" t="s">
        <v>65</v>
      </c>
      <c r="K4612" t="b">
        <v>0</v>
      </c>
      <c r="L4612">
        <v>2013</v>
      </c>
      <c r="M4612">
        <v>18499729214</v>
      </c>
      <c r="N4612">
        <v>46949496479</v>
      </c>
      <c r="O4612" t="b">
        <v>1</v>
      </c>
      <c r="P4612">
        <v>0</v>
      </c>
      <c r="Q4612" t="str" cm="1">
        <f t="array" ref="Q4612">_xlfn.IFS(Table1[[#This Row],[Wealthier_Winner]]=-1,"Wealthier Nation Loses",Table1[[#This Row],[Wealthier_Winner]]=0,"Tie",Table1[[#This Row],[Wealthier_Winner]]=1,"Wealthier Nation Wins")</f>
        <v>Tie</v>
      </c>
    </row>
    <row r="4613" spans="1:17" x14ac:dyDescent="0.2">
      <c r="A4613" s="1">
        <v>6818</v>
      </c>
      <c r="B4613" s="2">
        <v>41527</v>
      </c>
      <c r="C4613" s="7">
        <f>_xlfn.FLOOR.MATH(Table1[[#This Row],[year]],10)</f>
        <v>2010</v>
      </c>
      <c r="D4613" t="s">
        <v>30</v>
      </c>
      <c r="E4613" t="s">
        <v>476</v>
      </c>
      <c r="F4613">
        <v>5</v>
      </c>
      <c r="G4613">
        <v>1</v>
      </c>
      <c r="H4613" t="s">
        <v>224</v>
      </c>
      <c r="I4613" t="s">
        <v>297</v>
      </c>
      <c r="J4613" t="s">
        <v>30</v>
      </c>
      <c r="K4613" t="b">
        <v>0</v>
      </c>
      <c r="L4613">
        <v>2013</v>
      </c>
      <c r="M4613">
        <v>135646053778</v>
      </c>
      <c r="N4613">
        <v>25451032780</v>
      </c>
      <c r="O4613" t="b">
        <v>1</v>
      </c>
      <c r="P4613">
        <v>1</v>
      </c>
      <c r="Q4613" t="str" cm="1">
        <f t="array" ref="Q4613">_xlfn.IFS(Table1[[#This Row],[Wealthier_Winner]]=-1,"Wealthier Nation Loses",Table1[[#This Row],[Wealthier_Winner]]=0,"Tie",Table1[[#This Row],[Wealthier_Winner]]=1,"Wealthier Nation Wins")</f>
        <v>Wealthier Nation Wins</v>
      </c>
    </row>
    <row r="4614" spans="1:17" x14ac:dyDescent="0.2">
      <c r="A4614" s="1">
        <v>6819</v>
      </c>
      <c r="B4614" s="2">
        <v>41527</v>
      </c>
      <c r="C4614" s="7">
        <f>_xlfn.FLOOR.MATH(Table1[[#This Row],[year]],10)</f>
        <v>2010</v>
      </c>
      <c r="D4614" t="s">
        <v>66</v>
      </c>
      <c r="E4614" t="s">
        <v>373</v>
      </c>
      <c r="F4614">
        <v>2</v>
      </c>
      <c r="G4614">
        <v>1</v>
      </c>
      <c r="H4614" t="s">
        <v>224</v>
      </c>
      <c r="I4614" t="s">
        <v>336</v>
      </c>
      <c r="J4614" t="s">
        <v>66</v>
      </c>
      <c r="K4614" t="b">
        <v>0</v>
      </c>
      <c r="L4614">
        <v>2013</v>
      </c>
      <c r="M4614">
        <v>16244319958</v>
      </c>
      <c r="N4614">
        <v>12796985886</v>
      </c>
      <c r="O4614" t="b">
        <v>0</v>
      </c>
      <c r="P4614">
        <v>1</v>
      </c>
      <c r="Q4614" t="str" cm="1">
        <f t="array" ref="Q4614">_xlfn.IFS(Table1[[#This Row],[Wealthier_Winner]]=-1,"Wealthier Nation Loses",Table1[[#This Row],[Wealthier_Winner]]=0,"Tie",Table1[[#This Row],[Wealthier_Winner]]=1,"Wealthier Nation Wins")</f>
        <v>Wealthier Nation Wins</v>
      </c>
    </row>
    <row r="4615" spans="1:17" x14ac:dyDescent="0.2">
      <c r="A4615" s="1">
        <v>6821</v>
      </c>
      <c r="B4615" s="2">
        <v>41527</v>
      </c>
      <c r="C4615" s="7">
        <f>_xlfn.FLOOR.MATH(Table1[[#This Row],[year]],10)</f>
        <v>2010</v>
      </c>
      <c r="D4615" t="s">
        <v>49</v>
      </c>
      <c r="E4615" t="s">
        <v>56</v>
      </c>
      <c r="F4615">
        <v>1</v>
      </c>
      <c r="G4615">
        <v>1</v>
      </c>
      <c r="H4615" t="s">
        <v>224</v>
      </c>
      <c r="I4615" t="s">
        <v>257</v>
      </c>
      <c r="J4615" t="s">
        <v>49</v>
      </c>
      <c r="K4615" t="b">
        <v>0</v>
      </c>
      <c r="L4615">
        <v>2013</v>
      </c>
      <c r="M4615">
        <v>14264205152</v>
      </c>
      <c r="N4615">
        <v>50949668841</v>
      </c>
      <c r="O4615" t="b">
        <v>1</v>
      </c>
      <c r="P4615">
        <v>0</v>
      </c>
      <c r="Q4615" t="str" cm="1">
        <f t="array" ref="Q4615">_xlfn.IFS(Table1[[#This Row],[Wealthier_Winner]]=-1,"Wealthier Nation Loses",Table1[[#This Row],[Wealthier_Winner]]=0,"Tie",Table1[[#This Row],[Wealthier_Winner]]=1,"Wealthier Nation Wins")</f>
        <v>Tie</v>
      </c>
    </row>
    <row r="4616" spans="1:17" x14ac:dyDescent="0.2">
      <c r="A4616" s="1">
        <v>6822</v>
      </c>
      <c r="B4616" s="2">
        <v>41527</v>
      </c>
      <c r="C4616" s="7">
        <f>_xlfn.FLOOR.MATH(Table1[[#This Row],[year]],10)</f>
        <v>2010</v>
      </c>
      <c r="D4616" t="s">
        <v>558</v>
      </c>
      <c r="E4616" t="s">
        <v>25</v>
      </c>
      <c r="F4616">
        <v>0</v>
      </c>
      <c r="G4616">
        <v>1</v>
      </c>
      <c r="H4616" t="s">
        <v>224</v>
      </c>
      <c r="I4616" t="s">
        <v>733</v>
      </c>
      <c r="J4616" t="s">
        <v>558</v>
      </c>
      <c r="K4616" t="b">
        <v>0</v>
      </c>
      <c r="L4616">
        <v>2013</v>
      </c>
      <c r="M4616">
        <v>236634603409</v>
      </c>
      <c r="N4616">
        <v>584125353119</v>
      </c>
      <c r="O4616" t="b">
        <v>1</v>
      </c>
      <c r="P4616">
        <v>1</v>
      </c>
      <c r="Q4616" t="str" cm="1">
        <f t="array" ref="Q4616">_xlfn.IFS(Table1[[#This Row],[Wealthier_Winner]]=-1,"Wealthier Nation Loses",Table1[[#This Row],[Wealthier_Winner]]=0,"Tie",Table1[[#This Row],[Wealthier_Winner]]=1,"Wealthier Nation Wins")</f>
        <v>Wealthier Nation Wins</v>
      </c>
    </row>
    <row r="4617" spans="1:17" x14ac:dyDescent="0.2">
      <c r="A4617" s="1">
        <v>6823</v>
      </c>
      <c r="B4617" s="2">
        <v>41527</v>
      </c>
      <c r="C4617" s="7">
        <f>_xlfn.FLOOR.MATH(Table1[[#This Row],[year]],10)</f>
        <v>2010</v>
      </c>
      <c r="D4617" t="s">
        <v>523</v>
      </c>
      <c r="E4617" t="s">
        <v>503</v>
      </c>
      <c r="F4617">
        <v>2</v>
      </c>
      <c r="G4617">
        <v>0</v>
      </c>
      <c r="H4617" t="s">
        <v>224</v>
      </c>
      <c r="I4617" t="s">
        <v>711</v>
      </c>
      <c r="J4617" t="s">
        <v>523</v>
      </c>
      <c r="K4617" t="b">
        <v>0</v>
      </c>
      <c r="L4617">
        <v>2013</v>
      </c>
      <c r="M4617">
        <v>46303660422</v>
      </c>
      <c r="N4617">
        <v>6391708310</v>
      </c>
      <c r="O4617" t="b">
        <v>1</v>
      </c>
      <c r="P4617">
        <v>1</v>
      </c>
      <c r="Q4617" t="str" cm="1">
        <f t="array" ref="Q4617">_xlfn.IFS(Table1[[#This Row],[Wealthier_Winner]]=-1,"Wealthier Nation Loses",Table1[[#This Row],[Wealthier_Winner]]=0,"Tie",Table1[[#This Row],[Wealthier_Winner]]=1,"Wealthier Nation Wins")</f>
        <v>Wealthier Nation Wins</v>
      </c>
    </row>
    <row r="4618" spans="1:17" x14ac:dyDescent="0.2">
      <c r="A4618" s="1">
        <v>6826</v>
      </c>
      <c r="B4618" s="2">
        <v>41527</v>
      </c>
      <c r="C4618" s="7">
        <f>_xlfn.FLOOR.MATH(Table1[[#This Row],[year]],10)</f>
        <v>2010</v>
      </c>
      <c r="D4618" t="s">
        <v>303</v>
      </c>
      <c r="E4618" t="s">
        <v>33</v>
      </c>
      <c r="F4618">
        <v>1</v>
      </c>
      <c r="G4618">
        <v>2</v>
      </c>
      <c r="H4618" t="s">
        <v>224</v>
      </c>
      <c r="I4618" t="s">
        <v>399</v>
      </c>
      <c r="J4618" t="s">
        <v>303</v>
      </c>
      <c r="K4618" t="b">
        <v>0</v>
      </c>
      <c r="L4618">
        <v>2013</v>
      </c>
      <c r="M4618">
        <v>10796782636</v>
      </c>
      <c r="N4618">
        <v>55819262374</v>
      </c>
      <c r="O4618" t="b">
        <v>1</v>
      </c>
      <c r="P4618">
        <v>1</v>
      </c>
      <c r="Q4618" t="str" cm="1">
        <f t="array" ref="Q4618">_xlfn.IFS(Table1[[#This Row],[Wealthier_Winner]]=-1,"Wealthier Nation Loses",Table1[[#This Row],[Wealthier_Winner]]=0,"Tie",Table1[[#This Row],[Wealthier_Winner]]=1,"Wealthier Nation Wins")</f>
        <v>Wealthier Nation Wins</v>
      </c>
    </row>
    <row r="4619" spans="1:17" x14ac:dyDescent="0.2">
      <c r="A4619" s="1">
        <v>6827</v>
      </c>
      <c r="B4619" s="2">
        <v>41527</v>
      </c>
      <c r="C4619" s="7">
        <f>_xlfn.FLOOR.MATH(Table1[[#This Row],[year]],10)</f>
        <v>2010</v>
      </c>
      <c r="D4619" t="s">
        <v>42</v>
      </c>
      <c r="E4619" t="s">
        <v>46</v>
      </c>
      <c r="F4619">
        <v>0</v>
      </c>
      <c r="G4619">
        <v>2</v>
      </c>
      <c r="H4619" t="s">
        <v>224</v>
      </c>
      <c r="I4619" t="s">
        <v>262</v>
      </c>
      <c r="J4619" t="s">
        <v>42</v>
      </c>
      <c r="K4619" t="b">
        <v>0</v>
      </c>
      <c r="L4619">
        <v>2013</v>
      </c>
      <c r="M4619">
        <v>526014468085</v>
      </c>
      <c r="N4619">
        <v>706234937370</v>
      </c>
      <c r="O4619" t="b">
        <v>0</v>
      </c>
      <c r="P4619">
        <v>1</v>
      </c>
      <c r="Q4619" t="str" cm="1">
        <f t="array" ref="Q4619">_xlfn.IFS(Table1[[#This Row],[Wealthier_Winner]]=-1,"Wealthier Nation Loses",Table1[[#This Row],[Wealthier_Winner]]=0,"Tie",Table1[[#This Row],[Wealthier_Winner]]=1,"Wealthier Nation Wins")</f>
        <v>Wealthier Nation Wins</v>
      </c>
    </row>
    <row r="4620" spans="1:17" x14ac:dyDescent="0.2">
      <c r="A4620" s="1">
        <v>6828</v>
      </c>
      <c r="B4620" s="2">
        <v>41527</v>
      </c>
      <c r="C4620" s="7">
        <f>_xlfn.FLOOR.MATH(Table1[[#This Row],[year]],10)</f>
        <v>2010</v>
      </c>
      <c r="D4620" t="s">
        <v>35</v>
      </c>
      <c r="E4620" t="s">
        <v>19</v>
      </c>
      <c r="F4620">
        <v>2</v>
      </c>
      <c r="G4620">
        <v>5</v>
      </c>
      <c r="H4620" t="s">
        <v>224</v>
      </c>
      <c r="I4620" t="s">
        <v>250</v>
      </c>
      <c r="J4620" t="s">
        <v>35</v>
      </c>
      <c r="K4620" t="b">
        <v>0</v>
      </c>
      <c r="L4620">
        <v>2013</v>
      </c>
      <c r="M4620">
        <v>38501122141</v>
      </c>
      <c r="N4620">
        <v>552025140252</v>
      </c>
      <c r="O4620" t="b">
        <v>1</v>
      </c>
      <c r="P4620">
        <v>1</v>
      </c>
      <c r="Q4620" t="str" cm="1">
        <f t="array" ref="Q4620">_xlfn.IFS(Table1[[#This Row],[Wealthier_Winner]]=-1,"Wealthier Nation Loses",Table1[[#This Row],[Wealthier_Winner]]=0,"Tie",Table1[[#This Row],[Wealthier_Winner]]=1,"Wealthier Nation Wins")</f>
        <v>Wealthier Nation Wins</v>
      </c>
    </row>
    <row r="4621" spans="1:17" x14ac:dyDescent="0.2">
      <c r="A4621" s="1">
        <v>6830</v>
      </c>
      <c r="B4621" s="2">
        <v>41527</v>
      </c>
      <c r="C4621" s="7">
        <f>_xlfn.FLOOR.MATH(Table1[[#This Row],[year]],10)</f>
        <v>2010</v>
      </c>
      <c r="D4621" t="s">
        <v>196</v>
      </c>
      <c r="E4621" t="s">
        <v>22</v>
      </c>
      <c r="F4621">
        <v>3</v>
      </c>
      <c r="G4621">
        <v>1</v>
      </c>
      <c r="H4621" t="s">
        <v>224</v>
      </c>
      <c r="I4621" t="s">
        <v>187</v>
      </c>
      <c r="J4621" t="s">
        <v>196</v>
      </c>
      <c r="K4621" t="b">
        <v>0</v>
      </c>
      <c r="L4621">
        <v>2013</v>
      </c>
      <c r="M4621">
        <v>2292470078346</v>
      </c>
      <c r="N4621">
        <v>298478070673</v>
      </c>
      <c r="O4621" t="b">
        <v>1</v>
      </c>
      <c r="P4621">
        <v>1</v>
      </c>
      <c r="Q4621" t="str" cm="1">
        <f t="array" ref="Q4621">_xlfn.IFS(Table1[[#This Row],[Wealthier_Winner]]=-1,"Wealthier Nation Loses",Table1[[#This Row],[Wealthier_Winner]]=0,"Tie",Table1[[#This Row],[Wealthier_Winner]]=1,"Wealthier Nation Wins")</f>
        <v>Wealthier Nation Wins</v>
      </c>
    </row>
    <row r="4622" spans="1:17" x14ac:dyDescent="0.2">
      <c r="A4622" s="1">
        <v>6831</v>
      </c>
      <c r="B4622" s="2">
        <v>41527</v>
      </c>
      <c r="C4622" s="7">
        <f>_xlfn.FLOOR.MATH(Table1[[#This Row],[year]],10)</f>
        <v>2010</v>
      </c>
      <c r="D4622" t="s">
        <v>549</v>
      </c>
      <c r="E4622" t="s">
        <v>58</v>
      </c>
      <c r="F4622">
        <v>1</v>
      </c>
      <c r="G4622">
        <v>5</v>
      </c>
      <c r="H4622" t="s">
        <v>224</v>
      </c>
      <c r="I4622" t="s">
        <v>555</v>
      </c>
      <c r="J4622" t="s">
        <v>549</v>
      </c>
      <c r="K4622" t="b">
        <v>0</v>
      </c>
      <c r="L4622">
        <v>2013</v>
      </c>
      <c r="M4622">
        <v>1678741475</v>
      </c>
      <c r="N4622">
        <v>518179836405</v>
      </c>
      <c r="O4622" t="b">
        <v>1</v>
      </c>
      <c r="P4622">
        <v>1</v>
      </c>
      <c r="Q4622" t="str" cm="1">
        <f t="array" ref="Q4622">_xlfn.IFS(Table1[[#This Row],[Wealthier_Winner]]=-1,"Wealthier Nation Loses",Table1[[#This Row],[Wealthier_Winner]]=0,"Tie",Table1[[#This Row],[Wealthier_Winner]]=1,"Wealthier Nation Wins")</f>
        <v>Wealthier Nation Wins</v>
      </c>
    </row>
    <row r="4623" spans="1:17" x14ac:dyDescent="0.2">
      <c r="A4623" s="1">
        <v>6833</v>
      </c>
      <c r="B4623" s="2">
        <v>41527</v>
      </c>
      <c r="C4623" s="7">
        <f>_xlfn.FLOOR.MATH(Table1[[#This Row],[year]],10)</f>
        <v>2010</v>
      </c>
      <c r="D4623" t="s">
        <v>64</v>
      </c>
      <c r="E4623" t="s">
        <v>194</v>
      </c>
      <c r="F4623">
        <v>0</v>
      </c>
      <c r="G4623">
        <v>0</v>
      </c>
      <c r="H4623" t="s">
        <v>224</v>
      </c>
      <c r="I4623" t="s">
        <v>423</v>
      </c>
      <c r="J4623" t="s">
        <v>64</v>
      </c>
      <c r="K4623" t="b">
        <v>0</v>
      </c>
      <c r="L4623">
        <v>2013</v>
      </c>
      <c r="M4623">
        <v>190498811460</v>
      </c>
      <c r="N4623">
        <v>2796908333283</v>
      </c>
      <c r="O4623" t="b">
        <v>1</v>
      </c>
      <c r="P4623">
        <v>0</v>
      </c>
      <c r="Q4623" t="str" cm="1">
        <f t="array" ref="Q4623">_xlfn.IFS(Table1[[#This Row],[Wealthier_Winner]]=-1,"Wealthier Nation Loses",Table1[[#This Row],[Wealthier_Winner]]=0,"Tie",Table1[[#This Row],[Wealthier_Winner]]=1,"Wealthier Nation Wins")</f>
        <v>Tie</v>
      </c>
    </row>
    <row r="4624" spans="1:17" x14ac:dyDescent="0.2">
      <c r="A4624" s="1">
        <v>6834</v>
      </c>
      <c r="B4624" s="2">
        <v>41527</v>
      </c>
      <c r="C4624" s="7">
        <f>_xlfn.FLOOR.MATH(Table1[[#This Row],[year]],10)</f>
        <v>2010</v>
      </c>
      <c r="D4624" t="s">
        <v>26</v>
      </c>
      <c r="E4624" t="s">
        <v>15</v>
      </c>
      <c r="F4624">
        <v>2</v>
      </c>
      <c r="G4624">
        <v>0</v>
      </c>
      <c r="H4624" t="s">
        <v>224</v>
      </c>
      <c r="I4624" t="s">
        <v>247</v>
      </c>
      <c r="J4624" t="s">
        <v>26</v>
      </c>
      <c r="K4624" t="b">
        <v>0</v>
      </c>
      <c r="L4624">
        <v>2013</v>
      </c>
      <c r="M4624">
        <v>61337621933</v>
      </c>
      <c r="N4624">
        <v>382093697077</v>
      </c>
      <c r="O4624" t="b">
        <v>1</v>
      </c>
      <c r="P4624">
        <v>-1</v>
      </c>
      <c r="Q4624" t="str" cm="1">
        <f t="array" ref="Q4624">_xlfn.IFS(Table1[[#This Row],[Wealthier_Winner]]=-1,"Wealthier Nation Loses",Table1[[#This Row],[Wealthier_Winner]]=0,"Tie",Table1[[#This Row],[Wealthier_Winner]]=1,"Wealthier Nation Wins")</f>
        <v>Wealthier Nation Loses</v>
      </c>
    </row>
    <row r="4625" spans="1:17" x14ac:dyDescent="0.2">
      <c r="A4625" s="1">
        <v>6835</v>
      </c>
      <c r="B4625" s="2">
        <v>41527</v>
      </c>
      <c r="C4625" s="7">
        <f>_xlfn.FLOOR.MATH(Table1[[#This Row],[year]],10)</f>
        <v>2010</v>
      </c>
      <c r="D4625" t="s">
        <v>41</v>
      </c>
      <c r="E4625" t="s">
        <v>17</v>
      </c>
      <c r="F4625">
        <v>2</v>
      </c>
      <c r="G4625">
        <v>0</v>
      </c>
      <c r="H4625" t="s">
        <v>224</v>
      </c>
      <c r="I4625" t="s">
        <v>607</v>
      </c>
      <c r="J4625" t="s">
        <v>41</v>
      </c>
      <c r="K4625" t="b">
        <v>0</v>
      </c>
      <c r="L4625">
        <v>2013</v>
      </c>
      <c r="M4625">
        <v>16843190993000</v>
      </c>
      <c r="N4625">
        <v>1327436290282</v>
      </c>
      <c r="O4625" t="b">
        <v>1</v>
      </c>
      <c r="P4625">
        <v>1</v>
      </c>
      <c r="Q4625" t="str" cm="1">
        <f t="array" ref="Q4625">_xlfn.IFS(Table1[[#This Row],[Wealthier_Winner]]=-1,"Wealthier Nation Loses",Table1[[#This Row],[Wealthier_Winner]]=0,"Tie",Table1[[#This Row],[Wealthier_Winner]]=1,"Wealthier Nation Wins")</f>
        <v>Wealthier Nation Wins</v>
      </c>
    </row>
    <row r="4626" spans="1:17" x14ac:dyDescent="0.2">
      <c r="A4626" s="1">
        <v>6836</v>
      </c>
      <c r="B4626" s="2">
        <v>41527</v>
      </c>
      <c r="C4626" s="7">
        <f>_xlfn.FLOOR.MATH(Table1[[#This Row],[year]],10)</f>
        <v>2010</v>
      </c>
      <c r="D4626" t="s">
        <v>563</v>
      </c>
      <c r="E4626" t="s">
        <v>403</v>
      </c>
      <c r="F4626">
        <v>1</v>
      </c>
      <c r="G4626">
        <v>1</v>
      </c>
      <c r="H4626" t="s">
        <v>224</v>
      </c>
      <c r="I4626" t="s">
        <v>564</v>
      </c>
      <c r="J4626" t="s">
        <v>563</v>
      </c>
      <c r="K4626" t="b">
        <v>0</v>
      </c>
      <c r="L4626">
        <v>2013</v>
      </c>
      <c r="M4626">
        <v>73180037914</v>
      </c>
      <c r="N4626">
        <v>34454440140</v>
      </c>
      <c r="O4626" t="b">
        <v>1</v>
      </c>
      <c r="P4626">
        <v>0</v>
      </c>
      <c r="Q4626" t="str" cm="1">
        <f t="array" ref="Q4626">_xlfn.IFS(Table1[[#This Row],[Wealthier_Winner]]=-1,"Wealthier Nation Loses",Table1[[#This Row],[Wealthier_Winner]]=0,"Tie",Table1[[#This Row],[Wealthier_Winner]]=1,"Wealthier Nation Wins")</f>
        <v>Tie</v>
      </c>
    </row>
    <row r="4627" spans="1:17" x14ac:dyDescent="0.2">
      <c r="A4627" s="1">
        <v>6837</v>
      </c>
      <c r="B4627" s="2">
        <v>41527</v>
      </c>
      <c r="C4627" s="7">
        <f>_xlfn.FLOOR.MATH(Table1[[#This Row],[year]],10)</f>
        <v>2010</v>
      </c>
      <c r="D4627" t="s">
        <v>258</v>
      </c>
      <c r="E4627" t="s">
        <v>31</v>
      </c>
      <c r="F4627">
        <v>3</v>
      </c>
      <c r="G4627">
        <v>2</v>
      </c>
      <c r="H4627" t="s">
        <v>224</v>
      </c>
      <c r="I4627" t="s">
        <v>701</v>
      </c>
      <c r="J4627" t="s">
        <v>258</v>
      </c>
      <c r="K4627" t="b">
        <v>0</v>
      </c>
      <c r="L4627">
        <v>2013</v>
      </c>
      <c r="M4627">
        <v>258930655486</v>
      </c>
      <c r="N4627">
        <v>201175543571</v>
      </c>
      <c r="O4627" t="b">
        <v>0</v>
      </c>
      <c r="P4627">
        <v>1</v>
      </c>
      <c r="Q4627" t="str" cm="1">
        <f t="array" ref="Q4627">_xlfn.IFS(Table1[[#This Row],[Wealthier_Winner]]=-1,"Wealthier Nation Loses",Table1[[#This Row],[Wealthier_Winner]]=0,"Tie",Table1[[#This Row],[Wealthier_Winner]]=1,"Wealthier Nation Wins")</f>
        <v>Wealthier Nation Wins</v>
      </c>
    </row>
    <row r="4628" spans="1:17" x14ac:dyDescent="0.2">
      <c r="A4628" s="1">
        <v>6839</v>
      </c>
      <c r="B4628" s="2">
        <v>41558</v>
      </c>
      <c r="C4628" s="7">
        <f>_xlfn.FLOOR.MATH(Table1[[#This Row],[year]],10)</f>
        <v>2010</v>
      </c>
      <c r="D4628" t="s">
        <v>373</v>
      </c>
      <c r="E4628" t="s">
        <v>46</v>
      </c>
      <c r="F4628">
        <v>1</v>
      </c>
      <c r="G4628">
        <v>2</v>
      </c>
      <c r="H4628" t="s">
        <v>224</v>
      </c>
      <c r="I4628" t="s">
        <v>374</v>
      </c>
      <c r="J4628" t="s">
        <v>373</v>
      </c>
      <c r="K4628" t="b">
        <v>0</v>
      </c>
      <c r="L4628">
        <v>2013</v>
      </c>
      <c r="M4628">
        <v>12796985886</v>
      </c>
      <c r="N4628">
        <v>706234937370</v>
      </c>
      <c r="O4628" t="b">
        <v>1</v>
      </c>
      <c r="P4628">
        <v>1</v>
      </c>
      <c r="Q4628" t="str" cm="1">
        <f t="array" ref="Q4628">_xlfn.IFS(Table1[[#This Row],[Wealthier_Winner]]=-1,"Wealthier Nation Loses",Table1[[#This Row],[Wealthier_Winner]]=0,"Tie",Table1[[#This Row],[Wealthier_Winner]]=1,"Wealthier Nation Wins")</f>
        <v>Wealthier Nation Wins</v>
      </c>
    </row>
    <row r="4629" spans="1:17" x14ac:dyDescent="0.2">
      <c r="A4629" s="1">
        <v>6840</v>
      </c>
      <c r="B4629" s="2">
        <v>41558</v>
      </c>
      <c r="C4629" s="7">
        <f>_xlfn.FLOOR.MATH(Table1[[#This Row],[year]],10)</f>
        <v>2010</v>
      </c>
      <c r="D4629" t="s">
        <v>601</v>
      </c>
      <c r="E4629" t="s">
        <v>44</v>
      </c>
      <c r="F4629">
        <v>0</v>
      </c>
      <c r="G4629">
        <v>4</v>
      </c>
      <c r="H4629" t="s">
        <v>224</v>
      </c>
      <c r="I4629" t="s">
        <v>602</v>
      </c>
      <c r="J4629" t="s">
        <v>601</v>
      </c>
      <c r="K4629" t="b">
        <v>0</v>
      </c>
      <c r="L4629">
        <v>2013</v>
      </c>
      <c r="M4629">
        <v>3193513470</v>
      </c>
      <c r="N4629">
        <v>189798603751</v>
      </c>
      <c r="O4629" t="b">
        <v>1</v>
      </c>
      <c r="P4629">
        <v>1</v>
      </c>
      <c r="Q4629" t="str" cm="1">
        <f t="array" ref="Q4629">_xlfn.IFS(Table1[[#This Row],[Wealthier_Winner]]=-1,"Wealthier Nation Loses",Table1[[#This Row],[Wealthier_Winner]]=0,"Tie",Table1[[#This Row],[Wealthier_Winner]]=1,"Wealthier Nation Wins")</f>
        <v>Wealthier Nation Wins</v>
      </c>
    </row>
    <row r="4630" spans="1:17" x14ac:dyDescent="0.2">
      <c r="A4630" s="1">
        <v>6841</v>
      </c>
      <c r="B4630" s="2">
        <v>41558</v>
      </c>
      <c r="C4630" s="7">
        <f>_xlfn.FLOOR.MATH(Table1[[#This Row],[year]],10)</f>
        <v>2010</v>
      </c>
      <c r="D4630" t="s">
        <v>19</v>
      </c>
      <c r="E4630" t="s">
        <v>31</v>
      </c>
      <c r="F4630">
        <v>3</v>
      </c>
      <c r="G4630">
        <v>1</v>
      </c>
      <c r="H4630" t="s">
        <v>224</v>
      </c>
      <c r="I4630" t="s">
        <v>93</v>
      </c>
      <c r="J4630" t="s">
        <v>19</v>
      </c>
      <c r="K4630" t="b">
        <v>0</v>
      </c>
      <c r="L4630">
        <v>2013</v>
      </c>
      <c r="M4630">
        <v>552025140252</v>
      </c>
      <c r="N4630">
        <v>201175543571</v>
      </c>
      <c r="O4630" t="b">
        <v>1</v>
      </c>
      <c r="P4630">
        <v>1</v>
      </c>
      <c r="Q4630" t="str" cm="1">
        <f t="array" ref="Q4630">_xlfn.IFS(Table1[[#This Row],[Wealthier_Winner]]=-1,"Wealthier Nation Loses",Table1[[#This Row],[Wealthier_Winner]]=0,"Tie",Table1[[#This Row],[Wealthier_Winner]]=1,"Wealthier Nation Wins")</f>
        <v>Wealthier Nation Wins</v>
      </c>
    </row>
    <row r="4631" spans="1:17" x14ac:dyDescent="0.2">
      <c r="A4631" s="1">
        <v>6842</v>
      </c>
      <c r="B4631" s="2">
        <v>41558</v>
      </c>
      <c r="C4631" s="7">
        <f>_xlfn.FLOOR.MATH(Table1[[#This Row],[year]],10)</f>
        <v>2010</v>
      </c>
      <c r="D4631" t="s">
        <v>519</v>
      </c>
      <c r="E4631" t="s">
        <v>33</v>
      </c>
      <c r="F4631">
        <v>2</v>
      </c>
      <c r="G4631">
        <v>1</v>
      </c>
      <c r="H4631" t="s">
        <v>224</v>
      </c>
      <c r="I4631" t="s">
        <v>520</v>
      </c>
      <c r="J4631" t="s">
        <v>519</v>
      </c>
      <c r="K4631" t="b">
        <v>0</v>
      </c>
      <c r="L4631">
        <v>2013</v>
      </c>
      <c r="M4631">
        <v>11121464437</v>
      </c>
      <c r="N4631">
        <v>55819262374</v>
      </c>
      <c r="O4631" t="b">
        <v>1</v>
      </c>
      <c r="P4631">
        <v>-1</v>
      </c>
      <c r="Q4631" t="str" cm="1">
        <f t="array" ref="Q4631">_xlfn.IFS(Table1[[#This Row],[Wealthier_Winner]]=-1,"Wealthier Nation Loses",Table1[[#This Row],[Wealthier_Winner]]=0,"Tie",Table1[[#This Row],[Wealthier_Winner]]=1,"Wealthier Nation Wins")</f>
        <v>Wealthier Nation Loses</v>
      </c>
    </row>
    <row r="4632" spans="1:17" x14ac:dyDescent="0.2">
      <c r="A4632" s="1">
        <v>6844</v>
      </c>
      <c r="B4632" s="2">
        <v>41558</v>
      </c>
      <c r="C4632" s="7">
        <f>_xlfn.FLOOR.MATH(Table1[[#This Row],[year]],10)</f>
        <v>2010</v>
      </c>
      <c r="D4632" t="s">
        <v>73</v>
      </c>
      <c r="E4632" t="s">
        <v>503</v>
      </c>
      <c r="F4632">
        <v>4</v>
      </c>
      <c r="G4632">
        <v>1</v>
      </c>
      <c r="H4632" t="s">
        <v>224</v>
      </c>
      <c r="I4632" t="s">
        <v>636</v>
      </c>
      <c r="J4632" t="s">
        <v>73</v>
      </c>
      <c r="K4632" t="b">
        <v>0</v>
      </c>
      <c r="L4632">
        <v>2013</v>
      </c>
      <c r="M4632">
        <v>18179109209</v>
      </c>
      <c r="N4632">
        <v>6391708310</v>
      </c>
      <c r="O4632" t="b">
        <v>1</v>
      </c>
      <c r="P4632">
        <v>1</v>
      </c>
      <c r="Q4632" t="str" cm="1">
        <f t="array" ref="Q4632">_xlfn.IFS(Table1[[#This Row],[Wealthier_Winner]]=-1,"Wealthier Nation Loses",Table1[[#This Row],[Wealthier_Winner]]=0,"Tie",Table1[[#This Row],[Wealthier_Winner]]=1,"Wealthier Nation Wins")</f>
        <v>Wealthier Nation Wins</v>
      </c>
    </row>
    <row r="4633" spans="1:17" x14ac:dyDescent="0.2">
      <c r="A4633" s="1">
        <v>6845</v>
      </c>
      <c r="B4633" s="2">
        <v>41558</v>
      </c>
      <c r="C4633" s="7">
        <f>_xlfn.FLOOR.MATH(Table1[[#This Row],[year]],10)</f>
        <v>2010</v>
      </c>
      <c r="D4633" t="s">
        <v>15</v>
      </c>
      <c r="E4633" t="s">
        <v>14</v>
      </c>
      <c r="F4633">
        <v>3</v>
      </c>
      <c r="G4633">
        <v>3</v>
      </c>
      <c r="H4633" t="s">
        <v>224</v>
      </c>
      <c r="I4633" t="s">
        <v>261</v>
      </c>
      <c r="J4633" t="s">
        <v>15</v>
      </c>
      <c r="K4633" t="b">
        <v>0</v>
      </c>
      <c r="L4633">
        <v>2013</v>
      </c>
      <c r="M4633">
        <v>382093697077</v>
      </c>
      <c r="N4633">
        <v>277395018842</v>
      </c>
      <c r="O4633" t="b">
        <v>0</v>
      </c>
      <c r="P4633">
        <v>0</v>
      </c>
      <c r="Q4633" t="str" cm="1">
        <f t="array" ref="Q4633">_xlfn.IFS(Table1[[#This Row],[Wealthier_Winner]]=-1,"Wealthier Nation Loses",Table1[[#This Row],[Wealthier_Winner]]=0,"Tie",Table1[[#This Row],[Wealthier_Winner]]=1,"Wealthier Nation Wins")</f>
        <v>Tie</v>
      </c>
    </row>
    <row r="4634" spans="1:17" x14ac:dyDescent="0.2">
      <c r="A4634" s="1">
        <v>6846</v>
      </c>
      <c r="B4634" s="2">
        <v>41558</v>
      </c>
      <c r="C4634" s="7">
        <f>_xlfn.FLOOR.MATH(Table1[[#This Row],[year]],10)</f>
        <v>2010</v>
      </c>
      <c r="D4634" t="s">
        <v>52</v>
      </c>
      <c r="E4634" t="s">
        <v>23</v>
      </c>
      <c r="F4634">
        <v>1</v>
      </c>
      <c r="G4634">
        <v>2</v>
      </c>
      <c r="H4634" t="s">
        <v>224</v>
      </c>
      <c r="I4634" t="s">
        <v>538</v>
      </c>
      <c r="J4634" t="s">
        <v>52</v>
      </c>
      <c r="K4634" t="b">
        <v>0</v>
      </c>
      <c r="L4634">
        <v>2013</v>
      </c>
      <c r="M4634">
        <v>59846265181</v>
      </c>
      <c r="N4634">
        <v>524097026598</v>
      </c>
      <c r="O4634" t="b">
        <v>1</v>
      </c>
      <c r="P4634">
        <v>1</v>
      </c>
      <c r="Q4634" t="str" cm="1">
        <f t="array" ref="Q4634">_xlfn.IFS(Table1[[#This Row],[Wealthier_Winner]]=-1,"Wealthier Nation Loses",Table1[[#This Row],[Wealthier_Winner]]=0,"Tie",Table1[[#This Row],[Wealthier_Winner]]=1,"Wealthier Nation Wins")</f>
        <v>Wealthier Nation Wins</v>
      </c>
    </row>
    <row r="4635" spans="1:17" x14ac:dyDescent="0.2">
      <c r="A4635" s="1">
        <v>6847</v>
      </c>
      <c r="B4635" s="2">
        <v>41558</v>
      </c>
      <c r="C4635" s="7">
        <f>_xlfn.FLOOR.MATH(Table1[[#This Row],[year]],10)</f>
        <v>2010</v>
      </c>
      <c r="D4635" t="s">
        <v>36</v>
      </c>
      <c r="E4635" t="s">
        <v>18</v>
      </c>
      <c r="F4635">
        <v>2</v>
      </c>
      <c r="G4635">
        <v>2</v>
      </c>
      <c r="H4635" t="s">
        <v>224</v>
      </c>
      <c r="I4635" t="s">
        <v>264</v>
      </c>
      <c r="J4635" t="s">
        <v>36</v>
      </c>
      <c r="K4635" t="b">
        <v>0</v>
      </c>
      <c r="L4635">
        <v>2013</v>
      </c>
      <c r="M4635">
        <v>344631016965</v>
      </c>
      <c r="N4635">
        <v>2153225581941</v>
      </c>
      <c r="O4635" t="b">
        <v>1</v>
      </c>
      <c r="P4635">
        <v>0</v>
      </c>
      <c r="Q4635" t="str" cm="1">
        <f t="array" ref="Q4635">_xlfn.IFS(Table1[[#This Row],[Wealthier_Winner]]=-1,"Wealthier Nation Loses",Table1[[#This Row],[Wealthier_Winner]]=0,"Tie",Table1[[#This Row],[Wealthier_Winner]]=1,"Wealthier Nation Wins")</f>
        <v>Tie</v>
      </c>
    </row>
    <row r="4636" spans="1:17" x14ac:dyDescent="0.2">
      <c r="A4636" s="1">
        <v>6848</v>
      </c>
      <c r="B4636" s="2">
        <v>41558</v>
      </c>
      <c r="C4636" s="7">
        <f>_xlfn.FLOOR.MATH(Table1[[#This Row],[year]],10)</f>
        <v>2010</v>
      </c>
      <c r="D4636" t="s">
        <v>57</v>
      </c>
      <c r="E4636" t="s">
        <v>26</v>
      </c>
      <c r="F4636">
        <v>1</v>
      </c>
      <c r="G4636">
        <v>0</v>
      </c>
      <c r="H4636" t="s">
        <v>224</v>
      </c>
      <c r="I4636" t="s">
        <v>335</v>
      </c>
      <c r="J4636" t="s">
        <v>57</v>
      </c>
      <c r="K4636" t="b">
        <v>0</v>
      </c>
      <c r="L4636">
        <v>2013</v>
      </c>
      <c r="M4636">
        <v>96570334000</v>
      </c>
      <c r="N4636">
        <v>61337621933</v>
      </c>
      <c r="O4636" t="b">
        <v>0</v>
      </c>
      <c r="P4636">
        <v>1</v>
      </c>
      <c r="Q4636" t="str" cm="1">
        <f t="array" ref="Q4636">_xlfn.IFS(Table1[[#This Row],[Wealthier_Winner]]=-1,"Wealthier Nation Loses",Table1[[#This Row],[Wealthier_Winner]]=0,"Tie",Table1[[#This Row],[Wealthier_Winner]]=1,"Wealthier Nation Wins")</f>
        <v>Wealthier Nation Wins</v>
      </c>
    </row>
    <row r="4637" spans="1:17" x14ac:dyDescent="0.2">
      <c r="A4637" s="1">
        <v>6849</v>
      </c>
      <c r="B4637" s="2">
        <v>41558</v>
      </c>
      <c r="C4637" s="7">
        <f>_xlfn.FLOOR.MATH(Table1[[#This Row],[year]],10)</f>
        <v>2010</v>
      </c>
      <c r="D4637" t="s">
        <v>194</v>
      </c>
      <c r="E4637" t="s">
        <v>705</v>
      </c>
      <c r="F4637">
        <v>4</v>
      </c>
      <c r="G4637">
        <v>1</v>
      </c>
      <c r="H4637" t="s">
        <v>224</v>
      </c>
      <c r="I4637" t="s">
        <v>80</v>
      </c>
      <c r="J4637" t="s">
        <v>194</v>
      </c>
      <c r="K4637" t="b">
        <v>0</v>
      </c>
      <c r="L4637">
        <v>2013</v>
      </c>
      <c r="M4637">
        <v>2796908333283</v>
      </c>
      <c r="N4637">
        <v>4422097762</v>
      </c>
      <c r="O4637" t="b">
        <v>1</v>
      </c>
      <c r="P4637">
        <v>1</v>
      </c>
      <c r="Q4637" t="str" cm="1">
        <f t="array" ref="Q4637">_xlfn.IFS(Table1[[#This Row],[Wealthier_Winner]]=-1,"Wealthier Nation Loses",Table1[[#This Row],[Wealthier_Winner]]=0,"Tie",Table1[[#This Row],[Wealthier_Winner]]=1,"Wealthier Nation Wins")</f>
        <v>Wealthier Nation Wins</v>
      </c>
    </row>
    <row r="4638" spans="1:17" x14ac:dyDescent="0.2">
      <c r="A4638" s="1">
        <v>6851</v>
      </c>
      <c r="B4638" s="2">
        <v>41558</v>
      </c>
      <c r="C4638" s="7">
        <f>_xlfn.FLOOR.MATH(Table1[[#This Row],[year]],10)</f>
        <v>2010</v>
      </c>
      <c r="D4638" t="s">
        <v>447</v>
      </c>
      <c r="E4638" t="s">
        <v>558</v>
      </c>
      <c r="F4638">
        <v>1</v>
      </c>
      <c r="G4638">
        <v>1</v>
      </c>
      <c r="H4638" t="s">
        <v>224</v>
      </c>
      <c r="I4638" t="s">
        <v>631</v>
      </c>
      <c r="J4638" t="s">
        <v>447</v>
      </c>
      <c r="K4638" t="b">
        <v>0</v>
      </c>
      <c r="L4638">
        <v>2013</v>
      </c>
      <c r="M4638">
        <v>2690110520</v>
      </c>
      <c r="N4638">
        <v>236634603409</v>
      </c>
      <c r="O4638" t="b">
        <v>1</v>
      </c>
      <c r="P4638">
        <v>0</v>
      </c>
      <c r="Q4638" t="str" cm="1">
        <f t="array" ref="Q4638">_xlfn.IFS(Table1[[#This Row],[Wealthier_Winner]]=-1,"Wealthier Nation Loses",Table1[[#This Row],[Wealthier_Winner]]=0,"Tie",Table1[[#This Row],[Wealthier_Winner]]=1,"Wealthier Nation Wins")</f>
        <v>Tie</v>
      </c>
    </row>
    <row r="4639" spans="1:17" x14ac:dyDescent="0.2">
      <c r="A4639" s="1">
        <v>6854</v>
      </c>
      <c r="B4639" s="2">
        <v>41558</v>
      </c>
      <c r="C4639" s="7">
        <f>_xlfn.FLOOR.MATH(Table1[[#This Row],[year]],10)</f>
        <v>2010</v>
      </c>
      <c r="D4639" t="s">
        <v>65</v>
      </c>
      <c r="E4639" t="s">
        <v>56</v>
      </c>
      <c r="F4639">
        <v>1</v>
      </c>
      <c r="G4639">
        <v>0</v>
      </c>
      <c r="H4639" t="s">
        <v>224</v>
      </c>
      <c r="I4639" t="s">
        <v>254</v>
      </c>
      <c r="J4639" t="s">
        <v>65</v>
      </c>
      <c r="K4639" t="b">
        <v>0</v>
      </c>
      <c r="L4639">
        <v>2013</v>
      </c>
      <c r="M4639">
        <v>18499729214</v>
      </c>
      <c r="N4639">
        <v>50949668841</v>
      </c>
      <c r="O4639" t="b">
        <v>1</v>
      </c>
      <c r="P4639">
        <v>-1</v>
      </c>
      <c r="Q4639" t="str" cm="1">
        <f t="array" ref="Q4639">_xlfn.IFS(Table1[[#This Row],[Wealthier_Winner]]=-1,"Wealthier Nation Loses",Table1[[#This Row],[Wealthier_Winner]]=0,"Tie",Table1[[#This Row],[Wealthier_Winner]]=1,"Wealthier Nation Wins")</f>
        <v>Wealthier Nation Loses</v>
      </c>
    </row>
    <row r="4640" spans="1:17" x14ac:dyDescent="0.2">
      <c r="A4640" s="1">
        <v>6855</v>
      </c>
      <c r="B4640" s="2">
        <v>41558</v>
      </c>
      <c r="C4640" s="7">
        <f>_xlfn.FLOOR.MATH(Table1[[#This Row],[year]],10)</f>
        <v>2010</v>
      </c>
      <c r="D4640" t="s">
        <v>66</v>
      </c>
      <c r="E4640" t="s">
        <v>351</v>
      </c>
      <c r="F4640">
        <v>2</v>
      </c>
      <c r="G4640">
        <v>0</v>
      </c>
      <c r="H4640" t="s">
        <v>224</v>
      </c>
      <c r="I4640" t="s">
        <v>336</v>
      </c>
      <c r="J4640" t="s">
        <v>66</v>
      </c>
      <c r="K4640" t="b">
        <v>0</v>
      </c>
      <c r="L4640">
        <v>2013</v>
      </c>
      <c r="M4640">
        <v>16244319958</v>
      </c>
      <c r="N4640">
        <v>23959712860</v>
      </c>
      <c r="O4640" t="b">
        <v>0</v>
      </c>
      <c r="P4640">
        <v>-1</v>
      </c>
      <c r="Q4640" t="str" cm="1">
        <f t="array" ref="Q4640">_xlfn.IFS(Table1[[#This Row],[Wealthier_Winner]]=-1,"Wealthier Nation Loses",Table1[[#This Row],[Wealthier_Winner]]=0,"Tie",Table1[[#This Row],[Wealthier_Winner]]=1,"Wealthier Nation Wins")</f>
        <v>Wealthier Nation Loses</v>
      </c>
    </row>
    <row r="4641" spans="1:17" x14ac:dyDescent="0.2">
      <c r="A4641" s="1">
        <v>6856</v>
      </c>
      <c r="B4641" s="2">
        <v>41558</v>
      </c>
      <c r="C4641" s="7">
        <f>_xlfn.FLOOR.MATH(Table1[[#This Row],[year]],10)</f>
        <v>2010</v>
      </c>
      <c r="D4641" t="s">
        <v>523</v>
      </c>
      <c r="E4641" t="s">
        <v>525</v>
      </c>
      <c r="F4641">
        <v>2</v>
      </c>
      <c r="G4641">
        <v>0</v>
      </c>
      <c r="H4641" t="s">
        <v>224</v>
      </c>
      <c r="I4641" t="s">
        <v>533</v>
      </c>
      <c r="J4641" t="s">
        <v>523</v>
      </c>
      <c r="K4641" t="b">
        <v>0</v>
      </c>
      <c r="L4641">
        <v>2013</v>
      </c>
      <c r="M4641">
        <v>46303660422</v>
      </c>
      <c r="N4641">
        <v>29152128167</v>
      </c>
      <c r="O4641" t="b">
        <v>0</v>
      </c>
      <c r="P4641">
        <v>1</v>
      </c>
      <c r="Q4641" t="str" cm="1">
        <f t="array" ref="Q4641">_xlfn.IFS(Table1[[#This Row],[Wealthier_Winner]]=-1,"Wealthier Nation Loses",Table1[[#This Row],[Wealthier_Winner]]=0,"Tie",Table1[[#This Row],[Wealthier_Winner]]=1,"Wealthier Nation Wins")</f>
        <v>Wealthier Nation Wins</v>
      </c>
    </row>
    <row r="4642" spans="1:17" x14ac:dyDescent="0.2">
      <c r="A4642" s="1">
        <v>6857</v>
      </c>
      <c r="B4642" s="2">
        <v>41558</v>
      </c>
      <c r="C4642" s="7">
        <f>_xlfn.FLOOR.MATH(Table1[[#This Row],[year]],10)</f>
        <v>2010</v>
      </c>
      <c r="D4642" t="s">
        <v>232</v>
      </c>
      <c r="E4642" t="s">
        <v>196</v>
      </c>
      <c r="F4642">
        <v>0</v>
      </c>
      <c r="G4642">
        <v>4</v>
      </c>
      <c r="H4642" t="s">
        <v>224</v>
      </c>
      <c r="I4642" t="s">
        <v>232</v>
      </c>
      <c r="J4642" t="s">
        <v>232</v>
      </c>
      <c r="K4642" t="b">
        <v>0</v>
      </c>
      <c r="L4642">
        <v>2013</v>
      </c>
      <c r="M4642">
        <v>65203276466</v>
      </c>
      <c r="N4642">
        <v>2292470078346</v>
      </c>
      <c r="O4642" t="b">
        <v>1</v>
      </c>
      <c r="P4642">
        <v>1</v>
      </c>
      <c r="Q4642" t="str" cm="1">
        <f t="array" ref="Q4642">_xlfn.IFS(Table1[[#This Row],[Wealthier_Winner]]=-1,"Wealthier Nation Loses",Table1[[#This Row],[Wealthier_Winner]]=0,"Tie",Table1[[#This Row],[Wealthier_Winner]]=1,"Wealthier Nation Wins")</f>
        <v>Wealthier Nation Wins</v>
      </c>
    </row>
    <row r="4643" spans="1:17" x14ac:dyDescent="0.2">
      <c r="A4643" s="1">
        <v>6859</v>
      </c>
      <c r="B4643" s="2">
        <v>41558</v>
      </c>
      <c r="C4643" s="7">
        <f>_xlfn.FLOOR.MATH(Table1[[#This Row],[year]],10)</f>
        <v>2010</v>
      </c>
      <c r="D4643" t="s">
        <v>17</v>
      </c>
      <c r="E4643" t="s">
        <v>67</v>
      </c>
      <c r="F4643">
        <v>2</v>
      </c>
      <c r="G4643">
        <v>1</v>
      </c>
      <c r="H4643" t="s">
        <v>224</v>
      </c>
      <c r="I4643" t="s">
        <v>83</v>
      </c>
      <c r="J4643" t="s">
        <v>17</v>
      </c>
      <c r="K4643" t="b">
        <v>0</v>
      </c>
      <c r="L4643">
        <v>2013</v>
      </c>
      <c r="M4643">
        <v>1327436290282</v>
      </c>
      <c r="N4643">
        <v>46949496479</v>
      </c>
      <c r="O4643" t="b">
        <v>1</v>
      </c>
      <c r="P4643">
        <v>1</v>
      </c>
      <c r="Q4643" t="str" cm="1">
        <f t="array" ref="Q4643">_xlfn.IFS(Table1[[#This Row],[Wealthier_Winner]]=-1,"Wealthier Nation Loses",Table1[[#This Row],[Wealthier_Winner]]=0,"Tie",Table1[[#This Row],[Wealthier_Winner]]=1,"Wealthier Nation Wins")</f>
        <v>Wealthier Nation Wins</v>
      </c>
    </row>
    <row r="4644" spans="1:17" x14ac:dyDescent="0.2">
      <c r="A4644" s="1">
        <v>6860</v>
      </c>
      <c r="B4644" s="2">
        <v>41558</v>
      </c>
      <c r="C4644" s="7">
        <f>_xlfn.FLOOR.MATH(Table1[[#This Row],[year]],10)</f>
        <v>2010</v>
      </c>
      <c r="D4644" t="s">
        <v>527</v>
      </c>
      <c r="E4644" t="s">
        <v>549</v>
      </c>
      <c r="F4644">
        <v>3</v>
      </c>
      <c r="G4644">
        <v>0</v>
      </c>
      <c r="H4644" t="s">
        <v>224</v>
      </c>
      <c r="I4644" t="s">
        <v>528</v>
      </c>
      <c r="J4644" t="s">
        <v>527</v>
      </c>
      <c r="K4644" t="b">
        <v>0</v>
      </c>
      <c r="L4644">
        <v>2013</v>
      </c>
      <c r="M4644">
        <v>9496717875</v>
      </c>
      <c r="N4644">
        <v>1678741475</v>
      </c>
      <c r="O4644" t="b">
        <v>1</v>
      </c>
      <c r="P4644">
        <v>1</v>
      </c>
      <c r="Q4644" t="str" cm="1">
        <f t="array" ref="Q4644">_xlfn.IFS(Table1[[#This Row],[Wealthier_Winner]]=-1,"Wealthier Nation Loses",Table1[[#This Row],[Wealthier_Winner]]=0,"Tie",Table1[[#This Row],[Wealthier_Winner]]=1,"Wealthier Nation Wins")</f>
        <v>Wealthier Nation Wins</v>
      </c>
    </row>
    <row r="4645" spans="1:17" x14ac:dyDescent="0.2">
      <c r="A4645" s="1">
        <v>6861</v>
      </c>
      <c r="B4645" s="2">
        <v>41558</v>
      </c>
      <c r="C4645" s="7">
        <f>_xlfn.FLOOR.MATH(Table1[[#This Row],[year]],10)</f>
        <v>2010</v>
      </c>
      <c r="D4645" t="s">
        <v>27</v>
      </c>
      <c r="E4645" t="s">
        <v>30</v>
      </c>
      <c r="F4645">
        <v>8</v>
      </c>
      <c r="G4645">
        <v>1</v>
      </c>
      <c r="H4645" t="s">
        <v>224</v>
      </c>
      <c r="I4645" t="s">
        <v>263</v>
      </c>
      <c r="J4645" t="s">
        <v>27</v>
      </c>
      <c r="K4645" t="b">
        <v>0</v>
      </c>
      <c r="L4645">
        <v>2013</v>
      </c>
      <c r="M4645">
        <v>883951539006</v>
      </c>
      <c r="N4645">
        <v>135646053778</v>
      </c>
      <c r="O4645" t="b">
        <v>1</v>
      </c>
      <c r="P4645">
        <v>1</v>
      </c>
      <c r="Q4645" t="str" cm="1">
        <f t="array" ref="Q4645">_xlfn.IFS(Table1[[#This Row],[Wealthier_Winner]]=-1,"Wealthier Nation Loses",Table1[[#This Row],[Wealthier_Winner]]=0,"Tie",Table1[[#This Row],[Wealthier_Winner]]=1,"Wealthier Nation Wins")</f>
        <v>Wealthier Nation Wins</v>
      </c>
    </row>
    <row r="4646" spans="1:17" x14ac:dyDescent="0.2">
      <c r="A4646" s="1">
        <v>6862</v>
      </c>
      <c r="B4646" s="2">
        <v>41558</v>
      </c>
      <c r="C4646" s="7">
        <f>_xlfn.FLOOR.MATH(Table1[[#This Row],[year]],10)</f>
        <v>2010</v>
      </c>
      <c r="D4646" t="s">
        <v>38</v>
      </c>
      <c r="E4646" t="s">
        <v>22</v>
      </c>
      <c r="F4646">
        <v>1</v>
      </c>
      <c r="G4646">
        <v>1</v>
      </c>
      <c r="H4646" t="s">
        <v>224</v>
      </c>
      <c r="I4646" t="s">
        <v>291</v>
      </c>
      <c r="J4646" t="s">
        <v>38</v>
      </c>
      <c r="K4646" t="b">
        <v>0</v>
      </c>
      <c r="L4646">
        <v>2013</v>
      </c>
      <c r="M4646">
        <v>226677408291</v>
      </c>
      <c r="N4646">
        <v>298478070673</v>
      </c>
      <c r="O4646" t="b">
        <v>0</v>
      </c>
      <c r="P4646">
        <v>0</v>
      </c>
      <c r="Q4646" t="str" cm="1">
        <f t="array" ref="Q4646">_xlfn.IFS(Table1[[#This Row],[Wealthier_Winner]]=-1,"Wealthier Nation Loses",Table1[[#This Row],[Wealthier_Winner]]=0,"Tie",Table1[[#This Row],[Wealthier_Winner]]=1,"Wealthier Nation Wins")</f>
        <v>Tie</v>
      </c>
    </row>
    <row r="4647" spans="1:17" x14ac:dyDescent="0.2">
      <c r="A4647" s="1">
        <v>6863</v>
      </c>
      <c r="B4647" s="2">
        <v>41558</v>
      </c>
      <c r="C4647" s="7">
        <f>_xlfn.FLOOR.MATH(Table1[[#This Row],[year]],10)</f>
        <v>2010</v>
      </c>
      <c r="D4647" t="s">
        <v>55</v>
      </c>
      <c r="E4647" t="s">
        <v>42</v>
      </c>
      <c r="F4647">
        <v>3</v>
      </c>
      <c r="G4647">
        <v>0</v>
      </c>
      <c r="H4647" t="s">
        <v>224</v>
      </c>
      <c r="I4647" t="s">
        <v>727</v>
      </c>
      <c r="J4647" t="s">
        <v>55</v>
      </c>
      <c r="K4647" t="b">
        <v>0</v>
      </c>
      <c r="L4647">
        <v>2013</v>
      </c>
      <c r="M4647">
        <v>47867056858</v>
      </c>
      <c r="N4647">
        <v>526014468085</v>
      </c>
      <c r="O4647" t="b">
        <v>1</v>
      </c>
      <c r="P4647">
        <v>-1</v>
      </c>
      <c r="Q4647" t="str" cm="1">
        <f t="array" ref="Q4647">_xlfn.IFS(Table1[[#This Row],[Wealthier_Winner]]=-1,"Wealthier Nation Loses",Table1[[#This Row],[Wealthier_Winner]]=0,"Tie",Table1[[#This Row],[Wealthier_Winner]]=1,"Wealthier Nation Wins")</f>
        <v>Wealthier Nation Loses</v>
      </c>
    </row>
    <row r="4648" spans="1:17" x14ac:dyDescent="0.2">
      <c r="A4648" s="1">
        <v>6864</v>
      </c>
      <c r="B4648" s="2">
        <v>41558</v>
      </c>
      <c r="C4648" s="7">
        <f>_xlfn.FLOOR.MATH(Table1[[#This Row],[year]],10)</f>
        <v>2010</v>
      </c>
      <c r="D4648" t="s">
        <v>21</v>
      </c>
      <c r="E4648" t="s">
        <v>510</v>
      </c>
      <c r="F4648">
        <v>2</v>
      </c>
      <c r="G4648">
        <v>1</v>
      </c>
      <c r="H4648" t="s">
        <v>224</v>
      </c>
      <c r="I4648" t="s">
        <v>771</v>
      </c>
      <c r="J4648" t="s">
        <v>21</v>
      </c>
      <c r="K4648" t="b">
        <v>0</v>
      </c>
      <c r="L4648">
        <v>2013</v>
      </c>
      <c r="M4648">
        <v>1362186923157</v>
      </c>
      <c r="N4648">
        <v>75527558966</v>
      </c>
      <c r="O4648" t="b">
        <v>1</v>
      </c>
      <c r="P4648">
        <v>1</v>
      </c>
      <c r="Q4648" t="str" cm="1">
        <f t="array" ref="Q4648">_xlfn.IFS(Table1[[#This Row],[Wealthier_Winner]]=-1,"Wealthier Nation Loses",Table1[[#This Row],[Wealthier_Winner]]=0,"Tie",Table1[[#This Row],[Wealthier_Winner]]=1,"Wealthier Nation Wins")</f>
        <v>Wealthier Nation Wins</v>
      </c>
    </row>
    <row r="4649" spans="1:17" x14ac:dyDescent="0.2">
      <c r="A4649" s="1">
        <v>6865</v>
      </c>
      <c r="B4649" s="2">
        <v>41558</v>
      </c>
      <c r="C4649" s="7">
        <f>_xlfn.FLOOR.MATH(Table1[[#This Row],[year]],10)</f>
        <v>2010</v>
      </c>
      <c r="D4649" t="s">
        <v>25</v>
      </c>
      <c r="E4649" t="s">
        <v>29</v>
      </c>
      <c r="F4649">
        <v>2</v>
      </c>
      <c r="G4649">
        <v>1</v>
      </c>
      <c r="H4649" t="s">
        <v>224</v>
      </c>
      <c r="I4649" t="s">
        <v>233</v>
      </c>
      <c r="J4649" t="s">
        <v>25</v>
      </c>
      <c r="K4649" t="b">
        <v>0</v>
      </c>
      <c r="L4649">
        <v>2013</v>
      </c>
      <c r="M4649">
        <v>584125353119</v>
      </c>
      <c r="N4649">
        <v>426580502769</v>
      </c>
      <c r="O4649" t="b">
        <v>0</v>
      </c>
      <c r="P4649">
        <v>1</v>
      </c>
      <c r="Q4649" t="str" cm="1">
        <f t="array" ref="Q4649">_xlfn.IFS(Table1[[#This Row],[Wealthier_Winner]]=-1,"Wealthier Nation Loses",Table1[[#This Row],[Wealthier_Winner]]=0,"Tie",Table1[[#This Row],[Wealthier_Winner]]=1,"Wealthier Nation Wins")</f>
        <v>Wealthier Nation Wins</v>
      </c>
    </row>
    <row r="4650" spans="1:17" x14ac:dyDescent="0.2">
      <c r="A4650" s="1">
        <v>6866</v>
      </c>
      <c r="B4650" s="2">
        <v>41558</v>
      </c>
      <c r="C4650" s="7">
        <f>_xlfn.FLOOR.MATH(Table1[[#This Row],[year]],10)</f>
        <v>2010</v>
      </c>
      <c r="D4650" t="s">
        <v>64</v>
      </c>
      <c r="E4650" t="s">
        <v>58</v>
      </c>
      <c r="F4650">
        <v>1</v>
      </c>
      <c r="G4650">
        <v>0</v>
      </c>
      <c r="H4650" t="s">
        <v>224</v>
      </c>
      <c r="I4650" t="s">
        <v>716</v>
      </c>
      <c r="J4650" t="s">
        <v>64</v>
      </c>
      <c r="K4650" t="b">
        <v>0</v>
      </c>
      <c r="L4650">
        <v>2013</v>
      </c>
      <c r="M4650">
        <v>190498811460</v>
      </c>
      <c r="N4650">
        <v>518179836405</v>
      </c>
      <c r="O4650" t="b">
        <v>1</v>
      </c>
      <c r="P4650">
        <v>-1</v>
      </c>
      <c r="Q4650" t="str" cm="1">
        <f t="array" ref="Q4650">_xlfn.IFS(Table1[[#This Row],[Wealthier_Winner]]=-1,"Wealthier Nation Loses",Table1[[#This Row],[Wealthier_Winner]]=0,"Tie",Table1[[#This Row],[Wealthier_Winner]]=1,"Wealthier Nation Wins")</f>
        <v>Wealthier Nation Loses</v>
      </c>
    </row>
    <row r="4651" spans="1:17" x14ac:dyDescent="0.2">
      <c r="A4651" s="1">
        <v>6867</v>
      </c>
      <c r="B4651" s="2">
        <v>41558</v>
      </c>
      <c r="C4651" s="7">
        <f>_xlfn.FLOOR.MATH(Table1[[#This Row],[year]],10)</f>
        <v>2010</v>
      </c>
      <c r="D4651" t="s">
        <v>41</v>
      </c>
      <c r="E4651" t="s">
        <v>49</v>
      </c>
      <c r="F4651">
        <v>2</v>
      </c>
      <c r="G4651">
        <v>0</v>
      </c>
      <c r="H4651" t="s">
        <v>224</v>
      </c>
      <c r="I4651" t="s">
        <v>276</v>
      </c>
      <c r="J4651" t="s">
        <v>41</v>
      </c>
      <c r="K4651" t="b">
        <v>0</v>
      </c>
      <c r="L4651">
        <v>2013</v>
      </c>
      <c r="M4651">
        <v>16843190993000</v>
      </c>
      <c r="N4651">
        <v>14264205152</v>
      </c>
      <c r="O4651" t="b">
        <v>1</v>
      </c>
      <c r="P4651">
        <v>1</v>
      </c>
      <c r="Q4651" t="str" cm="1">
        <f t="array" ref="Q4651">_xlfn.IFS(Table1[[#This Row],[Wealthier_Winner]]=-1,"Wealthier Nation Loses",Table1[[#This Row],[Wealthier_Winner]]=0,"Tie",Table1[[#This Row],[Wealthier_Winner]]=1,"Wealthier Nation Wins")</f>
        <v>Wealthier Nation Wins</v>
      </c>
    </row>
    <row r="4652" spans="1:17" x14ac:dyDescent="0.2">
      <c r="A4652" s="1">
        <v>6868</v>
      </c>
      <c r="B4652" s="2">
        <v>41558</v>
      </c>
      <c r="C4652" s="7">
        <f>_xlfn.FLOOR.MATH(Table1[[#This Row],[year]],10)</f>
        <v>2010</v>
      </c>
      <c r="D4652" t="s">
        <v>258</v>
      </c>
      <c r="E4652" t="s">
        <v>35</v>
      </c>
      <c r="F4652">
        <v>1</v>
      </c>
      <c r="G4652">
        <v>1</v>
      </c>
      <c r="H4652" t="s">
        <v>224</v>
      </c>
      <c r="I4652" t="s">
        <v>416</v>
      </c>
      <c r="J4652" t="s">
        <v>258</v>
      </c>
      <c r="K4652" t="b">
        <v>0</v>
      </c>
      <c r="L4652">
        <v>2013</v>
      </c>
      <c r="M4652">
        <v>258930655486</v>
      </c>
      <c r="N4652">
        <v>38501122141</v>
      </c>
      <c r="O4652" t="b">
        <v>1</v>
      </c>
      <c r="P4652">
        <v>0</v>
      </c>
      <c r="Q4652" t="str" cm="1">
        <f t="array" ref="Q4652">_xlfn.IFS(Table1[[#This Row],[Wealthier_Winner]]=-1,"Wealthier Nation Loses",Table1[[#This Row],[Wealthier_Winner]]=0,"Tie",Table1[[#This Row],[Wealthier_Winner]]=1,"Wealthier Nation Wins")</f>
        <v>Tie</v>
      </c>
    </row>
    <row r="4653" spans="1:17" x14ac:dyDescent="0.2">
      <c r="A4653" s="1">
        <v>6870</v>
      </c>
      <c r="B4653" s="2">
        <v>41559</v>
      </c>
      <c r="C4653" s="7">
        <f>_xlfn.FLOOR.MATH(Table1[[#This Row],[year]],10)</f>
        <v>2010</v>
      </c>
      <c r="D4653" t="s">
        <v>345</v>
      </c>
      <c r="E4653" t="s">
        <v>32</v>
      </c>
      <c r="F4653">
        <v>3</v>
      </c>
      <c r="G4653">
        <v>2</v>
      </c>
      <c r="H4653" t="s">
        <v>224</v>
      </c>
      <c r="I4653" t="s">
        <v>347</v>
      </c>
      <c r="J4653" t="s">
        <v>345</v>
      </c>
      <c r="K4653" t="b">
        <v>0</v>
      </c>
      <c r="L4653">
        <v>2013</v>
      </c>
      <c r="M4653">
        <v>13444300485</v>
      </c>
      <c r="N4653">
        <v>229701430292</v>
      </c>
      <c r="O4653" t="b">
        <v>1</v>
      </c>
      <c r="P4653">
        <v>-1</v>
      </c>
      <c r="Q4653" t="str" cm="1">
        <f t="array" ref="Q4653">_xlfn.IFS(Table1[[#This Row],[Wealthier_Winner]]=-1,"Wealthier Nation Loses",Table1[[#This Row],[Wealthier_Winner]]=0,"Tie",Table1[[#This Row],[Wealthier_Winner]]=1,"Wealthier Nation Wins")</f>
        <v>Wealthier Nation Loses</v>
      </c>
    </row>
    <row r="4654" spans="1:17" x14ac:dyDescent="0.2">
      <c r="A4654" s="1">
        <v>6872</v>
      </c>
      <c r="B4654" s="2">
        <v>41560</v>
      </c>
      <c r="C4654" s="7">
        <f>_xlfn.FLOOR.MATH(Table1[[#This Row],[year]],10)</f>
        <v>2010</v>
      </c>
      <c r="D4654" t="s">
        <v>238</v>
      </c>
      <c r="E4654" t="s">
        <v>43</v>
      </c>
      <c r="F4654">
        <v>1</v>
      </c>
      <c r="G4654">
        <v>2</v>
      </c>
      <c r="H4654" t="s">
        <v>224</v>
      </c>
      <c r="I4654" t="s">
        <v>288</v>
      </c>
      <c r="J4654" t="s">
        <v>238</v>
      </c>
      <c r="K4654" t="b">
        <v>0</v>
      </c>
      <c r="L4654">
        <v>2013</v>
      </c>
      <c r="M4654">
        <v>47648276605</v>
      </c>
      <c r="N4654">
        <v>520117180313</v>
      </c>
      <c r="O4654" t="b">
        <v>1</v>
      </c>
      <c r="P4654">
        <v>1</v>
      </c>
      <c r="Q4654" t="str" cm="1">
        <f t="array" ref="Q4654">_xlfn.IFS(Table1[[#This Row],[Wealthier_Winner]]=-1,"Wealthier Nation Loses",Table1[[#This Row],[Wealthier_Winner]]=0,"Tie",Table1[[#This Row],[Wealthier_Winner]]=1,"Wealthier Nation Wins")</f>
        <v>Wealthier Nation Wins</v>
      </c>
    </row>
    <row r="4655" spans="1:17" x14ac:dyDescent="0.2">
      <c r="A4655" s="1">
        <v>6873</v>
      </c>
      <c r="B4655" s="2">
        <v>41560</v>
      </c>
      <c r="C4655" s="7">
        <f>_xlfn.FLOOR.MATH(Table1[[#This Row],[year]],10)</f>
        <v>2010</v>
      </c>
      <c r="D4655" t="s">
        <v>53</v>
      </c>
      <c r="E4655" t="s">
        <v>40</v>
      </c>
      <c r="F4655">
        <v>0</v>
      </c>
      <c r="G4655">
        <v>0</v>
      </c>
      <c r="H4655" t="s">
        <v>224</v>
      </c>
      <c r="I4655" t="s">
        <v>658</v>
      </c>
      <c r="J4655" t="s">
        <v>53</v>
      </c>
      <c r="K4655" t="b">
        <v>0</v>
      </c>
      <c r="L4655">
        <v>2013</v>
      </c>
      <c r="M4655">
        <v>48685446413</v>
      </c>
      <c r="N4655">
        <v>33728621180</v>
      </c>
      <c r="O4655" t="b">
        <v>0</v>
      </c>
      <c r="P4655">
        <v>0</v>
      </c>
      <c r="Q4655" t="str" cm="1">
        <f t="array" ref="Q4655">_xlfn.IFS(Table1[[#This Row],[Wealthier_Winner]]=-1,"Wealthier Nation Loses",Table1[[#This Row],[Wealthier_Winner]]=0,"Tie",Table1[[#This Row],[Wealthier_Winner]]=1,"Wealthier Nation Wins")</f>
        <v>Tie</v>
      </c>
    </row>
    <row r="4656" spans="1:17" x14ac:dyDescent="0.2">
      <c r="A4656" s="1">
        <v>6874</v>
      </c>
      <c r="B4656" s="2">
        <v>41562</v>
      </c>
      <c r="C4656" s="7">
        <f>_xlfn.FLOOR.MATH(Table1[[#This Row],[year]],10)</f>
        <v>2010</v>
      </c>
      <c r="D4656" t="s">
        <v>513</v>
      </c>
      <c r="E4656" t="s">
        <v>196</v>
      </c>
      <c r="F4656">
        <v>1</v>
      </c>
      <c r="G4656">
        <v>1</v>
      </c>
      <c r="H4656" t="s">
        <v>224</v>
      </c>
      <c r="I4656" t="s">
        <v>521</v>
      </c>
      <c r="J4656" t="s">
        <v>513</v>
      </c>
      <c r="K4656" t="b">
        <v>0</v>
      </c>
      <c r="L4656">
        <v>2013</v>
      </c>
      <c r="M4656">
        <v>74160560123</v>
      </c>
      <c r="N4656">
        <v>2292470078346</v>
      </c>
      <c r="O4656" t="b">
        <v>1</v>
      </c>
      <c r="P4656">
        <v>0</v>
      </c>
      <c r="Q4656" t="str" cm="1">
        <f t="array" ref="Q4656">_xlfn.IFS(Table1[[#This Row],[Wealthier_Winner]]=-1,"Wealthier Nation Loses",Table1[[#This Row],[Wealthier_Winner]]=0,"Tie",Table1[[#This Row],[Wealthier_Winner]]=1,"Wealthier Nation Wins")</f>
        <v>Tie</v>
      </c>
    </row>
    <row r="4657" spans="1:17" x14ac:dyDescent="0.2">
      <c r="A4657" s="1">
        <v>6877</v>
      </c>
      <c r="B4657" s="2">
        <v>41562</v>
      </c>
      <c r="C4657" s="7">
        <f>_xlfn.FLOOR.MATH(Table1[[#This Row],[year]],10)</f>
        <v>2010</v>
      </c>
      <c r="D4657" t="s">
        <v>14</v>
      </c>
      <c r="E4657" t="s">
        <v>57</v>
      </c>
      <c r="F4657">
        <v>2</v>
      </c>
      <c r="G4657">
        <v>1</v>
      </c>
      <c r="H4657" t="s">
        <v>224</v>
      </c>
      <c r="I4657" t="s">
        <v>75</v>
      </c>
      <c r="J4657" t="s">
        <v>14</v>
      </c>
      <c r="K4657" t="b">
        <v>0</v>
      </c>
      <c r="L4657">
        <v>2013</v>
      </c>
      <c r="M4657">
        <v>277395018842</v>
      </c>
      <c r="N4657">
        <v>96570334000</v>
      </c>
      <c r="O4657" t="b">
        <v>1</v>
      </c>
      <c r="P4657">
        <v>1</v>
      </c>
      <c r="Q4657" t="str" cm="1">
        <f t="array" ref="Q4657">_xlfn.IFS(Table1[[#This Row],[Wealthier_Winner]]=-1,"Wealthier Nation Loses",Table1[[#This Row],[Wealthier_Winner]]=0,"Tie",Table1[[#This Row],[Wealthier_Winner]]=1,"Wealthier Nation Wins")</f>
        <v>Wealthier Nation Wins</v>
      </c>
    </row>
    <row r="4658" spans="1:17" x14ac:dyDescent="0.2">
      <c r="A4658" s="1">
        <v>6878</v>
      </c>
      <c r="B4658" s="2">
        <v>41562</v>
      </c>
      <c r="C4658" s="7">
        <f>_xlfn.FLOOR.MATH(Table1[[#This Row],[year]],10)</f>
        <v>2010</v>
      </c>
      <c r="D4658" t="s">
        <v>56</v>
      </c>
      <c r="E4658" t="s">
        <v>17</v>
      </c>
      <c r="F4658">
        <v>2</v>
      </c>
      <c r="G4658">
        <v>1</v>
      </c>
      <c r="H4658" t="s">
        <v>224</v>
      </c>
      <c r="I4658" t="s">
        <v>225</v>
      </c>
      <c r="J4658" t="s">
        <v>56</v>
      </c>
      <c r="K4658" t="b">
        <v>0</v>
      </c>
      <c r="L4658">
        <v>2013</v>
      </c>
      <c r="M4658">
        <v>50949668841</v>
      </c>
      <c r="N4658">
        <v>1327436290282</v>
      </c>
      <c r="O4658" t="b">
        <v>1</v>
      </c>
      <c r="P4658">
        <v>-1</v>
      </c>
      <c r="Q4658" t="str" cm="1">
        <f t="array" ref="Q4658">_xlfn.IFS(Table1[[#This Row],[Wealthier_Winner]]=-1,"Wealthier Nation Loses",Table1[[#This Row],[Wealthier_Winner]]=0,"Tie",Table1[[#This Row],[Wealthier_Winner]]=1,"Wealthier Nation Wins")</f>
        <v>Wealthier Nation Loses</v>
      </c>
    </row>
    <row r="4659" spans="1:17" x14ac:dyDescent="0.2">
      <c r="A4659" s="1">
        <v>6879</v>
      </c>
      <c r="B4659" s="2">
        <v>41562</v>
      </c>
      <c r="C4659" s="7">
        <f>_xlfn.FLOOR.MATH(Table1[[#This Row],[year]],10)</f>
        <v>2010</v>
      </c>
      <c r="D4659" t="s">
        <v>351</v>
      </c>
      <c r="E4659" t="s">
        <v>373</v>
      </c>
      <c r="F4659">
        <v>0</v>
      </c>
      <c r="G4659">
        <v>0</v>
      </c>
      <c r="H4659" t="s">
        <v>224</v>
      </c>
      <c r="I4659" t="s">
        <v>381</v>
      </c>
      <c r="J4659" t="s">
        <v>351</v>
      </c>
      <c r="K4659" t="b">
        <v>0</v>
      </c>
      <c r="L4659">
        <v>2013</v>
      </c>
      <c r="M4659">
        <v>23959712860</v>
      </c>
      <c r="N4659">
        <v>12796985886</v>
      </c>
      <c r="O4659" t="b">
        <v>0</v>
      </c>
      <c r="P4659">
        <v>0</v>
      </c>
      <c r="Q4659" t="str" cm="1">
        <f t="array" ref="Q4659">_xlfn.IFS(Table1[[#This Row],[Wealthier_Winner]]=-1,"Wealthier Nation Loses",Table1[[#This Row],[Wealthier_Winner]]=0,"Tie",Table1[[#This Row],[Wealthier_Winner]]=1,"Wealthier Nation Wins")</f>
        <v>Tie</v>
      </c>
    </row>
    <row r="4660" spans="1:17" x14ac:dyDescent="0.2">
      <c r="A4660" s="1">
        <v>6880</v>
      </c>
      <c r="B4660" s="2">
        <v>41562</v>
      </c>
      <c r="C4660" s="7">
        <f>_xlfn.FLOOR.MATH(Table1[[#This Row],[year]],10)</f>
        <v>2010</v>
      </c>
      <c r="D4660" t="s">
        <v>36</v>
      </c>
      <c r="E4660" t="s">
        <v>303</v>
      </c>
      <c r="F4660">
        <v>6</v>
      </c>
      <c r="G4660">
        <v>0</v>
      </c>
      <c r="H4660" t="s">
        <v>224</v>
      </c>
      <c r="I4660" t="s">
        <v>264</v>
      </c>
      <c r="J4660" t="s">
        <v>36</v>
      </c>
      <c r="K4660" t="b">
        <v>0</v>
      </c>
      <c r="L4660">
        <v>2013</v>
      </c>
      <c r="M4660">
        <v>344631016965</v>
      </c>
      <c r="N4660">
        <v>10796782636</v>
      </c>
      <c r="O4660" t="b">
        <v>1</v>
      </c>
      <c r="P4660">
        <v>1</v>
      </c>
      <c r="Q4660" t="str" cm="1">
        <f t="array" ref="Q4660">_xlfn.IFS(Table1[[#This Row],[Wealthier_Winner]]=-1,"Wealthier Nation Loses",Table1[[#This Row],[Wealthier_Winner]]=0,"Tie",Table1[[#This Row],[Wealthier_Winner]]=1,"Wealthier Nation Wins")</f>
        <v>Wealthier Nation Wins</v>
      </c>
    </row>
    <row r="4661" spans="1:17" x14ac:dyDescent="0.2">
      <c r="A4661" s="1">
        <v>6881</v>
      </c>
      <c r="B4661" s="2">
        <v>41562</v>
      </c>
      <c r="C4661" s="7">
        <f>_xlfn.FLOOR.MATH(Table1[[#This Row],[year]],10)</f>
        <v>2010</v>
      </c>
      <c r="D4661" t="s">
        <v>194</v>
      </c>
      <c r="E4661" t="s">
        <v>58</v>
      </c>
      <c r="F4661">
        <v>2</v>
      </c>
      <c r="G4661">
        <v>0</v>
      </c>
      <c r="H4661" t="s">
        <v>224</v>
      </c>
      <c r="I4661" t="s">
        <v>80</v>
      </c>
      <c r="J4661" t="s">
        <v>194</v>
      </c>
      <c r="K4661" t="b">
        <v>0</v>
      </c>
      <c r="L4661">
        <v>2013</v>
      </c>
      <c r="M4661">
        <v>2796908333283</v>
      </c>
      <c r="N4661">
        <v>518179836405</v>
      </c>
      <c r="O4661" t="b">
        <v>1</v>
      </c>
      <c r="P4661">
        <v>1</v>
      </c>
      <c r="Q4661" t="str" cm="1">
        <f t="array" ref="Q4661">_xlfn.IFS(Table1[[#This Row],[Wealthier_Winner]]=-1,"Wealthier Nation Loses",Table1[[#This Row],[Wealthier_Winner]]=0,"Tie",Table1[[#This Row],[Wealthier_Winner]]=1,"Wealthier Nation Wins")</f>
        <v>Wealthier Nation Wins</v>
      </c>
    </row>
    <row r="4662" spans="1:17" x14ac:dyDescent="0.2">
      <c r="A4662" s="1">
        <v>6882</v>
      </c>
      <c r="B4662" s="2">
        <v>41562</v>
      </c>
      <c r="C4662" s="7">
        <f>_xlfn.FLOOR.MATH(Table1[[#This Row],[year]],10)</f>
        <v>2010</v>
      </c>
      <c r="D4662" t="s">
        <v>447</v>
      </c>
      <c r="E4662" t="s">
        <v>29</v>
      </c>
      <c r="F4662">
        <v>0</v>
      </c>
      <c r="G4662">
        <v>3</v>
      </c>
      <c r="H4662" t="s">
        <v>224</v>
      </c>
      <c r="I4662" t="s">
        <v>631</v>
      </c>
      <c r="J4662" t="s">
        <v>447</v>
      </c>
      <c r="K4662" t="b">
        <v>0</v>
      </c>
      <c r="L4662">
        <v>2013</v>
      </c>
      <c r="M4662">
        <v>2690110520</v>
      </c>
      <c r="N4662">
        <v>426580502769</v>
      </c>
      <c r="O4662" t="b">
        <v>1</v>
      </c>
      <c r="P4662">
        <v>1</v>
      </c>
      <c r="Q4662" t="str" cm="1">
        <f t="array" ref="Q4662">_xlfn.IFS(Table1[[#This Row],[Wealthier_Winner]]=-1,"Wealthier Nation Loses",Table1[[#This Row],[Wealthier_Winner]]=0,"Tie",Table1[[#This Row],[Wealthier_Winner]]=1,"Wealthier Nation Wins")</f>
        <v>Wealthier Nation Wins</v>
      </c>
    </row>
    <row r="4663" spans="1:17" x14ac:dyDescent="0.2">
      <c r="A4663" s="1">
        <v>6883</v>
      </c>
      <c r="B4663" s="2">
        <v>41562</v>
      </c>
      <c r="C4663" s="7">
        <f>_xlfn.FLOOR.MATH(Table1[[#This Row],[year]],10)</f>
        <v>2010</v>
      </c>
      <c r="D4663" t="s">
        <v>20</v>
      </c>
      <c r="E4663" t="s">
        <v>230</v>
      </c>
      <c r="F4663">
        <v>3</v>
      </c>
      <c r="G4663">
        <v>0</v>
      </c>
      <c r="H4663" t="s">
        <v>224</v>
      </c>
      <c r="I4663" t="s">
        <v>132</v>
      </c>
      <c r="J4663" t="s">
        <v>20</v>
      </c>
      <c r="K4663" t="b">
        <v>0</v>
      </c>
      <c r="L4663">
        <v>2013</v>
      </c>
      <c r="M4663">
        <v>2816077607875</v>
      </c>
      <c r="N4663">
        <v>270268036626</v>
      </c>
      <c r="O4663" t="b">
        <v>1</v>
      </c>
      <c r="P4663">
        <v>1</v>
      </c>
      <c r="Q4663" t="str" cm="1">
        <f t="array" ref="Q4663">_xlfn.IFS(Table1[[#This Row],[Wealthier_Winner]]=-1,"Wealthier Nation Loses",Table1[[#This Row],[Wealthier_Winner]]=0,"Tie",Table1[[#This Row],[Wealthier_Winner]]=1,"Wealthier Nation Wins")</f>
        <v>Wealthier Nation Wins</v>
      </c>
    </row>
    <row r="4664" spans="1:17" x14ac:dyDescent="0.2">
      <c r="A4664" s="1">
        <v>6884</v>
      </c>
      <c r="B4664" s="2">
        <v>41562</v>
      </c>
      <c r="C4664" s="7">
        <f>_xlfn.FLOOR.MATH(Table1[[#This Row],[year]],10)</f>
        <v>2010</v>
      </c>
      <c r="D4664" t="s">
        <v>63</v>
      </c>
      <c r="E4664" t="s">
        <v>212</v>
      </c>
      <c r="F4664">
        <v>6</v>
      </c>
      <c r="G4664">
        <v>1</v>
      </c>
      <c r="H4664" t="s">
        <v>224</v>
      </c>
      <c r="I4664" t="s">
        <v>313</v>
      </c>
      <c r="J4664" t="s">
        <v>63</v>
      </c>
      <c r="K4664" t="b">
        <v>0</v>
      </c>
      <c r="L4664">
        <v>2013</v>
      </c>
      <c r="M4664">
        <v>62845721959</v>
      </c>
      <c r="N4664">
        <v>288434108527</v>
      </c>
      <c r="O4664" t="b">
        <v>1</v>
      </c>
      <c r="P4664">
        <v>-1</v>
      </c>
      <c r="Q4664" t="str" cm="1">
        <f t="array" ref="Q4664">_xlfn.IFS(Table1[[#This Row],[Wealthier_Winner]]=-1,"Wealthier Nation Loses",Table1[[#This Row],[Wealthier_Winner]]=0,"Tie",Table1[[#This Row],[Wealthier_Winner]]=1,"Wealthier Nation Wins")</f>
        <v>Wealthier Nation Loses</v>
      </c>
    </row>
    <row r="4665" spans="1:17" x14ac:dyDescent="0.2">
      <c r="A4665" s="1">
        <v>6885</v>
      </c>
      <c r="B4665" s="2">
        <v>41562</v>
      </c>
      <c r="C4665" s="7">
        <f>_xlfn.FLOOR.MATH(Table1[[#This Row],[year]],10)</f>
        <v>2010</v>
      </c>
      <c r="D4665" t="s">
        <v>48</v>
      </c>
      <c r="E4665" t="s">
        <v>503</v>
      </c>
      <c r="F4665">
        <v>2</v>
      </c>
      <c r="G4665">
        <v>0</v>
      </c>
      <c r="H4665" t="s">
        <v>224</v>
      </c>
      <c r="I4665" t="s">
        <v>282</v>
      </c>
      <c r="J4665" t="s">
        <v>48</v>
      </c>
      <c r="K4665" t="b">
        <v>0</v>
      </c>
      <c r="L4665">
        <v>2013</v>
      </c>
      <c r="M4665">
        <v>236556279640</v>
      </c>
      <c r="N4665">
        <v>6391708310</v>
      </c>
      <c r="O4665" t="b">
        <v>1</v>
      </c>
      <c r="P4665">
        <v>1</v>
      </c>
      <c r="Q4665" t="str" cm="1">
        <f t="array" ref="Q4665">_xlfn.IFS(Table1[[#This Row],[Wealthier_Winner]]=-1,"Wealthier Nation Loses",Table1[[#This Row],[Wealthier_Winner]]=0,"Tie",Table1[[#This Row],[Wealthier_Winner]]=1,"Wealthier Nation Wins")</f>
        <v>Wealthier Nation Wins</v>
      </c>
    </row>
    <row r="4666" spans="1:17" x14ac:dyDescent="0.2">
      <c r="A4666" s="1">
        <v>6886</v>
      </c>
      <c r="B4666" s="2">
        <v>41562</v>
      </c>
      <c r="C4666" s="7">
        <f>_xlfn.FLOOR.MATH(Table1[[#This Row],[year]],10)</f>
        <v>2010</v>
      </c>
      <c r="D4666" t="s">
        <v>30</v>
      </c>
      <c r="E4666" t="s">
        <v>601</v>
      </c>
      <c r="F4666">
        <v>2</v>
      </c>
      <c r="G4666">
        <v>0</v>
      </c>
      <c r="H4666" t="s">
        <v>224</v>
      </c>
      <c r="I4666" t="s">
        <v>297</v>
      </c>
      <c r="J4666" t="s">
        <v>30</v>
      </c>
      <c r="K4666" t="b">
        <v>0</v>
      </c>
      <c r="L4666">
        <v>2013</v>
      </c>
      <c r="M4666">
        <v>135646053778</v>
      </c>
      <c r="N4666">
        <v>3193513470</v>
      </c>
      <c r="O4666" t="b">
        <v>1</v>
      </c>
      <c r="P4666">
        <v>1</v>
      </c>
      <c r="Q4666" t="str" cm="1">
        <f t="array" ref="Q4666">_xlfn.IFS(Table1[[#This Row],[Wealthier_Winner]]=-1,"Wealthier Nation Loses",Table1[[#This Row],[Wealthier_Winner]]=0,"Tie",Table1[[#This Row],[Wealthier_Winner]]=1,"Wealthier Nation Wins")</f>
        <v>Wealthier Nation Wins</v>
      </c>
    </row>
    <row r="4667" spans="1:17" x14ac:dyDescent="0.2">
      <c r="A4667" s="1">
        <v>6889</v>
      </c>
      <c r="B4667" s="2">
        <v>41562</v>
      </c>
      <c r="C4667" s="7">
        <f>_xlfn.FLOOR.MATH(Table1[[#This Row],[year]],10)</f>
        <v>2010</v>
      </c>
      <c r="D4667" t="s">
        <v>18</v>
      </c>
      <c r="E4667" t="s">
        <v>519</v>
      </c>
      <c r="F4667">
        <v>2</v>
      </c>
      <c r="G4667">
        <v>2</v>
      </c>
      <c r="H4667" t="s">
        <v>224</v>
      </c>
      <c r="I4667" t="s">
        <v>115</v>
      </c>
      <c r="J4667" t="s">
        <v>18</v>
      </c>
      <c r="K4667" t="b">
        <v>0</v>
      </c>
      <c r="L4667">
        <v>2013</v>
      </c>
      <c r="M4667">
        <v>2153225581941</v>
      </c>
      <c r="N4667">
        <v>11121464437</v>
      </c>
      <c r="O4667" t="b">
        <v>1</v>
      </c>
      <c r="P4667">
        <v>0</v>
      </c>
      <c r="Q4667" t="str" cm="1">
        <f t="array" ref="Q4667">_xlfn.IFS(Table1[[#This Row],[Wealthier_Winner]]=-1,"Wealthier Nation Loses",Table1[[#This Row],[Wealthier_Winner]]=0,"Tie",Table1[[#This Row],[Wealthier_Winner]]=1,"Wealthier Nation Wins")</f>
        <v>Tie</v>
      </c>
    </row>
    <row r="4668" spans="1:17" x14ac:dyDescent="0.2">
      <c r="A4668" s="1">
        <v>6890</v>
      </c>
      <c r="B4668" s="2">
        <v>41562</v>
      </c>
      <c r="C4668" s="7">
        <f>_xlfn.FLOOR.MATH(Table1[[#This Row],[year]],10)</f>
        <v>2010</v>
      </c>
      <c r="D4668" t="s">
        <v>49</v>
      </c>
      <c r="E4668" t="s">
        <v>65</v>
      </c>
      <c r="F4668">
        <v>2</v>
      </c>
      <c r="G4668">
        <v>2</v>
      </c>
      <c r="H4668" t="s">
        <v>224</v>
      </c>
      <c r="I4668" t="s">
        <v>257</v>
      </c>
      <c r="J4668" t="s">
        <v>49</v>
      </c>
      <c r="K4668" t="b">
        <v>0</v>
      </c>
      <c r="L4668">
        <v>2013</v>
      </c>
      <c r="M4668">
        <v>14264205152</v>
      </c>
      <c r="N4668">
        <v>18499729214</v>
      </c>
      <c r="O4668" t="b">
        <v>0</v>
      </c>
      <c r="P4668">
        <v>0</v>
      </c>
      <c r="Q4668" t="str" cm="1">
        <f t="array" ref="Q4668">_xlfn.IFS(Table1[[#This Row],[Wealthier_Winner]]=-1,"Wealthier Nation Loses",Table1[[#This Row],[Wealthier_Winner]]=0,"Tie",Table1[[#This Row],[Wealthier_Winner]]=1,"Wealthier Nation Wins")</f>
        <v>Tie</v>
      </c>
    </row>
    <row r="4669" spans="1:17" x14ac:dyDescent="0.2">
      <c r="A4669" s="1">
        <v>6892</v>
      </c>
      <c r="B4669" s="2">
        <v>41562</v>
      </c>
      <c r="C4669" s="7">
        <f>_xlfn.FLOOR.MATH(Table1[[#This Row],[year]],10)</f>
        <v>2010</v>
      </c>
      <c r="D4669" t="s">
        <v>523</v>
      </c>
      <c r="E4669" t="s">
        <v>73</v>
      </c>
      <c r="F4669">
        <v>0</v>
      </c>
      <c r="G4669">
        <v>1</v>
      </c>
      <c r="H4669" t="s">
        <v>224</v>
      </c>
      <c r="I4669" t="s">
        <v>604</v>
      </c>
      <c r="J4669" t="s">
        <v>523</v>
      </c>
      <c r="K4669" t="b">
        <v>0</v>
      </c>
      <c r="L4669">
        <v>2013</v>
      </c>
      <c r="M4669">
        <v>46303660422</v>
      </c>
      <c r="N4669">
        <v>18179109209</v>
      </c>
      <c r="O4669" t="b">
        <v>1</v>
      </c>
      <c r="P4669">
        <v>-1</v>
      </c>
      <c r="Q4669" t="str" cm="1">
        <f t="array" ref="Q4669">_xlfn.IFS(Table1[[#This Row],[Wealthier_Winner]]=-1,"Wealthier Nation Loses",Table1[[#This Row],[Wealthier_Winner]]=0,"Tie",Table1[[#This Row],[Wealthier_Winner]]=1,"Wealthier Nation Wins")</f>
        <v>Wealthier Nation Loses</v>
      </c>
    </row>
    <row r="4670" spans="1:17" x14ac:dyDescent="0.2">
      <c r="A4670" s="1">
        <v>6893</v>
      </c>
      <c r="B4670" s="2">
        <v>41562</v>
      </c>
      <c r="C4670" s="7">
        <f>_xlfn.FLOOR.MATH(Table1[[#This Row],[year]],10)</f>
        <v>2010</v>
      </c>
      <c r="D4670" t="s">
        <v>705</v>
      </c>
      <c r="E4670" t="s">
        <v>527</v>
      </c>
      <c r="F4670">
        <v>2</v>
      </c>
      <c r="G4670">
        <v>5</v>
      </c>
      <c r="H4670" t="s">
        <v>224</v>
      </c>
      <c r="I4670" t="s">
        <v>706</v>
      </c>
      <c r="J4670" t="s">
        <v>705</v>
      </c>
      <c r="K4670" t="b">
        <v>0</v>
      </c>
      <c r="L4670">
        <v>2013</v>
      </c>
      <c r="M4670">
        <v>4422097762</v>
      </c>
      <c r="N4670">
        <v>9496717875</v>
      </c>
      <c r="O4670" t="b">
        <v>1</v>
      </c>
      <c r="P4670">
        <v>1</v>
      </c>
      <c r="Q4670" t="str" cm="1">
        <f t="array" ref="Q4670">_xlfn.IFS(Table1[[#This Row],[Wealthier_Winner]]=-1,"Wealthier Nation Loses",Table1[[#This Row],[Wealthier_Winner]]=0,"Tie",Table1[[#This Row],[Wealthier_Winner]]=1,"Wealthier Nation Wins")</f>
        <v>Wealthier Nation Wins</v>
      </c>
    </row>
    <row r="4671" spans="1:17" x14ac:dyDescent="0.2">
      <c r="A4671" s="1">
        <v>6894</v>
      </c>
      <c r="B4671" s="2">
        <v>41562</v>
      </c>
      <c r="C4671" s="7">
        <f>_xlfn.FLOOR.MATH(Table1[[#This Row],[year]],10)</f>
        <v>2010</v>
      </c>
      <c r="D4671" t="s">
        <v>42</v>
      </c>
      <c r="E4671" t="s">
        <v>66</v>
      </c>
      <c r="F4671">
        <v>1</v>
      </c>
      <c r="G4671">
        <v>1</v>
      </c>
      <c r="H4671" t="s">
        <v>224</v>
      </c>
      <c r="I4671" t="s">
        <v>262</v>
      </c>
      <c r="J4671" t="s">
        <v>42</v>
      </c>
      <c r="K4671" t="b">
        <v>0</v>
      </c>
      <c r="L4671">
        <v>2013</v>
      </c>
      <c r="M4671">
        <v>526014468085</v>
      </c>
      <c r="N4671">
        <v>16244319958</v>
      </c>
      <c r="O4671" t="b">
        <v>1</v>
      </c>
      <c r="P4671">
        <v>0</v>
      </c>
      <c r="Q4671" t="str" cm="1">
        <f t="array" ref="Q4671">_xlfn.IFS(Table1[[#This Row],[Wealthier_Winner]]=-1,"Wealthier Nation Loses",Table1[[#This Row],[Wealthier_Winner]]=0,"Tie",Table1[[#This Row],[Wealthier_Winner]]=1,"Wealthier Nation Wins")</f>
        <v>Tie</v>
      </c>
    </row>
    <row r="4672" spans="1:17" x14ac:dyDescent="0.2">
      <c r="A4672" s="1">
        <v>6895</v>
      </c>
      <c r="B4672" s="2">
        <v>41562</v>
      </c>
      <c r="C4672" s="7">
        <f>_xlfn.FLOOR.MATH(Table1[[#This Row],[year]],10)</f>
        <v>2010</v>
      </c>
      <c r="D4672" t="s">
        <v>67</v>
      </c>
      <c r="E4672" t="s">
        <v>41</v>
      </c>
      <c r="F4672">
        <v>2</v>
      </c>
      <c r="G4672">
        <v>3</v>
      </c>
      <c r="H4672" t="s">
        <v>224</v>
      </c>
      <c r="I4672" t="s">
        <v>455</v>
      </c>
      <c r="J4672" t="s">
        <v>67</v>
      </c>
      <c r="K4672" t="b">
        <v>0</v>
      </c>
      <c r="L4672">
        <v>2013</v>
      </c>
      <c r="M4672">
        <v>46949496479</v>
      </c>
      <c r="N4672">
        <v>16843190993000</v>
      </c>
      <c r="O4672" t="b">
        <v>1</v>
      </c>
      <c r="P4672">
        <v>1</v>
      </c>
      <c r="Q4672" t="str" cm="1">
        <f t="array" ref="Q4672">_xlfn.IFS(Table1[[#This Row],[Wealthier_Winner]]=-1,"Wealthier Nation Loses",Table1[[#This Row],[Wealthier_Winner]]=0,"Tie",Table1[[#This Row],[Wealthier_Winner]]=1,"Wealthier Nation Wins")</f>
        <v>Wealthier Nation Wins</v>
      </c>
    </row>
    <row r="4673" spans="1:17" x14ac:dyDescent="0.2">
      <c r="A4673" s="1">
        <v>6896</v>
      </c>
      <c r="B4673" s="2">
        <v>41562</v>
      </c>
      <c r="C4673" s="7">
        <f>_xlfn.FLOOR.MATH(Table1[[#This Row],[year]],10)</f>
        <v>2010</v>
      </c>
      <c r="D4673" t="s">
        <v>35</v>
      </c>
      <c r="E4673" t="s">
        <v>15</v>
      </c>
      <c r="F4673">
        <v>1</v>
      </c>
      <c r="G4673">
        <v>2</v>
      </c>
      <c r="H4673" t="s">
        <v>224</v>
      </c>
      <c r="I4673" t="s">
        <v>250</v>
      </c>
      <c r="J4673" t="s">
        <v>35</v>
      </c>
      <c r="K4673" t="b">
        <v>0</v>
      </c>
      <c r="L4673">
        <v>2013</v>
      </c>
      <c r="M4673">
        <v>38501122141</v>
      </c>
      <c r="N4673">
        <v>382093697077</v>
      </c>
      <c r="O4673" t="b">
        <v>1</v>
      </c>
      <c r="P4673">
        <v>1</v>
      </c>
      <c r="Q4673" t="str" cm="1">
        <f t="array" ref="Q4673">_xlfn.IFS(Table1[[#This Row],[Wealthier_Winner]]=-1,"Wealthier Nation Loses",Table1[[#This Row],[Wealthier_Winner]]=0,"Tie",Table1[[#This Row],[Wealthier_Winner]]=1,"Wealthier Nation Wins")</f>
        <v>Wealthier Nation Wins</v>
      </c>
    </row>
    <row r="4674" spans="1:17" x14ac:dyDescent="0.2">
      <c r="A4674" s="1">
        <v>6897</v>
      </c>
      <c r="B4674" s="2">
        <v>41562</v>
      </c>
      <c r="C4674" s="7">
        <f>_xlfn.FLOOR.MATH(Table1[[#This Row],[year]],10)</f>
        <v>2010</v>
      </c>
      <c r="D4674" t="s">
        <v>31</v>
      </c>
      <c r="E4674" t="s">
        <v>47</v>
      </c>
      <c r="F4674">
        <v>1</v>
      </c>
      <c r="G4674">
        <v>1</v>
      </c>
      <c r="H4674" t="s">
        <v>224</v>
      </c>
      <c r="I4674" t="s">
        <v>242</v>
      </c>
      <c r="J4674" t="s">
        <v>31</v>
      </c>
      <c r="K4674" t="b">
        <v>0</v>
      </c>
      <c r="L4674">
        <v>2013</v>
      </c>
      <c r="M4674">
        <v>201175543571</v>
      </c>
      <c r="N4674">
        <v>30659338885</v>
      </c>
      <c r="O4674" t="b">
        <v>1</v>
      </c>
      <c r="P4674">
        <v>0</v>
      </c>
      <c r="Q4674" t="str" cm="1">
        <f t="array" ref="Q4674">_xlfn.IFS(Table1[[#This Row],[Wealthier_Winner]]=-1,"Wealthier Nation Loses",Table1[[#This Row],[Wealthier_Winner]]=0,"Tie",Table1[[#This Row],[Wealthier_Winner]]=1,"Wealthier Nation Wins")</f>
        <v>Tie</v>
      </c>
    </row>
    <row r="4675" spans="1:17" x14ac:dyDescent="0.2">
      <c r="A4675" s="1">
        <v>6898</v>
      </c>
      <c r="B4675" s="2">
        <v>41562</v>
      </c>
      <c r="C4675" s="7">
        <f>_xlfn.FLOOR.MATH(Table1[[#This Row],[year]],10)</f>
        <v>2010</v>
      </c>
      <c r="D4675" t="s">
        <v>38</v>
      </c>
      <c r="E4675" t="s">
        <v>232</v>
      </c>
      <c r="F4675">
        <v>3</v>
      </c>
      <c r="G4675">
        <v>0</v>
      </c>
      <c r="H4675" t="s">
        <v>224</v>
      </c>
      <c r="I4675" t="s">
        <v>772</v>
      </c>
      <c r="J4675" t="s">
        <v>38</v>
      </c>
      <c r="K4675" t="b">
        <v>0</v>
      </c>
      <c r="L4675">
        <v>2013</v>
      </c>
      <c r="M4675">
        <v>226677408291</v>
      </c>
      <c r="N4675">
        <v>65203276466</v>
      </c>
      <c r="O4675" t="b">
        <v>1</v>
      </c>
      <c r="P4675">
        <v>1</v>
      </c>
      <c r="Q4675" t="str" cm="1">
        <f t="array" ref="Q4675">_xlfn.IFS(Table1[[#This Row],[Wealthier_Winner]]=-1,"Wealthier Nation Loses",Table1[[#This Row],[Wealthier_Winner]]=0,"Tie",Table1[[#This Row],[Wealthier_Winner]]=1,"Wealthier Nation Wins")</f>
        <v>Wealthier Nation Wins</v>
      </c>
    </row>
    <row r="4676" spans="1:17" x14ac:dyDescent="0.2">
      <c r="A4676" s="1">
        <v>6899</v>
      </c>
      <c r="B4676" s="2">
        <v>41562</v>
      </c>
      <c r="C4676" s="7">
        <f>_xlfn.FLOOR.MATH(Table1[[#This Row],[year]],10)</f>
        <v>2010</v>
      </c>
      <c r="D4676" t="s">
        <v>44</v>
      </c>
      <c r="E4676" t="s">
        <v>476</v>
      </c>
      <c r="F4676">
        <v>2</v>
      </c>
      <c r="G4676">
        <v>0</v>
      </c>
      <c r="H4676" t="s">
        <v>224</v>
      </c>
      <c r="I4676" t="s">
        <v>425</v>
      </c>
      <c r="J4676" t="s">
        <v>44</v>
      </c>
      <c r="K4676" t="b">
        <v>0</v>
      </c>
      <c r="L4676">
        <v>2013</v>
      </c>
      <c r="M4676">
        <v>189798603751</v>
      </c>
      <c r="N4676">
        <v>25451032780</v>
      </c>
      <c r="O4676" t="b">
        <v>1</v>
      </c>
      <c r="P4676">
        <v>1</v>
      </c>
      <c r="Q4676" t="str" cm="1">
        <f t="array" ref="Q4676">_xlfn.IFS(Table1[[#This Row],[Wealthier_Winner]]=-1,"Wealthier Nation Loses",Table1[[#This Row],[Wealthier_Winner]]=0,"Tie",Table1[[#This Row],[Wealthier_Winner]]=1,"Wealthier Nation Wins")</f>
        <v>Wealthier Nation Wins</v>
      </c>
    </row>
    <row r="4677" spans="1:17" x14ac:dyDescent="0.2">
      <c r="A4677" s="1">
        <v>6900</v>
      </c>
      <c r="B4677" s="2">
        <v>41562</v>
      </c>
      <c r="C4677" s="7">
        <f>_xlfn.FLOOR.MATH(Table1[[#This Row],[year]],10)</f>
        <v>2010</v>
      </c>
      <c r="D4677" t="s">
        <v>549</v>
      </c>
      <c r="E4677" t="s">
        <v>64</v>
      </c>
      <c r="F4677">
        <v>0</v>
      </c>
      <c r="G4677">
        <v>8</v>
      </c>
      <c r="H4677" t="s">
        <v>224</v>
      </c>
      <c r="I4677" t="s">
        <v>555</v>
      </c>
      <c r="J4677" t="s">
        <v>549</v>
      </c>
      <c r="K4677" t="b">
        <v>0</v>
      </c>
      <c r="L4677">
        <v>2013</v>
      </c>
      <c r="M4677">
        <v>1678741475</v>
      </c>
      <c r="N4677">
        <v>190498811460</v>
      </c>
      <c r="O4677" t="b">
        <v>1</v>
      </c>
      <c r="P4677">
        <v>1</v>
      </c>
      <c r="Q4677" t="str" cm="1">
        <f t="array" ref="Q4677">_xlfn.IFS(Table1[[#This Row],[Wealthier_Winner]]=-1,"Wealthier Nation Loses",Table1[[#This Row],[Wealthier_Winner]]=0,"Tie",Table1[[#This Row],[Wealthier_Winner]]=1,"Wealthier Nation Wins")</f>
        <v>Wealthier Nation Wins</v>
      </c>
    </row>
    <row r="4678" spans="1:17" x14ac:dyDescent="0.2">
      <c r="A4678" s="1">
        <v>6902</v>
      </c>
      <c r="B4678" s="2">
        <v>41562</v>
      </c>
      <c r="C4678" s="7">
        <f>_xlfn.FLOOR.MATH(Table1[[#This Row],[year]],10)</f>
        <v>2010</v>
      </c>
      <c r="D4678" t="s">
        <v>61</v>
      </c>
      <c r="E4678" t="s">
        <v>502</v>
      </c>
      <c r="F4678">
        <v>5</v>
      </c>
      <c r="G4678">
        <v>1</v>
      </c>
      <c r="H4678" t="s">
        <v>224</v>
      </c>
      <c r="I4678" t="s">
        <v>773</v>
      </c>
      <c r="J4678" t="s">
        <v>61</v>
      </c>
      <c r="K4678" t="b">
        <v>0</v>
      </c>
      <c r="L4678">
        <v>2013</v>
      </c>
      <c r="M4678">
        <v>50455529604</v>
      </c>
      <c r="N4678">
        <v>10817702346</v>
      </c>
      <c r="O4678" t="b">
        <v>1</v>
      </c>
      <c r="P4678">
        <v>1</v>
      </c>
      <c r="Q4678" t="str" cm="1">
        <f t="array" ref="Q4678">_xlfn.IFS(Table1[[#This Row],[Wealthier_Winner]]=-1,"Wealthier Nation Loses",Table1[[#This Row],[Wealthier_Winner]]=0,"Tie",Table1[[#This Row],[Wealthier_Winner]]=1,"Wealthier Nation Wins")</f>
        <v>Wealthier Nation Wins</v>
      </c>
    </row>
    <row r="4679" spans="1:17" x14ac:dyDescent="0.2">
      <c r="A4679" s="1">
        <v>6903</v>
      </c>
      <c r="B4679" s="2">
        <v>41562</v>
      </c>
      <c r="C4679" s="7">
        <f>_xlfn.FLOOR.MATH(Table1[[#This Row],[year]],10)</f>
        <v>2010</v>
      </c>
      <c r="D4679" t="s">
        <v>21</v>
      </c>
      <c r="E4679" t="s">
        <v>534</v>
      </c>
      <c r="F4679">
        <v>2</v>
      </c>
      <c r="G4679">
        <v>0</v>
      </c>
      <c r="H4679" t="s">
        <v>224</v>
      </c>
      <c r="I4679" t="s">
        <v>713</v>
      </c>
      <c r="J4679" t="s">
        <v>21</v>
      </c>
      <c r="K4679" t="b">
        <v>0</v>
      </c>
      <c r="L4679">
        <v>2013</v>
      </c>
      <c r="M4679">
        <v>1362186923157</v>
      </c>
      <c r="N4679">
        <v>17517660143</v>
      </c>
      <c r="O4679" t="b">
        <v>1</v>
      </c>
      <c r="P4679">
        <v>1</v>
      </c>
      <c r="Q4679" t="str" cm="1">
        <f t="array" ref="Q4679">_xlfn.IFS(Table1[[#This Row],[Wealthier_Winner]]=-1,"Wealthier Nation Loses",Table1[[#This Row],[Wealthier_Winner]]=0,"Tie",Table1[[#This Row],[Wealthier_Winner]]=1,"Wealthier Nation Wins")</f>
        <v>Wealthier Nation Wins</v>
      </c>
    </row>
    <row r="4680" spans="1:17" x14ac:dyDescent="0.2">
      <c r="A4680" s="1">
        <v>6904</v>
      </c>
      <c r="B4680" s="2">
        <v>41562</v>
      </c>
      <c r="C4680" s="7">
        <f>_xlfn.FLOOR.MATH(Table1[[#This Row],[year]],10)</f>
        <v>2010</v>
      </c>
      <c r="D4680" t="s">
        <v>25</v>
      </c>
      <c r="E4680" t="s">
        <v>16</v>
      </c>
      <c r="F4680">
        <v>3</v>
      </c>
      <c r="G4680">
        <v>5</v>
      </c>
      <c r="H4680" t="s">
        <v>224</v>
      </c>
      <c r="I4680" t="s">
        <v>233</v>
      </c>
      <c r="J4680" t="s">
        <v>25</v>
      </c>
      <c r="K4680" t="b">
        <v>0</v>
      </c>
      <c r="L4680">
        <v>2013</v>
      </c>
      <c r="M4680">
        <v>584125353119</v>
      </c>
      <c r="N4680">
        <v>3807023797050</v>
      </c>
      <c r="O4680" t="b">
        <v>1</v>
      </c>
      <c r="P4680">
        <v>1</v>
      </c>
      <c r="Q4680" t="str" cm="1">
        <f t="array" ref="Q4680">_xlfn.IFS(Table1[[#This Row],[Wealthier_Winner]]=-1,"Wealthier Nation Loses",Table1[[#This Row],[Wealthier_Winner]]=0,"Tie",Table1[[#This Row],[Wealthier_Winner]]=1,"Wealthier Nation Wins")</f>
        <v>Wealthier Nation Wins</v>
      </c>
    </row>
    <row r="4681" spans="1:17" x14ac:dyDescent="0.2">
      <c r="A4681" s="1">
        <v>6905</v>
      </c>
      <c r="B4681" s="2">
        <v>41562</v>
      </c>
      <c r="C4681" s="7">
        <f>_xlfn.FLOOR.MATH(Table1[[#This Row],[year]],10)</f>
        <v>2010</v>
      </c>
      <c r="D4681" t="s">
        <v>46</v>
      </c>
      <c r="E4681" t="s">
        <v>55</v>
      </c>
      <c r="F4681">
        <v>1</v>
      </c>
      <c r="G4681">
        <v>0</v>
      </c>
      <c r="H4681" t="s">
        <v>224</v>
      </c>
      <c r="I4681" t="s">
        <v>249</v>
      </c>
      <c r="J4681" t="s">
        <v>46</v>
      </c>
      <c r="K4681" t="b">
        <v>0</v>
      </c>
      <c r="L4681">
        <v>2013</v>
      </c>
      <c r="M4681">
        <v>706234937370</v>
      </c>
      <c r="N4681">
        <v>47867056858</v>
      </c>
      <c r="O4681" t="b">
        <v>1</v>
      </c>
      <c r="P4681">
        <v>1</v>
      </c>
      <c r="Q4681" t="str" cm="1">
        <f t="array" ref="Q4681">_xlfn.IFS(Table1[[#This Row],[Wealthier_Winner]]=-1,"Wealthier Nation Loses",Table1[[#This Row],[Wealthier_Winner]]=0,"Tie",Table1[[#This Row],[Wealthier_Winner]]=1,"Wealthier Nation Wins")</f>
        <v>Wealthier Nation Wins</v>
      </c>
    </row>
    <row r="4682" spans="1:17" x14ac:dyDescent="0.2">
      <c r="A4682" s="1">
        <v>6907</v>
      </c>
      <c r="B4682" s="2">
        <v>41562</v>
      </c>
      <c r="C4682" s="7">
        <f>_xlfn.FLOOR.MATH(Table1[[#This Row],[year]],10)</f>
        <v>2010</v>
      </c>
      <c r="D4682" t="s">
        <v>26</v>
      </c>
      <c r="E4682" t="s">
        <v>19</v>
      </c>
      <c r="F4682">
        <v>3</v>
      </c>
      <c r="G4682">
        <v>2</v>
      </c>
      <c r="H4682" t="s">
        <v>224</v>
      </c>
      <c r="I4682" t="s">
        <v>247</v>
      </c>
      <c r="J4682" t="s">
        <v>26</v>
      </c>
      <c r="K4682" t="b">
        <v>0</v>
      </c>
      <c r="L4682">
        <v>2013</v>
      </c>
      <c r="M4682">
        <v>61337621933</v>
      </c>
      <c r="N4682">
        <v>552025140252</v>
      </c>
      <c r="O4682" t="b">
        <v>1</v>
      </c>
      <c r="P4682">
        <v>-1</v>
      </c>
      <c r="Q4682" t="str" cm="1">
        <f t="array" ref="Q4682">_xlfn.IFS(Table1[[#This Row],[Wealthier_Winner]]=-1,"Wealthier Nation Loses",Table1[[#This Row],[Wealthier_Winner]]=0,"Tie",Table1[[#This Row],[Wealthier_Winner]]=1,"Wealthier Nation Wins")</f>
        <v>Wealthier Nation Loses</v>
      </c>
    </row>
    <row r="4683" spans="1:17" x14ac:dyDescent="0.2">
      <c r="A4683" s="1">
        <v>6908</v>
      </c>
      <c r="B4683" s="2">
        <v>41591</v>
      </c>
      <c r="C4683" s="7">
        <f>_xlfn.FLOOR.MATH(Table1[[#This Row],[year]],10)</f>
        <v>2010</v>
      </c>
      <c r="D4683" t="s">
        <v>403</v>
      </c>
      <c r="E4683" t="s">
        <v>26</v>
      </c>
      <c r="F4683">
        <v>0</v>
      </c>
      <c r="G4683">
        <v>5</v>
      </c>
      <c r="H4683" t="s">
        <v>224</v>
      </c>
      <c r="I4683" t="s">
        <v>404</v>
      </c>
      <c r="J4683" t="s">
        <v>403</v>
      </c>
      <c r="K4683" t="b">
        <v>0</v>
      </c>
      <c r="L4683">
        <v>2013</v>
      </c>
      <c r="M4683">
        <v>34454440140</v>
      </c>
      <c r="N4683">
        <v>61337621933</v>
      </c>
      <c r="O4683" t="b">
        <v>0</v>
      </c>
      <c r="P4683">
        <v>1</v>
      </c>
      <c r="Q4683" t="str" cm="1">
        <f t="array" ref="Q4683">_xlfn.IFS(Table1[[#This Row],[Wealthier_Winner]]=-1,"Wealthier Nation Loses",Table1[[#This Row],[Wealthier_Winner]]=0,"Tie",Table1[[#This Row],[Wealthier_Winner]]=1,"Wealthier Nation Wins")</f>
        <v>Wealthier Nation Wins</v>
      </c>
    </row>
    <row r="4684" spans="1:17" x14ac:dyDescent="0.2">
      <c r="A4684" s="1">
        <v>6909</v>
      </c>
      <c r="B4684" s="2">
        <v>41591</v>
      </c>
      <c r="C4684" s="7">
        <f>_xlfn.FLOOR.MATH(Table1[[#This Row],[year]],10)</f>
        <v>2010</v>
      </c>
      <c r="D4684" t="s">
        <v>17</v>
      </c>
      <c r="E4684" t="s">
        <v>72</v>
      </c>
      <c r="F4684">
        <v>5</v>
      </c>
      <c r="G4684">
        <v>1</v>
      </c>
      <c r="H4684" t="s">
        <v>224</v>
      </c>
      <c r="I4684" t="s">
        <v>83</v>
      </c>
      <c r="J4684" t="s">
        <v>17</v>
      </c>
      <c r="K4684" t="b">
        <v>0</v>
      </c>
      <c r="L4684">
        <v>2013</v>
      </c>
      <c r="M4684">
        <v>1327436290282</v>
      </c>
      <c r="N4684">
        <v>191012364176</v>
      </c>
      <c r="O4684" t="b">
        <v>1</v>
      </c>
      <c r="P4684">
        <v>1</v>
      </c>
      <c r="Q4684" t="str" cm="1">
        <f t="array" ref="Q4684">_xlfn.IFS(Table1[[#This Row],[Wealthier_Winner]]=-1,"Wealthier Nation Loses",Table1[[#This Row],[Wealthier_Winner]]=0,"Tie",Table1[[#This Row],[Wealthier_Winner]]=1,"Wealthier Nation Wins")</f>
        <v>Wealthier Nation Wins</v>
      </c>
    </row>
    <row r="4685" spans="1:17" x14ac:dyDescent="0.2">
      <c r="A4685" s="1">
        <v>6910</v>
      </c>
      <c r="B4685" s="2">
        <v>41593</v>
      </c>
      <c r="C4685" s="7">
        <f>_xlfn.FLOOR.MATH(Table1[[#This Row],[year]],10)</f>
        <v>2010</v>
      </c>
      <c r="D4685" t="s">
        <v>48</v>
      </c>
      <c r="E4685" t="s">
        <v>44</v>
      </c>
      <c r="F4685">
        <v>3</v>
      </c>
      <c r="G4685">
        <v>1</v>
      </c>
      <c r="H4685" t="s">
        <v>224</v>
      </c>
      <c r="I4685" t="s">
        <v>282</v>
      </c>
      <c r="J4685" t="s">
        <v>48</v>
      </c>
      <c r="K4685" t="b">
        <v>0</v>
      </c>
      <c r="L4685">
        <v>2013</v>
      </c>
      <c r="M4685">
        <v>236556279640</v>
      </c>
      <c r="N4685">
        <v>189798603751</v>
      </c>
      <c r="O4685" t="b">
        <v>0</v>
      </c>
      <c r="P4685">
        <v>1</v>
      </c>
      <c r="Q4685" t="str" cm="1">
        <f t="array" ref="Q4685">_xlfn.IFS(Table1[[#This Row],[Wealthier_Winner]]=-1,"Wealthier Nation Loses",Table1[[#This Row],[Wealthier_Winner]]=0,"Tie",Table1[[#This Row],[Wealthier_Winner]]=1,"Wealthier Nation Wins")</f>
        <v>Wealthier Nation Wins</v>
      </c>
    </row>
    <row r="4686" spans="1:17" x14ac:dyDescent="0.2">
      <c r="A4686" s="1">
        <v>6911</v>
      </c>
      <c r="B4686" s="2">
        <v>41593</v>
      </c>
      <c r="C4686" s="7">
        <f>_xlfn.FLOOR.MATH(Table1[[#This Row],[year]],10)</f>
        <v>2010</v>
      </c>
      <c r="D4686" t="s">
        <v>66</v>
      </c>
      <c r="E4686" t="s">
        <v>52</v>
      </c>
      <c r="F4686">
        <v>0</v>
      </c>
      <c r="G4686">
        <v>0</v>
      </c>
      <c r="H4686" t="s">
        <v>224</v>
      </c>
      <c r="I4686" t="s">
        <v>336</v>
      </c>
      <c r="J4686" t="s">
        <v>66</v>
      </c>
      <c r="K4686" t="b">
        <v>0</v>
      </c>
      <c r="L4686">
        <v>2013</v>
      </c>
      <c r="M4686">
        <v>16244319958</v>
      </c>
      <c r="N4686">
        <v>59846265181</v>
      </c>
      <c r="O4686" t="b">
        <v>1</v>
      </c>
      <c r="P4686">
        <v>0</v>
      </c>
      <c r="Q4686" t="str" cm="1">
        <f t="array" ref="Q4686">_xlfn.IFS(Table1[[#This Row],[Wealthier_Winner]]=-1,"Wealthier Nation Loses",Table1[[#This Row],[Wealthier_Winner]]=0,"Tie",Table1[[#This Row],[Wealthier_Winner]]=1,"Wealthier Nation Wins")</f>
        <v>Tie</v>
      </c>
    </row>
    <row r="4687" spans="1:17" x14ac:dyDescent="0.2">
      <c r="A4687" s="1">
        <v>6912</v>
      </c>
      <c r="B4687" s="2">
        <v>41593</v>
      </c>
      <c r="C4687" s="7">
        <f>_xlfn.FLOOR.MATH(Table1[[#This Row],[year]],10)</f>
        <v>2010</v>
      </c>
      <c r="D4687" t="s">
        <v>38</v>
      </c>
      <c r="E4687" t="s">
        <v>25</v>
      </c>
      <c r="F4687">
        <v>1</v>
      </c>
      <c r="G4687">
        <v>0</v>
      </c>
      <c r="H4687" t="s">
        <v>224</v>
      </c>
      <c r="I4687" t="s">
        <v>291</v>
      </c>
      <c r="J4687" t="s">
        <v>38</v>
      </c>
      <c r="K4687" t="b">
        <v>0</v>
      </c>
      <c r="L4687">
        <v>2013</v>
      </c>
      <c r="M4687">
        <v>226677408291</v>
      </c>
      <c r="N4687">
        <v>584125353119</v>
      </c>
      <c r="O4687" t="b">
        <v>1</v>
      </c>
      <c r="P4687">
        <v>-1</v>
      </c>
      <c r="Q4687" t="str" cm="1">
        <f t="array" ref="Q4687">_xlfn.IFS(Table1[[#This Row],[Wealthier_Winner]]=-1,"Wealthier Nation Loses",Table1[[#This Row],[Wealthier_Winner]]=0,"Tie",Table1[[#This Row],[Wealthier_Winner]]=1,"Wealthier Nation Wins")</f>
        <v>Wealthier Nation Loses</v>
      </c>
    </row>
    <row r="4688" spans="1:17" x14ac:dyDescent="0.2">
      <c r="A4688" s="1">
        <v>6913</v>
      </c>
      <c r="B4688" s="2">
        <v>41593</v>
      </c>
      <c r="C4688" s="7">
        <f>_xlfn.FLOOR.MATH(Table1[[#This Row],[year]],10)</f>
        <v>2010</v>
      </c>
      <c r="D4688" t="s">
        <v>64</v>
      </c>
      <c r="E4688" t="s">
        <v>20</v>
      </c>
      <c r="F4688">
        <v>2</v>
      </c>
      <c r="G4688">
        <v>0</v>
      </c>
      <c r="H4688" t="s">
        <v>224</v>
      </c>
      <c r="I4688" t="s">
        <v>423</v>
      </c>
      <c r="J4688" t="s">
        <v>64</v>
      </c>
      <c r="K4688" t="b">
        <v>0</v>
      </c>
      <c r="L4688">
        <v>2013</v>
      </c>
      <c r="M4688">
        <v>190498811460</v>
      </c>
      <c r="N4688">
        <v>2816077607875</v>
      </c>
      <c r="O4688" t="b">
        <v>1</v>
      </c>
      <c r="P4688">
        <v>-1</v>
      </c>
      <c r="Q4688" t="str" cm="1">
        <f t="array" ref="Q4688">_xlfn.IFS(Table1[[#This Row],[Wealthier_Winner]]=-1,"Wealthier Nation Loses",Table1[[#This Row],[Wealthier_Winner]]=0,"Tie",Table1[[#This Row],[Wealthier_Winner]]=1,"Wealthier Nation Wins")</f>
        <v>Wealthier Nation Loses</v>
      </c>
    </row>
    <row r="4689" spans="1:17" x14ac:dyDescent="0.2">
      <c r="A4689" s="1">
        <v>6914</v>
      </c>
      <c r="B4689" s="2">
        <v>41594</v>
      </c>
      <c r="C4689" s="7">
        <f>_xlfn.FLOOR.MATH(Table1[[#This Row],[year]],10)</f>
        <v>2010</v>
      </c>
      <c r="D4689" t="s">
        <v>43</v>
      </c>
      <c r="E4689" t="s">
        <v>238</v>
      </c>
      <c r="F4689">
        <v>2</v>
      </c>
      <c r="G4689">
        <v>0</v>
      </c>
      <c r="H4689" t="s">
        <v>224</v>
      </c>
      <c r="I4689" t="s">
        <v>751</v>
      </c>
      <c r="J4689" t="s">
        <v>43</v>
      </c>
      <c r="K4689" t="b">
        <v>0</v>
      </c>
      <c r="L4689">
        <v>2013</v>
      </c>
      <c r="M4689">
        <v>520117180313</v>
      </c>
      <c r="N4689">
        <v>47648276605</v>
      </c>
      <c r="O4689" t="b">
        <v>1</v>
      </c>
      <c r="P4689">
        <v>1</v>
      </c>
      <c r="Q4689" t="str" cm="1">
        <f t="array" ref="Q4689">_xlfn.IFS(Table1[[#This Row],[Wealthier_Winner]]=-1,"Wealthier Nation Loses",Table1[[#This Row],[Wealthier_Winner]]=0,"Tie",Table1[[#This Row],[Wealthier_Winner]]=1,"Wealthier Nation Wins")</f>
        <v>Wealthier Nation Wins</v>
      </c>
    </row>
    <row r="4690" spans="1:17" x14ac:dyDescent="0.2">
      <c r="A4690" s="1">
        <v>6916</v>
      </c>
      <c r="B4690" s="2">
        <v>41595</v>
      </c>
      <c r="C4690" s="7">
        <f>_xlfn.FLOOR.MATH(Table1[[#This Row],[year]],10)</f>
        <v>2010</v>
      </c>
      <c r="D4690" t="s">
        <v>40</v>
      </c>
      <c r="E4690" t="s">
        <v>53</v>
      </c>
      <c r="F4690">
        <v>4</v>
      </c>
      <c r="G4690">
        <v>1</v>
      </c>
      <c r="H4690" t="s">
        <v>224</v>
      </c>
      <c r="I4690" t="s">
        <v>371</v>
      </c>
      <c r="J4690" t="s">
        <v>40</v>
      </c>
      <c r="K4690" t="b">
        <v>0</v>
      </c>
      <c r="L4690">
        <v>2013</v>
      </c>
      <c r="M4690">
        <v>33728621180</v>
      </c>
      <c r="N4690">
        <v>48685446413</v>
      </c>
      <c r="O4690" t="b">
        <v>0</v>
      </c>
      <c r="P4690">
        <v>-1</v>
      </c>
      <c r="Q4690" t="str" cm="1">
        <f t="array" ref="Q4690">_xlfn.IFS(Table1[[#This Row],[Wealthier_Winner]]=-1,"Wealthier Nation Loses",Table1[[#This Row],[Wealthier_Winner]]=0,"Tie",Table1[[#This Row],[Wealthier_Winner]]=1,"Wealthier Nation Wins")</f>
        <v>Wealthier Nation Loses</v>
      </c>
    </row>
    <row r="4691" spans="1:17" x14ac:dyDescent="0.2">
      <c r="A4691" s="1">
        <v>6917</v>
      </c>
      <c r="B4691" s="2">
        <v>41597</v>
      </c>
      <c r="C4691" s="7">
        <f>_xlfn.FLOOR.MATH(Table1[[#This Row],[year]],10)</f>
        <v>2010</v>
      </c>
      <c r="D4691" t="s">
        <v>32</v>
      </c>
      <c r="E4691" t="s">
        <v>345</v>
      </c>
      <c r="F4691">
        <v>1</v>
      </c>
      <c r="G4691">
        <v>0</v>
      </c>
      <c r="H4691" t="s">
        <v>224</v>
      </c>
      <c r="I4691" t="s">
        <v>697</v>
      </c>
      <c r="J4691" t="s">
        <v>32</v>
      </c>
      <c r="K4691" t="b">
        <v>0</v>
      </c>
      <c r="L4691">
        <v>2013</v>
      </c>
      <c r="M4691">
        <v>229701430292</v>
      </c>
      <c r="N4691">
        <v>13444300485</v>
      </c>
      <c r="O4691" t="b">
        <v>1</v>
      </c>
      <c r="P4691">
        <v>1</v>
      </c>
      <c r="Q4691" t="str" cm="1">
        <f t="array" ref="Q4691">_xlfn.IFS(Table1[[#This Row],[Wealthier_Winner]]=-1,"Wealthier Nation Loses",Table1[[#This Row],[Wealthier_Winner]]=0,"Tie",Table1[[#This Row],[Wealthier_Winner]]=1,"Wealthier Nation Wins")</f>
        <v>Wealthier Nation Wins</v>
      </c>
    </row>
    <row r="4692" spans="1:17" x14ac:dyDescent="0.2">
      <c r="A4692" s="1">
        <v>6918</v>
      </c>
      <c r="B4692" s="2">
        <v>41597</v>
      </c>
      <c r="C4692" s="7">
        <f>_xlfn.FLOOR.MATH(Table1[[#This Row],[year]],10)</f>
        <v>2010</v>
      </c>
      <c r="D4692" t="s">
        <v>52</v>
      </c>
      <c r="E4692" t="s">
        <v>66</v>
      </c>
      <c r="F4692">
        <v>2</v>
      </c>
      <c r="G4692">
        <v>0</v>
      </c>
      <c r="H4692" t="s">
        <v>224</v>
      </c>
      <c r="I4692" t="s">
        <v>538</v>
      </c>
      <c r="J4692" t="s">
        <v>52</v>
      </c>
      <c r="K4692" t="b">
        <v>0</v>
      </c>
      <c r="L4692">
        <v>2013</v>
      </c>
      <c r="M4692">
        <v>59846265181</v>
      </c>
      <c r="N4692">
        <v>16244319958</v>
      </c>
      <c r="O4692" t="b">
        <v>1</v>
      </c>
      <c r="P4692">
        <v>1</v>
      </c>
      <c r="Q4692" t="str" cm="1">
        <f t="array" ref="Q4692">_xlfn.IFS(Table1[[#This Row],[Wealthier_Winner]]=-1,"Wealthier Nation Loses",Table1[[#This Row],[Wealthier_Winner]]=0,"Tie",Table1[[#This Row],[Wealthier_Winner]]=1,"Wealthier Nation Wins")</f>
        <v>Wealthier Nation Wins</v>
      </c>
    </row>
    <row r="4693" spans="1:17" x14ac:dyDescent="0.2">
      <c r="A4693" s="1">
        <v>6919</v>
      </c>
      <c r="B4693" s="2">
        <v>41597</v>
      </c>
      <c r="C4693" s="7">
        <f>_xlfn.FLOOR.MATH(Table1[[#This Row],[year]],10)</f>
        <v>2010</v>
      </c>
      <c r="D4693" t="s">
        <v>212</v>
      </c>
      <c r="E4693" t="s">
        <v>63</v>
      </c>
      <c r="F4693">
        <v>2</v>
      </c>
      <c r="G4693">
        <v>1</v>
      </c>
      <c r="H4693" t="s">
        <v>224</v>
      </c>
      <c r="I4693" t="s">
        <v>322</v>
      </c>
      <c r="J4693" t="s">
        <v>212</v>
      </c>
      <c r="K4693" t="b">
        <v>0</v>
      </c>
      <c r="L4693">
        <v>2013</v>
      </c>
      <c r="M4693">
        <v>288434108527</v>
      </c>
      <c r="N4693">
        <v>62845721959</v>
      </c>
      <c r="O4693" t="b">
        <v>1</v>
      </c>
      <c r="P4693">
        <v>1</v>
      </c>
      <c r="Q4693" t="str" cm="1">
        <f t="array" ref="Q4693">_xlfn.IFS(Table1[[#This Row],[Wealthier_Winner]]=-1,"Wealthier Nation Loses",Table1[[#This Row],[Wealthier_Winner]]=0,"Tie",Table1[[#This Row],[Wealthier_Winner]]=1,"Wealthier Nation Wins")</f>
        <v>Wealthier Nation Wins</v>
      </c>
    </row>
    <row r="4694" spans="1:17" x14ac:dyDescent="0.2">
      <c r="A4694" s="1">
        <v>6920</v>
      </c>
      <c r="B4694" s="2">
        <v>41597</v>
      </c>
      <c r="C4694" s="7">
        <f>_xlfn.FLOOR.MATH(Table1[[#This Row],[year]],10)</f>
        <v>2010</v>
      </c>
      <c r="D4694" t="s">
        <v>20</v>
      </c>
      <c r="E4694" t="s">
        <v>64</v>
      </c>
      <c r="F4694">
        <v>3</v>
      </c>
      <c r="G4694">
        <v>0</v>
      </c>
      <c r="H4694" t="s">
        <v>224</v>
      </c>
      <c r="I4694" t="s">
        <v>132</v>
      </c>
      <c r="J4694" t="s">
        <v>20</v>
      </c>
      <c r="K4694" t="b">
        <v>0</v>
      </c>
      <c r="L4694">
        <v>2013</v>
      </c>
      <c r="M4694">
        <v>2816077607875</v>
      </c>
      <c r="N4694">
        <v>190498811460</v>
      </c>
      <c r="O4694" t="b">
        <v>1</v>
      </c>
      <c r="P4694">
        <v>1</v>
      </c>
      <c r="Q4694" t="str" cm="1">
        <f t="array" ref="Q4694">_xlfn.IFS(Table1[[#This Row],[Wealthier_Winner]]=-1,"Wealthier Nation Loses",Table1[[#This Row],[Wealthier_Winner]]=0,"Tie",Table1[[#This Row],[Wealthier_Winner]]=1,"Wealthier Nation Wins")</f>
        <v>Wealthier Nation Wins</v>
      </c>
    </row>
    <row r="4695" spans="1:17" x14ac:dyDescent="0.2">
      <c r="A4695" s="1">
        <v>6921</v>
      </c>
      <c r="B4695" s="2">
        <v>41597</v>
      </c>
      <c r="C4695" s="7">
        <f>_xlfn.FLOOR.MATH(Table1[[#This Row],[year]],10)</f>
        <v>2010</v>
      </c>
      <c r="D4695" t="s">
        <v>44</v>
      </c>
      <c r="E4695" t="s">
        <v>48</v>
      </c>
      <c r="F4695">
        <v>1</v>
      </c>
      <c r="G4695">
        <v>1</v>
      </c>
      <c r="H4695" t="s">
        <v>224</v>
      </c>
      <c r="I4695" t="s">
        <v>425</v>
      </c>
      <c r="J4695" t="s">
        <v>44</v>
      </c>
      <c r="K4695" t="b">
        <v>0</v>
      </c>
      <c r="L4695">
        <v>2013</v>
      </c>
      <c r="M4695">
        <v>189798603751</v>
      </c>
      <c r="N4695">
        <v>236556279640</v>
      </c>
      <c r="O4695" t="b">
        <v>0</v>
      </c>
      <c r="P4695">
        <v>0</v>
      </c>
      <c r="Q4695" t="str" cm="1">
        <f t="array" ref="Q4695">_xlfn.IFS(Table1[[#This Row],[Wealthier_Winner]]=-1,"Wealthier Nation Loses",Table1[[#This Row],[Wealthier_Winner]]=0,"Tie",Table1[[#This Row],[Wealthier_Winner]]=1,"Wealthier Nation Wins")</f>
        <v>Tie</v>
      </c>
    </row>
    <row r="4696" spans="1:17" x14ac:dyDescent="0.2">
      <c r="A4696" s="1">
        <v>6922</v>
      </c>
      <c r="B4696" s="2">
        <v>41597</v>
      </c>
      <c r="C4696" s="7">
        <f>_xlfn.FLOOR.MATH(Table1[[#This Row],[year]],10)</f>
        <v>2010</v>
      </c>
      <c r="D4696" t="s">
        <v>25</v>
      </c>
      <c r="E4696" t="s">
        <v>38</v>
      </c>
      <c r="F4696">
        <v>2</v>
      </c>
      <c r="G4696">
        <v>3</v>
      </c>
      <c r="H4696" t="s">
        <v>224</v>
      </c>
      <c r="I4696" t="s">
        <v>233</v>
      </c>
      <c r="J4696" t="s">
        <v>25</v>
      </c>
      <c r="K4696" t="b">
        <v>0</v>
      </c>
      <c r="L4696">
        <v>2013</v>
      </c>
      <c r="M4696">
        <v>584125353119</v>
      </c>
      <c r="N4696">
        <v>226677408291</v>
      </c>
      <c r="O4696" t="b">
        <v>1</v>
      </c>
      <c r="P4696">
        <v>-1</v>
      </c>
      <c r="Q4696" t="str" cm="1">
        <f t="array" ref="Q4696">_xlfn.IFS(Table1[[#This Row],[Wealthier_Winner]]=-1,"Wealthier Nation Loses",Table1[[#This Row],[Wealthier_Winner]]=0,"Tie",Table1[[#This Row],[Wealthier_Winner]]=1,"Wealthier Nation Wins")</f>
        <v>Wealthier Nation Loses</v>
      </c>
    </row>
    <row r="4697" spans="1:17" x14ac:dyDescent="0.2">
      <c r="A4697" s="1">
        <v>6923</v>
      </c>
      <c r="B4697" s="2">
        <v>41598</v>
      </c>
      <c r="C4697" s="7">
        <f>_xlfn.FLOOR.MATH(Table1[[#This Row],[year]],10)</f>
        <v>2010</v>
      </c>
      <c r="D4697" t="s">
        <v>72</v>
      </c>
      <c r="E4697" t="s">
        <v>17</v>
      </c>
      <c r="F4697">
        <v>2</v>
      </c>
      <c r="G4697">
        <v>4</v>
      </c>
      <c r="H4697" t="s">
        <v>224</v>
      </c>
      <c r="I4697" t="s">
        <v>629</v>
      </c>
      <c r="J4697" t="s">
        <v>72</v>
      </c>
      <c r="K4697" t="b">
        <v>0</v>
      </c>
      <c r="L4697">
        <v>2013</v>
      </c>
      <c r="M4697">
        <v>191012364176</v>
      </c>
      <c r="N4697">
        <v>1327436290282</v>
      </c>
      <c r="O4697" t="b">
        <v>1</v>
      </c>
      <c r="P4697">
        <v>1</v>
      </c>
      <c r="Q4697" t="str" cm="1">
        <f t="array" ref="Q4697">_xlfn.IFS(Table1[[#This Row],[Wealthier_Winner]]=-1,"Wealthier Nation Loses",Table1[[#This Row],[Wealthier_Winner]]=0,"Tie",Table1[[#This Row],[Wealthier_Winner]]=1,"Wealthier Nation Wins")</f>
        <v>Wealthier Nation Wins</v>
      </c>
    </row>
    <row r="4698" spans="1:17" x14ac:dyDescent="0.2">
      <c r="A4698" s="1">
        <v>6924</v>
      </c>
      <c r="B4698" s="2">
        <v>41598</v>
      </c>
      <c r="C4698" s="7">
        <f>_xlfn.FLOOR.MATH(Table1[[#This Row],[year]],10)</f>
        <v>2010</v>
      </c>
      <c r="D4698" t="s">
        <v>26</v>
      </c>
      <c r="E4698" t="s">
        <v>403</v>
      </c>
      <c r="F4698">
        <v>0</v>
      </c>
      <c r="G4698">
        <v>0</v>
      </c>
      <c r="H4698" t="s">
        <v>224</v>
      </c>
      <c r="I4698" t="s">
        <v>247</v>
      </c>
      <c r="J4698" t="s">
        <v>26</v>
      </c>
      <c r="K4698" t="b">
        <v>0</v>
      </c>
      <c r="L4698">
        <v>2013</v>
      </c>
      <c r="M4698">
        <v>61337621933</v>
      </c>
      <c r="N4698">
        <v>34454440140</v>
      </c>
      <c r="O4698" t="b">
        <v>0</v>
      </c>
      <c r="P4698">
        <v>0</v>
      </c>
      <c r="Q4698" t="str" cm="1">
        <f t="array" ref="Q4698">_xlfn.IFS(Table1[[#This Row],[Wealthier_Winner]]=-1,"Wealthier Nation Loses",Table1[[#This Row],[Wealthier_Winner]]=0,"Tie",Table1[[#This Row],[Wealthier_Winner]]=1,"Wealthier Nation Wins")</f>
        <v>Tie</v>
      </c>
    </row>
    <row r="4699" spans="1:17" x14ac:dyDescent="0.2">
      <c r="A4699" s="1">
        <v>6925</v>
      </c>
      <c r="B4699" s="2">
        <v>41802</v>
      </c>
      <c r="C4699" s="7">
        <f>_xlfn.FLOOR.MATH(Table1[[#This Row],[year]],10)</f>
        <v>2010</v>
      </c>
      <c r="D4699" t="s">
        <v>13</v>
      </c>
      <c r="E4699" t="s">
        <v>52</v>
      </c>
      <c r="F4699">
        <v>3</v>
      </c>
      <c r="G4699">
        <v>1</v>
      </c>
      <c r="H4699" t="s">
        <v>74</v>
      </c>
      <c r="I4699" t="s">
        <v>417</v>
      </c>
      <c r="J4699" t="s">
        <v>13</v>
      </c>
      <c r="K4699" t="b">
        <v>0</v>
      </c>
      <c r="L4699">
        <v>2014</v>
      </c>
      <c r="M4699">
        <v>2456043766032</v>
      </c>
      <c r="N4699">
        <v>59606934500</v>
      </c>
      <c r="O4699" t="b">
        <v>1</v>
      </c>
      <c r="P4699">
        <v>1</v>
      </c>
      <c r="Q4699" t="str" cm="1">
        <f t="array" ref="Q4699">_xlfn.IFS(Table1[[#This Row],[Wealthier_Winner]]=-1,"Wealthier Nation Loses",Table1[[#This Row],[Wealthier_Winner]]=0,"Tie",Table1[[#This Row],[Wealthier_Winner]]=1,"Wealthier Nation Wins")</f>
        <v>Wealthier Nation Wins</v>
      </c>
    </row>
    <row r="4700" spans="1:17" x14ac:dyDescent="0.2">
      <c r="A4700" s="1">
        <v>6926</v>
      </c>
      <c r="B4700" s="2">
        <v>41803</v>
      </c>
      <c r="C4700" s="7">
        <f>_xlfn.FLOOR.MATH(Table1[[#This Row],[year]],10)</f>
        <v>2010</v>
      </c>
      <c r="D4700" t="s">
        <v>14</v>
      </c>
      <c r="E4700" t="s">
        <v>28</v>
      </c>
      <c r="F4700">
        <v>3</v>
      </c>
      <c r="G4700">
        <v>1</v>
      </c>
      <c r="H4700" t="s">
        <v>74</v>
      </c>
      <c r="I4700" t="s">
        <v>774</v>
      </c>
      <c r="J4700" t="s">
        <v>13</v>
      </c>
      <c r="K4700" t="b">
        <v>1</v>
      </c>
      <c r="L4700">
        <v>2014</v>
      </c>
      <c r="M4700">
        <v>259560978224</v>
      </c>
      <c r="N4700">
        <v>1474677007565</v>
      </c>
      <c r="O4700" t="b">
        <v>1</v>
      </c>
      <c r="P4700">
        <v>-1</v>
      </c>
      <c r="Q4700" t="str" cm="1">
        <f t="array" ref="Q4700">_xlfn.IFS(Table1[[#This Row],[Wealthier_Winner]]=-1,"Wealthier Nation Loses",Table1[[#This Row],[Wealthier_Winner]]=0,"Tie",Table1[[#This Row],[Wealthier_Winner]]=1,"Wealthier Nation Wins")</f>
        <v>Wealthier Nation Loses</v>
      </c>
    </row>
    <row r="4701" spans="1:17" x14ac:dyDescent="0.2">
      <c r="A4701" s="1">
        <v>6927</v>
      </c>
      <c r="B4701" s="2">
        <v>41803</v>
      </c>
      <c r="C4701" s="7">
        <f>_xlfn.FLOOR.MATH(Table1[[#This Row],[year]],10)</f>
        <v>2010</v>
      </c>
      <c r="D4701" t="s">
        <v>17</v>
      </c>
      <c r="E4701" t="s">
        <v>40</v>
      </c>
      <c r="F4701">
        <v>1</v>
      </c>
      <c r="G4701">
        <v>0</v>
      </c>
      <c r="H4701" t="s">
        <v>74</v>
      </c>
      <c r="I4701" t="s">
        <v>169</v>
      </c>
      <c r="J4701" t="s">
        <v>13</v>
      </c>
      <c r="K4701" t="b">
        <v>1</v>
      </c>
      <c r="L4701">
        <v>2014</v>
      </c>
      <c r="M4701">
        <v>1364507717614</v>
      </c>
      <c r="N4701">
        <v>36386544706</v>
      </c>
      <c r="O4701" t="b">
        <v>1</v>
      </c>
      <c r="P4701">
        <v>1</v>
      </c>
      <c r="Q4701" t="str" cm="1">
        <f t="array" ref="Q4701">_xlfn.IFS(Table1[[#This Row],[Wealthier_Winner]]=-1,"Wealthier Nation Loses",Table1[[#This Row],[Wealthier_Winner]]=0,"Tie",Table1[[#This Row],[Wealthier_Winner]]=1,"Wealthier Nation Wins")</f>
        <v>Wealthier Nation Wins</v>
      </c>
    </row>
    <row r="4702" spans="1:17" x14ac:dyDescent="0.2">
      <c r="A4702" s="1">
        <v>6928</v>
      </c>
      <c r="B4702" s="2">
        <v>41803</v>
      </c>
      <c r="C4702" s="7">
        <f>_xlfn.FLOOR.MATH(Table1[[#This Row],[year]],10)</f>
        <v>2010</v>
      </c>
      <c r="D4702" t="s">
        <v>21</v>
      </c>
      <c r="E4702" t="s">
        <v>27</v>
      </c>
      <c r="F4702">
        <v>1</v>
      </c>
      <c r="G4702">
        <v>5</v>
      </c>
      <c r="H4702" t="s">
        <v>74</v>
      </c>
      <c r="I4702" t="s">
        <v>170</v>
      </c>
      <c r="J4702" t="s">
        <v>13</v>
      </c>
      <c r="K4702" t="b">
        <v>1</v>
      </c>
      <c r="L4702">
        <v>2014</v>
      </c>
      <c r="M4702">
        <v>1380244561361</v>
      </c>
      <c r="N4702">
        <v>901556501756</v>
      </c>
      <c r="O4702" t="b">
        <v>0</v>
      </c>
      <c r="P4702">
        <v>-1</v>
      </c>
      <c r="Q4702" t="str" cm="1">
        <f t="array" ref="Q4702">_xlfn.IFS(Table1[[#This Row],[Wealthier_Winner]]=-1,"Wealthier Nation Loses",Table1[[#This Row],[Wealthier_Winner]]=0,"Tie",Table1[[#This Row],[Wealthier_Winner]]=1,"Wealthier Nation Wins")</f>
        <v>Wealthier Nation Loses</v>
      </c>
    </row>
    <row r="4703" spans="1:17" x14ac:dyDescent="0.2">
      <c r="A4703" s="1">
        <v>6929</v>
      </c>
      <c r="B4703" s="2">
        <v>41804</v>
      </c>
      <c r="C4703" s="7">
        <f>_xlfn.FLOOR.MATH(Table1[[#This Row],[year]],10)</f>
        <v>2010</v>
      </c>
      <c r="D4703" t="s">
        <v>15</v>
      </c>
      <c r="E4703" t="s">
        <v>48</v>
      </c>
      <c r="F4703">
        <v>3</v>
      </c>
      <c r="G4703">
        <v>0</v>
      </c>
      <c r="H4703" t="s">
        <v>74</v>
      </c>
      <c r="I4703" t="s">
        <v>171</v>
      </c>
      <c r="J4703" t="s">
        <v>13</v>
      </c>
      <c r="K4703" t="b">
        <v>1</v>
      </c>
      <c r="L4703">
        <v>2014</v>
      </c>
      <c r="M4703">
        <v>381240864422</v>
      </c>
      <c r="N4703">
        <v>233911581521</v>
      </c>
      <c r="O4703" t="b">
        <v>0</v>
      </c>
      <c r="P4703">
        <v>1</v>
      </c>
      <c r="Q4703" t="str" cm="1">
        <f t="array" ref="Q4703">_xlfn.IFS(Table1[[#This Row],[Wealthier_Winner]]=-1,"Wealthier Nation Loses",Table1[[#This Row],[Wealthier_Winner]]=0,"Tie",Table1[[#This Row],[Wealthier_Winner]]=1,"Wealthier Nation Wins")</f>
        <v>Wealthier Nation Wins</v>
      </c>
    </row>
    <row r="4704" spans="1:17" x14ac:dyDescent="0.2">
      <c r="A4704" s="1">
        <v>6930</v>
      </c>
      <c r="B4704" s="2">
        <v>41804</v>
      </c>
      <c r="C4704" s="7">
        <f>_xlfn.FLOOR.MATH(Table1[[#This Row],[year]],10)</f>
        <v>2010</v>
      </c>
      <c r="D4704" t="s">
        <v>194</v>
      </c>
      <c r="E4704" t="s">
        <v>18</v>
      </c>
      <c r="F4704">
        <v>1</v>
      </c>
      <c r="G4704">
        <v>2</v>
      </c>
      <c r="H4704" t="s">
        <v>74</v>
      </c>
      <c r="I4704" t="s">
        <v>176</v>
      </c>
      <c r="J4704" t="s">
        <v>13</v>
      </c>
      <c r="K4704" t="b">
        <v>1</v>
      </c>
      <c r="L4704">
        <v>2014</v>
      </c>
      <c r="M4704">
        <v>3085362169410</v>
      </c>
      <c r="N4704">
        <v>2173255507985</v>
      </c>
      <c r="O4704" t="b">
        <v>0</v>
      </c>
      <c r="P4704">
        <v>-1</v>
      </c>
      <c r="Q4704" t="str" cm="1">
        <f t="array" ref="Q4704">_xlfn.IFS(Table1[[#This Row],[Wealthier_Winner]]=-1,"Wealthier Nation Loses",Table1[[#This Row],[Wealthier_Winner]]=0,"Tie",Table1[[#This Row],[Wealthier_Winner]]=1,"Wealthier Nation Wins")</f>
        <v>Wealthier Nation Loses</v>
      </c>
    </row>
    <row r="4705" spans="1:17" x14ac:dyDescent="0.2">
      <c r="A4705" s="1">
        <v>6932</v>
      </c>
      <c r="B4705" s="2">
        <v>41804</v>
      </c>
      <c r="C4705" s="7">
        <f>_xlfn.FLOOR.MATH(Table1[[#This Row],[year]],10)</f>
        <v>2010</v>
      </c>
      <c r="D4705" t="s">
        <v>26</v>
      </c>
      <c r="E4705" t="s">
        <v>56</v>
      </c>
      <c r="F4705">
        <v>1</v>
      </c>
      <c r="G4705">
        <v>3</v>
      </c>
      <c r="H4705" t="s">
        <v>74</v>
      </c>
      <c r="I4705" t="s">
        <v>172</v>
      </c>
      <c r="J4705" t="s">
        <v>13</v>
      </c>
      <c r="K4705" t="b">
        <v>1</v>
      </c>
      <c r="L4705">
        <v>2014</v>
      </c>
      <c r="M4705">
        <v>61496186973</v>
      </c>
      <c r="N4705">
        <v>52016408854</v>
      </c>
      <c r="O4705" t="b">
        <v>0</v>
      </c>
      <c r="P4705">
        <v>-1</v>
      </c>
      <c r="Q4705" t="str" cm="1">
        <f t="array" ref="Q4705">_xlfn.IFS(Table1[[#This Row],[Wealthier_Winner]]=-1,"Wealthier Nation Loses",Table1[[#This Row],[Wealthier_Winner]]=0,"Tie",Table1[[#This Row],[Wealthier_Winner]]=1,"Wealthier Nation Wins")</f>
        <v>Wealthier Nation Loses</v>
      </c>
    </row>
    <row r="4706" spans="1:17" x14ac:dyDescent="0.2">
      <c r="A4706" s="1">
        <v>6933</v>
      </c>
      <c r="B4706" s="2">
        <v>41805</v>
      </c>
      <c r="C4706" s="7">
        <f>_xlfn.FLOOR.MATH(Table1[[#This Row],[year]],10)</f>
        <v>2010</v>
      </c>
      <c r="D4706" t="s">
        <v>19</v>
      </c>
      <c r="E4706" t="s">
        <v>73</v>
      </c>
      <c r="F4706">
        <v>2</v>
      </c>
      <c r="G4706">
        <v>1</v>
      </c>
      <c r="H4706" t="s">
        <v>74</v>
      </c>
      <c r="I4706" t="s">
        <v>173</v>
      </c>
      <c r="J4706" t="s">
        <v>13</v>
      </c>
      <c r="K4706" t="b">
        <v>1</v>
      </c>
      <c r="L4706">
        <v>2014</v>
      </c>
      <c r="M4706">
        <v>526319673731</v>
      </c>
      <c r="N4706">
        <v>18558734107</v>
      </c>
      <c r="O4706" t="b">
        <v>1</v>
      </c>
      <c r="P4706">
        <v>1</v>
      </c>
      <c r="Q4706" t="str" cm="1">
        <f t="array" ref="Q4706">_xlfn.IFS(Table1[[#This Row],[Wealthier_Winner]]=-1,"Wealthier Nation Loses",Table1[[#This Row],[Wealthier_Winner]]=0,"Tie",Table1[[#This Row],[Wealthier_Winner]]=1,"Wealthier Nation Wins")</f>
        <v>Wealthier Nation Wins</v>
      </c>
    </row>
    <row r="4707" spans="1:17" x14ac:dyDescent="0.2">
      <c r="A4707" s="1">
        <v>6934</v>
      </c>
      <c r="B4707" s="2">
        <v>41805</v>
      </c>
      <c r="C4707" s="7">
        <f>_xlfn.FLOOR.MATH(Table1[[#This Row],[year]],10)</f>
        <v>2010</v>
      </c>
      <c r="D4707" t="s">
        <v>20</v>
      </c>
      <c r="E4707" t="s">
        <v>65</v>
      </c>
      <c r="F4707">
        <v>3</v>
      </c>
      <c r="G4707">
        <v>0</v>
      </c>
      <c r="H4707" t="s">
        <v>74</v>
      </c>
      <c r="I4707" t="s">
        <v>174</v>
      </c>
      <c r="J4707" t="s">
        <v>13</v>
      </c>
      <c r="K4707" t="b">
        <v>1</v>
      </c>
      <c r="L4707">
        <v>2014</v>
      </c>
      <c r="M4707">
        <v>2861236112552</v>
      </c>
      <c r="N4707">
        <v>19756533971</v>
      </c>
      <c r="O4707" t="b">
        <v>1</v>
      </c>
      <c r="P4707">
        <v>1</v>
      </c>
      <c r="Q4707" t="str" cm="1">
        <f t="array" ref="Q4707">_xlfn.IFS(Table1[[#This Row],[Wealthier_Winner]]=-1,"Wealthier Nation Loses",Table1[[#This Row],[Wealthier_Winner]]=0,"Tie",Table1[[#This Row],[Wealthier_Winner]]=1,"Wealthier Nation Wins")</f>
        <v>Wealthier Nation Wins</v>
      </c>
    </row>
    <row r="4708" spans="1:17" x14ac:dyDescent="0.2">
      <c r="A4708" s="1">
        <v>6935</v>
      </c>
      <c r="B4708" s="2">
        <v>41805</v>
      </c>
      <c r="C4708" s="7">
        <f>_xlfn.FLOOR.MATH(Table1[[#This Row],[year]],10)</f>
        <v>2010</v>
      </c>
      <c r="D4708" t="s">
        <v>46</v>
      </c>
      <c r="E4708" t="s">
        <v>57</v>
      </c>
      <c r="F4708">
        <v>2</v>
      </c>
      <c r="G4708">
        <v>1</v>
      </c>
      <c r="H4708" t="s">
        <v>74</v>
      </c>
      <c r="I4708" t="s">
        <v>679</v>
      </c>
      <c r="J4708" t="s">
        <v>13</v>
      </c>
      <c r="K4708" t="b">
        <v>1</v>
      </c>
      <c r="L4708">
        <v>2014</v>
      </c>
      <c r="M4708">
        <v>726537808338</v>
      </c>
      <c r="N4708">
        <v>102717794000</v>
      </c>
      <c r="O4708" t="b">
        <v>1</v>
      </c>
      <c r="P4708">
        <v>1</v>
      </c>
      <c r="Q4708" t="str" cm="1">
        <f t="array" ref="Q4708">_xlfn.IFS(Table1[[#This Row],[Wealthier_Winner]]=-1,"Wealthier Nation Loses",Table1[[#This Row],[Wealthier_Winner]]=0,"Tie",Table1[[#This Row],[Wealthier_Winner]]=1,"Wealthier Nation Wins")</f>
        <v>Wealthier Nation Wins</v>
      </c>
    </row>
    <row r="4709" spans="1:17" x14ac:dyDescent="0.2">
      <c r="A4709" s="1">
        <v>6936</v>
      </c>
      <c r="B4709" s="2">
        <v>41806</v>
      </c>
      <c r="C4709" s="7">
        <f>_xlfn.FLOOR.MATH(Table1[[#This Row],[year]],10)</f>
        <v>2010</v>
      </c>
      <c r="D4709" t="s">
        <v>16</v>
      </c>
      <c r="E4709" t="s">
        <v>38</v>
      </c>
      <c r="F4709">
        <v>4</v>
      </c>
      <c r="G4709">
        <v>0</v>
      </c>
      <c r="H4709" t="s">
        <v>74</v>
      </c>
      <c r="I4709" t="s">
        <v>170</v>
      </c>
      <c r="J4709" t="s">
        <v>13</v>
      </c>
      <c r="K4709" t="b">
        <v>1</v>
      </c>
      <c r="L4709">
        <v>2014</v>
      </c>
      <c r="M4709">
        <v>3964870735760</v>
      </c>
      <c r="N4709">
        <v>230078616299</v>
      </c>
      <c r="O4709" t="b">
        <v>1</v>
      </c>
      <c r="P4709">
        <v>1</v>
      </c>
      <c r="Q4709" t="str" cm="1">
        <f t="array" ref="Q4709">_xlfn.IFS(Table1[[#This Row],[Wealthier_Winner]]=-1,"Wealthier Nation Loses",Table1[[#This Row],[Wealthier_Winner]]=0,"Tie",Table1[[#This Row],[Wealthier_Winner]]=1,"Wealthier Nation Wins")</f>
        <v>Wealthier Nation Wins</v>
      </c>
    </row>
    <row r="4710" spans="1:17" x14ac:dyDescent="0.2">
      <c r="A4710" s="1">
        <v>6937</v>
      </c>
      <c r="B4710" s="2">
        <v>41806</v>
      </c>
      <c r="C4710" s="7">
        <f>_xlfn.FLOOR.MATH(Table1[[#This Row],[year]],10)</f>
        <v>2010</v>
      </c>
      <c r="D4710" t="s">
        <v>63</v>
      </c>
      <c r="E4710" t="s">
        <v>41</v>
      </c>
      <c r="F4710">
        <v>1</v>
      </c>
      <c r="G4710">
        <v>2</v>
      </c>
      <c r="H4710" t="s">
        <v>74</v>
      </c>
      <c r="I4710" t="s">
        <v>169</v>
      </c>
      <c r="J4710" t="s">
        <v>13</v>
      </c>
      <c r="K4710" t="b">
        <v>1</v>
      </c>
      <c r="L4710">
        <v>2014</v>
      </c>
      <c r="M4710">
        <v>54678533805</v>
      </c>
      <c r="N4710">
        <v>17550680174000</v>
      </c>
      <c r="O4710" t="b">
        <v>1</v>
      </c>
      <c r="P4710">
        <v>1</v>
      </c>
      <c r="Q4710" t="str" cm="1">
        <f t="array" ref="Q4710">_xlfn.IFS(Table1[[#This Row],[Wealthier_Winner]]=-1,"Wealthier Nation Loses",Table1[[#This Row],[Wealthier_Winner]]=0,"Tie",Table1[[#This Row],[Wealthier_Winner]]=1,"Wealthier Nation Wins")</f>
        <v>Wealthier Nation Wins</v>
      </c>
    </row>
    <row r="4711" spans="1:17" x14ac:dyDescent="0.2">
      <c r="A4711" s="1">
        <v>6938</v>
      </c>
      <c r="B4711" s="2">
        <v>41806</v>
      </c>
      <c r="C4711" s="7">
        <f>_xlfn.FLOOR.MATH(Table1[[#This Row],[year]],10)</f>
        <v>2010</v>
      </c>
      <c r="D4711" t="s">
        <v>210</v>
      </c>
      <c r="E4711" t="s">
        <v>43</v>
      </c>
      <c r="F4711">
        <v>0</v>
      </c>
      <c r="G4711">
        <v>0</v>
      </c>
      <c r="H4711" t="s">
        <v>74</v>
      </c>
      <c r="I4711" t="s">
        <v>175</v>
      </c>
      <c r="J4711" t="s">
        <v>13</v>
      </c>
      <c r="K4711" t="b">
        <v>1</v>
      </c>
      <c r="L4711">
        <v>2014</v>
      </c>
      <c r="M4711">
        <v>462284793280</v>
      </c>
      <c r="N4711">
        <v>574183763411</v>
      </c>
      <c r="O4711" t="b">
        <v>0</v>
      </c>
      <c r="P4711">
        <v>0</v>
      </c>
      <c r="Q4711" t="str" cm="1">
        <f t="array" ref="Q4711">_xlfn.IFS(Table1[[#This Row],[Wealthier_Winner]]=-1,"Wealthier Nation Loses",Table1[[#This Row],[Wealthier_Winner]]=0,"Tie",Table1[[#This Row],[Wealthier_Winner]]=1,"Wealthier Nation Wins")</f>
        <v>Tie</v>
      </c>
    </row>
    <row r="4712" spans="1:17" x14ac:dyDescent="0.2">
      <c r="A4712" s="1">
        <v>6939</v>
      </c>
      <c r="B4712" s="2">
        <v>41807</v>
      </c>
      <c r="C4712" s="7">
        <f>_xlfn.FLOOR.MATH(Table1[[#This Row],[year]],10)</f>
        <v>2010</v>
      </c>
      <c r="D4712" t="s">
        <v>23</v>
      </c>
      <c r="E4712" t="s">
        <v>32</v>
      </c>
      <c r="F4712">
        <v>2</v>
      </c>
      <c r="G4712">
        <v>1</v>
      </c>
      <c r="H4712" t="s">
        <v>74</v>
      </c>
      <c r="I4712" t="s">
        <v>171</v>
      </c>
      <c r="J4712" t="s">
        <v>13</v>
      </c>
      <c r="K4712" t="b">
        <v>1</v>
      </c>
      <c r="L4712">
        <v>2014</v>
      </c>
      <c r="M4712">
        <v>537987419164</v>
      </c>
      <c r="N4712">
        <v>238942664192</v>
      </c>
      <c r="O4712" t="b">
        <v>1</v>
      </c>
      <c r="P4712">
        <v>1</v>
      </c>
      <c r="Q4712" t="str" cm="1">
        <f t="array" ref="Q4712">_xlfn.IFS(Table1[[#This Row],[Wealthier_Winner]]=-1,"Wealthier Nation Loses",Table1[[#This Row],[Wealthier_Winner]]=0,"Tie",Table1[[#This Row],[Wealthier_Winner]]=1,"Wealthier Nation Wins")</f>
        <v>Wealthier Nation Wins</v>
      </c>
    </row>
    <row r="4713" spans="1:17" x14ac:dyDescent="0.2">
      <c r="A4713" s="1">
        <v>6940</v>
      </c>
      <c r="B4713" s="2">
        <v>41807</v>
      </c>
      <c r="C4713" s="7">
        <f>_xlfn.FLOOR.MATH(Table1[[#This Row],[year]],10)</f>
        <v>2010</v>
      </c>
      <c r="D4713" t="s">
        <v>13</v>
      </c>
      <c r="E4713" t="s">
        <v>17</v>
      </c>
      <c r="F4713">
        <v>0</v>
      </c>
      <c r="G4713">
        <v>0</v>
      </c>
      <c r="H4713" t="s">
        <v>74</v>
      </c>
      <c r="I4713" t="s">
        <v>172</v>
      </c>
      <c r="J4713" t="s">
        <v>13</v>
      </c>
      <c r="K4713" t="b">
        <v>0</v>
      </c>
      <c r="L4713">
        <v>2014</v>
      </c>
      <c r="M4713">
        <v>2456043766032</v>
      </c>
      <c r="N4713">
        <v>1364507717614</v>
      </c>
      <c r="O4713" t="b">
        <v>0</v>
      </c>
      <c r="P4713">
        <v>0</v>
      </c>
      <c r="Q4713" t="str" cm="1">
        <f t="array" ref="Q4713">_xlfn.IFS(Table1[[#This Row],[Wealthier_Winner]]=-1,"Wealthier Nation Loses",Table1[[#This Row],[Wealthier_Winner]]=0,"Tie",Table1[[#This Row],[Wealthier_Winner]]=1,"Wealthier Nation Wins")</f>
        <v>Tie</v>
      </c>
    </row>
    <row r="4714" spans="1:17" x14ac:dyDescent="0.2">
      <c r="A4714" s="1">
        <v>6941</v>
      </c>
      <c r="B4714" s="2">
        <v>41807</v>
      </c>
      <c r="C4714" s="7">
        <f>_xlfn.FLOOR.MATH(Table1[[#This Row],[year]],10)</f>
        <v>2010</v>
      </c>
      <c r="D4714" t="s">
        <v>196</v>
      </c>
      <c r="E4714" t="s">
        <v>195</v>
      </c>
      <c r="F4714">
        <v>1</v>
      </c>
      <c r="G4714">
        <v>1</v>
      </c>
      <c r="H4714" t="s">
        <v>74</v>
      </c>
      <c r="I4714" t="s">
        <v>774</v>
      </c>
      <c r="J4714" t="s">
        <v>13</v>
      </c>
      <c r="K4714" t="b">
        <v>1</v>
      </c>
      <c r="L4714">
        <v>2014</v>
      </c>
      <c r="M4714">
        <v>2059241589895</v>
      </c>
      <c r="N4714">
        <v>1556252422020</v>
      </c>
      <c r="O4714" t="b">
        <v>0</v>
      </c>
      <c r="P4714">
        <v>0</v>
      </c>
      <c r="Q4714" t="str" cm="1">
        <f t="array" ref="Q4714">_xlfn.IFS(Table1[[#This Row],[Wealthier_Winner]]=-1,"Wealthier Nation Loses",Table1[[#This Row],[Wealthier_Winner]]=0,"Tie",Table1[[#This Row],[Wealthier_Winner]]=1,"Wealthier Nation Wins")</f>
        <v>Tie</v>
      </c>
    </row>
    <row r="4715" spans="1:17" x14ac:dyDescent="0.2">
      <c r="A4715" s="1">
        <v>6942</v>
      </c>
      <c r="B4715" s="2">
        <v>41808</v>
      </c>
      <c r="C4715" s="7">
        <f>_xlfn.FLOOR.MATH(Table1[[#This Row],[year]],10)</f>
        <v>2010</v>
      </c>
      <c r="D4715" t="s">
        <v>28</v>
      </c>
      <c r="E4715" t="s">
        <v>27</v>
      </c>
      <c r="F4715">
        <v>2</v>
      </c>
      <c r="G4715">
        <v>3</v>
      </c>
      <c r="H4715" t="s">
        <v>74</v>
      </c>
      <c r="I4715" t="s">
        <v>175</v>
      </c>
      <c r="J4715" t="s">
        <v>13</v>
      </c>
      <c r="K4715" t="b">
        <v>1</v>
      </c>
      <c r="L4715">
        <v>2014</v>
      </c>
      <c r="M4715">
        <v>1474677007565</v>
      </c>
      <c r="N4715">
        <v>901556501756</v>
      </c>
      <c r="O4715" t="b">
        <v>0</v>
      </c>
      <c r="P4715">
        <v>-1</v>
      </c>
      <c r="Q4715" t="str" cm="1">
        <f t="array" ref="Q4715">_xlfn.IFS(Table1[[#This Row],[Wealthier_Winner]]=-1,"Wealthier Nation Loses",Table1[[#This Row],[Wealthier_Winner]]=0,"Tie",Table1[[#This Row],[Wealthier_Winner]]=1,"Wealthier Nation Wins")</f>
        <v>Wealthier Nation Loses</v>
      </c>
    </row>
    <row r="4716" spans="1:17" x14ac:dyDescent="0.2">
      <c r="A4716" s="1">
        <v>6943</v>
      </c>
      <c r="B4716" s="2">
        <v>41808</v>
      </c>
      <c r="C4716" s="7">
        <f>_xlfn.FLOOR.MATH(Table1[[#This Row],[year]],10)</f>
        <v>2010</v>
      </c>
      <c r="D4716" t="s">
        <v>40</v>
      </c>
      <c r="E4716" t="s">
        <v>52</v>
      </c>
      <c r="F4716">
        <v>0</v>
      </c>
      <c r="G4716">
        <v>4</v>
      </c>
      <c r="H4716" t="s">
        <v>74</v>
      </c>
      <c r="I4716" t="s">
        <v>176</v>
      </c>
      <c r="J4716" t="s">
        <v>13</v>
      </c>
      <c r="K4716" t="b">
        <v>1</v>
      </c>
      <c r="L4716">
        <v>2014</v>
      </c>
      <c r="M4716">
        <v>36386544706</v>
      </c>
      <c r="N4716">
        <v>59606934500</v>
      </c>
      <c r="O4716" t="b">
        <v>0</v>
      </c>
      <c r="P4716">
        <v>1</v>
      </c>
      <c r="Q4716" t="str" cm="1">
        <f t="array" ref="Q4716">_xlfn.IFS(Table1[[#This Row],[Wealthier_Winner]]=-1,"Wealthier Nation Loses",Table1[[#This Row],[Wealthier_Winner]]=0,"Tie",Table1[[#This Row],[Wealthier_Winner]]=1,"Wealthier Nation Wins")</f>
        <v>Wealthier Nation Wins</v>
      </c>
    </row>
    <row r="4717" spans="1:17" x14ac:dyDescent="0.2">
      <c r="A4717" s="1">
        <v>6944</v>
      </c>
      <c r="B4717" s="2">
        <v>41808</v>
      </c>
      <c r="C4717" s="7">
        <f>_xlfn.FLOOR.MATH(Table1[[#This Row],[year]],10)</f>
        <v>2010</v>
      </c>
      <c r="D4717" t="s">
        <v>21</v>
      </c>
      <c r="E4717" t="s">
        <v>14</v>
      </c>
      <c r="F4717">
        <v>0</v>
      </c>
      <c r="G4717">
        <v>2</v>
      </c>
      <c r="H4717" t="s">
        <v>74</v>
      </c>
      <c r="I4717" t="s">
        <v>173</v>
      </c>
      <c r="J4717" t="s">
        <v>13</v>
      </c>
      <c r="K4717" t="b">
        <v>1</v>
      </c>
      <c r="L4717">
        <v>2014</v>
      </c>
      <c r="M4717">
        <v>1380244561361</v>
      </c>
      <c r="N4717">
        <v>259560978224</v>
      </c>
      <c r="O4717" t="b">
        <v>1</v>
      </c>
      <c r="P4717">
        <v>-1</v>
      </c>
      <c r="Q4717" t="str" cm="1">
        <f t="array" ref="Q4717">_xlfn.IFS(Table1[[#This Row],[Wealthier_Winner]]=-1,"Wealthier Nation Loses",Table1[[#This Row],[Wealthier_Winner]]=0,"Tie",Table1[[#This Row],[Wealthier_Winner]]=1,"Wealthier Nation Wins")</f>
        <v>Wealthier Nation Loses</v>
      </c>
    </row>
    <row r="4718" spans="1:17" x14ac:dyDescent="0.2">
      <c r="A4718" s="1">
        <v>6946</v>
      </c>
      <c r="B4718" s="2">
        <v>41809</v>
      </c>
      <c r="C4718" s="7">
        <f>_xlfn.FLOOR.MATH(Table1[[#This Row],[year]],10)</f>
        <v>2010</v>
      </c>
      <c r="D4718" t="s">
        <v>51</v>
      </c>
      <c r="E4718" t="s">
        <v>48</v>
      </c>
      <c r="F4718">
        <v>0</v>
      </c>
      <c r="G4718">
        <v>0</v>
      </c>
      <c r="H4718" t="s">
        <v>74</v>
      </c>
      <c r="I4718" t="s">
        <v>169</v>
      </c>
      <c r="J4718" t="s">
        <v>13</v>
      </c>
      <c r="K4718" t="b">
        <v>1</v>
      </c>
      <c r="L4718">
        <v>2014</v>
      </c>
      <c r="M4718">
        <v>4896994405353</v>
      </c>
      <c r="N4718">
        <v>233911581521</v>
      </c>
      <c r="O4718" t="b">
        <v>1</v>
      </c>
      <c r="P4718">
        <v>0</v>
      </c>
      <c r="Q4718" t="str" cm="1">
        <f t="array" ref="Q4718">_xlfn.IFS(Table1[[#This Row],[Wealthier_Winner]]=-1,"Wealthier Nation Loses",Table1[[#This Row],[Wealthier_Winner]]=0,"Tie",Table1[[#This Row],[Wealthier_Winner]]=1,"Wealthier Nation Wins")</f>
        <v>Tie</v>
      </c>
    </row>
    <row r="4719" spans="1:17" x14ac:dyDescent="0.2">
      <c r="A4719" s="1">
        <v>6947</v>
      </c>
      <c r="B4719" s="2">
        <v>41809</v>
      </c>
      <c r="C4719" s="7">
        <f>_xlfn.FLOOR.MATH(Table1[[#This Row],[year]],10)</f>
        <v>2010</v>
      </c>
      <c r="D4719" t="s">
        <v>26</v>
      </c>
      <c r="E4719" t="s">
        <v>194</v>
      </c>
      <c r="F4719">
        <v>2</v>
      </c>
      <c r="G4719">
        <v>1</v>
      </c>
      <c r="H4719" t="s">
        <v>74</v>
      </c>
      <c r="I4719" t="s">
        <v>417</v>
      </c>
      <c r="J4719" t="s">
        <v>13</v>
      </c>
      <c r="K4719" t="b">
        <v>1</v>
      </c>
      <c r="L4719">
        <v>2014</v>
      </c>
      <c r="M4719">
        <v>61496186973</v>
      </c>
      <c r="N4719">
        <v>3085362169410</v>
      </c>
      <c r="O4719" t="b">
        <v>1</v>
      </c>
      <c r="P4719">
        <v>-1</v>
      </c>
      <c r="Q4719" t="str" cm="1">
        <f t="array" ref="Q4719">_xlfn.IFS(Table1[[#This Row],[Wealthier_Winner]]=-1,"Wealthier Nation Loses",Table1[[#This Row],[Wealthier_Winner]]=0,"Tie",Table1[[#This Row],[Wealthier_Winner]]=1,"Wealthier Nation Wins")</f>
        <v>Wealthier Nation Loses</v>
      </c>
    </row>
    <row r="4720" spans="1:17" x14ac:dyDescent="0.2">
      <c r="A4720" s="1">
        <v>6948</v>
      </c>
      <c r="B4720" s="2">
        <v>41810</v>
      </c>
      <c r="C4720" s="7">
        <f>_xlfn.FLOOR.MATH(Table1[[#This Row],[year]],10)</f>
        <v>2010</v>
      </c>
      <c r="D4720" t="s">
        <v>65</v>
      </c>
      <c r="E4720" t="s">
        <v>57</v>
      </c>
      <c r="F4720">
        <v>1</v>
      </c>
      <c r="G4720">
        <v>2</v>
      </c>
      <c r="H4720" t="s">
        <v>74</v>
      </c>
      <c r="I4720" t="s">
        <v>175</v>
      </c>
      <c r="J4720" t="s">
        <v>13</v>
      </c>
      <c r="K4720" t="b">
        <v>1</v>
      </c>
      <c r="L4720">
        <v>2014</v>
      </c>
      <c r="M4720">
        <v>19756533971</v>
      </c>
      <c r="N4720">
        <v>102717794000</v>
      </c>
      <c r="O4720" t="b">
        <v>1</v>
      </c>
      <c r="P4720">
        <v>1</v>
      </c>
      <c r="Q4720" t="str" cm="1">
        <f t="array" ref="Q4720">_xlfn.IFS(Table1[[#This Row],[Wealthier_Winner]]=-1,"Wealthier Nation Loses",Table1[[#This Row],[Wealthier_Winner]]=0,"Tie",Table1[[#This Row],[Wealthier_Winner]]=1,"Wealthier Nation Wins")</f>
        <v>Wealthier Nation Wins</v>
      </c>
    </row>
    <row r="4721" spans="1:17" x14ac:dyDescent="0.2">
      <c r="A4721" s="1">
        <v>6949</v>
      </c>
      <c r="B4721" s="2">
        <v>41810</v>
      </c>
      <c r="C4721" s="7">
        <f>_xlfn.FLOOR.MATH(Table1[[#This Row],[year]],10)</f>
        <v>2010</v>
      </c>
      <c r="D4721" t="s">
        <v>18</v>
      </c>
      <c r="E4721" t="s">
        <v>56</v>
      </c>
      <c r="F4721">
        <v>0</v>
      </c>
      <c r="G4721">
        <v>1</v>
      </c>
      <c r="H4721" t="s">
        <v>74</v>
      </c>
      <c r="I4721" t="s">
        <v>177</v>
      </c>
      <c r="J4721" t="s">
        <v>13</v>
      </c>
      <c r="K4721" t="b">
        <v>1</v>
      </c>
      <c r="L4721">
        <v>2014</v>
      </c>
      <c r="M4721">
        <v>2173255507985</v>
      </c>
      <c r="N4721">
        <v>52016408854</v>
      </c>
      <c r="O4721" t="b">
        <v>1</v>
      </c>
      <c r="P4721">
        <v>-1</v>
      </c>
      <c r="Q4721" t="str" cm="1">
        <f t="array" ref="Q4721">_xlfn.IFS(Table1[[#This Row],[Wealthier_Winner]]=-1,"Wealthier Nation Loses",Table1[[#This Row],[Wealthier_Winner]]=0,"Tie",Table1[[#This Row],[Wealthier_Winner]]=1,"Wealthier Nation Wins")</f>
        <v>Wealthier Nation Loses</v>
      </c>
    </row>
    <row r="4722" spans="1:17" x14ac:dyDescent="0.2">
      <c r="A4722" s="1">
        <v>6950</v>
      </c>
      <c r="B4722" s="2">
        <v>41810</v>
      </c>
      <c r="C4722" s="7">
        <f>_xlfn.FLOOR.MATH(Table1[[#This Row],[year]],10)</f>
        <v>2010</v>
      </c>
      <c r="D4722" t="s">
        <v>46</v>
      </c>
      <c r="E4722" t="s">
        <v>20</v>
      </c>
      <c r="F4722">
        <v>2</v>
      </c>
      <c r="G4722">
        <v>5</v>
      </c>
      <c r="H4722" t="s">
        <v>74</v>
      </c>
      <c r="I4722" t="s">
        <v>170</v>
      </c>
      <c r="J4722" t="s">
        <v>13</v>
      </c>
      <c r="K4722" t="b">
        <v>1</v>
      </c>
      <c r="L4722">
        <v>2014</v>
      </c>
      <c r="M4722">
        <v>726537808338</v>
      </c>
      <c r="N4722">
        <v>2861236112552</v>
      </c>
      <c r="O4722" t="b">
        <v>1</v>
      </c>
      <c r="P4722">
        <v>1</v>
      </c>
      <c r="Q4722" t="str" cm="1">
        <f t="array" ref="Q4722">_xlfn.IFS(Table1[[#This Row],[Wealthier_Winner]]=-1,"Wealthier Nation Loses",Table1[[#This Row],[Wealthier_Winner]]=0,"Tie",Table1[[#This Row],[Wealthier_Winner]]=1,"Wealthier Nation Wins")</f>
        <v>Wealthier Nation Wins</v>
      </c>
    </row>
    <row r="4723" spans="1:17" x14ac:dyDescent="0.2">
      <c r="A4723" s="1">
        <v>6951</v>
      </c>
      <c r="B4723" s="2">
        <v>41811</v>
      </c>
      <c r="C4723" s="7">
        <f>_xlfn.FLOOR.MATH(Table1[[#This Row],[year]],10)</f>
        <v>2010</v>
      </c>
      <c r="D4723" t="s">
        <v>19</v>
      </c>
      <c r="E4723" t="s">
        <v>210</v>
      </c>
      <c r="F4723">
        <v>1</v>
      </c>
      <c r="G4723">
        <v>0</v>
      </c>
      <c r="H4723" t="s">
        <v>74</v>
      </c>
      <c r="I4723" t="s">
        <v>171</v>
      </c>
      <c r="J4723" t="s">
        <v>13</v>
      </c>
      <c r="K4723" t="b">
        <v>1</v>
      </c>
      <c r="L4723">
        <v>2014</v>
      </c>
      <c r="M4723">
        <v>526319673731</v>
      </c>
      <c r="N4723">
        <v>462284793280</v>
      </c>
      <c r="O4723" t="b">
        <v>0</v>
      </c>
      <c r="P4723">
        <v>1</v>
      </c>
      <c r="Q4723" t="str" cm="1">
        <f t="array" ref="Q4723">_xlfn.IFS(Table1[[#This Row],[Wealthier_Winner]]=-1,"Wealthier Nation Loses",Table1[[#This Row],[Wealthier_Winner]]=0,"Tie",Table1[[#This Row],[Wealthier_Winner]]=1,"Wealthier Nation Wins")</f>
        <v>Wealthier Nation Wins</v>
      </c>
    </row>
    <row r="4724" spans="1:17" x14ac:dyDescent="0.2">
      <c r="A4724" s="1">
        <v>6952</v>
      </c>
      <c r="B4724" s="2">
        <v>41811</v>
      </c>
      <c r="C4724" s="7">
        <f>_xlfn.FLOOR.MATH(Table1[[#This Row],[year]],10)</f>
        <v>2010</v>
      </c>
      <c r="D4724" t="s">
        <v>16</v>
      </c>
      <c r="E4724" t="s">
        <v>63</v>
      </c>
      <c r="F4724">
        <v>2</v>
      </c>
      <c r="G4724">
        <v>2</v>
      </c>
      <c r="H4724" t="s">
        <v>74</v>
      </c>
      <c r="I4724" t="s">
        <v>172</v>
      </c>
      <c r="J4724" t="s">
        <v>13</v>
      </c>
      <c r="K4724" t="b">
        <v>1</v>
      </c>
      <c r="L4724">
        <v>2014</v>
      </c>
      <c r="M4724">
        <v>3964870735760</v>
      </c>
      <c r="N4724">
        <v>54678533805</v>
      </c>
      <c r="O4724" t="b">
        <v>1</v>
      </c>
      <c r="P4724">
        <v>0</v>
      </c>
      <c r="Q4724" t="str" cm="1">
        <f t="array" ref="Q4724">_xlfn.IFS(Table1[[#This Row],[Wealthier_Winner]]=-1,"Wealthier Nation Loses",Table1[[#This Row],[Wealthier_Winner]]=0,"Tie",Table1[[#This Row],[Wealthier_Winner]]=1,"Wealthier Nation Wins")</f>
        <v>Tie</v>
      </c>
    </row>
    <row r="4725" spans="1:17" x14ac:dyDescent="0.2">
      <c r="A4725" s="1">
        <v>6953</v>
      </c>
      <c r="B4725" s="2">
        <v>41811</v>
      </c>
      <c r="C4725" s="7">
        <f>_xlfn.FLOOR.MATH(Table1[[#This Row],[year]],10)</f>
        <v>2010</v>
      </c>
      <c r="D4725" t="s">
        <v>43</v>
      </c>
      <c r="E4725" t="s">
        <v>73</v>
      </c>
      <c r="F4725">
        <v>1</v>
      </c>
      <c r="G4725">
        <v>0</v>
      </c>
      <c r="H4725" t="s">
        <v>74</v>
      </c>
      <c r="I4725" t="s">
        <v>774</v>
      </c>
      <c r="J4725" t="s">
        <v>13</v>
      </c>
      <c r="K4725" t="b">
        <v>1</v>
      </c>
      <c r="L4725">
        <v>2014</v>
      </c>
      <c r="M4725">
        <v>574183763411</v>
      </c>
      <c r="N4725">
        <v>18558734107</v>
      </c>
      <c r="O4725" t="b">
        <v>1</v>
      </c>
      <c r="P4725">
        <v>1</v>
      </c>
      <c r="Q4725" t="str" cm="1">
        <f t="array" ref="Q4725">_xlfn.IFS(Table1[[#This Row],[Wealthier_Winner]]=-1,"Wealthier Nation Loses",Table1[[#This Row],[Wealthier_Winner]]=0,"Tie",Table1[[#This Row],[Wealthier_Winner]]=1,"Wealthier Nation Wins")</f>
        <v>Wealthier Nation Wins</v>
      </c>
    </row>
    <row r="4726" spans="1:17" x14ac:dyDescent="0.2">
      <c r="A4726" s="1">
        <v>6954</v>
      </c>
      <c r="B4726" s="2">
        <v>41812</v>
      </c>
      <c r="C4726" s="7">
        <f>_xlfn.FLOOR.MATH(Table1[[#This Row],[year]],10)</f>
        <v>2010</v>
      </c>
      <c r="D4726" t="s">
        <v>23</v>
      </c>
      <c r="E4726" t="s">
        <v>196</v>
      </c>
      <c r="F4726">
        <v>1</v>
      </c>
      <c r="G4726">
        <v>0</v>
      </c>
      <c r="H4726" t="s">
        <v>74</v>
      </c>
      <c r="I4726" t="s">
        <v>173</v>
      </c>
      <c r="J4726" t="s">
        <v>13</v>
      </c>
      <c r="K4726" t="b">
        <v>1</v>
      </c>
      <c r="L4726">
        <v>2014</v>
      </c>
      <c r="M4726">
        <v>537987419164</v>
      </c>
      <c r="N4726">
        <v>2059241589895</v>
      </c>
      <c r="O4726" t="b">
        <v>1</v>
      </c>
      <c r="P4726">
        <v>-1</v>
      </c>
      <c r="Q4726" t="str" cm="1">
        <f t="array" ref="Q4726">_xlfn.IFS(Table1[[#This Row],[Wealthier_Winner]]=-1,"Wealthier Nation Loses",Table1[[#This Row],[Wealthier_Winner]]=0,"Tie",Table1[[#This Row],[Wealthier_Winner]]=1,"Wealthier Nation Wins")</f>
        <v>Wealthier Nation Loses</v>
      </c>
    </row>
    <row r="4727" spans="1:17" x14ac:dyDescent="0.2">
      <c r="A4727" s="1">
        <v>6955</v>
      </c>
      <c r="B4727" s="2">
        <v>41812</v>
      </c>
      <c r="C4727" s="7">
        <f>_xlfn.FLOOR.MATH(Table1[[#This Row],[year]],10)</f>
        <v>2010</v>
      </c>
      <c r="D4727" t="s">
        <v>195</v>
      </c>
      <c r="E4727" t="s">
        <v>32</v>
      </c>
      <c r="F4727">
        <v>2</v>
      </c>
      <c r="G4727">
        <v>4</v>
      </c>
      <c r="H4727" t="s">
        <v>74</v>
      </c>
      <c r="I4727" t="s">
        <v>174</v>
      </c>
      <c r="J4727" t="s">
        <v>13</v>
      </c>
      <c r="K4727" t="b">
        <v>1</v>
      </c>
      <c r="L4727">
        <v>2014</v>
      </c>
      <c r="M4727">
        <v>1556252422020</v>
      </c>
      <c r="N4727">
        <v>238942664192</v>
      </c>
      <c r="O4727" t="b">
        <v>1</v>
      </c>
      <c r="P4727">
        <v>-1</v>
      </c>
      <c r="Q4727" t="str" cm="1">
        <f t="array" ref="Q4727">_xlfn.IFS(Table1[[#This Row],[Wealthier_Winner]]=-1,"Wealthier Nation Loses",Table1[[#This Row],[Wealthier_Winner]]=0,"Tie",Table1[[#This Row],[Wealthier_Winner]]=1,"Wealthier Nation Wins")</f>
        <v>Wealthier Nation Loses</v>
      </c>
    </row>
    <row r="4728" spans="1:17" x14ac:dyDescent="0.2">
      <c r="A4728" s="1">
        <v>6956</v>
      </c>
      <c r="B4728" s="2">
        <v>41812</v>
      </c>
      <c r="C4728" s="7">
        <f>_xlfn.FLOOR.MATH(Table1[[#This Row],[year]],10)</f>
        <v>2010</v>
      </c>
      <c r="D4728" t="s">
        <v>41</v>
      </c>
      <c r="E4728" t="s">
        <v>38</v>
      </c>
      <c r="F4728">
        <v>2</v>
      </c>
      <c r="G4728">
        <v>2</v>
      </c>
      <c r="H4728" t="s">
        <v>74</v>
      </c>
      <c r="I4728" t="s">
        <v>176</v>
      </c>
      <c r="J4728" t="s">
        <v>13</v>
      </c>
      <c r="K4728" t="b">
        <v>1</v>
      </c>
      <c r="L4728">
        <v>2014</v>
      </c>
      <c r="M4728">
        <v>17550680174000</v>
      </c>
      <c r="N4728">
        <v>230078616299</v>
      </c>
      <c r="O4728" t="b">
        <v>1</v>
      </c>
      <c r="P4728">
        <v>0</v>
      </c>
      <c r="Q4728" t="str" cm="1">
        <f t="array" ref="Q4728">_xlfn.IFS(Table1[[#This Row],[Wealthier_Winner]]=-1,"Wealthier Nation Loses",Table1[[#This Row],[Wealthier_Winner]]=0,"Tie",Table1[[#This Row],[Wealthier_Winner]]=1,"Wealthier Nation Wins")</f>
        <v>Tie</v>
      </c>
    </row>
    <row r="4729" spans="1:17" x14ac:dyDescent="0.2">
      <c r="A4729" s="1">
        <v>6957</v>
      </c>
      <c r="B4729" s="2">
        <v>41813</v>
      </c>
      <c r="C4729" s="7">
        <f>_xlfn.FLOOR.MATH(Table1[[#This Row],[year]],10)</f>
        <v>2010</v>
      </c>
      <c r="D4729" t="s">
        <v>28</v>
      </c>
      <c r="E4729" t="s">
        <v>21</v>
      </c>
      <c r="F4729">
        <v>0</v>
      </c>
      <c r="G4729">
        <v>3</v>
      </c>
      <c r="H4729" t="s">
        <v>74</v>
      </c>
      <c r="I4729" t="s">
        <v>175</v>
      </c>
      <c r="J4729" t="s">
        <v>13</v>
      </c>
      <c r="K4729" t="b">
        <v>1</v>
      </c>
      <c r="L4729">
        <v>2014</v>
      </c>
      <c r="M4729">
        <v>1474677007565</v>
      </c>
      <c r="N4729">
        <v>1380244561361</v>
      </c>
      <c r="O4729" t="b">
        <v>0</v>
      </c>
      <c r="P4729">
        <v>-1</v>
      </c>
      <c r="Q4729" t="str" cm="1">
        <f t="array" ref="Q4729">_xlfn.IFS(Table1[[#This Row],[Wealthier_Winner]]=-1,"Wealthier Nation Loses",Table1[[#This Row],[Wealthier_Winner]]=0,"Tie",Table1[[#This Row],[Wealthier_Winner]]=1,"Wealthier Nation Wins")</f>
        <v>Wealthier Nation Loses</v>
      </c>
    </row>
    <row r="4730" spans="1:17" x14ac:dyDescent="0.2">
      <c r="A4730" s="1">
        <v>6958</v>
      </c>
      <c r="B4730" s="2">
        <v>41813</v>
      </c>
      <c r="C4730" s="7">
        <f>_xlfn.FLOOR.MATH(Table1[[#This Row],[year]],10)</f>
        <v>2010</v>
      </c>
      <c r="D4730" t="s">
        <v>13</v>
      </c>
      <c r="E4730" t="s">
        <v>40</v>
      </c>
      <c r="F4730">
        <v>4</v>
      </c>
      <c r="G4730">
        <v>1</v>
      </c>
      <c r="H4730" t="s">
        <v>74</v>
      </c>
      <c r="I4730" t="s">
        <v>679</v>
      </c>
      <c r="J4730" t="s">
        <v>13</v>
      </c>
      <c r="K4730" t="b">
        <v>0</v>
      </c>
      <c r="L4730">
        <v>2014</v>
      </c>
      <c r="M4730">
        <v>2456043766032</v>
      </c>
      <c r="N4730">
        <v>36386544706</v>
      </c>
      <c r="O4730" t="b">
        <v>1</v>
      </c>
      <c r="P4730">
        <v>1</v>
      </c>
      <c r="Q4730" t="str" cm="1">
        <f t="array" ref="Q4730">_xlfn.IFS(Table1[[#This Row],[Wealthier_Winner]]=-1,"Wealthier Nation Loses",Table1[[#This Row],[Wealthier_Winner]]=0,"Tie",Table1[[#This Row],[Wealthier_Winner]]=1,"Wealthier Nation Wins")</f>
        <v>Wealthier Nation Wins</v>
      </c>
    </row>
    <row r="4731" spans="1:17" x14ac:dyDescent="0.2">
      <c r="A4731" s="1">
        <v>6959</v>
      </c>
      <c r="B4731" s="2">
        <v>41813</v>
      </c>
      <c r="C4731" s="7">
        <f>_xlfn.FLOOR.MATH(Table1[[#This Row],[year]],10)</f>
        <v>2010</v>
      </c>
      <c r="D4731" t="s">
        <v>52</v>
      </c>
      <c r="E4731" t="s">
        <v>17</v>
      </c>
      <c r="F4731">
        <v>1</v>
      </c>
      <c r="G4731">
        <v>3</v>
      </c>
      <c r="H4731" t="s">
        <v>74</v>
      </c>
      <c r="I4731" t="s">
        <v>177</v>
      </c>
      <c r="J4731" t="s">
        <v>13</v>
      </c>
      <c r="K4731" t="b">
        <v>1</v>
      </c>
      <c r="L4731">
        <v>2014</v>
      </c>
      <c r="M4731">
        <v>59606934500</v>
      </c>
      <c r="N4731">
        <v>1364507717614</v>
      </c>
      <c r="O4731" t="b">
        <v>1</v>
      </c>
      <c r="P4731">
        <v>1</v>
      </c>
      <c r="Q4731" t="str" cm="1">
        <f t="array" ref="Q4731">_xlfn.IFS(Table1[[#This Row],[Wealthier_Winner]]=-1,"Wealthier Nation Loses",Table1[[#This Row],[Wealthier_Winner]]=0,"Tie",Table1[[#This Row],[Wealthier_Winner]]=1,"Wealthier Nation Wins")</f>
        <v>Wealthier Nation Wins</v>
      </c>
    </row>
    <row r="4732" spans="1:17" x14ac:dyDescent="0.2">
      <c r="A4732" s="1">
        <v>6960</v>
      </c>
      <c r="B4732" s="2">
        <v>41813</v>
      </c>
      <c r="C4732" s="7">
        <f>_xlfn.FLOOR.MATH(Table1[[#This Row],[year]],10)</f>
        <v>2010</v>
      </c>
      <c r="D4732" t="s">
        <v>27</v>
      </c>
      <c r="E4732" t="s">
        <v>14</v>
      </c>
      <c r="F4732">
        <v>2</v>
      </c>
      <c r="G4732">
        <v>0</v>
      </c>
      <c r="H4732" t="s">
        <v>74</v>
      </c>
      <c r="I4732" t="s">
        <v>417</v>
      </c>
      <c r="J4732" t="s">
        <v>13</v>
      </c>
      <c r="K4732" t="b">
        <v>1</v>
      </c>
      <c r="L4732">
        <v>2014</v>
      </c>
      <c r="M4732">
        <v>901556501756</v>
      </c>
      <c r="N4732">
        <v>259560978224</v>
      </c>
      <c r="O4732" t="b">
        <v>1</v>
      </c>
      <c r="P4732">
        <v>1</v>
      </c>
      <c r="Q4732" t="str" cm="1">
        <f t="array" ref="Q4732">_xlfn.IFS(Table1[[#This Row],[Wealthier_Winner]]=-1,"Wealthier Nation Loses",Table1[[#This Row],[Wealthier_Winner]]=0,"Tie",Table1[[#This Row],[Wealthier_Winner]]=1,"Wealthier Nation Wins")</f>
        <v>Wealthier Nation Wins</v>
      </c>
    </row>
    <row r="4733" spans="1:17" x14ac:dyDescent="0.2">
      <c r="A4733" s="1">
        <v>6961</v>
      </c>
      <c r="B4733" s="2">
        <v>41814</v>
      </c>
      <c r="C4733" s="7">
        <f>_xlfn.FLOOR.MATH(Table1[[#This Row],[year]],10)</f>
        <v>2010</v>
      </c>
      <c r="D4733" t="s">
        <v>56</v>
      </c>
      <c r="E4733" t="s">
        <v>194</v>
      </c>
      <c r="F4733">
        <v>0</v>
      </c>
      <c r="G4733">
        <v>0</v>
      </c>
      <c r="H4733" t="s">
        <v>74</v>
      </c>
      <c r="I4733" t="s">
        <v>171</v>
      </c>
      <c r="J4733" t="s">
        <v>13</v>
      </c>
      <c r="K4733" t="b">
        <v>1</v>
      </c>
      <c r="L4733">
        <v>2014</v>
      </c>
      <c r="M4733">
        <v>52016408854</v>
      </c>
      <c r="N4733">
        <v>3085362169410</v>
      </c>
      <c r="O4733" t="b">
        <v>1</v>
      </c>
      <c r="P4733">
        <v>0</v>
      </c>
      <c r="Q4733" t="str" cm="1">
        <f t="array" ref="Q4733">_xlfn.IFS(Table1[[#This Row],[Wealthier_Winner]]=-1,"Wealthier Nation Loses",Table1[[#This Row],[Wealthier_Winner]]=0,"Tie",Table1[[#This Row],[Wealthier_Winner]]=1,"Wealthier Nation Wins")</f>
        <v>Tie</v>
      </c>
    </row>
    <row r="4734" spans="1:17" x14ac:dyDescent="0.2">
      <c r="A4734" s="1">
        <v>6963</v>
      </c>
      <c r="B4734" s="2">
        <v>41814</v>
      </c>
      <c r="C4734" s="7">
        <f>_xlfn.FLOOR.MATH(Table1[[#This Row],[year]],10)</f>
        <v>2010</v>
      </c>
      <c r="D4734" t="s">
        <v>18</v>
      </c>
      <c r="E4734" t="s">
        <v>26</v>
      </c>
      <c r="F4734">
        <v>0</v>
      </c>
      <c r="G4734">
        <v>1</v>
      </c>
      <c r="H4734" t="s">
        <v>74</v>
      </c>
      <c r="I4734" t="s">
        <v>169</v>
      </c>
      <c r="J4734" t="s">
        <v>13</v>
      </c>
      <c r="K4734" t="b">
        <v>1</v>
      </c>
      <c r="L4734">
        <v>2014</v>
      </c>
      <c r="M4734">
        <v>2173255507985</v>
      </c>
      <c r="N4734">
        <v>61496186973</v>
      </c>
      <c r="O4734" t="b">
        <v>1</v>
      </c>
      <c r="P4734">
        <v>-1</v>
      </c>
      <c r="Q4734" t="str" cm="1">
        <f t="array" ref="Q4734">_xlfn.IFS(Table1[[#This Row],[Wealthier_Winner]]=-1,"Wealthier Nation Loses",Table1[[#This Row],[Wealthier_Winner]]=0,"Tie",Table1[[#This Row],[Wealthier_Winner]]=1,"Wealthier Nation Wins")</f>
        <v>Wealthier Nation Loses</v>
      </c>
    </row>
    <row r="4735" spans="1:17" x14ac:dyDescent="0.2">
      <c r="A4735" s="1">
        <v>6964</v>
      </c>
      <c r="B4735" s="2">
        <v>41814</v>
      </c>
      <c r="C4735" s="7">
        <f>_xlfn.FLOOR.MATH(Table1[[#This Row],[year]],10)</f>
        <v>2010</v>
      </c>
      <c r="D4735" t="s">
        <v>51</v>
      </c>
      <c r="E4735" t="s">
        <v>15</v>
      </c>
      <c r="F4735">
        <v>1</v>
      </c>
      <c r="G4735">
        <v>4</v>
      </c>
      <c r="H4735" t="s">
        <v>74</v>
      </c>
      <c r="I4735" t="s">
        <v>774</v>
      </c>
      <c r="J4735" t="s">
        <v>13</v>
      </c>
      <c r="K4735" t="b">
        <v>1</v>
      </c>
      <c r="L4735">
        <v>2014</v>
      </c>
      <c r="M4735">
        <v>4896994405353</v>
      </c>
      <c r="N4735">
        <v>381240864422</v>
      </c>
      <c r="O4735" t="b">
        <v>1</v>
      </c>
      <c r="P4735">
        <v>-1</v>
      </c>
      <c r="Q4735" t="str" cm="1">
        <f t="array" ref="Q4735">_xlfn.IFS(Table1[[#This Row],[Wealthier_Winner]]=-1,"Wealthier Nation Loses",Table1[[#This Row],[Wealthier_Winner]]=0,"Tie",Table1[[#This Row],[Wealthier_Winner]]=1,"Wealthier Nation Wins")</f>
        <v>Wealthier Nation Loses</v>
      </c>
    </row>
    <row r="4736" spans="1:17" x14ac:dyDescent="0.2">
      <c r="A4736" s="1">
        <v>6965</v>
      </c>
      <c r="B4736" s="2">
        <v>41815</v>
      </c>
      <c r="C4736" s="7">
        <f>_xlfn.FLOOR.MATH(Table1[[#This Row],[year]],10)</f>
        <v>2010</v>
      </c>
      <c r="D4736" t="s">
        <v>73</v>
      </c>
      <c r="E4736" t="s">
        <v>210</v>
      </c>
      <c r="F4736">
        <v>3</v>
      </c>
      <c r="G4736">
        <v>1</v>
      </c>
      <c r="H4736" t="s">
        <v>74</v>
      </c>
      <c r="I4736" t="s">
        <v>170</v>
      </c>
      <c r="J4736" t="s">
        <v>13</v>
      </c>
      <c r="K4736" t="b">
        <v>1</v>
      </c>
      <c r="L4736">
        <v>2014</v>
      </c>
      <c r="M4736">
        <v>18558734107</v>
      </c>
      <c r="N4736">
        <v>462284793280</v>
      </c>
      <c r="O4736" t="b">
        <v>1</v>
      </c>
      <c r="P4736">
        <v>-1</v>
      </c>
      <c r="Q4736" t="str" cm="1">
        <f t="array" ref="Q4736">_xlfn.IFS(Table1[[#This Row],[Wealthier_Winner]]=-1,"Wealthier Nation Loses",Table1[[#This Row],[Wealthier_Winner]]=0,"Tie",Table1[[#This Row],[Wealthier_Winner]]=1,"Wealthier Nation Wins")</f>
        <v>Wealthier Nation Loses</v>
      </c>
    </row>
    <row r="4737" spans="1:17" x14ac:dyDescent="0.2">
      <c r="A4737" s="1">
        <v>6966</v>
      </c>
      <c r="B4737" s="2">
        <v>41815</v>
      </c>
      <c r="C4737" s="7">
        <f>_xlfn.FLOOR.MATH(Table1[[#This Row],[year]],10)</f>
        <v>2010</v>
      </c>
      <c r="D4737" t="s">
        <v>57</v>
      </c>
      <c r="E4737" t="s">
        <v>20</v>
      </c>
      <c r="F4737">
        <v>0</v>
      </c>
      <c r="G4737">
        <v>0</v>
      </c>
      <c r="H4737" t="s">
        <v>74</v>
      </c>
      <c r="I4737" t="s">
        <v>173</v>
      </c>
      <c r="J4737" t="s">
        <v>13</v>
      </c>
      <c r="K4737" t="b">
        <v>1</v>
      </c>
      <c r="L4737">
        <v>2014</v>
      </c>
      <c r="M4737">
        <v>102717794000</v>
      </c>
      <c r="N4737">
        <v>2861236112552</v>
      </c>
      <c r="O4737" t="b">
        <v>1</v>
      </c>
      <c r="P4737">
        <v>0</v>
      </c>
      <c r="Q4737" t="str" cm="1">
        <f t="array" ref="Q4737">_xlfn.IFS(Table1[[#This Row],[Wealthier_Winner]]=-1,"Wealthier Nation Loses",Table1[[#This Row],[Wealthier_Winner]]=0,"Tie",Table1[[#This Row],[Wealthier_Winner]]=1,"Wealthier Nation Wins")</f>
        <v>Tie</v>
      </c>
    </row>
    <row r="4738" spans="1:17" x14ac:dyDescent="0.2">
      <c r="A4738" s="1">
        <v>6967</v>
      </c>
      <c r="B4738" s="2">
        <v>41815</v>
      </c>
      <c r="C4738" s="7">
        <f>_xlfn.FLOOR.MATH(Table1[[#This Row],[year]],10)</f>
        <v>2010</v>
      </c>
      <c r="D4738" t="s">
        <v>65</v>
      </c>
      <c r="E4738" t="s">
        <v>46</v>
      </c>
      <c r="F4738">
        <v>0</v>
      </c>
      <c r="G4738">
        <v>3</v>
      </c>
      <c r="H4738" t="s">
        <v>74</v>
      </c>
      <c r="I4738" t="s">
        <v>176</v>
      </c>
      <c r="J4738" t="s">
        <v>13</v>
      </c>
      <c r="K4738" t="b">
        <v>1</v>
      </c>
      <c r="L4738">
        <v>2014</v>
      </c>
      <c r="M4738">
        <v>19756533971</v>
      </c>
      <c r="N4738">
        <v>726537808338</v>
      </c>
      <c r="O4738" t="b">
        <v>1</v>
      </c>
      <c r="P4738">
        <v>1</v>
      </c>
      <c r="Q4738" t="str" cm="1">
        <f t="array" ref="Q4738">_xlfn.IFS(Table1[[#This Row],[Wealthier_Winner]]=-1,"Wealthier Nation Loses",Table1[[#This Row],[Wealthier_Winner]]=0,"Tie",Table1[[#This Row],[Wealthier_Winner]]=1,"Wealthier Nation Wins")</f>
        <v>Wealthier Nation Wins</v>
      </c>
    </row>
    <row r="4739" spans="1:17" x14ac:dyDescent="0.2">
      <c r="A4739" s="1">
        <v>6968</v>
      </c>
      <c r="B4739" s="2">
        <v>41815</v>
      </c>
      <c r="C4739" s="7">
        <f>_xlfn.FLOOR.MATH(Table1[[#This Row],[year]],10)</f>
        <v>2010</v>
      </c>
      <c r="D4739" t="s">
        <v>43</v>
      </c>
      <c r="E4739" t="s">
        <v>19</v>
      </c>
      <c r="F4739">
        <v>2</v>
      </c>
      <c r="G4739">
        <v>3</v>
      </c>
      <c r="H4739" t="s">
        <v>74</v>
      </c>
      <c r="I4739" t="s">
        <v>174</v>
      </c>
      <c r="J4739" t="s">
        <v>13</v>
      </c>
      <c r="K4739" t="b">
        <v>1</v>
      </c>
      <c r="L4739">
        <v>2014</v>
      </c>
      <c r="M4739">
        <v>574183763411</v>
      </c>
      <c r="N4739">
        <v>526319673731</v>
      </c>
      <c r="O4739" t="b">
        <v>0</v>
      </c>
      <c r="P4739">
        <v>-1</v>
      </c>
      <c r="Q4739" t="str" cm="1">
        <f t="array" ref="Q4739">_xlfn.IFS(Table1[[#This Row],[Wealthier_Winner]]=-1,"Wealthier Nation Loses",Table1[[#This Row],[Wealthier_Winner]]=0,"Tie",Table1[[#This Row],[Wealthier_Winner]]=1,"Wealthier Nation Wins")</f>
        <v>Wealthier Nation Loses</v>
      </c>
    </row>
    <row r="4740" spans="1:17" x14ac:dyDescent="0.2">
      <c r="A4740" s="1">
        <v>6969</v>
      </c>
      <c r="B4740" s="2">
        <v>41816</v>
      </c>
      <c r="C4740" s="7">
        <f>_xlfn.FLOOR.MATH(Table1[[#This Row],[year]],10)</f>
        <v>2010</v>
      </c>
      <c r="D4740" t="s">
        <v>32</v>
      </c>
      <c r="E4740" t="s">
        <v>196</v>
      </c>
      <c r="F4740">
        <v>1</v>
      </c>
      <c r="G4740">
        <v>1</v>
      </c>
      <c r="H4740" t="s">
        <v>74</v>
      </c>
      <c r="I4740" t="s">
        <v>175</v>
      </c>
      <c r="J4740" t="s">
        <v>13</v>
      </c>
      <c r="K4740" t="b">
        <v>1</v>
      </c>
      <c r="L4740">
        <v>2014</v>
      </c>
      <c r="M4740">
        <v>238942664192</v>
      </c>
      <c r="N4740">
        <v>2059241589895</v>
      </c>
      <c r="O4740" t="b">
        <v>1</v>
      </c>
      <c r="P4740">
        <v>0</v>
      </c>
      <c r="Q4740" t="str" cm="1">
        <f t="array" ref="Q4740">_xlfn.IFS(Table1[[#This Row],[Wealthier_Winner]]=-1,"Wealthier Nation Loses",Table1[[#This Row],[Wealthier_Winner]]=0,"Tie",Table1[[#This Row],[Wealthier_Winner]]=1,"Wealthier Nation Wins")</f>
        <v>Tie</v>
      </c>
    </row>
    <row r="4741" spans="1:17" x14ac:dyDescent="0.2">
      <c r="A4741" s="1">
        <v>6970</v>
      </c>
      <c r="B4741" s="2">
        <v>41816</v>
      </c>
      <c r="C4741" s="7">
        <f>_xlfn.FLOOR.MATH(Table1[[#This Row],[year]],10)</f>
        <v>2010</v>
      </c>
      <c r="D4741" t="s">
        <v>195</v>
      </c>
      <c r="E4741" t="s">
        <v>23</v>
      </c>
      <c r="F4741">
        <v>0</v>
      </c>
      <c r="G4741">
        <v>1</v>
      </c>
      <c r="H4741" t="s">
        <v>74</v>
      </c>
      <c r="I4741" t="s">
        <v>417</v>
      </c>
      <c r="J4741" t="s">
        <v>13</v>
      </c>
      <c r="K4741" t="b">
        <v>1</v>
      </c>
      <c r="L4741">
        <v>2014</v>
      </c>
      <c r="M4741">
        <v>1556252422020</v>
      </c>
      <c r="N4741">
        <v>537987419164</v>
      </c>
      <c r="O4741" t="b">
        <v>1</v>
      </c>
      <c r="P4741">
        <v>-1</v>
      </c>
      <c r="Q4741" t="str" cm="1">
        <f t="array" ref="Q4741">_xlfn.IFS(Table1[[#This Row],[Wealthier_Winner]]=-1,"Wealthier Nation Loses",Table1[[#This Row],[Wealthier_Winner]]=0,"Tie",Table1[[#This Row],[Wealthier_Winner]]=1,"Wealthier Nation Wins")</f>
        <v>Wealthier Nation Loses</v>
      </c>
    </row>
    <row r="4742" spans="1:17" x14ac:dyDescent="0.2">
      <c r="A4742" s="1">
        <v>6971</v>
      </c>
      <c r="B4742" s="2">
        <v>41816</v>
      </c>
      <c r="C4742" s="7">
        <f>_xlfn.FLOOR.MATH(Table1[[#This Row],[year]],10)</f>
        <v>2010</v>
      </c>
      <c r="D4742" t="s">
        <v>38</v>
      </c>
      <c r="E4742" t="s">
        <v>63</v>
      </c>
      <c r="F4742">
        <v>2</v>
      </c>
      <c r="G4742">
        <v>1</v>
      </c>
      <c r="H4742" t="s">
        <v>74</v>
      </c>
      <c r="I4742" t="s">
        <v>679</v>
      </c>
      <c r="J4742" t="s">
        <v>13</v>
      </c>
      <c r="K4742" t="b">
        <v>1</v>
      </c>
      <c r="L4742">
        <v>2014</v>
      </c>
      <c r="M4742">
        <v>230078616299</v>
      </c>
      <c r="N4742">
        <v>54678533805</v>
      </c>
      <c r="O4742" t="b">
        <v>1</v>
      </c>
      <c r="P4742">
        <v>1</v>
      </c>
      <c r="Q4742" t="str" cm="1">
        <f t="array" ref="Q4742">_xlfn.IFS(Table1[[#This Row],[Wealthier_Winner]]=-1,"Wealthier Nation Loses",Table1[[#This Row],[Wealthier_Winner]]=0,"Tie",Table1[[#This Row],[Wealthier_Winner]]=1,"Wealthier Nation Wins")</f>
        <v>Wealthier Nation Wins</v>
      </c>
    </row>
    <row r="4743" spans="1:17" x14ac:dyDescent="0.2">
      <c r="A4743" s="1">
        <v>6972</v>
      </c>
      <c r="B4743" s="2">
        <v>41816</v>
      </c>
      <c r="C4743" s="7">
        <f>_xlfn.FLOOR.MATH(Table1[[#This Row],[year]],10)</f>
        <v>2010</v>
      </c>
      <c r="D4743" t="s">
        <v>41</v>
      </c>
      <c r="E4743" t="s">
        <v>16</v>
      </c>
      <c r="F4743">
        <v>0</v>
      </c>
      <c r="G4743">
        <v>1</v>
      </c>
      <c r="H4743" t="s">
        <v>74</v>
      </c>
      <c r="I4743" t="s">
        <v>177</v>
      </c>
      <c r="J4743" t="s">
        <v>13</v>
      </c>
      <c r="K4743" t="b">
        <v>1</v>
      </c>
      <c r="L4743">
        <v>2014</v>
      </c>
      <c r="M4743">
        <v>17550680174000</v>
      </c>
      <c r="N4743">
        <v>3964870735760</v>
      </c>
      <c r="O4743" t="b">
        <v>1</v>
      </c>
      <c r="P4743">
        <v>-1</v>
      </c>
      <c r="Q4743" t="str" cm="1">
        <f t="array" ref="Q4743">_xlfn.IFS(Table1[[#This Row],[Wealthier_Winner]]=-1,"Wealthier Nation Loses",Table1[[#This Row],[Wealthier_Winner]]=0,"Tie",Table1[[#This Row],[Wealthier_Winner]]=1,"Wealthier Nation Wins")</f>
        <v>Wealthier Nation Loses</v>
      </c>
    </row>
    <row r="4744" spans="1:17" x14ac:dyDescent="0.2">
      <c r="A4744" s="1">
        <v>6973</v>
      </c>
      <c r="B4744" s="2">
        <v>41818</v>
      </c>
      <c r="C4744" s="7">
        <f>_xlfn.FLOOR.MATH(Table1[[#This Row],[year]],10)</f>
        <v>2010</v>
      </c>
      <c r="D4744" t="s">
        <v>13</v>
      </c>
      <c r="E4744" t="s">
        <v>14</v>
      </c>
      <c r="F4744">
        <v>1</v>
      </c>
      <c r="G4744">
        <v>1</v>
      </c>
      <c r="H4744" t="s">
        <v>74</v>
      </c>
      <c r="I4744" t="s">
        <v>171</v>
      </c>
      <c r="J4744" t="s">
        <v>13</v>
      </c>
      <c r="K4744" t="b">
        <v>0</v>
      </c>
      <c r="L4744">
        <v>2014</v>
      </c>
      <c r="M4744">
        <v>2456043766032</v>
      </c>
      <c r="N4744">
        <v>259560978224</v>
      </c>
      <c r="O4744" t="b">
        <v>1</v>
      </c>
      <c r="P4744">
        <v>0</v>
      </c>
      <c r="Q4744" t="str" cm="1">
        <f t="array" ref="Q4744">_xlfn.IFS(Table1[[#This Row],[Wealthier_Winner]]=-1,"Wealthier Nation Loses",Table1[[#This Row],[Wealthier_Winner]]=0,"Tie",Table1[[#This Row],[Wealthier_Winner]]=1,"Wealthier Nation Wins")</f>
        <v>Tie</v>
      </c>
    </row>
    <row r="4745" spans="1:17" x14ac:dyDescent="0.2">
      <c r="A4745" s="1">
        <v>6974</v>
      </c>
      <c r="B4745" s="2">
        <v>41818</v>
      </c>
      <c r="C4745" s="7">
        <f>_xlfn.FLOOR.MATH(Table1[[#This Row],[year]],10)</f>
        <v>2010</v>
      </c>
      <c r="D4745" t="s">
        <v>15</v>
      </c>
      <c r="E4745" t="s">
        <v>26</v>
      </c>
      <c r="F4745">
        <v>2</v>
      </c>
      <c r="G4745">
        <v>0</v>
      </c>
      <c r="H4745" t="s">
        <v>74</v>
      </c>
      <c r="I4745" t="s">
        <v>173</v>
      </c>
      <c r="J4745" t="s">
        <v>13</v>
      </c>
      <c r="K4745" t="b">
        <v>1</v>
      </c>
      <c r="L4745">
        <v>2014</v>
      </c>
      <c r="M4745">
        <v>381240864422</v>
      </c>
      <c r="N4745">
        <v>61496186973</v>
      </c>
      <c r="O4745" t="b">
        <v>1</v>
      </c>
      <c r="P4745">
        <v>1</v>
      </c>
      <c r="Q4745" t="str" cm="1">
        <f t="array" ref="Q4745">_xlfn.IFS(Table1[[#This Row],[Wealthier_Winner]]=-1,"Wealthier Nation Loses",Table1[[#This Row],[Wealthier_Winner]]=0,"Tie",Table1[[#This Row],[Wealthier_Winner]]=1,"Wealthier Nation Wins")</f>
        <v>Wealthier Nation Wins</v>
      </c>
    </row>
    <row r="4746" spans="1:17" x14ac:dyDescent="0.2">
      <c r="A4746" s="1">
        <v>6975</v>
      </c>
      <c r="B4746" s="2">
        <v>41819</v>
      </c>
      <c r="C4746" s="7">
        <f>_xlfn.FLOOR.MATH(Table1[[#This Row],[year]],10)</f>
        <v>2010</v>
      </c>
      <c r="D4746" t="s">
        <v>56</v>
      </c>
      <c r="E4746" t="s">
        <v>48</v>
      </c>
      <c r="F4746">
        <v>1</v>
      </c>
      <c r="G4746">
        <v>1</v>
      </c>
      <c r="H4746" t="s">
        <v>74</v>
      </c>
      <c r="I4746" t="s">
        <v>177</v>
      </c>
      <c r="J4746" t="s">
        <v>13</v>
      </c>
      <c r="K4746" t="b">
        <v>1</v>
      </c>
      <c r="L4746">
        <v>2014</v>
      </c>
      <c r="M4746">
        <v>52016408854</v>
      </c>
      <c r="N4746">
        <v>233911581521</v>
      </c>
      <c r="O4746" t="b">
        <v>1</v>
      </c>
      <c r="P4746">
        <v>0</v>
      </c>
      <c r="Q4746" t="str" cm="1">
        <f t="array" ref="Q4746">_xlfn.IFS(Table1[[#This Row],[Wealthier_Winner]]=-1,"Wealthier Nation Loses",Table1[[#This Row],[Wealthier_Winner]]=0,"Tie",Table1[[#This Row],[Wealthier_Winner]]=1,"Wealthier Nation Wins")</f>
        <v>Tie</v>
      </c>
    </row>
    <row r="4747" spans="1:17" x14ac:dyDescent="0.2">
      <c r="A4747" s="1">
        <v>6976</v>
      </c>
      <c r="B4747" s="2">
        <v>41819</v>
      </c>
      <c r="C4747" s="7">
        <f>_xlfn.FLOOR.MATH(Table1[[#This Row],[year]],10)</f>
        <v>2010</v>
      </c>
      <c r="D4747" t="s">
        <v>27</v>
      </c>
      <c r="E4747" t="s">
        <v>17</v>
      </c>
      <c r="F4747">
        <v>2</v>
      </c>
      <c r="G4747">
        <v>1</v>
      </c>
      <c r="H4747" t="s">
        <v>74</v>
      </c>
      <c r="I4747" t="s">
        <v>172</v>
      </c>
      <c r="J4747" t="s">
        <v>13</v>
      </c>
      <c r="K4747" t="b">
        <v>1</v>
      </c>
      <c r="L4747">
        <v>2014</v>
      </c>
      <c r="M4747">
        <v>901556501756</v>
      </c>
      <c r="N4747">
        <v>1364507717614</v>
      </c>
      <c r="O4747" t="b">
        <v>0</v>
      </c>
      <c r="P4747">
        <v>-1</v>
      </c>
      <c r="Q4747" t="str" cm="1">
        <f t="array" ref="Q4747">_xlfn.IFS(Table1[[#This Row],[Wealthier_Winner]]=-1,"Wealthier Nation Loses",Table1[[#This Row],[Wealthier_Winner]]=0,"Tie",Table1[[#This Row],[Wealthier_Winner]]=1,"Wealthier Nation Wins")</f>
        <v>Wealthier Nation Loses</v>
      </c>
    </row>
    <row r="4748" spans="1:17" x14ac:dyDescent="0.2">
      <c r="A4748" s="1">
        <v>6977</v>
      </c>
      <c r="B4748" s="2">
        <v>41820</v>
      </c>
      <c r="C4748" s="7">
        <f>_xlfn.FLOOR.MATH(Table1[[#This Row],[year]],10)</f>
        <v>2010</v>
      </c>
      <c r="D4748" t="s">
        <v>20</v>
      </c>
      <c r="E4748" t="s">
        <v>43</v>
      </c>
      <c r="F4748">
        <v>2</v>
      </c>
      <c r="G4748">
        <v>0</v>
      </c>
      <c r="H4748" t="s">
        <v>74</v>
      </c>
      <c r="I4748" t="s">
        <v>679</v>
      </c>
      <c r="J4748" t="s">
        <v>13</v>
      </c>
      <c r="K4748" t="b">
        <v>1</v>
      </c>
      <c r="L4748">
        <v>2014</v>
      </c>
      <c r="M4748">
        <v>2861236112552</v>
      </c>
      <c r="N4748">
        <v>574183763411</v>
      </c>
      <c r="O4748" t="b">
        <v>1</v>
      </c>
      <c r="P4748">
        <v>1</v>
      </c>
      <c r="Q4748" t="str" cm="1">
        <f t="array" ref="Q4748">_xlfn.IFS(Table1[[#This Row],[Wealthier_Winner]]=-1,"Wealthier Nation Loses",Table1[[#This Row],[Wealthier_Winner]]=0,"Tie",Table1[[#This Row],[Wealthier_Winner]]=1,"Wealthier Nation Wins")</f>
        <v>Wealthier Nation Wins</v>
      </c>
    </row>
    <row r="4749" spans="1:17" x14ac:dyDescent="0.2">
      <c r="A4749" s="1">
        <v>6978</v>
      </c>
      <c r="B4749" s="2">
        <v>41820</v>
      </c>
      <c r="C4749" s="7">
        <f>_xlfn.FLOOR.MATH(Table1[[#This Row],[year]],10)</f>
        <v>2010</v>
      </c>
      <c r="D4749" t="s">
        <v>16</v>
      </c>
      <c r="E4749" t="s">
        <v>32</v>
      </c>
      <c r="F4749">
        <v>2</v>
      </c>
      <c r="G4749">
        <v>1</v>
      </c>
      <c r="H4749" t="s">
        <v>74</v>
      </c>
      <c r="I4749" t="s">
        <v>174</v>
      </c>
      <c r="J4749" t="s">
        <v>13</v>
      </c>
      <c r="K4749" t="b">
        <v>1</v>
      </c>
      <c r="L4749">
        <v>2014</v>
      </c>
      <c r="M4749">
        <v>3964870735760</v>
      </c>
      <c r="N4749">
        <v>238942664192</v>
      </c>
      <c r="O4749" t="b">
        <v>1</v>
      </c>
      <c r="P4749">
        <v>1</v>
      </c>
      <c r="Q4749" t="str" cm="1">
        <f t="array" ref="Q4749">_xlfn.IFS(Table1[[#This Row],[Wealthier_Winner]]=-1,"Wealthier Nation Loses",Table1[[#This Row],[Wealthier_Winner]]=0,"Tie",Table1[[#This Row],[Wealthier_Winner]]=1,"Wealthier Nation Wins")</f>
        <v>Wealthier Nation Wins</v>
      </c>
    </row>
    <row r="4750" spans="1:17" x14ac:dyDescent="0.2">
      <c r="A4750" s="1">
        <v>6979</v>
      </c>
      <c r="B4750" s="2">
        <v>41821</v>
      </c>
      <c r="C4750" s="7">
        <f>_xlfn.FLOOR.MATH(Table1[[#This Row],[year]],10)</f>
        <v>2010</v>
      </c>
      <c r="D4750" t="s">
        <v>19</v>
      </c>
      <c r="E4750" t="s">
        <v>46</v>
      </c>
      <c r="F4750">
        <v>1</v>
      </c>
      <c r="G4750">
        <v>0</v>
      </c>
      <c r="H4750" t="s">
        <v>74</v>
      </c>
      <c r="I4750" t="s">
        <v>417</v>
      </c>
      <c r="J4750" t="s">
        <v>13</v>
      </c>
      <c r="K4750" t="b">
        <v>1</v>
      </c>
      <c r="L4750">
        <v>2014</v>
      </c>
      <c r="M4750">
        <v>526319673731</v>
      </c>
      <c r="N4750">
        <v>726537808338</v>
      </c>
      <c r="O4750" t="b">
        <v>0</v>
      </c>
      <c r="P4750">
        <v>-1</v>
      </c>
      <c r="Q4750" t="str" cm="1">
        <f t="array" ref="Q4750">_xlfn.IFS(Table1[[#This Row],[Wealthier_Winner]]=-1,"Wealthier Nation Loses",Table1[[#This Row],[Wealthier_Winner]]=0,"Tie",Table1[[#This Row],[Wealthier_Winner]]=1,"Wealthier Nation Wins")</f>
        <v>Wealthier Nation Loses</v>
      </c>
    </row>
    <row r="4751" spans="1:17" x14ac:dyDescent="0.2">
      <c r="A4751" s="1">
        <v>6980</v>
      </c>
      <c r="B4751" s="2">
        <v>41821</v>
      </c>
      <c r="C4751" s="7">
        <f>_xlfn.FLOOR.MATH(Table1[[#This Row],[year]],10)</f>
        <v>2010</v>
      </c>
      <c r="D4751" t="s">
        <v>23</v>
      </c>
      <c r="E4751" t="s">
        <v>41</v>
      </c>
      <c r="F4751">
        <v>2</v>
      </c>
      <c r="G4751">
        <v>1</v>
      </c>
      <c r="H4751" t="s">
        <v>74</v>
      </c>
      <c r="I4751" t="s">
        <v>170</v>
      </c>
      <c r="J4751" t="s">
        <v>13</v>
      </c>
      <c r="K4751" t="b">
        <v>1</v>
      </c>
      <c r="L4751">
        <v>2014</v>
      </c>
      <c r="M4751">
        <v>537987419164</v>
      </c>
      <c r="N4751">
        <v>17550680174000</v>
      </c>
      <c r="O4751" t="b">
        <v>1</v>
      </c>
      <c r="P4751">
        <v>-1</v>
      </c>
      <c r="Q4751" t="str" cm="1">
        <f t="array" ref="Q4751">_xlfn.IFS(Table1[[#This Row],[Wealthier_Winner]]=-1,"Wealthier Nation Loses",Table1[[#This Row],[Wealthier_Winner]]=0,"Tie",Table1[[#This Row],[Wealthier_Winner]]=1,"Wealthier Nation Wins")</f>
        <v>Wealthier Nation Loses</v>
      </c>
    </row>
    <row r="4752" spans="1:17" x14ac:dyDescent="0.2">
      <c r="A4752" s="1">
        <v>6981</v>
      </c>
      <c r="B4752" s="2">
        <v>41824</v>
      </c>
      <c r="C4752" s="7">
        <f>_xlfn.FLOOR.MATH(Table1[[#This Row],[year]],10)</f>
        <v>2010</v>
      </c>
      <c r="D4752" t="s">
        <v>13</v>
      </c>
      <c r="E4752" t="s">
        <v>15</v>
      </c>
      <c r="F4752">
        <v>2</v>
      </c>
      <c r="G4752">
        <v>1</v>
      </c>
      <c r="H4752" t="s">
        <v>74</v>
      </c>
      <c r="I4752" t="s">
        <v>172</v>
      </c>
      <c r="J4752" t="s">
        <v>13</v>
      </c>
      <c r="K4752" t="b">
        <v>0</v>
      </c>
      <c r="L4752">
        <v>2014</v>
      </c>
      <c r="M4752">
        <v>2456043766032</v>
      </c>
      <c r="N4752">
        <v>381240864422</v>
      </c>
      <c r="O4752" t="b">
        <v>1</v>
      </c>
      <c r="P4752">
        <v>1</v>
      </c>
      <c r="Q4752" t="str" cm="1">
        <f t="array" ref="Q4752">_xlfn.IFS(Table1[[#This Row],[Wealthier_Winner]]=-1,"Wealthier Nation Loses",Table1[[#This Row],[Wealthier_Winner]]=0,"Tie",Table1[[#This Row],[Wealthier_Winner]]=1,"Wealthier Nation Wins")</f>
        <v>Wealthier Nation Wins</v>
      </c>
    </row>
    <row r="4753" spans="1:17" x14ac:dyDescent="0.2">
      <c r="A4753" s="1">
        <v>6982</v>
      </c>
      <c r="B4753" s="2">
        <v>41824</v>
      </c>
      <c r="C4753" s="7">
        <f>_xlfn.FLOOR.MATH(Table1[[#This Row],[year]],10)</f>
        <v>2010</v>
      </c>
      <c r="D4753" t="s">
        <v>20</v>
      </c>
      <c r="E4753" t="s">
        <v>16</v>
      </c>
      <c r="F4753">
        <v>0</v>
      </c>
      <c r="G4753">
        <v>1</v>
      </c>
      <c r="H4753" t="s">
        <v>74</v>
      </c>
      <c r="I4753" t="s">
        <v>173</v>
      </c>
      <c r="J4753" t="s">
        <v>13</v>
      </c>
      <c r="K4753" t="b">
        <v>1</v>
      </c>
      <c r="L4753">
        <v>2014</v>
      </c>
      <c r="M4753">
        <v>2861236112552</v>
      </c>
      <c r="N4753">
        <v>3964870735760</v>
      </c>
      <c r="O4753" t="b">
        <v>0</v>
      </c>
      <c r="P4753">
        <v>1</v>
      </c>
      <c r="Q4753" t="str" cm="1">
        <f t="array" ref="Q4753">_xlfn.IFS(Table1[[#This Row],[Wealthier_Winner]]=-1,"Wealthier Nation Loses",Table1[[#This Row],[Wealthier_Winner]]=0,"Tie",Table1[[#This Row],[Wealthier_Winner]]=1,"Wealthier Nation Wins")</f>
        <v>Wealthier Nation Wins</v>
      </c>
    </row>
    <row r="4754" spans="1:17" x14ac:dyDescent="0.2">
      <c r="A4754" s="1">
        <v>6983</v>
      </c>
      <c r="B4754" s="2">
        <v>41825</v>
      </c>
      <c r="C4754" s="7">
        <f>_xlfn.FLOOR.MATH(Table1[[#This Row],[year]],10)</f>
        <v>2010</v>
      </c>
      <c r="D4754" t="s">
        <v>19</v>
      </c>
      <c r="E4754" t="s">
        <v>23</v>
      </c>
      <c r="F4754">
        <v>1</v>
      </c>
      <c r="G4754">
        <v>0</v>
      </c>
      <c r="H4754" t="s">
        <v>74</v>
      </c>
      <c r="I4754" t="s">
        <v>679</v>
      </c>
      <c r="J4754" t="s">
        <v>13</v>
      </c>
      <c r="K4754" t="b">
        <v>1</v>
      </c>
      <c r="L4754">
        <v>2014</v>
      </c>
      <c r="M4754">
        <v>526319673731</v>
      </c>
      <c r="N4754">
        <v>537987419164</v>
      </c>
      <c r="O4754" t="b">
        <v>0</v>
      </c>
      <c r="P4754">
        <v>-1</v>
      </c>
      <c r="Q4754" t="str" cm="1">
        <f t="array" ref="Q4754">_xlfn.IFS(Table1[[#This Row],[Wealthier_Winner]]=-1,"Wealthier Nation Loses",Table1[[#This Row],[Wealthier_Winner]]=0,"Tie",Table1[[#This Row],[Wealthier_Winner]]=1,"Wealthier Nation Wins")</f>
        <v>Wealthier Nation Loses</v>
      </c>
    </row>
    <row r="4755" spans="1:17" x14ac:dyDescent="0.2">
      <c r="A4755" s="1">
        <v>6984</v>
      </c>
      <c r="B4755" s="2">
        <v>41825</v>
      </c>
      <c r="C4755" s="7">
        <f>_xlfn.FLOOR.MATH(Table1[[#This Row],[year]],10)</f>
        <v>2010</v>
      </c>
      <c r="D4755" t="s">
        <v>27</v>
      </c>
      <c r="E4755" t="s">
        <v>56</v>
      </c>
      <c r="F4755">
        <v>0</v>
      </c>
      <c r="G4755">
        <v>0</v>
      </c>
      <c r="H4755" t="s">
        <v>74</v>
      </c>
      <c r="I4755" t="s">
        <v>170</v>
      </c>
      <c r="J4755" t="s">
        <v>13</v>
      </c>
      <c r="K4755" t="b">
        <v>1</v>
      </c>
      <c r="L4755">
        <v>2014</v>
      </c>
      <c r="M4755">
        <v>901556501756</v>
      </c>
      <c r="N4755">
        <v>52016408854</v>
      </c>
      <c r="O4755" t="b">
        <v>1</v>
      </c>
      <c r="P4755">
        <v>0</v>
      </c>
      <c r="Q4755" t="str" cm="1">
        <f t="array" ref="Q4755">_xlfn.IFS(Table1[[#This Row],[Wealthier_Winner]]=-1,"Wealthier Nation Loses",Table1[[#This Row],[Wealthier_Winner]]=0,"Tie",Table1[[#This Row],[Wealthier_Winner]]=1,"Wealthier Nation Wins")</f>
        <v>Tie</v>
      </c>
    </row>
    <row r="4756" spans="1:17" x14ac:dyDescent="0.2">
      <c r="A4756" s="1">
        <v>6985</v>
      </c>
      <c r="B4756" s="2">
        <v>41828</v>
      </c>
      <c r="C4756" s="7">
        <f>_xlfn.FLOOR.MATH(Table1[[#This Row],[year]],10)</f>
        <v>2010</v>
      </c>
      <c r="D4756" t="s">
        <v>13</v>
      </c>
      <c r="E4756" t="s">
        <v>16</v>
      </c>
      <c r="F4756">
        <v>1</v>
      </c>
      <c r="G4756">
        <v>7</v>
      </c>
      <c r="H4756" t="s">
        <v>74</v>
      </c>
      <c r="I4756" t="s">
        <v>171</v>
      </c>
      <c r="J4756" t="s">
        <v>13</v>
      </c>
      <c r="K4756" t="b">
        <v>0</v>
      </c>
      <c r="L4756">
        <v>2014</v>
      </c>
      <c r="M4756">
        <v>2456043766032</v>
      </c>
      <c r="N4756">
        <v>3964870735760</v>
      </c>
      <c r="O4756" t="b">
        <v>0</v>
      </c>
      <c r="P4756">
        <v>1</v>
      </c>
      <c r="Q4756" t="str" cm="1">
        <f t="array" ref="Q4756">_xlfn.IFS(Table1[[#This Row],[Wealthier_Winner]]=-1,"Wealthier Nation Loses",Table1[[#This Row],[Wealthier_Winner]]=0,"Tie",Table1[[#This Row],[Wealthier_Winner]]=1,"Wealthier Nation Wins")</f>
        <v>Wealthier Nation Wins</v>
      </c>
    </row>
    <row r="4757" spans="1:17" x14ac:dyDescent="0.2">
      <c r="A4757" s="1">
        <v>6986</v>
      </c>
      <c r="B4757" s="2">
        <v>41829</v>
      </c>
      <c r="C4757" s="7">
        <f>_xlfn.FLOOR.MATH(Table1[[#This Row],[year]],10)</f>
        <v>2010</v>
      </c>
      <c r="D4757" t="s">
        <v>27</v>
      </c>
      <c r="E4757" t="s">
        <v>19</v>
      </c>
      <c r="F4757">
        <v>0</v>
      </c>
      <c r="G4757">
        <v>0</v>
      </c>
      <c r="H4757" t="s">
        <v>74</v>
      </c>
      <c r="I4757" t="s">
        <v>417</v>
      </c>
      <c r="J4757" t="s">
        <v>13</v>
      </c>
      <c r="K4757" t="b">
        <v>1</v>
      </c>
      <c r="L4757">
        <v>2014</v>
      </c>
      <c r="M4757">
        <v>901556501756</v>
      </c>
      <c r="N4757">
        <v>526319673731</v>
      </c>
      <c r="O4757" t="b">
        <v>0</v>
      </c>
      <c r="P4757">
        <v>0</v>
      </c>
      <c r="Q4757" t="str" cm="1">
        <f t="array" ref="Q4757">_xlfn.IFS(Table1[[#This Row],[Wealthier_Winner]]=-1,"Wealthier Nation Loses",Table1[[#This Row],[Wealthier_Winner]]=0,"Tie",Table1[[#This Row],[Wealthier_Winner]]=1,"Wealthier Nation Wins")</f>
        <v>Tie</v>
      </c>
    </row>
    <row r="4758" spans="1:17" x14ac:dyDescent="0.2">
      <c r="A4758" s="1">
        <v>6987</v>
      </c>
      <c r="B4758" s="2">
        <v>41832</v>
      </c>
      <c r="C4758" s="7">
        <f>_xlfn.FLOOR.MATH(Table1[[#This Row],[year]],10)</f>
        <v>2010</v>
      </c>
      <c r="D4758" t="s">
        <v>13</v>
      </c>
      <c r="E4758" t="s">
        <v>27</v>
      </c>
      <c r="F4758">
        <v>0</v>
      </c>
      <c r="G4758">
        <v>3</v>
      </c>
      <c r="H4758" t="s">
        <v>74</v>
      </c>
      <c r="I4758" t="s">
        <v>679</v>
      </c>
      <c r="J4758" t="s">
        <v>13</v>
      </c>
      <c r="K4758" t="b">
        <v>0</v>
      </c>
      <c r="L4758">
        <v>2014</v>
      </c>
      <c r="M4758">
        <v>2456043766032</v>
      </c>
      <c r="N4758">
        <v>901556501756</v>
      </c>
      <c r="O4758" t="b">
        <v>1</v>
      </c>
      <c r="P4758">
        <v>-1</v>
      </c>
      <c r="Q4758" t="str" cm="1">
        <f t="array" ref="Q4758">_xlfn.IFS(Table1[[#This Row],[Wealthier_Winner]]=-1,"Wealthier Nation Loses",Table1[[#This Row],[Wealthier_Winner]]=0,"Tie",Table1[[#This Row],[Wealthier_Winner]]=1,"Wealthier Nation Wins")</f>
        <v>Wealthier Nation Loses</v>
      </c>
    </row>
    <row r="4759" spans="1:17" x14ac:dyDescent="0.2">
      <c r="A4759" s="1">
        <v>6988</v>
      </c>
      <c r="B4759" s="2">
        <v>41833</v>
      </c>
      <c r="C4759" s="7">
        <f>_xlfn.FLOOR.MATH(Table1[[#This Row],[year]],10)</f>
        <v>2010</v>
      </c>
      <c r="D4759" t="s">
        <v>16</v>
      </c>
      <c r="E4759" t="s">
        <v>19</v>
      </c>
      <c r="F4759">
        <v>1</v>
      </c>
      <c r="G4759">
        <v>0</v>
      </c>
      <c r="H4759" t="s">
        <v>74</v>
      </c>
      <c r="I4759" t="s">
        <v>173</v>
      </c>
      <c r="J4759" t="s">
        <v>13</v>
      </c>
      <c r="K4759" t="b">
        <v>1</v>
      </c>
      <c r="L4759">
        <v>2014</v>
      </c>
      <c r="M4759">
        <v>3964870735760</v>
      </c>
      <c r="N4759">
        <v>526319673731</v>
      </c>
      <c r="O4759" t="b">
        <v>1</v>
      </c>
      <c r="P4759">
        <v>1</v>
      </c>
      <c r="Q4759" t="str" cm="1">
        <f t="array" ref="Q4759">_xlfn.IFS(Table1[[#This Row],[Wealthier_Winner]]=-1,"Wealthier Nation Loses",Table1[[#This Row],[Wealthier_Winner]]=0,"Tie",Table1[[#This Row],[Wealthier_Winner]]=1,"Wealthier Nation Wins")</f>
        <v>Wealthier Nation Wins</v>
      </c>
    </row>
    <row r="4760" spans="1:17" x14ac:dyDescent="0.2">
      <c r="A4760" s="1">
        <v>6990</v>
      </c>
      <c r="B4760" s="2">
        <v>42075</v>
      </c>
      <c r="C4760" s="7">
        <f>_xlfn.FLOOR.MATH(Table1[[#This Row],[year]],10)</f>
        <v>2010</v>
      </c>
      <c r="D4760" t="s">
        <v>738</v>
      </c>
      <c r="E4760" t="s">
        <v>611</v>
      </c>
      <c r="F4760">
        <v>0</v>
      </c>
      <c r="G4760">
        <v>3</v>
      </c>
      <c r="H4760" t="s">
        <v>224</v>
      </c>
      <c r="I4760" t="s">
        <v>775</v>
      </c>
      <c r="J4760" t="s">
        <v>738</v>
      </c>
      <c r="K4760" t="b">
        <v>0</v>
      </c>
      <c r="L4760">
        <v>2015</v>
      </c>
      <c r="M4760">
        <v>1590282371</v>
      </c>
      <c r="N4760">
        <v>11619892590</v>
      </c>
      <c r="O4760" t="b">
        <v>1</v>
      </c>
      <c r="P4760">
        <v>1</v>
      </c>
      <c r="Q4760" t="str" cm="1">
        <f t="array" ref="Q4760">_xlfn.IFS(Table1[[#This Row],[Wealthier_Winner]]=-1,"Wealthier Nation Loses",Table1[[#This Row],[Wealthier_Winner]]=0,"Tie",Table1[[#This Row],[Wealthier_Winner]]=1,"Wealthier Nation Wins")</f>
        <v>Wealthier Nation Wins</v>
      </c>
    </row>
    <row r="4761" spans="1:17" x14ac:dyDescent="0.2">
      <c r="A4761" s="1">
        <v>6991</v>
      </c>
      <c r="B4761" s="2">
        <v>42075</v>
      </c>
      <c r="C4761" s="7">
        <f>_xlfn.FLOOR.MATH(Table1[[#This Row],[year]],10)</f>
        <v>2010</v>
      </c>
      <c r="D4761" t="s">
        <v>406</v>
      </c>
      <c r="E4761" t="s">
        <v>400</v>
      </c>
      <c r="F4761">
        <v>2</v>
      </c>
      <c r="G4761">
        <v>0</v>
      </c>
      <c r="H4761" t="s">
        <v>224</v>
      </c>
      <c r="I4761" t="s">
        <v>776</v>
      </c>
      <c r="J4761" t="s">
        <v>406</v>
      </c>
      <c r="K4761" t="b">
        <v>0</v>
      </c>
      <c r="L4761">
        <v>2015</v>
      </c>
      <c r="M4761">
        <v>2103588360044</v>
      </c>
      <c r="N4761">
        <v>24360801286</v>
      </c>
      <c r="O4761" t="b">
        <v>1</v>
      </c>
      <c r="P4761">
        <v>1</v>
      </c>
      <c r="Q4761" t="str" cm="1">
        <f t="array" ref="Q4761">_xlfn.IFS(Table1[[#This Row],[Wealthier_Winner]]=-1,"Wealthier Nation Loses",Table1[[#This Row],[Wealthier_Winner]]=0,"Tie",Table1[[#This Row],[Wealthier_Winner]]=1,"Wealthier Nation Wins")</f>
        <v>Wealthier Nation Wins</v>
      </c>
    </row>
    <row r="4762" spans="1:17" x14ac:dyDescent="0.2">
      <c r="A4762" s="1">
        <v>6992</v>
      </c>
      <c r="B4762" s="2">
        <v>42075</v>
      </c>
      <c r="C4762" s="7">
        <f>_xlfn.FLOOR.MATH(Table1[[#This Row],[year]],10)</f>
        <v>2010</v>
      </c>
      <c r="D4762" t="s">
        <v>473</v>
      </c>
      <c r="E4762" t="s">
        <v>777</v>
      </c>
      <c r="F4762">
        <v>0</v>
      </c>
      <c r="G4762">
        <v>1</v>
      </c>
      <c r="H4762" t="s">
        <v>224</v>
      </c>
      <c r="I4762" t="s">
        <v>652</v>
      </c>
      <c r="J4762" t="s">
        <v>473</v>
      </c>
      <c r="K4762" t="b">
        <v>0</v>
      </c>
      <c r="L4762">
        <v>2015</v>
      </c>
      <c r="M4762">
        <v>85090301052</v>
      </c>
      <c r="N4762">
        <v>2187815803</v>
      </c>
      <c r="O4762" t="b">
        <v>1</v>
      </c>
      <c r="P4762">
        <v>-1</v>
      </c>
      <c r="Q4762" t="str" cm="1">
        <f t="array" ref="Q4762">_xlfn.IFS(Table1[[#This Row],[Wealthier_Winner]]=-1,"Wealthier Nation Loses",Table1[[#This Row],[Wealthier_Winner]]=0,"Tie",Table1[[#This Row],[Wealthier_Winner]]=1,"Wealthier Nation Wins")</f>
        <v>Wealthier Nation Loses</v>
      </c>
    </row>
    <row r="4763" spans="1:17" x14ac:dyDescent="0.2">
      <c r="A4763" s="1">
        <v>6995</v>
      </c>
      <c r="B4763" s="2">
        <v>42080</v>
      </c>
      <c r="C4763" s="7">
        <f>_xlfn.FLOOR.MATH(Table1[[#This Row],[year]],10)</f>
        <v>2010</v>
      </c>
      <c r="D4763" t="s">
        <v>777</v>
      </c>
      <c r="E4763" t="s">
        <v>473</v>
      </c>
      <c r="F4763">
        <v>2</v>
      </c>
      <c r="G4763">
        <v>1</v>
      </c>
      <c r="H4763" t="s">
        <v>224</v>
      </c>
      <c r="I4763" t="s">
        <v>778</v>
      </c>
      <c r="J4763" t="s">
        <v>777</v>
      </c>
      <c r="K4763" t="b">
        <v>0</v>
      </c>
      <c r="L4763">
        <v>2015</v>
      </c>
      <c r="M4763">
        <v>2187815803</v>
      </c>
      <c r="N4763">
        <v>85090301052</v>
      </c>
      <c r="O4763" t="b">
        <v>1</v>
      </c>
      <c r="P4763">
        <v>-1</v>
      </c>
      <c r="Q4763" t="str" cm="1">
        <f t="array" ref="Q4763">_xlfn.IFS(Table1[[#This Row],[Wealthier_Winner]]=-1,"Wealthier Nation Loses",Table1[[#This Row],[Wealthier_Winner]]=0,"Tie",Table1[[#This Row],[Wealthier_Winner]]=1,"Wealthier Nation Wins")</f>
        <v>Wealthier Nation Loses</v>
      </c>
    </row>
    <row r="4764" spans="1:17" x14ac:dyDescent="0.2">
      <c r="A4764" s="1">
        <v>6998</v>
      </c>
      <c r="B4764" s="2">
        <v>42080</v>
      </c>
      <c r="C4764" s="7">
        <f>_xlfn.FLOOR.MATH(Table1[[#This Row],[year]],10)</f>
        <v>2010</v>
      </c>
      <c r="D4764" t="s">
        <v>611</v>
      </c>
      <c r="E4764" t="s">
        <v>738</v>
      </c>
      <c r="F4764">
        <v>3</v>
      </c>
      <c r="G4764">
        <v>0</v>
      </c>
      <c r="H4764" t="s">
        <v>224</v>
      </c>
      <c r="I4764" t="s">
        <v>779</v>
      </c>
      <c r="J4764" t="s">
        <v>611</v>
      </c>
      <c r="K4764" t="b">
        <v>0</v>
      </c>
      <c r="L4764">
        <v>2015</v>
      </c>
      <c r="M4764">
        <v>11619892590</v>
      </c>
      <c r="N4764">
        <v>1590282371</v>
      </c>
      <c r="O4764" t="b">
        <v>1</v>
      </c>
      <c r="P4764">
        <v>1</v>
      </c>
      <c r="Q4764" t="str" cm="1">
        <f t="array" ref="Q4764">_xlfn.IFS(Table1[[#This Row],[Wealthier_Winner]]=-1,"Wealthier Nation Loses",Table1[[#This Row],[Wealthier_Winner]]=0,"Tie",Table1[[#This Row],[Wealthier_Winner]]=1,"Wealthier Nation Wins")</f>
        <v>Wealthier Nation Wins</v>
      </c>
    </row>
    <row r="4765" spans="1:17" x14ac:dyDescent="0.2">
      <c r="A4765" s="1">
        <v>6999</v>
      </c>
      <c r="B4765" s="2">
        <v>42080</v>
      </c>
      <c r="C4765" s="7">
        <f>_xlfn.FLOOR.MATH(Table1[[#This Row],[year]],10)</f>
        <v>2010</v>
      </c>
      <c r="D4765" t="s">
        <v>400</v>
      </c>
      <c r="E4765" t="s">
        <v>406</v>
      </c>
      <c r="F4765">
        <v>0</v>
      </c>
      <c r="G4765">
        <v>0</v>
      </c>
      <c r="H4765" t="s">
        <v>224</v>
      </c>
      <c r="I4765" t="s">
        <v>401</v>
      </c>
      <c r="J4765" t="s">
        <v>400</v>
      </c>
      <c r="K4765" t="b">
        <v>0</v>
      </c>
      <c r="L4765">
        <v>2015</v>
      </c>
      <c r="M4765">
        <v>24360801286</v>
      </c>
      <c r="N4765">
        <v>2103588360044</v>
      </c>
      <c r="O4765" t="b">
        <v>1</v>
      </c>
      <c r="P4765">
        <v>0</v>
      </c>
      <c r="Q4765" t="str" cm="1">
        <f t="array" ref="Q4765">_xlfn.IFS(Table1[[#This Row],[Wealthier_Winner]]=-1,"Wealthier Nation Loses",Table1[[#This Row],[Wealthier_Winner]]=0,"Tie",Table1[[#This Row],[Wealthier_Winner]]=1,"Wealthier Nation Wins")</f>
        <v>Tie</v>
      </c>
    </row>
    <row r="4766" spans="1:17" x14ac:dyDescent="0.2">
      <c r="A4766" s="1">
        <v>7000</v>
      </c>
      <c r="B4766" s="2">
        <v>42085</v>
      </c>
      <c r="C4766" s="7">
        <f>_xlfn.FLOOR.MATH(Table1[[#This Row],[year]],10)</f>
        <v>2010</v>
      </c>
      <c r="D4766" t="s">
        <v>443</v>
      </c>
      <c r="E4766" t="s">
        <v>692</v>
      </c>
      <c r="F4766">
        <v>0</v>
      </c>
      <c r="G4766">
        <v>1</v>
      </c>
      <c r="H4766" t="s">
        <v>224</v>
      </c>
      <c r="I4766" t="s">
        <v>444</v>
      </c>
      <c r="J4766" t="s">
        <v>443</v>
      </c>
      <c r="K4766" t="b">
        <v>0</v>
      </c>
      <c r="L4766">
        <v>2015</v>
      </c>
      <c r="M4766">
        <v>5698150000</v>
      </c>
      <c r="N4766">
        <v>3663000000</v>
      </c>
      <c r="O4766" t="b">
        <v>0</v>
      </c>
      <c r="P4766">
        <v>-1</v>
      </c>
      <c r="Q4766" t="str" cm="1">
        <f t="array" ref="Q4766">_xlfn.IFS(Table1[[#This Row],[Wealthier_Winner]]=-1,"Wealthier Nation Loses",Table1[[#This Row],[Wealthier_Winner]]=0,"Tie",Table1[[#This Row],[Wealthier_Winner]]=1,"Wealthier Nation Wins")</f>
        <v>Wealthier Nation Loses</v>
      </c>
    </row>
    <row r="4767" spans="1:17" x14ac:dyDescent="0.2">
      <c r="A4767" s="1">
        <v>7005</v>
      </c>
      <c r="B4767" s="2">
        <v>42089</v>
      </c>
      <c r="C4767" s="7">
        <f>_xlfn.FLOOR.MATH(Table1[[#This Row],[year]],10)</f>
        <v>2010</v>
      </c>
      <c r="D4767" t="s">
        <v>692</v>
      </c>
      <c r="E4767" t="s">
        <v>443</v>
      </c>
      <c r="F4767">
        <v>0</v>
      </c>
      <c r="G4767">
        <v>4</v>
      </c>
      <c r="H4767" t="s">
        <v>224</v>
      </c>
      <c r="I4767" t="s">
        <v>780</v>
      </c>
      <c r="J4767" t="s">
        <v>692</v>
      </c>
      <c r="K4767" t="b">
        <v>0</v>
      </c>
      <c r="L4767">
        <v>2015</v>
      </c>
      <c r="M4767">
        <v>3663000000</v>
      </c>
      <c r="N4767">
        <v>5698150000</v>
      </c>
      <c r="O4767" t="b">
        <v>0</v>
      </c>
      <c r="P4767">
        <v>1</v>
      </c>
      <c r="Q4767" t="str" cm="1">
        <f t="array" ref="Q4767">_xlfn.IFS(Table1[[#This Row],[Wealthier_Winner]]=-1,"Wealthier Nation Loses",Table1[[#This Row],[Wealthier_Winner]]=0,"Tie",Table1[[#This Row],[Wealthier_Winner]]=1,"Wealthier Nation Wins")</f>
        <v>Wealthier Nation Wins</v>
      </c>
    </row>
    <row r="4768" spans="1:17" x14ac:dyDescent="0.2">
      <c r="A4768" s="1">
        <v>7012</v>
      </c>
      <c r="B4768" s="2">
        <v>42092</v>
      </c>
      <c r="C4768" s="7">
        <f>_xlfn.FLOOR.MATH(Table1[[#This Row],[year]],10)</f>
        <v>2010</v>
      </c>
      <c r="D4768" t="s">
        <v>691</v>
      </c>
      <c r="E4768" t="s">
        <v>511</v>
      </c>
      <c r="F4768">
        <v>1</v>
      </c>
      <c r="G4768">
        <v>1</v>
      </c>
      <c r="H4768" t="s">
        <v>224</v>
      </c>
      <c r="I4768" t="s">
        <v>693</v>
      </c>
      <c r="J4768" t="s">
        <v>691</v>
      </c>
      <c r="K4768" t="b">
        <v>0</v>
      </c>
      <c r="L4768">
        <v>2015</v>
      </c>
      <c r="M4768">
        <v>4708167255</v>
      </c>
      <c r="N4768">
        <v>2193095150</v>
      </c>
      <c r="O4768" t="b">
        <v>1</v>
      </c>
      <c r="P4768">
        <v>0</v>
      </c>
      <c r="Q4768" t="str" cm="1">
        <f t="array" ref="Q4768">_xlfn.IFS(Table1[[#This Row],[Wealthier_Winner]]=-1,"Wealthier Nation Loses",Table1[[#This Row],[Wealthier_Winner]]=0,"Tie",Table1[[#This Row],[Wealthier_Winner]]=1,"Wealthier Nation Wins")</f>
        <v>Tie</v>
      </c>
    </row>
    <row r="4769" spans="1:17" x14ac:dyDescent="0.2">
      <c r="A4769" s="1">
        <v>7014</v>
      </c>
      <c r="B4769" s="2">
        <v>42148</v>
      </c>
      <c r="C4769" s="7">
        <f>_xlfn.FLOOR.MATH(Table1[[#This Row],[year]],10)</f>
        <v>2010</v>
      </c>
      <c r="D4769" t="s">
        <v>334</v>
      </c>
      <c r="E4769" t="s">
        <v>475</v>
      </c>
      <c r="F4769">
        <v>1</v>
      </c>
      <c r="G4769">
        <v>0</v>
      </c>
      <c r="H4769" t="s">
        <v>224</v>
      </c>
      <c r="I4769" t="s">
        <v>407</v>
      </c>
      <c r="J4769" t="s">
        <v>334</v>
      </c>
      <c r="K4769" t="b">
        <v>0</v>
      </c>
      <c r="L4769">
        <v>2015</v>
      </c>
      <c r="M4769">
        <v>401296238228</v>
      </c>
      <c r="N4769">
        <v>239258328381</v>
      </c>
      <c r="O4769" t="b">
        <v>0</v>
      </c>
      <c r="P4769">
        <v>1</v>
      </c>
      <c r="Q4769" t="str" cm="1">
        <f t="array" ref="Q4769">_xlfn.IFS(Table1[[#This Row],[Wealthier_Winner]]=-1,"Wealthier Nation Loses",Table1[[#This Row],[Wealthier_Winner]]=0,"Tie",Table1[[#This Row],[Wealthier_Winner]]=1,"Wealthier Nation Wins")</f>
        <v>Wealthier Nation Wins</v>
      </c>
    </row>
    <row r="4770" spans="1:17" x14ac:dyDescent="0.2">
      <c r="A4770" s="1">
        <v>7015</v>
      </c>
      <c r="B4770" s="2">
        <v>42162</v>
      </c>
      <c r="C4770" s="7">
        <f>_xlfn.FLOOR.MATH(Table1[[#This Row],[year]],10)</f>
        <v>2010</v>
      </c>
      <c r="D4770" t="s">
        <v>453</v>
      </c>
      <c r="E4770" t="s">
        <v>252</v>
      </c>
      <c r="F4770">
        <v>1</v>
      </c>
      <c r="G4770">
        <v>0</v>
      </c>
      <c r="H4770" t="s">
        <v>224</v>
      </c>
      <c r="I4770" t="s">
        <v>454</v>
      </c>
      <c r="J4770" t="s">
        <v>453</v>
      </c>
      <c r="K4770" t="b">
        <v>0</v>
      </c>
      <c r="L4770">
        <v>2015</v>
      </c>
      <c r="M4770">
        <v>12756696261</v>
      </c>
      <c r="N4770">
        <v>5126237646</v>
      </c>
      <c r="O4770" t="b">
        <v>1</v>
      </c>
      <c r="P4770">
        <v>1</v>
      </c>
      <c r="Q4770" t="str" cm="1">
        <f t="array" ref="Q4770">_xlfn.IFS(Table1[[#This Row],[Wealthier_Winner]]=-1,"Wealthier Nation Loses",Table1[[#This Row],[Wealthier_Winner]]=0,"Tie",Table1[[#This Row],[Wealthier_Winner]]=1,"Wealthier Nation Wins")</f>
        <v>Wealthier Nation Wins</v>
      </c>
    </row>
    <row r="4771" spans="1:17" x14ac:dyDescent="0.2">
      <c r="A4771" s="1">
        <v>7018</v>
      </c>
      <c r="B4771" s="2">
        <v>42165</v>
      </c>
      <c r="C4771" s="7">
        <f>_xlfn.FLOOR.MATH(Table1[[#This Row],[year]],10)</f>
        <v>2010</v>
      </c>
      <c r="D4771" t="s">
        <v>497</v>
      </c>
      <c r="E4771" t="s">
        <v>443</v>
      </c>
      <c r="F4771">
        <v>0</v>
      </c>
      <c r="G4771">
        <v>2</v>
      </c>
      <c r="H4771" t="s">
        <v>224</v>
      </c>
      <c r="I4771" t="s">
        <v>500</v>
      </c>
      <c r="J4771" t="s">
        <v>497</v>
      </c>
      <c r="K4771" t="b">
        <v>0</v>
      </c>
      <c r="L4771">
        <v>2015</v>
      </c>
      <c r="M4771">
        <v>2962906703</v>
      </c>
      <c r="N4771">
        <v>5698150000</v>
      </c>
      <c r="O4771" t="b">
        <v>0</v>
      </c>
      <c r="P4771">
        <v>1</v>
      </c>
      <c r="Q4771" t="str" cm="1">
        <f t="array" ref="Q4771">_xlfn.IFS(Table1[[#This Row],[Wealthier_Winner]]=-1,"Wealthier Nation Loses",Table1[[#This Row],[Wealthier_Winner]]=0,"Tie",Table1[[#This Row],[Wealthier_Winner]]=1,"Wealthier Nation Wins")</f>
        <v>Wealthier Nation Wins</v>
      </c>
    </row>
    <row r="4772" spans="1:17" x14ac:dyDescent="0.2">
      <c r="A4772" s="1">
        <v>7020</v>
      </c>
      <c r="B4772" s="2">
        <v>42166</v>
      </c>
      <c r="C4772" s="7">
        <f>_xlfn.FLOOR.MATH(Table1[[#This Row],[year]],10)</f>
        <v>2010</v>
      </c>
      <c r="D4772" t="s">
        <v>641</v>
      </c>
      <c r="E4772" t="s">
        <v>331</v>
      </c>
      <c r="F4772">
        <v>0</v>
      </c>
      <c r="G4772">
        <v>6</v>
      </c>
      <c r="H4772" t="s">
        <v>224</v>
      </c>
      <c r="I4772" t="s">
        <v>781</v>
      </c>
      <c r="J4772" t="s">
        <v>210</v>
      </c>
      <c r="K4772" t="b">
        <v>1</v>
      </c>
      <c r="L4772">
        <v>2015</v>
      </c>
      <c r="M4772">
        <v>19134221644</v>
      </c>
      <c r="N4772">
        <v>16466863117</v>
      </c>
      <c r="O4772" t="b">
        <v>0</v>
      </c>
      <c r="P4772">
        <v>-1</v>
      </c>
      <c r="Q4772" t="str" cm="1">
        <f t="array" ref="Q4772">_xlfn.IFS(Table1[[#This Row],[Wealthier_Winner]]=-1,"Wealthier Nation Loses",Table1[[#This Row],[Wealthier_Winner]]=0,"Tie",Table1[[#This Row],[Wealthier_Winner]]=1,"Wealthier Nation Wins")</f>
        <v>Wealthier Nation Loses</v>
      </c>
    </row>
    <row r="4773" spans="1:17" x14ac:dyDescent="0.2">
      <c r="A4773" s="1">
        <v>7022</v>
      </c>
      <c r="B4773" s="2">
        <v>42166</v>
      </c>
      <c r="C4773" s="7">
        <f>_xlfn.FLOOR.MATH(Table1[[#This Row],[year]],10)</f>
        <v>2010</v>
      </c>
      <c r="D4773" t="s">
        <v>551</v>
      </c>
      <c r="E4773" t="s">
        <v>359</v>
      </c>
      <c r="F4773">
        <v>0</v>
      </c>
      <c r="G4773">
        <v>4</v>
      </c>
      <c r="H4773" t="s">
        <v>224</v>
      </c>
      <c r="I4773" t="s">
        <v>553</v>
      </c>
      <c r="J4773" t="s">
        <v>551</v>
      </c>
      <c r="K4773" t="b">
        <v>0</v>
      </c>
      <c r="L4773">
        <v>2015</v>
      </c>
      <c r="M4773">
        <v>24174170369</v>
      </c>
      <c r="N4773">
        <v>307998545269</v>
      </c>
      <c r="O4773" t="b">
        <v>1</v>
      </c>
      <c r="P4773">
        <v>1</v>
      </c>
      <c r="Q4773" t="str" cm="1">
        <f t="array" ref="Q4773">_xlfn.IFS(Table1[[#This Row],[Wealthier_Winner]]=-1,"Wealthier Nation Loses",Table1[[#This Row],[Wealthier_Winner]]=0,"Tie",Table1[[#This Row],[Wealthier_Winner]]=1,"Wealthier Nation Wins")</f>
        <v>Wealthier Nation Wins</v>
      </c>
    </row>
    <row r="4774" spans="1:17" x14ac:dyDescent="0.2">
      <c r="A4774" s="1">
        <v>7023</v>
      </c>
      <c r="B4774" s="2">
        <v>42166</v>
      </c>
      <c r="C4774" s="7">
        <f>_xlfn.FLOOR.MATH(Table1[[#This Row],[year]],10)</f>
        <v>2010</v>
      </c>
      <c r="D4774" t="s">
        <v>496</v>
      </c>
      <c r="E4774" t="s">
        <v>511</v>
      </c>
      <c r="F4774">
        <v>1</v>
      </c>
      <c r="G4774">
        <v>2</v>
      </c>
      <c r="H4774" t="s">
        <v>224</v>
      </c>
      <c r="I4774" t="s">
        <v>498</v>
      </c>
      <c r="J4774" t="s">
        <v>496</v>
      </c>
      <c r="K4774" t="b">
        <v>0</v>
      </c>
      <c r="L4774">
        <v>2015</v>
      </c>
      <c r="M4774">
        <v>70966782572</v>
      </c>
      <c r="N4774">
        <v>2193095150</v>
      </c>
      <c r="O4774" t="b">
        <v>1</v>
      </c>
      <c r="P4774">
        <v>-1</v>
      </c>
      <c r="Q4774" t="str" cm="1">
        <f t="array" ref="Q4774">_xlfn.IFS(Table1[[#This Row],[Wealthier_Winner]]=-1,"Wealthier Nation Loses",Table1[[#This Row],[Wealthier_Winner]]=0,"Tie",Table1[[#This Row],[Wealthier_Winner]]=1,"Wealthier Nation Wins")</f>
        <v>Wealthier Nation Loses</v>
      </c>
    </row>
    <row r="4775" spans="1:17" x14ac:dyDescent="0.2">
      <c r="A4775" s="1">
        <v>7024</v>
      </c>
      <c r="B4775" s="2">
        <v>42166</v>
      </c>
      <c r="C4775" s="7">
        <f>_xlfn.FLOOR.MATH(Table1[[#This Row],[year]],10)</f>
        <v>2010</v>
      </c>
      <c r="D4775" t="s">
        <v>782</v>
      </c>
      <c r="E4775" t="s">
        <v>560</v>
      </c>
      <c r="F4775">
        <v>1</v>
      </c>
      <c r="G4775">
        <v>0</v>
      </c>
      <c r="H4775" t="s">
        <v>224</v>
      </c>
      <c r="I4775" t="s">
        <v>783</v>
      </c>
      <c r="J4775" t="s">
        <v>782</v>
      </c>
      <c r="K4775" t="b">
        <v>0</v>
      </c>
      <c r="L4775">
        <v>2015</v>
      </c>
      <c r="M4775">
        <v>5799000000</v>
      </c>
      <c r="N4775">
        <v>35799714285</v>
      </c>
      <c r="O4775" t="b">
        <v>1</v>
      </c>
      <c r="P4775">
        <v>-1</v>
      </c>
      <c r="Q4775" t="str" cm="1">
        <f t="array" ref="Q4775">_xlfn.IFS(Table1[[#This Row],[Wealthier_Winner]]=-1,"Wealthier Nation Loses",Table1[[#This Row],[Wealthier_Winner]]=0,"Tie",Table1[[#This Row],[Wealthier_Winner]]=1,"Wealthier Nation Wins")</f>
        <v>Wealthier Nation Loses</v>
      </c>
    </row>
    <row r="4776" spans="1:17" x14ac:dyDescent="0.2">
      <c r="A4776" s="1">
        <v>7026</v>
      </c>
      <c r="B4776" s="2">
        <v>42166</v>
      </c>
      <c r="C4776" s="7">
        <f>_xlfn.FLOOR.MATH(Table1[[#This Row],[year]],10)</f>
        <v>2010</v>
      </c>
      <c r="D4776" t="s">
        <v>406</v>
      </c>
      <c r="E4776" t="s">
        <v>429</v>
      </c>
      <c r="F4776">
        <v>1</v>
      </c>
      <c r="G4776">
        <v>2</v>
      </c>
      <c r="H4776" t="s">
        <v>224</v>
      </c>
      <c r="I4776" t="s">
        <v>622</v>
      </c>
      <c r="J4776" t="s">
        <v>406</v>
      </c>
      <c r="K4776" t="b">
        <v>0</v>
      </c>
      <c r="L4776">
        <v>2015</v>
      </c>
      <c r="M4776">
        <v>2103588360044</v>
      </c>
      <c r="N4776">
        <v>78710793237</v>
      </c>
      <c r="O4776" t="b">
        <v>1</v>
      </c>
      <c r="P4776">
        <v>-1</v>
      </c>
      <c r="Q4776" t="str" cm="1">
        <f t="array" ref="Q4776">_xlfn.IFS(Table1[[#This Row],[Wealthier_Winner]]=-1,"Wealthier Nation Loses",Table1[[#This Row],[Wealthier_Winner]]=0,"Tie",Table1[[#This Row],[Wealthier_Winner]]=1,"Wealthier Nation Wins")</f>
        <v>Wealthier Nation Loses</v>
      </c>
    </row>
    <row r="4777" spans="1:17" x14ac:dyDescent="0.2">
      <c r="A4777" s="1">
        <v>7028</v>
      </c>
      <c r="B4777" s="2">
        <v>42166</v>
      </c>
      <c r="C4777" s="7">
        <f>_xlfn.FLOOR.MATH(Table1[[#This Row],[year]],10)</f>
        <v>2010</v>
      </c>
      <c r="D4777" t="s">
        <v>479</v>
      </c>
      <c r="E4777" t="s">
        <v>71</v>
      </c>
      <c r="F4777">
        <v>0</v>
      </c>
      <c r="G4777">
        <v>1</v>
      </c>
      <c r="H4777" t="s">
        <v>224</v>
      </c>
      <c r="I4777" t="s">
        <v>687</v>
      </c>
      <c r="J4777" t="s">
        <v>479</v>
      </c>
      <c r="K4777" t="b">
        <v>0</v>
      </c>
      <c r="L4777">
        <v>2015</v>
      </c>
      <c r="M4777">
        <v>49929337836</v>
      </c>
      <c r="N4777">
        <v>114585555688</v>
      </c>
      <c r="O4777" t="b">
        <v>1</v>
      </c>
      <c r="P4777">
        <v>1</v>
      </c>
      <c r="Q4777" t="str" cm="1">
        <f t="array" ref="Q4777">_xlfn.IFS(Table1[[#This Row],[Wealthier_Winner]]=-1,"Wealthier Nation Loses",Table1[[#This Row],[Wealthier_Winner]]=0,"Tie",Table1[[#This Row],[Wealthier_Winner]]=1,"Wealthier Nation Wins")</f>
        <v>Wealthier Nation Wins</v>
      </c>
    </row>
    <row r="4778" spans="1:17" x14ac:dyDescent="0.2">
      <c r="A4778" s="1">
        <v>7029</v>
      </c>
      <c r="B4778" s="2">
        <v>42166</v>
      </c>
      <c r="C4778" s="7">
        <f>_xlfn.FLOOR.MATH(Table1[[#This Row],[year]],10)</f>
        <v>2010</v>
      </c>
      <c r="D4778" t="s">
        <v>333</v>
      </c>
      <c r="E4778" t="s">
        <v>738</v>
      </c>
      <c r="F4778">
        <v>3</v>
      </c>
      <c r="G4778">
        <v>0</v>
      </c>
      <c r="H4778" t="s">
        <v>224</v>
      </c>
      <c r="I4778" t="s">
        <v>402</v>
      </c>
      <c r="J4778" t="s">
        <v>333</v>
      </c>
      <c r="K4778" t="b">
        <v>0</v>
      </c>
      <c r="L4778">
        <v>2015</v>
      </c>
      <c r="M4778">
        <v>301355266964</v>
      </c>
      <c r="N4778">
        <v>1590282371</v>
      </c>
      <c r="O4778" t="b">
        <v>1</v>
      </c>
      <c r="P4778">
        <v>1</v>
      </c>
      <c r="Q4778" t="str" cm="1">
        <f t="array" ref="Q4778">_xlfn.IFS(Table1[[#This Row],[Wealthier_Winner]]=-1,"Wealthier Nation Loses",Table1[[#This Row],[Wealthier_Winner]]=0,"Tie",Table1[[#This Row],[Wealthier_Winner]]=1,"Wealthier Nation Wins")</f>
        <v>Wealthier Nation Wins</v>
      </c>
    </row>
    <row r="4779" spans="1:17" x14ac:dyDescent="0.2">
      <c r="A4779" s="1">
        <v>7030</v>
      </c>
      <c r="B4779" s="2">
        <v>42166</v>
      </c>
      <c r="C4779" s="7">
        <f>_xlfn.FLOOR.MATH(Table1[[#This Row],[year]],10)</f>
        <v>2010</v>
      </c>
      <c r="D4779" t="s">
        <v>567</v>
      </c>
      <c r="E4779" t="s">
        <v>68</v>
      </c>
      <c r="F4779">
        <v>0</v>
      </c>
      <c r="G4779">
        <v>1</v>
      </c>
      <c r="H4779" t="s">
        <v>224</v>
      </c>
      <c r="I4779" t="s">
        <v>620</v>
      </c>
      <c r="J4779" t="s">
        <v>567</v>
      </c>
      <c r="K4779" t="b">
        <v>0</v>
      </c>
      <c r="L4779">
        <v>2015</v>
      </c>
      <c r="M4779">
        <v>4129505319</v>
      </c>
      <c r="N4779">
        <v>161739835164</v>
      </c>
      <c r="O4779" t="b">
        <v>1</v>
      </c>
      <c r="P4779">
        <v>1</v>
      </c>
      <c r="Q4779" t="str" cm="1">
        <f t="array" ref="Q4779">_xlfn.IFS(Table1[[#This Row],[Wealthier_Winner]]=-1,"Wealthier Nation Loses",Table1[[#This Row],[Wealthier_Winner]]=0,"Tie",Table1[[#This Row],[Wealthier_Winner]]=1,"Wealthier Nation Wins")</f>
        <v>Wealthier Nation Wins</v>
      </c>
    </row>
    <row r="4780" spans="1:17" x14ac:dyDescent="0.2">
      <c r="A4780" s="1">
        <v>7031</v>
      </c>
      <c r="B4780" s="2">
        <v>42166</v>
      </c>
      <c r="C4780" s="7">
        <f>_xlfn.FLOOR.MATH(Table1[[#This Row],[year]],10)</f>
        <v>2010</v>
      </c>
      <c r="D4780" t="s">
        <v>532</v>
      </c>
      <c r="E4780" t="s">
        <v>361</v>
      </c>
      <c r="F4780">
        <v>2</v>
      </c>
      <c r="G4780">
        <v>1</v>
      </c>
      <c r="H4780" t="s">
        <v>224</v>
      </c>
      <c r="I4780" t="s">
        <v>784</v>
      </c>
      <c r="J4780" t="s">
        <v>532</v>
      </c>
      <c r="K4780" t="b">
        <v>0</v>
      </c>
      <c r="L4780">
        <v>2015</v>
      </c>
      <c r="M4780">
        <v>306445871242</v>
      </c>
      <c r="N4780">
        <v>32523297872</v>
      </c>
      <c r="O4780" t="b">
        <v>1</v>
      </c>
      <c r="P4780">
        <v>1</v>
      </c>
      <c r="Q4780" t="str" cm="1">
        <f t="array" ref="Q4780">_xlfn.IFS(Table1[[#This Row],[Wealthier_Winner]]=-1,"Wealthier Nation Loses",Table1[[#This Row],[Wealthier_Winner]]=0,"Tie",Table1[[#This Row],[Wealthier_Winner]]=1,"Wealthier Nation Wins")</f>
        <v>Wealthier Nation Wins</v>
      </c>
    </row>
    <row r="4781" spans="1:17" x14ac:dyDescent="0.2">
      <c r="A4781" s="1">
        <v>7033</v>
      </c>
      <c r="B4781" s="2">
        <v>42166</v>
      </c>
      <c r="C4781" s="7">
        <f>_xlfn.FLOOR.MATH(Table1[[#This Row],[year]],10)</f>
        <v>2010</v>
      </c>
      <c r="D4781" t="s">
        <v>556</v>
      </c>
      <c r="E4781" t="s">
        <v>403</v>
      </c>
      <c r="F4781">
        <v>1</v>
      </c>
      <c r="G4781">
        <v>3</v>
      </c>
      <c r="H4781" t="s">
        <v>224</v>
      </c>
      <c r="I4781" t="s">
        <v>557</v>
      </c>
      <c r="J4781" t="s">
        <v>556</v>
      </c>
      <c r="K4781" t="b">
        <v>0</v>
      </c>
      <c r="L4781">
        <v>2015</v>
      </c>
      <c r="M4781">
        <v>8271431485</v>
      </c>
      <c r="N4781">
        <v>38587017887</v>
      </c>
      <c r="O4781" t="b">
        <v>1</v>
      </c>
      <c r="P4781">
        <v>1</v>
      </c>
      <c r="Q4781" t="str" cm="1">
        <f t="array" ref="Q4781">_xlfn.IFS(Table1[[#This Row],[Wealthier_Winner]]=-1,"Wealthier Nation Loses",Table1[[#This Row],[Wealthier_Winner]]=0,"Tie",Table1[[#This Row],[Wealthier_Winner]]=1,"Wealthier Nation Wins")</f>
        <v>Wealthier Nation Wins</v>
      </c>
    </row>
    <row r="4782" spans="1:17" x14ac:dyDescent="0.2">
      <c r="A4782" s="1">
        <v>7035</v>
      </c>
      <c r="B4782" s="2">
        <v>42166</v>
      </c>
      <c r="C4782" s="7">
        <f>_xlfn.FLOOR.MATH(Table1[[#This Row],[year]],10)</f>
        <v>2010</v>
      </c>
      <c r="D4782" t="s">
        <v>494</v>
      </c>
      <c r="E4782" t="s">
        <v>34</v>
      </c>
      <c r="F4782">
        <v>0</v>
      </c>
      <c r="G4782">
        <v>2</v>
      </c>
      <c r="H4782" t="s">
        <v>224</v>
      </c>
      <c r="I4782" t="s">
        <v>495</v>
      </c>
      <c r="J4782" t="s">
        <v>494</v>
      </c>
      <c r="K4782" t="b">
        <v>0</v>
      </c>
      <c r="L4782">
        <v>2015</v>
      </c>
      <c r="M4782">
        <v>583177777</v>
      </c>
      <c r="N4782">
        <v>1556508816217</v>
      </c>
      <c r="O4782" t="b">
        <v>1</v>
      </c>
      <c r="P4782">
        <v>1</v>
      </c>
      <c r="Q4782" t="str" cm="1">
        <f t="array" ref="Q4782">_xlfn.IFS(Table1[[#This Row],[Wealthier_Winner]]=-1,"Wealthier Nation Loses",Table1[[#This Row],[Wealthier_Winner]]=0,"Tie",Table1[[#This Row],[Wealthier_Winner]]=1,"Wealthier Nation Wins")</f>
        <v>Wealthier Nation Wins</v>
      </c>
    </row>
    <row r="4783" spans="1:17" x14ac:dyDescent="0.2">
      <c r="A4783" s="1">
        <v>7038</v>
      </c>
      <c r="B4783" s="2">
        <v>42167</v>
      </c>
      <c r="C4783" s="7">
        <f>_xlfn.FLOOR.MATH(Table1[[#This Row],[year]],10)</f>
        <v>2010</v>
      </c>
      <c r="D4783" t="s">
        <v>223</v>
      </c>
      <c r="E4783" t="s">
        <v>266</v>
      </c>
      <c r="F4783">
        <v>0</v>
      </c>
      <c r="G4783">
        <v>0</v>
      </c>
      <c r="H4783" t="s">
        <v>224</v>
      </c>
      <c r="I4783" t="s">
        <v>227</v>
      </c>
      <c r="J4783" t="s">
        <v>223</v>
      </c>
      <c r="K4783" t="b">
        <v>0</v>
      </c>
      <c r="L4783">
        <v>2015</v>
      </c>
      <c r="M4783">
        <v>62186066547</v>
      </c>
      <c r="N4783">
        <v>6654541000</v>
      </c>
      <c r="O4783" t="b">
        <v>1</v>
      </c>
      <c r="P4783">
        <v>0</v>
      </c>
      <c r="Q4783" t="str" cm="1">
        <f t="array" ref="Q4783">_xlfn.IFS(Table1[[#This Row],[Wealthier_Winner]]=-1,"Wealthier Nation Loses",Table1[[#This Row],[Wealthier_Winner]]=0,"Tie",Table1[[#This Row],[Wealthier_Winner]]=1,"Wealthier Nation Wins")</f>
        <v>Tie</v>
      </c>
    </row>
    <row r="4784" spans="1:17" x14ac:dyDescent="0.2">
      <c r="A4784" s="1">
        <v>7039</v>
      </c>
      <c r="B4784" s="2">
        <v>42169</v>
      </c>
      <c r="C4784" s="7">
        <f>_xlfn.FLOOR.MATH(Table1[[#This Row],[year]],10)</f>
        <v>2010</v>
      </c>
      <c r="D4784" t="s">
        <v>443</v>
      </c>
      <c r="E4784" t="s">
        <v>497</v>
      </c>
      <c r="F4784">
        <v>0</v>
      </c>
      <c r="G4784">
        <v>3</v>
      </c>
      <c r="H4784" t="s">
        <v>224</v>
      </c>
      <c r="I4784" t="s">
        <v>444</v>
      </c>
      <c r="J4784" t="s">
        <v>443</v>
      </c>
      <c r="K4784" t="b">
        <v>0</v>
      </c>
      <c r="L4784">
        <v>2015</v>
      </c>
      <c r="M4784">
        <v>5698150000</v>
      </c>
      <c r="N4784">
        <v>2962906703</v>
      </c>
      <c r="O4784" t="b">
        <v>0</v>
      </c>
      <c r="P4784">
        <v>-1</v>
      </c>
      <c r="Q4784" t="str" cm="1">
        <f t="array" ref="Q4784">_xlfn.IFS(Table1[[#This Row],[Wealthier_Winner]]=-1,"Wealthier Nation Loses",Table1[[#This Row],[Wealthier_Winner]]=0,"Tie",Table1[[#This Row],[Wealthier_Winner]]=1,"Wealthier Nation Wins")</f>
        <v>Wealthier Nation Loses</v>
      </c>
    </row>
    <row r="4785" spans="1:17" x14ac:dyDescent="0.2">
      <c r="A4785" s="1">
        <v>7041</v>
      </c>
      <c r="B4785" s="2">
        <v>42169</v>
      </c>
      <c r="C4785" s="7">
        <f>_xlfn.FLOOR.MATH(Table1[[#This Row],[year]],10)</f>
        <v>2010</v>
      </c>
      <c r="D4785" t="s">
        <v>511</v>
      </c>
      <c r="E4785" t="s">
        <v>496</v>
      </c>
      <c r="F4785">
        <v>3</v>
      </c>
      <c r="G4785">
        <v>0</v>
      </c>
      <c r="H4785" t="s">
        <v>224</v>
      </c>
      <c r="I4785" t="s">
        <v>746</v>
      </c>
      <c r="J4785" t="s">
        <v>511</v>
      </c>
      <c r="K4785" t="b">
        <v>0</v>
      </c>
      <c r="L4785">
        <v>2015</v>
      </c>
      <c r="M4785">
        <v>2193095150</v>
      </c>
      <c r="N4785">
        <v>70966782572</v>
      </c>
      <c r="O4785" t="b">
        <v>1</v>
      </c>
      <c r="P4785">
        <v>-1</v>
      </c>
      <c r="Q4785" t="str" cm="1">
        <f t="array" ref="Q4785">_xlfn.IFS(Table1[[#This Row],[Wealthier_Winner]]=-1,"Wealthier Nation Loses",Table1[[#This Row],[Wealthier_Winner]]=0,"Tie",Table1[[#This Row],[Wealthier_Winner]]=1,"Wealthier Nation Wins")</f>
        <v>Wealthier Nation Loses</v>
      </c>
    </row>
    <row r="4786" spans="1:17" x14ac:dyDescent="0.2">
      <c r="A4786" s="1">
        <v>7044</v>
      </c>
      <c r="B4786" s="2">
        <v>42170</v>
      </c>
      <c r="C4786" s="7">
        <f>_xlfn.FLOOR.MATH(Table1[[#This Row],[year]],10)</f>
        <v>2010</v>
      </c>
      <c r="D4786" t="s">
        <v>266</v>
      </c>
      <c r="E4786" t="s">
        <v>223</v>
      </c>
      <c r="F4786">
        <v>0</v>
      </c>
      <c r="G4786">
        <v>1</v>
      </c>
      <c r="H4786" t="s">
        <v>224</v>
      </c>
      <c r="I4786" t="s">
        <v>785</v>
      </c>
      <c r="J4786" t="s">
        <v>266</v>
      </c>
      <c r="K4786" t="b">
        <v>0</v>
      </c>
      <c r="L4786">
        <v>2015</v>
      </c>
      <c r="M4786">
        <v>6654541000</v>
      </c>
      <c r="N4786">
        <v>62186066547</v>
      </c>
      <c r="O4786" t="b">
        <v>1</v>
      </c>
      <c r="P4786">
        <v>1</v>
      </c>
      <c r="Q4786" t="str" cm="1">
        <f t="array" ref="Q4786">_xlfn.IFS(Table1[[#This Row],[Wealthier_Winner]]=-1,"Wealthier Nation Loses",Table1[[#This Row],[Wealthier_Winner]]=0,"Tie",Table1[[#This Row],[Wealthier_Winner]]=1,"Wealthier Nation Wins")</f>
        <v>Wealthier Nation Wins</v>
      </c>
    </row>
    <row r="4787" spans="1:17" x14ac:dyDescent="0.2">
      <c r="A4787" s="1">
        <v>7045</v>
      </c>
      <c r="B4787" s="2">
        <v>42171</v>
      </c>
      <c r="C4787" s="7">
        <f>_xlfn.FLOOR.MATH(Table1[[#This Row],[year]],10)</f>
        <v>2010</v>
      </c>
      <c r="D4787" t="s">
        <v>405</v>
      </c>
      <c r="E4787" t="s">
        <v>556</v>
      </c>
      <c r="F4787">
        <v>1</v>
      </c>
      <c r="G4787">
        <v>1</v>
      </c>
      <c r="H4787" t="s">
        <v>224</v>
      </c>
      <c r="I4787" t="s">
        <v>409</v>
      </c>
      <c r="J4787" t="s">
        <v>405</v>
      </c>
      <c r="K4787" t="b">
        <v>0</v>
      </c>
      <c r="L4787">
        <v>2015</v>
      </c>
      <c r="M4787">
        <v>195146608978</v>
      </c>
      <c r="N4787">
        <v>8271431485</v>
      </c>
      <c r="O4787" t="b">
        <v>1</v>
      </c>
      <c r="P4787">
        <v>0</v>
      </c>
      <c r="Q4787" t="str" cm="1">
        <f t="array" ref="Q4787">_xlfn.IFS(Table1[[#This Row],[Wealthier_Winner]]=-1,"Wealthier Nation Loses",Table1[[#This Row],[Wealthier_Winner]]=0,"Tie",Table1[[#This Row],[Wealthier_Winner]]=1,"Wealthier Nation Wins")</f>
        <v>Tie</v>
      </c>
    </row>
    <row r="4788" spans="1:17" x14ac:dyDescent="0.2">
      <c r="A4788" s="1">
        <v>7047</v>
      </c>
      <c r="B4788" s="2">
        <v>42171</v>
      </c>
      <c r="C4788" s="7">
        <f>_xlfn.FLOOR.MATH(Table1[[#This Row],[year]],10)</f>
        <v>2010</v>
      </c>
      <c r="D4788" t="s">
        <v>737</v>
      </c>
      <c r="E4788" t="s">
        <v>195</v>
      </c>
      <c r="F4788">
        <v>0</v>
      </c>
      <c r="G4788">
        <v>2</v>
      </c>
      <c r="H4788" t="s">
        <v>224</v>
      </c>
      <c r="I4788" t="s">
        <v>407</v>
      </c>
      <c r="J4788" t="s">
        <v>334</v>
      </c>
      <c r="K4788" t="b">
        <v>1</v>
      </c>
      <c r="L4788">
        <v>2015</v>
      </c>
      <c r="M4788">
        <v>59607290408</v>
      </c>
      <c r="N4788">
        <v>1539212301135</v>
      </c>
      <c r="O4788" t="b">
        <v>1</v>
      </c>
      <c r="P4788">
        <v>1</v>
      </c>
      <c r="Q4788" t="str" cm="1">
        <f t="array" ref="Q4788">_xlfn.IFS(Table1[[#This Row],[Wealthier_Winner]]=-1,"Wealthier Nation Loses",Table1[[#This Row],[Wealthier_Winner]]=0,"Tie",Table1[[#This Row],[Wealthier_Winner]]=1,"Wealthier Nation Wins")</f>
        <v>Wealthier Nation Wins</v>
      </c>
    </row>
    <row r="4789" spans="1:17" x14ac:dyDescent="0.2">
      <c r="A4789" s="1">
        <v>7048</v>
      </c>
      <c r="B4789" s="2">
        <v>42171</v>
      </c>
      <c r="C4789" s="7">
        <f>_xlfn.FLOOR.MATH(Table1[[#This Row],[year]],10)</f>
        <v>2010</v>
      </c>
      <c r="D4789" t="s">
        <v>551</v>
      </c>
      <c r="E4789" t="s">
        <v>641</v>
      </c>
      <c r="F4789">
        <v>0</v>
      </c>
      <c r="G4789">
        <v>1</v>
      </c>
      <c r="H4789" t="s">
        <v>224</v>
      </c>
      <c r="I4789" t="s">
        <v>553</v>
      </c>
      <c r="J4789" t="s">
        <v>551</v>
      </c>
      <c r="K4789" t="b">
        <v>0</v>
      </c>
      <c r="L4789">
        <v>2015</v>
      </c>
      <c r="M4789">
        <v>24174170369</v>
      </c>
      <c r="N4789">
        <v>19134221644</v>
      </c>
      <c r="O4789" t="b">
        <v>0</v>
      </c>
      <c r="P4789">
        <v>-1</v>
      </c>
      <c r="Q4789" t="str" cm="1">
        <f t="array" ref="Q4789">_xlfn.IFS(Table1[[#This Row],[Wealthier_Winner]]=-1,"Wealthier Nation Loses",Table1[[#This Row],[Wealthier_Winner]]=0,"Tie",Table1[[#This Row],[Wealthier_Winner]]=1,"Wealthier Nation Wins")</f>
        <v>Wealthier Nation Loses</v>
      </c>
    </row>
    <row r="4790" spans="1:17" x14ac:dyDescent="0.2">
      <c r="A4790" s="1">
        <v>7049</v>
      </c>
      <c r="B4790" s="2">
        <v>42171</v>
      </c>
      <c r="C4790" s="7">
        <f>_xlfn.FLOOR.MATH(Table1[[#This Row],[year]],10)</f>
        <v>2010</v>
      </c>
      <c r="D4790" t="s">
        <v>738</v>
      </c>
      <c r="E4790" t="s">
        <v>39</v>
      </c>
      <c r="F4790">
        <v>0</v>
      </c>
      <c r="G4790">
        <v>3</v>
      </c>
      <c r="H4790" t="s">
        <v>224</v>
      </c>
      <c r="I4790" t="s">
        <v>689</v>
      </c>
      <c r="J4790" t="s">
        <v>333</v>
      </c>
      <c r="K4790" t="b">
        <v>1</v>
      </c>
      <c r="L4790">
        <v>2015</v>
      </c>
      <c r="M4790">
        <v>1590282371</v>
      </c>
      <c r="N4790">
        <v>381973042886</v>
      </c>
      <c r="O4790" t="b">
        <v>1</v>
      </c>
      <c r="P4790">
        <v>1</v>
      </c>
      <c r="Q4790" t="str" cm="1">
        <f t="array" ref="Q4790">_xlfn.IFS(Table1[[#This Row],[Wealthier_Winner]]=-1,"Wealthier Nation Loses",Table1[[#This Row],[Wealthier_Winner]]=0,"Tie",Table1[[#This Row],[Wealthier_Winner]]=1,"Wealthier Nation Wins")</f>
        <v>Wealthier Nation Wins</v>
      </c>
    </row>
    <row r="4791" spans="1:17" x14ac:dyDescent="0.2">
      <c r="A4791" s="1">
        <v>7051</v>
      </c>
      <c r="B4791" s="2">
        <v>42171</v>
      </c>
      <c r="C4791" s="7">
        <f>_xlfn.FLOOR.MATH(Table1[[#This Row],[year]],10)</f>
        <v>2010</v>
      </c>
      <c r="D4791" t="s">
        <v>782</v>
      </c>
      <c r="E4791" t="s">
        <v>406</v>
      </c>
      <c r="F4791">
        <v>2</v>
      </c>
      <c r="G4791">
        <v>1</v>
      </c>
      <c r="H4791" t="s">
        <v>224</v>
      </c>
      <c r="I4791" t="s">
        <v>783</v>
      </c>
      <c r="J4791" t="s">
        <v>782</v>
      </c>
      <c r="K4791" t="b">
        <v>0</v>
      </c>
      <c r="L4791">
        <v>2015</v>
      </c>
      <c r="M4791">
        <v>5799000000</v>
      </c>
      <c r="N4791">
        <v>2103588360044</v>
      </c>
      <c r="O4791" t="b">
        <v>1</v>
      </c>
      <c r="P4791">
        <v>-1</v>
      </c>
      <c r="Q4791" t="str" cm="1">
        <f t="array" ref="Q4791">_xlfn.IFS(Table1[[#This Row],[Wealthier_Winner]]=-1,"Wealthier Nation Loses",Table1[[#This Row],[Wealthier_Winner]]=0,"Tie",Table1[[#This Row],[Wealthier_Winner]]=1,"Wealthier Nation Wins")</f>
        <v>Wealthier Nation Loses</v>
      </c>
    </row>
    <row r="4792" spans="1:17" x14ac:dyDescent="0.2">
      <c r="A4792" s="1">
        <v>7053</v>
      </c>
      <c r="B4792" s="2">
        <v>42171</v>
      </c>
      <c r="C4792" s="7">
        <f>_xlfn.FLOOR.MATH(Table1[[#This Row],[year]],10)</f>
        <v>2010</v>
      </c>
      <c r="D4792" t="s">
        <v>51</v>
      </c>
      <c r="E4792" t="s">
        <v>359</v>
      </c>
      <c r="F4792">
        <v>0</v>
      </c>
      <c r="G4792">
        <v>0</v>
      </c>
      <c r="H4792" t="s">
        <v>224</v>
      </c>
      <c r="I4792" t="s">
        <v>143</v>
      </c>
      <c r="J4792" t="s">
        <v>51</v>
      </c>
      <c r="K4792" t="b">
        <v>0</v>
      </c>
      <c r="L4792">
        <v>2015</v>
      </c>
      <c r="M4792">
        <v>4444930651964</v>
      </c>
      <c r="N4792">
        <v>307998545269</v>
      </c>
      <c r="O4792" t="b">
        <v>1</v>
      </c>
      <c r="P4792">
        <v>0</v>
      </c>
      <c r="Q4792" t="str" cm="1">
        <f t="array" ref="Q4792">_xlfn.IFS(Table1[[#This Row],[Wealthier_Winner]]=-1,"Wealthier Nation Loses",Table1[[#This Row],[Wealthier_Winner]]=0,"Tie",Table1[[#This Row],[Wealthier_Winner]]=1,"Wealthier Nation Wins")</f>
        <v>Tie</v>
      </c>
    </row>
    <row r="4793" spans="1:17" x14ac:dyDescent="0.2">
      <c r="A4793" s="1">
        <v>7058</v>
      </c>
      <c r="B4793" s="2">
        <v>42171</v>
      </c>
      <c r="C4793" s="7">
        <f>_xlfn.FLOOR.MATH(Table1[[#This Row],[year]],10)</f>
        <v>2010</v>
      </c>
      <c r="D4793" t="s">
        <v>252</v>
      </c>
      <c r="E4793" t="s">
        <v>453</v>
      </c>
      <c r="F4793">
        <v>1</v>
      </c>
      <c r="G4793">
        <v>3</v>
      </c>
      <c r="H4793" t="s">
        <v>224</v>
      </c>
      <c r="I4793" t="s">
        <v>255</v>
      </c>
      <c r="J4793" t="s">
        <v>252</v>
      </c>
      <c r="K4793" t="b">
        <v>0</v>
      </c>
      <c r="L4793">
        <v>2015</v>
      </c>
      <c r="M4793">
        <v>5126237646</v>
      </c>
      <c r="N4793">
        <v>12756696261</v>
      </c>
      <c r="O4793" t="b">
        <v>1</v>
      </c>
      <c r="P4793">
        <v>1</v>
      </c>
      <c r="Q4793" t="str" cm="1">
        <f t="array" ref="Q4793">_xlfn.IFS(Table1[[#This Row],[Wealthier_Winner]]=-1,"Wealthier Nation Loses",Table1[[#This Row],[Wealthier_Winner]]=0,"Tie",Table1[[#This Row],[Wealthier_Winner]]=1,"Wealthier Nation Wins")</f>
        <v>Wealthier Nation Wins</v>
      </c>
    </row>
    <row r="4794" spans="1:17" x14ac:dyDescent="0.2">
      <c r="A4794" s="1">
        <v>7059</v>
      </c>
      <c r="B4794" s="2">
        <v>42171</v>
      </c>
      <c r="C4794" s="7">
        <f>_xlfn.FLOOR.MATH(Table1[[#This Row],[year]],10)</f>
        <v>2010</v>
      </c>
      <c r="D4794" t="s">
        <v>560</v>
      </c>
      <c r="E4794" t="s">
        <v>210</v>
      </c>
      <c r="F4794">
        <v>1</v>
      </c>
      <c r="G4794">
        <v>1</v>
      </c>
      <c r="H4794" t="s">
        <v>224</v>
      </c>
      <c r="I4794" t="s">
        <v>786</v>
      </c>
      <c r="J4794" t="s">
        <v>560</v>
      </c>
      <c r="K4794" t="b">
        <v>0</v>
      </c>
      <c r="L4794">
        <v>2015</v>
      </c>
      <c r="M4794">
        <v>35799714285</v>
      </c>
      <c r="N4794">
        <v>409191686496</v>
      </c>
      <c r="O4794" t="b">
        <v>1</v>
      </c>
      <c r="P4794">
        <v>0</v>
      </c>
      <c r="Q4794" t="str" cm="1">
        <f t="array" ref="Q4794">_xlfn.IFS(Table1[[#This Row],[Wealthier_Winner]]=-1,"Wealthier Nation Loses",Table1[[#This Row],[Wealthier_Winner]]=0,"Tie",Table1[[#This Row],[Wealthier_Winner]]=1,"Wealthier Nation Wins")</f>
        <v>Tie</v>
      </c>
    </row>
    <row r="4795" spans="1:17" x14ac:dyDescent="0.2">
      <c r="A4795" s="1">
        <v>7061</v>
      </c>
      <c r="B4795" s="2">
        <v>42171</v>
      </c>
      <c r="C4795" s="7">
        <f>_xlfn.FLOOR.MATH(Table1[[#This Row],[year]],10)</f>
        <v>2010</v>
      </c>
      <c r="D4795" t="s">
        <v>34</v>
      </c>
      <c r="E4795" t="s">
        <v>494</v>
      </c>
      <c r="F4795">
        <v>4</v>
      </c>
      <c r="G4795">
        <v>0</v>
      </c>
      <c r="H4795" t="s">
        <v>224</v>
      </c>
      <c r="I4795" t="s">
        <v>267</v>
      </c>
      <c r="J4795" t="s">
        <v>34</v>
      </c>
      <c r="K4795" t="b">
        <v>0</v>
      </c>
      <c r="L4795">
        <v>2015</v>
      </c>
      <c r="M4795">
        <v>1556508816217</v>
      </c>
      <c r="N4795">
        <v>583177777</v>
      </c>
      <c r="O4795" t="b">
        <v>1</v>
      </c>
      <c r="P4795">
        <v>1</v>
      </c>
      <c r="Q4795" t="str" cm="1">
        <f t="array" ref="Q4795">_xlfn.IFS(Table1[[#This Row],[Wealthier_Winner]]=-1,"Wealthier Nation Loses",Table1[[#This Row],[Wealthier_Winner]]=0,"Tie",Table1[[#This Row],[Wealthier_Winner]]=1,"Wealthier Nation Wins")</f>
        <v>Wealthier Nation Wins</v>
      </c>
    </row>
    <row r="4796" spans="1:17" x14ac:dyDescent="0.2">
      <c r="A4796" s="1">
        <v>7064</v>
      </c>
      <c r="B4796" s="2">
        <v>42247</v>
      </c>
      <c r="C4796" s="7">
        <f>_xlfn.FLOOR.MATH(Table1[[#This Row],[year]],10)</f>
        <v>2010</v>
      </c>
      <c r="D4796" t="s">
        <v>542</v>
      </c>
      <c r="E4796" t="s">
        <v>655</v>
      </c>
      <c r="F4796">
        <v>3</v>
      </c>
      <c r="G4796">
        <v>2</v>
      </c>
      <c r="H4796" t="s">
        <v>224</v>
      </c>
      <c r="I4796" t="s">
        <v>787</v>
      </c>
      <c r="J4796" t="s">
        <v>541</v>
      </c>
      <c r="K4796" t="b">
        <v>1</v>
      </c>
      <c r="L4796">
        <v>2015</v>
      </c>
      <c r="M4796">
        <v>824150498</v>
      </c>
      <c r="N4796">
        <v>673000000</v>
      </c>
      <c r="O4796" t="b">
        <v>0</v>
      </c>
      <c r="P4796">
        <v>1</v>
      </c>
      <c r="Q4796" t="str" cm="1">
        <f t="array" ref="Q4796">_xlfn.IFS(Table1[[#This Row],[Wealthier_Winner]]=-1,"Wealthier Nation Loses",Table1[[#This Row],[Wealthier_Winner]]=0,"Tie",Table1[[#This Row],[Wealthier_Winner]]=1,"Wealthier Nation Wins")</f>
        <v>Wealthier Nation Wins</v>
      </c>
    </row>
    <row r="4797" spans="1:17" x14ac:dyDescent="0.2">
      <c r="A4797" s="1">
        <v>7067</v>
      </c>
      <c r="B4797" s="2">
        <v>42249</v>
      </c>
      <c r="C4797" s="7">
        <f>_xlfn.FLOOR.MATH(Table1[[#This Row],[year]],10)</f>
        <v>2010</v>
      </c>
      <c r="D4797" t="s">
        <v>541</v>
      </c>
      <c r="E4797" t="s">
        <v>655</v>
      </c>
      <c r="F4797">
        <v>1</v>
      </c>
      <c r="G4797">
        <v>2</v>
      </c>
      <c r="H4797" t="s">
        <v>224</v>
      </c>
      <c r="I4797" t="s">
        <v>787</v>
      </c>
      <c r="J4797" t="s">
        <v>541</v>
      </c>
      <c r="K4797" t="b">
        <v>0</v>
      </c>
      <c r="L4797">
        <v>2015</v>
      </c>
      <c r="M4797">
        <v>437525514</v>
      </c>
      <c r="N4797">
        <v>673000000</v>
      </c>
      <c r="O4797" t="b">
        <v>0</v>
      </c>
      <c r="P4797">
        <v>1</v>
      </c>
      <c r="Q4797" t="str" cm="1">
        <f t="array" ref="Q4797">_xlfn.IFS(Table1[[#This Row],[Wealthier_Winner]]=-1,"Wealthier Nation Loses",Table1[[#This Row],[Wealthier_Winner]]=0,"Tie",Table1[[#This Row],[Wealthier_Winner]]=1,"Wealthier Nation Wins")</f>
        <v>Wealthier Nation Wins</v>
      </c>
    </row>
    <row r="4798" spans="1:17" x14ac:dyDescent="0.2">
      <c r="A4798" s="1">
        <v>7068</v>
      </c>
      <c r="B4798" s="2">
        <v>42250</v>
      </c>
      <c r="C4798" s="7">
        <f>_xlfn.FLOOR.MATH(Table1[[#This Row],[year]],10)</f>
        <v>2010</v>
      </c>
      <c r="D4798" t="s">
        <v>28</v>
      </c>
      <c r="E4798" t="s">
        <v>405</v>
      </c>
      <c r="F4798">
        <v>5</v>
      </c>
      <c r="G4798">
        <v>0</v>
      </c>
      <c r="H4798" t="s">
        <v>224</v>
      </c>
      <c r="I4798" t="s">
        <v>788</v>
      </c>
      <c r="J4798" t="s">
        <v>28</v>
      </c>
      <c r="K4798" t="b">
        <v>0</v>
      </c>
      <c r="L4798">
        <v>2015</v>
      </c>
      <c r="M4798">
        <v>1356805839935</v>
      </c>
      <c r="N4798">
        <v>195146608978</v>
      </c>
      <c r="O4798" t="b">
        <v>1</v>
      </c>
      <c r="P4798">
        <v>1</v>
      </c>
      <c r="Q4798" t="str" cm="1">
        <f t="array" ref="Q4798">_xlfn.IFS(Table1[[#This Row],[Wealthier_Winner]]=-1,"Wealthier Nation Loses",Table1[[#This Row],[Wealthier_Winner]]=0,"Tie",Table1[[#This Row],[Wealthier_Winner]]=1,"Wealthier Nation Wins")</f>
        <v>Wealthier Nation Wins</v>
      </c>
    </row>
    <row r="4799" spans="1:17" x14ac:dyDescent="0.2">
      <c r="A4799" s="1">
        <v>7071</v>
      </c>
      <c r="B4799" s="2">
        <v>42250</v>
      </c>
      <c r="C4799" s="7">
        <f>_xlfn.FLOOR.MATH(Table1[[#This Row],[year]],10)</f>
        <v>2010</v>
      </c>
      <c r="D4799" t="s">
        <v>210</v>
      </c>
      <c r="E4799" t="s">
        <v>782</v>
      </c>
      <c r="F4799">
        <v>6</v>
      </c>
      <c r="G4799">
        <v>0</v>
      </c>
      <c r="H4799" t="s">
        <v>224</v>
      </c>
      <c r="I4799" t="s">
        <v>332</v>
      </c>
      <c r="J4799" t="s">
        <v>210</v>
      </c>
      <c r="K4799" t="b">
        <v>0</v>
      </c>
      <c r="L4799">
        <v>2015</v>
      </c>
      <c r="M4799">
        <v>409191686496</v>
      </c>
      <c r="N4799">
        <v>5799000000</v>
      </c>
      <c r="O4799" t="b">
        <v>1</v>
      </c>
      <c r="P4799">
        <v>1</v>
      </c>
      <c r="Q4799" t="str" cm="1">
        <f t="array" ref="Q4799">_xlfn.IFS(Table1[[#This Row],[Wealthier_Winner]]=-1,"Wealthier Nation Loses",Table1[[#This Row],[Wealthier_Winner]]=0,"Tie",Table1[[#This Row],[Wealthier_Winner]]=1,"Wealthier Nation Wins")</f>
        <v>Wealthier Nation Wins</v>
      </c>
    </row>
    <row r="4800" spans="1:17" x14ac:dyDescent="0.2">
      <c r="A4800" s="1">
        <v>7073</v>
      </c>
      <c r="B4800" s="2">
        <v>42250</v>
      </c>
      <c r="C4800" s="7">
        <f>_xlfn.FLOOR.MATH(Table1[[#This Row],[year]],10)</f>
        <v>2010</v>
      </c>
      <c r="D4800" t="s">
        <v>51</v>
      </c>
      <c r="E4800" t="s">
        <v>551</v>
      </c>
      <c r="F4800">
        <v>3</v>
      </c>
      <c r="G4800">
        <v>0</v>
      </c>
      <c r="H4800" t="s">
        <v>224</v>
      </c>
      <c r="I4800" t="s">
        <v>143</v>
      </c>
      <c r="J4800" t="s">
        <v>51</v>
      </c>
      <c r="K4800" t="b">
        <v>0</v>
      </c>
      <c r="L4800">
        <v>2015</v>
      </c>
      <c r="M4800">
        <v>4444930651964</v>
      </c>
      <c r="N4800">
        <v>24174170369</v>
      </c>
      <c r="O4800" t="b">
        <v>1</v>
      </c>
      <c r="P4800">
        <v>1</v>
      </c>
      <c r="Q4800" t="str" cm="1">
        <f t="array" ref="Q4800">_xlfn.IFS(Table1[[#This Row],[Wealthier_Winner]]=-1,"Wealthier Nation Loses",Table1[[#This Row],[Wealthier_Winner]]=0,"Tie",Table1[[#This Row],[Wealthier_Winner]]=1,"Wealthier Nation Wins")</f>
        <v>Wealthier Nation Wins</v>
      </c>
    </row>
    <row r="4801" spans="1:17" x14ac:dyDescent="0.2">
      <c r="A4801" s="1">
        <v>7076</v>
      </c>
      <c r="B4801" s="2">
        <v>42250</v>
      </c>
      <c r="C4801" s="7">
        <f>_xlfn.FLOOR.MATH(Table1[[#This Row],[year]],10)</f>
        <v>2010</v>
      </c>
      <c r="D4801" t="s">
        <v>71</v>
      </c>
      <c r="E4801" t="s">
        <v>737</v>
      </c>
      <c r="F4801">
        <v>9</v>
      </c>
      <c r="G4801">
        <v>0</v>
      </c>
      <c r="H4801" t="s">
        <v>224</v>
      </c>
      <c r="I4801" t="s">
        <v>190</v>
      </c>
      <c r="J4801" t="s">
        <v>68</v>
      </c>
      <c r="K4801" t="b">
        <v>1</v>
      </c>
      <c r="L4801">
        <v>2015</v>
      </c>
      <c r="M4801">
        <v>114585555688</v>
      </c>
      <c r="N4801">
        <v>59607290408</v>
      </c>
      <c r="O4801" t="b">
        <v>0</v>
      </c>
      <c r="P4801">
        <v>1</v>
      </c>
      <c r="Q4801" t="str" cm="1">
        <f t="array" ref="Q4801">_xlfn.IFS(Table1[[#This Row],[Wealthier_Winner]]=-1,"Wealthier Nation Loses",Table1[[#This Row],[Wealthier_Winner]]=0,"Tie",Table1[[#This Row],[Wealthier_Winner]]=1,"Wealthier Nation Wins")</f>
        <v>Wealthier Nation Wins</v>
      </c>
    </row>
    <row r="4802" spans="1:17" x14ac:dyDescent="0.2">
      <c r="A4802" s="1">
        <v>7077</v>
      </c>
      <c r="B4802" s="2">
        <v>42250</v>
      </c>
      <c r="C4802" s="7">
        <f>_xlfn.FLOOR.MATH(Table1[[#This Row],[year]],10)</f>
        <v>2010</v>
      </c>
      <c r="D4802" t="s">
        <v>429</v>
      </c>
      <c r="E4802" t="s">
        <v>560</v>
      </c>
      <c r="F4802">
        <v>3</v>
      </c>
      <c r="G4802">
        <v>1</v>
      </c>
      <c r="H4802" t="s">
        <v>224</v>
      </c>
      <c r="I4802" t="s">
        <v>789</v>
      </c>
      <c r="J4802" t="s">
        <v>429</v>
      </c>
      <c r="K4802" t="b">
        <v>0</v>
      </c>
      <c r="L4802">
        <v>2015</v>
      </c>
      <c r="M4802">
        <v>78710793237</v>
      </c>
      <c r="N4802">
        <v>35799714285</v>
      </c>
      <c r="O4802" t="b">
        <v>1</v>
      </c>
      <c r="P4802">
        <v>1</v>
      </c>
      <c r="Q4802" t="str" cm="1">
        <f t="array" ref="Q4802">_xlfn.IFS(Table1[[#This Row],[Wealthier_Winner]]=-1,"Wealthier Nation Loses",Table1[[#This Row],[Wealthier_Winner]]=0,"Tie",Table1[[#This Row],[Wealthier_Winner]]=1,"Wealthier Nation Wins")</f>
        <v>Wealthier Nation Wins</v>
      </c>
    </row>
    <row r="4803" spans="1:17" x14ac:dyDescent="0.2">
      <c r="A4803" s="1">
        <v>7078</v>
      </c>
      <c r="B4803" s="2">
        <v>42250</v>
      </c>
      <c r="C4803" s="7">
        <f>_xlfn.FLOOR.MATH(Table1[[#This Row],[year]],10)</f>
        <v>2010</v>
      </c>
      <c r="D4803" t="s">
        <v>68</v>
      </c>
      <c r="E4803" t="s">
        <v>777</v>
      </c>
      <c r="F4803">
        <v>15</v>
      </c>
      <c r="G4803">
        <v>0</v>
      </c>
      <c r="H4803" t="s">
        <v>224</v>
      </c>
      <c r="I4803" t="s">
        <v>190</v>
      </c>
      <c r="J4803" t="s">
        <v>68</v>
      </c>
      <c r="K4803" t="b">
        <v>0</v>
      </c>
      <c r="L4803">
        <v>2015</v>
      </c>
      <c r="M4803">
        <v>161739835164</v>
      </c>
      <c r="N4803">
        <v>2187815803</v>
      </c>
      <c r="O4803" t="b">
        <v>1</v>
      </c>
      <c r="P4803">
        <v>1</v>
      </c>
      <c r="Q4803" t="str" cm="1">
        <f t="array" ref="Q4803">_xlfn.IFS(Table1[[#This Row],[Wealthier_Winner]]=-1,"Wealthier Nation Loses",Table1[[#This Row],[Wealthier_Winner]]=0,"Tie",Table1[[#This Row],[Wealthier_Winner]]=1,"Wealthier Nation Wins")</f>
        <v>Wealthier Nation Wins</v>
      </c>
    </row>
    <row r="4804" spans="1:17" x14ac:dyDescent="0.2">
      <c r="A4804" s="1">
        <v>7079</v>
      </c>
      <c r="B4804" s="2">
        <v>42250</v>
      </c>
      <c r="C4804" s="7">
        <f>_xlfn.FLOOR.MATH(Table1[[#This Row],[year]],10)</f>
        <v>2010</v>
      </c>
      <c r="D4804" t="s">
        <v>45</v>
      </c>
      <c r="E4804" t="s">
        <v>738</v>
      </c>
      <c r="F4804">
        <v>7</v>
      </c>
      <c r="G4804">
        <v>0</v>
      </c>
      <c r="H4804" t="s">
        <v>224</v>
      </c>
      <c r="I4804" t="s">
        <v>354</v>
      </c>
      <c r="J4804" t="s">
        <v>45</v>
      </c>
      <c r="K4804" t="b">
        <v>0</v>
      </c>
      <c r="L4804">
        <v>2015</v>
      </c>
      <c r="M4804">
        <v>693414400000</v>
      </c>
      <c r="N4804">
        <v>1590282371</v>
      </c>
      <c r="O4804" t="b">
        <v>1</v>
      </c>
      <c r="P4804">
        <v>1</v>
      </c>
      <c r="Q4804" t="str" cm="1">
        <f t="array" ref="Q4804">_xlfn.IFS(Table1[[#This Row],[Wealthier_Winner]]=-1,"Wealthier Nation Loses",Table1[[#This Row],[Wealthier_Winner]]=0,"Tie",Table1[[#This Row],[Wealthier_Winner]]=1,"Wealthier Nation Wins")</f>
        <v>Wealthier Nation Wins</v>
      </c>
    </row>
    <row r="4805" spans="1:17" x14ac:dyDescent="0.2">
      <c r="A4805" s="1">
        <v>7080</v>
      </c>
      <c r="B4805" s="2">
        <v>42250</v>
      </c>
      <c r="C4805" s="7">
        <f>_xlfn.FLOOR.MATH(Table1[[#This Row],[year]],10)</f>
        <v>2010</v>
      </c>
      <c r="D4805" t="s">
        <v>331</v>
      </c>
      <c r="E4805" t="s">
        <v>359</v>
      </c>
      <c r="F4805">
        <v>1</v>
      </c>
      <c r="G4805">
        <v>0</v>
      </c>
      <c r="H4805" t="s">
        <v>224</v>
      </c>
      <c r="I4805" t="s">
        <v>430</v>
      </c>
      <c r="J4805" t="s">
        <v>429</v>
      </c>
      <c r="K4805" t="b">
        <v>1</v>
      </c>
      <c r="L4805">
        <v>2015</v>
      </c>
      <c r="M4805">
        <v>16466863117</v>
      </c>
      <c r="N4805">
        <v>307998545269</v>
      </c>
      <c r="O4805" t="b">
        <v>1</v>
      </c>
      <c r="P4805">
        <v>-1</v>
      </c>
      <c r="Q4805" t="str" cm="1">
        <f t="array" ref="Q4805">_xlfn.IFS(Table1[[#This Row],[Wealthier_Winner]]=-1,"Wealthier Nation Loses",Table1[[#This Row],[Wealthier_Winner]]=0,"Tie",Table1[[#This Row],[Wealthier_Winner]]=1,"Wealthier Nation Wins")</f>
        <v>Wealthier Nation Loses</v>
      </c>
    </row>
    <row r="4806" spans="1:17" x14ac:dyDescent="0.2">
      <c r="A4806" s="1">
        <v>7081</v>
      </c>
      <c r="B4806" s="2">
        <v>42250</v>
      </c>
      <c r="C4806" s="7">
        <f>_xlfn.FLOOR.MATH(Table1[[#This Row],[year]],10)</f>
        <v>2010</v>
      </c>
      <c r="D4806" t="s">
        <v>39</v>
      </c>
      <c r="E4806" t="s">
        <v>333</v>
      </c>
      <c r="F4806">
        <v>10</v>
      </c>
      <c r="G4806">
        <v>0</v>
      </c>
      <c r="H4806" t="s">
        <v>224</v>
      </c>
      <c r="I4806" t="s">
        <v>576</v>
      </c>
      <c r="J4806" t="s">
        <v>39</v>
      </c>
      <c r="K4806" t="b">
        <v>0</v>
      </c>
      <c r="L4806">
        <v>2015</v>
      </c>
      <c r="M4806">
        <v>381973042886</v>
      </c>
      <c r="N4806">
        <v>301355266964</v>
      </c>
      <c r="O4806" t="b">
        <v>0</v>
      </c>
      <c r="P4806">
        <v>1</v>
      </c>
      <c r="Q4806" t="str" cm="1">
        <f t="array" ref="Q4806">_xlfn.IFS(Table1[[#This Row],[Wealthier_Winner]]=-1,"Wealthier Nation Loses",Table1[[#This Row],[Wealthier_Winner]]=0,"Tie",Table1[[#This Row],[Wealthier_Winner]]=1,"Wealthier Nation Wins")</f>
        <v>Wealthier Nation Wins</v>
      </c>
    </row>
    <row r="4807" spans="1:17" x14ac:dyDescent="0.2">
      <c r="A4807" s="1">
        <v>7085</v>
      </c>
      <c r="B4807" s="2">
        <v>42251</v>
      </c>
      <c r="C4807" s="7">
        <f>_xlfn.FLOOR.MATH(Table1[[#This Row],[year]],10)</f>
        <v>2010</v>
      </c>
      <c r="D4807" t="s">
        <v>499</v>
      </c>
      <c r="E4807" t="s">
        <v>70</v>
      </c>
      <c r="F4807">
        <v>1</v>
      </c>
      <c r="G4807">
        <v>3</v>
      </c>
      <c r="H4807" t="s">
        <v>224</v>
      </c>
      <c r="I4807" t="s">
        <v>501</v>
      </c>
      <c r="J4807" t="s">
        <v>499</v>
      </c>
      <c r="K4807" t="b">
        <v>0</v>
      </c>
      <c r="L4807">
        <v>2015</v>
      </c>
      <c r="M4807">
        <v>997007407</v>
      </c>
      <c r="N4807">
        <v>14849629308</v>
      </c>
      <c r="O4807" t="b">
        <v>1</v>
      </c>
      <c r="P4807">
        <v>1</v>
      </c>
      <c r="Q4807" t="str" cm="1">
        <f t="array" ref="Q4807">_xlfn.IFS(Table1[[#This Row],[Wealthier_Winner]]=-1,"Wealthier Nation Loses",Table1[[#This Row],[Wealthier_Winner]]=0,"Tie",Table1[[#This Row],[Wealthier_Winner]]=1,"Wealthier Nation Wins")</f>
        <v>Wealthier Nation Wins</v>
      </c>
    </row>
    <row r="4808" spans="1:17" x14ac:dyDescent="0.2">
      <c r="A4808" s="1">
        <v>7086</v>
      </c>
      <c r="B4808" s="2">
        <v>42251</v>
      </c>
      <c r="C4808" s="7">
        <f>_xlfn.FLOOR.MATH(Table1[[#This Row],[year]],10)</f>
        <v>2010</v>
      </c>
      <c r="D4808" t="s">
        <v>541</v>
      </c>
      <c r="E4808" t="s">
        <v>542</v>
      </c>
      <c r="F4808">
        <v>0</v>
      </c>
      <c r="G4808">
        <v>3</v>
      </c>
      <c r="H4808" t="s">
        <v>224</v>
      </c>
      <c r="I4808" t="s">
        <v>787</v>
      </c>
      <c r="J4808" t="s">
        <v>541</v>
      </c>
      <c r="K4808" t="b">
        <v>0</v>
      </c>
      <c r="L4808">
        <v>2015</v>
      </c>
      <c r="M4808">
        <v>437525514</v>
      </c>
      <c r="N4808">
        <v>824150498</v>
      </c>
      <c r="O4808" t="b">
        <v>0</v>
      </c>
      <c r="P4808">
        <v>1</v>
      </c>
      <c r="Q4808" t="str" cm="1">
        <f t="array" ref="Q4808">_xlfn.IFS(Table1[[#This Row],[Wealthier_Winner]]=-1,"Wealthier Nation Loses",Table1[[#This Row],[Wealthier_Winner]]=0,"Tie",Table1[[#This Row],[Wealthier_Winner]]=1,"Wealthier Nation Wins")</f>
        <v>Wealthier Nation Wins</v>
      </c>
    </row>
    <row r="4809" spans="1:17" x14ac:dyDescent="0.2">
      <c r="A4809" s="1">
        <v>7087</v>
      </c>
      <c r="B4809" s="2">
        <v>42251</v>
      </c>
      <c r="C4809" s="7">
        <f>_xlfn.FLOOR.MATH(Table1[[#This Row],[year]],10)</f>
        <v>2010</v>
      </c>
      <c r="D4809" t="s">
        <v>449</v>
      </c>
      <c r="E4809" t="s">
        <v>223</v>
      </c>
      <c r="F4809">
        <v>1</v>
      </c>
      <c r="G4809">
        <v>0</v>
      </c>
      <c r="H4809" t="s">
        <v>224</v>
      </c>
      <c r="I4809" t="s">
        <v>790</v>
      </c>
      <c r="J4809" t="s">
        <v>449</v>
      </c>
      <c r="K4809" t="b">
        <v>0</v>
      </c>
      <c r="L4809">
        <v>2015</v>
      </c>
      <c r="M4809">
        <v>1437485185</v>
      </c>
      <c r="N4809">
        <v>62186066547</v>
      </c>
      <c r="O4809" t="b">
        <v>1</v>
      </c>
      <c r="P4809">
        <v>-1</v>
      </c>
      <c r="Q4809" t="str" cm="1">
        <f t="array" ref="Q4809">_xlfn.IFS(Table1[[#This Row],[Wealthier_Winner]]=-1,"Wealthier Nation Loses",Table1[[#This Row],[Wealthier_Winner]]=0,"Tie",Table1[[#This Row],[Wealthier_Winner]]=1,"Wealthier Nation Wins")</f>
        <v>Wealthier Nation Loses</v>
      </c>
    </row>
    <row r="4810" spans="1:17" x14ac:dyDescent="0.2">
      <c r="A4810" s="1">
        <v>7088</v>
      </c>
      <c r="B4810" s="2">
        <v>42251</v>
      </c>
      <c r="C4810" s="7">
        <f>_xlfn.FLOOR.MATH(Table1[[#This Row],[year]],10)</f>
        <v>2010</v>
      </c>
      <c r="D4810" t="s">
        <v>34</v>
      </c>
      <c r="E4810" t="s">
        <v>511</v>
      </c>
      <c r="F4810">
        <v>3</v>
      </c>
      <c r="G4810">
        <v>0</v>
      </c>
      <c r="H4810" t="s">
        <v>224</v>
      </c>
      <c r="I4810" t="s">
        <v>267</v>
      </c>
      <c r="J4810" t="s">
        <v>34</v>
      </c>
      <c r="K4810" t="b">
        <v>0</v>
      </c>
      <c r="L4810">
        <v>2015</v>
      </c>
      <c r="M4810">
        <v>1556508816217</v>
      </c>
      <c r="N4810">
        <v>2193095150</v>
      </c>
      <c r="O4810" t="b">
        <v>1</v>
      </c>
      <c r="P4810">
        <v>1</v>
      </c>
      <c r="Q4810" t="str" cm="1">
        <f t="array" ref="Q4810">_xlfn.IFS(Table1[[#This Row],[Wealthier_Winner]]=-1,"Wealthier Nation Loses",Table1[[#This Row],[Wealthier_Winner]]=0,"Tie",Table1[[#This Row],[Wealthier_Winner]]=1,"Wealthier Nation Wins")</f>
        <v>Wealthier Nation Wins</v>
      </c>
    </row>
    <row r="4811" spans="1:17" x14ac:dyDescent="0.2">
      <c r="A4811" s="1">
        <v>7089</v>
      </c>
      <c r="B4811" s="2">
        <v>42251</v>
      </c>
      <c r="C4811" s="7">
        <f>_xlfn.FLOOR.MATH(Table1[[#This Row],[year]],10)</f>
        <v>2010</v>
      </c>
      <c r="D4811" t="s">
        <v>49</v>
      </c>
      <c r="E4811" t="s">
        <v>453</v>
      </c>
      <c r="F4811">
        <v>2</v>
      </c>
      <c r="G4811">
        <v>3</v>
      </c>
      <c r="H4811" t="s">
        <v>224</v>
      </c>
      <c r="I4811" t="s">
        <v>257</v>
      </c>
      <c r="J4811" t="s">
        <v>49</v>
      </c>
      <c r="K4811" t="b">
        <v>0</v>
      </c>
      <c r="L4811">
        <v>2015</v>
      </c>
      <c r="M4811">
        <v>14963589915</v>
      </c>
      <c r="N4811">
        <v>12756696261</v>
      </c>
      <c r="O4811" t="b">
        <v>0</v>
      </c>
      <c r="P4811">
        <v>-1</v>
      </c>
      <c r="Q4811" t="str" cm="1">
        <f t="array" ref="Q4811">_xlfn.IFS(Table1[[#This Row],[Wealthier_Winner]]=-1,"Wealthier Nation Loses",Table1[[#This Row],[Wealthier_Winner]]=0,"Tie",Table1[[#This Row],[Wealthier_Winner]]=1,"Wealthier Nation Wins")</f>
        <v>Wealthier Nation Loses</v>
      </c>
    </row>
    <row r="4812" spans="1:17" x14ac:dyDescent="0.2">
      <c r="A4812" s="1">
        <v>7091</v>
      </c>
      <c r="B4812" s="2">
        <v>42255</v>
      </c>
      <c r="C4812" s="7">
        <f>_xlfn.FLOOR.MATH(Table1[[#This Row],[year]],10)</f>
        <v>2010</v>
      </c>
      <c r="D4812" t="s">
        <v>641</v>
      </c>
      <c r="E4812" t="s">
        <v>51</v>
      </c>
      <c r="F4812">
        <v>0</v>
      </c>
      <c r="G4812">
        <v>6</v>
      </c>
      <c r="H4812" t="s">
        <v>224</v>
      </c>
      <c r="I4812" t="s">
        <v>332</v>
      </c>
      <c r="J4812" t="s">
        <v>210</v>
      </c>
      <c r="K4812" t="b">
        <v>1</v>
      </c>
      <c r="L4812">
        <v>2015</v>
      </c>
      <c r="M4812">
        <v>19134221644</v>
      </c>
      <c r="N4812">
        <v>4444930651964</v>
      </c>
      <c r="O4812" t="b">
        <v>1</v>
      </c>
      <c r="P4812">
        <v>1</v>
      </c>
      <c r="Q4812" t="str" cm="1">
        <f t="array" ref="Q4812">_xlfn.IFS(Table1[[#This Row],[Wealthier_Winner]]=-1,"Wealthier Nation Loses",Table1[[#This Row],[Wealthier_Winner]]=0,"Tie",Table1[[#This Row],[Wealthier_Winner]]=1,"Wealthier Nation Wins")</f>
        <v>Wealthier Nation Wins</v>
      </c>
    </row>
    <row r="4813" spans="1:17" x14ac:dyDescent="0.2">
      <c r="A4813" s="1">
        <v>7092</v>
      </c>
      <c r="B4813" s="2">
        <v>42255</v>
      </c>
      <c r="C4813" s="7">
        <f>_xlfn.FLOOR.MATH(Table1[[#This Row],[year]],10)</f>
        <v>2010</v>
      </c>
      <c r="D4813" t="s">
        <v>405</v>
      </c>
      <c r="E4813" t="s">
        <v>403</v>
      </c>
      <c r="F4813">
        <v>0</v>
      </c>
      <c r="G4813">
        <v>4</v>
      </c>
      <c r="H4813" t="s">
        <v>224</v>
      </c>
      <c r="I4813" t="s">
        <v>409</v>
      </c>
      <c r="J4813" t="s">
        <v>405</v>
      </c>
      <c r="K4813" t="b">
        <v>0</v>
      </c>
      <c r="L4813">
        <v>2015</v>
      </c>
      <c r="M4813">
        <v>195146608978</v>
      </c>
      <c r="N4813">
        <v>38587017887</v>
      </c>
      <c r="O4813" t="b">
        <v>1</v>
      </c>
      <c r="P4813">
        <v>-1</v>
      </c>
      <c r="Q4813" t="str" cm="1">
        <f t="array" ref="Q4813">_xlfn.IFS(Table1[[#This Row],[Wealthier_Winner]]=-1,"Wealthier Nation Loses",Table1[[#This Row],[Wealthier_Winner]]=0,"Tie",Table1[[#This Row],[Wealthier_Winner]]=1,"Wealthier Nation Wins")</f>
        <v>Wealthier Nation Loses</v>
      </c>
    </row>
    <row r="4814" spans="1:17" x14ac:dyDescent="0.2">
      <c r="A4814" s="1">
        <v>7093</v>
      </c>
      <c r="B4814" s="2">
        <v>42255</v>
      </c>
      <c r="C4814" s="7">
        <f>_xlfn.FLOOR.MATH(Table1[[#This Row],[year]],10)</f>
        <v>2010</v>
      </c>
      <c r="D4814" t="s">
        <v>551</v>
      </c>
      <c r="E4814" t="s">
        <v>331</v>
      </c>
      <c r="F4814">
        <v>0</v>
      </c>
      <c r="G4814">
        <v>6</v>
      </c>
      <c r="H4814" t="s">
        <v>224</v>
      </c>
      <c r="I4814" t="s">
        <v>553</v>
      </c>
      <c r="J4814" t="s">
        <v>551</v>
      </c>
      <c r="K4814" t="b">
        <v>0</v>
      </c>
      <c r="L4814">
        <v>2015</v>
      </c>
      <c r="M4814">
        <v>24174170369</v>
      </c>
      <c r="N4814">
        <v>16466863117</v>
      </c>
      <c r="O4814" t="b">
        <v>0</v>
      </c>
      <c r="P4814">
        <v>-1</v>
      </c>
      <c r="Q4814" t="str" cm="1">
        <f t="array" ref="Q4814">_xlfn.IFS(Table1[[#This Row],[Wealthier_Winner]]=-1,"Wealthier Nation Loses",Table1[[#This Row],[Wealthier_Winner]]=0,"Tie",Table1[[#This Row],[Wealthier_Winner]]=1,"Wealthier Nation Wins")</f>
        <v>Wealthier Nation Loses</v>
      </c>
    </row>
    <row r="4815" spans="1:17" x14ac:dyDescent="0.2">
      <c r="A4815" s="1">
        <v>7096</v>
      </c>
      <c r="B4815" s="2">
        <v>42255</v>
      </c>
      <c r="C4815" s="7">
        <f>_xlfn.FLOOR.MATH(Table1[[#This Row],[year]],10)</f>
        <v>2010</v>
      </c>
      <c r="D4815" t="s">
        <v>782</v>
      </c>
      <c r="E4815" t="s">
        <v>429</v>
      </c>
      <c r="F4815">
        <v>0</v>
      </c>
      <c r="G4815">
        <v>0</v>
      </c>
      <c r="H4815" t="s">
        <v>224</v>
      </c>
      <c r="I4815" t="s">
        <v>783</v>
      </c>
      <c r="J4815" t="s">
        <v>782</v>
      </c>
      <c r="K4815" t="b">
        <v>0</v>
      </c>
      <c r="L4815">
        <v>2015</v>
      </c>
      <c r="M4815">
        <v>5799000000</v>
      </c>
      <c r="N4815">
        <v>78710793237</v>
      </c>
      <c r="O4815" t="b">
        <v>1</v>
      </c>
      <c r="P4815">
        <v>0</v>
      </c>
      <c r="Q4815" t="str" cm="1">
        <f t="array" ref="Q4815">_xlfn.IFS(Table1[[#This Row],[Wealthier_Winner]]=-1,"Wealthier Nation Loses",Table1[[#This Row],[Wealthier_Winner]]=0,"Tie",Table1[[#This Row],[Wealthier_Winner]]=1,"Wealthier Nation Wins")</f>
        <v>Tie</v>
      </c>
    </row>
    <row r="4816" spans="1:17" x14ac:dyDescent="0.2">
      <c r="A4816" s="1">
        <v>7098</v>
      </c>
      <c r="B4816" s="2">
        <v>42255</v>
      </c>
      <c r="C4816" s="7">
        <f>_xlfn.FLOOR.MATH(Table1[[#This Row],[year]],10)</f>
        <v>2010</v>
      </c>
      <c r="D4816" t="s">
        <v>406</v>
      </c>
      <c r="E4816" t="s">
        <v>210</v>
      </c>
      <c r="F4816">
        <v>0</v>
      </c>
      <c r="G4816">
        <v>3</v>
      </c>
      <c r="H4816" t="s">
        <v>224</v>
      </c>
      <c r="I4816" t="s">
        <v>622</v>
      </c>
      <c r="J4816" t="s">
        <v>406</v>
      </c>
      <c r="K4816" t="b">
        <v>0</v>
      </c>
      <c r="L4816">
        <v>2015</v>
      </c>
      <c r="M4816">
        <v>2103588360044</v>
      </c>
      <c r="N4816">
        <v>409191686496</v>
      </c>
      <c r="O4816" t="b">
        <v>1</v>
      </c>
      <c r="P4816">
        <v>-1</v>
      </c>
      <c r="Q4816" t="str" cm="1">
        <f t="array" ref="Q4816">_xlfn.IFS(Table1[[#This Row],[Wealthier_Winner]]=-1,"Wealthier Nation Loses",Table1[[#This Row],[Wealthier_Winner]]=0,"Tie",Table1[[#This Row],[Wealthier_Winner]]=1,"Wealthier Nation Wins")</f>
        <v>Wealthier Nation Loses</v>
      </c>
    </row>
    <row r="4817" spans="1:17" x14ac:dyDescent="0.2">
      <c r="A4817" s="1">
        <v>7100</v>
      </c>
      <c r="B4817" s="2">
        <v>42255</v>
      </c>
      <c r="C4817" s="7">
        <f>_xlfn.FLOOR.MATH(Table1[[#This Row],[year]],10)</f>
        <v>2010</v>
      </c>
      <c r="D4817" t="s">
        <v>479</v>
      </c>
      <c r="E4817" t="s">
        <v>195</v>
      </c>
      <c r="F4817">
        <v>0</v>
      </c>
      <c r="G4817">
        <v>3</v>
      </c>
      <c r="H4817" t="s">
        <v>224</v>
      </c>
      <c r="I4817" t="s">
        <v>687</v>
      </c>
      <c r="J4817" t="s">
        <v>479</v>
      </c>
      <c r="K4817" t="b">
        <v>0</v>
      </c>
      <c r="L4817">
        <v>2015</v>
      </c>
      <c r="M4817">
        <v>49929337836</v>
      </c>
      <c r="N4817">
        <v>1539212301135</v>
      </c>
      <c r="O4817" t="b">
        <v>1</v>
      </c>
      <c r="P4817">
        <v>1</v>
      </c>
      <c r="Q4817" t="str" cm="1">
        <f t="array" ref="Q4817">_xlfn.IFS(Table1[[#This Row],[Wealthier_Winner]]=-1,"Wealthier Nation Loses",Table1[[#This Row],[Wealthier_Winner]]=0,"Tie",Table1[[#This Row],[Wealthier_Winner]]=1,"Wealthier Nation Wins")</f>
        <v>Wealthier Nation Wins</v>
      </c>
    </row>
    <row r="4818" spans="1:17" x14ac:dyDescent="0.2">
      <c r="A4818" s="1">
        <v>7101</v>
      </c>
      <c r="B4818" s="2">
        <v>42255</v>
      </c>
      <c r="C4818" s="7">
        <f>_xlfn.FLOOR.MATH(Table1[[#This Row],[year]],10)</f>
        <v>2010</v>
      </c>
      <c r="D4818" t="s">
        <v>333</v>
      </c>
      <c r="E4818" t="s">
        <v>45</v>
      </c>
      <c r="F4818">
        <v>0</v>
      </c>
      <c r="G4818">
        <v>3</v>
      </c>
      <c r="H4818" t="s">
        <v>224</v>
      </c>
      <c r="I4818" t="s">
        <v>689</v>
      </c>
      <c r="J4818" t="s">
        <v>333</v>
      </c>
      <c r="K4818" t="b">
        <v>0</v>
      </c>
      <c r="L4818">
        <v>2015</v>
      </c>
      <c r="M4818">
        <v>301355266964</v>
      </c>
      <c r="N4818">
        <v>693414400000</v>
      </c>
      <c r="O4818" t="b">
        <v>1</v>
      </c>
      <c r="P4818">
        <v>1</v>
      </c>
      <c r="Q4818" t="str" cm="1">
        <f t="array" ref="Q4818">_xlfn.IFS(Table1[[#This Row],[Wealthier_Winner]]=-1,"Wealthier Nation Loses",Table1[[#This Row],[Wealthier_Winner]]=0,"Tie",Table1[[#This Row],[Wealthier_Winner]]=1,"Wealthier Nation Wins")</f>
        <v>Wealthier Nation Wins</v>
      </c>
    </row>
    <row r="4819" spans="1:17" x14ac:dyDescent="0.2">
      <c r="A4819" s="1">
        <v>7103</v>
      </c>
      <c r="B4819" s="2">
        <v>42255</v>
      </c>
      <c r="C4819" s="7">
        <f>_xlfn.FLOOR.MATH(Table1[[#This Row],[year]],10)</f>
        <v>2010</v>
      </c>
      <c r="D4819" t="s">
        <v>532</v>
      </c>
      <c r="E4819" t="s">
        <v>563</v>
      </c>
      <c r="F4819">
        <v>1</v>
      </c>
      <c r="G4819">
        <v>5</v>
      </c>
      <c r="H4819" t="s">
        <v>224</v>
      </c>
      <c r="I4819" t="s">
        <v>784</v>
      </c>
      <c r="J4819" t="s">
        <v>532</v>
      </c>
      <c r="K4819" t="b">
        <v>0</v>
      </c>
      <c r="L4819">
        <v>2015</v>
      </c>
      <c r="M4819">
        <v>306445871242</v>
      </c>
      <c r="N4819">
        <v>86196264755</v>
      </c>
      <c r="O4819" t="b">
        <v>1</v>
      </c>
      <c r="P4819">
        <v>-1</v>
      </c>
      <c r="Q4819" t="str" cm="1">
        <f t="array" ref="Q4819">_xlfn.IFS(Table1[[#This Row],[Wealthier_Winner]]=-1,"Wealthier Nation Loses",Table1[[#This Row],[Wealthier_Winner]]=0,"Tie",Table1[[#This Row],[Wealthier_Winner]]=1,"Wealthier Nation Wins")</f>
        <v>Wealthier Nation Loses</v>
      </c>
    </row>
    <row r="4820" spans="1:17" x14ac:dyDescent="0.2">
      <c r="A4820" s="1">
        <v>7104</v>
      </c>
      <c r="B4820" s="2">
        <v>42255</v>
      </c>
      <c r="C4820" s="7">
        <f>_xlfn.FLOOR.MATH(Table1[[#This Row],[year]],10)</f>
        <v>2010</v>
      </c>
      <c r="D4820" t="s">
        <v>556</v>
      </c>
      <c r="E4820" t="s">
        <v>28</v>
      </c>
      <c r="F4820">
        <v>0</v>
      </c>
      <c r="G4820">
        <v>3</v>
      </c>
      <c r="H4820" t="s">
        <v>224</v>
      </c>
      <c r="I4820" t="s">
        <v>557</v>
      </c>
      <c r="J4820" t="s">
        <v>556</v>
      </c>
      <c r="K4820" t="b">
        <v>0</v>
      </c>
      <c r="L4820">
        <v>2015</v>
      </c>
      <c r="M4820">
        <v>8271431485</v>
      </c>
      <c r="N4820">
        <v>1356805839935</v>
      </c>
      <c r="O4820" t="b">
        <v>1</v>
      </c>
      <c r="P4820">
        <v>1</v>
      </c>
      <c r="Q4820" t="str" cm="1">
        <f t="array" ref="Q4820">_xlfn.IFS(Table1[[#This Row],[Wealthier_Winner]]=-1,"Wealthier Nation Loses",Table1[[#This Row],[Wealthier_Winner]]=0,"Tie",Table1[[#This Row],[Wealthier_Winner]]=1,"Wealthier Nation Wins")</f>
        <v>Wealthier Nation Wins</v>
      </c>
    </row>
    <row r="4821" spans="1:17" x14ac:dyDescent="0.2">
      <c r="A4821" s="1">
        <v>7105</v>
      </c>
      <c r="B4821" s="2">
        <v>42255</v>
      </c>
      <c r="C4821" s="7">
        <f>_xlfn.FLOOR.MATH(Table1[[#This Row],[year]],10)</f>
        <v>2010</v>
      </c>
      <c r="D4821" t="s">
        <v>334</v>
      </c>
      <c r="E4821" t="s">
        <v>37</v>
      </c>
      <c r="F4821">
        <v>2</v>
      </c>
      <c r="G4821">
        <v>2</v>
      </c>
      <c r="H4821" t="s">
        <v>224</v>
      </c>
      <c r="I4821" t="s">
        <v>407</v>
      </c>
      <c r="J4821" t="s">
        <v>334</v>
      </c>
      <c r="K4821" t="b">
        <v>0</v>
      </c>
      <c r="L4821">
        <v>2015</v>
      </c>
      <c r="M4821">
        <v>401296238228</v>
      </c>
      <c r="N4821">
        <v>166774104959</v>
      </c>
      <c r="O4821" t="b">
        <v>1</v>
      </c>
      <c r="P4821">
        <v>0</v>
      </c>
      <c r="Q4821" t="str" cm="1">
        <f t="array" ref="Q4821">_xlfn.IFS(Table1[[#This Row],[Wealthier_Winner]]=-1,"Wealthier Nation Loses",Table1[[#This Row],[Wealthier_Winner]]=0,"Tie",Table1[[#This Row],[Wealthier_Winner]]=1,"Wealthier Nation Wins")</f>
        <v>Tie</v>
      </c>
    </row>
    <row r="4822" spans="1:17" x14ac:dyDescent="0.2">
      <c r="A4822" s="1">
        <v>7108</v>
      </c>
      <c r="B4822" s="2">
        <v>42255</v>
      </c>
      <c r="C4822" s="7">
        <f>_xlfn.FLOOR.MATH(Table1[[#This Row],[year]],10)</f>
        <v>2010</v>
      </c>
      <c r="D4822" t="s">
        <v>511</v>
      </c>
      <c r="E4822" t="s">
        <v>34</v>
      </c>
      <c r="F4822">
        <v>1</v>
      </c>
      <c r="G4822">
        <v>1</v>
      </c>
      <c r="H4822" t="s">
        <v>224</v>
      </c>
      <c r="I4822" t="s">
        <v>746</v>
      </c>
      <c r="J4822" t="s">
        <v>511</v>
      </c>
      <c r="K4822" t="b">
        <v>0</v>
      </c>
      <c r="L4822">
        <v>2015</v>
      </c>
      <c r="M4822">
        <v>2193095150</v>
      </c>
      <c r="N4822">
        <v>1556508816217</v>
      </c>
      <c r="O4822" t="b">
        <v>1</v>
      </c>
      <c r="P4822">
        <v>0</v>
      </c>
      <c r="Q4822" t="str" cm="1">
        <f t="array" ref="Q4822">_xlfn.IFS(Table1[[#This Row],[Wealthier_Winner]]=-1,"Wealthier Nation Loses",Table1[[#This Row],[Wealthier_Winner]]=0,"Tie",Table1[[#This Row],[Wealthier_Winner]]=1,"Wealthier Nation Wins")</f>
        <v>Tie</v>
      </c>
    </row>
    <row r="4823" spans="1:17" x14ac:dyDescent="0.2">
      <c r="A4823" s="1">
        <v>7109</v>
      </c>
      <c r="B4823" s="2">
        <v>42255</v>
      </c>
      <c r="C4823" s="7">
        <f>_xlfn.FLOOR.MATH(Table1[[#This Row],[year]],10)</f>
        <v>2010</v>
      </c>
      <c r="D4823" t="s">
        <v>223</v>
      </c>
      <c r="E4823" t="s">
        <v>449</v>
      </c>
      <c r="F4823">
        <v>2</v>
      </c>
      <c r="G4823">
        <v>0</v>
      </c>
      <c r="H4823" t="s">
        <v>224</v>
      </c>
      <c r="I4823" t="s">
        <v>227</v>
      </c>
      <c r="J4823" t="s">
        <v>223</v>
      </c>
      <c r="K4823" t="b">
        <v>0</v>
      </c>
      <c r="L4823">
        <v>2015</v>
      </c>
      <c r="M4823">
        <v>62186066547</v>
      </c>
      <c r="N4823">
        <v>1437485185</v>
      </c>
      <c r="O4823" t="b">
        <v>1</v>
      </c>
      <c r="P4823">
        <v>1</v>
      </c>
      <c r="Q4823" t="str" cm="1">
        <f t="array" ref="Q4823">_xlfn.IFS(Table1[[#This Row],[Wealthier_Winner]]=-1,"Wealthier Nation Loses",Table1[[#This Row],[Wealthier_Winner]]=0,"Tie",Table1[[#This Row],[Wealthier_Winner]]=1,"Wealthier Nation Wins")</f>
        <v>Wealthier Nation Wins</v>
      </c>
    </row>
    <row r="4824" spans="1:17" x14ac:dyDescent="0.2">
      <c r="A4824" s="1">
        <v>7110</v>
      </c>
      <c r="B4824" s="2">
        <v>42255</v>
      </c>
      <c r="C4824" s="7">
        <f>_xlfn.FLOOR.MATH(Table1[[#This Row],[year]],10)</f>
        <v>2010</v>
      </c>
      <c r="D4824" t="s">
        <v>70</v>
      </c>
      <c r="E4824" t="s">
        <v>499</v>
      </c>
      <c r="F4824">
        <v>3</v>
      </c>
      <c r="G4824">
        <v>0</v>
      </c>
      <c r="H4824" t="s">
        <v>224</v>
      </c>
      <c r="I4824" t="s">
        <v>280</v>
      </c>
      <c r="J4824" t="s">
        <v>70</v>
      </c>
      <c r="K4824" t="b">
        <v>0</v>
      </c>
      <c r="L4824">
        <v>2015</v>
      </c>
      <c r="M4824">
        <v>14849629308</v>
      </c>
      <c r="N4824">
        <v>997007407</v>
      </c>
      <c r="O4824" t="b">
        <v>1</v>
      </c>
      <c r="P4824">
        <v>1</v>
      </c>
      <c r="Q4824" t="str" cm="1">
        <f t="array" ref="Q4824">_xlfn.IFS(Table1[[#This Row],[Wealthier_Winner]]=-1,"Wealthier Nation Loses",Table1[[#This Row],[Wealthier_Winner]]=0,"Tie",Table1[[#This Row],[Wealthier_Winner]]=1,"Wealthier Nation Wins")</f>
        <v>Wealthier Nation Wins</v>
      </c>
    </row>
    <row r="4825" spans="1:17" x14ac:dyDescent="0.2">
      <c r="A4825" s="1">
        <v>7111</v>
      </c>
      <c r="B4825" s="2">
        <v>42255</v>
      </c>
      <c r="C4825" s="7">
        <f>_xlfn.FLOOR.MATH(Table1[[#This Row],[year]],10)</f>
        <v>2010</v>
      </c>
      <c r="D4825" t="s">
        <v>453</v>
      </c>
      <c r="E4825" t="s">
        <v>49</v>
      </c>
      <c r="F4825">
        <v>0</v>
      </c>
      <c r="G4825">
        <v>2</v>
      </c>
      <c r="H4825" t="s">
        <v>224</v>
      </c>
      <c r="I4825" t="s">
        <v>454</v>
      </c>
      <c r="J4825" t="s">
        <v>453</v>
      </c>
      <c r="K4825" t="b">
        <v>0</v>
      </c>
      <c r="L4825">
        <v>2015</v>
      </c>
      <c r="M4825">
        <v>12756696261</v>
      </c>
      <c r="N4825">
        <v>14963589915</v>
      </c>
      <c r="O4825" t="b">
        <v>0</v>
      </c>
      <c r="P4825">
        <v>1</v>
      </c>
      <c r="Q4825" t="str" cm="1">
        <f t="array" ref="Q4825">_xlfn.IFS(Table1[[#This Row],[Wealthier_Winner]]=-1,"Wealthier Nation Loses",Table1[[#This Row],[Wealthier_Winner]]=0,"Tie",Table1[[#This Row],[Wealthier_Winner]]=1,"Wealthier Nation Wins")</f>
        <v>Wealthier Nation Wins</v>
      </c>
    </row>
    <row r="4826" spans="1:17" x14ac:dyDescent="0.2">
      <c r="A4826" s="1">
        <v>7113</v>
      </c>
      <c r="B4826" s="2">
        <v>42284</v>
      </c>
      <c r="C4826" s="7">
        <f>_xlfn.FLOOR.MATH(Table1[[#This Row],[year]],10)</f>
        <v>2010</v>
      </c>
      <c r="D4826" t="s">
        <v>688</v>
      </c>
      <c r="E4826" t="s">
        <v>307</v>
      </c>
      <c r="F4826">
        <v>0</v>
      </c>
      <c r="G4826">
        <v>0</v>
      </c>
      <c r="H4826" t="s">
        <v>224</v>
      </c>
      <c r="I4826" t="s">
        <v>690</v>
      </c>
      <c r="J4826" t="s">
        <v>688</v>
      </c>
      <c r="K4826" t="b">
        <v>0</v>
      </c>
      <c r="L4826">
        <v>2015</v>
      </c>
      <c r="M4826">
        <v>966029600</v>
      </c>
      <c r="N4826">
        <v>2359686724</v>
      </c>
      <c r="O4826" t="b">
        <v>1</v>
      </c>
      <c r="P4826">
        <v>0</v>
      </c>
      <c r="Q4826" t="str" cm="1">
        <f t="array" ref="Q4826">_xlfn.IFS(Table1[[#This Row],[Wealthier_Winner]]=-1,"Wealthier Nation Loses",Table1[[#This Row],[Wealthier_Winner]]=0,"Tie",Table1[[#This Row],[Wealthier_Winner]]=1,"Wealthier Nation Wins")</f>
        <v>Tie</v>
      </c>
    </row>
    <row r="4827" spans="1:17" x14ac:dyDescent="0.2">
      <c r="A4827" s="1">
        <v>7114</v>
      </c>
      <c r="B4827" s="2">
        <v>42284</v>
      </c>
      <c r="C4827" s="7">
        <f>_xlfn.FLOOR.MATH(Table1[[#This Row],[year]],10)</f>
        <v>2010</v>
      </c>
      <c r="D4827" t="s">
        <v>323</v>
      </c>
      <c r="E4827" t="s">
        <v>314</v>
      </c>
      <c r="F4827">
        <v>2</v>
      </c>
      <c r="G4827">
        <v>5</v>
      </c>
      <c r="H4827" t="s">
        <v>224</v>
      </c>
      <c r="I4827" t="s">
        <v>791</v>
      </c>
      <c r="J4827" t="s">
        <v>323</v>
      </c>
      <c r="K4827" t="b">
        <v>0</v>
      </c>
      <c r="L4827">
        <v>2015</v>
      </c>
      <c r="M4827">
        <v>12162211503</v>
      </c>
      <c r="N4827">
        <v>70120446896</v>
      </c>
      <c r="O4827" t="b">
        <v>1</v>
      </c>
      <c r="P4827">
        <v>1</v>
      </c>
      <c r="Q4827" t="str" cm="1">
        <f t="array" ref="Q4827">_xlfn.IFS(Table1[[#This Row],[Wealthier_Winner]]=-1,"Wealthier Nation Loses",Table1[[#This Row],[Wealthier_Winner]]=0,"Tie",Table1[[#This Row],[Wealthier_Winner]]=1,"Wealthier Nation Wins")</f>
        <v>Wealthier Nation Wins</v>
      </c>
    </row>
    <row r="4828" spans="1:17" x14ac:dyDescent="0.2">
      <c r="A4828" s="1">
        <v>7115</v>
      </c>
      <c r="B4828" s="2">
        <v>42284</v>
      </c>
      <c r="C4828" s="7">
        <f>_xlfn.FLOOR.MATH(Table1[[#This Row],[year]],10)</f>
        <v>2010</v>
      </c>
      <c r="D4828" t="s">
        <v>583</v>
      </c>
      <c r="E4828" t="s">
        <v>460</v>
      </c>
      <c r="F4828">
        <v>0</v>
      </c>
      <c r="G4828">
        <v>1</v>
      </c>
      <c r="H4828" t="s">
        <v>224</v>
      </c>
      <c r="I4828" t="s">
        <v>792</v>
      </c>
      <c r="J4828" t="s">
        <v>583</v>
      </c>
      <c r="K4828" t="b">
        <v>0</v>
      </c>
      <c r="L4828">
        <v>2015</v>
      </c>
      <c r="M4828">
        <v>1432403352</v>
      </c>
      <c r="N4828">
        <v>2810532912</v>
      </c>
      <c r="O4828" t="b">
        <v>0</v>
      </c>
      <c r="P4828">
        <v>1</v>
      </c>
      <c r="Q4828" t="str" cm="1">
        <f t="array" ref="Q4828">_xlfn.IFS(Table1[[#This Row],[Wealthier_Winner]]=-1,"Wealthier Nation Loses",Table1[[#This Row],[Wealthier_Winner]]=0,"Tie",Table1[[#This Row],[Wealthier_Winner]]=1,"Wealthier Nation Wins")</f>
        <v>Wealthier Nation Wins</v>
      </c>
    </row>
    <row r="4829" spans="1:17" x14ac:dyDescent="0.2">
      <c r="A4829" s="1">
        <v>7116</v>
      </c>
      <c r="B4829" s="2">
        <v>42284</v>
      </c>
      <c r="C4829" s="7">
        <f>_xlfn.FLOOR.MATH(Table1[[#This Row],[year]],10)</f>
        <v>2010</v>
      </c>
      <c r="D4829" t="s">
        <v>793</v>
      </c>
      <c r="E4829" t="s">
        <v>346</v>
      </c>
      <c r="F4829">
        <v>1</v>
      </c>
      <c r="G4829">
        <v>1</v>
      </c>
      <c r="H4829" t="s">
        <v>224</v>
      </c>
      <c r="I4829" t="s">
        <v>794</v>
      </c>
      <c r="J4829" t="s">
        <v>793</v>
      </c>
      <c r="K4829" t="b">
        <v>0</v>
      </c>
      <c r="L4829">
        <v>2015</v>
      </c>
      <c r="M4829">
        <v>11997800760</v>
      </c>
      <c r="N4829">
        <v>6166863896</v>
      </c>
      <c r="O4829" t="b">
        <v>0</v>
      </c>
      <c r="P4829">
        <v>0</v>
      </c>
      <c r="Q4829" t="str" cm="1">
        <f t="array" ref="Q4829">_xlfn.IFS(Table1[[#This Row],[Wealthier_Winner]]=-1,"Wealthier Nation Loses",Table1[[#This Row],[Wealthier_Winner]]=0,"Tie",Table1[[#This Row],[Wealthier_Winner]]=1,"Wealthier Nation Wins")</f>
        <v>Tie</v>
      </c>
    </row>
    <row r="4830" spans="1:17" x14ac:dyDescent="0.2">
      <c r="A4830" s="1">
        <v>7117</v>
      </c>
      <c r="B4830" s="2">
        <v>42284</v>
      </c>
      <c r="C4830" s="7">
        <f>_xlfn.FLOOR.MATH(Table1[[#This Row],[year]],10)</f>
        <v>2010</v>
      </c>
      <c r="D4830" t="s">
        <v>320</v>
      </c>
      <c r="E4830" t="s">
        <v>370</v>
      </c>
      <c r="F4830">
        <v>2</v>
      </c>
      <c r="G4830">
        <v>0</v>
      </c>
      <c r="H4830" t="s">
        <v>224</v>
      </c>
      <c r="I4830" t="s">
        <v>321</v>
      </c>
      <c r="J4830" t="s">
        <v>320</v>
      </c>
      <c r="K4830" t="b">
        <v>0</v>
      </c>
      <c r="L4830">
        <v>2015</v>
      </c>
      <c r="M4830">
        <v>47413919817</v>
      </c>
      <c r="N4830">
        <v>9219474379</v>
      </c>
      <c r="O4830" t="b">
        <v>1</v>
      </c>
      <c r="P4830">
        <v>1</v>
      </c>
      <c r="Q4830" t="str" cm="1">
        <f t="array" ref="Q4830">_xlfn.IFS(Table1[[#This Row],[Wealthier_Winner]]=-1,"Wealthier Nation Loses",Table1[[#This Row],[Wealthier_Winner]]=0,"Tie",Table1[[#This Row],[Wealthier_Winner]]=1,"Wealthier Nation Wins")</f>
        <v>Wealthier Nation Wins</v>
      </c>
    </row>
    <row r="4831" spans="1:17" x14ac:dyDescent="0.2">
      <c r="A4831" s="1">
        <v>7118</v>
      </c>
      <c r="B4831" s="2">
        <v>42285</v>
      </c>
      <c r="C4831" s="7">
        <f>_xlfn.FLOOR.MATH(Table1[[#This Row],[year]],10)</f>
        <v>2010</v>
      </c>
      <c r="D4831" t="s">
        <v>19</v>
      </c>
      <c r="E4831" t="s">
        <v>57</v>
      </c>
      <c r="F4831">
        <v>0</v>
      </c>
      <c r="G4831">
        <v>2</v>
      </c>
      <c r="H4831" t="s">
        <v>224</v>
      </c>
      <c r="I4831" t="s">
        <v>93</v>
      </c>
      <c r="J4831" t="s">
        <v>19</v>
      </c>
      <c r="K4831" t="b">
        <v>0</v>
      </c>
      <c r="L4831">
        <v>2015</v>
      </c>
      <c r="M4831">
        <v>594749285413</v>
      </c>
      <c r="N4831">
        <v>97209558000</v>
      </c>
      <c r="O4831" t="b">
        <v>1</v>
      </c>
      <c r="P4831">
        <v>-1</v>
      </c>
      <c r="Q4831" t="str" cm="1">
        <f t="array" ref="Q4831">_xlfn.IFS(Table1[[#This Row],[Wealthier_Winner]]=-1,"Wealthier Nation Loses",Table1[[#This Row],[Wealthier_Winner]]=0,"Tie",Table1[[#This Row],[Wealthier_Winner]]=1,"Wealthier Nation Wins")</f>
        <v>Wealthier Nation Loses</v>
      </c>
    </row>
    <row r="4832" spans="1:17" x14ac:dyDescent="0.2">
      <c r="A4832" s="1">
        <v>7119</v>
      </c>
      <c r="B4832" s="2">
        <v>42285</v>
      </c>
      <c r="C4832" s="7">
        <f>_xlfn.FLOOR.MATH(Table1[[#This Row],[year]],10)</f>
        <v>2010</v>
      </c>
      <c r="D4832" t="s">
        <v>361</v>
      </c>
      <c r="E4832" t="s">
        <v>563</v>
      </c>
      <c r="F4832">
        <v>0</v>
      </c>
      <c r="G4832">
        <v>4</v>
      </c>
      <c r="H4832" t="s">
        <v>224</v>
      </c>
      <c r="I4832" t="s">
        <v>419</v>
      </c>
      <c r="J4832" t="s">
        <v>361</v>
      </c>
      <c r="K4832" t="b">
        <v>0</v>
      </c>
      <c r="L4832">
        <v>2015</v>
      </c>
      <c r="M4832">
        <v>32523297872</v>
      </c>
      <c r="N4832">
        <v>86196264755</v>
      </c>
      <c r="O4832" t="b">
        <v>1</v>
      </c>
      <c r="P4832">
        <v>1</v>
      </c>
      <c r="Q4832" t="str" cm="1">
        <f t="array" ref="Q4832">_xlfn.IFS(Table1[[#This Row],[Wealthier_Winner]]=-1,"Wealthier Nation Loses",Table1[[#This Row],[Wealthier_Winner]]=0,"Tie",Table1[[#This Row],[Wealthier_Winner]]=1,"Wealthier Nation Wins")</f>
        <v>Wealthier Nation Wins</v>
      </c>
    </row>
    <row r="4833" spans="1:17" x14ac:dyDescent="0.2">
      <c r="A4833" s="1">
        <v>7120</v>
      </c>
      <c r="B4833" s="2">
        <v>42285</v>
      </c>
      <c r="C4833" s="7">
        <f>_xlfn.FLOOR.MATH(Table1[[#This Row],[year]],10)</f>
        <v>2010</v>
      </c>
      <c r="D4833" t="s">
        <v>777</v>
      </c>
      <c r="E4833" t="s">
        <v>567</v>
      </c>
      <c r="F4833">
        <v>3</v>
      </c>
      <c r="G4833">
        <v>4</v>
      </c>
      <c r="H4833" t="s">
        <v>224</v>
      </c>
      <c r="I4833" t="s">
        <v>778</v>
      </c>
      <c r="J4833" t="s">
        <v>777</v>
      </c>
      <c r="K4833" t="b">
        <v>0</v>
      </c>
      <c r="L4833">
        <v>2015</v>
      </c>
      <c r="M4833">
        <v>2187815803</v>
      </c>
      <c r="N4833">
        <v>4129505319</v>
      </c>
      <c r="O4833" t="b">
        <v>0</v>
      </c>
      <c r="P4833">
        <v>1</v>
      </c>
      <c r="Q4833" t="str" cm="1">
        <f t="array" ref="Q4833">_xlfn.IFS(Table1[[#This Row],[Wealthier_Winner]]=-1,"Wealthier Nation Loses",Table1[[#This Row],[Wealthier_Winner]]=0,"Tie",Table1[[#This Row],[Wealthier_Winner]]=1,"Wealthier Nation Wins")</f>
        <v>Wealthier Nation Wins</v>
      </c>
    </row>
    <row r="4834" spans="1:17" x14ac:dyDescent="0.2">
      <c r="A4834" s="1">
        <v>7121</v>
      </c>
      <c r="B4834" s="2">
        <v>42285</v>
      </c>
      <c r="C4834" s="7">
        <f>_xlfn.FLOOR.MATH(Table1[[#This Row],[year]],10)</f>
        <v>2010</v>
      </c>
      <c r="D4834" t="s">
        <v>47</v>
      </c>
      <c r="E4834" t="s">
        <v>26</v>
      </c>
      <c r="F4834">
        <v>0</v>
      </c>
      <c r="G4834">
        <v>2</v>
      </c>
      <c r="H4834" t="s">
        <v>224</v>
      </c>
      <c r="I4834" t="s">
        <v>246</v>
      </c>
      <c r="J4834" t="s">
        <v>47</v>
      </c>
      <c r="K4834" t="b">
        <v>0</v>
      </c>
      <c r="L4834">
        <v>2015</v>
      </c>
      <c r="M4834">
        <v>33000198248</v>
      </c>
      <c r="N4834">
        <v>57680327998</v>
      </c>
      <c r="O4834" t="b">
        <v>0</v>
      </c>
      <c r="P4834">
        <v>1</v>
      </c>
      <c r="Q4834" t="str" cm="1">
        <f t="array" ref="Q4834">_xlfn.IFS(Table1[[#This Row],[Wealthier_Winner]]=-1,"Wealthier Nation Loses",Table1[[#This Row],[Wealthier_Winner]]=0,"Tie",Table1[[#This Row],[Wealthier_Winner]]=1,"Wealthier Nation Wins")</f>
        <v>Wealthier Nation Wins</v>
      </c>
    </row>
    <row r="4835" spans="1:17" x14ac:dyDescent="0.2">
      <c r="A4835" s="1">
        <v>7122</v>
      </c>
      <c r="B4835" s="2">
        <v>42285</v>
      </c>
      <c r="C4835" s="7">
        <f>_xlfn.FLOOR.MATH(Table1[[#This Row],[year]],10)</f>
        <v>2010</v>
      </c>
      <c r="D4835" t="s">
        <v>737</v>
      </c>
      <c r="E4835" t="s">
        <v>479</v>
      </c>
      <c r="F4835">
        <v>0</v>
      </c>
      <c r="G4835">
        <v>2</v>
      </c>
      <c r="H4835" t="s">
        <v>224</v>
      </c>
      <c r="I4835" t="s">
        <v>407</v>
      </c>
      <c r="J4835" t="s">
        <v>334</v>
      </c>
      <c r="K4835" t="b">
        <v>1</v>
      </c>
      <c r="L4835">
        <v>2015</v>
      </c>
      <c r="M4835">
        <v>59607290408</v>
      </c>
      <c r="N4835">
        <v>49929337836</v>
      </c>
      <c r="O4835" t="b">
        <v>0</v>
      </c>
      <c r="P4835">
        <v>-1</v>
      </c>
      <c r="Q4835" t="str" cm="1">
        <f t="array" ref="Q4835">_xlfn.IFS(Table1[[#This Row],[Wealthier_Winner]]=-1,"Wealthier Nation Loses",Table1[[#This Row],[Wealthier_Winner]]=0,"Tie",Table1[[#This Row],[Wealthier_Winner]]=1,"Wealthier Nation Wins")</f>
        <v>Wealthier Nation Loses</v>
      </c>
    </row>
    <row r="4836" spans="1:17" x14ac:dyDescent="0.2">
      <c r="A4836" s="1">
        <v>7123</v>
      </c>
      <c r="B4836" s="2">
        <v>42285</v>
      </c>
      <c r="C4836" s="7">
        <f>_xlfn.FLOOR.MATH(Table1[[#This Row],[year]],10)</f>
        <v>2010</v>
      </c>
      <c r="D4836" t="s">
        <v>14</v>
      </c>
      <c r="E4836" t="s">
        <v>13</v>
      </c>
      <c r="F4836">
        <v>2</v>
      </c>
      <c r="G4836">
        <v>0</v>
      </c>
      <c r="H4836" t="s">
        <v>224</v>
      </c>
      <c r="I4836" t="s">
        <v>75</v>
      </c>
      <c r="J4836" t="s">
        <v>14</v>
      </c>
      <c r="K4836" t="b">
        <v>0</v>
      </c>
      <c r="L4836">
        <v>2015</v>
      </c>
      <c r="M4836">
        <v>242450355830</v>
      </c>
      <c r="N4836">
        <v>1802211999456</v>
      </c>
      <c r="O4836" t="b">
        <v>1</v>
      </c>
      <c r="P4836">
        <v>-1</v>
      </c>
      <c r="Q4836" t="str" cm="1">
        <f t="array" ref="Q4836">_xlfn.IFS(Table1[[#This Row],[Wealthier_Winner]]=-1,"Wealthier Nation Loses",Table1[[#This Row],[Wealthier_Winner]]=0,"Tie",Table1[[#This Row],[Wealthier_Winner]]=1,"Wealthier Nation Wins")</f>
        <v>Wealthier Nation Loses</v>
      </c>
    </row>
    <row r="4837" spans="1:17" x14ac:dyDescent="0.2">
      <c r="A4837" s="1">
        <v>7124</v>
      </c>
      <c r="B4837" s="2">
        <v>42285</v>
      </c>
      <c r="C4837" s="7">
        <f>_xlfn.FLOOR.MATH(Table1[[#This Row],[year]],10)</f>
        <v>2010</v>
      </c>
      <c r="D4837" t="s">
        <v>15</v>
      </c>
      <c r="E4837" t="s">
        <v>31</v>
      </c>
      <c r="F4837">
        <v>2</v>
      </c>
      <c r="G4837">
        <v>0</v>
      </c>
      <c r="H4837" t="s">
        <v>224</v>
      </c>
      <c r="I4837" t="s">
        <v>261</v>
      </c>
      <c r="J4837" t="s">
        <v>15</v>
      </c>
      <c r="K4837" t="b">
        <v>0</v>
      </c>
      <c r="L4837">
        <v>2015</v>
      </c>
      <c r="M4837">
        <v>293492370193</v>
      </c>
      <c r="N4837">
        <v>189802976285</v>
      </c>
      <c r="O4837" t="b">
        <v>0</v>
      </c>
      <c r="P4837">
        <v>1</v>
      </c>
      <c r="Q4837" t="str" cm="1">
        <f t="array" ref="Q4837">_xlfn.IFS(Table1[[#This Row],[Wealthier_Winner]]=-1,"Wealthier Nation Loses",Table1[[#This Row],[Wealthier_Winner]]=0,"Tie",Table1[[#This Row],[Wealthier_Winner]]=1,"Wealthier Nation Wins")</f>
        <v>Wealthier Nation Wins</v>
      </c>
    </row>
    <row r="4838" spans="1:17" x14ac:dyDescent="0.2">
      <c r="A4838" s="1">
        <v>7126</v>
      </c>
      <c r="B4838" s="2">
        <v>42285</v>
      </c>
      <c r="C4838" s="7">
        <f>_xlfn.FLOOR.MATH(Table1[[#This Row],[year]],10)</f>
        <v>2010</v>
      </c>
      <c r="D4838" t="s">
        <v>403</v>
      </c>
      <c r="E4838" t="s">
        <v>28</v>
      </c>
      <c r="F4838">
        <v>2</v>
      </c>
      <c r="G4838">
        <v>0</v>
      </c>
      <c r="H4838" t="s">
        <v>224</v>
      </c>
      <c r="I4838" t="s">
        <v>404</v>
      </c>
      <c r="J4838" t="s">
        <v>403</v>
      </c>
      <c r="K4838" t="b">
        <v>0</v>
      </c>
      <c r="L4838">
        <v>2015</v>
      </c>
      <c r="M4838">
        <v>38587017887</v>
      </c>
      <c r="N4838">
        <v>1356805839935</v>
      </c>
      <c r="O4838" t="b">
        <v>1</v>
      </c>
      <c r="P4838">
        <v>-1</v>
      </c>
      <c r="Q4838" t="str" cm="1">
        <f t="array" ref="Q4838">_xlfn.IFS(Table1[[#This Row],[Wealthier_Winner]]=-1,"Wealthier Nation Loses",Table1[[#This Row],[Wealthier_Winner]]=0,"Tie",Table1[[#This Row],[Wealthier_Winner]]=1,"Wealthier Nation Wins")</f>
        <v>Wealthier Nation Loses</v>
      </c>
    </row>
    <row r="4839" spans="1:17" x14ac:dyDescent="0.2">
      <c r="A4839" s="1">
        <v>7128</v>
      </c>
      <c r="B4839" s="2">
        <v>42285</v>
      </c>
      <c r="C4839" s="7">
        <f>_xlfn.FLOOR.MATH(Table1[[#This Row],[year]],10)</f>
        <v>2010</v>
      </c>
      <c r="D4839" t="s">
        <v>71</v>
      </c>
      <c r="E4839" t="s">
        <v>195</v>
      </c>
      <c r="F4839">
        <v>0</v>
      </c>
      <c r="G4839">
        <v>1</v>
      </c>
      <c r="H4839" t="s">
        <v>224</v>
      </c>
      <c r="I4839" t="s">
        <v>366</v>
      </c>
      <c r="J4839" t="s">
        <v>71</v>
      </c>
      <c r="K4839" t="b">
        <v>0</v>
      </c>
      <c r="L4839">
        <v>2015</v>
      </c>
      <c r="M4839">
        <v>114585555688</v>
      </c>
      <c r="N4839">
        <v>1539212301135</v>
      </c>
      <c r="O4839" t="b">
        <v>1</v>
      </c>
      <c r="P4839">
        <v>1</v>
      </c>
      <c r="Q4839" t="str" cm="1">
        <f t="array" ref="Q4839">_xlfn.IFS(Table1[[#This Row],[Wealthier_Winner]]=-1,"Wealthier Nation Loses",Table1[[#This Row],[Wealthier_Winner]]=0,"Tie",Table1[[#This Row],[Wealthier_Winner]]=1,"Wealthier Nation Wins")</f>
        <v>Wealthier Nation Wins</v>
      </c>
    </row>
    <row r="4840" spans="1:17" x14ac:dyDescent="0.2">
      <c r="A4840" s="1">
        <v>7130</v>
      </c>
      <c r="B4840" s="2">
        <v>42285</v>
      </c>
      <c r="C4840" s="7">
        <f>_xlfn.FLOOR.MATH(Table1[[#This Row],[year]],10)</f>
        <v>2010</v>
      </c>
      <c r="D4840" t="s">
        <v>378</v>
      </c>
      <c r="E4840" t="s">
        <v>508</v>
      </c>
      <c r="F4840">
        <v>1</v>
      </c>
      <c r="G4840">
        <v>1</v>
      </c>
      <c r="H4840" t="s">
        <v>224</v>
      </c>
      <c r="I4840" t="s">
        <v>379</v>
      </c>
      <c r="J4840" t="s">
        <v>378</v>
      </c>
      <c r="K4840" t="b">
        <v>0</v>
      </c>
      <c r="L4840">
        <v>2015</v>
      </c>
      <c r="M4840">
        <v>3227075700</v>
      </c>
      <c r="N4840">
        <v>1152384166</v>
      </c>
      <c r="O4840" t="b">
        <v>1</v>
      </c>
      <c r="P4840">
        <v>0</v>
      </c>
      <c r="Q4840" t="str" cm="1">
        <f t="array" ref="Q4840">_xlfn.IFS(Table1[[#This Row],[Wealthier_Winner]]=-1,"Wealthier Nation Loses",Table1[[#This Row],[Wealthier_Winner]]=0,"Tie",Table1[[#This Row],[Wealthier_Winner]]=1,"Wealthier Nation Wins")</f>
        <v>Tie</v>
      </c>
    </row>
    <row r="4841" spans="1:17" x14ac:dyDescent="0.2">
      <c r="A4841" s="1">
        <v>7131</v>
      </c>
      <c r="B4841" s="2">
        <v>42285</v>
      </c>
      <c r="C4841" s="7">
        <f>_xlfn.FLOOR.MATH(Table1[[#This Row],[year]],10)</f>
        <v>2010</v>
      </c>
      <c r="D4841" t="s">
        <v>429</v>
      </c>
      <c r="E4841" t="s">
        <v>210</v>
      </c>
      <c r="F4841">
        <v>1</v>
      </c>
      <c r="G4841">
        <v>1</v>
      </c>
      <c r="H4841" t="s">
        <v>224</v>
      </c>
      <c r="I4841" t="s">
        <v>430</v>
      </c>
      <c r="J4841" t="s">
        <v>429</v>
      </c>
      <c r="K4841" t="b">
        <v>0</v>
      </c>
      <c r="L4841">
        <v>2015</v>
      </c>
      <c r="M4841">
        <v>78710793237</v>
      </c>
      <c r="N4841">
        <v>409191686496</v>
      </c>
      <c r="O4841" t="b">
        <v>1</v>
      </c>
      <c r="P4841">
        <v>0</v>
      </c>
      <c r="Q4841" t="str" cm="1">
        <f t="array" ref="Q4841">_xlfn.IFS(Table1[[#This Row],[Wealthier_Winner]]=-1,"Wealthier Nation Loses",Table1[[#This Row],[Wealthier_Winner]]=0,"Tie",Table1[[#This Row],[Wealthier_Winner]]=1,"Wealthier Nation Wins")</f>
        <v>Tie</v>
      </c>
    </row>
    <row r="4842" spans="1:17" x14ac:dyDescent="0.2">
      <c r="A4842" s="1">
        <v>7134</v>
      </c>
      <c r="B4842" s="2">
        <v>42285</v>
      </c>
      <c r="C4842" s="7">
        <f>_xlfn.FLOOR.MATH(Table1[[#This Row],[year]],10)</f>
        <v>2010</v>
      </c>
      <c r="D4842" t="s">
        <v>45</v>
      </c>
      <c r="E4842" t="s">
        <v>39</v>
      </c>
      <c r="F4842">
        <v>2</v>
      </c>
      <c r="G4842">
        <v>1</v>
      </c>
      <c r="H4842" t="s">
        <v>224</v>
      </c>
      <c r="I4842" t="s">
        <v>354</v>
      </c>
      <c r="J4842" t="s">
        <v>45</v>
      </c>
      <c r="K4842" t="b">
        <v>0</v>
      </c>
      <c r="L4842">
        <v>2015</v>
      </c>
      <c r="M4842">
        <v>693414400000</v>
      </c>
      <c r="N4842">
        <v>381973042886</v>
      </c>
      <c r="O4842" t="b">
        <v>0</v>
      </c>
      <c r="P4842">
        <v>1</v>
      </c>
      <c r="Q4842" t="str" cm="1">
        <f t="array" ref="Q4842">_xlfn.IFS(Table1[[#This Row],[Wealthier_Winner]]=-1,"Wealthier Nation Loses",Table1[[#This Row],[Wealthier_Winner]]=0,"Tie",Table1[[#This Row],[Wealthier_Winner]]=1,"Wealthier Nation Wins")</f>
        <v>Wealthier Nation Wins</v>
      </c>
    </row>
    <row r="4843" spans="1:17" x14ac:dyDescent="0.2">
      <c r="A4843" s="1">
        <v>7135</v>
      </c>
      <c r="B4843" s="2">
        <v>42285</v>
      </c>
      <c r="C4843" s="7">
        <f>_xlfn.FLOOR.MATH(Table1[[#This Row],[year]],10)</f>
        <v>2010</v>
      </c>
      <c r="D4843" t="s">
        <v>359</v>
      </c>
      <c r="E4843" t="s">
        <v>641</v>
      </c>
      <c r="F4843">
        <v>1</v>
      </c>
      <c r="G4843">
        <v>0</v>
      </c>
      <c r="H4843" t="s">
        <v>224</v>
      </c>
      <c r="I4843" t="s">
        <v>360</v>
      </c>
      <c r="J4843" t="s">
        <v>359</v>
      </c>
      <c r="K4843" t="b">
        <v>0</v>
      </c>
      <c r="L4843">
        <v>2015</v>
      </c>
      <c r="M4843">
        <v>307998545269</v>
      </c>
      <c r="N4843">
        <v>19134221644</v>
      </c>
      <c r="O4843" t="b">
        <v>1</v>
      </c>
      <c r="P4843">
        <v>1</v>
      </c>
      <c r="Q4843" t="str" cm="1">
        <f t="array" ref="Q4843">_xlfn.IFS(Table1[[#This Row],[Wealthier_Winner]]=-1,"Wealthier Nation Loses",Table1[[#This Row],[Wealthier_Winner]]=0,"Tie",Table1[[#This Row],[Wealthier_Winner]]=1,"Wealthier Nation Wins")</f>
        <v>Wealthier Nation Wins</v>
      </c>
    </row>
    <row r="4844" spans="1:17" x14ac:dyDescent="0.2">
      <c r="A4844" s="1">
        <v>7136</v>
      </c>
      <c r="B4844" s="2">
        <v>42285</v>
      </c>
      <c r="C4844" s="7">
        <f>_xlfn.FLOOR.MATH(Table1[[#This Row],[year]],10)</f>
        <v>2010</v>
      </c>
      <c r="D4844" t="s">
        <v>331</v>
      </c>
      <c r="E4844" t="s">
        <v>51</v>
      </c>
      <c r="F4844">
        <v>0</v>
      </c>
      <c r="G4844">
        <v>3</v>
      </c>
      <c r="H4844" t="s">
        <v>224</v>
      </c>
      <c r="I4844" t="s">
        <v>789</v>
      </c>
      <c r="J4844" t="s">
        <v>429</v>
      </c>
      <c r="K4844" t="b">
        <v>1</v>
      </c>
      <c r="L4844">
        <v>2015</v>
      </c>
      <c r="M4844">
        <v>16466863117</v>
      </c>
      <c r="N4844">
        <v>4444930651964</v>
      </c>
      <c r="O4844" t="b">
        <v>1</v>
      </c>
      <c r="P4844">
        <v>1</v>
      </c>
      <c r="Q4844" t="str" cm="1">
        <f t="array" ref="Q4844">_xlfn.IFS(Table1[[#This Row],[Wealthier_Winner]]=-1,"Wealthier Nation Loses",Table1[[#This Row],[Wealthier_Winner]]=0,"Tie",Table1[[#This Row],[Wealthier_Winner]]=1,"Wealthier Nation Wins")</f>
        <v>Wealthier Nation Wins</v>
      </c>
    </row>
    <row r="4845" spans="1:17" x14ac:dyDescent="0.2">
      <c r="A4845" s="1">
        <v>7137</v>
      </c>
      <c r="B4845" s="2">
        <v>42285</v>
      </c>
      <c r="C4845" s="7">
        <f>_xlfn.FLOOR.MATH(Table1[[#This Row],[year]],10)</f>
        <v>2010</v>
      </c>
      <c r="D4845" t="s">
        <v>560</v>
      </c>
      <c r="E4845" t="s">
        <v>406</v>
      </c>
      <c r="F4845">
        <v>2</v>
      </c>
      <c r="G4845">
        <v>1</v>
      </c>
      <c r="H4845" t="s">
        <v>224</v>
      </c>
      <c r="I4845" t="s">
        <v>561</v>
      </c>
      <c r="J4845" t="s">
        <v>560</v>
      </c>
      <c r="K4845" t="b">
        <v>0</v>
      </c>
      <c r="L4845">
        <v>2015</v>
      </c>
      <c r="M4845">
        <v>35799714285</v>
      </c>
      <c r="N4845">
        <v>2103588360044</v>
      </c>
      <c r="O4845" t="b">
        <v>1</v>
      </c>
      <c r="P4845">
        <v>-1</v>
      </c>
      <c r="Q4845" t="str" cm="1">
        <f t="array" ref="Q4845">_xlfn.IFS(Table1[[#This Row],[Wealthier_Winner]]=-1,"Wealthier Nation Loses",Table1[[#This Row],[Wealthier_Winner]]=0,"Tie",Table1[[#This Row],[Wealthier_Winner]]=1,"Wealthier Nation Wins")</f>
        <v>Wealthier Nation Loses</v>
      </c>
    </row>
    <row r="4846" spans="1:17" x14ac:dyDescent="0.2">
      <c r="A4846" s="1">
        <v>7138</v>
      </c>
      <c r="B4846" s="2">
        <v>42285</v>
      </c>
      <c r="C4846" s="7">
        <f>_xlfn.FLOOR.MATH(Table1[[#This Row],[year]],10)</f>
        <v>2010</v>
      </c>
      <c r="D4846" t="s">
        <v>258</v>
      </c>
      <c r="E4846" t="s">
        <v>35</v>
      </c>
      <c r="F4846">
        <v>0</v>
      </c>
      <c r="G4846">
        <v>1</v>
      </c>
      <c r="H4846" t="s">
        <v>224</v>
      </c>
      <c r="I4846" t="s">
        <v>795</v>
      </c>
      <c r="J4846" t="s">
        <v>258</v>
      </c>
      <c r="K4846" t="b">
        <v>0</v>
      </c>
      <c r="L4846">
        <v>2015</v>
      </c>
      <c r="M4846">
        <v>125449241571</v>
      </c>
      <c r="N4846">
        <v>36211447840</v>
      </c>
      <c r="O4846" t="b">
        <v>1</v>
      </c>
      <c r="P4846">
        <v>-1</v>
      </c>
      <c r="Q4846" t="str" cm="1">
        <f t="array" ref="Q4846">_xlfn.IFS(Table1[[#This Row],[Wealthier_Winner]]=-1,"Wealthier Nation Loses",Table1[[#This Row],[Wealthier_Winner]]=0,"Tie",Table1[[#This Row],[Wealthier_Winner]]=1,"Wealthier Nation Wins")</f>
        <v>Wealthier Nation Loses</v>
      </c>
    </row>
    <row r="4847" spans="1:17" x14ac:dyDescent="0.2">
      <c r="A4847" s="1">
        <v>7139</v>
      </c>
      <c r="B4847" s="2">
        <v>42285</v>
      </c>
      <c r="C4847" s="7">
        <f>_xlfn.FLOOR.MATH(Table1[[#This Row],[year]],10)</f>
        <v>2010</v>
      </c>
      <c r="D4847" t="s">
        <v>475</v>
      </c>
      <c r="E4847" t="s">
        <v>37</v>
      </c>
      <c r="F4847">
        <v>1</v>
      </c>
      <c r="G4847">
        <v>1</v>
      </c>
      <c r="H4847" t="s">
        <v>224</v>
      </c>
      <c r="I4847" t="s">
        <v>647</v>
      </c>
      <c r="J4847" t="s">
        <v>475</v>
      </c>
      <c r="K4847" t="b">
        <v>0</v>
      </c>
      <c r="L4847">
        <v>2015</v>
      </c>
      <c r="M4847">
        <v>239258328381</v>
      </c>
      <c r="N4847">
        <v>166774104959</v>
      </c>
      <c r="O4847" t="b">
        <v>0</v>
      </c>
      <c r="P4847">
        <v>0</v>
      </c>
      <c r="Q4847" t="str" cm="1">
        <f t="array" ref="Q4847">_xlfn.IFS(Table1[[#This Row],[Wealthier_Winner]]=-1,"Wealthier Nation Loses",Table1[[#This Row],[Wealthier_Winner]]=0,"Tie",Table1[[#This Row],[Wealthier_Winner]]=1,"Wealthier Nation Wins")</f>
        <v>Tie</v>
      </c>
    </row>
    <row r="4848" spans="1:17" x14ac:dyDescent="0.2">
      <c r="A4848" s="1">
        <v>7140</v>
      </c>
      <c r="B4848" s="2">
        <v>42286</v>
      </c>
      <c r="C4848" s="7">
        <f>_xlfn.FLOOR.MATH(Table1[[#This Row],[year]],10)</f>
        <v>2010</v>
      </c>
      <c r="D4848" t="s">
        <v>694</v>
      </c>
      <c r="E4848" t="s">
        <v>463</v>
      </c>
      <c r="F4848">
        <v>0</v>
      </c>
      <c r="G4848">
        <v>6</v>
      </c>
      <c r="H4848" t="s">
        <v>224</v>
      </c>
      <c r="I4848" t="s">
        <v>694</v>
      </c>
      <c r="J4848" t="s">
        <v>694</v>
      </c>
      <c r="K4848" t="b">
        <v>0</v>
      </c>
      <c r="L4848">
        <v>2015</v>
      </c>
      <c r="M4848">
        <v>2424391785</v>
      </c>
      <c r="N4848">
        <v>3908217914</v>
      </c>
      <c r="O4848" t="b">
        <v>0</v>
      </c>
      <c r="P4848">
        <v>1</v>
      </c>
      <c r="Q4848" t="str" cm="1">
        <f t="array" ref="Q4848">_xlfn.IFS(Table1[[#This Row],[Wealthier_Winner]]=-1,"Wealthier Nation Loses",Table1[[#This Row],[Wealthier_Winner]]=0,"Tie",Table1[[#This Row],[Wealthier_Winner]]=1,"Wealthier Nation Wins")</f>
        <v>Wealthier Nation Wins</v>
      </c>
    </row>
    <row r="4849" spans="1:17" x14ac:dyDescent="0.2">
      <c r="A4849" s="1">
        <v>7143</v>
      </c>
      <c r="B4849" s="2">
        <v>42287</v>
      </c>
      <c r="C4849" s="7">
        <f>_xlfn.FLOOR.MATH(Table1[[#This Row],[year]],10)</f>
        <v>2010</v>
      </c>
      <c r="D4849" t="s">
        <v>586</v>
      </c>
      <c r="E4849" t="s">
        <v>342</v>
      </c>
      <c r="F4849">
        <v>1</v>
      </c>
      <c r="G4849">
        <v>0</v>
      </c>
      <c r="H4849" t="s">
        <v>224</v>
      </c>
      <c r="I4849" t="s">
        <v>587</v>
      </c>
      <c r="J4849" t="s">
        <v>586</v>
      </c>
      <c r="K4849" t="b">
        <v>0</v>
      </c>
      <c r="L4849">
        <v>2015</v>
      </c>
      <c r="M4849">
        <v>14559599499</v>
      </c>
      <c r="N4849">
        <v>6788352974</v>
      </c>
      <c r="O4849" t="b">
        <v>1</v>
      </c>
      <c r="P4849">
        <v>1</v>
      </c>
      <c r="Q4849" t="str" cm="1">
        <f t="array" ref="Q4849">_xlfn.IFS(Table1[[#This Row],[Wealthier_Winner]]=-1,"Wealthier Nation Loses",Table1[[#This Row],[Wealthier_Winner]]=0,"Tie",Table1[[#This Row],[Wealthier_Winner]]=1,"Wealthier Nation Wins")</f>
        <v>Wealthier Nation Wins</v>
      </c>
    </row>
    <row r="4850" spans="1:17" x14ac:dyDescent="0.2">
      <c r="A4850" s="1">
        <v>7145</v>
      </c>
      <c r="B4850" s="2">
        <v>42287</v>
      </c>
      <c r="C4850" s="7">
        <f>_xlfn.FLOOR.MATH(Table1[[#This Row],[year]],10)</f>
        <v>2010</v>
      </c>
      <c r="D4850" t="s">
        <v>410</v>
      </c>
      <c r="E4850" t="s">
        <v>581</v>
      </c>
      <c r="F4850">
        <v>3</v>
      </c>
      <c r="G4850">
        <v>0</v>
      </c>
      <c r="H4850" t="s">
        <v>224</v>
      </c>
      <c r="I4850" t="s">
        <v>413</v>
      </c>
      <c r="J4850" t="s">
        <v>410</v>
      </c>
      <c r="K4850" t="b">
        <v>0</v>
      </c>
      <c r="L4850">
        <v>2015</v>
      </c>
      <c r="M4850">
        <v>11323020701</v>
      </c>
      <c r="N4850">
        <v>1695825714</v>
      </c>
      <c r="O4850" t="b">
        <v>1</v>
      </c>
      <c r="P4850">
        <v>1</v>
      </c>
      <c r="Q4850" t="str" cm="1">
        <f t="array" ref="Q4850">_xlfn.IFS(Table1[[#This Row],[Wealthier_Winner]]=-1,"Wealthier Nation Loses",Table1[[#This Row],[Wealthier_Winner]]=0,"Tie",Table1[[#This Row],[Wealthier_Winner]]=1,"Wealthier Nation Wins")</f>
        <v>Wealthier Nation Wins</v>
      </c>
    </row>
    <row r="4851" spans="1:17" x14ac:dyDescent="0.2">
      <c r="A4851" s="1">
        <v>7147</v>
      </c>
      <c r="B4851" s="2">
        <v>42288</v>
      </c>
      <c r="C4851" s="7">
        <f>_xlfn.FLOOR.MATH(Table1[[#This Row],[year]],10)</f>
        <v>2010</v>
      </c>
      <c r="D4851" t="s">
        <v>314</v>
      </c>
      <c r="E4851" t="s">
        <v>323</v>
      </c>
      <c r="F4851">
        <v>0</v>
      </c>
      <c r="G4851">
        <v>0</v>
      </c>
      <c r="H4851" t="s">
        <v>224</v>
      </c>
      <c r="I4851" t="s">
        <v>315</v>
      </c>
      <c r="J4851" t="s">
        <v>314</v>
      </c>
      <c r="K4851" t="b">
        <v>0</v>
      </c>
      <c r="L4851">
        <v>2015</v>
      </c>
      <c r="M4851">
        <v>70120446896</v>
      </c>
      <c r="N4851">
        <v>12162211503</v>
      </c>
      <c r="O4851" t="b">
        <v>1</v>
      </c>
      <c r="P4851">
        <v>0</v>
      </c>
      <c r="Q4851" t="str" cm="1">
        <f t="array" ref="Q4851">_xlfn.IFS(Table1[[#This Row],[Wealthier_Winner]]=-1,"Wealthier Nation Loses",Table1[[#This Row],[Wealthier_Winner]]=0,"Tie",Table1[[#This Row],[Wealthier_Winner]]=1,"Wealthier Nation Wins")</f>
        <v>Tie</v>
      </c>
    </row>
    <row r="4852" spans="1:17" x14ac:dyDescent="0.2">
      <c r="A4852" s="1">
        <v>7148</v>
      </c>
      <c r="B4852" s="2">
        <v>42288</v>
      </c>
      <c r="C4852" s="7">
        <f>_xlfn.FLOOR.MATH(Table1[[#This Row],[year]],10)</f>
        <v>2010</v>
      </c>
      <c r="D4852" t="s">
        <v>370</v>
      </c>
      <c r="E4852" t="s">
        <v>320</v>
      </c>
      <c r="F4852">
        <v>1</v>
      </c>
      <c r="G4852">
        <v>0</v>
      </c>
      <c r="H4852" t="s">
        <v>224</v>
      </c>
      <c r="I4852" t="s">
        <v>372</v>
      </c>
      <c r="J4852" t="s">
        <v>370</v>
      </c>
      <c r="K4852" t="b">
        <v>0</v>
      </c>
      <c r="L4852">
        <v>2015</v>
      </c>
      <c r="M4852">
        <v>9219474379</v>
      </c>
      <c r="N4852">
        <v>47413919817</v>
      </c>
      <c r="O4852" t="b">
        <v>1</v>
      </c>
      <c r="P4852">
        <v>-1</v>
      </c>
      <c r="Q4852" t="str" cm="1">
        <f t="array" ref="Q4852">_xlfn.IFS(Table1[[#This Row],[Wealthier_Winner]]=-1,"Wealthier Nation Loses",Table1[[#This Row],[Wealthier_Winner]]=0,"Tie",Table1[[#This Row],[Wealthier_Winner]]=1,"Wealthier Nation Wins")</f>
        <v>Wealthier Nation Loses</v>
      </c>
    </row>
    <row r="4853" spans="1:17" x14ac:dyDescent="0.2">
      <c r="A4853" s="1">
        <v>7149</v>
      </c>
      <c r="B4853" s="2">
        <v>42290</v>
      </c>
      <c r="C4853" s="7">
        <f>_xlfn.FLOOR.MATH(Table1[[#This Row],[year]],10)</f>
        <v>2010</v>
      </c>
      <c r="D4853" t="s">
        <v>361</v>
      </c>
      <c r="E4853" t="s">
        <v>532</v>
      </c>
      <c r="F4853">
        <v>2</v>
      </c>
      <c r="G4853">
        <v>0</v>
      </c>
      <c r="H4853" t="s">
        <v>224</v>
      </c>
      <c r="I4853" t="s">
        <v>419</v>
      </c>
      <c r="J4853" t="s">
        <v>361</v>
      </c>
      <c r="K4853" t="b">
        <v>0</v>
      </c>
      <c r="L4853">
        <v>2015</v>
      </c>
      <c r="M4853">
        <v>32523297872</v>
      </c>
      <c r="N4853">
        <v>306445871242</v>
      </c>
      <c r="O4853" t="b">
        <v>1</v>
      </c>
      <c r="P4853">
        <v>-1</v>
      </c>
      <c r="Q4853" t="str" cm="1">
        <f t="array" ref="Q4853">_xlfn.IFS(Table1[[#This Row],[Wealthier_Winner]]=-1,"Wealthier Nation Loses",Table1[[#This Row],[Wealthier_Winner]]=0,"Tie",Table1[[#This Row],[Wealthier_Winner]]=1,"Wealthier Nation Wins")</f>
        <v>Wealthier Nation Loses</v>
      </c>
    </row>
    <row r="4854" spans="1:17" x14ac:dyDescent="0.2">
      <c r="A4854" s="1">
        <v>7152</v>
      </c>
      <c r="B4854" s="2">
        <v>42290</v>
      </c>
      <c r="C4854" s="7">
        <f>_xlfn.FLOOR.MATH(Table1[[#This Row],[year]],10)</f>
        <v>2010</v>
      </c>
      <c r="D4854" t="s">
        <v>13</v>
      </c>
      <c r="E4854" t="s">
        <v>258</v>
      </c>
      <c r="F4854">
        <v>3</v>
      </c>
      <c r="G4854">
        <v>1</v>
      </c>
      <c r="H4854" t="s">
        <v>224</v>
      </c>
      <c r="I4854" t="s">
        <v>172</v>
      </c>
      <c r="J4854" t="s">
        <v>13</v>
      </c>
      <c r="K4854" t="b">
        <v>0</v>
      </c>
      <c r="L4854">
        <v>2015</v>
      </c>
      <c r="M4854">
        <v>1802211999456</v>
      </c>
      <c r="N4854">
        <v>125449241571</v>
      </c>
      <c r="O4854" t="b">
        <v>1</v>
      </c>
      <c r="P4854">
        <v>1</v>
      </c>
      <c r="Q4854" t="str" cm="1">
        <f t="array" ref="Q4854">_xlfn.IFS(Table1[[#This Row],[Wealthier_Winner]]=-1,"Wealthier Nation Loses",Table1[[#This Row],[Wealthier_Winner]]=0,"Tie",Table1[[#This Row],[Wealthier_Winner]]=1,"Wealthier Nation Wins")</f>
        <v>Wealthier Nation Wins</v>
      </c>
    </row>
    <row r="4855" spans="1:17" x14ac:dyDescent="0.2">
      <c r="A4855" s="1">
        <v>7154</v>
      </c>
      <c r="B4855" s="2">
        <v>42290</v>
      </c>
      <c r="C4855" s="7">
        <f>_xlfn.FLOOR.MATH(Table1[[#This Row],[year]],10)</f>
        <v>2010</v>
      </c>
      <c r="D4855" t="s">
        <v>460</v>
      </c>
      <c r="E4855" t="s">
        <v>583</v>
      </c>
      <c r="F4855">
        <v>2</v>
      </c>
      <c r="G4855">
        <v>0</v>
      </c>
      <c r="H4855" t="s">
        <v>224</v>
      </c>
      <c r="I4855" t="s">
        <v>464</v>
      </c>
      <c r="J4855" t="s">
        <v>460</v>
      </c>
      <c r="K4855" t="b">
        <v>0</v>
      </c>
      <c r="L4855">
        <v>2015</v>
      </c>
      <c r="M4855">
        <v>2810532912</v>
      </c>
      <c r="N4855">
        <v>1432403352</v>
      </c>
      <c r="O4855" t="b">
        <v>0</v>
      </c>
      <c r="P4855">
        <v>1</v>
      </c>
      <c r="Q4855" t="str" cm="1">
        <f t="array" ref="Q4855">_xlfn.IFS(Table1[[#This Row],[Wealthier_Winner]]=-1,"Wealthier Nation Loses",Table1[[#This Row],[Wealthier_Winner]]=0,"Tie",Table1[[#This Row],[Wealthier_Winner]]=1,"Wealthier Nation Wins")</f>
        <v>Wealthier Nation Wins</v>
      </c>
    </row>
    <row r="4856" spans="1:17" x14ac:dyDescent="0.2">
      <c r="A4856" s="1">
        <v>7155</v>
      </c>
      <c r="B4856" s="2">
        <v>42290</v>
      </c>
      <c r="C4856" s="7">
        <f>_xlfn.FLOOR.MATH(Table1[[#This Row],[year]],10)</f>
        <v>2010</v>
      </c>
      <c r="D4856" t="s">
        <v>738</v>
      </c>
      <c r="E4856" t="s">
        <v>333</v>
      </c>
      <c r="F4856">
        <v>0</v>
      </c>
      <c r="G4856">
        <v>3</v>
      </c>
      <c r="H4856" t="s">
        <v>224</v>
      </c>
      <c r="I4856" t="s">
        <v>775</v>
      </c>
      <c r="J4856" t="s">
        <v>738</v>
      </c>
      <c r="K4856" t="b">
        <v>0</v>
      </c>
      <c r="L4856">
        <v>2015</v>
      </c>
      <c r="M4856">
        <v>1590282371</v>
      </c>
      <c r="N4856">
        <v>301355266964</v>
      </c>
      <c r="O4856" t="b">
        <v>1</v>
      </c>
      <c r="P4856">
        <v>1</v>
      </c>
      <c r="Q4856" t="str" cm="1">
        <f t="array" ref="Q4856">_xlfn.IFS(Table1[[#This Row],[Wealthier_Winner]]=-1,"Wealthier Nation Loses",Table1[[#This Row],[Wealthier_Winner]]=0,"Tie",Table1[[#This Row],[Wealthier_Winner]]=1,"Wealthier Nation Wins")</f>
        <v>Wealthier Nation Wins</v>
      </c>
    </row>
    <row r="4857" spans="1:17" x14ac:dyDescent="0.2">
      <c r="A4857" s="1">
        <v>7156</v>
      </c>
      <c r="B4857" s="2">
        <v>42290</v>
      </c>
      <c r="C4857" s="7">
        <f>_xlfn.FLOOR.MATH(Table1[[#This Row],[year]],10)</f>
        <v>2010</v>
      </c>
      <c r="D4857" t="s">
        <v>57</v>
      </c>
      <c r="E4857" t="s">
        <v>47</v>
      </c>
      <c r="F4857">
        <v>2</v>
      </c>
      <c r="G4857">
        <v>0</v>
      </c>
      <c r="H4857" t="s">
        <v>224</v>
      </c>
      <c r="I4857" t="s">
        <v>335</v>
      </c>
      <c r="J4857" t="s">
        <v>57</v>
      </c>
      <c r="K4857" t="b">
        <v>0</v>
      </c>
      <c r="L4857">
        <v>2015</v>
      </c>
      <c r="M4857">
        <v>97209558000</v>
      </c>
      <c r="N4857">
        <v>33000198248</v>
      </c>
      <c r="O4857" t="b">
        <v>1</v>
      </c>
      <c r="P4857">
        <v>1</v>
      </c>
      <c r="Q4857" t="str" cm="1">
        <f t="array" ref="Q4857">_xlfn.IFS(Table1[[#This Row],[Wealthier_Winner]]=-1,"Wealthier Nation Loses",Table1[[#This Row],[Wealthier_Winner]]=0,"Tie",Table1[[#This Row],[Wealthier_Winner]]=1,"Wealthier Nation Wins")</f>
        <v>Wealthier Nation Wins</v>
      </c>
    </row>
    <row r="4858" spans="1:17" x14ac:dyDescent="0.2">
      <c r="A4858" s="1">
        <v>7157</v>
      </c>
      <c r="B4858" s="2">
        <v>42290</v>
      </c>
      <c r="C4858" s="7">
        <f>_xlfn.FLOOR.MATH(Table1[[#This Row],[year]],10)</f>
        <v>2010</v>
      </c>
      <c r="D4858" t="s">
        <v>508</v>
      </c>
      <c r="E4858" t="s">
        <v>378</v>
      </c>
      <c r="F4858">
        <v>1</v>
      </c>
      <c r="G4858">
        <v>3</v>
      </c>
      <c r="H4858" t="s">
        <v>224</v>
      </c>
      <c r="I4858" t="s">
        <v>509</v>
      </c>
      <c r="J4858" t="s">
        <v>508</v>
      </c>
      <c r="K4858" t="b">
        <v>0</v>
      </c>
      <c r="L4858">
        <v>2015</v>
      </c>
      <c r="M4858">
        <v>1152384166</v>
      </c>
      <c r="N4858">
        <v>3227075700</v>
      </c>
      <c r="O4858" t="b">
        <v>1</v>
      </c>
      <c r="P4858">
        <v>1</v>
      </c>
      <c r="Q4858" t="str" cm="1">
        <f t="array" ref="Q4858">_xlfn.IFS(Table1[[#This Row],[Wealthier_Winner]]=-1,"Wealthier Nation Loses",Table1[[#This Row],[Wealthier_Winner]]=0,"Tie",Table1[[#This Row],[Wealthier_Winner]]=1,"Wealthier Nation Wins")</f>
        <v>Wealthier Nation Wins</v>
      </c>
    </row>
    <row r="4859" spans="1:17" x14ac:dyDescent="0.2">
      <c r="A4859" s="1">
        <v>7158</v>
      </c>
      <c r="B4859" s="2">
        <v>42290</v>
      </c>
      <c r="C4859" s="7">
        <f>_xlfn.FLOOR.MATH(Table1[[#This Row],[year]],10)</f>
        <v>2010</v>
      </c>
      <c r="D4859" t="s">
        <v>403</v>
      </c>
      <c r="E4859" t="s">
        <v>556</v>
      </c>
      <c r="F4859">
        <v>3</v>
      </c>
      <c r="G4859">
        <v>0</v>
      </c>
      <c r="H4859" t="s">
        <v>224</v>
      </c>
      <c r="I4859" t="s">
        <v>483</v>
      </c>
      <c r="J4859" t="s">
        <v>403</v>
      </c>
      <c r="K4859" t="b">
        <v>0</v>
      </c>
      <c r="L4859">
        <v>2015</v>
      </c>
      <c r="M4859">
        <v>38587017887</v>
      </c>
      <c r="N4859">
        <v>8271431485</v>
      </c>
      <c r="O4859" t="b">
        <v>1</v>
      </c>
      <c r="P4859">
        <v>1</v>
      </c>
      <c r="Q4859" t="str" cm="1">
        <f t="array" ref="Q4859">_xlfn.IFS(Table1[[#This Row],[Wealthier_Winner]]=-1,"Wealthier Nation Loses",Table1[[#This Row],[Wealthier_Winner]]=0,"Tie",Table1[[#This Row],[Wealthier_Winner]]=1,"Wealthier Nation Wins")</f>
        <v>Wealthier Nation Wins</v>
      </c>
    </row>
    <row r="4860" spans="1:17" x14ac:dyDescent="0.2">
      <c r="A4860" s="1">
        <v>7160</v>
      </c>
      <c r="B4860" s="2">
        <v>42290</v>
      </c>
      <c r="C4860" s="7">
        <f>_xlfn.FLOOR.MATH(Table1[[#This Row],[year]],10)</f>
        <v>2010</v>
      </c>
      <c r="D4860" t="s">
        <v>71</v>
      </c>
      <c r="E4860" t="s">
        <v>479</v>
      </c>
      <c r="F4860">
        <v>0</v>
      </c>
      <c r="G4860">
        <v>0</v>
      </c>
      <c r="H4860" t="s">
        <v>224</v>
      </c>
      <c r="I4860" t="s">
        <v>366</v>
      </c>
      <c r="J4860" t="s">
        <v>71</v>
      </c>
      <c r="K4860" t="b">
        <v>0</v>
      </c>
      <c r="L4860">
        <v>2015</v>
      </c>
      <c r="M4860">
        <v>114585555688</v>
      </c>
      <c r="N4860">
        <v>49929337836</v>
      </c>
      <c r="O4860" t="b">
        <v>1</v>
      </c>
      <c r="P4860">
        <v>0</v>
      </c>
      <c r="Q4860" t="str" cm="1">
        <f t="array" ref="Q4860">_xlfn.IFS(Table1[[#This Row],[Wealthier_Winner]]=-1,"Wealthier Nation Loses",Table1[[#This Row],[Wealthier_Winner]]=0,"Tie",Table1[[#This Row],[Wealthier_Winner]]=1,"Wealthier Nation Wins")</f>
        <v>Tie</v>
      </c>
    </row>
    <row r="4861" spans="1:17" x14ac:dyDescent="0.2">
      <c r="A4861" s="1">
        <v>7162</v>
      </c>
      <c r="B4861" s="2">
        <v>42290</v>
      </c>
      <c r="C4861" s="7">
        <f>_xlfn.FLOOR.MATH(Table1[[#This Row],[year]],10)</f>
        <v>2010</v>
      </c>
      <c r="D4861" t="s">
        <v>307</v>
      </c>
      <c r="E4861" t="s">
        <v>688</v>
      </c>
      <c r="F4861">
        <v>1</v>
      </c>
      <c r="G4861">
        <v>1</v>
      </c>
      <c r="H4861" t="s">
        <v>224</v>
      </c>
      <c r="I4861" t="s">
        <v>308</v>
      </c>
      <c r="J4861" t="s">
        <v>307</v>
      </c>
      <c r="K4861" t="b">
        <v>0</v>
      </c>
      <c r="L4861">
        <v>2015</v>
      </c>
      <c r="M4861">
        <v>2359686724</v>
      </c>
      <c r="N4861">
        <v>966029600</v>
      </c>
      <c r="O4861" t="b">
        <v>1</v>
      </c>
      <c r="P4861">
        <v>0</v>
      </c>
      <c r="Q4861" t="str" cm="1">
        <f t="array" ref="Q4861">_xlfn.IFS(Table1[[#This Row],[Wealthier_Winner]]=-1,"Wealthier Nation Loses",Table1[[#This Row],[Wealthier_Winner]]=0,"Tie",Table1[[#This Row],[Wealthier_Winner]]=1,"Wealthier Nation Wins")</f>
        <v>Tie</v>
      </c>
    </row>
    <row r="4862" spans="1:17" x14ac:dyDescent="0.2">
      <c r="A4862" s="1">
        <v>7163</v>
      </c>
      <c r="B4862" s="2">
        <v>42290</v>
      </c>
      <c r="C4862" s="7">
        <f>_xlfn.FLOOR.MATH(Table1[[#This Row],[year]],10)</f>
        <v>2010</v>
      </c>
      <c r="D4862" t="s">
        <v>410</v>
      </c>
      <c r="E4862" t="s">
        <v>581</v>
      </c>
      <c r="F4862">
        <v>2</v>
      </c>
      <c r="G4862">
        <v>2</v>
      </c>
      <c r="H4862" t="s">
        <v>224</v>
      </c>
      <c r="I4862" t="s">
        <v>413</v>
      </c>
      <c r="J4862" t="s">
        <v>410</v>
      </c>
      <c r="K4862" t="b">
        <v>0</v>
      </c>
      <c r="L4862">
        <v>2015</v>
      </c>
      <c r="M4862">
        <v>11323020701</v>
      </c>
      <c r="N4862">
        <v>1695825714</v>
      </c>
      <c r="O4862" t="b">
        <v>1</v>
      </c>
      <c r="P4862">
        <v>0</v>
      </c>
      <c r="Q4862" t="str" cm="1">
        <f t="array" ref="Q4862">_xlfn.IFS(Table1[[#This Row],[Wealthier_Winner]]=-1,"Wealthier Nation Loses",Table1[[#This Row],[Wealthier_Winner]]=0,"Tie",Table1[[#This Row],[Wealthier_Winner]]=1,"Wealthier Nation Wins")</f>
        <v>Tie</v>
      </c>
    </row>
    <row r="4863" spans="1:17" x14ac:dyDescent="0.2">
      <c r="A4863" s="1">
        <v>7164</v>
      </c>
      <c r="B4863" s="2">
        <v>42290</v>
      </c>
      <c r="C4863" s="7">
        <f>_xlfn.FLOOR.MATH(Table1[[#This Row],[year]],10)</f>
        <v>2010</v>
      </c>
      <c r="D4863" t="s">
        <v>346</v>
      </c>
      <c r="E4863" t="s">
        <v>793</v>
      </c>
      <c r="F4863">
        <v>4</v>
      </c>
      <c r="G4863">
        <v>0</v>
      </c>
      <c r="H4863" t="s">
        <v>224</v>
      </c>
      <c r="I4863" t="s">
        <v>350</v>
      </c>
      <c r="J4863" t="s">
        <v>346</v>
      </c>
      <c r="K4863" t="b">
        <v>0</v>
      </c>
      <c r="L4863">
        <v>2015</v>
      </c>
      <c r="M4863">
        <v>6166863896</v>
      </c>
      <c r="N4863">
        <v>11997800760</v>
      </c>
      <c r="O4863" t="b">
        <v>0</v>
      </c>
      <c r="P4863">
        <v>-1</v>
      </c>
      <c r="Q4863" t="str" cm="1">
        <f t="array" ref="Q4863">_xlfn.IFS(Table1[[#This Row],[Wealthier_Winner]]=-1,"Wealthier Nation Loses",Table1[[#This Row],[Wealthier_Winner]]=0,"Tie",Table1[[#This Row],[Wealthier_Winner]]=1,"Wealthier Nation Wins")</f>
        <v>Wealthier Nation Loses</v>
      </c>
    </row>
    <row r="4864" spans="1:17" x14ac:dyDescent="0.2">
      <c r="A4864" s="1">
        <v>7167</v>
      </c>
      <c r="B4864" s="2">
        <v>42290</v>
      </c>
      <c r="C4864" s="7">
        <f>_xlfn.FLOOR.MATH(Table1[[#This Row],[year]],10)</f>
        <v>2010</v>
      </c>
      <c r="D4864" t="s">
        <v>429</v>
      </c>
      <c r="E4864" t="s">
        <v>406</v>
      </c>
      <c r="F4864">
        <v>3</v>
      </c>
      <c r="G4864">
        <v>0</v>
      </c>
      <c r="H4864" t="s">
        <v>224</v>
      </c>
      <c r="I4864" t="s">
        <v>430</v>
      </c>
      <c r="J4864" t="s">
        <v>429</v>
      </c>
      <c r="K4864" t="b">
        <v>0</v>
      </c>
      <c r="L4864">
        <v>2015</v>
      </c>
      <c r="M4864">
        <v>78710793237</v>
      </c>
      <c r="N4864">
        <v>2103588360044</v>
      </c>
      <c r="O4864" t="b">
        <v>1</v>
      </c>
      <c r="P4864">
        <v>-1</v>
      </c>
      <c r="Q4864" t="str" cm="1">
        <f t="array" ref="Q4864">_xlfn.IFS(Table1[[#This Row],[Wealthier_Winner]]=-1,"Wealthier Nation Loses",Table1[[#This Row],[Wealthier_Winner]]=0,"Tie",Table1[[#This Row],[Wealthier_Winner]]=1,"Wealthier Nation Wins")</f>
        <v>Wealthier Nation Loses</v>
      </c>
    </row>
    <row r="4865" spans="1:17" x14ac:dyDescent="0.2">
      <c r="A4865" s="1">
        <v>7168</v>
      </c>
      <c r="B4865" s="2">
        <v>42290</v>
      </c>
      <c r="C4865" s="7">
        <f>_xlfn.FLOOR.MATH(Table1[[#This Row],[year]],10)</f>
        <v>2010</v>
      </c>
      <c r="D4865" t="s">
        <v>35</v>
      </c>
      <c r="E4865" t="s">
        <v>19</v>
      </c>
      <c r="F4865">
        <v>0</v>
      </c>
      <c r="G4865">
        <v>0</v>
      </c>
      <c r="H4865" t="s">
        <v>224</v>
      </c>
      <c r="I4865" t="s">
        <v>250</v>
      </c>
      <c r="J4865" t="s">
        <v>35</v>
      </c>
      <c r="K4865" t="b">
        <v>0</v>
      </c>
      <c r="L4865">
        <v>2015</v>
      </c>
      <c r="M4865">
        <v>36211447840</v>
      </c>
      <c r="N4865">
        <v>594749285413</v>
      </c>
      <c r="O4865" t="b">
        <v>1</v>
      </c>
      <c r="P4865">
        <v>0</v>
      </c>
      <c r="Q4865" t="str" cm="1">
        <f t="array" ref="Q4865">_xlfn.IFS(Table1[[#This Row],[Wealthier_Winner]]=-1,"Wealthier Nation Loses",Table1[[#This Row],[Wealthier_Winner]]=0,"Tie",Table1[[#This Row],[Wealthier_Winner]]=1,"Wealthier Nation Wins")</f>
        <v>Tie</v>
      </c>
    </row>
    <row r="4866" spans="1:17" x14ac:dyDescent="0.2">
      <c r="A4866" s="1">
        <v>7169</v>
      </c>
      <c r="B4866" s="2">
        <v>42290</v>
      </c>
      <c r="C4866" s="7">
        <f>_xlfn.FLOOR.MATH(Table1[[#This Row],[year]],10)</f>
        <v>2010</v>
      </c>
      <c r="D4866" t="s">
        <v>31</v>
      </c>
      <c r="E4866" t="s">
        <v>14</v>
      </c>
      <c r="F4866">
        <v>3</v>
      </c>
      <c r="G4866">
        <v>4</v>
      </c>
      <c r="H4866" t="s">
        <v>224</v>
      </c>
      <c r="I4866" t="s">
        <v>242</v>
      </c>
      <c r="J4866" t="s">
        <v>31</v>
      </c>
      <c r="K4866" t="b">
        <v>0</v>
      </c>
      <c r="L4866">
        <v>2015</v>
      </c>
      <c r="M4866">
        <v>189802976285</v>
      </c>
      <c r="N4866">
        <v>242450355830</v>
      </c>
      <c r="O4866" t="b">
        <v>0</v>
      </c>
      <c r="P4866">
        <v>1</v>
      </c>
      <c r="Q4866" t="str" cm="1">
        <f t="array" ref="Q4866">_xlfn.IFS(Table1[[#This Row],[Wealthier_Winner]]=-1,"Wealthier Nation Loses",Table1[[#This Row],[Wealthier_Winner]]=0,"Tie",Table1[[#This Row],[Wealthier_Winner]]=1,"Wealthier Nation Wins")</f>
        <v>Wealthier Nation Wins</v>
      </c>
    </row>
    <row r="4867" spans="1:17" x14ac:dyDescent="0.2">
      <c r="A4867" s="1">
        <v>7170</v>
      </c>
      <c r="B4867" s="2">
        <v>42290</v>
      </c>
      <c r="C4867" s="7">
        <f>_xlfn.FLOOR.MATH(Table1[[#This Row],[year]],10)</f>
        <v>2010</v>
      </c>
      <c r="D4867" t="s">
        <v>68</v>
      </c>
      <c r="E4867" t="s">
        <v>567</v>
      </c>
      <c r="F4867">
        <v>4</v>
      </c>
      <c r="G4867">
        <v>0</v>
      </c>
      <c r="H4867" t="s">
        <v>224</v>
      </c>
      <c r="I4867" t="s">
        <v>190</v>
      </c>
      <c r="J4867" t="s">
        <v>68</v>
      </c>
      <c r="K4867" t="b">
        <v>0</v>
      </c>
      <c r="L4867">
        <v>2015</v>
      </c>
      <c r="M4867">
        <v>161739835164</v>
      </c>
      <c r="N4867">
        <v>4129505319</v>
      </c>
      <c r="O4867" t="b">
        <v>1</v>
      </c>
      <c r="P4867">
        <v>1</v>
      </c>
      <c r="Q4867" t="str" cm="1">
        <f t="array" ref="Q4867">_xlfn.IFS(Table1[[#This Row],[Wealthier_Winner]]=-1,"Wealthier Nation Loses",Table1[[#This Row],[Wealthier_Winner]]=0,"Tie",Table1[[#This Row],[Wealthier_Winner]]=1,"Wealthier Nation Wins")</f>
        <v>Wealthier Nation Wins</v>
      </c>
    </row>
    <row r="4868" spans="1:17" x14ac:dyDescent="0.2">
      <c r="A4868" s="1">
        <v>7171</v>
      </c>
      <c r="B4868" s="2">
        <v>42290</v>
      </c>
      <c r="C4868" s="7">
        <f>_xlfn.FLOOR.MATH(Table1[[#This Row],[year]],10)</f>
        <v>2010</v>
      </c>
      <c r="D4868" t="s">
        <v>342</v>
      </c>
      <c r="E4868" t="s">
        <v>586</v>
      </c>
      <c r="F4868">
        <v>2</v>
      </c>
      <c r="G4868">
        <v>1</v>
      </c>
      <c r="H4868" t="s">
        <v>224</v>
      </c>
      <c r="I4868" t="s">
        <v>610</v>
      </c>
      <c r="J4868" t="s">
        <v>43</v>
      </c>
      <c r="K4868" t="b">
        <v>1</v>
      </c>
      <c r="L4868">
        <v>2015</v>
      </c>
      <c r="M4868">
        <v>6788352974</v>
      </c>
      <c r="N4868">
        <v>14559599499</v>
      </c>
      <c r="O4868" t="b">
        <v>1</v>
      </c>
      <c r="P4868">
        <v>-1</v>
      </c>
      <c r="Q4868" t="str" cm="1">
        <f t="array" ref="Q4868">_xlfn.IFS(Table1[[#This Row],[Wealthier_Winner]]=-1,"Wealthier Nation Loses",Table1[[#This Row],[Wealthier_Winner]]=0,"Tie",Table1[[#This Row],[Wealthier_Winner]]=1,"Wealthier Nation Wins")</f>
        <v>Wealthier Nation Loses</v>
      </c>
    </row>
    <row r="4869" spans="1:17" x14ac:dyDescent="0.2">
      <c r="A4869" s="1">
        <v>7172</v>
      </c>
      <c r="B4869" s="2">
        <v>42290</v>
      </c>
      <c r="C4869" s="7">
        <f>_xlfn.FLOOR.MATH(Table1[[#This Row],[year]],10)</f>
        <v>2010</v>
      </c>
      <c r="D4869" t="s">
        <v>359</v>
      </c>
      <c r="E4869" t="s">
        <v>551</v>
      </c>
      <c r="F4869">
        <v>2</v>
      </c>
      <c r="G4869">
        <v>1</v>
      </c>
      <c r="H4869" t="s">
        <v>224</v>
      </c>
      <c r="I4869" t="s">
        <v>360</v>
      </c>
      <c r="J4869" t="s">
        <v>359</v>
      </c>
      <c r="K4869" t="b">
        <v>0</v>
      </c>
      <c r="L4869">
        <v>2015</v>
      </c>
      <c r="M4869">
        <v>307998545269</v>
      </c>
      <c r="N4869">
        <v>24174170369</v>
      </c>
      <c r="O4869" t="b">
        <v>1</v>
      </c>
      <c r="P4869">
        <v>1</v>
      </c>
      <c r="Q4869" t="str" cm="1">
        <f t="array" ref="Q4869">_xlfn.IFS(Table1[[#This Row],[Wealthier_Winner]]=-1,"Wealthier Nation Loses",Table1[[#This Row],[Wealthier_Winner]]=0,"Tie",Table1[[#This Row],[Wealthier_Winner]]=1,"Wealthier Nation Wins")</f>
        <v>Wealthier Nation Wins</v>
      </c>
    </row>
    <row r="4870" spans="1:17" x14ac:dyDescent="0.2">
      <c r="A4870" s="1">
        <v>7173</v>
      </c>
      <c r="B4870" s="2">
        <v>42290</v>
      </c>
      <c r="C4870" s="7">
        <f>_xlfn.FLOOR.MATH(Table1[[#This Row],[year]],10)</f>
        <v>2010</v>
      </c>
      <c r="D4870" t="s">
        <v>331</v>
      </c>
      <c r="E4870" t="s">
        <v>641</v>
      </c>
      <c r="F4870">
        <v>5</v>
      </c>
      <c r="G4870">
        <v>2</v>
      </c>
      <c r="H4870" t="s">
        <v>224</v>
      </c>
      <c r="I4870" t="s">
        <v>789</v>
      </c>
      <c r="J4870" t="s">
        <v>429</v>
      </c>
      <c r="K4870" t="b">
        <v>1</v>
      </c>
      <c r="L4870">
        <v>2015</v>
      </c>
      <c r="M4870">
        <v>16466863117</v>
      </c>
      <c r="N4870">
        <v>19134221644</v>
      </c>
      <c r="O4870" t="b">
        <v>0</v>
      </c>
      <c r="P4870">
        <v>-1</v>
      </c>
      <c r="Q4870" t="str" cm="1">
        <f t="array" ref="Q4870">_xlfn.IFS(Table1[[#This Row],[Wealthier_Winner]]=-1,"Wealthier Nation Loses",Table1[[#This Row],[Wealthier_Winner]]=0,"Tie",Table1[[#This Row],[Wealthier_Winner]]=1,"Wealthier Nation Wins")</f>
        <v>Wealthier Nation Loses</v>
      </c>
    </row>
    <row r="4871" spans="1:17" x14ac:dyDescent="0.2">
      <c r="A4871" s="1">
        <v>7174</v>
      </c>
      <c r="B4871" s="2">
        <v>42290</v>
      </c>
      <c r="C4871" s="7">
        <f>_xlfn.FLOOR.MATH(Table1[[#This Row],[year]],10)</f>
        <v>2010</v>
      </c>
      <c r="D4871" t="s">
        <v>560</v>
      </c>
      <c r="E4871" t="s">
        <v>782</v>
      </c>
      <c r="F4871">
        <v>1</v>
      </c>
      <c r="G4871">
        <v>0</v>
      </c>
      <c r="H4871" t="s">
        <v>224</v>
      </c>
      <c r="I4871" t="s">
        <v>561</v>
      </c>
      <c r="J4871" t="s">
        <v>560</v>
      </c>
      <c r="K4871" t="b">
        <v>0</v>
      </c>
      <c r="L4871">
        <v>2015</v>
      </c>
      <c r="M4871">
        <v>35799714285</v>
      </c>
      <c r="N4871">
        <v>5799000000</v>
      </c>
      <c r="O4871" t="b">
        <v>1</v>
      </c>
      <c r="P4871">
        <v>1</v>
      </c>
      <c r="Q4871" t="str" cm="1">
        <f t="array" ref="Q4871">_xlfn.IFS(Table1[[#This Row],[Wealthier_Winner]]=-1,"Wealthier Nation Loses",Table1[[#This Row],[Wealthier_Winner]]=0,"Tie",Table1[[#This Row],[Wealthier_Winner]]=1,"Wealthier Nation Wins")</f>
        <v>Wealthier Nation Wins</v>
      </c>
    </row>
    <row r="4872" spans="1:17" x14ac:dyDescent="0.2">
      <c r="A4872" s="1">
        <v>7175</v>
      </c>
      <c r="B4872" s="2">
        <v>42290</v>
      </c>
      <c r="C4872" s="7">
        <f>_xlfn.FLOOR.MATH(Table1[[#This Row],[year]],10)</f>
        <v>2010</v>
      </c>
      <c r="D4872" t="s">
        <v>26</v>
      </c>
      <c r="E4872" t="s">
        <v>15</v>
      </c>
      <c r="F4872">
        <v>3</v>
      </c>
      <c r="G4872">
        <v>0</v>
      </c>
      <c r="H4872" t="s">
        <v>224</v>
      </c>
      <c r="I4872" t="s">
        <v>247</v>
      </c>
      <c r="J4872" t="s">
        <v>26</v>
      </c>
      <c r="K4872" t="b">
        <v>0</v>
      </c>
      <c r="L4872">
        <v>2015</v>
      </c>
      <c r="M4872">
        <v>57680327998</v>
      </c>
      <c r="N4872">
        <v>293492370193</v>
      </c>
      <c r="O4872" t="b">
        <v>1</v>
      </c>
      <c r="P4872">
        <v>-1</v>
      </c>
      <c r="Q4872" t="str" cm="1">
        <f t="array" ref="Q4872">_xlfn.IFS(Table1[[#This Row],[Wealthier_Winner]]=-1,"Wealthier Nation Loses",Table1[[#This Row],[Wealthier_Winner]]=0,"Tie",Table1[[#This Row],[Wealthier_Winner]]=1,"Wealthier Nation Wins")</f>
        <v>Wealthier Nation Loses</v>
      </c>
    </row>
    <row r="4873" spans="1:17" x14ac:dyDescent="0.2">
      <c r="A4873" s="1">
        <v>7176</v>
      </c>
      <c r="B4873" s="2">
        <v>42290</v>
      </c>
      <c r="C4873" s="7">
        <f>_xlfn.FLOOR.MATH(Table1[[#This Row],[year]],10)</f>
        <v>2010</v>
      </c>
      <c r="D4873" t="s">
        <v>475</v>
      </c>
      <c r="E4873" t="s">
        <v>334</v>
      </c>
      <c r="F4873">
        <v>0</v>
      </c>
      <c r="G4873">
        <v>3</v>
      </c>
      <c r="H4873" t="s">
        <v>224</v>
      </c>
      <c r="I4873" t="s">
        <v>647</v>
      </c>
      <c r="J4873" t="s">
        <v>475</v>
      </c>
      <c r="K4873" t="b">
        <v>0</v>
      </c>
      <c r="L4873">
        <v>2015</v>
      </c>
      <c r="M4873">
        <v>239258328381</v>
      </c>
      <c r="N4873">
        <v>401296238228</v>
      </c>
      <c r="O4873" t="b">
        <v>0</v>
      </c>
      <c r="P4873">
        <v>1</v>
      </c>
      <c r="Q4873" t="str" cm="1">
        <f t="array" ref="Q4873">_xlfn.IFS(Table1[[#This Row],[Wealthier_Winner]]=-1,"Wealthier Nation Loses",Table1[[#This Row],[Wealthier_Winner]]=0,"Tie",Table1[[#This Row],[Wealthier_Winner]]=1,"Wealthier Nation Wins")</f>
        <v>Wealthier Nation Wins</v>
      </c>
    </row>
    <row r="4874" spans="1:17" x14ac:dyDescent="0.2">
      <c r="A4874" s="1">
        <v>7177</v>
      </c>
      <c r="B4874" s="2">
        <v>42294</v>
      </c>
      <c r="C4874" s="7">
        <f>_xlfn.FLOOR.MATH(Table1[[#This Row],[year]],10)</f>
        <v>2010</v>
      </c>
      <c r="D4874" t="s">
        <v>463</v>
      </c>
      <c r="E4874" t="s">
        <v>694</v>
      </c>
      <c r="F4874">
        <v>2</v>
      </c>
      <c r="G4874">
        <v>1</v>
      </c>
      <c r="H4874" t="s">
        <v>224</v>
      </c>
      <c r="I4874" t="s">
        <v>592</v>
      </c>
      <c r="J4874" t="s">
        <v>472</v>
      </c>
      <c r="K4874" t="b">
        <v>0</v>
      </c>
      <c r="L4874">
        <v>2015</v>
      </c>
      <c r="M4874">
        <v>3908217914</v>
      </c>
      <c r="N4874">
        <v>2424391785</v>
      </c>
      <c r="O4874" t="b">
        <v>0</v>
      </c>
      <c r="P4874">
        <v>1</v>
      </c>
      <c r="Q4874" t="str" cm="1">
        <f t="array" ref="Q4874">_xlfn.IFS(Table1[[#This Row],[Wealthier_Winner]]=-1,"Wealthier Nation Loses",Table1[[#This Row],[Wealthier_Winner]]=0,"Tie",Table1[[#This Row],[Wealthier_Winner]]=1,"Wealthier Nation Wins")</f>
        <v>Wealthier Nation Wins</v>
      </c>
    </row>
    <row r="4875" spans="1:17" x14ac:dyDescent="0.2">
      <c r="A4875" s="1">
        <v>7179</v>
      </c>
      <c r="B4875" s="2">
        <v>42319</v>
      </c>
      <c r="C4875" s="7">
        <f>_xlfn.FLOOR.MATH(Table1[[#This Row],[year]],10)</f>
        <v>2010</v>
      </c>
      <c r="D4875" t="s">
        <v>300</v>
      </c>
      <c r="E4875" t="s">
        <v>433</v>
      </c>
      <c r="F4875">
        <v>1</v>
      </c>
      <c r="G4875">
        <v>0</v>
      </c>
      <c r="H4875" t="s">
        <v>224</v>
      </c>
      <c r="I4875" t="s">
        <v>299</v>
      </c>
      <c r="J4875" t="s">
        <v>300</v>
      </c>
      <c r="K4875" t="b">
        <v>0</v>
      </c>
      <c r="L4875">
        <v>2015</v>
      </c>
      <c r="M4875">
        <v>16208985769</v>
      </c>
      <c r="N4875">
        <v>14383107762</v>
      </c>
      <c r="O4875" t="b">
        <v>0</v>
      </c>
      <c r="P4875">
        <v>1</v>
      </c>
      <c r="Q4875" t="str" cm="1">
        <f t="array" ref="Q4875">_xlfn.IFS(Table1[[#This Row],[Wealthier_Winner]]=-1,"Wealthier Nation Loses",Table1[[#This Row],[Wealthier_Winner]]=0,"Tie",Table1[[#This Row],[Wealthier_Winner]]=1,"Wealthier Nation Wins")</f>
        <v>Wealthier Nation Wins</v>
      </c>
    </row>
    <row r="4876" spans="1:17" x14ac:dyDescent="0.2">
      <c r="A4876" s="1">
        <v>7180</v>
      </c>
      <c r="B4876" s="2">
        <v>42319</v>
      </c>
      <c r="C4876" s="7">
        <f>_xlfn.FLOOR.MATH(Table1[[#This Row],[year]],10)</f>
        <v>2010</v>
      </c>
      <c r="D4876" t="s">
        <v>274</v>
      </c>
      <c r="E4876" t="s">
        <v>273</v>
      </c>
      <c r="F4876">
        <v>0</v>
      </c>
      <c r="G4876">
        <v>1</v>
      </c>
      <c r="H4876" t="s">
        <v>224</v>
      </c>
      <c r="I4876" t="s">
        <v>278</v>
      </c>
      <c r="J4876" t="s">
        <v>274</v>
      </c>
      <c r="K4876" t="b">
        <v>0</v>
      </c>
      <c r="L4876">
        <v>2015</v>
      </c>
      <c r="M4876">
        <v>51726758676</v>
      </c>
      <c r="N4876">
        <v>21251216798</v>
      </c>
      <c r="O4876" t="b">
        <v>1</v>
      </c>
      <c r="P4876">
        <v>-1</v>
      </c>
      <c r="Q4876" t="str" cm="1">
        <f t="array" ref="Q4876">_xlfn.IFS(Table1[[#This Row],[Wealthier_Winner]]=-1,"Wealthier Nation Loses",Table1[[#This Row],[Wealthier_Winner]]=0,"Tie",Table1[[#This Row],[Wealthier_Winner]]=1,"Wealthier Nation Wins")</f>
        <v>Wealthier Nation Loses</v>
      </c>
    </row>
    <row r="4877" spans="1:17" x14ac:dyDescent="0.2">
      <c r="A4877" s="1">
        <v>7181</v>
      </c>
      <c r="B4877" s="2">
        <v>42320</v>
      </c>
      <c r="C4877" s="7">
        <f>_xlfn.FLOOR.MATH(Table1[[#This Row],[year]],10)</f>
        <v>2010</v>
      </c>
      <c r="D4877" t="s">
        <v>641</v>
      </c>
      <c r="E4877" t="s">
        <v>551</v>
      </c>
      <c r="F4877">
        <v>3</v>
      </c>
      <c r="G4877">
        <v>0</v>
      </c>
      <c r="H4877" t="s">
        <v>224</v>
      </c>
      <c r="I4877" t="s">
        <v>332</v>
      </c>
      <c r="J4877" t="s">
        <v>210</v>
      </c>
      <c r="K4877" t="b">
        <v>1</v>
      </c>
      <c r="L4877">
        <v>2015</v>
      </c>
      <c r="M4877">
        <v>19134221644</v>
      </c>
      <c r="N4877">
        <v>24174170369</v>
      </c>
      <c r="O4877" t="b">
        <v>0</v>
      </c>
      <c r="P4877">
        <v>-1</v>
      </c>
      <c r="Q4877" t="str" cm="1">
        <f t="array" ref="Q4877">_xlfn.IFS(Table1[[#This Row],[Wealthier_Winner]]=-1,"Wealthier Nation Loses",Table1[[#This Row],[Wealthier_Winner]]=0,"Tie",Table1[[#This Row],[Wealthier_Winner]]=1,"Wealthier Nation Wins")</f>
        <v>Wealthier Nation Loses</v>
      </c>
    </row>
    <row r="4878" spans="1:17" x14ac:dyDescent="0.2">
      <c r="A4878" s="1">
        <v>7183</v>
      </c>
      <c r="B4878" s="2">
        <v>42320</v>
      </c>
      <c r="C4878" s="7">
        <f>_xlfn.FLOOR.MATH(Table1[[#This Row],[year]],10)</f>
        <v>2010</v>
      </c>
      <c r="D4878" t="s">
        <v>310</v>
      </c>
      <c r="E4878" t="s">
        <v>345</v>
      </c>
      <c r="F4878">
        <v>2</v>
      </c>
      <c r="G4878">
        <v>1</v>
      </c>
      <c r="H4878" t="s">
        <v>224</v>
      </c>
      <c r="I4878" t="s">
        <v>311</v>
      </c>
      <c r="J4878" t="s">
        <v>310</v>
      </c>
      <c r="K4878" t="b">
        <v>0</v>
      </c>
      <c r="L4878">
        <v>2015</v>
      </c>
      <c r="M4878">
        <v>11388160996</v>
      </c>
      <c r="N4878">
        <v>11832159315</v>
      </c>
      <c r="O4878" t="b">
        <v>0</v>
      </c>
      <c r="P4878">
        <v>-1</v>
      </c>
      <c r="Q4878" t="str" cm="1">
        <f t="array" ref="Q4878">_xlfn.IFS(Table1[[#This Row],[Wealthier_Winner]]=-1,"Wealthier Nation Loses",Table1[[#This Row],[Wealthier_Winner]]=0,"Tie",Table1[[#This Row],[Wealthier_Winner]]=1,"Wealthier Nation Wins")</f>
        <v>Wealthier Nation Loses</v>
      </c>
    </row>
    <row r="4879" spans="1:17" x14ac:dyDescent="0.2">
      <c r="A4879" s="1">
        <v>7184</v>
      </c>
      <c r="B4879" s="2">
        <v>42320</v>
      </c>
      <c r="C4879" s="7">
        <f>_xlfn.FLOOR.MATH(Table1[[#This Row],[year]],10)</f>
        <v>2010</v>
      </c>
      <c r="D4879" t="s">
        <v>47</v>
      </c>
      <c r="E4879" t="s">
        <v>258</v>
      </c>
      <c r="F4879">
        <v>4</v>
      </c>
      <c r="G4879">
        <v>2</v>
      </c>
      <c r="H4879" t="s">
        <v>224</v>
      </c>
      <c r="I4879" t="s">
        <v>246</v>
      </c>
      <c r="J4879" t="s">
        <v>47</v>
      </c>
      <c r="K4879" t="b">
        <v>0</v>
      </c>
      <c r="L4879">
        <v>2015</v>
      </c>
      <c r="M4879">
        <v>33000198248</v>
      </c>
      <c r="N4879">
        <v>125449241571</v>
      </c>
      <c r="O4879" t="b">
        <v>1</v>
      </c>
      <c r="P4879">
        <v>-1</v>
      </c>
      <c r="Q4879" t="str" cm="1">
        <f t="array" ref="Q4879">_xlfn.IFS(Table1[[#This Row],[Wealthier_Winner]]=-1,"Wealthier Nation Loses",Table1[[#This Row],[Wealthier_Winner]]=0,"Tie",Table1[[#This Row],[Wealthier_Winner]]=1,"Wealthier Nation Wins")</f>
        <v>Wealthier Nation Loses</v>
      </c>
    </row>
    <row r="4880" spans="1:17" x14ac:dyDescent="0.2">
      <c r="A4880" s="1">
        <v>7186</v>
      </c>
      <c r="B4880" s="2">
        <v>42320</v>
      </c>
      <c r="C4880" s="7">
        <f>_xlfn.FLOOR.MATH(Table1[[#This Row],[year]],10)</f>
        <v>2010</v>
      </c>
      <c r="D4880" t="s">
        <v>14</v>
      </c>
      <c r="E4880" t="s">
        <v>15</v>
      </c>
      <c r="F4880">
        <v>1</v>
      </c>
      <c r="G4880">
        <v>1</v>
      </c>
      <c r="H4880" t="s">
        <v>224</v>
      </c>
      <c r="I4880" t="s">
        <v>75</v>
      </c>
      <c r="J4880" t="s">
        <v>14</v>
      </c>
      <c r="K4880" t="b">
        <v>0</v>
      </c>
      <c r="L4880">
        <v>2015</v>
      </c>
      <c r="M4880">
        <v>242450355830</v>
      </c>
      <c r="N4880">
        <v>293492370193</v>
      </c>
      <c r="O4880" t="b">
        <v>0</v>
      </c>
      <c r="P4880">
        <v>0</v>
      </c>
      <c r="Q4880" t="str" cm="1">
        <f t="array" ref="Q4880">_xlfn.IFS(Table1[[#This Row],[Wealthier_Winner]]=-1,"Wealthier Nation Loses",Table1[[#This Row],[Wealthier_Winner]]=0,"Tie",Table1[[#This Row],[Wealthier_Winner]]=1,"Wealthier Nation Wins")</f>
        <v>Tie</v>
      </c>
    </row>
    <row r="4881" spans="1:17" x14ac:dyDescent="0.2">
      <c r="A4881" s="1">
        <v>7188</v>
      </c>
      <c r="B4881" s="2">
        <v>42320</v>
      </c>
      <c r="C4881" s="7">
        <f>_xlfn.FLOOR.MATH(Table1[[#This Row],[year]],10)</f>
        <v>2010</v>
      </c>
      <c r="D4881" t="s">
        <v>57</v>
      </c>
      <c r="E4881" t="s">
        <v>26</v>
      </c>
      <c r="F4881">
        <v>2</v>
      </c>
      <c r="G4881">
        <v>1</v>
      </c>
      <c r="H4881" t="s">
        <v>224</v>
      </c>
      <c r="I4881" t="s">
        <v>335</v>
      </c>
      <c r="J4881" t="s">
        <v>57</v>
      </c>
      <c r="K4881" t="b">
        <v>0</v>
      </c>
      <c r="L4881">
        <v>2015</v>
      </c>
      <c r="M4881">
        <v>97209558000</v>
      </c>
      <c r="N4881">
        <v>57680327998</v>
      </c>
      <c r="O4881" t="b">
        <v>0</v>
      </c>
      <c r="P4881">
        <v>1</v>
      </c>
      <c r="Q4881" t="str" cm="1">
        <f t="array" ref="Q4881">_xlfn.IFS(Table1[[#This Row],[Wealthier_Winner]]=-1,"Wealthier Nation Loses",Table1[[#This Row],[Wealthier_Winner]]=0,"Tie",Table1[[#This Row],[Wealthier_Winner]]=1,"Wealthier Nation Wins")</f>
        <v>Wealthier Nation Wins</v>
      </c>
    </row>
    <row r="4882" spans="1:17" x14ac:dyDescent="0.2">
      <c r="A4882" s="1">
        <v>7189</v>
      </c>
      <c r="B4882" s="2">
        <v>42320</v>
      </c>
      <c r="C4882" s="7">
        <f>_xlfn.FLOOR.MATH(Table1[[#This Row],[year]],10)</f>
        <v>2010</v>
      </c>
      <c r="D4882" t="s">
        <v>406</v>
      </c>
      <c r="E4882" t="s">
        <v>782</v>
      </c>
      <c r="F4882">
        <v>1</v>
      </c>
      <c r="G4882">
        <v>0</v>
      </c>
      <c r="H4882" t="s">
        <v>224</v>
      </c>
      <c r="I4882" t="s">
        <v>622</v>
      </c>
      <c r="J4882" t="s">
        <v>406</v>
      </c>
      <c r="K4882" t="b">
        <v>0</v>
      </c>
      <c r="L4882">
        <v>2015</v>
      </c>
      <c r="M4882">
        <v>2103588360044</v>
      </c>
      <c r="N4882">
        <v>5799000000</v>
      </c>
      <c r="O4882" t="b">
        <v>1</v>
      </c>
      <c r="P4882">
        <v>1</v>
      </c>
      <c r="Q4882" t="str" cm="1">
        <f t="array" ref="Q4882">_xlfn.IFS(Table1[[#This Row],[Wealthier_Winner]]=-1,"Wealthier Nation Loses",Table1[[#This Row],[Wealthier_Winner]]=0,"Tie",Table1[[#This Row],[Wealthier_Winner]]=1,"Wealthier Nation Wins")</f>
        <v>Wealthier Nation Wins</v>
      </c>
    </row>
    <row r="4883" spans="1:17" x14ac:dyDescent="0.2">
      <c r="A4883" s="1">
        <v>7190</v>
      </c>
      <c r="B4883" s="2">
        <v>42320</v>
      </c>
      <c r="C4883" s="7">
        <f>_xlfn.FLOOR.MATH(Table1[[#This Row],[year]],10)</f>
        <v>2010</v>
      </c>
      <c r="D4883" t="s">
        <v>210</v>
      </c>
      <c r="E4883" t="s">
        <v>560</v>
      </c>
      <c r="F4883">
        <v>3</v>
      </c>
      <c r="G4883">
        <v>1</v>
      </c>
      <c r="H4883" t="s">
        <v>224</v>
      </c>
      <c r="I4883" t="s">
        <v>332</v>
      </c>
      <c r="J4883" t="s">
        <v>210</v>
      </c>
      <c r="K4883" t="b">
        <v>0</v>
      </c>
      <c r="L4883">
        <v>2015</v>
      </c>
      <c r="M4883">
        <v>409191686496</v>
      </c>
      <c r="N4883">
        <v>35799714285</v>
      </c>
      <c r="O4883" t="b">
        <v>1</v>
      </c>
      <c r="P4883">
        <v>1</v>
      </c>
      <c r="Q4883" t="str" cm="1">
        <f t="array" ref="Q4883">_xlfn.IFS(Table1[[#This Row],[Wealthier_Winner]]=-1,"Wealthier Nation Loses",Table1[[#This Row],[Wealthier_Winner]]=0,"Tie",Table1[[#This Row],[Wealthier_Winner]]=1,"Wealthier Nation Wins")</f>
        <v>Wealthier Nation Wins</v>
      </c>
    </row>
    <row r="4884" spans="1:17" x14ac:dyDescent="0.2">
      <c r="A4884" s="1">
        <v>7191</v>
      </c>
      <c r="B4884" s="2">
        <v>42320</v>
      </c>
      <c r="C4884" s="7">
        <f>_xlfn.FLOOR.MATH(Table1[[#This Row],[year]],10)</f>
        <v>2010</v>
      </c>
      <c r="D4884" t="s">
        <v>195</v>
      </c>
      <c r="E4884" t="s">
        <v>737</v>
      </c>
      <c r="F4884">
        <v>4</v>
      </c>
      <c r="G4884">
        <v>0</v>
      </c>
      <c r="H4884" t="s">
        <v>224</v>
      </c>
      <c r="I4884" t="s">
        <v>144</v>
      </c>
      <c r="J4884" t="s">
        <v>195</v>
      </c>
      <c r="K4884" t="b">
        <v>0</v>
      </c>
      <c r="L4884">
        <v>2015</v>
      </c>
      <c r="M4884">
        <v>1539212301135</v>
      </c>
      <c r="N4884">
        <v>59607290408</v>
      </c>
      <c r="O4884" t="b">
        <v>1</v>
      </c>
      <c r="P4884">
        <v>1</v>
      </c>
      <c r="Q4884" t="str" cm="1">
        <f t="array" ref="Q4884">_xlfn.IFS(Table1[[#This Row],[Wealthier_Winner]]=-1,"Wealthier Nation Loses",Table1[[#This Row],[Wealthier_Winner]]=0,"Tie",Table1[[#This Row],[Wealthier_Winner]]=1,"Wealthier Nation Wins")</f>
        <v>Wealthier Nation Wins</v>
      </c>
    </row>
    <row r="4885" spans="1:17" x14ac:dyDescent="0.2">
      <c r="A4885" s="1">
        <v>7194</v>
      </c>
      <c r="B4885" s="2">
        <v>42320</v>
      </c>
      <c r="C4885" s="7">
        <f>_xlfn.FLOOR.MATH(Table1[[#This Row],[year]],10)</f>
        <v>2010</v>
      </c>
      <c r="D4885" t="s">
        <v>24</v>
      </c>
      <c r="E4885" t="s">
        <v>639</v>
      </c>
      <c r="F4885">
        <v>2</v>
      </c>
      <c r="G4885">
        <v>0</v>
      </c>
      <c r="H4885" t="s">
        <v>224</v>
      </c>
      <c r="I4885" t="s">
        <v>796</v>
      </c>
      <c r="J4885" t="s">
        <v>24</v>
      </c>
      <c r="K4885" t="b">
        <v>0</v>
      </c>
      <c r="L4885">
        <v>2015</v>
      </c>
      <c r="M4885">
        <v>110413823841</v>
      </c>
      <c r="N4885">
        <v>13185496881</v>
      </c>
      <c r="O4885" t="b">
        <v>1</v>
      </c>
      <c r="P4885">
        <v>1</v>
      </c>
      <c r="Q4885" t="str" cm="1">
        <f t="array" ref="Q4885">_xlfn.IFS(Table1[[#This Row],[Wealthier_Winner]]=-1,"Wealthier Nation Loses",Table1[[#This Row],[Wealthier_Winner]]=0,"Tie",Table1[[#This Row],[Wealthier_Winner]]=1,"Wealthier Nation Wins")</f>
        <v>Wealthier Nation Wins</v>
      </c>
    </row>
    <row r="4886" spans="1:17" x14ac:dyDescent="0.2">
      <c r="A4886" s="1">
        <v>7195</v>
      </c>
      <c r="B4886" s="2">
        <v>42320</v>
      </c>
      <c r="C4886" s="7">
        <f>_xlfn.FLOOR.MATH(Table1[[#This Row],[year]],10)</f>
        <v>2010</v>
      </c>
      <c r="D4886" t="s">
        <v>462</v>
      </c>
      <c r="E4886" t="s">
        <v>305</v>
      </c>
      <c r="F4886">
        <v>0</v>
      </c>
      <c r="G4886">
        <v>1</v>
      </c>
      <c r="H4886" t="s">
        <v>224</v>
      </c>
      <c r="I4886" t="s">
        <v>465</v>
      </c>
      <c r="J4886" t="s">
        <v>462</v>
      </c>
      <c r="K4886" t="b">
        <v>0</v>
      </c>
      <c r="L4886">
        <v>2015</v>
      </c>
      <c r="M4886">
        <v>11335161083</v>
      </c>
      <c r="N4886">
        <v>8794201742</v>
      </c>
      <c r="O4886" t="b">
        <v>0</v>
      </c>
      <c r="P4886">
        <v>-1</v>
      </c>
      <c r="Q4886" t="str" cm="1">
        <f t="array" ref="Q4886">_xlfn.IFS(Table1[[#This Row],[Wealthier_Winner]]=-1,"Wealthier Nation Loses",Table1[[#This Row],[Wealthier_Winner]]=0,"Tie",Table1[[#This Row],[Wealthier_Winner]]=1,"Wealthier Nation Wins")</f>
        <v>Wealthier Nation Loses</v>
      </c>
    </row>
    <row r="4887" spans="1:17" x14ac:dyDescent="0.2">
      <c r="A4887" s="1">
        <v>7198</v>
      </c>
      <c r="B4887" s="2">
        <v>42320</v>
      </c>
      <c r="C4887" s="7">
        <f>_xlfn.FLOOR.MATH(Table1[[#This Row],[year]],10)</f>
        <v>2010</v>
      </c>
      <c r="D4887" t="s">
        <v>359</v>
      </c>
      <c r="E4887" t="s">
        <v>51</v>
      </c>
      <c r="F4887">
        <v>0</v>
      </c>
      <c r="G4887">
        <v>3</v>
      </c>
      <c r="H4887" t="s">
        <v>224</v>
      </c>
      <c r="I4887" t="s">
        <v>360</v>
      </c>
      <c r="J4887" t="s">
        <v>359</v>
      </c>
      <c r="K4887" t="b">
        <v>0</v>
      </c>
      <c r="L4887">
        <v>2015</v>
      </c>
      <c r="M4887">
        <v>307998545269</v>
      </c>
      <c r="N4887">
        <v>4444930651964</v>
      </c>
      <c r="O4887" t="b">
        <v>1</v>
      </c>
      <c r="P4887">
        <v>1</v>
      </c>
      <c r="Q4887" t="str" cm="1">
        <f t="array" ref="Q4887">_xlfn.IFS(Table1[[#This Row],[Wealthier_Winner]]=-1,"Wealthier Nation Loses",Table1[[#This Row],[Wealthier_Winner]]=0,"Tie",Table1[[#This Row],[Wealthier_Winner]]=1,"Wealthier Nation Wins")</f>
        <v>Wealthier Nation Wins</v>
      </c>
    </row>
    <row r="4888" spans="1:17" x14ac:dyDescent="0.2">
      <c r="A4888" s="1">
        <v>7199</v>
      </c>
      <c r="B4888" s="2">
        <v>42320</v>
      </c>
      <c r="C4888" s="7">
        <f>_xlfn.FLOOR.MATH(Table1[[#This Row],[year]],10)</f>
        <v>2010</v>
      </c>
      <c r="D4888" t="s">
        <v>556</v>
      </c>
      <c r="E4888" t="s">
        <v>405</v>
      </c>
      <c r="F4888">
        <v>5</v>
      </c>
      <c r="G4888">
        <v>0</v>
      </c>
      <c r="H4888" t="s">
        <v>224</v>
      </c>
      <c r="I4888" t="s">
        <v>557</v>
      </c>
      <c r="J4888" t="s">
        <v>556</v>
      </c>
      <c r="K4888" t="b">
        <v>0</v>
      </c>
      <c r="L4888">
        <v>2015</v>
      </c>
      <c r="M4888">
        <v>8271431485</v>
      </c>
      <c r="N4888">
        <v>195146608978</v>
      </c>
      <c r="O4888" t="b">
        <v>1</v>
      </c>
      <c r="P4888">
        <v>-1</v>
      </c>
      <c r="Q4888" t="str" cm="1">
        <f t="array" ref="Q4888">_xlfn.IFS(Table1[[#This Row],[Wealthier_Winner]]=-1,"Wealthier Nation Loses",Table1[[#This Row],[Wealthier_Winner]]=0,"Tie",Table1[[#This Row],[Wealthier_Winner]]=1,"Wealthier Nation Wins")</f>
        <v>Wealthier Nation Loses</v>
      </c>
    </row>
    <row r="4889" spans="1:17" x14ac:dyDescent="0.2">
      <c r="A4889" s="1">
        <v>7201</v>
      </c>
      <c r="B4889" s="2">
        <v>42320</v>
      </c>
      <c r="C4889" s="7">
        <f>_xlfn.FLOOR.MATH(Table1[[#This Row],[year]],10)</f>
        <v>2010</v>
      </c>
      <c r="D4889" t="s">
        <v>62</v>
      </c>
      <c r="E4889" t="s">
        <v>357</v>
      </c>
      <c r="F4889">
        <v>0</v>
      </c>
      <c r="G4889">
        <v>1</v>
      </c>
      <c r="H4889" t="s">
        <v>224</v>
      </c>
      <c r="I4889" t="s">
        <v>353</v>
      </c>
      <c r="J4889" t="s">
        <v>62</v>
      </c>
      <c r="K4889" t="b">
        <v>0</v>
      </c>
      <c r="L4889">
        <v>2015</v>
      </c>
      <c r="M4889">
        <v>5755457836</v>
      </c>
      <c r="N4889">
        <v>32387183730</v>
      </c>
      <c r="O4889" t="b">
        <v>1</v>
      </c>
      <c r="P4889">
        <v>1</v>
      </c>
      <c r="Q4889" t="str" cm="1">
        <f t="array" ref="Q4889">_xlfn.IFS(Table1[[#This Row],[Wealthier_Winner]]=-1,"Wealthier Nation Loses",Table1[[#This Row],[Wealthier_Winner]]=0,"Tie",Table1[[#This Row],[Wealthier_Winner]]=1,"Wealthier Nation Wins")</f>
        <v>Wealthier Nation Wins</v>
      </c>
    </row>
    <row r="4890" spans="1:17" x14ac:dyDescent="0.2">
      <c r="A4890" s="1">
        <v>7202</v>
      </c>
      <c r="B4890" s="2">
        <v>42320</v>
      </c>
      <c r="C4890" s="7">
        <f>_xlfn.FLOOR.MATH(Table1[[#This Row],[year]],10)</f>
        <v>2010</v>
      </c>
      <c r="D4890" t="s">
        <v>39</v>
      </c>
      <c r="E4890" t="s">
        <v>738</v>
      </c>
      <c r="F4890">
        <v>8</v>
      </c>
      <c r="G4890">
        <v>0</v>
      </c>
      <c r="H4890" t="s">
        <v>224</v>
      </c>
      <c r="I4890" t="s">
        <v>576</v>
      </c>
      <c r="J4890" t="s">
        <v>39</v>
      </c>
      <c r="K4890" t="b">
        <v>0</v>
      </c>
      <c r="L4890">
        <v>2015</v>
      </c>
      <c r="M4890">
        <v>381973042886</v>
      </c>
      <c r="N4890">
        <v>1590282371</v>
      </c>
      <c r="O4890" t="b">
        <v>1</v>
      </c>
      <c r="P4890">
        <v>1</v>
      </c>
      <c r="Q4890" t="str" cm="1">
        <f t="array" ref="Q4890">_xlfn.IFS(Table1[[#This Row],[Wealthier_Winner]]=-1,"Wealthier Nation Loses",Table1[[#This Row],[Wealthier_Winner]]=0,"Tie",Table1[[#This Row],[Wealthier_Winner]]=1,"Wealthier Nation Wins")</f>
        <v>Wealthier Nation Wins</v>
      </c>
    </row>
    <row r="4891" spans="1:17" x14ac:dyDescent="0.2">
      <c r="A4891" s="1">
        <v>7204</v>
      </c>
      <c r="B4891" s="2">
        <v>42321</v>
      </c>
      <c r="C4891" s="7">
        <f>_xlfn.FLOOR.MATH(Table1[[#This Row],[year]],10)</f>
        <v>2010</v>
      </c>
      <c r="D4891" t="s">
        <v>60</v>
      </c>
      <c r="E4891" t="s">
        <v>50</v>
      </c>
      <c r="F4891">
        <v>1</v>
      </c>
      <c r="G4891">
        <v>3</v>
      </c>
      <c r="H4891" t="s">
        <v>224</v>
      </c>
      <c r="I4891" t="s">
        <v>797</v>
      </c>
      <c r="J4891" t="s">
        <v>60</v>
      </c>
      <c r="K4891" t="b">
        <v>0</v>
      </c>
      <c r="L4891">
        <v>2015</v>
      </c>
      <c r="M4891">
        <v>102543067840</v>
      </c>
      <c r="N4891">
        <v>346709790458</v>
      </c>
      <c r="O4891" t="b">
        <v>1</v>
      </c>
      <c r="P4891">
        <v>1</v>
      </c>
      <c r="Q4891" t="str" cm="1">
        <f t="array" ref="Q4891">_xlfn.IFS(Table1[[#This Row],[Wealthier_Winner]]=-1,"Wealthier Nation Loses",Table1[[#This Row],[Wealthier_Winner]]=0,"Tie",Table1[[#This Row],[Wealthier_Winner]]=1,"Wealthier Nation Wins")</f>
        <v>Wealthier Nation Wins</v>
      </c>
    </row>
    <row r="4892" spans="1:17" x14ac:dyDescent="0.2">
      <c r="A4892" s="1">
        <v>7205</v>
      </c>
      <c r="B4892" s="2">
        <v>42321</v>
      </c>
      <c r="C4892" s="7">
        <f>_xlfn.FLOOR.MATH(Table1[[#This Row],[year]],10)</f>
        <v>2010</v>
      </c>
      <c r="D4892" t="s">
        <v>19</v>
      </c>
      <c r="E4892" t="s">
        <v>13</v>
      </c>
      <c r="F4892">
        <v>1</v>
      </c>
      <c r="G4892">
        <v>1</v>
      </c>
      <c r="H4892" t="s">
        <v>224</v>
      </c>
      <c r="I4892" t="s">
        <v>93</v>
      </c>
      <c r="J4892" t="s">
        <v>19</v>
      </c>
      <c r="K4892" t="b">
        <v>0</v>
      </c>
      <c r="L4892">
        <v>2015</v>
      </c>
      <c r="M4892">
        <v>594749285413</v>
      </c>
      <c r="N4892">
        <v>1802211999456</v>
      </c>
      <c r="O4892" t="b">
        <v>1</v>
      </c>
      <c r="P4892">
        <v>0</v>
      </c>
      <c r="Q4892" t="str" cm="1">
        <f t="array" ref="Q4892">_xlfn.IFS(Table1[[#This Row],[Wealthier_Winner]]=-1,"Wealthier Nation Loses",Table1[[#This Row],[Wealthier_Winner]]=0,"Tie",Table1[[#This Row],[Wealthier_Winner]]=1,"Wealthier Nation Wins")</f>
        <v>Tie</v>
      </c>
    </row>
    <row r="4893" spans="1:17" x14ac:dyDescent="0.2">
      <c r="A4893" s="1">
        <v>7206</v>
      </c>
      <c r="B4893" s="2">
        <v>42321</v>
      </c>
      <c r="C4893" s="7">
        <f>_xlfn.FLOOR.MATH(Table1[[#This Row],[year]],10)</f>
        <v>2010</v>
      </c>
      <c r="D4893" t="s">
        <v>688</v>
      </c>
      <c r="E4893" t="s">
        <v>63</v>
      </c>
      <c r="F4893">
        <v>0</v>
      </c>
      <c r="G4893">
        <v>0</v>
      </c>
      <c r="H4893" t="s">
        <v>224</v>
      </c>
      <c r="I4893" t="s">
        <v>748</v>
      </c>
      <c r="J4893" t="s">
        <v>688</v>
      </c>
      <c r="K4893" t="b">
        <v>0</v>
      </c>
      <c r="L4893">
        <v>2015</v>
      </c>
      <c r="M4893">
        <v>966029600</v>
      </c>
      <c r="N4893">
        <v>49436806230</v>
      </c>
      <c r="O4893" t="b">
        <v>1</v>
      </c>
      <c r="P4893">
        <v>0</v>
      </c>
      <c r="Q4893" t="str" cm="1">
        <f t="array" ref="Q4893">_xlfn.IFS(Table1[[#This Row],[Wealthier_Winner]]=-1,"Wealthier Nation Loses",Table1[[#This Row],[Wealthier_Winner]]=0,"Tie",Table1[[#This Row],[Wealthier_Winner]]=1,"Wealthier Nation Wins")</f>
        <v>Tie</v>
      </c>
    </row>
    <row r="4894" spans="1:17" x14ac:dyDescent="0.2">
      <c r="A4894" s="1">
        <v>7207</v>
      </c>
      <c r="B4894" s="2">
        <v>42321</v>
      </c>
      <c r="C4894" s="7">
        <f>_xlfn.FLOOR.MATH(Table1[[#This Row],[year]],10)</f>
        <v>2010</v>
      </c>
      <c r="D4894" t="s">
        <v>56</v>
      </c>
      <c r="E4894" t="s">
        <v>70</v>
      </c>
      <c r="F4894">
        <v>1</v>
      </c>
      <c r="G4894">
        <v>0</v>
      </c>
      <c r="H4894" t="s">
        <v>224</v>
      </c>
      <c r="I4894" t="s">
        <v>225</v>
      </c>
      <c r="J4894" t="s">
        <v>56</v>
      </c>
      <c r="K4894" t="b">
        <v>0</v>
      </c>
      <c r="L4894">
        <v>2015</v>
      </c>
      <c r="M4894">
        <v>56441920820</v>
      </c>
      <c r="N4894">
        <v>14849629308</v>
      </c>
      <c r="O4894" t="b">
        <v>1</v>
      </c>
      <c r="P4894">
        <v>1</v>
      </c>
      <c r="Q4894" t="str" cm="1">
        <f t="array" ref="Q4894">_xlfn.IFS(Table1[[#This Row],[Wealthier_Winner]]=-1,"Wealthier Nation Loses",Table1[[#This Row],[Wealthier_Winner]]=0,"Tie",Table1[[#This Row],[Wealthier_Winner]]=1,"Wealthier Nation Wins")</f>
        <v>Wealthier Nation Wins</v>
      </c>
    </row>
    <row r="4895" spans="1:17" x14ac:dyDescent="0.2">
      <c r="A4895" s="1">
        <v>7210</v>
      </c>
      <c r="B4895" s="2">
        <v>42321</v>
      </c>
      <c r="C4895" s="7">
        <f>_xlfn.FLOOR.MATH(Table1[[#This Row],[year]],10)</f>
        <v>2010</v>
      </c>
      <c r="D4895" t="s">
        <v>286</v>
      </c>
      <c r="E4895" t="s">
        <v>514</v>
      </c>
      <c r="F4895">
        <v>1</v>
      </c>
      <c r="G4895">
        <v>0</v>
      </c>
      <c r="H4895" t="s">
        <v>224</v>
      </c>
      <c r="I4895" t="s">
        <v>753</v>
      </c>
      <c r="J4895" t="s">
        <v>53</v>
      </c>
      <c r="K4895" t="b">
        <v>1</v>
      </c>
      <c r="L4895">
        <v>2015</v>
      </c>
      <c r="M4895">
        <v>48717501321</v>
      </c>
      <c r="N4895">
        <v>8543760199</v>
      </c>
      <c r="O4895" t="b">
        <v>1</v>
      </c>
      <c r="P4895">
        <v>1</v>
      </c>
      <c r="Q4895" t="str" cm="1">
        <f t="array" ref="Q4895">_xlfn.IFS(Table1[[#This Row],[Wealthier_Winner]]=-1,"Wealthier Nation Loses",Table1[[#This Row],[Wealthier_Winner]]=0,"Tie",Table1[[#This Row],[Wealthier_Winner]]=1,"Wealthier Nation Wins")</f>
        <v>Wealthier Nation Wins</v>
      </c>
    </row>
    <row r="4896" spans="1:17" x14ac:dyDescent="0.2">
      <c r="A4896" s="1">
        <v>7211</v>
      </c>
      <c r="B4896" s="2">
        <v>42321</v>
      </c>
      <c r="C4896" s="7">
        <f>_xlfn.FLOOR.MATH(Table1[[#This Row],[year]],10)</f>
        <v>2010</v>
      </c>
      <c r="D4896" t="s">
        <v>410</v>
      </c>
      <c r="E4896" t="s">
        <v>54</v>
      </c>
      <c r="F4896">
        <v>2</v>
      </c>
      <c r="G4896">
        <v>2</v>
      </c>
      <c r="H4896" t="s">
        <v>224</v>
      </c>
      <c r="I4896" t="s">
        <v>413</v>
      </c>
      <c r="J4896" t="s">
        <v>410</v>
      </c>
      <c r="K4896" t="b">
        <v>0</v>
      </c>
      <c r="L4896">
        <v>2015</v>
      </c>
      <c r="M4896">
        <v>11323020701</v>
      </c>
      <c r="N4896">
        <v>17774766696</v>
      </c>
      <c r="O4896" t="b">
        <v>0</v>
      </c>
      <c r="P4896">
        <v>0</v>
      </c>
      <c r="Q4896" t="str" cm="1">
        <f t="array" ref="Q4896">_xlfn.IFS(Table1[[#This Row],[Wealthier_Winner]]=-1,"Wealthier Nation Loses",Table1[[#This Row],[Wealthier_Winner]]=0,"Tie",Table1[[#This Row],[Wealthier_Winner]]=1,"Wealthier Nation Wins")</f>
        <v>Tie</v>
      </c>
    </row>
    <row r="4897" spans="1:17" x14ac:dyDescent="0.2">
      <c r="A4897" s="1">
        <v>7212</v>
      </c>
      <c r="B4897" s="2">
        <v>42321</v>
      </c>
      <c r="C4897" s="7">
        <f>_xlfn.FLOOR.MATH(Table1[[#This Row],[year]],10)</f>
        <v>2010</v>
      </c>
      <c r="D4897" t="s">
        <v>346</v>
      </c>
      <c r="E4897" t="s">
        <v>53</v>
      </c>
      <c r="F4897">
        <v>1</v>
      </c>
      <c r="G4897">
        <v>2</v>
      </c>
      <c r="H4897" t="s">
        <v>224</v>
      </c>
      <c r="I4897" t="s">
        <v>350</v>
      </c>
      <c r="J4897" t="s">
        <v>346</v>
      </c>
      <c r="K4897" t="b">
        <v>0</v>
      </c>
      <c r="L4897">
        <v>2015</v>
      </c>
      <c r="M4897">
        <v>6166863896</v>
      </c>
      <c r="N4897">
        <v>45779494041</v>
      </c>
      <c r="O4897" t="b">
        <v>1</v>
      </c>
      <c r="P4897">
        <v>1</v>
      </c>
      <c r="Q4897" t="str" cm="1">
        <f t="array" ref="Q4897">_xlfn.IFS(Table1[[#This Row],[Wealthier_Winner]]=-1,"Wealthier Nation Loses",Table1[[#This Row],[Wealthier_Winner]]=0,"Tie",Table1[[#This Row],[Wealthier_Winner]]=1,"Wealthier Nation Wins")</f>
        <v>Wealthier Nation Wins</v>
      </c>
    </row>
    <row r="4898" spans="1:17" x14ac:dyDescent="0.2">
      <c r="A4898" s="1">
        <v>7213</v>
      </c>
      <c r="B4898" s="2">
        <v>42321</v>
      </c>
      <c r="C4898" s="7">
        <f>_xlfn.FLOOR.MATH(Table1[[#This Row],[year]],10)</f>
        <v>2010</v>
      </c>
      <c r="D4898" t="s">
        <v>343</v>
      </c>
      <c r="E4898" t="s">
        <v>40</v>
      </c>
      <c r="F4898">
        <v>0</v>
      </c>
      <c r="G4898">
        <v>3</v>
      </c>
      <c r="H4898" t="s">
        <v>224</v>
      </c>
      <c r="I4898" t="s">
        <v>349</v>
      </c>
      <c r="J4898" t="s">
        <v>343</v>
      </c>
      <c r="K4898" t="b">
        <v>0</v>
      </c>
      <c r="L4898">
        <v>2015</v>
      </c>
      <c r="M4898">
        <v>9683867926</v>
      </c>
      <c r="N4898">
        <v>32210233020</v>
      </c>
      <c r="O4898" t="b">
        <v>1</v>
      </c>
      <c r="P4898">
        <v>1</v>
      </c>
      <c r="Q4898" t="str" cm="1">
        <f t="array" ref="Q4898">_xlfn.IFS(Table1[[#This Row],[Wealthier_Winner]]=-1,"Wealthier Nation Loses",Table1[[#This Row],[Wealthier_Winner]]=0,"Tie",Table1[[#This Row],[Wealthier_Winner]]=1,"Wealthier Nation Wins")</f>
        <v>Wealthier Nation Wins</v>
      </c>
    </row>
    <row r="4899" spans="1:17" x14ac:dyDescent="0.2">
      <c r="A4899" s="1">
        <v>7214</v>
      </c>
      <c r="B4899" s="2">
        <v>42321</v>
      </c>
      <c r="C4899" s="7">
        <f>_xlfn.FLOOR.MATH(Table1[[#This Row],[year]],10)</f>
        <v>2010</v>
      </c>
      <c r="D4899" t="s">
        <v>31</v>
      </c>
      <c r="E4899" t="s">
        <v>35</v>
      </c>
      <c r="F4899">
        <v>1</v>
      </c>
      <c r="G4899">
        <v>0</v>
      </c>
      <c r="H4899" t="s">
        <v>224</v>
      </c>
      <c r="I4899" t="s">
        <v>242</v>
      </c>
      <c r="J4899" t="s">
        <v>31</v>
      </c>
      <c r="K4899" t="b">
        <v>0</v>
      </c>
      <c r="L4899">
        <v>2015</v>
      </c>
      <c r="M4899">
        <v>189802976285</v>
      </c>
      <c r="N4899">
        <v>36211447840</v>
      </c>
      <c r="O4899" t="b">
        <v>1</v>
      </c>
      <c r="P4899">
        <v>1</v>
      </c>
      <c r="Q4899" t="str" cm="1">
        <f t="array" ref="Q4899">_xlfn.IFS(Table1[[#This Row],[Wealthier_Winner]]=-1,"Wealthier Nation Loses",Table1[[#This Row],[Wealthier_Winner]]=0,"Tie",Table1[[#This Row],[Wealthier_Winner]]=1,"Wealthier Nation Wins")</f>
        <v>Wealthier Nation Wins</v>
      </c>
    </row>
    <row r="4900" spans="1:17" x14ac:dyDescent="0.2">
      <c r="A4900" s="1">
        <v>7215</v>
      </c>
      <c r="B4900" s="2">
        <v>42321</v>
      </c>
      <c r="C4900" s="7">
        <f>_xlfn.FLOOR.MATH(Table1[[#This Row],[year]],10)</f>
        <v>2010</v>
      </c>
      <c r="D4900" t="s">
        <v>463</v>
      </c>
      <c r="E4900" t="s">
        <v>43</v>
      </c>
      <c r="F4900">
        <v>0</v>
      </c>
      <c r="G4900">
        <v>0</v>
      </c>
      <c r="H4900" t="s">
        <v>224</v>
      </c>
      <c r="I4900" t="s">
        <v>592</v>
      </c>
      <c r="J4900" t="s">
        <v>472</v>
      </c>
      <c r="K4900" t="b">
        <v>0</v>
      </c>
      <c r="L4900">
        <v>2015</v>
      </c>
      <c r="M4900">
        <v>3908217914</v>
      </c>
      <c r="N4900">
        <v>493026682800</v>
      </c>
      <c r="O4900" t="b">
        <v>1</v>
      </c>
      <c r="P4900">
        <v>0</v>
      </c>
      <c r="Q4900" t="str" cm="1">
        <f t="array" ref="Q4900">_xlfn.IFS(Table1[[#This Row],[Wealthier_Winner]]=-1,"Wealthier Nation Loses",Table1[[#This Row],[Wealthier_Winner]]=0,"Tie",Table1[[#This Row],[Wealthier_Winner]]=1,"Wealthier Nation Wins")</f>
        <v>Tie</v>
      </c>
    </row>
    <row r="4901" spans="1:17" x14ac:dyDescent="0.2">
      <c r="A4901" s="1">
        <v>7216</v>
      </c>
      <c r="B4901" s="2">
        <v>42321</v>
      </c>
      <c r="C4901" s="7">
        <f>_xlfn.FLOOR.MATH(Table1[[#This Row],[year]],10)</f>
        <v>2010</v>
      </c>
      <c r="D4901" t="s">
        <v>34</v>
      </c>
      <c r="E4901" t="s">
        <v>65</v>
      </c>
      <c r="F4901">
        <v>1</v>
      </c>
      <c r="G4901">
        <v>0</v>
      </c>
      <c r="H4901" t="s">
        <v>224</v>
      </c>
      <c r="I4901" t="s">
        <v>798</v>
      </c>
      <c r="J4901" t="s">
        <v>34</v>
      </c>
      <c r="K4901" t="b">
        <v>0</v>
      </c>
      <c r="L4901">
        <v>2015</v>
      </c>
      <c r="M4901">
        <v>1556508816217</v>
      </c>
      <c r="N4901">
        <v>20979791685</v>
      </c>
      <c r="O4901" t="b">
        <v>1</v>
      </c>
      <c r="P4901">
        <v>1</v>
      </c>
      <c r="Q4901" t="str" cm="1">
        <f t="array" ref="Q4901">_xlfn.IFS(Table1[[#This Row],[Wealthier_Winner]]=-1,"Wealthier Nation Loses",Table1[[#This Row],[Wealthier_Winner]]=0,"Tie",Table1[[#This Row],[Wealthier_Winner]]=1,"Wealthier Nation Wins")</f>
        <v>Wealthier Nation Wins</v>
      </c>
    </row>
    <row r="4902" spans="1:17" x14ac:dyDescent="0.2">
      <c r="A4902" s="1">
        <v>7217</v>
      </c>
      <c r="B4902" s="2">
        <v>42321</v>
      </c>
      <c r="C4902" s="7">
        <f>_xlfn.FLOOR.MATH(Table1[[#This Row],[year]],10)</f>
        <v>2010</v>
      </c>
      <c r="D4902" t="s">
        <v>223</v>
      </c>
      <c r="E4902" t="s">
        <v>59</v>
      </c>
      <c r="F4902">
        <v>1</v>
      </c>
      <c r="G4902">
        <v>2</v>
      </c>
      <c r="H4902" t="s">
        <v>224</v>
      </c>
      <c r="I4902" t="s">
        <v>227</v>
      </c>
      <c r="J4902" t="s">
        <v>223</v>
      </c>
      <c r="K4902" t="b">
        <v>0</v>
      </c>
      <c r="L4902">
        <v>2015</v>
      </c>
      <c r="M4902">
        <v>62186066547</v>
      </c>
      <c r="N4902">
        <v>26841141793</v>
      </c>
      <c r="O4902" t="b">
        <v>1</v>
      </c>
      <c r="P4902">
        <v>-1</v>
      </c>
      <c r="Q4902" t="str" cm="1">
        <f t="array" ref="Q4902">_xlfn.IFS(Table1[[#This Row],[Wealthier_Winner]]=-1,"Wealthier Nation Loses",Table1[[#This Row],[Wealthier_Winner]]=0,"Tie",Table1[[#This Row],[Wealthier_Winner]]=1,"Wealthier Nation Wins")</f>
        <v>Wealthier Nation Loses</v>
      </c>
    </row>
    <row r="4903" spans="1:17" x14ac:dyDescent="0.2">
      <c r="A4903" s="1">
        <v>7218</v>
      </c>
      <c r="B4903" s="2">
        <v>42321</v>
      </c>
      <c r="C4903" s="7">
        <f>_xlfn.FLOOR.MATH(Table1[[#This Row],[year]],10)</f>
        <v>2010</v>
      </c>
      <c r="D4903" t="s">
        <v>49</v>
      </c>
      <c r="E4903" t="s">
        <v>67</v>
      </c>
      <c r="F4903">
        <v>0</v>
      </c>
      <c r="G4903">
        <v>2</v>
      </c>
      <c r="H4903" t="s">
        <v>224</v>
      </c>
      <c r="I4903" t="s">
        <v>257</v>
      </c>
      <c r="J4903" t="s">
        <v>49</v>
      </c>
      <c r="K4903" t="b">
        <v>0</v>
      </c>
      <c r="L4903">
        <v>2015</v>
      </c>
      <c r="M4903">
        <v>14963589915</v>
      </c>
      <c r="N4903">
        <v>55767806073</v>
      </c>
      <c r="O4903" t="b">
        <v>1</v>
      </c>
      <c r="P4903">
        <v>1</v>
      </c>
      <c r="Q4903" t="str" cm="1">
        <f t="array" ref="Q4903">_xlfn.IFS(Table1[[#This Row],[Wealthier_Winner]]=-1,"Wealthier Nation Loses",Table1[[#This Row],[Wealthier_Winner]]=0,"Tie",Table1[[#This Row],[Wealthier_Winner]]=1,"Wealthier Nation Wins")</f>
        <v>Wealthier Nation Wins</v>
      </c>
    </row>
    <row r="4904" spans="1:17" x14ac:dyDescent="0.2">
      <c r="A4904" s="1">
        <v>7219</v>
      </c>
      <c r="B4904" s="2">
        <v>42321</v>
      </c>
      <c r="C4904" s="7">
        <f>_xlfn.FLOOR.MATH(Table1[[#This Row],[year]],10)</f>
        <v>2010</v>
      </c>
      <c r="D4904" t="s">
        <v>17</v>
      </c>
      <c r="E4904" t="s">
        <v>69</v>
      </c>
      <c r="F4904">
        <v>3</v>
      </c>
      <c r="G4904">
        <v>0</v>
      </c>
      <c r="H4904" t="s">
        <v>224</v>
      </c>
      <c r="I4904" t="s">
        <v>83</v>
      </c>
      <c r="J4904" t="s">
        <v>17</v>
      </c>
      <c r="K4904" t="b">
        <v>0</v>
      </c>
      <c r="L4904">
        <v>2015</v>
      </c>
      <c r="M4904">
        <v>1213294467716</v>
      </c>
      <c r="N4904">
        <v>23438240000</v>
      </c>
      <c r="O4904" t="b">
        <v>1</v>
      </c>
      <c r="P4904">
        <v>1</v>
      </c>
      <c r="Q4904" t="str" cm="1">
        <f t="array" ref="Q4904">_xlfn.IFS(Table1[[#This Row],[Wealthier_Winner]]=-1,"Wealthier Nation Loses",Table1[[#This Row],[Wealthier_Winner]]=0,"Tie",Table1[[#This Row],[Wealthier_Winner]]=1,"Wealthier Nation Wins")</f>
        <v>Wealthier Nation Wins</v>
      </c>
    </row>
    <row r="4905" spans="1:17" x14ac:dyDescent="0.2">
      <c r="A4905" s="1">
        <v>7221</v>
      </c>
      <c r="B4905" s="2">
        <v>42322</v>
      </c>
      <c r="C4905" s="7">
        <f>_xlfn.FLOOR.MATH(Table1[[#This Row],[year]],10)</f>
        <v>2010</v>
      </c>
      <c r="D4905" t="s">
        <v>469</v>
      </c>
      <c r="E4905" t="s">
        <v>590</v>
      </c>
      <c r="F4905">
        <v>2</v>
      </c>
      <c r="G4905">
        <v>1</v>
      </c>
      <c r="H4905" t="s">
        <v>224</v>
      </c>
      <c r="I4905" t="s">
        <v>799</v>
      </c>
      <c r="J4905" t="s">
        <v>469</v>
      </c>
      <c r="K4905" t="b">
        <v>0</v>
      </c>
      <c r="L4905">
        <v>2015</v>
      </c>
      <c r="M4905">
        <v>13530748844</v>
      </c>
      <c r="N4905">
        <v>15583181170</v>
      </c>
      <c r="O4905" t="b">
        <v>0</v>
      </c>
      <c r="P4905">
        <v>-1</v>
      </c>
      <c r="Q4905" t="str" cm="1">
        <f t="array" ref="Q4905">_xlfn.IFS(Table1[[#This Row],[Wealthier_Winner]]=-1,"Wealthier Nation Loses",Table1[[#This Row],[Wealthier_Winner]]=0,"Tie",Table1[[#This Row],[Wealthier_Winner]]=1,"Wealthier Nation Wins")</f>
        <v>Wealthier Nation Loses</v>
      </c>
    </row>
    <row r="4906" spans="1:17" x14ac:dyDescent="0.2">
      <c r="A4906" s="1">
        <v>7222</v>
      </c>
      <c r="B4906" s="2">
        <v>42322</v>
      </c>
      <c r="C4906" s="7">
        <f>_xlfn.FLOOR.MATH(Table1[[#This Row],[year]],10)</f>
        <v>2010</v>
      </c>
      <c r="D4906" t="s">
        <v>586</v>
      </c>
      <c r="E4906" t="s">
        <v>212</v>
      </c>
      <c r="F4906">
        <v>1</v>
      </c>
      <c r="G4906">
        <v>0</v>
      </c>
      <c r="H4906" t="s">
        <v>224</v>
      </c>
      <c r="I4906" t="s">
        <v>587</v>
      </c>
      <c r="J4906" t="s">
        <v>586</v>
      </c>
      <c r="K4906" t="b">
        <v>0</v>
      </c>
      <c r="L4906">
        <v>2015</v>
      </c>
      <c r="M4906">
        <v>14559599499</v>
      </c>
      <c r="N4906">
        <v>329366576819</v>
      </c>
      <c r="O4906" t="b">
        <v>1</v>
      </c>
      <c r="P4906">
        <v>-1</v>
      </c>
      <c r="Q4906" t="str" cm="1">
        <f t="array" ref="Q4906">_xlfn.IFS(Table1[[#This Row],[Wealthier_Winner]]=-1,"Wealthier Nation Loses",Table1[[#This Row],[Wealthier_Winner]]=0,"Tie",Table1[[#This Row],[Wealthier_Winner]]=1,"Wealthier Nation Wins")</f>
        <v>Wealthier Nation Loses</v>
      </c>
    </row>
    <row r="4907" spans="1:17" x14ac:dyDescent="0.2">
      <c r="A4907" s="1">
        <v>7224</v>
      </c>
      <c r="B4907" s="2">
        <v>42322</v>
      </c>
      <c r="C4907" s="7">
        <f>_xlfn.FLOOR.MATH(Table1[[#This Row],[year]],10)</f>
        <v>2010</v>
      </c>
      <c r="D4907" t="s">
        <v>433</v>
      </c>
      <c r="E4907" t="s">
        <v>300</v>
      </c>
      <c r="F4907">
        <v>1</v>
      </c>
      <c r="G4907">
        <v>0</v>
      </c>
      <c r="H4907" t="s">
        <v>224</v>
      </c>
      <c r="I4907" t="s">
        <v>436</v>
      </c>
      <c r="J4907" t="s">
        <v>433</v>
      </c>
      <c r="K4907" t="b">
        <v>0</v>
      </c>
      <c r="L4907">
        <v>2015</v>
      </c>
      <c r="M4907">
        <v>14383107762</v>
      </c>
      <c r="N4907">
        <v>16208985769</v>
      </c>
      <c r="O4907" t="b">
        <v>0</v>
      </c>
      <c r="P4907">
        <v>-1</v>
      </c>
      <c r="Q4907" t="str" cm="1">
        <f t="array" ref="Q4907">_xlfn.IFS(Table1[[#This Row],[Wealthier_Winner]]=-1,"Wealthier Nation Loses",Table1[[#This Row],[Wealthier_Winner]]=0,"Tie",Table1[[#This Row],[Wealthier_Winner]]=1,"Wealthier Nation Wins")</f>
        <v>Wealthier Nation Loses</v>
      </c>
    </row>
    <row r="4908" spans="1:17" x14ac:dyDescent="0.2">
      <c r="A4908" s="1">
        <v>7225</v>
      </c>
      <c r="B4908" s="2">
        <v>42322</v>
      </c>
      <c r="C4908" s="7">
        <f>_xlfn.FLOOR.MATH(Table1[[#This Row],[year]],10)</f>
        <v>2010</v>
      </c>
      <c r="D4908" t="s">
        <v>320</v>
      </c>
      <c r="E4908" t="s">
        <v>32</v>
      </c>
      <c r="F4908">
        <v>2</v>
      </c>
      <c r="G4908">
        <v>2</v>
      </c>
      <c r="H4908" t="s">
        <v>224</v>
      </c>
      <c r="I4908" t="s">
        <v>321</v>
      </c>
      <c r="J4908" t="s">
        <v>320</v>
      </c>
      <c r="K4908" t="b">
        <v>0</v>
      </c>
      <c r="L4908">
        <v>2015</v>
      </c>
      <c r="M4908">
        <v>47413919817</v>
      </c>
      <c r="N4908">
        <v>187493855609</v>
      </c>
      <c r="O4908" t="b">
        <v>1</v>
      </c>
      <c r="P4908">
        <v>0</v>
      </c>
      <c r="Q4908" t="str" cm="1">
        <f t="array" ref="Q4908">_xlfn.IFS(Table1[[#This Row],[Wealthier_Winner]]=-1,"Wealthier Nation Loses",Table1[[#This Row],[Wealthier_Winner]]=0,"Tie",Table1[[#This Row],[Wealthier_Winner]]=1,"Wealthier Nation Wins")</f>
        <v>Tie</v>
      </c>
    </row>
    <row r="4909" spans="1:17" x14ac:dyDescent="0.2">
      <c r="A4909" s="1">
        <v>7227</v>
      </c>
      <c r="B4909" s="2">
        <v>42323</v>
      </c>
      <c r="C4909" s="7">
        <f>_xlfn.FLOOR.MATH(Table1[[#This Row],[year]],10)</f>
        <v>2010</v>
      </c>
      <c r="D4909" t="s">
        <v>639</v>
      </c>
      <c r="E4909" t="s">
        <v>24</v>
      </c>
      <c r="F4909">
        <v>1</v>
      </c>
      <c r="G4909">
        <v>0</v>
      </c>
      <c r="H4909" t="s">
        <v>224</v>
      </c>
      <c r="I4909" t="s">
        <v>640</v>
      </c>
      <c r="J4909" t="s">
        <v>639</v>
      </c>
      <c r="K4909" t="b">
        <v>0</v>
      </c>
      <c r="L4909">
        <v>2015</v>
      </c>
      <c r="M4909">
        <v>13185496881</v>
      </c>
      <c r="N4909">
        <v>110413823841</v>
      </c>
      <c r="O4909" t="b">
        <v>1</v>
      </c>
      <c r="P4909">
        <v>-1</v>
      </c>
      <c r="Q4909" t="str" cm="1">
        <f t="array" ref="Q4909">_xlfn.IFS(Table1[[#This Row],[Wealthier_Winner]]=-1,"Wealthier Nation Loses",Table1[[#This Row],[Wealthier_Winner]]=0,"Tie",Table1[[#This Row],[Wealthier_Winner]]=1,"Wealthier Nation Wins")</f>
        <v>Wealthier Nation Loses</v>
      </c>
    </row>
    <row r="4910" spans="1:17" x14ac:dyDescent="0.2">
      <c r="A4910" s="1">
        <v>7228</v>
      </c>
      <c r="B4910" s="2">
        <v>42323</v>
      </c>
      <c r="C4910" s="7">
        <f>_xlfn.FLOOR.MATH(Table1[[#This Row],[year]],10)</f>
        <v>2010</v>
      </c>
      <c r="D4910" t="s">
        <v>305</v>
      </c>
      <c r="E4910" t="s">
        <v>462</v>
      </c>
      <c r="F4910">
        <v>2</v>
      </c>
      <c r="G4910">
        <v>0</v>
      </c>
      <c r="H4910" t="s">
        <v>224</v>
      </c>
      <c r="I4910" t="s">
        <v>244</v>
      </c>
      <c r="J4910" t="s">
        <v>24</v>
      </c>
      <c r="K4910" t="b">
        <v>1</v>
      </c>
      <c r="L4910">
        <v>2015</v>
      </c>
      <c r="M4910">
        <v>8794201742</v>
      </c>
      <c r="N4910">
        <v>11335161083</v>
      </c>
      <c r="O4910" t="b">
        <v>0</v>
      </c>
      <c r="P4910">
        <v>-1</v>
      </c>
      <c r="Q4910" t="str" cm="1">
        <f t="array" ref="Q4910">_xlfn.IFS(Table1[[#This Row],[Wealthier_Winner]]=-1,"Wealthier Nation Loses",Table1[[#This Row],[Wealthier_Winner]]=0,"Tie",Table1[[#This Row],[Wealthier_Winner]]=1,"Wealthier Nation Wins")</f>
        <v>Wealthier Nation Loses</v>
      </c>
    </row>
    <row r="4911" spans="1:17" x14ac:dyDescent="0.2">
      <c r="A4911" s="1">
        <v>7229</v>
      </c>
      <c r="B4911" s="2">
        <v>42323</v>
      </c>
      <c r="C4911" s="7">
        <f>_xlfn.FLOOR.MATH(Table1[[#This Row],[year]],10)</f>
        <v>2010</v>
      </c>
      <c r="D4911" t="s">
        <v>357</v>
      </c>
      <c r="E4911" t="s">
        <v>62</v>
      </c>
      <c r="F4911">
        <v>3</v>
      </c>
      <c r="G4911">
        <v>0</v>
      </c>
      <c r="H4911" t="s">
        <v>224</v>
      </c>
      <c r="I4911" t="s">
        <v>358</v>
      </c>
      <c r="J4911" t="s">
        <v>357</v>
      </c>
      <c r="K4911" t="b">
        <v>0</v>
      </c>
      <c r="L4911">
        <v>2015</v>
      </c>
      <c r="M4911">
        <v>32387183730</v>
      </c>
      <c r="N4911">
        <v>5755457836</v>
      </c>
      <c r="O4911" t="b">
        <v>1</v>
      </c>
      <c r="P4911">
        <v>1</v>
      </c>
      <c r="Q4911" t="str" cm="1">
        <f t="array" ref="Q4911">_xlfn.IFS(Table1[[#This Row],[Wealthier_Winner]]=-1,"Wealthier Nation Loses",Table1[[#This Row],[Wealthier_Winner]]=0,"Tie",Table1[[#This Row],[Wealthier_Winner]]=1,"Wealthier Nation Wins")</f>
        <v>Wealthier Nation Wins</v>
      </c>
    </row>
    <row r="4912" spans="1:17" x14ac:dyDescent="0.2">
      <c r="A4912" s="1">
        <v>7230</v>
      </c>
      <c r="B4912" s="2">
        <v>42323</v>
      </c>
      <c r="C4912" s="7">
        <f>_xlfn.FLOOR.MATH(Table1[[#This Row],[year]],10)</f>
        <v>2010</v>
      </c>
      <c r="D4912" t="s">
        <v>273</v>
      </c>
      <c r="E4912" t="s">
        <v>274</v>
      </c>
      <c r="F4912">
        <v>2</v>
      </c>
      <c r="G4912">
        <v>0</v>
      </c>
      <c r="H4912" t="s">
        <v>224</v>
      </c>
      <c r="I4912" t="s">
        <v>275</v>
      </c>
      <c r="J4912" t="s">
        <v>273</v>
      </c>
      <c r="K4912" t="b">
        <v>0</v>
      </c>
      <c r="L4912">
        <v>2015</v>
      </c>
      <c r="M4912">
        <v>21251216798</v>
      </c>
      <c r="N4912">
        <v>51726758676</v>
      </c>
      <c r="O4912" t="b">
        <v>1</v>
      </c>
      <c r="P4912">
        <v>-1</v>
      </c>
      <c r="Q4912" t="str" cm="1">
        <f t="array" ref="Q4912">_xlfn.IFS(Table1[[#This Row],[Wealthier_Winner]]=-1,"Wealthier Nation Loses",Table1[[#This Row],[Wealthier_Winner]]=0,"Tie",Table1[[#This Row],[Wealthier_Winner]]=1,"Wealthier Nation Wins")</f>
        <v>Wealthier Nation Loses</v>
      </c>
    </row>
    <row r="4913" spans="1:17" x14ac:dyDescent="0.2">
      <c r="A4913" s="1">
        <v>7231</v>
      </c>
      <c r="B4913" s="2">
        <v>42325</v>
      </c>
      <c r="C4913" s="7">
        <f>_xlfn.FLOOR.MATH(Table1[[#This Row],[year]],10)</f>
        <v>2010</v>
      </c>
      <c r="D4913" t="s">
        <v>32</v>
      </c>
      <c r="E4913" t="s">
        <v>320</v>
      </c>
      <c r="F4913">
        <v>7</v>
      </c>
      <c r="G4913">
        <v>0</v>
      </c>
      <c r="H4913" t="s">
        <v>224</v>
      </c>
      <c r="I4913" t="s">
        <v>697</v>
      </c>
      <c r="J4913" t="s">
        <v>32</v>
      </c>
      <c r="K4913" t="b">
        <v>0</v>
      </c>
      <c r="L4913">
        <v>2015</v>
      </c>
      <c r="M4913">
        <v>187493855609</v>
      </c>
      <c r="N4913">
        <v>47413919817</v>
      </c>
      <c r="O4913" t="b">
        <v>1</v>
      </c>
      <c r="P4913">
        <v>1</v>
      </c>
      <c r="Q4913" t="str" cm="1">
        <f t="array" ref="Q4913">_xlfn.IFS(Table1[[#This Row],[Wealthier_Winner]]=-1,"Wealthier Nation Loses",Table1[[#This Row],[Wealthier_Winner]]=0,"Tie",Table1[[#This Row],[Wealthier_Winner]]=1,"Wealthier Nation Wins")</f>
        <v>Wealthier Nation Wins</v>
      </c>
    </row>
    <row r="4914" spans="1:17" x14ac:dyDescent="0.2">
      <c r="A4914" s="1">
        <v>7232</v>
      </c>
      <c r="B4914" s="2">
        <v>42325</v>
      </c>
      <c r="C4914" s="7">
        <f>_xlfn.FLOOR.MATH(Table1[[#This Row],[year]],10)</f>
        <v>2010</v>
      </c>
      <c r="D4914" t="s">
        <v>405</v>
      </c>
      <c r="E4914" t="s">
        <v>28</v>
      </c>
      <c r="F4914">
        <v>0</v>
      </c>
      <c r="G4914">
        <v>4</v>
      </c>
      <c r="H4914" t="s">
        <v>224</v>
      </c>
      <c r="I4914" t="s">
        <v>409</v>
      </c>
      <c r="J4914" t="s">
        <v>405</v>
      </c>
      <c r="K4914" t="b">
        <v>0</v>
      </c>
      <c r="L4914">
        <v>2015</v>
      </c>
      <c r="M4914">
        <v>195146608978</v>
      </c>
      <c r="N4914">
        <v>1356805839935</v>
      </c>
      <c r="O4914" t="b">
        <v>1</v>
      </c>
      <c r="P4914">
        <v>1</v>
      </c>
      <c r="Q4914" t="str" cm="1">
        <f t="array" ref="Q4914">_xlfn.IFS(Table1[[#This Row],[Wealthier_Winner]]=-1,"Wealthier Nation Loses",Table1[[#This Row],[Wealthier_Winner]]=0,"Tie",Table1[[#This Row],[Wealthier_Winner]]=1,"Wealthier Nation Wins")</f>
        <v>Wealthier Nation Wins</v>
      </c>
    </row>
    <row r="4915" spans="1:17" x14ac:dyDescent="0.2">
      <c r="A4915" s="1">
        <v>7233</v>
      </c>
      <c r="B4915" s="2">
        <v>42325</v>
      </c>
      <c r="C4915" s="7">
        <f>_xlfn.FLOOR.MATH(Table1[[#This Row],[year]],10)</f>
        <v>2010</v>
      </c>
      <c r="D4915" t="s">
        <v>777</v>
      </c>
      <c r="E4915" t="s">
        <v>68</v>
      </c>
      <c r="F4915">
        <v>0</v>
      </c>
      <c r="G4915">
        <v>3</v>
      </c>
      <c r="H4915" t="s">
        <v>224</v>
      </c>
      <c r="I4915" t="s">
        <v>778</v>
      </c>
      <c r="J4915" t="s">
        <v>777</v>
      </c>
      <c r="K4915" t="b">
        <v>0</v>
      </c>
      <c r="L4915">
        <v>2015</v>
      </c>
      <c r="M4915">
        <v>2187815803</v>
      </c>
      <c r="N4915">
        <v>161739835164</v>
      </c>
      <c r="O4915" t="b">
        <v>1</v>
      </c>
      <c r="P4915">
        <v>1</v>
      </c>
      <c r="Q4915" t="str" cm="1">
        <f t="array" ref="Q4915">_xlfn.IFS(Table1[[#This Row],[Wealthier_Winner]]=-1,"Wealthier Nation Loses",Table1[[#This Row],[Wealthier_Winner]]=0,"Tie",Table1[[#This Row],[Wealthier_Winner]]=1,"Wealthier Nation Wins")</f>
        <v>Wealthier Nation Wins</v>
      </c>
    </row>
    <row r="4916" spans="1:17" x14ac:dyDescent="0.2">
      <c r="A4916" s="1">
        <v>7234</v>
      </c>
      <c r="B4916" s="2">
        <v>42325</v>
      </c>
      <c r="C4916" s="7">
        <f>_xlfn.FLOOR.MATH(Table1[[#This Row],[year]],10)</f>
        <v>2010</v>
      </c>
      <c r="D4916" t="s">
        <v>13</v>
      </c>
      <c r="E4916" t="s">
        <v>31</v>
      </c>
      <c r="F4916">
        <v>3</v>
      </c>
      <c r="G4916">
        <v>0</v>
      </c>
      <c r="H4916" t="s">
        <v>224</v>
      </c>
      <c r="I4916" t="s">
        <v>170</v>
      </c>
      <c r="J4916" t="s">
        <v>13</v>
      </c>
      <c r="K4916" t="b">
        <v>0</v>
      </c>
      <c r="L4916">
        <v>2015</v>
      </c>
      <c r="M4916">
        <v>1802211999456</v>
      </c>
      <c r="N4916">
        <v>189802976285</v>
      </c>
      <c r="O4916" t="b">
        <v>1</v>
      </c>
      <c r="P4916">
        <v>1</v>
      </c>
      <c r="Q4916" t="str" cm="1">
        <f t="array" ref="Q4916">_xlfn.IFS(Table1[[#This Row],[Wealthier_Winner]]=-1,"Wealthier Nation Loses",Table1[[#This Row],[Wealthier_Winner]]=0,"Tie",Table1[[#This Row],[Wealthier_Winner]]=1,"Wealthier Nation Wins")</f>
        <v>Wealthier Nation Wins</v>
      </c>
    </row>
    <row r="4917" spans="1:17" x14ac:dyDescent="0.2">
      <c r="A4917" s="1">
        <v>7235</v>
      </c>
      <c r="B4917" s="2">
        <v>42325</v>
      </c>
      <c r="C4917" s="7">
        <f>_xlfn.FLOOR.MATH(Table1[[#This Row],[year]],10)</f>
        <v>2010</v>
      </c>
      <c r="D4917" t="s">
        <v>345</v>
      </c>
      <c r="E4917" t="s">
        <v>310</v>
      </c>
      <c r="F4917">
        <v>2</v>
      </c>
      <c r="G4917">
        <v>0</v>
      </c>
      <c r="H4917" t="s">
        <v>224</v>
      </c>
      <c r="I4917" t="s">
        <v>347</v>
      </c>
      <c r="J4917" t="s">
        <v>345</v>
      </c>
      <c r="K4917" t="b">
        <v>0</v>
      </c>
      <c r="L4917">
        <v>2015</v>
      </c>
      <c r="M4917">
        <v>11832159315</v>
      </c>
      <c r="N4917">
        <v>11388160996</v>
      </c>
      <c r="O4917" t="b">
        <v>0</v>
      </c>
      <c r="P4917">
        <v>1</v>
      </c>
      <c r="Q4917" t="str" cm="1">
        <f t="array" ref="Q4917">_xlfn.IFS(Table1[[#This Row],[Wealthier_Winner]]=-1,"Wealthier Nation Loses",Table1[[#This Row],[Wealthier_Winner]]=0,"Tie",Table1[[#This Row],[Wealthier_Winner]]=1,"Wealthier Nation Wins")</f>
        <v>Wealthier Nation Wins</v>
      </c>
    </row>
    <row r="4918" spans="1:17" x14ac:dyDescent="0.2">
      <c r="A4918" s="1">
        <v>7236</v>
      </c>
      <c r="B4918" s="2">
        <v>42325</v>
      </c>
      <c r="C4918" s="7">
        <f>_xlfn.FLOOR.MATH(Table1[[#This Row],[year]],10)</f>
        <v>2010</v>
      </c>
      <c r="D4918" t="s">
        <v>737</v>
      </c>
      <c r="E4918" t="s">
        <v>71</v>
      </c>
      <c r="F4918">
        <v>3</v>
      </c>
      <c r="G4918">
        <v>0</v>
      </c>
      <c r="H4918" t="s">
        <v>224</v>
      </c>
      <c r="I4918" t="s">
        <v>407</v>
      </c>
      <c r="J4918" t="s">
        <v>334</v>
      </c>
      <c r="K4918" t="b">
        <v>1</v>
      </c>
      <c r="L4918">
        <v>2015</v>
      </c>
      <c r="M4918">
        <v>59607290408</v>
      </c>
      <c r="N4918">
        <v>114585555688</v>
      </c>
      <c r="O4918" t="b">
        <v>0</v>
      </c>
      <c r="P4918">
        <v>-1</v>
      </c>
      <c r="Q4918" t="str" cm="1">
        <f t="array" ref="Q4918">_xlfn.IFS(Table1[[#This Row],[Wealthier_Winner]]=-1,"Wealthier Nation Loses",Table1[[#This Row],[Wealthier_Winner]]=0,"Tie",Table1[[#This Row],[Wealthier_Winner]]=1,"Wealthier Nation Wins")</f>
        <v>Wealthier Nation Loses</v>
      </c>
    </row>
    <row r="4919" spans="1:17" x14ac:dyDescent="0.2">
      <c r="A4919" s="1">
        <v>7237</v>
      </c>
      <c r="B4919" s="2">
        <v>42325</v>
      </c>
      <c r="C4919" s="7">
        <f>_xlfn.FLOOR.MATH(Table1[[#This Row],[year]],10)</f>
        <v>2010</v>
      </c>
      <c r="D4919" t="s">
        <v>551</v>
      </c>
      <c r="E4919" t="s">
        <v>51</v>
      </c>
      <c r="F4919">
        <v>0</v>
      </c>
      <c r="G4919">
        <v>2</v>
      </c>
      <c r="H4919" t="s">
        <v>224</v>
      </c>
      <c r="I4919" t="s">
        <v>553</v>
      </c>
      <c r="J4919" t="s">
        <v>551</v>
      </c>
      <c r="K4919" t="b">
        <v>0</v>
      </c>
      <c r="L4919">
        <v>2015</v>
      </c>
      <c r="M4919">
        <v>24174170369</v>
      </c>
      <c r="N4919">
        <v>4444930651964</v>
      </c>
      <c r="O4919" t="b">
        <v>1</v>
      </c>
      <c r="P4919">
        <v>1</v>
      </c>
      <c r="Q4919" t="str" cm="1">
        <f t="array" ref="Q4919">_xlfn.IFS(Table1[[#This Row],[Wealthier_Winner]]=-1,"Wealthier Nation Loses",Table1[[#This Row],[Wealthier_Winner]]=0,"Tie",Table1[[#This Row],[Wealthier_Winner]]=1,"Wealthier Nation Wins")</f>
        <v>Wealthier Nation Wins</v>
      </c>
    </row>
    <row r="4920" spans="1:17" x14ac:dyDescent="0.2">
      <c r="A4920" s="1">
        <v>7238</v>
      </c>
      <c r="B4920" s="2">
        <v>42325</v>
      </c>
      <c r="C4920" s="7">
        <f>_xlfn.FLOOR.MATH(Table1[[#This Row],[year]],10)</f>
        <v>2010</v>
      </c>
      <c r="D4920" t="s">
        <v>40</v>
      </c>
      <c r="E4920" t="s">
        <v>343</v>
      </c>
      <c r="F4920">
        <v>0</v>
      </c>
      <c r="G4920">
        <v>0</v>
      </c>
      <c r="H4920" t="s">
        <v>224</v>
      </c>
      <c r="I4920" t="s">
        <v>371</v>
      </c>
      <c r="J4920" t="s">
        <v>40</v>
      </c>
      <c r="K4920" t="b">
        <v>0</v>
      </c>
      <c r="L4920">
        <v>2015</v>
      </c>
      <c r="M4920">
        <v>32210233020</v>
      </c>
      <c r="N4920">
        <v>9683867926</v>
      </c>
      <c r="O4920" t="b">
        <v>1</v>
      </c>
      <c r="P4920">
        <v>0</v>
      </c>
      <c r="Q4920" t="str" cm="1">
        <f t="array" ref="Q4920">_xlfn.IFS(Table1[[#This Row],[Wealthier_Winner]]=-1,"Wealthier Nation Loses",Table1[[#This Row],[Wealthier_Winner]]=0,"Tie",Table1[[#This Row],[Wealthier_Winner]]=1,"Wealthier Nation Wins")</f>
        <v>Tie</v>
      </c>
    </row>
    <row r="4921" spans="1:17" x14ac:dyDescent="0.2">
      <c r="A4921" s="1">
        <v>7240</v>
      </c>
      <c r="B4921" s="2">
        <v>42325</v>
      </c>
      <c r="C4921" s="7">
        <f>_xlfn.FLOOR.MATH(Table1[[#This Row],[year]],10)</f>
        <v>2010</v>
      </c>
      <c r="D4921" t="s">
        <v>15</v>
      </c>
      <c r="E4921" t="s">
        <v>19</v>
      </c>
      <c r="F4921">
        <v>0</v>
      </c>
      <c r="G4921">
        <v>1</v>
      </c>
      <c r="H4921" t="s">
        <v>224</v>
      </c>
      <c r="I4921" t="s">
        <v>261</v>
      </c>
      <c r="J4921" t="s">
        <v>15</v>
      </c>
      <c r="K4921" t="b">
        <v>0</v>
      </c>
      <c r="L4921">
        <v>2015</v>
      </c>
      <c r="M4921">
        <v>293492370193</v>
      </c>
      <c r="N4921">
        <v>594749285413</v>
      </c>
      <c r="O4921" t="b">
        <v>1</v>
      </c>
      <c r="P4921">
        <v>1</v>
      </c>
      <c r="Q4921" t="str" cm="1">
        <f t="array" ref="Q4921">_xlfn.IFS(Table1[[#This Row],[Wealthier_Winner]]=-1,"Wealthier Nation Loses",Table1[[#This Row],[Wealthier_Winner]]=0,"Tie",Table1[[#This Row],[Wealthier_Winner]]=1,"Wealthier Nation Wins")</f>
        <v>Wealthier Nation Wins</v>
      </c>
    </row>
    <row r="4922" spans="1:17" x14ac:dyDescent="0.2">
      <c r="A4922" s="1">
        <v>7242</v>
      </c>
      <c r="B4922" s="2">
        <v>42325</v>
      </c>
      <c r="C4922" s="7">
        <f>_xlfn.FLOOR.MATH(Table1[[#This Row],[year]],10)</f>
        <v>2010</v>
      </c>
      <c r="D4922" t="s">
        <v>738</v>
      </c>
      <c r="E4922" t="s">
        <v>45</v>
      </c>
      <c r="F4922">
        <v>0</v>
      </c>
      <c r="G4922">
        <v>10</v>
      </c>
      <c r="H4922" t="s">
        <v>224</v>
      </c>
      <c r="I4922" t="s">
        <v>775</v>
      </c>
      <c r="J4922" t="s">
        <v>738</v>
      </c>
      <c r="K4922" t="b">
        <v>0</v>
      </c>
      <c r="L4922">
        <v>2015</v>
      </c>
      <c r="M4922">
        <v>1590282371</v>
      </c>
      <c r="N4922">
        <v>693414400000</v>
      </c>
      <c r="O4922" t="b">
        <v>1</v>
      </c>
      <c r="P4922">
        <v>1</v>
      </c>
      <c r="Q4922" t="str" cm="1">
        <f t="array" ref="Q4922">_xlfn.IFS(Table1[[#This Row],[Wealthier_Winner]]=-1,"Wealthier Nation Loses",Table1[[#This Row],[Wealthier_Winner]]=0,"Tie",Table1[[#This Row],[Wealthier_Winner]]=1,"Wealthier Nation Wins")</f>
        <v>Wealthier Nation Wins</v>
      </c>
    </row>
    <row r="4923" spans="1:17" x14ac:dyDescent="0.2">
      <c r="A4923" s="1">
        <v>7243</v>
      </c>
      <c r="B4923" s="2">
        <v>42325</v>
      </c>
      <c r="C4923" s="7">
        <f>_xlfn.FLOOR.MATH(Table1[[#This Row],[year]],10)</f>
        <v>2010</v>
      </c>
      <c r="D4923" t="s">
        <v>212</v>
      </c>
      <c r="E4923" t="s">
        <v>586</v>
      </c>
      <c r="F4923">
        <v>4</v>
      </c>
      <c r="G4923">
        <v>0</v>
      </c>
      <c r="H4923" t="s">
        <v>224</v>
      </c>
      <c r="I4923" t="s">
        <v>594</v>
      </c>
      <c r="J4923" t="s">
        <v>212</v>
      </c>
      <c r="K4923" t="b">
        <v>0</v>
      </c>
      <c r="L4923">
        <v>2015</v>
      </c>
      <c r="M4923">
        <v>329366576819</v>
      </c>
      <c r="N4923">
        <v>14559599499</v>
      </c>
      <c r="O4923" t="b">
        <v>1</v>
      </c>
      <c r="P4923">
        <v>1</v>
      </c>
      <c r="Q4923" t="str" cm="1">
        <f t="array" ref="Q4923">_xlfn.IFS(Table1[[#This Row],[Wealthier_Winner]]=-1,"Wealthier Nation Loses",Table1[[#This Row],[Wealthier_Winner]]=0,"Tie",Table1[[#This Row],[Wealthier_Winner]]=1,"Wealthier Nation Wins")</f>
        <v>Wealthier Nation Wins</v>
      </c>
    </row>
    <row r="4924" spans="1:17" x14ac:dyDescent="0.2">
      <c r="A4924" s="1">
        <v>7244</v>
      </c>
      <c r="B4924" s="2">
        <v>42325</v>
      </c>
      <c r="C4924" s="7">
        <f>_xlfn.FLOOR.MATH(Table1[[#This Row],[year]],10)</f>
        <v>2010</v>
      </c>
      <c r="D4924" t="s">
        <v>63</v>
      </c>
      <c r="E4924" t="s">
        <v>688</v>
      </c>
      <c r="F4924">
        <v>2</v>
      </c>
      <c r="G4924">
        <v>0</v>
      </c>
      <c r="H4924" t="s">
        <v>224</v>
      </c>
      <c r="I4924" t="s">
        <v>313</v>
      </c>
      <c r="J4924" t="s">
        <v>63</v>
      </c>
      <c r="K4924" t="b">
        <v>0</v>
      </c>
      <c r="L4924">
        <v>2015</v>
      </c>
      <c r="M4924">
        <v>49436806230</v>
      </c>
      <c r="N4924">
        <v>966029600</v>
      </c>
      <c r="O4924" t="b">
        <v>1</v>
      </c>
      <c r="P4924">
        <v>1</v>
      </c>
      <c r="Q4924" t="str" cm="1">
        <f t="array" ref="Q4924">_xlfn.IFS(Table1[[#This Row],[Wealthier_Winner]]=-1,"Wealthier Nation Loses",Table1[[#This Row],[Wealthier_Winner]]=0,"Tie",Table1[[#This Row],[Wealthier_Winner]]=1,"Wealthier Nation Wins")</f>
        <v>Wealthier Nation Wins</v>
      </c>
    </row>
    <row r="4925" spans="1:17" x14ac:dyDescent="0.2">
      <c r="A4925" s="1">
        <v>7245</v>
      </c>
      <c r="B4925" s="2">
        <v>42325</v>
      </c>
      <c r="C4925" s="7">
        <f>_xlfn.FLOOR.MATH(Table1[[#This Row],[year]],10)</f>
        <v>2010</v>
      </c>
      <c r="D4925" t="s">
        <v>782</v>
      </c>
      <c r="E4925" t="s">
        <v>210</v>
      </c>
      <c r="F4925">
        <v>0</v>
      </c>
      <c r="G4925">
        <v>6</v>
      </c>
      <c r="H4925" t="s">
        <v>224</v>
      </c>
      <c r="I4925" t="s">
        <v>783</v>
      </c>
      <c r="J4925" t="s">
        <v>782</v>
      </c>
      <c r="K4925" t="b">
        <v>0</v>
      </c>
      <c r="L4925">
        <v>2015</v>
      </c>
      <c r="M4925">
        <v>5799000000</v>
      </c>
      <c r="N4925">
        <v>409191686496</v>
      </c>
      <c r="O4925" t="b">
        <v>1</v>
      </c>
      <c r="P4925">
        <v>1</v>
      </c>
      <c r="Q4925" t="str" cm="1">
        <f t="array" ref="Q4925">_xlfn.IFS(Table1[[#This Row],[Wealthier_Winner]]=-1,"Wealthier Nation Loses",Table1[[#This Row],[Wealthier_Winner]]=0,"Tie",Table1[[#This Row],[Wealthier_Winner]]=1,"Wealthier Nation Wins")</f>
        <v>Wealthier Nation Wins</v>
      </c>
    </row>
    <row r="4926" spans="1:17" x14ac:dyDescent="0.2">
      <c r="A4926" s="1">
        <v>7246</v>
      </c>
      <c r="B4926" s="2">
        <v>42325</v>
      </c>
      <c r="C4926" s="7">
        <f>_xlfn.FLOOR.MATH(Table1[[#This Row],[year]],10)</f>
        <v>2010</v>
      </c>
      <c r="D4926" t="s">
        <v>65</v>
      </c>
      <c r="E4926" t="s">
        <v>17</v>
      </c>
      <c r="F4926">
        <v>0</v>
      </c>
      <c r="G4926">
        <v>2</v>
      </c>
      <c r="H4926" t="s">
        <v>224</v>
      </c>
      <c r="I4926" t="s">
        <v>254</v>
      </c>
      <c r="J4926" t="s">
        <v>65</v>
      </c>
      <c r="K4926" t="b">
        <v>0</v>
      </c>
      <c r="L4926">
        <v>2015</v>
      </c>
      <c r="M4926">
        <v>20979791685</v>
      </c>
      <c r="N4926">
        <v>1213294467716</v>
      </c>
      <c r="O4926" t="b">
        <v>1</v>
      </c>
      <c r="P4926">
        <v>1</v>
      </c>
      <c r="Q4926" t="str" cm="1">
        <f t="array" ref="Q4926">_xlfn.IFS(Table1[[#This Row],[Wealthier_Winner]]=-1,"Wealthier Nation Loses",Table1[[#This Row],[Wealthier_Winner]]=0,"Tie",Table1[[#This Row],[Wealthier_Winner]]=1,"Wealthier Nation Wins")</f>
        <v>Wealthier Nation Wins</v>
      </c>
    </row>
    <row r="4927" spans="1:17" x14ac:dyDescent="0.2">
      <c r="A4927" s="1">
        <v>7252</v>
      </c>
      <c r="B4927" s="2">
        <v>42325</v>
      </c>
      <c r="C4927" s="7">
        <f>_xlfn.FLOOR.MATH(Table1[[#This Row],[year]],10)</f>
        <v>2010</v>
      </c>
      <c r="D4927" t="s">
        <v>333</v>
      </c>
      <c r="E4927" t="s">
        <v>39</v>
      </c>
      <c r="F4927">
        <v>1</v>
      </c>
      <c r="G4927">
        <v>2</v>
      </c>
      <c r="H4927" t="s">
        <v>224</v>
      </c>
      <c r="I4927" t="s">
        <v>689</v>
      </c>
      <c r="J4927" t="s">
        <v>333</v>
      </c>
      <c r="K4927" t="b">
        <v>0</v>
      </c>
      <c r="L4927">
        <v>2015</v>
      </c>
      <c r="M4927">
        <v>301355266964</v>
      </c>
      <c r="N4927">
        <v>381973042886</v>
      </c>
      <c r="O4927" t="b">
        <v>0</v>
      </c>
      <c r="P4927">
        <v>1</v>
      </c>
      <c r="Q4927" t="str" cm="1">
        <f t="array" ref="Q4927">_xlfn.IFS(Table1[[#This Row],[Wealthier_Winner]]=-1,"Wealthier Nation Loses",Table1[[#This Row],[Wealthier_Winner]]=0,"Tie",Table1[[#This Row],[Wealthier_Winner]]=1,"Wealthier Nation Wins")</f>
        <v>Wealthier Nation Wins</v>
      </c>
    </row>
    <row r="4928" spans="1:17" x14ac:dyDescent="0.2">
      <c r="A4928" s="1">
        <v>7253</v>
      </c>
      <c r="B4928" s="2">
        <v>42325</v>
      </c>
      <c r="C4928" s="7">
        <f>_xlfn.FLOOR.MATH(Table1[[#This Row],[year]],10)</f>
        <v>2010</v>
      </c>
      <c r="D4928" t="s">
        <v>590</v>
      </c>
      <c r="E4928" t="s">
        <v>469</v>
      </c>
      <c r="F4928">
        <v>2</v>
      </c>
      <c r="G4928">
        <v>0</v>
      </c>
      <c r="H4928" t="s">
        <v>224</v>
      </c>
      <c r="I4928" t="s">
        <v>596</v>
      </c>
      <c r="J4928" t="s">
        <v>590</v>
      </c>
      <c r="K4928" t="b">
        <v>0</v>
      </c>
      <c r="L4928">
        <v>2015</v>
      </c>
      <c r="M4928">
        <v>15583181170</v>
      </c>
      <c r="N4928">
        <v>13530748844</v>
      </c>
      <c r="O4928" t="b">
        <v>0</v>
      </c>
      <c r="P4928">
        <v>1</v>
      </c>
      <c r="Q4928" t="str" cm="1">
        <f t="array" ref="Q4928">_xlfn.IFS(Table1[[#This Row],[Wealthier_Winner]]=-1,"Wealthier Nation Loses",Table1[[#This Row],[Wealthier_Winner]]=0,"Tie",Table1[[#This Row],[Wealthier_Winner]]=1,"Wealthier Nation Wins")</f>
        <v>Wealthier Nation Wins</v>
      </c>
    </row>
    <row r="4929" spans="1:17" x14ac:dyDescent="0.2">
      <c r="A4929" s="1">
        <v>7254</v>
      </c>
      <c r="B4929" s="2">
        <v>42325</v>
      </c>
      <c r="C4929" s="7">
        <f>_xlfn.FLOOR.MATH(Table1[[#This Row],[year]],10)</f>
        <v>2010</v>
      </c>
      <c r="D4929" t="s">
        <v>43</v>
      </c>
      <c r="E4929" t="s">
        <v>463</v>
      </c>
      <c r="F4929">
        <v>2</v>
      </c>
      <c r="G4929">
        <v>0</v>
      </c>
      <c r="H4929" t="s">
        <v>224</v>
      </c>
      <c r="I4929" t="s">
        <v>610</v>
      </c>
      <c r="J4929" t="s">
        <v>43</v>
      </c>
      <c r="K4929" t="b">
        <v>0</v>
      </c>
      <c r="L4929">
        <v>2015</v>
      </c>
      <c r="M4929">
        <v>493026682800</v>
      </c>
      <c r="N4929">
        <v>3908217914</v>
      </c>
      <c r="O4929" t="b">
        <v>1</v>
      </c>
      <c r="P4929">
        <v>1</v>
      </c>
      <c r="Q4929" t="str" cm="1">
        <f t="array" ref="Q4929">_xlfn.IFS(Table1[[#This Row],[Wealthier_Winner]]=-1,"Wealthier Nation Loses",Table1[[#This Row],[Wealthier_Winner]]=0,"Tie",Table1[[#This Row],[Wealthier_Winner]]=1,"Wealthier Nation Wins")</f>
        <v>Wealthier Nation Wins</v>
      </c>
    </row>
    <row r="4930" spans="1:17" x14ac:dyDescent="0.2">
      <c r="A4930" s="1">
        <v>7255</v>
      </c>
      <c r="B4930" s="2">
        <v>42325</v>
      </c>
      <c r="C4930" s="7">
        <f>_xlfn.FLOOR.MATH(Table1[[#This Row],[year]],10)</f>
        <v>2010</v>
      </c>
      <c r="D4930" t="s">
        <v>35</v>
      </c>
      <c r="E4930" t="s">
        <v>47</v>
      </c>
      <c r="F4930">
        <v>2</v>
      </c>
      <c r="G4930">
        <v>1</v>
      </c>
      <c r="H4930" t="s">
        <v>224</v>
      </c>
      <c r="I4930" t="s">
        <v>250</v>
      </c>
      <c r="J4930" t="s">
        <v>35</v>
      </c>
      <c r="K4930" t="b">
        <v>0</v>
      </c>
      <c r="L4930">
        <v>2015</v>
      </c>
      <c r="M4930">
        <v>36211447840</v>
      </c>
      <c r="N4930">
        <v>33000198248</v>
      </c>
      <c r="O4930" t="b">
        <v>0</v>
      </c>
      <c r="P4930">
        <v>1</v>
      </c>
      <c r="Q4930" t="str" cm="1">
        <f t="array" ref="Q4930">_xlfn.IFS(Table1[[#This Row],[Wealthier_Winner]]=-1,"Wealthier Nation Loses",Table1[[#This Row],[Wealthier_Winner]]=0,"Tie",Table1[[#This Row],[Wealthier_Winner]]=1,"Wealthier Nation Wins")</f>
        <v>Wealthier Nation Wins</v>
      </c>
    </row>
    <row r="4931" spans="1:17" x14ac:dyDescent="0.2">
      <c r="A4931" s="1">
        <v>7256</v>
      </c>
      <c r="B4931" s="2">
        <v>42325</v>
      </c>
      <c r="C4931" s="7">
        <f>_xlfn.FLOOR.MATH(Table1[[#This Row],[year]],10)</f>
        <v>2010</v>
      </c>
      <c r="D4931" t="s">
        <v>514</v>
      </c>
      <c r="E4931" t="s">
        <v>286</v>
      </c>
      <c r="F4931">
        <v>1</v>
      </c>
      <c r="G4931">
        <v>3</v>
      </c>
      <c r="H4931" t="s">
        <v>224</v>
      </c>
      <c r="I4931" t="s">
        <v>515</v>
      </c>
      <c r="J4931" t="s">
        <v>514</v>
      </c>
      <c r="K4931" t="b">
        <v>0</v>
      </c>
      <c r="L4931">
        <v>2015</v>
      </c>
      <c r="M4931">
        <v>8543760199</v>
      </c>
      <c r="N4931">
        <v>48717501321</v>
      </c>
      <c r="O4931" t="b">
        <v>1</v>
      </c>
      <c r="P4931">
        <v>1</v>
      </c>
      <c r="Q4931" t="str" cm="1">
        <f t="array" ref="Q4931">_xlfn.IFS(Table1[[#This Row],[Wealthier_Winner]]=-1,"Wealthier Nation Loses",Table1[[#This Row],[Wealthier_Winner]]=0,"Tie",Table1[[#This Row],[Wealthier_Winner]]=1,"Wealthier Nation Wins")</f>
        <v>Wealthier Nation Wins</v>
      </c>
    </row>
    <row r="4932" spans="1:17" x14ac:dyDescent="0.2">
      <c r="A4932" s="1">
        <v>7257</v>
      </c>
      <c r="B4932" s="2">
        <v>42325</v>
      </c>
      <c r="C4932" s="7">
        <f>_xlfn.FLOOR.MATH(Table1[[#This Row],[year]],10)</f>
        <v>2010</v>
      </c>
      <c r="D4932" t="s">
        <v>54</v>
      </c>
      <c r="E4932" t="s">
        <v>410</v>
      </c>
      <c r="F4932">
        <v>3</v>
      </c>
      <c r="G4932">
        <v>0</v>
      </c>
      <c r="H4932" t="s">
        <v>224</v>
      </c>
      <c r="I4932" t="s">
        <v>285</v>
      </c>
      <c r="J4932" t="s">
        <v>54</v>
      </c>
      <c r="K4932" t="b">
        <v>0</v>
      </c>
      <c r="L4932">
        <v>2015</v>
      </c>
      <c r="M4932">
        <v>17774766696</v>
      </c>
      <c r="N4932">
        <v>11323020701</v>
      </c>
      <c r="O4932" t="b">
        <v>0</v>
      </c>
      <c r="P4932">
        <v>1</v>
      </c>
      <c r="Q4932" t="str" cm="1">
        <f t="array" ref="Q4932">_xlfn.IFS(Table1[[#This Row],[Wealthier_Winner]]=-1,"Wealthier Nation Loses",Table1[[#This Row],[Wealthier_Winner]]=0,"Tie",Table1[[#This Row],[Wealthier_Winner]]=1,"Wealthier Nation Wins")</f>
        <v>Wealthier Nation Wins</v>
      </c>
    </row>
    <row r="4933" spans="1:17" x14ac:dyDescent="0.2">
      <c r="A4933" s="1">
        <v>7258</v>
      </c>
      <c r="B4933" s="2">
        <v>42325</v>
      </c>
      <c r="C4933" s="7">
        <f>_xlfn.FLOOR.MATH(Table1[[#This Row],[year]],10)</f>
        <v>2010</v>
      </c>
      <c r="D4933" t="s">
        <v>359</v>
      </c>
      <c r="E4933" t="s">
        <v>331</v>
      </c>
      <c r="F4933">
        <v>1</v>
      </c>
      <c r="G4933">
        <v>2</v>
      </c>
      <c r="H4933" t="s">
        <v>224</v>
      </c>
      <c r="I4933" t="s">
        <v>360</v>
      </c>
      <c r="J4933" t="s">
        <v>359</v>
      </c>
      <c r="K4933" t="b">
        <v>0</v>
      </c>
      <c r="L4933">
        <v>2015</v>
      </c>
      <c r="M4933">
        <v>307998545269</v>
      </c>
      <c r="N4933">
        <v>16466863117</v>
      </c>
      <c r="O4933" t="b">
        <v>1</v>
      </c>
      <c r="P4933">
        <v>-1</v>
      </c>
      <c r="Q4933" t="str" cm="1">
        <f t="array" ref="Q4933">_xlfn.IFS(Table1[[#This Row],[Wealthier_Winner]]=-1,"Wealthier Nation Loses",Table1[[#This Row],[Wealthier_Winner]]=0,"Tie",Table1[[#This Row],[Wealthier_Winner]]=1,"Wealthier Nation Wins")</f>
        <v>Wealthier Nation Loses</v>
      </c>
    </row>
    <row r="4934" spans="1:17" x14ac:dyDescent="0.2">
      <c r="A4934" s="1">
        <v>7259</v>
      </c>
      <c r="B4934" s="2">
        <v>42325</v>
      </c>
      <c r="C4934" s="7">
        <f>_xlfn.FLOOR.MATH(Table1[[#This Row],[year]],10)</f>
        <v>2010</v>
      </c>
      <c r="D4934" t="s">
        <v>50</v>
      </c>
      <c r="E4934" t="s">
        <v>60</v>
      </c>
      <c r="F4934">
        <v>1</v>
      </c>
      <c r="G4934">
        <v>0</v>
      </c>
      <c r="H4934" t="s">
        <v>224</v>
      </c>
      <c r="I4934" t="s">
        <v>163</v>
      </c>
      <c r="J4934" t="s">
        <v>50</v>
      </c>
      <c r="K4934" t="b">
        <v>0</v>
      </c>
      <c r="L4934">
        <v>2015</v>
      </c>
      <c r="M4934">
        <v>346709790458</v>
      </c>
      <c r="N4934">
        <v>102543067840</v>
      </c>
      <c r="O4934" t="b">
        <v>1</v>
      </c>
      <c r="P4934">
        <v>1</v>
      </c>
      <c r="Q4934" t="str" cm="1">
        <f t="array" ref="Q4934">_xlfn.IFS(Table1[[#This Row],[Wealthier_Winner]]=-1,"Wealthier Nation Loses",Table1[[#This Row],[Wealthier_Winner]]=0,"Tie",Table1[[#This Row],[Wealthier_Winner]]=1,"Wealthier Nation Wins")</f>
        <v>Wealthier Nation Wins</v>
      </c>
    </row>
    <row r="4935" spans="1:17" x14ac:dyDescent="0.2">
      <c r="A4935" s="1">
        <v>7260</v>
      </c>
      <c r="B4935" s="2">
        <v>42325</v>
      </c>
      <c r="C4935" s="7">
        <f>_xlfn.FLOOR.MATH(Table1[[#This Row],[year]],10)</f>
        <v>2010</v>
      </c>
      <c r="D4935" t="s">
        <v>53</v>
      </c>
      <c r="E4935" t="s">
        <v>346</v>
      </c>
      <c r="F4935">
        <v>2</v>
      </c>
      <c r="G4935">
        <v>1</v>
      </c>
      <c r="H4935" t="s">
        <v>224</v>
      </c>
      <c r="I4935" t="s">
        <v>658</v>
      </c>
      <c r="J4935" t="s">
        <v>53</v>
      </c>
      <c r="K4935" t="b">
        <v>0</v>
      </c>
      <c r="L4935">
        <v>2015</v>
      </c>
      <c r="M4935">
        <v>45779494041</v>
      </c>
      <c r="N4935">
        <v>6166863896</v>
      </c>
      <c r="O4935" t="b">
        <v>1</v>
      </c>
      <c r="P4935">
        <v>1</v>
      </c>
      <c r="Q4935" t="str" cm="1">
        <f t="array" ref="Q4935">_xlfn.IFS(Table1[[#This Row],[Wealthier_Winner]]=-1,"Wealthier Nation Loses",Table1[[#This Row],[Wealthier_Winner]]=0,"Tie",Table1[[#This Row],[Wealthier_Winner]]=1,"Wealthier Nation Wins")</f>
        <v>Wealthier Nation Wins</v>
      </c>
    </row>
    <row r="4936" spans="1:17" x14ac:dyDescent="0.2">
      <c r="A4936" s="1">
        <v>7261</v>
      </c>
      <c r="B4936" s="2">
        <v>42325</v>
      </c>
      <c r="C4936" s="7">
        <f>_xlfn.FLOOR.MATH(Table1[[#This Row],[year]],10)</f>
        <v>2010</v>
      </c>
      <c r="D4936" t="s">
        <v>560</v>
      </c>
      <c r="E4936" t="s">
        <v>429</v>
      </c>
      <c r="F4936">
        <v>2</v>
      </c>
      <c r="G4936">
        <v>1</v>
      </c>
      <c r="H4936" t="s">
        <v>224</v>
      </c>
      <c r="I4936" t="s">
        <v>561</v>
      </c>
      <c r="J4936" t="s">
        <v>560</v>
      </c>
      <c r="K4936" t="b">
        <v>0</v>
      </c>
      <c r="L4936">
        <v>2015</v>
      </c>
      <c r="M4936">
        <v>35799714285</v>
      </c>
      <c r="N4936">
        <v>78710793237</v>
      </c>
      <c r="O4936" t="b">
        <v>1</v>
      </c>
      <c r="P4936">
        <v>-1</v>
      </c>
      <c r="Q4936" t="str" cm="1">
        <f t="array" ref="Q4936">_xlfn.IFS(Table1[[#This Row],[Wealthier_Winner]]=-1,"Wealthier Nation Loses",Table1[[#This Row],[Wealthier_Winner]]=0,"Tie",Table1[[#This Row],[Wealthier_Winner]]=1,"Wealthier Nation Wins")</f>
        <v>Wealthier Nation Loses</v>
      </c>
    </row>
    <row r="4937" spans="1:17" x14ac:dyDescent="0.2">
      <c r="A4937" s="1">
        <v>7262</v>
      </c>
      <c r="B4937" s="2">
        <v>42325</v>
      </c>
      <c r="C4937" s="7">
        <f>_xlfn.FLOOR.MATH(Table1[[#This Row],[year]],10)</f>
        <v>2010</v>
      </c>
      <c r="D4937" t="s">
        <v>26</v>
      </c>
      <c r="E4937" t="s">
        <v>14</v>
      </c>
      <c r="F4937">
        <v>3</v>
      </c>
      <c r="G4937">
        <v>0</v>
      </c>
      <c r="H4937" t="s">
        <v>224</v>
      </c>
      <c r="I4937" t="s">
        <v>247</v>
      </c>
      <c r="J4937" t="s">
        <v>26</v>
      </c>
      <c r="K4937" t="b">
        <v>0</v>
      </c>
      <c r="L4937">
        <v>2015</v>
      </c>
      <c r="M4937">
        <v>57680327998</v>
      </c>
      <c r="N4937">
        <v>242450355830</v>
      </c>
      <c r="O4937" t="b">
        <v>1</v>
      </c>
      <c r="P4937">
        <v>-1</v>
      </c>
      <c r="Q4937" t="str" cm="1">
        <f t="array" ref="Q4937">_xlfn.IFS(Table1[[#This Row],[Wealthier_Winner]]=-1,"Wealthier Nation Loses",Table1[[#This Row],[Wealthier_Winner]]=0,"Tie",Table1[[#This Row],[Wealthier_Winner]]=1,"Wealthier Nation Wins")</f>
        <v>Wealthier Nation Loses</v>
      </c>
    </row>
    <row r="4938" spans="1:17" x14ac:dyDescent="0.2">
      <c r="A4938" s="1">
        <v>7263</v>
      </c>
      <c r="B4938" s="2">
        <v>42325</v>
      </c>
      <c r="C4938" s="7">
        <f>_xlfn.FLOOR.MATH(Table1[[#This Row],[year]],10)</f>
        <v>2010</v>
      </c>
      <c r="D4938" t="s">
        <v>258</v>
      </c>
      <c r="E4938" t="s">
        <v>57</v>
      </c>
      <c r="F4938">
        <v>1</v>
      </c>
      <c r="G4938">
        <v>3</v>
      </c>
      <c r="H4938" t="s">
        <v>224</v>
      </c>
      <c r="I4938" t="s">
        <v>795</v>
      </c>
      <c r="J4938" t="s">
        <v>258</v>
      </c>
      <c r="K4938" t="b">
        <v>0</v>
      </c>
      <c r="L4938">
        <v>2015</v>
      </c>
      <c r="M4938">
        <v>125449241571</v>
      </c>
      <c r="N4938">
        <v>97209558000</v>
      </c>
      <c r="O4938" t="b">
        <v>0</v>
      </c>
      <c r="P4938">
        <v>-1</v>
      </c>
      <c r="Q4938" t="str" cm="1">
        <f t="array" ref="Q4938">_xlfn.IFS(Table1[[#This Row],[Wealthier_Winner]]=-1,"Wealthier Nation Loses",Table1[[#This Row],[Wealthier_Winner]]=0,"Tie",Table1[[#This Row],[Wealthier_Winner]]=1,"Wealthier Nation Wins")</f>
        <v>Wealthier Nation Loses</v>
      </c>
    </row>
    <row r="4939" spans="1:17" x14ac:dyDescent="0.2">
      <c r="A4939" s="1">
        <v>7265</v>
      </c>
      <c r="B4939" s="2">
        <v>42325</v>
      </c>
      <c r="C4939" s="7">
        <f>_xlfn.FLOOR.MATH(Table1[[#This Row],[year]],10)</f>
        <v>2010</v>
      </c>
      <c r="D4939" t="s">
        <v>70</v>
      </c>
      <c r="E4939" t="s">
        <v>49</v>
      </c>
      <c r="F4939">
        <v>0</v>
      </c>
      <c r="G4939">
        <v>1</v>
      </c>
      <c r="H4939" t="s">
        <v>224</v>
      </c>
      <c r="I4939" t="s">
        <v>280</v>
      </c>
      <c r="J4939" t="s">
        <v>70</v>
      </c>
      <c r="K4939" t="b">
        <v>0</v>
      </c>
      <c r="L4939">
        <v>2015</v>
      </c>
      <c r="M4939">
        <v>14849629308</v>
      </c>
      <c r="N4939">
        <v>14963589915</v>
      </c>
      <c r="O4939" t="b">
        <v>0</v>
      </c>
      <c r="P4939">
        <v>1</v>
      </c>
      <c r="Q4939" t="str" cm="1">
        <f t="array" ref="Q4939">_xlfn.IFS(Table1[[#This Row],[Wealthier_Winner]]=-1,"Wealthier Nation Loses",Table1[[#This Row],[Wealthier_Winner]]=0,"Tie",Table1[[#This Row],[Wealthier_Winner]]=1,"Wealthier Nation Wins")</f>
        <v>Wealthier Nation Wins</v>
      </c>
    </row>
    <row r="4940" spans="1:17" x14ac:dyDescent="0.2">
      <c r="A4940" s="1">
        <v>7266</v>
      </c>
      <c r="B4940" s="2">
        <v>42325</v>
      </c>
      <c r="C4940" s="7">
        <f>_xlfn.FLOOR.MATH(Table1[[#This Row],[year]],10)</f>
        <v>2010</v>
      </c>
      <c r="D4940" t="s">
        <v>67</v>
      </c>
      <c r="E4940" t="s">
        <v>56</v>
      </c>
      <c r="F4940">
        <v>1</v>
      </c>
      <c r="G4940">
        <v>2</v>
      </c>
      <c r="H4940" t="s">
        <v>224</v>
      </c>
      <c r="I4940" t="s">
        <v>455</v>
      </c>
      <c r="J4940" t="s">
        <v>67</v>
      </c>
      <c r="K4940" t="b">
        <v>0</v>
      </c>
      <c r="L4940">
        <v>2015</v>
      </c>
      <c r="M4940">
        <v>55767806073</v>
      </c>
      <c r="N4940">
        <v>56441920820</v>
      </c>
      <c r="O4940" t="b">
        <v>0</v>
      </c>
      <c r="P4940">
        <v>1</v>
      </c>
      <c r="Q4940" t="str" cm="1">
        <f t="array" ref="Q4940">_xlfn.IFS(Table1[[#This Row],[Wealthier_Winner]]=-1,"Wealthier Nation Loses",Table1[[#This Row],[Wealthier_Winner]]=0,"Tie",Table1[[#This Row],[Wealthier_Winner]]=1,"Wealthier Nation Wins")</f>
        <v>Wealthier Nation Wins</v>
      </c>
    </row>
    <row r="4941" spans="1:17" x14ac:dyDescent="0.2">
      <c r="A4941" s="1">
        <v>7269</v>
      </c>
      <c r="B4941" s="2">
        <v>42453</v>
      </c>
      <c r="C4941" s="7">
        <f>_xlfn.FLOOR.MATH(Table1[[#This Row],[year]],10)</f>
        <v>2010</v>
      </c>
      <c r="D4941" t="s">
        <v>28</v>
      </c>
      <c r="E4941" t="s">
        <v>556</v>
      </c>
      <c r="F4941">
        <v>7</v>
      </c>
      <c r="G4941">
        <v>0</v>
      </c>
      <c r="H4941" t="s">
        <v>224</v>
      </c>
      <c r="I4941" t="s">
        <v>800</v>
      </c>
      <c r="J4941" t="s">
        <v>28</v>
      </c>
      <c r="K4941" t="b">
        <v>0</v>
      </c>
      <c r="L4941">
        <v>2016</v>
      </c>
      <c r="M4941">
        <v>1211588128417</v>
      </c>
      <c r="N4941">
        <v>6992416096</v>
      </c>
      <c r="O4941" t="b">
        <v>1</v>
      </c>
      <c r="P4941">
        <v>1</v>
      </c>
      <c r="Q4941" t="str" cm="1">
        <f t="array" ref="Q4941">_xlfn.IFS(Table1[[#This Row],[Wealthier_Winner]]=-1,"Wealthier Nation Loses",Table1[[#This Row],[Wealthier_Winner]]=0,"Tie",Table1[[#This Row],[Wealthier_Winner]]=1,"Wealthier Nation Wins")</f>
        <v>Wealthier Nation Wins</v>
      </c>
    </row>
    <row r="4942" spans="1:17" x14ac:dyDescent="0.2">
      <c r="A4942" s="1">
        <v>7271</v>
      </c>
      <c r="B4942" s="2">
        <v>42453</v>
      </c>
      <c r="C4942" s="7">
        <f>_xlfn.FLOOR.MATH(Table1[[#This Row],[year]],10)</f>
        <v>2010</v>
      </c>
      <c r="D4942" t="s">
        <v>47</v>
      </c>
      <c r="E4942" t="s">
        <v>15</v>
      </c>
      <c r="F4942">
        <v>2</v>
      </c>
      <c r="G4942">
        <v>3</v>
      </c>
      <c r="H4942" t="s">
        <v>224</v>
      </c>
      <c r="I4942" t="s">
        <v>246</v>
      </c>
      <c r="J4942" t="s">
        <v>47</v>
      </c>
      <c r="K4942" t="b">
        <v>0</v>
      </c>
      <c r="L4942">
        <v>2016</v>
      </c>
      <c r="M4942">
        <v>33941126193</v>
      </c>
      <c r="N4942">
        <v>282720100286</v>
      </c>
      <c r="O4942" t="b">
        <v>1</v>
      </c>
      <c r="P4942">
        <v>1</v>
      </c>
      <c r="Q4942" t="str" cm="1">
        <f t="array" ref="Q4942">_xlfn.IFS(Table1[[#This Row],[Wealthier_Winner]]=-1,"Wealthier Nation Loses",Table1[[#This Row],[Wealthier_Winner]]=0,"Tie",Table1[[#This Row],[Wealthier_Winner]]=1,"Wealthier Nation Wins")</f>
        <v>Wealthier Nation Wins</v>
      </c>
    </row>
    <row r="4943" spans="1:17" x14ac:dyDescent="0.2">
      <c r="A4943" s="1">
        <v>7272</v>
      </c>
      <c r="B4943" s="2">
        <v>42453</v>
      </c>
      <c r="C4943" s="7">
        <f>_xlfn.FLOOR.MATH(Table1[[#This Row],[year]],10)</f>
        <v>2010</v>
      </c>
      <c r="D4943" t="s">
        <v>14</v>
      </c>
      <c r="E4943" t="s">
        <v>19</v>
      </c>
      <c r="F4943">
        <v>1</v>
      </c>
      <c r="G4943">
        <v>2</v>
      </c>
      <c r="H4943" t="s">
        <v>224</v>
      </c>
      <c r="I4943" t="s">
        <v>75</v>
      </c>
      <c r="J4943" t="s">
        <v>14</v>
      </c>
      <c r="K4943" t="b">
        <v>0</v>
      </c>
      <c r="L4943">
        <v>2016</v>
      </c>
      <c r="M4943">
        <v>249344863928</v>
      </c>
      <c r="N4943">
        <v>557532320662</v>
      </c>
      <c r="O4943" t="b">
        <v>1</v>
      </c>
      <c r="P4943">
        <v>1</v>
      </c>
      <c r="Q4943" t="str" cm="1">
        <f t="array" ref="Q4943">_xlfn.IFS(Table1[[#This Row],[Wealthier_Winner]]=-1,"Wealthier Nation Loses",Table1[[#This Row],[Wealthier_Winner]]=0,"Tie",Table1[[#This Row],[Wealthier_Winner]]=1,"Wealthier Nation Wins")</f>
        <v>Wealthier Nation Wins</v>
      </c>
    </row>
    <row r="4944" spans="1:17" x14ac:dyDescent="0.2">
      <c r="A4944" s="1">
        <v>7274</v>
      </c>
      <c r="B4944" s="2">
        <v>42453</v>
      </c>
      <c r="C4944" s="7">
        <f>_xlfn.FLOOR.MATH(Table1[[#This Row],[year]],10)</f>
        <v>2010</v>
      </c>
      <c r="D4944" t="s">
        <v>57</v>
      </c>
      <c r="E4944" t="s">
        <v>35</v>
      </c>
      <c r="F4944">
        <v>2</v>
      </c>
      <c r="G4944">
        <v>2</v>
      </c>
      <c r="H4944" t="s">
        <v>224</v>
      </c>
      <c r="I4944" t="s">
        <v>335</v>
      </c>
      <c r="J4944" t="s">
        <v>57</v>
      </c>
      <c r="K4944" t="b">
        <v>0</v>
      </c>
      <c r="L4944">
        <v>2016</v>
      </c>
      <c r="M4944">
        <v>97671433000</v>
      </c>
      <c r="N4944">
        <v>36089700222</v>
      </c>
      <c r="O4944" t="b">
        <v>1</v>
      </c>
      <c r="P4944">
        <v>0</v>
      </c>
      <c r="Q4944" t="str" cm="1">
        <f t="array" ref="Q4944">_xlfn.IFS(Table1[[#This Row],[Wealthier_Winner]]=-1,"Wealthier Nation Loses",Table1[[#This Row],[Wealthier_Winner]]=0,"Tie",Table1[[#This Row],[Wealthier_Winner]]=1,"Wealthier Nation Wins")</f>
        <v>Tie</v>
      </c>
    </row>
    <row r="4945" spans="1:17" x14ac:dyDescent="0.2">
      <c r="A4945" s="1">
        <v>7275</v>
      </c>
      <c r="B4945" s="2">
        <v>42453</v>
      </c>
      <c r="C4945" s="7">
        <f>_xlfn.FLOOR.MATH(Table1[[#This Row],[year]],10)</f>
        <v>2010</v>
      </c>
      <c r="D4945" t="s">
        <v>210</v>
      </c>
      <c r="E4945" t="s">
        <v>406</v>
      </c>
      <c r="F4945">
        <v>4</v>
      </c>
      <c r="G4945">
        <v>0</v>
      </c>
      <c r="H4945" t="s">
        <v>224</v>
      </c>
      <c r="I4945" t="s">
        <v>332</v>
      </c>
      <c r="J4945" t="s">
        <v>210</v>
      </c>
      <c r="K4945" t="b">
        <v>0</v>
      </c>
      <c r="L4945">
        <v>2016</v>
      </c>
      <c r="M4945">
        <v>478618064870</v>
      </c>
      <c r="N4945">
        <v>2294796885663</v>
      </c>
      <c r="O4945" t="b">
        <v>1</v>
      </c>
      <c r="P4945">
        <v>-1</v>
      </c>
      <c r="Q4945" t="str" cm="1">
        <f t="array" ref="Q4945">_xlfn.IFS(Table1[[#This Row],[Wealthier_Winner]]=-1,"Wealthier Nation Loses",Table1[[#This Row],[Wealthier_Winner]]=0,"Tie",Table1[[#This Row],[Wealthier_Winner]]=1,"Wealthier Nation Wins")</f>
        <v>Wealthier Nation Loses</v>
      </c>
    </row>
    <row r="4946" spans="1:17" x14ac:dyDescent="0.2">
      <c r="A4946" s="1">
        <v>7276</v>
      </c>
      <c r="B4946" s="2">
        <v>42453</v>
      </c>
      <c r="C4946" s="7">
        <f>_xlfn.FLOOR.MATH(Table1[[#This Row],[year]],10)</f>
        <v>2010</v>
      </c>
      <c r="D4946" t="s">
        <v>37</v>
      </c>
      <c r="E4946" t="s">
        <v>334</v>
      </c>
      <c r="F4946">
        <v>2</v>
      </c>
      <c r="G4946">
        <v>2</v>
      </c>
      <c r="H4946" t="s">
        <v>224</v>
      </c>
      <c r="I4946" t="s">
        <v>332</v>
      </c>
      <c r="J4946" t="s">
        <v>210</v>
      </c>
      <c r="K4946" t="b">
        <v>1</v>
      </c>
      <c r="L4946">
        <v>2016</v>
      </c>
      <c r="M4946">
        <v>166743557747</v>
      </c>
      <c r="N4946">
        <v>413366349747</v>
      </c>
      <c r="O4946" t="b">
        <v>1</v>
      </c>
      <c r="P4946">
        <v>0</v>
      </c>
      <c r="Q4946" t="str" cm="1">
        <f t="array" ref="Q4946">_xlfn.IFS(Table1[[#This Row],[Wealthier_Winner]]=-1,"Wealthier Nation Loses",Table1[[#This Row],[Wealthier_Winner]]=0,"Tie",Table1[[#This Row],[Wealthier_Winner]]=1,"Wealthier Nation Wins")</f>
        <v>Tie</v>
      </c>
    </row>
    <row r="4947" spans="1:17" x14ac:dyDescent="0.2">
      <c r="A4947" s="1">
        <v>7277</v>
      </c>
      <c r="B4947" s="2">
        <v>42453</v>
      </c>
      <c r="C4947" s="7">
        <f>_xlfn.FLOOR.MATH(Table1[[#This Row],[year]],10)</f>
        <v>2010</v>
      </c>
      <c r="D4947" t="s">
        <v>51</v>
      </c>
      <c r="E4947" t="s">
        <v>641</v>
      </c>
      <c r="F4947">
        <v>5</v>
      </c>
      <c r="G4947">
        <v>0</v>
      </c>
      <c r="H4947" t="s">
        <v>224</v>
      </c>
      <c r="I4947" t="s">
        <v>143</v>
      </c>
      <c r="J4947" t="s">
        <v>51</v>
      </c>
      <c r="K4947" t="b">
        <v>0</v>
      </c>
      <c r="L4947">
        <v>2016</v>
      </c>
      <c r="M4947">
        <v>5003677627544</v>
      </c>
      <c r="N4947">
        <v>18116572395</v>
      </c>
      <c r="O4947" t="b">
        <v>1</v>
      </c>
      <c r="P4947">
        <v>1</v>
      </c>
      <c r="Q4947" t="str" cm="1">
        <f t="array" ref="Q4947">_xlfn.IFS(Table1[[#This Row],[Wealthier_Winner]]=-1,"Wealthier Nation Loses",Table1[[#This Row],[Wealthier_Winner]]=0,"Tie",Table1[[#This Row],[Wealthier_Winner]]=1,"Wealthier Nation Wins")</f>
        <v>Wealthier Nation Wins</v>
      </c>
    </row>
    <row r="4948" spans="1:17" x14ac:dyDescent="0.2">
      <c r="A4948" s="1">
        <v>7278</v>
      </c>
      <c r="B4948" s="2">
        <v>42453</v>
      </c>
      <c r="C4948" s="7">
        <f>_xlfn.FLOOR.MATH(Table1[[#This Row],[year]],10)</f>
        <v>2010</v>
      </c>
      <c r="D4948" t="s">
        <v>403</v>
      </c>
      <c r="E4948" t="s">
        <v>405</v>
      </c>
      <c r="F4948">
        <v>8</v>
      </c>
      <c r="G4948">
        <v>0</v>
      </c>
      <c r="H4948" t="s">
        <v>224</v>
      </c>
      <c r="I4948" t="s">
        <v>404</v>
      </c>
      <c r="J4948" t="s">
        <v>403</v>
      </c>
      <c r="K4948" t="b">
        <v>0</v>
      </c>
      <c r="L4948">
        <v>2016</v>
      </c>
      <c r="M4948">
        <v>39892551126</v>
      </c>
      <c r="N4948">
        <v>265224515675</v>
      </c>
      <c r="O4948" t="b">
        <v>1</v>
      </c>
      <c r="P4948">
        <v>-1</v>
      </c>
      <c r="Q4948" t="str" cm="1">
        <f t="array" ref="Q4948">_xlfn.IFS(Table1[[#This Row],[Wealthier_Winner]]=-1,"Wealthier Nation Loses",Table1[[#This Row],[Wealthier_Winner]]=0,"Tie",Table1[[#This Row],[Wealthier_Winner]]=1,"Wealthier Nation Wins")</f>
        <v>Wealthier Nation Loses</v>
      </c>
    </row>
    <row r="4949" spans="1:17" x14ac:dyDescent="0.2">
      <c r="A4949" s="1">
        <v>7279</v>
      </c>
      <c r="B4949" s="2">
        <v>42453</v>
      </c>
      <c r="C4949" s="7">
        <f>_xlfn.FLOOR.MATH(Table1[[#This Row],[year]],10)</f>
        <v>2010</v>
      </c>
      <c r="D4949" t="s">
        <v>195</v>
      </c>
      <c r="E4949" t="s">
        <v>479</v>
      </c>
      <c r="F4949">
        <v>1</v>
      </c>
      <c r="G4949">
        <v>0</v>
      </c>
      <c r="H4949" t="s">
        <v>224</v>
      </c>
      <c r="I4949" t="s">
        <v>801</v>
      </c>
      <c r="J4949" t="s">
        <v>195</v>
      </c>
      <c r="K4949" t="b">
        <v>0</v>
      </c>
      <c r="L4949">
        <v>2016</v>
      </c>
      <c r="M4949">
        <v>1579150518945</v>
      </c>
      <c r="N4949">
        <v>51147308774</v>
      </c>
      <c r="O4949" t="b">
        <v>1</v>
      </c>
      <c r="P4949">
        <v>1</v>
      </c>
      <c r="Q4949" t="str" cm="1">
        <f t="array" ref="Q4949">_xlfn.IFS(Table1[[#This Row],[Wealthier_Winner]]=-1,"Wealthier Nation Loses",Table1[[#This Row],[Wealthier_Winner]]=0,"Tie",Table1[[#This Row],[Wealthier_Winner]]=1,"Wealthier Nation Wins")</f>
        <v>Wealthier Nation Wins</v>
      </c>
    </row>
    <row r="4950" spans="1:17" x14ac:dyDescent="0.2">
      <c r="A4950" s="1">
        <v>7280</v>
      </c>
      <c r="B4950" s="2">
        <v>42453</v>
      </c>
      <c r="C4950" s="7">
        <f>_xlfn.FLOOR.MATH(Table1[[#This Row],[year]],10)</f>
        <v>2010</v>
      </c>
      <c r="D4950" t="s">
        <v>429</v>
      </c>
      <c r="E4950" t="s">
        <v>782</v>
      </c>
      <c r="F4950">
        <v>1</v>
      </c>
      <c r="G4950">
        <v>0</v>
      </c>
      <c r="H4950" t="s">
        <v>224</v>
      </c>
      <c r="I4950" t="s">
        <v>430</v>
      </c>
      <c r="J4950" t="s">
        <v>429</v>
      </c>
      <c r="K4950" t="b">
        <v>0</v>
      </c>
      <c r="L4950">
        <v>2016</v>
      </c>
      <c r="M4950">
        <v>75128738621</v>
      </c>
      <c r="N4950">
        <v>5901000000</v>
      </c>
      <c r="O4950" t="b">
        <v>1</v>
      </c>
      <c r="P4950">
        <v>1</v>
      </c>
      <c r="Q4950" t="str" cm="1">
        <f t="array" ref="Q4950">_xlfn.IFS(Table1[[#This Row],[Wealthier_Winner]]=-1,"Wealthier Nation Loses",Table1[[#This Row],[Wealthier_Winner]]=0,"Tie",Table1[[#This Row],[Wealthier_Winner]]=1,"Wealthier Nation Wins")</f>
        <v>Wealthier Nation Wins</v>
      </c>
    </row>
    <row r="4951" spans="1:17" x14ac:dyDescent="0.2">
      <c r="A4951" s="1">
        <v>7281</v>
      </c>
      <c r="B4951" s="2">
        <v>42453</v>
      </c>
      <c r="C4951" s="7">
        <f>_xlfn.FLOOR.MATH(Table1[[#This Row],[year]],10)</f>
        <v>2010</v>
      </c>
      <c r="D4951" t="s">
        <v>31</v>
      </c>
      <c r="E4951" t="s">
        <v>258</v>
      </c>
      <c r="F4951">
        <v>2</v>
      </c>
      <c r="G4951">
        <v>2</v>
      </c>
      <c r="H4951" t="s">
        <v>224</v>
      </c>
      <c r="I4951" t="s">
        <v>242</v>
      </c>
      <c r="J4951" t="s">
        <v>31</v>
      </c>
      <c r="K4951" t="b">
        <v>0</v>
      </c>
      <c r="L4951">
        <v>2016</v>
      </c>
      <c r="M4951">
        <v>191898104390</v>
      </c>
      <c r="N4951">
        <v>112915034262</v>
      </c>
      <c r="O4951" t="b">
        <v>0</v>
      </c>
      <c r="P4951">
        <v>0</v>
      </c>
      <c r="Q4951" t="str" cm="1">
        <f t="array" ref="Q4951">_xlfn.IFS(Table1[[#This Row],[Wealthier_Winner]]=-1,"Wealthier Nation Loses",Table1[[#This Row],[Wealthier_Winner]]=0,"Tie",Table1[[#This Row],[Wealthier_Winner]]=1,"Wealthier Nation Wins")</f>
        <v>Tie</v>
      </c>
    </row>
    <row r="4952" spans="1:17" x14ac:dyDescent="0.2">
      <c r="A4952" s="1">
        <v>7283</v>
      </c>
      <c r="B4952" s="2">
        <v>42453</v>
      </c>
      <c r="C4952" s="7">
        <f>_xlfn.FLOOR.MATH(Table1[[#This Row],[year]],10)</f>
        <v>2010</v>
      </c>
      <c r="D4952" t="s">
        <v>45</v>
      </c>
      <c r="E4952" t="s">
        <v>333</v>
      </c>
      <c r="F4952">
        <v>2</v>
      </c>
      <c r="G4952">
        <v>0</v>
      </c>
      <c r="H4952" t="s">
        <v>224</v>
      </c>
      <c r="I4952" t="s">
        <v>354</v>
      </c>
      <c r="J4952" t="s">
        <v>45</v>
      </c>
      <c r="K4952" t="b">
        <v>0</v>
      </c>
      <c r="L4952">
        <v>2016</v>
      </c>
      <c r="M4952">
        <v>689279466666</v>
      </c>
      <c r="N4952">
        <v>301256033870</v>
      </c>
      <c r="O4952" t="b">
        <v>1</v>
      </c>
      <c r="P4952">
        <v>1</v>
      </c>
      <c r="Q4952" t="str" cm="1">
        <f t="array" ref="Q4952">_xlfn.IFS(Table1[[#This Row],[Wealthier_Winner]]=-1,"Wealthier Nation Loses",Table1[[#This Row],[Wealthier_Winner]]=0,"Tie",Table1[[#This Row],[Wealthier_Winner]]=1,"Wealthier Nation Wins")</f>
        <v>Wealthier Nation Wins</v>
      </c>
    </row>
    <row r="4953" spans="1:17" x14ac:dyDescent="0.2">
      <c r="A4953" s="1">
        <v>7284</v>
      </c>
      <c r="B4953" s="2">
        <v>42453</v>
      </c>
      <c r="C4953" s="7">
        <f>_xlfn.FLOOR.MATH(Table1[[#This Row],[year]],10)</f>
        <v>2010</v>
      </c>
      <c r="D4953" t="s">
        <v>331</v>
      </c>
      <c r="E4953" t="s">
        <v>551</v>
      </c>
      <c r="F4953">
        <v>6</v>
      </c>
      <c r="G4953">
        <v>0</v>
      </c>
      <c r="H4953" t="s">
        <v>224</v>
      </c>
      <c r="I4953" t="s">
        <v>789</v>
      </c>
      <c r="J4953" t="s">
        <v>429</v>
      </c>
      <c r="K4953" t="b">
        <v>1</v>
      </c>
      <c r="L4953">
        <v>2016</v>
      </c>
      <c r="M4953">
        <v>12597854877</v>
      </c>
      <c r="N4953">
        <v>26556545153</v>
      </c>
      <c r="O4953" t="b">
        <v>1</v>
      </c>
      <c r="P4953">
        <v>-1</v>
      </c>
      <c r="Q4953" t="str" cm="1">
        <f t="array" ref="Q4953">_xlfn.IFS(Table1[[#This Row],[Wealthier_Winner]]=-1,"Wealthier Nation Loses",Table1[[#This Row],[Wealthier_Winner]]=0,"Tie",Table1[[#This Row],[Wealthier_Winner]]=1,"Wealthier Nation Wins")</f>
        <v>Wealthier Nation Loses</v>
      </c>
    </row>
    <row r="4954" spans="1:17" x14ac:dyDescent="0.2">
      <c r="A4954" s="1">
        <v>7286</v>
      </c>
      <c r="B4954" s="2">
        <v>42453</v>
      </c>
      <c r="C4954" s="7">
        <f>_xlfn.FLOOR.MATH(Table1[[#This Row],[year]],10)</f>
        <v>2010</v>
      </c>
      <c r="D4954" t="s">
        <v>563</v>
      </c>
      <c r="E4954" t="s">
        <v>532</v>
      </c>
      <c r="F4954">
        <v>1</v>
      </c>
      <c r="G4954">
        <v>0</v>
      </c>
      <c r="H4954" t="s">
        <v>224</v>
      </c>
      <c r="I4954" t="s">
        <v>564</v>
      </c>
      <c r="J4954" t="s">
        <v>563</v>
      </c>
      <c r="K4954" t="b">
        <v>0</v>
      </c>
      <c r="L4954">
        <v>2016</v>
      </c>
      <c r="M4954">
        <v>86138288644</v>
      </c>
      <c r="N4954">
        <v>318627003016</v>
      </c>
      <c r="O4954" t="b">
        <v>1</v>
      </c>
      <c r="P4954">
        <v>-1</v>
      </c>
      <c r="Q4954" t="str" cm="1">
        <f t="array" ref="Q4954">_xlfn.IFS(Table1[[#This Row],[Wealthier_Winner]]=-1,"Wealthier Nation Loses",Table1[[#This Row],[Wealthier_Winner]]=0,"Tie",Table1[[#This Row],[Wealthier_Winner]]=1,"Wealthier Nation Wins")</f>
        <v>Wealthier Nation Loses</v>
      </c>
    </row>
    <row r="4955" spans="1:17" x14ac:dyDescent="0.2">
      <c r="A4955" s="1">
        <v>7288</v>
      </c>
      <c r="B4955" s="2">
        <v>42454</v>
      </c>
      <c r="C4955" s="7">
        <f>_xlfn.FLOOR.MATH(Table1[[#This Row],[year]],10)</f>
        <v>2010</v>
      </c>
      <c r="D4955" t="s">
        <v>13</v>
      </c>
      <c r="E4955" t="s">
        <v>26</v>
      </c>
      <c r="F4955">
        <v>2</v>
      </c>
      <c r="G4955">
        <v>2</v>
      </c>
      <c r="H4955" t="s">
        <v>224</v>
      </c>
      <c r="I4955" t="s">
        <v>177</v>
      </c>
      <c r="J4955" t="s">
        <v>13</v>
      </c>
      <c r="K4955" t="b">
        <v>0</v>
      </c>
      <c r="L4955">
        <v>2016</v>
      </c>
      <c r="M4955">
        <v>1795693265999</v>
      </c>
      <c r="N4955">
        <v>57480787465</v>
      </c>
      <c r="O4955" t="b">
        <v>1</v>
      </c>
      <c r="P4955">
        <v>0</v>
      </c>
      <c r="Q4955" t="str" cm="1">
        <f t="array" ref="Q4955">_xlfn.IFS(Table1[[#This Row],[Wealthier_Winner]]=-1,"Wealthier Nation Loses",Table1[[#This Row],[Wealthier_Winner]]=0,"Tie",Table1[[#This Row],[Wealthier_Winner]]=1,"Wealthier Nation Wins")</f>
        <v>Tie</v>
      </c>
    </row>
    <row r="4956" spans="1:17" x14ac:dyDescent="0.2">
      <c r="A4956" s="1">
        <v>7289</v>
      </c>
      <c r="B4956" s="2">
        <v>42454</v>
      </c>
      <c r="C4956" s="7">
        <f>_xlfn.FLOOR.MATH(Table1[[#This Row],[year]],10)</f>
        <v>2010</v>
      </c>
      <c r="D4956" t="s">
        <v>34</v>
      </c>
      <c r="E4956" t="s">
        <v>17</v>
      </c>
      <c r="F4956">
        <v>0</v>
      </c>
      <c r="G4956">
        <v>3</v>
      </c>
      <c r="H4956" t="s">
        <v>224</v>
      </c>
      <c r="I4956" t="s">
        <v>798</v>
      </c>
      <c r="J4956" t="s">
        <v>34</v>
      </c>
      <c r="K4956" t="b">
        <v>0</v>
      </c>
      <c r="L4956">
        <v>2016</v>
      </c>
      <c r="M4956">
        <v>1527994741907</v>
      </c>
      <c r="N4956">
        <v>1112233497452</v>
      </c>
      <c r="O4956" t="b">
        <v>0</v>
      </c>
      <c r="P4956">
        <v>-1</v>
      </c>
      <c r="Q4956" t="str" cm="1">
        <f t="array" ref="Q4956">_xlfn.IFS(Table1[[#This Row],[Wealthier_Winner]]=-1,"Wealthier Nation Loses",Table1[[#This Row],[Wealthier_Winner]]=0,"Tie",Table1[[#This Row],[Wealthier_Winner]]=1,"Wealthier Nation Wins")</f>
        <v>Wealthier Nation Loses</v>
      </c>
    </row>
    <row r="4957" spans="1:17" x14ac:dyDescent="0.2">
      <c r="A4957" s="1">
        <v>7290</v>
      </c>
      <c r="B4957" s="2">
        <v>42454</v>
      </c>
      <c r="C4957" s="7">
        <f>_xlfn.FLOOR.MATH(Table1[[#This Row],[year]],10)</f>
        <v>2010</v>
      </c>
      <c r="D4957" t="s">
        <v>69</v>
      </c>
      <c r="E4957" t="s">
        <v>65</v>
      </c>
      <c r="F4957">
        <v>2</v>
      </c>
      <c r="G4957">
        <v>2</v>
      </c>
      <c r="H4957" t="s">
        <v>224</v>
      </c>
      <c r="I4957" t="s">
        <v>281</v>
      </c>
      <c r="J4957" t="s">
        <v>69</v>
      </c>
      <c r="K4957" t="b">
        <v>0</v>
      </c>
      <c r="L4957">
        <v>2016</v>
      </c>
      <c r="M4957">
        <v>24191430000</v>
      </c>
      <c r="N4957">
        <v>21717604952</v>
      </c>
      <c r="O4957" t="b">
        <v>0</v>
      </c>
      <c r="P4957">
        <v>0</v>
      </c>
      <c r="Q4957" t="str" cm="1">
        <f t="array" ref="Q4957">_xlfn.IFS(Table1[[#This Row],[Wealthier_Winner]]=-1,"Wealthier Nation Loses",Table1[[#This Row],[Wealthier_Winner]]=0,"Tie",Table1[[#This Row],[Wealthier_Winner]]=1,"Wealthier Nation Wins")</f>
        <v>Tie</v>
      </c>
    </row>
    <row r="4958" spans="1:17" x14ac:dyDescent="0.2">
      <c r="A4958" s="1">
        <v>7291</v>
      </c>
      <c r="B4958" s="2">
        <v>42454</v>
      </c>
      <c r="C4958" s="7">
        <f>_xlfn.FLOOR.MATH(Table1[[#This Row],[year]],10)</f>
        <v>2010</v>
      </c>
      <c r="D4958" t="s">
        <v>223</v>
      </c>
      <c r="E4958" t="s">
        <v>41</v>
      </c>
      <c r="F4958">
        <v>2</v>
      </c>
      <c r="G4958">
        <v>0</v>
      </c>
      <c r="H4958" t="s">
        <v>224</v>
      </c>
      <c r="I4958" t="s">
        <v>227</v>
      </c>
      <c r="J4958" t="s">
        <v>223</v>
      </c>
      <c r="K4958" t="b">
        <v>0</v>
      </c>
      <c r="L4958">
        <v>2016</v>
      </c>
      <c r="M4958">
        <v>66053408205</v>
      </c>
      <c r="N4958">
        <v>18695110842000</v>
      </c>
      <c r="O4958" t="b">
        <v>1</v>
      </c>
      <c r="P4958">
        <v>-1</v>
      </c>
      <c r="Q4958" t="str" cm="1">
        <f t="array" ref="Q4958">_xlfn.IFS(Table1[[#This Row],[Wealthier_Winner]]=-1,"Wealthier Nation Loses",Table1[[#This Row],[Wealthier_Winner]]=0,"Tie",Table1[[#This Row],[Wealthier_Winner]]=1,"Wealthier Nation Wins")</f>
        <v>Wealthier Nation Loses</v>
      </c>
    </row>
    <row r="4959" spans="1:17" x14ac:dyDescent="0.2">
      <c r="A4959" s="1">
        <v>7292</v>
      </c>
      <c r="B4959" s="2">
        <v>42454</v>
      </c>
      <c r="C4959" s="7">
        <f>_xlfn.FLOOR.MATH(Table1[[#This Row],[year]],10)</f>
        <v>2010</v>
      </c>
      <c r="D4959" t="s">
        <v>70</v>
      </c>
      <c r="E4959" t="s">
        <v>67</v>
      </c>
      <c r="F4959">
        <v>0</v>
      </c>
      <c r="G4959">
        <v>0</v>
      </c>
      <c r="H4959" t="s">
        <v>224</v>
      </c>
      <c r="I4959" t="s">
        <v>280</v>
      </c>
      <c r="J4959" t="s">
        <v>70</v>
      </c>
      <c r="K4959" t="b">
        <v>0</v>
      </c>
      <c r="L4959">
        <v>2016</v>
      </c>
      <c r="M4959">
        <v>14069277526</v>
      </c>
      <c r="N4959">
        <v>59760858717</v>
      </c>
      <c r="O4959" t="b">
        <v>1</v>
      </c>
      <c r="P4959">
        <v>0</v>
      </c>
      <c r="Q4959" t="str" cm="1">
        <f t="array" ref="Q4959">_xlfn.IFS(Table1[[#This Row],[Wealthier_Winner]]=-1,"Wealthier Nation Loses",Table1[[#This Row],[Wealthier_Winner]]=0,"Tie",Table1[[#This Row],[Wealthier_Winner]]=1,"Wealthier Nation Wins")</f>
        <v>Tie</v>
      </c>
    </row>
    <row r="4960" spans="1:17" x14ac:dyDescent="0.2">
      <c r="A4960" s="1">
        <v>7293</v>
      </c>
      <c r="B4960" s="2">
        <v>42454</v>
      </c>
      <c r="C4960" s="7">
        <f>_xlfn.FLOOR.MATH(Table1[[#This Row],[year]],10)</f>
        <v>2010</v>
      </c>
      <c r="D4960" t="s">
        <v>49</v>
      </c>
      <c r="E4960" t="s">
        <v>56</v>
      </c>
      <c r="F4960">
        <v>1</v>
      </c>
      <c r="G4960">
        <v>1</v>
      </c>
      <c r="H4960" t="s">
        <v>224</v>
      </c>
      <c r="I4960" t="s">
        <v>257</v>
      </c>
      <c r="J4960" t="s">
        <v>49</v>
      </c>
      <c r="K4960" t="b">
        <v>0</v>
      </c>
      <c r="L4960">
        <v>2016</v>
      </c>
      <c r="M4960">
        <v>14898999754</v>
      </c>
      <c r="N4960">
        <v>58847019609</v>
      </c>
      <c r="O4960" t="b">
        <v>1</v>
      </c>
      <c r="P4960">
        <v>0</v>
      </c>
      <c r="Q4960" t="str" cm="1">
        <f t="array" ref="Q4960">_xlfn.IFS(Table1[[#This Row],[Wealthier_Winner]]=-1,"Wealthier Nation Loses",Table1[[#This Row],[Wealthier_Winner]]=0,"Tie",Table1[[#This Row],[Wealthier_Winner]]=1,"Wealthier Nation Wins")</f>
        <v>Tie</v>
      </c>
    </row>
    <row r="4961" spans="1:17" x14ac:dyDescent="0.2">
      <c r="A4961" s="1">
        <v>7295</v>
      </c>
      <c r="B4961" s="2">
        <v>42458</v>
      </c>
      <c r="C4961" s="7">
        <f>_xlfn.FLOOR.MATH(Table1[[#This Row],[year]],10)</f>
        <v>2010</v>
      </c>
      <c r="D4961" t="s">
        <v>641</v>
      </c>
      <c r="E4961" t="s">
        <v>359</v>
      </c>
      <c r="F4961">
        <v>2</v>
      </c>
      <c r="G4961">
        <v>1</v>
      </c>
      <c r="H4961" t="s">
        <v>224</v>
      </c>
      <c r="I4961" t="s">
        <v>332</v>
      </c>
      <c r="J4961" t="s">
        <v>210</v>
      </c>
      <c r="K4961" t="b">
        <v>1</v>
      </c>
      <c r="L4961">
        <v>2016</v>
      </c>
      <c r="M4961">
        <v>18116572395</v>
      </c>
      <c r="N4961">
        <v>319646468521</v>
      </c>
      <c r="O4961" t="b">
        <v>1</v>
      </c>
      <c r="P4961">
        <v>-1</v>
      </c>
      <c r="Q4961" t="str" cm="1">
        <f t="array" ref="Q4961">_xlfn.IFS(Table1[[#This Row],[Wealthier_Winner]]=-1,"Wealthier Nation Loses",Table1[[#This Row],[Wealthier_Winner]]=0,"Tie",Table1[[#This Row],[Wealthier_Winner]]=1,"Wealthier Nation Wins")</f>
        <v>Wealthier Nation Loses</v>
      </c>
    </row>
    <row r="4962" spans="1:17" x14ac:dyDescent="0.2">
      <c r="A4962" s="1">
        <v>7296</v>
      </c>
      <c r="B4962" s="2">
        <v>42458</v>
      </c>
      <c r="C4962" s="7">
        <f>_xlfn.FLOOR.MATH(Table1[[#This Row],[year]],10)</f>
        <v>2010</v>
      </c>
      <c r="D4962" t="s">
        <v>19</v>
      </c>
      <c r="E4962" t="s">
        <v>47</v>
      </c>
      <c r="F4962">
        <v>2</v>
      </c>
      <c r="G4962">
        <v>0</v>
      </c>
      <c r="H4962" t="s">
        <v>224</v>
      </c>
      <c r="I4962" t="s">
        <v>368</v>
      </c>
      <c r="J4962" t="s">
        <v>19</v>
      </c>
      <c r="K4962" t="b">
        <v>0</v>
      </c>
      <c r="L4962">
        <v>2016</v>
      </c>
      <c r="M4962">
        <v>557532320662</v>
      </c>
      <c r="N4962">
        <v>33941126193</v>
      </c>
      <c r="O4962" t="b">
        <v>1</v>
      </c>
      <c r="P4962">
        <v>1</v>
      </c>
      <c r="Q4962" t="str" cm="1">
        <f t="array" ref="Q4962">_xlfn.IFS(Table1[[#This Row],[Wealthier_Winner]]=-1,"Wealthier Nation Loses",Table1[[#This Row],[Wealthier_Winner]]=0,"Tie",Table1[[#This Row],[Wealthier_Winner]]=1,"Wealthier Nation Wins")</f>
        <v>Wealthier Nation Wins</v>
      </c>
    </row>
    <row r="4963" spans="1:17" x14ac:dyDescent="0.2">
      <c r="A4963" s="1">
        <v>7297</v>
      </c>
      <c r="B4963" s="2">
        <v>42458</v>
      </c>
      <c r="C4963" s="7">
        <f>_xlfn.FLOOR.MATH(Table1[[#This Row],[year]],10)</f>
        <v>2010</v>
      </c>
      <c r="D4963" t="s">
        <v>28</v>
      </c>
      <c r="E4963" t="s">
        <v>403</v>
      </c>
      <c r="F4963">
        <v>5</v>
      </c>
      <c r="G4963">
        <v>1</v>
      </c>
      <c r="H4963" t="s">
        <v>224</v>
      </c>
      <c r="I4963" t="s">
        <v>301</v>
      </c>
      <c r="J4963" t="s">
        <v>28</v>
      </c>
      <c r="K4963" t="b">
        <v>0</v>
      </c>
      <c r="L4963">
        <v>2016</v>
      </c>
      <c r="M4963">
        <v>1211588128417</v>
      </c>
      <c r="N4963">
        <v>39892551126</v>
      </c>
      <c r="O4963" t="b">
        <v>1</v>
      </c>
      <c r="P4963">
        <v>1</v>
      </c>
      <c r="Q4963" t="str" cm="1">
        <f t="array" ref="Q4963">_xlfn.IFS(Table1[[#This Row],[Wealthier_Winner]]=-1,"Wealthier Nation Loses",Table1[[#This Row],[Wealthier_Winner]]=0,"Tie",Table1[[#This Row],[Wealthier_Winner]]=1,"Wealthier Nation Wins")</f>
        <v>Wealthier Nation Wins</v>
      </c>
    </row>
    <row r="4964" spans="1:17" x14ac:dyDescent="0.2">
      <c r="A4964" s="1">
        <v>7299</v>
      </c>
      <c r="B4964" s="2">
        <v>42458</v>
      </c>
      <c r="C4964" s="7">
        <f>_xlfn.FLOOR.MATH(Table1[[#This Row],[year]],10)</f>
        <v>2010</v>
      </c>
      <c r="D4964" t="s">
        <v>15</v>
      </c>
      <c r="E4964" t="s">
        <v>57</v>
      </c>
      <c r="F4964">
        <v>3</v>
      </c>
      <c r="G4964">
        <v>1</v>
      </c>
      <c r="H4964" t="s">
        <v>224</v>
      </c>
      <c r="I4964" t="s">
        <v>261</v>
      </c>
      <c r="J4964" t="s">
        <v>15</v>
      </c>
      <c r="K4964" t="b">
        <v>0</v>
      </c>
      <c r="L4964">
        <v>2016</v>
      </c>
      <c r="M4964">
        <v>282720100286</v>
      </c>
      <c r="N4964">
        <v>97671433000</v>
      </c>
      <c r="O4964" t="b">
        <v>1</v>
      </c>
      <c r="P4964">
        <v>1</v>
      </c>
      <c r="Q4964" t="str" cm="1">
        <f t="array" ref="Q4964">_xlfn.IFS(Table1[[#This Row],[Wealthier_Winner]]=-1,"Wealthier Nation Loses",Table1[[#This Row],[Wealthier_Winner]]=0,"Tie",Table1[[#This Row],[Wealthier_Winner]]=1,"Wealthier Nation Wins")</f>
        <v>Wealthier Nation Wins</v>
      </c>
    </row>
    <row r="4965" spans="1:17" x14ac:dyDescent="0.2">
      <c r="A4965" s="1">
        <v>7300</v>
      </c>
      <c r="B4965" s="2">
        <v>42458</v>
      </c>
      <c r="C4965" s="7">
        <f>_xlfn.FLOOR.MATH(Table1[[#This Row],[year]],10)</f>
        <v>2010</v>
      </c>
      <c r="D4965" t="s">
        <v>56</v>
      </c>
      <c r="E4965" t="s">
        <v>49</v>
      </c>
      <c r="F4965">
        <v>3</v>
      </c>
      <c r="G4965">
        <v>0</v>
      </c>
      <c r="H4965" t="s">
        <v>224</v>
      </c>
      <c r="I4965" t="s">
        <v>225</v>
      </c>
      <c r="J4965" t="s">
        <v>56</v>
      </c>
      <c r="K4965" t="b">
        <v>0</v>
      </c>
      <c r="L4965">
        <v>2016</v>
      </c>
      <c r="M4965">
        <v>58847019609</v>
      </c>
      <c r="N4965">
        <v>14898999754</v>
      </c>
      <c r="O4965" t="b">
        <v>1</v>
      </c>
      <c r="P4965">
        <v>1</v>
      </c>
      <c r="Q4965" t="str" cm="1">
        <f t="array" ref="Q4965">_xlfn.IFS(Table1[[#This Row],[Wealthier_Winner]]=-1,"Wealthier Nation Loses",Table1[[#This Row],[Wealthier_Winner]]=0,"Tie",Table1[[#This Row],[Wealthier_Winner]]=1,"Wealthier Nation Wins")</f>
        <v>Wealthier Nation Wins</v>
      </c>
    </row>
    <row r="4966" spans="1:17" x14ac:dyDescent="0.2">
      <c r="A4966" s="1">
        <v>7301</v>
      </c>
      <c r="B4966" s="2">
        <v>42458</v>
      </c>
      <c r="C4966" s="7">
        <f>_xlfn.FLOOR.MATH(Table1[[#This Row],[year]],10)</f>
        <v>2010</v>
      </c>
      <c r="D4966" t="s">
        <v>65</v>
      </c>
      <c r="E4966" t="s">
        <v>69</v>
      </c>
      <c r="F4966">
        <v>2</v>
      </c>
      <c r="G4966">
        <v>0</v>
      </c>
      <c r="H4966" t="s">
        <v>224</v>
      </c>
      <c r="I4966" t="s">
        <v>254</v>
      </c>
      <c r="J4966" t="s">
        <v>65</v>
      </c>
      <c r="K4966" t="b">
        <v>0</v>
      </c>
      <c r="L4966">
        <v>2016</v>
      </c>
      <c r="M4966">
        <v>21717604952</v>
      </c>
      <c r="N4966">
        <v>24191430000</v>
      </c>
      <c r="O4966" t="b">
        <v>0</v>
      </c>
      <c r="P4966">
        <v>-1</v>
      </c>
      <c r="Q4966" t="str" cm="1">
        <f t="array" ref="Q4966">_xlfn.IFS(Table1[[#This Row],[Wealthier_Winner]]=-1,"Wealthier Nation Loses",Table1[[#This Row],[Wealthier_Winner]]=0,"Tie",Table1[[#This Row],[Wealthier_Winner]]=1,"Wealthier Nation Wins")</f>
        <v>Wealthier Nation Loses</v>
      </c>
    </row>
    <row r="4967" spans="1:17" x14ac:dyDescent="0.2">
      <c r="A4967" s="1">
        <v>7302</v>
      </c>
      <c r="B4967" s="2">
        <v>42458</v>
      </c>
      <c r="C4967" s="7">
        <f>_xlfn.FLOOR.MATH(Table1[[#This Row],[year]],10)</f>
        <v>2010</v>
      </c>
      <c r="D4967" t="s">
        <v>406</v>
      </c>
      <c r="E4967" t="s">
        <v>560</v>
      </c>
      <c r="F4967">
        <v>1</v>
      </c>
      <c r="G4967">
        <v>2</v>
      </c>
      <c r="H4967" t="s">
        <v>224</v>
      </c>
      <c r="I4967" t="s">
        <v>650</v>
      </c>
      <c r="J4967" t="s">
        <v>406</v>
      </c>
      <c r="K4967" t="b">
        <v>0</v>
      </c>
      <c r="L4967">
        <v>2016</v>
      </c>
      <c r="M4967">
        <v>2294796885663</v>
      </c>
      <c r="N4967">
        <v>36169428571</v>
      </c>
      <c r="O4967" t="b">
        <v>1</v>
      </c>
      <c r="P4967">
        <v>-1</v>
      </c>
      <c r="Q4967" t="str" cm="1">
        <f t="array" ref="Q4967">_xlfn.IFS(Table1[[#This Row],[Wealthier_Winner]]=-1,"Wealthier Nation Loses",Table1[[#This Row],[Wealthier_Winner]]=0,"Tie",Table1[[#This Row],[Wealthier_Winner]]=1,"Wealthier Nation Wins")</f>
        <v>Wealthier Nation Loses</v>
      </c>
    </row>
    <row r="4968" spans="1:17" x14ac:dyDescent="0.2">
      <c r="A4968" s="1">
        <v>7303</v>
      </c>
      <c r="B4968" s="2">
        <v>42458</v>
      </c>
      <c r="C4968" s="7">
        <f>_xlfn.FLOOR.MATH(Table1[[#This Row],[year]],10)</f>
        <v>2010</v>
      </c>
      <c r="D4968" t="s">
        <v>210</v>
      </c>
      <c r="E4968" t="s">
        <v>429</v>
      </c>
      <c r="F4968">
        <v>2</v>
      </c>
      <c r="G4968">
        <v>0</v>
      </c>
      <c r="H4968" t="s">
        <v>224</v>
      </c>
      <c r="I4968" t="s">
        <v>332</v>
      </c>
      <c r="J4968" t="s">
        <v>210</v>
      </c>
      <c r="K4968" t="b">
        <v>0</v>
      </c>
      <c r="L4968">
        <v>2016</v>
      </c>
      <c r="M4968">
        <v>478618064870</v>
      </c>
      <c r="N4968">
        <v>75128738621</v>
      </c>
      <c r="O4968" t="b">
        <v>1</v>
      </c>
      <c r="P4968">
        <v>1</v>
      </c>
      <c r="Q4968" t="str" cm="1">
        <f t="array" ref="Q4968">_xlfn.IFS(Table1[[#This Row],[Wealthier_Winner]]=-1,"Wealthier Nation Loses",Table1[[#This Row],[Wealthier_Winner]]=0,"Tie",Table1[[#This Row],[Wealthier_Winner]]=1,"Wealthier Nation Wins")</f>
        <v>Wealthier Nation Wins</v>
      </c>
    </row>
    <row r="4969" spans="1:17" x14ac:dyDescent="0.2">
      <c r="A4969" s="1">
        <v>7304</v>
      </c>
      <c r="B4969" s="2">
        <v>42458</v>
      </c>
      <c r="C4969" s="7">
        <f>_xlfn.FLOOR.MATH(Table1[[#This Row],[year]],10)</f>
        <v>2010</v>
      </c>
      <c r="D4969" t="s">
        <v>37</v>
      </c>
      <c r="E4969" t="s">
        <v>475</v>
      </c>
      <c r="F4969">
        <v>1</v>
      </c>
      <c r="G4969">
        <v>0</v>
      </c>
      <c r="H4969" t="s">
        <v>224</v>
      </c>
      <c r="I4969" t="s">
        <v>332</v>
      </c>
      <c r="J4969" t="s">
        <v>210</v>
      </c>
      <c r="K4969" t="b">
        <v>1</v>
      </c>
      <c r="L4969">
        <v>2016</v>
      </c>
      <c r="M4969">
        <v>166743557747</v>
      </c>
      <c r="N4969">
        <v>257096001177</v>
      </c>
      <c r="O4969" t="b">
        <v>0</v>
      </c>
      <c r="P4969">
        <v>-1</v>
      </c>
      <c r="Q4969" t="str" cm="1">
        <f t="array" ref="Q4969">_xlfn.IFS(Table1[[#This Row],[Wealthier_Winner]]=-1,"Wealthier Nation Loses",Table1[[#This Row],[Wealthier_Winner]]=0,"Tie",Table1[[#This Row],[Wealthier_Winner]]=1,"Wealthier Nation Wins")</f>
        <v>Wealthier Nation Loses</v>
      </c>
    </row>
    <row r="4970" spans="1:17" x14ac:dyDescent="0.2">
      <c r="A4970" s="1">
        <v>7305</v>
      </c>
      <c r="B4970" s="2">
        <v>42458</v>
      </c>
      <c r="C4970" s="7">
        <f>_xlfn.FLOOR.MATH(Table1[[#This Row],[year]],10)</f>
        <v>2010</v>
      </c>
      <c r="D4970" t="s">
        <v>51</v>
      </c>
      <c r="E4970" t="s">
        <v>331</v>
      </c>
      <c r="F4970">
        <v>5</v>
      </c>
      <c r="G4970">
        <v>0</v>
      </c>
      <c r="H4970" t="s">
        <v>224</v>
      </c>
      <c r="I4970" t="s">
        <v>143</v>
      </c>
      <c r="J4970" t="s">
        <v>51</v>
      </c>
      <c r="K4970" t="b">
        <v>0</v>
      </c>
      <c r="L4970">
        <v>2016</v>
      </c>
      <c r="M4970">
        <v>5003677627544</v>
      </c>
      <c r="N4970">
        <v>12597854877</v>
      </c>
      <c r="O4970" t="b">
        <v>1</v>
      </c>
      <c r="P4970">
        <v>1</v>
      </c>
      <c r="Q4970" t="str" cm="1">
        <f t="array" ref="Q4970">_xlfn.IFS(Table1[[#This Row],[Wealthier_Winner]]=-1,"Wealthier Nation Loses",Table1[[#This Row],[Wealthier_Winner]]=0,"Tie",Table1[[#This Row],[Wealthier_Winner]]=1,"Wealthier Nation Wins")</f>
        <v>Wealthier Nation Wins</v>
      </c>
    </row>
    <row r="4971" spans="1:17" x14ac:dyDescent="0.2">
      <c r="A4971" s="1">
        <v>7306</v>
      </c>
      <c r="B4971" s="2">
        <v>42458</v>
      </c>
      <c r="C4971" s="7">
        <f>_xlfn.FLOOR.MATH(Table1[[#This Row],[year]],10)</f>
        <v>2010</v>
      </c>
      <c r="D4971" t="s">
        <v>479</v>
      </c>
      <c r="E4971" t="s">
        <v>737</v>
      </c>
      <c r="F4971">
        <v>1</v>
      </c>
      <c r="G4971">
        <v>1</v>
      </c>
      <c r="H4971" t="s">
        <v>224</v>
      </c>
      <c r="I4971" t="s">
        <v>687</v>
      </c>
      <c r="J4971" t="s">
        <v>479</v>
      </c>
      <c r="K4971" t="b">
        <v>0</v>
      </c>
      <c r="L4971">
        <v>2016</v>
      </c>
      <c r="M4971">
        <v>51147308774</v>
      </c>
      <c r="N4971">
        <v>63298361983</v>
      </c>
      <c r="O4971" t="b">
        <v>0</v>
      </c>
      <c r="P4971">
        <v>0</v>
      </c>
      <c r="Q4971" t="str" cm="1">
        <f t="array" ref="Q4971">_xlfn.IFS(Table1[[#This Row],[Wealthier_Winner]]=-1,"Wealthier Nation Loses",Table1[[#This Row],[Wealthier_Winner]]=0,"Tie",Table1[[#This Row],[Wealthier_Winner]]=1,"Wealthier Nation Wins")</f>
        <v>Tie</v>
      </c>
    </row>
    <row r="4972" spans="1:17" x14ac:dyDescent="0.2">
      <c r="A4972" s="1">
        <v>7307</v>
      </c>
      <c r="B4972" s="2">
        <v>42458</v>
      </c>
      <c r="C4972" s="7">
        <f>_xlfn.FLOOR.MATH(Table1[[#This Row],[year]],10)</f>
        <v>2010</v>
      </c>
      <c r="D4972" t="s">
        <v>567</v>
      </c>
      <c r="E4972" t="s">
        <v>777</v>
      </c>
      <c r="F4972">
        <v>4</v>
      </c>
      <c r="G4972">
        <v>2</v>
      </c>
      <c r="H4972" t="s">
        <v>224</v>
      </c>
      <c r="I4972" t="s">
        <v>620</v>
      </c>
      <c r="J4972" t="s">
        <v>567</v>
      </c>
      <c r="K4972" t="b">
        <v>0</v>
      </c>
      <c r="L4972">
        <v>2016</v>
      </c>
      <c r="M4972">
        <v>4409942623</v>
      </c>
      <c r="N4972">
        <v>2357504760</v>
      </c>
      <c r="O4972" t="b">
        <v>0</v>
      </c>
      <c r="P4972">
        <v>1</v>
      </c>
      <c r="Q4972" t="str" cm="1">
        <f t="array" ref="Q4972">_xlfn.IFS(Table1[[#This Row],[Wealthier_Winner]]=-1,"Wealthier Nation Loses",Table1[[#This Row],[Wealthier_Winner]]=0,"Tie",Table1[[#This Row],[Wealthier_Winner]]=1,"Wealthier Nation Wins")</f>
        <v>Wealthier Nation Wins</v>
      </c>
    </row>
    <row r="4973" spans="1:17" x14ac:dyDescent="0.2">
      <c r="A4973" s="1">
        <v>7308</v>
      </c>
      <c r="B4973" s="2">
        <v>42458</v>
      </c>
      <c r="C4973" s="7">
        <f>_xlfn.FLOOR.MATH(Table1[[#This Row],[year]],10)</f>
        <v>2010</v>
      </c>
      <c r="D4973" t="s">
        <v>17</v>
      </c>
      <c r="E4973" t="s">
        <v>34</v>
      </c>
      <c r="F4973">
        <v>2</v>
      </c>
      <c r="G4973">
        <v>0</v>
      </c>
      <c r="H4973" t="s">
        <v>224</v>
      </c>
      <c r="I4973" t="s">
        <v>83</v>
      </c>
      <c r="J4973" t="s">
        <v>17</v>
      </c>
      <c r="K4973" t="b">
        <v>0</v>
      </c>
      <c r="L4973">
        <v>2016</v>
      </c>
      <c r="M4973">
        <v>1112233497452</v>
      </c>
      <c r="N4973">
        <v>1527994741907</v>
      </c>
      <c r="O4973" t="b">
        <v>0</v>
      </c>
      <c r="P4973">
        <v>-1</v>
      </c>
      <c r="Q4973" t="str" cm="1">
        <f t="array" ref="Q4973">_xlfn.IFS(Table1[[#This Row],[Wealthier_Winner]]=-1,"Wealthier Nation Loses",Table1[[#This Row],[Wealthier_Winner]]=0,"Tie",Table1[[#This Row],[Wealthier_Winner]]=1,"Wealthier Nation Wins")</f>
        <v>Wealthier Nation Loses</v>
      </c>
    </row>
    <row r="4974" spans="1:17" x14ac:dyDescent="0.2">
      <c r="A4974" s="1">
        <v>7310</v>
      </c>
      <c r="B4974" s="2">
        <v>42458</v>
      </c>
      <c r="C4974" s="7">
        <f>_xlfn.FLOOR.MATH(Table1[[#This Row],[year]],10)</f>
        <v>2010</v>
      </c>
      <c r="D4974" t="s">
        <v>67</v>
      </c>
      <c r="E4974" t="s">
        <v>70</v>
      </c>
      <c r="F4974">
        <v>1</v>
      </c>
      <c r="G4974">
        <v>0</v>
      </c>
      <c r="H4974" t="s">
        <v>224</v>
      </c>
      <c r="I4974" t="s">
        <v>455</v>
      </c>
      <c r="J4974" t="s">
        <v>67</v>
      </c>
      <c r="K4974" t="b">
        <v>0</v>
      </c>
      <c r="L4974">
        <v>2016</v>
      </c>
      <c r="M4974">
        <v>59760858717</v>
      </c>
      <c r="N4974">
        <v>14069277526</v>
      </c>
      <c r="O4974" t="b">
        <v>1</v>
      </c>
      <c r="P4974">
        <v>1</v>
      </c>
      <c r="Q4974" t="str" cm="1">
        <f t="array" ref="Q4974">_xlfn.IFS(Table1[[#This Row],[Wealthier_Winner]]=-1,"Wealthier Nation Loses",Table1[[#This Row],[Wealthier_Winner]]=0,"Tie",Table1[[#This Row],[Wealthier_Winner]]=1,"Wealthier Nation Wins")</f>
        <v>Wealthier Nation Wins</v>
      </c>
    </row>
    <row r="4975" spans="1:17" x14ac:dyDescent="0.2">
      <c r="A4975" s="1">
        <v>7311</v>
      </c>
      <c r="B4975" s="2">
        <v>42458</v>
      </c>
      <c r="C4975" s="7">
        <f>_xlfn.FLOOR.MATH(Table1[[#This Row],[year]],10)</f>
        <v>2010</v>
      </c>
      <c r="D4975" t="s">
        <v>35</v>
      </c>
      <c r="E4975" t="s">
        <v>13</v>
      </c>
      <c r="F4975">
        <v>2</v>
      </c>
      <c r="G4975">
        <v>2</v>
      </c>
      <c r="H4975" t="s">
        <v>224</v>
      </c>
      <c r="I4975" t="s">
        <v>250</v>
      </c>
      <c r="J4975" t="s">
        <v>35</v>
      </c>
      <c r="K4975" t="b">
        <v>0</v>
      </c>
      <c r="L4975">
        <v>2016</v>
      </c>
      <c r="M4975">
        <v>36089700222</v>
      </c>
      <c r="N4975">
        <v>1795693265999</v>
      </c>
      <c r="O4975" t="b">
        <v>1</v>
      </c>
      <c r="P4975">
        <v>0</v>
      </c>
      <c r="Q4975" t="str" cm="1">
        <f t="array" ref="Q4975">_xlfn.IFS(Table1[[#This Row],[Wealthier_Winner]]=-1,"Wealthier Nation Loses",Table1[[#This Row],[Wealthier_Winner]]=0,"Tie",Table1[[#This Row],[Wealthier_Winner]]=1,"Wealthier Nation Wins")</f>
        <v>Tie</v>
      </c>
    </row>
    <row r="4976" spans="1:17" x14ac:dyDescent="0.2">
      <c r="A4976" s="1">
        <v>7314</v>
      </c>
      <c r="B4976" s="2">
        <v>42458</v>
      </c>
      <c r="C4976" s="7">
        <f>_xlfn.FLOOR.MATH(Table1[[#This Row],[year]],10)</f>
        <v>2010</v>
      </c>
      <c r="D4976" t="s">
        <v>39</v>
      </c>
      <c r="E4976" t="s">
        <v>45</v>
      </c>
      <c r="F4976">
        <v>1</v>
      </c>
      <c r="G4976">
        <v>1</v>
      </c>
      <c r="H4976" t="s">
        <v>224</v>
      </c>
      <c r="I4976" t="s">
        <v>576</v>
      </c>
      <c r="J4976" t="s">
        <v>39</v>
      </c>
      <c r="K4976" t="b">
        <v>0</v>
      </c>
      <c r="L4976">
        <v>2016</v>
      </c>
      <c r="M4976">
        <v>381717086453</v>
      </c>
      <c r="N4976">
        <v>689279466666</v>
      </c>
      <c r="O4976" t="b">
        <v>0</v>
      </c>
      <c r="P4976">
        <v>0</v>
      </c>
      <c r="Q4976" t="str" cm="1">
        <f t="array" ref="Q4976">_xlfn.IFS(Table1[[#This Row],[Wealthier_Winner]]=-1,"Wealthier Nation Loses",Table1[[#This Row],[Wealthier_Winner]]=0,"Tie",Table1[[#This Row],[Wealthier_Winner]]=1,"Wealthier Nation Wins")</f>
        <v>Tie</v>
      </c>
    </row>
    <row r="4977" spans="1:17" x14ac:dyDescent="0.2">
      <c r="A4977" s="1">
        <v>7315</v>
      </c>
      <c r="B4977" s="2">
        <v>42458</v>
      </c>
      <c r="C4977" s="7">
        <f>_xlfn.FLOOR.MATH(Table1[[#This Row],[year]],10)</f>
        <v>2010</v>
      </c>
      <c r="D4977" t="s">
        <v>26</v>
      </c>
      <c r="E4977" t="s">
        <v>31</v>
      </c>
      <c r="F4977">
        <v>1</v>
      </c>
      <c r="G4977">
        <v>0</v>
      </c>
      <c r="H4977" t="s">
        <v>224</v>
      </c>
      <c r="I4977" t="s">
        <v>247</v>
      </c>
      <c r="J4977" t="s">
        <v>26</v>
      </c>
      <c r="K4977" t="b">
        <v>0</v>
      </c>
      <c r="L4977">
        <v>2016</v>
      </c>
      <c r="M4977">
        <v>57480787465</v>
      </c>
      <c r="N4977">
        <v>191898104390</v>
      </c>
      <c r="O4977" t="b">
        <v>1</v>
      </c>
      <c r="P4977">
        <v>-1</v>
      </c>
      <c r="Q4977" t="str" cm="1">
        <f t="array" ref="Q4977">_xlfn.IFS(Table1[[#This Row],[Wealthier_Winner]]=-1,"Wealthier Nation Loses",Table1[[#This Row],[Wealthier_Winner]]=0,"Tie",Table1[[#This Row],[Wealthier_Winner]]=1,"Wealthier Nation Wins")</f>
        <v>Wealthier Nation Loses</v>
      </c>
    </row>
    <row r="4978" spans="1:17" x14ac:dyDescent="0.2">
      <c r="A4978" s="1">
        <v>7316</v>
      </c>
      <c r="B4978" s="2">
        <v>42458</v>
      </c>
      <c r="C4978" s="7">
        <f>_xlfn.FLOOR.MATH(Table1[[#This Row],[year]],10)</f>
        <v>2010</v>
      </c>
      <c r="D4978" t="s">
        <v>41</v>
      </c>
      <c r="E4978" t="s">
        <v>223</v>
      </c>
      <c r="F4978">
        <v>4</v>
      </c>
      <c r="G4978">
        <v>0</v>
      </c>
      <c r="H4978" t="s">
        <v>224</v>
      </c>
      <c r="I4978" t="s">
        <v>607</v>
      </c>
      <c r="J4978" t="s">
        <v>41</v>
      </c>
      <c r="K4978" t="b">
        <v>0</v>
      </c>
      <c r="L4978">
        <v>2016</v>
      </c>
      <c r="M4978">
        <v>18695110842000</v>
      </c>
      <c r="N4978">
        <v>66053408205</v>
      </c>
      <c r="O4978" t="b">
        <v>1</v>
      </c>
      <c r="P4978">
        <v>1</v>
      </c>
      <c r="Q4978" t="str" cm="1">
        <f t="array" ref="Q4978">_xlfn.IFS(Table1[[#This Row],[Wealthier_Winner]]=-1,"Wealthier Nation Loses",Table1[[#This Row],[Wealthier_Winner]]=0,"Tie",Table1[[#This Row],[Wealthier_Winner]]=1,"Wealthier Nation Wins")</f>
        <v>Wealthier Nation Wins</v>
      </c>
    </row>
    <row r="4979" spans="1:17" x14ac:dyDescent="0.2">
      <c r="A4979" s="1">
        <v>7317</v>
      </c>
      <c r="B4979" s="2">
        <v>42458</v>
      </c>
      <c r="C4979" s="7">
        <f>_xlfn.FLOOR.MATH(Table1[[#This Row],[year]],10)</f>
        <v>2010</v>
      </c>
      <c r="D4979" t="s">
        <v>563</v>
      </c>
      <c r="E4979" t="s">
        <v>361</v>
      </c>
      <c r="F4979">
        <v>1</v>
      </c>
      <c r="G4979">
        <v>0</v>
      </c>
      <c r="H4979" t="s">
        <v>224</v>
      </c>
      <c r="I4979" t="s">
        <v>564</v>
      </c>
      <c r="J4979" t="s">
        <v>563</v>
      </c>
      <c r="K4979" t="b">
        <v>0</v>
      </c>
      <c r="L4979">
        <v>2016</v>
      </c>
      <c r="M4979">
        <v>86138288644</v>
      </c>
      <c r="N4979">
        <v>33884680851</v>
      </c>
      <c r="O4979" t="b">
        <v>1</v>
      </c>
      <c r="P4979">
        <v>1</v>
      </c>
      <c r="Q4979" t="str" cm="1">
        <f t="array" ref="Q4979">_xlfn.IFS(Table1[[#This Row],[Wealthier_Winner]]=-1,"Wealthier Nation Loses",Table1[[#This Row],[Wealthier_Winner]]=0,"Tie",Table1[[#This Row],[Wealthier_Winner]]=1,"Wealthier Nation Wins")</f>
        <v>Wealthier Nation Wins</v>
      </c>
    </row>
    <row r="4980" spans="1:17" x14ac:dyDescent="0.2">
      <c r="A4980" s="1">
        <v>7318</v>
      </c>
      <c r="B4980" s="2">
        <v>42458</v>
      </c>
      <c r="C4980" s="7">
        <f>_xlfn.FLOOR.MATH(Table1[[#This Row],[year]],10)</f>
        <v>2010</v>
      </c>
      <c r="D4980" t="s">
        <v>258</v>
      </c>
      <c r="E4980" t="s">
        <v>14</v>
      </c>
      <c r="F4980">
        <v>1</v>
      </c>
      <c r="G4980">
        <v>4</v>
      </c>
      <c r="H4980" t="s">
        <v>224</v>
      </c>
      <c r="I4980" t="s">
        <v>516</v>
      </c>
      <c r="J4980" t="s">
        <v>258</v>
      </c>
      <c r="K4980" t="b">
        <v>0</v>
      </c>
      <c r="L4980">
        <v>2016</v>
      </c>
      <c r="M4980">
        <v>112915034262</v>
      </c>
      <c r="N4980">
        <v>249344863928</v>
      </c>
      <c r="O4980" t="b">
        <v>1</v>
      </c>
      <c r="P4980">
        <v>1</v>
      </c>
      <c r="Q4980" t="str" cm="1">
        <f t="array" ref="Q4980">_xlfn.IFS(Table1[[#This Row],[Wealthier_Winner]]=-1,"Wealthier Nation Loses",Table1[[#This Row],[Wealthier_Winner]]=0,"Tie",Table1[[#This Row],[Wealthier_Winner]]=1,"Wealthier Nation Wins")</f>
        <v>Wealthier Nation Wins</v>
      </c>
    </row>
    <row r="4981" spans="1:17" x14ac:dyDescent="0.2">
      <c r="A4981" s="1">
        <v>7320</v>
      </c>
      <c r="B4981" s="2">
        <v>42614</v>
      </c>
      <c r="C4981" s="7">
        <f>_xlfn.FLOOR.MATH(Table1[[#This Row],[year]],10)</f>
        <v>2010</v>
      </c>
      <c r="D4981" t="s">
        <v>19</v>
      </c>
      <c r="E4981" t="s">
        <v>26</v>
      </c>
      <c r="F4981">
        <v>1</v>
      </c>
      <c r="G4981">
        <v>0</v>
      </c>
      <c r="H4981" t="s">
        <v>224</v>
      </c>
      <c r="I4981" t="s">
        <v>96</v>
      </c>
      <c r="J4981" t="s">
        <v>19</v>
      </c>
      <c r="K4981" t="b">
        <v>0</v>
      </c>
      <c r="L4981">
        <v>2016</v>
      </c>
      <c r="M4981">
        <v>557532320662</v>
      </c>
      <c r="N4981">
        <v>57480787465</v>
      </c>
      <c r="O4981" t="b">
        <v>1</v>
      </c>
      <c r="P4981">
        <v>1</v>
      </c>
      <c r="Q4981" t="str" cm="1">
        <f t="array" ref="Q4981">_xlfn.IFS(Table1[[#This Row],[Wealthier_Winner]]=-1,"Wealthier Nation Loses",Table1[[#This Row],[Wealthier_Winner]]=0,"Tie",Table1[[#This Row],[Wealthier_Winner]]=1,"Wealthier Nation Wins")</f>
        <v>Wealthier Nation Wins</v>
      </c>
    </row>
    <row r="4982" spans="1:17" x14ac:dyDescent="0.2">
      <c r="A4982" s="1">
        <v>7321</v>
      </c>
      <c r="B4982" s="2">
        <v>42614</v>
      </c>
      <c r="C4982" s="7">
        <f>_xlfn.FLOOR.MATH(Table1[[#This Row],[year]],10)</f>
        <v>2010</v>
      </c>
      <c r="D4982" t="s">
        <v>28</v>
      </c>
      <c r="E4982" t="s">
        <v>37</v>
      </c>
      <c r="F4982">
        <v>2</v>
      </c>
      <c r="G4982">
        <v>0</v>
      </c>
      <c r="H4982" t="s">
        <v>224</v>
      </c>
      <c r="I4982" t="s">
        <v>788</v>
      </c>
      <c r="J4982" t="s">
        <v>28</v>
      </c>
      <c r="K4982" t="b">
        <v>0</v>
      </c>
      <c r="L4982">
        <v>2016</v>
      </c>
      <c r="M4982">
        <v>1211588128417</v>
      </c>
      <c r="N4982">
        <v>166743557747</v>
      </c>
      <c r="O4982" t="b">
        <v>1</v>
      </c>
      <c r="P4982">
        <v>1</v>
      </c>
      <c r="Q4982" t="str" cm="1">
        <f t="array" ref="Q4982">_xlfn.IFS(Table1[[#This Row],[Wealthier_Winner]]=-1,"Wealthier Nation Loses",Table1[[#This Row],[Wealthier_Winner]]=0,"Tie",Table1[[#This Row],[Wealthier_Winner]]=1,"Wealthier Nation Wins")</f>
        <v>Wealthier Nation Wins</v>
      </c>
    </row>
    <row r="4983" spans="1:17" x14ac:dyDescent="0.2">
      <c r="A4983" s="1">
        <v>7322</v>
      </c>
      <c r="B4983" s="2">
        <v>42614</v>
      </c>
      <c r="C4983" s="7">
        <f>_xlfn.FLOOR.MATH(Table1[[#This Row],[year]],10)</f>
        <v>2010</v>
      </c>
      <c r="D4983" t="s">
        <v>47</v>
      </c>
      <c r="E4983" t="s">
        <v>31</v>
      </c>
      <c r="F4983">
        <v>0</v>
      </c>
      <c r="G4983">
        <v>3</v>
      </c>
      <c r="H4983" t="s">
        <v>224</v>
      </c>
      <c r="I4983" t="s">
        <v>246</v>
      </c>
      <c r="J4983" t="s">
        <v>47</v>
      </c>
      <c r="K4983" t="b">
        <v>0</v>
      </c>
      <c r="L4983">
        <v>2016</v>
      </c>
      <c r="M4983">
        <v>33941126193</v>
      </c>
      <c r="N4983">
        <v>191898104390</v>
      </c>
      <c r="O4983" t="b">
        <v>1</v>
      </c>
      <c r="P4983">
        <v>1</v>
      </c>
      <c r="Q4983" t="str" cm="1">
        <f t="array" ref="Q4983">_xlfn.IFS(Table1[[#This Row],[Wealthier_Winner]]=-1,"Wealthier Nation Loses",Table1[[#This Row],[Wealthier_Winner]]=0,"Tie",Table1[[#This Row],[Wealthier_Winner]]=1,"Wealthier Nation Wins")</f>
        <v>Wealthier Nation Wins</v>
      </c>
    </row>
    <row r="4984" spans="1:17" x14ac:dyDescent="0.2">
      <c r="A4984" s="1">
        <v>7323</v>
      </c>
      <c r="B4984" s="2">
        <v>42614</v>
      </c>
      <c r="C4984" s="7">
        <f>_xlfn.FLOOR.MATH(Table1[[#This Row],[year]],10)</f>
        <v>2010</v>
      </c>
      <c r="D4984" t="s">
        <v>15</v>
      </c>
      <c r="E4984" t="s">
        <v>258</v>
      </c>
      <c r="F4984">
        <v>2</v>
      </c>
      <c r="G4984">
        <v>0</v>
      </c>
      <c r="H4984" t="s">
        <v>224</v>
      </c>
      <c r="I4984" t="s">
        <v>261</v>
      </c>
      <c r="J4984" t="s">
        <v>15</v>
      </c>
      <c r="K4984" t="b">
        <v>0</v>
      </c>
      <c r="L4984">
        <v>2016</v>
      </c>
      <c r="M4984">
        <v>282720100286</v>
      </c>
      <c r="N4984">
        <v>112915034262</v>
      </c>
      <c r="O4984" t="b">
        <v>1</v>
      </c>
      <c r="P4984">
        <v>1</v>
      </c>
      <c r="Q4984" t="str" cm="1">
        <f t="array" ref="Q4984">_xlfn.IFS(Table1[[#This Row],[Wealthier_Winner]]=-1,"Wealthier Nation Loses",Table1[[#This Row],[Wealthier_Winner]]=0,"Tie",Table1[[#This Row],[Wealthier_Winner]]=1,"Wealthier Nation Wins")</f>
        <v>Wealthier Nation Wins</v>
      </c>
    </row>
    <row r="4985" spans="1:17" x14ac:dyDescent="0.2">
      <c r="A4985" s="1">
        <v>7324</v>
      </c>
      <c r="B4985" s="2">
        <v>42614</v>
      </c>
      <c r="C4985" s="7">
        <f>_xlfn.FLOOR.MATH(Table1[[#This Row],[year]],10)</f>
        <v>2010</v>
      </c>
      <c r="D4985" t="s">
        <v>57</v>
      </c>
      <c r="E4985" t="s">
        <v>13</v>
      </c>
      <c r="F4985">
        <v>0</v>
      </c>
      <c r="G4985">
        <v>3</v>
      </c>
      <c r="H4985" t="s">
        <v>224</v>
      </c>
      <c r="I4985" t="s">
        <v>335</v>
      </c>
      <c r="J4985" t="s">
        <v>57</v>
      </c>
      <c r="K4985" t="b">
        <v>0</v>
      </c>
      <c r="L4985">
        <v>2016</v>
      </c>
      <c r="M4985">
        <v>97671433000</v>
      </c>
      <c r="N4985">
        <v>1795693265999</v>
      </c>
      <c r="O4985" t="b">
        <v>1</v>
      </c>
      <c r="P4985">
        <v>1</v>
      </c>
      <c r="Q4985" t="str" cm="1">
        <f t="array" ref="Q4985">_xlfn.IFS(Table1[[#This Row],[Wealthier_Winner]]=-1,"Wealthier Nation Loses",Table1[[#This Row],[Wealthier_Winner]]=0,"Tie",Table1[[#This Row],[Wealthier_Winner]]=1,"Wealthier Nation Wins")</f>
        <v>Wealthier Nation Wins</v>
      </c>
    </row>
    <row r="4986" spans="1:17" x14ac:dyDescent="0.2">
      <c r="A4986" s="1">
        <v>7325</v>
      </c>
      <c r="B4986" s="2">
        <v>42614</v>
      </c>
      <c r="C4986" s="7">
        <f>_xlfn.FLOOR.MATH(Table1[[#This Row],[year]],10)</f>
        <v>2010</v>
      </c>
      <c r="D4986" t="s">
        <v>210</v>
      </c>
      <c r="E4986" t="s">
        <v>68</v>
      </c>
      <c r="F4986">
        <v>2</v>
      </c>
      <c r="G4986">
        <v>0</v>
      </c>
      <c r="H4986" t="s">
        <v>224</v>
      </c>
      <c r="I4986" t="s">
        <v>332</v>
      </c>
      <c r="J4986" t="s">
        <v>210</v>
      </c>
      <c r="K4986" t="b">
        <v>0</v>
      </c>
      <c r="L4986">
        <v>2016</v>
      </c>
      <c r="M4986">
        <v>478618064870</v>
      </c>
      <c r="N4986">
        <v>151732142857</v>
      </c>
      <c r="O4986" t="b">
        <v>1</v>
      </c>
      <c r="P4986">
        <v>1</v>
      </c>
      <c r="Q4986" t="str" cm="1">
        <f t="array" ref="Q4986">_xlfn.IFS(Table1[[#This Row],[Wealthier_Winner]]=-1,"Wealthier Nation Loses",Table1[[#This Row],[Wealthier_Winner]]=0,"Tie",Table1[[#This Row],[Wealthier_Winner]]=1,"Wealthier Nation Wins")</f>
        <v>Wealthier Nation Wins</v>
      </c>
    </row>
    <row r="4987" spans="1:17" x14ac:dyDescent="0.2">
      <c r="A4987" s="1">
        <v>7326</v>
      </c>
      <c r="B4987" s="2">
        <v>42614</v>
      </c>
      <c r="C4987" s="7">
        <f>_xlfn.FLOOR.MATH(Table1[[#This Row],[year]],10)</f>
        <v>2010</v>
      </c>
      <c r="D4987" t="s">
        <v>51</v>
      </c>
      <c r="E4987" t="s">
        <v>39</v>
      </c>
      <c r="F4987">
        <v>1</v>
      </c>
      <c r="G4987">
        <v>2</v>
      </c>
      <c r="H4987" t="s">
        <v>224</v>
      </c>
      <c r="I4987" t="s">
        <v>143</v>
      </c>
      <c r="J4987" t="s">
        <v>51</v>
      </c>
      <c r="K4987" t="b">
        <v>0</v>
      </c>
      <c r="L4987">
        <v>2016</v>
      </c>
      <c r="M4987">
        <v>5003677627544</v>
      </c>
      <c r="N4987">
        <v>381717086453</v>
      </c>
      <c r="O4987" t="b">
        <v>1</v>
      </c>
      <c r="P4987">
        <v>-1</v>
      </c>
      <c r="Q4987" t="str" cm="1">
        <f t="array" ref="Q4987">_xlfn.IFS(Table1[[#This Row],[Wealthier_Winner]]=-1,"Wealthier Nation Loses",Table1[[#This Row],[Wealthier_Winner]]=0,"Tie",Table1[[#This Row],[Wealthier_Winner]]=1,"Wealthier Nation Wins")</f>
        <v>Wealthier Nation Loses</v>
      </c>
    </row>
    <row r="4988" spans="1:17" x14ac:dyDescent="0.2">
      <c r="A4988" s="1">
        <v>7328</v>
      </c>
      <c r="B4988" s="2">
        <v>42614</v>
      </c>
      <c r="C4988" s="7">
        <f>_xlfn.FLOOR.MATH(Table1[[#This Row],[year]],10)</f>
        <v>2010</v>
      </c>
      <c r="D4988" t="s">
        <v>35</v>
      </c>
      <c r="E4988" t="s">
        <v>14</v>
      </c>
      <c r="F4988">
        <v>2</v>
      </c>
      <c r="G4988">
        <v>1</v>
      </c>
      <c r="H4988" t="s">
        <v>224</v>
      </c>
      <c r="I4988" t="s">
        <v>250</v>
      </c>
      <c r="J4988" t="s">
        <v>35</v>
      </c>
      <c r="K4988" t="b">
        <v>0</v>
      </c>
      <c r="L4988">
        <v>2016</v>
      </c>
      <c r="M4988">
        <v>36089700222</v>
      </c>
      <c r="N4988">
        <v>249344863928</v>
      </c>
      <c r="O4988" t="b">
        <v>1</v>
      </c>
      <c r="P4988">
        <v>-1</v>
      </c>
      <c r="Q4988" t="str" cm="1">
        <f t="array" ref="Q4988">_xlfn.IFS(Table1[[#This Row],[Wealthier_Winner]]=-1,"Wealthier Nation Loses",Table1[[#This Row],[Wealthier_Winner]]=0,"Tie",Table1[[#This Row],[Wealthier_Winner]]=1,"Wealthier Nation Wins")</f>
        <v>Wealthier Nation Loses</v>
      </c>
    </row>
    <row r="4989" spans="1:17" x14ac:dyDescent="0.2">
      <c r="A4989" s="1">
        <v>7329</v>
      </c>
      <c r="B4989" s="2">
        <v>42614</v>
      </c>
      <c r="C4989" s="7">
        <f>_xlfn.FLOOR.MATH(Table1[[#This Row],[year]],10)</f>
        <v>2010</v>
      </c>
      <c r="D4989" t="s">
        <v>45</v>
      </c>
      <c r="E4989" t="s">
        <v>334</v>
      </c>
      <c r="F4989">
        <v>1</v>
      </c>
      <c r="G4989">
        <v>0</v>
      </c>
      <c r="H4989" t="s">
        <v>224</v>
      </c>
      <c r="I4989" t="s">
        <v>356</v>
      </c>
      <c r="J4989" t="s">
        <v>45</v>
      </c>
      <c r="K4989" t="b">
        <v>0</v>
      </c>
      <c r="L4989">
        <v>2016</v>
      </c>
      <c r="M4989">
        <v>689279466666</v>
      </c>
      <c r="N4989">
        <v>413366349747</v>
      </c>
      <c r="O4989" t="b">
        <v>0</v>
      </c>
      <c r="P4989">
        <v>1</v>
      </c>
      <c r="Q4989" t="str" cm="1">
        <f t="array" ref="Q4989">_xlfn.IFS(Table1[[#This Row],[Wealthier_Winner]]=-1,"Wealthier Nation Loses",Table1[[#This Row],[Wealthier_Winner]]=0,"Tie",Table1[[#This Row],[Wealthier_Winner]]=1,"Wealthier Nation Wins")</f>
        <v>Wealthier Nation Wins</v>
      </c>
    </row>
    <row r="4990" spans="1:17" x14ac:dyDescent="0.2">
      <c r="A4990" s="1">
        <v>7330</v>
      </c>
      <c r="B4990" s="2">
        <v>42614</v>
      </c>
      <c r="C4990" s="7">
        <f>_xlfn.FLOOR.MATH(Table1[[#This Row],[year]],10)</f>
        <v>2010</v>
      </c>
      <c r="D4990" t="s">
        <v>563</v>
      </c>
      <c r="E4990" t="s">
        <v>331</v>
      </c>
      <c r="F4990">
        <v>1</v>
      </c>
      <c r="G4990">
        <v>0</v>
      </c>
      <c r="H4990" t="s">
        <v>224</v>
      </c>
      <c r="I4990" t="s">
        <v>564</v>
      </c>
      <c r="J4990" t="s">
        <v>563</v>
      </c>
      <c r="K4990" t="b">
        <v>0</v>
      </c>
      <c r="L4990">
        <v>2016</v>
      </c>
      <c r="M4990">
        <v>86138288644</v>
      </c>
      <c r="N4990">
        <v>12597854877</v>
      </c>
      <c r="O4990" t="b">
        <v>1</v>
      </c>
      <c r="P4990">
        <v>1</v>
      </c>
      <c r="Q4990" t="str" cm="1">
        <f t="array" ref="Q4990">_xlfn.IFS(Table1[[#This Row],[Wealthier_Winner]]=-1,"Wealthier Nation Loses",Table1[[#This Row],[Wealthier_Winner]]=0,"Tie",Table1[[#This Row],[Wealthier_Winner]]=1,"Wealthier Nation Wins")</f>
        <v>Wealthier Nation Wins</v>
      </c>
    </row>
    <row r="4991" spans="1:17" x14ac:dyDescent="0.2">
      <c r="A4991" s="1">
        <v>7331</v>
      </c>
      <c r="B4991" s="2">
        <v>42615</v>
      </c>
      <c r="C4991" s="7">
        <f>_xlfn.FLOOR.MATH(Table1[[#This Row],[year]],10)</f>
        <v>2010</v>
      </c>
      <c r="D4991" t="s">
        <v>69</v>
      </c>
      <c r="E4991" t="s">
        <v>17</v>
      </c>
      <c r="F4991">
        <v>1</v>
      </c>
      <c r="G4991">
        <v>3</v>
      </c>
      <c r="H4991" t="s">
        <v>224</v>
      </c>
      <c r="I4991" t="s">
        <v>281</v>
      </c>
      <c r="J4991" t="s">
        <v>69</v>
      </c>
      <c r="K4991" t="b">
        <v>0</v>
      </c>
      <c r="L4991">
        <v>2016</v>
      </c>
      <c r="M4991">
        <v>24191430000</v>
      </c>
      <c r="N4991">
        <v>1112233497452</v>
      </c>
      <c r="O4991" t="b">
        <v>1</v>
      </c>
      <c r="P4991">
        <v>1</v>
      </c>
      <c r="Q4991" t="str" cm="1">
        <f t="array" ref="Q4991">_xlfn.IFS(Table1[[#This Row],[Wealthier_Winner]]=-1,"Wealthier Nation Loses",Table1[[#This Row],[Wealthier_Winner]]=0,"Tie",Table1[[#This Row],[Wealthier_Winner]]=1,"Wealthier Nation Wins")</f>
        <v>Wealthier Nation Wins</v>
      </c>
    </row>
    <row r="4992" spans="1:17" x14ac:dyDescent="0.2">
      <c r="A4992" s="1">
        <v>7332</v>
      </c>
      <c r="B4992" s="2">
        <v>42615</v>
      </c>
      <c r="C4992" s="7">
        <f>_xlfn.FLOOR.MATH(Table1[[#This Row],[year]],10)</f>
        <v>2010</v>
      </c>
      <c r="D4992" t="s">
        <v>70</v>
      </c>
      <c r="E4992" t="s">
        <v>56</v>
      </c>
      <c r="F4992">
        <v>0</v>
      </c>
      <c r="G4992">
        <v>1</v>
      </c>
      <c r="H4992" t="s">
        <v>224</v>
      </c>
      <c r="I4992" t="s">
        <v>280</v>
      </c>
      <c r="J4992" t="s">
        <v>70</v>
      </c>
      <c r="K4992" t="b">
        <v>0</v>
      </c>
      <c r="L4992">
        <v>2016</v>
      </c>
      <c r="M4992">
        <v>14069277526</v>
      </c>
      <c r="N4992">
        <v>58847019609</v>
      </c>
      <c r="O4992" t="b">
        <v>1</v>
      </c>
      <c r="P4992">
        <v>1</v>
      </c>
      <c r="Q4992" t="str" cm="1">
        <f t="array" ref="Q4992">_xlfn.IFS(Table1[[#This Row],[Wealthier_Winner]]=-1,"Wealthier Nation Loses",Table1[[#This Row],[Wealthier_Winner]]=0,"Tie",Table1[[#This Row],[Wealthier_Winner]]=1,"Wealthier Nation Wins")</f>
        <v>Wealthier Nation Wins</v>
      </c>
    </row>
    <row r="4993" spans="1:17" x14ac:dyDescent="0.2">
      <c r="A4993" s="1">
        <v>7333</v>
      </c>
      <c r="B4993" s="2">
        <v>42615</v>
      </c>
      <c r="C4993" s="7">
        <f>_xlfn.FLOOR.MATH(Table1[[#This Row],[year]],10)</f>
        <v>2010</v>
      </c>
      <c r="D4993" t="s">
        <v>65</v>
      </c>
      <c r="E4993" t="s">
        <v>34</v>
      </c>
      <c r="F4993">
        <v>2</v>
      </c>
      <c r="G4993">
        <v>1</v>
      </c>
      <c r="H4993" t="s">
        <v>224</v>
      </c>
      <c r="I4993" t="s">
        <v>254</v>
      </c>
      <c r="J4993" t="s">
        <v>65</v>
      </c>
      <c r="K4993" t="b">
        <v>0</v>
      </c>
      <c r="L4993">
        <v>2016</v>
      </c>
      <c r="M4993">
        <v>21717604952</v>
      </c>
      <c r="N4993">
        <v>1527994741907</v>
      </c>
      <c r="O4993" t="b">
        <v>1</v>
      </c>
      <c r="P4993">
        <v>-1</v>
      </c>
      <c r="Q4993" t="str" cm="1">
        <f t="array" ref="Q4993">_xlfn.IFS(Table1[[#This Row],[Wealthier_Winner]]=-1,"Wealthier Nation Loses",Table1[[#This Row],[Wealthier_Winner]]=0,"Tie",Table1[[#This Row],[Wealthier_Winner]]=1,"Wealthier Nation Wins")</f>
        <v>Wealthier Nation Loses</v>
      </c>
    </row>
    <row r="4994" spans="1:17" x14ac:dyDescent="0.2">
      <c r="A4994" s="1">
        <v>7334</v>
      </c>
      <c r="B4994" s="2">
        <v>42615</v>
      </c>
      <c r="C4994" s="7">
        <f>_xlfn.FLOOR.MATH(Table1[[#This Row],[year]],10)</f>
        <v>2010</v>
      </c>
      <c r="D4994" t="s">
        <v>67</v>
      </c>
      <c r="E4994" t="s">
        <v>49</v>
      </c>
      <c r="F4994">
        <v>2</v>
      </c>
      <c r="G4994">
        <v>0</v>
      </c>
      <c r="H4994" t="s">
        <v>224</v>
      </c>
      <c r="I4994" t="s">
        <v>455</v>
      </c>
      <c r="J4994" t="s">
        <v>67</v>
      </c>
      <c r="K4994" t="b">
        <v>0</v>
      </c>
      <c r="L4994">
        <v>2016</v>
      </c>
      <c r="M4994">
        <v>59760858717</v>
      </c>
      <c r="N4994">
        <v>14898999754</v>
      </c>
      <c r="O4994" t="b">
        <v>1</v>
      </c>
      <c r="P4994">
        <v>1</v>
      </c>
      <c r="Q4994" t="str" cm="1">
        <f t="array" ref="Q4994">_xlfn.IFS(Table1[[#This Row],[Wealthier_Winner]]=-1,"Wealthier Nation Loses",Table1[[#This Row],[Wealthier_Winner]]=0,"Tie",Table1[[#This Row],[Wealthier_Winner]]=1,"Wealthier Nation Wins")</f>
        <v>Wealthier Nation Wins</v>
      </c>
    </row>
    <row r="4995" spans="1:17" x14ac:dyDescent="0.2">
      <c r="A4995" s="1">
        <v>7336</v>
      </c>
      <c r="B4995" s="2">
        <v>42615</v>
      </c>
      <c r="C4995" s="7">
        <f>_xlfn.FLOOR.MATH(Table1[[#This Row],[year]],10)</f>
        <v>2010</v>
      </c>
      <c r="D4995" t="s">
        <v>59</v>
      </c>
      <c r="E4995" t="s">
        <v>223</v>
      </c>
      <c r="F4995">
        <v>2</v>
      </c>
      <c r="G4995">
        <v>2</v>
      </c>
      <c r="H4995" t="s">
        <v>224</v>
      </c>
      <c r="I4995" t="s">
        <v>253</v>
      </c>
      <c r="J4995" t="s">
        <v>59</v>
      </c>
      <c r="K4995" t="b">
        <v>0</v>
      </c>
      <c r="L4995">
        <v>2016</v>
      </c>
      <c r="M4995">
        <v>23624322192</v>
      </c>
      <c r="N4995">
        <v>66053408205</v>
      </c>
      <c r="O4995" t="b">
        <v>1</v>
      </c>
      <c r="P4995">
        <v>0</v>
      </c>
      <c r="Q4995" t="str" cm="1">
        <f t="array" ref="Q4995">_xlfn.IFS(Table1[[#This Row],[Wealthier_Winner]]=-1,"Wealthier Nation Loses",Table1[[#This Row],[Wealthier_Winner]]=0,"Tie",Table1[[#This Row],[Wealthier_Winner]]=1,"Wealthier Nation Wins")</f>
        <v>Tie</v>
      </c>
    </row>
    <row r="4996" spans="1:17" x14ac:dyDescent="0.2">
      <c r="A4996" s="1">
        <v>7338</v>
      </c>
      <c r="B4996" s="2">
        <v>42617</v>
      </c>
      <c r="C4996" s="7">
        <f>_xlfn.FLOOR.MATH(Table1[[#This Row],[year]],10)</f>
        <v>2010</v>
      </c>
      <c r="D4996" t="s">
        <v>36</v>
      </c>
      <c r="E4996" t="s">
        <v>519</v>
      </c>
      <c r="F4996">
        <v>1</v>
      </c>
      <c r="G4996">
        <v>0</v>
      </c>
      <c r="H4996" t="s">
        <v>224</v>
      </c>
      <c r="I4996" t="s">
        <v>264</v>
      </c>
      <c r="J4996" t="s">
        <v>36</v>
      </c>
      <c r="K4996" t="b">
        <v>0</v>
      </c>
      <c r="L4996">
        <v>2016</v>
      </c>
      <c r="M4996">
        <v>312181849372</v>
      </c>
      <c r="N4996">
        <v>10546136235</v>
      </c>
      <c r="O4996" t="b">
        <v>1</v>
      </c>
      <c r="P4996">
        <v>1</v>
      </c>
      <c r="Q4996" t="str" cm="1">
        <f t="array" ref="Q4996">_xlfn.IFS(Table1[[#This Row],[Wealthier_Winner]]=-1,"Wealthier Nation Loses",Table1[[#This Row],[Wealthier_Winner]]=0,"Tie",Table1[[#This Row],[Wealthier_Winner]]=1,"Wealthier Nation Wins")</f>
        <v>Wealthier Nation Wins</v>
      </c>
    </row>
    <row r="4997" spans="1:17" x14ac:dyDescent="0.2">
      <c r="A4997" s="1">
        <v>7339</v>
      </c>
      <c r="B4997" s="2">
        <v>42617</v>
      </c>
      <c r="C4997" s="7">
        <f>_xlfn.FLOOR.MATH(Table1[[#This Row],[year]],10)</f>
        <v>2010</v>
      </c>
      <c r="D4997" t="s">
        <v>558</v>
      </c>
      <c r="E4997" t="s">
        <v>58</v>
      </c>
      <c r="F4997">
        <v>2</v>
      </c>
      <c r="G4997">
        <v>2</v>
      </c>
      <c r="H4997" t="s">
        <v>224</v>
      </c>
      <c r="I4997" t="s">
        <v>733</v>
      </c>
      <c r="J4997" t="s">
        <v>558</v>
      </c>
      <c r="K4997" t="b">
        <v>0</v>
      </c>
      <c r="L4997">
        <v>2016</v>
      </c>
      <c r="M4997">
        <v>137278320084</v>
      </c>
      <c r="N4997">
        <v>473259583969</v>
      </c>
      <c r="O4997" t="b">
        <v>1</v>
      </c>
      <c r="P4997">
        <v>0</v>
      </c>
      <c r="Q4997" t="str" cm="1">
        <f t="array" ref="Q4997">_xlfn.IFS(Table1[[#This Row],[Wealthier_Winner]]=-1,"Wealthier Nation Loses",Table1[[#This Row],[Wealthier_Winner]]=0,"Tie",Table1[[#This Row],[Wealthier_Winner]]=1,"Wealthier Nation Wins")</f>
        <v>Tie</v>
      </c>
    </row>
    <row r="4998" spans="1:17" x14ac:dyDescent="0.2">
      <c r="A4998" s="1">
        <v>7340</v>
      </c>
      <c r="B4998" s="2">
        <v>42617</v>
      </c>
      <c r="C4998" s="7">
        <f>_xlfn.FLOOR.MATH(Table1[[#This Row],[year]],10)</f>
        <v>2010</v>
      </c>
      <c r="D4998" t="s">
        <v>523</v>
      </c>
      <c r="E4998" t="s">
        <v>55</v>
      </c>
      <c r="F4998">
        <v>2</v>
      </c>
      <c r="G4998">
        <v>2</v>
      </c>
      <c r="H4998" t="s">
        <v>224</v>
      </c>
      <c r="I4998" t="s">
        <v>533</v>
      </c>
      <c r="J4998" t="s">
        <v>523</v>
      </c>
      <c r="K4998" t="b">
        <v>0</v>
      </c>
      <c r="L4998">
        <v>2016</v>
      </c>
      <c r="M4998">
        <v>42970749245</v>
      </c>
      <c r="N4998">
        <v>44290685824</v>
      </c>
      <c r="O4998" t="b">
        <v>0</v>
      </c>
      <c r="P4998">
        <v>0</v>
      </c>
      <c r="Q4998" t="str" cm="1">
        <f t="array" ref="Q4998">_xlfn.IFS(Table1[[#This Row],[Wealthier_Winner]]=-1,"Wealthier Nation Loses",Table1[[#This Row],[Wealthier_Winner]]=0,"Tie",Table1[[#This Row],[Wealthier_Winner]]=1,"Wealthier Nation Wins")</f>
        <v>Tie</v>
      </c>
    </row>
    <row r="4999" spans="1:17" x14ac:dyDescent="0.2">
      <c r="A4999" s="1">
        <v>7342</v>
      </c>
      <c r="B4999" s="2">
        <v>42617</v>
      </c>
      <c r="C4999" s="7">
        <f>_xlfn.FLOOR.MATH(Table1[[#This Row],[year]],10)</f>
        <v>2010</v>
      </c>
      <c r="D4999" t="s">
        <v>42</v>
      </c>
      <c r="E4999" t="s">
        <v>16</v>
      </c>
      <c r="F4999">
        <v>0</v>
      </c>
      <c r="G4999">
        <v>3</v>
      </c>
      <c r="H4999" t="s">
        <v>224</v>
      </c>
      <c r="I4999" t="s">
        <v>262</v>
      </c>
      <c r="J4999" t="s">
        <v>42</v>
      </c>
      <c r="K4999" t="b">
        <v>0</v>
      </c>
      <c r="L4999">
        <v>2016</v>
      </c>
      <c r="M4999">
        <v>370956547619</v>
      </c>
      <c r="N4999">
        <v>3536787895179</v>
      </c>
      <c r="O4999" t="b">
        <v>1</v>
      </c>
      <c r="P4999">
        <v>1</v>
      </c>
      <c r="Q4999" t="str" cm="1">
        <f t="array" ref="Q4999">_xlfn.IFS(Table1[[#This Row],[Wealthier_Winner]]=-1,"Wealthier Nation Loses",Table1[[#This Row],[Wealthier_Winner]]=0,"Tie",Table1[[#This Row],[Wealthier_Winner]]=1,"Wealthier Nation Wins")</f>
        <v>Wealthier Nation Wins</v>
      </c>
    </row>
    <row r="5000" spans="1:17" x14ac:dyDescent="0.2">
      <c r="A5000" s="1">
        <v>7343</v>
      </c>
      <c r="B5000" s="2">
        <v>42617</v>
      </c>
      <c r="C5000" s="7">
        <f>_xlfn.FLOOR.MATH(Table1[[#This Row],[year]],10)</f>
        <v>2010</v>
      </c>
      <c r="D5000" t="s">
        <v>44</v>
      </c>
      <c r="E5000" t="s">
        <v>705</v>
      </c>
      <c r="F5000">
        <v>1</v>
      </c>
      <c r="G5000">
        <v>1</v>
      </c>
      <c r="H5000" t="s">
        <v>224</v>
      </c>
      <c r="I5000" t="s">
        <v>708</v>
      </c>
      <c r="J5000" t="s">
        <v>44</v>
      </c>
      <c r="K5000" t="b">
        <v>0</v>
      </c>
      <c r="L5000">
        <v>2016</v>
      </c>
      <c r="M5000">
        <v>185290759248</v>
      </c>
      <c r="N5000">
        <v>4357469330</v>
      </c>
      <c r="O5000" t="b">
        <v>1</v>
      </c>
      <c r="P5000">
        <v>0</v>
      </c>
      <c r="Q5000" t="str" cm="1">
        <f t="array" ref="Q5000">_xlfn.IFS(Table1[[#This Row],[Wealthier_Winner]]=-1,"Wealthier Nation Loses",Table1[[#This Row],[Wealthier_Winner]]=0,"Tie",Table1[[#This Row],[Wealthier_Winner]]=1,"Wealthier Nation Wins")</f>
        <v>Tie</v>
      </c>
    </row>
    <row r="5001" spans="1:17" x14ac:dyDescent="0.2">
      <c r="A5001" s="1">
        <v>7344</v>
      </c>
      <c r="B5001" s="2">
        <v>42617</v>
      </c>
      <c r="C5001" s="7">
        <f>_xlfn.FLOOR.MATH(Table1[[#This Row],[year]],10)</f>
        <v>2010</v>
      </c>
      <c r="D5001" t="s">
        <v>549</v>
      </c>
      <c r="E5001" t="s">
        <v>513</v>
      </c>
      <c r="F5001">
        <v>0</v>
      </c>
      <c r="G5001">
        <v>1</v>
      </c>
      <c r="H5001" t="s">
        <v>224</v>
      </c>
      <c r="I5001" t="s">
        <v>555</v>
      </c>
      <c r="J5001" t="s">
        <v>549</v>
      </c>
      <c r="K5001" t="b">
        <v>0</v>
      </c>
      <c r="L5001">
        <v>2016</v>
      </c>
      <c r="M5001">
        <v>1468343139</v>
      </c>
      <c r="N5001">
        <v>37866996882</v>
      </c>
      <c r="O5001" t="b">
        <v>1</v>
      </c>
      <c r="P5001">
        <v>1</v>
      </c>
      <c r="Q5001" t="str" cm="1">
        <f t="array" ref="Q5001">_xlfn.IFS(Table1[[#This Row],[Wealthier_Winner]]=-1,"Wealthier Nation Loses",Table1[[#This Row],[Wealthier_Winner]]=0,"Tie",Table1[[#This Row],[Wealthier_Winner]]=1,"Wealthier Nation Wins")</f>
        <v>Wealthier Nation Wins</v>
      </c>
    </row>
    <row r="5002" spans="1:17" x14ac:dyDescent="0.2">
      <c r="A5002" s="1">
        <v>7346</v>
      </c>
      <c r="B5002" s="2">
        <v>42618</v>
      </c>
      <c r="C5002" s="7">
        <f>_xlfn.FLOOR.MATH(Table1[[#This Row],[year]],10)</f>
        <v>2010</v>
      </c>
      <c r="D5002" t="s">
        <v>373</v>
      </c>
      <c r="E5002" t="s">
        <v>502</v>
      </c>
      <c r="F5002">
        <v>2</v>
      </c>
      <c r="G5002">
        <v>1</v>
      </c>
      <c r="H5002" t="s">
        <v>224</v>
      </c>
      <c r="I5002" t="s">
        <v>802</v>
      </c>
      <c r="J5002" t="s">
        <v>373</v>
      </c>
      <c r="K5002" t="b">
        <v>0</v>
      </c>
      <c r="L5002">
        <v>2016</v>
      </c>
      <c r="M5002">
        <v>11988668784</v>
      </c>
      <c r="N5002">
        <v>10672467073</v>
      </c>
      <c r="O5002" t="b">
        <v>0</v>
      </c>
      <c r="P5002">
        <v>1</v>
      </c>
      <c r="Q5002" t="str" cm="1">
        <f t="array" ref="Q5002">_xlfn.IFS(Table1[[#This Row],[Wealthier_Winner]]=-1,"Wealthier Nation Loses",Table1[[#This Row],[Wealthier_Winner]]=0,"Tie",Table1[[#This Row],[Wealthier_Winner]]=1,"Wealthier Nation Wins")</f>
        <v>Wealthier Nation Wins</v>
      </c>
    </row>
    <row r="5003" spans="1:17" x14ac:dyDescent="0.2">
      <c r="A5003" s="1">
        <v>7348</v>
      </c>
      <c r="B5003" s="2">
        <v>42618</v>
      </c>
      <c r="C5003" s="7">
        <f>_xlfn.FLOOR.MATH(Table1[[#This Row],[year]],10)</f>
        <v>2010</v>
      </c>
      <c r="D5003" t="s">
        <v>230</v>
      </c>
      <c r="E5003" t="s">
        <v>803</v>
      </c>
      <c r="F5003">
        <v>1</v>
      </c>
      <c r="G5003">
        <v>1</v>
      </c>
      <c r="H5003" t="s">
        <v>224</v>
      </c>
      <c r="I5003" t="s">
        <v>482</v>
      </c>
      <c r="J5003" t="s">
        <v>230</v>
      </c>
      <c r="K5003" t="b">
        <v>0</v>
      </c>
      <c r="L5003">
        <v>2016</v>
      </c>
      <c r="M5003">
        <v>238777818792</v>
      </c>
      <c r="N5003">
        <v>6682677289</v>
      </c>
      <c r="O5003" t="b">
        <v>1</v>
      </c>
      <c r="P5003">
        <v>0</v>
      </c>
      <c r="Q5003" t="str" cm="1">
        <f t="array" ref="Q5003">_xlfn.IFS(Table1[[#This Row],[Wealthier_Winner]]=-1,"Wealthier Nation Loses",Table1[[#This Row],[Wealthier_Winner]]=0,"Tie",Table1[[#This Row],[Wealthier_Winner]]=1,"Wealthier Nation Wins")</f>
        <v>Tie</v>
      </c>
    </row>
    <row r="5004" spans="1:17" x14ac:dyDescent="0.2">
      <c r="A5004" s="1">
        <v>7349</v>
      </c>
      <c r="B5004" s="2">
        <v>42618</v>
      </c>
      <c r="C5004" s="7">
        <f>_xlfn.FLOOR.MATH(Table1[[#This Row],[year]],10)</f>
        <v>2010</v>
      </c>
      <c r="D5004" t="s">
        <v>534</v>
      </c>
      <c r="E5004" t="s">
        <v>29</v>
      </c>
      <c r="F5004">
        <v>1</v>
      </c>
      <c r="G5004">
        <v>2</v>
      </c>
      <c r="H5004" t="s">
        <v>224</v>
      </c>
      <c r="I5004" t="s">
        <v>536</v>
      </c>
      <c r="J5004" t="s">
        <v>534</v>
      </c>
      <c r="K5004" t="b">
        <v>0</v>
      </c>
      <c r="L5004">
        <v>2016</v>
      </c>
      <c r="M5004">
        <v>15444548901</v>
      </c>
      <c r="N5004">
        <v>393687359770</v>
      </c>
      <c r="O5004" t="b">
        <v>1</v>
      </c>
      <c r="P5004">
        <v>1</v>
      </c>
      <c r="Q5004" t="str" cm="1">
        <f t="array" ref="Q5004">_xlfn.IFS(Table1[[#This Row],[Wealthier_Winner]]=-1,"Wealthier Nation Loses",Table1[[#This Row],[Wealthier_Winner]]=0,"Tie",Table1[[#This Row],[Wealthier_Winner]]=1,"Wealthier Nation Wins")</f>
        <v>Wealthier Nation Wins</v>
      </c>
    </row>
    <row r="5005" spans="1:17" x14ac:dyDescent="0.2">
      <c r="A5005" s="1">
        <v>7350</v>
      </c>
      <c r="B5005" s="2">
        <v>42618</v>
      </c>
      <c r="C5005" s="7">
        <f>_xlfn.FLOOR.MATH(Table1[[#This Row],[year]],10)</f>
        <v>2010</v>
      </c>
      <c r="D5005" t="s">
        <v>22</v>
      </c>
      <c r="E5005" t="s">
        <v>18</v>
      </c>
      <c r="F5005">
        <v>1</v>
      </c>
      <c r="G5005">
        <v>3</v>
      </c>
      <c r="H5005" t="s">
        <v>224</v>
      </c>
      <c r="I5005" t="s">
        <v>804</v>
      </c>
      <c r="J5005" t="s">
        <v>22</v>
      </c>
      <c r="K5005" t="b">
        <v>0</v>
      </c>
      <c r="L5005">
        <v>2016</v>
      </c>
      <c r="M5005">
        <v>321940971558</v>
      </c>
      <c r="N5005">
        <v>1887111188176</v>
      </c>
      <c r="O5005" t="b">
        <v>1</v>
      </c>
      <c r="P5005">
        <v>1</v>
      </c>
      <c r="Q5005" t="str" cm="1">
        <f t="array" ref="Q5005">_xlfn.IFS(Table1[[#This Row],[Wealthier_Winner]]=-1,"Wealthier Nation Loses",Table1[[#This Row],[Wealthier_Winner]]=0,"Tie",Table1[[#This Row],[Wealthier_Winner]]=1,"Wealthier Nation Wins")</f>
        <v>Wealthier Nation Wins</v>
      </c>
    </row>
    <row r="5006" spans="1:17" x14ac:dyDescent="0.2">
      <c r="A5006" s="1">
        <v>7352</v>
      </c>
      <c r="B5006" s="2">
        <v>42618</v>
      </c>
      <c r="C5006" s="7">
        <f>_xlfn.FLOOR.MATH(Table1[[#This Row],[year]],10)</f>
        <v>2010</v>
      </c>
      <c r="D5006" t="s">
        <v>21</v>
      </c>
      <c r="E5006" t="s">
        <v>503</v>
      </c>
      <c r="F5006">
        <v>8</v>
      </c>
      <c r="G5006">
        <v>0</v>
      </c>
      <c r="H5006" t="s">
        <v>224</v>
      </c>
      <c r="I5006" t="s">
        <v>302</v>
      </c>
      <c r="J5006" t="s">
        <v>21</v>
      </c>
      <c r="K5006" t="b">
        <v>0</v>
      </c>
      <c r="L5006">
        <v>2016</v>
      </c>
      <c r="M5006">
        <v>1243015667917</v>
      </c>
      <c r="N5006">
        <v>6237302033</v>
      </c>
      <c r="O5006" t="b">
        <v>1</v>
      </c>
      <c r="P5006">
        <v>1</v>
      </c>
      <c r="Q5006" t="str" cm="1">
        <f t="array" ref="Q5006">_xlfn.IFS(Table1[[#This Row],[Wealthier_Winner]]=-1,"Wealthier Nation Loses",Table1[[#This Row],[Wealthier_Winner]]=0,"Tie",Table1[[#This Row],[Wealthier_Winner]]=1,"Wealthier Nation Wins")</f>
        <v>Wealthier Nation Wins</v>
      </c>
    </row>
    <row r="5007" spans="1:17" x14ac:dyDescent="0.2">
      <c r="A5007" s="1">
        <v>7353</v>
      </c>
      <c r="B5007" s="2">
        <v>42618</v>
      </c>
      <c r="C5007" s="7">
        <f>_xlfn.FLOOR.MATH(Table1[[#This Row],[year]],10)</f>
        <v>2010</v>
      </c>
      <c r="D5007" t="s">
        <v>64</v>
      </c>
      <c r="E5007" t="s">
        <v>66</v>
      </c>
      <c r="F5007">
        <v>1</v>
      </c>
      <c r="G5007">
        <v>1</v>
      </c>
      <c r="H5007" t="s">
        <v>224</v>
      </c>
      <c r="I5007" t="s">
        <v>423</v>
      </c>
      <c r="J5007" t="s">
        <v>64</v>
      </c>
      <c r="K5007" t="b">
        <v>0</v>
      </c>
      <c r="L5007">
        <v>2016</v>
      </c>
      <c r="M5007">
        <v>93355869403</v>
      </c>
      <c r="N5007">
        <v>21083713310</v>
      </c>
      <c r="O5007" t="b">
        <v>1</v>
      </c>
      <c r="P5007">
        <v>0</v>
      </c>
      <c r="Q5007" t="str" cm="1">
        <f t="array" ref="Q5007">_xlfn.IFS(Table1[[#This Row],[Wealthier_Winner]]=-1,"Wealthier Nation Loses",Table1[[#This Row],[Wealthier_Winner]]=0,"Tie",Table1[[#This Row],[Wealthier_Winner]]=1,"Wealthier Nation Wins")</f>
        <v>Tie</v>
      </c>
    </row>
    <row r="5008" spans="1:17" x14ac:dyDescent="0.2">
      <c r="A5008" s="1">
        <v>7355</v>
      </c>
      <c r="B5008" s="2">
        <v>42619</v>
      </c>
      <c r="C5008" s="7">
        <f>_xlfn.FLOOR.MATH(Table1[[#This Row],[year]],10)</f>
        <v>2010</v>
      </c>
      <c r="D5008" t="s">
        <v>601</v>
      </c>
      <c r="E5008" t="s">
        <v>525</v>
      </c>
      <c r="F5008">
        <v>0</v>
      </c>
      <c r="G5008">
        <v>1</v>
      </c>
      <c r="H5008" t="s">
        <v>224</v>
      </c>
      <c r="I5008" t="s">
        <v>602</v>
      </c>
      <c r="J5008" t="s">
        <v>601</v>
      </c>
      <c r="K5008" t="b">
        <v>0</v>
      </c>
      <c r="L5008">
        <v>2016</v>
      </c>
      <c r="M5008">
        <v>2896611878</v>
      </c>
      <c r="N5008">
        <v>27117105059</v>
      </c>
      <c r="O5008" t="b">
        <v>1</v>
      </c>
      <c r="P5008">
        <v>1</v>
      </c>
      <c r="Q5008" t="str" cm="1">
        <f t="array" ref="Q5008">_xlfn.IFS(Table1[[#This Row],[Wealthier_Winner]]=-1,"Wealthier Nation Loses",Table1[[#This Row],[Wealthier_Winner]]=0,"Tie",Table1[[#This Row],[Wealthier_Winner]]=1,"Wealthier Nation Wins")</f>
        <v>Wealthier Nation Wins</v>
      </c>
    </row>
    <row r="5009" spans="1:17" x14ac:dyDescent="0.2">
      <c r="A5009" s="1">
        <v>7356</v>
      </c>
      <c r="B5009" s="2">
        <v>42619</v>
      </c>
      <c r="C5009" s="7">
        <f>_xlfn.FLOOR.MATH(Table1[[#This Row],[year]],10)</f>
        <v>2010</v>
      </c>
      <c r="D5009" t="s">
        <v>510</v>
      </c>
      <c r="E5009" t="s">
        <v>20</v>
      </c>
      <c r="F5009">
        <v>0</v>
      </c>
      <c r="G5009">
        <v>0</v>
      </c>
      <c r="H5009" t="s">
        <v>224</v>
      </c>
      <c r="I5009" t="s">
        <v>805</v>
      </c>
      <c r="J5009" t="s">
        <v>510</v>
      </c>
      <c r="K5009" t="b">
        <v>0</v>
      </c>
      <c r="L5009">
        <v>2016</v>
      </c>
      <c r="M5009">
        <v>47723545321</v>
      </c>
      <c r="N5009">
        <v>2470407619777</v>
      </c>
      <c r="O5009" t="b">
        <v>1</v>
      </c>
      <c r="P5009">
        <v>0</v>
      </c>
      <c r="Q5009" t="str" cm="1">
        <f t="array" ref="Q5009">_xlfn.IFS(Table1[[#This Row],[Wealthier_Winner]]=-1,"Wealthier Nation Loses",Table1[[#This Row],[Wealthier_Winner]]=0,"Tie",Table1[[#This Row],[Wealthier_Winner]]=1,"Wealthier Nation Wins")</f>
        <v>Tie</v>
      </c>
    </row>
    <row r="5010" spans="1:17" x14ac:dyDescent="0.2">
      <c r="A5010" s="1">
        <v>7357</v>
      </c>
      <c r="B5010" s="2">
        <v>42619</v>
      </c>
      <c r="C5010" s="7">
        <f>_xlfn.FLOOR.MATH(Table1[[#This Row],[year]],10)</f>
        <v>2010</v>
      </c>
      <c r="D5010" t="s">
        <v>73</v>
      </c>
      <c r="E5010" t="s">
        <v>476</v>
      </c>
      <c r="F5010">
        <v>5</v>
      </c>
      <c r="G5010">
        <v>0</v>
      </c>
      <c r="H5010" t="s">
        <v>224</v>
      </c>
      <c r="I5010" t="s">
        <v>636</v>
      </c>
      <c r="J5010" t="s">
        <v>73</v>
      </c>
      <c r="K5010" t="b">
        <v>0</v>
      </c>
      <c r="L5010">
        <v>2016</v>
      </c>
      <c r="M5010">
        <v>17116926553</v>
      </c>
      <c r="N5010">
        <v>24561027787</v>
      </c>
      <c r="O5010" t="b">
        <v>0</v>
      </c>
      <c r="P5010">
        <v>-1</v>
      </c>
      <c r="Q5010" t="str" cm="1">
        <f t="array" ref="Q5010">_xlfn.IFS(Table1[[#This Row],[Wealthier_Winner]]=-1,"Wealthier Nation Loses",Table1[[#This Row],[Wealthier_Winner]]=0,"Tie",Table1[[#This Row],[Wealthier_Winner]]=1,"Wealthier Nation Wins")</f>
        <v>Wealthier Nation Loses</v>
      </c>
    </row>
    <row r="5011" spans="1:17" x14ac:dyDescent="0.2">
      <c r="A5011" s="1">
        <v>7358</v>
      </c>
      <c r="B5011" s="2">
        <v>42619</v>
      </c>
      <c r="C5011" s="7">
        <f>_xlfn.FLOOR.MATH(Table1[[#This Row],[year]],10)</f>
        <v>2010</v>
      </c>
      <c r="D5011" t="s">
        <v>13</v>
      </c>
      <c r="E5011" t="s">
        <v>15</v>
      </c>
      <c r="F5011">
        <v>2</v>
      </c>
      <c r="G5011">
        <v>1</v>
      </c>
      <c r="H5011" t="s">
        <v>224</v>
      </c>
      <c r="I5011" t="s">
        <v>176</v>
      </c>
      <c r="J5011" t="s">
        <v>13</v>
      </c>
      <c r="K5011" t="b">
        <v>0</v>
      </c>
      <c r="L5011">
        <v>2016</v>
      </c>
      <c r="M5011">
        <v>1795693265999</v>
      </c>
      <c r="N5011">
        <v>282720100286</v>
      </c>
      <c r="O5011" t="b">
        <v>1</v>
      </c>
      <c r="P5011">
        <v>1</v>
      </c>
      <c r="Q5011" t="str" cm="1">
        <f t="array" ref="Q5011">_xlfn.IFS(Table1[[#This Row],[Wealthier_Winner]]=-1,"Wealthier Nation Loses",Table1[[#This Row],[Wealthier_Winner]]=0,"Tie",Table1[[#This Row],[Wealthier_Winner]]=1,"Wealthier Nation Wins")</f>
        <v>Wealthier Nation Wins</v>
      </c>
    </row>
    <row r="5012" spans="1:17" x14ac:dyDescent="0.2">
      <c r="A5012" s="1">
        <v>7359</v>
      </c>
      <c r="B5012" s="2">
        <v>42619</v>
      </c>
      <c r="C5012" s="7">
        <f>_xlfn.FLOOR.MATH(Table1[[#This Row],[year]],10)</f>
        <v>2010</v>
      </c>
      <c r="D5012" t="s">
        <v>33</v>
      </c>
      <c r="E5012" t="s">
        <v>232</v>
      </c>
      <c r="F5012">
        <v>4</v>
      </c>
      <c r="G5012">
        <v>3</v>
      </c>
      <c r="H5012" t="s">
        <v>224</v>
      </c>
      <c r="I5012" t="s">
        <v>375</v>
      </c>
      <c r="J5012" t="s">
        <v>33</v>
      </c>
      <c r="K5012" t="b">
        <v>0</v>
      </c>
      <c r="L5012">
        <v>2016</v>
      </c>
      <c r="M5012">
        <v>53929397039</v>
      </c>
      <c r="N5012">
        <v>62216885435</v>
      </c>
      <c r="O5012" t="b">
        <v>0</v>
      </c>
      <c r="P5012">
        <v>-1</v>
      </c>
      <c r="Q5012" t="str" cm="1">
        <f t="array" ref="Q5012">_xlfn.IFS(Table1[[#This Row],[Wealthier_Winner]]=-1,"Wealthier Nation Loses",Table1[[#This Row],[Wealthier_Winner]]=0,"Tie",Table1[[#This Row],[Wealthier_Winner]]=1,"Wealthier Nation Wins")</f>
        <v>Wealthier Nation Loses</v>
      </c>
    </row>
    <row r="5013" spans="1:17" x14ac:dyDescent="0.2">
      <c r="A5013" s="1">
        <v>7360</v>
      </c>
      <c r="B5013" s="2">
        <v>42619</v>
      </c>
      <c r="C5013" s="7">
        <f>_xlfn.FLOOR.MATH(Table1[[#This Row],[year]],10)</f>
        <v>2010</v>
      </c>
      <c r="D5013" t="s">
        <v>34</v>
      </c>
      <c r="E5013" t="s">
        <v>69</v>
      </c>
      <c r="F5013">
        <v>3</v>
      </c>
      <c r="G5013">
        <v>1</v>
      </c>
      <c r="H5013" t="s">
        <v>224</v>
      </c>
      <c r="I5013" t="s">
        <v>798</v>
      </c>
      <c r="J5013" t="s">
        <v>34</v>
      </c>
      <c r="K5013" t="b">
        <v>0</v>
      </c>
      <c r="L5013">
        <v>2016</v>
      </c>
      <c r="M5013">
        <v>1527994741907</v>
      </c>
      <c r="N5013">
        <v>24191430000</v>
      </c>
      <c r="O5013" t="b">
        <v>1</v>
      </c>
      <c r="P5013">
        <v>1</v>
      </c>
      <c r="Q5013" t="str" cm="1">
        <f t="array" ref="Q5013">_xlfn.IFS(Table1[[#This Row],[Wealthier_Winner]]=-1,"Wealthier Nation Loses",Table1[[#This Row],[Wealthier_Winner]]=0,"Tie",Table1[[#This Row],[Wealthier_Winner]]=1,"Wealthier Nation Wins")</f>
        <v>Wealthier Nation Wins</v>
      </c>
    </row>
    <row r="5014" spans="1:17" x14ac:dyDescent="0.2">
      <c r="A5014" s="1">
        <v>7361</v>
      </c>
      <c r="B5014" s="2">
        <v>42619</v>
      </c>
      <c r="C5014" s="7">
        <f>_xlfn.FLOOR.MATH(Table1[[#This Row],[year]],10)</f>
        <v>2010</v>
      </c>
      <c r="D5014" t="s">
        <v>14</v>
      </c>
      <c r="E5014" t="s">
        <v>47</v>
      </c>
      <c r="F5014">
        <v>3</v>
      </c>
      <c r="G5014">
        <v>0</v>
      </c>
      <c r="H5014" t="s">
        <v>224</v>
      </c>
      <c r="I5014" t="s">
        <v>75</v>
      </c>
      <c r="J5014" t="s">
        <v>14</v>
      </c>
      <c r="K5014" t="b">
        <v>0</v>
      </c>
      <c r="L5014">
        <v>2016</v>
      </c>
      <c r="M5014">
        <v>249344863928</v>
      </c>
      <c r="N5014">
        <v>33941126193</v>
      </c>
      <c r="O5014" t="b">
        <v>1</v>
      </c>
      <c r="P5014">
        <v>1</v>
      </c>
      <c r="Q5014" t="str" cm="1">
        <f t="array" ref="Q5014">_xlfn.IFS(Table1[[#This Row],[Wealthier_Winner]]=-1,"Wealthier Nation Loses",Table1[[#This Row],[Wealthier_Winner]]=0,"Tie",Table1[[#This Row],[Wealthier_Winner]]=1,"Wealthier Nation Wins")</f>
        <v>Wealthier Nation Wins</v>
      </c>
    </row>
    <row r="5015" spans="1:17" x14ac:dyDescent="0.2">
      <c r="A5015" s="1">
        <v>7363</v>
      </c>
      <c r="B5015" s="2">
        <v>42619</v>
      </c>
      <c r="C5015" s="7">
        <f>_xlfn.FLOOR.MATH(Table1[[#This Row],[year]],10)</f>
        <v>2010</v>
      </c>
      <c r="D5015" t="s">
        <v>56</v>
      </c>
      <c r="E5015" t="s">
        <v>67</v>
      </c>
      <c r="F5015">
        <v>3</v>
      </c>
      <c r="G5015">
        <v>1</v>
      </c>
      <c r="H5015" t="s">
        <v>224</v>
      </c>
      <c r="I5015" t="s">
        <v>225</v>
      </c>
      <c r="J5015" t="s">
        <v>56</v>
      </c>
      <c r="K5015" t="b">
        <v>0</v>
      </c>
      <c r="L5015">
        <v>2016</v>
      </c>
      <c r="M5015">
        <v>58847019609</v>
      </c>
      <c r="N5015">
        <v>59760858717</v>
      </c>
      <c r="O5015" t="b">
        <v>0</v>
      </c>
      <c r="P5015">
        <v>-1</v>
      </c>
      <c r="Q5015" t="str" cm="1">
        <f t="array" ref="Q5015">_xlfn.IFS(Table1[[#This Row],[Wealthier_Winner]]=-1,"Wealthier Nation Loses",Table1[[#This Row],[Wealthier_Winner]]=0,"Tie",Table1[[#This Row],[Wealthier_Winner]]=1,"Wealthier Nation Wins")</f>
        <v>Wealthier Nation Loses</v>
      </c>
    </row>
    <row r="5016" spans="1:17" x14ac:dyDescent="0.2">
      <c r="A5016" s="1">
        <v>7364</v>
      </c>
      <c r="B5016" s="2">
        <v>42619</v>
      </c>
      <c r="C5016" s="7">
        <f>_xlfn.FLOOR.MATH(Table1[[#This Row],[year]],10)</f>
        <v>2010</v>
      </c>
      <c r="D5016" t="s">
        <v>351</v>
      </c>
      <c r="E5016" t="s">
        <v>23</v>
      </c>
      <c r="F5016">
        <v>0</v>
      </c>
      <c r="G5016">
        <v>3</v>
      </c>
      <c r="H5016" t="s">
        <v>224</v>
      </c>
      <c r="I5016" t="s">
        <v>381</v>
      </c>
      <c r="J5016" t="s">
        <v>351</v>
      </c>
      <c r="K5016" t="b">
        <v>0</v>
      </c>
      <c r="L5016">
        <v>2016</v>
      </c>
      <c r="M5016">
        <v>21046462280</v>
      </c>
      <c r="N5016">
        <v>474271566739</v>
      </c>
      <c r="O5016" t="b">
        <v>1</v>
      </c>
      <c r="P5016">
        <v>1</v>
      </c>
      <c r="Q5016" t="str" cm="1">
        <f t="array" ref="Q5016">_xlfn.IFS(Table1[[#This Row],[Wealthier_Winner]]=-1,"Wealthier Nation Loses",Table1[[#This Row],[Wealthier_Winner]]=0,"Tie",Table1[[#This Row],[Wealthier_Winner]]=1,"Wealthier Nation Wins")</f>
        <v>Wealthier Nation Wins</v>
      </c>
    </row>
    <row r="5017" spans="1:17" x14ac:dyDescent="0.2">
      <c r="A5017" s="1">
        <v>7365</v>
      </c>
      <c r="B5017" s="2">
        <v>42619</v>
      </c>
      <c r="C5017" s="7">
        <f>_xlfn.FLOOR.MATH(Table1[[#This Row],[year]],10)</f>
        <v>2010</v>
      </c>
      <c r="D5017" t="s">
        <v>447</v>
      </c>
      <c r="E5017" t="s">
        <v>30</v>
      </c>
      <c r="F5017">
        <v>0</v>
      </c>
      <c r="G5017">
        <v>0</v>
      </c>
      <c r="H5017" t="s">
        <v>224</v>
      </c>
      <c r="I5017" t="s">
        <v>631</v>
      </c>
      <c r="J5017" t="s">
        <v>447</v>
      </c>
      <c r="K5017" t="b">
        <v>0</v>
      </c>
      <c r="L5017">
        <v>2016</v>
      </c>
      <c r="M5017">
        <v>2813278868</v>
      </c>
      <c r="N5017">
        <v>128983560865</v>
      </c>
      <c r="O5017" t="b">
        <v>1</v>
      </c>
      <c r="P5017">
        <v>0</v>
      </c>
      <c r="Q5017" t="str" cm="1">
        <f t="array" ref="Q5017">_xlfn.IFS(Table1[[#This Row],[Wealthier_Winner]]=-1,"Wealthier Nation Loses",Table1[[#This Row],[Wealthier_Winner]]=0,"Tie",Table1[[#This Row],[Wealthier_Winner]]=1,"Wealthier Nation Wins")</f>
        <v>Tie</v>
      </c>
    </row>
    <row r="5018" spans="1:17" x14ac:dyDescent="0.2">
      <c r="A5018" s="1">
        <v>7367</v>
      </c>
      <c r="B5018" s="2">
        <v>42619</v>
      </c>
      <c r="C5018" s="7">
        <f>_xlfn.FLOOR.MATH(Table1[[#This Row],[year]],10)</f>
        <v>2010</v>
      </c>
      <c r="D5018" t="s">
        <v>37</v>
      </c>
      <c r="E5018" t="s">
        <v>45</v>
      </c>
      <c r="F5018">
        <v>1</v>
      </c>
      <c r="G5018">
        <v>2</v>
      </c>
      <c r="H5018" t="s">
        <v>224</v>
      </c>
      <c r="I5018" t="s">
        <v>689</v>
      </c>
      <c r="J5018" t="s">
        <v>333</v>
      </c>
      <c r="K5018" t="b">
        <v>1</v>
      </c>
      <c r="L5018">
        <v>2016</v>
      </c>
      <c r="M5018">
        <v>166743557747</v>
      </c>
      <c r="N5018">
        <v>689279466666</v>
      </c>
      <c r="O5018" t="b">
        <v>1</v>
      </c>
      <c r="P5018">
        <v>1</v>
      </c>
      <c r="Q5018" t="str" cm="1">
        <f t="array" ref="Q5018">_xlfn.IFS(Table1[[#This Row],[Wealthier_Winner]]=-1,"Wealthier Nation Loses",Table1[[#This Row],[Wealthier_Winner]]=0,"Tie",Table1[[#This Row],[Wealthier_Winner]]=1,"Wealthier Nation Wins")</f>
        <v>Wealthier Nation Wins</v>
      </c>
    </row>
    <row r="5019" spans="1:17" x14ac:dyDescent="0.2">
      <c r="A5019" s="1">
        <v>7368</v>
      </c>
      <c r="B5019" s="2">
        <v>42619</v>
      </c>
      <c r="C5019" s="7">
        <f>_xlfn.FLOOR.MATH(Table1[[#This Row],[year]],10)</f>
        <v>2010</v>
      </c>
      <c r="D5019" t="s">
        <v>49</v>
      </c>
      <c r="E5019" t="s">
        <v>70</v>
      </c>
      <c r="F5019">
        <v>0</v>
      </c>
      <c r="G5019">
        <v>2</v>
      </c>
      <c r="H5019" t="s">
        <v>224</v>
      </c>
      <c r="I5019" t="s">
        <v>257</v>
      </c>
      <c r="J5019" t="s">
        <v>49</v>
      </c>
      <c r="K5019" t="b">
        <v>0</v>
      </c>
      <c r="L5019">
        <v>2016</v>
      </c>
      <c r="M5019">
        <v>14898999754</v>
      </c>
      <c r="N5019">
        <v>14069277526</v>
      </c>
      <c r="O5019" t="b">
        <v>0</v>
      </c>
      <c r="P5019">
        <v>-1</v>
      </c>
      <c r="Q5019" t="str" cm="1">
        <f t="array" ref="Q5019">_xlfn.IFS(Table1[[#This Row],[Wealthier_Winner]]=-1,"Wealthier Nation Loses",Table1[[#This Row],[Wealthier_Winner]]=0,"Tie",Table1[[#This Row],[Wealthier_Winner]]=1,"Wealthier Nation Wins")</f>
        <v>Wealthier Nation Loses</v>
      </c>
    </row>
    <row r="5020" spans="1:17" x14ac:dyDescent="0.2">
      <c r="A5020" s="1">
        <v>7369</v>
      </c>
      <c r="B5020" s="2">
        <v>42619</v>
      </c>
      <c r="C5020" s="7">
        <f>_xlfn.FLOOR.MATH(Table1[[#This Row],[year]],10)</f>
        <v>2010</v>
      </c>
      <c r="D5020" t="s">
        <v>17</v>
      </c>
      <c r="E5020" t="s">
        <v>65</v>
      </c>
      <c r="F5020">
        <v>0</v>
      </c>
      <c r="G5020">
        <v>0</v>
      </c>
      <c r="H5020" t="s">
        <v>224</v>
      </c>
      <c r="I5020" t="s">
        <v>83</v>
      </c>
      <c r="J5020" t="s">
        <v>17</v>
      </c>
      <c r="K5020" t="b">
        <v>0</v>
      </c>
      <c r="L5020">
        <v>2016</v>
      </c>
      <c r="M5020">
        <v>1112233497452</v>
      </c>
      <c r="N5020">
        <v>21717604952</v>
      </c>
      <c r="O5020" t="b">
        <v>1</v>
      </c>
      <c r="P5020">
        <v>0</v>
      </c>
      <c r="Q5020" t="str" cm="1">
        <f t="array" ref="Q5020">_xlfn.IFS(Table1[[#This Row],[Wealthier_Winner]]=-1,"Wealthier Nation Loses",Table1[[#This Row],[Wealthier_Winner]]=0,"Tie",Table1[[#This Row],[Wealthier_Winner]]=1,"Wealthier Nation Wins")</f>
        <v>Tie</v>
      </c>
    </row>
    <row r="5021" spans="1:17" x14ac:dyDescent="0.2">
      <c r="A5021" s="1">
        <v>7370</v>
      </c>
      <c r="B5021" s="2">
        <v>42619</v>
      </c>
      <c r="C5021" s="7">
        <f>_xlfn.FLOOR.MATH(Table1[[#This Row],[year]],10)</f>
        <v>2010</v>
      </c>
      <c r="D5021" t="s">
        <v>31</v>
      </c>
      <c r="E5021" t="s">
        <v>57</v>
      </c>
      <c r="F5021">
        <v>2</v>
      </c>
      <c r="G5021">
        <v>1</v>
      </c>
      <c r="H5021" t="s">
        <v>224</v>
      </c>
      <c r="I5021" t="s">
        <v>242</v>
      </c>
      <c r="J5021" t="s">
        <v>31</v>
      </c>
      <c r="K5021" t="b">
        <v>0</v>
      </c>
      <c r="L5021">
        <v>2016</v>
      </c>
      <c r="M5021">
        <v>191898104390</v>
      </c>
      <c r="N5021">
        <v>97671433000</v>
      </c>
      <c r="O5021" t="b">
        <v>0</v>
      </c>
      <c r="P5021">
        <v>1</v>
      </c>
      <c r="Q5021" t="str" cm="1">
        <f t="array" ref="Q5021">_xlfn.IFS(Table1[[#This Row],[Wealthier_Winner]]=-1,"Wealthier Nation Loses",Table1[[#This Row],[Wealthier_Winner]]=0,"Tie",Table1[[#This Row],[Wealthier_Winner]]=1,"Wealthier Nation Wins")</f>
        <v>Wealthier Nation Wins</v>
      </c>
    </row>
    <row r="5022" spans="1:17" x14ac:dyDescent="0.2">
      <c r="A5022" s="1">
        <v>7371</v>
      </c>
      <c r="B5022" s="2">
        <v>42619</v>
      </c>
      <c r="C5022" s="7">
        <f>_xlfn.FLOOR.MATH(Table1[[#This Row],[year]],10)</f>
        <v>2010</v>
      </c>
      <c r="D5022" t="s">
        <v>68</v>
      </c>
      <c r="E5022" t="s">
        <v>563</v>
      </c>
      <c r="F5022">
        <v>0</v>
      </c>
      <c r="G5022">
        <v>1</v>
      </c>
      <c r="H5022" t="s">
        <v>224</v>
      </c>
      <c r="I5022" t="s">
        <v>190</v>
      </c>
      <c r="J5022" t="s">
        <v>68</v>
      </c>
      <c r="K5022" t="b">
        <v>0</v>
      </c>
      <c r="L5022">
        <v>2016</v>
      </c>
      <c r="M5022">
        <v>151732142857</v>
      </c>
      <c r="N5022">
        <v>86138288644</v>
      </c>
      <c r="O5022" t="b">
        <v>0</v>
      </c>
      <c r="P5022">
        <v>-1</v>
      </c>
      <c r="Q5022" t="str" cm="1">
        <f t="array" ref="Q5022">_xlfn.IFS(Table1[[#This Row],[Wealthier_Winner]]=-1,"Wealthier Nation Loses",Table1[[#This Row],[Wealthier_Winner]]=0,"Tie",Table1[[#This Row],[Wealthier_Winner]]=1,"Wealthier Nation Wins")</f>
        <v>Wealthier Nation Loses</v>
      </c>
    </row>
    <row r="5023" spans="1:17" x14ac:dyDescent="0.2">
      <c r="A5023" s="1">
        <v>7372</v>
      </c>
      <c r="B5023" s="2">
        <v>42619</v>
      </c>
      <c r="C5023" s="7">
        <f>_xlfn.FLOOR.MATH(Table1[[#This Row],[year]],10)</f>
        <v>2010</v>
      </c>
      <c r="D5023" t="s">
        <v>25</v>
      </c>
      <c r="E5023" t="s">
        <v>27</v>
      </c>
      <c r="F5023">
        <v>1</v>
      </c>
      <c r="G5023">
        <v>1</v>
      </c>
      <c r="H5023" t="s">
        <v>224</v>
      </c>
      <c r="I5023" t="s">
        <v>233</v>
      </c>
      <c r="J5023" t="s">
        <v>25</v>
      </c>
      <c r="K5023" t="b">
        <v>0</v>
      </c>
      <c r="L5023">
        <v>2016</v>
      </c>
      <c r="M5023">
        <v>513058312950</v>
      </c>
      <c r="N5023">
        <v>797163949289</v>
      </c>
      <c r="O5023" t="b">
        <v>0</v>
      </c>
      <c r="P5023">
        <v>0</v>
      </c>
      <c r="Q5023" t="str" cm="1">
        <f t="array" ref="Q5023">_xlfn.IFS(Table1[[#This Row],[Wealthier_Winner]]=-1,"Wealthier Nation Loses",Table1[[#This Row],[Wealthier_Winner]]=0,"Tie",Table1[[#This Row],[Wealthier_Winner]]=1,"Wealthier Nation Wins")</f>
        <v>Tie</v>
      </c>
    </row>
    <row r="5024" spans="1:17" x14ac:dyDescent="0.2">
      <c r="A5024" s="1">
        <v>7373</v>
      </c>
      <c r="B5024" s="2">
        <v>42619</v>
      </c>
      <c r="C5024" s="7">
        <f>_xlfn.FLOOR.MATH(Table1[[#This Row],[year]],10)</f>
        <v>2010</v>
      </c>
      <c r="D5024" t="s">
        <v>46</v>
      </c>
      <c r="E5024" t="s">
        <v>38</v>
      </c>
      <c r="F5024">
        <v>2</v>
      </c>
      <c r="G5024">
        <v>0</v>
      </c>
      <c r="H5024" t="s">
        <v>224</v>
      </c>
      <c r="I5024" t="s">
        <v>269</v>
      </c>
      <c r="J5024" t="s">
        <v>46</v>
      </c>
      <c r="K5024" t="b">
        <v>0</v>
      </c>
      <c r="L5024">
        <v>2016</v>
      </c>
      <c r="M5024">
        <v>687895460902</v>
      </c>
      <c r="N5024">
        <v>206305431241</v>
      </c>
      <c r="O5024" t="b">
        <v>1</v>
      </c>
      <c r="P5024">
        <v>1</v>
      </c>
      <c r="Q5024" t="str" cm="1">
        <f t="array" ref="Q5024">_xlfn.IFS(Table1[[#This Row],[Wealthier_Winner]]=-1,"Wealthier Nation Loses",Table1[[#This Row],[Wealthier_Winner]]=0,"Tie",Table1[[#This Row],[Wealthier_Winner]]=1,"Wealthier Nation Wins")</f>
        <v>Wealthier Nation Wins</v>
      </c>
    </row>
    <row r="5025" spans="1:17" x14ac:dyDescent="0.2">
      <c r="A5025" s="1">
        <v>7374</v>
      </c>
      <c r="B5025" s="2">
        <v>42619</v>
      </c>
      <c r="C5025" s="7">
        <f>_xlfn.FLOOR.MATH(Table1[[#This Row],[year]],10)</f>
        <v>2010</v>
      </c>
      <c r="D5025" t="s">
        <v>331</v>
      </c>
      <c r="E5025" t="s">
        <v>195</v>
      </c>
      <c r="F5025">
        <v>0</v>
      </c>
      <c r="G5025">
        <v>0</v>
      </c>
      <c r="H5025" t="s">
        <v>224</v>
      </c>
      <c r="I5025" t="s">
        <v>806</v>
      </c>
      <c r="J5025" t="s">
        <v>333</v>
      </c>
      <c r="K5025" t="b">
        <v>1</v>
      </c>
      <c r="L5025">
        <v>2016</v>
      </c>
      <c r="M5025">
        <v>12597854877</v>
      </c>
      <c r="N5025">
        <v>1579150518945</v>
      </c>
      <c r="O5025" t="b">
        <v>1</v>
      </c>
      <c r="P5025">
        <v>0</v>
      </c>
      <c r="Q5025" t="str" cm="1">
        <f t="array" ref="Q5025">_xlfn.IFS(Table1[[#This Row],[Wealthier_Winner]]=-1,"Wealthier Nation Loses",Table1[[#This Row],[Wealthier_Winner]]=0,"Tie",Table1[[#This Row],[Wealthier_Winner]]=1,"Wealthier Nation Wins")</f>
        <v>Tie</v>
      </c>
    </row>
    <row r="5026" spans="1:17" x14ac:dyDescent="0.2">
      <c r="A5026" s="1">
        <v>7375</v>
      </c>
      <c r="B5026" s="2">
        <v>42619</v>
      </c>
      <c r="C5026" s="7">
        <f>_xlfn.FLOOR.MATH(Table1[[#This Row],[year]],10)</f>
        <v>2010</v>
      </c>
      <c r="D5026" t="s">
        <v>334</v>
      </c>
      <c r="E5026" t="s">
        <v>51</v>
      </c>
      <c r="F5026">
        <v>0</v>
      </c>
      <c r="G5026">
        <v>2</v>
      </c>
      <c r="H5026" t="s">
        <v>224</v>
      </c>
      <c r="I5026" t="s">
        <v>407</v>
      </c>
      <c r="J5026" t="s">
        <v>334</v>
      </c>
      <c r="K5026" t="b">
        <v>0</v>
      </c>
      <c r="L5026">
        <v>2016</v>
      </c>
      <c r="M5026">
        <v>413366349747</v>
      </c>
      <c r="N5026">
        <v>5003677627544</v>
      </c>
      <c r="O5026" t="b">
        <v>1</v>
      </c>
      <c r="P5026">
        <v>1</v>
      </c>
      <c r="Q5026" t="str" cm="1">
        <f t="array" ref="Q5026">_xlfn.IFS(Table1[[#This Row],[Wealthier_Winner]]=-1,"Wealthier Nation Loses",Table1[[#This Row],[Wealthier_Winner]]=0,"Tie",Table1[[#This Row],[Wealthier_Winner]]=1,"Wealthier Nation Wins")</f>
        <v>Wealthier Nation Wins</v>
      </c>
    </row>
    <row r="5027" spans="1:17" x14ac:dyDescent="0.2">
      <c r="A5027" s="1">
        <v>7376</v>
      </c>
      <c r="B5027" s="2">
        <v>42619</v>
      </c>
      <c r="C5027" s="7">
        <f>_xlfn.FLOOR.MATH(Table1[[#This Row],[year]],10)</f>
        <v>2010</v>
      </c>
      <c r="D5027" t="s">
        <v>39</v>
      </c>
      <c r="E5027" t="s">
        <v>28</v>
      </c>
      <c r="F5027">
        <v>0</v>
      </c>
      <c r="G5027">
        <v>1</v>
      </c>
      <c r="H5027" t="s">
        <v>224</v>
      </c>
      <c r="I5027" t="s">
        <v>576</v>
      </c>
      <c r="J5027" t="s">
        <v>39</v>
      </c>
      <c r="K5027" t="b">
        <v>0</v>
      </c>
      <c r="L5027">
        <v>2016</v>
      </c>
      <c r="M5027">
        <v>381717086453</v>
      </c>
      <c r="N5027">
        <v>1211588128417</v>
      </c>
      <c r="O5027" t="b">
        <v>1</v>
      </c>
      <c r="P5027">
        <v>1</v>
      </c>
      <c r="Q5027" t="str" cm="1">
        <f t="array" ref="Q5027">_xlfn.IFS(Table1[[#This Row],[Wealthier_Winner]]=-1,"Wealthier Nation Loses",Table1[[#This Row],[Wealthier_Winner]]=0,"Tie",Table1[[#This Row],[Wealthier_Winner]]=1,"Wealthier Nation Wins")</f>
        <v>Wealthier Nation Wins</v>
      </c>
    </row>
    <row r="5028" spans="1:17" x14ac:dyDescent="0.2">
      <c r="A5028" s="1">
        <v>7377</v>
      </c>
      <c r="B5028" s="2">
        <v>42619</v>
      </c>
      <c r="C5028" s="7">
        <f>_xlfn.FLOOR.MATH(Table1[[#This Row],[year]],10)</f>
        <v>2010</v>
      </c>
      <c r="D5028" t="s">
        <v>26</v>
      </c>
      <c r="E5028" t="s">
        <v>35</v>
      </c>
      <c r="F5028">
        <v>4</v>
      </c>
      <c r="G5028">
        <v>0</v>
      </c>
      <c r="H5028" t="s">
        <v>224</v>
      </c>
      <c r="I5028" t="s">
        <v>247</v>
      </c>
      <c r="J5028" t="s">
        <v>26</v>
      </c>
      <c r="K5028" t="b">
        <v>0</v>
      </c>
      <c r="L5028">
        <v>2016</v>
      </c>
      <c r="M5028">
        <v>57480787465</v>
      </c>
      <c r="N5028">
        <v>36089700222</v>
      </c>
      <c r="O5028" t="b">
        <v>0</v>
      </c>
      <c r="P5028">
        <v>1</v>
      </c>
      <c r="Q5028" t="str" cm="1">
        <f t="array" ref="Q5028">_xlfn.IFS(Table1[[#This Row],[Wealthier_Winner]]=-1,"Wealthier Nation Loses",Table1[[#This Row],[Wealthier_Winner]]=0,"Tie",Table1[[#This Row],[Wealthier_Winner]]=1,"Wealthier Nation Wins")</f>
        <v>Wealthier Nation Wins</v>
      </c>
    </row>
    <row r="5029" spans="1:17" x14ac:dyDescent="0.2">
      <c r="A5029" s="1">
        <v>7378</v>
      </c>
      <c r="B5029" s="2">
        <v>42619</v>
      </c>
      <c r="C5029" s="7">
        <f>_xlfn.FLOOR.MATH(Table1[[#This Row],[year]],10)</f>
        <v>2010</v>
      </c>
      <c r="D5029" t="s">
        <v>41</v>
      </c>
      <c r="E5029" t="s">
        <v>59</v>
      </c>
      <c r="F5029">
        <v>4</v>
      </c>
      <c r="G5029">
        <v>0</v>
      </c>
      <c r="H5029" t="s">
        <v>224</v>
      </c>
      <c r="I5029" t="s">
        <v>807</v>
      </c>
      <c r="J5029" t="s">
        <v>41</v>
      </c>
      <c r="K5029" t="b">
        <v>0</v>
      </c>
      <c r="L5029">
        <v>2016</v>
      </c>
      <c r="M5029">
        <v>18695110842000</v>
      </c>
      <c r="N5029">
        <v>23624322192</v>
      </c>
      <c r="O5029" t="b">
        <v>1</v>
      </c>
      <c r="P5029">
        <v>1</v>
      </c>
      <c r="Q5029" t="str" cm="1">
        <f t="array" ref="Q5029">_xlfn.IFS(Table1[[#This Row],[Wealthier_Winner]]=-1,"Wealthier Nation Loses",Table1[[#This Row],[Wealthier_Winner]]=0,"Tie",Table1[[#This Row],[Wealthier_Winner]]=1,"Wealthier Nation Wins")</f>
        <v>Wealthier Nation Wins</v>
      </c>
    </row>
    <row r="5030" spans="1:17" x14ac:dyDescent="0.2">
      <c r="A5030" s="1">
        <v>7379</v>
      </c>
      <c r="B5030" s="2">
        <v>42619</v>
      </c>
      <c r="C5030" s="7">
        <f>_xlfn.FLOOR.MATH(Table1[[#This Row],[year]],10)</f>
        <v>2010</v>
      </c>
      <c r="D5030" t="s">
        <v>258</v>
      </c>
      <c r="E5030" t="s">
        <v>19</v>
      </c>
      <c r="F5030">
        <v>2</v>
      </c>
      <c r="G5030">
        <v>2</v>
      </c>
      <c r="H5030" t="s">
        <v>224</v>
      </c>
      <c r="I5030" t="s">
        <v>545</v>
      </c>
      <c r="J5030" t="s">
        <v>258</v>
      </c>
      <c r="K5030" t="b">
        <v>0</v>
      </c>
      <c r="L5030">
        <v>2016</v>
      </c>
      <c r="M5030">
        <v>112915034262</v>
      </c>
      <c r="N5030">
        <v>557532320662</v>
      </c>
      <c r="O5030" t="b">
        <v>1</v>
      </c>
      <c r="P5030">
        <v>0</v>
      </c>
      <c r="Q5030" t="str" cm="1">
        <f t="array" ref="Q5030">_xlfn.IFS(Table1[[#This Row],[Wealthier_Winner]]=-1,"Wealthier Nation Loses",Table1[[#This Row],[Wealthier_Winner]]=0,"Tie",Table1[[#This Row],[Wealthier_Winner]]=1,"Wealthier Nation Wins")</f>
        <v>Tie</v>
      </c>
    </row>
    <row r="5031" spans="1:17" x14ac:dyDescent="0.2">
      <c r="A5031" s="1">
        <v>7382</v>
      </c>
      <c r="B5031" s="2">
        <v>42649</v>
      </c>
      <c r="C5031" s="7">
        <f>_xlfn.FLOOR.MATH(Table1[[#This Row],[year]],10)</f>
        <v>2010</v>
      </c>
      <c r="D5031" t="s">
        <v>13</v>
      </c>
      <c r="E5031" t="s">
        <v>47</v>
      </c>
      <c r="F5031">
        <v>5</v>
      </c>
      <c r="G5031">
        <v>0</v>
      </c>
      <c r="H5031" t="s">
        <v>224</v>
      </c>
      <c r="I5031" t="s">
        <v>169</v>
      </c>
      <c r="J5031" t="s">
        <v>13</v>
      </c>
      <c r="K5031" t="b">
        <v>0</v>
      </c>
      <c r="L5031">
        <v>2016</v>
      </c>
      <c r="M5031">
        <v>1795693265999</v>
      </c>
      <c r="N5031">
        <v>33941126193</v>
      </c>
      <c r="O5031" t="b">
        <v>1</v>
      </c>
      <c r="P5031">
        <v>1</v>
      </c>
      <c r="Q5031" t="str" cm="1">
        <f t="array" ref="Q5031">_xlfn.IFS(Table1[[#This Row],[Wealthier_Winner]]=-1,"Wealthier Nation Loses",Table1[[#This Row],[Wealthier_Winner]]=0,"Tie",Table1[[#This Row],[Wealthier_Winner]]=1,"Wealthier Nation Wins")</f>
        <v>Wealthier Nation Wins</v>
      </c>
    </row>
    <row r="5032" spans="1:17" x14ac:dyDescent="0.2">
      <c r="A5032" s="1">
        <v>7384</v>
      </c>
      <c r="B5032" s="2">
        <v>42649</v>
      </c>
      <c r="C5032" s="7">
        <f>_xlfn.FLOOR.MATH(Table1[[#This Row],[year]],10)</f>
        <v>2010</v>
      </c>
      <c r="D5032" t="s">
        <v>57</v>
      </c>
      <c r="E5032" t="s">
        <v>14</v>
      </c>
      <c r="F5032">
        <v>3</v>
      </c>
      <c r="G5032">
        <v>0</v>
      </c>
      <c r="H5032" t="s">
        <v>224</v>
      </c>
      <c r="I5032" t="s">
        <v>335</v>
      </c>
      <c r="J5032" t="s">
        <v>57</v>
      </c>
      <c r="K5032" t="b">
        <v>0</v>
      </c>
      <c r="L5032">
        <v>2016</v>
      </c>
      <c r="M5032">
        <v>97671433000</v>
      </c>
      <c r="N5032">
        <v>249344863928</v>
      </c>
      <c r="O5032" t="b">
        <v>1</v>
      </c>
      <c r="P5032">
        <v>-1</v>
      </c>
      <c r="Q5032" t="str" cm="1">
        <f t="array" ref="Q5032">_xlfn.IFS(Table1[[#This Row],[Wealthier_Winner]]=-1,"Wealthier Nation Loses",Table1[[#This Row],[Wealthier_Winner]]=0,"Tie",Table1[[#This Row],[Wealthier_Winner]]=1,"Wealthier Nation Wins")</f>
        <v>Wealthier Nation Loses</v>
      </c>
    </row>
    <row r="5033" spans="1:17" x14ac:dyDescent="0.2">
      <c r="A5033" s="1">
        <v>7385</v>
      </c>
      <c r="B5033" s="2">
        <v>42649</v>
      </c>
      <c r="C5033" s="7">
        <f>_xlfn.FLOOR.MATH(Table1[[#This Row],[year]],10)</f>
        <v>2010</v>
      </c>
      <c r="D5033" t="s">
        <v>66</v>
      </c>
      <c r="E5033" t="s">
        <v>230</v>
      </c>
      <c r="F5033">
        <v>3</v>
      </c>
      <c r="G5033">
        <v>2</v>
      </c>
      <c r="H5033" t="s">
        <v>224</v>
      </c>
      <c r="I5033" t="s">
        <v>336</v>
      </c>
      <c r="J5033" t="s">
        <v>66</v>
      </c>
      <c r="K5033" t="b">
        <v>0</v>
      </c>
      <c r="L5033">
        <v>2016</v>
      </c>
      <c r="M5033">
        <v>21083713310</v>
      </c>
      <c r="N5033">
        <v>238777818792</v>
      </c>
      <c r="O5033" t="b">
        <v>1</v>
      </c>
      <c r="P5033">
        <v>-1</v>
      </c>
      <c r="Q5033" t="str" cm="1">
        <f t="array" ref="Q5033">_xlfn.IFS(Table1[[#This Row],[Wealthier_Winner]]=-1,"Wealthier Nation Loses",Table1[[#This Row],[Wealthier_Winner]]=0,"Tie",Table1[[#This Row],[Wealthier_Winner]]=1,"Wealthier Nation Wins")</f>
        <v>Wealthier Nation Loses</v>
      </c>
    </row>
    <row r="5034" spans="1:17" x14ac:dyDescent="0.2">
      <c r="A5034" s="1">
        <v>7387</v>
      </c>
      <c r="B5034" s="2">
        <v>42649</v>
      </c>
      <c r="C5034" s="7">
        <f>_xlfn.FLOOR.MATH(Table1[[#This Row],[year]],10)</f>
        <v>2010</v>
      </c>
      <c r="D5034" t="s">
        <v>18</v>
      </c>
      <c r="E5034" t="s">
        <v>21</v>
      </c>
      <c r="F5034">
        <v>1</v>
      </c>
      <c r="G5034">
        <v>1</v>
      </c>
      <c r="H5034" t="s">
        <v>224</v>
      </c>
      <c r="I5034" t="s">
        <v>111</v>
      </c>
      <c r="J5034" t="s">
        <v>18</v>
      </c>
      <c r="K5034" t="b">
        <v>0</v>
      </c>
      <c r="L5034">
        <v>2016</v>
      </c>
      <c r="M5034">
        <v>1887111188176</v>
      </c>
      <c r="N5034">
        <v>1243015667917</v>
      </c>
      <c r="O5034" t="b">
        <v>0</v>
      </c>
      <c r="P5034">
        <v>0</v>
      </c>
      <c r="Q5034" t="str" cm="1">
        <f t="array" ref="Q5034">_xlfn.IFS(Table1[[#This Row],[Wealthier_Winner]]=-1,"Wealthier Nation Loses",Table1[[#This Row],[Wealthier_Winner]]=0,"Tie",Table1[[#This Row],[Wealthier_Winner]]=1,"Wealthier Nation Wins")</f>
        <v>Tie</v>
      </c>
    </row>
    <row r="5035" spans="1:17" x14ac:dyDescent="0.2">
      <c r="A5035" s="1">
        <v>7388</v>
      </c>
      <c r="B5035" s="2">
        <v>42649</v>
      </c>
      <c r="C5035" s="7">
        <f>_xlfn.FLOOR.MATH(Table1[[#This Row],[year]],10)</f>
        <v>2010</v>
      </c>
      <c r="D5035" t="s">
        <v>51</v>
      </c>
      <c r="E5035" t="s">
        <v>37</v>
      </c>
      <c r="F5035">
        <v>2</v>
      </c>
      <c r="G5035">
        <v>1</v>
      </c>
      <c r="H5035" t="s">
        <v>224</v>
      </c>
      <c r="I5035" t="s">
        <v>143</v>
      </c>
      <c r="J5035" t="s">
        <v>51</v>
      </c>
      <c r="K5035" t="b">
        <v>0</v>
      </c>
      <c r="L5035">
        <v>2016</v>
      </c>
      <c r="M5035">
        <v>5003677627544</v>
      </c>
      <c r="N5035">
        <v>166743557747</v>
      </c>
      <c r="O5035" t="b">
        <v>1</v>
      </c>
      <c r="P5035">
        <v>1</v>
      </c>
      <c r="Q5035" t="str" cm="1">
        <f t="array" ref="Q5035">_xlfn.IFS(Table1[[#This Row],[Wealthier_Winner]]=-1,"Wealthier Nation Loses",Table1[[#This Row],[Wealthier_Winner]]=0,"Tie",Table1[[#This Row],[Wealthier_Winner]]=1,"Wealthier Nation Wins")</f>
        <v>Wealthier Nation Wins</v>
      </c>
    </row>
    <row r="5036" spans="1:17" x14ac:dyDescent="0.2">
      <c r="A5036" s="1">
        <v>7389</v>
      </c>
      <c r="B5036" s="2">
        <v>42649</v>
      </c>
      <c r="C5036" s="7">
        <f>_xlfn.FLOOR.MATH(Table1[[#This Row],[year]],10)</f>
        <v>2010</v>
      </c>
      <c r="D5036" t="s">
        <v>195</v>
      </c>
      <c r="E5036" t="s">
        <v>68</v>
      </c>
      <c r="F5036">
        <v>3</v>
      </c>
      <c r="G5036">
        <v>2</v>
      </c>
      <c r="H5036" t="s">
        <v>224</v>
      </c>
      <c r="I5036" t="s">
        <v>144</v>
      </c>
      <c r="J5036" t="s">
        <v>195</v>
      </c>
      <c r="K5036" t="b">
        <v>0</v>
      </c>
      <c r="L5036">
        <v>2016</v>
      </c>
      <c r="M5036">
        <v>1579150518945</v>
      </c>
      <c r="N5036">
        <v>151732142857</v>
      </c>
      <c r="O5036" t="b">
        <v>1</v>
      </c>
      <c r="P5036">
        <v>1</v>
      </c>
      <c r="Q5036" t="str" cm="1">
        <f t="array" ref="Q5036">_xlfn.IFS(Table1[[#This Row],[Wealthier_Winner]]=-1,"Wealthier Nation Loses",Table1[[#This Row],[Wealthier_Winner]]=0,"Tie",Table1[[#This Row],[Wealthier_Winner]]=1,"Wealthier Nation Wins")</f>
        <v>Wealthier Nation Wins</v>
      </c>
    </row>
    <row r="5037" spans="1:17" x14ac:dyDescent="0.2">
      <c r="A5037" s="1">
        <v>7390</v>
      </c>
      <c r="B5037" s="2">
        <v>42649</v>
      </c>
      <c r="C5037" s="7">
        <f>_xlfn.FLOOR.MATH(Table1[[#This Row],[year]],10)</f>
        <v>2010</v>
      </c>
      <c r="D5037" t="s">
        <v>803</v>
      </c>
      <c r="E5037" t="s">
        <v>52</v>
      </c>
      <c r="F5037">
        <v>0</v>
      </c>
      <c r="G5037">
        <v>6</v>
      </c>
      <c r="H5037" t="s">
        <v>224</v>
      </c>
      <c r="I5037" t="s">
        <v>802</v>
      </c>
      <c r="J5037" t="s">
        <v>373</v>
      </c>
      <c r="K5037" t="b">
        <v>1</v>
      </c>
      <c r="L5037">
        <v>2016</v>
      </c>
      <c r="M5037">
        <v>6682677289</v>
      </c>
      <c r="N5037">
        <v>52650714171</v>
      </c>
      <c r="O5037" t="b">
        <v>1</v>
      </c>
      <c r="P5037">
        <v>1</v>
      </c>
      <c r="Q5037" t="str" cm="1">
        <f t="array" ref="Q5037">_xlfn.IFS(Table1[[#This Row],[Wealthier_Winner]]=-1,"Wealthier Nation Loses",Table1[[#This Row],[Wealthier_Winner]]=0,"Tie",Table1[[#This Row],[Wealthier_Winner]]=1,"Wealthier Nation Wins")</f>
        <v>Wealthier Nation Wins</v>
      </c>
    </row>
    <row r="5038" spans="1:17" x14ac:dyDescent="0.2">
      <c r="A5038" s="1">
        <v>7391</v>
      </c>
      <c r="B5038" s="2">
        <v>42649</v>
      </c>
      <c r="C5038" s="7">
        <f>_xlfn.FLOOR.MATH(Table1[[#This Row],[year]],10)</f>
        <v>2010</v>
      </c>
      <c r="D5038" t="s">
        <v>503</v>
      </c>
      <c r="E5038" t="s">
        <v>373</v>
      </c>
      <c r="F5038">
        <v>0</v>
      </c>
      <c r="G5038">
        <v>2</v>
      </c>
      <c r="H5038" t="s">
        <v>224</v>
      </c>
      <c r="I5038" t="s">
        <v>603</v>
      </c>
      <c r="J5038" t="s">
        <v>503</v>
      </c>
      <c r="K5038" t="b">
        <v>0</v>
      </c>
      <c r="L5038">
        <v>2016</v>
      </c>
      <c r="M5038">
        <v>6237302033</v>
      </c>
      <c r="N5038">
        <v>11988668784</v>
      </c>
      <c r="O5038" t="b">
        <v>0</v>
      </c>
      <c r="P5038">
        <v>1</v>
      </c>
      <c r="Q5038" t="str" cm="1">
        <f t="array" ref="Q5038">_xlfn.IFS(Table1[[#This Row],[Wealthier_Winner]]=-1,"Wealthier Nation Loses",Table1[[#This Row],[Wealthier_Winner]]=0,"Tie",Table1[[#This Row],[Wealthier_Winner]]=1,"Wealthier Nation Wins")</f>
        <v>Wealthier Nation Wins</v>
      </c>
    </row>
    <row r="5039" spans="1:17" x14ac:dyDescent="0.2">
      <c r="A5039" s="1">
        <v>7392</v>
      </c>
      <c r="B5039" s="2">
        <v>42649</v>
      </c>
      <c r="C5039" s="7">
        <f>_xlfn.FLOOR.MATH(Table1[[#This Row],[year]],10)</f>
        <v>2010</v>
      </c>
      <c r="D5039" t="s">
        <v>502</v>
      </c>
      <c r="E5039" t="s">
        <v>22</v>
      </c>
      <c r="F5039">
        <v>1</v>
      </c>
      <c r="G5039">
        <v>2</v>
      </c>
      <c r="H5039" t="s">
        <v>224</v>
      </c>
      <c r="I5039" t="s">
        <v>504</v>
      </c>
      <c r="J5039" t="s">
        <v>502</v>
      </c>
      <c r="K5039" t="b">
        <v>0</v>
      </c>
      <c r="L5039">
        <v>2016</v>
      </c>
      <c r="M5039">
        <v>10672467073</v>
      </c>
      <c r="N5039">
        <v>321940971558</v>
      </c>
      <c r="O5039" t="b">
        <v>1</v>
      </c>
      <c r="P5039">
        <v>1</v>
      </c>
      <c r="Q5039" t="str" cm="1">
        <f t="array" ref="Q5039">_xlfn.IFS(Table1[[#This Row],[Wealthier_Winner]]=-1,"Wealthier Nation Loses",Table1[[#This Row],[Wealthier_Winner]]=0,"Tie",Table1[[#This Row],[Wealthier_Winner]]=1,"Wealthier Nation Wins")</f>
        <v>Wealthier Nation Wins</v>
      </c>
    </row>
    <row r="5040" spans="1:17" x14ac:dyDescent="0.2">
      <c r="A5040" s="1">
        <v>7393</v>
      </c>
      <c r="B5040" s="2">
        <v>42649</v>
      </c>
      <c r="C5040" s="7">
        <f>_xlfn.FLOOR.MATH(Table1[[#This Row],[year]],10)</f>
        <v>2010</v>
      </c>
      <c r="D5040" t="s">
        <v>527</v>
      </c>
      <c r="E5040" t="s">
        <v>61</v>
      </c>
      <c r="F5040">
        <v>0</v>
      </c>
      <c r="G5040">
        <v>3</v>
      </c>
      <c r="H5040" t="s">
        <v>224</v>
      </c>
      <c r="I5040" t="s">
        <v>528</v>
      </c>
      <c r="J5040" t="s">
        <v>527</v>
      </c>
      <c r="K5040" t="b">
        <v>0</v>
      </c>
      <c r="L5040">
        <v>2016</v>
      </c>
      <c r="M5040">
        <v>7980917075</v>
      </c>
      <c r="N5040">
        <v>42225495909</v>
      </c>
      <c r="O5040" t="b">
        <v>1</v>
      </c>
      <c r="P5040">
        <v>1</v>
      </c>
      <c r="Q5040" t="str" cm="1">
        <f t="array" ref="Q5040">_xlfn.IFS(Table1[[#This Row],[Wealthier_Winner]]=-1,"Wealthier Nation Loses",Table1[[#This Row],[Wealthier_Winner]]=0,"Tie",Table1[[#This Row],[Wealthier_Winner]]=1,"Wealthier Nation Wins")</f>
        <v>Wealthier Nation Wins</v>
      </c>
    </row>
    <row r="5041" spans="1:17" x14ac:dyDescent="0.2">
      <c r="A5041" s="1">
        <v>7394</v>
      </c>
      <c r="B5041" s="2">
        <v>42649</v>
      </c>
      <c r="C5041" s="7">
        <f>_xlfn.FLOOR.MATH(Table1[[#This Row],[year]],10)</f>
        <v>2010</v>
      </c>
      <c r="D5041" t="s">
        <v>35</v>
      </c>
      <c r="E5041" t="s">
        <v>15</v>
      </c>
      <c r="F5041">
        <v>0</v>
      </c>
      <c r="G5041">
        <v>1</v>
      </c>
      <c r="H5041" t="s">
        <v>224</v>
      </c>
      <c r="I5041" t="s">
        <v>250</v>
      </c>
      <c r="J5041" t="s">
        <v>35</v>
      </c>
      <c r="K5041" t="b">
        <v>0</v>
      </c>
      <c r="L5041">
        <v>2016</v>
      </c>
      <c r="M5041">
        <v>36089700222</v>
      </c>
      <c r="N5041">
        <v>282720100286</v>
      </c>
      <c r="O5041" t="b">
        <v>1</v>
      </c>
      <c r="P5041">
        <v>1</v>
      </c>
      <c r="Q5041" t="str" cm="1">
        <f t="array" ref="Q5041">_xlfn.IFS(Table1[[#This Row],[Wealthier_Winner]]=-1,"Wealthier Nation Loses",Table1[[#This Row],[Wealthier_Winner]]=0,"Tie",Table1[[#This Row],[Wealthier_Winner]]=1,"Wealthier Nation Wins")</f>
        <v>Wealthier Nation Wins</v>
      </c>
    </row>
    <row r="5042" spans="1:17" x14ac:dyDescent="0.2">
      <c r="A5042" s="1">
        <v>7395</v>
      </c>
      <c r="B5042" s="2">
        <v>42649</v>
      </c>
      <c r="C5042" s="7">
        <f>_xlfn.FLOOR.MATH(Table1[[#This Row],[year]],10)</f>
        <v>2010</v>
      </c>
      <c r="D5042" t="s">
        <v>31</v>
      </c>
      <c r="E5042" t="s">
        <v>19</v>
      </c>
      <c r="F5042">
        <v>2</v>
      </c>
      <c r="G5042">
        <v>2</v>
      </c>
      <c r="H5042" t="s">
        <v>224</v>
      </c>
      <c r="I5042" t="s">
        <v>242</v>
      </c>
      <c r="J5042" t="s">
        <v>31</v>
      </c>
      <c r="K5042" t="b">
        <v>0</v>
      </c>
      <c r="L5042">
        <v>2016</v>
      </c>
      <c r="M5042">
        <v>191898104390</v>
      </c>
      <c r="N5042">
        <v>557532320662</v>
      </c>
      <c r="O5042" t="b">
        <v>1</v>
      </c>
      <c r="P5042">
        <v>0</v>
      </c>
      <c r="Q5042" t="str" cm="1">
        <f t="array" ref="Q5042">_xlfn.IFS(Table1[[#This Row],[Wealthier_Winner]]=-1,"Wealthier Nation Loses",Table1[[#This Row],[Wealthier_Winner]]=0,"Tie",Table1[[#This Row],[Wealthier_Winner]]=1,"Wealthier Nation Wins")</f>
        <v>Tie</v>
      </c>
    </row>
    <row r="5043" spans="1:17" x14ac:dyDescent="0.2">
      <c r="A5043" s="1">
        <v>7396</v>
      </c>
      <c r="B5043" s="2">
        <v>42649</v>
      </c>
      <c r="C5043" s="7">
        <f>_xlfn.FLOOR.MATH(Table1[[#This Row],[year]],10)</f>
        <v>2010</v>
      </c>
      <c r="D5043" t="s">
        <v>45</v>
      </c>
      <c r="E5043" t="s">
        <v>28</v>
      </c>
      <c r="F5043">
        <v>2</v>
      </c>
      <c r="G5043">
        <v>2</v>
      </c>
      <c r="H5043" t="s">
        <v>224</v>
      </c>
      <c r="I5043" t="s">
        <v>354</v>
      </c>
      <c r="J5043" t="s">
        <v>45</v>
      </c>
      <c r="K5043" t="b">
        <v>0</v>
      </c>
      <c r="L5043">
        <v>2016</v>
      </c>
      <c r="M5043">
        <v>689279466666</v>
      </c>
      <c r="N5043">
        <v>1211588128417</v>
      </c>
      <c r="O5043" t="b">
        <v>0</v>
      </c>
      <c r="P5043">
        <v>0</v>
      </c>
      <c r="Q5043" t="str" cm="1">
        <f t="array" ref="Q5043">_xlfn.IFS(Table1[[#This Row],[Wealthier_Winner]]=-1,"Wealthier Nation Loses",Table1[[#This Row],[Wealthier_Winner]]=0,"Tie",Table1[[#This Row],[Wealthier_Winner]]=1,"Wealthier Nation Wins")</f>
        <v>Tie</v>
      </c>
    </row>
    <row r="5044" spans="1:17" x14ac:dyDescent="0.2">
      <c r="A5044" s="1">
        <v>7398</v>
      </c>
      <c r="B5044" s="2">
        <v>42649</v>
      </c>
      <c r="C5044" s="7">
        <f>_xlfn.FLOOR.MATH(Table1[[#This Row],[year]],10)</f>
        <v>2010</v>
      </c>
      <c r="D5044" t="s">
        <v>39</v>
      </c>
      <c r="E5044" t="s">
        <v>334</v>
      </c>
      <c r="F5044">
        <v>3</v>
      </c>
      <c r="G5044">
        <v>1</v>
      </c>
      <c r="H5044" t="s">
        <v>224</v>
      </c>
      <c r="I5044" t="s">
        <v>576</v>
      </c>
      <c r="J5044" t="s">
        <v>39</v>
      </c>
      <c r="K5044" t="b">
        <v>0</v>
      </c>
      <c r="L5044">
        <v>2016</v>
      </c>
      <c r="M5044">
        <v>381717086453</v>
      </c>
      <c r="N5044">
        <v>413366349747</v>
      </c>
      <c r="O5044" t="b">
        <v>0</v>
      </c>
      <c r="P5044">
        <v>-1</v>
      </c>
      <c r="Q5044" t="str" cm="1">
        <f t="array" ref="Q5044">_xlfn.IFS(Table1[[#This Row],[Wealthier_Winner]]=-1,"Wealthier Nation Loses",Table1[[#This Row],[Wealthier_Winner]]=0,"Tie",Table1[[#This Row],[Wealthier_Winner]]=1,"Wealthier Nation Wins")</f>
        <v>Wealthier Nation Loses</v>
      </c>
    </row>
    <row r="5045" spans="1:17" x14ac:dyDescent="0.2">
      <c r="A5045" s="1">
        <v>7399</v>
      </c>
      <c r="B5045" s="2">
        <v>42649</v>
      </c>
      <c r="C5045" s="7">
        <f>_xlfn.FLOOR.MATH(Table1[[#This Row],[year]],10)</f>
        <v>2010</v>
      </c>
      <c r="D5045" t="s">
        <v>26</v>
      </c>
      <c r="E5045" t="s">
        <v>258</v>
      </c>
      <c r="F5045">
        <v>3</v>
      </c>
      <c r="G5045">
        <v>0</v>
      </c>
      <c r="H5045" t="s">
        <v>224</v>
      </c>
      <c r="I5045" t="s">
        <v>247</v>
      </c>
      <c r="J5045" t="s">
        <v>26</v>
      </c>
      <c r="K5045" t="b">
        <v>0</v>
      </c>
      <c r="L5045">
        <v>2016</v>
      </c>
      <c r="M5045">
        <v>57480787465</v>
      </c>
      <c r="N5045">
        <v>112915034262</v>
      </c>
      <c r="O5045" t="b">
        <v>0</v>
      </c>
      <c r="P5045">
        <v>-1</v>
      </c>
      <c r="Q5045" t="str" cm="1">
        <f t="array" ref="Q5045">_xlfn.IFS(Table1[[#This Row],[Wealthier_Winner]]=-1,"Wealthier Nation Loses",Table1[[#This Row],[Wealthier_Winner]]=0,"Tie",Table1[[#This Row],[Wealthier_Winner]]=1,"Wealthier Nation Wins")</f>
        <v>Wealthier Nation Loses</v>
      </c>
    </row>
    <row r="5046" spans="1:17" x14ac:dyDescent="0.2">
      <c r="A5046" s="1">
        <v>7400</v>
      </c>
      <c r="B5046" s="2">
        <v>42649</v>
      </c>
      <c r="C5046" s="7">
        <f>_xlfn.FLOOR.MATH(Table1[[#This Row],[year]],10)</f>
        <v>2010</v>
      </c>
      <c r="D5046" t="s">
        <v>563</v>
      </c>
      <c r="E5046" t="s">
        <v>210</v>
      </c>
      <c r="F5046">
        <v>0</v>
      </c>
      <c r="G5046">
        <v>1</v>
      </c>
      <c r="H5046" t="s">
        <v>224</v>
      </c>
      <c r="I5046" t="s">
        <v>564</v>
      </c>
      <c r="J5046" t="s">
        <v>563</v>
      </c>
      <c r="K5046" t="b">
        <v>0</v>
      </c>
      <c r="L5046">
        <v>2016</v>
      </c>
      <c r="M5046">
        <v>86138288644</v>
      </c>
      <c r="N5046">
        <v>478618064870</v>
      </c>
      <c r="O5046" t="b">
        <v>1</v>
      </c>
      <c r="P5046">
        <v>1</v>
      </c>
      <c r="Q5046" t="str" cm="1">
        <f t="array" ref="Q5046">_xlfn.IFS(Table1[[#This Row],[Wealthier_Winner]]=-1,"Wealthier Nation Loses",Table1[[#This Row],[Wealthier_Winner]]=0,"Tie",Table1[[#This Row],[Wealthier_Winner]]=1,"Wealthier Nation Wins")</f>
        <v>Wealthier Nation Wins</v>
      </c>
    </row>
    <row r="5047" spans="1:17" x14ac:dyDescent="0.2">
      <c r="A5047" s="1">
        <v>7401</v>
      </c>
      <c r="B5047" s="2">
        <v>42650</v>
      </c>
      <c r="C5047" s="7">
        <f>_xlfn.FLOOR.MATH(Table1[[#This Row],[year]],10)</f>
        <v>2010</v>
      </c>
      <c r="D5047" t="s">
        <v>23</v>
      </c>
      <c r="E5047" t="s">
        <v>73</v>
      </c>
      <c r="F5047">
        <v>4</v>
      </c>
      <c r="G5047">
        <v>0</v>
      </c>
      <c r="H5047" t="s">
        <v>224</v>
      </c>
      <c r="I5047" t="s">
        <v>235</v>
      </c>
      <c r="J5047" t="s">
        <v>23</v>
      </c>
      <c r="K5047" t="b">
        <v>0</v>
      </c>
      <c r="L5047">
        <v>2016</v>
      </c>
      <c r="M5047">
        <v>474271566739</v>
      </c>
      <c r="N5047">
        <v>17116926553</v>
      </c>
      <c r="O5047" t="b">
        <v>1</v>
      </c>
      <c r="P5047">
        <v>1</v>
      </c>
      <c r="Q5047" t="str" cm="1">
        <f t="array" ref="Q5047">_xlfn.IFS(Table1[[#This Row],[Wealthier_Winner]]=-1,"Wealthier Nation Loses",Table1[[#This Row],[Wealthier_Winner]]=0,"Tie",Table1[[#This Row],[Wealthier_Winner]]=1,"Wealthier Nation Wins")</f>
        <v>Wealthier Nation Wins</v>
      </c>
    </row>
    <row r="5048" spans="1:17" x14ac:dyDescent="0.2">
      <c r="A5048" s="1">
        <v>7403</v>
      </c>
      <c r="B5048" s="2">
        <v>42650</v>
      </c>
      <c r="C5048" s="7">
        <f>_xlfn.FLOOR.MATH(Table1[[#This Row],[year]],10)</f>
        <v>2010</v>
      </c>
      <c r="D5048" t="s">
        <v>20</v>
      </c>
      <c r="E5048" t="s">
        <v>33</v>
      </c>
      <c r="F5048">
        <v>4</v>
      </c>
      <c r="G5048">
        <v>1</v>
      </c>
      <c r="H5048" t="s">
        <v>224</v>
      </c>
      <c r="I5048" t="s">
        <v>132</v>
      </c>
      <c r="J5048" t="s">
        <v>20</v>
      </c>
      <c r="K5048" t="b">
        <v>0</v>
      </c>
      <c r="L5048">
        <v>2016</v>
      </c>
      <c r="M5048">
        <v>2470407619777</v>
      </c>
      <c r="N5048">
        <v>53929397039</v>
      </c>
      <c r="O5048" t="b">
        <v>1</v>
      </c>
      <c r="P5048">
        <v>1</v>
      </c>
      <c r="Q5048" t="str" cm="1">
        <f t="array" ref="Q5048">_xlfn.IFS(Table1[[#This Row],[Wealthier_Winner]]=-1,"Wealthier Nation Loses",Table1[[#This Row],[Wealthier_Winner]]=0,"Tie",Table1[[#This Row],[Wealthier_Winner]]=1,"Wealthier Nation Wins")</f>
        <v>Wealthier Nation Wins</v>
      </c>
    </row>
    <row r="5049" spans="1:17" x14ac:dyDescent="0.2">
      <c r="A5049" s="1">
        <v>7404</v>
      </c>
      <c r="B5049" s="2">
        <v>42650</v>
      </c>
      <c r="C5049" s="7">
        <f>_xlfn.FLOOR.MATH(Table1[[#This Row],[year]],10)</f>
        <v>2010</v>
      </c>
      <c r="D5049" t="s">
        <v>63</v>
      </c>
      <c r="E5049" t="s">
        <v>357</v>
      </c>
      <c r="F5049">
        <v>0</v>
      </c>
      <c r="G5049">
        <v>0</v>
      </c>
      <c r="H5049" t="s">
        <v>224</v>
      </c>
      <c r="I5049" t="s">
        <v>808</v>
      </c>
      <c r="J5049" t="s">
        <v>63</v>
      </c>
      <c r="K5049" t="b">
        <v>0</v>
      </c>
      <c r="L5049">
        <v>2016</v>
      </c>
      <c r="M5049">
        <v>56144179397</v>
      </c>
      <c r="N5049">
        <v>29203988696</v>
      </c>
      <c r="O5049" t="b">
        <v>0</v>
      </c>
      <c r="P5049">
        <v>0</v>
      </c>
      <c r="Q5049" t="str" cm="1">
        <f t="array" ref="Q5049">_xlfn.IFS(Table1[[#This Row],[Wealthier_Winner]]=-1,"Wealthier Nation Loses",Table1[[#This Row],[Wealthier_Winner]]=0,"Tie",Table1[[#This Row],[Wealthier_Winner]]=1,"Wealthier Nation Wins")</f>
        <v>Tie</v>
      </c>
    </row>
    <row r="5050" spans="1:17" x14ac:dyDescent="0.2">
      <c r="A5050" s="1">
        <v>7405</v>
      </c>
      <c r="B5050" s="2">
        <v>42650</v>
      </c>
      <c r="C5050" s="7">
        <f>_xlfn.FLOOR.MATH(Table1[[#This Row],[year]],10)</f>
        <v>2010</v>
      </c>
      <c r="D5050" t="s">
        <v>48</v>
      </c>
      <c r="E5050" t="s">
        <v>351</v>
      </c>
      <c r="F5050">
        <v>2</v>
      </c>
      <c r="G5050">
        <v>0</v>
      </c>
      <c r="H5050" t="s">
        <v>224</v>
      </c>
      <c r="I5050" t="s">
        <v>282</v>
      </c>
      <c r="J5050" t="s">
        <v>48</v>
      </c>
      <c r="K5050" t="b">
        <v>0</v>
      </c>
      <c r="L5050">
        <v>2016</v>
      </c>
      <c r="M5050">
        <v>193097239005</v>
      </c>
      <c r="N5050">
        <v>21046462280</v>
      </c>
      <c r="O5050" t="b">
        <v>1</v>
      </c>
      <c r="P5050">
        <v>1</v>
      </c>
      <c r="Q5050" t="str" cm="1">
        <f t="array" ref="Q5050">_xlfn.IFS(Table1[[#This Row],[Wealthier_Winner]]=-1,"Wealthier Nation Loses",Table1[[#This Row],[Wealthier_Winner]]=0,"Tie",Table1[[#This Row],[Wealthier_Winner]]=1,"Wealthier Nation Wins")</f>
        <v>Wealthier Nation Wins</v>
      </c>
    </row>
    <row r="5051" spans="1:17" x14ac:dyDescent="0.2">
      <c r="A5051" s="1">
        <v>7406</v>
      </c>
      <c r="B5051" s="2">
        <v>42650</v>
      </c>
      <c r="C5051" s="7">
        <f>_xlfn.FLOOR.MATH(Table1[[#This Row],[year]],10)</f>
        <v>2010</v>
      </c>
      <c r="D5051" t="s">
        <v>30</v>
      </c>
      <c r="E5051" t="s">
        <v>46</v>
      </c>
      <c r="F5051">
        <v>2</v>
      </c>
      <c r="G5051">
        <v>3</v>
      </c>
      <c r="H5051" t="s">
        <v>224</v>
      </c>
      <c r="I5051" t="s">
        <v>297</v>
      </c>
      <c r="J5051" t="s">
        <v>30</v>
      </c>
      <c r="K5051" t="b">
        <v>0</v>
      </c>
      <c r="L5051">
        <v>2016</v>
      </c>
      <c r="M5051">
        <v>128983560865</v>
      </c>
      <c r="N5051">
        <v>687895460902</v>
      </c>
      <c r="O5051" t="b">
        <v>1</v>
      </c>
      <c r="P5051">
        <v>1</v>
      </c>
      <c r="Q5051" t="str" cm="1">
        <f t="array" ref="Q5051">_xlfn.IFS(Table1[[#This Row],[Wealthier_Winner]]=-1,"Wealthier Nation Loses",Table1[[#This Row],[Wealthier_Winner]]=0,"Tie",Table1[[#This Row],[Wealthier_Winner]]=1,"Wealthier Nation Wins")</f>
        <v>Wealthier Nation Wins</v>
      </c>
    </row>
    <row r="5052" spans="1:17" x14ac:dyDescent="0.2">
      <c r="A5052" s="1">
        <v>7407</v>
      </c>
      <c r="B5052" s="2">
        <v>42650</v>
      </c>
      <c r="C5052" s="7">
        <f>_xlfn.FLOOR.MATH(Table1[[#This Row],[year]],10)</f>
        <v>2010</v>
      </c>
      <c r="D5052" t="s">
        <v>525</v>
      </c>
      <c r="E5052" t="s">
        <v>447</v>
      </c>
      <c r="F5052">
        <v>0</v>
      </c>
      <c r="G5052">
        <v>2</v>
      </c>
      <c r="H5052" t="s">
        <v>224</v>
      </c>
      <c r="I5052" t="s">
        <v>526</v>
      </c>
      <c r="J5052" t="s">
        <v>525</v>
      </c>
      <c r="K5052" t="b">
        <v>0</v>
      </c>
      <c r="L5052">
        <v>2016</v>
      </c>
      <c r="M5052">
        <v>27117105059</v>
      </c>
      <c r="N5052">
        <v>2813278868</v>
      </c>
      <c r="O5052" t="b">
        <v>1</v>
      </c>
      <c r="P5052">
        <v>-1</v>
      </c>
      <c r="Q5052" t="str" cm="1">
        <f t="array" ref="Q5052">_xlfn.IFS(Table1[[#This Row],[Wealthier_Winner]]=-1,"Wealthier Nation Loses",Table1[[#This Row],[Wealthier_Winner]]=0,"Tie",Table1[[#This Row],[Wealthier_Winner]]=1,"Wealthier Nation Wins")</f>
        <v>Wealthier Nation Loses</v>
      </c>
    </row>
    <row r="5053" spans="1:17" x14ac:dyDescent="0.2">
      <c r="A5053" s="1">
        <v>7408</v>
      </c>
      <c r="B5053" s="2">
        <v>42650</v>
      </c>
      <c r="C5053" s="7">
        <f>_xlfn.FLOOR.MATH(Table1[[#This Row],[year]],10)</f>
        <v>2010</v>
      </c>
      <c r="D5053" t="s">
        <v>232</v>
      </c>
      <c r="E5053" t="s">
        <v>25</v>
      </c>
      <c r="F5053">
        <v>0</v>
      </c>
      <c r="G5053">
        <v>1</v>
      </c>
      <c r="H5053" t="s">
        <v>224</v>
      </c>
      <c r="I5053" t="s">
        <v>232</v>
      </c>
      <c r="J5053" t="s">
        <v>232</v>
      </c>
      <c r="K5053" t="b">
        <v>0</v>
      </c>
      <c r="L5053">
        <v>2016</v>
      </c>
      <c r="M5053">
        <v>62216885435</v>
      </c>
      <c r="N5053">
        <v>513058312950</v>
      </c>
      <c r="O5053" t="b">
        <v>1</v>
      </c>
      <c r="P5053">
        <v>1</v>
      </c>
      <c r="Q5053" t="str" cm="1">
        <f t="array" ref="Q5053">_xlfn.IFS(Table1[[#This Row],[Wealthier_Winner]]=-1,"Wealthier Nation Loses",Table1[[#This Row],[Wealthier_Winner]]=0,"Tie",Table1[[#This Row],[Wealthier_Winner]]=1,"Wealthier Nation Wins")</f>
        <v>Wealthier Nation Wins</v>
      </c>
    </row>
    <row r="5054" spans="1:17" x14ac:dyDescent="0.2">
      <c r="A5054" s="1">
        <v>7409</v>
      </c>
      <c r="B5054" s="2">
        <v>42650</v>
      </c>
      <c r="C5054" s="7">
        <f>_xlfn.FLOOR.MATH(Table1[[#This Row],[year]],10)</f>
        <v>2010</v>
      </c>
      <c r="D5054" t="s">
        <v>27</v>
      </c>
      <c r="E5054" t="s">
        <v>510</v>
      </c>
      <c r="F5054">
        <v>4</v>
      </c>
      <c r="G5054">
        <v>1</v>
      </c>
      <c r="H5054" t="s">
        <v>224</v>
      </c>
      <c r="I5054" t="s">
        <v>265</v>
      </c>
      <c r="J5054" t="s">
        <v>27</v>
      </c>
      <c r="K5054" t="b">
        <v>0</v>
      </c>
      <c r="L5054">
        <v>2016</v>
      </c>
      <c r="M5054">
        <v>797163949289</v>
      </c>
      <c r="N5054">
        <v>47723545321</v>
      </c>
      <c r="O5054" t="b">
        <v>1</v>
      </c>
      <c r="P5054">
        <v>1</v>
      </c>
      <c r="Q5054" t="str" cm="1">
        <f t="array" ref="Q5054">_xlfn.IFS(Table1[[#This Row],[Wealthier_Winner]]=-1,"Wealthier Nation Loses",Table1[[#This Row],[Wealthier_Winner]]=0,"Tie",Table1[[#This Row],[Wealthier_Winner]]=1,"Wealthier Nation Wins")</f>
        <v>Wealthier Nation Wins</v>
      </c>
    </row>
    <row r="5055" spans="1:17" x14ac:dyDescent="0.2">
      <c r="A5055" s="1">
        <v>7410</v>
      </c>
      <c r="B5055" s="2">
        <v>42650</v>
      </c>
      <c r="C5055" s="7">
        <f>_xlfn.FLOOR.MATH(Table1[[#This Row],[year]],10)</f>
        <v>2010</v>
      </c>
      <c r="D5055" t="s">
        <v>38</v>
      </c>
      <c r="E5055" t="s">
        <v>601</v>
      </c>
      <c r="F5055">
        <v>6</v>
      </c>
      <c r="G5055">
        <v>0</v>
      </c>
      <c r="H5055" t="s">
        <v>224</v>
      </c>
      <c r="I5055" t="s">
        <v>682</v>
      </c>
      <c r="J5055" t="s">
        <v>38</v>
      </c>
      <c r="K5055" t="b">
        <v>0</v>
      </c>
      <c r="L5055">
        <v>2016</v>
      </c>
      <c r="M5055">
        <v>206305431241</v>
      </c>
      <c r="N5055">
        <v>2896611878</v>
      </c>
      <c r="O5055" t="b">
        <v>1</v>
      </c>
      <c r="P5055">
        <v>1</v>
      </c>
      <c r="Q5055" t="str" cm="1">
        <f t="array" ref="Q5055">_xlfn.IFS(Table1[[#This Row],[Wealthier_Winner]]=-1,"Wealthier Nation Loses",Table1[[#This Row],[Wealthier_Winner]]=0,"Tie",Table1[[#This Row],[Wealthier_Winner]]=1,"Wealthier Nation Wins")</f>
        <v>Wealthier Nation Wins</v>
      </c>
    </row>
    <row r="5056" spans="1:17" x14ac:dyDescent="0.2">
      <c r="A5056" s="1">
        <v>7411</v>
      </c>
      <c r="B5056" s="2">
        <v>42651</v>
      </c>
      <c r="C5056" s="7">
        <f>_xlfn.FLOOR.MATH(Table1[[#This Row],[year]],10)</f>
        <v>2010</v>
      </c>
      <c r="D5056" t="s">
        <v>519</v>
      </c>
      <c r="E5056" t="s">
        <v>44</v>
      </c>
      <c r="F5056">
        <v>0</v>
      </c>
      <c r="G5056">
        <v>5</v>
      </c>
      <c r="H5056" t="s">
        <v>224</v>
      </c>
      <c r="I5056" t="s">
        <v>520</v>
      </c>
      <c r="J5056" t="s">
        <v>519</v>
      </c>
      <c r="K5056" t="b">
        <v>0</v>
      </c>
      <c r="L5056">
        <v>2016</v>
      </c>
      <c r="M5056">
        <v>10546136235</v>
      </c>
      <c r="N5056">
        <v>185290759248</v>
      </c>
      <c r="O5056" t="b">
        <v>1</v>
      </c>
      <c r="P5056">
        <v>1</v>
      </c>
      <c r="Q5056" t="str" cm="1">
        <f t="array" ref="Q5056">_xlfn.IFS(Table1[[#This Row],[Wealthier_Winner]]=-1,"Wealthier Nation Loses",Table1[[#This Row],[Wealthier_Winner]]=0,"Tie",Table1[[#This Row],[Wealthier_Winner]]=1,"Wealthier Nation Wins")</f>
        <v>Wealthier Nation Wins</v>
      </c>
    </row>
    <row r="5057" spans="1:17" x14ac:dyDescent="0.2">
      <c r="A5057" s="1">
        <v>7412</v>
      </c>
      <c r="B5057" s="2">
        <v>42651</v>
      </c>
      <c r="C5057" s="7">
        <f>_xlfn.FLOOR.MATH(Table1[[#This Row],[year]],10)</f>
        <v>2010</v>
      </c>
      <c r="D5057" t="s">
        <v>513</v>
      </c>
      <c r="E5057" t="s">
        <v>42</v>
      </c>
      <c r="F5057">
        <v>1</v>
      </c>
      <c r="G5057">
        <v>0</v>
      </c>
      <c r="H5057" t="s">
        <v>224</v>
      </c>
      <c r="I5057" t="s">
        <v>521</v>
      </c>
      <c r="J5057" t="s">
        <v>513</v>
      </c>
      <c r="K5057" t="b">
        <v>0</v>
      </c>
      <c r="L5057">
        <v>2016</v>
      </c>
      <c r="M5057">
        <v>37866996882</v>
      </c>
      <c r="N5057">
        <v>370956547619</v>
      </c>
      <c r="O5057" t="b">
        <v>1</v>
      </c>
      <c r="P5057">
        <v>-1</v>
      </c>
      <c r="Q5057" t="str" cm="1">
        <f t="array" ref="Q5057">_xlfn.IFS(Table1[[#This Row],[Wealthier_Winner]]=-1,"Wealthier Nation Loses",Table1[[#This Row],[Wealthier_Winner]]=0,"Tie",Table1[[#This Row],[Wealthier_Winner]]=1,"Wealthier Nation Wins")</f>
        <v>Wealthier Nation Loses</v>
      </c>
    </row>
    <row r="5058" spans="1:17" x14ac:dyDescent="0.2">
      <c r="A5058" s="1">
        <v>7413</v>
      </c>
      <c r="B5058" s="2">
        <v>42651</v>
      </c>
      <c r="C5058" s="7">
        <f>_xlfn.FLOOR.MATH(Table1[[#This Row],[year]],10)</f>
        <v>2010</v>
      </c>
      <c r="D5058" t="s">
        <v>345</v>
      </c>
      <c r="E5058" t="s">
        <v>50</v>
      </c>
      <c r="F5058">
        <v>1</v>
      </c>
      <c r="G5058">
        <v>1</v>
      </c>
      <c r="H5058" t="s">
        <v>224</v>
      </c>
      <c r="I5058" t="s">
        <v>347</v>
      </c>
      <c r="J5058" t="s">
        <v>345</v>
      </c>
      <c r="K5058" t="b">
        <v>0</v>
      </c>
      <c r="L5058">
        <v>2016</v>
      </c>
      <c r="M5058">
        <v>12833363045</v>
      </c>
      <c r="N5058">
        <v>323585509674</v>
      </c>
      <c r="O5058" t="b">
        <v>1</v>
      </c>
      <c r="P5058">
        <v>0</v>
      </c>
      <c r="Q5058" t="str" cm="1">
        <f t="array" ref="Q5058">_xlfn.IFS(Table1[[#This Row],[Wealthier_Winner]]=-1,"Wealthier Nation Loses",Table1[[#This Row],[Wealthier_Winner]]=0,"Tie",Table1[[#This Row],[Wealthier_Winner]]=1,"Wealthier Nation Wins")</f>
        <v>Tie</v>
      </c>
    </row>
    <row r="5059" spans="1:17" x14ac:dyDescent="0.2">
      <c r="A5059" s="1">
        <v>7415</v>
      </c>
      <c r="B5059" s="2">
        <v>42651</v>
      </c>
      <c r="C5059" s="7">
        <f>_xlfn.FLOOR.MATH(Table1[[#This Row],[year]],10)</f>
        <v>2010</v>
      </c>
      <c r="D5059" t="s">
        <v>194</v>
      </c>
      <c r="E5059" t="s">
        <v>303</v>
      </c>
      <c r="F5059">
        <v>2</v>
      </c>
      <c r="G5059">
        <v>0</v>
      </c>
      <c r="H5059" t="s">
        <v>224</v>
      </c>
      <c r="I5059" t="s">
        <v>80</v>
      </c>
      <c r="J5059" t="s">
        <v>194</v>
      </c>
      <c r="K5059" t="b">
        <v>0</v>
      </c>
      <c r="L5059">
        <v>2016</v>
      </c>
      <c r="M5059">
        <v>2706807606538</v>
      </c>
      <c r="N5059">
        <v>12025782834</v>
      </c>
      <c r="O5059" t="b">
        <v>1</v>
      </c>
      <c r="P5059">
        <v>1</v>
      </c>
      <c r="Q5059" t="str" cm="1">
        <f t="array" ref="Q5059">_xlfn.IFS(Table1[[#This Row],[Wealthier_Winner]]=-1,"Wealthier Nation Loses",Table1[[#This Row],[Wealthier_Winner]]=0,"Tie",Table1[[#This Row],[Wealthier_Winner]]=1,"Wealthier Nation Wins")</f>
        <v>Wealthier Nation Wins</v>
      </c>
    </row>
    <row r="5060" spans="1:17" x14ac:dyDescent="0.2">
      <c r="A5060" s="1">
        <v>7416</v>
      </c>
      <c r="B5060" s="2">
        <v>42651</v>
      </c>
      <c r="C5060" s="7">
        <f>_xlfn.FLOOR.MATH(Table1[[#This Row],[year]],10)</f>
        <v>2010</v>
      </c>
      <c r="D5060" t="s">
        <v>433</v>
      </c>
      <c r="E5060" t="s">
        <v>24</v>
      </c>
      <c r="F5060">
        <v>0</v>
      </c>
      <c r="G5060">
        <v>0</v>
      </c>
      <c r="H5060" t="s">
        <v>224</v>
      </c>
      <c r="I5060" t="s">
        <v>765</v>
      </c>
      <c r="J5060" t="s">
        <v>433</v>
      </c>
      <c r="K5060" t="b">
        <v>0</v>
      </c>
      <c r="L5060">
        <v>2016</v>
      </c>
      <c r="M5060">
        <v>14023890265</v>
      </c>
      <c r="N5060">
        <v>111572947004</v>
      </c>
      <c r="O5060" t="b">
        <v>1</v>
      </c>
      <c r="P5060">
        <v>0</v>
      </c>
      <c r="Q5060" t="str" cm="1">
        <f t="array" ref="Q5060">_xlfn.IFS(Table1[[#This Row],[Wealthier_Winner]]=-1,"Wealthier Nation Loses",Table1[[#This Row],[Wealthier_Winner]]=0,"Tie",Table1[[#This Row],[Wealthier_Winner]]=1,"Wealthier Nation Wins")</f>
        <v>Tie</v>
      </c>
    </row>
    <row r="5061" spans="1:17" x14ac:dyDescent="0.2">
      <c r="A5061" s="1">
        <v>7419</v>
      </c>
      <c r="B5061" s="2">
        <v>42651</v>
      </c>
      <c r="C5061" s="7">
        <f>_xlfn.FLOOR.MATH(Table1[[#This Row],[year]],10)</f>
        <v>2010</v>
      </c>
      <c r="D5061" t="s">
        <v>705</v>
      </c>
      <c r="E5061" t="s">
        <v>558</v>
      </c>
      <c r="F5061">
        <v>5</v>
      </c>
      <c r="G5061">
        <v>0</v>
      </c>
      <c r="H5061" t="s">
        <v>224</v>
      </c>
      <c r="I5061" t="s">
        <v>706</v>
      </c>
      <c r="J5061" t="s">
        <v>705</v>
      </c>
      <c r="K5061" t="b">
        <v>0</v>
      </c>
      <c r="L5061">
        <v>2016</v>
      </c>
      <c r="M5061">
        <v>4357469330</v>
      </c>
      <c r="N5061">
        <v>137278320084</v>
      </c>
      <c r="O5061" t="b">
        <v>1</v>
      </c>
      <c r="P5061">
        <v>-1</v>
      </c>
      <c r="Q5061" t="str" cm="1">
        <f t="array" ref="Q5061">_xlfn.IFS(Table1[[#This Row],[Wealthier_Winner]]=-1,"Wealthier Nation Loses",Table1[[#This Row],[Wealthier_Winner]]=0,"Tie",Table1[[#This Row],[Wealthier_Winner]]=1,"Wealthier Nation Wins")</f>
        <v>Wealthier Nation Loses</v>
      </c>
    </row>
    <row r="5062" spans="1:17" x14ac:dyDescent="0.2">
      <c r="A5062" s="1">
        <v>7421</v>
      </c>
      <c r="B5062" s="2">
        <v>42651</v>
      </c>
      <c r="C5062" s="7">
        <f>_xlfn.FLOOR.MATH(Table1[[#This Row],[year]],10)</f>
        <v>2010</v>
      </c>
      <c r="D5062" t="s">
        <v>58</v>
      </c>
      <c r="E5062" t="s">
        <v>36</v>
      </c>
      <c r="F5062">
        <v>3</v>
      </c>
      <c r="G5062">
        <v>2</v>
      </c>
      <c r="H5062" t="s">
        <v>224</v>
      </c>
      <c r="I5062" t="s">
        <v>619</v>
      </c>
      <c r="J5062" t="s">
        <v>58</v>
      </c>
      <c r="K5062" t="b">
        <v>0</v>
      </c>
      <c r="L5062">
        <v>2016</v>
      </c>
      <c r="M5062">
        <v>473259583969</v>
      </c>
      <c r="N5062">
        <v>312181849372</v>
      </c>
      <c r="O5062" t="b">
        <v>0</v>
      </c>
      <c r="P5062">
        <v>1</v>
      </c>
      <c r="Q5062" t="str" cm="1">
        <f t="array" ref="Q5062">_xlfn.IFS(Table1[[#This Row],[Wealthier_Winner]]=-1,"Wealthier Nation Loses",Table1[[#This Row],[Wealthier_Winner]]=0,"Tie",Table1[[#This Row],[Wealthier_Winner]]=1,"Wealthier Nation Wins")</f>
        <v>Wealthier Nation Wins</v>
      </c>
    </row>
    <row r="5063" spans="1:17" x14ac:dyDescent="0.2">
      <c r="A5063" s="1">
        <v>7425</v>
      </c>
      <c r="B5063" s="2">
        <v>42652</v>
      </c>
      <c r="C5063" s="7">
        <f>_xlfn.FLOOR.MATH(Table1[[#This Row],[year]],10)</f>
        <v>2010</v>
      </c>
      <c r="D5063" t="s">
        <v>373</v>
      </c>
      <c r="E5063" t="s">
        <v>21</v>
      </c>
      <c r="F5063">
        <v>0</v>
      </c>
      <c r="G5063">
        <v>2</v>
      </c>
      <c r="H5063" t="s">
        <v>224</v>
      </c>
      <c r="I5063" t="s">
        <v>802</v>
      </c>
      <c r="J5063" t="s">
        <v>373</v>
      </c>
      <c r="K5063" t="b">
        <v>0</v>
      </c>
      <c r="L5063">
        <v>2016</v>
      </c>
      <c r="M5063">
        <v>11988668784</v>
      </c>
      <c r="N5063">
        <v>1243015667917</v>
      </c>
      <c r="O5063" t="b">
        <v>1</v>
      </c>
      <c r="P5063">
        <v>1</v>
      </c>
      <c r="Q5063" t="str" cm="1">
        <f t="array" ref="Q5063">_xlfn.IFS(Table1[[#This Row],[Wealthier_Winner]]=-1,"Wealthier Nation Loses",Table1[[#This Row],[Wealthier_Winner]]=0,"Tie",Table1[[#This Row],[Wealthier_Winner]]=1,"Wealthier Nation Wins")</f>
        <v>Wealthier Nation Wins</v>
      </c>
    </row>
    <row r="5064" spans="1:17" x14ac:dyDescent="0.2">
      <c r="A5064" s="1">
        <v>7426</v>
      </c>
      <c r="B5064" s="2">
        <v>42652</v>
      </c>
      <c r="C5064" s="7">
        <f>_xlfn.FLOOR.MATH(Table1[[#This Row],[year]],10)</f>
        <v>2010</v>
      </c>
      <c r="D5064" t="s">
        <v>32</v>
      </c>
      <c r="E5064" t="s">
        <v>40</v>
      </c>
      <c r="F5064">
        <v>1</v>
      </c>
      <c r="G5064">
        <v>1</v>
      </c>
      <c r="H5064" t="s">
        <v>224</v>
      </c>
      <c r="I5064" t="s">
        <v>697</v>
      </c>
      <c r="J5064" t="s">
        <v>32</v>
      </c>
      <c r="K5064" t="b">
        <v>0</v>
      </c>
      <c r="L5064">
        <v>2016</v>
      </c>
      <c r="M5064">
        <v>180763839522</v>
      </c>
      <c r="N5064">
        <v>33814337044</v>
      </c>
      <c r="O5064" t="b">
        <v>1</v>
      </c>
      <c r="P5064">
        <v>0</v>
      </c>
      <c r="Q5064" t="str" cm="1">
        <f t="array" ref="Q5064">_xlfn.IFS(Table1[[#This Row],[Wealthier_Winner]]=-1,"Wealthier Nation Loses",Table1[[#This Row],[Wealthier_Winner]]=0,"Tie",Table1[[#This Row],[Wealthier_Winner]]=1,"Wealthier Nation Wins")</f>
        <v>Tie</v>
      </c>
    </row>
    <row r="5065" spans="1:17" x14ac:dyDescent="0.2">
      <c r="A5065" s="1">
        <v>7428</v>
      </c>
      <c r="B5065" s="2">
        <v>42652</v>
      </c>
      <c r="C5065" s="7">
        <f>_xlfn.FLOOR.MATH(Table1[[#This Row],[year]],10)</f>
        <v>2010</v>
      </c>
      <c r="D5065" t="s">
        <v>230</v>
      </c>
      <c r="E5065" t="s">
        <v>52</v>
      </c>
      <c r="F5065">
        <v>0</v>
      </c>
      <c r="G5065">
        <v>1</v>
      </c>
      <c r="H5065" t="s">
        <v>224</v>
      </c>
      <c r="I5065" t="s">
        <v>491</v>
      </c>
      <c r="J5065" t="s">
        <v>230</v>
      </c>
      <c r="K5065" t="b">
        <v>0</v>
      </c>
      <c r="L5065">
        <v>2016</v>
      </c>
      <c r="M5065">
        <v>238777818792</v>
      </c>
      <c r="N5065">
        <v>52650714171</v>
      </c>
      <c r="O5065" t="b">
        <v>1</v>
      </c>
      <c r="P5065">
        <v>-1</v>
      </c>
      <c r="Q5065" t="str" cm="1">
        <f t="array" ref="Q5065">_xlfn.IFS(Table1[[#This Row],[Wealthier_Winner]]=-1,"Wealthier Nation Loses",Table1[[#This Row],[Wealthier_Winner]]=0,"Tie",Table1[[#This Row],[Wealthier_Winner]]=1,"Wealthier Nation Wins")</f>
        <v>Wealthier Nation Loses</v>
      </c>
    </row>
    <row r="5066" spans="1:17" x14ac:dyDescent="0.2">
      <c r="A5066" s="1">
        <v>7430</v>
      </c>
      <c r="B5066" s="2">
        <v>42652</v>
      </c>
      <c r="C5066" s="7">
        <f>_xlfn.FLOOR.MATH(Table1[[#This Row],[year]],10)</f>
        <v>2010</v>
      </c>
      <c r="D5066" t="s">
        <v>22</v>
      </c>
      <c r="E5066" t="s">
        <v>503</v>
      </c>
      <c r="F5066">
        <v>2</v>
      </c>
      <c r="G5066">
        <v>1</v>
      </c>
      <c r="H5066" t="s">
        <v>224</v>
      </c>
      <c r="I5066" t="s">
        <v>809</v>
      </c>
      <c r="J5066" t="s">
        <v>22</v>
      </c>
      <c r="K5066" t="b">
        <v>0</v>
      </c>
      <c r="L5066">
        <v>2016</v>
      </c>
      <c r="M5066">
        <v>321940971558</v>
      </c>
      <c r="N5066">
        <v>6237302033</v>
      </c>
      <c r="O5066" t="b">
        <v>1</v>
      </c>
      <c r="P5066">
        <v>1</v>
      </c>
      <c r="Q5066" t="str" cm="1">
        <f t="array" ref="Q5066">_xlfn.IFS(Table1[[#This Row],[Wealthier_Winner]]=-1,"Wealthier Nation Loses",Table1[[#This Row],[Wealthier_Winner]]=0,"Tie",Table1[[#This Row],[Wealthier_Winner]]=1,"Wealthier Nation Wins")</f>
        <v>Wealthier Nation Wins</v>
      </c>
    </row>
    <row r="5067" spans="1:17" x14ac:dyDescent="0.2">
      <c r="A5067" s="1">
        <v>7431</v>
      </c>
      <c r="B5067" s="2">
        <v>42652</v>
      </c>
      <c r="C5067" s="7">
        <f>_xlfn.FLOOR.MATH(Table1[[#This Row],[year]],10)</f>
        <v>2010</v>
      </c>
      <c r="D5067" t="s">
        <v>502</v>
      </c>
      <c r="E5067" t="s">
        <v>18</v>
      </c>
      <c r="F5067">
        <v>2</v>
      </c>
      <c r="G5067">
        <v>3</v>
      </c>
      <c r="H5067" t="s">
        <v>224</v>
      </c>
      <c r="I5067" t="s">
        <v>504</v>
      </c>
      <c r="J5067" t="s">
        <v>502</v>
      </c>
      <c r="K5067" t="b">
        <v>0</v>
      </c>
      <c r="L5067">
        <v>2016</v>
      </c>
      <c r="M5067">
        <v>10672467073</v>
      </c>
      <c r="N5067">
        <v>1887111188176</v>
      </c>
      <c r="O5067" t="b">
        <v>1</v>
      </c>
      <c r="P5067">
        <v>1</v>
      </c>
      <c r="Q5067" t="str" cm="1">
        <f t="array" ref="Q5067">_xlfn.IFS(Table1[[#This Row],[Wealthier_Winner]]=-1,"Wealthier Nation Loses",Table1[[#This Row],[Wealthier_Winner]]=0,"Tie",Table1[[#This Row],[Wealthier_Winner]]=1,"Wealthier Nation Wins")</f>
        <v>Wealthier Nation Wins</v>
      </c>
    </row>
    <row r="5068" spans="1:17" x14ac:dyDescent="0.2">
      <c r="A5068" s="1">
        <v>7433</v>
      </c>
      <c r="B5068" s="2">
        <v>42652</v>
      </c>
      <c r="C5068" s="7">
        <f>_xlfn.FLOOR.MATH(Table1[[#This Row],[year]],10)</f>
        <v>2010</v>
      </c>
      <c r="D5068" t="s">
        <v>61</v>
      </c>
      <c r="E5068" t="s">
        <v>29</v>
      </c>
      <c r="F5068">
        <v>3</v>
      </c>
      <c r="G5068">
        <v>2</v>
      </c>
      <c r="H5068" t="s">
        <v>224</v>
      </c>
      <c r="I5068" t="s">
        <v>505</v>
      </c>
      <c r="J5068" t="s">
        <v>61</v>
      </c>
      <c r="K5068" t="b">
        <v>0</v>
      </c>
      <c r="L5068">
        <v>2016</v>
      </c>
      <c r="M5068">
        <v>42225495909</v>
      </c>
      <c r="N5068">
        <v>393687359770</v>
      </c>
      <c r="O5068" t="b">
        <v>1</v>
      </c>
      <c r="P5068">
        <v>-1</v>
      </c>
      <c r="Q5068" t="str" cm="1">
        <f t="array" ref="Q5068">_xlfn.IFS(Table1[[#This Row],[Wealthier_Winner]]=-1,"Wealthier Nation Loses",Table1[[#This Row],[Wealthier_Winner]]=0,"Tie",Table1[[#This Row],[Wealthier_Winner]]=1,"Wealthier Nation Wins")</f>
        <v>Wealthier Nation Loses</v>
      </c>
    </row>
    <row r="5069" spans="1:17" x14ac:dyDescent="0.2">
      <c r="A5069" s="1">
        <v>7434</v>
      </c>
      <c r="B5069" s="2">
        <v>42652</v>
      </c>
      <c r="C5069" s="7">
        <f>_xlfn.FLOOR.MATH(Table1[[#This Row],[year]],10)</f>
        <v>2010</v>
      </c>
      <c r="D5069" t="s">
        <v>53</v>
      </c>
      <c r="E5069" t="s">
        <v>305</v>
      </c>
      <c r="F5069">
        <v>2</v>
      </c>
      <c r="G5069">
        <v>0</v>
      </c>
      <c r="H5069" t="s">
        <v>224</v>
      </c>
      <c r="I5069" t="s">
        <v>750</v>
      </c>
      <c r="J5069" t="s">
        <v>53</v>
      </c>
      <c r="K5069" t="b">
        <v>0</v>
      </c>
      <c r="L5069">
        <v>2016</v>
      </c>
      <c r="M5069">
        <v>44360072680</v>
      </c>
      <c r="N5069">
        <v>8595955222</v>
      </c>
      <c r="O5069" t="b">
        <v>1</v>
      </c>
      <c r="P5069">
        <v>1</v>
      </c>
      <c r="Q5069" t="str" cm="1">
        <f t="array" ref="Q5069">_xlfn.IFS(Table1[[#This Row],[Wealthier_Winner]]=-1,"Wealthier Nation Loses",Table1[[#This Row],[Wealthier_Winner]]=0,"Tie",Table1[[#This Row],[Wealthier_Winner]]=1,"Wealthier Nation Wins")</f>
        <v>Wealthier Nation Wins</v>
      </c>
    </row>
    <row r="5070" spans="1:17" x14ac:dyDescent="0.2">
      <c r="A5070" s="1">
        <v>7435</v>
      </c>
      <c r="B5070" s="2">
        <v>42652</v>
      </c>
      <c r="C5070" s="7">
        <f>_xlfn.FLOOR.MATH(Table1[[#This Row],[year]],10)</f>
        <v>2010</v>
      </c>
      <c r="D5070" t="s">
        <v>64</v>
      </c>
      <c r="E5070" t="s">
        <v>803</v>
      </c>
      <c r="F5070">
        <v>3</v>
      </c>
      <c r="G5070">
        <v>0</v>
      </c>
      <c r="H5070" t="s">
        <v>224</v>
      </c>
      <c r="I5070" t="s">
        <v>810</v>
      </c>
      <c r="J5070" t="s">
        <v>58</v>
      </c>
      <c r="K5070" t="b">
        <v>1</v>
      </c>
      <c r="L5070">
        <v>2016</v>
      </c>
      <c r="M5070">
        <v>93355869403</v>
      </c>
      <c r="N5070">
        <v>6682677289</v>
      </c>
      <c r="O5070" t="b">
        <v>1</v>
      </c>
      <c r="P5070">
        <v>1</v>
      </c>
      <c r="Q5070" t="str" cm="1">
        <f t="array" ref="Q5070">_xlfn.IFS(Table1[[#This Row],[Wealthier_Winner]]=-1,"Wealthier Nation Loses",Table1[[#This Row],[Wealthier_Winner]]=0,"Tie",Table1[[#This Row],[Wealthier_Winner]]=1,"Wealthier Nation Wins")</f>
        <v>Wealthier Nation Wins</v>
      </c>
    </row>
    <row r="5071" spans="1:17" x14ac:dyDescent="0.2">
      <c r="A5071" s="1">
        <v>7437</v>
      </c>
      <c r="B5071" s="2">
        <v>42652</v>
      </c>
      <c r="C5071" s="7">
        <f>_xlfn.FLOOR.MATH(Table1[[#This Row],[year]],10)</f>
        <v>2010</v>
      </c>
      <c r="D5071" t="s">
        <v>273</v>
      </c>
      <c r="E5071" t="s">
        <v>43</v>
      </c>
      <c r="F5071">
        <v>1</v>
      </c>
      <c r="G5071">
        <v>2</v>
      </c>
      <c r="H5071" t="s">
        <v>224</v>
      </c>
      <c r="I5071" t="s">
        <v>275</v>
      </c>
      <c r="J5071" t="s">
        <v>273</v>
      </c>
      <c r="K5071" t="b">
        <v>0</v>
      </c>
      <c r="L5071">
        <v>2016</v>
      </c>
      <c r="M5071">
        <v>20958412538</v>
      </c>
      <c r="N5071">
        <v>404649125252</v>
      </c>
      <c r="O5071" t="b">
        <v>1</v>
      </c>
      <c r="P5071">
        <v>1</v>
      </c>
      <c r="Q5071" t="str" cm="1">
        <f t="array" ref="Q5071">_xlfn.IFS(Table1[[#This Row],[Wealthier_Winner]]=-1,"Wealthier Nation Loses",Table1[[#This Row],[Wealthier_Winner]]=0,"Tie",Table1[[#This Row],[Wealthier_Winner]]=1,"Wealthier Nation Wins")</f>
        <v>Wealthier Nation Wins</v>
      </c>
    </row>
    <row r="5072" spans="1:17" x14ac:dyDescent="0.2">
      <c r="A5072" s="1">
        <v>7438</v>
      </c>
      <c r="B5072" s="2">
        <v>42653</v>
      </c>
      <c r="C5072" s="7">
        <f>_xlfn.FLOOR.MATH(Table1[[#This Row],[year]],10)</f>
        <v>2010</v>
      </c>
      <c r="D5072" t="s">
        <v>601</v>
      </c>
      <c r="E5072" t="s">
        <v>46</v>
      </c>
      <c r="F5072">
        <v>1</v>
      </c>
      <c r="G5072">
        <v>2</v>
      </c>
      <c r="H5072" t="s">
        <v>224</v>
      </c>
      <c r="I5072" t="s">
        <v>602</v>
      </c>
      <c r="J5072" t="s">
        <v>601</v>
      </c>
      <c r="K5072" t="b">
        <v>0</v>
      </c>
      <c r="L5072">
        <v>2016</v>
      </c>
      <c r="M5072">
        <v>2896611878</v>
      </c>
      <c r="N5072">
        <v>687895460902</v>
      </c>
      <c r="O5072" t="b">
        <v>1</v>
      </c>
      <c r="P5072">
        <v>1</v>
      </c>
      <c r="Q5072" t="str" cm="1">
        <f t="array" ref="Q5072">_xlfn.IFS(Table1[[#This Row],[Wealthier_Winner]]=-1,"Wealthier Nation Loses",Table1[[#This Row],[Wealthier_Winner]]=0,"Tie",Table1[[#This Row],[Wealthier_Winner]]=1,"Wealthier Nation Wins")</f>
        <v>Wealthier Nation Wins</v>
      </c>
    </row>
    <row r="5073" spans="1:17" x14ac:dyDescent="0.2">
      <c r="A5073" s="1">
        <v>7439</v>
      </c>
      <c r="B5073" s="2">
        <v>42653</v>
      </c>
      <c r="C5073" s="7">
        <f>_xlfn.FLOOR.MATH(Table1[[#This Row],[year]],10)</f>
        <v>2010</v>
      </c>
      <c r="D5073" t="s">
        <v>510</v>
      </c>
      <c r="E5073" t="s">
        <v>232</v>
      </c>
      <c r="F5073">
        <v>1</v>
      </c>
      <c r="G5073">
        <v>1</v>
      </c>
      <c r="H5073" t="s">
        <v>224</v>
      </c>
      <c r="I5073" t="s">
        <v>805</v>
      </c>
      <c r="J5073" t="s">
        <v>510</v>
      </c>
      <c r="K5073" t="b">
        <v>0</v>
      </c>
      <c r="L5073">
        <v>2016</v>
      </c>
      <c r="M5073">
        <v>47723545321</v>
      </c>
      <c r="N5073">
        <v>62216885435</v>
      </c>
      <c r="O5073" t="b">
        <v>0</v>
      </c>
      <c r="P5073">
        <v>0</v>
      </c>
      <c r="Q5073" t="str" cm="1">
        <f t="array" ref="Q5073">_xlfn.IFS(Table1[[#This Row],[Wealthier_Winner]]=-1,"Wealthier Nation Loses",Table1[[#This Row],[Wealthier_Winner]]=0,"Tie",Table1[[#This Row],[Wealthier_Winner]]=1,"Wealthier Nation Wins")</f>
        <v>Tie</v>
      </c>
    </row>
    <row r="5074" spans="1:17" x14ac:dyDescent="0.2">
      <c r="A5074" s="1">
        <v>7440</v>
      </c>
      <c r="B5074" s="2">
        <v>42653</v>
      </c>
      <c r="C5074" s="7">
        <f>_xlfn.FLOOR.MATH(Table1[[#This Row],[year]],10)</f>
        <v>2010</v>
      </c>
      <c r="D5074" t="s">
        <v>73</v>
      </c>
      <c r="E5074" t="s">
        <v>351</v>
      </c>
      <c r="F5074">
        <v>2</v>
      </c>
      <c r="G5074">
        <v>0</v>
      </c>
      <c r="H5074" t="s">
        <v>224</v>
      </c>
      <c r="I5074" t="s">
        <v>636</v>
      </c>
      <c r="J5074" t="s">
        <v>73</v>
      </c>
      <c r="K5074" t="b">
        <v>0</v>
      </c>
      <c r="L5074">
        <v>2016</v>
      </c>
      <c r="M5074">
        <v>17116926553</v>
      </c>
      <c r="N5074">
        <v>21046462280</v>
      </c>
      <c r="O5074" t="b">
        <v>0</v>
      </c>
      <c r="P5074">
        <v>-1</v>
      </c>
      <c r="Q5074" t="str" cm="1">
        <f t="array" ref="Q5074">_xlfn.IFS(Table1[[#This Row],[Wealthier_Winner]]=-1,"Wealthier Nation Loses",Table1[[#This Row],[Wealthier_Winner]]=0,"Tie",Table1[[#This Row],[Wealthier_Winner]]=1,"Wealthier Nation Wins")</f>
        <v>Wealthier Nation Loses</v>
      </c>
    </row>
    <row r="5075" spans="1:17" x14ac:dyDescent="0.2">
      <c r="A5075" s="1">
        <v>7441</v>
      </c>
      <c r="B5075" s="2">
        <v>42653</v>
      </c>
      <c r="C5075" s="7">
        <f>_xlfn.FLOOR.MATH(Table1[[#This Row],[year]],10)</f>
        <v>2010</v>
      </c>
      <c r="D5075" t="s">
        <v>476</v>
      </c>
      <c r="E5075" t="s">
        <v>48</v>
      </c>
      <c r="F5075">
        <v>0</v>
      </c>
      <c r="G5075">
        <v>2</v>
      </c>
      <c r="H5075" t="s">
        <v>224</v>
      </c>
      <c r="I5075" t="s">
        <v>481</v>
      </c>
      <c r="J5075" t="s">
        <v>476</v>
      </c>
      <c r="K5075" t="b">
        <v>0</v>
      </c>
      <c r="L5075">
        <v>2016</v>
      </c>
      <c r="M5075">
        <v>24561027787</v>
      </c>
      <c r="N5075">
        <v>193097239005</v>
      </c>
      <c r="O5075" t="b">
        <v>1</v>
      </c>
      <c r="P5075">
        <v>1</v>
      </c>
      <c r="Q5075" t="str" cm="1">
        <f t="array" ref="Q5075">_xlfn.IFS(Table1[[#This Row],[Wealthier_Winner]]=-1,"Wealthier Nation Loses",Table1[[#This Row],[Wealthier_Winner]]=0,"Tie",Table1[[#This Row],[Wealthier_Winner]]=1,"Wealthier Nation Wins")</f>
        <v>Wealthier Nation Wins</v>
      </c>
    </row>
    <row r="5076" spans="1:17" x14ac:dyDescent="0.2">
      <c r="A5076" s="1">
        <v>7442</v>
      </c>
      <c r="B5076" s="2">
        <v>42653</v>
      </c>
      <c r="C5076" s="7">
        <f>_xlfn.FLOOR.MATH(Table1[[#This Row],[year]],10)</f>
        <v>2010</v>
      </c>
      <c r="D5076" t="s">
        <v>447</v>
      </c>
      <c r="E5076" t="s">
        <v>38</v>
      </c>
      <c r="F5076">
        <v>0</v>
      </c>
      <c r="G5076">
        <v>6</v>
      </c>
      <c r="H5076" t="s">
        <v>224</v>
      </c>
      <c r="I5076" t="s">
        <v>631</v>
      </c>
      <c r="J5076" t="s">
        <v>447</v>
      </c>
      <c r="K5076" t="b">
        <v>0</v>
      </c>
      <c r="L5076">
        <v>2016</v>
      </c>
      <c r="M5076">
        <v>2813278868</v>
      </c>
      <c r="N5076">
        <v>206305431241</v>
      </c>
      <c r="O5076" t="b">
        <v>1</v>
      </c>
      <c r="P5076">
        <v>1</v>
      </c>
      <c r="Q5076" t="str" cm="1">
        <f t="array" ref="Q5076">_xlfn.IFS(Table1[[#This Row],[Wealthier_Winner]]=-1,"Wealthier Nation Loses",Table1[[#This Row],[Wealthier_Winner]]=0,"Tie",Table1[[#This Row],[Wealthier_Winner]]=1,"Wealthier Nation Wins")</f>
        <v>Wealthier Nation Wins</v>
      </c>
    </row>
    <row r="5077" spans="1:17" x14ac:dyDescent="0.2">
      <c r="A5077" s="1">
        <v>7444</v>
      </c>
      <c r="B5077" s="2">
        <v>42653</v>
      </c>
      <c r="C5077" s="7">
        <f>_xlfn.FLOOR.MATH(Table1[[#This Row],[year]],10)</f>
        <v>2010</v>
      </c>
      <c r="D5077" t="s">
        <v>525</v>
      </c>
      <c r="E5077" t="s">
        <v>30</v>
      </c>
      <c r="F5077">
        <v>0</v>
      </c>
      <c r="G5077">
        <v>2</v>
      </c>
      <c r="H5077" t="s">
        <v>224</v>
      </c>
      <c r="I5077" t="s">
        <v>526</v>
      </c>
      <c r="J5077" t="s">
        <v>525</v>
      </c>
      <c r="K5077" t="b">
        <v>0</v>
      </c>
      <c r="L5077">
        <v>2016</v>
      </c>
      <c r="M5077">
        <v>27117105059</v>
      </c>
      <c r="N5077">
        <v>128983560865</v>
      </c>
      <c r="O5077" t="b">
        <v>1</v>
      </c>
      <c r="P5077">
        <v>1</v>
      </c>
      <c r="Q5077" t="str" cm="1">
        <f t="array" ref="Q5077">_xlfn.IFS(Table1[[#This Row],[Wealthier_Winner]]=-1,"Wealthier Nation Loses",Table1[[#This Row],[Wealthier_Winner]]=0,"Tie",Table1[[#This Row],[Wealthier_Winner]]=1,"Wealthier Nation Wins")</f>
        <v>Wealthier Nation Wins</v>
      </c>
    </row>
    <row r="5078" spans="1:17" x14ac:dyDescent="0.2">
      <c r="A5078" s="1">
        <v>7445</v>
      </c>
      <c r="B5078" s="2">
        <v>42653</v>
      </c>
      <c r="C5078" s="7">
        <f>_xlfn.FLOOR.MATH(Table1[[#This Row],[year]],10)</f>
        <v>2010</v>
      </c>
      <c r="D5078" t="s">
        <v>27</v>
      </c>
      <c r="E5078" t="s">
        <v>20</v>
      </c>
      <c r="F5078">
        <v>0</v>
      </c>
      <c r="G5078">
        <v>1</v>
      </c>
      <c r="H5078" t="s">
        <v>224</v>
      </c>
      <c r="I5078" t="s">
        <v>263</v>
      </c>
      <c r="J5078" t="s">
        <v>27</v>
      </c>
      <c r="K5078" t="b">
        <v>0</v>
      </c>
      <c r="L5078">
        <v>2016</v>
      </c>
      <c r="M5078">
        <v>797163949289</v>
      </c>
      <c r="N5078">
        <v>2470407619777</v>
      </c>
      <c r="O5078" t="b">
        <v>1</v>
      </c>
      <c r="P5078">
        <v>1</v>
      </c>
      <c r="Q5078" t="str" cm="1">
        <f t="array" ref="Q5078">_xlfn.IFS(Table1[[#This Row],[Wealthier_Winner]]=-1,"Wealthier Nation Loses",Table1[[#This Row],[Wealthier_Winner]]=0,"Tie",Table1[[#This Row],[Wealthier_Winner]]=1,"Wealthier Nation Wins")</f>
        <v>Wealthier Nation Wins</v>
      </c>
    </row>
    <row r="5079" spans="1:17" x14ac:dyDescent="0.2">
      <c r="A5079" s="1">
        <v>7446</v>
      </c>
      <c r="B5079" s="2">
        <v>42653</v>
      </c>
      <c r="C5079" s="7">
        <f>_xlfn.FLOOR.MATH(Table1[[#This Row],[year]],10)</f>
        <v>2010</v>
      </c>
      <c r="D5079" t="s">
        <v>25</v>
      </c>
      <c r="E5079" t="s">
        <v>33</v>
      </c>
      <c r="F5079">
        <v>3</v>
      </c>
      <c r="G5079">
        <v>0</v>
      </c>
      <c r="H5079" t="s">
        <v>224</v>
      </c>
      <c r="I5079" t="s">
        <v>233</v>
      </c>
      <c r="J5079" t="s">
        <v>25</v>
      </c>
      <c r="K5079" t="b">
        <v>0</v>
      </c>
      <c r="L5079">
        <v>2016</v>
      </c>
      <c r="M5079">
        <v>513058312950</v>
      </c>
      <c r="N5079">
        <v>53929397039</v>
      </c>
      <c r="O5079" t="b">
        <v>1</v>
      </c>
      <c r="P5079">
        <v>1</v>
      </c>
      <c r="Q5079" t="str" cm="1">
        <f t="array" ref="Q5079">_xlfn.IFS(Table1[[#This Row],[Wealthier_Winner]]=-1,"Wealthier Nation Loses",Table1[[#This Row],[Wealthier_Winner]]=0,"Tie",Table1[[#This Row],[Wealthier_Winner]]=1,"Wealthier Nation Wins")</f>
        <v>Wealthier Nation Wins</v>
      </c>
    </row>
    <row r="5080" spans="1:17" x14ac:dyDescent="0.2">
      <c r="A5080" s="1">
        <v>7447</v>
      </c>
      <c r="B5080" s="2">
        <v>42654</v>
      </c>
      <c r="C5080" s="7">
        <f>_xlfn.FLOOR.MATH(Table1[[#This Row],[year]],10)</f>
        <v>2010</v>
      </c>
      <c r="D5080" t="s">
        <v>19</v>
      </c>
      <c r="E5080" t="s">
        <v>35</v>
      </c>
      <c r="F5080">
        <v>0</v>
      </c>
      <c r="G5080">
        <v>1</v>
      </c>
      <c r="H5080" t="s">
        <v>224</v>
      </c>
      <c r="I5080" t="s">
        <v>368</v>
      </c>
      <c r="J5080" t="s">
        <v>19</v>
      </c>
      <c r="K5080" t="b">
        <v>0</v>
      </c>
      <c r="L5080">
        <v>2016</v>
      </c>
      <c r="M5080">
        <v>557532320662</v>
      </c>
      <c r="N5080">
        <v>36089700222</v>
      </c>
      <c r="O5080" t="b">
        <v>1</v>
      </c>
      <c r="P5080">
        <v>-1</v>
      </c>
      <c r="Q5080" t="str" cm="1">
        <f t="array" ref="Q5080">_xlfn.IFS(Table1[[#This Row],[Wealthier_Winner]]=-1,"Wealthier Nation Loses",Table1[[#This Row],[Wealthier_Winner]]=0,"Tie",Table1[[#This Row],[Wealthier_Winner]]=1,"Wealthier Nation Wins")</f>
        <v>Wealthier Nation Loses</v>
      </c>
    </row>
    <row r="5081" spans="1:17" x14ac:dyDescent="0.2">
      <c r="A5081" s="1">
        <v>7448</v>
      </c>
      <c r="B5081" s="2">
        <v>42654</v>
      </c>
      <c r="C5081" s="7">
        <f>_xlfn.FLOOR.MATH(Table1[[#This Row],[year]],10)</f>
        <v>2010</v>
      </c>
      <c r="D5081" t="s">
        <v>28</v>
      </c>
      <c r="E5081" t="s">
        <v>51</v>
      </c>
      <c r="F5081">
        <v>1</v>
      </c>
      <c r="G5081">
        <v>1</v>
      </c>
      <c r="H5081" t="s">
        <v>224</v>
      </c>
      <c r="I5081" t="s">
        <v>329</v>
      </c>
      <c r="J5081" t="s">
        <v>28</v>
      </c>
      <c r="K5081" t="b">
        <v>0</v>
      </c>
      <c r="L5081">
        <v>2016</v>
      </c>
      <c r="M5081">
        <v>1211588128417</v>
      </c>
      <c r="N5081">
        <v>5003677627544</v>
      </c>
      <c r="O5081" t="b">
        <v>1</v>
      </c>
      <c r="P5081">
        <v>0</v>
      </c>
      <c r="Q5081" t="str" cm="1">
        <f t="array" ref="Q5081">_xlfn.IFS(Table1[[#This Row],[Wealthier_Winner]]=-1,"Wealthier Nation Loses",Table1[[#This Row],[Wealthier_Winner]]=0,"Tie",Table1[[#This Row],[Wealthier_Winner]]=1,"Wealthier Nation Wins")</f>
        <v>Tie</v>
      </c>
    </row>
    <row r="5082" spans="1:17" x14ac:dyDescent="0.2">
      <c r="A5082" s="1">
        <v>7449</v>
      </c>
      <c r="B5082" s="2">
        <v>42654</v>
      </c>
      <c r="C5082" s="7">
        <f>_xlfn.FLOOR.MATH(Table1[[#This Row],[year]],10)</f>
        <v>2010</v>
      </c>
      <c r="D5082" t="s">
        <v>47</v>
      </c>
      <c r="E5082" t="s">
        <v>57</v>
      </c>
      <c r="F5082">
        <v>2</v>
      </c>
      <c r="G5082">
        <v>2</v>
      </c>
      <c r="H5082" t="s">
        <v>224</v>
      </c>
      <c r="I5082" t="s">
        <v>246</v>
      </c>
      <c r="J5082" t="s">
        <v>47</v>
      </c>
      <c r="K5082" t="b">
        <v>0</v>
      </c>
      <c r="L5082">
        <v>2016</v>
      </c>
      <c r="M5082">
        <v>33941126193</v>
      </c>
      <c r="N5082">
        <v>97671433000</v>
      </c>
      <c r="O5082" t="b">
        <v>1</v>
      </c>
      <c r="P5082">
        <v>0</v>
      </c>
      <c r="Q5082" t="str" cm="1">
        <f t="array" ref="Q5082">_xlfn.IFS(Table1[[#This Row],[Wealthier_Winner]]=-1,"Wealthier Nation Loses",Table1[[#This Row],[Wealthier_Winner]]=0,"Tie",Table1[[#This Row],[Wealthier_Winner]]=1,"Wealthier Nation Wins")</f>
        <v>Tie</v>
      </c>
    </row>
    <row r="5083" spans="1:17" x14ac:dyDescent="0.2">
      <c r="A5083" s="1">
        <v>7450</v>
      </c>
      <c r="B5083" s="2">
        <v>42654</v>
      </c>
      <c r="C5083" s="7">
        <f>_xlfn.FLOOR.MATH(Table1[[#This Row],[year]],10)</f>
        <v>2010</v>
      </c>
      <c r="D5083" t="s">
        <v>14</v>
      </c>
      <c r="E5083" t="s">
        <v>31</v>
      </c>
      <c r="F5083">
        <v>2</v>
      </c>
      <c r="G5083">
        <v>1</v>
      </c>
      <c r="H5083" t="s">
        <v>224</v>
      </c>
      <c r="I5083" t="s">
        <v>75</v>
      </c>
      <c r="J5083" t="s">
        <v>14</v>
      </c>
      <c r="K5083" t="b">
        <v>0</v>
      </c>
      <c r="L5083">
        <v>2016</v>
      </c>
      <c r="M5083">
        <v>249344863928</v>
      </c>
      <c r="N5083">
        <v>191898104390</v>
      </c>
      <c r="O5083" t="b">
        <v>0</v>
      </c>
      <c r="P5083">
        <v>1</v>
      </c>
      <c r="Q5083" t="str" cm="1">
        <f t="array" ref="Q5083">_xlfn.IFS(Table1[[#This Row],[Wealthier_Winner]]=-1,"Wealthier Nation Loses",Table1[[#This Row],[Wealthier_Winner]]=0,"Tie",Table1[[#This Row],[Wealthier_Winner]]=1,"Wealthier Nation Wins")</f>
        <v>Wealthier Nation Wins</v>
      </c>
    </row>
    <row r="5084" spans="1:17" x14ac:dyDescent="0.2">
      <c r="A5084" s="1">
        <v>7451</v>
      </c>
      <c r="B5084" s="2">
        <v>42654</v>
      </c>
      <c r="C5084" s="7">
        <f>_xlfn.FLOOR.MATH(Table1[[#This Row],[year]],10)</f>
        <v>2010</v>
      </c>
      <c r="D5084" t="s">
        <v>15</v>
      </c>
      <c r="E5084" t="s">
        <v>26</v>
      </c>
      <c r="F5084">
        <v>2</v>
      </c>
      <c r="G5084">
        <v>2</v>
      </c>
      <c r="H5084" t="s">
        <v>224</v>
      </c>
      <c r="I5084" t="s">
        <v>261</v>
      </c>
      <c r="J5084" t="s">
        <v>15</v>
      </c>
      <c r="K5084" t="b">
        <v>0</v>
      </c>
      <c r="L5084">
        <v>2016</v>
      </c>
      <c r="M5084">
        <v>282720100286</v>
      </c>
      <c r="N5084">
        <v>57480787465</v>
      </c>
      <c r="O5084" t="b">
        <v>1</v>
      </c>
      <c r="P5084">
        <v>0</v>
      </c>
      <c r="Q5084" t="str" cm="1">
        <f t="array" ref="Q5084">_xlfn.IFS(Table1[[#This Row],[Wealthier_Winner]]=-1,"Wealthier Nation Loses",Table1[[#This Row],[Wealthier_Winner]]=0,"Tie",Table1[[#This Row],[Wealthier_Winner]]=1,"Wealthier Nation Wins")</f>
        <v>Tie</v>
      </c>
    </row>
    <row r="5085" spans="1:17" x14ac:dyDescent="0.2">
      <c r="A5085" s="1">
        <v>7453</v>
      </c>
      <c r="B5085" s="2">
        <v>42654</v>
      </c>
      <c r="C5085" s="7">
        <f>_xlfn.FLOOR.MATH(Table1[[#This Row],[year]],10)</f>
        <v>2010</v>
      </c>
      <c r="D5085" t="s">
        <v>36</v>
      </c>
      <c r="E5085" t="s">
        <v>705</v>
      </c>
      <c r="F5085">
        <v>0</v>
      </c>
      <c r="G5085">
        <v>1</v>
      </c>
      <c r="H5085" t="s">
        <v>224</v>
      </c>
      <c r="I5085" t="s">
        <v>264</v>
      </c>
      <c r="J5085" t="s">
        <v>36</v>
      </c>
      <c r="K5085" t="b">
        <v>0</v>
      </c>
      <c r="L5085">
        <v>2016</v>
      </c>
      <c r="M5085">
        <v>312181849372</v>
      </c>
      <c r="N5085">
        <v>4357469330</v>
      </c>
      <c r="O5085" t="b">
        <v>1</v>
      </c>
      <c r="P5085">
        <v>-1</v>
      </c>
      <c r="Q5085" t="str" cm="1">
        <f t="array" ref="Q5085">_xlfn.IFS(Table1[[#This Row],[Wealthier_Winner]]=-1,"Wealthier Nation Loses",Table1[[#This Row],[Wealthier_Winner]]=0,"Tie",Table1[[#This Row],[Wealthier_Winner]]=1,"Wealthier Nation Wins")</f>
        <v>Wealthier Nation Loses</v>
      </c>
    </row>
    <row r="5086" spans="1:17" x14ac:dyDescent="0.2">
      <c r="A5086" s="1">
        <v>7455</v>
      </c>
      <c r="B5086" s="2">
        <v>42654</v>
      </c>
      <c r="C5086" s="7">
        <f>_xlfn.FLOOR.MATH(Table1[[#This Row],[year]],10)</f>
        <v>2010</v>
      </c>
      <c r="D5086" t="s">
        <v>210</v>
      </c>
      <c r="E5086" t="s">
        <v>195</v>
      </c>
      <c r="F5086">
        <v>1</v>
      </c>
      <c r="G5086">
        <v>0</v>
      </c>
      <c r="H5086" t="s">
        <v>224</v>
      </c>
      <c r="I5086" t="s">
        <v>332</v>
      </c>
      <c r="J5086" t="s">
        <v>210</v>
      </c>
      <c r="K5086" t="b">
        <v>0</v>
      </c>
      <c r="L5086">
        <v>2016</v>
      </c>
      <c r="M5086">
        <v>478618064870</v>
      </c>
      <c r="N5086">
        <v>1579150518945</v>
      </c>
      <c r="O5086" t="b">
        <v>1</v>
      </c>
      <c r="P5086">
        <v>-1</v>
      </c>
      <c r="Q5086" t="str" cm="1">
        <f t="array" ref="Q5086">_xlfn.IFS(Table1[[#This Row],[Wealthier_Winner]]=-1,"Wealthier Nation Loses",Table1[[#This Row],[Wealthier_Winner]]=0,"Tie",Table1[[#This Row],[Wealthier_Winner]]=1,"Wealthier Nation Wins")</f>
        <v>Wealthier Nation Loses</v>
      </c>
    </row>
    <row r="5087" spans="1:17" x14ac:dyDescent="0.2">
      <c r="A5087" s="1">
        <v>7456</v>
      </c>
      <c r="B5087" s="2">
        <v>42654</v>
      </c>
      <c r="C5087" s="7">
        <f>_xlfn.FLOOR.MATH(Table1[[#This Row],[year]],10)</f>
        <v>2010</v>
      </c>
      <c r="D5087" t="s">
        <v>37</v>
      </c>
      <c r="E5087" t="s">
        <v>334</v>
      </c>
      <c r="F5087">
        <v>4</v>
      </c>
      <c r="G5087">
        <v>0</v>
      </c>
      <c r="H5087" t="s">
        <v>224</v>
      </c>
      <c r="I5087" t="s">
        <v>332</v>
      </c>
      <c r="J5087" t="s">
        <v>210</v>
      </c>
      <c r="K5087" t="b">
        <v>1</v>
      </c>
      <c r="L5087">
        <v>2016</v>
      </c>
      <c r="M5087">
        <v>166743557747</v>
      </c>
      <c r="N5087">
        <v>413366349747</v>
      </c>
      <c r="O5087" t="b">
        <v>1</v>
      </c>
      <c r="P5087">
        <v>-1</v>
      </c>
      <c r="Q5087" t="str" cm="1">
        <f t="array" ref="Q5087">_xlfn.IFS(Table1[[#This Row],[Wealthier_Winner]]=-1,"Wealthier Nation Loses",Table1[[#This Row],[Wealthier_Winner]]=0,"Tie",Table1[[#This Row],[Wealthier_Winner]]=1,"Wealthier Nation Wins")</f>
        <v>Wealthier Nation Loses</v>
      </c>
    </row>
    <row r="5088" spans="1:17" x14ac:dyDescent="0.2">
      <c r="A5088" s="1">
        <v>7457</v>
      </c>
      <c r="B5088" s="2">
        <v>42654</v>
      </c>
      <c r="C5088" s="7">
        <f>_xlfn.FLOOR.MATH(Table1[[#This Row],[year]],10)</f>
        <v>2010</v>
      </c>
      <c r="D5088" t="s">
        <v>558</v>
      </c>
      <c r="E5088" t="s">
        <v>44</v>
      </c>
      <c r="F5088">
        <v>0</v>
      </c>
      <c r="G5088">
        <v>0</v>
      </c>
      <c r="H5088" t="s">
        <v>224</v>
      </c>
      <c r="I5088" t="s">
        <v>733</v>
      </c>
      <c r="J5088" t="s">
        <v>558</v>
      </c>
      <c r="K5088" t="b">
        <v>0</v>
      </c>
      <c r="L5088">
        <v>2016</v>
      </c>
      <c r="M5088">
        <v>137278320084</v>
      </c>
      <c r="N5088">
        <v>185290759248</v>
      </c>
      <c r="O5088" t="b">
        <v>0</v>
      </c>
      <c r="P5088">
        <v>0</v>
      </c>
      <c r="Q5088" t="str" cm="1">
        <f t="array" ref="Q5088">_xlfn.IFS(Table1[[#This Row],[Wealthier_Winner]]=-1,"Wealthier Nation Loses",Table1[[#This Row],[Wealthier_Winner]]=0,"Tie",Table1[[#This Row],[Wealthier_Winner]]=1,"Wealthier Nation Wins")</f>
        <v>Tie</v>
      </c>
    </row>
    <row r="5089" spans="1:17" x14ac:dyDescent="0.2">
      <c r="A5089" s="1">
        <v>7458</v>
      </c>
      <c r="B5089" s="2">
        <v>42654</v>
      </c>
      <c r="C5089" s="7">
        <f>_xlfn.FLOOR.MATH(Table1[[#This Row],[year]],10)</f>
        <v>2010</v>
      </c>
      <c r="D5089" t="s">
        <v>523</v>
      </c>
      <c r="E5089" t="s">
        <v>303</v>
      </c>
      <c r="F5089">
        <v>2</v>
      </c>
      <c r="G5089">
        <v>0</v>
      </c>
      <c r="H5089" t="s">
        <v>224</v>
      </c>
      <c r="I5089" t="s">
        <v>533</v>
      </c>
      <c r="J5089" t="s">
        <v>523</v>
      </c>
      <c r="K5089" t="b">
        <v>0</v>
      </c>
      <c r="L5089">
        <v>2016</v>
      </c>
      <c r="M5089">
        <v>42970749245</v>
      </c>
      <c r="N5089">
        <v>12025782834</v>
      </c>
      <c r="O5089" t="b">
        <v>1</v>
      </c>
      <c r="P5089">
        <v>1</v>
      </c>
      <c r="Q5089" t="str" cm="1">
        <f t="array" ref="Q5089">_xlfn.IFS(Table1[[#This Row],[Wealthier_Winner]]=-1,"Wealthier Nation Loses",Table1[[#This Row],[Wealthier_Winner]]=0,"Tie",Table1[[#This Row],[Wealthier_Winner]]=1,"Wealthier Nation Wins")</f>
        <v>Wealthier Nation Wins</v>
      </c>
    </row>
    <row r="5090" spans="1:17" x14ac:dyDescent="0.2">
      <c r="A5090" s="1">
        <v>7459</v>
      </c>
      <c r="B5090" s="2">
        <v>42654</v>
      </c>
      <c r="C5090" s="7">
        <f>_xlfn.FLOOR.MATH(Table1[[#This Row],[year]],10)</f>
        <v>2010</v>
      </c>
      <c r="D5090" t="s">
        <v>42</v>
      </c>
      <c r="E5090" t="s">
        <v>549</v>
      </c>
      <c r="F5090">
        <v>4</v>
      </c>
      <c r="G5090">
        <v>1</v>
      </c>
      <c r="H5090" t="s">
        <v>224</v>
      </c>
      <c r="I5090" t="s">
        <v>262</v>
      </c>
      <c r="J5090" t="s">
        <v>42</v>
      </c>
      <c r="K5090" t="b">
        <v>0</v>
      </c>
      <c r="L5090">
        <v>2016</v>
      </c>
      <c r="M5090">
        <v>370956547619</v>
      </c>
      <c r="N5090">
        <v>1468343139</v>
      </c>
      <c r="O5090" t="b">
        <v>1</v>
      </c>
      <c r="P5090">
        <v>1</v>
      </c>
      <c r="Q5090" t="str" cm="1">
        <f t="array" ref="Q5090">_xlfn.IFS(Table1[[#This Row],[Wealthier_Winner]]=-1,"Wealthier Nation Loses",Table1[[#This Row],[Wealthier_Winner]]=0,"Tie",Table1[[#This Row],[Wealthier_Winner]]=1,"Wealthier Nation Wins")</f>
        <v>Wealthier Nation Wins</v>
      </c>
    </row>
    <row r="5091" spans="1:17" x14ac:dyDescent="0.2">
      <c r="A5091" s="1">
        <v>7460</v>
      </c>
      <c r="B5091" s="2">
        <v>42654</v>
      </c>
      <c r="C5091" s="7">
        <f>_xlfn.FLOOR.MATH(Table1[[#This Row],[year]],10)</f>
        <v>2010</v>
      </c>
      <c r="D5091" t="s">
        <v>58</v>
      </c>
      <c r="E5091" t="s">
        <v>519</v>
      </c>
      <c r="F5091">
        <v>2</v>
      </c>
      <c r="G5091">
        <v>1</v>
      </c>
      <c r="H5091" t="s">
        <v>224</v>
      </c>
      <c r="I5091" t="s">
        <v>619</v>
      </c>
      <c r="J5091" t="s">
        <v>58</v>
      </c>
      <c r="K5091" t="b">
        <v>0</v>
      </c>
      <c r="L5091">
        <v>2016</v>
      </c>
      <c r="M5091">
        <v>473259583969</v>
      </c>
      <c r="N5091">
        <v>10546136235</v>
      </c>
      <c r="O5091" t="b">
        <v>1</v>
      </c>
      <c r="P5091">
        <v>1</v>
      </c>
      <c r="Q5091" t="str" cm="1">
        <f t="array" ref="Q5091">_xlfn.IFS(Table1[[#This Row],[Wealthier_Winner]]=-1,"Wealthier Nation Loses",Table1[[#This Row],[Wealthier_Winner]]=0,"Tie",Table1[[#This Row],[Wealthier_Winner]]=1,"Wealthier Nation Wins")</f>
        <v>Wealthier Nation Wins</v>
      </c>
    </row>
    <row r="5092" spans="1:17" x14ac:dyDescent="0.2">
      <c r="A5092" s="1">
        <v>7461</v>
      </c>
      <c r="B5092" s="2">
        <v>42654</v>
      </c>
      <c r="C5092" s="7">
        <f>_xlfn.FLOOR.MATH(Table1[[#This Row],[year]],10)</f>
        <v>2010</v>
      </c>
      <c r="D5092" t="s">
        <v>68</v>
      </c>
      <c r="E5092" t="s">
        <v>331</v>
      </c>
      <c r="F5092">
        <v>1</v>
      </c>
      <c r="G5092">
        <v>0</v>
      </c>
      <c r="H5092" t="s">
        <v>224</v>
      </c>
      <c r="I5092" t="s">
        <v>190</v>
      </c>
      <c r="J5092" t="s">
        <v>68</v>
      </c>
      <c r="K5092" t="b">
        <v>0</v>
      </c>
      <c r="L5092">
        <v>2016</v>
      </c>
      <c r="M5092">
        <v>151732142857</v>
      </c>
      <c r="N5092">
        <v>12597854877</v>
      </c>
      <c r="O5092" t="b">
        <v>1</v>
      </c>
      <c r="P5092">
        <v>1</v>
      </c>
      <c r="Q5092" t="str" cm="1">
        <f t="array" ref="Q5092">_xlfn.IFS(Table1[[#This Row],[Wealthier_Winner]]=-1,"Wealthier Nation Loses",Table1[[#This Row],[Wealthier_Winner]]=0,"Tie",Table1[[#This Row],[Wealthier_Winner]]=1,"Wealthier Nation Wins")</f>
        <v>Wealthier Nation Wins</v>
      </c>
    </row>
    <row r="5093" spans="1:17" x14ac:dyDescent="0.2">
      <c r="A5093" s="1">
        <v>7462</v>
      </c>
      <c r="B5093" s="2">
        <v>42654</v>
      </c>
      <c r="C5093" s="7">
        <f>_xlfn.FLOOR.MATH(Table1[[#This Row],[year]],10)</f>
        <v>2010</v>
      </c>
      <c r="D5093" t="s">
        <v>45</v>
      </c>
      <c r="E5093" t="s">
        <v>39</v>
      </c>
      <c r="F5093">
        <v>3</v>
      </c>
      <c r="G5093">
        <v>0</v>
      </c>
      <c r="H5093" t="s">
        <v>224</v>
      </c>
      <c r="I5093" t="s">
        <v>354</v>
      </c>
      <c r="J5093" t="s">
        <v>45</v>
      </c>
      <c r="K5093" t="b">
        <v>0</v>
      </c>
      <c r="L5093">
        <v>2016</v>
      </c>
      <c r="M5093">
        <v>689279466666</v>
      </c>
      <c r="N5093">
        <v>381717086453</v>
      </c>
      <c r="O5093" t="b">
        <v>0</v>
      </c>
      <c r="P5093">
        <v>1</v>
      </c>
      <c r="Q5093" t="str" cm="1">
        <f t="array" ref="Q5093">_xlfn.IFS(Table1[[#This Row],[Wealthier_Winner]]=-1,"Wealthier Nation Loses",Table1[[#This Row],[Wealthier_Winner]]=0,"Tie",Table1[[#This Row],[Wealthier_Winner]]=1,"Wealthier Nation Wins")</f>
        <v>Wealthier Nation Wins</v>
      </c>
    </row>
    <row r="5094" spans="1:17" x14ac:dyDescent="0.2">
      <c r="A5094" s="1">
        <v>7464</v>
      </c>
      <c r="B5094" s="2">
        <v>42654</v>
      </c>
      <c r="C5094" s="7">
        <f>_xlfn.FLOOR.MATH(Table1[[#This Row],[year]],10)</f>
        <v>2010</v>
      </c>
      <c r="D5094" t="s">
        <v>55</v>
      </c>
      <c r="E5094" t="s">
        <v>194</v>
      </c>
      <c r="F5094">
        <v>0</v>
      </c>
      <c r="G5094">
        <v>0</v>
      </c>
      <c r="H5094" t="s">
        <v>224</v>
      </c>
      <c r="I5094" t="s">
        <v>529</v>
      </c>
      <c r="J5094" t="s">
        <v>55</v>
      </c>
      <c r="K5094" t="b">
        <v>0</v>
      </c>
      <c r="L5094">
        <v>2016</v>
      </c>
      <c r="M5094">
        <v>44290685824</v>
      </c>
      <c r="N5094">
        <v>2706807606538</v>
      </c>
      <c r="O5094" t="b">
        <v>1</v>
      </c>
      <c r="P5094">
        <v>0</v>
      </c>
      <c r="Q5094" t="str" cm="1">
        <f t="array" ref="Q5094">_xlfn.IFS(Table1[[#This Row],[Wealthier_Winner]]=-1,"Wealthier Nation Loses",Table1[[#This Row],[Wealthier_Winner]]=0,"Tie",Table1[[#This Row],[Wealthier_Winner]]=1,"Wealthier Nation Wins")</f>
        <v>Tie</v>
      </c>
    </row>
    <row r="5095" spans="1:17" x14ac:dyDescent="0.2">
      <c r="A5095" s="1">
        <v>7466</v>
      </c>
      <c r="B5095" s="2">
        <v>42654</v>
      </c>
      <c r="C5095" s="7">
        <f>_xlfn.FLOOR.MATH(Table1[[#This Row],[year]],10)</f>
        <v>2010</v>
      </c>
      <c r="D5095" t="s">
        <v>258</v>
      </c>
      <c r="E5095" t="s">
        <v>13</v>
      </c>
      <c r="F5095">
        <v>0</v>
      </c>
      <c r="G5095">
        <v>2</v>
      </c>
      <c r="H5095" t="s">
        <v>224</v>
      </c>
      <c r="I5095" t="s">
        <v>545</v>
      </c>
      <c r="J5095" t="s">
        <v>258</v>
      </c>
      <c r="K5095" t="b">
        <v>0</v>
      </c>
      <c r="L5095">
        <v>2016</v>
      </c>
      <c r="M5095">
        <v>112915034262</v>
      </c>
      <c r="N5095">
        <v>1795693265999</v>
      </c>
      <c r="O5095" t="b">
        <v>1</v>
      </c>
      <c r="P5095">
        <v>1</v>
      </c>
      <c r="Q5095" t="str" cm="1">
        <f t="array" ref="Q5095">_xlfn.IFS(Table1[[#This Row],[Wealthier_Winner]]=-1,"Wealthier Nation Loses",Table1[[#This Row],[Wealthier_Winner]]=0,"Tie",Table1[[#This Row],[Wealthier_Winner]]=1,"Wealthier Nation Wins")</f>
        <v>Wealthier Nation Wins</v>
      </c>
    </row>
    <row r="5096" spans="1:17" x14ac:dyDescent="0.2">
      <c r="A5096" s="1">
        <v>7468</v>
      </c>
      <c r="B5096" s="2">
        <v>42684</v>
      </c>
      <c r="C5096" s="7">
        <f>_xlfn.FLOOR.MATH(Table1[[#This Row],[year]],10)</f>
        <v>2010</v>
      </c>
      <c r="D5096" t="s">
        <v>13</v>
      </c>
      <c r="E5096" t="s">
        <v>19</v>
      </c>
      <c r="F5096">
        <v>3</v>
      </c>
      <c r="G5096">
        <v>0</v>
      </c>
      <c r="H5096" t="s">
        <v>224</v>
      </c>
      <c r="I5096" t="s">
        <v>171</v>
      </c>
      <c r="J5096" t="s">
        <v>13</v>
      </c>
      <c r="K5096" t="b">
        <v>0</v>
      </c>
      <c r="L5096">
        <v>2016</v>
      </c>
      <c r="M5096">
        <v>1795693265999</v>
      </c>
      <c r="N5096">
        <v>557532320662</v>
      </c>
      <c r="O5096" t="b">
        <v>1</v>
      </c>
      <c r="P5096">
        <v>1</v>
      </c>
      <c r="Q5096" t="str" cm="1">
        <f t="array" ref="Q5096">_xlfn.IFS(Table1[[#This Row],[Wealthier_Winner]]=-1,"Wealthier Nation Loses",Table1[[#This Row],[Wealthier_Winner]]=0,"Tie",Table1[[#This Row],[Wealthier_Winner]]=1,"Wealthier Nation Wins")</f>
        <v>Wealthier Nation Wins</v>
      </c>
    </row>
    <row r="5097" spans="1:17" x14ac:dyDescent="0.2">
      <c r="A5097" s="1">
        <v>7469</v>
      </c>
      <c r="B5097" s="2">
        <v>42684</v>
      </c>
      <c r="C5097" s="7">
        <f>_xlfn.FLOOR.MATH(Table1[[#This Row],[year]],10)</f>
        <v>2010</v>
      </c>
      <c r="D5097" t="s">
        <v>15</v>
      </c>
      <c r="E5097" t="s">
        <v>14</v>
      </c>
      <c r="F5097">
        <v>0</v>
      </c>
      <c r="G5097">
        <v>0</v>
      </c>
      <c r="H5097" t="s">
        <v>224</v>
      </c>
      <c r="I5097" t="s">
        <v>261</v>
      </c>
      <c r="J5097" t="s">
        <v>15</v>
      </c>
      <c r="K5097" t="b">
        <v>0</v>
      </c>
      <c r="L5097">
        <v>2016</v>
      </c>
      <c r="M5097">
        <v>282720100286</v>
      </c>
      <c r="N5097">
        <v>249344863928</v>
      </c>
      <c r="O5097" t="b">
        <v>0</v>
      </c>
      <c r="P5097">
        <v>0</v>
      </c>
      <c r="Q5097" t="str" cm="1">
        <f t="array" ref="Q5097">_xlfn.IFS(Table1[[#This Row],[Wealthier_Winner]]=-1,"Wealthier Nation Loses",Table1[[#This Row],[Wealthier_Winner]]=0,"Tie",Table1[[#This Row],[Wealthier_Winner]]=1,"Wealthier Nation Wins")</f>
        <v>Tie</v>
      </c>
    </row>
    <row r="5098" spans="1:17" x14ac:dyDescent="0.2">
      <c r="A5098" s="1">
        <v>7470</v>
      </c>
      <c r="B5098" s="2">
        <v>42684</v>
      </c>
      <c r="C5098" s="7">
        <f>_xlfn.FLOOR.MATH(Table1[[#This Row],[year]],10)</f>
        <v>2010</v>
      </c>
      <c r="D5098" t="s">
        <v>35</v>
      </c>
      <c r="E5098" t="s">
        <v>31</v>
      </c>
      <c r="F5098">
        <v>1</v>
      </c>
      <c r="G5098">
        <v>4</v>
      </c>
      <c r="H5098" t="s">
        <v>224</v>
      </c>
      <c r="I5098" t="s">
        <v>250</v>
      </c>
      <c r="J5098" t="s">
        <v>35</v>
      </c>
      <c r="K5098" t="b">
        <v>0</v>
      </c>
      <c r="L5098">
        <v>2016</v>
      </c>
      <c r="M5098">
        <v>36089700222</v>
      </c>
      <c r="N5098">
        <v>191898104390</v>
      </c>
      <c r="O5098" t="b">
        <v>1</v>
      </c>
      <c r="P5098">
        <v>1</v>
      </c>
      <c r="Q5098" t="str" cm="1">
        <f t="array" ref="Q5098">_xlfn.IFS(Table1[[#This Row],[Wealthier_Winner]]=-1,"Wealthier Nation Loses",Table1[[#This Row],[Wealthier_Winner]]=0,"Tie",Table1[[#This Row],[Wealthier_Winner]]=1,"Wealthier Nation Wins")</f>
        <v>Wealthier Nation Wins</v>
      </c>
    </row>
    <row r="5099" spans="1:17" x14ac:dyDescent="0.2">
      <c r="A5099" s="1">
        <v>7471</v>
      </c>
      <c r="B5099" s="2">
        <v>42684</v>
      </c>
      <c r="C5099" s="7">
        <f>_xlfn.FLOOR.MATH(Table1[[#This Row],[year]],10)</f>
        <v>2010</v>
      </c>
      <c r="D5099" t="s">
        <v>26</v>
      </c>
      <c r="E5099" t="s">
        <v>57</v>
      </c>
      <c r="F5099">
        <v>2</v>
      </c>
      <c r="G5099">
        <v>1</v>
      </c>
      <c r="H5099" t="s">
        <v>224</v>
      </c>
      <c r="I5099" t="s">
        <v>247</v>
      </c>
      <c r="J5099" t="s">
        <v>26</v>
      </c>
      <c r="K5099" t="b">
        <v>0</v>
      </c>
      <c r="L5099">
        <v>2016</v>
      </c>
      <c r="M5099">
        <v>57480787465</v>
      </c>
      <c r="N5099">
        <v>97671433000</v>
      </c>
      <c r="O5099" t="b">
        <v>0</v>
      </c>
      <c r="P5099">
        <v>-1</v>
      </c>
      <c r="Q5099" t="str" cm="1">
        <f t="array" ref="Q5099">_xlfn.IFS(Table1[[#This Row],[Wealthier_Winner]]=-1,"Wealthier Nation Loses",Table1[[#This Row],[Wealthier_Winner]]=0,"Tie",Table1[[#This Row],[Wealthier_Winner]]=1,"Wealthier Nation Wins")</f>
        <v>Wealthier Nation Loses</v>
      </c>
    </row>
    <row r="5100" spans="1:17" x14ac:dyDescent="0.2">
      <c r="A5100" s="1">
        <v>7472</v>
      </c>
      <c r="B5100" s="2">
        <v>42684</v>
      </c>
      <c r="C5100" s="7">
        <f>_xlfn.FLOOR.MATH(Table1[[#This Row],[year]],10)</f>
        <v>2010</v>
      </c>
      <c r="D5100" t="s">
        <v>258</v>
      </c>
      <c r="E5100" t="s">
        <v>47</v>
      </c>
      <c r="F5100">
        <v>5</v>
      </c>
      <c r="G5100">
        <v>0</v>
      </c>
      <c r="H5100" t="s">
        <v>224</v>
      </c>
      <c r="I5100" t="s">
        <v>811</v>
      </c>
      <c r="J5100" t="s">
        <v>258</v>
      </c>
      <c r="K5100" t="b">
        <v>0</v>
      </c>
      <c r="L5100">
        <v>2016</v>
      </c>
      <c r="M5100">
        <v>112915034262</v>
      </c>
      <c r="N5100">
        <v>33941126193</v>
      </c>
      <c r="O5100" t="b">
        <v>1</v>
      </c>
      <c r="P5100">
        <v>1</v>
      </c>
      <c r="Q5100" t="str" cm="1">
        <f t="array" ref="Q5100">_xlfn.IFS(Table1[[#This Row],[Wealthier_Winner]]=-1,"Wealthier Nation Loses",Table1[[#This Row],[Wealthier_Winner]]=0,"Tie",Table1[[#This Row],[Wealthier_Winner]]=1,"Wealthier Nation Wins")</f>
        <v>Wealthier Nation Wins</v>
      </c>
    </row>
    <row r="5101" spans="1:17" x14ac:dyDescent="0.2">
      <c r="A5101" s="1">
        <v>7473</v>
      </c>
      <c r="B5101" s="2">
        <v>42685</v>
      </c>
      <c r="C5101" s="7">
        <f>_xlfn.FLOOR.MATH(Table1[[#This Row],[year]],10)</f>
        <v>2010</v>
      </c>
      <c r="D5101" t="s">
        <v>519</v>
      </c>
      <c r="E5101" t="s">
        <v>705</v>
      </c>
      <c r="F5101">
        <v>3</v>
      </c>
      <c r="G5101">
        <v>2</v>
      </c>
      <c r="H5101" t="s">
        <v>224</v>
      </c>
      <c r="I5101" t="s">
        <v>520</v>
      </c>
      <c r="J5101" t="s">
        <v>519</v>
      </c>
      <c r="K5101" t="b">
        <v>0</v>
      </c>
      <c r="L5101">
        <v>2016</v>
      </c>
      <c r="M5101">
        <v>10546136235</v>
      </c>
      <c r="N5101">
        <v>4357469330</v>
      </c>
      <c r="O5101" t="b">
        <v>1</v>
      </c>
      <c r="P5101">
        <v>1</v>
      </c>
      <c r="Q5101" t="str" cm="1">
        <f t="array" ref="Q5101">_xlfn.IFS(Table1[[#This Row],[Wealthier_Winner]]=-1,"Wealthier Nation Loses",Table1[[#This Row],[Wealthier_Winner]]=0,"Tie",Table1[[#This Row],[Wealthier_Winner]]=1,"Wealthier Nation Wins")</f>
        <v>Wealthier Nation Wins</v>
      </c>
    </row>
    <row r="5102" spans="1:17" x14ac:dyDescent="0.2">
      <c r="A5102" s="1">
        <v>7475</v>
      </c>
      <c r="B5102" s="2">
        <v>42685</v>
      </c>
      <c r="C5102" s="7">
        <f>_xlfn.FLOOR.MATH(Table1[[#This Row],[year]],10)</f>
        <v>2010</v>
      </c>
      <c r="D5102" t="s">
        <v>36</v>
      </c>
      <c r="E5102" t="s">
        <v>558</v>
      </c>
      <c r="F5102">
        <v>4</v>
      </c>
      <c r="G5102">
        <v>1</v>
      </c>
      <c r="H5102" t="s">
        <v>224</v>
      </c>
      <c r="I5102" t="s">
        <v>264</v>
      </c>
      <c r="J5102" t="s">
        <v>36</v>
      </c>
      <c r="K5102" t="b">
        <v>0</v>
      </c>
      <c r="L5102">
        <v>2016</v>
      </c>
      <c r="M5102">
        <v>312181849372</v>
      </c>
      <c r="N5102">
        <v>137278320084</v>
      </c>
      <c r="O5102" t="b">
        <v>1</v>
      </c>
      <c r="P5102">
        <v>1</v>
      </c>
      <c r="Q5102" t="str" cm="1">
        <f t="array" ref="Q5102">_xlfn.IFS(Table1[[#This Row],[Wealthier_Winner]]=-1,"Wealthier Nation Loses",Table1[[#This Row],[Wealthier_Winner]]=0,"Tie",Table1[[#This Row],[Wealthier_Winner]]=1,"Wealthier Nation Wins")</f>
        <v>Wealthier Nation Wins</v>
      </c>
    </row>
    <row r="5103" spans="1:17" x14ac:dyDescent="0.2">
      <c r="A5103" s="1">
        <v>7477</v>
      </c>
      <c r="B5103" s="2">
        <v>42685</v>
      </c>
      <c r="C5103" s="7">
        <f>_xlfn.FLOOR.MATH(Table1[[#This Row],[year]],10)</f>
        <v>2010</v>
      </c>
      <c r="D5103" t="s">
        <v>20</v>
      </c>
      <c r="E5103" t="s">
        <v>25</v>
      </c>
      <c r="F5103">
        <v>2</v>
      </c>
      <c r="G5103">
        <v>1</v>
      </c>
      <c r="H5103" t="s">
        <v>224</v>
      </c>
      <c r="I5103" t="s">
        <v>132</v>
      </c>
      <c r="J5103" t="s">
        <v>20</v>
      </c>
      <c r="K5103" t="b">
        <v>0</v>
      </c>
      <c r="L5103">
        <v>2016</v>
      </c>
      <c r="M5103">
        <v>2470407619777</v>
      </c>
      <c r="N5103">
        <v>513058312950</v>
      </c>
      <c r="O5103" t="b">
        <v>1</v>
      </c>
      <c r="P5103">
        <v>1</v>
      </c>
      <c r="Q5103" t="str" cm="1">
        <f t="array" ref="Q5103">_xlfn.IFS(Table1[[#This Row],[Wealthier_Winner]]=-1,"Wealthier Nation Loses",Table1[[#This Row],[Wealthier_Winner]]=0,"Tie",Table1[[#This Row],[Wealthier_Winner]]=1,"Wealthier Nation Wins")</f>
        <v>Wealthier Nation Wins</v>
      </c>
    </row>
    <row r="5104" spans="1:17" x14ac:dyDescent="0.2">
      <c r="A5104" s="1">
        <v>7478</v>
      </c>
      <c r="B5104" s="2">
        <v>42685</v>
      </c>
      <c r="C5104" s="7">
        <f>_xlfn.FLOOR.MATH(Table1[[#This Row],[year]],10)</f>
        <v>2010</v>
      </c>
      <c r="D5104" t="s">
        <v>65</v>
      </c>
      <c r="E5104" t="s">
        <v>67</v>
      </c>
      <c r="F5104">
        <v>0</v>
      </c>
      <c r="G5104">
        <v>1</v>
      </c>
      <c r="H5104" t="s">
        <v>224</v>
      </c>
      <c r="I5104" t="s">
        <v>254</v>
      </c>
      <c r="J5104" t="s">
        <v>65</v>
      </c>
      <c r="K5104" t="b">
        <v>0</v>
      </c>
      <c r="L5104">
        <v>2016</v>
      </c>
      <c r="M5104">
        <v>21717604952</v>
      </c>
      <c r="N5104">
        <v>59760858717</v>
      </c>
      <c r="O5104" t="b">
        <v>1</v>
      </c>
      <c r="P5104">
        <v>1</v>
      </c>
      <c r="Q5104" t="str" cm="1">
        <f t="array" ref="Q5104">_xlfn.IFS(Table1[[#This Row],[Wealthier_Winner]]=-1,"Wealthier Nation Loses",Table1[[#This Row],[Wealthier_Winner]]=0,"Tie",Table1[[#This Row],[Wealthier_Winner]]=1,"Wealthier Nation Wins")</f>
        <v>Wealthier Nation Wins</v>
      </c>
    </row>
    <row r="5105" spans="1:17" x14ac:dyDescent="0.2">
      <c r="A5105" s="1">
        <v>7479</v>
      </c>
      <c r="B5105" s="2">
        <v>42685</v>
      </c>
      <c r="C5105" s="7">
        <f>_xlfn.FLOOR.MATH(Table1[[#This Row],[year]],10)</f>
        <v>2010</v>
      </c>
      <c r="D5105" t="s">
        <v>286</v>
      </c>
      <c r="E5105" t="s">
        <v>53</v>
      </c>
      <c r="F5105">
        <v>0</v>
      </c>
      <c r="G5105">
        <v>1</v>
      </c>
      <c r="H5105" t="s">
        <v>224</v>
      </c>
      <c r="I5105" t="s">
        <v>279</v>
      </c>
      <c r="J5105" t="s">
        <v>32</v>
      </c>
      <c r="K5105" t="b">
        <v>1</v>
      </c>
      <c r="L5105">
        <v>2016</v>
      </c>
      <c r="M5105">
        <v>49912073701</v>
      </c>
      <c r="N5105">
        <v>44360072680</v>
      </c>
      <c r="O5105" t="b">
        <v>0</v>
      </c>
      <c r="P5105">
        <v>-1</v>
      </c>
      <c r="Q5105" t="str" cm="1">
        <f t="array" ref="Q5105">_xlfn.IFS(Table1[[#This Row],[Wealthier_Winner]]=-1,"Wealthier Nation Loses",Table1[[#This Row],[Wealthier_Winner]]=0,"Tie",Table1[[#This Row],[Wealthier_Winner]]=1,"Wealthier Nation Wins")</f>
        <v>Wealthier Nation Loses</v>
      </c>
    </row>
    <row r="5106" spans="1:17" x14ac:dyDescent="0.2">
      <c r="A5106" s="1">
        <v>7480</v>
      </c>
      <c r="B5106" s="2">
        <v>42685</v>
      </c>
      <c r="C5106" s="7">
        <f>_xlfn.FLOOR.MATH(Table1[[#This Row],[year]],10)</f>
        <v>2010</v>
      </c>
      <c r="D5106" t="s">
        <v>303</v>
      </c>
      <c r="E5106" t="s">
        <v>55</v>
      </c>
      <c r="F5106">
        <v>0</v>
      </c>
      <c r="G5106">
        <v>1</v>
      </c>
      <c r="H5106" t="s">
        <v>224</v>
      </c>
      <c r="I5106" t="s">
        <v>399</v>
      </c>
      <c r="J5106" t="s">
        <v>303</v>
      </c>
      <c r="K5106" t="b">
        <v>0</v>
      </c>
      <c r="L5106">
        <v>2016</v>
      </c>
      <c r="M5106">
        <v>12025782834</v>
      </c>
      <c r="N5106">
        <v>44290685824</v>
      </c>
      <c r="O5106" t="b">
        <v>1</v>
      </c>
      <c r="P5106">
        <v>1</v>
      </c>
      <c r="Q5106" t="str" cm="1">
        <f t="array" ref="Q5106">_xlfn.IFS(Table1[[#This Row],[Wealthier_Winner]]=-1,"Wealthier Nation Loses",Table1[[#This Row],[Wealthier_Winner]]=0,"Tie",Table1[[#This Row],[Wealthier_Winner]]=1,"Wealthier Nation Wins")</f>
        <v>Wealthier Nation Wins</v>
      </c>
    </row>
    <row r="5107" spans="1:17" x14ac:dyDescent="0.2">
      <c r="A5107" s="1">
        <v>7482</v>
      </c>
      <c r="B5107" s="2">
        <v>42685</v>
      </c>
      <c r="C5107" s="7">
        <f>_xlfn.FLOOR.MATH(Table1[[#This Row],[year]],10)</f>
        <v>2010</v>
      </c>
      <c r="D5107" t="s">
        <v>44</v>
      </c>
      <c r="E5107" t="s">
        <v>58</v>
      </c>
      <c r="F5107">
        <v>0</v>
      </c>
      <c r="G5107">
        <v>3</v>
      </c>
      <c r="H5107" t="s">
        <v>224</v>
      </c>
      <c r="I5107" t="s">
        <v>425</v>
      </c>
      <c r="J5107" t="s">
        <v>44</v>
      </c>
      <c r="K5107" t="b">
        <v>0</v>
      </c>
      <c r="L5107">
        <v>2016</v>
      </c>
      <c r="M5107">
        <v>185290759248</v>
      </c>
      <c r="N5107">
        <v>473259583969</v>
      </c>
      <c r="O5107" t="b">
        <v>1</v>
      </c>
      <c r="P5107">
        <v>1</v>
      </c>
      <c r="Q5107" t="str" cm="1">
        <f t="array" ref="Q5107">_xlfn.IFS(Table1[[#This Row],[Wealthier_Winner]]=-1,"Wealthier Nation Loses",Table1[[#This Row],[Wealthier_Winner]]=0,"Tie",Table1[[#This Row],[Wealthier_Winner]]=1,"Wealthier Nation Wins")</f>
        <v>Wealthier Nation Wins</v>
      </c>
    </row>
    <row r="5108" spans="1:17" x14ac:dyDescent="0.2">
      <c r="A5108" s="1">
        <v>7483</v>
      </c>
      <c r="B5108" s="2">
        <v>42685</v>
      </c>
      <c r="C5108" s="7">
        <f>_xlfn.FLOOR.MATH(Table1[[#This Row],[year]],10)</f>
        <v>2010</v>
      </c>
      <c r="D5108" t="s">
        <v>549</v>
      </c>
      <c r="E5108" t="s">
        <v>16</v>
      </c>
      <c r="F5108">
        <v>0</v>
      </c>
      <c r="G5108">
        <v>8</v>
      </c>
      <c r="H5108" t="s">
        <v>224</v>
      </c>
      <c r="I5108" t="s">
        <v>555</v>
      </c>
      <c r="J5108" t="s">
        <v>549</v>
      </c>
      <c r="K5108" t="b">
        <v>0</v>
      </c>
      <c r="L5108">
        <v>2016</v>
      </c>
      <c r="M5108">
        <v>1468343139</v>
      </c>
      <c r="N5108">
        <v>3536787895179</v>
      </c>
      <c r="O5108" t="b">
        <v>1</v>
      </c>
      <c r="P5108">
        <v>1</v>
      </c>
      <c r="Q5108" t="str" cm="1">
        <f t="array" ref="Q5108">_xlfn.IFS(Table1[[#This Row],[Wealthier_Winner]]=-1,"Wealthier Nation Loses",Table1[[#This Row],[Wealthier_Winner]]=0,"Tie",Table1[[#This Row],[Wealthier_Winner]]=1,"Wealthier Nation Wins")</f>
        <v>Wealthier Nation Wins</v>
      </c>
    </row>
    <row r="5109" spans="1:17" x14ac:dyDescent="0.2">
      <c r="A5109" s="1">
        <v>7485</v>
      </c>
      <c r="B5109" s="2">
        <v>42685</v>
      </c>
      <c r="C5109" s="7">
        <f>_xlfn.FLOOR.MATH(Table1[[#This Row],[year]],10)</f>
        <v>2010</v>
      </c>
      <c r="D5109" t="s">
        <v>59</v>
      </c>
      <c r="E5109" t="s">
        <v>56</v>
      </c>
      <c r="F5109">
        <v>0</v>
      </c>
      <c r="G5109">
        <v>2</v>
      </c>
      <c r="H5109" t="s">
        <v>224</v>
      </c>
      <c r="I5109" t="s">
        <v>253</v>
      </c>
      <c r="J5109" t="s">
        <v>59</v>
      </c>
      <c r="K5109" t="b">
        <v>0</v>
      </c>
      <c r="L5109">
        <v>2016</v>
      </c>
      <c r="M5109">
        <v>23624322192</v>
      </c>
      <c r="N5109">
        <v>58847019609</v>
      </c>
      <c r="O5109" t="b">
        <v>1</v>
      </c>
      <c r="P5109">
        <v>1</v>
      </c>
      <c r="Q5109" t="str" cm="1">
        <f t="array" ref="Q5109">_xlfn.IFS(Table1[[#This Row],[Wealthier_Winner]]=-1,"Wealthier Nation Loses",Table1[[#This Row],[Wealthier_Winner]]=0,"Tie",Table1[[#This Row],[Wealthier_Winner]]=1,"Wealthier Nation Wins")</f>
        <v>Wealthier Nation Wins</v>
      </c>
    </row>
    <row r="5110" spans="1:17" x14ac:dyDescent="0.2">
      <c r="A5110" s="1">
        <v>7486</v>
      </c>
      <c r="B5110" s="2">
        <v>42685</v>
      </c>
      <c r="C5110" s="7">
        <f>_xlfn.FLOOR.MATH(Table1[[#This Row],[year]],10)</f>
        <v>2010</v>
      </c>
      <c r="D5110" t="s">
        <v>41</v>
      </c>
      <c r="E5110" t="s">
        <v>17</v>
      </c>
      <c r="F5110">
        <v>1</v>
      </c>
      <c r="G5110">
        <v>2</v>
      </c>
      <c r="H5110" t="s">
        <v>224</v>
      </c>
      <c r="I5110" t="s">
        <v>607</v>
      </c>
      <c r="J5110" t="s">
        <v>41</v>
      </c>
      <c r="K5110" t="b">
        <v>0</v>
      </c>
      <c r="L5110">
        <v>2016</v>
      </c>
      <c r="M5110">
        <v>18695110842000</v>
      </c>
      <c r="N5110">
        <v>1112233497452</v>
      </c>
      <c r="O5110" t="b">
        <v>1</v>
      </c>
      <c r="P5110">
        <v>-1</v>
      </c>
      <c r="Q5110" t="str" cm="1">
        <f t="array" ref="Q5110">_xlfn.IFS(Table1[[#This Row],[Wealthier_Winner]]=-1,"Wealthier Nation Loses",Table1[[#This Row],[Wealthier_Winner]]=0,"Tie",Table1[[#This Row],[Wealthier_Winner]]=1,"Wealthier Nation Wins")</f>
        <v>Wealthier Nation Loses</v>
      </c>
    </row>
    <row r="5111" spans="1:17" x14ac:dyDescent="0.2">
      <c r="A5111" s="1">
        <v>7487</v>
      </c>
      <c r="B5111" s="2">
        <v>42686</v>
      </c>
      <c r="C5111" s="7">
        <f>_xlfn.FLOOR.MATH(Table1[[#This Row],[year]],10)</f>
        <v>2010</v>
      </c>
      <c r="D5111" t="s">
        <v>373</v>
      </c>
      <c r="E5111" t="s">
        <v>22</v>
      </c>
      <c r="F5111">
        <v>0</v>
      </c>
      <c r="G5111">
        <v>3</v>
      </c>
      <c r="H5111" t="s">
        <v>224</v>
      </c>
      <c r="I5111" t="s">
        <v>812</v>
      </c>
      <c r="J5111" t="s">
        <v>373</v>
      </c>
      <c r="K5111" t="b">
        <v>0</v>
      </c>
      <c r="L5111">
        <v>2016</v>
      </c>
      <c r="M5111">
        <v>11988668784</v>
      </c>
      <c r="N5111">
        <v>321940971558</v>
      </c>
      <c r="O5111" t="b">
        <v>1</v>
      </c>
      <c r="P5111">
        <v>1</v>
      </c>
      <c r="Q5111" t="str" cm="1">
        <f t="array" ref="Q5111">_xlfn.IFS(Table1[[#This Row],[Wealthier_Winner]]=-1,"Wealthier Nation Loses",Table1[[#This Row],[Wealthier_Winner]]=0,"Tie",Table1[[#This Row],[Wealthier_Winner]]=1,"Wealthier Nation Wins")</f>
        <v>Wealthier Nation Wins</v>
      </c>
    </row>
    <row r="5112" spans="1:17" x14ac:dyDescent="0.2">
      <c r="A5112" s="1">
        <v>7489</v>
      </c>
      <c r="B5112" s="2">
        <v>42686</v>
      </c>
      <c r="C5112" s="7">
        <f>_xlfn.FLOOR.MATH(Table1[[#This Row],[year]],10)</f>
        <v>2010</v>
      </c>
      <c r="D5112" t="s">
        <v>40</v>
      </c>
      <c r="E5112" t="s">
        <v>273</v>
      </c>
      <c r="F5112">
        <v>1</v>
      </c>
      <c r="G5112">
        <v>1</v>
      </c>
      <c r="H5112" t="s">
        <v>224</v>
      </c>
      <c r="I5112" t="s">
        <v>813</v>
      </c>
      <c r="J5112" t="s">
        <v>40</v>
      </c>
      <c r="K5112" t="b">
        <v>0</v>
      </c>
      <c r="L5112">
        <v>2016</v>
      </c>
      <c r="M5112">
        <v>33814337044</v>
      </c>
      <c r="N5112">
        <v>20958412538</v>
      </c>
      <c r="O5112" t="b">
        <v>0</v>
      </c>
      <c r="P5112">
        <v>0</v>
      </c>
      <c r="Q5112" t="str" cm="1">
        <f t="array" ref="Q5112">_xlfn.IFS(Table1[[#This Row],[Wealthier_Winner]]=-1,"Wealthier Nation Loses",Table1[[#This Row],[Wealthier_Winner]]=0,"Tie",Table1[[#This Row],[Wealthier_Winner]]=1,"Wealthier Nation Wins")</f>
        <v>Tie</v>
      </c>
    </row>
    <row r="5113" spans="1:17" x14ac:dyDescent="0.2">
      <c r="A5113" s="1">
        <v>7491</v>
      </c>
      <c r="B5113" s="2">
        <v>42686</v>
      </c>
      <c r="C5113" s="7">
        <f>_xlfn.FLOOR.MATH(Table1[[#This Row],[year]],10)</f>
        <v>2010</v>
      </c>
      <c r="D5113" t="s">
        <v>52</v>
      </c>
      <c r="E5113" t="s">
        <v>66</v>
      </c>
      <c r="F5113">
        <v>2</v>
      </c>
      <c r="G5113">
        <v>0</v>
      </c>
      <c r="H5113" t="s">
        <v>224</v>
      </c>
      <c r="I5113" t="s">
        <v>538</v>
      </c>
      <c r="J5113" t="s">
        <v>52</v>
      </c>
      <c r="K5113" t="b">
        <v>0</v>
      </c>
      <c r="L5113">
        <v>2016</v>
      </c>
      <c r="M5113">
        <v>52650714171</v>
      </c>
      <c r="N5113">
        <v>21083713310</v>
      </c>
      <c r="O5113" t="b">
        <v>1</v>
      </c>
      <c r="P5113">
        <v>1</v>
      </c>
      <c r="Q5113" t="str" cm="1">
        <f t="array" ref="Q5113">_xlfn.IFS(Table1[[#This Row],[Wealthier_Winner]]=-1,"Wealthier Nation Loses",Table1[[#This Row],[Wealthier_Winner]]=0,"Tie",Table1[[#This Row],[Wealthier_Winner]]=1,"Wealthier Nation Wins")</f>
        <v>Wealthier Nation Wins</v>
      </c>
    </row>
    <row r="5114" spans="1:17" x14ac:dyDescent="0.2">
      <c r="A5114" s="1">
        <v>7492</v>
      </c>
      <c r="B5114" s="2">
        <v>42686</v>
      </c>
      <c r="C5114" s="7">
        <f>_xlfn.FLOOR.MATH(Table1[[#This Row],[year]],10)</f>
        <v>2010</v>
      </c>
      <c r="D5114" t="s">
        <v>534</v>
      </c>
      <c r="E5114" t="s">
        <v>527</v>
      </c>
      <c r="F5114">
        <v>1</v>
      </c>
      <c r="G5114">
        <v>1</v>
      </c>
      <c r="H5114" t="s">
        <v>224</v>
      </c>
      <c r="I5114" t="s">
        <v>536</v>
      </c>
      <c r="J5114" t="s">
        <v>534</v>
      </c>
      <c r="K5114" t="b">
        <v>0</v>
      </c>
      <c r="L5114">
        <v>2016</v>
      </c>
      <c r="M5114">
        <v>15444548901</v>
      </c>
      <c r="N5114">
        <v>7980917075</v>
      </c>
      <c r="O5114" t="b">
        <v>0</v>
      </c>
      <c r="P5114">
        <v>0</v>
      </c>
      <c r="Q5114" t="str" cm="1">
        <f t="array" ref="Q5114">_xlfn.IFS(Table1[[#This Row],[Wealthier_Winner]]=-1,"Wealthier Nation Loses",Table1[[#This Row],[Wealthier_Winner]]=0,"Tie",Table1[[#This Row],[Wealthier_Winner]]=1,"Wealthier Nation Wins")</f>
        <v>Tie</v>
      </c>
    </row>
    <row r="5115" spans="1:17" x14ac:dyDescent="0.2">
      <c r="A5115" s="1">
        <v>7493</v>
      </c>
      <c r="B5115" s="2">
        <v>42686</v>
      </c>
      <c r="C5115" s="7">
        <f>_xlfn.FLOOR.MATH(Table1[[#This Row],[year]],10)</f>
        <v>2010</v>
      </c>
      <c r="D5115" t="s">
        <v>503</v>
      </c>
      <c r="E5115" t="s">
        <v>18</v>
      </c>
      <c r="F5115">
        <v>0</v>
      </c>
      <c r="G5115">
        <v>4</v>
      </c>
      <c r="H5115" t="s">
        <v>224</v>
      </c>
      <c r="I5115" t="s">
        <v>603</v>
      </c>
      <c r="J5115" t="s">
        <v>503</v>
      </c>
      <c r="K5115" t="b">
        <v>0</v>
      </c>
      <c r="L5115">
        <v>2016</v>
      </c>
      <c r="M5115">
        <v>6237302033</v>
      </c>
      <c r="N5115">
        <v>1887111188176</v>
      </c>
      <c r="O5115" t="b">
        <v>1</v>
      </c>
      <c r="P5115">
        <v>1</v>
      </c>
      <c r="Q5115" t="str" cm="1">
        <f t="array" ref="Q5115">_xlfn.IFS(Table1[[#This Row],[Wealthier_Winner]]=-1,"Wealthier Nation Loses",Table1[[#This Row],[Wealthier_Winner]]=0,"Tie",Table1[[#This Row],[Wealthier_Winner]]=1,"Wealthier Nation Wins")</f>
        <v>Wealthier Nation Wins</v>
      </c>
    </row>
    <row r="5116" spans="1:17" x14ac:dyDescent="0.2">
      <c r="A5116" s="1">
        <v>7494</v>
      </c>
      <c r="B5116" s="2">
        <v>42686</v>
      </c>
      <c r="C5116" s="7">
        <f>_xlfn.FLOOR.MATH(Table1[[#This Row],[year]],10)</f>
        <v>2010</v>
      </c>
      <c r="D5116" t="s">
        <v>590</v>
      </c>
      <c r="E5116" t="s">
        <v>433</v>
      </c>
      <c r="F5116">
        <v>0</v>
      </c>
      <c r="G5116">
        <v>0</v>
      </c>
      <c r="H5116" t="s">
        <v>224</v>
      </c>
      <c r="I5116" t="s">
        <v>596</v>
      </c>
      <c r="J5116" t="s">
        <v>590</v>
      </c>
      <c r="K5116" t="b">
        <v>0</v>
      </c>
      <c r="L5116">
        <v>2016</v>
      </c>
      <c r="M5116">
        <v>16743796799</v>
      </c>
      <c r="N5116">
        <v>14023890265</v>
      </c>
      <c r="O5116" t="b">
        <v>0</v>
      </c>
      <c r="P5116">
        <v>0</v>
      </c>
      <c r="Q5116" t="str" cm="1">
        <f t="array" ref="Q5116">_xlfn.IFS(Table1[[#This Row],[Wealthier_Winner]]=-1,"Wealthier Nation Loses",Table1[[#This Row],[Wealthier_Winner]]=0,"Tie",Table1[[#This Row],[Wealthier_Winner]]=1,"Wealthier Nation Wins")</f>
        <v>Tie</v>
      </c>
    </row>
    <row r="5117" spans="1:17" x14ac:dyDescent="0.2">
      <c r="A5117" s="1">
        <v>7496</v>
      </c>
      <c r="B5117" s="2">
        <v>42686</v>
      </c>
      <c r="C5117" s="7">
        <f>_xlfn.FLOOR.MATH(Table1[[#This Row],[year]],10)</f>
        <v>2010</v>
      </c>
      <c r="D5117" t="s">
        <v>72</v>
      </c>
      <c r="E5117" t="s">
        <v>656</v>
      </c>
      <c r="F5117">
        <v>2</v>
      </c>
      <c r="G5117">
        <v>0</v>
      </c>
      <c r="H5117" t="s">
        <v>224</v>
      </c>
      <c r="I5117" t="s">
        <v>327</v>
      </c>
      <c r="J5117" t="s">
        <v>72</v>
      </c>
      <c r="K5117" t="b">
        <v>0</v>
      </c>
      <c r="L5117">
        <v>2016</v>
      </c>
      <c r="M5117">
        <v>189100085275</v>
      </c>
      <c r="N5117">
        <v>8724568954</v>
      </c>
      <c r="O5117" t="b">
        <v>1</v>
      </c>
      <c r="P5117">
        <v>1</v>
      </c>
      <c r="Q5117" t="str" cm="1">
        <f t="array" ref="Q5117">_xlfn.IFS(Table1[[#This Row],[Wealthier_Winner]]=-1,"Wealthier Nation Loses",Table1[[#This Row],[Wealthier_Winner]]=0,"Tie",Table1[[#This Row],[Wealthier_Winner]]=1,"Wealthier Nation Wins")</f>
        <v>Wealthier Nation Wins</v>
      </c>
    </row>
    <row r="5118" spans="1:17" x14ac:dyDescent="0.2">
      <c r="A5118" s="1">
        <v>7497</v>
      </c>
      <c r="B5118" s="2">
        <v>42686</v>
      </c>
      <c r="C5118" s="7">
        <f>_xlfn.FLOOR.MATH(Table1[[#This Row],[year]],10)</f>
        <v>2010</v>
      </c>
      <c r="D5118" t="s">
        <v>43</v>
      </c>
      <c r="E5118" t="s">
        <v>32</v>
      </c>
      <c r="F5118">
        <v>3</v>
      </c>
      <c r="G5118">
        <v>1</v>
      </c>
      <c r="H5118" t="s">
        <v>224</v>
      </c>
      <c r="I5118" t="s">
        <v>814</v>
      </c>
      <c r="J5118" t="s">
        <v>43</v>
      </c>
      <c r="K5118" t="b">
        <v>0</v>
      </c>
      <c r="L5118">
        <v>2016</v>
      </c>
      <c r="M5118">
        <v>404649125252</v>
      </c>
      <c r="N5118">
        <v>180763839522</v>
      </c>
      <c r="O5118" t="b">
        <v>1</v>
      </c>
      <c r="P5118">
        <v>1</v>
      </c>
      <c r="Q5118" t="str" cm="1">
        <f t="array" ref="Q5118">_xlfn.IFS(Table1[[#This Row],[Wealthier_Winner]]=-1,"Wealthier Nation Loses",Table1[[#This Row],[Wealthier_Winner]]=0,"Tie",Table1[[#This Row],[Wealthier_Winner]]=1,"Wealthier Nation Wins")</f>
        <v>Wealthier Nation Wins</v>
      </c>
    </row>
    <row r="5119" spans="1:17" x14ac:dyDescent="0.2">
      <c r="A5119" s="1">
        <v>7498</v>
      </c>
      <c r="B5119" s="2">
        <v>42686</v>
      </c>
      <c r="C5119" s="7">
        <f>_xlfn.FLOOR.MATH(Table1[[#This Row],[year]],10)</f>
        <v>2010</v>
      </c>
      <c r="D5119" t="s">
        <v>21</v>
      </c>
      <c r="E5119" t="s">
        <v>502</v>
      </c>
      <c r="F5119">
        <v>4</v>
      </c>
      <c r="G5119">
        <v>0</v>
      </c>
      <c r="H5119" t="s">
        <v>224</v>
      </c>
      <c r="I5119" t="s">
        <v>546</v>
      </c>
      <c r="J5119" t="s">
        <v>21</v>
      </c>
      <c r="K5119" t="b">
        <v>0</v>
      </c>
      <c r="L5119">
        <v>2016</v>
      </c>
      <c r="M5119">
        <v>1243015667917</v>
      </c>
      <c r="N5119">
        <v>10672467073</v>
      </c>
      <c r="O5119" t="b">
        <v>1</v>
      </c>
      <c r="P5119">
        <v>1</v>
      </c>
      <c r="Q5119" t="str" cm="1">
        <f t="array" ref="Q5119">_xlfn.IFS(Table1[[#This Row],[Wealthier_Winner]]=-1,"Wealthier Nation Loses",Table1[[#This Row],[Wealthier_Winner]]=0,"Tie",Table1[[#This Row],[Wealthier_Winner]]=1,"Wealthier Nation Wins")</f>
        <v>Wealthier Nation Wins</v>
      </c>
    </row>
    <row r="5120" spans="1:17" x14ac:dyDescent="0.2">
      <c r="A5120" s="1">
        <v>7501</v>
      </c>
      <c r="B5120" s="2">
        <v>42686</v>
      </c>
      <c r="C5120" s="7">
        <f>_xlfn.FLOOR.MATH(Table1[[#This Row],[year]],10)</f>
        <v>2010</v>
      </c>
      <c r="D5120" t="s">
        <v>64</v>
      </c>
      <c r="E5120" t="s">
        <v>230</v>
      </c>
      <c r="F5120">
        <v>1</v>
      </c>
      <c r="G5120">
        <v>0</v>
      </c>
      <c r="H5120" t="s">
        <v>224</v>
      </c>
      <c r="I5120" t="s">
        <v>759</v>
      </c>
      <c r="J5120" t="s">
        <v>64</v>
      </c>
      <c r="K5120" t="b">
        <v>0</v>
      </c>
      <c r="L5120">
        <v>2016</v>
      </c>
      <c r="M5120">
        <v>93355869403</v>
      </c>
      <c r="N5120">
        <v>238777818792</v>
      </c>
      <c r="O5120" t="b">
        <v>1</v>
      </c>
      <c r="P5120">
        <v>-1</v>
      </c>
      <c r="Q5120" t="str" cm="1">
        <f t="array" ref="Q5120">_xlfn.IFS(Table1[[#This Row],[Wealthier_Winner]]=-1,"Wealthier Nation Loses",Table1[[#This Row],[Wealthier_Winner]]=0,"Tie",Table1[[#This Row],[Wealthier_Winner]]=1,"Wealthier Nation Wins")</f>
        <v>Wealthier Nation Loses</v>
      </c>
    </row>
    <row r="5121" spans="1:17" x14ac:dyDescent="0.2">
      <c r="A5121" s="1">
        <v>7503</v>
      </c>
      <c r="B5121" s="2">
        <v>42687</v>
      </c>
      <c r="C5121" s="7">
        <f>_xlfn.FLOOR.MATH(Table1[[#This Row],[year]],10)</f>
        <v>2010</v>
      </c>
      <c r="D5121" t="s">
        <v>23</v>
      </c>
      <c r="E5121" t="s">
        <v>476</v>
      </c>
      <c r="F5121">
        <v>8</v>
      </c>
      <c r="G5121">
        <v>1</v>
      </c>
      <c r="H5121" t="s">
        <v>224</v>
      </c>
      <c r="I5121" t="s">
        <v>235</v>
      </c>
      <c r="J5121" t="s">
        <v>23</v>
      </c>
      <c r="K5121" t="b">
        <v>0</v>
      </c>
      <c r="L5121">
        <v>2016</v>
      </c>
      <c r="M5121">
        <v>474271566739</v>
      </c>
      <c r="N5121">
        <v>24561027787</v>
      </c>
      <c r="O5121" t="b">
        <v>1</v>
      </c>
      <c r="P5121">
        <v>1</v>
      </c>
      <c r="Q5121" t="str" cm="1">
        <f t="array" ref="Q5121">_xlfn.IFS(Table1[[#This Row],[Wealthier_Winner]]=-1,"Wealthier Nation Loses",Table1[[#This Row],[Wealthier_Winner]]=0,"Tie",Table1[[#This Row],[Wealthier_Winner]]=1,"Wealthier Nation Wins")</f>
        <v>Wealthier Nation Wins</v>
      </c>
    </row>
    <row r="5122" spans="1:17" x14ac:dyDescent="0.2">
      <c r="A5122" s="1">
        <v>7504</v>
      </c>
      <c r="B5122" s="2">
        <v>42687</v>
      </c>
      <c r="C5122" s="7">
        <f>_xlfn.FLOOR.MATH(Table1[[#This Row],[year]],10)</f>
        <v>2010</v>
      </c>
      <c r="D5122" t="s">
        <v>33</v>
      </c>
      <c r="E5122" t="s">
        <v>510</v>
      </c>
      <c r="F5122">
        <v>1</v>
      </c>
      <c r="G5122">
        <v>0</v>
      </c>
      <c r="H5122" t="s">
        <v>224</v>
      </c>
      <c r="I5122" t="s">
        <v>375</v>
      </c>
      <c r="J5122" t="s">
        <v>33</v>
      </c>
      <c r="K5122" t="b">
        <v>0</v>
      </c>
      <c r="L5122">
        <v>2016</v>
      </c>
      <c r="M5122">
        <v>53929397039</v>
      </c>
      <c r="N5122">
        <v>47723545321</v>
      </c>
      <c r="O5122" t="b">
        <v>0</v>
      </c>
      <c r="P5122">
        <v>1</v>
      </c>
      <c r="Q5122" t="str" cm="1">
        <f t="array" ref="Q5122">_xlfn.IFS(Table1[[#This Row],[Wealthier_Winner]]=-1,"Wealthier Nation Loses",Table1[[#This Row],[Wealthier_Winner]]=0,"Tie",Table1[[#This Row],[Wealthier_Winner]]=1,"Wealthier Nation Wins")</f>
        <v>Wealthier Nation Wins</v>
      </c>
    </row>
    <row r="5123" spans="1:17" x14ac:dyDescent="0.2">
      <c r="A5123" s="1">
        <v>7506</v>
      </c>
      <c r="B5123" s="2">
        <v>42687</v>
      </c>
      <c r="C5123" s="7">
        <f>_xlfn.FLOOR.MATH(Table1[[#This Row],[year]],10)</f>
        <v>2010</v>
      </c>
      <c r="D5123" t="s">
        <v>212</v>
      </c>
      <c r="E5123" t="s">
        <v>63</v>
      </c>
      <c r="F5123">
        <v>2</v>
      </c>
      <c r="G5123">
        <v>0</v>
      </c>
      <c r="H5123" t="s">
        <v>224</v>
      </c>
      <c r="I5123" t="s">
        <v>594</v>
      </c>
      <c r="J5123" t="s">
        <v>212</v>
      </c>
      <c r="K5123" t="b">
        <v>0</v>
      </c>
      <c r="L5123">
        <v>2016</v>
      </c>
      <c r="M5123">
        <v>332441717791</v>
      </c>
      <c r="N5123">
        <v>56144179397</v>
      </c>
      <c r="O5123" t="b">
        <v>1</v>
      </c>
      <c r="P5123">
        <v>1</v>
      </c>
      <c r="Q5123" t="str" cm="1">
        <f t="array" ref="Q5123">_xlfn.IFS(Table1[[#This Row],[Wealthier_Winner]]=-1,"Wealthier Nation Loses",Table1[[#This Row],[Wealthier_Winner]]=0,"Tie",Table1[[#This Row],[Wealthier_Winner]]=1,"Wealthier Nation Wins")</f>
        <v>Wealthier Nation Wins</v>
      </c>
    </row>
    <row r="5124" spans="1:17" x14ac:dyDescent="0.2">
      <c r="A5124" s="1">
        <v>7507</v>
      </c>
      <c r="B5124" s="2">
        <v>42687</v>
      </c>
      <c r="C5124" s="7">
        <f>_xlfn.FLOOR.MATH(Table1[[#This Row],[year]],10)</f>
        <v>2010</v>
      </c>
      <c r="D5124" t="s">
        <v>48</v>
      </c>
      <c r="E5124" t="s">
        <v>73</v>
      </c>
      <c r="F5124">
        <v>1</v>
      </c>
      <c r="G5124">
        <v>1</v>
      </c>
      <c r="H5124" t="s">
        <v>224</v>
      </c>
      <c r="I5124" t="s">
        <v>282</v>
      </c>
      <c r="J5124" t="s">
        <v>48</v>
      </c>
      <c r="K5124" t="b">
        <v>0</v>
      </c>
      <c r="L5124">
        <v>2016</v>
      </c>
      <c r="M5124">
        <v>193097239005</v>
      </c>
      <c r="N5124">
        <v>17116926553</v>
      </c>
      <c r="O5124" t="b">
        <v>1</v>
      </c>
      <c r="P5124">
        <v>0</v>
      </c>
      <c r="Q5124" t="str" cm="1">
        <f t="array" ref="Q5124">_xlfn.IFS(Table1[[#This Row],[Wealthier_Winner]]=-1,"Wealthier Nation Loses",Table1[[#This Row],[Wealthier_Winner]]=0,"Tie",Table1[[#This Row],[Wealthier_Winner]]=1,"Wealthier Nation Wins")</f>
        <v>Tie</v>
      </c>
    </row>
    <row r="5125" spans="1:17" x14ac:dyDescent="0.2">
      <c r="A5125" s="1">
        <v>7509</v>
      </c>
      <c r="B5125" s="2">
        <v>42687</v>
      </c>
      <c r="C5125" s="7">
        <f>_xlfn.FLOOR.MATH(Table1[[#This Row],[year]],10)</f>
        <v>2010</v>
      </c>
      <c r="D5125" t="s">
        <v>30</v>
      </c>
      <c r="E5125" t="s">
        <v>601</v>
      </c>
      <c r="F5125">
        <v>4</v>
      </c>
      <c r="G5125">
        <v>0</v>
      </c>
      <c r="H5125" t="s">
        <v>224</v>
      </c>
      <c r="I5125" t="s">
        <v>297</v>
      </c>
      <c r="J5125" t="s">
        <v>30</v>
      </c>
      <c r="K5125" t="b">
        <v>0</v>
      </c>
      <c r="L5125">
        <v>2016</v>
      </c>
      <c r="M5125">
        <v>128983560865</v>
      </c>
      <c r="N5125">
        <v>2896611878</v>
      </c>
      <c r="O5125" t="b">
        <v>1</v>
      </c>
      <c r="P5125">
        <v>1</v>
      </c>
      <c r="Q5125" t="str" cm="1">
        <f t="array" ref="Q5125">_xlfn.IFS(Table1[[#This Row],[Wealthier_Winner]]=-1,"Wealthier Nation Loses",Table1[[#This Row],[Wealthier_Winner]]=0,"Tie",Table1[[#This Row],[Wealthier_Winner]]=1,"Wealthier Nation Wins")</f>
        <v>Wealthier Nation Wins</v>
      </c>
    </row>
    <row r="5126" spans="1:17" x14ac:dyDescent="0.2">
      <c r="A5126" s="1">
        <v>7510</v>
      </c>
      <c r="B5126" s="2">
        <v>42687</v>
      </c>
      <c r="C5126" s="7">
        <f>_xlfn.FLOOR.MATH(Table1[[#This Row],[year]],10)</f>
        <v>2010</v>
      </c>
      <c r="D5126" t="s">
        <v>232</v>
      </c>
      <c r="E5126" t="s">
        <v>27</v>
      </c>
      <c r="F5126">
        <v>1</v>
      </c>
      <c r="G5126">
        <v>3</v>
      </c>
      <c r="H5126" t="s">
        <v>224</v>
      </c>
      <c r="I5126" t="s">
        <v>232</v>
      </c>
      <c r="J5126" t="s">
        <v>232</v>
      </c>
      <c r="K5126" t="b">
        <v>0</v>
      </c>
      <c r="L5126">
        <v>2016</v>
      </c>
      <c r="M5126">
        <v>62216885435</v>
      </c>
      <c r="N5126">
        <v>797163949289</v>
      </c>
      <c r="O5126" t="b">
        <v>1</v>
      </c>
      <c r="P5126">
        <v>1</v>
      </c>
      <c r="Q5126" t="str" cm="1">
        <f t="array" ref="Q5126">_xlfn.IFS(Table1[[#This Row],[Wealthier_Winner]]=-1,"Wealthier Nation Loses",Table1[[#This Row],[Wealthier_Winner]]=0,"Tie",Table1[[#This Row],[Wealthier_Winner]]=1,"Wealthier Nation Wins")</f>
        <v>Wealthier Nation Wins</v>
      </c>
    </row>
    <row r="5127" spans="1:17" x14ac:dyDescent="0.2">
      <c r="A5127" s="1">
        <v>7511</v>
      </c>
      <c r="B5127" s="2">
        <v>42687</v>
      </c>
      <c r="C5127" s="7">
        <f>_xlfn.FLOOR.MATH(Table1[[#This Row],[year]],10)</f>
        <v>2010</v>
      </c>
      <c r="D5127" t="s">
        <v>38</v>
      </c>
      <c r="E5127" t="s">
        <v>525</v>
      </c>
      <c r="F5127">
        <v>4</v>
      </c>
      <c r="G5127">
        <v>1</v>
      </c>
      <c r="H5127" t="s">
        <v>224</v>
      </c>
      <c r="I5127" t="s">
        <v>367</v>
      </c>
      <c r="J5127" t="s">
        <v>38</v>
      </c>
      <c r="K5127" t="b">
        <v>0</v>
      </c>
      <c r="L5127">
        <v>2016</v>
      </c>
      <c r="M5127">
        <v>206305431241</v>
      </c>
      <c r="N5127">
        <v>27117105059</v>
      </c>
      <c r="O5127" t="b">
        <v>1</v>
      </c>
      <c r="P5127">
        <v>1</v>
      </c>
      <c r="Q5127" t="str" cm="1">
        <f t="array" ref="Q5127">_xlfn.IFS(Table1[[#This Row],[Wealthier_Winner]]=-1,"Wealthier Nation Loses",Table1[[#This Row],[Wealthier_Winner]]=0,"Tie",Table1[[#This Row],[Wealthier_Winner]]=1,"Wealthier Nation Wins")</f>
        <v>Wealthier Nation Wins</v>
      </c>
    </row>
    <row r="5128" spans="1:17" x14ac:dyDescent="0.2">
      <c r="A5128" s="1">
        <v>7513</v>
      </c>
      <c r="B5128" s="2">
        <v>42687</v>
      </c>
      <c r="C5128" s="7">
        <f>_xlfn.FLOOR.MATH(Table1[[#This Row],[year]],10)</f>
        <v>2010</v>
      </c>
      <c r="D5128" t="s">
        <v>46</v>
      </c>
      <c r="E5128" t="s">
        <v>447</v>
      </c>
      <c r="F5128">
        <v>2</v>
      </c>
      <c r="G5128">
        <v>0</v>
      </c>
      <c r="H5128" t="s">
        <v>224</v>
      </c>
      <c r="I5128" t="s">
        <v>338</v>
      </c>
      <c r="J5128" t="s">
        <v>46</v>
      </c>
      <c r="K5128" t="b">
        <v>0</v>
      </c>
      <c r="L5128">
        <v>2016</v>
      </c>
      <c r="M5128">
        <v>687895460902</v>
      </c>
      <c r="N5128">
        <v>2813278868</v>
      </c>
      <c r="O5128" t="b">
        <v>1</v>
      </c>
      <c r="P5128">
        <v>1</v>
      </c>
      <c r="Q5128" t="str" cm="1">
        <f t="array" ref="Q5128">_xlfn.IFS(Table1[[#This Row],[Wealthier_Winner]]=-1,"Wealthier Nation Loses",Table1[[#This Row],[Wealthier_Winner]]=0,"Tie",Table1[[#This Row],[Wealthier_Winner]]=1,"Wealthier Nation Wins")</f>
        <v>Wealthier Nation Wins</v>
      </c>
    </row>
    <row r="5129" spans="1:17" x14ac:dyDescent="0.2">
      <c r="A5129" s="1">
        <v>7514</v>
      </c>
      <c r="B5129" s="2">
        <v>42689</v>
      </c>
      <c r="C5129" s="7">
        <f>_xlfn.FLOOR.MATH(Table1[[#This Row],[year]],10)</f>
        <v>2010</v>
      </c>
      <c r="D5129" t="s">
        <v>19</v>
      </c>
      <c r="E5129" t="s">
        <v>15</v>
      </c>
      <c r="F5129">
        <v>3</v>
      </c>
      <c r="G5129">
        <v>0</v>
      </c>
      <c r="H5129" t="s">
        <v>224</v>
      </c>
      <c r="I5129" t="s">
        <v>815</v>
      </c>
      <c r="J5129" t="s">
        <v>19</v>
      </c>
      <c r="K5129" t="b">
        <v>0</v>
      </c>
      <c r="L5129">
        <v>2016</v>
      </c>
      <c r="M5129">
        <v>557532320662</v>
      </c>
      <c r="N5129">
        <v>282720100286</v>
      </c>
      <c r="O5129" t="b">
        <v>0</v>
      </c>
      <c r="P5129">
        <v>1</v>
      </c>
      <c r="Q5129" t="str" cm="1">
        <f t="array" ref="Q5129">_xlfn.IFS(Table1[[#This Row],[Wealthier_Winner]]=-1,"Wealthier Nation Loses",Table1[[#This Row],[Wealthier_Winner]]=0,"Tie",Table1[[#This Row],[Wealthier_Winner]]=1,"Wealthier Nation Wins")</f>
        <v>Wealthier Nation Wins</v>
      </c>
    </row>
    <row r="5130" spans="1:17" x14ac:dyDescent="0.2">
      <c r="A5130" s="1">
        <v>7515</v>
      </c>
      <c r="B5130" s="2">
        <v>42689</v>
      </c>
      <c r="C5130" s="7">
        <f>_xlfn.FLOOR.MATH(Table1[[#This Row],[year]],10)</f>
        <v>2010</v>
      </c>
      <c r="D5130" t="s">
        <v>47</v>
      </c>
      <c r="E5130" t="s">
        <v>35</v>
      </c>
      <c r="F5130">
        <v>1</v>
      </c>
      <c r="G5130">
        <v>0</v>
      </c>
      <c r="H5130" t="s">
        <v>224</v>
      </c>
      <c r="I5130" t="s">
        <v>246</v>
      </c>
      <c r="J5130" t="s">
        <v>47</v>
      </c>
      <c r="K5130" t="b">
        <v>0</v>
      </c>
      <c r="L5130">
        <v>2016</v>
      </c>
      <c r="M5130">
        <v>33941126193</v>
      </c>
      <c r="N5130">
        <v>36089700222</v>
      </c>
      <c r="O5130" t="b">
        <v>0</v>
      </c>
      <c r="P5130">
        <v>-1</v>
      </c>
      <c r="Q5130" t="str" cm="1">
        <f t="array" ref="Q5130">_xlfn.IFS(Table1[[#This Row],[Wealthier_Winner]]=-1,"Wealthier Nation Loses",Table1[[#This Row],[Wealthier_Winner]]=0,"Tie",Table1[[#This Row],[Wealthier_Winner]]=1,"Wealthier Nation Wins")</f>
        <v>Wealthier Nation Loses</v>
      </c>
    </row>
    <row r="5131" spans="1:17" x14ac:dyDescent="0.2">
      <c r="A5131" s="1">
        <v>7516</v>
      </c>
      <c r="B5131" s="2">
        <v>42689</v>
      </c>
      <c r="C5131" s="7">
        <f>_xlfn.FLOOR.MATH(Table1[[#This Row],[year]],10)</f>
        <v>2010</v>
      </c>
      <c r="D5131" t="s">
        <v>14</v>
      </c>
      <c r="E5131" t="s">
        <v>26</v>
      </c>
      <c r="F5131">
        <v>3</v>
      </c>
      <c r="G5131">
        <v>1</v>
      </c>
      <c r="H5131" t="s">
        <v>224</v>
      </c>
      <c r="I5131" t="s">
        <v>75</v>
      </c>
      <c r="J5131" t="s">
        <v>14</v>
      </c>
      <c r="K5131" t="b">
        <v>0</v>
      </c>
      <c r="L5131">
        <v>2016</v>
      </c>
      <c r="M5131">
        <v>249344863928</v>
      </c>
      <c r="N5131">
        <v>57480787465</v>
      </c>
      <c r="O5131" t="b">
        <v>1</v>
      </c>
      <c r="P5131">
        <v>1</v>
      </c>
      <c r="Q5131" t="str" cm="1">
        <f t="array" ref="Q5131">_xlfn.IFS(Table1[[#This Row],[Wealthier_Winner]]=-1,"Wealthier Nation Loses",Table1[[#This Row],[Wealthier_Winner]]=0,"Tie",Table1[[#This Row],[Wealthier_Winner]]=1,"Wealthier Nation Wins")</f>
        <v>Wealthier Nation Wins</v>
      </c>
    </row>
    <row r="5132" spans="1:17" x14ac:dyDescent="0.2">
      <c r="A5132" s="1">
        <v>7518</v>
      </c>
      <c r="B5132" s="2">
        <v>42689</v>
      </c>
      <c r="C5132" s="7">
        <f>_xlfn.FLOOR.MATH(Table1[[#This Row],[year]],10)</f>
        <v>2010</v>
      </c>
      <c r="D5132" t="s">
        <v>56</v>
      </c>
      <c r="E5132" t="s">
        <v>41</v>
      </c>
      <c r="F5132">
        <v>4</v>
      </c>
      <c r="G5132">
        <v>0</v>
      </c>
      <c r="H5132" t="s">
        <v>224</v>
      </c>
      <c r="I5132" t="s">
        <v>225</v>
      </c>
      <c r="J5132" t="s">
        <v>56</v>
      </c>
      <c r="K5132" t="b">
        <v>0</v>
      </c>
      <c r="L5132">
        <v>2016</v>
      </c>
      <c r="M5132">
        <v>58847019609</v>
      </c>
      <c r="N5132">
        <v>18695110842000</v>
      </c>
      <c r="O5132" t="b">
        <v>1</v>
      </c>
      <c r="P5132">
        <v>-1</v>
      </c>
      <c r="Q5132" t="str" cm="1">
        <f t="array" ref="Q5132">_xlfn.IFS(Table1[[#This Row],[Wealthier_Winner]]=-1,"Wealthier Nation Loses",Table1[[#This Row],[Wealthier_Winner]]=0,"Tie",Table1[[#This Row],[Wealthier_Winner]]=1,"Wealthier Nation Wins")</f>
        <v>Wealthier Nation Loses</v>
      </c>
    </row>
    <row r="5133" spans="1:17" x14ac:dyDescent="0.2">
      <c r="A5133" s="1">
        <v>7519</v>
      </c>
      <c r="B5133" s="2">
        <v>42689</v>
      </c>
      <c r="C5133" s="7">
        <f>_xlfn.FLOOR.MATH(Table1[[#This Row],[year]],10)</f>
        <v>2010</v>
      </c>
      <c r="D5133" t="s">
        <v>57</v>
      </c>
      <c r="E5133" t="s">
        <v>258</v>
      </c>
      <c r="F5133">
        <v>3</v>
      </c>
      <c r="G5133">
        <v>0</v>
      </c>
      <c r="H5133" t="s">
        <v>224</v>
      </c>
      <c r="I5133" t="s">
        <v>335</v>
      </c>
      <c r="J5133" t="s">
        <v>57</v>
      </c>
      <c r="K5133" t="b">
        <v>0</v>
      </c>
      <c r="L5133">
        <v>2016</v>
      </c>
      <c r="M5133">
        <v>97671433000</v>
      </c>
      <c r="N5133">
        <v>112915034262</v>
      </c>
      <c r="O5133" t="b">
        <v>0</v>
      </c>
      <c r="P5133">
        <v>-1</v>
      </c>
      <c r="Q5133" t="str" cm="1">
        <f t="array" ref="Q5133">_xlfn.IFS(Table1[[#This Row],[Wealthier_Winner]]=-1,"Wealthier Nation Loses",Table1[[#This Row],[Wealthier_Winner]]=0,"Tie",Table1[[#This Row],[Wealthier_Winner]]=1,"Wealthier Nation Wins")</f>
        <v>Wealthier Nation Loses</v>
      </c>
    </row>
    <row r="5134" spans="1:17" x14ac:dyDescent="0.2">
      <c r="A5134" s="1">
        <v>7520</v>
      </c>
      <c r="B5134" s="2">
        <v>42689</v>
      </c>
      <c r="C5134" s="7">
        <f>_xlfn.FLOOR.MATH(Table1[[#This Row],[year]],10)</f>
        <v>2010</v>
      </c>
      <c r="D5134" t="s">
        <v>65</v>
      </c>
      <c r="E5134" t="s">
        <v>59</v>
      </c>
      <c r="F5134">
        <v>3</v>
      </c>
      <c r="G5134">
        <v>1</v>
      </c>
      <c r="H5134" t="s">
        <v>224</v>
      </c>
      <c r="I5134" t="s">
        <v>254</v>
      </c>
      <c r="J5134" t="s">
        <v>65</v>
      </c>
      <c r="K5134" t="b">
        <v>0</v>
      </c>
      <c r="L5134">
        <v>2016</v>
      </c>
      <c r="M5134">
        <v>21717604952</v>
      </c>
      <c r="N5134">
        <v>23624322192</v>
      </c>
      <c r="O5134" t="b">
        <v>0</v>
      </c>
      <c r="P5134">
        <v>-1</v>
      </c>
      <c r="Q5134" t="str" cm="1">
        <f t="array" ref="Q5134">_xlfn.IFS(Table1[[#This Row],[Wealthier_Winner]]=-1,"Wealthier Nation Loses",Table1[[#This Row],[Wealthier_Winner]]=0,"Tie",Table1[[#This Row],[Wealthier_Winner]]=1,"Wealthier Nation Wins")</f>
        <v>Wealthier Nation Loses</v>
      </c>
    </row>
    <row r="5135" spans="1:17" x14ac:dyDescent="0.2">
      <c r="A5135" s="1">
        <v>7521</v>
      </c>
      <c r="B5135" s="2">
        <v>42689</v>
      </c>
      <c r="C5135" s="7">
        <f>_xlfn.FLOOR.MATH(Table1[[#This Row],[year]],10)</f>
        <v>2010</v>
      </c>
      <c r="D5135" t="s">
        <v>51</v>
      </c>
      <c r="E5135" t="s">
        <v>45</v>
      </c>
      <c r="F5135">
        <v>2</v>
      </c>
      <c r="G5135">
        <v>1</v>
      </c>
      <c r="H5135" t="s">
        <v>224</v>
      </c>
      <c r="I5135" t="s">
        <v>143</v>
      </c>
      <c r="J5135" t="s">
        <v>51</v>
      </c>
      <c r="K5135" t="b">
        <v>0</v>
      </c>
      <c r="L5135">
        <v>2016</v>
      </c>
      <c r="M5135">
        <v>5003677627544</v>
      </c>
      <c r="N5135">
        <v>689279466666</v>
      </c>
      <c r="O5135" t="b">
        <v>1</v>
      </c>
      <c r="P5135">
        <v>1</v>
      </c>
      <c r="Q5135" t="str" cm="1">
        <f t="array" ref="Q5135">_xlfn.IFS(Table1[[#This Row],[Wealthier_Winner]]=-1,"Wealthier Nation Loses",Table1[[#This Row],[Wealthier_Winner]]=0,"Tie",Table1[[#This Row],[Wealthier_Winner]]=1,"Wealthier Nation Wins")</f>
        <v>Wealthier Nation Wins</v>
      </c>
    </row>
    <row r="5136" spans="1:17" x14ac:dyDescent="0.2">
      <c r="A5136" s="1">
        <v>7522</v>
      </c>
      <c r="B5136" s="2">
        <v>42689</v>
      </c>
      <c r="C5136" s="7">
        <f>_xlfn.FLOOR.MATH(Table1[[#This Row],[year]],10)</f>
        <v>2010</v>
      </c>
      <c r="D5136" t="s">
        <v>195</v>
      </c>
      <c r="E5136" t="s">
        <v>563</v>
      </c>
      <c r="F5136">
        <v>2</v>
      </c>
      <c r="G5136">
        <v>1</v>
      </c>
      <c r="H5136" t="s">
        <v>224</v>
      </c>
      <c r="I5136" t="s">
        <v>136</v>
      </c>
      <c r="J5136" t="s">
        <v>195</v>
      </c>
      <c r="K5136" t="b">
        <v>0</v>
      </c>
      <c r="L5136">
        <v>2016</v>
      </c>
      <c r="M5136">
        <v>1579150518945</v>
      </c>
      <c r="N5136">
        <v>86138288644</v>
      </c>
      <c r="O5136" t="b">
        <v>1</v>
      </c>
      <c r="P5136">
        <v>1</v>
      </c>
      <c r="Q5136" t="str" cm="1">
        <f t="array" ref="Q5136">_xlfn.IFS(Table1[[#This Row],[Wealthier_Winner]]=-1,"Wealthier Nation Loses",Table1[[#This Row],[Wealthier_Winner]]=0,"Tie",Table1[[#This Row],[Wealthier_Winner]]=1,"Wealthier Nation Wins")</f>
        <v>Wealthier Nation Wins</v>
      </c>
    </row>
    <row r="5137" spans="1:17" x14ac:dyDescent="0.2">
      <c r="A5137" s="1">
        <v>7523</v>
      </c>
      <c r="B5137" s="2">
        <v>42689</v>
      </c>
      <c r="C5137" s="7">
        <f>_xlfn.FLOOR.MATH(Table1[[#This Row],[year]],10)</f>
        <v>2010</v>
      </c>
      <c r="D5137" t="s">
        <v>656</v>
      </c>
      <c r="E5137" t="s">
        <v>72</v>
      </c>
      <c r="F5137">
        <v>0</v>
      </c>
      <c r="G5137">
        <v>0</v>
      </c>
      <c r="H5137" t="s">
        <v>224</v>
      </c>
      <c r="I5137" t="s">
        <v>816</v>
      </c>
      <c r="J5137" t="s">
        <v>656</v>
      </c>
      <c r="K5137" t="b">
        <v>0</v>
      </c>
      <c r="L5137">
        <v>2016</v>
      </c>
      <c r="M5137">
        <v>8724568954</v>
      </c>
      <c r="N5137">
        <v>189100085275</v>
      </c>
      <c r="O5137" t="b">
        <v>1</v>
      </c>
      <c r="P5137">
        <v>0</v>
      </c>
      <c r="Q5137" t="str" cm="1">
        <f t="array" ref="Q5137">_xlfn.IFS(Table1[[#This Row],[Wealthier_Winner]]=-1,"Wealthier Nation Loses",Table1[[#This Row],[Wealthier_Winner]]=0,"Tie",Table1[[#This Row],[Wealthier_Winner]]=1,"Wealthier Nation Wins")</f>
        <v>Tie</v>
      </c>
    </row>
    <row r="5138" spans="1:17" x14ac:dyDescent="0.2">
      <c r="A5138" s="1">
        <v>7524</v>
      </c>
      <c r="B5138" s="2">
        <v>42689</v>
      </c>
      <c r="C5138" s="7">
        <f>_xlfn.FLOOR.MATH(Table1[[#This Row],[year]],10)</f>
        <v>2010</v>
      </c>
      <c r="D5138" t="s">
        <v>67</v>
      </c>
      <c r="E5138" t="s">
        <v>17</v>
      </c>
      <c r="F5138">
        <v>0</v>
      </c>
      <c r="G5138">
        <v>0</v>
      </c>
      <c r="H5138" t="s">
        <v>224</v>
      </c>
      <c r="I5138" t="s">
        <v>455</v>
      </c>
      <c r="J5138" t="s">
        <v>67</v>
      </c>
      <c r="K5138" t="b">
        <v>0</v>
      </c>
      <c r="L5138">
        <v>2016</v>
      </c>
      <c r="M5138">
        <v>59760858717</v>
      </c>
      <c r="N5138">
        <v>1112233497452</v>
      </c>
      <c r="O5138" t="b">
        <v>1</v>
      </c>
      <c r="P5138">
        <v>0</v>
      </c>
      <c r="Q5138" t="str" cm="1">
        <f t="array" ref="Q5138">_xlfn.IFS(Table1[[#This Row],[Wealthier_Winner]]=-1,"Wealthier Nation Loses",Table1[[#This Row],[Wealthier_Winner]]=0,"Tie",Table1[[#This Row],[Wealthier_Winner]]=1,"Wealthier Nation Wins")</f>
        <v>Tie</v>
      </c>
    </row>
    <row r="5139" spans="1:17" x14ac:dyDescent="0.2">
      <c r="A5139" s="1">
        <v>7525</v>
      </c>
      <c r="B5139" s="2">
        <v>42689</v>
      </c>
      <c r="C5139" s="7">
        <f>_xlfn.FLOOR.MATH(Table1[[#This Row],[year]],10)</f>
        <v>2010</v>
      </c>
      <c r="D5139" t="s">
        <v>31</v>
      </c>
      <c r="E5139" t="s">
        <v>13</v>
      </c>
      <c r="F5139">
        <v>0</v>
      </c>
      <c r="G5139">
        <v>2</v>
      </c>
      <c r="H5139" t="s">
        <v>224</v>
      </c>
      <c r="I5139" t="s">
        <v>242</v>
      </c>
      <c r="J5139" t="s">
        <v>31</v>
      </c>
      <c r="K5139" t="b">
        <v>0</v>
      </c>
      <c r="L5139">
        <v>2016</v>
      </c>
      <c r="M5139">
        <v>191898104390</v>
      </c>
      <c r="N5139">
        <v>1795693265999</v>
      </c>
      <c r="O5139" t="b">
        <v>1</v>
      </c>
      <c r="P5139">
        <v>1</v>
      </c>
      <c r="Q5139" t="str" cm="1">
        <f t="array" ref="Q5139">_xlfn.IFS(Table1[[#This Row],[Wealthier_Winner]]=-1,"Wealthier Nation Loses",Table1[[#This Row],[Wealthier_Winner]]=0,"Tie",Table1[[#This Row],[Wealthier_Winner]]=1,"Wealthier Nation Wins")</f>
        <v>Wealthier Nation Wins</v>
      </c>
    </row>
    <row r="5140" spans="1:17" x14ac:dyDescent="0.2">
      <c r="A5140" s="1">
        <v>7526</v>
      </c>
      <c r="B5140" s="2">
        <v>42689</v>
      </c>
      <c r="C5140" s="7">
        <f>_xlfn.FLOOR.MATH(Table1[[#This Row],[year]],10)</f>
        <v>2010</v>
      </c>
      <c r="D5140" t="s">
        <v>331</v>
      </c>
      <c r="E5140" t="s">
        <v>210</v>
      </c>
      <c r="F5140">
        <v>0</v>
      </c>
      <c r="G5140">
        <v>0</v>
      </c>
      <c r="H5140" t="s">
        <v>224</v>
      </c>
      <c r="I5140" t="s">
        <v>806</v>
      </c>
      <c r="J5140" t="s">
        <v>333</v>
      </c>
      <c r="K5140" t="b">
        <v>1</v>
      </c>
      <c r="L5140">
        <v>2016</v>
      </c>
      <c r="M5140">
        <v>12597854877</v>
      </c>
      <c r="N5140">
        <v>478618064870</v>
      </c>
      <c r="O5140" t="b">
        <v>1</v>
      </c>
      <c r="P5140">
        <v>0</v>
      </c>
      <c r="Q5140" t="str" cm="1">
        <f t="array" ref="Q5140">_xlfn.IFS(Table1[[#This Row],[Wealthier_Winner]]=-1,"Wealthier Nation Loses",Table1[[#This Row],[Wealthier_Winner]]=0,"Tie",Table1[[#This Row],[Wealthier_Winner]]=1,"Wealthier Nation Wins")</f>
        <v>Tie</v>
      </c>
    </row>
    <row r="5141" spans="1:17" x14ac:dyDescent="0.2">
      <c r="A5141" s="1">
        <v>7527</v>
      </c>
      <c r="B5141" s="2">
        <v>42689</v>
      </c>
      <c r="C5141" s="7">
        <f>_xlfn.FLOOR.MATH(Table1[[#This Row],[year]],10)</f>
        <v>2010</v>
      </c>
      <c r="D5141" t="s">
        <v>334</v>
      </c>
      <c r="E5141" t="s">
        <v>28</v>
      </c>
      <c r="F5141">
        <v>2</v>
      </c>
      <c r="G5141">
        <v>2</v>
      </c>
      <c r="H5141" t="s">
        <v>224</v>
      </c>
      <c r="I5141" t="s">
        <v>407</v>
      </c>
      <c r="J5141" t="s">
        <v>334</v>
      </c>
      <c r="K5141" t="b">
        <v>0</v>
      </c>
      <c r="L5141">
        <v>2016</v>
      </c>
      <c r="M5141">
        <v>413366349747</v>
      </c>
      <c r="N5141">
        <v>1211588128417</v>
      </c>
      <c r="O5141" t="b">
        <v>1</v>
      </c>
      <c r="P5141">
        <v>0</v>
      </c>
      <c r="Q5141" t="str" cm="1">
        <f t="array" ref="Q5141">_xlfn.IFS(Table1[[#This Row],[Wealthier_Winner]]=-1,"Wealthier Nation Loses",Table1[[#This Row],[Wealthier_Winner]]=0,"Tie",Table1[[#This Row],[Wealthier_Winner]]=1,"Wealthier Nation Wins")</f>
        <v>Tie</v>
      </c>
    </row>
    <row r="5142" spans="1:17" x14ac:dyDescent="0.2">
      <c r="A5142" s="1">
        <v>7528</v>
      </c>
      <c r="B5142" s="2">
        <v>42689</v>
      </c>
      <c r="C5142" s="7">
        <f>_xlfn.FLOOR.MATH(Table1[[#This Row],[year]],10)</f>
        <v>2010</v>
      </c>
      <c r="D5142" t="s">
        <v>39</v>
      </c>
      <c r="E5142" t="s">
        <v>37</v>
      </c>
      <c r="F5142">
        <v>2</v>
      </c>
      <c r="G5142">
        <v>0</v>
      </c>
      <c r="H5142" t="s">
        <v>224</v>
      </c>
      <c r="I5142" t="s">
        <v>576</v>
      </c>
      <c r="J5142" t="s">
        <v>39</v>
      </c>
      <c r="K5142" t="b">
        <v>0</v>
      </c>
      <c r="L5142">
        <v>2016</v>
      </c>
      <c r="M5142">
        <v>381717086453</v>
      </c>
      <c r="N5142">
        <v>166743557747</v>
      </c>
      <c r="O5142" t="b">
        <v>1</v>
      </c>
      <c r="P5142">
        <v>1</v>
      </c>
      <c r="Q5142" t="str" cm="1">
        <f t="array" ref="Q5142">_xlfn.IFS(Table1[[#This Row],[Wealthier_Winner]]=-1,"Wealthier Nation Loses",Table1[[#This Row],[Wealthier_Winner]]=0,"Tie",Table1[[#This Row],[Wealthier_Winner]]=1,"Wealthier Nation Wins")</f>
        <v>Wealthier Nation Wins</v>
      </c>
    </row>
    <row r="5143" spans="1:17" x14ac:dyDescent="0.2">
      <c r="A5143" s="1">
        <v>7529</v>
      </c>
      <c r="B5143" s="2">
        <v>42817</v>
      </c>
      <c r="C5143" s="7">
        <f>_xlfn.FLOOR.MATH(Table1[[#This Row],[year]],10)</f>
        <v>2010</v>
      </c>
      <c r="D5143" t="s">
        <v>19</v>
      </c>
      <c r="E5143" t="s">
        <v>14</v>
      </c>
      <c r="F5143">
        <v>1</v>
      </c>
      <c r="G5143">
        <v>0</v>
      </c>
      <c r="H5143" t="s">
        <v>224</v>
      </c>
      <c r="I5143" t="s">
        <v>93</v>
      </c>
      <c r="J5143" t="s">
        <v>19</v>
      </c>
      <c r="K5143" t="b">
        <v>0</v>
      </c>
      <c r="L5143">
        <v>2017</v>
      </c>
      <c r="M5143">
        <v>643628393281</v>
      </c>
      <c r="N5143">
        <v>276154259981</v>
      </c>
      <c r="O5143" t="b">
        <v>1</v>
      </c>
      <c r="P5143">
        <v>1</v>
      </c>
      <c r="Q5143" t="str" cm="1">
        <f t="array" ref="Q5143">_xlfn.IFS(Table1[[#This Row],[Wealthier_Winner]]=-1,"Wealthier Nation Loses",Table1[[#This Row],[Wealthier_Winner]]=0,"Tie",Table1[[#This Row],[Wealthier_Winner]]=1,"Wealthier Nation Wins")</f>
        <v>Wealthier Nation Wins</v>
      </c>
    </row>
    <row r="5144" spans="1:17" x14ac:dyDescent="0.2">
      <c r="A5144" s="1">
        <v>7531</v>
      </c>
      <c r="B5144" s="2">
        <v>42817</v>
      </c>
      <c r="C5144" s="7">
        <f>_xlfn.FLOOR.MATH(Table1[[#This Row],[year]],10)</f>
        <v>2010</v>
      </c>
      <c r="D5144" t="s">
        <v>15</v>
      </c>
      <c r="E5144" t="s">
        <v>47</v>
      </c>
      <c r="F5144">
        <v>1</v>
      </c>
      <c r="G5144">
        <v>0</v>
      </c>
      <c r="H5144" t="s">
        <v>224</v>
      </c>
      <c r="I5144" t="s">
        <v>261</v>
      </c>
      <c r="J5144" t="s">
        <v>15</v>
      </c>
      <c r="K5144" t="b">
        <v>0</v>
      </c>
      <c r="L5144">
        <v>2017</v>
      </c>
      <c r="M5144">
        <v>311866875156</v>
      </c>
      <c r="N5144">
        <v>45927439594</v>
      </c>
      <c r="O5144" t="b">
        <v>1</v>
      </c>
      <c r="P5144">
        <v>1</v>
      </c>
      <c r="Q5144" t="str" cm="1">
        <f t="array" ref="Q5144">_xlfn.IFS(Table1[[#This Row],[Wealthier_Winner]]=-1,"Wealthier Nation Loses",Table1[[#This Row],[Wealthier_Winner]]=0,"Tie",Table1[[#This Row],[Wealthier_Winner]]=1,"Wealthier Nation Wins")</f>
        <v>Wealthier Nation Wins</v>
      </c>
    </row>
    <row r="5145" spans="1:17" x14ac:dyDescent="0.2">
      <c r="A5145" s="1">
        <v>7532</v>
      </c>
      <c r="B5145" s="2">
        <v>42817</v>
      </c>
      <c r="C5145" s="7">
        <f>_xlfn.FLOOR.MATH(Table1[[#This Row],[year]],10)</f>
        <v>2010</v>
      </c>
      <c r="D5145" t="s">
        <v>37</v>
      </c>
      <c r="E5145" t="s">
        <v>28</v>
      </c>
      <c r="F5145">
        <v>1</v>
      </c>
      <c r="G5145">
        <v>1</v>
      </c>
      <c r="H5145" t="s">
        <v>224</v>
      </c>
      <c r="I5145" t="s">
        <v>332</v>
      </c>
      <c r="J5145" t="s">
        <v>210</v>
      </c>
      <c r="K5145" t="b">
        <v>1</v>
      </c>
      <c r="L5145">
        <v>2017</v>
      </c>
      <c r="M5145">
        <v>187217660050</v>
      </c>
      <c r="N5145">
        <v>1330890554614</v>
      </c>
      <c r="O5145" t="b">
        <v>1</v>
      </c>
      <c r="P5145">
        <v>0</v>
      </c>
      <c r="Q5145" t="str" cm="1">
        <f t="array" ref="Q5145">_xlfn.IFS(Table1[[#This Row],[Wealthier_Winner]]=-1,"Wealthier Nation Loses",Table1[[#This Row],[Wealthier_Winner]]=0,"Tie",Table1[[#This Row],[Wealthier_Winner]]=1,"Wealthier Nation Wins")</f>
        <v>Tie</v>
      </c>
    </row>
    <row r="5146" spans="1:17" x14ac:dyDescent="0.2">
      <c r="A5146" s="1">
        <v>7534</v>
      </c>
      <c r="B5146" s="2">
        <v>42817</v>
      </c>
      <c r="C5146" s="7">
        <f>_xlfn.FLOOR.MATH(Table1[[#This Row],[year]],10)</f>
        <v>2010</v>
      </c>
      <c r="D5146" t="s">
        <v>35</v>
      </c>
      <c r="E5146" t="s">
        <v>57</v>
      </c>
      <c r="F5146">
        <v>2</v>
      </c>
      <c r="G5146">
        <v>1</v>
      </c>
      <c r="H5146" t="s">
        <v>224</v>
      </c>
      <c r="I5146" t="s">
        <v>250</v>
      </c>
      <c r="J5146" t="s">
        <v>35</v>
      </c>
      <c r="K5146" t="b">
        <v>0</v>
      </c>
      <c r="L5146">
        <v>2017</v>
      </c>
      <c r="M5146">
        <v>38997129473</v>
      </c>
      <c r="N5146">
        <v>104467486000</v>
      </c>
      <c r="O5146" t="b">
        <v>1</v>
      </c>
      <c r="P5146">
        <v>-1</v>
      </c>
      <c r="Q5146" t="str" cm="1">
        <f t="array" ref="Q5146">_xlfn.IFS(Table1[[#This Row],[Wealthier_Winner]]=-1,"Wealthier Nation Loses",Table1[[#This Row],[Wealthier_Winner]]=0,"Tie",Table1[[#This Row],[Wealthier_Winner]]=1,"Wealthier Nation Wins")</f>
        <v>Wealthier Nation Loses</v>
      </c>
    </row>
    <row r="5147" spans="1:17" x14ac:dyDescent="0.2">
      <c r="A5147" s="1">
        <v>7535</v>
      </c>
      <c r="B5147" s="2">
        <v>42817</v>
      </c>
      <c r="C5147" s="7">
        <f>_xlfn.FLOOR.MATH(Table1[[#This Row],[year]],10)</f>
        <v>2010</v>
      </c>
      <c r="D5147" t="s">
        <v>68</v>
      </c>
      <c r="E5147" t="s">
        <v>210</v>
      </c>
      <c r="F5147">
        <v>0</v>
      </c>
      <c r="G5147">
        <v>1</v>
      </c>
      <c r="H5147" t="s">
        <v>224</v>
      </c>
      <c r="I5147" t="s">
        <v>190</v>
      </c>
      <c r="J5147" t="s">
        <v>68</v>
      </c>
      <c r="K5147" t="b">
        <v>0</v>
      </c>
      <c r="L5147">
        <v>2017</v>
      </c>
      <c r="M5147">
        <v>161099175824</v>
      </c>
      <c r="N5147">
        <v>510239893417</v>
      </c>
      <c r="O5147" t="b">
        <v>1</v>
      </c>
      <c r="P5147">
        <v>1</v>
      </c>
      <c r="Q5147" t="str" cm="1">
        <f t="array" ref="Q5147">_xlfn.IFS(Table1[[#This Row],[Wealthier_Winner]]=-1,"Wealthier Nation Loses",Table1[[#This Row],[Wealthier_Winner]]=0,"Tie",Table1[[#This Row],[Wealthier_Winner]]=1,"Wealthier Nation Wins")</f>
        <v>Wealthier Nation Wins</v>
      </c>
    </row>
    <row r="5148" spans="1:17" x14ac:dyDescent="0.2">
      <c r="A5148" s="1">
        <v>7536</v>
      </c>
      <c r="B5148" s="2">
        <v>42817</v>
      </c>
      <c r="C5148" s="7">
        <f>_xlfn.FLOOR.MATH(Table1[[#This Row],[year]],10)</f>
        <v>2010</v>
      </c>
      <c r="D5148" t="s">
        <v>331</v>
      </c>
      <c r="E5148" t="s">
        <v>563</v>
      </c>
      <c r="F5148">
        <v>1</v>
      </c>
      <c r="G5148">
        <v>0</v>
      </c>
      <c r="H5148" t="s">
        <v>224</v>
      </c>
      <c r="I5148" t="s">
        <v>817</v>
      </c>
      <c r="J5148" t="s">
        <v>333</v>
      </c>
      <c r="K5148" t="b">
        <v>1</v>
      </c>
      <c r="L5148">
        <v>2017</v>
      </c>
      <c r="M5148">
        <v>16369843352</v>
      </c>
      <c r="N5148">
        <v>69703222282</v>
      </c>
      <c r="O5148" t="b">
        <v>1</v>
      </c>
      <c r="P5148">
        <v>-1</v>
      </c>
      <c r="Q5148" t="str" cm="1">
        <f t="array" ref="Q5148">_xlfn.IFS(Table1[[#This Row],[Wealthier_Winner]]=-1,"Wealthier Nation Loses",Table1[[#This Row],[Wealthier_Winner]]=0,"Tie",Table1[[#This Row],[Wealthier_Winner]]=1,"Wealthier Nation Wins")</f>
        <v>Wealthier Nation Loses</v>
      </c>
    </row>
    <row r="5149" spans="1:17" x14ac:dyDescent="0.2">
      <c r="A5149" s="1">
        <v>7537</v>
      </c>
      <c r="B5149" s="2">
        <v>42817</v>
      </c>
      <c r="C5149" s="7">
        <f>_xlfn.FLOOR.MATH(Table1[[#This Row],[year]],10)</f>
        <v>2010</v>
      </c>
      <c r="D5149" t="s">
        <v>334</v>
      </c>
      <c r="E5149" t="s">
        <v>45</v>
      </c>
      <c r="F5149">
        <v>0</v>
      </c>
      <c r="G5149">
        <v>3</v>
      </c>
      <c r="H5149" t="s">
        <v>224</v>
      </c>
      <c r="I5149" t="s">
        <v>407</v>
      </c>
      <c r="J5149" t="s">
        <v>334</v>
      </c>
      <c r="K5149" t="b">
        <v>0</v>
      </c>
      <c r="L5149">
        <v>2017</v>
      </c>
      <c r="M5149">
        <v>456356813536</v>
      </c>
      <c r="N5149">
        <v>741266133333</v>
      </c>
      <c r="O5149" t="b">
        <v>0</v>
      </c>
      <c r="P5149">
        <v>1</v>
      </c>
      <c r="Q5149" t="str" cm="1">
        <f t="array" ref="Q5149">_xlfn.IFS(Table1[[#This Row],[Wealthier_Winner]]=-1,"Wealthier Nation Loses",Table1[[#This Row],[Wealthier_Winner]]=0,"Tie",Table1[[#This Row],[Wealthier_Winner]]=1,"Wealthier Nation Wins")</f>
        <v>Wealthier Nation Wins</v>
      </c>
    </row>
    <row r="5150" spans="1:17" x14ac:dyDescent="0.2">
      <c r="A5150" s="1">
        <v>7538</v>
      </c>
      <c r="B5150" s="2">
        <v>42817</v>
      </c>
      <c r="C5150" s="7">
        <f>_xlfn.FLOOR.MATH(Table1[[#This Row],[year]],10)</f>
        <v>2010</v>
      </c>
      <c r="D5150" t="s">
        <v>39</v>
      </c>
      <c r="E5150" t="s">
        <v>51</v>
      </c>
      <c r="F5150">
        <v>0</v>
      </c>
      <c r="G5150">
        <v>2</v>
      </c>
      <c r="H5150" t="s">
        <v>224</v>
      </c>
      <c r="I5150" t="s">
        <v>478</v>
      </c>
      <c r="J5150" t="s">
        <v>39</v>
      </c>
      <c r="K5150" t="b">
        <v>0</v>
      </c>
      <c r="L5150">
        <v>2017</v>
      </c>
      <c r="M5150">
        <v>403365010211</v>
      </c>
      <c r="N5150">
        <v>4930837369151</v>
      </c>
      <c r="O5150" t="b">
        <v>1</v>
      </c>
      <c r="P5150">
        <v>1</v>
      </c>
      <c r="Q5150" t="str" cm="1">
        <f t="array" ref="Q5150">_xlfn.IFS(Table1[[#This Row],[Wealthier_Winner]]=-1,"Wealthier Nation Loses",Table1[[#This Row],[Wealthier_Winner]]=0,"Tie",Table1[[#This Row],[Wealthier_Winner]]=1,"Wealthier Nation Wins")</f>
        <v>Wealthier Nation Wins</v>
      </c>
    </row>
    <row r="5151" spans="1:17" x14ac:dyDescent="0.2">
      <c r="A5151" s="1">
        <v>7539</v>
      </c>
      <c r="B5151" s="2">
        <v>42817</v>
      </c>
      <c r="C5151" s="7">
        <f>_xlfn.FLOOR.MATH(Table1[[#This Row],[year]],10)</f>
        <v>2010</v>
      </c>
      <c r="D5151" t="s">
        <v>26</v>
      </c>
      <c r="E5151" t="s">
        <v>13</v>
      </c>
      <c r="F5151">
        <v>1</v>
      </c>
      <c r="G5151">
        <v>4</v>
      </c>
      <c r="H5151" t="s">
        <v>224</v>
      </c>
      <c r="I5151" t="s">
        <v>247</v>
      </c>
      <c r="J5151" t="s">
        <v>26</v>
      </c>
      <c r="K5151" t="b">
        <v>0</v>
      </c>
      <c r="L5151">
        <v>2017</v>
      </c>
      <c r="M5151">
        <v>65005997963</v>
      </c>
      <c r="N5151">
        <v>2063514688805</v>
      </c>
      <c r="O5151" t="b">
        <v>1</v>
      </c>
      <c r="P5151">
        <v>1</v>
      </c>
      <c r="Q5151" t="str" cm="1">
        <f t="array" ref="Q5151">_xlfn.IFS(Table1[[#This Row],[Wealthier_Winner]]=-1,"Wealthier Nation Loses",Table1[[#This Row],[Wealthier_Winner]]=0,"Tie",Table1[[#This Row],[Wealthier_Winner]]=1,"Wealthier Nation Wins")</f>
        <v>Wealthier Nation Wins</v>
      </c>
    </row>
    <row r="5152" spans="1:17" x14ac:dyDescent="0.2">
      <c r="A5152" s="1">
        <v>7540</v>
      </c>
      <c r="B5152" s="2">
        <v>42817</v>
      </c>
      <c r="C5152" s="7">
        <f>_xlfn.FLOOR.MATH(Table1[[#This Row],[year]],10)</f>
        <v>2010</v>
      </c>
      <c r="D5152" t="s">
        <v>258</v>
      </c>
      <c r="E5152" t="s">
        <v>31</v>
      </c>
      <c r="F5152">
        <v>2</v>
      </c>
      <c r="G5152">
        <v>2</v>
      </c>
      <c r="H5152" t="s">
        <v>224</v>
      </c>
      <c r="I5152" t="s">
        <v>811</v>
      </c>
      <c r="J5152" t="s">
        <v>258</v>
      </c>
      <c r="K5152" t="b">
        <v>0</v>
      </c>
      <c r="L5152">
        <v>2017</v>
      </c>
      <c r="M5152">
        <v>115883275162</v>
      </c>
      <c r="N5152">
        <v>211007984080</v>
      </c>
      <c r="O5152" t="b">
        <v>0</v>
      </c>
      <c r="P5152">
        <v>0</v>
      </c>
      <c r="Q5152" t="str" cm="1">
        <f t="array" ref="Q5152">_xlfn.IFS(Table1[[#This Row],[Wealthier_Winner]]=-1,"Wealthier Nation Loses",Table1[[#This Row],[Wealthier_Winner]]=0,"Tie",Table1[[#This Row],[Wealthier_Winner]]=1,"Wealthier Nation Wins")</f>
        <v>Tie</v>
      </c>
    </row>
    <row r="5153" spans="1:17" x14ac:dyDescent="0.2">
      <c r="A5153" s="1">
        <v>7541</v>
      </c>
      <c r="B5153" s="2">
        <v>42818</v>
      </c>
      <c r="C5153" s="7">
        <f>_xlfn.FLOOR.MATH(Table1[[#This Row],[year]],10)</f>
        <v>2010</v>
      </c>
      <c r="D5153" t="s">
        <v>29</v>
      </c>
      <c r="E5153" t="s">
        <v>527</v>
      </c>
      <c r="F5153">
        <v>2</v>
      </c>
      <c r="G5153">
        <v>0</v>
      </c>
      <c r="H5153" t="s">
        <v>224</v>
      </c>
      <c r="I5153" t="s">
        <v>270</v>
      </c>
      <c r="J5153" t="s">
        <v>29</v>
      </c>
      <c r="K5153" t="b">
        <v>0</v>
      </c>
      <c r="L5153">
        <v>2017</v>
      </c>
      <c r="M5153">
        <v>414926138132</v>
      </c>
      <c r="N5153">
        <v>9514404016</v>
      </c>
      <c r="O5153" t="b">
        <v>1</v>
      </c>
      <c r="P5153">
        <v>1</v>
      </c>
      <c r="Q5153" t="str" cm="1">
        <f t="array" ref="Q5153">_xlfn.IFS(Table1[[#This Row],[Wealthier_Winner]]=-1,"Wealthier Nation Loses",Table1[[#This Row],[Wealthier_Winner]]=0,"Tie",Table1[[#This Row],[Wealthier_Winner]]=1,"Wealthier Nation Wins")</f>
        <v>Wealthier Nation Wins</v>
      </c>
    </row>
    <row r="5154" spans="1:17" x14ac:dyDescent="0.2">
      <c r="A5154" s="1">
        <v>7542</v>
      </c>
      <c r="B5154" s="2">
        <v>42818</v>
      </c>
      <c r="C5154" s="7">
        <f>_xlfn.FLOOR.MATH(Table1[[#This Row],[year]],10)</f>
        <v>2010</v>
      </c>
      <c r="D5154" t="s">
        <v>52</v>
      </c>
      <c r="E5154" t="s">
        <v>64</v>
      </c>
      <c r="F5154">
        <v>1</v>
      </c>
      <c r="G5154">
        <v>0</v>
      </c>
      <c r="H5154" t="s">
        <v>224</v>
      </c>
      <c r="I5154" t="s">
        <v>538</v>
      </c>
      <c r="J5154" t="s">
        <v>52</v>
      </c>
      <c r="K5154" t="b">
        <v>0</v>
      </c>
      <c r="L5154">
        <v>2017</v>
      </c>
      <c r="M5154">
        <v>56182782585</v>
      </c>
      <c r="N5154">
        <v>112090505081</v>
      </c>
      <c r="O5154" t="b">
        <v>0</v>
      </c>
      <c r="P5154">
        <v>-1</v>
      </c>
      <c r="Q5154" t="str" cm="1">
        <f t="array" ref="Q5154">_xlfn.IFS(Table1[[#This Row],[Wealthier_Winner]]=-1,"Wealthier Nation Loses",Table1[[#This Row],[Wealthier_Winner]]=0,"Tie",Table1[[#This Row],[Wealthier_Winner]]=1,"Wealthier Nation Wins")</f>
        <v>Wealthier Nation Loses</v>
      </c>
    </row>
    <row r="5155" spans="1:17" x14ac:dyDescent="0.2">
      <c r="A5155" s="1">
        <v>7543</v>
      </c>
      <c r="B5155" s="2">
        <v>42818</v>
      </c>
      <c r="C5155" s="7">
        <f>_xlfn.FLOOR.MATH(Table1[[#This Row],[year]],10)</f>
        <v>2010</v>
      </c>
      <c r="D5155" t="s">
        <v>534</v>
      </c>
      <c r="E5155" t="s">
        <v>61</v>
      </c>
      <c r="F5155">
        <v>1</v>
      </c>
      <c r="G5155">
        <v>3</v>
      </c>
      <c r="H5155" t="s">
        <v>224</v>
      </c>
      <c r="I5155" t="s">
        <v>536</v>
      </c>
      <c r="J5155" t="s">
        <v>534</v>
      </c>
      <c r="K5155" t="b">
        <v>0</v>
      </c>
      <c r="L5155">
        <v>2017</v>
      </c>
      <c r="M5155">
        <v>16473125375</v>
      </c>
      <c r="N5155">
        <v>45972834713</v>
      </c>
      <c r="O5155" t="b">
        <v>1</v>
      </c>
      <c r="P5155">
        <v>1</v>
      </c>
      <c r="Q5155" t="str" cm="1">
        <f t="array" ref="Q5155">_xlfn.IFS(Table1[[#This Row],[Wealthier_Winner]]=-1,"Wealthier Nation Loses",Table1[[#This Row],[Wealthier_Winner]]=0,"Tie",Table1[[#This Row],[Wealthier_Winner]]=1,"Wealthier Nation Wins")</f>
        <v>Wealthier Nation Wins</v>
      </c>
    </row>
    <row r="5156" spans="1:17" x14ac:dyDescent="0.2">
      <c r="A5156" s="1">
        <v>7545</v>
      </c>
      <c r="B5156" s="2">
        <v>42818</v>
      </c>
      <c r="C5156" s="7">
        <f>_xlfn.FLOOR.MATH(Table1[[#This Row],[year]],10)</f>
        <v>2010</v>
      </c>
      <c r="D5156" t="s">
        <v>18</v>
      </c>
      <c r="E5156" t="s">
        <v>373</v>
      </c>
      <c r="F5156">
        <v>2</v>
      </c>
      <c r="G5156">
        <v>0</v>
      </c>
      <c r="H5156" t="s">
        <v>224</v>
      </c>
      <c r="I5156" t="s">
        <v>213</v>
      </c>
      <c r="J5156" t="s">
        <v>18</v>
      </c>
      <c r="K5156" t="b">
        <v>0</v>
      </c>
      <c r="L5156">
        <v>2017</v>
      </c>
      <c r="M5156">
        <v>1970720904584</v>
      </c>
      <c r="N5156">
        <v>13258268435</v>
      </c>
      <c r="O5156" t="b">
        <v>1</v>
      </c>
      <c r="P5156">
        <v>1</v>
      </c>
      <c r="Q5156" t="str" cm="1">
        <f t="array" ref="Q5156">_xlfn.IFS(Table1[[#This Row],[Wealthier_Winner]]=-1,"Wealthier Nation Loses",Table1[[#This Row],[Wealthier_Winner]]=0,"Tie",Table1[[#This Row],[Wealthier_Winner]]=1,"Wealthier Nation Wins")</f>
        <v>Wealthier Nation Wins</v>
      </c>
    </row>
    <row r="5157" spans="1:17" x14ac:dyDescent="0.2">
      <c r="A5157" s="1">
        <v>7546</v>
      </c>
      <c r="B5157" s="2">
        <v>42818</v>
      </c>
      <c r="C5157" s="7">
        <f>_xlfn.FLOOR.MATH(Table1[[#This Row],[year]],10)</f>
        <v>2010</v>
      </c>
      <c r="D5157" t="s">
        <v>803</v>
      </c>
      <c r="E5157" t="s">
        <v>66</v>
      </c>
      <c r="F5157">
        <v>1</v>
      </c>
      <c r="G5157">
        <v>2</v>
      </c>
      <c r="H5157" t="s">
        <v>224</v>
      </c>
      <c r="I5157" t="s">
        <v>802</v>
      </c>
      <c r="J5157" t="s">
        <v>373</v>
      </c>
      <c r="K5157" t="b">
        <v>1</v>
      </c>
      <c r="L5157">
        <v>2017</v>
      </c>
      <c r="M5157">
        <v>7180768692</v>
      </c>
      <c r="N5157">
        <v>25060086487</v>
      </c>
      <c r="O5157" t="b">
        <v>1</v>
      </c>
      <c r="P5157">
        <v>1</v>
      </c>
      <c r="Q5157" t="str" cm="1">
        <f t="array" ref="Q5157">_xlfn.IFS(Table1[[#This Row],[Wealthier_Winner]]=-1,"Wealthier Nation Loses",Table1[[#This Row],[Wealthier_Winner]]=0,"Tie",Table1[[#This Row],[Wealthier_Winner]]=1,"Wealthier Nation Wins")</f>
        <v>Wealthier Nation Wins</v>
      </c>
    </row>
    <row r="5158" spans="1:17" x14ac:dyDescent="0.2">
      <c r="A5158" s="1">
        <v>7547</v>
      </c>
      <c r="B5158" s="2">
        <v>42818</v>
      </c>
      <c r="C5158" s="7">
        <f>_xlfn.FLOOR.MATH(Table1[[#This Row],[year]],10)</f>
        <v>2010</v>
      </c>
      <c r="D5158" t="s">
        <v>503</v>
      </c>
      <c r="E5158" t="s">
        <v>502</v>
      </c>
      <c r="F5158">
        <v>0</v>
      </c>
      <c r="G5158">
        <v>3</v>
      </c>
      <c r="H5158" t="s">
        <v>224</v>
      </c>
      <c r="I5158" t="s">
        <v>603</v>
      </c>
      <c r="J5158" t="s">
        <v>503</v>
      </c>
      <c r="K5158" t="b">
        <v>0</v>
      </c>
      <c r="L5158">
        <v>2017</v>
      </c>
      <c r="M5158">
        <v>6474308717</v>
      </c>
      <c r="N5158">
        <v>11307067069</v>
      </c>
      <c r="O5158" t="b">
        <v>0</v>
      </c>
      <c r="P5158">
        <v>1</v>
      </c>
      <c r="Q5158" t="str" cm="1">
        <f t="array" ref="Q5158">_xlfn.IFS(Table1[[#This Row],[Wealthier_Winner]]=-1,"Wealthier Nation Loses",Table1[[#This Row],[Wealthier_Winner]]=0,"Tie",Table1[[#This Row],[Wealthier_Winner]]=1,"Wealthier Nation Wins")</f>
        <v>Wealthier Nation Wins</v>
      </c>
    </row>
    <row r="5159" spans="1:17" x14ac:dyDescent="0.2">
      <c r="A5159" s="1">
        <v>7548</v>
      </c>
      <c r="B5159" s="2">
        <v>42818</v>
      </c>
      <c r="C5159" s="7">
        <f>_xlfn.FLOOR.MATH(Table1[[#This Row],[year]],10)</f>
        <v>2010</v>
      </c>
      <c r="D5159" t="s">
        <v>17</v>
      </c>
      <c r="E5159" t="s">
        <v>56</v>
      </c>
      <c r="F5159">
        <v>2</v>
      </c>
      <c r="G5159">
        <v>0</v>
      </c>
      <c r="H5159" t="s">
        <v>224</v>
      </c>
      <c r="I5159" t="s">
        <v>83</v>
      </c>
      <c r="J5159" t="s">
        <v>17</v>
      </c>
      <c r="K5159" t="b">
        <v>0</v>
      </c>
      <c r="L5159">
        <v>2017</v>
      </c>
      <c r="M5159">
        <v>1190721475906</v>
      </c>
      <c r="N5159">
        <v>60516044656</v>
      </c>
      <c r="O5159" t="b">
        <v>1</v>
      </c>
      <c r="P5159">
        <v>1</v>
      </c>
      <c r="Q5159" t="str" cm="1">
        <f t="array" ref="Q5159">_xlfn.IFS(Table1[[#This Row],[Wealthier_Winner]]=-1,"Wealthier Nation Loses",Table1[[#This Row],[Wealthier_Winner]]=0,"Tie",Table1[[#This Row],[Wealthier_Winner]]=1,"Wealthier Nation Wins")</f>
        <v>Wealthier Nation Wins</v>
      </c>
    </row>
    <row r="5160" spans="1:17" x14ac:dyDescent="0.2">
      <c r="A5160" s="1">
        <v>7549</v>
      </c>
      <c r="B5160" s="2">
        <v>42818</v>
      </c>
      <c r="C5160" s="7">
        <f>_xlfn.FLOOR.MATH(Table1[[#This Row],[year]],10)</f>
        <v>2010</v>
      </c>
      <c r="D5160" t="s">
        <v>21</v>
      </c>
      <c r="E5160" t="s">
        <v>22</v>
      </c>
      <c r="F5160">
        <v>4</v>
      </c>
      <c r="G5160">
        <v>1</v>
      </c>
      <c r="H5160" t="s">
        <v>224</v>
      </c>
      <c r="I5160" t="s">
        <v>394</v>
      </c>
      <c r="J5160" t="s">
        <v>21</v>
      </c>
      <c r="K5160" t="b">
        <v>0</v>
      </c>
      <c r="L5160">
        <v>2017</v>
      </c>
      <c r="M5160">
        <v>1321754088818</v>
      </c>
      <c r="N5160">
        <v>358451839052</v>
      </c>
      <c r="O5160" t="b">
        <v>1</v>
      </c>
      <c r="P5160">
        <v>1</v>
      </c>
      <c r="Q5160" t="str" cm="1">
        <f t="array" ref="Q5160">_xlfn.IFS(Table1[[#This Row],[Wealthier_Winner]]=-1,"Wealthier Nation Loses",Table1[[#This Row],[Wealthier_Winner]]=0,"Tie",Table1[[#This Row],[Wealthier_Winner]]=1,"Wealthier Nation Wins")</f>
        <v>Wealthier Nation Wins</v>
      </c>
    </row>
    <row r="5161" spans="1:17" x14ac:dyDescent="0.2">
      <c r="A5161" s="1">
        <v>7550</v>
      </c>
      <c r="B5161" s="2">
        <v>42818</v>
      </c>
      <c r="C5161" s="7">
        <f>_xlfn.FLOOR.MATH(Table1[[#This Row],[year]],10)</f>
        <v>2010</v>
      </c>
      <c r="D5161" t="s">
        <v>59</v>
      </c>
      <c r="E5161" t="s">
        <v>67</v>
      </c>
      <c r="F5161">
        <v>1</v>
      </c>
      <c r="G5161">
        <v>0</v>
      </c>
      <c r="H5161" t="s">
        <v>224</v>
      </c>
      <c r="I5161" t="s">
        <v>253</v>
      </c>
      <c r="J5161" t="s">
        <v>59</v>
      </c>
      <c r="K5161" t="b">
        <v>0</v>
      </c>
      <c r="L5161">
        <v>2017</v>
      </c>
      <c r="M5161">
        <v>23830750900</v>
      </c>
      <c r="N5161">
        <v>64327688826</v>
      </c>
      <c r="O5161" t="b">
        <v>1</v>
      </c>
      <c r="P5161">
        <v>-1</v>
      </c>
      <c r="Q5161" t="str" cm="1">
        <f t="array" ref="Q5161">_xlfn.IFS(Table1[[#This Row],[Wealthier_Winner]]=-1,"Wealthier Nation Loses",Table1[[#This Row],[Wealthier_Winner]]=0,"Tie",Table1[[#This Row],[Wealthier_Winner]]=1,"Wealthier Nation Wins")</f>
        <v>Wealthier Nation Loses</v>
      </c>
    </row>
    <row r="5162" spans="1:17" x14ac:dyDescent="0.2">
      <c r="A5162" s="1">
        <v>7552</v>
      </c>
      <c r="B5162" s="2">
        <v>42818</v>
      </c>
      <c r="C5162" s="7">
        <f>_xlfn.FLOOR.MATH(Table1[[#This Row],[year]],10)</f>
        <v>2010</v>
      </c>
      <c r="D5162" t="s">
        <v>41</v>
      </c>
      <c r="E5162" t="s">
        <v>65</v>
      </c>
      <c r="F5162">
        <v>6</v>
      </c>
      <c r="G5162">
        <v>0</v>
      </c>
      <c r="H5162" t="s">
        <v>224</v>
      </c>
      <c r="I5162" t="s">
        <v>818</v>
      </c>
      <c r="J5162" t="s">
        <v>41</v>
      </c>
      <c r="K5162" t="b">
        <v>0</v>
      </c>
      <c r="L5162">
        <v>2017</v>
      </c>
      <c r="M5162">
        <v>19477336549000</v>
      </c>
      <c r="N5162">
        <v>23136247990</v>
      </c>
      <c r="O5162" t="b">
        <v>1</v>
      </c>
      <c r="P5162">
        <v>1</v>
      </c>
      <c r="Q5162" t="str" cm="1">
        <f t="array" ref="Q5162">_xlfn.IFS(Table1[[#This Row],[Wealthier_Winner]]=-1,"Wealthier Nation Loses",Table1[[#This Row],[Wealthier_Winner]]=0,"Tie",Table1[[#This Row],[Wealthier_Winner]]=1,"Wealthier Nation Wins")</f>
        <v>Wealthier Nation Wins</v>
      </c>
    </row>
    <row r="5163" spans="1:17" x14ac:dyDescent="0.2">
      <c r="A5163" s="1">
        <v>7553</v>
      </c>
      <c r="B5163" s="2">
        <v>42819</v>
      </c>
      <c r="C5163" s="7">
        <f>_xlfn.FLOOR.MATH(Table1[[#This Row],[year]],10)</f>
        <v>2010</v>
      </c>
      <c r="D5163" t="s">
        <v>601</v>
      </c>
      <c r="E5163" t="s">
        <v>447</v>
      </c>
      <c r="F5163">
        <v>0</v>
      </c>
      <c r="G5163">
        <v>0</v>
      </c>
      <c r="H5163" t="s">
        <v>224</v>
      </c>
      <c r="I5163" t="s">
        <v>602</v>
      </c>
      <c r="J5163" t="s">
        <v>601</v>
      </c>
      <c r="K5163" t="b">
        <v>0</v>
      </c>
      <c r="L5163">
        <v>2017</v>
      </c>
      <c r="M5163">
        <v>3000160414</v>
      </c>
      <c r="N5163">
        <v>2980057377</v>
      </c>
      <c r="O5163" t="b">
        <v>0</v>
      </c>
      <c r="P5163">
        <v>0</v>
      </c>
      <c r="Q5163" t="str" cm="1">
        <f t="array" ref="Q5163">_xlfn.IFS(Table1[[#This Row],[Wealthier_Winner]]=-1,"Wealthier Nation Loses",Table1[[#This Row],[Wealthier_Winner]]=0,"Tie",Table1[[#This Row],[Wealthier_Winner]]=1,"Wealthier Nation Wins")</f>
        <v>Tie</v>
      </c>
    </row>
    <row r="5164" spans="1:17" x14ac:dyDescent="0.2">
      <c r="A5164" s="1">
        <v>7554</v>
      </c>
      <c r="B5164" s="2">
        <v>42819</v>
      </c>
      <c r="C5164" s="7">
        <f>_xlfn.FLOOR.MATH(Table1[[#This Row],[year]],10)</f>
        <v>2010</v>
      </c>
      <c r="D5164" t="s">
        <v>23</v>
      </c>
      <c r="E5164" t="s">
        <v>48</v>
      </c>
      <c r="F5164">
        <v>1</v>
      </c>
      <c r="G5164">
        <v>1</v>
      </c>
      <c r="H5164" t="s">
        <v>224</v>
      </c>
      <c r="I5164" t="s">
        <v>235</v>
      </c>
      <c r="J5164" t="s">
        <v>23</v>
      </c>
      <c r="K5164" t="b">
        <v>0</v>
      </c>
      <c r="L5164">
        <v>2017</v>
      </c>
      <c r="M5164">
        <v>500908767351</v>
      </c>
      <c r="N5164">
        <v>200381103984</v>
      </c>
      <c r="O5164" t="b">
        <v>1</v>
      </c>
      <c r="P5164">
        <v>0</v>
      </c>
      <c r="Q5164" t="str" cm="1">
        <f t="array" ref="Q5164">_xlfn.IFS(Table1[[#This Row],[Wealthier_Winner]]=-1,"Wealthier Nation Loses",Table1[[#This Row],[Wealthier_Winner]]=0,"Tie",Table1[[#This Row],[Wealthier_Winner]]=1,"Wealthier Nation Wins")</f>
        <v>Tie</v>
      </c>
    </row>
    <row r="5165" spans="1:17" x14ac:dyDescent="0.2">
      <c r="A5165" s="1">
        <v>7556</v>
      </c>
      <c r="B5165" s="2">
        <v>42819</v>
      </c>
      <c r="C5165" s="7">
        <f>_xlfn.FLOOR.MATH(Table1[[#This Row],[year]],10)</f>
        <v>2010</v>
      </c>
      <c r="D5165" t="s">
        <v>33</v>
      </c>
      <c r="E5165" t="s">
        <v>27</v>
      </c>
      <c r="F5165">
        <v>2</v>
      </c>
      <c r="G5165">
        <v>0</v>
      </c>
      <c r="H5165" t="s">
        <v>224</v>
      </c>
      <c r="I5165" t="s">
        <v>375</v>
      </c>
      <c r="J5165" t="s">
        <v>33</v>
      </c>
      <c r="K5165" t="b">
        <v>0</v>
      </c>
      <c r="L5165">
        <v>2017</v>
      </c>
      <c r="M5165">
        <v>59167647387</v>
      </c>
      <c r="N5165">
        <v>848233537845</v>
      </c>
      <c r="O5165" t="b">
        <v>1</v>
      </c>
      <c r="P5165">
        <v>-1</v>
      </c>
      <c r="Q5165" t="str" cm="1">
        <f t="array" ref="Q5165">_xlfn.IFS(Table1[[#This Row],[Wealthier_Winner]]=-1,"Wealthier Nation Loses",Table1[[#This Row],[Wealthier_Winner]]=0,"Tie",Table1[[#This Row],[Wealthier_Winner]]=1,"Wealthier Nation Wins")</f>
        <v>Wealthier Nation Loses</v>
      </c>
    </row>
    <row r="5166" spans="1:17" x14ac:dyDescent="0.2">
      <c r="A5166" s="1">
        <v>7557</v>
      </c>
      <c r="B5166" s="2">
        <v>42819</v>
      </c>
      <c r="C5166" s="7">
        <f>_xlfn.FLOOR.MATH(Table1[[#This Row],[year]],10)</f>
        <v>2010</v>
      </c>
      <c r="D5166" t="s">
        <v>351</v>
      </c>
      <c r="E5166" t="s">
        <v>476</v>
      </c>
      <c r="F5166">
        <v>0</v>
      </c>
      <c r="G5166">
        <v>0</v>
      </c>
      <c r="H5166" t="s">
        <v>224</v>
      </c>
      <c r="I5166" t="s">
        <v>381</v>
      </c>
      <c r="J5166" t="s">
        <v>351</v>
      </c>
      <c r="K5166" t="b">
        <v>0</v>
      </c>
      <c r="L5166">
        <v>2017</v>
      </c>
      <c r="M5166">
        <v>22946570628</v>
      </c>
      <c r="N5166">
        <v>27469461919</v>
      </c>
      <c r="O5166" t="b">
        <v>0</v>
      </c>
      <c r="P5166">
        <v>0</v>
      </c>
      <c r="Q5166" t="str" cm="1">
        <f t="array" ref="Q5166">_xlfn.IFS(Table1[[#This Row],[Wealthier_Winner]]=-1,"Wealthier Nation Loses",Table1[[#This Row],[Wealthier_Winner]]=0,"Tie",Table1[[#This Row],[Wealthier_Winner]]=1,"Wealthier Nation Wins")</f>
        <v>Tie</v>
      </c>
    </row>
    <row r="5167" spans="1:17" x14ac:dyDescent="0.2">
      <c r="A5167" s="1">
        <v>7558</v>
      </c>
      <c r="B5167" s="2">
        <v>42819</v>
      </c>
      <c r="C5167" s="7">
        <f>_xlfn.FLOOR.MATH(Table1[[#This Row],[year]],10)</f>
        <v>2010</v>
      </c>
      <c r="D5167" t="s">
        <v>384</v>
      </c>
      <c r="E5167" t="s">
        <v>72</v>
      </c>
      <c r="F5167">
        <v>0</v>
      </c>
      <c r="G5167">
        <v>2</v>
      </c>
      <c r="H5167" t="s">
        <v>224</v>
      </c>
      <c r="I5167" t="s">
        <v>819</v>
      </c>
      <c r="J5167" t="s">
        <v>384</v>
      </c>
      <c r="K5167" t="b">
        <v>0</v>
      </c>
      <c r="L5167">
        <v>2017</v>
      </c>
      <c r="M5167">
        <v>5353469174</v>
      </c>
      <c r="N5167">
        <v>206745969246</v>
      </c>
      <c r="O5167" t="b">
        <v>1</v>
      </c>
      <c r="P5167">
        <v>1</v>
      </c>
      <c r="Q5167" t="str" cm="1">
        <f t="array" ref="Q5167">_xlfn.IFS(Table1[[#This Row],[Wealthier_Winner]]=-1,"Wealthier Nation Loses",Table1[[#This Row],[Wealthier_Winner]]=0,"Tie",Table1[[#This Row],[Wealthier_Winner]]=1,"Wealthier Nation Wins")</f>
        <v>Wealthier Nation Wins</v>
      </c>
    </row>
    <row r="5168" spans="1:17" x14ac:dyDescent="0.2">
      <c r="A5168" s="1">
        <v>7559</v>
      </c>
      <c r="B5168" s="2">
        <v>42819</v>
      </c>
      <c r="C5168" s="7">
        <f>_xlfn.FLOOR.MATH(Table1[[#This Row],[year]],10)</f>
        <v>2010</v>
      </c>
      <c r="D5168" t="s">
        <v>232</v>
      </c>
      <c r="E5168" t="s">
        <v>20</v>
      </c>
      <c r="F5168">
        <v>1</v>
      </c>
      <c r="G5168">
        <v>3</v>
      </c>
      <c r="H5168" t="s">
        <v>224</v>
      </c>
      <c r="I5168" t="s">
        <v>232</v>
      </c>
      <c r="J5168" t="s">
        <v>232</v>
      </c>
      <c r="K5168" t="b">
        <v>0</v>
      </c>
      <c r="L5168">
        <v>2017</v>
      </c>
      <c r="M5168">
        <v>65712180342</v>
      </c>
      <c r="N5168">
        <v>2588868323334</v>
      </c>
      <c r="O5168" t="b">
        <v>1</v>
      </c>
      <c r="P5168">
        <v>1</v>
      </c>
      <c r="Q5168" t="str" cm="1">
        <f t="array" ref="Q5168">_xlfn.IFS(Table1[[#This Row],[Wealthier_Winner]]=-1,"Wealthier Nation Loses",Table1[[#This Row],[Wealthier_Winner]]=0,"Tie",Table1[[#This Row],[Wealthier_Winner]]=1,"Wealthier Nation Wins")</f>
        <v>Wealthier Nation Wins</v>
      </c>
    </row>
    <row r="5169" spans="1:17" x14ac:dyDescent="0.2">
      <c r="A5169" s="1">
        <v>7560</v>
      </c>
      <c r="B5169" s="2">
        <v>42819</v>
      </c>
      <c r="C5169" s="7">
        <f>_xlfn.FLOOR.MATH(Table1[[#This Row],[year]],10)</f>
        <v>2010</v>
      </c>
      <c r="D5169" t="s">
        <v>38</v>
      </c>
      <c r="E5169" t="s">
        <v>30</v>
      </c>
      <c r="F5169">
        <v>3</v>
      </c>
      <c r="G5169">
        <v>0</v>
      </c>
      <c r="H5169" t="s">
        <v>224</v>
      </c>
      <c r="I5169" t="s">
        <v>291</v>
      </c>
      <c r="J5169" t="s">
        <v>38</v>
      </c>
      <c r="K5169" t="b">
        <v>0</v>
      </c>
      <c r="L5169">
        <v>2017</v>
      </c>
      <c r="M5169">
        <v>220862990767</v>
      </c>
      <c r="N5169">
        <v>143335098991</v>
      </c>
      <c r="O5169" t="b">
        <v>0</v>
      </c>
      <c r="P5169">
        <v>1</v>
      </c>
      <c r="Q5169" t="str" cm="1">
        <f t="array" ref="Q5169">_xlfn.IFS(Table1[[#This Row],[Wealthier_Winner]]=-1,"Wealthier Nation Loses",Table1[[#This Row],[Wealthier_Winner]]=0,"Tie",Table1[[#This Row],[Wealthier_Winner]]=1,"Wealthier Nation Wins")</f>
        <v>Wealthier Nation Wins</v>
      </c>
    </row>
    <row r="5170" spans="1:17" x14ac:dyDescent="0.2">
      <c r="A5170" s="1">
        <v>7561</v>
      </c>
      <c r="B5170" s="2">
        <v>42819</v>
      </c>
      <c r="C5170" s="7">
        <f>_xlfn.FLOOR.MATH(Table1[[#This Row],[year]],10)</f>
        <v>2010</v>
      </c>
      <c r="D5170" t="s">
        <v>25</v>
      </c>
      <c r="E5170" t="s">
        <v>510</v>
      </c>
      <c r="F5170">
        <v>4</v>
      </c>
      <c r="G5170">
        <v>0</v>
      </c>
      <c r="H5170" t="s">
        <v>224</v>
      </c>
      <c r="I5170" t="s">
        <v>233</v>
      </c>
      <c r="J5170" t="s">
        <v>25</v>
      </c>
      <c r="K5170" t="b">
        <v>0</v>
      </c>
      <c r="L5170">
        <v>2017</v>
      </c>
      <c r="M5170">
        <v>535172356784</v>
      </c>
      <c r="N5170">
        <v>54725405751</v>
      </c>
      <c r="O5170" t="b">
        <v>1</v>
      </c>
      <c r="P5170">
        <v>1</v>
      </c>
      <c r="Q5170" t="str" cm="1">
        <f t="array" ref="Q5170">_xlfn.IFS(Table1[[#This Row],[Wealthier_Winner]]=-1,"Wealthier Nation Loses",Table1[[#This Row],[Wealthier_Winner]]=0,"Tie",Table1[[#This Row],[Wealthier_Winner]]=1,"Wealthier Nation Wins")</f>
        <v>Wealthier Nation Wins</v>
      </c>
    </row>
    <row r="5171" spans="1:17" x14ac:dyDescent="0.2">
      <c r="A5171" s="1">
        <v>7562</v>
      </c>
      <c r="B5171" s="2">
        <v>42819</v>
      </c>
      <c r="C5171" s="7">
        <f>_xlfn.FLOOR.MATH(Table1[[#This Row],[year]],10)</f>
        <v>2010</v>
      </c>
      <c r="D5171" t="s">
        <v>46</v>
      </c>
      <c r="E5171" t="s">
        <v>525</v>
      </c>
      <c r="F5171">
        <v>1</v>
      </c>
      <c r="G5171">
        <v>0</v>
      </c>
      <c r="H5171" t="s">
        <v>224</v>
      </c>
      <c r="I5171" t="s">
        <v>722</v>
      </c>
      <c r="J5171" t="s">
        <v>46</v>
      </c>
      <c r="K5171" t="b">
        <v>0</v>
      </c>
      <c r="L5171">
        <v>2017</v>
      </c>
      <c r="M5171">
        <v>695200833086</v>
      </c>
      <c r="N5171">
        <v>29391059767</v>
      </c>
      <c r="O5171" t="b">
        <v>1</v>
      </c>
      <c r="P5171">
        <v>1</v>
      </c>
      <c r="Q5171" t="str" cm="1">
        <f t="array" ref="Q5171">_xlfn.IFS(Table1[[#This Row],[Wealthier_Winner]]=-1,"Wealthier Nation Loses",Table1[[#This Row],[Wealthier_Winner]]=0,"Tie",Table1[[#This Row],[Wealthier_Winner]]=1,"Wealthier Nation Wins")</f>
        <v>Wealthier Nation Wins</v>
      </c>
    </row>
    <row r="5172" spans="1:17" x14ac:dyDescent="0.2">
      <c r="A5172" s="1">
        <v>7563</v>
      </c>
      <c r="B5172" s="2">
        <v>42820</v>
      </c>
      <c r="C5172" s="7">
        <f>_xlfn.FLOOR.MATH(Table1[[#This Row],[year]],10)</f>
        <v>2010</v>
      </c>
      <c r="D5172" t="s">
        <v>519</v>
      </c>
      <c r="E5172" t="s">
        <v>558</v>
      </c>
      <c r="F5172">
        <v>2</v>
      </c>
      <c r="G5172">
        <v>0</v>
      </c>
      <c r="H5172" t="s">
        <v>224</v>
      </c>
      <c r="I5172" t="s">
        <v>520</v>
      </c>
      <c r="J5172" t="s">
        <v>519</v>
      </c>
      <c r="K5172" t="b">
        <v>0</v>
      </c>
      <c r="L5172">
        <v>2017</v>
      </c>
      <c r="M5172">
        <v>11527458709</v>
      </c>
      <c r="N5172">
        <v>166805788827</v>
      </c>
      <c r="O5172" t="b">
        <v>1</v>
      </c>
      <c r="P5172">
        <v>-1</v>
      </c>
      <c r="Q5172" t="str" cm="1">
        <f t="array" ref="Q5172">_xlfn.IFS(Table1[[#This Row],[Wealthier_Winner]]=-1,"Wealthier Nation Loses",Table1[[#This Row],[Wealthier_Winner]]=0,"Tie",Table1[[#This Row],[Wealthier_Winner]]=1,"Wealthier Nation Wins")</f>
        <v>Wealthier Nation Loses</v>
      </c>
    </row>
    <row r="5173" spans="1:17" x14ac:dyDescent="0.2">
      <c r="A5173" s="1">
        <v>7564</v>
      </c>
      <c r="B5173" s="2">
        <v>42820</v>
      </c>
      <c r="C5173" s="7">
        <f>_xlfn.FLOOR.MATH(Table1[[#This Row],[year]],10)</f>
        <v>2010</v>
      </c>
      <c r="D5173" t="s">
        <v>513</v>
      </c>
      <c r="E5173" t="s">
        <v>16</v>
      </c>
      <c r="F5173">
        <v>1</v>
      </c>
      <c r="G5173">
        <v>4</v>
      </c>
      <c r="H5173" t="s">
        <v>224</v>
      </c>
      <c r="I5173" t="s">
        <v>521</v>
      </c>
      <c r="J5173" t="s">
        <v>513</v>
      </c>
      <c r="K5173" t="b">
        <v>0</v>
      </c>
      <c r="L5173">
        <v>2017</v>
      </c>
      <c r="M5173">
        <v>40866627351</v>
      </c>
      <c r="N5173">
        <v>3765351626105</v>
      </c>
      <c r="O5173" t="b">
        <v>1</v>
      </c>
      <c r="P5173">
        <v>1</v>
      </c>
      <c r="Q5173" t="str" cm="1">
        <f t="array" ref="Q5173">_xlfn.IFS(Table1[[#This Row],[Wealthier_Winner]]=-1,"Wealthier Nation Loses",Table1[[#This Row],[Wealthier_Winner]]=0,"Tie",Table1[[#This Row],[Wealthier_Winner]]=1,"Wealthier Nation Wins")</f>
        <v>Wealthier Nation Wins</v>
      </c>
    </row>
    <row r="5174" spans="1:17" x14ac:dyDescent="0.2">
      <c r="A5174" s="1">
        <v>7565</v>
      </c>
      <c r="B5174" s="2">
        <v>42820</v>
      </c>
      <c r="C5174" s="7">
        <f>_xlfn.FLOOR.MATH(Table1[[#This Row],[year]],10)</f>
        <v>2010</v>
      </c>
      <c r="D5174" t="s">
        <v>194</v>
      </c>
      <c r="E5174" t="s">
        <v>523</v>
      </c>
      <c r="F5174">
        <v>2</v>
      </c>
      <c r="G5174">
        <v>0</v>
      </c>
      <c r="H5174" t="s">
        <v>224</v>
      </c>
      <c r="I5174" t="s">
        <v>80</v>
      </c>
      <c r="J5174" t="s">
        <v>194</v>
      </c>
      <c r="K5174" t="b">
        <v>0</v>
      </c>
      <c r="L5174">
        <v>2017</v>
      </c>
      <c r="M5174">
        <v>2699118387873</v>
      </c>
      <c r="N5174">
        <v>47756764508</v>
      </c>
      <c r="O5174" t="b">
        <v>1</v>
      </c>
      <c r="P5174">
        <v>1</v>
      </c>
      <c r="Q5174" t="str" cm="1">
        <f t="array" ref="Q5174">_xlfn.IFS(Table1[[#This Row],[Wealthier_Winner]]=-1,"Wealthier Nation Loses",Table1[[#This Row],[Wealthier_Winner]]=0,"Tie",Table1[[#This Row],[Wealthier_Winner]]=1,"Wealthier Nation Wins")</f>
        <v>Wealthier Nation Wins</v>
      </c>
    </row>
    <row r="5175" spans="1:17" x14ac:dyDescent="0.2">
      <c r="A5175" s="1">
        <v>7567</v>
      </c>
      <c r="B5175" s="2">
        <v>42820</v>
      </c>
      <c r="C5175" s="7">
        <f>_xlfn.FLOOR.MATH(Table1[[#This Row],[year]],10)</f>
        <v>2010</v>
      </c>
      <c r="D5175" t="s">
        <v>705</v>
      </c>
      <c r="E5175" t="s">
        <v>58</v>
      </c>
      <c r="F5175">
        <v>1</v>
      </c>
      <c r="G5175">
        <v>2</v>
      </c>
      <c r="H5175" t="s">
        <v>224</v>
      </c>
      <c r="I5175" t="s">
        <v>706</v>
      </c>
      <c r="J5175" t="s">
        <v>705</v>
      </c>
      <c r="K5175" t="b">
        <v>0</v>
      </c>
      <c r="L5175">
        <v>2017</v>
      </c>
      <c r="M5175">
        <v>4803962015</v>
      </c>
      <c r="N5175">
        <v>528356676667</v>
      </c>
      <c r="O5175" t="b">
        <v>1</v>
      </c>
      <c r="P5175">
        <v>1</v>
      </c>
      <c r="Q5175" t="str" cm="1">
        <f t="array" ref="Q5175">_xlfn.IFS(Table1[[#This Row],[Wealthier_Winner]]=-1,"Wealthier Nation Loses",Table1[[#This Row],[Wealthier_Winner]]=0,"Tie",Table1[[#This Row],[Wealthier_Winner]]=1,"Wealthier Nation Wins")</f>
        <v>Wealthier Nation Wins</v>
      </c>
    </row>
    <row r="5176" spans="1:17" x14ac:dyDescent="0.2">
      <c r="A5176" s="1">
        <v>7569</v>
      </c>
      <c r="B5176" s="2">
        <v>42820</v>
      </c>
      <c r="C5176" s="7">
        <f>_xlfn.FLOOR.MATH(Table1[[#This Row],[year]],10)</f>
        <v>2010</v>
      </c>
      <c r="D5176" t="s">
        <v>44</v>
      </c>
      <c r="E5176" t="s">
        <v>36</v>
      </c>
      <c r="F5176">
        <v>0</v>
      </c>
      <c r="G5176">
        <v>0</v>
      </c>
      <c r="H5176" t="s">
        <v>224</v>
      </c>
      <c r="I5176" t="s">
        <v>708</v>
      </c>
      <c r="J5176" t="s">
        <v>44</v>
      </c>
      <c r="K5176" t="b">
        <v>0</v>
      </c>
      <c r="L5176">
        <v>2017</v>
      </c>
      <c r="M5176">
        <v>210147385855</v>
      </c>
      <c r="N5176">
        <v>331610593961</v>
      </c>
      <c r="O5176" t="b">
        <v>0</v>
      </c>
      <c r="P5176">
        <v>0</v>
      </c>
      <c r="Q5176" t="str" cm="1">
        <f t="array" ref="Q5176">_xlfn.IFS(Table1[[#This Row],[Wealthier_Winner]]=-1,"Wealthier Nation Loses",Table1[[#This Row],[Wealthier_Winner]]=0,"Tie",Table1[[#This Row],[Wealthier_Winner]]=1,"Wealthier Nation Wins")</f>
        <v>Tie</v>
      </c>
    </row>
    <row r="5177" spans="1:17" x14ac:dyDescent="0.2">
      <c r="A5177" s="1">
        <v>7572</v>
      </c>
      <c r="B5177" s="2">
        <v>42822</v>
      </c>
      <c r="C5177" s="7">
        <f>_xlfn.FLOOR.MATH(Table1[[#This Row],[year]],10)</f>
        <v>2010</v>
      </c>
      <c r="D5177" t="s">
        <v>28</v>
      </c>
      <c r="E5177" t="s">
        <v>39</v>
      </c>
      <c r="F5177">
        <v>2</v>
      </c>
      <c r="G5177">
        <v>0</v>
      </c>
      <c r="H5177" t="s">
        <v>224</v>
      </c>
      <c r="I5177" t="s">
        <v>301</v>
      </c>
      <c r="J5177" t="s">
        <v>28</v>
      </c>
      <c r="K5177" t="b">
        <v>0</v>
      </c>
      <c r="L5177">
        <v>2017</v>
      </c>
      <c r="M5177">
        <v>1330890554614</v>
      </c>
      <c r="N5177">
        <v>403365010211</v>
      </c>
      <c r="O5177" t="b">
        <v>1</v>
      </c>
      <c r="P5177">
        <v>1</v>
      </c>
      <c r="Q5177" t="str" cm="1">
        <f t="array" ref="Q5177">_xlfn.IFS(Table1[[#This Row],[Wealthier_Winner]]=-1,"Wealthier Nation Loses",Table1[[#This Row],[Wealthier_Winner]]=0,"Tie",Table1[[#This Row],[Wealthier_Winner]]=1,"Wealthier Nation Wins")</f>
        <v>Wealthier Nation Wins</v>
      </c>
    </row>
    <row r="5178" spans="1:17" x14ac:dyDescent="0.2">
      <c r="A5178" s="1">
        <v>7573</v>
      </c>
      <c r="B5178" s="2">
        <v>42822</v>
      </c>
      <c r="C5178" s="7">
        <f>_xlfn.FLOOR.MATH(Table1[[#This Row],[year]],10)</f>
        <v>2010</v>
      </c>
      <c r="D5178" t="s">
        <v>47</v>
      </c>
      <c r="E5178" t="s">
        <v>19</v>
      </c>
      <c r="F5178">
        <v>2</v>
      </c>
      <c r="G5178">
        <v>0</v>
      </c>
      <c r="H5178" t="s">
        <v>224</v>
      </c>
      <c r="I5178" t="s">
        <v>246</v>
      </c>
      <c r="J5178" t="s">
        <v>47</v>
      </c>
      <c r="K5178" t="b">
        <v>0</v>
      </c>
      <c r="L5178">
        <v>2017</v>
      </c>
      <c r="M5178">
        <v>45927439594</v>
      </c>
      <c r="N5178">
        <v>643628393281</v>
      </c>
      <c r="O5178" t="b">
        <v>1</v>
      </c>
      <c r="P5178">
        <v>-1</v>
      </c>
      <c r="Q5178" t="str" cm="1">
        <f t="array" ref="Q5178">_xlfn.IFS(Table1[[#This Row],[Wealthier_Winner]]=-1,"Wealthier Nation Loses",Table1[[#This Row],[Wealthier_Winner]]=0,"Tie",Table1[[#This Row],[Wealthier_Winner]]=1,"Wealthier Nation Wins")</f>
        <v>Wealthier Nation Loses</v>
      </c>
    </row>
    <row r="5179" spans="1:17" x14ac:dyDescent="0.2">
      <c r="A5179" s="1">
        <v>7574</v>
      </c>
      <c r="B5179" s="2">
        <v>42822</v>
      </c>
      <c r="C5179" s="7">
        <f>_xlfn.FLOOR.MATH(Table1[[#This Row],[year]],10)</f>
        <v>2010</v>
      </c>
      <c r="D5179" t="s">
        <v>13</v>
      </c>
      <c r="E5179" t="s">
        <v>35</v>
      </c>
      <c r="F5179">
        <v>3</v>
      </c>
      <c r="G5179">
        <v>0</v>
      </c>
      <c r="H5179" t="s">
        <v>224</v>
      </c>
      <c r="I5179" t="s">
        <v>417</v>
      </c>
      <c r="J5179" t="s">
        <v>13</v>
      </c>
      <c r="K5179" t="b">
        <v>0</v>
      </c>
      <c r="L5179">
        <v>2017</v>
      </c>
      <c r="M5179">
        <v>2063514688805</v>
      </c>
      <c r="N5179">
        <v>38997129473</v>
      </c>
      <c r="O5179" t="b">
        <v>1</v>
      </c>
      <c r="P5179">
        <v>1</v>
      </c>
      <c r="Q5179" t="str" cm="1">
        <f t="array" ref="Q5179">_xlfn.IFS(Table1[[#This Row],[Wealthier_Winner]]=-1,"Wealthier Nation Loses",Table1[[#This Row],[Wealthier_Winner]]=0,"Tie",Table1[[#This Row],[Wealthier_Winner]]=1,"Wealthier Nation Wins")</f>
        <v>Wealthier Nation Wins</v>
      </c>
    </row>
    <row r="5180" spans="1:17" x14ac:dyDescent="0.2">
      <c r="A5180" s="1">
        <v>7575</v>
      </c>
      <c r="B5180" s="2">
        <v>42822</v>
      </c>
      <c r="C5180" s="7">
        <f>_xlfn.FLOOR.MATH(Table1[[#This Row],[year]],10)</f>
        <v>2010</v>
      </c>
      <c r="D5180" t="s">
        <v>14</v>
      </c>
      <c r="E5180" t="s">
        <v>258</v>
      </c>
      <c r="F5180">
        <v>3</v>
      </c>
      <c r="G5180">
        <v>1</v>
      </c>
      <c r="H5180" t="s">
        <v>224</v>
      </c>
      <c r="I5180" t="s">
        <v>75</v>
      </c>
      <c r="J5180" t="s">
        <v>14</v>
      </c>
      <c r="K5180" t="b">
        <v>0</v>
      </c>
      <c r="L5180">
        <v>2017</v>
      </c>
      <c r="M5180">
        <v>276154259981</v>
      </c>
      <c r="N5180">
        <v>115883275162</v>
      </c>
      <c r="O5180" t="b">
        <v>1</v>
      </c>
      <c r="P5180">
        <v>1</v>
      </c>
      <c r="Q5180" t="str" cm="1">
        <f t="array" ref="Q5180">_xlfn.IFS(Table1[[#This Row],[Wealthier_Winner]]=-1,"Wealthier Nation Loses",Table1[[#This Row],[Wealthier_Winner]]=0,"Tie",Table1[[#This Row],[Wealthier_Winner]]=1,"Wealthier Nation Wins")</f>
        <v>Wealthier Nation Wins</v>
      </c>
    </row>
    <row r="5181" spans="1:17" x14ac:dyDescent="0.2">
      <c r="A5181" s="1">
        <v>7576</v>
      </c>
      <c r="B5181" s="2">
        <v>42822</v>
      </c>
      <c r="C5181" s="7">
        <f>_xlfn.FLOOR.MATH(Table1[[#This Row],[year]],10)</f>
        <v>2010</v>
      </c>
      <c r="D5181" t="s">
        <v>57</v>
      </c>
      <c r="E5181" t="s">
        <v>15</v>
      </c>
      <c r="F5181">
        <v>0</v>
      </c>
      <c r="G5181">
        <v>2</v>
      </c>
      <c r="H5181" t="s">
        <v>224</v>
      </c>
      <c r="I5181" t="s">
        <v>335</v>
      </c>
      <c r="J5181" t="s">
        <v>57</v>
      </c>
      <c r="K5181" t="b">
        <v>0</v>
      </c>
      <c r="L5181">
        <v>2017</v>
      </c>
      <c r="M5181">
        <v>104467486000</v>
      </c>
      <c r="N5181">
        <v>311866875156</v>
      </c>
      <c r="O5181" t="b">
        <v>1</v>
      </c>
      <c r="P5181">
        <v>1</v>
      </c>
      <c r="Q5181" t="str" cm="1">
        <f t="array" ref="Q5181">_xlfn.IFS(Table1[[#This Row],[Wealthier_Winner]]=-1,"Wealthier Nation Loses",Table1[[#This Row],[Wealthier_Winner]]=0,"Tie",Table1[[#This Row],[Wealthier_Winner]]=1,"Wealthier Nation Wins")</f>
        <v>Wealthier Nation Wins</v>
      </c>
    </row>
    <row r="5182" spans="1:17" x14ac:dyDescent="0.2">
      <c r="A5182" s="1">
        <v>7577</v>
      </c>
      <c r="B5182" s="2">
        <v>42822</v>
      </c>
      <c r="C5182" s="7">
        <f>_xlfn.FLOOR.MATH(Table1[[#This Row],[year]],10)</f>
        <v>2010</v>
      </c>
      <c r="D5182" t="s">
        <v>65</v>
      </c>
      <c r="E5182" t="s">
        <v>56</v>
      </c>
      <c r="F5182">
        <v>1</v>
      </c>
      <c r="G5182">
        <v>1</v>
      </c>
      <c r="H5182" t="s">
        <v>224</v>
      </c>
      <c r="I5182" t="s">
        <v>254</v>
      </c>
      <c r="J5182" t="s">
        <v>65</v>
      </c>
      <c r="K5182" t="b">
        <v>0</v>
      </c>
      <c r="L5182">
        <v>2017</v>
      </c>
      <c r="M5182">
        <v>23136247990</v>
      </c>
      <c r="N5182">
        <v>60516044656</v>
      </c>
      <c r="O5182" t="b">
        <v>1</v>
      </c>
      <c r="P5182">
        <v>0</v>
      </c>
      <c r="Q5182" t="str" cm="1">
        <f t="array" ref="Q5182">_xlfn.IFS(Table1[[#This Row],[Wealthier_Winner]]=-1,"Wealthier Nation Loses",Table1[[#This Row],[Wealthier_Winner]]=0,"Tie",Table1[[#This Row],[Wealthier_Winner]]=1,"Wealthier Nation Wins")</f>
        <v>Tie</v>
      </c>
    </row>
    <row r="5183" spans="1:17" x14ac:dyDescent="0.2">
      <c r="A5183" s="1">
        <v>7579</v>
      </c>
      <c r="B5183" s="2">
        <v>42822</v>
      </c>
      <c r="C5183" s="7">
        <f>_xlfn.FLOOR.MATH(Table1[[#This Row],[year]],10)</f>
        <v>2010</v>
      </c>
      <c r="D5183" t="s">
        <v>51</v>
      </c>
      <c r="E5183" t="s">
        <v>334</v>
      </c>
      <c r="F5183">
        <v>4</v>
      </c>
      <c r="G5183">
        <v>0</v>
      </c>
      <c r="H5183" t="s">
        <v>224</v>
      </c>
      <c r="I5183" t="s">
        <v>143</v>
      </c>
      <c r="J5183" t="s">
        <v>51</v>
      </c>
      <c r="K5183" t="b">
        <v>0</v>
      </c>
      <c r="L5183">
        <v>2017</v>
      </c>
      <c r="M5183">
        <v>4930837369151</v>
      </c>
      <c r="N5183">
        <v>456356813536</v>
      </c>
      <c r="O5183" t="b">
        <v>1</v>
      </c>
      <c r="P5183">
        <v>1</v>
      </c>
      <c r="Q5183" t="str" cm="1">
        <f t="array" ref="Q5183">_xlfn.IFS(Table1[[#This Row],[Wealthier_Winner]]=-1,"Wealthier Nation Loses",Table1[[#This Row],[Wealthier_Winner]]=0,"Tie",Table1[[#This Row],[Wealthier_Winner]]=1,"Wealthier Nation Wins")</f>
        <v>Wealthier Nation Wins</v>
      </c>
    </row>
    <row r="5184" spans="1:17" x14ac:dyDescent="0.2">
      <c r="A5184" s="1">
        <v>7580</v>
      </c>
      <c r="B5184" s="2">
        <v>42822</v>
      </c>
      <c r="C5184" s="7">
        <f>_xlfn.FLOOR.MATH(Table1[[#This Row],[year]],10)</f>
        <v>2010</v>
      </c>
      <c r="D5184" t="s">
        <v>195</v>
      </c>
      <c r="E5184" t="s">
        <v>331</v>
      </c>
      <c r="F5184">
        <v>1</v>
      </c>
      <c r="G5184">
        <v>0</v>
      </c>
      <c r="H5184" t="s">
        <v>224</v>
      </c>
      <c r="I5184" t="s">
        <v>136</v>
      </c>
      <c r="J5184" t="s">
        <v>195</v>
      </c>
      <c r="K5184" t="b">
        <v>0</v>
      </c>
      <c r="L5184">
        <v>2017</v>
      </c>
      <c r="M5184">
        <v>1710196756713</v>
      </c>
      <c r="N5184">
        <v>16369843352</v>
      </c>
      <c r="O5184" t="b">
        <v>1</v>
      </c>
      <c r="P5184">
        <v>1</v>
      </c>
      <c r="Q5184" t="str" cm="1">
        <f t="array" ref="Q5184">_xlfn.IFS(Table1[[#This Row],[Wealthier_Winner]]=-1,"Wealthier Nation Loses",Table1[[#This Row],[Wealthier_Winner]]=0,"Tie",Table1[[#This Row],[Wealthier_Winner]]=1,"Wealthier Nation Wins")</f>
        <v>Wealthier Nation Wins</v>
      </c>
    </row>
    <row r="5185" spans="1:17" x14ac:dyDescent="0.2">
      <c r="A5185" s="1">
        <v>7581</v>
      </c>
      <c r="B5185" s="2">
        <v>42822</v>
      </c>
      <c r="C5185" s="7">
        <f>_xlfn.FLOOR.MATH(Table1[[#This Row],[year]],10)</f>
        <v>2010</v>
      </c>
      <c r="D5185" t="s">
        <v>72</v>
      </c>
      <c r="E5185" t="s">
        <v>384</v>
      </c>
      <c r="F5185">
        <v>2</v>
      </c>
      <c r="G5185">
        <v>0</v>
      </c>
      <c r="H5185" t="s">
        <v>224</v>
      </c>
      <c r="I5185" t="s">
        <v>629</v>
      </c>
      <c r="J5185" t="s">
        <v>72</v>
      </c>
      <c r="K5185" t="b">
        <v>0</v>
      </c>
      <c r="L5185">
        <v>2017</v>
      </c>
      <c r="M5185">
        <v>206745969246</v>
      </c>
      <c r="N5185">
        <v>5353469174</v>
      </c>
      <c r="O5185" t="b">
        <v>1</v>
      </c>
      <c r="P5185">
        <v>1</v>
      </c>
      <c r="Q5185" t="str" cm="1">
        <f t="array" ref="Q5185">_xlfn.IFS(Table1[[#This Row],[Wealthier_Winner]]=-1,"Wealthier Nation Loses",Table1[[#This Row],[Wealthier_Winner]]=0,"Tie",Table1[[#This Row],[Wealthier_Winner]]=1,"Wealthier Nation Wins")</f>
        <v>Wealthier Nation Wins</v>
      </c>
    </row>
    <row r="5186" spans="1:17" x14ac:dyDescent="0.2">
      <c r="A5186" s="1">
        <v>7582</v>
      </c>
      <c r="B5186" s="2">
        <v>42822</v>
      </c>
      <c r="C5186" s="7">
        <f>_xlfn.FLOOR.MATH(Table1[[#This Row],[year]],10)</f>
        <v>2010</v>
      </c>
      <c r="D5186" t="s">
        <v>67</v>
      </c>
      <c r="E5186" t="s">
        <v>41</v>
      </c>
      <c r="F5186">
        <v>1</v>
      </c>
      <c r="G5186">
        <v>1</v>
      </c>
      <c r="H5186" t="s">
        <v>224</v>
      </c>
      <c r="I5186" t="s">
        <v>455</v>
      </c>
      <c r="J5186" t="s">
        <v>67</v>
      </c>
      <c r="K5186" t="b">
        <v>0</v>
      </c>
      <c r="L5186">
        <v>2017</v>
      </c>
      <c r="M5186">
        <v>64327688826</v>
      </c>
      <c r="N5186">
        <v>19477336549000</v>
      </c>
      <c r="O5186" t="b">
        <v>1</v>
      </c>
      <c r="P5186">
        <v>0</v>
      </c>
      <c r="Q5186" t="str" cm="1">
        <f t="array" ref="Q5186">_xlfn.IFS(Table1[[#This Row],[Wealthier_Winner]]=-1,"Wealthier Nation Loses",Table1[[#This Row],[Wealthier_Winner]]=0,"Tie",Table1[[#This Row],[Wealthier_Winner]]=1,"Wealthier Nation Wins")</f>
        <v>Tie</v>
      </c>
    </row>
    <row r="5187" spans="1:17" x14ac:dyDescent="0.2">
      <c r="A5187" s="1">
        <v>7583</v>
      </c>
      <c r="B5187" s="2">
        <v>42822</v>
      </c>
      <c r="C5187" s="7">
        <f>_xlfn.FLOOR.MATH(Table1[[#This Row],[year]],10)</f>
        <v>2010</v>
      </c>
      <c r="D5187" t="s">
        <v>31</v>
      </c>
      <c r="E5187" t="s">
        <v>26</v>
      </c>
      <c r="F5187">
        <v>2</v>
      </c>
      <c r="G5187">
        <v>1</v>
      </c>
      <c r="H5187" t="s">
        <v>224</v>
      </c>
      <c r="I5187" t="s">
        <v>242</v>
      </c>
      <c r="J5187" t="s">
        <v>31</v>
      </c>
      <c r="K5187" t="b">
        <v>0</v>
      </c>
      <c r="L5187">
        <v>2017</v>
      </c>
      <c r="M5187">
        <v>211007984080</v>
      </c>
      <c r="N5187">
        <v>65005997963</v>
      </c>
      <c r="O5187" t="b">
        <v>1</v>
      </c>
      <c r="P5187">
        <v>1</v>
      </c>
      <c r="Q5187" t="str" cm="1">
        <f t="array" ref="Q5187">_xlfn.IFS(Table1[[#This Row],[Wealthier_Winner]]=-1,"Wealthier Nation Loses",Table1[[#This Row],[Wealthier_Winner]]=0,"Tie",Table1[[#This Row],[Wealthier_Winner]]=1,"Wealthier Nation Wins")</f>
        <v>Wealthier Nation Wins</v>
      </c>
    </row>
    <row r="5188" spans="1:17" x14ac:dyDescent="0.2">
      <c r="A5188" s="1">
        <v>7584</v>
      </c>
      <c r="B5188" s="2">
        <v>42822</v>
      </c>
      <c r="C5188" s="7">
        <f>_xlfn.FLOOR.MATH(Table1[[#This Row],[year]],10)</f>
        <v>2010</v>
      </c>
      <c r="D5188" t="s">
        <v>45</v>
      </c>
      <c r="E5188" t="s">
        <v>37</v>
      </c>
      <c r="F5188">
        <v>1</v>
      </c>
      <c r="G5188">
        <v>0</v>
      </c>
      <c r="H5188" t="s">
        <v>224</v>
      </c>
      <c r="I5188" t="s">
        <v>354</v>
      </c>
      <c r="J5188" t="s">
        <v>45</v>
      </c>
      <c r="K5188" t="b">
        <v>0</v>
      </c>
      <c r="L5188">
        <v>2017</v>
      </c>
      <c r="M5188">
        <v>741266133333</v>
      </c>
      <c r="N5188">
        <v>187217660050</v>
      </c>
      <c r="O5188" t="b">
        <v>1</v>
      </c>
      <c r="P5188">
        <v>1</v>
      </c>
      <c r="Q5188" t="str" cm="1">
        <f t="array" ref="Q5188">_xlfn.IFS(Table1[[#This Row],[Wealthier_Winner]]=-1,"Wealthier Nation Loses",Table1[[#This Row],[Wealthier_Winner]]=0,"Tie",Table1[[#This Row],[Wealthier_Winner]]=1,"Wealthier Nation Wins")</f>
        <v>Wealthier Nation Wins</v>
      </c>
    </row>
    <row r="5189" spans="1:17" x14ac:dyDescent="0.2">
      <c r="A5189" s="1">
        <v>7585</v>
      </c>
      <c r="B5189" s="2">
        <v>42822</v>
      </c>
      <c r="C5189" s="7">
        <f>_xlfn.FLOOR.MATH(Table1[[#This Row],[year]],10)</f>
        <v>2010</v>
      </c>
      <c r="D5189" t="s">
        <v>59</v>
      </c>
      <c r="E5189" t="s">
        <v>17</v>
      </c>
      <c r="F5189">
        <v>0</v>
      </c>
      <c r="G5189">
        <v>1</v>
      </c>
      <c r="H5189" t="s">
        <v>224</v>
      </c>
      <c r="I5189" t="s">
        <v>253</v>
      </c>
      <c r="J5189" t="s">
        <v>59</v>
      </c>
      <c r="K5189" t="b">
        <v>0</v>
      </c>
      <c r="L5189">
        <v>2017</v>
      </c>
      <c r="M5189">
        <v>23830750900</v>
      </c>
      <c r="N5189">
        <v>1190721475906</v>
      </c>
      <c r="O5189" t="b">
        <v>1</v>
      </c>
      <c r="P5189">
        <v>1</v>
      </c>
      <c r="Q5189" t="str" cm="1">
        <f t="array" ref="Q5189">_xlfn.IFS(Table1[[#This Row],[Wealthier_Winner]]=-1,"Wealthier Nation Loses",Table1[[#This Row],[Wealthier_Winner]]=0,"Tie",Table1[[#This Row],[Wealthier_Winner]]=1,"Wealthier Nation Wins")</f>
        <v>Wealthier Nation Wins</v>
      </c>
    </row>
    <row r="5190" spans="1:17" x14ac:dyDescent="0.2">
      <c r="A5190" s="1">
        <v>7586</v>
      </c>
      <c r="B5190" s="2">
        <v>42822</v>
      </c>
      <c r="C5190" s="7">
        <f>_xlfn.FLOOR.MATH(Table1[[#This Row],[year]],10)</f>
        <v>2010</v>
      </c>
      <c r="D5190" t="s">
        <v>563</v>
      </c>
      <c r="E5190" t="s">
        <v>68</v>
      </c>
      <c r="F5190">
        <v>1</v>
      </c>
      <c r="G5190">
        <v>0</v>
      </c>
      <c r="H5190" t="s">
        <v>224</v>
      </c>
      <c r="I5190" t="s">
        <v>564</v>
      </c>
      <c r="J5190" t="s">
        <v>563</v>
      </c>
      <c r="K5190" t="b">
        <v>0</v>
      </c>
      <c r="L5190">
        <v>2017</v>
      </c>
      <c r="M5190">
        <v>69703222282</v>
      </c>
      <c r="N5190">
        <v>161099175824</v>
      </c>
      <c r="O5190" t="b">
        <v>1</v>
      </c>
      <c r="P5190">
        <v>-1</v>
      </c>
      <c r="Q5190" t="str" cm="1">
        <f t="array" ref="Q5190">_xlfn.IFS(Table1[[#This Row],[Wealthier_Winner]]=-1,"Wealthier Nation Loses",Table1[[#This Row],[Wealthier_Winner]]=0,"Tie",Table1[[#This Row],[Wealthier_Winner]]=1,"Wealthier Nation Wins")</f>
        <v>Wealthier Nation Loses</v>
      </c>
    </row>
    <row r="5191" spans="1:17" x14ac:dyDescent="0.2">
      <c r="A5191" s="1">
        <v>7588</v>
      </c>
      <c r="B5191" s="2">
        <v>42893</v>
      </c>
      <c r="C5191" s="7">
        <f>_xlfn.FLOOR.MATH(Table1[[#This Row],[year]],10)</f>
        <v>2010</v>
      </c>
      <c r="D5191" t="s">
        <v>384</v>
      </c>
      <c r="E5191" t="s">
        <v>656</v>
      </c>
      <c r="F5191">
        <v>2</v>
      </c>
      <c r="G5191">
        <v>2</v>
      </c>
      <c r="H5191" t="s">
        <v>224</v>
      </c>
      <c r="I5191" t="s">
        <v>819</v>
      </c>
      <c r="J5191" t="s">
        <v>384</v>
      </c>
      <c r="K5191" t="b">
        <v>0</v>
      </c>
      <c r="L5191">
        <v>2017</v>
      </c>
      <c r="M5191">
        <v>5353469174</v>
      </c>
      <c r="N5191">
        <v>9174048681</v>
      </c>
      <c r="O5191" t="b">
        <v>0</v>
      </c>
      <c r="P5191">
        <v>0</v>
      </c>
      <c r="Q5191" t="str" cm="1">
        <f t="array" ref="Q5191">_xlfn.IFS(Table1[[#This Row],[Wealthier_Winner]]=-1,"Wealthier Nation Loses",Table1[[#This Row],[Wealthier_Winner]]=0,"Tie",Table1[[#This Row],[Wealthier_Winner]]=1,"Wealthier Nation Wins")</f>
        <v>Tie</v>
      </c>
    </row>
    <row r="5192" spans="1:17" x14ac:dyDescent="0.2">
      <c r="A5192" s="1">
        <v>7589</v>
      </c>
      <c r="B5192" s="2">
        <v>42894</v>
      </c>
      <c r="C5192" s="7">
        <f>_xlfn.FLOOR.MATH(Table1[[#This Row],[year]],10)</f>
        <v>2010</v>
      </c>
      <c r="D5192" t="s">
        <v>28</v>
      </c>
      <c r="E5192" t="s">
        <v>45</v>
      </c>
      <c r="F5192">
        <v>3</v>
      </c>
      <c r="G5192">
        <v>2</v>
      </c>
      <c r="H5192" t="s">
        <v>224</v>
      </c>
      <c r="I5192" t="s">
        <v>800</v>
      </c>
      <c r="J5192" t="s">
        <v>28</v>
      </c>
      <c r="K5192" t="b">
        <v>0</v>
      </c>
      <c r="L5192">
        <v>2017</v>
      </c>
      <c r="M5192">
        <v>1330890554614</v>
      </c>
      <c r="N5192">
        <v>741266133333</v>
      </c>
      <c r="O5192" t="b">
        <v>0</v>
      </c>
      <c r="P5192">
        <v>1</v>
      </c>
      <c r="Q5192" t="str" cm="1">
        <f t="array" ref="Q5192">_xlfn.IFS(Table1[[#This Row],[Wealthier_Winner]]=-1,"Wealthier Nation Loses",Table1[[#This Row],[Wealthier_Winner]]=0,"Tie",Table1[[#This Row],[Wealthier_Winner]]=1,"Wealthier Nation Wins")</f>
        <v>Wealthier Nation Wins</v>
      </c>
    </row>
    <row r="5193" spans="1:17" x14ac:dyDescent="0.2">
      <c r="A5193" s="1">
        <v>7590</v>
      </c>
      <c r="B5193" s="2">
        <v>42894</v>
      </c>
      <c r="C5193" s="7">
        <f>_xlfn.FLOOR.MATH(Table1[[#This Row],[year]],10)</f>
        <v>2010</v>
      </c>
      <c r="D5193" t="s">
        <v>56</v>
      </c>
      <c r="E5193" t="s">
        <v>67</v>
      </c>
      <c r="F5193">
        <v>0</v>
      </c>
      <c r="G5193">
        <v>0</v>
      </c>
      <c r="H5193" t="s">
        <v>224</v>
      </c>
      <c r="I5193" t="s">
        <v>225</v>
      </c>
      <c r="J5193" t="s">
        <v>56</v>
      </c>
      <c r="K5193" t="b">
        <v>0</v>
      </c>
      <c r="L5193">
        <v>2017</v>
      </c>
      <c r="M5193">
        <v>60516044656</v>
      </c>
      <c r="N5193">
        <v>64327688826</v>
      </c>
      <c r="O5193" t="b">
        <v>0</v>
      </c>
      <c r="P5193">
        <v>0</v>
      </c>
      <c r="Q5193" t="str" cm="1">
        <f t="array" ref="Q5193">_xlfn.IFS(Table1[[#This Row],[Wealthier_Winner]]=-1,"Wealthier Nation Loses",Table1[[#This Row],[Wealthier_Winner]]=0,"Tie",Table1[[#This Row],[Wealthier_Winner]]=1,"Wealthier Nation Wins")</f>
        <v>Tie</v>
      </c>
    </row>
    <row r="5194" spans="1:17" x14ac:dyDescent="0.2">
      <c r="A5194" s="1">
        <v>7591</v>
      </c>
      <c r="B5194" s="2">
        <v>42894</v>
      </c>
      <c r="C5194" s="7">
        <f>_xlfn.FLOOR.MATH(Table1[[#This Row],[year]],10)</f>
        <v>2010</v>
      </c>
      <c r="D5194" t="s">
        <v>17</v>
      </c>
      <c r="E5194" t="s">
        <v>65</v>
      </c>
      <c r="F5194">
        <v>3</v>
      </c>
      <c r="G5194">
        <v>0</v>
      </c>
      <c r="H5194" t="s">
        <v>224</v>
      </c>
      <c r="I5194" t="s">
        <v>83</v>
      </c>
      <c r="J5194" t="s">
        <v>17</v>
      </c>
      <c r="K5194" t="b">
        <v>0</v>
      </c>
      <c r="L5194">
        <v>2017</v>
      </c>
      <c r="M5194">
        <v>1190721475906</v>
      </c>
      <c r="N5194">
        <v>23136247990</v>
      </c>
      <c r="O5194" t="b">
        <v>1</v>
      </c>
      <c r="P5194">
        <v>1</v>
      </c>
      <c r="Q5194" t="str" cm="1">
        <f t="array" ref="Q5194">_xlfn.IFS(Table1[[#This Row],[Wealthier_Winner]]=-1,"Wealthier Nation Loses",Table1[[#This Row],[Wealthier_Winner]]=0,"Tie",Table1[[#This Row],[Wealthier_Winner]]=1,"Wealthier Nation Wins")</f>
        <v>Wealthier Nation Wins</v>
      </c>
    </row>
    <row r="5195" spans="1:17" x14ac:dyDescent="0.2">
      <c r="A5195" s="1">
        <v>7592</v>
      </c>
      <c r="B5195" s="2">
        <v>42894</v>
      </c>
      <c r="C5195" s="7">
        <f>_xlfn.FLOOR.MATH(Table1[[#This Row],[year]],10)</f>
        <v>2010</v>
      </c>
      <c r="D5195" t="s">
        <v>41</v>
      </c>
      <c r="E5195" t="s">
        <v>59</v>
      </c>
      <c r="F5195">
        <v>2</v>
      </c>
      <c r="G5195">
        <v>0</v>
      </c>
      <c r="H5195" t="s">
        <v>224</v>
      </c>
      <c r="I5195" t="s">
        <v>718</v>
      </c>
      <c r="J5195" t="s">
        <v>41</v>
      </c>
      <c r="K5195" t="b">
        <v>0</v>
      </c>
      <c r="L5195">
        <v>2017</v>
      </c>
      <c r="M5195">
        <v>19477336549000</v>
      </c>
      <c r="N5195">
        <v>23830750900</v>
      </c>
      <c r="O5195" t="b">
        <v>1</v>
      </c>
      <c r="P5195">
        <v>1</v>
      </c>
      <c r="Q5195" t="str" cm="1">
        <f t="array" ref="Q5195">_xlfn.IFS(Table1[[#This Row],[Wealthier_Winner]]=-1,"Wealthier Nation Loses",Table1[[#This Row],[Wealthier_Winner]]=0,"Tie",Table1[[#This Row],[Wealthier_Winner]]=1,"Wealthier Nation Wins")</f>
        <v>Wealthier Nation Wins</v>
      </c>
    </row>
    <row r="5196" spans="1:17" x14ac:dyDescent="0.2">
      <c r="A5196" s="1">
        <v>7593</v>
      </c>
      <c r="B5196" s="2">
        <v>42895</v>
      </c>
      <c r="C5196" s="7">
        <f>_xlfn.FLOOR.MATH(Table1[[#This Row],[year]],10)</f>
        <v>2010</v>
      </c>
      <c r="D5196" t="s">
        <v>601</v>
      </c>
      <c r="E5196" t="s">
        <v>30</v>
      </c>
      <c r="F5196">
        <v>1</v>
      </c>
      <c r="G5196">
        <v>0</v>
      </c>
      <c r="H5196" t="s">
        <v>224</v>
      </c>
      <c r="I5196" t="s">
        <v>602</v>
      </c>
      <c r="J5196" t="s">
        <v>601</v>
      </c>
      <c r="K5196" t="b">
        <v>0</v>
      </c>
      <c r="L5196">
        <v>2017</v>
      </c>
      <c r="M5196">
        <v>3000160414</v>
      </c>
      <c r="N5196">
        <v>143335098991</v>
      </c>
      <c r="O5196" t="b">
        <v>1</v>
      </c>
      <c r="P5196">
        <v>-1</v>
      </c>
      <c r="Q5196" t="str" cm="1">
        <f t="array" ref="Q5196">_xlfn.IFS(Table1[[#This Row],[Wealthier_Winner]]=-1,"Wealthier Nation Loses",Table1[[#This Row],[Wealthier_Winner]]=0,"Tie",Table1[[#This Row],[Wealthier_Winner]]=1,"Wealthier Nation Wins")</f>
        <v>Wealthier Nation Loses</v>
      </c>
    </row>
    <row r="5197" spans="1:17" x14ac:dyDescent="0.2">
      <c r="A5197" s="1">
        <v>7594</v>
      </c>
      <c r="B5197" s="2">
        <v>42895</v>
      </c>
      <c r="C5197" s="7">
        <f>_xlfn.FLOOR.MATH(Table1[[#This Row],[year]],10)</f>
        <v>2010</v>
      </c>
      <c r="D5197" t="s">
        <v>510</v>
      </c>
      <c r="E5197" t="s">
        <v>33</v>
      </c>
      <c r="F5197">
        <v>2</v>
      </c>
      <c r="G5197">
        <v>1</v>
      </c>
      <c r="H5197" t="s">
        <v>224</v>
      </c>
      <c r="I5197" t="s">
        <v>805</v>
      </c>
      <c r="J5197" t="s">
        <v>510</v>
      </c>
      <c r="K5197" t="b">
        <v>0</v>
      </c>
      <c r="L5197">
        <v>2017</v>
      </c>
      <c r="M5197">
        <v>54725405751</v>
      </c>
      <c r="N5197">
        <v>59167647387</v>
      </c>
      <c r="O5197" t="b">
        <v>0</v>
      </c>
      <c r="P5197">
        <v>-1</v>
      </c>
      <c r="Q5197" t="str" cm="1">
        <f t="array" ref="Q5197">_xlfn.IFS(Table1[[#This Row],[Wealthier_Winner]]=-1,"Wealthier Nation Loses",Table1[[#This Row],[Wealthier_Winner]]=0,"Tie",Table1[[#This Row],[Wealthier_Winner]]=1,"Wealthier Nation Wins")</f>
        <v>Wealthier Nation Loses</v>
      </c>
    </row>
    <row r="5198" spans="1:17" x14ac:dyDescent="0.2">
      <c r="A5198" s="1">
        <v>7595</v>
      </c>
      <c r="B5198" s="2">
        <v>42895</v>
      </c>
      <c r="C5198" s="7">
        <f>_xlfn.FLOOR.MATH(Table1[[#This Row],[year]],10)</f>
        <v>2010</v>
      </c>
      <c r="D5198" t="s">
        <v>73</v>
      </c>
      <c r="E5198" t="s">
        <v>48</v>
      </c>
      <c r="F5198">
        <v>0</v>
      </c>
      <c r="G5198">
        <v>0</v>
      </c>
      <c r="H5198" t="s">
        <v>224</v>
      </c>
      <c r="I5198" t="s">
        <v>636</v>
      </c>
      <c r="J5198" t="s">
        <v>73</v>
      </c>
      <c r="K5198" t="b">
        <v>0</v>
      </c>
      <c r="L5198">
        <v>2017</v>
      </c>
      <c r="M5198">
        <v>18326373135</v>
      </c>
      <c r="N5198">
        <v>200381103984</v>
      </c>
      <c r="O5198" t="b">
        <v>1</v>
      </c>
      <c r="P5198">
        <v>0</v>
      </c>
      <c r="Q5198" t="str" cm="1">
        <f t="array" ref="Q5198">_xlfn.IFS(Table1[[#This Row],[Wealthier_Winner]]=-1,"Wealthier Nation Loses",Table1[[#This Row],[Wealthier_Winner]]=0,"Tie",Table1[[#This Row],[Wealthier_Winner]]=1,"Wealthier Nation Wins")</f>
        <v>Tie</v>
      </c>
    </row>
    <row r="5199" spans="1:17" x14ac:dyDescent="0.2">
      <c r="A5199" s="1">
        <v>7596</v>
      </c>
      <c r="B5199" s="2">
        <v>42895</v>
      </c>
      <c r="C5199" s="7">
        <f>_xlfn.FLOOR.MATH(Table1[[#This Row],[year]],10)</f>
        <v>2010</v>
      </c>
      <c r="D5199" t="s">
        <v>476</v>
      </c>
      <c r="E5199" t="s">
        <v>23</v>
      </c>
      <c r="F5199">
        <v>0</v>
      </c>
      <c r="G5199">
        <v>2</v>
      </c>
      <c r="H5199" t="s">
        <v>224</v>
      </c>
      <c r="I5199" t="s">
        <v>481</v>
      </c>
      <c r="J5199" t="s">
        <v>476</v>
      </c>
      <c r="K5199" t="b">
        <v>0</v>
      </c>
      <c r="L5199">
        <v>2017</v>
      </c>
      <c r="M5199">
        <v>27469461919</v>
      </c>
      <c r="N5199">
        <v>500908767351</v>
      </c>
      <c r="O5199" t="b">
        <v>1</v>
      </c>
      <c r="P5199">
        <v>1</v>
      </c>
      <c r="Q5199" t="str" cm="1">
        <f t="array" ref="Q5199">_xlfn.IFS(Table1[[#This Row],[Wealthier_Winner]]=-1,"Wealthier Nation Loses",Table1[[#This Row],[Wealthier_Winner]]=0,"Tie",Table1[[#This Row],[Wealthier_Winner]]=1,"Wealthier Nation Wins")</f>
        <v>Wealthier Nation Wins</v>
      </c>
    </row>
    <row r="5200" spans="1:17" x14ac:dyDescent="0.2">
      <c r="A5200" s="1">
        <v>7597</v>
      </c>
      <c r="B5200" s="2">
        <v>42895</v>
      </c>
      <c r="C5200" s="7">
        <f>_xlfn.FLOOR.MATH(Table1[[#This Row],[year]],10)</f>
        <v>2010</v>
      </c>
      <c r="D5200" t="s">
        <v>447</v>
      </c>
      <c r="E5200" t="s">
        <v>46</v>
      </c>
      <c r="F5200">
        <v>0</v>
      </c>
      <c r="G5200">
        <v>2</v>
      </c>
      <c r="H5200" t="s">
        <v>224</v>
      </c>
      <c r="I5200" t="s">
        <v>631</v>
      </c>
      <c r="J5200" t="s">
        <v>447</v>
      </c>
      <c r="K5200" t="b">
        <v>0</v>
      </c>
      <c r="L5200">
        <v>2017</v>
      </c>
      <c r="M5200">
        <v>2980057377</v>
      </c>
      <c r="N5200">
        <v>695200833086</v>
      </c>
      <c r="O5200" t="b">
        <v>1</v>
      </c>
      <c r="P5200">
        <v>1</v>
      </c>
      <c r="Q5200" t="str" cm="1">
        <f t="array" ref="Q5200">_xlfn.IFS(Table1[[#This Row],[Wealthier_Winner]]=-1,"Wealthier Nation Loses",Table1[[#This Row],[Wealthier_Winner]]=0,"Tie",Table1[[#This Row],[Wealthier_Winner]]=1,"Wealthier Nation Wins")</f>
        <v>Wealthier Nation Wins</v>
      </c>
    </row>
    <row r="5201" spans="1:17" x14ac:dyDescent="0.2">
      <c r="A5201" s="1">
        <v>7599</v>
      </c>
      <c r="B5201" s="2">
        <v>42895</v>
      </c>
      <c r="C5201" s="7">
        <f>_xlfn.FLOOR.MATH(Table1[[#This Row],[year]],10)</f>
        <v>2010</v>
      </c>
      <c r="D5201" t="s">
        <v>525</v>
      </c>
      <c r="E5201" t="s">
        <v>38</v>
      </c>
      <c r="F5201">
        <v>0</v>
      </c>
      <c r="G5201">
        <v>3</v>
      </c>
      <c r="H5201" t="s">
        <v>224</v>
      </c>
      <c r="I5201" t="s">
        <v>526</v>
      </c>
      <c r="J5201" t="s">
        <v>525</v>
      </c>
      <c r="K5201" t="b">
        <v>0</v>
      </c>
      <c r="L5201">
        <v>2017</v>
      </c>
      <c r="M5201">
        <v>29391059767</v>
      </c>
      <c r="N5201">
        <v>220862990767</v>
      </c>
      <c r="O5201" t="b">
        <v>1</v>
      </c>
      <c r="P5201">
        <v>1</v>
      </c>
      <c r="Q5201" t="str" cm="1">
        <f t="array" ref="Q5201">_xlfn.IFS(Table1[[#This Row],[Wealthier_Winner]]=-1,"Wealthier Nation Loses",Table1[[#This Row],[Wealthier_Winner]]=0,"Tie",Table1[[#This Row],[Wealthier_Winner]]=1,"Wealthier Nation Wins")</f>
        <v>Wealthier Nation Wins</v>
      </c>
    </row>
    <row r="5202" spans="1:17" x14ac:dyDescent="0.2">
      <c r="A5202" s="1">
        <v>7600</v>
      </c>
      <c r="B5202" s="2">
        <v>42895</v>
      </c>
      <c r="C5202" s="7">
        <f>_xlfn.FLOOR.MATH(Table1[[#This Row],[year]],10)</f>
        <v>2010</v>
      </c>
      <c r="D5202" t="s">
        <v>27</v>
      </c>
      <c r="E5202" t="s">
        <v>232</v>
      </c>
      <c r="F5202">
        <v>5</v>
      </c>
      <c r="G5202">
        <v>0</v>
      </c>
      <c r="H5202" t="s">
        <v>224</v>
      </c>
      <c r="I5202" t="s">
        <v>265</v>
      </c>
      <c r="J5202" t="s">
        <v>27</v>
      </c>
      <c r="K5202" t="b">
        <v>0</v>
      </c>
      <c r="L5202">
        <v>2017</v>
      </c>
      <c r="M5202">
        <v>848233537845</v>
      </c>
      <c r="N5202">
        <v>65712180342</v>
      </c>
      <c r="O5202" t="b">
        <v>1</v>
      </c>
      <c r="P5202">
        <v>1</v>
      </c>
      <c r="Q5202" t="str" cm="1">
        <f t="array" ref="Q5202">_xlfn.IFS(Table1[[#This Row],[Wealthier_Winner]]=-1,"Wealthier Nation Loses",Table1[[#This Row],[Wealthier_Winner]]=0,"Tie",Table1[[#This Row],[Wealthier_Winner]]=1,"Wealthier Nation Wins")</f>
        <v>Wealthier Nation Wins</v>
      </c>
    </row>
    <row r="5203" spans="1:17" x14ac:dyDescent="0.2">
      <c r="A5203" s="1">
        <v>7601</v>
      </c>
      <c r="B5203" s="2">
        <v>42895</v>
      </c>
      <c r="C5203" s="7">
        <f>_xlfn.FLOOR.MATH(Table1[[#This Row],[year]],10)</f>
        <v>2010</v>
      </c>
      <c r="D5203" t="s">
        <v>456</v>
      </c>
      <c r="E5203" t="s">
        <v>530</v>
      </c>
      <c r="F5203">
        <v>3</v>
      </c>
      <c r="G5203">
        <v>2</v>
      </c>
      <c r="H5203" t="s">
        <v>224</v>
      </c>
      <c r="I5203" t="s">
        <v>457</v>
      </c>
      <c r="J5203" t="s">
        <v>456</v>
      </c>
      <c r="K5203" t="b">
        <v>0</v>
      </c>
      <c r="L5203">
        <v>2017</v>
      </c>
      <c r="M5203">
        <v>1469790526</v>
      </c>
      <c r="N5203">
        <v>22742699138</v>
      </c>
      <c r="O5203" t="b">
        <v>1</v>
      </c>
      <c r="P5203">
        <v>-1</v>
      </c>
      <c r="Q5203" t="str" cm="1">
        <f t="array" ref="Q5203">_xlfn.IFS(Table1[[#This Row],[Wealthier_Winner]]=-1,"Wealthier Nation Loses",Table1[[#This Row],[Wealthier_Winner]]=0,"Tie",Table1[[#This Row],[Wealthier_Winner]]=1,"Wealthier Nation Wins")</f>
        <v>Wealthier Nation Loses</v>
      </c>
    </row>
    <row r="5204" spans="1:17" x14ac:dyDescent="0.2">
      <c r="A5204" s="1">
        <v>7602</v>
      </c>
      <c r="B5204" s="2">
        <v>42895</v>
      </c>
      <c r="C5204" s="7">
        <f>_xlfn.FLOOR.MATH(Table1[[#This Row],[year]],10)</f>
        <v>2010</v>
      </c>
      <c r="D5204" t="s">
        <v>25</v>
      </c>
      <c r="E5204" t="s">
        <v>20</v>
      </c>
      <c r="F5204">
        <v>2</v>
      </c>
      <c r="G5204">
        <v>1</v>
      </c>
      <c r="H5204" t="s">
        <v>224</v>
      </c>
      <c r="I5204" t="s">
        <v>233</v>
      </c>
      <c r="J5204" t="s">
        <v>25</v>
      </c>
      <c r="K5204" t="b">
        <v>0</v>
      </c>
      <c r="L5204">
        <v>2017</v>
      </c>
      <c r="M5204">
        <v>535172356784</v>
      </c>
      <c r="N5204">
        <v>2588868323334</v>
      </c>
      <c r="O5204" t="b">
        <v>1</v>
      </c>
      <c r="P5204">
        <v>-1</v>
      </c>
      <c r="Q5204" t="str" cm="1">
        <f t="array" ref="Q5204">_xlfn.IFS(Table1[[#This Row],[Wealthier_Winner]]=-1,"Wealthier Nation Loses",Table1[[#This Row],[Wealthier_Winner]]=0,"Tie",Table1[[#This Row],[Wealthier_Winner]]=1,"Wealthier Nation Wins")</f>
        <v>Wealthier Nation Loses</v>
      </c>
    </row>
    <row r="5205" spans="1:17" x14ac:dyDescent="0.2">
      <c r="A5205" s="1">
        <v>7604</v>
      </c>
      <c r="B5205" s="2">
        <v>42896</v>
      </c>
      <c r="C5205" s="7">
        <f>_xlfn.FLOOR.MATH(Table1[[#This Row],[year]],10)</f>
        <v>2010</v>
      </c>
      <c r="D5205" t="s">
        <v>16</v>
      </c>
      <c r="E5205" t="s">
        <v>549</v>
      </c>
      <c r="F5205">
        <v>7</v>
      </c>
      <c r="G5205">
        <v>0</v>
      </c>
      <c r="H5205" t="s">
        <v>224</v>
      </c>
      <c r="I5205" t="s">
        <v>158</v>
      </c>
      <c r="J5205" t="s">
        <v>16</v>
      </c>
      <c r="K5205" t="b">
        <v>0</v>
      </c>
      <c r="L5205">
        <v>2017</v>
      </c>
      <c r="M5205">
        <v>3765351626105</v>
      </c>
      <c r="N5205">
        <v>1528620346</v>
      </c>
      <c r="O5205" t="b">
        <v>1</v>
      </c>
      <c r="P5205">
        <v>1</v>
      </c>
      <c r="Q5205" t="str" cm="1">
        <f t="array" ref="Q5205">_xlfn.IFS(Table1[[#This Row],[Wealthier_Winner]]=-1,"Wealthier Nation Loses",Table1[[#This Row],[Wealthier_Winner]]=0,"Tie",Table1[[#This Row],[Wealthier_Winner]]=1,"Wealthier Nation Wins")</f>
        <v>Wealthier Nation Wins</v>
      </c>
    </row>
    <row r="5206" spans="1:17" x14ac:dyDescent="0.2">
      <c r="A5206" s="1">
        <v>7605</v>
      </c>
      <c r="B5206" s="2">
        <v>42896</v>
      </c>
      <c r="C5206" s="7">
        <f>_xlfn.FLOOR.MATH(Table1[[#This Row],[year]],10)</f>
        <v>2010</v>
      </c>
      <c r="D5206" t="s">
        <v>558</v>
      </c>
      <c r="E5206" t="s">
        <v>36</v>
      </c>
      <c r="F5206">
        <v>1</v>
      </c>
      <c r="G5206">
        <v>3</v>
      </c>
      <c r="H5206" t="s">
        <v>224</v>
      </c>
      <c r="I5206" t="s">
        <v>559</v>
      </c>
      <c r="J5206" t="s">
        <v>558</v>
      </c>
      <c r="K5206" t="b">
        <v>0</v>
      </c>
      <c r="L5206">
        <v>2017</v>
      </c>
      <c r="M5206">
        <v>166805788827</v>
      </c>
      <c r="N5206">
        <v>331610593961</v>
      </c>
      <c r="O5206" t="b">
        <v>0</v>
      </c>
      <c r="P5206">
        <v>1</v>
      </c>
      <c r="Q5206" t="str" cm="1">
        <f t="array" ref="Q5206">_xlfn.IFS(Table1[[#This Row],[Wealthier_Winner]]=-1,"Wealthier Nation Loses",Table1[[#This Row],[Wealthier_Winner]]=0,"Tie",Table1[[#This Row],[Wealthier_Winner]]=1,"Wealthier Nation Wins")</f>
        <v>Wealthier Nation Wins</v>
      </c>
    </row>
    <row r="5207" spans="1:17" x14ac:dyDescent="0.2">
      <c r="A5207" s="1">
        <v>7607</v>
      </c>
      <c r="B5207" s="2">
        <v>42896</v>
      </c>
      <c r="C5207" s="7">
        <f>_xlfn.FLOOR.MATH(Table1[[#This Row],[year]],10)</f>
        <v>2010</v>
      </c>
      <c r="D5207" t="s">
        <v>705</v>
      </c>
      <c r="E5207" t="s">
        <v>519</v>
      </c>
      <c r="F5207">
        <v>4</v>
      </c>
      <c r="G5207">
        <v>1</v>
      </c>
      <c r="H5207" t="s">
        <v>224</v>
      </c>
      <c r="I5207" t="s">
        <v>706</v>
      </c>
      <c r="J5207" t="s">
        <v>705</v>
      </c>
      <c r="K5207" t="b">
        <v>0</v>
      </c>
      <c r="L5207">
        <v>2017</v>
      </c>
      <c r="M5207">
        <v>4803962015</v>
      </c>
      <c r="N5207">
        <v>11527458709</v>
      </c>
      <c r="O5207" t="b">
        <v>1</v>
      </c>
      <c r="P5207">
        <v>-1</v>
      </c>
      <c r="Q5207" t="str" cm="1">
        <f t="array" ref="Q5207">_xlfn.IFS(Table1[[#This Row],[Wealthier_Winner]]=-1,"Wealthier Nation Loses",Table1[[#This Row],[Wealthier_Winner]]=0,"Tie",Table1[[#This Row],[Wealthier_Winner]]=1,"Wealthier Nation Wins")</f>
        <v>Wealthier Nation Loses</v>
      </c>
    </row>
    <row r="5208" spans="1:17" x14ac:dyDescent="0.2">
      <c r="A5208" s="1">
        <v>7609</v>
      </c>
      <c r="B5208" s="2">
        <v>42896</v>
      </c>
      <c r="C5208" s="7">
        <f>_xlfn.FLOOR.MATH(Table1[[#This Row],[year]],10)</f>
        <v>2010</v>
      </c>
      <c r="D5208" t="s">
        <v>58</v>
      </c>
      <c r="E5208" t="s">
        <v>44</v>
      </c>
      <c r="F5208">
        <v>3</v>
      </c>
      <c r="G5208">
        <v>1</v>
      </c>
      <c r="H5208" t="s">
        <v>224</v>
      </c>
      <c r="I5208" t="s">
        <v>619</v>
      </c>
      <c r="J5208" t="s">
        <v>58</v>
      </c>
      <c r="K5208" t="b">
        <v>0</v>
      </c>
      <c r="L5208">
        <v>2017</v>
      </c>
      <c r="M5208">
        <v>528356676667</v>
      </c>
      <c r="N5208">
        <v>210147385855</v>
      </c>
      <c r="O5208" t="b">
        <v>1</v>
      </c>
      <c r="P5208">
        <v>1</v>
      </c>
      <c r="Q5208" t="str" cm="1">
        <f t="array" ref="Q5208">_xlfn.IFS(Table1[[#This Row],[Wealthier_Winner]]=-1,"Wealthier Nation Loses",Table1[[#This Row],[Wealthier_Winner]]=0,"Tie",Table1[[#This Row],[Wealthier_Winner]]=1,"Wealthier Nation Wins")</f>
        <v>Wealthier Nation Wins</v>
      </c>
    </row>
    <row r="5209" spans="1:17" x14ac:dyDescent="0.2">
      <c r="A5209" s="1">
        <v>7611</v>
      </c>
      <c r="B5209" s="2">
        <v>42896</v>
      </c>
      <c r="C5209" s="7">
        <f>_xlfn.FLOOR.MATH(Table1[[#This Row],[year]],10)</f>
        <v>2010</v>
      </c>
      <c r="D5209" t="s">
        <v>55</v>
      </c>
      <c r="E5209" t="s">
        <v>303</v>
      </c>
      <c r="F5209">
        <v>2</v>
      </c>
      <c r="G5209">
        <v>0</v>
      </c>
      <c r="H5209" t="s">
        <v>224</v>
      </c>
      <c r="I5209" t="s">
        <v>529</v>
      </c>
      <c r="J5209" t="s">
        <v>55</v>
      </c>
      <c r="K5209" t="b">
        <v>0</v>
      </c>
      <c r="L5209">
        <v>2017</v>
      </c>
      <c r="M5209">
        <v>48153200134</v>
      </c>
      <c r="N5209">
        <v>14161366724</v>
      </c>
      <c r="O5209" t="b">
        <v>1</v>
      </c>
      <c r="P5209">
        <v>1</v>
      </c>
      <c r="Q5209" t="str" cm="1">
        <f t="array" ref="Q5209">_xlfn.IFS(Table1[[#This Row],[Wealthier_Winner]]=-1,"Wealthier Nation Loses",Table1[[#This Row],[Wealthier_Winner]]=0,"Tie",Table1[[#This Row],[Wealthier_Winner]]=1,"Wealthier Nation Wins")</f>
        <v>Wealthier Nation Wins</v>
      </c>
    </row>
    <row r="5210" spans="1:17" x14ac:dyDescent="0.2">
      <c r="A5210" s="1">
        <v>7612</v>
      </c>
      <c r="B5210" s="2">
        <v>42897</v>
      </c>
      <c r="C5210" s="7">
        <f>_xlfn.FLOOR.MATH(Table1[[#This Row],[year]],10)</f>
        <v>2010</v>
      </c>
      <c r="D5210" t="s">
        <v>230</v>
      </c>
      <c r="E5210" t="s">
        <v>64</v>
      </c>
      <c r="F5210">
        <v>1</v>
      </c>
      <c r="G5210">
        <v>2</v>
      </c>
      <c r="H5210" t="s">
        <v>224</v>
      </c>
      <c r="I5210" t="s">
        <v>491</v>
      </c>
      <c r="J5210" t="s">
        <v>230</v>
      </c>
      <c r="K5210" t="b">
        <v>0</v>
      </c>
      <c r="L5210">
        <v>2017</v>
      </c>
      <c r="M5210">
        <v>253846138440</v>
      </c>
      <c r="N5210">
        <v>112090505081</v>
      </c>
      <c r="O5210" t="b">
        <v>1</v>
      </c>
      <c r="P5210">
        <v>-1</v>
      </c>
      <c r="Q5210" t="str" cm="1">
        <f t="array" ref="Q5210">_xlfn.IFS(Table1[[#This Row],[Wealthier_Winner]]=-1,"Wealthier Nation Loses",Table1[[#This Row],[Wealthier_Winner]]=0,"Tie",Table1[[#This Row],[Wealthier_Winner]]=1,"Wealthier Nation Wins")</f>
        <v>Wealthier Nation Loses</v>
      </c>
    </row>
    <row r="5211" spans="1:17" x14ac:dyDescent="0.2">
      <c r="A5211" s="1">
        <v>7613</v>
      </c>
      <c r="B5211" s="2">
        <v>42897</v>
      </c>
      <c r="C5211" s="7">
        <f>_xlfn.FLOOR.MATH(Table1[[#This Row],[year]],10)</f>
        <v>2010</v>
      </c>
      <c r="D5211" t="s">
        <v>66</v>
      </c>
      <c r="E5211" t="s">
        <v>52</v>
      </c>
      <c r="F5211">
        <v>1</v>
      </c>
      <c r="G5211">
        <v>0</v>
      </c>
      <c r="H5211" t="s">
        <v>224</v>
      </c>
      <c r="I5211" t="s">
        <v>336</v>
      </c>
      <c r="J5211" t="s">
        <v>66</v>
      </c>
      <c r="K5211" t="b">
        <v>0</v>
      </c>
      <c r="L5211">
        <v>2017</v>
      </c>
      <c r="M5211">
        <v>25060086487</v>
      </c>
      <c r="N5211">
        <v>56182782585</v>
      </c>
      <c r="O5211" t="b">
        <v>1</v>
      </c>
      <c r="P5211">
        <v>-1</v>
      </c>
      <c r="Q5211" t="str" cm="1">
        <f t="array" ref="Q5211">_xlfn.IFS(Table1[[#This Row],[Wealthier_Winner]]=-1,"Wealthier Nation Loses",Table1[[#This Row],[Wealthier_Winner]]=0,"Tie",Table1[[#This Row],[Wealthier_Winner]]=1,"Wealthier Nation Wins")</f>
        <v>Wealthier Nation Loses</v>
      </c>
    </row>
    <row r="5212" spans="1:17" x14ac:dyDescent="0.2">
      <c r="A5212" s="1">
        <v>7615</v>
      </c>
      <c r="B5212" s="2">
        <v>42897</v>
      </c>
      <c r="C5212" s="7">
        <f>_xlfn.FLOOR.MATH(Table1[[#This Row],[year]],10)</f>
        <v>2010</v>
      </c>
      <c r="D5212" t="s">
        <v>22</v>
      </c>
      <c r="E5212" t="s">
        <v>373</v>
      </c>
      <c r="F5212">
        <v>0</v>
      </c>
      <c r="G5212">
        <v>3</v>
      </c>
      <c r="H5212" t="s">
        <v>224</v>
      </c>
      <c r="I5212" t="s">
        <v>804</v>
      </c>
      <c r="J5212" t="s">
        <v>22</v>
      </c>
      <c r="K5212" t="b">
        <v>0</v>
      </c>
      <c r="L5212">
        <v>2017</v>
      </c>
      <c r="M5212">
        <v>358451839052</v>
      </c>
      <c r="N5212">
        <v>13258268435</v>
      </c>
      <c r="O5212" t="b">
        <v>1</v>
      </c>
      <c r="P5212">
        <v>-1</v>
      </c>
      <c r="Q5212" t="str" cm="1">
        <f t="array" ref="Q5212">_xlfn.IFS(Table1[[#This Row],[Wealthier_Winner]]=-1,"Wealthier Nation Loses",Table1[[#This Row],[Wealthier_Winner]]=0,"Tie",Table1[[#This Row],[Wealthier_Winner]]=1,"Wealthier Nation Wins")</f>
        <v>Wealthier Nation Loses</v>
      </c>
    </row>
    <row r="5213" spans="1:17" x14ac:dyDescent="0.2">
      <c r="A5213" s="1">
        <v>7616</v>
      </c>
      <c r="B5213" s="2">
        <v>42897</v>
      </c>
      <c r="C5213" s="7">
        <f>_xlfn.FLOOR.MATH(Table1[[#This Row],[year]],10)</f>
        <v>2010</v>
      </c>
      <c r="D5213" t="s">
        <v>18</v>
      </c>
      <c r="E5213" t="s">
        <v>503</v>
      </c>
      <c r="F5213">
        <v>5</v>
      </c>
      <c r="G5213">
        <v>0</v>
      </c>
      <c r="H5213" t="s">
        <v>224</v>
      </c>
      <c r="I5213" t="s">
        <v>112</v>
      </c>
      <c r="J5213" t="s">
        <v>18</v>
      </c>
      <c r="K5213" t="b">
        <v>0</v>
      </c>
      <c r="L5213">
        <v>2017</v>
      </c>
      <c r="M5213">
        <v>1970720904584</v>
      </c>
      <c r="N5213">
        <v>6474308717</v>
      </c>
      <c r="O5213" t="b">
        <v>1</v>
      </c>
      <c r="P5213">
        <v>1</v>
      </c>
      <c r="Q5213" t="str" cm="1">
        <f t="array" ref="Q5213">_xlfn.IFS(Table1[[#This Row],[Wealthier_Winner]]=-1,"Wealthier Nation Loses",Table1[[#This Row],[Wealthier_Winner]]=0,"Tie",Table1[[#This Row],[Wealthier_Winner]]=1,"Wealthier Nation Wins")</f>
        <v>Wealthier Nation Wins</v>
      </c>
    </row>
    <row r="5214" spans="1:17" x14ac:dyDescent="0.2">
      <c r="A5214" s="1">
        <v>7618</v>
      </c>
      <c r="B5214" s="2">
        <v>42897</v>
      </c>
      <c r="C5214" s="7">
        <f>_xlfn.FLOOR.MATH(Table1[[#This Row],[year]],10)</f>
        <v>2010</v>
      </c>
      <c r="D5214" t="s">
        <v>502</v>
      </c>
      <c r="E5214" t="s">
        <v>21</v>
      </c>
      <c r="F5214">
        <v>1</v>
      </c>
      <c r="G5214">
        <v>2</v>
      </c>
      <c r="H5214" t="s">
        <v>224</v>
      </c>
      <c r="I5214" t="s">
        <v>504</v>
      </c>
      <c r="J5214" t="s">
        <v>502</v>
      </c>
      <c r="K5214" t="b">
        <v>0</v>
      </c>
      <c r="L5214">
        <v>2017</v>
      </c>
      <c r="M5214">
        <v>11307067069</v>
      </c>
      <c r="N5214">
        <v>1321754088818</v>
      </c>
      <c r="O5214" t="b">
        <v>1</v>
      </c>
      <c r="P5214">
        <v>1</v>
      </c>
      <c r="Q5214" t="str" cm="1">
        <f t="array" ref="Q5214">_xlfn.IFS(Table1[[#This Row],[Wealthier_Winner]]=-1,"Wealthier Nation Loses",Table1[[#This Row],[Wealthier_Winner]]=0,"Tie",Table1[[#This Row],[Wealthier_Winner]]=1,"Wealthier Nation Wins")</f>
        <v>Wealthier Nation Wins</v>
      </c>
    </row>
    <row r="5215" spans="1:17" x14ac:dyDescent="0.2">
      <c r="A5215" s="1">
        <v>7619</v>
      </c>
      <c r="B5215" s="2">
        <v>42897</v>
      </c>
      <c r="C5215" s="7">
        <f>_xlfn.FLOOR.MATH(Table1[[#This Row],[year]],10)</f>
        <v>2010</v>
      </c>
      <c r="D5215" t="s">
        <v>17</v>
      </c>
      <c r="E5215" t="s">
        <v>41</v>
      </c>
      <c r="F5215">
        <v>1</v>
      </c>
      <c r="G5215">
        <v>1</v>
      </c>
      <c r="H5215" t="s">
        <v>224</v>
      </c>
      <c r="I5215" t="s">
        <v>83</v>
      </c>
      <c r="J5215" t="s">
        <v>17</v>
      </c>
      <c r="K5215" t="b">
        <v>0</v>
      </c>
      <c r="L5215">
        <v>2017</v>
      </c>
      <c r="M5215">
        <v>1190721475906</v>
      </c>
      <c r="N5215">
        <v>19477336549000</v>
      </c>
      <c r="O5215" t="b">
        <v>1</v>
      </c>
      <c r="P5215">
        <v>0</v>
      </c>
      <c r="Q5215" t="str" cm="1">
        <f t="array" ref="Q5215">_xlfn.IFS(Table1[[#This Row],[Wealthier_Winner]]=-1,"Wealthier Nation Loses",Table1[[#This Row],[Wealthier_Winner]]=0,"Tie",Table1[[#This Row],[Wealthier_Winner]]=1,"Wealthier Nation Wins")</f>
        <v>Tie</v>
      </c>
    </row>
    <row r="5216" spans="1:17" x14ac:dyDescent="0.2">
      <c r="A5216" s="1">
        <v>7620</v>
      </c>
      <c r="B5216" s="2">
        <v>42897</v>
      </c>
      <c r="C5216" s="7">
        <f>_xlfn.FLOOR.MATH(Table1[[#This Row],[year]],10)</f>
        <v>2010</v>
      </c>
      <c r="D5216" t="s">
        <v>527</v>
      </c>
      <c r="E5216" t="s">
        <v>534</v>
      </c>
      <c r="F5216">
        <v>2</v>
      </c>
      <c r="G5216">
        <v>2</v>
      </c>
      <c r="H5216" t="s">
        <v>224</v>
      </c>
      <c r="I5216" t="s">
        <v>528</v>
      </c>
      <c r="J5216" t="s">
        <v>527</v>
      </c>
      <c r="K5216" t="b">
        <v>0</v>
      </c>
      <c r="L5216">
        <v>2017</v>
      </c>
      <c r="M5216">
        <v>9514404016</v>
      </c>
      <c r="N5216">
        <v>16473125375</v>
      </c>
      <c r="O5216" t="b">
        <v>0</v>
      </c>
      <c r="P5216">
        <v>0</v>
      </c>
      <c r="Q5216" t="str" cm="1">
        <f t="array" ref="Q5216">_xlfn.IFS(Table1[[#This Row],[Wealthier_Winner]]=-1,"Wealthier Nation Loses",Table1[[#This Row],[Wealthier_Winner]]=0,"Tie",Table1[[#This Row],[Wealthier_Winner]]=1,"Wealthier Nation Wins")</f>
        <v>Tie</v>
      </c>
    </row>
    <row r="5217" spans="1:17" x14ac:dyDescent="0.2">
      <c r="A5217" s="1">
        <v>7621</v>
      </c>
      <c r="B5217" s="2">
        <v>42897</v>
      </c>
      <c r="C5217" s="7">
        <f>_xlfn.FLOOR.MATH(Table1[[#This Row],[year]],10)</f>
        <v>2010</v>
      </c>
      <c r="D5217" t="s">
        <v>656</v>
      </c>
      <c r="E5217" t="s">
        <v>384</v>
      </c>
      <c r="F5217">
        <v>2</v>
      </c>
      <c r="G5217">
        <v>1</v>
      </c>
      <c r="H5217" t="s">
        <v>224</v>
      </c>
      <c r="I5217" t="s">
        <v>754</v>
      </c>
      <c r="J5217" t="s">
        <v>656</v>
      </c>
      <c r="K5217" t="b">
        <v>0</v>
      </c>
      <c r="L5217">
        <v>2017</v>
      </c>
      <c r="M5217">
        <v>9174048681</v>
      </c>
      <c r="N5217">
        <v>5353469174</v>
      </c>
      <c r="O5217" t="b">
        <v>0</v>
      </c>
      <c r="P5217">
        <v>1</v>
      </c>
      <c r="Q5217" t="str" cm="1">
        <f t="array" ref="Q5217">_xlfn.IFS(Table1[[#This Row],[Wealthier_Winner]]=-1,"Wealthier Nation Loses",Table1[[#This Row],[Wealthier_Winner]]=0,"Tie",Table1[[#This Row],[Wealthier_Winner]]=1,"Wealthier Nation Wins")</f>
        <v>Wealthier Nation Wins</v>
      </c>
    </row>
    <row r="5218" spans="1:17" x14ac:dyDescent="0.2">
      <c r="A5218" s="1">
        <v>7623</v>
      </c>
      <c r="B5218" s="2">
        <v>42898</v>
      </c>
      <c r="C5218" s="7">
        <f>_xlfn.FLOOR.MATH(Table1[[#This Row],[year]],10)</f>
        <v>2010</v>
      </c>
      <c r="D5218" t="s">
        <v>210</v>
      </c>
      <c r="E5218" t="s">
        <v>563</v>
      </c>
      <c r="F5218">
        <v>2</v>
      </c>
      <c r="G5218">
        <v>0</v>
      </c>
      <c r="H5218" t="s">
        <v>224</v>
      </c>
      <c r="I5218" t="s">
        <v>332</v>
      </c>
      <c r="J5218" t="s">
        <v>210</v>
      </c>
      <c r="K5218" t="b">
        <v>0</v>
      </c>
      <c r="L5218">
        <v>2017</v>
      </c>
      <c r="M5218">
        <v>510239893417</v>
      </c>
      <c r="N5218">
        <v>69703222282</v>
      </c>
      <c r="O5218" t="b">
        <v>1</v>
      </c>
      <c r="P5218">
        <v>1</v>
      </c>
      <c r="Q5218" t="str" cm="1">
        <f t="array" ref="Q5218">_xlfn.IFS(Table1[[#This Row],[Wealthier_Winner]]=-1,"Wealthier Nation Loses",Table1[[#This Row],[Wealthier_Winner]]=0,"Tie",Table1[[#This Row],[Wealthier_Winner]]=1,"Wealthier Nation Wins")</f>
        <v>Wealthier Nation Wins</v>
      </c>
    </row>
    <row r="5219" spans="1:17" x14ac:dyDescent="0.2">
      <c r="A5219" s="1">
        <v>7624</v>
      </c>
      <c r="B5219" s="2">
        <v>42899</v>
      </c>
      <c r="C5219" s="7">
        <f>_xlfn.FLOOR.MATH(Table1[[#This Row],[year]],10)</f>
        <v>2010</v>
      </c>
      <c r="D5219" t="s">
        <v>56</v>
      </c>
      <c r="E5219" t="s">
        <v>59</v>
      </c>
      <c r="F5219">
        <v>2</v>
      </c>
      <c r="G5219">
        <v>1</v>
      </c>
      <c r="H5219" t="s">
        <v>224</v>
      </c>
      <c r="I5219" t="s">
        <v>225</v>
      </c>
      <c r="J5219" t="s">
        <v>56</v>
      </c>
      <c r="K5219" t="b">
        <v>0</v>
      </c>
      <c r="L5219">
        <v>2017</v>
      </c>
      <c r="M5219">
        <v>60516044656</v>
      </c>
      <c r="N5219">
        <v>23830750900</v>
      </c>
      <c r="O5219" t="b">
        <v>1</v>
      </c>
      <c r="P5219">
        <v>1</v>
      </c>
      <c r="Q5219" t="str" cm="1">
        <f t="array" ref="Q5219">_xlfn.IFS(Table1[[#This Row],[Wealthier_Winner]]=-1,"Wealthier Nation Loses",Table1[[#This Row],[Wealthier_Winner]]=0,"Tie",Table1[[#This Row],[Wealthier_Winner]]=1,"Wealthier Nation Wins")</f>
        <v>Wealthier Nation Wins</v>
      </c>
    </row>
    <row r="5220" spans="1:17" x14ac:dyDescent="0.2">
      <c r="A5220" s="1">
        <v>7625</v>
      </c>
      <c r="B5220" s="2">
        <v>42899</v>
      </c>
      <c r="C5220" s="7">
        <f>_xlfn.FLOOR.MATH(Table1[[#This Row],[year]],10)</f>
        <v>2010</v>
      </c>
      <c r="D5220" t="s">
        <v>37</v>
      </c>
      <c r="E5220" t="s">
        <v>51</v>
      </c>
      <c r="F5220">
        <v>1</v>
      </c>
      <c r="G5220">
        <v>1</v>
      </c>
      <c r="H5220" t="s">
        <v>224</v>
      </c>
      <c r="I5220" t="s">
        <v>332</v>
      </c>
      <c r="J5220" t="s">
        <v>210</v>
      </c>
      <c r="K5220" t="b">
        <v>1</v>
      </c>
      <c r="L5220">
        <v>2017</v>
      </c>
      <c r="M5220">
        <v>187217660050</v>
      </c>
      <c r="N5220">
        <v>4930837369151</v>
      </c>
      <c r="O5220" t="b">
        <v>1</v>
      </c>
      <c r="P5220">
        <v>0</v>
      </c>
      <c r="Q5220" t="str" cm="1">
        <f t="array" ref="Q5220">_xlfn.IFS(Table1[[#This Row],[Wealthier_Winner]]=-1,"Wealthier Nation Loses",Table1[[#This Row],[Wealthier_Winner]]=0,"Tie",Table1[[#This Row],[Wealthier_Winner]]=1,"Wealthier Nation Wins")</f>
        <v>Tie</v>
      </c>
    </row>
    <row r="5221" spans="1:17" x14ac:dyDescent="0.2">
      <c r="A5221" s="1">
        <v>7626</v>
      </c>
      <c r="B5221" s="2">
        <v>42899</v>
      </c>
      <c r="C5221" s="7">
        <f>_xlfn.FLOOR.MATH(Table1[[#This Row],[year]],10)</f>
        <v>2010</v>
      </c>
      <c r="D5221" t="s">
        <v>67</v>
      </c>
      <c r="E5221" t="s">
        <v>65</v>
      </c>
      <c r="F5221">
        <v>2</v>
      </c>
      <c r="G5221">
        <v>2</v>
      </c>
      <c r="H5221" t="s">
        <v>224</v>
      </c>
      <c r="I5221" t="s">
        <v>455</v>
      </c>
      <c r="J5221" t="s">
        <v>67</v>
      </c>
      <c r="K5221" t="b">
        <v>0</v>
      </c>
      <c r="L5221">
        <v>2017</v>
      </c>
      <c r="M5221">
        <v>64327688826</v>
      </c>
      <c r="N5221">
        <v>23136247990</v>
      </c>
      <c r="O5221" t="b">
        <v>1</v>
      </c>
      <c r="P5221">
        <v>0</v>
      </c>
      <c r="Q5221" t="str" cm="1">
        <f t="array" ref="Q5221">_xlfn.IFS(Table1[[#This Row],[Wealthier_Winner]]=-1,"Wealthier Nation Loses",Table1[[#This Row],[Wealthier_Winner]]=0,"Tie",Table1[[#This Row],[Wealthier_Winner]]=1,"Wealthier Nation Wins")</f>
        <v>Tie</v>
      </c>
    </row>
    <row r="5222" spans="1:17" x14ac:dyDescent="0.2">
      <c r="A5222" s="1">
        <v>7627</v>
      </c>
      <c r="B5222" s="2">
        <v>42899</v>
      </c>
      <c r="C5222" s="7">
        <f>_xlfn.FLOOR.MATH(Table1[[#This Row],[year]],10)</f>
        <v>2010</v>
      </c>
      <c r="D5222" t="s">
        <v>530</v>
      </c>
      <c r="E5222" t="s">
        <v>456</v>
      </c>
      <c r="F5222">
        <v>1</v>
      </c>
      <c r="G5222">
        <v>2</v>
      </c>
      <c r="H5222" t="s">
        <v>224</v>
      </c>
      <c r="I5222" t="s">
        <v>565</v>
      </c>
      <c r="J5222" t="s">
        <v>530</v>
      </c>
      <c r="K5222" t="b">
        <v>0</v>
      </c>
      <c r="L5222">
        <v>2017</v>
      </c>
      <c r="M5222">
        <v>22742699138</v>
      </c>
      <c r="N5222">
        <v>1469790526</v>
      </c>
      <c r="O5222" t="b">
        <v>1</v>
      </c>
      <c r="P5222">
        <v>-1</v>
      </c>
      <c r="Q5222" t="str" cm="1">
        <f t="array" ref="Q5222">_xlfn.IFS(Table1[[#This Row],[Wealthier_Winner]]=-1,"Wealthier Nation Loses",Table1[[#This Row],[Wealthier_Winner]]=0,"Tie",Table1[[#This Row],[Wealthier_Winner]]=1,"Wealthier Nation Wins")</f>
        <v>Wealthier Nation Loses</v>
      </c>
    </row>
    <row r="5223" spans="1:17" x14ac:dyDescent="0.2">
      <c r="A5223" s="1">
        <v>7628</v>
      </c>
      <c r="B5223" s="2">
        <v>42899</v>
      </c>
      <c r="C5223" s="7">
        <f>_xlfn.FLOOR.MATH(Table1[[#This Row],[year]],10)</f>
        <v>2010</v>
      </c>
      <c r="D5223" t="s">
        <v>68</v>
      </c>
      <c r="E5223" t="s">
        <v>195</v>
      </c>
      <c r="F5223">
        <v>3</v>
      </c>
      <c r="G5223">
        <v>2</v>
      </c>
      <c r="H5223" t="s">
        <v>224</v>
      </c>
      <c r="I5223" t="s">
        <v>190</v>
      </c>
      <c r="J5223" t="s">
        <v>68</v>
      </c>
      <c r="K5223" t="b">
        <v>0</v>
      </c>
      <c r="L5223">
        <v>2017</v>
      </c>
      <c r="M5223">
        <v>161099175824</v>
      </c>
      <c r="N5223">
        <v>1710196756713</v>
      </c>
      <c r="O5223" t="b">
        <v>1</v>
      </c>
      <c r="P5223">
        <v>-1</v>
      </c>
      <c r="Q5223" t="str" cm="1">
        <f t="array" ref="Q5223">_xlfn.IFS(Table1[[#This Row],[Wealthier_Winner]]=-1,"Wealthier Nation Loses",Table1[[#This Row],[Wealthier_Winner]]=0,"Tie",Table1[[#This Row],[Wealthier_Winner]]=1,"Wealthier Nation Wins")</f>
        <v>Wealthier Nation Loses</v>
      </c>
    </row>
    <row r="5224" spans="1:17" x14ac:dyDescent="0.2">
      <c r="A5224" s="1">
        <v>7630</v>
      </c>
      <c r="B5224" s="2">
        <v>42899</v>
      </c>
      <c r="C5224" s="7">
        <f>_xlfn.FLOOR.MATH(Table1[[#This Row],[year]],10)</f>
        <v>2010</v>
      </c>
      <c r="D5224" t="s">
        <v>334</v>
      </c>
      <c r="E5224" t="s">
        <v>39</v>
      </c>
      <c r="F5224">
        <v>1</v>
      </c>
      <c r="G5224">
        <v>1</v>
      </c>
      <c r="H5224" t="s">
        <v>224</v>
      </c>
      <c r="I5224" t="s">
        <v>407</v>
      </c>
      <c r="J5224" t="s">
        <v>334</v>
      </c>
      <c r="K5224" t="b">
        <v>0</v>
      </c>
      <c r="L5224">
        <v>2017</v>
      </c>
      <c r="M5224">
        <v>456356813536</v>
      </c>
      <c r="N5224">
        <v>403365010211</v>
      </c>
      <c r="O5224" t="b">
        <v>0</v>
      </c>
      <c r="P5224">
        <v>0</v>
      </c>
      <c r="Q5224" t="str" cm="1">
        <f t="array" ref="Q5224">_xlfn.IFS(Table1[[#This Row],[Wealthier_Winner]]=-1,"Wealthier Nation Loses",Table1[[#This Row],[Wealthier_Winner]]=0,"Tie",Table1[[#This Row],[Wealthier_Winner]]=1,"Wealthier Nation Wins")</f>
        <v>Tie</v>
      </c>
    </row>
    <row r="5225" spans="1:17" x14ac:dyDescent="0.2">
      <c r="A5225" s="1">
        <v>7631</v>
      </c>
      <c r="B5225" s="2">
        <v>42976</v>
      </c>
      <c r="C5225" s="7">
        <f>_xlfn.FLOOR.MATH(Table1[[#This Row],[year]],10)</f>
        <v>2010</v>
      </c>
      <c r="D5225" t="s">
        <v>39</v>
      </c>
      <c r="E5225" t="s">
        <v>45</v>
      </c>
      <c r="F5225">
        <v>2</v>
      </c>
      <c r="G5225">
        <v>1</v>
      </c>
      <c r="H5225" t="s">
        <v>224</v>
      </c>
      <c r="I5225" t="s">
        <v>478</v>
      </c>
      <c r="J5225" t="s">
        <v>39</v>
      </c>
      <c r="K5225" t="b">
        <v>0</v>
      </c>
      <c r="L5225">
        <v>2017</v>
      </c>
      <c r="M5225">
        <v>403365010211</v>
      </c>
      <c r="N5225">
        <v>741266133333</v>
      </c>
      <c r="O5225" t="b">
        <v>0</v>
      </c>
      <c r="P5225">
        <v>-1</v>
      </c>
      <c r="Q5225" t="str" cm="1">
        <f t="array" ref="Q5225">_xlfn.IFS(Table1[[#This Row],[Wealthier_Winner]]=-1,"Wealthier Nation Loses",Table1[[#This Row],[Wealthier_Winner]]=0,"Tie",Table1[[#This Row],[Wealthier_Winner]]=1,"Wealthier Nation Wins")</f>
        <v>Wealthier Nation Loses</v>
      </c>
    </row>
    <row r="5226" spans="1:17" x14ac:dyDescent="0.2">
      <c r="A5226" s="1">
        <v>7633</v>
      </c>
      <c r="B5226" s="2">
        <v>42978</v>
      </c>
      <c r="C5226" s="7">
        <f>_xlfn.FLOOR.MATH(Table1[[#This Row],[year]],10)</f>
        <v>2010</v>
      </c>
      <c r="D5226" t="s">
        <v>13</v>
      </c>
      <c r="E5226" t="s">
        <v>57</v>
      </c>
      <c r="F5226">
        <v>2</v>
      </c>
      <c r="G5226">
        <v>0</v>
      </c>
      <c r="H5226" t="s">
        <v>224</v>
      </c>
      <c r="I5226" t="s">
        <v>174</v>
      </c>
      <c r="J5226" t="s">
        <v>13</v>
      </c>
      <c r="K5226" t="b">
        <v>0</v>
      </c>
      <c r="L5226">
        <v>2017</v>
      </c>
      <c r="M5226">
        <v>2063514688805</v>
      </c>
      <c r="N5226">
        <v>104467486000</v>
      </c>
      <c r="O5226" t="b">
        <v>1</v>
      </c>
      <c r="P5226">
        <v>1</v>
      </c>
      <c r="Q5226" t="str" cm="1">
        <f t="array" ref="Q5226">_xlfn.IFS(Table1[[#This Row],[Wealthier_Winner]]=-1,"Wealthier Nation Loses",Table1[[#This Row],[Wealthier_Winner]]=0,"Tie",Table1[[#This Row],[Wealthier_Winner]]=1,"Wealthier Nation Wins")</f>
        <v>Wealthier Nation Wins</v>
      </c>
    </row>
    <row r="5227" spans="1:17" x14ac:dyDescent="0.2">
      <c r="A5227" s="1">
        <v>7634</v>
      </c>
      <c r="B5227" s="2">
        <v>42978</v>
      </c>
      <c r="C5227" s="7">
        <f>_xlfn.FLOOR.MATH(Table1[[#This Row],[year]],10)</f>
        <v>2010</v>
      </c>
      <c r="D5227" t="s">
        <v>33</v>
      </c>
      <c r="E5227" t="s">
        <v>25</v>
      </c>
      <c r="F5227">
        <v>3</v>
      </c>
      <c r="G5227">
        <v>2</v>
      </c>
      <c r="H5227" t="s">
        <v>224</v>
      </c>
      <c r="I5227" t="s">
        <v>375</v>
      </c>
      <c r="J5227" t="s">
        <v>33</v>
      </c>
      <c r="K5227" t="b">
        <v>0</v>
      </c>
      <c r="L5227">
        <v>2017</v>
      </c>
      <c r="M5227">
        <v>59167647387</v>
      </c>
      <c r="N5227">
        <v>535172356784</v>
      </c>
      <c r="O5227" t="b">
        <v>1</v>
      </c>
      <c r="P5227">
        <v>-1</v>
      </c>
      <c r="Q5227" t="str" cm="1">
        <f t="array" ref="Q5227">_xlfn.IFS(Table1[[#This Row],[Wealthier_Winner]]=-1,"Wealthier Nation Loses",Table1[[#This Row],[Wealthier_Winner]]=0,"Tie",Table1[[#This Row],[Wealthier_Winner]]=1,"Wealthier Nation Wins")</f>
        <v>Wealthier Nation Loses</v>
      </c>
    </row>
    <row r="5228" spans="1:17" x14ac:dyDescent="0.2">
      <c r="A5228" s="1">
        <v>7635</v>
      </c>
      <c r="B5228" s="2">
        <v>42978</v>
      </c>
      <c r="C5228" s="7">
        <f>_xlfn.FLOOR.MATH(Table1[[#This Row],[year]],10)</f>
        <v>2010</v>
      </c>
      <c r="D5228" t="s">
        <v>14</v>
      </c>
      <c r="E5228" t="s">
        <v>35</v>
      </c>
      <c r="F5228">
        <v>0</v>
      </c>
      <c r="G5228">
        <v>3</v>
      </c>
      <c r="H5228" t="s">
        <v>224</v>
      </c>
      <c r="I5228" t="s">
        <v>75</v>
      </c>
      <c r="J5228" t="s">
        <v>14</v>
      </c>
      <c r="K5228" t="b">
        <v>0</v>
      </c>
      <c r="L5228">
        <v>2017</v>
      </c>
      <c r="M5228">
        <v>276154259981</v>
      </c>
      <c r="N5228">
        <v>38997129473</v>
      </c>
      <c r="O5228" t="b">
        <v>1</v>
      </c>
      <c r="P5228">
        <v>-1</v>
      </c>
      <c r="Q5228" t="str" cm="1">
        <f t="array" ref="Q5228">_xlfn.IFS(Table1[[#This Row],[Wealthier_Winner]]=-1,"Wealthier Nation Loses",Table1[[#This Row],[Wealthier_Winner]]=0,"Tie",Table1[[#This Row],[Wealthier_Winner]]=1,"Wealthier Nation Wins")</f>
        <v>Wealthier Nation Loses</v>
      </c>
    </row>
    <row r="5229" spans="1:17" x14ac:dyDescent="0.2">
      <c r="A5229" s="1">
        <v>7637</v>
      </c>
      <c r="B5229" s="2">
        <v>42978</v>
      </c>
      <c r="C5229" s="7">
        <f>_xlfn.FLOOR.MATH(Table1[[#This Row],[year]],10)</f>
        <v>2010</v>
      </c>
      <c r="D5229" t="s">
        <v>351</v>
      </c>
      <c r="E5229" t="s">
        <v>73</v>
      </c>
      <c r="F5229">
        <v>3</v>
      </c>
      <c r="G5229">
        <v>2</v>
      </c>
      <c r="H5229" t="s">
        <v>224</v>
      </c>
      <c r="I5229" t="s">
        <v>381</v>
      </c>
      <c r="J5229" t="s">
        <v>351</v>
      </c>
      <c r="K5229" t="b">
        <v>0</v>
      </c>
      <c r="L5229">
        <v>2017</v>
      </c>
      <c r="M5229">
        <v>22946570628</v>
      </c>
      <c r="N5229">
        <v>18326373135</v>
      </c>
      <c r="O5229" t="b">
        <v>0</v>
      </c>
      <c r="P5229">
        <v>1</v>
      </c>
      <c r="Q5229" t="str" cm="1">
        <f t="array" ref="Q5229">_xlfn.IFS(Table1[[#This Row],[Wealthier_Winner]]=-1,"Wealthier Nation Loses",Table1[[#This Row],[Wealthier_Winner]]=0,"Tie",Table1[[#This Row],[Wealthier_Winner]]=1,"Wealthier Nation Wins")</f>
        <v>Wealthier Nation Wins</v>
      </c>
    </row>
    <row r="5230" spans="1:17" x14ac:dyDescent="0.2">
      <c r="A5230" s="1">
        <v>7638</v>
      </c>
      <c r="B5230" s="2">
        <v>42978</v>
      </c>
      <c r="C5230" s="7">
        <f>_xlfn.FLOOR.MATH(Table1[[#This Row],[year]],10)</f>
        <v>2010</v>
      </c>
      <c r="D5230" t="s">
        <v>20</v>
      </c>
      <c r="E5230" t="s">
        <v>27</v>
      </c>
      <c r="F5230">
        <v>4</v>
      </c>
      <c r="G5230">
        <v>0</v>
      </c>
      <c r="H5230" t="s">
        <v>224</v>
      </c>
      <c r="I5230" t="s">
        <v>132</v>
      </c>
      <c r="J5230" t="s">
        <v>20</v>
      </c>
      <c r="K5230" t="b">
        <v>0</v>
      </c>
      <c r="L5230">
        <v>2017</v>
      </c>
      <c r="M5230">
        <v>2588868323334</v>
      </c>
      <c r="N5230">
        <v>848233537845</v>
      </c>
      <c r="O5230" t="b">
        <v>1</v>
      </c>
      <c r="P5230">
        <v>1</v>
      </c>
      <c r="Q5230" t="str" cm="1">
        <f t="array" ref="Q5230">_xlfn.IFS(Table1[[#This Row],[Wealthier_Winner]]=-1,"Wealthier Nation Loses",Table1[[#This Row],[Wealthier_Winner]]=0,"Tie",Table1[[#This Row],[Wealthier_Winner]]=1,"Wealthier Nation Wins")</f>
        <v>Wealthier Nation Wins</v>
      </c>
    </row>
    <row r="5231" spans="1:17" x14ac:dyDescent="0.2">
      <c r="A5231" s="1">
        <v>7639</v>
      </c>
      <c r="B5231" s="2">
        <v>42978</v>
      </c>
      <c r="C5231" s="7">
        <f>_xlfn.FLOOR.MATH(Table1[[#This Row],[year]],10)</f>
        <v>2010</v>
      </c>
      <c r="D5231" t="s">
        <v>48</v>
      </c>
      <c r="E5231" t="s">
        <v>476</v>
      </c>
      <c r="F5231">
        <v>0</v>
      </c>
      <c r="G5231">
        <v>0</v>
      </c>
      <c r="H5231" t="s">
        <v>224</v>
      </c>
      <c r="I5231" t="s">
        <v>282</v>
      </c>
      <c r="J5231" t="s">
        <v>48</v>
      </c>
      <c r="K5231" t="b">
        <v>0</v>
      </c>
      <c r="L5231">
        <v>2017</v>
      </c>
      <c r="M5231">
        <v>200381103984</v>
      </c>
      <c r="N5231">
        <v>27469461919</v>
      </c>
      <c r="O5231" t="b">
        <v>1</v>
      </c>
      <c r="P5231">
        <v>0</v>
      </c>
      <c r="Q5231" t="str" cm="1">
        <f t="array" ref="Q5231">_xlfn.IFS(Table1[[#This Row],[Wealthier_Winner]]=-1,"Wealthier Nation Loses",Table1[[#This Row],[Wealthier_Winner]]=0,"Tie",Table1[[#This Row],[Wealthier_Winner]]=1,"Wealthier Nation Wins")</f>
        <v>Tie</v>
      </c>
    </row>
    <row r="5232" spans="1:17" x14ac:dyDescent="0.2">
      <c r="A5232" s="1">
        <v>7640</v>
      </c>
      <c r="B5232" s="2">
        <v>42978</v>
      </c>
      <c r="C5232" s="7">
        <f>_xlfn.FLOOR.MATH(Table1[[#This Row],[year]],10)</f>
        <v>2010</v>
      </c>
      <c r="D5232" t="s">
        <v>305</v>
      </c>
      <c r="E5232" t="s">
        <v>286</v>
      </c>
      <c r="F5232">
        <v>3</v>
      </c>
      <c r="G5232">
        <v>2</v>
      </c>
      <c r="H5232" t="s">
        <v>224</v>
      </c>
      <c r="I5232" t="s">
        <v>306</v>
      </c>
      <c r="J5232" t="s">
        <v>305</v>
      </c>
      <c r="K5232" t="b">
        <v>0</v>
      </c>
      <c r="L5232">
        <v>2017</v>
      </c>
      <c r="M5232">
        <v>10324668271</v>
      </c>
      <c r="N5232">
        <v>67157452181</v>
      </c>
      <c r="O5232" t="b">
        <v>1</v>
      </c>
      <c r="P5232">
        <v>-1</v>
      </c>
      <c r="Q5232" t="str" cm="1">
        <f t="array" ref="Q5232">_xlfn.IFS(Table1[[#This Row],[Wealthier_Winner]]=-1,"Wealthier Nation Loses",Table1[[#This Row],[Wealthier_Winner]]=0,"Tie",Table1[[#This Row],[Wealthier_Winner]]=1,"Wealthier Nation Wins")</f>
        <v>Wealthier Nation Loses</v>
      </c>
    </row>
    <row r="5233" spans="1:17" x14ac:dyDescent="0.2">
      <c r="A5233" s="1">
        <v>7641</v>
      </c>
      <c r="B5233" s="2">
        <v>42978</v>
      </c>
      <c r="C5233" s="7">
        <f>_xlfn.FLOOR.MATH(Table1[[#This Row],[year]],10)</f>
        <v>2010</v>
      </c>
      <c r="D5233" t="s">
        <v>30</v>
      </c>
      <c r="E5233" t="s">
        <v>525</v>
      </c>
      <c r="F5233">
        <v>3</v>
      </c>
      <c r="G5233">
        <v>1</v>
      </c>
      <c r="H5233" t="s">
        <v>224</v>
      </c>
      <c r="I5233" t="s">
        <v>297</v>
      </c>
      <c r="J5233" t="s">
        <v>30</v>
      </c>
      <c r="K5233" t="b">
        <v>0</v>
      </c>
      <c r="L5233">
        <v>2017</v>
      </c>
      <c r="M5233">
        <v>143335098991</v>
      </c>
      <c r="N5233">
        <v>29391059767</v>
      </c>
      <c r="O5233" t="b">
        <v>1</v>
      </c>
      <c r="P5233">
        <v>1</v>
      </c>
      <c r="Q5233" t="str" cm="1">
        <f t="array" ref="Q5233">_xlfn.IFS(Table1[[#This Row],[Wealthier_Winner]]=-1,"Wealthier Nation Loses",Table1[[#This Row],[Wealthier_Winner]]=0,"Tie",Table1[[#This Row],[Wealthier_Winner]]=1,"Wealthier Nation Wins")</f>
        <v>Wealthier Nation Wins</v>
      </c>
    </row>
    <row r="5234" spans="1:17" x14ac:dyDescent="0.2">
      <c r="A5234" s="1">
        <v>7642</v>
      </c>
      <c r="B5234" s="2">
        <v>42978</v>
      </c>
      <c r="C5234" s="7">
        <f>_xlfn.FLOOR.MATH(Table1[[#This Row],[year]],10)</f>
        <v>2010</v>
      </c>
      <c r="D5234" t="s">
        <v>51</v>
      </c>
      <c r="E5234" t="s">
        <v>28</v>
      </c>
      <c r="F5234">
        <v>2</v>
      </c>
      <c r="G5234">
        <v>0</v>
      </c>
      <c r="H5234" t="s">
        <v>224</v>
      </c>
      <c r="I5234" t="s">
        <v>143</v>
      </c>
      <c r="J5234" t="s">
        <v>51</v>
      </c>
      <c r="K5234" t="b">
        <v>0</v>
      </c>
      <c r="L5234">
        <v>2017</v>
      </c>
      <c r="M5234">
        <v>4930837369151</v>
      </c>
      <c r="N5234">
        <v>1330890554614</v>
      </c>
      <c r="O5234" t="b">
        <v>1</v>
      </c>
      <c r="P5234">
        <v>1</v>
      </c>
      <c r="Q5234" t="str" cm="1">
        <f t="array" ref="Q5234">_xlfn.IFS(Table1[[#This Row],[Wealthier_Winner]]=-1,"Wealthier Nation Loses",Table1[[#This Row],[Wealthier_Winner]]=0,"Tie",Table1[[#This Row],[Wealthier_Winner]]=1,"Wealthier Nation Wins")</f>
        <v>Wealthier Nation Wins</v>
      </c>
    </row>
    <row r="5235" spans="1:17" x14ac:dyDescent="0.2">
      <c r="A5235" s="1">
        <v>7643</v>
      </c>
      <c r="B5235" s="2">
        <v>42978</v>
      </c>
      <c r="C5235" s="7">
        <f>_xlfn.FLOOR.MATH(Table1[[#This Row],[year]],10)</f>
        <v>2010</v>
      </c>
      <c r="D5235" t="s">
        <v>195</v>
      </c>
      <c r="E5235" t="s">
        <v>210</v>
      </c>
      <c r="F5235">
        <v>0</v>
      </c>
      <c r="G5235">
        <v>0</v>
      </c>
      <c r="H5235" t="s">
        <v>224</v>
      </c>
      <c r="I5235" t="s">
        <v>136</v>
      </c>
      <c r="J5235" t="s">
        <v>195</v>
      </c>
      <c r="K5235" t="b">
        <v>0</v>
      </c>
      <c r="L5235">
        <v>2017</v>
      </c>
      <c r="M5235">
        <v>1710196756713</v>
      </c>
      <c r="N5235">
        <v>510239893417</v>
      </c>
      <c r="O5235" t="b">
        <v>1</v>
      </c>
      <c r="P5235">
        <v>0</v>
      </c>
      <c r="Q5235" t="str" cm="1">
        <f t="array" ref="Q5235">_xlfn.IFS(Table1[[#This Row],[Wealthier_Winner]]=-1,"Wealthier Nation Loses",Table1[[#This Row],[Wealthier_Winner]]=0,"Tie",Table1[[#This Row],[Wealthier_Winner]]=1,"Wealthier Nation Wins")</f>
        <v>Tie</v>
      </c>
    </row>
    <row r="5236" spans="1:17" x14ac:dyDescent="0.2">
      <c r="A5236" s="1">
        <v>7644</v>
      </c>
      <c r="B5236" s="2">
        <v>42978</v>
      </c>
      <c r="C5236" s="7">
        <f>_xlfn.FLOOR.MATH(Table1[[#This Row],[year]],10)</f>
        <v>2010</v>
      </c>
      <c r="D5236" t="s">
        <v>232</v>
      </c>
      <c r="E5236" t="s">
        <v>510</v>
      </c>
      <c r="F5236">
        <v>1</v>
      </c>
      <c r="G5236">
        <v>0</v>
      </c>
      <c r="H5236" t="s">
        <v>224</v>
      </c>
      <c r="I5236" t="s">
        <v>232</v>
      </c>
      <c r="J5236" t="s">
        <v>232</v>
      </c>
      <c r="K5236" t="b">
        <v>0</v>
      </c>
      <c r="L5236">
        <v>2017</v>
      </c>
      <c r="M5236">
        <v>65712180342</v>
      </c>
      <c r="N5236">
        <v>54725405751</v>
      </c>
      <c r="O5236" t="b">
        <v>0</v>
      </c>
      <c r="P5236">
        <v>1</v>
      </c>
      <c r="Q5236" t="str" cm="1">
        <f t="array" ref="Q5236">_xlfn.IFS(Table1[[#This Row],[Wealthier_Winner]]=-1,"Wealthier Nation Loses",Table1[[#This Row],[Wealthier_Winner]]=0,"Tie",Table1[[#This Row],[Wealthier_Winner]]=1,"Wealthier Nation Wins")</f>
        <v>Wealthier Nation Wins</v>
      </c>
    </row>
    <row r="5237" spans="1:17" x14ac:dyDescent="0.2">
      <c r="A5237" s="1">
        <v>7645</v>
      </c>
      <c r="B5237" s="2">
        <v>42978</v>
      </c>
      <c r="C5237" s="7">
        <f>_xlfn.FLOOR.MATH(Table1[[#This Row],[year]],10)</f>
        <v>2010</v>
      </c>
      <c r="D5237" t="s">
        <v>31</v>
      </c>
      <c r="E5237" t="s">
        <v>47</v>
      </c>
      <c r="F5237">
        <v>2</v>
      </c>
      <c r="G5237">
        <v>1</v>
      </c>
      <c r="H5237" t="s">
        <v>224</v>
      </c>
      <c r="I5237" t="s">
        <v>242</v>
      </c>
      <c r="J5237" t="s">
        <v>31</v>
      </c>
      <c r="K5237" t="b">
        <v>0</v>
      </c>
      <c r="L5237">
        <v>2017</v>
      </c>
      <c r="M5237">
        <v>211007984080</v>
      </c>
      <c r="N5237">
        <v>45927439594</v>
      </c>
      <c r="O5237" t="b">
        <v>1</v>
      </c>
      <c r="P5237">
        <v>1</v>
      </c>
      <c r="Q5237" t="str" cm="1">
        <f t="array" ref="Q5237">_xlfn.IFS(Table1[[#This Row],[Wealthier_Winner]]=-1,"Wealthier Nation Loses",Table1[[#This Row],[Wealthier_Winner]]=0,"Tie",Table1[[#This Row],[Wealthier_Winner]]=1,"Wealthier Nation Wins")</f>
        <v>Wealthier Nation Wins</v>
      </c>
    </row>
    <row r="5238" spans="1:17" x14ac:dyDescent="0.2">
      <c r="A5238" s="1">
        <v>7646</v>
      </c>
      <c r="B5238" s="2">
        <v>42978</v>
      </c>
      <c r="C5238" s="7">
        <f>_xlfn.FLOOR.MATH(Table1[[#This Row],[year]],10)</f>
        <v>2010</v>
      </c>
      <c r="D5238" t="s">
        <v>38</v>
      </c>
      <c r="E5238" t="s">
        <v>447</v>
      </c>
      <c r="F5238">
        <v>5</v>
      </c>
      <c r="G5238">
        <v>1</v>
      </c>
      <c r="H5238" t="s">
        <v>224</v>
      </c>
      <c r="I5238" t="s">
        <v>292</v>
      </c>
      <c r="J5238" t="s">
        <v>38</v>
      </c>
      <c r="K5238" t="b">
        <v>0</v>
      </c>
      <c r="L5238">
        <v>2017</v>
      </c>
      <c r="M5238">
        <v>220862990767</v>
      </c>
      <c r="N5238">
        <v>2980057377</v>
      </c>
      <c r="O5238" t="b">
        <v>1</v>
      </c>
      <c r="P5238">
        <v>1</v>
      </c>
      <c r="Q5238" t="str" cm="1">
        <f t="array" ref="Q5238">_xlfn.IFS(Table1[[#This Row],[Wealthier_Winner]]=-1,"Wealthier Nation Loses",Table1[[#This Row],[Wealthier_Winner]]=0,"Tie",Table1[[#This Row],[Wealthier_Winner]]=1,"Wealthier Nation Wins")</f>
        <v>Wealthier Nation Wins</v>
      </c>
    </row>
    <row r="5239" spans="1:17" x14ac:dyDescent="0.2">
      <c r="A5239" s="1">
        <v>7647</v>
      </c>
      <c r="B5239" s="2">
        <v>42978</v>
      </c>
      <c r="C5239" s="7">
        <f>_xlfn.FLOOR.MATH(Table1[[#This Row],[year]],10)</f>
        <v>2010</v>
      </c>
      <c r="D5239" t="s">
        <v>46</v>
      </c>
      <c r="E5239" t="s">
        <v>601</v>
      </c>
      <c r="F5239">
        <v>3</v>
      </c>
      <c r="G5239">
        <v>0</v>
      </c>
      <c r="H5239" t="s">
        <v>224</v>
      </c>
      <c r="I5239" t="s">
        <v>442</v>
      </c>
      <c r="J5239" t="s">
        <v>46</v>
      </c>
      <c r="K5239" t="b">
        <v>0</v>
      </c>
      <c r="L5239">
        <v>2017</v>
      </c>
      <c r="M5239">
        <v>695200833086</v>
      </c>
      <c r="N5239">
        <v>3000160414</v>
      </c>
      <c r="O5239" t="b">
        <v>1</v>
      </c>
      <c r="P5239">
        <v>1</v>
      </c>
      <c r="Q5239" t="str" cm="1">
        <f t="array" ref="Q5239">_xlfn.IFS(Table1[[#This Row],[Wealthier_Winner]]=-1,"Wealthier Nation Loses",Table1[[#This Row],[Wealthier_Winner]]=0,"Tie",Table1[[#This Row],[Wealthier_Winner]]=1,"Wealthier Nation Wins")</f>
        <v>Wealthier Nation Wins</v>
      </c>
    </row>
    <row r="5240" spans="1:17" x14ac:dyDescent="0.2">
      <c r="A5240" s="1">
        <v>7648</v>
      </c>
      <c r="B5240" s="2">
        <v>42978</v>
      </c>
      <c r="C5240" s="7">
        <f>_xlfn.FLOOR.MATH(Table1[[#This Row],[year]],10)</f>
        <v>2010</v>
      </c>
      <c r="D5240" t="s">
        <v>331</v>
      </c>
      <c r="E5240" t="s">
        <v>68</v>
      </c>
      <c r="F5240">
        <v>3</v>
      </c>
      <c r="G5240">
        <v>1</v>
      </c>
      <c r="H5240" t="s">
        <v>224</v>
      </c>
      <c r="I5240" t="s">
        <v>817</v>
      </c>
      <c r="J5240" t="s">
        <v>333</v>
      </c>
      <c r="K5240" t="b">
        <v>1</v>
      </c>
      <c r="L5240">
        <v>2017</v>
      </c>
      <c r="M5240">
        <v>16369843352</v>
      </c>
      <c r="N5240">
        <v>161099175824</v>
      </c>
      <c r="O5240" t="b">
        <v>1</v>
      </c>
      <c r="P5240">
        <v>-1</v>
      </c>
      <c r="Q5240" t="str" cm="1">
        <f t="array" ref="Q5240">_xlfn.IFS(Table1[[#This Row],[Wealthier_Winner]]=-1,"Wealthier Nation Loses",Table1[[#This Row],[Wealthier_Winner]]=0,"Tie",Table1[[#This Row],[Wealthier_Winner]]=1,"Wealthier Nation Wins")</f>
        <v>Wealthier Nation Loses</v>
      </c>
    </row>
    <row r="5241" spans="1:17" x14ac:dyDescent="0.2">
      <c r="A5241" s="1">
        <v>7649</v>
      </c>
      <c r="B5241" s="2">
        <v>42978</v>
      </c>
      <c r="C5241" s="7">
        <f>_xlfn.FLOOR.MATH(Table1[[#This Row],[year]],10)</f>
        <v>2010</v>
      </c>
      <c r="D5241" t="s">
        <v>334</v>
      </c>
      <c r="E5241" t="s">
        <v>37</v>
      </c>
      <c r="F5241">
        <v>1</v>
      </c>
      <c r="G5241">
        <v>2</v>
      </c>
      <c r="H5241" t="s">
        <v>224</v>
      </c>
      <c r="I5241" t="s">
        <v>407</v>
      </c>
      <c r="J5241" t="s">
        <v>334</v>
      </c>
      <c r="K5241" t="b">
        <v>0</v>
      </c>
      <c r="L5241">
        <v>2017</v>
      </c>
      <c r="M5241">
        <v>456356813536</v>
      </c>
      <c r="N5241">
        <v>187217660050</v>
      </c>
      <c r="O5241" t="b">
        <v>1</v>
      </c>
      <c r="P5241">
        <v>-1</v>
      </c>
      <c r="Q5241" t="str" cm="1">
        <f t="array" ref="Q5241">_xlfn.IFS(Table1[[#This Row],[Wealthier_Winner]]=-1,"Wealthier Nation Loses",Table1[[#This Row],[Wealthier_Winner]]=0,"Tie",Table1[[#This Row],[Wealthier_Winner]]=1,"Wealthier Nation Wins")</f>
        <v>Wealthier Nation Loses</v>
      </c>
    </row>
    <row r="5242" spans="1:17" x14ac:dyDescent="0.2">
      <c r="A5242" s="1">
        <v>7650</v>
      </c>
      <c r="B5242" s="2">
        <v>42978</v>
      </c>
      <c r="C5242" s="7">
        <f>_xlfn.FLOOR.MATH(Table1[[#This Row],[year]],10)</f>
        <v>2010</v>
      </c>
      <c r="D5242" t="s">
        <v>357</v>
      </c>
      <c r="E5242" t="s">
        <v>212</v>
      </c>
      <c r="F5242">
        <v>1</v>
      </c>
      <c r="G5242">
        <v>0</v>
      </c>
      <c r="H5242" t="s">
        <v>224</v>
      </c>
      <c r="I5242" t="s">
        <v>358</v>
      </c>
      <c r="J5242" t="s">
        <v>357</v>
      </c>
      <c r="K5242" t="b">
        <v>0</v>
      </c>
      <c r="L5242">
        <v>2017</v>
      </c>
      <c r="M5242">
        <v>30744473841</v>
      </c>
      <c r="N5242">
        <v>248362771739</v>
      </c>
      <c r="O5242" t="b">
        <v>1</v>
      </c>
      <c r="P5242">
        <v>-1</v>
      </c>
      <c r="Q5242" t="str" cm="1">
        <f t="array" ref="Q5242">_xlfn.IFS(Table1[[#This Row],[Wealthier_Winner]]=-1,"Wealthier Nation Loses",Table1[[#This Row],[Wealthier_Winner]]=0,"Tie",Table1[[#This Row],[Wealthier_Winner]]=1,"Wealthier Nation Wins")</f>
        <v>Wealthier Nation Loses</v>
      </c>
    </row>
    <row r="5243" spans="1:17" x14ac:dyDescent="0.2">
      <c r="A5243" s="1">
        <v>7651</v>
      </c>
      <c r="B5243" s="2">
        <v>42978</v>
      </c>
      <c r="C5243" s="7">
        <f>_xlfn.FLOOR.MATH(Table1[[#This Row],[year]],10)</f>
        <v>2010</v>
      </c>
      <c r="D5243" t="s">
        <v>26</v>
      </c>
      <c r="E5243" t="s">
        <v>19</v>
      </c>
      <c r="F5243">
        <v>0</v>
      </c>
      <c r="G5243">
        <v>0</v>
      </c>
      <c r="H5243" t="s">
        <v>224</v>
      </c>
      <c r="I5243" t="s">
        <v>247</v>
      </c>
      <c r="J5243" t="s">
        <v>26</v>
      </c>
      <c r="K5243" t="b">
        <v>0</v>
      </c>
      <c r="L5243">
        <v>2017</v>
      </c>
      <c r="M5243">
        <v>65005997963</v>
      </c>
      <c r="N5243">
        <v>643628393281</v>
      </c>
      <c r="O5243" t="b">
        <v>1</v>
      </c>
      <c r="P5243">
        <v>0</v>
      </c>
      <c r="Q5243" t="str" cm="1">
        <f t="array" ref="Q5243">_xlfn.IFS(Table1[[#This Row],[Wealthier_Winner]]=-1,"Wealthier Nation Loses",Table1[[#This Row],[Wealthier_Winner]]=0,"Tie",Table1[[#This Row],[Wealthier_Winner]]=1,"Wealthier Nation Wins")</f>
        <v>Tie</v>
      </c>
    </row>
    <row r="5244" spans="1:17" x14ac:dyDescent="0.2">
      <c r="A5244" s="1">
        <v>7652</v>
      </c>
      <c r="B5244" s="2">
        <v>42978</v>
      </c>
      <c r="C5244" s="7">
        <f>_xlfn.FLOOR.MATH(Table1[[#This Row],[year]],10)</f>
        <v>2010</v>
      </c>
      <c r="D5244" t="s">
        <v>258</v>
      </c>
      <c r="E5244" t="s">
        <v>15</v>
      </c>
      <c r="F5244">
        <v>0</v>
      </c>
      <c r="G5244">
        <v>0</v>
      </c>
      <c r="H5244" t="s">
        <v>224</v>
      </c>
      <c r="I5244" t="s">
        <v>416</v>
      </c>
      <c r="J5244" t="s">
        <v>258</v>
      </c>
      <c r="K5244" t="b">
        <v>0</v>
      </c>
      <c r="L5244">
        <v>2017</v>
      </c>
      <c r="M5244">
        <v>115883275162</v>
      </c>
      <c r="N5244">
        <v>311866875156</v>
      </c>
      <c r="O5244" t="b">
        <v>1</v>
      </c>
      <c r="P5244">
        <v>0</v>
      </c>
      <c r="Q5244" t="str" cm="1">
        <f t="array" ref="Q5244">_xlfn.IFS(Table1[[#This Row],[Wealthier_Winner]]=-1,"Wealthier Nation Loses",Table1[[#This Row],[Wealthier_Winner]]=0,"Tie",Table1[[#This Row],[Wealthier_Winner]]=1,"Wealthier Nation Wins")</f>
        <v>Tie</v>
      </c>
    </row>
    <row r="5245" spans="1:17" x14ac:dyDescent="0.2">
      <c r="A5245" s="1">
        <v>7655</v>
      </c>
      <c r="B5245" s="2">
        <v>42979</v>
      </c>
      <c r="C5245" s="7">
        <f>_xlfn.FLOOR.MATH(Table1[[#This Row],[year]],10)</f>
        <v>2010</v>
      </c>
      <c r="D5245" t="s">
        <v>36</v>
      </c>
      <c r="E5245" t="s">
        <v>58</v>
      </c>
      <c r="F5245">
        <v>4</v>
      </c>
      <c r="G5245">
        <v>0</v>
      </c>
      <c r="H5245" t="s">
        <v>224</v>
      </c>
      <c r="I5245" t="s">
        <v>264</v>
      </c>
      <c r="J5245" t="s">
        <v>36</v>
      </c>
      <c r="K5245" t="b">
        <v>0</v>
      </c>
      <c r="L5245">
        <v>2017</v>
      </c>
      <c r="M5245">
        <v>331610593961</v>
      </c>
      <c r="N5245">
        <v>528356676667</v>
      </c>
      <c r="O5245" t="b">
        <v>0</v>
      </c>
      <c r="P5245">
        <v>-1</v>
      </c>
      <c r="Q5245" t="str" cm="1">
        <f t="array" ref="Q5245">_xlfn.IFS(Table1[[#This Row],[Wealthier_Winner]]=-1,"Wealthier Nation Loses",Table1[[#This Row],[Wealthier_Winner]]=0,"Tie",Table1[[#This Row],[Wealthier_Winner]]=1,"Wealthier Nation Wins")</f>
        <v>Wealthier Nation Loses</v>
      </c>
    </row>
    <row r="5246" spans="1:17" x14ac:dyDescent="0.2">
      <c r="A5246" s="1">
        <v>7657</v>
      </c>
      <c r="B5246" s="2">
        <v>42979</v>
      </c>
      <c r="C5246" s="7">
        <f>_xlfn.FLOOR.MATH(Table1[[#This Row],[year]],10)</f>
        <v>2010</v>
      </c>
      <c r="D5246" t="s">
        <v>558</v>
      </c>
      <c r="E5246" t="s">
        <v>705</v>
      </c>
      <c r="F5246">
        <v>0</v>
      </c>
      <c r="G5246">
        <v>3</v>
      </c>
      <c r="H5246" t="s">
        <v>224</v>
      </c>
      <c r="I5246" t="s">
        <v>733</v>
      </c>
      <c r="J5246" t="s">
        <v>558</v>
      </c>
      <c r="K5246" t="b">
        <v>0</v>
      </c>
      <c r="L5246">
        <v>2017</v>
      </c>
      <c r="M5246">
        <v>166805788827</v>
      </c>
      <c r="N5246">
        <v>4803962015</v>
      </c>
      <c r="O5246" t="b">
        <v>1</v>
      </c>
      <c r="P5246">
        <v>-1</v>
      </c>
      <c r="Q5246" t="str" cm="1">
        <f t="array" ref="Q5246">_xlfn.IFS(Table1[[#This Row],[Wealthier_Winner]]=-1,"Wealthier Nation Loses",Table1[[#This Row],[Wealthier_Winner]]=0,"Tie",Table1[[#This Row],[Wealthier_Winner]]=1,"Wealthier Nation Wins")</f>
        <v>Wealthier Nation Loses</v>
      </c>
    </row>
    <row r="5247" spans="1:17" x14ac:dyDescent="0.2">
      <c r="A5247" s="1">
        <v>7659</v>
      </c>
      <c r="B5247" s="2">
        <v>42979</v>
      </c>
      <c r="C5247" s="7">
        <f>_xlfn.FLOOR.MATH(Table1[[#This Row],[year]],10)</f>
        <v>2010</v>
      </c>
      <c r="D5247" t="s">
        <v>303</v>
      </c>
      <c r="E5247" t="s">
        <v>194</v>
      </c>
      <c r="F5247">
        <v>0</v>
      </c>
      <c r="G5247">
        <v>4</v>
      </c>
      <c r="H5247" t="s">
        <v>224</v>
      </c>
      <c r="I5247" t="s">
        <v>399</v>
      </c>
      <c r="J5247" t="s">
        <v>303</v>
      </c>
      <c r="K5247" t="b">
        <v>0</v>
      </c>
      <c r="L5247">
        <v>2017</v>
      </c>
      <c r="M5247">
        <v>14161366724</v>
      </c>
      <c r="N5247">
        <v>2699118387873</v>
      </c>
      <c r="O5247" t="b">
        <v>1</v>
      </c>
      <c r="P5247">
        <v>1</v>
      </c>
      <c r="Q5247" t="str" cm="1">
        <f t="array" ref="Q5247">_xlfn.IFS(Table1[[#This Row],[Wealthier_Winner]]=-1,"Wealthier Nation Loses",Table1[[#This Row],[Wealthier_Winner]]=0,"Tie",Table1[[#This Row],[Wealthier_Winner]]=1,"Wealthier Nation Wins")</f>
        <v>Wealthier Nation Wins</v>
      </c>
    </row>
    <row r="5248" spans="1:17" x14ac:dyDescent="0.2">
      <c r="A5248" s="1">
        <v>7660</v>
      </c>
      <c r="B5248" s="2">
        <v>42979</v>
      </c>
      <c r="C5248" s="7">
        <f>_xlfn.FLOOR.MATH(Table1[[#This Row],[year]],10)</f>
        <v>2010</v>
      </c>
      <c r="D5248" t="s">
        <v>17</v>
      </c>
      <c r="E5248" t="s">
        <v>67</v>
      </c>
      <c r="F5248">
        <v>1</v>
      </c>
      <c r="G5248">
        <v>0</v>
      </c>
      <c r="H5248" t="s">
        <v>224</v>
      </c>
      <c r="I5248" t="s">
        <v>83</v>
      </c>
      <c r="J5248" t="s">
        <v>17</v>
      </c>
      <c r="K5248" t="b">
        <v>0</v>
      </c>
      <c r="L5248">
        <v>2017</v>
      </c>
      <c r="M5248">
        <v>1190721475906</v>
      </c>
      <c r="N5248">
        <v>64327688826</v>
      </c>
      <c r="O5248" t="b">
        <v>1</v>
      </c>
      <c r="P5248">
        <v>1</v>
      </c>
      <c r="Q5248" t="str" cm="1">
        <f t="array" ref="Q5248">_xlfn.IFS(Table1[[#This Row],[Wealthier_Winner]]=-1,"Wealthier Nation Loses",Table1[[#This Row],[Wealthier_Winner]]=0,"Tie",Table1[[#This Row],[Wealthier_Winner]]=1,"Wealthier Nation Wins")</f>
        <v>Wealthier Nation Wins</v>
      </c>
    </row>
    <row r="5249" spans="1:17" x14ac:dyDescent="0.2">
      <c r="A5249" s="1">
        <v>7661</v>
      </c>
      <c r="B5249" s="2">
        <v>42979</v>
      </c>
      <c r="C5249" s="7">
        <f>_xlfn.FLOOR.MATH(Table1[[#This Row],[year]],10)</f>
        <v>2010</v>
      </c>
      <c r="D5249" t="s">
        <v>24</v>
      </c>
      <c r="E5249" t="s">
        <v>590</v>
      </c>
      <c r="F5249">
        <v>6</v>
      </c>
      <c r="G5249">
        <v>0</v>
      </c>
      <c r="H5249" t="s">
        <v>224</v>
      </c>
      <c r="I5249" t="s">
        <v>319</v>
      </c>
      <c r="J5249" t="s">
        <v>24</v>
      </c>
      <c r="K5249" t="b">
        <v>0</v>
      </c>
      <c r="L5249">
        <v>2017</v>
      </c>
      <c r="M5249">
        <v>118540573367</v>
      </c>
      <c r="N5249">
        <v>18308362040</v>
      </c>
      <c r="O5249" t="b">
        <v>1</v>
      </c>
      <c r="P5249">
        <v>1</v>
      </c>
      <c r="Q5249" t="str" cm="1">
        <f t="array" ref="Q5249">_xlfn.IFS(Table1[[#This Row],[Wealthier_Winner]]=-1,"Wealthier Nation Loses",Table1[[#This Row],[Wealthier_Winner]]=0,"Tie",Table1[[#This Row],[Wealthier_Winner]]=1,"Wealthier Nation Wins")</f>
        <v>Wealthier Nation Wins</v>
      </c>
    </row>
    <row r="5250" spans="1:17" x14ac:dyDescent="0.2">
      <c r="A5250" s="1">
        <v>7662</v>
      </c>
      <c r="B5250" s="2">
        <v>42979</v>
      </c>
      <c r="C5250" s="7">
        <f>_xlfn.FLOOR.MATH(Table1[[#This Row],[year]],10)</f>
        <v>2010</v>
      </c>
      <c r="D5250" t="s">
        <v>72</v>
      </c>
      <c r="E5250" t="s">
        <v>456</v>
      </c>
      <c r="F5250">
        <v>6</v>
      </c>
      <c r="G5250">
        <v>1</v>
      </c>
      <c r="H5250" t="s">
        <v>224</v>
      </c>
      <c r="I5250" t="s">
        <v>327</v>
      </c>
      <c r="J5250" t="s">
        <v>72</v>
      </c>
      <c r="K5250" t="b">
        <v>0</v>
      </c>
      <c r="L5250">
        <v>2017</v>
      </c>
      <c r="M5250">
        <v>206745969246</v>
      </c>
      <c r="N5250">
        <v>1469790526</v>
      </c>
      <c r="O5250" t="b">
        <v>1</v>
      </c>
      <c r="P5250">
        <v>1</v>
      </c>
      <c r="Q5250" t="str" cm="1">
        <f t="array" ref="Q5250">_xlfn.IFS(Table1[[#This Row],[Wealthier_Winner]]=-1,"Wealthier Nation Loses",Table1[[#This Row],[Wealthier_Winner]]=0,"Tie",Table1[[#This Row],[Wealthier_Winner]]=1,"Wealthier Nation Wins")</f>
        <v>Wealthier Nation Wins</v>
      </c>
    </row>
    <row r="5251" spans="1:17" x14ac:dyDescent="0.2">
      <c r="A5251" s="1">
        <v>7663</v>
      </c>
      <c r="B5251" s="2">
        <v>42979</v>
      </c>
      <c r="C5251" s="7">
        <f>_xlfn.FLOOR.MATH(Table1[[#This Row],[year]],10)</f>
        <v>2010</v>
      </c>
      <c r="D5251" t="s">
        <v>43</v>
      </c>
      <c r="E5251" t="s">
        <v>40</v>
      </c>
      <c r="F5251">
        <v>4</v>
      </c>
      <c r="G5251">
        <v>0</v>
      </c>
      <c r="H5251" t="s">
        <v>224</v>
      </c>
      <c r="I5251" t="s">
        <v>814</v>
      </c>
      <c r="J5251" t="s">
        <v>43</v>
      </c>
      <c r="K5251" t="b">
        <v>0</v>
      </c>
      <c r="L5251">
        <v>2017</v>
      </c>
      <c r="M5251">
        <v>375745731053</v>
      </c>
      <c r="N5251">
        <v>36098547033</v>
      </c>
      <c r="O5251" t="b">
        <v>1</v>
      </c>
      <c r="P5251">
        <v>1</v>
      </c>
      <c r="Q5251" t="str" cm="1">
        <f t="array" ref="Q5251">_xlfn.IFS(Table1[[#This Row],[Wealthier_Winner]]=-1,"Wealthier Nation Loses",Table1[[#This Row],[Wealthier_Winner]]=0,"Tie",Table1[[#This Row],[Wealthier_Winner]]=1,"Wealthier Nation Wins")</f>
        <v>Wealthier Nation Wins</v>
      </c>
    </row>
    <row r="5252" spans="1:17" x14ac:dyDescent="0.2">
      <c r="A5252" s="1">
        <v>7664</v>
      </c>
      <c r="B5252" s="2">
        <v>42979</v>
      </c>
      <c r="C5252" s="7">
        <f>_xlfn.FLOOR.MATH(Table1[[#This Row],[year]],10)</f>
        <v>2010</v>
      </c>
      <c r="D5252" t="s">
        <v>42</v>
      </c>
      <c r="E5252" t="s">
        <v>513</v>
      </c>
      <c r="F5252">
        <v>2</v>
      </c>
      <c r="G5252">
        <v>0</v>
      </c>
      <c r="H5252" t="s">
        <v>224</v>
      </c>
      <c r="I5252" t="s">
        <v>262</v>
      </c>
      <c r="J5252" t="s">
        <v>42</v>
      </c>
      <c r="K5252" t="b">
        <v>0</v>
      </c>
      <c r="L5252">
        <v>2017</v>
      </c>
      <c r="M5252">
        <v>401745275035</v>
      </c>
      <c r="N5252">
        <v>40866627351</v>
      </c>
      <c r="O5252" t="b">
        <v>1</v>
      </c>
      <c r="P5252">
        <v>1</v>
      </c>
      <c r="Q5252" t="str" cm="1">
        <f t="array" ref="Q5252">_xlfn.IFS(Table1[[#This Row],[Wealthier_Winner]]=-1,"Wealthier Nation Loses",Table1[[#This Row],[Wealthier_Winner]]=0,"Tie",Table1[[#This Row],[Wealthier_Winner]]=1,"Wealthier Nation Wins")</f>
        <v>Wealthier Nation Wins</v>
      </c>
    </row>
    <row r="5253" spans="1:17" x14ac:dyDescent="0.2">
      <c r="A5253" s="1">
        <v>7665</v>
      </c>
      <c r="B5253" s="2">
        <v>42979</v>
      </c>
      <c r="C5253" s="7">
        <f>_xlfn.FLOOR.MATH(Table1[[#This Row],[year]],10)</f>
        <v>2010</v>
      </c>
      <c r="D5253" t="s">
        <v>44</v>
      </c>
      <c r="E5253" t="s">
        <v>519</v>
      </c>
      <c r="F5253">
        <v>1</v>
      </c>
      <c r="G5253">
        <v>0</v>
      </c>
      <c r="H5253" t="s">
        <v>224</v>
      </c>
      <c r="I5253" t="s">
        <v>425</v>
      </c>
      <c r="J5253" t="s">
        <v>44</v>
      </c>
      <c r="K5253" t="b">
        <v>0</v>
      </c>
      <c r="L5253">
        <v>2017</v>
      </c>
      <c r="M5253">
        <v>210147385855</v>
      </c>
      <c r="N5253">
        <v>11527458709</v>
      </c>
      <c r="O5253" t="b">
        <v>1</v>
      </c>
      <c r="P5253">
        <v>1</v>
      </c>
      <c r="Q5253" t="str" cm="1">
        <f t="array" ref="Q5253">_xlfn.IFS(Table1[[#This Row],[Wealthier_Winner]]=-1,"Wealthier Nation Loses",Table1[[#This Row],[Wealthier_Winner]]=0,"Tie",Table1[[#This Row],[Wealthier_Winner]]=1,"Wealthier Nation Wins")</f>
        <v>Wealthier Nation Wins</v>
      </c>
    </row>
    <row r="5254" spans="1:17" x14ac:dyDescent="0.2">
      <c r="A5254" s="1">
        <v>7668</v>
      </c>
      <c r="B5254" s="2">
        <v>42979</v>
      </c>
      <c r="C5254" s="7">
        <f>_xlfn.FLOOR.MATH(Table1[[#This Row],[year]],10)</f>
        <v>2010</v>
      </c>
      <c r="D5254" t="s">
        <v>59</v>
      </c>
      <c r="E5254" t="s">
        <v>65</v>
      </c>
      <c r="F5254">
        <v>1</v>
      </c>
      <c r="G5254">
        <v>2</v>
      </c>
      <c r="H5254" t="s">
        <v>224</v>
      </c>
      <c r="I5254" t="s">
        <v>820</v>
      </c>
      <c r="J5254" t="s">
        <v>59</v>
      </c>
      <c r="K5254" t="b">
        <v>0</v>
      </c>
      <c r="L5254">
        <v>2017</v>
      </c>
      <c r="M5254">
        <v>23830750900</v>
      </c>
      <c r="N5254">
        <v>23136247990</v>
      </c>
      <c r="O5254" t="b">
        <v>0</v>
      </c>
      <c r="P5254">
        <v>-1</v>
      </c>
      <c r="Q5254" t="str" cm="1">
        <f t="array" ref="Q5254">_xlfn.IFS(Table1[[#This Row],[Wealthier_Winner]]=-1,"Wealthier Nation Loses",Table1[[#This Row],[Wealthier_Winner]]=0,"Tie",Table1[[#This Row],[Wealthier_Winner]]=1,"Wealthier Nation Wins")</f>
        <v>Wealthier Nation Loses</v>
      </c>
    </row>
    <row r="5255" spans="1:17" x14ac:dyDescent="0.2">
      <c r="A5255" s="1">
        <v>7670</v>
      </c>
      <c r="B5255" s="2">
        <v>42979</v>
      </c>
      <c r="C5255" s="7">
        <f>_xlfn.FLOOR.MATH(Table1[[#This Row],[year]],10)</f>
        <v>2010</v>
      </c>
      <c r="D5255" t="s">
        <v>41</v>
      </c>
      <c r="E5255" t="s">
        <v>56</v>
      </c>
      <c r="F5255">
        <v>0</v>
      </c>
      <c r="G5255">
        <v>2</v>
      </c>
      <c r="H5255" t="s">
        <v>224</v>
      </c>
      <c r="I5255" t="s">
        <v>821</v>
      </c>
      <c r="J5255" t="s">
        <v>41</v>
      </c>
      <c r="K5255" t="b">
        <v>0</v>
      </c>
      <c r="L5255">
        <v>2017</v>
      </c>
      <c r="M5255">
        <v>19477336549000</v>
      </c>
      <c r="N5255">
        <v>60516044656</v>
      </c>
      <c r="O5255" t="b">
        <v>1</v>
      </c>
      <c r="P5255">
        <v>-1</v>
      </c>
      <c r="Q5255" t="str" cm="1">
        <f t="array" ref="Q5255">_xlfn.IFS(Table1[[#This Row],[Wealthier_Winner]]=-1,"Wealthier Nation Loses",Table1[[#This Row],[Wealthier_Winner]]=0,"Tie",Table1[[#This Row],[Wealthier_Winner]]=1,"Wealthier Nation Wins")</f>
        <v>Wealthier Nation Loses</v>
      </c>
    </row>
    <row r="5256" spans="1:17" x14ac:dyDescent="0.2">
      <c r="A5256" s="1">
        <v>7671</v>
      </c>
      <c r="B5256" s="2">
        <v>42980</v>
      </c>
      <c r="C5256" s="7">
        <f>_xlfn.FLOOR.MATH(Table1[[#This Row],[year]],10)</f>
        <v>2010</v>
      </c>
      <c r="D5256" t="s">
        <v>373</v>
      </c>
      <c r="E5256" t="s">
        <v>503</v>
      </c>
      <c r="F5256">
        <v>2</v>
      </c>
      <c r="G5256">
        <v>0</v>
      </c>
      <c r="H5256" t="s">
        <v>224</v>
      </c>
      <c r="I5256" t="s">
        <v>812</v>
      </c>
      <c r="J5256" t="s">
        <v>373</v>
      </c>
      <c r="K5256" t="b">
        <v>0</v>
      </c>
      <c r="L5256">
        <v>2017</v>
      </c>
      <c r="M5256">
        <v>13258268435</v>
      </c>
      <c r="N5256">
        <v>6474308717</v>
      </c>
      <c r="O5256" t="b">
        <v>1</v>
      </c>
      <c r="P5256">
        <v>1</v>
      </c>
      <c r="Q5256" t="str" cm="1">
        <f t="array" ref="Q5256">_xlfn.IFS(Table1[[#This Row],[Wealthier_Winner]]=-1,"Wealthier Nation Loses",Table1[[#This Row],[Wealthier_Winner]]=0,"Tie",Table1[[#This Row],[Wealthier_Winner]]=1,"Wealthier Nation Wins")</f>
        <v>Wealthier Nation Wins</v>
      </c>
    </row>
    <row r="5257" spans="1:17" x14ac:dyDescent="0.2">
      <c r="A5257" s="1">
        <v>7672</v>
      </c>
      <c r="B5257" s="2">
        <v>42980</v>
      </c>
      <c r="C5257" s="7">
        <f>_xlfn.FLOOR.MATH(Table1[[#This Row],[year]],10)</f>
        <v>2010</v>
      </c>
      <c r="D5257" t="s">
        <v>52</v>
      </c>
      <c r="E5257" t="s">
        <v>803</v>
      </c>
      <c r="F5257">
        <v>1</v>
      </c>
      <c r="G5257">
        <v>0</v>
      </c>
      <c r="H5257" t="s">
        <v>224</v>
      </c>
      <c r="I5257" t="s">
        <v>538</v>
      </c>
      <c r="J5257" t="s">
        <v>52</v>
      </c>
      <c r="K5257" t="b">
        <v>0</v>
      </c>
      <c r="L5257">
        <v>2017</v>
      </c>
      <c r="M5257">
        <v>56182782585</v>
      </c>
      <c r="N5257">
        <v>7180768692</v>
      </c>
      <c r="O5257" t="b">
        <v>1</v>
      </c>
      <c r="P5257">
        <v>1</v>
      </c>
      <c r="Q5257" t="str" cm="1">
        <f t="array" ref="Q5257">_xlfn.IFS(Table1[[#This Row],[Wealthier_Winner]]=-1,"Wealthier Nation Loses",Table1[[#This Row],[Wealthier_Winner]]=0,"Tie",Table1[[#This Row],[Wealthier_Winner]]=1,"Wealthier Nation Wins")</f>
        <v>Wealthier Nation Wins</v>
      </c>
    </row>
    <row r="5258" spans="1:17" x14ac:dyDescent="0.2">
      <c r="A5258" s="1">
        <v>7673</v>
      </c>
      <c r="B5258" s="2">
        <v>42980</v>
      </c>
      <c r="C5258" s="7">
        <f>_xlfn.FLOOR.MATH(Table1[[#This Row],[year]],10)</f>
        <v>2010</v>
      </c>
      <c r="D5258" t="s">
        <v>230</v>
      </c>
      <c r="E5258" t="s">
        <v>66</v>
      </c>
      <c r="F5258">
        <v>1</v>
      </c>
      <c r="G5258">
        <v>0</v>
      </c>
      <c r="H5258" t="s">
        <v>224</v>
      </c>
      <c r="I5258" t="s">
        <v>491</v>
      </c>
      <c r="J5258" t="s">
        <v>230</v>
      </c>
      <c r="K5258" t="b">
        <v>0</v>
      </c>
      <c r="L5258">
        <v>2017</v>
      </c>
      <c r="M5258">
        <v>253846138440</v>
      </c>
      <c r="N5258">
        <v>25060086487</v>
      </c>
      <c r="O5258" t="b">
        <v>1</v>
      </c>
      <c r="P5258">
        <v>1</v>
      </c>
      <c r="Q5258" t="str" cm="1">
        <f t="array" ref="Q5258">_xlfn.IFS(Table1[[#This Row],[Wealthier_Winner]]=-1,"Wealthier Nation Loses",Table1[[#This Row],[Wealthier_Winner]]=0,"Tie",Table1[[#This Row],[Wealthier_Winner]]=1,"Wealthier Nation Wins")</f>
        <v>Wealthier Nation Wins</v>
      </c>
    </row>
    <row r="5259" spans="1:17" x14ac:dyDescent="0.2">
      <c r="A5259" s="1">
        <v>7676</v>
      </c>
      <c r="B5259" s="2">
        <v>42980</v>
      </c>
      <c r="C5259" s="7">
        <f>_xlfn.FLOOR.MATH(Table1[[#This Row],[year]],10)</f>
        <v>2010</v>
      </c>
      <c r="D5259" t="s">
        <v>22</v>
      </c>
      <c r="E5259" t="s">
        <v>502</v>
      </c>
      <c r="F5259">
        <v>0</v>
      </c>
      <c r="G5259">
        <v>1</v>
      </c>
      <c r="H5259" t="s">
        <v>224</v>
      </c>
      <c r="I5259" t="s">
        <v>804</v>
      </c>
      <c r="J5259" t="s">
        <v>22</v>
      </c>
      <c r="K5259" t="b">
        <v>0</v>
      </c>
      <c r="L5259">
        <v>2017</v>
      </c>
      <c r="M5259">
        <v>358451839052</v>
      </c>
      <c r="N5259">
        <v>11307067069</v>
      </c>
      <c r="O5259" t="b">
        <v>1</v>
      </c>
      <c r="P5259">
        <v>-1</v>
      </c>
      <c r="Q5259" t="str" cm="1">
        <f t="array" ref="Q5259">_xlfn.IFS(Table1[[#This Row],[Wealthier_Winner]]=-1,"Wealthier Nation Loses",Table1[[#This Row],[Wealthier_Winner]]=0,"Tie",Table1[[#This Row],[Wealthier_Winner]]=1,"Wealthier Nation Wins")</f>
        <v>Wealthier Nation Loses</v>
      </c>
    </row>
    <row r="5260" spans="1:17" x14ac:dyDescent="0.2">
      <c r="A5260" s="1">
        <v>7677</v>
      </c>
      <c r="B5260" s="2">
        <v>42980</v>
      </c>
      <c r="C5260" s="7">
        <f>_xlfn.FLOOR.MATH(Table1[[#This Row],[year]],10)</f>
        <v>2010</v>
      </c>
      <c r="D5260" t="s">
        <v>54</v>
      </c>
      <c r="E5260" t="s">
        <v>345</v>
      </c>
      <c r="F5260">
        <v>0</v>
      </c>
      <c r="G5260">
        <v>0</v>
      </c>
      <c r="H5260" t="s">
        <v>224</v>
      </c>
      <c r="I5260" t="s">
        <v>285</v>
      </c>
      <c r="J5260" t="s">
        <v>54</v>
      </c>
      <c r="K5260" t="b">
        <v>0</v>
      </c>
      <c r="L5260">
        <v>2017</v>
      </c>
      <c r="M5260">
        <v>20996562943</v>
      </c>
      <c r="N5260">
        <v>14106955615</v>
      </c>
      <c r="O5260" t="b">
        <v>0</v>
      </c>
      <c r="P5260">
        <v>0</v>
      </c>
      <c r="Q5260" t="str" cm="1">
        <f t="array" ref="Q5260">_xlfn.IFS(Table1[[#This Row],[Wealthier_Winner]]=-1,"Wealthier Nation Loses",Table1[[#This Row],[Wealthier_Winner]]=0,"Tie",Table1[[#This Row],[Wealthier_Winner]]=1,"Wealthier Nation Wins")</f>
        <v>Tie</v>
      </c>
    </row>
    <row r="5261" spans="1:17" x14ac:dyDescent="0.2">
      <c r="A5261" s="1">
        <v>7678</v>
      </c>
      <c r="B5261" s="2">
        <v>42980</v>
      </c>
      <c r="C5261" s="7">
        <f>_xlfn.FLOOR.MATH(Table1[[#This Row],[year]],10)</f>
        <v>2010</v>
      </c>
      <c r="D5261" t="s">
        <v>61</v>
      </c>
      <c r="E5261" t="s">
        <v>527</v>
      </c>
      <c r="F5261">
        <v>3</v>
      </c>
      <c r="G5261">
        <v>0</v>
      </c>
      <c r="H5261" t="s">
        <v>224</v>
      </c>
      <c r="I5261" t="s">
        <v>505</v>
      </c>
      <c r="J5261" t="s">
        <v>61</v>
      </c>
      <c r="K5261" t="b">
        <v>0</v>
      </c>
      <c r="L5261">
        <v>2017</v>
      </c>
      <c r="M5261">
        <v>45972834713</v>
      </c>
      <c r="N5261">
        <v>9514404016</v>
      </c>
      <c r="O5261" t="b">
        <v>1</v>
      </c>
      <c r="P5261">
        <v>1</v>
      </c>
      <c r="Q5261" t="str" cm="1">
        <f t="array" ref="Q5261">_xlfn.IFS(Table1[[#This Row],[Wealthier_Winner]]=-1,"Wealthier Nation Loses",Table1[[#This Row],[Wealthier_Winner]]=0,"Tie",Table1[[#This Row],[Wealthier_Winner]]=1,"Wealthier Nation Wins")</f>
        <v>Wealthier Nation Wins</v>
      </c>
    </row>
    <row r="5262" spans="1:17" x14ac:dyDescent="0.2">
      <c r="A5262" s="1">
        <v>7679</v>
      </c>
      <c r="B5262" s="2">
        <v>42980</v>
      </c>
      <c r="C5262" s="7">
        <f>_xlfn.FLOOR.MATH(Table1[[#This Row],[year]],10)</f>
        <v>2010</v>
      </c>
      <c r="D5262" t="s">
        <v>21</v>
      </c>
      <c r="E5262" t="s">
        <v>18</v>
      </c>
      <c r="F5262">
        <v>3</v>
      </c>
      <c r="G5262">
        <v>0</v>
      </c>
      <c r="H5262" t="s">
        <v>224</v>
      </c>
      <c r="I5262" t="s">
        <v>105</v>
      </c>
      <c r="J5262" t="s">
        <v>21</v>
      </c>
      <c r="K5262" t="b">
        <v>0</v>
      </c>
      <c r="L5262">
        <v>2017</v>
      </c>
      <c r="M5262">
        <v>1321754088818</v>
      </c>
      <c r="N5262">
        <v>1970720904584</v>
      </c>
      <c r="O5262" t="b">
        <v>0</v>
      </c>
      <c r="P5262">
        <v>-1</v>
      </c>
      <c r="Q5262" t="str" cm="1">
        <f t="array" ref="Q5262">_xlfn.IFS(Table1[[#This Row],[Wealthier_Winner]]=-1,"Wealthier Nation Loses",Table1[[#This Row],[Wealthier_Winner]]=0,"Tie",Table1[[#This Row],[Wealthier_Winner]]=1,"Wealthier Nation Wins")</f>
        <v>Wealthier Nation Loses</v>
      </c>
    </row>
    <row r="5263" spans="1:17" x14ac:dyDescent="0.2">
      <c r="A5263" s="1">
        <v>7682</v>
      </c>
      <c r="B5263" s="2">
        <v>42980</v>
      </c>
      <c r="C5263" s="7">
        <f>_xlfn.FLOOR.MATH(Table1[[#This Row],[year]],10)</f>
        <v>2010</v>
      </c>
      <c r="D5263" t="s">
        <v>273</v>
      </c>
      <c r="E5263" t="s">
        <v>32</v>
      </c>
      <c r="F5263">
        <v>3</v>
      </c>
      <c r="G5263">
        <v>1</v>
      </c>
      <c r="H5263" t="s">
        <v>224</v>
      </c>
      <c r="I5263" t="s">
        <v>330</v>
      </c>
      <c r="J5263" t="s">
        <v>273</v>
      </c>
      <c r="K5263" t="b">
        <v>0</v>
      </c>
      <c r="L5263">
        <v>2017</v>
      </c>
      <c r="M5263">
        <v>25873601260</v>
      </c>
      <c r="N5263">
        <v>189880896903</v>
      </c>
      <c r="O5263" t="b">
        <v>1</v>
      </c>
      <c r="P5263">
        <v>-1</v>
      </c>
      <c r="Q5263" t="str" cm="1">
        <f t="array" ref="Q5263">_xlfn.IFS(Table1[[#This Row],[Wealthier_Winner]]=-1,"Wealthier Nation Loses",Table1[[#This Row],[Wealthier_Winner]]=0,"Tie",Table1[[#This Row],[Wealthier_Winner]]=1,"Wealthier Nation Wins")</f>
        <v>Wealthier Nation Loses</v>
      </c>
    </row>
    <row r="5264" spans="1:17" x14ac:dyDescent="0.2">
      <c r="A5264" s="1">
        <v>7683</v>
      </c>
      <c r="B5264" s="2">
        <v>42981</v>
      </c>
      <c r="C5264" s="7">
        <f>_xlfn.FLOOR.MATH(Table1[[#This Row],[year]],10)</f>
        <v>2010</v>
      </c>
      <c r="D5264" t="s">
        <v>510</v>
      </c>
      <c r="E5264" t="s">
        <v>25</v>
      </c>
      <c r="F5264">
        <v>0</v>
      </c>
      <c r="G5264">
        <v>4</v>
      </c>
      <c r="H5264" t="s">
        <v>224</v>
      </c>
      <c r="I5264" t="s">
        <v>805</v>
      </c>
      <c r="J5264" t="s">
        <v>510</v>
      </c>
      <c r="K5264" t="b">
        <v>0</v>
      </c>
      <c r="L5264">
        <v>2017</v>
      </c>
      <c r="M5264">
        <v>54725405751</v>
      </c>
      <c r="N5264">
        <v>535172356784</v>
      </c>
      <c r="O5264" t="b">
        <v>1</v>
      </c>
      <c r="P5264">
        <v>1</v>
      </c>
      <c r="Q5264" t="str" cm="1">
        <f t="array" ref="Q5264">_xlfn.IFS(Table1[[#This Row],[Wealthier_Winner]]=-1,"Wealthier Nation Loses",Table1[[#This Row],[Wealthier_Winner]]=0,"Tie",Table1[[#This Row],[Wealthier_Winner]]=1,"Wealthier Nation Wins")</f>
        <v>Wealthier Nation Wins</v>
      </c>
    </row>
    <row r="5265" spans="1:17" x14ac:dyDescent="0.2">
      <c r="A5265" s="1">
        <v>7684</v>
      </c>
      <c r="B5265" s="2">
        <v>42981</v>
      </c>
      <c r="C5265" s="7">
        <f>_xlfn.FLOOR.MATH(Table1[[#This Row],[year]],10)</f>
        <v>2010</v>
      </c>
      <c r="D5265" t="s">
        <v>476</v>
      </c>
      <c r="E5265" t="s">
        <v>351</v>
      </c>
      <c r="F5265">
        <v>1</v>
      </c>
      <c r="G5265">
        <v>0</v>
      </c>
      <c r="H5265" t="s">
        <v>224</v>
      </c>
      <c r="I5265" t="s">
        <v>481</v>
      </c>
      <c r="J5265" t="s">
        <v>476</v>
      </c>
      <c r="K5265" t="b">
        <v>0</v>
      </c>
      <c r="L5265">
        <v>2017</v>
      </c>
      <c r="M5265">
        <v>27469461919</v>
      </c>
      <c r="N5265">
        <v>22946570628</v>
      </c>
      <c r="O5265" t="b">
        <v>0</v>
      </c>
      <c r="P5265">
        <v>1</v>
      </c>
      <c r="Q5265" t="str" cm="1">
        <f t="array" ref="Q5265">_xlfn.IFS(Table1[[#This Row],[Wealthier_Winner]]=-1,"Wealthier Nation Loses",Table1[[#This Row],[Wealthier_Winner]]=0,"Tie",Table1[[#This Row],[Wealthier_Winner]]=1,"Wealthier Nation Wins")</f>
        <v>Wealthier Nation Wins</v>
      </c>
    </row>
    <row r="5266" spans="1:17" x14ac:dyDescent="0.2">
      <c r="A5266" s="1">
        <v>7685</v>
      </c>
      <c r="B5266" s="2">
        <v>42981</v>
      </c>
      <c r="C5266" s="7">
        <f>_xlfn.FLOOR.MATH(Table1[[#This Row],[year]],10)</f>
        <v>2010</v>
      </c>
      <c r="D5266" t="s">
        <v>447</v>
      </c>
      <c r="E5266" t="s">
        <v>601</v>
      </c>
      <c r="F5266">
        <v>1</v>
      </c>
      <c r="G5266">
        <v>0</v>
      </c>
      <c r="H5266" t="s">
        <v>224</v>
      </c>
      <c r="I5266" t="s">
        <v>631</v>
      </c>
      <c r="J5266" t="s">
        <v>447</v>
      </c>
      <c r="K5266" t="b">
        <v>0</v>
      </c>
      <c r="L5266">
        <v>2017</v>
      </c>
      <c r="M5266">
        <v>2980057377</v>
      </c>
      <c r="N5266">
        <v>3000160414</v>
      </c>
      <c r="O5266" t="b">
        <v>0</v>
      </c>
      <c r="P5266">
        <v>-1</v>
      </c>
      <c r="Q5266" t="str" cm="1">
        <f t="array" ref="Q5266">_xlfn.IFS(Table1[[#This Row],[Wealthier_Winner]]=-1,"Wealthier Nation Loses",Table1[[#This Row],[Wealthier_Winner]]=0,"Tie",Table1[[#This Row],[Wealthier_Winner]]=1,"Wealthier Nation Wins")</f>
        <v>Wealthier Nation Loses</v>
      </c>
    </row>
    <row r="5267" spans="1:17" x14ac:dyDescent="0.2">
      <c r="A5267" s="1">
        <v>7686</v>
      </c>
      <c r="B5267" s="2">
        <v>42981</v>
      </c>
      <c r="C5267" s="7">
        <f>_xlfn.FLOOR.MATH(Table1[[#This Row],[year]],10)</f>
        <v>2010</v>
      </c>
      <c r="D5267" t="s">
        <v>20</v>
      </c>
      <c r="E5267" t="s">
        <v>232</v>
      </c>
      <c r="F5267">
        <v>0</v>
      </c>
      <c r="G5267">
        <v>0</v>
      </c>
      <c r="H5267" t="s">
        <v>224</v>
      </c>
      <c r="I5267" t="s">
        <v>128</v>
      </c>
      <c r="J5267" t="s">
        <v>20</v>
      </c>
      <c r="K5267" t="b">
        <v>0</v>
      </c>
      <c r="L5267">
        <v>2017</v>
      </c>
      <c r="M5267">
        <v>2588868323334</v>
      </c>
      <c r="N5267">
        <v>65712180342</v>
      </c>
      <c r="O5267" t="b">
        <v>1</v>
      </c>
      <c r="P5267">
        <v>0</v>
      </c>
      <c r="Q5267" t="str" cm="1">
        <f t="array" ref="Q5267">_xlfn.IFS(Table1[[#This Row],[Wealthier_Winner]]=-1,"Wealthier Nation Loses",Table1[[#This Row],[Wealthier_Winner]]=0,"Tie",Table1[[#This Row],[Wealthier_Winner]]=1,"Wealthier Nation Wins")</f>
        <v>Tie</v>
      </c>
    </row>
    <row r="5268" spans="1:17" x14ac:dyDescent="0.2">
      <c r="A5268" s="1">
        <v>7688</v>
      </c>
      <c r="B5268" s="2">
        <v>42981</v>
      </c>
      <c r="C5268" s="7">
        <f>_xlfn.FLOOR.MATH(Table1[[#This Row],[year]],10)</f>
        <v>2010</v>
      </c>
      <c r="D5268" t="s">
        <v>48</v>
      </c>
      <c r="E5268" t="s">
        <v>23</v>
      </c>
      <c r="F5268">
        <v>1</v>
      </c>
      <c r="G5268">
        <v>2</v>
      </c>
      <c r="H5268" t="s">
        <v>224</v>
      </c>
      <c r="I5268" t="s">
        <v>282</v>
      </c>
      <c r="J5268" t="s">
        <v>48</v>
      </c>
      <c r="K5268" t="b">
        <v>0</v>
      </c>
      <c r="L5268">
        <v>2017</v>
      </c>
      <c r="M5268">
        <v>200381103984</v>
      </c>
      <c r="N5268">
        <v>500908767351</v>
      </c>
      <c r="O5268" t="b">
        <v>1</v>
      </c>
      <c r="P5268">
        <v>1</v>
      </c>
      <c r="Q5268" t="str" cm="1">
        <f t="array" ref="Q5268">_xlfn.IFS(Table1[[#This Row],[Wealthier_Winner]]=-1,"Wealthier Nation Loses",Table1[[#This Row],[Wealthier_Winner]]=0,"Tie",Table1[[#This Row],[Wealthier_Winner]]=1,"Wealthier Nation Wins")</f>
        <v>Wealthier Nation Wins</v>
      </c>
    </row>
    <row r="5269" spans="1:17" x14ac:dyDescent="0.2">
      <c r="A5269" s="1">
        <v>7689</v>
      </c>
      <c r="B5269" s="2">
        <v>42981</v>
      </c>
      <c r="C5269" s="7">
        <f>_xlfn.FLOOR.MATH(Table1[[#This Row],[year]],10)</f>
        <v>2010</v>
      </c>
      <c r="D5269" t="s">
        <v>30</v>
      </c>
      <c r="E5269" t="s">
        <v>38</v>
      </c>
      <c r="F5269">
        <v>0</v>
      </c>
      <c r="G5269">
        <v>1</v>
      </c>
      <c r="H5269" t="s">
        <v>224</v>
      </c>
      <c r="I5269" t="s">
        <v>297</v>
      </c>
      <c r="J5269" t="s">
        <v>30</v>
      </c>
      <c r="K5269" t="b">
        <v>0</v>
      </c>
      <c r="L5269">
        <v>2017</v>
      </c>
      <c r="M5269">
        <v>143335098991</v>
      </c>
      <c r="N5269">
        <v>220862990767</v>
      </c>
      <c r="O5269" t="b">
        <v>0</v>
      </c>
      <c r="P5269">
        <v>1</v>
      </c>
      <c r="Q5269" t="str" cm="1">
        <f t="array" ref="Q5269">_xlfn.IFS(Table1[[#This Row],[Wealthier_Winner]]=-1,"Wealthier Nation Loses",Table1[[#This Row],[Wealthier_Winner]]=0,"Tie",Table1[[#This Row],[Wealthier_Winner]]=1,"Wealthier Nation Wins")</f>
        <v>Wealthier Nation Wins</v>
      </c>
    </row>
    <row r="5270" spans="1:17" x14ac:dyDescent="0.2">
      <c r="A5270" s="1">
        <v>7690</v>
      </c>
      <c r="B5270" s="2">
        <v>42981</v>
      </c>
      <c r="C5270" s="7">
        <f>_xlfn.FLOOR.MATH(Table1[[#This Row],[year]],10)</f>
        <v>2010</v>
      </c>
      <c r="D5270" t="s">
        <v>525</v>
      </c>
      <c r="E5270" t="s">
        <v>46</v>
      </c>
      <c r="F5270">
        <v>0</v>
      </c>
      <c r="G5270">
        <v>3</v>
      </c>
      <c r="H5270" t="s">
        <v>224</v>
      </c>
      <c r="I5270" t="s">
        <v>526</v>
      </c>
      <c r="J5270" t="s">
        <v>525</v>
      </c>
      <c r="K5270" t="b">
        <v>0</v>
      </c>
      <c r="L5270">
        <v>2017</v>
      </c>
      <c r="M5270">
        <v>29391059767</v>
      </c>
      <c r="N5270">
        <v>695200833086</v>
      </c>
      <c r="O5270" t="b">
        <v>1</v>
      </c>
      <c r="P5270">
        <v>1</v>
      </c>
      <c r="Q5270" t="str" cm="1">
        <f t="array" ref="Q5270">_xlfn.IFS(Table1[[#This Row],[Wealthier_Winner]]=-1,"Wealthier Nation Loses",Table1[[#This Row],[Wealthier_Winner]]=0,"Tie",Table1[[#This Row],[Wealthier_Winner]]=1,"Wealthier Nation Wins")</f>
        <v>Wealthier Nation Wins</v>
      </c>
    </row>
    <row r="5271" spans="1:17" x14ac:dyDescent="0.2">
      <c r="A5271" s="1">
        <v>7691</v>
      </c>
      <c r="B5271" s="2">
        <v>42981</v>
      </c>
      <c r="C5271" s="7">
        <f>_xlfn.FLOOR.MATH(Table1[[#This Row],[year]],10)</f>
        <v>2010</v>
      </c>
      <c r="D5271" t="s">
        <v>27</v>
      </c>
      <c r="E5271" t="s">
        <v>33</v>
      </c>
      <c r="F5271">
        <v>3</v>
      </c>
      <c r="G5271">
        <v>1</v>
      </c>
      <c r="H5271" t="s">
        <v>224</v>
      </c>
      <c r="I5271" t="s">
        <v>263</v>
      </c>
      <c r="J5271" t="s">
        <v>27</v>
      </c>
      <c r="K5271" t="b">
        <v>0</v>
      </c>
      <c r="L5271">
        <v>2017</v>
      </c>
      <c r="M5271">
        <v>848233537845</v>
      </c>
      <c r="N5271">
        <v>59167647387</v>
      </c>
      <c r="O5271" t="b">
        <v>1</v>
      </c>
      <c r="P5271">
        <v>1</v>
      </c>
      <c r="Q5271" t="str" cm="1">
        <f t="array" ref="Q5271">_xlfn.IFS(Table1[[#This Row],[Wealthier_Winner]]=-1,"Wealthier Nation Loses",Table1[[#This Row],[Wealthier_Winner]]=0,"Tie",Table1[[#This Row],[Wealthier_Winner]]=1,"Wealthier Nation Wins")</f>
        <v>Wealthier Nation Wins</v>
      </c>
    </row>
    <row r="5272" spans="1:17" x14ac:dyDescent="0.2">
      <c r="A5272" s="1">
        <v>7692</v>
      </c>
      <c r="B5272" s="2">
        <v>42982</v>
      </c>
      <c r="C5272" s="7">
        <f>_xlfn.FLOOR.MATH(Table1[[#This Row],[year]],10)</f>
        <v>2010</v>
      </c>
      <c r="D5272" t="s">
        <v>519</v>
      </c>
      <c r="E5272" t="s">
        <v>36</v>
      </c>
      <c r="F5272">
        <v>1</v>
      </c>
      <c r="G5272">
        <v>4</v>
      </c>
      <c r="H5272" t="s">
        <v>224</v>
      </c>
      <c r="I5272" t="s">
        <v>520</v>
      </c>
      <c r="J5272" t="s">
        <v>519</v>
      </c>
      <c r="K5272" t="b">
        <v>0</v>
      </c>
      <c r="L5272">
        <v>2017</v>
      </c>
      <c r="M5272">
        <v>11527458709</v>
      </c>
      <c r="N5272">
        <v>331610593961</v>
      </c>
      <c r="O5272" t="b">
        <v>1</v>
      </c>
      <c r="P5272">
        <v>1</v>
      </c>
      <c r="Q5272" t="str" cm="1">
        <f t="array" ref="Q5272">_xlfn.IFS(Table1[[#This Row],[Wealthier_Winner]]=-1,"Wealthier Nation Loses",Table1[[#This Row],[Wealthier_Winner]]=0,"Tie",Table1[[#This Row],[Wealthier_Winner]]=1,"Wealthier Nation Wins")</f>
        <v>Wealthier Nation Wins</v>
      </c>
    </row>
    <row r="5273" spans="1:17" x14ac:dyDescent="0.2">
      <c r="A5273" s="1">
        <v>7693</v>
      </c>
      <c r="B5273" s="2">
        <v>42982</v>
      </c>
      <c r="C5273" s="7">
        <f>_xlfn.FLOOR.MATH(Table1[[#This Row],[year]],10)</f>
        <v>2010</v>
      </c>
      <c r="D5273" t="s">
        <v>513</v>
      </c>
      <c r="E5273" t="s">
        <v>549</v>
      </c>
      <c r="F5273">
        <v>5</v>
      </c>
      <c r="G5273">
        <v>1</v>
      </c>
      <c r="H5273" t="s">
        <v>224</v>
      </c>
      <c r="I5273" t="s">
        <v>521</v>
      </c>
      <c r="J5273" t="s">
        <v>513</v>
      </c>
      <c r="K5273" t="b">
        <v>0</v>
      </c>
      <c r="L5273">
        <v>2017</v>
      </c>
      <c r="M5273">
        <v>40866627351</v>
      </c>
      <c r="N5273">
        <v>1528620346</v>
      </c>
      <c r="O5273" t="b">
        <v>1</v>
      </c>
      <c r="P5273">
        <v>1</v>
      </c>
      <c r="Q5273" t="str" cm="1">
        <f t="array" ref="Q5273">_xlfn.IFS(Table1[[#This Row],[Wealthier_Winner]]=-1,"Wealthier Nation Loses",Table1[[#This Row],[Wealthier_Winner]]=0,"Tie",Table1[[#This Row],[Wealthier_Winner]]=1,"Wealthier Nation Wins")</f>
        <v>Wealthier Nation Wins</v>
      </c>
    </row>
    <row r="5274" spans="1:17" x14ac:dyDescent="0.2">
      <c r="A5274" s="1">
        <v>7694</v>
      </c>
      <c r="B5274" s="2">
        <v>42982</v>
      </c>
      <c r="C5274" s="7">
        <f>_xlfn.FLOOR.MATH(Table1[[#This Row],[year]],10)</f>
        <v>2010</v>
      </c>
      <c r="D5274" t="s">
        <v>40</v>
      </c>
      <c r="E5274" t="s">
        <v>43</v>
      </c>
      <c r="F5274">
        <v>1</v>
      </c>
      <c r="G5274">
        <v>1</v>
      </c>
      <c r="H5274" t="s">
        <v>224</v>
      </c>
      <c r="I5274" t="s">
        <v>371</v>
      </c>
      <c r="J5274" t="s">
        <v>40</v>
      </c>
      <c r="K5274" t="b">
        <v>0</v>
      </c>
      <c r="L5274">
        <v>2017</v>
      </c>
      <c r="M5274">
        <v>36098547033</v>
      </c>
      <c r="N5274">
        <v>375745731053</v>
      </c>
      <c r="O5274" t="b">
        <v>1</v>
      </c>
      <c r="P5274">
        <v>0</v>
      </c>
      <c r="Q5274" t="str" cm="1">
        <f t="array" ref="Q5274">_xlfn.IFS(Table1[[#This Row],[Wealthier_Winner]]=-1,"Wealthier Nation Loses",Table1[[#This Row],[Wealthier_Winner]]=0,"Tie",Table1[[#This Row],[Wealthier_Winner]]=1,"Wealthier Nation Wins")</f>
        <v>Tie</v>
      </c>
    </row>
    <row r="5275" spans="1:17" x14ac:dyDescent="0.2">
      <c r="A5275" s="1">
        <v>7696</v>
      </c>
      <c r="B5275" s="2">
        <v>42982</v>
      </c>
      <c r="C5275" s="7">
        <f>_xlfn.FLOOR.MATH(Table1[[#This Row],[year]],10)</f>
        <v>2010</v>
      </c>
      <c r="D5275" t="s">
        <v>16</v>
      </c>
      <c r="E5275" t="s">
        <v>42</v>
      </c>
      <c r="F5275">
        <v>6</v>
      </c>
      <c r="G5275">
        <v>0</v>
      </c>
      <c r="H5275" t="s">
        <v>224</v>
      </c>
      <c r="I5275" t="s">
        <v>90</v>
      </c>
      <c r="J5275" t="s">
        <v>16</v>
      </c>
      <c r="K5275" t="b">
        <v>0</v>
      </c>
      <c r="L5275">
        <v>2017</v>
      </c>
      <c r="M5275">
        <v>3765351626105</v>
      </c>
      <c r="N5275">
        <v>401745275035</v>
      </c>
      <c r="O5275" t="b">
        <v>1</v>
      </c>
      <c r="P5275">
        <v>1</v>
      </c>
      <c r="Q5275" t="str" cm="1">
        <f t="array" ref="Q5275">_xlfn.IFS(Table1[[#This Row],[Wealthier_Winner]]=-1,"Wealthier Nation Loses",Table1[[#This Row],[Wealthier_Winner]]=0,"Tie",Table1[[#This Row],[Wealthier_Winner]]=1,"Wealthier Nation Wins")</f>
        <v>Wealthier Nation Wins</v>
      </c>
    </row>
    <row r="5276" spans="1:17" x14ac:dyDescent="0.2">
      <c r="A5276" s="1">
        <v>7697</v>
      </c>
      <c r="B5276" s="2">
        <v>42982</v>
      </c>
      <c r="C5276" s="7">
        <f>_xlfn.FLOOR.MATH(Table1[[#This Row],[year]],10)</f>
        <v>2010</v>
      </c>
      <c r="D5276" t="s">
        <v>286</v>
      </c>
      <c r="E5276" t="s">
        <v>305</v>
      </c>
      <c r="F5276">
        <v>1</v>
      </c>
      <c r="G5276">
        <v>0</v>
      </c>
      <c r="H5276" t="s">
        <v>224</v>
      </c>
      <c r="I5276" t="s">
        <v>750</v>
      </c>
      <c r="J5276" t="s">
        <v>53</v>
      </c>
      <c r="K5276" t="b">
        <v>1</v>
      </c>
      <c r="L5276">
        <v>2017</v>
      </c>
      <c r="M5276">
        <v>67157452181</v>
      </c>
      <c r="N5276">
        <v>10324668271</v>
      </c>
      <c r="O5276" t="b">
        <v>1</v>
      </c>
      <c r="P5276">
        <v>1</v>
      </c>
      <c r="Q5276" t="str" cm="1">
        <f t="array" ref="Q5276">_xlfn.IFS(Table1[[#This Row],[Wealthier_Winner]]=-1,"Wealthier Nation Loses",Table1[[#This Row],[Wealthier_Winner]]=0,"Tie",Table1[[#This Row],[Wealthier_Winner]]=1,"Wealthier Nation Wins")</f>
        <v>Wealthier Nation Wins</v>
      </c>
    </row>
    <row r="5277" spans="1:17" x14ac:dyDescent="0.2">
      <c r="A5277" s="1">
        <v>7698</v>
      </c>
      <c r="B5277" s="2">
        <v>42982</v>
      </c>
      <c r="C5277" s="7">
        <f>_xlfn.FLOOR.MATH(Table1[[#This Row],[year]],10)</f>
        <v>2010</v>
      </c>
      <c r="D5277" t="s">
        <v>705</v>
      </c>
      <c r="E5277" t="s">
        <v>44</v>
      </c>
      <c r="F5277">
        <v>1</v>
      </c>
      <c r="G5277">
        <v>0</v>
      </c>
      <c r="H5277" t="s">
        <v>224</v>
      </c>
      <c r="I5277" t="s">
        <v>706</v>
      </c>
      <c r="J5277" t="s">
        <v>705</v>
      </c>
      <c r="K5277" t="b">
        <v>0</v>
      </c>
      <c r="L5277">
        <v>2017</v>
      </c>
      <c r="M5277">
        <v>4803962015</v>
      </c>
      <c r="N5277">
        <v>210147385855</v>
      </c>
      <c r="O5277" t="b">
        <v>1</v>
      </c>
      <c r="P5277">
        <v>-1</v>
      </c>
      <c r="Q5277" t="str" cm="1">
        <f t="array" ref="Q5277">_xlfn.IFS(Table1[[#This Row],[Wealthier_Winner]]=-1,"Wealthier Nation Loses",Table1[[#This Row],[Wealthier_Winner]]=0,"Tie",Table1[[#This Row],[Wealthier_Winner]]=1,"Wealthier Nation Wins")</f>
        <v>Wealthier Nation Loses</v>
      </c>
    </row>
    <row r="5278" spans="1:17" x14ac:dyDescent="0.2">
      <c r="A5278" s="1">
        <v>7700</v>
      </c>
      <c r="B5278" s="2">
        <v>42982</v>
      </c>
      <c r="C5278" s="7">
        <f>_xlfn.FLOOR.MATH(Table1[[#This Row],[year]],10)</f>
        <v>2010</v>
      </c>
      <c r="D5278" t="s">
        <v>58</v>
      </c>
      <c r="E5278" t="s">
        <v>558</v>
      </c>
      <c r="F5278">
        <v>3</v>
      </c>
      <c r="G5278">
        <v>0</v>
      </c>
      <c r="H5278" t="s">
        <v>224</v>
      </c>
      <c r="I5278" t="s">
        <v>619</v>
      </c>
      <c r="J5278" t="s">
        <v>58</v>
      </c>
      <c r="K5278" t="b">
        <v>0</v>
      </c>
      <c r="L5278">
        <v>2017</v>
      </c>
      <c r="M5278">
        <v>528356676667</v>
      </c>
      <c r="N5278">
        <v>166805788827</v>
      </c>
      <c r="O5278" t="b">
        <v>1</v>
      </c>
      <c r="P5278">
        <v>1</v>
      </c>
      <c r="Q5278" t="str" cm="1">
        <f t="array" ref="Q5278">_xlfn.IFS(Table1[[#This Row],[Wealthier_Winner]]=-1,"Wealthier Nation Loses",Table1[[#This Row],[Wealthier_Winner]]=0,"Tie",Table1[[#This Row],[Wealthier_Winner]]=1,"Wealthier Nation Wins")</f>
        <v>Wealthier Nation Wins</v>
      </c>
    </row>
    <row r="5279" spans="1:17" x14ac:dyDescent="0.2">
      <c r="A5279" s="1">
        <v>7702</v>
      </c>
      <c r="B5279" s="2">
        <v>42982</v>
      </c>
      <c r="C5279" s="7">
        <f>_xlfn.FLOOR.MATH(Table1[[#This Row],[year]],10)</f>
        <v>2010</v>
      </c>
      <c r="D5279" t="s">
        <v>55</v>
      </c>
      <c r="E5279" t="s">
        <v>523</v>
      </c>
      <c r="F5279">
        <v>4</v>
      </c>
      <c r="G5279">
        <v>0</v>
      </c>
      <c r="H5279" t="s">
        <v>224</v>
      </c>
      <c r="I5279" t="s">
        <v>529</v>
      </c>
      <c r="J5279" t="s">
        <v>55</v>
      </c>
      <c r="K5279" t="b">
        <v>0</v>
      </c>
      <c r="L5279">
        <v>2017</v>
      </c>
      <c r="M5279">
        <v>48153200134</v>
      </c>
      <c r="N5279">
        <v>47756764508</v>
      </c>
      <c r="O5279" t="b">
        <v>0</v>
      </c>
      <c r="P5279">
        <v>1</v>
      </c>
      <c r="Q5279" t="str" cm="1">
        <f t="array" ref="Q5279">_xlfn.IFS(Table1[[#This Row],[Wealthier_Winner]]=-1,"Wealthier Nation Loses",Table1[[#This Row],[Wealthier_Winner]]=0,"Tie",Table1[[#This Row],[Wealthier_Winner]]=1,"Wealthier Nation Wins")</f>
        <v>Wealthier Nation Wins</v>
      </c>
    </row>
    <row r="5280" spans="1:17" x14ac:dyDescent="0.2">
      <c r="A5280" s="1">
        <v>7703</v>
      </c>
      <c r="B5280" s="2">
        <v>42983</v>
      </c>
      <c r="C5280" s="7">
        <f>_xlfn.FLOOR.MATH(Table1[[#This Row],[year]],10)</f>
        <v>2010</v>
      </c>
      <c r="D5280" t="s">
        <v>32</v>
      </c>
      <c r="E5280" t="s">
        <v>273</v>
      </c>
      <c r="F5280">
        <v>0</v>
      </c>
      <c r="G5280">
        <v>1</v>
      </c>
      <c r="H5280" t="s">
        <v>224</v>
      </c>
      <c r="I5280" t="s">
        <v>380</v>
      </c>
      <c r="J5280" t="s">
        <v>32</v>
      </c>
      <c r="K5280" t="b">
        <v>0</v>
      </c>
      <c r="L5280">
        <v>2017</v>
      </c>
      <c r="M5280">
        <v>189880896903</v>
      </c>
      <c r="N5280">
        <v>25873601260</v>
      </c>
      <c r="O5280" t="b">
        <v>1</v>
      </c>
      <c r="P5280">
        <v>-1</v>
      </c>
      <c r="Q5280" t="str" cm="1">
        <f t="array" ref="Q5280">_xlfn.IFS(Table1[[#This Row],[Wealthier_Winner]]=-1,"Wealthier Nation Loses",Table1[[#This Row],[Wealthier_Winner]]=0,"Tie",Table1[[#This Row],[Wealthier_Winner]]=1,"Wealthier Nation Wins")</f>
        <v>Wealthier Nation Loses</v>
      </c>
    </row>
    <row r="5281" spans="1:17" x14ac:dyDescent="0.2">
      <c r="A5281" s="1">
        <v>7704</v>
      </c>
      <c r="B5281" s="2">
        <v>42983</v>
      </c>
      <c r="C5281" s="7">
        <f>_xlfn.FLOOR.MATH(Table1[[#This Row],[year]],10)</f>
        <v>2010</v>
      </c>
      <c r="D5281" t="s">
        <v>19</v>
      </c>
      <c r="E5281" t="s">
        <v>258</v>
      </c>
      <c r="F5281">
        <v>1</v>
      </c>
      <c r="G5281">
        <v>1</v>
      </c>
      <c r="H5281" t="s">
        <v>224</v>
      </c>
      <c r="I5281" t="s">
        <v>93</v>
      </c>
      <c r="J5281" t="s">
        <v>19</v>
      </c>
      <c r="K5281" t="b">
        <v>0</v>
      </c>
      <c r="L5281">
        <v>2017</v>
      </c>
      <c r="M5281">
        <v>643628393281</v>
      </c>
      <c r="N5281">
        <v>115883275162</v>
      </c>
      <c r="O5281" t="b">
        <v>1</v>
      </c>
      <c r="P5281">
        <v>0</v>
      </c>
      <c r="Q5281" t="str" cm="1">
        <f t="array" ref="Q5281">_xlfn.IFS(Table1[[#This Row],[Wealthier_Winner]]=-1,"Wealthier Nation Loses",Table1[[#This Row],[Wealthier_Winner]]=0,"Tie",Table1[[#This Row],[Wealthier_Winner]]=1,"Wealthier Nation Wins")</f>
        <v>Tie</v>
      </c>
    </row>
    <row r="5282" spans="1:17" x14ac:dyDescent="0.2">
      <c r="A5282" s="1">
        <v>7705</v>
      </c>
      <c r="B5282" s="2">
        <v>42983</v>
      </c>
      <c r="C5282" s="7">
        <f>_xlfn.FLOOR.MATH(Table1[[#This Row],[year]],10)</f>
        <v>2010</v>
      </c>
      <c r="D5282" t="s">
        <v>28</v>
      </c>
      <c r="E5282" t="s">
        <v>334</v>
      </c>
      <c r="F5282">
        <v>2</v>
      </c>
      <c r="G5282">
        <v>1</v>
      </c>
      <c r="H5282" t="s">
        <v>224</v>
      </c>
      <c r="I5282" t="s">
        <v>329</v>
      </c>
      <c r="J5282" t="s">
        <v>28</v>
      </c>
      <c r="K5282" t="b">
        <v>0</v>
      </c>
      <c r="L5282">
        <v>2017</v>
      </c>
      <c r="M5282">
        <v>1330890554614</v>
      </c>
      <c r="N5282">
        <v>456356813536</v>
      </c>
      <c r="O5282" t="b">
        <v>1</v>
      </c>
      <c r="P5282">
        <v>1</v>
      </c>
      <c r="Q5282" t="str" cm="1">
        <f t="array" ref="Q5282">_xlfn.IFS(Table1[[#This Row],[Wealthier_Winner]]=-1,"Wealthier Nation Loses",Table1[[#This Row],[Wealthier_Winner]]=0,"Tie",Table1[[#This Row],[Wealthier_Winner]]=1,"Wealthier Nation Wins")</f>
        <v>Wealthier Nation Wins</v>
      </c>
    </row>
    <row r="5283" spans="1:17" x14ac:dyDescent="0.2">
      <c r="A5283" s="1">
        <v>7706</v>
      </c>
      <c r="B5283" s="2">
        <v>42983</v>
      </c>
      <c r="C5283" s="7">
        <f>_xlfn.FLOOR.MATH(Table1[[#This Row],[year]],10)</f>
        <v>2010</v>
      </c>
      <c r="D5283" t="s">
        <v>29</v>
      </c>
      <c r="E5283" t="s">
        <v>534</v>
      </c>
      <c r="F5283">
        <v>1</v>
      </c>
      <c r="G5283">
        <v>1</v>
      </c>
      <c r="H5283" t="s">
        <v>224</v>
      </c>
      <c r="I5283" t="s">
        <v>270</v>
      </c>
      <c r="J5283" t="s">
        <v>29</v>
      </c>
      <c r="K5283" t="b">
        <v>0</v>
      </c>
      <c r="L5283">
        <v>2017</v>
      </c>
      <c r="M5283">
        <v>414926138132</v>
      </c>
      <c r="N5283">
        <v>16473125375</v>
      </c>
      <c r="O5283" t="b">
        <v>1</v>
      </c>
      <c r="P5283">
        <v>0</v>
      </c>
      <c r="Q5283" t="str" cm="1">
        <f t="array" ref="Q5283">_xlfn.IFS(Table1[[#This Row],[Wealthier_Winner]]=-1,"Wealthier Nation Loses",Table1[[#This Row],[Wealthier_Winner]]=0,"Tie",Table1[[#This Row],[Wealthier_Winner]]=1,"Wealthier Nation Wins")</f>
        <v>Tie</v>
      </c>
    </row>
    <row r="5284" spans="1:17" x14ac:dyDescent="0.2">
      <c r="A5284" s="1">
        <v>7707</v>
      </c>
      <c r="B5284" s="2">
        <v>42983</v>
      </c>
      <c r="C5284" s="7">
        <f>_xlfn.FLOOR.MATH(Table1[[#This Row],[year]],10)</f>
        <v>2010</v>
      </c>
      <c r="D5284" t="s">
        <v>47</v>
      </c>
      <c r="E5284" t="s">
        <v>14</v>
      </c>
      <c r="F5284">
        <v>1</v>
      </c>
      <c r="G5284">
        <v>0</v>
      </c>
      <c r="H5284" t="s">
        <v>224</v>
      </c>
      <c r="I5284" t="s">
        <v>246</v>
      </c>
      <c r="J5284" t="s">
        <v>47</v>
      </c>
      <c r="K5284" t="b">
        <v>0</v>
      </c>
      <c r="L5284">
        <v>2017</v>
      </c>
      <c r="M5284">
        <v>45927439594</v>
      </c>
      <c r="N5284">
        <v>276154259981</v>
      </c>
      <c r="O5284" t="b">
        <v>1</v>
      </c>
      <c r="P5284">
        <v>-1</v>
      </c>
      <c r="Q5284" t="str" cm="1">
        <f t="array" ref="Q5284">_xlfn.IFS(Table1[[#This Row],[Wealthier_Winner]]=-1,"Wealthier Nation Loses",Table1[[#This Row],[Wealthier_Winner]]=0,"Tie",Table1[[#This Row],[Wealthier_Winner]]=1,"Wealthier Nation Wins")</f>
        <v>Wealthier Nation Loses</v>
      </c>
    </row>
    <row r="5285" spans="1:17" x14ac:dyDescent="0.2">
      <c r="A5285" s="1">
        <v>7708</v>
      </c>
      <c r="B5285" s="2">
        <v>42983</v>
      </c>
      <c r="C5285" s="7">
        <f>_xlfn.FLOOR.MATH(Table1[[#This Row],[year]],10)</f>
        <v>2010</v>
      </c>
      <c r="D5285" t="s">
        <v>345</v>
      </c>
      <c r="E5285" t="s">
        <v>54</v>
      </c>
      <c r="F5285">
        <v>2</v>
      </c>
      <c r="G5285">
        <v>2</v>
      </c>
      <c r="H5285" t="s">
        <v>224</v>
      </c>
      <c r="I5285" t="s">
        <v>347</v>
      </c>
      <c r="J5285" t="s">
        <v>345</v>
      </c>
      <c r="K5285" t="b">
        <v>0</v>
      </c>
      <c r="L5285">
        <v>2017</v>
      </c>
      <c r="M5285">
        <v>14106955615</v>
      </c>
      <c r="N5285">
        <v>20996562943</v>
      </c>
      <c r="O5285" t="b">
        <v>0</v>
      </c>
      <c r="P5285">
        <v>0</v>
      </c>
      <c r="Q5285" t="str" cm="1">
        <f t="array" ref="Q5285">_xlfn.IFS(Table1[[#This Row],[Wealthier_Winner]]=-1,"Wealthier Nation Loses",Table1[[#This Row],[Wealthier_Winner]]=0,"Tie",Table1[[#This Row],[Wealthier_Winner]]=1,"Wealthier Nation Wins")</f>
        <v>Tie</v>
      </c>
    </row>
    <row r="5286" spans="1:17" x14ac:dyDescent="0.2">
      <c r="A5286" s="1">
        <v>7709</v>
      </c>
      <c r="B5286" s="2">
        <v>42983</v>
      </c>
      <c r="C5286" s="7">
        <f>_xlfn.FLOOR.MATH(Table1[[#This Row],[year]],10)</f>
        <v>2010</v>
      </c>
      <c r="D5286" t="s">
        <v>15</v>
      </c>
      <c r="E5286" t="s">
        <v>13</v>
      </c>
      <c r="F5286">
        <v>1</v>
      </c>
      <c r="G5286">
        <v>1</v>
      </c>
      <c r="H5286" t="s">
        <v>224</v>
      </c>
      <c r="I5286" t="s">
        <v>261</v>
      </c>
      <c r="J5286" t="s">
        <v>15</v>
      </c>
      <c r="K5286" t="b">
        <v>0</v>
      </c>
      <c r="L5286">
        <v>2017</v>
      </c>
      <c r="M5286">
        <v>311866875156</v>
      </c>
      <c r="N5286">
        <v>2063514688805</v>
      </c>
      <c r="O5286" t="b">
        <v>1</v>
      </c>
      <c r="P5286">
        <v>0</v>
      </c>
      <c r="Q5286" t="str" cm="1">
        <f t="array" ref="Q5286">_xlfn.IFS(Table1[[#This Row],[Wealthier_Winner]]=-1,"Wealthier Nation Loses",Table1[[#This Row],[Wealthier_Winner]]=0,"Tie",Table1[[#This Row],[Wealthier_Winner]]=1,"Wealthier Nation Wins")</f>
        <v>Tie</v>
      </c>
    </row>
    <row r="5287" spans="1:17" x14ac:dyDescent="0.2">
      <c r="A5287" s="1">
        <v>7712</v>
      </c>
      <c r="B5287" s="2">
        <v>42983</v>
      </c>
      <c r="C5287" s="7">
        <f>_xlfn.FLOOR.MATH(Table1[[#This Row],[year]],10)</f>
        <v>2010</v>
      </c>
      <c r="D5287" t="s">
        <v>56</v>
      </c>
      <c r="E5287" t="s">
        <v>17</v>
      </c>
      <c r="F5287">
        <v>1</v>
      </c>
      <c r="G5287">
        <v>1</v>
      </c>
      <c r="H5287" t="s">
        <v>224</v>
      </c>
      <c r="I5287" t="s">
        <v>225</v>
      </c>
      <c r="J5287" t="s">
        <v>56</v>
      </c>
      <c r="K5287" t="b">
        <v>0</v>
      </c>
      <c r="L5287">
        <v>2017</v>
      </c>
      <c r="M5287">
        <v>60516044656</v>
      </c>
      <c r="N5287">
        <v>1190721475906</v>
      </c>
      <c r="O5287" t="b">
        <v>1</v>
      </c>
      <c r="P5287">
        <v>0</v>
      </c>
      <c r="Q5287" t="str" cm="1">
        <f t="array" ref="Q5287">_xlfn.IFS(Table1[[#This Row],[Wealthier_Winner]]=-1,"Wealthier Nation Loses",Table1[[#This Row],[Wealthier_Winner]]=0,"Tie",Table1[[#This Row],[Wealthier_Winner]]=1,"Wealthier Nation Wins")</f>
        <v>Tie</v>
      </c>
    </row>
    <row r="5288" spans="1:17" x14ac:dyDescent="0.2">
      <c r="A5288" s="1">
        <v>7713</v>
      </c>
      <c r="B5288" s="2">
        <v>42983</v>
      </c>
      <c r="C5288" s="7">
        <f>_xlfn.FLOOR.MATH(Table1[[#This Row],[year]],10)</f>
        <v>2010</v>
      </c>
      <c r="D5288" t="s">
        <v>57</v>
      </c>
      <c r="E5288" t="s">
        <v>31</v>
      </c>
      <c r="F5288">
        <v>1</v>
      </c>
      <c r="G5288">
        <v>2</v>
      </c>
      <c r="H5288" t="s">
        <v>224</v>
      </c>
      <c r="I5288" t="s">
        <v>335</v>
      </c>
      <c r="J5288" t="s">
        <v>57</v>
      </c>
      <c r="K5288" t="b">
        <v>0</v>
      </c>
      <c r="L5288">
        <v>2017</v>
      </c>
      <c r="M5288">
        <v>104467486000</v>
      </c>
      <c r="N5288">
        <v>211007984080</v>
      </c>
      <c r="O5288" t="b">
        <v>1</v>
      </c>
      <c r="P5288">
        <v>1</v>
      </c>
      <c r="Q5288" t="str" cm="1">
        <f t="array" ref="Q5288">_xlfn.IFS(Table1[[#This Row],[Wealthier_Winner]]=-1,"Wealthier Nation Loses",Table1[[#This Row],[Wealthier_Winner]]=0,"Tie",Table1[[#This Row],[Wealthier_Winner]]=1,"Wealthier Nation Wins")</f>
        <v>Wealthier Nation Wins</v>
      </c>
    </row>
    <row r="5289" spans="1:17" x14ac:dyDescent="0.2">
      <c r="A5289" s="1">
        <v>7714</v>
      </c>
      <c r="B5289" s="2">
        <v>42983</v>
      </c>
      <c r="C5289" s="7">
        <f>_xlfn.FLOOR.MATH(Table1[[#This Row],[year]],10)</f>
        <v>2010</v>
      </c>
      <c r="D5289" t="s">
        <v>212</v>
      </c>
      <c r="E5289" t="s">
        <v>357</v>
      </c>
      <c r="F5289">
        <v>1</v>
      </c>
      <c r="G5289">
        <v>0</v>
      </c>
      <c r="H5289" t="s">
        <v>224</v>
      </c>
      <c r="I5289" t="s">
        <v>594</v>
      </c>
      <c r="J5289" t="s">
        <v>212</v>
      </c>
      <c r="K5289" t="b">
        <v>0</v>
      </c>
      <c r="L5289">
        <v>2017</v>
      </c>
      <c r="M5289">
        <v>248362771739</v>
      </c>
      <c r="N5289">
        <v>30744473841</v>
      </c>
      <c r="O5289" t="b">
        <v>1</v>
      </c>
      <c r="P5289">
        <v>1</v>
      </c>
      <c r="Q5289" t="str" cm="1">
        <f t="array" ref="Q5289">_xlfn.IFS(Table1[[#This Row],[Wealthier_Winner]]=-1,"Wealthier Nation Loses",Table1[[#This Row],[Wealthier_Winner]]=0,"Tie",Table1[[#This Row],[Wealthier_Winner]]=1,"Wealthier Nation Wins")</f>
        <v>Wealthier Nation Wins</v>
      </c>
    </row>
    <row r="5290" spans="1:17" x14ac:dyDescent="0.2">
      <c r="A5290" s="1">
        <v>7715</v>
      </c>
      <c r="B5290" s="2">
        <v>42983</v>
      </c>
      <c r="C5290" s="7">
        <f>_xlfn.FLOOR.MATH(Table1[[#This Row],[year]],10)</f>
        <v>2010</v>
      </c>
      <c r="D5290" t="s">
        <v>65</v>
      </c>
      <c r="E5290" t="s">
        <v>41</v>
      </c>
      <c r="F5290">
        <v>1</v>
      </c>
      <c r="G5290">
        <v>1</v>
      </c>
      <c r="H5290" t="s">
        <v>224</v>
      </c>
      <c r="I5290" t="s">
        <v>254</v>
      </c>
      <c r="J5290" t="s">
        <v>65</v>
      </c>
      <c r="K5290" t="b">
        <v>0</v>
      </c>
      <c r="L5290">
        <v>2017</v>
      </c>
      <c r="M5290">
        <v>23136247990</v>
      </c>
      <c r="N5290">
        <v>19477336549000</v>
      </c>
      <c r="O5290" t="b">
        <v>1</v>
      </c>
      <c r="P5290">
        <v>0</v>
      </c>
      <c r="Q5290" t="str" cm="1">
        <f t="array" ref="Q5290">_xlfn.IFS(Table1[[#This Row],[Wealthier_Winner]]=-1,"Wealthier Nation Loses",Table1[[#This Row],[Wealthier_Winner]]=0,"Tie",Table1[[#This Row],[Wealthier_Winner]]=1,"Wealthier Nation Wins")</f>
        <v>Tie</v>
      </c>
    </row>
    <row r="5291" spans="1:17" x14ac:dyDescent="0.2">
      <c r="A5291" s="1">
        <v>7716</v>
      </c>
      <c r="B5291" s="2">
        <v>42983</v>
      </c>
      <c r="C5291" s="7">
        <f>_xlfn.FLOOR.MATH(Table1[[#This Row],[year]],10)</f>
        <v>2010</v>
      </c>
      <c r="D5291" t="s">
        <v>66</v>
      </c>
      <c r="E5291" t="s">
        <v>64</v>
      </c>
      <c r="F5291">
        <v>2</v>
      </c>
      <c r="G5291">
        <v>0</v>
      </c>
      <c r="H5291" t="s">
        <v>224</v>
      </c>
      <c r="I5291" t="s">
        <v>336</v>
      </c>
      <c r="J5291" t="s">
        <v>66</v>
      </c>
      <c r="K5291" t="b">
        <v>0</v>
      </c>
      <c r="L5291">
        <v>2017</v>
      </c>
      <c r="M5291">
        <v>25060086487</v>
      </c>
      <c r="N5291">
        <v>112090505081</v>
      </c>
      <c r="O5291" t="b">
        <v>1</v>
      </c>
      <c r="P5291">
        <v>-1</v>
      </c>
      <c r="Q5291" t="str" cm="1">
        <f t="array" ref="Q5291">_xlfn.IFS(Table1[[#This Row],[Wealthier_Winner]]=-1,"Wealthier Nation Loses",Table1[[#This Row],[Wealthier_Winner]]=0,"Tie",Table1[[#This Row],[Wealthier_Winner]]=1,"Wealthier Nation Wins")</f>
        <v>Wealthier Nation Loses</v>
      </c>
    </row>
    <row r="5292" spans="1:17" x14ac:dyDescent="0.2">
      <c r="A5292" s="1">
        <v>7717</v>
      </c>
      <c r="B5292" s="2">
        <v>42983</v>
      </c>
      <c r="C5292" s="7">
        <f>_xlfn.FLOOR.MATH(Table1[[#This Row],[year]],10)</f>
        <v>2010</v>
      </c>
      <c r="D5292" t="s">
        <v>210</v>
      </c>
      <c r="E5292" t="s">
        <v>331</v>
      </c>
      <c r="F5292">
        <v>2</v>
      </c>
      <c r="G5292">
        <v>2</v>
      </c>
      <c r="H5292" t="s">
        <v>224</v>
      </c>
      <c r="I5292" t="s">
        <v>332</v>
      </c>
      <c r="J5292" t="s">
        <v>210</v>
      </c>
      <c r="K5292" t="b">
        <v>0</v>
      </c>
      <c r="L5292">
        <v>2017</v>
      </c>
      <c r="M5292">
        <v>510239893417</v>
      </c>
      <c r="N5292">
        <v>16369843352</v>
      </c>
      <c r="O5292" t="b">
        <v>1</v>
      </c>
      <c r="P5292">
        <v>0</v>
      </c>
      <c r="Q5292" t="str" cm="1">
        <f t="array" ref="Q5292">_xlfn.IFS(Table1[[#This Row],[Wealthier_Winner]]=-1,"Wealthier Nation Loses",Table1[[#This Row],[Wealthier_Winner]]=0,"Tie",Table1[[#This Row],[Wealthier_Winner]]=1,"Wealthier Nation Wins")</f>
        <v>Tie</v>
      </c>
    </row>
    <row r="5293" spans="1:17" x14ac:dyDescent="0.2">
      <c r="A5293" s="1">
        <v>7718</v>
      </c>
      <c r="B5293" s="2">
        <v>42983</v>
      </c>
      <c r="C5293" s="7">
        <f>_xlfn.FLOOR.MATH(Table1[[#This Row],[year]],10)</f>
        <v>2010</v>
      </c>
      <c r="D5293" t="s">
        <v>37</v>
      </c>
      <c r="E5293" t="s">
        <v>39</v>
      </c>
      <c r="F5293">
        <v>1</v>
      </c>
      <c r="G5293">
        <v>0</v>
      </c>
      <c r="H5293" t="s">
        <v>224</v>
      </c>
      <c r="I5293" t="s">
        <v>404</v>
      </c>
      <c r="J5293" t="s">
        <v>403</v>
      </c>
      <c r="K5293" t="b">
        <v>1</v>
      </c>
      <c r="L5293">
        <v>2017</v>
      </c>
      <c r="M5293">
        <v>187217660050</v>
      </c>
      <c r="N5293">
        <v>403365010211</v>
      </c>
      <c r="O5293" t="b">
        <v>1</v>
      </c>
      <c r="P5293">
        <v>-1</v>
      </c>
      <c r="Q5293" t="str" cm="1">
        <f t="array" ref="Q5293">_xlfn.IFS(Table1[[#This Row],[Wealthier_Winner]]=-1,"Wealthier Nation Loses",Table1[[#This Row],[Wealthier_Winner]]=0,"Tie",Table1[[#This Row],[Wealthier_Winner]]=1,"Wealthier Nation Wins")</f>
        <v>Wealthier Nation Loses</v>
      </c>
    </row>
    <row r="5294" spans="1:17" x14ac:dyDescent="0.2">
      <c r="A5294" s="1">
        <v>7720</v>
      </c>
      <c r="B5294" s="2">
        <v>42983</v>
      </c>
      <c r="C5294" s="7">
        <f>_xlfn.FLOOR.MATH(Table1[[#This Row],[year]],10)</f>
        <v>2010</v>
      </c>
      <c r="D5294" t="s">
        <v>18</v>
      </c>
      <c r="E5294" t="s">
        <v>22</v>
      </c>
      <c r="F5294">
        <v>1</v>
      </c>
      <c r="G5294">
        <v>0</v>
      </c>
      <c r="H5294" t="s">
        <v>224</v>
      </c>
      <c r="I5294" t="s">
        <v>822</v>
      </c>
      <c r="J5294" t="s">
        <v>18</v>
      </c>
      <c r="K5294" t="b">
        <v>0</v>
      </c>
      <c r="L5294">
        <v>2017</v>
      </c>
      <c r="M5294">
        <v>1970720904584</v>
      </c>
      <c r="N5294">
        <v>358451839052</v>
      </c>
      <c r="O5294" t="b">
        <v>1</v>
      </c>
      <c r="P5294">
        <v>1</v>
      </c>
      <c r="Q5294" t="str" cm="1">
        <f t="array" ref="Q5294">_xlfn.IFS(Table1[[#This Row],[Wealthier_Winner]]=-1,"Wealthier Nation Loses",Table1[[#This Row],[Wealthier_Winner]]=0,"Tie",Table1[[#This Row],[Wealthier_Winner]]=1,"Wealthier Nation Wins")</f>
        <v>Wealthier Nation Wins</v>
      </c>
    </row>
    <row r="5295" spans="1:17" x14ac:dyDescent="0.2">
      <c r="A5295" s="1">
        <v>7722</v>
      </c>
      <c r="B5295" s="2">
        <v>42983</v>
      </c>
      <c r="C5295" s="7">
        <f>_xlfn.FLOOR.MATH(Table1[[#This Row],[year]],10)</f>
        <v>2010</v>
      </c>
      <c r="D5295" t="s">
        <v>803</v>
      </c>
      <c r="E5295" t="s">
        <v>230</v>
      </c>
      <c r="F5295">
        <v>0</v>
      </c>
      <c r="G5295">
        <v>1</v>
      </c>
      <c r="H5295" t="s">
        <v>224</v>
      </c>
      <c r="I5295" t="s">
        <v>802</v>
      </c>
      <c r="J5295" t="s">
        <v>373</v>
      </c>
      <c r="K5295" t="b">
        <v>1</v>
      </c>
      <c r="L5295">
        <v>2017</v>
      </c>
      <c r="M5295">
        <v>7180768692</v>
      </c>
      <c r="N5295">
        <v>253846138440</v>
      </c>
      <c r="O5295" t="b">
        <v>1</v>
      </c>
      <c r="P5295">
        <v>1</v>
      </c>
      <c r="Q5295" t="str" cm="1">
        <f t="array" ref="Q5295">_xlfn.IFS(Table1[[#This Row],[Wealthier_Winner]]=-1,"Wealthier Nation Loses",Table1[[#This Row],[Wealthier_Winner]]=0,"Tie",Table1[[#This Row],[Wealthier_Winner]]=1,"Wealthier Nation Wins")</f>
        <v>Wealthier Nation Wins</v>
      </c>
    </row>
    <row r="5296" spans="1:17" x14ac:dyDescent="0.2">
      <c r="A5296" s="1">
        <v>7723</v>
      </c>
      <c r="B5296" s="2">
        <v>42983</v>
      </c>
      <c r="C5296" s="7">
        <f>_xlfn.FLOOR.MATH(Table1[[#This Row],[year]],10)</f>
        <v>2010</v>
      </c>
      <c r="D5296" t="s">
        <v>503</v>
      </c>
      <c r="E5296" t="s">
        <v>21</v>
      </c>
      <c r="F5296">
        <v>0</v>
      </c>
      <c r="G5296">
        <v>8</v>
      </c>
      <c r="H5296" t="s">
        <v>224</v>
      </c>
      <c r="I5296" t="s">
        <v>603</v>
      </c>
      <c r="J5296" t="s">
        <v>503</v>
      </c>
      <c r="K5296" t="b">
        <v>0</v>
      </c>
      <c r="L5296">
        <v>2017</v>
      </c>
      <c r="M5296">
        <v>6474308717</v>
      </c>
      <c r="N5296">
        <v>1321754088818</v>
      </c>
      <c r="O5296" t="b">
        <v>1</v>
      </c>
      <c r="P5296">
        <v>1</v>
      </c>
      <c r="Q5296" t="str" cm="1">
        <f t="array" ref="Q5296">_xlfn.IFS(Table1[[#This Row],[Wealthier_Winner]]=-1,"Wealthier Nation Loses",Table1[[#This Row],[Wealthier_Winner]]=0,"Tie",Table1[[#This Row],[Wealthier_Winner]]=1,"Wealthier Nation Wins")</f>
        <v>Wealthier Nation Wins</v>
      </c>
    </row>
    <row r="5297" spans="1:17" x14ac:dyDescent="0.2">
      <c r="A5297" s="1">
        <v>7724</v>
      </c>
      <c r="B5297" s="2">
        <v>42983</v>
      </c>
      <c r="C5297" s="7">
        <f>_xlfn.FLOOR.MATH(Table1[[#This Row],[year]],10)</f>
        <v>2010</v>
      </c>
      <c r="D5297" t="s">
        <v>502</v>
      </c>
      <c r="E5297" t="s">
        <v>373</v>
      </c>
      <c r="F5297">
        <v>1</v>
      </c>
      <c r="G5297">
        <v>1</v>
      </c>
      <c r="H5297" t="s">
        <v>224</v>
      </c>
      <c r="I5297" t="s">
        <v>823</v>
      </c>
      <c r="J5297" t="s">
        <v>502</v>
      </c>
      <c r="K5297" t="b">
        <v>0</v>
      </c>
      <c r="L5297">
        <v>2017</v>
      </c>
      <c r="M5297">
        <v>11307067069</v>
      </c>
      <c r="N5297">
        <v>13258268435</v>
      </c>
      <c r="O5297" t="b">
        <v>0</v>
      </c>
      <c r="P5297">
        <v>0</v>
      </c>
      <c r="Q5297" t="str" cm="1">
        <f t="array" ref="Q5297">_xlfn.IFS(Table1[[#This Row],[Wealthier_Winner]]=-1,"Wealthier Nation Loses",Table1[[#This Row],[Wealthier_Winner]]=0,"Tie",Table1[[#This Row],[Wealthier_Winner]]=1,"Wealthier Nation Wins")</f>
        <v>Tie</v>
      </c>
    </row>
    <row r="5298" spans="1:17" x14ac:dyDescent="0.2">
      <c r="A5298" s="1">
        <v>7725</v>
      </c>
      <c r="B5298" s="2">
        <v>42983</v>
      </c>
      <c r="C5298" s="7">
        <f>_xlfn.FLOOR.MATH(Table1[[#This Row],[year]],10)</f>
        <v>2010</v>
      </c>
      <c r="D5298" t="s">
        <v>590</v>
      </c>
      <c r="E5298" t="s">
        <v>24</v>
      </c>
      <c r="F5298">
        <v>0</v>
      </c>
      <c r="G5298">
        <v>0</v>
      </c>
      <c r="H5298" t="s">
        <v>224</v>
      </c>
      <c r="I5298" t="s">
        <v>596</v>
      </c>
      <c r="J5298" t="s">
        <v>590</v>
      </c>
      <c r="K5298" t="b">
        <v>0</v>
      </c>
      <c r="L5298">
        <v>2017</v>
      </c>
      <c r="M5298">
        <v>18308362040</v>
      </c>
      <c r="N5298">
        <v>118540573367</v>
      </c>
      <c r="O5298" t="b">
        <v>1</v>
      </c>
      <c r="P5298">
        <v>0</v>
      </c>
      <c r="Q5298" t="str" cm="1">
        <f t="array" ref="Q5298">_xlfn.IFS(Table1[[#This Row],[Wealthier_Winner]]=-1,"Wealthier Nation Loses",Table1[[#This Row],[Wealthier_Winner]]=0,"Tie",Table1[[#This Row],[Wealthier_Winner]]=1,"Wealthier Nation Wins")</f>
        <v>Tie</v>
      </c>
    </row>
    <row r="5299" spans="1:17" x14ac:dyDescent="0.2">
      <c r="A5299" s="1">
        <v>7727</v>
      </c>
      <c r="B5299" s="2">
        <v>42983</v>
      </c>
      <c r="C5299" s="7">
        <f>_xlfn.FLOOR.MATH(Table1[[#This Row],[year]],10)</f>
        <v>2010</v>
      </c>
      <c r="D5299" t="s">
        <v>67</v>
      </c>
      <c r="E5299" t="s">
        <v>59</v>
      </c>
      <c r="F5299">
        <v>3</v>
      </c>
      <c r="G5299">
        <v>0</v>
      </c>
      <c r="H5299" t="s">
        <v>224</v>
      </c>
      <c r="I5299" t="s">
        <v>455</v>
      </c>
      <c r="J5299" t="s">
        <v>67</v>
      </c>
      <c r="K5299" t="b">
        <v>0</v>
      </c>
      <c r="L5299">
        <v>2017</v>
      </c>
      <c r="M5299">
        <v>64327688826</v>
      </c>
      <c r="N5299">
        <v>23830750900</v>
      </c>
      <c r="O5299" t="b">
        <v>1</v>
      </c>
      <c r="P5299">
        <v>1</v>
      </c>
      <c r="Q5299" t="str" cm="1">
        <f t="array" ref="Q5299">_xlfn.IFS(Table1[[#This Row],[Wealthier_Winner]]=-1,"Wealthier Nation Loses",Table1[[#This Row],[Wealthier_Winner]]=0,"Tie",Table1[[#This Row],[Wealthier_Winner]]=1,"Wealthier Nation Wins")</f>
        <v>Wealthier Nation Wins</v>
      </c>
    </row>
    <row r="5300" spans="1:17" x14ac:dyDescent="0.2">
      <c r="A5300" s="1">
        <v>7728</v>
      </c>
      <c r="B5300" s="2">
        <v>42983</v>
      </c>
      <c r="C5300" s="7">
        <f>_xlfn.FLOOR.MATH(Table1[[#This Row],[year]],10)</f>
        <v>2010</v>
      </c>
      <c r="D5300" t="s">
        <v>35</v>
      </c>
      <c r="E5300" t="s">
        <v>26</v>
      </c>
      <c r="F5300">
        <v>1</v>
      </c>
      <c r="G5300">
        <v>2</v>
      </c>
      <c r="H5300" t="s">
        <v>224</v>
      </c>
      <c r="I5300" t="s">
        <v>250</v>
      </c>
      <c r="J5300" t="s">
        <v>35</v>
      </c>
      <c r="K5300" t="b">
        <v>0</v>
      </c>
      <c r="L5300">
        <v>2017</v>
      </c>
      <c r="M5300">
        <v>38997129473</v>
      </c>
      <c r="N5300">
        <v>65005997963</v>
      </c>
      <c r="O5300" t="b">
        <v>0</v>
      </c>
      <c r="P5300">
        <v>1</v>
      </c>
      <c r="Q5300" t="str" cm="1">
        <f t="array" ref="Q5300">_xlfn.IFS(Table1[[#This Row],[Wealthier_Winner]]=-1,"Wealthier Nation Loses",Table1[[#This Row],[Wealthier_Winner]]=0,"Tie",Table1[[#This Row],[Wealthier_Winner]]=1,"Wealthier Nation Wins")</f>
        <v>Wealthier Nation Wins</v>
      </c>
    </row>
    <row r="5301" spans="1:17" x14ac:dyDescent="0.2">
      <c r="A5301" s="1">
        <v>7730</v>
      </c>
      <c r="B5301" s="2">
        <v>42983</v>
      </c>
      <c r="C5301" s="7">
        <f>_xlfn.FLOOR.MATH(Table1[[#This Row],[year]],10)</f>
        <v>2010</v>
      </c>
      <c r="D5301" t="s">
        <v>45</v>
      </c>
      <c r="E5301" t="s">
        <v>51</v>
      </c>
      <c r="F5301">
        <v>1</v>
      </c>
      <c r="G5301">
        <v>0</v>
      </c>
      <c r="H5301" t="s">
        <v>224</v>
      </c>
      <c r="I5301" t="s">
        <v>354</v>
      </c>
      <c r="J5301" t="s">
        <v>45</v>
      </c>
      <c r="K5301" t="b">
        <v>0</v>
      </c>
      <c r="L5301">
        <v>2017</v>
      </c>
      <c r="M5301">
        <v>741266133333</v>
      </c>
      <c r="N5301">
        <v>4930837369151</v>
      </c>
      <c r="O5301" t="b">
        <v>1</v>
      </c>
      <c r="P5301">
        <v>-1</v>
      </c>
      <c r="Q5301" t="str" cm="1">
        <f t="array" ref="Q5301">_xlfn.IFS(Table1[[#This Row],[Wealthier_Winner]]=-1,"Wealthier Nation Loses",Table1[[#This Row],[Wealthier_Winner]]=0,"Tie",Table1[[#This Row],[Wealthier_Winner]]=1,"Wealthier Nation Wins")</f>
        <v>Wealthier Nation Loses</v>
      </c>
    </row>
    <row r="5302" spans="1:17" x14ac:dyDescent="0.2">
      <c r="A5302" s="1">
        <v>7731</v>
      </c>
      <c r="B5302" s="2">
        <v>42983</v>
      </c>
      <c r="C5302" s="7">
        <f>_xlfn.FLOOR.MATH(Table1[[#This Row],[year]],10)</f>
        <v>2010</v>
      </c>
      <c r="D5302" t="s">
        <v>456</v>
      </c>
      <c r="E5302" t="s">
        <v>72</v>
      </c>
      <c r="F5302">
        <v>2</v>
      </c>
      <c r="G5302">
        <v>2</v>
      </c>
      <c r="H5302" t="s">
        <v>224</v>
      </c>
      <c r="I5302" t="s">
        <v>457</v>
      </c>
      <c r="J5302" t="s">
        <v>456</v>
      </c>
      <c r="K5302" t="b">
        <v>0</v>
      </c>
      <c r="L5302">
        <v>2017</v>
      </c>
      <c r="M5302">
        <v>1469790526</v>
      </c>
      <c r="N5302">
        <v>206745969246</v>
      </c>
      <c r="O5302" t="b">
        <v>1</v>
      </c>
      <c r="P5302">
        <v>0</v>
      </c>
      <c r="Q5302" t="str" cm="1">
        <f t="array" ref="Q5302">_xlfn.IFS(Table1[[#This Row],[Wealthier_Winner]]=-1,"Wealthier Nation Loses",Table1[[#This Row],[Wealthier_Winner]]=0,"Tie",Table1[[#This Row],[Wealthier_Winner]]=1,"Wealthier Nation Wins")</f>
        <v>Tie</v>
      </c>
    </row>
    <row r="5303" spans="1:17" x14ac:dyDescent="0.2">
      <c r="A5303" s="1">
        <v>7734</v>
      </c>
      <c r="B5303" s="2">
        <v>42983</v>
      </c>
      <c r="C5303" s="7">
        <f>_xlfn.FLOOR.MATH(Table1[[#This Row],[year]],10)</f>
        <v>2010</v>
      </c>
      <c r="D5303" t="s">
        <v>563</v>
      </c>
      <c r="E5303" t="s">
        <v>195</v>
      </c>
      <c r="F5303">
        <v>0</v>
      </c>
      <c r="G5303">
        <v>0</v>
      </c>
      <c r="H5303" t="s">
        <v>224</v>
      </c>
      <c r="I5303" t="s">
        <v>564</v>
      </c>
      <c r="J5303" t="s">
        <v>563</v>
      </c>
      <c r="K5303" t="b">
        <v>0</v>
      </c>
      <c r="L5303">
        <v>2017</v>
      </c>
      <c r="M5303">
        <v>69703222282</v>
      </c>
      <c r="N5303">
        <v>1710196756713</v>
      </c>
      <c r="O5303" t="b">
        <v>1</v>
      </c>
      <c r="P5303">
        <v>0</v>
      </c>
      <c r="Q5303" t="str" cm="1">
        <f t="array" ref="Q5303">_xlfn.IFS(Table1[[#This Row],[Wealthier_Winner]]=-1,"Wealthier Nation Loses",Table1[[#This Row],[Wealthier_Winner]]=0,"Tie",Table1[[#This Row],[Wealthier_Winner]]=1,"Wealthier Nation Wins")</f>
        <v>Tie</v>
      </c>
    </row>
    <row r="5304" spans="1:17" x14ac:dyDescent="0.2">
      <c r="A5304" s="1">
        <v>7735</v>
      </c>
      <c r="B5304" s="2">
        <v>43013</v>
      </c>
      <c r="C5304" s="7">
        <f>_xlfn.FLOOR.MATH(Table1[[#This Row],[year]],10)</f>
        <v>2010</v>
      </c>
      <c r="D5304" t="s">
        <v>19</v>
      </c>
      <c r="E5304" t="s">
        <v>31</v>
      </c>
      <c r="F5304">
        <v>0</v>
      </c>
      <c r="G5304">
        <v>0</v>
      </c>
      <c r="H5304" t="s">
        <v>224</v>
      </c>
      <c r="I5304" t="s">
        <v>93</v>
      </c>
      <c r="J5304" t="s">
        <v>19</v>
      </c>
      <c r="K5304" t="b">
        <v>0</v>
      </c>
      <c r="L5304">
        <v>2017</v>
      </c>
      <c r="M5304">
        <v>643628393281</v>
      </c>
      <c r="N5304">
        <v>211007984080</v>
      </c>
      <c r="O5304" t="b">
        <v>1</v>
      </c>
      <c r="P5304">
        <v>0</v>
      </c>
      <c r="Q5304" t="str" cm="1">
        <f t="array" ref="Q5304">_xlfn.IFS(Table1[[#This Row],[Wealthier_Winner]]=-1,"Wealthier Nation Loses",Table1[[#This Row],[Wealthier_Winner]]=0,"Tie",Table1[[#This Row],[Wealthier_Winner]]=1,"Wealthier Nation Wins")</f>
        <v>Tie</v>
      </c>
    </row>
    <row r="5305" spans="1:17" x14ac:dyDescent="0.2">
      <c r="A5305" s="1">
        <v>7736</v>
      </c>
      <c r="B5305" s="2">
        <v>43013</v>
      </c>
      <c r="C5305" s="7">
        <f>_xlfn.FLOOR.MATH(Table1[[#This Row],[year]],10)</f>
        <v>2010</v>
      </c>
      <c r="D5305" t="s">
        <v>519</v>
      </c>
      <c r="E5305" t="s">
        <v>58</v>
      </c>
      <c r="F5305">
        <v>1</v>
      </c>
      <c r="G5305">
        <v>6</v>
      </c>
      <c r="H5305" t="s">
        <v>224</v>
      </c>
      <c r="I5305" t="s">
        <v>520</v>
      </c>
      <c r="J5305" t="s">
        <v>519</v>
      </c>
      <c r="K5305" t="b">
        <v>0</v>
      </c>
      <c r="L5305">
        <v>2017</v>
      </c>
      <c r="M5305">
        <v>11527458709</v>
      </c>
      <c r="N5305">
        <v>528356676667</v>
      </c>
      <c r="O5305" t="b">
        <v>1</v>
      </c>
      <c r="P5305">
        <v>1</v>
      </c>
      <c r="Q5305" t="str" cm="1">
        <f t="array" ref="Q5305">_xlfn.IFS(Table1[[#This Row],[Wealthier_Winner]]=-1,"Wealthier Nation Loses",Table1[[#This Row],[Wealthier_Winner]]=0,"Tie",Table1[[#This Row],[Wealthier_Winner]]=1,"Wealthier Nation Wins")</f>
        <v>Wealthier Nation Wins</v>
      </c>
    </row>
    <row r="5306" spans="1:17" x14ac:dyDescent="0.2">
      <c r="A5306" s="1">
        <v>7738</v>
      </c>
      <c r="B5306" s="2">
        <v>43013</v>
      </c>
      <c r="C5306" s="7">
        <f>_xlfn.FLOOR.MATH(Table1[[#This Row],[year]],10)</f>
        <v>2010</v>
      </c>
      <c r="D5306" t="s">
        <v>47</v>
      </c>
      <c r="E5306" t="s">
        <v>13</v>
      </c>
      <c r="F5306">
        <v>0</v>
      </c>
      <c r="G5306">
        <v>0</v>
      </c>
      <c r="H5306" t="s">
        <v>224</v>
      </c>
      <c r="I5306" t="s">
        <v>246</v>
      </c>
      <c r="J5306" t="s">
        <v>47</v>
      </c>
      <c r="K5306" t="b">
        <v>0</v>
      </c>
      <c r="L5306">
        <v>2017</v>
      </c>
      <c r="M5306">
        <v>45927439594</v>
      </c>
      <c r="N5306">
        <v>2063514688805</v>
      </c>
      <c r="O5306" t="b">
        <v>1</v>
      </c>
      <c r="P5306">
        <v>0</v>
      </c>
      <c r="Q5306" t="str" cm="1">
        <f t="array" ref="Q5306">_xlfn.IFS(Table1[[#This Row],[Wealthier_Winner]]=-1,"Wealthier Nation Loses",Table1[[#This Row],[Wealthier_Winner]]=0,"Tie",Table1[[#This Row],[Wealthier_Winner]]=1,"Wealthier Nation Wins")</f>
        <v>Tie</v>
      </c>
    </row>
    <row r="5307" spans="1:17" x14ac:dyDescent="0.2">
      <c r="A5307" s="1">
        <v>7739</v>
      </c>
      <c r="B5307" s="2">
        <v>43013</v>
      </c>
      <c r="C5307" s="7">
        <f>_xlfn.FLOOR.MATH(Table1[[#This Row],[year]],10)</f>
        <v>2010</v>
      </c>
      <c r="D5307" t="s">
        <v>14</v>
      </c>
      <c r="E5307" t="s">
        <v>57</v>
      </c>
      <c r="F5307">
        <v>2</v>
      </c>
      <c r="G5307">
        <v>1</v>
      </c>
      <c r="H5307" t="s">
        <v>224</v>
      </c>
      <c r="I5307" t="s">
        <v>75</v>
      </c>
      <c r="J5307" t="s">
        <v>14</v>
      </c>
      <c r="K5307" t="b">
        <v>0</v>
      </c>
      <c r="L5307">
        <v>2017</v>
      </c>
      <c r="M5307">
        <v>276154259981</v>
      </c>
      <c r="N5307">
        <v>104467486000</v>
      </c>
      <c r="O5307" t="b">
        <v>1</v>
      </c>
      <c r="P5307">
        <v>1</v>
      </c>
      <c r="Q5307" t="str" cm="1">
        <f t="array" ref="Q5307">_xlfn.IFS(Table1[[#This Row],[Wealthier_Winner]]=-1,"Wealthier Nation Loses",Table1[[#This Row],[Wealthier_Winner]]=0,"Tie",Table1[[#This Row],[Wealthier_Winner]]=1,"Wealthier Nation Wins")</f>
        <v>Wealthier Nation Wins</v>
      </c>
    </row>
    <row r="5308" spans="1:17" x14ac:dyDescent="0.2">
      <c r="A5308" s="1">
        <v>7740</v>
      </c>
      <c r="B5308" s="2">
        <v>43013</v>
      </c>
      <c r="C5308" s="7">
        <f>_xlfn.FLOOR.MATH(Table1[[#This Row],[year]],10)</f>
        <v>2010</v>
      </c>
      <c r="D5308" t="s">
        <v>15</v>
      </c>
      <c r="E5308" t="s">
        <v>35</v>
      </c>
      <c r="F5308">
        <v>1</v>
      </c>
      <c r="G5308">
        <v>2</v>
      </c>
      <c r="H5308" t="s">
        <v>224</v>
      </c>
      <c r="I5308" t="s">
        <v>261</v>
      </c>
      <c r="J5308" t="s">
        <v>15</v>
      </c>
      <c r="K5308" t="b">
        <v>0</v>
      </c>
      <c r="L5308">
        <v>2017</v>
      </c>
      <c r="M5308">
        <v>311866875156</v>
      </c>
      <c r="N5308">
        <v>38997129473</v>
      </c>
      <c r="O5308" t="b">
        <v>1</v>
      </c>
      <c r="P5308">
        <v>-1</v>
      </c>
      <c r="Q5308" t="str" cm="1">
        <f t="array" ref="Q5308">_xlfn.IFS(Table1[[#This Row],[Wealthier_Winner]]=-1,"Wealthier Nation Loses",Table1[[#This Row],[Wealthier_Winner]]=0,"Tie",Table1[[#This Row],[Wealthier_Winner]]=1,"Wealthier Nation Wins")</f>
        <v>Wealthier Nation Loses</v>
      </c>
    </row>
    <row r="5309" spans="1:17" x14ac:dyDescent="0.2">
      <c r="A5309" s="1">
        <v>7741</v>
      </c>
      <c r="B5309" s="2">
        <v>43013</v>
      </c>
      <c r="C5309" s="7">
        <f>_xlfn.FLOOR.MATH(Table1[[#This Row],[year]],10)</f>
        <v>2010</v>
      </c>
      <c r="D5309" t="s">
        <v>194</v>
      </c>
      <c r="E5309" t="s">
        <v>55</v>
      </c>
      <c r="F5309">
        <v>1</v>
      </c>
      <c r="G5309">
        <v>0</v>
      </c>
      <c r="H5309" t="s">
        <v>224</v>
      </c>
      <c r="I5309" t="s">
        <v>80</v>
      </c>
      <c r="J5309" t="s">
        <v>194</v>
      </c>
      <c r="K5309" t="b">
        <v>0</v>
      </c>
      <c r="L5309">
        <v>2017</v>
      </c>
      <c r="M5309">
        <v>2699118387873</v>
      </c>
      <c r="N5309">
        <v>48153200134</v>
      </c>
      <c r="O5309" t="b">
        <v>1</v>
      </c>
      <c r="P5309">
        <v>1</v>
      </c>
      <c r="Q5309" t="str" cm="1">
        <f t="array" ref="Q5309">_xlfn.IFS(Table1[[#This Row],[Wealthier_Winner]]=-1,"Wealthier Nation Loses",Table1[[#This Row],[Wealthier_Winner]]=0,"Tie",Table1[[#This Row],[Wealthier_Winner]]=1,"Wealthier Nation Wins")</f>
        <v>Wealthier Nation Wins</v>
      </c>
    </row>
    <row r="5310" spans="1:17" x14ac:dyDescent="0.2">
      <c r="A5310" s="1">
        <v>7742</v>
      </c>
      <c r="B5310" s="2">
        <v>43013</v>
      </c>
      <c r="C5310" s="7">
        <f>_xlfn.FLOOR.MATH(Table1[[#This Row],[year]],10)</f>
        <v>2010</v>
      </c>
      <c r="D5310" t="s">
        <v>303</v>
      </c>
      <c r="E5310" t="s">
        <v>523</v>
      </c>
      <c r="F5310">
        <v>1</v>
      </c>
      <c r="G5310">
        <v>1</v>
      </c>
      <c r="H5310" t="s">
        <v>224</v>
      </c>
      <c r="I5310" t="s">
        <v>399</v>
      </c>
      <c r="J5310" t="s">
        <v>303</v>
      </c>
      <c r="K5310" t="b">
        <v>0</v>
      </c>
      <c r="L5310">
        <v>2017</v>
      </c>
      <c r="M5310">
        <v>14161366724</v>
      </c>
      <c r="N5310">
        <v>47756764508</v>
      </c>
      <c r="O5310" t="b">
        <v>1</v>
      </c>
      <c r="P5310">
        <v>0</v>
      </c>
      <c r="Q5310" t="str" cm="1">
        <f t="array" ref="Q5310">_xlfn.IFS(Table1[[#This Row],[Wealthier_Winner]]=-1,"Wealthier Nation Loses",Table1[[#This Row],[Wealthier_Winner]]=0,"Tie",Table1[[#This Row],[Wealthier_Winner]]=1,"Wealthier Nation Wins")</f>
        <v>Tie</v>
      </c>
    </row>
    <row r="5311" spans="1:17" x14ac:dyDescent="0.2">
      <c r="A5311" s="1">
        <v>7743</v>
      </c>
      <c r="B5311" s="2">
        <v>43013</v>
      </c>
      <c r="C5311" s="7">
        <f>_xlfn.FLOOR.MATH(Table1[[#This Row],[year]],10)</f>
        <v>2010</v>
      </c>
      <c r="D5311" t="s">
        <v>705</v>
      </c>
      <c r="E5311" t="s">
        <v>36</v>
      </c>
      <c r="F5311">
        <v>0</v>
      </c>
      <c r="G5311">
        <v>1</v>
      </c>
      <c r="H5311" t="s">
        <v>224</v>
      </c>
      <c r="I5311" t="s">
        <v>706</v>
      </c>
      <c r="J5311" t="s">
        <v>705</v>
      </c>
      <c r="K5311" t="b">
        <v>0</v>
      </c>
      <c r="L5311">
        <v>2017</v>
      </c>
      <c r="M5311">
        <v>4803962015</v>
      </c>
      <c r="N5311">
        <v>331610593961</v>
      </c>
      <c r="O5311" t="b">
        <v>1</v>
      </c>
      <c r="P5311">
        <v>1</v>
      </c>
      <c r="Q5311" t="str" cm="1">
        <f t="array" ref="Q5311">_xlfn.IFS(Table1[[#This Row],[Wealthier_Winner]]=-1,"Wealthier Nation Loses",Table1[[#This Row],[Wealthier_Winner]]=0,"Tie",Table1[[#This Row],[Wealthier_Winner]]=1,"Wealthier Nation Wins")</f>
        <v>Wealthier Nation Wins</v>
      </c>
    </row>
    <row r="5312" spans="1:17" x14ac:dyDescent="0.2">
      <c r="A5312" s="1">
        <v>7745</v>
      </c>
      <c r="B5312" s="2">
        <v>43013</v>
      </c>
      <c r="C5312" s="7">
        <f>_xlfn.FLOOR.MATH(Table1[[#This Row],[year]],10)</f>
        <v>2010</v>
      </c>
      <c r="D5312" t="s">
        <v>44</v>
      </c>
      <c r="E5312" t="s">
        <v>558</v>
      </c>
      <c r="F5312">
        <v>3</v>
      </c>
      <c r="G5312">
        <v>1</v>
      </c>
      <c r="H5312" t="s">
        <v>224</v>
      </c>
      <c r="I5312" t="s">
        <v>824</v>
      </c>
      <c r="J5312" t="s">
        <v>44</v>
      </c>
      <c r="K5312" t="b">
        <v>0</v>
      </c>
      <c r="L5312">
        <v>2017</v>
      </c>
      <c r="M5312">
        <v>210147385855</v>
      </c>
      <c r="N5312">
        <v>166805788827</v>
      </c>
      <c r="O5312" t="b">
        <v>0</v>
      </c>
      <c r="P5312">
        <v>1</v>
      </c>
      <c r="Q5312" t="str" cm="1">
        <f t="array" ref="Q5312">_xlfn.IFS(Table1[[#This Row],[Wealthier_Winner]]=-1,"Wealthier Nation Loses",Table1[[#This Row],[Wealthier_Winner]]=0,"Tie",Table1[[#This Row],[Wealthier_Winner]]=1,"Wealthier Nation Wins")</f>
        <v>Wealthier Nation Wins</v>
      </c>
    </row>
    <row r="5313" spans="1:17" x14ac:dyDescent="0.2">
      <c r="A5313" s="1">
        <v>7746</v>
      </c>
      <c r="B5313" s="2">
        <v>43013</v>
      </c>
      <c r="C5313" s="7">
        <f>_xlfn.FLOOR.MATH(Table1[[#This Row],[year]],10)</f>
        <v>2010</v>
      </c>
      <c r="D5313" t="s">
        <v>549</v>
      </c>
      <c r="E5313" t="s">
        <v>42</v>
      </c>
      <c r="F5313">
        <v>0</v>
      </c>
      <c r="G5313">
        <v>8</v>
      </c>
      <c r="H5313" t="s">
        <v>224</v>
      </c>
      <c r="I5313" t="s">
        <v>555</v>
      </c>
      <c r="J5313" t="s">
        <v>549</v>
      </c>
      <c r="K5313" t="b">
        <v>0</v>
      </c>
      <c r="L5313">
        <v>2017</v>
      </c>
      <c r="M5313">
        <v>1528620346</v>
      </c>
      <c r="N5313">
        <v>401745275035</v>
      </c>
      <c r="O5313" t="b">
        <v>1</v>
      </c>
      <c r="P5313">
        <v>1</v>
      </c>
      <c r="Q5313" t="str" cm="1">
        <f t="array" ref="Q5313">_xlfn.IFS(Table1[[#This Row],[Wealthier_Winner]]=-1,"Wealthier Nation Loses",Table1[[#This Row],[Wealthier_Winner]]=0,"Tie",Table1[[#This Row],[Wealthier_Winner]]=1,"Wealthier Nation Wins")</f>
        <v>Wealthier Nation Wins</v>
      </c>
    </row>
    <row r="5314" spans="1:17" x14ac:dyDescent="0.2">
      <c r="A5314" s="1">
        <v>7748</v>
      </c>
      <c r="B5314" s="2">
        <v>43013</v>
      </c>
      <c r="C5314" s="7">
        <f>_xlfn.FLOOR.MATH(Table1[[#This Row],[year]],10)</f>
        <v>2010</v>
      </c>
      <c r="D5314" t="s">
        <v>331</v>
      </c>
      <c r="E5314" t="s">
        <v>28</v>
      </c>
      <c r="F5314">
        <v>1</v>
      </c>
      <c r="G5314">
        <v>1</v>
      </c>
      <c r="H5314" t="s">
        <v>224</v>
      </c>
      <c r="I5314" t="s">
        <v>817</v>
      </c>
      <c r="J5314" t="s">
        <v>333</v>
      </c>
      <c r="K5314" t="b">
        <v>1</v>
      </c>
      <c r="L5314">
        <v>2017</v>
      </c>
      <c r="M5314">
        <v>16369843352</v>
      </c>
      <c r="N5314">
        <v>1330890554614</v>
      </c>
      <c r="O5314" t="b">
        <v>1</v>
      </c>
      <c r="P5314">
        <v>0</v>
      </c>
      <c r="Q5314" t="str" cm="1">
        <f t="array" ref="Q5314">_xlfn.IFS(Table1[[#This Row],[Wealthier_Winner]]=-1,"Wealthier Nation Loses",Table1[[#This Row],[Wealthier_Winner]]=0,"Tie",Table1[[#This Row],[Wealthier_Winner]]=1,"Wealthier Nation Wins")</f>
        <v>Tie</v>
      </c>
    </row>
    <row r="5315" spans="1:17" x14ac:dyDescent="0.2">
      <c r="A5315" s="1">
        <v>7749</v>
      </c>
      <c r="B5315" s="2">
        <v>43013</v>
      </c>
      <c r="C5315" s="7">
        <f>_xlfn.FLOOR.MATH(Table1[[#This Row],[year]],10)</f>
        <v>2010</v>
      </c>
      <c r="D5315" t="s">
        <v>258</v>
      </c>
      <c r="E5315" t="s">
        <v>26</v>
      </c>
      <c r="F5315">
        <v>0</v>
      </c>
      <c r="G5315">
        <v>0</v>
      </c>
      <c r="H5315" t="s">
        <v>224</v>
      </c>
      <c r="I5315" t="s">
        <v>416</v>
      </c>
      <c r="J5315" t="s">
        <v>258</v>
      </c>
      <c r="K5315" t="b">
        <v>0</v>
      </c>
      <c r="L5315">
        <v>2017</v>
      </c>
      <c r="M5315">
        <v>115883275162</v>
      </c>
      <c r="N5315">
        <v>65005997963</v>
      </c>
      <c r="O5315" t="b">
        <v>0</v>
      </c>
      <c r="P5315">
        <v>0</v>
      </c>
      <c r="Q5315" t="str" cm="1">
        <f t="array" ref="Q5315">_xlfn.IFS(Table1[[#This Row],[Wealthier_Winner]]=-1,"Wealthier Nation Loses",Table1[[#This Row],[Wealthier_Winner]]=0,"Tie",Table1[[#This Row],[Wealthier_Winner]]=1,"Wealthier Nation Wins")</f>
        <v>Tie</v>
      </c>
    </row>
    <row r="5316" spans="1:17" x14ac:dyDescent="0.2">
      <c r="A5316" s="1">
        <v>7750</v>
      </c>
      <c r="B5316" s="2">
        <v>43014</v>
      </c>
      <c r="C5316" s="7">
        <f>_xlfn.FLOOR.MATH(Table1[[#This Row],[year]],10)</f>
        <v>2010</v>
      </c>
      <c r="D5316" t="s">
        <v>29</v>
      </c>
      <c r="E5316" t="s">
        <v>61</v>
      </c>
      <c r="F5316">
        <v>3</v>
      </c>
      <c r="G5316">
        <v>2</v>
      </c>
      <c r="H5316" t="s">
        <v>224</v>
      </c>
      <c r="I5316" t="s">
        <v>270</v>
      </c>
      <c r="J5316" t="s">
        <v>29</v>
      </c>
      <c r="K5316" t="b">
        <v>0</v>
      </c>
      <c r="L5316">
        <v>2017</v>
      </c>
      <c r="M5316">
        <v>414926138132</v>
      </c>
      <c r="N5316">
        <v>45972834713</v>
      </c>
      <c r="O5316" t="b">
        <v>1</v>
      </c>
      <c r="P5316">
        <v>1</v>
      </c>
      <c r="Q5316" t="str" cm="1">
        <f t="array" ref="Q5316">_xlfn.IFS(Table1[[#This Row],[Wealthier_Winner]]=-1,"Wealthier Nation Loses",Table1[[#This Row],[Wealthier_Winner]]=0,"Tie",Table1[[#This Row],[Wealthier_Winner]]=1,"Wealthier Nation Wins")</f>
        <v>Wealthier Nation Wins</v>
      </c>
    </row>
    <row r="5317" spans="1:17" x14ac:dyDescent="0.2">
      <c r="A5317" s="1">
        <v>7751</v>
      </c>
      <c r="B5317" s="2">
        <v>43014</v>
      </c>
      <c r="C5317" s="7">
        <f>_xlfn.FLOOR.MATH(Table1[[#This Row],[year]],10)</f>
        <v>2010</v>
      </c>
      <c r="D5317" t="s">
        <v>52</v>
      </c>
      <c r="E5317" t="s">
        <v>230</v>
      </c>
      <c r="F5317">
        <v>1</v>
      </c>
      <c r="G5317">
        <v>1</v>
      </c>
      <c r="H5317" t="s">
        <v>224</v>
      </c>
      <c r="I5317" t="s">
        <v>825</v>
      </c>
      <c r="J5317" t="s">
        <v>52</v>
      </c>
      <c r="K5317" t="b">
        <v>0</v>
      </c>
      <c r="L5317">
        <v>2017</v>
      </c>
      <c r="M5317">
        <v>56182782585</v>
      </c>
      <c r="N5317">
        <v>253846138440</v>
      </c>
      <c r="O5317" t="b">
        <v>1</v>
      </c>
      <c r="P5317">
        <v>0</v>
      </c>
      <c r="Q5317" t="str" cm="1">
        <f t="array" ref="Q5317">_xlfn.IFS(Table1[[#This Row],[Wealthier_Winner]]=-1,"Wealthier Nation Loses",Table1[[#This Row],[Wealthier_Winner]]=0,"Tie",Table1[[#This Row],[Wealthier_Winner]]=1,"Wealthier Nation Wins")</f>
        <v>Tie</v>
      </c>
    </row>
    <row r="5318" spans="1:17" x14ac:dyDescent="0.2">
      <c r="A5318" s="1">
        <v>7754</v>
      </c>
      <c r="B5318" s="2">
        <v>43014</v>
      </c>
      <c r="C5318" s="7">
        <f>_xlfn.FLOOR.MATH(Table1[[#This Row],[year]],10)</f>
        <v>2010</v>
      </c>
      <c r="D5318" t="s">
        <v>18</v>
      </c>
      <c r="E5318" t="s">
        <v>502</v>
      </c>
      <c r="F5318">
        <v>1</v>
      </c>
      <c r="G5318">
        <v>1</v>
      </c>
      <c r="H5318" t="s">
        <v>224</v>
      </c>
      <c r="I5318" t="s">
        <v>111</v>
      </c>
      <c r="J5318" t="s">
        <v>18</v>
      </c>
      <c r="K5318" t="b">
        <v>0</v>
      </c>
      <c r="L5318">
        <v>2017</v>
      </c>
      <c r="M5318">
        <v>1970720904584</v>
      </c>
      <c r="N5318">
        <v>11307067069</v>
      </c>
      <c r="O5318" t="b">
        <v>1</v>
      </c>
      <c r="P5318">
        <v>0</v>
      </c>
      <c r="Q5318" t="str" cm="1">
        <f t="array" ref="Q5318">_xlfn.IFS(Table1[[#This Row],[Wealthier_Winner]]=-1,"Wealthier Nation Loses",Table1[[#This Row],[Wealthier_Winner]]=0,"Tie",Table1[[#This Row],[Wealthier_Winner]]=1,"Wealthier Nation Wins")</f>
        <v>Tie</v>
      </c>
    </row>
    <row r="5319" spans="1:17" x14ac:dyDescent="0.2">
      <c r="A5319" s="1">
        <v>7755</v>
      </c>
      <c r="B5319" s="2">
        <v>43014</v>
      </c>
      <c r="C5319" s="7">
        <f>_xlfn.FLOOR.MATH(Table1[[#This Row],[year]],10)</f>
        <v>2010</v>
      </c>
      <c r="D5319" t="s">
        <v>803</v>
      </c>
      <c r="E5319" t="s">
        <v>64</v>
      </c>
      <c r="F5319">
        <v>0</v>
      </c>
      <c r="G5319">
        <v>2</v>
      </c>
      <c r="H5319" t="s">
        <v>224</v>
      </c>
      <c r="I5319" t="s">
        <v>802</v>
      </c>
      <c r="J5319" t="s">
        <v>373</v>
      </c>
      <c r="K5319" t="b">
        <v>1</v>
      </c>
      <c r="L5319">
        <v>2017</v>
      </c>
      <c r="M5319">
        <v>7180768692</v>
      </c>
      <c r="N5319">
        <v>112090505081</v>
      </c>
      <c r="O5319" t="b">
        <v>1</v>
      </c>
      <c r="P5319">
        <v>1</v>
      </c>
      <c r="Q5319" t="str" cm="1">
        <f t="array" ref="Q5319">_xlfn.IFS(Table1[[#This Row],[Wealthier_Winner]]=-1,"Wealthier Nation Loses",Table1[[#This Row],[Wealthier_Winner]]=0,"Tie",Table1[[#This Row],[Wealthier_Winner]]=1,"Wealthier Nation Wins")</f>
        <v>Wealthier Nation Wins</v>
      </c>
    </row>
    <row r="5320" spans="1:17" x14ac:dyDescent="0.2">
      <c r="A5320" s="1">
        <v>7756</v>
      </c>
      <c r="B5320" s="2">
        <v>43014</v>
      </c>
      <c r="C5320" s="7">
        <f>_xlfn.FLOOR.MATH(Table1[[#This Row],[year]],10)</f>
        <v>2010</v>
      </c>
      <c r="D5320" t="s">
        <v>503</v>
      </c>
      <c r="E5320" t="s">
        <v>22</v>
      </c>
      <c r="F5320">
        <v>0</v>
      </c>
      <c r="G5320">
        <v>1</v>
      </c>
      <c r="H5320" t="s">
        <v>224</v>
      </c>
      <c r="I5320" t="s">
        <v>603</v>
      </c>
      <c r="J5320" t="s">
        <v>503</v>
      </c>
      <c r="K5320" t="b">
        <v>0</v>
      </c>
      <c r="L5320">
        <v>2017</v>
      </c>
      <c r="M5320">
        <v>6474308717</v>
      </c>
      <c r="N5320">
        <v>358451839052</v>
      </c>
      <c r="O5320" t="b">
        <v>1</v>
      </c>
      <c r="P5320">
        <v>1</v>
      </c>
      <c r="Q5320" t="str" cm="1">
        <f t="array" ref="Q5320">_xlfn.IFS(Table1[[#This Row],[Wealthier_Winner]]=-1,"Wealthier Nation Loses",Table1[[#This Row],[Wealthier_Winner]]=0,"Tie",Table1[[#This Row],[Wealthier_Winner]]=1,"Wealthier Nation Wins")</f>
        <v>Wealthier Nation Wins</v>
      </c>
    </row>
    <row r="5321" spans="1:17" x14ac:dyDescent="0.2">
      <c r="A5321" s="1">
        <v>7758</v>
      </c>
      <c r="B5321" s="2">
        <v>43014</v>
      </c>
      <c r="C5321" s="7">
        <f>_xlfn.FLOOR.MATH(Table1[[#This Row],[year]],10)</f>
        <v>2010</v>
      </c>
      <c r="D5321" t="s">
        <v>17</v>
      </c>
      <c r="E5321" t="s">
        <v>59</v>
      </c>
      <c r="F5321">
        <v>3</v>
      </c>
      <c r="G5321">
        <v>1</v>
      </c>
      <c r="H5321" t="s">
        <v>224</v>
      </c>
      <c r="I5321" t="s">
        <v>681</v>
      </c>
      <c r="J5321" t="s">
        <v>17</v>
      </c>
      <c r="K5321" t="b">
        <v>0</v>
      </c>
      <c r="L5321">
        <v>2017</v>
      </c>
      <c r="M5321">
        <v>1190721475906</v>
      </c>
      <c r="N5321">
        <v>23830750900</v>
      </c>
      <c r="O5321" t="b">
        <v>1</v>
      </c>
      <c r="P5321">
        <v>1</v>
      </c>
      <c r="Q5321" t="str" cm="1">
        <f t="array" ref="Q5321">_xlfn.IFS(Table1[[#This Row],[Wealthier_Winner]]=-1,"Wealthier Nation Loses",Table1[[#This Row],[Wealthier_Winner]]=0,"Tie",Table1[[#This Row],[Wealthier_Winner]]=1,"Wealthier Nation Wins")</f>
        <v>Wealthier Nation Wins</v>
      </c>
    </row>
    <row r="5322" spans="1:17" x14ac:dyDescent="0.2">
      <c r="A5322" s="1">
        <v>7759</v>
      </c>
      <c r="B5322" s="2">
        <v>43014</v>
      </c>
      <c r="C5322" s="7">
        <f>_xlfn.FLOOR.MATH(Table1[[#This Row],[year]],10)</f>
        <v>2010</v>
      </c>
      <c r="D5322" t="s">
        <v>21</v>
      </c>
      <c r="E5322" t="s">
        <v>373</v>
      </c>
      <c r="F5322">
        <v>3</v>
      </c>
      <c r="G5322">
        <v>0</v>
      </c>
      <c r="H5322" t="s">
        <v>224</v>
      </c>
      <c r="I5322" t="s">
        <v>101</v>
      </c>
      <c r="J5322" t="s">
        <v>21</v>
      </c>
      <c r="K5322" t="b">
        <v>0</v>
      </c>
      <c r="L5322">
        <v>2017</v>
      </c>
      <c r="M5322">
        <v>1321754088818</v>
      </c>
      <c r="N5322">
        <v>13258268435</v>
      </c>
      <c r="O5322" t="b">
        <v>1</v>
      </c>
      <c r="P5322">
        <v>1</v>
      </c>
      <c r="Q5322" t="str" cm="1">
        <f t="array" ref="Q5322">_xlfn.IFS(Table1[[#This Row],[Wealthier_Winner]]=-1,"Wealthier Nation Loses",Table1[[#This Row],[Wealthier_Winner]]=0,"Tie",Table1[[#This Row],[Wealthier_Winner]]=1,"Wealthier Nation Wins")</f>
        <v>Wealthier Nation Wins</v>
      </c>
    </row>
    <row r="5323" spans="1:17" x14ac:dyDescent="0.2">
      <c r="A5323" s="1">
        <v>7761</v>
      </c>
      <c r="B5323" s="2">
        <v>43014</v>
      </c>
      <c r="C5323" s="7">
        <f>_xlfn.FLOOR.MATH(Table1[[#This Row],[year]],10)</f>
        <v>2010</v>
      </c>
      <c r="D5323" t="s">
        <v>41</v>
      </c>
      <c r="E5323" t="s">
        <v>67</v>
      </c>
      <c r="F5323">
        <v>4</v>
      </c>
      <c r="G5323">
        <v>0</v>
      </c>
      <c r="H5323" t="s">
        <v>224</v>
      </c>
      <c r="I5323" t="s">
        <v>121</v>
      </c>
      <c r="J5323" t="s">
        <v>41</v>
      </c>
      <c r="K5323" t="b">
        <v>0</v>
      </c>
      <c r="L5323">
        <v>2017</v>
      </c>
      <c r="M5323">
        <v>19477336549000</v>
      </c>
      <c r="N5323">
        <v>64327688826</v>
      </c>
      <c r="O5323" t="b">
        <v>1</v>
      </c>
      <c r="P5323">
        <v>1</v>
      </c>
      <c r="Q5323" t="str" cm="1">
        <f t="array" ref="Q5323">_xlfn.IFS(Table1[[#This Row],[Wealthier_Winner]]=-1,"Wealthier Nation Loses",Table1[[#This Row],[Wealthier_Winner]]=0,"Tie",Table1[[#This Row],[Wealthier_Winner]]=1,"Wealthier Nation Wins")</f>
        <v>Wealthier Nation Wins</v>
      </c>
    </row>
    <row r="5324" spans="1:17" x14ac:dyDescent="0.2">
      <c r="A5324" s="1">
        <v>7762</v>
      </c>
      <c r="B5324" s="2">
        <v>43015</v>
      </c>
      <c r="C5324" s="7">
        <f>_xlfn.FLOOR.MATH(Table1[[#This Row],[year]],10)</f>
        <v>2010</v>
      </c>
      <c r="D5324" t="s">
        <v>601</v>
      </c>
      <c r="E5324" t="s">
        <v>38</v>
      </c>
      <c r="F5324">
        <v>0</v>
      </c>
      <c r="G5324">
        <v>2</v>
      </c>
      <c r="H5324" t="s">
        <v>224</v>
      </c>
      <c r="I5324" t="s">
        <v>602</v>
      </c>
      <c r="J5324" t="s">
        <v>601</v>
      </c>
      <c r="K5324" t="b">
        <v>0</v>
      </c>
      <c r="L5324">
        <v>2017</v>
      </c>
      <c r="M5324">
        <v>3000160414</v>
      </c>
      <c r="N5324">
        <v>220862990767</v>
      </c>
      <c r="O5324" t="b">
        <v>1</v>
      </c>
      <c r="P5324">
        <v>1</v>
      </c>
      <c r="Q5324" t="str" cm="1">
        <f t="array" ref="Q5324">_xlfn.IFS(Table1[[#This Row],[Wealthier_Winner]]=-1,"Wealthier Nation Loses",Table1[[#This Row],[Wealthier_Winner]]=0,"Tie",Table1[[#This Row],[Wealthier_Winner]]=1,"Wealthier Nation Wins")</f>
        <v>Wealthier Nation Wins</v>
      </c>
    </row>
    <row r="5325" spans="1:17" x14ac:dyDescent="0.2">
      <c r="A5325" s="1">
        <v>7763</v>
      </c>
      <c r="B5325" s="2">
        <v>43015</v>
      </c>
      <c r="C5325" s="7">
        <f>_xlfn.FLOOR.MATH(Table1[[#This Row],[year]],10)</f>
        <v>2010</v>
      </c>
      <c r="D5325" t="s">
        <v>510</v>
      </c>
      <c r="E5325" t="s">
        <v>27</v>
      </c>
      <c r="F5325">
        <v>1</v>
      </c>
      <c r="G5325">
        <v>3</v>
      </c>
      <c r="H5325" t="s">
        <v>224</v>
      </c>
      <c r="I5325" t="s">
        <v>805</v>
      </c>
      <c r="J5325" t="s">
        <v>510</v>
      </c>
      <c r="K5325" t="b">
        <v>0</v>
      </c>
      <c r="L5325">
        <v>2017</v>
      </c>
      <c r="M5325">
        <v>54725405751</v>
      </c>
      <c r="N5325">
        <v>848233537845</v>
      </c>
      <c r="O5325" t="b">
        <v>1</v>
      </c>
      <c r="P5325">
        <v>1</v>
      </c>
      <c r="Q5325" t="str" cm="1">
        <f t="array" ref="Q5325">_xlfn.IFS(Table1[[#This Row],[Wealthier_Winner]]=-1,"Wealthier Nation Loses",Table1[[#This Row],[Wealthier_Winner]]=0,"Tie",Table1[[#This Row],[Wealthier_Winner]]=1,"Wealthier Nation Wins")</f>
        <v>Wealthier Nation Wins</v>
      </c>
    </row>
    <row r="5326" spans="1:17" x14ac:dyDescent="0.2">
      <c r="A5326" s="1">
        <v>7764</v>
      </c>
      <c r="B5326" s="2">
        <v>43015</v>
      </c>
      <c r="C5326" s="7">
        <f>_xlfn.FLOOR.MATH(Table1[[#This Row],[year]],10)</f>
        <v>2010</v>
      </c>
      <c r="D5326" t="s">
        <v>73</v>
      </c>
      <c r="E5326" t="s">
        <v>23</v>
      </c>
      <c r="F5326">
        <v>3</v>
      </c>
      <c r="G5326">
        <v>4</v>
      </c>
      <c r="H5326" t="s">
        <v>224</v>
      </c>
      <c r="I5326" t="s">
        <v>550</v>
      </c>
      <c r="J5326" t="s">
        <v>73</v>
      </c>
      <c r="K5326" t="b">
        <v>0</v>
      </c>
      <c r="L5326">
        <v>2017</v>
      </c>
      <c r="M5326">
        <v>18326373135</v>
      </c>
      <c r="N5326">
        <v>500908767351</v>
      </c>
      <c r="O5326" t="b">
        <v>1</v>
      </c>
      <c r="P5326">
        <v>1</v>
      </c>
      <c r="Q5326" t="str" cm="1">
        <f t="array" ref="Q5326">_xlfn.IFS(Table1[[#This Row],[Wealthier_Winner]]=-1,"Wealthier Nation Loses",Table1[[#This Row],[Wealthier_Winner]]=0,"Tie",Table1[[#This Row],[Wealthier_Winner]]=1,"Wealthier Nation Wins")</f>
        <v>Wealthier Nation Wins</v>
      </c>
    </row>
    <row r="5327" spans="1:17" x14ac:dyDescent="0.2">
      <c r="A5327" s="1">
        <v>7765</v>
      </c>
      <c r="B5327" s="2">
        <v>43015</v>
      </c>
      <c r="C5327" s="7">
        <f>_xlfn.FLOOR.MATH(Table1[[#This Row],[year]],10)</f>
        <v>2010</v>
      </c>
      <c r="D5327" t="s">
        <v>33</v>
      </c>
      <c r="E5327" t="s">
        <v>20</v>
      </c>
      <c r="F5327">
        <v>0</v>
      </c>
      <c r="G5327">
        <v>1</v>
      </c>
      <c r="H5327" t="s">
        <v>224</v>
      </c>
      <c r="I5327" t="s">
        <v>375</v>
      </c>
      <c r="J5327" t="s">
        <v>33</v>
      </c>
      <c r="K5327" t="b">
        <v>0</v>
      </c>
      <c r="L5327">
        <v>2017</v>
      </c>
      <c r="M5327">
        <v>59167647387</v>
      </c>
      <c r="N5327">
        <v>2588868323334</v>
      </c>
      <c r="O5327" t="b">
        <v>1</v>
      </c>
      <c r="P5327">
        <v>1</v>
      </c>
      <c r="Q5327" t="str" cm="1">
        <f t="array" ref="Q5327">_xlfn.IFS(Table1[[#This Row],[Wealthier_Winner]]=-1,"Wealthier Nation Loses",Table1[[#This Row],[Wealthier_Winner]]=0,"Tie",Table1[[#This Row],[Wealthier_Winner]]=1,"Wealthier Nation Wins")</f>
        <v>Wealthier Nation Wins</v>
      </c>
    </row>
    <row r="5328" spans="1:17" x14ac:dyDescent="0.2">
      <c r="A5328" s="1">
        <v>7766</v>
      </c>
      <c r="B5328" s="2">
        <v>43015</v>
      </c>
      <c r="C5328" s="7">
        <f>_xlfn.FLOOR.MATH(Table1[[#This Row],[year]],10)</f>
        <v>2010</v>
      </c>
      <c r="D5328" t="s">
        <v>40</v>
      </c>
      <c r="E5328" t="s">
        <v>32</v>
      </c>
      <c r="F5328">
        <v>2</v>
      </c>
      <c r="G5328">
        <v>0</v>
      </c>
      <c r="H5328" t="s">
        <v>224</v>
      </c>
      <c r="I5328" t="s">
        <v>371</v>
      </c>
      <c r="J5328" t="s">
        <v>40</v>
      </c>
      <c r="K5328" t="b">
        <v>0</v>
      </c>
      <c r="L5328">
        <v>2017</v>
      </c>
      <c r="M5328">
        <v>36098547033</v>
      </c>
      <c r="N5328">
        <v>189880896903</v>
      </c>
      <c r="O5328" t="b">
        <v>1</v>
      </c>
      <c r="P5328">
        <v>-1</v>
      </c>
      <c r="Q5328" t="str" cm="1">
        <f t="array" ref="Q5328">_xlfn.IFS(Table1[[#This Row],[Wealthier_Winner]]=-1,"Wealthier Nation Loses",Table1[[#This Row],[Wealthier_Winner]]=0,"Tie",Table1[[#This Row],[Wealthier_Winner]]=1,"Wealthier Nation Wins")</f>
        <v>Wealthier Nation Loses</v>
      </c>
    </row>
    <row r="5329" spans="1:17" x14ac:dyDescent="0.2">
      <c r="A5329" s="1">
        <v>7768</v>
      </c>
      <c r="B5329" s="2">
        <v>43015</v>
      </c>
      <c r="C5329" s="7">
        <f>_xlfn.FLOOR.MATH(Table1[[#This Row],[year]],10)</f>
        <v>2010</v>
      </c>
      <c r="D5329" t="s">
        <v>56</v>
      </c>
      <c r="E5329" t="s">
        <v>65</v>
      </c>
      <c r="F5329">
        <v>1</v>
      </c>
      <c r="G5329">
        <v>1</v>
      </c>
      <c r="H5329" t="s">
        <v>224</v>
      </c>
      <c r="I5329" t="s">
        <v>225</v>
      </c>
      <c r="J5329" t="s">
        <v>56</v>
      </c>
      <c r="K5329" t="b">
        <v>0</v>
      </c>
      <c r="L5329">
        <v>2017</v>
      </c>
      <c r="M5329">
        <v>60516044656</v>
      </c>
      <c r="N5329">
        <v>23136247990</v>
      </c>
      <c r="O5329" t="b">
        <v>1</v>
      </c>
      <c r="P5329">
        <v>0</v>
      </c>
      <c r="Q5329" t="str" cm="1">
        <f t="array" ref="Q5329">_xlfn.IFS(Table1[[#This Row],[Wealthier_Winner]]=-1,"Wealthier Nation Loses",Table1[[#This Row],[Wealthier_Winner]]=0,"Tie",Table1[[#This Row],[Wealthier_Winner]]=1,"Wealthier Nation Wins")</f>
        <v>Tie</v>
      </c>
    </row>
    <row r="5330" spans="1:17" x14ac:dyDescent="0.2">
      <c r="A5330" s="1">
        <v>7769</v>
      </c>
      <c r="B5330" s="2">
        <v>43015</v>
      </c>
      <c r="C5330" s="7">
        <f>_xlfn.FLOOR.MATH(Table1[[#This Row],[year]],10)</f>
        <v>2010</v>
      </c>
      <c r="D5330" t="s">
        <v>351</v>
      </c>
      <c r="E5330" t="s">
        <v>48</v>
      </c>
      <c r="F5330">
        <v>1</v>
      </c>
      <c r="G5330">
        <v>2</v>
      </c>
      <c r="H5330" t="s">
        <v>224</v>
      </c>
      <c r="I5330" t="s">
        <v>381</v>
      </c>
      <c r="J5330" t="s">
        <v>351</v>
      </c>
      <c r="K5330" t="b">
        <v>0</v>
      </c>
      <c r="L5330">
        <v>2017</v>
      </c>
      <c r="M5330">
        <v>22946570628</v>
      </c>
      <c r="N5330">
        <v>200381103984</v>
      </c>
      <c r="O5330" t="b">
        <v>1</v>
      </c>
      <c r="P5330">
        <v>1</v>
      </c>
      <c r="Q5330" t="str" cm="1">
        <f t="array" ref="Q5330">_xlfn.IFS(Table1[[#This Row],[Wealthier_Winner]]=-1,"Wealthier Nation Loses",Table1[[#This Row],[Wealthier_Winner]]=0,"Tie",Table1[[#This Row],[Wealthier_Winner]]=1,"Wealthier Nation Wins")</f>
        <v>Wealthier Nation Wins</v>
      </c>
    </row>
    <row r="5331" spans="1:17" x14ac:dyDescent="0.2">
      <c r="A5331" s="1">
        <v>7770</v>
      </c>
      <c r="B5331" s="2">
        <v>43015</v>
      </c>
      <c r="C5331" s="7">
        <f>_xlfn.FLOOR.MATH(Table1[[#This Row],[year]],10)</f>
        <v>2010</v>
      </c>
      <c r="D5331" t="s">
        <v>447</v>
      </c>
      <c r="E5331" t="s">
        <v>525</v>
      </c>
      <c r="F5331">
        <v>0</v>
      </c>
      <c r="G5331">
        <v>0</v>
      </c>
      <c r="H5331" t="s">
        <v>224</v>
      </c>
      <c r="I5331" t="s">
        <v>631</v>
      </c>
      <c r="J5331" t="s">
        <v>447</v>
      </c>
      <c r="K5331" t="b">
        <v>0</v>
      </c>
      <c r="L5331">
        <v>2017</v>
      </c>
      <c r="M5331">
        <v>2980057377</v>
      </c>
      <c r="N5331">
        <v>29391059767</v>
      </c>
      <c r="O5331" t="b">
        <v>1</v>
      </c>
      <c r="P5331">
        <v>0</v>
      </c>
      <c r="Q5331" t="str" cm="1">
        <f t="array" ref="Q5331">_xlfn.IFS(Table1[[#This Row],[Wealthier_Winner]]=-1,"Wealthier Nation Loses",Table1[[#This Row],[Wealthier_Winner]]=0,"Tie",Table1[[#This Row],[Wealthier_Winner]]=1,"Wealthier Nation Wins")</f>
        <v>Tie</v>
      </c>
    </row>
    <row r="5332" spans="1:17" x14ac:dyDescent="0.2">
      <c r="A5332" s="1">
        <v>7772</v>
      </c>
      <c r="B5332" s="2">
        <v>43015</v>
      </c>
      <c r="C5332" s="7">
        <f>_xlfn.FLOOR.MATH(Table1[[#This Row],[year]],10)</f>
        <v>2010</v>
      </c>
      <c r="D5332" t="s">
        <v>305</v>
      </c>
      <c r="E5332" t="s">
        <v>53</v>
      </c>
      <c r="F5332">
        <v>1</v>
      </c>
      <c r="G5332">
        <v>4</v>
      </c>
      <c r="H5332" t="s">
        <v>224</v>
      </c>
      <c r="I5332" t="s">
        <v>306</v>
      </c>
      <c r="J5332" t="s">
        <v>305</v>
      </c>
      <c r="K5332" t="b">
        <v>0</v>
      </c>
      <c r="L5332">
        <v>2017</v>
      </c>
      <c r="M5332">
        <v>10324668271</v>
      </c>
      <c r="N5332">
        <v>42163530590</v>
      </c>
      <c r="O5332" t="b">
        <v>1</v>
      </c>
      <c r="P5332">
        <v>1</v>
      </c>
      <c r="Q5332" t="str" cm="1">
        <f t="array" ref="Q5332">_xlfn.IFS(Table1[[#This Row],[Wealthier_Winner]]=-1,"Wealthier Nation Loses",Table1[[#This Row],[Wealthier_Winner]]=0,"Tie",Table1[[#This Row],[Wealthier_Winner]]=1,"Wealthier Nation Wins")</f>
        <v>Wealthier Nation Wins</v>
      </c>
    </row>
    <row r="5333" spans="1:17" x14ac:dyDescent="0.2">
      <c r="A5333" s="1">
        <v>7774</v>
      </c>
      <c r="B5333" s="2">
        <v>43015</v>
      </c>
      <c r="C5333" s="7">
        <f>_xlfn.FLOOR.MATH(Table1[[#This Row],[year]],10)</f>
        <v>2010</v>
      </c>
      <c r="D5333" t="s">
        <v>24</v>
      </c>
      <c r="E5333" t="s">
        <v>433</v>
      </c>
      <c r="F5333">
        <v>3</v>
      </c>
      <c r="G5333">
        <v>0</v>
      </c>
      <c r="H5333" t="s">
        <v>224</v>
      </c>
      <c r="I5333" t="s">
        <v>244</v>
      </c>
      <c r="J5333" t="s">
        <v>24</v>
      </c>
      <c r="K5333" t="b">
        <v>0</v>
      </c>
      <c r="L5333">
        <v>2017</v>
      </c>
      <c r="M5333">
        <v>118540573367</v>
      </c>
      <c r="N5333">
        <v>14929487485</v>
      </c>
      <c r="O5333" t="b">
        <v>1</v>
      </c>
      <c r="P5333">
        <v>1</v>
      </c>
      <c r="Q5333" t="str" cm="1">
        <f t="array" ref="Q5333">_xlfn.IFS(Table1[[#This Row],[Wealthier_Winner]]=-1,"Wealthier Nation Loses",Table1[[#This Row],[Wealthier_Winner]]=0,"Tie",Table1[[#This Row],[Wealthier_Winner]]=1,"Wealthier Nation Wins")</f>
        <v>Wealthier Nation Wins</v>
      </c>
    </row>
    <row r="5334" spans="1:17" x14ac:dyDescent="0.2">
      <c r="A5334" s="1">
        <v>7775</v>
      </c>
      <c r="B5334" s="2">
        <v>43015</v>
      </c>
      <c r="C5334" s="7">
        <f>_xlfn.FLOOR.MATH(Table1[[#This Row],[year]],10)</f>
        <v>2010</v>
      </c>
      <c r="D5334" t="s">
        <v>43</v>
      </c>
      <c r="E5334" t="s">
        <v>273</v>
      </c>
      <c r="F5334">
        <v>1</v>
      </c>
      <c r="G5334">
        <v>0</v>
      </c>
      <c r="H5334" t="s">
        <v>224</v>
      </c>
      <c r="I5334" t="s">
        <v>814</v>
      </c>
      <c r="J5334" t="s">
        <v>43</v>
      </c>
      <c r="K5334" t="b">
        <v>0</v>
      </c>
      <c r="L5334">
        <v>2017</v>
      </c>
      <c r="M5334">
        <v>375745731053</v>
      </c>
      <c r="N5334">
        <v>25873601260</v>
      </c>
      <c r="O5334" t="b">
        <v>1</v>
      </c>
      <c r="P5334">
        <v>1</v>
      </c>
      <c r="Q5334" t="str" cm="1">
        <f t="array" ref="Q5334">_xlfn.IFS(Table1[[#This Row],[Wealthier_Winner]]=-1,"Wealthier Nation Loses",Table1[[#This Row],[Wealthier_Winner]]=0,"Tie",Table1[[#This Row],[Wealthier_Winner]]=1,"Wealthier Nation Wins")</f>
        <v>Wealthier Nation Wins</v>
      </c>
    </row>
    <row r="5335" spans="1:17" x14ac:dyDescent="0.2">
      <c r="A5335" s="1">
        <v>7776</v>
      </c>
      <c r="B5335" s="2">
        <v>43015</v>
      </c>
      <c r="C5335" s="7">
        <f>_xlfn.FLOOR.MATH(Table1[[#This Row],[year]],10)</f>
        <v>2010</v>
      </c>
      <c r="D5335" t="s">
        <v>50</v>
      </c>
      <c r="E5335" t="s">
        <v>345</v>
      </c>
      <c r="F5335">
        <v>3</v>
      </c>
      <c r="G5335">
        <v>1</v>
      </c>
      <c r="H5335" t="s">
        <v>224</v>
      </c>
      <c r="I5335" t="s">
        <v>160</v>
      </c>
      <c r="J5335" t="s">
        <v>50</v>
      </c>
      <c r="K5335" t="b">
        <v>0</v>
      </c>
      <c r="L5335">
        <v>2017</v>
      </c>
      <c r="M5335">
        <v>381448814653</v>
      </c>
      <c r="N5335">
        <v>14106955615</v>
      </c>
      <c r="O5335" t="b">
        <v>1</v>
      </c>
      <c r="P5335">
        <v>1</v>
      </c>
      <c r="Q5335" t="str" cm="1">
        <f t="array" ref="Q5335">_xlfn.IFS(Table1[[#This Row],[Wealthier_Winner]]=-1,"Wealthier Nation Loses",Table1[[#This Row],[Wealthier_Winner]]=0,"Tie",Table1[[#This Row],[Wealthier_Winner]]=1,"Wealthier Nation Wins")</f>
        <v>Wealthier Nation Wins</v>
      </c>
    </row>
    <row r="5336" spans="1:17" x14ac:dyDescent="0.2">
      <c r="A5336" s="1">
        <v>7777</v>
      </c>
      <c r="B5336" s="2">
        <v>43015</v>
      </c>
      <c r="C5336" s="7">
        <f>_xlfn.FLOOR.MATH(Table1[[#This Row],[year]],10)</f>
        <v>2010</v>
      </c>
      <c r="D5336" t="s">
        <v>25</v>
      </c>
      <c r="E5336" t="s">
        <v>232</v>
      </c>
      <c r="F5336">
        <v>8</v>
      </c>
      <c r="G5336">
        <v>0</v>
      </c>
      <c r="H5336" t="s">
        <v>224</v>
      </c>
      <c r="I5336" t="s">
        <v>233</v>
      </c>
      <c r="J5336" t="s">
        <v>25</v>
      </c>
      <c r="K5336" t="b">
        <v>0</v>
      </c>
      <c r="L5336">
        <v>2017</v>
      </c>
      <c r="M5336">
        <v>535172356784</v>
      </c>
      <c r="N5336">
        <v>65712180342</v>
      </c>
      <c r="O5336" t="b">
        <v>1</v>
      </c>
      <c r="P5336">
        <v>1</v>
      </c>
      <c r="Q5336" t="str" cm="1">
        <f t="array" ref="Q5336">_xlfn.IFS(Table1[[#This Row],[Wealthier_Winner]]=-1,"Wealthier Nation Loses",Table1[[#This Row],[Wealthier_Winner]]=0,"Tie",Table1[[#This Row],[Wealthier_Winner]]=1,"Wealthier Nation Wins")</f>
        <v>Wealthier Nation Wins</v>
      </c>
    </row>
    <row r="5337" spans="1:17" x14ac:dyDescent="0.2">
      <c r="A5337" s="1">
        <v>7778</v>
      </c>
      <c r="B5337" s="2">
        <v>43015</v>
      </c>
      <c r="C5337" s="7">
        <f>_xlfn.FLOOR.MATH(Table1[[#This Row],[year]],10)</f>
        <v>2010</v>
      </c>
      <c r="D5337" t="s">
        <v>46</v>
      </c>
      <c r="E5337" t="s">
        <v>30</v>
      </c>
      <c r="F5337">
        <v>5</v>
      </c>
      <c r="G5337">
        <v>2</v>
      </c>
      <c r="H5337" t="s">
        <v>224</v>
      </c>
      <c r="I5337" t="s">
        <v>269</v>
      </c>
      <c r="J5337" t="s">
        <v>46</v>
      </c>
      <c r="K5337" t="b">
        <v>0</v>
      </c>
      <c r="L5337">
        <v>2017</v>
      </c>
      <c r="M5337">
        <v>695200833086</v>
      </c>
      <c r="N5337">
        <v>143335098991</v>
      </c>
      <c r="O5337" t="b">
        <v>1</v>
      </c>
      <c r="P5337">
        <v>1</v>
      </c>
      <c r="Q5337" t="str" cm="1">
        <f t="array" ref="Q5337">_xlfn.IFS(Table1[[#This Row],[Wealthier_Winner]]=-1,"Wealthier Nation Loses",Table1[[#This Row],[Wealthier_Winner]]=0,"Tie",Table1[[#This Row],[Wealthier_Winner]]=1,"Wealthier Nation Wins")</f>
        <v>Wealthier Nation Wins</v>
      </c>
    </row>
    <row r="5338" spans="1:17" x14ac:dyDescent="0.2">
      <c r="A5338" s="1">
        <v>7779</v>
      </c>
      <c r="B5338" s="2">
        <v>43015</v>
      </c>
      <c r="C5338" s="7">
        <f>_xlfn.FLOOR.MATH(Table1[[#This Row],[year]],10)</f>
        <v>2010</v>
      </c>
      <c r="D5338" t="s">
        <v>357</v>
      </c>
      <c r="E5338" t="s">
        <v>63</v>
      </c>
      <c r="F5338">
        <v>0</v>
      </c>
      <c r="G5338">
        <v>0</v>
      </c>
      <c r="H5338" t="s">
        <v>224</v>
      </c>
      <c r="I5338" t="s">
        <v>358</v>
      </c>
      <c r="J5338" t="s">
        <v>357</v>
      </c>
      <c r="K5338" t="b">
        <v>0</v>
      </c>
      <c r="L5338">
        <v>2017</v>
      </c>
      <c r="M5338">
        <v>30744473841</v>
      </c>
      <c r="N5338">
        <v>60385409434</v>
      </c>
      <c r="O5338" t="b">
        <v>0</v>
      </c>
      <c r="P5338">
        <v>0</v>
      </c>
      <c r="Q5338" t="str" cm="1">
        <f t="array" ref="Q5338">_xlfn.IFS(Table1[[#This Row],[Wealthier_Winner]]=-1,"Wealthier Nation Loses",Table1[[#This Row],[Wealthier_Winner]]=0,"Tie",Table1[[#This Row],[Wealthier_Winner]]=1,"Wealthier Nation Wins")</f>
        <v>Tie</v>
      </c>
    </row>
    <row r="5339" spans="1:17" x14ac:dyDescent="0.2">
      <c r="A5339" s="1">
        <v>7781</v>
      </c>
      <c r="B5339" s="2">
        <v>43016</v>
      </c>
      <c r="C5339" s="7">
        <f>_xlfn.FLOOR.MATH(Table1[[#This Row],[year]],10)</f>
        <v>2010</v>
      </c>
      <c r="D5339" t="s">
        <v>36</v>
      </c>
      <c r="E5339" t="s">
        <v>44</v>
      </c>
      <c r="F5339">
        <v>1</v>
      </c>
      <c r="G5339">
        <v>1</v>
      </c>
      <c r="H5339" t="s">
        <v>224</v>
      </c>
      <c r="I5339" t="s">
        <v>264</v>
      </c>
      <c r="J5339" t="s">
        <v>36</v>
      </c>
      <c r="K5339" t="b">
        <v>0</v>
      </c>
      <c r="L5339">
        <v>2017</v>
      </c>
      <c r="M5339">
        <v>331610593961</v>
      </c>
      <c r="N5339">
        <v>210147385855</v>
      </c>
      <c r="O5339" t="b">
        <v>0</v>
      </c>
      <c r="P5339">
        <v>0</v>
      </c>
      <c r="Q5339" t="str" cm="1">
        <f t="array" ref="Q5339">_xlfn.IFS(Table1[[#This Row],[Wealthier_Winner]]=-1,"Wealthier Nation Loses",Table1[[#This Row],[Wealthier_Winner]]=0,"Tie",Table1[[#This Row],[Wealthier_Winner]]=1,"Wealthier Nation Wins")</f>
        <v>Tie</v>
      </c>
    </row>
    <row r="5340" spans="1:17" x14ac:dyDescent="0.2">
      <c r="A5340" s="1">
        <v>7783</v>
      </c>
      <c r="B5340" s="2">
        <v>43016</v>
      </c>
      <c r="C5340" s="7">
        <f>_xlfn.FLOOR.MATH(Table1[[#This Row],[year]],10)</f>
        <v>2010</v>
      </c>
      <c r="D5340" t="s">
        <v>16</v>
      </c>
      <c r="E5340" t="s">
        <v>513</v>
      </c>
      <c r="F5340">
        <v>5</v>
      </c>
      <c r="G5340">
        <v>1</v>
      </c>
      <c r="H5340" t="s">
        <v>224</v>
      </c>
      <c r="I5340" t="s">
        <v>157</v>
      </c>
      <c r="J5340" t="s">
        <v>16</v>
      </c>
      <c r="K5340" t="b">
        <v>0</v>
      </c>
      <c r="L5340">
        <v>2017</v>
      </c>
      <c r="M5340">
        <v>3765351626105</v>
      </c>
      <c r="N5340">
        <v>40866627351</v>
      </c>
      <c r="O5340" t="b">
        <v>1</v>
      </c>
      <c r="P5340">
        <v>1</v>
      </c>
      <c r="Q5340" t="str" cm="1">
        <f t="array" ref="Q5340">_xlfn.IFS(Table1[[#This Row],[Wealthier_Winner]]=-1,"Wealthier Nation Loses",Table1[[#This Row],[Wealthier_Winner]]=0,"Tie",Table1[[#This Row],[Wealthier_Winner]]=1,"Wealthier Nation Wins")</f>
        <v>Wealthier Nation Wins</v>
      </c>
    </row>
    <row r="5341" spans="1:17" x14ac:dyDescent="0.2">
      <c r="A5341" s="1">
        <v>7784</v>
      </c>
      <c r="B5341" s="2">
        <v>43016</v>
      </c>
      <c r="C5341" s="7">
        <f>_xlfn.FLOOR.MATH(Table1[[#This Row],[year]],10)</f>
        <v>2010</v>
      </c>
      <c r="D5341" t="s">
        <v>558</v>
      </c>
      <c r="E5341" t="s">
        <v>519</v>
      </c>
      <c r="F5341">
        <v>1</v>
      </c>
      <c r="G5341">
        <v>1</v>
      </c>
      <c r="H5341" t="s">
        <v>224</v>
      </c>
      <c r="I5341" t="s">
        <v>733</v>
      </c>
      <c r="J5341" t="s">
        <v>558</v>
      </c>
      <c r="K5341" t="b">
        <v>0</v>
      </c>
      <c r="L5341">
        <v>2017</v>
      </c>
      <c r="M5341">
        <v>166805788827</v>
      </c>
      <c r="N5341">
        <v>11527458709</v>
      </c>
      <c r="O5341" t="b">
        <v>1</v>
      </c>
      <c r="P5341">
        <v>0</v>
      </c>
      <c r="Q5341" t="str" cm="1">
        <f t="array" ref="Q5341">_xlfn.IFS(Table1[[#This Row],[Wealthier_Winner]]=-1,"Wealthier Nation Loses",Table1[[#This Row],[Wealthier_Winner]]=0,"Tie",Table1[[#This Row],[Wealthier_Winner]]=1,"Wealthier Nation Wins")</f>
        <v>Tie</v>
      </c>
    </row>
    <row r="5342" spans="1:17" x14ac:dyDescent="0.2">
      <c r="A5342" s="1">
        <v>7785</v>
      </c>
      <c r="B5342" s="2">
        <v>43016</v>
      </c>
      <c r="C5342" s="7">
        <f>_xlfn.FLOOR.MATH(Table1[[#This Row],[year]],10)</f>
        <v>2010</v>
      </c>
      <c r="D5342" t="s">
        <v>523</v>
      </c>
      <c r="E5342" t="s">
        <v>194</v>
      </c>
      <c r="F5342">
        <v>0</v>
      </c>
      <c r="G5342">
        <v>1</v>
      </c>
      <c r="H5342" t="s">
        <v>224</v>
      </c>
      <c r="I5342" t="s">
        <v>533</v>
      </c>
      <c r="J5342" t="s">
        <v>523</v>
      </c>
      <c r="K5342" t="b">
        <v>0</v>
      </c>
      <c r="L5342">
        <v>2017</v>
      </c>
      <c r="M5342">
        <v>47756764508</v>
      </c>
      <c r="N5342">
        <v>2699118387873</v>
      </c>
      <c r="O5342" t="b">
        <v>1</v>
      </c>
      <c r="P5342">
        <v>1</v>
      </c>
      <c r="Q5342" t="str" cm="1">
        <f t="array" ref="Q5342">_xlfn.IFS(Table1[[#This Row],[Wealthier_Winner]]=-1,"Wealthier Nation Loses",Table1[[#This Row],[Wealthier_Winner]]=0,"Tie",Table1[[#This Row],[Wealthier_Winner]]=1,"Wealthier Nation Wins")</f>
        <v>Wealthier Nation Wins</v>
      </c>
    </row>
    <row r="5343" spans="1:17" x14ac:dyDescent="0.2">
      <c r="A5343" s="1">
        <v>7787</v>
      </c>
      <c r="B5343" s="2">
        <v>43016</v>
      </c>
      <c r="C5343" s="7">
        <f>_xlfn.FLOOR.MATH(Table1[[#This Row],[year]],10)</f>
        <v>2010</v>
      </c>
      <c r="D5343" t="s">
        <v>58</v>
      </c>
      <c r="E5343" t="s">
        <v>705</v>
      </c>
      <c r="F5343">
        <v>4</v>
      </c>
      <c r="G5343">
        <v>2</v>
      </c>
      <c r="H5343" t="s">
        <v>224</v>
      </c>
      <c r="I5343" t="s">
        <v>619</v>
      </c>
      <c r="J5343" t="s">
        <v>58</v>
      </c>
      <c r="K5343" t="b">
        <v>0</v>
      </c>
      <c r="L5343">
        <v>2017</v>
      </c>
      <c r="M5343">
        <v>528356676667</v>
      </c>
      <c r="N5343">
        <v>4803962015</v>
      </c>
      <c r="O5343" t="b">
        <v>1</v>
      </c>
      <c r="P5343">
        <v>1</v>
      </c>
      <c r="Q5343" t="str" cm="1">
        <f t="array" ref="Q5343">_xlfn.IFS(Table1[[#This Row],[Wealthier_Winner]]=-1,"Wealthier Nation Loses",Table1[[#This Row],[Wealthier_Winner]]=0,"Tie",Table1[[#This Row],[Wealthier_Winner]]=1,"Wealthier Nation Wins")</f>
        <v>Wealthier Nation Wins</v>
      </c>
    </row>
    <row r="5344" spans="1:17" x14ac:dyDescent="0.2">
      <c r="A5344" s="1">
        <v>7790</v>
      </c>
      <c r="B5344" s="2">
        <v>43017</v>
      </c>
      <c r="C5344" s="7">
        <f>_xlfn.FLOOR.MATH(Table1[[#This Row],[year]],10)</f>
        <v>2010</v>
      </c>
      <c r="D5344" t="s">
        <v>373</v>
      </c>
      <c r="E5344" t="s">
        <v>18</v>
      </c>
      <c r="F5344">
        <v>0</v>
      </c>
      <c r="G5344">
        <v>1</v>
      </c>
      <c r="H5344" t="s">
        <v>224</v>
      </c>
      <c r="I5344" t="s">
        <v>802</v>
      </c>
      <c r="J5344" t="s">
        <v>373</v>
      </c>
      <c r="K5344" t="b">
        <v>0</v>
      </c>
      <c r="L5344">
        <v>2017</v>
      </c>
      <c r="M5344">
        <v>13258268435</v>
      </c>
      <c r="N5344">
        <v>1970720904584</v>
      </c>
      <c r="O5344" t="b">
        <v>1</v>
      </c>
      <c r="P5344">
        <v>1</v>
      </c>
      <c r="Q5344" t="str" cm="1">
        <f t="array" ref="Q5344">_xlfn.IFS(Table1[[#This Row],[Wealthier_Winner]]=-1,"Wealthier Nation Loses",Table1[[#This Row],[Wealthier_Winner]]=0,"Tie",Table1[[#This Row],[Wealthier_Winner]]=1,"Wealthier Nation Wins")</f>
        <v>Wealthier Nation Wins</v>
      </c>
    </row>
    <row r="5345" spans="1:17" x14ac:dyDescent="0.2">
      <c r="A5345" s="1">
        <v>7792</v>
      </c>
      <c r="B5345" s="2">
        <v>43017</v>
      </c>
      <c r="C5345" s="7">
        <f>_xlfn.FLOOR.MATH(Table1[[#This Row],[year]],10)</f>
        <v>2010</v>
      </c>
      <c r="D5345" t="s">
        <v>66</v>
      </c>
      <c r="E5345" t="s">
        <v>803</v>
      </c>
      <c r="F5345">
        <v>2</v>
      </c>
      <c r="G5345">
        <v>0</v>
      </c>
      <c r="H5345" t="s">
        <v>224</v>
      </c>
      <c r="I5345" t="s">
        <v>336</v>
      </c>
      <c r="J5345" t="s">
        <v>66</v>
      </c>
      <c r="K5345" t="b">
        <v>0</v>
      </c>
      <c r="L5345">
        <v>2017</v>
      </c>
      <c r="M5345">
        <v>25060086487</v>
      </c>
      <c r="N5345">
        <v>7180768692</v>
      </c>
      <c r="O5345" t="b">
        <v>1</v>
      </c>
      <c r="P5345">
        <v>1</v>
      </c>
      <c r="Q5345" t="str" cm="1">
        <f t="array" ref="Q5345">_xlfn.IFS(Table1[[#This Row],[Wealthier_Winner]]=-1,"Wealthier Nation Loses",Table1[[#This Row],[Wealthier_Winner]]=0,"Tie",Table1[[#This Row],[Wealthier_Winner]]=1,"Wealthier Nation Wins")</f>
        <v>Wealthier Nation Wins</v>
      </c>
    </row>
    <row r="5346" spans="1:17" x14ac:dyDescent="0.2">
      <c r="A5346" s="1">
        <v>7793</v>
      </c>
      <c r="B5346" s="2">
        <v>43017</v>
      </c>
      <c r="C5346" s="7">
        <f>_xlfn.FLOOR.MATH(Table1[[#This Row],[year]],10)</f>
        <v>2010</v>
      </c>
      <c r="D5346" t="s">
        <v>22</v>
      </c>
      <c r="E5346" t="s">
        <v>21</v>
      </c>
      <c r="F5346">
        <v>0</v>
      </c>
      <c r="G5346">
        <v>1</v>
      </c>
      <c r="H5346" t="s">
        <v>224</v>
      </c>
      <c r="I5346" t="s">
        <v>809</v>
      </c>
      <c r="J5346" t="s">
        <v>22</v>
      </c>
      <c r="K5346" t="b">
        <v>0</v>
      </c>
      <c r="L5346">
        <v>2017</v>
      </c>
      <c r="M5346">
        <v>358451839052</v>
      </c>
      <c r="N5346">
        <v>1321754088818</v>
      </c>
      <c r="O5346" t="b">
        <v>1</v>
      </c>
      <c r="P5346">
        <v>1</v>
      </c>
      <c r="Q5346" t="str" cm="1">
        <f t="array" ref="Q5346">_xlfn.IFS(Table1[[#This Row],[Wealthier_Winner]]=-1,"Wealthier Nation Loses",Table1[[#This Row],[Wealthier_Winner]]=0,"Tie",Table1[[#This Row],[Wealthier_Winner]]=1,"Wealthier Nation Wins")</f>
        <v>Wealthier Nation Wins</v>
      </c>
    </row>
    <row r="5347" spans="1:17" x14ac:dyDescent="0.2">
      <c r="A5347" s="1">
        <v>7794</v>
      </c>
      <c r="B5347" s="2">
        <v>43017</v>
      </c>
      <c r="C5347" s="7">
        <f>_xlfn.FLOOR.MATH(Table1[[#This Row],[year]],10)</f>
        <v>2010</v>
      </c>
      <c r="D5347" t="s">
        <v>502</v>
      </c>
      <c r="E5347" t="s">
        <v>503</v>
      </c>
      <c r="F5347">
        <v>4</v>
      </c>
      <c r="G5347">
        <v>0</v>
      </c>
      <c r="H5347" t="s">
        <v>224</v>
      </c>
      <c r="I5347" t="s">
        <v>823</v>
      </c>
      <c r="J5347" t="s">
        <v>502</v>
      </c>
      <c r="K5347" t="b">
        <v>0</v>
      </c>
      <c r="L5347">
        <v>2017</v>
      </c>
      <c r="M5347">
        <v>11307067069</v>
      </c>
      <c r="N5347">
        <v>6474308717</v>
      </c>
      <c r="O5347" t="b">
        <v>0</v>
      </c>
      <c r="P5347">
        <v>1</v>
      </c>
      <c r="Q5347" t="str" cm="1">
        <f t="array" ref="Q5347">_xlfn.IFS(Table1[[#This Row],[Wealthier_Winner]]=-1,"Wealthier Nation Loses",Table1[[#This Row],[Wealthier_Winner]]=0,"Tie",Table1[[#This Row],[Wealthier_Winner]]=1,"Wealthier Nation Wins")</f>
        <v>Wealthier Nation Wins</v>
      </c>
    </row>
    <row r="5348" spans="1:17" x14ac:dyDescent="0.2">
      <c r="A5348" s="1">
        <v>7795</v>
      </c>
      <c r="B5348" s="2">
        <v>43017</v>
      </c>
      <c r="C5348" s="7">
        <f>_xlfn.FLOOR.MATH(Table1[[#This Row],[year]],10)</f>
        <v>2010</v>
      </c>
      <c r="D5348" t="s">
        <v>527</v>
      </c>
      <c r="E5348" t="s">
        <v>29</v>
      </c>
      <c r="F5348">
        <v>0</v>
      </c>
      <c r="G5348">
        <v>1</v>
      </c>
      <c r="H5348" t="s">
        <v>224</v>
      </c>
      <c r="I5348" t="s">
        <v>528</v>
      </c>
      <c r="J5348" t="s">
        <v>527</v>
      </c>
      <c r="K5348" t="b">
        <v>0</v>
      </c>
      <c r="L5348">
        <v>2017</v>
      </c>
      <c r="M5348">
        <v>9514404016</v>
      </c>
      <c r="N5348">
        <v>414926138132</v>
      </c>
      <c r="O5348" t="b">
        <v>1</v>
      </c>
      <c r="P5348">
        <v>1</v>
      </c>
      <c r="Q5348" t="str" cm="1">
        <f t="array" ref="Q5348">_xlfn.IFS(Table1[[#This Row],[Wealthier_Winner]]=-1,"Wealthier Nation Loses",Table1[[#This Row],[Wealthier_Winner]]=0,"Tie",Table1[[#This Row],[Wealthier_Winner]]=1,"Wealthier Nation Wins")</f>
        <v>Wealthier Nation Wins</v>
      </c>
    </row>
    <row r="5349" spans="1:17" x14ac:dyDescent="0.2">
      <c r="A5349" s="1">
        <v>7796</v>
      </c>
      <c r="B5349" s="2">
        <v>43017</v>
      </c>
      <c r="C5349" s="7">
        <f>_xlfn.FLOOR.MATH(Table1[[#This Row],[year]],10)</f>
        <v>2010</v>
      </c>
      <c r="D5349" t="s">
        <v>61</v>
      </c>
      <c r="E5349" t="s">
        <v>534</v>
      </c>
      <c r="F5349">
        <v>1</v>
      </c>
      <c r="G5349">
        <v>0</v>
      </c>
      <c r="H5349" t="s">
        <v>224</v>
      </c>
      <c r="I5349" t="s">
        <v>505</v>
      </c>
      <c r="J5349" t="s">
        <v>61</v>
      </c>
      <c r="K5349" t="b">
        <v>0</v>
      </c>
      <c r="L5349">
        <v>2017</v>
      </c>
      <c r="M5349">
        <v>45972834713</v>
      </c>
      <c r="N5349">
        <v>16473125375</v>
      </c>
      <c r="O5349" t="b">
        <v>1</v>
      </c>
      <c r="P5349">
        <v>1</v>
      </c>
      <c r="Q5349" t="str" cm="1">
        <f t="array" ref="Q5349">_xlfn.IFS(Table1[[#This Row],[Wealthier_Winner]]=-1,"Wealthier Nation Loses",Table1[[#This Row],[Wealthier_Winner]]=0,"Tie",Table1[[#This Row],[Wealthier_Winner]]=1,"Wealthier Nation Wins")</f>
        <v>Wealthier Nation Wins</v>
      </c>
    </row>
    <row r="5350" spans="1:17" x14ac:dyDescent="0.2">
      <c r="A5350" s="1">
        <v>7797</v>
      </c>
      <c r="B5350" s="2">
        <v>43017</v>
      </c>
      <c r="C5350" s="7">
        <f>_xlfn.FLOOR.MATH(Table1[[#This Row],[year]],10)</f>
        <v>2010</v>
      </c>
      <c r="D5350" t="s">
        <v>64</v>
      </c>
      <c r="E5350" t="s">
        <v>52</v>
      </c>
      <c r="F5350">
        <v>0</v>
      </c>
      <c r="G5350">
        <v>2</v>
      </c>
      <c r="H5350" t="s">
        <v>224</v>
      </c>
      <c r="I5350" t="s">
        <v>423</v>
      </c>
      <c r="J5350" t="s">
        <v>64</v>
      </c>
      <c r="K5350" t="b">
        <v>0</v>
      </c>
      <c r="L5350">
        <v>2017</v>
      </c>
      <c r="M5350">
        <v>112090505081</v>
      </c>
      <c r="N5350">
        <v>56182782585</v>
      </c>
      <c r="O5350" t="b">
        <v>0</v>
      </c>
      <c r="P5350">
        <v>-1</v>
      </c>
      <c r="Q5350" t="str" cm="1">
        <f t="array" ref="Q5350">_xlfn.IFS(Table1[[#This Row],[Wealthier_Winner]]=-1,"Wealthier Nation Loses",Table1[[#This Row],[Wealthier_Winner]]=0,"Tie",Table1[[#This Row],[Wealthier_Winner]]=1,"Wealthier Nation Wins")</f>
        <v>Wealthier Nation Loses</v>
      </c>
    </row>
    <row r="5351" spans="1:17" x14ac:dyDescent="0.2">
      <c r="A5351" s="1">
        <v>7799</v>
      </c>
      <c r="B5351" s="2">
        <v>43018</v>
      </c>
      <c r="C5351" s="7">
        <f>_xlfn.FLOOR.MATH(Table1[[#This Row],[year]],10)</f>
        <v>2010</v>
      </c>
      <c r="D5351" t="s">
        <v>28</v>
      </c>
      <c r="E5351" t="s">
        <v>331</v>
      </c>
      <c r="F5351">
        <v>2</v>
      </c>
      <c r="G5351">
        <v>1</v>
      </c>
      <c r="H5351" t="s">
        <v>224</v>
      </c>
      <c r="I5351" t="s">
        <v>301</v>
      </c>
      <c r="J5351" t="s">
        <v>28</v>
      </c>
      <c r="K5351" t="b">
        <v>0</v>
      </c>
      <c r="L5351">
        <v>2017</v>
      </c>
      <c r="M5351">
        <v>1330890554614</v>
      </c>
      <c r="N5351">
        <v>16369843352</v>
      </c>
      <c r="O5351" t="b">
        <v>1</v>
      </c>
      <c r="P5351">
        <v>1</v>
      </c>
      <c r="Q5351" t="str" cm="1">
        <f t="array" ref="Q5351">_xlfn.IFS(Table1[[#This Row],[Wealthier_Winner]]=-1,"Wealthier Nation Loses",Table1[[#This Row],[Wealthier_Winner]]=0,"Tie",Table1[[#This Row],[Wealthier_Winner]]=1,"Wealthier Nation Wins")</f>
        <v>Wealthier Nation Wins</v>
      </c>
    </row>
    <row r="5352" spans="1:17" x14ac:dyDescent="0.2">
      <c r="A5352" s="1">
        <v>7800</v>
      </c>
      <c r="B5352" s="2">
        <v>43018</v>
      </c>
      <c r="C5352" s="7">
        <f>_xlfn.FLOOR.MATH(Table1[[#This Row],[year]],10)</f>
        <v>2010</v>
      </c>
      <c r="D5352" t="s">
        <v>23</v>
      </c>
      <c r="E5352" t="s">
        <v>351</v>
      </c>
      <c r="F5352">
        <v>4</v>
      </c>
      <c r="G5352">
        <v>0</v>
      </c>
      <c r="H5352" t="s">
        <v>224</v>
      </c>
      <c r="I5352" t="s">
        <v>235</v>
      </c>
      <c r="J5352" t="s">
        <v>23</v>
      </c>
      <c r="K5352" t="b">
        <v>0</v>
      </c>
      <c r="L5352">
        <v>2017</v>
      </c>
      <c r="M5352">
        <v>500908767351</v>
      </c>
      <c r="N5352">
        <v>22946570628</v>
      </c>
      <c r="O5352" t="b">
        <v>1</v>
      </c>
      <c r="P5352">
        <v>1</v>
      </c>
      <c r="Q5352" t="str" cm="1">
        <f t="array" ref="Q5352">_xlfn.IFS(Table1[[#This Row],[Wealthier_Winner]]=-1,"Wealthier Nation Loses",Table1[[#This Row],[Wealthier_Winner]]=0,"Tie",Table1[[#This Row],[Wealthier_Winner]]=1,"Wealthier Nation Wins")</f>
        <v>Wealthier Nation Wins</v>
      </c>
    </row>
    <row r="5353" spans="1:17" x14ac:dyDescent="0.2">
      <c r="A5353" s="1">
        <v>7801</v>
      </c>
      <c r="B5353" s="2">
        <v>43018</v>
      </c>
      <c r="C5353" s="7">
        <f>_xlfn.FLOOR.MATH(Table1[[#This Row],[year]],10)</f>
        <v>2010</v>
      </c>
      <c r="D5353" t="s">
        <v>13</v>
      </c>
      <c r="E5353" t="s">
        <v>14</v>
      </c>
      <c r="F5353">
        <v>3</v>
      </c>
      <c r="G5353">
        <v>0</v>
      </c>
      <c r="H5353" t="s">
        <v>224</v>
      </c>
      <c r="I5353" t="s">
        <v>417</v>
      </c>
      <c r="J5353" t="s">
        <v>13</v>
      </c>
      <c r="K5353" t="b">
        <v>0</v>
      </c>
      <c r="L5353">
        <v>2017</v>
      </c>
      <c r="M5353">
        <v>2063514688805</v>
      </c>
      <c r="N5353">
        <v>276154259981</v>
      </c>
      <c r="O5353" t="b">
        <v>1</v>
      </c>
      <c r="P5353">
        <v>1</v>
      </c>
      <c r="Q5353" t="str" cm="1">
        <f t="array" ref="Q5353">_xlfn.IFS(Table1[[#This Row],[Wealthier_Winner]]=-1,"Wealthier Nation Loses",Table1[[#This Row],[Wealthier_Winner]]=0,"Tie",Table1[[#This Row],[Wealthier_Winner]]=1,"Wealthier Nation Wins")</f>
        <v>Wealthier Nation Wins</v>
      </c>
    </row>
    <row r="5354" spans="1:17" x14ac:dyDescent="0.2">
      <c r="A5354" s="1">
        <v>7802</v>
      </c>
      <c r="B5354" s="2">
        <v>43018</v>
      </c>
      <c r="C5354" s="7">
        <f>_xlfn.FLOOR.MATH(Table1[[#This Row],[year]],10)</f>
        <v>2010</v>
      </c>
      <c r="D5354" t="s">
        <v>57</v>
      </c>
      <c r="E5354" t="s">
        <v>19</v>
      </c>
      <c r="F5354">
        <v>1</v>
      </c>
      <c r="G5354">
        <v>3</v>
      </c>
      <c r="H5354" t="s">
        <v>224</v>
      </c>
      <c r="I5354" t="s">
        <v>335</v>
      </c>
      <c r="J5354" t="s">
        <v>57</v>
      </c>
      <c r="K5354" t="b">
        <v>0</v>
      </c>
      <c r="L5354">
        <v>2017</v>
      </c>
      <c r="M5354">
        <v>104467486000</v>
      </c>
      <c r="N5354">
        <v>643628393281</v>
      </c>
      <c r="O5354" t="b">
        <v>1</v>
      </c>
      <c r="P5354">
        <v>1</v>
      </c>
      <c r="Q5354" t="str" cm="1">
        <f t="array" ref="Q5354">_xlfn.IFS(Table1[[#This Row],[Wealthier_Winner]]=-1,"Wealthier Nation Loses",Table1[[#This Row],[Wealthier_Winner]]=0,"Tie",Table1[[#This Row],[Wealthier_Winner]]=1,"Wealthier Nation Wins")</f>
        <v>Wealthier Nation Wins</v>
      </c>
    </row>
    <row r="5355" spans="1:17" x14ac:dyDescent="0.2">
      <c r="A5355" s="1">
        <v>7803</v>
      </c>
      <c r="B5355" s="2">
        <v>43018</v>
      </c>
      <c r="C5355" s="7">
        <f>_xlfn.FLOOR.MATH(Table1[[#This Row],[year]],10)</f>
        <v>2010</v>
      </c>
      <c r="D5355" t="s">
        <v>476</v>
      </c>
      <c r="E5355" t="s">
        <v>73</v>
      </c>
      <c r="F5355">
        <v>1</v>
      </c>
      <c r="G5355">
        <v>2</v>
      </c>
      <c r="H5355" t="s">
        <v>224</v>
      </c>
      <c r="I5355" t="s">
        <v>481</v>
      </c>
      <c r="J5355" t="s">
        <v>476</v>
      </c>
      <c r="K5355" t="b">
        <v>0</v>
      </c>
      <c r="L5355">
        <v>2017</v>
      </c>
      <c r="M5355">
        <v>27469461919</v>
      </c>
      <c r="N5355">
        <v>18326373135</v>
      </c>
      <c r="O5355" t="b">
        <v>0</v>
      </c>
      <c r="P5355">
        <v>-1</v>
      </c>
      <c r="Q5355" t="str" cm="1">
        <f t="array" ref="Q5355">_xlfn.IFS(Table1[[#This Row],[Wealthier_Winner]]=-1,"Wealthier Nation Loses",Table1[[#This Row],[Wealthier_Winner]]=0,"Tie",Table1[[#This Row],[Wealthier_Winner]]=1,"Wealthier Nation Wins")</f>
        <v>Wealthier Nation Loses</v>
      </c>
    </row>
    <row r="5356" spans="1:17" x14ac:dyDescent="0.2">
      <c r="A5356" s="1">
        <v>7804</v>
      </c>
      <c r="B5356" s="2">
        <v>43018</v>
      </c>
      <c r="C5356" s="7">
        <f>_xlfn.FLOOR.MATH(Table1[[#This Row],[year]],10)</f>
        <v>2010</v>
      </c>
      <c r="D5356" t="s">
        <v>20</v>
      </c>
      <c r="E5356" t="s">
        <v>510</v>
      </c>
      <c r="F5356">
        <v>2</v>
      </c>
      <c r="G5356">
        <v>1</v>
      </c>
      <c r="H5356" t="s">
        <v>224</v>
      </c>
      <c r="I5356" t="s">
        <v>132</v>
      </c>
      <c r="J5356" t="s">
        <v>20</v>
      </c>
      <c r="K5356" t="b">
        <v>0</v>
      </c>
      <c r="L5356">
        <v>2017</v>
      </c>
      <c r="M5356">
        <v>2588868323334</v>
      </c>
      <c r="N5356">
        <v>54725405751</v>
      </c>
      <c r="O5356" t="b">
        <v>1</v>
      </c>
      <c r="P5356">
        <v>1</v>
      </c>
      <c r="Q5356" t="str" cm="1">
        <f t="array" ref="Q5356">_xlfn.IFS(Table1[[#This Row],[Wealthier_Winner]]=-1,"Wealthier Nation Loses",Table1[[#This Row],[Wealthier_Winner]]=0,"Tie",Table1[[#This Row],[Wealthier_Winner]]=1,"Wealthier Nation Wins")</f>
        <v>Wealthier Nation Wins</v>
      </c>
    </row>
    <row r="5357" spans="1:17" x14ac:dyDescent="0.2">
      <c r="A5357" s="1">
        <v>7806</v>
      </c>
      <c r="B5357" s="2">
        <v>43018</v>
      </c>
      <c r="C5357" s="7">
        <f>_xlfn.FLOOR.MATH(Table1[[#This Row],[year]],10)</f>
        <v>2010</v>
      </c>
      <c r="D5357" t="s">
        <v>65</v>
      </c>
      <c r="E5357" t="s">
        <v>17</v>
      </c>
      <c r="F5357">
        <v>3</v>
      </c>
      <c r="G5357">
        <v>2</v>
      </c>
      <c r="H5357" t="s">
        <v>224</v>
      </c>
      <c r="I5357" t="s">
        <v>254</v>
      </c>
      <c r="J5357" t="s">
        <v>65</v>
      </c>
      <c r="K5357" t="b">
        <v>0</v>
      </c>
      <c r="L5357">
        <v>2017</v>
      </c>
      <c r="M5357">
        <v>23136247990</v>
      </c>
      <c r="N5357">
        <v>1190721475906</v>
      </c>
      <c r="O5357" t="b">
        <v>1</v>
      </c>
      <c r="P5357">
        <v>-1</v>
      </c>
      <c r="Q5357" t="str" cm="1">
        <f t="array" ref="Q5357">_xlfn.IFS(Table1[[#This Row],[Wealthier_Winner]]=-1,"Wealthier Nation Loses",Table1[[#This Row],[Wealthier_Winner]]=0,"Tie",Table1[[#This Row],[Wealthier_Winner]]=1,"Wealthier Nation Wins")</f>
        <v>Wealthier Nation Loses</v>
      </c>
    </row>
    <row r="5358" spans="1:17" x14ac:dyDescent="0.2">
      <c r="A5358" s="1">
        <v>7807</v>
      </c>
      <c r="B5358" s="2">
        <v>43018</v>
      </c>
      <c r="C5358" s="7">
        <f>_xlfn.FLOOR.MATH(Table1[[#This Row],[year]],10)</f>
        <v>2010</v>
      </c>
      <c r="D5358" t="s">
        <v>30</v>
      </c>
      <c r="E5358" t="s">
        <v>447</v>
      </c>
      <c r="F5358">
        <v>1</v>
      </c>
      <c r="G5358">
        <v>0</v>
      </c>
      <c r="H5358" t="s">
        <v>224</v>
      </c>
      <c r="I5358" t="s">
        <v>297</v>
      </c>
      <c r="J5358" t="s">
        <v>30</v>
      </c>
      <c r="K5358" t="b">
        <v>0</v>
      </c>
      <c r="L5358">
        <v>2017</v>
      </c>
      <c r="M5358">
        <v>143335098991</v>
      </c>
      <c r="N5358">
        <v>2980057377</v>
      </c>
      <c r="O5358" t="b">
        <v>1</v>
      </c>
      <c r="P5358">
        <v>1</v>
      </c>
      <c r="Q5358" t="str" cm="1">
        <f t="array" ref="Q5358">_xlfn.IFS(Table1[[#This Row],[Wealthier_Winner]]=-1,"Wealthier Nation Loses",Table1[[#This Row],[Wealthier_Winner]]=0,"Tie",Table1[[#This Row],[Wealthier_Winner]]=1,"Wealthier Nation Wins")</f>
        <v>Wealthier Nation Wins</v>
      </c>
    </row>
    <row r="5359" spans="1:17" x14ac:dyDescent="0.2">
      <c r="A5359" s="1">
        <v>7808</v>
      </c>
      <c r="B5359" s="2">
        <v>43018</v>
      </c>
      <c r="C5359" s="7">
        <f>_xlfn.FLOOR.MATH(Table1[[#This Row],[year]],10)</f>
        <v>2010</v>
      </c>
      <c r="D5359" t="s">
        <v>525</v>
      </c>
      <c r="E5359" t="s">
        <v>601</v>
      </c>
      <c r="F5359">
        <v>4</v>
      </c>
      <c r="G5359">
        <v>0</v>
      </c>
      <c r="H5359" t="s">
        <v>224</v>
      </c>
      <c r="I5359" t="s">
        <v>526</v>
      </c>
      <c r="J5359" t="s">
        <v>525</v>
      </c>
      <c r="K5359" t="b">
        <v>0</v>
      </c>
      <c r="L5359">
        <v>2017</v>
      </c>
      <c r="M5359">
        <v>29391059767</v>
      </c>
      <c r="N5359">
        <v>3000160414</v>
      </c>
      <c r="O5359" t="b">
        <v>1</v>
      </c>
      <c r="P5359">
        <v>1</v>
      </c>
      <c r="Q5359" t="str" cm="1">
        <f t="array" ref="Q5359">_xlfn.IFS(Table1[[#This Row],[Wealthier_Winner]]=-1,"Wealthier Nation Loses",Table1[[#This Row],[Wealthier_Winner]]=0,"Tie",Table1[[#This Row],[Wealthier_Winner]]=1,"Wealthier Nation Wins")</f>
        <v>Wealthier Nation Wins</v>
      </c>
    </row>
    <row r="5360" spans="1:17" x14ac:dyDescent="0.2">
      <c r="A5360" s="1">
        <v>7809</v>
      </c>
      <c r="B5360" s="2">
        <v>43018</v>
      </c>
      <c r="C5360" s="7">
        <f>_xlfn.FLOOR.MATH(Table1[[#This Row],[year]],10)</f>
        <v>2010</v>
      </c>
      <c r="D5360" t="s">
        <v>232</v>
      </c>
      <c r="E5360" t="s">
        <v>33</v>
      </c>
      <c r="F5360">
        <v>1</v>
      </c>
      <c r="G5360">
        <v>1</v>
      </c>
      <c r="H5360" t="s">
        <v>224</v>
      </c>
      <c r="I5360" t="s">
        <v>232</v>
      </c>
      <c r="J5360" t="s">
        <v>232</v>
      </c>
      <c r="K5360" t="b">
        <v>0</v>
      </c>
      <c r="L5360">
        <v>2017</v>
      </c>
      <c r="M5360">
        <v>65712180342</v>
      </c>
      <c r="N5360">
        <v>59167647387</v>
      </c>
      <c r="O5360" t="b">
        <v>0</v>
      </c>
      <c r="P5360">
        <v>0</v>
      </c>
      <c r="Q5360" t="str" cm="1">
        <f t="array" ref="Q5360">_xlfn.IFS(Table1[[#This Row],[Wealthier_Winner]]=-1,"Wealthier Nation Loses",Table1[[#This Row],[Wealthier_Winner]]=0,"Tie",Table1[[#This Row],[Wealthier_Winner]]=1,"Wealthier Nation Wins")</f>
        <v>Tie</v>
      </c>
    </row>
    <row r="5361" spans="1:17" x14ac:dyDescent="0.2">
      <c r="A5361" s="1">
        <v>7810</v>
      </c>
      <c r="B5361" s="2">
        <v>43018</v>
      </c>
      <c r="C5361" s="7">
        <f>_xlfn.FLOOR.MATH(Table1[[#This Row],[year]],10)</f>
        <v>2010</v>
      </c>
      <c r="D5361" t="s">
        <v>27</v>
      </c>
      <c r="E5361" t="s">
        <v>25</v>
      </c>
      <c r="F5361">
        <v>2</v>
      </c>
      <c r="G5361">
        <v>0</v>
      </c>
      <c r="H5361" t="s">
        <v>224</v>
      </c>
      <c r="I5361" t="s">
        <v>263</v>
      </c>
      <c r="J5361" t="s">
        <v>27</v>
      </c>
      <c r="K5361" t="b">
        <v>0</v>
      </c>
      <c r="L5361">
        <v>2017</v>
      </c>
      <c r="M5361">
        <v>848233537845</v>
      </c>
      <c r="N5361">
        <v>535172356784</v>
      </c>
      <c r="O5361" t="b">
        <v>0</v>
      </c>
      <c r="P5361">
        <v>1</v>
      </c>
      <c r="Q5361" t="str" cm="1">
        <f t="array" ref="Q5361">_xlfn.IFS(Table1[[#This Row],[Wealthier_Winner]]=-1,"Wealthier Nation Loses",Table1[[#This Row],[Wealthier_Winner]]=0,"Tie",Table1[[#This Row],[Wealthier_Winner]]=1,"Wealthier Nation Wins")</f>
        <v>Wealthier Nation Wins</v>
      </c>
    </row>
    <row r="5362" spans="1:17" x14ac:dyDescent="0.2">
      <c r="A5362" s="1">
        <v>7811</v>
      </c>
      <c r="B5362" s="2">
        <v>43018</v>
      </c>
      <c r="C5362" s="7">
        <f>_xlfn.FLOOR.MATH(Table1[[#This Row],[year]],10)</f>
        <v>2010</v>
      </c>
      <c r="D5362" t="s">
        <v>67</v>
      </c>
      <c r="E5362" t="s">
        <v>56</v>
      </c>
      <c r="F5362">
        <v>2</v>
      </c>
      <c r="G5362">
        <v>1</v>
      </c>
      <c r="H5362" t="s">
        <v>224</v>
      </c>
      <c r="I5362" t="s">
        <v>455</v>
      </c>
      <c r="J5362" t="s">
        <v>67</v>
      </c>
      <c r="K5362" t="b">
        <v>0</v>
      </c>
      <c r="L5362">
        <v>2017</v>
      </c>
      <c r="M5362">
        <v>64327688826</v>
      </c>
      <c r="N5362">
        <v>60516044656</v>
      </c>
      <c r="O5362" t="b">
        <v>0</v>
      </c>
      <c r="P5362">
        <v>1</v>
      </c>
      <c r="Q5362" t="str" cm="1">
        <f t="array" ref="Q5362">_xlfn.IFS(Table1[[#This Row],[Wealthier_Winner]]=-1,"Wealthier Nation Loses",Table1[[#This Row],[Wealthier_Winner]]=0,"Tie",Table1[[#This Row],[Wealthier_Winner]]=1,"Wealthier Nation Wins")</f>
        <v>Wealthier Nation Wins</v>
      </c>
    </row>
    <row r="5363" spans="1:17" x14ac:dyDescent="0.2">
      <c r="A5363" s="1">
        <v>7812</v>
      </c>
      <c r="B5363" s="2">
        <v>43018</v>
      </c>
      <c r="C5363" s="7">
        <f>_xlfn.FLOOR.MATH(Table1[[#This Row],[year]],10)</f>
        <v>2010</v>
      </c>
      <c r="D5363" t="s">
        <v>35</v>
      </c>
      <c r="E5363" t="s">
        <v>258</v>
      </c>
      <c r="F5363">
        <v>0</v>
      </c>
      <c r="G5363">
        <v>1</v>
      </c>
      <c r="H5363" t="s">
        <v>224</v>
      </c>
      <c r="I5363" t="s">
        <v>250</v>
      </c>
      <c r="J5363" t="s">
        <v>35</v>
      </c>
      <c r="K5363" t="b">
        <v>0</v>
      </c>
      <c r="L5363">
        <v>2017</v>
      </c>
      <c r="M5363">
        <v>38997129473</v>
      </c>
      <c r="N5363">
        <v>115883275162</v>
      </c>
      <c r="O5363" t="b">
        <v>1</v>
      </c>
      <c r="P5363">
        <v>1</v>
      </c>
      <c r="Q5363" t="str" cm="1">
        <f t="array" ref="Q5363">_xlfn.IFS(Table1[[#This Row],[Wealthier_Winner]]=-1,"Wealthier Nation Loses",Table1[[#This Row],[Wealthier_Winner]]=0,"Tie",Table1[[#This Row],[Wealthier_Winner]]=1,"Wealthier Nation Wins")</f>
        <v>Wealthier Nation Wins</v>
      </c>
    </row>
    <row r="5364" spans="1:17" x14ac:dyDescent="0.2">
      <c r="A5364" s="1">
        <v>7813</v>
      </c>
      <c r="B5364" s="2">
        <v>43018</v>
      </c>
      <c r="C5364" s="7">
        <f>_xlfn.FLOOR.MATH(Table1[[#This Row],[year]],10)</f>
        <v>2010</v>
      </c>
      <c r="D5364" t="s">
        <v>31</v>
      </c>
      <c r="E5364" t="s">
        <v>15</v>
      </c>
      <c r="F5364">
        <v>1</v>
      </c>
      <c r="G5364">
        <v>1</v>
      </c>
      <c r="H5364" t="s">
        <v>224</v>
      </c>
      <c r="I5364" t="s">
        <v>242</v>
      </c>
      <c r="J5364" t="s">
        <v>31</v>
      </c>
      <c r="K5364" t="b">
        <v>0</v>
      </c>
      <c r="L5364">
        <v>2017</v>
      </c>
      <c r="M5364">
        <v>211007984080</v>
      </c>
      <c r="N5364">
        <v>311866875156</v>
      </c>
      <c r="O5364" t="b">
        <v>0</v>
      </c>
      <c r="P5364">
        <v>0</v>
      </c>
      <c r="Q5364" t="str" cm="1">
        <f t="array" ref="Q5364">_xlfn.IFS(Table1[[#This Row],[Wealthier_Winner]]=-1,"Wealthier Nation Loses",Table1[[#This Row],[Wealthier_Winner]]=0,"Tie",Table1[[#This Row],[Wealthier_Winner]]=1,"Wealthier Nation Wins")</f>
        <v>Tie</v>
      </c>
    </row>
    <row r="5365" spans="1:17" x14ac:dyDescent="0.2">
      <c r="A5365" s="1">
        <v>7814</v>
      </c>
      <c r="B5365" s="2">
        <v>43018</v>
      </c>
      <c r="C5365" s="7">
        <f>_xlfn.FLOOR.MATH(Table1[[#This Row],[year]],10)</f>
        <v>2010</v>
      </c>
      <c r="D5365" t="s">
        <v>38</v>
      </c>
      <c r="E5365" t="s">
        <v>46</v>
      </c>
      <c r="F5365">
        <v>2</v>
      </c>
      <c r="G5365">
        <v>0</v>
      </c>
      <c r="H5365" t="s">
        <v>224</v>
      </c>
      <c r="I5365" t="s">
        <v>291</v>
      </c>
      <c r="J5365" t="s">
        <v>38</v>
      </c>
      <c r="K5365" t="b">
        <v>0</v>
      </c>
      <c r="L5365">
        <v>2017</v>
      </c>
      <c r="M5365">
        <v>220862990767</v>
      </c>
      <c r="N5365">
        <v>695200833086</v>
      </c>
      <c r="O5365" t="b">
        <v>1</v>
      </c>
      <c r="P5365">
        <v>-1</v>
      </c>
      <c r="Q5365" t="str" cm="1">
        <f t="array" ref="Q5365">_xlfn.IFS(Table1[[#This Row],[Wealthier_Winner]]=-1,"Wealthier Nation Loses",Table1[[#This Row],[Wealthier_Winner]]=0,"Tie",Table1[[#This Row],[Wealthier_Winner]]=1,"Wealthier Nation Wins")</f>
        <v>Wealthier Nation Loses</v>
      </c>
    </row>
    <row r="5366" spans="1:17" x14ac:dyDescent="0.2">
      <c r="A5366" s="1">
        <v>7815</v>
      </c>
      <c r="B5366" s="2">
        <v>43018</v>
      </c>
      <c r="C5366" s="7">
        <f>_xlfn.FLOOR.MATH(Table1[[#This Row],[year]],10)</f>
        <v>2010</v>
      </c>
      <c r="D5366" t="s">
        <v>59</v>
      </c>
      <c r="E5366" t="s">
        <v>41</v>
      </c>
      <c r="F5366">
        <v>2</v>
      </c>
      <c r="G5366">
        <v>1</v>
      </c>
      <c r="H5366" t="s">
        <v>224</v>
      </c>
      <c r="I5366" t="s">
        <v>820</v>
      </c>
      <c r="J5366" t="s">
        <v>59</v>
      </c>
      <c r="K5366" t="b">
        <v>0</v>
      </c>
      <c r="L5366">
        <v>2017</v>
      </c>
      <c r="M5366">
        <v>23830750900</v>
      </c>
      <c r="N5366">
        <v>19477336549000</v>
      </c>
      <c r="O5366" t="b">
        <v>1</v>
      </c>
      <c r="P5366">
        <v>-1</v>
      </c>
      <c r="Q5366" t="str" cm="1">
        <f t="array" ref="Q5366">_xlfn.IFS(Table1[[#This Row],[Wealthier_Winner]]=-1,"Wealthier Nation Loses",Table1[[#This Row],[Wealthier_Winner]]=0,"Tie",Table1[[#This Row],[Wealthier_Winner]]=1,"Wealthier Nation Wins")</f>
        <v>Wealthier Nation Loses</v>
      </c>
    </row>
    <row r="5367" spans="1:17" x14ac:dyDescent="0.2">
      <c r="A5367" s="1">
        <v>7816</v>
      </c>
      <c r="B5367" s="2">
        <v>43018</v>
      </c>
      <c r="C5367" s="7">
        <f>_xlfn.FLOOR.MATH(Table1[[#This Row],[year]],10)</f>
        <v>2010</v>
      </c>
      <c r="D5367" t="s">
        <v>26</v>
      </c>
      <c r="E5367" t="s">
        <v>47</v>
      </c>
      <c r="F5367">
        <v>4</v>
      </c>
      <c r="G5367">
        <v>2</v>
      </c>
      <c r="H5367" t="s">
        <v>224</v>
      </c>
      <c r="I5367" t="s">
        <v>247</v>
      </c>
      <c r="J5367" t="s">
        <v>26</v>
      </c>
      <c r="K5367" t="b">
        <v>0</v>
      </c>
      <c r="L5367">
        <v>2017</v>
      </c>
      <c r="M5367">
        <v>65005997963</v>
      </c>
      <c r="N5367">
        <v>45927439594</v>
      </c>
      <c r="O5367" t="b">
        <v>0</v>
      </c>
      <c r="P5367">
        <v>1</v>
      </c>
      <c r="Q5367" t="str" cm="1">
        <f t="array" ref="Q5367">_xlfn.IFS(Table1[[#This Row],[Wealthier_Winner]]=-1,"Wealthier Nation Loses",Table1[[#This Row],[Wealthier_Winner]]=0,"Tie",Table1[[#This Row],[Wealthier_Winner]]=1,"Wealthier Nation Wins")</f>
        <v>Wealthier Nation Wins</v>
      </c>
    </row>
    <row r="5368" spans="1:17" x14ac:dyDescent="0.2">
      <c r="A5368" s="1">
        <v>7817</v>
      </c>
      <c r="B5368" s="2">
        <v>43048</v>
      </c>
      <c r="C5368" s="7">
        <f>_xlfn.FLOOR.MATH(Table1[[#This Row],[year]],10)</f>
        <v>2010</v>
      </c>
      <c r="D5368" t="s">
        <v>52</v>
      </c>
      <c r="E5368" t="s">
        <v>48</v>
      </c>
      <c r="F5368">
        <v>4</v>
      </c>
      <c r="G5368">
        <v>1</v>
      </c>
      <c r="H5368" t="s">
        <v>224</v>
      </c>
      <c r="I5368" t="s">
        <v>538</v>
      </c>
      <c r="J5368" t="s">
        <v>52</v>
      </c>
      <c r="K5368" t="b">
        <v>0</v>
      </c>
      <c r="L5368">
        <v>2017</v>
      </c>
      <c r="M5368">
        <v>56182782585</v>
      </c>
      <c r="N5368">
        <v>200381103984</v>
      </c>
      <c r="O5368" t="b">
        <v>1</v>
      </c>
      <c r="P5368">
        <v>-1</v>
      </c>
      <c r="Q5368" t="str" cm="1">
        <f t="array" ref="Q5368">_xlfn.IFS(Table1[[#This Row],[Wealthier_Winner]]=-1,"Wealthier Nation Loses",Table1[[#This Row],[Wealthier_Winner]]=0,"Tie",Table1[[#This Row],[Wealthier_Winner]]=1,"Wealthier Nation Wins")</f>
        <v>Wealthier Nation Loses</v>
      </c>
    </row>
    <row r="5369" spans="1:17" x14ac:dyDescent="0.2">
      <c r="A5369" s="1">
        <v>7819</v>
      </c>
      <c r="B5369" s="2">
        <v>43049</v>
      </c>
      <c r="C5369" s="7">
        <f>_xlfn.FLOOR.MATH(Table1[[#This Row],[year]],10)</f>
        <v>2010</v>
      </c>
      <c r="D5369" t="s">
        <v>32</v>
      </c>
      <c r="E5369" t="s">
        <v>43</v>
      </c>
      <c r="F5369">
        <v>3</v>
      </c>
      <c r="G5369">
        <v>0</v>
      </c>
      <c r="H5369" t="s">
        <v>224</v>
      </c>
      <c r="I5369" t="s">
        <v>380</v>
      </c>
      <c r="J5369" t="s">
        <v>32</v>
      </c>
      <c r="K5369" t="b">
        <v>0</v>
      </c>
      <c r="L5369">
        <v>2017</v>
      </c>
      <c r="M5369">
        <v>189880896903</v>
      </c>
      <c r="N5369">
        <v>375745731053</v>
      </c>
      <c r="O5369" t="b">
        <v>0</v>
      </c>
      <c r="P5369">
        <v>-1</v>
      </c>
      <c r="Q5369" t="str" cm="1">
        <f t="array" ref="Q5369">_xlfn.IFS(Table1[[#This Row],[Wealthier_Winner]]=-1,"Wealthier Nation Loses",Table1[[#This Row],[Wealthier_Winner]]=0,"Tie",Table1[[#This Row],[Wealthier_Winner]]=1,"Wealthier Nation Wins")</f>
        <v>Wealthier Nation Loses</v>
      </c>
    </row>
    <row r="5370" spans="1:17" x14ac:dyDescent="0.2">
      <c r="A5370" s="1">
        <v>7820</v>
      </c>
      <c r="B5370" s="2">
        <v>43049</v>
      </c>
      <c r="C5370" s="7">
        <f>_xlfn.FLOOR.MATH(Table1[[#This Row],[year]],10)</f>
        <v>2010</v>
      </c>
      <c r="D5370" t="s">
        <v>65</v>
      </c>
      <c r="E5370" t="s">
        <v>28</v>
      </c>
      <c r="F5370">
        <v>0</v>
      </c>
      <c r="G5370">
        <v>0</v>
      </c>
      <c r="H5370" t="s">
        <v>224</v>
      </c>
      <c r="I5370" t="s">
        <v>254</v>
      </c>
      <c r="J5370" t="s">
        <v>65</v>
      </c>
      <c r="K5370" t="b">
        <v>0</v>
      </c>
      <c r="L5370">
        <v>2017</v>
      </c>
      <c r="M5370">
        <v>23136247990</v>
      </c>
      <c r="N5370">
        <v>1330890554614</v>
      </c>
      <c r="O5370" t="b">
        <v>1</v>
      </c>
      <c r="P5370">
        <v>0</v>
      </c>
      <c r="Q5370" t="str" cm="1">
        <f t="array" ref="Q5370">_xlfn.IFS(Table1[[#This Row],[Wealthier_Winner]]=-1,"Wealthier Nation Loses",Table1[[#This Row],[Wealthier_Winner]]=0,"Tie",Table1[[#This Row],[Wealthier_Winner]]=1,"Wealthier Nation Wins")</f>
        <v>Tie</v>
      </c>
    </row>
    <row r="5371" spans="1:17" x14ac:dyDescent="0.2">
      <c r="A5371" s="1">
        <v>7821</v>
      </c>
      <c r="B5371" s="2">
        <v>43049</v>
      </c>
      <c r="C5371" s="7">
        <f>_xlfn.FLOOR.MATH(Table1[[#This Row],[year]],10)</f>
        <v>2010</v>
      </c>
      <c r="D5371" t="s">
        <v>50</v>
      </c>
      <c r="E5371" t="s">
        <v>54</v>
      </c>
      <c r="F5371">
        <v>0</v>
      </c>
      <c r="G5371">
        <v>2</v>
      </c>
      <c r="H5371" t="s">
        <v>224</v>
      </c>
      <c r="I5371" t="s">
        <v>162</v>
      </c>
      <c r="J5371" t="s">
        <v>50</v>
      </c>
      <c r="K5371" t="b">
        <v>0</v>
      </c>
      <c r="L5371">
        <v>2017</v>
      </c>
      <c r="M5371">
        <v>381448814653</v>
      </c>
      <c r="N5371">
        <v>20996562943</v>
      </c>
      <c r="O5371" t="b">
        <v>1</v>
      </c>
      <c r="P5371">
        <v>-1</v>
      </c>
      <c r="Q5371" t="str" cm="1">
        <f t="array" ref="Q5371">_xlfn.IFS(Table1[[#This Row],[Wealthier_Winner]]=-1,"Wealthier Nation Loses",Table1[[#This Row],[Wealthier_Winner]]=0,"Tie",Table1[[#This Row],[Wealthier_Winner]]=1,"Wealthier Nation Wins")</f>
        <v>Wealthier Nation Loses</v>
      </c>
    </row>
    <row r="5372" spans="1:17" x14ac:dyDescent="0.2">
      <c r="A5372" s="1">
        <v>7822</v>
      </c>
      <c r="B5372" s="2">
        <v>43049</v>
      </c>
      <c r="C5372" s="7">
        <f>_xlfn.FLOOR.MATH(Table1[[#This Row],[year]],10)</f>
        <v>2010</v>
      </c>
      <c r="D5372" t="s">
        <v>25</v>
      </c>
      <c r="E5372" t="s">
        <v>18</v>
      </c>
      <c r="F5372">
        <v>1</v>
      </c>
      <c r="G5372">
        <v>0</v>
      </c>
      <c r="H5372" t="s">
        <v>224</v>
      </c>
      <c r="I5372" t="s">
        <v>233</v>
      </c>
      <c r="J5372" t="s">
        <v>25</v>
      </c>
      <c r="K5372" t="b">
        <v>0</v>
      </c>
      <c r="L5372">
        <v>2017</v>
      </c>
      <c r="M5372">
        <v>535172356784</v>
      </c>
      <c r="N5372">
        <v>1970720904584</v>
      </c>
      <c r="O5372" t="b">
        <v>1</v>
      </c>
      <c r="P5372">
        <v>-1</v>
      </c>
      <c r="Q5372" t="str" cm="1">
        <f t="array" ref="Q5372">_xlfn.IFS(Table1[[#This Row],[Wealthier_Winner]]=-1,"Wealthier Nation Loses",Table1[[#This Row],[Wealthier_Winner]]=0,"Tie",Table1[[#This Row],[Wealthier_Winner]]=1,"Wealthier Nation Wins")</f>
        <v>Wealthier Nation Loses</v>
      </c>
    </row>
    <row r="5373" spans="1:17" x14ac:dyDescent="0.2">
      <c r="A5373" s="1">
        <v>7825</v>
      </c>
      <c r="B5373" s="2">
        <v>43050</v>
      </c>
      <c r="C5373" s="7">
        <f>_xlfn.FLOOR.MATH(Table1[[#This Row],[year]],10)</f>
        <v>2010</v>
      </c>
      <c r="D5373" t="s">
        <v>433</v>
      </c>
      <c r="E5373" t="s">
        <v>590</v>
      </c>
      <c r="F5373">
        <v>0</v>
      </c>
      <c r="G5373">
        <v>0</v>
      </c>
      <c r="H5373" t="s">
        <v>224</v>
      </c>
      <c r="I5373" t="s">
        <v>765</v>
      </c>
      <c r="J5373" t="s">
        <v>433</v>
      </c>
      <c r="K5373" t="b">
        <v>0</v>
      </c>
      <c r="L5373">
        <v>2017</v>
      </c>
      <c r="M5373">
        <v>14929487485</v>
      </c>
      <c r="N5373">
        <v>18308362040</v>
      </c>
      <c r="O5373" t="b">
        <v>0</v>
      </c>
      <c r="P5373">
        <v>0</v>
      </c>
      <c r="Q5373" t="str" cm="1">
        <f t="array" ref="Q5373">_xlfn.IFS(Table1[[#This Row],[Wealthier_Winner]]=-1,"Wealthier Nation Loses",Table1[[#This Row],[Wealthier_Winner]]=0,"Tie",Table1[[#This Row],[Wealthier_Winner]]=1,"Wealthier Nation Wins")</f>
        <v>Tie</v>
      </c>
    </row>
    <row r="5374" spans="1:17" x14ac:dyDescent="0.2">
      <c r="A5374" s="1">
        <v>7827</v>
      </c>
      <c r="B5374" s="2">
        <v>43050</v>
      </c>
      <c r="C5374" s="7">
        <f>_xlfn.FLOOR.MATH(Table1[[#This Row],[year]],10)</f>
        <v>2010</v>
      </c>
      <c r="D5374" t="s">
        <v>72</v>
      </c>
      <c r="E5374" t="s">
        <v>31</v>
      </c>
      <c r="F5374">
        <v>0</v>
      </c>
      <c r="G5374">
        <v>0</v>
      </c>
      <c r="H5374" t="s">
        <v>224</v>
      </c>
      <c r="I5374" t="s">
        <v>629</v>
      </c>
      <c r="J5374" t="s">
        <v>72</v>
      </c>
      <c r="K5374" t="b">
        <v>0</v>
      </c>
      <c r="L5374">
        <v>2017</v>
      </c>
      <c r="M5374">
        <v>206745969246</v>
      </c>
      <c r="N5374">
        <v>211007984080</v>
      </c>
      <c r="O5374" t="b">
        <v>0</v>
      </c>
      <c r="P5374">
        <v>0</v>
      </c>
      <c r="Q5374" t="str" cm="1">
        <f t="array" ref="Q5374">_xlfn.IFS(Table1[[#This Row],[Wealthier_Winner]]=-1,"Wealthier Nation Loses",Table1[[#This Row],[Wealthier_Winner]]=0,"Tie",Table1[[#This Row],[Wealthier_Winner]]=1,"Wealthier Nation Wins")</f>
        <v>Tie</v>
      </c>
    </row>
    <row r="5375" spans="1:17" x14ac:dyDescent="0.2">
      <c r="A5375" s="1">
        <v>7828</v>
      </c>
      <c r="B5375" s="2">
        <v>43050</v>
      </c>
      <c r="C5375" s="7">
        <f>_xlfn.FLOOR.MATH(Table1[[#This Row],[year]],10)</f>
        <v>2010</v>
      </c>
      <c r="D5375" t="s">
        <v>53</v>
      </c>
      <c r="E5375" t="s">
        <v>286</v>
      </c>
      <c r="F5375">
        <v>0</v>
      </c>
      <c r="G5375">
        <v>0</v>
      </c>
      <c r="H5375" t="s">
        <v>224</v>
      </c>
      <c r="I5375" t="s">
        <v>658</v>
      </c>
      <c r="J5375" t="s">
        <v>53</v>
      </c>
      <c r="K5375" t="b">
        <v>0</v>
      </c>
      <c r="L5375">
        <v>2017</v>
      </c>
      <c r="M5375">
        <v>42163530590</v>
      </c>
      <c r="N5375">
        <v>67157452181</v>
      </c>
      <c r="O5375" t="b">
        <v>0</v>
      </c>
      <c r="P5375">
        <v>0</v>
      </c>
      <c r="Q5375" t="str" cm="1">
        <f t="array" ref="Q5375">_xlfn.IFS(Table1[[#This Row],[Wealthier_Winner]]=-1,"Wealthier Nation Loses",Table1[[#This Row],[Wealthier_Winner]]=0,"Tie",Table1[[#This Row],[Wealthier_Winner]]=1,"Wealthier Nation Wins")</f>
        <v>Tie</v>
      </c>
    </row>
    <row r="5376" spans="1:17" x14ac:dyDescent="0.2">
      <c r="A5376" s="1">
        <v>7829</v>
      </c>
      <c r="B5376" s="2">
        <v>43050</v>
      </c>
      <c r="C5376" s="7">
        <f>_xlfn.FLOOR.MATH(Table1[[#This Row],[year]],10)</f>
        <v>2010</v>
      </c>
      <c r="D5376" t="s">
        <v>273</v>
      </c>
      <c r="E5376" t="s">
        <v>40</v>
      </c>
      <c r="F5376">
        <v>2</v>
      </c>
      <c r="G5376">
        <v>2</v>
      </c>
      <c r="H5376" t="s">
        <v>224</v>
      </c>
      <c r="I5376" t="s">
        <v>275</v>
      </c>
      <c r="J5376" t="s">
        <v>273</v>
      </c>
      <c r="K5376" t="b">
        <v>0</v>
      </c>
      <c r="L5376">
        <v>2017</v>
      </c>
      <c r="M5376">
        <v>25873601260</v>
      </c>
      <c r="N5376">
        <v>36098547033</v>
      </c>
      <c r="O5376" t="b">
        <v>0</v>
      </c>
      <c r="P5376">
        <v>0</v>
      </c>
      <c r="Q5376" t="str" cm="1">
        <f t="array" ref="Q5376">_xlfn.IFS(Table1[[#This Row],[Wealthier_Winner]]=-1,"Wealthier Nation Loses",Table1[[#This Row],[Wealthier_Winner]]=0,"Tie",Table1[[#This Row],[Wealthier_Winner]]=1,"Wealthier Nation Wins")</f>
        <v>Tie</v>
      </c>
    </row>
    <row r="5377" spans="1:17" x14ac:dyDescent="0.2">
      <c r="A5377" s="1">
        <v>7831</v>
      </c>
      <c r="B5377" s="2">
        <v>43051</v>
      </c>
      <c r="C5377" s="7">
        <f>_xlfn.FLOOR.MATH(Table1[[#This Row],[year]],10)</f>
        <v>2010</v>
      </c>
      <c r="D5377" t="s">
        <v>63</v>
      </c>
      <c r="E5377" t="s">
        <v>212</v>
      </c>
      <c r="F5377">
        <v>1</v>
      </c>
      <c r="G5377">
        <v>1</v>
      </c>
      <c r="H5377" t="s">
        <v>224</v>
      </c>
      <c r="I5377" t="s">
        <v>313</v>
      </c>
      <c r="J5377" t="s">
        <v>63</v>
      </c>
      <c r="K5377" t="b">
        <v>0</v>
      </c>
      <c r="L5377">
        <v>2017</v>
      </c>
      <c r="M5377">
        <v>60385409434</v>
      </c>
      <c r="N5377">
        <v>248362771739</v>
      </c>
      <c r="O5377" t="b">
        <v>1</v>
      </c>
      <c r="P5377">
        <v>0</v>
      </c>
      <c r="Q5377" t="str" cm="1">
        <f t="array" ref="Q5377">_xlfn.IFS(Table1[[#This Row],[Wealthier_Winner]]=-1,"Wealthier Nation Loses",Table1[[#This Row],[Wealthier_Winner]]=0,"Tie",Table1[[#This Row],[Wealthier_Winner]]=1,"Wealthier Nation Wins")</f>
        <v>Tie</v>
      </c>
    </row>
    <row r="5378" spans="1:17" x14ac:dyDescent="0.2">
      <c r="A5378" s="1">
        <v>7832</v>
      </c>
      <c r="B5378" s="2">
        <v>43051</v>
      </c>
      <c r="C5378" s="7">
        <f>_xlfn.FLOOR.MATH(Table1[[#This Row],[year]],10)</f>
        <v>2010</v>
      </c>
      <c r="D5378" t="s">
        <v>48</v>
      </c>
      <c r="E5378" t="s">
        <v>52</v>
      </c>
      <c r="F5378">
        <v>0</v>
      </c>
      <c r="G5378">
        <v>0</v>
      </c>
      <c r="H5378" t="s">
        <v>224</v>
      </c>
      <c r="I5378" t="s">
        <v>282</v>
      </c>
      <c r="J5378" t="s">
        <v>48</v>
      </c>
      <c r="K5378" t="b">
        <v>0</v>
      </c>
      <c r="L5378">
        <v>2017</v>
      </c>
      <c r="M5378">
        <v>200381103984</v>
      </c>
      <c r="N5378">
        <v>56182782585</v>
      </c>
      <c r="O5378" t="b">
        <v>1</v>
      </c>
      <c r="P5378">
        <v>0</v>
      </c>
      <c r="Q5378" t="str" cm="1">
        <f t="array" ref="Q5378">_xlfn.IFS(Table1[[#This Row],[Wealthier_Winner]]=-1,"Wealthier Nation Loses",Table1[[#This Row],[Wealthier_Winner]]=0,"Tie",Table1[[#This Row],[Wealthier_Winner]]=1,"Wealthier Nation Wins")</f>
        <v>Tie</v>
      </c>
    </row>
    <row r="5379" spans="1:17" x14ac:dyDescent="0.2">
      <c r="A5379" s="1">
        <v>7834</v>
      </c>
      <c r="B5379" s="2">
        <v>43052</v>
      </c>
      <c r="C5379" s="7">
        <f>_xlfn.FLOOR.MATH(Table1[[#This Row],[year]],10)</f>
        <v>2010</v>
      </c>
      <c r="D5379" t="s">
        <v>18</v>
      </c>
      <c r="E5379" t="s">
        <v>25</v>
      </c>
      <c r="F5379">
        <v>0</v>
      </c>
      <c r="G5379">
        <v>0</v>
      </c>
      <c r="H5379" t="s">
        <v>224</v>
      </c>
      <c r="I5379" t="s">
        <v>108</v>
      </c>
      <c r="J5379" t="s">
        <v>18</v>
      </c>
      <c r="K5379" t="b">
        <v>0</v>
      </c>
      <c r="L5379">
        <v>2017</v>
      </c>
      <c r="M5379">
        <v>1970720904584</v>
      </c>
      <c r="N5379">
        <v>535172356784</v>
      </c>
      <c r="O5379" t="b">
        <v>1</v>
      </c>
      <c r="P5379">
        <v>0</v>
      </c>
      <c r="Q5379" t="str" cm="1">
        <f t="array" ref="Q5379">_xlfn.IFS(Table1[[#This Row],[Wealthier_Winner]]=-1,"Wealthier Nation Loses",Table1[[#This Row],[Wealthier_Winner]]=0,"Tie",Table1[[#This Row],[Wealthier_Winner]]=1,"Wealthier Nation Wins")</f>
        <v>Tie</v>
      </c>
    </row>
    <row r="5380" spans="1:17" x14ac:dyDescent="0.2">
      <c r="A5380" s="1">
        <v>7837</v>
      </c>
      <c r="B5380" s="2">
        <v>43053</v>
      </c>
      <c r="C5380" s="7">
        <f>_xlfn.FLOOR.MATH(Table1[[#This Row],[year]],10)</f>
        <v>2010</v>
      </c>
      <c r="D5380" t="s">
        <v>54</v>
      </c>
      <c r="E5380" t="s">
        <v>50</v>
      </c>
      <c r="F5380">
        <v>2</v>
      </c>
      <c r="G5380">
        <v>1</v>
      </c>
      <c r="H5380" t="s">
        <v>224</v>
      </c>
      <c r="I5380" t="s">
        <v>285</v>
      </c>
      <c r="J5380" t="s">
        <v>54</v>
      </c>
      <c r="K5380" t="b">
        <v>0</v>
      </c>
      <c r="L5380">
        <v>2017</v>
      </c>
      <c r="M5380">
        <v>20996562943</v>
      </c>
      <c r="N5380">
        <v>381448814653</v>
      </c>
      <c r="O5380" t="b">
        <v>1</v>
      </c>
      <c r="P5380">
        <v>-1</v>
      </c>
      <c r="Q5380" t="str" cm="1">
        <f t="array" ref="Q5380">_xlfn.IFS(Table1[[#This Row],[Wealthier_Winner]]=-1,"Wealthier Nation Loses",Table1[[#This Row],[Wealthier_Winner]]=0,"Tie",Table1[[#This Row],[Wealthier_Winner]]=1,"Wealthier Nation Wins")</f>
        <v>Wealthier Nation Loses</v>
      </c>
    </row>
    <row r="5381" spans="1:17" x14ac:dyDescent="0.2">
      <c r="A5381" s="1">
        <v>7838</v>
      </c>
      <c r="B5381" s="2">
        <v>43054</v>
      </c>
      <c r="C5381" s="7">
        <f>_xlfn.FLOOR.MATH(Table1[[#This Row],[year]],10)</f>
        <v>2010</v>
      </c>
      <c r="D5381" t="s">
        <v>28</v>
      </c>
      <c r="E5381" t="s">
        <v>65</v>
      </c>
      <c r="F5381">
        <v>3</v>
      </c>
      <c r="G5381">
        <v>1</v>
      </c>
      <c r="H5381" t="s">
        <v>224</v>
      </c>
      <c r="I5381" t="s">
        <v>301</v>
      </c>
      <c r="J5381" t="s">
        <v>28</v>
      </c>
      <c r="K5381" t="b">
        <v>0</v>
      </c>
      <c r="L5381">
        <v>2017</v>
      </c>
      <c r="M5381">
        <v>1330890554614</v>
      </c>
      <c r="N5381">
        <v>23136247990</v>
      </c>
      <c r="O5381" t="b">
        <v>1</v>
      </c>
      <c r="P5381">
        <v>1</v>
      </c>
      <c r="Q5381" t="str" cm="1">
        <f t="array" ref="Q5381">_xlfn.IFS(Table1[[#This Row],[Wealthier_Winner]]=-1,"Wealthier Nation Loses",Table1[[#This Row],[Wealthier_Winner]]=0,"Tie",Table1[[#This Row],[Wealthier_Winner]]=1,"Wealthier Nation Wins")</f>
        <v>Wealthier Nation Wins</v>
      </c>
    </row>
    <row r="5382" spans="1:17" x14ac:dyDescent="0.2">
      <c r="A5382" s="1">
        <v>7839</v>
      </c>
      <c r="B5382" s="2">
        <v>43054</v>
      </c>
      <c r="C5382" s="7">
        <f>_xlfn.FLOOR.MATH(Table1[[#This Row],[year]],10)</f>
        <v>2010</v>
      </c>
      <c r="D5382" t="s">
        <v>31</v>
      </c>
      <c r="E5382" t="s">
        <v>72</v>
      </c>
      <c r="F5382">
        <v>2</v>
      </c>
      <c r="G5382">
        <v>0</v>
      </c>
      <c r="H5382" t="s">
        <v>224</v>
      </c>
      <c r="I5382" t="s">
        <v>242</v>
      </c>
      <c r="J5382" t="s">
        <v>31</v>
      </c>
      <c r="K5382" t="b">
        <v>0</v>
      </c>
      <c r="L5382">
        <v>2017</v>
      </c>
      <c r="M5382">
        <v>211007984080</v>
      </c>
      <c r="N5382">
        <v>206745969246</v>
      </c>
      <c r="O5382" t="b">
        <v>0</v>
      </c>
      <c r="P5382">
        <v>1</v>
      </c>
      <c r="Q5382" t="str" cm="1">
        <f t="array" ref="Q5382">_xlfn.IFS(Table1[[#This Row],[Wealthier_Winner]]=-1,"Wealthier Nation Loses",Table1[[#This Row],[Wealthier_Winner]]=0,"Tie",Table1[[#This Row],[Wealthier_Winner]]=1,"Wealthier Nation Wins")</f>
        <v>Wealthier Nation Wins</v>
      </c>
    </row>
    <row r="5383" spans="1:17" x14ac:dyDescent="0.2">
      <c r="A5383" s="1">
        <v>7840</v>
      </c>
      <c r="B5383" s="2">
        <v>43265</v>
      </c>
      <c r="C5383" s="7">
        <f>_xlfn.FLOOR.MATH(Table1[[#This Row],[year]],10)</f>
        <v>2010</v>
      </c>
      <c r="D5383" t="s">
        <v>196</v>
      </c>
      <c r="E5383" t="s">
        <v>45</v>
      </c>
      <c r="F5383">
        <v>5</v>
      </c>
      <c r="G5383">
        <v>0</v>
      </c>
      <c r="H5383" t="s">
        <v>74</v>
      </c>
      <c r="I5383" t="s">
        <v>180</v>
      </c>
      <c r="J5383" t="s">
        <v>196</v>
      </c>
      <c r="K5383" t="b">
        <v>0</v>
      </c>
      <c r="L5383">
        <v>2018</v>
      </c>
      <c r="M5383">
        <v>1657328773461</v>
      </c>
      <c r="N5383">
        <v>886564800000</v>
      </c>
      <c r="O5383" t="b">
        <v>0</v>
      </c>
      <c r="P5383">
        <v>1</v>
      </c>
      <c r="Q5383" t="str" cm="1">
        <f t="array" ref="Q5383">_xlfn.IFS(Table1[[#This Row],[Wealthier_Winner]]=-1,"Wealthier Nation Loses",Table1[[#This Row],[Wealthier_Winner]]=0,"Tie",Table1[[#This Row],[Wealthier_Winner]]=1,"Wealthier Nation Wins")</f>
        <v>Wealthier Nation Wins</v>
      </c>
    </row>
    <row r="5384" spans="1:17" x14ac:dyDescent="0.2">
      <c r="A5384" s="1">
        <v>7841</v>
      </c>
      <c r="B5384" s="2">
        <v>43266</v>
      </c>
      <c r="C5384" s="7">
        <f>_xlfn.FLOOR.MATH(Table1[[#This Row],[year]],10)</f>
        <v>2010</v>
      </c>
      <c r="D5384" t="s">
        <v>212</v>
      </c>
      <c r="E5384" t="s">
        <v>26</v>
      </c>
      <c r="F5384">
        <v>0</v>
      </c>
      <c r="G5384">
        <v>1</v>
      </c>
      <c r="H5384" t="s">
        <v>74</v>
      </c>
      <c r="I5384" t="s">
        <v>185</v>
      </c>
      <c r="J5384" t="s">
        <v>196</v>
      </c>
      <c r="K5384" t="b">
        <v>1</v>
      </c>
      <c r="L5384">
        <v>2018</v>
      </c>
      <c r="M5384">
        <v>262588632526</v>
      </c>
      <c r="N5384">
        <v>65344577415</v>
      </c>
      <c r="O5384" t="b">
        <v>1</v>
      </c>
      <c r="P5384">
        <v>-1</v>
      </c>
      <c r="Q5384" t="str" cm="1">
        <f t="array" ref="Q5384">_xlfn.IFS(Table1[[#This Row],[Wealthier_Winner]]=-1,"Wealthier Nation Loses",Table1[[#This Row],[Wealthier_Winner]]=0,"Tie",Table1[[#This Row],[Wealthier_Winner]]=1,"Wealthier Nation Wins")</f>
        <v>Wealthier Nation Loses</v>
      </c>
    </row>
    <row r="5385" spans="1:17" x14ac:dyDescent="0.2">
      <c r="A5385" s="1">
        <v>7842</v>
      </c>
      <c r="B5385" s="2">
        <v>43266</v>
      </c>
      <c r="C5385" s="7">
        <f>_xlfn.FLOOR.MATH(Table1[[#This Row],[year]],10)</f>
        <v>2010</v>
      </c>
      <c r="D5385" t="s">
        <v>24</v>
      </c>
      <c r="E5385" t="s">
        <v>210</v>
      </c>
      <c r="F5385">
        <v>0</v>
      </c>
      <c r="G5385">
        <v>1</v>
      </c>
      <c r="H5385" t="s">
        <v>74</v>
      </c>
      <c r="I5385" t="s">
        <v>187</v>
      </c>
      <c r="J5385" t="s">
        <v>196</v>
      </c>
      <c r="K5385" t="b">
        <v>1</v>
      </c>
      <c r="L5385">
        <v>2018</v>
      </c>
      <c r="M5385">
        <v>127341147581</v>
      </c>
      <c r="N5385">
        <v>411903303606</v>
      </c>
      <c r="O5385" t="b">
        <v>1</v>
      </c>
      <c r="P5385">
        <v>1</v>
      </c>
      <c r="Q5385" t="str" cm="1">
        <f t="array" ref="Q5385">_xlfn.IFS(Table1[[#This Row],[Wealthier_Winner]]=-1,"Wealthier Nation Loses",Table1[[#This Row],[Wealthier_Winner]]=0,"Tie",Table1[[#This Row],[Wealthier_Winner]]=1,"Wealthier Nation Wins")</f>
        <v>Wealthier Nation Wins</v>
      </c>
    </row>
    <row r="5386" spans="1:17" x14ac:dyDescent="0.2">
      <c r="A5386" s="1">
        <v>7843</v>
      </c>
      <c r="B5386" s="2">
        <v>43266</v>
      </c>
      <c r="C5386" s="7">
        <f>_xlfn.FLOOR.MATH(Table1[[#This Row],[year]],10)</f>
        <v>2010</v>
      </c>
      <c r="D5386" t="s">
        <v>38</v>
      </c>
      <c r="E5386" t="s">
        <v>21</v>
      </c>
      <c r="F5386">
        <v>3</v>
      </c>
      <c r="G5386">
        <v>3</v>
      </c>
      <c r="H5386" t="s">
        <v>74</v>
      </c>
      <c r="I5386" t="s">
        <v>178</v>
      </c>
      <c r="J5386" t="s">
        <v>196</v>
      </c>
      <c r="K5386" t="b">
        <v>1</v>
      </c>
      <c r="L5386">
        <v>2018</v>
      </c>
      <c r="M5386">
        <v>242092894542</v>
      </c>
      <c r="N5386">
        <v>1431642809327</v>
      </c>
      <c r="O5386" t="b">
        <v>1</v>
      </c>
      <c r="P5386">
        <v>0</v>
      </c>
      <c r="Q5386" t="str" cm="1">
        <f t="array" ref="Q5386">_xlfn.IFS(Table1[[#This Row],[Wealthier_Winner]]=-1,"Wealthier Nation Loses",Table1[[#This Row],[Wealthier_Winner]]=0,"Tie",Table1[[#This Row],[Wealthier_Winner]]=1,"Wealthier Nation Wins")</f>
        <v>Tie</v>
      </c>
    </row>
    <row r="5387" spans="1:17" x14ac:dyDescent="0.2">
      <c r="A5387" s="1">
        <v>7844</v>
      </c>
      <c r="B5387" s="2">
        <v>43267</v>
      </c>
      <c r="C5387" s="7">
        <f>_xlfn.FLOOR.MATH(Table1[[#This Row],[year]],10)</f>
        <v>2010</v>
      </c>
      <c r="D5387" t="s">
        <v>20</v>
      </c>
      <c r="E5387" t="s">
        <v>28</v>
      </c>
      <c r="F5387">
        <v>2</v>
      </c>
      <c r="G5387">
        <v>1</v>
      </c>
      <c r="H5387" t="s">
        <v>74</v>
      </c>
      <c r="I5387" t="s">
        <v>179</v>
      </c>
      <c r="J5387" t="s">
        <v>196</v>
      </c>
      <c r="K5387" t="b">
        <v>1</v>
      </c>
      <c r="L5387">
        <v>2018</v>
      </c>
      <c r="M5387">
        <v>2781576320884</v>
      </c>
      <c r="N5387">
        <v>1433144978761</v>
      </c>
      <c r="O5387" t="b">
        <v>0</v>
      </c>
      <c r="P5387">
        <v>1</v>
      </c>
      <c r="Q5387" t="str" cm="1">
        <f t="array" ref="Q5387">_xlfn.IFS(Table1[[#This Row],[Wealthier_Winner]]=-1,"Wealthier Nation Loses",Table1[[#This Row],[Wealthier_Winner]]=0,"Tie",Table1[[#This Row],[Wealthier_Winner]]=1,"Wealthier Nation Wins")</f>
        <v>Wealthier Nation Wins</v>
      </c>
    </row>
    <row r="5388" spans="1:17" x14ac:dyDescent="0.2">
      <c r="A5388" s="1">
        <v>7845</v>
      </c>
      <c r="B5388" s="2">
        <v>43267</v>
      </c>
      <c r="C5388" s="7">
        <f>_xlfn.FLOOR.MATH(Table1[[#This Row],[year]],10)</f>
        <v>2010</v>
      </c>
      <c r="D5388" t="s">
        <v>19</v>
      </c>
      <c r="E5388" t="s">
        <v>66</v>
      </c>
      <c r="F5388">
        <v>1</v>
      </c>
      <c r="G5388">
        <v>1</v>
      </c>
      <c r="H5388" t="s">
        <v>74</v>
      </c>
      <c r="I5388" t="s">
        <v>180</v>
      </c>
      <c r="J5388" t="s">
        <v>196</v>
      </c>
      <c r="K5388" t="b">
        <v>1</v>
      </c>
      <c r="L5388">
        <v>2018</v>
      </c>
      <c r="M5388">
        <v>524819892360</v>
      </c>
      <c r="N5388">
        <v>26677652544</v>
      </c>
      <c r="O5388" t="b">
        <v>1</v>
      </c>
      <c r="P5388">
        <v>0</v>
      </c>
      <c r="Q5388" t="str" cm="1">
        <f t="array" ref="Q5388">_xlfn.IFS(Table1[[#This Row],[Wealthier_Winner]]=-1,"Wealthier Nation Loses",Table1[[#This Row],[Wealthier_Winner]]=0,"Tie",Table1[[#This Row],[Wealthier_Winner]]=1,"Wealthier Nation Wins")</f>
        <v>Tie</v>
      </c>
    </row>
    <row r="5389" spans="1:17" x14ac:dyDescent="0.2">
      <c r="A5389" s="1">
        <v>7846</v>
      </c>
      <c r="B5389" s="2">
        <v>43267</v>
      </c>
      <c r="C5389" s="7">
        <f>_xlfn.FLOOR.MATH(Table1[[#This Row],[year]],10)</f>
        <v>2010</v>
      </c>
      <c r="D5389" t="s">
        <v>31</v>
      </c>
      <c r="E5389" t="s">
        <v>36</v>
      </c>
      <c r="F5389">
        <v>0</v>
      </c>
      <c r="G5389">
        <v>1</v>
      </c>
      <c r="H5389" t="s">
        <v>74</v>
      </c>
      <c r="I5389" t="s">
        <v>181</v>
      </c>
      <c r="J5389" t="s">
        <v>196</v>
      </c>
      <c r="K5389" t="b">
        <v>1</v>
      </c>
      <c r="L5389">
        <v>2018</v>
      </c>
      <c r="M5389">
        <v>222597009739</v>
      </c>
      <c r="N5389">
        <v>355293374912</v>
      </c>
      <c r="O5389" t="b">
        <v>0</v>
      </c>
      <c r="P5389">
        <v>1</v>
      </c>
      <c r="Q5389" t="str" cm="1">
        <f t="array" ref="Q5389">_xlfn.IFS(Table1[[#This Row],[Wealthier_Winner]]=-1,"Wealthier Nation Loses",Table1[[#This Row],[Wealthier_Winner]]=0,"Tie",Table1[[#This Row],[Wealthier_Winner]]=1,"Wealthier Nation Wins")</f>
        <v>Wealthier Nation Wins</v>
      </c>
    </row>
    <row r="5390" spans="1:17" x14ac:dyDescent="0.2">
      <c r="A5390" s="1">
        <v>7847</v>
      </c>
      <c r="B5390" s="2">
        <v>43267</v>
      </c>
      <c r="C5390" s="7">
        <f>_xlfn.FLOOR.MATH(Table1[[#This Row],[year]],10)</f>
        <v>2010</v>
      </c>
      <c r="D5390" t="s">
        <v>52</v>
      </c>
      <c r="E5390" t="s">
        <v>43</v>
      </c>
      <c r="F5390">
        <v>2</v>
      </c>
      <c r="G5390">
        <v>0</v>
      </c>
      <c r="H5390" t="s">
        <v>74</v>
      </c>
      <c r="I5390" t="s">
        <v>182</v>
      </c>
      <c r="J5390" t="s">
        <v>196</v>
      </c>
      <c r="K5390" t="b">
        <v>1</v>
      </c>
      <c r="L5390">
        <v>2018</v>
      </c>
      <c r="M5390">
        <v>61667925219</v>
      </c>
      <c r="N5390">
        <v>421739251509</v>
      </c>
      <c r="O5390" t="b">
        <v>1</v>
      </c>
      <c r="P5390">
        <v>-1</v>
      </c>
      <c r="Q5390" t="str" cm="1">
        <f t="array" ref="Q5390">_xlfn.IFS(Table1[[#This Row],[Wealthier_Winner]]=-1,"Wealthier Nation Loses",Table1[[#This Row],[Wealthier_Winner]]=0,"Tie",Table1[[#This Row],[Wealthier_Winner]]=1,"Wealthier Nation Wins")</f>
        <v>Wealthier Nation Loses</v>
      </c>
    </row>
    <row r="5391" spans="1:17" x14ac:dyDescent="0.2">
      <c r="A5391" s="1">
        <v>7848</v>
      </c>
      <c r="B5391" s="2">
        <v>43268</v>
      </c>
      <c r="C5391" s="7">
        <f>_xlfn.FLOOR.MATH(Table1[[#This Row],[year]],10)</f>
        <v>2010</v>
      </c>
      <c r="D5391" t="s">
        <v>56</v>
      </c>
      <c r="E5391" t="s">
        <v>61</v>
      </c>
      <c r="F5391">
        <v>0</v>
      </c>
      <c r="G5391">
        <v>1</v>
      </c>
      <c r="H5391" t="s">
        <v>74</v>
      </c>
      <c r="I5391" t="s">
        <v>183</v>
      </c>
      <c r="J5391" t="s">
        <v>196</v>
      </c>
      <c r="K5391" t="b">
        <v>1</v>
      </c>
      <c r="L5391">
        <v>2018</v>
      </c>
      <c r="M5391">
        <v>62420164991</v>
      </c>
      <c r="N5391">
        <v>52787520248</v>
      </c>
      <c r="O5391" t="b">
        <v>0</v>
      </c>
      <c r="P5391">
        <v>-1</v>
      </c>
      <c r="Q5391" t="str" cm="1">
        <f t="array" ref="Q5391">_xlfn.IFS(Table1[[#This Row],[Wealthier_Winner]]=-1,"Wealthier Nation Loses",Table1[[#This Row],[Wealthier_Winner]]=0,"Tie",Table1[[#This Row],[Wealthier_Winner]]=1,"Wealthier Nation Wins")</f>
        <v>Wealthier Nation Loses</v>
      </c>
    </row>
    <row r="5392" spans="1:17" x14ac:dyDescent="0.2">
      <c r="A5392" s="1">
        <v>7849</v>
      </c>
      <c r="B5392" s="2">
        <v>43268</v>
      </c>
      <c r="C5392" s="7">
        <f>_xlfn.FLOOR.MATH(Table1[[#This Row],[year]],10)</f>
        <v>2010</v>
      </c>
      <c r="D5392" t="s">
        <v>16</v>
      </c>
      <c r="E5392" t="s">
        <v>17</v>
      </c>
      <c r="F5392">
        <v>0</v>
      </c>
      <c r="G5392">
        <v>1</v>
      </c>
      <c r="H5392" t="s">
        <v>74</v>
      </c>
      <c r="I5392" t="s">
        <v>180</v>
      </c>
      <c r="J5392" t="s">
        <v>196</v>
      </c>
      <c r="K5392" t="b">
        <v>1</v>
      </c>
      <c r="L5392">
        <v>2018</v>
      </c>
      <c r="M5392">
        <v>4055433215301</v>
      </c>
      <c r="N5392">
        <v>1256300182879</v>
      </c>
      <c r="O5392" t="b">
        <v>1</v>
      </c>
      <c r="P5392">
        <v>-1</v>
      </c>
      <c r="Q5392" t="str" cm="1">
        <f t="array" ref="Q5392">_xlfn.IFS(Table1[[#This Row],[Wealthier_Winner]]=-1,"Wealthier Nation Loses",Table1[[#This Row],[Wealthier_Winner]]=0,"Tie",Table1[[#This Row],[Wealthier_Winner]]=1,"Wealthier Nation Wins")</f>
        <v>Wealthier Nation Loses</v>
      </c>
    </row>
    <row r="5393" spans="1:17" x14ac:dyDescent="0.2">
      <c r="A5393" s="1">
        <v>7850</v>
      </c>
      <c r="B5393" s="2">
        <v>43268</v>
      </c>
      <c r="C5393" s="7">
        <f>_xlfn.FLOOR.MATH(Table1[[#This Row],[year]],10)</f>
        <v>2010</v>
      </c>
      <c r="D5393" t="s">
        <v>13</v>
      </c>
      <c r="E5393" t="s">
        <v>46</v>
      </c>
      <c r="F5393">
        <v>1</v>
      </c>
      <c r="G5393">
        <v>1</v>
      </c>
      <c r="H5393" t="s">
        <v>74</v>
      </c>
      <c r="I5393" t="s">
        <v>184</v>
      </c>
      <c r="J5393" t="s">
        <v>196</v>
      </c>
      <c r="K5393" t="b">
        <v>1</v>
      </c>
      <c r="L5393">
        <v>2018</v>
      </c>
      <c r="M5393">
        <v>1916933708352</v>
      </c>
      <c r="N5393">
        <v>725568717468</v>
      </c>
      <c r="O5393" t="b">
        <v>1</v>
      </c>
      <c r="P5393">
        <v>0</v>
      </c>
      <c r="Q5393" t="str" cm="1">
        <f t="array" ref="Q5393">_xlfn.IFS(Table1[[#This Row],[Wealthier_Winner]]=-1,"Wealthier Nation Loses",Table1[[#This Row],[Wealthier_Winner]]=0,"Tie",Table1[[#This Row],[Wealthier_Winner]]=1,"Wealthier Nation Wins")</f>
        <v>Tie</v>
      </c>
    </row>
    <row r="5394" spans="1:17" x14ac:dyDescent="0.2">
      <c r="A5394" s="1">
        <v>7851</v>
      </c>
      <c r="B5394" s="2">
        <v>43269</v>
      </c>
      <c r="C5394" s="7">
        <f>_xlfn.FLOOR.MATH(Table1[[#This Row],[year]],10)</f>
        <v>2010</v>
      </c>
      <c r="D5394" t="s">
        <v>25</v>
      </c>
      <c r="E5394" t="s">
        <v>195</v>
      </c>
      <c r="F5394">
        <v>1</v>
      </c>
      <c r="G5394">
        <v>0</v>
      </c>
      <c r="H5394" t="s">
        <v>74</v>
      </c>
      <c r="I5394" t="s">
        <v>186</v>
      </c>
      <c r="J5394" t="s">
        <v>196</v>
      </c>
      <c r="K5394" t="b">
        <v>1</v>
      </c>
      <c r="L5394">
        <v>2018</v>
      </c>
      <c r="M5394">
        <v>549649344043</v>
      </c>
      <c r="N5394">
        <v>1824251454306</v>
      </c>
      <c r="O5394" t="b">
        <v>1</v>
      </c>
      <c r="P5394">
        <v>-1</v>
      </c>
      <c r="Q5394" t="str" cm="1">
        <f t="array" ref="Q5394">_xlfn.IFS(Table1[[#This Row],[Wealthier_Winner]]=-1,"Wealthier Nation Loses",Table1[[#This Row],[Wealthier_Winner]]=0,"Tie",Table1[[#This Row],[Wealthier_Winner]]=1,"Wealthier Nation Wins")</f>
        <v>Wealthier Nation Loses</v>
      </c>
    </row>
    <row r="5395" spans="1:17" x14ac:dyDescent="0.2">
      <c r="A5395" s="1">
        <v>7852</v>
      </c>
      <c r="B5395" s="2">
        <v>43269</v>
      </c>
      <c r="C5395" s="7">
        <f>_xlfn.FLOOR.MATH(Table1[[#This Row],[year]],10)</f>
        <v>2010</v>
      </c>
      <c r="D5395" t="s">
        <v>23</v>
      </c>
      <c r="E5395" t="s">
        <v>67</v>
      </c>
      <c r="F5395">
        <v>3</v>
      </c>
      <c r="G5395">
        <v>0</v>
      </c>
      <c r="H5395" t="s">
        <v>74</v>
      </c>
      <c r="I5395" t="s">
        <v>178</v>
      </c>
      <c r="J5395" t="s">
        <v>196</v>
      </c>
      <c r="K5395" t="b">
        <v>1</v>
      </c>
      <c r="L5395">
        <v>2018</v>
      </c>
      <c r="M5395">
        <v>542638913427</v>
      </c>
      <c r="N5395">
        <v>67316471181</v>
      </c>
      <c r="O5395" t="b">
        <v>1</v>
      </c>
      <c r="P5395">
        <v>1</v>
      </c>
      <c r="Q5395" t="str" cm="1">
        <f t="array" ref="Q5395">_xlfn.IFS(Table1[[#This Row],[Wealthier_Winner]]=-1,"Wealthier Nation Loses",Table1[[#This Row],[Wealthier_Winner]]=0,"Tie",Table1[[#This Row],[Wealthier_Winner]]=1,"Wealthier Nation Wins")</f>
        <v>Wealthier Nation Wins</v>
      </c>
    </row>
    <row r="5396" spans="1:17" x14ac:dyDescent="0.2">
      <c r="A5396" s="1">
        <v>7853</v>
      </c>
      <c r="B5396" s="2">
        <v>43269</v>
      </c>
      <c r="C5396" s="7">
        <f>_xlfn.FLOOR.MATH(Table1[[#This Row],[year]],10)</f>
        <v>2010</v>
      </c>
      <c r="D5396" t="s">
        <v>53</v>
      </c>
      <c r="E5396" t="s">
        <v>194</v>
      </c>
      <c r="F5396">
        <v>1</v>
      </c>
      <c r="G5396">
        <v>2</v>
      </c>
      <c r="H5396" t="s">
        <v>74</v>
      </c>
      <c r="I5396" t="s">
        <v>188</v>
      </c>
      <c r="J5396" t="s">
        <v>196</v>
      </c>
      <c r="K5396" t="b">
        <v>1</v>
      </c>
      <c r="L5396">
        <v>2018</v>
      </c>
      <c r="M5396">
        <v>42686504459</v>
      </c>
      <c r="N5396">
        <v>2897028009916</v>
      </c>
      <c r="O5396" t="b">
        <v>1</v>
      </c>
      <c r="P5396">
        <v>1</v>
      </c>
      <c r="Q5396" t="str" cm="1">
        <f t="array" ref="Q5396">_xlfn.IFS(Table1[[#This Row],[Wealthier_Winner]]=-1,"Wealthier Nation Loses",Table1[[#This Row],[Wealthier_Winner]]=0,"Tie",Table1[[#This Row],[Wealthier_Winner]]=1,"Wealthier Nation Wins")</f>
        <v>Wealthier Nation Wins</v>
      </c>
    </row>
    <row r="5397" spans="1:17" x14ac:dyDescent="0.2">
      <c r="A5397" s="1">
        <v>7854</v>
      </c>
      <c r="B5397" s="2">
        <v>43270</v>
      </c>
      <c r="C5397" s="7">
        <f>_xlfn.FLOOR.MATH(Table1[[#This Row],[year]],10)</f>
        <v>2010</v>
      </c>
      <c r="D5397" t="s">
        <v>15</v>
      </c>
      <c r="E5397" t="s">
        <v>51</v>
      </c>
      <c r="F5397">
        <v>1</v>
      </c>
      <c r="G5397">
        <v>2</v>
      </c>
      <c r="H5397" t="s">
        <v>74</v>
      </c>
      <c r="I5397" t="s">
        <v>181</v>
      </c>
      <c r="J5397" t="s">
        <v>196</v>
      </c>
      <c r="K5397" t="b">
        <v>1</v>
      </c>
      <c r="L5397">
        <v>2018</v>
      </c>
      <c r="M5397">
        <v>334198218098</v>
      </c>
      <c r="N5397">
        <v>5040880939324</v>
      </c>
      <c r="O5397" t="b">
        <v>1</v>
      </c>
      <c r="P5397">
        <v>1</v>
      </c>
      <c r="Q5397" t="str" cm="1">
        <f t="array" ref="Q5397">_xlfn.IFS(Table1[[#This Row],[Wealthier_Winner]]=-1,"Wealthier Nation Loses",Table1[[#This Row],[Wealthier_Winner]]=0,"Tie",Table1[[#This Row],[Wealthier_Winner]]=1,"Wealthier Nation Wins")</f>
        <v>Wealthier Nation Wins</v>
      </c>
    </row>
    <row r="5398" spans="1:17" x14ac:dyDescent="0.2">
      <c r="A5398" s="1">
        <v>7855</v>
      </c>
      <c r="B5398" s="2">
        <v>43270</v>
      </c>
      <c r="C5398" s="7">
        <f>_xlfn.FLOOR.MATH(Table1[[#This Row],[year]],10)</f>
        <v>2010</v>
      </c>
      <c r="D5398" t="s">
        <v>58</v>
      </c>
      <c r="E5398" t="s">
        <v>54</v>
      </c>
      <c r="F5398">
        <v>1</v>
      </c>
      <c r="G5398">
        <v>2</v>
      </c>
      <c r="H5398" t="s">
        <v>74</v>
      </c>
      <c r="I5398" t="s">
        <v>180</v>
      </c>
      <c r="J5398" t="s">
        <v>196</v>
      </c>
      <c r="K5398" t="b">
        <v>1</v>
      </c>
      <c r="L5398">
        <v>2018</v>
      </c>
      <c r="M5398">
        <v>594616687350</v>
      </c>
      <c r="N5398">
        <v>23116701556</v>
      </c>
      <c r="O5398" t="b">
        <v>1</v>
      </c>
      <c r="P5398">
        <v>-1</v>
      </c>
      <c r="Q5398" t="str" cm="1">
        <f t="array" ref="Q5398">_xlfn.IFS(Table1[[#This Row],[Wealthier_Winner]]=-1,"Wealthier Nation Loses",Table1[[#This Row],[Wealthier_Winner]]=0,"Tie",Table1[[#This Row],[Wealthier_Winner]]=1,"Wealthier Nation Wins")</f>
        <v>Wealthier Nation Loses</v>
      </c>
    </row>
    <row r="5399" spans="1:17" x14ac:dyDescent="0.2">
      <c r="A5399" s="1">
        <v>7856</v>
      </c>
      <c r="B5399" s="2">
        <v>43270</v>
      </c>
      <c r="C5399" s="7">
        <f>_xlfn.FLOOR.MATH(Table1[[#This Row],[year]],10)</f>
        <v>2010</v>
      </c>
      <c r="D5399" t="s">
        <v>196</v>
      </c>
      <c r="E5399" t="s">
        <v>212</v>
      </c>
      <c r="F5399">
        <v>3</v>
      </c>
      <c r="G5399">
        <v>1</v>
      </c>
      <c r="H5399" t="s">
        <v>74</v>
      </c>
      <c r="I5399" t="s">
        <v>187</v>
      </c>
      <c r="J5399" t="s">
        <v>196</v>
      </c>
      <c r="K5399" t="b">
        <v>0</v>
      </c>
      <c r="L5399">
        <v>2018</v>
      </c>
      <c r="M5399">
        <v>1657328773461</v>
      </c>
      <c r="N5399">
        <v>262588632526</v>
      </c>
      <c r="O5399" t="b">
        <v>1</v>
      </c>
      <c r="P5399">
        <v>1</v>
      </c>
      <c r="Q5399" t="str" cm="1">
        <f t="array" ref="Q5399">_xlfn.IFS(Table1[[#This Row],[Wealthier_Winner]]=-1,"Wealthier Nation Loses",Table1[[#This Row],[Wealthier_Winner]]=0,"Tie",Table1[[#This Row],[Wealthier_Winner]]=1,"Wealthier Nation Wins")</f>
        <v>Wealthier Nation Wins</v>
      </c>
    </row>
    <row r="5400" spans="1:17" x14ac:dyDescent="0.2">
      <c r="A5400" s="1">
        <v>7857</v>
      </c>
      <c r="B5400" s="2">
        <v>43271</v>
      </c>
      <c r="C5400" s="7">
        <f>_xlfn.FLOOR.MATH(Table1[[#This Row],[year]],10)</f>
        <v>2010</v>
      </c>
      <c r="D5400" t="s">
        <v>38</v>
      </c>
      <c r="E5400" t="s">
        <v>24</v>
      </c>
      <c r="F5400">
        <v>1</v>
      </c>
      <c r="G5400">
        <v>0</v>
      </c>
      <c r="H5400" t="s">
        <v>74</v>
      </c>
      <c r="I5400" t="s">
        <v>180</v>
      </c>
      <c r="J5400" t="s">
        <v>196</v>
      </c>
      <c r="K5400" t="b">
        <v>1</v>
      </c>
      <c r="L5400">
        <v>2018</v>
      </c>
      <c r="M5400">
        <v>242092894542</v>
      </c>
      <c r="N5400">
        <v>127341147581</v>
      </c>
      <c r="O5400" t="b">
        <v>0</v>
      </c>
      <c r="P5400">
        <v>1</v>
      </c>
      <c r="Q5400" t="str" cm="1">
        <f t="array" ref="Q5400">_xlfn.IFS(Table1[[#This Row],[Wealthier_Winner]]=-1,"Wealthier Nation Loses",Table1[[#This Row],[Wealthier_Winner]]=0,"Tie",Table1[[#This Row],[Wealthier_Winner]]=1,"Wealthier Nation Wins")</f>
        <v>Wealthier Nation Wins</v>
      </c>
    </row>
    <row r="5401" spans="1:17" x14ac:dyDescent="0.2">
      <c r="A5401" s="1">
        <v>7858</v>
      </c>
      <c r="B5401" s="2">
        <v>43271</v>
      </c>
      <c r="C5401" s="7">
        <f>_xlfn.FLOOR.MATH(Table1[[#This Row],[year]],10)</f>
        <v>2010</v>
      </c>
      <c r="D5401" t="s">
        <v>26</v>
      </c>
      <c r="E5401" t="s">
        <v>45</v>
      </c>
      <c r="F5401">
        <v>1</v>
      </c>
      <c r="G5401">
        <v>0</v>
      </c>
      <c r="H5401" t="s">
        <v>74</v>
      </c>
      <c r="I5401" t="s">
        <v>184</v>
      </c>
      <c r="J5401" t="s">
        <v>196</v>
      </c>
      <c r="K5401" t="b">
        <v>1</v>
      </c>
      <c r="L5401">
        <v>2018</v>
      </c>
      <c r="M5401">
        <v>65344577415</v>
      </c>
      <c r="N5401">
        <v>886564800000</v>
      </c>
      <c r="O5401" t="b">
        <v>1</v>
      </c>
      <c r="P5401">
        <v>-1</v>
      </c>
      <c r="Q5401" t="str" cm="1">
        <f t="array" ref="Q5401">_xlfn.IFS(Table1[[#This Row],[Wealthier_Winner]]=-1,"Wealthier Nation Loses",Table1[[#This Row],[Wealthier_Winner]]=0,"Tie",Table1[[#This Row],[Wealthier_Winner]]=1,"Wealthier Nation Wins")</f>
        <v>Wealthier Nation Loses</v>
      </c>
    </row>
    <row r="5402" spans="1:17" x14ac:dyDescent="0.2">
      <c r="A5402" s="1">
        <v>7859</v>
      </c>
      <c r="B5402" s="2">
        <v>43271</v>
      </c>
      <c r="C5402" s="7">
        <f>_xlfn.FLOOR.MATH(Table1[[#This Row],[year]],10)</f>
        <v>2010</v>
      </c>
      <c r="D5402" t="s">
        <v>210</v>
      </c>
      <c r="E5402" t="s">
        <v>21</v>
      </c>
      <c r="F5402">
        <v>0</v>
      </c>
      <c r="G5402">
        <v>1</v>
      </c>
      <c r="H5402" t="s">
        <v>74</v>
      </c>
      <c r="I5402" t="s">
        <v>179</v>
      </c>
      <c r="J5402" t="s">
        <v>196</v>
      </c>
      <c r="K5402" t="b">
        <v>1</v>
      </c>
      <c r="L5402">
        <v>2018</v>
      </c>
      <c r="M5402">
        <v>411903303606</v>
      </c>
      <c r="N5402">
        <v>1431642809327</v>
      </c>
      <c r="O5402" t="b">
        <v>1</v>
      </c>
      <c r="P5402">
        <v>1</v>
      </c>
      <c r="Q5402" t="str" cm="1">
        <f t="array" ref="Q5402">_xlfn.IFS(Table1[[#This Row],[Wealthier_Winner]]=-1,"Wealthier Nation Loses",Table1[[#This Row],[Wealthier_Winner]]=0,"Tie",Table1[[#This Row],[Wealthier_Winner]]=1,"Wealthier Nation Wins")</f>
        <v>Wealthier Nation Wins</v>
      </c>
    </row>
    <row r="5403" spans="1:17" x14ac:dyDescent="0.2">
      <c r="A5403" s="1">
        <v>7860</v>
      </c>
      <c r="B5403" s="2">
        <v>43272</v>
      </c>
      <c r="C5403" s="7">
        <f>_xlfn.FLOOR.MATH(Table1[[#This Row],[year]],10)</f>
        <v>2010</v>
      </c>
      <c r="D5403" t="s">
        <v>36</v>
      </c>
      <c r="E5403" t="s">
        <v>28</v>
      </c>
      <c r="F5403">
        <v>1</v>
      </c>
      <c r="G5403">
        <v>1</v>
      </c>
      <c r="H5403" t="s">
        <v>74</v>
      </c>
      <c r="I5403" t="s">
        <v>183</v>
      </c>
      <c r="J5403" t="s">
        <v>196</v>
      </c>
      <c r="K5403" t="b">
        <v>1</v>
      </c>
      <c r="L5403">
        <v>2018</v>
      </c>
      <c r="M5403">
        <v>355293374912</v>
      </c>
      <c r="N5403">
        <v>1433144978761</v>
      </c>
      <c r="O5403" t="b">
        <v>1</v>
      </c>
      <c r="P5403">
        <v>0</v>
      </c>
      <c r="Q5403" t="str" cm="1">
        <f t="array" ref="Q5403">_xlfn.IFS(Table1[[#This Row],[Wealthier_Winner]]=-1,"Wealthier Nation Loses",Table1[[#This Row],[Wealthier_Winner]]=0,"Tie",Table1[[#This Row],[Wealthier_Winner]]=1,"Wealthier Nation Wins")</f>
        <v>Tie</v>
      </c>
    </row>
    <row r="5404" spans="1:17" x14ac:dyDescent="0.2">
      <c r="A5404" s="1">
        <v>7861</v>
      </c>
      <c r="B5404" s="2">
        <v>43272</v>
      </c>
      <c r="C5404" s="7">
        <f>_xlfn.FLOOR.MATH(Table1[[#This Row],[year]],10)</f>
        <v>2010</v>
      </c>
      <c r="D5404" t="s">
        <v>20</v>
      </c>
      <c r="E5404" t="s">
        <v>31</v>
      </c>
      <c r="F5404">
        <v>1</v>
      </c>
      <c r="G5404">
        <v>0</v>
      </c>
      <c r="H5404" t="s">
        <v>74</v>
      </c>
      <c r="I5404" t="s">
        <v>185</v>
      </c>
      <c r="J5404" t="s">
        <v>196</v>
      </c>
      <c r="K5404" t="b">
        <v>1</v>
      </c>
      <c r="L5404">
        <v>2018</v>
      </c>
      <c r="M5404">
        <v>2781576320884</v>
      </c>
      <c r="N5404">
        <v>222597009739</v>
      </c>
      <c r="O5404" t="b">
        <v>1</v>
      </c>
      <c r="P5404">
        <v>1</v>
      </c>
      <c r="Q5404" t="str" cm="1">
        <f t="array" ref="Q5404">_xlfn.IFS(Table1[[#This Row],[Wealthier_Winner]]=-1,"Wealthier Nation Loses",Table1[[#This Row],[Wealthier_Winner]]=0,"Tie",Table1[[#This Row],[Wealthier_Winner]]=1,"Wealthier Nation Wins")</f>
        <v>Wealthier Nation Wins</v>
      </c>
    </row>
    <row r="5405" spans="1:17" x14ac:dyDescent="0.2">
      <c r="A5405" s="1">
        <v>7862</v>
      </c>
      <c r="B5405" s="2">
        <v>43272</v>
      </c>
      <c r="C5405" s="7">
        <f>_xlfn.FLOOR.MATH(Table1[[#This Row],[year]],10)</f>
        <v>2010</v>
      </c>
      <c r="D5405" t="s">
        <v>19</v>
      </c>
      <c r="E5405" t="s">
        <v>52</v>
      </c>
      <c r="F5405">
        <v>0</v>
      </c>
      <c r="G5405">
        <v>3</v>
      </c>
      <c r="H5405" t="s">
        <v>74</v>
      </c>
      <c r="I5405" t="s">
        <v>186</v>
      </c>
      <c r="J5405" t="s">
        <v>196</v>
      </c>
      <c r="K5405" t="b">
        <v>1</v>
      </c>
      <c r="L5405">
        <v>2018</v>
      </c>
      <c r="M5405">
        <v>524819892360</v>
      </c>
      <c r="N5405">
        <v>61667925219</v>
      </c>
      <c r="O5405" t="b">
        <v>1</v>
      </c>
      <c r="P5405">
        <v>-1</v>
      </c>
      <c r="Q5405" t="str" cm="1">
        <f t="array" ref="Q5405">_xlfn.IFS(Table1[[#This Row],[Wealthier_Winner]]=-1,"Wealthier Nation Loses",Table1[[#This Row],[Wealthier_Winner]]=0,"Tie",Table1[[#This Row],[Wealthier_Winner]]=1,"Wealthier Nation Wins")</f>
        <v>Wealthier Nation Loses</v>
      </c>
    </row>
    <row r="5406" spans="1:17" x14ac:dyDescent="0.2">
      <c r="A5406" s="1">
        <v>7863</v>
      </c>
      <c r="B5406" s="2">
        <v>43273</v>
      </c>
      <c r="C5406" s="7">
        <f>_xlfn.FLOOR.MATH(Table1[[#This Row],[year]],10)</f>
        <v>2010</v>
      </c>
      <c r="D5406" t="s">
        <v>13</v>
      </c>
      <c r="E5406" t="s">
        <v>56</v>
      </c>
      <c r="F5406">
        <v>2</v>
      </c>
      <c r="G5406">
        <v>0</v>
      </c>
      <c r="H5406" t="s">
        <v>74</v>
      </c>
      <c r="I5406" t="s">
        <v>187</v>
      </c>
      <c r="J5406" t="s">
        <v>196</v>
      </c>
      <c r="K5406" t="b">
        <v>1</v>
      </c>
      <c r="L5406">
        <v>2018</v>
      </c>
      <c r="M5406">
        <v>1916933708352</v>
      </c>
      <c r="N5406">
        <v>62420164991</v>
      </c>
      <c r="O5406" t="b">
        <v>1</v>
      </c>
      <c r="P5406">
        <v>1</v>
      </c>
      <c r="Q5406" t="str" cm="1">
        <f t="array" ref="Q5406">_xlfn.IFS(Table1[[#This Row],[Wealthier_Winner]]=-1,"Wealthier Nation Loses",Table1[[#This Row],[Wealthier_Winner]]=0,"Tie",Table1[[#This Row],[Wealthier_Winner]]=1,"Wealthier Nation Wins")</f>
        <v>Wealthier Nation Wins</v>
      </c>
    </row>
    <row r="5407" spans="1:17" x14ac:dyDescent="0.2">
      <c r="A5407" s="1">
        <v>7864</v>
      </c>
      <c r="B5407" s="2">
        <v>43273</v>
      </c>
      <c r="C5407" s="7">
        <f>_xlfn.FLOOR.MATH(Table1[[#This Row],[year]],10)</f>
        <v>2010</v>
      </c>
      <c r="D5407" t="s">
        <v>43</v>
      </c>
      <c r="E5407" t="s">
        <v>66</v>
      </c>
      <c r="F5407">
        <v>2</v>
      </c>
      <c r="G5407">
        <v>0</v>
      </c>
      <c r="H5407" t="s">
        <v>74</v>
      </c>
      <c r="I5407" t="s">
        <v>188</v>
      </c>
      <c r="J5407" t="s">
        <v>196</v>
      </c>
      <c r="K5407" t="b">
        <v>1</v>
      </c>
      <c r="L5407">
        <v>2018</v>
      </c>
      <c r="M5407">
        <v>421739251509</v>
      </c>
      <c r="N5407">
        <v>26677652544</v>
      </c>
      <c r="O5407" t="b">
        <v>1</v>
      </c>
      <c r="P5407">
        <v>1</v>
      </c>
      <c r="Q5407" t="str" cm="1">
        <f t="array" ref="Q5407">_xlfn.IFS(Table1[[#This Row],[Wealthier_Winner]]=-1,"Wealthier Nation Loses",Table1[[#This Row],[Wealthier_Winner]]=0,"Tie",Table1[[#This Row],[Wealthier_Winner]]=1,"Wealthier Nation Wins")</f>
        <v>Wealthier Nation Wins</v>
      </c>
    </row>
    <row r="5408" spans="1:17" x14ac:dyDescent="0.2">
      <c r="A5408" s="1">
        <v>7865</v>
      </c>
      <c r="B5408" s="2">
        <v>43273</v>
      </c>
      <c r="C5408" s="7">
        <f>_xlfn.FLOOR.MATH(Table1[[#This Row],[year]],10)</f>
        <v>2010</v>
      </c>
      <c r="D5408" t="s">
        <v>61</v>
      </c>
      <c r="E5408" t="s">
        <v>46</v>
      </c>
      <c r="F5408">
        <v>1</v>
      </c>
      <c r="G5408">
        <v>2</v>
      </c>
      <c r="H5408" t="s">
        <v>74</v>
      </c>
      <c r="I5408" t="s">
        <v>182</v>
      </c>
      <c r="J5408" t="s">
        <v>196</v>
      </c>
      <c r="K5408" t="b">
        <v>1</v>
      </c>
      <c r="L5408">
        <v>2018</v>
      </c>
      <c r="M5408">
        <v>52787520248</v>
      </c>
      <c r="N5408">
        <v>725568717468</v>
      </c>
      <c r="O5408" t="b">
        <v>1</v>
      </c>
      <c r="P5408">
        <v>1</v>
      </c>
      <c r="Q5408" t="str" cm="1">
        <f t="array" ref="Q5408">_xlfn.IFS(Table1[[#This Row],[Wealthier_Winner]]=-1,"Wealthier Nation Loses",Table1[[#This Row],[Wealthier_Winner]]=0,"Tie",Table1[[#This Row],[Wealthier_Winner]]=1,"Wealthier Nation Wins")</f>
        <v>Wealthier Nation Wins</v>
      </c>
    </row>
    <row r="5409" spans="1:17" x14ac:dyDescent="0.2">
      <c r="A5409" s="1">
        <v>7866</v>
      </c>
      <c r="B5409" s="2">
        <v>43274</v>
      </c>
      <c r="C5409" s="7">
        <f>_xlfn.FLOOR.MATH(Table1[[#This Row],[year]],10)</f>
        <v>2010</v>
      </c>
      <c r="D5409" t="s">
        <v>23</v>
      </c>
      <c r="E5409" t="s">
        <v>53</v>
      </c>
      <c r="F5409">
        <v>5</v>
      </c>
      <c r="G5409">
        <v>2</v>
      </c>
      <c r="H5409" t="s">
        <v>74</v>
      </c>
      <c r="I5409" t="s">
        <v>180</v>
      </c>
      <c r="J5409" t="s">
        <v>196</v>
      </c>
      <c r="K5409" t="b">
        <v>1</v>
      </c>
      <c r="L5409">
        <v>2018</v>
      </c>
      <c r="M5409">
        <v>542638913427</v>
      </c>
      <c r="N5409">
        <v>42686504459</v>
      </c>
      <c r="O5409" t="b">
        <v>1</v>
      </c>
      <c r="P5409">
        <v>1</v>
      </c>
      <c r="Q5409" t="str" cm="1">
        <f t="array" ref="Q5409">_xlfn.IFS(Table1[[#This Row],[Wealthier_Winner]]=-1,"Wealthier Nation Loses",Table1[[#This Row],[Wealthier_Winner]]=0,"Tie",Table1[[#This Row],[Wealthier_Winner]]=1,"Wealthier Nation Wins")</f>
        <v>Wealthier Nation Wins</v>
      </c>
    </row>
    <row r="5410" spans="1:17" x14ac:dyDescent="0.2">
      <c r="A5410" s="1">
        <v>7867</v>
      </c>
      <c r="B5410" s="2">
        <v>43274</v>
      </c>
      <c r="C5410" s="7">
        <f>_xlfn.FLOOR.MATH(Table1[[#This Row],[year]],10)</f>
        <v>2010</v>
      </c>
      <c r="D5410" t="s">
        <v>195</v>
      </c>
      <c r="E5410" t="s">
        <v>17</v>
      </c>
      <c r="F5410">
        <v>1</v>
      </c>
      <c r="G5410">
        <v>2</v>
      </c>
      <c r="H5410" t="s">
        <v>74</v>
      </c>
      <c r="I5410" t="s">
        <v>184</v>
      </c>
      <c r="J5410" t="s">
        <v>196</v>
      </c>
      <c r="K5410" t="b">
        <v>1</v>
      </c>
      <c r="L5410">
        <v>2018</v>
      </c>
      <c r="M5410">
        <v>1824251454306</v>
      </c>
      <c r="N5410">
        <v>1256300182879</v>
      </c>
      <c r="O5410" t="b">
        <v>0</v>
      </c>
      <c r="P5410">
        <v>-1</v>
      </c>
      <c r="Q5410" t="str" cm="1">
        <f t="array" ref="Q5410">_xlfn.IFS(Table1[[#This Row],[Wealthier_Winner]]=-1,"Wealthier Nation Loses",Table1[[#This Row],[Wealthier_Winner]]=0,"Tie",Table1[[#This Row],[Wealthier_Winner]]=1,"Wealthier Nation Wins")</f>
        <v>Wealthier Nation Loses</v>
      </c>
    </row>
    <row r="5411" spans="1:17" x14ac:dyDescent="0.2">
      <c r="A5411" s="1">
        <v>7868</v>
      </c>
      <c r="B5411" s="2">
        <v>43274</v>
      </c>
      <c r="C5411" s="7">
        <f>_xlfn.FLOOR.MATH(Table1[[#This Row],[year]],10)</f>
        <v>2010</v>
      </c>
      <c r="D5411" t="s">
        <v>16</v>
      </c>
      <c r="E5411" t="s">
        <v>25</v>
      </c>
      <c r="F5411">
        <v>2</v>
      </c>
      <c r="G5411">
        <v>1</v>
      </c>
      <c r="H5411" t="s">
        <v>74</v>
      </c>
      <c r="I5411" t="s">
        <v>178</v>
      </c>
      <c r="J5411" t="s">
        <v>196</v>
      </c>
      <c r="K5411" t="b">
        <v>1</v>
      </c>
      <c r="L5411">
        <v>2018</v>
      </c>
      <c r="M5411">
        <v>4055433215301</v>
      </c>
      <c r="N5411">
        <v>549649344043</v>
      </c>
      <c r="O5411" t="b">
        <v>1</v>
      </c>
      <c r="P5411">
        <v>1</v>
      </c>
      <c r="Q5411" t="str" cm="1">
        <f t="array" ref="Q5411">_xlfn.IFS(Table1[[#This Row],[Wealthier_Winner]]=-1,"Wealthier Nation Loses",Table1[[#This Row],[Wealthier_Winner]]=0,"Tie",Table1[[#This Row],[Wealthier_Winner]]=1,"Wealthier Nation Wins")</f>
        <v>Wealthier Nation Wins</v>
      </c>
    </row>
    <row r="5412" spans="1:17" x14ac:dyDescent="0.2">
      <c r="A5412" s="1">
        <v>7869</v>
      </c>
      <c r="B5412" s="2">
        <v>43275</v>
      </c>
      <c r="C5412" s="7">
        <f>_xlfn.FLOOR.MATH(Table1[[#This Row],[year]],10)</f>
        <v>2010</v>
      </c>
      <c r="D5412" t="s">
        <v>194</v>
      </c>
      <c r="E5412" t="s">
        <v>67</v>
      </c>
      <c r="F5412">
        <v>6</v>
      </c>
      <c r="G5412">
        <v>1</v>
      </c>
      <c r="H5412" t="s">
        <v>74</v>
      </c>
      <c r="I5412" t="s">
        <v>186</v>
      </c>
      <c r="J5412" t="s">
        <v>196</v>
      </c>
      <c r="K5412" t="b">
        <v>1</v>
      </c>
      <c r="L5412">
        <v>2018</v>
      </c>
      <c r="M5412">
        <v>2897028009916</v>
      </c>
      <c r="N5412">
        <v>67316471181</v>
      </c>
      <c r="O5412" t="b">
        <v>1</v>
      </c>
      <c r="P5412">
        <v>1</v>
      </c>
      <c r="Q5412" t="str" cm="1">
        <f t="array" ref="Q5412">_xlfn.IFS(Table1[[#This Row],[Wealthier_Winner]]=-1,"Wealthier Nation Loses",Table1[[#This Row],[Wealthier_Winner]]=0,"Tie",Table1[[#This Row],[Wealthier_Winner]]=1,"Wealthier Nation Wins")</f>
        <v>Wealthier Nation Wins</v>
      </c>
    </row>
    <row r="5413" spans="1:17" x14ac:dyDescent="0.2">
      <c r="A5413" s="1">
        <v>7870</v>
      </c>
      <c r="B5413" s="2">
        <v>43275</v>
      </c>
      <c r="C5413" s="7">
        <f>_xlfn.FLOOR.MATH(Table1[[#This Row],[year]],10)</f>
        <v>2010</v>
      </c>
      <c r="D5413" t="s">
        <v>51</v>
      </c>
      <c r="E5413" t="s">
        <v>54</v>
      </c>
      <c r="F5413">
        <v>2</v>
      </c>
      <c r="G5413">
        <v>2</v>
      </c>
      <c r="H5413" t="s">
        <v>74</v>
      </c>
      <c r="I5413" t="s">
        <v>185</v>
      </c>
      <c r="J5413" t="s">
        <v>196</v>
      </c>
      <c r="K5413" t="b">
        <v>1</v>
      </c>
      <c r="L5413">
        <v>2018</v>
      </c>
      <c r="M5413">
        <v>5040880939324</v>
      </c>
      <c r="N5413">
        <v>23116701556</v>
      </c>
      <c r="O5413" t="b">
        <v>1</v>
      </c>
      <c r="P5413">
        <v>0</v>
      </c>
      <c r="Q5413" t="str" cm="1">
        <f t="array" ref="Q5413">_xlfn.IFS(Table1[[#This Row],[Wealthier_Winner]]=-1,"Wealthier Nation Loses",Table1[[#This Row],[Wealthier_Winner]]=0,"Tie",Table1[[#This Row],[Wealthier_Winner]]=1,"Wealthier Nation Wins")</f>
        <v>Tie</v>
      </c>
    </row>
    <row r="5414" spans="1:17" x14ac:dyDescent="0.2">
      <c r="A5414" s="1">
        <v>7871</v>
      </c>
      <c r="B5414" s="2">
        <v>43275</v>
      </c>
      <c r="C5414" s="7">
        <f>_xlfn.FLOOR.MATH(Table1[[#This Row],[year]],10)</f>
        <v>2010</v>
      </c>
      <c r="D5414" t="s">
        <v>58</v>
      </c>
      <c r="E5414" t="s">
        <v>15</v>
      </c>
      <c r="F5414">
        <v>0</v>
      </c>
      <c r="G5414">
        <v>3</v>
      </c>
      <c r="H5414" t="s">
        <v>74</v>
      </c>
      <c r="I5414" t="s">
        <v>179</v>
      </c>
      <c r="J5414" t="s">
        <v>196</v>
      </c>
      <c r="K5414" t="b">
        <v>1</v>
      </c>
      <c r="L5414">
        <v>2018</v>
      </c>
      <c r="M5414">
        <v>594616687350</v>
      </c>
      <c r="N5414">
        <v>334198218098</v>
      </c>
      <c r="O5414" t="b">
        <v>0</v>
      </c>
      <c r="P5414">
        <v>-1</v>
      </c>
      <c r="Q5414" t="str" cm="1">
        <f t="array" ref="Q5414">_xlfn.IFS(Table1[[#This Row],[Wealthier_Winner]]=-1,"Wealthier Nation Loses",Table1[[#This Row],[Wealthier_Winner]]=0,"Tie",Table1[[#This Row],[Wealthier_Winner]]=1,"Wealthier Nation Wins")</f>
        <v>Wealthier Nation Loses</v>
      </c>
    </row>
    <row r="5415" spans="1:17" x14ac:dyDescent="0.2">
      <c r="A5415" s="1">
        <v>7872</v>
      </c>
      <c r="B5415" s="2">
        <v>43276</v>
      </c>
      <c r="C5415" s="7">
        <f>_xlfn.FLOOR.MATH(Table1[[#This Row],[year]],10)</f>
        <v>2010</v>
      </c>
      <c r="D5415" t="s">
        <v>196</v>
      </c>
      <c r="E5415" t="s">
        <v>26</v>
      </c>
      <c r="F5415">
        <v>0</v>
      </c>
      <c r="G5415">
        <v>3</v>
      </c>
      <c r="H5415" t="s">
        <v>74</v>
      </c>
      <c r="I5415" t="s">
        <v>183</v>
      </c>
      <c r="J5415" t="s">
        <v>196</v>
      </c>
      <c r="K5415" t="b">
        <v>0</v>
      </c>
      <c r="L5415">
        <v>2018</v>
      </c>
      <c r="M5415">
        <v>1657328773461</v>
      </c>
      <c r="N5415">
        <v>65344577415</v>
      </c>
      <c r="O5415" t="b">
        <v>1</v>
      </c>
      <c r="P5415">
        <v>-1</v>
      </c>
      <c r="Q5415" t="str" cm="1">
        <f t="array" ref="Q5415">_xlfn.IFS(Table1[[#This Row],[Wealthier_Winner]]=-1,"Wealthier Nation Loses",Table1[[#This Row],[Wealthier_Winner]]=0,"Tie",Table1[[#This Row],[Wealthier_Winner]]=1,"Wealthier Nation Wins")</f>
        <v>Wealthier Nation Loses</v>
      </c>
    </row>
    <row r="5416" spans="1:17" x14ac:dyDescent="0.2">
      <c r="A5416" s="1">
        <v>7873</v>
      </c>
      <c r="B5416" s="2">
        <v>43276</v>
      </c>
      <c r="C5416" s="7">
        <f>_xlfn.FLOOR.MATH(Table1[[#This Row],[year]],10)</f>
        <v>2010</v>
      </c>
      <c r="D5416" t="s">
        <v>45</v>
      </c>
      <c r="E5416" t="s">
        <v>212</v>
      </c>
      <c r="F5416">
        <v>2</v>
      </c>
      <c r="G5416">
        <v>1</v>
      </c>
      <c r="H5416" t="s">
        <v>74</v>
      </c>
      <c r="I5416" t="s">
        <v>188</v>
      </c>
      <c r="J5416" t="s">
        <v>196</v>
      </c>
      <c r="K5416" t="b">
        <v>1</v>
      </c>
      <c r="L5416">
        <v>2018</v>
      </c>
      <c r="M5416">
        <v>886564800000</v>
      </c>
      <c r="N5416">
        <v>262588632526</v>
      </c>
      <c r="O5416" t="b">
        <v>1</v>
      </c>
      <c r="P5416">
        <v>1</v>
      </c>
      <c r="Q5416" t="str" cm="1">
        <f t="array" ref="Q5416">_xlfn.IFS(Table1[[#This Row],[Wealthier_Winner]]=-1,"Wealthier Nation Loses",Table1[[#This Row],[Wealthier_Winner]]=0,"Tie",Table1[[#This Row],[Wealthier_Winner]]=1,"Wealthier Nation Wins")</f>
        <v>Wealthier Nation Wins</v>
      </c>
    </row>
    <row r="5417" spans="1:17" x14ac:dyDescent="0.2">
      <c r="A5417" s="1">
        <v>7874</v>
      </c>
      <c r="B5417" s="2">
        <v>43276</v>
      </c>
      <c r="C5417" s="7">
        <f>_xlfn.FLOOR.MATH(Table1[[#This Row],[year]],10)</f>
        <v>2010</v>
      </c>
      <c r="D5417" t="s">
        <v>21</v>
      </c>
      <c r="E5417" t="s">
        <v>24</v>
      </c>
      <c r="F5417">
        <v>2</v>
      </c>
      <c r="G5417">
        <v>2</v>
      </c>
      <c r="H5417" t="s">
        <v>74</v>
      </c>
      <c r="I5417" t="s">
        <v>182</v>
      </c>
      <c r="J5417" t="s">
        <v>196</v>
      </c>
      <c r="K5417" t="b">
        <v>1</v>
      </c>
      <c r="L5417">
        <v>2018</v>
      </c>
      <c r="M5417">
        <v>1431642809327</v>
      </c>
      <c r="N5417">
        <v>127341147581</v>
      </c>
      <c r="O5417" t="b">
        <v>1</v>
      </c>
      <c r="P5417">
        <v>0</v>
      </c>
      <c r="Q5417" t="str" cm="1">
        <f t="array" ref="Q5417">_xlfn.IFS(Table1[[#This Row],[Wealthier_Winner]]=-1,"Wealthier Nation Loses",Table1[[#This Row],[Wealthier_Winner]]=0,"Tie",Table1[[#This Row],[Wealthier_Winner]]=1,"Wealthier Nation Wins")</f>
        <v>Tie</v>
      </c>
    </row>
    <row r="5418" spans="1:17" x14ac:dyDescent="0.2">
      <c r="A5418" s="1">
        <v>7875</v>
      </c>
      <c r="B5418" s="2">
        <v>43276</v>
      </c>
      <c r="C5418" s="7">
        <f>_xlfn.FLOOR.MATH(Table1[[#This Row],[year]],10)</f>
        <v>2010</v>
      </c>
      <c r="D5418" t="s">
        <v>210</v>
      </c>
      <c r="E5418" t="s">
        <v>38</v>
      </c>
      <c r="F5418">
        <v>1</v>
      </c>
      <c r="G5418">
        <v>1</v>
      </c>
      <c r="H5418" t="s">
        <v>74</v>
      </c>
      <c r="I5418" t="s">
        <v>181</v>
      </c>
      <c r="J5418" t="s">
        <v>196</v>
      </c>
      <c r="K5418" t="b">
        <v>1</v>
      </c>
      <c r="L5418">
        <v>2018</v>
      </c>
      <c r="M5418">
        <v>411903303606</v>
      </c>
      <c r="N5418">
        <v>242092894542</v>
      </c>
      <c r="O5418" t="b">
        <v>0</v>
      </c>
      <c r="P5418">
        <v>0</v>
      </c>
      <c r="Q5418" t="str" cm="1">
        <f t="array" ref="Q5418">_xlfn.IFS(Table1[[#This Row],[Wealthier_Winner]]=-1,"Wealthier Nation Loses",Table1[[#This Row],[Wealthier_Winner]]=0,"Tie",Table1[[#This Row],[Wealthier_Winner]]=1,"Wealthier Nation Wins")</f>
        <v>Tie</v>
      </c>
    </row>
    <row r="5419" spans="1:17" x14ac:dyDescent="0.2">
      <c r="A5419" s="1">
        <v>7876</v>
      </c>
      <c r="B5419" s="2">
        <v>43277</v>
      </c>
      <c r="C5419" s="7">
        <f>_xlfn.FLOOR.MATH(Table1[[#This Row],[year]],10)</f>
        <v>2010</v>
      </c>
      <c r="D5419" t="s">
        <v>28</v>
      </c>
      <c r="E5419" t="s">
        <v>31</v>
      </c>
      <c r="F5419">
        <v>0</v>
      </c>
      <c r="G5419">
        <v>2</v>
      </c>
      <c r="H5419" t="s">
        <v>74</v>
      </c>
      <c r="I5419" t="s">
        <v>178</v>
      </c>
      <c r="J5419" t="s">
        <v>196</v>
      </c>
      <c r="K5419" t="b">
        <v>1</v>
      </c>
      <c r="L5419">
        <v>2018</v>
      </c>
      <c r="M5419">
        <v>1433144978761</v>
      </c>
      <c r="N5419">
        <v>222597009739</v>
      </c>
      <c r="O5419" t="b">
        <v>1</v>
      </c>
      <c r="P5419">
        <v>-1</v>
      </c>
      <c r="Q5419" t="str" cm="1">
        <f t="array" ref="Q5419">_xlfn.IFS(Table1[[#This Row],[Wealthier_Winner]]=-1,"Wealthier Nation Loses",Table1[[#This Row],[Wealthier_Winner]]=0,"Tie",Table1[[#This Row],[Wealthier_Winner]]=1,"Wealthier Nation Wins")</f>
        <v>Wealthier Nation Loses</v>
      </c>
    </row>
    <row r="5420" spans="1:17" x14ac:dyDescent="0.2">
      <c r="A5420" s="1">
        <v>7877</v>
      </c>
      <c r="B5420" s="2">
        <v>43277</v>
      </c>
      <c r="C5420" s="7">
        <f>_xlfn.FLOOR.MATH(Table1[[#This Row],[year]],10)</f>
        <v>2010</v>
      </c>
      <c r="D5420" t="s">
        <v>36</v>
      </c>
      <c r="E5420" t="s">
        <v>20</v>
      </c>
      <c r="F5420">
        <v>0</v>
      </c>
      <c r="G5420">
        <v>0</v>
      </c>
      <c r="H5420" t="s">
        <v>74</v>
      </c>
      <c r="I5420" t="s">
        <v>180</v>
      </c>
      <c r="J5420" t="s">
        <v>196</v>
      </c>
      <c r="K5420" t="b">
        <v>1</v>
      </c>
      <c r="L5420">
        <v>2018</v>
      </c>
      <c r="M5420">
        <v>355293374912</v>
      </c>
      <c r="N5420">
        <v>2781576320884</v>
      </c>
      <c r="O5420" t="b">
        <v>1</v>
      </c>
      <c r="P5420">
        <v>0</v>
      </c>
      <c r="Q5420" t="str" cm="1">
        <f t="array" ref="Q5420">_xlfn.IFS(Table1[[#This Row],[Wealthier_Winner]]=-1,"Wealthier Nation Loses",Table1[[#This Row],[Wealthier_Winner]]=0,"Tie",Table1[[#This Row],[Wealthier_Winner]]=1,"Wealthier Nation Wins")</f>
        <v>Tie</v>
      </c>
    </row>
    <row r="5421" spans="1:17" x14ac:dyDescent="0.2">
      <c r="A5421" s="1">
        <v>7878</v>
      </c>
      <c r="B5421" s="2">
        <v>43277</v>
      </c>
      <c r="C5421" s="7">
        <f>_xlfn.FLOOR.MATH(Table1[[#This Row],[year]],10)</f>
        <v>2010</v>
      </c>
      <c r="D5421" t="s">
        <v>43</v>
      </c>
      <c r="E5421" t="s">
        <v>19</v>
      </c>
      <c r="F5421">
        <v>1</v>
      </c>
      <c r="G5421">
        <v>2</v>
      </c>
      <c r="H5421" t="s">
        <v>74</v>
      </c>
      <c r="I5421" t="s">
        <v>187</v>
      </c>
      <c r="J5421" t="s">
        <v>196</v>
      </c>
      <c r="K5421" t="b">
        <v>1</v>
      </c>
      <c r="L5421">
        <v>2018</v>
      </c>
      <c r="M5421">
        <v>421739251509</v>
      </c>
      <c r="N5421">
        <v>524819892360</v>
      </c>
      <c r="O5421" t="b">
        <v>0</v>
      </c>
      <c r="P5421">
        <v>1</v>
      </c>
      <c r="Q5421" t="str" cm="1">
        <f t="array" ref="Q5421">_xlfn.IFS(Table1[[#This Row],[Wealthier_Winner]]=-1,"Wealthier Nation Loses",Table1[[#This Row],[Wealthier_Winner]]=0,"Tie",Table1[[#This Row],[Wealthier_Winner]]=1,"Wealthier Nation Wins")</f>
        <v>Wealthier Nation Wins</v>
      </c>
    </row>
    <row r="5422" spans="1:17" x14ac:dyDescent="0.2">
      <c r="A5422" s="1">
        <v>7879</v>
      </c>
      <c r="B5422" s="2">
        <v>43277</v>
      </c>
      <c r="C5422" s="7">
        <f>_xlfn.FLOOR.MATH(Table1[[#This Row],[year]],10)</f>
        <v>2010</v>
      </c>
      <c r="D5422" t="s">
        <v>66</v>
      </c>
      <c r="E5422" t="s">
        <v>52</v>
      </c>
      <c r="F5422">
        <v>1</v>
      </c>
      <c r="G5422">
        <v>2</v>
      </c>
      <c r="H5422" t="s">
        <v>74</v>
      </c>
      <c r="I5422" t="s">
        <v>184</v>
      </c>
      <c r="J5422" t="s">
        <v>196</v>
      </c>
      <c r="K5422" t="b">
        <v>1</v>
      </c>
      <c r="L5422">
        <v>2018</v>
      </c>
      <c r="M5422">
        <v>26677652544</v>
      </c>
      <c r="N5422">
        <v>61667925219</v>
      </c>
      <c r="O5422" t="b">
        <v>1</v>
      </c>
      <c r="P5422">
        <v>1</v>
      </c>
      <c r="Q5422" t="str" cm="1">
        <f t="array" ref="Q5422">_xlfn.IFS(Table1[[#This Row],[Wealthier_Winner]]=-1,"Wealthier Nation Loses",Table1[[#This Row],[Wealthier_Winner]]=0,"Tie",Table1[[#This Row],[Wealthier_Winner]]=1,"Wealthier Nation Wins")</f>
        <v>Wealthier Nation Wins</v>
      </c>
    </row>
    <row r="5423" spans="1:17" x14ac:dyDescent="0.2">
      <c r="A5423" s="1">
        <v>7880</v>
      </c>
      <c r="B5423" s="2">
        <v>43278</v>
      </c>
      <c r="C5423" s="7">
        <f>_xlfn.FLOOR.MATH(Table1[[#This Row],[year]],10)</f>
        <v>2010</v>
      </c>
      <c r="D5423" t="s">
        <v>195</v>
      </c>
      <c r="E5423" t="s">
        <v>16</v>
      </c>
      <c r="F5423">
        <v>2</v>
      </c>
      <c r="G5423">
        <v>0</v>
      </c>
      <c r="H5423" t="s">
        <v>74</v>
      </c>
      <c r="I5423" t="s">
        <v>179</v>
      </c>
      <c r="J5423" t="s">
        <v>196</v>
      </c>
      <c r="K5423" t="b">
        <v>1</v>
      </c>
      <c r="L5423">
        <v>2018</v>
      </c>
      <c r="M5423">
        <v>1824251454306</v>
      </c>
      <c r="N5423">
        <v>4055433215301</v>
      </c>
      <c r="O5423" t="b">
        <v>1</v>
      </c>
      <c r="P5423">
        <v>-1</v>
      </c>
      <c r="Q5423" t="str" cm="1">
        <f t="array" ref="Q5423">_xlfn.IFS(Table1[[#This Row],[Wealthier_Winner]]=-1,"Wealthier Nation Loses",Table1[[#This Row],[Wealthier_Winner]]=0,"Tie",Table1[[#This Row],[Wealthier_Winner]]=1,"Wealthier Nation Wins")</f>
        <v>Wealthier Nation Loses</v>
      </c>
    </row>
    <row r="5424" spans="1:17" x14ac:dyDescent="0.2">
      <c r="A5424" s="1">
        <v>7881</v>
      </c>
      <c r="B5424" s="2">
        <v>43278</v>
      </c>
      <c r="C5424" s="7">
        <f>_xlfn.FLOOR.MATH(Table1[[#This Row],[year]],10)</f>
        <v>2010</v>
      </c>
      <c r="D5424" t="s">
        <v>17</v>
      </c>
      <c r="E5424" t="s">
        <v>25</v>
      </c>
      <c r="F5424">
        <v>0</v>
      </c>
      <c r="G5424">
        <v>3</v>
      </c>
      <c r="H5424" t="s">
        <v>74</v>
      </c>
      <c r="I5424" t="s">
        <v>185</v>
      </c>
      <c r="J5424" t="s">
        <v>196</v>
      </c>
      <c r="K5424" t="b">
        <v>1</v>
      </c>
      <c r="L5424">
        <v>2018</v>
      </c>
      <c r="M5424">
        <v>1256300182879</v>
      </c>
      <c r="N5424">
        <v>549649344043</v>
      </c>
      <c r="O5424" t="b">
        <v>1</v>
      </c>
      <c r="P5424">
        <v>-1</v>
      </c>
      <c r="Q5424" t="str" cm="1">
        <f t="array" ref="Q5424">_xlfn.IFS(Table1[[#This Row],[Wealthier_Winner]]=-1,"Wealthier Nation Loses",Table1[[#This Row],[Wealthier_Winner]]=0,"Tie",Table1[[#This Row],[Wealthier_Winner]]=1,"Wealthier Nation Wins")</f>
        <v>Wealthier Nation Loses</v>
      </c>
    </row>
    <row r="5425" spans="1:17" x14ac:dyDescent="0.2">
      <c r="A5425" s="1">
        <v>7882</v>
      </c>
      <c r="B5425" s="2">
        <v>43278</v>
      </c>
      <c r="C5425" s="7">
        <f>_xlfn.FLOOR.MATH(Table1[[#This Row],[year]],10)</f>
        <v>2010</v>
      </c>
      <c r="D5425" t="s">
        <v>61</v>
      </c>
      <c r="E5425" t="s">
        <v>13</v>
      </c>
      <c r="F5425">
        <v>0</v>
      </c>
      <c r="G5425">
        <v>2</v>
      </c>
      <c r="H5425" t="s">
        <v>74</v>
      </c>
      <c r="I5425" t="s">
        <v>180</v>
      </c>
      <c r="J5425" t="s">
        <v>196</v>
      </c>
      <c r="K5425" t="b">
        <v>1</v>
      </c>
      <c r="L5425">
        <v>2018</v>
      </c>
      <c r="M5425">
        <v>52787520248</v>
      </c>
      <c r="N5425">
        <v>1916933708352</v>
      </c>
      <c r="O5425" t="b">
        <v>1</v>
      </c>
      <c r="P5425">
        <v>1</v>
      </c>
      <c r="Q5425" t="str" cm="1">
        <f t="array" ref="Q5425">_xlfn.IFS(Table1[[#This Row],[Wealthier_Winner]]=-1,"Wealthier Nation Loses",Table1[[#This Row],[Wealthier_Winner]]=0,"Tie",Table1[[#This Row],[Wealthier_Winner]]=1,"Wealthier Nation Wins")</f>
        <v>Wealthier Nation Wins</v>
      </c>
    </row>
    <row r="5426" spans="1:17" x14ac:dyDescent="0.2">
      <c r="A5426" s="1">
        <v>7883</v>
      </c>
      <c r="B5426" s="2">
        <v>43278</v>
      </c>
      <c r="C5426" s="7">
        <f>_xlfn.FLOOR.MATH(Table1[[#This Row],[year]],10)</f>
        <v>2010</v>
      </c>
      <c r="D5426" t="s">
        <v>46</v>
      </c>
      <c r="E5426" t="s">
        <v>56</v>
      </c>
      <c r="F5426">
        <v>2</v>
      </c>
      <c r="G5426">
        <v>2</v>
      </c>
      <c r="H5426" t="s">
        <v>74</v>
      </c>
      <c r="I5426" t="s">
        <v>186</v>
      </c>
      <c r="J5426" t="s">
        <v>196</v>
      </c>
      <c r="K5426" t="b">
        <v>1</v>
      </c>
      <c r="L5426">
        <v>2018</v>
      </c>
      <c r="M5426">
        <v>725568717468</v>
      </c>
      <c r="N5426">
        <v>62420164991</v>
      </c>
      <c r="O5426" t="b">
        <v>1</v>
      </c>
      <c r="P5426">
        <v>0</v>
      </c>
      <c r="Q5426" t="str" cm="1">
        <f t="array" ref="Q5426">_xlfn.IFS(Table1[[#This Row],[Wealthier_Winner]]=-1,"Wealthier Nation Loses",Table1[[#This Row],[Wealthier_Winner]]=0,"Tie",Table1[[#This Row],[Wealthier_Winner]]=1,"Wealthier Nation Wins")</f>
        <v>Tie</v>
      </c>
    </row>
    <row r="5427" spans="1:17" x14ac:dyDescent="0.2">
      <c r="A5427" s="1">
        <v>7884</v>
      </c>
      <c r="B5427" s="2">
        <v>43279</v>
      </c>
      <c r="C5427" s="7">
        <f>_xlfn.FLOOR.MATH(Table1[[#This Row],[year]],10)</f>
        <v>2010</v>
      </c>
      <c r="D5427" t="s">
        <v>51</v>
      </c>
      <c r="E5427" t="s">
        <v>58</v>
      </c>
      <c r="F5427">
        <v>0</v>
      </c>
      <c r="G5427">
        <v>1</v>
      </c>
      <c r="H5427" t="s">
        <v>74</v>
      </c>
      <c r="I5427" t="s">
        <v>188</v>
      </c>
      <c r="J5427" t="s">
        <v>196</v>
      </c>
      <c r="K5427" t="b">
        <v>1</v>
      </c>
      <c r="L5427">
        <v>2018</v>
      </c>
      <c r="M5427">
        <v>5040880939324</v>
      </c>
      <c r="N5427">
        <v>594616687350</v>
      </c>
      <c r="O5427" t="b">
        <v>1</v>
      </c>
      <c r="P5427">
        <v>-1</v>
      </c>
      <c r="Q5427" t="str" cm="1">
        <f t="array" ref="Q5427">_xlfn.IFS(Table1[[#This Row],[Wealthier_Winner]]=-1,"Wealthier Nation Loses",Table1[[#This Row],[Wealthier_Winner]]=0,"Tie",Table1[[#This Row],[Wealthier_Winner]]=1,"Wealthier Nation Wins")</f>
        <v>Wealthier Nation Loses</v>
      </c>
    </row>
    <row r="5428" spans="1:17" x14ac:dyDescent="0.2">
      <c r="A5428" s="1">
        <v>7885</v>
      </c>
      <c r="B5428" s="2">
        <v>43279</v>
      </c>
      <c r="C5428" s="7">
        <f>_xlfn.FLOOR.MATH(Table1[[#This Row],[year]],10)</f>
        <v>2010</v>
      </c>
      <c r="D5428" t="s">
        <v>54</v>
      </c>
      <c r="E5428" t="s">
        <v>15</v>
      </c>
      <c r="F5428">
        <v>0</v>
      </c>
      <c r="G5428">
        <v>1</v>
      </c>
      <c r="H5428" t="s">
        <v>74</v>
      </c>
      <c r="I5428" t="s">
        <v>183</v>
      </c>
      <c r="J5428" t="s">
        <v>196</v>
      </c>
      <c r="K5428" t="b">
        <v>1</v>
      </c>
      <c r="L5428">
        <v>2018</v>
      </c>
      <c r="M5428">
        <v>23116701556</v>
      </c>
      <c r="N5428">
        <v>334198218098</v>
      </c>
      <c r="O5428" t="b">
        <v>1</v>
      </c>
      <c r="P5428">
        <v>1</v>
      </c>
      <c r="Q5428" t="str" cm="1">
        <f t="array" ref="Q5428">_xlfn.IFS(Table1[[#This Row],[Wealthier_Winner]]=-1,"Wealthier Nation Loses",Table1[[#This Row],[Wealthier_Winner]]=0,"Tie",Table1[[#This Row],[Wealthier_Winner]]=1,"Wealthier Nation Wins")</f>
        <v>Wealthier Nation Wins</v>
      </c>
    </row>
    <row r="5429" spans="1:17" x14ac:dyDescent="0.2">
      <c r="A5429" s="1">
        <v>7886</v>
      </c>
      <c r="B5429" s="2">
        <v>43279</v>
      </c>
      <c r="C5429" s="7">
        <f>_xlfn.FLOOR.MATH(Table1[[#This Row],[year]],10)</f>
        <v>2010</v>
      </c>
      <c r="D5429" t="s">
        <v>67</v>
      </c>
      <c r="E5429" t="s">
        <v>53</v>
      </c>
      <c r="F5429">
        <v>1</v>
      </c>
      <c r="G5429">
        <v>2</v>
      </c>
      <c r="H5429" t="s">
        <v>74</v>
      </c>
      <c r="I5429" t="s">
        <v>181</v>
      </c>
      <c r="J5429" t="s">
        <v>196</v>
      </c>
      <c r="K5429" t="b">
        <v>1</v>
      </c>
      <c r="L5429">
        <v>2018</v>
      </c>
      <c r="M5429">
        <v>67316471181</v>
      </c>
      <c r="N5429">
        <v>42686504459</v>
      </c>
      <c r="O5429" t="b">
        <v>0</v>
      </c>
      <c r="P5429">
        <v>-1</v>
      </c>
      <c r="Q5429" t="str" cm="1">
        <f t="array" ref="Q5429">_xlfn.IFS(Table1[[#This Row],[Wealthier_Winner]]=-1,"Wealthier Nation Loses",Table1[[#This Row],[Wealthier_Winner]]=0,"Tie",Table1[[#This Row],[Wealthier_Winner]]=1,"Wealthier Nation Wins")</f>
        <v>Wealthier Nation Loses</v>
      </c>
    </row>
    <row r="5430" spans="1:17" x14ac:dyDescent="0.2">
      <c r="A5430" s="1">
        <v>7887</v>
      </c>
      <c r="B5430" s="2">
        <v>43279</v>
      </c>
      <c r="C5430" s="7">
        <f>_xlfn.FLOOR.MATH(Table1[[#This Row],[year]],10)</f>
        <v>2010</v>
      </c>
      <c r="D5430" t="s">
        <v>194</v>
      </c>
      <c r="E5430" t="s">
        <v>23</v>
      </c>
      <c r="F5430">
        <v>0</v>
      </c>
      <c r="G5430">
        <v>1</v>
      </c>
      <c r="H5430" t="s">
        <v>74</v>
      </c>
      <c r="I5430" t="s">
        <v>182</v>
      </c>
      <c r="J5430" t="s">
        <v>196</v>
      </c>
      <c r="K5430" t="b">
        <v>1</v>
      </c>
      <c r="L5430">
        <v>2018</v>
      </c>
      <c r="M5430">
        <v>2897028009916</v>
      </c>
      <c r="N5430">
        <v>542638913427</v>
      </c>
      <c r="O5430" t="b">
        <v>1</v>
      </c>
      <c r="P5430">
        <v>-1</v>
      </c>
      <c r="Q5430" t="str" cm="1">
        <f t="array" ref="Q5430">_xlfn.IFS(Table1[[#This Row],[Wealthier_Winner]]=-1,"Wealthier Nation Loses",Table1[[#This Row],[Wealthier_Winner]]=0,"Tie",Table1[[#This Row],[Wealthier_Winner]]=1,"Wealthier Nation Wins")</f>
        <v>Wealthier Nation Loses</v>
      </c>
    </row>
    <row r="5431" spans="1:17" x14ac:dyDescent="0.2">
      <c r="A5431" s="1">
        <v>7888</v>
      </c>
      <c r="B5431" s="2">
        <v>43281</v>
      </c>
      <c r="C5431" s="7">
        <f>_xlfn.FLOOR.MATH(Table1[[#This Row],[year]],10)</f>
        <v>2010</v>
      </c>
      <c r="D5431" t="s">
        <v>20</v>
      </c>
      <c r="E5431" t="s">
        <v>19</v>
      </c>
      <c r="F5431">
        <v>4</v>
      </c>
      <c r="G5431">
        <v>3</v>
      </c>
      <c r="H5431" t="s">
        <v>74</v>
      </c>
      <c r="I5431" t="s">
        <v>179</v>
      </c>
      <c r="J5431" t="s">
        <v>196</v>
      </c>
      <c r="K5431" t="b">
        <v>1</v>
      </c>
      <c r="L5431">
        <v>2018</v>
      </c>
      <c r="M5431">
        <v>2781576320884</v>
      </c>
      <c r="N5431">
        <v>524819892360</v>
      </c>
      <c r="O5431" t="b">
        <v>1</v>
      </c>
      <c r="P5431">
        <v>1</v>
      </c>
      <c r="Q5431" t="str" cm="1">
        <f t="array" ref="Q5431">_xlfn.IFS(Table1[[#This Row],[Wealthier_Winner]]=-1,"Wealthier Nation Loses",Table1[[#This Row],[Wealthier_Winner]]=0,"Tie",Table1[[#This Row],[Wealthier_Winner]]=1,"Wealthier Nation Wins")</f>
        <v>Wealthier Nation Wins</v>
      </c>
    </row>
    <row r="5432" spans="1:17" x14ac:dyDescent="0.2">
      <c r="A5432" s="1">
        <v>7889</v>
      </c>
      <c r="B5432" s="2">
        <v>43281</v>
      </c>
      <c r="C5432" s="7">
        <f>_xlfn.FLOOR.MATH(Table1[[#This Row],[year]],10)</f>
        <v>2010</v>
      </c>
      <c r="D5432" t="s">
        <v>26</v>
      </c>
      <c r="E5432" t="s">
        <v>38</v>
      </c>
      <c r="F5432">
        <v>2</v>
      </c>
      <c r="G5432">
        <v>1</v>
      </c>
      <c r="H5432" t="s">
        <v>74</v>
      </c>
      <c r="I5432" t="s">
        <v>178</v>
      </c>
      <c r="J5432" t="s">
        <v>196</v>
      </c>
      <c r="K5432" t="b">
        <v>1</v>
      </c>
      <c r="L5432">
        <v>2018</v>
      </c>
      <c r="M5432">
        <v>65344577415</v>
      </c>
      <c r="N5432">
        <v>242092894542</v>
      </c>
      <c r="O5432" t="b">
        <v>1</v>
      </c>
      <c r="P5432">
        <v>-1</v>
      </c>
      <c r="Q5432" t="str" cm="1">
        <f t="array" ref="Q5432">_xlfn.IFS(Table1[[#This Row],[Wealthier_Winner]]=-1,"Wealthier Nation Loses",Table1[[#This Row],[Wealthier_Winner]]=0,"Tie",Table1[[#This Row],[Wealthier_Winner]]=1,"Wealthier Nation Wins")</f>
        <v>Wealthier Nation Loses</v>
      </c>
    </row>
    <row r="5433" spans="1:17" x14ac:dyDescent="0.2">
      <c r="A5433" s="1">
        <v>7890</v>
      </c>
      <c r="B5433" s="2">
        <v>43282</v>
      </c>
      <c r="C5433" s="7">
        <f>_xlfn.FLOOR.MATH(Table1[[#This Row],[year]],10)</f>
        <v>2010</v>
      </c>
      <c r="D5433" t="s">
        <v>196</v>
      </c>
      <c r="E5433" t="s">
        <v>21</v>
      </c>
      <c r="F5433">
        <v>1</v>
      </c>
      <c r="G5433">
        <v>1</v>
      </c>
      <c r="H5433" t="s">
        <v>74</v>
      </c>
      <c r="I5433" t="s">
        <v>180</v>
      </c>
      <c r="J5433" t="s">
        <v>196</v>
      </c>
      <c r="K5433" t="b">
        <v>0</v>
      </c>
      <c r="L5433">
        <v>2018</v>
      </c>
      <c r="M5433">
        <v>1657328773461</v>
      </c>
      <c r="N5433">
        <v>1431642809327</v>
      </c>
      <c r="O5433" t="b">
        <v>0</v>
      </c>
      <c r="P5433">
        <v>0</v>
      </c>
      <c r="Q5433" t="str" cm="1">
        <f t="array" ref="Q5433">_xlfn.IFS(Table1[[#This Row],[Wealthier_Winner]]=-1,"Wealthier Nation Loses",Table1[[#This Row],[Wealthier_Winner]]=0,"Tie",Table1[[#This Row],[Wealthier_Winner]]=1,"Wealthier Nation Wins")</f>
        <v>Tie</v>
      </c>
    </row>
    <row r="5434" spans="1:17" x14ac:dyDescent="0.2">
      <c r="A5434" s="1">
        <v>7891</v>
      </c>
      <c r="B5434" s="2">
        <v>43282</v>
      </c>
      <c r="C5434" s="7">
        <f>_xlfn.FLOOR.MATH(Table1[[#This Row],[year]],10)</f>
        <v>2010</v>
      </c>
      <c r="D5434" t="s">
        <v>52</v>
      </c>
      <c r="E5434" t="s">
        <v>36</v>
      </c>
      <c r="F5434">
        <v>1</v>
      </c>
      <c r="G5434">
        <v>1</v>
      </c>
      <c r="H5434" t="s">
        <v>74</v>
      </c>
      <c r="I5434" t="s">
        <v>186</v>
      </c>
      <c r="J5434" t="s">
        <v>196</v>
      </c>
      <c r="K5434" t="b">
        <v>1</v>
      </c>
      <c r="L5434">
        <v>2018</v>
      </c>
      <c r="M5434">
        <v>61667925219</v>
      </c>
      <c r="N5434">
        <v>355293374912</v>
      </c>
      <c r="O5434" t="b">
        <v>1</v>
      </c>
      <c r="P5434">
        <v>0</v>
      </c>
      <c r="Q5434" t="str" cm="1">
        <f t="array" ref="Q5434">_xlfn.IFS(Table1[[#This Row],[Wealthier_Winner]]=-1,"Wealthier Nation Loses",Table1[[#This Row],[Wealthier_Winner]]=0,"Tie",Table1[[#This Row],[Wealthier_Winner]]=1,"Wealthier Nation Wins")</f>
        <v>Tie</v>
      </c>
    </row>
    <row r="5435" spans="1:17" x14ac:dyDescent="0.2">
      <c r="A5435" s="1">
        <v>7892</v>
      </c>
      <c r="B5435" s="2">
        <v>43283</v>
      </c>
      <c r="C5435" s="7">
        <f>_xlfn.FLOOR.MATH(Table1[[#This Row],[year]],10)</f>
        <v>2010</v>
      </c>
      <c r="D5435" t="s">
        <v>13</v>
      </c>
      <c r="E5435" t="s">
        <v>17</v>
      </c>
      <c r="F5435">
        <v>2</v>
      </c>
      <c r="G5435">
        <v>0</v>
      </c>
      <c r="H5435" t="s">
        <v>74</v>
      </c>
      <c r="I5435" t="s">
        <v>183</v>
      </c>
      <c r="J5435" t="s">
        <v>196</v>
      </c>
      <c r="K5435" t="b">
        <v>1</v>
      </c>
      <c r="L5435">
        <v>2018</v>
      </c>
      <c r="M5435">
        <v>1916933708352</v>
      </c>
      <c r="N5435">
        <v>1256300182879</v>
      </c>
      <c r="O5435" t="b">
        <v>0</v>
      </c>
      <c r="P5435">
        <v>1</v>
      </c>
      <c r="Q5435" t="str" cm="1">
        <f t="array" ref="Q5435">_xlfn.IFS(Table1[[#This Row],[Wealthier_Winner]]=-1,"Wealthier Nation Loses",Table1[[#This Row],[Wealthier_Winner]]=0,"Tie",Table1[[#This Row],[Wealthier_Winner]]=1,"Wealthier Nation Wins")</f>
        <v>Wealthier Nation Wins</v>
      </c>
    </row>
    <row r="5436" spans="1:17" x14ac:dyDescent="0.2">
      <c r="A5436" s="1">
        <v>7893</v>
      </c>
      <c r="B5436" s="2">
        <v>43283</v>
      </c>
      <c r="C5436" s="7">
        <f>_xlfn.FLOOR.MATH(Table1[[#This Row],[year]],10)</f>
        <v>2010</v>
      </c>
      <c r="D5436" t="s">
        <v>23</v>
      </c>
      <c r="E5436" t="s">
        <v>51</v>
      </c>
      <c r="F5436">
        <v>3</v>
      </c>
      <c r="G5436">
        <v>2</v>
      </c>
      <c r="H5436" t="s">
        <v>74</v>
      </c>
      <c r="I5436" t="s">
        <v>184</v>
      </c>
      <c r="J5436" t="s">
        <v>196</v>
      </c>
      <c r="K5436" t="b">
        <v>1</v>
      </c>
      <c r="L5436">
        <v>2018</v>
      </c>
      <c r="M5436">
        <v>542638913427</v>
      </c>
      <c r="N5436">
        <v>5040880939324</v>
      </c>
      <c r="O5436" t="b">
        <v>1</v>
      </c>
      <c r="P5436">
        <v>-1</v>
      </c>
      <c r="Q5436" t="str" cm="1">
        <f t="array" ref="Q5436">_xlfn.IFS(Table1[[#This Row],[Wealthier_Winner]]=-1,"Wealthier Nation Loses",Table1[[#This Row],[Wealthier_Winner]]=0,"Tie",Table1[[#This Row],[Wealthier_Winner]]=1,"Wealthier Nation Wins")</f>
        <v>Wealthier Nation Loses</v>
      </c>
    </row>
    <row r="5437" spans="1:17" x14ac:dyDescent="0.2">
      <c r="A5437" s="1">
        <v>7894</v>
      </c>
      <c r="B5437" s="2">
        <v>43284</v>
      </c>
      <c r="C5437" s="7">
        <f>_xlfn.FLOOR.MATH(Table1[[#This Row],[year]],10)</f>
        <v>2010</v>
      </c>
      <c r="D5437" t="s">
        <v>25</v>
      </c>
      <c r="E5437" t="s">
        <v>46</v>
      </c>
      <c r="F5437">
        <v>1</v>
      </c>
      <c r="G5437">
        <v>0</v>
      </c>
      <c r="H5437" t="s">
        <v>74</v>
      </c>
      <c r="I5437" t="s">
        <v>187</v>
      </c>
      <c r="J5437" t="s">
        <v>196</v>
      </c>
      <c r="K5437" t="b">
        <v>1</v>
      </c>
      <c r="L5437">
        <v>2018</v>
      </c>
      <c r="M5437">
        <v>549649344043</v>
      </c>
      <c r="N5437">
        <v>725568717468</v>
      </c>
      <c r="O5437" t="b">
        <v>0</v>
      </c>
      <c r="P5437">
        <v>-1</v>
      </c>
      <c r="Q5437" t="str" cm="1">
        <f t="array" ref="Q5437">_xlfn.IFS(Table1[[#This Row],[Wealthier_Winner]]=-1,"Wealthier Nation Loses",Table1[[#This Row],[Wealthier_Winner]]=0,"Tie",Table1[[#This Row],[Wealthier_Winner]]=1,"Wealthier Nation Wins")</f>
        <v>Wealthier Nation Loses</v>
      </c>
    </row>
    <row r="5438" spans="1:17" x14ac:dyDescent="0.2">
      <c r="A5438" s="1">
        <v>7895</v>
      </c>
      <c r="B5438" s="2">
        <v>43284</v>
      </c>
      <c r="C5438" s="7">
        <f>_xlfn.FLOOR.MATH(Table1[[#This Row],[year]],10)</f>
        <v>2010</v>
      </c>
      <c r="D5438" t="s">
        <v>15</v>
      </c>
      <c r="E5438" t="s">
        <v>194</v>
      </c>
      <c r="F5438">
        <v>1</v>
      </c>
      <c r="G5438">
        <v>1</v>
      </c>
      <c r="H5438" t="s">
        <v>74</v>
      </c>
      <c r="I5438" t="s">
        <v>180</v>
      </c>
      <c r="J5438" t="s">
        <v>196</v>
      </c>
      <c r="K5438" t="b">
        <v>1</v>
      </c>
      <c r="L5438">
        <v>2018</v>
      </c>
      <c r="M5438">
        <v>334198218098</v>
      </c>
      <c r="N5438">
        <v>2897028009916</v>
      </c>
      <c r="O5438" t="b">
        <v>1</v>
      </c>
      <c r="P5438">
        <v>0</v>
      </c>
      <c r="Q5438" t="str" cm="1">
        <f t="array" ref="Q5438">_xlfn.IFS(Table1[[#This Row],[Wealthier_Winner]]=-1,"Wealthier Nation Loses",Table1[[#This Row],[Wealthier_Winner]]=0,"Tie",Table1[[#This Row],[Wealthier_Winner]]=1,"Wealthier Nation Wins")</f>
        <v>Tie</v>
      </c>
    </row>
    <row r="5439" spans="1:17" x14ac:dyDescent="0.2">
      <c r="A5439" s="1">
        <v>7896</v>
      </c>
      <c r="B5439" s="2">
        <v>43287</v>
      </c>
      <c r="C5439" s="7">
        <f>_xlfn.FLOOR.MATH(Table1[[#This Row],[year]],10)</f>
        <v>2010</v>
      </c>
      <c r="D5439" t="s">
        <v>26</v>
      </c>
      <c r="E5439" t="s">
        <v>20</v>
      </c>
      <c r="F5439">
        <v>0</v>
      </c>
      <c r="G5439">
        <v>2</v>
      </c>
      <c r="H5439" t="s">
        <v>74</v>
      </c>
      <c r="I5439" t="s">
        <v>186</v>
      </c>
      <c r="J5439" t="s">
        <v>196</v>
      </c>
      <c r="K5439" t="b">
        <v>1</v>
      </c>
      <c r="L5439">
        <v>2018</v>
      </c>
      <c r="M5439">
        <v>65344577415</v>
      </c>
      <c r="N5439">
        <v>2781576320884</v>
      </c>
      <c r="O5439" t="b">
        <v>1</v>
      </c>
      <c r="P5439">
        <v>1</v>
      </c>
      <c r="Q5439" t="str" cm="1">
        <f t="array" ref="Q5439">_xlfn.IFS(Table1[[#This Row],[Wealthier_Winner]]=-1,"Wealthier Nation Loses",Table1[[#This Row],[Wealthier_Winner]]=0,"Tie",Table1[[#This Row],[Wealthier_Winner]]=1,"Wealthier Nation Wins")</f>
        <v>Wealthier Nation Wins</v>
      </c>
    </row>
    <row r="5440" spans="1:17" x14ac:dyDescent="0.2">
      <c r="A5440" s="1">
        <v>7897</v>
      </c>
      <c r="B5440" s="2">
        <v>43287</v>
      </c>
      <c r="C5440" s="7">
        <f>_xlfn.FLOOR.MATH(Table1[[#This Row],[year]],10)</f>
        <v>2010</v>
      </c>
      <c r="D5440" t="s">
        <v>13</v>
      </c>
      <c r="E5440" t="s">
        <v>23</v>
      </c>
      <c r="F5440">
        <v>1</v>
      </c>
      <c r="G5440">
        <v>2</v>
      </c>
      <c r="H5440" t="s">
        <v>74</v>
      </c>
      <c r="I5440" t="s">
        <v>179</v>
      </c>
      <c r="J5440" t="s">
        <v>196</v>
      </c>
      <c r="K5440" t="b">
        <v>1</v>
      </c>
      <c r="L5440">
        <v>2018</v>
      </c>
      <c r="M5440">
        <v>1916933708352</v>
      </c>
      <c r="N5440">
        <v>542638913427</v>
      </c>
      <c r="O5440" t="b">
        <v>1</v>
      </c>
      <c r="P5440">
        <v>-1</v>
      </c>
      <c r="Q5440" t="str" cm="1">
        <f t="array" ref="Q5440">_xlfn.IFS(Table1[[#This Row],[Wealthier_Winner]]=-1,"Wealthier Nation Loses",Table1[[#This Row],[Wealthier_Winner]]=0,"Tie",Table1[[#This Row],[Wealthier_Winner]]=1,"Wealthier Nation Wins")</f>
        <v>Wealthier Nation Loses</v>
      </c>
    </row>
    <row r="5441" spans="1:17" x14ac:dyDescent="0.2">
      <c r="A5441" s="1">
        <v>7898</v>
      </c>
      <c r="B5441" s="2">
        <v>43288</v>
      </c>
      <c r="C5441" s="7">
        <f>_xlfn.FLOOR.MATH(Table1[[#This Row],[year]],10)</f>
        <v>2010</v>
      </c>
      <c r="D5441" t="s">
        <v>25</v>
      </c>
      <c r="E5441" t="s">
        <v>194</v>
      </c>
      <c r="F5441">
        <v>0</v>
      </c>
      <c r="G5441">
        <v>2</v>
      </c>
      <c r="H5441" t="s">
        <v>74</v>
      </c>
      <c r="I5441" t="s">
        <v>183</v>
      </c>
      <c r="J5441" t="s">
        <v>196</v>
      </c>
      <c r="K5441" t="b">
        <v>1</v>
      </c>
      <c r="L5441">
        <v>2018</v>
      </c>
      <c r="M5441">
        <v>549649344043</v>
      </c>
      <c r="N5441">
        <v>2897028009916</v>
      </c>
      <c r="O5441" t="b">
        <v>1</v>
      </c>
      <c r="P5441">
        <v>1</v>
      </c>
      <c r="Q5441" t="str" cm="1">
        <f t="array" ref="Q5441">_xlfn.IFS(Table1[[#This Row],[Wealthier_Winner]]=-1,"Wealthier Nation Loses",Table1[[#This Row],[Wealthier_Winner]]=0,"Tie",Table1[[#This Row],[Wealthier_Winner]]=1,"Wealthier Nation Wins")</f>
        <v>Wealthier Nation Wins</v>
      </c>
    </row>
    <row r="5442" spans="1:17" x14ac:dyDescent="0.2">
      <c r="A5442" s="1">
        <v>7899</v>
      </c>
      <c r="B5442" s="2">
        <v>43288</v>
      </c>
      <c r="C5442" s="7">
        <f>_xlfn.FLOOR.MATH(Table1[[#This Row],[year]],10)</f>
        <v>2010</v>
      </c>
      <c r="D5442" t="s">
        <v>196</v>
      </c>
      <c r="E5442" t="s">
        <v>52</v>
      </c>
      <c r="F5442">
        <v>2</v>
      </c>
      <c r="G5442">
        <v>2</v>
      </c>
      <c r="H5442" t="s">
        <v>74</v>
      </c>
      <c r="I5442" t="s">
        <v>178</v>
      </c>
      <c r="J5442" t="s">
        <v>196</v>
      </c>
      <c r="K5442" t="b">
        <v>0</v>
      </c>
      <c r="L5442">
        <v>2018</v>
      </c>
      <c r="M5442">
        <v>1657328773461</v>
      </c>
      <c r="N5442">
        <v>61667925219</v>
      </c>
      <c r="O5442" t="b">
        <v>1</v>
      </c>
      <c r="P5442">
        <v>0</v>
      </c>
      <c r="Q5442" t="str" cm="1">
        <f t="array" ref="Q5442">_xlfn.IFS(Table1[[#This Row],[Wealthier_Winner]]=-1,"Wealthier Nation Loses",Table1[[#This Row],[Wealthier_Winner]]=0,"Tie",Table1[[#This Row],[Wealthier_Winner]]=1,"Wealthier Nation Wins")</f>
        <v>Tie</v>
      </c>
    </row>
    <row r="5443" spans="1:17" x14ac:dyDescent="0.2">
      <c r="A5443" s="1">
        <v>7900</v>
      </c>
      <c r="B5443" s="2">
        <v>43291</v>
      </c>
      <c r="C5443" s="7">
        <f>_xlfn.FLOOR.MATH(Table1[[#This Row],[year]],10)</f>
        <v>2010</v>
      </c>
      <c r="D5443" t="s">
        <v>20</v>
      </c>
      <c r="E5443" t="s">
        <v>23</v>
      </c>
      <c r="F5443">
        <v>1</v>
      </c>
      <c r="G5443">
        <v>0</v>
      </c>
      <c r="H5443" t="s">
        <v>74</v>
      </c>
      <c r="I5443" t="s">
        <v>187</v>
      </c>
      <c r="J5443" t="s">
        <v>196</v>
      </c>
      <c r="K5443" t="b">
        <v>1</v>
      </c>
      <c r="L5443">
        <v>2018</v>
      </c>
      <c r="M5443">
        <v>2781576320884</v>
      </c>
      <c r="N5443">
        <v>542638913427</v>
      </c>
      <c r="O5443" t="b">
        <v>1</v>
      </c>
      <c r="P5443">
        <v>1</v>
      </c>
      <c r="Q5443" t="str" cm="1">
        <f t="array" ref="Q5443">_xlfn.IFS(Table1[[#This Row],[Wealthier_Winner]]=-1,"Wealthier Nation Loses",Table1[[#This Row],[Wealthier_Winner]]=0,"Tie",Table1[[#This Row],[Wealthier_Winner]]=1,"Wealthier Nation Wins")</f>
        <v>Wealthier Nation Wins</v>
      </c>
    </row>
    <row r="5444" spans="1:17" x14ac:dyDescent="0.2">
      <c r="A5444" s="1">
        <v>7901</v>
      </c>
      <c r="B5444" s="2">
        <v>43292</v>
      </c>
      <c r="C5444" s="7">
        <f>_xlfn.FLOOR.MATH(Table1[[#This Row],[year]],10)</f>
        <v>2010</v>
      </c>
      <c r="D5444" t="s">
        <v>52</v>
      </c>
      <c r="E5444" t="s">
        <v>194</v>
      </c>
      <c r="F5444">
        <v>2</v>
      </c>
      <c r="G5444">
        <v>1</v>
      </c>
      <c r="H5444" t="s">
        <v>74</v>
      </c>
      <c r="I5444" t="s">
        <v>180</v>
      </c>
      <c r="J5444" t="s">
        <v>196</v>
      </c>
      <c r="K5444" t="b">
        <v>1</v>
      </c>
      <c r="L5444">
        <v>2018</v>
      </c>
      <c r="M5444">
        <v>61667925219</v>
      </c>
      <c r="N5444">
        <v>2897028009916</v>
      </c>
      <c r="O5444" t="b">
        <v>1</v>
      </c>
      <c r="P5444">
        <v>-1</v>
      </c>
      <c r="Q5444" t="str" cm="1">
        <f t="array" ref="Q5444">_xlfn.IFS(Table1[[#This Row],[Wealthier_Winner]]=-1,"Wealthier Nation Loses",Table1[[#This Row],[Wealthier_Winner]]=0,"Tie",Table1[[#This Row],[Wealthier_Winner]]=1,"Wealthier Nation Wins")</f>
        <v>Wealthier Nation Loses</v>
      </c>
    </row>
    <row r="5445" spans="1:17" x14ac:dyDescent="0.2">
      <c r="A5445" s="1">
        <v>7902</v>
      </c>
      <c r="B5445" s="2">
        <v>43295</v>
      </c>
      <c r="C5445" s="7">
        <f>_xlfn.FLOOR.MATH(Table1[[#This Row],[year]],10)</f>
        <v>2010</v>
      </c>
      <c r="D5445" t="s">
        <v>23</v>
      </c>
      <c r="E5445" t="s">
        <v>194</v>
      </c>
      <c r="F5445">
        <v>2</v>
      </c>
      <c r="G5445">
        <v>0</v>
      </c>
      <c r="H5445" t="s">
        <v>74</v>
      </c>
      <c r="I5445" t="s">
        <v>187</v>
      </c>
      <c r="J5445" t="s">
        <v>196</v>
      </c>
      <c r="K5445" t="b">
        <v>1</v>
      </c>
      <c r="L5445">
        <v>2018</v>
      </c>
      <c r="M5445">
        <v>542638913427</v>
      </c>
      <c r="N5445">
        <v>2897028009916</v>
      </c>
      <c r="O5445" t="b">
        <v>1</v>
      </c>
      <c r="P5445">
        <v>-1</v>
      </c>
      <c r="Q5445" t="str" cm="1">
        <f t="array" ref="Q5445">_xlfn.IFS(Table1[[#This Row],[Wealthier_Winner]]=-1,"Wealthier Nation Loses",Table1[[#This Row],[Wealthier_Winner]]=0,"Tie",Table1[[#This Row],[Wealthier_Winner]]=1,"Wealthier Nation Wins")</f>
        <v>Wealthier Nation Loses</v>
      </c>
    </row>
    <row r="5446" spans="1:17" x14ac:dyDescent="0.2">
      <c r="A5446" s="1">
        <v>7903</v>
      </c>
      <c r="B5446" s="2">
        <v>43296</v>
      </c>
      <c r="C5446" s="7">
        <f>_xlfn.FLOOR.MATH(Table1[[#This Row],[year]],10)</f>
        <v>2010</v>
      </c>
      <c r="D5446" t="s">
        <v>20</v>
      </c>
      <c r="E5446" t="s">
        <v>52</v>
      </c>
      <c r="F5446">
        <v>4</v>
      </c>
      <c r="G5446">
        <v>2</v>
      </c>
      <c r="H5446" t="s">
        <v>74</v>
      </c>
      <c r="I5446" t="s">
        <v>180</v>
      </c>
      <c r="J5446" t="s">
        <v>196</v>
      </c>
      <c r="K5446" t="b">
        <v>1</v>
      </c>
      <c r="L5446">
        <v>2018</v>
      </c>
      <c r="M5446">
        <v>2781576320884</v>
      </c>
      <c r="N5446">
        <v>61667925219</v>
      </c>
      <c r="O5446" t="b">
        <v>1</v>
      </c>
      <c r="P5446">
        <v>1</v>
      </c>
      <c r="Q5446" t="str" cm="1">
        <f t="array" ref="Q5446">_xlfn.IFS(Table1[[#This Row],[Wealthier_Winner]]=-1,"Wealthier Nation Loses",Table1[[#This Row],[Wealthier_Winner]]=0,"Tie",Table1[[#This Row],[Wealthier_Winner]]=1,"Wealthier Nation Wins")</f>
        <v>Wealthier Nation Wins</v>
      </c>
    </row>
    <row r="5447" spans="1:17" x14ac:dyDescent="0.2">
      <c r="A5447" s="1">
        <v>7904</v>
      </c>
      <c r="B5447" s="2">
        <v>43622</v>
      </c>
      <c r="C5447" s="7">
        <f>_xlfn.FLOOR.MATH(Table1[[#This Row],[year]],10)</f>
        <v>2010</v>
      </c>
      <c r="D5447" t="s">
        <v>777</v>
      </c>
      <c r="E5447" t="s">
        <v>782</v>
      </c>
      <c r="F5447">
        <v>1</v>
      </c>
      <c r="G5447">
        <v>0</v>
      </c>
      <c r="H5447" t="s">
        <v>224</v>
      </c>
      <c r="I5447" t="s">
        <v>778</v>
      </c>
      <c r="J5447" t="s">
        <v>777</v>
      </c>
      <c r="K5447" t="b">
        <v>0</v>
      </c>
      <c r="L5447">
        <v>2019</v>
      </c>
      <c r="M5447">
        <v>2735683570</v>
      </c>
      <c r="N5447">
        <v>6355000000</v>
      </c>
      <c r="O5447" t="b">
        <v>1</v>
      </c>
      <c r="P5447">
        <v>-1</v>
      </c>
      <c r="Q5447" t="str" cm="1">
        <f t="array" ref="Q5447">_xlfn.IFS(Table1[[#This Row],[Wealthier_Winner]]=-1,"Wealthier Nation Loses",Table1[[#This Row],[Wealthier_Winner]]=0,"Tie",Table1[[#This Row],[Wealthier_Winner]]=1,"Wealthier Nation Wins")</f>
        <v>Wealthier Nation Loses</v>
      </c>
    </row>
    <row r="5448" spans="1:17" x14ac:dyDescent="0.2">
      <c r="A5448" s="1">
        <v>7905</v>
      </c>
      <c r="B5448" s="2">
        <v>43622</v>
      </c>
      <c r="C5448" s="7">
        <f>_xlfn.FLOOR.MATH(Table1[[#This Row],[year]],10)</f>
        <v>2010</v>
      </c>
      <c r="D5448" t="s">
        <v>551</v>
      </c>
      <c r="E5448" t="s">
        <v>431</v>
      </c>
      <c r="F5448">
        <v>2</v>
      </c>
      <c r="G5448">
        <v>0</v>
      </c>
      <c r="H5448" t="s">
        <v>224</v>
      </c>
      <c r="I5448" t="s">
        <v>553</v>
      </c>
      <c r="J5448" t="s">
        <v>551</v>
      </c>
      <c r="K5448" t="b">
        <v>0</v>
      </c>
      <c r="L5448">
        <v>2019</v>
      </c>
      <c r="M5448">
        <v>36685356407</v>
      </c>
      <c r="N5448">
        <v>320909472770</v>
      </c>
      <c r="O5448" t="b">
        <v>1</v>
      </c>
      <c r="P5448">
        <v>-1</v>
      </c>
      <c r="Q5448" t="str" cm="1">
        <f t="array" ref="Q5448">_xlfn.IFS(Table1[[#This Row],[Wealthier_Winner]]=-1,"Wealthier Nation Loses",Table1[[#This Row],[Wealthier_Winner]]=0,"Tie",Table1[[#This Row],[Wealthier_Winner]]=1,"Wealthier Nation Wins")</f>
        <v>Wealthier Nation Loses</v>
      </c>
    </row>
    <row r="5449" spans="1:17" x14ac:dyDescent="0.2">
      <c r="A5449" s="1">
        <v>7909</v>
      </c>
      <c r="B5449" s="2">
        <v>43623</v>
      </c>
      <c r="C5449" s="7">
        <f>_xlfn.FLOOR.MATH(Table1[[#This Row],[year]],10)</f>
        <v>2010</v>
      </c>
      <c r="D5449" t="s">
        <v>333</v>
      </c>
      <c r="E5449" t="s">
        <v>738</v>
      </c>
      <c r="F5449">
        <v>7</v>
      </c>
      <c r="G5449">
        <v>1</v>
      </c>
      <c r="H5449" t="s">
        <v>224</v>
      </c>
      <c r="I5449" t="s">
        <v>402</v>
      </c>
      <c r="J5449" t="s">
        <v>333</v>
      </c>
      <c r="K5449" t="b">
        <v>0</v>
      </c>
      <c r="L5449">
        <v>2019</v>
      </c>
      <c r="M5449">
        <v>365177721021</v>
      </c>
      <c r="N5449">
        <v>2032550389</v>
      </c>
      <c r="O5449" t="b">
        <v>1</v>
      </c>
      <c r="P5449">
        <v>1</v>
      </c>
      <c r="Q5449" t="str" cm="1">
        <f t="array" ref="Q5449">_xlfn.IFS(Table1[[#This Row],[Wealthier_Winner]]=-1,"Wealthier Nation Loses",Table1[[#This Row],[Wealthier_Winner]]=0,"Tie",Table1[[#This Row],[Wealthier_Winner]]=1,"Wealthier Nation Wins")</f>
        <v>Wealthier Nation Wins</v>
      </c>
    </row>
    <row r="5450" spans="1:17" x14ac:dyDescent="0.2">
      <c r="A5450" s="1">
        <v>7912</v>
      </c>
      <c r="B5450" s="2">
        <v>43627</v>
      </c>
      <c r="C5450" s="7">
        <f>_xlfn.FLOOR.MATH(Table1[[#This Row],[year]],10)</f>
        <v>2010</v>
      </c>
      <c r="D5450" t="s">
        <v>782</v>
      </c>
      <c r="E5450" t="s">
        <v>777</v>
      </c>
      <c r="F5450">
        <v>5</v>
      </c>
      <c r="G5450">
        <v>0</v>
      </c>
      <c r="H5450" t="s">
        <v>224</v>
      </c>
      <c r="I5450" t="s">
        <v>783</v>
      </c>
      <c r="J5450" t="s">
        <v>782</v>
      </c>
      <c r="K5450" t="b">
        <v>0</v>
      </c>
      <c r="L5450">
        <v>2019</v>
      </c>
      <c r="M5450">
        <v>6355000000</v>
      </c>
      <c r="N5450">
        <v>2735683570</v>
      </c>
      <c r="O5450" t="b">
        <v>1</v>
      </c>
      <c r="P5450">
        <v>1</v>
      </c>
      <c r="Q5450" t="str" cm="1">
        <f t="array" ref="Q5450">_xlfn.IFS(Table1[[#This Row],[Wealthier_Winner]]=-1,"Wealthier Nation Loses",Table1[[#This Row],[Wealthier_Winner]]=0,"Tie",Table1[[#This Row],[Wealthier_Winner]]=1,"Wealthier Nation Wins")</f>
        <v>Wealthier Nation Wins</v>
      </c>
    </row>
    <row r="5451" spans="1:17" x14ac:dyDescent="0.2">
      <c r="A5451" s="1">
        <v>7913</v>
      </c>
      <c r="B5451" s="2">
        <v>43627</v>
      </c>
      <c r="C5451" s="7">
        <f>_xlfn.FLOOR.MATH(Table1[[#This Row],[year]],10)</f>
        <v>2010</v>
      </c>
      <c r="D5451" t="s">
        <v>431</v>
      </c>
      <c r="E5451" t="s">
        <v>551</v>
      </c>
      <c r="F5451">
        <v>1</v>
      </c>
      <c r="G5451">
        <v>2</v>
      </c>
      <c r="H5451" t="s">
        <v>224</v>
      </c>
      <c r="I5451" t="s">
        <v>190</v>
      </c>
      <c r="J5451" t="s">
        <v>68</v>
      </c>
      <c r="K5451" t="b">
        <v>1</v>
      </c>
      <c r="L5451">
        <v>2019</v>
      </c>
      <c r="M5451">
        <v>320909472770</v>
      </c>
      <c r="N5451">
        <v>36685356407</v>
      </c>
      <c r="O5451" t="b">
        <v>1</v>
      </c>
      <c r="P5451">
        <v>-1</v>
      </c>
      <c r="Q5451" t="str" cm="1">
        <f t="array" ref="Q5451">_xlfn.IFS(Table1[[#This Row],[Wealthier_Winner]]=-1,"Wealthier Nation Loses",Table1[[#This Row],[Wealthier_Winner]]=0,"Tie",Table1[[#This Row],[Wealthier_Winner]]=1,"Wealthier Nation Wins")</f>
        <v>Wealthier Nation Loses</v>
      </c>
    </row>
    <row r="5452" spans="1:17" x14ac:dyDescent="0.2">
      <c r="A5452" s="1">
        <v>7915</v>
      </c>
      <c r="B5452" s="2">
        <v>43627</v>
      </c>
      <c r="C5452" s="7">
        <f>_xlfn.FLOOR.MATH(Table1[[#This Row],[year]],10)</f>
        <v>2010</v>
      </c>
      <c r="D5452" t="s">
        <v>333</v>
      </c>
      <c r="E5452" t="s">
        <v>738</v>
      </c>
      <c r="F5452">
        <v>5</v>
      </c>
      <c r="G5452">
        <v>1</v>
      </c>
      <c r="H5452" t="s">
        <v>224</v>
      </c>
      <c r="I5452" t="s">
        <v>402</v>
      </c>
      <c r="J5452" t="s">
        <v>333</v>
      </c>
      <c r="K5452" t="b">
        <v>0</v>
      </c>
      <c r="L5452">
        <v>2019</v>
      </c>
      <c r="M5452">
        <v>365177721021</v>
      </c>
      <c r="N5452">
        <v>2032550389</v>
      </c>
      <c r="O5452" t="b">
        <v>1</v>
      </c>
      <c r="P5452">
        <v>1</v>
      </c>
      <c r="Q5452" t="str" cm="1">
        <f t="array" ref="Q5452">_xlfn.IFS(Table1[[#This Row],[Wealthier_Winner]]=-1,"Wealthier Nation Loses",Table1[[#This Row],[Wealthier_Winner]]=0,"Tie",Table1[[#This Row],[Wealthier_Winner]]=1,"Wealthier Nation Wins")</f>
        <v>Wealthier Nation Wins</v>
      </c>
    </row>
    <row r="5453" spans="1:17" x14ac:dyDescent="0.2">
      <c r="A5453" s="1">
        <v>7916</v>
      </c>
      <c r="B5453" s="2">
        <v>43712</v>
      </c>
      <c r="C5453" s="7">
        <f>_xlfn.FLOOR.MATH(Table1[[#This Row],[year]],10)</f>
        <v>2010</v>
      </c>
      <c r="D5453" t="s">
        <v>460</v>
      </c>
      <c r="E5453" t="s">
        <v>320</v>
      </c>
      <c r="F5453">
        <v>1</v>
      </c>
      <c r="G5453">
        <v>1</v>
      </c>
      <c r="H5453" t="s">
        <v>224</v>
      </c>
      <c r="I5453" t="s">
        <v>464</v>
      </c>
      <c r="J5453" t="s">
        <v>460</v>
      </c>
      <c r="K5453" t="b">
        <v>0</v>
      </c>
      <c r="L5453">
        <v>2019</v>
      </c>
      <c r="M5453">
        <v>2871555326</v>
      </c>
      <c r="N5453">
        <v>61026731925</v>
      </c>
      <c r="O5453" t="b">
        <v>1</v>
      </c>
      <c r="P5453">
        <v>0</v>
      </c>
      <c r="Q5453" t="str" cm="1">
        <f t="array" ref="Q5453">_xlfn.IFS(Table1[[#This Row],[Wealthier_Winner]]=-1,"Wealthier Nation Loses",Table1[[#This Row],[Wealthier_Winner]]=0,"Tie",Table1[[#This Row],[Wealthier_Winner]]=1,"Wealthier Nation Wins")</f>
        <v>Tie</v>
      </c>
    </row>
    <row r="5454" spans="1:17" x14ac:dyDescent="0.2">
      <c r="A5454" s="1">
        <v>7917</v>
      </c>
      <c r="B5454" s="2">
        <v>43712</v>
      </c>
      <c r="C5454" s="7">
        <f>_xlfn.FLOOR.MATH(Table1[[#This Row],[year]],10)</f>
        <v>2010</v>
      </c>
      <c r="D5454" t="s">
        <v>694</v>
      </c>
      <c r="E5454" t="s">
        <v>463</v>
      </c>
      <c r="F5454">
        <v>2</v>
      </c>
      <c r="G5454">
        <v>1</v>
      </c>
      <c r="H5454" t="s">
        <v>224</v>
      </c>
      <c r="I5454" t="s">
        <v>694</v>
      </c>
      <c r="J5454" t="s">
        <v>694</v>
      </c>
      <c r="K5454" t="b">
        <v>0</v>
      </c>
      <c r="L5454">
        <v>2019</v>
      </c>
      <c r="M5454">
        <v>3088851450</v>
      </c>
      <c r="N5454">
        <v>4617018958</v>
      </c>
      <c r="O5454" t="b">
        <v>0</v>
      </c>
      <c r="P5454">
        <v>-1</v>
      </c>
      <c r="Q5454" t="str" cm="1">
        <f t="array" ref="Q5454">_xlfn.IFS(Table1[[#This Row],[Wealthier_Winner]]=-1,"Wealthier Nation Loses",Table1[[#This Row],[Wealthier_Winner]]=0,"Tie",Table1[[#This Row],[Wealthier_Winner]]=1,"Wealthier Nation Wins")</f>
        <v>Wealthier Nation Loses</v>
      </c>
    </row>
    <row r="5455" spans="1:17" x14ac:dyDescent="0.2">
      <c r="A5455" s="1">
        <v>7919</v>
      </c>
      <c r="B5455" s="2">
        <v>43712</v>
      </c>
      <c r="C5455" s="7">
        <f>_xlfn.FLOOR.MATH(Table1[[#This Row],[year]],10)</f>
        <v>2010</v>
      </c>
      <c r="D5455" t="s">
        <v>238</v>
      </c>
      <c r="E5455" t="s">
        <v>307</v>
      </c>
      <c r="F5455">
        <v>0</v>
      </c>
      <c r="G5455">
        <v>0</v>
      </c>
      <c r="H5455" t="s">
        <v>224</v>
      </c>
      <c r="I5455" t="s">
        <v>826</v>
      </c>
      <c r="J5455" t="s">
        <v>238</v>
      </c>
      <c r="K5455" t="b">
        <v>0</v>
      </c>
      <c r="L5455">
        <v>2019</v>
      </c>
      <c r="M5455">
        <v>91834517112</v>
      </c>
      <c r="N5455">
        <v>2390702295</v>
      </c>
      <c r="O5455" t="b">
        <v>1</v>
      </c>
      <c r="P5455">
        <v>0</v>
      </c>
      <c r="Q5455" t="str" cm="1">
        <f t="array" ref="Q5455">_xlfn.IFS(Table1[[#This Row],[Wealthier_Winner]]=-1,"Wealthier Nation Loses",Table1[[#This Row],[Wealthier_Winner]]=0,"Tie",Table1[[#This Row],[Wealthier_Winner]]=1,"Wealthier Nation Wins")</f>
        <v>Tie</v>
      </c>
    </row>
    <row r="5456" spans="1:17" x14ac:dyDescent="0.2">
      <c r="A5456" s="1">
        <v>7920</v>
      </c>
      <c r="B5456" s="2">
        <v>43712</v>
      </c>
      <c r="C5456" s="7">
        <f>_xlfn.FLOOR.MATH(Table1[[#This Row],[year]],10)</f>
        <v>2010</v>
      </c>
      <c r="D5456" t="s">
        <v>378</v>
      </c>
      <c r="E5456" t="s">
        <v>342</v>
      </c>
      <c r="F5456">
        <v>3</v>
      </c>
      <c r="G5456">
        <v>1</v>
      </c>
      <c r="H5456" t="s">
        <v>224</v>
      </c>
      <c r="I5456" t="s">
        <v>379</v>
      </c>
      <c r="J5456" t="s">
        <v>378</v>
      </c>
      <c r="K5456" t="b">
        <v>0</v>
      </c>
      <c r="L5456">
        <v>2019</v>
      </c>
      <c r="M5456">
        <v>3319596500</v>
      </c>
      <c r="N5456">
        <v>6523577594</v>
      </c>
      <c r="O5456" t="b">
        <v>0</v>
      </c>
      <c r="P5456">
        <v>-1</v>
      </c>
      <c r="Q5456" t="str" cm="1">
        <f t="array" ref="Q5456">_xlfn.IFS(Table1[[#This Row],[Wealthier_Winner]]=-1,"Wealthier Nation Loses",Table1[[#This Row],[Wealthier_Winner]]=0,"Tie",Table1[[#This Row],[Wealthier_Winner]]=1,"Wealthier Nation Wins")</f>
        <v>Wealthier Nation Loses</v>
      </c>
    </row>
    <row r="5457" spans="1:17" x14ac:dyDescent="0.2">
      <c r="A5457" s="1">
        <v>7921</v>
      </c>
      <c r="B5457" s="2">
        <v>43712</v>
      </c>
      <c r="C5457" s="7">
        <f>_xlfn.FLOOR.MATH(Table1[[#This Row],[year]],10)</f>
        <v>2010</v>
      </c>
      <c r="D5457" t="s">
        <v>323</v>
      </c>
      <c r="E5457" t="s">
        <v>300</v>
      </c>
      <c r="F5457">
        <v>0</v>
      </c>
      <c r="G5457">
        <v>1</v>
      </c>
      <c r="H5457" t="s">
        <v>224</v>
      </c>
      <c r="I5457" t="s">
        <v>827</v>
      </c>
      <c r="J5457" t="s">
        <v>323</v>
      </c>
      <c r="K5457" t="b">
        <v>0</v>
      </c>
      <c r="L5457">
        <v>2019</v>
      </c>
      <c r="M5457">
        <v>14645235204</v>
      </c>
      <c r="N5457">
        <v>15512759046</v>
      </c>
      <c r="O5457" t="b">
        <v>0</v>
      </c>
      <c r="P5457">
        <v>1</v>
      </c>
      <c r="Q5457" t="str" cm="1">
        <f t="array" ref="Q5457">_xlfn.IFS(Table1[[#This Row],[Wealthier_Winner]]=-1,"Wealthier Nation Loses",Table1[[#This Row],[Wealthier_Winner]]=0,"Tie",Table1[[#This Row],[Wealthier_Winner]]=1,"Wealthier Nation Wins")</f>
        <v>Wealthier Nation Wins</v>
      </c>
    </row>
    <row r="5458" spans="1:17" x14ac:dyDescent="0.2">
      <c r="A5458" s="1">
        <v>7924</v>
      </c>
      <c r="B5458" s="2">
        <v>43713</v>
      </c>
      <c r="C5458" s="7">
        <f>_xlfn.FLOOR.MATH(Table1[[#This Row],[year]],10)</f>
        <v>2010</v>
      </c>
      <c r="D5458" t="s">
        <v>782</v>
      </c>
      <c r="E5458" t="s">
        <v>567</v>
      </c>
      <c r="F5458">
        <v>0</v>
      </c>
      <c r="G5458">
        <v>1</v>
      </c>
      <c r="H5458" t="s">
        <v>224</v>
      </c>
      <c r="I5458" t="s">
        <v>783</v>
      </c>
      <c r="J5458" t="s">
        <v>782</v>
      </c>
      <c r="K5458" t="b">
        <v>0</v>
      </c>
      <c r="L5458">
        <v>2019</v>
      </c>
      <c r="M5458">
        <v>6355000000</v>
      </c>
      <c r="N5458">
        <v>5726094799</v>
      </c>
      <c r="O5458" t="b">
        <v>0</v>
      </c>
      <c r="P5458">
        <v>-1</v>
      </c>
      <c r="Q5458" t="str" cm="1">
        <f t="array" ref="Q5458">_xlfn.IFS(Table1[[#This Row],[Wealthier_Winner]]=-1,"Wealthier Nation Loses",Table1[[#This Row],[Wealthier_Winner]]=0,"Tie",Table1[[#This Row],[Wealthier_Winner]]=1,"Wealthier Nation Wins")</f>
        <v>Wealthier Nation Loses</v>
      </c>
    </row>
    <row r="5459" spans="1:17" x14ac:dyDescent="0.2">
      <c r="A5459" s="1">
        <v>7925</v>
      </c>
      <c r="B5459" s="2">
        <v>43713</v>
      </c>
      <c r="C5459" s="7">
        <f>_xlfn.FLOOR.MATH(Table1[[#This Row],[year]],10)</f>
        <v>2010</v>
      </c>
      <c r="D5459" t="s">
        <v>532</v>
      </c>
      <c r="E5459" t="s">
        <v>331</v>
      </c>
      <c r="F5459">
        <v>2</v>
      </c>
      <c r="G5459">
        <v>5</v>
      </c>
      <c r="H5459" t="s">
        <v>224</v>
      </c>
      <c r="I5459" t="s">
        <v>828</v>
      </c>
      <c r="J5459" t="s">
        <v>532</v>
      </c>
      <c r="K5459" t="b">
        <v>0</v>
      </c>
      <c r="L5459">
        <v>2019</v>
      </c>
      <c r="M5459">
        <v>376823402239</v>
      </c>
      <c r="N5459">
        <v>22583045060</v>
      </c>
      <c r="O5459" t="b">
        <v>1</v>
      </c>
      <c r="P5459">
        <v>-1</v>
      </c>
      <c r="Q5459" t="str" cm="1">
        <f t="array" ref="Q5459">_xlfn.IFS(Table1[[#This Row],[Wealthier_Winner]]=-1,"Wealthier Nation Loses",Table1[[#This Row],[Wealthier_Winner]]=0,"Tie",Table1[[#This Row],[Wealthier_Winner]]=1,"Wealthier Nation Wins")</f>
        <v>Wealthier Nation Loses</v>
      </c>
    </row>
    <row r="5460" spans="1:17" x14ac:dyDescent="0.2">
      <c r="A5460" s="1">
        <v>7927</v>
      </c>
      <c r="B5460" s="2">
        <v>43713</v>
      </c>
      <c r="C5460" s="7">
        <f>_xlfn.FLOOR.MATH(Table1[[#This Row],[year]],10)</f>
        <v>2010</v>
      </c>
      <c r="D5460" t="s">
        <v>71</v>
      </c>
      <c r="E5460" t="s">
        <v>400</v>
      </c>
      <c r="F5460">
        <v>7</v>
      </c>
      <c r="G5460">
        <v>0</v>
      </c>
      <c r="H5460" t="s">
        <v>224</v>
      </c>
      <c r="I5460" t="s">
        <v>366</v>
      </c>
      <c r="J5460" t="s">
        <v>71</v>
      </c>
      <c r="K5460" t="b">
        <v>0</v>
      </c>
      <c r="L5460">
        <v>2019</v>
      </c>
      <c r="M5460">
        <v>140856394860</v>
      </c>
      <c r="N5460">
        <v>34186180699</v>
      </c>
      <c r="O5460" t="b">
        <v>1</v>
      </c>
      <c r="P5460">
        <v>1</v>
      </c>
      <c r="Q5460" t="str" cm="1">
        <f t="array" ref="Q5460">_xlfn.IFS(Table1[[#This Row],[Wealthier_Winner]]=-1,"Wealthier Nation Loses",Table1[[#This Row],[Wealthier_Winner]]=0,"Tie",Table1[[#This Row],[Wealthier_Winner]]=1,"Wealthier Nation Wins")</f>
        <v>Wealthier Nation Wins</v>
      </c>
    </row>
    <row r="5461" spans="1:17" x14ac:dyDescent="0.2">
      <c r="A5461" s="1">
        <v>7929</v>
      </c>
      <c r="B5461" s="2">
        <v>43713</v>
      </c>
      <c r="C5461" s="7">
        <f>_xlfn.FLOOR.MATH(Table1[[#This Row],[year]],10)</f>
        <v>2010</v>
      </c>
      <c r="D5461" t="s">
        <v>361</v>
      </c>
      <c r="E5461" t="s">
        <v>37</v>
      </c>
      <c r="F5461">
        <v>1</v>
      </c>
      <c r="G5461">
        <v>1</v>
      </c>
      <c r="H5461" t="s">
        <v>224</v>
      </c>
      <c r="I5461" t="s">
        <v>419</v>
      </c>
      <c r="J5461" t="s">
        <v>361</v>
      </c>
      <c r="K5461" t="b">
        <v>0</v>
      </c>
      <c r="L5461">
        <v>2019</v>
      </c>
      <c r="M5461">
        <v>40446808510</v>
      </c>
      <c r="N5461">
        <v>233636097800</v>
      </c>
      <c r="O5461" t="b">
        <v>1</v>
      </c>
      <c r="P5461">
        <v>0</v>
      </c>
      <c r="Q5461" t="str" cm="1">
        <f t="array" ref="Q5461">_xlfn.IFS(Table1[[#This Row],[Wealthier_Winner]]=-1,"Wealthier Nation Loses",Table1[[#This Row],[Wealthier_Winner]]=0,"Tie",Table1[[#This Row],[Wealthier_Winner]]=1,"Wealthier Nation Wins")</f>
        <v>Tie</v>
      </c>
    </row>
    <row r="5462" spans="1:17" x14ac:dyDescent="0.2">
      <c r="A5462" s="1">
        <v>7932</v>
      </c>
      <c r="B5462" s="2">
        <v>43713</v>
      </c>
      <c r="C5462" s="7">
        <f>_xlfn.FLOOR.MATH(Table1[[#This Row],[year]],10)</f>
        <v>2010</v>
      </c>
      <c r="D5462" t="s">
        <v>406</v>
      </c>
      <c r="E5462" t="s">
        <v>429</v>
      </c>
      <c r="F5462">
        <v>1</v>
      </c>
      <c r="G5462">
        <v>2</v>
      </c>
      <c r="H5462" t="s">
        <v>224</v>
      </c>
      <c r="I5462" t="s">
        <v>776</v>
      </c>
      <c r="J5462" t="s">
        <v>406</v>
      </c>
      <c r="K5462" t="b">
        <v>0</v>
      </c>
      <c r="L5462">
        <v>2019</v>
      </c>
      <c r="M5462">
        <v>2835606256558</v>
      </c>
      <c r="N5462">
        <v>88060858257</v>
      </c>
      <c r="O5462" t="b">
        <v>1</v>
      </c>
      <c r="P5462">
        <v>-1</v>
      </c>
      <c r="Q5462" t="str" cm="1">
        <f t="array" ref="Q5462">_xlfn.IFS(Table1[[#This Row],[Wealthier_Winner]]=-1,"Wealthier Nation Loses",Table1[[#This Row],[Wealthier_Winner]]=0,"Tie",Table1[[#This Row],[Wealthier_Winner]]=1,"Wealthier Nation Wins")</f>
        <v>Wealthier Nation Loses</v>
      </c>
    </row>
    <row r="5463" spans="1:17" x14ac:dyDescent="0.2">
      <c r="A5463" s="1">
        <v>7933</v>
      </c>
      <c r="B5463" s="2">
        <v>43713</v>
      </c>
      <c r="C5463" s="7">
        <f>_xlfn.FLOOR.MATH(Table1[[#This Row],[year]],10)</f>
        <v>2010</v>
      </c>
      <c r="D5463" t="s">
        <v>68</v>
      </c>
      <c r="E5463" t="s">
        <v>641</v>
      </c>
      <c r="F5463">
        <v>6</v>
      </c>
      <c r="G5463">
        <v>0</v>
      </c>
      <c r="H5463" t="s">
        <v>224</v>
      </c>
      <c r="I5463" t="s">
        <v>190</v>
      </c>
      <c r="J5463" t="s">
        <v>68</v>
      </c>
      <c r="K5463" t="b">
        <v>0</v>
      </c>
      <c r="L5463">
        <v>2019</v>
      </c>
      <c r="M5463">
        <v>176371428571</v>
      </c>
      <c r="N5463">
        <v>18799444490</v>
      </c>
      <c r="O5463" t="b">
        <v>1</v>
      </c>
      <c r="P5463">
        <v>1</v>
      </c>
      <c r="Q5463" t="str" cm="1">
        <f t="array" ref="Q5463">_xlfn.IFS(Table1[[#This Row],[Wealthier_Winner]]=-1,"Wealthier Nation Loses",Table1[[#This Row],[Wealthier_Winner]]=0,"Tie",Table1[[#This Row],[Wealthier_Winner]]=1,"Wealthier Nation Wins")</f>
        <v>Wealthier Nation Wins</v>
      </c>
    </row>
    <row r="5464" spans="1:17" x14ac:dyDescent="0.2">
      <c r="A5464" s="1">
        <v>7934</v>
      </c>
      <c r="B5464" s="2">
        <v>43713</v>
      </c>
      <c r="C5464" s="7">
        <f>_xlfn.FLOOR.MATH(Table1[[#This Row],[year]],10)</f>
        <v>2010</v>
      </c>
      <c r="D5464" t="s">
        <v>611</v>
      </c>
      <c r="E5464" t="s">
        <v>737</v>
      </c>
      <c r="F5464">
        <v>1</v>
      </c>
      <c r="G5464">
        <v>0</v>
      </c>
      <c r="H5464" t="s">
        <v>224</v>
      </c>
      <c r="I5464" t="s">
        <v>643</v>
      </c>
      <c r="J5464" t="s">
        <v>611</v>
      </c>
      <c r="K5464" t="b">
        <v>0</v>
      </c>
      <c r="L5464">
        <v>2019</v>
      </c>
      <c r="M5464">
        <v>14206359017</v>
      </c>
      <c r="N5464">
        <v>75065106243</v>
      </c>
      <c r="O5464" t="b">
        <v>1</v>
      </c>
      <c r="P5464">
        <v>-1</v>
      </c>
      <c r="Q5464" t="str" cm="1">
        <f t="array" ref="Q5464">_xlfn.IFS(Table1[[#This Row],[Wealthier_Winner]]=-1,"Wealthier Nation Loses",Table1[[#This Row],[Wealthier_Winner]]=0,"Tie",Table1[[#This Row],[Wealthier_Winner]]=1,"Wealthier Nation Wins")</f>
        <v>Wealthier Nation Loses</v>
      </c>
    </row>
    <row r="5465" spans="1:17" x14ac:dyDescent="0.2">
      <c r="A5465" s="1">
        <v>7936</v>
      </c>
      <c r="B5465" s="2">
        <v>43713</v>
      </c>
      <c r="C5465" s="7">
        <f>_xlfn.FLOOR.MATH(Table1[[#This Row],[year]],10)</f>
        <v>2010</v>
      </c>
      <c r="D5465" t="s">
        <v>334</v>
      </c>
      <c r="E5465" t="s">
        <v>475</v>
      </c>
      <c r="F5465">
        <v>0</v>
      </c>
      <c r="G5465">
        <v>0</v>
      </c>
      <c r="H5465" t="s">
        <v>224</v>
      </c>
      <c r="I5465" t="s">
        <v>829</v>
      </c>
      <c r="J5465" t="s">
        <v>334</v>
      </c>
      <c r="K5465" t="b">
        <v>0</v>
      </c>
      <c r="L5465">
        <v>2019</v>
      </c>
      <c r="M5465">
        <v>543976691793</v>
      </c>
      <c r="N5465">
        <v>334365270496</v>
      </c>
      <c r="O5465" t="b">
        <v>0</v>
      </c>
      <c r="P5465">
        <v>0</v>
      </c>
      <c r="Q5465" t="str" cm="1">
        <f t="array" ref="Q5465">_xlfn.IFS(Table1[[#This Row],[Wealthier_Winner]]=-1,"Wealthier Nation Loses",Table1[[#This Row],[Wealthier_Winner]]=0,"Tie",Table1[[#This Row],[Wealthier_Winner]]=1,"Wealthier Nation Wins")</f>
        <v>Tie</v>
      </c>
    </row>
    <row r="5466" spans="1:17" x14ac:dyDescent="0.2">
      <c r="A5466" s="1">
        <v>7937</v>
      </c>
      <c r="B5466" s="2">
        <v>43713</v>
      </c>
      <c r="C5466" s="7">
        <f>_xlfn.FLOOR.MATH(Table1[[#This Row],[year]],10)</f>
        <v>2010</v>
      </c>
      <c r="D5466" t="s">
        <v>328</v>
      </c>
      <c r="E5466" t="s">
        <v>333</v>
      </c>
      <c r="F5466">
        <v>2</v>
      </c>
      <c r="G5466">
        <v>3</v>
      </c>
      <c r="H5466" t="s">
        <v>224</v>
      </c>
      <c r="I5466" t="s">
        <v>386</v>
      </c>
      <c r="J5466" t="s">
        <v>328</v>
      </c>
      <c r="K5466" t="b">
        <v>0</v>
      </c>
      <c r="L5466">
        <v>2019</v>
      </c>
      <c r="M5466">
        <v>1119099871350</v>
      </c>
      <c r="N5466">
        <v>365177721021</v>
      </c>
      <c r="O5466" t="b">
        <v>1</v>
      </c>
      <c r="P5466">
        <v>-1</v>
      </c>
      <c r="Q5466" t="str" cm="1">
        <f t="array" ref="Q5466">_xlfn.IFS(Table1[[#This Row],[Wealthier_Winner]]=-1,"Wealthier Nation Loses",Table1[[#This Row],[Wealthier_Winner]]=0,"Tie",Table1[[#This Row],[Wealthier_Winner]]=1,"Wealthier Nation Wins")</f>
        <v>Wealthier Nation Loses</v>
      </c>
    </row>
    <row r="5467" spans="1:17" x14ac:dyDescent="0.2">
      <c r="A5467" s="1">
        <v>7939</v>
      </c>
      <c r="B5467" s="2">
        <v>43713</v>
      </c>
      <c r="C5467" s="7">
        <f>_xlfn.FLOOR.MATH(Table1[[#This Row],[year]],10)</f>
        <v>2010</v>
      </c>
      <c r="D5467" t="s">
        <v>473</v>
      </c>
      <c r="E5467" t="s">
        <v>560</v>
      </c>
      <c r="F5467">
        <v>0</v>
      </c>
      <c r="G5467">
        <v>2</v>
      </c>
      <c r="H5467" t="s">
        <v>224</v>
      </c>
      <c r="I5467" t="s">
        <v>652</v>
      </c>
      <c r="J5467" t="s">
        <v>473</v>
      </c>
      <c r="K5467" t="b">
        <v>0</v>
      </c>
      <c r="L5467">
        <v>2019</v>
      </c>
      <c r="M5467">
        <v>88998706296</v>
      </c>
      <c r="N5467">
        <v>40810067974</v>
      </c>
      <c r="O5467" t="b">
        <v>1</v>
      </c>
      <c r="P5467">
        <v>-1</v>
      </c>
      <c r="Q5467" t="str" cm="1">
        <f t="array" ref="Q5467">_xlfn.IFS(Table1[[#This Row],[Wealthier_Winner]]=-1,"Wealthier Nation Loses",Table1[[#This Row],[Wealthier_Winner]]=0,"Tie",Table1[[#This Row],[Wealthier_Winner]]=1,"Wealthier Nation Wins")</f>
        <v>Wealthier Nation Loses</v>
      </c>
    </row>
    <row r="5468" spans="1:17" x14ac:dyDescent="0.2">
      <c r="A5468" s="1">
        <v>7940</v>
      </c>
      <c r="B5468" s="2">
        <v>43713</v>
      </c>
      <c r="C5468" s="7">
        <f>_xlfn.FLOOR.MATH(Table1[[#This Row],[year]],10)</f>
        <v>2010</v>
      </c>
      <c r="D5468" t="s">
        <v>586</v>
      </c>
      <c r="E5468" t="s">
        <v>274</v>
      </c>
      <c r="F5468">
        <v>1</v>
      </c>
      <c r="G5468">
        <v>3</v>
      </c>
      <c r="H5468" t="s">
        <v>224</v>
      </c>
      <c r="I5468" t="s">
        <v>587</v>
      </c>
      <c r="J5468" t="s">
        <v>586</v>
      </c>
      <c r="K5468" t="b">
        <v>0</v>
      </c>
      <c r="L5468">
        <v>2019</v>
      </c>
      <c r="M5468">
        <v>14905517742</v>
      </c>
      <c r="N5468">
        <v>32338079165</v>
      </c>
      <c r="O5468" t="b">
        <v>1</v>
      </c>
      <c r="P5468">
        <v>1</v>
      </c>
      <c r="Q5468" t="str" cm="1">
        <f t="array" ref="Q5468">_xlfn.IFS(Table1[[#This Row],[Wealthier_Winner]]=-1,"Wealthier Nation Loses",Table1[[#This Row],[Wealthier_Winner]]=0,"Tie",Table1[[#This Row],[Wealthier_Winner]]=1,"Wealthier Nation Wins")</f>
        <v>Wealthier Nation Wins</v>
      </c>
    </row>
    <row r="5469" spans="1:17" x14ac:dyDescent="0.2">
      <c r="A5469" s="1">
        <v>7941</v>
      </c>
      <c r="B5469" s="2">
        <v>43713</v>
      </c>
      <c r="C5469" s="7">
        <f>_xlfn.FLOOR.MATH(Table1[[#This Row],[year]],10)</f>
        <v>2010</v>
      </c>
      <c r="D5469" t="s">
        <v>583</v>
      </c>
      <c r="E5469" t="s">
        <v>514</v>
      </c>
      <c r="F5469">
        <v>0</v>
      </c>
      <c r="G5469">
        <v>3</v>
      </c>
      <c r="H5469" t="s">
        <v>224</v>
      </c>
      <c r="I5469" t="s">
        <v>584</v>
      </c>
      <c r="J5469" t="s">
        <v>583</v>
      </c>
      <c r="K5469" t="b">
        <v>0</v>
      </c>
      <c r="L5469">
        <v>2019</v>
      </c>
      <c r="M5469">
        <v>1868690096</v>
      </c>
      <c r="N5469">
        <v>10349300276</v>
      </c>
      <c r="O5469" t="b">
        <v>1</v>
      </c>
      <c r="P5469">
        <v>1</v>
      </c>
      <c r="Q5469" t="str" cm="1">
        <f t="array" ref="Q5469">_xlfn.IFS(Table1[[#This Row],[Wealthier_Winner]]=-1,"Wealthier Nation Loses",Table1[[#This Row],[Wealthier_Winner]]=0,"Tie",Table1[[#This Row],[Wealthier_Winner]]=1,"Wealthier Nation Wins")</f>
        <v>Wealthier Nation Wins</v>
      </c>
    </row>
    <row r="5470" spans="1:17" x14ac:dyDescent="0.2">
      <c r="A5470" s="1">
        <v>7943</v>
      </c>
      <c r="B5470" s="2">
        <v>43714</v>
      </c>
      <c r="C5470" s="7">
        <f>_xlfn.FLOOR.MATH(Table1[[#This Row],[year]],10)</f>
        <v>2010</v>
      </c>
      <c r="D5470" t="s">
        <v>688</v>
      </c>
      <c r="E5470" t="s">
        <v>62</v>
      </c>
      <c r="F5470">
        <v>1</v>
      </c>
      <c r="G5470">
        <v>1</v>
      </c>
      <c r="H5470" t="s">
        <v>224</v>
      </c>
      <c r="I5470" t="s">
        <v>690</v>
      </c>
      <c r="J5470" t="s">
        <v>688</v>
      </c>
      <c r="K5470" t="b">
        <v>0</v>
      </c>
      <c r="L5470">
        <v>2019</v>
      </c>
      <c r="M5470">
        <v>1187915408</v>
      </c>
      <c r="N5470">
        <v>6992654019</v>
      </c>
      <c r="O5470" t="b">
        <v>1</v>
      </c>
      <c r="P5470">
        <v>0</v>
      </c>
      <c r="Q5470" t="str" cm="1">
        <f t="array" ref="Q5470">_xlfn.IFS(Table1[[#This Row],[Wealthier_Winner]]=-1,"Wealthier Nation Loses",Table1[[#This Row],[Wealthier_Winner]]=0,"Tie",Table1[[#This Row],[Wealthier_Winner]]=1,"Wealthier Nation Wins")</f>
        <v>Tie</v>
      </c>
    </row>
    <row r="5471" spans="1:17" x14ac:dyDescent="0.2">
      <c r="A5471" s="1">
        <v>7945</v>
      </c>
      <c r="B5471" s="2">
        <v>43715</v>
      </c>
      <c r="C5471" s="7">
        <f>_xlfn.FLOOR.MATH(Table1[[#This Row],[year]],10)</f>
        <v>2010</v>
      </c>
      <c r="D5471" t="s">
        <v>469</v>
      </c>
      <c r="E5471" t="s">
        <v>370</v>
      </c>
      <c r="F5471">
        <v>0</v>
      </c>
      <c r="G5471">
        <v>0</v>
      </c>
      <c r="H5471" t="s">
        <v>224</v>
      </c>
      <c r="I5471" t="s">
        <v>799</v>
      </c>
      <c r="J5471" t="s">
        <v>469</v>
      </c>
      <c r="K5471" t="b">
        <v>0</v>
      </c>
      <c r="L5471">
        <v>2019</v>
      </c>
      <c r="M5471">
        <v>16725908148</v>
      </c>
      <c r="N5471">
        <v>11051852712</v>
      </c>
      <c r="O5471" t="b">
        <v>0</v>
      </c>
      <c r="P5471">
        <v>0</v>
      </c>
      <c r="Q5471" t="str" cm="1">
        <f t="array" ref="Q5471">_xlfn.IFS(Table1[[#This Row],[Wealthier_Winner]]=-1,"Wealthier Nation Loses",Table1[[#This Row],[Wealthier_Winner]]=0,"Tie",Table1[[#This Row],[Wealthier_Winner]]=1,"Wealthier Nation Wins")</f>
        <v>Tie</v>
      </c>
    </row>
    <row r="5472" spans="1:17" x14ac:dyDescent="0.2">
      <c r="A5472" s="1">
        <v>7947</v>
      </c>
      <c r="B5472" s="2">
        <v>43716</v>
      </c>
      <c r="C5472" s="7">
        <f>_xlfn.FLOOR.MATH(Table1[[#This Row],[year]],10)</f>
        <v>2010</v>
      </c>
      <c r="D5472" t="s">
        <v>307</v>
      </c>
      <c r="E5472" t="s">
        <v>238</v>
      </c>
      <c r="F5472">
        <v>1</v>
      </c>
      <c r="G5472">
        <v>1</v>
      </c>
      <c r="H5472" t="s">
        <v>224</v>
      </c>
      <c r="I5472" t="s">
        <v>308</v>
      </c>
      <c r="J5472" t="s">
        <v>307</v>
      </c>
      <c r="K5472" t="b">
        <v>0</v>
      </c>
      <c r="L5472">
        <v>2019</v>
      </c>
      <c r="M5472">
        <v>2390702295</v>
      </c>
      <c r="N5472">
        <v>91834517112</v>
      </c>
      <c r="O5472" t="b">
        <v>1</v>
      </c>
      <c r="P5472">
        <v>0</v>
      </c>
      <c r="Q5472" t="str" cm="1">
        <f t="array" ref="Q5472">_xlfn.IFS(Table1[[#This Row],[Wealthier_Winner]]=-1,"Wealthier Nation Loses",Table1[[#This Row],[Wealthier_Winner]]=0,"Tie",Table1[[#This Row],[Wealthier_Winner]]=1,"Wealthier Nation Wins")</f>
        <v>Tie</v>
      </c>
    </row>
    <row r="5473" spans="1:17" x14ac:dyDescent="0.2">
      <c r="A5473" s="1">
        <v>7948</v>
      </c>
      <c r="B5473" s="2">
        <v>43716</v>
      </c>
      <c r="C5473" s="7">
        <f>_xlfn.FLOOR.MATH(Table1[[#This Row],[year]],10)</f>
        <v>2010</v>
      </c>
      <c r="D5473" t="s">
        <v>342</v>
      </c>
      <c r="E5473" t="s">
        <v>378</v>
      </c>
      <c r="F5473">
        <v>1</v>
      </c>
      <c r="G5473">
        <v>0</v>
      </c>
      <c r="H5473" t="s">
        <v>224</v>
      </c>
      <c r="I5473" t="s">
        <v>344</v>
      </c>
      <c r="J5473" t="s">
        <v>342</v>
      </c>
      <c r="K5473" t="b">
        <v>0</v>
      </c>
      <c r="L5473">
        <v>2019</v>
      </c>
      <c r="M5473">
        <v>6523577594</v>
      </c>
      <c r="N5473">
        <v>3319596500</v>
      </c>
      <c r="O5473" t="b">
        <v>0</v>
      </c>
      <c r="P5473">
        <v>1</v>
      </c>
      <c r="Q5473" t="str" cm="1">
        <f t="array" ref="Q5473">_xlfn.IFS(Table1[[#This Row],[Wealthier_Winner]]=-1,"Wealthier Nation Loses",Table1[[#This Row],[Wealthier_Winner]]=0,"Tie",Table1[[#This Row],[Wealthier_Winner]]=1,"Wealthier Nation Wins")</f>
        <v>Wealthier Nation Wins</v>
      </c>
    </row>
    <row r="5474" spans="1:17" x14ac:dyDescent="0.2">
      <c r="A5474" s="1">
        <v>7949</v>
      </c>
      <c r="B5474" s="2">
        <v>43716</v>
      </c>
      <c r="C5474" s="7">
        <f>_xlfn.FLOOR.MATH(Table1[[#This Row],[year]],10)</f>
        <v>2010</v>
      </c>
      <c r="D5474" t="s">
        <v>320</v>
      </c>
      <c r="E5474" t="s">
        <v>460</v>
      </c>
      <c r="F5474">
        <v>1</v>
      </c>
      <c r="G5474">
        <v>1</v>
      </c>
      <c r="H5474" t="s">
        <v>224</v>
      </c>
      <c r="I5474" t="s">
        <v>321</v>
      </c>
      <c r="J5474" t="s">
        <v>320</v>
      </c>
      <c r="K5474" t="b">
        <v>0</v>
      </c>
      <c r="L5474">
        <v>2019</v>
      </c>
      <c r="M5474">
        <v>61026731925</v>
      </c>
      <c r="N5474">
        <v>2871555326</v>
      </c>
      <c r="O5474" t="b">
        <v>1</v>
      </c>
      <c r="P5474">
        <v>0</v>
      </c>
      <c r="Q5474" t="str" cm="1">
        <f t="array" ref="Q5474">_xlfn.IFS(Table1[[#This Row],[Wealthier_Winner]]=-1,"Wealthier Nation Loses",Table1[[#This Row],[Wealthier_Winner]]=0,"Tie",Table1[[#This Row],[Wealthier_Winner]]=1,"Wealthier Nation Wins")</f>
        <v>Tie</v>
      </c>
    </row>
    <row r="5475" spans="1:17" x14ac:dyDescent="0.2">
      <c r="A5475" s="1">
        <v>7950</v>
      </c>
      <c r="B5475" s="2">
        <v>43718</v>
      </c>
      <c r="C5475" s="7">
        <f>_xlfn.FLOOR.MATH(Table1[[#This Row],[year]],10)</f>
        <v>2010</v>
      </c>
      <c r="D5475" t="s">
        <v>782</v>
      </c>
      <c r="E5475" t="s">
        <v>532</v>
      </c>
      <c r="F5475">
        <v>1</v>
      </c>
      <c r="G5475">
        <v>4</v>
      </c>
      <c r="H5475" t="s">
        <v>224</v>
      </c>
      <c r="I5475" t="s">
        <v>783</v>
      </c>
      <c r="J5475" t="s">
        <v>782</v>
      </c>
      <c r="K5475" t="b">
        <v>0</v>
      </c>
      <c r="L5475">
        <v>2019</v>
      </c>
      <c r="M5475">
        <v>6355000000</v>
      </c>
      <c r="N5475">
        <v>376823402239</v>
      </c>
      <c r="O5475" t="b">
        <v>1</v>
      </c>
      <c r="P5475">
        <v>1</v>
      </c>
      <c r="Q5475" t="str" cm="1">
        <f t="array" ref="Q5475">_xlfn.IFS(Table1[[#This Row],[Wealthier_Winner]]=-1,"Wealthier Nation Loses",Table1[[#This Row],[Wealthier_Winner]]=0,"Tie",Table1[[#This Row],[Wealthier_Winner]]=1,"Wealthier Nation Wins")</f>
        <v>Wealthier Nation Wins</v>
      </c>
    </row>
    <row r="5476" spans="1:17" x14ac:dyDescent="0.2">
      <c r="A5476" s="1">
        <v>7952</v>
      </c>
      <c r="B5476" s="2">
        <v>43718</v>
      </c>
      <c r="C5476" s="7">
        <f>_xlfn.FLOOR.MATH(Table1[[#This Row],[year]],10)</f>
        <v>2010</v>
      </c>
      <c r="D5476" t="s">
        <v>71</v>
      </c>
      <c r="E5476" t="s">
        <v>28</v>
      </c>
      <c r="F5476">
        <v>0</v>
      </c>
      <c r="G5476">
        <v>3</v>
      </c>
      <c r="H5476" t="s">
        <v>224</v>
      </c>
      <c r="I5476" t="s">
        <v>366</v>
      </c>
      <c r="J5476" t="s">
        <v>71</v>
      </c>
      <c r="K5476" t="b">
        <v>0</v>
      </c>
      <c r="L5476">
        <v>2019</v>
      </c>
      <c r="M5476">
        <v>140856394860</v>
      </c>
      <c r="N5476">
        <v>1398349602956</v>
      </c>
      <c r="O5476" t="b">
        <v>1</v>
      </c>
      <c r="P5476">
        <v>1</v>
      </c>
      <c r="Q5476" t="str" cm="1">
        <f t="array" ref="Q5476">_xlfn.IFS(Table1[[#This Row],[Wealthier_Winner]]=-1,"Wealthier Nation Loses",Table1[[#This Row],[Wealthier_Winner]]=0,"Tie",Table1[[#This Row],[Wealthier_Winner]]=1,"Wealthier Nation Wins")</f>
        <v>Wealthier Nation Wins</v>
      </c>
    </row>
    <row r="5477" spans="1:17" x14ac:dyDescent="0.2">
      <c r="A5477" s="1">
        <v>7954</v>
      </c>
      <c r="B5477" s="2">
        <v>43718</v>
      </c>
      <c r="C5477" s="7">
        <f>_xlfn.FLOOR.MATH(Table1[[#This Row],[year]],10)</f>
        <v>2010</v>
      </c>
      <c r="D5477" t="s">
        <v>551</v>
      </c>
      <c r="E5477" t="s">
        <v>361</v>
      </c>
      <c r="F5477">
        <v>0</v>
      </c>
      <c r="G5477">
        <v>1</v>
      </c>
      <c r="H5477" t="s">
        <v>224</v>
      </c>
      <c r="I5477" t="s">
        <v>553</v>
      </c>
      <c r="J5477" t="s">
        <v>551</v>
      </c>
      <c r="K5477" t="b">
        <v>0</v>
      </c>
      <c r="L5477">
        <v>2019</v>
      </c>
      <c r="M5477">
        <v>36685356407</v>
      </c>
      <c r="N5477">
        <v>40446808510</v>
      </c>
      <c r="O5477" t="b">
        <v>0</v>
      </c>
      <c r="P5477">
        <v>1</v>
      </c>
      <c r="Q5477" t="str" cm="1">
        <f t="array" ref="Q5477">_xlfn.IFS(Table1[[#This Row],[Wealthier_Winner]]=-1,"Wealthier Nation Loses",Table1[[#This Row],[Wealthier_Winner]]=0,"Tie",Table1[[#This Row],[Wealthier_Winner]]=1,"Wealthier Nation Wins")</f>
        <v>Wealthier Nation Wins</v>
      </c>
    </row>
    <row r="5478" spans="1:17" x14ac:dyDescent="0.2">
      <c r="A5478" s="1">
        <v>7958</v>
      </c>
      <c r="B5478" s="2">
        <v>43718</v>
      </c>
      <c r="C5478" s="7">
        <f>_xlfn.FLOOR.MATH(Table1[[#This Row],[year]],10)</f>
        <v>2010</v>
      </c>
      <c r="D5478" t="s">
        <v>641</v>
      </c>
      <c r="E5478" t="s">
        <v>405</v>
      </c>
      <c r="F5478">
        <v>1</v>
      </c>
      <c r="G5478">
        <v>0</v>
      </c>
      <c r="H5478" t="s">
        <v>224</v>
      </c>
      <c r="I5478" t="s">
        <v>557</v>
      </c>
      <c r="J5478" t="s">
        <v>556</v>
      </c>
      <c r="K5478" t="b">
        <v>1</v>
      </c>
      <c r="L5478">
        <v>2019</v>
      </c>
      <c r="M5478">
        <v>18799444490</v>
      </c>
      <c r="N5478">
        <v>351231654603</v>
      </c>
      <c r="O5478" t="b">
        <v>1</v>
      </c>
      <c r="P5478">
        <v>-1</v>
      </c>
      <c r="Q5478" t="str" cm="1">
        <f t="array" ref="Q5478">_xlfn.IFS(Table1[[#This Row],[Wealthier_Winner]]=-1,"Wealthier Nation Loses",Table1[[#This Row],[Wealthier_Winner]]=0,"Tie",Table1[[#This Row],[Wealthier_Winner]]=1,"Wealthier Nation Wins")</f>
        <v>Wealthier Nation Loses</v>
      </c>
    </row>
    <row r="5479" spans="1:17" x14ac:dyDescent="0.2">
      <c r="A5479" s="1">
        <v>7959</v>
      </c>
      <c r="B5479" s="2">
        <v>43718</v>
      </c>
      <c r="C5479" s="7">
        <f>_xlfn.FLOOR.MATH(Table1[[#This Row],[year]],10)</f>
        <v>2010</v>
      </c>
      <c r="D5479" t="s">
        <v>68</v>
      </c>
      <c r="E5479" t="s">
        <v>406</v>
      </c>
      <c r="F5479">
        <v>0</v>
      </c>
      <c r="G5479">
        <v>0</v>
      </c>
      <c r="H5479" t="s">
        <v>224</v>
      </c>
      <c r="I5479" t="s">
        <v>190</v>
      </c>
      <c r="J5479" t="s">
        <v>68</v>
      </c>
      <c r="K5479" t="b">
        <v>0</v>
      </c>
      <c r="L5479">
        <v>2019</v>
      </c>
      <c r="M5479">
        <v>176371428571</v>
      </c>
      <c r="N5479">
        <v>2835606256558</v>
      </c>
      <c r="O5479" t="b">
        <v>1</v>
      </c>
      <c r="P5479">
        <v>0</v>
      </c>
      <c r="Q5479" t="str" cm="1">
        <f t="array" ref="Q5479">_xlfn.IFS(Table1[[#This Row],[Wealthier_Winner]]=-1,"Wealthier Nation Loses",Table1[[#This Row],[Wealthier_Winner]]=0,"Tie",Table1[[#This Row],[Wealthier_Winner]]=1,"Wealthier Nation Wins")</f>
        <v>Tie</v>
      </c>
    </row>
    <row r="5480" spans="1:17" x14ac:dyDescent="0.2">
      <c r="A5480" s="1">
        <v>7960</v>
      </c>
      <c r="B5480" s="2">
        <v>43718</v>
      </c>
      <c r="C5480" s="7">
        <f>_xlfn.FLOOR.MATH(Table1[[#This Row],[year]],10)</f>
        <v>2010</v>
      </c>
      <c r="D5480" t="s">
        <v>611</v>
      </c>
      <c r="E5480" t="s">
        <v>556</v>
      </c>
      <c r="F5480">
        <v>0</v>
      </c>
      <c r="G5480">
        <v>1</v>
      </c>
      <c r="H5480" t="s">
        <v>224</v>
      </c>
      <c r="I5480" t="s">
        <v>643</v>
      </c>
      <c r="J5480" t="s">
        <v>611</v>
      </c>
      <c r="K5480" t="b">
        <v>0</v>
      </c>
      <c r="L5480">
        <v>2019</v>
      </c>
      <c r="M5480">
        <v>14206359017</v>
      </c>
      <c r="N5480">
        <v>8300813599</v>
      </c>
      <c r="O5480" t="b">
        <v>0</v>
      </c>
      <c r="P5480">
        <v>-1</v>
      </c>
      <c r="Q5480" t="str" cm="1">
        <f t="array" ref="Q5480">_xlfn.IFS(Table1[[#This Row],[Wealthier_Winner]]=-1,"Wealthier Nation Loses",Table1[[#This Row],[Wealthier_Winner]]=0,"Tie",Table1[[#This Row],[Wealthier_Winner]]=1,"Wealthier Nation Wins")</f>
        <v>Wealthier Nation Loses</v>
      </c>
    </row>
    <row r="5481" spans="1:17" x14ac:dyDescent="0.2">
      <c r="A5481" s="1">
        <v>7961</v>
      </c>
      <c r="B5481" s="2">
        <v>43718</v>
      </c>
      <c r="C5481" s="7">
        <f>_xlfn.FLOOR.MATH(Table1[[#This Row],[year]],10)</f>
        <v>2010</v>
      </c>
      <c r="D5481" t="s">
        <v>737</v>
      </c>
      <c r="E5481" t="s">
        <v>51</v>
      </c>
      <c r="F5481">
        <v>0</v>
      </c>
      <c r="G5481">
        <v>2</v>
      </c>
      <c r="H5481" t="s">
        <v>224</v>
      </c>
      <c r="I5481" t="s">
        <v>739</v>
      </c>
      <c r="J5481" t="s">
        <v>737</v>
      </c>
      <c r="K5481" t="b">
        <v>0</v>
      </c>
      <c r="L5481">
        <v>2019</v>
      </c>
      <c r="M5481">
        <v>75065106243</v>
      </c>
      <c r="N5481">
        <v>5117993853016</v>
      </c>
      <c r="O5481" t="b">
        <v>1</v>
      </c>
      <c r="P5481">
        <v>1</v>
      </c>
      <c r="Q5481" t="str" cm="1">
        <f t="array" ref="Q5481">_xlfn.IFS(Table1[[#This Row],[Wealthier_Winner]]=-1,"Wealthier Nation Loses",Table1[[#This Row],[Wealthier_Winner]]=0,"Tie",Table1[[#This Row],[Wealthier_Winner]]=1,"Wealthier Nation Wins")</f>
        <v>Wealthier Nation Wins</v>
      </c>
    </row>
    <row r="5482" spans="1:17" x14ac:dyDescent="0.2">
      <c r="A5482" s="1">
        <v>7962</v>
      </c>
      <c r="B5482" s="2">
        <v>43718</v>
      </c>
      <c r="C5482" s="7">
        <f>_xlfn.FLOOR.MATH(Table1[[#This Row],[year]],10)</f>
        <v>2010</v>
      </c>
      <c r="D5482" t="s">
        <v>328</v>
      </c>
      <c r="E5482" t="s">
        <v>334</v>
      </c>
      <c r="F5482">
        <v>0</v>
      </c>
      <c r="G5482">
        <v>3</v>
      </c>
      <c r="H5482" t="s">
        <v>224</v>
      </c>
      <c r="I5482" t="s">
        <v>386</v>
      </c>
      <c r="J5482" t="s">
        <v>328</v>
      </c>
      <c r="K5482" t="b">
        <v>0</v>
      </c>
      <c r="L5482">
        <v>2019</v>
      </c>
      <c r="M5482">
        <v>1119099871350</v>
      </c>
      <c r="N5482">
        <v>543976691793</v>
      </c>
      <c r="O5482" t="b">
        <v>1</v>
      </c>
      <c r="P5482">
        <v>-1</v>
      </c>
      <c r="Q5482" t="str" cm="1">
        <f t="array" ref="Q5482">_xlfn.IFS(Table1[[#This Row],[Wealthier_Winner]]=-1,"Wealthier Nation Loses",Table1[[#This Row],[Wealthier_Winner]]=0,"Tie",Table1[[#This Row],[Wealthier_Winner]]=1,"Wealthier Nation Wins")</f>
        <v>Wealthier Nation Loses</v>
      </c>
    </row>
    <row r="5483" spans="1:17" x14ac:dyDescent="0.2">
      <c r="A5483" s="1">
        <v>7963</v>
      </c>
      <c r="B5483" s="2">
        <v>43718</v>
      </c>
      <c r="C5483" s="7">
        <f>_xlfn.FLOOR.MATH(Table1[[#This Row],[year]],10)</f>
        <v>2010</v>
      </c>
      <c r="D5483" t="s">
        <v>333</v>
      </c>
      <c r="E5483" t="s">
        <v>39</v>
      </c>
      <c r="F5483">
        <v>1</v>
      </c>
      <c r="G5483">
        <v>2</v>
      </c>
      <c r="H5483" t="s">
        <v>224</v>
      </c>
      <c r="I5483" t="s">
        <v>402</v>
      </c>
      <c r="J5483" t="s">
        <v>333</v>
      </c>
      <c r="K5483" t="b">
        <v>0</v>
      </c>
      <c r="L5483">
        <v>2019</v>
      </c>
      <c r="M5483">
        <v>365177721021</v>
      </c>
      <c r="N5483">
        <v>433926208304</v>
      </c>
      <c r="O5483" t="b">
        <v>0</v>
      </c>
      <c r="P5483">
        <v>1</v>
      </c>
      <c r="Q5483" t="str" cm="1">
        <f t="array" ref="Q5483">_xlfn.IFS(Table1[[#This Row],[Wealthier_Winner]]=-1,"Wealthier Nation Loses",Table1[[#This Row],[Wealthier_Winner]]=0,"Tie",Table1[[#This Row],[Wealthier_Winner]]=1,"Wealthier Nation Wins")</f>
        <v>Wealthier Nation Wins</v>
      </c>
    </row>
    <row r="5484" spans="1:17" x14ac:dyDescent="0.2">
      <c r="A5484" s="1">
        <v>7964</v>
      </c>
      <c r="B5484" s="2">
        <v>43718</v>
      </c>
      <c r="C5484" s="7">
        <f>_xlfn.FLOOR.MATH(Table1[[#This Row],[year]],10)</f>
        <v>2010</v>
      </c>
      <c r="D5484" t="s">
        <v>560</v>
      </c>
      <c r="E5484" t="s">
        <v>195</v>
      </c>
      <c r="F5484">
        <v>0</v>
      </c>
      <c r="G5484">
        <v>2</v>
      </c>
      <c r="H5484" t="s">
        <v>224</v>
      </c>
      <c r="I5484" t="s">
        <v>561</v>
      </c>
      <c r="J5484" t="s">
        <v>560</v>
      </c>
      <c r="K5484" t="b">
        <v>0</v>
      </c>
      <c r="L5484">
        <v>2019</v>
      </c>
      <c r="M5484">
        <v>40810067974</v>
      </c>
      <c r="N5484">
        <v>1751045752054</v>
      </c>
      <c r="O5484" t="b">
        <v>1</v>
      </c>
      <c r="P5484">
        <v>1</v>
      </c>
      <c r="Q5484" t="str" cm="1">
        <f t="array" ref="Q5484">_xlfn.IFS(Table1[[#This Row],[Wealthier_Winner]]=-1,"Wealthier Nation Loses",Table1[[#This Row],[Wealthier_Winner]]=0,"Tie",Table1[[#This Row],[Wealthier_Winner]]=1,"Wealthier Nation Wins")</f>
        <v>Wealthier Nation Wins</v>
      </c>
    </row>
    <row r="5485" spans="1:17" x14ac:dyDescent="0.2">
      <c r="A5485" s="1">
        <v>7968</v>
      </c>
      <c r="B5485" s="2">
        <v>43718</v>
      </c>
      <c r="C5485" s="7">
        <f>_xlfn.FLOOR.MATH(Table1[[#This Row],[year]],10)</f>
        <v>2010</v>
      </c>
      <c r="D5485" t="s">
        <v>370</v>
      </c>
      <c r="E5485" t="s">
        <v>469</v>
      </c>
      <c r="F5485">
        <v>1</v>
      </c>
      <c r="G5485">
        <v>0</v>
      </c>
      <c r="H5485" t="s">
        <v>224</v>
      </c>
      <c r="I5485" t="s">
        <v>372</v>
      </c>
      <c r="J5485" t="s">
        <v>370</v>
      </c>
      <c r="K5485" t="b">
        <v>0</v>
      </c>
      <c r="L5485">
        <v>2019</v>
      </c>
      <c r="M5485">
        <v>11051852712</v>
      </c>
      <c r="N5485">
        <v>16725908148</v>
      </c>
      <c r="O5485" t="b">
        <v>0</v>
      </c>
      <c r="P5485">
        <v>-1</v>
      </c>
      <c r="Q5485" t="str" cm="1">
        <f t="array" ref="Q5485">_xlfn.IFS(Table1[[#This Row],[Wealthier_Winner]]=-1,"Wealthier Nation Loses",Table1[[#This Row],[Wealthier_Winner]]=0,"Tie",Table1[[#This Row],[Wealthier_Winner]]=1,"Wealthier Nation Wins")</f>
        <v>Wealthier Nation Loses</v>
      </c>
    </row>
    <row r="5486" spans="1:17" x14ac:dyDescent="0.2">
      <c r="A5486" s="1">
        <v>7969</v>
      </c>
      <c r="B5486" s="2">
        <v>43718</v>
      </c>
      <c r="C5486" s="7">
        <f>_xlfn.FLOOR.MATH(Table1[[#This Row],[year]],10)</f>
        <v>2010</v>
      </c>
      <c r="D5486" t="s">
        <v>300</v>
      </c>
      <c r="E5486" t="s">
        <v>323</v>
      </c>
      <c r="F5486">
        <v>2</v>
      </c>
      <c r="G5486">
        <v>0</v>
      </c>
      <c r="H5486" t="s">
        <v>224</v>
      </c>
      <c r="I5486" t="s">
        <v>299</v>
      </c>
      <c r="J5486" t="s">
        <v>300</v>
      </c>
      <c r="K5486" t="b">
        <v>0</v>
      </c>
      <c r="L5486">
        <v>2019</v>
      </c>
      <c r="M5486">
        <v>15512759046</v>
      </c>
      <c r="N5486">
        <v>14645235204</v>
      </c>
      <c r="O5486" t="b">
        <v>0</v>
      </c>
      <c r="P5486">
        <v>1</v>
      </c>
      <c r="Q5486" t="str" cm="1">
        <f t="array" ref="Q5486">_xlfn.IFS(Table1[[#This Row],[Wealthier_Winner]]=-1,"Wealthier Nation Loses",Table1[[#This Row],[Wealthier_Winner]]=0,"Tie",Table1[[#This Row],[Wealthier_Winner]]=1,"Wealthier Nation Wins")</f>
        <v>Wealthier Nation Wins</v>
      </c>
    </row>
    <row r="5487" spans="1:17" x14ac:dyDescent="0.2">
      <c r="A5487" s="1">
        <v>7971</v>
      </c>
      <c r="B5487" s="2">
        <v>43718</v>
      </c>
      <c r="C5487" s="7">
        <f>_xlfn.FLOOR.MATH(Table1[[#This Row],[year]],10)</f>
        <v>2010</v>
      </c>
      <c r="D5487" t="s">
        <v>514</v>
      </c>
      <c r="E5487" t="s">
        <v>583</v>
      </c>
      <c r="F5487">
        <v>7</v>
      </c>
      <c r="G5487">
        <v>0</v>
      </c>
      <c r="H5487" t="s">
        <v>224</v>
      </c>
      <c r="I5487" t="s">
        <v>515</v>
      </c>
      <c r="J5487" t="s">
        <v>514</v>
      </c>
      <c r="K5487" t="b">
        <v>0</v>
      </c>
      <c r="L5487">
        <v>2019</v>
      </c>
      <c r="M5487">
        <v>10349300276</v>
      </c>
      <c r="N5487">
        <v>1868690096</v>
      </c>
      <c r="O5487" t="b">
        <v>1</v>
      </c>
      <c r="P5487">
        <v>1</v>
      </c>
      <c r="Q5487" t="str" cm="1">
        <f t="array" ref="Q5487">_xlfn.IFS(Table1[[#This Row],[Wealthier_Winner]]=-1,"Wealthier Nation Loses",Table1[[#This Row],[Wealthier_Winner]]=0,"Tie",Table1[[#This Row],[Wealthier_Winner]]=1,"Wealthier Nation Wins")</f>
        <v>Wealthier Nation Wins</v>
      </c>
    </row>
    <row r="5488" spans="1:17" x14ac:dyDescent="0.2">
      <c r="A5488" s="1">
        <v>7972</v>
      </c>
      <c r="B5488" s="2">
        <v>43718</v>
      </c>
      <c r="C5488" s="7">
        <f>_xlfn.FLOOR.MATH(Table1[[#This Row],[year]],10)</f>
        <v>2010</v>
      </c>
      <c r="D5488" t="s">
        <v>274</v>
      </c>
      <c r="E5488" t="s">
        <v>586</v>
      </c>
      <c r="F5488">
        <v>0</v>
      </c>
      <c r="G5488">
        <v>0</v>
      </c>
      <c r="H5488" t="s">
        <v>224</v>
      </c>
      <c r="I5488" t="s">
        <v>591</v>
      </c>
      <c r="J5488" t="s">
        <v>274</v>
      </c>
      <c r="K5488" t="b">
        <v>0</v>
      </c>
      <c r="L5488">
        <v>2019</v>
      </c>
      <c r="M5488">
        <v>32338079165</v>
      </c>
      <c r="N5488">
        <v>14905517742</v>
      </c>
      <c r="O5488" t="b">
        <v>1</v>
      </c>
      <c r="P5488">
        <v>0</v>
      </c>
      <c r="Q5488" t="str" cm="1">
        <f t="array" ref="Q5488">_xlfn.IFS(Table1[[#This Row],[Wealthier_Winner]]=-1,"Wealthier Nation Loses",Table1[[#This Row],[Wealthier_Winner]]=0,"Tie",Table1[[#This Row],[Wealthier_Winner]]=1,"Wealthier Nation Wins")</f>
        <v>Tie</v>
      </c>
    </row>
    <row r="5489" spans="1:17" x14ac:dyDescent="0.2">
      <c r="A5489" s="1">
        <v>7973</v>
      </c>
      <c r="B5489" s="2">
        <v>43718</v>
      </c>
      <c r="C5489" s="7">
        <f>_xlfn.FLOOR.MATH(Table1[[#This Row],[year]],10)</f>
        <v>2010</v>
      </c>
      <c r="D5489" t="s">
        <v>463</v>
      </c>
      <c r="E5489" t="s">
        <v>694</v>
      </c>
      <c r="F5489">
        <v>0</v>
      </c>
      <c r="G5489">
        <v>0</v>
      </c>
      <c r="H5489" t="s">
        <v>224</v>
      </c>
      <c r="I5489" t="s">
        <v>830</v>
      </c>
      <c r="J5489" t="s">
        <v>463</v>
      </c>
      <c r="K5489" t="b">
        <v>0</v>
      </c>
      <c r="L5489">
        <v>2019</v>
      </c>
      <c r="M5489">
        <v>4617018958</v>
      </c>
      <c r="N5489">
        <v>3088851450</v>
      </c>
      <c r="O5489" t="b">
        <v>0</v>
      </c>
      <c r="P5489">
        <v>0</v>
      </c>
      <c r="Q5489" t="str" cm="1">
        <f t="array" ref="Q5489">_xlfn.IFS(Table1[[#This Row],[Wealthier_Winner]]=-1,"Wealthier Nation Loses",Table1[[#This Row],[Wealthier_Winner]]=0,"Tie",Table1[[#This Row],[Wealthier_Winner]]=1,"Wealthier Nation Wins")</f>
        <v>Tie</v>
      </c>
    </row>
    <row r="5490" spans="1:17" x14ac:dyDescent="0.2">
      <c r="A5490" s="1">
        <v>7974</v>
      </c>
      <c r="B5490" s="2">
        <v>43718</v>
      </c>
      <c r="C5490" s="7">
        <f>_xlfn.FLOOR.MATH(Table1[[#This Row],[year]],10)</f>
        <v>2010</v>
      </c>
      <c r="D5490" t="s">
        <v>62</v>
      </c>
      <c r="E5490" t="s">
        <v>688</v>
      </c>
      <c r="F5490">
        <v>2</v>
      </c>
      <c r="G5490">
        <v>0</v>
      </c>
      <c r="H5490" t="s">
        <v>224</v>
      </c>
      <c r="I5490" t="s">
        <v>353</v>
      </c>
      <c r="J5490" t="s">
        <v>62</v>
      </c>
      <c r="K5490" t="b">
        <v>0</v>
      </c>
      <c r="L5490">
        <v>2019</v>
      </c>
      <c r="M5490">
        <v>6992654019</v>
      </c>
      <c r="N5490">
        <v>1187915408</v>
      </c>
      <c r="O5490" t="b">
        <v>1</v>
      </c>
      <c r="P5490">
        <v>1</v>
      </c>
      <c r="Q5490" t="str" cm="1">
        <f t="array" ref="Q5490">_xlfn.IFS(Table1[[#This Row],[Wealthier_Winner]]=-1,"Wealthier Nation Loses",Table1[[#This Row],[Wealthier_Winner]]=0,"Tie",Table1[[#This Row],[Wealthier_Winner]]=1,"Wealthier Nation Wins")</f>
        <v>Wealthier Nation Wins</v>
      </c>
    </row>
    <row r="5491" spans="1:17" x14ac:dyDescent="0.2">
      <c r="A5491" s="1">
        <v>7976</v>
      </c>
      <c r="B5491" s="2">
        <v>43748</v>
      </c>
      <c r="C5491" s="7">
        <f>_xlfn.FLOOR.MATH(Table1[[#This Row],[year]],10)</f>
        <v>2010</v>
      </c>
      <c r="D5491" t="s">
        <v>331</v>
      </c>
      <c r="E5491" t="s">
        <v>567</v>
      </c>
      <c r="F5491">
        <v>2</v>
      </c>
      <c r="G5491">
        <v>1</v>
      </c>
      <c r="H5491" t="s">
        <v>224</v>
      </c>
      <c r="I5491" t="s">
        <v>412</v>
      </c>
      <c r="J5491" t="s">
        <v>39</v>
      </c>
      <c r="K5491" t="b">
        <v>1</v>
      </c>
      <c r="L5491">
        <v>2019</v>
      </c>
      <c r="M5491">
        <v>22583045060</v>
      </c>
      <c r="N5491">
        <v>5726094799</v>
      </c>
      <c r="O5491" t="b">
        <v>1</v>
      </c>
      <c r="P5491">
        <v>1</v>
      </c>
      <c r="Q5491" t="str" cm="1">
        <f t="array" ref="Q5491">_xlfn.IFS(Table1[[#This Row],[Wealthier_Winner]]=-1,"Wealthier Nation Loses",Table1[[#This Row],[Wealthier_Winner]]=0,"Tie",Table1[[#This Row],[Wealthier_Winner]]=1,"Wealthier Nation Wins")</f>
        <v>Wealthier Nation Wins</v>
      </c>
    </row>
    <row r="5492" spans="1:17" x14ac:dyDescent="0.2">
      <c r="A5492" s="1">
        <v>7978</v>
      </c>
      <c r="B5492" s="2">
        <v>43748</v>
      </c>
      <c r="C5492" s="7">
        <f>_xlfn.FLOOR.MATH(Table1[[#This Row],[year]],10)</f>
        <v>2010</v>
      </c>
      <c r="D5492" t="s">
        <v>403</v>
      </c>
      <c r="E5492" t="s">
        <v>71</v>
      </c>
      <c r="F5492">
        <v>0</v>
      </c>
      <c r="G5492">
        <v>0</v>
      </c>
      <c r="H5492" t="s">
        <v>224</v>
      </c>
      <c r="I5492" t="s">
        <v>404</v>
      </c>
      <c r="J5492" t="s">
        <v>403</v>
      </c>
      <c r="K5492" t="b">
        <v>0</v>
      </c>
      <c r="L5492">
        <v>2019</v>
      </c>
      <c r="M5492">
        <v>44503006338</v>
      </c>
      <c r="N5492">
        <v>140856394860</v>
      </c>
      <c r="O5492" t="b">
        <v>1</v>
      </c>
      <c r="P5492">
        <v>0</v>
      </c>
      <c r="Q5492" t="str" cm="1">
        <f t="array" ref="Q5492">_xlfn.IFS(Table1[[#This Row],[Wealthier_Winner]]=-1,"Wealthier Nation Loses",Table1[[#This Row],[Wealthier_Winner]]=0,"Tie",Table1[[#This Row],[Wealthier_Winner]]=1,"Wealthier Nation Wins")</f>
        <v>Tie</v>
      </c>
    </row>
    <row r="5493" spans="1:17" x14ac:dyDescent="0.2">
      <c r="A5493" s="1">
        <v>7979</v>
      </c>
      <c r="B5493" s="2">
        <v>43748</v>
      </c>
      <c r="C5493" s="7">
        <f>_xlfn.FLOOR.MATH(Table1[[#This Row],[year]],10)</f>
        <v>2010</v>
      </c>
      <c r="D5493" t="s">
        <v>28</v>
      </c>
      <c r="E5493" t="s">
        <v>400</v>
      </c>
      <c r="F5493">
        <v>5</v>
      </c>
      <c r="G5493">
        <v>0</v>
      </c>
      <c r="H5493" t="s">
        <v>224</v>
      </c>
      <c r="I5493" t="s">
        <v>831</v>
      </c>
      <c r="J5493" t="s">
        <v>28</v>
      </c>
      <c r="K5493" t="b">
        <v>0</v>
      </c>
      <c r="L5493">
        <v>2019</v>
      </c>
      <c r="M5493">
        <v>1398349602956</v>
      </c>
      <c r="N5493">
        <v>34186180699</v>
      </c>
      <c r="O5493" t="b">
        <v>1</v>
      </c>
      <c r="P5493">
        <v>1</v>
      </c>
      <c r="Q5493" t="str" cm="1">
        <f t="array" ref="Q5493">_xlfn.IFS(Table1[[#This Row],[Wealthier_Winner]]=-1,"Wealthier Nation Loses",Table1[[#This Row],[Wealthier_Winner]]=0,"Tie",Table1[[#This Row],[Wealthier_Winner]]=1,"Wealthier Nation Wins")</f>
        <v>Wealthier Nation Wins</v>
      </c>
    </row>
    <row r="5494" spans="1:17" x14ac:dyDescent="0.2">
      <c r="A5494" s="1">
        <v>7980</v>
      </c>
      <c r="B5494" s="2">
        <v>43748</v>
      </c>
      <c r="C5494" s="7">
        <f>_xlfn.FLOOR.MATH(Table1[[#This Row],[year]],10)</f>
        <v>2010</v>
      </c>
      <c r="D5494" t="s">
        <v>210</v>
      </c>
      <c r="E5494" t="s">
        <v>551</v>
      </c>
      <c r="F5494">
        <v>14</v>
      </c>
      <c r="G5494">
        <v>0</v>
      </c>
      <c r="H5494" t="s">
        <v>224</v>
      </c>
      <c r="I5494" t="s">
        <v>332</v>
      </c>
      <c r="J5494" t="s">
        <v>210</v>
      </c>
      <c r="K5494" t="b">
        <v>0</v>
      </c>
      <c r="L5494">
        <v>2019</v>
      </c>
      <c r="M5494">
        <v>347988400957</v>
      </c>
      <c r="N5494">
        <v>36685356407</v>
      </c>
      <c r="O5494" t="b">
        <v>1</v>
      </c>
      <c r="P5494">
        <v>1</v>
      </c>
      <c r="Q5494" t="str" cm="1">
        <f t="array" ref="Q5494">_xlfn.IFS(Table1[[#This Row],[Wealthier_Winner]]=-1,"Wealthier Nation Loses",Table1[[#This Row],[Wealthier_Winner]]=0,"Tie",Table1[[#This Row],[Wealthier_Winner]]=1,"Wealthier Nation Wins")</f>
        <v>Wealthier Nation Wins</v>
      </c>
    </row>
    <row r="5495" spans="1:17" x14ac:dyDescent="0.2">
      <c r="A5495" s="1">
        <v>7983</v>
      </c>
      <c r="B5495" s="2">
        <v>43748</v>
      </c>
      <c r="C5495" s="7">
        <f>_xlfn.FLOOR.MATH(Table1[[#This Row],[year]],10)</f>
        <v>2010</v>
      </c>
      <c r="D5495" t="s">
        <v>45</v>
      </c>
      <c r="E5495" t="s">
        <v>359</v>
      </c>
      <c r="F5495">
        <v>3</v>
      </c>
      <c r="G5495">
        <v>0</v>
      </c>
      <c r="H5495" t="s">
        <v>224</v>
      </c>
      <c r="I5495" t="s">
        <v>832</v>
      </c>
      <c r="J5495" t="s">
        <v>45</v>
      </c>
      <c r="K5495" t="b">
        <v>0</v>
      </c>
      <c r="L5495">
        <v>2019</v>
      </c>
      <c r="M5495">
        <v>888890133333</v>
      </c>
      <c r="N5495">
        <v>376161998830</v>
      </c>
      <c r="O5495" t="b">
        <v>1</v>
      </c>
      <c r="P5495">
        <v>1</v>
      </c>
      <c r="Q5495" t="str" cm="1">
        <f t="array" ref="Q5495">_xlfn.IFS(Table1[[#This Row],[Wealthier_Winner]]=-1,"Wealthier Nation Loses",Table1[[#This Row],[Wealthier_Winner]]=0,"Tie",Table1[[#This Row],[Wealthier_Winner]]=1,"Wealthier Nation Wins")</f>
        <v>Wealthier Nation Wins</v>
      </c>
    </row>
    <row r="5496" spans="1:17" x14ac:dyDescent="0.2">
      <c r="A5496" s="1">
        <v>7984</v>
      </c>
      <c r="B5496" s="2">
        <v>43748</v>
      </c>
      <c r="C5496" s="7">
        <f>_xlfn.FLOOR.MATH(Table1[[#This Row],[year]],10)</f>
        <v>2010</v>
      </c>
      <c r="D5496" t="s">
        <v>405</v>
      </c>
      <c r="E5496" t="s">
        <v>68</v>
      </c>
      <c r="F5496">
        <v>0</v>
      </c>
      <c r="G5496">
        <v>2</v>
      </c>
      <c r="H5496" t="s">
        <v>224</v>
      </c>
      <c r="I5496" t="s">
        <v>409</v>
      </c>
      <c r="J5496" t="s">
        <v>405</v>
      </c>
      <c r="K5496" t="b">
        <v>0</v>
      </c>
      <c r="L5496">
        <v>2019</v>
      </c>
      <c r="M5496">
        <v>351231654603</v>
      </c>
      <c r="N5496">
        <v>176371428571</v>
      </c>
      <c r="O5496" t="b">
        <v>0</v>
      </c>
      <c r="P5496">
        <v>-1</v>
      </c>
      <c r="Q5496" t="str" cm="1">
        <f t="array" ref="Q5496">_xlfn.IFS(Table1[[#This Row],[Wealthier_Winner]]=-1,"Wealthier Nation Loses",Table1[[#This Row],[Wealthier_Winner]]=0,"Tie",Table1[[#This Row],[Wealthier_Winner]]=1,"Wealthier Nation Wins")</f>
        <v>Wealthier Nation Loses</v>
      </c>
    </row>
    <row r="5497" spans="1:17" x14ac:dyDescent="0.2">
      <c r="A5497" s="1">
        <v>7985</v>
      </c>
      <c r="B5497" s="2">
        <v>43748</v>
      </c>
      <c r="C5497" s="7">
        <f>_xlfn.FLOOR.MATH(Table1[[#This Row],[year]],10)</f>
        <v>2010</v>
      </c>
      <c r="D5497" t="s">
        <v>429</v>
      </c>
      <c r="E5497" t="s">
        <v>641</v>
      </c>
      <c r="F5497">
        <v>3</v>
      </c>
      <c r="G5497">
        <v>0</v>
      </c>
      <c r="H5497" t="s">
        <v>224</v>
      </c>
      <c r="I5497" t="s">
        <v>789</v>
      </c>
      <c r="J5497" t="s">
        <v>429</v>
      </c>
      <c r="K5497" t="b">
        <v>0</v>
      </c>
      <c r="L5497">
        <v>2019</v>
      </c>
      <c r="M5497">
        <v>88060858257</v>
      </c>
      <c r="N5497">
        <v>18799444490</v>
      </c>
      <c r="O5497" t="b">
        <v>1</v>
      </c>
      <c r="P5497">
        <v>1</v>
      </c>
      <c r="Q5497" t="str" cm="1">
        <f t="array" ref="Q5497">_xlfn.IFS(Table1[[#This Row],[Wealthier_Winner]]=-1,"Wealthier Nation Loses",Table1[[#This Row],[Wealthier_Winner]]=0,"Tie",Table1[[#This Row],[Wealthier_Winner]]=1,"Wealthier Nation Wins")</f>
        <v>Wealthier Nation Wins</v>
      </c>
    </row>
    <row r="5498" spans="1:17" x14ac:dyDescent="0.2">
      <c r="A5498" s="1">
        <v>7986</v>
      </c>
      <c r="B5498" s="2">
        <v>43748</v>
      </c>
      <c r="C5498" s="7">
        <f>_xlfn.FLOOR.MATH(Table1[[#This Row],[year]],10)</f>
        <v>2010</v>
      </c>
      <c r="D5498" t="s">
        <v>51</v>
      </c>
      <c r="E5498" t="s">
        <v>611</v>
      </c>
      <c r="F5498">
        <v>6</v>
      </c>
      <c r="G5498">
        <v>0</v>
      </c>
      <c r="H5498" t="s">
        <v>224</v>
      </c>
      <c r="I5498" t="s">
        <v>143</v>
      </c>
      <c r="J5498" t="s">
        <v>51</v>
      </c>
      <c r="K5498" t="b">
        <v>0</v>
      </c>
      <c r="L5498">
        <v>2019</v>
      </c>
      <c r="M5498">
        <v>5117993853016</v>
      </c>
      <c r="N5498">
        <v>14206359017</v>
      </c>
      <c r="O5498" t="b">
        <v>1</v>
      </c>
      <c r="P5498">
        <v>1</v>
      </c>
      <c r="Q5498" t="str" cm="1">
        <f t="array" ref="Q5498">_xlfn.IFS(Table1[[#This Row],[Wealthier_Winner]]=-1,"Wealthier Nation Loses",Table1[[#This Row],[Wealthier_Winner]]=0,"Tie",Table1[[#This Row],[Wealthier_Winner]]=1,"Wealthier Nation Wins")</f>
        <v>Wealthier Nation Wins</v>
      </c>
    </row>
    <row r="5499" spans="1:17" x14ac:dyDescent="0.2">
      <c r="A5499" s="1">
        <v>7988</v>
      </c>
      <c r="B5499" s="2">
        <v>43748</v>
      </c>
      <c r="C5499" s="7">
        <f>_xlfn.FLOOR.MATH(Table1[[#This Row],[year]],10)</f>
        <v>2010</v>
      </c>
      <c r="D5499" t="s">
        <v>39</v>
      </c>
      <c r="E5499" t="s">
        <v>328</v>
      </c>
      <c r="F5499">
        <v>5</v>
      </c>
      <c r="G5499">
        <v>0</v>
      </c>
      <c r="H5499" t="s">
        <v>224</v>
      </c>
      <c r="I5499" t="s">
        <v>412</v>
      </c>
      <c r="J5499" t="s">
        <v>39</v>
      </c>
      <c r="K5499" t="b">
        <v>0</v>
      </c>
      <c r="L5499">
        <v>2019</v>
      </c>
      <c r="M5499">
        <v>433926208304</v>
      </c>
      <c r="N5499">
        <v>1119099871350</v>
      </c>
      <c r="O5499" t="b">
        <v>1</v>
      </c>
      <c r="P5499">
        <v>-1</v>
      </c>
      <c r="Q5499" t="str" cm="1">
        <f t="array" ref="Q5499">_xlfn.IFS(Table1[[#This Row],[Wealthier_Winner]]=-1,"Wealthier Nation Loses",Table1[[#This Row],[Wealthier_Winner]]=0,"Tie",Table1[[#This Row],[Wealthier_Winner]]=1,"Wealthier Nation Wins")</f>
        <v>Wealthier Nation Loses</v>
      </c>
    </row>
    <row r="5500" spans="1:17" x14ac:dyDescent="0.2">
      <c r="A5500" s="1">
        <v>7989</v>
      </c>
      <c r="B5500" s="2">
        <v>43748</v>
      </c>
      <c r="C5500" s="7">
        <f>_xlfn.FLOOR.MATH(Table1[[#This Row],[year]],10)</f>
        <v>2010</v>
      </c>
      <c r="D5500" t="s">
        <v>475</v>
      </c>
      <c r="E5500" t="s">
        <v>333</v>
      </c>
      <c r="F5500">
        <v>1</v>
      </c>
      <c r="G5500">
        <v>0</v>
      </c>
      <c r="H5500" t="s">
        <v>224</v>
      </c>
      <c r="I5500" t="s">
        <v>647</v>
      </c>
      <c r="J5500" t="s">
        <v>475</v>
      </c>
      <c r="K5500" t="b">
        <v>0</v>
      </c>
      <c r="L5500">
        <v>2019</v>
      </c>
      <c r="M5500">
        <v>334365270496</v>
      </c>
      <c r="N5500">
        <v>365177721021</v>
      </c>
      <c r="O5500" t="b">
        <v>0</v>
      </c>
      <c r="P5500">
        <v>-1</v>
      </c>
      <c r="Q5500" t="str" cm="1">
        <f t="array" ref="Q5500">_xlfn.IFS(Table1[[#This Row],[Wealthier_Winner]]=-1,"Wealthier Nation Loses",Table1[[#This Row],[Wealthier_Winner]]=0,"Tie",Table1[[#This Row],[Wealthier_Winner]]=1,"Wealthier Nation Wins")</f>
        <v>Wealthier Nation Loses</v>
      </c>
    </row>
    <row r="5501" spans="1:17" x14ac:dyDescent="0.2">
      <c r="A5501" s="1">
        <v>7990</v>
      </c>
      <c r="B5501" s="2">
        <v>43748</v>
      </c>
      <c r="C5501" s="7">
        <f>_xlfn.FLOOR.MATH(Table1[[#This Row],[year]],10)</f>
        <v>2010</v>
      </c>
      <c r="D5501" t="s">
        <v>479</v>
      </c>
      <c r="E5501" t="s">
        <v>560</v>
      </c>
      <c r="F5501">
        <v>2</v>
      </c>
      <c r="G5501">
        <v>1</v>
      </c>
      <c r="H5501" t="s">
        <v>224</v>
      </c>
      <c r="I5501" t="s">
        <v>480</v>
      </c>
      <c r="J5501" t="s">
        <v>479</v>
      </c>
      <c r="K5501" t="b">
        <v>0</v>
      </c>
      <c r="L5501">
        <v>2019</v>
      </c>
      <c r="M5501">
        <v>51605959131</v>
      </c>
      <c r="N5501">
        <v>40810067974</v>
      </c>
      <c r="O5501" t="b">
        <v>0</v>
      </c>
      <c r="P5501">
        <v>1</v>
      </c>
      <c r="Q5501" t="str" cm="1">
        <f t="array" ref="Q5501">_xlfn.IFS(Table1[[#This Row],[Wealthier_Winner]]=-1,"Wealthier Nation Loses",Table1[[#This Row],[Wealthier_Winner]]=0,"Tie",Table1[[#This Row],[Wealthier_Winner]]=1,"Wealthier Nation Wins")</f>
        <v>Wealthier Nation Wins</v>
      </c>
    </row>
    <row r="5502" spans="1:17" x14ac:dyDescent="0.2">
      <c r="A5502" s="1">
        <v>7991</v>
      </c>
      <c r="B5502" s="2">
        <v>43748</v>
      </c>
      <c r="C5502" s="7">
        <f>_xlfn.FLOOR.MATH(Table1[[#This Row],[year]],10)</f>
        <v>2010</v>
      </c>
      <c r="D5502" t="s">
        <v>195</v>
      </c>
      <c r="E5502" t="s">
        <v>473</v>
      </c>
      <c r="F5502">
        <v>8</v>
      </c>
      <c r="G5502">
        <v>0</v>
      </c>
      <c r="H5502" t="s">
        <v>224</v>
      </c>
      <c r="I5502" t="s">
        <v>833</v>
      </c>
      <c r="J5502" t="s">
        <v>195</v>
      </c>
      <c r="K5502" t="b">
        <v>0</v>
      </c>
      <c r="L5502">
        <v>2019</v>
      </c>
      <c r="M5502">
        <v>1751045752054</v>
      </c>
      <c r="N5502">
        <v>88998706296</v>
      </c>
      <c r="O5502" t="b">
        <v>1</v>
      </c>
      <c r="P5502">
        <v>1</v>
      </c>
      <c r="Q5502" t="str" cm="1">
        <f t="array" ref="Q5502">_xlfn.IFS(Table1[[#This Row],[Wealthier_Winner]]=-1,"Wealthier Nation Loses",Table1[[#This Row],[Wealthier_Winner]]=0,"Tie",Table1[[#This Row],[Wealthier_Winner]]=1,"Wealthier Nation Wins")</f>
        <v>Wealthier Nation Wins</v>
      </c>
    </row>
    <row r="5503" spans="1:17" x14ac:dyDescent="0.2">
      <c r="A5503" s="1">
        <v>7992</v>
      </c>
      <c r="B5503" s="2">
        <v>43753</v>
      </c>
      <c r="C5503" s="7">
        <f>_xlfn.FLOOR.MATH(Table1[[#This Row],[year]],10)</f>
        <v>2010</v>
      </c>
      <c r="D5503" t="s">
        <v>331</v>
      </c>
      <c r="E5503" t="s">
        <v>782</v>
      </c>
      <c r="F5503">
        <v>4</v>
      </c>
      <c r="G5503">
        <v>0</v>
      </c>
      <c r="H5503" t="s">
        <v>224</v>
      </c>
      <c r="I5503" t="s">
        <v>412</v>
      </c>
      <c r="J5503" t="s">
        <v>39</v>
      </c>
      <c r="K5503" t="b">
        <v>1</v>
      </c>
      <c r="L5503">
        <v>2019</v>
      </c>
      <c r="M5503">
        <v>22583045060</v>
      </c>
      <c r="N5503">
        <v>6355000000</v>
      </c>
      <c r="O5503" t="b">
        <v>1</v>
      </c>
      <c r="P5503">
        <v>1</v>
      </c>
      <c r="Q5503" t="str" cm="1">
        <f t="array" ref="Q5503">_xlfn.IFS(Table1[[#This Row],[Wealthier_Winner]]=-1,"Wealthier Nation Loses",Table1[[#This Row],[Wealthier_Winner]]=0,"Tie",Table1[[#This Row],[Wealthier_Winner]]=1,"Wealthier Nation Wins")</f>
        <v>Wealthier Nation Wins</v>
      </c>
    </row>
    <row r="5504" spans="1:17" x14ac:dyDescent="0.2">
      <c r="A5504" s="1">
        <v>7994</v>
      </c>
      <c r="B5504" s="2">
        <v>43753</v>
      </c>
      <c r="C5504" s="7">
        <f>_xlfn.FLOOR.MATH(Table1[[#This Row],[year]],10)</f>
        <v>2010</v>
      </c>
      <c r="D5504" t="s">
        <v>403</v>
      </c>
      <c r="E5504" t="s">
        <v>400</v>
      </c>
      <c r="F5504">
        <v>3</v>
      </c>
      <c r="G5504">
        <v>0</v>
      </c>
      <c r="H5504" t="s">
        <v>224</v>
      </c>
      <c r="I5504" t="s">
        <v>404</v>
      </c>
      <c r="J5504" t="s">
        <v>403</v>
      </c>
      <c r="K5504" t="b">
        <v>0</v>
      </c>
      <c r="L5504">
        <v>2019</v>
      </c>
      <c r="M5504">
        <v>44503006338</v>
      </c>
      <c r="N5504">
        <v>34186180699</v>
      </c>
      <c r="O5504" t="b">
        <v>0</v>
      </c>
      <c r="P5504">
        <v>1</v>
      </c>
      <c r="Q5504" t="str" cm="1">
        <f t="array" ref="Q5504">_xlfn.IFS(Table1[[#This Row],[Wealthier_Winner]]=-1,"Wealthier Nation Loses",Table1[[#This Row],[Wealthier_Winner]]=0,"Tie",Table1[[#This Row],[Wealthier_Winner]]=1,"Wealthier Nation Wins")</f>
        <v>Wealthier Nation Wins</v>
      </c>
    </row>
    <row r="5505" spans="1:17" x14ac:dyDescent="0.2">
      <c r="A5505" s="1">
        <v>7996</v>
      </c>
      <c r="B5505" s="2">
        <v>43753</v>
      </c>
      <c r="C5505" s="7">
        <f>_xlfn.FLOOR.MATH(Table1[[#This Row],[year]],10)</f>
        <v>2010</v>
      </c>
      <c r="D5505" t="s">
        <v>551</v>
      </c>
      <c r="E5505" t="s">
        <v>37</v>
      </c>
      <c r="F5505">
        <v>0</v>
      </c>
      <c r="G5505">
        <v>4</v>
      </c>
      <c r="H5505" t="s">
        <v>224</v>
      </c>
      <c r="I5505" t="s">
        <v>553</v>
      </c>
      <c r="J5505" t="s">
        <v>551</v>
      </c>
      <c r="K5505" t="b">
        <v>0</v>
      </c>
      <c r="L5505">
        <v>2019</v>
      </c>
      <c r="M5505">
        <v>36685356407</v>
      </c>
      <c r="N5505">
        <v>233636097800</v>
      </c>
      <c r="O5505" t="b">
        <v>1</v>
      </c>
      <c r="P5505">
        <v>1</v>
      </c>
      <c r="Q5505" t="str" cm="1">
        <f t="array" ref="Q5505">_xlfn.IFS(Table1[[#This Row],[Wealthier_Winner]]=-1,"Wealthier Nation Loses",Table1[[#This Row],[Wealthier_Winner]]=0,"Tie",Table1[[#This Row],[Wealthier_Winner]]=1,"Wealthier Nation Wins")</f>
        <v>Wealthier Nation Wins</v>
      </c>
    </row>
    <row r="5506" spans="1:17" x14ac:dyDescent="0.2">
      <c r="A5506" s="1">
        <v>7997</v>
      </c>
      <c r="B5506" s="2">
        <v>43753</v>
      </c>
      <c r="C5506" s="7">
        <f>_xlfn.FLOOR.MATH(Table1[[#This Row],[year]],10)</f>
        <v>2010</v>
      </c>
      <c r="D5506" t="s">
        <v>361</v>
      </c>
      <c r="E5506" t="s">
        <v>210</v>
      </c>
      <c r="F5506">
        <v>1</v>
      </c>
      <c r="G5506">
        <v>0</v>
      </c>
      <c r="H5506" t="s">
        <v>224</v>
      </c>
      <c r="I5506" t="s">
        <v>419</v>
      </c>
      <c r="J5506" t="s">
        <v>361</v>
      </c>
      <c r="K5506" t="b">
        <v>0</v>
      </c>
      <c r="L5506">
        <v>2019</v>
      </c>
      <c r="M5506">
        <v>40446808510</v>
      </c>
      <c r="N5506">
        <v>347988400957</v>
      </c>
      <c r="O5506" t="b">
        <v>1</v>
      </c>
      <c r="P5506">
        <v>-1</v>
      </c>
      <c r="Q5506" t="str" cm="1">
        <f t="array" ref="Q5506">_xlfn.IFS(Table1[[#This Row],[Wealthier_Winner]]=-1,"Wealthier Nation Loses",Table1[[#This Row],[Wealthier_Winner]]=0,"Tie",Table1[[#This Row],[Wealthier_Winner]]=1,"Wealthier Nation Wins")</f>
        <v>Wealthier Nation Loses</v>
      </c>
    </row>
    <row r="5507" spans="1:17" x14ac:dyDescent="0.2">
      <c r="A5507" s="1">
        <v>7999</v>
      </c>
      <c r="B5507" s="2">
        <v>43753</v>
      </c>
      <c r="C5507" s="7">
        <f>_xlfn.FLOOR.MATH(Table1[[#This Row],[year]],10)</f>
        <v>2010</v>
      </c>
      <c r="D5507" t="s">
        <v>359</v>
      </c>
      <c r="E5507" t="s">
        <v>563</v>
      </c>
      <c r="F5507">
        <v>1</v>
      </c>
      <c r="G5507">
        <v>3</v>
      </c>
      <c r="H5507" t="s">
        <v>224</v>
      </c>
      <c r="I5507" t="s">
        <v>360</v>
      </c>
      <c r="J5507" t="s">
        <v>359</v>
      </c>
      <c r="K5507" t="b">
        <v>0</v>
      </c>
      <c r="L5507">
        <v>2019</v>
      </c>
      <c r="M5507">
        <v>376161998830</v>
      </c>
      <c r="N5507">
        <v>67293639798</v>
      </c>
      <c r="O5507" t="b">
        <v>1</v>
      </c>
      <c r="P5507">
        <v>-1</v>
      </c>
      <c r="Q5507" t="str" cm="1">
        <f t="array" ref="Q5507">_xlfn.IFS(Table1[[#This Row],[Wealthier_Winner]]=-1,"Wealthier Nation Loses",Table1[[#This Row],[Wealthier_Winner]]=0,"Tie",Table1[[#This Row],[Wealthier_Winner]]=1,"Wealthier Nation Wins")</f>
        <v>Wealthier Nation Loses</v>
      </c>
    </row>
    <row r="5508" spans="1:17" x14ac:dyDescent="0.2">
      <c r="A5508" s="1">
        <v>8000</v>
      </c>
      <c r="B5508" s="2">
        <v>43753</v>
      </c>
      <c r="C5508" s="7">
        <f>_xlfn.FLOOR.MATH(Table1[[#This Row],[year]],10)</f>
        <v>2010</v>
      </c>
      <c r="D5508" t="s">
        <v>406</v>
      </c>
      <c r="E5508" t="s">
        <v>405</v>
      </c>
      <c r="F5508">
        <v>1</v>
      </c>
      <c r="G5508">
        <v>1</v>
      </c>
      <c r="H5508" t="s">
        <v>224</v>
      </c>
      <c r="I5508" t="s">
        <v>834</v>
      </c>
      <c r="J5508" t="s">
        <v>406</v>
      </c>
      <c r="K5508" t="b">
        <v>0</v>
      </c>
      <c r="L5508">
        <v>2019</v>
      </c>
      <c r="M5508">
        <v>2835606256558</v>
      </c>
      <c r="N5508">
        <v>351231654603</v>
      </c>
      <c r="O5508" t="b">
        <v>1</v>
      </c>
      <c r="P5508">
        <v>0</v>
      </c>
      <c r="Q5508" t="str" cm="1">
        <f t="array" ref="Q5508">_xlfn.IFS(Table1[[#This Row],[Wealthier_Winner]]=-1,"Wealthier Nation Loses",Table1[[#This Row],[Wealthier_Winner]]=0,"Tie",Table1[[#This Row],[Wealthier_Winner]]=1,"Wealthier Nation Wins")</f>
        <v>Tie</v>
      </c>
    </row>
    <row r="5509" spans="1:17" x14ac:dyDescent="0.2">
      <c r="A5509" s="1">
        <v>8001</v>
      </c>
      <c r="B5509" s="2">
        <v>43753</v>
      </c>
      <c r="C5509" s="7">
        <f>_xlfn.FLOOR.MATH(Table1[[#This Row],[year]],10)</f>
        <v>2010</v>
      </c>
      <c r="D5509" t="s">
        <v>68</v>
      </c>
      <c r="E5509" t="s">
        <v>429</v>
      </c>
      <c r="F5509">
        <v>2</v>
      </c>
      <c r="G5509">
        <v>1</v>
      </c>
      <c r="H5509" t="s">
        <v>224</v>
      </c>
      <c r="I5509" t="s">
        <v>193</v>
      </c>
      <c r="J5509" t="s">
        <v>68</v>
      </c>
      <c r="K5509" t="b">
        <v>0</v>
      </c>
      <c r="L5509">
        <v>2019</v>
      </c>
      <c r="M5509">
        <v>176371428571</v>
      </c>
      <c r="N5509">
        <v>88060858257</v>
      </c>
      <c r="O5509" t="b">
        <v>1</v>
      </c>
      <c r="P5509">
        <v>1</v>
      </c>
      <c r="Q5509" t="str" cm="1">
        <f t="array" ref="Q5509">_xlfn.IFS(Table1[[#This Row],[Wealthier_Winner]]=-1,"Wealthier Nation Loses",Table1[[#This Row],[Wealthier_Winner]]=0,"Tie",Table1[[#This Row],[Wealthier_Winner]]=1,"Wealthier Nation Wins")</f>
        <v>Wealthier Nation Wins</v>
      </c>
    </row>
    <row r="5510" spans="1:17" x14ac:dyDescent="0.2">
      <c r="A5510" s="1">
        <v>8003</v>
      </c>
      <c r="B5510" s="2">
        <v>43753</v>
      </c>
      <c r="C5510" s="7">
        <f>_xlfn.FLOOR.MATH(Table1[[#This Row],[year]],10)</f>
        <v>2010</v>
      </c>
      <c r="D5510" t="s">
        <v>556</v>
      </c>
      <c r="E5510" t="s">
        <v>51</v>
      </c>
      <c r="F5510">
        <v>0</v>
      </c>
      <c r="G5510">
        <v>3</v>
      </c>
      <c r="H5510" t="s">
        <v>224</v>
      </c>
      <c r="I5510" t="s">
        <v>557</v>
      </c>
      <c r="J5510" t="s">
        <v>556</v>
      </c>
      <c r="K5510" t="b">
        <v>0</v>
      </c>
      <c r="L5510">
        <v>2019</v>
      </c>
      <c r="M5510">
        <v>8300813599</v>
      </c>
      <c r="N5510">
        <v>5117993853016</v>
      </c>
      <c r="O5510" t="b">
        <v>1</v>
      </c>
      <c r="P5510">
        <v>1</v>
      </c>
      <c r="Q5510" t="str" cm="1">
        <f t="array" ref="Q5510">_xlfn.IFS(Table1[[#This Row],[Wealthier_Winner]]=-1,"Wealthier Nation Loses",Table1[[#This Row],[Wealthier_Winner]]=0,"Tie",Table1[[#This Row],[Wealthier_Winner]]=1,"Wealthier Nation Wins")</f>
        <v>Wealthier Nation Wins</v>
      </c>
    </row>
    <row r="5511" spans="1:17" x14ac:dyDescent="0.2">
      <c r="A5511" s="1">
        <v>8004</v>
      </c>
      <c r="B5511" s="2">
        <v>43753</v>
      </c>
      <c r="C5511" s="7">
        <f>_xlfn.FLOOR.MATH(Table1[[#This Row],[year]],10)</f>
        <v>2010</v>
      </c>
      <c r="D5511" t="s">
        <v>334</v>
      </c>
      <c r="E5511" t="s">
        <v>39</v>
      </c>
      <c r="F5511">
        <v>2</v>
      </c>
      <c r="G5511">
        <v>1</v>
      </c>
      <c r="H5511" t="s">
        <v>224</v>
      </c>
      <c r="I5511" t="s">
        <v>829</v>
      </c>
      <c r="J5511" t="s">
        <v>334</v>
      </c>
      <c r="K5511" t="b">
        <v>0</v>
      </c>
      <c r="L5511">
        <v>2019</v>
      </c>
      <c r="M5511">
        <v>543976691793</v>
      </c>
      <c r="N5511">
        <v>433926208304</v>
      </c>
      <c r="O5511" t="b">
        <v>0</v>
      </c>
      <c r="P5511">
        <v>1</v>
      </c>
      <c r="Q5511" t="str" cm="1">
        <f t="array" ref="Q5511">_xlfn.IFS(Table1[[#This Row],[Wealthier_Winner]]=-1,"Wealthier Nation Loses",Table1[[#This Row],[Wealthier_Winner]]=0,"Tie",Table1[[#This Row],[Wealthier_Winner]]=1,"Wealthier Nation Wins")</f>
        <v>Wealthier Nation Wins</v>
      </c>
    </row>
    <row r="5512" spans="1:17" x14ac:dyDescent="0.2">
      <c r="A5512" s="1">
        <v>8005</v>
      </c>
      <c r="B5512" s="2">
        <v>43753</v>
      </c>
      <c r="C5512" s="7">
        <f>_xlfn.FLOOR.MATH(Table1[[#This Row],[year]],10)</f>
        <v>2010</v>
      </c>
      <c r="D5512" t="s">
        <v>328</v>
      </c>
      <c r="E5512" t="s">
        <v>475</v>
      </c>
      <c r="F5512">
        <v>1</v>
      </c>
      <c r="G5512">
        <v>3</v>
      </c>
      <c r="H5512" t="s">
        <v>224</v>
      </c>
      <c r="I5512" t="s">
        <v>835</v>
      </c>
      <c r="J5512" t="s">
        <v>328</v>
      </c>
      <c r="K5512" t="b">
        <v>0</v>
      </c>
      <c r="L5512">
        <v>2019</v>
      </c>
      <c r="M5512">
        <v>1119099871350</v>
      </c>
      <c r="N5512">
        <v>334365270496</v>
      </c>
      <c r="O5512" t="b">
        <v>1</v>
      </c>
      <c r="P5512">
        <v>-1</v>
      </c>
      <c r="Q5512" t="str" cm="1">
        <f t="array" ref="Q5512">_xlfn.IFS(Table1[[#This Row],[Wealthier_Winner]]=-1,"Wealthier Nation Loses",Table1[[#This Row],[Wealthier_Winner]]=0,"Tie",Table1[[#This Row],[Wealthier_Winner]]=1,"Wealthier Nation Wins")</f>
        <v>Wealthier Nation Loses</v>
      </c>
    </row>
    <row r="5513" spans="1:17" x14ac:dyDescent="0.2">
      <c r="A5513" s="1">
        <v>8007</v>
      </c>
      <c r="B5513" s="2">
        <v>43753</v>
      </c>
      <c r="C5513" s="7">
        <f>_xlfn.FLOOR.MATH(Table1[[#This Row],[year]],10)</f>
        <v>2010</v>
      </c>
      <c r="D5513" t="s">
        <v>473</v>
      </c>
      <c r="E5513" t="s">
        <v>479</v>
      </c>
      <c r="F5513">
        <v>0</v>
      </c>
      <c r="G5513">
        <v>3</v>
      </c>
      <c r="H5513" t="s">
        <v>224</v>
      </c>
      <c r="I5513" t="s">
        <v>652</v>
      </c>
      <c r="J5513" t="s">
        <v>473</v>
      </c>
      <c r="K5513" t="b">
        <v>0</v>
      </c>
      <c r="L5513">
        <v>2019</v>
      </c>
      <c r="M5513">
        <v>88998706296</v>
      </c>
      <c r="N5513">
        <v>51605959131</v>
      </c>
      <c r="O5513" t="b">
        <v>0</v>
      </c>
      <c r="P5513">
        <v>-1</v>
      </c>
      <c r="Q5513" t="str" cm="1">
        <f t="array" ref="Q5513">_xlfn.IFS(Table1[[#This Row],[Wealthier_Winner]]=-1,"Wealthier Nation Loses",Table1[[#This Row],[Wealthier_Winner]]=0,"Tie",Table1[[#This Row],[Wealthier_Winner]]=1,"Wealthier Nation Wins")</f>
        <v>Wealthier Nation Loses</v>
      </c>
    </row>
    <row r="5514" spans="1:17" x14ac:dyDescent="0.2">
      <c r="A5514" s="1">
        <v>8008</v>
      </c>
      <c r="B5514" s="2">
        <v>43783</v>
      </c>
      <c r="C5514" s="7">
        <f>_xlfn.FLOOR.MATH(Table1[[#This Row],[year]],10)</f>
        <v>2010</v>
      </c>
      <c r="D5514" t="s">
        <v>567</v>
      </c>
      <c r="E5514" t="s">
        <v>532</v>
      </c>
      <c r="F5514">
        <v>1</v>
      </c>
      <c r="G5514">
        <v>2</v>
      </c>
      <c r="H5514" t="s">
        <v>224</v>
      </c>
      <c r="I5514" t="s">
        <v>620</v>
      </c>
      <c r="J5514" t="s">
        <v>567</v>
      </c>
      <c r="K5514" t="b">
        <v>0</v>
      </c>
      <c r="L5514">
        <v>2019</v>
      </c>
      <c r="M5514">
        <v>5726094799</v>
      </c>
      <c r="N5514">
        <v>376823402239</v>
      </c>
      <c r="O5514" t="b">
        <v>1</v>
      </c>
      <c r="P5514">
        <v>1</v>
      </c>
      <c r="Q5514" t="str" cm="1">
        <f t="array" ref="Q5514">_xlfn.IFS(Table1[[#This Row],[Wealthier_Winner]]=-1,"Wealthier Nation Loses",Table1[[#This Row],[Wealthier_Winner]]=0,"Tie",Table1[[#This Row],[Wealthier_Winner]]=1,"Wealthier Nation Wins")</f>
        <v>Wealthier Nation Wins</v>
      </c>
    </row>
    <row r="5515" spans="1:17" x14ac:dyDescent="0.2">
      <c r="A5515" s="1">
        <v>8010</v>
      </c>
      <c r="B5515" s="2">
        <v>43783</v>
      </c>
      <c r="C5515" s="7">
        <f>_xlfn.FLOOR.MATH(Table1[[#This Row],[year]],10)</f>
        <v>2010</v>
      </c>
      <c r="D5515" t="s">
        <v>403</v>
      </c>
      <c r="E5515" t="s">
        <v>28</v>
      </c>
      <c r="F5515">
        <v>0</v>
      </c>
      <c r="G5515">
        <v>1</v>
      </c>
      <c r="H5515" t="s">
        <v>224</v>
      </c>
      <c r="I5515" t="s">
        <v>404</v>
      </c>
      <c r="J5515" t="s">
        <v>403</v>
      </c>
      <c r="K5515" t="b">
        <v>0</v>
      </c>
      <c r="L5515">
        <v>2019</v>
      </c>
      <c r="M5515">
        <v>44503006338</v>
      </c>
      <c r="N5515">
        <v>1398349602956</v>
      </c>
      <c r="O5515" t="b">
        <v>1</v>
      </c>
      <c r="P5515">
        <v>1</v>
      </c>
      <c r="Q5515" t="str" cm="1">
        <f t="array" ref="Q5515">_xlfn.IFS(Table1[[#This Row],[Wealthier_Winner]]=-1,"Wealthier Nation Loses",Table1[[#This Row],[Wealthier_Winner]]=0,"Tie",Table1[[#This Row],[Wealthier_Winner]]=1,"Wealthier Nation Wins")</f>
        <v>Wealthier Nation Wins</v>
      </c>
    </row>
    <row r="5516" spans="1:17" x14ac:dyDescent="0.2">
      <c r="A5516" s="1">
        <v>8012</v>
      </c>
      <c r="B5516" s="2">
        <v>43783</v>
      </c>
      <c r="C5516" s="7">
        <f>_xlfn.FLOOR.MATH(Table1[[#This Row],[year]],10)</f>
        <v>2010</v>
      </c>
      <c r="D5516" t="s">
        <v>37</v>
      </c>
      <c r="E5516" t="s">
        <v>210</v>
      </c>
      <c r="F5516">
        <v>2</v>
      </c>
      <c r="G5516">
        <v>1</v>
      </c>
      <c r="H5516" t="s">
        <v>224</v>
      </c>
      <c r="I5516" t="s">
        <v>404</v>
      </c>
      <c r="J5516" t="s">
        <v>403</v>
      </c>
      <c r="K5516" t="b">
        <v>1</v>
      </c>
      <c r="L5516">
        <v>2019</v>
      </c>
      <c r="M5516">
        <v>233636097800</v>
      </c>
      <c r="N5516">
        <v>347988400957</v>
      </c>
      <c r="O5516" t="b">
        <v>0</v>
      </c>
      <c r="P5516">
        <v>-1</v>
      </c>
      <c r="Q5516" t="str" cm="1">
        <f t="array" ref="Q5516">_xlfn.IFS(Table1[[#This Row],[Wealthier_Winner]]=-1,"Wealthier Nation Loses",Table1[[#This Row],[Wealthier_Winner]]=0,"Tie",Table1[[#This Row],[Wealthier_Winner]]=1,"Wealthier Nation Wins")</f>
        <v>Wealthier Nation Loses</v>
      </c>
    </row>
    <row r="5517" spans="1:17" x14ac:dyDescent="0.2">
      <c r="A5517" s="1">
        <v>8014</v>
      </c>
      <c r="B5517" s="2">
        <v>43783</v>
      </c>
      <c r="C5517" s="7">
        <f>_xlfn.FLOOR.MATH(Table1[[#This Row],[year]],10)</f>
        <v>2010</v>
      </c>
      <c r="D5517" t="s">
        <v>563</v>
      </c>
      <c r="E5517" t="s">
        <v>45</v>
      </c>
      <c r="F5517">
        <v>2</v>
      </c>
      <c r="G5517">
        <v>3</v>
      </c>
      <c r="H5517" t="s">
        <v>224</v>
      </c>
      <c r="I5517" t="s">
        <v>564</v>
      </c>
      <c r="J5517" t="s">
        <v>563</v>
      </c>
      <c r="K5517" t="b">
        <v>0</v>
      </c>
      <c r="L5517">
        <v>2019</v>
      </c>
      <c r="M5517">
        <v>67293639798</v>
      </c>
      <c r="N5517">
        <v>888890133333</v>
      </c>
      <c r="O5517" t="b">
        <v>1</v>
      </c>
      <c r="P5517">
        <v>1</v>
      </c>
      <c r="Q5517" t="str" cm="1">
        <f t="array" ref="Q5517">_xlfn.IFS(Table1[[#This Row],[Wealthier_Winner]]=-1,"Wealthier Nation Loses",Table1[[#This Row],[Wealthier_Winner]]=0,"Tie",Table1[[#This Row],[Wealthier_Winner]]=1,"Wealthier Nation Wins")</f>
        <v>Wealthier Nation Wins</v>
      </c>
    </row>
    <row r="5518" spans="1:17" x14ac:dyDescent="0.2">
      <c r="A5518" s="1">
        <v>8016</v>
      </c>
      <c r="B5518" s="2">
        <v>43783</v>
      </c>
      <c r="C5518" s="7">
        <f>_xlfn.FLOOR.MATH(Table1[[#This Row],[year]],10)</f>
        <v>2010</v>
      </c>
      <c r="D5518" t="s">
        <v>641</v>
      </c>
      <c r="E5518" t="s">
        <v>406</v>
      </c>
      <c r="F5518">
        <v>1</v>
      </c>
      <c r="G5518">
        <v>1</v>
      </c>
      <c r="H5518" t="s">
        <v>224</v>
      </c>
      <c r="I5518" t="s">
        <v>557</v>
      </c>
      <c r="J5518" t="s">
        <v>556</v>
      </c>
      <c r="K5518" t="b">
        <v>1</v>
      </c>
      <c r="L5518">
        <v>2019</v>
      </c>
      <c r="M5518">
        <v>18799444490</v>
      </c>
      <c r="N5518">
        <v>2835606256558</v>
      </c>
      <c r="O5518" t="b">
        <v>1</v>
      </c>
      <c r="P5518">
        <v>0</v>
      </c>
      <c r="Q5518" t="str" cm="1">
        <f t="array" ref="Q5518">_xlfn.IFS(Table1[[#This Row],[Wealthier_Winner]]=-1,"Wealthier Nation Loses",Table1[[#This Row],[Wealthier_Winner]]=0,"Tie",Table1[[#This Row],[Wealthier_Winner]]=1,"Wealthier Nation Wins")</f>
        <v>Tie</v>
      </c>
    </row>
    <row r="5519" spans="1:17" x14ac:dyDescent="0.2">
      <c r="A5519" s="1">
        <v>8017</v>
      </c>
      <c r="B5519" s="2">
        <v>43783</v>
      </c>
      <c r="C5519" s="7">
        <f>_xlfn.FLOOR.MATH(Table1[[#This Row],[year]],10)</f>
        <v>2010</v>
      </c>
      <c r="D5519" t="s">
        <v>429</v>
      </c>
      <c r="E5519" t="s">
        <v>405</v>
      </c>
      <c r="F5519">
        <v>4</v>
      </c>
      <c r="G5519">
        <v>1</v>
      </c>
      <c r="H5519" t="s">
        <v>224</v>
      </c>
      <c r="I5519" t="s">
        <v>430</v>
      </c>
      <c r="J5519" t="s">
        <v>429</v>
      </c>
      <c r="K5519" t="b">
        <v>0</v>
      </c>
      <c r="L5519">
        <v>2019</v>
      </c>
      <c r="M5519">
        <v>88060858257</v>
      </c>
      <c r="N5519">
        <v>351231654603</v>
      </c>
      <c r="O5519" t="b">
        <v>1</v>
      </c>
      <c r="P5519">
        <v>-1</v>
      </c>
      <c r="Q5519" t="str" cm="1">
        <f t="array" ref="Q5519">_xlfn.IFS(Table1[[#This Row],[Wealthier_Winner]]=-1,"Wealthier Nation Loses",Table1[[#This Row],[Wealthier_Winner]]=0,"Tie",Table1[[#This Row],[Wealthier_Winner]]=1,"Wealthier Nation Wins")</f>
        <v>Wealthier Nation Loses</v>
      </c>
    </row>
    <row r="5520" spans="1:17" x14ac:dyDescent="0.2">
      <c r="A5520" s="1">
        <v>8018</v>
      </c>
      <c r="B5520" s="2">
        <v>43783</v>
      </c>
      <c r="C5520" s="7">
        <f>_xlfn.FLOOR.MATH(Table1[[#This Row],[year]],10)</f>
        <v>2010</v>
      </c>
      <c r="D5520" t="s">
        <v>737</v>
      </c>
      <c r="E5520" t="s">
        <v>556</v>
      </c>
      <c r="F5520">
        <v>4</v>
      </c>
      <c r="G5520">
        <v>3</v>
      </c>
      <c r="H5520" t="s">
        <v>224</v>
      </c>
      <c r="I5520" t="s">
        <v>836</v>
      </c>
      <c r="J5520" t="s">
        <v>737</v>
      </c>
      <c r="K5520" t="b">
        <v>0</v>
      </c>
      <c r="L5520">
        <v>2019</v>
      </c>
      <c r="M5520">
        <v>75065106243</v>
      </c>
      <c r="N5520">
        <v>8300813599</v>
      </c>
      <c r="O5520" t="b">
        <v>1</v>
      </c>
      <c r="P5520">
        <v>1</v>
      </c>
      <c r="Q5520" t="str" cm="1">
        <f t="array" ref="Q5520">_xlfn.IFS(Table1[[#This Row],[Wealthier_Winner]]=-1,"Wealthier Nation Loses",Table1[[#This Row],[Wealthier_Winner]]=0,"Tie",Table1[[#This Row],[Wealthier_Winner]]=1,"Wealthier Nation Wins")</f>
        <v>Wealthier Nation Wins</v>
      </c>
    </row>
    <row r="5521" spans="1:17" x14ac:dyDescent="0.2">
      <c r="A5521" s="1">
        <v>8020</v>
      </c>
      <c r="B5521" s="2">
        <v>43783</v>
      </c>
      <c r="C5521" s="7">
        <f>_xlfn.FLOOR.MATH(Table1[[#This Row],[year]],10)</f>
        <v>2010</v>
      </c>
      <c r="D5521" t="s">
        <v>475</v>
      </c>
      <c r="E5521" t="s">
        <v>39</v>
      </c>
      <c r="F5521">
        <v>1</v>
      </c>
      <c r="G5521">
        <v>0</v>
      </c>
      <c r="H5521" t="s">
        <v>224</v>
      </c>
      <c r="I5521" t="s">
        <v>647</v>
      </c>
      <c r="J5521" t="s">
        <v>475</v>
      </c>
      <c r="K5521" t="b">
        <v>0</v>
      </c>
      <c r="L5521">
        <v>2019</v>
      </c>
      <c r="M5521">
        <v>334365270496</v>
      </c>
      <c r="N5521">
        <v>433926208304</v>
      </c>
      <c r="O5521" t="b">
        <v>0</v>
      </c>
      <c r="P5521">
        <v>-1</v>
      </c>
      <c r="Q5521" t="str" cm="1">
        <f t="array" ref="Q5521">_xlfn.IFS(Table1[[#This Row],[Wealthier_Winner]]=-1,"Wealthier Nation Loses",Table1[[#This Row],[Wealthier_Winner]]=0,"Tie",Table1[[#This Row],[Wealthier_Winner]]=1,"Wealthier Nation Wins")</f>
        <v>Wealthier Nation Loses</v>
      </c>
    </row>
    <row r="5522" spans="1:17" x14ac:dyDescent="0.2">
      <c r="A5522" s="1">
        <v>8021</v>
      </c>
      <c r="B5522" s="2">
        <v>43783</v>
      </c>
      <c r="C5522" s="7">
        <f>_xlfn.FLOOR.MATH(Table1[[#This Row],[year]],10)</f>
        <v>2010</v>
      </c>
      <c r="D5522" t="s">
        <v>333</v>
      </c>
      <c r="E5522" t="s">
        <v>334</v>
      </c>
      <c r="F5522">
        <v>2</v>
      </c>
      <c r="G5522">
        <v>1</v>
      </c>
      <c r="H5522" t="s">
        <v>224</v>
      </c>
      <c r="I5522" t="s">
        <v>402</v>
      </c>
      <c r="J5522" t="s">
        <v>333</v>
      </c>
      <c r="K5522" t="b">
        <v>0</v>
      </c>
      <c r="L5522">
        <v>2019</v>
      </c>
      <c r="M5522">
        <v>365177721021</v>
      </c>
      <c r="N5522">
        <v>543976691793</v>
      </c>
      <c r="O5522" t="b">
        <v>0</v>
      </c>
      <c r="P5522">
        <v>-1</v>
      </c>
      <c r="Q5522" t="str" cm="1">
        <f t="array" ref="Q5522">_xlfn.IFS(Table1[[#This Row],[Wealthier_Winner]]=-1,"Wealthier Nation Loses",Table1[[#This Row],[Wealthier_Winner]]=0,"Tie",Table1[[#This Row],[Wealthier_Winner]]=1,"Wealthier Nation Wins")</f>
        <v>Wealthier Nation Loses</v>
      </c>
    </row>
    <row r="5523" spans="1:17" x14ac:dyDescent="0.2">
      <c r="A5523" s="1">
        <v>8022</v>
      </c>
      <c r="B5523" s="2">
        <v>43783</v>
      </c>
      <c r="C5523" s="7">
        <f>_xlfn.FLOOR.MATH(Table1[[#This Row],[year]],10)</f>
        <v>2010</v>
      </c>
      <c r="D5523" t="s">
        <v>479</v>
      </c>
      <c r="E5523" t="s">
        <v>195</v>
      </c>
      <c r="F5523">
        <v>0</v>
      </c>
      <c r="G5523">
        <v>0</v>
      </c>
      <c r="H5523" t="s">
        <v>224</v>
      </c>
      <c r="I5523" t="s">
        <v>480</v>
      </c>
      <c r="J5523" t="s">
        <v>479</v>
      </c>
      <c r="K5523" t="b">
        <v>0</v>
      </c>
      <c r="L5523">
        <v>2019</v>
      </c>
      <c r="M5523">
        <v>51605959131</v>
      </c>
      <c r="N5523">
        <v>1751045752054</v>
      </c>
      <c r="O5523" t="b">
        <v>1</v>
      </c>
      <c r="P5523">
        <v>0</v>
      </c>
      <c r="Q5523" t="str" cm="1">
        <f t="array" ref="Q5523">_xlfn.IFS(Table1[[#This Row],[Wealthier_Winner]]=-1,"Wealthier Nation Loses",Table1[[#This Row],[Wealthier_Winner]]=0,"Tie",Table1[[#This Row],[Wealthier_Winner]]=1,"Wealthier Nation Wins")</f>
        <v>Tie</v>
      </c>
    </row>
    <row r="5524" spans="1:17" x14ac:dyDescent="0.2">
      <c r="A5524" s="1">
        <v>8024</v>
      </c>
      <c r="B5524" s="2">
        <v>43788</v>
      </c>
      <c r="C5524" s="7">
        <f>_xlfn.FLOOR.MATH(Table1[[#This Row],[year]],10)</f>
        <v>2010</v>
      </c>
      <c r="D5524" t="s">
        <v>567</v>
      </c>
      <c r="E5524" t="s">
        <v>782</v>
      </c>
      <c r="F5524">
        <v>3</v>
      </c>
      <c r="G5524">
        <v>1</v>
      </c>
      <c r="H5524" t="s">
        <v>224</v>
      </c>
      <c r="I5524" t="s">
        <v>620</v>
      </c>
      <c r="J5524" t="s">
        <v>567</v>
      </c>
      <c r="K5524" t="b">
        <v>0</v>
      </c>
      <c r="L5524">
        <v>2019</v>
      </c>
      <c r="M5524">
        <v>5726094799</v>
      </c>
      <c r="N5524">
        <v>6355000000</v>
      </c>
      <c r="O5524" t="b">
        <v>0</v>
      </c>
      <c r="P5524">
        <v>-1</v>
      </c>
      <c r="Q5524" t="str" cm="1">
        <f t="array" ref="Q5524">_xlfn.IFS(Table1[[#This Row],[Wealthier_Winner]]=-1,"Wealthier Nation Loses",Table1[[#This Row],[Wealthier_Winner]]=0,"Tie",Table1[[#This Row],[Wealthier_Winner]]=1,"Wealthier Nation Wins")</f>
        <v>Wealthier Nation Loses</v>
      </c>
    </row>
    <row r="5525" spans="1:17" x14ac:dyDescent="0.2">
      <c r="A5525" s="1">
        <v>8025</v>
      </c>
      <c r="B5525" s="2">
        <v>43788</v>
      </c>
      <c r="C5525" s="7">
        <f>_xlfn.FLOOR.MATH(Table1[[#This Row],[year]],10)</f>
        <v>2010</v>
      </c>
      <c r="D5525" t="s">
        <v>331</v>
      </c>
      <c r="E5525" t="s">
        <v>532</v>
      </c>
      <c r="F5525">
        <v>1</v>
      </c>
      <c r="G5525">
        <v>0</v>
      </c>
      <c r="H5525" t="s">
        <v>224</v>
      </c>
      <c r="I5525" t="s">
        <v>412</v>
      </c>
      <c r="J5525" t="s">
        <v>39</v>
      </c>
      <c r="K5525" t="b">
        <v>1</v>
      </c>
      <c r="L5525">
        <v>2019</v>
      </c>
      <c r="M5525">
        <v>22583045060</v>
      </c>
      <c r="N5525">
        <v>376823402239</v>
      </c>
      <c r="O5525" t="b">
        <v>1</v>
      </c>
      <c r="P5525">
        <v>-1</v>
      </c>
      <c r="Q5525" t="str" cm="1">
        <f t="array" ref="Q5525">_xlfn.IFS(Table1[[#This Row],[Wealthier_Winner]]=-1,"Wealthier Nation Loses",Table1[[#This Row],[Wealthier_Winner]]=0,"Tie",Table1[[#This Row],[Wealthier_Winner]]=1,"Wealthier Nation Wins")</f>
        <v>Wealthier Nation Loses</v>
      </c>
    </row>
    <row r="5526" spans="1:17" x14ac:dyDescent="0.2">
      <c r="A5526" s="1">
        <v>8026</v>
      </c>
      <c r="B5526" s="2">
        <v>43788</v>
      </c>
      <c r="C5526" s="7">
        <f>_xlfn.FLOOR.MATH(Table1[[#This Row],[year]],10)</f>
        <v>2010</v>
      </c>
      <c r="D5526" t="s">
        <v>400</v>
      </c>
      <c r="E5526" t="s">
        <v>71</v>
      </c>
      <c r="F5526">
        <v>0</v>
      </c>
      <c r="G5526">
        <v>1</v>
      </c>
      <c r="H5526" t="s">
        <v>224</v>
      </c>
      <c r="I5526" t="s">
        <v>778</v>
      </c>
      <c r="J5526" t="s">
        <v>777</v>
      </c>
      <c r="K5526" t="b">
        <v>1</v>
      </c>
      <c r="L5526">
        <v>2019</v>
      </c>
      <c r="M5526">
        <v>34186180699</v>
      </c>
      <c r="N5526">
        <v>140856394860</v>
      </c>
      <c r="O5526" t="b">
        <v>1</v>
      </c>
      <c r="P5526">
        <v>1</v>
      </c>
      <c r="Q5526" t="str" cm="1">
        <f t="array" ref="Q5526">_xlfn.IFS(Table1[[#This Row],[Wealthier_Winner]]=-1,"Wealthier Nation Loses",Table1[[#This Row],[Wealthier_Winner]]=0,"Tie",Table1[[#This Row],[Wealthier_Winner]]=1,"Wealthier Nation Wins")</f>
        <v>Wealthier Nation Wins</v>
      </c>
    </row>
    <row r="5527" spans="1:17" x14ac:dyDescent="0.2">
      <c r="A5527" s="1">
        <v>8028</v>
      </c>
      <c r="B5527" s="2">
        <v>43788</v>
      </c>
      <c r="C5527" s="7">
        <f>_xlfn.FLOOR.MATH(Table1[[#This Row],[year]],10)</f>
        <v>2010</v>
      </c>
      <c r="D5527" t="s">
        <v>37</v>
      </c>
      <c r="E5527" t="s">
        <v>361</v>
      </c>
      <c r="F5527">
        <v>0</v>
      </c>
      <c r="G5527">
        <v>0</v>
      </c>
      <c r="H5527" t="s">
        <v>224</v>
      </c>
      <c r="I5527" t="s">
        <v>404</v>
      </c>
      <c r="J5527" t="s">
        <v>403</v>
      </c>
      <c r="K5527" t="b">
        <v>1</v>
      </c>
      <c r="L5527">
        <v>2019</v>
      </c>
      <c r="M5527">
        <v>233636097800</v>
      </c>
      <c r="N5527">
        <v>40446808510</v>
      </c>
      <c r="O5527" t="b">
        <v>1</v>
      </c>
      <c r="P5527">
        <v>0</v>
      </c>
      <c r="Q5527" t="str" cm="1">
        <f t="array" ref="Q5527">_xlfn.IFS(Table1[[#This Row],[Wealthier_Winner]]=-1,"Wealthier Nation Loses",Table1[[#This Row],[Wealthier_Winner]]=0,"Tie",Table1[[#This Row],[Wealthier_Winner]]=1,"Wealthier Nation Wins")</f>
        <v>Tie</v>
      </c>
    </row>
    <row r="5528" spans="1:17" x14ac:dyDescent="0.2">
      <c r="A5528" s="1">
        <v>8032</v>
      </c>
      <c r="B5528" s="2">
        <v>43788</v>
      </c>
      <c r="C5528" s="7">
        <f>_xlfn.FLOOR.MATH(Table1[[#This Row],[year]],10)</f>
        <v>2010</v>
      </c>
      <c r="D5528" t="s">
        <v>641</v>
      </c>
      <c r="E5528" t="s">
        <v>68</v>
      </c>
      <c r="F5528">
        <v>0</v>
      </c>
      <c r="G5528">
        <v>1</v>
      </c>
      <c r="H5528" t="s">
        <v>224</v>
      </c>
      <c r="I5528" t="s">
        <v>557</v>
      </c>
      <c r="J5528" t="s">
        <v>556</v>
      </c>
      <c r="K5528" t="b">
        <v>1</v>
      </c>
      <c r="L5528">
        <v>2019</v>
      </c>
      <c r="M5528">
        <v>18799444490</v>
      </c>
      <c r="N5528">
        <v>176371428571</v>
      </c>
      <c r="O5528" t="b">
        <v>1</v>
      </c>
      <c r="P5528">
        <v>1</v>
      </c>
      <c r="Q5528" t="str" cm="1">
        <f t="array" ref="Q5528">_xlfn.IFS(Table1[[#This Row],[Wealthier_Winner]]=-1,"Wealthier Nation Loses",Table1[[#This Row],[Wealthier_Winner]]=0,"Tie",Table1[[#This Row],[Wealthier_Winner]]=1,"Wealthier Nation Wins")</f>
        <v>Wealthier Nation Wins</v>
      </c>
    </row>
    <row r="5529" spans="1:17" x14ac:dyDescent="0.2">
      <c r="A5529" s="1">
        <v>8033</v>
      </c>
      <c r="B5529" s="2">
        <v>43788</v>
      </c>
      <c r="C5529" s="7">
        <f>_xlfn.FLOOR.MATH(Table1[[#This Row],[year]],10)</f>
        <v>2010</v>
      </c>
      <c r="D5529" t="s">
        <v>429</v>
      </c>
      <c r="E5529" t="s">
        <v>406</v>
      </c>
      <c r="F5529">
        <v>1</v>
      </c>
      <c r="G5529">
        <v>0</v>
      </c>
      <c r="H5529" t="s">
        <v>224</v>
      </c>
      <c r="I5529" t="s">
        <v>430</v>
      </c>
      <c r="J5529" t="s">
        <v>429</v>
      </c>
      <c r="K5529" t="b">
        <v>0</v>
      </c>
      <c r="L5529">
        <v>2019</v>
      </c>
      <c r="M5529">
        <v>88060858257</v>
      </c>
      <c r="N5529">
        <v>2835606256558</v>
      </c>
      <c r="O5529" t="b">
        <v>1</v>
      </c>
      <c r="P5529">
        <v>-1</v>
      </c>
      <c r="Q5529" t="str" cm="1">
        <f t="array" ref="Q5529">_xlfn.IFS(Table1[[#This Row],[Wealthier_Winner]]=-1,"Wealthier Nation Loses",Table1[[#This Row],[Wealthier_Winner]]=0,"Tie",Table1[[#This Row],[Wealthier_Winner]]=1,"Wealthier Nation Wins")</f>
        <v>Wealthier Nation Loses</v>
      </c>
    </row>
    <row r="5530" spans="1:17" x14ac:dyDescent="0.2">
      <c r="A5530" s="1">
        <v>8034</v>
      </c>
      <c r="B5530" s="2">
        <v>43788</v>
      </c>
      <c r="C5530" s="7">
        <f>_xlfn.FLOOR.MATH(Table1[[#This Row],[year]],10)</f>
        <v>2010</v>
      </c>
      <c r="D5530" t="s">
        <v>737</v>
      </c>
      <c r="E5530" t="s">
        <v>611</v>
      </c>
      <c r="F5530">
        <v>1</v>
      </c>
      <c r="G5530">
        <v>0</v>
      </c>
      <c r="H5530" t="s">
        <v>224</v>
      </c>
      <c r="I5530" t="s">
        <v>836</v>
      </c>
      <c r="J5530" t="s">
        <v>737</v>
      </c>
      <c r="K5530" t="b">
        <v>0</v>
      </c>
      <c r="L5530">
        <v>2019</v>
      </c>
      <c r="M5530">
        <v>75065106243</v>
      </c>
      <c r="N5530">
        <v>14206359017</v>
      </c>
      <c r="O5530" t="b">
        <v>1</v>
      </c>
      <c r="P5530">
        <v>1</v>
      </c>
      <c r="Q5530" t="str" cm="1">
        <f t="array" ref="Q5530">_xlfn.IFS(Table1[[#This Row],[Wealthier_Winner]]=-1,"Wealthier Nation Loses",Table1[[#This Row],[Wealthier_Winner]]=0,"Tie",Table1[[#This Row],[Wealthier_Winner]]=1,"Wealthier Nation Wins")</f>
        <v>Wealthier Nation Wins</v>
      </c>
    </row>
    <row r="5531" spans="1:17" x14ac:dyDescent="0.2">
      <c r="A5531" s="1">
        <v>8036</v>
      </c>
      <c r="B5531" s="2">
        <v>43788</v>
      </c>
      <c r="C5531" s="7">
        <f>_xlfn.FLOOR.MATH(Table1[[#This Row],[year]],10)</f>
        <v>2010</v>
      </c>
      <c r="D5531" t="s">
        <v>475</v>
      </c>
      <c r="E5531" t="s">
        <v>334</v>
      </c>
      <c r="F5531">
        <v>0</v>
      </c>
      <c r="G5531">
        <v>0</v>
      </c>
      <c r="H5531" t="s">
        <v>224</v>
      </c>
      <c r="I5531" t="s">
        <v>647</v>
      </c>
      <c r="J5531" t="s">
        <v>475</v>
      </c>
      <c r="K5531" t="b">
        <v>0</v>
      </c>
      <c r="L5531">
        <v>2019</v>
      </c>
      <c r="M5531">
        <v>334365270496</v>
      </c>
      <c r="N5531">
        <v>543976691793</v>
      </c>
      <c r="O5531" t="b">
        <v>0</v>
      </c>
      <c r="P5531">
        <v>0</v>
      </c>
      <c r="Q5531" t="str" cm="1">
        <f t="array" ref="Q5531">_xlfn.IFS(Table1[[#This Row],[Wealthier_Winner]]=-1,"Wealthier Nation Loses",Table1[[#This Row],[Wealthier_Winner]]=0,"Tie",Table1[[#This Row],[Wealthier_Winner]]=1,"Wealthier Nation Wins")</f>
        <v>Tie</v>
      </c>
    </row>
    <row r="5532" spans="1:17" x14ac:dyDescent="0.2">
      <c r="A5532" s="1">
        <v>8037</v>
      </c>
      <c r="B5532" s="2">
        <v>43788</v>
      </c>
      <c r="C5532" s="7">
        <f>_xlfn.FLOOR.MATH(Table1[[#This Row],[year]],10)</f>
        <v>2010</v>
      </c>
      <c r="D5532" t="s">
        <v>333</v>
      </c>
      <c r="E5532" t="s">
        <v>328</v>
      </c>
      <c r="F5532">
        <v>2</v>
      </c>
      <c r="G5532">
        <v>0</v>
      </c>
      <c r="H5532" t="s">
        <v>224</v>
      </c>
      <c r="I5532" t="s">
        <v>402</v>
      </c>
      <c r="J5532" t="s">
        <v>333</v>
      </c>
      <c r="K5532" t="b">
        <v>0</v>
      </c>
      <c r="L5532">
        <v>2019</v>
      </c>
      <c r="M5532">
        <v>365177721021</v>
      </c>
      <c r="N5532">
        <v>1119099871350</v>
      </c>
      <c r="O5532" t="b">
        <v>1</v>
      </c>
      <c r="P5532">
        <v>-1</v>
      </c>
      <c r="Q5532" t="str" cm="1">
        <f t="array" ref="Q5532">_xlfn.IFS(Table1[[#This Row],[Wealthier_Winner]]=-1,"Wealthier Nation Loses",Table1[[#This Row],[Wealthier_Winner]]=0,"Tie",Table1[[#This Row],[Wealthier_Winner]]=1,"Wealthier Nation Wins")</f>
        <v>Wealthier Nation Loses</v>
      </c>
    </row>
    <row r="5533" spans="1:17" x14ac:dyDescent="0.2">
      <c r="A5533" s="1">
        <v>8038</v>
      </c>
      <c r="B5533" s="2">
        <v>43788</v>
      </c>
      <c r="C5533" s="7">
        <f>_xlfn.FLOOR.MATH(Table1[[#This Row],[year]],10)</f>
        <v>2010</v>
      </c>
      <c r="D5533" t="s">
        <v>560</v>
      </c>
      <c r="E5533" t="s">
        <v>473</v>
      </c>
      <c r="F5533">
        <v>2</v>
      </c>
      <c r="G5533">
        <v>0</v>
      </c>
      <c r="H5533" t="s">
        <v>224</v>
      </c>
      <c r="I5533" t="s">
        <v>561</v>
      </c>
      <c r="J5533" t="s">
        <v>560</v>
      </c>
      <c r="K5533" t="b">
        <v>0</v>
      </c>
      <c r="L5533">
        <v>2019</v>
      </c>
      <c r="M5533">
        <v>40810067974</v>
      </c>
      <c r="N5533">
        <v>88998706296</v>
      </c>
      <c r="O5533" t="b">
        <v>1</v>
      </c>
      <c r="P5533">
        <v>-1</v>
      </c>
      <c r="Q5533" t="str" cm="1">
        <f t="array" ref="Q5533">_xlfn.IFS(Table1[[#This Row],[Wealthier_Winner]]=-1,"Wealthier Nation Loses",Table1[[#This Row],[Wealthier_Winner]]=0,"Tie",Table1[[#This Row],[Wealthier_Winner]]=1,"Wealthier Nation Wins")</f>
        <v>Wealthier Nation Loses</v>
      </c>
    </row>
    <row r="5534" spans="1:17" x14ac:dyDescent="0.2">
      <c r="A5534" s="1">
        <v>8040</v>
      </c>
      <c r="B5534" s="2">
        <v>44112</v>
      </c>
      <c r="C5534" s="7">
        <f>_xlfn.FLOOR.MATH(Table1[[#This Row],[year]],10)</f>
        <v>2020</v>
      </c>
      <c r="D5534" t="s">
        <v>35</v>
      </c>
      <c r="E5534" t="s">
        <v>31</v>
      </c>
      <c r="F5534">
        <v>2</v>
      </c>
      <c r="G5534">
        <v>2</v>
      </c>
      <c r="H5534" t="s">
        <v>224</v>
      </c>
      <c r="I5534" t="s">
        <v>250</v>
      </c>
      <c r="J5534" t="s">
        <v>35</v>
      </c>
      <c r="K5534" t="b">
        <v>0</v>
      </c>
      <c r="L5534">
        <v>2020</v>
      </c>
      <c r="M5534">
        <v>35432178068</v>
      </c>
      <c r="N5534">
        <v>201409694755</v>
      </c>
      <c r="O5534" t="b">
        <v>1</v>
      </c>
      <c r="P5534">
        <v>0</v>
      </c>
      <c r="Q5534" t="str" cm="1">
        <f t="array" ref="Q5534">_xlfn.IFS(Table1[[#This Row],[Wealthier_Winner]]=-1,"Wealthier Nation Loses",Table1[[#This Row],[Wealthier_Winner]]=0,"Tie",Table1[[#This Row],[Wealthier_Winner]]=1,"Wealthier Nation Wins")</f>
        <v>Tie</v>
      </c>
    </row>
    <row r="5535" spans="1:17" x14ac:dyDescent="0.2">
      <c r="A5535" s="1">
        <v>8041</v>
      </c>
      <c r="B5535" s="2">
        <v>44112</v>
      </c>
      <c r="C5535" s="7">
        <f>_xlfn.FLOOR.MATH(Table1[[#This Row],[year]],10)</f>
        <v>2020</v>
      </c>
      <c r="D5535" t="s">
        <v>26</v>
      </c>
      <c r="E5535" t="s">
        <v>14</v>
      </c>
      <c r="F5535">
        <v>2</v>
      </c>
      <c r="G5535">
        <v>1</v>
      </c>
      <c r="H5535" t="s">
        <v>224</v>
      </c>
      <c r="I5535" t="s">
        <v>247</v>
      </c>
      <c r="J5535" t="s">
        <v>26</v>
      </c>
      <c r="K5535" t="b">
        <v>0</v>
      </c>
      <c r="L5535">
        <v>2020</v>
      </c>
      <c r="M5535">
        <v>53559359261</v>
      </c>
      <c r="N5535">
        <v>254042159309</v>
      </c>
      <c r="O5535" t="b">
        <v>1</v>
      </c>
      <c r="P5535">
        <v>-1</v>
      </c>
      <c r="Q5535" t="str" cm="1">
        <f t="array" ref="Q5535">_xlfn.IFS(Table1[[#This Row],[Wealthier_Winner]]=-1,"Wealthier Nation Loses",Table1[[#This Row],[Wealthier_Winner]]=0,"Tie",Table1[[#This Row],[Wealthier_Winner]]=1,"Wealthier Nation Wins")</f>
        <v>Wealthier Nation Loses</v>
      </c>
    </row>
    <row r="5536" spans="1:17" x14ac:dyDescent="0.2">
      <c r="A5536" s="1">
        <v>8042</v>
      </c>
      <c r="B5536" s="2">
        <v>44112</v>
      </c>
      <c r="C5536" s="7">
        <f>_xlfn.FLOOR.MATH(Table1[[#This Row],[year]],10)</f>
        <v>2020</v>
      </c>
      <c r="D5536" t="s">
        <v>19</v>
      </c>
      <c r="E5536" t="s">
        <v>57</v>
      </c>
      <c r="F5536">
        <v>1</v>
      </c>
      <c r="G5536">
        <v>0</v>
      </c>
      <c r="H5536" t="s">
        <v>224</v>
      </c>
      <c r="I5536" t="s">
        <v>93</v>
      </c>
      <c r="J5536" t="s">
        <v>19</v>
      </c>
      <c r="K5536" t="b">
        <v>0</v>
      </c>
      <c r="L5536">
        <v>2020</v>
      </c>
      <c r="M5536">
        <v>385740508436</v>
      </c>
      <c r="N5536">
        <v>95865473000</v>
      </c>
      <c r="O5536" t="b">
        <v>1</v>
      </c>
      <c r="P5536">
        <v>1</v>
      </c>
      <c r="Q5536" t="str" cm="1">
        <f t="array" ref="Q5536">_xlfn.IFS(Table1[[#This Row],[Wealthier_Winner]]=-1,"Wealthier Nation Loses",Table1[[#This Row],[Wealthier_Winner]]=0,"Tie",Table1[[#This Row],[Wealthier_Winner]]=1,"Wealthier Nation Wins")</f>
        <v>Wealthier Nation Wins</v>
      </c>
    </row>
    <row r="5537" spans="1:17" x14ac:dyDescent="0.2">
      <c r="A5537" s="1">
        <v>8043</v>
      </c>
      <c r="B5537" s="2">
        <v>44113</v>
      </c>
      <c r="C5537" s="7">
        <f>_xlfn.FLOOR.MATH(Table1[[#This Row],[year]],10)</f>
        <v>2020</v>
      </c>
      <c r="D5537" t="s">
        <v>15</v>
      </c>
      <c r="E5537" t="s">
        <v>258</v>
      </c>
      <c r="F5537">
        <v>3</v>
      </c>
      <c r="G5537">
        <v>0</v>
      </c>
      <c r="H5537" t="s">
        <v>224</v>
      </c>
      <c r="I5537" t="s">
        <v>261</v>
      </c>
      <c r="J5537" t="s">
        <v>15</v>
      </c>
      <c r="K5537" t="b">
        <v>0</v>
      </c>
      <c r="L5537">
        <v>2020</v>
      </c>
      <c r="M5537">
        <v>270348342541</v>
      </c>
      <c r="N5537">
        <v>42838020721</v>
      </c>
      <c r="O5537" t="b">
        <v>1</v>
      </c>
      <c r="P5537">
        <v>1</v>
      </c>
      <c r="Q5537" t="str" cm="1">
        <f t="array" ref="Q5537">_xlfn.IFS(Table1[[#This Row],[Wealthier_Winner]]=-1,"Wealthier Nation Loses",Table1[[#This Row],[Wealthier_Winner]]=0,"Tie",Table1[[#This Row],[Wealthier_Winner]]=1,"Wealthier Nation Wins")</f>
        <v>Wealthier Nation Wins</v>
      </c>
    </row>
    <row r="5538" spans="1:17" x14ac:dyDescent="0.2">
      <c r="A5538" s="1">
        <v>8044</v>
      </c>
      <c r="B5538" s="2">
        <v>44113</v>
      </c>
      <c r="C5538" s="7">
        <f>_xlfn.FLOOR.MATH(Table1[[#This Row],[year]],10)</f>
        <v>2020</v>
      </c>
      <c r="D5538" t="s">
        <v>13</v>
      </c>
      <c r="E5538" t="s">
        <v>47</v>
      </c>
      <c r="F5538">
        <v>5</v>
      </c>
      <c r="G5538">
        <v>0</v>
      </c>
      <c r="H5538" t="s">
        <v>224</v>
      </c>
      <c r="I5538" t="s">
        <v>417</v>
      </c>
      <c r="J5538" t="s">
        <v>13</v>
      </c>
      <c r="K5538" t="b">
        <v>0</v>
      </c>
      <c r="L5538">
        <v>2020</v>
      </c>
      <c r="M5538">
        <v>1476107292151</v>
      </c>
      <c r="N5538">
        <v>42313784081</v>
      </c>
      <c r="O5538" t="b">
        <v>1</v>
      </c>
      <c r="P5538">
        <v>1</v>
      </c>
      <c r="Q5538" t="str" cm="1">
        <f t="array" ref="Q5538">_xlfn.IFS(Table1[[#This Row],[Wealthier_Winner]]=-1,"Wealthier Nation Loses",Table1[[#This Row],[Wealthier_Winner]]=0,"Tie",Table1[[#This Row],[Wealthier_Winner]]=1,"Wealthier Nation Wins")</f>
        <v>Wealthier Nation Wins</v>
      </c>
    </row>
    <row r="5539" spans="1:17" x14ac:dyDescent="0.2">
      <c r="A5539" s="1">
        <v>8045</v>
      </c>
      <c r="B5539" s="2">
        <v>44117</v>
      </c>
      <c r="C5539" s="7">
        <f>_xlfn.FLOOR.MATH(Table1[[#This Row],[year]],10)</f>
        <v>2020</v>
      </c>
      <c r="D5539" t="s">
        <v>47</v>
      </c>
      <c r="E5539" t="s">
        <v>19</v>
      </c>
      <c r="F5539">
        <v>1</v>
      </c>
      <c r="G5539">
        <v>2</v>
      </c>
      <c r="H5539" t="s">
        <v>224</v>
      </c>
      <c r="I5539" t="s">
        <v>246</v>
      </c>
      <c r="J5539" t="s">
        <v>47</v>
      </c>
      <c r="K5539" t="b">
        <v>0</v>
      </c>
      <c r="L5539">
        <v>2020</v>
      </c>
      <c r="M5539">
        <v>42313784081</v>
      </c>
      <c r="N5539">
        <v>385740508436</v>
      </c>
      <c r="O5539" t="b">
        <v>1</v>
      </c>
      <c r="P5539">
        <v>1</v>
      </c>
      <c r="Q5539" t="str" cm="1">
        <f t="array" ref="Q5539">_xlfn.IFS(Table1[[#This Row],[Wealthier_Winner]]=-1,"Wealthier Nation Loses",Table1[[#This Row],[Wealthier_Winner]]=0,"Tie",Table1[[#This Row],[Wealthier_Winner]]=1,"Wealthier Nation Wins")</f>
        <v>Wealthier Nation Wins</v>
      </c>
    </row>
    <row r="5540" spans="1:17" x14ac:dyDescent="0.2">
      <c r="A5540" s="1">
        <v>8046</v>
      </c>
      <c r="B5540" s="2">
        <v>44117</v>
      </c>
      <c r="C5540" s="7">
        <f>_xlfn.FLOOR.MATH(Table1[[#This Row],[year]],10)</f>
        <v>2020</v>
      </c>
      <c r="D5540" t="s">
        <v>57</v>
      </c>
      <c r="E5540" t="s">
        <v>26</v>
      </c>
      <c r="F5540">
        <v>4</v>
      </c>
      <c r="G5540">
        <v>2</v>
      </c>
      <c r="H5540" t="s">
        <v>224</v>
      </c>
      <c r="I5540" t="s">
        <v>335</v>
      </c>
      <c r="J5540" t="s">
        <v>57</v>
      </c>
      <c r="K5540" t="b">
        <v>0</v>
      </c>
      <c r="L5540">
        <v>2020</v>
      </c>
      <c r="M5540">
        <v>95865473000</v>
      </c>
      <c r="N5540">
        <v>53559359261</v>
      </c>
      <c r="O5540" t="b">
        <v>0</v>
      </c>
      <c r="P5540">
        <v>1</v>
      </c>
      <c r="Q5540" t="str" cm="1">
        <f t="array" ref="Q5540">_xlfn.IFS(Table1[[#This Row],[Wealthier_Winner]]=-1,"Wealthier Nation Loses",Table1[[#This Row],[Wealthier_Winner]]=0,"Tie",Table1[[#This Row],[Wealthier_Winner]]=1,"Wealthier Nation Wins")</f>
        <v>Wealthier Nation Wins</v>
      </c>
    </row>
    <row r="5541" spans="1:17" x14ac:dyDescent="0.2">
      <c r="A5541" s="1">
        <v>8047</v>
      </c>
      <c r="B5541" s="2">
        <v>44117</v>
      </c>
      <c r="C5541" s="7">
        <f>_xlfn.FLOOR.MATH(Table1[[#This Row],[year]],10)</f>
        <v>2020</v>
      </c>
      <c r="D5541" t="s">
        <v>258</v>
      </c>
      <c r="E5541" t="s">
        <v>35</v>
      </c>
      <c r="F5541">
        <v>0</v>
      </c>
      <c r="G5541">
        <v>1</v>
      </c>
      <c r="H5541" t="s">
        <v>224</v>
      </c>
      <c r="I5541" t="s">
        <v>545</v>
      </c>
      <c r="J5541" t="s">
        <v>258</v>
      </c>
      <c r="K5541" t="b">
        <v>0</v>
      </c>
      <c r="L5541">
        <v>2020</v>
      </c>
      <c r="M5541">
        <v>42838020721</v>
      </c>
      <c r="N5541">
        <v>35432178068</v>
      </c>
      <c r="O5541" t="b">
        <v>0</v>
      </c>
      <c r="P5541">
        <v>-1</v>
      </c>
      <c r="Q5541" t="str" cm="1">
        <f t="array" ref="Q5541">_xlfn.IFS(Table1[[#This Row],[Wealthier_Winner]]=-1,"Wealthier Nation Loses",Table1[[#This Row],[Wealthier_Winner]]=0,"Tie",Table1[[#This Row],[Wealthier_Winner]]=1,"Wealthier Nation Wins")</f>
        <v>Wealthier Nation Loses</v>
      </c>
    </row>
    <row r="5542" spans="1:17" x14ac:dyDescent="0.2">
      <c r="A5542" s="1">
        <v>8048</v>
      </c>
      <c r="B5542" s="2">
        <v>44117</v>
      </c>
      <c r="C5542" s="7">
        <f>_xlfn.FLOOR.MATH(Table1[[#This Row],[year]],10)</f>
        <v>2020</v>
      </c>
      <c r="D5542" t="s">
        <v>31</v>
      </c>
      <c r="E5542" t="s">
        <v>13</v>
      </c>
      <c r="F5542">
        <v>2</v>
      </c>
      <c r="G5542">
        <v>4</v>
      </c>
      <c r="H5542" t="s">
        <v>224</v>
      </c>
      <c r="I5542" t="s">
        <v>242</v>
      </c>
      <c r="J5542" t="s">
        <v>31</v>
      </c>
      <c r="K5542" t="b">
        <v>0</v>
      </c>
      <c r="L5542">
        <v>2020</v>
      </c>
      <c r="M5542">
        <v>201409694755</v>
      </c>
      <c r="N5542">
        <v>1476107292151</v>
      </c>
      <c r="O5542" t="b">
        <v>1</v>
      </c>
      <c r="P5542">
        <v>1</v>
      </c>
      <c r="Q5542" t="str" cm="1">
        <f t="array" ref="Q5542">_xlfn.IFS(Table1[[#This Row],[Wealthier_Winner]]=-1,"Wealthier Nation Loses",Table1[[#This Row],[Wealthier_Winner]]=0,"Tie",Table1[[#This Row],[Wealthier_Winner]]=1,"Wealthier Nation Wins")</f>
        <v>Wealthier Nation Wins</v>
      </c>
    </row>
    <row r="5543" spans="1:17" x14ac:dyDescent="0.2">
      <c r="A5543" s="1">
        <v>8049</v>
      </c>
      <c r="B5543" s="2">
        <v>44117</v>
      </c>
      <c r="C5543" s="7">
        <f>_xlfn.FLOOR.MATH(Table1[[#This Row],[year]],10)</f>
        <v>2020</v>
      </c>
      <c r="D5543" t="s">
        <v>14</v>
      </c>
      <c r="E5543" t="s">
        <v>15</v>
      </c>
      <c r="F5543">
        <v>2</v>
      </c>
      <c r="G5543">
        <v>2</v>
      </c>
      <c r="H5543" t="s">
        <v>224</v>
      </c>
      <c r="I5543" t="s">
        <v>75</v>
      </c>
      <c r="J5543" t="s">
        <v>14</v>
      </c>
      <c r="K5543" t="b">
        <v>0</v>
      </c>
      <c r="L5543">
        <v>2020</v>
      </c>
      <c r="M5543">
        <v>254042159309</v>
      </c>
      <c r="N5543">
        <v>270348342541</v>
      </c>
      <c r="O5543" t="b">
        <v>0</v>
      </c>
      <c r="P5543">
        <v>0</v>
      </c>
      <c r="Q5543" t="str" cm="1">
        <f t="array" ref="Q5543">_xlfn.IFS(Table1[[#This Row],[Wealthier_Winner]]=-1,"Wealthier Nation Loses",Table1[[#This Row],[Wealthier_Winner]]=0,"Tie",Table1[[#This Row],[Wealthier_Winner]]=1,"Wealthier Nation Wins")</f>
        <v>Tie</v>
      </c>
    </row>
    <row r="5544" spans="1:17" x14ac:dyDescent="0.2">
      <c r="A5544" s="1">
        <v>8050</v>
      </c>
      <c r="B5544" s="2">
        <v>44147</v>
      </c>
      <c r="C5544" s="7">
        <f>_xlfn.FLOOR.MATH(Table1[[#This Row],[year]],10)</f>
        <v>2020</v>
      </c>
      <c r="D5544" t="s">
        <v>47</v>
      </c>
      <c r="E5544" t="s">
        <v>57</v>
      </c>
      <c r="F5544">
        <v>2</v>
      </c>
      <c r="G5544">
        <v>3</v>
      </c>
      <c r="H5544" t="s">
        <v>224</v>
      </c>
      <c r="I5544" t="s">
        <v>246</v>
      </c>
      <c r="J5544" t="s">
        <v>47</v>
      </c>
      <c r="K5544" t="b">
        <v>0</v>
      </c>
      <c r="L5544">
        <v>2020</v>
      </c>
      <c r="M5544">
        <v>42313784081</v>
      </c>
      <c r="N5544">
        <v>95865473000</v>
      </c>
      <c r="O5544" t="b">
        <v>1</v>
      </c>
      <c r="P5544">
        <v>1</v>
      </c>
      <c r="Q5544" t="str" cm="1">
        <f t="array" ref="Q5544">_xlfn.IFS(Table1[[#This Row],[Wealthier_Winner]]=-1,"Wealthier Nation Loses",Table1[[#This Row],[Wealthier_Winner]]=0,"Tie",Table1[[#This Row],[Wealthier_Winner]]=1,"Wealthier Nation Wins")</f>
        <v>Wealthier Nation Wins</v>
      </c>
    </row>
    <row r="5545" spans="1:17" x14ac:dyDescent="0.2">
      <c r="A5545" s="1">
        <v>8051</v>
      </c>
      <c r="B5545" s="2">
        <v>44147</v>
      </c>
      <c r="C5545" s="7">
        <f>_xlfn.FLOOR.MATH(Table1[[#This Row],[year]],10)</f>
        <v>2020</v>
      </c>
      <c r="D5545" t="s">
        <v>19</v>
      </c>
      <c r="E5545" t="s">
        <v>35</v>
      </c>
      <c r="F5545">
        <v>1</v>
      </c>
      <c r="G5545">
        <v>1</v>
      </c>
      <c r="H5545" t="s">
        <v>224</v>
      </c>
      <c r="I5545" t="s">
        <v>93</v>
      </c>
      <c r="J5545" t="s">
        <v>19</v>
      </c>
      <c r="K5545" t="b">
        <v>0</v>
      </c>
      <c r="L5545">
        <v>2020</v>
      </c>
      <c r="M5545">
        <v>385740508436</v>
      </c>
      <c r="N5545">
        <v>35432178068</v>
      </c>
      <c r="O5545" t="b">
        <v>1</v>
      </c>
      <c r="P5545">
        <v>0</v>
      </c>
      <c r="Q5545" t="str" cm="1">
        <f t="array" ref="Q5545">_xlfn.IFS(Table1[[#This Row],[Wealthier_Winner]]=-1,"Wealthier Nation Loses",Table1[[#This Row],[Wealthier_Winner]]=0,"Tie",Table1[[#This Row],[Wealthier_Winner]]=1,"Wealthier Nation Wins")</f>
        <v>Tie</v>
      </c>
    </row>
    <row r="5546" spans="1:17" x14ac:dyDescent="0.2">
      <c r="A5546" s="1">
        <v>8052</v>
      </c>
      <c r="B5546" s="2">
        <v>44148</v>
      </c>
      <c r="C5546" s="7">
        <f>_xlfn.FLOOR.MATH(Table1[[#This Row],[year]],10)</f>
        <v>2020</v>
      </c>
      <c r="D5546" t="s">
        <v>15</v>
      </c>
      <c r="E5546" t="s">
        <v>26</v>
      </c>
      <c r="F5546">
        <v>0</v>
      </c>
      <c r="G5546">
        <v>3</v>
      </c>
      <c r="H5546" t="s">
        <v>224</v>
      </c>
      <c r="I5546" t="s">
        <v>261</v>
      </c>
      <c r="J5546" t="s">
        <v>15</v>
      </c>
      <c r="K5546" t="b">
        <v>0</v>
      </c>
      <c r="L5546">
        <v>2020</v>
      </c>
      <c r="M5546">
        <v>270348342541</v>
      </c>
      <c r="N5546">
        <v>53559359261</v>
      </c>
      <c r="O5546" t="b">
        <v>1</v>
      </c>
      <c r="P5546">
        <v>-1</v>
      </c>
      <c r="Q5546" t="str" cm="1">
        <f t="array" ref="Q5546">_xlfn.IFS(Table1[[#This Row],[Wealthier_Winner]]=-1,"Wealthier Nation Loses",Table1[[#This Row],[Wealthier_Winner]]=0,"Tie",Table1[[#This Row],[Wealthier_Winner]]=1,"Wealthier Nation Wins")</f>
        <v>Wealthier Nation Loses</v>
      </c>
    </row>
    <row r="5547" spans="1:17" x14ac:dyDescent="0.2">
      <c r="A5547" s="1">
        <v>8053</v>
      </c>
      <c r="B5547" s="2">
        <v>44148</v>
      </c>
      <c r="C5547" s="7">
        <f>_xlfn.FLOOR.MATH(Table1[[#This Row],[year]],10)</f>
        <v>2020</v>
      </c>
      <c r="D5547" t="s">
        <v>14</v>
      </c>
      <c r="E5547" t="s">
        <v>31</v>
      </c>
      <c r="F5547">
        <v>2</v>
      </c>
      <c r="G5547">
        <v>0</v>
      </c>
      <c r="H5547" t="s">
        <v>224</v>
      </c>
      <c r="I5547" t="s">
        <v>75</v>
      </c>
      <c r="J5547" t="s">
        <v>14</v>
      </c>
      <c r="K5547" t="b">
        <v>0</v>
      </c>
      <c r="L5547">
        <v>2020</v>
      </c>
      <c r="M5547">
        <v>254042159309</v>
      </c>
      <c r="N5547">
        <v>201409694755</v>
      </c>
      <c r="O5547" t="b">
        <v>0</v>
      </c>
      <c r="P5547">
        <v>1</v>
      </c>
      <c r="Q5547" t="str" cm="1">
        <f t="array" ref="Q5547">_xlfn.IFS(Table1[[#This Row],[Wealthier_Winner]]=-1,"Wealthier Nation Loses",Table1[[#This Row],[Wealthier_Winner]]=0,"Tie",Table1[[#This Row],[Wealthier_Winner]]=1,"Wealthier Nation Wins")</f>
        <v>Wealthier Nation Wins</v>
      </c>
    </row>
    <row r="5548" spans="1:17" x14ac:dyDescent="0.2">
      <c r="A5548" s="1">
        <v>8054</v>
      </c>
      <c r="B5548" s="2">
        <v>44148</v>
      </c>
      <c r="C5548" s="7">
        <f>_xlfn.FLOOR.MATH(Table1[[#This Row],[year]],10)</f>
        <v>2020</v>
      </c>
      <c r="D5548" t="s">
        <v>13</v>
      </c>
      <c r="E5548" t="s">
        <v>258</v>
      </c>
      <c r="F5548">
        <v>1</v>
      </c>
      <c r="G5548">
        <v>0</v>
      </c>
      <c r="H5548" t="s">
        <v>224</v>
      </c>
      <c r="I5548" t="s">
        <v>417</v>
      </c>
      <c r="J5548" t="s">
        <v>13</v>
      </c>
      <c r="K5548" t="b">
        <v>0</v>
      </c>
      <c r="L5548">
        <v>2020</v>
      </c>
      <c r="M5548">
        <v>1476107292151</v>
      </c>
      <c r="N5548">
        <v>42838020721</v>
      </c>
      <c r="O5548" t="b">
        <v>1</v>
      </c>
      <c r="P5548">
        <v>1</v>
      </c>
      <c r="Q5548" t="str" cm="1">
        <f t="array" ref="Q5548">_xlfn.IFS(Table1[[#This Row],[Wealthier_Winner]]=-1,"Wealthier Nation Loses",Table1[[#This Row],[Wealthier_Winner]]=0,"Tie",Table1[[#This Row],[Wealthier_Winner]]=1,"Wealthier Nation Wins")</f>
        <v>Wealthier Nation Wins</v>
      </c>
    </row>
    <row r="5549" spans="1:17" x14ac:dyDescent="0.2">
      <c r="A5549" s="1">
        <v>8055</v>
      </c>
      <c r="B5549" s="2">
        <v>44152</v>
      </c>
      <c r="C5549" s="7">
        <f>_xlfn.FLOOR.MATH(Table1[[#This Row],[year]],10)</f>
        <v>2020</v>
      </c>
      <c r="D5549" t="s">
        <v>57</v>
      </c>
      <c r="E5549" t="s">
        <v>15</v>
      </c>
      <c r="F5549">
        <v>6</v>
      </c>
      <c r="G5549">
        <v>1</v>
      </c>
      <c r="H5549" t="s">
        <v>224</v>
      </c>
      <c r="I5549" t="s">
        <v>335</v>
      </c>
      <c r="J5549" t="s">
        <v>57</v>
      </c>
      <c r="K5549" t="b">
        <v>0</v>
      </c>
      <c r="L5549">
        <v>2020</v>
      </c>
      <c r="M5549">
        <v>95865473000</v>
      </c>
      <c r="N5549">
        <v>270348342541</v>
      </c>
      <c r="O5549" t="b">
        <v>1</v>
      </c>
      <c r="P5549">
        <v>-1</v>
      </c>
      <c r="Q5549" t="str" cm="1">
        <f t="array" ref="Q5549">_xlfn.IFS(Table1[[#This Row],[Wealthier_Winner]]=-1,"Wealthier Nation Loses",Table1[[#This Row],[Wealthier_Winner]]=0,"Tie",Table1[[#This Row],[Wealthier_Winner]]=1,"Wealthier Nation Wins")</f>
        <v>Wealthier Nation Loses</v>
      </c>
    </row>
    <row r="5550" spans="1:17" x14ac:dyDescent="0.2">
      <c r="A5550" s="1">
        <v>8056</v>
      </c>
      <c r="B5550" s="2">
        <v>44152</v>
      </c>
      <c r="C5550" s="7">
        <f>_xlfn.FLOOR.MATH(Table1[[#This Row],[year]],10)</f>
        <v>2020</v>
      </c>
      <c r="D5550" t="s">
        <v>258</v>
      </c>
      <c r="E5550" t="s">
        <v>14</v>
      </c>
      <c r="F5550">
        <v>2</v>
      </c>
      <c r="G5550">
        <v>1</v>
      </c>
      <c r="H5550" t="s">
        <v>224</v>
      </c>
      <c r="I5550" t="s">
        <v>260</v>
      </c>
      <c r="J5550" t="s">
        <v>258</v>
      </c>
      <c r="K5550" t="b">
        <v>0</v>
      </c>
      <c r="L5550">
        <v>2020</v>
      </c>
      <c r="M5550">
        <v>42838020721</v>
      </c>
      <c r="N5550">
        <v>254042159309</v>
      </c>
      <c r="O5550" t="b">
        <v>1</v>
      </c>
      <c r="P5550">
        <v>-1</v>
      </c>
      <c r="Q5550" t="str" cm="1">
        <f t="array" ref="Q5550">_xlfn.IFS(Table1[[#This Row],[Wealthier_Winner]]=-1,"Wealthier Nation Loses",Table1[[#This Row],[Wealthier_Winner]]=0,"Tie",Table1[[#This Row],[Wealthier_Winner]]=1,"Wealthier Nation Wins")</f>
        <v>Wealthier Nation Loses</v>
      </c>
    </row>
    <row r="5551" spans="1:17" x14ac:dyDescent="0.2">
      <c r="A5551" s="1">
        <v>8057</v>
      </c>
      <c r="B5551" s="2">
        <v>44152</v>
      </c>
      <c r="C5551" s="7">
        <f>_xlfn.FLOOR.MATH(Table1[[#This Row],[year]],10)</f>
        <v>2020</v>
      </c>
      <c r="D5551" t="s">
        <v>31</v>
      </c>
      <c r="E5551" t="s">
        <v>19</v>
      </c>
      <c r="F5551">
        <v>0</v>
      </c>
      <c r="G5551">
        <v>2</v>
      </c>
      <c r="H5551" t="s">
        <v>224</v>
      </c>
      <c r="I5551" t="s">
        <v>242</v>
      </c>
      <c r="J5551" t="s">
        <v>31</v>
      </c>
      <c r="K5551" t="b">
        <v>0</v>
      </c>
      <c r="L5551">
        <v>2020</v>
      </c>
      <c r="M5551">
        <v>201409694755</v>
      </c>
      <c r="N5551">
        <v>385740508436</v>
      </c>
      <c r="O5551" t="b">
        <v>0</v>
      </c>
      <c r="P5551">
        <v>1</v>
      </c>
      <c r="Q5551" t="str" cm="1">
        <f t="array" ref="Q5551">_xlfn.IFS(Table1[[#This Row],[Wealthier_Winner]]=-1,"Wealthier Nation Loses",Table1[[#This Row],[Wealthier_Winner]]=0,"Tie",Table1[[#This Row],[Wealthier_Winner]]=1,"Wealthier Nation Wins")</f>
        <v>Wealthier Nation Wins</v>
      </c>
    </row>
    <row r="5552" spans="1:17" x14ac:dyDescent="0.2">
      <c r="A5552" s="1">
        <v>8058</v>
      </c>
      <c r="B5552" s="2">
        <v>44152</v>
      </c>
      <c r="C5552" s="7">
        <f>_xlfn.FLOOR.MATH(Table1[[#This Row],[year]],10)</f>
        <v>2020</v>
      </c>
      <c r="D5552" t="s">
        <v>35</v>
      </c>
      <c r="E5552" t="s">
        <v>47</v>
      </c>
      <c r="F5552">
        <v>2</v>
      </c>
      <c r="G5552">
        <v>2</v>
      </c>
      <c r="H5552" t="s">
        <v>224</v>
      </c>
      <c r="I5552" t="s">
        <v>250</v>
      </c>
      <c r="J5552" t="s">
        <v>35</v>
      </c>
      <c r="K5552" t="b">
        <v>0</v>
      </c>
      <c r="L5552">
        <v>2020</v>
      </c>
      <c r="M5552">
        <v>35432178068</v>
      </c>
      <c r="N5552">
        <v>42313784081</v>
      </c>
      <c r="O5552" t="b">
        <v>0</v>
      </c>
      <c r="P5552">
        <v>0</v>
      </c>
      <c r="Q5552" t="str" cm="1">
        <f t="array" ref="Q5552">_xlfn.IFS(Table1[[#This Row],[Wealthier_Winner]]=-1,"Wealthier Nation Loses",Table1[[#This Row],[Wealthier_Winner]]=0,"Tie",Table1[[#This Row],[Wealthier_Winner]]=1,"Wealthier Nation Wins")</f>
        <v>Tie</v>
      </c>
    </row>
    <row r="5553" spans="1:17" x14ac:dyDescent="0.2">
      <c r="A5553" s="1">
        <v>8059</v>
      </c>
      <c r="B5553" s="2">
        <v>44152</v>
      </c>
      <c r="C5553" s="7">
        <f>_xlfn.FLOOR.MATH(Table1[[#This Row],[year]],10)</f>
        <v>2020</v>
      </c>
      <c r="D5553" t="s">
        <v>26</v>
      </c>
      <c r="E5553" t="s">
        <v>13</v>
      </c>
      <c r="F5553">
        <v>0</v>
      </c>
      <c r="G5553">
        <v>2</v>
      </c>
      <c r="H5553" t="s">
        <v>224</v>
      </c>
      <c r="I5553" t="s">
        <v>247</v>
      </c>
      <c r="J5553" t="s">
        <v>26</v>
      </c>
      <c r="K5553" t="b">
        <v>0</v>
      </c>
      <c r="L5553">
        <v>2020</v>
      </c>
      <c r="M5553">
        <v>53559359261</v>
      </c>
      <c r="N5553">
        <v>1476107292151</v>
      </c>
      <c r="O5553" t="b">
        <v>1</v>
      </c>
      <c r="P5553">
        <v>1</v>
      </c>
      <c r="Q5553" t="str" cm="1">
        <f t="array" ref="Q5553">_xlfn.IFS(Table1[[#This Row],[Wealthier_Winner]]=-1,"Wealthier Nation Loses",Table1[[#This Row],[Wealthier_Winner]]=0,"Tie",Table1[[#This Row],[Wealthier_Winner]]=1,"Wealthier Nation Wins")</f>
        <v>Wealthier Nation Wins</v>
      </c>
    </row>
    <row r="5554" spans="1:17" x14ac:dyDescent="0.2">
      <c r="A5554" s="1">
        <v>8060</v>
      </c>
      <c r="B5554" s="2">
        <v>44169</v>
      </c>
      <c r="C5554" s="7">
        <f>_xlfn.FLOOR.MATH(Table1[[#This Row],[year]],10)</f>
        <v>2020</v>
      </c>
      <c r="D5554" t="s">
        <v>68</v>
      </c>
      <c r="E5554" t="s">
        <v>405</v>
      </c>
      <c r="F5554">
        <v>5</v>
      </c>
      <c r="G5554">
        <v>0</v>
      </c>
      <c r="H5554" t="s">
        <v>224</v>
      </c>
      <c r="I5554" t="s">
        <v>190</v>
      </c>
      <c r="J5554" t="s">
        <v>68</v>
      </c>
      <c r="K5554" t="b">
        <v>0</v>
      </c>
      <c r="L5554">
        <v>2020</v>
      </c>
      <c r="M5554">
        <v>144411538461</v>
      </c>
      <c r="N5554">
        <v>373979442362</v>
      </c>
      <c r="O5554" t="b">
        <v>1</v>
      </c>
      <c r="P5554">
        <v>-1</v>
      </c>
      <c r="Q5554" t="str" cm="1">
        <f t="array" ref="Q5554">_xlfn.IFS(Table1[[#This Row],[Wealthier_Winner]]=-1,"Wealthier Nation Loses",Table1[[#This Row],[Wealthier_Winner]]=0,"Tie",Table1[[#This Row],[Wealthier_Winner]]=1,"Wealthier Nation Wins")</f>
        <v>Wealthier Nation Loses</v>
      </c>
    </row>
    <row r="5555" spans="1:17" x14ac:dyDescent="0.2">
      <c r="A5555" s="1">
        <v>8062</v>
      </c>
      <c r="B5555" s="2">
        <v>44279</v>
      </c>
      <c r="C5555" s="7">
        <f>_xlfn.FLOOR.MATH(Table1[[#This Row],[year]],10)</f>
        <v>2020</v>
      </c>
      <c r="D5555" t="s">
        <v>252</v>
      </c>
      <c r="E5555" t="s">
        <v>691</v>
      </c>
      <c r="F5555">
        <v>3</v>
      </c>
      <c r="G5555">
        <v>0</v>
      </c>
      <c r="H5555" t="s">
        <v>224</v>
      </c>
      <c r="I5555" t="s">
        <v>255</v>
      </c>
      <c r="J5555" t="s">
        <v>252</v>
      </c>
      <c r="K5555" t="b">
        <v>0</v>
      </c>
      <c r="L5555">
        <v>2021</v>
      </c>
      <c r="M5555">
        <v>3107923197</v>
      </c>
      <c r="N5555">
        <v>6060813808</v>
      </c>
      <c r="O5555" t="b">
        <v>0</v>
      </c>
      <c r="P5555">
        <v>-1</v>
      </c>
      <c r="Q5555" t="str" cm="1">
        <f t="array" ref="Q5555">_xlfn.IFS(Table1[[#This Row],[Wealthier_Winner]]=-1,"Wealthier Nation Loses",Table1[[#This Row],[Wealthier_Winner]]=0,"Tie",Table1[[#This Row],[Wealthier_Winner]]=1,"Wealthier Nation Wins")</f>
        <v>Wealthier Nation Loses</v>
      </c>
    </row>
    <row r="5556" spans="1:17" x14ac:dyDescent="0.2">
      <c r="A5556" s="1">
        <v>8064</v>
      </c>
      <c r="B5556" s="2">
        <v>44279</v>
      </c>
      <c r="C5556" s="7">
        <f>_xlfn.FLOOR.MATH(Table1[[#This Row],[year]],10)</f>
        <v>2020</v>
      </c>
      <c r="D5556" t="s">
        <v>496</v>
      </c>
      <c r="E5556" t="s">
        <v>494</v>
      </c>
      <c r="F5556">
        <v>1</v>
      </c>
      <c r="G5556">
        <v>0</v>
      </c>
      <c r="H5556" t="s">
        <v>224</v>
      </c>
      <c r="I5556" t="s">
        <v>498</v>
      </c>
      <c r="J5556" t="s">
        <v>496</v>
      </c>
      <c r="K5556" t="b">
        <v>0</v>
      </c>
      <c r="L5556">
        <v>2021</v>
      </c>
      <c r="M5556">
        <v>94850719516</v>
      </c>
      <c r="N5556">
        <v>562911111</v>
      </c>
      <c r="O5556" t="b">
        <v>1</v>
      </c>
      <c r="P5556">
        <v>1</v>
      </c>
      <c r="Q5556" t="str" cm="1">
        <f t="array" ref="Q5556">_xlfn.IFS(Table1[[#This Row],[Wealthier_Winner]]=-1,"Wealthier Nation Loses",Table1[[#This Row],[Wealthier_Winner]]=0,"Tie",Table1[[#This Row],[Wealthier_Winner]]=1,"Wealthier Nation Wins")</f>
        <v>Wealthier Nation Wins</v>
      </c>
    </row>
    <row r="5557" spans="1:17" x14ac:dyDescent="0.2">
      <c r="A5557" s="1">
        <v>8066</v>
      </c>
      <c r="B5557" s="2">
        <v>44279</v>
      </c>
      <c r="C5557" s="7">
        <f>_xlfn.FLOOR.MATH(Table1[[#This Row],[year]],10)</f>
        <v>2020</v>
      </c>
      <c r="D5557" t="s">
        <v>38</v>
      </c>
      <c r="E5557" t="s">
        <v>513</v>
      </c>
      <c r="F5557">
        <v>1</v>
      </c>
      <c r="G5557">
        <v>0</v>
      </c>
      <c r="H5557" t="s">
        <v>224</v>
      </c>
      <c r="I5557" t="s">
        <v>111</v>
      </c>
      <c r="J5557" t="s">
        <v>18</v>
      </c>
      <c r="K5557" t="b">
        <v>1</v>
      </c>
      <c r="L5557">
        <v>2021</v>
      </c>
      <c r="M5557">
        <v>256055879091</v>
      </c>
      <c r="N5557">
        <v>54825411764</v>
      </c>
      <c r="O5557" t="b">
        <v>1</v>
      </c>
      <c r="P5557">
        <v>1</v>
      </c>
      <c r="Q5557" t="str" cm="1">
        <f t="array" ref="Q5557">_xlfn.IFS(Table1[[#This Row],[Wealthier_Winner]]=-1,"Wealthier Nation Loses",Table1[[#This Row],[Wealthier_Winner]]=0,"Tie",Table1[[#This Row],[Wealthier_Winner]]=1,"Wealthier Nation Wins")</f>
        <v>Wealthier Nation Wins</v>
      </c>
    </row>
    <row r="5558" spans="1:17" x14ac:dyDescent="0.2">
      <c r="A5558" s="1">
        <v>8068</v>
      </c>
      <c r="B5558" s="2">
        <v>44279</v>
      </c>
      <c r="C5558" s="7">
        <f>_xlfn.FLOOR.MATH(Table1[[#This Row],[year]],10)</f>
        <v>2020</v>
      </c>
      <c r="D5558" t="s">
        <v>20</v>
      </c>
      <c r="E5558" t="s">
        <v>64</v>
      </c>
      <c r="F5558">
        <v>1</v>
      </c>
      <c r="G5558">
        <v>1</v>
      </c>
      <c r="H5558" t="s">
        <v>224</v>
      </c>
      <c r="I5558" t="s">
        <v>134</v>
      </c>
      <c r="J5558" t="s">
        <v>20</v>
      </c>
      <c r="K5558" t="b">
        <v>0</v>
      </c>
      <c r="L5558">
        <v>2021</v>
      </c>
      <c r="M5558">
        <v>2966433692008</v>
      </c>
      <c r="N5558">
        <v>199765859570</v>
      </c>
      <c r="O5558" t="b">
        <v>1</v>
      </c>
      <c r="P5558">
        <v>0</v>
      </c>
      <c r="Q5558" t="str" cm="1">
        <f t="array" ref="Q5558">_xlfn.IFS(Table1[[#This Row],[Wealthier_Winner]]=-1,"Wealthier Nation Loses",Table1[[#This Row],[Wealthier_Winner]]=0,"Tie",Table1[[#This Row],[Wealthier_Winner]]=1,"Wealthier Nation Wins")</f>
        <v>Tie</v>
      </c>
    </row>
    <row r="5559" spans="1:17" x14ac:dyDescent="0.2">
      <c r="A5559" s="1">
        <v>8069</v>
      </c>
      <c r="B5559" s="2">
        <v>44279</v>
      </c>
      <c r="C5559" s="7">
        <f>_xlfn.FLOOR.MATH(Table1[[#This Row],[year]],10)</f>
        <v>2020</v>
      </c>
      <c r="D5559" t="s">
        <v>230</v>
      </c>
      <c r="E5559" t="s">
        <v>73</v>
      </c>
      <c r="F5559">
        <v>2</v>
      </c>
      <c r="G5559">
        <v>2</v>
      </c>
      <c r="H5559" t="s">
        <v>224</v>
      </c>
      <c r="I5559" t="s">
        <v>231</v>
      </c>
      <c r="J5559" t="s">
        <v>230</v>
      </c>
      <c r="K5559" t="b">
        <v>0</v>
      </c>
      <c r="L5559">
        <v>2021</v>
      </c>
      <c r="M5559">
        <v>294223210496</v>
      </c>
      <c r="N5559">
        <v>23672712121</v>
      </c>
      <c r="O5559" t="b">
        <v>1</v>
      </c>
      <c r="P5559">
        <v>0</v>
      </c>
      <c r="Q5559" t="str" cm="1">
        <f t="array" ref="Q5559">_xlfn.IFS(Table1[[#This Row],[Wealthier_Winner]]=-1,"Wealthier Nation Loses",Table1[[#This Row],[Wealthier_Winner]]=0,"Tie",Table1[[#This Row],[Wealthier_Winner]]=1,"Wealthier Nation Wins")</f>
        <v>Tie</v>
      </c>
    </row>
    <row r="5560" spans="1:17" x14ac:dyDescent="0.2">
      <c r="A5560" s="1">
        <v>8074</v>
      </c>
      <c r="B5560" s="2">
        <v>44279</v>
      </c>
      <c r="C5560" s="7">
        <f>_xlfn.FLOOR.MATH(Table1[[#This Row],[year]],10)</f>
        <v>2020</v>
      </c>
      <c r="D5560" t="s">
        <v>525</v>
      </c>
      <c r="E5560" t="s">
        <v>705</v>
      </c>
      <c r="F5560">
        <v>1</v>
      </c>
      <c r="G5560">
        <v>2</v>
      </c>
      <c r="H5560" t="s">
        <v>224</v>
      </c>
      <c r="I5560" t="s">
        <v>526</v>
      </c>
      <c r="J5560" t="s">
        <v>525</v>
      </c>
      <c r="K5560" t="b">
        <v>0</v>
      </c>
      <c r="L5560">
        <v>2021</v>
      </c>
      <c r="M5560">
        <v>38183326784</v>
      </c>
      <c r="N5560">
        <v>5823715809</v>
      </c>
      <c r="O5560" t="b">
        <v>1</v>
      </c>
      <c r="P5560">
        <v>-1</v>
      </c>
      <c r="Q5560" t="str" cm="1">
        <f t="array" ref="Q5560">_xlfn.IFS(Table1[[#This Row],[Wealthier_Winner]]=-1,"Wealthier Nation Loses",Table1[[#This Row],[Wealthier_Winner]]=0,"Tie",Table1[[#This Row],[Wealthier_Winner]]=1,"Wealthier Nation Wins")</f>
        <v>Wealthier Nation Loses</v>
      </c>
    </row>
    <row r="5561" spans="1:17" x14ac:dyDescent="0.2">
      <c r="A5561" s="1">
        <v>8075</v>
      </c>
      <c r="B5561" s="2">
        <v>44279</v>
      </c>
      <c r="C5561" s="7">
        <f>_xlfn.FLOOR.MATH(Table1[[#This Row],[year]],10)</f>
        <v>2020</v>
      </c>
      <c r="D5561" t="s">
        <v>303</v>
      </c>
      <c r="E5561" t="s">
        <v>196</v>
      </c>
      <c r="F5561">
        <v>1</v>
      </c>
      <c r="G5561">
        <v>3</v>
      </c>
      <c r="H5561" t="s">
        <v>224</v>
      </c>
      <c r="I5561" t="s">
        <v>837</v>
      </c>
      <c r="J5561" t="s">
        <v>303</v>
      </c>
      <c r="K5561" t="b">
        <v>0</v>
      </c>
      <c r="L5561">
        <v>2021</v>
      </c>
      <c r="M5561">
        <v>19739875611</v>
      </c>
      <c r="N5561">
        <v>1829186719575</v>
      </c>
      <c r="O5561" t="b">
        <v>1</v>
      </c>
      <c r="P5561">
        <v>1</v>
      </c>
      <c r="Q5561" t="str" cm="1">
        <f t="array" ref="Q5561">_xlfn.IFS(Table1[[#This Row],[Wealthier_Winner]]=-1,"Wealthier Nation Loses",Table1[[#This Row],[Wealthier_Winner]]=0,"Tie",Table1[[#This Row],[Wealthier_Winner]]=1,"Wealthier Nation Wins")</f>
        <v>Wealthier Nation Wins</v>
      </c>
    </row>
    <row r="5562" spans="1:17" x14ac:dyDescent="0.2">
      <c r="A5562" s="1">
        <v>8076</v>
      </c>
      <c r="B5562" s="2">
        <v>44279</v>
      </c>
      <c r="C5562" s="7">
        <f>_xlfn.FLOOR.MATH(Table1[[#This Row],[year]],10)</f>
        <v>2020</v>
      </c>
      <c r="D5562" t="s">
        <v>55</v>
      </c>
      <c r="E5562" t="s">
        <v>52</v>
      </c>
      <c r="F5562">
        <v>1</v>
      </c>
      <c r="G5562">
        <v>0</v>
      </c>
      <c r="H5562" t="s">
        <v>224</v>
      </c>
      <c r="I5562" t="s">
        <v>529</v>
      </c>
      <c r="J5562" t="s">
        <v>55</v>
      </c>
      <c r="K5562" t="b">
        <v>0</v>
      </c>
      <c r="L5562">
        <v>2021</v>
      </c>
      <c r="M5562">
        <v>61540813361</v>
      </c>
      <c r="N5562">
        <v>69002365163</v>
      </c>
      <c r="O5562" t="b">
        <v>0</v>
      </c>
      <c r="P5562">
        <v>-1</v>
      </c>
      <c r="Q5562" t="str" cm="1">
        <f t="array" ref="Q5562">_xlfn.IFS(Table1[[#This Row],[Wealthier_Winner]]=-1,"Wealthier Nation Loses",Table1[[#This Row],[Wealthier_Winner]]=0,"Tie",Table1[[#This Row],[Wealthier_Winner]]=1,"Wealthier Nation Wins")</f>
        <v>Wealthier Nation Loses</v>
      </c>
    </row>
    <row r="5563" spans="1:17" x14ac:dyDescent="0.2">
      <c r="A5563" s="1">
        <v>8078</v>
      </c>
      <c r="B5563" s="2">
        <v>44280</v>
      </c>
      <c r="C5563" s="7">
        <f>_xlfn.FLOOR.MATH(Table1[[#This Row],[year]],10)</f>
        <v>2020</v>
      </c>
      <c r="D5563" t="s">
        <v>69</v>
      </c>
      <c r="E5563" t="s">
        <v>499</v>
      </c>
      <c r="F5563">
        <v>2</v>
      </c>
      <c r="G5563">
        <v>0</v>
      </c>
      <c r="H5563" t="s">
        <v>224</v>
      </c>
      <c r="I5563" t="s">
        <v>281</v>
      </c>
      <c r="J5563" t="s">
        <v>69</v>
      </c>
      <c r="K5563" t="b">
        <v>0</v>
      </c>
      <c r="L5563">
        <v>2021</v>
      </c>
      <c r="M5563">
        <v>29043140000</v>
      </c>
      <c r="N5563">
        <v>1122222222</v>
      </c>
      <c r="O5563" t="b">
        <v>1</v>
      </c>
      <c r="P5563">
        <v>1</v>
      </c>
      <c r="Q5563" t="str" cm="1">
        <f t="array" ref="Q5563">_xlfn.IFS(Table1[[#This Row],[Wealthier_Winner]]=-1,"Wealthier Nation Loses",Table1[[#This Row],[Wealthier_Winner]]=0,"Tie",Table1[[#This Row],[Wealthier_Winner]]=1,"Wealthier Nation Wins")</f>
        <v>Wealthier Nation Wins</v>
      </c>
    </row>
    <row r="5564" spans="1:17" x14ac:dyDescent="0.2">
      <c r="A5564" s="1">
        <v>8079</v>
      </c>
      <c r="B5564" s="2">
        <v>44280</v>
      </c>
      <c r="C5564" s="7">
        <f>_xlfn.FLOOR.MATH(Table1[[#This Row],[year]],10)</f>
        <v>2020</v>
      </c>
      <c r="D5564" t="s">
        <v>34</v>
      </c>
      <c r="E5564" t="s">
        <v>266</v>
      </c>
      <c r="F5564">
        <v>5</v>
      </c>
      <c r="G5564">
        <v>1</v>
      </c>
      <c r="H5564" t="s">
        <v>224</v>
      </c>
      <c r="I5564" t="s">
        <v>121</v>
      </c>
      <c r="J5564" t="s">
        <v>41</v>
      </c>
      <c r="K5564" t="b">
        <v>1</v>
      </c>
      <c r="L5564">
        <v>2021</v>
      </c>
      <c r="M5564">
        <v>2022378748423</v>
      </c>
      <c r="N5564">
        <v>7290037000</v>
      </c>
      <c r="O5564" t="b">
        <v>1</v>
      </c>
      <c r="P5564">
        <v>1</v>
      </c>
      <c r="Q5564" t="str" cm="1">
        <f t="array" ref="Q5564">_xlfn.IFS(Table1[[#This Row],[Wealthier_Winner]]=-1,"Wealthier Nation Loses",Table1[[#This Row],[Wealthier_Winner]]=0,"Tie",Table1[[#This Row],[Wealthier_Winner]]=1,"Wealthier Nation Wins")</f>
        <v>Wealthier Nation Wins</v>
      </c>
    </row>
    <row r="5565" spans="1:17" x14ac:dyDescent="0.2">
      <c r="A5565" s="1">
        <v>8081</v>
      </c>
      <c r="B5565" s="2">
        <v>44280</v>
      </c>
      <c r="C5565" s="7">
        <f>_xlfn.FLOOR.MATH(Table1[[#This Row],[year]],10)</f>
        <v>2020</v>
      </c>
      <c r="D5565" t="s">
        <v>67</v>
      </c>
      <c r="E5565" t="s">
        <v>443</v>
      </c>
      <c r="F5565">
        <v>1</v>
      </c>
      <c r="G5565">
        <v>0</v>
      </c>
      <c r="H5565" t="s">
        <v>224</v>
      </c>
      <c r="I5565" t="s">
        <v>498</v>
      </c>
      <c r="J5565" t="s">
        <v>496</v>
      </c>
      <c r="K5565" t="b">
        <v>1</v>
      </c>
      <c r="L5565">
        <v>2021</v>
      </c>
      <c r="M5565">
        <v>67396392506</v>
      </c>
      <c r="N5565">
        <v>5947550000</v>
      </c>
      <c r="O5565" t="b">
        <v>1</v>
      </c>
      <c r="P5565">
        <v>1</v>
      </c>
      <c r="Q5565" t="str" cm="1">
        <f t="array" ref="Q5565">_xlfn.IFS(Table1[[#This Row],[Wealthier_Winner]]=-1,"Wealthier Nation Loses",Table1[[#This Row],[Wealthier_Winner]]=0,"Tie",Table1[[#This Row],[Wealthier_Winner]]=1,"Wealthier Nation Wins")</f>
        <v>Wealthier Nation Wins</v>
      </c>
    </row>
    <row r="5566" spans="1:17" x14ac:dyDescent="0.2">
      <c r="A5566" s="1">
        <v>8082</v>
      </c>
      <c r="B5566" s="2">
        <v>44280</v>
      </c>
      <c r="C5566" s="7">
        <f>_xlfn.FLOOR.MATH(Table1[[#This Row],[year]],10)</f>
        <v>2020</v>
      </c>
      <c r="D5566" t="s">
        <v>70</v>
      </c>
      <c r="E5566" t="s">
        <v>511</v>
      </c>
      <c r="F5566">
        <v>2</v>
      </c>
      <c r="G5566">
        <v>0</v>
      </c>
      <c r="H5566" t="s">
        <v>224</v>
      </c>
      <c r="I5566" t="s">
        <v>280</v>
      </c>
      <c r="J5566" t="s">
        <v>70</v>
      </c>
      <c r="K5566" t="b">
        <v>0</v>
      </c>
      <c r="L5566">
        <v>2021</v>
      </c>
      <c r="M5566">
        <v>20944387975</v>
      </c>
      <c r="N5566">
        <v>2428606250</v>
      </c>
      <c r="O5566" t="b">
        <v>1</v>
      </c>
      <c r="P5566">
        <v>1</v>
      </c>
      <c r="Q5566" t="str" cm="1">
        <f t="array" ref="Q5566">_xlfn.IFS(Table1[[#This Row],[Wealthier_Winner]]=-1,"Wealthier Nation Loses",Table1[[#This Row],[Wealthier_Winner]]=0,"Tie",Table1[[#This Row],[Wealthier_Winner]]=1,"Wealthier Nation Wins")</f>
        <v>Wealthier Nation Wins</v>
      </c>
    </row>
    <row r="5567" spans="1:17" x14ac:dyDescent="0.2">
      <c r="A5567" s="1">
        <v>8083</v>
      </c>
      <c r="B5567" s="2">
        <v>44280</v>
      </c>
      <c r="C5567" s="7">
        <f>_xlfn.FLOOR.MATH(Table1[[#This Row],[year]],10)</f>
        <v>2020</v>
      </c>
      <c r="D5567" t="s">
        <v>59</v>
      </c>
      <c r="E5567" t="s">
        <v>445</v>
      </c>
      <c r="F5567">
        <v>3</v>
      </c>
      <c r="G5567">
        <v>0</v>
      </c>
      <c r="H5567" t="s">
        <v>224</v>
      </c>
      <c r="I5567" t="s">
        <v>416</v>
      </c>
      <c r="J5567" t="s">
        <v>496</v>
      </c>
      <c r="K5567" t="b">
        <v>1</v>
      </c>
      <c r="L5567">
        <v>2021</v>
      </c>
      <c r="M5567">
        <v>24222963262</v>
      </c>
      <c r="N5567">
        <v>8041362110</v>
      </c>
      <c r="O5567" t="b">
        <v>1</v>
      </c>
      <c r="P5567">
        <v>1</v>
      </c>
      <c r="Q5567" t="str" cm="1">
        <f t="array" ref="Q5567">_xlfn.IFS(Table1[[#This Row],[Wealthier_Winner]]=-1,"Wealthier Nation Loses",Table1[[#This Row],[Wealthier_Winner]]=0,"Tie",Table1[[#This Row],[Wealthier_Winner]]=1,"Wealthier Nation Wins")</f>
        <v>Wealthier Nation Wins</v>
      </c>
    </row>
    <row r="5568" spans="1:17" x14ac:dyDescent="0.2">
      <c r="A5568" s="1">
        <v>8084</v>
      </c>
      <c r="B5568" s="2">
        <v>44280</v>
      </c>
      <c r="C5568" s="7">
        <f>_xlfn.FLOOR.MATH(Table1[[#This Row],[year]],10)</f>
        <v>2020</v>
      </c>
      <c r="D5568" t="s">
        <v>21</v>
      </c>
      <c r="E5568" t="s">
        <v>48</v>
      </c>
      <c r="F5568">
        <v>1</v>
      </c>
      <c r="G5568">
        <v>1</v>
      </c>
      <c r="H5568" t="s">
        <v>224</v>
      </c>
      <c r="I5568" t="s">
        <v>546</v>
      </c>
      <c r="J5568" t="s">
        <v>21</v>
      </c>
      <c r="K5568" t="b">
        <v>0</v>
      </c>
      <c r="L5568">
        <v>2021</v>
      </c>
      <c r="M5568">
        <v>1461244901852</v>
      </c>
      <c r="N5568">
        <v>218303801895</v>
      </c>
      <c r="O5568" t="b">
        <v>1</v>
      </c>
      <c r="P5568">
        <v>0</v>
      </c>
      <c r="Q5568" t="str" cm="1">
        <f t="array" ref="Q5568">_xlfn.IFS(Table1[[#This Row],[Wealthier_Winner]]=-1,"Wealthier Nation Loses",Table1[[#This Row],[Wealthier_Winner]]=0,"Tie",Table1[[#This Row],[Wealthier_Winner]]=1,"Wealthier Nation Wins")</f>
        <v>Tie</v>
      </c>
    </row>
    <row r="5569" spans="1:17" x14ac:dyDescent="0.2">
      <c r="A5569" s="1">
        <v>8085</v>
      </c>
      <c r="B5569" s="2">
        <v>44280</v>
      </c>
      <c r="C5569" s="7">
        <f>_xlfn.FLOOR.MATH(Table1[[#This Row],[year]],10)</f>
        <v>2020</v>
      </c>
      <c r="D5569" t="s">
        <v>25</v>
      </c>
      <c r="E5569" t="s">
        <v>534</v>
      </c>
      <c r="F5569">
        <v>1</v>
      </c>
      <c r="G5569">
        <v>0</v>
      </c>
      <c r="H5569" t="s">
        <v>224</v>
      </c>
      <c r="I5569" t="s">
        <v>838</v>
      </c>
      <c r="J5569" t="s">
        <v>25</v>
      </c>
      <c r="K5569" t="b">
        <v>0</v>
      </c>
      <c r="L5569">
        <v>2021</v>
      </c>
      <c r="M5569">
        <v>631693331300</v>
      </c>
      <c r="N5569">
        <v>18853115588</v>
      </c>
      <c r="O5569" t="b">
        <v>1</v>
      </c>
      <c r="P5569">
        <v>1</v>
      </c>
      <c r="Q5569" t="str" cm="1">
        <f t="array" ref="Q5569">_xlfn.IFS(Table1[[#This Row],[Wealthier_Winner]]=-1,"Wealthier Nation Loses",Table1[[#This Row],[Wealthier_Winner]]=0,"Tie",Table1[[#This Row],[Wealthier_Winner]]=1,"Wealthier Nation Wins")</f>
        <v>Wealthier Nation Wins</v>
      </c>
    </row>
    <row r="5570" spans="1:17" x14ac:dyDescent="0.2">
      <c r="A5570" s="1">
        <v>8086</v>
      </c>
      <c r="B5570" s="2">
        <v>44280</v>
      </c>
      <c r="C5570" s="7">
        <f>_xlfn.FLOOR.MATH(Table1[[#This Row],[year]],10)</f>
        <v>2020</v>
      </c>
      <c r="D5570" t="s">
        <v>33</v>
      </c>
      <c r="E5570" t="s">
        <v>46</v>
      </c>
      <c r="F5570">
        <v>1</v>
      </c>
      <c r="G5570">
        <v>3</v>
      </c>
      <c r="H5570" t="s">
        <v>224</v>
      </c>
      <c r="I5570" t="s">
        <v>375</v>
      </c>
      <c r="J5570" t="s">
        <v>33</v>
      </c>
      <c r="K5570" t="b">
        <v>0</v>
      </c>
      <c r="L5570">
        <v>2021</v>
      </c>
      <c r="M5570">
        <v>84374613233</v>
      </c>
      <c r="N5570">
        <v>815309330986</v>
      </c>
      <c r="O5570" t="b">
        <v>1</v>
      </c>
      <c r="P5570">
        <v>1</v>
      </c>
      <c r="Q5570" t="str" cm="1">
        <f t="array" ref="Q5570">_xlfn.IFS(Table1[[#This Row],[Wealthier_Winner]]=-1,"Wealthier Nation Loses",Table1[[#This Row],[Wealthier_Winner]]=0,"Tie",Table1[[#This Row],[Wealthier_Winner]]=1,"Wealthier Nation Wins")</f>
        <v>Wealthier Nation Wins</v>
      </c>
    </row>
    <row r="5571" spans="1:17" x14ac:dyDescent="0.2">
      <c r="A5571" s="1">
        <v>8088</v>
      </c>
      <c r="B5571" s="2">
        <v>44280</v>
      </c>
      <c r="C5571" s="7">
        <f>_xlfn.FLOOR.MATH(Table1[[#This Row],[year]],10)</f>
        <v>2020</v>
      </c>
      <c r="D5571" t="s">
        <v>22</v>
      </c>
      <c r="E5571" t="s">
        <v>36</v>
      </c>
      <c r="F5571">
        <v>0</v>
      </c>
      <c r="G5571">
        <v>2</v>
      </c>
      <c r="H5571" t="s">
        <v>224</v>
      </c>
      <c r="I5571" t="s">
        <v>839</v>
      </c>
      <c r="J5571" t="s">
        <v>22</v>
      </c>
      <c r="K5571" t="b">
        <v>0</v>
      </c>
      <c r="L5571">
        <v>2021</v>
      </c>
      <c r="M5571">
        <v>489851549972</v>
      </c>
      <c r="N5571">
        <v>406110162088</v>
      </c>
      <c r="O5571" t="b">
        <v>0</v>
      </c>
      <c r="P5571">
        <v>-1</v>
      </c>
      <c r="Q5571" t="str" cm="1">
        <f t="array" ref="Q5571">_xlfn.IFS(Table1[[#This Row],[Wealthier_Winner]]=-1,"Wealthier Nation Loses",Table1[[#This Row],[Wealthier_Winner]]=0,"Tie",Table1[[#This Row],[Wealthier_Winner]]=1,"Wealthier Nation Wins")</f>
        <v>Wealthier Nation Loses</v>
      </c>
    </row>
    <row r="5572" spans="1:17" x14ac:dyDescent="0.2">
      <c r="A5572" s="1">
        <v>8090</v>
      </c>
      <c r="B5572" s="2">
        <v>44280</v>
      </c>
      <c r="C5572" s="7">
        <f>_xlfn.FLOOR.MATH(Table1[[#This Row],[year]],10)</f>
        <v>2020</v>
      </c>
      <c r="D5572" t="s">
        <v>527</v>
      </c>
      <c r="E5572" t="s">
        <v>447</v>
      </c>
      <c r="F5572">
        <v>1</v>
      </c>
      <c r="G5572">
        <v>1</v>
      </c>
      <c r="H5572" t="s">
        <v>224</v>
      </c>
      <c r="I5572" t="s">
        <v>528</v>
      </c>
      <c r="J5572" t="s">
        <v>527</v>
      </c>
      <c r="K5572" t="b">
        <v>0</v>
      </c>
      <c r="L5572">
        <v>2021</v>
      </c>
      <c r="M5572">
        <v>13691869264</v>
      </c>
      <c r="N5572">
        <v>3699551717</v>
      </c>
      <c r="O5572" t="b">
        <v>1</v>
      </c>
      <c r="P5572">
        <v>0</v>
      </c>
      <c r="Q5572" t="str" cm="1">
        <f t="array" ref="Q5572">_xlfn.IFS(Table1[[#This Row],[Wealthier_Winner]]=-1,"Wealthier Nation Loses",Table1[[#This Row],[Wealthier_Winner]]=0,"Tie",Table1[[#This Row],[Wealthier_Winner]]=1,"Wealthier Nation Wins")</f>
        <v>Tie</v>
      </c>
    </row>
    <row r="5573" spans="1:17" x14ac:dyDescent="0.2">
      <c r="A5573" s="1">
        <v>8091</v>
      </c>
      <c r="B5573" s="2">
        <v>44280</v>
      </c>
      <c r="C5573" s="7">
        <f>_xlfn.FLOOR.MATH(Table1[[#This Row],[year]],10)</f>
        <v>2020</v>
      </c>
      <c r="D5573" t="s">
        <v>194</v>
      </c>
      <c r="E5573" t="s">
        <v>549</v>
      </c>
      <c r="F5573">
        <v>5</v>
      </c>
      <c r="G5573">
        <v>0</v>
      </c>
      <c r="H5573" t="s">
        <v>224</v>
      </c>
      <c r="I5573" t="s">
        <v>80</v>
      </c>
      <c r="J5573" t="s">
        <v>194</v>
      </c>
      <c r="K5573" t="b">
        <v>0</v>
      </c>
      <c r="L5573">
        <v>2021</v>
      </c>
      <c r="M5573">
        <v>3194559188925</v>
      </c>
      <c r="N5573">
        <v>1855652786</v>
      </c>
      <c r="O5573" t="b">
        <v>1</v>
      </c>
      <c r="P5573">
        <v>1</v>
      </c>
      <c r="Q5573" t="str" cm="1">
        <f t="array" ref="Q5573">_xlfn.IFS(Table1[[#This Row],[Wealthier_Winner]]=-1,"Wealthier Nation Loses",Table1[[#This Row],[Wealthier_Winner]]=0,"Tie",Table1[[#This Row],[Wealthier_Winner]]=1,"Wealthier Nation Wins")</f>
        <v>Wealthier Nation Wins</v>
      </c>
    </row>
    <row r="5574" spans="1:17" x14ac:dyDescent="0.2">
      <c r="A5574" s="1">
        <v>8092</v>
      </c>
      <c r="B5574" s="2">
        <v>44280</v>
      </c>
      <c r="C5574" s="7">
        <f>_xlfn.FLOOR.MATH(Table1[[#This Row],[year]],10)</f>
        <v>2020</v>
      </c>
      <c r="D5574" t="s">
        <v>601</v>
      </c>
      <c r="E5574" t="s">
        <v>373</v>
      </c>
      <c r="F5574">
        <v>0</v>
      </c>
      <c r="G5574">
        <v>1</v>
      </c>
      <c r="H5574" t="s">
        <v>224</v>
      </c>
      <c r="I5574" t="s">
        <v>840</v>
      </c>
      <c r="J5574" t="s">
        <v>601</v>
      </c>
      <c r="K5574" t="b">
        <v>0</v>
      </c>
      <c r="L5574">
        <v>2021</v>
      </c>
      <c r="M5574">
        <v>3324648075</v>
      </c>
      <c r="N5574">
        <v>18031989573</v>
      </c>
      <c r="O5574" t="b">
        <v>1</v>
      </c>
      <c r="P5574">
        <v>1</v>
      </c>
      <c r="Q5574" t="str" cm="1">
        <f t="array" ref="Q5574">_xlfn.IFS(Table1[[#This Row],[Wealthier_Winner]]=-1,"Wealthier Nation Loses",Table1[[#This Row],[Wealthier_Winner]]=0,"Tie",Table1[[#This Row],[Wealthier_Winner]]=1,"Wealthier Nation Wins")</f>
        <v>Wealthier Nation Wins</v>
      </c>
    </row>
    <row r="5575" spans="1:17" x14ac:dyDescent="0.2">
      <c r="A5575" s="1">
        <v>8093</v>
      </c>
      <c r="B5575" s="2">
        <v>44280</v>
      </c>
      <c r="C5575" s="7">
        <f>_xlfn.FLOOR.MATH(Table1[[#This Row],[year]],10)</f>
        <v>2020</v>
      </c>
      <c r="D5575" t="s">
        <v>30</v>
      </c>
      <c r="E5575" t="s">
        <v>58</v>
      </c>
      <c r="F5575">
        <v>3</v>
      </c>
      <c r="G5575">
        <v>3</v>
      </c>
      <c r="H5575" t="s">
        <v>224</v>
      </c>
      <c r="I5575" t="s">
        <v>297</v>
      </c>
      <c r="J5575" t="s">
        <v>30</v>
      </c>
      <c r="K5575" t="b">
        <v>0</v>
      </c>
      <c r="L5575">
        <v>2021</v>
      </c>
      <c r="M5575">
        <v>183282685440</v>
      </c>
      <c r="N5575">
        <v>689170230665</v>
      </c>
      <c r="O5575" t="b">
        <v>1</v>
      </c>
      <c r="P5575">
        <v>0</v>
      </c>
      <c r="Q5575" t="str" cm="1">
        <f t="array" ref="Q5575">_xlfn.IFS(Table1[[#This Row],[Wealthier_Winner]]=-1,"Wealthier Nation Loses",Table1[[#This Row],[Wealthier_Winner]]=0,"Tie",Table1[[#This Row],[Wealthier_Winner]]=1,"Wealthier Nation Wins")</f>
        <v>Tie</v>
      </c>
    </row>
    <row r="5576" spans="1:17" x14ac:dyDescent="0.2">
      <c r="A5576" s="1">
        <v>8094</v>
      </c>
      <c r="B5576" s="2">
        <v>44280</v>
      </c>
      <c r="C5576" s="7">
        <f>_xlfn.FLOOR.MATH(Table1[[#This Row],[year]],10)</f>
        <v>2020</v>
      </c>
      <c r="D5576" t="s">
        <v>16</v>
      </c>
      <c r="E5576" t="s">
        <v>66</v>
      </c>
      <c r="F5576">
        <v>3</v>
      </c>
      <c r="G5576">
        <v>0</v>
      </c>
      <c r="H5576" t="s">
        <v>224</v>
      </c>
      <c r="I5576" t="s">
        <v>841</v>
      </c>
      <c r="J5576" t="s">
        <v>16</v>
      </c>
      <c r="K5576" t="b">
        <v>0</v>
      </c>
      <c r="L5576">
        <v>2021</v>
      </c>
      <c r="M5576">
        <v>4355251953410</v>
      </c>
      <c r="N5576">
        <v>26234872402</v>
      </c>
      <c r="O5576" t="b">
        <v>1</v>
      </c>
      <c r="P5576">
        <v>1</v>
      </c>
      <c r="Q5576" t="str" cm="1">
        <f t="array" ref="Q5576">_xlfn.IFS(Table1[[#This Row],[Wealthier_Winner]]=-1,"Wealthier Nation Loses",Table1[[#This Row],[Wealthier_Winner]]=0,"Tie",Table1[[#This Row],[Wealthier_Winner]]=1,"Wealthier Nation Wins")</f>
        <v>Wealthier Nation Wins</v>
      </c>
    </row>
    <row r="5577" spans="1:17" x14ac:dyDescent="0.2">
      <c r="A5577" s="1">
        <v>8095</v>
      </c>
      <c r="B5577" s="2">
        <v>44280</v>
      </c>
      <c r="C5577" s="7">
        <f>_xlfn.FLOOR.MATH(Table1[[#This Row],[year]],10)</f>
        <v>2020</v>
      </c>
      <c r="D5577" t="s">
        <v>503</v>
      </c>
      <c r="E5577" t="s">
        <v>519</v>
      </c>
      <c r="F5577">
        <v>0</v>
      </c>
      <c r="G5577">
        <v>1</v>
      </c>
      <c r="H5577" t="s">
        <v>224</v>
      </c>
      <c r="I5577" t="s">
        <v>603</v>
      </c>
      <c r="J5577" t="s">
        <v>503</v>
      </c>
      <c r="K5577" t="b">
        <v>0</v>
      </c>
      <c r="L5577">
        <v>2021</v>
      </c>
      <c r="M5577">
        <v>7912602342</v>
      </c>
      <c r="N5577">
        <v>13878908628</v>
      </c>
      <c r="O5577" t="b">
        <v>0</v>
      </c>
      <c r="P5577">
        <v>1</v>
      </c>
      <c r="Q5577" t="str" cm="1">
        <f t="array" ref="Q5577">_xlfn.IFS(Table1[[#This Row],[Wealthier_Winner]]=-1,"Wealthier Nation Loses",Table1[[#This Row],[Wealthier_Winner]]=0,"Tie",Table1[[#This Row],[Wealthier_Winner]]=1,"Wealthier Nation Wins")</f>
        <v>Wealthier Nation Wins</v>
      </c>
    </row>
    <row r="5578" spans="1:17" x14ac:dyDescent="0.2">
      <c r="A5578" s="1">
        <v>8096</v>
      </c>
      <c r="B5578" s="2">
        <v>44280</v>
      </c>
      <c r="C5578" s="7">
        <f>_xlfn.FLOOR.MATH(Table1[[#This Row],[year]],10)</f>
        <v>2020</v>
      </c>
      <c r="D5578" t="s">
        <v>44</v>
      </c>
      <c r="E5578" t="s">
        <v>502</v>
      </c>
      <c r="F5578">
        <v>3</v>
      </c>
      <c r="G5578">
        <v>2</v>
      </c>
      <c r="H5578" t="s">
        <v>224</v>
      </c>
      <c r="I5578" t="s">
        <v>425</v>
      </c>
      <c r="J5578" t="s">
        <v>44</v>
      </c>
      <c r="K5578" t="b">
        <v>0</v>
      </c>
      <c r="L5578">
        <v>2021</v>
      </c>
      <c r="M5578">
        <v>285071280114</v>
      </c>
      <c r="N5578">
        <v>14000283827</v>
      </c>
      <c r="O5578" t="b">
        <v>1</v>
      </c>
      <c r="P5578">
        <v>1</v>
      </c>
      <c r="Q5578" t="str" cm="1">
        <f t="array" ref="Q5578">_xlfn.IFS(Table1[[#This Row],[Wealthier_Winner]]=-1,"Wealthier Nation Loses",Table1[[#This Row],[Wealthier_Winner]]=0,"Tie",Table1[[#This Row],[Wealthier_Winner]]=1,"Wealthier Nation Wins")</f>
        <v>Wealthier Nation Wins</v>
      </c>
    </row>
    <row r="5579" spans="1:17" x14ac:dyDescent="0.2">
      <c r="A5579" s="1">
        <v>8097</v>
      </c>
      <c r="B5579" s="2">
        <v>44280</v>
      </c>
      <c r="C5579" s="7">
        <f>_xlfn.FLOOR.MATH(Table1[[#This Row],[year]],10)</f>
        <v>2020</v>
      </c>
      <c r="D5579" t="s">
        <v>556</v>
      </c>
      <c r="E5579" t="s">
        <v>611</v>
      </c>
      <c r="F5579">
        <v>3</v>
      </c>
      <c r="G5579">
        <v>0</v>
      </c>
      <c r="H5579" t="s">
        <v>224</v>
      </c>
      <c r="I5579" t="s">
        <v>557</v>
      </c>
      <c r="J5579" t="s">
        <v>556</v>
      </c>
      <c r="K5579" t="b">
        <v>0</v>
      </c>
      <c r="L5579">
        <v>2021</v>
      </c>
      <c r="M5579">
        <v>8937805347</v>
      </c>
      <c r="N5579">
        <v>15286441737</v>
      </c>
      <c r="O5579" t="b">
        <v>0</v>
      </c>
      <c r="P5579">
        <v>-1</v>
      </c>
      <c r="Q5579" t="str" cm="1">
        <f t="array" ref="Q5579">_xlfn.IFS(Table1[[#This Row],[Wealthier_Winner]]=-1,"Wealthier Nation Loses",Table1[[#This Row],[Wealthier_Winner]]=0,"Tie",Table1[[#This Row],[Wealthier_Winner]]=1,"Wealthier Nation Wins")</f>
        <v>Wealthier Nation Loses</v>
      </c>
    </row>
    <row r="5580" spans="1:17" x14ac:dyDescent="0.2">
      <c r="A5580" s="1">
        <v>8098</v>
      </c>
      <c r="B5580" s="2">
        <v>44282</v>
      </c>
      <c r="C5580" s="7">
        <f>_xlfn.FLOOR.MATH(Table1[[#This Row],[year]],10)</f>
        <v>2020</v>
      </c>
      <c r="D5580" t="s">
        <v>692</v>
      </c>
      <c r="E5580" t="s">
        <v>449</v>
      </c>
      <c r="F5580">
        <v>0</v>
      </c>
      <c r="G5580">
        <v>3</v>
      </c>
      <c r="H5580" t="s">
        <v>224</v>
      </c>
      <c r="I5580" t="s">
        <v>842</v>
      </c>
      <c r="J5580" t="s">
        <v>692</v>
      </c>
      <c r="K5580" t="b">
        <v>0</v>
      </c>
      <c r="L5580">
        <v>2021</v>
      </c>
      <c r="M5580">
        <v>4507000000</v>
      </c>
      <c r="N5580">
        <v>1602125925</v>
      </c>
      <c r="O5580" t="b">
        <v>1</v>
      </c>
      <c r="P5580">
        <v>-1</v>
      </c>
      <c r="Q5580" t="str" cm="1">
        <f t="array" ref="Q5580">_xlfn.IFS(Table1[[#This Row],[Wealthier_Winner]]=-1,"Wealthier Nation Loses",Table1[[#This Row],[Wealthier_Winner]]=0,"Tie",Table1[[#This Row],[Wealthier_Winner]]=1,"Wealthier Nation Wins")</f>
        <v>Wealthier Nation Loses</v>
      </c>
    </row>
    <row r="5581" spans="1:17" x14ac:dyDescent="0.2">
      <c r="A5581" s="1">
        <v>8099</v>
      </c>
      <c r="B5581" s="2">
        <v>44282</v>
      </c>
      <c r="C5581" s="7">
        <f>_xlfn.FLOOR.MATH(Table1[[#This Row],[year]],10)</f>
        <v>2020</v>
      </c>
      <c r="D5581" t="s">
        <v>497</v>
      </c>
      <c r="E5581" t="s">
        <v>252</v>
      </c>
      <c r="F5581">
        <v>0</v>
      </c>
      <c r="G5581">
        <v>6</v>
      </c>
      <c r="H5581" t="s">
        <v>224</v>
      </c>
      <c r="I5581" t="s">
        <v>843</v>
      </c>
      <c r="J5581" t="s">
        <v>41</v>
      </c>
      <c r="K5581" t="b">
        <v>1</v>
      </c>
      <c r="L5581">
        <v>2021</v>
      </c>
      <c r="M5581">
        <v>2880902798</v>
      </c>
      <c r="N5581">
        <v>3107923197</v>
      </c>
      <c r="O5581" t="b">
        <v>0</v>
      </c>
      <c r="P5581">
        <v>1</v>
      </c>
      <c r="Q5581" t="str" cm="1">
        <f t="array" ref="Q5581">_xlfn.IFS(Table1[[#This Row],[Wealthier_Winner]]=-1,"Wealthier Nation Loses",Table1[[#This Row],[Wealthier_Winner]]=0,"Tie",Table1[[#This Row],[Wealthier_Winner]]=1,"Wealthier Nation Wins")</f>
        <v>Wealthier Nation Wins</v>
      </c>
    </row>
    <row r="5582" spans="1:17" x14ac:dyDescent="0.2">
      <c r="A5582" s="1">
        <v>8102</v>
      </c>
      <c r="B5582" s="2">
        <v>44282</v>
      </c>
      <c r="C5582" s="7">
        <f>_xlfn.FLOOR.MATH(Table1[[#This Row],[year]],10)</f>
        <v>2020</v>
      </c>
      <c r="D5582" t="s">
        <v>645</v>
      </c>
      <c r="E5582" t="s">
        <v>453</v>
      </c>
      <c r="F5582">
        <v>0</v>
      </c>
      <c r="G5582">
        <v>7</v>
      </c>
      <c r="H5582" t="s">
        <v>224</v>
      </c>
      <c r="I5582" t="s">
        <v>416</v>
      </c>
      <c r="J5582" t="s">
        <v>496</v>
      </c>
      <c r="K5582" t="b">
        <v>1</v>
      </c>
      <c r="L5582">
        <v>2021</v>
      </c>
      <c r="M5582">
        <v>1236459000</v>
      </c>
      <c r="N5582">
        <v>14209020361</v>
      </c>
      <c r="O5582" t="b">
        <v>1</v>
      </c>
      <c r="P5582">
        <v>1</v>
      </c>
      <c r="Q5582" t="str" cm="1">
        <f t="array" ref="Q5582">_xlfn.IFS(Table1[[#This Row],[Wealthier_Winner]]=-1,"Wealthier Nation Loses",Table1[[#This Row],[Wealthier_Winner]]=0,"Tie",Table1[[#This Row],[Wealthier_Winner]]=1,"Wealthier Nation Wins")</f>
        <v>Wealthier Nation Wins</v>
      </c>
    </row>
    <row r="5583" spans="1:17" x14ac:dyDescent="0.2">
      <c r="A5583" s="1">
        <v>8105</v>
      </c>
      <c r="B5583" s="2">
        <v>44282</v>
      </c>
      <c r="C5583" s="7">
        <f>_xlfn.FLOOR.MATH(Table1[[#This Row],[year]],10)</f>
        <v>2020</v>
      </c>
      <c r="D5583" t="s">
        <v>61</v>
      </c>
      <c r="E5583" t="s">
        <v>38</v>
      </c>
      <c r="F5583">
        <v>2</v>
      </c>
      <c r="G5583">
        <v>2</v>
      </c>
      <c r="H5583" t="s">
        <v>224</v>
      </c>
      <c r="I5583" t="s">
        <v>505</v>
      </c>
      <c r="J5583" t="s">
        <v>61</v>
      </c>
      <c r="K5583" t="b">
        <v>0</v>
      </c>
      <c r="L5583">
        <v>2021</v>
      </c>
      <c r="M5583">
        <v>66159884072</v>
      </c>
      <c r="N5583">
        <v>256055879091</v>
      </c>
      <c r="O5583" t="b">
        <v>1</v>
      </c>
      <c r="P5583">
        <v>0</v>
      </c>
      <c r="Q5583" t="str" cm="1">
        <f t="array" ref="Q5583">_xlfn.IFS(Table1[[#This Row],[Wealthier_Winner]]=-1,"Wealthier Nation Loses",Table1[[#This Row],[Wealthier_Winner]]=0,"Tie",Table1[[#This Row],[Wealthier_Winner]]=1,"Wealthier Nation Wins")</f>
        <v>Tie</v>
      </c>
    </row>
    <row r="5584" spans="1:17" x14ac:dyDescent="0.2">
      <c r="A5584" s="1">
        <v>8106</v>
      </c>
      <c r="B5584" s="2">
        <v>44282</v>
      </c>
      <c r="C5584" s="7">
        <f>_xlfn.FLOOR.MATH(Table1[[#This Row],[year]],10)</f>
        <v>2020</v>
      </c>
      <c r="D5584" t="s">
        <v>510</v>
      </c>
      <c r="E5584" t="s">
        <v>476</v>
      </c>
      <c r="F5584">
        <v>4</v>
      </c>
      <c r="G5584">
        <v>2</v>
      </c>
      <c r="H5584" t="s">
        <v>224</v>
      </c>
      <c r="I5584" t="s">
        <v>522</v>
      </c>
      <c r="J5584" t="s">
        <v>510</v>
      </c>
      <c r="K5584" t="b">
        <v>0</v>
      </c>
      <c r="L5584">
        <v>2021</v>
      </c>
      <c r="M5584">
        <v>69673747131</v>
      </c>
      <c r="N5584">
        <v>37201101170</v>
      </c>
      <c r="O5584" t="b">
        <v>0</v>
      </c>
      <c r="P5584">
        <v>1</v>
      </c>
      <c r="Q5584" t="str" cm="1">
        <f t="array" ref="Q5584">_xlfn.IFS(Table1[[#This Row],[Wealthier_Winner]]=-1,"Wealthier Nation Loses",Table1[[#This Row],[Wealthier_Winner]]=0,"Tie",Table1[[#This Row],[Wealthier_Winner]]=1,"Wealthier Nation Wins")</f>
        <v>Wealthier Nation Wins</v>
      </c>
    </row>
    <row r="5585" spans="1:17" x14ac:dyDescent="0.2">
      <c r="A5585" s="1">
        <v>8109</v>
      </c>
      <c r="B5585" s="2">
        <v>44282</v>
      </c>
      <c r="C5585" s="7">
        <f>_xlfn.FLOOR.MATH(Table1[[#This Row],[year]],10)</f>
        <v>2020</v>
      </c>
      <c r="D5585" t="s">
        <v>27</v>
      </c>
      <c r="E5585" t="s">
        <v>525</v>
      </c>
      <c r="F5585">
        <v>2</v>
      </c>
      <c r="G5585">
        <v>0</v>
      </c>
      <c r="H5585" t="s">
        <v>224</v>
      </c>
      <c r="I5585" t="s">
        <v>263</v>
      </c>
      <c r="J5585" t="s">
        <v>27</v>
      </c>
      <c r="K5585" t="b">
        <v>0</v>
      </c>
      <c r="L5585">
        <v>2021</v>
      </c>
      <c r="M5585">
        <v>1054472123449</v>
      </c>
      <c r="N5585">
        <v>38183326784</v>
      </c>
      <c r="O5585" t="b">
        <v>1</v>
      </c>
      <c r="P5585">
        <v>1</v>
      </c>
      <c r="Q5585" t="str" cm="1">
        <f t="array" ref="Q5585">_xlfn.IFS(Table1[[#This Row],[Wealthier_Winner]]=-1,"Wealthier Nation Loses",Table1[[#This Row],[Wealthier_Winner]]=0,"Tie",Table1[[#This Row],[Wealthier_Winner]]=1,"Wealthier Nation Wins")</f>
        <v>Wealthier Nation Wins</v>
      </c>
    </row>
    <row r="5586" spans="1:17" x14ac:dyDescent="0.2">
      <c r="A5586" s="1">
        <v>8111</v>
      </c>
      <c r="B5586" s="2">
        <v>44282</v>
      </c>
      <c r="C5586" s="7">
        <f>_xlfn.FLOOR.MATH(Table1[[#This Row],[year]],10)</f>
        <v>2020</v>
      </c>
      <c r="D5586" t="s">
        <v>196</v>
      </c>
      <c r="E5586" t="s">
        <v>55</v>
      </c>
      <c r="F5586">
        <v>2</v>
      </c>
      <c r="G5586">
        <v>1</v>
      </c>
      <c r="H5586" t="s">
        <v>224</v>
      </c>
      <c r="I5586" t="s">
        <v>178</v>
      </c>
      <c r="J5586" t="s">
        <v>196</v>
      </c>
      <c r="K5586" t="b">
        <v>0</v>
      </c>
      <c r="L5586">
        <v>2021</v>
      </c>
      <c r="M5586">
        <v>1829186719575</v>
      </c>
      <c r="N5586">
        <v>61540813361</v>
      </c>
      <c r="O5586" t="b">
        <v>1</v>
      </c>
      <c r="P5586">
        <v>1</v>
      </c>
      <c r="Q5586" t="str" cm="1">
        <f t="array" ref="Q5586">_xlfn.IFS(Table1[[#This Row],[Wealthier_Winner]]=-1,"Wealthier Nation Loses",Table1[[#This Row],[Wealthier_Winner]]=0,"Tie",Table1[[#This Row],[Wealthier_Winner]]=1,"Wealthier Nation Wins")</f>
        <v>Wealthier Nation Wins</v>
      </c>
    </row>
    <row r="5587" spans="1:17" x14ac:dyDescent="0.2">
      <c r="A5587" s="1">
        <v>8112</v>
      </c>
      <c r="B5587" s="2">
        <v>44282</v>
      </c>
      <c r="C5587" s="7">
        <f>_xlfn.FLOOR.MATH(Table1[[#This Row],[year]],10)</f>
        <v>2020</v>
      </c>
      <c r="D5587" t="s">
        <v>52</v>
      </c>
      <c r="E5587" t="s">
        <v>351</v>
      </c>
      <c r="F5587">
        <v>1</v>
      </c>
      <c r="G5587">
        <v>0</v>
      </c>
      <c r="H5587" t="s">
        <v>224</v>
      </c>
      <c r="I5587" t="s">
        <v>825</v>
      </c>
      <c r="J5587" t="s">
        <v>52</v>
      </c>
      <c r="K5587" t="b">
        <v>0</v>
      </c>
      <c r="L5587">
        <v>2021</v>
      </c>
      <c r="M5587">
        <v>69002365163</v>
      </c>
      <c r="N5587">
        <v>30372642502</v>
      </c>
      <c r="O5587" t="b">
        <v>1</v>
      </c>
      <c r="P5587">
        <v>1</v>
      </c>
      <c r="Q5587" t="str" cm="1">
        <f t="array" ref="Q5587">_xlfn.IFS(Table1[[#This Row],[Wealthier_Winner]]=-1,"Wealthier Nation Loses",Table1[[#This Row],[Wealthier_Winner]]=0,"Tie",Table1[[#This Row],[Wealthier_Winner]]=1,"Wealthier Nation Wins")</f>
        <v>Wealthier Nation Wins</v>
      </c>
    </row>
    <row r="5588" spans="1:17" x14ac:dyDescent="0.2">
      <c r="A5588" s="1">
        <v>8116</v>
      </c>
      <c r="B5588" s="2">
        <v>44283</v>
      </c>
      <c r="C5588" s="7">
        <f>_xlfn.FLOOR.MATH(Table1[[#This Row],[year]],10)</f>
        <v>2020</v>
      </c>
      <c r="D5588" t="s">
        <v>494</v>
      </c>
      <c r="E5588" t="s">
        <v>67</v>
      </c>
      <c r="F5588">
        <v>1</v>
      </c>
      <c r="G5588">
        <v>2</v>
      </c>
      <c r="H5588" t="s">
        <v>224</v>
      </c>
      <c r="I5588" t="s">
        <v>498</v>
      </c>
      <c r="J5588" t="s">
        <v>496</v>
      </c>
      <c r="K5588" t="b">
        <v>1</v>
      </c>
      <c r="L5588">
        <v>2021</v>
      </c>
      <c r="M5588">
        <v>562911111</v>
      </c>
      <c r="N5588">
        <v>67396392506</v>
      </c>
      <c r="O5588" t="b">
        <v>1</v>
      </c>
      <c r="P5588">
        <v>1</v>
      </c>
      <c r="Q5588" t="str" cm="1">
        <f t="array" ref="Q5588">_xlfn.IFS(Table1[[#This Row],[Wealthier_Winner]]=-1,"Wealthier Nation Loses",Table1[[#This Row],[Wealthier_Winner]]=0,"Tie",Table1[[#This Row],[Wealthier_Winner]]=1,"Wealthier Nation Wins")</f>
        <v>Wealthier Nation Wins</v>
      </c>
    </row>
    <row r="5589" spans="1:17" x14ac:dyDescent="0.2">
      <c r="A5589" s="1">
        <v>8118</v>
      </c>
      <c r="B5589" s="2">
        <v>44283</v>
      </c>
      <c r="C5589" s="7">
        <f>_xlfn.FLOOR.MATH(Table1[[#This Row],[year]],10)</f>
        <v>2020</v>
      </c>
      <c r="D5589" t="s">
        <v>534</v>
      </c>
      <c r="E5589" t="s">
        <v>21</v>
      </c>
      <c r="F5589">
        <v>1</v>
      </c>
      <c r="G5589">
        <v>2</v>
      </c>
      <c r="H5589" t="s">
        <v>224</v>
      </c>
      <c r="I5589" t="s">
        <v>536</v>
      </c>
      <c r="J5589" t="s">
        <v>534</v>
      </c>
      <c r="K5589" t="b">
        <v>0</v>
      </c>
      <c r="L5589">
        <v>2021</v>
      </c>
      <c r="M5589">
        <v>18853115588</v>
      </c>
      <c r="N5589">
        <v>1461244901852</v>
      </c>
      <c r="O5589" t="b">
        <v>1</v>
      </c>
      <c r="P5589">
        <v>1</v>
      </c>
      <c r="Q5589" t="str" cm="1">
        <f t="array" ref="Q5589">_xlfn.IFS(Table1[[#This Row],[Wealthier_Winner]]=-1,"Wealthier Nation Loses",Table1[[#This Row],[Wealthier_Winner]]=0,"Tie",Table1[[#This Row],[Wealthier_Winner]]=1,"Wealthier Nation Wins")</f>
        <v>Wealthier Nation Wins</v>
      </c>
    </row>
    <row r="5590" spans="1:17" x14ac:dyDescent="0.2">
      <c r="A5590" s="1">
        <v>8119</v>
      </c>
      <c r="B5590" s="2">
        <v>44283</v>
      </c>
      <c r="C5590" s="7">
        <f>_xlfn.FLOOR.MATH(Table1[[#This Row],[year]],10)</f>
        <v>2020</v>
      </c>
      <c r="D5590" t="s">
        <v>803</v>
      </c>
      <c r="E5590" t="s">
        <v>25</v>
      </c>
      <c r="F5590">
        <v>0</v>
      </c>
      <c r="G5590">
        <v>3</v>
      </c>
      <c r="H5590" t="s">
        <v>224</v>
      </c>
      <c r="I5590" t="s">
        <v>844</v>
      </c>
      <c r="J5590" t="s">
        <v>803</v>
      </c>
      <c r="K5590" t="b">
        <v>0</v>
      </c>
      <c r="L5590">
        <v>2021</v>
      </c>
      <c r="M5590">
        <v>9413408574</v>
      </c>
      <c r="N5590">
        <v>631693331300</v>
      </c>
      <c r="O5590" t="b">
        <v>1</v>
      </c>
      <c r="P5590">
        <v>1</v>
      </c>
      <c r="Q5590" t="str" cm="1">
        <f t="array" ref="Q5590">_xlfn.IFS(Table1[[#This Row],[Wealthier_Winner]]=-1,"Wealthier Nation Loses",Table1[[#This Row],[Wealthier_Winner]]=0,"Tie",Table1[[#This Row],[Wealthier_Winner]]=1,"Wealthier Nation Wins")</f>
        <v>Wealthier Nation Wins</v>
      </c>
    </row>
    <row r="5591" spans="1:17" x14ac:dyDescent="0.2">
      <c r="A5591" s="1">
        <v>8120</v>
      </c>
      <c r="B5591" s="2">
        <v>44283</v>
      </c>
      <c r="C5591" s="7">
        <f>_xlfn.FLOOR.MATH(Table1[[#This Row],[year]],10)</f>
        <v>2020</v>
      </c>
      <c r="D5591" t="s">
        <v>46</v>
      </c>
      <c r="E5591" t="s">
        <v>523</v>
      </c>
      <c r="F5591">
        <v>1</v>
      </c>
      <c r="G5591">
        <v>0</v>
      </c>
      <c r="H5591" t="s">
        <v>224</v>
      </c>
      <c r="I5591" t="s">
        <v>442</v>
      </c>
      <c r="J5591" t="s">
        <v>46</v>
      </c>
      <c r="K5591" t="b">
        <v>0</v>
      </c>
      <c r="L5591">
        <v>2021</v>
      </c>
      <c r="M5591">
        <v>815309330986</v>
      </c>
      <c r="N5591">
        <v>67037321008</v>
      </c>
      <c r="O5591" t="b">
        <v>1</v>
      </c>
      <c r="P5591">
        <v>1</v>
      </c>
      <c r="Q5591" t="str" cm="1">
        <f t="array" ref="Q5591">_xlfn.IFS(Table1[[#This Row],[Wealthier_Winner]]=-1,"Wealthier Nation Loses",Table1[[#This Row],[Wealthier_Winner]]=0,"Tie",Table1[[#This Row],[Wealthier_Winner]]=1,"Wealthier Nation Wins")</f>
        <v>Wealthier Nation Wins</v>
      </c>
    </row>
    <row r="5592" spans="1:17" x14ac:dyDescent="0.2">
      <c r="A5592" s="1">
        <v>8121</v>
      </c>
      <c r="B5592" s="2">
        <v>44283</v>
      </c>
      <c r="C5592" s="7">
        <f>_xlfn.FLOOR.MATH(Table1[[#This Row],[year]],10)</f>
        <v>2020</v>
      </c>
      <c r="D5592" t="s">
        <v>33</v>
      </c>
      <c r="E5592" t="s">
        <v>18</v>
      </c>
      <c r="F5592">
        <v>0</v>
      </c>
      <c r="G5592">
        <v>2</v>
      </c>
      <c r="H5592" t="s">
        <v>224</v>
      </c>
      <c r="I5592" t="s">
        <v>375</v>
      </c>
      <c r="J5592" t="s">
        <v>33</v>
      </c>
      <c r="K5592" t="b">
        <v>0</v>
      </c>
      <c r="L5592">
        <v>2021</v>
      </c>
      <c r="M5592">
        <v>84374613233</v>
      </c>
      <c r="N5592">
        <v>2179207773596</v>
      </c>
      <c r="O5592" t="b">
        <v>1</v>
      </c>
      <c r="P5592">
        <v>1</v>
      </c>
      <c r="Q5592" t="str" cm="1">
        <f t="array" ref="Q5592">_xlfn.IFS(Table1[[#This Row],[Wealthier_Winner]]=-1,"Wealthier Nation Loses",Table1[[#This Row],[Wealthier_Winner]]=0,"Tie",Table1[[#This Row],[Wealthier_Winner]]=1,"Wealthier Nation Wins")</f>
        <v>Wealthier Nation Wins</v>
      </c>
    </row>
    <row r="5593" spans="1:17" x14ac:dyDescent="0.2">
      <c r="A5593" s="1">
        <v>8122</v>
      </c>
      <c r="B5593" s="2">
        <v>44283</v>
      </c>
      <c r="C5593" s="7">
        <f>_xlfn.FLOOR.MATH(Table1[[#This Row],[year]],10)</f>
        <v>2020</v>
      </c>
      <c r="D5593" t="s">
        <v>558</v>
      </c>
      <c r="E5593" t="s">
        <v>20</v>
      </c>
      <c r="F5593">
        <v>0</v>
      </c>
      <c r="G5593">
        <v>2</v>
      </c>
      <c r="H5593" t="s">
        <v>224</v>
      </c>
      <c r="I5593" t="s">
        <v>845</v>
      </c>
      <c r="J5593" t="s">
        <v>558</v>
      </c>
      <c r="K5593" t="b">
        <v>0</v>
      </c>
      <c r="L5593">
        <v>2021</v>
      </c>
      <c r="M5593">
        <v>197112255360</v>
      </c>
      <c r="N5593">
        <v>2966433692008</v>
      </c>
      <c r="O5593" t="b">
        <v>1</v>
      </c>
      <c r="P5593">
        <v>1</v>
      </c>
      <c r="Q5593" t="str" cm="1">
        <f t="array" ref="Q5593">_xlfn.IFS(Table1[[#This Row],[Wealthier_Winner]]=-1,"Wealthier Nation Loses",Table1[[#This Row],[Wealthier_Winner]]=0,"Tie",Table1[[#This Row],[Wealthier_Winner]]=1,"Wealthier Nation Wins")</f>
        <v>Wealthier Nation Wins</v>
      </c>
    </row>
    <row r="5594" spans="1:17" x14ac:dyDescent="0.2">
      <c r="A5594" s="1">
        <v>8123</v>
      </c>
      <c r="B5594" s="2">
        <v>44283</v>
      </c>
      <c r="C5594" s="7">
        <f>_xlfn.FLOOR.MATH(Table1[[#This Row],[year]],10)</f>
        <v>2020</v>
      </c>
      <c r="D5594" t="s">
        <v>64</v>
      </c>
      <c r="E5594" t="s">
        <v>230</v>
      </c>
      <c r="F5594">
        <v>1</v>
      </c>
      <c r="G5594">
        <v>1</v>
      </c>
      <c r="H5594" t="s">
        <v>224</v>
      </c>
      <c r="I5594" t="s">
        <v>423</v>
      </c>
      <c r="J5594" t="s">
        <v>64</v>
      </c>
      <c r="K5594" t="b">
        <v>0</v>
      </c>
      <c r="L5594">
        <v>2021</v>
      </c>
      <c r="M5594">
        <v>199765859570</v>
      </c>
      <c r="N5594">
        <v>294223210496</v>
      </c>
      <c r="O5594" t="b">
        <v>0</v>
      </c>
      <c r="P5594">
        <v>0</v>
      </c>
      <c r="Q5594" t="str" cm="1">
        <f t="array" ref="Q5594">_xlfn.IFS(Table1[[#This Row],[Wealthier_Winner]]=-1,"Wealthier Nation Loses",Table1[[#This Row],[Wealthier_Winner]]=0,"Tie",Table1[[#This Row],[Wealthier_Winner]]=1,"Wealthier Nation Wins")</f>
        <v>Tie</v>
      </c>
    </row>
    <row r="5595" spans="1:17" x14ac:dyDescent="0.2">
      <c r="A5595" s="1">
        <v>8124</v>
      </c>
      <c r="B5595" s="2">
        <v>44283</v>
      </c>
      <c r="C5595" s="7">
        <f>_xlfn.FLOOR.MATH(Table1[[#This Row],[year]],10)</f>
        <v>2020</v>
      </c>
      <c r="D5595" t="s">
        <v>36</v>
      </c>
      <c r="E5595" t="s">
        <v>527</v>
      </c>
      <c r="F5595">
        <v>8</v>
      </c>
      <c r="G5595">
        <v>0</v>
      </c>
      <c r="H5595" t="s">
        <v>224</v>
      </c>
      <c r="I5595" t="s">
        <v>846</v>
      </c>
      <c r="J5595" t="s">
        <v>36</v>
      </c>
      <c r="K5595" t="b">
        <v>0</v>
      </c>
      <c r="L5595">
        <v>2021</v>
      </c>
      <c r="M5595">
        <v>406110162088</v>
      </c>
      <c r="N5595">
        <v>13691869264</v>
      </c>
      <c r="O5595" t="b">
        <v>1</v>
      </c>
      <c r="P5595">
        <v>1</v>
      </c>
      <c r="Q5595" t="str" cm="1">
        <f t="array" ref="Q5595">_xlfn.IFS(Table1[[#This Row],[Wealthier_Winner]]=-1,"Wealthier Nation Loses",Table1[[#This Row],[Wealthier_Winner]]=0,"Tie",Table1[[#This Row],[Wealthier_Winner]]=1,"Wealthier Nation Wins")</f>
        <v>Wealthier Nation Wins</v>
      </c>
    </row>
    <row r="5596" spans="1:17" x14ac:dyDescent="0.2">
      <c r="A5596" s="1">
        <v>8125</v>
      </c>
      <c r="B5596" s="2">
        <v>44283</v>
      </c>
      <c r="C5596" s="7">
        <f>_xlfn.FLOOR.MATH(Table1[[#This Row],[year]],10)</f>
        <v>2020</v>
      </c>
      <c r="D5596" t="s">
        <v>29</v>
      </c>
      <c r="E5596" t="s">
        <v>447</v>
      </c>
      <c r="F5596">
        <v>3</v>
      </c>
      <c r="G5596">
        <v>1</v>
      </c>
      <c r="H5596" t="s">
        <v>224</v>
      </c>
      <c r="I5596" t="s">
        <v>270</v>
      </c>
      <c r="J5596" t="s">
        <v>29</v>
      </c>
      <c r="K5596" t="b">
        <v>0</v>
      </c>
      <c r="L5596">
        <v>2021</v>
      </c>
      <c r="M5596">
        <v>480466363176</v>
      </c>
      <c r="N5596">
        <v>3699551717</v>
      </c>
      <c r="O5596" t="b">
        <v>1</v>
      </c>
      <c r="P5596">
        <v>1</v>
      </c>
      <c r="Q5596" t="str" cm="1">
        <f t="array" ref="Q5596">_xlfn.IFS(Table1[[#This Row],[Wealthier_Winner]]=-1,"Wealthier Nation Loses",Table1[[#This Row],[Wealthier_Winner]]=0,"Tie",Table1[[#This Row],[Wealthier_Winner]]=1,"Wealthier Nation Wins")</f>
        <v>Wealthier Nation Wins</v>
      </c>
    </row>
    <row r="5597" spans="1:17" x14ac:dyDescent="0.2">
      <c r="A5597" s="1">
        <v>8127</v>
      </c>
      <c r="B5597" s="2">
        <v>44283</v>
      </c>
      <c r="C5597" s="7">
        <f>_xlfn.FLOOR.MATH(Table1[[#This Row],[year]],10)</f>
        <v>2020</v>
      </c>
      <c r="D5597" t="s">
        <v>373</v>
      </c>
      <c r="E5597" t="s">
        <v>194</v>
      </c>
      <c r="F5597">
        <v>0</v>
      </c>
      <c r="G5597">
        <v>2</v>
      </c>
      <c r="H5597" t="s">
        <v>224</v>
      </c>
      <c r="I5597" t="s">
        <v>374</v>
      </c>
      <c r="J5597" t="s">
        <v>373</v>
      </c>
      <c r="K5597" t="b">
        <v>0</v>
      </c>
      <c r="L5597">
        <v>2021</v>
      </c>
      <c r="M5597">
        <v>18031989573</v>
      </c>
      <c r="N5597">
        <v>3194559188925</v>
      </c>
      <c r="O5597" t="b">
        <v>1</v>
      </c>
      <c r="P5597">
        <v>1</v>
      </c>
      <c r="Q5597" t="str" cm="1">
        <f t="array" ref="Q5597">_xlfn.IFS(Table1[[#This Row],[Wealthier_Winner]]=-1,"Wealthier Nation Loses",Table1[[#This Row],[Wealthier_Winner]]=0,"Tie",Table1[[#This Row],[Wealthier_Winner]]=1,"Wealthier Nation Wins")</f>
        <v>Wealthier Nation Wins</v>
      </c>
    </row>
    <row r="5598" spans="1:17" x14ac:dyDescent="0.2">
      <c r="A5598" s="1">
        <v>8128</v>
      </c>
      <c r="B5598" s="2">
        <v>44283</v>
      </c>
      <c r="C5598" s="7">
        <f>_xlfn.FLOOR.MATH(Table1[[#This Row],[year]],10)</f>
        <v>2020</v>
      </c>
      <c r="D5598" t="s">
        <v>58</v>
      </c>
      <c r="E5598" t="s">
        <v>601</v>
      </c>
      <c r="F5598">
        <v>3</v>
      </c>
      <c r="G5598">
        <v>0</v>
      </c>
      <c r="H5598" t="s">
        <v>224</v>
      </c>
      <c r="I5598" t="s">
        <v>619</v>
      </c>
      <c r="J5598" t="s">
        <v>58</v>
      </c>
      <c r="K5598" t="b">
        <v>0</v>
      </c>
      <c r="L5598">
        <v>2021</v>
      </c>
      <c r="M5598">
        <v>689170230665</v>
      </c>
      <c r="N5598">
        <v>3324648075</v>
      </c>
      <c r="O5598" t="b">
        <v>1</v>
      </c>
      <c r="P5598">
        <v>1</v>
      </c>
      <c r="Q5598" t="str" cm="1">
        <f t="array" ref="Q5598">_xlfn.IFS(Table1[[#This Row],[Wealthier_Winner]]=-1,"Wealthier Nation Loses",Table1[[#This Row],[Wealthier_Winner]]=0,"Tie",Table1[[#This Row],[Wealthier_Winner]]=1,"Wealthier Nation Wins")</f>
        <v>Wealthier Nation Wins</v>
      </c>
    </row>
    <row r="5599" spans="1:17" x14ac:dyDescent="0.2">
      <c r="A5599" s="1">
        <v>8129</v>
      </c>
      <c r="B5599" s="2">
        <v>44283</v>
      </c>
      <c r="C5599" s="7">
        <f>_xlfn.FLOOR.MATH(Table1[[#This Row],[year]],10)</f>
        <v>2020</v>
      </c>
      <c r="D5599" t="s">
        <v>549</v>
      </c>
      <c r="E5599" t="s">
        <v>30</v>
      </c>
      <c r="F5599">
        <v>0</v>
      </c>
      <c r="G5599">
        <v>3</v>
      </c>
      <c r="H5599" t="s">
        <v>224</v>
      </c>
      <c r="I5599" t="s">
        <v>555</v>
      </c>
      <c r="J5599" t="s">
        <v>549</v>
      </c>
      <c r="K5599" t="b">
        <v>0</v>
      </c>
      <c r="L5599">
        <v>2021</v>
      </c>
      <c r="M5599">
        <v>1855652786</v>
      </c>
      <c r="N5599">
        <v>183282685440</v>
      </c>
      <c r="O5599" t="b">
        <v>1</v>
      </c>
      <c r="P5599">
        <v>1</v>
      </c>
      <c r="Q5599" t="str" cm="1">
        <f t="array" ref="Q5599">_xlfn.IFS(Table1[[#This Row],[Wealthier_Winner]]=-1,"Wealthier Nation Loses",Table1[[#This Row],[Wealthier_Winner]]=0,"Tie",Table1[[#This Row],[Wealthier_Winner]]=1,"Wealthier Nation Wins")</f>
        <v>Wealthier Nation Wins</v>
      </c>
    </row>
    <row r="5600" spans="1:17" x14ac:dyDescent="0.2">
      <c r="A5600" s="1">
        <v>8130</v>
      </c>
      <c r="B5600" s="2">
        <v>44283</v>
      </c>
      <c r="C5600" s="7">
        <f>_xlfn.FLOOR.MATH(Table1[[#This Row],[year]],10)</f>
        <v>2020</v>
      </c>
      <c r="D5600" t="s">
        <v>519</v>
      </c>
      <c r="E5600" t="s">
        <v>66</v>
      </c>
      <c r="F5600">
        <v>2</v>
      </c>
      <c r="G5600">
        <v>0</v>
      </c>
      <c r="H5600" t="s">
        <v>224</v>
      </c>
      <c r="I5600" t="s">
        <v>520</v>
      </c>
      <c r="J5600" t="s">
        <v>519</v>
      </c>
      <c r="K5600" t="b">
        <v>0</v>
      </c>
      <c r="L5600">
        <v>2021</v>
      </c>
      <c r="M5600">
        <v>13878908628</v>
      </c>
      <c r="N5600">
        <v>26234872402</v>
      </c>
      <c r="O5600" t="b">
        <v>0</v>
      </c>
      <c r="P5600">
        <v>-1</v>
      </c>
      <c r="Q5600" t="str" cm="1">
        <f t="array" ref="Q5600">_xlfn.IFS(Table1[[#This Row],[Wealthier_Winner]]=-1,"Wealthier Nation Loses",Table1[[#This Row],[Wealthier_Winner]]=0,"Tie",Table1[[#This Row],[Wealthier_Winner]]=1,"Wealthier Nation Wins")</f>
        <v>Wealthier Nation Loses</v>
      </c>
    </row>
    <row r="5601" spans="1:17" x14ac:dyDescent="0.2">
      <c r="A5601" s="1">
        <v>8131</v>
      </c>
      <c r="B5601" s="2">
        <v>44283</v>
      </c>
      <c r="C5601" s="7">
        <f>_xlfn.FLOOR.MATH(Table1[[#This Row],[year]],10)</f>
        <v>2020</v>
      </c>
      <c r="D5601" t="s">
        <v>502</v>
      </c>
      <c r="E5601" t="s">
        <v>503</v>
      </c>
      <c r="F5601">
        <v>5</v>
      </c>
      <c r="G5601">
        <v>0</v>
      </c>
      <c r="H5601" t="s">
        <v>224</v>
      </c>
      <c r="I5601" t="s">
        <v>504</v>
      </c>
      <c r="J5601" t="s">
        <v>502</v>
      </c>
      <c r="K5601" t="b">
        <v>0</v>
      </c>
      <c r="L5601">
        <v>2021</v>
      </c>
      <c r="M5601">
        <v>14000283827</v>
      </c>
      <c r="N5601">
        <v>7912602342</v>
      </c>
      <c r="O5601" t="b">
        <v>0</v>
      </c>
      <c r="P5601">
        <v>1</v>
      </c>
      <c r="Q5601" t="str" cm="1">
        <f t="array" ref="Q5601">_xlfn.IFS(Table1[[#This Row],[Wealthier_Winner]]=-1,"Wealthier Nation Loses",Table1[[#This Row],[Wealthier_Winner]]=0,"Tie",Table1[[#This Row],[Wealthier_Winner]]=1,"Wealthier Nation Wins")</f>
        <v>Wealthier Nation Wins</v>
      </c>
    </row>
    <row r="5602" spans="1:17" x14ac:dyDescent="0.2">
      <c r="A5602" s="1">
        <v>8132</v>
      </c>
      <c r="B5602" s="2">
        <v>44283</v>
      </c>
      <c r="C5602" s="7">
        <f>_xlfn.FLOOR.MATH(Table1[[#This Row],[year]],10)</f>
        <v>2020</v>
      </c>
      <c r="D5602" t="s">
        <v>44</v>
      </c>
      <c r="E5602" t="s">
        <v>16</v>
      </c>
      <c r="F5602">
        <v>0</v>
      </c>
      <c r="G5602">
        <v>1</v>
      </c>
      <c r="H5602" t="s">
        <v>224</v>
      </c>
      <c r="I5602" t="s">
        <v>425</v>
      </c>
      <c r="J5602" t="s">
        <v>44</v>
      </c>
      <c r="K5602" t="b">
        <v>0</v>
      </c>
      <c r="L5602">
        <v>2021</v>
      </c>
      <c r="M5602">
        <v>285071280114</v>
      </c>
      <c r="N5602">
        <v>4355251953410</v>
      </c>
      <c r="O5602" t="b">
        <v>1</v>
      </c>
      <c r="P5602">
        <v>1</v>
      </c>
      <c r="Q5602" t="str" cm="1">
        <f t="array" ref="Q5602">_xlfn.IFS(Table1[[#This Row],[Wealthier_Winner]]=-1,"Wealthier Nation Loses",Table1[[#This Row],[Wealthier_Winner]]=0,"Tie",Table1[[#This Row],[Wealthier_Winner]]=1,"Wealthier Nation Wins")</f>
        <v>Wealthier Nation Wins</v>
      </c>
    </row>
    <row r="5603" spans="1:17" x14ac:dyDescent="0.2">
      <c r="A5603" s="1">
        <v>8133</v>
      </c>
      <c r="B5603" s="2">
        <v>44284</v>
      </c>
      <c r="C5603" s="7">
        <f>_xlfn.FLOOR.MATH(Table1[[#This Row],[year]],10)</f>
        <v>2020</v>
      </c>
      <c r="D5603" t="s">
        <v>691</v>
      </c>
      <c r="E5603" t="s">
        <v>34</v>
      </c>
      <c r="F5603">
        <v>0</v>
      </c>
      <c r="G5603">
        <v>11</v>
      </c>
      <c r="H5603" t="s">
        <v>224</v>
      </c>
      <c r="I5603" t="s">
        <v>843</v>
      </c>
      <c r="J5603" t="s">
        <v>41</v>
      </c>
      <c r="K5603" t="b">
        <v>1</v>
      </c>
      <c r="L5603">
        <v>2021</v>
      </c>
      <c r="M5603">
        <v>6060813808</v>
      </c>
      <c r="N5603">
        <v>2022378748423</v>
      </c>
      <c r="O5603" t="b">
        <v>1</v>
      </c>
      <c r="P5603">
        <v>1</v>
      </c>
      <c r="Q5603" t="str" cm="1">
        <f t="array" ref="Q5603">_xlfn.IFS(Table1[[#This Row],[Wealthier_Winner]]=-1,"Wealthier Nation Loses",Table1[[#This Row],[Wealthier_Winner]]=0,"Tie",Table1[[#This Row],[Wealthier_Winner]]=1,"Wealthier Nation Wins")</f>
        <v>Wealthier Nation Wins</v>
      </c>
    </row>
    <row r="5604" spans="1:17" x14ac:dyDescent="0.2">
      <c r="A5604" s="1">
        <v>8134</v>
      </c>
      <c r="B5604" s="2">
        <v>44285</v>
      </c>
      <c r="C5604" s="7">
        <f>_xlfn.FLOOR.MATH(Table1[[#This Row],[year]],10)</f>
        <v>2020</v>
      </c>
      <c r="D5604" t="s">
        <v>499</v>
      </c>
      <c r="E5604" t="s">
        <v>692</v>
      </c>
      <c r="F5604">
        <v>1</v>
      </c>
      <c r="G5604">
        <v>0</v>
      </c>
      <c r="H5604" t="s">
        <v>224</v>
      </c>
      <c r="I5604" t="s">
        <v>501</v>
      </c>
      <c r="J5604" t="s">
        <v>499</v>
      </c>
      <c r="K5604" t="b">
        <v>0</v>
      </c>
      <c r="L5604">
        <v>2021</v>
      </c>
      <c r="M5604">
        <v>1122222222</v>
      </c>
      <c r="N5604">
        <v>4507000000</v>
      </c>
      <c r="O5604" t="b">
        <v>1</v>
      </c>
      <c r="P5604">
        <v>-1</v>
      </c>
      <c r="Q5604" t="str" cm="1">
        <f t="array" ref="Q5604">_xlfn.IFS(Table1[[#This Row],[Wealthier_Winner]]=-1,"Wealthier Nation Loses",Table1[[#This Row],[Wealthier_Winner]]=0,"Tie",Table1[[#This Row],[Wealthier_Winner]]=1,"Wealthier Nation Wins")</f>
        <v>Wealthier Nation Loses</v>
      </c>
    </row>
    <row r="5605" spans="1:17" x14ac:dyDescent="0.2">
      <c r="A5605" s="1">
        <v>8135</v>
      </c>
      <c r="B5605" s="2">
        <v>44285</v>
      </c>
      <c r="C5605" s="7">
        <f>_xlfn.FLOOR.MATH(Table1[[#This Row],[year]],10)</f>
        <v>2020</v>
      </c>
      <c r="D5605" t="s">
        <v>266</v>
      </c>
      <c r="E5605" t="s">
        <v>497</v>
      </c>
      <c r="F5605">
        <v>5</v>
      </c>
      <c r="G5605">
        <v>0</v>
      </c>
      <c r="H5605" t="s">
        <v>224</v>
      </c>
      <c r="I5605" t="s">
        <v>843</v>
      </c>
      <c r="J5605" t="s">
        <v>41</v>
      </c>
      <c r="K5605" t="b">
        <v>1</v>
      </c>
      <c r="L5605">
        <v>2021</v>
      </c>
      <c r="M5605">
        <v>7290037000</v>
      </c>
      <c r="N5605">
        <v>2880902798</v>
      </c>
      <c r="O5605" t="b">
        <v>1</v>
      </c>
      <c r="P5605">
        <v>1</v>
      </c>
      <c r="Q5605" t="str" cm="1">
        <f t="array" ref="Q5605">_xlfn.IFS(Table1[[#This Row],[Wealthier_Winner]]=-1,"Wealthier Nation Loses",Table1[[#This Row],[Wealthier_Winner]]=0,"Tie",Table1[[#This Row],[Wealthier_Winner]]=1,"Wealthier Nation Wins")</f>
        <v>Wealthier Nation Wins</v>
      </c>
    </row>
    <row r="5606" spans="1:17" x14ac:dyDescent="0.2">
      <c r="A5606" s="1">
        <v>8138</v>
      </c>
      <c r="B5606" s="2">
        <v>44285</v>
      </c>
      <c r="C5606" s="7">
        <f>_xlfn.FLOOR.MATH(Table1[[#This Row],[year]],10)</f>
        <v>2020</v>
      </c>
      <c r="D5606" t="s">
        <v>511</v>
      </c>
      <c r="E5606" t="s">
        <v>645</v>
      </c>
      <c r="F5606">
        <v>5</v>
      </c>
      <c r="G5606">
        <v>0</v>
      </c>
      <c r="H5606" t="s">
        <v>224</v>
      </c>
      <c r="I5606" t="s">
        <v>416</v>
      </c>
      <c r="J5606" t="s">
        <v>496</v>
      </c>
      <c r="K5606" t="b">
        <v>1</v>
      </c>
      <c r="L5606">
        <v>2021</v>
      </c>
      <c r="M5606">
        <v>2428606250</v>
      </c>
      <c r="N5606">
        <v>1236459000</v>
      </c>
      <c r="O5606" t="b">
        <v>0</v>
      </c>
      <c r="P5606">
        <v>1</v>
      </c>
      <c r="Q5606" t="str" cm="1">
        <f t="array" ref="Q5606">_xlfn.IFS(Table1[[#This Row],[Wealthier_Winner]]=-1,"Wealthier Nation Loses",Table1[[#This Row],[Wealthier_Winner]]=0,"Tie",Table1[[#This Row],[Wealthier_Winner]]=1,"Wealthier Nation Wins")</f>
        <v>Wealthier Nation Wins</v>
      </c>
    </row>
    <row r="5607" spans="1:17" x14ac:dyDescent="0.2">
      <c r="A5607" s="1">
        <v>8140</v>
      </c>
      <c r="B5607" s="2">
        <v>44285</v>
      </c>
      <c r="C5607" s="7">
        <f>_xlfn.FLOOR.MATH(Table1[[#This Row],[year]],10)</f>
        <v>2020</v>
      </c>
      <c r="D5607" t="s">
        <v>513</v>
      </c>
      <c r="E5607" t="s">
        <v>61</v>
      </c>
      <c r="F5607">
        <v>1</v>
      </c>
      <c r="G5607">
        <v>2</v>
      </c>
      <c r="H5607" t="s">
        <v>224</v>
      </c>
      <c r="I5607" t="s">
        <v>521</v>
      </c>
      <c r="J5607" t="s">
        <v>513</v>
      </c>
      <c r="K5607" t="b">
        <v>0</v>
      </c>
      <c r="L5607">
        <v>2021</v>
      </c>
      <c r="M5607">
        <v>54825411764</v>
      </c>
      <c r="N5607">
        <v>66159884072</v>
      </c>
      <c r="O5607" t="b">
        <v>0</v>
      </c>
      <c r="P5607">
        <v>1</v>
      </c>
      <c r="Q5607" t="str" cm="1">
        <f t="array" ref="Q5607">_xlfn.IFS(Table1[[#This Row],[Wealthier_Winner]]=-1,"Wealthier Nation Loses",Table1[[#This Row],[Wealthier_Winner]]=0,"Tie",Table1[[#This Row],[Wealthier_Winner]]=1,"Wealthier Nation Wins")</f>
        <v>Wealthier Nation Wins</v>
      </c>
    </row>
    <row r="5608" spans="1:17" x14ac:dyDescent="0.2">
      <c r="A5608" s="1">
        <v>8141</v>
      </c>
      <c r="B5608" s="2">
        <v>44285</v>
      </c>
      <c r="C5608" s="7">
        <f>_xlfn.FLOOR.MATH(Table1[[#This Row],[year]],10)</f>
        <v>2020</v>
      </c>
      <c r="D5608" t="s">
        <v>232</v>
      </c>
      <c r="E5608" t="s">
        <v>38</v>
      </c>
      <c r="F5608">
        <v>1</v>
      </c>
      <c r="G5608">
        <v>3</v>
      </c>
      <c r="H5608" t="s">
        <v>224</v>
      </c>
      <c r="I5608" t="s">
        <v>232</v>
      </c>
      <c r="J5608" t="s">
        <v>232</v>
      </c>
      <c r="K5608" t="b">
        <v>0</v>
      </c>
      <c r="L5608">
        <v>2021</v>
      </c>
      <c r="M5608">
        <v>86386759695</v>
      </c>
      <c r="N5608">
        <v>256055879091</v>
      </c>
      <c r="O5608" t="b">
        <v>1</v>
      </c>
      <c r="P5608">
        <v>1</v>
      </c>
      <c r="Q5608" t="str" cm="1">
        <f t="array" ref="Q5608">_xlfn.IFS(Table1[[#This Row],[Wealthier_Winner]]=-1,"Wealthier Nation Loses",Table1[[#This Row],[Wealthier_Winner]]=0,"Tie",Table1[[#This Row],[Wealthier_Winner]]=1,"Wealthier Nation Wins")</f>
        <v>Wealthier Nation Wins</v>
      </c>
    </row>
    <row r="5609" spans="1:17" x14ac:dyDescent="0.2">
      <c r="A5609" s="1">
        <v>8143</v>
      </c>
      <c r="B5609" s="2">
        <v>44285</v>
      </c>
      <c r="C5609" s="7">
        <f>_xlfn.FLOOR.MATH(Table1[[#This Row],[year]],10)</f>
        <v>2020</v>
      </c>
      <c r="D5609" t="s">
        <v>23</v>
      </c>
      <c r="E5609" t="s">
        <v>510</v>
      </c>
      <c r="F5609">
        <v>8</v>
      </c>
      <c r="G5609">
        <v>0</v>
      </c>
      <c r="H5609" t="s">
        <v>224</v>
      </c>
      <c r="I5609" t="s">
        <v>847</v>
      </c>
      <c r="J5609" t="s">
        <v>23</v>
      </c>
      <c r="K5609" t="b">
        <v>0</v>
      </c>
      <c r="L5609">
        <v>2021</v>
      </c>
      <c r="M5609">
        <v>598522422241</v>
      </c>
      <c r="N5609">
        <v>69673747131</v>
      </c>
      <c r="O5609" t="b">
        <v>1</v>
      </c>
      <c r="P5609">
        <v>1</v>
      </c>
      <c r="Q5609" t="str" cm="1">
        <f t="array" ref="Q5609">_xlfn.IFS(Table1[[#This Row],[Wealthier_Winner]]=-1,"Wealthier Nation Loses",Table1[[#This Row],[Wealthier_Winner]]=0,"Tie",Table1[[#This Row],[Wealthier_Winner]]=1,"Wealthier Nation Wins")</f>
        <v>Wealthier Nation Wins</v>
      </c>
    </row>
    <row r="5610" spans="1:17" x14ac:dyDescent="0.2">
      <c r="A5610" s="1">
        <v>8145</v>
      </c>
      <c r="B5610" s="2">
        <v>44285</v>
      </c>
      <c r="C5610" s="7">
        <f>_xlfn.FLOOR.MATH(Table1[[#This Row],[year]],10)</f>
        <v>2020</v>
      </c>
      <c r="D5610" t="s">
        <v>705</v>
      </c>
      <c r="E5610" t="s">
        <v>42</v>
      </c>
      <c r="F5610">
        <v>0</v>
      </c>
      <c r="G5610">
        <v>1</v>
      </c>
      <c r="H5610" t="s">
        <v>224</v>
      </c>
      <c r="I5610" t="s">
        <v>706</v>
      </c>
      <c r="J5610" t="s">
        <v>705</v>
      </c>
      <c r="K5610" t="b">
        <v>0</v>
      </c>
      <c r="L5610">
        <v>2021</v>
      </c>
      <c r="M5610">
        <v>5823715809</v>
      </c>
      <c r="N5610">
        <v>503367986030</v>
      </c>
      <c r="O5610" t="b">
        <v>1</v>
      </c>
      <c r="P5610">
        <v>1</v>
      </c>
      <c r="Q5610" t="str" cm="1">
        <f t="array" ref="Q5610">_xlfn.IFS(Table1[[#This Row],[Wealthier_Winner]]=-1,"Wealthier Nation Loses",Table1[[#This Row],[Wealthier_Winner]]=0,"Tie",Table1[[#This Row],[Wealthier_Winner]]=1,"Wealthier Nation Wins")</f>
        <v>Wealthier Nation Wins</v>
      </c>
    </row>
    <row r="5611" spans="1:17" x14ac:dyDescent="0.2">
      <c r="A5611" s="1">
        <v>8147</v>
      </c>
      <c r="B5611" s="2">
        <v>44285</v>
      </c>
      <c r="C5611" s="7">
        <f>_xlfn.FLOOR.MATH(Table1[[#This Row],[year]],10)</f>
        <v>2020</v>
      </c>
      <c r="D5611" t="s">
        <v>351</v>
      </c>
      <c r="E5611" t="s">
        <v>55</v>
      </c>
      <c r="F5611">
        <v>1</v>
      </c>
      <c r="G5611">
        <v>0</v>
      </c>
      <c r="H5611" t="s">
        <v>224</v>
      </c>
      <c r="I5611" t="s">
        <v>381</v>
      </c>
      <c r="J5611" t="s">
        <v>351</v>
      </c>
      <c r="K5611" t="b">
        <v>0</v>
      </c>
      <c r="L5611">
        <v>2021</v>
      </c>
      <c r="M5611">
        <v>30372642502</v>
      </c>
      <c r="N5611">
        <v>61540813361</v>
      </c>
      <c r="O5611" t="b">
        <v>1</v>
      </c>
      <c r="P5611">
        <v>-1</v>
      </c>
      <c r="Q5611" t="str" cm="1">
        <f t="array" ref="Q5611">_xlfn.IFS(Table1[[#This Row],[Wealthier_Winner]]=-1,"Wealthier Nation Loses",Table1[[#This Row],[Wealthier_Winner]]=0,"Tie",Table1[[#This Row],[Wealthier_Winner]]=1,"Wealthier Nation Wins")</f>
        <v>Wealthier Nation Loses</v>
      </c>
    </row>
    <row r="5612" spans="1:17" x14ac:dyDescent="0.2">
      <c r="A5612" s="1">
        <v>8148</v>
      </c>
      <c r="B5612" s="2">
        <v>44285</v>
      </c>
      <c r="C5612" s="7">
        <f>_xlfn.FLOOR.MATH(Table1[[#This Row],[year]],10)</f>
        <v>2020</v>
      </c>
      <c r="D5612" t="s">
        <v>52</v>
      </c>
      <c r="E5612" t="s">
        <v>303</v>
      </c>
      <c r="F5612">
        <v>3</v>
      </c>
      <c r="G5612">
        <v>0</v>
      </c>
      <c r="H5612" t="s">
        <v>224</v>
      </c>
      <c r="I5612" t="s">
        <v>825</v>
      </c>
      <c r="J5612" t="s">
        <v>52</v>
      </c>
      <c r="K5612" t="b">
        <v>0</v>
      </c>
      <c r="L5612">
        <v>2021</v>
      </c>
      <c r="M5612">
        <v>69002365163</v>
      </c>
      <c r="N5612">
        <v>19739875611</v>
      </c>
      <c r="O5612" t="b">
        <v>1</v>
      </c>
      <c r="P5612">
        <v>1</v>
      </c>
      <c r="Q5612" t="str" cm="1">
        <f t="array" ref="Q5612">_xlfn.IFS(Table1[[#This Row],[Wealthier_Winner]]=-1,"Wealthier Nation Loses",Table1[[#This Row],[Wealthier_Winner]]=0,"Tie",Table1[[#This Row],[Wealthier_Winner]]=1,"Wealthier Nation Wins")</f>
        <v>Wealthier Nation Wins</v>
      </c>
    </row>
    <row r="5613" spans="1:17" x14ac:dyDescent="0.2">
      <c r="A5613" s="1">
        <v>8151</v>
      </c>
      <c r="B5613" s="2">
        <v>44285</v>
      </c>
      <c r="C5613" s="7">
        <f>_xlfn.FLOOR.MATH(Table1[[#This Row],[year]],10)</f>
        <v>2020</v>
      </c>
      <c r="D5613" t="s">
        <v>51</v>
      </c>
      <c r="E5613" t="s">
        <v>611</v>
      </c>
      <c r="F5613">
        <v>14</v>
      </c>
      <c r="G5613">
        <v>0</v>
      </c>
      <c r="H5613" t="s">
        <v>224</v>
      </c>
      <c r="I5613" t="s">
        <v>848</v>
      </c>
      <c r="J5613" t="s">
        <v>51</v>
      </c>
      <c r="K5613" t="b">
        <v>0</v>
      </c>
      <c r="L5613">
        <v>2021</v>
      </c>
      <c r="M5613">
        <v>5039148168861</v>
      </c>
      <c r="N5613">
        <v>15286441737</v>
      </c>
      <c r="O5613" t="b">
        <v>1</v>
      </c>
      <c r="P5613">
        <v>1</v>
      </c>
      <c r="Q5613" t="str" cm="1">
        <f t="array" ref="Q5613">_xlfn.IFS(Table1[[#This Row],[Wealthier_Winner]]=-1,"Wealthier Nation Loses",Table1[[#This Row],[Wealthier_Winner]]=0,"Tie",Table1[[#This Row],[Wealthier_Winner]]=1,"Wealthier Nation Wins")</f>
        <v>Wealthier Nation Wins</v>
      </c>
    </row>
    <row r="5614" spans="1:17" x14ac:dyDescent="0.2">
      <c r="A5614" s="1">
        <v>8152</v>
      </c>
      <c r="B5614" s="2">
        <v>44286</v>
      </c>
      <c r="C5614" s="7">
        <f>_xlfn.FLOOR.MATH(Table1[[#This Row],[year]],10)</f>
        <v>2020</v>
      </c>
      <c r="D5614" t="s">
        <v>21</v>
      </c>
      <c r="E5614" t="s">
        <v>803</v>
      </c>
      <c r="F5614">
        <v>3</v>
      </c>
      <c r="G5614">
        <v>1</v>
      </c>
      <c r="H5614" t="s">
        <v>224</v>
      </c>
      <c r="I5614" t="s">
        <v>104</v>
      </c>
      <c r="J5614" t="s">
        <v>21</v>
      </c>
      <c r="K5614" t="b">
        <v>0</v>
      </c>
      <c r="L5614">
        <v>2021</v>
      </c>
      <c r="M5614">
        <v>1461244901852</v>
      </c>
      <c r="N5614">
        <v>9413408574</v>
      </c>
      <c r="O5614" t="b">
        <v>1</v>
      </c>
      <c r="P5614">
        <v>1</v>
      </c>
      <c r="Q5614" t="str" cm="1">
        <f t="array" ref="Q5614">_xlfn.IFS(Table1[[#This Row],[Wealthier_Winner]]=-1,"Wealthier Nation Loses",Table1[[#This Row],[Wealthier_Winner]]=0,"Tie",Table1[[#This Row],[Wealthier_Winner]]=1,"Wealthier Nation Wins")</f>
        <v>Wealthier Nation Wins</v>
      </c>
    </row>
    <row r="5615" spans="1:17" x14ac:dyDescent="0.2">
      <c r="A5615" s="1">
        <v>8153</v>
      </c>
      <c r="B5615" s="2">
        <v>44286</v>
      </c>
      <c r="C5615" s="7">
        <f>_xlfn.FLOOR.MATH(Table1[[#This Row],[year]],10)</f>
        <v>2020</v>
      </c>
      <c r="D5615" t="s">
        <v>48</v>
      </c>
      <c r="E5615" t="s">
        <v>534</v>
      </c>
      <c r="F5615">
        <v>1</v>
      </c>
      <c r="G5615">
        <v>1</v>
      </c>
      <c r="H5615" t="s">
        <v>224</v>
      </c>
      <c r="I5615" t="s">
        <v>849</v>
      </c>
      <c r="J5615" t="s">
        <v>48</v>
      </c>
      <c r="K5615" t="b">
        <v>0</v>
      </c>
      <c r="L5615">
        <v>2021</v>
      </c>
      <c r="M5615">
        <v>218303801895</v>
      </c>
      <c r="N5615">
        <v>18853115588</v>
      </c>
      <c r="O5615" t="b">
        <v>1</v>
      </c>
      <c r="P5615">
        <v>0</v>
      </c>
      <c r="Q5615" t="str" cm="1">
        <f t="array" ref="Q5615">_xlfn.IFS(Table1[[#This Row],[Wealthier_Winner]]=-1,"Wealthier Nation Loses",Table1[[#This Row],[Wealthier_Winner]]=0,"Tie",Table1[[#This Row],[Wealthier_Winner]]=1,"Wealthier Nation Wins")</f>
        <v>Tie</v>
      </c>
    </row>
    <row r="5616" spans="1:17" x14ac:dyDescent="0.2">
      <c r="A5616" s="1">
        <v>8155</v>
      </c>
      <c r="B5616" s="2">
        <v>44286</v>
      </c>
      <c r="C5616" s="7">
        <f>_xlfn.FLOOR.MATH(Table1[[#This Row],[year]],10)</f>
        <v>2020</v>
      </c>
      <c r="D5616" t="s">
        <v>523</v>
      </c>
      <c r="E5616" t="s">
        <v>18</v>
      </c>
      <c r="F5616">
        <v>0</v>
      </c>
      <c r="G5616">
        <v>2</v>
      </c>
      <c r="H5616" t="s">
        <v>224</v>
      </c>
      <c r="I5616" t="s">
        <v>533</v>
      </c>
      <c r="J5616" t="s">
        <v>523</v>
      </c>
      <c r="K5616" t="b">
        <v>0</v>
      </c>
      <c r="L5616">
        <v>2021</v>
      </c>
      <c r="M5616">
        <v>67037321008</v>
      </c>
      <c r="N5616">
        <v>2179207773596</v>
      </c>
      <c r="O5616" t="b">
        <v>1</v>
      </c>
      <c r="P5616">
        <v>1</v>
      </c>
      <c r="Q5616" t="str" cm="1">
        <f t="array" ref="Q5616">_xlfn.IFS(Table1[[#This Row],[Wealthier_Winner]]=-1,"Wealthier Nation Loses",Table1[[#This Row],[Wealthier_Winner]]=0,"Tie",Table1[[#This Row],[Wealthier_Winner]]=1,"Wealthier Nation Wins")</f>
        <v>Wealthier Nation Wins</v>
      </c>
    </row>
    <row r="5617" spans="1:17" x14ac:dyDescent="0.2">
      <c r="A5617" s="1">
        <v>8156</v>
      </c>
      <c r="B5617" s="2">
        <v>44286</v>
      </c>
      <c r="C5617" s="7">
        <f>_xlfn.FLOOR.MATH(Table1[[#This Row],[year]],10)</f>
        <v>2020</v>
      </c>
      <c r="D5617" t="s">
        <v>73</v>
      </c>
      <c r="E5617" t="s">
        <v>20</v>
      </c>
      <c r="F5617">
        <v>0</v>
      </c>
      <c r="G5617">
        <v>1</v>
      </c>
      <c r="H5617" t="s">
        <v>224</v>
      </c>
      <c r="I5617" t="s">
        <v>550</v>
      </c>
      <c r="J5617" t="s">
        <v>73</v>
      </c>
      <c r="K5617" t="b">
        <v>0</v>
      </c>
      <c r="L5617">
        <v>2021</v>
      </c>
      <c r="M5617">
        <v>23672712121</v>
      </c>
      <c r="N5617">
        <v>2966433692008</v>
      </c>
      <c r="O5617" t="b">
        <v>1</v>
      </c>
      <c r="P5617">
        <v>1</v>
      </c>
      <c r="Q5617" t="str" cm="1">
        <f t="array" ref="Q5617">_xlfn.IFS(Table1[[#This Row],[Wealthier_Winner]]=-1,"Wealthier Nation Loses",Table1[[#This Row],[Wealthier_Winner]]=0,"Tie",Table1[[#This Row],[Wealthier_Winner]]=1,"Wealthier Nation Wins")</f>
        <v>Wealthier Nation Wins</v>
      </c>
    </row>
    <row r="5618" spans="1:17" x14ac:dyDescent="0.2">
      <c r="A5618" s="1">
        <v>8157</v>
      </c>
      <c r="B5618" s="2">
        <v>44286</v>
      </c>
      <c r="C5618" s="7">
        <f>_xlfn.FLOOR.MATH(Table1[[#This Row],[year]],10)</f>
        <v>2020</v>
      </c>
      <c r="D5618" t="s">
        <v>64</v>
      </c>
      <c r="E5618" t="s">
        <v>558</v>
      </c>
      <c r="F5618">
        <v>1</v>
      </c>
      <c r="G5618">
        <v>1</v>
      </c>
      <c r="H5618" t="s">
        <v>224</v>
      </c>
      <c r="I5618" t="s">
        <v>423</v>
      </c>
      <c r="J5618" t="s">
        <v>64</v>
      </c>
      <c r="K5618" t="b">
        <v>0</v>
      </c>
      <c r="L5618">
        <v>2021</v>
      </c>
      <c r="M5618">
        <v>199765859570</v>
      </c>
      <c r="N5618">
        <v>197112255360</v>
      </c>
      <c r="O5618" t="b">
        <v>0</v>
      </c>
      <c r="P5618">
        <v>0</v>
      </c>
      <c r="Q5618" t="str" cm="1">
        <f t="array" ref="Q5618">_xlfn.IFS(Table1[[#This Row],[Wealthier_Winner]]=-1,"Wealthier Nation Loses",Table1[[#This Row],[Wealthier_Winner]]=0,"Tie",Table1[[#This Row],[Wealthier_Winner]]=1,"Wealthier Nation Wins")</f>
        <v>Tie</v>
      </c>
    </row>
    <row r="5619" spans="1:17" x14ac:dyDescent="0.2">
      <c r="A5619" s="1">
        <v>8159</v>
      </c>
      <c r="B5619" s="2">
        <v>44286</v>
      </c>
      <c r="C5619" s="7">
        <f>_xlfn.FLOOR.MATH(Table1[[#This Row],[year]],10)</f>
        <v>2020</v>
      </c>
      <c r="D5619" t="s">
        <v>29</v>
      </c>
      <c r="E5619" t="s">
        <v>36</v>
      </c>
      <c r="F5619">
        <v>0</v>
      </c>
      <c r="G5619">
        <v>4</v>
      </c>
      <c r="H5619" t="s">
        <v>224</v>
      </c>
      <c r="I5619" t="s">
        <v>270</v>
      </c>
      <c r="J5619" t="s">
        <v>29</v>
      </c>
      <c r="K5619" t="b">
        <v>0</v>
      </c>
      <c r="L5619">
        <v>2021</v>
      </c>
      <c r="M5619">
        <v>480466363176</v>
      </c>
      <c r="N5619">
        <v>406110162088</v>
      </c>
      <c r="O5619" t="b">
        <v>0</v>
      </c>
      <c r="P5619">
        <v>-1</v>
      </c>
      <c r="Q5619" t="str" cm="1">
        <f t="array" ref="Q5619">_xlfn.IFS(Table1[[#This Row],[Wealthier_Winner]]=-1,"Wealthier Nation Loses",Table1[[#This Row],[Wealthier_Winner]]=0,"Tie",Table1[[#This Row],[Wealthier_Winner]]=1,"Wealthier Nation Wins")</f>
        <v>Wealthier Nation Loses</v>
      </c>
    </row>
    <row r="5620" spans="1:17" x14ac:dyDescent="0.2">
      <c r="A5620" s="1">
        <v>8160</v>
      </c>
      <c r="B5620" s="2">
        <v>44286</v>
      </c>
      <c r="C5620" s="7">
        <f>_xlfn.FLOOR.MATH(Table1[[#This Row],[year]],10)</f>
        <v>2020</v>
      </c>
      <c r="D5620" t="s">
        <v>527</v>
      </c>
      <c r="E5620" t="s">
        <v>22</v>
      </c>
      <c r="F5620">
        <v>1</v>
      </c>
      <c r="G5620">
        <v>4</v>
      </c>
      <c r="H5620" t="s">
        <v>224</v>
      </c>
      <c r="I5620" t="s">
        <v>528</v>
      </c>
      <c r="J5620" t="s">
        <v>527</v>
      </c>
      <c r="K5620" t="b">
        <v>0</v>
      </c>
      <c r="L5620">
        <v>2021</v>
      </c>
      <c r="M5620">
        <v>13691869264</v>
      </c>
      <c r="N5620">
        <v>489851549972</v>
      </c>
      <c r="O5620" t="b">
        <v>1</v>
      </c>
      <c r="P5620">
        <v>1</v>
      </c>
      <c r="Q5620" t="str" cm="1">
        <f t="array" ref="Q5620">_xlfn.IFS(Table1[[#This Row],[Wealthier_Winner]]=-1,"Wealthier Nation Loses",Table1[[#This Row],[Wealthier_Winner]]=0,"Tie",Table1[[#This Row],[Wealthier_Winner]]=1,"Wealthier Nation Wins")</f>
        <v>Wealthier Nation Wins</v>
      </c>
    </row>
    <row r="5621" spans="1:17" x14ac:dyDescent="0.2">
      <c r="A5621" s="1">
        <v>8161</v>
      </c>
      <c r="B5621" s="2">
        <v>44286</v>
      </c>
      <c r="C5621" s="7">
        <f>_xlfn.FLOOR.MATH(Table1[[#This Row],[year]],10)</f>
        <v>2020</v>
      </c>
      <c r="D5621" t="s">
        <v>194</v>
      </c>
      <c r="E5621" t="s">
        <v>58</v>
      </c>
      <c r="F5621">
        <v>2</v>
      </c>
      <c r="G5621">
        <v>1</v>
      </c>
      <c r="H5621" t="s">
        <v>224</v>
      </c>
      <c r="I5621" t="s">
        <v>80</v>
      </c>
      <c r="J5621" t="s">
        <v>194</v>
      </c>
      <c r="K5621" t="b">
        <v>0</v>
      </c>
      <c r="L5621">
        <v>2021</v>
      </c>
      <c r="M5621">
        <v>3194559188925</v>
      </c>
      <c r="N5621">
        <v>689170230665</v>
      </c>
      <c r="O5621" t="b">
        <v>1</v>
      </c>
      <c r="P5621">
        <v>1</v>
      </c>
      <c r="Q5621" t="str" cm="1">
        <f t="array" ref="Q5621">_xlfn.IFS(Table1[[#This Row],[Wealthier_Winner]]=-1,"Wealthier Nation Loses",Table1[[#This Row],[Wealthier_Winner]]=0,"Tie",Table1[[#This Row],[Wealthier_Winner]]=1,"Wealthier Nation Wins")</f>
        <v>Wealthier Nation Wins</v>
      </c>
    </row>
    <row r="5622" spans="1:17" x14ac:dyDescent="0.2">
      <c r="A5622" s="1">
        <v>8162</v>
      </c>
      <c r="B5622" s="2">
        <v>44286</v>
      </c>
      <c r="C5622" s="7">
        <f>_xlfn.FLOOR.MATH(Table1[[#This Row],[year]],10)</f>
        <v>2020</v>
      </c>
      <c r="D5622" t="s">
        <v>601</v>
      </c>
      <c r="E5622" t="s">
        <v>30</v>
      </c>
      <c r="F5622">
        <v>1</v>
      </c>
      <c r="G5622">
        <v>4</v>
      </c>
      <c r="H5622" t="s">
        <v>224</v>
      </c>
      <c r="I5622" t="s">
        <v>840</v>
      </c>
      <c r="J5622" t="s">
        <v>601</v>
      </c>
      <c r="K5622" t="b">
        <v>0</v>
      </c>
      <c r="L5622">
        <v>2021</v>
      </c>
      <c r="M5622">
        <v>3324648075</v>
      </c>
      <c r="N5622">
        <v>183282685440</v>
      </c>
      <c r="O5622" t="b">
        <v>1</v>
      </c>
      <c r="P5622">
        <v>1</v>
      </c>
      <c r="Q5622" t="str" cm="1">
        <f t="array" ref="Q5622">_xlfn.IFS(Table1[[#This Row],[Wealthier_Winner]]=-1,"Wealthier Nation Loses",Table1[[#This Row],[Wealthier_Winner]]=0,"Tie",Table1[[#This Row],[Wealthier_Winner]]=1,"Wealthier Nation Wins")</f>
        <v>Wealthier Nation Wins</v>
      </c>
    </row>
    <row r="5623" spans="1:17" x14ac:dyDescent="0.2">
      <c r="A5623" s="1">
        <v>8163</v>
      </c>
      <c r="B5623" s="2">
        <v>44286</v>
      </c>
      <c r="C5623" s="7">
        <f>_xlfn.FLOOR.MATH(Table1[[#This Row],[year]],10)</f>
        <v>2020</v>
      </c>
      <c r="D5623" t="s">
        <v>549</v>
      </c>
      <c r="E5623" t="s">
        <v>373</v>
      </c>
      <c r="F5623">
        <v>0</v>
      </c>
      <c r="G5623">
        <v>2</v>
      </c>
      <c r="H5623" t="s">
        <v>224</v>
      </c>
      <c r="I5623" t="s">
        <v>555</v>
      </c>
      <c r="J5623" t="s">
        <v>549</v>
      </c>
      <c r="K5623" t="b">
        <v>0</v>
      </c>
      <c r="L5623">
        <v>2021</v>
      </c>
      <c r="M5623">
        <v>1855652786</v>
      </c>
      <c r="N5623">
        <v>18031989573</v>
      </c>
      <c r="O5623" t="b">
        <v>1</v>
      </c>
      <c r="P5623">
        <v>1</v>
      </c>
      <c r="Q5623" t="str" cm="1">
        <f t="array" ref="Q5623">_xlfn.IFS(Table1[[#This Row],[Wealthier_Winner]]=-1,"Wealthier Nation Loses",Table1[[#This Row],[Wealthier_Winner]]=0,"Tie",Table1[[#This Row],[Wealthier_Winner]]=1,"Wealthier Nation Wins")</f>
        <v>Wealthier Nation Wins</v>
      </c>
    </row>
    <row r="5624" spans="1:17" x14ac:dyDescent="0.2">
      <c r="A5624" s="1">
        <v>8164</v>
      </c>
      <c r="B5624" s="2">
        <v>44286</v>
      </c>
      <c r="C5624" s="7">
        <f>_xlfn.FLOOR.MATH(Table1[[#This Row],[year]],10)</f>
        <v>2020</v>
      </c>
      <c r="D5624" t="s">
        <v>519</v>
      </c>
      <c r="E5624" t="s">
        <v>44</v>
      </c>
      <c r="F5624">
        <v>3</v>
      </c>
      <c r="G5624">
        <v>2</v>
      </c>
      <c r="H5624" t="s">
        <v>224</v>
      </c>
      <c r="I5624" t="s">
        <v>520</v>
      </c>
      <c r="J5624" t="s">
        <v>519</v>
      </c>
      <c r="K5624" t="b">
        <v>0</v>
      </c>
      <c r="L5624">
        <v>2021</v>
      </c>
      <c r="M5624">
        <v>13878908628</v>
      </c>
      <c r="N5624">
        <v>285071280114</v>
      </c>
      <c r="O5624" t="b">
        <v>1</v>
      </c>
      <c r="P5624">
        <v>-1</v>
      </c>
      <c r="Q5624" t="str" cm="1">
        <f t="array" ref="Q5624">_xlfn.IFS(Table1[[#This Row],[Wealthier_Winner]]=-1,"Wealthier Nation Loses",Table1[[#This Row],[Wealthier_Winner]]=0,"Tie",Table1[[#This Row],[Wealthier_Winner]]=1,"Wealthier Nation Wins")</f>
        <v>Wealthier Nation Loses</v>
      </c>
    </row>
    <row r="5625" spans="1:17" x14ac:dyDescent="0.2">
      <c r="A5625" s="1">
        <v>8165</v>
      </c>
      <c r="B5625" s="2">
        <v>44286</v>
      </c>
      <c r="C5625" s="7">
        <f>_xlfn.FLOOR.MATH(Table1[[#This Row],[year]],10)</f>
        <v>2020</v>
      </c>
      <c r="D5625" t="s">
        <v>16</v>
      </c>
      <c r="E5625" t="s">
        <v>502</v>
      </c>
      <c r="F5625">
        <v>1</v>
      </c>
      <c r="G5625">
        <v>2</v>
      </c>
      <c r="H5625" t="s">
        <v>224</v>
      </c>
      <c r="I5625" t="s">
        <v>841</v>
      </c>
      <c r="J5625" t="s">
        <v>16</v>
      </c>
      <c r="K5625" t="b">
        <v>0</v>
      </c>
      <c r="L5625">
        <v>2021</v>
      </c>
      <c r="M5625">
        <v>4355251953410</v>
      </c>
      <c r="N5625">
        <v>14000283827</v>
      </c>
      <c r="O5625" t="b">
        <v>1</v>
      </c>
      <c r="P5625">
        <v>-1</v>
      </c>
      <c r="Q5625" t="str" cm="1">
        <f t="array" ref="Q5625">_xlfn.IFS(Table1[[#This Row],[Wealthier_Winner]]=-1,"Wealthier Nation Loses",Table1[[#This Row],[Wealthier_Winner]]=0,"Tie",Table1[[#This Row],[Wealthier_Winner]]=1,"Wealthier Nation Wins")</f>
        <v>Wealthier Nation Loses</v>
      </c>
    </row>
    <row r="5626" spans="1:17" x14ac:dyDescent="0.2">
      <c r="A5626" s="1">
        <v>8166</v>
      </c>
      <c r="B5626" s="2">
        <v>44286</v>
      </c>
      <c r="C5626" s="7">
        <f>_xlfn.FLOOR.MATH(Table1[[#This Row],[year]],10)</f>
        <v>2020</v>
      </c>
      <c r="D5626" t="s">
        <v>503</v>
      </c>
      <c r="E5626" t="s">
        <v>66</v>
      </c>
      <c r="F5626">
        <v>1</v>
      </c>
      <c r="G5626">
        <v>4</v>
      </c>
      <c r="H5626" t="s">
        <v>224</v>
      </c>
      <c r="I5626" t="s">
        <v>603</v>
      </c>
      <c r="J5626" t="s">
        <v>503</v>
      </c>
      <c r="K5626" t="b">
        <v>0</v>
      </c>
      <c r="L5626">
        <v>2021</v>
      </c>
      <c r="M5626">
        <v>7912602342</v>
      </c>
      <c r="N5626">
        <v>26234872402</v>
      </c>
      <c r="O5626" t="b">
        <v>1</v>
      </c>
      <c r="P5626">
        <v>1</v>
      </c>
      <c r="Q5626" t="str" cm="1">
        <f t="array" ref="Q5626">_xlfn.IFS(Table1[[#This Row],[Wealthier_Winner]]=-1,"Wealthier Nation Loses",Table1[[#This Row],[Wealthier_Winner]]=0,"Tie",Table1[[#This Row],[Wealthier_Winner]]=1,"Wealthier Nation Wins")</f>
        <v>Wealthier Nation Wins</v>
      </c>
    </row>
    <row r="5627" spans="1:17" x14ac:dyDescent="0.2">
      <c r="A5627" s="1">
        <v>8167</v>
      </c>
      <c r="B5627" s="2">
        <v>44344</v>
      </c>
      <c r="C5627" s="7">
        <f>_xlfn.FLOOR.MATH(Table1[[#This Row],[year]],10)</f>
        <v>2020</v>
      </c>
      <c r="D5627" t="s">
        <v>51</v>
      </c>
      <c r="E5627" t="s">
        <v>737</v>
      </c>
      <c r="F5627">
        <v>10</v>
      </c>
      <c r="G5627">
        <v>0</v>
      </c>
      <c r="H5627" t="s">
        <v>224</v>
      </c>
      <c r="I5627" t="s">
        <v>848</v>
      </c>
      <c r="J5627" t="s">
        <v>51</v>
      </c>
      <c r="K5627" t="b">
        <v>0</v>
      </c>
      <c r="L5627">
        <v>2021</v>
      </c>
      <c r="M5627">
        <v>5039148168861</v>
      </c>
      <c r="N5627">
        <v>66345291149</v>
      </c>
      <c r="O5627" t="b">
        <v>1</v>
      </c>
      <c r="P5627">
        <v>1</v>
      </c>
      <c r="Q5627" t="str" cm="1">
        <f t="array" ref="Q5627">_xlfn.IFS(Table1[[#This Row],[Wealthier_Winner]]=-1,"Wealthier Nation Loses",Table1[[#This Row],[Wealthier_Winner]]=0,"Tie",Table1[[#This Row],[Wealthier_Winner]]=1,"Wealthier Nation Wins")</f>
        <v>Wealthier Nation Wins</v>
      </c>
    </row>
    <row r="5628" spans="1:17" x14ac:dyDescent="0.2">
      <c r="A5628" s="1">
        <v>8170</v>
      </c>
      <c r="B5628" s="2">
        <v>44349</v>
      </c>
      <c r="C5628" s="7">
        <f>_xlfn.FLOOR.MATH(Table1[[#This Row],[year]],10)</f>
        <v>2020</v>
      </c>
      <c r="D5628" t="s">
        <v>691</v>
      </c>
      <c r="E5628" t="s">
        <v>497</v>
      </c>
      <c r="F5628">
        <v>1</v>
      </c>
      <c r="G5628">
        <v>3</v>
      </c>
      <c r="H5628" t="s">
        <v>224</v>
      </c>
      <c r="I5628" t="s">
        <v>843</v>
      </c>
      <c r="J5628" t="s">
        <v>41</v>
      </c>
      <c r="K5628" t="b">
        <v>1</v>
      </c>
      <c r="L5628">
        <v>2021</v>
      </c>
      <c r="M5628">
        <v>6060813808</v>
      </c>
      <c r="N5628">
        <v>2880902798</v>
      </c>
      <c r="O5628" t="b">
        <v>1</v>
      </c>
      <c r="P5628">
        <v>-1</v>
      </c>
      <c r="Q5628" t="str" cm="1">
        <f t="array" ref="Q5628">_xlfn.IFS(Table1[[#This Row],[Wealthier_Winner]]=-1,"Wealthier Nation Loses",Table1[[#This Row],[Wealthier_Winner]]=0,"Tie",Table1[[#This Row],[Wealthier_Winner]]=1,"Wealthier Nation Wins")</f>
        <v>Wealthier Nation Loses</v>
      </c>
    </row>
    <row r="5629" spans="1:17" x14ac:dyDescent="0.2">
      <c r="A5629" s="1">
        <v>8176</v>
      </c>
      <c r="B5629" s="2">
        <v>44350</v>
      </c>
      <c r="C5629" s="7">
        <f>_xlfn.FLOOR.MATH(Table1[[#This Row],[year]],10)</f>
        <v>2020</v>
      </c>
      <c r="D5629" t="s">
        <v>361</v>
      </c>
      <c r="E5629" t="s">
        <v>551</v>
      </c>
      <c r="F5629">
        <v>8</v>
      </c>
      <c r="G5629">
        <v>0</v>
      </c>
      <c r="H5629" t="s">
        <v>224</v>
      </c>
      <c r="I5629" t="s">
        <v>419</v>
      </c>
      <c r="J5629" t="s">
        <v>361</v>
      </c>
      <c r="K5629" t="b">
        <v>0</v>
      </c>
      <c r="L5629">
        <v>2021</v>
      </c>
      <c r="M5629">
        <v>40840212765</v>
      </c>
      <c r="N5629">
        <v>36790163687</v>
      </c>
      <c r="O5629" t="b">
        <v>0</v>
      </c>
      <c r="P5629">
        <v>1</v>
      </c>
      <c r="Q5629" t="str" cm="1">
        <f t="array" ref="Q5629">_xlfn.IFS(Table1[[#This Row],[Wealthier_Winner]]=-1,"Wealthier Nation Loses",Table1[[#This Row],[Wealthier_Winner]]=0,"Tie",Table1[[#This Row],[Wealthier_Winner]]=1,"Wealthier Nation Wins")</f>
        <v>Wealthier Nation Wins</v>
      </c>
    </row>
    <row r="5630" spans="1:17" x14ac:dyDescent="0.2">
      <c r="A5630" s="1">
        <v>8178</v>
      </c>
      <c r="B5630" s="2">
        <v>44350</v>
      </c>
      <c r="C5630" s="7">
        <f>_xlfn.FLOOR.MATH(Table1[[#This Row],[year]],10)</f>
        <v>2020</v>
      </c>
      <c r="D5630" t="s">
        <v>405</v>
      </c>
      <c r="E5630" t="s">
        <v>641</v>
      </c>
      <c r="F5630">
        <v>1</v>
      </c>
      <c r="G5630">
        <v>1</v>
      </c>
      <c r="H5630" t="s">
        <v>224</v>
      </c>
      <c r="I5630" t="s">
        <v>190</v>
      </c>
      <c r="J5630" t="s">
        <v>68</v>
      </c>
      <c r="K5630" t="b">
        <v>1</v>
      </c>
      <c r="L5630">
        <v>2021</v>
      </c>
      <c r="M5630">
        <v>416271647911</v>
      </c>
      <c r="N5630">
        <v>14259995441</v>
      </c>
      <c r="O5630" t="b">
        <v>1</v>
      </c>
      <c r="P5630">
        <v>0</v>
      </c>
      <c r="Q5630" t="str" cm="1">
        <f t="array" ref="Q5630">_xlfn.IFS(Table1[[#This Row],[Wealthier_Winner]]=-1,"Wealthier Nation Loses",Table1[[#This Row],[Wealthier_Winner]]=0,"Tie",Table1[[#This Row],[Wealthier_Winner]]=1,"Wealthier Nation Wins")</f>
        <v>Tie</v>
      </c>
    </row>
    <row r="5631" spans="1:17" x14ac:dyDescent="0.2">
      <c r="A5631" s="1">
        <v>8179</v>
      </c>
      <c r="B5631" s="2">
        <v>44350</v>
      </c>
      <c r="C5631" s="7">
        <f>_xlfn.FLOOR.MATH(Table1[[#This Row],[year]],10)</f>
        <v>2020</v>
      </c>
      <c r="D5631" t="s">
        <v>39</v>
      </c>
      <c r="E5631" t="s">
        <v>333</v>
      </c>
      <c r="F5631">
        <v>4</v>
      </c>
      <c r="G5631">
        <v>0</v>
      </c>
      <c r="H5631" t="s">
        <v>224</v>
      </c>
      <c r="I5631" t="s">
        <v>412</v>
      </c>
      <c r="J5631" t="s">
        <v>39</v>
      </c>
      <c r="K5631" t="b">
        <v>0</v>
      </c>
      <c r="L5631">
        <v>2021</v>
      </c>
      <c r="M5631">
        <v>422441388699</v>
      </c>
      <c r="N5631">
        <v>373784553029</v>
      </c>
      <c r="O5631" t="b">
        <v>0</v>
      </c>
      <c r="P5631">
        <v>1</v>
      </c>
      <c r="Q5631" t="str" cm="1">
        <f t="array" ref="Q5631">_xlfn.IFS(Table1[[#This Row],[Wealthier_Winner]]=-1,"Wealthier Nation Loses",Table1[[#This Row],[Wealthier_Winner]]=0,"Tie",Table1[[#This Row],[Wealthier_Winner]]=1,"Wealthier Nation Wins")</f>
        <v>Wealthier Nation Wins</v>
      </c>
    </row>
    <row r="5632" spans="1:17" x14ac:dyDescent="0.2">
      <c r="A5632" s="1">
        <v>8180</v>
      </c>
      <c r="B5632" s="2">
        <v>44350</v>
      </c>
      <c r="C5632" s="7">
        <f>_xlfn.FLOOR.MATH(Table1[[#This Row],[year]],10)</f>
        <v>2020</v>
      </c>
      <c r="D5632" t="s">
        <v>334</v>
      </c>
      <c r="E5632" t="s">
        <v>328</v>
      </c>
      <c r="F5632">
        <v>2</v>
      </c>
      <c r="G5632">
        <v>2</v>
      </c>
      <c r="H5632" t="s">
        <v>224</v>
      </c>
      <c r="I5632" t="s">
        <v>412</v>
      </c>
      <c r="J5632" t="s">
        <v>39</v>
      </c>
      <c r="K5632" t="b">
        <v>1</v>
      </c>
      <c r="L5632">
        <v>2021</v>
      </c>
      <c r="M5632">
        <v>506194668789</v>
      </c>
      <c r="N5632">
        <v>1186509691086</v>
      </c>
      <c r="O5632" t="b">
        <v>1</v>
      </c>
      <c r="P5632">
        <v>0</v>
      </c>
      <c r="Q5632" t="str" cm="1">
        <f t="array" ref="Q5632">_xlfn.IFS(Table1[[#This Row],[Wealthier_Winner]]=-1,"Wealthier Nation Loses",Table1[[#This Row],[Wealthier_Winner]]=0,"Tie",Table1[[#This Row],[Wealthier_Winner]]=1,"Wealthier Nation Wins")</f>
        <v>Tie</v>
      </c>
    </row>
    <row r="5633" spans="1:17" x14ac:dyDescent="0.2">
      <c r="A5633" s="1">
        <v>8181</v>
      </c>
      <c r="B5633" s="2">
        <v>44350</v>
      </c>
      <c r="C5633" s="7">
        <f>_xlfn.FLOOR.MATH(Table1[[#This Row],[year]],10)</f>
        <v>2020</v>
      </c>
      <c r="D5633" t="s">
        <v>47</v>
      </c>
      <c r="E5633" t="s">
        <v>258</v>
      </c>
      <c r="F5633">
        <v>3</v>
      </c>
      <c r="G5633">
        <v>1</v>
      </c>
      <c r="H5633" t="s">
        <v>224</v>
      </c>
      <c r="I5633" t="s">
        <v>246</v>
      </c>
      <c r="J5633" t="s">
        <v>47</v>
      </c>
      <c r="K5633" t="b">
        <v>0</v>
      </c>
      <c r="L5633">
        <v>2021</v>
      </c>
      <c r="M5633">
        <v>47877892402</v>
      </c>
      <c r="N5633">
        <v>56614976854</v>
      </c>
      <c r="O5633" t="b">
        <v>0</v>
      </c>
      <c r="P5633">
        <v>-1</v>
      </c>
      <c r="Q5633" t="str" cm="1">
        <f t="array" ref="Q5633">_xlfn.IFS(Table1[[#This Row],[Wealthier_Winner]]=-1,"Wealthier Nation Loses",Table1[[#This Row],[Wealthier_Winner]]=0,"Tie",Table1[[#This Row],[Wealthier_Winner]]=1,"Wealthier Nation Wins")</f>
        <v>Wealthier Nation Loses</v>
      </c>
    </row>
    <row r="5634" spans="1:17" x14ac:dyDescent="0.2">
      <c r="A5634" s="1">
        <v>8182</v>
      </c>
      <c r="B5634" s="2">
        <v>44350</v>
      </c>
      <c r="C5634" s="7">
        <f>_xlfn.FLOOR.MATH(Table1[[#This Row],[year]],10)</f>
        <v>2020</v>
      </c>
      <c r="D5634" t="s">
        <v>26</v>
      </c>
      <c r="E5634" t="s">
        <v>35</v>
      </c>
      <c r="F5634">
        <v>0</v>
      </c>
      <c r="G5634">
        <v>0</v>
      </c>
      <c r="H5634" t="s">
        <v>224</v>
      </c>
      <c r="I5634" t="s">
        <v>247</v>
      </c>
      <c r="J5634" t="s">
        <v>26</v>
      </c>
      <c r="K5634" t="b">
        <v>0</v>
      </c>
      <c r="L5634">
        <v>2021</v>
      </c>
      <c r="M5634">
        <v>60739084240</v>
      </c>
      <c r="N5634">
        <v>39950899938</v>
      </c>
      <c r="O5634" t="b">
        <v>0</v>
      </c>
      <c r="P5634">
        <v>0</v>
      </c>
      <c r="Q5634" t="str" cm="1">
        <f t="array" ref="Q5634">_xlfn.IFS(Table1[[#This Row],[Wealthier_Winner]]=-1,"Wealthier Nation Loses",Table1[[#This Row],[Wealthier_Winner]]=0,"Tie",Table1[[#This Row],[Wealthier_Winner]]=1,"Wealthier Nation Wins")</f>
        <v>Tie</v>
      </c>
    </row>
    <row r="5635" spans="1:17" x14ac:dyDescent="0.2">
      <c r="A5635" s="1">
        <v>8183</v>
      </c>
      <c r="B5635" s="2">
        <v>44350</v>
      </c>
      <c r="C5635" s="7">
        <f>_xlfn.FLOOR.MATH(Table1[[#This Row],[year]],10)</f>
        <v>2020</v>
      </c>
      <c r="D5635" t="s">
        <v>19</v>
      </c>
      <c r="E5635" t="s">
        <v>14</v>
      </c>
      <c r="F5635">
        <v>1</v>
      </c>
      <c r="G5635">
        <v>1</v>
      </c>
      <c r="H5635" t="s">
        <v>224</v>
      </c>
      <c r="I5635" t="s">
        <v>850</v>
      </c>
      <c r="J5635" t="s">
        <v>19</v>
      </c>
      <c r="K5635" t="b">
        <v>0</v>
      </c>
      <c r="L5635">
        <v>2021</v>
      </c>
      <c r="M5635">
        <v>486564085480</v>
      </c>
      <c r="N5635">
        <v>315325547162</v>
      </c>
      <c r="O5635" t="b">
        <v>0</v>
      </c>
      <c r="P5635">
        <v>0</v>
      </c>
      <c r="Q5635" t="str" cm="1">
        <f t="array" ref="Q5635">_xlfn.IFS(Table1[[#This Row],[Wealthier_Winner]]=-1,"Wealthier Nation Loses",Table1[[#This Row],[Wealthier_Winner]]=0,"Tie",Table1[[#This Row],[Wealthier_Winner]]=1,"Wealthier Nation Wins")</f>
        <v>Tie</v>
      </c>
    </row>
    <row r="5636" spans="1:17" x14ac:dyDescent="0.2">
      <c r="A5636" s="1">
        <v>8184</v>
      </c>
      <c r="B5636" s="2">
        <v>44350</v>
      </c>
      <c r="C5636" s="7">
        <f>_xlfn.FLOOR.MATH(Table1[[#This Row],[year]],10)</f>
        <v>2020</v>
      </c>
      <c r="D5636" t="s">
        <v>31</v>
      </c>
      <c r="E5636" t="s">
        <v>15</v>
      </c>
      <c r="F5636">
        <v>0</v>
      </c>
      <c r="G5636">
        <v>3</v>
      </c>
      <c r="H5636" t="s">
        <v>224</v>
      </c>
      <c r="I5636" t="s">
        <v>242</v>
      </c>
      <c r="J5636" t="s">
        <v>31</v>
      </c>
      <c r="K5636" t="b">
        <v>0</v>
      </c>
      <c r="L5636">
        <v>2021</v>
      </c>
      <c r="M5636">
        <v>226328766459</v>
      </c>
      <c r="N5636">
        <v>318524633225</v>
      </c>
      <c r="O5636" t="b">
        <v>0</v>
      </c>
      <c r="P5636">
        <v>1</v>
      </c>
      <c r="Q5636" t="str" cm="1">
        <f t="array" ref="Q5636">_xlfn.IFS(Table1[[#This Row],[Wealthier_Winner]]=-1,"Wealthier Nation Loses",Table1[[#This Row],[Wealthier_Winner]]=0,"Tie",Table1[[#This Row],[Wealthier_Winner]]=1,"Wealthier Nation Wins")</f>
        <v>Wealthier Nation Wins</v>
      </c>
    </row>
    <row r="5637" spans="1:17" x14ac:dyDescent="0.2">
      <c r="A5637" s="1">
        <v>8185</v>
      </c>
      <c r="B5637" s="2">
        <v>44350</v>
      </c>
      <c r="C5637" s="7">
        <f>_xlfn.FLOOR.MATH(Table1[[#This Row],[year]],10)</f>
        <v>2020</v>
      </c>
      <c r="D5637" t="s">
        <v>71</v>
      </c>
      <c r="E5637" t="s">
        <v>28</v>
      </c>
      <c r="F5637">
        <v>0</v>
      </c>
      <c r="G5637">
        <v>3</v>
      </c>
      <c r="H5637" t="s">
        <v>224</v>
      </c>
      <c r="I5637" t="s">
        <v>366</v>
      </c>
      <c r="J5637" t="s">
        <v>71</v>
      </c>
      <c r="K5637" t="b">
        <v>0</v>
      </c>
      <c r="L5637">
        <v>2021</v>
      </c>
      <c r="M5637">
        <v>148350671489</v>
      </c>
      <c r="N5637">
        <v>1560617493202</v>
      </c>
      <c r="O5637" t="b">
        <v>1</v>
      </c>
      <c r="P5637">
        <v>1</v>
      </c>
      <c r="Q5637" t="str" cm="1">
        <f t="array" ref="Q5637">_xlfn.IFS(Table1[[#This Row],[Wealthier_Winner]]=-1,"Wealthier Nation Loses",Table1[[#This Row],[Wealthier_Winner]]=0,"Tie",Table1[[#This Row],[Wealthier_Winner]]=1,"Wealthier Nation Wins")</f>
        <v>Wealthier Nation Wins</v>
      </c>
    </row>
    <row r="5638" spans="1:17" x14ac:dyDescent="0.2">
      <c r="A5638" s="1">
        <v>8186</v>
      </c>
      <c r="B5638" s="2">
        <v>44350</v>
      </c>
      <c r="C5638" s="7">
        <f>_xlfn.FLOOR.MATH(Table1[[#This Row],[year]],10)</f>
        <v>2020</v>
      </c>
      <c r="D5638" t="s">
        <v>68</v>
      </c>
      <c r="E5638" t="s">
        <v>406</v>
      </c>
      <c r="F5638">
        <v>1</v>
      </c>
      <c r="G5638">
        <v>0</v>
      </c>
      <c r="H5638" t="s">
        <v>224</v>
      </c>
      <c r="I5638" t="s">
        <v>190</v>
      </c>
      <c r="J5638" t="s">
        <v>68</v>
      </c>
      <c r="K5638" t="b">
        <v>0</v>
      </c>
      <c r="L5638">
        <v>2021</v>
      </c>
      <c r="M5638">
        <v>179732142857</v>
      </c>
      <c r="N5638">
        <v>3167270623260</v>
      </c>
      <c r="O5638" t="b">
        <v>1</v>
      </c>
      <c r="P5638">
        <v>-1</v>
      </c>
      <c r="Q5638" t="str" cm="1">
        <f t="array" ref="Q5638">_xlfn.IFS(Table1[[#This Row],[Wealthier_Winner]]=-1,"Wealthier Nation Loses",Table1[[#This Row],[Wealthier_Winner]]=0,"Tie",Table1[[#This Row],[Wealthier_Winner]]=1,"Wealthier Nation Wins")</f>
        <v>Wealthier Nation Loses</v>
      </c>
    </row>
    <row r="5639" spans="1:17" x14ac:dyDescent="0.2">
      <c r="A5639" s="1">
        <v>8187</v>
      </c>
      <c r="B5639" s="2">
        <v>44351</v>
      </c>
      <c r="C5639" s="7">
        <f>_xlfn.FLOOR.MATH(Table1[[#This Row],[year]],10)</f>
        <v>2020</v>
      </c>
      <c r="D5639" t="s">
        <v>567</v>
      </c>
      <c r="E5639" t="s">
        <v>331</v>
      </c>
      <c r="F5639">
        <v>0</v>
      </c>
      <c r="G5639">
        <v>4</v>
      </c>
      <c r="H5639" t="s">
        <v>224</v>
      </c>
      <c r="I5639" t="s">
        <v>435</v>
      </c>
      <c r="J5639" t="s">
        <v>39</v>
      </c>
      <c r="K5639" t="b">
        <v>1</v>
      </c>
      <c r="L5639">
        <v>2021</v>
      </c>
      <c r="M5639">
        <v>5252457369</v>
      </c>
      <c r="N5639">
        <v>14353205678</v>
      </c>
      <c r="O5639" t="b">
        <v>1</v>
      </c>
      <c r="P5639">
        <v>1</v>
      </c>
      <c r="Q5639" t="str" cm="1">
        <f t="array" ref="Q5639">_xlfn.IFS(Table1[[#This Row],[Wealthier_Winner]]=-1,"Wealthier Nation Loses",Table1[[#This Row],[Wealthier_Winner]]=0,"Tie",Table1[[#This Row],[Wealthier_Winner]]=1,"Wealthier Nation Wins")</f>
        <v>Wealthier Nation Wins</v>
      </c>
    </row>
    <row r="5640" spans="1:17" x14ac:dyDescent="0.2">
      <c r="A5640" s="1">
        <v>8188</v>
      </c>
      <c r="B5640" s="2">
        <v>44351</v>
      </c>
      <c r="C5640" s="7">
        <f>_xlfn.FLOOR.MATH(Table1[[#This Row],[year]],10)</f>
        <v>2020</v>
      </c>
      <c r="D5640" t="s">
        <v>449</v>
      </c>
      <c r="E5640" t="s">
        <v>499</v>
      </c>
      <c r="F5640">
        <v>1</v>
      </c>
      <c r="G5640">
        <v>0</v>
      </c>
      <c r="H5640" t="s">
        <v>224</v>
      </c>
      <c r="I5640" t="s">
        <v>790</v>
      </c>
      <c r="J5640" t="s">
        <v>449</v>
      </c>
      <c r="K5640" t="b">
        <v>0</v>
      </c>
      <c r="L5640">
        <v>2021</v>
      </c>
      <c r="M5640">
        <v>1602125925</v>
      </c>
      <c r="N5640">
        <v>1122222222</v>
      </c>
      <c r="O5640" t="b">
        <v>0</v>
      </c>
      <c r="P5640">
        <v>1</v>
      </c>
      <c r="Q5640" t="str" cm="1">
        <f t="array" ref="Q5640">_xlfn.IFS(Table1[[#This Row],[Wealthier_Winner]]=-1,"Wealthier Nation Loses",Table1[[#This Row],[Wealthier_Winner]]=0,"Tie",Table1[[#This Row],[Wealthier_Winner]]=1,"Wealthier Nation Wins")</f>
        <v>Wealthier Nation Wins</v>
      </c>
    </row>
    <row r="5641" spans="1:17" x14ac:dyDescent="0.2">
      <c r="A5641" s="1">
        <v>8189</v>
      </c>
      <c r="B5641" s="2">
        <v>44351</v>
      </c>
      <c r="C5641" s="7">
        <f>_xlfn.FLOOR.MATH(Table1[[#This Row],[year]],10)</f>
        <v>2020</v>
      </c>
      <c r="D5641" t="s">
        <v>252</v>
      </c>
      <c r="E5641" t="s">
        <v>266</v>
      </c>
      <c r="F5641">
        <v>6</v>
      </c>
      <c r="G5641">
        <v>0</v>
      </c>
      <c r="H5641" t="s">
        <v>224</v>
      </c>
      <c r="I5641" t="s">
        <v>255</v>
      </c>
      <c r="J5641" t="s">
        <v>252</v>
      </c>
      <c r="K5641" t="b">
        <v>0</v>
      </c>
      <c r="L5641">
        <v>2021</v>
      </c>
      <c r="M5641">
        <v>3107923197</v>
      </c>
      <c r="N5641">
        <v>7290037000</v>
      </c>
      <c r="O5641" t="b">
        <v>1</v>
      </c>
      <c r="P5641">
        <v>-1</v>
      </c>
      <c r="Q5641" t="str" cm="1">
        <f t="array" ref="Q5641">_xlfn.IFS(Table1[[#This Row],[Wealthier_Winner]]=-1,"Wealthier Nation Loses",Table1[[#This Row],[Wealthier_Winner]]=0,"Tie",Table1[[#This Row],[Wealthier_Winner]]=1,"Wealthier Nation Wins")</f>
        <v>Wealthier Nation Loses</v>
      </c>
    </row>
    <row r="5642" spans="1:17" x14ac:dyDescent="0.2">
      <c r="A5642" s="1">
        <v>8191</v>
      </c>
      <c r="B5642" s="2">
        <v>44351</v>
      </c>
      <c r="C5642" s="7">
        <f>_xlfn.FLOOR.MATH(Table1[[#This Row],[year]],10)</f>
        <v>2020</v>
      </c>
      <c r="D5642" t="s">
        <v>496</v>
      </c>
      <c r="E5642" t="s">
        <v>443</v>
      </c>
      <c r="F5642">
        <v>1</v>
      </c>
      <c r="G5642">
        <v>1</v>
      </c>
      <c r="H5642" t="s">
        <v>224</v>
      </c>
      <c r="I5642" t="s">
        <v>498</v>
      </c>
      <c r="J5642" t="s">
        <v>496</v>
      </c>
      <c r="K5642" t="b">
        <v>0</v>
      </c>
      <c r="L5642">
        <v>2021</v>
      </c>
      <c r="M5642">
        <v>94850719516</v>
      </c>
      <c r="N5642">
        <v>5947550000</v>
      </c>
      <c r="O5642" t="b">
        <v>1</v>
      </c>
      <c r="P5642">
        <v>0</v>
      </c>
      <c r="Q5642" t="str" cm="1">
        <f t="array" ref="Q5642">_xlfn.IFS(Table1[[#This Row],[Wealthier_Winner]]=-1,"Wealthier Nation Loses",Table1[[#This Row],[Wealthier_Winner]]=0,"Tie",Table1[[#This Row],[Wealthier_Winner]]=1,"Wealthier Nation Wins")</f>
        <v>Tie</v>
      </c>
    </row>
    <row r="5643" spans="1:17" x14ac:dyDescent="0.2">
      <c r="A5643" s="1">
        <v>8192</v>
      </c>
      <c r="B5643" s="2">
        <v>44351</v>
      </c>
      <c r="C5643" s="7">
        <f>_xlfn.FLOOR.MATH(Table1[[#This Row],[year]],10)</f>
        <v>2020</v>
      </c>
      <c r="D5643" t="s">
        <v>453</v>
      </c>
      <c r="E5643" t="s">
        <v>511</v>
      </c>
      <c r="F5643">
        <v>3</v>
      </c>
      <c r="G5643">
        <v>0</v>
      </c>
      <c r="H5643" t="s">
        <v>224</v>
      </c>
      <c r="I5643" t="s">
        <v>454</v>
      </c>
      <c r="J5643" t="s">
        <v>453</v>
      </c>
      <c r="K5643" t="b">
        <v>0</v>
      </c>
      <c r="L5643">
        <v>2021</v>
      </c>
      <c r="M5643">
        <v>14209020361</v>
      </c>
      <c r="N5643">
        <v>2428606250</v>
      </c>
      <c r="O5643" t="b">
        <v>1</v>
      </c>
      <c r="P5643">
        <v>1</v>
      </c>
      <c r="Q5643" t="str" cm="1">
        <f t="array" ref="Q5643">_xlfn.IFS(Table1[[#This Row],[Wealthier_Winner]]=-1,"Wealthier Nation Loses",Table1[[#This Row],[Wealthier_Winner]]=0,"Tie",Table1[[#This Row],[Wealthier_Winner]]=1,"Wealthier Nation Wins")</f>
        <v>Wealthier Nation Wins</v>
      </c>
    </row>
    <row r="5644" spans="1:17" x14ac:dyDescent="0.2">
      <c r="A5644" s="1">
        <v>8194</v>
      </c>
      <c r="B5644" s="2">
        <v>44351</v>
      </c>
      <c r="C5644" s="7">
        <f>_xlfn.FLOOR.MATH(Table1[[#This Row],[year]],10)</f>
        <v>2020</v>
      </c>
      <c r="D5644" t="s">
        <v>13</v>
      </c>
      <c r="E5644" t="s">
        <v>57</v>
      </c>
      <c r="F5644">
        <v>2</v>
      </c>
      <c r="G5644">
        <v>0</v>
      </c>
      <c r="H5644" t="s">
        <v>224</v>
      </c>
      <c r="I5644" t="s">
        <v>174</v>
      </c>
      <c r="J5644" t="s">
        <v>13</v>
      </c>
      <c r="K5644" t="b">
        <v>0</v>
      </c>
      <c r="L5644">
        <v>2021</v>
      </c>
      <c r="M5644">
        <v>1670647464062</v>
      </c>
      <c r="N5644">
        <v>107179074000</v>
      </c>
      <c r="O5644" t="b">
        <v>1</v>
      </c>
      <c r="P5644">
        <v>1</v>
      </c>
      <c r="Q5644" t="str" cm="1">
        <f t="array" ref="Q5644">_xlfn.IFS(Table1[[#This Row],[Wealthier_Winner]]=-1,"Wealthier Nation Loses",Table1[[#This Row],[Wealthier_Winner]]=0,"Tie",Table1[[#This Row],[Wealthier_Winner]]=1,"Wealthier Nation Wins")</f>
        <v>Wealthier Nation Wins</v>
      </c>
    </row>
    <row r="5645" spans="1:17" x14ac:dyDescent="0.2">
      <c r="A5645" s="1">
        <v>8196</v>
      </c>
      <c r="B5645" s="2">
        <v>44352</v>
      </c>
      <c r="C5645" s="7">
        <f>_xlfn.FLOOR.MATH(Table1[[#This Row],[year]],10)</f>
        <v>2020</v>
      </c>
      <c r="D5645" t="s">
        <v>479</v>
      </c>
      <c r="E5645" t="s">
        <v>473</v>
      </c>
      <c r="F5645">
        <v>3</v>
      </c>
      <c r="G5645">
        <v>2</v>
      </c>
      <c r="H5645" t="s">
        <v>224</v>
      </c>
      <c r="I5645" t="s">
        <v>745</v>
      </c>
      <c r="J5645" t="s">
        <v>195</v>
      </c>
      <c r="K5645" t="b">
        <v>1</v>
      </c>
      <c r="L5645">
        <v>2021</v>
      </c>
      <c r="M5645">
        <v>23131941556</v>
      </c>
      <c r="N5645">
        <v>88556698937</v>
      </c>
      <c r="O5645" t="b">
        <v>1</v>
      </c>
      <c r="P5645">
        <v>-1</v>
      </c>
      <c r="Q5645" t="str" cm="1">
        <f t="array" ref="Q5645">_xlfn.IFS(Table1[[#This Row],[Wealthier_Winner]]=-1,"Wealthier Nation Loses",Table1[[#This Row],[Wealthier_Winner]]=0,"Tie",Table1[[#This Row],[Wealthier_Winner]]=1,"Wealthier Nation Wins")</f>
        <v>Wealthier Nation Loses</v>
      </c>
    </row>
    <row r="5646" spans="1:17" x14ac:dyDescent="0.2">
      <c r="A5646" s="1">
        <v>8197</v>
      </c>
      <c r="B5646" s="2">
        <v>44352</v>
      </c>
      <c r="C5646" s="7">
        <f>_xlfn.FLOOR.MATH(Table1[[#This Row],[year]],10)</f>
        <v>2020</v>
      </c>
      <c r="D5646" t="s">
        <v>195</v>
      </c>
      <c r="E5646" t="s">
        <v>560</v>
      </c>
      <c r="F5646">
        <v>5</v>
      </c>
      <c r="G5646">
        <v>0</v>
      </c>
      <c r="H5646" t="s">
        <v>224</v>
      </c>
      <c r="I5646" t="s">
        <v>745</v>
      </c>
      <c r="J5646" t="s">
        <v>195</v>
      </c>
      <c r="K5646" t="b">
        <v>0</v>
      </c>
      <c r="L5646">
        <v>2021</v>
      </c>
      <c r="M5646">
        <v>1942313560965</v>
      </c>
      <c r="N5646">
        <v>40589905812</v>
      </c>
      <c r="O5646" t="b">
        <v>1</v>
      </c>
      <c r="P5646">
        <v>1</v>
      </c>
      <c r="Q5646" t="str" cm="1">
        <f t="array" ref="Q5646">_xlfn.IFS(Table1[[#This Row],[Wealthier_Winner]]=-1,"Wealthier Nation Loses",Table1[[#This Row],[Wealthier_Winner]]=0,"Tie",Table1[[#This Row],[Wealthier_Winner]]=1,"Wealthier Nation Wins")</f>
        <v>Wealthier Nation Wins</v>
      </c>
    </row>
    <row r="5647" spans="1:17" x14ac:dyDescent="0.2">
      <c r="A5647" s="1">
        <v>8198</v>
      </c>
      <c r="B5647" s="2">
        <v>44352</v>
      </c>
      <c r="C5647" s="7">
        <f>_xlfn.FLOOR.MATH(Table1[[#This Row],[year]],10)</f>
        <v>2020</v>
      </c>
      <c r="D5647" t="s">
        <v>692</v>
      </c>
      <c r="E5647" t="s">
        <v>69</v>
      </c>
      <c r="F5647">
        <v>0</v>
      </c>
      <c r="G5647">
        <v>7</v>
      </c>
      <c r="H5647" t="s">
        <v>224</v>
      </c>
      <c r="I5647" t="s">
        <v>842</v>
      </c>
      <c r="J5647" t="s">
        <v>692</v>
      </c>
      <c r="K5647" t="b">
        <v>0</v>
      </c>
      <c r="L5647">
        <v>2021</v>
      </c>
      <c r="M5647">
        <v>4507000000</v>
      </c>
      <c r="N5647">
        <v>29043140000</v>
      </c>
      <c r="O5647" t="b">
        <v>1</v>
      </c>
      <c r="P5647">
        <v>1</v>
      </c>
      <c r="Q5647" t="str" cm="1">
        <f t="array" ref="Q5647">_xlfn.IFS(Table1[[#This Row],[Wealthier_Winner]]=-1,"Wealthier Nation Loses",Table1[[#This Row],[Wealthier_Winner]]=0,"Tie",Table1[[#This Row],[Wealthier_Winner]]=1,"Wealthier Nation Wins")</f>
        <v>Wealthier Nation Wins</v>
      </c>
    </row>
    <row r="5648" spans="1:17" x14ac:dyDescent="0.2">
      <c r="A5648" s="1">
        <v>8199</v>
      </c>
      <c r="B5648" s="2">
        <v>44352</v>
      </c>
      <c r="C5648" s="7">
        <f>_xlfn.FLOOR.MATH(Table1[[#This Row],[year]],10)</f>
        <v>2020</v>
      </c>
      <c r="D5648" t="s">
        <v>497</v>
      </c>
      <c r="E5648" t="s">
        <v>34</v>
      </c>
      <c r="F5648">
        <v>0</v>
      </c>
      <c r="G5648">
        <v>7</v>
      </c>
      <c r="H5648" t="s">
        <v>224</v>
      </c>
      <c r="I5648" t="s">
        <v>843</v>
      </c>
      <c r="J5648" t="s">
        <v>41</v>
      </c>
      <c r="K5648" t="b">
        <v>1</v>
      </c>
      <c r="L5648">
        <v>2021</v>
      </c>
      <c r="M5648">
        <v>2880902798</v>
      </c>
      <c r="N5648">
        <v>2022378748423</v>
      </c>
      <c r="O5648" t="b">
        <v>1</v>
      </c>
      <c r="P5648">
        <v>1</v>
      </c>
      <c r="Q5648" t="str" cm="1">
        <f t="array" ref="Q5648">_xlfn.IFS(Table1[[#This Row],[Wealthier_Winner]]=-1,"Wealthier Nation Loses",Table1[[#This Row],[Wealthier_Winner]]=0,"Tie",Table1[[#This Row],[Wealthier_Winner]]=1,"Wealthier Nation Wins")</f>
        <v>Wealthier Nation Wins</v>
      </c>
    </row>
    <row r="5649" spans="1:17" x14ac:dyDescent="0.2">
      <c r="A5649" s="1">
        <v>8202</v>
      </c>
      <c r="B5649" s="2">
        <v>44352</v>
      </c>
      <c r="C5649" s="7">
        <f>_xlfn.FLOOR.MATH(Table1[[#This Row],[year]],10)</f>
        <v>2020</v>
      </c>
      <c r="D5649" t="s">
        <v>645</v>
      </c>
      <c r="E5649" t="s">
        <v>70</v>
      </c>
      <c r="F5649">
        <v>0</v>
      </c>
      <c r="G5649">
        <v>10</v>
      </c>
      <c r="H5649" t="s">
        <v>224</v>
      </c>
      <c r="I5649" t="s">
        <v>851</v>
      </c>
      <c r="J5649" t="s">
        <v>645</v>
      </c>
      <c r="K5649" t="b">
        <v>0</v>
      </c>
      <c r="L5649">
        <v>2021</v>
      </c>
      <c r="M5649">
        <v>1236459000</v>
      </c>
      <c r="N5649">
        <v>20944387975</v>
      </c>
      <c r="O5649" t="b">
        <v>1</v>
      </c>
      <c r="P5649">
        <v>1</v>
      </c>
      <c r="Q5649" t="str" cm="1">
        <f t="array" ref="Q5649">_xlfn.IFS(Table1[[#This Row],[Wealthier_Winner]]=-1,"Wealthier Nation Loses",Table1[[#This Row],[Wealthier_Winner]]=0,"Tie",Table1[[#This Row],[Wealthier_Winner]]=1,"Wealthier Nation Wins")</f>
        <v>Wealthier Nation Wins</v>
      </c>
    </row>
    <row r="5650" spans="1:17" x14ac:dyDescent="0.2">
      <c r="A5650" s="1">
        <v>8204</v>
      </c>
      <c r="B5650" s="2">
        <v>44354</v>
      </c>
      <c r="C5650" s="7">
        <f>_xlfn.FLOOR.MATH(Table1[[#This Row],[year]],10)</f>
        <v>2020</v>
      </c>
      <c r="D5650" t="s">
        <v>782</v>
      </c>
      <c r="E5650" t="s">
        <v>331</v>
      </c>
      <c r="F5650">
        <v>0</v>
      </c>
      <c r="G5650">
        <v>3</v>
      </c>
      <c r="H5650" t="s">
        <v>224</v>
      </c>
      <c r="I5650" t="s">
        <v>435</v>
      </c>
      <c r="J5650" t="s">
        <v>39</v>
      </c>
      <c r="K5650" t="b">
        <v>1</v>
      </c>
      <c r="L5650">
        <v>2021</v>
      </c>
      <c r="M5650">
        <v>6234000000</v>
      </c>
      <c r="N5650">
        <v>14353205678</v>
      </c>
      <c r="O5650" t="b">
        <v>1</v>
      </c>
      <c r="P5650">
        <v>1</v>
      </c>
      <c r="Q5650" t="str" cm="1">
        <f t="array" ref="Q5650">_xlfn.IFS(Table1[[#This Row],[Wealthier_Winner]]=-1,"Wealthier Nation Loses",Table1[[#This Row],[Wealthier_Winner]]=0,"Tie",Table1[[#This Row],[Wealthier_Winner]]=1,"Wealthier Nation Wins")</f>
        <v>Wealthier Nation Wins</v>
      </c>
    </row>
    <row r="5651" spans="1:17" x14ac:dyDescent="0.2">
      <c r="A5651" s="1">
        <v>8206</v>
      </c>
      <c r="B5651" s="2">
        <v>44354</v>
      </c>
      <c r="C5651" s="7">
        <f>_xlfn.FLOOR.MATH(Table1[[#This Row],[year]],10)</f>
        <v>2020</v>
      </c>
      <c r="D5651" t="s">
        <v>400</v>
      </c>
      <c r="E5651" t="s">
        <v>403</v>
      </c>
      <c r="F5651">
        <v>0</v>
      </c>
      <c r="G5651">
        <v>3</v>
      </c>
      <c r="H5651" t="s">
        <v>224</v>
      </c>
      <c r="I5651" t="s">
        <v>366</v>
      </c>
      <c r="J5651" t="s">
        <v>71</v>
      </c>
      <c r="K5651" t="b">
        <v>1</v>
      </c>
      <c r="L5651">
        <v>2021</v>
      </c>
      <c r="M5651">
        <v>36924841394</v>
      </c>
      <c r="N5651">
        <v>46296100140</v>
      </c>
      <c r="O5651" t="b">
        <v>0</v>
      </c>
      <c r="P5651">
        <v>1</v>
      </c>
      <c r="Q5651" t="str" cm="1">
        <f t="array" ref="Q5651">_xlfn.IFS(Table1[[#This Row],[Wealthier_Winner]]=-1,"Wealthier Nation Loses",Table1[[#This Row],[Wealthier_Winner]]=0,"Tie",Table1[[#This Row],[Wealthier_Winner]]=1,"Wealthier Nation Wins")</f>
        <v>Wealthier Nation Wins</v>
      </c>
    </row>
    <row r="5652" spans="1:17" x14ac:dyDescent="0.2">
      <c r="A5652" s="1">
        <v>8208</v>
      </c>
      <c r="B5652" s="2">
        <v>44354</v>
      </c>
      <c r="C5652" s="7">
        <f>_xlfn.FLOOR.MATH(Table1[[#This Row],[year]],10)</f>
        <v>2020</v>
      </c>
      <c r="D5652" t="s">
        <v>37</v>
      </c>
      <c r="E5652" t="s">
        <v>551</v>
      </c>
      <c r="F5652">
        <v>4</v>
      </c>
      <c r="G5652">
        <v>1</v>
      </c>
      <c r="H5652" t="s">
        <v>224</v>
      </c>
      <c r="I5652" t="s">
        <v>852</v>
      </c>
      <c r="J5652" t="s">
        <v>210</v>
      </c>
      <c r="K5652" t="b">
        <v>1</v>
      </c>
      <c r="L5652">
        <v>2021</v>
      </c>
      <c r="M5652">
        <v>209691945713</v>
      </c>
      <c r="N5652">
        <v>36790163687</v>
      </c>
      <c r="O5652" t="b">
        <v>1</v>
      </c>
      <c r="P5652">
        <v>1</v>
      </c>
      <c r="Q5652" t="str" cm="1">
        <f t="array" ref="Q5652">_xlfn.IFS(Table1[[#This Row],[Wealthier_Winner]]=-1,"Wealthier Nation Loses",Table1[[#This Row],[Wealthier_Winner]]=0,"Tie",Table1[[#This Row],[Wealthier_Winner]]=1,"Wealthier Nation Wins")</f>
        <v>Wealthier Nation Wins</v>
      </c>
    </row>
    <row r="5653" spans="1:17" x14ac:dyDescent="0.2">
      <c r="A5653" s="1">
        <v>8209</v>
      </c>
      <c r="B5653" s="2">
        <v>44354</v>
      </c>
      <c r="C5653" s="7">
        <f>_xlfn.FLOOR.MATH(Table1[[#This Row],[year]],10)</f>
        <v>2020</v>
      </c>
      <c r="D5653" t="s">
        <v>563</v>
      </c>
      <c r="E5653" t="s">
        <v>359</v>
      </c>
      <c r="F5653">
        <v>5</v>
      </c>
      <c r="G5653">
        <v>0</v>
      </c>
      <c r="H5653" t="s">
        <v>224</v>
      </c>
      <c r="I5653" t="s">
        <v>356</v>
      </c>
      <c r="J5653" t="s">
        <v>45</v>
      </c>
      <c r="K5653" t="b">
        <v>1</v>
      </c>
      <c r="L5653">
        <v>2021</v>
      </c>
      <c r="M5653">
        <v>77340060003</v>
      </c>
      <c r="N5653">
        <v>436591382250</v>
      </c>
      <c r="O5653" t="b">
        <v>1</v>
      </c>
      <c r="P5653">
        <v>-1</v>
      </c>
      <c r="Q5653" t="str" cm="1">
        <f t="array" ref="Q5653">_xlfn.IFS(Table1[[#This Row],[Wealthier_Winner]]=-1,"Wealthier Nation Loses",Table1[[#This Row],[Wealthier_Winner]]=0,"Tie",Table1[[#This Row],[Wealthier_Winner]]=1,"Wealthier Nation Wins")</f>
        <v>Wealthier Nation Loses</v>
      </c>
    </row>
    <row r="5654" spans="1:17" x14ac:dyDescent="0.2">
      <c r="A5654" s="1">
        <v>8210</v>
      </c>
      <c r="B5654" s="2">
        <v>44354</v>
      </c>
      <c r="C5654" s="7">
        <f>_xlfn.FLOOR.MATH(Table1[[#This Row],[year]],10)</f>
        <v>2020</v>
      </c>
      <c r="D5654" t="s">
        <v>405</v>
      </c>
      <c r="E5654" t="s">
        <v>406</v>
      </c>
      <c r="F5654">
        <v>0</v>
      </c>
      <c r="G5654">
        <v>2</v>
      </c>
      <c r="H5654" t="s">
        <v>224</v>
      </c>
      <c r="I5654" t="s">
        <v>190</v>
      </c>
      <c r="J5654" t="s">
        <v>68</v>
      </c>
      <c r="K5654" t="b">
        <v>1</v>
      </c>
      <c r="L5654">
        <v>2021</v>
      </c>
      <c r="M5654">
        <v>416271647911</v>
      </c>
      <c r="N5654">
        <v>3167270623260</v>
      </c>
      <c r="O5654" t="b">
        <v>1</v>
      </c>
      <c r="P5654">
        <v>1</v>
      </c>
      <c r="Q5654" t="str" cm="1">
        <f t="array" ref="Q5654">_xlfn.IFS(Table1[[#This Row],[Wealthier_Winner]]=-1,"Wealthier Nation Loses",Table1[[#This Row],[Wealthier_Winner]]=0,"Tie",Table1[[#This Row],[Wealthier_Winner]]=1,"Wealthier Nation Wins")</f>
        <v>Wealthier Nation Wins</v>
      </c>
    </row>
    <row r="5655" spans="1:17" x14ac:dyDescent="0.2">
      <c r="A5655" s="1">
        <v>8212</v>
      </c>
      <c r="B5655" s="2">
        <v>44354</v>
      </c>
      <c r="C5655" s="7">
        <f>_xlfn.FLOOR.MATH(Table1[[#This Row],[year]],10)</f>
        <v>2020</v>
      </c>
      <c r="D5655" t="s">
        <v>51</v>
      </c>
      <c r="E5655" t="s">
        <v>556</v>
      </c>
      <c r="F5655">
        <v>4</v>
      </c>
      <c r="G5655">
        <v>1</v>
      </c>
      <c r="H5655" t="s">
        <v>224</v>
      </c>
      <c r="I5655" t="s">
        <v>853</v>
      </c>
      <c r="J5655" t="s">
        <v>51</v>
      </c>
      <c r="K5655" t="b">
        <v>0</v>
      </c>
      <c r="L5655">
        <v>2021</v>
      </c>
      <c r="M5655">
        <v>5039148168861</v>
      </c>
      <c r="N5655">
        <v>8937805347</v>
      </c>
      <c r="O5655" t="b">
        <v>1</v>
      </c>
      <c r="P5655">
        <v>1</v>
      </c>
      <c r="Q5655" t="str" cm="1">
        <f t="array" ref="Q5655">_xlfn.IFS(Table1[[#This Row],[Wealthier_Winner]]=-1,"Wealthier Nation Loses",Table1[[#This Row],[Wealthier_Winner]]=0,"Tie",Table1[[#This Row],[Wealthier_Winner]]=1,"Wealthier Nation Wins")</f>
        <v>Wealthier Nation Wins</v>
      </c>
    </row>
    <row r="5656" spans="1:17" x14ac:dyDescent="0.2">
      <c r="A5656" s="1">
        <v>8213</v>
      </c>
      <c r="B5656" s="2">
        <v>44354</v>
      </c>
      <c r="C5656" s="7">
        <f>_xlfn.FLOOR.MATH(Table1[[#This Row],[year]],10)</f>
        <v>2020</v>
      </c>
      <c r="D5656" t="s">
        <v>39</v>
      </c>
      <c r="E5656" t="s">
        <v>334</v>
      </c>
      <c r="F5656">
        <v>3</v>
      </c>
      <c r="G5656">
        <v>1</v>
      </c>
      <c r="H5656" t="s">
        <v>224</v>
      </c>
      <c r="I5656" t="s">
        <v>412</v>
      </c>
      <c r="J5656" t="s">
        <v>39</v>
      </c>
      <c r="K5656" t="b">
        <v>0</v>
      </c>
      <c r="L5656">
        <v>2021</v>
      </c>
      <c r="M5656">
        <v>422441388699</v>
      </c>
      <c r="N5656">
        <v>506194668789</v>
      </c>
      <c r="O5656" t="b">
        <v>0</v>
      </c>
      <c r="P5656">
        <v>-1</v>
      </c>
      <c r="Q5656" t="str" cm="1">
        <f t="array" ref="Q5656">_xlfn.IFS(Table1[[#This Row],[Wealthier_Winner]]=-1,"Wealthier Nation Loses",Table1[[#This Row],[Wealthier_Winner]]=0,"Tie",Table1[[#This Row],[Wealthier_Winner]]=1,"Wealthier Nation Wins")</f>
        <v>Wealthier Nation Loses</v>
      </c>
    </row>
    <row r="5657" spans="1:17" x14ac:dyDescent="0.2">
      <c r="A5657" s="1">
        <v>8214</v>
      </c>
      <c r="B5657" s="2">
        <v>44354</v>
      </c>
      <c r="C5657" s="7">
        <f>_xlfn.FLOOR.MATH(Table1[[#This Row],[year]],10)</f>
        <v>2020</v>
      </c>
      <c r="D5657" t="s">
        <v>475</v>
      </c>
      <c r="E5657" t="s">
        <v>328</v>
      </c>
      <c r="F5657">
        <v>4</v>
      </c>
      <c r="G5657">
        <v>0</v>
      </c>
      <c r="H5657" t="s">
        <v>224</v>
      </c>
      <c r="I5657" t="s">
        <v>412</v>
      </c>
      <c r="J5657" t="s">
        <v>39</v>
      </c>
      <c r="K5657" t="b">
        <v>1</v>
      </c>
      <c r="L5657">
        <v>2021</v>
      </c>
      <c r="M5657">
        <v>366474752771</v>
      </c>
      <c r="N5657">
        <v>1186509691086</v>
      </c>
      <c r="O5657" t="b">
        <v>1</v>
      </c>
      <c r="P5657">
        <v>-1</v>
      </c>
      <c r="Q5657" t="str" cm="1">
        <f t="array" ref="Q5657">_xlfn.IFS(Table1[[#This Row],[Wealthier_Winner]]=-1,"Wealthier Nation Loses",Table1[[#This Row],[Wealthier_Winner]]=0,"Tie",Table1[[#This Row],[Wealthier_Winner]]=1,"Wealthier Nation Wins")</f>
        <v>Wealthier Nation Loses</v>
      </c>
    </row>
    <row r="5658" spans="1:17" x14ac:dyDescent="0.2">
      <c r="A5658" s="1">
        <v>8215</v>
      </c>
      <c r="B5658" s="2">
        <v>44354</v>
      </c>
      <c r="C5658" s="7">
        <f>_xlfn.FLOOR.MATH(Table1[[#This Row],[year]],10)</f>
        <v>2020</v>
      </c>
      <c r="D5658" t="s">
        <v>361</v>
      </c>
      <c r="E5658" t="s">
        <v>210</v>
      </c>
      <c r="F5658">
        <v>0</v>
      </c>
      <c r="G5658">
        <v>3</v>
      </c>
      <c r="H5658" t="s">
        <v>224</v>
      </c>
      <c r="I5658" t="s">
        <v>419</v>
      </c>
      <c r="J5658" t="s">
        <v>361</v>
      </c>
      <c r="K5658" t="b">
        <v>0</v>
      </c>
      <c r="L5658">
        <v>2021</v>
      </c>
      <c r="M5658">
        <v>40840212765</v>
      </c>
      <c r="N5658">
        <v>407350685583</v>
      </c>
      <c r="O5658" t="b">
        <v>1</v>
      </c>
      <c r="P5658">
        <v>1</v>
      </c>
      <c r="Q5658" t="str" cm="1">
        <f t="array" ref="Q5658">_xlfn.IFS(Table1[[#This Row],[Wealthier_Winner]]=-1,"Wealthier Nation Loses",Table1[[#This Row],[Wealthier_Winner]]=0,"Tie",Table1[[#This Row],[Wealthier_Winner]]=1,"Wealthier Nation Wins")</f>
        <v>Wealthier Nation Wins</v>
      </c>
    </row>
    <row r="5659" spans="1:17" x14ac:dyDescent="0.2">
      <c r="A5659" s="1">
        <v>8216</v>
      </c>
      <c r="B5659" s="2">
        <v>44354</v>
      </c>
      <c r="C5659" s="7">
        <f>_xlfn.FLOOR.MATH(Table1[[#This Row],[year]],10)</f>
        <v>2020</v>
      </c>
      <c r="D5659" t="s">
        <v>68</v>
      </c>
      <c r="E5659" t="s">
        <v>429</v>
      </c>
      <c r="F5659">
        <v>1</v>
      </c>
      <c r="G5659">
        <v>0</v>
      </c>
      <c r="H5659" t="s">
        <v>224</v>
      </c>
      <c r="I5659" t="s">
        <v>190</v>
      </c>
      <c r="J5659" t="s">
        <v>68</v>
      </c>
      <c r="K5659" t="b">
        <v>0</v>
      </c>
      <c r="L5659">
        <v>2021</v>
      </c>
      <c r="M5659">
        <v>179732142857</v>
      </c>
      <c r="N5659">
        <v>87323797139</v>
      </c>
      <c r="O5659" t="b">
        <v>1</v>
      </c>
      <c r="P5659">
        <v>1</v>
      </c>
      <c r="Q5659" t="str" cm="1">
        <f t="array" ref="Q5659">_xlfn.IFS(Table1[[#This Row],[Wealthier_Winner]]=-1,"Wealthier Nation Loses",Table1[[#This Row],[Wealthier_Winner]]=0,"Tie",Table1[[#This Row],[Wealthier_Winner]]=1,"Wealthier Nation Wins")</f>
        <v>Wealthier Nation Wins</v>
      </c>
    </row>
    <row r="5660" spans="1:17" x14ac:dyDescent="0.2">
      <c r="A5660" s="1">
        <v>8218</v>
      </c>
      <c r="B5660" s="2">
        <v>44355</v>
      </c>
      <c r="C5660" s="7">
        <f>_xlfn.FLOOR.MATH(Table1[[#This Row],[year]],10)</f>
        <v>2020</v>
      </c>
      <c r="D5660" t="s">
        <v>69</v>
      </c>
      <c r="E5660" t="s">
        <v>449</v>
      </c>
      <c r="F5660">
        <v>3</v>
      </c>
      <c r="G5660">
        <v>0</v>
      </c>
      <c r="H5660" t="s">
        <v>224</v>
      </c>
      <c r="I5660" t="s">
        <v>281</v>
      </c>
      <c r="J5660" t="s">
        <v>69</v>
      </c>
      <c r="K5660" t="b">
        <v>0</v>
      </c>
      <c r="L5660">
        <v>2021</v>
      </c>
      <c r="M5660">
        <v>29043140000</v>
      </c>
      <c r="N5660">
        <v>1602125925</v>
      </c>
      <c r="O5660" t="b">
        <v>1</v>
      </c>
      <c r="P5660">
        <v>1</v>
      </c>
      <c r="Q5660" t="str" cm="1">
        <f t="array" ref="Q5660">_xlfn.IFS(Table1[[#This Row],[Wealthier_Winner]]=-1,"Wealthier Nation Loses",Table1[[#This Row],[Wealthier_Winner]]=0,"Tie",Table1[[#This Row],[Wealthier_Winner]]=1,"Wealthier Nation Wins")</f>
        <v>Wealthier Nation Wins</v>
      </c>
    </row>
    <row r="5661" spans="1:17" x14ac:dyDescent="0.2">
      <c r="A5661" s="1">
        <v>8219</v>
      </c>
      <c r="B5661" s="2">
        <v>44355</v>
      </c>
      <c r="C5661" s="7">
        <f>_xlfn.FLOOR.MATH(Table1[[#This Row],[year]],10)</f>
        <v>2020</v>
      </c>
      <c r="D5661" t="s">
        <v>34</v>
      </c>
      <c r="E5661" t="s">
        <v>252</v>
      </c>
      <c r="F5661">
        <v>4</v>
      </c>
      <c r="G5661">
        <v>0</v>
      </c>
      <c r="H5661" t="s">
        <v>224</v>
      </c>
      <c r="I5661" t="s">
        <v>714</v>
      </c>
      <c r="J5661" t="s">
        <v>41</v>
      </c>
      <c r="K5661" t="b">
        <v>1</v>
      </c>
      <c r="L5661">
        <v>2021</v>
      </c>
      <c r="M5661">
        <v>2022378748423</v>
      </c>
      <c r="N5661">
        <v>3107923197</v>
      </c>
      <c r="O5661" t="b">
        <v>1</v>
      </c>
      <c r="P5661">
        <v>1</v>
      </c>
      <c r="Q5661" t="str" cm="1">
        <f t="array" ref="Q5661">_xlfn.IFS(Table1[[#This Row],[Wealthier_Winner]]=-1,"Wealthier Nation Loses",Table1[[#This Row],[Wealthier_Winner]]=0,"Tie",Table1[[#This Row],[Wealthier_Winner]]=1,"Wealthier Nation Wins")</f>
        <v>Wealthier Nation Wins</v>
      </c>
    </row>
    <row r="5662" spans="1:17" x14ac:dyDescent="0.2">
      <c r="A5662" s="1">
        <v>8220</v>
      </c>
      <c r="B5662" s="2">
        <v>44355</v>
      </c>
      <c r="C5662" s="7">
        <f>_xlfn.FLOOR.MATH(Table1[[#This Row],[year]],10)</f>
        <v>2020</v>
      </c>
      <c r="D5662" t="s">
        <v>266</v>
      </c>
      <c r="E5662" t="s">
        <v>691</v>
      </c>
      <c r="F5662">
        <v>1</v>
      </c>
      <c r="G5662">
        <v>1</v>
      </c>
      <c r="H5662" t="s">
        <v>224</v>
      </c>
      <c r="I5662" t="s">
        <v>843</v>
      </c>
      <c r="J5662" t="s">
        <v>41</v>
      </c>
      <c r="K5662" t="b">
        <v>1</v>
      </c>
      <c r="L5662">
        <v>2021</v>
      </c>
      <c r="M5662">
        <v>7290037000</v>
      </c>
      <c r="N5662">
        <v>6060813808</v>
      </c>
      <c r="O5662" t="b">
        <v>0</v>
      </c>
      <c r="P5662">
        <v>0</v>
      </c>
      <c r="Q5662" t="str" cm="1">
        <f t="array" ref="Q5662">_xlfn.IFS(Table1[[#This Row],[Wealthier_Winner]]=-1,"Wealthier Nation Loses",Table1[[#This Row],[Wealthier_Winner]]=0,"Tie",Table1[[#This Row],[Wealthier_Winner]]=1,"Wealthier Nation Wins")</f>
        <v>Tie</v>
      </c>
    </row>
    <row r="5663" spans="1:17" x14ac:dyDescent="0.2">
      <c r="A5663" s="1">
        <v>8223</v>
      </c>
      <c r="B5663" s="2">
        <v>44355</v>
      </c>
      <c r="C5663" s="7">
        <f>_xlfn.FLOOR.MATH(Table1[[#This Row],[year]],10)</f>
        <v>2020</v>
      </c>
      <c r="D5663" t="s">
        <v>443</v>
      </c>
      <c r="E5663" t="s">
        <v>494</v>
      </c>
      <c r="F5663">
        <v>1</v>
      </c>
      <c r="G5663">
        <v>1</v>
      </c>
      <c r="H5663" t="s">
        <v>224</v>
      </c>
      <c r="I5663" t="s">
        <v>498</v>
      </c>
      <c r="J5663" t="s">
        <v>496</v>
      </c>
      <c r="K5663" t="b">
        <v>1</v>
      </c>
      <c r="L5663">
        <v>2021</v>
      </c>
      <c r="M5663">
        <v>5947550000</v>
      </c>
      <c r="N5663">
        <v>562911111</v>
      </c>
      <c r="O5663" t="b">
        <v>1</v>
      </c>
      <c r="P5663">
        <v>0</v>
      </c>
      <c r="Q5663" t="str" cm="1">
        <f t="array" ref="Q5663">_xlfn.IFS(Table1[[#This Row],[Wealthier_Winner]]=-1,"Wealthier Nation Loses",Table1[[#This Row],[Wealthier_Winner]]=0,"Tie",Table1[[#This Row],[Wealthier_Winner]]=1,"Wealthier Nation Wins")</f>
        <v>Tie</v>
      </c>
    </row>
    <row r="5664" spans="1:17" x14ac:dyDescent="0.2">
      <c r="A5664" s="1">
        <v>8224</v>
      </c>
      <c r="B5664" s="2">
        <v>44355</v>
      </c>
      <c r="C5664" s="7">
        <f>_xlfn.FLOOR.MATH(Table1[[#This Row],[year]],10)</f>
        <v>2020</v>
      </c>
      <c r="D5664" t="s">
        <v>67</v>
      </c>
      <c r="E5664" t="s">
        <v>496</v>
      </c>
      <c r="F5664">
        <v>3</v>
      </c>
      <c r="G5664">
        <v>0</v>
      </c>
      <c r="H5664" t="s">
        <v>224</v>
      </c>
      <c r="I5664" t="s">
        <v>455</v>
      </c>
      <c r="J5664" t="s">
        <v>67</v>
      </c>
      <c r="K5664" t="b">
        <v>0</v>
      </c>
      <c r="L5664">
        <v>2021</v>
      </c>
      <c r="M5664">
        <v>67396392506</v>
      </c>
      <c r="N5664">
        <v>94850719516</v>
      </c>
      <c r="O5664" t="b">
        <v>0</v>
      </c>
      <c r="P5664">
        <v>-1</v>
      </c>
      <c r="Q5664" t="str" cm="1">
        <f t="array" ref="Q5664">_xlfn.IFS(Table1[[#This Row],[Wealthier_Winner]]=-1,"Wealthier Nation Loses",Table1[[#This Row],[Wealthier_Winner]]=0,"Tie",Table1[[#This Row],[Wealthier_Winner]]=1,"Wealthier Nation Wins")</f>
        <v>Wealthier Nation Loses</v>
      </c>
    </row>
    <row r="5665" spans="1:17" x14ac:dyDescent="0.2">
      <c r="A5665" s="1">
        <v>8225</v>
      </c>
      <c r="B5665" s="2">
        <v>44355</v>
      </c>
      <c r="C5665" s="7">
        <f>_xlfn.FLOOR.MATH(Table1[[#This Row],[year]],10)</f>
        <v>2020</v>
      </c>
      <c r="D5665" t="s">
        <v>70</v>
      </c>
      <c r="E5665" t="s">
        <v>453</v>
      </c>
      <c r="F5665">
        <v>1</v>
      </c>
      <c r="G5665">
        <v>0</v>
      </c>
      <c r="H5665" t="s">
        <v>224</v>
      </c>
      <c r="I5665" t="s">
        <v>280</v>
      </c>
      <c r="J5665" t="s">
        <v>70</v>
      </c>
      <c r="K5665" t="b">
        <v>0</v>
      </c>
      <c r="L5665">
        <v>2021</v>
      </c>
      <c r="M5665">
        <v>20944387975</v>
      </c>
      <c r="N5665">
        <v>14209020361</v>
      </c>
      <c r="O5665" t="b">
        <v>0</v>
      </c>
      <c r="P5665">
        <v>1</v>
      </c>
      <c r="Q5665" t="str" cm="1">
        <f t="array" ref="Q5665">_xlfn.IFS(Table1[[#This Row],[Wealthier_Winner]]=-1,"Wealthier Nation Loses",Table1[[#This Row],[Wealthier_Winner]]=0,"Tie",Table1[[#This Row],[Wealthier_Winner]]=1,"Wealthier Nation Wins")</f>
        <v>Wealthier Nation Wins</v>
      </c>
    </row>
    <row r="5666" spans="1:17" x14ac:dyDescent="0.2">
      <c r="A5666" s="1">
        <v>8228</v>
      </c>
      <c r="B5666" s="2">
        <v>44355</v>
      </c>
      <c r="C5666" s="7">
        <f>_xlfn.FLOOR.MATH(Table1[[#This Row],[year]],10)</f>
        <v>2020</v>
      </c>
      <c r="D5666" t="s">
        <v>57</v>
      </c>
      <c r="E5666" t="s">
        <v>31</v>
      </c>
      <c r="F5666">
        <v>1</v>
      </c>
      <c r="G5666">
        <v>2</v>
      </c>
      <c r="H5666" t="s">
        <v>224</v>
      </c>
      <c r="I5666" t="s">
        <v>335</v>
      </c>
      <c r="J5666" t="s">
        <v>57</v>
      </c>
      <c r="K5666" t="b">
        <v>0</v>
      </c>
      <c r="L5666">
        <v>2021</v>
      </c>
      <c r="M5666">
        <v>107179074000</v>
      </c>
      <c r="N5666">
        <v>226328766459</v>
      </c>
      <c r="O5666" t="b">
        <v>1</v>
      </c>
      <c r="P5666">
        <v>1</v>
      </c>
      <c r="Q5666" t="str" cm="1">
        <f t="array" ref="Q5666">_xlfn.IFS(Table1[[#This Row],[Wealthier_Winner]]=-1,"Wealthier Nation Loses",Table1[[#This Row],[Wealthier_Winner]]=0,"Tie",Table1[[#This Row],[Wealthier_Winner]]=1,"Wealthier Nation Wins")</f>
        <v>Wealthier Nation Wins</v>
      </c>
    </row>
    <row r="5667" spans="1:17" x14ac:dyDescent="0.2">
      <c r="A5667" s="1">
        <v>8229</v>
      </c>
      <c r="B5667" s="2">
        <v>44355</v>
      </c>
      <c r="C5667" s="7">
        <f>_xlfn.FLOOR.MATH(Table1[[#This Row],[year]],10)</f>
        <v>2020</v>
      </c>
      <c r="D5667" t="s">
        <v>15</v>
      </c>
      <c r="E5667" t="s">
        <v>19</v>
      </c>
      <c r="F5667">
        <v>2</v>
      </c>
      <c r="G5667">
        <v>2</v>
      </c>
      <c r="H5667" t="s">
        <v>224</v>
      </c>
      <c r="I5667" t="s">
        <v>261</v>
      </c>
      <c r="J5667" t="s">
        <v>15</v>
      </c>
      <c r="K5667" t="b">
        <v>0</v>
      </c>
      <c r="L5667">
        <v>2021</v>
      </c>
      <c r="M5667">
        <v>318524633225</v>
      </c>
      <c r="N5667">
        <v>486564085480</v>
      </c>
      <c r="O5667" t="b">
        <v>0</v>
      </c>
      <c r="P5667">
        <v>0</v>
      </c>
      <c r="Q5667" t="str" cm="1">
        <f t="array" ref="Q5667">_xlfn.IFS(Table1[[#This Row],[Wealthier_Winner]]=-1,"Wealthier Nation Loses",Table1[[#This Row],[Wealthier_Winner]]=0,"Tie",Table1[[#This Row],[Wealthier_Winner]]=1,"Wealthier Nation Wins")</f>
        <v>Tie</v>
      </c>
    </row>
    <row r="5668" spans="1:17" x14ac:dyDescent="0.2">
      <c r="A5668" s="1">
        <v>8230</v>
      </c>
      <c r="B5668" s="2">
        <v>44355</v>
      </c>
      <c r="C5668" s="7">
        <f>_xlfn.FLOOR.MATH(Table1[[#This Row],[year]],10)</f>
        <v>2020</v>
      </c>
      <c r="D5668" t="s">
        <v>258</v>
      </c>
      <c r="E5668" t="s">
        <v>26</v>
      </c>
      <c r="F5668">
        <v>0</v>
      </c>
      <c r="G5668">
        <v>0</v>
      </c>
      <c r="H5668" t="s">
        <v>224</v>
      </c>
      <c r="I5668" t="s">
        <v>260</v>
      </c>
      <c r="J5668" t="s">
        <v>258</v>
      </c>
      <c r="K5668" t="b">
        <v>0</v>
      </c>
      <c r="L5668">
        <v>2021</v>
      </c>
      <c r="M5668">
        <v>56614976854</v>
      </c>
      <c r="N5668">
        <v>60739084240</v>
      </c>
      <c r="O5668" t="b">
        <v>0</v>
      </c>
      <c r="P5668">
        <v>0</v>
      </c>
      <c r="Q5668" t="str" cm="1">
        <f t="array" ref="Q5668">_xlfn.IFS(Table1[[#This Row],[Wealthier_Winner]]=-1,"Wealthier Nation Loses",Table1[[#This Row],[Wealthier_Winner]]=0,"Tie",Table1[[#This Row],[Wealthier_Winner]]=1,"Wealthier Nation Wins")</f>
        <v>Tie</v>
      </c>
    </row>
    <row r="5669" spans="1:17" x14ac:dyDescent="0.2">
      <c r="A5669" s="1">
        <v>8231</v>
      </c>
      <c r="B5669" s="2">
        <v>44355</v>
      </c>
      <c r="C5669" s="7">
        <f>_xlfn.FLOOR.MATH(Table1[[#This Row],[year]],10)</f>
        <v>2020</v>
      </c>
      <c r="D5669" t="s">
        <v>35</v>
      </c>
      <c r="E5669" t="s">
        <v>13</v>
      </c>
      <c r="F5669">
        <v>0</v>
      </c>
      <c r="G5669">
        <v>2</v>
      </c>
      <c r="H5669" t="s">
        <v>224</v>
      </c>
      <c r="I5669" t="s">
        <v>250</v>
      </c>
      <c r="J5669" t="s">
        <v>35</v>
      </c>
      <c r="K5669" t="b">
        <v>0</v>
      </c>
      <c r="L5669">
        <v>2021</v>
      </c>
      <c r="M5669">
        <v>39950899938</v>
      </c>
      <c r="N5669">
        <v>1670647464062</v>
      </c>
      <c r="O5669" t="b">
        <v>1</v>
      </c>
      <c r="P5669">
        <v>1</v>
      </c>
      <c r="Q5669" t="str" cm="1">
        <f t="array" ref="Q5669">_xlfn.IFS(Table1[[#This Row],[Wealthier_Winner]]=-1,"Wealthier Nation Loses",Table1[[#This Row],[Wealthier_Winner]]=0,"Tie",Table1[[#This Row],[Wealthier_Winner]]=1,"Wealthier Nation Wins")</f>
        <v>Wealthier Nation Wins</v>
      </c>
    </row>
    <row r="5670" spans="1:17" x14ac:dyDescent="0.2">
      <c r="A5670" s="1">
        <v>8232</v>
      </c>
      <c r="B5670" s="2">
        <v>44355</v>
      </c>
      <c r="C5670" s="7">
        <f>_xlfn.FLOOR.MATH(Table1[[#This Row],[year]],10)</f>
        <v>2020</v>
      </c>
      <c r="D5670" t="s">
        <v>14</v>
      </c>
      <c r="E5670" t="s">
        <v>47</v>
      </c>
      <c r="F5670">
        <v>1</v>
      </c>
      <c r="G5670">
        <v>1</v>
      </c>
      <c r="H5670" t="s">
        <v>224</v>
      </c>
      <c r="I5670" t="s">
        <v>75</v>
      </c>
      <c r="J5670" t="s">
        <v>14</v>
      </c>
      <c r="K5670" t="b">
        <v>0</v>
      </c>
      <c r="L5670">
        <v>2021</v>
      </c>
      <c r="M5670">
        <v>315325547162</v>
      </c>
      <c r="N5670">
        <v>47877892402</v>
      </c>
      <c r="O5670" t="b">
        <v>1</v>
      </c>
      <c r="P5670">
        <v>0</v>
      </c>
      <c r="Q5670" t="str" cm="1">
        <f t="array" ref="Q5670">_xlfn.IFS(Table1[[#This Row],[Wealthier_Winner]]=-1,"Wealthier Nation Loses",Table1[[#This Row],[Wealthier_Winner]]=0,"Tie",Table1[[#This Row],[Wealthier_Winner]]=1,"Wealthier Nation Wins")</f>
        <v>Tie</v>
      </c>
    </row>
    <row r="5671" spans="1:17" x14ac:dyDescent="0.2">
      <c r="A5671" s="1">
        <v>8233</v>
      </c>
      <c r="B5671" s="2">
        <v>44356</v>
      </c>
      <c r="C5671" s="7">
        <f>_xlfn.FLOOR.MATH(Table1[[#This Row],[year]],10)</f>
        <v>2020</v>
      </c>
      <c r="D5671" t="s">
        <v>560</v>
      </c>
      <c r="E5671" t="s">
        <v>479</v>
      </c>
      <c r="F5671">
        <v>3</v>
      </c>
      <c r="G5671">
        <v>2</v>
      </c>
      <c r="H5671" t="s">
        <v>224</v>
      </c>
      <c r="I5671" t="s">
        <v>745</v>
      </c>
      <c r="J5671" t="s">
        <v>195</v>
      </c>
      <c r="K5671" t="b">
        <v>1</v>
      </c>
      <c r="L5671">
        <v>2021</v>
      </c>
      <c r="M5671">
        <v>40589905812</v>
      </c>
      <c r="N5671">
        <v>23131941556</v>
      </c>
      <c r="O5671" t="b">
        <v>0</v>
      </c>
      <c r="P5671">
        <v>1</v>
      </c>
      <c r="Q5671" t="str" cm="1">
        <f t="array" ref="Q5671">_xlfn.IFS(Table1[[#This Row],[Wealthier_Winner]]=-1,"Wealthier Nation Loses",Table1[[#This Row],[Wealthier_Winner]]=0,"Tie",Table1[[#This Row],[Wealthier_Winner]]=1,"Wealthier Nation Wins")</f>
        <v>Wealthier Nation Wins</v>
      </c>
    </row>
    <row r="5672" spans="1:17" x14ac:dyDescent="0.2">
      <c r="A5672" s="1">
        <v>8234</v>
      </c>
      <c r="B5672" s="2">
        <v>44356</v>
      </c>
      <c r="C5672" s="7">
        <f>_xlfn.FLOOR.MATH(Table1[[#This Row],[year]],10)</f>
        <v>2020</v>
      </c>
      <c r="D5672" t="s">
        <v>195</v>
      </c>
      <c r="E5672" t="s">
        <v>473</v>
      </c>
      <c r="F5672">
        <v>5</v>
      </c>
      <c r="G5672">
        <v>0</v>
      </c>
      <c r="H5672" t="s">
        <v>224</v>
      </c>
      <c r="I5672" t="s">
        <v>745</v>
      </c>
      <c r="J5672" t="s">
        <v>195</v>
      </c>
      <c r="K5672" t="b">
        <v>0</v>
      </c>
      <c r="L5672">
        <v>2021</v>
      </c>
      <c r="M5672">
        <v>1942313560965</v>
      </c>
      <c r="N5672">
        <v>88556698937</v>
      </c>
      <c r="O5672" t="b">
        <v>1</v>
      </c>
      <c r="P5672">
        <v>1</v>
      </c>
      <c r="Q5672" t="str" cm="1">
        <f t="array" ref="Q5672">_xlfn.IFS(Table1[[#This Row],[Wealthier_Winner]]=-1,"Wealthier Nation Loses",Table1[[#This Row],[Wealthier_Winner]]=0,"Tie",Table1[[#This Row],[Wealthier_Winner]]=1,"Wealthier Nation Wins")</f>
        <v>Wealthier Nation Wins</v>
      </c>
    </row>
    <row r="5673" spans="1:17" x14ac:dyDescent="0.2">
      <c r="A5673" s="1">
        <v>8235</v>
      </c>
      <c r="B5673" s="2">
        <v>44358</v>
      </c>
      <c r="C5673" s="7">
        <f>_xlfn.FLOOR.MATH(Table1[[#This Row],[year]],10)</f>
        <v>2020</v>
      </c>
      <c r="D5673" t="s">
        <v>532</v>
      </c>
      <c r="E5673" t="s">
        <v>782</v>
      </c>
      <c r="F5673">
        <v>3</v>
      </c>
      <c r="G5673">
        <v>0</v>
      </c>
      <c r="H5673" t="s">
        <v>224</v>
      </c>
      <c r="I5673" t="s">
        <v>435</v>
      </c>
      <c r="J5673" t="s">
        <v>39</v>
      </c>
      <c r="K5673" t="b">
        <v>1</v>
      </c>
      <c r="L5673">
        <v>2021</v>
      </c>
      <c r="M5673">
        <v>394087359848</v>
      </c>
      <c r="N5673">
        <v>6234000000</v>
      </c>
      <c r="O5673" t="b">
        <v>1</v>
      </c>
      <c r="P5673">
        <v>1</v>
      </c>
      <c r="Q5673" t="str" cm="1">
        <f t="array" ref="Q5673">_xlfn.IFS(Table1[[#This Row],[Wealthier_Winner]]=-1,"Wealthier Nation Loses",Table1[[#This Row],[Wealthier_Winner]]=0,"Tie",Table1[[#This Row],[Wealthier_Winner]]=1,"Wealthier Nation Wins")</f>
        <v>Wealthier Nation Wins</v>
      </c>
    </row>
    <row r="5674" spans="1:17" x14ac:dyDescent="0.2">
      <c r="A5674" s="1">
        <v>8237</v>
      </c>
      <c r="B5674" s="2">
        <v>44358</v>
      </c>
      <c r="C5674" s="7">
        <f>_xlfn.FLOOR.MATH(Table1[[#This Row],[year]],10)</f>
        <v>2020</v>
      </c>
      <c r="D5674" t="s">
        <v>400</v>
      </c>
      <c r="E5674" t="s">
        <v>28</v>
      </c>
      <c r="F5674">
        <v>0</v>
      </c>
      <c r="G5674">
        <v>3</v>
      </c>
      <c r="H5674" t="s">
        <v>224</v>
      </c>
      <c r="I5674" t="s">
        <v>366</v>
      </c>
      <c r="J5674" t="s">
        <v>71</v>
      </c>
      <c r="K5674" t="b">
        <v>1</v>
      </c>
      <c r="L5674">
        <v>2021</v>
      </c>
      <c r="M5674">
        <v>36924841394</v>
      </c>
      <c r="N5674">
        <v>1560617493202</v>
      </c>
      <c r="O5674" t="b">
        <v>1</v>
      </c>
      <c r="P5674">
        <v>1</v>
      </c>
      <c r="Q5674" t="str" cm="1">
        <f t="array" ref="Q5674">_xlfn.IFS(Table1[[#This Row],[Wealthier_Winner]]=-1,"Wealthier Nation Loses",Table1[[#This Row],[Wealthier_Winner]]=0,"Tie",Table1[[#This Row],[Wealthier_Winner]]=1,"Wealthier Nation Wins")</f>
        <v>Wealthier Nation Wins</v>
      </c>
    </row>
    <row r="5675" spans="1:17" x14ac:dyDescent="0.2">
      <c r="A5675" s="1">
        <v>8238</v>
      </c>
      <c r="B5675" s="2">
        <v>44358</v>
      </c>
      <c r="C5675" s="7">
        <f>_xlfn.FLOOR.MATH(Table1[[#This Row],[year]],10)</f>
        <v>2020</v>
      </c>
      <c r="D5675" t="s">
        <v>71</v>
      </c>
      <c r="E5675" t="s">
        <v>403</v>
      </c>
      <c r="F5675">
        <v>0</v>
      </c>
      <c r="G5675">
        <v>0</v>
      </c>
      <c r="H5675" t="s">
        <v>224</v>
      </c>
      <c r="I5675" t="s">
        <v>366</v>
      </c>
      <c r="J5675" t="s">
        <v>71</v>
      </c>
      <c r="K5675" t="b">
        <v>0</v>
      </c>
      <c r="L5675">
        <v>2021</v>
      </c>
      <c r="M5675">
        <v>148350671489</v>
      </c>
      <c r="N5675">
        <v>46296100140</v>
      </c>
      <c r="O5675" t="b">
        <v>1</v>
      </c>
      <c r="P5675">
        <v>0</v>
      </c>
      <c r="Q5675" t="str" cm="1">
        <f t="array" ref="Q5675">_xlfn.IFS(Table1[[#This Row],[Wealthier_Winner]]=-1,"Wealthier Nation Loses",Table1[[#This Row],[Wealthier_Winner]]=0,"Tie",Table1[[#This Row],[Wealthier_Winner]]=1,"Wealthier Nation Wins")</f>
        <v>Tie</v>
      </c>
    </row>
    <row r="5676" spans="1:17" x14ac:dyDescent="0.2">
      <c r="A5676" s="1">
        <v>8239</v>
      </c>
      <c r="B5676" s="2">
        <v>44358</v>
      </c>
      <c r="C5676" s="7">
        <f>_xlfn.FLOOR.MATH(Table1[[#This Row],[year]],10)</f>
        <v>2020</v>
      </c>
      <c r="D5676" t="s">
        <v>551</v>
      </c>
      <c r="E5676" t="s">
        <v>210</v>
      </c>
      <c r="F5676">
        <v>0</v>
      </c>
      <c r="G5676">
        <v>10</v>
      </c>
      <c r="H5676" t="s">
        <v>224</v>
      </c>
      <c r="I5676" t="s">
        <v>854</v>
      </c>
      <c r="J5676" t="s">
        <v>361</v>
      </c>
      <c r="K5676" t="b">
        <v>1</v>
      </c>
      <c r="L5676">
        <v>2021</v>
      </c>
      <c r="M5676">
        <v>36790163687</v>
      </c>
      <c r="N5676">
        <v>407350685583</v>
      </c>
      <c r="O5676" t="b">
        <v>1</v>
      </c>
      <c r="P5676">
        <v>1</v>
      </c>
      <c r="Q5676" t="str" cm="1">
        <f t="array" ref="Q5676">_xlfn.IFS(Table1[[#This Row],[Wealthier_Winner]]=-1,"Wealthier Nation Loses",Table1[[#This Row],[Wealthier_Winner]]=0,"Tie",Table1[[#This Row],[Wealthier_Winner]]=1,"Wealthier Nation Wins")</f>
        <v>Wealthier Nation Wins</v>
      </c>
    </row>
    <row r="5677" spans="1:17" x14ac:dyDescent="0.2">
      <c r="A5677" s="1">
        <v>8242</v>
      </c>
      <c r="B5677" s="2">
        <v>44358</v>
      </c>
      <c r="C5677" s="7">
        <f>_xlfn.FLOOR.MATH(Table1[[#This Row],[year]],10)</f>
        <v>2020</v>
      </c>
      <c r="D5677" t="s">
        <v>641</v>
      </c>
      <c r="E5677" t="s">
        <v>429</v>
      </c>
      <c r="F5677">
        <v>1</v>
      </c>
      <c r="G5677">
        <v>2</v>
      </c>
      <c r="H5677" t="s">
        <v>224</v>
      </c>
      <c r="I5677" t="s">
        <v>190</v>
      </c>
      <c r="J5677" t="s">
        <v>68</v>
      </c>
      <c r="K5677" t="b">
        <v>1</v>
      </c>
      <c r="L5677">
        <v>2021</v>
      </c>
      <c r="M5677">
        <v>14259995441</v>
      </c>
      <c r="N5677">
        <v>87323797139</v>
      </c>
      <c r="O5677" t="b">
        <v>1</v>
      </c>
      <c r="P5677">
        <v>1</v>
      </c>
      <c r="Q5677" t="str" cm="1">
        <f t="array" ref="Q5677">_xlfn.IFS(Table1[[#This Row],[Wealthier_Winner]]=-1,"Wealthier Nation Loses",Table1[[#This Row],[Wealthier_Winner]]=0,"Tie",Table1[[#This Row],[Wealthier_Winner]]=1,"Wealthier Nation Wins")</f>
        <v>Wealthier Nation Wins</v>
      </c>
    </row>
    <row r="5678" spans="1:17" x14ac:dyDescent="0.2">
      <c r="A5678" s="1">
        <v>8244</v>
      </c>
      <c r="B5678" s="2">
        <v>44358</v>
      </c>
      <c r="C5678" s="7">
        <f>_xlfn.FLOOR.MATH(Table1[[#This Row],[year]],10)</f>
        <v>2020</v>
      </c>
      <c r="D5678" t="s">
        <v>333</v>
      </c>
      <c r="E5678" t="s">
        <v>475</v>
      </c>
      <c r="F5678">
        <v>1</v>
      </c>
      <c r="G5678">
        <v>2</v>
      </c>
      <c r="H5678" t="s">
        <v>224</v>
      </c>
      <c r="I5678" t="s">
        <v>412</v>
      </c>
      <c r="J5678" t="s">
        <v>39</v>
      </c>
      <c r="K5678" t="b">
        <v>1</v>
      </c>
      <c r="L5678">
        <v>2021</v>
      </c>
      <c r="M5678">
        <v>373784553029</v>
      </c>
      <c r="N5678">
        <v>366474752771</v>
      </c>
      <c r="O5678" t="b">
        <v>0</v>
      </c>
      <c r="P5678">
        <v>-1</v>
      </c>
      <c r="Q5678" t="str" cm="1">
        <f t="array" ref="Q5678">_xlfn.IFS(Table1[[#This Row],[Wealthier_Winner]]=-1,"Wealthier Nation Loses",Table1[[#This Row],[Wealthier_Winner]]=0,"Tie",Table1[[#This Row],[Wealthier_Winner]]=1,"Wealthier Nation Wins")</f>
        <v>Wealthier Nation Loses</v>
      </c>
    </row>
    <row r="5679" spans="1:17" x14ac:dyDescent="0.2">
      <c r="A5679" s="1">
        <v>8245</v>
      </c>
      <c r="B5679" s="2">
        <v>44358</v>
      </c>
      <c r="C5679" s="7">
        <f>_xlfn.FLOOR.MATH(Table1[[#This Row],[year]],10)</f>
        <v>2020</v>
      </c>
      <c r="D5679" t="s">
        <v>45</v>
      </c>
      <c r="E5679" t="s">
        <v>359</v>
      </c>
      <c r="F5679">
        <v>3</v>
      </c>
      <c r="G5679">
        <v>0</v>
      </c>
      <c r="H5679" t="s">
        <v>224</v>
      </c>
      <c r="I5679" t="s">
        <v>356</v>
      </c>
      <c r="J5679" t="s">
        <v>45</v>
      </c>
      <c r="K5679" t="b">
        <v>0</v>
      </c>
      <c r="L5679">
        <v>2021</v>
      </c>
      <c r="M5679">
        <v>982661066666</v>
      </c>
      <c r="N5679">
        <v>436591382250</v>
      </c>
      <c r="O5679" t="b">
        <v>1</v>
      </c>
      <c r="P5679">
        <v>1</v>
      </c>
      <c r="Q5679" t="str" cm="1">
        <f t="array" ref="Q5679">_xlfn.IFS(Table1[[#This Row],[Wealthier_Winner]]=-1,"Wealthier Nation Loses",Table1[[#This Row],[Wealthier_Winner]]=0,"Tie",Table1[[#This Row],[Wealthier_Winner]]=1,"Wealthier Nation Wins")</f>
        <v>Wealthier Nation Wins</v>
      </c>
    </row>
    <row r="5680" spans="1:17" x14ac:dyDescent="0.2">
      <c r="A5680" s="1">
        <v>8246</v>
      </c>
      <c r="B5680" s="2">
        <v>44358</v>
      </c>
      <c r="C5680" s="7">
        <f>_xlfn.FLOOR.MATH(Table1[[#This Row],[year]],10)</f>
        <v>2020</v>
      </c>
      <c r="D5680" t="s">
        <v>39</v>
      </c>
      <c r="E5680" t="s">
        <v>328</v>
      </c>
      <c r="F5680">
        <v>5</v>
      </c>
      <c r="G5680">
        <v>0</v>
      </c>
      <c r="H5680" t="s">
        <v>224</v>
      </c>
      <c r="I5680" t="s">
        <v>412</v>
      </c>
      <c r="J5680" t="s">
        <v>39</v>
      </c>
      <c r="K5680" t="b">
        <v>0</v>
      </c>
      <c r="L5680">
        <v>2021</v>
      </c>
      <c r="M5680">
        <v>422441388699</v>
      </c>
      <c r="N5680">
        <v>1186509691086</v>
      </c>
      <c r="O5680" t="b">
        <v>1</v>
      </c>
      <c r="P5680">
        <v>-1</v>
      </c>
      <c r="Q5680" t="str" cm="1">
        <f t="array" ref="Q5680">_xlfn.IFS(Table1[[#This Row],[Wealthier_Winner]]=-1,"Wealthier Nation Loses",Table1[[#This Row],[Wealthier_Winner]]=0,"Tie",Table1[[#This Row],[Wealthier_Winner]]=1,"Wealthier Nation Wins")</f>
        <v>Wealthier Nation Loses</v>
      </c>
    </row>
    <row r="5681" spans="1:17" x14ac:dyDescent="0.2">
      <c r="A5681" s="1">
        <v>8247</v>
      </c>
      <c r="B5681" s="2">
        <v>44359</v>
      </c>
      <c r="C5681" s="7">
        <f>_xlfn.FLOOR.MATH(Table1[[#This Row],[year]],10)</f>
        <v>2020</v>
      </c>
      <c r="D5681" t="s">
        <v>70</v>
      </c>
      <c r="E5681" t="s">
        <v>34</v>
      </c>
      <c r="F5681">
        <v>0</v>
      </c>
      <c r="G5681">
        <v>1</v>
      </c>
      <c r="H5681" t="s">
        <v>224</v>
      </c>
      <c r="I5681" t="s">
        <v>280</v>
      </c>
      <c r="J5681" t="s">
        <v>70</v>
      </c>
      <c r="K5681" t="b">
        <v>0</v>
      </c>
      <c r="L5681">
        <v>2021</v>
      </c>
      <c r="M5681">
        <v>20944387975</v>
      </c>
      <c r="N5681">
        <v>2022378748423</v>
      </c>
      <c r="O5681" t="b">
        <v>1</v>
      </c>
      <c r="P5681">
        <v>1</v>
      </c>
      <c r="Q5681" t="str" cm="1">
        <f t="array" ref="Q5681">_xlfn.IFS(Table1[[#This Row],[Wealthier_Winner]]=-1,"Wealthier Nation Loses",Table1[[#This Row],[Wealthier_Winner]]=0,"Tie",Table1[[#This Row],[Wealthier_Winner]]=1,"Wealthier Nation Wins")</f>
        <v>Wealthier Nation Wins</v>
      </c>
    </row>
    <row r="5682" spans="1:17" x14ac:dyDescent="0.2">
      <c r="A5682" s="1">
        <v>8250</v>
      </c>
      <c r="B5682" s="2">
        <v>44360</v>
      </c>
      <c r="C5682" s="7">
        <f>_xlfn.FLOOR.MATH(Table1[[#This Row],[year]],10)</f>
        <v>2020</v>
      </c>
      <c r="D5682" t="s">
        <v>195</v>
      </c>
      <c r="E5682" t="s">
        <v>479</v>
      </c>
      <c r="F5682">
        <v>2</v>
      </c>
      <c r="G5682">
        <v>1</v>
      </c>
      <c r="H5682" t="s">
        <v>224</v>
      </c>
      <c r="I5682" t="s">
        <v>745</v>
      </c>
      <c r="J5682" t="s">
        <v>195</v>
      </c>
      <c r="K5682" t="b">
        <v>0</v>
      </c>
      <c r="L5682">
        <v>2021</v>
      </c>
      <c r="M5682">
        <v>1942313560965</v>
      </c>
      <c r="N5682">
        <v>23131941556</v>
      </c>
      <c r="O5682" t="b">
        <v>1</v>
      </c>
      <c r="P5682">
        <v>1</v>
      </c>
      <c r="Q5682" t="str" cm="1">
        <f t="array" ref="Q5682">_xlfn.IFS(Table1[[#This Row],[Wealthier_Winner]]=-1,"Wealthier Nation Loses",Table1[[#This Row],[Wealthier_Winner]]=0,"Tie",Table1[[#This Row],[Wealthier_Winner]]=1,"Wealthier Nation Wins")</f>
        <v>Wealthier Nation Wins</v>
      </c>
    </row>
    <row r="5683" spans="1:17" x14ac:dyDescent="0.2">
      <c r="A5683" s="1">
        <v>8251</v>
      </c>
      <c r="B5683" s="2">
        <v>44362</v>
      </c>
      <c r="C5683" s="7">
        <f>_xlfn.FLOOR.MATH(Table1[[#This Row],[year]],10)</f>
        <v>2020</v>
      </c>
      <c r="D5683" t="s">
        <v>532</v>
      </c>
      <c r="E5683" t="s">
        <v>567</v>
      </c>
      <c r="F5683">
        <v>1</v>
      </c>
      <c r="G5683">
        <v>1</v>
      </c>
      <c r="H5683" t="s">
        <v>224</v>
      </c>
      <c r="I5683" t="s">
        <v>855</v>
      </c>
      <c r="J5683" t="s">
        <v>486</v>
      </c>
      <c r="K5683" t="b">
        <v>1</v>
      </c>
      <c r="L5683">
        <v>2021</v>
      </c>
      <c r="M5683">
        <v>394087359848</v>
      </c>
      <c r="N5683">
        <v>5252457369</v>
      </c>
      <c r="O5683" t="b">
        <v>1</v>
      </c>
      <c r="P5683">
        <v>0</v>
      </c>
      <c r="Q5683" t="str" cm="1">
        <f t="array" ref="Q5683">_xlfn.IFS(Table1[[#This Row],[Wealthier_Winner]]=-1,"Wealthier Nation Loses",Table1[[#This Row],[Wealthier_Winner]]=0,"Tie",Table1[[#This Row],[Wealthier_Winner]]=1,"Wealthier Nation Wins")</f>
        <v>Tie</v>
      </c>
    </row>
    <row r="5684" spans="1:17" x14ac:dyDescent="0.2">
      <c r="A5684" s="1">
        <v>8253</v>
      </c>
      <c r="B5684" s="2">
        <v>44362</v>
      </c>
      <c r="C5684" s="7">
        <f>_xlfn.FLOOR.MATH(Table1[[#This Row],[year]],10)</f>
        <v>2020</v>
      </c>
      <c r="D5684" t="s">
        <v>28</v>
      </c>
      <c r="E5684" t="s">
        <v>403</v>
      </c>
      <c r="F5684">
        <v>1</v>
      </c>
      <c r="G5684">
        <v>0</v>
      </c>
      <c r="H5684" t="s">
        <v>224</v>
      </c>
      <c r="I5684" t="s">
        <v>366</v>
      </c>
      <c r="J5684" t="s">
        <v>71</v>
      </c>
      <c r="K5684" t="b">
        <v>1</v>
      </c>
      <c r="L5684">
        <v>2021</v>
      </c>
      <c r="M5684">
        <v>1560617493202</v>
      </c>
      <c r="N5684">
        <v>46296100140</v>
      </c>
      <c r="O5684" t="b">
        <v>1</v>
      </c>
      <c r="P5684">
        <v>1</v>
      </c>
      <c r="Q5684" t="str" cm="1">
        <f t="array" ref="Q5684">_xlfn.IFS(Table1[[#This Row],[Wealthier_Winner]]=-1,"Wealthier Nation Loses",Table1[[#This Row],[Wealthier_Winner]]=0,"Tie",Table1[[#This Row],[Wealthier_Winner]]=1,"Wealthier Nation Wins")</f>
        <v>Wealthier Nation Wins</v>
      </c>
    </row>
    <row r="5685" spans="1:17" x14ac:dyDescent="0.2">
      <c r="A5685" s="1">
        <v>8255</v>
      </c>
      <c r="B5685" s="2">
        <v>44362</v>
      </c>
      <c r="C5685" s="7">
        <f>_xlfn.FLOOR.MATH(Table1[[#This Row],[year]],10)</f>
        <v>2020</v>
      </c>
      <c r="D5685" t="s">
        <v>210</v>
      </c>
      <c r="E5685" t="s">
        <v>37</v>
      </c>
      <c r="F5685">
        <v>1</v>
      </c>
      <c r="G5685">
        <v>0</v>
      </c>
      <c r="H5685" t="s">
        <v>224</v>
      </c>
      <c r="I5685" t="s">
        <v>852</v>
      </c>
      <c r="J5685" t="s">
        <v>210</v>
      </c>
      <c r="K5685" t="b">
        <v>0</v>
      </c>
      <c r="L5685">
        <v>2021</v>
      </c>
      <c r="M5685">
        <v>407350685583</v>
      </c>
      <c r="N5685">
        <v>209691945713</v>
      </c>
      <c r="O5685" t="b">
        <v>0</v>
      </c>
      <c r="P5685">
        <v>1</v>
      </c>
      <c r="Q5685" t="str" cm="1">
        <f t="array" ref="Q5685">_xlfn.IFS(Table1[[#This Row],[Wealthier_Winner]]=-1,"Wealthier Nation Loses",Table1[[#This Row],[Wealthier_Winner]]=0,"Tie",Table1[[#This Row],[Wealthier_Winner]]=1,"Wealthier Nation Wins")</f>
        <v>Wealthier Nation Wins</v>
      </c>
    </row>
    <row r="5686" spans="1:17" x14ac:dyDescent="0.2">
      <c r="A5686" s="1">
        <v>8257</v>
      </c>
      <c r="B5686" s="2">
        <v>44362</v>
      </c>
      <c r="C5686" s="7">
        <f>_xlfn.FLOOR.MATH(Table1[[#This Row],[year]],10)</f>
        <v>2020</v>
      </c>
      <c r="D5686" t="s">
        <v>45</v>
      </c>
      <c r="E5686" t="s">
        <v>563</v>
      </c>
      <c r="F5686">
        <v>3</v>
      </c>
      <c r="G5686">
        <v>0</v>
      </c>
      <c r="H5686" t="s">
        <v>224</v>
      </c>
      <c r="I5686" t="s">
        <v>356</v>
      </c>
      <c r="J5686" t="s">
        <v>45</v>
      </c>
      <c r="K5686" t="b">
        <v>0</v>
      </c>
      <c r="L5686">
        <v>2021</v>
      </c>
      <c r="M5686">
        <v>982661066666</v>
      </c>
      <c r="N5686">
        <v>77340060003</v>
      </c>
      <c r="O5686" t="b">
        <v>1</v>
      </c>
      <c r="P5686">
        <v>1</v>
      </c>
      <c r="Q5686" t="str" cm="1">
        <f t="array" ref="Q5686">_xlfn.IFS(Table1[[#This Row],[Wealthier_Winner]]=-1,"Wealthier Nation Loses",Table1[[#This Row],[Wealthier_Winner]]=0,"Tie",Table1[[#This Row],[Wealthier_Winner]]=1,"Wealthier Nation Wins")</f>
        <v>Wealthier Nation Wins</v>
      </c>
    </row>
    <row r="5687" spans="1:17" x14ac:dyDescent="0.2">
      <c r="A5687" s="1">
        <v>8258</v>
      </c>
      <c r="B5687" s="2">
        <v>44362</v>
      </c>
      <c r="C5687" s="7">
        <f>_xlfn.FLOOR.MATH(Table1[[#This Row],[year]],10)</f>
        <v>2020</v>
      </c>
      <c r="D5687" t="s">
        <v>405</v>
      </c>
      <c r="E5687" t="s">
        <v>429</v>
      </c>
      <c r="F5687">
        <v>0</v>
      </c>
      <c r="G5687">
        <v>3</v>
      </c>
      <c r="H5687" t="s">
        <v>224</v>
      </c>
      <c r="I5687" t="s">
        <v>190</v>
      </c>
      <c r="J5687" t="s">
        <v>68</v>
      </c>
      <c r="K5687" t="b">
        <v>1</v>
      </c>
      <c r="L5687">
        <v>2021</v>
      </c>
      <c r="M5687">
        <v>416271647911</v>
      </c>
      <c r="N5687">
        <v>87323797139</v>
      </c>
      <c r="O5687" t="b">
        <v>1</v>
      </c>
      <c r="P5687">
        <v>-1</v>
      </c>
      <c r="Q5687" t="str" cm="1">
        <f t="array" ref="Q5687">_xlfn.IFS(Table1[[#This Row],[Wealthier_Winner]]=-1,"Wealthier Nation Loses",Table1[[#This Row],[Wealthier_Winner]]=0,"Tie",Table1[[#This Row],[Wealthier_Winner]]=1,"Wealthier Nation Wins")</f>
        <v>Wealthier Nation Loses</v>
      </c>
    </row>
    <row r="5688" spans="1:17" x14ac:dyDescent="0.2">
      <c r="A5688" s="1">
        <v>8259</v>
      </c>
      <c r="B5688" s="2">
        <v>44362</v>
      </c>
      <c r="C5688" s="7">
        <f>_xlfn.FLOOR.MATH(Table1[[#This Row],[year]],10)</f>
        <v>2020</v>
      </c>
      <c r="D5688" t="s">
        <v>406</v>
      </c>
      <c r="E5688" t="s">
        <v>641</v>
      </c>
      <c r="F5688">
        <v>1</v>
      </c>
      <c r="G5688">
        <v>1</v>
      </c>
      <c r="H5688" t="s">
        <v>224</v>
      </c>
      <c r="I5688" t="s">
        <v>190</v>
      </c>
      <c r="J5688" t="s">
        <v>68</v>
      </c>
      <c r="K5688" t="b">
        <v>1</v>
      </c>
      <c r="L5688">
        <v>2021</v>
      </c>
      <c r="M5688">
        <v>3167270623260</v>
      </c>
      <c r="N5688">
        <v>14259995441</v>
      </c>
      <c r="O5688" t="b">
        <v>1</v>
      </c>
      <c r="P5688">
        <v>0</v>
      </c>
      <c r="Q5688" t="str" cm="1">
        <f t="array" ref="Q5688">_xlfn.IFS(Table1[[#This Row],[Wealthier_Winner]]=-1,"Wealthier Nation Loses",Table1[[#This Row],[Wealthier_Winner]]=0,"Tie",Table1[[#This Row],[Wealthier_Winner]]=1,"Wealthier Nation Wins")</f>
        <v>Tie</v>
      </c>
    </row>
    <row r="5689" spans="1:17" x14ac:dyDescent="0.2">
      <c r="A5689" s="1">
        <v>8260</v>
      </c>
      <c r="B5689" s="2">
        <v>44362</v>
      </c>
      <c r="C5689" s="7">
        <f>_xlfn.FLOOR.MATH(Table1[[#This Row],[year]],10)</f>
        <v>2020</v>
      </c>
      <c r="D5689" t="s">
        <v>556</v>
      </c>
      <c r="E5689" t="s">
        <v>737</v>
      </c>
      <c r="F5689">
        <v>4</v>
      </c>
      <c r="G5689">
        <v>0</v>
      </c>
      <c r="H5689" t="s">
        <v>224</v>
      </c>
      <c r="I5689" t="s">
        <v>154</v>
      </c>
      <c r="J5689" t="s">
        <v>51</v>
      </c>
      <c r="K5689" t="b">
        <v>1</v>
      </c>
      <c r="L5689">
        <v>2021</v>
      </c>
      <c r="M5689">
        <v>8937805347</v>
      </c>
      <c r="N5689">
        <v>66345291149</v>
      </c>
      <c r="O5689" t="b">
        <v>1</v>
      </c>
      <c r="P5689">
        <v>-1</v>
      </c>
      <c r="Q5689" t="str" cm="1">
        <f t="array" ref="Q5689">_xlfn.IFS(Table1[[#This Row],[Wealthier_Winner]]=-1,"Wealthier Nation Loses",Table1[[#This Row],[Wealthier_Winner]]=0,"Tie",Table1[[#This Row],[Wealthier_Winner]]=1,"Wealthier Nation Wins")</f>
        <v>Wealthier Nation Loses</v>
      </c>
    </row>
    <row r="5690" spans="1:17" x14ac:dyDescent="0.2">
      <c r="A5690" s="1">
        <v>8262</v>
      </c>
      <c r="B5690" s="2">
        <v>44362</v>
      </c>
      <c r="C5690" s="7">
        <f>_xlfn.FLOOR.MATH(Table1[[#This Row],[year]],10)</f>
        <v>2020</v>
      </c>
      <c r="D5690" t="s">
        <v>334</v>
      </c>
      <c r="E5690" t="s">
        <v>333</v>
      </c>
      <c r="F5690">
        <v>0</v>
      </c>
      <c r="G5690">
        <v>1</v>
      </c>
      <c r="H5690" t="s">
        <v>224</v>
      </c>
      <c r="I5690" t="s">
        <v>412</v>
      </c>
      <c r="J5690" t="s">
        <v>39</v>
      </c>
      <c r="K5690" t="b">
        <v>1</v>
      </c>
      <c r="L5690">
        <v>2021</v>
      </c>
      <c r="M5690">
        <v>506194668789</v>
      </c>
      <c r="N5690">
        <v>373784553029</v>
      </c>
      <c r="O5690" t="b">
        <v>0</v>
      </c>
      <c r="P5690">
        <v>-1</v>
      </c>
      <c r="Q5690" t="str" cm="1">
        <f t="array" ref="Q5690">_xlfn.IFS(Table1[[#This Row],[Wealthier_Winner]]=-1,"Wealthier Nation Loses",Table1[[#This Row],[Wealthier_Winner]]=0,"Tie",Table1[[#This Row],[Wealthier_Winner]]=1,"Wealthier Nation Wins")</f>
        <v>Wealthier Nation Loses</v>
      </c>
    </row>
    <row r="5691" spans="1:17" x14ac:dyDescent="0.2">
      <c r="A5691" s="1">
        <v>8263</v>
      </c>
      <c r="B5691" s="2">
        <v>44362</v>
      </c>
      <c r="C5691" s="7">
        <f>_xlfn.FLOOR.MATH(Table1[[#This Row],[year]],10)</f>
        <v>2020</v>
      </c>
      <c r="D5691" t="s">
        <v>39</v>
      </c>
      <c r="E5691" t="s">
        <v>475</v>
      </c>
      <c r="F5691">
        <v>3</v>
      </c>
      <c r="G5691">
        <v>2</v>
      </c>
      <c r="H5691" t="s">
        <v>224</v>
      </c>
      <c r="I5691" t="s">
        <v>412</v>
      </c>
      <c r="J5691" t="s">
        <v>39</v>
      </c>
      <c r="K5691" t="b">
        <v>0</v>
      </c>
      <c r="L5691">
        <v>2021</v>
      </c>
      <c r="M5691">
        <v>422441388699</v>
      </c>
      <c r="N5691">
        <v>366474752771</v>
      </c>
      <c r="O5691" t="b">
        <v>0</v>
      </c>
      <c r="P5691">
        <v>1</v>
      </c>
      <c r="Q5691" t="str" cm="1">
        <f t="array" ref="Q5691">_xlfn.IFS(Table1[[#This Row],[Wealthier_Winner]]=-1,"Wealthier Nation Loses",Table1[[#This Row],[Wealthier_Winner]]=0,"Tie",Table1[[#This Row],[Wealthier_Winner]]=1,"Wealthier Nation Wins")</f>
        <v>Wealthier Nation Wins</v>
      </c>
    </row>
    <row r="5692" spans="1:17" x14ac:dyDescent="0.2">
      <c r="A5692" s="1">
        <v>8264</v>
      </c>
      <c r="B5692" s="2">
        <v>44362</v>
      </c>
      <c r="C5692" s="7">
        <f>_xlfn.FLOOR.MATH(Table1[[#This Row],[year]],10)</f>
        <v>2020</v>
      </c>
      <c r="D5692" t="s">
        <v>34</v>
      </c>
      <c r="E5692" t="s">
        <v>70</v>
      </c>
      <c r="F5692">
        <v>3</v>
      </c>
      <c r="G5692">
        <v>0</v>
      </c>
      <c r="H5692" t="s">
        <v>224</v>
      </c>
      <c r="I5692" t="s">
        <v>714</v>
      </c>
      <c r="J5692" t="s">
        <v>41</v>
      </c>
      <c r="K5692" t="b">
        <v>1</v>
      </c>
      <c r="L5692">
        <v>2021</v>
      </c>
      <c r="M5692">
        <v>2022378748423</v>
      </c>
      <c r="N5692">
        <v>20944387975</v>
      </c>
      <c r="O5692" t="b">
        <v>1</v>
      </c>
      <c r="P5692">
        <v>1</v>
      </c>
      <c r="Q5692" t="str" cm="1">
        <f t="array" ref="Q5692">_xlfn.IFS(Table1[[#This Row],[Wealthier_Winner]]=-1,"Wealthier Nation Loses",Table1[[#This Row],[Wealthier_Winner]]=0,"Tie",Table1[[#This Row],[Wealthier_Winner]]=1,"Wealthier Nation Wins")</f>
        <v>Wealthier Nation Wins</v>
      </c>
    </row>
    <row r="5693" spans="1:17" x14ac:dyDescent="0.2">
      <c r="A5693" s="1">
        <v>8269</v>
      </c>
      <c r="B5693" s="2">
        <v>44440</v>
      </c>
      <c r="C5693" s="7">
        <f>_xlfn.FLOOR.MATH(Table1[[#This Row],[year]],10)</f>
        <v>2020</v>
      </c>
      <c r="D5693" t="s">
        <v>590</v>
      </c>
      <c r="E5693" t="s">
        <v>514</v>
      </c>
      <c r="F5693">
        <v>1</v>
      </c>
      <c r="G5693">
        <v>0</v>
      </c>
      <c r="H5693" t="s">
        <v>224</v>
      </c>
      <c r="I5693" t="s">
        <v>796</v>
      </c>
      <c r="J5693" t="s">
        <v>24</v>
      </c>
      <c r="K5693" t="b">
        <v>1</v>
      </c>
      <c r="L5693">
        <v>2021</v>
      </c>
      <c r="M5693">
        <v>22999245262</v>
      </c>
      <c r="N5693">
        <v>11078787090</v>
      </c>
      <c r="O5693" t="b">
        <v>1</v>
      </c>
      <c r="P5693">
        <v>1</v>
      </c>
      <c r="Q5693" t="str" cm="1">
        <f t="array" ref="Q5693">_xlfn.IFS(Table1[[#This Row],[Wealthier_Winner]]=-1,"Wealthier Nation Loses",Table1[[#This Row],[Wealthier_Winner]]=0,"Tie",Table1[[#This Row],[Wealthier_Winner]]=1,"Wealthier Nation Wins")</f>
        <v>Wealthier Nation Wins</v>
      </c>
    </row>
    <row r="5694" spans="1:17" x14ac:dyDescent="0.2">
      <c r="A5694" s="1">
        <v>8270</v>
      </c>
      <c r="B5694" s="2">
        <v>44440</v>
      </c>
      <c r="C5694" s="7">
        <f>_xlfn.FLOOR.MATH(Table1[[#This Row],[year]],10)</f>
        <v>2020</v>
      </c>
      <c r="D5694" t="s">
        <v>212</v>
      </c>
      <c r="E5694" t="s">
        <v>60</v>
      </c>
      <c r="F5694">
        <v>1</v>
      </c>
      <c r="G5694">
        <v>0</v>
      </c>
      <c r="H5694" t="s">
        <v>224</v>
      </c>
      <c r="I5694" t="s">
        <v>322</v>
      </c>
      <c r="J5694" t="s">
        <v>212</v>
      </c>
      <c r="K5694" t="b">
        <v>0</v>
      </c>
      <c r="L5694">
        <v>2021</v>
      </c>
      <c r="M5694">
        <v>424671765455</v>
      </c>
      <c r="N5694">
        <v>79559543805</v>
      </c>
      <c r="O5694" t="b">
        <v>1</v>
      </c>
      <c r="P5694">
        <v>1</v>
      </c>
      <c r="Q5694" t="str" cm="1">
        <f t="array" ref="Q5694">_xlfn.IFS(Table1[[#This Row],[Wealthier_Winner]]=-1,"Wealthier Nation Loses",Table1[[#This Row],[Wealthier_Winner]]=0,"Tie",Table1[[#This Row],[Wealthier_Winner]]=1,"Wealthier Nation Wins")</f>
        <v>Wealthier Nation Wins</v>
      </c>
    </row>
    <row r="5695" spans="1:17" x14ac:dyDescent="0.2">
      <c r="A5695" s="1">
        <v>8271</v>
      </c>
      <c r="B5695" s="2">
        <v>44440</v>
      </c>
      <c r="C5695" s="7">
        <f>_xlfn.FLOOR.MATH(Table1[[#This Row],[year]],10)</f>
        <v>2020</v>
      </c>
      <c r="D5695" t="s">
        <v>286</v>
      </c>
      <c r="E5695" t="s">
        <v>433</v>
      </c>
      <c r="F5695">
        <v>2</v>
      </c>
      <c r="G5695">
        <v>1</v>
      </c>
      <c r="H5695" t="s">
        <v>224</v>
      </c>
      <c r="I5695" t="s">
        <v>856</v>
      </c>
      <c r="J5695" t="s">
        <v>286</v>
      </c>
      <c r="K5695" t="b">
        <v>0</v>
      </c>
      <c r="L5695">
        <v>2021</v>
      </c>
      <c r="M5695">
        <v>35217995647</v>
      </c>
      <c r="N5695">
        <v>19444935097</v>
      </c>
      <c r="O5695" t="b">
        <v>0</v>
      </c>
      <c r="P5695">
        <v>1</v>
      </c>
      <c r="Q5695" t="str" cm="1">
        <f t="array" ref="Q5695">_xlfn.IFS(Table1[[#This Row],[Wealthier_Winner]]=-1,"Wealthier Nation Loses",Table1[[#This Row],[Wealthier_Winner]]=0,"Tie",Table1[[#This Row],[Wealthier_Winner]]=1,"Wealthier Nation Wins")</f>
        <v>Wealthier Nation Wins</v>
      </c>
    </row>
    <row r="5696" spans="1:17" x14ac:dyDescent="0.2">
      <c r="A5696" s="1">
        <v>8272</v>
      </c>
      <c r="B5696" s="2">
        <v>44440</v>
      </c>
      <c r="C5696" s="7">
        <f>_xlfn.FLOOR.MATH(Table1[[#This Row],[year]],10)</f>
        <v>2020</v>
      </c>
      <c r="D5696" t="s">
        <v>54</v>
      </c>
      <c r="E5696" t="s">
        <v>62</v>
      </c>
      <c r="F5696">
        <v>2</v>
      </c>
      <c r="G5696">
        <v>0</v>
      </c>
      <c r="H5696" t="s">
        <v>224</v>
      </c>
      <c r="I5696" t="s">
        <v>857</v>
      </c>
      <c r="J5696" t="s">
        <v>54</v>
      </c>
      <c r="K5696" t="b">
        <v>0</v>
      </c>
      <c r="L5696">
        <v>2021</v>
      </c>
      <c r="M5696">
        <v>27520784129</v>
      </c>
      <c r="N5696">
        <v>8541668141</v>
      </c>
      <c r="O5696" t="b">
        <v>1</v>
      </c>
      <c r="P5696">
        <v>1</v>
      </c>
      <c r="Q5696" t="str" cm="1">
        <f t="array" ref="Q5696">_xlfn.IFS(Table1[[#This Row],[Wealthier_Winner]]=-1,"Wealthier Nation Loses",Table1[[#This Row],[Wealthier_Winner]]=0,"Tie",Table1[[#This Row],[Wealthier_Winner]]=1,"Wealthier Nation Wins")</f>
        <v>Wealthier Nation Wins</v>
      </c>
    </row>
    <row r="5697" spans="1:17" x14ac:dyDescent="0.2">
      <c r="A5697" s="1">
        <v>8273</v>
      </c>
      <c r="B5697" s="2">
        <v>44440</v>
      </c>
      <c r="C5697" s="7">
        <f>_xlfn.FLOOR.MATH(Table1[[#This Row],[year]],10)</f>
        <v>2020</v>
      </c>
      <c r="D5697" t="s">
        <v>508</v>
      </c>
      <c r="E5697" t="s">
        <v>305</v>
      </c>
      <c r="F5697">
        <v>1</v>
      </c>
      <c r="G5697">
        <v>1</v>
      </c>
      <c r="H5697" t="s">
        <v>224</v>
      </c>
      <c r="I5697" t="s">
        <v>350</v>
      </c>
      <c r="J5697" t="s">
        <v>346</v>
      </c>
      <c r="K5697" t="b">
        <v>1</v>
      </c>
      <c r="L5697">
        <v>2021</v>
      </c>
      <c r="M5697">
        <v>1908094558</v>
      </c>
      <c r="N5697">
        <v>17069115737</v>
      </c>
      <c r="O5697" t="b">
        <v>1</v>
      </c>
      <c r="P5697">
        <v>0</v>
      </c>
      <c r="Q5697" t="str" cm="1">
        <f t="array" ref="Q5697">_xlfn.IFS(Table1[[#This Row],[Wealthier_Winner]]=-1,"Wealthier Nation Loses",Table1[[#This Row],[Wealthier_Winner]]=0,"Tie",Table1[[#This Row],[Wealthier_Winner]]=1,"Wealthier Nation Wins")</f>
        <v>Tie</v>
      </c>
    </row>
    <row r="5698" spans="1:17" x14ac:dyDescent="0.2">
      <c r="A5698" s="1">
        <v>8275</v>
      </c>
      <c r="B5698" s="2">
        <v>44440</v>
      </c>
      <c r="C5698" s="7">
        <f>_xlfn.FLOOR.MATH(Table1[[#This Row],[year]],10)</f>
        <v>2020</v>
      </c>
      <c r="D5698" t="s">
        <v>232</v>
      </c>
      <c r="E5698" t="s">
        <v>513</v>
      </c>
      <c r="F5698">
        <v>2</v>
      </c>
      <c r="G5698">
        <v>1</v>
      </c>
      <c r="H5698" t="s">
        <v>224</v>
      </c>
      <c r="I5698" t="s">
        <v>232</v>
      </c>
      <c r="J5698" t="s">
        <v>232</v>
      </c>
      <c r="K5698" t="b">
        <v>0</v>
      </c>
      <c r="L5698">
        <v>2021</v>
      </c>
      <c r="M5698">
        <v>86386759695</v>
      </c>
      <c r="N5698">
        <v>54825411764</v>
      </c>
      <c r="O5698" t="b">
        <v>0</v>
      </c>
      <c r="P5698">
        <v>1</v>
      </c>
      <c r="Q5698" t="str" cm="1">
        <f t="array" ref="Q5698">_xlfn.IFS(Table1[[#This Row],[Wealthier_Winner]]=-1,"Wealthier Nation Loses",Table1[[#This Row],[Wealthier_Winner]]=0,"Tie",Table1[[#This Row],[Wealthier_Winner]]=1,"Wealthier Nation Wins")</f>
        <v>Wealthier Nation Wins</v>
      </c>
    </row>
    <row r="5699" spans="1:17" x14ac:dyDescent="0.2">
      <c r="A5699" s="1">
        <v>8276</v>
      </c>
      <c r="B5699" s="2">
        <v>44440</v>
      </c>
      <c r="C5699" s="7">
        <f>_xlfn.FLOOR.MATH(Table1[[#This Row],[year]],10)</f>
        <v>2020</v>
      </c>
      <c r="D5699" t="s">
        <v>558</v>
      </c>
      <c r="E5699" t="s">
        <v>64</v>
      </c>
      <c r="F5699">
        <v>2</v>
      </c>
      <c r="G5699">
        <v>2</v>
      </c>
      <c r="H5699" t="s">
        <v>224</v>
      </c>
      <c r="I5699" t="s">
        <v>845</v>
      </c>
      <c r="J5699" t="s">
        <v>558</v>
      </c>
      <c r="K5699" t="b">
        <v>0</v>
      </c>
      <c r="L5699">
        <v>2021</v>
      </c>
      <c r="M5699">
        <v>197112255360</v>
      </c>
      <c r="N5699">
        <v>199765859570</v>
      </c>
      <c r="O5699" t="b">
        <v>0</v>
      </c>
      <c r="P5699">
        <v>0</v>
      </c>
      <c r="Q5699" t="str" cm="1">
        <f t="array" ref="Q5699">_xlfn.IFS(Table1[[#This Row],[Wealthier_Winner]]=-1,"Wealthier Nation Loses",Table1[[#This Row],[Wealthier_Winner]]=0,"Tie",Table1[[#This Row],[Wealthier_Winner]]=1,"Wealthier Nation Wins")</f>
        <v>Tie</v>
      </c>
    </row>
    <row r="5700" spans="1:17" x14ac:dyDescent="0.2">
      <c r="A5700" s="1">
        <v>8277</v>
      </c>
      <c r="B5700" s="2">
        <v>44440</v>
      </c>
      <c r="C5700" s="7">
        <f>_xlfn.FLOOR.MATH(Table1[[#This Row],[year]],10)</f>
        <v>2020</v>
      </c>
      <c r="D5700" t="s">
        <v>20</v>
      </c>
      <c r="E5700" t="s">
        <v>73</v>
      </c>
      <c r="F5700">
        <v>1</v>
      </c>
      <c r="G5700">
        <v>1</v>
      </c>
      <c r="H5700" t="s">
        <v>224</v>
      </c>
      <c r="I5700" t="s">
        <v>277</v>
      </c>
      <c r="J5700" t="s">
        <v>20</v>
      </c>
      <c r="K5700" t="b">
        <v>0</v>
      </c>
      <c r="L5700">
        <v>2021</v>
      </c>
      <c r="M5700">
        <v>2966433692008</v>
      </c>
      <c r="N5700">
        <v>23672712121</v>
      </c>
      <c r="O5700" t="b">
        <v>1</v>
      </c>
      <c r="P5700">
        <v>0</v>
      </c>
      <c r="Q5700" t="str" cm="1">
        <f t="array" ref="Q5700">_xlfn.IFS(Table1[[#This Row],[Wealthier_Winner]]=-1,"Wealthier Nation Loses",Table1[[#This Row],[Wealthier_Winner]]=0,"Tie",Table1[[#This Row],[Wealthier_Winner]]=1,"Wealthier Nation Wins")</f>
        <v>Tie</v>
      </c>
    </row>
    <row r="5701" spans="1:17" x14ac:dyDescent="0.2">
      <c r="A5701" s="1">
        <v>8278</v>
      </c>
      <c r="B5701" s="2">
        <v>44440</v>
      </c>
      <c r="C5701" s="7">
        <f>_xlfn.FLOOR.MATH(Table1[[#This Row],[year]],10)</f>
        <v>2020</v>
      </c>
      <c r="D5701" t="s">
        <v>447</v>
      </c>
      <c r="E5701" t="s">
        <v>22</v>
      </c>
      <c r="F5701">
        <v>0</v>
      </c>
      <c r="G5701">
        <v>4</v>
      </c>
      <c r="H5701" t="s">
        <v>224</v>
      </c>
      <c r="I5701" t="s">
        <v>631</v>
      </c>
      <c r="J5701" t="s">
        <v>447</v>
      </c>
      <c r="K5701" t="b">
        <v>0</v>
      </c>
      <c r="L5701">
        <v>2021</v>
      </c>
      <c r="M5701">
        <v>3699551717</v>
      </c>
      <c r="N5701">
        <v>489851549972</v>
      </c>
      <c r="O5701" t="b">
        <v>1</v>
      </c>
      <c r="P5701">
        <v>1</v>
      </c>
      <c r="Q5701" t="str" cm="1">
        <f t="array" ref="Q5701">_xlfn.IFS(Table1[[#This Row],[Wealthier_Winner]]=-1,"Wealthier Nation Loses",Table1[[#This Row],[Wealthier_Winner]]=0,"Tie",Table1[[#This Row],[Wealthier_Winner]]=1,"Wealthier Nation Wins")</f>
        <v>Wealthier Nation Wins</v>
      </c>
    </row>
    <row r="5702" spans="1:17" x14ac:dyDescent="0.2">
      <c r="A5702" s="1">
        <v>8280</v>
      </c>
      <c r="B5702" s="2">
        <v>44440</v>
      </c>
      <c r="C5702" s="7">
        <f>_xlfn.FLOOR.MATH(Table1[[#This Row],[year]],10)</f>
        <v>2020</v>
      </c>
      <c r="D5702" t="s">
        <v>527</v>
      </c>
      <c r="E5702" t="s">
        <v>29</v>
      </c>
      <c r="F5702">
        <v>0</v>
      </c>
      <c r="G5702">
        <v>2</v>
      </c>
      <c r="H5702" t="s">
        <v>224</v>
      </c>
      <c r="I5702" t="s">
        <v>528</v>
      </c>
      <c r="J5702" t="s">
        <v>527</v>
      </c>
      <c r="K5702" t="b">
        <v>0</v>
      </c>
      <c r="L5702">
        <v>2021</v>
      </c>
      <c r="M5702">
        <v>13691869264</v>
      </c>
      <c r="N5702">
        <v>480466363176</v>
      </c>
      <c r="O5702" t="b">
        <v>1</v>
      </c>
      <c r="P5702">
        <v>1</v>
      </c>
      <c r="Q5702" t="str" cm="1">
        <f t="array" ref="Q5702">_xlfn.IFS(Table1[[#This Row],[Wealthier_Winner]]=-1,"Wealthier Nation Loses",Table1[[#This Row],[Wealthier_Winner]]=0,"Tie",Table1[[#This Row],[Wealthier_Winner]]=1,"Wealthier Nation Wins")</f>
        <v>Wealthier Nation Wins</v>
      </c>
    </row>
    <row r="5703" spans="1:17" x14ac:dyDescent="0.2">
      <c r="A5703" s="1">
        <v>8281</v>
      </c>
      <c r="B5703" s="2">
        <v>44440</v>
      </c>
      <c r="C5703" s="7">
        <f>_xlfn.FLOOR.MATH(Table1[[#This Row],[year]],10)</f>
        <v>2020</v>
      </c>
      <c r="D5703" t="s">
        <v>42</v>
      </c>
      <c r="E5703" t="s">
        <v>27</v>
      </c>
      <c r="F5703">
        <v>1</v>
      </c>
      <c r="G5703">
        <v>1</v>
      </c>
      <c r="H5703" t="s">
        <v>224</v>
      </c>
      <c r="I5703" t="s">
        <v>262</v>
      </c>
      <c r="J5703" t="s">
        <v>42</v>
      </c>
      <c r="K5703" t="b">
        <v>0</v>
      </c>
      <c r="L5703">
        <v>2021</v>
      </c>
      <c r="M5703">
        <v>503367986030</v>
      </c>
      <c r="N5703">
        <v>1054472123449</v>
      </c>
      <c r="O5703" t="b">
        <v>1</v>
      </c>
      <c r="P5703">
        <v>0</v>
      </c>
      <c r="Q5703" t="str" cm="1">
        <f t="array" ref="Q5703">_xlfn.IFS(Table1[[#This Row],[Wealthier_Winner]]=-1,"Wealthier Nation Loses",Table1[[#This Row],[Wealthier_Winner]]=0,"Tie",Table1[[#This Row],[Wealthier_Winner]]=1,"Wealthier Nation Wins")</f>
        <v>Tie</v>
      </c>
    </row>
    <row r="5704" spans="1:17" x14ac:dyDescent="0.2">
      <c r="A5704" s="1">
        <v>8284</v>
      </c>
      <c r="B5704" s="2">
        <v>44440</v>
      </c>
      <c r="C5704" s="7">
        <f>_xlfn.FLOOR.MATH(Table1[[#This Row],[year]],10)</f>
        <v>2020</v>
      </c>
      <c r="D5704" t="s">
        <v>303</v>
      </c>
      <c r="E5704" t="s">
        <v>351</v>
      </c>
      <c r="F5704">
        <v>3</v>
      </c>
      <c r="G5704">
        <v>0</v>
      </c>
      <c r="H5704" t="s">
        <v>224</v>
      </c>
      <c r="I5704" t="s">
        <v>837</v>
      </c>
      <c r="J5704" t="s">
        <v>303</v>
      </c>
      <c r="K5704" t="b">
        <v>0</v>
      </c>
      <c r="L5704">
        <v>2021</v>
      </c>
      <c r="M5704">
        <v>19739875611</v>
      </c>
      <c r="N5704">
        <v>30372642502</v>
      </c>
      <c r="O5704" t="b">
        <v>0</v>
      </c>
      <c r="P5704">
        <v>-1</v>
      </c>
      <c r="Q5704" t="str" cm="1">
        <f t="array" ref="Q5704">_xlfn.IFS(Table1[[#This Row],[Wealthier_Winner]]=-1,"Wealthier Nation Loses",Table1[[#This Row],[Wealthier_Winner]]=0,"Tie",Table1[[#This Row],[Wealthier_Winner]]=1,"Wealthier Nation Wins")</f>
        <v>Wealthier Nation Loses</v>
      </c>
    </row>
    <row r="5705" spans="1:17" x14ac:dyDescent="0.2">
      <c r="A5705" s="1">
        <v>8286</v>
      </c>
      <c r="B5705" s="2">
        <v>44440</v>
      </c>
      <c r="C5705" s="7">
        <f>_xlfn.FLOOR.MATH(Table1[[#This Row],[year]],10)</f>
        <v>2020</v>
      </c>
      <c r="D5705" t="s">
        <v>196</v>
      </c>
      <c r="E5705" t="s">
        <v>52</v>
      </c>
      <c r="F5705">
        <v>0</v>
      </c>
      <c r="G5705">
        <v>0</v>
      </c>
      <c r="H5705" t="s">
        <v>224</v>
      </c>
      <c r="I5705" t="s">
        <v>180</v>
      </c>
      <c r="J5705" t="s">
        <v>196</v>
      </c>
      <c r="K5705" t="b">
        <v>0</v>
      </c>
      <c r="L5705">
        <v>2021</v>
      </c>
      <c r="M5705">
        <v>1829186719575</v>
      </c>
      <c r="N5705">
        <v>69002365163</v>
      </c>
      <c r="O5705" t="b">
        <v>1</v>
      </c>
      <c r="P5705">
        <v>0</v>
      </c>
      <c r="Q5705" t="str" cm="1">
        <f t="array" ref="Q5705">_xlfn.IFS(Table1[[#This Row],[Wealthier_Winner]]=-1,"Wealthier Nation Loses",Table1[[#This Row],[Wealthier_Winner]]=0,"Tie",Table1[[#This Row],[Wealthier_Winner]]=1,"Wealthier Nation Wins")</f>
        <v>Tie</v>
      </c>
    </row>
    <row r="5706" spans="1:17" x14ac:dyDescent="0.2">
      <c r="A5706" s="1">
        <v>8287</v>
      </c>
      <c r="B5706" s="2">
        <v>44441</v>
      </c>
      <c r="C5706" s="7">
        <f>_xlfn.FLOOR.MATH(Table1[[#This Row],[year]],10)</f>
        <v>2020</v>
      </c>
      <c r="D5706" t="s">
        <v>343</v>
      </c>
      <c r="E5706" t="s">
        <v>345</v>
      </c>
      <c r="F5706">
        <v>0</v>
      </c>
      <c r="G5706">
        <v>2</v>
      </c>
      <c r="H5706" t="s">
        <v>224</v>
      </c>
      <c r="I5706" t="s">
        <v>761</v>
      </c>
      <c r="J5706" t="s">
        <v>24</v>
      </c>
      <c r="K5706" t="b">
        <v>1</v>
      </c>
      <c r="L5706">
        <v>2021</v>
      </c>
      <c r="M5706">
        <v>14915002436</v>
      </c>
      <c r="N5706">
        <v>19697516284</v>
      </c>
      <c r="O5706" t="b">
        <v>0</v>
      </c>
      <c r="P5706">
        <v>1</v>
      </c>
      <c r="Q5706" t="str" cm="1">
        <f t="array" ref="Q5706">_xlfn.IFS(Table1[[#This Row],[Wealthier_Winner]]=-1,"Wealthier Nation Loses",Table1[[#This Row],[Wealthier_Winner]]=0,"Tie",Table1[[#This Row],[Wealthier_Winner]]=1,"Wealthier Nation Wins")</f>
        <v>Wealthier Nation Wins</v>
      </c>
    </row>
    <row r="5707" spans="1:17" x14ac:dyDescent="0.2">
      <c r="A5707" s="1">
        <v>8288</v>
      </c>
      <c r="B5707" s="2">
        <v>44441</v>
      </c>
      <c r="C5707" s="7">
        <f>_xlfn.FLOOR.MATH(Table1[[#This Row],[year]],10)</f>
        <v>2020</v>
      </c>
      <c r="D5707" t="s">
        <v>32</v>
      </c>
      <c r="E5707" t="s">
        <v>694</v>
      </c>
      <c r="F5707">
        <v>8</v>
      </c>
      <c r="G5707">
        <v>0</v>
      </c>
      <c r="H5707" t="s">
        <v>224</v>
      </c>
      <c r="I5707" t="s">
        <v>697</v>
      </c>
      <c r="J5707" t="s">
        <v>32</v>
      </c>
      <c r="K5707" t="b">
        <v>0</v>
      </c>
      <c r="L5707">
        <v>2021</v>
      </c>
      <c r="M5707">
        <v>186231205262</v>
      </c>
      <c r="N5707">
        <v>3392796953</v>
      </c>
      <c r="O5707" t="b">
        <v>1</v>
      </c>
      <c r="P5707">
        <v>1</v>
      </c>
      <c r="Q5707" t="str" cm="1">
        <f t="array" ref="Q5707">_xlfn.IFS(Table1[[#This Row],[Wealthier_Winner]]=-1,"Wealthier Nation Loses",Table1[[#This Row],[Wealthier_Winner]]=0,"Tie",Table1[[#This Row],[Wealthier_Winner]]=1,"Wealthier Nation Wins")</f>
        <v>Wealthier Nation Wins</v>
      </c>
    </row>
    <row r="5708" spans="1:17" x14ac:dyDescent="0.2">
      <c r="A5708" s="1">
        <v>8289</v>
      </c>
      <c r="B5708" s="2">
        <v>44441</v>
      </c>
      <c r="C5708" s="7">
        <f>_xlfn.FLOOR.MATH(Table1[[#This Row],[year]],10)</f>
        <v>2020</v>
      </c>
      <c r="D5708" t="s">
        <v>314</v>
      </c>
      <c r="E5708" t="s">
        <v>357</v>
      </c>
      <c r="F5708">
        <v>0</v>
      </c>
      <c r="G5708">
        <v>0</v>
      </c>
      <c r="H5708" t="s">
        <v>224</v>
      </c>
      <c r="I5708" t="s">
        <v>315</v>
      </c>
      <c r="J5708" t="s">
        <v>314</v>
      </c>
      <c r="K5708" t="b">
        <v>0</v>
      </c>
      <c r="L5708">
        <v>2021</v>
      </c>
      <c r="M5708">
        <v>109703658904</v>
      </c>
      <c r="N5708">
        <v>40529788748</v>
      </c>
      <c r="O5708" t="b">
        <v>1</v>
      </c>
      <c r="P5708">
        <v>0</v>
      </c>
      <c r="Q5708" t="str" cm="1">
        <f t="array" ref="Q5708">_xlfn.IFS(Table1[[#This Row],[Wealthier_Winner]]=-1,"Wealthier Nation Loses",Table1[[#This Row],[Wealthier_Winner]]=0,"Tie",Table1[[#This Row],[Wealthier_Winner]]=1,"Wealthier Nation Wins")</f>
        <v>Tie</v>
      </c>
    </row>
    <row r="5709" spans="1:17" x14ac:dyDescent="0.2">
      <c r="A5709" s="1">
        <v>8291</v>
      </c>
      <c r="B5709" s="2">
        <v>44441</v>
      </c>
      <c r="C5709" s="7">
        <f>_xlfn.FLOOR.MATH(Table1[[#This Row],[year]],10)</f>
        <v>2020</v>
      </c>
      <c r="D5709" t="s">
        <v>24</v>
      </c>
      <c r="E5709" t="s">
        <v>274</v>
      </c>
      <c r="F5709">
        <v>2</v>
      </c>
      <c r="G5709">
        <v>0</v>
      </c>
      <c r="H5709" t="s">
        <v>224</v>
      </c>
      <c r="I5709" t="s">
        <v>319</v>
      </c>
      <c r="J5709" t="s">
        <v>24</v>
      </c>
      <c r="K5709" t="b">
        <v>0</v>
      </c>
      <c r="L5709">
        <v>2021</v>
      </c>
      <c r="M5709">
        <v>142022058447</v>
      </c>
      <c r="N5709">
        <v>34229513774</v>
      </c>
      <c r="O5709" t="b">
        <v>1</v>
      </c>
      <c r="P5709">
        <v>1</v>
      </c>
      <c r="Q5709" t="str" cm="1">
        <f t="array" ref="Q5709">_xlfn.IFS(Table1[[#This Row],[Wealthier_Winner]]=-1,"Wealthier Nation Loses",Table1[[#This Row],[Wealthier_Winner]]=0,"Tie",Table1[[#This Row],[Wealthier_Winner]]=1,"Wealthier Nation Wins")</f>
        <v>Wealthier Nation Wins</v>
      </c>
    </row>
    <row r="5710" spans="1:17" x14ac:dyDescent="0.2">
      <c r="A5710" s="1">
        <v>8293</v>
      </c>
      <c r="B5710" s="2">
        <v>44441</v>
      </c>
      <c r="C5710" s="7">
        <f>_xlfn.FLOOR.MATH(Table1[[#This Row],[year]],10)</f>
        <v>2020</v>
      </c>
      <c r="D5710" t="s">
        <v>410</v>
      </c>
      <c r="E5710" t="s">
        <v>310</v>
      </c>
      <c r="F5710">
        <v>0</v>
      </c>
      <c r="G5710">
        <v>1</v>
      </c>
      <c r="H5710" t="s">
        <v>224</v>
      </c>
      <c r="I5710" t="s">
        <v>413</v>
      </c>
      <c r="J5710" t="s">
        <v>410</v>
      </c>
      <c r="K5710" t="b">
        <v>0</v>
      </c>
      <c r="L5710">
        <v>2021</v>
      </c>
      <c r="M5710">
        <v>14354731964</v>
      </c>
      <c r="N5710">
        <v>17687623530</v>
      </c>
      <c r="O5710" t="b">
        <v>0</v>
      </c>
      <c r="P5710">
        <v>1</v>
      </c>
      <c r="Q5710" t="str" cm="1">
        <f t="array" ref="Q5710">_xlfn.IFS(Table1[[#This Row],[Wealthier_Winner]]=-1,"Wealthier Nation Loses",Table1[[#This Row],[Wealthier_Winner]]=0,"Tie",Table1[[#This Row],[Wealthier_Winner]]=1,"Wealthier Nation Wins")</f>
        <v>Wealthier Nation Wins</v>
      </c>
    </row>
    <row r="5711" spans="1:17" x14ac:dyDescent="0.2">
      <c r="A5711" s="1">
        <v>8294</v>
      </c>
      <c r="B5711" s="2">
        <v>44441</v>
      </c>
      <c r="C5711" s="7">
        <f>_xlfn.FLOOR.MATH(Table1[[#This Row],[year]],10)</f>
        <v>2020</v>
      </c>
      <c r="D5711" t="s">
        <v>195</v>
      </c>
      <c r="E5711" t="s">
        <v>37</v>
      </c>
      <c r="F5711">
        <v>0</v>
      </c>
      <c r="G5711">
        <v>0</v>
      </c>
      <c r="H5711" t="s">
        <v>224</v>
      </c>
      <c r="I5711" t="s">
        <v>136</v>
      </c>
      <c r="J5711" t="s">
        <v>195</v>
      </c>
      <c r="K5711" t="b">
        <v>0</v>
      </c>
      <c r="L5711">
        <v>2021</v>
      </c>
      <c r="M5711">
        <v>1942313560965</v>
      </c>
      <c r="N5711">
        <v>209691945713</v>
      </c>
      <c r="O5711" t="b">
        <v>1</v>
      </c>
      <c r="P5711">
        <v>0</v>
      </c>
      <c r="Q5711" t="str" cm="1">
        <f t="array" ref="Q5711">_xlfn.IFS(Table1[[#This Row],[Wealthier_Winner]]=-1,"Wealthier Nation Loses",Table1[[#This Row],[Wealthier_Winner]]=0,"Tie",Table1[[#This Row],[Wealthier_Winner]]=1,"Wealthier Nation Wins")</f>
        <v>Tie</v>
      </c>
    </row>
    <row r="5712" spans="1:17" x14ac:dyDescent="0.2">
      <c r="A5712" s="1">
        <v>8295</v>
      </c>
      <c r="B5712" s="2">
        <v>44441</v>
      </c>
      <c r="C5712" s="7">
        <f>_xlfn.FLOOR.MATH(Table1[[#This Row],[year]],10)</f>
        <v>2020</v>
      </c>
      <c r="D5712" t="s">
        <v>210</v>
      </c>
      <c r="E5712" t="s">
        <v>331</v>
      </c>
      <c r="F5712">
        <v>1</v>
      </c>
      <c r="G5712">
        <v>0</v>
      </c>
      <c r="H5712" t="s">
        <v>224</v>
      </c>
      <c r="I5712" t="s">
        <v>332</v>
      </c>
      <c r="J5712" t="s">
        <v>210</v>
      </c>
      <c r="K5712" t="b">
        <v>0</v>
      </c>
      <c r="L5712">
        <v>2021</v>
      </c>
      <c r="M5712">
        <v>407350685583</v>
      </c>
      <c r="N5712">
        <v>14353205678</v>
      </c>
      <c r="O5712" t="b">
        <v>1</v>
      </c>
      <c r="P5712">
        <v>1</v>
      </c>
      <c r="Q5712" t="str" cm="1">
        <f t="array" ref="Q5712">_xlfn.IFS(Table1[[#This Row],[Wealthier_Winner]]=-1,"Wealthier Nation Loses",Table1[[#This Row],[Wealthier_Winner]]=0,"Tie",Table1[[#This Row],[Wealthier_Winner]]=1,"Wealthier Nation Wins")</f>
        <v>Wealthier Nation Wins</v>
      </c>
    </row>
    <row r="5713" spans="1:17" x14ac:dyDescent="0.2">
      <c r="A5713" s="1">
        <v>8296</v>
      </c>
      <c r="B5713" s="2">
        <v>44441</v>
      </c>
      <c r="C5713" s="7">
        <f>_xlfn.FLOOR.MATH(Table1[[#This Row],[year]],10)</f>
        <v>2020</v>
      </c>
      <c r="D5713" t="s">
        <v>39</v>
      </c>
      <c r="E5713" t="s">
        <v>479</v>
      </c>
      <c r="F5713">
        <v>0</v>
      </c>
      <c r="G5713">
        <v>0</v>
      </c>
      <c r="H5713" t="s">
        <v>224</v>
      </c>
      <c r="I5713" t="s">
        <v>412</v>
      </c>
      <c r="J5713" t="s">
        <v>39</v>
      </c>
      <c r="K5713" t="b">
        <v>0</v>
      </c>
      <c r="L5713">
        <v>2021</v>
      </c>
      <c r="M5713">
        <v>422441388699</v>
      </c>
      <c r="N5713">
        <v>23131941556</v>
      </c>
      <c r="O5713" t="b">
        <v>1</v>
      </c>
      <c r="P5713">
        <v>0</v>
      </c>
      <c r="Q5713" t="str" cm="1">
        <f t="array" ref="Q5713">_xlfn.IFS(Table1[[#This Row],[Wealthier_Winner]]=-1,"Wealthier Nation Loses",Table1[[#This Row],[Wealthier_Winner]]=0,"Tie",Table1[[#This Row],[Wealthier_Winner]]=1,"Wealthier Nation Wins")</f>
        <v>Tie</v>
      </c>
    </row>
    <row r="5714" spans="1:17" x14ac:dyDescent="0.2">
      <c r="A5714" s="1">
        <v>8297</v>
      </c>
      <c r="B5714" s="2">
        <v>44441</v>
      </c>
      <c r="C5714" s="7">
        <f>_xlfn.FLOOR.MATH(Table1[[#This Row],[year]],10)</f>
        <v>2020</v>
      </c>
      <c r="D5714" t="s">
        <v>51</v>
      </c>
      <c r="E5714" t="s">
        <v>429</v>
      </c>
      <c r="F5714">
        <v>0</v>
      </c>
      <c r="G5714">
        <v>1</v>
      </c>
      <c r="H5714" t="s">
        <v>224</v>
      </c>
      <c r="I5714" t="s">
        <v>853</v>
      </c>
      <c r="J5714" t="s">
        <v>51</v>
      </c>
      <c r="K5714" t="b">
        <v>0</v>
      </c>
      <c r="L5714">
        <v>2021</v>
      </c>
      <c r="M5714">
        <v>5039148168861</v>
      </c>
      <c r="N5714">
        <v>87323797139</v>
      </c>
      <c r="O5714" t="b">
        <v>1</v>
      </c>
      <c r="P5714">
        <v>-1</v>
      </c>
      <c r="Q5714" t="str" cm="1">
        <f t="array" ref="Q5714">_xlfn.IFS(Table1[[#This Row],[Wealthier_Winner]]=-1,"Wealthier Nation Loses",Table1[[#This Row],[Wealthier_Winner]]=0,"Tie",Table1[[#This Row],[Wealthier_Winner]]=1,"Wealthier Nation Wins")</f>
        <v>Wealthier Nation Loses</v>
      </c>
    </row>
    <row r="5715" spans="1:17" x14ac:dyDescent="0.2">
      <c r="A5715" s="1">
        <v>8299</v>
      </c>
      <c r="B5715" s="2">
        <v>44441</v>
      </c>
      <c r="C5715" s="7">
        <f>_xlfn.FLOOR.MATH(Table1[[#This Row],[year]],10)</f>
        <v>2020</v>
      </c>
      <c r="D5715" t="s">
        <v>45</v>
      </c>
      <c r="E5715" t="s">
        <v>475</v>
      </c>
      <c r="F5715">
        <v>3</v>
      </c>
      <c r="G5715">
        <v>1</v>
      </c>
      <c r="H5715" t="s">
        <v>224</v>
      </c>
      <c r="I5715" t="s">
        <v>356</v>
      </c>
      <c r="J5715" t="s">
        <v>45</v>
      </c>
      <c r="K5715" t="b">
        <v>0</v>
      </c>
      <c r="L5715">
        <v>2021</v>
      </c>
      <c r="M5715">
        <v>982661066666</v>
      </c>
      <c r="N5715">
        <v>366474752771</v>
      </c>
      <c r="O5715" t="b">
        <v>1</v>
      </c>
      <c r="P5715">
        <v>1</v>
      </c>
      <c r="Q5715" t="str" cm="1">
        <f t="array" ref="Q5715">_xlfn.IFS(Table1[[#This Row],[Wealthier_Winner]]=-1,"Wealthier Nation Loses",Table1[[#This Row],[Wealthier_Winner]]=0,"Tie",Table1[[#This Row],[Wealthier_Winner]]=1,"Wealthier Nation Wins")</f>
        <v>Wealthier Nation Wins</v>
      </c>
    </row>
    <row r="5716" spans="1:17" x14ac:dyDescent="0.2">
      <c r="A5716" s="1">
        <v>8300</v>
      </c>
      <c r="B5716" s="2">
        <v>44441</v>
      </c>
      <c r="C5716" s="7">
        <f>_xlfn.FLOOR.MATH(Table1[[#This Row],[year]],10)</f>
        <v>2020</v>
      </c>
      <c r="D5716" t="s">
        <v>534</v>
      </c>
      <c r="E5716" t="s">
        <v>803</v>
      </c>
      <c r="F5716">
        <v>0</v>
      </c>
      <c r="G5716">
        <v>1</v>
      </c>
      <c r="H5716" t="s">
        <v>224</v>
      </c>
      <c r="I5716" t="s">
        <v>569</v>
      </c>
      <c r="J5716" t="s">
        <v>534</v>
      </c>
      <c r="K5716" t="b">
        <v>0</v>
      </c>
      <c r="L5716">
        <v>2021</v>
      </c>
      <c r="M5716">
        <v>18853115588</v>
      </c>
      <c r="N5716">
        <v>9413408574</v>
      </c>
      <c r="O5716" t="b">
        <v>1</v>
      </c>
      <c r="P5716">
        <v>-1</v>
      </c>
      <c r="Q5716" t="str" cm="1">
        <f t="array" ref="Q5716">_xlfn.IFS(Table1[[#This Row],[Wealthier_Winner]]=-1,"Wealthier Nation Loses",Table1[[#This Row],[Wealthier_Winner]]=0,"Tie",Table1[[#This Row],[Wealthier_Winner]]=1,"Wealthier Nation Wins")</f>
        <v>Wealthier Nation Loses</v>
      </c>
    </row>
    <row r="5717" spans="1:17" x14ac:dyDescent="0.2">
      <c r="A5717" s="1">
        <v>8301</v>
      </c>
      <c r="B5717" s="2">
        <v>44441</v>
      </c>
      <c r="C5717" s="7">
        <f>_xlfn.FLOOR.MATH(Table1[[#This Row],[year]],10)</f>
        <v>2020</v>
      </c>
      <c r="D5717" t="s">
        <v>25</v>
      </c>
      <c r="E5717" t="s">
        <v>21</v>
      </c>
      <c r="F5717">
        <v>2</v>
      </c>
      <c r="G5717">
        <v>1</v>
      </c>
      <c r="H5717" t="s">
        <v>224</v>
      </c>
      <c r="I5717" t="s">
        <v>838</v>
      </c>
      <c r="J5717" t="s">
        <v>25</v>
      </c>
      <c r="K5717" t="b">
        <v>0</v>
      </c>
      <c r="L5717">
        <v>2021</v>
      </c>
      <c r="M5717">
        <v>631693331300</v>
      </c>
      <c r="N5717">
        <v>1461244901852</v>
      </c>
      <c r="O5717" t="b">
        <v>1</v>
      </c>
      <c r="P5717">
        <v>-1</v>
      </c>
      <c r="Q5717" t="str" cm="1">
        <f t="array" ref="Q5717">_xlfn.IFS(Table1[[#This Row],[Wealthier_Winner]]=-1,"Wealthier Nation Loses",Table1[[#This Row],[Wealthier_Winner]]=0,"Tie",Table1[[#This Row],[Wealthier_Winner]]=1,"Wealthier Nation Wins")</f>
        <v>Wealthier Nation Loses</v>
      </c>
    </row>
    <row r="5718" spans="1:17" x14ac:dyDescent="0.2">
      <c r="A5718" s="1">
        <v>8302</v>
      </c>
      <c r="B5718" s="2">
        <v>44441</v>
      </c>
      <c r="C5718" s="7">
        <f>_xlfn.FLOOR.MATH(Table1[[#This Row],[year]],10)</f>
        <v>2020</v>
      </c>
      <c r="D5718" t="s">
        <v>18</v>
      </c>
      <c r="E5718" t="s">
        <v>33</v>
      </c>
      <c r="F5718">
        <v>1</v>
      </c>
      <c r="G5718">
        <v>1</v>
      </c>
      <c r="H5718" t="s">
        <v>224</v>
      </c>
      <c r="I5718" t="s">
        <v>116</v>
      </c>
      <c r="J5718" t="s">
        <v>18</v>
      </c>
      <c r="K5718" t="b">
        <v>0</v>
      </c>
      <c r="L5718">
        <v>2021</v>
      </c>
      <c r="M5718">
        <v>2179207773596</v>
      </c>
      <c r="N5718">
        <v>84374613233</v>
      </c>
      <c r="O5718" t="b">
        <v>1</v>
      </c>
      <c r="P5718">
        <v>0</v>
      </c>
      <c r="Q5718" t="str" cm="1">
        <f t="array" ref="Q5718">_xlfn.IFS(Table1[[#This Row],[Wealthier_Winner]]=-1,"Wealthier Nation Loses",Table1[[#This Row],[Wealthier_Winner]]=0,"Tie",Table1[[#This Row],[Wealthier_Winner]]=1,"Wealthier Nation Wins")</f>
        <v>Tie</v>
      </c>
    </row>
    <row r="5719" spans="1:17" x14ac:dyDescent="0.2">
      <c r="A5719" s="1">
        <v>8305</v>
      </c>
      <c r="B5719" s="2">
        <v>44441</v>
      </c>
      <c r="C5719" s="7">
        <f>_xlfn.FLOOR.MATH(Table1[[#This Row],[year]],10)</f>
        <v>2020</v>
      </c>
      <c r="D5719" t="s">
        <v>476</v>
      </c>
      <c r="E5719" t="s">
        <v>23</v>
      </c>
      <c r="F5719">
        <v>2</v>
      </c>
      <c r="G5719">
        <v>5</v>
      </c>
      <c r="H5719" t="s">
        <v>224</v>
      </c>
      <c r="I5719" t="s">
        <v>481</v>
      </c>
      <c r="J5719" t="s">
        <v>476</v>
      </c>
      <c r="K5719" t="b">
        <v>0</v>
      </c>
      <c r="L5719">
        <v>2021</v>
      </c>
      <c r="M5719">
        <v>37201101170</v>
      </c>
      <c r="N5719">
        <v>598522422241</v>
      </c>
      <c r="O5719" t="b">
        <v>1</v>
      </c>
      <c r="P5719">
        <v>1</v>
      </c>
      <c r="Q5719" t="str" cm="1">
        <f t="array" ref="Q5719">_xlfn.IFS(Table1[[#This Row],[Wealthier_Winner]]=-1,"Wealthier Nation Loses",Table1[[#This Row],[Wealthier_Winner]]=0,"Tie",Table1[[#This Row],[Wealthier_Winner]]=1,"Wealthier Nation Wins")</f>
        <v>Wealthier Nation Wins</v>
      </c>
    </row>
    <row r="5720" spans="1:17" x14ac:dyDescent="0.2">
      <c r="A5720" s="1">
        <v>8306</v>
      </c>
      <c r="B5720" s="2">
        <v>44441</v>
      </c>
      <c r="C5720" s="7">
        <f>_xlfn.FLOOR.MATH(Table1[[#This Row],[year]],10)</f>
        <v>2020</v>
      </c>
      <c r="D5720" t="s">
        <v>601</v>
      </c>
      <c r="E5720" t="s">
        <v>549</v>
      </c>
      <c r="F5720">
        <v>2</v>
      </c>
      <c r="G5720">
        <v>0</v>
      </c>
      <c r="H5720" t="s">
        <v>224</v>
      </c>
      <c r="I5720" t="s">
        <v>840</v>
      </c>
      <c r="J5720" t="s">
        <v>601</v>
      </c>
      <c r="K5720" t="b">
        <v>0</v>
      </c>
      <c r="L5720">
        <v>2021</v>
      </c>
      <c r="M5720">
        <v>3324648075</v>
      </c>
      <c r="N5720">
        <v>1855652786</v>
      </c>
      <c r="O5720" t="b">
        <v>0</v>
      </c>
      <c r="P5720">
        <v>1</v>
      </c>
      <c r="Q5720" t="str" cm="1">
        <f t="array" ref="Q5720">_xlfn.IFS(Table1[[#This Row],[Wealthier_Winner]]=-1,"Wealthier Nation Loses",Table1[[#This Row],[Wealthier_Winner]]=0,"Tie",Table1[[#This Row],[Wealthier_Winner]]=1,"Wealthier Nation Wins")</f>
        <v>Wealthier Nation Wins</v>
      </c>
    </row>
    <row r="5721" spans="1:17" x14ac:dyDescent="0.2">
      <c r="A5721" s="1">
        <v>8307</v>
      </c>
      <c r="B5721" s="2">
        <v>44441</v>
      </c>
      <c r="C5721" s="7">
        <f>_xlfn.FLOOR.MATH(Table1[[#This Row],[year]],10)</f>
        <v>2020</v>
      </c>
      <c r="D5721" t="s">
        <v>30</v>
      </c>
      <c r="E5721" t="s">
        <v>194</v>
      </c>
      <c r="F5721">
        <v>0</v>
      </c>
      <c r="G5721">
        <v>4</v>
      </c>
      <c r="H5721" t="s">
        <v>224</v>
      </c>
      <c r="I5721" t="s">
        <v>297</v>
      </c>
      <c r="J5721" t="s">
        <v>30</v>
      </c>
      <c r="K5721" t="b">
        <v>0</v>
      </c>
      <c r="L5721">
        <v>2021</v>
      </c>
      <c r="M5721">
        <v>183282685440</v>
      </c>
      <c r="N5721">
        <v>3194559188925</v>
      </c>
      <c r="O5721" t="b">
        <v>1</v>
      </c>
      <c r="P5721">
        <v>1</v>
      </c>
      <c r="Q5721" t="str" cm="1">
        <f t="array" ref="Q5721">_xlfn.IFS(Table1[[#This Row],[Wealthier_Winner]]=-1,"Wealthier Nation Loses",Table1[[#This Row],[Wealthier_Winner]]=0,"Tie",Table1[[#This Row],[Wealthier_Winner]]=1,"Wealthier Nation Wins")</f>
        <v>Wealthier Nation Wins</v>
      </c>
    </row>
    <row r="5722" spans="1:17" x14ac:dyDescent="0.2">
      <c r="A5722" s="1">
        <v>8308</v>
      </c>
      <c r="B5722" s="2">
        <v>44441</v>
      </c>
      <c r="C5722" s="7">
        <f>_xlfn.FLOOR.MATH(Table1[[#This Row],[year]],10)</f>
        <v>2020</v>
      </c>
      <c r="D5722" t="s">
        <v>58</v>
      </c>
      <c r="E5722" t="s">
        <v>373</v>
      </c>
      <c r="F5722">
        <v>4</v>
      </c>
      <c r="G5722">
        <v>1</v>
      </c>
      <c r="H5722" t="s">
        <v>224</v>
      </c>
      <c r="I5722" t="s">
        <v>619</v>
      </c>
      <c r="J5722" t="s">
        <v>58</v>
      </c>
      <c r="K5722" t="b">
        <v>0</v>
      </c>
      <c r="L5722">
        <v>2021</v>
      </c>
      <c r="M5722">
        <v>689170230665</v>
      </c>
      <c r="N5722">
        <v>18031989573</v>
      </c>
      <c r="O5722" t="b">
        <v>1</v>
      </c>
      <c r="P5722">
        <v>1</v>
      </c>
      <c r="Q5722" t="str" cm="1">
        <f t="array" ref="Q5722">_xlfn.IFS(Table1[[#This Row],[Wealthier_Winner]]=-1,"Wealthier Nation Loses",Table1[[#This Row],[Wealthier_Winner]]=0,"Tie",Table1[[#This Row],[Wealthier_Winner]]=1,"Wealthier Nation Wins")</f>
        <v>Wealthier Nation Wins</v>
      </c>
    </row>
    <row r="5723" spans="1:17" x14ac:dyDescent="0.2">
      <c r="A5723" s="1">
        <v>8309</v>
      </c>
      <c r="B5723" s="2">
        <v>44441</v>
      </c>
      <c r="C5723" s="7">
        <f>_xlfn.FLOOR.MATH(Table1[[#This Row],[year]],10)</f>
        <v>2020</v>
      </c>
      <c r="D5723" t="s">
        <v>66</v>
      </c>
      <c r="E5723" t="s">
        <v>44</v>
      </c>
      <c r="F5723">
        <v>0</v>
      </c>
      <c r="G5723">
        <v>2</v>
      </c>
      <c r="H5723" t="s">
        <v>224</v>
      </c>
      <c r="I5723" t="s">
        <v>336</v>
      </c>
      <c r="J5723" t="s">
        <v>66</v>
      </c>
      <c r="K5723" t="b">
        <v>0</v>
      </c>
      <c r="L5723">
        <v>2021</v>
      </c>
      <c r="M5723">
        <v>26234872402</v>
      </c>
      <c r="N5723">
        <v>285071280114</v>
      </c>
      <c r="O5723" t="b">
        <v>1</v>
      </c>
      <c r="P5723">
        <v>1</v>
      </c>
      <c r="Q5723" t="str" cm="1">
        <f t="array" ref="Q5723">_xlfn.IFS(Table1[[#This Row],[Wealthier_Winner]]=-1,"Wealthier Nation Loses",Table1[[#This Row],[Wealthier_Winner]]=0,"Tie",Table1[[#This Row],[Wealthier_Winner]]=1,"Wealthier Nation Wins")</f>
        <v>Wealthier Nation Wins</v>
      </c>
    </row>
    <row r="5724" spans="1:17" x14ac:dyDescent="0.2">
      <c r="A5724" s="1">
        <v>8310</v>
      </c>
      <c r="B5724" s="2">
        <v>44441</v>
      </c>
      <c r="C5724" s="7">
        <f>_xlfn.FLOOR.MATH(Table1[[#This Row],[year]],10)</f>
        <v>2020</v>
      </c>
      <c r="D5724" t="s">
        <v>503</v>
      </c>
      <c r="E5724" t="s">
        <v>16</v>
      </c>
      <c r="F5724">
        <v>0</v>
      </c>
      <c r="G5724">
        <v>2</v>
      </c>
      <c r="H5724" t="s">
        <v>224</v>
      </c>
      <c r="I5724" t="s">
        <v>442</v>
      </c>
      <c r="J5724" t="s">
        <v>46</v>
      </c>
      <c r="K5724" t="b">
        <v>1</v>
      </c>
      <c r="L5724">
        <v>2021</v>
      </c>
      <c r="M5724">
        <v>7912602342</v>
      </c>
      <c r="N5724">
        <v>4355251953410</v>
      </c>
      <c r="O5724" t="b">
        <v>1</v>
      </c>
      <c r="P5724">
        <v>1</v>
      </c>
      <c r="Q5724" t="str" cm="1">
        <f t="array" ref="Q5724">_xlfn.IFS(Table1[[#This Row],[Wealthier_Winner]]=-1,"Wealthier Nation Loses",Table1[[#This Row],[Wealthier_Winner]]=0,"Tie",Table1[[#This Row],[Wealthier_Winner]]=1,"Wealthier Nation Wins")</f>
        <v>Wealthier Nation Wins</v>
      </c>
    </row>
    <row r="5725" spans="1:17" x14ac:dyDescent="0.2">
      <c r="A5725" s="1">
        <v>8311</v>
      </c>
      <c r="B5725" s="2">
        <v>44441</v>
      </c>
      <c r="C5725" s="7">
        <f>_xlfn.FLOOR.MATH(Table1[[#This Row],[year]],10)</f>
        <v>2020</v>
      </c>
      <c r="D5725" t="s">
        <v>502</v>
      </c>
      <c r="E5725" t="s">
        <v>519</v>
      </c>
      <c r="F5725">
        <v>0</v>
      </c>
      <c r="G5725">
        <v>0</v>
      </c>
      <c r="H5725" t="s">
        <v>224</v>
      </c>
      <c r="I5725" t="s">
        <v>504</v>
      </c>
      <c r="J5725" t="s">
        <v>502</v>
      </c>
      <c r="K5725" t="b">
        <v>0</v>
      </c>
      <c r="L5725">
        <v>2021</v>
      </c>
      <c r="M5725">
        <v>14000283827</v>
      </c>
      <c r="N5725">
        <v>13878908628</v>
      </c>
      <c r="O5725" t="b">
        <v>0</v>
      </c>
      <c r="P5725">
        <v>0</v>
      </c>
      <c r="Q5725" t="str" cm="1">
        <f t="array" ref="Q5725">_xlfn.IFS(Table1[[#This Row],[Wealthier_Winner]]=-1,"Wealthier Nation Loses",Table1[[#This Row],[Wealthier_Winner]]=0,"Tie",Table1[[#This Row],[Wealthier_Winner]]=1,"Wealthier Nation Wins")</f>
        <v>Tie</v>
      </c>
    </row>
    <row r="5726" spans="1:17" x14ac:dyDescent="0.2">
      <c r="A5726" s="1">
        <v>8312</v>
      </c>
      <c r="B5726" s="2">
        <v>44441</v>
      </c>
      <c r="C5726" s="7">
        <f>_xlfn.FLOOR.MATH(Table1[[#This Row],[year]],10)</f>
        <v>2020</v>
      </c>
      <c r="D5726" t="s">
        <v>47</v>
      </c>
      <c r="E5726" t="s">
        <v>15</v>
      </c>
      <c r="F5726">
        <v>1</v>
      </c>
      <c r="G5726">
        <v>1</v>
      </c>
      <c r="H5726" t="s">
        <v>224</v>
      </c>
      <c r="I5726" t="s">
        <v>246</v>
      </c>
      <c r="J5726" t="s">
        <v>47</v>
      </c>
      <c r="K5726" t="b">
        <v>0</v>
      </c>
      <c r="L5726">
        <v>2021</v>
      </c>
      <c r="M5726">
        <v>47877892402</v>
      </c>
      <c r="N5726">
        <v>318524633225</v>
      </c>
      <c r="O5726" t="b">
        <v>1</v>
      </c>
      <c r="P5726">
        <v>0</v>
      </c>
      <c r="Q5726" t="str" cm="1">
        <f t="array" ref="Q5726">_xlfn.IFS(Table1[[#This Row],[Wealthier_Winner]]=-1,"Wealthier Nation Loses",Table1[[#This Row],[Wealthier_Winner]]=0,"Tie",Table1[[#This Row],[Wealthier_Winner]]=1,"Wealthier Nation Wins")</f>
        <v>Tie</v>
      </c>
    </row>
    <row r="5727" spans="1:17" x14ac:dyDescent="0.2">
      <c r="A5727" s="1">
        <v>8313</v>
      </c>
      <c r="B5727" s="2">
        <v>44441</v>
      </c>
      <c r="C5727" s="7">
        <f>_xlfn.FLOOR.MATH(Table1[[#This Row],[year]],10)</f>
        <v>2020</v>
      </c>
      <c r="D5727" t="s">
        <v>57</v>
      </c>
      <c r="E5727" t="s">
        <v>35</v>
      </c>
      <c r="F5727">
        <v>2</v>
      </c>
      <c r="G5727">
        <v>0</v>
      </c>
      <c r="H5727" t="s">
        <v>224</v>
      </c>
      <c r="I5727" t="s">
        <v>335</v>
      </c>
      <c r="J5727" t="s">
        <v>57</v>
      </c>
      <c r="K5727" t="b">
        <v>0</v>
      </c>
      <c r="L5727">
        <v>2021</v>
      </c>
      <c r="M5727">
        <v>107179074000</v>
      </c>
      <c r="N5727">
        <v>39950899938</v>
      </c>
      <c r="O5727" t="b">
        <v>1</v>
      </c>
      <c r="P5727">
        <v>1</v>
      </c>
      <c r="Q5727" t="str" cm="1">
        <f t="array" ref="Q5727">_xlfn.IFS(Table1[[#This Row],[Wealthier_Winner]]=-1,"Wealthier Nation Loses",Table1[[#This Row],[Wealthier_Winner]]=0,"Tie",Table1[[#This Row],[Wealthier_Winner]]=1,"Wealthier Nation Wins")</f>
        <v>Wealthier Nation Wins</v>
      </c>
    </row>
    <row r="5728" spans="1:17" x14ac:dyDescent="0.2">
      <c r="A5728" s="1">
        <v>8314</v>
      </c>
      <c r="B5728" s="2">
        <v>44441</v>
      </c>
      <c r="C5728" s="7">
        <f>_xlfn.FLOOR.MATH(Table1[[#This Row],[year]],10)</f>
        <v>2020</v>
      </c>
      <c r="D5728" t="s">
        <v>31</v>
      </c>
      <c r="E5728" t="s">
        <v>26</v>
      </c>
      <c r="F5728">
        <v>1</v>
      </c>
      <c r="G5728">
        <v>1</v>
      </c>
      <c r="H5728" t="s">
        <v>224</v>
      </c>
      <c r="I5728" t="s">
        <v>242</v>
      </c>
      <c r="J5728" t="s">
        <v>31</v>
      </c>
      <c r="K5728" t="b">
        <v>0</v>
      </c>
      <c r="L5728">
        <v>2021</v>
      </c>
      <c r="M5728">
        <v>226328766459</v>
      </c>
      <c r="N5728">
        <v>60739084240</v>
      </c>
      <c r="O5728" t="b">
        <v>1</v>
      </c>
      <c r="P5728">
        <v>0</v>
      </c>
      <c r="Q5728" t="str" cm="1">
        <f t="array" ref="Q5728">_xlfn.IFS(Table1[[#This Row],[Wealthier_Winner]]=-1,"Wealthier Nation Loses",Table1[[#This Row],[Wealthier_Winner]]=0,"Tie",Table1[[#This Row],[Wealthier_Winner]]=1,"Wealthier Nation Wins")</f>
        <v>Tie</v>
      </c>
    </row>
    <row r="5729" spans="1:17" x14ac:dyDescent="0.2">
      <c r="A5729" s="1">
        <v>8315</v>
      </c>
      <c r="B5729" s="2">
        <v>44441</v>
      </c>
      <c r="C5729" s="7">
        <f>_xlfn.FLOOR.MATH(Table1[[#This Row],[year]],10)</f>
        <v>2020</v>
      </c>
      <c r="D5729" t="s">
        <v>258</v>
      </c>
      <c r="E5729" t="s">
        <v>19</v>
      </c>
      <c r="F5729">
        <v>1</v>
      </c>
      <c r="G5729">
        <v>3</v>
      </c>
      <c r="H5729" t="s">
        <v>224</v>
      </c>
      <c r="I5729" t="s">
        <v>260</v>
      </c>
      <c r="J5729" t="s">
        <v>258</v>
      </c>
      <c r="K5729" t="b">
        <v>0</v>
      </c>
      <c r="L5729">
        <v>2021</v>
      </c>
      <c r="M5729">
        <v>56614976854</v>
      </c>
      <c r="N5729">
        <v>486564085480</v>
      </c>
      <c r="O5729" t="b">
        <v>1</v>
      </c>
      <c r="P5729">
        <v>1</v>
      </c>
      <c r="Q5729" t="str" cm="1">
        <f t="array" ref="Q5729">_xlfn.IFS(Table1[[#This Row],[Wealthier_Winner]]=-1,"Wealthier Nation Loses",Table1[[#This Row],[Wealthier_Winner]]=0,"Tie",Table1[[#This Row],[Wealthier_Winner]]=1,"Wealthier Nation Wins")</f>
        <v>Wealthier Nation Wins</v>
      </c>
    </row>
    <row r="5730" spans="1:17" x14ac:dyDescent="0.2">
      <c r="A5730" s="1">
        <v>8316</v>
      </c>
      <c r="B5730" s="2">
        <v>44441</v>
      </c>
      <c r="C5730" s="7">
        <f>_xlfn.FLOOR.MATH(Table1[[#This Row],[year]],10)</f>
        <v>2020</v>
      </c>
      <c r="D5730" t="s">
        <v>14</v>
      </c>
      <c r="E5730" t="s">
        <v>13</v>
      </c>
      <c r="F5730">
        <v>0</v>
      </c>
      <c r="G5730">
        <v>1</v>
      </c>
      <c r="H5730" t="s">
        <v>224</v>
      </c>
      <c r="I5730" t="s">
        <v>75</v>
      </c>
      <c r="J5730" t="s">
        <v>14</v>
      </c>
      <c r="K5730" t="b">
        <v>0</v>
      </c>
      <c r="L5730">
        <v>2021</v>
      </c>
      <c r="M5730">
        <v>315325547162</v>
      </c>
      <c r="N5730">
        <v>1670647464062</v>
      </c>
      <c r="O5730" t="b">
        <v>1</v>
      </c>
      <c r="P5730">
        <v>1</v>
      </c>
      <c r="Q5730" t="str" cm="1">
        <f t="array" ref="Q5730">_xlfn.IFS(Table1[[#This Row],[Wealthier_Winner]]=-1,"Wealthier Nation Loses",Table1[[#This Row],[Wealthier_Winner]]=0,"Tie",Table1[[#This Row],[Wealthier_Winner]]=1,"Wealthier Nation Wins")</f>
        <v>Wealthier Nation Wins</v>
      </c>
    </row>
    <row r="5731" spans="1:17" x14ac:dyDescent="0.2">
      <c r="A5731" s="1">
        <v>8317</v>
      </c>
      <c r="B5731" s="2">
        <v>44441</v>
      </c>
      <c r="C5731" s="7">
        <f>_xlfn.FLOOR.MATH(Table1[[#This Row],[year]],10)</f>
        <v>2020</v>
      </c>
      <c r="D5731" t="s">
        <v>34</v>
      </c>
      <c r="E5731" t="s">
        <v>65</v>
      </c>
      <c r="F5731">
        <v>1</v>
      </c>
      <c r="G5731">
        <v>1</v>
      </c>
      <c r="H5731" t="s">
        <v>224</v>
      </c>
      <c r="I5731" t="s">
        <v>267</v>
      </c>
      <c r="J5731" t="s">
        <v>34</v>
      </c>
      <c r="K5731" t="b">
        <v>0</v>
      </c>
      <c r="L5731">
        <v>2021</v>
      </c>
      <c r="M5731">
        <v>2022378748423</v>
      </c>
      <c r="N5731">
        <v>28144331506</v>
      </c>
      <c r="O5731" t="b">
        <v>1</v>
      </c>
      <c r="P5731">
        <v>0</v>
      </c>
      <c r="Q5731" t="str" cm="1">
        <f t="array" ref="Q5731">_xlfn.IFS(Table1[[#This Row],[Wealthier_Winner]]=-1,"Wealthier Nation Loses",Table1[[#This Row],[Wealthier_Winner]]=0,"Tie",Table1[[#This Row],[Wealthier_Winner]]=1,"Wealthier Nation Wins")</f>
        <v>Tie</v>
      </c>
    </row>
    <row r="5732" spans="1:17" x14ac:dyDescent="0.2">
      <c r="A5732" s="1">
        <v>8318</v>
      </c>
      <c r="B5732" s="2">
        <v>44441</v>
      </c>
      <c r="C5732" s="7">
        <f>_xlfn.FLOOR.MATH(Table1[[#This Row],[year]],10)</f>
        <v>2020</v>
      </c>
      <c r="D5732" t="s">
        <v>69</v>
      </c>
      <c r="E5732" t="s">
        <v>41</v>
      </c>
      <c r="F5732">
        <v>0</v>
      </c>
      <c r="G5732">
        <v>0</v>
      </c>
      <c r="H5732" t="s">
        <v>224</v>
      </c>
      <c r="I5732" t="s">
        <v>281</v>
      </c>
      <c r="J5732" t="s">
        <v>69</v>
      </c>
      <c r="K5732" t="b">
        <v>0</v>
      </c>
      <c r="L5732">
        <v>2021</v>
      </c>
      <c r="M5732">
        <v>29043140000</v>
      </c>
      <c r="N5732">
        <v>23315080560000</v>
      </c>
      <c r="O5732" t="b">
        <v>1</v>
      </c>
      <c r="P5732">
        <v>0</v>
      </c>
      <c r="Q5732" t="str" cm="1">
        <f t="array" ref="Q5732">_xlfn.IFS(Table1[[#This Row],[Wealthier_Winner]]=-1,"Wealthier Nation Loses",Table1[[#This Row],[Wealthier_Winner]]=0,"Tie",Table1[[#This Row],[Wealthier_Winner]]=1,"Wealthier Nation Wins")</f>
        <v>Tie</v>
      </c>
    </row>
    <row r="5733" spans="1:17" x14ac:dyDescent="0.2">
      <c r="A5733" s="1">
        <v>8319</v>
      </c>
      <c r="B5733" s="2">
        <v>44441</v>
      </c>
      <c r="C5733" s="7">
        <f>_xlfn.FLOOR.MATH(Table1[[#This Row],[year]],10)</f>
        <v>2020</v>
      </c>
      <c r="D5733" t="s">
        <v>67</v>
      </c>
      <c r="E5733" t="s">
        <v>56</v>
      </c>
      <c r="F5733">
        <v>0</v>
      </c>
      <c r="G5733">
        <v>0</v>
      </c>
      <c r="H5733" t="s">
        <v>224</v>
      </c>
      <c r="I5733" t="s">
        <v>455</v>
      </c>
      <c r="J5733" t="s">
        <v>67</v>
      </c>
      <c r="K5733" t="b">
        <v>0</v>
      </c>
      <c r="L5733">
        <v>2021</v>
      </c>
      <c r="M5733">
        <v>67396392506</v>
      </c>
      <c r="N5733">
        <v>64960725734</v>
      </c>
      <c r="O5733" t="b">
        <v>0</v>
      </c>
      <c r="P5733">
        <v>0</v>
      </c>
      <c r="Q5733" t="str" cm="1">
        <f t="array" ref="Q5733">_xlfn.IFS(Table1[[#This Row],[Wealthier_Winner]]=-1,"Wealthier Nation Loses",Table1[[#This Row],[Wealthier_Winner]]=0,"Tie",Table1[[#This Row],[Wealthier_Winner]]=1,"Wealthier Nation Wins")</f>
        <v>Tie</v>
      </c>
    </row>
    <row r="5734" spans="1:17" x14ac:dyDescent="0.2">
      <c r="A5734" s="1">
        <v>8320</v>
      </c>
      <c r="B5734" s="2">
        <v>44441</v>
      </c>
      <c r="C5734" s="7">
        <f>_xlfn.FLOOR.MATH(Table1[[#This Row],[year]],10)</f>
        <v>2020</v>
      </c>
      <c r="D5734" t="s">
        <v>17</v>
      </c>
      <c r="E5734" t="s">
        <v>49</v>
      </c>
      <c r="F5734">
        <v>2</v>
      </c>
      <c r="G5734">
        <v>1</v>
      </c>
      <c r="H5734" t="s">
        <v>224</v>
      </c>
      <c r="I5734" t="s">
        <v>83</v>
      </c>
      <c r="J5734" t="s">
        <v>17</v>
      </c>
      <c r="K5734" t="b">
        <v>0</v>
      </c>
      <c r="L5734">
        <v>2021</v>
      </c>
      <c r="M5734">
        <v>1316569466685</v>
      </c>
      <c r="N5734">
        <v>15963885376</v>
      </c>
      <c r="O5734" t="b">
        <v>1</v>
      </c>
      <c r="P5734">
        <v>1</v>
      </c>
      <c r="Q5734" t="str" cm="1">
        <f t="array" ref="Q5734">_xlfn.IFS(Table1[[#This Row],[Wealthier_Winner]]=-1,"Wealthier Nation Loses",Table1[[#This Row],[Wealthier_Winner]]=0,"Tie",Table1[[#This Row],[Wealthier_Winner]]=1,"Wealthier Nation Wins")</f>
        <v>Wealthier Nation Wins</v>
      </c>
    </row>
    <row r="5735" spans="1:17" x14ac:dyDescent="0.2">
      <c r="A5735" s="1">
        <v>8321</v>
      </c>
      <c r="B5735" s="2">
        <v>44442</v>
      </c>
      <c r="C5735" s="7">
        <f>_xlfn.FLOOR.MATH(Table1[[#This Row],[year]],10)</f>
        <v>2020</v>
      </c>
      <c r="D5735" t="s">
        <v>346</v>
      </c>
      <c r="E5735" t="s">
        <v>273</v>
      </c>
      <c r="F5735">
        <v>1</v>
      </c>
      <c r="G5735">
        <v>2</v>
      </c>
      <c r="H5735" t="s">
        <v>224</v>
      </c>
      <c r="I5735" t="s">
        <v>350</v>
      </c>
      <c r="J5735" t="s">
        <v>346</v>
      </c>
      <c r="K5735" t="b">
        <v>0</v>
      </c>
      <c r="L5735">
        <v>2021</v>
      </c>
      <c r="M5735">
        <v>9222536364</v>
      </c>
      <c r="N5735">
        <v>22096416932</v>
      </c>
      <c r="O5735" t="b">
        <v>1</v>
      </c>
      <c r="P5735">
        <v>1</v>
      </c>
      <c r="Q5735" t="str" cm="1">
        <f t="array" ref="Q5735">_xlfn.IFS(Table1[[#This Row],[Wealthier_Winner]]=-1,"Wealthier Nation Loses",Table1[[#This Row],[Wealthier_Winner]]=0,"Tie",Table1[[#This Row],[Wealthier_Winner]]=1,"Wealthier Nation Wins")</f>
        <v>Wealthier Nation Wins</v>
      </c>
    </row>
    <row r="5736" spans="1:17" x14ac:dyDescent="0.2">
      <c r="A5736" s="1">
        <v>8322</v>
      </c>
      <c r="B5736" s="2">
        <v>44442</v>
      </c>
      <c r="C5736" s="7">
        <f>_xlfn.FLOOR.MATH(Table1[[#This Row],[year]],10)</f>
        <v>2020</v>
      </c>
      <c r="D5736" t="s">
        <v>53</v>
      </c>
      <c r="E5736" t="s">
        <v>639</v>
      </c>
      <c r="F5736">
        <v>3</v>
      </c>
      <c r="G5736">
        <v>0</v>
      </c>
      <c r="H5736" t="s">
        <v>224</v>
      </c>
      <c r="I5736" t="s">
        <v>658</v>
      </c>
      <c r="J5736" t="s">
        <v>53</v>
      </c>
      <c r="K5736" t="b">
        <v>0</v>
      </c>
      <c r="L5736">
        <v>2021</v>
      </c>
      <c r="M5736">
        <v>47073234359</v>
      </c>
      <c r="N5736">
        <v>12215878032</v>
      </c>
      <c r="O5736" t="b">
        <v>1</v>
      </c>
      <c r="P5736">
        <v>1</v>
      </c>
      <c r="Q5736" t="str" cm="1">
        <f t="array" ref="Q5736">_xlfn.IFS(Table1[[#This Row],[Wealthier_Winner]]=-1,"Wealthier Nation Loses",Table1[[#This Row],[Wealthier_Winner]]=0,"Tie",Table1[[#This Row],[Wealthier_Winner]]=1,"Wealthier Nation Wins")</f>
        <v>Wealthier Nation Wins</v>
      </c>
    </row>
    <row r="5737" spans="1:17" x14ac:dyDescent="0.2">
      <c r="A5737" s="1">
        <v>8323</v>
      </c>
      <c r="B5737" s="2">
        <v>44442</v>
      </c>
      <c r="C5737" s="7">
        <f>_xlfn.FLOOR.MATH(Table1[[#This Row],[year]],10)</f>
        <v>2020</v>
      </c>
      <c r="D5737" t="s">
        <v>43</v>
      </c>
      <c r="E5737" t="s">
        <v>378</v>
      </c>
      <c r="F5737">
        <v>2</v>
      </c>
      <c r="G5737">
        <v>0</v>
      </c>
      <c r="H5737" t="s">
        <v>224</v>
      </c>
      <c r="I5737" t="s">
        <v>229</v>
      </c>
      <c r="J5737" t="s">
        <v>43</v>
      </c>
      <c r="K5737" t="b">
        <v>0</v>
      </c>
      <c r="L5737">
        <v>2021</v>
      </c>
      <c r="M5737">
        <v>609147716972</v>
      </c>
      <c r="N5737">
        <v>3513049500</v>
      </c>
      <c r="O5737" t="b">
        <v>1</v>
      </c>
      <c r="P5737">
        <v>1</v>
      </c>
      <c r="Q5737" t="str" cm="1">
        <f t="array" ref="Q5737">_xlfn.IFS(Table1[[#This Row],[Wealthier_Winner]]=-1,"Wealthier Nation Loses",Table1[[#This Row],[Wealthier_Winner]]=0,"Tie",Table1[[#This Row],[Wealthier_Winner]]=1,"Wealthier Nation Wins")</f>
        <v>Wealthier Nation Wins</v>
      </c>
    </row>
    <row r="5738" spans="1:17" x14ac:dyDescent="0.2">
      <c r="A5738" s="1">
        <v>8325</v>
      </c>
      <c r="B5738" s="2">
        <v>44442</v>
      </c>
      <c r="C5738" s="7">
        <f>_xlfn.FLOOR.MATH(Table1[[#This Row],[year]],10)</f>
        <v>2020</v>
      </c>
      <c r="D5738" t="s">
        <v>40</v>
      </c>
      <c r="E5738" t="s">
        <v>370</v>
      </c>
      <c r="F5738">
        <v>2</v>
      </c>
      <c r="G5738">
        <v>0</v>
      </c>
      <c r="H5738" t="s">
        <v>224</v>
      </c>
      <c r="I5738" t="s">
        <v>371</v>
      </c>
      <c r="J5738" t="s">
        <v>40</v>
      </c>
      <c r="K5738" t="b">
        <v>0</v>
      </c>
      <c r="L5738">
        <v>2021</v>
      </c>
      <c r="M5738">
        <v>45011937346</v>
      </c>
      <c r="N5738">
        <v>12378119199</v>
      </c>
      <c r="O5738" t="b">
        <v>1</v>
      </c>
      <c r="P5738">
        <v>1</v>
      </c>
      <c r="Q5738" t="str" cm="1">
        <f t="array" ref="Q5738">_xlfn.IFS(Table1[[#This Row],[Wealthier_Winner]]=-1,"Wealthier Nation Loses",Table1[[#This Row],[Wealthier_Winner]]=0,"Tie",Table1[[#This Row],[Wealthier_Winner]]=1,"Wealthier Nation Wins")</f>
        <v>Wealthier Nation Wins</v>
      </c>
    </row>
    <row r="5739" spans="1:17" x14ac:dyDescent="0.2">
      <c r="A5739" s="1">
        <v>8326</v>
      </c>
      <c r="B5739" s="2">
        <v>44442</v>
      </c>
      <c r="C5739" s="7">
        <f>_xlfn.FLOOR.MATH(Table1[[#This Row],[year]],10)</f>
        <v>2020</v>
      </c>
      <c r="D5739" t="s">
        <v>298</v>
      </c>
      <c r="E5739" t="s">
        <v>50</v>
      </c>
      <c r="F5739">
        <v>0</v>
      </c>
      <c r="G5739">
        <v>0</v>
      </c>
      <c r="H5739" t="s">
        <v>224</v>
      </c>
      <c r="I5739" t="s">
        <v>377</v>
      </c>
      <c r="J5739" t="s">
        <v>298</v>
      </c>
      <c r="K5739" t="b">
        <v>0</v>
      </c>
      <c r="L5739">
        <v>2021</v>
      </c>
      <c r="M5739">
        <v>41287673690</v>
      </c>
      <c r="N5739">
        <v>419986284375</v>
      </c>
      <c r="O5739" t="b">
        <v>1</v>
      </c>
      <c r="P5739">
        <v>0</v>
      </c>
      <c r="Q5739" t="str" cm="1">
        <f t="array" ref="Q5739">_xlfn.IFS(Table1[[#This Row],[Wealthier_Winner]]=-1,"Wealthier Nation Loses",Table1[[#This Row],[Wealthier_Winner]]=0,"Tie",Table1[[#This Row],[Wealthier_Winner]]=1,"Wealthier Nation Wins")</f>
        <v>Tie</v>
      </c>
    </row>
    <row r="5740" spans="1:17" x14ac:dyDescent="0.2">
      <c r="A5740" s="1">
        <v>8327</v>
      </c>
      <c r="B5740" s="2">
        <v>44442</v>
      </c>
      <c r="C5740" s="7">
        <f>_xlfn.FLOOR.MATH(Table1[[#This Row],[year]],10)</f>
        <v>2020</v>
      </c>
      <c r="D5740" t="s">
        <v>63</v>
      </c>
      <c r="E5740" t="s">
        <v>238</v>
      </c>
      <c r="F5740">
        <v>1</v>
      </c>
      <c r="G5740">
        <v>0</v>
      </c>
      <c r="H5740" t="s">
        <v>224</v>
      </c>
      <c r="I5740" t="s">
        <v>858</v>
      </c>
      <c r="J5740" t="s">
        <v>63</v>
      </c>
      <c r="K5740" t="b">
        <v>0</v>
      </c>
      <c r="L5740">
        <v>2021</v>
      </c>
      <c r="M5740">
        <v>79514204730</v>
      </c>
      <c r="N5740">
        <v>109070960371</v>
      </c>
      <c r="O5740" t="b">
        <v>0</v>
      </c>
      <c r="P5740">
        <v>-1</v>
      </c>
      <c r="Q5740" t="str" cm="1">
        <f t="array" ref="Q5740">_xlfn.IFS(Table1[[#This Row],[Wealthier_Winner]]=-1,"Wealthier Nation Loses",Table1[[#This Row],[Wealthier_Winner]]=0,"Tie",Table1[[#This Row],[Wealthier_Winner]]=1,"Wealthier Nation Wins")</f>
        <v>Wealthier Nation Loses</v>
      </c>
    </row>
    <row r="5741" spans="1:17" x14ac:dyDescent="0.2">
      <c r="A5741" s="1">
        <v>8329</v>
      </c>
      <c r="B5741" s="2">
        <v>44443</v>
      </c>
      <c r="C5741" s="7">
        <f>_xlfn.FLOOR.MATH(Table1[[#This Row],[year]],10)</f>
        <v>2020</v>
      </c>
      <c r="D5741" t="s">
        <v>61</v>
      </c>
      <c r="E5741" t="s">
        <v>232</v>
      </c>
      <c r="F5741">
        <v>4</v>
      </c>
      <c r="G5741">
        <v>1</v>
      </c>
      <c r="H5741" t="s">
        <v>224</v>
      </c>
      <c r="I5741" t="s">
        <v>505</v>
      </c>
      <c r="J5741" t="s">
        <v>61</v>
      </c>
      <c r="K5741" t="b">
        <v>0</v>
      </c>
      <c r="L5741">
        <v>2021</v>
      </c>
      <c r="M5741">
        <v>66159884072</v>
      </c>
      <c r="N5741">
        <v>86386759695</v>
      </c>
      <c r="O5741" t="b">
        <v>0</v>
      </c>
      <c r="P5741">
        <v>-1</v>
      </c>
      <c r="Q5741" t="str" cm="1">
        <f t="array" ref="Q5741">_xlfn.IFS(Table1[[#This Row],[Wealthier_Winner]]=-1,"Wealthier Nation Loses",Table1[[#This Row],[Wealthier_Winner]]=0,"Tie",Table1[[#This Row],[Wealthier_Winner]]=1,"Wealthier Nation Wins")</f>
        <v>Wealthier Nation Loses</v>
      </c>
    </row>
    <row r="5742" spans="1:17" x14ac:dyDescent="0.2">
      <c r="A5742" s="1">
        <v>8330</v>
      </c>
      <c r="B5742" s="2">
        <v>44443</v>
      </c>
      <c r="C5742" s="7">
        <f>_xlfn.FLOOR.MATH(Table1[[#This Row],[year]],10)</f>
        <v>2020</v>
      </c>
      <c r="D5742" t="s">
        <v>230</v>
      </c>
      <c r="E5742" t="s">
        <v>558</v>
      </c>
      <c r="F5742">
        <v>1</v>
      </c>
      <c r="G5742">
        <v>0</v>
      </c>
      <c r="H5742" t="s">
        <v>224</v>
      </c>
      <c r="I5742" t="s">
        <v>231</v>
      </c>
      <c r="J5742" t="s">
        <v>230</v>
      </c>
      <c r="K5742" t="b">
        <v>0</v>
      </c>
      <c r="L5742">
        <v>2021</v>
      </c>
      <c r="M5742">
        <v>294223210496</v>
      </c>
      <c r="N5742">
        <v>197112255360</v>
      </c>
      <c r="O5742" t="b">
        <v>0</v>
      </c>
      <c r="P5742">
        <v>1</v>
      </c>
      <c r="Q5742" t="str" cm="1">
        <f t="array" ref="Q5742">_xlfn.IFS(Table1[[#This Row],[Wealthier_Winner]]=-1,"Wealthier Nation Loses",Table1[[#This Row],[Wealthier_Winner]]=0,"Tie",Table1[[#This Row],[Wealthier_Winner]]=1,"Wealthier Nation Wins")</f>
        <v>Wealthier Nation Wins</v>
      </c>
    </row>
    <row r="5743" spans="1:17" x14ac:dyDescent="0.2">
      <c r="A5743" s="1">
        <v>8331</v>
      </c>
      <c r="B5743" s="2">
        <v>44443</v>
      </c>
      <c r="C5743" s="7">
        <f>_xlfn.FLOOR.MATH(Table1[[#This Row],[year]],10)</f>
        <v>2020</v>
      </c>
      <c r="D5743" t="s">
        <v>64</v>
      </c>
      <c r="E5743" t="s">
        <v>20</v>
      </c>
      <c r="F5743">
        <v>1</v>
      </c>
      <c r="G5743">
        <v>1</v>
      </c>
      <c r="H5743" t="s">
        <v>224</v>
      </c>
      <c r="I5743" t="s">
        <v>423</v>
      </c>
      <c r="J5743" t="s">
        <v>64</v>
      </c>
      <c r="K5743" t="b">
        <v>0</v>
      </c>
      <c r="L5743">
        <v>2021</v>
      </c>
      <c r="M5743">
        <v>199765859570</v>
      </c>
      <c r="N5743">
        <v>2966433692008</v>
      </c>
      <c r="O5743" t="b">
        <v>1</v>
      </c>
      <c r="P5743">
        <v>0</v>
      </c>
      <c r="Q5743" t="str" cm="1">
        <f t="array" ref="Q5743">_xlfn.IFS(Table1[[#This Row],[Wealthier_Winner]]=-1,"Wealthier Nation Loses",Table1[[#This Row],[Wealthier_Winner]]=0,"Tie",Table1[[#This Row],[Wealthier_Winner]]=1,"Wealthier Nation Wins")</f>
        <v>Tie</v>
      </c>
    </row>
    <row r="5744" spans="1:17" x14ac:dyDescent="0.2">
      <c r="A5744" s="1">
        <v>8332</v>
      </c>
      <c r="B5744" s="2">
        <v>44443</v>
      </c>
      <c r="C5744" s="7">
        <f>_xlfn.FLOOR.MATH(Table1[[#This Row],[year]],10)</f>
        <v>2020</v>
      </c>
      <c r="D5744" t="s">
        <v>447</v>
      </c>
      <c r="E5744" t="s">
        <v>36</v>
      </c>
      <c r="F5744">
        <v>0</v>
      </c>
      <c r="G5744">
        <v>1</v>
      </c>
      <c r="H5744" t="s">
        <v>224</v>
      </c>
      <c r="I5744" t="s">
        <v>631</v>
      </c>
      <c r="J5744" t="s">
        <v>447</v>
      </c>
      <c r="K5744" t="b">
        <v>0</v>
      </c>
      <c r="L5744">
        <v>2021</v>
      </c>
      <c r="M5744">
        <v>3699551717</v>
      </c>
      <c r="N5744">
        <v>406110162088</v>
      </c>
      <c r="O5744" t="b">
        <v>1</v>
      </c>
      <c r="P5744">
        <v>1</v>
      </c>
      <c r="Q5744" t="str" cm="1">
        <f t="array" ref="Q5744">_xlfn.IFS(Table1[[#This Row],[Wealthier_Winner]]=-1,"Wealthier Nation Loses",Table1[[#This Row],[Wealthier_Winner]]=0,"Tie",Table1[[#This Row],[Wealthier_Winner]]=1,"Wealthier Nation Wins")</f>
        <v>Wealthier Nation Wins</v>
      </c>
    </row>
    <row r="5745" spans="1:17" x14ac:dyDescent="0.2">
      <c r="A5745" s="1">
        <v>8334</v>
      </c>
      <c r="B5745" s="2">
        <v>44443</v>
      </c>
      <c r="C5745" s="7">
        <f>_xlfn.FLOOR.MATH(Table1[[#This Row],[year]],10)</f>
        <v>2020</v>
      </c>
      <c r="D5745" t="s">
        <v>22</v>
      </c>
      <c r="E5745" t="s">
        <v>29</v>
      </c>
      <c r="F5745">
        <v>5</v>
      </c>
      <c r="G5745">
        <v>2</v>
      </c>
      <c r="H5745" t="s">
        <v>224</v>
      </c>
      <c r="I5745" t="s">
        <v>804</v>
      </c>
      <c r="J5745" t="s">
        <v>22</v>
      </c>
      <c r="K5745" t="b">
        <v>0</v>
      </c>
      <c r="L5745">
        <v>2021</v>
      </c>
      <c r="M5745">
        <v>489851549972</v>
      </c>
      <c r="N5745">
        <v>480466363176</v>
      </c>
      <c r="O5745" t="b">
        <v>0</v>
      </c>
      <c r="P5745">
        <v>1</v>
      </c>
      <c r="Q5745" t="str" cm="1">
        <f t="array" ref="Q5745">_xlfn.IFS(Table1[[#This Row],[Wealthier_Winner]]=-1,"Wealthier Nation Loses",Table1[[#This Row],[Wealthier_Winner]]=0,"Tie",Table1[[#This Row],[Wealthier_Winner]]=1,"Wealthier Nation Wins")</f>
        <v>Wealthier Nation Wins</v>
      </c>
    </row>
    <row r="5746" spans="1:17" x14ac:dyDescent="0.2">
      <c r="A5746" s="1">
        <v>8335</v>
      </c>
      <c r="B5746" s="2">
        <v>44443</v>
      </c>
      <c r="C5746" s="7">
        <f>_xlfn.FLOOR.MATH(Table1[[#This Row],[year]],10)</f>
        <v>2020</v>
      </c>
      <c r="D5746" t="s">
        <v>525</v>
      </c>
      <c r="E5746" t="s">
        <v>42</v>
      </c>
      <c r="F5746">
        <v>0</v>
      </c>
      <c r="G5746">
        <v>2</v>
      </c>
      <c r="H5746" t="s">
        <v>224</v>
      </c>
      <c r="I5746" t="s">
        <v>526</v>
      </c>
      <c r="J5746" t="s">
        <v>525</v>
      </c>
      <c r="K5746" t="b">
        <v>0</v>
      </c>
      <c r="L5746">
        <v>2021</v>
      </c>
      <c r="M5746">
        <v>38183326784</v>
      </c>
      <c r="N5746">
        <v>503367986030</v>
      </c>
      <c r="O5746" t="b">
        <v>1</v>
      </c>
      <c r="P5746">
        <v>1</v>
      </c>
      <c r="Q5746" t="str" cm="1">
        <f t="array" ref="Q5746">_xlfn.IFS(Table1[[#This Row],[Wealthier_Winner]]=-1,"Wealthier Nation Loses",Table1[[#This Row],[Wealthier_Winner]]=0,"Tie",Table1[[#This Row],[Wealthier_Winner]]=1,"Wealthier Nation Wins")</f>
        <v>Wealthier Nation Wins</v>
      </c>
    </row>
    <row r="5747" spans="1:17" x14ac:dyDescent="0.2">
      <c r="A5747" s="1">
        <v>8337</v>
      </c>
      <c r="B5747" s="2">
        <v>44443</v>
      </c>
      <c r="C5747" s="7">
        <f>_xlfn.FLOOR.MATH(Table1[[#This Row],[year]],10)</f>
        <v>2020</v>
      </c>
      <c r="D5747" t="s">
        <v>27</v>
      </c>
      <c r="E5747" t="s">
        <v>705</v>
      </c>
      <c r="F5747">
        <v>4</v>
      </c>
      <c r="G5747">
        <v>0</v>
      </c>
      <c r="H5747" t="s">
        <v>224</v>
      </c>
      <c r="I5747" t="s">
        <v>624</v>
      </c>
      <c r="J5747" t="s">
        <v>27</v>
      </c>
      <c r="K5747" t="b">
        <v>0</v>
      </c>
      <c r="L5747">
        <v>2021</v>
      </c>
      <c r="M5747">
        <v>1054472123449</v>
      </c>
      <c r="N5747">
        <v>5823715809</v>
      </c>
      <c r="O5747" t="b">
        <v>1</v>
      </c>
      <c r="P5747">
        <v>1</v>
      </c>
      <c r="Q5747" t="str" cm="1">
        <f t="array" ref="Q5747">_xlfn.IFS(Table1[[#This Row],[Wealthier_Winner]]=-1,"Wealthier Nation Loses",Table1[[#This Row],[Wealthier_Winner]]=0,"Tie",Table1[[#This Row],[Wealthier_Winner]]=1,"Wealthier Nation Wins")</f>
        <v>Wealthier Nation Wins</v>
      </c>
    </row>
    <row r="5748" spans="1:17" x14ac:dyDescent="0.2">
      <c r="A5748" s="1">
        <v>8338</v>
      </c>
      <c r="B5748" s="2">
        <v>44443</v>
      </c>
      <c r="C5748" s="7">
        <f>_xlfn.FLOOR.MATH(Table1[[#This Row],[year]],10)</f>
        <v>2020</v>
      </c>
      <c r="D5748" t="s">
        <v>55</v>
      </c>
      <c r="E5748" t="s">
        <v>303</v>
      </c>
      <c r="F5748">
        <v>1</v>
      </c>
      <c r="G5748">
        <v>0</v>
      </c>
      <c r="H5748" t="s">
        <v>224</v>
      </c>
      <c r="I5748" t="s">
        <v>529</v>
      </c>
      <c r="J5748" t="s">
        <v>55</v>
      </c>
      <c r="K5748" t="b">
        <v>0</v>
      </c>
      <c r="L5748">
        <v>2021</v>
      </c>
      <c r="M5748">
        <v>61540813361</v>
      </c>
      <c r="N5748">
        <v>19739875611</v>
      </c>
      <c r="O5748" t="b">
        <v>1</v>
      </c>
      <c r="P5748">
        <v>1</v>
      </c>
      <c r="Q5748" t="str" cm="1">
        <f t="array" ref="Q5748">_xlfn.IFS(Table1[[#This Row],[Wealthier_Winner]]=-1,"Wealthier Nation Loses",Table1[[#This Row],[Wealthier_Winner]]=0,"Tie",Table1[[#This Row],[Wealthier_Winner]]=1,"Wealthier Nation Wins")</f>
        <v>Wealthier Nation Wins</v>
      </c>
    </row>
    <row r="5749" spans="1:17" x14ac:dyDescent="0.2">
      <c r="A5749" s="1">
        <v>8339</v>
      </c>
      <c r="B5749" s="2">
        <v>44443</v>
      </c>
      <c r="C5749" s="7">
        <f>_xlfn.FLOOR.MATH(Table1[[#This Row],[year]],10)</f>
        <v>2020</v>
      </c>
      <c r="D5749" t="s">
        <v>351</v>
      </c>
      <c r="E5749" t="s">
        <v>196</v>
      </c>
      <c r="F5749">
        <v>0</v>
      </c>
      <c r="G5749">
        <v>2</v>
      </c>
      <c r="H5749" t="s">
        <v>224</v>
      </c>
      <c r="I5749" t="s">
        <v>381</v>
      </c>
      <c r="J5749" t="s">
        <v>351</v>
      </c>
      <c r="K5749" t="b">
        <v>0</v>
      </c>
      <c r="L5749">
        <v>2021</v>
      </c>
      <c r="M5749">
        <v>30372642502</v>
      </c>
      <c r="N5749">
        <v>1829186719575</v>
      </c>
      <c r="O5749" t="b">
        <v>1</v>
      </c>
      <c r="P5749">
        <v>1</v>
      </c>
      <c r="Q5749" t="str" cm="1">
        <f t="array" ref="Q5749">_xlfn.IFS(Table1[[#This Row],[Wealthier_Winner]]=-1,"Wealthier Nation Loses",Table1[[#This Row],[Wealthier_Winner]]=0,"Tie",Table1[[#This Row],[Wealthier_Winner]]=1,"Wealthier Nation Wins")</f>
        <v>Wealthier Nation Wins</v>
      </c>
    </row>
    <row r="5750" spans="1:17" x14ac:dyDescent="0.2">
      <c r="A5750" s="1">
        <v>8341</v>
      </c>
      <c r="B5750" s="2">
        <v>44444</v>
      </c>
      <c r="C5750" s="7">
        <f>_xlfn.FLOOR.MATH(Table1[[#This Row],[year]],10)</f>
        <v>2020</v>
      </c>
      <c r="D5750" t="s">
        <v>514</v>
      </c>
      <c r="E5750" t="s">
        <v>314</v>
      </c>
      <c r="F5750">
        <v>1</v>
      </c>
      <c r="G5750">
        <v>1</v>
      </c>
      <c r="H5750" t="s">
        <v>224</v>
      </c>
      <c r="I5750" t="s">
        <v>515</v>
      </c>
      <c r="J5750" t="s">
        <v>514</v>
      </c>
      <c r="K5750" t="b">
        <v>0</v>
      </c>
      <c r="L5750">
        <v>2021</v>
      </c>
      <c r="M5750">
        <v>11078787090</v>
      </c>
      <c r="N5750">
        <v>109703658904</v>
      </c>
      <c r="O5750" t="b">
        <v>1</v>
      </c>
      <c r="P5750">
        <v>0</v>
      </c>
      <c r="Q5750" t="str" cm="1">
        <f t="array" ref="Q5750">_xlfn.IFS(Table1[[#This Row],[Wealthier_Winner]]=-1,"Wealthier Nation Loses",Table1[[#This Row],[Wealthier_Winner]]=0,"Tie",Table1[[#This Row],[Wealthier_Winner]]=1,"Wealthier Nation Wins")</f>
        <v>Tie</v>
      </c>
    </row>
    <row r="5751" spans="1:17" x14ac:dyDescent="0.2">
      <c r="A5751" s="1">
        <v>8342</v>
      </c>
      <c r="B5751" s="2">
        <v>44444</v>
      </c>
      <c r="C5751" s="7">
        <f>_xlfn.FLOOR.MATH(Table1[[#This Row],[year]],10)</f>
        <v>2020</v>
      </c>
      <c r="D5751" t="s">
        <v>433</v>
      </c>
      <c r="E5751" t="s">
        <v>212</v>
      </c>
      <c r="F5751">
        <v>1</v>
      </c>
      <c r="G5751">
        <v>1</v>
      </c>
      <c r="H5751" t="s">
        <v>224</v>
      </c>
      <c r="I5751" t="s">
        <v>765</v>
      </c>
      <c r="J5751" t="s">
        <v>433</v>
      </c>
      <c r="K5751" t="b">
        <v>0</v>
      </c>
      <c r="L5751">
        <v>2021</v>
      </c>
      <c r="M5751">
        <v>19444935097</v>
      </c>
      <c r="N5751">
        <v>424671765455</v>
      </c>
      <c r="O5751" t="b">
        <v>1</v>
      </c>
      <c r="P5751">
        <v>0</v>
      </c>
      <c r="Q5751" t="str" cm="1">
        <f t="array" ref="Q5751">_xlfn.IFS(Table1[[#This Row],[Wealthier_Winner]]=-1,"Wealthier Nation Loses",Table1[[#This Row],[Wealthier_Winner]]=0,"Tie",Table1[[#This Row],[Wealthier_Winner]]=1,"Wealthier Nation Wins")</f>
        <v>Tie</v>
      </c>
    </row>
    <row r="5752" spans="1:17" x14ac:dyDescent="0.2">
      <c r="A5752" s="1">
        <v>8343</v>
      </c>
      <c r="B5752" s="2">
        <v>44444</v>
      </c>
      <c r="C5752" s="7">
        <f>_xlfn.FLOOR.MATH(Table1[[#This Row],[year]],10)</f>
        <v>2020</v>
      </c>
      <c r="D5752" t="s">
        <v>62</v>
      </c>
      <c r="E5752" t="s">
        <v>462</v>
      </c>
      <c r="F5752">
        <v>0</v>
      </c>
      <c r="G5752">
        <v>1</v>
      </c>
      <c r="H5752" t="s">
        <v>224</v>
      </c>
      <c r="I5752" t="s">
        <v>353</v>
      </c>
      <c r="J5752" t="s">
        <v>62</v>
      </c>
      <c r="K5752" t="b">
        <v>0</v>
      </c>
      <c r="L5752">
        <v>2021</v>
      </c>
      <c r="M5752">
        <v>8541668141</v>
      </c>
      <c r="N5752">
        <v>12402486183</v>
      </c>
      <c r="O5752" t="b">
        <v>0</v>
      </c>
      <c r="P5752">
        <v>1</v>
      </c>
      <c r="Q5752" t="str" cm="1">
        <f t="array" ref="Q5752">_xlfn.IFS(Table1[[#This Row],[Wealthier_Winner]]=-1,"Wealthier Nation Loses",Table1[[#This Row],[Wealthier_Winner]]=0,"Tie",Table1[[#This Row],[Wealthier_Winner]]=1,"Wealthier Nation Wins")</f>
        <v>Wealthier Nation Wins</v>
      </c>
    </row>
    <row r="5753" spans="1:17" x14ac:dyDescent="0.2">
      <c r="A5753" s="1">
        <v>8344</v>
      </c>
      <c r="B5753" s="2">
        <v>44444</v>
      </c>
      <c r="C5753" s="7">
        <f>_xlfn.FLOOR.MATH(Table1[[#This Row],[year]],10)</f>
        <v>2020</v>
      </c>
      <c r="D5753" t="s">
        <v>803</v>
      </c>
      <c r="E5753" t="s">
        <v>48</v>
      </c>
      <c r="F5753">
        <v>1</v>
      </c>
      <c r="G5753">
        <v>1</v>
      </c>
      <c r="H5753" t="s">
        <v>224</v>
      </c>
      <c r="I5753" t="s">
        <v>844</v>
      </c>
      <c r="J5753" t="s">
        <v>803</v>
      </c>
      <c r="K5753" t="b">
        <v>0</v>
      </c>
      <c r="L5753">
        <v>2021</v>
      </c>
      <c r="M5753">
        <v>9413408574</v>
      </c>
      <c r="N5753">
        <v>218303801895</v>
      </c>
      <c r="O5753" t="b">
        <v>1</v>
      </c>
      <c r="P5753">
        <v>0</v>
      </c>
      <c r="Q5753" t="str" cm="1">
        <f t="array" ref="Q5753">_xlfn.IFS(Table1[[#This Row],[Wealthier_Winner]]=-1,"Wealthier Nation Loses",Table1[[#This Row],[Wealthier_Winner]]=0,"Tie",Table1[[#This Row],[Wealthier_Winner]]=1,"Wealthier Nation Wins")</f>
        <v>Tie</v>
      </c>
    </row>
    <row r="5754" spans="1:17" x14ac:dyDescent="0.2">
      <c r="A5754" s="1">
        <v>8345</v>
      </c>
      <c r="B5754" s="2">
        <v>44444</v>
      </c>
      <c r="C5754" s="7">
        <f>_xlfn.FLOOR.MATH(Table1[[#This Row],[year]],10)</f>
        <v>2020</v>
      </c>
      <c r="D5754" t="s">
        <v>21</v>
      </c>
      <c r="E5754" t="s">
        <v>534</v>
      </c>
      <c r="F5754">
        <v>4</v>
      </c>
      <c r="G5754">
        <v>0</v>
      </c>
      <c r="H5754" t="s">
        <v>224</v>
      </c>
      <c r="I5754" t="s">
        <v>859</v>
      </c>
      <c r="J5754" t="s">
        <v>21</v>
      </c>
      <c r="K5754" t="b">
        <v>0</v>
      </c>
      <c r="L5754">
        <v>2021</v>
      </c>
      <c r="M5754">
        <v>1461244901852</v>
      </c>
      <c r="N5754">
        <v>18853115588</v>
      </c>
      <c r="O5754" t="b">
        <v>1</v>
      </c>
      <c r="P5754">
        <v>1</v>
      </c>
      <c r="Q5754" t="str" cm="1">
        <f t="array" ref="Q5754">_xlfn.IFS(Table1[[#This Row],[Wealthier_Winner]]=-1,"Wealthier Nation Loses",Table1[[#This Row],[Wealthier_Winner]]=0,"Tie",Table1[[#This Row],[Wealthier_Winner]]=1,"Wealthier Nation Wins")</f>
        <v>Wealthier Nation Wins</v>
      </c>
    </row>
    <row r="5755" spans="1:17" x14ac:dyDescent="0.2">
      <c r="A5755" s="1">
        <v>8346</v>
      </c>
      <c r="B5755" s="2">
        <v>44444</v>
      </c>
      <c r="C5755" s="7">
        <f>_xlfn.FLOOR.MATH(Table1[[#This Row],[year]],10)</f>
        <v>2020</v>
      </c>
      <c r="D5755" t="s">
        <v>33</v>
      </c>
      <c r="E5755" t="s">
        <v>523</v>
      </c>
      <c r="F5755">
        <v>1</v>
      </c>
      <c r="G5755">
        <v>0</v>
      </c>
      <c r="H5755" t="s">
        <v>224</v>
      </c>
      <c r="I5755" t="s">
        <v>375</v>
      </c>
      <c r="J5755" t="s">
        <v>33</v>
      </c>
      <c r="K5755" t="b">
        <v>0</v>
      </c>
      <c r="L5755">
        <v>2021</v>
      </c>
      <c r="M5755">
        <v>84374613233</v>
      </c>
      <c r="N5755">
        <v>67037321008</v>
      </c>
      <c r="O5755" t="b">
        <v>0</v>
      </c>
      <c r="P5755">
        <v>1</v>
      </c>
      <c r="Q5755" t="str" cm="1">
        <f t="array" ref="Q5755">_xlfn.IFS(Table1[[#This Row],[Wealthier_Winner]]=-1,"Wealthier Nation Loses",Table1[[#This Row],[Wealthier_Winner]]=0,"Tie",Table1[[#This Row],[Wealthier_Winner]]=1,"Wealthier Nation Wins")</f>
        <v>Wealthier Nation Wins</v>
      </c>
    </row>
    <row r="5756" spans="1:17" x14ac:dyDescent="0.2">
      <c r="A5756" s="1">
        <v>8347</v>
      </c>
      <c r="B5756" s="2">
        <v>44444</v>
      </c>
      <c r="C5756" s="7">
        <f>_xlfn.FLOOR.MATH(Table1[[#This Row],[year]],10)</f>
        <v>2020</v>
      </c>
      <c r="D5756" t="s">
        <v>46</v>
      </c>
      <c r="E5756" t="s">
        <v>18</v>
      </c>
      <c r="F5756">
        <v>0</v>
      </c>
      <c r="G5756">
        <v>0</v>
      </c>
      <c r="H5756" t="s">
        <v>224</v>
      </c>
      <c r="I5756" t="s">
        <v>269</v>
      </c>
      <c r="J5756" t="s">
        <v>46</v>
      </c>
      <c r="K5756" t="b">
        <v>0</v>
      </c>
      <c r="L5756">
        <v>2021</v>
      </c>
      <c r="M5756">
        <v>815309330986</v>
      </c>
      <c r="N5756">
        <v>2179207773596</v>
      </c>
      <c r="O5756" t="b">
        <v>1</v>
      </c>
      <c r="P5756">
        <v>0</v>
      </c>
      <c r="Q5756" t="str" cm="1">
        <f t="array" ref="Q5756">_xlfn.IFS(Table1[[#This Row],[Wealthier_Winner]]=-1,"Wealthier Nation Loses",Table1[[#This Row],[Wealthier_Winner]]=0,"Tie",Table1[[#This Row],[Wealthier_Winner]]=1,"Wealthier Nation Wins")</f>
        <v>Tie</v>
      </c>
    </row>
    <row r="5757" spans="1:17" x14ac:dyDescent="0.2">
      <c r="A5757" s="1">
        <v>8350</v>
      </c>
      <c r="B5757" s="2">
        <v>44444</v>
      </c>
      <c r="C5757" s="7">
        <f>_xlfn.FLOOR.MATH(Table1[[#This Row],[year]],10)</f>
        <v>2020</v>
      </c>
      <c r="D5757" t="s">
        <v>194</v>
      </c>
      <c r="E5757" t="s">
        <v>601</v>
      </c>
      <c r="F5757">
        <v>4</v>
      </c>
      <c r="G5757">
        <v>0</v>
      </c>
      <c r="H5757" t="s">
        <v>224</v>
      </c>
      <c r="I5757" t="s">
        <v>80</v>
      </c>
      <c r="J5757" t="s">
        <v>194</v>
      </c>
      <c r="K5757" t="b">
        <v>0</v>
      </c>
      <c r="L5757">
        <v>2021</v>
      </c>
      <c r="M5757">
        <v>3194559188925</v>
      </c>
      <c r="N5757">
        <v>3324648075</v>
      </c>
      <c r="O5757" t="b">
        <v>1</v>
      </c>
      <c r="P5757">
        <v>1</v>
      </c>
      <c r="Q5757" t="str" cm="1">
        <f t="array" ref="Q5757">_xlfn.IFS(Table1[[#This Row],[Wealthier_Winner]]=-1,"Wealthier Nation Loses",Table1[[#This Row],[Wealthier_Winner]]=0,"Tie",Table1[[#This Row],[Wealthier_Winner]]=1,"Wealthier Nation Wins")</f>
        <v>Wealthier Nation Wins</v>
      </c>
    </row>
    <row r="5758" spans="1:17" x14ac:dyDescent="0.2">
      <c r="A5758" s="1">
        <v>8351</v>
      </c>
      <c r="B5758" s="2">
        <v>44444</v>
      </c>
      <c r="C5758" s="7">
        <f>_xlfn.FLOOR.MATH(Table1[[#This Row],[year]],10)</f>
        <v>2020</v>
      </c>
      <c r="D5758" t="s">
        <v>373</v>
      </c>
      <c r="E5758" t="s">
        <v>30</v>
      </c>
      <c r="F5758">
        <v>1</v>
      </c>
      <c r="G5758">
        <v>0</v>
      </c>
      <c r="H5758" t="s">
        <v>224</v>
      </c>
      <c r="I5758" t="s">
        <v>812</v>
      </c>
      <c r="J5758" t="s">
        <v>373</v>
      </c>
      <c r="K5758" t="b">
        <v>0</v>
      </c>
      <c r="L5758">
        <v>2021</v>
      </c>
      <c r="M5758">
        <v>18031989573</v>
      </c>
      <c r="N5758">
        <v>183282685440</v>
      </c>
      <c r="O5758" t="b">
        <v>1</v>
      </c>
      <c r="P5758">
        <v>-1</v>
      </c>
      <c r="Q5758" t="str" cm="1">
        <f t="array" ref="Q5758">_xlfn.IFS(Table1[[#This Row],[Wealthier_Winner]]=-1,"Wealthier Nation Loses",Table1[[#This Row],[Wealthier_Winner]]=0,"Tie",Table1[[#This Row],[Wealthier_Winner]]=1,"Wealthier Nation Wins")</f>
        <v>Wealthier Nation Loses</v>
      </c>
    </row>
    <row r="5759" spans="1:17" x14ac:dyDescent="0.2">
      <c r="A5759" s="1">
        <v>8352</v>
      </c>
      <c r="B5759" s="2">
        <v>44444</v>
      </c>
      <c r="C5759" s="7">
        <f>_xlfn.FLOOR.MATH(Table1[[#This Row],[year]],10)</f>
        <v>2020</v>
      </c>
      <c r="D5759" t="s">
        <v>549</v>
      </c>
      <c r="E5759" t="s">
        <v>58</v>
      </c>
      <c r="F5759">
        <v>1</v>
      </c>
      <c r="G5759">
        <v>7</v>
      </c>
      <c r="H5759" t="s">
        <v>224</v>
      </c>
      <c r="I5759" t="s">
        <v>555</v>
      </c>
      <c r="J5759" t="s">
        <v>549</v>
      </c>
      <c r="K5759" t="b">
        <v>0</v>
      </c>
      <c r="L5759">
        <v>2021</v>
      </c>
      <c r="M5759">
        <v>1855652786</v>
      </c>
      <c r="N5759">
        <v>689170230665</v>
      </c>
      <c r="O5759" t="b">
        <v>1</v>
      </c>
      <c r="P5759">
        <v>1</v>
      </c>
      <c r="Q5759" t="str" cm="1">
        <f t="array" ref="Q5759">_xlfn.IFS(Table1[[#This Row],[Wealthier_Winner]]=-1,"Wealthier Nation Loses",Table1[[#This Row],[Wealthier_Winner]]=0,"Tie",Table1[[#This Row],[Wealthier_Winner]]=1,"Wealthier Nation Wins")</f>
        <v>Wealthier Nation Wins</v>
      </c>
    </row>
    <row r="5760" spans="1:17" x14ac:dyDescent="0.2">
      <c r="A5760" s="1">
        <v>8353</v>
      </c>
      <c r="B5760" s="2">
        <v>44444</v>
      </c>
      <c r="C5760" s="7">
        <f>_xlfn.FLOOR.MATH(Table1[[#This Row],[year]],10)</f>
        <v>2020</v>
      </c>
      <c r="D5760" t="s">
        <v>66</v>
      </c>
      <c r="E5760" t="s">
        <v>502</v>
      </c>
      <c r="F5760">
        <v>2</v>
      </c>
      <c r="G5760">
        <v>2</v>
      </c>
      <c r="H5760" t="s">
        <v>224</v>
      </c>
      <c r="I5760" t="s">
        <v>336</v>
      </c>
      <c r="J5760" t="s">
        <v>66</v>
      </c>
      <c r="K5760" t="b">
        <v>0</v>
      </c>
      <c r="L5760">
        <v>2021</v>
      </c>
      <c r="M5760">
        <v>26234872402</v>
      </c>
      <c r="N5760">
        <v>14000283827</v>
      </c>
      <c r="O5760" t="b">
        <v>0</v>
      </c>
      <c r="P5760">
        <v>0</v>
      </c>
      <c r="Q5760" t="str" cm="1">
        <f t="array" ref="Q5760">_xlfn.IFS(Table1[[#This Row],[Wealthier_Winner]]=-1,"Wealthier Nation Loses",Table1[[#This Row],[Wealthier_Winner]]=0,"Tie",Table1[[#This Row],[Wealthier_Winner]]=1,"Wealthier Nation Wins")</f>
        <v>Tie</v>
      </c>
    </row>
    <row r="5761" spans="1:17" x14ac:dyDescent="0.2">
      <c r="A5761" s="1">
        <v>8354</v>
      </c>
      <c r="B5761" s="2">
        <v>44444</v>
      </c>
      <c r="C5761" s="7">
        <f>_xlfn.FLOOR.MATH(Table1[[#This Row],[year]],10)</f>
        <v>2020</v>
      </c>
      <c r="D5761" t="s">
        <v>16</v>
      </c>
      <c r="E5761" t="s">
        <v>519</v>
      </c>
      <c r="F5761">
        <v>6</v>
      </c>
      <c r="G5761">
        <v>0</v>
      </c>
      <c r="H5761" t="s">
        <v>224</v>
      </c>
      <c r="I5761" t="s">
        <v>90</v>
      </c>
      <c r="J5761" t="s">
        <v>16</v>
      </c>
      <c r="K5761" t="b">
        <v>0</v>
      </c>
      <c r="L5761">
        <v>2021</v>
      </c>
      <c r="M5761">
        <v>4355251953410</v>
      </c>
      <c r="N5761">
        <v>13878908628</v>
      </c>
      <c r="O5761" t="b">
        <v>1</v>
      </c>
      <c r="P5761">
        <v>1</v>
      </c>
      <c r="Q5761" t="str" cm="1">
        <f t="array" ref="Q5761">_xlfn.IFS(Table1[[#This Row],[Wealthier_Winner]]=-1,"Wealthier Nation Loses",Table1[[#This Row],[Wealthier_Winner]]=0,"Tie",Table1[[#This Row],[Wealthier_Winner]]=1,"Wealthier Nation Wins")</f>
        <v>Wealthier Nation Wins</v>
      </c>
    </row>
    <row r="5762" spans="1:17" x14ac:dyDescent="0.2">
      <c r="A5762" s="1">
        <v>8355</v>
      </c>
      <c r="B5762" s="2">
        <v>44444</v>
      </c>
      <c r="C5762" s="7">
        <f>_xlfn.FLOOR.MATH(Table1[[#This Row],[year]],10)</f>
        <v>2020</v>
      </c>
      <c r="D5762" t="s">
        <v>44</v>
      </c>
      <c r="E5762" t="s">
        <v>503</v>
      </c>
      <c r="F5762">
        <v>2</v>
      </c>
      <c r="G5762">
        <v>0</v>
      </c>
      <c r="H5762" t="s">
        <v>224</v>
      </c>
      <c r="I5762" t="s">
        <v>425</v>
      </c>
      <c r="J5762" t="s">
        <v>44</v>
      </c>
      <c r="K5762" t="b">
        <v>0</v>
      </c>
      <c r="L5762">
        <v>2021</v>
      </c>
      <c r="M5762">
        <v>285071280114</v>
      </c>
      <c r="N5762">
        <v>7912602342</v>
      </c>
      <c r="O5762" t="b">
        <v>1</v>
      </c>
      <c r="P5762">
        <v>1</v>
      </c>
      <c r="Q5762" t="str" cm="1">
        <f t="array" ref="Q5762">_xlfn.IFS(Table1[[#This Row],[Wealthier_Winner]]=-1,"Wealthier Nation Loses",Table1[[#This Row],[Wealthier_Winner]]=0,"Tie",Table1[[#This Row],[Wealthier_Winner]]=1,"Wealthier Nation Wins")</f>
        <v>Wealthier Nation Wins</v>
      </c>
    </row>
    <row r="5763" spans="1:17" x14ac:dyDescent="0.2">
      <c r="A5763" s="1">
        <v>8356</v>
      </c>
      <c r="B5763" s="2">
        <v>44444</v>
      </c>
      <c r="C5763" s="7">
        <f>_xlfn.FLOOR.MATH(Table1[[#This Row],[year]],10)</f>
        <v>2020</v>
      </c>
      <c r="D5763" t="s">
        <v>57</v>
      </c>
      <c r="E5763" t="s">
        <v>14</v>
      </c>
      <c r="F5763">
        <v>0</v>
      </c>
      <c r="G5763">
        <v>0</v>
      </c>
      <c r="H5763" t="s">
        <v>224</v>
      </c>
      <c r="I5763" t="s">
        <v>335</v>
      </c>
      <c r="J5763" t="s">
        <v>57</v>
      </c>
      <c r="K5763" t="b">
        <v>0</v>
      </c>
      <c r="L5763">
        <v>2021</v>
      </c>
      <c r="M5763">
        <v>107179074000</v>
      </c>
      <c r="N5763">
        <v>315325547162</v>
      </c>
      <c r="O5763" t="b">
        <v>1</v>
      </c>
      <c r="P5763">
        <v>0</v>
      </c>
      <c r="Q5763" t="str" cm="1">
        <f t="array" ref="Q5763">_xlfn.IFS(Table1[[#This Row],[Wealthier_Winner]]=-1,"Wealthier Nation Loses",Table1[[#This Row],[Wealthier_Winner]]=0,"Tie",Table1[[#This Row],[Wealthier_Winner]]=1,"Wealthier Nation Wins")</f>
        <v>Tie</v>
      </c>
    </row>
    <row r="5764" spans="1:17" x14ac:dyDescent="0.2">
      <c r="A5764" s="1">
        <v>8357</v>
      </c>
      <c r="B5764" s="2">
        <v>44444</v>
      </c>
      <c r="C5764" s="7">
        <f>_xlfn.FLOOR.MATH(Table1[[#This Row],[year]],10)</f>
        <v>2020</v>
      </c>
      <c r="D5764" t="s">
        <v>35</v>
      </c>
      <c r="E5764" t="s">
        <v>15</v>
      </c>
      <c r="F5764">
        <v>1</v>
      </c>
      <c r="G5764">
        <v>1</v>
      </c>
      <c r="H5764" t="s">
        <v>224</v>
      </c>
      <c r="I5764" t="s">
        <v>250</v>
      </c>
      <c r="J5764" t="s">
        <v>35</v>
      </c>
      <c r="K5764" t="b">
        <v>0</v>
      </c>
      <c r="L5764">
        <v>2021</v>
      </c>
      <c r="M5764">
        <v>39950899938</v>
      </c>
      <c r="N5764">
        <v>318524633225</v>
      </c>
      <c r="O5764" t="b">
        <v>1</v>
      </c>
      <c r="P5764">
        <v>0</v>
      </c>
      <c r="Q5764" t="str" cm="1">
        <f t="array" ref="Q5764">_xlfn.IFS(Table1[[#This Row],[Wealthier_Winner]]=-1,"Wealthier Nation Loses",Table1[[#This Row],[Wealthier_Winner]]=0,"Tie",Table1[[#This Row],[Wealthier_Winner]]=1,"Wealthier Nation Wins")</f>
        <v>Tie</v>
      </c>
    </row>
    <row r="5765" spans="1:17" x14ac:dyDescent="0.2">
      <c r="A5765" s="1">
        <v>8358</v>
      </c>
      <c r="B5765" s="2">
        <v>44444</v>
      </c>
      <c r="C5765" s="7">
        <f>_xlfn.FLOOR.MATH(Table1[[#This Row],[year]],10)</f>
        <v>2020</v>
      </c>
      <c r="D5765" t="s">
        <v>26</v>
      </c>
      <c r="E5765" t="s">
        <v>47</v>
      </c>
      <c r="F5765">
        <v>4</v>
      </c>
      <c r="G5765">
        <v>2</v>
      </c>
      <c r="H5765" t="s">
        <v>224</v>
      </c>
      <c r="I5765" t="s">
        <v>247</v>
      </c>
      <c r="J5765" t="s">
        <v>26</v>
      </c>
      <c r="K5765" t="b">
        <v>0</v>
      </c>
      <c r="L5765">
        <v>2021</v>
      </c>
      <c r="M5765">
        <v>60739084240</v>
      </c>
      <c r="N5765">
        <v>47877892402</v>
      </c>
      <c r="O5765" t="b">
        <v>0</v>
      </c>
      <c r="P5765">
        <v>1</v>
      </c>
      <c r="Q5765" t="str" cm="1">
        <f t="array" ref="Q5765">_xlfn.IFS(Table1[[#This Row],[Wealthier_Winner]]=-1,"Wealthier Nation Loses",Table1[[#This Row],[Wealthier_Winner]]=0,"Tie",Table1[[#This Row],[Wealthier_Winner]]=1,"Wealthier Nation Wins")</f>
        <v>Wealthier Nation Wins</v>
      </c>
    </row>
    <row r="5766" spans="1:17" x14ac:dyDescent="0.2">
      <c r="A5766" s="1">
        <v>8359</v>
      </c>
      <c r="B5766" s="2">
        <v>44444</v>
      </c>
      <c r="C5766" s="7">
        <f>_xlfn.FLOOR.MATH(Table1[[#This Row],[year]],10)</f>
        <v>2020</v>
      </c>
      <c r="D5766" t="s">
        <v>31</v>
      </c>
      <c r="E5766" t="s">
        <v>258</v>
      </c>
      <c r="F5766">
        <v>1</v>
      </c>
      <c r="G5766">
        <v>0</v>
      </c>
      <c r="H5766" t="s">
        <v>224</v>
      </c>
      <c r="I5766" t="s">
        <v>242</v>
      </c>
      <c r="J5766" t="s">
        <v>31</v>
      </c>
      <c r="K5766" t="b">
        <v>0</v>
      </c>
      <c r="L5766">
        <v>2021</v>
      </c>
      <c r="M5766">
        <v>226328766459</v>
      </c>
      <c r="N5766">
        <v>56614976854</v>
      </c>
      <c r="O5766" t="b">
        <v>1</v>
      </c>
      <c r="P5766">
        <v>1</v>
      </c>
      <c r="Q5766" t="str" cm="1">
        <f t="array" ref="Q5766">_xlfn.IFS(Table1[[#This Row],[Wealthier_Winner]]=-1,"Wealthier Nation Loses",Table1[[#This Row],[Wealthier_Winner]]=0,"Tie",Table1[[#This Row],[Wealthier_Winner]]=1,"Wealthier Nation Wins")</f>
        <v>Wealthier Nation Wins</v>
      </c>
    </row>
    <row r="5767" spans="1:17" x14ac:dyDescent="0.2">
      <c r="A5767" s="1">
        <v>8360</v>
      </c>
      <c r="B5767" s="2">
        <v>44444</v>
      </c>
      <c r="C5767" s="7">
        <f>_xlfn.FLOOR.MATH(Table1[[#This Row],[year]],10)</f>
        <v>2020</v>
      </c>
      <c r="D5767" t="s">
        <v>56</v>
      </c>
      <c r="E5767" t="s">
        <v>17</v>
      </c>
      <c r="F5767">
        <v>0</v>
      </c>
      <c r="G5767">
        <v>1</v>
      </c>
      <c r="H5767" t="s">
        <v>224</v>
      </c>
      <c r="I5767" t="s">
        <v>225</v>
      </c>
      <c r="J5767" t="s">
        <v>56</v>
      </c>
      <c r="K5767" t="b">
        <v>0</v>
      </c>
      <c r="L5767">
        <v>2021</v>
      </c>
      <c r="M5767">
        <v>64960725734</v>
      </c>
      <c r="N5767">
        <v>1316569466685</v>
      </c>
      <c r="O5767" t="b">
        <v>1</v>
      </c>
      <c r="P5767">
        <v>1</v>
      </c>
      <c r="Q5767" t="str" cm="1">
        <f t="array" ref="Q5767">_xlfn.IFS(Table1[[#This Row],[Wealthier_Winner]]=-1,"Wealthier Nation Loses",Table1[[#This Row],[Wealthier_Winner]]=0,"Tie",Table1[[#This Row],[Wealthier_Winner]]=1,"Wealthier Nation Wins")</f>
        <v>Wealthier Nation Wins</v>
      </c>
    </row>
    <row r="5768" spans="1:17" x14ac:dyDescent="0.2">
      <c r="A5768" s="1">
        <v>8361</v>
      </c>
      <c r="B5768" s="2">
        <v>44444</v>
      </c>
      <c r="C5768" s="7">
        <f>_xlfn.FLOOR.MATH(Table1[[#This Row],[year]],10)</f>
        <v>2020</v>
      </c>
      <c r="D5768" t="s">
        <v>69</v>
      </c>
      <c r="E5768" t="s">
        <v>65</v>
      </c>
      <c r="F5768">
        <v>0</v>
      </c>
      <c r="G5768">
        <v>0</v>
      </c>
      <c r="H5768" t="s">
        <v>224</v>
      </c>
      <c r="I5768" t="s">
        <v>281</v>
      </c>
      <c r="J5768" t="s">
        <v>69</v>
      </c>
      <c r="K5768" t="b">
        <v>0</v>
      </c>
      <c r="L5768">
        <v>2021</v>
      </c>
      <c r="M5768">
        <v>29043140000</v>
      </c>
      <c r="N5768">
        <v>28144331506</v>
      </c>
      <c r="O5768" t="b">
        <v>0</v>
      </c>
      <c r="P5768">
        <v>0</v>
      </c>
      <c r="Q5768" t="str" cm="1">
        <f t="array" ref="Q5768">_xlfn.IFS(Table1[[#This Row],[Wealthier_Winner]]=-1,"Wealthier Nation Loses",Table1[[#This Row],[Wealthier_Winner]]=0,"Tie",Table1[[#This Row],[Wealthier_Winner]]=1,"Wealthier Nation Wins")</f>
        <v>Tie</v>
      </c>
    </row>
    <row r="5769" spans="1:17" x14ac:dyDescent="0.2">
      <c r="A5769" s="1">
        <v>8362</v>
      </c>
      <c r="B5769" s="2">
        <v>44444</v>
      </c>
      <c r="C5769" s="7">
        <f>_xlfn.FLOOR.MATH(Table1[[#This Row],[year]],10)</f>
        <v>2020</v>
      </c>
      <c r="D5769" t="s">
        <v>49</v>
      </c>
      <c r="E5769" t="s">
        <v>67</v>
      </c>
      <c r="F5769">
        <v>0</v>
      </c>
      <c r="G5769">
        <v>3</v>
      </c>
      <c r="H5769" t="s">
        <v>224</v>
      </c>
      <c r="I5769" t="s">
        <v>257</v>
      </c>
      <c r="J5769" t="s">
        <v>49</v>
      </c>
      <c r="K5769" t="b">
        <v>0</v>
      </c>
      <c r="L5769">
        <v>2021</v>
      </c>
      <c r="M5769">
        <v>15963885376</v>
      </c>
      <c r="N5769">
        <v>67396392506</v>
      </c>
      <c r="O5769" t="b">
        <v>1</v>
      </c>
      <c r="P5769">
        <v>1</v>
      </c>
      <c r="Q5769" t="str" cm="1">
        <f t="array" ref="Q5769">_xlfn.IFS(Table1[[#This Row],[Wealthier_Winner]]=-1,"Wealthier Nation Loses",Table1[[#This Row],[Wealthier_Winner]]=0,"Tie",Table1[[#This Row],[Wealthier_Winner]]=1,"Wealthier Nation Wins")</f>
        <v>Wealthier Nation Wins</v>
      </c>
    </row>
    <row r="5770" spans="1:17" x14ac:dyDescent="0.2">
      <c r="A5770" s="1">
        <v>8363</v>
      </c>
      <c r="B5770" s="2">
        <v>44444</v>
      </c>
      <c r="C5770" s="7">
        <f>_xlfn.FLOOR.MATH(Table1[[#This Row],[year]],10)</f>
        <v>2020</v>
      </c>
      <c r="D5770" t="s">
        <v>41</v>
      </c>
      <c r="E5770" t="s">
        <v>34</v>
      </c>
      <c r="F5770">
        <v>1</v>
      </c>
      <c r="G5770">
        <v>1</v>
      </c>
      <c r="H5770" t="s">
        <v>224</v>
      </c>
      <c r="I5770" t="s">
        <v>723</v>
      </c>
      <c r="J5770" t="s">
        <v>41</v>
      </c>
      <c r="K5770" t="b">
        <v>0</v>
      </c>
      <c r="L5770">
        <v>2021</v>
      </c>
      <c r="M5770">
        <v>23315080560000</v>
      </c>
      <c r="N5770">
        <v>2022378748423</v>
      </c>
      <c r="O5770" t="b">
        <v>1</v>
      </c>
      <c r="P5770">
        <v>0</v>
      </c>
      <c r="Q5770" t="str" cm="1">
        <f t="array" ref="Q5770">_xlfn.IFS(Table1[[#This Row],[Wealthier_Winner]]=-1,"Wealthier Nation Loses",Table1[[#This Row],[Wealthier_Winner]]=0,"Tie",Table1[[#This Row],[Wealthier_Winner]]=1,"Wealthier Nation Wins")</f>
        <v>Tie</v>
      </c>
    </row>
    <row r="5771" spans="1:17" x14ac:dyDescent="0.2">
      <c r="A5771" s="1">
        <v>8364</v>
      </c>
      <c r="B5771" s="2">
        <v>44445</v>
      </c>
      <c r="C5771" s="7">
        <f>_xlfn.FLOOR.MATH(Table1[[#This Row],[year]],10)</f>
        <v>2020</v>
      </c>
      <c r="D5771" t="s">
        <v>694</v>
      </c>
      <c r="E5771" t="s">
        <v>343</v>
      </c>
      <c r="F5771">
        <v>2</v>
      </c>
      <c r="G5771">
        <v>4</v>
      </c>
      <c r="H5771" t="s">
        <v>224</v>
      </c>
      <c r="I5771" t="s">
        <v>319</v>
      </c>
      <c r="J5771" t="s">
        <v>24</v>
      </c>
      <c r="K5771" t="b">
        <v>1</v>
      </c>
      <c r="L5771">
        <v>2021</v>
      </c>
      <c r="M5771">
        <v>3392796953</v>
      </c>
      <c r="N5771">
        <v>14915002436</v>
      </c>
      <c r="O5771" t="b">
        <v>1</v>
      </c>
      <c r="P5771">
        <v>1</v>
      </c>
      <c r="Q5771" t="str" cm="1">
        <f t="array" ref="Q5771">_xlfn.IFS(Table1[[#This Row],[Wealthier_Winner]]=-1,"Wealthier Nation Loses",Table1[[#This Row],[Wealthier_Winner]]=0,"Tie",Table1[[#This Row],[Wealthier_Winner]]=1,"Wealthier Nation Wins")</f>
        <v>Wealthier Nation Wins</v>
      </c>
    </row>
    <row r="5772" spans="1:17" x14ac:dyDescent="0.2">
      <c r="A5772" s="1">
        <v>8365</v>
      </c>
      <c r="B5772" s="2">
        <v>44445</v>
      </c>
      <c r="C5772" s="7">
        <f>_xlfn.FLOOR.MATH(Table1[[#This Row],[year]],10)</f>
        <v>2020</v>
      </c>
      <c r="D5772" t="s">
        <v>378</v>
      </c>
      <c r="E5772" t="s">
        <v>581</v>
      </c>
      <c r="F5772">
        <v>1</v>
      </c>
      <c r="G5772">
        <v>0</v>
      </c>
      <c r="H5772" t="s">
        <v>224</v>
      </c>
      <c r="I5772" t="s">
        <v>283</v>
      </c>
      <c r="J5772" t="s">
        <v>40</v>
      </c>
      <c r="K5772" t="b">
        <v>1</v>
      </c>
      <c r="L5772">
        <v>2021</v>
      </c>
      <c r="M5772">
        <v>3513049500</v>
      </c>
      <c r="N5772">
        <v>2516498412</v>
      </c>
      <c r="O5772" t="b">
        <v>0</v>
      </c>
      <c r="P5772">
        <v>1</v>
      </c>
      <c r="Q5772" t="str" cm="1">
        <f t="array" ref="Q5772">_xlfn.IFS(Table1[[#This Row],[Wealthier_Winner]]=-1,"Wealthier Nation Loses",Table1[[#This Row],[Wealthier_Winner]]=0,"Tie",Table1[[#This Row],[Wealthier_Winner]]=1,"Wealthier Nation Wins")</f>
        <v>Wealthier Nation Wins</v>
      </c>
    </row>
    <row r="5773" spans="1:17" x14ac:dyDescent="0.2">
      <c r="A5773" s="1">
        <v>8367</v>
      </c>
      <c r="B5773" s="2">
        <v>44445</v>
      </c>
      <c r="C5773" s="7">
        <f>_xlfn.FLOOR.MATH(Table1[[#This Row],[year]],10)</f>
        <v>2020</v>
      </c>
      <c r="D5773" t="s">
        <v>357</v>
      </c>
      <c r="E5773" t="s">
        <v>590</v>
      </c>
      <c r="F5773">
        <v>0</v>
      </c>
      <c r="G5773">
        <v>0</v>
      </c>
      <c r="H5773" t="s">
        <v>224</v>
      </c>
      <c r="I5773" t="s">
        <v>860</v>
      </c>
      <c r="J5773" t="s">
        <v>357</v>
      </c>
      <c r="K5773" t="b">
        <v>0</v>
      </c>
      <c r="L5773">
        <v>2021</v>
      </c>
      <c r="M5773">
        <v>40529788748</v>
      </c>
      <c r="N5773">
        <v>22999245262</v>
      </c>
      <c r="O5773" t="b">
        <v>0</v>
      </c>
      <c r="P5773">
        <v>0</v>
      </c>
      <c r="Q5773" t="str" cm="1">
        <f t="array" ref="Q5773">_xlfn.IFS(Table1[[#This Row],[Wealthier_Winner]]=-1,"Wealthier Nation Loses",Table1[[#This Row],[Wealthier_Winner]]=0,"Tie",Table1[[#This Row],[Wealthier_Winner]]=1,"Wealthier Nation Wins")</f>
        <v>Tie</v>
      </c>
    </row>
    <row r="5774" spans="1:17" x14ac:dyDescent="0.2">
      <c r="A5774" s="1">
        <v>8368</v>
      </c>
      <c r="B5774" s="2">
        <v>44445</v>
      </c>
      <c r="C5774" s="7">
        <f>_xlfn.FLOOR.MATH(Table1[[#This Row],[year]],10)</f>
        <v>2020</v>
      </c>
      <c r="D5774" t="s">
        <v>50</v>
      </c>
      <c r="E5774" t="s">
        <v>63</v>
      </c>
      <c r="F5774">
        <v>1</v>
      </c>
      <c r="G5774">
        <v>0</v>
      </c>
      <c r="H5774" t="s">
        <v>224</v>
      </c>
      <c r="I5774" t="s">
        <v>160</v>
      </c>
      <c r="J5774" t="s">
        <v>50</v>
      </c>
      <c r="K5774" t="b">
        <v>0</v>
      </c>
      <c r="L5774">
        <v>2021</v>
      </c>
      <c r="M5774">
        <v>419986284375</v>
      </c>
      <c r="N5774">
        <v>79514204730</v>
      </c>
      <c r="O5774" t="b">
        <v>1</v>
      </c>
      <c r="P5774">
        <v>1</v>
      </c>
      <c r="Q5774" t="str" cm="1">
        <f t="array" ref="Q5774">_xlfn.IFS(Table1[[#This Row],[Wealthier_Winner]]=-1,"Wealthier Nation Loses",Table1[[#This Row],[Wealthier_Winner]]=0,"Tie",Table1[[#This Row],[Wealthier_Winner]]=1,"Wealthier Nation Wins")</f>
        <v>Wealthier Nation Wins</v>
      </c>
    </row>
    <row r="5775" spans="1:17" x14ac:dyDescent="0.2">
      <c r="A5775" s="1">
        <v>8370</v>
      </c>
      <c r="B5775" s="2">
        <v>44446</v>
      </c>
      <c r="C5775" s="7">
        <f>_xlfn.FLOOR.MATH(Table1[[#This Row],[year]],10)</f>
        <v>2020</v>
      </c>
      <c r="D5775" t="s">
        <v>345</v>
      </c>
      <c r="E5775" t="s">
        <v>32</v>
      </c>
      <c r="F5775">
        <v>1</v>
      </c>
      <c r="G5775">
        <v>1</v>
      </c>
      <c r="H5775" t="s">
        <v>224</v>
      </c>
      <c r="I5775" t="s">
        <v>761</v>
      </c>
      <c r="J5775" t="s">
        <v>24</v>
      </c>
      <c r="K5775" t="b">
        <v>1</v>
      </c>
      <c r="L5775">
        <v>2021</v>
      </c>
      <c r="M5775">
        <v>19697516284</v>
      </c>
      <c r="N5775">
        <v>186231205262</v>
      </c>
      <c r="O5775" t="b">
        <v>1</v>
      </c>
      <c r="P5775">
        <v>0</v>
      </c>
      <c r="Q5775" t="str" cm="1">
        <f t="array" ref="Q5775">_xlfn.IFS(Table1[[#This Row],[Wealthier_Winner]]=-1,"Wealthier Nation Loses",Table1[[#This Row],[Wealthier_Winner]]=0,"Tie",Table1[[#This Row],[Wealthier_Winner]]=1,"Wealthier Nation Wins")</f>
        <v>Tie</v>
      </c>
    </row>
    <row r="5776" spans="1:17" x14ac:dyDescent="0.2">
      <c r="A5776" s="1">
        <v>8371</v>
      </c>
      <c r="B5776" s="2">
        <v>44446</v>
      </c>
      <c r="C5776" s="7">
        <f>_xlfn.FLOOR.MATH(Table1[[#This Row],[year]],10)</f>
        <v>2020</v>
      </c>
      <c r="D5776" t="s">
        <v>273</v>
      </c>
      <c r="E5776" t="s">
        <v>53</v>
      </c>
      <c r="F5776">
        <v>0</v>
      </c>
      <c r="G5776">
        <v>2</v>
      </c>
      <c r="H5776" t="s">
        <v>224</v>
      </c>
      <c r="I5776" t="s">
        <v>275</v>
      </c>
      <c r="J5776" t="s">
        <v>273</v>
      </c>
      <c r="K5776" t="b">
        <v>0</v>
      </c>
      <c r="L5776">
        <v>2021</v>
      </c>
      <c r="M5776">
        <v>22096416932</v>
      </c>
      <c r="N5776">
        <v>47073234359</v>
      </c>
      <c r="O5776" t="b">
        <v>1</v>
      </c>
      <c r="P5776">
        <v>1</v>
      </c>
      <c r="Q5776" t="str" cm="1">
        <f t="array" ref="Q5776">_xlfn.IFS(Table1[[#This Row],[Wealthier_Winner]]=-1,"Wealthier Nation Loses",Table1[[#This Row],[Wealthier_Winner]]=0,"Tie",Table1[[#This Row],[Wealthier_Winner]]=1,"Wealthier Nation Wins")</f>
        <v>Wealthier Nation Wins</v>
      </c>
    </row>
    <row r="5777" spans="1:17" x14ac:dyDescent="0.2">
      <c r="A5777" s="1">
        <v>8372</v>
      </c>
      <c r="B5777" s="2">
        <v>44446</v>
      </c>
      <c r="C5777" s="7">
        <f>_xlfn.FLOOR.MATH(Table1[[#This Row],[year]],10)</f>
        <v>2020</v>
      </c>
      <c r="D5777" t="s">
        <v>639</v>
      </c>
      <c r="E5777" t="s">
        <v>346</v>
      </c>
      <c r="F5777">
        <v>1</v>
      </c>
      <c r="G5777">
        <v>0</v>
      </c>
      <c r="H5777" t="s">
        <v>224</v>
      </c>
      <c r="I5777" t="s">
        <v>696</v>
      </c>
      <c r="J5777" t="s">
        <v>639</v>
      </c>
      <c r="K5777" t="b">
        <v>0</v>
      </c>
      <c r="L5777">
        <v>2021</v>
      </c>
      <c r="M5777">
        <v>12215878032</v>
      </c>
      <c r="N5777">
        <v>9222536364</v>
      </c>
      <c r="O5777" t="b">
        <v>0</v>
      </c>
      <c r="P5777">
        <v>1</v>
      </c>
      <c r="Q5777" t="str" cm="1">
        <f t="array" ref="Q5777">_xlfn.IFS(Table1[[#This Row],[Wealthier_Winner]]=-1,"Wealthier Nation Loses",Table1[[#This Row],[Wealthier_Winner]]=0,"Tie",Table1[[#This Row],[Wealthier_Winner]]=1,"Wealthier Nation Wins")</f>
        <v>Wealthier Nation Wins</v>
      </c>
    </row>
    <row r="5778" spans="1:17" x14ac:dyDescent="0.2">
      <c r="A5778" s="1">
        <v>8374</v>
      </c>
      <c r="B5778" s="2">
        <v>44446</v>
      </c>
      <c r="C5778" s="7">
        <f>_xlfn.FLOOR.MATH(Table1[[#This Row],[year]],10)</f>
        <v>2020</v>
      </c>
      <c r="D5778" t="s">
        <v>370</v>
      </c>
      <c r="E5778" t="s">
        <v>300</v>
      </c>
      <c r="F5778">
        <v>1</v>
      </c>
      <c r="G5778">
        <v>0</v>
      </c>
      <c r="H5778" t="s">
        <v>224</v>
      </c>
      <c r="I5778" t="s">
        <v>160</v>
      </c>
      <c r="J5778" t="s">
        <v>50</v>
      </c>
      <c r="K5778" t="b">
        <v>1</v>
      </c>
      <c r="L5778">
        <v>2021</v>
      </c>
      <c r="M5778">
        <v>12378119199</v>
      </c>
      <c r="N5778">
        <v>16168055475</v>
      </c>
      <c r="O5778" t="b">
        <v>0</v>
      </c>
      <c r="P5778">
        <v>-1</v>
      </c>
      <c r="Q5778" t="str" cm="1">
        <f t="array" ref="Q5778">_xlfn.IFS(Table1[[#This Row],[Wealthier_Winner]]=-1,"Wealthier Nation Loses",Table1[[#This Row],[Wealthier_Winner]]=0,"Tie",Table1[[#This Row],[Wealthier_Winner]]=1,"Wealthier Nation Wins")</f>
        <v>Wealthier Nation Loses</v>
      </c>
    </row>
    <row r="5779" spans="1:17" x14ac:dyDescent="0.2">
      <c r="A5779" s="1">
        <v>8375</v>
      </c>
      <c r="B5779" s="2">
        <v>44446</v>
      </c>
      <c r="C5779" s="7">
        <f>_xlfn.FLOOR.MATH(Table1[[#This Row],[year]],10)</f>
        <v>2020</v>
      </c>
      <c r="D5779" t="s">
        <v>60</v>
      </c>
      <c r="E5779" t="s">
        <v>286</v>
      </c>
      <c r="F5779">
        <v>0</v>
      </c>
      <c r="G5779">
        <v>1</v>
      </c>
      <c r="H5779" t="s">
        <v>224</v>
      </c>
      <c r="I5779" t="s">
        <v>396</v>
      </c>
      <c r="J5779" t="s">
        <v>60</v>
      </c>
      <c r="K5779" t="b">
        <v>0</v>
      </c>
      <c r="L5779">
        <v>2021</v>
      </c>
      <c r="M5779">
        <v>79559543805</v>
      </c>
      <c r="N5779">
        <v>35217995647</v>
      </c>
      <c r="O5779" t="b">
        <v>1</v>
      </c>
      <c r="P5779">
        <v>-1</v>
      </c>
      <c r="Q5779" t="str" cm="1">
        <f t="array" ref="Q5779">_xlfn.IFS(Table1[[#This Row],[Wealthier_Winner]]=-1,"Wealthier Nation Loses",Table1[[#This Row],[Wealthier_Winner]]=0,"Tie",Table1[[#This Row],[Wealthier_Winner]]=1,"Wealthier Nation Wins")</f>
        <v>Wealthier Nation Loses</v>
      </c>
    </row>
    <row r="5780" spans="1:17" x14ac:dyDescent="0.2">
      <c r="A5780" s="1">
        <v>8376</v>
      </c>
      <c r="B5780" s="2">
        <v>44446</v>
      </c>
      <c r="C5780" s="7">
        <f>_xlfn.FLOOR.MATH(Table1[[#This Row],[year]],10)</f>
        <v>2020</v>
      </c>
      <c r="D5780" t="s">
        <v>238</v>
      </c>
      <c r="E5780" t="s">
        <v>298</v>
      </c>
      <c r="F5780">
        <v>1</v>
      </c>
      <c r="G5780">
        <v>0</v>
      </c>
      <c r="H5780" t="s">
        <v>224</v>
      </c>
      <c r="I5780" t="s">
        <v>826</v>
      </c>
      <c r="J5780" t="s">
        <v>238</v>
      </c>
      <c r="K5780" t="b">
        <v>0</v>
      </c>
      <c r="L5780">
        <v>2021</v>
      </c>
      <c r="M5780">
        <v>109070960371</v>
      </c>
      <c r="N5780">
        <v>41287673690</v>
      </c>
      <c r="O5780" t="b">
        <v>1</v>
      </c>
      <c r="P5780">
        <v>1</v>
      </c>
      <c r="Q5780" t="str" cm="1">
        <f t="array" ref="Q5780">_xlfn.IFS(Table1[[#This Row],[Wealthier_Winner]]=-1,"Wealthier Nation Loses",Table1[[#This Row],[Wealthier_Winner]]=0,"Tie",Table1[[#This Row],[Wealthier_Winner]]=1,"Wealthier Nation Wins")</f>
        <v>Wealthier Nation Wins</v>
      </c>
    </row>
    <row r="5781" spans="1:17" x14ac:dyDescent="0.2">
      <c r="A5781" s="1">
        <v>8378</v>
      </c>
      <c r="B5781" s="2">
        <v>44446</v>
      </c>
      <c r="C5781" s="7">
        <f>_xlfn.FLOOR.MATH(Table1[[#This Row],[year]],10)</f>
        <v>2020</v>
      </c>
      <c r="D5781" t="s">
        <v>274</v>
      </c>
      <c r="E5781" t="s">
        <v>508</v>
      </c>
      <c r="F5781">
        <v>2</v>
      </c>
      <c r="G5781">
        <v>4</v>
      </c>
      <c r="H5781" t="s">
        <v>224</v>
      </c>
      <c r="I5781" t="s">
        <v>591</v>
      </c>
      <c r="J5781" t="s">
        <v>274</v>
      </c>
      <c r="K5781" t="b">
        <v>0</v>
      </c>
      <c r="L5781">
        <v>2021</v>
      </c>
      <c r="M5781">
        <v>34229513774</v>
      </c>
      <c r="N5781">
        <v>1908094558</v>
      </c>
      <c r="O5781" t="b">
        <v>1</v>
      </c>
      <c r="P5781">
        <v>-1</v>
      </c>
      <c r="Q5781" t="str" cm="1">
        <f t="array" ref="Q5781">_xlfn.IFS(Table1[[#This Row],[Wealthier_Winner]]=-1,"Wealthier Nation Loses",Table1[[#This Row],[Wealthier_Winner]]=0,"Tie",Table1[[#This Row],[Wealthier_Winner]]=1,"Wealthier Nation Wins")</f>
        <v>Wealthier Nation Loses</v>
      </c>
    </row>
    <row r="5782" spans="1:17" x14ac:dyDescent="0.2">
      <c r="A5782" s="1">
        <v>8379</v>
      </c>
      <c r="B5782" s="2">
        <v>44446</v>
      </c>
      <c r="C5782" s="7">
        <f>_xlfn.FLOOR.MATH(Table1[[#This Row],[year]],10)</f>
        <v>2020</v>
      </c>
      <c r="D5782" t="s">
        <v>320</v>
      </c>
      <c r="E5782" t="s">
        <v>410</v>
      </c>
      <c r="F5782">
        <v>3</v>
      </c>
      <c r="G5782">
        <v>2</v>
      </c>
      <c r="H5782" t="s">
        <v>224</v>
      </c>
      <c r="I5782" t="s">
        <v>321</v>
      </c>
      <c r="J5782" t="s">
        <v>320</v>
      </c>
      <c r="K5782" t="b">
        <v>0</v>
      </c>
      <c r="L5782">
        <v>2021</v>
      </c>
      <c r="M5782">
        <v>70655628147</v>
      </c>
      <c r="N5782">
        <v>14354731964</v>
      </c>
      <c r="O5782" t="b">
        <v>1</v>
      </c>
      <c r="P5782">
        <v>1</v>
      </c>
      <c r="Q5782" t="str" cm="1">
        <f t="array" ref="Q5782">_xlfn.IFS(Table1[[#This Row],[Wealthier_Winner]]=-1,"Wealthier Nation Loses",Table1[[#This Row],[Wealthier_Winner]]=0,"Tie",Table1[[#This Row],[Wealthier_Winner]]=1,"Wealthier Nation Wins")</f>
        <v>Wealthier Nation Wins</v>
      </c>
    </row>
    <row r="5783" spans="1:17" x14ac:dyDescent="0.2">
      <c r="A5783" s="1">
        <v>8380</v>
      </c>
      <c r="B5783" s="2">
        <v>44446</v>
      </c>
      <c r="C5783" s="7">
        <f>_xlfn.FLOOR.MATH(Table1[[#This Row],[year]],10)</f>
        <v>2020</v>
      </c>
      <c r="D5783" t="s">
        <v>331</v>
      </c>
      <c r="E5783" t="s">
        <v>39</v>
      </c>
      <c r="F5783">
        <v>1</v>
      </c>
      <c r="G5783">
        <v>1</v>
      </c>
      <c r="H5783" t="s">
        <v>224</v>
      </c>
      <c r="I5783" t="s">
        <v>404</v>
      </c>
      <c r="J5783" t="s">
        <v>403</v>
      </c>
      <c r="K5783" t="b">
        <v>1</v>
      </c>
      <c r="L5783">
        <v>2021</v>
      </c>
      <c r="M5783">
        <v>14353205678</v>
      </c>
      <c r="N5783">
        <v>422441388699</v>
      </c>
      <c r="O5783" t="b">
        <v>1</v>
      </c>
      <c r="P5783">
        <v>0</v>
      </c>
      <c r="Q5783" t="str" cm="1">
        <f t="array" ref="Q5783">_xlfn.IFS(Table1[[#This Row],[Wealthier_Winner]]=-1,"Wealthier Nation Loses",Table1[[#This Row],[Wealthier_Winner]]=0,"Tie",Table1[[#This Row],[Wealthier_Winner]]=1,"Wealthier Nation Wins")</f>
        <v>Tie</v>
      </c>
    </row>
    <row r="5784" spans="1:17" x14ac:dyDescent="0.2">
      <c r="A5784" s="1">
        <v>8381</v>
      </c>
      <c r="B5784" s="2">
        <v>44446</v>
      </c>
      <c r="C5784" s="7">
        <f>_xlfn.FLOOR.MATH(Table1[[#This Row],[year]],10)</f>
        <v>2020</v>
      </c>
      <c r="D5784" t="s">
        <v>195</v>
      </c>
      <c r="E5784" t="s">
        <v>479</v>
      </c>
      <c r="F5784">
        <v>1</v>
      </c>
      <c r="G5784">
        <v>0</v>
      </c>
      <c r="H5784" t="s">
        <v>224</v>
      </c>
      <c r="I5784" t="s">
        <v>144</v>
      </c>
      <c r="J5784" t="s">
        <v>195</v>
      </c>
      <c r="K5784" t="b">
        <v>0</v>
      </c>
      <c r="L5784">
        <v>2021</v>
      </c>
      <c r="M5784">
        <v>1942313560965</v>
      </c>
      <c r="N5784">
        <v>23131941556</v>
      </c>
      <c r="O5784" t="b">
        <v>1</v>
      </c>
      <c r="P5784">
        <v>1</v>
      </c>
      <c r="Q5784" t="str" cm="1">
        <f t="array" ref="Q5784">_xlfn.IFS(Table1[[#This Row],[Wealthier_Winner]]=-1,"Wealthier Nation Loses",Table1[[#This Row],[Wealthier_Winner]]=0,"Tie",Table1[[#This Row],[Wealthier_Winner]]=1,"Wealthier Nation Wins")</f>
        <v>Wealthier Nation Wins</v>
      </c>
    </row>
    <row r="5785" spans="1:17" x14ac:dyDescent="0.2">
      <c r="A5785" s="1">
        <v>8382</v>
      </c>
      <c r="B5785" s="2">
        <v>44446</v>
      </c>
      <c r="C5785" s="7">
        <f>_xlfn.FLOOR.MATH(Table1[[#This Row],[year]],10)</f>
        <v>2020</v>
      </c>
      <c r="D5785" t="s">
        <v>37</v>
      </c>
      <c r="E5785" t="s">
        <v>210</v>
      </c>
      <c r="F5785">
        <v>0</v>
      </c>
      <c r="G5785">
        <v>3</v>
      </c>
      <c r="H5785" t="s">
        <v>224</v>
      </c>
      <c r="I5785" t="s">
        <v>190</v>
      </c>
      <c r="J5785" t="s">
        <v>68</v>
      </c>
      <c r="K5785" t="b">
        <v>1</v>
      </c>
      <c r="L5785">
        <v>2021</v>
      </c>
      <c r="M5785">
        <v>209691945713</v>
      </c>
      <c r="N5785">
        <v>407350685583</v>
      </c>
      <c r="O5785" t="b">
        <v>0</v>
      </c>
      <c r="P5785">
        <v>1</v>
      </c>
      <c r="Q5785" t="str" cm="1">
        <f t="array" ref="Q5785">_xlfn.IFS(Table1[[#This Row],[Wealthier_Winner]]=-1,"Wealthier Nation Loses",Table1[[#This Row],[Wealthier_Winner]]=0,"Tie",Table1[[#This Row],[Wealthier_Winner]]=1,"Wealthier Nation Wins")</f>
        <v>Wealthier Nation Wins</v>
      </c>
    </row>
    <row r="5786" spans="1:17" x14ac:dyDescent="0.2">
      <c r="A5786" s="1">
        <v>8384</v>
      </c>
      <c r="B5786" s="2">
        <v>44446</v>
      </c>
      <c r="C5786" s="7">
        <f>_xlfn.FLOOR.MATH(Table1[[#This Row],[year]],10)</f>
        <v>2020</v>
      </c>
      <c r="D5786" t="s">
        <v>475</v>
      </c>
      <c r="E5786" t="s">
        <v>28</v>
      </c>
      <c r="F5786">
        <v>0</v>
      </c>
      <c r="G5786">
        <v>1</v>
      </c>
      <c r="H5786" t="s">
        <v>224</v>
      </c>
      <c r="I5786" t="s">
        <v>647</v>
      </c>
      <c r="J5786" t="s">
        <v>475</v>
      </c>
      <c r="K5786" t="b">
        <v>0</v>
      </c>
      <c r="L5786">
        <v>2021</v>
      </c>
      <c r="M5786">
        <v>366474752771</v>
      </c>
      <c r="N5786">
        <v>1560617493202</v>
      </c>
      <c r="O5786" t="b">
        <v>1</v>
      </c>
      <c r="P5786">
        <v>1</v>
      </c>
      <c r="Q5786" t="str" cm="1">
        <f t="array" ref="Q5786">_xlfn.IFS(Table1[[#This Row],[Wealthier_Winner]]=-1,"Wealthier Nation Loses",Table1[[#This Row],[Wealthier_Winner]]=0,"Tie",Table1[[#This Row],[Wealthier_Winner]]=1,"Wealthier Nation Wins")</f>
        <v>Wealthier Nation Wins</v>
      </c>
    </row>
    <row r="5787" spans="1:17" x14ac:dyDescent="0.2">
      <c r="A5787" s="1">
        <v>8385</v>
      </c>
      <c r="B5787" s="2">
        <v>44446</v>
      </c>
      <c r="C5787" s="7">
        <f>_xlfn.FLOOR.MATH(Table1[[#This Row],[year]],10)</f>
        <v>2020</v>
      </c>
      <c r="D5787" t="s">
        <v>429</v>
      </c>
      <c r="E5787" t="s">
        <v>45</v>
      </c>
      <c r="F5787">
        <v>0</v>
      </c>
      <c r="G5787">
        <v>1</v>
      </c>
      <c r="H5787" t="s">
        <v>224</v>
      </c>
      <c r="I5787" t="s">
        <v>430</v>
      </c>
      <c r="J5787" t="s">
        <v>429</v>
      </c>
      <c r="K5787" t="b">
        <v>0</v>
      </c>
      <c r="L5787">
        <v>2021</v>
      </c>
      <c r="M5787">
        <v>87323797139</v>
      </c>
      <c r="N5787">
        <v>982661066666</v>
      </c>
      <c r="O5787" t="b">
        <v>1</v>
      </c>
      <c r="P5787">
        <v>1</v>
      </c>
      <c r="Q5787" t="str" cm="1">
        <f t="array" ref="Q5787">_xlfn.IFS(Table1[[#This Row],[Wealthier_Winner]]=-1,"Wealthier Nation Loses",Table1[[#This Row],[Wealthier_Winner]]=0,"Tie",Table1[[#This Row],[Wealthier_Winner]]=1,"Wealthier Nation Wins")</f>
        <v>Wealthier Nation Wins</v>
      </c>
    </row>
    <row r="5788" spans="1:17" x14ac:dyDescent="0.2">
      <c r="A5788" s="1">
        <v>8387</v>
      </c>
      <c r="B5788" s="2">
        <v>44446</v>
      </c>
      <c r="C5788" s="7">
        <f>_xlfn.FLOOR.MATH(Table1[[#This Row],[year]],10)</f>
        <v>2020</v>
      </c>
      <c r="D5788" t="s">
        <v>513</v>
      </c>
      <c r="E5788" t="s">
        <v>38</v>
      </c>
      <c r="F5788">
        <v>0</v>
      </c>
      <c r="G5788">
        <v>3</v>
      </c>
      <c r="H5788" t="s">
        <v>224</v>
      </c>
      <c r="I5788" t="s">
        <v>521</v>
      </c>
      <c r="J5788" t="s">
        <v>513</v>
      </c>
      <c r="K5788" t="b">
        <v>0</v>
      </c>
      <c r="L5788">
        <v>2021</v>
      </c>
      <c r="M5788">
        <v>54825411764</v>
      </c>
      <c r="N5788">
        <v>256055879091</v>
      </c>
      <c r="O5788" t="b">
        <v>1</v>
      </c>
      <c r="P5788">
        <v>1</v>
      </c>
      <c r="Q5788" t="str" cm="1">
        <f t="array" ref="Q5788">_xlfn.IFS(Table1[[#This Row],[Wealthier_Winner]]=-1,"Wealthier Nation Loses",Table1[[#This Row],[Wealthier_Winner]]=0,"Tie",Table1[[#This Row],[Wealthier_Winner]]=1,"Wealthier Nation Wins")</f>
        <v>Wealthier Nation Wins</v>
      </c>
    </row>
    <row r="5789" spans="1:17" x14ac:dyDescent="0.2">
      <c r="A5789" s="1">
        <v>8388</v>
      </c>
      <c r="B5789" s="2">
        <v>44446</v>
      </c>
      <c r="C5789" s="7">
        <f>_xlfn.FLOOR.MATH(Table1[[#This Row],[year]],10)</f>
        <v>2020</v>
      </c>
      <c r="D5789" t="s">
        <v>73</v>
      </c>
      <c r="E5789" t="s">
        <v>558</v>
      </c>
      <c r="F5789">
        <v>2</v>
      </c>
      <c r="G5789">
        <v>2</v>
      </c>
      <c r="H5789" t="s">
        <v>224</v>
      </c>
      <c r="I5789" t="s">
        <v>636</v>
      </c>
      <c r="J5789" t="s">
        <v>73</v>
      </c>
      <c r="K5789" t="b">
        <v>0</v>
      </c>
      <c r="L5789">
        <v>2021</v>
      </c>
      <c r="M5789">
        <v>23672712121</v>
      </c>
      <c r="N5789">
        <v>197112255360</v>
      </c>
      <c r="O5789" t="b">
        <v>1</v>
      </c>
      <c r="P5789">
        <v>0</v>
      </c>
      <c r="Q5789" t="str" cm="1">
        <f t="array" ref="Q5789">_xlfn.IFS(Table1[[#This Row],[Wealthier_Winner]]=-1,"Wealthier Nation Loses",Table1[[#This Row],[Wealthier_Winner]]=0,"Tie",Table1[[#This Row],[Wealthier_Winner]]=1,"Wealthier Nation Wins")</f>
        <v>Tie</v>
      </c>
    </row>
    <row r="5790" spans="1:17" x14ac:dyDescent="0.2">
      <c r="A5790" s="1">
        <v>8389</v>
      </c>
      <c r="B5790" s="2">
        <v>44446</v>
      </c>
      <c r="C5790" s="7">
        <f>_xlfn.FLOOR.MATH(Table1[[#This Row],[year]],10)</f>
        <v>2020</v>
      </c>
      <c r="D5790" t="s">
        <v>20</v>
      </c>
      <c r="E5790" t="s">
        <v>230</v>
      </c>
      <c r="F5790">
        <v>2</v>
      </c>
      <c r="G5790">
        <v>0</v>
      </c>
      <c r="H5790" t="s">
        <v>224</v>
      </c>
      <c r="I5790" t="s">
        <v>135</v>
      </c>
      <c r="J5790" t="s">
        <v>20</v>
      </c>
      <c r="K5790" t="b">
        <v>0</v>
      </c>
      <c r="L5790">
        <v>2021</v>
      </c>
      <c r="M5790">
        <v>2966433692008</v>
      </c>
      <c r="N5790">
        <v>294223210496</v>
      </c>
      <c r="O5790" t="b">
        <v>1</v>
      </c>
      <c r="P5790">
        <v>1</v>
      </c>
      <c r="Q5790" t="str" cm="1">
        <f t="array" ref="Q5790">_xlfn.IFS(Table1[[#This Row],[Wealthier_Winner]]=-1,"Wealthier Nation Loses",Table1[[#This Row],[Wealthier_Winner]]=0,"Tie",Table1[[#This Row],[Wealthier_Winner]]=1,"Wealthier Nation Wins")</f>
        <v>Wealthier Nation Wins</v>
      </c>
    </row>
    <row r="5791" spans="1:17" x14ac:dyDescent="0.2">
      <c r="A5791" s="1">
        <v>8390</v>
      </c>
      <c r="B5791" s="2">
        <v>44446</v>
      </c>
      <c r="C5791" s="7">
        <f>_xlfn.FLOOR.MATH(Table1[[#This Row],[year]],10)</f>
        <v>2020</v>
      </c>
      <c r="D5791" t="s">
        <v>447</v>
      </c>
      <c r="E5791" t="s">
        <v>527</v>
      </c>
      <c r="F5791">
        <v>2</v>
      </c>
      <c r="G5791">
        <v>1</v>
      </c>
      <c r="H5791" t="s">
        <v>224</v>
      </c>
      <c r="I5791" t="s">
        <v>631</v>
      </c>
      <c r="J5791" t="s">
        <v>447</v>
      </c>
      <c r="K5791" t="b">
        <v>0</v>
      </c>
      <c r="L5791">
        <v>2021</v>
      </c>
      <c r="M5791">
        <v>3699551717</v>
      </c>
      <c r="N5791">
        <v>13691869264</v>
      </c>
      <c r="O5791" t="b">
        <v>1</v>
      </c>
      <c r="P5791">
        <v>-1</v>
      </c>
      <c r="Q5791" t="str" cm="1">
        <f t="array" ref="Q5791">_xlfn.IFS(Table1[[#This Row],[Wealthier_Winner]]=-1,"Wealthier Nation Loses",Table1[[#This Row],[Wealthier_Winner]]=0,"Tie",Table1[[#This Row],[Wealthier_Winner]]=1,"Wealthier Nation Wins")</f>
        <v>Wealthier Nation Loses</v>
      </c>
    </row>
    <row r="5792" spans="1:17" x14ac:dyDescent="0.2">
      <c r="A5792" s="1">
        <v>8392</v>
      </c>
      <c r="B5792" s="2">
        <v>44446</v>
      </c>
      <c r="C5792" s="7">
        <f>_xlfn.FLOOR.MATH(Table1[[#This Row],[year]],10)</f>
        <v>2020</v>
      </c>
      <c r="D5792" t="s">
        <v>36</v>
      </c>
      <c r="E5792" t="s">
        <v>22</v>
      </c>
      <c r="F5792">
        <v>5</v>
      </c>
      <c r="G5792">
        <v>0</v>
      </c>
      <c r="H5792" t="s">
        <v>224</v>
      </c>
      <c r="I5792" t="s">
        <v>264</v>
      </c>
      <c r="J5792" t="s">
        <v>36</v>
      </c>
      <c r="K5792" t="b">
        <v>0</v>
      </c>
      <c r="L5792">
        <v>2021</v>
      </c>
      <c r="M5792">
        <v>406110162088</v>
      </c>
      <c r="N5792">
        <v>489851549972</v>
      </c>
      <c r="O5792" t="b">
        <v>0</v>
      </c>
      <c r="P5792">
        <v>-1</v>
      </c>
      <c r="Q5792" t="str" cm="1">
        <f t="array" ref="Q5792">_xlfn.IFS(Table1[[#This Row],[Wealthier_Winner]]=-1,"Wealthier Nation Loses",Table1[[#This Row],[Wealthier_Winner]]=0,"Tie",Table1[[#This Row],[Wealthier_Winner]]=1,"Wealthier Nation Wins")</f>
        <v>Wealthier Nation Loses</v>
      </c>
    </row>
    <row r="5793" spans="1:17" x14ac:dyDescent="0.2">
      <c r="A5793" s="1">
        <v>8393</v>
      </c>
      <c r="B5793" s="2">
        <v>44446</v>
      </c>
      <c r="C5793" s="7">
        <f>_xlfn.FLOOR.MATH(Table1[[#This Row],[year]],10)</f>
        <v>2020</v>
      </c>
      <c r="D5793" t="s">
        <v>705</v>
      </c>
      <c r="E5793" t="s">
        <v>525</v>
      </c>
      <c r="F5793">
        <v>0</v>
      </c>
      <c r="G5793">
        <v>0</v>
      </c>
      <c r="H5793" t="s">
        <v>224</v>
      </c>
      <c r="I5793" t="s">
        <v>706</v>
      </c>
      <c r="J5793" t="s">
        <v>705</v>
      </c>
      <c r="K5793" t="b">
        <v>0</v>
      </c>
      <c r="L5793">
        <v>2021</v>
      </c>
      <c r="M5793">
        <v>5823715809</v>
      </c>
      <c r="N5793">
        <v>38183326784</v>
      </c>
      <c r="O5793" t="b">
        <v>1</v>
      </c>
      <c r="P5793">
        <v>0</v>
      </c>
      <c r="Q5793" t="str" cm="1">
        <f t="array" ref="Q5793">_xlfn.IFS(Table1[[#This Row],[Wealthier_Winner]]=-1,"Wealthier Nation Loses",Table1[[#This Row],[Wealthier_Winner]]=0,"Tie",Table1[[#This Row],[Wealthier_Winner]]=1,"Wealthier Nation Wins")</f>
        <v>Tie</v>
      </c>
    </row>
    <row r="5794" spans="1:17" x14ac:dyDescent="0.2">
      <c r="A5794" s="1">
        <v>8396</v>
      </c>
      <c r="B5794" s="2">
        <v>44446</v>
      </c>
      <c r="C5794" s="7">
        <f>_xlfn.FLOOR.MATH(Table1[[#This Row],[year]],10)</f>
        <v>2020</v>
      </c>
      <c r="D5794" t="s">
        <v>52</v>
      </c>
      <c r="E5794" t="s">
        <v>55</v>
      </c>
      <c r="F5794">
        <v>3</v>
      </c>
      <c r="G5794">
        <v>0</v>
      </c>
      <c r="H5794" t="s">
        <v>224</v>
      </c>
      <c r="I5794" t="s">
        <v>547</v>
      </c>
      <c r="J5794" t="s">
        <v>52</v>
      </c>
      <c r="K5794" t="b">
        <v>0</v>
      </c>
      <c r="L5794">
        <v>2021</v>
      </c>
      <c r="M5794">
        <v>69002365163</v>
      </c>
      <c r="N5794">
        <v>61540813361</v>
      </c>
      <c r="O5794" t="b">
        <v>0</v>
      </c>
      <c r="P5794">
        <v>1</v>
      </c>
      <c r="Q5794" t="str" cm="1">
        <f t="array" ref="Q5794">_xlfn.IFS(Table1[[#This Row],[Wealthier_Winner]]=-1,"Wealthier Nation Loses",Table1[[#This Row],[Wealthier_Winner]]=0,"Tie",Table1[[#This Row],[Wealthier_Winner]]=1,"Wealthier Nation Wins")</f>
        <v>Wealthier Nation Wins</v>
      </c>
    </row>
    <row r="5795" spans="1:17" x14ac:dyDescent="0.2">
      <c r="A5795" s="1">
        <v>8398</v>
      </c>
      <c r="B5795" s="2">
        <v>44446</v>
      </c>
      <c r="C5795" s="7">
        <f>_xlfn.FLOOR.MATH(Table1[[#This Row],[year]],10)</f>
        <v>2020</v>
      </c>
      <c r="D5795" t="s">
        <v>196</v>
      </c>
      <c r="E5795" t="s">
        <v>303</v>
      </c>
      <c r="F5795">
        <v>2</v>
      </c>
      <c r="G5795">
        <v>0</v>
      </c>
      <c r="H5795" t="s">
        <v>224</v>
      </c>
      <c r="I5795" t="s">
        <v>180</v>
      </c>
      <c r="J5795" t="s">
        <v>196</v>
      </c>
      <c r="K5795" t="b">
        <v>0</v>
      </c>
      <c r="L5795">
        <v>2021</v>
      </c>
      <c r="M5795">
        <v>1829186719575</v>
      </c>
      <c r="N5795">
        <v>19739875611</v>
      </c>
      <c r="O5795" t="b">
        <v>1</v>
      </c>
      <c r="P5795">
        <v>1</v>
      </c>
      <c r="Q5795" t="str" cm="1">
        <f t="array" ref="Q5795">_xlfn.IFS(Table1[[#This Row],[Wealthier_Winner]]=-1,"Wealthier Nation Loses",Table1[[#This Row],[Wealthier_Winner]]=0,"Tie",Table1[[#This Row],[Wealthier_Winner]]=1,"Wealthier Nation Wins")</f>
        <v>Wealthier Nation Wins</v>
      </c>
    </row>
    <row r="5796" spans="1:17" x14ac:dyDescent="0.2">
      <c r="A5796" s="1">
        <v>8399</v>
      </c>
      <c r="B5796" s="2">
        <v>44447</v>
      </c>
      <c r="C5796" s="7">
        <f>_xlfn.FLOOR.MATH(Table1[[#This Row],[year]],10)</f>
        <v>2020</v>
      </c>
      <c r="D5796" t="s">
        <v>803</v>
      </c>
      <c r="E5796" t="s">
        <v>21</v>
      </c>
      <c r="F5796">
        <v>0</v>
      </c>
      <c r="G5796">
        <v>2</v>
      </c>
      <c r="H5796" t="s">
        <v>224</v>
      </c>
      <c r="I5796" t="s">
        <v>844</v>
      </c>
      <c r="J5796" t="s">
        <v>803</v>
      </c>
      <c r="K5796" t="b">
        <v>0</v>
      </c>
      <c r="L5796">
        <v>2021</v>
      </c>
      <c r="M5796">
        <v>9413408574</v>
      </c>
      <c r="N5796">
        <v>1461244901852</v>
      </c>
      <c r="O5796" t="b">
        <v>1</v>
      </c>
      <c r="P5796">
        <v>1</v>
      </c>
      <c r="Q5796" t="str" cm="1">
        <f t="array" ref="Q5796">_xlfn.IFS(Table1[[#This Row],[Wealthier_Winner]]=-1,"Wealthier Nation Loses",Table1[[#This Row],[Wealthier_Winner]]=0,"Tie",Table1[[#This Row],[Wealthier_Winner]]=1,"Wealthier Nation Wins")</f>
        <v>Wealthier Nation Wins</v>
      </c>
    </row>
    <row r="5797" spans="1:17" x14ac:dyDescent="0.2">
      <c r="A5797" s="1">
        <v>8400</v>
      </c>
      <c r="B5797" s="2">
        <v>44447</v>
      </c>
      <c r="C5797" s="7">
        <f>_xlfn.FLOOR.MATH(Table1[[#This Row],[year]],10)</f>
        <v>2020</v>
      </c>
      <c r="D5797" t="s">
        <v>48</v>
      </c>
      <c r="E5797" t="s">
        <v>25</v>
      </c>
      <c r="F5797">
        <v>2</v>
      </c>
      <c r="G5797">
        <v>1</v>
      </c>
      <c r="H5797" t="s">
        <v>224</v>
      </c>
      <c r="I5797" t="s">
        <v>236</v>
      </c>
      <c r="J5797" t="s">
        <v>48</v>
      </c>
      <c r="K5797" t="b">
        <v>0</v>
      </c>
      <c r="L5797">
        <v>2021</v>
      </c>
      <c r="M5797">
        <v>218303801895</v>
      </c>
      <c r="N5797">
        <v>631693331300</v>
      </c>
      <c r="O5797" t="b">
        <v>1</v>
      </c>
      <c r="P5797">
        <v>-1</v>
      </c>
      <c r="Q5797" t="str" cm="1">
        <f t="array" ref="Q5797">_xlfn.IFS(Table1[[#This Row],[Wealthier_Winner]]=-1,"Wealthier Nation Loses",Table1[[#This Row],[Wealthier_Winner]]=0,"Tie",Table1[[#This Row],[Wealthier_Winner]]=1,"Wealthier Nation Wins")</f>
        <v>Wealthier Nation Loses</v>
      </c>
    </row>
    <row r="5798" spans="1:17" x14ac:dyDescent="0.2">
      <c r="A5798" s="1">
        <v>8402</v>
      </c>
      <c r="B5798" s="2">
        <v>44447</v>
      </c>
      <c r="C5798" s="7">
        <f>_xlfn.FLOOR.MATH(Table1[[#This Row],[year]],10)</f>
        <v>2020</v>
      </c>
      <c r="D5798" t="s">
        <v>18</v>
      </c>
      <c r="E5798" t="s">
        <v>523</v>
      </c>
      <c r="F5798">
        <v>5</v>
      </c>
      <c r="G5798">
        <v>0</v>
      </c>
      <c r="H5798" t="s">
        <v>224</v>
      </c>
      <c r="I5798" t="s">
        <v>822</v>
      </c>
      <c r="J5798" t="s">
        <v>18</v>
      </c>
      <c r="K5798" t="b">
        <v>0</v>
      </c>
      <c r="L5798">
        <v>2021</v>
      </c>
      <c r="M5798">
        <v>2179207773596</v>
      </c>
      <c r="N5798">
        <v>67037321008</v>
      </c>
      <c r="O5798" t="b">
        <v>1</v>
      </c>
      <c r="P5798">
        <v>1</v>
      </c>
      <c r="Q5798" t="str" cm="1">
        <f t="array" ref="Q5798">_xlfn.IFS(Table1[[#This Row],[Wealthier_Winner]]=-1,"Wealthier Nation Loses",Table1[[#This Row],[Wealthier_Winner]]=0,"Tie",Table1[[#This Row],[Wealthier_Winner]]=1,"Wealthier Nation Wins")</f>
        <v>Wealthier Nation Wins</v>
      </c>
    </row>
    <row r="5799" spans="1:17" x14ac:dyDescent="0.2">
      <c r="A5799" s="1">
        <v>8404</v>
      </c>
      <c r="B5799" s="2">
        <v>44447</v>
      </c>
      <c r="C5799" s="7">
        <f>_xlfn.FLOOR.MATH(Table1[[#This Row],[year]],10)</f>
        <v>2020</v>
      </c>
      <c r="D5799" t="s">
        <v>510</v>
      </c>
      <c r="E5799" t="s">
        <v>23</v>
      </c>
      <c r="F5799">
        <v>0</v>
      </c>
      <c r="G5799">
        <v>1</v>
      </c>
      <c r="H5799" t="s">
        <v>224</v>
      </c>
      <c r="I5799" t="s">
        <v>179</v>
      </c>
      <c r="J5799" t="s">
        <v>196</v>
      </c>
      <c r="K5799" t="b">
        <v>1</v>
      </c>
      <c r="L5799">
        <v>2021</v>
      </c>
      <c r="M5799">
        <v>69673747131</v>
      </c>
      <c r="N5799">
        <v>598522422241</v>
      </c>
      <c r="O5799" t="b">
        <v>1</v>
      </c>
      <c r="P5799">
        <v>1</v>
      </c>
      <c r="Q5799" t="str" cm="1">
        <f t="array" ref="Q5799">_xlfn.IFS(Table1[[#This Row],[Wealthier_Winner]]=-1,"Wealthier Nation Loses",Table1[[#This Row],[Wealthier_Winner]]=0,"Tie",Table1[[#This Row],[Wealthier_Winner]]=1,"Wealthier Nation Wins")</f>
        <v>Wealthier Nation Wins</v>
      </c>
    </row>
    <row r="5800" spans="1:17" x14ac:dyDescent="0.2">
      <c r="A5800" s="1">
        <v>8405</v>
      </c>
      <c r="B5800" s="2">
        <v>44447</v>
      </c>
      <c r="C5800" s="7">
        <f>_xlfn.FLOOR.MATH(Table1[[#This Row],[year]],10)</f>
        <v>2020</v>
      </c>
      <c r="D5800" t="s">
        <v>373</v>
      </c>
      <c r="E5800" t="s">
        <v>549</v>
      </c>
      <c r="F5800">
        <v>5</v>
      </c>
      <c r="G5800">
        <v>0</v>
      </c>
      <c r="H5800" t="s">
        <v>224</v>
      </c>
      <c r="I5800" t="s">
        <v>812</v>
      </c>
      <c r="J5800" t="s">
        <v>373</v>
      </c>
      <c r="K5800" t="b">
        <v>0</v>
      </c>
      <c r="L5800">
        <v>2021</v>
      </c>
      <c r="M5800">
        <v>18031989573</v>
      </c>
      <c r="N5800">
        <v>1855652786</v>
      </c>
      <c r="O5800" t="b">
        <v>1</v>
      </c>
      <c r="P5800">
        <v>1</v>
      </c>
      <c r="Q5800" t="str" cm="1">
        <f t="array" ref="Q5800">_xlfn.IFS(Table1[[#This Row],[Wealthier_Winner]]=-1,"Wealthier Nation Loses",Table1[[#This Row],[Wealthier_Winner]]=0,"Tie",Table1[[#This Row],[Wealthier_Winner]]=1,"Wealthier Nation Wins")</f>
        <v>Wealthier Nation Wins</v>
      </c>
    </row>
    <row r="5801" spans="1:17" x14ac:dyDescent="0.2">
      <c r="A5801" s="1">
        <v>8406</v>
      </c>
      <c r="B5801" s="2">
        <v>44447</v>
      </c>
      <c r="C5801" s="7">
        <f>_xlfn.FLOOR.MATH(Table1[[#This Row],[year]],10)</f>
        <v>2020</v>
      </c>
      <c r="D5801" t="s">
        <v>30</v>
      </c>
      <c r="E5801" t="s">
        <v>601</v>
      </c>
      <c r="F5801">
        <v>2</v>
      </c>
      <c r="G5801">
        <v>1</v>
      </c>
      <c r="H5801" t="s">
        <v>224</v>
      </c>
      <c r="I5801" t="s">
        <v>297</v>
      </c>
      <c r="J5801" t="s">
        <v>30</v>
      </c>
      <c r="K5801" t="b">
        <v>0</v>
      </c>
      <c r="L5801">
        <v>2021</v>
      </c>
      <c r="M5801">
        <v>183282685440</v>
      </c>
      <c r="N5801">
        <v>3324648075</v>
      </c>
      <c r="O5801" t="b">
        <v>1</v>
      </c>
      <c r="P5801">
        <v>1</v>
      </c>
      <c r="Q5801" t="str" cm="1">
        <f t="array" ref="Q5801">_xlfn.IFS(Table1[[#This Row],[Wealthier_Winner]]=-1,"Wealthier Nation Loses",Table1[[#This Row],[Wealthier_Winner]]=0,"Tie",Table1[[#This Row],[Wealthier_Winner]]=1,"Wealthier Nation Wins")</f>
        <v>Wealthier Nation Wins</v>
      </c>
    </row>
    <row r="5802" spans="1:17" x14ac:dyDescent="0.2">
      <c r="A5802" s="1">
        <v>8407</v>
      </c>
      <c r="B5802" s="2">
        <v>44447</v>
      </c>
      <c r="C5802" s="7">
        <f>_xlfn.FLOOR.MATH(Table1[[#This Row],[year]],10)</f>
        <v>2020</v>
      </c>
      <c r="D5802" t="s">
        <v>58</v>
      </c>
      <c r="E5802" t="s">
        <v>194</v>
      </c>
      <c r="F5802">
        <v>1</v>
      </c>
      <c r="G5802">
        <v>1</v>
      </c>
      <c r="H5802" t="s">
        <v>224</v>
      </c>
      <c r="I5802" t="s">
        <v>619</v>
      </c>
      <c r="J5802" t="s">
        <v>58</v>
      </c>
      <c r="K5802" t="b">
        <v>0</v>
      </c>
      <c r="L5802">
        <v>2021</v>
      </c>
      <c r="M5802">
        <v>689170230665</v>
      </c>
      <c r="N5802">
        <v>3194559188925</v>
      </c>
      <c r="O5802" t="b">
        <v>1</v>
      </c>
      <c r="P5802">
        <v>0</v>
      </c>
      <c r="Q5802" t="str" cm="1">
        <f t="array" ref="Q5802">_xlfn.IFS(Table1[[#This Row],[Wealthier_Winner]]=-1,"Wealthier Nation Loses",Table1[[#This Row],[Wealthier_Winner]]=0,"Tie",Table1[[#This Row],[Wealthier_Winner]]=1,"Wealthier Nation Wins")</f>
        <v>Tie</v>
      </c>
    </row>
    <row r="5803" spans="1:17" x14ac:dyDescent="0.2">
      <c r="A5803" s="1">
        <v>8408</v>
      </c>
      <c r="B5803" s="2">
        <v>44447</v>
      </c>
      <c r="C5803" s="7">
        <f>_xlfn.FLOOR.MATH(Table1[[#This Row],[year]],10)</f>
        <v>2020</v>
      </c>
      <c r="D5803" t="s">
        <v>66</v>
      </c>
      <c r="E5803" t="s">
        <v>16</v>
      </c>
      <c r="F5803">
        <v>0</v>
      </c>
      <c r="G5803">
        <v>4</v>
      </c>
      <c r="H5803" t="s">
        <v>224</v>
      </c>
      <c r="I5803" t="s">
        <v>336</v>
      </c>
      <c r="J5803" t="s">
        <v>66</v>
      </c>
      <c r="K5803" t="b">
        <v>0</v>
      </c>
      <c r="L5803">
        <v>2021</v>
      </c>
      <c r="M5803">
        <v>26234872402</v>
      </c>
      <c r="N5803">
        <v>4355251953410</v>
      </c>
      <c r="O5803" t="b">
        <v>1</v>
      </c>
      <c r="P5803">
        <v>1</v>
      </c>
      <c r="Q5803" t="str" cm="1">
        <f t="array" ref="Q5803">_xlfn.IFS(Table1[[#This Row],[Wealthier_Winner]]=-1,"Wealthier Nation Loses",Table1[[#This Row],[Wealthier_Winner]]=0,"Tie",Table1[[#This Row],[Wealthier_Winner]]=1,"Wealthier Nation Wins")</f>
        <v>Wealthier Nation Wins</v>
      </c>
    </row>
    <row r="5804" spans="1:17" x14ac:dyDescent="0.2">
      <c r="A5804" s="1">
        <v>8409</v>
      </c>
      <c r="B5804" s="2">
        <v>44447</v>
      </c>
      <c r="C5804" s="7">
        <f>_xlfn.FLOOR.MATH(Table1[[#This Row],[year]],10)</f>
        <v>2020</v>
      </c>
      <c r="D5804" t="s">
        <v>519</v>
      </c>
      <c r="E5804" t="s">
        <v>503</v>
      </c>
      <c r="F5804">
        <v>1</v>
      </c>
      <c r="G5804">
        <v>1</v>
      </c>
      <c r="H5804" t="s">
        <v>224</v>
      </c>
      <c r="I5804" t="s">
        <v>520</v>
      </c>
      <c r="J5804" t="s">
        <v>519</v>
      </c>
      <c r="K5804" t="b">
        <v>0</v>
      </c>
      <c r="L5804">
        <v>2021</v>
      </c>
      <c r="M5804">
        <v>13878908628</v>
      </c>
      <c r="N5804">
        <v>7912602342</v>
      </c>
      <c r="O5804" t="b">
        <v>0</v>
      </c>
      <c r="P5804">
        <v>0</v>
      </c>
      <c r="Q5804" t="str" cm="1">
        <f t="array" ref="Q5804">_xlfn.IFS(Table1[[#This Row],[Wealthier_Winner]]=-1,"Wealthier Nation Loses",Table1[[#This Row],[Wealthier_Winner]]=0,"Tie",Table1[[#This Row],[Wealthier_Winner]]=1,"Wealthier Nation Wins")</f>
        <v>Tie</v>
      </c>
    </row>
    <row r="5805" spans="1:17" x14ac:dyDescent="0.2">
      <c r="A5805" s="1">
        <v>8410</v>
      </c>
      <c r="B5805" s="2">
        <v>44447</v>
      </c>
      <c r="C5805" s="7">
        <f>_xlfn.FLOOR.MATH(Table1[[#This Row],[year]],10)</f>
        <v>2020</v>
      </c>
      <c r="D5805" t="s">
        <v>502</v>
      </c>
      <c r="E5805" t="s">
        <v>44</v>
      </c>
      <c r="F5805">
        <v>0</v>
      </c>
      <c r="G5805">
        <v>0</v>
      </c>
      <c r="H5805" t="s">
        <v>224</v>
      </c>
      <c r="I5805" t="s">
        <v>504</v>
      </c>
      <c r="J5805" t="s">
        <v>502</v>
      </c>
      <c r="K5805" t="b">
        <v>0</v>
      </c>
      <c r="L5805">
        <v>2021</v>
      </c>
      <c r="M5805">
        <v>14000283827</v>
      </c>
      <c r="N5805">
        <v>285071280114</v>
      </c>
      <c r="O5805" t="b">
        <v>1</v>
      </c>
      <c r="P5805">
        <v>0</v>
      </c>
      <c r="Q5805" t="str" cm="1">
        <f t="array" ref="Q5805">_xlfn.IFS(Table1[[#This Row],[Wealthier_Winner]]=-1,"Wealthier Nation Loses",Table1[[#This Row],[Wealthier_Winner]]=0,"Tie",Table1[[#This Row],[Wealthier_Winner]]=1,"Wealthier Nation Wins")</f>
        <v>Tie</v>
      </c>
    </row>
    <row r="5806" spans="1:17" x14ac:dyDescent="0.2">
      <c r="A5806" s="1">
        <v>8411</v>
      </c>
      <c r="B5806" s="2">
        <v>44447</v>
      </c>
      <c r="C5806" s="7">
        <f>_xlfn.FLOOR.MATH(Table1[[#This Row],[year]],10)</f>
        <v>2020</v>
      </c>
      <c r="D5806" t="s">
        <v>56</v>
      </c>
      <c r="E5806" t="s">
        <v>49</v>
      </c>
      <c r="F5806">
        <v>1</v>
      </c>
      <c r="G5806">
        <v>1</v>
      </c>
      <c r="H5806" t="s">
        <v>224</v>
      </c>
      <c r="I5806" t="s">
        <v>225</v>
      </c>
      <c r="J5806" t="s">
        <v>56</v>
      </c>
      <c r="K5806" t="b">
        <v>0</v>
      </c>
      <c r="L5806">
        <v>2021</v>
      </c>
      <c r="M5806">
        <v>64960725734</v>
      </c>
      <c r="N5806">
        <v>15963885376</v>
      </c>
      <c r="O5806" t="b">
        <v>1</v>
      </c>
      <c r="P5806">
        <v>0</v>
      </c>
      <c r="Q5806" t="str" cm="1">
        <f t="array" ref="Q5806">_xlfn.IFS(Table1[[#This Row],[Wealthier_Winner]]=-1,"Wealthier Nation Loses",Table1[[#This Row],[Wealthier_Winner]]=0,"Tie",Table1[[#This Row],[Wealthier_Winner]]=1,"Wealthier Nation Wins")</f>
        <v>Tie</v>
      </c>
    </row>
    <row r="5807" spans="1:17" x14ac:dyDescent="0.2">
      <c r="A5807" s="1">
        <v>8412</v>
      </c>
      <c r="B5807" s="2">
        <v>44447</v>
      </c>
      <c r="C5807" s="7">
        <f>_xlfn.FLOOR.MATH(Table1[[#This Row],[year]],10)</f>
        <v>2020</v>
      </c>
      <c r="D5807" t="s">
        <v>67</v>
      </c>
      <c r="E5807" t="s">
        <v>17</v>
      </c>
      <c r="F5807">
        <v>1</v>
      </c>
      <c r="G5807">
        <v>1</v>
      </c>
      <c r="H5807" t="s">
        <v>224</v>
      </c>
      <c r="I5807" t="s">
        <v>455</v>
      </c>
      <c r="J5807" t="s">
        <v>67</v>
      </c>
      <c r="K5807" t="b">
        <v>0</v>
      </c>
      <c r="L5807">
        <v>2021</v>
      </c>
      <c r="M5807">
        <v>67396392506</v>
      </c>
      <c r="N5807">
        <v>1316569466685</v>
      </c>
      <c r="O5807" t="b">
        <v>1</v>
      </c>
      <c r="P5807">
        <v>0</v>
      </c>
      <c r="Q5807" t="str" cm="1">
        <f t="array" ref="Q5807">_xlfn.IFS(Table1[[#This Row],[Wealthier_Winner]]=-1,"Wealthier Nation Loses",Table1[[#This Row],[Wealthier_Winner]]=0,"Tie",Table1[[#This Row],[Wealthier_Winner]]=1,"Wealthier Nation Wins")</f>
        <v>Tie</v>
      </c>
    </row>
    <row r="5808" spans="1:17" x14ac:dyDescent="0.2">
      <c r="A5808" s="1">
        <v>8413</v>
      </c>
      <c r="B5808" s="2">
        <v>44447</v>
      </c>
      <c r="C5808" s="7">
        <f>_xlfn.FLOOR.MATH(Table1[[#This Row],[year]],10)</f>
        <v>2020</v>
      </c>
      <c r="D5808" t="s">
        <v>34</v>
      </c>
      <c r="E5808" t="s">
        <v>69</v>
      </c>
      <c r="F5808">
        <v>3</v>
      </c>
      <c r="G5808">
        <v>0</v>
      </c>
      <c r="H5808" t="s">
        <v>224</v>
      </c>
      <c r="I5808" t="s">
        <v>267</v>
      </c>
      <c r="J5808" t="s">
        <v>34</v>
      </c>
      <c r="K5808" t="b">
        <v>0</v>
      </c>
      <c r="L5808">
        <v>2021</v>
      </c>
      <c r="M5808">
        <v>2022378748423</v>
      </c>
      <c r="N5808">
        <v>29043140000</v>
      </c>
      <c r="O5808" t="b">
        <v>1</v>
      </c>
      <c r="P5808">
        <v>1</v>
      </c>
      <c r="Q5808" t="str" cm="1">
        <f t="array" ref="Q5808">_xlfn.IFS(Table1[[#This Row],[Wealthier_Winner]]=-1,"Wealthier Nation Loses",Table1[[#This Row],[Wealthier_Winner]]=0,"Tie",Table1[[#This Row],[Wealthier_Winner]]=1,"Wealthier Nation Wins")</f>
        <v>Wealthier Nation Wins</v>
      </c>
    </row>
    <row r="5809" spans="1:17" x14ac:dyDescent="0.2">
      <c r="A5809" s="1">
        <v>8414</v>
      </c>
      <c r="B5809" s="2">
        <v>44447</v>
      </c>
      <c r="C5809" s="7">
        <f>_xlfn.FLOOR.MATH(Table1[[#This Row],[year]],10)</f>
        <v>2020</v>
      </c>
      <c r="D5809" t="s">
        <v>65</v>
      </c>
      <c r="E5809" t="s">
        <v>41</v>
      </c>
      <c r="F5809">
        <v>1</v>
      </c>
      <c r="G5809">
        <v>4</v>
      </c>
      <c r="H5809" t="s">
        <v>224</v>
      </c>
      <c r="I5809" t="s">
        <v>254</v>
      </c>
      <c r="J5809" t="s">
        <v>65</v>
      </c>
      <c r="K5809" t="b">
        <v>0</v>
      </c>
      <c r="L5809">
        <v>2021</v>
      </c>
      <c r="M5809">
        <v>28144331506</v>
      </c>
      <c r="N5809">
        <v>23315080560000</v>
      </c>
      <c r="O5809" t="b">
        <v>1</v>
      </c>
      <c r="P5809">
        <v>1</v>
      </c>
      <c r="Q5809" t="str" cm="1">
        <f t="array" ref="Q5809">_xlfn.IFS(Table1[[#This Row],[Wealthier_Winner]]=-1,"Wealthier Nation Loses",Table1[[#This Row],[Wealthier_Winner]]=0,"Tie",Table1[[#This Row],[Wealthier_Winner]]=1,"Wealthier Nation Wins")</f>
        <v>Wealthier Nation Wins</v>
      </c>
    </row>
    <row r="5810" spans="1:17" x14ac:dyDescent="0.2">
      <c r="A5810" s="1">
        <v>8415</v>
      </c>
      <c r="B5810" s="2">
        <v>44448</v>
      </c>
      <c r="C5810" s="7">
        <f>_xlfn.FLOOR.MATH(Table1[[#This Row],[year]],10)</f>
        <v>2020</v>
      </c>
      <c r="D5810" t="s">
        <v>15</v>
      </c>
      <c r="E5810" t="s">
        <v>14</v>
      </c>
      <c r="F5810">
        <v>3</v>
      </c>
      <c r="G5810">
        <v>1</v>
      </c>
      <c r="H5810" t="s">
        <v>224</v>
      </c>
      <c r="I5810" t="s">
        <v>261</v>
      </c>
      <c r="J5810" t="s">
        <v>15</v>
      </c>
      <c r="K5810" t="b">
        <v>0</v>
      </c>
      <c r="L5810">
        <v>2021</v>
      </c>
      <c r="M5810">
        <v>318524633225</v>
      </c>
      <c r="N5810">
        <v>315325547162</v>
      </c>
      <c r="O5810" t="b">
        <v>0</v>
      </c>
      <c r="P5810">
        <v>1</v>
      </c>
      <c r="Q5810" t="str" cm="1">
        <f t="array" ref="Q5810">_xlfn.IFS(Table1[[#This Row],[Wealthier_Winner]]=-1,"Wealthier Nation Loses",Table1[[#This Row],[Wealthier_Winner]]=0,"Tie",Table1[[#This Row],[Wealthier_Winner]]=1,"Wealthier Nation Wins")</f>
        <v>Wealthier Nation Wins</v>
      </c>
    </row>
    <row r="5811" spans="1:17" x14ac:dyDescent="0.2">
      <c r="A5811" s="1">
        <v>8416</v>
      </c>
      <c r="B5811" s="2">
        <v>44448</v>
      </c>
      <c r="C5811" s="7">
        <f>_xlfn.FLOOR.MATH(Table1[[#This Row],[year]],10)</f>
        <v>2020</v>
      </c>
      <c r="D5811" t="s">
        <v>35</v>
      </c>
      <c r="E5811" t="s">
        <v>258</v>
      </c>
      <c r="F5811">
        <v>2</v>
      </c>
      <c r="G5811">
        <v>1</v>
      </c>
      <c r="H5811" t="s">
        <v>224</v>
      </c>
      <c r="I5811" t="s">
        <v>250</v>
      </c>
      <c r="J5811" t="s">
        <v>35</v>
      </c>
      <c r="K5811" t="b">
        <v>0</v>
      </c>
      <c r="L5811">
        <v>2021</v>
      </c>
      <c r="M5811">
        <v>39950899938</v>
      </c>
      <c r="N5811">
        <v>56614976854</v>
      </c>
      <c r="O5811" t="b">
        <v>0</v>
      </c>
      <c r="P5811">
        <v>-1</v>
      </c>
      <c r="Q5811" t="str" cm="1">
        <f t="array" ref="Q5811">_xlfn.IFS(Table1[[#This Row],[Wealthier_Winner]]=-1,"Wealthier Nation Loses",Table1[[#This Row],[Wealthier_Winner]]=0,"Tie",Table1[[#This Row],[Wealthier_Winner]]=1,"Wealthier Nation Wins")</f>
        <v>Wealthier Nation Loses</v>
      </c>
    </row>
    <row r="5812" spans="1:17" x14ac:dyDescent="0.2">
      <c r="A5812" s="1">
        <v>8417</v>
      </c>
      <c r="B5812" s="2">
        <v>44448</v>
      </c>
      <c r="C5812" s="7">
        <f>_xlfn.FLOOR.MATH(Table1[[#This Row],[year]],10)</f>
        <v>2020</v>
      </c>
      <c r="D5812" t="s">
        <v>26</v>
      </c>
      <c r="E5812" t="s">
        <v>57</v>
      </c>
      <c r="F5812">
        <v>1</v>
      </c>
      <c r="G5812">
        <v>0</v>
      </c>
      <c r="H5812" t="s">
        <v>224</v>
      </c>
      <c r="I5812" t="s">
        <v>247</v>
      </c>
      <c r="J5812" t="s">
        <v>26</v>
      </c>
      <c r="K5812" t="b">
        <v>0</v>
      </c>
      <c r="L5812">
        <v>2021</v>
      </c>
      <c r="M5812">
        <v>60739084240</v>
      </c>
      <c r="N5812">
        <v>107179074000</v>
      </c>
      <c r="O5812" t="b">
        <v>0</v>
      </c>
      <c r="P5812">
        <v>-1</v>
      </c>
      <c r="Q5812" t="str" cm="1">
        <f t="array" ref="Q5812">_xlfn.IFS(Table1[[#This Row],[Wealthier_Winner]]=-1,"Wealthier Nation Loses",Table1[[#This Row],[Wealthier_Winner]]=0,"Tie",Table1[[#This Row],[Wealthier_Winner]]=1,"Wealthier Nation Wins")</f>
        <v>Wealthier Nation Loses</v>
      </c>
    </row>
    <row r="5813" spans="1:17" x14ac:dyDescent="0.2">
      <c r="A5813" s="1">
        <v>8418</v>
      </c>
      <c r="B5813" s="2">
        <v>44448</v>
      </c>
      <c r="C5813" s="7">
        <f>_xlfn.FLOOR.MATH(Table1[[#This Row],[year]],10)</f>
        <v>2020</v>
      </c>
      <c r="D5813" t="s">
        <v>19</v>
      </c>
      <c r="E5813" t="s">
        <v>47</v>
      </c>
      <c r="F5813">
        <v>3</v>
      </c>
      <c r="G5813">
        <v>0</v>
      </c>
      <c r="H5813" t="s">
        <v>224</v>
      </c>
      <c r="I5813" t="s">
        <v>93</v>
      </c>
      <c r="J5813" t="s">
        <v>19</v>
      </c>
      <c r="K5813" t="b">
        <v>0</v>
      </c>
      <c r="L5813">
        <v>2021</v>
      </c>
      <c r="M5813">
        <v>486564085480</v>
      </c>
      <c r="N5813">
        <v>47877892402</v>
      </c>
      <c r="O5813" t="b">
        <v>1</v>
      </c>
      <c r="P5813">
        <v>1</v>
      </c>
      <c r="Q5813" t="str" cm="1">
        <f t="array" ref="Q5813">_xlfn.IFS(Table1[[#This Row],[Wealthier_Winner]]=-1,"Wealthier Nation Loses",Table1[[#This Row],[Wealthier_Winner]]=0,"Tie",Table1[[#This Row],[Wealthier_Winner]]=1,"Wealthier Nation Wins")</f>
        <v>Wealthier Nation Wins</v>
      </c>
    </row>
    <row r="5814" spans="1:17" x14ac:dyDescent="0.2">
      <c r="A5814" s="1">
        <v>8419</v>
      </c>
      <c r="B5814" s="2">
        <v>44448</v>
      </c>
      <c r="C5814" s="7">
        <f>_xlfn.FLOOR.MATH(Table1[[#This Row],[year]],10)</f>
        <v>2020</v>
      </c>
      <c r="D5814" t="s">
        <v>13</v>
      </c>
      <c r="E5814" t="s">
        <v>31</v>
      </c>
      <c r="F5814">
        <v>2</v>
      </c>
      <c r="G5814">
        <v>0</v>
      </c>
      <c r="H5814" t="s">
        <v>224</v>
      </c>
      <c r="I5814" t="s">
        <v>177</v>
      </c>
      <c r="J5814" t="s">
        <v>13</v>
      </c>
      <c r="K5814" t="b">
        <v>0</v>
      </c>
      <c r="L5814">
        <v>2021</v>
      </c>
      <c r="M5814">
        <v>1670647464062</v>
      </c>
      <c r="N5814">
        <v>226328766459</v>
      </c>
      <c r="O5814" t="b">
        <v>1</v>
      </c>
      <c r="P5814">
        <v>1</v>
      </c>
      <c r="Q5814" t="str" cm="1">
        <f t="array" ref="Q5814">_xlfn.IFS(Table1[[#This Row],[Wealthier_Winner]]=-1,"Wealthier Nation Loses",Table1[[#This Row],[Wealthier_Winner]]=0,"Tie",Table1[[#This Row],[Wealthier_Winner]]=1,"Wealthier Nation Wins")</f>
        <v>Wealthier Nation Wins</v>
      </c>
    </row>
    <row r="5815" spans="1:17" x14ac:dyDescent="0.2">
      <c r="A5815" s="1">
        <v>8420</v>
      </c>
      <c r="B5815" s="2">
        <v>44475</v>
      </c>
      <c r="C5815" s="7">
        <f>_xlfn.FLOOR.MATH(Table1[[#This Row],[year]],10)</f>
        <v>2020</v>
      </c>
      <c r="D5815" t="s">
        <v>274</v>
      </c>
      <c r="E5815" t="s">
        <v>305</v>
      </c>
      <c r="F5815">
        <v>1</v>
      </c>
      <c r="G5815">
        <v>1</v>
      </c>
      <c r="H5815" t="s">
        <v>224</v>
      </c>
      <c r="I5815" t="s">
        <v>761</v>
      </c>
      <c r="J5815" t="s">
        <v>24</v>
      </c>
      <c r="K5815" t="b">
        <v>1</v>
      </c>
      <c r="L5815">
        <v>2021</v>
      </c>
      <c r="M5815">
        <v>34229513774</v>
      </c>
      <c r="N5815">
        <v>17069115737</v>
      </c>
      <c r="O5815" t="b">
        <v>1</v>
      </c>
      <c r="P5815">
        <v>0</v>
      </c>
      <c r="Q5815" t="str" cm="1">
        <f t="array" ref="Q5815">_xlfn.IFS(Table1[[#This Row],[Wealthier_Winner]]=-1,"Wealthier Nation Loses",Table1[[#This Row],[Wealthier_Winner]]=0,"Tie",Table1[[#This Row],[Wealthier_Winner]]=1,"Wealthier Nation Wins")</f>
        <v>Tie</v>
      </c>
    </row>
    <row r="5816" spans="1:17" x14ac:dyDescent="0.2">
      <c r="A5816" s="1">
        <v>8421</v>
      </c>
      <c r="B5816" s="2">
        <v>44475</v>
      </c>
      <c r="C5816" s="7">
        <f>_xlfn.FLOOR.MATH(Table1[[#This Row],[year]],10)</f>
        <v>2020</v>
      </c>
      <c r="D5816" t="s">
        <v>24</v>
      </c>
      <c r="E5816" t="s">
        <v>508</v>
      </c>
      <c r="F5816">
        <v>5</v>
      </c>
      <c r="G5816">
        <v>0</v>
      </c>
      <c r="H5816" t="s">
        <v>224</v>
      </c>
      <c r="I5816" t="s">
        <v>319</v>
      </c>
      <c r="J5816" t="s">
        <v>24</v>
      </c>
      <c r="K5816" t="b">
        <v>0</v>
      </c>
      <c r="L5816">
        <v>2021</v>
      </c>
      <c r="M5816">
        <v>142022058447</v>
      </c>
      <c r="N5816">
        <v>1908094558</v>
      </c>
      <c r="O5816" t="b">
        <v>1</v>
      </c>
      <c r="P5816">
        <v>1</v>
      </c>
      <c r="Q5816" t="str" cm="1">
        <f t="array" ref="Q5816">_xlfn.IFS(Table1[[#This Row],[Wealthier_Winner]]=-1,"Wealthier Nation Loses",Table1[[#This Row],[Wealthier_Winner]]=0,"Tie",Table1[[#This Row],[Wealthier_Winner]]=1,"Wealthier Nation Wins")</f>
        <v>Wealthier Nation Wins</v>
      </c>
    </row>
    <row r="5817" spans="1:17" x14ac:dyDescent="0.2">
      <c r="A5817" s="1">
        <v>8422</v>
      </c>
      <c r="B5817" s="2">
        <v>44476</v>
      </c>
      <c r="C5817" s="7">
        <f>_xlfn.FLOOR.MATH(Table1[[#This Row],[year]],10)</f>
        <v>2020</v>
      </c>
      <c r="D5817" t="s">
        <v>37</v>
      </c>
      <c r="E5817" t="s">
        <v>479</v>
      </c>
      <c r="F5817">
        <v>0</v>
      </c>
      <c r="G5817">
        <v>0</v>
      </c>
      <c r="H5817" t="s">
        <v>224</v>
      </c>
      <c r="I5817" t="s">
        <v>190</v>
      </c>
      <c r="J5817" t="s">
        <v>68</v>
      </c>
      <c r="K5817" t="b">
        <v>1</v>
      </c>
      <c r="L5817">
        <v>2021</v>
      </c>
      <c r="M5817">
        <v>209691945713</v>
      </c>
      <c r="N5817">
        <v>23131941556</v>
      </c>
      <c r="O5817" t="b">
        <v>1</v>
      </c>
      <c r="P5817">
        <v>0</v>
      </c>
      <c r="Q5817" t="str" cm="1">
        <f t="array" ref="Q5817">_xlfn.IFS(Table1[[#This Row],[Wealthier_Winner]]=-1,"Wealthier Nation Loses",Table1[[#This Row],[Wealthier_Winner]]=0,"Tie",Table1[[#This Row],[Wealthier_Winner]]=1,"Wealthier Nation Wins")</f>
        <v>Tie</v>
      </c>
    </row>
    <row r="5818" spans="1:17" x14ac:dyDescent="0.2">
      <c r="A5818" s="1">
        <v>8423</v>
      </c>
      <c r="B5818" s="2">
        <v>44476</v>
      </c>
      <c r="C5818" s="7">
        <f>_xlfn.FLOOR.MATH(Table1[[#This Row],[year]],10)</f>
        <v>2020</v>
      </c>
      <c r="D5818" t="s">
        <v>195</v>
      </c>
      <c r="E5818" t="s">
        <v>331</v>
      </c>
      <c r="F5818">
        <v>2</v>
      </c>
      <c r="G5818">
        <v>1</v>
      </c>
      <c r="H5818" t="s">
        <v>224</v>
      </c>
      <c r="I5818" t="s">
        <v>801</v>
      </c>
      <c r="J5818" t="s">
        <v>195</v>
      </c>
      <c r="K5818" t="b">
        <v>0</v>
      </c>
      <c r="L5818">
        <v>2021</v>
      </c>
      <c r="M5818">
        <v>1942313560965</v>
      </c>
      <c r="N5818">
        <v>14353205678</v>
      </c>
      <c r="O5818" t="b">
        <v>1</v>
      </c>
      <c r="P5818">
        <v>1</v>
      </c>
      <c r="Q5818" t="str" cm="1">
        <f t="array" ref="Q5818">_xlfn.IFS(Table1[[#This Row],[Wealthier_Winner]]=-1,"Wealthier Nation Loses",Table1[[#This Row],[Wealthier_Winner]]=0,"Tie",Table1[[#This Row],[Wealthier_Winner]]=1,"Wealthier Nation Wins")</f>
        <v>Wealthier Nation Wins</v>
      </c>
    </row>
    <row r="5819" spans="1:17" x14ac:dyDescent="0.2">
      <c r="A5819" s="1">
        <v>8424</v>
      </c>
      <c r="B5819" s="2">
        <v>44476</v>
      </c>
      <c r="C5819" s="7">
        <f>_xlfn.FLOOR.MATH(Table1[[#This Row],[year]],10)</f>
        <v>2020</v>
      </c>
      <c r="D5819" t="s">
        <v>39</v>
      </c>
      <c r="E5819" t="s">
        <v>210</v>
      </c>
      <c r="F5819">
        <v>0</v>
      </c>
      <c r="G5819">
        <v>1</v>
      </c>
      <c r="H5819" t="s">
        <v>224</v>
      </c>
      <c r="I5819" t="s">
        <v>412</v>
      </c>
      <c r="J5819" t="s">
        <v>39</v>
      </c>
      <c r="K5819" t="b">
        <v>0</v>
      </c>
      <c r="L5819">
        <v>2021</v>
      </c>
      <c r="M5819">
        <v>422441388699</v>
      </c>
      <c r="N5819">
        <v>407350685583</v>
      </c>
      <c r="O5819" t="b">
        <v>0</v>
      </c>
      <c r="P5819">
        <v>-1</v>
      </c>
      <c r="Q5819" t="str" cm="1">
        <f t="array" ref="Q5819">_xlfn.IFS(Table1[[#This Row],[Wealthier_Winner]]=-1,"Wealthier Nation Loses",Table1[[#This Row],[Wealthier_Winner]]=0,"Tie",Table1[[#This Row],[Wealthier_Winner]]=1,"Wealthier Nation Wins")</f>
        <v>Wealthier Nation Loses</v>
      </c>
    </row>
    <row r="5820" spans="1:17" x14ac:dyDescent="0.2">
      <c r="A5820" s="1">
        <v>8425</v>
      </c>
      <c r="B5820" s="2">
        <v>44476</v>
      </c>
      <c r="C5820" s="7">
        <f>_xlfn.FLOOR.MATH(Table1[[#This Row],[year]],10)</f>
        <v>2020</v>
      </c>
      <c r="D5820" t="s">
        <v>45</v>
      </c>
      <c r="E5820" t="s">
        <v>51</v>
      </c>
      <c r="F5820">
        <v>1</v>
      </c>
      <c r="G5820">
        <v>0</v>
      </c>
      <c r="H5820" t="s">
        <v>224</v>
      </c>
      <c r="I5820" t="s">
        <v>354</v>
      </c>
      <c r="J5820" t="s">
        <v>45</v>
      </c>
      <c r="K5820" t="b">
        <v>0</v>
      </c>
      <c r="L5820">
        <v>2021</v>
      </c>
      <c r="M5820">
        <v>982661066666</v>
      </c>
      <c r="N5820">
        <v>5039148168861</v>
      </c>
      <c r="O5820" t="b">
        <v>1</v>
      </c>
      <c r="P5820">
        <v>-1</v>
      </c>
      <c r="Q5820" t="str" cm="1">
        <f t="array" ref="Q5820">_xlfn.IFS(Table1[[#This Row],[Wealthier_Winner]]=-1,"Wealthier Nation Loses",Table1[[#This Row],[Wealthier_Winner]]=0,"Tie",Table1[[#This Row],[Wealthier_Winner]]=1,"Wealthier Nation Wins")</f>
        <v>Wealthier Nation Loses</v>
      </c>
    </row>
    <row r="5821" spans="1:17" x14ac:dyDescent="0.2">
      <c r="A5821" s="1">
        <v>8427</v>
      </c>
      <c r="B5821" s="2">
        <v>44476</v>
      </c>
      <c r="C5821" s="7">
        <f>_xlfn.FLOOR.MATH(Table1[[#This Row],[year]],10)</f>
        <v>2020</v>
      </c>
      <c r="D5821" t="s">
        <v>28</v>
      </c>
      <c r="E5821" t="s">
        <v>429</v>
      </c>
      <c r="F5821">
        <v>3</v>
      </c>
      <c r="G5821">
        <v>1</v>
      </c>
      <c r="H5821" t="s">
        <v>224</v>
      </c>
      <c r="I5821" t="s">
        <v>190</v>
      </c>
      <c r="J5821" t="s">
        <v>68</v>
      </c>
      <c r="K5821" t="b">
        <v>1</v>
      </c>
      <c r="L5821">
        <v>2021</v>
      </c>
      <c r="M5821">
        <v>1560617493202</v>
      </c>
      <c r="N5821">
        <v>87323797139</v>
      </c>
      <c r="O5821" t="b">
        <v>1</v>
      </c>
      <c r="P5821">
        <v>1</v>
      </c>
      <c r="Q5821" t="str" cm="1">
        <f t="array" ref="Q5821">_xlfn.IFS(Table1[[#This Row],[Wealthier_Winner]]=-1,"Wealthier Nation Loses",Table1[[#This Row],[Wealthier_Winner]]=0,"Tie",Table1[[#This Row],[Wealthier_Winner]]=1,"Wealthier Nation Wins")</f>
        <v>Wealthier Nation Wins</v>
      </c>
    </row>
    <row r="5822" spans="1:17" x14ac:dyDescent="0.2">
      <c r="A5822" s="1">
        <v>8428</v>
      </c>
      <c r="B5822" s="2">
        <v>44476</v>
      </c>
      <c r="C5822" s="7">
        <f>_xlfn.FLOOR.MATH(Table1[[#This Row],[year]],10)</f>
        <v>2020</v>
      </c>
      <c r="D5822" t="s">
        <v>65</v>
      </c>
      <c r="E5822" t="s">
        <v>56</v>
      </c>
      <c r="F5822">
        <v>0</v>
      </c>
      <c r="G5822">
        <v>0</v>
      </c>
      <c r="H5822" t="s">
        <v>224</v>
      </c>
      <c r="I5822" t="s">
        <v>254</v>
      </c>
      <c r="J5822" t="s">
        <v>65</v>
      </c>
      <c r="K5822" t="b">
        <v>0</v>
      </c>
      <c r="L5822">
        <v>2021</v>
      </c>
      <c r="M5822">
        <v>28144331506</v>
      </c>
      <c r="N5822">
        <v>64960725734</v>
      </c>
      <c r="O5822" t="b">
        <v>1</v>
      </c>
      <c r="P5822">
        <v>0</v>
      </c>
      <c r="Q5822" t="str" cm="1">
        <f t="array" ref="Q5822">_xlfn.IFS(Table1[[#This Row],[Wealthier_Winner]]=-1,"Wealthier Nation Loses",Table1[[#This Row],[Wealthier_Winner]]=0,"Tie",Table1[[#This Row],[Wealthier_Winner]]=1,"Wealthier Nation Wins")</f>
        <v>Tie</v>
      </c>
    </row>
    <row r="5823" spans="1:17" x14ac:dyDescent="0.2">
      <c r="A5823" s="1">
        <v>8429</v>
      </c>
      <c r="B5823" s="2">
        <v>44476</v>
      </c>
      <c r="C5823" s="7">
        <f>_xlfn.FLOOR.MATH(Table1[[#This Row],[year]],10)</f>
        <v>2020</v>
      </c>
      <c r="D5823" t="s">
        <v>41</v>
      </c>
      <c r="E5823" t="s">
        <v>49</v>
      </c>
      <c r="F5823">
        <v>2</v>
      </c>
      <c r="G5823">
        <v>0</v>
      </c>
      <c r="H5823" t="s">
        <v>224</v>
      </c>
      <c r="I5823" t="s">
        <v>861</v>
      </c>
      <c r="J5823" t="s">
        <v>41</v>
      </c>
      <c r="K5823" t="b">
        <v>0</v>
      </c>
      <c r="L5823">
        <v>2021</v>
      </c>
      <c r="M5823">
        <v>23315080560000</v>
      </c>
      <c r="N5823">
        <v>15963885376</v>
      </c>
      <c r="O5823" t="b">
        <v>1</v>
      </c>
      <c r="P5823">
        <v>1</v>
      </c>
      <c r="Q5823" t="str" cm="1">
        <f t="array" ref="Q5823">_xlfn.IFS(Table1[[#This Row],[Wealthier_Winner]]=-1,"Wealthier Nation Loses",Table1[[#This Row],[Wealthier_Winner]]=0,"Tie",Table1[[#This Row],[Wealthier_Winner]]=1,"Wealthier Nation Wins")</f>
        <v>Wealthier Nation Wins</v>
      </c>
    </row>
    <row r="5824" spans="1:17" x14ac:dyDescent="0.2">
      <c r="A5824" s="1">
        <v>8430</v>
      </c>
      <c r="B5824" s="2">
        <v>44476</v>
      </c>
      <c r="C5824" s="7">
        <f>_xlfn.FLOOR.MATH(Table1[[#This Row],[year]],10)</f>
        <v>2020</v>
      </c>
      <c r="D5824" t="s">
        <v>69</v>
      </c>
      <c r="E5824" t="s">
        <v>67</v>
      </c>
      <c r="F5824">
        <v>1</v>
      </c>
      <c r="G5824">
        <v>0</v>
      </c>
      <c r="H5824" t="s">
        <v>224</v>
      </c>
      <c r="I5824" t="s">
        <v>281</v>
      </c>
      <c r="J5824" t="s">
        <v>69</v>
      </c>
      <c r="K5824" t="b">
        <v>0</v>
      </c>
      <c r="L5824">
        <v>2021</v>
      </c>
      <c r="M5824">
        <v>29043140000</v>
      </c>
      <c r="N5824">
        <v>67396392506</v>
      </c>
      <c r="O5824" t="b">
        <v>1</v>
      </c>
      <c r="P5824">
        <v>-1</v>
      </c>
      <c r="Q5824" t="str" cm="1">
        <f t="array" ref="Q5824">_xlfn.IFS(Table1[[#This Row],[Wealthier_Winner]]=-1,"Wealthier Nation Loses",Table1[[#This Row],[Wealthier_Winner]]=0,"Tie",Table1[[#This Row],[Wealthier_Winner]]=1,"Wealthier Nation Wins")</f>
        <v>Wealthier Nation Loses</v>
      </c>
    </row>
    <row r="5825" spans="1:17" x14ac:dyDescent="0.2">
      <c r="A5825" s="1">
        <v>8431</v>
      </c>
      <c r="B5825" s="2">
        <v>44476</v>
      </c>
      <c r="C5825" s="7">
        <f>_xlfn.FLOOR.MATH(Table1[[#This Row],[year]],10)</f>
        <v>2020</v>
      </c>
      <c r="D5825" t="s">
        <v>17</v>
      </c>
      <c r="E5825" t="s">
        <v>34</v>
      </c>
      <c r="F5825">
        <v>1</v>
      </c>
      <c r="G5825">
        <v>1</v>
      </c>
      <c r="H5825" t="s">
        <v>224</v>
      </c>
      <c r="I5825" t="s">
        <v>83</v>
      </c>
      <c r="J5825" t="s">
        <v>17</v>
      </c>
      <c r="K5825" t="b">
        <v>0</v>
      </c>
      <c r="L5825">
        <v>2021</v>
      </c>
      <c r="M5825">
        <v>1316569466685</v>
      </c>
      <c r="N5825">
        <v>2022378748423</v>
      </c>
      <c r="O5825" t="b">
        <v>0</v>
      </c>
      <c r="P5825">
        <v>0</v>
      </c>
      <c r="Q5825" t="str" cm="1">
        <f t="array" ref="Q5825">_xlfn.IFS(Table1[[#This Row],[Wealthier_Winner]]=-1,"Wealthier Nation Loses",Table1[[#This Row],[Wealthier_Winner]]=0,"Tie",Table1[[#This Row],[Wealthier_Winner]]=1,"Wealthier Nation Wins")</f>
        <v>Tie</v>
      </c>
    </row>
    <row r="5826" spans="1:17" x14ac:dyDescent="0.2">
      <c r="A5826" s="1">
        <v>8432</v>
      </c>
      <c r="B5826" s="2">
        <v>44476</v>
      </c>
      <c r="C5826" s="7">
        <f>_xlfn.FLOOR.MATH(Table1[[#This Row],[year]],10)</f>
        <v>2020</v>
      </c>
      <c r="D5826" t="s">
        <v>639</v>
      </c>
      <c r="E5826" t="s">
        <v>273</v>
      </c>
      <c r="F5826">
        <v>2</v>
      </c>
      <c r="G5826">
        <v>0</v>
      </c>
      <c r="H5826" t="s">
        <v>224</v>
      </c>
      <c r="I5826" t="s">
        <v>696</v>
      </c>
      <c r="J5826" t="s">
        <v>639</v>
      </c>
      <c r="K5826" t="b">
        <v>0</v>
      </c>
      <c r="L5826">
        <v>2021</v>
      </c>
      <c r="M5826">
        <v>12215878032</v>
      </c>
      <c r="N5826">
        <v>22096416932</v>
      </c>
      <c r="O5826" t="b">
        <v>0</v>
      </c>
      <c r="P5826">
        <v>-1</v>
      </c>
      <c r="Q5826" t="str" cm="1">
        <f t="array" ref="Q5826">_xlfn.IFS(Table1[[#This Row],[Wealthier_Winner]]=-1,"Wealthier Nation Loses",Table1[[#This Row],[Wealthier_Winner]]=0,"Tie",Table1[[#This Row],[Wealthier_Winner]]=1,"Wealthier Nation Wins")</f>
        <v>Wealthier Nation Loses</v>
      </c>
    </row>
    <row r="5827" spans="1:17" x14ac:dyDescent="0.2">
      <c r="A5827" s="1">
        <v>8433</v>
      </c>
      <c r="B5827" s="2">
        <v>44476</v>
      </c>
      <c r="C5827" s="7">
        <f>_xlfn.FLOOR.MATH(Table1[[#This Row],[year]],10)</f>
        <v>2020</v>
      </c>
      <c r="D5827" t="s">
        <v>53</v>
      </c>
      <c r="E5827" t="s">
        <v>346</v>
      </c>
      <c r="F5827">
        <v>3</v>
      </c>
      <c r="G5827">
        <v>0</v>
      </c>
      <c r="H5827" t="s">
        <v>224</v>
      </c>
      <c r="I5827" t="s">
        <v>658</v>
      </c>
      <c r="J5827" t="s">
        <v>53</v>
      </c>
      <c r="K5827" t="b">
        <v>0</v>
      </c>
      <c r="L5827">
        <v>2021</v>
      </c>
      <c r="M5827">
        <v>47073234359</v>
      </c>
      <c r="N5827">
        <v>9222536364</v>
      </c>
      <c r="O5827" t="b">
        <v>1</v>
      </c>
      <c r="P5827">
        <v>1</v>
      </c>
      <c r="Q5827" t="str" cm="1">
        <f t="array" ref="Q5827">_xlfn.IFS(Table1[[#This Row],[Wealthier_Winner]]=-1,"Wealthier Nation Loses",Table1[[#This Row],[Wealthier_Winner]]=0,"Tie",Table1[[#This Row],[Wealthier_Winner]]=1,"Wealthier Nation Wins")</f>
        <v>Wealthier Nation Wins</v>
      </c>
    </row>
    <row r="5828" spans="1:17" x14ac:dyDescent="0.2">
      <c r="A5828" s="1">
        <v>8435</v>
      </c>
      <c r="B5828" s="2">
        <v>44476</v>
      </c>
      <c r="C5828" s="7">
        <f>_xlfn.FLOOR.MATH(Table1[[#This Row],[year]],10)</f>
        <v>2020</v>
      </c>
      <c r="D5828" t="s">
        <v>43</v>
      </c>
      <c r="E5828" t="s">
        <v>581</v>
      </c>
      <c r="F5828">
        <v>0</v>
      </c>
      <c r="G5828">
        <v>1</v>
      </c>
      <c r="H5828" t="s">
        <v>224</v>
      </c>
      <c r="I5828" t="s">
        <v>229</v>
      </c>
      <c r="J5828" t="s">
        <v>43</v>
      </c>
      <c r="K5828" t="b">
        <v>0</v>
      </c>
      <c r="L5828">
        <v>2021</v>
      </c>
      <c r="M5828">
        <v>609147716972</v>
      </c>
      <c r="N5828">
        <v>2516498412</v>
      </c>
      <c r="O5828" t="b">
        <v>1</v>
      </c>
      <c r="P5828">
        <v>-1</v>
      </c>
      <c r="Q5828" t="str" cm="1">
        <f t="array" ref="Q5828">_xlfn.IFS(Table1[[#This Row],[Wealthier_Winner]]=-1,"Wealthier Nation Loses",Table1[[#This Row],[Wealthier_Winner]]=0,"Tie",Table1[[#This Row],[Wealthier_Winner]]=1,"Wealthier Nation Wins")</f>
        <v>Wealthier Nation Loses</v>
      </c>
    </row>
    <row r="5829" spans="1:17" x14ac:dyDescent="0.2">
      <c r="A5829" s="1">
        <v>8436</v>
      </c>
      <c r="B5829" s="2">
        <v>44476</v>
      </c>
      <c r="C5829" s="7">
        <f>_xlfn.FLOOR.MATH(Table1[[#This Row],[year]],10)</f>
        <v>2020</v>
      </c>
      <c r="D5829" t="s">
        <v>514</v>
      </c>
      <c r="E5829" t="s">
        <v>357</v>
      </c>
      <c r="F5829">
        <v>0</v>
      </c>
      <c r="G5829">
        <v>1</v>
      </c>
      <c r="H5829" t="s">
        <v>224</v>
      </c>
      <c r="I5829" t="s">
        <v>515</v>
      </c>
      <c r="J5829" t="s">
        <v>514</v>
      </c>
      <c r="K5829" t="b">
        <v>0</v>
      </c>
      <c r="L5829">
        <v>2021</v>
      </c>
      <c r="M5829">
        <v>11078787090</v>
      </c>
      <c r="N5829">
        <v>40529788748</v>
      </c>
      <c r="O5829" t="b">
        <v>1</v>
      </c>
      <c r="P5829">
        <v>1</v>
      </c>
      <c r="Q5829" t="str" cm="1">
        <f t="array" ref="Q5829">_xlfn.IFS(Table1[[#This Row],[Wealthier_Winner]]=-1,"Wealthier Nation Loses",Table1[[#This Row],[Wealthier_Winner]]=0,"Tie",Table1[[#This Row],[Wealthier_Winner]]=1,"Wealthier Nation Wins")</f>
        <v>Wealthier Nation Wins</v>
      </c>
    </row>
    <row r="5830" spans="1:17" x14ac:dyDescent="0.2">
      <c r="A5830" s="1">
        <v>8437</v>
      </c>
      <c r="B5830" s="2">
        <v>44476</v>
      </c>
      <c r="C5830" s="7">
        <f>_xlfn.FLOOR.MATH(Table1[[#This Row],[year]],10)</f>
        <v>2020</v>
      </c>
      <c r="D5830" t="s">
        <v>590</v>
      </c>
      <c r="E5830" t="s">
        <v>314</v>
      </c>
      <c r="F5830">
        <v>5</v>
      </c>
      <c r="G5830">
        <v>0</v>
      </c>
      <c r="H5830" t="s">
        <v>224</v>
      </c>
      <c r="I5830" t="s">
        <v>796</v>
      </c>
      <c r="J5830" t="s">
        <v>24</v>
      </c>
      <c r="K5830" t="b">
        <v>1</v>
      </c>
      <c r="L5830">
        <v>2021</v>
      </c>
      <c r="M5830">
        <v>22999245262</v>
      </c>
      <c r="N5830">
        <v>109703658904</v>
      </c>
      <c r="O5830" t="b">
        <v>1</v>
      </c>
      <c r="P5830">
        <v>-1</v>
      </c>
      <c r="Q5830" t="str" cm="1">
        <f t="array" ref="Q5830">_xlfn.IFS(Table1[[#This Row],[Wealthier_Winner]]=-1,"Wealthier Nation Loses",Table1[[#This Row],[Wealthier_Winner]]=0,"Tie",Table1[[#This Row],[Wealthier_Winner]]=1,"Wealthier Nation Wins")</f>
        <v>Wealthier Nation Loses</v>
      </c>
    </row>
    <row r="5831" spans="1:17" x14ac:dyDescent="0.2">
      <c r="A5831" s="1">
        <v>8439</v>
      </c>
      <c r="B5831" s="2">
        <v>44476</v>
      </c>
      <c r="C5831" s="7">
        <f>_xlfn.FLOOR.MATH(Table1[[#This Row],[year]],10)</f>
        <v>2020</v>
      </c>
      <c r="D5831" t="s">
        <v>320</v>
      </c>
      <c r="E5831" t="s">
        <v>310</v>
      </c>
      <c r="F5831">
        <v>0</v>
      </c>
      <c r="G5831">
        <v>1</v>
      </c>
      <c r="H5831" t="s">
        <v>224</v>
      </c>
      <c r="I5831" t="s">
        <v>321</v>
      </c>
      <c r="J5831" t="s">
        <v>320</v>
      </c>
      <c r="K5831" t="b">
        <v>0</v>
      </c>
      <c r="L5831">
        <v>2021</v>
      </c>
      <c r="M5831">
        <v>70655628147</v>
      </c>
      <c r="N5831">
        <v>17687623530</v>
      </c>
      <c r="O5831" t="b">
        <v>1</v>
      </c>
      <c r="P5831">
        <v>-1</v>
      </c>
      <c r="Q5831" t="str" cm="1">
        <f t="array" ref="Q5831">_xlfn.IFS(Table1[[#This Row],[Wealthier_Winner]]=-1,"Wealthier Nation Loses",Table1[[#This Row],[Wealthier_Winner]]=0,"Tie",Table1[[#This Row],[Wealthier_Winner]]=1,"Wealthier Nation Wins")</f>
        <v>Wealthier Nation Loses</v>
      </c>
    </row>
    <row r="5832" spans="1:17" x14ac:dyDescent="0.2">
      <c r="A5832" s="1">
        <v>8440</v>
      </c>
      <c r="B5832" s="2">
        <v>44476</v>
      </c>
      <c r="C5832" s="7">
        <f>_xlfn.FLOOR.MATH(Table1[[#This Row],[year]],10)</f>
        <v>2020</v>
      </c>
      <c r="D5832" t="s">
        <v>57</v>
      </c>
      <c r="E5832" t="s">
        <v>47</v>
      </c>
      <c r="F5832">
        <v>3</v>
      </c>
      <c r="G5832">
        <v>0</v>
      </c>
      <c r="H5832" t="s">
        <v>224</v>
      </c>
      <c r="I5832" t="s">
        <v>237</v>
      </c>
      <c r="J5832" t="s">
        <v>57</v>
      </c>
      <c r="K5832" t="b">
        <v>0</v>
      </c>
      <c r="L5832">
        <v>2021</v>
      </c>
      <c r="M5832">
        <v>107179074000</v>
      </c>
      <c r="N5832">
        <v>47877892402</v>
      </c>
      <c r="O5832" t="b">
        <v>1</v>
      </c>
      <c r="P5832">
        <v>1</v>
      </c>
      <c r="Q5832" t="str" cm="1">
        <f t="array" ref="Q5832">_xlfn.IFS(Table1[[#This Row],[Wealthier_Winner]]=-1,"Wealthier Nation Loses",Table1[[#This Row],[Wealthier_Winner]]=0,"Tie",Table1[[#This Row],[Wealthier_Winner]]=1,"Wealthier Nation Wins")</f>
        <v>Wealthier Nation Wins</v>
      </c>
    </row>
    <row r="5833" spans="1:17" x14ac:dyDescent="0.2">
      <c r="A5833" s="1">
        <v>8441</v>
      </c>
      <c r="B5833" s="2">
        <v>44476</v>
      </c>
      <c r="C5833" s="7">
        <f>_xlfn.FLOOR.MATH(Table1[[#This Row],[year]],10)</f>
        <v>2020</v>
      </c>
      <c r="D5833" t="s">
        <v>258</v>
      </c>
      <c r="E5833" t="s">
        <v>13</v>
      </c>
      <c r="F5833">
        <v>1</v>
      </c>
      <c r="G5833">
        <v>3</v>
      </c>
      <c r="H5833" t="s">
        <v>224</v>
      </c>
      <c r="I5833" t="s">
        <v>260</v>
      </c>
      <c r="J5833" t="s">
        <v>258</v>
      </c>
      <c r="K5833" t="b">
        <v>0</v>
      </c>
      <c r="L5833">
        <v>2021</v>
      </c>
      <c r="M5833">
        <v>56614976854</v>
      </c>
      <c r="N5833">
        <v>1670647464062</v>
      </c>
      <c r="O5833" t="b">
        <v>1</v>
      </c>
      <c r="P5833">
        <v>1</v>
      </c>
      <c r="Q5833" t="str" cm="1">
        <f t="array" ref="Q5833">_xlfn.IFS(Table1[[#This Row],[Wealthier_Winner]]=-1,"Wealthier Nation Loses",Table1[[#This Row],[Wealthier_Winner]]=0,"Tie",Table1[[#This Row],[Wealthier_Winner]]=1,"Wealthier Nation Wins")</f>
        <v>Wealthier Nation Wins</v>
      </c>
    </row>
    <row r="5834" spans="1:17" x14ac:dyDescent="0.2">
      <c r="A5834" s="1">
        <v>8442</v>
      </c>
      <c r="B5834" s="2">
        <v>44476</v>
      </c>
      <c r="C5834" s="7">
        <f>_xlfn.FLOOR.MATH(Table1[[#This Row],[year]],10)</f>
        <v>2020</v>
      </c>
      <c r="D5834" t="s">
        <v>35</v>
      </c>
      <c r="E5834" t="s">
        <v>19</v>
      </c>
      <c r="F5834">
        <v>0</v>
      </c>
      <c r="G5834">
        <v>0</v>
      </c>
      <c r="H5834" t="s">
        <v>224</v>
      </c>
      <c r="I5834" t="s">
        <v>250</v>
      </c>
      <c r="J5834" t="s">
        <v>35</v>
      </c>
      <c r="K5834" t="b">
        <v>0</v>
      </c>
      <c r="L5834">
        <v>2021</v>
      </c>
      <c r="M5834">
        <v>39950899938</v>
      </c>
      <c r="N5834">
        <v>486564085480</v>
      </c>
      <c r="O5834" t="b">
        <v>1</v>
      </c>
      <c r="P5834">
        <v>0</v>
      </c>
      <c r="Q5834" t="str" cm="1">
        <f t="array" ref="Q5834">_xlfn.IFS(Table1[[#This Row],[Wealthier_Winner]]=-1,"Wealthier Nation Loses",Table1[[#This Row],[Wealthier_Winner]]=0,"Tie",Table1[[#This Row],[Wealthier_Winner]]=1,"Wealthier Nation Wins")</f>
        <v>Tie</v>
      </c>
    </row>
    <row r="5835" spans="1:17" x14ac:dyDescent="0.2">
      <c r="A5835" s="1">
        <v>8443</v>
      </c>
      <c r="B5835" s="2">
        <v>44476</v>
      </c>
      <c r="C5835" s="7">
        <f>_xlfn.FLOOR.MATH(Table1[[#This Row],[year]],10)</f>
        <v>2020</v>
      </c>
      <c r="D5835" t="s">
        <v>31</v>
      </c>
      <c r="E5835" t="s">
        <v>14</v>
      </c>
      <c r="F5835">
        <v>2</v>
      </c>
      <c r="G5835">
        <v>0</v>
      </c>
      <c r="H5835" t="s">
        <v>224</v>
      </c>
      <c r="I5835" t="s">
        <v>242</v>
      </c>
      <c r="J5835" t="s">
        <v>31</v>
      </c>
      <c r="K5835" t="b">
        <v>0</v>
      </c>
      <c r="L5835">
        <v>2021</v>
      </c>
      <c r="M5835">
        <v>226328766459</v>
      </c>
      <c r="N5835">
        <v>315325547162</v>
      </c>
      <c r="O5835" t="b">
        <v>0</v>
      </c>
      <c r="P5835">
        <v>-1</v>
      </c>
      <c r="Q5835" t="str" cm="1">
        <f t="array" ref="Q5835">_xlfn.IFS(Table1[[#This Row],[Wealthier_Winner]]=-1,"Wealthier Nation Loses",Table1[[#This Row],[Wealthier_Winner]]=0,"Tie",Table1[[#This Row],[Wealthier_Winner]]=1,"Wealthier Nation Wins")</f>
        <v>Wealthier Nation Loses</v>
      </c>
    </row>
    <row r="5836" spans="1:17" x14ac:dyDescent="0.2">
      <c r="A5836" s="1">
        <v>8444</v>
      </c>
      <c r="B5836" s="2">
        <v>44476</v>
      </c>
      <c r="C5836" s="7">
        <f>_xlfn.FLOOR.MATH(Table1[[#This Row],[year]],10)</f>
        <v>2020</v>
      </c>
      <c r="D5836" t="s">
        <v>26</v>
      </c>
      <c r="E5836" t="s">
        <v>15</v>
      </c>
      <c r="F5836">
        <v>0</v>
      </c>
      <c r="G5836">
        <v>0</v>
      </c>
      <c r="H5836" t="s">
        <v>224</v>
      </c>
      <c r="I5836" t="s">
        <v>247</v>
      </c>
      <c r="J5836" t="s">
        <v>26</v>
      </c>
      <c r="K5836" t="b">
        <v>0</v>
      </c>
      <c r="L5836">
        <v>2021</v>
      </c>
      <c r="M5836">
        <v>60739084240</v>
      </c>
      <c r="N5836">
        <v>318524633225</v>
      </c>
      <c r="O5836" t="b">
        <v>1</v>
      </c>
      <c r="P5836">
        <v>0</v>
      </c>
      <c r="Q5836" t="str" cm="1">
        <f t="array" ref="Q5836">_xlfn.IFS(Table1[[#This Row],[Wealthier_Winner]]=-1,"Wealthier Nation Loses",Table1[[#This Row],[Wealthier_Winner]]=0,"Tie",Table1[[#This Row],[Wealthier_Winner]]=1,"Wealthier Nation Wins")</f>
        <v>Tie</v>
      </c>
    </row>
    <row r="5837" spans="1:17" x14ac:dyDescent="0.2">
      <c r="A5837" s="1">
        <v>8446</v>
      </c>
      <c r="B5837" s="2">
        <v>44477</v>
      </c>
      <c r="C5837" s="7">
        <f>_xlfn.FLOOR.MATH(Table1[[#This Row],[year]],10)</f>
        <v>2020</v>
      </c>
      <c r="D5837" t="s">
        <v>476</v>
      </c>
      <c r="E5837" t="s">
        <v>510</v>
      </c>
      <c r="F5837">
        <v>2</v>
      </c>
      <c r="G5837">
        <v>0</v>
      </c>
      <c r="H5837" t="s">
        <v>224</v>
      </c>
      <c r="I5837" t="s">
        <v>481</v>
      </c>
      <c r="J5837" t="s">
        <v>476</v>
      </c>
      <c r="K5837" t="b">
        <v>0</v>
      </c>
      <c r="L5837">
        <v>2021</v>
      </c>
      <c r="M5837">
        <v>37201101170</v>
      </c>
      <c r="N5837">
        <v>69673747131</v>
      </c>
      <c r="O5837" t="b">
        <v>0</v>
      </c>
      <c r="P5837">
        <v>-1</v>
      </c>
      <c r="Q5837" t="str" cm="1">
        <f t="array" ref="Q5837">_xlfn.IFS(Table1[[#This Row],[Wealthier_Winner]]=-1,"Wealthier Nation Loses",Table1[[#This Row],[Wealthier_Winner]]=0,"Tie",Table1[[#This Row],[Wealthier_Winner]]=1,"Wealthier Nation Wins")</f>
        <v>Wealthier Nation Loses</v>
      </c>
    </row>
    <row r="5838" spans="1:17" x14ac:dyDescent="0.2">
      <c r="A5838" s="1">
        <v>8448</v>
      </c>
      <c r="B5838" s="2">
        <v>44477</v>
      </c>
      <c r="C5838" s="7">
        <f>_xlfn.FLOOR.MATH(Table1[[#This Row],[year]],10)</f>
        <v>2020</v>
      </c>
      <c r="D5838" t="s">
        <v>525</v>
      </c>
      <c r="E5838" t="s">
        <v>27</v>
      </c>
      <c r="F5838">
        <v>0</v>
      </c>
      <c r="G5838">
        <v>1</v>
      </c>
      <c r="H5838" t="s">
        <v>224</v>
      </c>
      <c r="I5838" t="s">
        <v>526</v>
      </c>
      <c r="J5838" t="s">
        <v>525</v>
      </c>
      <c r="K5838" t="b">
        <v>0</v>
      </c>
      <c r="L5838">
        <v>2021</v>
      </c>
      <c r="M5838">
        <v>38183326784</v>
      </c>
      <c r="N5838">
        <v>1054472123449</v>
      </c>
      <c r="O5838" t="b">
        <v>1</v>
      </c>
      <c r="P5838">
        <v>1</v>
      </c>
      <c r="Q5838" t="str" cm="1">
        <f t="array" ref="Q5838">_xlfn.IFS(Table1[[#This Row],[Wealthier_Winner]]=-1,"Wealthier Nation Loses",Table1[[#This Row],[Wealthier_Winner]]=0,"Tie",Table1[[#This Row],[Wealthier_Winner]]=1,"Wealthier Nation Wins")</f>
        <v>Wealthier Nation Wins</v>
      </c>
    </row>
    <row r="5839" spans="1:17" x14ac:dyDescent="0.2">
      <c r="A5839" s="1">
        <v>8450</v>
      </c>
      <c r="B5839" s="2">
        <v>44477</v>
      </c>
      <c r="C5839" s="7">
        <f>_xlfn.FLOOR.MATH(Table1[[#This Row],[year]],10)</f>
        <v>2020</v>
      </c>
      <c r="D5839" t="s">
        <v>303</v>
      </c>
      <c r="E5839" t="s">
        <v>55</v>
      </c>
      <c r="F5839">
        <v>0</v>
      </c>
      <c r="G5839">
        <v>4</v>
      </c>
      <c r="H5839" t="s">
        <v>224</v>
      </c>
      <c r="I5839" t="s">
        <v>837</v>
      </c>
      <c r="J5839" t="s">
        <v>303</v>
      </c>
      <c r="K5839" t="b">
        <v>0</v>
      </c>
      <c r="L5839">
        <v>2021</v>
      </c>
      <c r="M5839">
        <v>19739875611</v>
      </c>
      <c r="N5839">
        <v>61540813361</v>
      </c>
      <c r="O5839" t="b">
        <v>1</v>
      </c>
      <c r="P5839">
        <v>1</v>
      </c>
      <c r="Q5839" t="str" cm="1">
        <f t="array" ref="Q5839">_xlfn.IFS(Table1[[#This Row],[Wealthier_Winner]]=-1,"Wealthier Nation Loses",Table1[[#This Row],[Wealthier_Winner]]=0,"Tie",Table1[[#This Row],[Wealthier_Winner]]=1,"Wealthier Nation Wins")</f>
        <v>Wealthier Nation Wins</v>
      </c>
    </row>
    <row r="5840" spans="1:17" x14ac:dyDescent="0.2">
      <c r="A5840" s="1">
        <v>8451</v>
      </c>
      <c r="B5840" s="2">
        <v>44477</v>
      </c>
      <c r="C5840" s="7">
        <f>_xlfn.FLOOR.MATH(Table1[[#This Row],[year]],10)</f>
        <v>2020</v>
      </c>
      <c r="D5840" t="s">
        <v>351</v>
      </c>
      <c r="E5840" t="s">
        <v>52</v>
      </c>
      <c r="F5840">
        <v>0</v>
      </c>
      <c r="G5840">
        <v>3</v>
      </c>
      <c r="H5840" t="s">
        <v>224</v>
      </c>
      <c r="I5840" t="s">
        <v>468</v>
      </c>
      <c r="J5840" t="s">
        <v>351</v>
      </c>
      <c r="K5840" t="b">
        <v>0</v>
      </c>
      <c r="L5840">
        <v>2021</v>
      </c>
      <c r="M5840">
        <v>30372642502</v>
      </c>
      <c r="N5840">
        <v>69002365163</v>
      </c>
      <c r="O5840" t="b">
        <v>1</v>
      </c>
      <c r="P5840">
        <v>1</v>
      </c>
      <c r="Q5840" t="str" cm="1">
        <f t="array" ref="Q5840">_xlfn.IFS(Table1[[#This Row],[Wealthier_Winner]]=-1,"Wealthier Nation Loses",Table1[[#This Row],[Wealthier_Winner]]=0,"Tie",Table1[[#This Row],[Wealthier_Winner]]=1,"Wealthier Nation Wins")</f>
        <v>Wealthier Nation Wins</v>
      </c>
    </row>
    <row r="5841" spans="1:17" x14ac:dyDescent="0.2">
      <c r="A5841" s="1">
        <v>8453</v>
      </c>
      <c r="B5841" s="2">
        <v>44477</v>
      </c>
      <c r="C5841" s="7">
        <f>_xlfn.FLOOR.MATH(Table1[[#This Row],[year]],10)</f>
        <v>2020</v>
      </c>
      <c r="D5841" t="s">
        <v>66</v>
      </c>
      <c r="E5841" t="s">
        <v>519</v>
      </c>
      <c r="F5841">
        <v>1</v>
      </c>
      <c r="G5841">
        <v>1</v>
      </c>
      <c r="H5841" t="s">
        <v>224</v>
      </c>
      <c r="I5841" t="s">
        <v>336</v>
      </c>
      <c r="J5841" t="s">
        <v>66</v>
      </c>
      <c r="K5841" t="b">
        <v>0</v>
      </c>
      <c r="L5841">
        <v>2021</v>
      </c>
      <c r="M5841">
        <v>26234872402</v>
      </c>
      <c r="N5841">
        <v>13878908628</v>
      </c>
      <c r="O5841" t="b">
        <v>0</v>
      </c>
      <c r="P5841">
        <v>0</v>
      </c>
      <c r="Q5841" t="str" cm="1">
        <f t="array" ref="Q5841">_xlfn.IFS(Table1[[#This Row],[Wealthier_Winner]]=-1,"Wealthier Nation Loses",Table1[[#This Row],[Wealthier_Winner]]=0,"Tie",Table1[[#This Row],[Wealthier_Winner]]=1,"Wealthier Nation Wins")</f>
        <v>Tie</v>
      </c>
    </row>
    <row r="5842" spans="1:17" x14ac:dyDescent="0.2">
      <c r="A5842" s="1">
        <v>8454</v>
      </c>
      <c r="B5842" s="2">
        <v>44477</v>
      </c>
      <c r="C5842" s="7">
        <f>_xlfn.FLOOR.MATH(Table1[[#This Row],[year]],10)</f>
        <v>2020</v>
      </c>
      <c r="D5842" t="s">
        <v>16</v>
      </c>
      <c r="E5842" t="s">
        <v>44</v>
      </c>
      <c r="F5842">
        <v>2</v>
      </c>
      <c r="G5842">
        <v>1</v>
      </c>
      <c r="H5842" t="s">
        <v>224</v>
      </c>
      <c r="I5842" t="s">
        <v>89</v>
      </c>
      <c r="J5842" t="s">
        <v>16</v>
      </c>
      <c r="K5842" t="b">
        <v>0</v>
      </c>
      <c r="L5842">
        <v>2021</v>
      </c>
      <c r="M5842">
        <v>4355251953410</v>
      </c>
      <c r="N5842">
        <v>285071280114</v>
      </c>
      <c r="O5842" t="b">
        <v>1</v>
      </c>
      <c r="P5842">
        <v>1</v>
      </c>
      <c r="Q5842" t="str" cm="1">
        <f t="array" ref="Q5842">_xlfn.IFS(Table1[[#This Row],[Wealthier_Winner]]=-1,"Wealthier Nation Loses",Table1[[#This Row],[Wealthier_Winner]]=0,"Tie",Table1[[#This Row],[Wealthier_Winner]]=1,"Wealthier Nation Wins")</f>
        <v>Wealthier Nation Wins</v>
      </c>
    </row>
    <row r="5843" spans="1:17" x14ac:dyDescent="0.2">
      <c r="A5843" s="1">
        <v>8455</v>
      </c>
      <c r="B5843" s="2">
        <v>44477</v>
      </c>
      <c r="C5843" s="7">
        <f>_xlfn.FLOOR.MATH(Table1[[#This Row],[year]],10)</f>
        <v>2020</v>
      </c>
      <c r="D5843" t="s">
        <v>503</v>
      </c>
      <c r="E5843" t="s">
        <v>502</v>
      </c>
      <c r="F5843">
        <v>0</v>
      </c>
      <c r="G5843">
        <v>4</v>
      </c>
      <c r="H5843" t="s">
        <v>224</v>
      </c>
      <c r="I5843" t="s">
        <v>603</v>
      </c>
      <c r="J5843" t="s">
        <v>503</v>
      </c>
      <c r="K5843" t="b">
        <v>0</v>
      </c>
      <c r="L5843">
        <v>2021</v>
      </c>
      <c r="M5843">
        <v>7912602342</v>
      </c>
      <c r="N5843">
        <v>14000283827</v>
      </c>
      <c r="O5843" t="b">
        <v>0</v>
      </c>
      <c r="P5843">
        <v>1</v>
      </c>
      <c r="Q5843" t="str" cm="1">
        <f t="array" ref="Q5843">_xlfn.IFS(Table1[[#This Row],[Wealthier_Winner]]=-1,"Wealthier Nation Loses",Table1[[#This Row],[Wealthier_Winner]]=0,"Tie",Table1[[#This Row],[Wealthier_Winner]]=1,"Wealthier Nation Wins")</f>
        <v>Wealthier Nation Wins</v>
      </c>
    </row>
    <row r="5844" spans="1:17" x14ac:dyDescent="0.2">
      <c r="A5844" s="1">
        <v>8456</v>
      </c>
      <c r="B5844" s="2">
        <v>44477</v>
      </c>
      <c r="C5844" s="7">
        <f>_xlfn.FLOOR.MATH(Table1[[#This Row],[year]],10)</f>
        <v>2020</v>
      </c>
      <c r="D5844" t="s">
        <v>32</v>
      </c>
      <c r="E5844" t="s">
        <v>343</v>
      </c>
      <c r="F5844">
        <v>6</v>
      </c>
      <c r="G5844">
        <v>1</v>
      </c>
      <c r="H5844" t="s">
        <v>224</v>
      </c>
      <c r="I5844" t="s">
        <v>279</v>
      </c>
      <c r="J5844" t="s">
        <v>32</v>
      </c>
      <c r="K5844" t="b">
        <v>0</v>
      </c>
      <c r="L5844">
        <v>2021</v>
      </c>
      <c r="M5844">
        <v>186231205262</v>
      </c>
      <c r="N5844">
        <v>14915002436</v>
      </c>
      <c r="O5844" t="b">
        <v>1</v>
      </c>
      <c r="P5844">
        <v>1</v>
      </c>
      <c r="Q5844" t="str" cm="1">
        <f t="array" ref="Q5844">_xlfn.IFS(Table1[[#This Row],[Wealthier_Winner]]=-1,"Wealthier Nation Loses",Table1[[#This Row],[Wealthier_Winner]]=0,"Tie",Table1[[#This Row],[Wealthier_Winner]]=1,"Wealthier Nation Wins")</f>
        <v>Wealthier Nation Wins</v>
      </c>
    </row>
    <row r="5845" spans="1:17" x14ac:dyDescent="0.2">
      <c r="A5845" s="1">
        <v>8457</v>
      </c>
      <c r="B5845" s="2">
        <v>44477</v>
      </c>
      <c r="C5845" s="7">
        <f>_xlfn.FLOOR.MATH(Table1[[#This Row],[year]],10)</f>
        <v>2020</v>
      </c>
      <c r="D5845" t="s">
        <v>694</v>
      </c>
      <c r="E5845" t="s">
        <v>345</v>
      </c>
      <c r="F5845">
        <v>0</v>
      </c>
      <c r="G5845">
        <v>4</v>
      </c>
      <c r="H5845" t="s">
        <v>224</v>
      </c>
      <c r="I5845" t="s">
        <v>761</v>
      </c>
      <c r="J5845" t="s">
        <v>24</v>
      </c>
      <c r="K5845" t="b">
        <v>1</v>
      </c>
      <c r="L5845">
        <v>2021</v>
      </c>
      <c r="M5845">
        <v>3392796953</v>
      </c>
      <c r="N5845">
        <v>19697516284</v>
      </c>
      <c r="O5845" t="b">
        <v>1</v>
      </c>
      <c r="P5845">
        <v>1</v>
      </c>
      <c r="Q5845" t="str" cm="1">
        <f t="array" ref="Q5845">_xlfn.IFS(Table1[[#This Row],[Wealthier_Winner]]=-1,"Wealthier Nation Loses",Table1[[#This Row],[Wealthier_Winner]]=0,"Tie",Table1[[#This Row],[Wealthier_Winner]]=1,"Wealthier Nation Wins")</f>
        <v>Wealthier Nation Wins</v>
      </c>
    </row>
    <row r="5846" spans="1:17" x14ac:dyDescent="0.2">
      <c r="A5846" s="1">
        <v>8459</v>
      </c>
      <c r="B5846" s="2">
        <v>44477</v>
      </c>
      <c r="C5846" s="7">
        <f>_xlfn.FLOOR.MATH(Table1[[#This Row],[year]],10)</f>
        <v>2020</v>
      </c>
      <c r="D5846" t="s">
        <v>40</v>
      </c>
      <c r="E5846" t="s">
        <v>300</v>
      </c>
      <c r="F5846">
        <v>3</v>
      </c>
      <c r="G5846">
        <v>1</v>
      </c>
      <c r="H5846" t="s">
        <v>224</v>
      </c>
      <c r="I5846" t="s">
        <v>283</v>
      </c>
      <c r="J5846" t="s">
        <v>40</v>
      </c>
      <c r="K5846" t="b">
        <v>0</v>
      </c>
      <c r="L5846">
        <v>2021</v>
      </c>
      <c r="M5846">
        <v>45011937346</v>
      </c>
      <c r="N5846">
        <v>16168055475</v>
      </c>
      <c r="O5846" t="b">
        <v>1</v>
      </c>
      <c r="P5846">
        <v>1</v>
      </c>
      <c r="Q5846" t="str" cm="1">
        <f t="array" ref="Q5846">_xlfn.IFS(Table1[[#This Row],[Wealthier_Winner]]=-1,"Wealthier Nation Loses",Table1[[#This Row],[Wealthier_Winner]]=0,"Tie",Table1[[#This Row],[Wealthier_Winner]]=1,"Wealthier Nation Wins")</f>
        <v>Wealthier Nation Wins</v>
      </c>
    </row>
    <row r="5847" spans="1:17" x14ac:dyDescent="0.2">
      <c r="A5847" s="1">
        <v>8460</v>
      </c>
      <c r="B5847" s="2">
        <v>44477</v>
      </c>
      <c r="C5847" s="7">
        <f>_xlfn.FLOOR.MATH(Table1[[#This Row],[year]],10)</f>
        <v>2020</v>
      </c>
      <c r="D5847" t="s">
        <v>60</v>
      </c>
      <c r="E5847" t="s">
        <v>433</v>
      </c>
      <c r="F5847">
        <v>3</v>
      </c>
      <c r="G5847">
        <v>1</v>
      </c>
      <c r="H5847" t="s">
        <v>224</v>
      </c>
      <c r="I5847" t="s">
        <v>396</v>
      </c>
      <c r="J5847" t="s">
        <v>60</v>
      </c>
      <c r="K5847" t="b">
        <v>0</v>
      </c>
      <c r="L5847">
        <v>2021</v>
      </c>
      <c r="M5847">
        <v>79559543805</v>
      </c>
      <c r="N5847">
        <v>19444935097</v>
      </c>
      <c r="O5847" t="b">
        <v>1</v>
      </c>
      <c r="P5847">
        <v>1</v>
      </c>
      <c r="Q5847" t="str" cm="1">
        <f t="array" ref="Q5847">_xlfn.IFS(Table1[[#This Row],[Wealthier_Winner]]=-1,"Wealthier Nation Loses",Table1[[#This Row],[Wealthier_Winner]]=0,"Tie",Table1[[#This Row],[Wealthier_Winner]]=1,"Wealthier Nation Wins")</f>
        <v>Wealthier Nation Wins</v>
      </c>
    </row>
    <row r="5848" spans="1:17" x14ac:dyDescent="0.2">
      <c r="A5848" s="1">
        <v>8461</v>
      </c>
      <c r="B5848" s="2">
        <v>44477</v>
      </c>
      <c r="C5848" s="7">
        <f>_xlfn.FLOOR.MATH(Table1[[#This Row],[year]],10)</f>
        <v>2020</v>
      </c>
      <c r="D5848" t="s">
        <v>212</v>
      </c>
      <c r="E5848" t="s">
        <v>286</v>
      </c>
      <c r="F5848">
        <v>1</v>
      </c>
      <c r="G5848">
        <v>0</v>
      </c>
      <c r="H5848" t="s">
        <v>224</v>
      </c>
      <c r="I5848" t="s">
        <v>594</v>
      </c>
      <c r="J5848" t="s">
        <v>212</v>
      </c>
      <c r="K5848" t="b">
        <v>0</v>
      </c>
      <c r="L5848">
        <v>2021</v>
      </c>
      <c r="M5848">
        <v>424671765455</v>
      </c>
      <c r="N5848">
        <v>35217995647</v>
      </c>
      <c r="O5848" t="b">
        <v>1</v>
      </c>
      <c r="P5848">
        <v>1</v>
      </c>
      <c r="Q5848" t="str" cm="1">
        <f t="array" ref="Q5848">_xlfn.IFS(Table1[[#This Row],[Wealthier_Winner]]=-1,"Wealthier Nation Loses",Table1[[#This Row],[Wealthier_Winner]]=0,"Tie",Table1[[#This Row],[Wealthier_Winner]]=1,"Wealthier Nation Wins")</f>
        <v>Wealthier Nation Wins</v>
      </c>
    </row>
    <row r="5849" spans="1:17" x14ac:dyDescent="0.2">
      <c r="A5849" s="1">
        <v>8463</v>
      </c>
      <c r="B5849" s="2">
        <v>44478</v>
      </c>
      <c r="C5849" s="7">
        <f>_xlfn.FLOOR.MATH(Table1[[#This Row],[year]],10)</f>
        <v>2020</v>
      </c>
      <c r="D5849" t="s">
        <v>232</v>
      </c>
      <c r="E5849" t="s">
        <v>61</v>
      </c>
      <c r="F5849">
        <v>0</v>
      </c>
      <c r="G5849">
        <v>1</v>
      </c>
      <c r="H5849" t="s">
        <v>224</v>
      </c>
      <c r="I5849" t="s">
        <v>232</v>
      </c>
      <c r="J5849" t="s">
        <v>232</v>
      </c>
      <c r="K5849" t="b">
        <v>0</v>
      </c>
      <c r="L5849">
        <v>2021</v>
      </c>
      <c r="M5849">
        <v>86386759695</v>
      </c>
      <c r="N5849">
        <v>66159884072</v>
      </c>
      <c r="O5849" t="b">
        <v>0</v>
      </c>
      <c r="P5849">
        <v>-1</v>
      </c>
      <c r="Q5849" t="str" cm="1">
        <f t="array" ref="Q5849">_xlfn.IFS(Table1[[#This Row],[Wealthier_Winner]]=-1,"Wealthier Nation Loses",Table1[[#This Row],[Wealthier_Winner]]=0,"Tie",Table1[[#This Row],[Wealthier_Winner]]=1,"Wealthier Nation Wins")</f>
        <v>Wealthier Nation Loses</v>
      </c>
    </row>
    <row r="5850" spans="1:17" x14ac:dyDescent="0.2">
      <c r="A5850" s="1">
        <v>8464</v>
      </c>
      <c r="B5850" s="2">
        <v>44478</v>
      </c>
      <c r="C5850" s="7">
        <f>_xlfn.FLOOR.MATH(Table1[[#This Row],[year]],10)</f>
        <v>2020</v>
      </c>
      <c r="D5850" t="s">
        <v>25</v>
      </c>
      <c r="E5850" t="s">
        <v>803</v>
      </c>
      <c r="F5850">
        <v>3</v>
      </c>
      <c r="G5850">
        <v>0</v>
      </c>
      <c r="H5850" t="s">
        <v>224</v>
      </c>
      <c r="I5850" t="s">
        <v>838</v>
      </c>
      <c r="J5850" t="s">
        <v>25</v>
      </c>
      <c r="K5850" t="b">
        <v>0</v>
      </c>
      <c r="L5850">
        <v>2021</v>
      </c>
      <c r="M5850">
        <v>631693331300</v>
      </c>
      <c r="N5850">
        <v>9413408574</v>
      </c>
      <c r="O5850" t="b">
        <v>1</v>
      </c>
      <c r="P5850">
        <v>1</v>
      </c>
      <c r="Q5850" t="str" cm="1">
        <f t="array" ref="Q5850">_xlfn.IFS(Table1[[#This Row],[Wealthier_Winner]]=-1,"Wealthier Nation Loses",Table1[[#This Row],[Wealthier_Winner]]=0,"Tie",Table1[[#This Row],[Wealthier_Winner]]=1,"Wealthier Nation Wins")</f>
        <v>Wealthier Nation Wins</v>
      </c>
    </row>
    <row r="5851" spans="1:17" x14ac:dyDescent="0.2">
      <c r="A5851" s="1">
        <v>8465</v>
      </c>
      <c r="B5851" s="2">
        <v>44478</v>
      </c>
      <c r="C5851" s="7">
        <f>_xlfn.FLOOR.MATH(Table1[[#This Row],[year]],10)</f>
        <v>2020</v>
      </c>
      <c r="D5851" t="s">
        <v>534</v>
      </c>
      <c r="E5851" t="s">
        <v>48</v>
      </c>
      <c r="F5851">
        <v>0</v>
      </c>
      <c r="G5851">
        <v>2</v>
      </c>
      <c r="H5851" t="s">
        <v>224</v>
      </c>
      <c r="I5851" t="s">
        <v>569</v>
      </c>
      <c r="J5851" t="s">
        <v>534</v>
      </c>
      <c r="K5851" t="b">
        <v>0</v>
      </c>
      <c r="L5851">
        <v>2021</v>
      </c>
      <c r="M5851">
        <v>18853115588</v>
      </c>
      <c r="N5851">
        <v>218303801895</v>
      </c>
      <c r="O5851" t="b">
        <v>1</v>
      </c>
      <c r="P5851">
        <v>1</v>
      </c>
      <c r="Q5851" t="str" cm="1">
        <f t="array" ref="Q5851">_xlfn.IFS(Table1[[#This Row],[Wealthier_Winner]]=-1,"Wealthier Nation Loses",Table1[[#This Row],[Wealthier_Winner]]=0,"Tie",Table1[[#This Row],[Wealthier_Winner]]=1,"Wealthier Nation Wins")</f>
        <v>Wealthier Nation Wins</v>
      </c>
    </row>
    <row r="5852" spans="1:17" x14ac:dyDescent="0.2">
      <c r="A5852" s="1">
        <v>8466</v>
      </c>
      <c r="B5852" s="2">
        <v>44478</v>
      </c>
      <c r="C5852" s="7">
        <f>_xlfn.FLOOR.MATH(Table1[[#This Row],[year]],10)</f>
        <v>2020</v>
      </c>
      <c r="D5852" t="s">
        <v>523</v>
      </c>
      <c r="E5852" t="s">
        <v>33</v>
      </c>
      <c r="F5852">
        <v>3</v>
      </c>
      <c r="G5852">
        <v>1</v>
      </c>
      <c r="H5852" t="s">
        <v>224</v>
      </c>
      <c r="I5852" t="s">
        <v>533</v>
      </c>
      <c r="J5852" t="s">
        <v>523</v>
      </c>
      <c r="K5852" t="b">
        <v>0</v>
      </c>
      <c r="L5852">
        <v>2021</v>
      </c>
      <c r="M5852">
        <v>67037321008</v>
      </c>
      <c r="N5852">
        <v>84374613233</v>
      </c>
      <c r="O5852" t="b">
        <v>0</v>
      </c>
      <c r="P5852">
        <v>-1</v>
      </c>
      <c r="Q5852" t="str" cm="1">
        <f t="array" ref="Q5852">_xlfn.IFS(Table1[[#This Row],[Wealthier_Winner]]=-1,"Wealthier Nation Loses",Table1[[#This Row],[Wealthier_Winner]]=0,"Tie",Table1[[#This Row],[Wealthier_Winner]]=1,"Wealthier Nation Wins")</f>
        <v>Wealthier Nation Loses</v>
      </c>
    </row>
    <row r="5853" spans="1:17" x14ac:dyDescent="0.2">
      <c r="A5853" s="1">
        <v>8468</v>
      </c>
      <c r="B5853" s="2">
        <v>44478</v>
      </c>
      <c r="C5853" s="7">
        <f>_xlfn.FLOOR.MATH(Table1[[#This Row],[year]],10)</f>
        <v>2020</v>
      </c>
      <c r="D5853" t="s">
        <v>230</v>
      </c>
      <c r="E5853" t="s">
        <v>64</v>
      </c>
      <c r="F5853">
        <v>1</v>
      </c>
      <c r="G5853">
        <v>2</v>
      </c>
      <c r="H5853" t="s">
        <v>224</v>
      </c>
      <c r="I5853" t="s">
        <v>231</v>
      </c>
      <c r="J5853" t="s">
        <v>230</v>
      </c>
      <c r="K5853" t="b">
        <v>0</v>
      </c>
      <c r="L5853">
        <v>2021</v>
      </c>
      <c r="M5853">
        <v>294223210496</v>
      </c>
      <c r="N5853">
        <v>199765859570</v>
      </c>
      <c r="O5853" t="b">
        <v>0</v>
      </c>
      <c r="P5853">
        <v>-1</v>
      </c>
      <c r="Q5853" t="str" cm="1">
        <f t="array" ref="Q5853">_xlfn.IFS(Table1[[#This Row],[Wealthier_Winner]]=-1,"Wealthier Nation Loses",Table1[[#This Row],[Wealthier_Winner]]=0,"Tie",Table1[[#This Row],[Wealthier_Winner]]=1,"Wealthier Nation Wins")</f>
        <v>Wealthier Nation Loses</v>
      </c>
    </row>
    <row r="5854" spans="1:17" x14ac:dyDescent="0.2">
      <c r="A5854" s="1">
        <v>8469</v>
      </c>
      <c r="B5854" s="2">
        <v>44478</v>
      </c>
      <c r="C5854" s="7">
        <f>_xlfn.FLOOR.MATH(Table1[[#This Row],[year]],10)</f>
        <v>2020</v>
      </c>
      <c r="D5854" t="s">
        <v>558</v>
      </c>
      <c r="E5854" t="s">
        <v>73</v>
      </c>
      <c r="F5854">
        <v>0</v>
      </c>
      <c r="G5854">
        <v>2</v>
      </c>
      <c r="H5854" t="s">
        <v>224</v>
      </c>
      <c r="I5854" t="s">
        <v>845</v>
      </c>
      <c r="J5854" t="s">
        <v>558</v>
      </c>
      <c r="K5854" t="b">
        <v>0</v>
      </c>
      <c r="L5854">
        <v>2021</v>
      </c>
      <c r="M5854">
        <v>197112255360</v>
      </c>
      <c r="N5854">
        <v>23672712121</v>
      </c>
      <c r="O5854" t="b">
        <v>1</v>
      </c>
      <c r="P5854">
        <v>-1</v>
      </c>
      <c r="Q5854" t="str" cm="1">
        <f t="array" ref="Q5854">_xlfn.IFS(Table1[[#This Row],[Wealthier_Winner]]=-1,"Wealthier Nation Loses",Table1[[#This Row],[Wealthier_Winner]]=0,"Tie",Table1[[#This Row],[Wealthier_Winner]]=1,"Wealthier Nation Wins")</f>
        <v>Wealthier Nation Loses</v>
      </c>
    </row>
    <row r="5855" spans="1:17" x14ac:dyDescent="0.2">
      <c r="A5855" s="1">
        <v>8471</v>
      </c>
      <c r="B5855" s="2">
        <v>44478</v>
      </c>
      <c r="C5855" s="7">
        <f>_xlfn.FLOOR.MATH(Table1[[#This Row],[year]],10)</f>
        <v>2020</v>
      </c>
      <c r="D5855" t="s">
        <v>447</v>
      </c>
      <c r="E5855" t="s">
        <v>29</v>
      </c>
      <c r="F5855">
        <v>0</v>
      </c>
      <c r="G5855">
        <v>2</v>
      </c>
      <c r="H5855" t="s">
        <v>224</v>
      </c>
      <c r="I5855" t="s">
        <v>631</v>
      </c>
      <c r="J5855" t="s">
        <v>447</v>
      </c>
      <c r="K5855" t="b">
        <v>0</v>
      </c>
      <c r="L5855">
        <v>2021</v>
      </c>
      <c r="M5855">
        <v>3699551717</v>
      </c>
      <c r="N5855">
        <v>480466363176</v>
      </c>
      <c r="O5855" t="b">
        <v>1</v>
      </c>
      <c r="P5855">
        <v>1</v>
      </c>
      <c r="Q5855" t="str" cm="1">
        <f t="array" ref="Q5855">_xlfn.IFS(Table1[[#This Row],[Wealthier_Winner]]=-1,"Wealthier Nation Loses",Table1[[#This Row],[Wealthier_Winner]]=0,"Tie",Table1[[#This Row],[Wealthier_Winner]]=1,"Wealthier Nation Wins")</f>
        <v>Wealthier Nation Wins</v>
      </c>
    </row>
    <row r="5856" spans="1:17" x14ac:dyDescent="0.2">
      <c r="A5856" s="1">
        <v>8472</v>
      </c>
      <c r="B5856" s="2">
        <v>44478</v>
      </c>
      <c r="C5856" s="7">
        <f>_xlfn.FLOOR.MATH(Table1[[#This Row],[year]],10)</f>
        <v>2020</v>
      </c>
      <c r="D5856" t="s">
        <v>527</v>
      </c>
      <c r="E5856" t="s">
        <v>36</v>
      </c>
      <c r="F5856">
        <v>0</v>
      </c>
      <c r="G5856">
        <v>4</v>
      </c>
      <c r="H5856" t="s">
        <v>224</v>
      </c>
      <c r="I5856" t="s">
        <v>528</v>
      </c>
      <c r="J5856" t="s">
        <v>527</v>
      </c>
      <c r="K5856" t="b">
        <v>0</v>
      </c>
      <c r="L5856">
        <v>2021</v>
      </c>
      <c r="M5856">
        <v>13691869264</v>
      </c>
      <c r="N5856">
        <v>406110162088</v>
      </c>
      <c r="O5856" t="b">
        <v>1</v>
      </c>
      <c r="P5856">
        <v>1</v>
      </c>
      <c r="Q5856" t="str" cm="1">
        <f t="array" ref="Q5856">_xlfn.IFS(Table1[[#This Row],[Wealthier_Winner]]=-1,"Wealthier Nation Loses",Table1[[#This Row],[Wealthier_Winner]]=0,"Tie",Table1[[#This Row],[Wealthier_Winner]]=1,"Wealthier Nation Wins")</f>
        <v>Wealthier Nation Wins</v>
      </c>
    </row>
    <row r="5857" spans="1:17" x14ac:dyDescent="0.2">
      <c r="A5857" s="1">
        <v>8473</v>
      </c>
      <c r="B5857" s="2">
        <v>44478</v>
      </c>
      <c r="C5857" s="7">
        <f>_xlfn.FLOOR.MATH(Table1[[#This Row],[year]],10)</f>
        <v>2020</v>
      </c>
      <c r="D5857" t="s">
        <v>601</v>
      </c>
      <c r="E5857" t="s">
        <v>194</v>
      </c>
      <c r="F5857">
        <v>0</v>
      </c>
      <c r="G5857">
        <v>5</v>
      </c>
      <c r="H5857" t="s">
        <v>224</v>
      </c>
      <c r="I5857" t="s">
        <v>840</v>
      </c>
      <c r="J5857" t="s">
        <v>601</v>
      </c>
      <c r="K5857" t="b">
        <v>0</v>
      </c>
      <c r="L5857">
        <v>2021</v>
      </c>
      <c r="M5857">
        <v>3324648075</v>
      </c>
      <c r="N5857">
        <v>3194559188925</v>
      </c>
      <c r="O5857" t="b">
        <v>1</v>
      </c>
      <c r="P5857">
        <v>1</v>
      </c>
      <c r="Q5857" t="str" cm="1">
        <f t="array" ref="Q5857">_xlfn.IFS(Table1[[#This Row],[Wealthier_Winner]]=-1,"Wealthier Nation Loses",Table1[[#This Row],[Wealthier_Winner]]=0,"Tie",Table1[[#This Row],[Wealthier_Winner]]=1,"Wealthier Nation Wins")</f>
        <v>Wealthier Nation Wins</v>
      </c>
    </row>
    <row r="5858" spans="1:17" x14ac:dyDescent="0.2">
      <c r="A5858" s="1">
        <v>8474</v>
      </c>
      <c r="B5858" s="2">
        <v>44478</v>
      </c>
      <c r="C5858" s="7">
        <f>_xlfn.FLOOR.MATH(Table1[[#This Row],[year]],10)</f>
        <v>2020</v>
      </c>
      <c r="D5858" t="s">
        <v>30</v>
      </c>
      <c r="E5858" t="s">
        <v>373</v>
      </c>
      <c r="F5858">
        <v>0</v>
      </c>
      <c r="G5858">
        <v>1</v>
      </c>
      <c r="H5858" t="s">
        <v>224</v>
      </c>
      <c r="I5858" t="s">
        <v>297</v>
      </c>
      <c r="J5858" t="s">
        <v>30</v>
      </c>
      <c r="K5858" t="b">
        <v>0</v>
      </c>
      <c r="L5858">
        <v>2021</v>
      </c>
      <c r="M5858">
        <v>183282685440</v>
      </c>
      <c r="N5858">
        <v>18031989573</v>
      </c>
      <c r="O5858" t="b">
        <v>1</v>
      </c>
      <c r="P5858">
        <v>-1</v>
      </c>
      <c r="Q5858" t="str" cm="1">
        <f t="array" ref="Q5858">_xlfn.IFS(Table1[[#This Row],[Wealthier_Winner]]=-1,"Wealthier Nation Loses",Table1[[#This Row],[Wealthier_Winner]]=0,"Tie",Table1[[#This Row],[Wealthier_Winner]]=1,"Wealthier Nation Wins")</f>
        <v>Wealthier Nation Loses</v>
      </c>
    </row>
    <row r="5859" spans="1:17" x14ac:dyDescent="0.2">
      <c r="A5859" s="1">
        <v>8475</v>
      </c>
      <c r="B5859" s="2">
        <v>44478</v>
      </c>
      <c r="C5859" s="7">
        <f>_xlfn.FLOOR.MATH(Table1[[#This Row],[year]],10)</f>
        <v>2020</v>
      </c>
      <c r="D5859" t="s">
        <v>58</v>
      </c>
      <c r="E5859" t="s">
        <v>549</v>
      </c>
      <c r="F5859">
        <v>5</v>
      </c>
      <c r="G5859">
        <v>0</v>
      </c>
      <c r="H5859" t="s">
        <v>224</v>
      </c>
      <c r="I5859" t="s">
        <v>619</v>
      </c>
      <c r="J5859" t="s">
        <v>58</v>
      </c>
      <c r="K5859" t="b">
        <v>0</v>
      </c>
      <c r="L5859">
        <v>2021</v>
      </c>
      <c r="M5859">
        <v>689170230665</v>
      </c>
      <c r="N5859">
        <v>1855652786</v>
      </c>
      <c r="O5859" t="b">
        <v>1</v>
      </c>
      <c r="P5859">
        <v>1</v>
      </c>
      <c r="Q5859" t="str" cm="1">
        <f t="array" ref="Q5859">_xlfn.IFS(Table1[[#This Row],[Wealthier_Winner]]=-1,"Wealthier Nation Loses",Table1[[#This Row],[Wealthier_Winner]]=0,"Tie",Table1[[#This Row],[Wealthier_Winner]]=1,"Wealthier Nation Wins")</f>
        <v>Wealthier Nation Wins</v>
      </c>
    </row>
    <row r="5860" spans="1:17" x14ac:dyDescent="0.2">
      <c r="A5860" s="1">
        <v>8476</v>
      </c>
      <c r="B5860" s="2">
        <v>44478</v>
      </c>
      <c r="C5860" s="7">
        <f>_xlfn.FLOOR.MATH(Table1[[#This Row],[year]],10)</f>
        <v>2020</v>
      </c>
      <c r="D5860" t="s">
        <v>238</v>
      </c>
      <c r="E5860" t="s">
        <v>50</v>
      </c>
      <c r="F5860">
        <v>1</v>
      </c>
      <c r="G5860">
        <v>3</v>
      </c>
      <c r="H5860" t="s">
        <v>224</v>
      </c>
      <c r="I5860" t="s">
        <v>826</v>
      </c>
      <c r="J5860" t="s">
        <v>238</v>
      </c>
      <c r="K5860" t="b">
        <v>0</v>
      </c>
      <c r="L5860">
        <v>2021</v>
      </c>
      <c r="M5860">
        <v>109070960371</v>
      </c>
      <c r="N5860">
        <v>419986284375</v>
      </c>
      <c r="O5860" t="b">
        <v>1</v>
      </c>
      <c r="P5860">
        <v>1</v>
      </c>
      <c r="Q5860" t="str" cm="1">
        <f t="array" ref="Q5860">_xlfn.IFS(Table1[[#This Row],[Wealthier_Winner]]=-1,"Wealthier Nation Loses",Table1[[#This Row],[Wealthier_Winner]]=0,"Tie",Table1[[#This Row],[Wealthier_Winner]]=1,"Wealthier Nation Wins")</f>
        <v>Wealthier Nation Wins</v>
      </c>
    </row>
    <row r="5861" spans="1:17" x14ac:dyDescent="0.2">
      <c r="A5861" s="1">
        <v>8477</v>
      </c>
      <c r="B5861" s="2">
        <v>44478</v>
      </c>
      <c r="C5861" s="7">
        <f>_xlfn.FLOOR.MATH(Table1[[#This Row],[year]],10)</f>
        <v>2020</v>
      </c>
      <c r="D5861" t="s">
        <v>63</v>
      </c>
      <c r="E5861" t="s">
        <v>298</v>
      </c>
      <c r="F5861">
        <v>3</v>
      </c>
      <c r="G5861">
        <v>1</v>
      </c>
      <c r="H5861" t="s">
        <v>224</v>
      </c>
      <c r="I5861" t="s">
        <v>858</v>
      </c>
      <c r="J5861" t="s">
        <v>63</v>
      </c>
      <c r="K5861" t="b">
        <v>0</v>
      </c>
      <c r="L5861">
        <v>2021</v>
      </c>
      <c r="M5861">
        <v>79514204730</v>
      </c>
      <c r="N5861">
        <v>41287673690</v>
      </c>
      <c r="O5861" t="b">
        <v>0</v>
      </c>
      <c r="P5861">
        <v>1</v>
      </c>
      <c r="Q5861" t="str" cm="1">
        <f t="array" ref="Q5861">_xlfn.IFS(Table1[[#This Row],[Wealthier_Winner]]=-1,"Wealthier Nation Loses",Table1[[#This Row],[Wealthier_Winner]]=0,"Tie",Table1[[#This Row],[Wealthier_Winner]]=1,"Wealthier Nation Wins")</f>
        <v>Wealthier Nation Wins</v>
      </c>
    </row>
    <row r="5862" spans="1:17" x14ac:dyDescent="0.2">
      <c r="A5862" s="1">
        <v>8479</v>
      </c>
      <c r="B5862" s="2">
        <v>44478</v>
      </c>
      <c r="C5862" s="7">
        <f>_xlfn.FLOOR.MATH(Table1[[#This Row],[year]],10)</f>
        <v>2020</v>
      </c>
      <c r="D5862" t="s">
        <v>54</v>
      </c>
      <c r="E5862" t="s">
        <v>462</v>
      </c>
      <c r="F5862">
        <v>4</v>
      </c>
      <c r="G5862">
        <v>1</v>
      </c>
      <c r="H5862" t="s">
        <v>224</v>
      </c>
      <c r="I5862" t="s">
        <v>857</v>
      </c>
      <c r="J5862" t="s">
        <v>54</v>
      </c>
      <c r="K5862" t="b">
        <v>0</v>
      </c>
      <c r="L5862">
        <v>2021</v>
      </c>
      <c r="M5862">
        <v>27520784129</v>
      </c>
      <c r="N5862">
        <v>12402486183</v>
      </c>
      <c r="O5862" t="b">
        <v>1</v>
      </c>
      <c r="P5862">
        <v>1</v>
      </c>
      <c r="Q5862" t="str" cm="1">
        <f t="array" ref="Q5862">_xlfn.IFS(Table1[[#This Row],[Wealthier_Winner]]=-1,"Wealthier Nation Loses",Table1[[#This Row],[Wealthier_Winner]]=0,"Tie",Table1[[#This Row],[Wealthier_Winner]]=1,"Wealthier Nation Wins")</f>
        <v>Wealthier Nation Wins</v>
      </c>
    </row>
    <row r="5863" spans="1:17" x14ac:dyDescent="0.2">
      <c r="A5863" s="1">
        <v>8480</v>
      </c>
      <c r="B5863" s="2">
        <v>44478</v>
      </c>
      <c r="C5863" s="7">
        <f>_xlfn.FLOOR.MATH(Table1[[#This Row],[year]],10)</f>
        <v>2020</v>
      </c>
      <c r="D5863" t="s">
        <v>305</v>
      </c>
      <c r="E5863" t="s">
        <v>274</v>
      </c>
      <c r="F5863">
        <v>2</v>
      </c>
      <c r="G5863">
        <v>2</v>
      </c>
      <c r="H5863" t="s">
        <v>224</v>
      </c>
      <c r="I5863" t="s">
        <v>796</v>
      </c>
      <c r="J5863" t="s">
        <v>24</v>
      </c>
      <c r="K5863" t="b">
        <v>1</v>
      </c>
      <c r="L5863">
        <v>2021</v>
      </c>
      <c r="M5863">
        <v>17069115737</v>
      </c>
      <c r="N5863">
        <v>34229513774</v>
      </c>
      <c r="O5863" t="b">
        <v>1</v>
      </c>
      <c r="P5863">
        <v>0</v>
      </c>
      <c r="Q5863" t="str" cm="1">
        <f t="array" ref="Q5863">_xlfn.IFS(Table1[[#This Row],[Wealthier_Winner]]=-1,"Wealthier Nation Loses",Table1[[#This Row],[Wealthier_Winner]]=0,"Tie",Table1[[#This Row],[Wealthier_Winner]]=1,"Wealthier Nation Wins")</f>
        <v>Tie</v>
      </c>
    </row>
    <row r="5864" spans="1:17" x14ac:dyDescent="0.2">
      <c r="A5864" s="1">
        <v>8481</v>
      </c>
      <c r="B5864" s="2">
        <v>44478</v>
      </c>
      <c r="C5864" s="7">
        <f>_xlfn.FLOOR.MATH(Table1[[#This Row],[year]],10)</f>
        <v>2020</v>
      </c>
      <c r="D5864" t="s">
        <v>24</v>
      </c>
      <c r="E5864" t="s">
        <v>508</v>
      </c>
      <c r="F5864">
        <v>3</v>
      </c>
      <c r="G5864">
        <v>0</v>
      </c>
      <c r="H5864" t="s">
        <v>224</v>
      </c>
      <c r="I5864" t="s">
        <v>244</v>
      </c>
      <c r="J5864" t="s">
        <v>24</v>
      </c>
      <c r="K5864" t="b">
        <v>0</v>
      </c>
      <c r="L5864">
        <v>2021</v>
      </c>
      <c r="M5864">
        <v>142022058447</v>
      </c>
      <c r="N5864">
        <v>1908094558</v>
      </c>
      <c r="O5864" t="b">
        <v>1</v>
      </c>
      <c r="P5864">
        <v>1</v>
      </c>
      <c r="Q5864" t="str" cm="1">
        <f t="array" ref="Q5864">_xlfn.IFS(Table1[[#This Row],[Wealthier_Winner]]=-1,"Wealthier Nation Loses",Table1[[#This Row],[Wealthier_Winner]]=0,"Tie",Table1[[#This Row],[Wealthier_Winner]]=1,"Wealthier Nation Wins")</f>
        <v>Wealthier Nation Wins</v>
      </c>
    </row>
    <row r="5865" spans="1:17" x14ac:dyDescent="0.2">
      <c r="A5865" s="1">
        <v>8482</v>
      </c>
      <c r="B5865" s="2">
        <v>44479</v>
      </c>
      <c r="C5865" s="7">
        <f>_xlfn.FLOOR.MATH(Table1[[#This Row],[year]],10)</f>
        <v>2020</v>
      </c>
      <c r="D5865" t="s">
        <v>56</v>
      </c>
      <c r="E5865" t="s">
        <v>69</v>
      </c>
      <c r="F5865">
        <v>2</v>
      </c>
      <c r="G5865">
        <v>1</v>
      </c>
      <c r="H5865" t="s">
        <v>224</v>
      </c>
      <c r="I5865" t="s">
        <v>225</v>
      </c>
      <c r="J5865" t="s">
        <v>56</v>
      </c>
      <c r="K5865" t="b">
        <v>0</v>
      </c>
      <c r="L5865">
        <v>2021</v>
      </c>
      <c r="M5865">
        <v>64960725734</v>
      </c>
      <c r="N5865">
        <v>29043140000</v>
      </c>
      <c r="O5865" t="b">
        <v>1</v>
      </c>
      <c r="P5865">
        <v>1</v>
      </c>
      <c r="Q5865" t="str" cm="1">
        <f t="array" ref="Q5865">_xlfn.IFS(Table1[[#This Row],[Wealthier_Winner]]=-1,"Wealthier Nation Loses",Table1[[#This Row],[Wealthier_Winner]]=0,"Tie",Table1[[#This Row],[Wealthier_Winner]]=1,"Wealthier Nation Wins")</f>
        <v>Wealthier Nation Wins</v>
      </c>
    </row>
    <row r="5866" spans="1:17" x14ac:dyDescent="0.2">
      <c r="A5866" s="1">
        <v>8483</v>
      </c>
      <c r="B5866" s="2">
        <v>44479</v>
      </c>
      <c r="C5866" s="7">
        <f>_xlfn.FLOOR.MATH(Table1[[#This Row],[year]],10)</f>
        <v>2020</v>
      </c>
      <c r="D5866" t="s">
        <v>49</v>
      </c>
      <c r="E5866" t="s">
        <v>34</v>
      </c>
      <c r="F5866">
        <v>0</v>
      </c>
      <c r="G5866">
        <v>0</v>
      </c>
      <c r="H5866" t="s">
        <v>224</v>
      </c>
      <c r="I5866" t="s">
        <v>257</v>
      </c>
      <c r="J5866" t="s">
        <v>49</v>
      </c>
      <c r="K5866" t="b">
        <v>0</v>
      </c>
      <c r="L5866">
        <v>2021</v>
      </c>
      <c r="M5866">
        <v>15963885376</v>
      </c>
      <c r="N5866">
        <v>2022378748423</v>
      </c>
      <c r="O5866" t="b">
        <v>1</v>
      </c>
      <c r="P5866">
        <v>0</v>
      </c>
      <c r="Q5866" t="str" cm="1">
        <f t="array" ref="Q5866">_xlfn.IFS(Table1[[#This Row],[Wealthier_Winner]]=-1,"Wealthier Nation Loses",Table1[[#This Row],[Wealthier_Winner]]=0,"Tie",Table1[[#This Row],[Wealthier_Winner]]=1,"Wealthier Nation Wins")</f>
        <v>Tie</v>
      </c>
    </row>
    <row r="5867" spans="1:17" x14ac:dyDescent="0.2">
      <c r="A5867" s="1">
        <v>8484</v>
      </c>
      <c r="B5867" s="2">
        <v>44479</v>
      </c>
      <c r="C5867" s="7">
        <f>_xlfn.FLOOR.MATH(Table1[[#This Row],[year]],10)</f>
        <v>2020</v>
      </c>
      <c r="D5867" t="s">
        <v>67</v>
      </c>
      <c r="E5867" t="s">
        <v>41</v>
      </c>
      <c r="F5867">
        <v>1</v>
      </c>
      <c r="G5867">
        <v>0</v>
      </c>
      <c r="H5867" t="s">
        <v>224</v>
      </c>
      <c r="I5867" t="s">
        <v>455</v>
      </c>
      <c r="J5867" t="s">
        <v>67</v>
      </c>
      <c r="K5867" t="b">
        <v>0</v>
      </c>
      <c r="L5867">
        <v>2021</v>
      </c>
      <c r="M5867">
        <v>67396392506</v>
      </c>
      <c r="N5867">
        <v>23315080560000</v>
      </c>
      <c r="O5867" t="b">
        <v>1</v>
      </c>
      <c r="P5867">
        <v>-1</v>
      </c>
      <c r="Q5867" t="str" cm="1">
        <f t="array" ref="Q5867">_xlfn.IFS(Table1[[#This Row],[Wealthier_Winner]]=-1,"Wealthier Nation Loses",Table1[[#This Row],[Wealthier_Winner]]=0,"Tie",Table1[[#This Row],[Wealthier_Winner]]=1,"Wealthier Nation Wins")</f>
        <v>Wealthier Nation Loses</v>
      </c>
    </row>
    <row r="5868" spans="1:17" x14ac:dyDescent="0.2">
      <c r="A5868" s="1">
        <v>8485</v>
      </c>
      <c r="B5868" s="2">
        <v>44479</v>
      </c>
      <c r="C5868" s="7">
        <f>_xlfn.FLOOR.MATH(Table1[[#This Row],[year]],10)</f>
        <v>2020</v>
      </c>
      <c r="D5868" t="s">
        <v>17</v>
      </c>
      <c r="E5868" t="s">
        <v>65</v>
      </c>
      <c r="F5868">
        <v>3</v>
      </c>
      <c r="G5868">
        <v>0</v>
      </c>
      <c r="H5868" t="s">
        <v>224</v>
      </c>
      <c r="I5868" t="s">
        <v>83</v>
      </c>
      <c r="J5868" t="s">
        <v>17</v>
      </c>
      <c r="K5868" t="b">
        <v>0</v>
      </c>
      <c r="L5868">
        <v>2021</v>
      </c>
      <c r="M5868">
        <v>1316569466685</v>
      </c>
      <c r="N5868">
        <v>28144331506</v>
      </c>
      <c r="O5868" t="b">
        <v>1</v>
      </c>
      <c r="P5868">
        <v>1</v>
      </c>
      <c r="Q5868" t="str" cm="1">
        <f t="array" ref="Q5868">_xlfn.IFS(Table1[[#This Row],[Wealthier_Winner]]=-1,"Wealthier Nation Loses",Table1[[#This Row],[Wealthier_Winner]]=0,"Tie",Table1[[#This Row],[Wealthier_Winner]]=1,"Wealthier Nation Wins")</f>
        <v>Wealthier Nation Wins</v>
      </c>
    </row>
    <row r="5869" spans="1:17" x14ac:dyDescent="0.2">
      <c r="A5869" s="1">
        <v>8486</v>
      </c>
      <c r="B5869" s="2">
        <v>44479</v>
      </c>
      <c r="C5869" s="7">
        <f>_xlfn.FLOOR.MATH(Table1[[#This Row],[year]],10)</f>
        <v>2020</v>
      </c>
      <c r="D5869" t="s">
        <v>273</v>
      </c>
      <c r="E5869" t="s">
        <v>639</v>
      </c>
      <c r="F5869">
        <v>1</v>
      </c>
      <c r="G5869">
        <v>1</v>
      </c>
      <c r="H5869" t="s">
        <v>224</v>
      </c>
      <c r="I5869" t="s">
        <v>330</v>
      </c>
      <c r="J5869" t="s">
        <v>273</v>
      </c>
      <c r="K5869" t="b">
        <v>0</v>
      </c>
      <c r="L5869">
        <v>2021</v>
      </c>
      <c r="M5869">
        <v>22096416932</v>
      </c>
      <c r="N5869">
        <v>12215878032</v>
      </c>
      <c r="O5869" t="b">
        <v>0</v>
      </c>
      <c r="P5869">
        <v>0</v>
      </c>
      <c r="Q5869" t="str" cm="1">
        <f t="array" ref="Q5869">_xlfn.IFS(Table1[[#This Row],[Wealthier_Winner]]=-1,"Wealthier Nation Loses",Table1[[#This Row],[Wealthier_Winner]]=0,"Tie",Table1[[#This Row],[Wealthier_Winner]]=1,"Wealthier Nation Wins")</f>
        <v>Tie</v>
      </c>
    </row>
    <row r="5870" spans="1:17" x14ac:dyDescent="0.2">
      <c r="A5870" s="1">
        <v>8487</v>
      </c>
      <c r="B5870" s="2">
        <v>44479</v>
      </c>
      <c r="C5870" s="7">
        <f>_xlfn.FLOOR.MATH(Table1[[#This Row],[year]],10)</f>
        <v>2020</v>
      </c>
      <c r="D5870" t="s">
        <v>346</v>
      </c>
      <c r="E5870" t="s">
        <v>53</v>
      </c>
      <c r="F5870">
        <v>0</v>
      </c>
      <c r="G5870">
        <v>0</v>
      </c>
      <c r="H5870" t="s">
        <v>224</v>
      </c>
      <c r="I5870" t="s">
        <v>350</v>
      </c>
      <c r="J5870" t="s">
        <v>346</v>
      </c>
      <c r="K5870" t="b">
        <v>0</v>
      </c>
      <c r="L5870">
        <v>2021</v>
      </c>
      <c r="M5870">
        <v>9222536364</v>
      </c>
      <c r="N5870">
        <v>47073234359</v>
      </c>
      <c r="O5870" t="b">
        <v>1</v>
      </c>
      <c r="P5870">
        <v>0</v>
      </c>
      <c r="Q5870" t="str" cm="1">
        <f t="array" ref="Q5870">_xlfn.IFS(Table1[[#This Row],[Wealthier_Winner]]=-1,"Wealthier Nation Loses",Table1[[#This Row],[Wealthier_Winner]]=0,"Tie",Table1[[#This Row],[Wealthier_Winner]]=1,"Wealthier Nation Wins")</f>
        <v>Tie</v>
      </c>
    </row>
    <row r="5871" spans="1:17" x14ac:dyDescent="0.2">
      <c r="A5871" s="1">
        <v>8488</v>
      </c>
      <c r="B5871" s="2">
        <v>44479</v>
      </c>
      <c r="C5871" s="7">
        <f>_xlfn.FLOOR.MATH(Table1[[#This Row],[year]],10)</f>
        <v>2020</v>
      </c>
      <c r="D5871" t="s">
        <v>581</v>
      </c>
      <c r="E5871" t="s">
        <v>43</v>
      </c>
      <c r="F5871">
        <v>0</v>
      </c>
      <c r="G5871">
        <v>2</v>
      </c>
      <c r="H5871" t="s">
        <v>224</v>
      </c>
      <c r="I5871" t="s">
        <v>813</v>
      </c>
      <c r="J5871" t="s">
        <v>40</v>
      </c>
      <c r="K5871" t="b">
        <v>1</v>
      </c>
      <c r="L5871">
        <v>2021</v>
      </c>
      <c r="M5871">
        <v>2516498412</v>
      </c>
      <c r="N5871">
        <v>609147716972</v>
      </c>
      <c r="O5871" t="b">
        <v>1</v>
      </c>
      <c r="P5871">
        <v>1</v>
      </c>
      <c r="Q5871" t="str" cm="1">
        <f t="array" ref="Q5871">_xlfn.IFS(Table1[[#This Row],[Wealthier_Winner]]=-1,"Wealthier Nation Loses",Table1[[#This Row],[Wealthier_Winner]]=0,"Tie",Table1[[#This Row],[Wealthier_Winner]]=1,"Wealthier Nation Wins")</f>
        <v>Wealthier Nation Wins</v>
      </c>
    </row>
    <row r="5872" spans="1:17" x14ac:dyDescent="0.2">
      <c r="A5872" s="1">
        <v>8490</v>
      </c>
      <c r="B5872" s="2">
        <v>44479</v>
      </c>
      <c r="C5872" s="7">
        <f>_xlfn.FLOOR.MATH(Table1[[#This Row],[year]],10)</f>
        <v>2020</v>
      </c>
      <c r="D5872" t="s">
        <v>314</v>
      </c>
      <c r="E5872" t="s">
        <v>590</v>
      </c>
      <c r="F5872">
        <v>0</v>
      </c>
      <c r="G5872">
        <v>1</v>
      </c>
      <c r="H5872" t="s">
        <v>224</v>
      </c>
      <c r="I5872" t="s">
        <v>315</v>
      </c>
      <c r="J5872" t="s">
        <v>314</v>
      </c>
      <c r="K5872" t="b">
        <v>0</v>
      </c>
      <c r="L5872">
        <v>2021</v>
      </c>
      <c r="M5872">
        <v>109703658904</v>
      </c>
      <c r="N5872">
        <v>22999245262</v>
      </c>
      <c r="O5872" t="b">
        <v>1</v>
      </c>
      <c r="P5872">
        <v>-1</v>
      </c>
      <c r="Q5872" t="str" cm="1">
        <f t="array" ref="Q5872">_xlfn.IFS(Table1[[#This Row],[Wealthier_Winner]]=-1,"Wealthier Nation Loses",Table1[[#This Row],[Wealthier_Winner]]=0,"Tie",Table1[[#This Row],[Wealthier_Winner]]=1,"Wealthier Nation Wins")</f>
        <v>Wealthier Nation Loses</v>
      </c>
    </row>
    <row r="5873" spans="1:17" x14ac:dyDescent="0.2">
      <c r="A5873" s="1">
        <v>8491</v>
      </c>
      <c r="B5873" s="2">
        <v>44479</v>
      </c>
      <c r="C5873" s="7">
        <f>_xlfn.FLOOR.MATH(Table1[[#This Row],[year]],10)</f>
        <v>2020</v>
      </c>
      <c r="D5873" t="s">
        <v>357</v>
      </c>
      <c r="E5873" t="s">
        <v>514</v>
      </c>
      <c r="F5873">
        <v>1</v>
      </c>
      <c r="G5873">
        <v>0</v>
      </c>
      <c r="H5873" t="s">
        <v>224</v>
      </c>
      <c r="I5873" t="s">
        <v>860</v>
      </c>
      <c r="J5873" t="s">
        <v>357</v>
      </c>
      <c r="K5873" t="b">
        <v>0</v>
      </c>
      <c r="L5873">
        <v>2021</v>
      </c>
      <c r="M5873">
        <v>40529788748</v>
      </c>
      <c r="N5873">
        <v>11078787090</v>
      </c>
      <c r="O5873" t="b">
        <v>1</v>
      </c>
      <c r="P5873">
        <v>1</v>
      </c>
      <c r="Q5873" t="str" cm="1">
        <f t="array" ref="Q5873">_xlfn.IFS(Table1[[#This Row],[Wealthier_Winner]]=-1,"Wealthier Nation Loses",Table1[[#This Row],[Wealthier_Winner]]=0,"Tie",Table1[[#This Row],[Wealthier_Winner]]=1,"Wealthier Nation Wins")</f>
        <v>Wealthier Nation Wins</v>
      </c>
    </row>
    <row r="5874" spans="1:17" x14ac:dyDescent="0.2">
      <c r="A5874" s="1">
        <v>8492</v>
      </c>
      <c r="B5874" s="2">
        <v>44479</v>
      </c>
      <c r="C5874" s="7">
        <f>_xlfn.FLOOR.MATH(Table1[[#This Row],[year]],10)</f>
        <v>2020</v>
      </c>
      <c r="D5874" t="s">
        <v>310</v>
      </c>
      <c r="E5874" t="s">
        <v>320</v>
      </c>
      <c r="F5874">
        <v>0</v>
      </c>
      <c r="G5874">
        <v>1</v>
      </c>
      <c r="H5874" t="s">
        <v>224</v>
      </c>
      <c r="I5874" t="s">
        <v>311</v>
      </c>
      <c r="J5874" t="s">
        <v>310</v>
      </c>
      <c r="K5874" t="b">
        <v>0</v>
      </c>
      <c r="L5874">
        <v>2021</v>
      </c>
      <c r="M5874">
        <v>17687623530</v>
      </c>
      <c r="N5874">
        <v>70655628147</v>
      </c>
      <c r="O5874" t="b">
        <v>1</v>
      </c>
      <c r="P5874">
        <v>1</v>
      </c>
      <c r="Q5874" t="str" cm="1">
        <f t="array" ref="Q5874">_xlfn.IFS(Table1[[#This Row],[Wealthier_Winner]]=-1,"Wealthier Nation Loses",Table1[[#This Row],[Wealthier_Winner]]=0,"Tie",Table1[[#This Row],[Wealthier_Winner]]=1,"Wealthier Nation Wins")</f>
        <v>Wealthier Nation Wins</v>
      </c>
    </row>
    <row r="5875" spans="1:17" x14ac:dyDescent="0.2">
      <c r="A5875" s="1">
        <v>8494</v>
      </c>
      <c r="B5875" s="2">
        <v>44479</v>
      </c>
      <c r="C5875" s="7">
        <f>_xlfn.FLOOR.MATH(Table1[[#This Row],[year]],10)</f>
        <v>2020</v>
      </c>
      <c r="D5875" t="s">
        <v>47</v>
      </c>
      <c r="E5875" t="s">
        <v>31</v>
      </c>
      <c r="F5875">
        <v>1</v>
      </c>
      <c r="G5875">
        <v>0</v>
      </c>
      <c r="H5875" t="s">
        <v>224</v>
      </c>
      <c r="I5875" t="s">
        <v>246</v>
      </c>
      <c r="J5875" t="s">
        <v>47</v>
      </c>
      <c r="K5875" t="b">
        <v>0</v>
      </c>
      <c r="L5875">
        <v>2021</v>
      </c>
      <c r="M5875">
        <v>47877892402</v>
      </c>
      <c r="N5875">
        <v>226328766459</v>
      </c>
      <c r="O5875" t="b">
        <v>1</v>
      </c>
      <c r="P5875">
        <v>-1</v>
      </c>
      <c r="Q5875" t="str" cm="1">
        <f t="array" ref="Q5875">_xlfn.IFS(Table1[[#This Row],[Wealthier_Winner]]=-1,"Wealthier Nation Loses",Table1[[#This Row],[Wealthier_Winner]]=0,"Tie",Table1[[#This Row],[Wealthier_Winner]]=1,"Wealthier Nation Wins")</f>
        <v>Wealthier Nation Loses</v>
      </c>
    </row>
    <row r="5876" spans="1:17" x14ac:dyDescent="0.2">
      <c r="A5876" s="1">
        <v>8495</v>
      </c>
      <c r="B5876" s="2">
        <v>44479</v>
      </c>
      <c r="C5876" s="7">
        <f>_xlfn.FLOOR.MATH(Table1[[#This Row],[year]],10)</f>
        <v>2020</v>
      </c>
      <c r="D5876" t="s">
        <v>15</v>
      </c>
      <c r="E5876" t="s">
        <v>13</v>
      </c>
      <c r="F5876">
        <v>0</v>
      </c>
      <c r="G5876">
        <v>0</v>
      </c>
      <c r="H5876" t="s">
        <v>224</v>
      </c>
      <c r="I5876" t="s">
        <v>261</v>
      </c>
      <c r="J5876" t="s">
        <v>15</v>
      </c>
      <c r="K5876" t="b">
        <v>0</v>
      </c>
      <c r="L5876">
        <v>2021</v>
      </c>
      <c r="M5876">
        <v>318524633225</v>
      </c>
      <c r="N5876">
        <v>1670647464062</v>
      </c>
      <c r="O5876" t="b">
        <v>1</v>
      </c>
      <c r="P5876">
        <v>0</v>
      </c>
      <c r="Q5876" t="str" cm="1">
        <f t="array" ref="Q5876">_xlfn.IFS(Table1[[#This Row],[Wealthier_Winner]]=-1,"Wealthier Nation Loses",Table1[[#This Row],[Wealthier_Winner]]=0,"Tie",Table1[[#This Row],[Wealthier_Winner]]=1,"Wealthier Nation Wins")</f>
        <v>Tie</v>
      </c>
    </row>
    <row r="5877" spans="1:17" x14ac:dyDescent="0.2">
      <c r="A5877" s="1">
        <v>8496</v>
      </c>
      <c r="B5877" s="2">
        <v>44479</v>
      </c>
      <c r="C5877" s="7">
        <f>_xlfn.FLOOR.MATH(Table1[[#This Row],[year]],10)</f>
        <v>2020</v>
      </c>
      <c r="D5877" t="s">
        <v>258</v>
      </c>
      <c r="E5877" t="s">
        <v>57</v>
      </c>
      <c r="F5877">
        <v>2</v>
      </c>
      <c r="G5877">
        <v>1</v>
      </c>
      <c r="H5877" t="s">
        <v>224</v>
      </c>
      <c r="I5877" t="s">
        <v>260</v>
      </c>
      <c r="J5877" t="s">
        <v>258</v>
      </c>
      <c r="K5877" t="b">
        <v>0</v>
      </c>
      <c r="L5877">
        <v>2021</v>
      </c>
      <c r="M5877">
        <v>56614976854</v>
      </c>
      <c r="N5877">
        <v>107179074000</v>
      </c>
      <c r="O5877" t="b">
        <v>0</v>
      </c>
      <c r="P5877">
        <v>-1</v>
      </c>
      <c r="Q5877" t="str" cm="1">
        <f t="array" ref="Q5877">_xlfn.IFS(Table1[[#This Row],[Wealthier_Winner]]=-1,"Wealthier Nation Loses",Table1[[#This Row],[Wealthier_Winner]]=0,"Tie",Table1[[#This Row],[Wealthier_Winner]]=1,"Wealthier Nation Wins")</f>
        <v>Wealthier Nation Loses</v>
      </c>
    </row>
    <row r="5878" spans="1:17" x14ac:dyDescent="0.2">
      <c r="A5878" s="1">
        <v>8497</v>
      </c>
      <c r="B5878" s="2">
        <v>44479</v>
      </c>
      <c r="C5878" s="7">
        <f>_xlfn.FLOOR.MATH(Table1[[#This Row],[year]],10)</f>
        <v>2020</v>
      </c>
      <c r="D5878" t="s">
        <v>19</v>
      </c>
      <c r="E5878" t="s">
        <v>26</v>
      </c>
      <c r="F5878">
        <v>3</v>
      </c>
      <c r="G5878">
        <v>0</v>
      </c>
      <c r="H5878" t="s">
        <v>224</v>
      </c>
      <c r="I5878" t="s">
        <v>93</v>
      </c>
      <c r="J5878" t="s">
        <v>19</v>
      </c>
      <c r="K5878" t="b">
        <v>0</v>
      </c>
      <c r="L5878">
        <v>2021</v>
      </c>
      <c r="M5878">
        <v>486564085480</v>
      </c>
      <c r="N5878">
        <v>60739084240</v>
      </c>
      <c r="O5878" t="b">
        <v>1</v>
      </c>
      <c r="P5878">
        <v>1</v>
      </c>
      <c r="Q5878" t="str" cm="1">
        <f t="array" ref="Q5878">_xlfn.IFS(Table1[[#This Row],[Wealthier_Winner]]=-1,"Wealthier Nation Loses",Table1[[#This Row],[Wealthier_Winner]]=0,"Tie",Table1[[#This Row],[Wealthier_Winner]]=1,"Wealthier Nation Wins")</f>
        <v>Wealthier Nation Wins</v>
      </c>
    </row>
    <row r="5879" spans="1:17" x14ac:dyDescent="0.2">
      <c r="A5879" s="1">
        <v>8498</v>
      </c>
      <c r="B5879" s="2">
        <v>44479</v>
      </c>
      <c r="C5879" s="7">
        <f>_xlfn.FLOOR.MATH(Table1[[#This Row],[year]],10)</f>
        <v>2020</v>
      </c>
      <c r="D5879" t="s">
        <v>14</v>
      </c>
      <c r="E5879" t="s">
        <v>35</v>
      </c>
      <c r="F5879">
        <v>2</v>
      </c>
      <c r="G5879">
        <v>0</v>
      </c>
      <c r="H5879" t="s">
        <v>224</v>
      </c>
      <c r="I5879" t="s">
        <v>75</v>
      </c>
      <c r="J5879" t="s">
        <v>14</v>
      </c>
      <c r="K5879" t="b">
        <v>0</v>
      </c>
      <c r="L5879">
        <v>2021</v>
      </c>
      <c r="M5879">
        <v>315325547162</v>
      </c>
      <c r="N5879">
        <v>39950899938</v>
      </c>
      <c r="O5879" t="b">
        <v>1</v>
      </c>
      <c r="P5879">
        <v>1</v>
      </c>
      <c r="Q5879" t="str" cm="1">
        <f t="array" ref="Q5879">_xlfn.IFS(Table1[[#This Row],[Wealthier_Winner]]=-1,"Wealthier Nation Loses",Table1[[#This Row],[Wealthier_Winner]]=0,"Tie",Table1[[#This Row],[Wealthier_Winner]]=1,"Wealthier Nation Wins")</f>
        <v>Wealthier Nation Wins</v>
      </c>
    </row>
    <row r="5880" spans="1:17" x14ac:dyDescent="0.2">
      <c r="A5880" s="1">
        <v>8502</v>
      </c>
      <c r="B5880" s="2">
        <v>44480</v>
      </c>
      <c r="C5880" s="7">
        <f>_xlfn.FLOOR.MATH(Table1[[#This Row],[year]],10)</f>
        <v>2020</v>
      </c>
      <c r="D5880" t="s">
        <v>42</v>
      </c>
      <c r="E5880" t="s">
        <v>705</v>
      </c>
      <c r="F5880">
        <v>2</v>
      </c>
      <c r="G5880">
        <v>0</v>
      </c>
      <c r="H5880" t="s">
        <v>224</v>
      </c>
      <c r="I5880" t="s">
        <v>262</v>
      </c>
      <c r="J5880" t="s">
        <v>42</v>
      </c>
      <c r="K5880" t="b">
        <v>0</v>
      </c>
      <c r="L5880">
        <v>2021</v>
      </c>
      <c r="M5880">
        <v>503367986030</v>
      </c>
      <c r="N5880">
        <v>5823715809</v>
      </c>
      <c r="O5880" t="b">
        <v>1</v>
      </c>
      <c r="P5880">
        <v>1</v>
      </c>
      <c r="Q5880" t="str" cm="1">
        <f t="array" ref="Q5880">_xlfn.IFS(Table1[[#This Row],[Wealthier_Winner]]=-1,"Wealthier Nation Loses",Table1[[#This Row],[Wealthier_Winner]]=0,"Tie",Table1[[#This Row],[Wealthier_Winner]]=1,"Wealthier Nation Wins")</f>
        <v>Wealthier Nation Wins</v>
      </c>
    </row>
    <row r="5881" spans="1:17" x14ac:dyDescent="0.2">
      <c r="A5881" s="1">
        <v>8504</v>
      </c>
      <c r="B5881" s="2">
        <v>44480</v>
      </c>
      <c r="C5881" s="7">
        <f>_xlfn.FLOOR.MATH(Table1[[#This Row],[year]],10)</f>
        <v>2020</v>
      </c>
      <c r="D5881" t="s">
        <v>351</v>
      </c>
      <c r="E5881" t="s">
        <v>303</v>
      </c>
      <c r="F5881">
        <v>2</v>
      </c>
      <c r="G5881">
        <v>2</v>
      </c>
      <c r="H5881" t="s">
        <v>224</v>
      </c>
      <c r="I5881" t="s">
        <v>468</v>
      </c>
      <c r="J5881" t="s">
        <v>351</v>
      </c>
      <c r="K5881" t="b">
        <v>0</v>
      </c>
      <c r="L5881">
        <v>2021</v>
      </c>
      <c r="M5881">
        <v>30372642502</v>
      </c>
      <c r="N5881">
        <v>19739875611</v>
      </c>
      <c r="O5881" t="b">
        <v>0</v>
      </c>
      <c r="P5881">
        <v>0</v>
      </c>
      <c r="Q5881" t="str" cm="1">
        <f t="array" ref="Q5881">_xlfn.IFS(Table1[[#This Row],[Wealthier_Winner]]=-1,"Wealthier Nation Loses",Table1[[#This Row],[Wealthier_Winner]]=0,"Tie",Table1[[#This Row],[Wealthier_Winner]]=1,"Wealthier Nation Wins")</f>
        <v>Tie</v>
      </c>
    </row>
    <row r="5882" spans="1:17" x14ac:dyDescent="0.2">
      <c r="A5882" s="1">
        <v>8506</v>
      </c>
      <c r="B5882" s="2">
        <v>44480</v>
      </c>
      <c r="C5882" s="7">
        <f>_xlfn.FLOOR.MATH(Table1[[#This Row],[year]],10)</f>
        <v>2020</v>
      </c>
      <c r="D5882" t="s">
        <v>55</v>
      </c>
      <c r="E5882" t="s">
        <v>196</v>
      </c>
      <c r="F5882">
        <v>1</v>
      </c>
      <c r="G5882">
        <v>2</v>
      </c>
      <c r="H5882" t="s">
        <v>224</v>
      </c>
      <c r="I5882" t="s">
        <v>727</v>
      </c>
      <c r="J5882" t="s">
        <v>55</v>
      </c>
      <c r="K5882" t="b">
        <v>0</v>
      </c>
      <c r="L5882">
        <v>2021</v>
      </c>
      <c r="M5882">
        <v>61540813361</v>
      </c>
      <c r="N5882">
        <v>1829186719575</v>
      </c>
      <c r="O5882" t="b">
        <v>1</v>
      </c>
      <c r="P5882">
        <v>1</v>
      </c>
      <c r="Q5882" t="str" cm="1">
        <f t="array" ref="Q5882">_xlfn.IFS(Table1[[#This Row],[Wealthier_Winner]]=-1,"Wealthier Nation Loses",Table1[[#This Row],[Wealthier_Winner]]=0,"Tie",Table1[[#This Row],[Wealthier_Winner]]=1,"Wealthier Nation Wins")</f>
        <v>Wealthier Nation Wins</v>
      </c>
    </row>
    <row r="5883" spans="1:17" x14ac:dyDescent="0.2">
      <c r="A5883" s="1">
        <v>8507</v>
      </c>
      <c r="B5883" s="2">
        <v>44480</v>
      </c>
      <c r="C5883" s="7">
        <f>_xlfn.FLOOR.MATH(Table1[[#This Row],[year]],10)</f>
        <v>2020</v>
      </c>
      <c r="D5883" t="s">
        <v>66</v>
      </c>
      <c r="E5883" t="s">
        <v>503</v>
      </c>
      <c r="F5883">
        <v>4</v>
      </c>
      <c r="G5883">
        <v>0</v>
      </c>
      <c r="H5883" t="s">
        <v>224</v>
      </c>
      <c r="I5883" t="s">
        <v>336</v>
      </c>
      <c r="J5883" t="s">
        <v>66</v>
      </c>
      <c r="K5883" t="b">
        <v>0</v>
      </c>
      <c r="L5883">
        <v>2021</v>
      </c>
      <c r="M5883">
        <v>26234872402</v>
      </c>
      <c r="N5883">
        <v>7912602342</v>
      </c>
      <c r="O5883" t="b">
        <v>1</v>
      </c>
      <c r="P5883">
        <v>1</v>
      </c>
      <c r="Q5883" t="str" cm="1">
        <f t="array" ref="Q5883">_xlfn.IFS(Table1[[#This Row],[Wealthier_Winner]]=-1,"Wealthier Nation Loses",Table1[[#This Row],[Wealthier_Winner]]=0,"Tie",Table1[[#This Row],[Wealthier_Winner]]=1,"Wealthier Nation Wins")</f>
        <v>Wealthier Nation Wins</v>
      </c>
    </row>
    <row r="5884" spans="1:17" x14ac:dyDescent="0.2">
      <c r="A5884" s="1">
        <v>8508</v>
      </c>
      <c r="B5884" s="2">
        <v>44480</v>
      </c>
      <c r="C5884" s="7">
        <f>_xlfn.FLOOR.MATH(Table1[[#This Row],[year]],10)</f>
        <v>2020</v>
      </c>
      <c r="D5884" t="s">
        <v>502</v>
      </c>
      <c r="E5884" t="s">
        <v>16</v>
      </c>
      <c r="F5884">
        <v>0</v>
      </c>
      <c r="G5884">
        <v>4</v>
      </c>
      <c r="H5884" t="s">
        <v>224</v>
      </c>
      <c r="I5884" t="s">
        <v>504</v>
      </c>
      <c r="J5884" t="s">
        <v>502</v>
      </c>
      <c r="K5884" t="b">
        <v>0</v>
      </c>
      <c r="L5884">
        <v>2021</v>
      </c>
      <c r="M5884">
        <v>14000283827</v>
      </c>
      <c r="N5884">
        <v>4355251953410</v>
      </c>
      <c r="O5884" t="b">
        <v>1</v>
      </c>
      <c r="P5884">
        <v>1</v>
      </c>
      <c r="Q5884" t="str" cm="1">
        <f t="array" ref="Q5884">_xlfn.IFS(Table1[[#This Row],[Wealthier_Winner]]=-1,"Wealthier Nation Loses",Table1[[#This Row],[Wealthier_Winner]]=0,"Tie",Table1[[#This Row],[Wealthier_Winner]]=1,"Wealthier Nation Wins")</f>
        <v>Wealthier Nation Wins</v>
      </c>
    </row>
    <row r="5885" spans="1:17" x14ac:dyDescent="0.2">
      <c r="A5885" s="1">
        <v>8509</v>
      </c>
      <c r="B5885" s="2">
        <v>44480</v>
      </c>
      <c r="C5885" s="7">
        <f>_xlfn.FLOOR.MATH(Table1[[#This Row],[year]],10)</f>
        <v>2020</v>
      </c>
      <c r="D5885" t="s">
        <v>44</v>
      </c>
      <c r="E5885" t="s">
        <v>519</v>
      </c>
      <c r="F5885">
        <v>1</v>
      </c>
      <c r="G5885">
        <v>0</v>
      </c>
      <c r="H5885" t="s">
        <v>224</v>
      </c>
      <c r="I5885" t="s">
        <v>425</v>
      </c>
      <c r="J5885" t="s">
        <v>44</v>
      </c>
      <c r="K5885" t="b">
        <v>0</v>
      </c>
      <c r="L5885">
        <v>2021</v>
      </c>
      <c r="M5885">
        <v>285071280114</v>
      </c>
      <c r="N5885">
        <v>13878908628</v>
      </c>
      <c r="O5885" t="b">
        <v>1</v>
      </c>
      <c r="P5885">
        <v>1</v>
      </c>
      <c r="Q5885" t="str" cm="1">
        <f t="array" ref="Q5885">_xlfn.IFS(Table1[[#This Row],[Wealthier_Winner]]=-1,"Wealthier Nation Loses",Table1[[#This Row],[Wealthier_Winner]]=0,"Tie",Table1[[#This Row],[Wealthier_Winner]]=1,"Wealthier Nation Wins")</f>
        <v>Wealthier Nation Wins</v>
      </c>
    </row>
    <row r="5886" spans="1:17" x14ac:dyDescent="0.2">
      <c r="A5886" s="1">
        <v>8510</v>
      </c>
      <c r="B5886" s="2">
        <v>44480</v>
      </c>
      <c r="C5886" s="7">
        <f>_xlfn.FLOOR.MATH(Table1[[#This Row],[year]],10)</f>
        <v>2020</v>
      </c>
      <c r="D5886" t="s">
        <v>345</v>
      </c>
      <c r="E5886" t="s">
        <v>694</v>
      </c>
      <c r="F5886">
        <v>2</v>
      </c>
      <c r="G5886">
        <v>0</v>
      </c>
      <c r="H5886" t="s">
        <v>224</v>
      </c>
      <c r="I5886" t="s">
        <v>761</v>
      </c>
      <c r="J5886" t="s">
        <v>24</v>
      </c>
      <c r="K5886" t="b">
        <v>1</v>
      </c>
      <c r="L5886">
        <v>2021</v>
      </c>
      <c r="M5886">
        <v>19697516284</v>
      </c>
      <c r="N5886">
        <v>3392796953</v>
      </c>
      <c r="O5886" t="b">
        <v>1</v>
      </c>
      <c r="P5886">
        <v>1</v>
      </c>
      <c r="Q5886" t="str" cm="1">
        <f t="array" ref="Q5886">_xlfn.IFS(Table1[[#This Row],[Wealthier_Winner]]=-1,"Wealthier Nation Loses",Table1[[#This Row],[Wealthier_Winner]]=0,"Tie",Table1[[#This Row],[Wealthier_Winner]]=1,"Wealthier Nation Wins")</f>
        <v>Wealthier Nation Wins</v>
      </c>
    </row>
    <row r="5887" spans="1:17" x14ac:dyDescent="0.2">
      <c r="A5887" s="1">
        <v>8511</v>
      </c>
      <c r="B5887" s="2">
        <v>44480</v>
      </c>
      <c r="C5887" s="7">
        <f>_xlfn.FLOOR.MATH(Table1[[#This Row],[year]],10)</f>
        <v>2020</v>
      </c>
      <c r="D5887" t="s">
        <v>300</v>
      </c>
      <c r="E5887" t="s">
        <v>40</v>
      </c>
      <c r="F5887">
        <v>0</v>
      </c>
      <c r="G5887">
        <v>1</v>
      </c>
      <c r="H5887" t="s">
        <v>224</v>
      </c>
      <c r="I5887" t="s">
        <v>862</v>
      </c>
      <c r="J5887" t="s">
        <v>24</v>
      </c>
      <c r="K5887" t="b">
        <v>1</v>
      </c>
      <c r="L5887">
        <v>2021</v>
      </c>
      <c r="M5887">
        <v>16168055475</v>
      </c>
      <c r="N5887">
        <v>45011937346</v>
      </c>
      <c r="O5887" t="b">
        <v>1</v>
      </c>
      <c r="P5887">
        <v>1</v>
      </c>
      <c r="Q5887" t="str" cm="1">
        <f t="array" ref="Q5887">_xlfn.IFS(Table1[[#This Row],[Wealthier_Winner]]=-1,"Wealthier Nation Loses",Table1[[#This Row],[Wealthier_Winner]]=0,"Tie",Table1[[#This Row],[Wealthier_Winner]]=1,"Wealthier Nation Wins")</f>
        <v>Wealthier Nation Wins</v>
      </c>
    </row>
    <row r="5888" spans="1:17" x14ac:dyDescent="0.2">
      <c r="A5888" s="1">
        <v>8513</v>
      </c>
      <c r="B5888" s="2">
        <v>44480</v>
      </c>
      <c r="C5888" s="7">
        <f>_xlfn.FLOOR.MATH(Table1[[#This Row],[year]],10)</f>
        <v>2020</v>
      </c>
      <c r="D5888" t="s">
        <v>433</v>
      </c>
      <c r="E5888" t="s">
        <v>60</v>
      </c>
      <c r="F5888">
        <v>2</v>
      </c>
      <c r="G5888">
        <v>0</v>
      </c>
      <c r="H5888" t="s">
        <v>224</v>
      </c>
      <c r="I5888" t="s">
        <v>765</v>
      </c>
      <c r="J5888" t="s">
        <v>433</v>
      </c>
      <c r="K5888" t="b">
        <v>0</v>
      </c>
      <c r="L5888">
        <v>2021</v>
      </c>
      <c r="M5888">
        <v>19444935097</v>
      </c>
      <c r="N5888">
        <v>79559543805</v>
      </c>
      <c r="O5888" t="b">
        <v>1</v>
      </c>
      <c r="P5888">
        <v>-1</v>
      </c>
      <c r="Q5888" t="str" cm="1">
        <f t="array" ref="Q5888">_xlfn.IFS(Table1[[#This Row],[Wealthier_Winner]]=-1,"Wealthier Nation Loses",Table1[[#This Row],[Wealthier_Winner]]=0,"Tie",Table1[[#This Row],[Wealthier_Winner]]=1,"Wealthier Nation Wins")</f>
        <v>Wealthier Nation Loses</v>
      </c>
    </row>
    <row r="5889" spans="1:17" x14ac:dyDescent="0.2">
      <c r="A5889" s="1">
        <v>8514</v>
      </c>
      <c r="B5889" s="2">
        <v>44480</v>
      </c>
      <c r="C5889" s="7">
        <f>_xlfn.FLOOR.MATH(Table1[[#This Row],[year]],10)</f>
        <v>2020</v>
      </c>
      <c r="D5889" t="s">
        <v>286</v>
      </c>
      <c r="E5889" t="s">
        <v>212</v>
      </c>
      <c r="F5889">
        <v>0</v>
      </c>
      <c r="G5889">
        <v>3</v>
      </c>
      <c r="H5889" t="s">
        <v>224</v>
      </c>
      <c r="I5889" t="s">
        <v>856</v>
      </c>
      <c r="J5889" t="s">
        <v>286</v>
      </c>
      <c r="K5889" t="b">
        <v>0</v>
      </c>
      <c r="L5889">
        <v>2021</v>
      </c>
      <c r="M5889">
        <v>35217995647</v>
      </c>
      <c r="N5889">
        <v>424671765455</v>
      </c>
      <c r="O5889" t="b">
        <v>1</v>
      </c>
      <c r="P5889">
        <v>1</v>
      </c>
      <c r="Q5889" t="str" cm="1">
        <f t="array" ref="Q5889">_xlfn.IFS(Table1[[#This Row],[Wealthier_Winner]]=-1,"Wealthier Nation Loses",Table1[[#This Row],[Wealthier_Winner]]=0,"Tie",Table1[[#This Row],[Wealthier_Winner]]=1,"Wealthier Nation Wins")</f>
        <v>Wealthier Nation Wins</v>
      </c>
    </row>
    <row r="5890" spans="1:17" x14ac:dyDescent="0.2">
      <c r="A5890" s="1">
        <v>8515</v>
      </c>
      <c r="B5890" s="2">
        <v>44481</v>
      </c>
      <c r="C5890" s="7">
        <f>_xlfn.FLOOR.MATH(Table1[[#This Row],[year]],10)</f>
        <v>2020</v>
      </c>
      <c r="D5890" t="s">
        <v>210</v>
      </c>
      <c r="E5890" t="s">
        <v>195</v>
      </c>
      <c r="F5890">
        <v>1</v>
      </c>
      <c r="G5890">
        <v>1</v>
      </c>
      <c r="H5890" t="s">
        <v>224</v>
      </c>
      <c r="I5890" t="s">
        <v>332</v>
      </c>
      <c r="J5890" t="s">
        <v>210</v>
      </c>
      <c r="K5890" t="b">
        <v>0</v>
      </c>
      <c r="L5890">
        <v>2021</v>
      </c>
      <c r="M5890">
        <v>407350685583</v>
      </c>
      <c r="N5890">
        <v>1942313560965</v>
      </c>
      <c r="O5890" t="b">
        <v>1</v>
      </c>
      <c r="P5890">
        <v>0</v>
      </c>
      <c r="Q5890" t="str" cm="1">
        <f t="array" ref="Q5890">_xlfn.IFS(Table1[[#This Row],[Wealthier_Winner]]=-1,"Wealthier Nation Loses",Table1[[#This Row],[Wealthier_Winner]]=0,"Tie",Table1[[#This Row],[Wealthier_Winner]]=1,"Wealthier Nation Wins")</f>
        <v>Tie</v>
      </c>
    </row>
    <row r="5891" spans="1:17" x14ac:dyDescent="0.2">
      <c r="A5891" s="1">
        <v>8516</v>
      </c>
      <c r="B5891" s="2">
        <v>44481</v>
      </c>
      <c r="C5891" s="7">
        <f>_xlfn.FLOOR.MATH(Table1[[#This Row],[year]],10)</f>
        <v>2020</v>
      </c>
      <c r="D5891" t="s">
        <v>331</v>
      </c>
      <c r="E5891" t="s">
        <v>479</v>
      </c>
      <c r="F5891">
        <v>2</v>
      </c>
      <c r="G5891">
        <v>3</v>
      </c>
      <c r="H5891" t="s">
        <v>224</v>
      </c>
      <c r="I5891" t="s">
        <v>404</v>
      </c>
      <c r="J5891" t="s">
        <v>403</v>
      </c>
      <c r="K5891" t="b">
        <v>1</v>
      </c>
      <c r="L5891">
        <v>2021</v>
      </c>
      <c r="M5891">
        <v>14353205678</v>
      </c>
      <c r="N5891">
        <v>23131941556</v>
      </c>
      <c r="O5891" t="b">
        <v>0</v>
      </c>
      <c r="P5891">
        <v>1</v>
      </c>
      <c r="Q5891" t="str" cm="1">
        <f t="array" ref="Q5891">_xlfn.IFS(Table1[[#This Row],[Wealthier_Winner]]=-1,"Wealthier Nation Loses",Table1[[#This Row],[Wealthier_Winner]]=0,"Tie",Table1[[#This Row],[Wealthier_Winner]]=1,"Wealthier Nation Wins")</f>
        <v>Wealthier Nation Wins</v>
      </c>
    </row>
    <row r="5892" spans="1:17" x14ac:dyDescent="0.2">
      <c r="A5892" s="1">
        <v>8517</v>
      </c>
      <c r="B5892" s="2">
        <v>44481</v>
      </c>
      <c r="C5892" s="7">
        <f>_xlfn.FLOOR.MATH(Table1[[#This Row],[year]],10)</f>
        <v>2020</v>
      </c>
      <c r="D5892" t="s">
        <v>39</v>
      </c>
      <c r="E5892" t="s">
        <v>37</v>
      </c>
      <c r="F5892">
        <v>2</v>
      </c>
      <c r="G5892">
        <v>2</v>
      </c>
      <c r="H5892" t="s">
        <v>224</v>
      </c>
      <c r="I5892" t="s">
        <v>412</v>
      </c>
      <c r="J5892" t="s">
        <v>39</v>
      </c>
      <c r="K5892" t="b">
        <v>0</v>
      </c>
      <c r="L5892">
        <v>2021</v>
      </c>
      <c r="M5892">
        <v>422441388699</v>
      </c>
      <c r="N5892">
        <v>209691945713</v>
      </c>
      <c r="O5892" t="b">
        <v>1</v>
      </c>
      <c r="P5892">
        <v>0</v>
      </c>
      <c r="Q5892" t="str" cm="1">
        <f t="array" ref="Q5892">_xlfn.IFS(Table1[[#This Row],[Wealthier_Winner]]=-1,"Wealthier Nation Loses",Table1[[#This Row],[Wealthier_Winner]]=0,"Tie",Table1[[#This Row],[Wealthier_Winner]]=1,"Wealthier Nation Wins")</f>
        <v>Tie</v>
      </c>
    </row>
    <row r="5893" spans="1:17" x14ac:dyDescent="0.2">
      <c r="A5893" s="1">
        <v>8518</v>
      </c>
      <c r="B5893" s="2">
        <v>44481</v>
      </c>
      <c r="C5893" s="7">
        <f>_xlfn.FLOOR.MATH(Table1[[#This Row],[year]],10)</f>
        <v>2020</v>
      </c>
      <c r="D5893" t="s">
        <v>51</v>
      </c>
      <c r="E5893" t="s">
        <v>28</v>
      </c>
      <c r="F5893">
        <v>2</v>
      </c>
      <c r="G5893">
        <v>1</v>
      </c>
      <c r="H5893" t="s">
        <v>224</v>
      </c>
      <c r="I5893" t="s">
        <v>143</v>
      </c>
      <c r="J5893" t="s">
        <v>51</v>
      </c>
      <c r="K5893" t="b">
        <v>0</v>
      </c>
      <c r="L5893">
        <v>2021</v>
      </c>
      <c r="M5893">
        <v>5039148168861</v>
      </c>
      <c r="N5893">
        <v>1560617493202</v>
      </c>
      <c r="O5893" t="b">
        <v>1</v>
      </c>
      <c r="P5893">
        <v>1</v>
      </c>
      <c r="Q5893" t="str" cm="1">
        <f t="array" ref="Q5893">_xlfn.IFS(Table1[[#This Row],[Wealthier_Winner]]=-1,"Wealthier Nation Loses",Table1[[#This Row],[Wealthier_Winner]]=0,"Tie",Table1[[#This Row],[Wealthier_Winner]]=1,"Wealthier Nation Wins")</f>
        <v>Wealthier Nation Wins</v>
      </c>
    </row>
    <row r="5894" spans="1:17" x14ac:dyDescent="0.2">
      <c r="A5894" s="1">
        <v>8519</v>
      </c>
      <c r="B5894" s="2">
        <v>44481</v>
      </c>
      <c r="C5894" s="7">
        <f>_xlfn.FLOOR.MATH(Table1[[#This Row],[year]],10)</f>
        <v>2020</v>
      </c>
      <c r="D5894" t="s">
        <v>429</v>
      </c>
      <c r="E5894" t="s">
        <v>475</v>
      </c>
      <c r="F5894">
        <v>3</v>
      </c>
      <c r="G5894">
        <v>1</v>
      </c>
      <c r="H5894" t="s">
        <v>224</v>
      </c>
      <c r="I5894" t="s">
        <v>430</v>
      </c>
      <c r="J5894" t="s">
        <v>429</v>
      </c>
      <c r="K5894" t="b">
        <v>0</v>
      </c>
      <c r="L5894">
        <v>2021</v>
      </c>
      <c r="M5894">
        <v>87323797139</v>
      </c>
      <c r="N5894">
        <v>366474752771</v>
      </c>
      <c r="O5894" t="b">
        <v>1</v>
      </c>
      <c r="P5894">
        <v>-1</v>
      </c>
      <c r="Q5894" t="str" cm="1">
        <f t="array" ref="Q5894">_xlfn.IFS(Table1[[#This Row],[Wealthier_Winner]]=-1,"Wealthier Nation Loses",Table1[[#This Row],[Wealthier_Winner]]=0,"Tie",Table1[[#This Row],[Wealthier_Winner]]=1,"Wealthier Nation Wins")</f>
        <v>Wealthier Nation Loses</v>
      </c>
    </row>
    <row r="5895" spans="1:17" x14ac:dyDescent="0.2">
      <c r="A5895" s="1">
        <v>8521</v>
      </c>
      <c r="B5895" s="2">
        <v>44481</v>
      </c>
      <c r="C5895" s="7">
        <f>_xlfn.FLOOR.MATH(Table1[[#This Row],[year]],10)</f>
        <v>2020</v>
      </c>
      <c r="D5895" t="s">
        <v>38</v>
      </c>
      <c r="E5895" t="s">
        <v>232</v>
      </c>
      <c r="F5895">
        <v>5</v>
      </c>
      <c r="G5895">
        <v>0</v>
      </c>
      <c r="H5895" t="s">
        <v>224</v>
      </c>
      <c r="I5895" t="s">
        <v>863</v>
      </c>
      <c r="J5895" t="s">
        <v>38</v>
      </c>
      <c r="K5895" t="b">
        <v>0</v>
      </c>
      <c r="L5895">
        <v>2021</v>
      </c>
      <c r="M5895">
        <v>256055879091</v>
      </c>
      <c r="N5895">
        <v>86386759695</v>
      </c>
      <c r="O5895" t="b">
        <v>1</v>
      </c>
      <c r="P5895">
        <v>1</v>
      </c>
      <c r="Q5895" t="str" cm="1">
        <f t="array" ref="Q5895">_xlfn.IFS(Table1[[#This Row],[Wealthier_Winner]]=-1,"Wealthier Nation Loses",Table1[[#This Row],[Wealthier_Winner]]=0,"Tie",Table1[[#This Row],[Wealthier_Winner]]=1,"Wealthier Nation Wins")</f>
        <v>Wealthier Nation Wins</v>
      </c>
    </row>
    <row r="5896" spans="1:17" x14ac:dyDescent="0.2">
      <c r="A5896" s="1">
        <v>8522</v>
      </c>
      <c r="B5896" s="2">
        <v>44481</v>
      </c>
      <c r="C5896" s="7">
        <f>_xlfn.FLOOR.MATH(Table1[[#This Row],[year]],10)</f>
        <v>2020</v>
      </c>
      <c r="D5896" t="s">
        <v>61</v>
      </c>
      <c r="E5896" t="s">
        <v>513</v>
      </c>
      <c r="F5896">
        <v>3</v>
      </c>
      <c r="G5896">
        <v>1</v>
      </c>
      <c r="H5896" t="s">
        <v>224</v>
      </c>
      <c r="I5896" t="s">
        <v>505</v>
      </c>
      <c r="J5896" t="s">
        <v>61</v>
      </c>
      <c r="K5896" t="b">
        <v>0</v>
      </c>
      <c r="L5896">
        <v>2021</v>
      </c>
      <c r="M5896">
        <v>66159884072</v>
      </c>
      <c r="N5896">
        <v>54825411764</v>
      </c>
      <c r="O5896" t="b">
        <v>0</v>
      </c>
      <c r="P5896">
        <v>1</v>
      </c>
      <c r="Q5896" t="str" cm="1">
        <f t="array" ref="Q5896">_xlfn.IFS(Table1[[#This Row],[Wealthier_Winner]]=-1,"Wealthier Nation Loses",Table1[[#This Row],[Wealthier_Winner]]=0,"Tie",Table1[[#This Row],[Wealthier_Winner]]=1,"Wealthier Nation Wins")</f>
        <v>Wealthier Nation Wins</v>
      </c>
    </row>
    <row r="5897" spans="1:17" x14ac:dyDescent="0.2">
      <c r="A5897" s="1">
        <v>8523</v>
      </c>
      <c r="B5897" s="2">
        <v>44481</v>
      </c>
      <c r="C5897" s="7">
        <f>_xlfn.FLOOR.MATH(Table1[[#This Row],[year]],10)</f>
        <v>2020</v>
      </c>
      <c r="D5897" t="s">
        <v>803</v>
      </c>
      <c r="E5897" t="s">
        <v>534</v>
      </c>
      <c r="F5897">
        <v>1</v>
      </c>
      <c r="G5897">
        <v>2</v>
      </c>
      <c r="H5897" t="s">
        <v>224</v>
      </c>
      <c r="I5897" t="s">
        <v>844</v>
      </c>
      <c r="J5897" t="s">
        <v>803</v>
      </c>
      <c r="K5897" t="b">
        <v>0</v>
      </c>
      <c r="L5897">
        <v>2021</v>
      </c>
      <c r="M5897">
        <v>9413408574</v>
      </c>
      <c r="N5897">
        <v>18853115588</v>
      </c>
      <c r="O5897" t="b">
        <v>1</v>
      </c>
      <c r="P5897">
        <v>1</v>
      </c>
      <c r="Q5897" t="str" cm="1">
        <f t="array" ref="Q5897">_xlfn.IFS(Table1[[#This Row],[Wealthier_Winner]]=-1,"Wealthier Nation Loses",Table1[[#This Row],[Wealthier_Winner]]=0,"Tie",Table1[[#This Row],[Wealthier_Winner]]=1,"Wealthier Nation Wins")</f>
        <v>Wealthier Nation Wins</v>
      </c>
    </row>
    <row r="5898" spans="1:17" x14ac:dyDescent="0.2">
      <c r="A5898" s="1">
        <v>8524</v>
      </c>
      <c r="B5898" s="2">
        <v>44481</v>
      </c>
      <c r="C5898" s="7">
        <f>_xlfn.FLOOR.MATH(Table1[[#This Row],[year]],10)</f>
        <v>2020</v>
      </c>
      <c r="D5898" t="s">
        <v>25</v>
      </c>
      <c r="E5898" t="s">
        <v>48</v>
      </c>
      <c r="F5898">
        <v>2</v>
      </c>
      <c r="G5898">
        <v>0</v>
      </c>
      <c r="H5898" t="s">
        <v>224</v>
      </c>
      <c r="I5898" t="s">
        <v>838</v>
      </c>
      <c r="J5898" t="s">
        <v>25</v>
      </c>
      <c r="K5898" t="b">
        <v>0</v>
      </c>
      <c r="L5898">
        <v>2021</v>
      </c>
      <c r="M5898">
        <v>631693331300</v>
      </c>
      <c r="N5898">
        <v>218303801895</v>
      </c>
      <c r="O5898" t="b">
        <v>1</v>
      </c>
      <c r="P5898">
        <v>1</v>
      </c>
      <c r="Q5898" t="str" cm="1">
        <f t="array" ref="Q5898">_xlfn.IFS(Table1[[#This Row],[Wealthier_Winner]]=-1,"Wealthier Nation Loses",Table1[[#This Row],[Wealthier_Winner]]=0,"Tie",Table1[[#This Row],[Wealthier_Winner]]=1,"Wealthier Nation Wins")</f>
        <v>Wealthier Nation Wins</v>
      </c>
    </row>
    <row r="5899" spans="1:17" x14ac:dyDescent="0.2">
      <c r="A5899" s="1">
        <v>8526</v>
      </c>
      <c r="B5899" s="2">
        <v>44481</v>
      </c>
      <c r="C5899" s="7">
        <f>_xlfn.FLOOR.MATH(Table1[[#This Row],[year]],10)</f>
        <v>2020</v>
      </c>
      <c r="D5899" t="s">
        <v>523</v>
      </c>
      <c r="E5899" t="s">
        <v>46</v>
      </c>
      <c r="F5899">
        <v>0</v>
      </c>
      <c r="G5899">
        <v>4</v>
      </c>
      <c r="H5899" t="s">
        <v>224</v>
      </c>
      <c r="I5899" t="s">
        <v>533</v>
      </c>
      <c r="J5899" t="s">
        <v>523</v>
      </c>
      <c r="K5899" t="b">
        <v>0</v>
      </c>
      <c r="L5899">
        <v>2021</v>
      </c>
      <c r="M5899">
        <v>67037321008</v>
      </c>
      <c r="N5899">
        <v>815309330986</v>
      </c>
      <c r="O5899" t="b">
        <v>1</v>
      </c>
      <c r="P5899">
        <v>1</v>
      </c>
      <c r="Q5899" t="str" cm="1">
        <f t="array" ref="Q5899">_xlfn.IFS(Table1[[#This Row],[Wealthier_Winner]]=-1,"Wealthier Nation Loses",Table1[[#This Row],[Wealthier_Winner]]=0,"Tie",Table1[[#This Row],[Wealthier_Winner]]=1,"Wealthier Nation Wins")</f>
        <v>Wealthier Nation Wins</v>
      </c>
    </row>
    <row r="5900" spans="1:17" x14ac:dyDescent="0.2">
      <c r="A5900" s="1">
        <v>8527</v>
      </c>
      <c r="B5900" s="2">
        <v>44481</v>
      </c>
      <c r="C5900" s="7">
        <f>_xlfn.FLOOR.MATH(Table1[[#This Row],[year]],10)</f>
        <v>2020</v>
      </c>
      <c r="D5900" t="s">
        <v>558</v>
      </c>
      <c r="E5900" t="s">
        <v>230</v>
      </c>
      <c r="F5900">
        <v>0</v>
      </c>
      <c r="G5900">
        <v>2</v>
      </c>
      <c r="H5900" t="s">
        <v>224</v>
      </c>
      <c r="I5900" t="s">
        <v>845</v>
      </c>
      <c r="J5900" t="s">
        <v>558</v>
      </c>
      <c r="K5900" t="b">
        <v>0</v>
      </c>
      <c r="L5900">
        <v>2021</v>
      </c>
      <c r="M5900">
        <v>197112255360</v>
      </c>
      <c r="N5900">
        <v>294223210496</v>
      </c>
      <c r="O5900" t="b">
        <v>0</v>
      </c>
      <c r="P5900">
        <v>1</v>
      </c>
      <c r="Q5900" t="str" cm="1">
        <f t="array" ref="Q5900">_xlfn.IFS(Table1[[#This Row],[Wealthier_Winner]]=-1,"Wealthier Nation Loses",Table1[[#This Row],[Wealthier_Winner]]=0,"Tie",Table1[[#This Row],[Wealthier_Winner]]=1,"Wealthier Nation Wins")</f>
        <v>Wealthier Nation Wins</v>
      </c>
    </row>
    <row r="5901" spans="1:17" x14ac:dyDescent="0.2">
      <c r="A5901" s="1">
        <v>8528</v>
      </c>
      <c r="B5901" s="2">
        <v>44481</v>
      </c>
      <c r="C5901" s="7">
        <f>_xlfn.FLOOR.MATH(Table1[[#This Row],[year]],10)</f>
        <v>2020</v>
      </c>
      <c r="D5901" t="s">
        <v>64</v>
      </c>
      <c r="E5901" t="s">
        <v>73</v>
      </c>
      <c r="F5901">
        <v>1</v>
      </c>
      <c r="G5901">
        <v>1</v>
      </c>
      <c r="H5901" t="s">
        <v>224</v>
      </c>
      <c r="I5901" t="s">
        <v>632</v>
      </c>
      <c r="J5901" t="s">
        <v>64</v>
      </c>
      <c r="K5901" t="b">
        <v>0</v>
      </c>
      <c r="L5901">
        <v>2021</v>
      </c>
      <c r="M5901">
        <v>199765859570</v>
      </c>
      <c r="N5901">
        <v>23672712121</v>
      </c>
      <c r="O5901" t="b">
        <v>1</v>
      </c>
      <c r="P5901">
        <v>0</v>
      </c>
      <c r="Q5901" t="str" cm="1">
        <f t="array" ref="Q5901">_xlfn.IFS(Table1[[#This Row],[Wealthier_Winner]]=-1,"Wealthier Nation Loses",Table1[[#This Row],[Wealthier_Winner]]=0,"Tie",Table1[[#This Row],[Wealthier_Winner]]=1,"Wealthier Nation Wins")</f>
        <v>Tie</v>
      </c>
    </row>
    <row r="5902" spans="1:17" x14ac:dyDescent="0.2">
      <c r="A5902" s="1">
        <v>8530</v>
      </c>
      <c r="B5902" s="2">
        <v>44481</v>
      </c>
      <c r="C5902" s="7">
        <f>_xlfn.FLOOR.MATH(Table1[[#This Row],[year]],10)</f>
        <v>2020</v>
      </c>
      <c r="D5902" t="s">
        <v>36</v>
      </c>
      <c r="E5902" t="s">
        <v>29</v>
      </c>
      <c r="F5902">
        <v>1</v>
      </c>
      <c r="G5902">
        <v>0</v>
      </c>
      <c r="H5902" t="s">
        <v>224</v>
      </c>
      <c r="I5902" t="s">
        <v>264</v>
      </c>
      <c r="J5902" t="s">
        <v>36</v>
      </c>
      <c r="K5902" t="b">
        <v>0</v>
      </c>
      <c r="L5902">
        <v>2021</v>
      </c>
      <c r="M5902">
        <v>406110162088</v>
      </c>
      <c r="N5902">
        <v>480466363176</v>
      </c>
      <c r="O5902" t="b">
        <v>0</v>
      </c>
      <c r="P5902">
        <v>-1</v>
      </c>
      <c r="Q5902" t="str" cm="1">
        <f t="array" ref="Q5902">_xlfn.IFS(Table1[[#This Row],[Wealthier_Winner]]=-1,"Wealthier Nation Loses",Table1[[#This Row],[Wealthier_Winner]]=0,"Tie",Table1[[#This Row],[Wealthier_Winner]]=1,"Wealthier Nation Wins")</f>
        <v>Wealthier Nation Loses</v>
      </c>
    </row>
    <row r="5903" spans="1:17" x14ac:dyDescent="0.2">
      <c r="A5903" s="1">
        <v>8531</v>
      </c>
      <c r="B5903" s="2">
        <v>44481</v>
      </c>
      <c r="C5903" s="7">
        <f>_xlfn.FLOOR.MATH(Table1[[#This Row],[year]],10)</f>
        <v>2020</v>
      </c>
      <c r="D5903" t="s">
        <v>22</v>
      </c>
      <c r="E5903" t="s">
        <v>527</v>
      </c>
      <c r="F5903">
        <v>2</v>
      </c>
      <c r="G5903">
        <v>1</v>
      </c>
      <c r="H5903" t="s">
        <v>224</v>
      </c>
      <c r="I5903" t="s">
        <v>864</v>
      </c>
      <c r="J5903" t="s">
        <v>22</v>
      </c>
      <c r="K5903" t="b">
        <v>0</v>
      </c>
      <c r="L5903">
        <v>2021</v>
      </c>
      <c r="M5903">
        <v>489851549972</v>
      </c>
      <c r="N5903">
        <v>13691869264</v>
      </c>
      <c r="O5903" t="b">
        <v>1</v>
      </c>
      <c r="P5903">
        <v>1</v>
      </c>
      <c r="Q5903" t="str" cm="1">
        <f t="array" ref="Q5903">_xlfn.IFS(Table1[[#This Row],[Wealthier_Winner]]=-1,"Wealthier Nation Loses",Table1[[#This Row],[Wealthier_Winner]]=0,"Tie",Table1[[#This Row],[Wealthier_Winner]]=1,"Wealthier Nation Wins")</f>
        <v>Wealthier Nation Wins</v>
      </c>
    </row>
    <row r="5904" spans="1:17" x14ac:dyDescent="0.2">
      <c r="A5904" s="1">
        <v>8532</v>
      </c>
      <c r="B5904" s="2">
        <v>44481</v>
      </c>
      <c r="C5904" s="7">
        <f>_xlfn.FLOOR.MATH(Table1[[#This Row],[year]],10)</f>
        <v>2020</v>
      </c>
      <c r="D5904" t="s">
        <v>194</v>
      </c>
      <c r="E5904" t="s">
        <v>30</v>
      </c>
      <c r="F5904">
        <v>1</v>
      </c>
      <c r="G5904">
        <v>1</v>
      </c>
      <c r="H5904" t="s">
        <v>224</v>
      </c>
      <c r="I5904" t="s">
        <v>80</v>
      </c>
      <c r="J5904" t="s">
        <v>194</v>
      </c>
      <c r="K5904" t="b">
        <v>0</v>
      </c>
      <c r="L5904">
        <v>2021</v>
      </c>
      <c r="M5904">
        <v>3194559188925</v>
      </c>
      <c r="N5904">
        <v>183282685440</v>
      </c>
      <c r="O5904" t="b">
        <v>1</v>
      </c>
      <c r="P5904">
        <v>0</v>
      </c>
      <c r="Q5904" t="str" cm="1">
        <f t="array" ref="Q5904">_xlfn.IFS(Table1[[#This Row],[Wealthier_Winner]]=-1,"Wealthier Nation Loses",Table1[[#This Row],[Wealthier_Winner]]=0,"Tie",Table1[[#This Row],[Wealthier_Winner]]=1,"Wealthier Nation Wins")</f>
        <v>Tie</v>
      </c>
    </row>
    <row r="5905" spans="1:17" x14ac:dyDescent="0.2">
      <c r="A5905" s="1">
        <v>8533</v>
      </c>
      <c r="B5905" s="2">
        <v>44481</v>
      </c>
      <c r="C5905" s="7">
        <f>_xlfn.FLOOR.MATH(Table1[[#This Row],[year]],10)</f>
        <v>2020</v>
      </c>
      <c r="D5905" t="s">
        <v>373</v>
      </c>
      <c r="E5905" t="s">
        <v>58</v>
      </c>
      <c r="F5905">
        <v>0</v>
      </c>
      <c r="G5905">
        <v>1</v>
      </c>
      <c r="H5905" t="s">
        <v>224</v>
      </c>
      <c r="I5905" t="s">
        <v>374</v>
      </c>
      <c r="J5905" t="s">
        <v>373</v>
      </c>
      <c r="K5905" t="b">
        <v>0</v>
      </c>
      <c r="L5905">
        <v>2021</v>
      </c>
      <c r="M5905">
        <v>18031989573</v>
      </c>
      <c r="N5905">
        <v>689170230665</v>
      </c>
      <c r="O5905" t="b">
        <v>1</v>
      </c>
      <c r="P5905">
        <v>1</v>
      </c>
      <c r="Q5905" t="str" cm="1">
        <f t="array" ref="Q5905">_xlfn.IFS(Table1[[#This Row],[Wealthier_Winner]]=-1,"Wealthier Nation Loses",Table1[[#This Row],[Wealthier_Winner]]=0,"Tie",Table1[[#This Row],[Wealthier_Winner]]=1,"Wealthier Nation Wins")</f>
        <v>Wealthier Nation Wins</v>
      </c>
    </row>
    <row r="5906" spans="1:17" x14ac:dyDescent="0.2">
      <c r="A5906" s="1">
        <v>8534</v>
      </c>
      <c r="B5906" s="2">
        <v>44481</v>
      </c>
      <c r="C5906" s="7">
        <f>_xlfn.FLOOR.MATH(Table1[[#This Row],[year]],10)</f>
        <v>2020</v>
      </c>
      <c r="D5906" t="s">
        <v>549</v>
      </c>
      <c r="E5906" t="s">
        <v>601</v>
      </c>
      <c r="F5906">
        <v>0</v>
      </c>
      <c r="G5906">
        <v>3</v>
      </c>
      <c r="H5906" t="s">
        <v>224</v>
      </c>
      <c r="I5906" t="s">
        <v>555</v>
      </c>
      <c r="J5906" t="s">
        <v>549</v>
      </c>
      <c r="K5906" t="b">
        <v>0</v>
      </c>
      <c r="L5906">
        <v>2021</v>
      </c>
      <c r="M5906">
        <v>1855652786</v>
      </c>
      <c r="N5906">
        <v>3324648075</v>
      </c>
      <c r="O5906" t="b">
        <v>0</v>
      </c>
      <c r="P5906">
        <v>1</v>
      </c>
      <c r="Q5906" t="str" cm="1">
        <f t="array" ref="Q5906">_xlfn.IFS(Table1[[#This Row],[Wealthier_Winner]]=-1,"Wealthier Nation Loses",Table1[[#This Row],[Wealthier_Winner]]=0,"Tie",Table1[[#This Row],[Wealthier_Winner]]=1,"Wealthier Nation Wins")</f>
        <v>Wealthier Nation Wins</v>
      </c>
    </row>
    <row r="5907" spans="1:17" x14ac:dyDescent="0.2">
      <c r="A5907" s="1">
        <v>8535</v>
      </c>
      <c r="B5907" s="2">
        <v>44481</v>
      </c>
      <c r="C5907" s="7">
        <f>_xlfn.FLOOR.MATH(Table1[[#This Row],[year]],10)</f>
        <v>2020</v>
      </c>
      <c r="D5907" t="s">
        <v>343</v>
      </c>
      <c r="E5907" t="s">
        <v>32</v>
      </c>
      <c r="F5907">
        <v>0</v>
      </c>
      <c r="G5907">
        <v>4</v>
      </c>
      <c r="H5907" t="s">
        <v>224</v>
      </c>
      <c r="I5907" t="s">
        <v>349</v>
      </c>
      <c r="J5907" t="s">
        <v>343</v>
      </c>
      <c r="K5907" t="b">
        <v>0</v>
      </c>
      <c r="L5907">
        <v>2021</v>
      </c>
      <c r="M5907">
        <v>14915002436</v>
      </c>
      <c r="N5907">
        <v>186231205262</v>
      </c>
      <c r="O5907" t="b">
        <v>1</v>
      </c>
      <c r="P5907">
        <v>1</v>
      </c>
      <c r="Q5907" t="str" cm="1">
        <f t="array" ref="Q5907">_xlfn.IFS(Table1[[#This Row],[Wealthier_Winner]]=-1,"Wealthier Nation Loses",Table1[[#This Row],[Wealthier_Winner]]=0,"Tie",Table1[[#This Row],[Wealthier_Winner]]=1,"Wealthier Nation Wins")</f>
        <v>Wealthier Nation Wins</v>
      </c>
    </row>
    <row r="5908" spans="1:17" x14ac:dyDescent="0.2">
      <c r="A5908" s="1">
        <v>8536</v>
      </c>
      <c r="B5908" s="2">
        <v>44481</v>
      </c>
      <c r="C5908" s="7">
        <f>_xlfn.FLOOR.MATH(Table1[[#This Row],[year]],10)</f>
        <v>2020</v>
      </c>
      <c r="D5908" t="s">
        <v>298</v>
      </c>
      <c r="E5908" t="s">
        <v>63</v>
      </c>
      <c r="F5908">
        <v>0</v>
      </c>
      <c r="G5908">
        <v>1</v>
      </c>
      <c r="H5908" t="s">
        <v>224</v>
      </c>
      <c r="I5908" t="s">
        <v>377</v>
      </c>
      <c r="J5908" t="s">
        <v>298</v>
      </c>
      <c r="K5908" t="b">
        <v>0</v>
      </c>
      <c r="L5908">
        <v>2021</v>
      </c>
      <c r="M5908">
        <v>41287673690</v>
      </c>
      <c r="N5908">
        <v>79514204730</v>
      </c>
      <c r="O5908" t="b">
        <v>0</v>
      </c>
      <c r="P5908">
        <v>1</v>
      </c>
      <c r="Q5908" t="str" cm="1">
        <f t="array" ref="Q5908">_xlfn.IFS(Table1[[#This Row],[Wealthier_Winner]]=-1,"Wealthier Nation Loses",Table1[[#This Row],[Wealthier_Winner]]=0,"Tie",Table1[[#This Row],[Wealthier_Winner]]=1,"Wealthier Nation Wins")</f>
        <v>Wealthier Nation Wins</v>
      </c>
    </row>
    <row r="5909" spans="1:17" x14ac:dyDescent="0.2">
      <c r="A5909" s="1">
        <v>8537</v>
      </c>
      <c r="B5909" s="2">
        <v>44481</v>
      </c>
      <c r="C5909" s="7">
        <f>_xlfn.FLOOR.MATH(Table1[[#This Row],[year]],10)</f>
        <v>2020</v>
      </c>
      <c r="D5909" t="s">
        <v>50</v>
      </c>
      <c r="E5909" t="s">
        <v>238</v>
      </c>
      <c r="F5909">
        <v>1</v>
      </c>
      <c r="G5909">
        <v>0</v>
      </c>
      <c r="H5909" t="s">
        <v>224</v>
      </c>
      <c r="I5909" t="s">
        <v>160</v>
      </c>
      <c r="J5909" t="s">
        <v>50</v>
      </c>
      <c r="K5909" t="b">
        <v>0</v>
      </c>
      <c r="L5909">
        <v>2021</v>
      </c>
      <c r="M5909">
        <v>419986284375</v>
      </c>
      <c r="N5909">
        <v>109070960371</v>
      </c>
      <c r="O5909" t="b">
        <v>1</v>
      </c>
      <c r="P5909">
        <v>1</v>
      </c>
      <c r="Q5909" t="str" cm="1">
        <f t="array" ref="Q5909">_xlfn.IFS(Table1[[#This Row],[Wealthier_Winner]]=-1,"Wealthier Nation Loses",Table1[[#This Row],[Wealthier_Winner]]=0,"Tie",Table1[[#This Row],[Wealthier_Winner]]=1,"Wealthier Nation Wins")</f>
        <v>Wealthier Nation Wins</v>
      </c>
    </row>
    <row r="5910" spans="1:17" x14ac:dyDescent="0.2">
      <c r="A5910" s="1">
        <v>8538</v>
      </c>
      <c r="B5910" s="2">
        <v>44481</v>
      </c>
      <c r="C5910" s="7">
        <f>_xlfn.FLOOR.MATH(Table1[[#This Row],[year]],10)</f>
        <v>2020</v>
      </c>
      <c r="D5910" t="s">
        <v>462</v>
      </c>
      <c r="E5910" t="s">
        <v>54</v>
      </c>
      <c r="F5910">
        <v>1</v>
      </c>
      <c r="G5910">
        <v>3</v>
      </c>
      <c r="H5910" t="s">
        <v>224</v>
      </c>
      <c r="I5910" t="s">
        <v>160</v>
      </c>
      <c r="J5910" t="s">
        <v>50</v>
      </c>
      <c r="K5910" t="b">
        <v>1</v>
      </c>
      <c r="L5910">
        <v>2021</v>
      </c>
      <c r="M5910">
        <v>12402486183</v>
      </c>
      <c r="N5910">
        <v>27520784129</v>
      </c>
      <c r="O5910" t="b">
        <v>1</v>
      </c>
      <c r="P5910">
        <v>1</v>
      </c>
      <c r="Q5910" t="str" cm="1">
        <f t="array" ref="Q5910">_xlfn.IFS(Table1[[#This Row],[Wealthier_Winner]]=-1,"Wealthier Nation Loses",Table1[[#This Row],[Wealthier_Winner]]=0,"Tie",Table1[[#This Row],[Wealthier_Winner]]=1,"Wealthier Nation Wins")</f>
        <v>Wealthier Nation Wins</v>
      </c>
    </row>
    <row r="5911" spans="1:17" x14ac:dyDescent="0.2">
      <c r="A5911" s="1">
        <v>8540</v>
      </c>
      <c r="B5911" s="2">
        <v>44481</v>
      </c>
      <c r="C5911" s="7">
        <f>_xlfn.FLOOR.MATH(Table1[[#This Row],[year]],10)</f>
        <v>2020</v>
      </c>
      <c r="D5911" t="s">
        <v>24</v>
      </c>
      <c r="E5911" t="s">
        <v>305</v>
      </c>
      <c r="F5911">
        <v>4</v>
      </c>
      <c r="G5911">
        <v>1</v>
      </c>
      <c r="H5911" t="s">
        <v>224</v>
      </c>
      <c r="I5911" t="s">
        <v>796</v>
      </c>
      <c r="J5911" t="s">
        <v>24</v>
      </c>
      <c r="K5911" t="b">
        <v>0</v>
      </c>
      <c r="L5911">
        <v>2021</v>
      </c>
      <c r="M5911">
        <v>142022058447</v>
      </c>
      <c r="N5911">
        <v>17069115737</v>
      </c>
      <c r="O5911" t="b">
        <v>1</v>
      </c>
      <c r="P5911">
        <v>1</v>
      </c>
      <c r="Q5911" t="str" cm="1">
        <f t="array" ref="Q5911">_xlfn.IFS(Table1[[#This Row],[Wealthier_Winner]]=-1,"Wealthier Nation Loses",Table1[[#This Row],[Wealthier_Winner]]=0,"Tie",Table1[[#This Row],[Wealthier_Winner]]=1,"Wealthier Nation Wins")</f>
        <v>Wealthier Nation Wins</v>
      </c>
    </row>
    <row r="5912" spans="1:17" x14ac:dyDescent="0.2">
      <c r="A5912" s="1">
        <v>8541</v>
      </c>
      <c r="B5912" s="2">
        <v>44482</v>
      </c>
      <c r="C5912" s="7">
        <f>_xlfn.FLOOR.MATH(Table1[[#This Row],[year]],10)</f>
        <v>2020</v>
      </c>
      <c r="D5912" t="s">
        <v>65</v>
      </c>
      <c r="E5912" t="s">
        <v>49</v>
      </c>
      <c r="F5912">
        <v>0</v>
      </c>
      <c r="G5912">
        <v>2</v>
      </c>
      <c r="H5912" t="s">
        <v>224</v>
      </c>
      <c r="I5912" t="s">
        <v>254</v>
      </c>
      <c r="J5912" t="s">
        <v>65</v>
      </c>
      <c r="K5912" t="b">
        <v>0</v>
      </c>
      <c r="L5912">
        <v>2021</v>
      </c>
      <c r="M5912">
        <v>28144331506</v>
      </c>
      <c r="N5912">
        <v>15963885376</v>
      </c>
      <c r="O5912" t="b">
        <v>0</v>
      </c>
      <c r="P5912">
        <v>-1</v>
      </c>
      <c r="Q5912" t="str" cm="1">
        <f t="array" ref="Q5912">_xlfn.IFS(Table1[[#This Row],[Wealthier_Winner]]=-1,"Wealthier Nation Loses",Table1[[#This Row],[Wealthier_Winner]]=0,"Tie",Table1[[#This Row],[Wealthier_Winner]]=1,"Wealthier Nation Wins")</f>
        <v>Wealthier Nation Loses</v>
      </c>
    </row>
    <row r="5913" spans="1:17" x14ac:dyDescent="0.2">
      <c r="A5913" s="1">
        <v>8542</v>
      </c>
      <c r="B5913" s="2">
        <v>44482</v>
      </c>
      <c r="C5913" s="7">
        <f>_xlfn.FLOOR.MATH(Table1[[#This Row],[year]],10)</f>
        <v>2020</v>
      </c>
      <c r="D5913" t="s">
        <v>41</v>
      </c>
      <c r="E5913" t="s">
        <v>56</v>
      </c>
      <c r="F5913">
        <v>2</v>
      </c>
      <c r="G5913">
        <v>1</v>
      </c>
      <c r="H5913" t="s">
        <v>224</v>
      </c>
      <c r="I5913" t="s">
        <v>607</v>
      </c>
      <c r="J5913" t="s">
        <v>41</v>
      </c>
      <c r="K5913" t="b">
        <v>0</v>
      </c>
      <c r="L5913">
        <v>2021</v>
      </c>
      <c r="M5913">
        <v>23315080560000</v>
      </c>
      <c r="N5913">
        <v>64960725734</v>
      </c>
      <c r="O5913" t="b">
        <v>1</v>
      </c>
      <c r="P5913">
        <v>1</v>
      </c>
      <c r="Q5913" t="str" cm="1">
        <f t="array" ref="Q5913">_xlfn.IFS(Table1[[#This Row],[Wealthier_Winner]]=-1,"Wealthier Nation Loses",Table1[[#This Row],[Wealthier_Winner]]=0,"Tie",Table1[[#This Row],[Wealthier_Winner]]=1,"Wealthier Nation Wins")</f>
        <v>Wealthier Nation Wins</v>
      </c>
    </row>
    <row r="5914" spans="1:17" x14ac:dyDescent="0.2">
      <c r="A5914" s="1">
        <v>8543</v>
      </c>
      <c r="B5914" s="2">
        <v>44482</v>
      </c>
      <c r="C5914" s="7">
        <f>_xlfn.FLOOR.MATH(Table1[[#This Row],[year]],10)</f>
        <v>2020</v>
      </c>
      <c r="D5914" t="s">
        <v>34</v>
      </c>
      <c r="E5914" t="s">
        <v>67</v>
      </c>
      <c r="F5914">
        <v>4</v>
      </c>
      <c r="G5914">
        <v>1</v>
      </c>
      <c r="H5914" t="s">
        <v>224</v>
      </c>
      <c r="I5914" t="s">
        <v>267</v>
      </c>
      <c r="J5914" t="s">
        <v>34</v>
      </c>
      <c r="K5914" t="b">
        <v>0</v>
      </c>
      <c r="L5914">
        <v>2021</v>
      </c>
      <c r="M5914">
        <v>2022378748423</v>
      </c>
      <c r="N5914">
        <v>67396392506</v>
      </c>
      <c r="O5914" t="b">
        <v>1</v>
      </c>
      <c r="P5914">
        <v>1</v>
      </c>
      <c r="Q5914" t="str" cm="1">
        <f t="array" ref="Q5914">_xlfn.IFS(Table1[[#This Row],[Wealthier_Winner]]=-1,"Wealthier Nation Loses",Table1[[#This Row],[Wealthier_Winner]]=0,"Tie",Table1[[#This Row],[Wealthier_Winner]]=1,"Wealthier Nation Wins")</f>
        <v>Wealthier Nation Wins</v>
      </c>
    </row>
    <row r="5915" spans="1:17" x14ac:dyDescent="0.2">
      <c r="A5915" s="1">
        <v>8544</v>
      </c>
      <c r="B5915" s="2">
        <v>44482</v>
      </c>
      <c r="C5915" s="7">
        <f>_xlfn.FLOOR.MATH(Table1[[#This Row],[year]],10)</f>
        <v>2020</v>
      </c>
      <c r="D5915" t="s">
        <v>69</v>
      </c>
      <c r="E5915" t="s">
        <v>17</v>
      </c>
      <c r="F5915">
        <v>0</v>
      </c>
      <c r="G5915">
        <v>2</v>
      </c>
      <c r="H5915" t="s">
        <v>224</v>
      </c>
      <c r="I5915" t="s">
        <v>281</v>
      </c>
      <c r="J5915" t="s">
        <v>69</v>
      </c>
      <c r="K5915" t="b">
        <v>0</v>
      </c>
      <c r="L5915">
        <v>2021</v>
      </c>
      <c r="M5915">
        <v>29043140000</v>
      </c>
      <c r="N5915">
        <v>1316569466685</v>
      </c>
      <c r="O5915" t="b">
        <v>1</v>
      </c>
      <c r="P5915">
        <v>1</v>
      </c>
      <c r="Q5915" t="str" cm="1">
        <f t="array" ref="Q5915">_xlfn.IFS(Table1[[#This Row],[Wealthier_Winner]]=-1,"Wealthier Nation Loses",Table1[[#This Row],[Wealthier_Winner]]=0,"Tie",Table1[[#This Row],[Wealthier_Winner]]=1,"Wealthier Nation Wins")</f>
        <v>Wealthier Nation Wins</v>
      </c>
    </row>
    <row r="5916" spans="1:17" x14ac:dyDescent="0.2">
      <c r="A5916" s="1">
        <v>8545</v>
      </c>
      <c r="B5916" s="2">
        <v>44483</v>
      </c>
      <c r="C5916" s="7">
        <f>_xlfn.FLOOR.MATH(Table1[[#This Row],[year]],10)</f>
        <v>2020</v>
      </c>
      <c r="D5916" t="s">
        <v>47</v>
      </c>
      <c r="E5916" t="s">
        <v>35</v>
      </c>
      <c r="F5916">
        <v>4</v>
      </c>
      <c r="G5916">
        <v>0</v>
      </c>
      <c r="H5916" t="s">
        <v>224</v>
      </c>
      <c r="I5916" t="s">
        <v>246</v>
      </c>
      <c r="J5916" t="s">
        <v>47</v>
      </c>
      <c r="K5916" t="b">
        <v>0</v>
      </c>
      <c r="L5916">
        <v>2021</v>
      </c>
      <c r="M5916">
        <v>47877892402</v>
      </c>
      <c r="N5916">
        <v>39950899938</v>
      </c>
      <c r="O5916" t="b">
        <v>0</v>
      </c>
      <c r="P5916">
        <v>1</v>
      </c>
      <c r="Q5916" t="str" cm="1">
        <f t="array" ref="Q5916">_xlfn.IFS(Table1[[#This Row],[Wealthier_Winner]]=-1,"Wealthier Nation Loses",Table1[[#This Row],[Wealthier_Winner]]=0,"Tie",Table1[[#This Row],[Wealthier_Winner]]=1,"Wealthier Nation Wins")</f>
        <v>Wealthier Nation Wins</v>
      </c>
    </row>
    <row r="5917" spans="1:17" x14ac:dyDescent="0.2">
      <c r="A5917" s="1">
        <v>8546</v>
      </c>
      <c r="B5917" s="2">
        <v>44483</v>
      </c>
      <c r="C5917" s="7">
        <f>_xlfn.FLOOR.MATH(Table1[[#This Row],[year]],10)</f>
        <v>2020</v>
      </c>
      <c r="D5917" t="s">
        <v>15</v>
      </c>
      <c r="E5917" t="s">
        <v>57</v>
      </c>
      <c r="F5917">
        <v>0</v>
      </c>
      <c r="G5917">
        <v>0</v>
      </c>
      <c r="H5917" t="s">
        <v>224</v>
      </c>
      <c r="I5917" t="s">
        <v>261</v>
      </c>
      <c r="J5917" t="s">
        <v>15</v>
      </c>
      <c r="K5917" t="b">
        <v>0</v>
      </c>
      <c r="L5917">
        <v>2021</v>
      </c>
      <c r="M5917">
        <v>318524633225</v>
      </c>
      <c r="N5917">
        <v>107179074000</v>
      </c>
      <c r="O5917" t="b">
        <v>1</v>
      </c>
      <c r="P5917">
        <v>0</v>
      </c>
      <c r="Q5917" t="str" cm="1">
        <f t="array" ref="Q5917">_xlfn.IFS(Table1[[#This Row],[Wealthier_Winner]]=-1,"Wealthier Nation Loses",Table1[[#This Row],[Wealthier_Winner]]=0,"Tie",Table1[[#This Row],[Wealthier_Winner]]=1,"Wealthier Nation Wins")</f>
        <v>Tie</v>
      </c>
    </row>
    <row r="5918" spans="1:17" x14ac:dyDescent="0.2">
      <c r="A5918" s="1">
        <v>8547</v>
      </c>
      <c r="B5918" s="2">
        <v>44483</v>
      </c>
      <c r="C5918" s="7">
        <f>_xlfn.FLOOR.MATH(Table1[[#This Row],[year]],10)</f>
        <v>2020</v>
      </c>
      <c r="D5918" t="s">
        <v>19</v>
      </c>
      <c r="E5918" t="s">
        <v>31</v>
      </c>
      <c r="F5918">
        <v>1</v>
      </c>
      <c r="G5918">
        <v>0</v>
      </c>
      <c r="H5918" t="s">
        <v>224</v>
      </c>
      <c r="I5918" t="s">
        <v>93</v>
      </c>
      <c r="J5918" t="s">
        <v>19</v>
      </c>
      <c r="K5918" t="b">
        <v>0</v>
      </c>
      <c r="L5918">
        <v>2021</v>
      </c>
      <c r="M5918">
        <v>486564085480</v>
      </c>
      <c r="N5918">
        <v>226328766459</v>
      </c>
      <c r="O5918" t="b">
        <v>1</v>
      </c>
      <c r="P5918">
        <v>1</v>
      </c>
      <c r="Q5918" t="str" cm="1">
        <f t="array" ref="Q5918">_xlfn.IFS(Table1[[#This Row],[Wealthier_Winner]]=-1,"Wealthier Nation Loses",Table1[[#This Row],[Wealthier_Winner]]=0,"Tie",Table1[[#This Row],[Wealthier_Winner]]=1,"Wealthier Nation Wins")</f>
        <v>Wealthier Nation Wins</v>
      </c>
    </row>
    <row r="5919" spans="1:17" x14ac:dyDescent="0.2">
      <c r="A5919" s="1">
        <v>8548</v>
      </c>
      <c r="B5919" s="2">
        <v>44483</v>
      </c>
      <c r="C5919" s="7">
        <f>_xlfn.FLOOR.MATH(Table1[[#This Row],[year]],10)</f>
        <v>2020</v>
      </c>
      <c r="D5919" t="s">
        <v>13</v>
      </c>
      <c r="E5919" t="s">
        <v>26</v>
      </c>
      <c r="F5919">
        <v>4</v>
      </c>
      <c r="G5919">
        <v>1</v>
      </c>
      <c r="H5919" t="s">
        <v>224</v>
      </c>
      <c r="I5919" t="s">
        <v>176</v>
      </c>
      <c r="J5919" t="s">
        <v>13</v>
      </c>
      <c r="K5919" t="b">
        <v>0</v>
      </c>
      <c r="L5919">
        <v>2021</v>
      </c>
      <c r="M5919">
        <v>1670647464062</v>
      </c>
      <c r="N5919">
        <v>60739084240</v>
      </c>
      <c r="O5919" t="b">
        <v>1</v>
      </c>
      <c r="P5919">
        <v>1</v>
      </c>
      <c r="Q5919" t="str" cm="1">
        <f t="array" ref="Q5919">_xlfn.IFS(Table1[[#This Row],[Wealthier_Winner]]=-1,"Wealthier Nation Loses",Table1[[#This Row],[Wealthier_Winner]]=0,"Tie",Table1[[#This Row],[Wealthier_Winner]]=1,"Wealthier Nation Wins")</f>
        <v>Wealthier Nation Wins</v>
      </c>
    </row>
    <row r="5920" spans="1:17" x14ac:dyDescent="0.2">
      <c r="A5920" s="1">
        <v>8549</v>
      </c>
      <c r="B5920" s="2">
        <v>44483</v>
      </c>
      <c r="C5920" s="7">
        <f>_xlfn.FLOOR.MATH(Table1[[#This Row],[year]],10)</f>
        <v>2020</v>
      </c>
      <c r="D5920" t="s">
        <v>14</v>
      </c>
      <c r="E5920" t="s">
        <v>258</v>
      </c>
      <c r="F5920">
        <v>3</v>
      </c>
      <c r="G5920">
        <v>0</v>
      </c>
      <c r="H5920" t="s">
        <v>224</v>
      </c>
      <c r="I5920" t="s">
        <v>75</v>
      </c>
      <c r="J5920" t="s">
        <v>14</v>
      </c>
      <c r="K5920" t="b">
        <v>0</v>
      </c>
      <c r="L5920">
        <v>2021</v>
      </c>
      <c r="M5920">
        <v>315325547162</v>
      </c>
      <c r="N5920">
        <v>56614976854</v>
      </c>
      <c r="O5920" t="b">
        <v>1</v>
      </c>
      <c r="P5920">
        <v>1</v>
      </c>
      <c r="Q5920" t="str" cm="1">
        <f t="array" ref="Q5920">_xlfn.IFS(Table1[[#This Row],[Wealthier_Winner]]=-1,"Wealthier Nation Loses",Table1[[#This Row],[Wealthier_Winner]]=0,"Tie",Table1[[#This Row],[Wealthier_Winner]]=1,"Wealthier Nation Wins")</f>
        <v>Wealthier Nation Wins</v>
      </c>
    </row>
    <row r="5921" spans="1:17" x14ac:dyDescent="0.2">
      <c r="A5921" s="1">
        <v>8550</v>
      </c>
      <c r="B5921" s="2">
        <v>44511</v>
      </c>
      <c r="C5921" s="7">
        <f>_xlfn.FLOOR.MATH(Table1[[#This Row],[year]],10)</f>
        <v>2020</v>
      </c>
      <c r="D5921" t="s">
        <v>357</v>
      </c>
      <c r="E5921" t="s">
        <v>314</v>
      </c>
      <c r="F5921">
        <v>1</v>
      </c>
      <c r="G5921">
        <v>1</v>
      </c>
      <c r="H5921" t="s">
        <v>224</v>
      </c>
      <c r="I5921" t="s">
        <v>860</v>
      </c>
      <c r="J5921" t="s">
        <v>357</v>
      </c>
      <c r="K5921" t="b">
        <v>0</v>
      </c>
      <c r="L5921">
        <v>2021</v>
      </c>
      <c r="M5921">
        <v>40529788748</v>
      </c>
      <c r="N5921">
        <v>109703658904</v>
      </c>
      <c r="O5921" t="b">
        <v>1</v>
      </c>
      <c r="P5921">
        <v>0</v>
      </c>
      <c r="Q5921" t="str" cm="1">
        <f t="array" ref="Q5921">_xlfn.IFS(Table1[[#This Row],[Wealthier_Winner]]=-1,"Wealthier Nation Loses",Table1[[#This Row],[Wealthier_Winner]]=0,"Tie",Table1[[#This Row],[Wealthier_Winner]]=1,"Wealthier Nation Wins")</f>
        <v>Tie</v>
      </c>
    </row>
    <row r="5922" spans="1:17" x14ac:dyDescent="0.2">
      <c r="A5922" s="1">
        <v>8551</v>
      </c>
      <c r="B5922" s="2">
        <v>44511</v>
      </c>
      <c r="C5922" s="7">
        <f>_xlfn.FLOOR.MATH(Table1[[#This Row],[year]],10)</f>
        <v>2020</v>
      </c>
      <c r="D5922" t="s">
        <v>514</v>
      </c>
      <c r="E5922" t="s">
        <v>590</v>
      </c>
      <c r="F5922">
        <v>0</v>
      </c>
      <c r="G5922">
        <v>3</v>
      </c>
      <c r="H5922" t="s">
        <v>224</v>
      </c>
      <c r="I5922" t="s">
        <v>515</v>
      </c>
      <c r="J5922" t="s">
        <v>514</v>
      </c>
      <c r="K5922" t="b">
        <v>0</v>
      </c>
      <c r="L5922">
        <v>2021</v>
      </c>
      <c r="M5922">
        <v>11078787090</v>
      </c>
      <c r="N5922">
        <v>22999245262</v>
      </c>
      <c r="O5922" t="b">
        <v>1</v>
      </c>
      <c r="P5922">
        <v>1</v>
      </c>
      <c r="Q5922" t="str" cm="1">
        <f t="array" ref="Q5922">_xlfn.IFS(Table1[[#This Row],[Wealthier_Winner]]=-1,"Wealthier Nation Loses",Table1[[#This Row],[Wealthier_Winner]]=0,"Tie",Table1[[#This Row],[Wealthier_Winner]]=1,"Wealthier Nation Wins")</f>
        <v>Wealthier Nation Wins</v>
      </c>
    </row>
    <row r="5923" spans="1:17" x14ac:dyDescent="0.2">
      <c r="A5923" s="1">
        <v>8552</v>
      </c>
      <c r="B5923" s="2">
        <v>44511</v>
      </c>
      <c r="C5923" s="7">
        <f>_xlfn.FLOOR.MATH(Table1[[#This Row],[year]],10)</f>
        <v>2020</v>
      </c>
      <c r="D5923" t="s">
        <v>238</v>
      </c>
      <c r="E5923" t="s">
        <v>63</v>
      </c>
      <c r="F5923">
        <v>1</v>
      </c>
      <c r="G5923">
        <v>1</v>
      </c>
      <c r="H5923" t="s">
        <v>224</v>
      </c>
      <c r="I5923" t="s">
        <v>160</v>
      </c>
      <c r="J5923" t="s">
        <v>50</v>
      </c>
      <c r="K5923" t="b">
        <v>1</v>
      </c>
      <c r="L5923">
        <v>2021</v>
      </c>
      <c r="M5923">
        <v>109070960371</v>
      </c>
      <c r="N5923">
        <v>79514204730</v>
      </c>
      <c r="O5923" t="b">
        <v>0</v>
      </c>
      <c r="P5923">
        <v>0</v>
      </c>
      <c r="Q5923" t="str" cm="1">
        <f t="array" ref="Q5923">_xlfn.IFS(Table1[[#This Row],[Wealthier_Winner]]=-1,"Wealthier Nation Loses",Table1[[#This Row],[Wealthier_Winner]]=0,"Tie",Table1[[#This Row],[Wealthier_Winner]]=1,"Wealthier Nation Wins")</f>
        <v>Tie</v>
      </c>
    </row>
    <row r="5924" spans="1:17" x14ac:dyDescent="0.2">
      <c r="A5924" s="1">
        <v>8553</v>
      </c>
      <c r="B5924" s="2">
        <v>44511</v>
      </c>
      <c r="C5924" s="7">
        <f>_xlfn.FLOOR.MATH(Table1[[#This Row],[year]],10)</f>
        <v>2020</v>
      </c>
      <c r="D5924" t="s">
        <v>50</v>
      </c>
      <c r="E5924" t="s">
        <v>298</v>
      </c>
      <c r="F5924">
        <v>1</v>
      </c>
      <c r="G5924">
        <v>0</v>
      </c>
      <c r="H5924" t="s">
        <v>224</v>
      </c>
      <c r="I5924" t="s">
        <v>160</v>
      </c>
      <c r="J5924" t="s">
        <v>50</v>
      </c>
      <c r="K5924" t="b">
        <v>0</v>
      </c>
      <c r="L5924">
        <v>2021</v>
      </c>
      <c r="M5924">
        <v>419986284375</v>
      </c>
      <c r="N5924">
        <v>41287673690</v>
      </c>
      <c r="O5924" t="b">
        <v>1</v>
      </c>
      <c r="P5924">
        <v>1</v>
      </c>
      <c r="Q5924" t="str" cm="1">
        <f t="array" ref="Q5924">_xlfn.IFS(Table1[[#This Row],[Wealthier_Winner]]=-1,"Wealthier Nation Loses",Table1[[#This Row],[Wealthier_Winner]]=0,"Tie",Table1[[#This Row],[Wealthier_Winner]]=1,"Wealthier Nation Wins")</f>
        <v>Wealthier Nation Wins</v>
      </c>
    </row>
    <row r="5925" spans="1:17" x14ac:dyDescent="0.2">
      <c r="A5925" s="1">
        <v>8555</v>
      </c>
      <c r="B5925" s="2">
        <v>44511</v>
      </c>
      <c r="C5925" s="7">
        <f>_xlfn.FLOOR.MATH(Table1[[#This Row],[year]],10)</f>
        <v>2020</v>
      </c>
      <c r="D5925" t="s">
        <v>62</v>
      </c>
      <c r="E5925" t="s">
        <v>54</v>
      </c>
      <c r="F5925">
        <v>1</v>
      </c>
      <c r="G5925">
        <v>1</v>
      </c>
      <c r="H5925" t="s">
        <v>224</v>
      </c>
      <c r="I5925" t="s">
        <v>353</v>
      </c>
      <c r="J5925" t="s">
        <v>62</v>
      </c>
      <c r="K5925" t="b">
        <v>0</v>
      </c>
      <c r="L5925">
        <v>2021</v>
      </c>
      <c r="M5925">
        <v>8541668141</v>
      </c>
      <c r="N5925">
        <v>27520784129</v>
      </c>
      <c r="O5925" t="b">
        <v>1</v>
      </c>
      <c r="P5925">
        <v>0</v>
      </c>
      <c r="Q5925" t="str" cm="1">
        <f t="array" ref="Q5925">_xlfn.IFS(Table1[[#This Row],[Wealthier_Winner]]=-1,"Wealthier Nation Loses",Table1[[#This Row],[Wealthier_Winner]]=0,"Tie",Table1[[#This Row],[Wealthier_Winner]]=1,"Wealthier Nation Wins")</f>
        <v>Tie</v>
      </c>
    </row>
    <row r="5926" spans="1:17" x14ac:dyDescent="0.2">
      <c r="A5926" s="1">
        <v>8557</v>
      </c>
      <c r="B5926" s="2">
        <v>44511</v>
      </c>
      <c r="C5926" s="7">
        <f>_xlfn.FLOOR.MATH(Table1[[#This Row],[year]],10)</f>
        <v>2020</v>
      </c>
      <c r="D5926" t="s">
        <v>310</v>
      </c>
      <c r="E5926" t="s">
        <v>410</v>
      </c>
      <c r="F5926">
        <v>2</v>
      </c>
      <c r="G5926">
        <v>0</v>
      </c>
      <c r="H5926" t="s">
        <v>224</v>
      </c>
      <c r="I5926" t="s">
        <v>311</v>
      </c>
      <c r="J5926" t="s">
        <v>310</v>
      </c>
      <c r="K5926" t="b">
        <v>0</v>
      </c>
      <c r="L5926">
        <v>2021</v>
      </c>
      <c r="M5926">
        <v>17687623530</v>
      </c>
      <c r="N5926">
        <v>14354731964</v>
      </c>
      <c r="O5926" t="b">
        <v>0</v>
      </c>
      <c r="P5926">
        <v>1</v>
      </c>
      <c r="Q5926" t="str" cm="1">
        <f t="array" ref="Q5926">_xlfn.IFS(Table1[[#This Row],[Wealthier_Winner]]=-1,"Wealthier Nation Loses",Table1[[#This Row],[Wealthier_Winner]]=0,"Tie",Table1[[#This Row],[Wealthier_Winner]]=1,"Wealthier Nation Wins")</f>
        <v>Wealthier Nation Wins</v>
      </c>
    </row>
    <row r="5927" spans="1:17" x14ac:dyDescent="0.2">
      <c r="A5927" s="1">
        <v>8558</v>
      </c>
      <c r="B5927" s="2">
        <v>44511</v>
      </c>
      <c r="C5927" s="7">
        <f>_xlfn.FLOOR.MATH(Table1[[#This Row],[year]],10)</f>
        <v>2020</v>
      </c>
      <c r="D5927" t="s">
        <v>479</v>
      </c>
      <c r="E5927" t="s">
        <v>210</v>
      </c>
      <c r="F5927">
        <v>1</v>
      </c>
      <c r="G5927">
        <v>2</v>
      </c>
      <c r="H5927" t="s">
        <v>224</v>
      </c>
      <c r="I5927" t="s">
        <v>687</v>
      </c>
      <c r="J5927" t="s">
        <v>479</v>
      </c>
      <c r="K5927" t="b">
        <v>0</v>
      </c>
      <c r="L5927">
        <v>2021</v>
      </c>
      <c r="M5927">
        <v>23131941556</v>
      </c>
      <c r="N5927">
        <v>407350685583</v>
      </c>
      <c r="O5927" t="b">
        <v>1</v>
      </c>
      <c r="P5927">
        <v>1</v>
      </c>
      <c r="Q5927" t="str" cm="1">
        <f t="array" ref="Q5927">_xlfn.IFS(Table1[[#This Row],[Wealthier_Winner]]=-1,"Wealthier Nation Loses",Table1[[#This Row],[Wealthier_Winner]]=0,"Tie",Table1[[#This Row],[Wealthier_Winner]]=1,"Wealthier Nation Wins")</f>
        <v>Wealthier Nation Wins</v>
      </c>
    </row>
    <row r="5928" spans="1:17" x14ac:dyDescent="0.2">
      <c r="A5928" s="1">
        <v>8559</v>
      </c>
      <c r="B5928" s="2">
        <v>44511</v>
      </c>
      <c r="C5928" s="7">
        <f>_xlfn.FLOOR.MATH(Table1[[#This Row],[year]],10)</f>
        <v>2020</v>
      </c>
      <c r="D5928" t="s">
        <v>37</v>
      </c>
      <c r="E5928" t="s">
        <v>331</v>
      </c>
      <c r="F5928">
        <v>1</v>
      </c>
      <c r="G5928">
        <v>1</v>
      </c>
      <c r="H5928" t="s">
        <v>224</v>
      </c>
      <c r="I5928" t="s">
        <v>192</v>
      </c>
      <c r="J5928" t="s">
        <v>68</v>
      </c>
      <c r="K5928" t="b">
        <v>1</v>
      </c>
      <c r="L5928">
        <v>2021</v>
      </c>
      <c r="M5928">
        <v>209691945713</v>
      </c>
      <c r="N5928">
        <v>14353205678</v>
      </c>
      <c r="O5928" t="b">
        <v>1</v>
      </c>
      <c r="P5928">
        <v>0</v>
      </c>
      <c r="Q5928" t="str" cm="1">
        <f t="array" ref="Q5928">_xlfn.IFS(Table1[[#This Row],[Wealthier_Winner]]=-1,"Wealthier Nation Loses",Table1[[#This Row],[Wealthier_Winner]]=0,"Tie",Table1[[#This Row],[Wealthier_Winner]]=1,"Wealthier Nation Wins")</f>
        <v>Tie</v>
      </c>
    </row>
    <row r="5929" spans="1:17" x14ac:dyDescent="0.2">
      <c r="A5929" s="1">
        <v>8560</v>
      </c>
      <c r="B5929" s="2">
        <v>44511</v>
      </c>
      <c r="C5929" s="7">
        <f>_xlfn.FLOOR.MATH(Table1[[#This Row],[year]],10)</f>
        <v>2020</v>
      </c>
      <c r="D5929" t="s">
        <v>195</v>
      </c>
      <c r="E5929" t="s">
        <v>39</v>
      </c>
      <c r="F5929">
        <v>1</v>
      </c>
      <c r="G5929">
        <v>0</v>
      </c>
      <c r="H5929" t="s">
        <v>224</v>
      </c>
      <c r="I5929" t="s">
        <v>745</v>
      </c>
      <c r="J5929" t="s">
        <v>195</v>
      </c>
      <c r="K5929" t="b">
        <v>0</v>
      </c>
      <c r="L5929">
        <v>2021</v>
      </c>
      <c r="M5929">
        <v>1942313560965</v>
      </c>
      <c r="N5929">
        <v>422441388699</v>
      </c>
      <c r="O5929" t="b">
        <v>1</v>
      </c>
      <c r="P5929">
        <v>1</v>
      </c>
      <c r="Q5929" t="str" cm="1">
        <f t="array" ref="Q5929">_xlfn.IFS(Table1[[#This Row],[Wealthier_Winner]]=-1,"Wealthier Nation Loses",Table1[[#This Row],[Wealthier_Winner]]=0,"Tie",Table1[[#This Row],[Wealthier_Winner]]=1,"Wealthier Nation Wins")</f>
        <v>Wealthier Nation Wins</v>
      </c>
    </row>
    <row r="5930" spans="1:17" x14ac:dyDescent="0.2">
      <c r="A5930" s="1">
        <v>8562</v>
      </c>
      <c r="B5930" s="2">
        <v>44511</v>
      </c>
      <c r="C5930" s="7">
        <f>_xlfn.FLOOR.MATH(Table1[[#This Row],[year]],10)</f>
        <v>2020</v>
      </c>
      <c r="D5930" t="s">
        <v>475</v>
      </c>
      <c r="E5930" t="s">
        <v>51</v>
      </c>
      <c r="F5930">
        <v>0</v>
      </c>
      <c r="G5930">
        <v>1</v>
      </c>
      <c r="H5930" t="s">
        <v>224</v>
      </c>
      <c r="I5930" t="s">
        <v>647</v>
      </c>
      <c r="J5930" t="s">
        <v>475</v>
      </c>
      <c r="K5930" t="b">
        <v>0</v>
      </c>
      <c r="L5930">
        <v>2021</v>
      </c>
      <c r="M5930">
        <v>366474752771</v>
      </c>
      <c r="N5930">
        <v>5039148168861</v>
      </c>
      <c r="O5930" t="b">
        <v>1</v>
      </c>
      <c r="P5930">
        <v>1</v>
      </c>
      <c r="Q5930" t="str" cm="1">
        <f t="array" ref="Q5930">_xlfn.IFS(Table1[[#This Row],[Wealthier_Winner]]=-1,"Wealthier Nation Loses",Table1[[#This Row],[Wealthier_Winner]]=0,"Tie",Table1[[#This Row],[Wealthier_Winner]]=1,"Wealthier Nation Wins")</f>
        <v>Wealthier Nation Wins</v>
      </c>
    </row>
    <row r="5931" spans="1:17" x14ac:dyDescent="0.2">
      <c r="A5931" s="1">
        <v>8563</v>
      </c>
      <c r="B5931" s="2">
        <v>44511</v>
      </c>
      <c r="C5931" s="7">
        <f>_xlfn.FLOOR.MATH(Table1[[#This Row],[year]],10)</f>
        <v>2020</v>
      </c>
      <c r="D5931" t="s">
        <v>28</v>
      </c>
      <c r="E5931" t="s">
        <v>45</v>
      </c>
      <c r="F5931">
        <v>0</v>
      </c>
      <c r="G5931">
        <v>0</v>
      </c>
      <c r="H5931" t="s">
        <v>224</v>
      </c>
      <c r="I5931" t="s">
        <v>301</v>
      </c>
      <c r="J5931" t="s">
        <v>28</v>
      </c>
      <c r="K5931" t="b">
        <v>0</v>
      </c>
      <c r="L5931">
        <v>2021</v>
      </c>
      <c r="M5931">
        <v>1560617493202</v>
      </c>
      <c r="N5931">
        <v>982661066666</v>
      </c>
      <c r="O5931" t="b">
        <v>0</v>
      </c>
      <c r="P5931">
        <v>0</v>
      </c>
      <c r="Q5931" t="str" cm="1">
        <f t="array" ref="Q5931">_xlfn.IFS(Table1[[#This Row],[Wealthier_Winner]]=-1,"Wealthier Nation Loses",Table1[[#This Row],[Wealthier_Winner]]=0,"Tie",Table1[[#This Row],[Wealthier_Winner]]=1,"Wealthier Nation Wins")</f>
        <v>Tie</v>
      </c>
    </row>
    <row r="5932" spans="1:17" x14ac:dyDescent="0.2">
      <c r="A5932" s="1">
        <v>8565</v>
      </c>
      <c r="B5932" s="2">
        <v>44511</v>
      </c>
      <c r="C5932" s="7">
        <f>_xlfn.FLOOR.MATH(Table1[[#This Row],[year]],10)</f>
        <v>2020</v>
      </c>
      <c r="D5932" t="s">
        <v>513</v>
      </c>
      <c r="E5932" t="s">
        <v>232</v>
      </c>
      <c r="F5932">
        <v>1</v>
      </c>
      <c r="G5932">
        <v>3</v>
      </c>
      <c r="H5932" t="s">
        <v>224</v>
      </c>
      <c r="I5932" t="s">
        <v>521</v>
      </c>
      <c r="J5932" t="s">
        <v>513</v>
      </c>
      <c r="K5932" t="b">
        <v>0</v>
      </c>
      <c r="L5932">
        <v>2021</v>
      </c>
      <c r="M5932">
        <v>54825411764</v>
      </c>
      <c r="N5932">
        <v>86386759695</v>
      </c>
      <c r="O5932" t="b">
        <v>0</v>
      </c>
      <c r="P5932">
        <v>1</v>
      </c>
      <c r="Q5932" t="str" cm="1">
        <f t="array" ref="Q5932">_xlfn.IFS(Table1[[#This Row],[Wealthier_Winner]]=-1,"Wealthier Nation Loses",Table1[[#This Row],[Wealthier_Winner]]=0,"Tie",Table1[[#This Row],[Wealthier_Winner]]=1,"Wealthier Nation Wins")</f>
        <v>Wealthier Nation Wins</v>
      </c>
    </row>
    <row r="5933" spans="1:17" x14ac:dyDescent="0.2">
      <c r="A5933" s="1">
        <v>8566</v>
      </c>
      <c r="B5933" s="2">
        <v>44511</v>
      </c>
      <c r="C5933" s="7">
        <f>_xlfn.FLOOR.MATH(Table1[[#This Row],[year]],10)</f>
        <v>2020</v>
      </c>
      <c r="D5933" t="s">
        <v>534</v>
      </c>
      <c r="E5933" t="s">
        <v>25</v>
      </c>
      <c r="F5933">
        <v>2</v>
      </c>
      <c r="G5933">
        <v>0</v>
      </c>
      <c r="H5933" t="s">
        <v>224</v>
      </c>
      <c r="I5933" t="s">
        <v>569</v>
      </c>
      <c r="J5933" t="s">
        <v>534</v>
      </c>
      <c r="K5933" t="b">
        <v>0</v>
      </c>
      <c r="L5933">
        <v>2021</v>
      </c>
      <c r="M5933">
        <v>18853115588</v>
      </c>
      <c r="N5933">
        <v>631693331300</v>
      </c>
      <c r="O5933" t="b">
        <v>1</v>
      </c>
      <c r="P5933">
        <v>-1</v>
      </c>
      <c r="Q5933" t="str" cm="1">
        <f t="array" ref="Q5933">_xlfn.IFS(Table1[[#This Row],[Wealthier_Winner]]=-1,"Wealthier Nation Loses",Table1[[#This Row],[Wealthier_Winner]]=0,"Tie",Table1[[#This Row],[Wealthier_Winner]]=1,"Wealthier Nation Wins")</f>
        <v>Wealthier Nation Loses</v>
      </c>
    </row>
    <row r="5934" spans="1:17" x14ac:dyDescent="0.2">
      <c r="A5934" s="1">
        <v>8567</v>
      </c>
      <c r="B5934" s="2">
        <v>44511</v>
      </c>
      <c r="C5934" s="7">
        <f>_xlfn.FLOOR.MATH(Table1[[#This Row],[year]],10)</f>
        <v>2020</v>
      </c>
      <c r="D5934" t="s">
        <v>48</v>
      </c>
      <c r="E5934" t="s">
        <v>21</v>
      </c>
      <c r="F5934">
        <v>0</v>
      </c>
      <c r="G5934">
        <v>1</v>
      </c>
      <c r="H5934" t="s">
        <v>224</v>
      </c>
      <c r="I5934" t="s">
        <v>236</v>
      </c>
      <c r="J5934" t="s">
        <v>48</v>
      </c>
      <c r="K5934" t="b">
        <v>0</v>
      </c>
      <c r="L5934">
        <v>2021</v>
      </c>
      <c r="M5934">
        <v>218303801895</v>
      </c>
      <c r="N5934">
        <v>1461244901852</v>
      </c>
      <c r="O5934" t="b">
        <v>1</v>
      </c>
      <c r="P5934">
        <v>1</v>
      </c>
      <c r="Q5934" t="str" cm="1">
        <f t="array" ref="Q5934">_xlfn.IFS(Table1[[#This Row],[Wealthier_Winner]]=-1,"Wealthier Nation Loses",Table1[[#This Row],[Wealthier_Winner]]=0,"Tie",Table1[[#This Row],[Wealthier_Winner]]=1,"Wealthier Nation Wins")</f>
        <v>Wealthier Nation Wins</v>
      </c>
    </row>
    <row r="5935" spans="1:17" x14ac:dyDescent="0.2">
      <c r="A5935" s="1">
        <v>8568</v>
      </c>
      <c r="B5935" s="2">
        <v>44511</v>
      </c>
      <c r="C5935" s="7">
        <f>_xlfn.FLOOR.MATH(Table1[[#This Row],[year]],10)</f>
        <v>2020</v>
      </c>
      <c r="D5935" t="s">
        <v>196</v>
      </c>
      <c r="E5935" t="s">
        <v>351</v>
      </c>
      <c r="F5935">
        <v>6</v>
      </c>
      <c r="G5935">
        <v>0</v>
      </c>
      <c r="H5935" t="s">
        <v>224</v>
      </c>
      <c r="I5935" t="s">
        <v>187</v>
      </c>
      <c r="J5935" t="s">
        <v>196</v>
      </c>
      <c r="K5935" t="b">
        <v>0</v>
      </c>
      <c r="L5935">
        <v>2021</v>
      </c>
      <c r="M5935">
        <v>1829186719575</v>
      </c>
      <c r="N5935">
        <v>30372642502</v>
      </c>
      <c r="O5935" t="b">
        <v>1</v>
      </c>
      <c r="P5935">
        <v>1</v>
      </c>
      <c r="Q5935" t="str" cm="1">
        <f t="array" ref="Q5935">_xlfn.IFS(Table1[[#This Row],[Wealthier_Winner]]=-1,"Wealthier Nation Loses",Table1[[#This Row],[Wealthier_Winner]]=0,"Tie",Table1[[#This Row],[Wealthier_Winner]]=1,"Wealthier Nation Wins")</f>
        <v>Wealthier Nation Wins</v>
      </c>
    </row>
    <row r="5936" spans="1:17" x14ac:dyDescent="0.2">
      <c r="A5936" s="1">
        <v>8569</v>
      </c>
      <c r="B5936" s="2">
        <v>44511</v>
      </c>
      <c r="C5936" s="7">
        <f>_xlfn.FLOOR.MATH(Table1[[#This Row],[year]],10)</f>
        <v>2020</v>
      </c>
      <c r="D5936" t="s">
        <v>303</v>
      </c>
      <c r="E5936" t="s">
        <v>52</v>
      </c>
      <c r="F5936">
        <v>1</v>
      </c>
      <c r="G5936">
        <v>7</v>
      </c>
      <c r="H5936" t="s">
        <v>224</v>
      </c>
      <c r="I5936" t="s">
        <v>837</v>
      </c>
      <c r="J5936" t="s">
        <v>303</v>
      </c>
      <c r="K5936" t="b">
        <v>0</v>
      </c>
      <c r="L5936">
        <v>2021</v>
      </c>
      <c r="M5936">
        <v>19739875611</v>
      </c>
      <c r="N5936">
        <v>69002365163</v>
      </c>
      <c r="O5936" t="b">
        <v>1</v>
      </c>
      <c r="P5936">
        <v>1</v>
      </c>
      <c r="Q5936" t="str" cm="1">
        <f t="array" ref="Q5936">_xlfn.IFS(Table1[[#This Row],[Wealthier_Winner]]=-1,"Wealthier Nation Loses",Table1[[#This Row],[Wealthier_Winner]]=0,"Tie",Table1[[#This Row],[Wealthier_Winner]]=1,"Wealthier Nation Wins")</f>
        <v>Wealthier Nation Wins</v>
      </c>
    </row>
    <row r="5937" spans="1:17" x14ac:dyDescent="0.2">
      <c r="A5937" s="1">
        <v>8571</v>
      </c>
      <c r="B5937" s="2">
        <v>44511</v>
      </c>
      <c r="C5937" s="7">
        <f>_xlfn.FLOOR.MATH(Table1[[#This Row],[year]],10)</f>
        <v>2020</v>
      </c>
      <c r="D5937" t="s">
        <v>16</v>
      </c>
      <c r="E5937" t="s">
        <v>503</v>
      </c>
      <c r="F5937">
        <v>9</v>
      </c>
      <c r="G5937">
        <v>0</v>
      </c>
      <c r="H5937" t="s">
        <v>224</v>
      </c>
      <c r="I5937" t="s">
        <v>865</v>
      </c>
      <c r="J5937" t="s">
        <v>16</v>
      </c>
      <c r="K5937" t="b">
        <v>0</v>
      </c>
      <c r="L5937">
        <v>2021</v>
      </c>
      <c r="M5937">
        <v>4355251953410</v>
      </c>
      <c r="N5937">
        <v>7912602342</v>
      </c>
      <c r="O5937" t="b">
        <v>1</v>
      </c>
      <c r="P5937">
        <v>1</v>
      </c>
      <c r="Q5937" t="str" cm="1">
        <f t="array" ref="Q5937">_xlfn.IFS(Table1[[#This Row],[Wealthier_Winner]]=-1,"Wealthier Nation Loses",Table1[[#This Row],[Wealthier_Winner]]=0,"Tie",Table1[[#This Row],[Wealthier_Winner]]=1,"Wealthier Nation Wins")</f>
        <v>Wealthier Nation Wins</v>
      </c>
    </row>
    <row r="5938" spans="1:17" x14ac:dyDescent="0.2">
      <c r="A5938" s="1">
        <v>8572</v>
      </c>
      <c r="B5938" s="2">
        <v>44511</v>
      </c>
      <c r="C5938" s="7">
        <f>_xlfn.FLOOR.MATH(Table1[[#This Row],[year]],10)</f>
        <v>2020</v>
      </c>
      <c r="D5938" t="s">
        <v>519</v>
      </c>
      <c r="E5938" t="s">
        <v>502</v>
      </c>
      <c r="F5938">
        <v>0</v>
      </c>
      <c r="G5938">
        <v>5</v>
      </c>
      <c r="H5938" t="s">
        <v>224</v>
      </c>
      <c r="I5938" t="s">
        <v>520</v>
      </c>
      <c r="J5938" t="s">
        <v>519</v>
      </c>
      <c r="K5938" t="b">
        <v>0</v>
      </c>
      <c r="L5938">
        <v>2021</v>
      </c>
      <c r="M5938">
        <v>13878908628</v>
      </c>
      <c r="N5938">
        <v>14000283827</v>
      </c>
      <c r="O5938" t="b">
        <v>0</v>
      </c>
      <c r="P5938">
        <v>1</v>
      </c>
      <c r="Q5938" t="str" cm="1">
        <f t="array" ref="Q5938">_xlfn.IFS(Table1[[#This Row],[Wealthier_Winner]]=-1,"Wealthier Nation Loses",Table1[[#This Row],[Wealthier_Winner]]=0,"Tie",Table1[[#This Row],[Wealthier_Winner]]=1,"Wealthier Nation Wins")</f>
        <v>Wealthier Nation Wins</v>
      </c>
    </row>
    <row r="5939" spans="1:17" x14ac:dyDescent="0.2">
      <c r="A5939" s="1">
        <v>8573</v>
      </c>
      <c r="B5939" s="2">
        <v>44511</v>
      </c>
      <c r="C5939" s="7">
        <f>_xlfn.FLOOR.MATH(Table1[[#This Row],[year]],10)</f>
        <v>2020</v>
      </c>
      <c r="D5939" t="s">
        <v>44</v>
      </c>
      <c r="E5939" t="s">
        <v>66</v>
      </c>
      <c r="F5939">
        <v>0</v>
      </c>
      <c r="G5939">
        <v>0</v>
      </c>
      <c r="H5939" t="s">
        <v>224</v>
      </c>
      <c r="I5939" t="s">
        <v>425</v>
      </c>
      <c r="J5939" t="s">
        <v>44</v>
      </c>
      <c r="K5939" t="b">
        <v>0</v>
      </c>
      <c r="L5939">
        <v>2021</v>
      </c>
      <c r="M5939">
        <v>285071280114</v>
      </c>
      <c r="N5939">
        <v>26234872402</v>
      </c>
      <c r="O5939" t="b">
        <v>1</v>
      </c>
      <c r="P5939">
        <v>0</v>
      </c>
      <c r="Q5939" t="str" cm="1">
        <f t="array" ref="Q5939">_xlfn.IFS(Table1[[#This Row],[Wealthier_Winner]]=-1,"Wealthier Nation Loses",Table1[[#This Row],[Wealthier_Winner]]=0,"Tie",Table1[[#This Row],[Wealthier_Winner]]=1,"Wealthier Nation Wins")</f>
        <v>Tie</v>
      </c>
    </row>
    <row r="5940" spans="1:17" x14ac:dyDescent="0.2">
      <c r="A5940" s="1">
        <v>8574</v>
      </c>
      <c r="B5940" s="2">
        <v>44511</v>
      </c>
      <c r="C5940" s="7">
        <f>_xlfn.FLOOR.MATH(Table1[[#This Row],[year]],10)</f>
        <v>2020</v>
      </c>
      <c r="D5940" t="s">
        <v>57</v>
      </c>
      <c r="E5940" t="s">
        <v>258</v>
      </c>
      <c r="F5940">
        <v>1</v>
      </c>
      <c r="G5940">
        <v>0</v>
      </c>
      <c r="H5940" t="s">
        <v>224</v>
      </c>
      <c r="I5940" t="s">
        <v>335</v>
      </c>
      <c r="J5940" t="s">
        <v>57</v>
      </c>
      <c r="K5940" t="b">
        <v>0</v>
      </c>
      <c r="L5940">
        <v>2021</v>
      </c>
      <c r="M5940">
        <v>107179074000</v>
      </c>
      <c r="N5940">
        <v>56614976854</v>
      </c>
      <c r="O5940" t="b">
        <v>0</v>
      </c>
      <c r="P5940">
        <v>1</v>
      </c>
      <c r="Q5940" t="str" cm="1">
        <f t="array" ref="Q5940">_xlfn.IFS(Table1[[#This Row],[Wealthier_Winner]]=-1,"Wealthier Nation Loses",Table1[[#This Row],[Wealthier_Winner]]=0,"Tie",Table1[[#This Row],[Wealthier_Winner]]=1,"Wealthier Nation Wins")</f>
        <v>Wealthier Nation Wins</v>
      </c>
    </row>
    <row r="5941" spans="1:17" x14ac:dyDescent="0.2">
      <c r="A5941" s="1">
        <v>8575</v>
      </c>
      <c r="B5941" s="2">
        <v>44511</v>
      </c>
      <c r="C5941" s="7">
        <f>_xlfn.FLOOR.MATH(Table1[[#This Row],[year]],10)</f>
        <v>2020</v>
      </c>
      <c r="D5941" t="s">
        <v>35</v>
      </c>
      <c r="E5941" t="s">
        <v>14</v>
      </c>
      <c r="F5941">
        <v>0</v>
      </c>
      <c r="G5941">
        <v>1</v>
      </c>
      <c r="H5941" t="s">
        <v>224</v>
      </c>
      <c r="I5941" t="s">
        <v>250</v>
      </c>
      <c r="J5941" t="s">
        <v>35</v>
      </c>
      <c r="K5941" t="b">
        <v>0</v>
      </c>
      <c r="L5941">
        <v>2021</v>
      </c>
      <c r="M5941">
        <v>39950899938</v>
      </c>
      <c r="N5941">
        <v>315325547162</v>
      </c>
      <c r="O5941" t="b">
        <v>1</v>
      </c>
      <c r="P5941">
        <v>1</v>
      </c>
      <c r="Q5941" t="str" cm="1">
        <f t="array" ref="Q5941">_xlfn.IFS(Table1[[#This Row],[Wealthier_Winner]]=-1,"Wealthier Nation Loses",Table1[[#This Row],[Wealthier_Winner]]=0,"Tie",Table1[[#This Row],[Wealthier_Winner]]=1,"Wealthier Nation Wins")</f>
        <v>Wealthier Nation Wins</v>
      </c>
    </row>
    <row r="5942" spans="1:17" x14ac:dyDescent="0.2">
      <c r="A5942" s="1">
        <v>8576</v>
      </c>
      <c r="B5942" s="2">
        <v>44511</v>
      </c>
      <c r="C5942" s="7">
        <f>_xlfn.FLOOR.MATH(Table1[[#This Row],[year]],10)</f>
        <v>2020</v>
      </c>
      <c r="D5942" t="s">
        <v>31</v>
      </c>
      <c r="E5942" t="s">
        <v>47</v>
      </c>
      <c r="F5942">
        <v>3</v>
      </c>
      <c r="G5942">
        <v>0</v>
      </c>
      <c r="H5942" t="s">
        <v>224</v>
      </c>
      <c r="I5942" t="s">
        <v>242</v>
      </c>
      <c r="J5942" t="s">
        <v>31</v>
      </c>
      <c r="K5942" t="b">
        <v>0</v>
      </c>
      <c r="L5942">
        <v>2021</v>
      </c>
      <c r="M5942">
        <v>226328766459</v>
      </c>
      <c r="N5942">
        <v>47877892402</v>
      </c>
      <c r="O5942" t="b">
        <v>1</v>
      </c>
      <c r="P5942">
        <v>1</v>
      </c>
      <c r="Q5942" t="str" cm="1">
        <f t="array" ref="Q5942">_xlfn.IFS(Table1[[#This Row],[Wealthier_Winner]]=-1,"Wealthier Nation Loses",Table1[[#This Row],[Wealthier_Winner]]=0,"Tie",Table1[[#This Row],[Wealthier_Winner]]=1,"Wealthier Nation Wins")</f>
        <v>Wealthier Nation Wins</v>
      </c>
    </row>
    <row r="5943" spans="1:17" x14ac:dyDescent="0.2">
      <c r="A5943" s="1">
        <v>8577</v>
      </c>
      <c r="B5943" s="2">
        <v>44511</v>
      </c>
      <c r="C5943" s="7">
        <f>_xlfn.FLOOR.MATH(Table1[[#This Row],[year]],10)</f>
        <v>2020</v>
      </c>
      <c r="D5943" t="s">
        <v>13</v>
      </c>
      <c r="E5943" t="s">
        <v>15</v>
      </c>
      <c r="F5943">
        <v>1</v>
      </c>
      <c r="G5943">
        <v>0</v>
      </c>
      <c r="H5943" t="s">
        <v>224</v>
      </c>
      <c r="I5943" t="s">
        <v>417</v>
      </c>
      <c r="J5943" t="s">
        <v>13</v>
      </c>
      <c r="K5943" t="b">
        <v>0</v>
      </c>
      <c r="L5943">
        <v>2021</v>
      </c>
      <c r="M5943">
        <v>1670647464062</v>
      </c>
      <c r="N5943">
        <v>318524633225</v>
      </c>
      <c r="O5943" t="b">
        <v>1</v>
      </c>
      <c r="P5943">
        <v>1</v>
      </c>
      <c r="Q5943" t="str" cm="1">
        <f t="array" ref="Q5943">_xlfn.IFS(Table1[[#This Row],[Wealthier_Winner]]=-1,"Wealthier Nation Loses",Table1[[#This Row],[Wealthier_Winner]]=0,"Tie",Table1[[#This Row],[Wealthier_Winner]]=1,"Wealthier Nation Wins")</f>
        <v>Wealthier Nation Wins</v>
      </c>
    </row>
    <row r="5944" spans="1:17" x14ac:dyDescent="0.2">
      <c r="A5944" s="1">
        <v>8578</v>
      </c>
      <c r="B5944" s="2">
        <v>44512</v>
      </c>
      <c r="C5944" s="7">
        <f>_xlfn.FLOOR.MATH(Table1[[#This Row],[year]],10)</f>
        <v>2020</v>
      </c>
      <c r="D5944" t="s">
        <v>345</v>
      </c>
      <c r="E5944" t="s">
        <v>343</v>
      </c>
      <c r="F5944">
        <v>1</v>
      </c>
      <c r="G5944">
        <v>1</v>
      </c>
      <c r="H5944" t="s">
        <v>224</v>
      </c>
      <c r="I5944" t="s">
        <v>761</v>
      </c>
      <c r="J5944" t="s">
        <v>24</v>
      </c>
      <c r="K5944" t="b">
        <v>1</v>
      </c>
      <c r="L5944">
        <v>2021</v>
      </c>
      <c r="M5944">
        <v>19697516284</v>
      </c>
      <c r="N5944">
        <v>14915002436</v>
      </c>
      <c r="O5944" t="b">
        <v>0</v>
      </c>
      <c r="P5944">
        <v>0</v>
      </c>
      <c r="Q5944" t="str" cm="1">
        <f t="array" ref="Q5944">_xlfn.IFS(Table1[[#This Row],[Wealthier_Winner]]=-1,"Wealthier Nation Loses",Table1[[#This Row],[Wealthier_Winner]]=0,"Tie",Table1[[#This Row],[Wealthier_Winner]]=1,"Wealthier Nation Wins")</f>
        <v>Tie</v>
      </c>
    </row>
    <row r="5945" spans="1:17" x14ac:dyDescent="0.2">
      <c r="A5945" s="1">
        <v>8579</v>
      </c>
      <c r="B5945" s="2">
        <v>44512</v>
      </c>
      <c r="C5945" s="7">
        <f>_xlfn.FLOOR.MATH(Table1[[#This Row],[year]],10)</f>
        <v>2020</v>
      </c>
      <c r="D5945" t="s">
        <v>694</v>
      </c>
      <c r="E5945" t="s">
        <v>32</v>
      </c>
      <c r="F5945">
        <v>0</v>
      </c>
      <c r="G5945">
        <v>4</v>
      </c>
      <c r="H5945" t="s">
        <v>224</v>
      </c>
      <c r="I5945" t="s">
        <v>322</v>
      </c>
      <c r="J5945" t="s">
        <v>212</v>
      </c>
      <c r="K5945" t="b">
        <v>1</v>
      </c>
      <c r="L5945">
        <v>2021</v>
      </c>
      <c r="M5945">
        <v>3392796953</v>
      </c>
      <c r="N5945">
        <v>186231205262</v>
      </c>
      <c r="O5945" t="b">
        <v>1</v>
      </c>
      <c r="P5945">
        <v>1</v>
      </c>
      <c r="Q5945" t="str" cm="1">
        <f t="array" ref="Q5945">_xlfn.IFS(Table1[[#This Row],[Wealthier_Winner]]=-1,"Wealthier Nation Loses",Table1[[#This Row],[Wealthier_Winner]]=0,"Tie",Table1[[#This Row],[Wealthier_Winner]]=1,"Wealthier Nation Wins")</f>
        <v>Wealthier Nation Wins</v>
      </c>
    </row>
    <row r="5946" spans="1:17" x14ac:dyDescent="0.2">
      <c r="A5946" s="1">
        <v>8580</v>
      </c>
      <c r="B5946" s="2">
        <v>44512</v>
      </c>
      <c r="C5946" s="7">
        <f>_xlfn.FLOOR.MATH(Table1[[#This Row],[year]],10)</f>
        <v>2020</v>
      </c>
      <c r="D5946" t="s">
        <v>433</v>
      </c>
      <c r="E5946" t="s">
        <v>286</v>
      </c>
      <c r="F5946">
        <v>1</v>
      </c>
      <c r="G5946">
        <v>0</v>
      </c>
      <c r="H5946" t="s">
        <v>224</v>
      </c>
      <c r="I5946" t="s">
        <v>765</v>
      </c>
      <c r="J5946" t="s">
        <v>433</v>
      </c>
      <c r="K5946" t="b">
        <v>0</v>
      </c>
      <c r="L5946">
        <v>2021</v>
      </c>
      <c r="M5946">
        <v>19444935097</v>
      </c>
      <c r="N5946">
        <v>35217995647</v>
      </c>
      <c r="O5946" t="b">
        <v>0</v>
      </c>
      <c r="P5946">
        <v>-1</v>
      </c>
      <c r="Q5946" t="str" cm="1">
        <f t="array" ref="Q5946">_xlfn.IFS(Table1[[#This Row],[Wealthier_Winner]]=-1,"Wealthier Nation Loses",Table1[[#This Row],[Wealthier_Winner]]=0,"Tie",Table1[[#This Row],[Wealthier_Winner]]=1,"Wealthier Nation Wins")</f>
        <v>Wealthier Nation Loses</v>
      </c>
    </row>
    <row r="5947" spans="1:17" x14ac:dyDescent="0.2">
      <c r="A5947" s="1">
        <v>8581</v>
      </c>
      <c r="B5947" s="2">
        <v>44512</v>
      </c>
      <c r="C5947" s="7">
        <f>_xlfn.FLOOR.MATH(Table1[[#This Row],[year]],10)</f>
        <v>2020</v>
      </c>
      <c r="D5947" t="s">
        <v>60</v>
      </c>
      <c r="E5947" t="s">
        <v>212</v>
      </c>
      <c r="F5947">
        <v>2</v>
      </c>
      <c r="G5947">
        <v>2</v>
      </c>
      <c r="H5947" t="s">
        <v>224</v>
      </c>
      <c r="I5947" t="s">
        <v>396</v>
      </c>
      <c r="J5947" t="s">
        <v>60</v>
      </c>
      <c r="K5947" t="b">
        <v>0</v>
      </c>
      <c r="L5947">
        <v>2021</v>
      </c>
      <c r="M5947">
        <v>79559543805</v>
      </c>
      <c r="N5947">
        <v>424671765455</v>
      </c>
      <c r="O5947" t="b">
        <v>1</v>
      </c>
      <c r="P5947">
        <v>0</v>
      </c>
      <c r="Q5947" t="str" cm="1">
        <f t="array" ref="Q5947">_xlfn.IFS(Table1[[#This Row],[Wealthier_Winner]]=-1,"Wealthier Nation Loses",Table1[[#This Row],[Wealthier_Winner]]=0,"Tie",Table1[[#This Row],[Wealthier_Winner]]=1,"Wealthier Nation Wins")</f>
        <v>Tie</v>
      </c>
    </row>
    <row r="5948" spans="1:17" x14ac:dyDescent="0.2">
      <c r="A5948" s="1">
        <v>8582</v>
      </c>
      <c r="B5948" s="2">
        <v>44512</v>
      </c>
      <c r="C5948" s="7">
        <f>_xlfn.FLOOR.MATH(Table1[[#This Row],[year]],10)</f>
        <v>2020</v>
      </c>
      <c r="D5948" t="s">
        <v>305</v>
      </c>
      <c r="E5948" t="s">
        <v>508</v>
      </c>
      <c r="F5948">
        <v>0</v>
      </c>
      <c r="G5948">
        <v>0</v>
      </c>
      <c r="H5948" t="s">
        <v>224</v>
      </c>
      <c r="I5948" t="s">
        <v>306</v>
      </c>
      <c r="J5948" t="s">
        <v>305</v>
      </c>
      <c r="K5948" t="b">
        <v>0</v>
      </c>
      <c r="L5948">
        <v>2021</v>
      </c>
      <c r="M5948">
        <v>17069115737</v>
      </c>
      <c r="N5948">
        <v>1908094558</v>
      </c>
      <c r="O5948" t="b">
        <v>1</v>
      </c>
      <c r="P5948">
        <v>0</v>
      </c>
      <c r="Q5948" t="str" cm="1">
        <f t="array" ref="Q5948">_xlfn.IFS(Table1[[#This Row],[Wealthier_Winner]]=-1,"Wealthier Nation Loses",Table1[[#This Row],[Wealthier_Winner]]=0,"Tie",Table1[[#This Row],[Wealthier_Winner]]=1,"Wealthier Nation Wins")</f>
        <v>Tie</v>
      </c>
    </row>
    <row r="5949" spans="1:17" x14ac:dyDescent="0.2">
      <c r="A5949" s="1">
        <v>8583</v>
      </c>
      <c r="B5949" s="2">
        <v>44512</v>
      </c>
      <c r="C5949" s="7">
        <f>_xlfn.FLOOR.MATH(Table1[[#This Row],[year]],10)</f>
        <v>2020</v>
      </c>
      <c r="D5949" t="s">
        <v>24</v>
      </c>
      <c r="E5949" t="s">
        <v>274</v>
      </c>
      <c r="F5949">
        <v>3</v>
      </c>
      <c r="G5949">
        <v>0</v>
      </c>
      <c r="H5949" t="s">
        <v>224</v>
      </c>
      <c r="I5949" t="s">
        <v>319</v>
      </c>
      <c r="J5949" t="s">
        <v>24</v>
      </c>
      <c r="K5949" t="b">
        <v>0</v>
      </c>
      <c r="L5949">
        <v>2021</v>
      </c>
      <c r="M5949">
        <v>142022058447</v>
      </c>
      <c r="N5949">
        <v>34229513774</v>
      </c>
      <c r="O5949" t="b">
        <v>1</v>
      </c>
      <c r="P5949">
        <v>1</v>
      </c>
      <c r="Q5949" t="str" cm="1">
        <f t="array" ref="Q5949">_xlfn.IFS(Table1[[#This Row],[Wealthier_Winner]]=-1,"Wealthier Nation Loses",Table1[[#This Row],[Wealthier_Winner]]=0,"Tie",Table1[[#This Row],[Wealthier_Winner]]=1,"Wealthier Nation Wins")</f>
        <v>Wealthier Nation Wins</v>
      </c>
    </row>
    <row r="5950" spans="1:17" x14ac:dyDescent="0.2">
      <c r="A5950" s="1">
        <v>8584</v>
      </c>
      <c r="B5950" s="2">
        <v>44512</v>
      </c>
      <c r="C5950" s="7">
        <f>_xlfn.FLOOR.MATH(Table1[[#This Row],[year]],10)</f>
        <v>2020</v>
      </c>
      <c r="D5950" t="s">
        <v>34</v>
      </c>
      <c r="E5950" t="s">
        <v>56</v>
      </c>
      <c r="F5950">
        <v>1</v>
      </c>
      <c r="G5950">
        <v>0</v>
      </c>
      <c r="H5950" t="s">
        <v>224</v>
      </c>
      <c r="I5950" t="s">
        <v>488</v>
      </c>
      <c r="J5950" t="s">
        <v>34</v>
      </c>
      <c r="K5950" t="b">
        <v>0</v>
      </c>
      <c r="L5950">
        <v>2021</v>
      </c>
      <c r="M5950">
        <v>2022378748423</v>
      </c>
      <c r="N5950">
        <v>64960725734</v>
      </c>
      <c r="O5950" t="b">
        <v>1</v>
      </c>
      <c r="P5950">
        <v>1</v>
      </c>
      <c r="Q5950" t="str" cm="1">
        <f t="array" ref="Q5950">_xlfn.IFS(Table1[[#This Row],[Wealthier_Winner]]=-1,"Wealthier Nation Loses",Table1[[#This Row],[Wealthier_Winner]]=0,"Tie",Table1[[#This Row],[Wealthier_Winner]]=1,"Wealthier Nation Wins")</f>
        <v>Wealthier Nation Wins</v>
      </c>
    </row>
    <row r="5951" spans="1:17" x14ac:dyDescent="0.2">
      <c r="A5951" s="1">
        <v>8585</v>
      </c>
      <c r="B5951" s="2">
        <v>44512</v>
      </c>
      <c r="C5951" s="7">
        <f>_xlfn.FLOOR.MATH(Table1[[#This Row],[year]],10)</f>
        <v>2020</v>
      </c>
      <c r="D5951" t="s">
        <v>65</v>
      </c>
      <c r="E5951" t="s">
        <v>67</v>
      </c>
      <c r="F5951">
        <v>2</v>
      </c>
      <c r="G5951">
        <v>3</v>
      </c>
      <c r="H5951" t="s">
        <v>224</v>
      </c>
      <c r="I5951" t="s">
        <v>254</v>
      </c>
      <c r="J5951" t="s">
        <v>65</v>
      </c>
      <c r="K5951" t="b">
        <v>0</v>
      </c>
      <c r="L5951">
        <v>2021</v>
      </c>
      <c r="M5951">
        <v>28144331506</v>
      </c>
      <c r="N5951">
        <v>67396392506</v>
      </c>
      <c r="O5951" t="b">
        <v>1</v>
      </c>
      <c r="P5951">
        <v>1</v>
      </c>
      <c r="Q5951" t="str" cm="1">
        <f t="array" ref="Q5951">_xlfn.IFS(Table1[[#This Row],[Wealthier_Winner]]=-1,"Wealthier Nation Loses",Table1[[#This Row],[Wealthier_Winner]]=0,"Tie",Table1[[#This Row],[Wealthier_Winner]]=1,"Wealthier Nation Wins")</f>
        <v>Wealthier Nation Wins</v>
      </c>
    </row>
    <row r="5952" spans="1:17" x14ac:dyDescent="0.2">
      <c r="A5952" s="1">
        <v>8586</v>
      </c>
      <c r="B5952" s="2">
        <v>44512</v>
      </c>
      <c r="C5952" s="7">
        <f>_xlfn.FLOOR.MATH(Table1[[#This Row],[year]],10)</f>
        <v>2020</v>
      </c>
      <c r="D5952" t="s">
        <v>69</v>
      </c>
      <c r="E5952" t="s">
        <v>49</v>
      </c>
      <c r="F5952">
        <v>1</v>
      </c>
      <c r="G5952">
        <v>1</v>
      </c>
      <c r="H5952" t="s">
        <v>224</v>
      </c>
      <c r="I5952" t="s">
        <v>281</v>
      </c>
      <c r="J5952" t="s">
        <v>69</v>
      </c>
      <c r="K5952" t="b">
        <v>0</v>
      </c>
      <c r="L5952">
        <v>2021</v>
      </c>
      <c r="M5952">
        <v>29043140000</v>
      </c>
      <c r="N5952">
        <v>15963885376</v>
      </c>
      <c r="O5952" t="b">
        <v>0</v>
      </c>
      <c r="P5952">
        <v>0</v>
      </c>
      <c r="Q5952" t="str" cm="1">
        <f t="array" ref="Q5952">_xlfn.IFS(Table1[[#This Row],[Wealthier_Winner]]=-1,"Wealthier Nation Loses",Table1[[#This Row],[Wealthier_Winner]]=0,"Tie",Table1[[#This Row],[Wealthier_Winner]]=1,"Wealthier Nation Wins")</f>
        <v>Tie</v>
      </c>
    </row>
    <row r="5953" spans="1:17" x14ac:dyDescent="0.2">
      <c r="A5953" s="1">
        <v>8587</v>
      </c>
      <c r="B5953" s="2">
        <v>44512</v>
      </c>
      <c r="C5953" s="7">
        <f>_xlfn.FLOOR.MATH(Table1[[#This Row],[year]],10)</f>
        <v>2020</v>
      </c>
      <c r="D5953" t="s">
        <v>41</v>
      </c>
      <c r="E5953" t="s">
        <v>17</v>
      </c>
      <c r="F5953">
        <v>2</v>
      </c>
      <c r="G5953">
        <v>0</v>
      </c>
      <c r="H5953" t="s">
        <v>224</v>
      </c>
      <c r="I5953" t="s">
        <v>866</v>
      </c>
      <c r="J5953" t="s">
        <v>41</v>
      </c>
      <c r="K5953" t="b">
        <v>0</v>
      </c>
      <c r="L5953">
        <v>2021</v>
      </c>
      <c r="M5953">
        <v>23315080560000</v>
      </c>
      <c r="N5953">
        <v>1316569466685</v>
      </c>
      <c r="O5953" t="b">
        <v>1</v>
      </c>
      <c r="P5953">
        <v>1</v>
      </c>
      <c r="Q5953" t="str" cm="1">
        <f t="array" ref="Q5953">_xlfn.IFS(Table1[[#This Row],[Wealthier_Winner]]=-1,"Wealthier Nation Loses",Table1[[#This Row],[Wealthier_Winner]]=0,"Tie",Table1[[#This Row],[Wealthier_Winner]]=1,"Wealthier Nation Wins")</f>
        <v>Wealthier Nation Wins</v>
      </c>
    </row>
    <row r="5954" spans="1:17" x14ac:dyDescent="0.2">
      <c r="A5954" s="1">
        <v>8589</v>
      </c>
      <c r="B5954" s="2">
        <v>44512</v>
      </c>
      <c r="C5954" s="7">
        <f>_xlfn.FLOOR.MATH(Table1[[#This Row],[year]],10)</f>
        <v>2020</v>
      </c>
      <c r="D5954" t="s">
        <v>18</v>
      </c>
      <c r="E5954" t="s">
        <v>46</v>
      </c>
      <c r="F5954">
        <v>1</v>
      </c>
      <c r="G5954">
        <v>1</v>
      </c>
      <c r="H5954" t="s">
        <v>224</v>
      </c>
      <c r="I5954" t="s">
        <v>109</v>
      </c>
      <c r="J5954" t="s">
        <v>18</v>
      </c>
      <c r="K5954" t="b">
        <v>0</v>
      </c>
      <c r="L5954">
        <v>2021</v>
      </c>
      <c r="M5954">
        <v>2179207773596</v>
      </c>
      <c r="N5954">
        <v>815309330986</v>
      </c>
      <c r="O5954" t="b">
        <v>1</v>
      </c>
      <c r="P5954">
        <v>0</v>
      </c>
      <c r="Q5954" t="str" cm="1">
        <f t="array" ref="Q5954">_xlfn.IFS(Table1[[#This Row],[Wealthier_Winner]]=-1,"Wealthier Nation Loses",Table1[[#This Row],[Wealthier_Winner]]=0,"Tie",Table1[[#This Row],[Wealthier_Winner]]=1,"Wealthier Nation Wins")</f>
        <v>Tie</v>
      </c>
    </row>
    <row r="5955" spans="1:17" x14ac:dyDescent="0.2">
      <c r="A5955" s="1">
        <v>8591</v>
      </c>
      <c r="B5955" s="2">
        <v>44512</v>
      </c>
      <c r="C5955" s="7">
        <f>_xlfn.FLOOR.MATH(Table1[[#This Row],[year]],10)</f>
        <v>2020</v>
      </c>
      <c r="D5955" t="s">
        <v>36</v>
      </c>
      <c r="E5955" t="s">
        <v>447</v>
      </c>
      <c r="F5955">
        <v>3</v>
      </c>
      <c r="G5955">
        <v>1</v>
      </c>
      <c r="H5955" t="s">
        <v>224</v>
      </c>
      <c r="I5955" t="s">
        <v>264</v>
      </c>
      <c r="J5955" t="s">
        <v>36</v>
      </c>
      <c r="K5955" t="b">
        <v>0</v>
      </c>
      <c r="L5955">
        <v>2021</v>
      </c>
      <c r="M5955">
        <v>406110162088</v>
      </c>
      <c r="N5955">
        <v>3699551717</v>
      </c>
      <c r="O5955" t="b">
        <v>1</v>
      </c>
      <c r="P5955">
        <v>1</v>
      </c>
      <c r="Q5955" t="str" cm="1">
        <f t="array" ref="Q5955">_xlfn.IFS(Table1[[#This Row],[Wealthier_Winner]]=-1,"Wealthier Nation Loses",Table1[[#This Row],[Wealthier_Winner]]=0,"Tie",Table1[[#This Row],[Wealthier_Winner]]=1,"Wealthier Nation Wins")</f>
        <v>Wealthier Nation Wins</v>
      </c>
    </row>
    <row r="5956" spans="1:17" x14ac:dyDescent="0.2">
      <c r="A5956" s="1">
        <v>8592</v>
      </c>
      <c r="B5956" s="2">
        <v>44512</v>
      </c>
      <c r="C5956" s="7">
        <f>_xlfn.FLOOR.MATH(Table1[[#This Row],[year]],10)</f>
        <v>2020</v>
      </c>
      <c r="D5956" t="s">
        <v>29</v>
      </c>
      <c r="E5956" t="s">
        <v>22</v>
      </c>
      <c r="F5956">
        <v>4</v>
      </c>
      <c r="G5956">
        <v>2</v>
      </c>
      <c r="H5956" t="s">
        <v>224</v>
      </c>
      <c r="I5956" t="s">
        <v>720</v>
      </c>
      <c r="J5956" t="s">
        <v>29</v>
      </c>
      <c r="K5956" t="b">
        <v>0</v>
      </c>
      <c r="L5956">
        <v>2021</v>
      </c>
      <c r="M5956">
        <v>480466363176</v>
      </c>
      <c r="N5956">
        <v>489851549972</v>
      </c>
      <c r="O5956" t="b">
        <v>0</v>
      </c>
      <c r="P5956">
        <v>-1</v>
      </c>
      <c r="Q5956" t="str" cm="1">
        <f t="array" ref="Q5956">_xlfn.IFS(Table1[[#This Row],[Wealthier_Winner]]=-1,"Wealthier Nation Loses",Table1[[#This Row],[Wealthier_Winner]]=0,"Tie",Table1[[#This Row],[Wealthier_Winner]]=1,"Wealthier Nation Wins")</f>
        <v>Wealthier Nation Loses</v>
      </c>
    </row>
    <row r="5957" spans="1:17" x14ac:dyDescent="0.2">
      <c r="A5957" s="1">
        <v>8593</v>
      </c>
      <c r="B5957" s="2">
        <v>44512</v>
      </c>
      <c r="C5957" s="7">
        <f>_xlfn.FLOOR.MATH(Table1[[#This Row],[year]],10)</f>
        <v>2020</v>
      </c>
      <c r="D5957" t="s">
        <v>194</v>
      </c>
      <c r="E5957" t="s">
        <v>373</v>
      </c>
      <c r="F5957">
        <v>5</v>
      </c>
      <c r="G5957">
        <v>0</v>
      </c>
      <c r="H5957" t="s">
        <v>224</v>
      </c>
      <c r="I5957" t="s">
        <v>80</v>
      </c>
      <c r="J5957" t="s">
        <v>194</v>
      </c>
      <c r="K5957" t="b">
        <v>0</v>
      </c>
      <c r="L5957">
        <v>2021</v>
      </c>
      <c r="M5957">
        <v>3194559188925</v>
      </c>
      <c r="N5957">
        <v>18031989573</v>
      </c>
      <c r="O5957" t="b">
        <v>1</v>
      </c>
      <c r="P5957">
        <v>1</v>
      </c>
      <c r="Q5957" t="str" cm="1">
        <f t="array" ref="Q5957">_xlfn.IFS(Table1[[#This Row],[Wealthier_Winner]]=-1,"Wealthier Nation Loses",Table1[[#This Row],[Wealthier_Winner]]=0,"Tie",Table1[[#This Row],[Wealthier_Winner]]=1,"Wealthier Nation Wins")</f>
        <v>Wealthier Nation Wins</v>
      </c>
    </row>
    <row r="5958" spans="1:17" x14ac:dyDescent="0.2">
      <c r="A5958" s="1">
        <v>8594</v>
      </c>
      <c r="B5958" s="2">
        <v>44512</v>
      </c>
      <c r="C5958" s="7">
        <f>_xlfn.FLOOR.MATH(Table1[[#This Row],[year]],10)</f>
        <v>2020</v>
      </c>
      <c r="D5958" t="s">
        <v>601</v>
      </c>
      <c r="E5958" t="s">
        <v>58</v>
      </c>
      <c r="F5958">
        <v>1</v>
      </c>
      <c r="G5958">
        <v>4</v>
      </c>
      <c r="H5958" t="s">
        <v>224</v>
      </c>
      <c r="I5958" t="s">
        <v>840</v>
      </c>
      <c r="J5958" t="s">
        <v>601</v>
      </c>
      <c r="K5958" t="b">
        <v>0</v>
      </c>
      <c r="L5958">
        <v>2021</v>
      </c>
      <c r="M5958">
        <v>3324648075</v>
      </c>
      <c r="N5958">
        <v>689170230665</v>
      </c>
      <c r="O5958" t="b">
        <v>1</v>
      </c>
      <c r="P5958">
        <v>1</v>
      </c>
      <c r="Q5958" t="str" cm="1">
        <f t="array" ref="Q5958">_xlfn.IFS(Table1[[#This Row],[Wealthier_Winner]]=-1,"Wealthier Nation Loses",Table1[[#This Row],[Wealthier_Winner]]=0,"Tie",Table1[[#This Row],[Wealthier_Winner]]=1,"Wealthier Nation Wins")</f>
        <v>Wealthier Nation Wins</v>
      </c>
    </row>
    <row r="5959" spans="1:17" x14ac:dyDescent="0.2">
      <c r="A5959" s="1">
        <v>8595</v>
      </c>
      <c r="B5959" s="2">
        <v>44512</v>
      </c>
      <c r="C5959" s="7">
        <f>_xlfn.FLOOR.MATH(Table1[[#This Row],[year]],10)</f>
        <v>2020</v>
      </c>
      <c r="D5959" t="s">
        <v>30</v>
      </c>
      <c r="E5959" t="s">
        <v>549</v>
      </c>
      <c r="F5959">
        <v>4</v>
      </c>
      <c r="G5959">
        <v>0</v>
      </c>
      <c r="H5959" t="s">
        <v>224</v>
      </c>
      <c r="I5959" t="s">
        <v>297</v>
      </c>
      <c r="J5959" t="s">
        <v>30</v>
      </c>
      <c r="K5959" t="b">
        <v>0</v>
      </c>
      <c r="L5959">
        <v>2021</v>
      </c>
      <c r="M5959">
        <v>183282685440</v>
      </c>
      <c r="N5959">
        <v>1855652786</v>
      </c>
      <c r="O5959" t="b">
        <v>1</v>
      </c>
      <c r="P5959">
        <v>1</v>
      </c>
      <c r="Q5959" t="str" cm="1">
        <f t="array" ref="Q5959">_xlfn.IFS(Table1[[#This Row],[Wealthier_Winner]]=-1,"Wealthier Nation Loses",Table1[[#This Row],[Wealthier_Winner]]=0,"Tie",Table1[[#This Row],[Wealthier_Winner]]=1,"Wealthier Nation Wins")</f>
        <v>Wealthier Nation Wins</v>
      </c>
    </row>
    <row r="5960" spans="1:17" x14ac:dyDescent="0.2">
      <c r="A5960" s="1">
        <v>8596</v>
      </c>
      <c r="B5960" s="2">
        <v>44512</v>
      </c>
      <c r="C5960" s="7">
        <f>_xlfn.FLOOR.MATH(Table1[[#This Row],[year]],10)</f>
        <v>2020</v>
      </c>
      <c r="D5960" t="s">
        <v>26</v>
      </c>
      <c r="E5960" t="s">
        <v>19</v>
      </c>
      <c r="F5960">
        <v>0</v>
      </c>
      <c r="G5960">
        <v>1</v>
      </c>
      <c r="H5960" t="s">
        <v>224</v>
      </c>
      <c r="I5960" t="s">
        <v>247</v>
      </c>
      <c r="J5960" t="s">
        <v>26</v>
      </c>
      <c r="K5960" t="b">
        <v>0</v>
      </c>
      <c r="L5960">
        <v>2021</v>
      </c>
      <c r="M5960">
        <v>60739084240</v>
      </c>
      <c r="N5960">
        <v>486564085480</v>
      </c>
      <c r="O5960" t="b">
        <v>1</v>
      </c>
      <c r="P5960">
        <v>1</v>
      </c>
      <c r="Q5960" t="str" cm="1">
        <f t="array" ref="Q5960">_xlfn.IFS(Table1[[#This Row],[Wealthier_Winner]]=-1,"Wealthier Nation Loses",Table1[[#This Row],[Wealthier_Winner]]=0,"Tie",Table1[[#This Row],[Wealthier_Winner]]=1,"Wealthier Nation Wins")</f>
        <v>Wealthier Nation Wins</v>
      </c>
    </row>
    <row r="5961" spans="1:17" x14ac:dyDescent="0.2">
      <c r="A5961" s="1">
        <v>8597</v>
      </c>
      <c r="B5961" s="2">
        <v>44513</v>
      </c>
      <c r="C5961" s="7">
        <f>_xlfn.FLOOR.MATH(Table1[[#This Row],[year]],10)</f>
        <v>2020</v>
      </c>
      <c r="D5961" t="s">
        <v>273</v>
      </c>
      <c r="E5961" t="s">
        <v>346</v>
      </c>
      <c r="F5961">
        <v>4</v>
      </c>
      <c r="G5961">
        <v>0</v>
      </c>
      <c r="H5961" t="s">
        <v>224</v>
      </c>
      <c r="I5961" t="s">
        <v>330</v>
      </c>
      <c r="J5961" t="s">
        <v>273</v>
      </c>
      <c r="K5961" t="b">
        <v>0</v>
      </c>
      <c r="L5961">
        <v>2021</v>
      </c>
      <c r="M5961">
        <v>22096416932</v>
      </c>
      <c r="N5961">
        <v>9222536364</v>
      </c>
      <c r="O5961" t="b">
        <v>1</v>
      </c>
      <c r="P5961">
        <v>1</v>
      </c>
      <c r="Q5961" t="str" cm="1">
        <f t="array" ref="Q5961">_xlfn.IFS(Table1[[#This Row],[Wealthier_Winner]]=-1,"Wealthier Nation Loses",Table1[[#This Row],[Wealthier_Winner]]=0,"Tie",Table1[[#This Row],[Wealthier_Winner]]=1,"Wealthier Nation Wins")</f>
        <v>Wealthier Nation Wins</v>
      </c>
    </row>
    <row r="5962" spans="1:17" x14ac:dyDescent="0.2">
      <c r="A5962" s="1">
        <v>8598</v>
      </c>
      <c r="B5962" s="2">
        <v>44513</v>
      </c>
      <c r="C5962" s="7">
        <f>_xlfn.FLOOR.MATH(Table1[[#This Row],[year]],10)</f>
        <v>2020</v>
      </c>
      <c r="D5962" t="s">
        <v>639</v>
      </c>
      <c r="E5962" t="s">
        <v>53</v>
      </c>
      <c r="F5962">
        <v>1</v>
      </c>
      <c r="G5962">
        <v>0</v>
      </c>
      <c r="H5962" t="s">
        <v>224</v>
      </c>
      <c r="I5962" t="s">
        <v>696</v>
      </c>
      <c r="J5962" t="s">
        <v>639</v>
      </c>
      <c r="K5962" t="b">
        <v>0</v>
      </c>
      <c r="L5962">
        <v>2021</v>
      </c>
      <c r="M5962">
        <v>12215878032</v>
      </c>
      <c r="N5962">
        <v>47073234359</v>
      </c>
      <c r="O5962" t="b">
        <v>1</v>
      </c>
      <c r="P5962">
        <v>-1</v>
      </c>
      <c r="Q5962" t="str" cm="1">
        <f t="array" ref="Q5962">_xlfn.IFS(Table1[[#This Row],[Wealthier_Winner]]=-1,"Wealthier Nation Loses",Table1[[#This Row],[Wealthier_Winner]]=0,"Tie",Table1[[#This Row],[Wealthier_Winner]]=1,"Wealthier Nation Wins")</f>
        <v>Wealthier Nation Loses</v>
      </c>
    </row>
    <row r="5963" spans="1:17" x14ac:dyDescent="0.2">
      <c r="A5963" s="1">
        <v>8600</v>
      </c>
      <c r="B5963" s="2">
        <v>44513</v>
      </c>
      <c r="C5963" s="7">
        <f>_xlfn.FLOOR.MATH(Table1[[#This Row],[year]],10)</f>
        <v>2020</v>
      </c>
      <c r="D5963" t="s">
        <v>378</v>
      </c>
      <c r="E5963" t="s">
        <v>43</v>
      </c>
      <c r="F5963">
        <v>0</v>
      </c>
      <c r="G5963">
        <v>2</v>
      </c>
      <c r="H5963" t="s">
        <v>224</v>
      </c>
      <c r="I5963" t="s">
        <v>862</v>
      </c>
      <c r="J5963" t="s">
        <v>24</v>
      </c>
      <c r="K5963" t="b">
        <v>1</v>
      </c>
      <c r="L5963">
        <v>2021</v>
      </c>
      <c r="M5963">
        <v>3513049500</v>
      </c>
      <c r="N5963">
        <v>609147716972</v>
      </c>
      <c r="O5963" t="b">
        <v>1</v>
      </c>
      <c r="P5963">
        <v>1</v>
      </c>
      <c r="Q5963" t="str" cm="1">
        <f t="array" ref="Q5963">_xlfn.IFS(Table1[[#This Row],[Wealthier_Winner]]=-1,"Wealthier Nation Loses",Table1[[#This Row],[Wealthier_Winner]]=0,"Tie",Table1[[#This Row],[Wealthier_Winner]]=1,"Wealthier Nation Wins")</f>
        <v>Wealthier Nation Wins</v>
      </c>
    </row>
    <row r="5964" spans="1:17" x14ac:dyDescent="0.2">
      <c r="A5964" s="1">
        <v>8601</v>
      </c>
      <c r="B5964" s="2">
        <v>44513</v>
      </c>
      <c r="C5964" s="7">
        <f>_xlfn.FLOOR.MATH(Table1[[#This Row],[year]],10)</f>
        <v>2020</v>
      </c>
      <c r="D5964" t="s">
        <v>370</v>
      </c>
      <c r="E5964" t="s">
        <v>40</v>
      </c>
      <c r="F5964">
        <v>0</v>
      </c>
      <c r="G5964">
        <v>4</v>
      </c>
      <c r="H5964" t="s">
        <v>224</v>
      </c>
      <c r="I5964" t="s">
        <v>160</v>
      </c>
      <c r="J5964" t="s">
        <v>50</v>
      </c>
      <c r="K5964" t="b">
        <v>1</v>
      </c>
      <c r="L5964">
        <v>2021</v>
      </c>
      <c r="M5964">
        <v>12378119199</v>
      </c>
      <c r="N5964">
        <v>45011937346</v>
      </c>
      <c r="O5964" t="b">
        <v>1</v>
      </c>
      <c r="P5964">
        <v>1</v>
      </c>
      <c r="Q5964" t="str" cm="1">
        <f t="array" ref="Q5964">_xlfn.IFS(Table1[[#This Row],[Wealthier_Winner]]=-1,"Wealthier Nation Loses",Table1[[#This Row],[Wealthier_Winner]]=0,"Tie",Table1[[#This Row],[Wealthier_Winner]]=1,"Wealthier Nation Wins")</f>
        <v>Wealthier Nation Wins</v>
      </c>
    </row>
    <row r="5965" spans="1:17" x14ac:dyDescent="0.2">
      <c r="A5965" s="1">
        <v>8603</v>
      </c>
      <c r="B5965" s="2">
        <v>44513</v>
      </c>
      <c r="C5965" s="7">
        <f>_xlfn.FLOOR.MATH(Table1[[#This Row],[year]],10)</f>
        <v>2020</v>
      </c>
      <c r="D5965" t="s">
        <v>73</v>
      </c>
      <c r="E5965" t="s">
        <v>230</v>
      </c>
      <c r="F5965">
        <v>1</v>
      </c>
      <c r="G5965">
        <v>3</v>
      </c>
      <c r="H5965" t="s">
        <v>224</v>
      </c>
      <c r="I5965" t="s">
        <v>636</v>
      </c>
      <c r="J5965" t="s">
        <v>73</v>
      </c>
      <c r="K5965" t="b">
        <v>0</v>
      </c>
      <c r="L5965">
        <v>2021</v>
      </c>
      <c r="M5965">
        <v>23672712121</v>
      </c>
      <c r="N5965">
        <v>294223210496</v>
      </c>
      <c r="O5965" t="b">
        <v>1</v>
      </c>
      <c r="P5965">
        <v>1</v>
      </c>
      <c r="Q5965" t="str" cm="1">
        <f t="array" ref="Q5965">_xlfn.IFS(Table1[[#This Row],[Wealthier_Winner]]=-1,"Wealthier Nation Loses",Table1[[#This Row],[Wealthier_Winner]]=0,"Tie",Table1[[#This Row],[Wealthier_Winner]]=1,"Wealthier Nation Wins")</f>
        <v>Wealthier Nation Wins</v>
      </c>
    </row>
    <row r="5966" spans="1:17" x14ac:dyDescent="0.2">
      <c r="A5966" s="1">
        <v>8604</v>
      </c>
      <c r="B5966" s="2">
        <v>44513</v>
      </c>
      <c r="C5966" s="7">
        <f>_xlfn.FLOOR.MATH(Table1[[#This Row],[year]],10)</f>
        <v>2020</v>
      </c>
      <c r="D5966" t="s">
        <v>20</v>
      </c>
      <c r="E5966" t="s">
        <v>558</v>
      </c>
      <c r="F5966">
        <v>8</v>
      </c>
      <c r="G5966">
        <v>0</v>
      </c>
      <c r="H5966" t="s">
        <v>224</v>
      </c>
      <c r="I5966" t="s">
        <v>134</v>
      </c>
      <c r="J5966" t="s">
        <v>20</v>
      </c>
      <c r="K5966" t="b">
        <v>0</v>
      </c>
      <c r="L5966">
        <v>2021</v>
      </c>
      <c r="M5966">
        <v>2966433692008</v>
      </c>
      <c r="N5966">
        <v>197112255360</v>
      </c>
      <c r="O5966" t="b">
        <v>1</v>
      </c>
      <c r="P5966">
        <v>1</v>
      </c>
      <c r="Q5966" t="str" cm="1">
        <f t="array" ref="Q5966">_xlfn.IFS(Table1[[#This Row],[Wealthier_Winner]]=-1,"Wealthier Nation Loses",Table1[[#This Row],[Wealthier_Winner]]=0,"Tie",Table1[[#This Row],[Wealthier_Winner]]=1,"Wealthier Nation Wins")</f>
        <v>Wealthier Nation Wins</v>
      </c>
    </row>
    <row r="5967" spans="1:17" x14ac:dyDescent="0.2">
      <c r="A5967" s="1">
        <v>8606</v>
      </c>
      <c r="B5967" s="2">
        <v>44513</v>
      </c>
      <c r="C5967" s="7">
        <f>_xlfn.FLOOR.MATH(Table1[[#This Row],[year]],10)</f>
        <v>2020</v>
      </c>
      <c r="D5967" t="s">
        <v>23</v>
      </c>
      <c r="E5967" t="s">
        <v>476</v>
      </c>
      <c r="F5967">
        <v>3</v>
      </c>
      <c r="G5967">
        <v>1</v>
      </c>
      <c r="H5967" t="s">
        <v>224</v>
      </c>
      <c r="I5967" t="s">
        <v>235</v>
      </c>
      <c r="J5967" t="s">
        <v>23</v>
      </c>
      <c r="K5967" t="b">
        <v>0</v>
      </c>
      <c r="L5967">
        <v>2021</v>
      </c>
      <c r="M5967">
        <v>598522422241</v>
      </c>
      <c r="N5967">
        <v>37201101170</v>
      </c>
      <c r="O5967" t="b">
        <v>1</v>
      </c>
      <c r="P5967">
        <v>1</v>
      </c>
      <c r="Q5967" t="str" cm="1">
        <f t="array" ref="Q5967">_xlfn.IFS(Table1[[#This Row],[Wealthier_Winner]]=-1,"Wealthier Nation Loses",Table1[[#This Row],[Wealthier_Winner]]=0,"Tie",Table1[[#This Row],[Wealthier_Winner]]=1,"Wealthier Nation Wins")</f>
        <v>Wealthier Nation Wins</v>
      </c>
    </row>
    <row r="5968" spans="1:17" x14ac:dyDescent="0.2">
      <c r="A5968" s="1">
        <v>8607</v>
      </c>
      <c r="B5968" s="2">
        <v>44513</v>
      </c>
      <c r="C5968" s="7">
        <f>_xlfn.FLOOR.MATH(Table1[[#This Row],[year]],10)</f>
        <v>2020</v>
      </c>
      <c r="D5968" t="s">
        <v>42</v>
      </c>
      <c r="E5968" t="s">
        <v>525</v>
      </c>
      <c r="F5968">
        <v>0</v>
      </c>
      <c r="G5968">
        <v>0</v>
      </c>
      <c r="H5968" t="s">
        <v>224</v>
      </c>
      <c r="I5968" t="s">
        <v>262</v>
      </c>
      <c r="J5968" t="s">
        <v>42</v>
      </c>
      <c r="K5968" t="b">
        <v>0</v>
      </c>
      <c r="L5968">
        <v>2021</v>
      </c>
      <c r="M5968">
        <v>503367986030</v>
      </c>
      <c r="N5968">
        <v>38183326784</v>
      </c>
      <c r="O5968" t="b">
        <v>1</v>
      </c>
      <c r="P5968">
        <v>0</v>
      </c>
      <c r="Q5968" t="str" cm="1">
        <f t="array" ref="Q5968">_xlfn.IFS(Table1[[#This Row],[Wealthier_Winner]]=-1,"Wealthier Nation Loses",Table1[[#This Row],[Wealthier_Winner]]=0,"Tie",Table1[[#This Row],[Wealthier_Winner]]=1,"Wealthier Nation Wins")</f>
        <v>Tie</v>
      </c>
    </row>
    <row r="5969" spans="1:17" x14ac:dyDescent="0.2">
      <c r="A5969" s="1">
        <v>8609</v>
      </c>
      <c r="B5969" s="2">
        <v>44513</v>
      </c>
      <c r="C5969" s="7">
        <f>_xlfn.FLOOR.MATH(Table1[[#This Row],[year]],10)</f>
        <v>2020</v>
      </c>
      <c r="D5969" t="s">
        <v>705</v>
      </c>
      <c r="E5969" t="s">
        <v>27</v>
      </c>
      <c r="F5969">
        <v>2</v>
      </c>
      <c r="G5969">
        <v>2</v>
      </c>
      <c r="H5969" t="s">
        <v>224</v>
      </c>
      <c r="I5969" t="s">
        <v>706</v>
      </c>
      <c r="J5969" t="s">
        <v>705</v>
      </c>
      <c r="K5969" t="b">
        <v>0</v>
      </c>
      <c r="L5969">
        <v>2021</v>
      </c>
      <c r="M5969">
        <v>5823715809</v>
      </c>
      <c r="N5969">
        <v>1054472123449</v>
      </c>
      <c r="O5969" t="b">
        <v>1</v>
      </c>
      <c r="P5969">
        <v>0</v>
      </c>
      <c r="Q5969" t="str" cm="1">
        <f t="array" ref="Q5969">_xlfn.IFS(Table1[[#This Row],[Wealthier_Winner]]=-1,"Wealthier Nation Loses",Table1[[#This Row],[Wealthier_Winner]]=0,"Tie",Table1[[#This Row],[Wealthier_Winner]]=1,"Wealthier Nation Wins")</f>
        <v>Tie</v>
      </c>
    </row>
    <row r="5970" spans="1:17" x14ac:dyDescent="0.2">
      <c r="A5970" s="1">
        <v>8610</v>
      </c>
      <c r="B5970" s="2">
        <v>44514</v>
      </c>
      <c r="C5970" s="7">
        <f>_xlfn.FLOOR.MATH(Table1[[#This Row],[year]],10)</f>
        <v>2020</v>
      </c>
      <c r="D5970" t="s">
        <v>590</v>
      </c>
      <c r="E5970" t="s">
        <v>357</v>
      </c>
      <c r="F5970">
        <v>1</v>
      </c>
      <c r="G5970">
        <v>0</v>
      </c>
      <c r="H5970" t="s">
        <v>224</v>
      </c>
      <c r="I5970" t="s">
        <v>796</v>
      </c>
      <c r="J5970" t="s">
        <v>24</v>
      </c>
      <c r="K5970" t="b">
        <v>1</v>
      </c>
      <c r="L5970">
        <v>2021</v>
      </c>
      <c r="M5970">
        <v>22999245262</v>
      </c>
      <c r="N5970">
        <v>40529788748</v>
      </c>
      <c r="O5970" t="b">
        <v>0</v>
      </c>
      <c r="P5970">
        <v>-1</v>
      </c>
      <c r="Q5970" t="str" cm="1">
        <f t="array" ref="Q5970">_xlfn.IFS(Table1[[#This Row],[Wealthier_Winner]]=-1,"Wealthier Nation Loses",Table1[[#This Row],[Wealthier_Winner]]=0,"Tie",Table1[[#This Row],[Wealthier_Winner]]=1,"Wealthier Nation Wins")</f>
        <v>Wealthier Nation Loses</v>
      </c>
    </row>
    <row r="5971" spans="1:17" x14ac:dyDescent="0.2">
      <c r="A5971" s="1">
        <v>8611</v>
      </c>
      <c r="B5971" s="2">
        <v>44514</v>
      </c>
      <c r="C5971" s="7">
        <f>_xlfn.FLOOR.MATH(Table1[[#This Row],[year]],10)</f>
        <v>2020</v>
      </c>
      <c r="D5971" t="s">
        <v>298</v>
      </c>
      <c r="E5971" t="s">
        <v>238</v>
      </c>
      <c r="F5971">
        <v>1</v>
      </c>
      <c r="G5971">
        <v>1</v>
      </c>
      <c r="H5971" t="s">
        <v>224</v>
      </c>
      <c r="I5971" t="s">
        <v>377</v>
      </c>
      <c r="J5971" t="s">
        <v>298</v>
      </c>
      <c r="K5971" t="b">
        <v>0</v>
      </c>
      <c r="L5971">
        <v>2021</v>
      </c>
      <c r="M5971">
        <v>41287673690</v>
      </c>
      <c r="N5971">
        <v>109070960371</v>
      </c>
      <c r="O5971" t="b">
        <v>1</v>
      </c>
      <c r="P5971">
        <v>0</v>
      </c>
      <c r="Q5971" t="str" cm="1">
        <f t="array" ref="Q5971">_xlfn.IFS(Table1[[#This Row],[Wealthier_Winner]]=-1,"Wealthier Nation Loses",Table1[[#This Row],[Wealthier_Winner]]=0,"Tie",Table1[[#This Row],[Wealthier_Winner]]=1,"Wealthier Nation Wins")</f>
        <v>Tie</v>
      </c>
    </row>
    <row r="5972" spans="1:17" x14ac:dyDescent="0.2">
      <c r="A5972" s="1">
        <v>8612</v>
      </c>
      <c r="B5972" s="2">
        <v>44514</v>
      </c>
      <c r="C5972" s="7">
        <f>_xlfn.FLOOR.MATH(Table1[[#This Row],[year]],10)</f>
        <v>2020</v>
      </c>
      <c r="D5972" t="s">
        <v>63</v>
      </c>
      <c r="E5972" t="s">
        <v>50</v>
      </c>
      <c r="F5972">
        <v>1</v>
      </c>
      <c r="G5972">
        <v>0</v>
      </c>
      <c r="H5972" t="s">
        <v>224</v>
      </c>
      <c r="I5972" t="s">
        <v>858</v>
      </c>
      <c r="J5972" t="s">
        <v>63</v>
      </c>
      <c r="K5972" t="b">
        <v>0</v>
      </c>
      <c r="L5972">
        <v>2021</v>
      </c>
      <c r="M5972">
        <v>79514204730</v>
      </c>
      <c r="N5972">
        <v>419986284375</v>
      </c>
      <c r="O5972" t="b">
        <v>1</v>
      </c>
      <c r="P5972">
        <v>-1</v>
      </c>
      <c r="Q5972" t="str" cm="1">
        <f t="array" ref="Q5972">_xlfn.IFS(Table1[[#This Row],[Wealthier_Winner]]=-1,"Wealthier Nation Loses",Table1[[#This Row],[Wealthier_Winner]]=0,"Tie",Table1[[#This Row],[Wealthier_Winner]]=1,"Wealthier Nation Wins")</f>
        <v>Wealthier Nation Loses</v>
      </c>
    </row>
    <row r="5973" spans="1:17" x14ac:dyDescent="0.2">
      <c r="A5973" s="1">
        <v>8615</v>
      </c>
      <c r="B5973" s="2">
        <v>44514</v>
      </c>
      <c r="C5973" s="7">
        <f>_xlfn.FLOOR.MATH(Table1[[#This Row],[year]],10)</f>
        <v>2020</v>
      </c>
      <c r="D5973" t="s">
        <v>410</v>
      </c>
      <c r="E5973" t="s">
        <v>320</v>
      </c>
      <c r="F5973">
        <v>1</v>
      </c>
      <c r="G5973">
        <v>1</v>
      </c>
      <c r="H5973" t="s">
        <v>224</v>
      </c>
      <c r="I5973" t="s">
        <v>413</v>
      </c>
      <c r="J5973" t="s">
        <v>410</v>
      </c>
      <c r="K5973" t="b">
        <v>0</v>
      </c>
      <c r="L5973">
        <v>2021</v>
      </c>
      <c r="M5973">
        <v>14354731964</v>
      </c>
      <c r="N5973">
        <v>70655628147</v>
      </c>
      <c r="O5973" t="b">
        <v>1</v>
      </c>
      <c r="P5973">
        <v>0</v>
      </c>
      <c r="Q5973" t="str" cm="1">
        <f t="array" ref="Q5973">_xlfn.IFS(Table1[[#This Row],[Wealthier_Winner]]=-1,"Wealthier Nation Loses",Table1[[#This Row],[Wealthier_Winner]]=0,"Tie",Table1[[#This Row],[Wealthier_Winner]]=1,"Wealthier Nation Wins")</f>
        <v>Tie</v>
      </c>
    </row>
    <row r="5974" spans="1:17" x14ac:dyDescent="0.2">
      <c r="A5974" s="1">
        <v>8616</v>
      </c>
      <c r="B5974" s="2">
        <v>44514</v>
      </c>
      <c r="C5974" s="7">
        <f>_xlfn.FLOOR.MATH(Table1[[#This Row],[year]],10)</f>
        <v>2020</v>
      </c>
      <c r="D5974" t="s">
        <v>38</v>
      </c>
      <c r="E5974" t="s">
        <v>61</v>
      </c>
      <c r="F5974">
        <v>1</v>
      </c>
      <c r="G5974">
        <v>2</v>
      </c>
      <c r="H5974" t="s">
        <v>224</v>
      </c>
      <c r="I5974" t="s">
        <v>291</v>
      </c>
      <c r="J5974" t="s">
        <v>38</v>
      </c>
      <c r="K5974" t="b">
        <v>0</v>
      </c>
      <c r="L5974">
        <v>2021</v>
      </c>
      <c r="M5974">
        <v>256055879091</v>
      </c>
      <c r="N5974">
        <v>66159884072</v>
      </c>
      <c r="O5974" t="b">
        <v>1</v>
      </c>
      <c r="P5974">
        <v>-1</v>
      </c>
      <c r="Q5974" t="str" cm="1">
        <f t="array" ref="Q5974">_xlfn.IFS(Table1[[#This Row],[Wealthier_Winner]]=-1,"Wealthier Nation Loses",Table1[[#This Row],[Wealthier_Winner]]=0,"Tie",Table1[[#This Row],[Wealthier_Winner]]=1,"Wealthier Nation Wins")</f>
        <v>Wealthier Nation Loses</v>
      </c>
    </row>
    <row r="5975" spans="1:17" x14ac:dyDescent="0.2">
      <c r="A5975" s="1">
        <v>8618</v>
      </c>
      <c r="B5975" s="2">
        <v>44514</v>
      </c>
      <c r="C5975" s="7">
        <f>_xlfn.FLOOR.MATH(Table1[[#This Row],[year]],10)</f>
        <v>2020</v>
      </c>
      <c r="D5975" t="s">
        <v>21</v>
      </c>
      <c r="E5975" t="s">
        <v>25</v>
      </c>
      <c r="F5975">
        <v>1</v>
      </c>
      <c r="G5975">
        <v>0</v>
      </c>
      <c r="H5975" t="s">
        <v>224</v>
      </c>
      <c r="I5975" t="s">
        <v>104</v>
      </c>
      <c r="J5975" t="s">
        <v>21</v>
      </c>
      <c r="K5975" t="b">
        <v>0</v>
      </c>
      <c r="L5975">
        <v>2021</v>
      </c>
      <c r="M5975">
        <v>1461244901852</v>
      </c>
      <c r="N5975">
        <v>631693331300</v>
      </c>
      <c r="O5975" t="b">
        <v>1</v>
      </c>
      <c r="P5975">
        <v>1</v>
      </c>
      <c r="Q5975" t="str" cm="1">
        <f t="array" ref="Q5975">_xlfn.IFS(Table1[[#This Row],[Wealthier_Winner]]=-1,"Wealthier Nation Loses",Table1[[#This Row],[Wealthier_Winner]]=0,"Tie",Table1[[#This Row],[Wealthier_Winner]]=1,"Wealthier Nation Wins")</f>
        <v>Wealthier Nation Wins</v>
      </c>
    </row>
    <row r="5976" spans="1:17" x14ac:dyDescent="0.2">
      <c r="A5976" s="1">
        <v>8619</v>
      </c>
      <c r="B5976" s="2">
        <v>44514</v>
      </c>
      <c r="C5976" s="7">
        <f>_xlfn.FLOOR.MATH(Table1[[#This Row],[year]],10)</f>
        <v>2020</v>
      </c>
      <c r="D5976" t="s">
        <v>48</v>
      </c>
      <c r="E5976" t="s">
        <v>803</v>
      </c>
      <c r="F5976">
        <v>1</v>
      </c>
      <c r="G5976">
        <v>1</v>
      </c>
      <c r="H5976" t="s">
        <v>224</v>
      </c>
      <c r="I5976" t="s">
        <v>236</v>
      </c>
      <c r="J5976" t="s">
        <v>48</v>
      </c>
      <c r="K5976" t="b">
        <v>0</v>
      </c>
      <c r="L5976">
        <v>2021</v>
      </c>
      <c r="M5976">
        <v>218303801895</v>
      </c>
      <c r="N5976">
        <v>9413408574</v>
      </c>
      <c r="O5976" t="b">
        <v>1</v>
      </c>
      <c r="P5976">
        <v>0</v>
      </c>
      <c r="Q5976" t="str" cm="1">
        <f t="array" ref="Q5976">_xlfn.IFS(Table1[[#This Row],[Wealthier_Winner]]=-1,"Wealthier Nation Loses",Table1[[#This Row],[Wealthier_Winner]]=0,"Tie",Table1[[#This Row],[Wealthier_Winner]]=1,"Wealthier Nation Wins")</f>
        <v>Tie</v>
      </c>
    </row>
    <row r="5977" spans="1:17" x14ac:dyDescent="0.2">
      <c r="A5977" s="1">
        <v>8620</v>
      </c>
      <c r="B5977" s="2">
        <v>44514</v>
      </c>
      <c r="C5977" s="7">
        <f>_xlfn.FLOOR.MATH(Table1[[#This Row],[year]],10)</f>
        <v>2020</v>
      </c>
      <c r="D5977" t="s">
        <v>52</v>
      </c>
      <c r="E5977" t="s">
        <v>196</v>
      </c>
      <c r="F5977">
        <v>1</v>
      </c>
      <c r="G5977">
        <v>0</v>
      </c>
      <c r="H5977" t="s">
        <v>224</v>
      </c>
      <c r="I5977" t="s">
        <v>547</v>
      </c>
      <c r="J5977" t="s">
        <v>52</v>
      </c>
      <c r="K5977" t="b">
        <v>0</v>
      </c>
      <c r="L5977">
        <v>2021</v>
      </c>
      <c r="M5977">
        <v>69002365163</v>
      </c>
      <c r="N5977">
        <v>1829186719575</v>
      </c>
      <c r="O5977" t="b">
        <v>1</v>
      </c>
      <c r="P5977">
        <v>-1</v>
      </c>
      <c r="Q5977" t="str" cm="1">
        <f t="array" ref="Q5977">_xlfn.IFS(Table1[[#This Row],[Wealthier_Winner]]=-1,"Wealthier Nation Loses",Table1[[#This Row],[Wealthier_Winner]]=0,"Tie",Table1[[#This Row],[Wealthier_Winner]]=1,"Wealthier Nation Wins")</f>
        <v>Wealthier Nation Loses</v>
      </c>
    </row>
    <row r="5978" spans="1:17" x14ac:dyDescent="0.2">
      <c r="A5978" s="1">
        <v>8622</v>
      </c>
      <c r="B5978" s="2">
        <v>44514</v>
      </c>
      <c r="C5978" s="7">
        <f>_xlfn.FLOOR.MATH(Table1[[#This Row],[year]],10)</f>
        <v>2020</v>
      </c>
      <c r="D5978" t="s">
        <v>55</v>
      </c>
      <c r="E5978" t="s">
        <v>351</v>
      </c>
      <c r="F5978">
        <v>2</v>
      </c>
      <c r="G5978">
        <v>1</v>
      </c>
      <c r="H5978" t="s">
        <v>224</v>
      </c>
      <c r="I5978" t="s">
        <v>529</v>
      </c>
      <c r="J5978" t="s">
        <v>55</v>
      </c>
      <c r="K5978" t="b">
        <v>0</v>
      </c>
      <c r="L5978">
        <v>2021</v>
      </c>
      <c r="M5978">
        <v>61540813361</v>
      </c>
      <c r="N5978">
        <v>30372642502</v>
      </c>
      <c r="O5978" t="b">
        <v>1</v>
      </c>
      <c r="P5978">
        <v>1</v>
      </c>
      <c r="Q5978" t="str" cm="1">
        <f t="array" ref="Q5978">_xlfn.IFS(Table1[[#This Row],[Wealthier_Winner]]=-1,"Wealthier Nation Loses",Table1[[#This Row],[Wealthier_Winner]]=0,"Tie",Table1[[#This Row],[Wealthier_Winner]]=1,"Wealthier Nation Wins")</f>
        <v>Wealthier Nation Wins</v>
      </c>
    </row>
    <row r="5979" spans="1:17" x14ac:dyDescent="0.2">
      <c r="A5979" s="1">
        <v>8623</v>
      </c>
      <c r="B5979" s="2">
        <v>44514</v>
      </c>
      <c r="C5979" s="7">
        <f>_xlfn.FLOOR.MATH(Table1[[#This Row],[year]],10)</f>
        <v>2020</v>
      </c>
      <c r="D5979" t="s">
        <v>503</v>
      </c>
      <c r="E5979" t="s">
        <v>44</v>
      </c>
      <c r="F5979">
        <v>0</v>
      </c>
      <c r="G5979">
        <v>2</v>
      </c>
      <c r="H5979" t="s">
        <v>224</v>
      </c>
      <c r="I5979" t="s">
        <v>603</v>
      </c>
      <c r="J5979" t="s">
        <v>503</v>
      </c>
      <c r="K5979" t="b">
        <v>0</v>
      </c>
      <c r="L5979">
        <v>2021</v>
      </c>
      <c r="M5979">
        <v>7912602342</v>
      </c>
      <c r="N5979">
        <v>285071280114</v>
      </c>
      <c r="O5979" t="b">
        <v>1</v>
      </c>
      <c r="P5979">
        <v>1</v>
      </c>
      <c r="Q5979" t="str" cm="1">
        <f t="array" ref="Q5979">_xlfn.IFS(Table1[[#This Row],[Wealthier_Winner]]=-1,"Wealthier Nation Loses",Table1[[#This Row],[Wealthier_Winner]]=0,"Tie",Table1[[#This Row],[Wealthier_Winner]]=1,"Wealthier Nation Wins")</f>
        <v>Wealthier Nation Wins</v>
      </c>
    </row>
    <row r="5980" spans="1:17" x14ac:dyDescent="0.2">
      <c r="A5980" s="1">
        <v>8624</v>
      </c>
      <c r="B5980" s="2">
        <v>44514</v>
      </c>
      <c r="C5980" s="7">
        <f>_xlfn.FLOOR.MATH(Table1[[#This Row],[year]],10)</f>
        <v>2020</v>
      </c>
      <c r="D5980" t="s">
        <v>502</v>
      </c>
      <c r="E5980" t="s">
        <v>66</v>
      </c>
      <c r="F5980">
        <v>3</v>
      </c>
      <c r="G5980">
        <v>1</v>
      </c>
      <c r="H5980" t="s">
        <v>224</v>
      </c>
      <c r="I5980" t="s">
        <v>504</v>
      </c>
      <c r="J5980" t="s">
        <v>502</v>
      </c>
      <c r="K5980" t="b">
        <v>0</v>
      </c>
      <c r="L5980">
        <v>2021</v>
      </c>
      <c r="M5980">
        <v>14000283827</v>
      </c>
      <c r="N5980">
        <v>26234872402</v>
      </c>
      <c r="O5980" t="b">
        <v>0</v>
      </c>
      <c r="P5980">
        <v>-1</v>
      </c>
      <c r="Q5980" t="str" cm="1">
        <f t="array" ref="Q5980">_xlfn.IFS(Table1[[#This Row],[Wealthier_Winner]]=-1,"Wealthier Nation Loses",Table1[[#This Row],[Wealthier_Winner]]=0,"Tie",Table1[[#This Row],[Wealthier_Winner]]=1,"Wealthier Nation Wins")</f>
        <v>Wealthier Nation Loses</v>
      </c>
    </row>
    <row r="5981" spans="1:17" x14ac:dyDescent="0.2">
      <c r="A5981" s="1">
        <v>8625</v>
      </c>
      <c r="B5981" s="2">
        <v>44514</v>
      </c>
      <c r="C5981" s="7">
        <f>_xlfn.FLOOR.MATH(Table1[[#This Row],[year]],10)</f>
        <v>2020</v>
      </c>
      <c r="D5981" t="s">
        <v>519</v>
      </c>
      <c r="E5981" t="s">
        <v>16</v>
      </c>
      <c r="F5981">
        <v>1</v>
      </c>
      <c r="G5981">
        <v>4</v>
      </c>
      <c r="H5981" t="s">
        <v>224</v>
      </c>
      <c r="I5981" t="s">
        <v>520</v>
      </c>
      <c r="J5981" t="s">
        <v>519</v>
      </c>
      <c r="K5981" t="b">
        <v>0</v>
      </c>
      <c r="L5981">
        <v>2021</v>
      </c>
      <c r="M5981">
        <v>13878908628</v>
      </c>
      <c r="N5981">
        <v>4355251953410</v>
      </c>
      <c r="O5981" t="b">
        <v>1</v>
      </c>
      <c r="P5981">
        <v>1</v>
      </c>
      <c r="Q5981" t="str" cm="1">
        <f t="array" ref="Q5981">_xlfn.IFS(Table1[[#This Row],[Wealthier_Winner]]=-1,"Wealthier Nation Loses",Table1[[#This Row],[Wealthier_Winner]]=0,"Tie",Table1[[#This Row],[Wealthier_Winner]]=1,"Wealthier Nation Wins")</f>
        <v>Wealthier Nation Wins</v>
      </c>
    </row>
    <row r="5982" spans="1:17" x14ac:dyDescent="0.2">
      <c r="A5982" s="1">
        <v>8626</v>
      </c>
      <c r="B5982" s="2">
        <v>44515</v>
      </c>
      <c r="C5982" s="7">
        <f>_xlfn.FLOOR.MATH(Table1[[#This Row],[year]],10)</f>
        <v>2020</v>
      </c>
      <c r="D5982" t="s">
        <v>343</v>
      </c>
      <c r="E5982" t="s">
        <v>694</v>
      </c>
      <c r="F5982">
        <v>7</v>
      </c>
      <c r="G5982">
        <v>2</v>
      </c>
      <c r="H5982" t="s">
        <v>224</v>
      </c>
      <c r="I5982" t="s">
        <v>349</v>
      </c>
      <c r="J5982" t="s">
        <v>343</v>
      </c>
      <c r="K5982" t="b">
        <v>0</v>
      </c>
      <c r="L5982">
        <v>2021</v>
      </c>
      <c r="M5982">
        <v>14915002436</v>
      </c>
      <c r="N5982">
        <v>3392796953</v>
      </c>
      <c r="O5982" t="b">
        <v>1</v>
      </c>
      <c r="P5982">
        <v>1</v>
      </c>
      <c r="Q5982" t="str" cm="1">
        <f t="array" ref="Q5982">_xlfn.IFS(Table1[[#This Row],[Wealthier_Winner]]=-1,"Wealthier Nation Loses",Table1[[#This Row],[Wealthier_Winner]]=0,"Tie",Table1[[#This Row],[Wealthier_Winner]]=1,"Wealthier Nation Wins")</f>
        <v>Wealthier Nation Wins</v>
      </c>
    </row>
    <row r="5983" spans="1:17" x14ac:dyDescent="0.2">
      <c r="A5983" s="1">
        <v>8627</v>
      </c>
      <c r="B5983" s="2">
        <v>44515</v>
      </c>
      <c r="C5983" s="7">
        <f>_xlfn.FLOOR.MATH(Table1[[#This Row],[year]],10)</f>
        <v>2020</v>
      </c>
      <c r="D5983" t="s">
        <v>314</v>
      </c>
      <c r="E5983" t="s">
        <v>514</v>
      </c>
      <c r="F5983">
        <v>2</v>
      </c>
      <c r="G5983">
        <v>1</v>
      </c>
      <c r="H5983" t="s">
        <v>224</v>
      </c>
      <c r="I5983" t="s">
        <v>315</v>
      </c>
      <c r="J5983" t="s">
        <v>314</v>
      </c>
      <c r="K5983" t="b">
        <v>0</v>
      </c>
      <c r="L5983">
        <v>2021</v>
      </c>
      <c r="M5983">
        <v>109703658904</v>
      </c>
      <c r="N5983">
        <v>11078787090</v>
      </c>
      <c r="O5983" t="b">
        <v>1</v>
      </c>
      <c r="P5983">
        <v>1</v>
      </c>
      <c r="Q5983" t="str" cm="1">
        <f t="array" ref="Q5983">_xlfn.IFS(Table1[[#This Row],[Wealthier_Winner]]=-1,"Wealthier Nation Loses",Table1[[#This Row],[Wealthier_Winner]]=0,"Tie",Table1[[#This Row],[Wealthier_Winner]]=1,"Wealthier Nation Wins")</f>
        <v>Wealthier Nation Wins</v>
      </c>
    </row>
    <row r="5984" spans="1:17" x14ac:dyDescent="0.2">
      <c r="A5984" s="1">
        <v>8628</v>
      </c>
      <c r="B5984" s="2">
        <v>44515</v>
      </c>
      <c r="C5984" s="7">
        <f>_xlfn.FLOOR.MATH(Table1[[#This Row],[year]],10)</f>
        <v>2020</v>
      </c>
      <c r="D5984" t="s">
        <v>462</v>
      </c>
      <c r="E5984" t="s">
        <v>62</v>
      </c>
      <c r="F5984">
        <v>0</v>
      </c>
      <c r="G5984">
        <v>1</v>
      </c>
      <c r="H5984" t="s">
        <v>224</v>
      </c>
      <c r="I5984" t="s">
        <v>160</v>
      </c>
      <c r="J5984" t="s">
        <v>50</v>
      </c>
      <c r="K5984" t="b">
        <v>1</v>
      </c>
      <c r="L5984">
        <v>2021</v>
      </c>
      <c r="M5984">
        <v>12402486183</v>
      </c>
      <c r="N5984">
        <v>8541668141</v>
      </c>
      <c r="O5984" t="b">
        <v>0</v>
      </c>
      <c r="P5984">
        <v>-1</v>
      </c>
      <c r="Q5984" t="str" cm="1">
        <f t="array" ref="Q5984">_xlfn.IFS(Table1[[#This Row],[Wealthier_Winner]]=-1,"Wealthier Nation Loses",Table1[[#This Row],[Wealthier_Winner]]=0,"Tie",Table1[[#This Row],[Wealthier_Winner]]=1,"Wealthier Nation Wins")</f>
        <v>Wealthier Nation Loses</v>
      </c>
    </row>
    <row r="5985" spans="1:17" x14ac:dyDescent="0.2">
      <c r="A5985" s="1">
        <v>8629</v>
      </c>
      <c r="B5985" s="2">
        <v>44515</v>
      </c>
      <c r="C5985" s="7">
        <f>_xlfn.FLOOR.MATH(Table1[[#This Row],[year]],10)</f>
        <v>2020</v>
      </c>
      <c r="D5985" t="s">
        <v>508</v>
      </c>
      <c r="E5985" t="s">
        <v>274</v>
      </c>
      <c r="F5985">
        <v>0</v>
      </c>
      <c r="G5985">
        <v>0</v>
      </c>
      <c r="H5985" t="s">
        <v>224</v>
      </c>
      <c r="I5985" t="s">
        <v>761</v>
      </c>
      <c r="J5985" t="s">
        <v>24</v>
      </c>
      <c r="K5985" t="b">
        <v>1</v>
      </c>
      <c r="L5985">
        <v>2021</v>
      </c>
      <c r="M5985">
        <v>1908094558</v>
      </c>
      <c r="N5985">
        <v>34229513774</v>
      </c>
      <c r="O5985" t="b">
        <v>1</v>
      </c>
      <c r="P5985">
        <v>0</v>
      </c>
      <c r="Q5985" t="str" cm="1">
        <f t="array" ref="Q5985">_xlfn.IFS(Table1[[#This Row],[Wealthier_Winner]]=-1,"Wealthier Nation Loses",Table1[[#This Row],[Wealthier_Winner]]=0,"Tie",Table1[[#This Row],[Wealthier_Winner]]=1,"Wealthier Nation Wins")</f>
        <v>Tie</v>
      </c>
    </row>
    <row r="5986" spans="1:17" x14ac:dyDescent="0.2">
      <c r="A5986" s="1">
        <v>8631</v>
      </c>
      <c r="B5986" s="2">
        <v>44515</v>
      </c>
      <c r="C5986" s="7">
        <f>_xlfn.FLOOR.MATH(Table1[[#This Row],[year]],10)</f>
        <v>2020</v>
      </c>
      <c r="D5986" t="s">
        <v>46</v>
      </c>
      <c r="E5986" t="s">
        <v>33</v>
      </c>
      <c r="F5986">
        <v>4</v>
      </c>
      <c r="G5986">
        <v>0</v>
      </c>
      <c r="H5986" t="s">
        <v>224</v>
      </c>
      <c r="I5986" t="s">
        <v>338</v>
      </c>
      <c r="J5986" t="s">
        <v>46</v>
      </c>
      <c r="K5986" t="b">
        <v>0</v>
      </c>
      <c r="L5986">
        <v>2021</v>
      </c>
      <c r="M5986">
        <v>815309330986</v>
      </c>
      <c r="N5986">
        <v>84374613233</v>
      </c>
      <c r="O5986" t="b">
        <v>1</v>
      </c>
      <c r="P5986">
        <v>1</v>
      </c>
      <c r="Q5986" t="str" cm="1">
        <f t="array" ref="Q5986">_xlfn.IFS(Table1[[#This Row],[Wealthier_Winner]]=-1,"Wealthier Nation Loses",Table1[[#This Row],[Wealthier_Winner]]=0,"Tie",Table1[[#This Row],[Wealthier_Winner]]=1,"Wealthier Nation Wins")</f>
        <v>Wealthier Nation Wins</v>
      </c>
    </row>
    <row r="5987" spans="1:17" x14ac:dyDescent="0.2">
      <c r="A5987" s="1">
        <v>8633</v>
      </c>
      <c r="B5987" s="2">
        <v>44515</v>
      </c>
      <c r="C5987" s="7">
        <f>_xlfn.FLOOR.MATH(Table1[[#This Row],[year]],10)</f>
        <v>2020</v>
      </c>
      <c r="D5987" t="s">
        <v>29</v>
      </c>
      <c r="E5987" t="s">
        <v>527</v>
      </c>
      <c r="F5987">
        <v>4</v>
      </c>
      <c r="G5987">
        <v>1</v>
      </c>
      <c r="H5987" t="s">
        <v>224</v>
      </c>
      <c r="I5987" t="s">
        <v>720</v>
      </c>
      <c r="J5987" t="s">
        <v>29</v>
      </c>
      <c r="K5987" t="b">
        <v>0</v>
      </c>
      <c r="L5987">
        <v>2021</v>
      </c>
      <c r="M5987">
        <v>480466363176</v>
      </c>
      <c r="N5987">
        <v>13691869264</v>
      </c>
      <c r="O5987" t="b">
        <v>1</v>
      </c>
      <c r="P5987">
        <v>1</v>
      </c>
      <c r="Q5987" t="str" cm="1">
        <f t="array" ref="Q5987">_xlfn.IFS(Table1[[#This Row],[Wealthier_Winner]]=-1,"Wealthier Nation Loses",Table1[[#This Row],[Wealthier_Winner]]=0,"Tie",Table1[[#This Row],[Wealthier_Winner]]=1,"Wealthier Nation Wins")</f>
        <v>Wealthier Nation Wins</v>
      </c>
    </row>
    <row r="5988" spans="1:17" x14ac:dyDescent="0.2">
      <c r="A5988" s="1">
        <v>8634</v>
      </c>
      <c r="B5988" s="2">
        <v>44515</v>
      </c>
      <c r="C5988" s="7">
        <f>_xlfn.FLOOR.MATH(Table1[[#This Row],[year]],10)</f>
        <v>2020</v>
      </c>
      <c r="D5988" t="s">
        <v>22</v>
      </c>
      <c r="E5988" t="s">
        <v>447</v>
      </c>
      <c r="F5988">
        <v>3</v>
      </c>
      <c r="G5988">
        <v>2</v>
      </c>
      <c r="H5988" t="s">
        <v>224</v>
      </c>
      <c r="I5988" t="s">
        <v>867</v>
      </c>
      <c r="J5988" t="s">
        <v>22</v>
      </c>
      <c r="K5988" t="b">
        <v>0</v>
      </c>
      <c r="L5988">
        <v>2021</v>
      </c>
      <c r="M5988">
        <v>489851549972</v>
      </c>
      <c r="N5988">
        <v>3699551717</v>
      </c>
      <c r="O5988" t="b">
        <v>1</v>
      </c>
      <c r="P5988">
        <v>1</v>
      </c>
      <c r="Q5988" t="str" cm="1">
        <f t="array" ref="Q5988">_xlfn.IFS(Table1[[#This Row],[Wealthier_Winner]]=-1,"Wealthier Nation Loses",Table1[[#This Row],[Wealthier_Winner]]=0,"Tie",Table1[[#This Row],[Wealthier_Winner]]=1,"Wealthier Nation Wins")</f>
        <v>Wealthier Nation Wins</v>
      </c>
    </row>
    <row r="5989" spans="1:17" x14ac:dyDescent="0.2">
      <c r="A5989" s="1">
        <v>8635</v>
      </c>
      <c r="B5989" s="2">
        <v>44515</v>
      </c>
      <c r="C5989" s="7">
        <f>_xlfn.FLOOR.MATH(Table1[[#This Row],[year]],10)</f>
        <v>2020</v>
      </c>
      <c r="D5989" t="s">
        <v>373</v>
      </c>
      <c r="E5989" t="s">
        <v>601</v>
      </c>
      <c r="F5989">
        <v>1</v>
      </c>
      <c r="G5989">
        <v>0</v>
      </c>
      <c r="H5989" t="s">
        <v>224</v>
      </c>
      <c r="I5989" t="s">
        <v>374</v>
      </c>
      <c r="J5989" t="s">
        <v>373</v>
      </c>
      <c r="K5989" t="b">
        <v>0</v>
      </c>
      <c r="L5989">
        <v>2021</v>
      </c>
      <c r="M5989">
        <v>18031989573</v>
      </c>
      <c r="N5989">
        <v>3324648075</v>
      </c>
      <c r="O5989" t="b">
        <v>1</v>
      </c>
      <c r="P5989">
        <v>1</v>
      </c>
      <c r="Q5989" t="str" cm="1">
        <f t="array" ref="Q5989">_xlfn.IFS(Table1[[#This Row],[Wealthier_Winner]]=-1,"Wealthier Nation Loses",Table1[[#This Row],[Wealthier_Winner]]=0,"Tie",Table1[[#This Row],[Wealthier_Winner]]=1,"Wealthier Nation Wins")</f>
        <v>Wealthier Nation Wins</v>
      </c>
    </row>
    <row r="5990" spans="1:17" x14ac:dyDescent="0.2">
      <c r="A5990" s="1">
        <v>8636</v>
      </c>
      <c r="B5990" s="2">
        <v>44515</v>
      </c>
      <c r="C5990" s="7">
        <f>_xlfn.FLOOR.MATH(Table1[[#This Row],[year]],10)</f>
        <v>2020</v>
      </c>
      <c r="D5990" t="s">
        <v>58</v>
      </c>
      <c r="E5990" t="s">
        <v>30</v>
      </c>
      <c r="F5990">
        <v>1</v>
      </c>
      <c r="G5990">
        <v>2</v>
      </c>
      <c r="H5990" t="s">
        <v>224</v>
      </c>
      <c r="I5990" t="s">
        <v>619</v>
      </c>
      <c r="J5990" t="s">
        <v>58</v>
      </c>
      <c r="K5990" t="b">
        <v>0</v>
      </c>
      <c r="L5990">
        <v>2021</v>
      </c>
      <c r="M5990">
        <v>689170230665</v>
      </c>
      <c r="N5990">
        <v>183282685440</v>
      </c>
      <c r="O5990" t="b">
        <v>1</v>
      </c>
      <c r="P5990">
        <v>-1</v>
      </c>
      <c r="Q5990" t="str" cm="1">
        <f t="array" ref="Q5990">_xlfn.IFS(Table1[[#This Row],[Wealthier_Winner]]=-1,"Wealthier Nation Loses",Table1[[#This Row],[Wealthier_Winner]]=0,"Tie",Table1[[#This Row],[Wealthier_Winner]]=1,"Wealthier Nation Wins")</f>
        <v>Wealthier Nation Loses</v>
      </c>
    </row>
    <row r="5991" spans="1:17" x14ac:dyDescent="0.2">
      <c r="A5991" s="1">
        <v>8637</v>
      </c>
      <c r="B5991" s="2">
        <v>44515</v>
      </c>
      <c r="C5991" s="7">
        <f>_xlfn.FLOOR.MATH(Table1[[#This Row],[year]],10)</f>
        <v>2020</v>
      </c>
      <c r="D5991" t="s">
        <v>549</v>
      </c>
      <c r="E5991" t="s">
        <v>194</v>
      </c>
      <c r="F5991">
        <v>0</v>
      </c>
      <c r="G5991">
        <v>10</v>
      </c>
      <c r="H5991" t="s">
        <v>224</v>
      </c>
      <c r="I5991" t="s">
        <v>555</v>
      </c>
      <c r="J5991" t="s">
        <v>549</v>
      </c>
      <c r="K5991" t="b">
        <v>0</v>
      </c>
      <c r="L5991">
        <v>2021</v>
      </c>
      <c r="M5991">
        <v>1855652786</v>
      </c>
      <c r="N5991">
        <v>3194559188925</v>
      </c>
      <c r="O5991" t="b">
        <v>1</v>
      </c>
      <c r="P5991">
        <v>1</v>
      </c>
      <c r="Q5991" t="str" cm="1">
        <f t="array" ref="Q5991">_xlfn.IFS(Table1[[#This Row],[Wealthier_Winner]]=-1,"Wealthier Nation Loses",Table1[[#This Row],[Wealthier_Winner]]=0,"Tie",Table1[[#This Row],[Wealthier_Winner]]=1,"Wealthier Nation Wins")</f>
        <v>Wealthier Nation Wins</v>
      </c>
    </row>
    <row r="5992" spans="1:17" x14ac:dyDescent="0.2">
      <c r="A5992" s="1">
        <v>8638</v>
      </c>
      <c r="B5992" s="2">
        <v>44516</v>
      </c>
      <c r="C5992" s="7">
        <f>_xlfn.FLOOR.MATH(Table1[[#This Row],[year]],10)</f>
        <v>2020</v>
      </c>
      <c r="D5992" t="s">
        <v>32</v>
      </c>
      <c r="E5992" t="s">
        <v>345</v>
      </c>
      <c r="F5992">
        <v>2</v>
      </c>
      <c r="G5992">
        <v>2</v>
      </c>
      <c r="H5992" t="s">
        <v>224</v>
      </c>
      <c r="I5992" t="s">
        <v>697</v>
      </c>
      <c r="J5992" t="s">
        <v>32</v>
      </c>
      <c r="K5992" t="b">
        <v>0</v>
      </c>
      <c r="L5992">
        <v>2021</v>
      </c>
      <c r="M5992">
        <v>186231205262</v>
      </c>
      <c r="N5992">
        <v>19697516284</v>
      </c>
      <c r="O5992" t="b">
        <v>1</v>
      </c>
      <c r="P5992">
        <v>0</v>
      </c>
      <c r="Q5992" t="str" cm="1">
        <f t="array" ref="Q5992">_xlfn.IFS(Table1[[#This Row],[Wealthier_Winner]]=-1,"Wealthier Nation Loses",Table1[[#This Row],[Wealthier_Winner]]=0,"Tie",Table1[[#This Row],[Wealthier_Winner]]=1,"Wealthier Nation Wins")</f>
        <v>Tie</v>
      </c>
    </row>
    <row r="5993" spans="1:17" x14ac:dyDescent="0.2">
      <c r="A5993" s="1">
        <v>8639</v>
      </c>
      <c r="B5993" s="2">
        <v>44516</v>
      </c>
      <c r="C5993" s="7">
        <f>_xlfn.FLOOR.MATH(Table1[[#This Row],[year]],10)</f>
        <v>2020</v>
      </c>
      <c r="D5993" t="s">
        <v>346</v>
      </c>
      <c r="E5993" t="s">
        <v>639</v>
      </c>
      <c r="F5993">
        <v>1</v>
      </c>
      <c r="G5993">
        <v>1</v>
      </c>
      <c r="H5993" t="s">
        <v>224</v>
      </c>
      <c r="I5993" t="s">
        <v>350</v>
      </c>
      <c r="J5993" t="s">
        <v>346</v>
      </c>
      <c r="K5993" t="b">
        <v>0</v>
      </c>
      <c r="L5993">
        <v>2021</v>
      </c>
      <c r="M5993">
        <v>9222536364</v>
      </c>
      <c r="N5993">
        <v>12215878032</v>
      </c>
      <c r="O5993" t="b">
        <v>0</v>
      </c>
      <c r="P5993">
        <v>0</v>
      </c>
      <c r="Q5993" t="str" cm="1">
        <f t="array" ref="Q5993">_xlfn.IFS(Table1[[#This Row],[Wealthier_Winner]]=-1,"Wealthier Nation Loses",Table1[[#This Row],[Wealthier_Winner]]=0,"Tie",Table1[[#This Row],[Wealthier_Winner]]=1,"Wealthier Nation Wins")</f>
        <v>Tie</v>
      </c>
    </row>
    <row r="5994" spans="1:17" x14ac:dyDescent="0.2">
      <c r="A5994" s="1">
        <v>8640</v>
      </c>
      <c r="B5994" s="2">
        <v>44516</v>
      </c>
      <c r="C5994" s="7">
        <f>_xlfn.FLOOR.MATH(Table1[[#This Row],[year]],10)</f>
        <v>2020</v>
      </c>
      <c r="D5994" t="s">
        <v>53</v>
      </c>
      <c r="E5994" t="s">
        <v>273</v>
      </c>
      <c r="F5994">
        <v>3</v>
      </c>
      <c r="G5994">
        <v>1</v>
      </c>
      <c r="H5994" t="s">
        <v>224</v>
      </c>
      <c r="I5994" t="s">
        <v>658</v>
      </c>
      <c r="J5994" t="s">
        <v>53</v>
      </c>
      <c r="K5994" t="b">
        <v>0</v>
      </c>
      <c r="L5994">
        <v>2021</v>
      </c>
      <c r="M5994">
        <v>47073234359</v>
      </c>
      <c r="N5994">
        <v>22096416932</v>
      </c>
      <c r="O5994" t="b">
        <v>1</v>
      </c>
      <c r="P5994">
        <v>1</v>
      </c>
      <c r="Q5994" t="str" cm="1">
        <f t="array" ref="Q5994">_xlfn.IFS(Table1[[#This Row],[Wealthier_Winner]]=-1,"Wealthier Nation Loses",Table1[[#This Row],[Wealthier_Winner]]=0,"Tie",Table1[[#This Row],[Wealthier_Winner]]=1,"Wealthier Nation Wins")</f>
        <v>Wealthier Nation Wins</v>
      </c>
    </row>
    <row r="5995" spans="1:17" x14ac:dyDescent="0.2">
      <c r="A5995" s="1">
        <v>8641</v>
      </c>
      <c r="B5995" s="2">
        <v>44516</v>
      </c>
      <c r="C5995" s="7">
        <f>_xlfn.FLOOR.MATH(Table1[[#This Row],[year]],10)</f>
        <v>2020</v>
      </c>
      <c r="D5995" t="s">
        <v>378</v>
      </c>
      <c r="E5995" t="s">
        <v>581</v>
      </c>
      <c r="F5995">
        <v>3</v>
      </c>
      <c r="G5995">
        <v>1</v>
      </c>
      <c r="H5995" t="s">
        <v>224</v>
      </c>
      <c r="I5995" t="s">
        <v>862</v>
      </c>
      <c r="J5995" t="s">
        <v>24</v>
      </c>
      <c r="K5995" t="b">
        <v>1</v>
      </c>
      <c r="L5995">
        <v>2021</v>
      </c>
      <c r="M5995">
        <v>3513049500</v>
      </c>
      <c r="N5995">
        <v>2516498412</v>
      </c>
      <c r="O5995" t="b">
        <v>0</v>
      </c>
      <c r="P5995">
        <v>1</v>
      </c>
      <c r="Q5995" t="str" cm="1">
        <f t="array" ref="Q5995">_xlfn.IFS(Table1[[#This Row],[Wealthier_Winner]]=-1,"Wealthier Nation Loses",Table1[[#This Row],[Wealthier_Winner]]=0,"Tie",Table1[[#This Row],[Wealthier_Winner]]=1,"Wealthier Nation Wins")</f>
        <v>Wealthier Nation Wins</v>
      </c>
    </row>
    <row r="5996" spans="1:17" x14ac:dyDescent="0.2">
      <c r="A5996" s="1">
        <v>8643</v>
      </c>
      <c r="B5996" s="2">
        <v>44516</v>
      </c>
      <c r="C5996" s="7">
        <f>_xlfn.FLOOR.MATH(Table1[[#This Row],[year]],10)</f>
        <v>2020</v>
      </c>
      <c r="D5996" t="s">
        <v>300</v>
      </c>
      <c r="E5996" t="s">
        <v>370</v>
      </c>
      <c r="F5996">
        <v>1</v>
      </c>
      <c r="G5996">
        <v>0</v>
      </c>
      <c r="H5996" t="s">
        <v>224</v>
      </c>
      <c r="I5996" t="s">
        <v>311</v>
      </c>
      <c r="J5996" t="s">
        <v>310</v>
      </c>
      <c r="K5996" t="b">
        <v>1</v>
      </c>
      <c r="L5996">
        <v>2021</v>
      </c>
      <c r="M5996">
        <v>16168055475</v>
      </c>
      <c r="N5996">
        <v>12378119199</v>
      </c>
      <c r="O5996" t="b">
        <v>0</v>
      </c>
      <c r="P5996">
        <v>1</v>
      </c>
      <c r="Q5996" t="str" cm="1">
        <f t="array" ref="Q5996">_xlfn.IFS(Table1[[#This Row],[Wealthier_Winner]]=-1,"Wealthier Nation Loses",Table1[[#This Row],[Wealthier_Winner]]=0,"Tie",Table1[[#This Row],[Wealthier_Winner]]=1,"Wealthier Nation Wins")</f>
        <v>Wealthier Nation Wins</v>
      </c>
    </row>
    <row r="5997" spans="1:17" x14ac:dyDescent="0.2">
      <c r="A5997" s="1">
        <v>8645</v>
      </c>
      <c r="B5997" s="2">
        <v>44516</v>
      </c>
      <c r="C5997" s="7">
        <f>_xlfn.FLOOR.MATH(Table1[[#This Row],[year]],10)</f>
        <v>2020</v>
      </c>
      <c r="D5997" t="s">
        <v>212</v>
      </c>
      <c r="E5997" t="s">
        <v>433</v>
      </c>
      <c r="F5997">
        <v>2</v>
      </c>
      <c r="G5997">
        <v>1</v>
      </c>
      <c r="H5997" t="s">
        <v>224</v>
      </c>
      <c r="I5997" t="s">
        <v>594</v>
      </c>
      <c r="J5997" t="s">
        <v>212</v>
      </c>
      <c r="K5997" t="b">
        <v>0</v>
      </c>
      <c r="L5997">
        <v>2021</v>
      </c>
      <c r="M5997">
        <v>424671765455</v>
      </c>
      <c r="N5997">
        <v>19444935097</v>
      </c>
      <c r="O5997" t="b">
        <v>1</v>
      </c>
      <c r="P5997">
        <v>1</v>
      </c>
      <c r="Q5997" t="str" cm="1">
        <f t="array" ref="Q5997">_xlfn.IFS(Table1[[#This Row],[Wealthier_Winner]]=-1,"Wealthier Nation Loses",Table1[[#This Row],[Wealthier_Winner]]=0,"Tie",Table1[[#This Row],[Wealthier_Winner]]=1,"Wealthier Nation Wins")</f>
        <v>Wealthier Nation Wins</v>
      </c>
    </row>
    <row r="5998" spans="1:17" x14ac:dyDescent="0.2">
      <c r="A5998" s="1">
        <v>8646</v>
      </c>
      <c r="B5998" s="2">
        <v>44516</v>
      </c>
      <c r="C5998" s="7">
        <f>_xlfn.FLOOR.MATH(Table1[[#This Row],[year]],10)</f>
        <v>2020</v>
      </c>
      <c r="D5998" t="s">
        <v>286</v>
      </c>
      <c r="E5998" t="s">
        <v>60</v>
      </c>
      <c r="F5998">
        <v>1</v>
      </c>
      <c r="G5998">
        <v>1</v>
      </c>
      <c r="H5998" t="s">
        <v>224</v>
      </c>
      <c r="I5998" t="s">
        <v>613</v>
      </c>
      <c r="J5998" t="s">
        <v>286</v>
      </c>
      <c r="K5998" t="b">
        <v>0</v>
      </c>
      <c r="L5998">
        <v>2021</v>
      </c>
      <c r="M5998">
        <v>35217995647</v>
      </c>
      <c r="N5998">
        <v>79559543805</v>
      </c>
      <c r="O5998" t="b">
        <v>1</v>
      </c>
      <c r="P5998">
        <v>0</v>
      </c>
      <c r="Q5998" t="str" cm="1">
        <f t="array" ref="Q5998">_xlfn.IFS(Table1[[#This Row],[Wealthier_Winner]]=-1,"Wealthier Nation Loses",Table1[[#This Row],[Wealthier_Winner]]=0,"Tie",Table1[[#This Row],[Wealthier_Winner]]=1,"Wealthier Nation Wins")</f>
        <v>Tie</v>
      </c>
    </row>
    <row r="5999" spans="1:17" x14ac:dyDescent="0.2">
      <c r="A5999" s="1">
        <v>8647</v>
      </c>
      <c r="B5999" s="2">
        <v>44516</v>
      </c>
      <c r="C5999" s="7">
        <f>_xlfn.FLOOR.MATH(Table1[[#This Row],[year]],10)</f>
        <v>2020</v>
      </c>
      <c r="D5999" t="s">
        <v>24</v>
      </c>
      <c r="E5999" t="s">
        <v>305</v>
      </c>
      <c r="F5999">
        <v>3</v>
      </c>
      <c r="G5999">
        <v>0</v>
      </c>
      <c r="H5999" t="s">
        <v>224</v>
      </c>
      <c r="I5999" t="s">
        <v>244</v>
      </c>
      <c r="J5999" t="s">
        <v>24</v>
      </c>
      <c r="K5999" t="b">
        <v>0</v>
      </c>
      <c r="L5999">
        <v>2021</v>
      </c>
      <c r="M5999">
        <v>142022058447</v>
      </c>
      <c r="N5999">
        <v>17069115737</v>
      </c>
      <c r="O5999" t="b">
        <v>1</v>
      </c>
      <c r="P5999">
        <v>1</v>
      </c>
      <c r="Q5999" t="str" cm="1">
        <f t="array" ref="Q5999">_xlfn.IFS(Table1[[#This Row],[Wealthier_Winner]]=-1,"Wealthier Nation Loses",Table1[[#This Row],[Wealthier_Winner]]=0,"Tie",Table1[[#This Row],[Wealthier_Winner]]=1,"Wealthier Nation Wins")</f>
        <v>Wealthier Nation Wins</v>
      </c>
    </row>
    <row r="6000" spans="1:17" x14ac:dyDescent="0.2">
      <c r="A6000" s="1">
        <v>8648</v>
      </c>
      <c r="B6000" s="2">
        <v>44516</v>
      </c>
      <c r="C6000" s="7">
        <f>_xlfn.FLOOR.MATH(Table1[[#This Row],[year]],10)</f>
        <v>2020</v>
      </c>
      <c r="D6000" t="s">
        <v>479</v>
      </c>
      <c r="E6000" t="s">
        <v>39</v>
      </c>
      <c r="F6000">
        <v>0</v>
      </c>
      <c r="G6000">
        <v>1</v>
      </c>
      <c r="H6000" t="s">
        <v>224</v>
      </c>
      <c r="I6000" t="s">
        <v>687</v>
      </c>
      <c r="J6000" t="s">
        <v>479</v>
      </c>
      <c r="K6000" t="b">
        <v>0</v>
      </c>
      <c r="L6000">
        <v>2021</v>
      </c>
      <c r="M6000">
        <v>23131941556</v>
      </c>
      <c r="N6000">
        <v>422441388699</v>
      </c>
      <c r="O6000" t="b">
        <v>1</v>
      </c>
      <c r="P6000">
        <v>1</v>
      </c>
      <c r="Q6000" t="str" cm="1">
        <f t="array" ref="Q6000">_xlfn.IFS(Table1[[#This Row],[Wealthier_Winner]]=-1,"Wealthier Nation Loses",Table1[[#This Row],[Wealthier_Winner]]=0,"Tie",Table1[[#This Row],[Wealthier_Winner]]=1,"Wealthier Nation Wins")</f>
        <v>Wealthier Nation Wins</v>
      </c>
    </row>
    <row r="6001" spans="1:17" x14ac:dyDescent="0.2">
      <c r="A6001" s="1">
        <v>8649</v>
      </c>
      <c r="B6001" s="2">
        <v>44516</v>
      </c>
      <c r="C6001" s="7">
        <f>_xlfn.FLOOR.MATH(Table1[[#This Row],[year]],10)</f>
        <v>2020</v>
      </c>
      <c r="D6001" t="s">
        <v>37</v>
      </c>
      <c r="E6001" t="s">
        <v>195</v>
      </c>
      <c r="F6001">
        <v>0</v>
      </c>
      <c r="G6001">
        <v>3</v>
      </c>
      <c r="H6001" t="s">
        <v>224</v>
      </c>
      <c r="I6001" t="s">
        <v>192</v>
      </c>
      <c r="J6001" t="s">
        <v>68</v>
      </c>
      <c r="K6001" t="b">
        <v>1</v>
      </c>
      <c r="L6001">
        <v>2021</v>
      </c>
      <c r="M6001">
        <v>209691945713</v>
      </c>
      <c r="N6001">
        <v>1942313560965</v>
      </c>
      <c r="O6001" t="b">
        <v>1</v>
      </c>
      <c r="P6001">
        <v>1</v>
      </c>
      <c r="Q6001" t="str" cm="1">
        <f t="array" ref="Q6001">_xlfn.IFS(Table1[[#This Row],[Wealthier_Winner]]=-1,"Wealthier Nation Loses",Table1[[#This Row],[Wealthier_Winner]]=0,"Tie",Table1[[#This Row],[Wealthier_Winner]]=1,"Wealthier Nation Wins")</f>
        <v>Wealthier Nation Wins</v>
      </c>
    </row>
    <row r="6002" spans="1:17" x14ac:dyDescent="0.2">
      <c r="A6002" s="1">
        <v>8650</v>
      </c>
      <c r="B6002" s="2">
        <v>44516</v>
      </c>
      <c r="C6002" s="7">
        <f>_xlfn.FLOOR.MATH(Table1[[#This Row],[year]],10)</f>
        <v>2020</v>
      </c>
      <c r="D6002" t="s">
        <v>331</v>
      </c>
      <c r="E6002" t="s">
        <v>210</v>
      </c>
      <c r="F6002">
        <v>0</v>
      </c>
      <c r="G6002">
        <v>3</v>
      </c>
      <c r="H6002" t="s">
        <v>224</v>
      </c>
      <c r="I6002" t="s">
        <v>404</v>
      </c>
      <c r="J6002" t="s">
        <v>403</v>
      </c>
      <c r="K6002" t="b">
        <v>1</v>
      </c>
      <c r="L6002">
        <v>2021</v>
      </c>
      <c r="M6002">
        <v>14353205678</v>
      </c>
      <c r="N6002">
        <v>407350685583</v>
      </c>
      <c r="O6002" t="b">
        <v>1</v>
      </c>
      <c r="P6002">
        <v>1</v>
      </c>
      <c r="Q6002" t="str" cm="1">
        <f t="array" ref="Q6002">_xlfn.IFS(Table1[[#This Row],[Wealthier_Winner]]=-1,"Wealthier Nation Loses",Table1[[#This Row],[Wealthier_Winner]]=0,"Tie",Table1[[#This Row],[Wealthier_Winner]]=1,"Wealthier Nation Wins")</f>
        <v>Wealthier Nation Wins</v>
      </c>
    </row>
    <row r="6003" spans="1:17" x14ac:dyDescent="0.2">
      <c r="A6003" s="1">
        <v>8652</v>
      </c>
      <c r="B6003" s="2">
        <v>44516</v>
      </c>
      <c r="C6003" s="7">
        <f>_xlfn.FLOOR.MATH(Table1[[#This Row],[year]],10)</f>
        <v>2020</v>
      </c>
      <c r="D6003" t="s">
        <v>475</v>
      </c>
      <c r="E6003" t="s">
        <v>45</v>
      </c>
      <c r="F6003">
        <v>0</v>
      </c>
      <c r="G6003">
        <v>1</v>
      </c>
      <c r="H6003" t="s">
        <v>224</v>
      </c>
      <c r="I6003" t="s">
        <v>647</v>
      </c>
      <c r="J6003" t="s">
        <v>475</v>
      </c>
      <c r="K6003" t="b">
        <v>0</v>
      </c>
      <c r="L6003">
        <v>2021</v>
      </c>
      <c r="M6003">
        <v>366474752771</v>
      </c>
      <c r="N6003">
        <v>982661066666</v>
      </c>
      <c r="O6003" t="b">
        <v>1</v>
      </c>
      <c r="P6003">
        <v>1</v>
      </c>
      <c r="Q6003" t="str" cm="1">
        <f t="array" ref="Q6003">_xlfn.IFS(Table1[[#This Row],[Wealthier_Winner]]=-1,"Wealthier Nation Loses",Table1[[#This Row],[Wealthier_Winner]]=0,"Tie",Table1[[#This Row],[Wealthier_Winner]]=1,"Wealthier Nation Wins")</f>
        <v>Wealthier Nation Wins</v>
      </c>
    </row>
    <row r="6004" spans="1:17" x14ac:dyDescent="0.2">
      <c r="A6004" s="1">
        <v>8653</v>
      </c>
      <c r="B6004" s="2">
        <v>44516</v>
      </c>
      <c r="C6004" s="7">
        <f>_xlfn.FLOOR.MATH(Table1[[#This Row],[year]],10)</f>
        <v>2020</v>
      </c>
      <c r="D6004" t="s">
        <v>429</v>
      </c>
      <c r="E6004" t="s">
        <v>51</v>
      </c>
      <c r="F6004">
        <v>0</v>
      </c>
      <c r="G6004">
        <v>1</v>
      </c>
      <c r="H6004" t="s">
        <v>224</v>
      </c>
      <c r="I6004" t="s">
        <v>430</v>
      </c>
      <c r="J6004" t="s">
        <v>429</v>
      </c>
      <c r="K6004" t="b">
        <v>0</v>
      </c>
      <c r="L6004">
        <v>2021</v>
      </c>
      <c r="M6004">
        <v>87323797139</v>
      </c>
      <c r="N6004">
        <v>5039148168861</v>
      </c>
      <c r="O6004" t="b">
        <v>1</v>
      </c>
      <c r="P6004">
        <v>1</v>
      </c>
      <c r="Q6004" t="str" cm="1">
        <f t="array" ref="Q6004">_xlfn.IFS(Table1[[#This Row],[Wealthier_Winner]]=-1,"Wealthier Nation Loses",Table1[[#This Row],[Wealthier_Winner]]=0,"Tie",Table1[[#This Row],[Wealthier_Winner]]=1,"Wealthier Nation Wins")</f>
        <v>Wealthier Nation Wins</v>
      </c>
    </row>
    <row r="6005" spans="1:17" x14ac:dyDescent="0.2">
      <c r="A6005" s="1">
        <v>8654</v>
      </c>
      <c r="B6005" s="2">
        <v>44516</v>
      </c>
      <c r="C6005" s="7">
        <f>_xlfn.FLOOR.MATH(Table1[[#This Row],[year]],10)</f>
        <v>2020</v>
      </c>
      <c r="D6005" t="s">
        <v>49</v>
      </c>
      <c r="E6005" t="s">
        <v>41</v>
      </c>
      <c r="F6005">
        <v>1</v>
      </c>
      <c r="G6005">
        <v>1</v>
      </c>
      <c r="H6005" t="s">
        <v>224</v>
      </c>
      <c r="I6005" t="s">
        <v>257</v>
      </c>
      <c r="J6005" t="s">
        <v>49</v>
      </c>
      <c r="K6005" t="b">
        <v>0</v>
      </c>
      <c r="L6005">
        <v>2021</v>
      </c>
      <c r="M6005">
        <v>15963885376</v>
      </c>
      <c r="N6005">
        <v>23315080560000</v>
      </c>
      <c r="O6005" t="b">
        <v>1</v>
      </c>
      <c r="P6005">
        <v>0</v>
      </c>
      <c r="Q6005" t="str" cm="1">
        <f t="array" ref="Q6005">_xlfn.IFS(Table1[[#This Row],[Wealthier_Winner]]=-1,"Wealthier Nation Loses",Table1[[#This Row],[Wealthier_Winner]]=0,"Tie",Table1[[#This Row],[Wealthier_Winner]]=1,"Wealthier Nation Wins")</f>
        <v>Tie</v>
      </c>
    </row>
    <row r="6006" spans="1:17" x14ac:dyDescent="0.2">
      <c r="A6006" s="1">
        <v>8655</v>
      </c>
      <c r="B6006" s="2">
        <v>44516</v>
      </c>
      <c r="C6006" s="7">
        <f>_xlfn.FLOOR.MATH(Table1[[#This Row],[year]],10)</f>
        <v>2020</v>
      </c>
      <c r="D6006" t="s">
        <v>34</v>
      </c>
      <c r="E6006" t="s">
        <v>17</v>
      </c>
      <c r="F6006">
        <v>2</v>
      </c>
      <c r="G6006">
        <v>1</v>
      </c>
      <c r="H6006" t="s">
        <v>224</v>
      </c>
      <c r="I6006" t="s">
        <v>488</v>
      </c>
      <c r="J6006" t="s">
        <v>34</v>
      </c>
      <c r="K6006" t="b">
        <v>0</v>
      </c>
      <c r="L6006">
        <v>2021</v>
      </c>
      <c r="M6006">
        <v>2022378748423</v>
      </c>
      <c r="N6006">
        <v>1316569466685</v>
      </c>
      <c r="O6006" t="b">
        <v>0</v>
      </c>
      <c r="P6006">
        <v>1</v>
      </c>
      <c r="Q6006" t="str" cm="1">
        <f t="array" ref="Q6006">_xlfn.IFS(Table1[[#This Row],[Wealthier_Winner]]=-1,"Wealthier Nation Loses",Table1[[#This Row],[Wealthier_Winner]]=0,"Tie",Table1[[#This Row],[Wealthier_Winner]]=1,"Wealthier Nation Wins")</f>
        <v>Wealthier Nation Wins</v>
      </c>
    </row>
    <row r="6007" spans="1:17" x14ac:dyDescent="0.2">
      <c r="A6007" s="1">
        <v>8656</v>
      </c>
      <c r="B6007" s="2">
        <v>44516</v>
      </c>
      <c r="C6007" s="7">
        <f>_xlfn.FLOOR.MATH(Table1[[#This Row],[year]],10)</f>
        <v>2020</v>
      </c>
      <c r="D6007" t="s">
        <v>56</v>
      </c>
      <c r="E6007" t="s">
        <v>65</v>
      </c>
      <c r="F6007">
        <v>2</v>
      </c>
      <c r="G6007">
        <v>1</v>
      </c>
      <c r="H6007" t="s">
        <v>224</v>
      </c>
      <c r="I6007" t="s">
        <v>225</v>
      </c>
      <c r="J6007" t="s">
        <v>56</v>
      </c>
      <c r="K6007" t="b">
        <v>0</v>
      </c>
      <c r="L6007">
        <v>2021</v>
      </c>
      <c r="M6007">
        <v>64960725734</v>
      </c>
      <c r="N6007">
        <v>28144331506</v>
      </c>
      <c r="O6007" t="b">
        <v>1</v>
      </c>
      <c r="P6007">
        <v>1</v>
      </c>
      <c r="Q6007" t="str" cm="1">
        <f t="array" ref="Q6007">_xlfn.IFS(Table1[[#This Row],[Wealthier_Winner]]=-1,"Wealthier Nation Loses",Table1[[#This Row],[Wealthier_Winner]]=0,"Tie",Table1[[#This Row],[Wealthier_Winner]]=1,"Wealthier Nation Wins")</f>
        <v>Wealthier Nation Wins</v>
      </c>
    </row>
    <row r="6008" spans="1:17" x14ac:dyDescent="0.2">
      <c r="A6008" s="1">
        <v>8657</v>
      </c>
      <c r="B6008" s="2">
        <v>44516</v>
      </c>
      <c r="C6008" s="7">
        <f>_xlfn.FLOOR.MATH(Table1[[#This Row],[year]],10)</f>
        <v>2020</v>
      </c>
      <c r="D6008" t="s">
        <v>67</v>
      </c>
      <c r="E6008" t="s">
        <v>69</v>
      </c>
      <c r="F6008">
        <v>2</v>
      </c>
      <c r="G6008">
        <v>1</v>
      </c>
      <c r="H6008" t="s">
        <v>224</v>
      </c>
      <c r="I6008" t="s">
        <v>455</v>
      </c>
      <c r="J6008" t="s">
        <v>67</v>
      </c>
      <c r="K6008" t="b">
        <v>0</v>
      </c>
      <c r="L6008">
        <v>2021</v>
      </c>
      <c r="M6008">
        <v>67396392506</v>
      </c>
      <c r="N6008">
        <v>29043140000</v>
      </c>
      <c r="O6008" t="b">
        <v>1</v>
      </c>
      <c r="P6008">
        <v>1</v>
      </c>
      <c r="Q6008" t="str" cm="1">
        <f t="array" ref="Q6008">_xlfn.IFS(Table1[[#This Row],[Wealthier_Winner]]=-1,"Wealthier Nation Loses",Table1[[#This Row],[Wealthier_Winner]]=0,"Tie",Table1[[#This Row],[Wealthier_Winner]]=1,"Wealthier Nation Wins")</f>
        <v>Wealthier Nation Wins</v>
      </c>
    </row>
    <row r="6009" spans="1:17" x14ac:dyDescent="0.2">
      <c r="A6009" s="1">
        <v>8658</v>
      </c>
      <c r="B6009" s="2">
        <v>44516</v>
      </c>
      <c r="C6009" s="7">
        <f>_xlfn.FLOOR.MATH(Table1[[#This Row],[year]],10)</f>
        <v>2020</v>
      </c>
      <c r="D6009" t="s">
        <v>73</v>
      </c>
      <c r="E6009" t="s">
        <v>64</v>
      </c>
      <c r="F6009">
        <v>0</v>
      </c>
      <c r="G6009">
        <v>2</v>
      </c>
      <c r="H6009" t="s">
        <v>224</v>
      </c>
      <c r="I6009" t="s">
        <v>636</v>
      </c>
      <c r="J6009" t="s">
        <v>73</v>
      </c>
      <c r="K6009" t="b">
        <v>0</v>
      </c>
      <c r="L6009">
        <v>2021</v>
      </c>
      <c r="M6009">
        <v>23672712121</v>
      </c>
      <c r="N6009">
        <v>199765859570</v>
      </c>
      <c r="O6009" t="b">
        <v>1</v>
      </c>
      <c r="P6009">
        <v>1</v>
      </c>
      <c r="Q6009" t="str" cm="1">
        <f t="array" ref="Q6009">_xlfn.IFS(Table1[[#This Row],[Wealthier_Winner]]=-1,"Wealthier Nation Loses",Table1[[#This Row],[Wealthier_Winner]]=0,"Tie",Table1[[#This Row],[Wealthier_Winner]]=1,"Wealthier Nation Wins")</f>
        <v>Wealthier Nation Wins</v>
      </c>
    </row>
    <row r="6010" spans="1:17" x14ac:dyDescent="0.2">
      <c r="A6010" s="1">
        <v>8659</v>
      </c>
      <c r="B6010" s="2">
        <v>44516</v>
      </c>
      <c r="C6010" s="7">
        <f>_xlfn.FLOOR.MATH(Table1[[#This Row],[year]],10)</f>
        <v>2020</v>
      </c>
      <c r="D6010" t="s">
        <v>230</v>
      </c>
      <c r="E6010" t="s">
        <v>20</v>
      </c>
      <c r="F6010">
        <v>0</v>
      </c>
      <c r="G6010">
        <v>2</v>
      </c>
      <c r="H6010" t="s">
        <v>224</v>
      </c>
      <c r="I6010" t="s">
        <v>231</v>
      </c>
      <c r="J6010" t="s">
        <v>230</v>
      </c>
      <c r="K6010" t="b">
        <v>0</v>
      </c>
      <c r="L6010">
        <v>2021</v>
      </c>
      <c r="M6010">
        <v>294223210496</v>
      </c>
      <c r="N6010">
        <v>2966433692008</v>
      </c>
      <c r="O6010" t="b">
        <v>1</v>
      </c>
      <c r="P6010">
        <v>1</v>
      </c>
      <c r="Q6010" t="str" cm="1">
        <f t="array" ref="Q6010">_xlfn.IFS(Table1[[#This Row],[Wealthier_Winner]]=-1,"Wealthier Nation Loses",Table1[[#This Row],[Wealthier_Winner]]=0,"Tie",Table1[[#This Row],[Wealthier_Winner]]=1,"Wealthier Nation Wins")</f>
        <v>Wealthier Nation Wins</v>
      </c>
    </row>
    <row r="6011" spans="1:17" x14ac:dyDescent="0.2">
      <c r="A6011" s="1">
        <v>8664</v>
      </c>
      <c r="B6011" s="2">
        <v>44516</v>
      </c>
      <c r="C6011" s="7">
        <f>_xlfn.FLOOR.MATH(Table1[[#This Row],[year]],10)</f>
        <v>2020</v>
      </c>
      <c r="D6011" t="s">
        <v>27</v>
      </c>
      <c r="E6011" t="s">
        <v>42</v>
      </c>
      <c r="F6011">
        <v>2</v>
      </c>
      <c r="G6011">
        <v>0</v>
      </c>
      <c r="H6011" t="s">
        <v>224</v>
      </c>
      <c r="I6011" t="s">
        <v>265</v>
      </c>
      <c r="J6011" t="s">
        <v>27</v>
      </c>
      <c r="K6011" t="b">
        <v>0</v>
      </c>
      <c r="L6011">
        <v>2021</v>
      </c>
      <c r="M6011">
        <v>1054472123449</v>
      </c>
      <c r="N6011">
        <v>503367986030</v>
      </c>
      <c r="O6011" t="b">
        <v>1</v>
      </c>
      <c r="P6011">
        <v>1</v>
      </c>
      <c r="Q6011" t="str" cm="1">
        <f t="array" ref="Q6011">_xlfn.IFS(Table1[[#This Row],[Wealthier_Winner]]=-1,"Wealthier Nation Loses",Table1[[#This Row],[Wealthier_Winner]]=0,"Tie",Table1[[#This Row],[Wealthier_Winner]]=1,"Wealthier Nation Wins")</f>
        <v>Wealthier Nation Wins</v>
      </c>
    </row>
    <row r="6012" spans="1:17" x14ac:dyDescent="0.2">
      <c r="A6012" s="1">
        <v>8665</v>
      </c>
      <c r="B6012" s="2">
        <v>44516</v>
      </c>
      <c r="C6012" s="7">
        <f>_xlfn.FLOOR.MATH(Table1[[#This Row],[year]],10)</f>
        <v>2020</v>
      </c>
      <c r="D6012" t="s">
        <v>47</v>
      </c>
      <c r="E6012" t="s">
        <v>26</v>
      </c>
      <c r="F6012">
        <v>3</v>
      </c>
      <c r="G6012">
        <v>0</v>
      </c>
      <c r="H6012" t="s">
        <v>224</v>
      </c>
      <c r="I6012" t="s">
        <v>246</v>
      </c>
      <c r="J6012" t="s">
        <v>47</v>
      </c>
      <c r="K6012" t="b">
        <v>0</v>
      </c>
      <c r="L6012">
        <v>2021</v>
      </c>
      <c r="M6012">
        <v>47877892402</v>
      </c>
      <c r="N6012">
        <v>60739084240</v>
      </c>
      <c r="O6012" t="b">
        <v>0</v>
      </c>
      <c r="P6012">
        <v>-1</v>
      </c>
      <c r="Q6012" t="str" cm="1">
        <f t="array" ref="Q6012">_xlfn.IFS(Table1[[#This Row],[Wealthier_Winner]]=-1,"Wealthier Nation Loses",Table1[[#This Row],[Wealthier_Winner]]=0,"Tie",Table1[[#This Row],[Wealthier_Winner]]=1,"Wealthier Nation Wins")</f>
        <v>Wealthier Nation Loses</v>
      </c>
    </row>
    <row r="6013" spans="1:17" x14ac:dyDescent="0.2">
      <c r="A6013" s="1">
        <v>8666</v>
      </c>
      <c r="B6013" s="2">
        <v>44516</v>
      </c>
      <c r="C6013" s="7">
        <f>_xlfn.FLOOR.MATH(Table1[[#This Row],[year]],10)</f>
        <v>2020</v>
      </c>
      <c r="D6013" t="s">
        <v>258</v>
      </c>
      <c r="E6013" t="s">
        <v>31</v>
      </c>
      <c r="F6013">
        <v>1</v>
      </c>
      <c r="G6013">
        <v>2</v>
      </c>
      <c r="H6013" t="s">
        <v>224</v>
      </c>
      <c r="I6013" t="s">
        <v>260</v>
      </c>
      <c r="J6013" t="s">
        <v>258</v>
      </c>
      <c r="K6013" t="b">
        <v>0</v>
      </c>
      <c r="L6013">
        <v>2021</v>
      </c>
      <c r="M6013">
        <v>56614976854</v>
      </c>
      <c r="N6013">
        <v>226328766459</v>
      </c>
      <c r="O6013" t="b">
        <v>1</v>
      </c>
      <c r="P6013">
        <v>1</v>
      </c>
      <c r="Q6013" t="str" cm="1">
        <f t="array" ref="Q6013">_xlfn.IFS(Table1[[#This Row],[Wealthier_Winner]]=-1,"Wealthier Nation Loses",Table1[[#This Row],[Wealthier_Winner]]=0,"Tie",Table1[[#This Row],[Wealthier_Winner]]=1,"Wealthier Nation Wins")</f>
        <v>Wealthier Nation Wins</v>
      </c>
    </row>
    <row r="6014" spans="1:17" x14ac:dyDescent="0.2">
      <c r="A6014" s="1">
        <v>8667</v>
      </c>
      <c r="B6014" s="2">
        <v>44516</v>
      </c>
      <c r="C6014" s="7">
        <f>_xlfn.FLOOR.MATH(Table1[[#This Row],[year]],10)</f>
        <v>2020</v>
      </c>
      <c r="D6014" t="s">
        <v>15</v>
      </c>
      <c r="E6014" t="s">
        <v>35</v>
      </c>
      <c r="F6014">
        <v>0</v>
      </c>
      <c r="G6014">
        <v>0</v>
      </c>
      <c r="H6014" t="s">
        <v>224</v>
      </c>
      <c r="I6014" t="s">
        <v>261</v>
      </c>
      <c r="J6014" t="s">
        <v>15</v>
      </c>
      <c r="K6014" t="b">
        <v>0</v>
      </c>
      <c r="L6014">
        <v>2021</v>
      </c>
      <c r="M6014">
        <v>318524633225</v>
      </c>
      <c r="N6014">
        <v>39950899938</v>
      </c>
      <c r="O6014" t="b">
        <v>1</v>
      </c>
      <c r="P6014">
        <v>0</v>
      </c>
      <c r="Q6014" t="str" cm="1">
        <f t="array" ref="Q6014">_xlfn.IFS(Table1[[#This Row],[Wealthier_Winner]]=-1,"Wealthier Nation Loses",Table1[[#This Row],[Wealthier_Winner]]=0,"Tie",Table1[[#This Row],[Wealthier_Winner]]=1,"Wealthier Nation Wins")</f>
        <v>Tie</v>
      </c>
    </row>
    <row r="6015" spans="1:17" x14ac:dyDescent="0.2">
      <c r="A6015" s="1">
        <v>8668</v>
      </c>
      <c r="B6015" s="2">
        <v>44516</v>
      </c>
      <c r="C6015" s="7">
        <f>_xlfn.FLOOR.MATH(Table1[[#This Row],[year]],10)</f>
        <v>2020</v>
      </c>
      <c r="D6015" t="s">
        <v>19</v>
      </c>
      <c r="E6015" t="s">
        <v>13</v>
      </c>
      <c r="F6015">
        <v>0</v>
      </c>
      <c r="G6015">
        <v>0</v>
      </c>
      <c r="H6015" t="s">
        <v>224</v>
      </c>
      <c r="I6015" t="s">
        <v>815</v>
      </c>
      <c r="J6015" t="s">
        <v>19</v>
      </c>
      <c r="K6015" t="b">
        <v>0</v>
      </c>
      <c r="L6015">
        <v>2021</v>
      </c>
      <c r="M6015">
        <v>486564085480</v>
      </c>
      <c r="N6015">
        <v>1670647464062</v>
      </c>
      <c r="O6015" t="b">
        <v>1</v>
      </c>
      <c r="P6015">
        <v>0</v>
      </c>
      <c r="Q6015" t="str" cm="1">
        <f t="array" ref="Q6015">_xlfn.IFS(Table1[[#This Row],[Wealthier_Winner]]=-1,"Wealthier Nation Loses",Table1[[#This Row],[Wealthier_Winner]]=0,"Tie",Table1[[#This Row],[Wealthier_Winner]]=1,"Wealthier Nation Wins")</f>
        <v>Tie</v>
      </c>
    </row>
    <row r="6016" spans="1:17" x14ac:dyDescent="0.2">
      <c r="A6016" s="1">
        <v>8669</v>
      </c>
      <c r="B6016" s="2">
        <v>44516</v>
      </c>
      <c r="C6016" s="7">
        <f>_xlfn.FLOOR.MATH(Table1[[#This Row],[year]],10)</f>
        <v>2020</v>
      </c>
      <c r="D6016" t="s">
        <v>14</v>
      </c>
      <c r="E6016" t="s">
        <v>57</v>
      </c>
      <c r="F6016">
        <v>0</v>
      </c>
      <c r="G6016">
        <v>2</v>
      </c>
      <c r="H6016" t="s">
        <v>224</v>
      </c>
      <c r="I6016" t="s">
        <v>75</v>
      </c>
      <c r="J6016" t="s">
        <v>14</v>
      </c>
      <c r="K6016" t="b">
        <v>0</v>
      </c>
      <c r="L6016">
        <v>2021</v>
      </c>
      <c r="M6016">
        <v>315325547162</v>
      </c>
      <c r="N6016">
        <v>107179074000</v>
      </c>
      <c r="O6016" t="b">
        <v>1</v>
      </c>
      <c r="P6016">
        <v>-1</v>
      </c>
      <c r="Q6016" t="str" cm="1">
        <f t="array" ref="Q6016">_xlfn.IFS(Table1[[#This Row],[Wealthier_Winner]]=-1,"Wealthier Nation Loses",Table1[[#This Row],[Wealthier_Winner]]=0,"Tie",Table1[[#This Row],[Wealthier_Winner]]=1,"Wealthier Nation Wins")</f>
        <v>Wealthier Nation Loses</v>
      </c>
    </row>
    <row r="6017" spans="1:17" x14ac:dyDescent="0.2">
      <c r="A6017" s="1">
        <v>8670</v>
      </c>
      <c r="B6017" s="2">
        <v>44588</v>
      </c>
      <c r="C6017" s="7">
        <f>_xlfn.FLOOR.MATH(Table1[[#This Row],[year]],10)</f>
        <v>2020</v>
      </c>
      <c r="D6017" t="s">
        <v>49</v>
      </c>
      <c r="E6017" t="s">
        <v>17</v>
      </c>
      <c r="F6017">
        <v>1</v>
      </c>
      <c r="G6017">
        <v>2</v>
      </c>
      <c r="H6017" t="s">
        <v>224</v>
      </c>
      <c r="I6017" t="s">
        <v>257</v>
      </c>
      <c r="J6017" t="s">
        <v>49</v>
      </c>
      <c r="K6017" t="b">
        <v>0</v>
      </c>
      <c r="L6017">
        <v>2022</v>
      </c>
      <c r="M6017">
        <v>18813516805</v>
      </c>
      <c r="N6017">
        <v>1466934724293</v>
      </c>
      <c r="O6017" t="b">
        <v>1</v>
      </c>
      <c r="P6017">
        <v>1</v>
      </c>
      <c r="Q6017" t="str" cm="1">
        <f t="array" ref="Q6017">_xlfn.IFS(Table1[[#This Row],[Wealthier_Winner]]=-1,"Wealthier Nation Loses",Table1[[#This Row],[Wealthier_Winner]]=0,"Tie",Table1[[#This Row],[Wealthier_Winner]]=1,"Wealthier Nation Wins")</f>
        <v>Wealthier Nation Wins</v>
      </c>
    </row>
    <row r="6018" spans="1:17" x14ac:dyDescent="0.2">
      <c r="A6018" s="1">
        <v>8671</v>
      </c>
      <c r="B6018" s="2">
        <v>44588</v>
      </c>
      <c r="C6018" s="7">
        <f>_xlfn.FLOOR.MATH(Table1[[#This Row],[year]],10)</f>
        <v>2020</v>
      </c>
      <c r="D6018" t="s">
        <v>41</v>
      </c>
      <c r="E6018" t="s">
        <v>69</v>
      </c>
      <c r="F6018">
        <v>1</v>
      </c>
      <c r="G6018">
        <v>0</v>
      </c>
      <c r="H6018" t="s">
        <v>224</v>
      </c>
      <c r="I6018" t="s">
        <v>607</v>
      </c>
      <c r="J6018" t="s">
        <v>41</v>
      </c>
      <c r="K6018" t="b">
        <v>0</v>
      </c>
      <c r="L6018">
        <v>2022</v>
      </c>
      <c r="M6018">
        <v>25604848907611</v>
      </c>
      <c r="N6018">
        <v>31870120000</v>
      </c>
      <c r="O6018" t="b">
        <v>1</v>
      </c>
      <c r="P6018">
        <v>1</v>
      </c>
      <c r="Q6018" t="str" cm="1">
        <f t="array" ref="Q6018">_xlfn.IFS(Table1[[#This Row],[Wealthier_Winner]]=-1,"Wealthier Nation Loses",Table1[[#This Row],[Wealthier_Winner]]=0,"Tie",Table1[[#This Row],[Wealthier_Winner]]=1,"Wealthier Nation Wins")</f>
        <v>Wealthier Nation Wins</v>
      </c>
    </row>
    <row r="6019" spans="1:17" x14ac:dyDescent="0.2">
      <c r="A6019" s="1">
        <v>8672</v>
      </c>
      <c r="B6019" s="2">
        <v>44588</v>
      </c>
      <c r="C6019" s="7">
        <f>_xlfn.FLOOR.MATH(Table1[[#This Row],[year]],10)</f>
        <v>2020</v>
      </c>
      <c r="D6019" t="s">
        <v>65</v>
      </c>
      <c r="E6019" t="s">
        <v>34</v>
      </c>
      <c r="F6019">
        <v>0</v>
      </c>
      <c r="G6019">
        <v>2</v>
      </c>
      <c r="H6019" t="s">
        <v>224</v>
      </c>
      <c r="I6019" t="s">
        <v>254</v>
      </c>
      <c r="J6019" t="s">
        <v>65</v>
      </c>
      <c r="K6019" t="b">
        <v>0</v>
      </c>
      <c r="L6019">
        <v>2022</v>
      </c>
      <c r="M6019">
        <v>31426041806</v>
      </c>
      <c r="N6019">
        <v>2190411080134</v>
      </c>
      <c r="O6019" t="b">
        <v>1</v>
      </c>
      <c r="P6019">
        <v>1</v>
      </c>
      <c r="Q6019" t="str" cm="1">
        <f t="array" ref="Q6019">_xlfn.IFS(Table1[[#This Row],[Wealthier_Winner]]=-1,"Wealthier Nation Loses",Table1[[#This Row],[Wealthier_Winner]]=0,"Tie",Table1[[#This Row],[Wealthier_Winner]]=1,"Wealthier Nation Wins")</f>
        <v>Wealthier Nation Wins</v>
      </c>
    </row>
    <row r="6020" spans="1:17" x14ac:dyDescent="0.2">
      <c r="A6020" s="1">
        <v>8673</v>
      </c>
      <c r="B6020" s="2">
        <v>44588</v>
      </c>
      <c r="C6020" s="7">
        <f>_xlfn.FLOOR.MATH(Table1[[#This Row],[year]],10)</f>
        <v>2020</v>
      </c>
      <c r="D6020" t="s">
        <v>56</v>
      </c>
      <c r="E6020" t="s">
        <v>67</v>
      </c>
      <c r="F6020">
        <v>1</v>
      </c>
      <c r="G6020">
        <v>0</v>
      </c>
      <c r="H6020" t="s">
        <v>224</v>
      </c>
      <c r="I6020" t="s">
        <v>225</v>
      </c>
      <c r="J6020" t="s">
        <v>56</v>
      </c>
      <c r="K6020" t="b">
        <v>0</v>
      </c>
      <c r="L6020">
        <v>2022</v>
      </c>
      <c r="M6020">
        <v>69243626028</v>
      </c>
      <c r="N6020">
        <v>76479304470</v>
      </c>
      <c r="O6020" t="b">
        <v>0</v>
      </c>
      <c r="P6020">
        <v>-1</v>
      </c>
      <c r="Q6020" t="str" cm="1">
        <f t="array" ref="Q6020">_xlfn.IFS(Table1[[#This Row],[Wealthier_Winner]]=-1,"Wealthier Nation Loses",Table1[[#This Row],[Wealthier_Winner]]=0,"Tie",Table1[[#This Row],[Wealthier_Winner]]=1,"Wealthier Nation Wins")</f>
        <v>Wealthier Nation Loses</v>
      </c>
    </row>
    <row r="6021" spans="1:17" x14ac:dyDescent="0.2">
      <c r="A6021" s="1">
        <v>8674</v>
      </c>
      <c r="B6021" s="2">
        <v>44588</v>
      </c>
      <c r="C6021" s="7">
        <f>_xlfn.FLOOR.MATH(Table1[[#This Row],[year]],10)</f>
        <v>2020</v>
      </c>
      <c r="D6021" t="s">
        <v>479</v>
      </c>
      <c r="E6021" t="s">
        <v>195</v>
      </c>
      <c r="F6021">
        <v>0</v>
      </c>
      <c r="G6021">
        <v>1</v>
      </c>
      <c r="H6021" t="s">
        <v>224</v>
      </c>
      <c r="I6021" t="s">
        <v>687</v>
      </c>
      <c r="J6021" t="s">
        <v>479</v>
      </c>
      <c r="K6021" t="b">
        <v>0</v>
      </c>
      <c r="L6021">
        <v>2022</v>
      </c>
      <c r="M6021">
        <v>20992421948</v>
      </c>
      <c r="N6021">
        <v>1799363116866</v>
      </c>
      <c r="O6021" t="b">
        <v>1</v>
      </c>
      <c r="P6021">
        <v>1</v>
      </c>
      <c r="Q6021" t="str" cm="1">
        <f t="array" ref="Q6021">_xlfn.IFS(Table1[[#This Row],[Wealthier_Winner]]=-1,"Wealthier Nation Loses",Table1[[#This Row],[Wealthier_Winner]]=0,"Tie",Table1[[#This Row],[Wealthier_Winner]]=1,"Wealthier Nation Wins")</f>
        <v>Wealthier Nation Wins</v>
      </c>
    </row>
    <row r="6022" spans="1:17" x14ac:dyDescent="0.2">
      <c r="A6022" s="1">
        <v>8675</v>
      </c>
      <c r="B6022" s="2">
        <v>44588</v>
      </c>
      <c r="C6022" s="7">
        <f>_xlfn.FLOOR.MATH(Table1[[#This Row],[year]],10)</f>
        <v>2020</v>
      </c>
      <c r="D6022" t="s">
        <v>210</v>
      </c>
      <c r="E6022" t="s">
        <v>37</v>
      </c>
      <c r="F6022">
        <v>1</v>
      </c>
      <c r="G6022">
        <v>0</v>
      </c>
      <c r="H6022" t="s">
        <v>224</v>
      </c>
      <c r="I6022" t="s">
        <v>332</v>
      </c>
      <c r="J6022" t="s">
        <v>210</v>
      </c>
      <c r="K6022" t="b">
        <v>0</v>
      </c>
      <c r="L6022">
        <v>2022</v>
      </c>
      <c r="M6022">
        <v>422662261525</v>
      </c>
      <c r="N6022">
        <v>287372232137</v>
      </c>
      <c r="O6022" t="b">
        <v>0</v>
      </c>
      <c r="P6022">
        <v>1</v>
      </c>
      <c r="Q6022" t="str" cm="1">
        <f t="array" ref="Q6022">_xlfn.IFS(Table1[[#This Row],[Wealthier_Winner]]=-1,"Wealthier Nation Loses",Table1[[#This Row],[Wealthier_Winner]]=0,"Tie",Table1[[#This Row],[Wealthier_Winner]]=1,"Wealthier Nation Wins")</f>
        <v>Wealthier Nation Wins</v>
      </c>
    </row>
    <row r="6023" spans="1:17" x14ac:dyDescent="0.2">
      <c r="A6023" s="1">
        <v>8676</v>
      </c>
      <c r="B6023" s="2">
        <v>44588</v>
      </c>
      <c r="C6023" s="7">
        <f>_xlfn.FLOOR.MATH(Table1[[#This Row],[year]],10)</f>
        <v>2020</v>
      </c>
      <c r="D6023" t="s">
        <v>39</v>
      </c>
      <c r="E6023" t="s">
        <v>331</v>
      </c>
      <c r="F6023">
        <v>2</v>
      </c>
      <c r="G6023">
        <v>0</v>
      </c>
      <c r="H6023" t="s">
        <v>224</v>
      </c>
      <c r="I6023" t="s">
        <v>412</v>
      </c>
      <c r="J6023" t="s">
        <v>39</v>
      </c>
      <c r="K6023" t="b">
        <v>0</v>
      </c>
      <c r="L6023">
        <v>2022</v>
      </c>
      <c r="M6023">
        <v>511403403675</v>
      </c>
      <c r="N6023">
        <v>23622827079</v>
      </c>
      <c r="O6023" t="b">
        <v>1</v>
      </c>
      <c r="P6023">
        <v>1</v>
      </c>
      <c r="Q6023" t="str" cm="1">
        <f t="array" ref="Q6023">_xlfn.IFS(Table1[[#This Row],[Wealthier_Winner]]=-1,"Wealthier Nation Loses",Table1[[#This Row],[Wealthier_Winner]]=0,"Tie",Table1[[#This Row],[Wealthier_Winner]]=1,"Wealthier Nation Wins")</f>
        <v>Wealthier Nation Wins</v>
      </c>
    </row>
    <row r="6024" spans="1:17" x14ac:dyDescent="0.2">
      <c r="A6024" s="1">
        <v>8678</v>
      </c>
      <c r="B6024" s="2">
        <v>44588</v>
      </c>
      <c r="C6024" s="7">
        <f>_xlfn.FLOOR.MATH(Table1[[#This Row],[year]],10)</f>
        <v>2020</v>
      </c>
      <c r="D6024" t="s">
        <v>28</v>
      </c>
      <c r="E6024" t="s">
        <v>475</v>
      </c>
      <c r="F6024">
        <v>4</v>
      </c>
      <c r="G6024">
        <v>0</v>
      </c>
      <c r="H6024" t="s">
        <v>224</v>
      </c>
      <c r="I6024" t="s">
        <v>329</v>
      </c>
      <c r="J6024" t="s">
        <v>28</v>
      </c>
      <c r="K6024" t="b">
        <v>0</v>
      </c>
      <c r="L6024">
        <v>2022</v>
      </c>
      <c r="M6024">
        <v>1695627535475</v>
      </c>
      <c r="N6024">
        <v>413445230668</v>
      </c>
      <c r="O6024" t="b">
        <v>1</v>
      </c>
      <c r="P6024">
        <v>1</v>
      </c>
      <c r="Q6024" t="str" cm="1">
        <f t="array" ref="Q6024">_xlfn.IFS(Table1[[#This Row],[Wealthier_Winner]]=-1,"Wealthier Nation Loses",Table1[[#This Row],[Wealthier_Winner]]=0,"Tie",Table1[[#This Row],[Wealthier_Winner]]=1,"Wealthier Nation Wins")</f>
        <v>Wealthier Nation Wins</v>
      </c>
    </row>
    <row r="6025" spans="1:17" x14ac:dyDescent="0.2">
      <c r="A6025" s="1">
        <v>8679</v>
      </c>
      <c r="B6025" s="2">
        <v>44588</v>
      </c>
      <c r="C6025" s="7">
        <f>_xlfn.FLOOR.MATH(Table1[[#This Row],[year]],10)</f>
        <v>2020</v>
      </c>
      <c r="D6025" t="s">
        <v>45</v>
      </c>
      <c r="E6025" t="s">
        <v>429</v>
      </c>
      <c r="F6025">
        <v>1</v>
      </c>
      <c r="G6025">
        <v>0</v>
      </c>
      <c r="H6025" t="s">
        <v>224</v>
      </c>
      <c r="I6025" t="s">
        <v>354</v>
      </c>
      <c r="J6025" t="s">
        <v>45</v>
      </c>
      <c r="K6025" t="b">
        <v>0</v>
      </c>
      <c r="L6025">
        <v>2022</v>
      </c>
      <c r="M6025">
        <v>1239075200000</v>
      </c>
      <c r="N6025">
        <v>109852795838</v>
      </c>
      <c r="O6025" t="b">
        <v>1</v>
      </c>
      <c r="P6025">
        <v>1</v>
      </c>
      <c r="Q6025" t="str" cm="1">
        <f t="array" ref="Q6025">_xlfn.IFS(Table1[[#This Row],[Wealthier_Winner]]=-1,"Wealthier Nation Loses",Table1[[#This Row],[Wealthier_Winner]]=0,"Tie",Table1[[#This Row],[Wealthier_Winner]]=1,"Wealthier Nation Wins")</f>
        <v>Wealthier Nation Wins</v>
      </c>
    </row>
    <row r="6026" spans="1:17" x14ac:dyDescent="0.2">
      <c r="A6026" s="1">
        <v>8680</v>
      </c>
      <c r="B6026" s="2">
        <v>44588</v>
      </c>
      <c r="C6026" s="7">
        <f>_xlfn.FLOOR.MATH(Table1[[#This Row],[year]],10)</f>
        <v>2020</v>
      </c>
      <c r="D6026" t="s">
        <v>57</v>
      </c>
      <c r="E6026" t="s">
        <v>13</v>
      </c>
      <c r="F6026">
        <v>1</v>
      </c>
      <c r="G6026">
        <v>1</v>
      </c>
      <c r="H6026" t="s">
        <v>224</v>
      </c>
      <c r="I6026" t="s">
        <v>335</v>
      </c>
      <c r="J6026" t="s">
        <v>57</v>
      </c>
      <c r="K6026" t="b">
        <v>0</v>
      </c>
      <c r="L6026">
        <v>2022</v>
      </c>
      <c r="M6026">
        <v>116133121000</v>
      </c>
      <c r="N6026">
        <v>1951923832083</v>
      </c>
      <c r="O6026" t="b">
        <v>1</v>
      </c>
      <c r="P6026">
        <v>0</v>
      </c>
      <c r="Q6026" t="str" cm="1">
        <f t="array" ref="Q6026">_xlfn.IFS(Table1[[#This Row],[Wealthier_Winner]]=-1,"Wealthier Nation Loses",Table1[[#This Row],[Wealthier_Winner]]=0,"Tie",Table1[[#This Row],[Wealthier_Winner]]=1,"Wealthier Nation Wins")</f>
        <v>Tie</v>
      </c>
    </row>
    <row r="6027" spans="1:17" x14ac:dyDescent="0.2">
      <c r="A6027" s="1">
        <v>8681</v>
      </c>
      <c r="B6027" s="2">
        <v>44588</v>
      </c>
      <c r="C6027" s="7">
        <f>_xlfn.FLOOR.MATH(Table1[[#This Row],[year]],10)</f>
        <v>2020</v>
      </c>
      <c r="D6027" t="s">
        <v>35</v>
      </c>
      <c r="E6027" t="s">
        <v>26</v>
      </c>
      <c r="F6027">
        <v>0</v>
      </c>
      <c r="G6027">
        <v>1</v>
      </c>
      <c r="H6027" t="s">
        <v>224</v>
      </c>
      <c r="I6027" t="s">
        <v>250</v>
      </c>
      <c r="J6027" t="s">
        <v>35</v>
      </c>
      <c r="K6027" t="b">
        <v>0</v>
      </c>
      <c r="L6027">
        <v>2022</v>
      </c>
      <c r="M6027">
        <v>41952910858</v>
      </c>
      <c r="N6027">
        <v>70594110920</v>
      </c>
      <c r="O6027" t="b">
        <v>0</v>
      </c>
      <c r="P6027">
        <v>1</v>
      </c>
      <c r="Q6027" t="str" cm="1">
        <f t="array" ref="Q6027">_xlfn.IFS(Table1[[#This Row],[Wealthier_Winner]]=-1,"Wealthier Nation Loses",Table1[[#This Row],[Wealthier_Winner]]=0,"Tie",Table1[[#This Row],[Wealthier_Winner]]=1,"Wealthier Nation Wins")</f>
        <v>Wealthier Nation Wins</v>
      </c>
    </row>
    <row r="6028" spans="1:17" x14ac:dyDescent="0.2">
      <c r="A6028" s="1">
        <v>8682</v>
      </c>
      <c r="B6028" s="2">
        <v>44588</v>
      </c>
      <c r="C6028" s="7">
        <f>_xlfn.FLOOR.MATH(Table1[[#This Row],[year]],10)</f>
        <v>2020</v>
      </c>
      <c r="D6028" t="s">
        <v>14</v>
      </c>
      <c r="E6028" t="s">
        <v>19</v>
      </c>
      <c r="F6028">
        <v>1</v>
      </c>
      <c r="G6028">
        <v>2</v>
      </c>
      <c r="H6028" t="s">
        <v>224</v>
      </c>
      <c r="I6028" t="s">
        <v>868</v>
      </c>
      <c r="J6028" t="s">
        <v>14</v>
      </c>
      <c r="K6028" t="b">
        <v>0</v>
      </c>
      <c r="L6028">
        <v>2022</v>
      </c>
      <c r="M6028">
        <v>301226575540</v>
      </c>
      <c r="N6028">
        <v>633993756301</v>
      </c>
      <c r="O6028" t="b">
        <v>1</v>
      </c>
      <c r="P6028">
        <v>1</v>
      </c>
      <c r="Q6028" t="str" cm="1">
        <f t="array" ref="Q6028">_xlfn.IFS(Table1[[#This Row],[Wealthier_Winner]]=-1,"Wealthier Nation Loses",Table1[[#This Row],[Wealthier_Winner]]=0,"Tie",Table1[[#This Row],[Wealthier_Winner]]=1,"Wealthier Nation Wins")</f>
        <v>Wealthier Nation Wins</v>
      </c>
    </row>
    <row r="6029" spans="1:17" x14ac:dyDescent="0.2">
      <c r="A6029" s="1">
        <v>8683</v>
      </c>
      <c r="B6029" s="2">
        <v>44589</v>
      </c>
      <c r="C6029" s="7">
        <f>_xlfn.FLOOR.MATH(Table1[[#This Row],[year]],10)</f>
        <v>2020</v>
      </c>
      <c r="D6029" t="s">
        <v>15</v>
      </c>
      <c r="E6029" t="s">
        <v>31</v>
      </c>
      <c r="F6029">
        <v>0</v>
      </c>
      <c r="G6029">
        <v>1</v>
      </c>
      <c r="H6029" t="s">
        <v>224</v>
      </c>
      <c r="I6029" t="s">
        <v>261</v>
      </c>
      <c r="J6029" t="s">
        <v>15</v>
      </c>
      <c r="K6029" t="b">
        <v>0</v>
      </c>
      <c r="L6029">
        <v>2022</v>
      </c>
      <c r="M6029">
        <v>345632492851</v>
      </c>
      <c r="N6029">
        <v>246065570308</v>
      </c>
      <c r="O6029" t="b">
        <v>0</v>
      </c>
      <c r="P6029">
        <v>-1</v>
      </c>
      <c r="Q6029" t="str" cm="1">
        <f t="array" ref="Q6029">_xlfn.IFS(Table1[[#This Row],[Wealthier_Winner]]=-1,"Wealthier Nation Loses",Table1[[#This Row],[Wealthier_Winner]]=0,"Tie",Table1[[#This Row],[Wealthier_Winner]]=1,"Wealthier Nation Wins")</f>
        <v>Wealthier Nation Loses</v>
      </c>
    </row>
    <row r="6030" spans="1:17" x14ac:dyDescent="0.2">
      <c r="A6030" s="1">
        <v>8684</v>
      </c>
      <c r="B6030" s="2">
        <v>44589</v>
      </c>
      <c r="C6030" s="7">
        <f>_xlfn.FLOOR.MATH(Table1[[#This Row],[year]],10)</f>
        <v>2020</v>
      </c>
      <c r="D6030" t="s">
        <v>258</v>
      </c>
      <c r="E6030" t="s">
        <v>47</v>
      </c>
      <c r="F6030">
        <v>4</v>
      </c>
      <c r="G6030">
        <v>1</v>
      </c>
      <c r="H6030" t="s">
        <v>224</v>
      </c>
      <c r="I6030" t="s">
        <v>516</v>
      </c>
      <c r="J6030" t="s">
        <v>258</v>
      </c>
      <c r="K6030" t="b">
        <v>0</v>
      </c>
      <c r="L6030">
        <v>2022</v>
      </c>
      <c r="M6030">
        <v>89013255584</v>
      </c>
      <c r="N6030">
        <v>50959081953</v>
      </c>
      <c r="O6030" t="b">
        <v>0</v>
      </c>
      <c r="P6030">
        <v>1</v>
      </c>
      <c r="Q6030" t="str" cm="1">
        <f t="array" ref="Q6030">_xlfn.IFS(Table1[[#This Row],[Wealthier_Winner]]=-1,"Wealthier Nation Loses",Table1[[#This Row],[Wealthier_Winner]]=0,"Tie",Table1[[#This Row],[Wealthier_Winner]]=1,"Wealthier Nation Wins")</f>
        <v>Wealthier Nation Wins</v>
      </c>
    </row>
    <row r="6031" spans="1:17" x14ac:dyDescent="0.2">
      <c r="A6031" s="1">
        <v>8685</v>
      </c>
      <c r="B6031" s="2">
        <v>44591</v>
      </c>
      <c r="C6031" s="7">
        <f>_xlfn.FLOOR.MATH(Table1[[#This Row],[year]],10)</f>
        <v>2020</v>
      </c>
      <c r="D6031" t="s">
        <v>34</v>
      </c>
      <c r="E6031" t="s">
        <v>41</v>
      </c>
      <c r="F6031">
        <v>2</v>
      </c>
      <c r="G6031">
        <v>0</v>
      </c>
      <c r="H6031" t="s">
        <v>224</v>
      </c>
      <c r="I6031" t="s">
        <v>271</v>
      </c>
      <c r="J6031" t="s">
        <v>34</v>
      </c>
      <c r="K6031" t="b">
        <v>0</v>
      </c>
      <c r="L6031">
        <v>2022</v>
      </c>
      <c r="M6031">
        <v>2190411080134</v>
      </c>
      <c r="N6031">
        <v>25604848907611</v>
      </c>
      <c r="O6031" t="b">
        <v>1</v>
      </c>
      <c r="P6031">
        <v>-1</v>
      </c>
      <c r="Q6031" t="str" cm="1">
        <f t="array" ref="Q6031">_xlfn.IFS(Table1[[#This Row],[Wealthier_Winner]]=-1,"Wealthier Nation Loses",Table1[[#This Row],[Wealthier_Winner]]=0,"Tie",Table1[[#This Row],[Wealthier_Winner]]=1,"Wealthier Nation Wins")</f>
        <v>Wealthier Nation Loses</v>
      </c>
    </row>
    <row r="6032" spans="1:17" x14ac:dyDescent="0.2">
      <c r="A6032" s="1">
        <v>8686</v>
      </c>
      <c r="B6032" s="2">
        <v>44591</v>
      </c>
      <c r="C6032" s="7">
        <f>_xlfn.FLOOR.MATH(Table1[[#This Row],[year]],10)</f>
        <v>2020</v>
      </c>
      <c r="D6032" t="s">
        <v>17</v>
      </c>
      <c r="E6032" t="s">
        <v>56</v>
      </c>
      <c r="F6032">
        <v>0</v>
      </c>
      <c r="G6032">
        <v>0</v>
      </c>
      <c r="H6032" t="s">
        <v>224</v>
      </c>
      <c r="I6032" t="s">
        <v>83</v>
      </c>
      <c r="J6032" t="s">
        <v>17</v>
      </c>
      <c r="K6032" t="b">
        <v>0</v>
      </c>
      <c r="L6032">
        <v>2022</v>
      </c>
      <c r="M6032">
        <v>1466934724293</v>
      </c>
      <c r="N6032">
        <v>69243626028</v>
      </c>
      <c r="O6032" t="b">
        <v>1</v>
      </c>
      <c r="P6032">
        <v>0</v>
      </c>
      <c r="Q6032" t="str" cm="1">
        <f t="array" ref="Q6032">_xlfn.IFS(Table1[[#This Row],[Wealthier_Winner]]=-1,"Wealthier Nation Loses",Table1[[#This Row],[Wealthier_Winner]]=0,"Tie",Table1[[#This Row],[Wealthier_Winner]]=1,"Wealthier Nation Wins")</f>
        <v>Tie</v>
      </c>
    </row>
    <row r="6033" spans="1:17" x14ac:dyDescent="0.2">
      <c r="A6033" s="1">
        <v>8687</v>
      </c>
      <c r="B6033" s="2">
        <v>44591</v>
      </c>
      <c r="C6033" s="7">
        <f>_xlfn.FLOOR.MATH(Table1[[#This Row],[year]],10)</f>
        <v>2020</v>
      </c>
      <c r="D6033" t="s">
        <v>67</v>
      </c>
      <c r="E6033" t="s">
        <v>49</v>
      </c>
      <c r="F6033">
        <v>3</v>
      </c>
      <c r="G6033">
        <v>2</v>
      </c>
      <c r="H6033" t="s">
        <v>224</v>
      </c>
      <c r="I6033" t="s">
        <v>455</v>
      </c>
      <c r="J6033" t="s">
        <v>67</v>
      </c>
      <c r="K6033" t="b">
        <v>0</v>
      </c>
      <c r="L6033">
        <v>2022</v>
      </c>
      <c r="M6033">
        <v>76479304470</v>
      </c>
      <c r="N6033">
        <v>18813516805</v>
      </c>
      <c r="O6033" t="b">
        <v>1</v>
      </c>
      <c r="P6033">
        <v>1</v>
      </c>
      <c r="Q6033" t="str" cm="1">
        <f t="array" ref="Q6033">_xlfn.IFS(Table1[[#This Row],[Wealthier_Winner]]=-1,"Wealthier Nation Loses",Table1[[#This Row],[Wealthier_Winner]]=0,"Tie",Table1[[#This Row],[Wealthier_Winner]]=1,"Wealthier Nation Wins")</f>
        <v>Wealthier Nation Wins</v>
      </c>
    </row>
    <row r="6034" spans="1:17" x14ac:dyDescent="0.2">
      <c r="A6034" s="1">
        <v>8688</v>
      </c>
      <c r="B6034" s="2">
        <v>44591</v>
      </c>
      <c r="C6034" s="7">
        <f>_xlfn.FLOOR.MATH(Table1[[#This Row],[year]],10)</f>
        <v>2020</v>
      </c>
      <c r="D6034" t="s">
        <v>65</v>
      </c>
      <c r="E6034" t="s">
        <v>69</v>
      </c>
      <c r="F6034">
        <v>0</v>
      </c>
      <c r="G6034">
        <v>2</v>
      </c>
      <c r="H6034" t="s">
        <v>224</v>
      </c>
      <c r="I6034" t="s">
        <v>254</v>
      </c>
      <c r="J6034" t="s">
        <v>65</v>
      </c>
      <c r="K6034" t="b">
        <v>0</v>
      </c>
      <c r="L6034">
        <v>2022</v>
      </c>
      <c r="M6034">
        <v>31426041806</v>
      </c>
      <c r="N6034">
        <v>31870120000</v>
      </c>
      <c r="O6034" t="b">
        <v>0</v>
      </c>
      <c r="P6034">
        <v>1</v>
      </c>
      <c r="Q6034" t="str" cm="1">
        <f t="array" ref="Q6034">_xlfn.IFS(Table1[[#This Row],[Wealthier_Winner]]=-1,"Wealthier Nation Loses",Table1[[#This Row],[Wealthier_Winner]]=0,"Tie",Table1[[#This Row],[Wealthier_Winner]]=1,"Wealthier Nation Wins")</f>
        <v>Wealthier Nation Wins</v>
      </c>
    </row>
    <row r="6035" spans="1:17" x14ac:dyDescent="0.2">
      <c r="A6035" s="1">
        <v>8689</v>
      </c>
      <c r="B6035" s="2">
        <v>44593</v>
      </c>
      <c r="C6035" s="7">
        <f>_xlfn.FLOOR.MATH(Table1[[#This Row],[year]],10)</f>
        <v>2020</v>
      </c>
      <c r="D6035" t="s">
        <v>479</v>
      </c>
      <c r="E6035" t="s">
        <v>37</v>
      </c>
      <c r="F6035">
        <v>1</v>
      </c>
      <c r="G6035">
        <v>1</v>
      </c>
      <c r="H6035" t="s">
        <v>224</v>
      </c>
      <c r="I6035" t="s">
        <v>687</v>
      </c>
      <c r="J6035" t="s">
        <v>479</v>
      </c>
      <c r="K6035" t="b">
        <v>0</v>
      </c>
      <c r="L6035">
        <v>2022</v>
      </c>
      <c r="M6035">
        <v>20992421948</v>
      </c>
      <c r="N6035">
        <v>287372232137</v>
      </c>
      <c r="O6035" t="b">
        <v>1</v>
      </c>
      <c r="P6035">
        <v>0</v>
      </c>
      <c r="Q6035" t="str" cm="1">
        <f t="array" ref="Q6035">_xlfn.IFS(Table1[[#This Row],[Wealthier_Winner]]=-1,"Wealthier Nation Loses",Table1[[#This Row],[Wealthier_Winner]]=0,"Tie",Table1[[#This Row],[Wealthier_Winner]]=1,"Wealthier Nation Wins")</f>
        <v>Tie</v>
      </c>
    </row>
    <row r="6036" spans="1:17" x14ac:dyDescent="0.2">
      <c r="A6036" s="1">
        <v>8690</v>
      </c>
      <c r="B6036" s="2">
        <v>44593</v>
      </c>
      <c r="C6036" s="7">
        <f>_xlfn.FLOOR.MATH(Table1[[#This Row],[year]],10)</f>
        <v>2020</v>
      </c>
      <c r="D6036" t="s">
        <v>210</v>
      </c>
      <c r="E6036" t="s">
        <v>39</v>
      </c>
      <c r="F6036">
        <v>1</v>
      </c>
      <c r="G6036">
        <v>0</v>
      </c>
      <c r="H6036" t="s">
        <v>224</v>
      </c>
      <c r="I6036" t="s">
        <v>332</v>
      </c>
      <c r="J6036" t="s">
        <v>210</v>
      </c>
      <c r="K6036" t="b">
        <v>0</v>
      </c>
      <c r="L6036">
        <v>2022</v>
      </c>
      <c r="M6036">
        <v>422662261525</v>
      </c>
      <c r="N6036">
        <v>511403403675</v>
      </c>
      <c r="O6036" t="b">
        <v>0</v>
      </c>
      <c r="P6036">
        <v>-1</v>
      </c>
      <c r="Q6036" t="str" cm="1">
        <f t="array" ref="Q6036">_xlfn.IFS(Table1[[#This Row],[Wealthier_Winner]]=-1,"Wealthier Nation Loses",Table1[[#This Row],[Wealthier_Winner]]=0,"Tie",Table1[[#This Row],[Wealthier_Winner]]=1,"Wealthier Nation Wins")</f>
        <v>Wealthier Nation Loses</v>
      </c>
    </row>
    <row r="6037" spans="1:17" x14ac:dyDescent="0.2">
      <c r="A6037" s="1">
        <v>8691</v>
      </c>
      <c r="B6037" s="2">
        <v>44593</v>
      </c>
      <c r="C6037" s="7">
        <f>_xlfn.FLOOR.MATH(Table1[[#This Row],[year]],10)</f>
        <v>2020</v>
      </c>
      <c r="D6037" t="s">
        <v>331</v>
      </c>
      <c r="E6037" t="s">
        <v>195</v>
      </c>
      <c r="F6037">
        <v>0</v>
      </c>
      <c r="G6037">
        <v>2</v>
      </c>
      <c r="H6037" t="s">
        <v>224</v>
      </c>
      <c r="I6037" t="s">
        <v>412</v>
      </c>
      <c r="J6037" t="s">
        <v>39</v>
      </c>
      <c r="K6037" t="b">
        <v>1</v>
      </c>
      <c r="L6037">
        <v>2022</v>
      </c>
      <c r="M6037">
        <v>23622827079</v>
      </c>
      <c r="N6037">
        <v>1799363116866</v>
      </c>
      <c r="O6037" t="b">
        <v>1</v>
      </c>
      <c r="P6037">
        <v>1</v>
      </c>
      <c r="Q6037" t="str" cm="1">
        <f t="array" ref="Q6037">_xlfn.IFS(Table1[[#This Row],[Wealthier_Winner]]=-1,"Wealthier Nation Loses",Table1[[#This Row],[Wealthier_Winner]]=0,"Tie",Table1[[#This Row],[Wealthier_Winner]]=1,"Wealthier Nation Wins")</f>
        <v>Wealthier Nation Wins</v>
      </c>
    </row>
    <row r="6038" spans="1:17" x14ac:dyDescent="0.2">
      <c r="A6038" s="1">
        <v>8693</v>
      </c>
      <c r="B6038" s="2">
        <v>44593</v>
      </c>
      <c r="C6038" s="7">
        <f>_xlfn.FLOOR.MATH(Table1[[#This Row],[year]],10)</f>
        <v>2020</v>
      </c>
      <c r="D6038" t="s">
        <v>51</v>
      </c>
      <c r="E6038" t="s">
        <v>45</v>
      </c>
      <c r="F6038">
        <v>2</v>
      </c>
      <c r="G6038">
        <v>0</v>
      </c>
      <c r="H6038" t="s">
        <v>224</v>
      </c>
      <c r="I6038" t="s">
        <v>143</v>
      </c>
      <c r="J6038" t="s">
        <v>51</v>
      </c>
      <c r="K6038" t="b">
        <v>0</v>
      </c>
      <c r="L6038">
        <v>2022</v>
      </c>
      <c r="M6038">
        <v>4262463317796</v>
      </c>
      <c r="N6038">
        <v>1239075200000</v>
      </c>
      <c r="O6038" t="b">
        <v>1</v>
      </c>
      <c r="P6038">
        <v>1</v>
      </c>
      <c r="Q6038" t="str" cm="1">
        <f t="array" ref="Q6038">_xlfn.IFS(Table1[[#This Row],[Wealthier_Winner]]=-1,"Wealthier Nation Loses",Table1[[#This Row],[Wealthier_Winner]]=0,"Tie",Table1[[#This Row],[Wealthier_Winner]]=1,"Wealthier Nation Wins")</f>
        <v>Wealthier Nation Wins</v>
      </c>
    </row>
    <row r="6039" spans="1:17" x14ac:dyDescent="0.2">
      <c r="A6039" s="1">
        <v>8694</v>
      </c>
      <c r="B6039" s="2">
        <v>44593</v>
      </c>
      <c r="C6039" s="7">
        <f>_xlfn.FLOOR.MATH(Table1[[#This Row],[year]],10)</f>
        <v>2020</v>
      </c>
      <c r="D6039" t="s">
        <v>429</v>
      </c>
      <c r="E6039" t="s">
        <v>28</v>
      </c>
      <c r="F6039">
        <v>2</v>
      </c>
      <c r="G6039">
        <v>2</v>
      </c>
      <c r="H6039" t="s">
        <v>224</v>
      </c>
      <c r="I6039" t="s">
        <v>430</v>
      </c>
      <c r="J6039" t="s">
        <v>429</v>
      </c>
      <c r="K6039" t="b">
        <v>0</v>
      </c>
      <c r="L6039">
        <v>2022</v>
      </c>
      <c r="M6039">
        <v>109852795838</v>
      </c>
      <c r="N6039">
        <v>1695627535475</v>
      </c>
      <c r="O6039" t="b">
        <v>1</v>
      </c>
      <c r="P6039">
        <v>0</v>
      </c>
      <c r="Q6039" t="str" cm="1">
        <f t="array" ref="Q6039">_xlfn.IFS(Table1[[#This Row],[Wealthier_Winner]]=-1,"Wealthier Nation Loses",Table1[[#This Row],[Wealthier_Winner]]=0,"Tie",Table1[[#This Row],[Wealthier_Winner]]=1,"Wealthier Nation Wins")</f>
        <v>Tie</v>
      </c>
    </row>
    <row r="6040" spans="1:17" x14ac:dyDescent="0.2">
      <c r="A6040" s="1">
        <v>8695</v>
      </c>
      <c r="B6040" s="2">
        <v>44593</v>
      </c>
      <c r="C6040" s="7">
        <f>_xlfn.FLOOR.MATH(Table1[[#This Row],[year]],10)</f>
        <v>2020</v>
      </c>
      <c r="D6040" t="s">
        <v>47</v>
      </c>
      <c r="E6040" t="s">
        <v>14</v>
      </c>
      <c r="F6040">
        <v>2</v>
      </c>
      <c r="G6040">
        <v>3</v>
      </c>
      <c r="H6040" t="s">
        <v>224</v>
      </c>
      <c r="I6040" t="s">
        <v>246</v>
      </c>
      <c r="J6040" t="s">
        <v>47</v>
      </c>
      <c r="K6040" t="b">
        <v>0</v>
      </c>
      <c r="L6040">
        <v>2022</v>
      </c>
      <c r="M6040">
        <v>50959081953</v>
      </c>
      <c r="N6040">
        <v>301226575540</v>
      </c>
      <c r="O6040" t="b">
        <v>1</v>
      </c>
      <c r="P6040">
        <v>1</v>
      </c>
      <c r="Q6040" t="str" cm="1">
        <f t="array" ref="Q6040">_xlfn.IFS(Table1[[#This Row],[Wealthier_Winner]]=-1,"Wealthier Nation Loses",Table1[[#This Row],[Wealthier_Winner]]=0,"Tie",Table1[[#This Row],[Wealthier_Winner]]=1,"Wealthier Nation Wins")</f>
        <v>Wealthier Nation Wins</v>
      </c>
    </row>
    <row r="6041" spans="1:17" x14ac:dyDescent="0.2">
      <c r="A6041" s="1">
        <v>8696</v>
      </c>
      <c r="B6041" s="2">
        <v>44593</v>
      </c>
      <c r="C6041" s="7">
        <f>_xlfn.FLOOR.MATH(Table1[[#This Row],[year]],10)</f>
        <v>2020</v>
      </c>
      <c r="D6041" t="s">
        <v>26</v>
      </c>
      <c r="E6041" t="s">
        <v>258</v>
      </c>
      <c r="F6041">
        <v>4</v>
      </c>
      <c r="G6041">
        <v>1</v>
      </c>
      <c r="H6041" t="s">
        <v>224</v>
      </c>
      <c r="I6041" t="s">
        <v>247</v>
      </c>
      <c r="J6041" t="s">
        <v>26</v>
      </c>
      <c r="K6041" t="b">
        <v>0</v>
      </c>
      <c r="L6041">
        <v>2022</v>
      </c>
      <c r="M6041">
        <v>70594110920</v>
      </c>
      <c r="N6041">
        <v>89013255584</v>
      </c>
      <c r="O6041" t="b">
        <v>0</v>
      </c>
      <c r="P6041">
        <v>-1</v>
      </c>
      <c r="Q6041" t="str" cm="1">
        <f t="array" ref="Q6041">_xlfn.IFS(Table1[[#This Row],[Wealthier_Winner]]=-1,"Wealthier Nation Loses",Table1[[#This Row],[Wealthier_Winner]]=0,"Tie",Table1[[#This Row],[Wealthier_Winner]]=1,"Wealthier Nation Wins")</f>
        <v>Wealthier Nation Loses</v>
      </c>
    </row>
    <row r="6042" spans="1:17" x14ac:dyDescent="0.2">
      <c r="A6042" s="1">
        <v>8697</v>
      </c>
      <c r="B6042" s="2">
        <v>44593</v>
      </c>
      <c r="C6042" s="7">
        <f>_xlfn.FLOOR.MATH(Table1[[#This Row],[year]],10)</f>
        <v>2020</v>
      </c>
      <c r="D6042" t="s">
        <v>19</v>
      </c>
      <c r="E6042" t="s">
        <v>15</v>
      </c>
      <c r="F6042">
        <v>1</v>
      </c>
      <c r="G6042">
        <v>0</v>
      </c>
      <c r="H6042" t="s">
        <v>224</v>
      </c>
      <c r="I6042" t="s">
        <v>368</v>
      </c>
      <c r="J6042" t="s">
        <v>19</v>
      </c>
      <c r="K6042" t="b">
        <v>0</v>
      </c>
      <c r="L6042">
        <v>2022</v>
      </c>
      <c r="M6042">
        <v>633993756301</v>
      </c>
      <c r="N6042">
        <v>345632492851</v>
      </c>
      <c r="O6042" t="b">
        <v>0</v>
      </c>
      <c r="P6042">
        <v>1</v>
      </c>
      <c r="Q6042" t="str" cm="1">
        <f t="array" ref="Q6042">_xlfn.IFS(Table1[[#This Row],[Wealthier_Winner]]=-1,"Wealthier Nation Loses",Table1[[#This Row],[Wealthier_Winner]]=0,"Tie",Table1[[#This Row],[Wealthier_Winner]]=1,"Wealthier Nation Wins")</f>
        <v>Wealthier Nation Wins</v>
      </c>
    </row>
    <row r="6043" spans="1:17" x14ac:dyDescent="0.2">
      <c r="A6043" s="1">
        <v>8698</v>
      </c>
      <c r="B6043" s="2">
        <v>44593</v>
      </c>
      <c r="C6043" s="7">
        <f>_xlfn.FLOOR.MATH(Table1[[#This Row],[year]],10)</f>
        <v>2020</v>
      </c>
      <c r="D6043" t="s">
        <v>31</v>
      </c>
      <c r="E6043" t="s">
        <v>57</v>
      </c>
      <c r="F6043">
        <v>1</v>
      </c>
      <c r="G6043">
        <v>1</v>
      </c>
      <c r="H6043" t="s">
        <v>224</v>
      </c>
      <c r="I6043" t="s">
        <v>242</v>
      </c>
      <c r="J6043" t="s">
        <v>31</v>
      </c>
      <c r="K6043" t="b">
        <v>0</v>
      </c>
      <c r="L6043">
        <v>2022</v>
      </c>
      <c r="M6043">
        <v>246065570308</v>
      </c>
      <c r="N6043">
        <v>116133121000</v>
      </c>
      <c r="O6043" t="b">
        <v>1</v>
      </c>
      <c r="P6043">
        <v>0</v>
      </c>
      <c r="Q6043" t="str" cm="1">
        <f t="array" ref="Q6043">_xlfn.IFS(Table1[[#This Row],[Wealthier_Winner]]=-1,"Wealthier Nation Loses",Table1[[#This Row],[Wealthier_Winner]]=0,"Tie",Table1[[#This Row],[Wealthier_Winner]]=1,"Wealthier Nation Wins")</f>
        <v>Tie</v>
      </c>
    </row>
    <row r="6044" spans="1:17" x14ac:dyDescent="0.2">
      <c r="A6044" s="1">
        <v>8699</v>
      </c>
      <c r="B6044" s="2">
        <v>44593</v>
      </c>
      <c r="C6044" s="7">
        <f>_xlfn.FLOOR.MATH(Table1[[#This Row],[year]],10)</f>
        <v>2020</v>
      </c>
      <c r="D6044" t="s">
        <v>13</v>
      </c>
      <c r="E6044" t="s">
        <v>35</v>
      </c>
      <c r="F6044">
        <v>4</v>
      </c>
      <c r="G6044">
        <v>0</v>
      </c>
      <c r="H6044" t="s">
        <v>224</v>
      </c>
      <c r="I6044" t="s">
        <v>171</v>
      </c>
      <c r="J6044" t="s">
        <v>13</v>
      </c>
      <c r="K6044" t="b">
        <v>0</v>
      </c>
      <c r="L6044">
        <v>2022</v>
      </c>
      <c r="M6044">
        <v>1951923832083</v>
      </c>
      <c r="N6044">
        <v>41952910858</v>
      </c>
      <c r="O6044" t="b">
        <v>1</v>
      </c>
      <c r="P6044">
        <v>1</v>
      </c>
      <c r="Q6044" t="str" cm="1">
        <f t="array" ref="Q6044">_xlfn.IFS(Table1[[#This Row],[Wealthier_Winner]]=-1,"Wealthier Nation Loses",Table1[[#This Row],[Wealthier_Winner]]=0,"Tie",Table1[[#This Row],[Wealthier_Winner]]=1,"Wealthier Nation Wins")</f>
        <v>Wealthier Nation Wins</v>
      </c>
    </row>
    <row r="6045" spans="1:17" x14ac:dyDescent="0.2">
      <c r="A6045" s="1">
        <v>8700</v>
      </c>
      <c r="B6045" s="2">
        <v>44594</v>
      </c>
      <c r="C6045" s="7">
        <f>_xlfn.FLOOR.MATH(Table1[[#This Row],[year]],10)</f>
        <v>2020</v>
      </c>
      <c r="D6045" t="s">
        <v>41</v>
      </c>
      <c r="E6045" t="s">
        <v>65</v>
      </c>
      <c r="F6045">
        <v>3</v>
      </c>
      <c r="G6045">
        <v>0</v>
      </c>
      <c r="H6045" t="s">
        <v>224</v>
      </c>
      <c r="I6045" t="s">
        <v>869</v>
      </c>
      <c r="J6045" t="s">
        <v>41</v>
      </c>
      <c r="K6045" t="b">
        <v>0</v>
      </c>
      <c r="L6045">
        <v>2022</v>
      </c>
      <c r="M6045">
        <v>25604848907611</v>
      </c>
      <c r="N6045">
        <v>31426041806</v>
      </c>
      <c r="O6045" t="b">
        <v>1</v>
      </c>
      <c r="P6045">
        <v>1</v>
      </c>
      <c r="Q6045" t="str" cm="1">
        <f t="array" ref="Q6045">_xlfn.IFS(Table1[[#This Row],[Wealthier_Winner]]=-1,"Wealthier Nation Loses",Table1[[#This Row],[Wealthier_Winner]]=0,"Tie",Table1[[#This Row],[Wealthier_Winner]]=1,"Wealthier Nation Wins")</f>
        <v>Wealthier Nation Wins</v>
      </c>
    </row>
    <row r="6046" spans="1:17" x14ac:dyDescent="0.2">
      <c r="A6046" s="1">
        <v>8701</v>
      </c>
      <c r="B6046" s="2">
        <v>44594</v>
      </c>
      <c r="C6046" s="7">
        <f>_xlfn.FLOOR.MATH(Table1[[#This Row],[year]],10)</f>
        <v>2020</v>
      </c>
      <c r="D6046" t="s">
        <v>49</v>
      </c>
      <c r="E6046" t="s">
        <v>56</v>
      </c>
      <c r="F6046">
        <v>0</v>
      </c>
      <c r="G6046">
        <v>1</v>
      </c>
      <c r="H6046" t="s">
        <v>224</v>
      </c>
      <c r="I6046" t="s">
        <v>257</v>
      </c>
      <c r="J6046" t="s">
        <v>49</v>
      </c>
      <c r="K6046" t="b">
        <v>0</v>
      </c>
      <c r="L6046">
        <v>2022</v>
      </c>
      <c r="M6046">
        <v>18813516805</v>
      </c>
      <c r="N6046">
        <v>69243626028</v>
      </c>
      <c r="O6046" t="b">
        <v>1</v>
      </c>
      <c r="P6046">
        <v>1</v>
      </c>
      <c r="Q6046" t="str" cm="1">
        <f t="array" ref="Q6046">_xlfn.IFS(Table1[[#This Row],[Wealthier_Winner]]=-1,"Wealthier Nation Loses",Table1[[#This Row],[Wealthier_Winner]]=0,"Tie",Table1[[#This Row],[Wealthier_Winner]]=1,"Wealthier Nation Wins")</f>
        <v>Wealthier Nation Wins</v>
      </c>
    </row>
    <row r="6047" spans="1:17" x14ac:dyDescent="0.2">
      <c r="A6047" s="1">
        <v>8702</v>
      </c>
      <c r="B6047" s="2">
        <v>44594</v>
      </c>
      <c r="C6047" s="7">
        <f>_xlfn.FLOOR.MATH(Table1[[#This Row],[year]],10)</f>
        <v>2020</v>
      </c>
      <c r="D6047" t="s">
        <v>69</v>
      </c>
      <c r="E6047" t="s">
        <v>34</v>
      </c>
      <c r="F6047">
        <v>0</v>
      </c>
      <c r="G6047">
        <v>2</v>
      </c>
      <c r="H6047" t="s">
        <v>224</v>
      </c>
      <c r="I6047" t="s">
        <v>281</v>
      </c>
      <c r="J6047" t="s">
        <v>69</v>
      </c>
      <c r="K6047" t="b">
        <v>0</v>
      </c>
      <c r="L6047">
        <v>2022</v>
      </c>
      <c r="M6047">
        <v>31870120000</v>
      </c>
      <c r="N6047">
        <v>2190411080134</v>
      </c>
      <c r="O6047" t="b">
        <v>1</v>
      </c>
      <c r="P6047">
        <v>1</v>
      </c>
      <c r="Q6047" t="str" cm="1">
        <f t="array" ref="Q6047">_xlfn.IFS(Table1[[#This Row],[Wealthier_Winner]]=-1,"Wealthier Nation Loses",Table1[[#This Row],[Wealthier_Winner]]=0,"Tie",Table1[[#This Row],[Wealthier_Winner]]=1,"Wealthier Nation Wins")</f>
        <v>Wealthier Nation Wins</v>
      </c>
    </row>
    <row r="6048" spans="1:17" x14ac:dyDescent="0.2">
      <c r="A6048" s="1">
        <v>8703</v>
      </c>
      <c r="B6048" s="2">
        <v>44594</v>
      </c>
      <c r="C6048" s="7">
        <f>_xlfn.FLOOR.MATH(Table1[[#This Row],[year]],10)</f>
        <v>2020</v>
      </c>
      <c r="D6048" t="s">
        <v>17</v>
      </c>
      <c r="E6048" t="s">
        <v>67</v>
      </c>
      <c r="F6048">
        <v>1</v>
      </c>
      <c r="G6048">
        <v>0</v>
      </c>
      <c r="H6048" t="s">
        <v>224</v>
      </c>
      <c r="I6048" t="s">
        <v>83</v>
      </c>
      <c r="J6048" t="s">
        <v>17</v>
      </c>
      <c r="K6048" t="b">
        <v>0</v>
      </c>
      <c r="L6048">
        <v>2022</v>
      </c>
      <c r="M6048">
        <v>1466934724293</v>
      </c>
      <c r="N6048">
        <v>76479304470</v>
      </c>
      <c r="O6048" t="b">
        <v>1</v>
      </c>
      <c r="P6048">
        <v>1</v>
      </c>
      <c r="Q6048" t="str" cm="1">
        <f t="array" ref="Q6048">_xlfn.IFS(Table1[[#This Row],[Wealthier_Winner]]=-1,"Wealthier Nation Loses",Table1[[#This Row],[Wealthier_Winner]]=0,"Tie",Table1[[#This Row],[Wealthier_Winner]]=1,"Wealthier Nation Wins")</f>
        <v>Wealthier Nation Wins</v>
      </c>
    </row>
    <row r="6049" spans="1:17" x14ac:dyDescent="0.2">
      <c r="A6049" s="1">
        <v>8705</v>
      </c>
      <c r="B6049" s="2">
        <v>44638</v>
      </c>
      <c r="C6049" s="7">
        <f>_xlfn.FLOOR.MATH(Table1[[#This Row],[year]],10)</f>
        <v>2020</v>
      </c>
      <c r="D6049" t="s">
        <v>530</v>
      </c>
      <c r="E6049" t="s">
        <v>72</v>
      </c>
      <c r="F6049">
        <v>0</v>
      </c>
      <c r="G6049">
        <v>1</v>
      </c>
      <c r="H6049" t="s">
        <v>224</v>
      </c>
      <c r="I6049" t="s">
        <v>190</v>
      </c>
      <c r="J6049" t="s">
        <v>68</v>
      </c>
      <c r="K6049" t="b">
        <v>1</v>
      </c>
      <c r="L6049">
        <v>2022</v>
      </c>
      <c r="M6049">
        <v>31653185952</v>
      </c>
      <c r="N6049">
        <v>249509991440</v>
      </c>
      <c r="O6049" t="b">
        <v>1</v>
      </c>
      <c r="P6049">
        <v>1</v>
      </c>
      <c r="Q6049" t="str" cm="1">
        <f t="array" ref="Q6049">_xlfn.IFS(Table1[[#This Row],[Wealthier_Winner]]=-1,"Wealthier Nation Loses",Table1[[#This Row],[Wealthier_Winner]]=0,"Tie",Table1[[#This Row],[Wealthier_Winner]]=1,"Wealthier Nation Wins")</f>
        <v>Wealthier Nation Wins</v>
      </c>
    </row>
    <row r="6050" spans="1:17" x14ac:dyDescent="0.2">
      <c r="A6050" s="1">
        <v>8706</v>
      </c>
      <c r="B6050" s="2">
        <v>44638</v>
      </c>
      <c r="C6050" s="7">
        <f>_xlfn.FLOOR.MATH(Table1[[#This Row],[year]],10)</f>
        <v>2020</v>
      </c>
      <c r="D6050" t="s">
        <v>656</v>
      </c>
      <c r="E6050" t="s">
        <v>384</v>
      </c>
      <c r="F6050">
        <v>1</v>
      </c>
      <c r="G6050">
        <v>2</v>
      </c>
      <c r="H6050" t="s">
        <v>224</v>
      </c>
      <c r="I6050" t="s">
        <v>190</v>
      </c>
      <c r="J6050" t="s">
        <v>68</v>
      </c>
      <c r="K6050" t="b">
        <v>1</v>
      </c>
      <c r="L6050">
        <v>2022</v>
      </c>
      <c r="M6050">
        <v>9623318718</v>
      </c>
      <c r="N6050">
        <v>4977861885</v>
      </c>
      <c r="O6050" t="b">
        <v>0</v>
      </c>
      <c r="P6050">
        <v>-1</v>
      </c>
      <c r="Q6050" t="str" cm="1">
        <f t="array" ref="Q6050">_xlfn.IFS(Table1[[#This Row],[Wealthier_Winner]]=-1,"Wealthier Nation Loses",Table1[[#This Row],[Wealthier_Winner]]=0,"Tie",Table1[[#This Row],[Wealthier_Winner]]=1,"Wealthier Nation Wins")</f>
        <v>Wealthier Nation Loses</v>
      </c>
    </row>
    <row r="6051" spans="1:17" x14ac:dyDescent="0.2">
      <c r="A6051" s="1">
        <v>8707</v>
      </c>
      <c r="B6051" s="2">
        <v>44641</v>
      </c>
      <c r="C6051" s="7">
        <f>_xlfn.FLOOR.MATH(Table1[[#This Row],[year]],10)</f>
        <v>2020</v>
      </c>
      <c r="D6051" t="s">
        <v>530</v>
      </c>
      <c r="E6051" t="s">
        <v>656</v>
      </c>
      <c r="F6051">
        <v>1</v>
      </c>
      <c r="G6051">
        <v>0</v>
      </c>
      <c r="H6051" t="s">
        <v>224</v>
      </c>
      <c r="I6051" t="s">
        <v>190</v>
      </c>
      <c r="J6051" t="s">
        <v>68</v>
      </c>
      <c r="K6051" t="b">
        <v>1</v>
      </c>
      <c r="L6051">
        <v>2022</v>
      </c>
      <c r="M6051">
        <v>31653185952</v>
      </c>
      <c r="N6051">
        <v>9623318718</v>
      </c>
      <c r="O6051" t="b">
        <v>1</v>
      </c>
      <c r="P6051">
        <v>1</v>
      </c>
      <c r="Q6051" t="str" cm="1">
        <f t="array" ref="Q6051">_xlfn.IFS(Table1[[#This Row],[Wealthier_Winner]]=-1,"Wealthier Nation Loses",Table1[[#This Row],[Wealthier_Winner]]=0,"Tie",Table1[[#This Row],[Wealthier_Winner]]=1,"Wealthier Nation Wins")</f>
        <v>Wealthier Nation Wins</v>
      </c>
    </row>
    <row r="6052" spans="1:17" x14ac:dyDescent="0.2">
      <c r="A6052" s="1">
        <v>8708</v>
      </c>
      <c r="B6052" s="2">
        <v>44641</v>
      </c>
      <c r="C6052" s="7">
        <f>_xlfn.FLOOR.MATH(Table1[[#This Row],[year]],10)</f>
        <v>2020</v>
      </c>
      <c r="D6052" t="s">
        <v>72</v>
      </c>
      <c r="E6052" t="s">
        <v>384</v>
      </c>
      <c r="F6052">
        <v>4</v>
      </c>
      <c r="G6052">
        <v>0</v>
      </c>
      <c r="H6052" t="s">
        <v>224</v>
      </c>
      <c r="I6052" t="s">
        <v>190</v>
      </c>
      <c r="J6052" t="s">
        <v>68</v>
      </c>
      <c r="K6052" t="b">
        <v>1</v>
      </c>
      <c r="L6052">
        <v>2022</v>
      </c>
      <c r="M6052">
        <v>249509991440</v>
      </c>
      <c r="N6052">
        <v>4977861885</v>
      </c>
      <c r="O6052" t="b">
        <v>1</v>
      </c>
      <c r="P6052">
        <v>1</v>
      </c>
      <c r="Q6052" t="str" cm="1">
        <f t="array" ref="Q6052">_xlfn.IFS(Table1[[#This Row],[Wealthier_Winner]]=-1,"Wealthier Nation Loses",Table1[[#This Row],[Wealthier_Winner]]=0,"Tie",Table1[[#This Row],[Wealthier_Winner]]=1,"Wealthier Nation Wins")</f>
        <v>Wealthier Nation Wins</v>
      </c>
    </row>
    <row r="6053" spans="1:17" x14ac:dyDescent="0.2">
      <c r="A6053" s="1">
        <v>8709</v>
      </c>
      <c r="B6053" s="2">
        <v>44644</v>
      </c>
      <c r="C6053" s="7">
        <f>_xlfn.FLOOR.MATH(Table1[[#This Row],[year]],10)</f>
        <v>2020</v>
      </c>
      <c r="D6053" t="s">
        <v>49</v>
      </c>
      <c r="E6053" t="s">
        <v>69</v>
      </c>
      <c r="F6053">
        <v>1</v>
      </c>
      <c r="G6053">
        <v>1</v>
      </c>
      <c r="H6053" t="s">
        <v>224</v>
      </c>
      <c r="I6053" t="s">
        <v>257</v>
      </c>
      <c r="J6053" t="s">
        <v>49</v>
      </c>
      <c r="K6053" t="b">
        <v>0</v>
      </c>
      <c r="L6053">
        <v>2022</v>
      </c>
      <c r="M6053">
        <v>18813516805</v>
      </c>
      <c r="N6053">
        <v>31870120000</v>
      </c>
      <c r="O6053" t="b">
        <v>0</v>
      </c>
      <c r="P6053">
        <v>0</v>
      </c>
      <c r="Q6053" t="str" cm="1">
        <f t="array" ref="Q6053">_xlfn.IFS(Table1[[#This Row],[Wealthier_Winner]]=-1,"Wealthier Nation Loses",Table1[[#This Row],[Wealthier_Winner]]=0,"Tie",Table1[[#This Row],[Wealthier_Winner]]=1,"Wealthier Nation Wins")</f>
        <v>Tie</v>
      </c>
    </row>
    <row r="6054" spans="1:17" x14ac:dyDescent="0.2">
      <c r="A6054" s="1">
        <v>8710</v>
      </c>
      <c r="B6054" s="2">
        <v>44644</v>
      </c>
      <c r="C6054" s="7">
        <f>_xlfn.FLOOR.MATH(Table1[[#This Row],[year]],10)</f>
        <v>2020</v>
      </c>
      <c r="D6054" t="s">
        <v>17</v>
      </c>
      <c r="E6054" t="s">
        <v>41</v>
      </c>
      <c r="F6054">
        <v>0</v>
      </c>
      <c r="G6054">
        <v>0</v>
      </c>
      <c r="H6054" t="s">
        <v>224</v>
      </c>
      <c r="I6054" t="s">
        <v>83</v>
      </c>
      <c r="J6054" t="s">
        <v>17</v>
      </c>
      <c r="K6054" t="b">
        <v>0</v>
      </c>
      <c r="L6054">
        <v>2022</v>
      </c>
      <c r="M6054">
        <v>1466934724293</v>
      </c>
      <c r="N6054">
        <v>25604848907611</v>
      </c>
      <c r="O6054" t="b">
        <v>1</v>
      </c>
      <c r="P6054">
        <v>0</v>
      </c>
      <c r="Q6054" t="str" cm="1">
        <f t="array" ref="Q6054">_xlfn.IFS(Table1[[#This Row],[Wealthier_Winner]]=-1,"Wealthier Nation Loses",Table1[[#This Row],[Wealthier_Winner]]=0,"Tie",Table1[[#This Row],[Wealthier_Winner]]=1,"Wealthier Nation Wins")</f>
        <v>Tie</v>
      </c>
    </row>
    <row r="6055" spans="1:17" x14ac:dyDescent="0.2">
      <c r="A6055" s="1">
        <v>8711</v>
      </c>
      <c r="B6055" s="2">
        <v>44644</v>
      </c>
      <c r="C6055" s="7">
        <f>_xlfn.FLOOR.MATH(Table1[[#This Row],[year]],10)</f>
        <v>2020</v>
      </c>
      <c r="D6055" t="s">
        <v>67</v>
      </c>
      <c r="E6055" t="s">
        <v>65</v>
      </c>
      <c r="F6055">
        <v>1</v>
      </c>
      <c r="G6055">
        <v>1</v>
      </c>
      <c r="H6055" t="s">
        <v>224</v>
      </c>
      <c r="I6055" t="s">
        <v>455</v>
      </c>
      <c r="J6055" t="s">
        <v>67</v>
      </c>
      <c r="K6055" t="b">
        <v>0</v>
      </c>
      <c r="L6055">
        <v>2022</v>
      </c>
      <c r="M6055">
        <v>76479304470</v>
      </c>
      <c r="N6055">
        <v>31426041806</v>
      </c>
      <c r="O6055" t="b">
        <v>1</v>
      </c>
      <c r="P6055">
        <v>0</v>
      </c>
      <c r="Q6055" t="str" cm="1">
        <f t="array" ref="Q6055">_xlfn.IFS(Table1[[#This Row],[Wealthier_Winner]]=-1,"Wealthier Nation Loses",Table1[[#This Row],[Wealthier_Winner]]=0,"Tie",Table1[[#This Row],[Wealthier_Winner]]=1,"Wealthier Nation Wins")</f>
        <v>Tie</v>
      </c>
    </row>
    <row r="6056" spans="1:17" x14ac:dyDescent="0.2">
      <c r="A6056" s="1">
        <v>8712</v>
      </c>
      <c r="B6056" s="2">
        <v>44644</v>
      </c>
      <c r="C6056" s="7">
        <f>_xlfn.FLOOR.MATH(Table1[[#This Row],[year]],10)</f>
        <v>2020</v>
      </c>
      <c r="D6056" t="s">
        <v>56</v>
      </c>
      <c r="E6056" t="s">
        <v>34</v>
      </c>
      <c r="F6056">
        <v>1</v>
      </c>
      <c r="G6056">
        <v>0</v>
      </c>
      <c r="H6056" t="s">
        <v>224</v>
      </c>
      <c r="I6056" t="s">
        <v>225</v>
      </c>
      <c r="J6056" t="s">
        <v>56</v>
      </c>
      <c r="K6056" t="b">
        <v>0</v>
      </c>
      <c r="L6056">
        <v>2022</v>
      </c>
      <c r="M6056">
        <v>69243626028</v>
      </c>
      <c r="N6056">
        <v>2190411080134</v>
      </c>
      <c r="O6056" t="b">
        <v>1</v>
      </c>
      <c r="P6056">
        <v>-1</v>
      </c>
      <c r="Q6056" t="str" cm="1">
        <f t="array" ref="Q6056">_xlfn.IFS(Table1[[#This Row],[Wealthier_Winner]]=-1,"Wealthier Nation Loses",Table1[[#This Row],[Wealthier_Winner]]=0,"Tie",Table1[[#This Row],[Wealthier_Winner]]=1,"Wealthier Nation Wins")</f>
        <v>Wealthier Nation Loses</v>
      </c>
    </row>
    <row r="6057" spans="1:17" x14ac:dyDescent="0.2">
      <c r="A6057" s="1">
        <v>8713</v>
      </c>
      <c r="B6057" s="2">
        <v>44644</v>
      </c>
      <c r="C6057" s="7">
        <f>_xlfn.FLOOR.MATH(Table1[[#This Row],[year]],10)</f>
        <v>2020</v>
      </c>
      <c r="D6057" t="s">
        <v>479</v>
      </c>
      <c r="E6057" t="s">
        <v>331</v>
      </c>
      <c r="F6057">
        <v>0</v>
      </c>
      <c r="G6057">
        <v>3</v>
      </c>
      <c r="H6057" t="s">
        <v>224</v>
      </c>
      <c r="I6057" t="s">
        <v>687</v>
      </c>
      <c r="J6057" t="s">
        <v>479</v>
      </c>
      <c r="K6057" t="b">
        <v>0</v>
      </c>
      <c r="L6057">
        <v>2022</v>
      </c>
      <c r="M6057">
        <v>20992421948</v>
      </c>
      <c r="N6057">
        <v>23622827079</v>
      </c>
      <c r="O6057" t="b">
        <v>0</v>
      </c>
      <c r="P6057">
        <v>1</v>
      </c>
      <c r="Q6057" t="str" cm="1">
        <f t="array" ref="Q6057">_xlfn.IFS(Table1[[#This Row],[Wealthier_Winner]]=-1,"Wealthier Nation Loses",Table1[[#This Row],[Wealthier_Winner]]=0,"Tie",Table1[[#This Row],[Wealthier_Winner]]=1,"Wealthier Nation Wins")</f>
        <v>Wealthier Nation Wins</v>
      </c>
    </row>
    <row r="6058" spans="1:17" x14ac:dyDescent="0.2">
      <c r="A6058" s="1">
        <v>8714</v>
      </c>
      <c r="B6058" s="2">
        <v>44644</v>
      </c>
      <c r="C6058" s="7">
        <f>_xlfn.FLOOR.MATH(Table1[[#This Row],[year]],10)</f>
        <v>2020</v>
      </c>
      <c r="D6058" t="s">
        <v>37</v>
      </c>
      <c r="E6058" t="s">
        <v>39</v>
      </c>
      <c r="F6058">
        <v>1</v>
      </c>
      <c r="G6058">
        <v>0</v>
      </c>
      <c r="H6058" t="s">
        <v>224</v>
      </c>
      <c r="I6058" t="s">
        <v>356</v>
      </c>
      <c r="J6058" t="s">
        <v>45</v>
      </c>
      <c r="K6058" t="b">
        <v>1</v>
      </c>
      <c r="L6058">
        <v>2022</v>
      </c>
      <c r="M6058">
        <v>287372232137</v>
      </c>
      <c r="N6058">
        <v>511403403675</v>
      </c>
      <c r="O6058" t="b">
        <v>0</v>
      </c>
      <c r="P6058">
        <v>-1</v>
      </c>
      <c r="Q6058" t="str" cm="1">
        <f t="array" ref="Q6058">_xlfn.IFS(Table1[[#This Row],[Wealthier_Winner]]=-1,"Wealthier Nation Loses",Table1[[#This Row],[Wealthier_Winner]]=0,"Tie",Table1[[#This Row],[Wealthier_Winner]]=1,"Wealthier Nation Wins")</f>
        <v>Wealthier Nation Loses</v>
      </c>
    </row>
    <row r="6059" spans="1:17" x14ac:dyDescent="0.2">
      <c r="A6059" s="1">
        <v>8715</v>
      </c>
      <c r="B6059" s="2">
        <v>44644</v>
      </c>
      <c r="C6059" s="7">
        <f>_xlfn.FLOOR.MATH(Table1[[#This Row],[year]],10)</f>
        <v>2020</v>
      </c>
      <c r="D6059" t="s">
        <v>195</v>
      </c>
      <c r="E6059" t="s">
        <v>210</v>
      </c>
      <c r="F6059">
        <v>2</v>
      </c>
      <c r="G6059">
        <v>0</v>
      </c>
      <c r="H6059" t="s">
        <v>224</v>
      </c>
      <c r="I6059" t="s">
        <v>136</v>
      </c>
      <c r="J6059" t="s">
        <v>195</v>
      </c>
      <c r="K6059" t="b">
        <v>0</v>
      </c>
      <c r="L6059">
        <v>2022</v>
      </c>
      <c r="M6059">
        <v>1799363116866</v>
      </c>
      <c r="N6059">
        <v>422662261525</v>
      </c>
      <c r="O6059" t="b">
        <v>1</v>
      </c>
      <c r="P6059">
        <v>1</v>
      </c>
      <c r="Q6059" t="str" cm="1">
        <f t="array" ref="Q6059">_xlfn.IFS(Table1[[#This Row],[Wealthier_Winner]]=-1,"Wealthier Nation Loses",Table1[[#This Row],[Wealthier_Winner]]=0,"Tie",Table1[[#This Row],[Wealthier_Winner]]=1,"Wealthier Nation Wins")</f>
        <v>Wealthier Nation Wins</v>
      </c>
    </row>
    <row r="6060" spans="1:17" x14ac:dyDescent="0.2">
      <c r="A6060" s="1">
        <v>8717</v>
      </c>
      <c r="B6060" s="2">
        <v>44644</v>
      </c>
      <c r="C6060" s="7">
        <f>_xlfn.FLOOR.MATH(Table1[[#This Row],[year]],10)</f>
        <v>2020</v>
      </c>
      <c r="D6060" t="s">
        <v>475</v>
      </c>
      <c r="E6060" t="s">
        <v>429</v>
      </c>
      <c r="F6060">
        <v>0</v>
      </c>
      <c r="G6060">
        <v>1</v>
      </c>
      <c r="H6060" t="s">
        <v>224</v>
      </c>
      <c r="I6060" t="s">
        <v>647</v>
      </c>
      <c r="J6060" t="s">
        <v>475</v>
      </c>
      <c r="K6060" t="b">
        <v>0</v>
      </c>
      <c r="L6060">
        <v>2022</v>
      </c>
      <c r="M6060">
        <v>413445230668</v>
      </c>
      <c r="N6060">
        <v>109852795838</v>
      </c>
      <c r="O6060" t="b">
        <v>1</v>
      </c>
      <c r="P6060">
        <v>-1</v>
      </c>
      <c r="Q6060" t="str" cm="1">
        <f t="array" ref="Q6060">_xlfn.IFS(Table1[[#This Row],[Wealthier_Winner]]=-1,"Wealthier Nation Loses",Table1[[#This Row],[Wealthier_Winner]]=0,"Tie",Table1[[#This Row],[Wealthier_Winner]]=1,"Wealthier Nation Wins")</f>
        <v>Wealthier Nation Loses</v>
      </c>
    </row>
    <row r="6061" spans="1:17" x14ac:dyDescent="0.2">
      <c r="A6061" s="1">
        <v>8718</v>
      </c>
      <c r="B6061" s="2">
        <v>44644</v>
      </c>
      <c r="C6061" s="7">
        <f>_xlfn.FLOOR.MATH(Table1[[#This Row],[year]],10)</f>
        <v>2020</v>
      </c>
      <c r="D6061" t="s">
        <v>28</v>
      </c>
      <c r="E6061" t="s">
        <v>51</v>
      </c>
      <c r="F6061">
        <v>0</v>
      </c>
      <c r="G6061">
        <v>2</v>
      </c>
      <c r="H6061" t="s">
        <v>224</v>
      </c>
      <c r="I6061" t="s">
        <v>301</v>
      </c>
      <c r="J6061" t="s">
        <v>28</v>
      </c>
      <c r="K6061" t="b">
        <v>0</v>
      </c>
      <c r="L6061">
        <v>2022</v>
      </c>
      <c r="M6061">
        <v>1695627535475</v>
      </c>
      <c r="N6061">
        <v>4262463317796</v>
      </c>
      <c r="O6061" t="b">
        <v>1</v>
      </c>
      <c r="P6061">
        <v>1</v>
      </c>
      <c r="Q6061" t="str" cm="1">
        <f t="array" ref="Q6061">_xlfn.IFS(Table1[[#This Row],[Wealthier_Winner]]=-1,"Wealthier Nation Loses",Table1[[#This Row],[Wealthier_Winner]]=0,"Tie",Table1[[#This Row],[Wealthier_Winner]]=1,"Wealthier Nation Wins")</f>
        <v>Wealthier Nation Wins</v>
      </c>
    </row>
    <row r="6062" spans="1:17" x14ac:dyDescent="0.2">
      <c r="A6062" s="1">
        <v>8720</v>
      </c>
      <c r="B6062" s="2">
        <v>44644</v>
      </c>
      <c r="C6062" s="7">
        <f>_xlfn.FLOOR.MATH(Table1[[#This Row],[year]],10)</f>
        <v>2020</v>
      </c>
      <c r="D6062" t="s">
        <v>384</v>
      </c>
      <c r="E6062" t="s">
        <v>530</v>
      </c>
      <c r="F6062">
        <v>1</v>
      </c>
      <c r="G6062">
        <v>2</v>
      </c>
      <c r="H6062" t="s">
        <v>224</v>
      </c>
      <c r="I6062" t="s">
        <v>190</v>
      </c>
      <c r="J6062" t="s">
        <v>68</v>
      </c>
      <c r="K6062" t="b">
        <v>1</v>
      </c>
      <c r="L6062">
        <v>2022</v>
      </c>
      <c r="M6062">
        <v>4977861885</v>
      </c>
      <c r="N6062">
        <v>31653185952</v>
      </c>
      <c r="O6062" t="b">
        <v>1</v>
      </c>
      <c r="P6062">
        <v>1</v>
      </c>
      <c r="Q6062" t="str" cm="1">
        <f t="array" ref="Q6062">_xlfn.IFS(Table1[[#This Row],[Wealthier_Winner]]=-1,"Wealthier Nation Loses",Table1[[#This Row],[Wealthier_Winner]]=0,"Tie",Table1[[#This Row],[Wealthier_Winner]]=1,"Wealthier Nation Wins")</f>
        <v>Wealthier Nation Wins</v>
      </c>
    </row>
    <row r="6063" spans="1:17" x14ac:dyDescent="0.2">
      <c r="A6063" s="1">
        <v>8721</v>
      </c>
      <c r="B6063" s="2">
        <v>44644</v>
      </c>
      <c r="C6063" s="7">
        <f>_xlfn.FLOOR.MATH(Table1[[#This Row],[year]],10)</f>
        <v>2020</v>
      </c>
      <c r="D6063" t="s">
        <v>72</v>
      </c>
      <c r="E6063" t="s">
        <v>656</v>
      </c>
      <c r="F6063">
        <v>7</v>
      </c>
      <c r="G6063">
        <v>1</v>
      </c>
      <c r="H6063" t="s">
        <v>224</v>
      </c>
      <c r="I6063" t="s">
        <v>190</v>
      </c>
      <c r="J6063" t="s">
        <v>68</v>
      </c>
      <c r="K6063" t="b">
        <v>1</v>
      </c>
      <c r="L6063">
        <v>2022</v>
      </c>
      <c r="M6063">
        <v>249509991440</v>
      </c>
      <c r="N6063">
        <v>9623318718</v>
      </c>
      <c r="O6063" t="b">
        <v>1</v>
      </c>
      <c r="P6063">
        <v>1</v>
      </c>
      <c r="Q6063" t="str" cm="1">
        <f t="array" ref="Q6063">_xlfn.IFS(Table1[[#This Row],[Wealthier_Winner]]=-1,"Wealthier Nation Loses",Table1[[#This Row],[Wealthier_Winner]]=0,"Tie",Table1[[#This Row],[Wealthier_Winner]]=1,"Wealthier Nation Wins")</f>
        <v>Wealthier Nation Wins</v>
      </c>
    </row>
    <row r="6064" spans="1:17" x14ac:dyDescent="0.2">
      <c r="A6064" s="1">
        <v>8722</v>
      </c>
      <c r="B6064" s="2">
        <v>44644</v>
      </c>
      <c r="C6064" s="7">
        <f>_xlfn.FLOOR.MATH(Table1[[#This Row],[year]],10)</f>
        <v>2020</v>
      </c>
      <c r="D6064" t="s">
        <v>15</v>
      </c>
      <c r="E6064" t="s">
        <v>47</v>
      </c>
      <c r="F6064">
        <v>3</v>
      </c>
      <c r="G6064">
        <v>0</v>
      </c>
      <c r="H6064" t="s">
        <v>224</v>
      </c>
      <c r="I6064" t="s">
        <v>261</v>
      </c>
      <c r="J6064" t="s">
        <v>15</v>
      </c>
      <c r="K6064" t="b">
        <v>0</v>
      </c>
      <c r="L6064">
        <v>2022</v>
      </c>
      <c r="M6064">
        <v>345632492851</v>
      </c>
      <c r="N6064">
        <v>50959081953</v>
      </c>
      <c r="O6064" t="b">
        <v>1</v>
      </c>
      <c r="P6064">
        <v>1</v>
      </c>
      <c r="Q6064" t="str" cm="1">
        <f t="array" ref="Q6064">_xlfn.IFS(Table1[[#This Row],[Wealthier_Winner]]=-1,"Wealthier Nation Loses",Table1[[#This Row],[Wealthier_Winner]]=0,"Tie",Table1[[#This Row],[Wealthier_Winner]]=1,"Wealthier Nation Wins")</f>
        <v>Wealthier Nation Wins</v>
      </c>
    </row>
    <row r="6065" spans="1:17" x14ac:dyDescent="0.2">
      <c r="A6065" s="1">
        <v>8723</v>
      </c>
      <c r="B6065" s="2">
        <v>44644</v>
      </c>
      <c r="C6065" s="7">
        <f>_xlfn.FLOOR.MATH(Table1[[#This Row],[year]],10)</f>
        <v>2020</v>
      </c>
      <c r="D6065" t="s">
        <v>13</v>
      </c>
      <c r="E6065" t="s">
        <v>14</v>
      </c>
      <c r="F6065">
        <v>4</v>
      </c>
      <c r="G6065">
        <v>0</v>
      </c>
      <c r="H6065" t="s">
        <v>224</v>
      </c>
      <c r="I6065" t="s">
        <v>173</v>
      </c>
      <c r="J6065" t="s">
        <v>13</v>
      </c>
      <c r="K6065" t="b">
        <v>0</v>
      </c>
      <c r="L6065">
        <v>2022</v>
      </c>
      <c r="M6065">
        <v>1951923832083</v>
      </c>
      <c r="N6065">
        <v>301226575540</v>
      </c>
      <c r="O6065" t="b">
        <v>1</v>
      </c>
      <c r="P6065">
        <v>1</v>
      </c>
      <c r="Q6065" t="str" cm="1">
        <f t="array" ref="Q6065">_xlfn.IFS(Table1[[#This Row],[Wealthier_Winner]]=-1,"Wealthier Nation Loses",Table1[[#This Row],[Wealthier_Winner]]=0,"Tie",Table1[[#This Row],[Wealthier_Winner]]=1,"Wealthier Nation Wins")</f>
        <v>Wealthier Nation Wins</v>
      </c>
    </row>
    <row r="6066" spans="1:17" x14ac:dyDescent="0.2">
      <c r="A6066" s="1">
        <v>8724</v>
      </c>
      <c r="B6066" s="2">
        <v>44644</v>
      </c>
      <c r="C6066" s="7">
        <f>_xlfn.FLOOR.MATH(Table1[[#This Row],[year]],10)</f>
        <v>2020</v>
      </c>
      <c r="D6066" t="s">
        <v>35</v>
      </c>
      <c r="E6066" t="s">
        <v>57</v>
      </c>
      <c r="F6066">
        <v>3</v>
      </c>
      <c r="G6066">
        <v>1</v>
      </c>
      <c r="H6066" t="s">
        <v>224</v>
      </c>
      <c r="I6066" t="s">
        <v>870</v>
      </c>
      <c r="J6066" t="s">
        <v>35</v>
      </c>
      <c r="K6066" t="b">
        <v>0</v>
      </c>
      <c r="L6066">
        <v>2022</v>
      </c>
      <c r="M6066">
        <v>41952910858</v>
      </c>
      <c r="N6066">
        <v>116133121000</v>
      </c>
      <c r="O6066" t="b">
        <v>1</v>
      </c>
      <c r="P6066">
        <v>-1</v>
      </c>
      <c r="Q6066" t="str" cm="1">
        <f t="array" ref="Q6066">_xlfn.IFS(Table1[[#This Row],[Wealthier_Winner]]=-1,"Wealthier Nation Loses",Table1[[#This Row],[Wealthier_Winner]]=0,"Tie",Table1[[#This Row],[Wealthier_Winner]]=1,"Wealthier Nation Wins")</f>
        <v>Wealthier Nation Loses</v>
      </c>
    </row>
    <row r="6067" spans="1:17" x14ac:dyDescent="0.2">
      <c r="A6067" s="1">
        <v>8725</v>
      </c>
      <c r="B6067" s="2">
        <v>44644</v>
      </c>
      <c r="C6067" s="7">
        <f>_xlfn.FLOOR.MATH(Table1[[#This Row],[year]],10)</f>
        <v>2020</v>
      </c>
      <c r="D6067" t="s">
        <v>26</v>
      </c>
      <c r="E6067" t="s">
        <v>31</v>
      </c>
      <c r="F6067">
        <v>1</v>
      </c>
      <c r="G6067">
        <v>0</v>
      </c>
      <c r="H6067" t="s">
        <v>224</v>
      </c>
      <c r="I6067" t="s">
        <v>247</v>
      </c>
      <c r="J6067" t="s">
        <v>26</v>
      </c>
      <c r="K6067" t="b">
        <v>0</v>
      </c>
      <c r="L6067">
        <v>2022</v>
      </c>
      <c r="M6067">
        <v>70594110920</v>
      </c>
      <c r="N6067">
        <v>246065570308</v>
      </c>
      <c r="O6067" t="b">
        <v>1</v>
      </c>
      <c r="P6067">
        <v>-1</v>
      </c>
      <c r="Q6067" t="str" cm="1">
        <f t="array" ref="Q6067">_xlfn.IFS(Table1[[#This Row],[Wealthier_Winner]]=-1,"Wealthier Nation Loses",Table1[[#This Row],[Wealthier_Winner]]=0,"Tie",Table1[[#This Row],[Wealthier_Winner]]=1,"Wealthier Nation Wins")</f>
        <v>Wealthier Nation Loses</v>
      </c>
    </row>
    <row r="6068" spans="1:17" x14ac:dyDescent="0.2">
      <c r="A6068" s="1">
        <v>8726</v>
      </c>
      <c r="B6068" s="2">
        <v>44644</v>
      </c>
      <c r="C6068" s="7">
        <f>_xlfn.FLOOR.MATH(Table1[[#This Row],[year]],10)</f>
        <v>2020</v>
      </c>
      <c r="D6068" t="s">
        <v>18</v>
      </c>
      <c r="E6068" t="s">
        <v>502</v>
      </c>
      <c r="F6068">
        <v>0</v>
      </c>
      <c r="G6068">
        <v>1</v>
      </c>
      <c r="H6068" t="s">
        <v>224</v>
      </c>
      <c r="I6068" t="s">
        <v>213</v>
      </c>
      <c r="J6068" t="s">
        <v>18</v>
      </c>
      <c r="K6068" t="b">
        <v>0</v>
      </c>
      <c r="L6068">
        <v>2022</v>
      </c>
      <c r="M6068">
        <v>2104067630319</v>
      </c>
      <c r="N6068">
        <v>13932436550</v>
      </c>
      <c r="O6068" t="b">
        <v>1</v>
      </c>
      <c r="P6068">
        <v>-1</v>
      </c>
      <c r="Q6068" t="str" cm="1">
        <f t="array" ref="Q6068">_xlfn.IFS(Table1[[#This Row],[Wealthier_Winner]]=-1,"Wealthier Nation Loses",Table1[[#This Row],[Wealthier_Winner]]=0,"Tie",Table1[[#This Row],[Wealthier_Winner]]=1,"Wealthier Nation Wins")</f>
        <v>Wealthier Nation Loses</v>
      </c>
    </row>
    <row r="6069" spans="1:17" x14ac:dyDescent="0.2">
      <c r="A6069" s="1">
        <v>8730</v>
      </c>
      <c r="B6069" s="2">
        <v>44645</v>
      </c>
      <c r="C6069" s="7">
        <f>_xlfn.FLOOR.MATH(Table1[[#This Row],[year]],10)</f>
        <v>2020</v>
      </c>
      <c r="D6069" t="s">
        <v>40</v>
      </c>
      <c r="E6069" t="s">
        <v>32</v>
      </c>
      <c r="F6069">
        <v>0</v>
      </c>
      <c r="G6069">
        <v>1</v>
      </c>
      <c r="H6069" t="s">
        <v>224</v>
      </c>
      <c r="I6069" t="s">
        <v>283</v>
      </c>
      <c r="J6069" t="s">
        <v>40</v>
      </c>
      <c r="K6069" t="b">
        <v>0</v>
      </c>
      <c r="L6069">
        <v>2022</v>
      </c>
      <c r="M6069">
        <v>44347206072</v>
      </c>
      <c r="N6069">
        <v>225581644702</v>
      </c>
      <c r="O6069" t="b">
        <v>1</v>
      </c>
      <c r="P6069">
        <v>1</v>
      </c>
      <c r="Q6069" t="str" cm="1">
        <f t="array" ref="Q6069">_xlfn.IFS(Table1[[#This Row],[Wealthier_Winner]]=-1,"Wealthier Nation Loses",Table1[[#This Row],[Wealthier_Winner]]=0,"Tie",Table1[[#This Row],[Wealthier_Winner]]=1,"Wealthier Nation Wins")</f>
        <v>Wealthier Nation Wins</v>
      </c>
    </row>
    <row r="6070" spans="1:17" x14ac:dyDescent="0.2">
      <c r="A6070" s="1">
        <v>8732</v>
      </c>
      <c r="B6070" s="2">
        <v>44645</v>
      </c>
      <c r="C6070" s="7">
        <f>_xlfn.FLOOR.MATH(Table1[[#This Row],[year]],10)</f>
        <v>2020</v>
      </c>
      <c r="D6070" t="s">
        <v>212</v>
      </c>
      <c r="E6070" t="s">
        <v>54</v>
      </c>
      <c r="F6070">
        <v>1</v>
      </c>
      <c r="G6070">
        <v>0</v>
      </c>
      <c r="H6070" t="s">
        <v>224</v>
      </c>
      <c r="I6070" t="s">
        <v>322</v>
      </c>
      <c r="J6070" t="s">
        <v>212</v>
      </c>
      <c r="K6070" t="b">
        <v>0</v>
      </c>
      <c r="L6070">
        <v>2022</v>
      </c>
      <c r="M6070">
        <v>476747720364</v>
      </c>
      <c r="N6070">
        <v>27783332222</v>
      </c>
      <c r="O6070" t="b">
        <v>1</v>
      </c>
      <c r="P6070">
        <v>1</v>
      </c>
      <c r="Q6070" t="str" cm="1">
        <f t="array" ref="Q6070">_xlfn.IFS(Table1[[#This Row],[Wealthier_Winner]]=-1,"Wealthier Nation Loses",Table1[[#This Row],[Wealthier_Winner]]=0,"Tie",Table1[[#This Row],[Wealthier_Winner]]=1,"Wealthier Nation Wins")</f>
        <v>Wealthier Nation Wins</v>
      </c>
    </row>
    <row r="6071" spans="1:17" x14ac:dyDescent="0.2">
      <c r="A6071" s="1">
        <v>8733</v>
      </c>
      <c r="B6071" s="2">
        <v>44645</v>
      </c>
      <c r="C6071" s="7">
        <f>_xlfn.FLOOR.MATH(Table1[[#This Row],[year]],10)</f>
        <v>2020</v>
      </c>
      <c r="D6071" t="s">
        <v>63</v>
      </c>
      <c r="E6071" t="s">
        <v>43</v>
      </c>
      <c r="F6071">
        <v>0</v>
      </c>
      <c r="G6071">
        <v>0</v>
      </c>
      <c r="H6071" t="s">
        <v>224</v>
      </c>
      <c r="I6071" t="s">
        <v>313</v>
      </c>
      <c r="J6071" t="s">
        <v>63</v>
      </c>
      <c r="K6071" t="b">
        <v>0</v>
      </c>
      <c r="L6071">
        <v>2022</v>
      </c>
      <c r="M6071">
        <v>73919003209</v>
      </c>
      <c r="N6071">
        <v>646950257577</v>
      </c>
      <c r="O6071" t="b">
        <v>1</v>
      </c>
      <c r="P6071">
        <v>0</v>
      </c>
      <c r="Q6071" t="str" cm="1">
        <f t="array" ref="Q6071">_xlfn.IFS(Table1[[#This Row],[Wealthier_Winner]]=-1,"Wealthier Nation Loses",Table1[[#This Row],[Wealthier_Winner]]=0,"Tie",Table1[[#This Row],[Wealthier_Winner]]=1,"Wealthier Nation Wins")</f>
        <v>Tie</v>
      </c>
    </row>
    <row r="6072" spans="1:17" x14ac:dyDescent="0.2">
      <c r="A6072" s="1">
        <v>8734</v>
      </c>
      <c r="B6072" s="2">
        <v>44645</v>
      </c>
      <c r="C6072" s="7">
        <f>_xlfn.FLOOR.MATH(Table1[[#This Row],[year]],10)</f>
        <v>2020</v>
      </c>
      <c r="D6072" t="s">
        <v>590</v>
      </c>
      <c r="E6072" t="s">
        <v>53</v>
      </c>
      <c r="F6072">
        <v>0</v>
      </c>
      <c r="G6072">
        <v>1</v>
      </c>
      <c r="H6072" t="s">
        <v>224</v>
      </c>
      <c r="I6072" t="s">
        <v>596</v>
      </c>
      <c r="J6072" t="s">
        <v>590</v>
      </c>
      <c r="K6072" t="b">
        <v>0</v>
      </c>
      <c r="L6072">
        <v>2022</v>
      </c>
      <c r="M6072">
        <v>22539987718</v>
      </c>
      <c r="N6072">
        <v>44929920092</v>
      </c>
      <c r="O6072" t="b">
        <v>0</v>
      </c>
      <c r="P6072">
        <v>1</v>
      </c>
      <c r="Q6072" t="str" cm="1">
        <f t="array" ref="Q6072">_xlfn.IFS(Table1[[#This Row],[Wealthier_Winner]]=-1,"Wealthier Nation Loses",Table1[[#This Row],[Wealthier_Winner]]=0,"Tie",Table1[[#This Row],[Wealthier_Winner]]=1,"Wealthier Nation Wins")</f>
        <v>Wealthier Nation Wins</v>
      </c>
    </row>
    <row r="6073" spans="1:17" x14ac:dyDescent="0.2">
      <c r="A6073" s="1">
        <v>8735</v>
      </c>
      <c r="B6073" s="2">
        <v>44645</v>
      </c>
      <c r="C6073" s="7">
        <f>_xlfn.FLOOR.MATH(Table1[[#This Row],[year]],10)</f>
        <v>2020</v>
      </c>
      <c r="D6073" t="s">
        <v>19</v>
      </c>
      <c r="E6073" t="s">
        <v>258</v>
      </c>
      <c r="F6073">
        <v>3</v>
      </c>
      <c r="G6073">
        <v>0</v>
      </c>
      <c r="H6073" t="s">
        <v>224</v>
      </c>
      <c r="I6073" t="s">
        <v>93</v>
      </c>
      <c r="J6073" t="s">
        <v>19</v>
      </c>
      <c r="K6073" t="b">
        <v>0</v>
      </c>
      <c r="L6073">
        <v>2022</v>
      </c>
      <c r="M6073">
        <v>633993756301</v>
      </c>
      <c r="N6073">
        <v>89013255584</v>
      </c>
      <c r="O6073" t="b">
        <v>1</v>
      </c>
      <c r="P6073">
        <v>1</v>
      </c>
      <c r="Q6073" t="str" cm="1">
        <f t="array" ref="Q6073">_xlfn.IFS(Table1[[#This Row],[Wealthier_Winner]]=-1,"Wealthier Nation Loses",Table1[[#This Row],[Wealthier_Winner]]=0,"Tie",Table1[[#This Row],[Wealthier_Winner]]=1,"Wealthier Nation Wins")</f>
        <v>Wealthier Nation Wins</v>
      </c>
    </row>
    <row r="6074" spans="1:17" x14ac:dyDescent="0.2">
      <c r="A6074" s="1">
        <v>8736</v>
      </c>
      <c r="B6074" s="2">
        <v>44647</v>
      </c>
      <c r="C6074" s="7">
        <f>_xlfn.FLOOR.MATH(Table1[[#This Row],[year]],10)</f>
        <v>2020</v>
      </c>
      <c r="D6074" t="s">
        <v>69</v>
      </c>
      <c r="E6074" t="s">
        <v>56</v>
      </c>
      <c r="F6074">
        <v>1</v>
      </c>
      <c r="G6074">
        <v>2</v>
      </c>
      <c r="H6074" t="s">
        <v>224</v>
      </c>
      <c r="I6074" t="s">
        <v>281</v>
      </c>
      <c r="J6074" t="s">
        <v>69</v>
      </c>
      <c r="K6074" t="b">
        <v>0</v>
      </c>
      <c r="L6074">
        <v>2022</v>
      </c>
      <c r="M6074">
        <v>31870120000</v>
      </c>
      <c r="N6074">
        <v>69243626028</v>
      </c>
      <c r="O6074" t="b">
        <v>1</v>
      </c>
      <c r="P6074">
        <v>1</v>
      </c>
      <c r="Q6074" t="str" cm="1">
        <f t="array" ref="Q6074">_xlfn.IFS(Table1[[#This Row],[Wealthier_Winner]]=-1,"Wealthier Nation Loses",Table1[[#This Row],[Wealthier_Winner]]=0,"Tie",Table1[[#This Row],[Wealthier_Winner]]=1,"Wealthier Nation Wins")</f>
        <v>Wealthier Nation Wins</v>
      </c>
    </row>
    <row r="6075" spans="1:17" x14ac:dyDescent="0.2">
      <c r="A6075" s="1">
        <v>8737</v>
      </c>
      <c r="B6075" s="2">
        <v>44647</v>
      </c>
      <c r="C6075" s="7">
        <f>_xlfn.FLOOR.MATH(Table1[[#This Row],[year]],10)</f>
        <v>2020</v>
      </c>
      <c r="D6075" t="s">
        <v>34</v>
      </c>
      <c r="E6075" t="s">
        <v>49</v>
      </c>
      <c r="F6075">
        <v>4</v>
      </c>
      <c r="G6075">
        <v>0</v>
      </c>
      <c r="H6075" t="s">
        <v>224</v>
      </c>
      <c r="I6075" t="s">
        <v>267</v>
      </c>
      <c r="J6075" t="s">
        <v>34</v>
      </c>
      <c r="K6075" t="b">
        <v>0</v>
      </c>
      <c r="L6075">
        <v>2022</v>
      </c>
      <c r="M6075">
        <v>2190411080134</v>
      </c>
      <c r="N6075">
        <v>18813516805</v>
      </c>
      <c r="O6075" t="b">
        <v>1</v>
      </c>
      <c r="P6075">
        <v>1</v>
      </c>
      <c r="Q6075" t="str" cm="1">
        <f t="array" ref="Q6075">_xlfn.IFS(Table1[[#This Row],[Wealthier_Winner]]=-1,"Wealthier Nation Loses",Table1[[#This Row],[Wealthier_Winner]]=0,"Tie",Table1[[#This Row],[Wealthier_Winner]]=1,"Wealthier Nation Wins")</f>
        <v>Wealthier Nation Wins</v>
      </c>
    </row>
    <row r="6076" spans="1:17" x14ac:dyDescent="0.2">
      <c r="A6076" s="1">
        <v>8738</v>
      </c>
      <c r="B6076" s="2">
        <v>44647</v>
      </c>
      <c r="C6076" s="7">
        <f>_xlfn.FLOOR.MATH(Table1[[#This Row],[year]],10)</f>
        <v>2020</v>
      </c>
      <c r="D6076" t="s">
        <v>65</v>
      </c>
      <c r="E6076" t="s">
        <v>17</v>
      </c>
      <c r="F6076">
        <v>0</v>
      </c>
      <c r="G6076">
        <v>1</v>
      </c>
      <c r="H6076" t="s">
        <v>224</v>
      </c>
      <c r="I6076" t="s">
        <v>254</v>
      </c>
      <c r="J6076" t="s">
        <v>65</v>
      </c>
      <c r="K6076" t="b">
        <v>0</v>
      </c>
      <c r="L6076">
        <v>2022</v>
      </c>
      <c r="M6076">
        <v>31426041806</v>
      </c>
      <c r="N6076">
        <v>1466934724293</v>
      </c>
      <c r="O6076" t="b">
        <v>1</v>
      </c>
      <c r="P6076">
        <v>1</v>
      </c>
      <c r="Q6076" t="str" cm="1">
        <f t="array" ref="Q6076">_xlfn.IFS(Table1[[#This Row],[Wealthier_Winner]]=-1,"Wealthier Nation Loses",Table1[[#This Row],[Wealthier_Winner]]=0,"Tie",Table1[[#This Row],[Wealthier_Winner]]=1,"Wealthier Nation Wins")</f>
        <v>Wealthier Nation Wins</v>
      </c>
    </row>
    <row r="6077" spans="1:17" x14ac:dyDescent="0.2">
      <c r="A6077" s="1">
        <v>8739</v>
      </c>
      <c r="B6077" s="2">
        <v>44647</v>
      </c>
      <c r="C6077" s="7">
        <f>_xlfn.FLOOR.MATH(Table1[[#This Row],[year]],10)</f>
        <v>2020</v>
      </c>
      <c r="D6077" t="s">
        <v>41</v>
      </c>
      <c r="E6077" t="s">
        <v>67</v>
      </c>
      <c r="F6077">
        <v>5</v>
      </c>
      <c r="G6077">
        <v>1</v>
      </c>
      <c r="H6077" t="s">
        <v>224</v>
      </c>
      <c r="I6077" t="s">
        <v>121</v>
      </c>
      <c r="J6077" t="s">
        <v>41</v>
      </c>
      <c r="K6077" t="b">
        <v>0</v>
      </c>
      <c r="L6077">
        <v>2022</v>
      </c>
      <c r="M6077">
        <v>25604848907611</v>
      </c>
      <c r="N6077">
        <v>76479304470</v>
      </c>
      <c r="O6077" t="b">
        <v>1</v>
      </c>
      <c r="P6077">
        <v>1</v>
      </c>
      <c r="Q6077" t="str" cm="1">
        <f t="array" ref="Q6077">_xlfn.IFS(Table1[[#This Row],[Wealthier_Winner]]=-1,"Wealthier Nation Loses",Table1[[#This Row],[Wealthier_Winner]]=0,"Tie",Table1[[#This Row],[Wealthier_Winner]]=1,"Wealthier Nation Wins")</f>
        <v>Wealthier Nation Wins</v>
      </c>
    </row>
    <row r="6078" spans="1:17" x14ac:dyDescent="0.2">
      <c r="A6078" s="1">
        <v>8741</v>
      </c>
      <c r="B6078" s="2">
        <v>44647</v>
      </c>
      <c r="C6078" s="7">
        <f>_xlfn.FLOOR.MATH(Table1[[#This Row],[year]],10)</f>
        <v>2020</v>
      </c>
      <c r="D6078" t="s">
        <v>456</v>
      </c>
      <c r="E6078" t="s">
        <v>530</v>
      </c>
      <c r="F6078">
        <v>3</v>
      </c>
      <c r="G6078">
        <v>2</v>
      </c>
      <c r="H6078" t="s">
        <v>224</v>
      </c>
      <c r="I6078" t="s">
        <v>190</v>
      </c>
      <c r="J6078" t="s">
        <v>68</v>
      </c>
      <c r="K6078" t="b">
        <v>1</v>
      </c>
      <c r="L6078">
        <v>2022</v>
      </c>
      <c r="M6078">
        <v>1466670929</v>
      </c>
      <c r="N6078">
        <v>31653185952</v>
      </c>
      <c r="O6078" t="b">
        <v>1</v>
      </c>
      <c r="P6078">
        <v>-1</v>
      </c>
      <c r="Q6078" t="str" cm="1">
        <f t="array" ref="Q6078">_xlfn.IFS(Table1[[#This Row],[Wealthier_Winner]]=-1,"Wealthier Nation Loses",Table1[[#This Row],[Wealthier_Winner]]=0,"Tie",Table1[[#This Row],[Wealthier_Winner]]=1,"Wealthier Nation Wins")</f>
        <v>Wealthier Nation Loses</v>
      </c>
    </row>
    <row r="6079" spans="1:17" x14ac:dyDescent="0.2">
      <c r="A6079" s="1">
        <v>8742</v>
      </c>
      <c r="B6079" s="2">
        <v>44649</v>
      </c>
      <c r="C6079" s="7">
        <f>_xlfn.FLOOR.MATH(Table1[[#This Row],[year]],10)</f>
        <v>2020</v>
      </c>
      <c r="D6079" t="s">
        <v>32</v>
      </c>
      <c r="E6079" t="s">
        <v>40</v>
      </c>
      <c r="F6079">
        <v>1</v>
      </c>
      <c r="G6079">
        <v>2</v>
      </c>
      <c r="H6079" t="s">
        <v>224</v>
      </c>
      <c r="I6079" t="s">
        <v>697</v>
      </c>
      <c r="J6079" t="s">
        <v>32</v>
      </c>
      <c r="K6079" t="b">
        <v>0</v>
      </c>
      <c r="L6079">
        <v>2022</v>
      </c>
      <c r="M6079">
        <v>225581644702</v>
      </c>
      <c r="N6079">
        <v>44347206072</v>
      </c>
      <c r="O6079" t="b">
        <v>1</v>
      </c>
      <c r="P6079">
        <v>-1</v>
      </c>
      <c r="Q6079" t="str" cm="1">
        <f t="array" ref="Q6079">_xlfn.IFS(Table1[[#This Row],[Wealthier_Winner]]=-1,"Wealthier Nation Loses",Table1[[#This Row],[Wealthier_Winner]]=0,"Tie",Table1[[#This Row],[Wealthier_Winner]]=1,"Wealthier Nation Wins")</f>
        <v>Wealthier Nation Loses</v>
      </c>
    </row>
    <row r="6080" spans="1:17" x14ac:dyDescent="0.2">
      <c r="A6080" s="1">
        <v>8744</v>
      </c>
      <c r="B6080" s="2">
        <v>44649</v>
      </c>
      <c r="C6080" s="7">
        <f>_xlfn.FLOOR.MATH(Table1[[#This Row],[year]],10)</f>
        <v>2020</v>
      </c>
      <c r="D6080" t="s">
        <v>43</v>
      </c>
      <c r="E6080" t="s">
        <v>63</v>
      </c>
      <c r="F6080">
        <v>1</v>
      </c>
      <c r="G6080">
        <v>1</v>
      </c>
      <c r="H6080" t="s">
        <v>224</v>
      </c>
      <c r="I6080" t="s">
        <v>657</v>
      </c>
      <c r="J6080" t="s">
        <v>43</v>
      </c>
      <c r="K6080" t="b">
        <v>0</v>
      </c>
      <c r="L6080">
        <v>2022</v>
      </c>
      <c r="M6080">
        <v>646950257577</v>
      </c>
      <c r="N6080">
        <v>73919003209</v>
      </c>
      <c r="O6080" t="b">
        <v>1</v>
      </c>
      <c r="P6080">
        <v>0</v>
      </c>
      <c r="Q6080" t="str" cm="1">
        <f t="array" ref="Q6080">_xlfn.IFS(Table1[[#This Row],[Wealthier_Winner]]=-1,"Wealthier Nation Loses",Table1[[#This Row],[Wealthier_Winner]]=0,"Tie",Table1[[#This Row],[Wealthier_Winner]]=1,"Wealthier Nation Wins")</f>
        <v>Tie</v>
      </c>
    </row>
    <row r="6081" spans="1:17" x14ac:dyDescent="0.2">
      <c r="A6081" s="1">
        <v>8745</v>
      </c>
      <c r="B6081" s="2">
        <v>44649</v>
      </c>
      <c r="C6081" s="7">
        <f>_xlfn.FLOOR.MATH(Table1[[#This Row],[year]],10)</f>
        <v>2020</v>
      </c>
      <c r="D6081" t="s">
        <v>54</v>
      </c>
      <c r="E6081" t="s">
        <v>212</v>
      </c>
      <c r="F6081">
        <v>1</v>
      </c>
      <c r="G6081">
        <v>0</v>
      </c>
      <c r="H6081" t="s">
        <v>224</v>
      </c>
      <c r="I6081" t="s">
        <v>871</v>
      </c>
      <c r="J6081" t="s">
        <v>54</v>
      </c>
      <c r="K6081" t="b">
        <v>0</v>
      </c>
      <c r="L6081">
        <v>2022</v>
      </c>
      <c r="M6081">
        <v>27783332222</v>
      </c>
      <c r="N6081">
        <v>476747720364</v>
      </c>
      <c r="O6081" t="b">
        <v>1</v>
      </c>
      <c r="P6081">
        <v>-1</v>
      </c>
      <c r="Q6081" t="str" cm="1">
        <f t="array" ref="Q6081">_xlfn.IFS(Table1[[#This Row],[Wealthier_Winner]]=-1,"Wealthier Nation Loses",Table1[[#This Row],[Wealthier_Winner]]=0,"Tie",Table1[[#This Row],[Wealthier_Winner]]=1,"Wealthier Nation Wins")</f>
        <v>Wealthier Nation Loses</v>
      </c>
    </row>
    <row r="6082" spans="1:17" x14ac:dyDescent="0.2">
      <c r="A6082" s="1">
        <v>8746</v>
      </c>
      <c r="B6082" s="2">
        <v>44649</v>
      </c>
      <c r="C6082" s="7">
        <f>_xlfn.FLOOR.MATH(Table1[[#This Row],[year]],10)</f>
        <v>2020</v>
      </c>
      <c r="D6082" t="s">
        <v>53</v>
      </c>
      <c r="E6082" t="s">
        <v>590</v>
      </c>
      <c r="F6082">
        <v>0</v>
      </c>
      <c r="G6082">
        <v>0</v>
      </c>
      <c r="H6082" t="s">
        <v>224</v>
      </c>
      <c r="I6082" t="s">
        <v>284</v>
      </c>
      <c r="J6082" t="s">
        <v>53</v>
      </c>
      <c r="K6082" t="b">
        <v>0</v>
      </c>
      <c r="L6082">
        <v>2022</v>
      </c>
      <c r="M6082">
        <v>44929920092</v>
      </c>
      <c r="N6082">
        <v>22539987718</v>
      </c>
      <c r="O6082" t="b">
        <v>0</v>
      </c>
      <c r="P6082">
        <v>0</v>
      </c>
      <c r="Q6082" t="str" cm="1">
        <f t="array" ref="Q6082">_xlfn.IFS(Table1[[#This Row],[Wealthier_Winner]]=-1,"Wealthier Nation Loses",Table1[[#This Row],[Wealthier_Winner]]=0,"Tie",Table1[[#This Row],[Wealthier_Winner]]=1,"Wealthier Nation Wins")</f>
        <v>Tie</v>
      </c>
    </row>
    <row r="6083" spans="1:17" x14ac:dyDescent="0.2">
      <c r="A6083" s="1">
        <v>8747</v>
      </c>
      <c r="B6083" s="2">
        <v>44649</v>
      </c>
      <c r="C6083" s="7">
        <f>_xlfn.FLOOR.MATH(Table1[[#This Row],[year]],10)</f>
        <v>2020</v>
      </c>
      <c r="D6083" t="s">
        <v>210</v>
      </c>
      <c r="E6083" t="s">
        <v>479</v>
      </c>
      <c r="F6083">
        <v>2</v>
      </c>
      <c r="G6083">
        <v>0</v>
      </c>
      <c r="H6083" t="s">
        <v>224</v>
      </c>
      <c r="I6083" t="s">
        <v>781</v>
      </c>
      <c r="J6083" t="s">
        <v>210</v>
      </c>
      <c r="K6083" t="b">
        <v>0</v>
      </c>
      <c r="L6083">
        <v>2022</v>
      </c>
      <c r="M6083">
        <v>422662261525</v>
      </c>
      <c r="N6083">
        <v>20992421948</v>
      </c>
      <c r="O6083" t="b">
        <v>1</v>
      </c>
      <c r="P6083">
        <v>1</v>
      </c>
      <c r="Q6083" t="str" cm="1">
        <f t="array" ref="Q6083">_xlfn.IFS(Table1[[#This Row],[Wealthier_Winner]]=-1,"Wealthier Nation Loses",Table1[[#This Row],[Wealthier_Winner]]=0,"Tie",Table1[[#This Row],[Wealthier_Winner]]=1,"Wealthier Nation Wins")</f>
        <v>Wealthier Nation Wins</v>
      </c>
    </row>
    <row r="6084" spans="1:17" x14ac:dyDescent="0.2">
      <c r="A6084" s="1">
        <v>8748</v>
      </c>
      <c r="B6084" s="2">
        <v>44649</v>
      </c>
      <c r="C6084" s="7">
        <f>_xlfn.FLOOR.MATH(Table1[[#This Row],[year]],10)</f>
        <v>2020</v>
      </c>
      <c r="D6084" t="s">
        <v>331</v>
      </c>
      <c r="E6084" t="s">
        <v>37</v>
      </c>
      <c r="F6084">
        <v>1</v>
      </c>
      <c r="G6084">
        <v>1</v>
      </c>
      <c r="H6084" t="s">
        <v>224</v>
      </c>
      <c r="I6084" t="s">
        <v>412</v>
      </c>
      <c r="J6084" t="s">
        <v>39</v>
      </c>
      <c r="K6084" t="b">
        <v>1</v>
      </c>
      <c r="L6084">
        <v>2022</v>
      </c>
      <c r="M6084">
        <v>23622827079</v>
      </c>
      <c r="N6084">
        <v>287372232137</v>
      </c>
      <c r="O6084" t="b">
        <v>1</v>
      </c>
      <c r="P6084">
        <v>0</v>
      </c>
      <c r="Q6084" t="str" cm="1">
        <f t="array" ref="Q6084">_xlfn.IFS(Table1[[#This Row],[Wealthier_Winner]]=-1,"Wealthier Nation Loses",Table1[[#This Row],[Wealthier_Winner]]=0,"Tie",Table1[[#This Row],[Wealthier_Winner]]=1,"Wealthier Nation Wins")</f>
        <v>Tie</v>
      </c>
    </row>
    <row r="6085" spans="1:17" x14ac:dyDescent="0.2">
      <c r="A6085" s="1">
        <v>8749</v>
      </c>
      <c r="B6085" s="2">
        <v>44649</v>
      </c>
      <c r="C6085" s="7">
        <f>_xlfn.FLOOR.MATH(Table1[[#This Row],[year]],10)</f>
        <v>2020</v>
      </c>
      <c r="D6085" t="s">
        <v>39</v>
      </c>
      <c r="E6085" t="s">
        <v>195</v>
      </c>
      <c r="F6085">
        <v>1</v>
      </c>
      <c r="G6085">
        <v>0</v>
      </c>
      <c r="H6085" t="s">
        <v>224</v>
      </c>
      <c r="I6085" t="s">
        <v>412</v>
      </c>
      <c r="J6085" t="s">
        <v>39</v>
      </c>
      <c r="K6085" t="b">
        <v>0</v>
      </c>
      <c r="L6085">
        <v>2022</v>
      </c>
      <c r="M6085">
        <v>511403403675</v>
      </c>
      <c r="N6085">
        <v>1799363116866</v>
      </c>
      <c r="O6085" t="b">
        <v>1</v>
      </c>
      <c r="P6085">
        <v>-1</v>
      </c>
      <c r="Q6085" t="str" cm="1">
        <f t="array" ref="Q6085">_xlfn.IFS(Table1[[#This Row],[Wealthier_Winner]]=-1,"Wealthier Nation Loses",Table1[[#This Row],[Wealthier_Winner]]=0,"Tie",Table1[[#This Row],[Wealthier_Winner]]=1,"Wealthier Nation Wins")</f>
        <v>Wealthier Nation Loses</v>
      </c>
    </row>
    <row r="6086" spans="1:17" x14ac:dyDescent="0.2">
      <c r="A6086" s="1">
        <v>8750</v>
      </c>
      <c r="B6086" s="2">
        <v>44649</v>
      </c>
      <c r="C6086" s="7">
        <f>_xlfn.FLOOR.MATH(Table1[[#This Row],[year]],10)</f>
        <v>2020</v>
      </c>
      <c r="D6086" t="s">
        <v>51</v>
      </c>
      <c r="E6086" t="s">
        <v>475</v>
      </c>
      <c r="F6086">
        <v>1</v>
      </c>
      <c r="G6086">
        <v>1</v>
      </c>
      <c r="H6086" t="s">
        <v>224</v>
      </c>
      <c r="I6086" t="s">
        <v>143</v>
      </c>
      <c r="J6086" t="s">
        <v>51</v>
      </c>
      <c r="K6086" t="b">
        <v>0</v>
      </c>
      <c r="L6086">
        <v>2022</v>
      </c>
      <c r="M6086">
        <v>4262463317796</v>
      </c>
      <c r="N6086">
        <v>413445230668</v>
      </c>
      <c r="O6086" t="b">
        <v>1</v>
      </c>
      <c r="P6086">
        <v>0</v>
      </c>
      <c r="Q6086" t="str" cm="1">
        <f t="array" ref="Q6086">_xlfn.IFS(Table1[[#This Row],[Wealthier_Winner]]=-1,"Wealthier Nation Loses",Table1[[#This Row],[Wealthier_Winner]]=0,"Tie",Table1[[#This Row],[Wealthier_Winner]]=1,"Wealthier Nation Wins")</f>
        <v>Tie</v>
      </c>
    </row>
    <row r="6087" spans="1:17" x14ac:dyDescent="0.2">
      <c r="A6087" s="1">
        <v>8752</v>
      </c>
      <c r="B6087" s="2">
        <v>44649</v>
      </c>
      <c r="C6087" s="7">
        <f>_xlfn.FLOOR.MATH(Table1[[#This Row],[year]],10)</f>
        <v>2020</v>
      </c>
      <c r="D6087" t="s">
        <v>45</v>
      </c>
      <c r="E6087" t="s">
        <v>28</v>
      </c>
      <c r="F6087">
        <v>1</v>
      </c>
      <c r="G6087">
        <v>0</v>
      </c>
      <c r="H6087" t="s">
        <v>224</v>
      </c>
      <c r="I6087" t="s">
        <v>354</v>
      </c>
      <c r="J6087" t="s">
        <v>45</v>
      </c>
      <c r="K6087" t="b">
        <v>0</v>
      </c>
      <c r="L6087">
        <v>2022</v>
      </c>
      <c r="M6087">
        <v>1239075200000</v>
      </c>
      <c r="N6087">
        <v>1695627535475</v>
      </c>
      <c r="O6087" t="b">
        <v>0</v>
      </c>
      <c r="P6087">
        <v>-1</v>
      </c>
      <c r="Q6087" t="str" cm="1">
        <f t="array" ref="Q6087">_xlfn.IFS(Table1[[#This Row],[Wealthier_Winner]]=-1,"Wealthier Nation Loses",Table1[[#This Row],[Wealthier_Winner]]=0,"Tie",Table1[[#This Row],[Wealthier_Winner]]=1,"Wealthier Nation Wins")</f>
        <v>Wealthier Nation Loses</v>
      </c>
    </row>
    <row r="6088" spans="1:17" x14ac:dyDescent="0.2">
      <c r="A6088" s="1">
        <v>8753</v>
      </c>
      <c r="B6088" s="2">
        <v>44649</v>
      </c>
      <c r="C6088" s="7">
        <f>_xlfn.FLOOR.MATH(Table1[[#This Row],[year]],10)</f>
        <v>2020</v>
      </c>
      <c r="D6088" t="s">
        <v>57</v>
      </c>
      <c r="E6088" t="s">
        <v>19</v>
      </c>
      <c r="F6088">
        <v>1</v>
      </c>
      <c r="G6088">
        <v>1</v>
      </c>
      <c r="H6088" t="s">
        <v>224</v>
      </c>
      <c r="I6088" t="s">
        <v>237</v>
      </c>
      <c r="J6088" t="s">
        <v>57</v>
      </c>
      <c r="K6088" t="b">
        <v>0</v>
      </c>
      <c r="L6088">
        <v>2022</v>
      </c>
      <c r="M6088">
        <v>116133121000</v>
      </c>
      <c r="N6088">
        <v>633993756301</v>
      </c>
      <c r="O6088" t="b">
        <v>1</v>
      </c>
      <c r="P6088">
        <v>0</v>
      </c>
      <c r="Q6088" t="str" cm="1">
        <f t="array" ref="Q6088">_xlfn.IFS(Table1[[#This Row],[Wealthier_Winner]]=-1,"Wealthier Nation Loses",Table1[[#This Row],[Wealthier_Winner]]=0,"Tie",Table1[[#This Row],[Wealthier_Winner]]=1,"Wealthier Nation Wins")</f>
        <v>Tie</v>
      </c>
    </row>
    <row r="6089" spans="1:17" x14ac:dyDescent="0.2">
      <c r="A6089" s="1">
        <v>8754</v>
      </c>
      <c r="B6089" s="2">
        <v>44649</v>
      </c>
      <c r="C6089" s="7">
        <f>_xlfn.FLOOR.MATH(Table1[[#This Row],[year]],10)</f>
        <v>2020</v>
      </c>
      <c r="D6089" t="s">
        <v>31</v>
      </c>
      <c r="E6089" t="s">
        <v>35</v>
      </c>
      <c r="F6089">
        <v>2</v>
      </c>
      <c r="G6089">
        <v>0</v>
      </c>
      <c r="H6089" t="s">
        <v>224</v>
      </c>
      <c r="I6089" t="s">
        <v>242</v>
      </c>
      <c r="J6089" t="s">
        <v>31</v>
      </c>
      <c r="K6089" t="b">
        <v>0</v>
      </c>
      <c r="L6089">
        <v>2022</v>
      </c>
      <c r="M6089">
        <v>246065570308</v>
      </c>
      <c r="N6089">
        <v>41952910858</v>
      </c>
      <c r="O6089" t="b">
        <v>1</v>
      </c>
      <c r="P6089">
        <v>1</v>
      </c>
      <c r="Q6089" t="str" cm="1">
        <f t="array" ref="Q6089">_xlfn.IFS(Table1[[#This Row],[Wealthier_Winner]]=-1,"Wealthier Nation Loses",Table1[[#This Row],[Wealthier_Winner]]=0,"Tie",Table1[[#This Row],[Wealthier_Winner]]=1,"Wealthier Nation Wins")</f>
        <v>Wealthier Nation Wins</v>
      </c>
    </row>
    <row r="6090" spans="1:17" x14ac:dyDescent="0.2">
      <c r="A6090" s="1">
        <v>8755</v>
      </c>
      <c r="B6090" s="2">
        <v>44649</v>
      </c>
      <c r="C6090" s="7">
        <f>_xlfn.FLOOR.MATH(Table1[[#This Row],[year]],10)</f>
        <v>2020</v>
      </c>
      <c r="D6090" t="s">
        <v>47</v>
      </c>
      <c r="E6090" t="s">
        <v>13</v>
      </c>
      <c r="F6090">
        <v>0</v>
      </c>
      <c r="G6090">
        <v>4</v>
      </c>
      <c r="H6090" t="s">
        <v>224</v>
      </c>
      <c r="I6090" t="s">
        <v>246</v>
      </c>
      <c r="J6090" t="s">
        <v>47</v>
      </c>
      <c r="K6090" t="b">
        <v>0</v>
      </c>
      <c r="L6090">
        <v>2022</v>
      </c>
      <c r="M6090">
        <v>50959081953</v>
      </c>
      <c r="N6090">
        <v>1951923832083</v>
      </c>
      <c r="O6090" t="b">
        <v>1</v>
      </c>
      <c r="P6090">
        <v>1</v>
      </c>
      <c r="Q6090" t="str" cm="1">
        <f t="array" ref="Q6090">_xlfn.IFS(Table1[[#This Row],[Wealthier_Winner]]=-1,"Wealthier Nation Loses",Table1[[#This Row],[Wealthier_Winner]]=0,"Tie",Table1[[#This Row],[Wealthier_Winner]]=1,"Wealthier Nation Wins")</f>
        <v>Wealthier Nation Wins</v>
      </c>
    </row>
    <row r="6091" spans="1:17" x14ac:dyDescent="0.2">
      <c r="A6091" s="1">
        <v>8756</v>
      </c>
      <c r="B6091" s="2">
        <v>44649</v>
      </c>
      <c r="C6091" s="7">
        <f>_xlfn.FLOOR.MATH(Table1[[#This Row],[year]],10)</f>
        <v>2020</v>
      </c>
      <c r="D6091" t="s">
        <v>258</v>
      </c>
      <c r="E6091" t="s">
        <v>15</v>
      </c>
      <c r="F6091">
        <v>0</v>
      </c>
      <c r="G6091">
        <v>1</v>
      </c>
      <c r="H6091" t="s">
        <v>224</v>
      </c>
      <c r="I6091" t="s">
        <v>872</v>
      </c>
      <c r="J6091" t="s">
        <v>258</v>
      </c>
      <c r="K6091" t="b">
        <v>0</v>
      </c>
      <c r="L6091">
        <v>2022</v>
      </c>
      <c r="M6091">
        <v>89013255584</v>
      </c>
      <c r="N6091">
        <v>345632492851</v>
      </c>
      <c r="O6091" t="b">
        <v>1</v>
      </c>
      <c r="P6091">
        <v>1</v>
      </c>
      <c r="Q6091" t="str" cm="1">
        <f t="array" ref="Q6091">_xlfn.IFS(Table1[[#This Row],[Wealthier_Winner]]=-1,"Wealthier Nation Loses",Table1[[#This Row],[Wealthier_Winner]]=0,"Tie",Table1[[#This Row],[Wealthier_Winner]]=1,"Wealthier Nation Wins")</f>
        <v>Wealthier Nation Wins</v>
      </c>
    </row>
    <row r="6092" spans="1:17" x14ac:dyDescent="0.2">
      <c r="A6092" s="1">
        <v>8757</v>
      </c>
      <c r="B6092" s="2">
        <v>44649</v>
      </c>
      <c r="C6092" s="7">
        <f>_xlfn.FLOOR.MATH(Table1[[#This Row],[year]],10)</f>
        <v>2020</v>
      </c>
      <c r="D6092" t="s">
        <v>14</v>
      </c>
      <c r="E6092" t="s">
        <v>26</v>
      </c>
      <c r="F6092">
        <v>0</v>
      </c>
      <c r="G6092">
        <v>2</v>
      </c>
      <c r="H6092" t="s">
        <v>224</v>
      </c>
      <c r="I6092" t="s">
        <v>75</v>
      </c>
      <c r="J6092" t="s">
        <v>14</v>
      </c>
      <c r="K6092" t="b">
        <v>0</v>
      </c>
      <c r="L6092">
        <v>2022</v>
      </c>
      <c r="M6092">
        <v>301226575540</v>
      </c>
      <c r="N6092">
        <v>70594110920</v>
      </c>
      <c r="O6092" t="b">
        <v>1</v>
      </c>
      <c r="P6092">
        <v>-1</v>
      </c>
      <c r="Q6092" t="str" cm="1">
        <f t="array" ref="Q6092">_xlfn.IFS(Table1[[#This Row],[Wealthier_Winner]]=-1,"Wealthier Nation Loses",Table1[[#This Row],[Wealthier_Winner]]=0,"Tie",Table1[[#This Row],[Wealthier_Winner]]=1,"Wealthier Nation Wins")</f>
        <v>Wealthier Nation Loses</v>
      </c>
    </row>
    <row r="6093" spans="1:17" x14ac:dyDescent="0.2">
      <c r="A6093" s="1">
        <v>8758</v>
      </c>
      <c r="B6093" s="2">
        <v>44649</v>
      </c>
      <c r="C6093" s="7">
        <f>_xlfn.FLOOR.MATH(Table1[[#This Row],[year]],10)</f>
        <v>2020</v>
      </c>
      <c r="D6093" t="s">
        <v>58</v>
      </c>
      <c r="E6093" t="s">
        <v>25</v>
      </c>
      <c r="F6093">
        <v>2</v>
      </c>
      <c r="G6093">
        <v>0</v>
      </c>
      <c r="H6093" t="s">
        <v>224</v>
      </c>
      <c r="I6093" t="s">
        <v>484</v>
      </c>
      <c r="J6093" t="s">
        <v>58</v>
      </c>
      <c r="K6093" t="b">
        <v>0</v>
      </c>
      <c r="L6093">
        <v>2022</v>
      </c>
      <c r="M6093">
        <v>695607470875</v>
      </c>
      <c r="N6093">
        <v>575071237640</v>
      </c>
      <c r="O6093" t="b">
        <v>0</v>
      </c>
      <c r="P6093">
        <v>1</v>
      </c>
      <c r="Q6093" t="str" cm="1">
        <f t="array" ref="Q6093">_xlfn.IFS(Table1[[#This Row],[Wealthier_Winner]]=-1,"Wealthier Nation Loses",Table1[[#This Row],[Wealthier_Winner]]=0,"Tie",Table1[[#This Row],[Wealthier_Winner]]=1,"Wealthier Nation Wins")</f>
        <v>Wealthier Nation Wins</v>
      </c>
    </row>
    <row r="6094" spans="1:17" x14ac:dyDescent="0.2">
      <c r="A6094" s="1">
        <v>8759</v>
      </c>
      <c r="B6094" s="2">
        <v>44649</v>
      </c>
      <c r="C6094" s="7">
        <f>_xlfn.FLOOR.MATH(Table1[[#This Row],[year]],10)</f>
        <v>2020</v>
      </c>
      <c r="D6094" t="s">
        <v>38</v>
      </c>
      <c r="E6094" t="s">
        <v>502</v>
      </c>
      <c r="F6094">
        <v>2</v>
      </c>
      <c r="G6094">
        <v>0</v>
      </c>
      <c r="H6094" t="s">
        <v>224</v>
      </c>
      <c r="I6094" t="s">
        <v>292</v>
      </c>
      <c r="J6094" t="s">
        <v>38</v>
      </c>
      <c r="K6094" t="b">
        <v>0</v>
      </c>
      <c r="L6094">
        <v>2022</v>
      </c>
      <c r="M6094">
        <v>256898677175</v>
      </c>
      <c r="N6094">
        <v>13932436550</v>
      </c>
      <c r="O6094" t="b">
        <v>1</v>
      </c>
      <c r="P6094">
        <v>1</v>
      </c>
      <c r="Q6094" t="str" cm="1">
        <f t="array" ref="Q6094">_xlfn.IFS(Table1[[#This Row],[Wealthier_Winner]]=-1,"Wealthier Nation Loses",Table1[[#This Row],[Wealthier_Winner]]=0,"Tie",Table1[[#This Row],[Wealthier_Winner]]=1,"Wealthier Nation Wins")</f>
        <v>Wealthier Nation Wins</v>
      </c>
    </row>
    <row r="6095" spans="1:17" x14ac:dyDescent="0.2">
      <c r="A6095" s="1">
        <v>8760</v>
      </c>
      <c r="B6095" s="2">
        <v>44650</v>
      </c>
      <c r="C6095" s="7">
        <f>_xlfn.FLOOR.MATH(Table1[[#This Row],[year]],10)</f>
        <v>2020</v>
      </c>
      <c r="D6095" t="s">
        <v>17</v>
      </c>
      <c r="E6095" t="s">
        <v>69</v>
      </c>
      <c r="F6095">
        <v>2</v>
      </c>
      <c r="G6095">
        <v>0</v>
      </c>
      <c r="H6095" t="s">
        <v>224</v>
      </c>
      <c r="I6095" t="s">
        <v>83</v>
      </c>
      <c r="J6095" t="s">
        <v>17</v>
      </c>
      <c r="K6095" t="b">
        <v>0</v>
      </c>
      <c r="L6095">
        <v>2022</v>
      </c>
      <c r="M6095">
        <v>1466934724293</v>
      </c>
      <c r="N6095">
        <v>31870120000</v>
      </c>
      <c r="O6095" t="b">
        <v>1</v>
      </c>
      <c r="P6095">
        <v>1</v>
      </c>
      <c r="Q6095" t="str" cm="1">
        <f t="array" ref="Q6095">_xlfn.IFS(Table1[[#This Row],[Wealthier_Winner]]=-1,"Wealthier Nation Loses",Table1[[#This Row],[Wealthier_Winner]]=0,"Tie",Table1[[#This Row],[Wealthier_Winner]]=1,"Wealthier Nation Wins")</f>
        <v>Wealthier Nation Wins</v>
      </c>
    </row>
    <row r="6096" spans="1:17" x14ac:dyDescent="0.2">
      <c r="A6096" s="1">
        <v>8761</v>
      </c>
      <c r="B6096" s="2">
        <v>44650</v>
      </c>
      <c r="C6096" s="7">
        <f>_xlfn.FLOOR.MATH(Table1[[#This Row],[year]],10)</f>
        <v>2020</v>
      </c>
      <c r="D6096" t="s">
        <v>56</v>
      </c>
      <c r="E6096" t="s">
        <v>41</v>
      </c>
      <c r="F6096">
        <v>2</v>
      </c>
      <c r="G6096">
        <v>0</v>
      </c>
      <c r="H6096" t="s">
        <v>224</v>
      </c>
      <c r="I6096" t="s">
        <v>225</v>
      </c>
      <c r="J6096" t="s">
        <v>56</v>
      </c>
      <c r="K6096" t="b">
        <v>0</v>
      </c>
      <c r="L6096">
        <v>2022</v>
      </c>
      <c r="M6096">
        <v>69243626028</v>
      </c>
      <c r="N6096">
        <v>25604848907611</v>
      </c>
      <c r="O6096" t="b">
        <v>1</v>
      </c>
      <c r="P6096">
        <v>-1</v>
      </c>
      <c r="Q6096" t="str" cm="1">
        <f t="array" ref="Q6096">_xlfn.IFS(Table1[[#This Row],[Wealthier_Winner]]=-1,"Wealthier Nation Loses",Table1[[#This Row],[Wealthier_Winner]]=0,"Tie",Table1[[#This Row],[Wealthier_Winner]]=1,"Wealthier Nation Wins")</f>
        <v>Wealthier Nation Loses</v>
      </c>
    </row>
    <row r="6097" spans="1:17" x14ac:dyDescent="0.2">
      <c r="A6097" s="1">
        <v>8762</v>
      </c>
      <c r="B6097" s="2">
        <v>44650</v>
      </c>
      <c r="C6097" s="7">
        <f>_xlfn.FLOOR.MATH(Table1[[#This Row],[year]],10)</f>
        <v>2020</v>
      </c>
      <c r="D6097" t="s">
        <v>67</v>
      </c>
      <c r="E6097" t="s">
        <v>34</v>
      </c>
      <c r="F6097">
        <v>1</v>
      </c>
      <c r="G6097">
        <v>0</v>
      </c>
      <c r="H6097" t="s">
        <v>224</v>
      </c>
      <c r="I6097" t="s">
        <v>455</v>
      </c>
      <c r="J6097" t="s">
        <v>67</v>
      </c>
      <c r="K6097" t="b">
        <v>0</v>
      </c>
      <c r="L6097">
        <v>2022</v>
      </c>
      <c r="M6097">
        <v>76479304470</v>
      </c>
      <c r="N6097">
        <v>2190411080134</v>
      </c>
      <c r="O6097" t="b">
        <v>1</v>
      </c>
      <c r="P6097">
        <v>-1</v>
      </c>
      <c r="Q6097" t="str" cm="1">
        <f t="array" ref="Q6097">_xlfn.IFS(Table1[[#This Row],[Wealthier_Winner]]=-1,"Wealthier Nation Loses",Table1[[#This Row],[Wealthier_Winner]]=0,"Tie",Table1[[#This Row],[Wealthier_Winner]]=1,"Wealthier Nation Wins")</f>
        <v>Wealthier Nation Loses</v>
      </c>
    </row>
    <row r="6098" spans="1:17" x14ac:dyDescent="0.2">
      <c r="A6098" s="1">
        <v>8763</v>
      </c>
      <c r="B6098" s="2">
        <v>44650</v>
      </c>
      <c r="C6098" s="7">
        <f>_xlfn.FLOOR.MATH(Table1[[#This Row],[year]],10)</f>
        <v>2020</v>
      </c>
      <c r="D6098" t="s">
        <v>49</v>
      </c>
      <c r="E6098" t="s">
        <v>65</v>
      </c>
      <c r="F6098">
        <v>2</v>
      </c>
      <c r="G6098">
        <v>1</v>
      </c>
      <c r="H6098" t="s">
        <v>224</v>
      </c>
      <c r="I6098" t="s">
        <v>257</v>
      </c>
      <c r="J6098" t="s">
        <v>49</v>
      </c>
      <c r="K6098" t="b">
        <v>0</v>
      </c>
      <c r="L6098">
        <v>2022</v>
      </c>
      <c r="M6098">
        <v>18813516805</v>
      </c>
      <c r="N6098">
        <v>31426041806</v>
      </c>
      <c r="O6098" t="b">
        <v>0</v>
      </c>
      <c r="P6098">
        <v>-1</v>
      </c>
      <c r="Q6098" t="str" cm="1">
        <f t="array" ref="Q6098">_xlfn.IFS(Table1[[#This Row],[Wealthier_Winner]]=-1,"Wealthier Nation Loses",Table1[[#This Row],[Wealthier_Winner]]=0,"Tie",Table1[[#This Row],[Wealthier_Winner]]=1,"Wealthier Nation Wins")</f>
        <v>Wealthier Nation Loses</v>
      </c>
    </row>
    <row r="6099" spans="1:17" x14ac:dyDescent="0.2">
      <c r="A6099" s="1">
        <v>8764</v>
      </c>
      <c r="B6099" s="2">
        <v>44650</v>
      </c>
      <c r="C6099" s="7">
        <f>_xlfn.FLOOR.MATH(Table1[[#This Row],[year]],10)</f>
        <v>2020</v>
      </c>
      <c r="D6099" t="s">
        <v>456</v>
      </c>
      <c r="E6099" t="s">
        <v>72</v>
      </c>
      <c r="F6099">
        <v>0</v>
      </c>
      <c r="G6099">
        <v>5</v>
      </c>
      <c r="H6099" t="s">
        <v>224</v>
      </c>
      <c r="I6099" t="s">
        <v>190</v>
      </c>
      <c r="J6099" t="s">
        <v>68</v>
      </c>
      <c r="K6099" t="b">
        <v>1</v>
      </c>
      <c r="L6099">
        <v>2022</v>
      </c>
      <c r="M6099">
        <v>1466670929</v>
      </c>
      <c r="N6099">
        <v>249509991440</v>
      </c>
      <c r="O6099" t="b">
        <v>1</v>
      </c>
      <c r="P6099">
        <v>1</v>
      </c>
      <c r="Q6099" t="str" cm="1">
        <f t="array" ref="Q6099">_xlfn.IFS(Table1[[#This Row],[Wealthier_Winner]]=-1,"Wealthier Nation Loses",Table1[[#This Row],[Wealthier_Winner]]=0,"Tie",Table1[[#This Row],[Wealthier_Winner]]=1,"Wealthier Nation Wins")</f>
        <v>Wealthier Nation Wins</v>
      </c>
    </row>
    <row r="6100" spans="1:17" x14ac:dyDescent="0.2">
      <c r="A6100" s="1">
        <v>8767</v>
      </c>
      <c r="B6100" s="2">
        <v>44719</v>
      </c>
      <c r="C6100" s="7">
        <f>_xlfn.FLOOR.MATH(Table1[[#This Row],[year]],10)</f>
        <v>2020</v>
      </c>
      <c r="D6100" t="s">
        <v>39</v>
      </c>
      <c r="E6100" t="s">
        <v>28</v>
      </c>
      <c r="F6100">
        <v>1</v>
      </c>
      <c r="G6100">
        <v>2</v>
      </c>
      <c r="H6100" t="s">
        <v>224</v>
      </c>
      <c r="I6100" t="s">
        <v>192</v>
      </c>
      <c r="J6100" t="s">
        <v>68</v>
      </c>
      <c r="K6100" t="b">
        <v>1</v>
      </c>
      <c r="L6100">
        <v>2022</v>
      </c>
      <c r="M6100">
        <v>511403403675</v>
      </c>
      <c r="N6100">
        <v>1695627535475</v>
      </c>
      <c r="O6100" t="b">
        <v>1</v>
      </c>
      <c r="P6100">
        <v>1</v>
      </c>
      <c r="Q6100" t="str" cm="1">
        <f t="array" ref="Q6100">_xlfn.IFS(Table1[[#This Row],[Wealthier_Winner]]=-1,"Wealthier Nation Loses",Table1[[#This Row],[Wealthier_Winner]]=0,"Tie",Table1[[#This Row],[Wealthier_Winner]]=1,"Wealthier Nation Wins")</f>
        <v>Wealthier Nation Wins</v>
      </c>
    </row>
    <row r="6101" spans="1:17" x14ac:dyDescent="0.2">
      <c r="A6101" s="1">
        <v>8768</v>
      </c>
      <c r="B6101" s="2">
        <v>44725</v>
      </c>
      <c r="C6101" s="7">
        <f>_xlfn.FLOOR.MATH(Table1[[#This Row],[year]],10)</f>
        <v>2020</v>
      </c>
      <c r="D6101" t="s">
        <v>28</v>
      </c>
      <c r="E6101" t="s">
        <v>31</v>
      </c>
      <c r="F6101">
        <v>0</v>
      </c>
      <c r="G6101">
        <v>0</v>
      </c>
      <c r="H6101" t="s">
        <v>224</v>
      </c>
      <c r="I6101" t="s">
        <v>192</v>
      </c>
      <c r="J6101" t="s">
        <v>68</v>
      </c>
      <c r="K6101" t="b">
        <v>1</v>
      </c>
      <c r="L6101">
        <v>2022</v>
      </c>
      <c r="M6101">
        <v>1695627535475</v>
      </c>
      <c r="N6101">
        <v>246065570308</v>
      </c>
      <c r="O6101" t="b">
        <v>1</v>
      </c>
      <c r="P6101">
        <v>0</v>
      </c>
      <c r="Q6101" t="str" cm="1">
        <f t="array" ref="Q6101">_xlfn.IFS(Table1[[#This Row],[Wealthier_Winner]]=-1,"Wealthier Nation Loses",Table1[[#This Row],[Wealthier_Winner]]=0,"Tie",Table1[[#This Row],[Wealthier_Winner]]=1,"Wealthier Nation Wins")</f>
        <v>Tie</v>
      </c>
    </row>
    <row r="6102" spans="1:17" x14ac:dyDescent="0.2">
      <c r="A6102" s="1">
        <v>8769</v>
      </c>
      <c r="B6102" s="2">
        <v>44726</v>
      </c>
      <c r="C6102" s="7">
        <f>_xlfn.FLOOR.MATH(Table1[[#This Row],[year]],10)</f>
        <v>2020</v>
      </c>
      <c r="D6102" t="s">
        <v>56</v>
      </c>
      <c r="E6102" t="s">
        <v>72</v>
      </c>
      <c r="F6102">
        <v>1</v>
      </c>
      <c r="G6102">
        <v>0</v>
      </c>
      <c r="H6102" t="s">
        <v>224</v>
      </c>
      <c r="I6102" t="s">
        <v>192</v>
      </c>
      <c r="J6102" t="s">
        <v>68</v>
      </c>
      <c r="K6102" t="b">
        <v>1</v>
      </c>
      <c r="L6102">
        <v>2022</v>
      </c>
      <c r="M6102">
        <v>69243626028</v>
      </c>
      <c r="N6102">
        <v>249509991440</v>
      </c>
      <c r="O6102" t="b">
        <v>1</v>
      </c>
      <c r="P6102">
        <v>-1</v>
      </c>
      <c r="Q6102" t="str" cm="1">
        <f t="array" ref="Q6102">_xlfn.IFS(Table1[[#This Row],[Wealthier_Winner]]=-1,"Wealthier Nation Loses",Table1[[#This Row],[Wealthier_Winner]]=0,"Tie",Table1[[#This Row],[Wealthier_Winner]]=1,"Wealthier Nation Wins")</f>
        <v>Wealthier Nation Loses</v>
      </c>
    </row>
    <row r="6103" spans="1:17" x14ac:dyDescent="0.2">
      <c r="A6103" s="1">
        <v>8770</v>
      </c>
      <c r="B6103" s="2">
        <v>44885</v>
      </c>
      <c r="C6103" s="7">
        <f>_xlfn.FLOOR.MATH(Table1[[#This Row],[year]],10)</f>
        <v>2020</v>
      </c>
      <c r="D6103" t="s">
        <v>68</v>
      </c>
      <c r="E6103" t="s">
        <v>57</v>
      </c>
      <c r="F6103">
        <v>0</v>
      </c>
      <c r="G6103">
        <v>2</v>
      </c>
      <c r="H6103" t="s">
        <v>74</v>
      </c>
      <c r="I6103" t="s">
        <v>189</v>
      </c>
      <c r="J6103" t="s">
        <v>68</v>
      </c>
      <c r="K6103" t="b">
        <v>0</v>
      </c>
      <c r="L6103">
        <v>2022</v>
      </c>
      <c r="M6103">
        <v>235709340659</v>
      </c>
      <c r="N6103">
        <v>116133121000</v>
      </c>
      <c r="O6103" t="b">
        <v>1</v>
      </c>
      <c r="P6103">
        <v>-1</v>
      </c>
      <c r="Q6103" t="str" cm="1">
        <f t="array" ref="Q6103">_xlfn.IFS(Table1[[#This Row],[Wealthier_Winner]]=-1,"Wealthier Nation Loses",Table1[[#This Row],[Wealthier_Winner]]=0,"Tie",Table1[[#This Row],[Wealthier_Winner]]=1,"Wealthier Nation Wins")</f>
        <v>Wealthier Nation Loses</v>
      </c>
    </row>
    <row r="6104" spans="1:17" x14ac:dyDescent="0.2">
      <c r="A6104" s="1">
        <v>8771</v>
      </c>
      <c r="B6104" s="2">
        <v>44886</v>
      </c>
      <c r="C6104" s="7">
        <f>_xlfn.FLOOR.MATH(Table1[[#This Row],[year]],10)</f>
        <v>2020</v>
      </c>
      <c r="D6104" t="s">
        <v>54</v>
      </c>
      <c r="E6104" t="s">
        <v>27</v>
      </c>
      <c r="F6104">
        <v>0</v>
      </c>
      <c r="G6104">
        <v>2</v>
      </c>
      <c r="H6104" t="s">
        <v>74</v>
      </c>
      <c r="I6104" t="s">
        <v>190</v>
      </c>
      <c r="J6104" t="s">
        <v>68</v>
      </c>
      <c r="K6104" t="b">
        <v>1</v>
      </c>
      <c r="L6104">
        <v>2022</v>
      </c>
      <c r="M6104">
        <v>27783332222</v>
      </c>
      <c r="N6104">
        <v>1046540797548</v>
      </c>
      <c r="O6104" t="b">
        <v>1</v>
      </c>
      <c r="P6104">
        <v>1</v>
      </c>
      <c r="Q6104" t="str" cm="1">
        <f t="array" ref="Q6104">_xlfn.IFS(Table1[[#This Row],[Wealthier_Winner]]=-1,"Wealthier Nation Loses",Table1[[#This Row],[Wealthier_Winner]]=0,"Tie",Table1[[#This Row],[Wealthier_Winner]]=1,"Wealthier Nation Wins")</f>
        <v>Wealthier Nation Wins</v>
      </c>
    </row>
    <row r="6105" spans="1:17" x14ac:dyDescent="0.2">
      <c r="A6105" s="1">
        <v>8772</v>
      </c>
      <c r="B6105" s="2">
        <v>44886</v>
      </c>
      <c r="C6105" s="7">
        <f>_xlfn.FLOOR.MATH(Table1[[#This Row],[year]],10)</f>
        <v>2020</v>
      </c>
      <c r="D6105" t="s">
        <v>194</v>
      </c>
      <c r="E6105" t="s">
        <v>210</v>
      </c>
      <c r="F6105">
        <v>6</v>
      </c>
      <c r="G6105">
        <v>2</v>
      </c>
      <c r="H6105" t="s">
        <v>74</v>
      </c>
      <c r="I6105" t="s">
        <v>192</v>
      </c>
      <c r="J6105" t="s">
        <v>68</v>
      </c>
      <c r="K6105" t="b">
        <v>1</v>
      </c>
      <c r="L6105">
        <v>2022</v>
      </c>
      <c r="M6105">
        <v>3181244350465</v>
      </c>
      <c r="N6105">
        <v>422662261525</v>
      </c>
      <c r="O6105" t="b">
        <v>1</v>
      </c>
      <c r="P6105">
        <v>1</v>
      </c>
      <c r="Q6105" t="str" cm="1">
        <f t="array" ref="Q6105">_xlfn.IFS(Table1[[#This Row],[Wealthier_Winner]]=-1,"Wealthier Nation Loses",Table1[[#This Row],[Wealthier_Winner]]=0,"Tie",Table1[[#This Row],[Wealthier_Winner]]=1,"Wealthier Nation Wins")</f>
        <v>Wealthier Nation Wins</v>
      </c>
    </row>
    <row r="6106" spans="1:17" x14ac:dyDescent="0.2">
      <c r="A6106" s="1">
        <v>8774</v>
      </c>
      <c r="B6106" s="2">
        <v>44887</v>
      </c>
      <c r="C6106" s="7">
        <f>_xlfn.FLOOR.MATH(Table1[[#This Row],[year]],10)</f>
        <v>2020</v>
      </c>
      <c r="D6106" t="s">
        <v>19</v>
      </c>
      <c r="E6106" t="s">
        <v>45</v>
      </c>
      <c r="F6106">
        <v>1</v>
      </c>
      <c r="G6106">
        <v>2</v>
      </c>
      <c r="H6106" t="s">
        <v>74</v>
      </c>
      <c r="I6106" t="s">
        <v>191</v>
      </c>
      <c r="J6106" t="s">
        <v>68</v>
      </c>
      <c r="K6106" t="b">
        <v>1</v>
      </c>
      <c r="L6106">
        <v>2022</v>
      </c>
      <c r="M6106">
        <v>633993756301</v>
      </c>
      <c r="N6106">
        <v>1239075200000</v>
      </c>
      <c r="O6106" t="b">
        <v>0</v>
      </c>
      <c r="P6106">
        <v>1</v>
      </c>
      <c r="Q6106" t="str" cm="1">
        <f t="array" ref="Q6106">_xlfn.IFS(Table1[[#This Row],[Wealthier_Winner]]=-1,"Wealthier Nation Loses",Table1[[#This Row],[Wealthier_Winner]]=0,"Tie",Table1[[#This Row],[Wealthier_Winner]]=1,"Wealthier Nation Wins")</f>
        <v>Wealthier Nation Wins</v>
      </c>
    </row>
    <row r="6107" spans="1:17" x14ac:dyDescent="0.2">
      <c r="A6107" s="1">
        <v>8775</v>
      </c>
      <c r="B6107" s="2">
        <v>44887</v>
      </c>
      <c r="C6107" s="7">
        <f>_xlfn.FLOOR.MATH(Table1[[#This Row],[year]],10)</f>
        <v>2020</v>
      </c>
      <c r="D6107" t="s">
        <v>17</v>
      </c>
      <c r="E6107" t="s">
        <v>58</v>
      </c>
      <c r="F6107">
        <v>0</v>
      </c>
      <c r="G6107">
        <v>0</v>
      </c>
      <c r="H6107" t="s">
        <v>74</v>
      </c>
      <c r="I6107" t="s">
        <v>190</v>
      </c>
      <c r="J6107" t="s">
        <v>68</v>
      </c>
      <c r="K6107" t="b">
        <v>1</v>
      </c>
      <c r="L6107">
        <v>2022</v>
      </c>
      <c r="M6107">
        <v>1466934724293</v>
      </c>
      <c r="N6107">
        <v>695607470875</v>
      </c>
      <c r="O6107" t="b">
        <v>1</v>
      </c>
      <c r="P6107">
        <v>0</v>
      </c>
      <c r="Q6107" t="str" cm="1">
        <f t="array" ref="Q6107">_xlfn.IFS(Table1[[#This Row],[Wealthier_Winner]]=-1,"Wealthier Nation Loses",Table1[[#This Row],[Wealthier_Winner]]=0,"Tie",Table1[[#This Row],[Wealthier_Winner]]=1,"Wealthier Nation Wins")</f>
        <v>Tie</v>
      </c>
    </row>
    <row r="6108" spans="1:17" x14ac:dyDescent="0.2">
      <c r="A6108" s="1">
        <v>8776</v>
      </c>
      <c r="B6108" s="2">
        <v>44887</v>
      </c>
      <c r="C6108" s="7">
        <f>_xlfn.FLOOR.MATH(Table1[[#This Row],[year]],10)</f>
        <v>2020</v>
      </c>
      <c r="D6108" t="s">
        <v>36</v>
      </c>
      <c r="E6108" t="s">
        <v>53</v>
      </c>
      <c r="F6108">
        <v>0</v>
      </c>
      <c r="G6108">
        <v>0</v>
      </c>
      <c r="H6108" t="s">
        <v>74</v>
      </c>
      <c r="I6108" t="s">
        <v>192</v>
      </c>
      <c r="J6108" t="s">
        <v>68</v>
      </c>
      <c r="K6108" t="b">
        <v>1</v>
      </c>
      <c r="L6108">
        <v>2022</v>
      </c>
      <c r="M6108">
        <v>400114306337</v>
      </c>
      <c r="N6108">
        <v>44929920092</v>
      </c>
      <c r="O6108" t="b">
        <v>1</v>
      </c>
      <c r="P6108">
        <v>0</v>
      </c>
      <c r="Q6108" t="str" cm="1">
        <f t="array" ref="Q6108">_xlfn.IFS(Table1[[#This Row],[Wealthier_Winner]]=-1,"Wealthier Nation Loses",Table1[[#This Row],[Wealthier_Winner]]=0,"Tie",Table1[[#This Row],[Wealthier_Winner]]=1,"Wealthier Nation Wins")</f>
        <v>Tie</v>
      </c>
    </row>
    <row r="6109" spans="1:17" x14ac:dyDescent="0.2">
      <c r="A6109" s="1">
        <v>8777</v>
      </c>
      <c r="B6109" s="2">
        <v>44887</v>
      </c>
      <c r="C6109" s="7">
        <f>_xlfn.FLOOR.MATH(Table1[[#This Row],[year]],10)</f>
        <v>2020</v>
      </c>
      <c r="D6109" t="s">
        <v>20</v>
      </c>
      <c r="E6109" t="s">
        <v>28</v>
      </c>
      <c r="F6109">
        <v>4</v>
      </c>
      <c r="G6109">
        <v>1</v>
      </c>
      <c r="H6109" t="s">
        <v>74</v>
      </c>
      <c r="I6109" t="s">
        <v>193</v>
      </c>
      <c r="J6109" t="s">
        <v>68</v>
      </c>
      <c r="K6109" t="b">
        <v>1</v>
      </c>
      <c r="L6109">
        <v>2022</v>
      </c>
      <c r="M6109">
        <v>2794788137066</v>
      </c>
      <c r="N6109">
        <v>1695627535475</v>
      </c>
      <c r="O6109" t="b">
        <v>0</v>
      </c>
      <c r="P6109">
        <v>1</v>
      </c>
      <c r="Q6109" t="str" cm="1">
        <f t="array" ref="Q6109">_xlfn.IFS(Table1[[#This Row],[Wealthier_Winner]]=-1,"Wealthier Nation Loses",Table1[[#This Row],[Wealthier_Winner]]=0,"Tie",Table1[[#This Row],[Wealthier_Winner]]=1,"Wealthier Nation Wins")</f>
        <v>Wealthier Nation Wins</v>
      </c>
    </row>
    <row r="6110" spans="1:17" x14ac:dyDescent="0.2">
      <c r="A6110" s="1">
        <v>8778</v>
      </c>
      <c r="B6110" s="2">
        <v>44888</v>
      </c>
      <c r="C6110" s="7">
        <f>_xlfn.FLOOR.MATH(Table1[[#This Row],[year]],10)</f>
        <v>2020</v>
      </c>
      <c r="D6110" t="s">
        <v>16</v>
      </c>
      <c r="E6110" t="s">
        <v>51</v>
      </c>
      <c r="F6110">
        <v>1</v>
      </c>
      <c r="G6110">
        <v>2</v>
      </c>
      <c r="H6110" t="s">
        <v>74</v>
      </c>
      <c r="I6110" t="s">
        <v>192</v>
      </c>
      <c r="J6110" t="s">
        <v>68</v>
      </c>
      <c r="K6110" t="b">
        <v>1</v>
      </c>
      <c r="L6110">
        <v>2022</v>
      </c>
      <c r="M6110">
        <v>4201021706478</v>
      </c>
      <c r="N6110">
        <v>4262463317796</v>
      </c>
      <c r="O6110" t="b">
        <v>0</v>
      </c>
      <c r="P6110">
        <v>1</v>
      </c>
      <c r="Q6110" t="str" cm="1">
        <f t="array" ref="Q6110">_xlfn.IFS(Table1[[#This Row],[Wealthier_Winner]]=-1,"Wealthier Nation Loses",Table1[[#This Row],[Wealthier_Winner]]=0,"Tie",Table1[[#This Row],[Wealthier_Winner]]=1,"Wealthier Nation Wins")</f>
        <v>Wealthier Nation Wins</v>
      </c>
    </row>
    <row r="6111" spans="1:17" x14ac:dyDescent="0.2">
      <c r="A6111" s="1">
        <v>8779</v>
      </c>
      <c r="B6111" s="2">
        <v>44888</v>
      </c>
      <c r="C6111" s="7">
        <f>_xlfn.FLOOR.MATH(Table1[[#This Row],[year]],10)</f>
        <v>2020</v>
      </c>
      <c r="D6111" t="s">
        <v>21</v>
      </c>
      <c r="E6111" t="s">
        <v>56</v>
      </c>
      <c r="F6111">
        <v>7</v>
      </c>
      <c r="G6111">
        <v>0</v>
      </c>
      <c r="H6111" t="s">
        <v>74</v>
      </c>
      <c r="I6111" t="s">
        <v>190</v>
      </c>
      <c r="J6111" t="s">
        <v>68</v>
      </c>
      <c r="K6111" t="b">
        <v>1</v>
      </c>
      <c r="L6111">
        <v>2022</v>
      </c>
      <c r="M6111">
        <v>1448850658406</v>
      </c>
      <c r="N6111">
        <v>69243626028</v>
      </c>
      <c r="O6111" t="b">
        <v>1</v>
      </c>
      <c r="P6111">
        <v>1</v>
      </c>
      <c r="Q6111" t="str" cm="1">
        <f t="array" ref="Q6111">_xlfn.IFS(Table1[[#This Row],[Wealthier_Winner]]=-1,"Wealthier Nation Loses",Table1[[#This Row],[Wealthier_Winner]]=0,"Tie",Table1[[#This Row],[Wealthier_Winner]]=1,"Wealthier Nation Wins")</f>
        <v>Wealthier Nation Wins</v>
      </c>
    </row>
    <row r="6112" spans="1:17" x14ac:dyDescent="0.2">
      <c r="A6112" s="1">
        <v>8780</v>
      </c>
      <c r="B6112" s="2">
        <v>44888</v>
      </c>
      <c r="C6112" s="7">
        <f>_xlfn.FLOOR.MATH(Table1[[#This Row],[year]],10)</f>
        <v>2020</v>
      </c>
      <c r="D6112" t="s">
        <v>24</v>
      </c>
      <c r="E6112" t="s">
        <v>52</v>
      </c>
      <c r="F6112">
        <v>0</v>
      </c>
      <c r="G6112">
        <v>0</v>
      </c>
      <c r="H6112" t="s">
        <v>74</v>
      </c>
      <c r="I6112" t="s">
        <v>189</v>
      </c>
      <c r="J6112" t="s">
        <v>68</v>
      </c>
      <c r="K6112" t="b">
        <v>1</v>
      </c>
      <c r="L6112">
        <v>2022</v>
      </c>
      <c r="M6112">
        <v>131245312804</v>
      </c>
      <c r="N6112">
        <v>71196498671</v>
      </c>
      <c r="O6112" t="b">
        <v>0</v>
      </c>
      <c r="P6112">
        <v>0</v>
      </c>
      <c r="Q6112" t="str" cm="1">
        <f t="array" ref="Q6112">_xlfn.IFS(Table1[[#This Row],[Wealthier_Winner]]=-1,"Wealthier Nation Loses",Table1[[#This Row],[Wealthier_Winner]]=0,"Tie",Table1[[#This Row],[Wealthier_Winner]]=1,"Wealthier Nation Wins")</f>
        <v>Tie</v>
      </c>
    </row>
    <row r="6113" spans="1:17" x14ac:dyDescent="0.2">
      <c r="A6113" s="1">
        <v>8781</v>
      </c>
      <c r="B6113" s="2">
        <v>44888</v>
      </c>
      <c r="C6113" s="7">
        <f>_xlfn.FLOOR.MATH(Table1[[#This Row],[year]],10)</f>
        <v>2020</v>
      </c>
      <c r="D6113" t="s">
        <v>23</v>
      </c>
      <c r="E6113" t="s">
        <v>34</v>
      </c>
      <c r="F6113">
        <v>1</v>
      </c>
      <c r="G6113">
        <v>0</v>
      </c>
      <c r="H6113" t="s">
        <v>74</v>
      </c>
      <c r="I6113" t="s">
        <v>192</v>
      </c>
      <c r="J6113" t="s">
        <v>68</v>
      </c>
      <c r="K6113" t="b">
        <v>1</v>
      </c>
      <c r="L6113">
        <v>2022</v>
      </c>
      <c r="M6113">
        <v>591085783326</v>
      </c>
      <c r="N6113">
        <v>2190411080134</v>
      </c>
      <c r="O6113" t="b">
        <v>1</v>
      </c>
      <c r="P6113">
        <v>-1</v>
      </c>
      <c r="Q6113" t="str" cm="1">
        <f t="array" ref="Q6113">_xlfn.IFS(Table1[[#This Row],[Wealthier_Winner]]=-1,"Wealthier Nation Loses",Table1[[#This Row],[Wealthier_Winner]]=0,"Tie",Table1[[#This Row],[Wealthier_Winner]]=1,"Wealthier Nation Wins")</f>
        <v>Wealthier Nation Loses</v>
      </c>
    </row>
    <row r="6114" spans="1:17" x14ac:dyDescent="0.2">
      <c r="A6114" s="1">
        <v>8782</v>
      </c>
      <c r="B6114" s="2">
        <v>44889</v>
      </c>
      <c r="C6114" s="7">
        <f>_xlfn.FLOOR.MATH(Table1[[#This Row],[year]],10)</f>
        <v>2020</v>
      </c>
      <c r="D6114" t="s">
        <v>46</v>
      </c>
      <c r="E6114" t="s">
        <v>40</v>
      </c>
      <c r="F6114">
        <v>1</v>
      </c>
      <c r="G6114">
        <v>0</v>
      </c>
      <c r="H6114" t="s">
        <v>74</v>
      </c>
      <c r="I6114" t="s">
        <v>193</v>
      </c>
      <c r="J6114" t="s">
        <v>68</v>
      </c>
      <c r="K6114" t="b">
        <v>1</v>
      </c>
      <c r="L6114">
        <v>2022</v>
      </c>
      <c r="M6114">
        <v>828508926958</v>
      </c>
      <c r="N6114">
        <v>44347206072</v>
      </c>
      <c r="O6114" t="b">
        <v>1</v>
      </c>
      <c r="P6114">
        <v>1</v>
      </c>
      <c r="Q6114" t="str" cm="1">
        <f t="array" ref="Q6114">_xlfn.IFS(Table1[[#This Row],[Wealthier_Winner]]=-1,"Wealthier Nation Loses",Table1[[#This Row],[Wealthier_Winner]]=0,"Tie",Table1[[#This Row],[Wealthier_Winner]]=1,"Wealthier Nation Wins")</f>
        <v>Wealthier Nation Wins</v>
      </c>
    </row>
    <row r="6115" spans="1:17" x14ac:dyDescent="0.2">
      <c r="A6115" s="1">
        <v>8783</v>
      </c>
      <c r="B6115" s="2">
        <v>44889</v>
      </c>
      <c r="C6115" s="7">
        <f>_xlfn.FLOOR.MATH(Table1[[#This Row],[year]],10)</f>
        <v>2020</v>
      </c>
      <c r="D6115" t="s">
        <v>13</v>
      </c>
      <c r="E6115" t="s">
        <v>61</v>
      </c>
      <c r="F6115">
        <v>2</v>
      </c>
      <c r="G6115">
        <v>0</v>
      </c>
      <c r="H6115" t="s">
        <v>74</v>
      </c>
      <c r="I6115" t="s">
        <v>191</v>
      </c>
      <c r="J6115" t="s">
        <v>68</v>
      </c>
      <c r="K6115" t="b">
        <v>1</v>
      </c>
      <c r="L6115">
        <v>2022</v>
      </c>
      <c r="M6115">
        <v>1951923832083</v>
      </c>
      <c r="N6115">
        <v>66809895701</v>
      </c>
      <c r="O6115" t="b">
        <v>1</v>
      </c>
      <c r="P6115">
        <v>1</v>
      </c>
      <c r="Q6115" t="str" cm="1">
        <f t="array" ref="Q6115">_xlfn.IFS(Table1[[#This Row],[Wealthier_Winner]]=-1,"Wealthier Nation Loses",Table1[[#This Row],[Wealthier_Winner]]=0,"Tie",Table1[[#This Row],[Wealthier_Winner]]=1,"Wealthier Nation Wins")</f>
        <v>Wealthier Nation Wins</v>
      </c>
    </row>
    <row r="6116" spans="1:17" x14ac:dyDescent="0.2">
      <c r="A6116" s="1">
        <v>8784</v>
      </c>
      <c r="B6116" s="2">
        <v>44889</v>
      </c>
      <c r="C6116" s="7">
        <f>_xlfn.FLOOR.MATH(Table1[[#This Row],[year]],10)</f>
        <v>2020</v>
      </c>
      <c r="D6116" t="s">
        <v>26</v>
      </c>
      <c r="E6116" t="s">
        <v>195</v>
      </c>
      <c r="F6116">
        <v>0</v>
      </c>
      <c r="G6116">
        <v>0</v>
      </c>
      <c r="H6116" t="s">
        <v>74</v>
      </c>
      <c r="I6116" t="s">
        <v>192</v>
      </c>
      <c r="J6116" t="s">
        <v>68</v>
      </c>
      <c r="K6116" t="b">
        <v>1</v>
      </c>
      <c r="L6116">
        <v>2022</v>
      </c>
      <c r="M6116">
        <v>70594110920</v>
      </c>
      <c r="N6116">
        <v>1799363116866</v>
      </c>
      <c r="O6116" t="b">
        <v>1</v>
      </c>
      <c r="P6116">
        <v>0</v>
      </c>
      <c r="Q6116" t="str" cm="1">
        <f t="array" ref="Q6116">_xlfn.IFS(Table1[[#This Row],[Wealthier_Winner]]=-1,"Wealthier Nation Loses",Table1[[#This Row],[Wealthier_Winner]]=0,"Tie",Table1[[#This Row],[Wealthier_Winner]]=1,"Wealthier Nation Wins")</f>
        <v>Tie</v>
      </c>
    </row>
    <row r="6117" spans="1:17" x14ac:dyDescent="0.2">
      <c r="A6117" s="1">
        <v>8785</v>
      </c>
      <c r="B6117" s="2">
        <v>44889</v>
      </c>
      <c r="C6117" s="7">
        <f>_xlfn.FLOOR.MATH(Table1[[#This Row],[year]],10)</f>
        <v>2020</v>
      </c>
      <c r="D6117" t="s">
        <v>38</v>
      </c>
      <c r="E6117" t="s">
        <v>63</v>
      </c>
      <c r="F6117">
        <v>3</v>
      </c>
      <c r="G6117">
        <v>2</v>
      </c>
      <c r="H6117" t="s">
        <v>74</v>
      </c>
      <c r="I6117" t="s">
        <v>190</v>
      </c>
      <c r="J6117" t="s">
        <v>68</v>
      </c>
      <c r="K6117" t="b">
        <v>1</v>
      </c>
      <c r="L6117">
        <v>2022</v>
      </c>
      <c r="M6117">
        <v>256898677175</v>
      </c>
      <c r="N6117">
        <v>73919003209</v>
      </c>
      <c r="O6117" t="b">
        <v>1</v>
      </c>
      <c r="P6117">
        <v>1</v>
      </c>
      <c r="Q6117" t="str" cm="1">
        <f t="array" ref="Q6117">_xlfn.IFS(Table1[[#This Row],[Wealthier_Winner]]=-1,"Wealthier Nation Loses",Table1[[#This Row],[Wealthier_Winner]]=0,"Tie",Table1[[#This Row],[Wealthier_Winner]]=1,"Wealthier Nation Wins")</f>
        <v>Wealthier Nation Wins</v>
      </c>
    </row>
    <row r="6118" spans="1:17" x14ac:dyDescent="0.2">
      <c r="A6118" s="1">
        <v>8786</v>
      </c>
      <c r="B6118" s="2">
        <v>44890</v>
      </c>
      <c r="C6118" s="7">
        <f>_xlfn.FLOOR.MATH(Table1[[#This Row],[year]],10)</f>
        <v>2020</v>
      </c>
      <c r="D6118" t="s">
        <v>68</v>
      </c>
      <c r="E6118" t="s">
        <v>54</v>
      </c>
      <c r="F6118">
        <v>1</v>
      </c>
      <c r="G6118">
        <v>3</v>
      </c>
      <c r="H6118" t="s">
        <v>74</v>
      </c>
      <c r="I6118" t="s">
        <v>190</v>
      </c>
      <c r="J6118" t="s">
        <v>68</v>
      </c>
      <c r="K6118" t="b">
        <v>0</v>
      </c>
      <c r="L6118">
        <v>2022</v>
      </c>
      <c r="M6118">
        <v>235709340659</v>
      </c>
      <c r="N6118">
        <v>27783332222</v>
      </c>
      <c r="O6118" t="b">
        <v>1</v>
      </c>
      <c r="P6118">
        <v>-1</v>
      </c>
      <c r="Q6118" t="str" cm="1">
        <f t="array" ref="Q6118">_xlfn.IFS(Table1[[#This Row],[Wealthier_Winner]]=-1,"Wealthier Nation Loses",Table1[[#This Row],[Wealthier_Winner]]=0,"Tie",Table1[[#This Row],[Wealthier_Winner]]=1,"Wealthier Nation Wins")</f>
        <v>Wealthier Nation Loses</v>
      </c>
    </row>
    <row r="6119" spans="1:17" x14ac:dyDescent="0.2">
      <c r="A6119" s="1">
        <v>8787</v>
      </c>
      <c r="B6119" s="2">
        <v>44890</v>
      </c>
      <c r="C6119" s="7">
        <f>_xlfn.FLOOR.MATH(Table1[[#This Row],[year]],10)</f>
        <v>2020</v>
      </c>
      <c r="D6119" t="s">
        <v>27</v>
      </c>
      <c r="E6119" t="s">
        <v>57</v>
      </c>
      <c r="F6119">
        <v>1</v>
      </c>
      <c r="G6119">
        <v>1</v>
      </c>
      <c r="H6119" t="s">
        <v>74</v>
      </c>
      <c r="I6119" t="s">
        <v>192</v>
      </c>
      <c r="J6119" t="s">
        <v>68</v>
      </c>
      <c r="K6119" t="b">
        <v>1</v>
      </c>
      <c r="L6119">
        <v>2022</v>
      </c>
      <c r="M6119">
        <v>1046540797548</v>
      </c>
      <c r="N6119">
        <v>116133121000</v>
      </c>
      <c r="O6119" t="b">
        <v>1</v>
      </c>
      <c r="P6119">
        <v>0</v>
      </c>
      <c r="Q6119" t="str" cm="1">
        <f t="array" ref="Q6119">_xlfn.IFS(Table1[[#This Row],[Wealthier_Winner]]=-1,"Wealthier Nation Loses",Table1[[#This Row],[Wealthier_Winner]]=0,"Tie",Table1[[#This Row],[Wealthier_Winner]]=1,"Wealthier Nation Wins")</f>
        <v>Tie</v>
      </c>
    </row>
    <row r="6120" spans="1:17" x14ac:dyDescent="0.2">
      <c r="A6120" s="1">
        <v>8789</v>
      </c>
      <c r="B6120" s="2">
        <v>44890</v>
      </c>
      <c r="C6120" s="7">
        <f>_xlfn.FLOOR.MATH(Table1[[#This Row],[year]],10)</f>
        <v>2020</v>
      </c>
      <c r="D6120" t="s">
        <v>194</v>
      </c>
      <c r="E6120" t="s">
        <v>41</v>
      </c>
      <c r="F6120">
        <v>0</v>
      </c>
      <c r="G6120">
        <v>0</v>
      </c>
      <c r="H6120" t="s">
        <v>74</v>
      </c>
      <c r="I6120" t="s">
        <v>189</v>
      </c>
      <c r="J6120" t="s">
        <v>68</v>
      </c>
      <c r="K6120" t="b">
        <v>1</v>
      </c>
      <c r="L6120">
        <v>2022</v>
      </c>
      <c r="M6120">
        <v>3181244350465</v>
      </c>
      <c r="N6120">
        <v>25604848907611</v>
      </c>
      <c r="O6120" t="b">
        <v>1</v>
      </c>
      <c r="P6120">
        <v>0</v>
      </c>
      <c r="Q6120" t="str" cm="1">
        <f t="array" ref="Q6120">_xlfn.IFS(Table1[[#This Row],[Wealthier_Winner]]=-1,"Wealthier Nation Loses",Table1[[#This Row],[Wealthier_Winner]]=0,"Tie",Table1[[#This Row],[Wealthier_Winner]]=1,"Wealthier Nation Wins")</f>
        <v>Tie</v>
      </c>
    </row>
    <row r="6121" spans="1:17" x14ac:dyDescent="0.2">
      <c r="A6121" s="1">
        <v>8790</v>
      </c>
      <c r="B6121" s="2">
        <v>44891</v>
      </c>
      <c r="C6121" s="7">
        <f>_xlfn.FLOOR.MATH(Table1[[#This Row],[year]],10)</f>
        <v>2020</v>
      </c>
      <c r="D6121" t="s">
        <v>58</v>
      </c>
      <c r="E6121" t="s">
        <v>45</v>
      </c>
      <c r="F6121">
        <v>2</v>
      </c>
      <c r="G6121">
        <v>0</v>
      </c>
      <c r="H6121" t="s">
        <v>74</v>
      </c>
      <c r="I6121" t="s">
        <v>192</v>
      </c>
      <c r="J6121" t="s">
        <v>68</v>
      </c>
      <c r="K6121" t="b">
        <v>1</v>
      </c>
      <c r="L6121">
        <v>2022</v>
      </c>
      <c r="M6121">
        <v>695607470875</v>
      </c>
      <c r="N6121">
        <v>1239075200000</v>
      </c>
      <c r="O6121" t="b">
        <v>0</v>
      </c>
      <c r="P6121">
        <v>-1</v>
      </c>
      <c r="Q6121" t="str" cm="1">
        <f t="array" ref="Q6121">_xlfn.IFS(Table1[[#This Row],[Wealthier_Winner]]=-1,"Wealthier Nation Loses",Table1[[#This Row],[Wealthier_Winner]]=0,"Tie",Table1[[#This Row],[Wealthier_Winner]]=1,"Wealthier Nation Wins")</f>
        <v>Wealthier Nation Loses</v>
      </c>
    </row>
    <row r="6122" spans="1:17" x14ac:dyDescent="0.2">
      <c r="A6122" s="1">
        <v>8791</v>
      </c>
      <c r="B6122" s="2">
        <v>44891</v>
      </c>
      <c r="C6122" s="7">
        <f>_xlfn.FLOOR.MATH(Table1[[#This Row],[year]],10)</f>
        <v>2020</v>
      </c>
      <c r="D6122" t="s">
        <v>19</v>
      </c>
      <c r="E6122" t="s">
        <v>17</v>
      </c>
      <c r="F6122">
        <v>2</v>
      </c>
      <c r="G6122">
        <v>0</v>
      </c>
      <c r="H6122" t="s">
        <v>74</v>
      </c>
      <c r="I6122" t="s">
        <v>191</v>
      </c>
      <c r="J6122" t="s">
        <v>68</v>
      </c>
      <c r="K6122" t="b">
        <v>1</v>
      </c>
      <c r="L6122">
        <v>2022</v>
      </c>
      <c r="M6122">
        <v>633993756301</v>
      </c>
      <c r="N6122">
        <v>1466934724293</v>
      </c>
      <c r="O6122" t="b">
        <v>1</v>
      </c>
      <c r="P6122">
        <v>-1</v>
      </c>
      <c r="Q6122" t="str" cm="1">
        <f t="array" ref="Q6122">_xlfn.IFS(Table1[[#This Row],[Wealthier_Winner]]=-1,"Wealthier Nation Loses",Table1[[#This Row],[Wealthier_Winner]]=0,"Tie",Table1[[#This Row],[Wealthier_Winner]]=1,"Wealthier Nation Wins")</f>
        <v>Wealthier Nation Loses</v>
      </c>
    </row>
    <row r="6123" spans="1:17" x14ac:dyDescent="0.2">
      <c r="A6123" s="1">
        <v>8792</v>
      </c>
      <c r="B6123" s="2">
        <v>44891</v>
      </c>
      <c r="C6123" s="7">
        <f>_xlfn.FLOOR.MATH(Table1[[#This Row],[year]],10)</f>
        <v>2020</v>
      </c>
      <c r="D6123" t="s">
        <v>53</v>
      </c>
      <c r="E6123" t="s">
        <v>28</v>
      </c>
      <c r="F6123">
        <v>0</v>
      </c>
      <c r="G6123">
        <v>1</v>
      </c>
      <c r="H6123" t="s">
        <v>74</v>
      </c>
      <c r="I6123" t="s">
        <v>193</v>
      </c>
      <c r="J6123" t="s">
        <v>68</v>
      </c>
      <c r="K6123" t="b">
        <v>1</v>
      </c>
      <c r="L6123">
        <v>2022</v>
      </c>
      <c r="M6123">
        <v>44929920092</v>
      </c>
      <c r="N6123">
        <v>1695627535475</v>
      </c>
      <c r="O6123" t="b">
        <v>1</v>
      </c>
      <c r="P6123">
        <v>1</v>
      </c>
      <c r="Q6123" t="str" cm="1">
        <f t="array" ref="Q6123">_xlfn.IFS(Table1[[#This Row],[Wealthier_Winner]]=-1,"Wealthier Nation Loses",Table1[[#This Row],[Wealthier_Winner]]=0,"Tie",Table1[[#This Row],[Wealthier_Winner]]=1,"Wealthier Nation Wins")</f>
        <v>Wealthier Nation Wins</v>
      </c>
    </row>
    <row r="6124" spans="1:17" x14ac:dyDescent="0.2">
      <c r="A6124" s="1">
        <v>8793</v>
      </c>
      <c r="B6124" s="2">
        <v>44891</v>
      </c>
      <c r="C6124" s="7">
        <f>_xlfn.FLOOR.MATH(Table1[[#This Row],[year]],10)</f>
        <v>2020</v>
      </c>
      <c r="D6124" t="s">
        <v>20</v>
      </c>
      <c r="E6124" t="s">
        <v>36</v>
      </c>
      <c r="F6124">
        <v>2</v>
      </c>
      <c r="G6124">
        <v>1</v>
      </c>
      <c r="H6124" t="s">
        <v>74</v>
      </c>
      <c r="I6124" t="s">
        <v>190</v>
      </c>
      <c r="J6124" t="s">
        <v>68</v>
      </c>
      <c r="K6124" t="b">
        <v>1</v>
      </c>
      <c r="L6124">
        <v>2022</v>
      </c>
      <c r="M6124">
        <v>2794788137066</v>
      </c>
      <c r="N6124">
        <v>400114306337</v>
      </c>
      <c r="O6124" t="b">
        <v>1</v>
      </c>
      <c r="P6124">
        <v>1</v>
      </c>
      <c r="Q6124" t="str" cm="1">
        <f t="array" ref="Q6124">_xlfn.IFS(Table1[[#This Row],[Wealthier_Winner]]=-1,"Wealthier Nation Loses",Table1[[#This Row],[Wealthier_Winner]]=0,"Tie",Table1[[#This Row],[Wealthier_Winner]]=1,"Wealthier Nation Wins")</f>
        <v>Wealthier Nation Wins</v>
      </c>
    </row>
    <row r="6125" spans="1:17" x14ac:dyDescent="0.2">
      <c r="A6125" s="1">
        <v>8794</v>
      </c>
      <c r="B6125" s="2">
        <v>44892</v>
      </c>
      <c r="C6125" s="7">
        <f>_xlfn.FLOOR.MATH(Table1[[#This Row],[year]],10)</f>
        <v>2020</v>
      </c>
      <c r="D6125" t="s">
        <v>51</v>
      </c>
      <c r="E6125" t="s">
        <v>56</v>
      </c>
      <c r="F6125">
        <v>0</v>
      </c>
      <c r="G6125">
        <v>1</v>
      </c>
      <c r="H6125" t="s">
        <v>74</v>
      </c>
      <c r="I6125" t="s">
        <v>192</v>
      </c>
      <c r="J6125" t="s">
        <v>68</v>
      </c>
      <c r="K6125" t="b">
        <v>1</v>
      </c>
      <c r="L6125">
        <v>2022</v>
      </c>
      <c r="M6125">
        <v>4262463317796</v>
      </c>
      <c r="N6125">
        <v>69243626028</v>
      </c>
      <c r="O6125" t="b">
        <v>1</v>
      </c>
      <c r="P6125">
        <v>-1</v>
      </c>
      <c r="Q6125" t="str" cm="1">
        <f t="array" ref="Q6125">_xlfn.IFS(Table1[[#This Row],[Wealthier_Winner]]=-1,"Wealthier Nation Loses",Table1[[#This Row],[Wealthier_Winner]]=0,"Tie",Table1[[#This Row],[Wealthier_Winner]]=1,"Wealthier Nation Wins")</f>
        <v>Wealthier Nation Loses</v>
      </c>
    </row>
    <row r="6126" spans="1:17" x14ac:dyDescent="0.2">
      <c r="A6126" s="1">
        <v>8795</v>
      </c>
      <c r="B6126" s="2">
        <v>44892</v>
      </c>
      <c r="C6126" s="7">
        <f>_xlfn.FLOOR.MATH(Table1[[#This Row],[year]],10)</f>
        <v>2020</v>
      </c>
      <c r="D6126" t="s">
        <v>21</v>
      </c>
      <c r="E6126" t="s">
        <v>16</v>
      </c>
      <c r="F6126">
        <v>1</v>
      </c>
      <c r="G6126">
        <v>1</v>
      </c>
      <c r="H6126" t="s">
        <v>74</v>
      </c>
      <c r="I6126" t="s">
        <v>189</v>
      </c>
      <c r="J6126" t="s">
        <v>68</v>
      </c>
      <c r="K6126" t="b">
        <v>1</v>
      </c>
      <c r="L6126">
        <v>2022</v>
      </c>
      <c r="M6126">
        <v>1448850658406</v>
      </c>
      <c r="N6126">
        <v>4201021706478</v>
      </c>
      <c r="O6126" t="b">
        <v>1</v>
      </c>
      <c r="P6126">
        <v>0</v>
      </c>
      <c r="Q6126" t="str" cm="1">
        <f t="array" ref="Q6126">_xlfn.IFS(Table1[[#This Row],[Wealthier_Winner]]=-1,"Wealthier Nation Loses",Table1[[#This Row],[Wealthier_Winner]]=0,"Tie",Table1[[#This Row],[Wealthier_Winner]]=1,"Wealthier Nation Wins")</f>
        <v>Tie</v>
      </c>
    </row>
    <row r="6127" spans="1:17" x14ac:dyDescent="0.2">
      <c r="A6127" s="1">
        <v>8796</v>
      </c>
      <c r="B6127" s="2">
        <v>44892</v>
      </c>
      <c r="C6127" s="7">
        <f>_xlfn.FLOOR.MATH(Table1[[#This Row],[year]],10)</f>
        <v>2020</v>
      </c>
      <c r="D6127" t="s">
        <v>23</v>
      </c>
      <c r="E6127" t="s">
        <v>24</v>
      </c>
      <c r="F6127">
        <v>0</v>
      </c>
      <c r="G6127">
        <v>2</v>
      </c>
      <c r="H6127" t="s">
        <v>74</v>
      </c>
      <c r="I6127" t="s">
        <v>190</v>
      </c>
      <c r="J6127" t="s">
        <v>68</v>
      </c>
      <c r="K6127" t="b">
        <v>1</v>
      </c>
      <c r="L6127">
        <v>2022</v>
      </c>
      <c r="M6127">
        <v>591085783326</v>
      </c>
      <c r="N6127">
        <v>131245312804</v>
      </c>
      <c r="O6127" t="b">
        <v>1</v>
      </c>
      <c r="P6127">
        <v>-1</v>
      </c>
      <c r="Q6127" t="str" cm="1">
        <f t="array" ref="Q6127">_xlfn.IFS(Table1[[#This Row],[Wealthier_Winner]]=-1,"Wealthier Nation Loses",Table1[[#This Row],[Wealthier_Winner]]=0,"Tie",Table1[[#This Row],[Wealthier_Winner]]=1,"Wealthier Nation Wins")</f>
        <v>Wealthier Nation Loses</v>
      </c>
    </row>
    <row r="6128" spans="1:17" x14ac:dyDescent="0.2">
      <c r="A6128" s="1">
        <v>8797</v>
      </c>
      <c r="B6128" s="2">
        <v>44892</v>
      </c>
      <c r="C6128" s="7">
        <f>_xlfn.FLOOR.MATH(Table1[[#This Row],[year]],10)</f>
        <v>2020</v>
      </c>
      <c r="D6128" t="s">
        <v>52</v>
      </c>
      <c r="E6128" t="s">
        <v>34</v>
      </c>
      <c r="F6128">
        <v>4</v>
      </c>
      <c r="G6128">
        <v>1</v>
      </c>
      <c r="H6128" t="s">
        <v>74</v>
      </c>
      <c r="I6128" t="s">
        <v>192</v>
      </c>
      <c r="J6128" t="s">
        <v>68</v>
      </c>
      <c r="K6128" t="b">
        <v>1</v>
      </c>
      <c r="L6128">
        <v>2022</v>
      </c>
      <c r="M6128">
        <v>71196498671</v>
      </c>
      <c r="N6128">
        <v>2190411080134</v>
      </c>
      <c r="O6128" t="b">
        <v>1</v>
      </c>
      <c r="P6128">
        <v>-1</v>
      </c>
      <c r="Q6128" t="str" cm="1">
        <f t="array" ref="Q6128">_xlfn.IFS(Table1[[#This Row],[Wealthier_Winner]]=-1,"Wealthier Nation Loses",Table1[[#This Row],[Wealthier_Winner]]=0,"Tie",Table1[[#This Row],[Wealthier_Winner]]=1,"Wealthier Nation Wins")</f>
        <v>Wealthier Nation Loses</v>
      </c>
    </row>
    <row r="6129" spans="1:17" x14ac:dyDescent="0.2">
      <c r="A6129" s="1">
        <v>8798</v>
      </c>
      <c r="B6129" s="2">
        <v>44893</v>
      </c>
      <c r="C6129" s="7">
        <f>_xlfn.FLOOR.MATH(Table1[[#This Row],[year]],10)</f>
        <v>2020</v>
      </c>
      <c r="D6129" t="s">
        <v>40</v>
      </c>
      <c r="E6129" t="s">
        <v>61</v>
      </c>
      <c r="F6129">
        <v>3</v>
      </c>
      <c r="G6129">
        <v>3</v>
      </c>
      <c r="H6129" t="s">
        <v>74</v>
      </c>
      <c r="I6129" t="s">
        <v>193</v>
      </c>
      <c r="J6129" t="s">
        <v>68</v>
      </c>
      <c r="K6129" t="b">
        <v>1</v>
      </c>
      <c r="L6129">
        <v>2022</v>
      </c>
      <c r="M6129">
        <v>44347206072</v>
      </c>
      <c r="N6129">
        <v>66809895701</v>
      </c>
      <c r="O6129" t="b">
        <v>0</v>
      </c>
      <c r="P6129">
        <v>0</v>
      </c>
      <c r="Q6129" t="str" cm="1">
        <f t="array" ref="Q6129">_xlfn.IFS(Table1[[#This Row],[Wealthier_Winner]]=-1,"Wealthier Nation Loses",Table1[[#This Row],[Wealthier_Winner]]=0,"Tie",Table1[[#This Row],[Wealthier_Winner]]=1,"Wealthier Nation Wins")</f>
        <v>Tie</v>
      </c>
    </row>
    <row r="6130" spans="1:17" x14ac:dyDescent="0.2">
      <c r="A6130" s="1">
        <v>8799</v>
      </c>
      <c r="B6130" s="2">
        <v>44893</v>
      </c>
      <c r="C6130" s="7">
        <f>_xlfn.FLOOR.MATH(Table1[[#This Row],[year]],10)</f>
        <v>2020</v>
      </c>
      <c r="D6130" t="s">
        <v>13</v>
      </c>
      <c r="E6130" t="s">
        <v>46</v>
      </c>
      <c r="F6130">
        <v>1</v>
      </c>
      <c r="G6130">
        <v>0</v>
      </c>
      <c r="H6130" t="s">
        <v>74</v>
      </c>
      <c r="I6130" t="s">
        <v>190</v>
      </c>
      <c r="J6130" t="s">
        <v>68</v>
      </c>
      <c r="K6130" t="b">
        <v>1</v>
      </c>
      <c r="L6130">
        <v>2022</v>
      </c>
      <c r="M6130">
        <v>1951923832083</v>
      </c>
      <c r="N6130">
        <v>828508926958</v>
      </c>
      <c r="O6130" t="b">
        <v>1</v>
      </c>
      <c r="P6130">
        <v>1</v>
      </c>
      <c r="Q6130" t="str" cm="1">
        <f t="array" ref="Q6130">_xlfn.IFS(Table1[[#This Row],[Wealthier_Winner]]=-1,"Wealthier Nation Loses",Table1[[#This Row],[Wealthier_Winner]]=0,"Tie",Table1[[#This Row],[Wealthier_Winner]]=1,"Wealthier Nation Wins")</f>
        <v>Wealthier Nation Wins</v>
      </c>
    </row>
    <row r="6131" spans="1:17" x14ac:dyDescent="0.2">
      <c r="A6131" s="1">
        <v>8800</v>
      </c>
      <c r="B6131" s="2">
        <v>44893</v>
      </c>
      <c r="C6131" s="7">
        <f>_xlfn.FLOOR.MATH(Table1[[#This Row],[year]],10)</f>
        <v>2020</v>
      </c>
      <c r="D6131" t="s">
        <v>195</v>
      </c>
      <c r="E6131" t="s">
        <v>63</v>
      </c>
      <c r="F6131">
        <v>2</v>
      </c>
      <c r="G6131">
        <v>3</v>
      </c>
      <c r="H6131" t="s">
        <v>74</v>
      </c>
      <c r="I6131" t="s">
        <v>192</v>
      </c>
      <c r="J6131" t="s">
        <v>68</v>
      </c>
      <c r="K6131" t="b">
        <v>1</v>
      </c>
      <c r="L6131">
        <v>2022</v>
      </c>
      <c r="M6131">
        <v>1799363116866</v>
      </c>
      <c r="N6131">
        <v>73919003209</v>
      </c>
      <c r="O6131" t="b">
        <v>1</v>
      </c>
      <c r="P6131">
        <v>-1</v>
      </c>
      <c r="Q6131" t="str" cm="1">
        <f t="array" ref="Q6131">_xlfn.IFS(Table1[[#This Row],[Wealthier_Winner]]=-1,"Wealthier Nation Loses",Table1[[#This Row],[Wealthier_Winner]]=0,"Tie",Table1[[#This Row],[Wealthier_Winner]]=1,"Wealthier Nation Wins")</f>
        <v>Wealthier Nation Loses</v>
      </c>
    </row>
    <row r="6132" spans="1:17" x14ac:dyDescent="0.2">
      <c r="A6132" s="1">
        <v>8801</v>
      </c>
      <c r="B6132" s="2">
        <v>44893</v>
      </c>
      <c r="C6132" s="7">
        <f>_xlfn.FLOOR.MATH(Table1[[#This Row],[year]],10)</f>
        <v>2020</v>
      </c>
      <c r="D6132" t="s">
        <v>38</v>
      </c>
      <c r="E6132" t="s">
        <v>26</v>
      </c>
      <c r="F6132">
        <v>2</v>
      </c>
      <c r="G6132">
        <v>0</v>
      </c>
      <c r="H6132" t="s">
        <v>74</v>
      </c>
      <c r="I6132" t="s">
        <v>191</v>
      </c>
      <c r="J6132" t="s">
        <v>68</v>
      </c>
      <c r="K6132" t="b">
        <v>1</v>
      </c>
      <c r="L6132">
        <v>2022</v>
      </c>
      <c r="M6132">
        <v>256898677175</v>
      </c>
      <c r="N6132">
        <v>70594110920</v>
      </c>
      <c r="O6132" t="b">
        <v>1</v>
      </c>
      <c r="P6132">
        <v>1</v>
      </c>
      <c r="Q6132" t="str" cm="1">
        <f t="array" ref="Q6132">_xlfn.IFS(Table1[[#This Row],[Wealthier_Winner]]=-1,"Wealthier Nation Loses",Table1[[#This Row],[Wealthier_Winner]]=0,"Tie",Table1[[#This Row],[Wealthier_Winner]]=1,"Wealthier Nation Wins")</f>
        <v>Wealthier Nation Wins</v>
      </c>
    </row>
    <row r="6133" spans="1:17" x14ac:dyDescent="0.2">
      <c r="A6133" s="1">
        <v>8802</v>
      </c>
      <c r="B6133" s="2">
        <v>44894</v>
      </c>
      <c r="C6133" s="7">
        <f>_xlfn.FLOOR.MATH(Table1[[#This Row],[year]],10)</f>
        <v>2020</v>
      </c>
      <c r="D6133" t="s">
        <v>57</v>
      </c>
      <c r="E6133" t="s">
        <v>54</v>
      </c>
      <c r="F6133">
        <v>1</v>
      </c>
      <c r="G6133">
        <v>2</v>
      </c>
      <c r="H6133" t="s">
        <v>74</v>
      </c>
      <c r="I6133" t="s">
        <v>192</v>
      </c>
      <c r="J6133" t="s">
        <v>68</v>
      </c>
      <c r="K6133" t="b">
        <v>1</v>
      </c>
      <c r="L6133">
        <v>2022</v>
      </c>
      <c r="M6133">
        <v>116133121000</v>
      </c>
      <c r="N6133">
        <v>27783332222</v>
      </c>
      <c r="O6133" t="b">
        <v>1</v>
      </c>
      <c r="P6133">
        <v>-1</v>
      </c>
      <c r="Q6133" t="str" cm="1">
        <f t="array" ref="Q6133">_xlfn.IFS(Table1[[#This Row],[Wealthier_Winner]]=-1,"Wealthier Nation Loses",Table1[[#This Row],[Wealthier_Winner]]=0,"Tie",Table1[[#This Row],[Wealthier_Winner]]=1,"Wealthier Nation Wins")</f>
        <v>Wealthier Nation Loses</v>
      </c>
    </row>
    <row r="6134" spans="1:17" x14ac:dyDescent="0.2">
      <c r="A6134" s="1">
        <v>8803</v>
      </c>
      <c r="B6134" s="2">
        <v>44894</v>
      </c>
      <c r="C6134" s="7">
        <f>_xlfn.FLOOR.MATH(Table1[[#This Row],[year]],10)</f>
        <v>2020</v>
      </c>
      <c r="D6134" t="s">
        <v>68</v>
      </c>
      <c r="E6134" t="s">
        <v>27</v>
      </c>
      <c r="F6134">
        <v>0</v>
      </c>
      <c r="G6134">
        <v>2</v>
      </c>
      <c r="H6134" t="s">
        <v>74</v>
      </c>
      <c r="I6134" t="s">
        <v>189</v>
      </c>
      <c r="J6134" t="s">
        <v>68</v>
      </c>
      <c r="K6134" t="b">
        <v>0</v>
      </c>
      <c r="L6134">
        <v>2022</v>
      </c>
      <c r="M6134">
        <v>235709340659</v>
      </c>
      <c r="N6134">
        <v>1046540797548</v>
      </c>
      <c r="O6134" t="b">
        <v>1</v>
      </c>
      <c r="P6134">
        <v>1</v>
      </c>
      <c r="Q6134" t="str" cm="1">
        <f t="array" ref="Q6134">_xlfn.IFS(Table1[[#This Row],[Wealthier_Winner]]=-1,"Wealthier Nation Loses",Table1[[#This Row],[Wealthier_Winner]]=0,"Tie",Table1[[#This Row],[Wealthier_Winner]]=1,"Wealthier Nation Wins")</f>
        <v>Wealthier Nation Wins</v>
      </c>
    </row>
    <row r="6135" spans="1:17" x14ac:dyDescent="0.2">
      <c r="A6135" s="1">
        <v>8805</v>
      </c>
      <c r="B6135" s="2">
        <v>44894</v>
      </c>
      <c r="C6135" s="7">
        <f>_xlfn.FLOOR.MATH(Table1[[#This Row],[year]],10)</f>
        <v>2020</v>
      </c>
      <c r="D6135" t="s">
        <v>210</v>
      </c>
      <c r="E6135" t="s">
        <v>41</v>
      </c>
      <c r="F6135">
        <v>0</v>
      </c>
      <c r="G6135">
        <v>1</v>
      </c>
      <c r="H6135" t="s">
        <v>74</v>
      </c>
      <c r="I6135" t="s">
        <v>190</v>
      </c>
      <c r="J6135" t="s">
        <v>68</v>
      </c>
      <c r="K6135" t="b">
        <v>1</v>
      </c>
      <c r="L6135">
        <v>2022</v>
      </c>
      <c r="M6135">
        <v>422662261525</v>
      </c>
      <c r="N6135">
        <v>25604848907611</v>
      </c>
      <c r="O6135" t="b">
        <v>1</v>
      </c>
      <c r="P6135">
        <v>1</v>
      </c>
      <c r="Q6135" t="str" cm="1">
        <f t="array" ref="Q6135">_xlfn.IFS(Table1[[#This Row],[Wealthier_Winner]]=-1,"Wealthier Nation Loses",Table1[[#This Row],[Wealthier_Winner]]=0,"Tie",Table1[[#This Row],[Wealthier_Winner]]=1,"Wealthier Nation Wins")</f>
        <v>Wealthier Nation Wins</v>
      </c>
    </row>
    <row r="6136" spans="1:17" x14ac:dyDescent="0.2">
      <c r="A6136" s="1">
        <v>8806</v>
      </c>
      <c r="B6136" s="2">
        <v>44895</v>
      </c>
      <c r="C6136" s="7">
        <f>_xlfn.FLOOR.MATH(Table1[[#This Row],[year]],10)</f>
        <v>2020</v>
      </c>
      <c r="D6136" t="s">
        <v>58</v>
      </c>
      <c r="E6136" t="s">
        <v>19</v>
      </c>
      <c r="F6136">
        <v>0</v>
      </c>
      <c r="G6136">
        <v>2</v>
      </c>
      <c r="H6136" t="s">
        <v>74</v>
      </c>
      <c r="I6136" t="s">
        <v>190</v>
      </c>
      <c r="J6136" t="s">
        <v>68</v>
      </c>
      <c r="K6136" t="b">
        <v>1</v>
      </c>
      <c r="L6136">
        <v>2022</v>
      </c>
      <c r="M6136">
        <v>695607470875</v>
      </c>
      <c r="N6136">
        <v>633993756301</v>
      </c>
      <c r="O6136" t="b">
        <v>0</v>
      </c>
      <c r="P6136">
        <v>-1</v>
      </c>
      <c r="Q6136" t="str" cm="1">
        <f t="array" ref="Q6136">_xlfn.IFS(Table1[[#This Row],[Wealthier_Winner]]=-1,"Wealthier Nation Loses",Table1[[#This Row],[Wealthier_Winner]]=0,"Tie",Table1[[#This Row],[Wealthier_Winner]]=1,"Wealthier Nation Wins")</f>
        <v>Wealthier Nation Loses</v>
      </c>
    </row>
    <row r="6137" spans="1:17" x14ac:dyDescent="0.2">
      <c r="A6137" s="1">
        <v>8807</v>
      </c>
      <c r="B6137" s="2">
        <v>44895</v>
      </c>
      <c r="C6137" s="7">
        <f>_xlfn.FLOOR.MATH(Table1[[#This Row],[year]],10)</f>
        <v>2020</v>
      </c>
      <c r="D6137" t="s">
        <v>45</v>
      </c>
      <c r="E6137" t="s">
        <v>17</v>
      </c>
      <c r="F6137">
        <v>1</v>
      </c>
      <c r="G6137">
        <v>2</v>
      </c>
      <c r="H6137" t="s">
        <v>74</v>
      </c>
      <c r="I6137" t="s">
        <v>191</v>
      </c>
      <c r="J6137" t="s">
        <v>68</v>
      </c>
      <c r="K6137" t="b">
        <v>1</v>
      </c>
      <c r="L6137">
        <v>2022</v>
      </c>
      <c r="M6137">
        <v>1239075200000</v>
      </c>
      <c r="N6137">
        <v>1466934724293</v>
      </c>
      <c r="O6137" t="b">
        <v>0</v>
      </c>
      <c r="P6137">
        <v>1</v>
      </c>
      <c r="Q6137" t="str" cm="1">
        <f t="array" ref="Q6137">_xlfn.IFS(Table1[[#This Row],[Wealthier_Winner]]=-1,"Wealthier Nation Loses",Table1[[#This Row],[Wealthier_Winner]]=0,"Tie",Table1[[#This Row],[Wealthier_Winner]]=1,"Wealthier Nation Wins")</f>
        <v>Wealthier Nation Wins</v>
      </c>
    </row>
    <row r="6138" spans="1:17" x14ac:dyDescent="0.2">
      <c r="A6138" s="1">
        <v>8808</v>
      </c>
      <c r="B6138" s="2">
        <v>44895</v>
      </c>
      <c r="C6138" s="7">
        <f>_xlfn.FLOOR.MATH(Table1[[#This Row],[year]],10)</f>
        <v>2020</v>
      </c>
      <c r="D6138" t="s">
        <v>28</v>
      </c>
      <c r="E6138" t="s">
        <v>36</v>
      </c>
      <c r="F6138">
        <v>1</v>
      </c>
      <c r="G6138">
        <v>0</v>
      </c>
      <c r="H6138" t="s">
        <v>74</v>
      </c>
      <c r="I6138" t="s">
        <v>193</v>
      </c>
      <c r="J6138" t="s">
        <v>68</v>
      </c>
      <c r="K6138" t="b">
        <v>1</v>
      </c>
      <c r="L6138">
        <v>2022</v>
      </c>
      <c r="M6138">
        <v>1695627535475</v>
      </c>
      <c r="N6138">
        <v>400114306337</v>
      </c>
      <c r="O6138" t="b">
        <v>1</v>
      </c>
      <c r="P6138">
        <v>1</v>
      </c>
      <c r="Q6138" t="str" cm="1">
        <f t="array" ref="Q6138">_xlfn.IFS(Table1[[#This Row],[Wealthier_Winner]]=-1,"Wealthier Nation Loses",Table1[[#This Row],[Wealthier_Winner]]=0,"Tie",Table1[[#This Row],[Wealthier_Winner]]=1,"Wealthier Nation Wins")</f>
        <v>Wealthier Nation Wins</v>
      </c>
    </row>
    <row r="6139" spans="1:17" x14ac:dyDescent="0.2">
      <c r="A6139" s="1">
        <v>8809</v>
      </c>
      <c r="B6139" s="2">
        <v>44895</v>
      </c>
      <c r="C6139" s="7">
        <f>_xlfn.FLOOR.MATH(Table1[[#This Row],[year]],10)</f>
        <v>2020</v>
      </c>
      <c r="D6139" t="s">
        <v>53</v>
      </c>
      <c r="E6139" t="s">
        <v>20</v>
      </c>
      <c r="F6139">
        <v>1</v>
      </c>
      <c r="G6139">
        <v>0</v>
      </c>
      <c r="H6139" t="s">
        <v>74</v>
      </c>
      <c r="I6139" t="s">
        <v>192</v>
      </c>
      <c r="J6139" t="s">
        <v>68</v>
      </c>
      <c r="K6139" t="b">
        <v>1</v>
      </c>
      <c r="L6139">
        <v>2022</v>
      </c>
      <c r="M6139">
        <v>44929920092</v>
      </c>
      <c r="N6139">
        <v>2794788137066</v>
      </c>
      <c r="O6139" t="b">
        <v>1</v>
      </c>
      <c r="P6139">
        <v>-1</v>
      </c>
      <c r="Q6139" t="str" cm="1">
        <f t="array" ref="Q6139">_xlfn.IFS(Table1[[#This Row],[Wealthier_Winner]]=-1,"Wealthier Nation Loses",Table1[[#This Row],[Wealthier_Winner]]=0,"Tie",Table1[[#This Row],[Wealthier_Winner]]=1,"Wealthier Nation Wins")</f>
        <v>Wealthier Nation Loses</v>
      </c>
    </row>
    <row r="6140" spans="1:17" x14ac:dyDescent="0.2">
      <c r="A6140" s="1">
        <v>8810</v>
      </c>
      <c r="B6140" s="2">
        <v>44896</v>
      </c>
      <c r="C6140" s="7">
        <f>_xlfn.FLOOR.MATH(Table1[[#This Row],[year]],10)</f>
        <v>2020</v>
      </c>
      <c r="D6140" t="s">
        <v>51</v>
      </c>
      <c r="E6140" t="s">
        <v>21</v>
      </c>
      <c r="F6140">
        <v>2</v>
      </c>
      <c r="G6140">
        <v>1</v>
      </c>
      <c r="H6140" t="s">
        <v>74</v>
      </c>
      <c r="I6140" t="s">
        <v>192</v>
      </c>
      <c r="J6140" t="s">
        <v>68</v>
      </c>
      <c r="K6140" t="b">
        <v>1</v>
      </c>
      <c r="L6140">
        <v>2022</v>
      </c>
      <c r="M6140">
        <v>4262463317796</v>
      </c>
      <c r="N6140">
        <v>1448850658406</v>
      </c>
      <c r="O6140" t="b">
        <v>1</v>
      </c>
      <c r="P6140">
        <v>1</v>
      </c>
      <c r="Q6140" t="str" cm="1">
        <f t="array" ref="Q6140">_xlfn.IFS(Table1[[#This Row],[Wealthier_Winner]]=-1,"Wealthier Nation Loses",Table1[[#This Row],[Wealthier_Winner]]=0,"Tie",Table1[[#This Row],[Wealthier_Winner]]=1,"Wealthier Nation Wins")</f>
        <v>Wealthier Nation Wins</v>
      </c>
    </row>
    <row r="6141" spans="1:17" x14ac:dyDescent="0.2">
      <c r="A6141" s="1">
        <v>8811</v>
      </c>
      <c r="B6141" s="2">
        <v>44896</v>
      </c>
      <c r="C6141" s="7">
        <f>_xlfn.FLOOR.MATH(Table1[[#This Row],[year]],10)</f>
        <v>2020</v>
      </c>
      <c r="D6141" t="s">
        <v>56</v>
      </c>
      <c r="E6141" t="s">
        <v>16</v>
      </c>
      <c r="F6141">
        <v>2</v>
      </c>
      <c r="G6141">
        <v>4</v>
      </c>
      <c r="H6141" t="s">
        <v>74</v>
      </c>
      <c r="I6141" t="s">
        <v>189</v>
      </c>
      <c r="J6141" t="s">
        <v>68</v>
      </c>
      <c r="K6141" t="b">
        <v>1</v>
      </c>
      <c r="L6141">
        <v>2022</v>
      </c>
      <c r="M6141">
        <v>69243626028</v>
      </c>
      <c r="N6141">
        <v>4201021706478</v>
      </c>
      <c r="O6141" t="b">
        <v>1</v>
      </c>
      <c r="P6141">
        <v>1</v>
      </c>
      <c r="Q6141" t="str" cm="1">
        <f t="array" ref="Q6141">_xlfn.IFS(Table1[[#This Row],[Wealthier_Winner]]=-1,"Wealthier Nation Loses",Table1[[#This Row],[Wealthier_Winner]]=0,"Tie",Table1[[#This Row],[Wealthier_Winner]]=1,"Wealthier Nation Wins")</f>
        <v>Wealthier Nation Wins</v>
      </c>
    </row>
    <row r="6142" spans="1:17" x14ac:dyDescent="0.2">
      <c r="A6142" s="1">
        <v>8812</v>
      </c>
      <c r="B6142" s="2">
        <v>44896</v>
      </c>
      <c r="C6142" s="7">
        <f>_xlfn.FLOOR.MATH(Table1[[#This Row],[year]],10)</f>
        <v>2020</v>
      </c>
      <c r="D6142" t="s">
        <v>52</v>
      </c>
      <c r="E6142" t="s">
        <v>23</v>
      </c>
      <c r="F6142">
        <v>0</v>
      </c>
      <c r="G6142">
        <v>0</v>
      </c>
      <c r="H6142" t="s">
        <v>74</v>
      </c>
      <c r="I6142" t="s">
        <v>192</v>
      </c>
      <c r="J6142" t="s">
        <v>68</v>
      </c>
      <c r="K6142" t="b">
        <v>1</v>
      </c>
      <c r="L6142">
        <v>2022</v>
      </c>
      <c r="M6142">
        <v>71196498671</v>
      </c>
      <c r="N6142">
        <v>591085783326</v>
      </c>
      <c r="O6142" t="b">
        <v>1</v>
      </c>
      <c r="P6142">
        <v>0</v>
      </c>
      <c r="Q6142" t="str" cm="1">
        <f t="array" ref="Q6142">_xlfn.IFS(Table1[[#This Row],[Wealthier_Winner]]=-1,"Wealthier Nation Loses",Table1[[#This Row],[Wealthier_Winner]]=0,"Tie",Table1[[#This Row],[Wealthier_Winner]]=1,"Wealthier Nation Wins")</f>
        <v>Tie</v>
      </c>
    </row>
    <row r="6143" spans="1:17" x14ac:dyDescent="0.2">
      <c r="A6143" s="1">
        <v>8813</v>
      </c>
      <c r="B6143" s="2">
        <v>44896</v>
      </c>
      <c r="C6143" s="7">
        <f>_xlfn.FLOOR.MATH(Table1[[#This Row],[year]],10)</f>
        <v>2020</v>
      </c>
      <c r="D6143" t="s">
        <v>34</v>
      </c>
      <c r="E6143" t="s">
        <v>24</v>
      </c>
      <c r="F6143">
        <v>1</v>
      </c>
      <c r="G6143">
        <v>2</v>
      </c>
      <c r="H6143" t="s">
        <v>74</v>
      </c>
      <c r="I6143" t="s">
        <v>190</v>
      </c>
      <c r="J6143" t="s">
        <v>68</v>
      </c>
      <c r="K6143" t="b">
        <v>1</v>
      </c>
      <c r="L6143">
        <v>2022</v>
      </c>
      <c r="M6143">
        <v>2190411080134</v>
      </c>
      <c r="N6143">
        <v>131245312804</v>
      </c>
      <c r="O6143" t="b">
        <v>1</v>
      </c>
      <c r="P6143">
        <v>-1</v>
      </c>
      <c r="Q6143" t="str" cm="1">
        <f t="array" ref="Q6143">_xlfn.IFS(Table1[[#This Row],[Wealthier_Winner]]=-1,"Wealthier Nation Loses",Table1[[#This Row],[Wealthier_Winner]]=0,"Tie",Table1[[#This Row],[Wealthier_Winner]]=1,"Wealthier Nation Wins")</f>
        <v>Wealthier Nation Loses</v>
      </c>
    </row>
    <row r="6144" spans="1:17" x14ac:dyDescent="0.2">
      <c r="A6144" s="1">
        <v>8814</v>
      </c>
      <c r="B6144" s="2">
        <v>44897</v>
      </c>
      <c r="C6144" s="7">
        <f>_xlfn.FLOOR.MATH(Table1[[#This Row],[year]],10)</f>
        <v>2020</v>
      </c>
      <c r="D6144" t="s">
        <v>61</v>
      </c>
      <c r="E6144" t="s">
        <v>46</v>
      </c>
      <c r="F6144">
        <v>2</v>
      </c>
      <c r="G6144">
        <v>3</v>
      </c>
      <c r="H6144" t="s">
        <v>74</v>
      </c>
      <c r="I6144" t="s">
        <v>190</v>
      </c>
      <c r="J6144" t="s">
        <v>68</v>
      </c>
      <c r="K6144" t="b">
        <v>1</v>
      </c>
      <c r="L6144">
        <v>2022</v>
      </c>
      <c r="M6144">
        <v>66809895701</v>
      </c>
      <c r="N6144">
        <v>828508926958</v>
      </c>
      <c r="O6144" t="b">
        <v>1</v>
      </c>
      <c r="P6144">
        <v>1</v>
      </c>
      <c r="Q6144" t="str" cm="1">
        <f t="array" ref="Q6144">_xlfn.IFS(Table1[[#This Row],[Wealthier_Winner]]=-1,"Wealthier Nation Loses",Table1[[#This Row],[Wealthier_Winner]]=0,"Tie",Table1[[#This Row],[Wealthier_Winner]]=1,"Wealthier Nation Wins")</f>
        <v>Wealthier Nation Wins</v>
      </c>
    </row>
    <row r="6145" spans="1:17" x14ac:dyDescent="0.2">
      <c r="A6145" s="1">
        <v>8815</v>
      </c>
      <c r="B6145" s="2">
        <v>44897</v>
      </c>
      <c r="C6145" s="7">
        <f>_xlfn.FLOOR.MATH(Table1[[#This Row],[year]],10)</f>
        <v>2020</v>
      </c>
      <c r="D6145" t="s">
        <v>40</v>
      </c>
      <c r="E6145" t="s">
        <v>13</v>
      </c>
      <c r="F6145">
        <v>1</v>
      </c>
      <c r="G6145">
        <v>0</v>
      </c>
      <c r="H6145" t="s">
        <v>74</v>
      </c>
      <c r="I6145" t="s">
        <v>191</v>
      </c>
      <c r="J6145" t="s">
        <v>68</v>
      </c>
      <c r="K6145" t="b">
        <v>1</v>
      </c>
      <c r="L6145">
        <v>2022</v>
      </c>
      <c r="M6145">
        <v>44347206072</v>
      </c>
      <c r="N6145">
        <v>1951923832083</v>
      </c>
      <c r="O6145" t="b">
        <v>1</v>
      </c>
      <c r="P6145">
        <v>-1</v>
      </c>
      <c r="Q6145" t="str" cm="1">
        <f t="array" ref="Q6145">_xlfn.IFS(Table1[[#This Row],[Wealthier_Winner]]=-1,"Wealthier Nation Loses",Table1[[#This Row],[Wealthier_Winner]]=0,"Tie",Table1[[#This Row],[Wealthier_Winner]]=1,"Wealthier Nation Wins")</f>
        <v>Wealthier Nation Loses</v>
      </c>
    </row>
    <row r="6146" spans="1:17" x14ac:dyDescent="0.2">
      <c r="A6146" s="1">
        <v>8816</v>
      </c>
      <c r="B6146" s="2">
        <v>44897</v>
      </c>
      <c r="C6146" s="7">
        <f>_xlfn.FLOOR.MATH(Table1[[#This Row],[year]],10)</f>
        <v>2020</v>
      </c>
      <c r="D6146" t="s">
        <v>63</v>
      </c>
      <c r="E6146" t="s">
        <v>26</v>
      </c>
      <c r="F6146">
        <v>0</v>
      </c>
      <c r="G6146">
        <v>2</v>
      </c>
      <c r="H6146" t="s">
        <v>74</v>
      </c>
      <c r="I6146" t="s">
        <v>193</v>
      </c>
      <c r="J6146" t="s">
        <v>68</v>
      </c>
      <c r="K6146" t="b">
        <v>1</v>
      </c>
      <c r="L6146">
        <v>2022</v>
      </c>
      <c r="M6146">
        <v>73919003209</v>
      </c>
      <c r="N6146">
        <v>70594110920</v>
      </c>
      <c r="O6146" t="b">
        <v>0</v>
      </c>
      <c r="P6146">
        <v>-1</v>
      </c>
      <c r="Q6146" t="str" cm="1">
        <f t="array" ref="Q6146">_xlfn.IFS(Table1[[#This Row],[Wealthier_Winner]]=-1,"Wealthier Nation Loses",Table1[[#This Row],[Wealthier_Winner]]=0,"Tie",Table1[[#This Row],[Wealthier_Winner]]=1,"Wealthier Nation Wins")</f>
        <v>Wealthier Nation Loses</v>
      </c>
    </row>
    <row r="6147" spans="1:17" x14ac:dyDescent="0.2">
      <c r="A6147" s="1">
        <v>8817</v>
      </c>
      <c r="B6147" s="2">
        <v>44897</v>
      </c>
      <c r="C6147" s="7">
        <f>_xlfn.FLOOR.MATH(Table1[[#This Row],[year]],10)</f>
        <v>2020</v>
      </c>
      <c r="D6147" t="s">
        <v>195</v>
      </c>
      <c r="E6147" t="s">
        <v>38</v>
      </c>
      <c r="F6147">
        <v>2</v>
      </c>
      <c r="G6147">
        <v>1</v>
      </c>
      <c r="H6147" t="s">
        <v>74</v>
      </c>
      <c r="I6147" t="s">
        <v>192</v>
      </c>
      <c r="J6147" t="s">
        <v>68</v>
      </c>
      <c r="K6147" t="b">
        <v>1</v>
      </c>
      <c r="L6147">
        <v>2022</v>
      </c>
      <c r="M6147">
        <v>1799363116866</v>
      </c>
      <c r="N6147">
        <v>256898677175</v>
      </c>
      <c r="O6147" t="b">
        <v>1</v>
      </c>
      <c r="P6147">
        <v>1</v>
      </c>
      <c r="Q6147" t="str" cm="1">
        <f t="array" ref="Q6147">_xlfn.IFS(Table1[[#This Row],[Wealthier_Winner]]=-1,"Wealthier Nation Loses",Table1[[#This Row],[Wealthier_Winner]]=0,"Tie",Table1[[#This Row],[Wealthier_Winner]]=1,"Wealthier Nation Wins")</f>
        <v>Wealthier Nation Wins</v>
      </c>
    </row>
    <row r="6148" spans="1:17" x14ac:dyDescent="0.2">
      <c r="A6148" s="1">
        <v>8818</v>
      </c>
      <c r="B6148" s="2">
        <v>44898</v>
      </c>
      <c r="C6148" s="7">
        <f>_xlfn.FLOOR.MATH(Table1[[#This Row],[year]],10)</f>
        <v>2020</v>
      </c>
      <c r="D6148" t="s">
        <v>27</v>
      </c>
      <c r="E6148" t="s">
        <v>41</v>
      </c>
      <c r="F6148">
        <v>3</v>
      </c>
      <c r="G6148">
        <v>1</v>
      </c>
      <c r="H6148" t="s">
        <v>74</v>
      </c>
      <c r="I6148" t="s">
        <v>192</v>
      </c>
      <c r="J6148" t="s">
        <v>68</v>
      </c>
      <c r="K6148" t="b">
        <v>1</v>
      </c>
      <c r="L6148">
        <v>2022</v>
      </c>
      <c r="M6148">
        <v>1046540797548</v>
      </c>
      <c r="N6148">
        <v>25604848907611</v>
      </c>
      <c r="O6148" t="b">
        <v>1</v>
      </c>
      <c r="P6148">
        <v>-1</v>
      </c>
      <c r="Q6148" t="str" cm="1">
        <f t="array" ref="Q6148">_xlfn.IFS(Table1[[#This Row],[Wealthier_Winner]]=-1,"Wealthier Nation Loses",Table1[[#This Row],[Wealthier_Winner]]=0,"Tie",Table1[[#This Row],[Wealthier_Winner]]=1,"Wealthier Nation Wins")</f>
        <v>Wealthier Nation Loses</v>
      </c>
    </row>
    <row r="6149" spans="1:17" x14ac:dyDescent="0.2">
      <c r="A6149" s="1">
        <v>8819</v>
      </c>
      <c r="B6149" s="2">
        <v>44898</v>
      </c>
      <c r="C6149" s="7">
        <f>_xlfn.FLOOR.MATH(Table1[[#This Row],[year]],10)</f>
        <v>2020</v>
      </c>
      <c r="D6149" t="s">
        <v>19</v>
      </c>
      <c r="E6149" t="s">
        <v>28</v>
      </c>
      <c r="F6149">
        <v>2</v>
      </c>
      <c r="G6149">
        <v>1</v>
      </c>
      <c r="H6149" t="s">
        <v>74</v>
      </c>
      <c r="I6149" t="s">
        <v>192</v>
      </c>
      <c r="J6149" t="s">
        <v>68</v>
      </c>
      <c r="K6149" t="b">
        <v>1</v>
      </c>
      <c r="L6149">
        <v>2022</v>
      </c>
      <c r="M6149">
        <v>633993756301</v>
      </c>
      <c r="N6149">
        <v>1695627535475</v>
      </c>
      <c r="O6149" t="b">
        <v>1</v>
      </c>
      <c r="P6149">
        <v>-1</v>
      </c>
      <c r="Q6149" t="str" cm="1">
        <f t="array" ref="Q6149">_xlfn.IFS(Table1[[#This Row],[Wealthier_Winner]]=-1,"Wealthier Nation Loses",Table1[[#This Row],[Wealthier_Winner]]=0,"Tie",Table1[[#This Row],[Wealthier_Winner]]=1,"Wealthier Nation Wins")</f>
        <v>Wealthier Nation Loses</v>
      </c>
    </row>
    <row r="6150" spans="1:17" x14ac:dyDescent="0.2">
      <c r="A6150" s="1">
        <v>8820</v>
      </c>
      <c r="B6150" s="2">
        <v>44899</v>
      </c>
      <c r="C6150" s="7">
        <f>_xlfn.FLOOR.MATH(Table1[[#This Row],[year]],10)</f>
        <v>2020</v>
      </c>
      <c r="D6150" t="s">
        <v>20</v>
      </c>
      <c r="E6150" t="s">
        <v>58</v>
      </c>
      <c r="F6150">
        <v>3</v>
      </c>
      <c r="G6150">
        <v>1</v>
      </c>
      <c r="H6150" t="s">
        <v>74</v>
      </c>
      <c r="I6150" t="s">
        <v>190</v>
      </c>
      <c r="J6150" t="s">
        <v>68</v>
      </c>
      <c r="K6150" t="b">
        <v>1</v>
      </c>
      <c r="L6150">
        <v>2022</v>
      </c>
      <c r="M6150">
        <v>2794788137066</v>
      </c>
      <c r="N6150">
        <v>695607470875</v>
      </c>
      <c r="O6150" t="b">
        <v>1</v>
      </c>
      <c r="P6150">
        <v>1</v>
      </c>
      <c r="Q6150" t="str" cm="1">
        <f t="array" ref="Q6150">_xlfn.IFS(Table1[[#This Row],[Wealthier_Winner]]=-1,"Wealthier Nation Loses",Table1[[#This Row],[Wealthier_Winner]]=0,"Tie",Table1[[#This Row],[Wealthier_Winner]]=1,"Wealthier Nation Wins")</f>
        <v>Wealthier Nation Wins</v>
      </c>
    </row>
    <row r="6151" spans="1:17" x14ac:dyDescent="0.2">
      <c r="A6151" s="1">
        <v>8821</v>
      </c>
      <c r="B6151" s="2">
        <v>44899</v>
      </c>
      <c r="C6151" s="7">
        <f>_xlfn.FLOOR.MATH(Table1[[#This Row],[year]],10)</f>
        <v>2020</v>
      </c>
      <c r="D6151" t="s">
        <v>194</v>
      </c>
      <c r="E6151" t="s">
        <v>54</v>
      </c>
      <c r="F6151">
        <v>3</v>
      </c>
      <c r="G6151">
        <v>0</v>
      </c>
      <c r="H6151" t="s">
        <v>74</v>
      </c>
      <c r="I6151" t="s">
        <v>189</v>
      </c>
      <c r="J6151" t="s">
        <v>68</v>
      </c>
      <c r="K6151" t="b">
        <v>1</v>
      </c>
      <c r="L6151">
        <v>2022</v>
      </c>
      <c r="M6151">
        <v>3181244350465</v>
      </c>
      <c r="N6151">
        <v>27783332222</v>
      </c>
      <c r="O6151" t="b">
        <v>1</v>
      </c>
      <c r="P6151">
        <v>1</v>
      </c>
      <c r="Q6151" t="str" cm="1">
        <f t="array" ref="Q6151">_xlfn.IFS(Table1[[#This Row],[Wealthier_Winner]]=-1,"Wealthier Nation Loses",Table1[[#This Row],[Wealthier_Winner]]=0,"Tie",Table1[[#This Row],[Wealthier_Winner]]=1,"Wealthier Nation Wins")</f>
        <v>Wealthier Nation Wins</v>
      </c>
    </row>
    <row r="6152" spans="1:17" x14ac:dyDescent="0.2">
      <c r="A6152" s="1">
        <v>8822</v>
      </c>
      <c r="B6152" s="2">
        <v>44900</v>
      </c>
      <c r="C6152" s="7">
        <f>_xlfn.FLOOR.MATH(Table1[[#This Row],[year]],10)</f>
        <v>2020</v>
      </c>
      <c r="D6152" t="s">
        <v>51</v>
      </c>
      <c r="E6152" t="s">
        <v>52</v>
      </c>
      <c r="F6152">
        <v>1</v>
      </c>
      <c r="G6152">
        <v>1</v>
      </c>
      <c r="H6152" t="s">
        <v>74</v>
      </c>
      <c r="I6152" t="s">
        <v>193</v>
      </c>
      <c r="J6152" t="s">
        <v>68</v>
      </c>
      <c r="K6152" t="b">
        <v>1</v>
      </c>
      <c r="L6152">
        <v>2022</v>
      </c>
      <c r="M6152">
        <v>4262463317796</v>
      </c>
      <c r="N6152">
        <v>71196498671</v>
      </c>
      <c r="O6152" t="b">
        <v>1</v>
      </c>
      <c r="P6152">
        <v>0</v>
      </c>
      <c r="Q6152" t="str" cm="1">
        <f t="array" ref="Q6152">_xlfn.IFS(Table1[[#This Row],[Wealthier_Winner]]=-1,"Wealthier Nation Loses",Table1[[#This Row],[Wealthier_Winner]]=0,"Tie",Table1[[#This Row],[Wealthier_Winner]]=1,"Wealthier Nation Wins")</f>
        <v>Tie</v>
      </c>
    </row>
    <row r="6153" spans="1:17" x14ac:dyDescent="0.2">
      <c r="A6153" s="1">
        <v>8823</v>
      </c>
      <c r="B6153" s="2">
        <v>44900</v>
      </c>
      <c r="C6153" s="7">
        <f>_xlfn.FLOOR.MATH(Table1[[#This Row],[year]],10)</f>
        <v>2020</v>
      </c>
      <c r="D6153" t="s">
        <v>13</v>
      </c>
      <c r="E6153" t="s">
        <v>195</v>
      </c>
      <c r="F6153">
        <v>4</v>
      </c>
      <c r="G6153">
        <v>1</v>
      </c>
      <c r="H6153" t="s">
        <v>74</v>
      </c>
      <c r="I6153" t="s">
        <v>190</v>
      </c>
      <c r="J6153" t="s">
        <v>68</v>
      </c>
      <c r="K6153" t="b">
        <v>1</v>
      </c>
      <c r="L6153">
        <v>2022</v>
      </c>
      <c r="M6153">
        <v>1951923832083</v>
      </c>
      <c r="N6153">
        <v>1799363116866</v>
      </c>
      <c r="O6153" t="b">
        <v>0</v>
      </c>
      <c r="P6153">
        <v>1</v>
      </c>
      <c r="Q6153" t="str" cm="1">
        <f t="array" ref="Q6153">_xlfn.IFS(Table1[[#This Row],[Wealthier_Winner]]=-1,"Wealthier Nation Loses",Table1[[#This Row],[Wealthier_Winner]]=0,"Tie",Table1[[#This Row],[Wealthier_Winner]]=1,"Wealthier Nation Wins")</f>
        <v>Wealthier Nation Wins</v>
      </c>
    </row>
    <row r="6154" spans="1:17" x14ac:dyDescent="0.2">
      <c r="A6154" s="1">
        <v>8824</v>
      </c>
      <c r="B6154" s="2">
        <v>44901</v>
      </c>
      <c r="C6154" s="7">
        <f>_xlfn.FLOOR.MATH(Table1[[#This Row],[year]],10)</f>
        <v>2020</v>
      </c>
      <c r="D6154" t="s">
        <v>24</v>
      </c>
      <c r="E6154" t="s">
        <v>21</v>
      </c>
      <c r="F6154">
        <v>0</v>
      </c>
      <c r="G6154">
        <v>0</v>
      </c>
      <c r="H6154" t="s">
        <v>74</v>
      </c>
      <c r="I6154" t="s">
        <v>192</v>
      </c>
      <c r="J6154" t="s">
        <v>68</v>
      </c>
      <c r="K6154" t="b">
        <v>1</v>
      </c>
      <c r="L6154">
        <v>2022</v>
      </c>
      <c r="M6154">
        <v>131245312804</v>
      </c>
      <c r="N6154">
        <v>1448850658406</v>
      </c>
      <c r="O6154" t="b">
        <v>1</v>
      </c>
      <c r="P6154">
        <v>0</v>
      </c>
      <c r="Q6154" t="str" cm="1">
        <f t="array" ref="Q6154">_xlfn.IFS(Table1[[#This Row],[Wealthier_Winner]]=-1,"Wealthier Nation Loses",Table1[[#This Row],[Wealthier_Winner]]=0,"Tie",Table1[[#This Row],[Wealthier_Winner]]=1,"Wealthier Nation Wins")</f>
        <v>Tie</v>
      </c>
    </row>
    <row r="6155" spans="1:17" x14ac:dyDescent="0.2">
      <c r="A6155" s="1">
        <v>8825</v>
      </c>
      <c r="B6155" s="2">
        <v>44901</v>
      </c>
      <c r="C6155" s="7">
        <f>_xlfn.FLOOR.MATH(Table1[[#This Row],[year]],10)</f>
        <v>2020</v>
      </c>
      <c r="D6155" t="s">
        <v>38</v>
      </c>
      <c r="E6155" t="s">
        <v>46</v>
      </c>
      <c r="F6155">
        <v>6</v>
      </c>
      <c r="G6155">
        <v>1</v>
      </c>
      <c r="H6155" t="s">
        <v>74</v>
      </c>
      <c r="I6155" t="s">
        <v>191</v>
      </c>
      <c r="J6155" t="s">
        <v>68</v>
      </c>
      <c r="K6155" t="b">
        <v>1</v>
      </c>
      <c r="L6155">
        <v>2022</v>
      </c>
      <c r="M6155">
        <v>256898677175</v>
      </c>
      <c r="N6155">
        <v>828508926958</v>
      </c>
      <c r="O6155" t="b">
        <v>1</v>
      </c>
      <c r="P6155">
        <v>-1</v>
      </c>
      <c r="Q6155" t="str" cm="1">
        <f t="array" ref="Q6155">_xlfn.IFS(Table1[[#This Row],[Wealthier_Winner]]=-1,"Wealthier Nation Loses",Table1[[#This Row],[Wealthier_Winner]]=0,"Tie",Table1[[#This Row],[Wealthier_Winner]]=1,"Wealthier Nation Wins")</f>
        <v>Wealthier Nation Loses</v>
      </c>
    </row>
    <row r="6156" spans="1:17" x14ac:dyDescent="0.2">
      <c r="A6156" s="1">
        <v>8826</v>
      </c>
      <c r="B6156" s="2">
        <v>44904</v>
      </c>
      <c r="C6156" s="7">
        <f>_xlfn.FLOOR.MATH(Table1[[#This Row],[year]],10)</f>
        <v>2020</v>
      </c>
      <c r="D6156" t="s">
        <v>52</v>
      </c>
      <c r="E6156" t="s">
        <v>13</v>
      </c>
      <c r="F6156">
        <v>1</v>
      </c>
      <c r="G6156">
        <v>1</v>
      </c>
      <c r="H6156" t="s">
        <v>74</v>
      </c>
      <c r="I6156" t="s">
        <v>192</v>
      </c>
      <c r="J6156" t="s">
        <v>68</v>
      </c>
      <c r="K6156" t="b">
        <v>1</v>
      </c>
      <c r="L6156">
        <v>2022</v>
      </c>
      <c r="M6156">
        <v>71196498671</v>
      </c>
      <c r="N6156">
        <v>1951923832083</v>
      </c>
      <c r="O6156" t="b">
        <v>1</v>
      </c>
      <c r="P6156">
        <v>0</v>
      </c>
      <c r="Q6156" t="str" cm="1">
        <f t="array" ref="Q6156">_xlfn.IFS(Table1[[#This Row],[Wealthier_Winner]]=-1,"Wealthier Nation Loses",Table1[[#This Row],[Wealthier_Winner]]=0,"Tie",Table1[[#This Row],[Wealthier_Winner]]=1,"Wealthier Nation Wins")</f>
        <v>Tie</v>
      </c>
    </row>
    <row r="6157" spans="1:17" x14ac:dyDescent="0.2">
      <c r="A6157" s="1">
        <v>8827</v>
      </c>
      <c r="B6157" s="2">
        <v>44904</v>
      </c>
      <c r="C6157" s="7">
        <f>_xlfn.FLOOR.MATH(Table1[[#This Row],[year]],10)</f>
        <v>2020</v>
      </c>
      <c r="D6157" t="s">
        <v>27</v>
      </c>
      <c r="E6157" t="s">
        <v>19</v>
      </c>
      <c r="F6157">
        <v>2</v>
      </c>
      <c r="G6157">
        <v>2</v>
      </c>
      <c r="H6157" t="s">
        <v>74</v>
      </c>
      <c r="I6157" t="s">
        <v>191</v>
      </c>
      <c r="J6157" t="s">
        <v>68</v>
      </c>
      <c r="K6157" t="b">
        <v>1</v>
      </c>
      <c r="L6157">
        <v>2022</v>
      </c>
      <c r="M6157">
        <v>1046540797548</v>
      </c>
      <c r="N6157">
        <v>633993756301</v>
      </c>
      <c r="O6157" t="b">
        <v>0</v>
      </c>
      <c r="P6157">
        <v>0</v>
      </c>
      <c r="Q6157" t="str" cm="1">
        <f t="array" ref="Q6157">_xlfn.IFS(Table1[[#This Row],[Wealthier_Winner]]=-1,"Wealthier Nation Loses",Table1[[#This Row],[Wealthier_Winner]]=0,"Tie",Table1[[#This Row],[Wealthier_Winner]]=1,"Wealthier Nation Wins")</f>
        <v>Tie</v>
      </c>
    </row>
    <row r="6158" spans="1:17" x14ac:dyDescent="0.2">
      <c r="A6158" s="1">
        <v>8828</v>
      </c>
      <c r="B6158" s="2">
        <v>44905</v>
      </c>
      <c r="C6158" s="7">
        <f>_xlfn.FLOOR.MATH(Table1[[#This Row],[year]],10)</f>
        <v>2020</v>
      </c>
      <c r="D6158" t="s">
        <v>24</v>
      </c>
      <c r="E6158" t="s">
        <v>38</v>
      </c>
      <c r="F6158">
        <v>1</v>
      </c>
      <c r="G6158">
        <v>0</v>
      </c>
      <c r="H6158" t="s">
        <v>74</v>
      </c>
      <c r="I6158" t="s">
        <v>190</v>
      </c>
      <c r="J6158" t="s">
        <v>68</v>
      </c>
      <c r="K6158" t="b">
        <v>1</v>
      </c>
      <c r="L6158">
        <v>2022</v>
      </c>
      <c r="M6158">
        <v>131245312804</v>
      </c>
      <c r="N6158">
        <v>256898677175</v>
      </c>
      <c r="O6158" t="b">
        <v>0</v>
      </c>
      <c r="P6158">
        <v>-1</v>
      </c>
      <c r="Q6158" t="str" cm="1">
        <f t="array" ref="Q6158">_xlfn.IFS(Table1[[#This Row],[Wealthier_Winner]]=-1,"Wealthier Nation Loses",Table1[[#This Row],[Wealthier_Winner]]=0,"Tie",Table1[[#This Row],[Wealthier_Winner]]=1,"Wealthier Nation Wins")</f>
        <v>Wealthier Nation Loses</v>
      </c>
    </row>
    <row r="6159" spans="1:17" x14ac:dyDescent="0.2">
      <c r="A6159" s="1">
        <v>8829</v>
      </c>
      <c r="B6159" s="2">
        <v>44905</v>
      </c>
      <c r="C6159" s="7">
        <f>_xlfn.FLOOR.MATH(Table1[[#This Row],[year]],10)</f>
        <v>2020</v>
      </c>
      <c r="D6159" t="s">
        <v>194</v>
      </c>
      <c r="E6159" t="s">
        <v>20</v>
      </c>
      <c r="F6159">
        <v>1</v>
      </c>
      <c r="G6159">
        <v>2</v>
      </c>
      <c r="H6159" t="s">
        <v>74</v>
      </c>
      <c r="I6159" t="s">
        <v>189</v>
      </c>
      <c r="J6159" t="s">
        <v>68</v>
      </c>
      <c r="K6159" t="b">
        <v>1</v>
      </c>
      <c r="L6159">
        <v>2022</v>
      </c>
      <c r="M6159">
        <v>3181244350465</v>
      </c>
      <c r="N6159">
        <v>2794788137066</v>
      </c>
      <c r="O6159" t="b">
        <v>0</v>
      </c>
      <c r="P6159">
        <v>-1</v>
      </c>
      <c r="Q6159" t="str" cm="1">
        <f t="array" ref="Q6159">_xlfn.IFS(Table1[[#This Row],[Wealthier_Winner]]=-1,"Wealthier Nation Loses",Table1[[#This Row],[Wealthier_Winner]]=0,"Tie",Table1[[#This Row],[Wealthier_Winner]]=1,"Wealthier Nation Wins")</f>
        <v>Wealthier Nation Loses</v>
      </c>
    </row>
    <row r="6160" spans="1:17" x14ac:dyDescent="0.2">
      <c r="A6160" s="1">
        <v>8830</v>
      </c>
      <c r="B6160" s="2">
        <v>44908</v>
      </c>
      <c r="C6160" s="7">
        <f>_xlfn.FLOOR.MATH(Table1[[#This Row],[year]],10)</f>
        <v>2020</v>
      </c>
      <c r="D6160" t="s">
        <v>19</v>
      </c>
      <c r="E6160" t="s">
        <v>52</v>
      </c>
      <c r="F6160">
        <v>3</v>
      </c>
      <c r="G6160">
        <v>0</v>
      </c>
      <c r="H6160" t="s">
        <v>74</v>
      </c>
      <c r="I6160" t="s">
        <v>191</v>
      </c>
      <c r="J6160" t="s">
        <v>68</v>
      </c>
      <c r="K6160" t="b">
        <v>1</v>
      </c>
      <c r="L6160">
        <v>2022</v>
      </c>
      <c r="M6160">
        <v>633993756301</v>
      </c>
      <c r="N6160">
        <v>71196498671</v>
      </c>
      <c r="O6160" t="b">
        <v>1</v>
      </c>
      <c r="P6160">
        <v>1</v>
      </c>
      <c r="Q6160" t="str" cm="1">
        <f t="array" ref="Q6160">_xlfn.IFS(Table1[[#This Row],[Wealthier_Winner]]=-1,"Wealthier Nation Loses",Table1[[#This Row],[Wealthier_Winner]]=0,"Tie",Table1[[#This Row],[Wealthier_Winner]]=1,"Wealthier Nation Wins")</f>
        <v>Wealthier Nation Wins</v>
      </c>
    </row>
    <row r="6161" spans="1:17" x14ac:dyDescent="0.2">
      <c r="A6161" s="1">
        <v>8831</v>
      </c>
      <c r="B6161" s="2">
        <v>44909</v>
      </c>
      <c r="C6161" s="7">
        <f>_xlfn.FLOOR.MATH(Table1[[#This Row],[year]],10)</f>
        <v>2020</v>
      </c>
      <c r="D6161" t="s">
        <v>20</v>
      </c>
      <c r="E6161" t="s">
        <v>24</v>
      </c>
      <c r="F6161">
        <v>2</v>
      </c>
      <c r="G6161">
        <v>0</v>
      </c>
      <c r="H6161" t="s">
        <v>74</v>
      </c>
      <c r="I6161" t="s">
        <v>189</v>
      </c>
      <c r="J6161" t="s">
        <v>68</v>
      </c>
      <c r="K6161" t="b">
        <v>1</v>
      </c>
      <c r="L6161">
        <v>2022</v>
      </c>
      <c r="M6161">
        <v>2794788137066</v>
      </c>
      <c r="N6161">
        <v>131245312804</v>
      </c>
      <c r="O6161" t="b">
        <v>1</v>
      </c>
      <c r="P6161">
        <v>1</v>
      </c>
      <c r="Q6161" t="str" cm="1">
        <f t="array" ref="Q6161">_xlfn.IFS(Table1[[#This Row],[Wealthier_Winner]]=-1,"Wealthier Nation Loses",Table1[[#This Row],[Wealthier_Winner]]=0,"Tie",Table1[[#This Row],[Wealthier_Winner]]=1,"Wealthier Nation Wins")</f>
        <v>Wealthier Nation Wins</v>
      </c>
    </row>
    <row r="6162" spans="1:17" x14ac:dyDescent="0.2">
      <c r="A6162" s="1">
        <v>8832</v>
      </c>
      <c r="B6162" s="2">
        <v>44912</v>
      </c>
      <c r="C6162" s="7">
        <f>_xlfn.FLOOR.MATH(Table1[[#This Row],[year]],10)</f>
        <v>2020</v>
      </c>
      <c r="D6162" t="s">
        <v>52</v>
      </c>
      <c r="E6162" t="s">
        <v>24</v>
      </c>
      <c r="F6162">
        <v>2</v>
      </c>
      <c r="G6162">
        <v>1</v>
      </c>
      <c r="H6162" t="s">
        <v>74</v>
      </c>
      <c r="I6162" t="s">
        <v>192</v>
      </c>
      <c r="J6162" t="s">
        <v>68</v>
      </c>
      <c r="K6162" t="b">
        <v>1</v>
      </c>
      <c r="L6162">
        <v>2022</v>
      </c>
      <c r="M6162">
        <v>71196498671</v>
      </c>
      <c r="N6162">
        <v>131245312804</v>
      </c>
      <c r="O6162" t="b">
        <v>0</v>
      </c>
      <c r="P6162">
        <v>-1</v>
      </c>
      <c r="Q6162" t="str" cm="1">
        <f t="array" ref="Q6162">_xlfn.IFS(Table1[[#This Row],[Wealthier_Winner]]=-1,"Wealthier Nation Loses",Table1[[#This Row],[Wealthier_Winner]]=0,"Tie",Table1[[#This Row],[Wealthier_Winner]]=1,"Wealthier Nation Wins")</f>
        <v>Wealthier Nation Loses</v>
      </c>
    </row>
    <row r="6163" spans="1:17" x14ac:dyDescent="0.2">
      <c r="A6163" s="1">
        <v>8833</v>
      </c>
      <c r="B6163" s="2">
        <v>44913</v>
      </c>
      <c r="C6163" s="7">
        <f>_xlfn.FLOOR.MATH(Table1[[#This Row],[year]],10)</f>
        <v>2020</v>
      </c>
      <c r="D6163" t="s">
        <v>19</v>
      </c>
      <c r="E6163" t="s">
        <v>20</v>
      </c>
      <c r="F6163">
        <v>3</v>
      </c>
      <c r="G6163">
        <v>3</v>
      </c>
      <c r="H6163" t="s">
        <v>74</v>
      </c>
      <c r="I6163" t="s">
        <v>191</v>
      </c>
      <c r="J6163" t="s">
        <v>68</v>
      </c>
      <c r="K6163" t="b">
        <v>1</v>
      </c>
      <c r="L6163">
        <v>2022</v>
      </c>
      <c r="M6163">
        <v>633993756301</v>
      </c>
      <c r="N6163">
        <v>2794788137066</v>
      </c>
      <c r="O6163" t="b">
        <v>1</v>
      </c>
      <c r="P6163">
        <v>0</v>
      </c>
      <c r="Q6163" t="str" cm="1">
        <f t="array" ref="Q6163">_xlfn.IFS(Table1[[#This Row],[Wealthier_Winner]]=-1,"Wealthier Nation Loses",Table1[[#This Row],[Wealthier_Winner]]=0,"Tie",Table1[[#This Row],[Wealthier_Winner]]=1,"Wealthier Nation Wins")</f>
        <v>Tie</v>
      </c>
    </row>
    <row r="6164" spans="1:17" x14ac:dyDescent="0.2">
      <c r="A6164" s="1">
        <v>8834</v>
      </c>
      <c r="B6164" s="2">
        <v>45176</v>
      </c>
      <c r="C6164" s="7">
        <f>_xlfn.FLOOR.MATH(Table1[[#This Row],[year]],10)</f>
        <v>2020</v>
      </c>
      <c r="D6164" t="s">
        <v>15</v>
      </c>
      <c r="E6164" t="s">
        <v>258</v>
      </c>
      <c r="F6164">
        <v>1</v>
      </c>
      <c r="G6164">
        <v>0</v>
      </c>
      <c r="H6164" t="s">
        <v>224</v>
      </c>
      <c r="I6164" t="s">
        <v>261</v>
      </c>
      <c r="J6164" t="s">
        <v>15</v>
      </c>
      <c r="K6164" t="b">
        <v>0</v>
      </c>
      <c r="L6164">
        <v>2023</v>
      </c>
      <c r="M6164">
        <v>366291836137</v>
      </c>
      <c r="N6164">
        <v>102376526555</v>
      </c>
      <c r="O6164" t="b">
        <v>1</v>
      </c>
      <c r="P6164">
        <v>1</v>
      </c>
      <c r="Q6164" t="str" cm="1">
        <f t="array" ref="Q6164">_xlfn.IFS(Table1[[#This Row],[Wealthier_Winner]]=-1,"Wealthier Nation Loses",Table1[[#This Row],[Wealthier_Winner]]=0,"Tie",Table1[[#This Row],[Wealthier_Winner]]=1,"Wealthier Nation Wins")</f>
        <v>Wealthier Nation Wins</v>
      </c>
    </row>
    <row r="6165" spans="1:17" x14ac:dyDescent="0.2">
      <c r="A6165" s="1">
        <v>8835</v>
      </c>
      <c r="B6165" s="2">
        <v>45176</v>
      </c>
      <c r="C6165" s="7">
        <f>_xlfn.FLOOR.MATH(Table1[[#This Row],[year]],10)</f>
        <v>2020</v>
      </c>
      <c r="D6165" t="s">
        <v>35</v>
      </c>
      <c r="E6165" t="s">
        <v>31</v>
      </c>
      <c r="F6165">
        <v>0</v>
      </c>
      <c r="G6165">
        <v>0</v>
      </c>
      <c r="H6165" t="s">
        <v>224</v>
      </c>
      <c r="I6165" t="s">
        <v>870</v>
      </c>
      <c r="J6165" t="s">
        <v>35</v>
      </c>
      <c r="K6165" t="b">
        <v>0</v>
      </c>
      <c r="L6165">
        <v>2023</v>
      </c>
      <c r="M6165">
        <v>43118053174</v>
      </c>
      <c r="N6165">
        <v>266958720837</v>
      </c>
      <c r="O6165" t="b">
        <v>1</v>
      </c>
      <c r="P6165">
        <v>0</v>
      </c>
      <c r="Q6165" t="str" cm="1">
        <f t="array" ref="Q6165">_xlfn.IFS(Table1[[#This Row],[Wealthier_Winner]]=-1,"Wealthier Nation Loses",Table1[[#This Row],[Wealthier_Winner]]=0,"Tie",Table1[[#This Row],[Wealthier_Winner]]=1,"Wealthier Nation Wins")</f>
        <v>Tie</v>
      </c>
    </row>
    <row r="6166" spans="1:17" x14ac:dyDescent="0.2">
      <c r="A6166" s="1">
        <v>8836</v>
      </c>
      <c r="B6166" s="2">
        <v>45176</v>
      </c>
      <c r="C6166" s="7">
        <f>_xlfn.FLOOR.MATH(Table1[[#This Row],[year]],10)</f>
        <v>2020</v>
      </c>
      <c r="D6166" t="s">
        <v>19</v>
      </c>
      <c r="E6166" t="s">
        <v>57</v>
      </c>
      <c r="F6166">
        <v>1</v>
      </c>
      <c r="G6166">
        <v>0</v>
      </c>
      <c r="H6166" t="s">
        <v>224</v>
      </c>
      <c r="I6166" t="s">
        <v>93</v>
      </c>
      <c r="J6166" t="s">
        <v>19</v>
      </c>
      <c r="K6166" t="b">
        <v>0</v>
      </c>
      <c r="L6166">
        <v>2023</v>
      </c>
      <c r="M6166">
        <v>649461687959</v>
      </c>
      <c r="N6166">
        <v>121147057000</v>
      </c>
      <c r="O6166" t="b">
        <v>1</v>
      </c>
      <c r="P6166">
        <v>1</v>
      </c>
      <c r="Q6166" t="str" cm="1">
        <f t="array" ref="Q6166">_xlfn.IFS(Table1[[#This Row],[Wealthier_Winner]]=-1,"Wealthier Nation Loses",Table1[[#This Row],[Wealthier_Winner]]=0,"Tie",Table1[[#This Row],[Wealthier_Winner]]=1,"Wealthier Nation Wins")</f>
        <v>Wealthier Nation Wins</v>
      </c>
    </row>
    <row r="6167" spans="1:17" x14ac:dyDescent="0.2">
      <c r="A6167" s="1">
        <v>8837</v>
      </c>
      <c r="B6167" s="2">
        <v>45177</v>
      </c>
      <c r="C6167" s="7">
        <f>_xlfn.FLOOR.MATH(Table1[[#This Row],[year]],10)</f>
        <v>2020</v>
      </c>
      <c r="D6167" t="s">
        <v>26</v>
      </c>
      <c r="E6167" t="s">
        <v>14</v>
      </c>
      <c r="F6167">
        <v>3</v>
      </c>
      <c r="G6167">
        <v>1</v>
      </c>
      <c r="H6167" t="s">
        <v>224</v>
      </c>
      <c r="I6167" t="s">
        <v>247</v>
      </c>
      <c r="J6167" t="s">
        <v>26</v>
      </c>
      <c r="K6167" t="b">
        <v>0</v>
      </c>
      <c r="L6167">
        <v>2023</v>
      </c>
      <c r="M6167">
        <v>77991666837</v>
      </c>
      <c r="N6167">
        <v>335518054097</v>
      </c>
      <c r="O6167" t="b">
        <v>1</v>
      </c>
      <c r="P6167">
        <v>-1</v>
      </c>
      <c r="Q6167" t="str" cm="1">
        <f t="array" ref="Q6167">_xlfn.IFS(Table1[[#This Row],[Wealthier_Winner]]=-1,"Wealthier Nation Loses",Table1[[#This Row],[Wealthier_Winner]]=0,"Tie",Table1[[#This Row],[Wealthier_Winner]]=1,"Wealthier Nation Wins")</f>
        <v>Wealthier Nation Loses</v>
      </c>
    </row>
    <row r="6168" spans="1:17" x14ac:dyDescent="0.2">
      <c r="A6168" s="1">
        <v>8838</v>
      </c>
      <c r="B6168" s="2">
        <v>45177</v>
      </c>
      <c r="C6168" s="7">
        <f>_xlfn.FLOOR.MATH(Table1[[#This Row],[year]],10)</f>
        <v>2020</v>
      </c>
      <c r="D6168" t="s">
        <v>13</v>
      </c>
      <c r="E6168" t="s">
        <v>47</v>
      </c>
      <c r="F6168">
        <v>5</v>
      </c>
      <c r="G6168">
        <v>1</v>
      </c>
      <c r="H6168" t="s">
        <v>224</v>
      </c>
      <c r="I6168" t="s">
        <v>684</v>
      </c>
      <c r="J6168" t="s">
        <v>13</v>
      </c>
      <c r="K6168" t="b">
        <v>0</v>
      </c>
      <c r="L6168">
        <v>2023</v>
      </c>
      <c r="M6168">
        <v>2191131869706</v>
      </c>
      <c r="N6168">
        <v>52340206946</v>
      </c>
      <c r="O6168" t="b">
        <v>1</v>
      </c>
      <c r="P6168">
        <v>1</v>
      </c>
      <c r="Q6168" t="str" cm="1">
        <f t="array" ref="Q6168">_xlfn.IFS(Table1[[#This Row],[Wealthier_Winner]]=-1,"Wealthier Nation Loses",Table1[[#This Row],[Wealthier_Winner]]=0,"Tie",Table1[[#This Row],[Wealthier_Winner]]=1,"Wealthier Nation Wins")</f>
        <v>Wealthier Nation Wins</v>
      </c>
    </row>
    <row r="6169" spans="1:17" x14ac:dyDescent="0.2">
      <c r="A6169" s="1">
        <v>8839</v>
      </c>
      <c r="B6169" s="2">
        <v>45181</v>
      </c>
      <c r="C6169" s="7">
        <f>_xlfn.FLOOR.MATH(Table1[[#This Row],[year]],10)</f>
        <v>2020</v>
      </c>
      <c r="D6169" t="s">
        <v>47</v>
      </c>
      <c r="E6169" t="s">
        <v>19</v>
      </c>
      <c r="F6169">
        <v>0</v>
      </c>
      <c r="G6169">
        <v>3</v>
      </c>
      <c r="H6169" t="s">
        <v>224</v>
      </c>
      <c r="I6169" t="s">
        <v>246</v>
      </c>
      <c r="J6169" t="s">
        <v>47</v>
      </c>
      <c r="K6169" t="b">
        <v>0</v>
      </c>
      <c r="L6169">
        <v>2023</v>
      </c>
      <c r="M6169">
        <v>52340206946</v>
      </c>
      <c r="N6169">
        <v>649461687959</v>
      </c>
      <c r="O6169" t="b">
        <v>1</v>
      </c>
      <c r="P6169">
        <v>1</v>
      </c>
      <c r="Q6169" t="str" cm="1">
        <f t="array" ref="Q6169">_xlfn.IFS(Table1[[#This Row],[Wealthier_Winner]]=-1,"Wealthier Nation Loses",Table1[[#This Row],[Wealthier_Winner]]=0,"Tie",Table1[[#This Row],[Wealthier_Winner]]=1,"Wealthier Nation Wins")</f>
        <v>Wealthier Nation Wins</v>
      </c>
    </row>
    <row r="6170" spans="1:17" x14ac:dyDescent="0.2">
      <c r="A6170" s="1">
        <v>8840</v>
      </c>
      <c r="B6170" s="2">
        <v>45181</v>
      </c>
      <c r="C6170" s="7">
        <f>_xlfn.FLOOR.MATH(Table1[[#This Row],[year]],10)</f>
        <v>2020</v>
      </c>
      <c r="D6170" t="s">
        <v>57</v>
      </c>
      <c r="E6170" t="s">
        <v>26</v>
      </c>
      <c r="F6170">
        <v>2</v>
      </c>
      <c r="G6170">
        <v>1</v>
      </c>
      <c r="H6170" t="s">
        <v>224</v>
      </c>
      <c r="I6170" t="s">
        <v>335</v>
      </c>
      <c r="J6170" t="s">
        <v>57</v>
      </c>
      <c r="K6170" t="b">
        <v>0</v>
      </c>
      <c r="L6170">
        <v>2023</v>
      </c>
      <c r="M6170">
        <v>121147057000</v>
      </c>
      <c r="N6170">
        <v>77991666837</v>
      </c>
      <c r="O6170" t="b">
        <v>0</v>
      </c>
      <c r="P6170">
        <v>1</v>
      </c>
      <c r="Q6170" t="str" cm="1">
        <f t="array" ref="Q6170">_xlfn.IFS(Table1[[#This Row],[Wealthier_Winner]]=-1,"Wealthier Nation Loses",Table1[[#This Row],[Wealthier_Winner]]=0,"Tie",Table1[[#This Row],[Wealthier_Winner]]=1,"Wealthier Nation Wins")</f>
        <v>Wealthier Nation Wins</v>
      </c>
    </row>
    <row r="6171" spans="1:17" x14ac:dyDescent="0.2">
      <c r="A6171" s="1">
        <v>8841</v>
      </c>
      <c r="B6171" s="2">
        <v>45181</v>
      </c>
      <c r="C6171" s="7">
        <f>_xlfn.FLOOR.MATH(Table1[[#This Row],[year]],10)</f>
        <v>2020</v>
      </c>
      <c r="D6171" t="s">
        <v>258</v>
      </c>
      <c r="E6171" t="s">
        <v>35</v>
      </c>
      <c r="F6171">
        <v>1</v>
      </c>
      <c r="G6171">
        <v>0</v>
      </c>
      <c r="H6171" t="s">
        <v>224</v>
      </c>
      <c r="I6171" t="s">
        <v>811</v>
      </c>
      <c r="J6171" t="s">
        <v>258</v>
      </c>
      <c r="K6171" t="b">
        <v>0</v>
      </c>
      <c r="L6171">
        <v>2023</v>
      </c>
      <c r="M6171">
        <v>102376526555</v>
      </c>
      <c r="N6171">
        <v>43118053174</v>
      </c>
      <c r="O6171" t="b">
        <v>1</v>
      </c>
      <c r="P6171">
        <v>1</v>
      </c>
      <c r="Q6171" t="str" cm="1">
        <f t="array" ref="Q6171">_xlfn.IFS(Table1[[#This Row],[Wealthier_Winner]]=-1,"Wealthier Nation Loses",Table1[[#This Row],[Wealthier_Winner]]=0,"Tie",Table1[[#This Row],[Wealthier_Winner]]=1,"Wealthier Nation Wins")</f>
        <v>Wealthier Nation Wins</v>
      </c>
    </row>
    <row r="6172" spans="1:17" x14ac:dyDescent="0.2">
      <c r="A6172" s="1">
        <v>8842</v>
      </c>
      <c r="B6172" s="2">
        <v>45181</v>
      </c>
      <c r="C6172" s="7">
        <f>_xlfn.FLOOR.MATH(Table1[[#This Row],[year]],10)</f>
        <v>2020</v>
      </c>
      <c r="D6172" t="s">
        <v>31</v>
      </c>
      <c r="E6172" t="s">
        <v>13</v>
      </c>
      <c r="F6172">
        <v>0</v>
      </c>
      <c r="G6172">
        <v>1</v>
      </c>
      <c r="H6172" t="s">
        <v>224</v>
      </c>
      <c r="I6172" t="s">
        <v>242</v>
      </c>
      <c r="J6172" t="s">
        <v>31</v>
      </c>
      <c r="K6172" t="b">
        <v>0</v>
      </c>
      <c r="L6172">
        <v>2023</v>
      </c>
      <c r="M6172">
        <v>266958720837</v>
      </c>
      <c r="N6172">
        <v>2191131869706</v>
      </c>
      <c r="O6172" t="b">
        <v>1</v>
      </c>
      <c r="P6172">
        <v>1</v>
      </c>
      <c r="Q6172" t="str" cm="1">
        <f t="array" ref="Q6172">_xlfn.IFS(Table1[[#This Row],[Wealthier_Winner]]=-1,"Wealthier Nation Loses",Table1[[#This Row],[Wealthier_Winner]]=0,"Tie",Table1[[#This Row],[Wealthier_Winner]]=1,"Wealthier Nation Wins")</f>
        <v>Wealthier Nation Wins</v>
      </c>
    </row>
    <row r="6173" spans="1:17" x14ac:dyDescent="0.2">
      <c r="A6173" s="1">
        <v>8843</v>
      </c>
      <c r="B6173" s="2">
        <v>45181</v>
      </c>
      <c r="C6173" s="7">
        <f>_xlfn.FLOOR.MATH(Table1[[#This Row],[year]],10)</f>
        <v>2020</v>
      </c>
      <c r="D6173" t="s">
        <v>14</v>
      </c>
      <c r="E6173" t="s">
        <v>15</v>
      </c>
      <c r="F6173">
        <v>0</v>
      </c>
      <c r="G6173">
        <v>0</v>
      </c>
      <c r="H6173" t="s">
        <v>224</v>
      </c>
      <c r="I6173" t="s">
        <v>75</v>
      </c>
      <c r="J6173" t="s">
        <v>14</v>
      </c>
      <c r="K6173" t="b">
        <v>0</v>
      </c>
      <c r="L6173">
        <v>2023</v>
      </c>
      <c r="M6173">
        <v>335518054097</v>
      </c>
      <c r="N6173">
        <v>366291836137</v>
      </c>
      <c r="O6173" t="b">
        <v>0</v>
      </c>
      <c r="P6173">
        <v>0</v>
      </c>
      <c r="Q6173" t="str" cm="1">
        <f t="array" ref="Q6173">_xlfn.IFS(Table1[[#This Row],[Wealthier_Winner]]=-1,"Wealthier Nation Loses",Table1[[#This Row],[Wealthier_Winner]]=0,"Tie",Table1[[#This Row],[Wealthier_Winner]]=1,"Wealthier Nation Wins")</f>
        <v>Tie</v>
      </c>
    </row>
    <row r="6174" spans="1:17" x14ac:dyDescent="0.2">
      <c r="A6174" s="1">
        <v>8844</v>
      </c>
      <c r="B6174" s="2">
        <v>45211</v>
      </c>
      <c r="C6174" s="7">
        <f>_xlfn.FLOOR.MATH(Table1[[#This Row],[year]],10)</f>
        <v>2020</v>
      </c>
      <c r="D6174" t="s">
        <v>15</v>
      </c>
      <c r="E6174" t="s">
        <v>26</v>
      </c>
      <c r="F6174">
        <v>2</v>
      </c>
      <c r="G6174">
        <v>2</v>
      </c>
      <c r="H6174" t="s">
        <v>224</v>
      </c>
      <c r="I6174" t="s">
        <v>261</v>
      </c>
      <c r="J6174" t="s">
        <v>15</v>
      </c>
      <c r="K6174" t="b">
        <v>0</v>
      </c>
      <c r="L6174">
        <v>2023</v>
      </c>
      <c r="M6174">
        <v>366291836137</v>
      </c>
      <c r="N6174">
        <v>77991666837</v>
      </c>
      <c r="O6174" t="b">
        <v>1</v>
      </c>
      <c r="P6174">
        <v>0</v>
      </c>
      <c r="Q6174" t="str" cm="1">
        <f t="array" ref="Q6174">_xlfn.IFS(Table1[[#This Row],[Wealthier_Winner]]=-1,"Wealthier Nation Loses",Table1[[#This Row],[Wealthier_Winner]]=0,"Tie",Table1[[#This Row],[Wealthier_Winner]]=1,"Wealthier Nation Wins")</f>
        <v>Tie</v>
      </c>
    </row>
    <row r="6175" spans="1:17" x14ac:dyDescent="0.2">
      <c r="A6175" s="1">
        <v>8845</v>
      </c>
      <c r="B6175" s="2">
        <v>45211</v>
      </c>
      <c r="C6175" s="7">
        <f>_xlfn.FLOOR.MATH(Table1[[#This Row],[year]],10)</f>
        <v>2020</v>
      </c>
      <c r="D6175" t="s">
        <v>47</v>
      </c>
      <c r="E6175" t="s">
        <v>57</v>
      </c>
      <c r="F6175">
        <v>1</v>
      </c>
      <c r="G6175">
        <v>2</v>
      </c>
      <c r="H6175" t="s">
        <v>224</v>
      </c>
      <c r="I6175" t="s">
        <v>246</v>
      </c>
      <c r="J6175" t="s">
        <v>47</v>
      </c>
      <c r="K6175" t="b">
        <v>0</v>
      </c>
      <c r="L6175">
        <v>2023</v>
      </c>
      <c r="M6175">
        <v>52340206946</v>
      </c>
      <c r="N6175">
        <v>121147057000</v>
      </c>
      <c r="O6175" t="b">
        <v>1</v>
      </c>
      <c r="P6175">
        <v>1</v>
      </c>
      <c r="Q6175" t="str" cm="1">
        <f t="array" ref="Q6175">_xlfn.IFS(Table1[[#This Row],[Wealthier_Winner]]=-1,"Wealthier Nation Loses",Table1[[#This Row],[Wealthier_Winner]]=0,"Tie",Table1[[#This Row],[Wealthier_Winner]]=1,"Wealthier Nation Wins")</f>
        <v>Wealthier Nation Wins</v>
      </c>
    </row>
    <row r="6176" spans="1:17" x14ac:dyDescent="0.2">
      <c r="A6176" s="1">
        <v>8846</v>
      </c>
      <c r="B6176" s="2">
        <v>45211</v>
      </c>
      <c r="C6176" s="7">
        <f>_xlfn.FLOOR.MATH(Table1[[#This Row],[year]],10)</f>
        <v>2020</v>
      </c>
      <c r="D6176" t="s">
        <v>19</v>
      </c>
      <c r="E6176" t="s">
        <v>35</v>
      </c>
      <c r="F6176">
        <v>1</v>
      </c>
      <c r="G6176">
        <v>0</v>
      </c>
      <c r="H6176" t="s">
        <v>224</v>
      </c>
      <c r="I6176" t="s">
        <v>93</v>
      </c>
      <c r="J6176" t="s">
        <v>19</v>
      </c>
      <c r="K6176" t="b">
        <v>0</v>
      </c>
      <c r="L6176">
        <v>2023</v>
      </c>
      <c r="M6176">
        <v>649461687959</v>
      </c>
      <c r="N6176">
        <v>43118053174</v>
      </c>
      <c r="O6176" t="b">
        <v>1</v>
      </c>
      <c r="P6176">
        <v>1</v>
      </c>
      <c r="Q6176" t="str" cm="1">
        <f t="array" ref="Q6176">_xlfn.IFS(Table1[[#This Row],[Wealthier_Winner]]=-1,"Wealthier Nation Loses",Table1[[#This Row],[Wealthier_Winner]]=0,"Tie",Table1[[#This Row],[Wealthier_Winner]]=1,"Wealthier Nation Wins")</f>
        <v>Wealthier Nation Wins</v>
      </c>
    </row>
    <row r="6177" spans="1:17" x14ac:dyDescent="0.2">
      <c r="A6177" s="1">
        <v>8847</v>
      </c>
      <c r="B6177" s="2">
        <v>45211</v>
      </c>
      <c r="C6177" s="7">
        <f>_xlfn.FLOOR.MATH(Table1[[#This Row],[year]],10)</f>
        <v>2020</v>
      </c>
      <c r="D6177" t="s">
        <v>13</v>
      </c>
      <c r="E6177" t="s">
        <v>258</v>
      </c>
      <c r="F6177">
        <v>1</v>
      </c>
      <c r="G6177">
        <v>1</v>
      </c>
      <c r="H6177" t="s">
        <v>224</v>
      </c>
      <c r="I6177" t="s">
        <v>774</v>
      </c>
      <c r="J6177" t="s">
        <v>13</v>
      </c>
      <c r="K6177" t="b">
        <v>0</v>
      </c>
      <c r="L6177">
        <v>2023</v>
      </c>
      <c r="M6177">
        <v>2191131869706</v>
      </c>
      <c r="N6177">
        <v>102376526555</v>
      </c>
      <c r="O6177" t="b">
        <v>1</v>
      </c>
      <c r="P6177">
        <v>0</v>
      </c>
      <c r="Q6177" t="str" cm="1">
        <f t="array" ref="Q6177">_xlfn.IFS(Table1[[#This Row],[Wealthier_Winner]]=-1,"Wealthier Nation Loses",Table1[[#This Row],[Wealthier_Winner]]=0,"Tie",Table1[[#This Row],[Wealthier_Winner]]=1,"Wealthier Nation Wins")</f>
        <v>Tie</v>
      </c>
    </row>
    <row r="6178" spans="1:17" x14ac:dyDescent="0.2">
      <c r="A6178" s="1">
        <v>8848</v>
      </c>
      <c r="B6178" s="2">
        <v>45211</v>
      </c>
      <c r="C6178" s="7">
        <f>_xlfn.FLOOR.MATH(Table1[[#This Row],[year]],10)</f>
        <v>2020</v>
      </c>
      <c r="D6178" t="s">
        <v>14</v>
      </c>
      <c r="E6178" t="s">
        <v>31</v>
      </c>
      <c r="F6178">
        <v>2</v>
      </c>
      <c r="G6178">
        <v>0</v>
      </c>
      <c r="H6178" t="s">
        <v>224</v>
      </c>
      <c r="I6178" t="s">
        <v>75</v>
      </c>
      <c r="J6178" t="s">
        <v>14</v>
      </c>
      <c r="K6178" t="b">
        <v>0</v>
      </c>
      <c r="L6178">
        <v>2023</v>
      </c>
      <c r="M6178">
        <v>335518054097</v>
      </c>
      <c r="N6178">
        <v>266958720837</v>
      </c>
      <c r="O6178" t="b">
        <v>0</v>
      </c>
      <c r="P6178">
        <v>1</v>
      </c>
      <c r="Q6178" t="str" cm="1">
        <f t="array" ref="Q6178">_xlfn.IFS(Table1[[#This Row],[Wealthier_Winner]]=-1,"Wealthier Nation Loses",Table1[[#This Row],[Wealthier_Winner]]=0,"Tie",Table1[[#This Row],[Wealthier_Winner]]=1,"Wealthier Nation Wins")</f>
        <v>Wealthier Nation Wins</v>
      </c>
    </row>
    <row r="6179" spans="1:17" x14ac:dyDescent="0.2">
      <c r="A6179" s="1">
        <v>8849</v>
      </c>
      <c r="B6179" s="2">
        <v>45211</v>
      </c>
      <c r="C6179" s="7">
        <f>_xlfn.FLOOR.MATH(Table1[[#This Row],[year]],10)</f>
        <v>2020</v>
      </c>
      <c r="D6179" t="s">
        <v>641</v>
      </c>
      <c r="E6179" t="s">
        <v>611</v>
      </c>
      <c r="F6179">
        <v>1</v>
      </c>
      <c r="G6179">
        <v>0</v>
      </c>
      <c r="H6179" t="s">
        <v>224</v>
      </c>
      <c r="I6179" t="s">
        <v>557</v>
      </c>
      <c r="J6179" t="s">
        <v>556</v>
      </c>
      <c r="K6179" t="b">
        <v>1</v>
      </c>
      <c r="L6179">
        <v>2023</v>
      </c>
      <c r="M6179">
        <v>17152234636</v>
      </c>
      <c r="N6179">
        <v>20325121393</v>
      </c>
      <c r="O6179" t="b">
        <v>0</v>
      </c>
      <c r="P6179">
        <v>-1</v>
      </c>
      <c r="Q6179" t="str" cm="1">
        <f t="array" ref="Q6179">_xlfn.IFS(Table1[[#This Row],[Wealthier_Winner]]=-1,"Wealthier Nation Loses",Table1[[#This Row],[Wealthier_Winner]]=0,"Tie",Table1[[#This Row],[Wealthier_Winner]]=1,"Wealthier Nation Wins")</f>
        <v>Wealthier Nation Loses</v>
      </c>
    </row>
    <row r="6180" spans="1:17" x14ac:dyDescent="0.2">
      <c r="A6180" s="1">
        <v>8850</v>
      </c>
      <c r="B6180" s="2">
        <v>45211</v>
      </c>
      <c r="C6180" s="7">
        <f>_xlfn.FLOOR.MATH(Table1[[#This Row],[year]],10)</f>
        <v>2020</v>
      </c>
      <c r="D6180" t="s">
        <v>551</v>
      </c>
      <c r="E6180" t="s">
        <v>431</v>
      </c>
      <c r="F6180">
        <v>0</v>
      </c>
      <c r="G6180">
        <v>0</v>
      </c>
      <c r="H6180" t="s">
        <v>224</v>
      </c>
      <c r="I6180" t="s">
        <v>553</v>
      </c>
      <c r="J6180" t="s">
        <v>551</v>
      </c>
      <c r="K6180" t="b">
        <v>0</v>
      </c>
      <c r="L6180">
        <v>2023</v>
      </c>
      <c r="M6180">
        <v>42335646895</v>
      </c>
      <c r="N6180">
        <v>336686348609</v>
      </c>
      <c r="O6180" t="b">
        <v>1</v>
      </c>
      <c r="P6180">
        <v>0</v>
      </c>
      <c r="Q6180" t="str" cm="1">
        <f t="array" ref="Q6180">_xlfn.IFS(Table1[[#This Row],[Wealthier_Winner]]=-1,"Wealthier Nation Loses",Table1[[#This Row],[Wealthier_Winner]]=0,"Tie",Table1[[#This Row],[Wealthier_Winner]]=1,"Wealthier Nation Wins")</f>
        <v>Tie</v>
      </c>
    </row>
    <row r="6181" spans="1:17" x14ac:dyDescent="0.2">
      <c r="A6181" s="1">
        <v>8854</v>
      </c>
      <c r="B6181" s="2">
        <v>45211</v>
      </c>
      <c r="C6181" s="7">
        <f>_xlfn.FLOOR.MATH(Table1[[#This Row],[year]],10)</f>
        <v>2020</v>
      </c>
      <c r="D6181" t="s">
        <v>567</v>
      </c>
      <c r="E6181" t="s">
        <v>405</v>
      </c>
      <c r="F6181">
        <v>1</v>
      </c>
      <c r="G6181">
        <v>1</v>
      </c>
      <c r="H6181" t="s">
        <v>224</v>
      </c>
      <c r="I6181" t="s">
        <v>620</v>
      </c>
      <c r="J6181" t="s">
        <v>567</v>
      </c>
      <c r="K6181" t="b">
        <v>0</v>
      </c>
      <c r="L6181">
        <v>2023</v>
      </c>
      <c r="M6181">
        <v>6621008703</v>
      </c>
      <c r="N6181">
        <v>437415333018</v>
      </c>
      <c r="O6181" t="b">
        <v>1</v>
      </c>
      <c r="P6181">
        <v>0</v>
      </c>
      <c r="Q6181" t="str" cm="1">
        <f t="array" ref="Q6181">_xlfn.IFS(Table1[[#This Row],[Wealthier_Winner]]=-1,"Wealthier Nation Loses",Table1[[#This Row],[Wealthier_Winner]]=0,"Tie",Table1[[#This Row],[Wealthier_Winner]]=1,"Wealthier Nation Wins")</f>
        <v>Tie</v>
      </c>
    </row>
    <row r="6182" spans="1:17" x14ac:dyDescent="0.2">
      <c r="A6182" s="1">
        <v>8859</v>
      </c>
      <c r="B6182" s="2">
        <v>45216</v>
      </c>
      <c r="C6182" s="7">
        <f>_xlfn.FLOOR.MATH(Table1[[#This Row],[year]],10)</f>
        <v>2020</v>
      </c>
      <c r="D6182" t="s">
        <v>258</v>
      </c>
      <c r="E6182" t="s">
        <v>14</v>
      </c>
      <c r="F6182">
        <v>3</v>
      </c>
      <c r="G6182">
        <v>0</v>
      </c>
      <c r="H6182" t="s">
        <v>224</v>
      </c>
      <c r="I6182" t="s">
        <v>811</v>
      </c>
      <c r="J6182" t="s">
        <v>258</v>
      </c>
      <c r="K6182" t="b">
        <v>0</v>
      </c>
      <c r="L6182">
        <v>2023</v>
      </c>
      <c r="M6182">
        <v>102376526555</v>
      </c>
      <c r="N6182">
        <v>335518054097</v>
      </c>
      <c r="O6182" t="b">
        <v>1</v>
      </c>
      <c r="P6182">
        <v>-1</v>
      </c>
      <c r="Q6182" t="str" cm="1">
        <f t="array" ref="Q6182">_xlfn.IFS(Table1[[#This Row],[Wealthier_Winner]]=-1,"Wealthier Nation Loses",Table1[[#This Row],[Wealthier_Winner]]=0,"Tie",Table1[[#This Row],[Wealthier_Winner]]=1,"Wealthier Nation Wins")</f>
        <v>Wealthier Nation Loses</v>
      </c>
    </row>
    <row r="6183" spans="1:17" x14ac:dyDescent="0.2">
      <c r="A6183" s="1">
        <v>8860</v>
      </c>
      <c r="B6183" s="2">
        <v>45216</v>
      </c>
      <c r="C6183" s="7">
        <f>_xlfn.FLOOR.MATH(Table1[[#This Row],[year]],10)</f>
        <v>2020</v>
      </c>
      <c r="D6183" t="s">
        <v>57</v>
      </c>
      <c r="E6183" t="s">
        <v>15</v>
      </c>
      <c r="F6183">
        <v>0</v>
      </c>
      <c r="G6183">
        <v>0</v>
      </c>
      <c r="H6183" t="s">
        <v>224</v>
      </c>
      <c r="I6183" t="s">
        <v>335</v>
      </c>
      <c r="J6183" t="s">
        <v>57</v>
      </c>
      <c r="K6183" t="b">
        <v>0</v>
      </c>
      <c r="L6183">
        <v>2023</v>
      </c>
      <c r="M6183">
        <v>121147057000</v>
      </c>
      <c r="N6183">
        <v>366291836137</v>
      </c>
      <c r="O6183" t="b">
        <v>1</v>
      </c>
      <c r="P6183">
        <v>0</v>
      </c>
      <c r="Q6183" t="str" cm="1">
        <f t="array" ref="Q6183">_xlfn.IFS(Table1[[#This Row],[Wealthier_Winner]]=-1,"Wealthier Nation Loses",Table1[[#This Row],[Wealthier_Winner]]=0,"Tie",Table1[[#This Row],[Wealthier_Winner]]=1,"Wealthier Nation Wins")</f>
        <v>Tie</v>
      </c>
    </row>
    <row r="6184" spans="1:17" x14ac:dyDescent="0.2">
      <c r="A6184" s="1">
        <v>8861</v>
      </c>
      <c r="B6184" s="2">
        <v>45216</v>
      </c>
      <c r="C6184" s="7">
        <f>_xlfn.FLOOR.MATH(Table1[[#This Row],[year]],10)</f>
        <v>2020</v>
      </c>
      <c r="D6184" t="s">
        <v>35</v>
      </c>
      <c r="E6184" t="s">
        <v>47</v>
      </c>
      <c r="F6184">
        <v>1</v>
      </c>
      <c r="G6184">
        <v>0</v>
      </c>
      <c r="H6184" t="s">
        <v>224</v>
      </c>
      <c r="I6184" t="s">
        <v>250</v>
      </c>
      <c r="J6184" t="s">
        <v>35</v>
      </c>
      <c r="K6184" t="b">
        <v>0</v>
      </c>
      <c r="L6184">
        <v>2023</v>
      </c>
      <c r="M6184">
        <v>43118053174</v>
      </c>
      <c r="N6184">
        <v>52340206946</v>
      </c>
      <c r="O6184" t="b">
        <v>0</v>
      </c>
      <c r="P6184">
        <v>-1</v>
      </c>
      <c r="Q6184" t="str" cm="1">
        <f t="array" ref="Q6184">_xlfn.IFS(Table1[[#This Row],[Wealthier_Winner]]=-1,"Wealthier Nation Loses",Table1[[#This Row],[Wealthier_Winner]]=0,"Tie",Table1[[#This Row],[Wealthier_Winner]]=1,"Wealthier Nation Wins")</f>
        <v>Wealthier Nation Loses</v>
      </c>
    </row>
    <row r="6185" spans="1:17" x14ac:dyDescent="0.2">
      <c r="A6185" s="1">
        <v>8862</v>
      </c>
      <c r="B6185" s="2">
        <v>45216</v>
      </c>
      <c r="C6185" s="7">
        <f>_xlfn.FLOOR.MATH(Table1[[#This Row],[year]],10)</f>
        <v>2020</v>
      </c>
      <c r="D6185" t="s">
        <v>31</v>
      </c>
      <c r="E6185" t="s">
        <v>19</v>
      </c>
      <c r="F6185">
        <v>0</v>
      </c>
      <c r="G6185">
        <v>2</v>
      </c>
      <c r="H6185" t="s">
        <v>224</v>
      </c>
      <c r="I6185" t="s">
        <v>242</v>
      </c>
      <c r="J6185" t="s">
        <v>31</v>
      </c>
      <c r="K6185" t="b">
        <v>0</v>
      </c>
      <c r="L6185">
        <v>2023</v>
      </c>
      <c r="M6185">
        <v>266958720837</v>
      </c>
      <c r="N6185">
        <v>649461687959</v>
      </c>
      <c r="O6185" t="b">
        <v>1</v>
      </c>
      <c r="P6185">
        <v>1</v>
      </c>
      <c r="Q6185" t="str" cm="1">
        <f t="array" ref="Q6185">_xlfn.IFS(Table1[[#This Row],[Wealthier_Winner]]=-1,"Wealthier Nation Loses",Table1[[#This Row],[Wealthier_Winner]]=0,"Tie",Table1[[#This Row],[Wealthier_Winner]]=1,"Wealthier Nation Wins")</f>
        <v>Wealthier Nation Wins</v>
      </c>
    </row>
    <row r="6186" spans="1:17" x14ac:dyDescent="0.2">
      <c r="A6186" s="1">
        <v>8863</v>
      </c>
      <c r="B6186" s="2">
        <v>45216</v>
      </c>
      <c r="C6186" s="7">
        <f>_xlfn.FLOOR.MATH(Table1[[#This Row],[year]],10)</f>
        <v>2020</v>
      </c>
      <c r="D6186" t="s">
        <v>26</v>
      </c>
      <c r="E6186" t="s">
        <v>13</v>
      </c>
      <c r="F6186">
        <v>2</v>
      </c>
      <c r="G6186">
        <v>0</v>
      </c>
      <c r="H6186" t="s">
        <v>224</v>
      </c>
      <c r="I6186" t="s">
        <v>247</v>
      </c>
      <c r="J6186" t="s">
        <v>26</v>
      </c>
      <c r="K6186" t="b">
        <v>0</v>
      </c>
      <c r="L6186">
        <v>2023</v>
      </c>
      <c r="M6186">
        <v>77991666837</v>
      </c>
      <c r="N6186">
        <v>2191131869706</v>
      </c>
      <c r="O6186" t="b">
        <v>1</v>
      </c>
      <c r="P6186">
        <v>-1</v>
      </c>
      <c r="Q6186" t="str" cm="1">
        <f t="array" ref="Q6186">_xlfn.IFS(Table1[[#This Row],[Wealthier_Winner]]=-1,"Wealthier Nation Loses",Table1[[#This Row],[Wealthier_Winner]]=0,"Tie",Table1[[#This Row],[Wealthier_Winner]]=1,"Wealthier Nation Wins")</f>
        <v>Wealthier Nation Loses</v>
      </c>
    </row>
    <row r="6187" spans="1:17" x14ac:dyDescent="0.2">
      <c r="A6187" s="1">
        <v>8864</v>
      </c>
      <c r="B6187" s="2">
        <v>45216</v>
      </c>
      <c r="C6187" s="7">
        <f>_xlfn.FLOOR.MATH(Table1[[#This Row],[year]],10)</f>
        <v>2020</v>
      </c>
      <c r="D6187" t="s">
        <v>405</v>
      </c>
      <c r="E6187" t="s">
        <v>567</v>
      </c>
      <c r="F6187">
        <v>2</v>
      </c>
      <c r="G6187">
        <v>1</v>
      </c>
      <c r="H6187" t="s">
        <v>224</v>
      </c>
      <c r="I6187" t="s">
        <v>409</v>
      </c>
      <c r="J6187" t="s">
        <v>405</v>
      </c>
      <c r="K6187" t="b">
        <v>0</v>
      </c>
      <c r="L6187">
        <v>2023</v>
      </c>
      <c r="M6187">
        <v>437415333018</v>
      </c>
      <c r="N6187">
        <v>6621008703</v>
      </c>
      <c r="O6187" t="b">
        <v>1</v>
      </c>
      <c r="P6187">
        <v>1</v>
      </c>
      <c r="Q6187" t="str" cm="1">
        <f t="array" ref="Q6187">_xlfn.IFS(Table1[[#This Row],[Wealthier_Winner]]=-1,"Wealthier Nation Loses",Table1[[#This Row],[Wealthier_Winner]]=0,"Tie",Table1[[#This Row],[Wealthier_Winner]]=1,"Wealthier Nation Wins")</f>
        <v>Wealthier Nation Wins</v>
      </c>
    </row>
    <row r="6188" spans="1:17" x14ac:dyDescent="0.2">
      <c r="A6188" s="1">
        <v>8870</v>
      </c>
      <c r="B6188" s="2">
        <v>45216</v>
      </c>
      <c r="C6188" s="7">
        <f>_xlfn.FLOOR.MATH(Table1[[#This Row],[year]],10)</f>
        <v>2020</v>
      </c>
      <c r="D6188" t="s">
        <v>611</v>
      </c>
      <c r="E6188" t="s">
        <v>641</v>
      </c>
      <c r="F6188">
        <v>0</v>
      </c>
      <c r="G6188">
        <v>1</v>
      </c>
      <c r="H6188" t="s">
        <v>224</v>
      </c>
      <c r="I6188" t="s">
        <v>643</v>
      </c>
      <c r="J6188" t="s">
        <v>611</v>
      </c>
      <c r="K6188" t="b">
        <v>0</v>
      </c>
      <c r="L6188">
        <v>2023</v>
      </c>
      <c r="M6188">
        <v>20325121393</v>
      </c>
      <c r="N6188">
        <v>17152234636</v>
      </c>
      <c r="O6188" t="b">
        <v>0</v>
      </c>
      <c r="P6188">
        <v>-1</v>
      </c>
      <c r="Q6188" t="str" cm="1">
        <f t="array" ref="Q6188">_xlfn.IFS(Table1[[#This Row],[Wealthier_Winner]]=-1,"Wealthier Nation Loses",Table1[[#This Row],[Wealthier_Winner]]=0,"Tie",Table1[[#This Row],[Wealthier_Winner]]=1,"Wealthier Nation Wins")</f>
        <v>Wealthier Nation Loses</v>
      </c>
    </row>
    <row r="6189" spans="1:17" x14ac:dyDescent="0.2">
      <c r="A6189" s="1">
        <v>8871</v>
      </c>
      <c r="B6189" s="2">
        <v>45216</v>
      </c>
      <c r="C6189" s="7">
        <f>_xlfn.FLOOR.MATH(Table1[[#This Row],[year]],10)</f>
        <v>2020</v>
      </c>
      <c r="D6189" t="s">
        <v>431</v>
      </c>
      <c r="E6189" t="s">
        <v>551</v>
      </c>
      <c r="F6189">
        <v>1</v>
      </c>
      <c r="G6189">
        <v>0</v>
      </c>
      <c r="H6189" t="s">
        <v>224</v>
      </c>
      <c r="I6189" t="s">
        <v>432</v>
      </c>
      <c r="J6189" t="s">
        <v>431</v>
      </c>
      <c r="K6189" t="b">
        <v>0</v>
      </c>
      <c r="L6189">
        <v>2023</v>
      </c>
      <c r="M6189">
        <v>336686348609</v>
      </c>
      <c r="N6189">
        <v>42335646895</v>
      </c>
      <c r="O6189" t="b">
        <v>1</v>
      </c>
      <c r="P6189">
        <v>1</v>
      </c>
      <c r="Q6189" t="str" cm="1">
        <f t="array" ref="Q6189">_xlfn.IFS(Table1[[#This Row],[Wealthier_Winner]]=-1,"Wealthier Nation Loses",Table1[[#This Row],[Wealthier_Winner]]=0,"Tie",Table1[[#This Row],[Wealthier_Winner]]=1,"Wealthier Nation Wins")</f>
        <v>Wealthier Nation Wins</v>
      </c>
    </row>
    <row r="6190" spans="1:17" x14ac:dyDescent="0.2">
      <c r="A6190" s="1">
        <v>8874</v>
      </c>
      <c r="B6190" s="2">
        <v>45245</v>
      </c>
      <c r="C6190" s="7">
        <f>_xlfn.FLOOR.MATH(Table1[[#This Row],[year]],10)</f>
        <v>2020</v>
      </c>
      <c r="D6190" t="s">
        <v>238</v>
      </c>
      <c r="E6190" t="s">
        <v>342</v>
      </c>
      <c r="F6190">
        <v>0</v>
      </c>
      <c r="G6190">
        <v>0</v>
      </c>
      <c r="H6190" t="s">
        <v>224</v>
      </c>
      <c r="I6190" t="s">
        <v>873</v>
      </c>
      <c r="J6190" t="s">
        <v>24</v>
      </c>
      <c r="K6190" t="b">
        <v>1</v>
      </c>
      <c r="L6190">
        <v>2023</v>
      </c>
      <c r="M6190">
        <v>135874093202</v>
      </c>
      <c r="N6190">
        <v>6415852766</v>
      </c>
      <c r="O6190" t="b">
        <v>1</v>
      </c>
      <c r="P6190">
        <v>0</v>
      </c>
      <c r="Q6190" t="str" cm="1">
        <f t="array" ref="Q6190">_xlfn.IFS(Table1[[#This Row],[Wealthier_Winner]]=-1,"Wealthier Nation Loses",Table1[[#This Row],[Wealthier_Winner]]=0,"Tie",Table1[[#This Row],[Wealthier_Winner]]=1,"Wealthier Nation Wins")</f>
        <v>Tie</v>
      </c>
    </row>
    <row r="6191" spans="1:17" x14ac:dyDescent="0.2">
      <c r="A6191" s="1">
        <v>8876</v>
      </c>
      <c r="B6191" s="2">
        <v>45245</v>
      </c>
      <c r="C6191" s="7">
        <f>_xlfn.FLOOR.MATH(Table1[[#This Row],[year]],10)</f>
        <v>2020</v>
      </c>
      <c r="D6191" t="s">
        <v>514</v>
      </c>
      <c r="E6191" t="s">
        <v>298</v>
      </c>
      <c r="F6191">
        <v>0</v>
      </c>
      <c r="G6191">
        <v>0</v>
      </c>
      <c r="H6191" t="s">
        <v>224</v>
      </c>
      <c r="I6191" t="s">
        <v>874</v>
      </c>
      <c r="J6191" t="s">
        <v>514</v>
      </c>
      <c r="K6191" t="b">
        <v>0</v>
      </c>
      <c r="L6191">
        <v>2023</v>
      </c>
      <c r="M6191">
        <v>14331722703</v>
      </c>
      <c r="N6191">
        <v>35871779680</v>
      </c>
      <c r="O6191" t="b">
        <v>1</v>
      </c>
      <c r="P6191">
        <v>0</v>
      </c>
      <c r="Q6191" t="str" cm="1">
        <f t="array" ref="Q6191">_xlfn.IFS(Table1[[#This Row],[Wealthier_Winner]]=-1,"Wealthier Nation Loses",Table1[[#This Row],[Wealthier_Winner]]=0,"Tie",Table1[[#This Row],[Wealthier_Winner]]=1,"Wealthier Nation Wins")</f>
        <v>Tie</v>
      </c>
    </row>
    <row r="6192" spans="1:17" x14ac:dyDescent="0.2">
      <c r="A6192" s="1">
        <v>8877</v>
      </c>
      <c r="B6192" s="2">
        <v>45245</v>
      </c>
      <c r="C6192" s="7">
        <f>_xlfn.FLOOR.MATH(Table1[[#This Row],[year]],10)</f>
        <v>2020</v>
      </c>
      <c r="D6192" t="s">
        <v>639</v>
      </c>
      <c r="E6192" t="s">
        <v>462</v>
      </c>
      <c r="F6192">
        <v>0</v>
      </c>
      <c r="G6192">
        <v>3</v>
      </c>
      <c r="H6192" t="s">
        <v>224</v>
      </c>
      <c r="I6192" t="s">
        <v>696</v>
      </c>
      <c r="J6192" t="s">
        <v>639</v>
      </c>
      <c r="K6192" t="b">
        <v>0</v>
      </c>
      <c r="L6192">
        <v>2023</v>
      </c>
      <c r="M6192">
        <v>12337550583</v>
      </c>
      <c r="N6192">
        <v>12408271449</v>
      </c>
      <c r="O6192" t="b">
        <v>0</v>
      </c>
      <c r="P6192">
        <v>1</v>
      </c>
      <c r="Q6192" t="str" cm="1">
        <f t="array" ref="Q6192">_xlfn.IFS(Table1[[#This Row],[Wealthier_Winner]]=-1,"Wealthier Nation Loses",Table1[[#This Row],[Wealthier_Winner]]=0,"Tie",Table1[[#This Row],[Wealthier_Winner]]=1,"Wealthier Nation Wins")</f>
        <v>Wealthier Nation Wins</v>
      </c>
    </row>
    <row r="6193" spans="1:17" x14ac:dyDescent="0.2">
      <c r="A6193" s="1">
        <v>8878</v>
      </c>
      <c r="B6193" s="2">
        <v>45246</v>
      </c>
      <c r="C6193" s="7">
        <f>_xlfn.FLOOR.MATH(Table1[[#This Row],[year]],10)</f>
        <v>2020</v>
      </c>
      <c r="D6193" t="s">
        <v>47</v>
      </c>
      <c r="E6193" t="s">
        <v>31</v>
      </c>
      <c r="F6193">
        <v>2</v>
      </c>
      <c r="G6193">
        <v>0</v>
      </c>
      <c r="H6193" t="s">
        <v>224</v>
      </c>
      <c r="I6193" t="s">
        <v>246</v>
      </c>
      <c r="J6193" t="s">
        <v>47</v>
      </c>
      <c r="K6193" t="b">
        <v>0</v>
      </c>
      <c r="L6193">
        <v>2023</v>
      </c>
      <c r="M6193">
        <v>52340206946</v>
      </c>
      <c r="N6193">
        <v>266958720837</v>
      </c>
      <c r="O6193" t="b">
        <v>1</v>
      </c>
      <c r="P6193">
        <v>-1</v>
      </c>
      <c r="Q6193" t="str" cm="1">
        <f t="array" ref="Q6193">_xlfn.IFS(Table1[[#This Row],[Wealthier_Winner]]=-1,"Wealthier Nation Loses",Table1[[#This Row],[Wealthier_Winner]]=0,"Tie",Table1[[#This Row],[Wealthier_Winner]]=1,"Wealthier Nation Wins")</f>
        <v>Wealthier Nation Loses</v>
      </c>
    </row>
    <row r="6194" spans="1:17" x14ac:dyDescent="0.2">
      <c r="A6194" s="1">
        <v>8879</v>
      </c>
      <c r="B6194" s="2">
        <v>45246</v>
      </c>
      <c r="C6194" s="7">
        <f>_xlfn.FLOOR.MATH(Table1[[#This Row],[year]],10)</f>
        <v>2020</v>
      </c>
      <c r="D6194" t="s">
        <v>258</v>
      </c>
      <c r="E6194" t="s">
        <v>57</v>
      </c>
      <c r="F6194">
        <v>0</v>
      </c>
      <c r="G6194">
        <v>0</v>
      </c>
      <c r="H6194" t="s">
        <v>224</v>
      </c>
      <c r="I6194" t="s">
        <v>811</v>
      </c>
      <c r="J6194" t="s">
        <v>258</v>
      </c>
      <c r="K6194" t="b">
        <v>0</v>
      </c>
      <c r="L6194">
        <v>2023</v>
      </c>
      <c r="M6194">
        <v>102376526555</v>
      </c>
      <c r="N6194">
        <v>121147057000</v>
      </c>
      <c r="O6194" t="b">
        <v>0</v>
      </c>
      <c r="P6194">
        <v>0</v>
      </c>
      <c r="Q6194" t="str" cm="1">
        <f t="array" ref="Q6194">_xlfn.IFS(Table1[[#This Row],[Wealthier_Winner]]=-1,"Wealthier Nation Loses",Table1[[#This Row],[Wealthier_Winner]]=0,"Tie",Table1[[#This Row],[Wealthier_Winner]]=1,"Wealthier Nation Wins")</f>
        <v>Tie</v>
      </c>
    </row>
    <row r="6195" spans="1:17" x14ac:dyDescent="0.2">
      <c r="A6195" s="1">
        <v>8880</v>
      </c>
      <c r="B6195" s="2">
        <v>45246</v>
      </c>
      <c r="C6195" s="7">
        <f>_xlfn.FLOOR.MATH(Table1[[#This Row],[year]],10)</f>
        <v>2020</v>
      </c>
      <c r="D6195" t="s">
        <v>15</v>
      </c>
      <c r="E6195" t="s">
        <v>13</v>
      </c>
      <c r="F6195">
        <v>2</v>
      </c>
      <c r="G6195">
        <v>1</v>
      </c>
      <c r="H6195" t="s">
        <v>224</v>
      </c>
      <c r="I6195" t="s">
        <v>261</v>
      </c>
      <c r="J6195" t="s">
        <v>15</v>
      </c>
      <c r="K6195" t="b">
        <v>0</v>
      </c>
      <c r="L6195">
        <v>2023</v>
      </c>
      <c r="M6195">
        <v>366291836137</v>
      </c>
      <c r="N6195">
        <v>2191131869706</v>
      </c>
      <c r="O6195" t="b">
        <v>1</v>
      </c>
      <c r="P6195">
        <v>-1</v>
      </c>
      <c r="Q6195" t="str" cm="1">
        <f t="array" ref="Q6195">_xlfn.IFS(Table1[[#This Row],[Wealthier_Winner]]=-1,"Wealthier Nation Loses",Table1[[#This Row],[Wealthier_Winner]]=0,"Tie",Table1[[#This Row],[Wealthier_Winner]]=1,"Wealthier Nation Wins")</f>
        <v>Wealthier Nation Loses</v>
      </c>
    </row>
    <row r="6196" spans="1:17" x14ac:dyDescent="0.2">
      <c r="A6196" s="1">
        <v>8881</v>
      </c>
      <c r="B6196" s="2">
        <v>45246</v>
      </c>
      <c r="C6196" s="7">
        <f>_xlfn.FLOOR.MATH(Table1[[#This Row],[year]],10)</f>
        <v>2020</v>
      </c>
      <c r="D6196" t="s">
        <v>19</v>
      </c>
      <c r="E6196" t="s">
        <v>26</v>
      </c>
      <c r="F6196">
        <v>0</v>
      </c>
      <c r="G6196">
        <v>2</v>
      </c>
      <c r="H6196" t="s">
        <v>224</v>
      </c>
      <c r="I6196" t="s">
        <v>93</v>
      </c>
      <c r="J6196" t="s">
        <v>19</v>
      </c>
      <c r="K6196" t="b">
        <v>0</v>
      </c>
      <c r="L6196">
        <v>2023</v>
      </c>
      <c r="M6196">
        <v>649461687959</v>
      </c>
      <c r="N6196">
        <v>77991666837</v>
      </c>
      <c r="O6196" t="b">
        <v>1</v>
      </c>
      <c r="P6196">
        <v>-1</v>
      </c>
      <c r="Q6196" t="str" cm="1">
        <f t="array" ref="Q6196">_xlfn.IFS(Table1[[#This Row],[Wealthier_Winner]]=-1,"Wealthier Nation Loses",Table1[[#This Row],[Wealthier_Winner]]=0,"Tie",Table1[[#This Row],[Wealthier_Winner]]=1,"Wealthier Nation Wins")</f>
        <v>Wealthier Nation Loses</v>
      </c>
    </row>
    <row r="6197" spans="1:17" x14ac:dyDescent="0.2">
      <c r="A6197" s="1">
        <v>8882</v>
      </c>
      <c r="B6197" s="2">
        <v>45246</v>
      </c>
      <c r="C6197" s="7">
        <f>_xlfn.FLOOR.MATH(Table1[[#This Row],[year]],10)</f>
        <v>2020</v>
      </c>
      <c r="D6197" t="s">
        <v>14</v>
      </c>
      <c r="E6197" t="s">
        <v>35</v>
      </c>
      <c r="F6197">
        <v>0</v>
      </c>
      <c r="G6197">
        <v>0</v>
      </c>
      <c r="H6197" t="s">
        <v>224</v>
      </c>
      <c r="I6197" t="s">
        <v>75</v>
      </c>
      <c r="J6197" t="s">
        <v>14</v>
      </c>
      <c r="K6197" t="b">
        <v>0</v>
      </c>
      <c r="L6197">
        <v>2023</v>
      </c>
      <c r="M6197">
        <v>335518054097</v>
      </c>
      <c r="N6197">
        <v>43118053174</v>
      </c>
      <c r="O6197" t="b">
        <v>1</v>
      </c>
      <c r="P6197">
        <v>0</v>
      </c>
      <c r="Q6197" t="str" cm="1">
        <f t="array" ref="Q6197">_xlfn.IFS(Table1[[#This Row],[Wealthier_Winner]]=-1,"Wealthier Nation Loses",Table1[[#This Row],[Wealthier_Winner]]=0,"Tie",Table1[[#This Row],[Wealthier_Winner]]=1,"Wealthier Nation Wins")</f>
        <v>Tie</v>
      </c>
    </row>
    <row r="6198" spans="1:17" x14ac:dyDescent="0.2">
      <c r="A6198" s="1">
        <v>8883</v>
      </c>
      <c r="B6198" s="2">
        <v>45246</v>
      </c>
      <c r="C6198" s="7">
        <f>_xlfn.FLOOR.MATH(Table1[[#This Row],[year]],10)</f>
        <v>2020</v>
      </c>
      <c r="D6198" t="s">
        <v>68</v>
      </c>
      <c r="E6198" t="s">
        <v>641</v>
      </c>
      <c r="F6198">
        <v>8</v>
      </c>
      <c r="G6198">
        <v>1</v>
      </c>
      <c r="H6198" t="s">
        <v>224</v>
      </c>
      <c r="I6198" t="s">
        <v>192</v>
      </c>
      <c r="J6198" t="s">
        <v>68</v>
      </c>
      <c r="K6198" t="b">
        <v>0</v>
      </c>
      <c r="L6198">
        <v>2023</v>
      </c>
      <c r="M6198">
        <v>217308516483</v>
      </c>
      <c r="N6198">
        <v>17152234636</v>
      </c>
      <c r="O6198" t="b">
        <v>1</v>
      </c>
      <c r="P6198">
        <v>1</v>
      </c>
      <c r="Q6198" t="str" cm="1">
        <f t="array" ref="Q6198">_xlfn.IFS(Table1[[#This Row],[Wealthier_Winner]]=-1,"Wealthier Nation Loses",Table1[[#This Row],[Wealthier_Winner]]=0,"Tie",Table1[[#This Row],[Wealthier_Winner]]=1,"Wealthier Nation Wins")</f>
        <v>Wealthier Nation Wins</v>
      </c>
    </row>
    <row r="6199" spans="1:17" x14ac:dyDescent="0.2">
      <c r="A6199" s="1">
        <v>8884</v>
      </c>
      <c r="B6199" s="2">
        <v>45246</v>
      </c>
      <c r="C6199" s="7">
        <f>_xlfn.FLOOR.MATH(Table1[[#This Row],[year]],10)</f>
        <v>2020</v>
      </c>
      <c r="D6199" t="s">
        <v>71</v>
      </c>
      <c r="E6199" t="s">
        <v>406</v>
      </c>
      <c r="F6199">
        <v>0</v>
      </c>
      <c r="G6199">
        <v>1</v>
      </c>
      <c r="H6199" t="s">
        <v>224</v>
      </c>
      <c r="I6199" t="s">
        <v>366</v>
      </c>
      <c r="J6199" t="s">
        <v>71</v>
      </c>
      <c r="K6199" t="b">
        <v>0</v>
      </c>
      <c r="L6199">
        <v>2023</v>
      </c>
      <c r="M6199">
        <v>165384407116</v>
      </c>
      <c r="N6199">
        <v>3638489096033</v>
      </c>
      <c r="O6199" t="b">
        <v>1</v>
      </c>
      <c r="P6199">
        <v>1</v>
      </c>
      <c r="Q6199" t="str" cm="1">
        <f t="array" ref="Q6199">_xlfn.IFS(Table1[[#This Row],[Wealthier_Winner]]=-1,"Wealthier Nation Loses",Table1[[#This Row],[Wealthier_Winner]]=0,"Tie",Table1[[#This Row],[Wealthier_Winner]]=1,"Wealthier Nation Wins")</f>
        <v>Wealthier Nation Wins</v>
      </c>
    </row>
    <row r="6200" spans="1:17" x14ac:dyDescent="0.2">
      <c r="A6200" s="1">
        <v>8885</v>
      </c>
      <c r="B6200" s="2">
        <v>45246</v>
      </c>
      <c r="C6200" s="7">
        <f>_xlfn.FLOOR.MATH(Table1[[#This Row],[year]],10)</f>
        <v>2020</v>
      </c>
      <c r="D6200" t="s">
        <v>51</v>
      </c>
      <c r="E6200" t="s">
        <v>737</v>
      </c>
      <c r="F6200">
        <v>5</v>
      </c>
      <c r="G6200">
        <v>0</v>
      </c>
      <c r="H6200" t="s">
        <v>224</v>
      </c>
      <c r="I6200" t="s">
        <v>853</v>
      </c>
      <c r="J6200" t="s">
        <v>51</v>
      </c>
      <c r="K6200" t="b">
        <v>0</v>
      </c>
      <c r="L6200">
        <v>2023</v>
      </c>
      <c r="M6200">
        <v>4213167237905</v>
      </c>
      <c r="N6200">
        <v>66757619000</v>
      </c>
      <c r="O6200" t="b">
        <v>1</v>
      </c>
      <c r="P6200">
        <v>1</v>
      </c>
      <c r="Q6200" t="str" cm="1">
        <f t="array" ref="Q6200">_xlfn.IFS(Table1[[#This Row],[Wealthier_Winner]]=-1,"Wealthier Nation Loses",Table1[[#This Row],[Wealthier_Winner]]=0,"Tie",Table1[[#This Row],[Wealthier_Winner]]=1,"Wealthier Nation Wins")</f>
        <v>Wealthier Nation Wins</v>
      </c>
    </row>
    <row r="6201" spans="1:17" x14ac:dyDescent="0.2">
      <c r="A6201" s="1">
        <v>8888</v>
      </c>
      <c r="B6201" s="2">
        <v>45246</v>
      </c>
      <c r="C6201" s="7">
        <f>_xlfn.FLOOR.MATH(Table1[[#This Row],[year]],10)</f>
        <v>2020</v>
      </c>
      <c r="D6201" t="s">
        <v>195</v>
      </c>
      <c r="E6201" t="s">
        <v>359</v>
      </c>
      <c r="F6201">
        <v>5</v>
      </c>
      <c r="G6201">
        <v>0</v>
      </c>
      <c r="H6201" t="s">
        <v>224</v>
      </c>
      <c r="I6201" t="s">
        <v>136</v>
      </c>
      <c r="J6201" t="s">
        <v>195</v>
      </c>
      <c r="K6201" t="b">
        <v>0</v>
      </c>
      <c r="L6201">
        <v>2023</v>
      </c>
      <c r="M6201">
        <v>1844800934391</v>
      </c>
      <c r="N6201">
        <v>505439514078</v>
      </c>
      <c r="O6201" t="b">
        <v>1</v>
      </c>
      <c r="P6201">
        <v>1</v>
      </c>
      <c r="Q6201" t="str" cm="1">
        <f t="array" ref="Q6201">_xlfn.IFS(Table1[[#This Row],[Wealthier_Winner]]=-1,"Wealthier Nation Loses",Table1[[#This Row],[Wealthier_Winner]]=0,"Tie",Table1[[#This Row],[Wealthier_Winner]]=1,"Wealthier Nation Wins")</f>
        <v>Wealthier Nation Wins</v>
      </c>
    </row>
    <row r="6202" spans="1:17" x14ac:dyDescent="0.2">
      <c r="A6202" s="1">
        <v>8892</v>
      </c>
      <c r="B6202" s="2">
        <v>45246</v>
      </c>
      <c r="C6202" s="7">
        <f>_xlfn.FLOOR.MATH(Table1[[#This Row],[year]],10)</f>
        <v>2020</v>
      </c>
      <c r="D6202" t="s">
        <v>560</v>
      </c>
      <c r="E6202" t="s">
        <v>563</v>
      </c>
      <c r="F6202">
        <v>1</v>
      </c>
      <c r="G6202">
        <v>3</v>
      </c>
      <c r="H6202" t="s">
        <v>224</v>
      </c>
      <c r="I6202" t="s">
        <v>561</v>
      </c>
      <c r="J6202" t="s">
        <v>560</v>
      </c>
      <c r="K6202" t="b">
        <v>0</v>
      </c>
      <c r="L6202">
        <v>2023</v>
      </c>
      <c r="M6202">
        <v>45894538665</v>
      </c>
      <c r="N6202">
        <v>102641879248</v>
      </c>
      <c r="O6202" t="b">
        <v>1</v>
      </c>
      <c r="P6202">
        <v>1</v>
      </c>
      <c r="Q6202" t="str" cm="1">
        <f t="array" ref="Q6202">_xlfn.IFS(Table1[[#This Row],[Wealthier_Winner]]=-1,"Wealthier Nation Loses",Table1[[#This Row],[Wealthier_Winner]]=0,"Tie",Table1[[#This Row],[Wealthier_Winner]]=1,"Wealthier Nation Wins")</f>
        <v>Wealthier Nation Wins</v>
      </c>
    </row>
    <row r="6203" spans="1:17" x14ac:dyDescent="0.2">
      <c r="A6203" s="1">
        <v>8893</v>
      </c>
      <c r="B6203" s="2">
        <v>45246</v>
      </c>
      <c r="C6203" s="7">
        <f>_xlfn.FLOOR.MATH(Table1[[#This Row],[year]],10)</f>
        <v>2020</v>
      </c>
      <c r="D6203" t="s">
        <v>37</v>
      </c>
      <c r="E6203" t="s">
        <v>328</v>
      </c>
      <c r="F6203">
        <v>5</v>
      </c>
      <c r="G6203">
        <v>1</v>
      </c>
      <c r="H6203" t="s">
        <v>224</v>
      </c>
      <c r="I6203" t="s">
        <v>875</v>
      </c>
      <c r="J6203" t="s">
        <v>37</v>
      </c>
      <c r="K6203" t="b">
        <v>0</v>
      </c>
      <c r="L6203">
        <v>2023</v>
      </c>
      <c r="M6203">
        <v>268881051643</v>
      </c>
      <c r="N6203">
        <v>1371169301563</v>
      </c>
      <c r="O6203" t="b">
        <v>1</v>
      </c>
      <c r="P6203">
        <v>-1</v>
      </c>
      <c r="Q6203" t="str" cm="1">
        <f t="array" ref="Q6203">_xlfn.IFS(Table1[[#This Row],[Wealthier_Winner]]=-1,"Wealthier Nation Loses",Table1[[#This Row],[Wealthier_Winner]]=0,"Tie",Table1[[#This Row],[Wealthier_Winner]]=1,"Wealthier Nation Wins")</f>
        <v>Wealthier Nation Loses</v>
      </c>
    </row>
    <row r="6204" spans="1:17" x14ac:dyDescent="0.2">
      <c r="A6204" s="1">
        <v>8894</v>
      </c>
      <c r="B6204" s="2">
        <v>45246</v>
      </c>
      <c r="C6204" s="7">
        <f>_xlfn.FLOOR.MATH(Table1[[#This Row],[year]],10)</f>
        <v>2020</v>
      </c>
      <c r="D6204" t="s">
        <v>532</v>
      </c>
      <c r="E6204" t="s">
        <v>475</v>
      </c>
      <c r="F6204">
        <v>0</v>
      </c>
      <c r="G6204">
        <v>2</v>
      </c>
      <c r="H6204" t="s">
        <v>224</v>
      </c>
      <c r="I6204" t="s">
        <v>740</v>
      </c>
      <c r="J6204" t="s">
        <v>532</v>
      </c>
      <c r="K6204" t="b">
        <v>0</v>
      </c>
      <c r="L6204">
        <v>2023</v>
      </c>
      <c r="M6204">
        <v>437055627244</v>
      </c>
      <c r="N6204">
        <v>433857681378</v>
      </c>
      <c r="O6204" t="b">
        <v>0</v>
      </c>
      <c r="P6204">
        <v>-1</v>
      </c>
      <c r="Q6204" t="str" cm="1">
        <f t="array" ref="Q6204">_xlfn.IFS(Table1[[#This Row],[Wealthier_Winner]]=-1,"Wealthier Nation Loses",Table1[[#This Row],[Wealthier_Winner]]=0,"Tie",Table1[[#This Row],[Wealthier_Winner]]=1,"Wealthier Nation Wins")</f>
        <v>Wealthier Nation Loses</v>
      </c>
    </row>
    <row r="6205" spans="1:17" x14ac:dyDescent="0.2">
      <c r="A6205" s="1">
        <v>8895</v>
      </c>
      <c r="B6205" s="2">
        <v>45246</v>
      </c>
      <c r="C6205" s="7">
        <f>_xlfn.FLOOR.MATH(Table1[[#This Row],[year]],10)</f>
        <v>2020</v>
      </c>
      <c r="D6205" t="s">
        <v>556</v>
      </c>
      <c r="E6205" t="s">
        <v>403</v>
      </c>
      <c r="F6205">
        <v>1</v>
      </c>
      <c r="G6205">
        <v>1</v>
      </c>
      <c r="H6205" t="s">
        <v>224</v>
      </c>
      <c r="I6205" t="s">
        <v>557</v>
      </c>
      <c r="J6205" t="s">
        <v>556</v>
      </c>
      <c r="K6205" t="b">
        <v>0</v>
      </c>
      <c r="L6205">
        <v>2023</v>
      </c>
      <c r="M6205">
        <v>12244169292</v>
      </c>
      <c r="N6205">
        <v>51088476338</v>
      </c>
      <c r="O6205" t="b">
        <v>1</v>
      </c>
      <c r="P6205">
        <v>0</v>
      </c>
      <c r="Q6205" t="str" cm="1">
        <f t="array" ref="Q6205">_xlfn.IFS(Table1[[#This Row],[Wealthier_Winner]]=-1,"Wealthier Nation Loses",Table1[[#This Row],[Wealthier_Winner]]=0,"Tie",Table1[[#This Row],[Wealthier_Winner]]=1,"Wealthier Nation Wins")</f>
        <v>Tie</v>
      </c>
    </row>
    <row r="6206" spans="1:17" x14ac:dyDescent="0.2">
      <c r="A6206" s="1">
        <v>8896</v>
      </c>
      <c r="B6206" s="2">
        <v>45246</v>
      </c>
      <c r="C6206" s="7">
        <f>_xlfn.FLOOR.MATH(Table1[[#This Row],[year]],10)</f>
        <v>2020</v>
      </c>
      <c r="D6206" t="s">
        <v>45</v>
      </c>
      <c r="E6206" t="s">
        <v>431</v>
      </c>
      <c r="F6206">
        <v>4</v>
      </c>
      <c r="G6206">
        <v>0</v>
      </c>
      <c r="H6206" t="s">
        <v>224</v>
      </c>
      <c r="I6206" t="s">
        <v>876</v>
      </c>
      <c r="J6206" t="s">
        <v>45</v>
      </c>
      <c r="K6206" t="b">
        <v>0</v>
      </c>
      <c r="L6206">
        <v>2023</v>
      </c>
      <c r="M6206">
        <v>1218584533333</v>
      </c>
      <c r="N6206">
        <v>336686348609</v>
      </c>
      <c r="O6206" t="b">
        <v>1</v>
      </c>
      <c r="P6206">
        <v>1</v>
      </c>
      <c r="Q6206" t="str" cm="1">
        <f t="array" ref="Q6206">_xlfn.IFS(Table1[[#This Row],[Wealthier_Winner]]=-1,"Wealthier Nation Loses",Table1[[#This Row],[Wealthier_Winner]]=0,"Tie",Table1[[#This Row],[Wealthier_Winner]]=1,"Wealthier Nation Wins")</f>
        <v>Wealthier Nation Wins</v>
      </c>
    </row>
    <row r="6207" spans="1:17" x14ac:dyDescent="0.2">
      <c r="A6207" s="1">
        <v>8897</v>
      </c>
      <c r="B6207" s="2">
        <v>45246</v>
      </c>
      <c r="C6207" s="7">
        <f>_xlfn.FLOOR.MATH(Table1[[#This Row],[year]],10)</f>
        <v>2020</v>
      </c>
      <c r="D6207" t="s">
        <v>39</v>
      </c>
      <c r="E6207" t="s">
        <v>400</v>
      </c>
      <c r="F6207">
        <v>4</v>
      </c>
      <c r="G6207">
        <v>0</v>
      </c>
      <c r="H6207" t="s">
        <v>224</v>
      </c>
      <c r="I6207" t="s">
        <v>412</v>
      </c>
      <c r="J6207" t="s">
        <v>39</v>
      </c>
      <c r="K6207" t="b">
        <v>0</v>
      </c>
      <c r="L6207">
        <v>2023</v>
      </c>
      <c r="M6207">
        <v>522622191967</v>
      </c>
      <c r="N6207">
        <v>41047772331</v>
      </c>
      <c r="O6207" t="b">
        <v>1</v>
      </c>
      <c r="P6207">
        <v>1</v>
      </c>
      <c r="Q6207" t="str" cm="1">
        <f t="array" ref="Q6207">_xlfn.IFS(Table1[[#This Row],[Wealthier_Winner]]=-1,"Wealthier Nation Loses",Table1[[#This Row],[Wealthier_Winner]]=0,"Tie",Table1[[#This Row],[Wealthier_Winner]]=1,"Wealthier Nation Wins")</f>
        <v>Wealthier Nation Wins</v>
      </c>
    </row>
    <row r="6208" spans="1:17" x14ac:dyDescent="0.2">
      <c r="A6208" s="1">
        <v>8900</v>
      </c>
      <c r="B6208" s="2">
        <v>45246</v>
      </c>
      <c r="C6208" s="7">
        <f>_xlfn.FLOOR.MATH(Table1[[#This Row],[year]],10)</f>
        <v>2020</v>
      </c>
      <c r="D6208" t="s">
        <v>28</v>
      </c>
      <c r="E6208" t="s">
        <v>405</v>
      </c>
      <c r="F6208">
        <v>7</v>
      </c>
      <c r="G6208">
        <v>0</v>
      </c>
      <c r="H6208" t="s">
        <v>224</v>
      </c>
      <c r="I6208" t="s">
        <v>329</v>
      </c>
      <c r="J6208" t="s">
        <v>28</v>
      </c>
      <c r="K6208" t="b">
        <v>0</v>
      </c>
      <c r="L6208">
        <v>2023</v>
      </c>
      <c r="M6208">
        <v>1734451264655</v>
      </c>
      <c r="N6208">
        <v>437415333018</v>
      </c>
      <c r="O6208" t="b">
        <v>1</v>
      </c>
      <c r="P6208">
        <v>1</v>
      </c>
      <c r="Q6208" t="str" cm="1">
        <f t="array" ref="Q6208">_xlfn.IFS(Table1[[#This Row],[Wealthier_Winner]]=-1,"Wealthier Nation Loses",Table1[[#This Row],[Wealthier_Winner]]=0,"Tie",Table1[[#This Row],[Wealthier_Winner]]=1,"Wealthier Nation Wins")</f>
        <v>Wealthier Nation Wins</v>
      </c>
    </row>
    <row r="6209" spans="1:17" x14ac:dyDescent="0.2">
      <c r="A6209" s="1">
        <v>8901</v>
      </c>
      <c r="B6209" s="2">
        <v>45246</v>
      </c>
      <c r="C6209" s="7">
        <f>_xlfn.FLOOR.MATH(Table1[[#This Row],[year]],10)</f>
        <v>2020</v>
      </c>
      <c r="D6209" t="s">
        <v>212</v>
      </c>
      <c r="E6209" t="s">
        <v>694</v>
      </c>
      <c r="F6209">
        <v>6</v>
      </c>
      <c r="G6209">
        <v>0</v>
      </c>
      <c r="H6209" t="s">
        <v>224</v>
      </c>
      <c r="I6209" t="s">
        <v>322</v>
      </c>
      <c r="J6209" t="s">
        <v>212</v>
      </c>
      <c r="K6209" t="b">
        <v>0</v>
      </c>
      <c r="L6209">
        <v>2023</v>
      </c>
      <c r="M6209">
        <v>395926075163</v>
      </c>
      <c r="N6209">
        <v>3898447007</v>
      </c>
      <c r="O6209" t="b">
        <v>1</v>
      </c>
      <c r="P6209">
        <v>1</v>
      </c>
      <c r="Q6209" t="str" cm="1">
        <f t="array" ref="Q6209">_xlfn.IFS(Table1[[#This Row],[Wealthier_Winner]]=-1,"Wealthier Nation Loses",Table1[[#This Row],[Wealthier_Winner]]=0,"Tie",Table1[[#This Row],[Wealthier_Winner]]=1,"Wealthier Nation Wins")</f>
        <v>Wealthier Nation Wins</v>
      </c>
    </row>
    <row r="6210" spans="1:17" x14ac:dyDescent="0.2">
      <c r="A6210" s="1">
        <v>8902</v>
      </c>
      <c r="B6210" s="2">
        <v>45246</v>
      </c>
      <c r="C6210" s="7">
        <f>_xlfn.FLOOR.MATH(Table1[[#This Row],[year]],10)</f>
        <v>2020</v>
      </c>
      <c r="D6210" t="s">
        <v>274</v>
      </c>
      <c r="E6210" t="s">
        <v>62</v>
      </c>
      <c r="F6210">
        <v>1</v>
      </c>
      <c r="G6210">
        <v>1</v>
      </c>
      <c r="H6210" t="s">
        <v>224</v>
      </c>
      <c r="I6210" t="s">
        <v>613</v>
      </c>
      <c r="J6210" t="s">
        <v>286</v>
      </c>
      <c r="K6210" t="b">
        <v>1</v>
      </c>
      <c r="L6210">
        <v>2023</v>
      </c>
      <c r="M6210">
        <v>39898289820</v>
      </c>
      <c r="N6210">
        <v>9816236302</v>
      </c>
      <c r="O6210" t="b">
        <v>1</v>
      </c>
      <c r="P6210">
        <v>0</v>
      </c>
      <c r="Q6210" t="str" cm="1">
        <f t="array" ref="Q6210">_xlfn.IFS(Table1[[#This Row],[Wealthier_Winner]]=-1,"Wealthier Nation Loses",Table1[[#This Row],[Wealthier_Winner]]=0,"Tie",Table1[[#This Row],[Wealthier_Winner]]=1,"Wealthier Nation Wins")</f>
        <v>Tie</v>
      </c>
    </row>
    <row r="6211" spans="1:17" x14ac:dyDescent="0.2">
      <c r="A6211" s="1">
        <v>8903</v>
      </c>
      <c r="B6211" s="2">
        <v>45246</v>
      </c>
      <c r="C6211" s="7">
        <f>_xlfn.FLOOR.MATH(Table1[[#This Row],[year]],10)</f>
        <v>2020</v>
      </c>
      <c r="D6211" t="s">
        <v>43</v>
      </c>
      <c r="E6211" t="s">
        <v>307</v>
      </c>
      <c r="F6211">
        <v>1</v>
      </c>
      <c r="G6211">
        <v>1</v>
      </c>
      <c r="H6211" t="s">
        <v>224</v>
      </c>
      <c r="I6211" t="s">
        <v>814</v>
      </c>
      <c r="J6211" t="s">
        <v>43</v>
      </c>
      <c r="K6211" t="b">
        <v>0</v>
      </c>
      <c r="L6211">
        <v>2023</v>
      </c>
      <c r="M6211">
        <v>487387801880</v>
      </c>
      <c r="N6211">
        <v>2117962445</v>
      </c>
      <c r="O6211" t="b">
        <v>1</v>
      </c>
      <c r="P6211">
        <v>0</v>
      </c>
      <c r="Q6211" t="str" cm="1">
        <f t="array" ref="Q6211">_xlfn.IFS(Table1[[#This Row],[Wealthier_Winner]]=-1,"Wealthier Nation Loses",Table1[[#This Row],[Wealthier_Winner]]=0,"Tie",Table1[[#This Row],[Wealthier_Winner]]=1,"Wealthier Nation Wins")</f>
        <v>Tie</v>
      </c>
    </row>
    <row r="6212" spans="1:17" x14ac:dyDescent="0.2">
      <c r="A6212" s="1">
        <v>8906</v>
      </c>
      <c r="B6212" s="2">
        <v>45246</v>
      </c>
      <c r="C6212" s="7">
        <f>_xlfn.FLOOR.MATH(Table1[[#This Row],[year]],10)</f>
        <v>2020</v>
      </c>
      <c r="D6212" t="s">
        <v>433</v>
      </c>
      <c r="E6212" t="s">
        <v>314</v>
      </c>
      <c r="F6212">
        <v>2</v>
      </c>
      <c r="G6212">
        <v>1</v>
      </c>
      <c r="H6212" t="s">
        <v>224</v>
      </c>
      <c r="I6212" t="s">
        <v>765</v>
      </c>
      <c r="J6212" t="s">
        <v>433</v>
      </c>
      <c r="K6212" t="b">
        <v>0</v>
      </c>
      <c r="L6212">
        <v>2023</v>
      </c>
      <c r="M6212">
        <v>19388372070</v>
      </c>
      <c r="N6212">
        <v>107500884685</v>
      </c>
      <c r="O6212" t="b">
        <v>1</v>
      </c>
      <c r="P6212">
        <v>-1</v>
      </c>
      <c r="Q6212" t="str" cm="1">
        <f t="array" ref="Q6212">_xlfn.IFS(Table1[[#This Row],[Wealthier_Winner]]=-1,"Wealthier Nation Loses",Table1[[#This Row],[Wealthier_Winner]]=0,"Tie",Table1[[#This Row],[Wealthier_Winner]]=1,"Wealthier Nation Wins")</f>
        <v>Wealthier Nation Loses</v>
      </c>
    </row>
    <row r="6213" spans="1:17" x14ac:dyDescent="0.2">
      <c r="A6213" s="1">
        <v>8907</v>
      </c>
      <c r="B6213" s="2">
        <v>45246</v>
      </c>
      <c r="C6213" s="7">
        <f>_xlfn.FLOOR.MATH(Table1[[#This Row],[year]],10)</f>
        <v>2020</v>
      </c>
      <c r="D6213" t="s">
        <v>469</v>
      </c>
      <c r="E6213" t="s">
        <v>300</v>
      </c>
      <c r="F6213">
        <v>2</v>
      </c>
      <c r="G6213">
        <v>3</v>
      </c>
      <c r="H6213" t="s">
        <v>224</v>
      </c>
      <c r="I6213" t="s">
        <v>799</v>
      </c>
      <c r="J6213" t="s">
        <v>469</v>
      </c>
      <c r="K6213" t="b">
        <v>0</v>
      </c>
      <c r="L6213">
        <v>2023</v>
      </c>
      <c r="M6213">
        <v>19411266967</v>
      </c>
      <c r="N6213">
        <v>20921079532</v>
      </c>
      <c r="O6213" t="b">
        <v>0</v>
      </c>
      <c r="P6213">
        <v>1</v>
      </c>
      <c r="Q6213" t="str" cm="1">
        <f t="array" ref="Q6213">_xlfn.IFS(Table1[[#This Row],[Wealthier_Winner]]=-1,"Wealthier Nation Loses",Table1[[#This Row],[Wealthier_Winner]]=0,"Tie",Table1[[#This Row],[Wealthier_Winner]]=1,"Wealthier Nation Wins")</f>
        <v>Wealthier Nation Wins</v>
      </c>
    </row>
    <row r="6214" spans="1:17" x14ac:dyDescent="0.2">
      <c r="A6214" s="1">
        <v>8909</v>
      </c>
      <c r="B6214" s="2">
        <v>45247</v>
      </c>
      <c r="C6214" s="7">
        <f>_xlfn.FLOOR.MATH(Table1[[#This Row],[year]],10)</f>
        <v>2020</v>
      </c>
      <c r="D6214" t="s">
        <v>345</v>
      </c>
      <c r="E6214" t="s">
        <v>508</v>
      </c>
      <c r="F6214">
        <v>1</v>
      </c>
      <c r="G6214">
        <v>1</v>
      </c>
      <c r="H6214" t="s">
        <v>224</v>
      </c>
      <c r="I6214" t="s">
        <v>761</v>
      </c>
      <c r="J6214" t="s">
        <v>24</v>
      </c>
      <c r="K6214" t="b">
        <v>1</v>
      </c>
      <c r="L6214">
        <v>2023</v>
      </c>
      <c r="M6214">
        <v>20112614449</v>
      </c>
      <c r="N6214">
        <v>2127688181</v>
      </c>
      <c r="O6214" t="b">
        <v>1</v>
      </c>
      <c r="P6214">
        <v>0</v>
      </c>
      <c r="Q6214" t="str" cm="1">
        <f t="array" ref="Q6214">_xlfn.IFS(Table1[[#This Row],[Wealthier_Winner]]=-1,"Wealthier Nation Loses",Table1[[#This Row],[Wealthier_Winner]]=0,"Tie",Table1[[#This Row],[Wealthier_Winner]]=1,"Wealthier Nation Wins")</f>
        <v>Tie</v>
      </c>
    </row>
    <row r="6215" spans="1:17" x14ac:dyDescent="0.2">
      <c r="A6215" s="1">
        <v>8910</v>
      </c>
      <c r="B6215" s="2">
        <v>45247</v>
      </c>
      <c r="C6215" s="7">
        <f>_xlfn.FLOOR.MATH(Table1[[#This Row],[year]],10)</f>
        <v>2020</v>
      </c>
      <c r="D6215" t="s">
        <v>463</v>
      </c>
      <c r="E6215" t="s">
        <v>286</v>
      </c>
      <c r="F6215">
        <v>0</v>
      </c>
      <c r="G6215">
        <v>1</v>
      </c>
      <c r="H6215" t="s">
        <v>224</v>
      </c>
      <c r="I6215" t="s">
        <v>877</v>
      </c>
      <c r="J6215" t="s">
        <v>50</v>
      </c>
      <c r="K6215" t="b">
        <v>1</v>
      </c>
      <c r="L6215">
        <v>2023</v>
      </c>
      <c r="M6215">
        <v>4621191261</v>
      </c>
      <c r="N6215">
        <v>44027664915</v>
      </c>
      <c r="O6215" t="b">
        <v>1</v>
      </c>
      <c r="P6215">
        <v>1</v>
      </c>
      <c r="Q6215" t="str" cm="1">
        <f t="array" ref="Q6215">_xlfn.IFS(Table1[[#This Row],[Wealthier_Winner]]=-1,"Wealthier Nation Loses",Table1[[#This Row],[Wealthier_Winner]]=0,"Tie",Table1[[#This Row],[Wealthier_Winner]]=1,"Wealthier Nation Wins")</f>
        <v>Wealthier Nation Wins</v>
      </c>
    </row>
    <row r="6216" spans="1:17" x14ac:dyDescent="0.2">
      <c r="A6216" s="1">
        <v>8911</v>
      </c>
      <c r="B6216" s="2">
        <v>45247</v>
      </c>
      <c r="C6216" s="7">
        <f>_xlfn.FLOOR.MATH(Table1[[#This Row],[year]],10)</f>
        <v>2020</v>
      </c>
      <c r="D6216" t="s">
        <v>40</v>
      </c>
      <c r="E6216" t="s">
        <v>323</v>
      </c>
      <c r="F6216">
        <v>3</v>
      </c>
      <c r="G6216">
        <v>0</v>
      </c>
      <c r="H6216" t="s">
        <v>224</v>
      </c>
      <c r="I6216" t="s">
        <v>283</v>
      </c>
      <c r="J6216" t="s">
        <v>40</v>
      </c>
      <c r="K6216" t="b">
        <v>0</v>
      </c>
      <c r="L6216">
        <v>2023</v>
      </c>
      <c r="M6216">
        <v>48814501547</v>
      </c>
      <c r="N6216">
        <v>14072212290</v>
      </c>
      <c r="O6216" t="b">
        <v>1</v>
      </c>
      <c r="P6216">
        <v>1</v>
      </c>
      <c r="Q6216" t="str" cm="1">
        <f t="array" ref="Q6216">_xlfn.IFS(Table1[[#This Row],[Wealthier_Winner]]=-1,"Wealthier Nation Loses",Table1[[#This Row],[Wealthier_Winner]]=0,"Tie",Table1[[#This Row],[Wealthier_Winner]]=1,"Wealthier Nation Wins")</f>
        <v>Wealthier Nation Wins</v>
      </c>
    </row>
    <row r="6217" spans="1:17" x14ac:dyDescent="0.2">
      <c r="A6217" s="1">
        <v>8914</v>
      </c>
      <c r="B6217" s="2">
        <v>45247</v>
      </c>
      <c r="C6217" s="7">
        <f>_xlfn.FLOOR.MATH(Table1[[#This Row],[year]],10)</f>
        <v>2020</v>
      </c>
      <c r="D6217" t="s">
        <v>305</v>
      </c>
      <c r="E6217" t="s">
        <v>357</v>
      </c>
      <c r="F6217">
        <v>2</v>
      </c>
      <c r="G6217">
        <v>1</v>
      </c>
      <c r="H6217" t="s">
        <v>224</v>
      </c>
      <c r="I6217" t="s">
        <v>878</v>
      </c>
      <c r="J6217" t="s">
        <v>24</v>
      </c>
      <c r="K6217" t="b">
        <v>1</v>
      </c>
      <c r="L6217">
        <v>2023</v>
      </c>
      <c r="M6217">
        <v>22407615556</v>
      </c>
      <c r="N6217">
        <v>48768955863</v>
      </c>
      <c r="O6217" t="b">
        <v>1</v>
      </c>
      <c r="P6217">
        <v>-1</v>
      </c>
      <c r="Q6217" t="str" cm="1">
        <f t="array" ref="Q6217">_xlfn.IFS(Table1[[#This Row],[Wealthier_Winner]]=-1,"Wealthier Nation Loses",Table1[[#This Row],[Wealthier_Winner]]=0,"Tie",Table1[[#This Row],[Wealthier_Winner]]=1,"Wealthier Nation Wins")</f>
        <v>Wealthier Nation Loses</v>
      </c>
    </row>
    <row r="6218" spans="1:17" x14ac:dyDescent="0.2">
      <c r="A6218" s="1">
        <v>8915</v>
      </c>
      <c r="B6218" s="2">
        <v>45247</v>
      </c>
      <c r="C6218" s="7">
        <f>_xlfn.FLOOR.MATH(Table1[[#This Row],[year]],10)</f>
        <v>2020</v>
      </c>
      <c r="D6218" t="s">
        <v>378</v>
      </c>
      <c r="E6218" t="s">
        <v>370</v>
      </c>
      <c r="F6218">
        <v>0</v>
      </c>
      <c r="G6218">
        <v>1</v>
      </c>
      <c r="H6218" t="s">
        <v>224</v>
      </c>
      <c r="I6218" t="s">
        <v>379</v>
      </c>
      <c r="J6218" t="s">
        <v>378</v>
      </c>
      <c r="K6218" t="b">
        <v>0</v>
      </c>
      <c r="L6218">
        <v>2023</v>
      </c>
      <c r="M6218">
        <v>4390000000</v>
      </c>
      <c r="N6218">
        <v>13363669672</v>
      </c>
      <c r="O6218" t="b">
        <v>1</v>
      </c>
      <c r="P6218">
        <v>1</v>
      </c>
      <c r="Q6218" t="str" cm="1">
        <f t="array" ref="Q6218">_xlfn.IFS(Table1[[#This Row],[Wealthier_Winner]]=-1,"Wealthier Nation Loses",Table1[[#This Row],[Wealthier_Winner]]=0,"Tie",Table1[[#This Row],[Wealthier_Winner]]=1,"Wealthier Nation Wins")</f>
        <v>Wealthier Nation Wins</v>
      </c>
    </row>
    <row r="6219" spans="1:17" x14ac:dyDescent="0.2">
      <c r="A6219" s="1">
        <v>8917</v>
      </c>
      <c r="B6219" s="2">
        <v>45247</v>
      </c>
      <c r="C6219" s="7">
        <f>_xlfn.FLOOR.MATH(Table1[[#This Row],[year]],10)</f>
        <v>2020</v>
      </c>
      <c r="D6219" t="s">
        <v>688</v>
      </c>
      <c r="E6219" t="s">
        <v>581</v>
      </c>
      <c r="F6219">
        <v>4</v>
      </c>
      <c r="G6219">
        <v>2</v>
      </c>
      <c r="H6219" t="s">
        <v>224</v>
      </c>
      <c r="I6219" t="s">
        <v>690</v>
      </c>
      <c r="J6219" t="s">
        <v>688</v>
      </c>
      <c r="K6219" t="b">
        <v>0</v>
      </c>
      <c r="L6219">
        <v>2023</v>
      </c>
      <c r="M6219">
        <v>1326836543</v>
      </c>
      <c r="N6219">
        <v>2555492085</v>
      </c>
      <c r="O6219" t="b">
        <v>0</v>
      </c>
      <c r="P6219">
        <v>-1</v>
      </c>
      <c r="Q6219" t="str" cm="1">
        <f t="array" ref="Q6219">_xlfn.IFS(Table1[[#This Row],[Wealthier_Winner]]=-1,"Wealthier Nation Loses",Table1[[#This Row],[Wealthier_Winner]]=0,"Tie",Table1[[#This Row],[Wealthier_Winner]]=1,"Wealthier Nation Wins")</f>
        <v>Wealthier Nation Loses</v>
      </c>
    </row>
    <row r="6220" spans="1:17" x14ac:dyDescent="0.2">
      <c r="A6220" s="1">
        <v>8918</v>
      </c>
      <c r="B6220" s="2">
        <v>45247</v>
      </c>
      <c r="C6220" s="7">
        <f>_xlfn.FLOOR.MATH(Table1[[#This Row],[year]],10)</f>
        <v>2020</v>
      </c>
      <c r="D6220" t="s">
        <v>63</v>
      </c>
      <c r="E6220" t="s">
        <v>410</v>
      </c>
      <c r="F6220">
        <v>1</v>
      </c>
      <c r="G6220">
        <v>0</v>
      </c>
      <c r="H6220" t="s">
        <v>224</v>
      </c>
      <c r="I6220" t="s">
        <v>313</v>
      </c>
      <c r="J6220" t="s">
        <v>63</v>
      </c>
      <c r="K6220" t="b">
        <v>0</v>
      </c>
      <c r="L6220">
        <v>2023</v>
      </c>
      <c r="M6220">
        <v>80547146878</v>
      </c>
      <c r="N6220">
        <v>15869945477</v>
      </c>
      <c r="O6220" t="b">
        <v>1</v>
      </c>
      <c r="P6220">
        <v>1</v>
      </c>
      <c r="Q6220" t="str" cm="1">
        <f t="array" ref="Q6220">_xlfn.IFS(Table1[[#This Row],[Wealthier_Winner]]=-1,"Wealthier Nation Loses",Table1[[#This Row],[Wealthier_Winner]]=0,"Tie",Table1[[#This Row],[Wealthier_Winner]]=1,"Wealthier Nation Wins")</f>
        <v>Wealthier Nation Wins</v>
      </c>
    </row>
    <row r="6221" spans="1:17" x14ac:dyDescent="0.2">
      <c r="A6221" s="1">
        <v>8919</v>
      </c>
      <c r="B6221" s="2">
        <v>45247</v>
      </c>
      <c r="C6221" s="7">
        <f>_xlfn.FLOOR.MATH(Table1[[#This Row],[year]],10)</f>
        <v>2020</v>
      </c>
      <c r="D6221" t="s">
        <v>590</v>
      </c>
      <c r="E6221" t="s">
        <v>586</v>
      </c>
      <c r="F6221">
        <v>3</v>
      </c>
      <c r="G6221">
        <v>1</v>
      </c>
      <c r="H6221" t="s">
        <v>224</v>
      </c>
      <c r="I6221" t="s">
        <v>596</v>
      </c>
      <c r="J6221" t="s">
        <v>590</v>
      </c>
      <c r="K6221" t="b">
        <v>0</v>
      </c>
      <c r="L6221">
        <v>2023</v>
      </c>
      <c r="M6221">
        <v>24813860598</v>
      </c>
      <c r="N6221">
        <v>18340233748</v>
      </c>
      <c r="O6221" t="b">
        <v>0</v>
      </c>
      <c r="P6221">
        <v>1</v>
      </c>
      <c r="Q6221" t="str" cm="1">
        <f t="array" ref="Q6221">_xlfn.IFS(Table1[[#This Row],[Wealthier_Winner]]=-1,"Wealthier Nation Loses",Table1[[#This Row],[Wealthier_Winner]]=0,"Tie",Table1[[#This Row],[Wealthier_Winner]]=1,"Wealthier Nation Wins")</f>
        <v>Wealthier Nation Wins</v>
      </c>
    </row>
    <row r="6222" spans="1:17" x14ac:dyDescent="0.2">
      <c r="A6222" s="1">
        <v>8921</v>
      </c>
      <c r="B6222" s="2">
        <v>45248</v>
      </c>
      <c r="C6222" s="7">
        <f>_xlfn.FLOOR.MATH(Table1[[#This Row],[year]],10)</f>
        <v>2020</v>
      </c>
      <c r="D6222" t="s">
        <v>50</v>
      </c>
      <c r="E6222" t="s">
        <v>310</v>
      </c>
      <c r="F6222">
        <v>2</v>
      </c>
      <c r="G6222">
        <v>1</v>
      </c>
      <c r="H6222" t="s">
        <v>224</v>
      </c>
      <c r="I6222" t="s">
        <v>163</v>
      </c>
      <c r="J6222" t="s">
        <v>50</v>
      </c>
      <c r="K6222" t="b">
        <v>0</v>
      </c>
      <c r="L6222">
        <v>2023</v>
      </c>
      <c r="M6222">
        <v>381440724491</v>
      </c>
      <c r="N6222">
        <v>19673291004</v>
      </c>
      <c r="O6222" t="b">
        <v>1</v>
      </c>
      <c r="P6222">
        <v>1</v>
      </c>
      <c r="Q6222" t="str" cm="1">
        <f t="array" ref="Q6222">_xlfn.IFS(Table1[[#This Row],[Wealthier_Winner]]=-1,"Wealthier Nation Loses",Table1[[#This Row],[Wealthier_Winner]]=0,"Tie",Table1[[#This Row],[Wealthier_Winner]]=1,"Wealthier Nation Wins")</f>
        <v>Wealthier Nation Wins</v>
      </c>
    </row>
    <row r="6223" spans="1:17" x14ac:dyDescent="0.2">
      <c r="A6223" s="1">
        <v>8922</v>
      </c>
      <c r="B6223" s="2">
        <v>45248</v>
      </c>
      <c r="C6223" s="7">
        <f>_xlfn.FLOOR.MATH(Table1[[#This Row],[year]],10)</f>
        <v>2020</v>
      </c>
      <c r="D6223" t="s">
        <v>343</v>
      </c>
      <c r="E6223" t="s">
        <v>320</v>
      </c>
      <c r="F6223">
        <v>0</v>
      </c>
      <c r="G6223">
        <v>1</v>
      </c>
      <c r="H6223" t="s">
        <v>224</v>
      </c>
      <c r="I6223" t="s">
        <v>761</v>
      </c>
      <c r="J6223" t="s">
        <v>24</v>
      </c>
      <c r="K6223" t="b">
        <v>1</v>
      </c>
      <c r="L6223">
        <v>2023</v>
      </c>
      <c r="M6223">
        <v>16698786977</v>
      </c>
      <c r="N6223">
        <v>79030935627</v>
      </c>
      <c r="O6223" t="b">
        <v>1</v>
      </c>
      <c r="P6223">
        <v>1</v>
      </c>
      <c r="Q6223" t="str" cm="1">
        <f t="array" ref="Q6223">_xlfn.IFS(Table1[[#This Row],[Wealthier_Winner]]=-1,"Wealthier Nation Loses",Table1[[#This Row],[Wealthier_Winner]]=0,"Tie",Table1[[#This Row],[Wealthier_Winner]]=1,"Wealthier Nation Wins")</f>
        <v>Wealthier Nation Wins</v>
      </c>
    </row>
    <row r="6224" spans="1:17" x14ac:dyDescent="0.2">
      <c r="A6224" s="1">
        <v>8923</v>
      </c>
      <c r="B6224" s="2">
        <v>45249</v>
      </c>
      <c r="C6224" s="7">
        <f>_xlfn.FLOOR.MATH(Table1[[#This Row],[year]],10)</f>
        <v>2020</v>
      </c>
      <c r="D6224" t="s">
        <v>342</v>
      </c>
      <c r="E6224" t="s">
        <v>212</v>
      </c>
      <c r="F6224">
        <v>0</v>
      </c>
      <c r="G6224">
        <v>2</v>
      </c>
      <c r="H6224" t="s">
        <v>224</v>
      </c>
      <c r="I6224" t="s">
        <v>379</v>
      </c>
      <c r="J6224" t="s">
        <v>378</v>
      </c>
      <c r="K6224" t="b">
        <v>1</v>
      </c>
      <c r="L6224">
        <v>2023</v>
      </c>
      <c r="M6224">
        <v>6415852766</v>
      </c>
      <c r="N6224">
        <v>395926075163</v>
      </c>
      <c r="O6224" t="b">
        <v>1</v>
      </c>
      <c r="P6224">
        <v>1</v>
      </c>
      <c r="Q6224" t="str" cm="1">
        <f t="array" ref="Q6224">_xlfn.IFS(Table1[[#This Row],[Wealthier_Winner]]=-1,"Wealthier Nation Loses",Table1[[#This Row],[Wealthier_Winner]]=0,"Tie",Table1[[#This Row],[Wealthier_Winner]]=1,"Wealthier Nation Wins")</f>
        <v>Wealthier Nation Wins</v>
      </c>
    </row>
    <row r="6225" spans="1:17" x14ac:dyDescent="0.2">
      <c r="A6225" s="1">
        <v>8925</v>
      </c>
      <c r="B6225" s="2">
        <v>45249</v>
      </c>
      <c r="C6225" s="7">
        <f>_xlfn.FLOOR.MATH(Table1[[#This Row],[year]],10)</f>
        <v>2020</v>
      </c>
      <c r="D6225" t="s">
        <v>298</v>
      </c>
      <c r="E6225" t="s">
        <v>43</v>
      </c>
      <c r="F6225">
        <v>1</v>
      </c>
      <c r="G6225">
        <v>1</v>
      </c>
      <c r="H6225" t="s">
        <v>224</v>
      </c>
      <c r="I6225" t="s">
        <v>874</v>
      </c>
      <c r="J6225" t="s">
        <v>514</v>
      </c>
      <c r="K6225" t="b">
        <v>1</v>
      </c>
      <c r="L6225">
        <v>2023</v>
      </c>
      <c r="M6225">
        <v>35871779680</v>
      </c>
      <c r="N6225">
        <v>487387801880</v>
      </c>
      <c r="O6225" t="b">
        <v>1</v>
      </c>
      <c r="P6225">
        <v>0</v>
      </c>
      <c r="Q6225" t="str" cm="1">
        <f t="array" ref="Q6225">_xlfn.IFS(Table1[[#This Row],[Wealthier_Winner]]=-1,"Wealthier Nation Loses",Table1[[#This Row],[Wealthier_Winner]]=0,"Tie",Table1[[#This Row],[Wealthier_Winner]]=1,"Wealthier Nation Wins")</f>
        <v>Tie</v>
      </c>
    </row>
    <row r="6226" spans="1:17" x14ac:dyDescent="0.2">
      <c r="A6226" s="1">
        <v>8926</v>
      </c>
      <c r="B6226" s="2">
        <v>45249</v>
      </c>
      <c r="C6226" s="7">
        <f>_xlfn.FLOOR.MATH(Table1[[#This Row],[year]],10)</f>
        <v>2020</v>
      </c>
      <c r="D6226" t="s">
        <v>460</v>
      </c>
      <c r="E6226" t="s">
        <v>433</v>
      </c>
      <c r="F6226">
        <v>1</v>
      </c>
      <c r="G6226">
        <v>2</v>
      </c>
      <c r="H6226" t="s">
        <v>224</v>
      </c>
      <c r="I6226" t="s">
        <v>321</v>
      </c>
      <c r="J6226" t="s">
        <v>320</v>
      </c>
      <c r="K6226" t="b">
        <v>1</v>
      </c>
      <c r="L6226">
        <v>2023</v>
      </c>
      <c r="M6226">
        <v>3430949249</v>
      </c>
      <c r="N6226">
        <v>19388372070</v>
      </c>
      <c r="O6226" t="b">
        <v>1</v>
      </c>
      <c r="P6226">
        <v>1</v>
      </c>
      <c r="Q6226" t="str" cm="1">
        <f t="array" ref="Q6226">_xlfn.IFS(Table1[[#This Row],[Wealthier_Winner]]=-1,"Wealthier Nation Loses",Table1[[#This Row],[Wealthier_Winner]]=0,"Tie",Table1[[#This Row],[Wealthier_Winner]]=1,"Wealthier Nation Wins")</f>
        <v>Wealthier Nation Wins</v>
      </c>
    </row>
    <row r="6227" spans="1:17" x14ac:dyDescent="0.2">
      <c r="A6227" s="1">
        <v>8927</v>
      </c>
      <c r="B6227" s="2">
        <v>45249</v>
      </c>
      <c r="C6227" s="7">
        <f>_xlfn.FLOOR.MATH(Table1[[#This Row],[year]],10)</f>
        <v>2020</v>
      </c>
      <c r="D6227" t="s">
        <v>300</v>
      </c>
      <c r="E6227" t="s">
        <v>32</v>
      </c>
      <c r="F6227">
        <v>0</v>
      </c>
      <c r="G6227">
        <v>2</v>
      </c>
      <c r="H6227" t="s">
        <v>224</v>
      </c>
      <c r="I6227" t="s">
        <v>299</v>
      </c>
      <c r="J6227" t="s">
        <v>300</v>
      </c>
      <c r="K6227" t="b">
        <v>0</v>
      </c>
      <c r="L6227">
        <v>2023</v>
      </c>
      <c r="M6227">
        <v>20921079532</v>
      </c>
      <c r="N6227">
        <v>247923887214</v>
      </c>
      <c r="O6227" t="b">
        <v>1</v>
      </c>
      <c r="P6227">
        <v>1</v>
      </c>
      <c r="Q6227" t="str" cm="1">
        <f t="array" ref="Q6227">_xlfn.IFS(Table1[[#This Row],[Wealthier_Winner]]=-1,"Wealthier Nation Loses",Table1[[#This Row],[Wealthier_Winner]]=0,"Tie",Table1[[#This Row],[Wealthier_Winner]]=1,"Wealthier Nation Wins")</f>
        <v>Wealthier Nation Wins</v>
      </c>
    </row>
    <row r="6228" spans="1:17" x14ac:dyDescent="0.2">
      <c r="A6228" s="1">
        <v>8928</v>
      </c>
      <c r="B6228" s="2">
        <v>45250</v>
      </c>
      <c r="C6228" s="7">
        <f>_xlfn.FLOOR.MATH(Table1[[#This Row],[year]],10)</f>
        <v>2020</v>
      </c>
      <c r="D6228" t="s">
        <v>694</v>
      </c>
      <c r="E6228" t="s">
        <v>508</v>
      </c>
      <c r="F6228">
        <v>0</v>
      </c>
      <c r="G6228">
        <v>1</v>
      </c>
      <c r="H6228" t="s">
        <v>224</v>
      </c>
      <c r="I6228" t="s">
        <v>322</v>
      </c>
      <c r="J6228" t="s">
        <v>212</v>
      </c>
      <c r="K6228" t="b">
        <v>1</v>
      </c>
      <c r="L6228">
        <v>2023</v>
      </c>
      <c r="M6228">
        <v>3898447007</v>
      </c>
      <c r="N6228">
        <v>2127688181</v>
      </c>
      <c r="O6228" t="b">
        <v>0</v>
      </c>
      <c r="P6228">
        <v>-1</v>
      </c>
      <c r="Q6228" t="str" cm="1">
        <f t="array" ref="Q6228">_xlfn.IFS(Table1[[#This Row],[Wealthier_Winner]]=-1,"Wealthier Nation Loses",Table1[[#This Row],[Wealthier_Winner]]=0,"Tie",Table1[[#This Row],[Wealthier_Winner]]=1,"Wealthier Nation Wins")</f>
        <v>Wealthier Nation Loses</v>
      </c>
    </row>
    <row r="6229" spans="1:17" x14ac:dyDescent="0.2">
      <c r="A6229" s="1">
        <v>8930</v>
      </c>
      <c r="B6229" s="2">
        <v>45250</v>
      </c>
      <c r="C6229" s="7">
        <f>_xlfn.FLOOR.MATH(Table1[[#This Row],[year]],10)</f>
        <v>2020</v>
      </c>
      <c r="D6229" t="s">
        <v>583</v>
      </c>
      <c r="E6229" t="s">
        <v>314</v>
      </c>
      <c r="F6229">
        <v>0</v>
      </c>
      <c r="G6229">
        <v>5</v>
      </c>
      <c r="H6229" t="s">
        <v>224</v>
      </c>
      <c r="I6229" t="s">
        <v>489</v>
      </c>
      <c r="J6229" t="s">
        <v>490</v>
      </c>
      <c r="K6229" t="b">
        <v>1</v>
      </c>
      <c r="L6229">
        <v>2023</v>
      </c>
      <c r="M6229">
        <v>2187379754</v>
      </c>
      <c r="N6229">
        <v>107500884685</v>
      </c>
      <c r="O6229" t="b">
        <v>1</v>
      </c>
      <c r="P6229">
        <v>1</v>
      </c>
      <c r="Q6229" t="str" cm="1">
        <f t="array" ref="Q6229">_xlfn.IFS(Table1[[#This Row],[Wealthier_Winner]]=-1,"Wealthier Nation Loses",Table1[[#This Row],[Wealthier_Winner]]=0,"Tie",Table1[[#This Row],[Wealthier_Winner]]=1,"Wealthier Nation Wins")</f>
        <v>Wealthier Nation Wins</v>
      </c>
    </row>
    <row r="6230" spans="1:17" x14ac:dyDescent="0.2">
      <c r="A6230" s="1">
        <v>8931</v>
      </c>
      <c r="B6230" s="2">
        <v>45250</v>
      </c>
      <c r="C6230" s="7">
        <f>_xlfn.FLOOR.MATH(Table1[[#This Row],[year]],10)</f>
        <v>2020</v>
      </c>
      <c r="D6230" t="s">
        <v>378</v>
      </c>
      <c r="E6230" t="s">
        <v>639</v>
      </c>
      <c r="F6230">
        <v>3</v>
      </c>
      <c r="G6230">
        <v>0</v>
      </c>
      <c r="H6230" t="s">
        <v>224</v>
      </c>
      <c r="I6230" t="s">
        <v>379</v>
      </c>
      <c r="J6230" t="s">
        <v>378</v>
      </c>
      <c r="K6230" t="b">
        <v>0</v>
      </c>
      <c r="L6230">
        <v>2023</v>
      </c>
      <c r="M6230">
        <v>4390000000</v>
      </c>
      <c r="N6230">
        <v>12337550583</v>
      </c>
      <c r="O6230" t="b">
        <v>1</v>
      </c>
      <c r="P6230">
        <v>-1</v>
      </c>
      <c r="Q6230" t="str" cm="1">
        <f t="array" ref="Q6230">_xlfn.IFS(Table1[[#This Row],[Wealthier_Winner]]=-1,"Wealthier Nation Loses",Table1[[#This Row],[Wealthier_Winner]]=0,"Tie",Table1[[#This Row],[Wealthier_Winner]]=1,"Wealthier Nation Wins")</f>
        <v>Wealthier Nation Loses</v>
      </c>
    </row>
    <row r="6231" spans="1:17" x14ac:dyDescent="0.2">
      <c r="A6231" s="1">
        <v>8932</v>
      </c>
      <c r="B6231" s="2">
        <v>45250</v>
      </c>
      <c r="C6231" s="7">
        <f>_xlfn.FLOOR.MATH(Table1[[#This Row],[year]],10)</f>
        <v>2020</v>
      </c>
      <c r="D6231" t="s">
        <v>590</v>
      </c>
      <c r="E6231" t="s">
        <v>581</v>
      </c>
      <c r="F6231">
        <v>1</v>
      </c>
      <c r="G6231">
        <v>1</v>
      </c>
      <c r="H6231" t="s">
        <v>224</v>
      </c>
      <c r="I6231" t="s">
        <v>596</v>
      </c>
      <c r="J6231" t="s">
        <v>590</v>
      </c>
      <c r="K6231" t="b">
        <v>0</v>
      </c>
      <c r="L6231">
        <v>2023</v>
      </c>
      <c r="M6231">
        <v>24813860598</v>
      </c>
      <c r="N6231">
        <v>2555492085</v>
      </c>
      <c r="O6231" t="b">
        <v>1</v>
      </c>
      <c r="P6231">
        <v>0</v>
      </c>
      <c r="Q6231" t="str" cm="1">
        <f t="array" ref="Q6231">_xlfn.IFS(Table1[[#This Row],[Wealthier_Winner]]=-1,"Wealthier Nation Loses",Table1[[#This Row],[Wealthier_Winner]]=0,"Tie",Table1[[#This Row],[Wealthier_Winner]]=1,"Wealthier Nation Wins")</f>
        <v>Tie</v>
      </c>
    </row>
    <row r="6232" spans="1:17" x14ac:dyDescent="0.2">
      <c r="A6232" s="1">
        <v>8933</v>
      </c>
      <c r="B6232" s="2">
        <v>45250</v>
      </c>
      <c r="C6232" s="7">
        <f>_xlfn.FLOOR.MATH(Table1[[#This Row],[year]],10)</f>
        <v>2020</v>
      </c>
      <c r="D6232" t="s">
        <v>586</v>
      </c>
      <c r="E6232" t="s">
        <v>410</v>
      </c>
      <c r="F6232">
        <v>0</v>
      </c>
      <c r="G6232">
        <v>3</v>
      </c>
      <c r="H6232" t="s">
        <v>224</v>
      </c>
      <c r="I6232" t="s">
        <v>879</v>
      </c>
      <c r="J6232" t="s">
        <v>24</v>
      </c>
      <c r="K6232" t="b">
        <v>1</v>
      </c>
      <c r="L6232">
        <v>2023</v>
      </c>
      <c r="M6232">
        <v>18340233748</v>
      </c>
      <c r="N6232">
        <v>15869945477</v>
      </c>
      <c r="O6232" t="b">
        <v>0</v>
      </c>
      <c r="P6232">
        <v>-1</v>
      </c>
      <c r="Q6232" t="str" cm="1">
        <f t="array" ref="Q6232">_xlfn.IFS(Table1[[#This Row],[Wealthier_Winner]]=-1,"Wealthier Nation Loses",Table1[[#This Row],[Wealthier_Winner]]=0,"Tie",Table1[[#This Row],[Wealthier_Winner]]=1,"Wealthier Nation Wins")</f>
        <v>Wealthier Nation Loses</v>
      </c>
    </row>
    <row r="6233" spans="1:17" x14ac:dyDescent="0.2">
      <c r="A6233" s="1">
        <v>8934</v>
      </c>
      <c r="B6233" s="2">
        <v>45251</v>
      </c>
      <c r="C6233" s="7">
        <f>_xlfn.FLOOR.MATH(Table1[[#This Row],[year]],10)</f>
        <v>2020</v>
      </c>
      <c r="D6233" t="s">
        <v>57</v>
      </c>
      <c r="E6233" t="s">
        <v>14</v>
      </c>
      <c r="F6233">
        <v>1</v>
      </c>
      <c r="G6233">
        <v>0</v>
      </c>
      <c r="H6233" t="s">
        <v>224</v>
      </c>
      <c r="I6233" t="s">
        <v>335</v>
      </c>
      <c r="J6233" t="s">
        <v>57</v>
      </c>
      <c r="K6233" t="b">
        <v>0</v>
      </c>
      <c r="L6233">
        <v>2023</v>
      </c>
      <c r="M6233">
        <v>121147057000</v>
      </c>
      <c r="N6233">
        <v>335518054097</v>
      </c>
      <c r="O6233" t="b">
        <v>1</v>
      </c>
      <c r="P6233">
        <v>-1</v>
      </c>
      <c r="Q6233" t="str" cm="1">
        <f t="array" ref="Q6233">_xlfn.IFS(Table1[[#This Row],[Wealthier_Winner]]=-1,"Wealthier Nation Loses",Table1[[#This Row],[Wealthier_Winner]]=0,"Tie",Table1[[#This Row],[Wealthier_Winner]]=1,"Wealthier Nation Wins")</f>
        <v>Wealthier Nation Loses</v>
      </c>
    </row>
    <row r="6234" spans="1:17" x14ac:dyDescent="0.2">
      <c r="A6234" s="1">
        <v>8935</v>
      </c>
      <c r="B6234" s="2">
        <v>45251</v>
      </c>
      <c r="C6234" s="7">
        <f>_xlfn.FLOOR.MATH(Table1[[#This Row],[year]],10)</f>
        <v>2020</v>
      </c>
      <c r="D6234" t="s">
        <v>35</v>
      </c>
      <c r="E6234" t="s">
        <v>15</v>
      </c>
      <c r="F6234">
        <v>0</v>
      </c>
      <c r="G6234">
        <v>1</v>
      </c>
      <c r="H6234" t="s">
        <v>224</v>
      </c>
      <c r="I6234" t="s">
        <v>250</v>
      </c>
      <c r="J6234" t="s">
        <v>35</v>
      </c>
      <c r="K6234" t="b">
        <v>0</v>
      </c>
      <c r="L6234">
        <v>2023</v>
      </c>
      <c r="M6234">
        <v>43118053174</v>
      </c>
      <c r="N6234">
        <v>366291836137</v>
      </c>
      <c r="O6234" t="b">
        <v>1</v>
      </c>
      <c r="P6234">
        <v>1</v>
      </c>
      <c r="Q6234" t="str" cm="1">
        <f t="array" ref="Q6234">_xlfn.IFS(Table1[[#This Row],[Wealthier_Winner]]=-1,"Wealthier Nation Loses",Table1[[#This Row],[Wealthier_Winner]]=0,"Tie",Table1[[#This Row],[Wealthier_Winner]]=1,"Wealthier Nation Wins")</f>
        <v>Wealthier Nation Wins</v>
      </c>
    </row>
    <row r="6235" spans="1:17" x14ac:dyDescent="0.2">
      <c r="A6235" s="1">
        <v>8936</v>
      </c>
      <c r="B6235" s="2">
        <v>45251</v>
      </c>
      <c r="C6235" s="7">
        <f>_xlfn.FLOOR.MATH(Table1[[#This Row],[year]],10)</f>
        <v>2020</v>
      </c>
      <c r="D6235" t="s">
        <v>26</v>
      </c>
      <c r="E6235" t="s">
        <v>47</v>
      </c>
      <c r="F6235">
        <v>3</v>
      </c>
      <c r="G6235">
        <v>0</v>
      </c>
      <c r="H6235" t="s">
        <v>224</v>
      </c>
      <c r="I6235" t="s">
        <v>247</v>
      </c>
      <c r="J6235" t="s">
        <v>26</v>
      </c>
      <c r="K6235" t="b">
        <v>0</v>
      </c>
      <c r="L6235">
        <v>2023</v>
      </c>
      <c r="M6235">
        <v>77991666837</v>
      </c>
      <c r="N6235">
        <v>52340206946</v>
      </c>
      <c r="O6235" t="b">
        <v>0</v>
      </c>
      <c r="P6235">
        <v>1</v>
      </c>
      <c r="Q6235" t="str" cm="1">
        <f t="array" ref="Q6235">_xlfn.IFS(Table1[[#This Row],[Wealthier_Winner]]=-1,"Wealthier Nation Loses",Table1[[#This Row],[Wealthier_Winner]]=0,"Tie",Table1[[#This Row],[Wealthier_Winner]]=1,"Wealthier Nation Wins")</f>
        <v>Wealthier Nation Wins</v>
      </c>
    </row>
    <row r="6236" spans="1:17" x14ac:dyDescent="0.2">
      <c r="A6236" s="1">
        <v>8937</v>
      </c>
      <c r="B6236" s="2">
        <v>45251</v>
      </c>
      <c r="C6236" s="7">
        <f>_xlfn.FLOOR.MATH(Table1[[#This Row],[year]],10)</f>
        <v>2020</v>
      </c>
      <c r="D6236" t="s">
        <v>31</v>
      </c>
      <c r="E6236" t="s">
        <v>258</v>
      </c>
      <c r="F6236">
        <v>1</v>
      </c>
      <c r="G6236">
        <v>1</v>
      </c>
      <c r="H6236" t="s">
        <v>224</v>
      </c>
      <c r="I6236" t="s">
        <v>242</v>
      </c>
      <c r="J6236" t="s">
        <v>31</v>
      </c>
      <c r="K6236" t="b">
        <v>0</v>
      </c>
      <c r="L6236">
        <v>2023</v>
      </c>
      <c r="M6236">
        <v>266958720837</v>
      </c>
      <c r="N6236">
        <v>102376526555</v>
      </c>
      <c r="O6236" t="b">
        <v>1</v>
      </c>
      <c r="P6236">
        <v>0</v>
      </c>
      <c r="Q6236" t="str" cm="1">
        <f t="array" ref="Q6236">_xlfn.IFS(Table1[[#This Row],[Wealthier_Winner]]=-1,"Wealthier Nation Loses",Table1[[#This Row],[Wealthier_Winner]]=0,"Tie",Table1[[#This Row],[Wealthier_Winner]]=1,"Wealthier Nation Wins")</f>
        <v>Tie</v>
      </c>
    </row>
    <row r="6237" spans="1:17" x14ac:dyDescent="0.2">
      <c r="A6237" s="1">
        <v>8938</v>
      </c>
      <c r="B6237" s="2">
        <v>45251</v>
      </c>
      <c r="C6237" s="7">
        <f>_xlfn.FLOOR.MATH(Table1[[#This Row],[year]],10)</f>
        <v>2020</v>
      </c>
      <c r="D6237" t="s">
        <v>13</v>
      </c>
      <c r="E6237" t="s">
        <v>19</v>
      </c>
      <c r="F6237">
        <v>0</v>
      </c>
      <c r="G6237">
        <v>1</v>
      </c>
      <c r="H6237" t="s">
        <v>224</v>
      </c>
      <c r="I6237" t="s">
        <v>173</v>
      </c>
      <c r="J6237" t="s">
        <v>13</v>
      </c>
      <c r="K6237" t="b">
        <v>0</v>
      </c>
      <c r="L6237">
        <v>2023</v>
      </c>
      <c r="M6237">
        <v>2191131869706</v>
      </c>
      <c r="N6237">
        <v>649461687959</v>
      </c>
      <c r="O6237" t="b">
        <v>1</v>
      </c>
      <c r="P6237">
        <v>-1</v>
      </c>
      <c r="Q6237" t="str" cm="1">
        <f t="array" ref="Q6237">_xlfn.IFS(Table1[[#This Row],[Wealthier_Winner]]=-1,"Wealthier Nation Loses",Table1[[#This Row],[Wealthier_Winner]]=0,"Tie",Table1[[#This Row],[Wealthier_Winner]]=1,"Wealthier Nation Wins")</f>
        <v>Wealthier Nation Loses</v>
      </c>
    </row>
    <row r="6238" spans="1:17" x14ac:dyDescent="0.2">
      <c r="A6238" s="1">
        <v>8939</v>
      </c>
      <c r="B6238" s="2">
        <v>45251</v>
      </c>
      <c r="C6238" s="7">
        <f>_xlfn.FLOOR.MATH(Table1[[#This Row],[year]],10)</f>
        <v>2020</v>
      </c>
      <c r="D6238" t="s">
        <v>406</v>
      </c>
      <c r="E6238" t="s">
        <v>68</v>
      </c>
      <c r="F6238">
        <v>0</v>
      </c>
      <c r="G6238">
        <v>3</v>
      </c>
      <c r="H6238" t="s">
        <v>224</v>
      </c>
      <c r="I6238" t="s">
        <v>880</v>
      </c>
      <c r="J6238" t="s">
        <v>406</v>
      </c>
      <c r="K6238" t="b">
        <v>0</v>
      </c>
      <c r="L6238">
        <v>2023</v>
      </c>
      <c r="M6238">
        <v>3638489096033</v>
      </c>
      <c r="N6238">
        <v>217308516483</v>
      </c>
      <c r="O6238" t="b">
        <v>1</v>
      </c>
      <c r="P6238">
        <v>-1</v>
      </c>
      <c r="Q6238" t="str" cm="1">
        <f t="array" ref="Q6238">_xlfn.IFS(Table1[[#This Row],[Wealthier_Winner]]=-1,"Wealthier Nation Loses",Table1[[#This Row],[Wealthier_Winner]]=0,"Tie",Table1[[#This Row],[Wealthier_Winner]]=1,"Wealthier Nation Wins")</f>
        <v>Wealthier Nation Loses</v>
      </c>
    </row>
    <row r="6239" spans="1:17" x14ac:dyDescent="0.2">
      <c r="A6239" s="1">
        <v>8940</v>
      </c>
      <c r="B6239" s="2">
        <v>45251</v>
      </c>
      <c r="C6239" s="7">
        <f>_xlfn.FLOOR.MATH(Table1[[#This Row],[year]],10)</f>
        <v>2020</v>
      </c>
      <c r="D6239" t="s">
        <v>641</v>
      </c>
      <c r="E6239" t="s">
        <v>71</v>
      </c>
      <c r="F6239">
        <v>0</v>
      </c>
      <c r="G6239">
        <v>4</v>
      </c>
      <c r="H6239" t="s">
        <v>224</v>
      </c>
      <c r="I6239" t="s">
        <v>612</v>
      </c>
      <c r="J6239" t="s">
        <v>45</v>
      </c>
      <c r="K6239" t="b">
        <v>1</v>
      </c>
      <c r="L6239">
        <v>2023</v>
      </c>
      <c r="M6239">
        <v>17152234636</v>
      </c>
      <c r="N6239">
        <v>165384407116</v>
      </c>
      <c r="O6239" t="b">
        <v>1</v>
      </c>
      <c r="P6239">
        <v>1</v>
      </c>
      <c r="Q6239" t="str" cm="1">
        <f t="array" ref="Q6239">_xlfn.IFS(Table1[[#This Row],[Wealthier_Winner]]=-1,"Wealthier Nation Loses",Table1[[#This Row],[Wealthier_Winner]]=0,"Tie",Table1[[#This Row],[Wealthier_Winner]]=1,"Wealthier Nation Wins")</f>
        <v>Wealthier Nation Wins</v>
      </c>
    </row>
    <row r="6240" spans="1:17" x14ac:dyDescent="0.2">
      <c r="A6240" s="1">
        <v>8944</v>
      </c>
      <c r="B6240" s="2">
        <v>45251</v>
      </c>
      <c r="C6240" s="7">
        <f>_xlfn.FLOOR.MATH(Table1[[#This Row],[year]],10)</f>
        <v>2020</v>
      </c>
      <c r="D6240" t="s">
        <v>359</v>
      </c>
      <c r="E6240" t="s">
        <v>334</v>
      </c>
      <c r="F6240">
        <v>1</v>
      </c>
      <c r="G6240">
        <v>3</v>
      </c>
      <c r="H6240" t="s">
        <v>224</v>
      </c>
      <c r="I6240" t="s">
        <v>360</v>
      </c>
      <c r="J6240" t="s">
        <v>359</v>
      </c>
      <c r="K6240" t="b">
        <v>0</v>
      </c>
      <c r="L6240">
        <v>2023</v>
      </c>
      <c r="M6240">
        <v>505439514078</v>
      </c>
      <c r="N6240">
        <v>515906283940</v>
      </c>
      <c r="O6240" t="b">
        <v>0</v>
      </c>
      <c r="P6240">
        <v>1</v>
      </c>
      <c r="Q6240" t="str" cm="1">
        <f t="array" ref="Q6240">_xlfn.IFS(Table1[[#This Row],[Wealthier_Winner]]=-1,"Wealthier Nation Loses",Table1[[#This Row],[Wealthier_Winner]]=0,"Tie",Table1[[#This Row],[Wealthier_Winner]]=1,"Wealthier Nation Wins")</f>
        <v>Wealthier Nation Wins</v>
      </c>
    </row>
    <row r="6241" spans="1:17" x14ac:dyDescent="0.2">
      <c r="A6241" s="1">
        <v>8947</v>
      </c>
      <c r="B6241" s="2">
        <v>45251</v>
      </c>
      <c r="C6241" s="7">
        <f>_xlfn.FLOOR.MATH(Table1[[#This Row],[year]],10)</f>
        <v>2020</v>
      </c>
      <c r="D6241" t="s">
        <v>563</v>
      </c>
      <c r="E6241" t="s">
        <v>210</v>
      </c>
      <c r="F6241">
        <v>2</v>
      </c>
      <c r="G6241">
        <v>2</v>
      </c>
      <c r="H6241" t="s">
        <v>224</v>
      </c>
      <c r="I6241" t="s">
        <v>564</v>
      </c>
      <c r="J6241" t="s">
        <v>563</v>
      </c>
      <c r="K6241" t="b">
        <v>0</v>
      </c>
      <c r="L6241">
        <v>2023</v>
      </c>
      <c r="M6241">
        <v>102641879248</v>
      </c>
      <c r="N6241">
        <v>457510482317</v>
      </c>
      <c r="O6241" t="b">
        <v>1</v>
      </c>
      <c r="P6241">
        <v>0</v>
      </c>
      <c r="Q6241" t="str" cm="1">
        <f t="array" ref="Q6241">_xlfn.IFS(Table1[[#This Row],[Wealthier_Winner]]=-1,"Wealthier Nation Loses",Table1[[#This Row],[Wealthier_Winner]]=0,"Tie",Table1[[#This Row],[Wealthier_Winner]]=1,"Wealthier Nation Wins")</f>
        <v>Tie</v>
      </c>
    </row>
    <row r="6242" spans="1:17" x14ac:dyDescent="0.2">
      <c r="A6242" s="1">
        <v>8949</v>
      </c>
      <c r="B6242" s="2">
        <v>45251</v>
      </c>
      <c r="C6242" s="7">
        <f>_xlfn.FLOOR.MATH(Table1[[#This Row],[year]],10)</f>
        <v>2020</v>
      </c>
      <c r="D6242" t="s">
        <v>532</v>
      </c>
      <c r="E6242" t="s">
        <v>328</v>
      </c>
      <c r="F6242">
        <v>1</v>
      </c>
      <c r="G6242">
        <v>1</v>
      </c>
      <c r="H6242" t="s">
        <v>224</v>
      </c>
      <c r="I6242" t="s">
        <v>740</v>
      </c>
      <c r="J6242" t="s">
        <v>532</v>
      </c>
      <c r="K6242" t="b">
        <v>0</v>
      </c>
      <c r="L6242">
        <v>2023</v>
      </c>
      <c r="M6242">
        <v>437055627244</v>
      </c>
      <c r="N6242">
        <v>1371169301563</v>
      </c>
      <c r="O6242" t="b">
        <v>1</v>
      </c>
      <c r="P6242">
        <v>0</v>
      </c>
      <c r="Q6242" t="str" cm="1">
        <f t="array" ref="Q6242">_xlfn.IFS(Table1[[#This Row],[Wealthier_Winner]]=-1,"Wealthier Nation Loses",Table1[[#This Row],[Wealthier_Winner]]=0,"Tie",Table1[[#This Row],[Wealthier_Winner]]=1,"Wealthier Nation Wins")</f>
        <v>Tie</v>
      </c>
    </row>
    <row r="6243" spans="1:17" x14ac:dyDescent="0.2">
      <c r="A6243" s="1">
        <v>8950</v>
      </c>
      <c r="B6243" s="2">
        <v>45251</v>
      </c>
      <c r="C6243" s="7">
        <f>_xlfn.FLOOR.MATH(Table1[[#This Row],[year]],10)</f>
        <v>2020</v>
      </c>
      <c r="D6243" t="s">
        <v>475</v>
      </c>
      <c r="E6243" t="s">
        <v>37</v>
      </c>
      <c r="F6243">
        <v>0</v>
      </c>
      <c r="G6243">
        <v>1</v>
      </c>
      <c r="H6243" t="s">
        <v>224</v>
      </c>
      <c r="I6243" t="s">
        <v>647</v>
      </c>
      <c r="J6243" t="s">
        <v>475</v>
      </c>
      <c r="K6243" t="b">
        <v>0</v>
      </c>
      <c r="L6243">
        <v>2023</v>
      </c>
      <c r="M6243">
        <v>433857681378</v>
      </c>
      <c r="N6243">
        <v>268881051643</v>
      </c>
      <c r="O6243" t="b">
        <v>0</v>
      </c>
      <c r="P6243">
        <v>-1</v>
      </c>
      <c r="Q6243" t="str" cm="1">
        <f t="array" ref="Q6243">_xlfn.IFS(Table1[[#This Row],[Wealthier_Winner]]=-1,"Wealthier Nation Loses",Table1[[#This Row],[Wealthier_Winner]]=0,"Tie",Table1[[#This Row],[Wealthier_Winner]]=1,"Wealthier Nation Wins")</f>
        <v>Wealthier Nation Loses</v>
      </c>
    </row>
    <row r="6244" spans="1:17" x14ac:dyDescent="0.2">
      <c r="A6244" s="1">
        <v>8951</v>
      </c>
      <c r="B6244" s="2">
        <v>45251</v>
      </c>
      <c r="C6244" s="7">
        <f>_xlfn.FLOOR.MATH(Table1[[#This Row],[year]],10)</f>
        <v>2020</v>
      </c>
      <c r="D6244" t="s">
        <v>431</v>
      </c>
      <c r="E6244" t="s">
        <v>556</v>
      </c>
      <c r="F6244">
        <v>1</v>
      </c>
      <c r="G6244">
        <v>6</v>
      </c>
      <c r="H6244" t="s">
        <v>224</v>
      </c>
      <c r="I6244" t="s">
        <v>432</v>
      </c>
      <c r="J6244" t="s">
        <v>431</v>
      </c>
      <c r="K6244" t="b">
        <v>0</v>
      </c>
      <c r="L6244">
        <v>2023</v>
      </c>
      <c r="M6244">
        <v>336686348609</v>
      </c>
      <c r="N6244">
        <v>12244169292</v>
      </c>
      <c r="O6244" t="b">
        <v>1</v>
      </c>
      <c r="P6244">
        <v>-1</v>
      </c>
      <c r="Q6244" t="str" cm="1">
        <f t="array" ref="Q6244">_xlfn.IFS(Table1[[#This Row],[Wealthier_Winner]]=-1,"Wealthier Nation Loses",Table1[[#This Row],[Wealthier_Winner]]=0,"Tie",Table1[[#This Row],[Wealthier_Winner]]=1,"Wealthier Nation Wins")</f>
        <v>Wealthier Nation Loses</v>
      </c>
    </row>
    <row r="6245" spans="1:17" x14ac:dyDescent="0.2">
      <c r="A6245" s="1">
        <v>8952</v>
      </c>
      <c r="B6245" s="2">
        <v>45251</v>
      </c>
      <c r="C6245" s="7">
        <f>_xlfn.FLOOR.MATH(Table1[[#This Row],[year]],10)</f>
        <v>2020</v>
      </c>
      <c r="D6245" t="s">
        <v>403</v>
      </c>
      <c r="E6245" t="s">
        <v>45</v>
      </c>
      <c r="F6245">
        <v>0</v>
      </c>
      <c r="G6245">
        <v>2</v>
      </c>
      <c r="H6245" t="s">
        <v>224</v>
      </c>
      <c r="I6245" t="s">
        <v>404</v>
      </c>
      <c r="J6245" t="s">
        <v>403</v>
      </c>
      <c r="K6245" t="b">
        <v>0</v>
      </c>
      <c r="L6245">
        <v>2023</v>
      </c>
      <c r="M6245">
        <v>51088476338</v>
      </c>
      <c r="N6245">
        <v>1218584533333</v>
      </c>
      <c r="O6245" t="b">
        <v>1</v>
      </c>
      <c r="P6245">
        <v>1</v>
      </c>
      <c r="Q6245" t="str" cm="1">
        <f t="array" ref="Q6245">_xlfn.IFS(Table1[[#This Row],[Wealthier_Winner]]=-1,"Wealthier Nation Loses",Table1[[#This Row],[Wealthier_Winner]]=0,"Tie",Table1[[#This Row],[Wealthier_Winner]]=1,"Wealthier Nation Wins")</f>
        <v>Wealthier Nation Wins</v>
      </c>
    </row>
    <row r="6246" spans="1:17" x14ac:dyDescent="0.2">
      <c r="A6246" s="1">
        <v>8953</v>
      </c>
      <c r="B6246" s="2">
        <v>45251</v>
      </c>
      <c r="C6246" s="7">
        <f>_xlfn.FLOOR.MATH(Table1[[#This Row],[year]],10)</f>
        <v>2020</v>
      </c>
      <c r="D6246" t="s">
        <v>361</v>
      </c>
      <c r="E6246" t="s">
        <v>39</v>
      </c>
      <c r="F6246">
        <v>0</v>
      </c>
      <c r="G6246">
        <v>2</v>
      </c>
      <c r="H6246" t="s">
        <v>224</v>
      </c>
      <c r="I6246" t="s">
        <v>419</v>
      </c>
      <c r="J6246" t="s">
        <v>361</v>
      </c>
      <c r="K6246" t="b">
        <v>0</v>
      </c>
      <c r="L6246">
        <v>2023</v>
      </c>
      <c r="M6246">
        <v>46192260638</v>
      </c>
      <c r="N6246">
        <v>522622191967</v>
      </c>
      <c r="O6246" t="b">
        <v>1</v>
      </c>
      <c r="P6246">
        <v>1</v>
      </c>
      <c r="Q6246" t="str" cm="1">
        <f t="array" ref="Q6246">_xlfn.IFS(Table1[[#This Row],[Wealthier_Winner]]=-1,"Wealthier Nation Loses",Table1[[#This Row],[Wealthier_Winner]]=0,"Tie",Table1[[#This Row],[Wealthier_Winner]]=1,"Wealthier Nation Wins")</f>
        <v>Wealthier Nation Wins</v>
      </c>
    </row>
    <row r="6247" spans="1:17" x14ac:dyDescent="0.2">
      <c r="A6247" s="1">
        <v>8956</v>
      </c>
      <c r="B6247" s="2">
        <v>45251</v>
      </c>
      <c r="C6247" s="7">
        <f>_xlfn.FLOOR.MATH(Table1[[#This Row],[year]],10)</f>
        <v>2020</v>
      </c>
      <c r="D6247" t="s">
        <v>405</v>
      </c>
      <c r="E6247" t="s">
        <v>479</v>
      </c>
      <c r="F6247">
        <v>1</v>
      </c>
      <c r="G6247">
        <v>1</v>
      </c>
      <c r="H6247" t="s">
        <v>224</v>
      </c>
      <c r="I6247" t="s">
        <v>409</v>
      </c>
      <c r="J6247" t="s">
        <v>405</v>
      </c>
      <c r="K6247" t="b">
        <v>0</v>
      </c>
      <c r="L6247">
        <v>2023</v>
      </c>
      <c r="M6247">
        <v>437415333018</v>
      </c>
      <c r="N6247">
        <v>20078620356</v>
      </c>
      <c r="O6247" t="b">
        <v>1</v>
      </c>
      <c r="P6247">
        <v>0</v>
      </c>
      <c r="Q6247" t="str" cm="1">
        <f t="array" ref="Q6247">_xlfn.IFS(Table1[[#This Row],[Wealthier_Winner]]=-1,"Wealthier Nation Loses",Table1[[#This Row],[Wealthier_Winner]]=0,"Tie",Table1[[#This Row],[Wealthier_Winner]]=1,"Wealthier Nation Wins")</f>
        <v>Tie</v>
      </c>
    </row>
    <row r="6248" spans="1:17" x14ac:dyDescent="0.2">
      <c r="A6248" s="1">
        <v>8957</v>
      </c>
      <c r="B6248" s="2">
        <v>45251</v>
      </c>
      <c r="C6248" s="7">
        <f>_xlfn.FLOOR.MATH(Table1[[#This Row],[year]],10)</f>
        <v>2020</v>
      </c>
      <c r="D6248" t="s">
        <v>238</v>
      </c>
      <c r="E6248" t="s">
        <v>345</v>
      </c>
      <c r="F6248">
        <v>0</v>
      </c>
      <c r="G6248">
        <v>3</v>
      </c>
      <c r="H6248" t="s">
        <v>224</v>
      </c>
      <c r="I6248" t="s">
        <v>873</v>
      </c>
      <c r="J6248" t="s">
        <v>24</v>
      </c>
      <c r="K6248" t="b">
        <v>1</v>
      </c>
      <c r="L6248">
        <v>2023</v>
      </c>
      <c r="M6248">
        <v>135874093202</v>
      </c>
      <c r="N6248">
        <v>20112614449</v>
      </c>
      <c r="O6248" t="b">
        <v>1</v>
      </c>
      <c r="P6248">
        <v>-1</v>
      </c>
      <c r="Q6248" t="str" cm="1">
        <f t="array" ref="Q6248">_xlfn.IFS(Table1[[#This Row],[Wealthier_Winner]]=-1,"Wealthier Nation Loses",Table1[[#This Row],[Wealthier_Winner]]=0,"Tie",Table1[[#This Row],[Wealthier_Winner]]=1,"Wealthier Nation Wins")</f>
        <v>Wealthier Nation Loses</v>
      </c>
    </row>
    <row r="6249" spans="1:17" x14ac:dyDescent="0.2">
      <c r="A6249" s="1">
        <v>8959</v>
      </c>
      <c r="B6249" s="2">
        <v>45251</v>
      </c>
      <c r="C6249" s="7">
        <f>_xlfn.FLOOR.MATH(Table1[[#This Row],[year]],10)</f>
        <v>2020</v>
      </c>
      <c r="D6249" t="s">
        <v>62</v>
      </c>
      <c r="E6249" t="s">
        <v>54</v>
      </c>
      <c r="F6249">
        <v>0</v>
      </c>
      <c r="G6249">
        <v>0</v>
      </c>
      <c r="H6249" t="s">
        <v>224</v>
      </c>
      <c r="I6249" t="s">
        <v>353</v>
      </c>
      <c r="J6249" t="s">
        <v>62</v>
      </c>
      <c r="K6249" t="b">
        <v>0</v>
      </c>
      <c r="L6249">
        <v>2023</v>
      </c>
      <c r="M6249">
        <v>9816236302</v>
      </c>
      <c r="N6249">
        <v>30696331295</v>
      </c>
      <c r="O6249" t="b">
        <v>1</v>
      </c>
      <c r="P6249">
        <v>0</v>
      </c>
      <c r="Q6249" t="str" cm="1">
        <f t="array" ref="Q6249">_xlfn.IFS(Table1[[#This Row],[Wealthier_Winner]]=-1,"Wealthier Nation Loses",Table1[[#This Row],[Wealthier_Winner]]=0,"Tie",Table1[[#This Row],[Wealthier_Winner]]=1,"Wealthier Nation Wins")</f>
        <v>Tie</v>
      </c>
    </row>
    <row r="6250" spans="1:17" x14ac:dyDescent="0.2">
      <c r="A6250" s="1">
        <v>8960</v>
      </c>
      <c r="B6250" s="2">
        <v>45251</v>
      </c>
      <c r="C6250" s="7">
        <f>_xlfn.FLOOR.MATH(Table1[[#This Row],[year]],10)</f>
        <v>2020</v>
      </c>
      <c r="D6250" t="s">
        <v>307</v>
      </c>
      <c r="E6250" t="s">
        <v>310</v>
      </c>
      <c r="F6250">
        <v>0</v>
      </c>
      <c r="G6250">
        <v>0</v>
      </c>
      <c r="H6250" t="s">
        <v>224</v>
      </c>
      <c r="I6250" t="s">
        <v>163</v>
      </c>
      <c r="J6250" t="s">
        <v>50</v>
      </c>
      <c r="K6250" t="b">
        <v>1</v>
      </c>
      <c r="L6250">
        <v>2023</v>
      </c>
      <c r="M6250">
        <v>2117962445</v>
      </c>
      <c r="N6250">
        <v>19673291004</v>
      </c>
      <c r="O6250" t="b">
        <v>1</v>
      </c>
      <c r="P6250">
        <v>0</v>
      </c>
      <c r="Q6250" t="str" cm="1">
        <f t="array" ref="Q6250">_xlfn.IFS(Table1[[#This Row],[Wealthier_Winner]]=-1,"Wealthier Nation Loses",Table1[[#This Row],[Wealthier_Winner]]=0,"Tie",Table1[[#This Row],[Wealthier_Winner]]=1,"Wealthier Nation Wins")</f>
        <v>Tie</v>
      </c>
    </row>
    <row r="6251" spans="1:17" x14ac:dyDescent="0.2">
      <c r="A6251" s="1">
        <v>8961</v>
      </c>
      <c r="B6251" s="2">
        <v>45251</v>
      </c>
      <c r="C6251" s="7">
        <f>_xlfn.FLOOR.MATH(Table1[[#This Row],[year]],10)</f>
        <v>2020</v>
      </c>
      <c r="D6251" t="s">
        <v>514</v>
      </c>
      <c r="E6251" t="s">
        <v>50</v>
      </c>
      <c r="F6251">
        <v>2</v>
      </c>
      <c r="G6251">
        <v>0</v>
      </c>
      <c r="H6251" t="s">
        <v>224</v>
      </c>
      <c r="I6251" t="s">
        <v>874</v>
      </c>
      <c r="J6251" t="s">
        <v>514</v>
      </c>
      <c r="K6251" t="b">
        <v>0</v>
      </c>
      <c r="L6251">
        <v>2023</v>
      </c>
      <c r="M6251">
        <v>14331722703</v>
      </c>
      <c r="N6251">
        <v>381440724491</v>
      </c>
      <c r="O6251" t="b">
        <v>1</v>
      </c>
      <c r="P6251">
        <v>-1</v>
      </c>
      <c r="Q6251" t="str" cm="1">
        <f t="array" ref="Q6251">_xlfn.IFS(Table1[[#This Row],[Wealthier_Winner]]=-1,"Wealthier Nation Loses",Table1[[#This Row],[Wealthier_Winner]]=0,"Tie",Table1[[#This Row],[Wealthier_Winner]]=1,"Wealthier Nation Wins")</f>
        <v>Wealthier Nation Loses</v>
      </c>
    </row>
    <row r="6252" spans="1:17" x14ac:dyDescent="0.2">
      <c r="A6252" s="1">
        <v>8963</v>
      </c>
      <c r="B6252" s="2">
        <v>45251</v>
      </c>
      <c r="C6252" s="7">
        <f>_xlfn.FLOOR.MATH(Table1[[#This Row],[year]],10)</f>
        <v>2020</v>
      </c>
      <c r="D6252" t="s">
        <v>286</v>
      </c>
      <c r="E6252" t="s">
        <v>40</v>
      </c>
      <c r="F6252">
        <v>1</v>
      </c>
      <c r="G6252">
        <v>1</v>
      </c>
      <c r="H6252" t="s">
        <v>224</v>
      </c>
      <c r="I6252" t="s">
        <v>613</v>
      </c>
      <c r="J6252" t="s">
        <v>286</v>
      </c>
      <c r="K6252" t="b">
        <v>0</v>
      </c>
      <c r="L6252">
        <v>2023</v>
      </c>
      <c r="M6252">
        <v>44027664915</v>
      </c>
      <c r="N6252">
        <v>48814501547</v>
      </c>
      <c r="O6252" t="b">
        <v>0</v>
      </c>
      <c r="P6252">
        <v>0</v>
      </c>
      <c r="Q6252" t="str" cm="1">
        <f t="array" ref="Q6252">_xlfn.IFS(Table1[[#This Row],[Wealthier_Winner]]=-1,"Wealthier Nation Loses",Table1[[#This Row],[Wealthier_Winner]]=0,"Tie",Table1[[#This Row],[Wealthier_Winner]]=1,"Wealthier Nation Wins")</f>
        <v>Tie</v>
      </c>
    </row>
    <row r="6253" spans="1:17" x14ac:dyDescent="0.2">
      <c r="A6253" s="1">
        <v>8964</v>
      </c>
      <c r="B6253" s="2">
        <v>45251</v>
      </c>
      <c r="C6253" s="7">
        <f>_xlfn.FLOOR.MATH(Table1[[#This Row],[year]],10)</f>
        <v>2020</v>
      </c>
      <c r="D6253" t="s">
        <v>323</v>
      </c>
      <c r="E6253" t="s">
        <v>60</v>
      </c>
      <c r="F6253">
        <v>0</v>
      </c>
      <c r="G6253">
        <v>0</v>
      </c>
      <c r="H6253" t="s">
        <v>224</v>
      </c>
      <c r="I6253" t="s">
        <v>881</v>
      </c>
      <c r="J6253" t="s">
        <v>323</v>
      </c>
      <c r="K6253" t="b">
        <v>0</v>
      </c>
      <c r="L6253">
        <v>2023</v>
      </c>
      <c r="M6253">
        <v>14072212290</v>
      </c>
      <c r="N6253">
        <v>107167747140</v>
      </c>
      <c r="O6253" t="b">
        <v>1</v>
      </c>
      <c r="P6253">
        <v>0</v>
      </c>
      <c r="Q6253" t="str" cm="1">
        <f t="array" ref="Q6253">_xlfn.IFS(Table1[[#This Row],[Wealthier_Winner]]=-1,"Wealthier Nation Loses",Table1[[#This Row],[Wealthier_Winner]]=0,"Tie",Table1[[#This Row],[Wealthier_Winner]]=1,"Wealthier Nation Wins")</f>
        <v>Tie</v>
      </c>
    </row>
    <row r="6254" spans="1:17" x14ac:dyDescent="0.2">
      <c r="A6254" s="1">
        <v>8965</v>
      </c>
      <c r="B6254" s="2">
        <v>45251</v>
      </c>
      <c r="C6254" s="7">
        <f>_xlfn.FLOOR.MATH(Table1[[#This Row],[year]],10)</f>
        <v>2020</v>
      </c>
      <c r="D6254" t="s">
        <v>343</v>
      </c>
      <c r="E6254" t="s">
        <v>273</v>
      </c>
      <c r="F6254">
        <v>2</v>
      </c>
      <c r="G6254">
        <v>1</v>
      </c>
      <c r="H6254" t="s">
        <v>224</v>
      </c>
      <c r="I6254" t="s">
        <v>761</v>
      </c>
      <c r="J6254" t="s">
        <v>24</v>
      </c>
      <c r="K6254" t="b">
        <v>1</v>
      </c>
      <c r="L6254">
        <v>2023</v>
      </c>
      <c r="M6254">
        <v>16698786977</v>
      </c>
      <c r="N6254">
        <v>27577956471</v>
      </c>
      <c r="O6254" t="b">
        <v>0</v>
      </c>
      <c r="P6254">
        <v>-1</v>
      </c>
      <c r="Q6254" t="str" cm="1">
        <f t="array" ref="Q6254">_xlfn.IFS(Table1[[#This Row],[Wealthier_Winner]]=-1,"Wealthier Nation Loses",Table1[[#This Row],[Wealthier_Winner]]=0,"Tie",Table1[[#This Row],[Wealthier_Winner]]=1,"Wealthier Nation Wins")</f>
        <v>Wealthier Nation Loses</v>
      </c>
    </row>
    <row r="6255" spans="1:17" x14ac:dyDescent="0.2">
      <c r="A6255" s="1">
        <v>8966</v>
      </c>
      <c r="B6255" s="2">
        <v>45251</v>
      </c>
      <c r="C6255" s="7">
        <f>_xlfn.FLOOR.MATH(Table1[[#This Row],[year]],10)</f>
        <v>2020</v>
      </c>
      <c r="D6255" t="s">
        <v>320</v>
      </c>
      <c r="E6255" t="s">
        <v>24</v>
      </c>
      <c r="F6255">
        <v>0</v>
      </c>
      <c r="G6255">
        <v>2</v>
      </c>
      <c r="H6255" t="s">
        <v>224</v>
      </c>
      <c r="I6255" t="s">
        <v>321</v>
      </c>
      <c r="J6255" t="s">
        <v>320</v>
      </c>
      <c r="K6255" t="b">
        <v>0</v>
      </c>
      <c r="L6255">
        <v>2023</v>
      </c>
      <c r="M6255">
        <v>79030935627</v>
      </c>
      <c r="N6255">
        <v>146036093666</v>
      </c>
      <c r="O6255" t="b">
        <v>0</v>
      </c>
      <c r="P6255">
        <v>1</v>
      </c>
      <c r="Q6255" t="str" cm="1">
        <f t="array" ref="Q6255">_xlfn.IFS(Table1[[#This Row],[Wealthier_Winner]]=-1,"Wealthier Nation Loses",Table1[[#This Row],[Wealthier_Winner]]=0,"Tie",Table1[[#This Row],[Wealthier_Winner]]=1,"Wealthier Nation Wins")</f>
        <v>Wealthier Nation Wins</v>
      </c>
    </row>
    <row r="6256" spans="1:17" x14ac:dyDescent="0.2">
      <c r="A6256" s="1">
        <v>8968</v>
      </c>
      <c r="B6256" s="2">
        <v>45251</v>
      </c>
      <c r="C6256" s="7">
        <f>_xlfn.FLOOR.MATH(Table1[[#This Row],[year]],10)</f>
        <v>2020</v>
      </c>
      <c r="D6256" t="s">
        <v>469</v>
      </c>
      <c r="E6256" t="s">
        <v>305</v>
      </c>
      <c r="F6256">
        <v>1</v>
      </c>
      <c r="G6256">
        <v>0</v>
      </c>
      <c r="H6256" t="s">
        <v>224</v>
      </c>
      <c r="I6256" t="s">
        <v>799</v>
      </c>
      <c r="J6256" t="s">
        <v>469</v>
      </c>
      <c r="K6256" t="b">
        <v>0</v>
      </c>
      <c r="L6256">
        <v>2023</v>
      </c>
      <c r="M6256">
        <v>19411266967</v>
      </c>
      <c r="N6256">
        <v>22407615556</v>
      </c>
      <c r="O6256" t="b">
        <v>0</v>
      </c>
      <c r="P6256">
        <v>-1</v>
      </c>
      <c r="Q6256" t="str" cm="1">
        <f t="array" ref="Q6256">_xlfn.IFS(Table1[[#This Row],[Wealthier_Winner]]=-1,"Wealthier Nation Loses",Table1[[#This Row],[Wealthier_Winner]]=0,"Tie",Table1[[#This Row],[Wealthier_Winner]]=1,"Wealthier Nation Wins")</f>
        <v>Wealthier Nation Loses</v>
      </c>
    </row>
    <row r="6257" spans="1:17" x14ac:dyDescent="0.2">
      <c r="A6257" s="1">
        <v>8969</v>
      </c>
      <c r="B6257" s="2">
        <v>45251</v>
      </c>
      <c r="C6257" s="7">
        <f>_xlfn.FLOOR.MATH(Table1[[#This Row],[year]],10)</f>
        <v>2020</v>
      </c>
      <c r="D6257" t="s">
        <v>370</v>
      </c>
      <c r="E6257" t="s">
        <v>53</v>
      </c>
      <c r="F6257">
        <v>0</v>
      </c>
      <c r="G6257">
        <v>1</v>
      </c>
      <c r="H6257" t="s">
        <v>224</v>
      </c>
      <c r="I6257" t="s">
        <v>397</v>
      </c>
      <c r="J6257" t="s">
        <v>370</v>
      </c>
      <c r="K6257" t="b">
        <v>0</v>
      </c>
      <c r="L6257">
        <v>2023</v>
      </c>
      <c r="M6257">
        <v>13363669672</v>
      </c>
      <c r="N6257">
        <v>48205328303</v>
      </c>
      <c r="O6257" t="b">
        <v>1</v>
      </c>
      <c r="P6257">
        <v>1</v>
      </c>
      <c r="Q6257" t="str" cm="1">
        <f t="array" ref="Q6257">_xlfn.IFS(Table1[[#This Row],[Wealthier_Winner]]=-1,"Wealthier Nation Loses",Table1[[#This Row],[Wealthier_Winner]]=0,"Tie",Table1[[#This Row],[Wealthier_Winner]]=1,"Wealthier Nation Wins")</f>
        <v>Wealthier Nation Wins</v>
      </c>
    </row>
    <row r="6258" spans="1:17" x14ac:dyDescent="0.2">
      <c r="A6258" s="1">
        <v>8971</v>
      </c>
      <c r="B6258" s="2">
        <v>45251</v>
      </c>
      <c r="C6258" s="7">
        <f>_xlfn.FLOOR.MATH(Table1[[#This Row],[year]],10)</f>
        <v>2020</v>
      </c>
      <c r="D6258" t="s">
        <v>688</v>
      </c>
      <c r="E6258" t="s">
        <v>63</v>
      </c>
      <c r="F6258">
        <v>1</v>
      </c>
      <c r="G6258">
        <v>0</v>
      </c>
      <c r="H6258" t="s">
        <v>224</v>
      </c>
      <c r="I6258" t="s">
        <v>690</v>
      </c>
      <c r="J6258" t="s">
        <v>688</v>
      </c>
      <c r="K6258" t="b">
        <v>0</v>
      </c>
      <c r="L6258">
        <v>2023</v>
      </c>
      <c r="M6258">
        <v>1326836543</v>
      </c>
      <c r="N6258">
        <v>80547146878</v>
      </c>
      <c r="O6258" t="b">
        <v>1</v>
      </c>
      <c r="P6258">
        <v>-1</v>
      </c>
      <c r="Q6258" t="str" cm="1">
        <f t="array" ref="Q6258">_xlfn.IFS(Table1[[#This Row],[Wealthier_Winner]]=-1,"Wealthier Nation Loses",Table1[[#This Row],[Wealthier_Winner]]=0,"Tie",Table1[[#This Row],[Wealthier_Winner]]=1,"Wealthier Nation Wins")</f>
        <v>Wealthier Nation Loses</v>
      </c>
    </row>
    <row r="6259" spans="1:17" x14ac:dyDescent="0.2">
      <c r="A6259" s="1">
        <v>8972</v>
      </c>
      <c r="B6259" s="2">
        <v>45372</v>
      </c>
      <c r="C6259" s="7">
        <f>_xlfn.FLOOR.MATH(Table1[[#This Row],[year]],10)</f>
        <v>2020</v>
      </c>
      <c r="D6259" t="s">
        <v>68</v>
      </c>
      <c r="E6259" t="s">
        <v>71</v>
      </c>
      <c r="F6259">
        <v>3</v>
      </c>
      <c r="G6259">
        <v>0</v>
      </c>
      <c r="H6259" t="s">
        <v>224</v>
      </c>
      <c r="I6259" t="s">
        <v>190</v>
      </c>
      <c r="J6259" t="s">
        <v>68</v>
      </c>
      <c r="K6259" t="b">
        <v>0</v>
      </c>
      <c r="L6259">
        <v>2024</v>
      </c>
      <c r="M6259">
        <v>219162637362</v>
      </c>
      <c r="N6259">
        <v>160227273053</v>
      </c>
      <c r="O6259" t="b">
        <v>0</v>
      </c>
      <c r="P6259">
        <v>1</v>
      </c>
      <c r="Q6259" t="str" cm="1">
        <f t="array" ref="Q6259">_xlfn.IFS(Table1[[#This Row],[Wealthier_Winner]]=-1,"Wealthier Nation Loses",Table1[[#This Row],[Wealthier_Winner]]=0,"Tie",Table1[[#This Row],[Wealthier_Winner]]=1,"Wealthier Nation Wins")</f>
        <v>Wealthier Nation Wins</v>
      </c>
    </row>
    <row r="6260" spans="1:17" x14ac:dyDescent="0.2">
      <c r="A6260" s="1">
        <v>8976</v>
      </c>
      <c r="B6260" s="2">
        <v>45372</v>
      </c>
      <c r="C6260" s="7">
        <f>_xlfn.FLOOR.MATH(Table1[[#This Row],[year]],10)</f>
        <v>2020</v>
      </c>
      <c r="D6260" t="s">
        <v>195</v>
      </c>
      <c r="E6260" t="s">
        <v>334</v>
      </c>
      <c r="F6260">
        <v>1</v>
      </c>
      <c r="G6260">
        <v>1</v>
      </c>
      <c r="H6260" t="s">
        <v>224</v>
      </c>
      <c r="I6260" t="s">
        <v>136</v>
      </c>
      <c r="J6260" t="s">
        <v>195</v>
      </c>
      <c r="K6260" t="b">
        <v>0</v>
      </c>
      <c r="L6260">
        <v>2024</v>
      </c>
      <c r="M6260">
        <v>1875388209406</v>
      </c>
      <c r="N6260">
        <v>526517658841</v>
      </c>
      <c r="O6260" t="b">
        <v>1</v>
      </c>
      <c r="P6260">
        <v>0</v>
      </c>
      <c r="Q6260" t="str" cm="1">
        <f t="array" ref="Q6260">_xlfn.IFS(Table1[[#This Row],[Wealthier_Winner]]=-1,"Wealthier Nation Loses",Table1[[#This Row],[Wealthier_Winner]]=0,"Tie",Table1[[#This Row],[Wealthier_Winner]]=1,"Wealthier Nation Wins")</f>
        <v>Tie</v>
      </c>
    </row>
    <row r="6261" spans="1:17" x14ac:dyDescent="0.2">
      <c r="A6261" s="1">
        <v>8979</v>
      </c>
      <c r="B6261" s="2">
        <v>45372</v>
      </c>
      <c r="C6261" s="7">
        <f>_xlfn.FLOOR.MATH(Table1[[#This Row],[year]],10)</f>
        <v>2020</v>
      </c>
      <c r="D6261" t="s">
        <v>429</v>
      </c>
      <c r="E6261" t="s">
        <v>333</v>
      </c>
      <c r="F6261">
        <v>2</v>
      </c>
      <c r="G6261">
        <v>0</v>
      </c>
      <c r="H6261" t="s">
        <v>224</v>
      </c>
      <c r="I6261" t="s">
        <v>430</v>
      </c>
      <c r="J6261" t="s">
        <v>429</v>
      </c>
      <c r="K6261" t="b">
        <v>0</v>
      </c>
      <c r="L6261">
        <v>2024</v>
      </c>
      <c r="M6261">
        <v>107137198769</v>
      </c>
      <c r="N6261">
        <v>422227005428</v>
      </c>
      <c r="O6261" t="b">
        <v>1</v>
      </c>
      <c r="P6261">
        <v>-1</v>
      </c>
      <c r="Q6261" t="str" cm="1">
        <f t="array" ref="Q6261">_xlfn.IFS(Table1[[#This Row],[Wealthier_Winner]]=-1,"Wealthier Nation Loses",Table1[[#This Row],[Wealthier_Winner]]=0,"Tie",Table1[[#This Row],[Wealthier_Winner]]=1,"Wealthier Nation Wins")</f>
        <v>Wealthier Nation Loses</v>
      </c>
    </row>
    <row r="6262" spans="1:17" x14ac:dyDescent="0.2">
      <c r="A6262" s="1">
        <v>8980</v>
      </c>
      <c r="B6262" s="2">
        <v>45372</v>
      </c>
      <c r="C6262" s="7">
        <f>_xlfn.FLOOR.MATH(Table1[[#This Row],[year]],10)</f>
        <v>2020</v>
      </c>
      <c r="D6262" t="s">
        <v>210</v>
      </c>
      <c r="E6262" t="s">
        <v>560</v>
      </c>
      <c r="F6262">
        <v>5</v>
      </c>
      <c r="G6262">
        <v>0</v>
      </c>
      <c r="H6262" t="s">
        <v>224</v>
      </c>
      <c r="I6262" t="s">
        <v>332</v>
      </c>
      <c r="J6262" t="s">
        <v>210</v>
      </c>
      <c r="K6262" t="b">
        <v>0</v>
      </c>
      <c r="L6262">
        <v>2024</v>
      </c>
      <c r="M6262">
        <v>475252089215</v>
      </c>
      <c r="N6262">
        <v>51387209872</v>
      </c>
      <c r="O6262" t="b">
        <v>1</v>
      </c>
      <c r="P6262">
        <v>1</v>
      </c>
      <c r="Q6262" t="str" cm="1">
        <f t="array" ref="Q6262">_xlfn.IFS(Table1[[#This Row],[Wealthier_Winner]]=-1,"Wealthier Nation Loses",Table1[[#This Row],[Wealthier_Winner]]=0,"Tie",Table1[[#This Row],[Wealthier_Winner]]=1,"Wealthier Nation Wins")</f>
        <v>Wealthier Nation Wins</v>
      </c>
    </row>
    <row r="6263" spans="1:17" x14ac:dyDescent="0.2">
      <c r="A6263" s="1">
        <v>8982</v>
      </c>
      <c r="B6263" s="2">
        <v>45372</v>
      </c>
      <c r="C6263" s="7">
        <f>_xlfn.FLOOR.MATH(Table1[[#This Row],[year]],10)</f>
        <v>2020</v>
      </c>
      <c r="D6263" t="s">
        <v>328</v>
      </c>
      <c r="E6263" t="s">
        <v>475</v>
      </c>
      <c r="F6263">
        <v>1</v>
      </c>
      <c r="G6263">
        <v>0</v>
      </c>
      <c r="H6263" t="s">
        <v>224</v>
      </c>
      <c r="I6263" t="s">
        <v>386</v>
      </c>
      <c r="J6263" t="s">
        <v>328</v>
      </c>
      <c r="K6263" t="b">
        <v>0</v>
      </c>
      <c r="L6263">
        <v>2024</v>
      </c>
      <c r="M6263">
        <v>1396300098190</v>
      </c>
      <c r="N6263">
        <v>476388230307</v>
      </c>
      <c r="O6263" t="b">
        <v>1</v>
      </c>
      <c r="P6263">
        <v>1</v>
      </c>
      <c r="Q6263" t="str" cm="1">
        <f t="array" ref="Q6263">_xlfn.IFS(Table1[[#This Row],[Wealthier_Winner]]=-1,"Wealthier Nation Loses",Table1[[#This Row],[Wealthier_Winner]]=0,"Tie",Table1[[#This Row],[Wealthier_Winner]]=1,"Wealthier Nation Wins")</f>
        <v>Wealthier Nation Wins</v>
      </c>
    </row>
    <row r="6264" spans="1:17" x14ac:dyDescent="0.2">
      <c r="A6264" s="1">
        <v>8983</v>
      </c>
      <c r="B6264" s="2">
        <v>45372</v>
      </c>
      <c r="C6264" s="7">
        <f>_xlfn.FLOOR.MATH(Table1[[#This Row],[year]],10)</f>
        <v>2020</v>
      </c>
      <c r="D6264" t="s">
        <v>37</v>
      </c>
      <c r="E6264" t="s">
        <v>532</v>
      </c>
      <c r="F6264">
        <v>1</v>
      </c>
      <c r="G6264">
        <v>0</v>
      </c>
      <c r="H6264" t="s">
        <v>224</v>
      </c>
      <c r="I6264" t="s">
        <v>875</v>
      </c>
      <c r="J6264" t="s">
        <v>37</v>
      </c>
      <c r="K6264" t="b">
        <v>0</v>
      </c>
      <c r="L6264">
        <v>2024</v>
      </c>
      <c r="M6264">
        <v>279641257615</v>
      </c>
      <c r="N6264">
        <v>461617509782</v>
      </c>
      <c r="O6264" t="b">
        <v>0</v>
      </c>
      <c r="P6264">
        <v>-1</v>
      </c>
      <c r="Q6264" t="str" cm="1">
        <f t="array" ref="Q6264">_xlfn.IFS(Table1[[#This Row],[Wealthier_Winner]]=-1,"Wealthier Nation Loses",Table1[[#This Row],[Wealthier_Winner]]=0,"Tie",Table1[[#This Row],[Wealthier_Winner]]=1,"Wealthier Nation Wins")</f>
        <v>Wealthier Nation Loses</v>
      </c>
    </row>
    <row r="6265" spans="1:17" x14ac:dyDescent="0.2">
      <c r="A6265" s="1">
        <v>8984</v>
      </c>
      <c r="B6265" s="2">
        <v>45372</v>
      </c>
      <c r="C6265" s="7">
        <f>_xlfn.FLOOR.MATH(Table1[[#This Row],[year]],10)</f>
        <v>2020</v>
      </c>
      <c r="D6265" t="s">
        <v>431</v>
      </c>
      <c r="E6265" t="s">
        <v>403</v>
      </c>
      <c r="F6265">
        <v>0</v>
      </c>
      <c r="G6265">
        <v>3</v>
      </c>
      <c r="H6265" t="s">
        <v>224</v>
      </c>
      <c r="I6265" t="s">
        <v>432</v>
      </c>
      <c r="J6265" t="s">
        <v>431</v>
      </c>
      <c r="K6265" t="b">
        <v>0</v>
      </c>
      <c r="L6265">
        <v>2024</v>
      </c>
      <c r="M6265">
        <v>371570000121</v>
      </c>
      <c r="N6265">
        <v>53352289577</v>
      </c>
      <c r="O6265" t="b">
        <v>1</v>
      </c>
      <c r="P6265">
        <v>-1</v>
      </c>
      <c r="Q6265" t="str" cm="1">
        <f t="array" ref="Q6265">_xlfn.IFS(Table1[[#This Row],[Wealthier_Winner]]=-1,"Wealthier Nation Loses",Table1[[#This Row],[Wealthier_Winner]]=0,"Tie",Table1[[#This Row],[Wealthier_Winner]]=1,"Wealthier Nation Wins")</f>
        <v>Wealthier Nation Loses</v>
      </c>
    </row>
    <row r="6266" spans="1:17" x14ac:dyDescent="0.2">
      <c r="A6266" s="1">
        <v>8985</v>
      </c>
      <c r="B6266" s="2">
        <v>45372</v>
      </c>
      <c r="C6266" s="7">
        <f>_xlfn.FLOOR.MATH(Table1[[#This Row],[year]],10)</f>
        <v>2020</v>
      </c>
      <c r="D6266" t="s">
        <v>45</v>
      </c>
      <c r="E6266" t="s">
        <v>556</v>
      </c>
      <c r="F6266">
        <v>1</v>
      </c>
      <c r="G6266">
        <v>0</v>
      </c>
      <c r="H6266" t="s">
        <v>224</v>
      </c>
      <c r="I6266" t="s">
        <v>356</v>
      </c>
      <c r="J6266" t="s">
        <v>45</v>
      </c>
      <c r="K6266" t="b">
        <v>0</v>
      </c>
      <c r="L6266">
        <v>2024</v>
      </c>
      <c r="M6266">
        <v>1239804533333</v>
      </c>
      <c r="N6266">
        <v>14204575548</v>
      </c>
      <c r="O6266" t="b">
        <v>1</v>
      </c>
      <c r="P6266">
        <v>1</v>
      </c>
      <c r="Q6266" t="str" cm="1">
        <f t="array" ref="Q6266">_xlfn.IFS(Table1[[#This Row],[Wealthier_Winner]]=-1,"Wealthier Nation Loses",Table1[[#This Row],[Wealthier_Winner]]=0,"Tie",Table1[[#This Row],[Wealthier_Winner]]=1,"Wealthier Nation Wins")</f>
        <v>Wealthier Nation Wins</v>
      </c>
    </row>
    <row r="6267" spans="1:17" x14ac:dyDescent="0.2">
      <c r="A6267" s="1">
        <v>8986</v>
      </c>
      <c r="B6267" s="2">
        <v>45372</v>
      </c>
      <c r="C6267" s="7">
        <f>_xlfn.FLOOR.MATH(Table1[[#This Row],[year]],10)</f>
        <v>2020</v>
      </c>
      <c r="D6267" t="s">
        <v>361</v>
      </c>
      <c r="E6267" t="s">
        <v>400</v>
      </c>
      <c r="F6267">
        <v>5</v>
      </c>
      <c r="G6267">
        <v>0</v>
      </c>
      <c r="H6267" t="s">
        <v>224</v>
      </c>
      <c r="I6267" t="s">
        <v>419</v>
      </c>
      <c r="J6267" t="s">
        <v>361</v>
      </c>
      <c r="K6267" t="b">
        <v>0</v>
      </c>
      <c r="L6267">
        <v>2024</v>
      </c>
      <c r="M6267">
        <v>47109734308</v>
      </c>
      <c r="N6267">
        <v>42914268286</v>
      </c>
      <c r="O6267" t="b">
        <v>0</v>
      </c>
      <c r="P6267">
        <v>1</v>
      </c>
      <c r="Q6267" t="str" cm="1">
        <f t="array" ref="Q6267">_xlfn.IFS(Table1[[#This Row],[Wealthier_Winner]]=-1,"Wealthier Nation Loses",Table1[[#This Row],[Wealthier_Winner]]=0,"Tie",Table1[[#This Row],[Wealthier_Winner]]=1,"Wealthier Nation Wins")</f>
        <v>Wealthier Nation Wins</v>
      </c>
    </row>
    <row r="6268" spans="1:17" x14ac:dyDescent="0.2">
      <c r="A6268" s="1">
        <v>8993</v>
      </c>
      <c r="B6268" s="2">
        <v>45377</v>
      </c>
      <c r="C6268" s="7">
        <f>_xlfn.FLOOR.MATH(Table1[[#This Row],[year]],10)</f>
        <v>2020</v>
      </c>
      <c r="D6268" t="s">
        <v>71</v>
      </c>
      <c r="E6268" t="s">
        <v>68</v>
      </c>
      <c r="F6268">
        <v>1</v>
      </c>
      <c r="G6268">
        <v>2</v>
      </c>
      <c r="H6268" t="s">
        <v>224</v>
      </c>
      <c r="I6268" t="s">
        <v>882</v>
      </c>
      <c r="J6268" t="s">
        <v>71</v>
      </c>
      <c r="K6268" t="b">
        <v>0</v>
      </c>
      <c r="L6268">
        <v>2024</v>
      </c>
      <c r="M6268">
        <v>160227273053</v>
      </c>
      <c r="N6268">
        <v>219162637362</v>
      </c>
      <c r="O6268" t="b">
        <v>0</v>
      </c>
      <c r="P6268">
        <v>1</v>
      </c>
      <c r="Q6268" t="str" cm="1">
        <f t="array" ref="Q6268">_xlfn.IFS(Table1[[#This Row],[Wealthier_Winner]]=-1,"Wealthier Nation Loses",Table1[[#This Row],[Wealthier_Winner]]=0,"Tie",Table1[[#This Row],[Wealthier_Winner]]=1,"Wealthier Nation Wins")</f>
        <v>Wealthier Nation Wins</v>
      </c>
    </row>
    <row r="6269" spans="1:17" x14ac:dyDescent="0.2">
      <c r="A6269" s="1">
        <v>8995</v>
      </c>
      <c r="B6269" s="2">
        <v>45377</v>
      </c>
      <c r="C6269" s="7">
        <f>_xlfn.FLOOR.MATH(Table1[[#This Row],[year]],10)</f>
        <v>2020</v>
      </c>
      <c r="D6269" t="s">
        <v>334</v>
      </c>
      <c r="E6269" t="s">
        <v>195</v>
      </c>
      <c r="F6269">
        <v>0</v>
      </c>
      <c r="G6269">
        <v>3</v>
      </c>
      <c r="H6269" t="s">
        <v>224</v>
      </c>
      <c r="I6269" t="s">
        <v>407</v>
      </c>
      <c r="J6269" t="s">
        <v>334</v>
      </c>
      <c r="K6269" t="b">
        <v>0</v>
      </c>
      <c r="L6269">
        <v>2024</v>
      </c>
      <c r="M6269">
        <v>526517658841</v>
      </c>
      <c r="N6269">
        <v>1875388209406</v>
      </c>
      <c r="O6269" t="b">
        <v>1</v>
      </c>
      <c r="P6269">
        <v>1</v>
      </c>
      <c r="Q6269" t="str" cm="1">
        <f t="array" ref="Q6269">_xlfn.IFS(Table1[[#This Row],[Wealthier_Winner]]=-1,"Wealthier Nation Loses",Table1[[#This Row],[Wealthier_Winner]]=0,"Tie",Table1[[#This Row],[Wealthier_Winner]]=1,"Wealthier Nation Wins")</f>
        <v>Wealthier Nation Wins</v>
      </c>
    </row>
    <row r="6270" spans="1:17" x14ac:dyDescent="0.2">
      <c r="A6270" s="1">
        <v>8998</v>
      </c>
      <c r="B6270" s="2">
        <v>45377</v>
      </c>
      <c r="C6270" s="7">
        <f>_xlfn.FLOOR.MATH(Table1[[#This Row],[year]],10)</f>
        <v>2020</v>
      </c>
      <c r="D6270" t="s">
        <v>333</v>
      </c>
      <c r="E6270" t="s">
        <v>429</v>
      </c>
      <c r="F6270">
        <v>0</v>
      </c>
      <c r="G6270">
        <v>2</v>
      </c>
      <c r="H6270" t="s">
        <v>224</v>
      </c>
      <c r="I6270" t="s">
        <v>402</v>
      </c>
      <c r="J6270" t="s">
        <v>333</v>
      </c>
      <c r="K6270" t="b">
        <v>0</v>
      </c>
      <c r="L6270">
        <v>2024</v>
      </c>
      <c r="M6270">
        <v>422227005428</v>
      </c>
      <c r="N6270">
        <v>107137198769</v>
      </c>
      <c r="O6270" t="b">
        <v>1</v>
      </c>
      <c r="P6270">
        <v>-1</v>
      </c>
      <c r="Q6270" t="str" cm="1">
        <f t="array" ref="Q6270">_xlfn.IFS(Table1[[#This Row],[Wealthier_Winner]]=-1,"Wealthier Nation Loses",Table1[[#This Row],[Wealthier_Winner]]=0,"Tie",Table1[[#This Row],[Wealthier_Winner]]=1,"Wealthier Nation Wins")</f>
        <v>Wealthier Nation Loses</v>
      </c>
    </row>
    <row r="6271" spans="1:17" x14ac:dyDescent="0.2">
      <c r="A6271" s="1">
        <v>9000</v>
      </c>
      <c r="B6271" s="2">
        <v>45377</v>
      </c>
      <c r="C6271" s="7">
        <f>_xlfn.FLOOR.MATH(Table1[[#This Row],[year]],10)</f>
        <v>2020</v>
      </c>
      <c r="D6271" t="s">
        <v>560</v>
      </c>
      <c r="E6271" t="s">
        <v>210</v>
      </c>
      <c r="F6271">
        <v>0</v>
      </c>
      <c r="G6271">
        <v>1</v>
      </c>
      <c r="H6271" t="s">
        <v>224</v>
      </c>
      <c r="I6271" t="s">
        <v>561</v>
      </c>
      <c r="J6271" t="s">
        <v>560</v>
      </c>
      <c r="K6271" t="b">
        <v>0</v>
      </c>
      <c r="L6271">
        <v>2024</v>
      </c>
      <c r="M6271">
        <v>51387209872</v>
      </c>
      <c r="N6271">
        <v>475252089215</v>
      </c>
      <c r="O6271" t="b">
        <v>1</v>
      </c>
      <c r="P6271">
        <v>1</v>
      </c>
      <c r="Q6271" t="str" cm="1">
        <f t="array" ref="Q6271">_xlfn.IFS(Table1[[#This Row],[Wealthier_Winner]]=-1,"Wealthier Nation Loses",Table1[[#This Row],[Wealthier_Winner]]=0,"Tie",Table1[[#This Row],[Wealthier_Winner]]=1,"Wealthier Nation Wins")</f>
        <v>Wealthier Nation Wins</v>
      </c>
    </row>
    <row r="6272" spans="1:17" x14ac:dyDescent="0.2">
      <c r="A6272" s="1">
        <v>9001</v>
      </c>
      <c r="B6272" s="2">
        <v>45377</v>
      </c>
      <c r="C6272" s="7">
        <f>_xlfn.FLOOR.MATH(Table1[[#This Row],[year]],10)</f>
        <v>2020</v>
      </c>
      <c r="D6272" t="s">
        <v>532</v>
      </c>
      <c r="E6272" t="s">
        <v>37</v>
      </c>
      <c r="F6272">
        <v>0</v>
      </c>
      <c r="G6272">
        <v>5</v>
      </c>
      <c r="H6272" t="s">
        <v>224</v>
      </c>
      <c r="I6272" t="s">
        <v>740</v>
      </c>
      <c r="J6272" t="s">
        <v>532</v>
      </c>
      <c r="K6272" t="b">
        <v>0</v>
      </c>
      <c r="L6272">
        <v>2024</v>
      </c>
      <c r="M6272">
        <v>461617509782</v>
      </c>
      <c r="N6272">
        <v>279641257615</v>
      </c>
      <c r="O6272" t="b">
        <v>0</v>
      </c>
      <c r="P6272">
        <v>-1</v>
      </c>
      <c r="Q6272" t="str" cm="1">
        <f t="array" ref="Q6272">_xlfn.IFS(Table1[[#This Row],[Wealthier_Winner]]=-1,"Wealthier Nation Loses",Table1[[#This Row],[Wealthier_Winner]]=0,"Tie",Table1[[#This Row],[Wealthier_Winner]]=1,"Wealthier Nation Wins")</f>
        <v>Wealthier Nation Loses</v>
      </c>
    </row>
    <row r="6273" spans="1:17" x14ac:dyDescent="0.2">
      <c r="A6273" s="1">
        <v>9002</v>
      </c>
      <c r="B6273" s="2">
        <v>45377</v>
      </c>
      <c r="C6273" s="7">
        <f>_xlfn.FLOOR.MATH(Table1[[#This Row],[year]],10)</f>
        <v>2020</v>
      </c>
      <c r="D6273" t="s">
        <v>475</v>
      </c>
      <c r="E6273" t="s">
        <v>328</v>
      </c>
      <c r="F6273">
        <v>0</v>
      </c>
      <c r="G6273">
        <v>3</v>
      </c>
      <c r="H6273" t="s">
        <v>224</v>
      </c>
      <c r="I6273" t="s">
        <v>647</v>
      </c>
      <c r="J6273" t="s">
        <v>475</v>
      </c>
      <c r="K6273" t="b">
        <v>0</v>
      </c>
      <c r="L6273">
        <v>2024</v>
      </c>
      <c r="M6273">
        <v>476388230307</v>
      </c>
      <c r="N6273">
        <v>1396300098190</v>
      </c>
      <c r="O6273" t="b">
        <v>1</v>
      </c>
      <c r="P6273">
        <v>1</v>
      </c>
      <c r="Q6273" t="str" cm="1">
        <f t="array" ref="Q6273">_xlfn.IFS(Table1[[#This Row],[Wealthier_Winner]]=-1,"Wealthier Nation Loses",Table1[[#This Row],[Wealthier_Winner]]=0,"Tie",Table1[[#This Row],[Wealthier_Winner]]=1,"Wealthier Nation Wins")</f>
        <v>Wealthier Nation Wins</v>
      </c>
    </row>
    <row r="6274" spans="1:17" x14ac:dyDescent="0.2">
      <c r="A6274" s="1">
        <v>9003</v>
      </c>
      <c r="B6274" s="2">
        <v>45377</v>
      </c>
      <c r="C6274" s="7">
        <f>_xlfn.FLOOR.MATH(Table1[[#This Row],[year]],10)</f>
        <v>2020</v>
      </c>
      <c r="D6274" t="s">
        <v>556</v>
      </c>
      <c r="E6274" t="s">
        <v>45</v>
      </c>
      <c r="F6274">
        <v>1</v>
      </c>
      <c r="G6274">
        <v>1</v>
      </c>
      <c r="H6274" t="s">
        <v>224</v>
      </c>
      <c r="I6274" t="s">
        <v>557</v>
      </c>
      <c r="J6274" t="s">
        <v>556</v>
      </c>
      <c r="K6274" t="b">
        <v>0</v>
      </c>
      <c r="L6274">
        <v>2024</v>
      </c>
      <c r="M6274">
        <v>14204575548</v>
      </c>
      <c r="N6274">
        <v>1239804533333</v>
      </c>
      <c r="O6274" t="b">
        <v>1</v>
      </c>
      <c r="P6274">
        <v>0</v>
      </c>
      <c r="Q6274" t="str" cm="1">
        <f t="array" ref="Q6274">_xlfn.IFS(Table1[[#This Row],[Wealthier_Winner]]=-1,"Wealthier Nation Loses",Table1[[#This Row],[Wealthier_Winner]]=0,"Tie",Table1[[#This Row],[Wealthier_Winner]]=1,"Wealthier Nation Wins")</f>
        <v>Tie</v>
      </c>
    </row>
    <row r="6275" spans="1:17" x14ac:dyDescent="0.2">
      <c r="A6275" s="1">
        <v>9004</v>
      </c>
      <c r="B6275" s="2">
        <v>45377</v>
      </c>
      <c r="C6275" s="7">
        <f>_xlfn.FLOOR.MATH(Table1[[#This Row],[year]],10)</f>
        <v>2020</v>
      </c>
      <c r="D6275" t="s">
        <v>403</v>
      </c>
      <c r="E6275" t="s">
        <v>431</v>
      </c>
      <c r="F6275">
        <v>7</v>
      </c>
      <c r="G6275">
        <v>0</v>
      </c>
      <c r="H6275" t="s">
        <v>224</v>
      </c>
      <c r="I6275" t="s">
        <v>404</v>
      </c>
      <c r="J6275" t="s">
        <v>403</v>
      </c>
      <c r="K6275" t="b">
        <v>0</v>
      </c>
      <c r="L6275">
        <v>2024</v>
      </c>
      <c r="M6275">
        <v>53352289577</v>
      </c>
      <c r="N6275">
        <v>371570000121</v>
      </c>
      <c r="O6275" t="b">
        <v>1</v>
      </c>
      <c r="P6275">
        <v>-1</v>
      </c>
      <c r="Q6275" t="str" cm="1">
        <f t="array" ref="Q6275">_xlfn.IFS(Table1[[#This Row],[Wealthier_Winner]]=-1,"Wealthier Nation Loses",Table1[[#This Row],[Wealthier_Winner]]=0,"Tie",Table1[[#This Row],[Wealthier_Winner]]=1,"Wealthier Nation Wins")</f>
        <v>Wealthier Nation Loses</v>
      </c>
    </row>
    <row r="6276" spans="1:17" x14ac:dyDescent="0.2">
      <c r="A6276" s="1">
        <v>9005</v>
      </c>
      <c r="B6276" s="2">
        <v>45377</v>
      </c>
      <c r="C6276" s="7">
        <f>_xlfn.FLOOR.MATH(Table1[[#This Row],[year]],10)</f>
        <v>2020</v>
      </c>
      <c r="D6276" t="s">
        <v>361</v>
      </c>
      <c r="E6276" t="s">
        <v>400</v>
      </c>
      <c r="F6276">
        <v>3</v>
      </c>
      <c r="G6276">
        <v>0</v>
      </c>
      <c r="H6276" t="s">
        <v>224</v>
      </c>
      <c r="I6276" t="s">
        <v>419</v>
      </c>
      <c r="J6276" t="s">
        <v>361</v>
      </c>
      <c r="K6276" t="b">
        <v>0</v>
      </c>
      <c r="L6276">
        <v>2024</v>
      </c>
      <c r="M6276">
        <v>47109734308</v>
      </c>
      <c r="N6276">
        <v>42914268286</v>
      </c>
      <c r="O6276" t="b">
        <v>0</v>
      </c>
      <c r="P6276">
        <v>1</v>
      </c>
      <c r="Q6276" t="str" cm="1">
        <f t="array" ref="Q6276">_xlfn.IFS(Table1[[#This Row],[Wealthier_Winner]]=-1,"Wealthier Nation Loses",Table1[[#This Row],[Wealthier_Winner]]=0,"Tie",Table1[[#This Row],[Wealthier_Winner]]=1,"Wealthier Nation Wins")</f>
        <v>Wealthier Nation Wins</v>
      </c>
    </row>
    <row r="6277" spans="1:17" x14ac:dyDescent="0.2">
      <c r="A6277" s="1">
        <v>9011</v>
      </c>
      <c r="B6277" s="2">
        <v>45448</v>
      </c>
      <c r="C6277" s="7">
        <f>_xlfn.FLOOR.MATH(Table1[[#This Row],[year]],10)</f>
        <v>2020</v>
      </c>
      <c r="D6277" t="s">
        <v>342</v>
      </c>
      <c r="E6277" t="s">
        <v>694</v>
      </c>
      <c r="F6277">
        <v>2</v>
      </c>
      <c r="G6277">
        <v>1</v>
      </c>
      <c r="H6277" t="s">
        <v>224</v>
      </c>
      <c r="I6277" t="s">
        <v>873</v>
      </c>
      <c r="J6277" t="s">
        <v>24</v>
      </c>
      <c r="K6277" t="b">
        <v>1</v>
      </c>
      <c r="L6277">
        <v>2024</v>
      </c>
      <c r="M6277">
        <v>6971127235</v>
      </c>
      <c r="N6277">
        <v>4152145939</v>
      </c>
      <c r="O6277" t="b">
        <v>0</v>
      </c>
      <c r="P6277">
        <v>1</v>
      </c>
      <c r="Q6277" t="str" cm="1">
        <f t="array" ref="Q6277">_xlfn.IFS(Table1[[#This Row],[Wealthier_Winner]]=-1,"Wealthier Nation Loses",Table1[[#This Row],[Wealthier_Winner]]=0,"Tie",Table1[[#This Row],[Wealthier_Winner]]=1,"Wealthier Nation Wins")</f>
        <v>Wealthier Nation Wins</v>
      </c>
    </row>
    <row r="6278" spans="1:17" x14ac:dyDescent="0.2">
      <c r="A6278" s="1">
        <v>9013</v>
      </c>
      <c r="B6278" s="2">
        <v>45448</v>
      </c>
      <c r="C6278" s="7">
        <f>_xlfn.FLOOR.MATH(Table1[[#This Row],[year]],10)</f>
        <v>2020</v>
      </c>
      <c r="D6278" t="s">
        <v>462</v>
      </c>
      <c r="E6278" t="s">
        <v>378</v>
      </c>
      <c r="F6278">
        <v>1</v>
      </c>
      <c r="G6278">
        <v>1</v>
      </c>
      <c r="H6278" t="s">
        <v>224</v>
      </c>
      <c r="I6278" t="s">
        <v>160</v>
      </c>
      <c r="J6278" t="s">
        <v>50</v>
      </c>
      <c r="K6278" t="b">
        <v>1</v>
      </c>
      <c r="L6278">
        <v>2024</v>
      </c>
      <c r="M6278">
        <v>13372354511</v>
      </c>
      <c r="N6278">
        <v>4779300900</v>
      </c>
      <c r="O6278" t="b">
        <v>1</v>
      </c>
      <c r="P6278">
        <v>0</v>
      </c>
      <c r="Q6278" t="str" cm="1">
        <f t="array" ref="Q6278">_xlfn.IFS(Table1[[#This Row],[Wealthier_Winner]]=-1,"Wealthier Nation Loses",Table1[[#This Row],[Wealthier_Winner]]=0,"Tie",Table1[[#This Row],[Wealthier_Winner]]=1,"Wealthier Nation Wins")</f>
        <v>Tie</v>
      </c>
    </row>
    <row r="6279" spans="1:17" x14ac:dyDescent="0.2">
      <c r="A6279" s="1">
        <v>9014</v>
      </c>
      <c r="B6279" s="2">
        <v>45448</v>
      </c>
      <c r="C6279" s="7">
        <f>_xlfn.FLOOR.MATH(Table1[[#This Row],[year]],10)</f>
        <v>2020</v>
      </c>
      <c r="D6279" t="s">
        <v>53</v>
      </c>
      <c r="E6279" t="s">
        <v>639</v>
      </c>
      <c r="F6279">
        <v>1</v>
      </c>
      <c r="G6279">
        <v>0</v>
      </c>
      <c r="H6279" t="s">
        <v>224</v>
      </c>
      <c r="I6279" t="s">
        <v>658</v>
      </c>
      <c r="J6279" t="s">
        <v>53</v>
      </c>
      <c r="K6279" t="b">
        <v>0</v>
      </c>
      <c r="L6279">
        <v>2024</v>
      </c>
      <c r="M6279">
        <v>51332285656</v>
      </c>
      <c r="N6279">
        <v>12765777677</v>
      </c>
      <c r="O6279" t="b">
        <v>1</v>
      </c>
      <c r="P6279">
        <v>1</v>
      </c>
      <c r="Q6279" t="str" cm="1">
        <f t="array" ref="Q6279">_xlfn.IFS(Table1[[#This Row],[Wealthier_Winner]]=-1,"Wealthier Nation Loses",Table1[[#This Row],[Wealthier_Winner]]=0,"Tie",Table1[[#This Row],[Wealthier_Winner]]=1,"Wealthier Nation Wins")</f>
        <v>Wealthier Nation Wins</v>
      </c>
    </row>
    <row r="6280" spans="1:17" x14ac:dyDescent="0.2">
      <c r="A6280" s="1">
        <v>9015</v>
      </c>
      <c r="B6280" s="2">
        <v>45448</v>
      </c>
      <c r="C6280" s="7">
        <f>_xlfn.FLOOR.MATH(Table1[[#This Row],[year]],10)</f>
        <v>2020</v>
      </c>
      <c r="D6280" t="s">
        <v>581</v>
      </c>
      <c r="E6280" t="s">
        <v>586</v>
      </c>
      <c r="F6280">
        <v>1</v>
      </c>
      <c r="G6280">
        <v>0</v>
      </c>
      <c r="H6280" t="s">
        <v>224</v>
      </c>
      <c r="I6280" t="s">
        <v>879</v>
      </c>
      <c r="J6280" t="s">
        <v>24</v>
      </c>
      <c r="K6280" t="b">
        <v>1</v>
      </c>
      <c r="L6280">
        <v>2024</v>
      </c>
      <c r="M6280">
        <v>2751494281</v>
      </c>
      <c r="N6280">
        <v>19518819751</v>
      </c>
      <c r="O6280" t="b">
        <v>1</v>
      </c>
      <c r="P6280">
        <v>-1</v>
      </c>
      <c r="Q6280" t="str" cm="1">
        <f t="array" ref="Q6280">_xlfn.IFS(Table1[[#This Row],[Wealthier_Winner]]=-1,"Wealthier Nation Loses",Table1[[#This Row],[Wealthier_Winner]]=0,"Tie",Table1[[#This Row],[Wealthier_Winner]]=1,"Wealthier Nation Wins")</f>
        <v>Wealthier Nation Loses</v>
      </c>
    </row>
    <row r="6281" spans="1:17" x14ac:dyDescent="0.2">
      <c r="A6281" s="1">
        <v>9016</v>
      </c>
      <c r="B6281" s="2">
        <v>45448</v>
      </c>
      <c r="C6281" s="7">
        <f>_xlfn.FLOOR.MATH(Table1[[#This Row],[year]],10)</f>
        <v>2020</v>
      </c>
      <c r="D6281" t="s">
        <v>449</v>
      </c>
      <c r="E6281" t="s">
        <v>266</v>
      </c>
      <c r="F6281">
        <v>1</v>
      </c>
      <c r="G6281">
        <v>1</v>
      </c>
      <c r="H6281" t="s">
        <v>224</v>
      </c>
      <c r="I6281" t="s">
        <v>883</v>
      </c>
      <c r="J6281" t="s">
        <v>449</v>
      </c>
      <c r="K6281" t="b">
        <v>0</v>
      </c>
      <c r="L6281">
        <v>2024</v>
      </c>
      <c r="M6281">
        <v>2207622874</v>
      </c>
      <c r="N6281">
        <v>9233600000</v>
      </c>
      <c r="O6281" t="b">
        <v>1</v>
      </c>
      <c r="P6281">
        <v>0</v>
      </c>
      <c r="Q6281" t="str" cm="1">
        <f t="array" ref="Q6281">_xlfn.IFS(Table1[[#This Row],[Wealthier_Winner]]=-1,"Wealthier Nation Loses",Table1[[#This Row],[Wealthier_Winner]]=0,"Tie",Table1[[#This Row],[Wealthier_Winner]]=1,"Wealthier Nation Wins")</f>
        <v>Tie</v>
      </c>
    </row>
    <row r="6282" spans="1:17" x14ac:dyDescent="0.2">
      <c r="A6282" s="1">
        <v>9017</v>
      </c>
      <c r="B6282" s="2">
        <v>45448</v>
      </c>
      <c r="C6282" s="7">
        <f>_xlfn.FLOOR.MATH(Table1[[#This Row],[year]],10)</f>
        <v>2020</v>
      </c>
      <c r="D6282" t="s">
        <v>59</v>
      </c>
      <c r="E6282" t="s">
        <v>499</v>
      </c>
      <c r="F6282">
        <v>2</v>
      </c>
      <c r="G6282">
        <v>2</v>
      </c>
      <c r="H6282" t="s">
        <v>224</v>
      </c>
      <c r="I6282" t="s">
        <v>253</v>
      </c>
      <c r="J6282" t="s">
        <v>59</v>
      </c>
      <c r="K6282" t="b">
        <v>0</v>
      </c>
      <c r="L6282">
        <v>2024</v>
      </c>
      <c r="M6282">
        <v>25633544529</v>
      </c>
      <c r="N6282">
        <v>1371918518</v>
      </c>
      <c r="O6282" t="b">
        <v>1</v>
      </c>
      <c r="P6282">
        <v>0</v>
      </c>
      <c r="Q6282" t="str" cm="1">
        <f t="array" ref="Q6282">_xlfn.IFS(Table1[[#This Row],[Wealthier_Winner]]=-1,"Wealthier Nation Loses",Table1[[#This Row],[Wealthier_Winner]]=0,"Tie",Table1[[#This Row],[Wealthier_Winner]]=1,"Wealthier Nation Wins")</f>
        <v>Tie</v>
      </c>
    </row>
    <row r="6283" spans="1:17" x14ac:dyDescent="0.2">
      <c r="A6283" s="1">
        <v>9020</v>
      </c>
      <c r="B6283" s="2">
        <v>45448</v>
      </c>
      <c r="C6283" s="7">
        <f>_xlfn.FLOOR.MATH(Table1[[#This Row],[year]],10)</f>
        <v>2020</v>
      </c>
      <c r="D6283" t="s">
        <v>223</v>
      </c>
      <c r="E6283" t="s">
        <v>494</v>
      </c>
      <c r="F6283">
        <v>6</v>
      </c>
      <c r="G6283">
        <v>0</v>
      </c>
      <c r="H6283" t="s">
        <v>224</v>
      </c>
      <c r="I6283" t="s">
        <v>227</v>
      </c>
      <c r="J6283" t="s">
        <v>223</v>
      </c>
      <c r="K6283" t="b">
        <v>0</v>
      </c>
      <c r="L6283">
        <v>2024</v>
      </c>
      <c r="M6283">
        <v>113199581158</v>
      </c>
      <c r="N6283">
        <v>688881481</v>
      </c>
      <c r="O6283" t="b">
        <v>1</v>
      </c>
      <c r="P6283">
        <v>1</v>
      </c>
      <c r="Q6283" t="str" cm="1">
        <f t="array" ref="Q6283">_xlfn.IFS(Table1[[#This Row],[Wealthier_Winner]]=-1,"Wealthier Nation Loses",Table1[[#This Row],[Wealthier_Winner]]=0,"Tie",Table1[[#This Row],[Wealthier_Winner]]=1,"Wealthier Nation Wins")</f>
        <v>Wealthier Nation Wins</v>
      </c>
    </row>
    <row r="6284" spans="1:17" x14ac:dyDescent="0.2">
      <c r="A6284" s="1">
        <v>9022</v>
      </c>
      <c r="B6284" s="2">
        <v>45449</v>
      </c>
      <c r="C6284" s="7">
        <f>_xlfn.FLOOR.MATH(Table1[[#This Row],[year]],10)</f>
        <v>2020</v>
      </c>
      <c r="D6284" t="s">
        <v>508</v>
      </c>
      <c r="E6284" t="s">
        <v>238</v>
      </c>
      <c r="F6284">
        <v>0</v>
      </c>
      <c r="G6284">
        <v>0</v>
      </c>
      <c r="H6284" t="s">
        <v>224</v>
      </c>
      <c r="I6284" t="s">
        <v>509</v>
      </c>
      <c r="J6284" t="s">
        <v>508</v>
      </c>
      <c r="K6284" t="b">
        <v>0</v>
      </c>
      <c r="L6284">
        <v>2024</v>
      </c>
      <c r="M6284">
        <v>2218393804</v>
      </c>
      <c r="N6284">
        <v>149740297952</v>
      </c>
      <c r="O6284" t="b">
        <v>1</v>
      </c>
      <c r="P6284">
        <v>0</v>
      </c>
      <c r="Q6284" t="str" cm="1">
        <f t="array" ref="Q6284">_xlfn.IFS(Table1[[#This Row],[Wealthier_Winner]]=-1,"Wealthier Nation Loses",Table1[[#This Row],[Wealthier_Winner]]=0,"Tie",Table1[[#This Row],[Wealthier_Winner]]=1,"Wealthier Nation Wins")</f>
        <v>Tie</v>
      </c>
    </row>
    <row r="6285" spans="1:17" x14ac:dyDescent="0.2">
      <c r="A6285" s="1">
        <v>9023</v>
      </c>
      <c r="B6285" s="2">
        <v>45449</v>
      </c>
      <c r="C6285" s="7">
        <f>_xlfn.FLOOR.MATH(Table1[[#This Row],[year]],10)</f>
        <v>2020</v>
      </c>
      <c r="D6285" t="s">
        <v>212</v>
      </c>
      <c r="E6285" t="s">
        <v>345</v>
      </c>
      <c r="F6285">
        <v>2</v>
      </c>
      <c r="G6285">
        <v>1</v>
      </c>
      <c r="H6285" t="s">
        <v>224</v>
      </c>
      <c r="I6285" t="s">
        <v>322</v>
      </c>
      <c r="J6285" t="s">
        <v>212</v>
      </c>
      <c r="K6285" t="b">
        <v>0</v>
      </c>
      <c r="L6285">
        <v>2024</v>
      </c>
      <c r="M6285">
        <v>389059911003</v>
      </c>
      <c r="N6285">
        <v>23124729853</v>
      </c>
      <c r="O6285" t="b">
        <v>1</v>
      </c>
      <c r="P6285">
        <v>1</v>
      </c>
      <c r="Q6285" t="str" cm="1">
        <f t="array" ref="Q6285">_xlfn.IFS(Table1[[#This Row],[Wealthier_Winner]]=-1,"Wealthier Nation Loses",Table1[[#This Row],[Wealthier_Winner]]=0,"Tie",Table1[[#This Row],[Wealthier_Winner]]=1,"Wealthier Nation Wins")</f>
        <v>Wealthier Nation Wins</v>
      </c>
    </row>
    <row r="6286" spans="1:17" x14ac:dyDescent="0.2">
      <c r="A6286" s="1">
        <v>9024</v>
      </c>
      <c r="B6286" s="2">
        <v>45449</v>
      </c>
      <c r="C6286" s="7">
        <f>_xlfn.FLOOR.MATH(Table1[[#This Row],[year]],10)</f>
        <v>2020</v>
      </c>
      <c r="D6286" t="s">
        <v>346</v>
      </c>
      <c r="E6286" t="s">
        <v>274</v>
      </c>
      <c r="F6286">
        <v>0</v>
      </c>
      <c r="G6286">
        <v>2</v>
      </c>
      <c r="H6286" t="s">
        <v>224</v>
      </c>
      <c r="I6286" t="s">
        <v>350</v>
      </c>
      <c r="J6286" t="s">
        <v>346</v>
      </c>
      <c r="K6286" t="b">
        <v>0</v>
      </c>
      <c r="L6286">
        <v>2024</v>
      </c>
      <c r="M6286">
        <v>10908045686</v>
      </c>
      <c r="N6286">
        <v>49672435513</v>
      </c>
      <c r="O6286" t="b">
        <v>1</v>
      </c>
      <c r="P6286">
        <v>1</v>
      </c>
      <c r="Q6286" t="str" cm="1">
        <f t="array" ref="Q6286">_xlfn.IFS(Table1[[#This Row],[Wealthier_Winner]]=-1,"Wealthier Nation Loses",Table1[[#This Row],[Wealthier_Winner]]=0,"Tie",Table1[[#This Row],[Wealthier_Winner]]=1,"Wealthier Nation Wins")</f>
        <v>Wealthier Nation Wins</v>
      </c>
    </row>
    <row r="6287" spans="1:17" x14ac:dyDescent="0.2">
      <c r="A6287" s="1">
        <v>9026</v>
      </c>
      <c r="B6287" s="2">
        <v>45449</v>
      </c>
      <c r="C6287" s="7">
        <f>_xlfn.FLOOR.MATH(Table1[[#This Row],[year]],10)</f>
        <v>2020</v>
      </c>
      <c r="D6287" t="s">
        <v>310</v>
      </c>
      <c r="E6287" t="s">
        <v>514</v>
      </c>
      <c r="F6287">
        <v>1</v>
      </c>
      <c r="G6287">
        <v>0</v>
      </c>
      <c r="H6287" t="s">
        <v>224</v>
      </c>
      <c r="I6287" t="s">
        <v>489</v>
      </c>
      <c r="J6287" t="s">
        <v>490</v>
      </c>
      <c r="K6287" t="b">
        <v>1</v>
      </c>
      <c r="L6287">
        <v>2024</v>
      </c>
      <c r="M6287">
        <v>21482643706</v>
      </c>
      <c r="N6287">
        <v>14251642235</v>
      </c>
      <c r="O6287" t="b">
        <v>0</v>
      </c>
      <c r="P6287">
        <v>1</v>
      </c>
      <c r="Q6287" t="str" cm="1">
        <f t="array" ref="Q6287">_xlfn.IFS(Table1[[#This Row],[Wealthier_Winner]]=-1,"Wealthier Nation Loses",Table1[[#This Row],[Wealthier_Winner]]=0,"Tie",Table1[[#This Row],[Wealthier_Winner]]=1,"Wealthier Nation Wins")</f>
        <v>Wealthier Nation Wins</v>
      </c>
    </row>
    <row r="6288" spans="1:17" x14ac:dyDescent="0.2">
      <c r="A6288" s="1">
        <v>9027</v>
      </c>
      <c r="B6288" s="2">
        <v>45449</v>
      </c>
      <c r="C6288" s="7">
        <f>_xlfn.FLOOR.MATH(Table1[[#This Row],[year]],10)</f>
        <v>2020</v>
      </c>
      <c r="D6288" t="s">
        <v>286</v>
      </c>
      <c r="E6288" t="s">
        <v>323</v>
      </c>
      <c r="F6288">
        <v>2</v>
      </c>
      <c r="G6288">
        <v>1</v>
      </c>
      <c r="H6288" t="s">
        <v>224</v>
      </c>
      <c r="I6288" t="s">
        <v>613</v>
      </c>
      <c r="J6288" t="s">
        <v>286</v>
      </c>
      <c r="K6288" t="b">
        <v>0</v>
      </c>
      <c r="L6288">
        <v>2024</v>
      </c>
      <c r="M6288">
        <v>48487151215</v>
      </c>
      <c r="N6288">
        <v>14937861786</v>
      </c>
      <c r="O6288" t="b">
        <v>1</v>
      </c>
      <c r="P6288">
        <v>1</v>
      </c>
      <c r="Q6288" t="str" cm="1">
        <f t="array" ref="Q6288">_xlfn.IFS(Table1[[#This Row],[Wealthier_Winner]]=-1,"Wealthier Nation Loses",Table1[[#This Row],[Wealthier_Winner]]=0,"Tie",Table1[[#This Row],[Wealthier_Winner]]=1,"Wealthier Nation Wins")</f>
        <v>Wealthier Nation Wins</v>
      </c>
    </row>
    <row r="6289" spans="1:17" x14ac:dyDescent="0.2">
      <c r="A6289" s="1">
        <v>9028</v>
      </c>
      <c r="B6289" s="2">
        <v>45449</v>
      </c>
      <c r="C6289" s="7">
        <f>_xlfn.FLOOR.MATH(Table1[[#This Row],[year]],10)</f>
        <v>2020</v>
      </c>
      <c r="D6289" t="s">
        <v>32</v>
      </c>
      <c r="E6289" t="s">
        <v>305</v>
      </c>
      <c r="F6289">
        <v>1</v>
      </c>
      <c r="G6289">
        <v>2</v>
      </c>
      <c r="H6289" t="s">
        <v>224</v>
      </c>
      <c r="I6289" t="s">
        <v>279</v>
      </c>
      <c r="J6289" t="s">
        <v>32</v>
      </c>
      <c r="K6289" t="b">
        <v>0</v>
      </c>
      <c r="L6289">
        <v>2024</v>
      </c>
      <c r="M6289">
        <v>269322281664</v>
      </c>
      <c r="N6289">
        <v>25008678293</v>
      </c>
      <c r="O6289" t="b">
        <v>1</v>
      </c>
      <c r="P6289">
        <v>-1</v>
      </c>
      <c r="Q6289" t="str" cm="1">
        <f t="array" ref="Q6289">_xlfn.IFS(Table1[[#This Row],[Wealthier_Winner]]=-1,"Wealthier Nation Loses",Table1[[#This Row],[Wealthier_Winner]]=0,"Tie",Table1[[#This Row],[Wealthier_Winner]]=1,"Wealthier Nation Wins")</f>
        <v>Wealthier Nation Loses</v>
      </c>
    </row>
    <row r="6290" spans="1:17" x14ac:dyDescent="0.2">
      <c r="A6290" s="1">
        <v>9030</v>
      </c>
      <c r="B6290" s="2">
        <v>45449</v>
      </c>
      <c r="C6290" s="7">
        <f>_xlfn.FLOOR.MATH(Table1[[#This Row],[year]],10)</f>
        <v>2020</v>
      </c>
      <c r="D6290" t="s">
        <v>590</v>
      </c>
      <c r="E6290" t="s">
        <v>63</v>
      </c>
      <c r="F6290">
        <v>1</v>
      </c>
      <c r="G6290">
        <v>2</v>
      </c>
      <c r="H6290" t="s">
        <v>224</v>
      </c>
      <c r="I6290" t="s">
        <v>596</v>
      </c>
      <c r="J6290" t="s">
        <v>590</v>
      </c>
      <c r="K6290" t="b">
        <v>0</v>
      </c>
      <c r="L6290">
        <v>2024</v>
      </c>
      <c r="M6290">
        <v>26794747239</v>
      </c>
      <c r="N6290">
        <v>82308110386</v>
      </c>
      <c r="O6290" t="b">
        <v>1</v>
      </c>
      <c r="P6290">
        <v>1</v>
      </c>
      <c r="Q6290" t="str" cm="1">
        <f t="array" ref="Q6290">_xlfn.IFS(Table1[[#This Row],[Wealthier_Winner]]=-1,"Wealthier Nation Loses",Table1[[#This Row],[Wealthier_Winner]]=0,"Tie",Table1[[#This Row],[Wealthier_Winner]]=1,"Wealthier Nation Wins")</f>
        <v>Wealthier Nation Wins</v>
      </c>
    </row>
    <row r="6291" spans="1:17" x14ac:dyDescent="0.2">
      <c r="A6291" s="1">
        <v>9032</v>
      </c>
      <c r="B6291" s="2">
        <v>45449</v>
      </c>
      <c r="C6291" s="7">
        <f>_xlfn.FLOOR.MATH(Table1[[#This Row],[year]],10)</f>
        <v>2020</v>
      </c>
      <c r="D6291" t="s">
        <v>406</v>
      </c>
      <c r="E6291" t="s">
        <v>71</v>
      </c>
      <c r="F6291">
        <v>0</v>
      </c>
      <c r="G6291">
        <v>0</v>
      </c>
      <c r="H6291" t="s">
        <v>224</v>
      </c>
      <c r="I6291" t="s">
        <v>834</v>
      </c>
      <c r="J6291" t="s">
        <v>406</v>
      </c>
      <c r="K6291" t="b">
        <v>0</v>
      </c>
      <c r="L6291">
        <v>2024</v>
      </c>
      <c r="M6291">
        <v>3909891533858</v>
      </c>
      <c r="N6291">
        <v>160227273053</v>
      </c>
      <c r="O6291" t="b">
        <v>1</v>
      </c>
      <c r="P6291">
        <v>0</v>
      </c>
      <c r="Q6291" t="str" cm="1">
        <f t="array" ref="Q6291">_xlfn.IFS(Table1[[#This Row],[Wealthier_Winner]]=-1,"Wealthier Nation Loses",Table1[[#This Row],[Wealthier_Winner]]=0,"Tie",Table1[[#This Row],[Wealthier_Winner]]=1,"Wealthier Nation Wins")</f>
        <v>Tie</v>
      </c>
    </row>
    <row r="6292" spans="1:17" x14ac:dyDescent="0.2">
      <c r="A6292" s="1">
        <v>9033</v>
      </c>
      <c r="B6292" s="2">
        <v>45449</v>
      </c>
      <c r="C6292" s="7">
        <f>_xlfn.FLOOR.MATH(Table1[[#This Row],[year]],10)</f>
        <v>2020</v>
      </c>
      <c r="D6292" t="s">
        <v>737</v>
      </c>
      <c r="E6292" t="s">
        <v>51</v>
      </c>
      <c r="F6292">
        <v>0</v>
      </c>
      <c r="G6292">
        <v>5</v>
      </c>
      <c r="H6292" t="s">
        <v>224</v>
      </c>
      <c r="I6292" t="s">
        <v>739</v>
      </c>
      <c r="J6292" t="s">
        <v>737</v>
      </c>
      <c r="K6292" t="b">
        <v>0</v>
      </c>
      <c r="L6292">
        <v>2024</v>
      </c>
      <c r="M6292">
        <v>74068349523</v>
      </c>
      <c r="N6292">
        <v>4027597523550</v>
      </c>
      <c r="O6292" t="b">
        <v>1</v>
      </c>
      <c r="P6292">
        <v>1</v>
      </c>
      <c r="Q6292" t="str" cm="1">
        <f t="array" ref="Q6292">_xlfn.IFS(Table1[[#This Row],[Wealthier_Winner]]=-1,"Wealthier Nation Loses",Table1[[#This Row],[Wealthier_Winner]]=0,"Tie",Table1[[#This Row],[Wealthier_Winner]]=1,"Wealthier Nation Wins")</f>
        <v>Wealthier Nation Wins</v>
      </c>
    </row>
    <row r="6293" spans="1:17" x14ac:dyDescent="0.2">
      <c r="A6293" s="1">
        <v>9036</v>
      </c>
      <c r="B6293" s="2">
        <v>45449</v>
      </c>
      <c r="C6293" s="7">
        <f>_xlfn.FLOOR.MATH(Table1[[#This Row],[year]],10)</f>
        <v>2020</v>
      </c>
      <c r="D6293" t="s">
        <v>359</v>
      </c>
      <c r="E6293" t="s">
        <v>195</v>
      </c>
      <c r="F6293">
        <v>0</v>
      </c>
      <c r="G6293">
        <v>7</v>
      </c>
      <c r="H6293" t="s">
        <v>224</v>
      </c>
      <c r="I6293" t="s">
        <v>360</v>
      </c>
      <c r="J6293" t="s">
        <v>359</v>
      </c>
      <c r="K6293" t="b">
        <v>0</v>
      </c>
      <c r="L6293">
        <v>2024</v>
      </c>
      <c r="M6293">
        <v>547386645891</v>
      </c>
      <c r="N6293">
        <v>1875388209406</v>
      </c>
      <c r="O6293" t="b">
        <v>1</v>
      </c>
      <c r="P6293">
        <v>1</v>
      </c>
      <c r="Q6293" t="str" cm="1">
        <f t="array" ref="Q6293">_xlfn.IFS(Table1[[#This Row],[Wealthier_Winner]]=-1,"Wealthier Nation Loses",Table1[[#This Row],[Wealthier_Winner]]=0,"Tie",Table1[[#This Row],[Wealthier_Winner]]=1,"Wealthier Nation Wins")</f>
        <v>Wealthier Nation Wins</v>
      </c>
    </row>
    <row r="6294" spans="1:17" x14ac:dyDescent="0.2">
      <c r="A6294" s="1">
        <v>9039</v>
      </c>
      <c r="B6294" s="2">
        <v>45449</v>
      </c>
      <c r="C6294" s="7">
        <f>_xlfn.FLOOR.MATH(Table1[[#This Row],[year]],10)</f>
        <v>2020</v>
      </c>
      <c r="D6294" t="s">
        <v>563</v>
      </c>
      <c r="E6294" t="s">
        <v>560</v>
      </c>
      <c r="F6294">
        <v>3</v>
      </c>
      <c r="G6294">
        <v>1</v>
      </c>
      <c r="H6294" t="s">
        <v>224</v>
      </c>
      <c r="I6294" t="s">
        <v>564</v>
      </c>
      <c r="J6294" t="s">
        <v>563</v>
      </c>
      <c r="K6294" t="b">
        <v>0</v>
      </c>
      <c r="L6294">
        <v>2024</v>
      </c>
      <c r="M6294">
        <v>114965293466</v>
      </c>
      <c r="N6294">
        <v>51387209872</v>
      </c>
      <c r="O6294" t="b">
        <v>1</v>
      </c>
      <c r="P6294">
        <v>1</v>
      </c>
      <c r="Q6294" t="str" cm="1">
        <f t="array" ref="Q6294">_xlfn.IFS(Table1[[#This Row],[Wealthier_Winner]]=-1,"Wealthier Nation Loses",Table1[[#This Row],[Wealthier_Winner]]=0,"Tie",Table1[[#This Row],[Wealthier_Winner]]=1,"Wealthier Nation Wins")</f>
        <v>Wealthier Nation Wins</v>
      </c>
    </row>
    <row r="6295" spans="1:17" x14ac:dyDescent="0.2">
      <c r="A6295" s="1">
        <v>9041</v>
      </c>
      <c r="B6295" s="2">
        <v>45449</v>
      </c>
      <c r="C6295" s="7">
        <f>_xlfn.FLOOR.MATH(Table1[[#This Row],[year]],10)</f>
        <v>2020</v>
      </c>
      <c r="D6295" t="s">
        <v>328</v>
      </c>
      <c r="E6295" t="s">
        <v>37</v>
      </c>
      <c r="F6295">
        <v>0</v>
      </c>
      <c r="G6295">
        <v>2</v>
      </c>
      <c r="H6295" t="s">
        <v>224</v>
      </c>
      <c r="I6295" t="s">
        <v>386</v>
      </c>
      <c r="J6295" t="s">
        <v>328</v>
      </c>
      <c r="K6295" t="b">
        <v>0</v>
      </c>
      <c r="L6295">
        <v>2024</v>
      </c>
      <c r="M6295">
        <v>1396300098190</v>
      </c>
      <c r="N6295">
        <v>279641257615</v>
      </c>
      <c r="O6295" t="b">
        <v>1</v>
      </c>
      <c r="P6295">
        <v>-1</v>
      </c>
      <c r="Q6295" t="str" cm="1">
        <f t="array" ref="Q6295">_xlfn.IFS(Table1[[#This Row],[Wealthier_Winner]]=-1,"Wealthier Nation Loses",Table1[[#This Row],[Wealthier_Winner]]=0,"Tie",Table1[[#This Row],[Wealthier_Winner]]=1,"Wealthier Nation Wins")</f>
        <v>Wealthier Nation Loses</v>
      </c>
    </row>
    <row r="6296" spans="1:17" x14ac:dyDescent="0.2">
      <c r="A6296" s="1">
        <v>9042</v>
      </c>
      <c r="B6296" s="2">
        <v>45449</v>
      </c>
      <c r="C6296" s="7">
        <f>_xlfn.FLOOR.MATH(Table1[[#This Row],[year]],10)</f>
        <v>2020</v>
      </c>
      <c r="D6296" t="s">
        <v>475</v>
      </c>
      <c r="E6296" t="s">
        <v>532</v>
      </c>
      <c r="F6296">
        <v>3</v>
      </c>
      <c r="G6296">
        <v>2</v>
      </c>
      <c r="H6296" t="s">
        <v>224</v>
      </c>
      <c r="I6296" t="s">
        <v>647</v>
      </c>
      <c r="J6296" t="s">
        <v>475</v>
      </c>
      <c r="K6296" t="b">
        <v>0</v>
      </c>
      <c r="L6296">
        <v>2024</v>
      </c>
      <c r="M6296">
        <v>476388230307</v>
      </c>
      <c r="N6296">
        <v>461617509782</v>
      </c>
      <c r="O6296" t="b">
        <v>0</v>
      </c>
      <c r="P6296">
        <v>1</v>
      </c>
      <c r="Q6296" t="str" cm="1">
        <f t="array" ref="Q6296">_xlfn.IFS(Table1[[#This Row],[Wealthier_Winner]]=-1,"Wealthier Nation Loses",Table1[[#This Row],[Wealthier_Winner]]=0,"Tie",Table1[[#This Row],[Wealthier_Winner]]=1,"Wealthier Nation Wins")</f>
        <v>Wealthier Nation Wins</v>
      </c>
    </row>
    <row r="6297" spans="1:17" x14ac:dyDescent="0.2">
      <c r="A6297" s="1">
        <v>9043</v>
      </c>
      <c r="B6297" s="2">
        <v>45449</v>
      </c>
      <c r="C6297" s="7">
        <f>_xlfn.FLOOR.MATH(Table1[[#This Row],[year]],10)</f>
        <v>2020</v>
      </c>
      <c r="D6297" t="s">
        <v>403</v>
      </c>
      <c r="E6297" t="s">
        <v>556</v>
      </c>
      <c r="F6297">
        <v>3</v>
      </c>
      <c r="G6297">
        <v>0</v>
      </c>
      <c r="H6297" t="s">
        <v>224</v>
      </c>
      <c r="I6297" t="s">
        <v>404</v>
      </c>
      <c r="J6297" t="s">
        <v>403</v>
      </c>
      <c r="K6297" t="b">
        <v>0</v>
      </c>
      <c r="L6297">
        <v>2024</v>
      </c>
      <c r="M6297">
        <v>53352289577</v>
      </c>
      <c r="N6297">
        <v>14204575548</v>
      </c>
      <c r="O6297" t="b">
        <v>1</v>
      </c>
      <c r="P6297">
        <v>1</v>
      </c>
      <c r="Q6297" t="str" cm="1">
        <f t="array" ref="Q6297">_xlfn.IFS(Table1[[#This Row],[Wealthier_Winner]]=-1,"Wealthier Nation Loses",Table1[[#This Row],[Wealthier_Winner]]=0,"Tie",Table1[[#This Row],[Wealthier_Winner]]=1,"Wealthier Nation Wins")</f>
        <v>Wealthier Nation Wins</v>
      </c>
    </row>
    <row r="6298" spans="1:17" x14ac:dyDescent="0.2">
      <c r="A6298" s="1">
        <v>9044</v>
      </c>
      <c r="B6298" s="2">
        <v>45449</v>
      </c>
      <c r="C6298" s="7">
        <f>_xlfn.FLOOR.MATH(Table1[[#This Row],[year]],10)</f>
        <v>2020</v>
      </c>
      <c r="D6298" t="s">
        <v>431</v>
      </c>
      <c r="E6298" t="s">
        <v>45</v>
      </c>
      <c r="F6298">
        <v>0</v>
      </c>
      <c r="G6298">
        <v>3</v>
      </c>
      <c r="H6298" t="s">
        <v>224</v>
      </c>
      <c r="I6298" t="s">
        <v>432</v>
      </c>
      <c r="J6298" t="s">
        <v>431</v>
      </c>
      <c r="K6298" t="b">
        <v>0</v>
      </c>
      <c r="L6298">
        <v>2024</v>
      </c>
      <c r="M6298">
        <v>371570000121</v>
      </c>
      <c r="N6298">
        <v>1239804533333</v>
      </c>
      <c r="O6298" t="b">
        <v>1</v>
      </c>
      <c r="P6298">
        <v>1</v>
      </c>
      <c r="Q6298" t="str" cm="1">
        <f t="array" ref="Q6298">_xlfn.IFS(Table1[[#This Row],[Wealthier_Winner]]=-1,"Wealthier Nation Loses",Table1[[#This Row],[Wealthier_Winner]]=0,"Tie",Table1[[#This Row],[Wealthier_Winner]]=1,"Wealthier Nation Wins")</f>
        <v>Wealthier Nation Wins</v>
      </c>
    </row>
    <row r="6299" spans="1:17" x14ac:dyDescent="0.2">
      <c r="A6299" s="1">
        <v>9045</v>
      </c>
      <c r="B6299" s="2">
        <v>45449</v>
      </c>
      <c r="C6299" s="7">
        <f>_xlfn.FLOOR.MATH(Table1[[#This Row],[year]],10)</f>
        <v>2020</v>
      </c>
      <c r="D6299" t="s">
        <v>400</v>
      </c>
      <c r="E6299" t="s">
        <v>39</v>
      </c>
      <c r="F6299">
        <v>0</v>
      </c>
      <c r="G6299">
        <v>4</v>
      </c>
      <c r="H6299" t="s">
        <v>224</v>
      </c>
      <c r="I6299" t="s">
        <v>612</v>
      </c>
      <c r="J6299" t="s">
        <v>45</v>
      </c>
      <c r="K6299" t="b">
        <v>1</v>
      </c>
      <c r="L6299">
        <v>2024</v>
      </c>
      <c r="M6299">
        <v>42914268286</v>
      </c>
      <c r="N6299">
        <v>552324846834</v>
      </c>
      <c r="O6299" t="b">
        <v>1</v>
      </c>
      <c r="P6299">
        <v>1</v>
      </c>
      <c r="Q6299" t="str" cm="1">
        <f t="array" ref="Q6299">_xlfn.IFS(Table1[[#This Row],[Wealthier_Winner]]=-1,"Wealthier Nation Loses",Table1[[#This Row],[Wealthier_Winner]]=0,"Tie",Table1[[#This Row],[Wealthier_Winner]]=1,"Wealthier Nation Wins")</f>
        <v>Wealthier Nation Wins</v>
      </c>
    </row>
    <row r="6300" spans="1:17" x14ac:dyDescent="0.2">
      <c r="A6300" s="1">
        <v>9047</v>
      </c>
      <c r="B6300" s="2">
        <v>45449</v>
      </c>
      <c r="C6300" s="7">
        <f>_xlfn.FLOOR.MATH(Table1[[#This Row],[year]],10)</f>
        <v>2020</v>
      </c>
      <c r="D6300" t="s">
        <v>405</v>
      </c>
      <c r="E6300" t="s">
        <v>28</v>
      </c>
      <c r="F6300">
        <v>0</v>
      </c>
      <c r="G6300">
        <v>2</v>
      </c>
      <c r="H6300" t="s">
        <v>224</v>
      </c>
      <c r="I6300" t="s">
        <v>409</v>
      </c>
      <c r="J6300" t="s">
        <v>405</v>
      </c>
      <c r="K6300" t="b">
        <v>0</v>
      </c>
      <c r="L6300">
        <v>2024</v>
      </c>
      <c r="M6300">
        <v>450119432068</v>
      </c>
      <c r="N6300">
        <v>1757022451652</v>
      </c>
      <c r="O6300" t="b">
        <v>1</v>
      </c>
      <c r="P6300">
        <v>1</v>
      </c>
      <c r="Q6300" t="str" cm="1">
        <f t="array" ref="Q6300">_xlfn.IFS(Table1[[#This Row],[Wealthier_Winner]]=-1,"Wealthier Nation Loses",Table1[[#This Row],[Wealthier_Winner]]=0,"Tie",Table1[[#This Row],[Wealthier_Winner]]=1,"Wealthier Nation Wins")</f>
        <v>Wealthier Nation Wins</v>
      </c>
    </row>
    <row r="6301" spans="1:17" x14ac:dyDescent="0.2">
      <c r="A6301" s="1">
        <v>9052</v>
      </c>
      <c r="B6301" s="2">
        <v>45449</v>
      </c>
      <c r="C6301" s="7">
        <f>_xlfn.FLOOR.MATH(Table1[[#This Row],[year]],10)</f>
        <v>2020</v>
      </c>
      <c r="D6301" t="s">
        <v>67</v>
      </c>
      <c r="E6301" t="s">
        <v>445</v>
      </c>
      <c r="F6301">
        <v>2</v>
      </c>
      <c r="G6301">
        <v>0</v>
      </c>
      <c r="H6301" t="s">
        <v>224</v>
      </c>
      <c r="I6301" t="s">
        <v>455</v>
      </c>
      <c r="J6301" t="s">
        <v>67</v>
      </c>
      <c r="K6301" t="b">
        <v>0</v>
      </c>
      <c r="L6301">
        <v>2024</v>
      </c>
      <c r="M6301">
        <v>86523959131</v>
      </c>
      <c r="N6301">
        <v>24662709832</v>
      </c>
      <c r="O6301" t="b">
        <v>1</v>
      </c>
      <c r="P6301">
        <v>1</v>
      </c>
      <c r="Q6301" t="str" cm="1">
        <f t="array" ref="Q6301">_xlfn.IFS(Table1[[#This Row],[Wealthier_Winner]]=-1,"Wealthier Nation Loses",Table1[[#This Row],[Wealthier_Winner]]=0,"Tie",Table1[[#This Row],[Wealthier_Winner]]=1,"Wealthier Nation Wins")</f>
        <v>Wealthier Nation Wins</v>
      </c>
    </row>
    <row r="6302" spans="1:17" x14ac:dyDescent="0.2">
      <c r="A6302" s="1">
        <v>9053</v>
      </c>
      <c r="B6302" s="2">
        <v>45449</v>
      </c>
      <c r="C6302" s="7">
        <f>_xlfn.FLOOR.MATH(Table1[[#This Row],[year]],10)</f>
        <v>2020</v>
      </c>
      <c r="D6302" t="s">
        <v>49</v>
      </c>
      <c r="E6302" t="s">
        <v>496</v>
      </c>
      <c r="F6302">
        <v>1</v>
      </c>
      <c r="G6302">
        <v>0</v>
      </c>
      <c r="H6302" t="s">
        <v>224</v>
      </c>
      <c r="I6302" t="s">
        <v>257</v>
      </c>
      <c r="J6302" t="s">
        <v>49</v>
      </c>
      <c r="K6302" t="b">
        <v>0</v>
      </c>
      <c r="L6302">
        <v>2024</v>
      </c>
      <c r="M6302">
        <v>22014397089</v>
      </c>
      <c r="N6302">
        <v>124282245638</v>
      </c>
      <c r="O6302" t="b">
        <v>1</v>
      </c>
      <c r="P6302">
        <v>-1</v>
      </c>
      <c r="Q6302" t="str" cm="1">
        <f t="array" ref="Q6302">_xlfn.IFS(Table1[[#This Row],[Wealthier_Winner]]=-1,"Wealthier Nation Loses",Table1[[#This Row],[Wealthier_Winner]]=0,"Tie",Table1[[#This Row],[Wealthier_Winner]]=1,"Wealthier Nation Wins")</f>
        <v>Wealthier Nation Loses</v>
      </c>
    </row>
    <row r="6303" spans="1:17" x14ac:dyDescent="0.2">
      <c r="A6303" s="1">
        <v>9055</v>
      </c>
      <c r="B6303" s="2">
        <v>45450</v>
      </c>
      <c r="C6303" s="7">
        <f>_xlfn.FLOOR.MATH(Table1[[#This Row],[year]],10)</f>
        <v>2020</v>
      </c>
      <c r="D6303" t="s">
        <v>298</v>
      </c>
      <c r="E6303" t="s">
        <v>307</v>
      </c>
      <c r="F6303">
        <v>0</v>
      </c>
      <c r="G6303">
        <v>2</v>
      </c>
      <c r="H6303" t="s">
        <v>224</v>
      </c>
      <c r="I6303" t="s">
        <v>160</v>
      </c>
      <c r="J6303" t="s">
        <v>50</v>
      </c>
      <c r="K6303" t="b">
        <v>1</v>
      </c>
      <c r="L6303">
        <v>2024</v>
      </c>
      <c r="M6303">
        <v>41539411516</v>
      </c>
      <c r="N6303">
        <v>2271759454</v>
      </c>
      <c r="O6303" t="b">
        <v>1</v>
      </c>
      <c r="P6303">
        <v>-1</v>
      </c>
      <c r="Q6303" t="str" cm="1">
        <f t="array" ref="Q6303">_xlfn.IFS(Table1[[#This Row],[Wealthier_Winner]]=-1,"Wealthier Nation Loses",Table1[[#This Row],[Wealthier_Winner]]=0,"Tie",Table1[[#This Row],[Wealthier_Winner]]=1,"Wealthier Nation Wins")</f>
        <v>Wealthier Nation Loses</v>
      </c>
    </row>
    <row r="6304" spans="1:17" x14ac:dyDescent="0.2">
      <c r="A6304" s="1">
        <v>9056</v>
      </c>
      <c r="B6304" s="2">
        <v>45450</v>
      </c>
      <c r="C6304" s="7">
        <f>_xlfn.FLOOR.MATH(Table1[[#This Row],[year]],10)</f>
        <v>2020</v>
      </c>
      <c r="D6304" t="s">
        <v>43</v>
      </c>
      <c r="E6304" t="s">
        <v>50</v>
      </c>
      <c r="F6304">
        <v>1</v>
      </c>
      <c r="G6304">
        <v>1</v>
      </c>
      <c r="H6304" t="s">
        <v>224</v>
      </c>
      <c r="I6304" t="s">
        <v>814</v>
      </c>
      <c r="J6304" t="s">
        <v>43</v>
      </c>
      <c r="K6304" t="b">
        <v>0</v>
      </c>
      <c r="L6304">
        <v>2024</v>
      </c>
      <c r="M6304">
        <v>252261880141</v>
      </c>
      <c r="N6304">
        <v>401144998373</v>
      </c>
      <c r="O6304" t="b">
        <v>0</v>
      </c>
      <c r="P6304">
        <v>0</v>
      </c>
      <c r="Q6304" t="str" cm="1">
        <f t="array" ref="Q6304">_xlfn.IFS(Table1[[#This Row],[Wealthier_Winner]]=-1,"Wealthier Nation Loses",Table1[[#This Row],[Wealthier_Winner]]=0,"Tie",Table1[[#This Row],[Wealthier_Winner]]=1,"Wealthier Nation Wins")</f>
        <v>Tie</v>
      </c>
    </row>
    <row r="6305" spans="1:17" x14ac:dyDescent="0.2">
      <c r="A6305" s="1">
        <v>9057</v>
      </c>
      <c r="B6305" s="2">
        <v>45450</v>
      </c>
      <c r="C6305" s="7">
        <f>_xlfn.FLOOR.MATH(Table1[[#This Row],[year]],10)</f>
        <v>2020</v>
      </c>
      <c r="D6305" t="s">
        <v>60</v>
      </c>
      <c r="E6305" t="s">
        <v>463</v>
      </c>
      <c r="F6305">
        <v>1</v>
      </c>
      <c r="G6305">
        <v>0</v>
      </c>
      <c r="H6305" t="s">
        <v>224</v>
      </c>
      <c r="I6305" t="s">
        <v>396</v>
      </c>
      <c r="J6305" t="s">
        <v>60</v>
      </c>
      <c r="K6305" t="b">
        <v>0</v>
      </c>
      <c r="L6305">
        <v>2024</v>
      </c>
      <c r="M6305">
        <v>100998916781</v>
      </c>
      <c r="N6305">
        <v>4858885840</v>
      </c>
      <c r="O6305" t="b">
        <v>1</v>
      </c>
      <c r="P6305">
        <v>1</v>
      </c>
      <c r="Q6305" t="str" cm="1">
        <f t="array" ref="Q6305">_xlfn.IFS(Table1[[#This Row],[Wealthier_Winner]]=-1,"Wealthier Nation Loses",Table1[[#This Row],[Wealthier_Winner]]=0,"Tie",Table1[[#This Row],[Wealthier_Winner]]=1,"Wealthier Nation Wins")</f>
        <v>Wealthier Nation Wins</v>
      </c>
    </row>
    <row r="6306" spans="1:17" x14ac:dyDescent="0.2">
      <c r="A6306" s="1">
        <v>9058</v>
      </c>
      <c r="B6306" s="2">
        <v>45450</v>
      </c>
      <c r="C6306" s="7">
        <f>_xlfn.FLOOR.MATH(Table1[[#This Row],[year]],10)</f>
        <v>2020</v>
      </c>
      <c r="D6306" t="s">
        <v>24</v>
      </c>
      <c r="E6306" t="s">
        <v>273</v>
      </c>
      <c r="F6306">
        <v>2</v>
      </c>
      <c r="G6306">
        <v>1</v>
      </c>
      <c r="H6306" t="s">
        <v>224</v>
      </c>
      <c r="I6306" t="s">
        <v>796</v>
      </c>
      <c r="J6306" t="s">
        <v>24</v>
      </c>
      <c r="K6306" t="b">
        <v>0</v>
      </c>
      <c r="L6306">
        <v>2024</v>
      </c>
      <c r="M6306">
        <v>160610994054</v>
      </c>
      <c r="N6306">
        <v>25303185342</v>
      </c>
      <c r="O6306" t="b">
        <v>1</v>
      </c>
      <c r="P6306">
        <v>1</v>
      </c>
      <c r="Q6306" t="str" cm="1">
        <f t="array" ref="Q6306">_xlfn.IFS(Table1[[#This Row],[Wealthier_Winner]]=-1,"Wealthier Nation Loses",Table1[[#This Row],[Wealthier_Winner]]=0,"Tie",Table1[[#This Row],[Wealthier_Winner]]=1,"Wealthier Nation Wins")</f>
        <v>Wealthier Nation Wins</v>
      </c>
    </row>
    <row r="6307" spans="1:17" x14ac:dyDescent="0.2">
      <c r="A6307" s="1">
        <v>9059</v>
      </c>
      <c r="B6307" s="2">
        <v>45450</v>
      </c>
      <c r="C6307" s="7">
        <f>_xlfn.FLOOR.MATH(Table1[[#This Row],[year]],10)</f>
        <v>2020</v>
      </c>
      <c r="D6307" t="s">
        <v>314</v>
      </c>
      <c r="E6307" t="s">
        <v>460</v>
      </c>
      <c r="F6307">
        <v>1</v>
      </c>
      <c r="G6307">
        <v>1</v>
      </c>
      <c r="H6307" t="s">
        <v>224</v>
      </c>
      <c r="I6307" t="s">
        <v>397</v>
      </c>
      <c r="J6307" t="s">
        <v>370</v>
      </c>
      <c r="K6307" t="b">
        <v>1</v>
      </c>
      <c r="L6307">
        <v>2024</v>
      </c>
      <c r="M6307">
        <v>120339557905</v>
      </c>
      <c r="N6307">
        <v>3082433067</v>
      </c>
      <c r="O6307" t="b">
        <v>1</v>
      </c>
      <c r="P6307">
        <v>0</v>
      </c>
      <c r="Q6307" t="str" cm="1">
        <f t="array" ref="Q6307">_xlfn.IFS(Table1[[#This Row],[Wealthier_Winner]]=-1,"Wealthier Nation Loses",Table1[[#This Row],[Wealthier_Winner]]=0,"Tie",Table1[[#This Row],[Wealthier_Winner]]=1,"Wealthier Nation Wins")</f>
        <v>Tie</v>
      </c>
    </row>
    <row r="6308" spans="1:17" x14ac:dyDescent="0.2">
      <c r="A6308" s="1">
        <v>9062</v>
      </c>
      <c r="B6308" s="2">
        <v>45450</v>
      </c>
      <c r="C6308" s="7">
        <f>_xlfn.FLOOR.MATH(Table1[[#This Row],[year]],10)</f>
        <v>2020</v>
      </c>
      <c r="D6308" t="s">
        <v>357</v>
      </c>
      <c r="E6308" t="s">
        <v>469</v>
      </c>
      <c r="F6308">
        <v>1</v>
      </c>
      <c r="G6308">
        <v>0</v>
      </c>
      <c r="H6308" t="s">
        <v>224</v>
      </c>
      <c r="I6308" t="s">
        <v>884</v>
      </c>
      <c r="J6308" t="s">
        <v>357</v>
      </c>
      <c r="K6308" t="b">
        <v>0</v>
      </c>
      <c r="L6308">
        <v>2024</v>
      </c>
      <c r="M6308">
        <v>53911907086</v>
      </c>
      <c r="N6308">
        <v>19402063512</v>
      </c>
      <c r="O6308" t="b">
        <v>1</v>
      </c>
      <c r="P6308">
        <v>1</v>
      </c>
      <c r="Q6308" t="str" cm="1">
        <f t="array" ref="Q6308">_xlfn.IFS(Table1[[#This Row],[Wealthier_Winner]]=-1,"Wealthier Nation Loses",Table1[[#This Row],[Wealthier_Winner]]=0,"Tie",Table1[[#This Row],[Wealthier_Winner]]=1,"Wealthier Nation Wins")</f>
        <v>Wealthier Nation Wins</v>
      </c>
    </row>
    <row r="6309" spans="1:17" x14ac:dyDescent="0.2">
      <c r="A6309" s="1">
        <v>9063</v>
      </c>
      <c r="B6309" s="2">
        <v>45450</v>
      </c>
      <c r="C6309" s="7">
        <f>_xlfn.FLOOR.MATH(Table1[[#This Row],[year]],10)</f>
        <v>2020</v>
      </c>
      <c r="D6309" t="s">
        <v>410</v>
      </c>
      <c r="E6309" t="s">
        <v>688</v>
      </c>
      <c r="F6309">
        <v>2</v>
      </c>
      <c r="G6309">
        <v>1</v>
      </c>
      <c r="H6309" t="s">
        <v>224</v>
      </c>
      <c r="I6309" t="s">
        <v>160</v>
      </c>
      <c r="J6309" t="s">
        <v>50</v>
      </c>
      <c r="K6309" t="b">
        <v>1</v>
      </c>
      <c r="L6309">
        <v>2024</v>
      </c>
      <c r="M6309">
        <v>17420501490</v>
      </c>
      <c r="N6309">
        <v>1440991455</v>
      </c>
      <c r="O6309" t="b">
        <v>1</v>
      </c>
      <c r="P6309">
        <v>1</v>
      </c>
      <c r="Q6309" t="str" cm="1">
        <f t="array" ref="Q6309">_xlfn.IFS(Table1[[#This Row],[Wealthier_Winner]]=-1,"Wealthier Nation Loses",Table1[[#This Row],[Wealthier_Winner]]=0,"Tie",Table1[[#This Row],[Wealthier_Winner]]=1,"Wealthier Nation Wins")</f>
        <v>Wealthier Nation Wins</v>
      </c>
    </row>
    <row r="6310" spans="1:17" x14ac:dyDescent="0.2">
      <c r="A6310" s="1">
        <v>9069</v>
      </c>
      <c r="B6310" s="2">
        <v>45451</v>
      </c>
      <c r="C6310" s="7">
        <f>_xlfn.FLOOR.MATH(Table1[[#This Row],[year]],10)</f>
        <v>2020</v>
      </c>
      <c r="D6310" t="s">
        <v>511</v>
      </c>
      <c r="E6310" t="s">
        <v>453</v>
      </c>
      <c r="F6310">
        <v>0</v>
      </c>
      <c r="G6310">
        <v>4</v>
      </c>
      <c r="H6310" t="s">
        <v>224</v>
      </c>
      <c r="I6310" t="s">
        <v>746</v>
      </c>
      <c r="J6310" t="s">
        <v>511</v>
      </c>
      <c r="K6310" t="b">
        <v>0</v>
      </c>
      <c r="L6310">
        <v>2024</v>
      </c>
      <c r="M6310">
        <v>3203631800</v>
      </c>
      <c r="N6310">
        <v>19693982967</v>
      </c>
      <c r="O6310" t="b">
        <v>1</v>
      </c>
      <c r="P6310">
        <v>1</v>
      </c>
      <c r="Q6310" t="str" cm="1">
        <f t="array" ref="Q6310">_xlfn.IFS(Table1[[#This Row],[Wealthier_Winner]]=-1,"Wealthier Nation Loses",Table1[[#This Row],[Wealthier_Winner]]=0,"Tie",Table1[[#This Row],[Wealthier_Winner]]=1,"Wealthier Nation Wins")</f>
        <v>Wealthier Nation Wins</v>
      </c>
    </row>
    <row r="6311" spans="1:17" x14ac:dyDescent="0.2">
      <c r="A6311" s="1">
        <v>9072</v>
      </c>
      <c r="B6311" s="2">
        <v>45452</v>
      </c>
      <c r="C6311" s="7">
        <f>_xlfn.FLOOR.MATH(Table1[[#This Row],[year]],10)</f>
        <v>2020</v>
      </c>
      <c r="D6311" t="s">
        <v>694</v>
      </c>
      <c r="E6311" t="s">
        <v>238</v>
      </c>
      <c r="F6311">
        <v>1</v>
      </c>
      <c r="G6311">
        <v>1</v>
      </c>
      <c r="H6311" t="s">
        <v>224</v>
      </c>
      <c r="I6311" t="s">
        <v>873</v>
      </c>
      <c r="J6311" t="s">
        <v>24</v>
      </c>
      <c r="K6311" t="b">
        <v>1</v>
      </c>
      <c r="L6311">
        <v>2024</v>
      </c>
      <c r="M6311">
        <v>4152145939</v>
      </c>
      <c r="N6311">
        <v>149740297952</v>
      </c>
      <c r="O6311" t="b">
        <v>1</v>
      </c>
      <c r="P6311">
        <v>0</v>
      </c>
      <c r="Q6311" t="str" cm="1">
        <f t="array" ref="Q6311">_xlfn.IFS(Table1[[#This Row],[Wealthier_Winner]]=-1,"Wealthier Nation Loses",Table1[[#This Row],[Wealthier_Winner]]=0,"Tie",Table1[[#This Row],[Wealthier_Winner]]=1,"Wealthier Nation Wins")</f>
        <v>Tie</v>
      </c>
    </row>
    <row r="6312" spans="1:17" x14ac:dyDescent="0.2">
      <c r="A6312" s="1">
        <v>9073</v>
      </c>
      <c r="B6312" s="2">
        <v>45452</v>
      </c>
      <c r="C6312" s="7">
        <f>_xlfn.FLOOR.MATH(Table1[[#This Row],[year]],10)</f>
        <v>2020</v>
      </c>
      <c r="D6312" t="s">
        <v>346</v>
      </c>
      <c r="E6312" t="s">
        <v>54</v>
      </c>
      <c r="F6312">
        <v>0</v>
      </c>
      <c r="G6312">
        <v>1</v>
      </c>
      <c r="H6312" t="s">
        <v>224</v>
      </c>
      <c r="I6312" t="s">
        <v>350</v>
      </c>
      <c r="J6312" t="s">
        <v>346</v>
      </c>
      <c r="K6312" t="b">
        <v>0</v>
      </c>
      <c r="L6312">
        <v>2024</v>
      </c>
      <c r="M6312">
        <v>10908045686</v>
      </c>
      <c r="N6312">
        <v>32808056600</v>
      </c>
      <c r="O6312" t="b">
        <v>1</v>
      </c>
      <c r="P6312">
        <v>1</v>
      </c>
      <c r="Q6312" t="str" cm="1">
        <f t="array" ref="Q6312">_xlfn.IFS(Table1[[#This Row],[Wealthier_Winner]]=-1,"Wealthier Nation Loses",Table1[[#This Row],[Wealthier_Winner]]=0,"Tie",Table1[[#This Row],[Wealthier_Winner]]=1,"Wealthier Nation Wins")</f>
        <v>Wealthier Nation Wins</v>
      </c>
    </row>
    <row r="6313" spans="1:17" x14ac:dyDescent="0.2">
      <c r="A6313" s="1">
        <v>9076</v>
      </c>
      <c r="B6313" s="2">
        <v>45452</v>
      </c>
      <c r="C6313" s="7">
        <f>_xlfn.FLOOR.MATH(Table1[[#This Row],[year]],10)</f>
        <v>2020</v>
      </c>
      <c r="D6313" t="s">
        <v>462</v>
      </c>
      <c r="E6313" t="s">
        <v>53</v>
      </c>
      <c r="F6313">
        <v>0</v>
      </c>
      <c r="G6313">
        <v>0</v>
      </c>
      <c r="H6313" t="s">
        <v>224</v>
      </c>
      <c r="I6313" t="s">
        <v>160</v>
      </c>
      <c r="J6313" t="s">
        <v>50</v>
      </c>
      <c r="K6313" t="b">
        <v>1</v>
      </c>
      <c r="L6313">
        <v>2024</v>
      </c>
      <c r="M6313">
        <v>13372354511</v>
      </c>
      <c r="N6313">
        <v>51332285656</v>
      </c>
      <c r="O6313" t="b">
        <v>1</v>
      </c>
      <c r="P6313">
        <v>0</v>
      </c>
      <c r="Q6313" t="str" cm="1">
        <f t="array" ref="Q6313">_xlfn.IFS(Table1[[#This Row],[Wealthier_Winner]]=-1,"Wealthier Nation Loses",Table1[[#This Row],[Wealthier_Winner]]=0,"Tie",Table1[[#This Row],[Wealthier_Winner]]=1,"Wealthier Nation Wins")</f>
        <v>Tie</v>
      </c>
    </row>
    <row r="6314" spans="1:17" x14ac:dyDescent="0.2">
      <c r="A6314" s="1">
        <v>9077</v>
      </c>
      <c r="B6314" s="2">
        <v>45452</v>
      </c>
      <c r="C6314" s="7">
        <f>_xlfn.FLOOR.MATH(Table1[[#This Row],[year]],10)</f>
        <v>2020</v>
      </c>
      <c r="D6314" t="s">
        <v>266</v>
      </c>
      <c r="E6314" t="s">
        <v>65</v>
      </c>
      <c r="F6314">
        <v>1</v>
      </c>
      <c r="G6314">
        <v>6</v>
      </c>
      <c r="H6314" t="s">
        <v>224</v>
      </c>
      <c r="I6314" t="s">
        <v>271</v>
      </c>
      <c r="J6314" t="s">
        <v>266</v>
      </c>
      <c r="K6314" t="b">
        <v>0</v>
      </c>
      <c r="L6314">
        <v>2024</v>
      </c>
      <c r="M6314">
        <v>9233600000</v>
      </c>
      <c r="N6314">
        <v>37093565854</v>
      </c>
      <c r="O6314" t="b">
        <v>1</v>
      </c>
      <c r="P6314">
        <v>1</v>
      </c>
      <c r="Q6314" t="str" cm="1">
        <f t="array" ref="Q6314">_xlfn.IFS(Table1[[#This Row],[Wealthier_Winner]]=-1,"Wealthier Nation Loses",Table1[[#This Row],[Wealthier_Winner]]=0,"Tie",Table1[[#This Row],[Wealthier_Winner]]=1,"Wealthier Nation Wins")</f>
        <v>Wealthier Nation Wins</v>
      </c>
    </row>
    <row r="6315" spans="1:17" x14ac:dyDescent="0.2">
      <c r="A6315" s="1">
        <v>9078</v>
      </c>
      <c r="B6315" s="2">
        <v>45452</v>
      </c>
      <c r="C6315" s="7">
        <f>_xlfn.FLOOR.MATH(Table1[[#This Row],[year]],10)</f>
        <v>2020</v>
      </c>
      <c r="D6315" t="s">
        <v>499</v>
      </c>
      <c r="E6315" t="s">
        <v>56</v>
      </c>
      <c r="F6315">
        <v>0</v>
      </c>
      <c r="G6315">
        <v>3</v>
      </c>
      <c r="H6315" t="s">
        <v>224</v>
      </c>
      <c r="I6315" t="s">
        <v>501</v>
      </c>
      <c r="J6315" t="s">
        <v>499</v>
      </c>
      <c r="K6315" t="b">
        <v>0</v>
      </c>
      <c r="L6315">
        <v>2024</v>
      </c>
      <c r="M6315">
        <v>1371918518</v>
      </c>
      <c r="N6315">
        <v>95350423176</v>
      </c>
      <c r="O6315" t="b">
        <v>1</v>
      </c>
      <c r="P6315">
        <v>1</v>
      </c>
      <c r="Q6315" t="str" cm="1">
        <f t="array" ref="Q6315">_xlfn.IFS(Table1[[#This Row],[Wealthier_Winner]]=-1,"Wealthier Nation Loses",Table1[[#This Row],[Wealthier_Winner]]=0,"Tie",Table1[[#This Row],[Wealthier_Winner]]=1,"Wealthier Nation Wins")</f>
        <v>Wealthier Nation Wins</v>
      </c>
    </row>
    <row r="6316" spans="1:17" x14ac:dyDescent="0.2">
      <c r="A6316" s="1">
        <v>9079</v>
      </c>
      <c r="B6316" s="2">
        <v>45452</v>
      </c>
      <c r="C6316" s="7">
        <f>_xlfn.FLOOR.MATH(Table1[[#This Row],[year]],10)</f>
        <v>2020</v>
      </c>
      <c r="D6316" t="s">
        <v>443</v>
      </c>
      <c r="E6316" t="s">
        <v>70</v>
      </c>
      <c r="F6316">
        <v>1</v>
      </c>
      <c r="G6316">
        <v>3</v>
      </c>
      <c r="H6316" t="s">
        <v>224</v>
      </c>
      <c r="I6316" t="s">
        <v>444</v>
      </c>
      <c r="J6316" t="s">
        <v>443</v>
      </c>
      <c r="K6316" t="b">
        <v>0</v>
      </c>
      <c r="L6316">
        <v>2024</v>
      </c>
      <c r="M6316">
        <v>7498050000</v>
      </c>
      <c r="N6316">
        <v>25224154990</v>
      </c>
      <c r="O6316" t="b">
        <v>1</v>
      </c>
      <c r="P6316">
        <v>1</v>
      </c>
      <c r="Q6316" t="str" cm="1">
        <f t="array" ref="Q6316">_xlfn.IFS(Table1[[#This Row],[Wealthier_Winner]]=-1,"Wealthier Nation Loses",Table1[[#This Row],[Wealthier_Winner]]=0,"Tie",Table1[[#This Row],[Wealthier_Winner]]=1,"Wealthier Nation Wins")</f>
        <v>Wealthier Nation Wins</v>
      </c>
    </row>
    <row r="6317" spans="1:17" x14ac:dyDescent="0.2">
      <c r="A6317" s="1">
        <v>9081</v>
      </c>
      <c r="B6317" s="2">
        <v>45452</v>
      </c>
      <c r="C6317" s="7">
        <f>_xlfn.FLOOR.MATH(Table1[[#This Row],[year]],10)</f>
        <v>2020</v>
      </c>
      <c r="D6317" t="s">
        <v>494</v>
      </c>
      <c r="E6317" t="s">
        <v>49</v>
      </c>
      <c r="F6317">
        <v>2</v>
      </c>
      <c r="G6317">
        <v>3</v>
      </c>
      <c r="H6317" t="s">
        <v>224</v>
      </c>
      <c r="I6317" t="s">
        <v>495</v>
      </c>
      <c r="J6317" t="s">
        <v>494</v>
      </c>
      <c r="K6317" t="b">
        <v>0</v>
      </c>
      <c r="L6317">
        <v>2024</v>
      </c>
      <c r="M6317">
        <v>688881481</v>
      </c>
      <c r="N6317">
        <v>22014397089</v>
      </c>
      <c r="O6317" t="b">
        <v>1</v>
      </c>
      <c r="P6317">
        <v>1</v>
      </c>
      <c r="Q6317" t="str" cm="1">
        <f t="array" ref="Q6317">_xlfn.IFS(Table1[[#This Row],[Wealthier_Winner]]=-1,"Wealthier Nation Loses",Table1[[#This Row],[Wealthier_Winner]]=0,"Tie",Table1[[#This Row],[Wealthier_Winner]]=1,"Wealthier Nation Wins")</f>
        <v>Wealthier Nation Wins</v>
      </c>
    </row>
    <row r="6318" spans="1:17" x14ac:dyDescent="0.2">
      <c r="A6318" s="1">
        <v>9083</v>
      </c>
      <c r="B6318" s="2">
        <v>45453</v>
      </c>
      <c r="C6318" s="7">
        <f>_xlfn.FLOOR.MATH(Table1[[#This Row],[year]],10)</f>
        <v>2020</v>
      </c>
      <c r="D6318" t="s">
        <v>508</v>
      </c>
      <c r="E6318" t="s">
        <v>212</v>
      </c>
      <c r="F6318">
        <v>1</v>
      </c>
      <c r="G6318">
        <v>1</v>
      </c>
      <c r="H6318" t="s">
        <v>224</v>
      </c>
      <c r="I6318" t="s">
        <v>509</v>
      </c>
      <c r="J6318" t="s">
        <v>508</v>
      </c>
      <c r="K6318" t="b">
        <v>0</v>
      </c>
      <c r="L6318">
        <v>2024</v>
      </c>
      <c r="M6318">
        <v>2218393804</v>
      </c>
      <c r="N6318">
        <v>389059911003</v>
      </c>
      <c r="O6318" t="b">
        <v>1</v>
      </c>
      <c r="P6318">
        <v>0</v>
      </c>
      <c r="Q6318" t="str" cm="1">
        <f t="array" ref="Q6318">_xlfn.IFS(Table1[[#This Row],[Wealthier_Winner]]=-1,"Wealthier Nation Loses",Table1[[#This Row],[Wealthier_Winner]]=0,"Tie",Table1[[#This Row],[Wealthier_Winner]]=1,"Wealthier Nation Wins")</f>
        <v>Tie</v>
      </c>
    </row>
    <row r="6319" spans="1:17" x14ac:dyDescent="0.2">
      <c r="A6319" s="1">
        <v>9084</v>
      </c>
      <c r="B6319" s="2">
        <v>45453</v>
      </c>
      <c r="C6319" s="7">
        <f>_xlfn.FLOOR.MATH(Table1[[#This Row],[year]],10)</f>
        <v>2020</v>
      </c>
      <c r="D6319" t="s">
        <v>345</v>
      </c>
      <c r="E6319" t="s">
        <v>342</v>
      </c>
      <c r="F6319">
        <v>2</v>
      </c>
      <c r="G6319">
        <v>2</v>
      </c>
      <c r="H6319" t="s">
        <v>224</v>
      </c>
      <c r="I6319" t="s">
        <v>596</v>
      </c>
      <c r="J6319" t="s">
        <v>590</v>
      </c>
      <c r="K6319" t="b">
        <v>1</v>
      </c>
      <c r="L6319">
        <v>2024</v>
      </c>
      <c r="M6319">
        <v>23124729853</v>
      </c>
      <c r="N6319">
        <v>6971127235</v>
      </c>
      <c r="O6319" t="b">
        <v>1</v>
      </c>
      <c r="P6319">
        <v>0</v>
      </c>
      <c r="Q6319" t="str" cm="1">
        <f t="array" ref="Q6319">_xlfn.IFS(Table1[[#This Row],[Wealthier_Winner]]=-1,"Wealthier Nation Loses",Table1[[#This Row],[Wealthier_Winner]]=0,"Tie",Table1[[#This Row],[Wealthier_Winner]]=1,"Wealthier Nation Wins")</f>
        <v>Tie</v>
      </c>
    </row>
    <row r="6320" spans="1:17" x14ac:dyDescent="0.2">
      <c r="A6320" s="1">
        <v>9085</v>
      </c>
      <c r="B6320" s="2">
        <v>45453</v>
      </c>
      <c r="C6320" s="7">
        <f>_xlfn.FLOOR.MATH(Table1[[#This Row],[year]],10)</f>
        <v>2020</v>
      </c>
      <c r="D6320" t="s">
        <v>310</v>
      </c>
      <c r="E6320" t="s">
        <v>43</v>
      </c>
      <c r="F6320">
        <v>2</v>
      </c>
      <c r="G6320">
        <v>1</v>
      </c>
      <c r="H6320" t="s">
        <v>224</v>
      </c>
      <c r="I6320" t="s">
        <v>489</v>
      </c>
      <c r="J6320" t="s">
        <v>490</v>
      </c>
      <c r="K6320" t="b">
        <v>1</v>
      </c>
      <c r="L6320">
        <v>2024</v>
      </c>
      <c r="M6320">
        <v>21482643706</v>
      </c>
      <c r="N6320">
        <v>252261880141</v>
      </c>
      <c r="O6320" t="b">
        <v>1</v>
      </c>
      <c r="P6320">
        <v>-1</v>
      </c>
      <c r="Q6320" t="str" cm="1">
        <f t="array" ref="Q6320">_xlfn.IFS(Table1[[#This Row],[Wealthier_Winner]]=-1,"Wealthier Nation Loses",Table1[[#This Row],[Wealthier_Winner]]=0,"Tie",Table1[[#This Row],[Wealthier_Winner]]=1,"Wealthier Nation Wins")</f>
        <v>Wealthier Nation Loses</v>
      </c>
    </row>
    <row r="6321" spans="1:17" x14ac:dyDescent="0.2">
      <c r="A6321" s="1">
        <v>9087</v>
      </c>
      <c r="B6321" s="2">
        <v>45453</v>
      </c>
      <c r="C6321" s="7">
        <f>_xlfn.FLOOR.MATH(Table1[[#This Row],[year]],10)</f>
        <v>2020</v>
      </c>
      <c r="D6321" t="s">
        <v>357</v>
      </c>
      <c r="E6321" t="s">
        <v>32</v>
      </c>
      <c r="F6321">
        <v>1</v>
      </c>
      <c r="G6321">
        <v>2</v>
      </c>
      <c r="H6321" t="s">
        <v>224</v>
      </c>
      <c r="I6321" t="s">
        <v>884</v>
      </c>
      <c r="J6321" t="s">
        <v>357</v>
      </c>
      <c r="K6321" t="b">
        <v>0</v>
      </c>
      <c r="L6321">
        <v>2024</v>
      </c>
      <c r="M6321">
        <v>53911907086</v>
      </c>
      <c r="N6321">
        <v>269322281664</v>
      </c>
      <c r="O6321" t="b">
        <v>1</v>
      </c>
      <c r="P6321">
        <v>1</v>
      </c>
      <c r="Q6321" t="str" cm="1">
        <f t="array" ref="Q6321">_xlfn.IFS(Table1[[#This Row],[Wealthier_Winner]]=-1,"Wealthier Nation Loses",Table1[[#This Row],[Wealthier_Winner]]=0,"Tie",Table1[[#This Row],[Wealthier_Winner]]=1,"Wealthier Nation Wins")</f>
        <v>Wealthier Nation Wins</v>
      </c>
    </row>
    <row r="6322" spans="1:17" x14ac:dyDescent="0.2">
      <c r="A6322" s="1">
        <v>9088</v>
      </c>
      <c r="B6322" s="2">
        <v>45453</v>
      </c>
      <c r="C6322" s="7">
        <f>_xlfn.FLOOR.MATH(Table1[[#This Row],[year]],10)</f>
        <v>2020</v>
      </c>
      <c r="D6322" t="s">
        <v>305</v>
      </c>
      <c r="E6322" t="s">
        <v>300</v>
      </c>
      <c r="F6322">
        <v>0</v>
      </c>
      <c r="G6322">
        <v>1</v>
      </c>
      <c r="H6322" t="s">
        <v>224</v>
      </c>
      <c r="I6322" t="s">
        <v>873</v>
      </c>
      <c r="J6322" t="s">
        <v>24</v>
      </c>
      <c r="K6322" t="b">
        <v>1</v>
      </c>
      <c r="L6322">
        <v>2024</v>
      </c>
      <c r="M6322">
        <v>25008678293</v>
      </c>
      <c r="N6322">
        <v>22745341305</v>
      </c>
      <c r="O6322" t="b">
        <v>0</v>
      </c>
      <c r="P6322">
        <v>-1</v>
      </c>
      <c r="Q6322" t="str" cm="1">
        <f t="array" ref="Q6322">_xlfn.IFS(Table1[[#This Row],[Wealthier_Winner]]=-1,"Wealthier Nation Loses",Table1[[#This Row],[Wealthier_Winner]]=0,"Tie",Table1[[#This Row],[Wealthier_Winner]]=1,"Wealthier Nation Wins")</f>
        <v>Wealthier Nation Loses</v>
      </c>
    </row>
    <row r="6323" spans="1:17" x14ac:dyDescent="0.2">
      <c r="A6323" s="1">
        <v>9089</v>
      </c>
      <c r="B6323" s="2">
        <v>45453</v>
      </c>
      <c r="C6323" s="7">
        <f>_xlfn.FLOOR.MATH(Table1[[#This Row],[year]],10)</f>
        <v>2020</v>
      </c>
      <c r="D6323" t="s">
        <v>639</v>
      </c>
      <c r="E6323" t="s">
        <v>370</v>
      </c>
      <c r="F6323">
        <v>1</v>
      </c>
      <c r="G6323">
        <v>0</v>
      </c>
      <c r="H6323" t="s">
        <v>224</v>
      </c>
      <c r="I6323" t="s">
        <v>696</v>
      </c>
      <c r="J6323" t="s">
        <v>639</v>
      </c>
      <c r="K6323" t="b">
        <v>0</v>
      </c>
      <c r="L6323">
        <v>2024</v>
      </c>
      <c r="M6323">
        <v>12765777677</v>
      </c>
      <c r="N6323">
        <v>11316411329</v>
      </c>
      <c r="O6323" t="b">
        <v>0</v>
      </c>
      <c r="P6323">
        <v>1</v>
      </c>
      <c r="Q6323" t="str" cm="1">
        <f t="array" ref="Q6323">_xlfn.IFS(Table1[[#This Row],[Wealthier_Winner]]=-1,"Wealthier Nation Loses",Table1[[#This Row],[Wealthier_Winner]]=0,"Tie",Table1[[#This Row],[Wealthier_Winner]]=1,"Wealthier Nation Wins")</f>
        <v>Wealthier Nation Wins</v>
      </c>
    </row>
    <row r="6324" spans="1:17" x14ac:dyDescent="0.2">
      <c r="A6324" s="1">
        <v>9090</v>
      </c>
      <c r="B6324" s="2">
        <v>45453</v>
      </c>
      <c r="C6324" s="7">
        <f>_xlfn.FLOOR.MATH(Table1[[#This Row],[year]],10)</f>
        <v>2020</v>
      </c>
      <c r="D6324" t="s">
        <v>63</v>
      </c>
      <c r="E6324" t="s">
        <v>581</v>
      </c>
      <c r="F6324">
        <v>4</v>
      </c>
      <c r="G6324">
        <v>3</v>
      </c>
      <c r="H6324" t="s">
        <v>224</v>
      </c>
      <c r="I6324" t="s">
        <v>313</v>
      </c>
      <c r="J6324" t="s">
        <v>63</v>
      </c>
      <c r="K6324" t="b">
        <v>0</v>
      </c>
      <c r="L6324">
        <v>2024</v>
      </c>
      <c r="M6324">
        <v>82308110386</v>
      </c>
      <c r="N6324">
        <v>2751494281</v>
      </c>
      <c r="O6324" t="b">
        <v>1</v>
      </c>
      <c r="P6324">
        <v>1</v>
      </c>
      <c r="Q6324" t="str" cm="1">
        <f t="array" ref="Q6324">_xlfn.IFS(Table1[[#This Row],[Wealthier_Winner]]=-1,"Wealthier Nation Loses",Table1[[#This Row],[Wealthier_Winner]]=0,"Tie",Table1[[#This Row],[Wealthier_Winner]]=1,"Wealthier Nation Wins")</f>
        <v>Wealthier Nation Wins</v>
      </c>
    </row>
    <row r="6325" spans="1:17" x14ac:dyDescent="0.2">
      <c r="A6325" s="1">
        <v>9092</v>
      </c>
      <c r="B6325" s="2">
        <v>45454</v>
      </c>
      <c r="C6325" s="7">
        <f>_xlfn.FLOOR.MATH(Table1[[#This Row],[year]],10)</f>
        <v>2020</v>
      </c>
      <c r="D6325" t="s">
        <v>307</v>
      </c>
      <c r="E6325" t="s">
        <v>514</v>
      </c>
      <c r="F6325">
        <v>0</v>
      </c>
      <c r="G6325">
        <v>1</v>
      </c>
      <c r="H6325" t="s">
        <v>224</v>
      </c>
      <c r="I6325" t="s">
        <v>163</v>
      </c>
      <c r="J6325" t="s">
        <v>50</v>
      </c>
      <c r="K6325" t="b">
        <v>1</v>
      </c>
      <c r="L6325">
        <v>2024</v>
      </c>
      <c r="M6325">
        <v>2271759454</v>
      </c>
      <c r="N6325">
        <v>14251642235</v>
      </c>
      <c r="O6325" t="b">
        <v>1</v>
      </c>
      <c r="P6325">
        <v>1</v>
      </c>
      <c r="Q6325" t="str" cm="1">
        <f t="array" ref="Q6325">_xlfn.IFS(Table1[[#This Row],[Wealthier_Winner]]=-1,"Wealthier Nation Loses",Table1[[#This Row],[Wealthier_Winner]]=0,"Tie",Table1[[#This Row],[Wealthier_Winner]]=1,"Wealthier Nation Wins")</f>
        <v>Wealthier Nation Wins</v>
      </c>
    </row>
    <row r="6326" spans="1:17" x14ac:dyDescent="0.2">
      <c r="A6326" s="1">
        <v>9093</v>
      </c>
      <c r="B6326" s="2">
        <v>45454</v>
      </c>
      <c r="C6326" s="7">
        <f>_xlfn.FLOOR.MATH(Table1[[#This Row],[year]],10)</f>
        <v>2020</v>
      </c>
      <c r="D6326" t="s">
        <v>50</v>
      </c>
      <c r="E6326" t="s">
        <v>298</v>
      </c>
      <c r="F6326">
        <v>3</v>
      </c>
      <c r="G6326">
        <v>1</v>
      </c>
      <c r="H6326" t="s">
        <v>224</v>
      </c>
      <c r="I6326" t="s">
        <v>165</v>
      </c>
      <c r="J6326" t="s">
        <v>50</v>
      </c>
      <c r="K6326" t="b">
        <v>0</v>
      </c>
      <c r="L6326">
        <v>2024</v>
      </c>
      <c r="M6326">
        <v>401144998373</v>
      </c>
      <c r="N6326">
        <v>41539411516</v>
      </c>
      <c r="O6326" t="b">
        <v>1</v>
      </c>
      <c r="P6326">
        <v>1</v>
      </c>
      <c r="Q6326" t="str" cm="1">
        <f t="array" ref="Q6326">_xlfn.IFS(Table1[[#This Row],[Wealthier_Winner]]=-1,"Wealthier Nation Loses",Table1[[#This Row],[Wealthier_Winner]]=0,"Tie",Table1[[#This Row],[Wealthier_Winner]]=1,"Wealthier Nation Wins")</f>
        <v>Wealthier Nation Wins</v>
      </c>
    </row>
    <row r="6327" spans="1:17" x14ac:dyDescent="0.2">
      <c r="A6327" s="1">
        <v>9095</v>
      </c>
      <c r="B6327" s="2">
        <v>45454</v>
      </c>
      <c r="C6327" s="7">
        <f>_xlfn.FLOOR.MATH(Table1[[#This Row],[year]],10)</f>
        <v>2020</v>
      </c>
      <c r="D6327" t="s">
        <v>323</v>
      </c>
      <c r="E6327" t="s">
        <v>463</v>
      </c>
      <c r="F6327">
        <v>2</v>
      </c>
      <c r="G6327">
        <v>1</v>
      </c>
      <c r="H6327" t="s">
        <v>224</v>
      </c>
      <c r="I6327" t="s">
        <v>881</v>
      </c>
      <c r="J6327" t="s">
        <v>323</v>
      </c>
      <c r="K6327" t="b">
        <v>0</v>
      </c>
      <c r="L6327">
        <v>2024</v>
      </c>
      <c r="M6327">
        <v>14937861786</v>
      </c>
      <c r="N6327">
        <v>4858885840</v>
      </c>
      <c r="O6327" t="b">
        <v>1</v>
      </c>
      <c r="P6327">
        <v>1</v>
      </c>
      <c r="Q6327" t="str" cm="1">
        <f t="array" ref="Q6327">_xlfn.IFS(Table1[[#This Row],[Wealthier_Winner]]=-1,"Wealthier Nation Loses",Table1[[#This Row],[Wealthier_Winner]]=0,"Tie",Table1[[#This Row],[Wealthier_Winner]]=1,"Wealthier Nation Wins")</f>
        <v>Wealthier Nation Wins</v>
      </c>
    </row>
    <row r="6328" spans="1:17" x14ac:dyDescent="0.2">
      <c r="A6328" s="1">
        <v>9096</v>
      </c>
      <c r="B6328" s="2">
        <v>45454</v>
      </c>
      <c r="C6328" s="7">
        <f>_xlfn.FLOOR.MATH(Table1[[#This Row],[year]],10)</f>
        <v>2020</v>
      </c>
      <c r="D6328" t="s">
        <v>60</v>
      </c>
      <c r="E6328" t="s">
        <v>40</v>
      </c>
      <c r="F6328">
        <v>1</v>
      </c>
      <c r="G6328">
        <v>1</v>
      </c>
      <c r="H6328" t="s">
        <v>224</v>
      </c>
      <c r="I6328" t="s">
        <v>396</v>
      </c>
      <c r="J6328" t="s">
        <v>60</v>
      </c>
      <c r="K6328" t="b">
        <v>0</v>
      </c>
      <c r="L6328">
        <v>2024</v>
      </c>
      <c r="M6328">
        <v>100998916781</v>
      </c>
      <c r="N6328">
        <v>53296694320</v>
      </c>
      <c r="O6328" t="b">
        <v>0</v>
      </c>
      <c r="P6328">
        <v>0</v>
      </c>
      <c r="Q6328" t="str" cm="1">
        <f t="array" ref="Q6328">_xlfn.IFS(Table1[[#This Row],[Wealthier_Winner]]=-1,"Wealthier Nation Loses",Table1[[#This Row],[Wealthier_Winner]]=0,"Tie",Table1[[#This Row],[Wealthier_Winner]]=1,"Wealthier Nation Wins")</f>
        <v>Tie</v>
      </c>
    </row>
    <row r="6329" spans="1:17" x14ac:dyDescent="0.2">
      <c r="A6329" s="1">
        <v>9097</v>
      </c>
      <c r="B6329" s="2">
        <v>45454</v>
      </c>
      <c r="C6329" s="7">
        <f>_xlfn.FLOOR.MATH(Table1[[#This Row],[year]],10)</f>
        <v>2020</v>
      </c>
      <c r="D6329" t="s">
        <v>273</v>
      </c>
      <c r="E6329" t="s">
        <v>320</v>
      </c>
      <c r="F6329">
        <v>0</v>
      </c>
      <c r="G6329">
        <v>1</v>
      </c>
      <c r="H6329" t="s">
        <v>224</v>
      </c>
      <c r="I6329" t="s">
        <v>275</v>
      </c>
      <c r="J6329" t="s">
        <v>273</v>
      </c>
      <c r="K6329" t="b">
        <v>0</v>
      </c>
      <c r="L6329">
        <v>2024</v>
      </c>
      <c r="M6329">
        <v>25303185342</v>
      </c>
      <c r="N6329">
        <v>78844405385</v>
      </c>
      <c r="O6329" t="b">
        <v>1</v>
      </c>
      <c r="P6329">
        <v>1</v>
      </c>
      <c r="Q6329" t="str" cm="1">
        <f t="array" ref="Q6329">_xlfn.IFS(Table1[[#This Row],[Wealthier_Winner]]=-1,"Wealthier Nation Loses",Table1[[#This Row],[Wealthier_Winner]]=0,"Tie",Table1[[#This Row],[Wealthier_Winner]]=1,"Wealthier Nation Wins")</f>
        <v>Wealthier Nation Wins</v>
      </c>
    </row>
    <row r="6330" spans="1:17" x14ac:dyDescent="0.2">
      <c r="A6330" s="1">
        <v>9101</v>
      </c>
      <c r="B6330" s="2">
        <v>45454</v>
      </c>
      <c r="C6330" s="7">
        <f>_xlfn.FLOOR.MATH(Table1[[#This Row],[year]],10)</f>
        <v>2020</v>
      </c>
      <c r="D6330" t="s">
        <v>583</v>
      </c>
      <c r="E6330" t="s">
        <v>460</v>
      </c>
      <c r="F6330">
        <v>1</v>
      </c>
      <c r="G6330">
        <v>3</v>
      </c>
      <c r="H6330" t="s">
        <v>224</v>
      </c>
      <c r="I6330" t="s">
        <v>878</v>
      </c>
      <c r="J6330" t="s">
        <v>24</v>
      </c>
      <c r="K6330" t="b">
        <v>1</v>
      </c>
      <c r="L6330">
        <v>2024</v>
      </c>
      <c r="M6330">
        <v>2167239562</v>
      </c>
      <c r="N6330">
        <v>3082433067</v>
      </c>
      <c r="O6330" t="b">
        <v>0</v>
      </c>
      <c r="P6330">
        <v>1</v>
      </c>
      <c r="Q6330" t="str" cm="1">
        <f t="array" ref="Q6330">_xlfn.IFS(Table1[[#This Row],[Wealthier_Winner]]=-1,"Wealthier Nation Loses",Table1[[#This Row],[Wealthier_Winner]]=0,"Tie",Table1[[#This Row],[Wealthier_Winner]]=1,"Wealthier Nation Wins")</f>
        <v>Wealthier Nation Wins</v>
      </c>
    </row>
    <row r="6331" spans="1:17" x14ac:dyDescent="0.2">
      <c r="A6331" s="1">
        <v>9102</v>
      </c>
      <c r="B6331" s="2">
        <v>45454</v>
      </c>
      <c r="C6331" s="7">
        <f>_xlfn.FLOOR.MATH(Table1[[#This Row],[year]],10)</f>
        <v>2020</v>
      </c>
      <c r="D6331" t="s">
        <v>410</v>
      </c>
      <c r="E6331" t="s">
        <v>590</v>
      </c>
      <c r="F6331">
        <v>0</v>
      </c>
      <c r="G6331">
        <v>0</v>
      </c>
      <c r="H6331" t="s">
        <v>224</v>
      </c>
      <c r="I6331" t="s">
        <v>160</v>
      </c>
      <c r="J6331" t="s">
        <v>50</v>
      </c>
      <c r="K6331" t="b">
        <v>1</v>
      </c>
      <c r="L6331">
        <v>2024</v>
      </c>
      <c r="M6331">
        <v>17420501490</v>
      </c>
      <c r="N6331">
        <v>26794747239</v>
      </c>
      <c r="O6331" t="b">
        <v>0</v>
      </c>
      <c r="P6331">
        <v>0</v>
      </c>
      <c r="Q6331" t="str" cm="1">
        <f t="array" ref="Q6331">_xlfn.IFS(Table1[[#This Row],[Wealthier_Winner]]=-1,"Wealthier Nation Loses",Table1[[#This Row],[Wealthier_Winner]]=0,"Tie",Table1[[#This Row],[Wealthier_Winner]]=1,"Wealthier Nation Wins")</f>
        <v>Tie</v>
      </c>
    </row>
    <row r="6332" spans="1:17" x14ac:dyDescent="0.2">
      <c r="A6332" s="1">
        <v>9103</v>
      </c>
      <c r="B6332" s="2">
        <v>45454</v>
      </c>
      <c r="C6332" s="7">
        <f>_xlfn.FLOOR.MATH(Table1[[#This Row],[year]],10)</f>
        <v>2020</v>
      </c>
      <c r="D6332" t="s">
        <v>586</v>
      </c>
      <c r="E6332" t="s">
        <v>688</v>
      </c>
      <c r="F6332">
        <v>0</v>
      </c>
      <c r="G6332">
        <v>2</v>
      </c>
      <c r="H6332" t="s">
        <v>224</v>
      </c>
      <c r="I6332" t="s">
        <v>879</v>
      </c>
      <c r="J6332" t="s">
        <v>24</v>
      </c>
      <c r="K6332" t="b">
        <v>1</v>
      </c>
      <c r="L6332">
        <v>2024</v>
      </c>
      <c r="M6332">
        <v>19518819751</v>
      </c>
      <c r="N6332">
        <v>1440991455</v>
      </c>
      <c r="O6332" t="b">
        <v>1</v>
      </c>
      <c r="P6332">
        <v>-1</v>
      </c>
      <c r="Q6332" t="str" cm="1">
        <f t="array" ref="Q6332">_xlfn.IFS(Table1[[#This Row],[Wealthier_Winner]]=-1,"Wealthier Nation Loses",Table1[[#This Row],[Wealthier_Winner]]=0,"Tie",Table1[[#This Row],[Wealthier_Winner]]=1,"Wealthier Nation Wins")</f>
        <v>Wealthier Nation Loses</v>
      </c>
    </row>
    <row r="6333" spans="1:17" x14ac:dyDescent="0.2">
      <c r="A6333" s="1">
        <v>9105</v>
      </c>
      <c r="B6333" s="2">
        <v>45454</v>
      </c>
      <c r="C6333" s="7">
        <f>_xlfn.FLOOR.MATH(Table1[[#This Row],[year]],10)</f>
        <v>2020</v>
      </c>
      <c r="D6333" t="s">
        <v>68</v>
      </c>
      <c r="E6333" t="s">
        <v>406</v>
      </c>
      <c r="F6333">
        <v>2</v>
      </c>
      <c r="G6333">
        <v>1</v>
      </c>
      <c r="H6333" t="s">
        <v>224</v>
      </c>
      <c r="I6333" t="s">
        <v>192</v>
      </c>
      <c r="J6333" t="s">
        <v>68</v>
      </c>
      <c r="K6333" t="b">
        <v>0</v>
      </c>
      <c r="L6333">
        <v>2024</v>
      </c>
      <c r="M6333">
        <v>219162637362</v>
      </c>
      <c r="N6333">
        <v>3909891533858</v>
      </c>
      <c r="O6333" t="b">
        <v>1</v>
      </c>
      <c r="P6333">
        <v>-1</v>
      </c>
      <c r="Q6333" t="str" cm="1">
        <f t="array" ref="Q6333">_xlfn.IFS(Table1[[#This Row],[Wealthier_Winner]]=-1,"Wealthier Nation Loses",Table1[[#This Row],[Wealthier_Winner]]=0,"Tie",Table1[[#This Row],[Wealthier_Winner]]=1,"Wealthier Nation Wins")</f>
        <v>Wealthier Nation Loses</v>
      </c>
    </row>
    <row r="6334" spans="1:17" x14ac:dyDescent="0.2">
      <c r="A6334" s="1">
        <v>9108</v>
      </c>
      <c r="B6334" s="2">
        <v>45454</v>
      </c>
      <c r="C6334" s="7">
        <f>_xlfn.FLOOR.MATH(Table1[[#This Row],[year]],10)</f>
        <v>2020</v>
      </c>
      <c r="D6334" t="s">
        <v>334</v>
      </c>
      <c r="E6334" t="s">
        <v>359</v>
      </c>
      <c r="F6334">
        <v>3</v>
      </c>
      <c r="G6334">
        <v>1</v>
      </c>
      <c r="H6334" t="s">
        <v>224</v>
      </c>
      <c r="I6334" t="s">
        <v>407</v>
      </c>
      <c r="J6334" t="s">
        <v>334</v>
      </c>
      <c r="K6334" t="b">
        <v>0</v>
      </c>
      <c r="L6334">
        <v>2024</v>
      </c>
      <c r="M6334">
        <v>526517658841</v>
      </c>
      <c r="N6334">
        <v>547386645891</v>
      </c>
      <c r="O6334" t="b">
        <v>0</v>
      </c>
      <c r="P6334">
        <v>-1</v>
      </c>
      <c r="Q6334" t="str" cm="1">
        <f t="array" ref="Q6334">_xlfn.IFS(Table1[[#This Row],[Wealthier_Winner]]=-1,"Wealthier Nation Loses",Table1[[#This Row],[Wealthier_Winner]]=0,"Tie",Table1[[#This Row],[Wealthier_Winner]]=1,"Wealthier Nation Wins")</f>
        <v>Wealthier Nation Loses</v>
      </c>
    </row>
    <row r="6335" spans="1:17" x14ac:dyDescent="0.2">
      <c r="A6335" s="1">
        <v>9113</v>
      </c>
      <c r="B6335" s="2">
        <v>45454</v>
      </c>
      <c r="C6335" s="7">
        <f>_xlfn.FLOOR.MATH(Table1[[#This Row],[year]],10)</f>
        <v>2020</v>
      </c>
      <c r="D6335" t="s">
        <v>210</v>
      </c>
      <c r="E6335" t="s">
        <v>563</v>
      </c>
      <c r="F6335">
        <v>0</v>
      </c>
      <c r="G6335">
        <v>0</v>
      </c>
      <c r="H6335" t="s">
        <v>224</v>
      </c>
      <c r="I6335" t="s">
        <v>332</v>
      </c>
      <c r="J6335" t="s">
        <v>210</v>
      </c>
      <c r="K6335" t="b">
        <v>0</v>
      </c>
      <c r="L6335">
        <v>2024</v>
      </c>
      <c r="M6335">
        <v>475252089215</v>
      </c>
      <c r="N6335">
        <v>114965293466</v>
      </c>
      <c r="O6335" t="b">
        <v>1</v>
      </c>
      <c r="P6335">
        <v>0</v>
      </c>
      <c r="Q6335" t="str" cm="1">
        <f t="array" ref="Q6335">_xlfn.IFS(Table1[[#This Row],[Wealthier_Winner]]=-1,"Wealthier Nation Loses",Table1[[#This Row],[Wealthier_Winner]]=0,"Tie",Table1[[#This Row],[Wealthier_Winner]]=1,"Wealthier Nation Wins")</f>
        <v>Tie</v>
      </c>
    </row>
    <row r="6336" spans="1:17" x14ac:dyDescent="0.2">
      <c r="A6336" s="1">
        <v>9114</v>
      </c>
      <c r="B6336" s="2">
        <v>45454</v>
      </c>
      <c r="C6336" s="7">
        <f>_xlfn.FLOOR.MATH(Table1[[#This Row],[year]],10)</f>
        <v>2020</v>
      </c>
      <c r="D6336" t="s">
        <v>328</v>
      </c>
      <c r="E6336" t="s">
        <v>532</v>
      </c>
      <c r="F6336">
        <v>2</v>
      </c>
      <c r="G6336">
        <v>0</v>
      </c>
      <c r="H6336" t="s">
        <v>224</v>
      </c>
      <c r="I6336" t="s">
        <v>386</v>
      </c>
      <c r="J6336" t="s">
        <v>328</v>
      </c>
      <c r="K6336" t="b">
        <v>0</v>
      </c>
      <c r="L6336">
        <v>2024</v>
      </c>
      <c r="M6336">
        <v>1396300098190</v>
      </c>
      <c r="N6336">
        <v>461617509782</v>
      </c>
      <c r="O6336" t="b">
        <v>1</v>
      </c>
      <c r="P6336">
        <v>1</v>
      </c>
      <c r="Q6336" t="str" cm="1">
        <f t="array" ref="Q6336">_xlfn.IFS(Table1[[#This Row],[Wealthier_Winner]]=-1,"Wealthier Nation Loses",Table1[[#This Row],[Wealthier_Winner]]=0,"Tie",Table1[[#This Row],[Wealthier_Winner]]=1,"Wealthier Nation Wins")</f>
        <v>Wealthier Nation Wins</v>
      </c>
    </row>
    <row r="6337" spans="1:17" x14ac:dyDescent="0.2">
      <c r="A6337" s="1">
        <v>9115</v>
      </c>
      <c r="B6337" s="2">
        <v>45454</v>
      </c>
      <c r="C6337" s="7">
        <f>_xlfn.FLOOR.MATH(Table1[[#This Row],[year]],10)</f>
        <v>2020</v>
      </c>
      <c r="D6337" t="s">
        <v>37</v>
      </c>
      <c r="E6337" t="s">
        <v>475</v>
      </c>
      <c r="F6337">
        <v>3</v>
      </c>
      <c r="G6337">
        <v>1</v>
      </c>
      <c r="H6337" t="s">
        <v>224</v>
      </c>
      <c r="I6337" t="s">
        <v>875</v>
      </c>
      <c r="J6337" t="s">
        <v>37</v>
      </c>
      <c r="K6337" t="b">
        <v>0</v>
      </c>
      <c r="L6337">
        <v>2024</v>
      </c>
      <c r="M6337">
        <v>279641257615</v>
      </c>
      <c r="N6337">
        <v>476388230307</v>
      </c>
      <c r="O6337" t="b">
        <v>0</v>
      </c>
      <c r="P6337">
        <v>-1</v>
      </c>
      <c r="Q6337" t="str" cm="1">
        <f t="array" ref="Q6337">_xlfn.IFS(Table1[[#This Row],[Wealthier_Winner]]=-1,"Wealthier Nation Loses",Table1[[#This Row],[Wealthier_Winner]]=0,"Tie",Table1[[#This Row],[Wealthier_Winner]]=1,"Wealthier Nation Wins")</f>
        <v>Wealthier Nation Loses</v>
      </c>
    </row>
    <row r="6338" spans="1:17" x14ac:dyDescent="0.2">
      <c r="A6338" s="1">
        <v>9116</v>
      </c>
      <c r="B6338" s="2">
        <v>45454</v>
      </c>
      <c r="C6338" s="7">
        <f>_xlfn.FLOOR.MATH(Table1[[#This Row],[year]],10)</f>
        <v>2020</v>
      </c>
      <c r="D6338" t="s">
        <v>556</v>
      </c>
      <c r="E6338" t="s">
        <v>431</v>
      </c>
      <c r="F6338">
        <v>3</v>
      </c>
      <c r="G6338">
        <v>0</v>
      </c>
      <c r="H6338" t="s">
        <v>224</v>
      </c>
      <c r="I6338" t="s">
        <v>557</v>
      </c>
      <c r="J6338" t="s">
        <v>556</v>
      </c>
      <c r="K6338" t="b">
        <v>0</v>
      </c>
      <c r="L6338">
        <v>2024</v>
      </c>
      <c r="M6338">
        <v>14204575548</v>
      </c>
      <c r="N6338">
        <v>371570000121</v>
      </c>
      <c r="O6338" t="b">
        <v>1</v>
      </c>
      <c r="P6338">
        <v>-1</v>
      </c>
      <c r="Q6338" t="str" cm="1">
        <f t="array" ref="Q6338">_xlfn.IFS(Table1[[#This Row],[Wealthier_Winner]]=-1,"Wealthier Nation Loses",Table1[[#This Row],[Wealthier_Winner]]=0,"Tie",Table1[[#This Row],[Wealthier_Winner]]=1,"Wealthier Nation Wins")</f>
        <v>Wealthier Nation Loses</v>
      </c>
    </row>
    <row r="6339" spans="1:17" x14ac:dyDescent="0.2">
      <c r="A6339" s="1">
        <v>9117</v>
      </c>
      <c r="B6339" s="2">
        <v>45454</v>
      </c>
      <c r="C6339" s="7">
        <f>_xlfn.FLOOR.MATH(Table1[[#This Row],[year]],10)</f>
        <v>2020</v>
      </c>
      <c r="D6339" t="s">
        <v>45</v>
      </c>
      <c r="E6339" t="s">
        <v>403</v>
      </c>
      <c r="F6339">
        <v>1</v>
      </c>
      <c r="G6339">
        <v>2</v>
      </c>
      <c r="H6339" t="s">
        <v>224</v>
      </c>
      <c r="I6339" t="s">
        <v>356</v>
      </c>
      <c r="J6339" t="s">
        <v>45</v>
      </c>
      <c r="K6339" t="b">
        <v>0</v>
      </c>
      <c r="L6339">
        <v>2024</v>
      </c>
      <c r="M6339">
        <v>1239804533333</v>
      </c>
      <c r="N6339">
        <v>53352289577</v>
      </c>
      <c r="O6339" t="b">
        <v>1</v>
      </c>
      <c r="P6339">
        <v>-1</v>
      </c>
      <c r="Q6339" t="str" cm="1">
        <f t="array" ref="Q6339">_xlfn.IFS(Table1[[#This Row],[Wealthier_Winner]]=-1,"Wealthier Nation Loses",Table1[[#This Row],[Wealthier_Winner]]=0,"Tie",Table1[[#This Row],[Wealthier_Winner]]=1,"Wealthier Nation Wins")</f>
        <v>Wealthier Nation Loses</v>
      </c>
    </row>
    <row r="6340" spans="1:17" x14ac:dyDescent="0.2">
      <c r="A6340" s="1">
        <v>9118</v>
      </c>
      <c r="B6340" s="2">
        <v>45454</v>
      </c>
      <c r="C6340" s="7">
        <f>_xlfn.FLOOR.MATH(Table1[[#This Row],[year]],10)</f>
        <v>2020</v>
      </c>
      <c r="D6340" t="s">
        <v>39</v>
      </c>
      <c r="E6340" t="s">
        <v>361</v>
      </c>
      <c r="F6340">
        <v>1</v>
      </c>
      <c r="G6340">
        <v>1</v>
      </c>
      <c r="H6340" t="s">
        <v>224</v>
      </c>
      <c r="I6340" t="s">
        <v>412</v>
      </c>
      <c r="J6340" t="s">
        <v>39</v>
      </c>
      <c r="K6340" t="b">
        <v>0</v>
      </c>
      <c r="L6340">
        <v>2024</v>
      </c>
      <c r="M6340">
        <v>552324846834</v>
      </c>
      <c r="N6340">
        <v>47109734308</v>
      </c>
      <c r="O6340" t="b">
        <v>1</v>
      </c>
      <c r="P6340">
        <v>0</v>
      </c>
      <c r="Q6340" t="str" cm="1">
        <f t="array" ref="Q6340">_xlfn.IFS(Table1[[#This Row],[Wealthier_Winner]]=-1,"Wealthier Nation Loses",Table1[[#This Row],[Wealthier_Winner]]=0,"Tie",Table1[[#This Row],[Wealthier_Winner]]=1,"Wealthier Nation Wins")</f>
        <v>Tie</v>
      </c>
    </row>
    <row r="6341" spans="1:17" x14ac:dyDescent="0.2">
      <c r="A6341" s="1">
        <v>9125</v>
      </c>
      <c r="B6341" s="2">
        <v>45454</v>
      </c>
      <c r="C6341" s="7">
        <f>_xlfn.FLOOR.MATH(Table1[[#This Row],[year]],10)</f>
        <v>2020</v>
      </c>
      <c r="D6341" t="s">
        <v>445</v>
      </c>
      <c r="E6341" t="s">
        <v>511</v>
      </c>
      <c r="F6341">
        <v>3</v>
      </c>
      <c r="G6341">
        <v>1</v>
      </c>
      <c r="H6341" t="s">
        <v>224</v>
      </c>
      <c r="I6341" t="s">
        <v>444</v>
      </c>
      <c r="J6341" t="s">
        <v>443</v>
      </c>
      <c r="K6341" t="b">
        <v>1</v>
      </c>
      <c r="L6341">
        <v>2024</v>
      </c>
      <c r="M6341">
        <v>24662709832</v>
      </c>
      <c r="N6341">
        <v>3203631800</v>
      </c>
      <c r="O6341" t="b">
        <v>1</v>
      </c>
      <c r="P6341">
        <v>1</v>
      </c>
      <c r="Q6341" t="str" cm="1">
        <f t="array" ref="Q6341">_xlfn.IFS(Table1[[#This Row],[Wealthier_Winner]]=-1,"Wealthier Nation Loses",Table1[[#This Row],[Wealthier_Winner]]=0,"Tie",Table1[[#This Row],[Wealthier_Winner]]=1,"Wealthier Nation Wins")</f>
        <v>Wealthier Nation Wins</v>
      </c>
    </row>
    <row r="6342" spans="1:17" x14ac:dyDescent="0.2">
      <c r="A6342" s="1">
        <v>9128</v>
      </c>
      <c r="B6342" s="2">
        <v>45540</v>
      </c>
      <c r="C6342" s="7">
        <f>_xlfn.FLOOR.MATH(Table1[[#This Row],[year]],10)</f>
        <v>2020</v>
      </c>
      <c r="D6342" t="s">
        <v>47</v>
      </c>
      <c r="E6342" t="s">
        <v>258</v>
      </c>
      <c r="F6342">
        <v>4</v>
      </c>
      <c r="G6342">
        <v>0</v>
      </c>
      <c r="H6342" t="s">
        <v>224</v>
      </c>
      <c r="I6342" t="s">
        <v>885</v>
      </c>
      <c r="J6342" t="s">
        <v>47</v>
      </c>
      <c r="K6342" t="b">
        <v>0</v>
      </c>
      <c r="L6342">
        <v>2024</v>
      </c>
      <c r="M6342">
        <v>54881327452</v>
      </c>
      <c r="N6342">
        <v>119802963257</v>
      </c>
      <c r="O6342" t="b">
        <v>1</v>
      </c>
      <c r="P6342">
        <v>-1</v>
      </c>
      <c r="Q6342" t="str" cm="1">
        <f t="array" ref="Q6342">_xlfn.IFS(Table1[[#This Row],[Wealthier_Winner]]=-1,"Wealthier Nation Loses",Table1[[#This Row],[Wealthier_Winner]]=0,"Tie",Table1[[#This Row],[Wealthier_Winner]]=1,"Wealthier Nation Wins")</f>
        <v>Wealthier Nation Loses</v>
      </c>
    </row>
    <row r="6343" spans="1:17" x14ac:dyDescent="0.2">
      <c r="A6343" s="1">
        <v>9129</v>
      </c>
      <c r="B6343" s="2">
        <v>45540</v>
      </c>
      <c r="C6343" s="7">
        <f>_xlfn.FLOOR.MATH(Table1[[#This Row],[year]],10)</f>
        <v>2020</v>
      </c>
      <c r="D6343" t="s">
        <v>19</v>
      </c>
      <c r="E6343" t="s">
        <v>14</v>
      </c>
      <c r="F6343">
        <v>3</v>
      </c>
      <c r="G6343">
        <v>0</v>
      </c>
      <c r="H6343" t="s">
        <v>224</v>
      </c>
      <c r="I6343" t="s">
        <v>93</v>
      </c>
      <c r="J6343" t="s">
        <v>19</v>
      </c>
      <c r="K6343" t="b">
        <v>0</v>
      </c>
      <c r="L6343">
        <v>2024</v>
      </c>
      <c r="M6343">
        <v>638365455340</v>
      </c>
      <c r="N6343">
        <v>330267137371</v>
      </c>
      <c r="O6343" t="b">
        <v>0</v>
      </c>
      <c r="P6343">
        <v>1</v>
      </c>
      <c r="Q6343" t="str" cm="1">
        <f t="array" ref="Q6343">_xlfn.IFS(Table1[[#This Row],[Wealthier_Winner]]=-1,"Wealthier Nation Loses",Table1[[#This Row],[Wealthier_Winner]]=0,"Tie",Table1[[#This Row],[Wealthier_Winner]]=1,"Wealthier Nation Wins")</f>
        <v>Wealthier Nation Wins</v>
      </c>
    </row>
    <row r="6344" spans="1:17" x14ac:dyDescent="0.2">
      <c r="A6344" s="1">
        <v>9130</v>
      </c>
      <c r="B6344" s="2">
        <v>45540</v>
      </c>
      <c r="C6344" s="7">
        <f>_xlfn.FLOOR.MATH(Table1[[#This Row],[year]],10)</f>
        <v>2020</v>
      </c>
      <c r="D6344" t="s">
        <v>68</v>
      </c>
      <c r="E6344" t="s">
        <v>39</v>
      </c>
      <c r="F6344">
        <v>1</v>
      </c>
      <c r="G6344">
        <v>3</v>
      </c>
      <c r="H6344" t="s">
        <v>224</v>
      </c>
      <c r="I6344" t="s">
        <v>192</v>
      </c>
      <c r="J6344" t="s">
        <v>68</v>
      </c>
      <c r="K6344" t="b">
        <v>0</v>
      </c>
      <c r="L6344">
        <v>2024</v>
      </c>
      <c r="M6344">
        <v>219162637362</v>
      </c>
      <c r="N6344">
        <v>552324846834</v>
      </c>
      <c r="O6344" t="b">
        <v>1</v>
      </c>
      <c r="P6344">
        <v>1</v>
      </c>
      <c r="Q6344" t="str" cm="1">
        <f t="array" ref="Q6344">_xlfn.IFS(Table1[[#This Row],[Wealthier_Winner]]=-1,"Wealthier Nation Loses",Table1[[#This Row],[Wealthier_Winner]]=0,"Tie",Table1[[#This Row],[Wealthier_Winner]]=1,"Wealthier Nation Wins")</f>
        <v>Wealthier Nation Wins</v>
      </c>
    </row>
    <row r="6345" spans="1:17" x14ac:dyDescent="0.2">
      <c r="A6345" s="1">
        <v>9133</v>
      </c>
      <c r="B6345" s="2">
        <v>45540</v>
      </c>
      <c r="C6345" s="7">
        <f>_xlfn.FLOOR.MATH(Table1[[#This Row],[year]],10)</f>
        <v>2020</v>
      </c>
      <c r="D6345" t="s">
        <v>37</v>
      </c>
      <c r="E6345" t="s">
        <v>429</v>
      </c>
      <c r="F6345">
        <v>1</v>
      </c>
      <c r="G6345">
        <v>0</v>
      </c>
      <c r="H6345" t="s">
        <v>224</v>
      </c>
      <c r="I6345" t="s">
        <v>875</v>
      </c>
      <c r="J6345" t="s">
        <v>37</v>
      </c>
      <c r="K6345" t="b">
        <v>0</v>
      </c>
      <c r="L6345">
        <v>2024</v>
      </c>
      <c r="M6345">
        <v>279641257615</v>
      </c>
      <c r="N6345">
        <v>107137198769</v>
      </c>
      <c r="O6345" t="b">
        <v>1</v>
      </c>
      <c r="P6345">
        <v>1</v>
      </c>
      <c r="Q6345" t="str" cm="1">
        <f t="array" ref="Q6345">_xlfn.IFS(Table1[[#This Row],[Wealthier_Winner]]=-1,"Wealthier Nation Loses",Table1[[#This Row],[Wealthier_Winner]]=0,"Tie",Table1[[#This Row],[Wealthier_Winner]]=1,"Wealthier Nation Wins")</f>
        <v>Wealthier Nation Wins</v>
      </c>
    </row>
    <row r="6346" spans="1:17" x14ac:dyDescent="0.2">
      <c r="A6346" s="1">
        <v>9135</v>
      </c>
      <c r="B6346" s="2">
        <v>45540</v>
      </c>
      <c r="C6346" s="7">
        <f>_xlfn.FLOOR.MATH(Table1[[#This Row],[year]],10)</f>
        <v>2020</v>
      </c>
      <c r="D6346" t="s">
        <v>403</v>
      </c>
      <c r="E6346" t="s">
        <v>71</v>
      </c>
      <c r="F6346">
        <v>1</v>
      </c>
      <c r="G6346">
        <v>1</v>
      </c>
      <c r="H6346" t="s">
        <v>224</v>
      </c>
      <c r="I6346" t="s">
        <v>404</v>
      </c>
      <c r="J6346" t="s">
        <v>403</v>
      </c>
      <c r="K6346" t="b">
        <v>0</v>
      </c>
      <c r="L6346">
        <v>2024</v>
      </c>
      <c r="M6346">
        <v>53352289577</v>
      </c>
      <c r="N6346">
        <v>160227273053</v>
      </c>
      <c r="O6346" t="b">
        <v>1</v>
      </c>
      <c r="P6346">
        <v>0</v>
      </c>
      <c r="Q6346" t="str" cm="1">
        <f t="array" ref="Q6346">_xlfn.IFS(Table1[[#This Row],[Wealthier_Winner]]=-1,"Wealthier Nation Loses",Table1[[#This Row],[Wealthier_Winner]]=0,"Tie",Table1[[#This Row],[Wealthier_Winner]]=1,"Wealthier Nation Wins")</f>
        <v>Tie</v>
      </c>
    </row>
    <row r="6347" spans="1:17" x14ac:dyDescent="0.2">
      <c r="A6347" s="1">
        <v>9137</v>
      </c>
      <c r="B6347" s="2">
        <v>45540</v>
      </c>
      <c r="C6347" s="7">
        <f>_xlfn.FLOOR.MATH(Table1[[#This Row],[year]],10)</f>
        <v>2020</v>
      </c>
      <c r="D6347" t="s">
        <v>28</v>
      </c>
      <c r="E6347" t="s">
        <v>361</v>
      </c>
      <c r="F6347">
        <v>0</v>
      </c>
      <c r="G6347">
        <v>1</v>
      </c>
      <c r="H6347" t="s">
        <v>224</v>
      </c>
      <c r="I6347" t="s">
        <v>886</v>
      </c>
      <c r="J6347" t="s">
        <v>28</v>
      </c>
      <c r="K6347" t="b">
        <v>0</v>
      </c>
      <c r="L6347">
        <v>2024</v>
      </c>
      <c r="M6347">
        <v>1757022451652</v>
      </c>
      <c r="N6347">
        <v>47109734308</v>
      </c>
      <c r="O6347" t="b">
        <v>1</v>
      </c>
      <c r="P6347">
        <v>-1</v>
      </c>
      <c r="Q6347" t="str" cm="1">
        <f t="array" ref="Q6347">_xlfn.IFS(Table1[[#This Row],[Wealthier_Winner]]=-1,"Wealthier Nation Loses",Table1[[#This Row],[Wealthier_Winner]]=0,"Tie",Table1[[#This Row],[Wealthier_Winner]]=1,"Wealthier Nation Wins")</f>
        <v>Wealthier Nation Loses</v>
      </c>
    </row>
    <row r="6348" spans="1:17" x14ac:dyDescent="0.2">
      <c r="A6348" s="1">
        <v>9138</v>
      </c>
      <c r="B6348" s="2">
        <v>45540</v>
      </c>
      <c r="C6348" s="7">
        <f>_xlfn.FLOOR.MATH(Table1[[#This Row],[year]],10)</f>
        <v>2020</v>
      </c>
      <c r="D6348" t="s">
        <v>45</v>
      </c>
      <c r="E6348" t="s">
        <v>328</v>
      </c>
      <c r="F6348">
        <v>1</v>
      </c>
      <c r="G6348">
        <v>1</v>
      </c>
      <c r="H6348" t="s">
        <v>224</v>
      </c>
      <c r="I6348" t="s">
        <v>354</v>
      </c>
      <c r="J6348" t="s">
        <v>45</v>
      </c>
      <c r="K6348" t="b">
        <v>0</v>
      </c>
      <c r="L6348">
        <v>2024</v>
      </c>
      <c r="M6348">
        <v>1239804533333</v>
      </c>
      <c r="N6348">
        <v>1396300098190</v>
      </c>
      <c r="O6348" t="b">
        <v>0</v>
      </c>
      <c r="P6348">
        <v>0</v>
      </c>
      <c r="Q6348" t="str" cm="1">
        <f t="array" ref="Q6348">_xlfn.IFS(Table1[[#This Row],[Wealthier_Winner]]=-1,"Wealthier Nation Loses",Table1[[#This Row],[Wealthier_Winner]]=0,"Tie",Table1[[#This Row],[Wealthier_Winner]]=1,"Wealthier Nation Wins")</f>
        <v>Tie</v>
      </c>
    </row>
    <row r="6349" spans="1:17" x14ac:dyDescent="0.2">
      <c r="A6349" s="1">
        <v>9141</v>
      </c>
      <c r="B6349" s="2">
        <v>45541</v>
      </c>
      <c r="C6349" s="7">
        <f>_xlfn.FLOOR.MATH(Table1[[#This Row],[year]],10)</f>
        <v>2020</v>
      </c>
      <c r="D6349" t="s">
        <v>31</v>
      </c>
      <c r="E6349" t="s">
        <v>15</v>
      </c>
      <c r="F6349">
        <v>1</v>
      </c>
      <c r="G6349">
        <v>1</v>
      </c>
      <c r="H6349" t="s">
        <v>224</v>
      </c>
      <c r="I6349" t="s">
        <v>242</v>
      </c>
      <c r="J6349" t="s">
        <v>31</v>
      </c>
      <c r="K6349" t="b">
        <v>0</v>
      </c>
      <c r="L6349">
        <v>2024</v>
      </c>
      <c r="M6349">
        <v>289221969062</v>
      </c>
      <c r="N6349">
        <v>418818154879</v>
      </c>
      <c r="O6349" t="b">
        <v>0</v>
      </c>
      <c r="P6349">
        <v>0</v>
      </c>
      <c r="Q6349" t="str" cm="1">
        <f t="array" ref="Q6349">_xlfn.IFS(Table1[[#This Row],[Wealthier_Winner]]=-1,"Wealthier Nation Loses",Table1[[#This Row],[Wealthier_Winner]]=0,"Tie",Table1[[#This Row],[Wealthier_Winner]]=1,"Wealthier Nation Wins")</f>
        <v>Tie</v>
      </c>
    </row>
    <row r="6350" spans="1:17" x14ac:dyDescent="0.2">
      <c r="A6350" s="1">
        <v>9142</v>
      </c>
      <c r="B6350" s="2">
        <v>45541</v>
      </c>
      <c r="C6350" s="7">
        <f>_xlfn.FLOOR.MATH(Table1[[#This Row],[year]],10)</f>
        <v>2020</v>
      </c>
      <c r="D6350" t="s">
        <v>26</v>
      </c>
      <c r="E6350" t="s">
        <v>35</v>
      </c>
      <c r="F6350">
        <v>0</v>
      </c>
      <c r="G6350">
        <v>0</v>
      </c>
      <c r="H6350" t="s">
        <v>224</v>
      </c>
      <c r="I6350" t="s">
        <v>247</v>
      </c>
      <c r="J6350" t="s">
        <v>26</v>
      </c>
      <c r="K6350" t="b">
        <v>0</v>
      </c>
      <c r="L6350">
        <v>2024</v>
      </c>
      <c r="M6350">
        <v>80961511073</v>
      </c>
      <c r="N6350">
        <v>44458118397</v>
      </c>
      <c r="O6350" t="b">
        <v>0</v>
      </c>
      <c r="P6350">
        <v>0</v>
      </c>
      <c r="Q6350" t="str" cm="1">
        <f t="array" ref="Q6350">_xlfn.IFS(Table1[[#This Row],[Wealthier_Winner]]=-1,"Wealthier Nation Loses",Table1[[#This Row],[Wealthier_Winner]]=0,"Tie",Table1[[#This Row],[Wealthier_Winner]]=1,"Wealthier Nation Wins")</f>
        <v>Tie</v>
      </c>
    </row>
    <row r="6351" spans="1:17" x14ac:dyDescent="0.2">
      <c r="A6351" s="1">
        <v>9143</v>
      </c>
      <c r="B6351" s="2">
        <v>45541</v>
      </c>
      <c r="C6351" s="7">
        <f>_xlfn.FLOOR.MATH(Table1[[#This Row],[year]],10)</f>
        <v>2020</v>
      </c>
      <c r="D6351" t="s">
        <v>13</v>
      </c>
      <c r="E6351" t="s">
        <v>57</v>
      </c>
      <c r="F6351">
        <v>1</v>
      </c>
      <c r="G6351">
        <v>0</v>
      </c>
      <c r="H6351" t="s">
        <v>224</v>
      </c>
      <c r="I6351" t="s">
        <v>175</v>
      </c>
      <c r="J6351" t="s">
        <v>13</v>
      </c>
      <c r="K6351" t="b">
        <v>0</v>
      </c>
      <c r="L6351">
        <v>2024</v>
      </c>
      <c r="M6351">
        <v>2185821648943</v>
      </c>
      <c r="N6351">
        <v>124676074700</v>
      </c>
      <c r="O6351" t="b">
        <v>1</v>
      </c>
      <c r="P6351">
        <v>1</v>
      </c>
      <c r="Q6351" t="str" cm="1">
        <f t="array" ref="Q6351">_xlfn.IFS(Table1[[#This Row],[Wealthier_Winner]]=-1,"Wealthier Nation Loses",Table1[[#This Row],[Wealthier_Winner]]=0,"Tie",Table1[[#This Row],[Wealthier_Winner]]=1,"Wealthier Nation Wins")</f>
        <v>Wealthier Nation Wins</v>
      </c>
    </row>
    <row r="6352" spans="1:17" x14ac:dyDescent="0.2">
      <c r="A6352" s="1">
        <v>9145</v>
      </c>
      <c r="B6352" s="2">
        <v>45545</v>
      </c>
      <c r="C6352" s="7">
        <f>_xlfn.FLOOR.MATH(Table1[[#This Row],[year]],10)</f>
        <v>2020</v>
      </c>
      <c r="D6352" t="s">
        <v>15</v>
      </c>
      <c r="E6352" t="s">
        <v>19</v>
      </c>
      <c r="F6352">
        <v>2</v>
      </c>
      <c r="G6352">
        <v>1</v>
      </c>
      <c r="H6352" t="s">
        <v>224</v>
      </c>
      <c r="I6352" t="s">
        <v>261</v>
      </c>
      <c r="J6352" t="s">
        <v>15</v>
      </c>
      <c r="K6352" t="b">
        <v>0</v>
      </c>
      <c r="L6352">
        <v>2024</v>
      </c>
      <c r="M6352">
        <v>418818154879</v>
      </c>
      <c r="N6352">
        <v>638365455340</v>
      </c>
      <c r="O6352" t="b">
        <v>0</v>
      </c>
      <c r="P6352">
        <v>-1</v>
      </c>
      <c r="Q6352" t="str" cm="1">
        <f t="array" ref="Q6352">_xlfn.IFS(Table1[[#This Row],[Wealthier_Winner]]=-1,"Wealthier Nation Loses",Table1[[#This Row],[Wealthier_Winner]]=0,"Tie",Table1[[#This Row],[Wealthier_Winner]]=1,"Wealthier Nation Wins")</f>
        <v>Wealthier Nation Loses</v>
      </c>
    </row>
    <row r="6353" spans="1:17" x14ac:dyDescent="0.2">
      <c r="A6353" s="1">
        <v>9146</v>
      </c>
      <c r="B6353" s="2">
        <v>45545</v>
      </c>
      <c r="C6353" s="7">
        <f>_xlfn.FLOOR.MATH(Table1[[#This Row],[year]],10)</f>
        <v>2020</v>
      </c>
      <c r="D6353" t="s">
        <v>57</v>
      </c>
      <c r="E6353" t="s">
        <v>31</v>
      </c>
      <c r="F6353">
        <v>1</v>
      </c>
      <c r="G6353">
        <v>0</v>
      </c>
      <c r="H6353" t="s">
        <v>224</v>
      </c>
      <c r="I6353" t="s">
        <v>335</v>
      </c>
      <c r="J6353" t="s">
        <v>57</v>
      </c>
      <c r="K6353" t="b">
        <v>0</v>
      </c>
      <c r="L6353">
        <v>2024</v>
      </c>
      <c r="M6353">
        <v>124676074700</v>
      </c>
      <c r="N6353">
        <v>289221969062</v>
      </c>
      <c r="O6353" t="b">
        <v>1</v>
      </c>
      <c r="P6353">
        <v>-1</v>
      </c>
      <c r="Q6353" t="str" cm="1">
        <f t="array" ref="Q6353">_xlfn.IFS(Table1[[#This Row],[Wealthier_Winner]]=-1,"Wealthier Nation Loses",Table1[[#This Row],[Wealthier_Winner]]=0,"Tie",Table1[[#This Row],[Wealthier_Winner]]=1,"Wealthier Nation Wins")</f>
        <v>Wealthier Nation Loses</v>
      </c>
    </row>
    <row r="6354" spans="1:17" x14ac:dyDescent="0.2">
      <c r="A6354" s="1">
        <v>9147</v>
      </c>
      <c r="B6354" s="2">
        <v>45545</v>
      </c>
      <c r="C6354" s="7">
        <f>_xlfn.FLOOR.MATH(Table1[[#This Row],[year]],10)</f>
        <v>2020</v>
      </c>
      <c r="D6354" t="s">
        <v>14</v>
      </c>
      <c r="E6354" t="s">
        <v>47</v>
      </c>
      <c r="F6354">
        <v>1</v>
      </c>
      <c r="G6354">
        <v>2</v>
      </c>
      <c r="H6354" t="s">
        <v>224</v>
      </c>
      <c r="I6354" t="s">
        <v>75</v>
      </c>
      <c r="J6354" t="s">
        <v>14</v>
      </c>
      <c r="K6354" t="b">
        <v>0</v>
      </c>
      <c r="L6354">
        <v>2024</v>
      </c>
      <c r="M6354">
        <v>330267137371</v>
      </c>
      <c r="N6354">
        <v>54881327452</v>
      </c>
      <c r="O6354" t="b">
        <v>1</v>
      </c>
      <c r="P6354">
        <v>-1</v>
      </c>
      <c r="Q6354" t="str" cm="1">
        <f t="array" ref="Q6354">_xlfn.IFS(Table1[[#This Row],[Wealthier_Winner]]=-1,"Wealthier Nation Loses",Table1[[#This Row],[Wealthier_Winner]]=0,"Tie",Table1[[#This Row],[Wealthier_Winner]]=1,"Wealthier Nation Wins")</f>
        <v>Wealthier Nation Loses</v>
      </c>
    </row>
    <row r="6355" spans="1:17" x14ac:dyDescent="0.2">
      <c r="A6355" s="1">
        <v>9148</v>
      </c>
      <c r="B6355" s="2">
        <v>45545</v>
      </c>
      <c r="C6355" s="7">
        <f>_xlfn.FLOOR.MATH(Table1[[#This Row],[year]],10)</f>
        <v>2020</v>
      </c>
      <c r="D6355" t="s">
        <v>258</v>
      </c>
      <c r="E6355" t="s">
        <v>26</v>
      </c>
      <c r="F6355">
        <v>0</v>
      </c>
      <c r="G6355">
        <v>0</v>
      </c>
      <c r="H6355" t="s">
        <v>224</v>
      </c>
      <c r="I6355" t="s">
        <v>811</v>
      </c>
      <c r="J6355" t="s">
        <v>258</v>
      </c>
      <c r="K6355" t="b">
        <v>0</v>
      </c>
      <c r="L6355">
        <v>2024</v>
      </c>
      <c r="M6355">
        <v>119802963257</v>
      </c>
      <c r="N6355">
        <v>80961511073</v>
      </c>
      <c r="O6355" t="b">
        <v>0</v>
      </c>
      <c r="P6355">
        <v>0</v>
      </c>
      <c r="Q6355" t="str" cm="1">
        <f t="array" ref="Q6355">_xlfn.IFS(Table1[[#This Row],[Wealthier_Winner]]=-1,"Wealthier Nation Loses",Table1[[#This Row],[Wealthier_Winner]]=0,"Tie",Table1[[#This Row],[Wealthier_Winner]]=1,"Wealthier Nation Wins")</f>
        <v>Tie</v>
      </c>
    </row>
    <row r="6356" spans="1:17" x14ac:dyDescent="0.2">
      <c r="A6356" s="1">
        <v>9149</v>
      </c>
      <c r="B6356" s="2">
        <v>45545</v>
      </c>
      <c r="C6356" s="7">
        <f>_xlfn.FLOOR.MATH(Table1[[#This Row],[year]],10)</f>
        <v>2020</v>
      </c>
      <c r="D6356" t="s">
        <v>35</v>
      </c>
      <c r="E6356" t="s">
        <v>13</v>
      </c>
      <c r="F6356">
        <v>1</v>
      </c>
      <c r="G6356">
        <v>0</v>
      </c>
      <c r="H6356" t="s">
        <v>224</v>
      </c>
      <c r="I6356" t="s">
        <v>250</v>
      </c>
      <c r="J6356" t="s">
        <v>35</v>
      </c>
      <c r="K6356" t="b">
        <v>0</v>
      </c>
      <c r="L6356">
        <v>2024</v>
      </c>
      <c r="M6356">
        <v>44458118397</v>
      </c>
      <c r="N6356">
        <v>2185821648943</v>
      </c>
      <c r="O6356" t="b">
        <v>1</v>
      </c>
      <c r="P6356">
        <v>-1</v>
      </c>
      <c r="Q6356" t="str" cm="1">
        <f t="array" ref="Q6356">_xlfn.IFS(Table1[[#This Row],[Wealthier_Winner]]=-1,"Wealthier Nation Loses",Table1[[#This Row],[Wealthier_Winner]]=0,"Tie",Table1[[#This Row],[Wealthier_Winner]]=1,"Wealthier Nation Wins")</f>
        <v>Wealthier Nation Loses</v>
      </c>
    </row>
    <row r="6357" spans="1:17" x14ac:dyDescent="0.2">
      <c r="A6357" s="1">
        <v>9152</v>
      </c>
      <c r="B6357" s="2">
        <v>45545</v>
      </c>
      <c r="C6357" s="7">
        <f>_xlfn.FLOOR.MATH(Table1[[#This Row],[year]],10)</f>
        <v>2020</v>
      </c>
      <c r="D6357" t="s">
        <v>39</v>
      </c>
      <c r="E6357" t="s">
        <v>210</v>
      </c>
      <c r="F6357">
        <v>0</v>
      </c>
      <c r="G6357">
        <v>1</v>
      </c>
      <c r="H6357" t="s">
        <v>224</v>
      </c>
      <c r="I6357" t="s">
        <v>478</v>
      </c>
      <c r="J6357" t="s">
        <v>39</v>
      </c>
      <c r="K6357" t="b">
        <v>0</v>
      </c>
      <c r="L6357">
        <v>2024</v>
      </c>
      <c r="M6357">
        <v>552324846834</v>
      </c>
      <c r="N6357">
        <v>475252089215</v>
      </c>
      <c r="O6357" t="b">
        <v>0</v>
      </c>
      <c r="P6357">
        <v>-1</v>
      </c>
      <c r="Q6357" t="str" cm="1">
        <f t="array" ref="Q6357">_xlfn.IFS(Table1[[#This Row],[Wealthier_Winner]]=-1,"Wealthier Nation Loses",Table1[[#This Row],[Wealthier_Winner]]=0,"Tie",Table1[[#This Row],[Wealthier_Winner]]=1,"Wealthier Nation Wins")</f>
        <v>Wealthier Nation Loses</v>
      </c>
    </row>
    <row r="6358" spans="1:17" x14ac:dyDescent="0.2">
      <c r="A6358" s="1">
        <v>9153</v>
      </c>
      <c r="B6358" s="2">
        <v>45545</v>
      </c>
      <c r="C6358" s="7">
        <f>_xlfn.FLOOR.MATH(Table1[[#This Row],[year]],10)</f>
        <v>2020</v>
      </c>
      <c r="D6358" t="s">
        <v>429</v>
      </c>
      <c r="E6358" t="s">
        <v>195</v>
      </c>
      <c r="F6358">
        <v>1</v>
      </c>
      <c r="G6358">
        <v>3</v>
      </c>
      <c r="H6358" t="s">
        <v>224</v>
      </c>
      <c r="I6358" t="s">
        <v>430</v>
      </c>
      <c r="J6358" t="s">
        <v>429</v>
      </c>
      <c r="K6358" t="b">
        <v>0</v>
      </c>
      <c r="L6358">
        <v>2024</v>
      </c>
      <c r="M6358">
        <v>107137198769</v>
      </c>
      <c r="N6358">
        <v>1875388209406</v>
      </c>
      <c r="O6358" t="b">
        <v>1</v>
      </c>
      <c r="P6358">
        <v>1</v>
      </c>
      <c r="Q6358" t="str" cm="1">
        <f t="array" ref="Q6358">_xlfn.IFS(Table1[[#This Row],[Wealthier_Winner]]=-1,"Wealthier Nation Loses",Table1[[#This Row],[Wealthier_Winner]]=0,"Tie",Table1[[#This Row],[Wealthier_Winner]]=1,"Wealthier Nation Wins")</f>
        <v>Wealthier Nation Wins</v>
      </c>
    </row>
    <row r="6359" spans="1:17" x14ac:dyDescent="0.2">
      <c r="A6359" s="1">
        <v>9154</v>
      </c>
      <c r="B6359" s="2">
        <v>45545</v>
      </c>
      <c r="C6359" s="7">
        <f>_xlfn.FLOOR.MATH(Table1[[#This Row],[year]],10)</f>
        <v>2020</v>
      </c>
      <c r="D6359" t="s">
        <v>71</v>
      </c>
      <c r="E6359" t="s">
        <v>37</v>
      </c>
      <c r="F6359">
        <v>0</v>
      </c>
      <c r="G6359">
        <v>0</v>
      </c>
      <c r="H6359" t="s">
        <v>224</v>
      </c>
      <c r="I6359" t="s">
        <v>366</v>
      </c>
      <c r="J6359" t="s">
        <v>71</v>
      </c>
      <c r="K6359" t="b">
        <v>0</v>
      </c>
      <c r="L6359">
        <v>2024</v>
      </c>
      <c r="M6359">
        <v>160227273053</v>
      </c>
      <c r="N6359">
        <v>279641257615</v>
      </c>
      <c r="O6359" t="b">
        <v>0</v>
      </c>
      <c r="P6359">
        <v>0</v>
      </c>
      <c r="Q6359" t="str" cm="1">
        <f t="array" ref="Q6359">_xlfn.IFS(Table1[[#This Row],[Wealthier_Winner]]=-1,"Wealthier Nation Loses",Table1[[#This Row],[Wealthier_Winner]]=0,"Tie",Table1[[#This Row],[Wealthier_Winner]]=1,"Wealthier Nation Wins")</f>
        <v>Tie</v>
      </c>
    </row>
    <row r="6360" spans="1:17" x14ac:dyDescent="0.2">
      <c r="A6360" s="1">
        <v>9156</v>
      </c>
      <c r="B6360" s="2">
        <v>45545</v>
      </c>
      <c r="C6360" s="7">
        <f>_xlfn.FLOOR.MATH(Table1[[#This Row],[year]],10)</f>
        <v>2020</v>
      </c>
      <c r="D6360" t="s">
        <v>361</v>
      </c>
      <c r="E6360" t="s">
        <v>51</v>
      </c>
      <c r="F6360">
        <v>0</v>
      </c>
      <c r="G6360">
        <v>5</v>
      </c>
      <c r="H6360" t="s">
        <v>224</v>
      </c>
      <c r="I6360" t="s">
        <v>419</v>
      </c>
      <c r="J6360" t="s">
        <v>361</v>
      </c>
      <c r="K6360" t="b">
        <v>0</v>
      </c>
      <c r="L6360">
        <v>2024</v>
      </c>
      <c r="M6360">
        <v>47109734308</v>
      </c>
      <c r="N6360">
        <v>4027597523550</v>
      </c>
      <c r="O6360" t="b">
        <v>1</v>
      </c>
      <c r="P6360">
        <v>1</v>
      </c>
      <c r="Q6360" t="str" cm="1">
        <f t="array" ref="Q6360">_xlfn.IFS(Table1[[#This Row],[Wealthier_Winner]]=-1,"Wealthier Nation Loses",Table1[[#This Row],[Wealthier_Winner]]=0,"Tie",Table1[[#This Row],[Wealthier_Winner]]=1,"Wealthier Nation Wins")</f>
        <v>Wealthier Nation Wins</v>
      </c>
    </row>
    <row r="6361" spans="1:17" x14ac:dyDescent="0.2">
      <c r="A6361" s="1">
        <v>9157</v>
      </c>
      <c r="B6361" s="2">
        <v>45545</v>
      </c>
      <c r="C6361" s="7">
        <f>_xlfn.FLOOR.MATH(Table1[[#This Row],[year]],10)</f>
        <v>2020</v>
      </c>
      <c r="D6361" t="s">
        <v>328</v>
      </c>
      <c r="E6361" t="s">
        <v>28</v>
      </c>
      <c r="F6361">
        <v>0</v>
      </c>
      <c r="G6361">
        <v>0</v>
      </c>
      <c r="H6361" t="s">
        <v>224</v>
      </c>
      <c r="I6361" t="s">
        <v>386</v>
      </c>
      <c r="J6361" t="s">
        <v>328</v>
      </c>
      <c r="K6361" t="b">
        <v>0</v>
      </c>
      <c r="L6361">
        <v>2024</v>
      </c>
      <c r="M6361">
        <v>1396300098190</v>
      </c>
      <c r="N6361">
        <v>1757022451652</v>
      </c>
      <c r="O6361" t="b">
        <v>0</v>
      </c>
      <c r="P6361">
        <v>0</v>
      </c>
      <c r="Q6361" t="str" cm="1">
        <f t="array" ref="Q6361">_xlfn.IFS(Table1[[#This Row],[Wealthier_Winner]]=-1,"Wealthier Nation Loses",Table1[[#This Row],[Wealthier_Winner]]=0,"Tie",Table1[[#This Row],[Wealthier_Winner]]=1,"Wealthier Nation Wins")</f>
        <v>Tie</v>
      </c>
    </row>
    <row r="6362" spans="1:17" x14ac:dyDescent="0.2">
      <c r="A6362" s="1">
        <v>9159</v>
      </c>
      <c r="B6362" s="2">
        <v>45575</v>
      </c>
      <c r="C6362" s="7">
        <f>_xlfn.FLOOR.MATH(Table1[[#This Row],[year]],10)</f>
        <v>2020</v>
      </c>
      <c r="D6362" t="s">
        <v>47</v>
      </c>
      <c r="E6362" t="s">
        <v>15</v>
      </c>
      <c r="F6362">
        <v>1</v>
      </c>
      <c r="G6362">
        <v>0</v>
      </c>
      <c r="H6362" t="s">
        <v>224</v>
      </c>
      <c r="I6362" t="s">
        <v>885</v>
      </c>
      <c r="J6362" t="s">
        <v>47</v>
      </c>
      <c r="K6362" t="b">
        <v>0</v>
      </c>
      <c r="L6362">
        <v>2024</v>
      </c>
      <c r="M6362">
        <v>54881327452</v>
      </c>
      <c r="N6362">
        <v>418818154879</v>
      </c>
      <c r="O6362" t="b">
        <v>1</v>
      </c>
      <c r="P6362">
        <v>-1</v>
      </c>
      <c r="Q6362" t="str" cm="1">
        <f t="array" ref="Q6362">_xlfn.IFS(Table1[[#This Row],[Wealthier_Winner]]=-1,"Wealthier Nation Loses",Table1[[#This Row],[Wealthier_Winner]]=0,"Tie",Table1[[#This Row],[Wealthier_Winner]]=1,"Wealthier Nation Wins")</f>
        <v>Wealthier Nation Loses</v>
      </c>
    </row>
    <row r="6363" spans="1:17" x14ac:dyDescent="0.2">
      <c r="A6363" s="1">
        <v>9160</v>
      </c>
      <c r="B6363" s="2">
        <v>45575</v>
      </c>
      <c r="C6363" s="7">
        <f>_xlfn.FLOOR.MATH(Table1[[#This Row],[year]],10)</f>
        <v>2020</v>
      </c>
      <c r="D6363" t="s">
        <v>57</v>
      </c>
      <c r="E6363" t="s">
        <v>35</v>
      </c>
      <c r="F6363">
        <v>0</v>
      </c>
      <c r="G6363">
        <v>0</v>
      </c>
      <c r="H6363" t="s">
        <v>224</v>
      </c>
      <c r="I6363" t="s">
        <v>335</v>
      </c>
      <c r="J6363" t="s">
        <v>57</v>
      </c>
      <c r="K6363" t="b">
        <v>0</v>
      </c>
      <c r="L6363">
        <v>2024</v>
      </c>
      <c r="M6363">
        <v>124676074700</v>
      </c>
      <c r="N6363">
        <v>44458118397</v>
      </c>
      <c r="O6363" t="b">
        <v>1</v>
      </c>
      <c r="P6363">
        <v>0</v>
      </c>
      <c r="Q6363" t="str" cm="1">
        <f t="array" ref="Q6363">_xlfn.IFS(Table1[[#This Row],[Wealthier_Winner]]=-1,"Wealthier Nation Loses",Table1[[#This Row],[Wealthier_Winner]]=0,"Tie",Table1[[#This Row],[Wealthier_Winner]]=1,"Wealthier Nation Wins")</f>
        <v>Tie</v>
      </c>
    </row>
    <row r="6364" spans="1:17" x14ac:dyDescent="0.2">
      <c r="A6364" s="1">
        <v>9161</v>
      </c>
      <c r="B6364" s="2">
        <v>45575</v>
      </c>
      <c r="C6364" s="7">
        <f>_xlfn.FLOOR.MATH(Table1[[#This Row],[year]],10)</f>
        <v>2020</v>
      </c>
      <c r="D6364" t="s">
        <v>258</v>
      </c>
      <c r="E6364" t="s">
        <v>19</v>
      </c>
      <c r="F6364">
        <v>1</v>
      </c>
      <c r="G6364">
        <v>1</v>
      </c>
      <c r="H6364" t="s">
        <v>224</v>
      </c>
      <c r="I6364" t="s">
        <v>811</v>
      </c>
      <c r="J6364" t="s">
        <v>258</v>
      </c>
      <c r="K6364" t="b">
        <v>0</v>
      </c>
      <c r="L6364">
        <v>2024</v>
      </c>
      <c r="M6364">
        <v>119802963257</v>
      </c>
      <c r="N6364">
        <v>638365455340</v>
      </c>
      <c r="O6364" t="b">
        <v>1</v>
      </c>
      <c r="P6364">
        <v>0</v>
      </c>
      <c r="Q6364" t="str" cm="1">
        <f t="array" ref="Q6364">_xlfn.IFS(Table1[[#This Row],[Wealthier_Winner]]=-1,"Wealthier Nation Loses",Table1[[#This Row],[Wealthier_Winner]]=0,"Tie",Table1[[#This Row],[Wealthier_Winner]]=1,"Wealthier Nation Wins")</f>
        <v>Tie</v>
      </c>
    </row>
    <row r="6365" spans="1:17" x14ac:dyDescent="0.2">
      <c r="A6365" s="1">
        <v>9162</v>
      </c>
      <c r="B6365" s="2">
        <v>45575</v>
      </c>
      <c r="C6365" s="7">
        <f>_xlfn.FLOOR.MATH(Table1[[#This Row],[year]],10)</f>
        <v>2020</v>
      </c>
      <c r="D6365" t="s">
        <v>14</v>
      </c>
      <c r="E6365" t="s">
        <v>13</v>
      </c>
      <c r="F6365">
        <v>1</v>
      </c>
      <c r="G6365">
        <v>2</v>
      </c>
      <c r="H6365" t="s">
        <v>224</v>
      </c>
      <c r="I6365" t="s">
        <v>75</v>
      </c>
      <c r="J6365" t="s">
        <v>14</v>
      </c>
      <c r="K6365" t="b">
        <v>0</v>
      </c>
      <c r="L6365">
        <v>2024</v>
      </c>
      <c r="M6365">
        <v>330267137371</v>
      </c>
      <c r="N6365">
        <v>2185821648943</v>
      </c>
      <c r="O6365" t="b">
        <v>1</v>
      </c>
      <c r="P6365">
        <v>1</v>
      </c>
      <c r="Q6365" t="str" cm="1">
        <f t="array" ref="Q6365">_xlfn.IFS(Table1[[#This Row],[Wealthier_Winner]]=-1,"Wealthier Nation Loses",Table1[[#This Row],[Wealthier_Winner]]=0,"Tie",Table1[[#This Row],[Wealthier_Winner]]=1,"Wealthier Nation Wins")</f>
        <v>Wealthier Nation Wins</v>
      </c>
    </row>
    <row r="6366" spans="1:17" x14ac:dyDescent="0.2">
      <c r="A6366" s="1">
        <v>9163</v>
      </c>
      <c r="B6366" s="2">
        <v>45575</v>
      </c>
      <c r="C6366" s="7">
        <f>_xlfn.FLOOR.MATH(Table1[[#This Row],[year]],10)</f>
        <v>2020</v>
      </c>
      <c r="D6366" t="s">
        <v>530</v>
      </c>
      <c r="E6366" t="s">
        <v>656</v>
      </c>
      <c r="F6366">
        <v>1</v>
      </c>
      <c r="G6366">
        <v>3</v>
      </c>
      <c r="H6366" t="s">
        <v>224</v>
      </c>
      <c r="I6366" t="s">
        <v>385</v>
      </c>
      <c r="J6366" t="s">
        <v>384</v>
      </c>
      <c r="K6366" t="b">
        <v>1</v>
      </c>
      <c r="L6366">
        <v>2024</v>
      </c>
      <c r="M6366">
        <v>31800428265</v>
      </c>
      <c r="N6366">
        <v>8548919387</v>
      </c>
      <c r="O6366" t="b">
        <v>1</v>
      </c>
      <c r="P6366">
        <v>-1</v>
      </c>
      <c r="Q6366" t="str" cm="1">
        <f t="array" ref="Q6366">_xlfn.IFS(Table1[[#This Row],[Wealthier_Winner]]=-1,"Wealthier Nation Loses",Table1[[#This Row],[Wealthier_Winner]]=0,"Tie",Table1[[#This Row],[Wealthier_Winner]]=1,"Wealthier Nation Wins")</f>
        <v>Wealthier Nation Loses</v>
      </c>
    </row>
    <row r="6367" spans="1:17" x14ac:dyDescent="0.2">
      <c r="A6367" s="1">
        <v>9164</v>
      </c>
      <c r="B6367" s="2">
        <v>45575</v>
      </c>
      <c r="C6367" s="7">
        <f>_xlfn.FLOOR.MATH(Table1[[#This Row],[year]],10)</f>
        <v>2020</v>
      </c>
      <c r="D6367" t="s">
        <v>384</v>
      </c>
      <c r="E6367" t="s">
        <v>456</v>
      </c>
      <c r="F6367">
        <v>1</v>
      </c>
      <c r="G6367">
        <v>0</v>
      </c>
      <c r="H6367" t="s">
        <v>224</v>
      </c>
      <c r="I6367" t="s">
        <v>385</v>
      </c>
      <c r="J6367" t="s">
        <v>384</v>
      </c>
      <c r="K6367" t="b">
        <v>0</v>
      </c>
      <c r="L6367">
        <v>2024</v>
      </c>
      <c r="M6367">
        <v>5968125909</v>
      </c>
      <c r="N6367">
        <v>1583964703</v>
      </c>
      <c r="O6367" t="b">
        <v>1</v>
      </c>
      <c r="P6367">
        <v>1</v>
      </c>
      <c r="Q6367" t="str" cm="1">
        <f t="array" ref="Q6367">_xlfn.IFS(Table1[[#This Row],[Wealthier_Winner]]=-1,"Wealthier Nation Loses",Table1[[#This Row],[Wealthier_Winner]]=0,"Tie",Table1[[#This Row],[Wealthier_Winner]]=1,"Wealthier Nation Wins")</f>
        <v>Wealthier Nation Wins</v>
      </c>
    </row>
    <row r="6368" spans="1:17" x14ac:dyDescent="0.2">
      <c r="A6368" s="1">
        <v>9166</v>
      </c>
      <c r="B6368" s="2">
        <v>45575</v>
      </c>
      <c r="C6368" s="7">
        <f>_xlfn.FLOOR.MATH(Table1[[#This Row],[year]],10)</f>
        <v>2020</v>
      </c>
      <c r="D6368" t="s">
        <v>563</v>
      </c>
      <c r="E6368" t="s">
        <v>210</v>
      </c>
      <c r="F6368">
        <v>0</v>
      </c>
      <c r="G6368">
        <v>0</v>
      </c>
      <c r="H6368" t="s">
        <v>224</v>
      </c>
      <c r="I6368" t="s">
        <v>564</v>
      </c>
      <c r="J6368" t="s">
        <v>563</v>
      </c>
      <c r="K6368" t="b">
        <v>0</v>
      </c>
      <c r="L6368">
        <v>2024</v>
      </c>
      <c r="M6368">
        <v>114965293466</v>
      </c>
      <c r="N6368">
        <v>475252089215</v>
      </c>
      <c r="O6368" t="b">
        <v>1</v>
      </c>
      <c r="P6368">
        <v>0</v>
      </c>
      <c r="Q6368" t="str" cm="1">
        <f t="array" ref="Q6368">_xlfn.IFS(Table1[[#This Row],[Wealthier_Winner]]=-1,"Wealthier Nation Loses",Table1[[#This Row],[Wealthier_Winner]]=0,"Tie",Table1[[#This Row],[Wealthier_Winner]]=1,"Wealthier Nation Wins")</f>
        <v>Tie</v>
      </c>
    </row>
    <row r="6369" spans="1:17" x14ac:dyDescent="0.2">
      <c r="A6369" s="1">
        <v>9168</v>
      </c>
      <c r="B6369" s="2">
        <v>45575</v>
      </c>
      <c r="C6369" s="7">
        <f>_xlfn.FLOOR.MATH(Table1[[#This Row],[year]],10)</f>
        <v>2020</v>
      </c>
      <c r="D6369" t="s">
        <v>403</v>
      </c>
      <c r="E6369" t="s">
        <v>195</v>
      </c>
      <c r="F6369">
        <v>0</v>
      </c>
      <c r="G6369">
        <v>2</v>
      </c>
      <c r="H6369" t="s">
        <v>224</v>
      </c>
      <c r="I6369" t="s">
        <v>404</v>
      </c>
      <c r="J6369" t="s">
        <v>403</v>
      </c>
      <c r="K6369" t="b">
        <v>0</v>
      </c>
      <c r="L6369">
        <v>2024</v>
      </c>
      <c r="M6369">
        <v>53352289577</v>
      </c>
      <c r="N6369">
        <v>1875388209406</v>
      </c>
      <c r="O6369" t="b">
        <v>1</v>
      </c>
      <c r="P6369">
        <v>1</v>
      </c>
      <c r="Q6369" t="str" cm="1">
        <f t="array" ref="Q6369">_xlfn.IFS(Table1[[#This Row],[Wealthier_Winner]]=-1,"Wealthier Nation Loses",Table1[[#This Row],[Wealthier_Winner]]=0,"Tie",Table1[[#This Row],[Wealthier_Winner]]=1,"Wealthier Nation Wins")</f>
        <v>Wealthier Nation Wins</v>
      </c>
    </row>
    <row r="6370" spans="1:17" x14ac:dyDescent="0.2">
      <c r="A6370" s="1">
        <v>9169</v>
      </c>
      <c r="B6370" s="2">
        <v>45575</v>
      </c>
      <c r="C6370" s="7">
        <f>_xlfn.FLOOR.MATH(Table1[[#This Row],[year]],10)</f>
        <v>2020</v>
      </c>
      <c r="D6370" t="s">
        <v>429</v>
      </c>
      <c r="E6370" t="s">
        <v>71</v>
      </c>
      <c r="F6370">
        <v>4</v>
      </c>
      <c r="G6370">
        <v>0</v>
      </c>
      <c r="H6370" t="s">
        <v>224</v>
      </c>
      <c r="I6370" t="s">
        <v>430</v>
      </c>
      <c r="J6370" t="s">
        <v>429</v>
      </c>
      <c r="K6370" t="b">
        <v>0</v>
      </c>
      <c r="L6370">
        <v>2024</v>
      </c>
      <c r="M6370">
        <v>107137198769</v>
      </c>
      <c r="N6370">
        <v>160227273053</v>
      </c>
      <c r="O6370" t="b">
        <v>0</v>
      </c>
      <c r="P6370">
        <v>-1</v>
      </c>
      <c r="Q6370" t="str" cm="1">
        <f t="array" ref="Q6370">_xlfn.IFS(Table1[[#This Row],[Wealthier_Winner]]=-1,"Wealthier Nation Loses",Table1[[#This Row],[Wealthier_Winner]]=0,"Tie",Table1[[#This Row],[Wealthier_Winner]]=1,"Wealthier Nation Wins")</f>
        <v>Wealthier Nation Loses</v>
      </c>
    </row>
    <row r="6371" spans="1:17" x14ac:dyDescent="0.2">
      <c r="A6371" s="1">
        <v>9171</v>
      </c>
      <c r="B6371" s="2">
        <v>45575</v>
      </c>
      <c r="C6371" s="7">
        <f>_xlfn.FLOOR.MATH(Table1[[#This Row],[year]],10)</f>
        <v>2020</v>
      </c>
      <c r="D6371" t="s">
        <v>361</v>
      </c>
      <c r="E6371" t="s">
        <v>328</v>
      </c>
      <c r="F6371">
        <v>2</v>
      </c>
      <c r="G6371">
        <v>2</v>
      </c>
      <c r="H6371" t="s">
        <v>224</v>
      </c>
      <c r="I6371" t="s">
        <v>419</v>
      </c>
      <c r="J6371" t="s">
        <v>361</v>
      </c>
      <c r="K6371" t="b">
        <v>0</v>
      </c>
      <c r="L6371">
        <v>2024</v>
      </c>
      <c r="M6371">
        <v>47109734308</v>
      </c>
      <c r="N6371">
        <v>1396300098190</v>
      </c>
      <c r="O6371" t="b">
        <v>1</v>
      </c>
      <c r="P6371">
        <v>0</v>
      </c>
      <c r="Q6371" t="str" cm="1">
        <f t="array" ref="Q6371">_xlfn.IFS(Table1[[#This Row],[Wealthier_Winner]]=-1,"Wealthier Nation Loses",Table1[[#This Row],[Wealthier_Winner]]=0,"Tie",Table1[[#This Row],[Wealthier_Winner]]=1,"Wealthier Nation Wins")</f>
        <v>Tie</v>
      </c>
    </row>
    <row r="6372" spans="1:17" x14ac:dyDescent="0.2">
      <c r="A6372" s="1">
        <v>9173</v>
      </c>
      <c r="B6372" s="2">
        <v>45575</v>
      </c>
      <c r="C6372" s="7">
        <f>_xlfn.FLOOR.MATH(Table1[[#This Row],[year]],10)</f>
        <v>2020</v>
      </c>
      <c r="D6372" t="s">
        <v>45</v>
      </c>
      <c r="E6372" t="s">
        <v>51</v>
      </c>
      <c r="F6372">
        <v>0</v>
      </c>
      <c r="G6372">
        <v>2</v>
      </c>
      <c r="H6372" t="s">
        <v>224</v>
      </c>
      <c r="I6372" t="s">
        <v>354</v>
      </c>
      <c r="J6372" t="s">
        <v>45</v>
      </c>
      <c r="K6372" t="b">
        <v>0</v>
      </c>
      <c r="L6372">
        <v>2024</v>
      </c>
      <c r="M6372">
        <v>1239804533333</v>
      </c>
      <c r="N6372">
        <v>4027597523550</v>
      </c>
      <c r="O6372" t="b">
        <v>1</v>
      </c>
      <c r="P6372">
        <v>1</v>
      </c>
      <c r="Q6372" t="str" cm="1">
        <f t="array" ref="Q6372">_xlfn.IFS(Table1[[#This Row],[Wealthier_Winner]]=-1,"Wealthier Nation Loses",Table1[[#This Row],[Wealthier_Winner]]=0,"Tie",Table1[[#This Row],[Wealthier_Winner]]=1,"Wealthier Nation Wins")</f>
        <v>Wealthier Nation Wins</v>
      </c>
    </row>
    <row r="6373" spans="1:17" x14ac:dyDescent="0.2">
      <c r="A6373" s="1">
        <v>9174</v>
      </c>
      <c r="B6373" s="2">
        <v>45576</v>
      </c>
      <c r="C6373" s="7">
        <f>_xlfn.FLOOR.MATH(Table1[[#This Row],[year]],10)</f>
        <v>2020</v>
      </c>
      <c r="D6373" t="s">
        <v>31</v>
      </c>
      <c r="E6373" t="s">
        <v>26</v>
      </c>
      <c r="F6373">
        <v>1</v>
      </c>
      <c r="G6373">
        <v>0</v>
      </c>
      <c r="H6373" t="s">
        <v>224</v>
      </c>
      <c r="I6373" t="s">
        <v>242</v>
      </c>
      <c r="J6373" t="s">
        <v>31</v>
      </c>
      <c r="K6373" t="b">
        <v>0</v>
      </c>
      <c r="L6373">
        <v>2024</v>
      </c>
      <c r="M6373">
        <v>289221969062</v>
      </c>
      <c r="N6373">
        <v>80961511073</v>
      </c>
      <c r="O6373" t="b">
        <v>1</v>
      </c>
      <c r="P6373">
        <v>1</v>
      </c>
      <c r="Q6373" t="str" cm="1">
        <f t="array" ref="Q6373">_xlfn.IFS(Table1[[#This Row],[Wealthier_Winner]]=-1,"Wealthier Nation Loses",Table1[[#This Row],[Wealthier_Winner]]=0,"Tie",Table1[[#This Row],[Wealthier_Winner]]=1,"Wealthier Nation Wins")</f>
        <v>Wealthier Nation Wins</v>
      </c>
    </row>
    <row r="6374" spans="1:17" x14ac:dyDescent="0.2">
      <c r="A6374" s="1">
        <v>9176</v>
      </c>
      <c r="B6374" s="2">
        <v>45577</v>
      </c>
      <c r="C6374" s="7">
        <f>_xlfn.FLOOR.MATH(Table1[[#This Row],[year]],10)</f>
        <v>2020</v>
      </c>
      <c r="D6374" t="s">
        <v>451</v>
      </c>
      <c r="E6374" t="s">
        <v>542</v>
      </c>
      <c r="F6374">
        <v>4</v>
      </c>
      <c r="G6374">
        <v>1</v>
      </c>
      <c r="H6374" t="s">
        <v>224</v>
      </c>
      <c r="I6374" t="s">
        <v>452</v>
      </c>
      <c r="J6374" t="s">
        <v>451</v>
      </c>
      <c r="K6374" t="b">
        <v>0</v>
      </c>
      <c r="L6374">
        <v>2024</v>
      </c>
      <c r="M6374">
        <v>1117972034</v>
      </c>
      <c r="N6374">
        <v>1175749785</v>
      </c>
      <c r="O6374" t="b">
        <v>0</v>
      </c>
      <c r="P6374">
        <v>-1</v>
      </c>
      <c r="Q6374" t="str" cm="1">
        <f t="array" ref="Q6374">_xlfn.IFS(Table1[[#This Row],[Wealthier_Winner]]=-1,"Wealthier Nation Loses",Table1[[#This Row],[Wealthier_Winner]]=0,"Tie",Table1[[#This Row],[Wealthier_Winner]]=1,"Wealthier Nation Wins")</f>
        <v>Wealthier Nation Loses</v>
      </c>
    </row>
    <row r="6375" spans="1:17" x14ac:dyDescent="0.2">
      <c r="A6375" s="1">
        <v>9177</v>
      </c>
      <c r="B6375" s="2">
        <v>45580</v>
      </c>
      <c r="C6375" s="7">
        <f>_xlfn.FLOOR.MATH(Table1[[#This Row],[year]],10)</f>
        <v>2020</v>
      </c>
      <c r="D6375" t="s">
        <v>15</v>
      </c>
      <c r="E6375" t="s">
        <v>14</v>
      </c>
      <c r="F6375">
        <v>4</v>
      </c>
      <c r="G6375">
        <v>0</v>
      </c>
      <c r="H6375" t="s">
        <v>224</v>
      </c>
      <c r="I6375" t="s">
        <v>261</v>
      </c>
      <c r="J6375" t="s">
        <v>15</v>
      </c>
      <c r="K6375" t="b">
        <v>0</v>
      </c>
      <c r="L6375">
        <v>2024</v>
      </c>
      <c r="M6375">
        <v>418818154879</v>
      </c>
      <c r="N6375">
        <v>330267137371</v>
      </c>
      <c r="O6375" t="b">
        <v>0</v>
      </c>
      <c r="P6375">
        <v>1</v>
      </c>
      <c r="Q6375" t="str" cm="1">
        <f t="array" ref="Q6375">_xlfn.IFS(Table1[[#This Row],[Wealthier_Winner]]=-1,"Wealthier Nation Loses",Table1[[#This Row],[Wealthier_Winner]]=0,"Tie",Table1[[#This Row],[Wealthier_Winner]]=1,"Wealthier Nation Wins")</f>
        <v>Wealthier Nation Wins</v>
      </c>
    </row>
    <row r="6376" spans="1:17" x14ac:dyDescent="0.2">
      <c r="A6376" s="1">
        <v>9178</v>
      </c>
      <c r="B6376" s="2">
        <v>45580</v>
      </c>
      <c r="C6376" s="7">
        <f>_xlfn.FLOOR.MATH(Table1[[#This Row],[year]],10)</f>
        <v>2020</v>
      </c>
      <c r="D6376" t="s">
        <v>35</v>
      </c>
      <c r="E6376" t="s">
        <v>258</v>
      </c>
      <c r="F6376">
        <v>2</v>
      </c>
      <c r="G6376">
        <v>1</v>
      </c>
      <c r="H6376" t="s">
        <v>224</v>
      </c>
      <c r="I6376" t="s">
        <v>250</v>
      </c>
      <c r="J6376" t="s">
        <v>35</v>
      </c>
      <c r="K6376" t="b">
        <v>0</v>
      </c>
      <c r="L6376">
        <v>2024</v>
      </c>
      <c r="M6376">
        <v>44458118397</v>
      </c>
      <c r="N6376">
        <v>119802963257</v>
      </c>
      <c r="O6376" t="b">
        <v>1</v>
      </c>
      <c r="P6376">
        <v>-1</v>
      </c>
      <c r="Q6376" t="str" cm="1">
        <f t="array" ref="Q6376">_xlfn.IFS(Table1[[#This Row],[Wealthier_Winner]]=-1,"Wealthier Nation Loses",Table1[[#This Row],[Wealthier_Winner]]=0,"Tie",Table1[[#This Row],[Wealthier_Winner]]=1,"Wealthier Nation Wins")</f>
        <v>Wealthier Nation Loses</v>
      </c>
    </row>
    <row r="6377" spans="1:17" x14ac:dyDescent="0.2">
      <c r="A6377" s="1">
        <v>9179</v>
      </c>
      <c r="B6377" s="2">
        <v>45580</v>
      </c>
      <c r="C6377" s="7">
        <f>_xlfn.FLOOR.MATH(Table1[[#This Row],[year]],10)</f>
        <v>2020</v>
      </c>
      <c r="D6377" t="s">
        <v>26</v>
      </c>
      <c r="E6377" t="s">
        <v>57</v>
      </c>
      <c r="F6377">
        <v>0</v>
      </c>
      <c r="G6377">
        <v>0</v>
      </c>
      <c r="H6377" t="s">
        <v>224</v>
      </c>
      <c r="I6377" t="s">
        <v>247</v>
      </c>
      <c r="J6377" t="s">
        <v>26</v>
      </c>
      <c r="K6377" t="b">
        <v>0</v>
      </c>
      <c r="L6377">
        <v>2024</v>
      </c>
      <c r="M6377">
        <v>80961511073</v>
      </c>
      <c r="N6377">
        <v>124676074700</v>
      </c>
      <c r="O6377" t="b">
        <v>0</v>
      </c>
      <c r="P6377">
        <v>0</v>
      </c>
      <c r="Q6377" t="str" cm="1">
        <f t="array" ref="Q6377">_xlfn.IFS(Table1[[#This Row],[Wealthier_Winner]]=-1,"Wealthier Nation Loses",Table1[[#This Row],[Wealthier_Winner]]=0,"Tie",Table1[[#This Row],[Wealthier_Winner]]=1,"Wealthier Nation Wins")</f>
        <v>Tie</v>
      </c>
    </row>
    <row r="6378" spans="1:17" x14ac:dyDescent="0.2">
      <c r="A6378" s="1">
        <v>9180</v>
      </c>
      <c r="B6378" s="2">
        <v>45580</v>
      </c>
      <c r="C6378" s="7">
        <f>_xlfn.FLOOR.MATH(Table1[[#This Row],[year]],10)</f>
        <v>2020</v>
      </c>
      <c r="D6378" t="s">
        <v>19</v>
      </c>
      <c r="E6378" t="s">
        <v>47</v>
      </c>
      <c r="F6378">
        <v>6</v>
      </c>
      <c r="G6378">
        <v>0</v>
      </c>
      <c r="H6378" t="s">
        <v>224</v>
      </c>
      <c r="I6378" t="s">
        <v>93</v>
      </c>
      <c r="J6378" t="s">
        <v>19</v>
      </c>
      <c r="K6378" t="b">
        <v>0</v>
      </c>
      <c r="L6378">
        <v>2024</v>
      </c>
      <c r="M6378">
        <v>638365455340</v>
      </c>
      <c r="N6378">
        <v>54881327452</v>
      </c>
      <c r="O6378" t="b">
        <v>1</v>
      </c>
      <c r="P6378">
        <v>1</v>
      </c>
      <c r="Q6378" t="str" cm="1">
        <f t="array" ref="Q6378">_xlfn.IFS(Table1[[#This Row],[Wealthier_Winner]]=-1,"Wealthier Nation Loses",Table1[[#This Row],[Wealthier_Winner]]=0,"Tie",Table1[[#This Row],[Wealthier_Winner]]=1,"Wealthier Nation Wins")</f>
        <v>Wealthier Nation Wins</v>
      </c>
    </row>
    <row r="6379" spans="1:17" x14ac:dyDescent="0.2">
      <c r="A6379" s="1">
        <v>9181</v>
      </c>
      <c r="B6379" s="2">
        <v>45580</v>
      </c>
      <c r="C6379" s="7">
        <f>_xlfn.FLOOR.MATH(Table1[[#This Row],[year]],10)</f>
        <v>2020</v>
      </c>
      <c r="D6379" t="s">
        <v>13</v>
      </c>
      <c r="E6379" t="s">
        <v>31</v>
      </c>
      <c r="F6379">
        <v>4</v>
      </c>
      <c r="G6379">
        <v>0</v>
      </c>
      <c r="H6379" t="s">
        <v>224</v>
      </c>
      <c r="I6379" t="s">
        <v>679</v>
      </c>
      <c r="J6379" t="s">
        <v>13</v>
      </c>
      <c r="K6379" t="b">
        <v>0</v>
      </c>
      <c r="L6379">
        <v>2024</v>
      </c>
      <c r="M6379">
        <v>2185821648943</v>
      </c>
      <c r="N6379">
        <v>289221969062</v>
      </c>
      <c r="O6379" t="b">
        <v>1</v>
      </c>
      <c r="P6379">
        <v>1</v>
      </c>
      <c r="Q6379" t="str" cm="1">
        <f t="array" ref="Q6379">_xlfn.IFS(Table1[[#This Row],[Wealthier_Winner]]=-1,"Wealthier Nation Loses",Table1[[#This Row],[Wealthier_Winner]]=0,"Tie",Table1[[#This Row],[Wealthier_Winner]]=1,"Wealthier Nation Wins")</f>
        <v>Wealthier Nation Wins</v>
      </c>
    </row>
    <row r="6380" spans="1:17" x14ac:dyDescent="0.2">
      <c r="A6380" s="1">
        <v>9182</v>
      </c>
      <c r="B6380" s="2">
        <v>45580</v>
      </c>
      <c r="C6380" s="7">
        <f>_xlfn.FLOOR.MATH(Table1[[#This Row],[year]],10)</f>
        <v>2020</v>
      </c>
      <c r="D6380" t="s">
        <v>563</v>
      </c>
      <c r="E6380" t="s">
        <v>39</v>
      </c>
      <c r="F6380">
        <v>1</v>
      </c>
      <c r="G6380">
        <v>0</v>
      </c>
      <c r="H6380" t="s">
        <v>224</v>
      </c>
      <c r="I6380" t="s">
        <v>564</v>
      </c>
      <c r="J6380" t="s">
        <v>563</v>
      </c>
      <c r="K6380" t="b">
        <v>0</v>
      </c>
      <c r="L6380">
        <v>2024</v>
      </c>
      <c r="M6380">
        <v>114965293466</v>
      </c>
      <c r="N6380">
        <v>552324846834</v>
      </c>
      <c r="O6380" t="b">
        <v>1</v>
      </c>
      <c r="P6380">
        <v>-1</v>
      </c>
      <c r="Q6380" t="str" cm="1">
        <f t="array" ref="Q6380">_xlfn.IFS(Table1[[#This Row],[Wealthier_Winner]]=-1,"Wealthier Nation Loses",Table1[[#This Row],[Wealthier_Winner]]=0,"Tie",Table1[[#This Row],[Wealthier_Winner]]=1,"Wealthier Nation Wins")</f>
        <v>Wealthier Nation Loses</v>
      </c>
    </row>
    <row r="6381" spans="1:17" x14ac:dyDescent="0.2">
      <c r="A6381" s="1">
        <v>9183</v>
      </c>
      <c r="B6381" s="2">
        <v>45580</v>
      </c>
      <c r="C6381" s="7">
        <f>_xlfn.FLOOR.MATH(Table1[[#This Row],[year]],10)</f>
        <v>2020</v>
      </c>
      <c r="D6381" t="s">
        <v>210</v>
      </c>
      <c r="E6381" t="s">
        <v>68</v>
      </c>
      <c r="F6381">
        <v>4</v>
      </c>
      <c r="G6381">
        <v>1</v>
      </c>
      <c r="H6381" t="s">
        <v>224</v>
      </c>
      <c r="I6381" t="s">
        <v>412</v>
      </c>
      <c r="J6381" t="s">
        <v>39</v>
      </c>
      <c r="K6381" t="b">
        <v>1</v>
      </c>
      <c r="L6381">
        <v>2024</v>
      </c>
      <c r="M6381">
        <v>475252089215</v>
      </c>
      <c r="N6381">
        <v>219162637362</v>
      </c>
      <c r="O6381" t="b">
        <v>1</v>
      </c>
      <c r="P6381">
        <v>1</v>
      </c>
      <c r="Q6381" t="str" cm="1">
        <f t="array" ref="Q6381">_xlfn.IFS(Table1[[#This Row],[Wealthier_Winner]]=-1,"Wealthier Nation Loses",Table1[[#This Row],[Wealthier_Winner]]=0,"Tie",Table1[[#This Row],[Wealthier_Winner]]=1,"Wealthier Nation Wins")</f>
        <v>Wealthier Nation Wins</v>
      </c>
    </row>
    <row r="6382" spans="1:17" x14ac:dyDescent="0.2">
      <c r="A6382" s="1">
        <v>9185</v>
      </c>
      <c r="B6382" s="2">
        <v>45580</v>
      </c>
      <c r="C6382" s="7">
        <f>_xlfn.FLOOR.MATH(Table1[[#This Row],[year]],10)</f>
        <v>2020</v>
      </c>
      <c r="D6382" t="s">
        <v>403</v>
      </c>
      <c r="E6382" t="s">
        <v>429</v>
      </c>
      <c r="F6382">
        <v>4</v>
      </c>
      <c r="G6382">
        <v>0</v>
      </c>
      <c r="H6382" t="s">
        <v>224</v>
      </c>
      <c r="I6382" t="s">
        <v>404</v>
      </c>
      <c r="J6382" t="s">
        <v>403</v>
      </c>
      <c r="K6382" t="b">
        <v>0</v>
      </c>
      <c r="L6382">
        <v>2024</v>
      </c>
      <c r="M6382">
        <v>53352289577</v>
      </c>
      <c r="N6382">
        <v>107137198769</v>
      </c>
      <c r="O6382" t="b">
        <v>1</v>
      </c>
      <c r="P6382">
        <v>-1</v>
      </c>
      <c r="Q6382" t="str" cm="1">
        <f t="array" ref="Q6382">_xlfn.IFS(Table1[[#This Row],[Wealthier_Winner]]=-1,"Wealthier Nation Loses",Table1[[#This Row],[Wealthier_Winner]]=0,"Tie",Table1[[#This Row],[Wealthier_Winner]]=1,"Wealthier Nation Wins")</f>
        <v>Wealthier Nation Loses</v>
      </c>
    </row>
    <row r="6383" spans="1:17" x14ac:dyDescent="0.2">
      <c r="A6383" s="1">
        <v>9187</v>
      </c>
      <c r="B6383" s="2">
        <v>45580</v>
      </c>
      <c r="C6383" s="7">
        <f>_xlfn.FLOOR.MATH(Table1[[#This Row],[year]],10)</f>
        <v>2020</v>
      </c>
      <c r="D6383" t="s">
        <v>195</v>
      </c>
      <c r="E6383" t="s">
        <v>37</v>
      </c>
      <c r="F6383">
        <v>3</v>
      </c>
      <c r="G6383">
        <v>2</v>
      </c>
      <c r="H6383" t="s">
        <v>224</v>
      </c>
      <c r="I6383" t="s">
        <v>887</v>
      </c>
      <c r="J6383" t="s">
        <v>195</v>
      </c>
      <c r="K6383" t="b">
        <v>0</v>
      </c>
      <c r="L6383">
        <v>2024</v>
      </c>
      <c r="M6383">
        <v>1875388209406</v>
      </c>
      <c r="N6383">
        <v>279641257615</v>
      </c>
      <c r="O6383" t="b">
        <v>1</v>
      </c>
      <c r="P6383">
        <v>1</v>
      </c>
      <c r="Q6383" t="str" cm="1">
        <f t="array" ref="Q6383">_xlfn.IFS(Table1[[#This Row],[Wealthier_Winner]]=-1,"Wealthier Nation Loses",Table1[[#This Row],[Wealthier_Winner]]=0,"Tie",Table1[[#This Row],[Wealthier_Winner]]=1,"Wealthier Nation Wins")</f>
        <v>Wealthier Nation Wins</v>
      </c>
    </row>
    <row r="6384" spans="1:17" x14ac:dyDescent="0.2">
      <c r="A6384" s="1">
        <v>9188</v>
      </c>
      <c r="B6384" s="2">
        <v>45580</v>
      </c>
      <c r="C6384" s="7">
        <f>_xlfn.FLOOR.MATH(Table1[[#This Row],[year]],10)</f>
        <v>2020</v>
      </c>
      <c r="D6384" t="s">
        <v>51</v>
      </c>
      <c r="E6384" t="s">
        <v>28</v>
      </c>
      <c r="F6384">
        <v>1</v>
      </c>
      <c r="G6384">
        <v>1</v>
      </c>
      <c r="H6384" t="s">
        <v>224</v>
      </c>
      <c r="I6384" t="s">
        <v>143</v>
      </c>
      <c r="J6384" t="s">
        <v>51</v>
      </c>
      <c r="K6384" t="b">
        <v>0</v>
      </c>
      <c r="L6384">
        <v>2024</v>
      </c>
      <c r="M6384">
        <v>4027597523550</v>
      </c>
      <c r="N6384">
        <v>1757022451652</v>
      </c>
      <c r="O6384" t="b">
        <v>1</v>
      </c>
      <c r="P6384">
        <v>0</v>
      </c>
      <c r="Q6384" t="str" cm="1">
        <f t="array" ref="Q6384">_xlfn.IFS(Table1[[#This Row],[Wealthier_Winner]]=-1,"Wealthier Nation Loses",Table1[[#This Row],[Wealthier_Winner]]=0,"Tie",Table1[[#This Row],[Wealthier_Winner]]=1,"Wealthier Nation Wins")</f>
        <v>Tie</v>
      </c>
    </row>
    <row r="6385" spans="1:17" x14ac:dyDescent="0.2">
      <c r="A6385" s="1">
        <v>9190</v>
      </c>
      <c r="B6385" s="2">
        <v>45580</v>
      </c>
      <c r="C6385" s="7">
        <f>_xlfn.FLOOR.MATH(Table1[[#This Row],[year]],10)</f>
        <v>2020</v>
      </c>
      <c r="D6385" t="s">
        <v>45</v>
      </c>
      <c r="E6385" t="s">
        <v>361</v>
      </c>
      <c r="F6385">
        <v>0</v>
      </c>
      <c r="G6385">
        <v>0</v>
      </c>
      <c r="H6385" t="s">
        <v>224</v>
      </c>
      <c r="I6385" t="s">
        <v>354</v>
      </c>
      <c r="J6385" t="s">
        <v>45</v>
      </c>
      <c r="K6385" t="b">
        <v>0</v>
      </c>
      <c r="L6385">
        <v>2024</v>
      </c>
      <c r="M6385">
        <v>1239804533333</v>
      </c>
      <c r="N6385">
        <v>47109734308</v>
      </c>
      <c r="O6385" t="b">
        <v>1</v>
      </c>
      <c r="P6385">
        <v>0</v>
      </c>
      <c r="Q6385" t="str" cm="1">
        <f t="array" ref="Q6385">_xlfn.IFS(Table1[[#This Row],[Wealthier_Winner]]=-1,"Wealthier Nation Loses",Table1[[#This Row],[Wealthier_Winner]]=0,"Tie",Table1[[#This Row],[Wealthier_Winner]]=1,"Wealthier Nation Wins")</f>
        <v>Tie</v>
      </c>
    </row>
    <row r="6386" spans="1:17" x14ac:dyDescent="0.2">
      <c r="A6386" s="1">
        <v>9191</v>
      </c>
      <c r="B6386" s="2">
        <v>45610</v>
      </c>
      <c r="C6386" s="7">
        <f>_xlfn.FLOOR.MATH(Table1[[#This Row],[year]],10)</f>
        <v>2020</v>
      </c>
      <c r="D6386" t="s">
        <v>258</v>
      </c>
      <c r="E6386" t="s">
        <v>13</v>
      </c>
      <c r="F6386">
        <v>1</v>
      </c>
      <c r="G6386">
        <v>1</v>
      </c>
      <c r="H6386" t="s">
        <v>224</v>
      </c>
      <c r="I6386" t="s">
        <v>811</v>
      </c>
      <c r="J6386" t="s">
        <v>258</v>
      </c>
      <c r="K6386" t="b">
        <v>0</v>
      </c>
      <c r="L6386">
        <v>2024</v>
      </c>
      <c r="M6386">
        <v>119802963257</v>
      </c>
      <c r="N6386">
        <v>2185821648943</v>
      </c>
      <c r="O6386" t="b">
        <v>1</v>
      </c>
      <c r="P6386">
        <v>0</v>
      </c>
      <c r="Q6386" t="str" cm="1">
        <f t="array" ref="Q6386">_xlfn.IFS(Table1[[#This Row],[Wealthier_Winner]]=-1,"Wealthier Nation Loses",Table1[[#This Row],[Wealthier_Winner]]=0,"Tie",Table1[[#This Row],[Wealthier_Winner]]=1,"Wealthier Nation Wins")</f>
        <v>Tie</v>
      </c>
    </row>
    <row r="6387" spans="1:17" x14ac:dyDescent="0.2">
      <c r="A6387" s="1">
        <v>9192</v>
      </c>
      <c r="B6387" s="2">
        <v>45610</v>
      </c>
      <c r="C6387" s="7">
        <f>_xlfn.FLOOR.MATH(Table1[[#This Row],[year]],10)</f>
        <v>2020</v>
      </c>
      <c r="D6387" t="s">
        <v>57</v>
      </c>
      <c r="E6387" t="s">
        <v>47</v>
      </c>
      <c r="F6387">
        <v>4</v>
      </c>
      <c r="G6387">
        <v>0</v>
      </c>
      <c r="H6387" t="s">
        <v>224</v>
      </c>
      <c r="I6387" t="s">
        <v>237</v>
      </c>
      <c r="J6387" t="s">
        <v>57</v>
      </c>
      <c r="K6387" t="b">
        <v>0</v>
      </c>
      <c r="L6387">
        <v>2024</v>
      </c>
      <c r="M6387">
        <v>124676074700</v>
      </c>
      <c r="N6387">
        <v>54881327452</v>
      </c>
      <c r="O6387" t="b">
        <v>1</v>
      </c>
      <c r="P6387">
        <v>1</v>
      </c>
      <c r="Q6387" t="str" cm="1">
        <f t="array" ref="Q6387">_xlfn.IFS(Table1[[#This Row],[Wealthier_Winner]]=-1,"Wealthier Nation Loses",Table1[[#This Row],[Wealthier_Winner]]=0,"Tie",Table1[[#This Row],[Wealthier_Winner]]=1,"Wealthier Nation Wins")</f>
        <v>Wealthier Nation Wins</v>
      </c>
    </row>
    <row r="6388" spans="1:17" x14ac:dyDescent="0.2">
      <c r="A6388" s="1">
        <v>9193</v>
      </c>
      <c r="B6388" s="2">
        <v>45610</v>
      </c>
      <c r="C6388" s="7">
        <f>_xlfn.FLOOR.MATH(Table1[[#This Row],[year]],10)</f>
        <v>2020</v>
      </c>
      <c r="D6388" t="s">
        <v>35</v>
      </c>
      <c r="E6388" t="s">
        <v>19</v>
      </c>
      <c r="F6388">
        <v>2</v>
      </c>
      <c r="G6388">
        <v>1</v>
      </c>
      <c r="H6388" t="s">
        <v>224</v>
      </c>
      <c r="I6388" t="s">
        <v>250</v>
      </c>
      <c r="J6388" t="s">
        <v>35</v>
      </c>
      <c r="K6388" t="b">
        <v>0</v>
      </c>
      <c r="L6388">
        <v>2024</v>
      </c>
      <c r="M6388">
        <v>44458118397</v>
      </c>
      <c r="N6388">
        <v>638365455340</v>
      </c>
      <c r="O6388" t="b">
        <v>1</v>
      </c>
      <c r="P6388">
        <v>-1</v>
      </c>
      <c r="Q6388" t="str" cm="1">
        <f t="array" ref="Q6388">_xlfn.IFS(Table1[[#This Row],[Wealthier_Winner]]=-1,"Wealthier Nation Loses",Table1[[#This Row],[Wealthier_Winner]]=0,"Tie",Table1[[#This Row],[Wealthier_Winner]]=1,"Wealthier Nation Wins")</f>
        <v>Wealthier Nation Loses</v>
      </c>
    </row>
    <row r="6389" spans="1:17" x14ac:dyDescent="0.2">
      <c r="A6389" s="1">
        <v>9194</v>
      </c>
      <c r="B6389" s="2">
        <v>45610</v>
      </c>
      <c r="C6389" s="7">
        <f>_xlfn.FLOOR.MATH(Table1[[#This Row],[year]],10)</f>
        <v>2020</v>
      </c>
      <c r="D6389" t="s">
        <v>456</v>
      </c>
      <c r="E6389" t="s">
        <v>656</v>
      </c>
      <c r="F6389">
        <v>2</v>
      </c>
      <c r="G6389">
        <v>3</v>
      </c>
      <c r="H6389" t="s">
        <v>224</v>
      </c>
      <c r="I6389" t="s">
        <v>565</v>
      </c>
      <c r="J6389" t="s">
        <v>530</v>
      </c>
      <c r="K6389" t="b">
        <v>1</v>
      </c>
      <c r="L6389">
        <v>2024</v>
      </c>
      <c r="M6389">
        <v>1583964703</v>
      </c>
      <c r="N6389">
        <v>8548919387</v>
      </c>
      <c r="O6389" t="b">
        <v>1</v>
      </c>
      <c r="P6389">
        <v>1</v>
      </c>
      <c r="Q6389" t="str" cm="1">
        <f t="array" ref="Q6389">_xlfn.IFS(Table1[[#This Row],[Wealthier_Winner]]=-1,"Wealthier Nation Loses",Table1[[#This Row],[Wealthier_Winner]]=0,"Tie",Table1[[#This Row],[Wealthier_Winner]]=1,"Wealthier Nation Wins")</f>
        <v>Wealthier Nation Wins</v>
      </c>
    </row>
    <row r="6390" spans="1:17" x14ac:dyDescent="0.2">
      <c r="A6390" s="1">
        <v>9195</v>
      </c>
      <c r="B6390" s="2">
        <v>45610</v>
      </c>
      <c r="C6390" s="7">
        <f>_xlfn.FLOOR.MATH(Table1[[#This Row],[year]],10)</f>
        <v>2020</v>
      </c>
      <c r="D6390" t="s">
        <v>530</v>
      </c>
      <c r="E6390" t="s">
        <v>384</v>
      </c>
      <c r="F6390">
        <v>3</v>
      </c>
      <c r="G6390">
        <v>3</v>
      </c>
      <c r="H6390" t="s">
        <v>224</v>
      </c>
      <c r="I6390" t="s">
        <v>565</v>
      </c>
      <c r="J6390" t="s">
        <v>530</v>
      </c>
      <c r="K6390" t="b">
        <v>0</v>
      </c>
      <c r="L6390">
        <v>2024</v>
      </c>
      <c r="M6390">
        <v>31800428265</v>
      </c>
      <c r="N6390">
        <v>5968125909</v>
      </c>
      <c r="O6390" t="b">
        <v>1</v>
      </c>
      <c r="P6390">
        <v>0</v>
      </c>
      <c r="Q6390" t="str" cm="1">
        <f t="array" ref="Q6390">_xlfn.IFS(Table1[[#This Row],[Wealthier_Winner]]=-1,"Wealthier Nation Loses",Table1[[#This Row],[Wealthier_Winner]]=0,"Tie",Table1[[#This Row],[Wealthier_Winner]]=1,"Wealthier Nation Wins")</f>
        <v>Tie</v>
      </c>
    </row>
    <row r="6391" spans="1:17" x14ac:dyDescent="0.2">
      <c r="A6391" s="1">
        <v>9197</v>
      </c>
      <c r="B6391" s="2">
        <v>45610</v>
      </c>
      <c r="C6391" s="7">
        <f>_xlfn.FLOOR.MATH(Table1[[#This Row],[year]],10)</f>
        <v>2020</v>
      </c>
      <c r="D6391" t="s">
        <v>68</v>
      </c>
      <c r="E6391" t="s">
        <v>563</v>
      </c>
      <c r="F6391">
        <v>3</v>
      </c>
      <c r="G6391">
        <v>2</v>
      </c>
      <c r="H6391" t="s">
        <v>224</v>
      </c>
      <c r="I6391" t="s">
        <v>192</v>
      </c>
      <c r="J6391" t="s">
        <v>68</v>
      </c>
      <c r="K6391" t="b">
        <v>0</v>
      </c>
      <c r="L6391">
        <v>2024</v>
      </c>
      <c r="M6391">
        <v>219162637362</v>
      </c>
      <c r="N6391">
        <v>114965293466</v>
      </c>
      <c r="O6391" t="b">
        <v>0</v>
      </c>
      <c r="P6391">
        <v>1</v>
      </c>
      <c r="Q6391" t="str" cm="1">
        <f t="array" ref="Q6391">_xlfn.IFS(Table1[[#This Row],[Wealthier_Winner]]=-1,"Wealthier Nation Loses",Table1[[#This Row],[Wealthier_Winner]]=0,"Tie",Table1[[#This Row],[Wealthier_Winner]]=1,"Wealthier Nation Wins")</f>
        <v>Wealthier Nation Wins</v>
      </c>
    </row>
    <row r="6392" spans="1:17" x14ac:dyDescent="0.2">
      <c r="A6392" s="1">
        <v>9199</v>
      </c>
      <c r="B6392" s="2">
        <v>45610</v>
      </c>
      <c r="C6392" s="7">
        <f>_xlfn.FLOOR.MATH(Table1[[#This Row],[year]],10)</f>
        <v>2020</v>
      </c>
      <c r="D6392" t="s">
        <v>71</v>
      </c>
      <c r="E6392" t="s">
        <v>195</v>
      </c>
      <c r="F6392">
        <v>1</v>
      </c>
      <c r="G6392">
        <v>3</v>
      </c>
      <c r="H6392" t="s">
        <v>224</v>
      </c>
      <c r="I6392" t="s">
        <v>366</v>
      </c>
      <c r="J6392" t="s">
        <v>71</v>
      </c>
      <c r="K6392" t="b">
        <v>0</v>
      </c>
      <c r="L6392">
        <v>2024</v>
      </c>
      <c r="M6392">
        <v>160227273053</v>
      </c>
      <c r="N6392">
        <v>1875388209406</v>
      </c>
      <c r="O6392" t="b">
        <v>1</v>
      </c>
      <c r="P6392">
        <v>1</v>
      </c>
      <c r="Q6392" t="str" cm="1">
        <f t="array" ref="Q6392">_xlfn.IFS(Table1[[#This Row],[Wealthier_Winner]]=-1,"Wealthier Nation Loses",Table1[[#This Row],[Wealthier_Winner]]=0,"Tie",Table1[[#This Row],[Wealthier_Winner]]=1,"Wealthier Nation Wins")</f>
        <v>Wealthier Nation Wins</v>
      </c>
    </row>
    <row r="6393" spans="1:17" x14ac:dyDescent="0.2">
      <c r="A6393" s="1">
        <v>9200</v>
      </c>
      <c r="B6393" s="2">
        <v>45610</v>
      </c>
      <c r="C6393" s="7">
        <f>_xlfn.FLOOR.MATH(Table1[[#This Row],[year]],10)</f>
        <v>2020</v>
      </c>
      <c r="D6393" t="s">
        <v>37</v>
      </c>
      <c r="E6393" t="s">
        <v>403</v>
      </c>
      <c r="F6393">
        <v>0</v>
      </c>
      <c r="G6393">
        <v>0</v>
      </c>
      <c r="H6393" t="s">
        <v>224</v>
      </c>
      <c r="I6393" t="s">
        <v>875</v>
      </c>
      <c r="J6393" t="s">
        <v>37</v>
      </c>
      <c r="K6393" t="b">
        <v>0</v>
      </c>
      <c r="L6393">
        <v>2024</v>
      </c>
      <c r="M6393">
        <v>279641257615</v>
      </c>
      <c r="N6393">
        <v>53352289577</v>
      </c>
      <c r="O6393" t="b">
        <v>1</v>
      </c>
      <c r="P6393">
        <v>0</v>
      </c>
      <c r="Q6393" t="str" cm="1">
        <f t="array" ref="Q6393">_xlfn.IFS(Table1[[#This Row],[Wealthier_Winner]]=-1,"Wealthier Nation Loses",Table1[[#This Row],[Wealthier_Winner]]=0,"Tie",Table1[[#This Row],[Wealthier_Winner]]=1,"Wealthier Nation Wins")</f>
        <v>Tie</v>
      </c>
    </row>
    <row r="6394" spans="1:17" x14ac:dyDescent="0.2">
      <c r="A6394" s="1">
        <v>9203</v>
      </c>
      <c r="B6394" s="2">
        <v>45610</v>
      </c>
      <c r="C6394" s="7">
        <f>_xlfn.FLOOR.MATH(Table1[[#This Row],[year]],10)</f>
        <v>2020</v>
      </c>
      <c r="D6394" t="s">
        <v>28</v>
      </c>
      <c r="E6394" t="s">
        <v>45</v>
      </c>
      <c r="F6394">
        <v>0</v>
      </c>
      <c r="G6394">
        <v>0</v>
      </c>
      <c r="H6394" t="s">
        <v>224</v>
      </c>
      <c r="I6394" t="s">
        <v>329</v>
      </c>
      <c r="J6394" t="s">
        <v>28</v>
      </c>
      <c r="K6394" t="b">
        <v>0</v>
      </c>
      <c r="L6394">
        <v>2024</v>
      </c>
      <c r="M6394">
        <v>1757022451652</v>
      </c>
      <c r="N6394">
        <v>1239804533333</v>
      </c>
      <c r="O6394" t="b">
        <v>0</v>
      </c>
      <c r="P6394">
        <v>0</v>
      </c>
      <c r="Q6394" t="str" cm="1">
        <f t="array" ref="Q6394">_xlfn.IFS(Table1[[#This Row],[Wealthier_Winner]]=-1,"Wealthier Nation Loses",Table1[[#This Row],[Wealthier_Winner]]=0,"Tie",Table1[[#This Row],[Wealthier_Winner]]=1,"Wealthier Nation Wins")</f>
        <v>Tie</v>
      </c>
    </row>
    <row r="6395" spans="1:17" x14ac:dyDescent="0.2">
      <c r="A6395" s="1">
        <v>9204</v>
      </c>
      <c r="B6395" s="2">
        <v>45611</v>
      </c>
      <c r="C6395" s="7">
        <f>_xlfn.FLOOR.MATH(Table1[[#This Row],[year]],10)</f>
        <v>2020</v>
      </c>
      <c r="D6395" t="s">
        <v>31</v>
      </c>
      <c r="E6395" t="s">
        <v>14</v>
      </c>
      <c r="F6395">
        <v>0</v>
      </c>
      <c r="G6395">
        <v>0</v>
      </c>
      <c r="H6395" t="s">
        <v>224</v>
      </c>
      <c r="I6395" t="s">
        <v>242</v>
      </c>
      <c r="J6395" t="s">
        <v>31</v>
      </c>
      <c r="K6395" t="b">
        <v>0</v>
      </c>
      <c r="L6395">
        <v>2024</v>
      </c>
      <c r="M6395">
        <v>289221969062</v>
      </c>
      <c r="N6395">
        <v>330267137371</v>
      </c>
      <c r="O6395" t="b">
        <v>0</v>
      </c>
      <c r="P6395">
        <v>0</v>
      </c>
      <c r="Q6395" t="str" cm="1">
        <f t="array" ref="Q6395">_xlfn.IFS(Table1[[#This Row],[Wealthier_Winner]]=-1,"Wealthier Nation Loses",Table1[[#This Row],[Wealthier_Winner]]=0,"Tie",Table1[[#This Row],[Wealthier_Winner]]=1,"Wealthier Nation Wins")</f>
        <v>Tie</v>
      </c>
    </row>
    <row r="6396" spans="1:17" x14ac:dyDescent="0.2">
      <c r="A6396" s="1">
        <v>9205</v>
      </c>
      <c r="B6396" s="2">
        <v>45611</v>
      </c>
      <c r="C6396" s="7">
        <f>_xlfn.FLOOR.MATH(Table1[[#This Row],[year]],10)</f>
        <v>2020</v>
      </c>
      <c r="D6396" t="s">
        <v>26</v>
      </c>
      <c r="E6396" t="s">
        <v>15</v>
      </c>
      <c r="F6396">
        <v>3</v>
      </c>
      <c r="G6396">
        <v>2</v>
      </c>
      <c r="H6396" t="s">
        <v>224</v>
      </c>
      <c r="I6396" t="s">
        <v>247</v>
      </c>
      <c r="J6396" t="s">
        <v>26</v>
      </c>
      <c r="K6396" t="b">
        <v>0</v>
      </c>
      <c r="L6396">
        <v>2024</v>
      </c>
      <c r="M6396">
        <v>80961511073</v>
      </c>
      <c r="N6396">
        <v>418818154879</v>
      </c>
      <c r="O6396" t="b">
        <v>1</v>
      </c>
      <c r="P6396">
        <v>-1</v>
      </c>
      <c r="Q6396" t="str" cm="1">
        <f t="array" ref="Q6396">_xlfn.IFS(Table1[[#This Row],[Wealthier_Winner]]=-1,"Wealthier Nation Loses",Table1[[#This Row],[Wealthier_Winner]]=0,"Tie",Table1[[#This Row],[Wealthier_Winner]]=1,"Wealthier Nation Wins")</f>
        <v>Wealthier Nation Loses</v>
      </c>
    </row>
    <row r="6397" spans="1:17" x14ac:dyDescent="0.2">
      <c r="A6397" s="1">
        <v>9207</v>
      </c>
      <c r="B6397" s="2">
        <v>45611</v>
      </c>
      <c r="C6397" s="7">
        <f>_xlfn.FLOOR.MATH(Table1[[#This Row],[year]],10)</f>
        <v>2020</v>
      </c>
      <c r="D6397" t="s">
        <v>72</v>
      </c>
      <c r="E6397" t="s">
        <v>451</v>
      </c>
      <c r="F6397">
        <v>8</v>
      </c>
      <c r="G6397">
        <v>1</v>
      </c>
      <c r="H6397" t="s">
        <v>224</v>
      </c>
      <c r="I6397" t="s">
        <v>271</v>
      </c>
      <c r="J6397" t="s">
        <v>72</v>
      </c>
      <c r="K6397" t="b">
        <v>0</v>
      </c>
      <c r="L6397">
        <v>2024</v>
      </c>
      <c r="M6397">
        <v>260172385097</v>
      </c>
      <c r="N6397">
        <v>1117972034</v>
      </c>
      <c r="O6397" t="b">
        <v>1</v>
      </c>
      <c r="P6397">
        <v>1</v>
      </c>
      <c r="Q6397" t="str" cm="1">
        <f t="array" ref="Q6397">_xlfn.IFS(Table1[[#This Row],[Wealthier_Winner]]=-1,"Wealthier Nation Loses",Table1[[#This Row],[Wealthier_Winner]]=0,"Tie",Table1[[#This Row],[Wealthier_Winner]]=1,"Wealthier Nation Wins")</f>
        <v>Wealthier Nation Wins</v>
      </c>
    </row>
    <row r="6398" spans="1:17" x14ac:dyDescent="0.2">
      <c r="A6398" s="1">
        <v>9208</v>
      </c>
      <c r="B6398" s="2">
        <v>45611</v>
      </c>
      <c r="C6398" s="7">
        <f>_xlfn.FLOOR.MATH(Table1[[#This Row],[year]],10)</f>
        <v>2020</v>
      </c>
      <c r="D6398" t="s">
        <v>328</v>
      </c>
      <c r="E6398" t="s">
        <v>51</v>
      </c>
      <c r="F6398">
        <v>0</v>
      </c>
      <c r="G6398">
        <v>4</v>
      </c>
      <c r="H6398" t="s">
        <v>224</v>
      </c>
      <c r="I6398" t="s">
        <v>386</v>
      </c>
      <c r="J6398" t="s">
        <v>328</v>
      </c>
      <c r="K6398" t="b">
        <v>0</v>
      </c>
      <c r="L6398">
        <v>2024</v>
      </c>
      <c r="M6398">
        <v>1396300098190</v>
      </c>
      <c r="N6398">
        <v>4027597523550</v>
      </c>
      <c r="O6398" t="b">
        <v>1</v>
      </c>
      <c r="P6398">
        <v>1</v>
      </c>
      <c r="Q6398" t="str" cm="1">
        <f t="array" ref="Q6398">_xlfn.IFS(Table1[[#This Row],[Wealthier_Winner]]=-1,"Wealthier Nation Loses",Table1[[#This Row],[Wealthier_Winner]]=0,"Tie",Table1[[#This Row],[Wealthier_Winner]]=1,"Wealthier Nation Wins")</f>
        <v>Wealthier Nation Wins</v>
      </c>
    </row>
    <row r="6399" spans="1:17" x14ac:dyDescent="0.2">
      <c r="A6399" s="1">
        <v>9209</v>
      </c>
      <c r="B6399" s="2">
        <v>45613</v>
      </c>
      <c r="C6399" s="7">
        <f>_xlfn.FLOOR.MATH(Table1[[#This Row],[year]],10)</f>
        <v>2020</v>
      </c>
      <c r="D6399" t="s">
        <v>384</v>
      </c>
      <c r="E6399" t="s">
        <v>656</v>
      </c>
      <c r="F6399">
        <v>1</v>
      </c>
      <c r="G6399">
        <v>1</v>
      </c>
      <c r="H6399" t="s">
        <v>224</v>
      </c>
      <c r="I6399" t="s">
        <v>565</v>
      </c>
      <c r="J6399" t="s">
        <v>530</v>
      </c>
      <c r="K6399" t="b">
        <v>1</v>
      </c>
      <c r="L6399">
        <v>2024</v>
      </c>
      <c r="M6399">
        <v>5968125909</v>
      </c>
      <c r="N6399">
        <v>8548919387</v>
      </c>
      <c r="O6399" t="b">
        <v>0</v>
      </c>
      <c r="P6399">
        <v>0</v>
      </c>
      <c r="Q6399" t="str" cm="1">
        <f t="array" ref="Q6399">_xlfn.IFS(Table1[[#This Row],[Wealthier_Winner]]=-1,"Wealthier Nation Loses",Table1[[#This Row],[Wealthier_Winner]]=0,"Tie",Table1[[#This Row],[Wealthier_Winner]]=1,"Wealthier Nation Wins")</f>
        <v>Tie</v>
      </c>
    </row>
    <row r="6400" spans="1:17" x14ac:dyDescent="0.2">
      <c r="A6400" s="1">
        <v>9210</v>
      </c>
      <c r="B6400" s="2">
        <v>45613</v>
      </c>
      <c r="C6400" s="7">
        <f>_xlfn.FLOOR.MATH(Table1[[#This Row],[year]],10)</f>
        <v>2020</v>
      </c>
      <c r="D6400" t="s">
        <v>530</v>
      </c>
      <c r="E6400" t="s">
        <v>456</v>
      </c>
      <c r="F6400">
        <v>1</v>
      </c>
      <c r="G6400">
        <v>2</v>
      </c>
      <c r="H6400" t="s">
        <v>224</v>
      </c>
      <c r="I6400" t="s">
        <v>565</v>
      </c>
      <c r="J6400" t="s">
        <v>530</v>
      </c>
      <c r="K6400" t="b">
        <v>0</v>
      </c>
      <c r="L6400">
        <v>2024</v>
      </c>
      <c r="M6400">
        <v>31800428265</v>
      </c>
      <c r="N6400">
        <v>1583964703</v>
      </c>
      <c r="O6400" t="b">
        <v>1</v>
      </c>
      <c r="P6400">
        <v>-1</v>
      </c>
      <c r="Q6400" t="str" cm="1">
        <f t="array" ref="Q6400">_xlfn.IFS(Table1[[#This Row],[Wealthier_Winner]]=-1,"Wealthier Nation Loses",Table1[[#This Row],[Wealthier_Winner]]=0,"Tie",Table1[[#This Row],[Wealthier_Winner]]=1,"Wealthier Nation Wins")</f>
        <v>Wealthier Nation Loses</v>
      </c>
    </row>
    <row r="6401" spans="1:17" x14ac:dyDescent="0.2">
      <c r="A6401" s="1">
        <v>9212</v>
      </c>
      <c r="B6401" s="2">
        <v>45614</v>
      </c>
      <c r="C6401" s="7">
        <f>_xlfn.FLOOR.MATH(Table1[[#This Row],[year]],10)</f>
        <v>2020</v>
      </c>
      <c r="D6401" t="s">
        <v>72</v>
      </c>
      <c r="E6401" t="s">
        <v>542</v>
      </c>
      <c r="F6401">
        <v>8</v>
      </c>
      <c r="G6401">
        <v>0</v>
      </c>
      <c r="H6401" t="s">
        <v>224</v>
      </c>
      <c r="I6401" t="s">
        <v>327</v>
      </c>
      <c r="J6401" t="s">
        <v>72</v>
      </c>
      <c r="K6401" t="b">
        <v>0</v>
      </c>
      <c r="L6401">
        <v>2024</v>
      </c>
      <c r="M6401">
        <v>260172385097</v>
      </c>
      <c r="N6401">
        <v>1175749785</v>
      </c>
      <c r="O6401" t="b">
        <v>1</v>
      </c>
      <c r="P6401">
        <v>1</v>
      </c>
      <c r="Q6401" t="str" cm="1">
        <f t="array" ref="Q6401">_xlfn.IFS(Table1[[#This Row],[Wealthier_Winner]]=-1,"Wealthier Nation Loses",Table1[[#This Row],[Wealthier_Winner]]=0,"Tie",Table1[[#This Row],[Wealthier_Winner]]=1,"Wealthier Nation Wins")</f>
        <v>Wealthier Nation Wins</v>
      </c>
    </row>
    <row r="6402" spans="1:17" x14ac:dyDescent="0.2">
      <c r="A6402" s="1">
        <v>9213</v>
      </c>
      <c r="B6402" s="2">
        <v>45615</v>
      </c>
      <c r="C6402" s="7">
        <f>_xlfn.FLOOR.MATH(Table1[[#This Row],[year]],10)</f>
        <v>2020</v>
      </c>
      <c r="D6402" t="s">
        <v>47</v>
      </c>
      <c r="E6402" t="s">
        <v>35</v>
      </c>
      <c r="F6402">
        <v>2</v>
      </c>
      <c r="G6402">
        <v>2</v>
      </c>
      <c r="H6402" t="s">
        <v>224</v>
      </c>
      <c r="I6402" t="s">
        <v>885</v>
      </c>
      <c r="J6402" t="s">
        <v>47</v>
      </c>
      <c r="K6402" t="b">
        <v>0</v>
      </c>
      <c r="L6402">
        <v>2024</v>
      </c>
      <c r="M6402">
        <v>54881327452</v>
      </c>
      <c r="N6402">
        <v>44458118397</v>
      </c>
      <c r="O6402" t="b">
        <v>0</v>
      </c>
      <c r="P6402">
        <v>0</v>
      </c>
      <c r="Q6402" t="str" cm="1">
        <f t="array" ref="Q6402">_xlfn.IFS(Table1[[#This Row],[Wealthier_Winner]]=-1,"Wealthier Nation Loses",Table1[[#This Row],[Wealthier_Winner]]=0,"Tie",Table1[[#This Row],[Wealthier_Winner]]=1,"Wealthier Nation Wins")</f>
        <v>Tie</v>
      </c>
    </row>
    <row r="6403" spans="1:17" x14ac:dyDescent="0.2">
      <c r="A6403" s="1">
        <v>9214</v>
      </c>
      <c r="B6403" s="2">
        <v>45615</v>
      </c>
      <c r="C6403" s="7">
        <f>_xlfn.FLOOR.MATH(Table1[[#This Row],[year]],10)</f>
        <v>2020</v>
      </c>
      <c r="D6403" t="s">
        <v>15</v>
      </c>
      <c r="E6403" t="s">
        <v>57</v>
      </c>
      <c r="F6403">
        <v>0</v>
      </c>
      <c r="G6403">
        <v>1</v>
      </c>
      <c r="H6403" t="s">
        <v>224</v>
      </c>
      <c r="I6403" t="s">
        <v>261</v>
      </c>
      <c r="J6403" t="s">
        <v>15</v>
      </c>
      <c r="K6403" t="b">
        <v>0</v>
      </c>
      <c r="L6403">
        <v>2024</v>
      </c>
      <c r="M6403">
        <v>418818154879</v>
      </c>
      <c r="N6403">
        <v>124676074700</v>
      </c>
      <c r="O6403" t="b">
        <v>1</v>
      </c>
      <c r="P6403">
        <v>-1</v>
      </c>
      <c r="Q6403" t="str" cm="1">
        <f t="array" ref="Q6403">_xlfn.IFS(Table1[[#This Row],[Wealthier_Winner]]=-1,"Wealthier Nation Loses",Table1[[#This Row],[Wealthier_Winner]]=0,"Tie",Table1[[#This Row],[Wealthier_Winner]]=1,"Wealthier Nation Wins")</f>
        <v>Wealthier Nation Loses</v>
      </c>
    </row>
    <row r="6404" spans="1:17" x14ac:dyDescent="0.2">
      <c r="A6404" s="1">
        <v>9215</v>
      </c>
      <c r="B6404" s="2">
        <v>45615</v>
      </c>
      <c r="C6404" s="7">
        <f>_xlfn.FLOOR.MATH(Table1[[#This Row],[year]],10)</f>
        <v>2020</v>
      </c>
      <c r="D6404" t="s">
        <v>19</v>
      </c>
      <c r="E6404" t="s">
        <v>31</v>
      </c>
      <c r="F6404">
        <v>1</v>
      </c>
      <c r="G6404">
        <v>0</v>
      </c>
      <c r="H6404" t="s">
        <v>224</v>
      </c>
      <c r="I6404" t="s">
        <v>93</v>
      </c>
      <c r="J6404" t="s">
        <v>19</v>
      </c>
      <c r="K6404" t="b">
        <v>0</v>
      </c>
      <c r="L6404">
        <v>2024</v>
      </c>
      <c r="M6404">
        <v>638365455340</v>
      </c>
      <c r="N6404">
        <v>289221969062</v>
      </c>
      <c r="O6404" t="b">
        <v>1</v>
      </c>
      <c r="P6404">
        <v>1</v>
      </c>
      <c r="Q6404" t="str" cm="1">
        <f t="array" ref="Q6404">_xlfn.IFS(Table1[[#This Row],[Wealthier_Winner]]=-1,"Wealthier Nation Loses",Table1[[#This Row],[Wealthier_Winner]]=0,"Tie",Table1[[#This Row],[Wealthier_Winner]]=1,"Wealthier Nation Wins")</f>
        <v>Wealthier Nation Wins</v>
      </c>
    </row>
    <row r="6405" spans="1:17" x14ac:dyDescent="0.2">
      <c r="A6405" s="1">
        <v>9216</v>
      </c>
      <c r="B6405" s="2">
        <v>45615</v>
      </c>
      <c r="C6405" s="7">
        <f>_xlfn.FLOOR.MATH(Table1[[#This Row],[year]],10)</f>
        <v>2020</v>
      </c>
      <c r="D6405" t="s">
        <v>14</v>
      </c>
      <c r="E6405" t="s">
        <v>258</v>
      </c>
      <c r="F6405">
        <v>4</v>
      </c>
      <c r="G6405">
        <v>2</v>
      </c>
      <c r="H6405" t="s">
        <v>224</v>
      </c>
      <c r="I6405" t="s">
        <v>75</v>
      </c>
      <c r="J6405" t="s">
        <v>14</v>
      </c>
      <c r="K6405" t="b">
        <v>0</v>
      </c>
      <c r="L6405">
        <v>2024</v>
      </c>
      <c r="M6405">
        <v>330267137371</v>
      </c>
      <c r="N6405">
        <v>119802963257</v>
      </c>
      <c r="O6405" t="b">
        <v>1</v>
      </c>
      <c r="P6405">
        <v>1</v>
      </c>
      <c r="Q6405" t="str" cm="1">
        <f t="array" ref="Q6405">_xlfn.IFS(Table1[[#This Row],[Wealthier_Winner]]=-1,"Wealthier Nation Loses",Table1[[#This Row],[Wealthier_Winner]]=0,"Tie",Table1[[#This Row],[Wealthier_Winner]]=1,"Wealthier Nation Wins")</f>
        <v>Wealthier Nation Wins</v>
      </c>
    </row>
    <row r="6406" spans="1:17" x14ac:dyDescent="0.2">
      <c r="A6406" s="1">
        <v>9217</v>
      </c>
      <c r="B6406" s="2">
        <v>45615</v>
      </c>
      <c r="C6406" s="7">
        <f>_xlfn.FLOOR.MATH(Table1[[#This Row],[year]],10)</f>
        <v>2020</v>
      </c>
      <c r="D6406" t="s">
        <v>13</v>
      </c>
      <c r="E6406" t="s">
        <v>26</v>
      </c>
      <c r="F6406">
        <v>1</v>
      </c>
      <c r="G6406">
        <v>1</v>
      </c>
      <c r="H6406" t="s">
        <v>224</v>
      </c>
      <c r="I6406" t="s">
        <v>170</v>
      </c>
      <c r="J6406" t="s">
        <v>13</v>
      </c>
      <c r="K6406" t="b">
        <v>0</v>
      </c>
      <c r="L6406">
        <v>2024</v>
      </c>
      <c r="M6406">
        <v>2185821648943</v>
      </c>
      <c r="N6406">
        <v>80961511073</v>
      </c>
      <c r="O6406" t="b">
        <v>1</v>
      </c>
      <c r="P6406">
        <v>0</v>
      </c>
      <c r="Q6406" t="str" cm="1">
        <f t="array" ref="Q6406">_xlfn.IFS(Table1[[#This Row],[Wealthier_Winner]]=-1,"Wealthier Nation Loses",Table1[[#This Row],[Wealthier_Winner]]=0,"Tie",Table1[[#This Row],[Wealthier_Winner]]=1,"Wealthier Nation Wins")</f>
        <v>Tie</v>
      </c>
    </row>
    <row r="6407" spans="1:17" x14ac:dyDescent="0.2">
      <c r="A6407" s="1">
        <v>9220</v>
      </c>
      <c r="B6407" s="2">
        <v>45615</v>
      </c>
      <c r="C6407" s="7">
        <f>_xlfn.FLOOR.MATH(Table1[[#This Row],[year]],10)</f>
        <v>2020</v>
      </c>
      <c r="D6407" t="s">
        <v>39</v>
      </c>
      <c r="E6407" t="s">
        <v>68</v>
      </c>
      <c r="F6407">
        <v>5</v>
      </c>
      <c r="G6407">
        <v>0</v>
      </c>
      <c r="H6407" t="s">
        <v>224</v>
      </c>
      <c r="I6407" t="s">
        <v>576</v>
      </c>
      <c r="J6407" t="s">
        <v>39</v>
      </c>
      <c r="K6407" t="b">
        <v>0</v>
      </c>
      <c r="L6407">
        <v>2024</v>
      </c>
      <c r="M6407">
        <v>552324846834</v>
      </c>
      <c r="N6407">
        <v>219162637362</v>
      </c>
      <c r="O6407" t="b">
        <v>1</v>
      </c>
      <c r="P6407">
        <v>1</v>
      </c>
      <c r="Q6407" t="str" cm="1">
        <f t="array" ref="Q6407">_xlfn.IFS(Table1[[#This Row],[Wealthier_Winner]]=-1,"Wealthier Nation Loses",Table1[[#This Row],[Wealthier_Winner]]=0,"Tie",Table1[[#This Row],[Wealthier_Winner]]=1,"Wealthier Nation Wins")</f>
        <v>Wealthier Nation Wins</v>
      </c>
    </row>
    <row r="6408" spans="1:17" x14ac:dyDescent="0.2">
      <c r="A6408" s="1">
        <v>9222</v>
      </c>
      <c r="B6408" s="2">
        <v>45615</v>
      </c>
      <c r="C6408" s="7">
        <f>_xlfn.FLOOR.MATH(Table1[[#This Row],[year]],10)</f>
        <v>2020</v>
      </c>
      <c r="D6408" t="s">
        <v>429</v>
      </c>
      <c r="E6408" t="s">
        <v>37</v>
      </c>
      <c r="F6408">
        <v>0</v>
      </c>
      <c r="G6408">
        <v>1</v>
      </c>
      <c r="H6408" t="s">
        <v>224</v>
      </c>
      <c r="I6408" t="s">
        <v>430</v>
      </c>
      <c r="J6408" t="s">
        <v>429</v>
      </c>
      <c r="K6408" t="b">
        <v>0</v>
      </c>
      <c r="L6408">
        <v>2024</v>
      </c>
      <c r="M6408">
        <v>107137198769</v>
      </c>
      <c r="N6408">
        <v>279641257615</v>
      </c>
      <c r="O6408" t="b">
        <v>1</v>
      </c>
      <c r="P6408">
        <v>1</v>
      </c>
      <c r="Q6408" t="str" cm="1">
        <f t="array" ref="Q6408">_xlfn.IFS(Table1[[#This Row],[Wealthier_Winner]]=-1,"Wealthier Nation Loses",Table1[[#This Row],[Wealthier_Winner]]=0,"Tie",Table1[[#This Row],[Wealthier_Winner]]=1,"Wealthier Nation Wins")</f>
        <v>Wealthier Nation Wins</v>
      </c>
    </row>
    <row r="6409" spans="1:17" x14ac:dyDescent="0.2">
      <c r="A6409" s="1">
        <v>9223</v>
      </c>
      <c r="B6409" s="2">
        <v>45615</v>
      </c>
      <c r="C6409" s="7">
        <f>_xlfn.FLOOR.MATH(Table1[[#This Row],[year]],10)</f>
        <v>2020</v>
      </c>
      <c r="D6409" t="s">
        <v>71</v>
      </c>
      <c r="E6409" t="s">
        <v>403</v>
      </c>
      <c r="F6409">
        <v>1</v>
      </c>
      <c r="G6409">
        <v>1</v>
      </c>
      <c r="H6409" t="s">
        <v>224</v>
      </c>
      <c r="I6409" t="s">
        <v>366</v>
      </c>
      <c r="J6409" t="s">
        <v>71</v>
      </c>
      <c r="K6409" t="b">
        <v>0</v>
      </c>
      <c r="L6409">
        <v>2024</v>
      </c>
      <c r="M6409">
        <v>160227273053</v>
      </c>
      <c r="N6409">
        <v>53352289577</v>
      </c>
      <c r="O6409" t="b">
        <v>1</v>
      </c>
      <c r="P6409">
        <v>0</v>
      </c>
      <c r="Q6409" t="str" cm="1">
        <f t="array" ref="Q6409">_xlfn.IFS(Table1[[#This Row],[Wealthier_Winner]]=-1,"Wealthier Nation Loses",Table1[[#This Row],[Wealthier_Winner]]=0,"Tie",Table1[[#This Row],[Wealthier_Winner]]=1,"Wealthier Nation Wins")</f>
        <v>Tie</v>
      </c>
    </row>
    <row r="6410" spans="1:17" x14ac:dyDescent="0.2">
      <c r="A6410" s="1">
        <v>9224</v>
      </c>
      <c r="B6410" s="2">
        <v>45615</v>
      </c>
      <c r="C6410" s="7">
        <f>_xlfn.FLOOR.MATH(Table1[[#This Row],[year]],10)</f>
        <v>2020</v>
      </c>
      <c r="D6410" t="s">
        <v>361</v>
      </c>
      <c r="E6410" t="s">
        <v>28</v>
      </c>
      <c r="F6410">
        <v>2</v>
      </c>
      <c r="G6410">
        <v>2</v>
      </c>
      <c r="H6410" t="s">
        <v>224</v>
      </c>
      <c r="I6410" t="s">
        <v>419</v>
      </c>
      <c r="J6410" t="s">
        <v>361</v>
      </c>
      <c r="K6410" t="b">
        <v>0</v>
      </c>
      <c r="L6410">
        <v>2024</v>
      </c>
      <c r="M6410">
        <v>47109734308</v>
      </c>
      <c r="N6410">
        <v>1757022451652</v>
      </c>
      <c r="O6410" t="b">
        <v>1</v>
      </c>
      <c r="P6410">
        <v>0</v>
      </c>
      <c r="Q6410" t="str" cm="1">
        <f t="array" ref="Q6410">_xlfn.IFS(Table1[[#This Row],[Wealthier_Winner]]=-1,"Wealthier Nation Loses",Table1[[#This Row],[Wealthier_Winner]]=0,"Tie",Table1[[#This Row],[Wealthier_Winner]]=1,"Wealthier Nation Wins")</f>
        <v>Tie</v>
      </c>
    </row>
    <row r="6411" spans="1:17" x14ac:dyDescent="0.2">
      <c r="A6411" s="1">
        <v>9225</v>
      </c>
      <c r="B6411" s="2">
        <v>45615</v>
      </c>
      <c r="C6411" s="7">
        <f>_xlfn.FLOOR.MATH(Table1[[#This Row],[year]],10)</f>
        <v>2020</v>
      </c>
      <c r="D6411" t="s">
        <v>328</v>
      </c>
      <c r="E6411" t="s">
        <v>45</v>
      </c>
      <c r="F6411">
        <v>2</v>
      </c>
      <c r="G6411">
        <v>0</v>
      </c>
      <c r="H6411" t="s">
        <v>224</v>
      </c>
      <c r="I6411" t="s">
        <v>386</v>
      </c>
      <c r="J6411" t="s">
        <v>328</v>
      </c>
      <c r="K6411" t="b">
        <v>0</v>
      </c>
      <c r="L6411">
        <v>2024</v>
      </c>
      <c r="M6411">
        <v>1396300098190</v>
      </c>
      <c r="N6411">
        <v>1239804533333</v>
      </c>
      <c r="O6411" t="b">
        <v>0</v>
      </c>
      <c r="P6411">
        <v>1</v>
      </c>
      <c r="Q6411" t="str" cm="1">
        <f t="array" ref="Q6411">_xlfn.IFS(Table1[[#This Row],[Wealthier_Winner]]=-1,"Wealthier Nation Loses",Table1[[#This Row],[Wealthier_Winner]]=0,"Tie",Table1[[#This Row],[Wealthier_Winner]]=1,"Wealthier Nation Wins")</f>
        <v>Wealthier Nation Wins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133F-699C-D840-9FF9-91BE484C6B64}">
  <dimension ref="A1:C7"/>
  <sheetViews>
    <sheetView workbookViewId="0">
      <selection activeCell="C4" sqref="C4"/>
    </sheetView>
  </sheetViews>
  <sheetFormatPr baseColWidth="10" defaultRowHeight="15" x14ac:dyDescent="0.2"/>
  <cols>
    <col min="1" max="1" width="19" bestFit="1" customWidth="1"/>
    <col min="2" max="2" width="9.6640625" bestFit="1" customWidth="1"/>
    <col min="3" max="3" width="13.6640625" bestFit="1" customWidth="1"/>
  </cols>
  <sheetData>
    <row r="1" spans="1:3" x14ac:dyDescent="0.2">
      <c r="A1" s="3" t="s">
        <v>215</v>
      </c>
      <c r="B1" t="s">
        <v>888</v>
      </c>
    </row>
    <row r="3" spans="1:3" x14ac:dyDescent="0.2">
      <c r="A3" s="3" t="s">
        <v>198</v>
      </c>
      <c r="B3" t="s">
        <v>891</v>
      </c>
      <c r="C3" t="s">
        <v>896</v>
      </c>
    </row>
    <row r="4" spans="1:3" x14ac:dyDescent="0.2">
      <c r="A4" s="5" t="s">
        <v>892</v>
      </c>
      <c r="B4" s="8">
        <v>2873</v>
      </c>
      <c r="C4" s="10">
        <v>0.57529034841810167</v>
      </c>
    </row>
    <row r="5" spans="1:3" x14ac:dyDescent="0.2">
      <c r="A5" s="5" t="s">
        <v>893</v>
      </c>
      <c r="B5" s="8">
        <v>1065</v>
      </c>
      <c r="C5" s="10">
        <v>0.2132559070885062</v>
      </c>
    </row>
    <row r="6" spans="1:3" x14ac:dyDescent="0.2">
      <c r="A6" s="5" t="s">
        <v>890</v>
      </c>
      <c r="B6" s="8">
        <v>1056</v>
      </c>
      <c r="C6" s="10">
        <v>0.21145374449339208</v>
      </c>
    </row>
    <row r="7" spans="1:3" x14ac:dyDescent="0.2">
      <c r="A7" s="5" t="s">
        <v>199</v>
      </c>
      <c r="B7" s="8">
        <v>4994</v>
      </c>
      <c r="C7" s="10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C0FC-922C-0541-962F-0058FD4859F0}">
  <dimension ref="A1:J57"/>
  <sheetViews>
    <sheetView workbookViewId="0">
      <selection activeCell="D2" sqref="D2"/>
    </sheetView>
  </sheetViews>
  <sheetFormatPr baseColWidth="10" defaultColWidth="8.83203125" defaultRowHeight="15" x14ac:dyDescent="0.2"/>
  <cols>
    <col min="5" max="5" width="19.5" customWidth="1"/>
    <col min="6" max="6" width="11.1640625" customWidth="1"/>
    <col min="7" max="7" width="20.5" customWidth="1"/>
  </cols>
  <sheetData>
    <row r="1" spans="1:10" x14ac:dyDescent="0.2">
      <c r="A1" t="s">
        <v>201</v>
      </c>
      <c r="B1" t="s">
        <v>208</v>
      </c>
      <c r="C1" t="s">
        <v>219</v>
      </c>
      <c r="D1" t="s">
        <v>216</v>
      </c>
      <c r="E1" t="s">
        <v>217</v>
      </c>
      <c r="F1" t="s">
        <v>218</v>
      </c>
      <c r="G1" t="s">
        <v>202</v>
      </c>
      <c r="H1" t="s">
        <v>203</v>
      </c>
      <c r="I1" t="s">
        <v>204</v>
      </c>
      <c r="J1" t="s">
        <v>205</v>
      </c>
    </row>
    <row r="2" spans="1:10" x14ac:dyDescent="0.2">
      <c r="A2">
        <v>1960</v>
      </c>
      <c r="B2">
        <f>_xlfn.FLOOR.MATH(Table25[[#This Row],[Year]],10)</f>
        <v>1960</v>
      </c>
      <c r="C2">
        <f>COUNTIFS(Table1[year],Table25[[#This Row],[Year]],Table1[Significantly_Wealthier],TRUE)</f>
        <v>13</v>
      </c>
      <c r="D2" s="4">
        <f>COUNTIFS(Table1[year],Table25[[#This Row],[Year]],Table1[Wealthier_Winner],1,Table1[Significantly_Wealthier],TRUE)/Table25[[#This Row],[Significantly_Wealthier_Count]]</f>
        <v>0.38461538461538464</v>
      </c>
      <c r="E2" s="4">
        <f>COUNTIFS(Table1[year],Table25[[#This Row],[Year]],Table1[Wealthier_Winner],0,Table1[Significantly_Wealthier],TRUE)/Table25[[#This Row],[Significantly_Wealthier_Count]]</f>
        <v>0.30769230769230771</v>
      </c>
      <c r="F2" s="4">
        <f>COUNTIFS(Table1[year],Table25[[#This Row],[Year]],Table1[Wealthier_Winner],-1,Table1[Significantly_Wealthier],TRUE)/Table25[[#This Row],[Significantly_Wealthier_Count]]</f>
        <v>0.30769230769230771</v>
      </c>
      <c r="G2">
        <f>COUNTIFS(Table1[year],Table25[[#This Row],[Year]])</f>
        <v>17</v>
      </c>
      <c r="H2" s="4">
        <f>COUNTIFS(Table1[year],Table25[[#This Row],[Year]],Table1[Wealthier_Winner],1)/Table25[[#This Row],[Count]]</f>
        <v>0.41176470588235292</v>
      </c>
      <c r="I2" s="4">
        <f>COUNTIFS(Table1[year],Table25[[#This Row],[Year]],Table1[Wealthier_Winner],0)/Table25[[#This Row],[Count]]</f>
        <v>0.23529411764705882</v>
      </c>
      <c r="J2" s="4">
        <f>COUNTIFS(Table1[year],Table25[[#This Row],[Year]],Table1[Wealthier_Winner],-1)/Table25[[#This Row],[Count]]</f>
        <v>0.35294117647058826</v>
      </c>
    </row>
    <row r="3" spans="1:10" x14ac:dyDescent="0.2">
      <c r="A3">
        <v>1961</v>
      </c>
      <c r="B3">
        <f>_xlfn.FLOOR.MATH(Table25[[#This Row],[Year]],10)</f>
        <v>1960</v>
      </c>
      <c r="C3">
        <f>COUNTIFS(Table1[year],Table25[[#This Row],[Year]],Table1[Significantly_Wealthier],TRUE)</f>
        <v>21</v>
      </c>
      <c r="D3" s="4">
        <f>COUNTIFS(Table1[year],Table25[[#This Row],[Year]],Table1[Wealthier_Winner],1,Table1[Significantly_Wealthier],TRUE)/Table25[[#This Row],[Significantly_Wealthier_Count]]</f>
        <v>0.66666666666666663</v>
      </c>
      <c r="E3" s="4">
        <f>COUNTIFS(Table1[year],Table25[[#This Row],[Year]],Table1[Wealthier_Winner],0,Table1[Significantly_Wealthier],TRUE)/Table25[[#This Row],[Significantly_Wealthier_Count]]</f>
        <v>0.19047619047619047</v>
      </c>
      <c r="F3" s="4">
        <f>COUNTIFS(Table1[year],Table25[[#This Row],[Year]],Table1[Wealthier_Winner],-1,Table1[Significantly_Wealthier],TRUE)/Table25[[#This Row],[Significantly_Wealthier_Count]]</f>
        <v>0.14285714285714285</v>
      </c>
      <c r="G3">
        <f>COUNTIFS(Table1[year],Table25[[#This Row],[Year]])</f>
        <v>31</v>
      </c>
      <c r="H3" s="4">
        <f>COUNTIFS(Table1[year],Table25[[#This Row],[Year]],Table1[Wealthier_Winner],1)/Table25[[#This Row],[Count]]</f>
        <v>0.58064516129032262</v>
      </c>
      <c r="I3" s="4">
        <f>COUNTIFS(Table1[year],Table25[[#This Row],[Year]],Table1[Wealthier_Winner],0)/Table25[[#This Row],[Count]]</f>
        <v>0.19354838709677419</v>
      </c>
      <c r="J3" s="4">
        <f>COUNTIFS(Table1[year],Table25[[#This Row],[Year]],Table1[Wealthier_Winner],-1)/Table25[[#This Row],[Count]]</f>
        <v>0.22580645161290322</v>
      </c>
    </row>
    <row r="4" spans="1:10" x14ac:dyDescent="0.2">
      <c r="A4">
        <v>1962</v>
      </c>
      <c r="B4">
        <f>_xlfn.FLOOR.MATH(Table25[[#This Row],[Year]],10)</f>
        <v>1960</v>
      </c>
      <c r="C4">
        <f>COUNTIFS(Table1[year],Table25[[#This Row],[Year]],Table1[Significantly_Wealthier],TRUE)</f>
        <v>10</v>
      </c>
      <c r="D4" s="4">
        <f>COUNTIFS(Table1[year],Table25[[#This Row],[Year]],Table1[Wealthier_Winner],1,Table1[Significantly_Wealthier],TRUE)/Table25[[#This Row],[Significantly_Wealthier_Count]]</f>
        <v>0.5</v>
      </c>
      <c r="E4" s="4">
        <f>COUNTIFS(Table1[year],Table25[[#This Row],[Year]],Table1[Wealthier_Winner],0,Table1[Significantly_Wealthier],TRUE)/Table25[[#This Row],[Significantly_Wealthier_Count]]</f>
        <v>0.1</v>
      </c>
      <c r="F4" s="4">
        <f>COUNTIFS(Table1[year],Table25[[#This Row],[Year]],Table1[Wealthier_Winner],-1,Table1[Significantly_Wealthier],TRUE)/Table25[[#This Row],[Significantly_Wealthier_Count]]</f>
        <v>0.4</v>
      </c>
      <c r="G4">
        <f>COUNTIFS(Table1[year],Table25[[#This Row],[Year]])</f>
        <v>13</v>
      </c>
      <c r="H4" s="4">
        <f>COUNTIFS(Table1[year],Table25[[#This Row],[Year]],Table1[Wealthier_Winner],1)/Table25[[#This Row],[Count]]</f>
        <v>0.61538461538461542</v>
      </c>
      <c r="I4" s="4">
        <f>COUNTIFS(Table1[year],Table25[[#This Row],[Year]],Table1[Wealthier_Winner],0)/Table25[[#This Row],[Count]]</f>
        <v>7.6923076923076927E-2</v>
      </c>
      <c r="J4" s="4">
        <f>COUNTIFS(Table1[year],Table25[[#This Row],[Year]],Table1[Wealthier_Winner],-1)/Table25[[#This Row],[Count]]</f>
        <v>0.30769230769230771</v>
      </c>
    </row>
    <row r="5" spans="1:10" x14ac:dyDescent="0.2">
      <c r="A5">
        <v>1964</v>
      </c>
      <c r="B5">
        <f>_xlfn.FLOOR.MATH(Table25[[#This Row],[Year]],10)</f>
        <v>1960</v>
      </c>
      <c r="C5">
        <f>COUNTIFS(Table1[year],Table25[[#This Row],[Year]],Table1[Significantly_Wealthier],TRUE)</f>
        <v>5</v>
      </c>
      <c r="D5" s="4">
        <f>COUNTIFS(Table1[year],Table25[[#This Row],[Year]],Table1[Wealthier_Winner],1,Table1[Significantly_Wealthier],TRUE)/Table25[[#This Row],[Significantly_Wealthier_Count]]</f>
        <v>0.8</v>
      </c>
      <c r="E5" s="4">
        <f>COUNTIFS(Table1[year],Table25[[#This Row],[Year]],Table1[Wealthier_Winner],0,Table1[Significantly_Wealthier],TRUE)/Table25[[#This Row],[Significantly_Wealthier_Count]]</f>
        <v>0.2</v>
      </c>
      <c r="F5" s="4">
        <f>COUNTIFS(Table1[year],Table25[[#This Row],[Year]],Table1[Wealthier_Winner],-1,Table1[Significantly_Wealthier],TRUE)/Table25[[#This Row],[Significantly_Wealthier_Count]]</f>
        <v>0</v>
      </c>
      <c r="G5">
        <f>COUNTIFS(Table1[year],Table25[[#This Row],[Year]])</f>
        <v>6</v>
      </c>
      <c r="H5" s="4">
        <f>COUNTIFS(Table1[year],Table25[[#This Row],[Year]],Table1[Wealthier_Winner],1)/Table25[[#This Row],[Count]]</f>
        <v>0.66666666666666663</v>
      </c>
      <c r="I5" s="4">
        <f>COUNTIFS(Table1[year],Table25[[#This Row],[Year]],Table1[Wealthier_Winner],0)/Table25[[#This Row],[Count]]</f>
        <v>0.16666666666666666</v>
      </c>
      <c r="J5" s="4">
        <f>COUNTIFS(Table1[year],Table25[[#This Row],[Year]],Table1[Wealthier_Winner],-1)/Table25[[#This Row],[Count]]</f>
        <v>0.16666666666666666</v>
      </c>
    </row>
    <row r="6" spans="1:10" x14ac:dyDescent="0.2">
      <c r="A6">
        <v>1965</v>
      </c>
      <c r="B6">
        <f>_xlfn.FLOOR.MATH(Table25[[#This Row],[Year]],10)</f>
        <v>1960</v>
      </c>
      <c r="C6">
        <f>COUNTIFS(Table1[year],Table25[[#This Row],[Year]],Table1[Significantly_Wealthier],TRUE)</f>
        <v>34</v>
      </c>
      <c r="D6" s="4">
        <f>COUNTIFS(Table1[year],Table25[[#This Row],[Year]],Table1[Wealthier_Winner],1,Table1[Significantly_Wealthier],TRUE)/Table25[[#This Row],[Significantly_Wealthier_Count]]</f>
        <v>0.61764705882352944</v>
      </c>
      <c r="E6" s="4">
        <f>COUNTIFS(Table1[year],Table25[[#This Row],[Year]],Table1[Wealthier_Winner],0,Table1[Significantly_Wealthier],TRUE)/Table25[[#This Row],[Significantly_Wealthier_Count]]</f>
        <v>0.14705882352941177</v>
      </c>
      <c r="F6" s="4">
        <f>COUNTIFS(Table1[year],Table25[[#This Row],[Year]],Table1[Wealthier_Winner],-1,Table1[Significantly_Wealthier],TRUE)/Table25[[#This Row],[Significantly_Wealthier_Count]]</f>
        <v>0.23529411764705882</v>
      </c>
      <c r="G6">
        <f>COUNTIFS(Table1[year],Table25[[#This Row],[Year]])</f>
        <v>47</v>
      </c>
      <c r="H6" s="4">
        <f>COUNTIFS(Table1[year],Table25[[#This Row],[Year]],Table1[Wealthier_Winner],1)/Table25[[#This Row],[Count]]</f>
        <v>0.48936170212765956</v>
      </c>
      <c r="I6" s="4">
        <f>COUNTIFS(Table1[year],Table25[[#This Row],[Year]],Table1[Wealthier_Winner],0)/Table25[[#This Row],[Count]]</f>
        <v>0.1702127659574468</v>
      </c>
      <c r="J6" s="4">
        <f>COUNTIFS(Table1[year],Table25[[#This Row],[Year]],Table1[Wealthier_Winner],-1)/Table25[[#This Row],[Count]]</f>
        <v>0.34042553191489361</v>
      </c>
    </row>
    <row r="7" spans="1:10" x14ac:dyDescent="0.2">
      <c r="A7">
        <v>1966</v>
      </c>
      <c r="B7">
        <f>_xlfn.FLOOR.MATH(Table25[[#This Row],[Year]],10)</f>
        <v>1960</v>
      </c>
      <c r="C7">
        <f>COUNTIFS(Table1[year],Table25[[#This Row],[Year]],Table1[Significantly_Wealthier],TRUE)</f>
        <v>13</v>
      </c>
      <c r="D7" s="4">
        <f>COUNTIFS(Table1[year],Table25[[#This Row],[Year]],Table1[Wealthier_Winner],1,Table1[Significantly_Wealthier],TRUE)/Table25[[#This Row],[Significantly_Wealthier_Count]]</f>
        <v>0.53846153846153844</v>
      </c>
      <c r="E7" s="4">
        <f>COUNTIFS(Table1[year],Table25[[#This Row],[Year]],Table1[Wealthier_Winner],0,Table1[Significantly_Wealthier],TRUE)/Table25[[#This Row],[Significantly_Wealthier_Count]]</f>
        <v>0.30769230769230771</v>
      </c>
      <c r="F7" s="4">
        <f>COUNTIFS(Table1[year],Table25[[#This Row],[Year]],Table1[Wealthier_Winner],-1,Table1[Significantly_Wealthier],TRUE)/Table25[[#This Row],[Significantly_Wealthier_Count]]</f>
        <v>0.15384615384615385</v>
      </c>
      <c r="G7">
        <f>COUNTIFS(Table1[year],Table25[[#This Row],[Year]])</f>
        <v>18</v>
      </c>
      <c r="H7" s="4">
        <f>COUNTIFS(Table1[year],Table25[[#This Row],[Year]],Table1[Wealthier_Winner],1)/Table25[[#This Row],[Count]]</f>
        <v>0.5</v>
      </c>
      <c r="I7" s="4">
        <f>COUNTIFS(Table1[year],Table25[[#This Row],[Year]],Table1[Wealthier_Winner],0)/Table25[[#This Row],[Count]]</f>
        <v>0.22222222222222221</v>
      </c>
      <c r="J7" s="4">
        <f>COUNTIFS(Table1[year],Table25[[#This Row],[Year]],Table1[Wealthier_Winner],-1)/Table25[[#This Row],[Count]]</f>
        <v>0.27777777777777779</v>
      </c>
    </row>
    <row r="8" spans="1:10" x14ac:dyDescent="0.2">
      <c r="A8">
        <v>1968</v>
      </c>
      <c r="B8">
        <f>_xlfn.FLOOR.MATH(Table25[[#This Row],[Year]],10)</f>
        <v>1960</v>
      </c>
      <c r="C8">
        <f>COUNTIFS(Table1[year],Table25[[#This Row],[Year]],Table1[Significantly_Wealthier],TRUE)</f>
        <v>25</v>
      </c>
      <c r="D8" s="4">
        <f>COUNTIFS(Table1[year],Table25[[#This Row],[Year]],Table1[Wealthier_Winner],1,Table1[Significantly_Wealthier],TRUE)/Table25[[#This Row],[Significantly_Wealthier_Count]]</f>
        <v>0.6</v>
      </c>
      <c r="E8" s="4">
        <f>COUNTIFS(Table1[year],Table25[[#This Row],[Year]],Table1[Wealthier_Winner],0,Table1[Significantly_Wealthier],TRUE)/Table25[[#This Row],[Significantly_Wealthier_Count]]</f>
        <v>0.16</v>
      </c>
      <c r="F8" s="4">
        <f>COUNTIFS(Table1[year],Table25[[#This Row],[Year]],Table1[Wealthier_Winner],-1,Table1[Significantly_Wealthier],TRUE)/Table25[[#This Row],[Significantly_Wealthier_Count]]</f>
        <v>0.24</v>
      </c>
      <c r="G8">
        <f>COUNTIFS(Table1[year],Table25[[#This Row],[Year]])</f>
        <v>35</v>
      </c>
      <c r="H8" s="4">
        <f>COUNTIFS(Table1[year],Table25[[#This Row],[Year]],Table1[Wealthier_Winner],1)/Table25[[#This Row],[Count]]</f>
        <v>0.51428571428571423</v>
      </c>
      <c r="I8" s="4">
        <f>COUNTIFS(Table1[year],Table25[[#This Row],[Year]],Table1[Wealthier_Winner],0)/Table25[[#This Row],[Count]]</f>
        <v>0.17142857142857143</v>
      </c>
      <c r="J8" s="4">
        <f>COUNTIFS(Table1[year],Table25[[#This Row],[Year]],Table1[Wealthier_Winner],-1)/Table25[[#This Row],[Count]]</f>
        <v>0.31428571428571428</v>
      </c>
    </row>
    <row r="9" spans="1:10" x14ac:dyDescent="0.2">
      <c r="A9">
        <v>1969</v>
      </c>
      <c r="B9">
        <f>_xlfn.FLOOR.MATH(Table25[[#This Row],[Year]],10)</f>
        <v>1960</v>
      </c>
      <c r="C9">
        <f>COUNTIFS(Table1[year],Table25[[#This Row],[Year]],Table1[Significantly_Wealthier],TRUE)</f>
        <v>58</v>
      </c>
      <c r="D9" s="4">
        <f>COUNTIFS(Table1[year],Table25[[#This Row],[Year]],Table1[Wealthier_Winner],1,Table1[Significantly_Wealthier],TRUE)/Table25[[#This Row],[Significantly_Wealthier_Count]]</f>
        <v>0.39655172413793105</v>
      </c>
      <c r="E9" s="4">
        <f>COUNTIFS(Table1[year],Table25[[#This Row],[Year]],Table1[Wealthier_Winner],0,Table1[Significantly_Wealthier],TRUE)/Table25[[#This Row],[Significantly_Wealthier_Count]]</f>
        <v>0.29310344827586204</v>
      </c>
      <c r="F9" s="4">
        <f>COUNTIFS(Table1[year],Table25[[#This Row],[Year]],Table1[Wealthier_Winner],-1,Table1[Significantly_Wealthier],TRUE)/Table25[[#This Row],[Significantly_Wealthier_Count]]</f>
        <v>0.31034482758620691</v>
      </c>
      <c r="G9">
        <f>COUNTIFS(Table1[year],Table25[[#This Row],[Year]])</f>
        <v>78</v>
      </c>
      <c r="H9" s="4">
        <f>COUNTIFS(Table1[year],Table25[[#This Row],[Year]],Table1[Wealthier_Winner],1)/Table25[[#This Row],[Count]]</f>
        <v>0.38461538461538464</v>
      </c>
      <c r="I9" s="4">
        <f>COUNTIFS(Table1[year],Table25[[#This Row],[Year]],Table1[Wealthier_Winner],0)/Table25[[#This Row],[Count]]</f>
        <v>0.26923076923076922</v>
      </c>
      <c r="J9" s="4">
        <f>COUNTIFS(Table1[year],Table25[[#This Row],[Year]],Table1[Wealthier_Winner],-1)/Table25[[#This Row],[Count]]</f>
        <v>0.34615384615384615</v>
      </c>
    </row>
    <row r="10" spans="1:10" x14ac:dyDescent="0.2">
      <c r="A10">
        <v>1970</v>
      </c>
      <c r="B10">
        <f>_xlfn.FLOOR.MATH(Table25[[#This Row],[Year]],10)</f>
        <v>1970</v>
      </c>
      <c r="C10">
        <f>COUNTIFS(Table1[year],Table25[[#This Row],[Year]],Table1[Significantly_Wealthier],TRUE)</f>
        <v>16</v>
      </c>
      <c r="D10" s="4">
        <f>COUNTIFS(Table1[year],Table25[[#This Row],[Year]],Table1[Wealthier_Winner],1,Table1[Significantly_Wealthier],TRUE)/Table25[[#This Row],[Significantly_Wealthier_Count]]</f>
        <v>0.625</v>
      </c>
      <c r="E10" s="4">
        <f>COUNTIFS(Table1[year],Table25[[#This Row],[Year]],Table1[Wealthier_Winner],0,Table1[Significantly_Wealthier],TRUE)/Table25[[#This Row],[Significantly_Wealthier_Count]]</f>
        <v>0.1875</v>
      </c>
      <c r="F10" s="4">
        <f>COUNTIFS(Table1[year],Table25[[#This Row],[Year]],Table1[Wealthier_Winner],-1,Table1[Significantly_Wealthier],TRUE)/Table25[[#This Row],[Significantly_Wealthier_Count]]</f>
        <v>0.1875</v>
      </c>
      <c r="G10">
        <f>COUNTIFS(Table1[year],Table25[[#This Row],[Year]])</f>
        <v>20</v>
      </c>
      <c r="H10" s="4">
        <f>COUNTIFS(Table1[year],Table25[[#This Row],[Year]],Table1[Wealthier_Winner],1)/Table25[[#This Row],[Count]]</f>
        <v>0.65</v>
      </c>
      <c r="I10" s="4">
        <f>COUNTIFS(Table1[year],Table25[[#This Row],[Year]],Table1[Wealthier_Winner],0)/Table25[[#This Row],[Count]]</f>
        <v>0.15</v>
      </c>
      <c r="J10" s="4">
        <f>COUNTIFS(Table1[year],Table25[[#This Row],[Year]],Table1[Wealthier_Winner],-1)/Table25[[#This Row],[Count]]</f>
        <v>0.2</v>
      </c>
    </row>
    <row r="11" spans="1:10" x14ac:dyDescent="0.2">
      <c r="A11">
        <v>1971</v>
      </c>
      <c r="B11">
        <f>_xlfn.FLOOR.MATH(Table25[[#This Row],[Year]],10)</f>
        <v>1970</v>
      </c>
      <c r="C11">
        <f>COUNTIFS(Table1[year],Table25[[#This Row],[Year]],Table1[Significantly_Wealthier],TRUE)</f>
        <v>1</v>
      </c>
      <c r="D11" s="4">
        <f>COUNTIFS(Table1[year],Table25[[#This Row],[Year]],Table1[Wealthier_Winner],1,Table1[Significantly_Wealthier],TRUE)/Table25[[#This Row],[Significantly_Wealthier_Count]]</f>
        <v>1</v>
      </c>
      <c r="E11" s="4">
        <f>COUNTIFS(Table1[year],Table25[[#This Row],[Year]],Table1[Wealthier_Winner],0,Table1[Significantly_Wealthier],TRUE)/Table25[[#This Row],[Significantly_Wealthier_Count]]</f>
        <v>0</v>
      </c>
      <c r="F11" s="4">
        <f>COUNTIFS(Table1[year],Table25[[#This Row],[Year]],Table1[Wealthier_Winner],-1,Table1[Significantly_Wealthier],TRUE)/Table25[[#This Row],[Significantly_Wealthier_Count]]</f>
        <v>0</v>
      </c>
      <c r="G11">
        <f>COUNTIFS(Table1[year],Table25[[#This Row],[Year]])</f>
        <v>1</v>
      </c>
      <c r="H11" s="4">
        <f>COUNTIFS(Table1[year],Table25[[#This Row],[Year]],Table1[Wealthier_Winner],1)/Table25[[#This Row],[Count]]</f>
        <v>1</v>
      </c>
      <c r="I11" s="4">
        <f>COUNTIFS(Table1[year],Table25[[#This Row],[Year]],Table1[Wealthier_Winner],0)/Table25[[#This Row],[Count]]</f>
        <v>0</v>
      </c>
      <c r="J11" s="4">
        <f>COUNTIFS(Table1[year],Table25[[#This Row],[Year]],Table1[Wealthier_Winner],-1)/Table25[[#This Row],[Count]]</f>
        <v>0</v>
      </c>
    </row>
    <row r="12" spans="1:10" x14ac:dyDescent="0.2">
      <c r="A12">
        <v>1972</v>
      </c>
      <c r="B12">
        <f>_xlfn.FLOOR.MATH(Table25[[#This Row],[Year]],10)</f>
        <v>1970</v>
      </c>
      <c r="C12">
        <f>COUNTIFS(Table1[year],Table25[[#This Row],[Year]],Table1[Significantly_Wealthier],TRUE)</f>
        <v>24</v>
      </c>
      <c r="D12" s="4">
        <f>COUNTIFS(Table1[year],Table25[[#This Row],[Year]],Table1[Wealthier_Winner],1,Table1[Significantly_Wealthier],TRUE)/Table25[[#This Row],[Significantly_Wealthier_Count]]</f>
        <v>0.66666666666666663</v>
      </c>
      <c r="E12" s="4">
        <f>COUNTIFS(Table1[year],Table25[[#This Row],[Year]],Table1[Wealthier_Winner],0,Table1[Significantly_Wealthier],TRUE)/Table25[[#This Row],[Significantly_Wealthier_Count]]</f>
        <v>0.25</v>
      </c>
      <c r="F12" s="4">
        <f>COUNTIFS(Table1[year],Table25[[#This Row],[Year]],Table1[Wealthier_Winner],-1,Table1[Significantly_Wealthier],TRUE)/Table25[[#This Row],[Significantly_Wealthier_Count]]</f>
        <v>8.3333333333333329E-2</v>
      </c>
      <c r="G12">
        <f>COUNTIFS(Table1[year],Table25[[#This Row],[Year]])</f>
        <v>32</v>
      </c>
      <c r="H12" s="4">
        <f>COUNTIFS(Table1[year],Table25[[#This Row],[Year]],Table1[Wealthier_Winner],1)/Table25[[#This Row],[Count]]</f>
        <v>0.59375</v>
      </c>
      <c r="I12" s="4">
        <f>COUNTIFS(Table1[year],Table25[[#This Row],[Year]],Table1[Wealthier_Winner],0)/Table25[[#This Row],[Count]]</f>
        <v>0.28125</v>
      </c>
      <c r="J12" s="4">
        <f>COUNTIFS(Table1[year],Table25[[#This Row],[Year]],Table1[Wealthier_Winner],-1)/Table25[[#This Row],[Count]]</f>
        <v>0.125</v>
      </c>
    </row>
    <row r="13" spans="1:10" x14ac:dyDescent="0.2">
      <c r="A13">
        <v>1973</v>
      </c>
      <c r="B13">
        <f>_xlfn.FLOOR.MATH(Table25[[#This Row],[Year]],10)</f>
        <v>1970</v>
      </c>
      <c r="C13">
        <f>COUNTIFS(Table1[year],Table25[[#This Row],[Year]],Table1[Significantly_Wealthier],TRUE)</f>
        <v>49</v>
      </c>
      <c r="D13" s="4">
        <f>COUNTIFS(Table1[year],Table25[[#This Row],[Year]],Table1[Wealthier_Winner],1,Table1[Significantly_Wealthier],TRUE)/Table25[[#This Row],[Significantly_Wealthier_Count]]</f>
        <v>0.55102040816326525</v>
      </c>
      <c r="E13" s="4">
        <f>COUNTIFS(Table1[year],Table25[[#This Row],[Year]],Table1[Wealthier_Winner],0,Table1[Significantly_Wealthier],TRUE)/Table25[[#This Row],[Significantly_Wealthier_Count]]</f>
        <v>0.26530612244897961</v>
      </c>
      <c r="F13" s="4">
        <f>COUNTIFS(Table1[year],Table25[[#This Row],[Year]],Table1[Wealthier_Winner],-1,Table1[Significantly_Wealthier],TRUE)/Table25[[#This Row],[Significantly_Wealthier_Count]]</f>
        <v>0.18367346938775511</v>
      </c>
      <c r="G13">
        <f>COUNTIFS(Table1[year],Table25[[#This Row],[Year]])</f>
        <v>74</v>
      </c>
      <c r="H13" s="4">
        <f>COUNTIFS(Table1[year],Table25[[#This Row],[Year]],Table1[Wealthier_Winner],1)/Table25[[#This Row],[Count]]</f>
        <v>0.5</v>
      </c>
      <c r="I13" s="4">
        <f>COUNTIFS(Table1[year],Table25[[#This Row],[Year]],Table1[Wealthier_Winner],0)/Table25[[#This Row],[Count]]</f>
        <v>0.27027027027027029</v>
      </c>
      <c r="J13" s="4">
        <f>COUNTIFS(Table1[year],Table25[[#This Row],[Year]],Table1[Wealthier_Winner],-1)/Table25[[#This Row],[Count]]</f>
        <v>0.22972972972972974</v>
      </c>
    </row>
    <row r="14" spans="1:10" x14ac:dyDescent="0.2">
      <c r="A14">
        <v>1974</v>
      </c>
      <c r="B14">
        <f>_xlfn.FLOOR.MATH(Table25[[#This Row],[Year]],10)</f>
        <v>1970</v>
      </c>
      <c r="C14">
        <f>COUNTIFS(Table1[year],Table25[[#This Row],[Year]],Table1[Significantly_Wealthier],TRUE)</f>
        <v>10</v>
      </c>
      <c r="D14" s="4">
        <f>COUNTIFS(Table1[year],Table25[[#This Row],[Year]],Table1[Wealthier_Winner],1,Table1[Significantly_Wealthier],TRUE)/Table25[[#This Row],[Significantly_Wealthier_Count]]</f>
        <v>0.8</v>
      </c>
      <c r="E14" s="4">
        <f>COUNTIFS(Table1[year],Table25[[#This Row],[Year]],Table1[Wealthier_Winner],0,Table1[Significantly_Wealthier],TRUE)/Table25[[#This Row],[Significantly_Wealthier_Count]]</f>
        <v>0.2</v>
      </c>
      <c r="F14" s="4">
        <f>COUNTIFS(Table1[year],Table25[[#This Row],[Year]],Table1[Wealthier_Winner],-1,Table1[Significantly_Wealthier],TRUE)/Table25[[#This Row],[Significantly_Wealthier_Count]]</f>
        <v>0</v>
      </c>
      <c r="G14">
        <f>COUNTIFS(Table1[year],Table25[[#This Row],[Year]])</f>
        <v>14</v>
      </c>
      <c r="H14" s="4">
        <f>COUNTIFS(Table1[year],Table25[[#This Row],[Year]],Table1[Wealthier_Winner],1)/Table25[[#This Row],[Count]]</f>
        <v>0.7142857142857143</v>
      </c>
      <c r="I14" s="4">
        <f>COUNTIFS(Table1[year],Table25[[#This Row],[Year]],Table1[Wealthier_Winner],0)/Table25[[#This Row],[Count]]</f>
        <v>0.21428571428571427</v>
      </c>
      <c r="J14" s="4">
        <f>COUNTIFS(Table1[year],Table25[[#This Row],[Year]],Table1[Wealthier_Winner],-1)/Table25[[#This Row],[Count]]</f>
        <v>7.1428571428571425E-2</v>
      </c>
    </row>
    <row r="15" spans="1:10" x14ac:dyDescent="0.2">
      <c r="A15">
        <v>1976</v>
      </c>
      <c r="B15">
        <f>_xlfn.FLOOR.MATH(Table25[[#This Row],[Year]],10)</f>
        <v>1970</v>
      </c>
      <c r="C15">
        <f>COUNTIFS(Table1[year],Table25[[#This Row],[Year]],Table1[Significantly_Wealthier],TRUE)</f>
        <v>24</v>
      </c>
      <c r="D15" s="4">
        <f>COUNTIFS(Table1[year],Table25[[#This Row],[Year]],Table1[Wealthier_Winner],1,Table1[Significantly_Wealthier],TRUE)/Table25[[#This Row],[Significantly_Wealthier_Count]]</f>
        <v>0.66666666666666663</v>
      </c>
      <c r="E15" s="4">
        <f>COUNTIFS(Table1[year],Table25[[#This Row],[Year]],Table1[Wealthier_Winner],0,Table1[Significantly_Wealthier],TRUE)/Table25[[#This Row],[Significantly_Wealthier_Count]]</f>
        <v>0.16666666666666666</v>
      </c>
      <c r="F15" s="4">
        <f>COUNTIFS(Table1[year],Table25[[#This Row],[Year]],Table1[Wealthier_Winner],-1,Table1[Significantly_Wealthier],TRUE)/Table25[[#This Row],[Significantly_Wealthier_Count]]</f>
        <v>0.16666666666666666</v>
      </c>
      <c r="G15">
        <f>COUNTIFS(Table1[year],Table25[[#This Row],[Year]])</f>
        <v>33</v>
      </c>
      <c r="H15" s="4">
        <f>COUNTIFS(Table1[year],Table25[[#This Row],[Year]],Table1[Wealthier_Winner],1)/Table25[[#This Row],[Count]]</f>
        <v>0.5757575757575758</v>
      </c>
      <c r="I15" s="4">
        <f>COUNTIFS(Table1[year],Table25[[#This Row],[Year]],Table1[Wealthier_Winner],0)/Table25[[#This Row],[Count]]</f>
        <v>0.18181818181818182</v>
      </c>
      <c r="J15" s="4">
        <f>COUNTIFS(Table1[year],Table25[[#This Row],[Year]],Table1[Wealthier_Winner],-1)/Table25[[#This Row],[Count]]</f>
        <v>0.24242424242424243</v>
      </c>
    </row>
    <row r="16" spans="1:10" x14ac:dyDescent="0.2">
      <c r="A16">
        <v>1977</v>
      </c>
      <c r="B16">
        <f>_xlfn.FLOOR.MATH(Table25[[#This Row],[Year]],10)</f>
        <v>1970</v>
      </c>
      <c r="C16">
        <f>COUNTIFS(Table1[year],Table25[[#This Row],[Year]],Table1[Significantly_Wealthier],TRUE)</f>
        <v>71</v>
      </c>
      <c r="D16" s="4">
        <f>COUNTIFS(Table1[year],Table25[[#This Row],[Year]],Table1[Wealthier_Winner],1,Table1[Significantly_Wealthier],TRUE)/Table25[[#This Row],[Significantly_Wealthier_Count]]</f>
        <v>0.50704225352112675</v>
      </c>
      <c r="E16" s="4">
        <f>COUNTIFS(Table1[year],Table25[[#This Row],[Year]],Table1[Wealthier_Winner],0,Table1[Significantly_Wealthier],TRUE)/Table25[[#This Row],[Significantly_Wealthier_Count]]</f>
        <v>0.23943661971830985</v>
      </c>
      <c r="F16" s="4">
        <f>COUNTIFS(Table1[year],Table25[[#This Row],[Year]],Table1[Wealthier_Winner],-1,Table1[Significantly_Wealthier],TRUE)/Table25[[#This Row],[Significantly_Wealthier_Count]]</f>
        <v>0.25352112676056338</v>
      </c>
      <c r="G16">
        <f>COUNTIFS(Table1[year],Table25[[#This Row],[Year]])</f>
        <v>96</v>
      </c>
      <c r="H16" s="4">
        <f>COUNTIFS(Table1[year],Table25[[#This Row],[Year]],Table1[Wealthier_Winner],1)/Table25[[#This Row],[Count]]</f>
        <v>0.52083333333333337</v>
      </c>
      <c r="I16" s="4">
        <f>COUNTIFS(Table1[year],Table25[[#This Row],[Year]],Table1[Wealthier_Winner],0)/Table25[[#This Row],[Count]]</f>
        <v>0.20833333333333334</v>
      </c>
      <c r="J16" s="4">
        <f>COUNTIFS(Table1[year],Table25[[#This Row],[Year]],Table1[Wealthier_Winner],-1)/Table25[[#This Row],[Count]]</f>
        <v>0.27083333333333331</v>
      </c>
    </row>
    <row r="17" spans="1:10" x14ac:dyDescent="0.2">
      <c r="A17">
        <v>1978</v>
      </c>
      <c r="B17">
        <f>_xlfn.FLOOR.MATH(Table25[[#This Row],[Year]],10)</f>
        <v>1970</v>
      </c>
      <c r="C17">
        <f>COUNTIFS(Table1[year],Table25[[#This Row],[Year]],Table1[Significantly_Wealthier],TRUE)</f>
        <v>22</v>
      </c>
      <c r="D17" s="4">
        <f>COUNTIFS(Table1[year],Table25[[#This Row],[Year]],Table1[Wealthier_Winner],1,Table1[Significantly_Wealthier],TRUE)/Table25[[#This Row],[Significantly_Wealthier_Count]]</f>
        <v>0.5</v>
      </c>
      <c r="E17" s="4">
        <f>COUNTIFS(Table1[year],Table25[[#This Row],[Year]],Table1[Wealthier_Winner],0,Table1[Significantly_Wealthier],TRUE)/Table25[[#This Row],[Significantly_Wealthier_Count]]</f>
        <v>0.22727272727272727</v>
      </c>
      <c r="F17" s="4">
        <f>COUNTIFS(Table1[year],Table25[[#This Row],[Year]],Table1[Wealthier_Winner],-1,Table1[Significantly_Wealthier],TRUE)/Table25[[#This Row],[Significantly_Wealthier_Count]]</f>
        <v>0.27272727272727271</v>
      </c>
      <c r="G17">
        <f>COUNTIFS(Table1[year],Table25[[#This Row],[Year]])</f>
        <v>29</v>
      </c>
      <c r="H17" s="4">
        <f>COUNTIFS(Table1[year],Table25[[#This Row],[Year]],Table1[Wealthier_Winner],1)/Table25[[#This Row],[Count]]</f>
        <v>0.41379310344827586</v>
      </c>
      <c r="I17" s="4">
        <f>COUNTIFS(Table1[year],Table25[[#This Row],[Year]],Table1[Wealthier_Winner],0)/Table25[[#This Row],[Count]]</f>
        <v>0.2413793103448276</v>
      </c>
      <c r="J17" s="4">
        <f>COUNTIFS(Table1[year],Table25[[#This Row],[Year]],Table1[Wealthier_Winner],-1)/Table25[[#This Row],[Count]]</f>
        <v>0.34482758620689657</v>
      </c>
    </row>
    <row r="18" spans="1:10" x14ac:dyDescent="0.2">
      <c r="A18">
        <v>1980</v>
      </c>
      <c r="B18" s="8">
        <f>_xlfn.FLOOR.MATH(Table25[[#This Row],[Year]],10)</f>
        <v>1980</v>
      </c>
      <c r="C18" s="8">
        <f>COUNTIFS(Table1[year],Table25[[#This Row],[Year]],Table1[Significantly_Wealthier],TRUE)</f>
        <v>35</v>
      </c>
      <c r="D18" s="11">
        <f>COUNTIFS(Table1[year],Table25[[#This Row],[Year]],Table1[Wealthier_Winner],1,Table1[Significantly_Wealthier],TRUE)/Table25[[#This Row],[Significantly_Wealthier_Count]]</f>
        <v>0.62857142857142856</v>
      </c>
      <c r="E18" s="11">
        <f>COUNTIFS(Table1[year],Table25[[#This Row],[Year]],Table1[Wealthier_Winner],0,Table1[Significantly_Wealthier],TRUE)/Table25[[#This Row],[Significantly_Wealthier_Count]]</f>
        <v>0.25714285714285712</v>
      </c>
      <c r="F18" s="11">
        <f>COUNTIFS(Table1[year],Table25[[#This Row],[Year]],Table1[Wealthier_Winner],-1,Table1[Significantly_Wealthier],TRUE)/Table25[[#This Row],[Significantly_Wealthier_Count]]</f>
        <v>0.11428571428571428</v>
      </c>
      <c r="G18" s="12">
        <f>COUNTIFS(Table1[year],Table25[[#This Row],[Year]])</f>
        <v>48</v>
      </c>
      <c r="H18" s="11">
        <f>COUNTIFS(Table1[year],Table25[[#This Row],[Year]],Table1[Wealthier_Winner],1)/Table25[[#This Row],[Count]]</f>
        <v>0.5625</v>
      </c>
      <c r="I18" s="11">
        <f>COUNTIFS(Table1[year],Table25[[#This Row],[Year]],Table1[Wealthier_Winner],0)/Table25[[#This Row],[Count]]</f>
        <v>0.20833333333333334</v>
      </c>
      <c r="J18" s="11">
        <f>COUNTIFS(Table1[year],Table25[[#This Row],[Year]],Table1[Wealthier_Winner],-1)/Table25[[#This Row],[Count]]</f>
        <v>0.22916666666666666</v>
      </c>
    </row>
    <row r="19" spans="1:10" x14ac:dyDescent="0.2">
      <c r="A19">
        <v>1981</v>
      </c>
      <c r="B19" s="8">
        <f>_xlfn.FLOOR.MATH(Table25[[#This Row],[Year]],10)</f>
        <v>1980</v>
      </c>
      <c r="C19" s="8">
        <f>COUNTIFS(Table1[year],Table25[[#This Row],[Year]],Table1[Significantly_Wealthier],TRUE)</f>
        <v>84</v>
      </c>
      <c r="D19" s="11">
        <f>COUNTIFS(Table1[year],Table25[[#This Row],[Year]],Table1[Wealthier_Winner],1,Table1[Significantly_Wealthier],TRUE)/Table25[[#This Row],[Significantly_Wealthier_Count]]</f>
        <v>0.58333333333333337</v>
      </c>
      <c r="E19" s="11">
        <f>COUNTIFS(Table1[year],Table25[[#This Row],[Year]],Table1[Wealthier_Winner],0,Table1[Significantly_Wealthier],TRUE)/Table25[[#This Row],[Significantly_Wealthier_Count]]</f>
        <v>0.10714285714285714</v>
      </c>
      <c r="F19" s="11">
        <f>COUNTIFS(Table1[year],Table25[[#This Row],[Year]],Table1[Wealthier_Winner],-1,Table1[Significantly_Wealthier],TRUE)/Table25[[#This Row],[Significantly_Wealthier_Count]]</f>
        <v>0.30952380952380953</v>
      </c>
      <c r="G19" s="12">
        <f>COUNTIFS(Table1[year],Table25[[#This Row],[Year]])</f>
        <v>103</v>
      </c>
      <c r="H19" s="11">
        <f>COUNTIFS(Table1[year],Table25[[#This Row],[Year]],Table1[Wealthier_Winner],1)/Table25[[#This Row],[Count]]</f>
        <v>0.5436893203883495</v>
      </c>
      <c r="I19" s="11">
        <f>COUNTIFS(Table1[year],Table25[[#This Row],[Year]],Table1[Wealthier_Winner],0)/Table25[[#This Row],[Count]]</f>
        <v>0.1553398058252427</v>
      </c>
      <c r="J19" s="11">
        <f>COUNTIFS(Table1[year],Table25[[#This Row],[Year]],Table1[Wealthier_Winner],-1)/Table25[[#This Row],[Count]]</f>
        <v>0.30097087378640774</v>
      </c>
    </row>
    <row r="20" spans="1:10" x14ac:dyDescent="0.2">
      <c r="A20">
        <v>1982</v>
      </c>
      <c r="B20" s="8">
        <f>_xlfn.FLOOR.MATH(Table25[[#This Row],[Year]],10)</f>
        <v>1980</v>
      </c>
      <c r="C20" s="8">
        <f>COUNTIFS(Table1[year],Table25[[#This Row],[Year]],Table1[Significantly_Wealthier],TRUE)</f>
        <v>22</v>
      </c>
      <c r="D20" s="11">
        <f>COUNTIFS(Table1[year],Table25[[#This Row],[Year]],Table1[Wealthier_Winner],1,Table1[Significantly_Wealthier],TRUE)/Table25[[#This Row],[Significantly_Wealthier_Count]]</f>
        <v>0.68181818181818177</v>
      </c>
      <c r="E20" s="11">
        <f>COUNTIFS(Table1[year],Table25[[#This Row],[Year]],Table1[Wealthier_Winner],0,Table1[Significantly_Wealthier],TRUE)/Table25[[#This Row],[Significantly_Wealthier_Count]]</f>
        <v>0.27272727272727271</v>
      </c>
      <c r="F20" s="11">
        <f>COUNTIFS(Table1[year],Table25[[#This Row],[Year]],Table1[Wealthier_Winner],-1,Table1[Significantly_Wealthier],TRUE)/Table25[[#This Row],[Significantly_Wealthier_Count]]</f>
        <v>4.5454545454545456E-2</v>
      </c>
      <c r="G20" s="12">
        <f>COUNTIFS(Table1[year],Table25[[#This Row],[Year]])</f>
        <v>29</v>
      </c>
      <c r="H20" s="11">
        <f>COUNTIFS(Table1[year],Table25[[#This Row],[Year]],Table1[Wealthier_Winner],1)/Table25[[#This Row],[Count]]</f>
        <v>0.62068965517241381</v>
      </c>
      <c r="I20" s="11">
        <f>COUNTIFS(Table1[year],Table25[[#This Row],[Year]],Table1[Wealthier_Winner],0)/Table25[[#This Row],[Count]]</f>
        <v>0.27586206896551724</v>
      </c>
      <c r="J20" s="11">
        <f>COUNTIFS(Table1[year],Table25[[#This Row],[Year]],Table1[Wealthier_Winner],-1)/Table25[[#This Row],[Count]]</f>
        <v>0.10344827586206896</v>
      </c>
    </row>
    <row r="21" spans="1:10" x14ac:dyDescent="0.2">
      <c r="A21">
        <v>1984</v>
      </c>
      <c r="B21" s="8">
        <f>_xlfn.FLOOR.MATH(Table25[[#This Row],[Year]],10)</f>
        <v>1980</v>
      </c>
      <c r="C21" s="8">
        <f>COUNTIFS(Table1[year],Table25[[#This Row],[Year]],Table1[Significantly_Wealthier],TRUE)</f>
        <v>25</v>
      </c>
      <c r="D21" s="11">
        <f>COUNTIFS(Table1[year],Table25[[#This Row],[Year]],Table1[Wealthier_Winner],1,Table1[Significantly_Wealthier],TRUE)/Table25[[#This Row],[Significantly_Wealthier_Count]]</f>
        <v>0.76</v>
      </c>
      <c r="E21" s="11">
        <f>COUNTIFS(Table1[year],Table25[[#This Row],[Year]],Table1[Wealthier_Winner],0,Table1[Significantly_Wealthier],TRUE)/Table25[[#This Row],[Significantly_Wealthier_Count]]</f>
        <v>0.04</v>
      </c>
      <c r="F21" s="11">
        <f>COUNTIFS(Table1[year],Table25[[#This Row],[Year]],Table1[Wealthier_Winner],-1,Table1[Significantly_Wealthier],TRUE)/Table25[[#This Row],[Significantly_Wealthier_Count]]</f>
        <v>0.2</v>
      </c>
      <c r="G21" s="12">
        <f>COUNTIFS(Table1[year],Table25[[#This Row],[Year]])</f>
        <v>39</v>
      </c>
      <c r="H21" s="11">
        <f>COUNTIFS(Table1[year],Table25[[#This Row],[Year]],Table1[Wealthier_Winner],1)/Table25[[#This Row],[Count]]</f>
        <v>0.64102564102564108</v>
      </c>
      <c r="I21" s="11">
        <f>COUNTIFS(Table1[year],Table25[[#This Row],[Year]],Table1[Wealthier_Winner],0)/Table25[[#This Row],[Count]]</f>
        <v>0.12820512820512819</v>
      </c>
      <c r="J21" s="11">
        <f>COUNTIFS(Table1[year],Table25[[#This Row],[Year]],Table1[Wealthier_Winner],-1)/Table25[[#This Row],[Count]]</f>
        <v>0.23076923076923078</v>
      </c>
    </row>
    <row r="22" spans="1:10" x14ac:dyDescent="0.2">
      <c r="A22">
        <v>1985</v>
      </c>
      <c r="B22" s="8">
        <f>_xlfn.FLOOR.MATH(Table25[[#This Row],[Year]],10)</f>
        <v>1980</v>
      </c>
      <c r="C22" s="8">
        <f>COUNTIFS(Table1[year],Table25[[#This Row],[Year]],Table1[Significantly_Wealthier],TRUE)</f>
        <v>101</v>
      </c>
      <c r="D22" s="11">
        <f>COUNTIFS(Table1[year],Table25[[#This Row],[Year]],Table1[Wealthier_Winner],1,Table1[Significantly_Wealthier],TRUE)/Table25[[#This Row],[Significantly_Wealthier_Count]]</f>
        <v>0.52475247524752477</v>
      </c>
      <c r="E22" s="11">
        <f>COUNTIFS(Table1[year],Table25[[#This Row],[Year]],Table1[Wealthier_Winner],0,Table1[Significantly_Wealthier],TRUE)/Table25[[#This Row],[Significantly_Wealthier_Count]]</f>
        <v>0.23762376237623761</v>
      </c>
      <c r="F22" s="11">
        <f>COUNTIFS(Table1[year],Table25[[#This Row],[Year]],Table1[Wealthier_Winner],-1,Table1[Significantly_Wealthier],TRUE)/Table25[[#This Row],[Significantly_Wealthier_Count]]</f>
        <v>0.23762376237623761</v>
      </c>
      <c r="G22" s="12">
        <f>COUNTIFS(Table1[year],Table25[[#This Row],[Year]])</f>
        <v>129</v>
      </c>
      <c r="H22" s="11">
        <f>COUNTIFS(Table1[year],Table25[[#This Row],[Year]],Table1[Wealthier_Winner],1)/Table25[[#This Row],[Count]]</f>
        <v>0.51162790697674421</v>
      </c>
      <c r="I22" s="11">
        <f>COUNTIFS(Table1[year],Table25[[#This Row],[Year]],Table1[Wealthier_Winner],0)/Table25[[#This Row],[Count]]</f>
        <v>0.23255813953488372</v>
      </c>
      <c r="J22" s="11">
        <f>COUNTIFS(Table1[year],Table25[[#This Row],[Year]],Table1[Wealthier_Winner],-1)/Table25[[#This Row],[Count]]</f>
        <v>0.2558139534883721</v>
      </c>
    </row>
    <row r="23" spans="1:10" x14ac:dyDescent="0.2">
      <c r="A23">
        <v>1986</v>
      </c>
      <c r="B23" s="8">
        <f>_xlfn.FLOOR.MATH(Table25[[#This Row],[Year]],10)</f>
        <v>1980</v>
      </c>
      <c r="C23" s="8">
        <f>COUNTIFS(Table1[year],Table25[[#This Row],[Year]],Table1[Significantly_Wealthier],TRUE)</f>
        <v>31</v>
      </c>
      <c r="D23" s="11">
        <f>COUNTIFS(Table1[year],Table25[[#This Row],[Year]],Table1[Wealthier_Winner],1,Table1[Significantly_Wealthier],TRUE)/Table25[[#This Row],[Significantly_Wealthier_Count]]</f>
        <v>0.4838709677419355</v>
      </c>
      <c r="E23" s="11">
        <f>COUNTIFS(Table1[year],Table25[[#This Row],[Year]],Table1[Wealthier_Winner],0,Table1[Significantly_Wealthier],TRUE)/Table25[[#This Row],[Significantly_Wealthier_Count]]</f>
        <v>0.32258064516129031</v>
      </c>
      <c r="F23" s="11">
        <f>COUNTIFS(Table1[year],Table25[[#This Row],[Year]],Table1[Wealthier_Winner],-1,Table1[Significantly_Wealthier],TRUE)/Table25[[#This Row],[Significantly_Wealthier_Count]]</f>
        <v>0.19354838709677419</v>
      </c>
      <c r="G23" s="12">
        <f>COUNTIFS(Table1[year],Table25[[#This Row],[Year]])</f>
        <v>38</v>
      </c>
      <c r="H23" s="11">
        <f>COUNTIFS(Table1[year],Table25[[#This Row],[Year]],Table1[Wealthier_Winner],1)/Table25[[#This Row],[Count]]</f>
        <v>0.5</v>
      </c>
      <c r="I23" s="11">
        <f>COUNTIFS(Table1[year],Table25[[#This Row],[Year]],Table1[Wealthier_Winner],0)/Table25[[#This Row],[Count]]</f>
        <v>0.26315789473684209</v>
      </c>
      <c r="J23" s="11">
        <f>COUNTIFS(Table1[year],Table25[[#This Row],[Year]],Table1[Wealthier_Winner],-1)/Table25[[#This Row],[Count]]</f>
        <v>0.23684210526315788</v>
      </c>
    </row>
    <row r="24" spans="1:10" x14ac:dyDescent="0.2">
      <c r="A24">
        <v>1988</v>
      </c>
      <c r="B24" s="8">
        <f>_xlfn.FLOOR.MATH(Table25[[#This Row],[Year]],10)</f>
        <v>1980</v>
      </c>
      <c r="C24" s="8">
        <f>COUNTIFS(Table1[year],Table25[[#This Row],[Year]],Table1[Significantly_Wealthier],TRUE)</f>
        <v>23</v>
      </c>
      <c r="D24" s="11">
        <f>COUNTIFS(Table1[year],Table25[[#This Row],[Year]],Table1[Wealthier_Winner],1,Table1[Significantly_Wealthier],TRUE)/Table25[[#This Row],[Significantly_Wealthier_Count]]</f>
        <v>0.47826086956521741</v>
      </c>
      <c r="E24" s="11">
        <f>COUNTIFS(Table1[year],Table25[[#This Row],[Year]],Table1[Wealthier_Winner],0,Table1[Significantly_Wealthier],TRUE)/Table25[[#This Row],[Significantly_Wealthier_Count]]</f>
        <v>0.30434782608695654</v>
      </c>
      <c r="F24" s="11">
        <f>COUNTIFS(Table1[year],Table25[[#This Row],[Year]],Table1[Wealthier_Winner],-1,Table1[Significantly_Wealthier],TRUE)/Table25[[#This Row],[Significantly_Wealthier_Count]]</f>
        <v>0.21739130434782608</v>
      </c>
      <c r="G24" s="12">
        <f>COUNTIFS(Table1[year],Table25[[#This Row],[Year]])</f>
        <v>29</v>
      </c>
      <c r="H24" s="11">
        <f>COUNTIFS(Table1[year],Table25[[#This Row],[Year]],Table1[Wealthier_Winner],1)/Table25[[#This Row],[Count]]</f>
        <v>0.41379310344827586</v>
      </c>
      <c r="I24" s="11">
        <f>COUNTIFS(Table1[year],Table25[[#This Row],[Year]],Table1[Wealthier_Winner],0)/Table25[[#This Row],[Count]]</f>
        <v>0.31034482758620691</v>
      </c>
      <c r="J24" s="11">
        <f>COUNTIFS(Table1[year],Table25[[#This Row],[Year]],Table1[Wealthier_Winner],-1)/Table25[[#This Row],[Count]]</f>
        <v>0.27586206896551724</v>
      </c>
    </row>
    <row r="25" spans="1:10" x14ac:dyDescent="0.2">
      <c r="A25">
        <v>1989</v>
      </c>
      <c r="B25" s="8">
        <f>_xlfn.FLOOR.MATH(Table25[[#This Row],[Year]],10)</f>
        <v>1980</v>
      </c>
      <c r="C25" s="8">
        <f>COUNTIFS(Table1[year],Table25[[#This Row],[Year]],Table1[Significantly_Wealthier],TRUE)</f>
        <v>113</v>
      </c>
      <c r="D25" s="11">
        <f>COUNTIFS(Table1[year],Table25[[#This Row],[Year]],Table1[Wealthier_Winner],1,Table1[Significantly_Wealthier],TRUE)/Table25[[#This Row],[Significantly_Wealthier_Count]]</f>
        <v>0.52212389380530977</v>
      </c>
      <c r="E25" s="11">
        <f>COUNTIFS(Table1[year],Table25[[#This Row],[Year]],Table1[Wealthier_Winner],0,Table1[Significantly_Wealthier],TRUE)/Table25[[#This Row],[Significantly_Wealthier_Count]]</f>
        <v>0.26548672566371684</v>
      </c>
      <c r="F25" s="11">
        <f>COUNTIFS(Table1[year],Table25[[#This Row],[Year]],Table1[Wealthier_Winner],-1,Table1[Significantly_Wealthier],TRUE)/Table25[[#This Row],[Significantly_Wealthier_Count]]</f>
        <v>0.21238938053097345</v>
      </c>
      <c r="G25" s="12">
        <f>COUNTIFS(Table1[year],Table25[[#This Row],[Year]])</f>
        <v>145</v>
      </c>
      <c r="H25" s="11">
        <f>COUNTIFS(Table1[year],Table25[[#This Row],[Year]],Table1[Wealthier_Winner],1)/Table25[[#This Row],[Count]]</f>
        <v>0.50344827586206897</v>
      </c>
      <c r="I25" s="11">
        <f>COUNTIFS(Table1[year],Table25[[#This Row],[Year]],Table1[Wealthier_Winner],0)/Table25[[#This Row],[Count]]</f>
        <v>0.26896551724137929</v>
      </c>
      <c r="J25" s="11">
        <f>COUNTIFS(Table1[year],Table25[[#This Row],[Year]],Table1[Wealthier_Winner],-1)/Table25[[#This Row],[Count]]</f>
        <v>0.22758620689655173</v>
      </c>
    </row>
    <row r="26" spans="1:10" x14ac:dyDescent="0.2">
      <c r="A26">
        <v>1990</v>
      </c>
      <c r="B26" s="8">
        <f>_xlfn.FLOOR.MATH(Table25[[#This Row],[Year]],10)</f>
        <v>1990</v>
      </c>
      <c r="C26" s="8">
        <f>COUNTIFS(Table1[year],Table25[[#This Row],[Year]],Table1[Significantly_Wealthier],TRUE)</f>
        <v>28</v>
      </c>
      <c r="D26" s="11">
        <f>COUNTIFS(Table1[year],Table25[[#This Row],[Year]],Table1[Wealthier_Winner],1,Table1[Significantly_Wealthier],TRUE)/Table25[[#This Row],[Significantly_Wealthier_Count]]</f>
        <v>0.42857142857142855</v>
      </c>
      <c r="E26" s="11">
        <f>COUNTIFS(Table1[year],Table25[[#This Row],[Year]],Table1[Wealthier_Winner],0,Table1[Significantly_Wealthier],TRUE)/Table25[[#This Row],[Significantly_Wealthier_Count]]</f>
        <v>0.21428571428571427</v>
      </c>
      <c r="F26" s="11">
        <f>COUNTIFS(Table1[year],Table25[[#This Row],[Year]],Table1[Wealthier_Winner],-1,Table1[Significantly_Wealthier],TRUE)/Table25[[#This Row],[Significantly_Wealthier_Count]]</f>
        <v>0.35714285714285715</v>
      </c>
      <c r="G26" s="12">
        <f>COUNTIFS(Table1[year],Table25[[#This Row],[Year]])</f>
        <v>34</v>
      </c>
      <c r="H26" s="11">
        <f>COUNTIFS(Table1[year],Table25[[#This Row],[Year]],Table1[Wealthier_Winner],1)/Table25[[#This Row],[Count]]</f>
        <v>0.44117647058823528</v>
      </c>
      <c r="I26" s="11">
        <f>COUNTIFS(Table1[year],Table25[[#This Row],[Year]],Table1[Wealthier_Winner],0)/Table25[[#This Row],[Count]]</f>
        <v>0.20588235294117646</v>
      </c>
      <c r="J26" s="11">
        <f>COUNTIFS(Table1[year],Table25[[#This Row],[Year]],Table1[Wealthier_Winner],-1)/Table25[[#This Row],[Count]]</f>
        <v>0.35294117647058826</v>
      </c>
    </row>
    <row r="27" spans="1:10" x14ac:dyDescent="0.2">
      <c r="A27">
        <v>1992</v>
      </c>
      <c r="B27" s="8">
        <f>_xlfn.FLOOR.MATH(Table25[[#This Row],[Year]],10)</f>
        <v>1990</v>
      </c>
      <c r="C27" s="8">
        <f>COUNTIFS(Table1[year],Table25[[#This Row],[Year]],Table1[Significantly_Wealthier],TRUE)</f>
        <v>76</v>
      </c>
      <c r="D27" s="11">
        <f>COUNTIFS(Table1[year],Table25[[#This Row],[Year]],Table1[Wealthier_Winner],1,Table1[Significantly_Wealthier],TRUE)/Table25[[#This Row],[Significantly_Wealthier_Count]]</f>
        <v>0.64473684210526316</v>
      </c>
      <c r="E27" s="11">
        <f>COUNTIFS(Table1[year],Table25[[#This Row],[Year]],Table1[Wealthier_Winner],0,Table1[Significantly_Wealthier],TRUE)/Table25[[#This Row],[Significantly_Wealthier_Count]]</f>
        <v>0.14473684210526316</v>
      </c>
      <c r="F27" s="11">
        <f>COUNTIFS(Table1[year],Table25[[#This Row],[Year]],Table1[Wealthier_Winner],-1,Table1[Significantly_Wealthier],TRUE)/Table25[[#This Row],[Significantly_Wealthier_Count]]</f>
        <v>0.21052631578947367</v>
      </c>
      <c r="G27" s="12">
        <f>COUNTIFS(Table1[year],Table25[[#This Row],[Year]])</f>
        <v>96</v>
      </c>
      <c r="H27" s="11">
        <f>COUNTIFS(Table1[year],Table25[[#This Row],[Year]],Table1[Wealthier_Winner],1)/Table25[[#This Row],[Count]]</f>
        <v>0.60416666666666663</v>
      </c>
      <c r="I27" s="11">
        <f>COUNTIFS(Table1[year],Table25[[#This Row],[Year]],Table1[Wealthier_Winner],0)/Table25[[#This Row],[Count]]</f>
        <v>0.15625</v>
      </c>
      <c r="J27" s="11">
        <f>COUNTIFS(Table1[year],Table25[[#This Row],[Year]],Table1[Wealthier_Winner],-1)/Table25[[#This Row],[Count]]</f>
        <v>0.23958333333333334</v>
      </c>
    </row>
    <row r="28" spans="1:10" x14ac:dyDescent="0.2">
      <c r="A28">
        <v>1993</v>
      </c>
      <c r="B28" s="8">
        <f>_xlfn.FLOOR.MATH(Table25[[#This Row],[Year]],10)</f>
        <v>1990</v>
      </c>
      <c r="C28" s="8">
        <f>COUNTIFS(Table1[year],Table25[[#This Row],[Year]],Table1[Significantly_Wealthier],TRUE)</f>
        <v>186</v>
      </c>
      <c r="D28" s="11">
        <f>COUNTIFS(Table1[year],Table25[[#This Row],[Year]],Table1[Wealthier_Winner],1,Table1[Significantly_Wealthier],TRUE)/Table25[[#This Row],[Significantly_Wealthier_Count]]</f>
        <v>0.521505376344086</v>
      </c>
      <c r="E28" s="11">
        <f>COUNTIFS(Table1[year],Table25[[#This Row],[Year]],Table1[Wealthier_Winner],0,Table1[Significantly_Wealthier],TRUE)/Table25[[#This Row],[Significantly_Wealthier_Count]]</f>
        <v>0.21505376344086022</v>
      </c>
      <c r="F28" s="11">
        <f>COUNTIFS(Table1[year],Table25[[#This Row],[Year]],Table1[Wealthier_Winner],-1,Table1[Significantly_Wealthier],TRUE)/Table25[[#This Row],[Significantly_Wealthier_Count]]</f>
        <v>0.26344086021505375</v>
      </c>
      <c r="G28" s="12">
        <f>COUNTIFS(Table1[year],Table25[[#This Row],[Year]])</f>
        <v>232</v>
      </c>
      <c r="H28" s="11">
        <f>COUNTIFS(Table1[year],Table25[[#This Row],[Year]],Table1[Wealthier_Winner],1)/Table25[[#This Row],[Count]]</f>
        <v>0.50862068965517238</v>
      </c>
      <c r="I28" s="11">
        <f>COUNTIFS(Table1[year],Table25[[#This Row],[Year]],Table1[Wealthier_Winner],0)/Table25[[#This Row],[Count]]</f>
        <v>0.21982758620689655</v>
      </c>
      <c r="J28" s="11">
        <f>COUNTIFS(Table1[year],Table25[[#This Row],[Year]],Table1[Wealthier_Winner],-1)/Table25[[#This Row],[Count]]</f>
        <v>0.27155172413793105</v>
      </c>
    </row>
    <row r="29" spans="1:10" x14ac:dyDescent="0.2">
      <c r="A29">
        <v>1994</v>
      </c>
      <c r="B29" s="8">
        <f>_xlfn.FLOOR.MATH(Table25[[#This Row],[Year]],10)</f>
        <v>1990</v>
      </c>
      <c r="C29" s="8">
        <f>COUNTIFS(Table1[year],Table25[[#This Row],[Year]],Table1[Significantly_Wealthier],TRUE)</f>
        <v>38</v>
      </c>
      <c r="D29" s="11">
        <f>COUNTIFS(Table1[year],Table25[[#This Row],[Year]],Table1[Wealthier_Winner],1,Table1[Significantly_Wealthier],TRUE)/Table25[[#This Row],[Significantly_Wealthier_Count]]</f>
        <v>0.55263157894736847</v>
      </c>
      <c r="E29" s="11">
        <f>COUNTIFS(Table1[year],Table25[[#This Row],[Year]],Table1[Wealthier_Winner],0,Table1[Significantly_Wealthier],TRUE)/Table25[[#This Row],[Significantly_Wealthier_Count]]</f>
        <v>0.21052631578947367</v>
      </c>
      <c r="F29" s="11">
        <f>COUNTIFS(Table1[year],Table25[[#This Row],[Year]],Table1[Wealthier_Winner],-1,Table1[Significantly_Wealthier],TRUE)/Table25[[#This Row],[Significantly_Wealthier_Count]]</f>
        <v>0.23684210526315788</v>
      </c>
      <c r="G29" s="12">
        <f>COUNTIFS(Table1[year],Table25[[#This Row],[Year]])</f>
        <v>48</v>
      </c>
      <c r="H29" s="11">
        <f>COUNTIFS(Table1[year],Table25[[#This Row],[Year]],Table1[Wealthier_Winner],1)/Table25[[#This Row],[Count]]</f>
        <v>0.52083333333333337</v>
      </c>
      <c r="I29" s="11">
        <f>COUNTIFS(Table1[year],Table25[[#This Row],[Year]],Table1[Wealthier_Winner],0)/Table25[[#This Row],[Count]]</f>
        <v>0.20833333333333334</v>
      </c>
      <c r="J29" s="11">
        <f>COUNTIFS(Table1[year],Table25[[#This Row],[Year]],Table1[Wealthier_Winner],-1)/Table25[[#This Row],[Count]]</f>
        <v>0.27083333333333331</v>
      </c>
    </row>
    <row r="30" spans="1:10" x14ac:dyDescent="0.2">
      <c r="A30">
        <v>1996</v>
      </c>
      <c r="B30" s="8">
        <f>_xlfn.FLOOR.MATH(Table25[[#This Row],[Year]],10)</f>
        <v>1990</v>
      </c>
      <c r="C30" s="8">
        <f>COUNTIFS(Table1[year],Table25[[#This Row],[Year]],Table1[Significantly_Wealthier],TRUE)</f>
        <v>141</v>
      </c>
      <c r="D30" s="11">
        <f>COUNTIFS(Table1[year],Table25[[#This Row],[Year]],Table1[Wealthier_Winner],1,Table1[Significantly_Wealthier],TRUE)/Table25[[#This Row],[Significantly_Wealthier_Count]]</f>
        <v>0.63120567375886527</v>
      </c>
      <c r="E30" s="11">
        <f>COUNTIFS(Table1[year],Table25[[#This Row],[Year]],Table1[Wealthier_Winner],0,Table1[Significantly_Wealthier],TRUE)/Table25[[#This Row],[Significantly_Wealthier_Count]]</f>
        <v>0.13475177304964539</v>
      </c>
      <c r="F30" s="11">
        <f>COUNTIFS(Table1[year],Table25[[#This Row],[Year]],Table1[Wealthier_Winner],-1,Table1[Significantly_Wealthier],TRUE)/Table25[[#This Row],[Significantly_Wealthier_Count]]</f>
        <v>0.23404255319148937</v>
      </c>
      <c r="G30" s="12">
        <f>COUNTIFS(Table1[year],Table25[[#This Row],[Year]])</f>
        <v>181</v>
      </c>
      <c r="H30" s="11">
        <f>COUNTIFS(Table1[year],Table25[[#This Row],[Year]],Table1[Wealthier_Winner],1)/Table25[[#This Row],[Count]]</f>
        <v>0.574585635359116</v>
      </c>
      <c r="I30" s="11">
        <f>COUNTIFS(Table1[year],Table25[[#This Row],[Year]],Table1[Wealthier_Winner],0)/Table25[[#This Row],[Count]]</f>
        <v>0.17127071823204421</v>
      </c>
      <c r="J30" s="11">
        <f>COUNTIFS(Table1[year],Table25[[#This Row],[Year]],Table1[Wealthier_Winner],-1)/Table25[[#This Row],[Count]]</f>
        <v>0.2541436464088398</v>
      </c>
    </row>
    <row r="31" spans="1:10" x14ac:dyDescent="0.2">
      <c r="A31">
        <v>1997</v>
      </c>
      <c r="B31" s="8">
        <f>_xlfn.FLOOR.MATH(Table25[[#This Row],[Year]],10)</f>
        <v>1990</v>
      </c>
      <c r="C31" s="8">
        <f>COUNTIFS(Table1[year],Table25[[#This Row],[Year]],Table1[Significantly_Wealthier],TRUE)</f>
        <v>261</v>
      </c>
      <c r="D31" s="11">
        <f>COUNTIFS(Table1[year],Table25[[#This Row],[Year]],Table1[Wealthier_Winner],1,Table1[Significantly_Wealthier],TRUE)/Table25[[#This Row],[Significantly_Wealthier_Count]]</f>
        <v>0.57471264367816088</v>
      </c>
      <c r="E31" s="11">
        <f>COUNTIFS(Table1[year],Table25[[#This Row],[Year]],Table1[Wealthier_Winner],0,Table1[Significantly_Wealthier],TRUE)/Table25[[#This Row],[Significantly_Wealthier_Count]]</f>
        <v>0.21455938697318008</v>
      </c>
      <c r="F31" s="11">
        <f>COUNTIFS(Table1[year],Table25[[#This Row],[Year]],Table1[Wealthier_Winner],-1,Table1[Significantly_Wealthier],TRUE)/Table25[[#This Row],[Significantly_Wealthier_Count]]</f>
        <v>0.21072796934865901</v>
      </c>
      <c r="G31" s="12">
        <f>COUNTIFS(Table1[year],Table25[[#This Row],[Year]])</f>
        <v>318</v>
      </c>
      <c r="H31" s="11">
        <f>COUNTIFS(Table1[year],Table25[[#This Row],[Year]],Table1[Wealthier_Winner],1)/Table25[[#This Row],[Count]]</f>
        <v>0.54402515723270439</v>
      </c>
      <c r="I31" s="11">
        <f>COUNTIFS(Table1[year],Table25[[#This Row],[Year]],Table1[Wealthier_Winner],0)/Table25[[#This Row],[Count]]</f>
        <v>0.22012578616352202</v>
      </c>
      <c r="J31" s="11">
        <f>COUNTIFS(Table1[year],Table25[[#This Row],[Year]],Table1[Wealthier_Winner],-1)/Table25[[#This Row],[Count]]</f>
        <v>0.23584905660377359</v>
      </c>
    </row>
    <row r="32" spans="1:10" x14ac:dyDescent="0.2">
      <c r="A32">
        <v>1998</v>
      </c>
      <c r="B32" s="8">
        <f>_xlfn.FLOOR.MATH(Table25[[#This Row],[Year]],10)</f>
        <v>1990</v>
      </c>
      <c r="C32" s="8">
        <f>COUNTIFS(Table1[year],Table25[[#This Row],[Year]],Table1[Significantly_Wealthier],TRUE)</f>
        <v>45</v>
      </c>
      <c r="D32" s="11">
        <f>COUNTIFS(Table1[year],Table25[[#This Row],[Year]],Table1[Wealthier_Winner],1,Table1[Significantly_Wealthier],TRUE)/Table25[[#This Row],[Significantly_Wealthier_Count]]</f>
        <v>0.48888888888888887</v>
      </c>
      <c r="E32" s="11">
        <f>COUNTIFS(Table1[year],Table25[[#This Row],[Year]],Table1[Wealthier_Winner],0,Table1[Significantly_Wealthier],TRUE)/Table25[[#This Row],[Significantly_Wealthier_Count]]</f>
        <v>0.2</v>
      </c>
      <c r="F32" s="11">
        <f>COUNTIFS(Table1[year],Table25[[#This Row],[Year]],Table1[Wealthier_Winner],-1,Table1[Significantly_Wealthier],TRUE)/Table25[[#This Row],[Significantly_Wealthier_Count]]</f>
        <v>0.31111111111111112</v>
      </c>
      <c r="G32" s="12">
        <f>COUNTIFS(Table1[year],Table25[[#This Row],[Year]])</f>
        <v>61</v>
      </c>
      <c r="H32" s="11">
        <f>COUNTIFS(Table1[year],Table25[[#This Row],[Year]],Table1[Wealthier_Winner],1)/Table25[[#This Row],[Count]]</f>
        <v>0.44262295081967212</v>
      </c>
      <c r="I32" s="11">
        <f>COUNTIFS(Table1[year],Table25[[#This Row],[Year]],Table1[Wealthier_Winner],0)/Table25[[#This Row],[Count]]</f>
        <v>0.29508196721311475</v>
      </c>
      <c r="J32" s="11">
        <f>COUNTIFS(Table1[year],Table25[[#This Row],[Year]],Table1[Wealthier_Winner],-1)/Table25[[#This Row],[Count]]</f>
        <v>0.26229508196721313</v>
      </c>
    </row>
    <row r="33" spans="1:10" x14ac:dyDescent="0.2">
      <c r="A33">
        <v>2000</v>
      </c>
      <c r="B33" s="8">
        <f>_xlfn.FLOOR.MATH(Table25[[#This Row],[Year]],10)</f>
        <v>2000</v>
      </c>
      <c r="C33" s="8">
        <f>COUNTIFS(Table1[year],Table25[[#This Row],[Year]],Table1[Significantly_Wealthier],TRUE)</f>
        <v>162</v>
      </c>
      <c r="D33" s="11">
        <f>COUNTIFS(Table1[year],Table25[[#This Row],[Year]],Table1[Wealthier_Winner],1,Table1[Significantly_Wealthier],TRUE)/Table25[[#This Row],[Significantly_Wealthier_Count]]</f>
        <v>0.57407407407407407</v>
      </c>
      <c r="E33" s="11">
        <f>COUNTIFS(Table1[year],Table25[[#This Row],[Year]],Table1[Wealthier_Winner],0,Table1[Significantly_Wealthier],TRUE)/Table25[[#This Row],[Significantly_Wealthier_Count]]</f>
        <v>0.20987654320987653</v>
      </c>
      <c r="F33" s="11">
        <f>COUNTIFS(Table1[year],Table25[[#This Row],[Year]],Table1[Wealthier_Winner],-1,Table1[Significantly_Wealthier],TRUE)/Table25[[#This Row],[Significantly_Wealthier_Count]]</f>
        <v>0.21604938271604937</v>
      </c>
      <c r="G33" s="12">
        <f>COUNTIFS(Table1[year],Table25[[#This Row],[Year]])</f>
        <v>213</v>
      </c>
      <c r="H33" s="11">
        <f>COUNTIFS(Table1[year],Table25[[#This Row],[Year]],Table1[Wealthier_Winner],1)/Table25[[#This Row],[Count]]</f>
        <v>0.5258215962441315</v>
      </c>
      <c r="I33" s="11">
        <f>COUNTIFS(Table1[year],Table25[[#This Row],[Year]],Table1[Wealthier_Winner],0)/Table25[[#This Row],[Count]]</f>
        <v>0.20187793427230047</v>
      </c>
      <c r="J33" s="11">
        <f>COUNTIFS(Table1[year],Table25[[#This Row],[Year]],Table1[Wealthier_Winner],-1)/Table25[[#This Row],[Count]]</f>
        <v>0.27230046948356806</v>
      </c>
    </row>
    <row r="34" spans="1:10" x14ac:dyDescent="0.2">
      <c r="A34">
        <v>2001</v>
      </c>
      <c r="B34" s="8">
        <f>_xlfn.FLOOR.MATH(Table25[[#This Row],[Year]],10)</f>
        <v>2000</v>
      </c>
      <c r="C34" s="8">
        <f>COUNTIFS(Table1[year],Table25[[#This Row],[Year]],Table1[Significantly_Wealthier],TRUE)</f>
        <v>282</v>
      </c>
      <c r="D34" s="11">
        <f>COUNTIFS(Table1[year],Table25[[#This Row],[Year]],Table1[Wealthier_Winner],1,Table1[Significantly_Wealthier],TRUE)/Table25[[#This Row],[Significantly_Wealthier_Count]]</f>
        <v>0.57092198581560283</v>
      </c>
      <c r="E34" s="11">
        <f>COUNTIFS(Table1[year],Table25[[#This Row],[Year]],Table1[Wealthier_Winner],0,Table1[Significantly_Wealthier],TRUE)/Table25[[#This Row],[Significantly_Wealthier_Count]]</f>
        <v>0.21985815602836881</v>
      </c>
      <c r="F34" s="11">
        <f>COUNTIFS(Table1[year],Table25[[#This Row],[Year]],Table1[Wealthier_Winner],-1,Table1[Significantly_Wealthier],TRUE)/Table25[[#This Row],[Significantly_Wealthier_Count]]</f>
        <v>0.20921985815602837</v>
      </c>
      <c r="G34" s="12">
        <f>COUNTIFS(Table1[year],Table25[[#This Row],[Year]])</f>
        <v>358</v>
      </c>
      <c r="H34" s="11">
        <f>COUNTIFS(Table1[year],Table25[[#This Row],[Year]],Table1[Wealthier_Winner],1)/Table25[[#This Row],[Count]]</f>
        <v>0.53631284916201116</v>
      </c>
      <c r="I34" s="11">
        <f>COUNTIFS(Table1[year],Table25[[#This Row],[Year]],Table1[Wealthier_Winner],0)/Table25[[#This Row],[Count]]</f>
        <v>0.23463687150837989</v>
      </c>
      <c r="J34" s="11">
        <f>COUNTIFS(Table1[year],Table25[[#This Row],[Year]],Table1[Wealthier_Winner],-1)/Table25[[#This Row],[Count]]</f>
        <v>0.22905027932960895</v>
      </c>
    </row>
    <row r="35" spans="1:10" x14ac:dyDescent="0.2">
      <c r="A35">
        <v>2002</v>
      </c>
      <c r="B35" s="8">
        <f>_xlfn.FLOOR.MATH(Table25[[#This Row],[Year]],10)</f>
        <v>2000</v>
      </c>
      <c r="C35" s="8">
        <f>COUNTIFS(Table1[year],Table25[[#This Row],[Year]],Table1[Significantly_Wealthier],TRUE)</f>
        <v>42</v>
      </c>
      <c r="D35" s="11">
        <f>COUNTIFS(Table1[year],Table25[[#This Row],[Year]],Table1[Wealthier_Winner],1,Table1[Significantly_Wealthier],TRUE)/Table25[[#This Row],[Significantly_Wealthier_Count]]</f>
        <v>0.54761904761904767</v>
      </c>
      <c r="E35" s="11">
        <f>COUNTIFS(Table1[year],Table25[[#This Row],[Year]],Table1[Wealthier_Winner],0,Table1[Significantly_Wealthier],TRUE)/Table25[[#This Row],[Significantly_Wealthier_Count]]</f>
        <v>0.21428571428571427</v>
      </c>
      <c r="F35" s="11">
        <f>COUNTIFS(Table1[year],Table25[[#This Row],[Year]],Table1[Wealthier_Winner],-1,Table1[Significantly_Wealthier],TRUE)/Table25[[#This Row],[Significantly_Wealthier_Count]]</f>
        <v>0.23809523809523808</v>
      </c>
      <c r="G35" s="12">
        <f>COUNTIFS(Table1[year],Table25[[#This Row],[Year]])</f>
        <v>51</v>
      </c>
      <c r="H35" s="11">
        <f>COUNTIFS(Table1[year],Table25[[#This Row],[Year]],Table1[Wealthier_Winner],1)/Table25[[#This Row],[Count]]</f>
        <v>0.50980392156862742</v>
      </c>
      <c r="I35" s="11">
        <f>COUNTIFS(Table1[year],Table25[[#This Row],[Year]],Table1[Wealthier_Winner],0)/Table25[[#This Row],[Count]]</f>
        <v>0.23529411764705882</v>
      </c>
      <c r="J35" s="11">
        <f>COUNTIFS(Table1[year],Table25[[#This Row],[Year]],Table1[Wealthier_Winner],-1)/Table25[[#This Row],[Count]]</f>
        <v>0.25490196078431371</v>
      </c>
    </row>
    <row r="36" spans="1:10" x14ac:dyDescent="0.2">
      <c r="A36">
        <v>2003</v>
      </c>
      <c r="B36" s="8">
        <f>_xlfn.FLOOR.MATH(Table25[[#This Row],[Year]],10)</f>
        <v>2000</v>
      </c>
      <c r="C36" s="8">
        <f>COUNTIFS(Table1[year],Table25[[#This Row],[Year]],Table1[Significantly_Wealthier],TRUE)</f>
        <v>32</v>
      </c>
      <c r="D36" s="11">
        <f>COUNTIFS(Table1[year],Table25[[#This Row],[Year]],Table1[Wealthier_Winner],1,Table1[Significantly_Wealthier],TRUE)/Table25[[#This Row],[Significantly_Wealthier_Count]]</f>
        <v>0.46875</v>
      </c>
      <c r="E36" s="11">
        <f>COUNTIFS(Table1[year],Table25[[#This Row],[Year]],Table1[Wealthier_Winner],0,Table1[Significantly_Wealthier],TRUE)/Table25[[#This Row],[Significantly_Wealthier_Count]]</f>
        <v>0.21875</v>
      </c>
      <c r="F36" s="11">
        <f>COUNTIFS(Table1[year],Table25[[#This Row],[Year]],Table1[Wealthier_Winner],-1,Table1[Significantly_Wealthier],TRUE)/Table25[[#This Row],[Significantly_Wealthier_Count]]</f>
        <v>0.3125</v>
      </c>
      <c r="G36" s="12">
        <f>COUNTIFS(Table1[year],Table25[[#This Row],[Year]])</f>
        <v>56</v>
      </c>
      <c r="H36" s="11">
        <f>COUNTIFS(Table1[year],Table25[[#This Row],[Year]],Table1[Wealthier_Winner],1)/Table25[[#This Row],[Count]]</f>
        <v>0.39285714285714285</v>
      </c>
      <c r="I36" s="11">
        <f>COUNTIFS(Table1[year],Table25[[#This Row],[Year]],Table1[Wealthier_Winner],0)/Table25[[#This Row],[Count]]</f>
        <v>0.23214285714285715</v>
      </c>
      <c r="J36" s="11">
        <f>COUNTIFS(Table1[year],Table25[[#This Row],[Year]],Table1[Wealthier_Winner],-1)/Table25[[#This Row],[Count]]</f>
        <v>0.375</v>
      </c>
    </row>
    <row r="37" spans="1:10" x14ac:dyDescent="0.2">
      <c r="A37">
        <v>2004</v>
      </c>
      <c r="B37" s="8">
        <f>_xlfn.FLOOR.MATH(Table25[[#This Row],[Year]],10)</f>
        <v>2000</v>
      </c>
      <c r="C37" s="8">
        <f>COUNTIFS(Table1[year],Table25[[#This Row],[Year]],Table1[Significantly_Wealthier],TRUE)</f>
        <v>221</v>
      </c>
      <c r="D37" s="11">
        <f>COUNTIFS(Table1[year],Table25[[#This Row],[Year]],Table1[Wealthier_Winner],1,Table1[Significantly_Wealthier],TRUE)/Table25[[#This Row],[Significantly_Wealthier_Count]]</f>
        <v>0.55203619909502266</v>
      </c>
      <c r="E37" s="11">
        <f>COUNTIFS(Table1[year],Table25[[#This Row],[Year]],Table1[Wealthier_Winner],0,Table1[Significantly_Wealthier],TRUE)/Table25[[#This Row],[Significantly_Wealthier_Count]]</f>
        <v>0.24434389140271492</v>
      </c>
      <c r="F37" s="11">
        <f>COUNTIFS(Table1[year],Table25[[#This Row],[Year]],Table1[Wealthier_Winner],-1,Table1[Significantly_Wealthier],TRUE)/Table25[[#This Row],[Significantly_Wealthier_Count]]</f>
        <v>0.20361990950226244</v>
      </c>
      <c r="G37" s="12">
        <f>COUNTIFS(Table1[year],Table25[[#This Row],[Year]])</f>
        <v>281</v>
      </c>
      <c r="H37" s="11">
        <f>COUNTIFS(Table1[year],Table25[[#This Row],[Year]],Table1[Wealthier_Winner],1)/Table25[[#This Row],[Count]]</f>
        <v>0.49822064056939502</v>
      </c>
      <c r="I37" s="11">
        <f>COUNTIFS(Table1[year],Table25[[#This Row],[Year]],Table1[Wealthier_Winner],0)/Table25[[#This Row],[Count]]</f>
        <v>0.25266903914590749</v>
      </c>
      <c r="J37" s="11">
        <f>COUNTIFS(Table1[year],Table25[[#This Row],[Year]],Table1[Wealthier_Winner],-1)/Table25[[#This Row],[Count]]</f>
        <v>0.24911032028469751</v>
      </c>
    </row>
    <row r="38" spans="1:10" x14ac:dyDescent="0.2">
      <c r="A38">
        <v>2005</v>
      </c>
      <c r="B38" s="8">
        <f>_xlfn.FLOOR.MATH(Table25[[#This Row],[Year]],10)</f>
        <v>2000</v>
      </c>
      <c r="C38" s="8">
        <f>COUNTIFS(Table1[year],Table25[[#This Row],[Year]],Table1[Significantly_Wealthier],TRUE)</f>
        <v>217</v>
      </c>
      <c r="D38" s="11">
        <f>COUNTIFS(Table1[year],Table25[[#This Row],[Year]],Table1[Wealthier_Winner],1,Table1[Significantly_Wealthier],TRUE)/Table25[[#This Row],[Significantly_Wealthier_Count]]</f>
        <v>0.60368663594470051</v>
      </c>
      <c r="E38" s="11">
        <f>COUNTIFS(Table1[year],Table25[[#This Row],[Year]],Table1[Wealthier_Winner],0,Table1[Significantly_Wealthier],TRUE)/Table25[[#This Row],[Significantly_Wealthier_Count]]</f>
        <v>0.2119815668202765</v>
      </c>
      <c r="F38" s="11">
        <f>COUNTIFS(Table1[year],Table25[[#This Row],[Year]],Table1[Wealthier_Winner],-1,Table1[Significantly_Wealthier],TRUE)/Table25[[#This Row],[Significantly_Wealthier_Count]]</f>
        <v>0.18433179723502305</v>
      </c>
      <c r="G38" s="12">
        <f>COUNTIFS(Table1[year],Table25[[#This Row],[Year]])</f>
        <v>274</v>
      </c>
      <c r="H38" s="11">
        <f>COUNTIFS(Table1[year],Table25[[#This Row],[Year]],Table1[Wealthier_Winner],1)/Table25[[#This Row],[Count]]</f>
        <v>0.59854014598540151</v>
      </c>
      <c r="I38" s="11">
        <f>COUNTIFS(Table1[year],Table25[[#This Row],[Year]],Table1[Wealthier_Winner],0)/Table25[[#This Row],[Count]]</f>
        <v>0.21532846715328466</v>
      </c>
      <c r="J38" s="11">
        <f>COUNTIFS(Table1[year],Table25[[#This Row],[Year]],Table1[Wealthier_Winner],-1)/Table25[[#This Row],[Count]]</f>
        <v>0.18613138686131386</v>
      </c>
    </row>
    <row r="39" spans="1:10" x14ac:dyDescent="0.2">
      <c r="A39">
        <v>2006</v>
      </c>
      <c r="B39" s="8">
        <f>_xlfn.FLOOR.MATH(Table25[[#This Row],[Year]],10)</f>
        <v>2000</v>
      </c>
      <c r="C39" s="8">
        <f>COUNTIFS(Table1[year],Table25[[#This Row],[Year]],Table1[Significantly_Wealthier],TRUE)</f>
        <v>52</v>
      </c>
      <c r="D39" s="11">
        <f>COUNTIFS(Table1[year],Table25[[#This Row],[Year]],Table1[Wealthier_Winner],1,Table1[Significantly_Wealthier],TRUE)/Table25[[#This Row],[Significantly_Wealthier_Count]]</f>
        <v>0.55769230769230771</v>
      </c>
      <c r="E39" s="11">
        <f>COUNTIFS(Table1[year],Table25[[#This Row],[Year]],Table1[Wealthier_Winner],0,Table1[Significantly_Wealthier],TRUE)/Table25[[#This Row],[Significantly_Wealthier_Count]]</f>
        <v>0.26923076923076922</v>
      </c>
      <c r="F39" s="11">
        <f>COUNTIFS(Table1[year],Table25[[#This Row],[Year]],Table1[Wealthier_Winner],-1,Table1[Significantly_Wealthier],TRUE)/Table25[[#This Row],[Significantly_Wealthier_Count]]</f>
        <v>0.17307692307692307</v>
      </c>
      <c r="G39" s="12">
        <f>COUNTIFS(Table1[year],Table25[[#This Row],[Year]])</f>
        <v>58</v>
      </c>
      <c r="H39" s="11">
        <f>COUNTIFS(Table1[year],Table25[[#This Row],[Year]],Table1[Wealthier_Winner],1)/Table25[[#This Row],[Count]]</f>
        <v>0.53448275862068961</v>
      </c>
      <c r="I39" s="11">
        <f>COUNTIFS(Table1[year],Table25[[#This Row],[Year]],Table1[Wealthier_Winner],0)/Table25[[#This Row],[Count]]</f>
        <v>0.25862068965517243</v>
      </c>
      <c r="J39" s="11">
        <f>COUNTIFS(Table1[year],Table25[[#This Row],[Year]],Table1[Wealthier_Winner],-1)/Table25[[#This Row],[Count]]</f>
        <v>0.20689655172413793</v>
      </c>
    </row>
    <row r="40" spans="1:10" x14ac:dyDescent="0.2">
      <c r="A40">
        <v>2007</v>
      </c>
      <c r="B40" s="8">
        <f>_xlfn.FLOOR.MATH(Table25[[#This Row],[Year]],10)</f>
        <v>2000</v>
      </c>
      <c r="C40" s="8">
        <f>COUNTIFS(Table1[year],Table25[[#This Row],[Year]],Table1[Significantly_Wealthier],TRUE)</f>
        <v>37</v>
      </c>
      <c r="D40" s="11">
        <f>COUNTIFS(Table1[year],Table25[[#This Row],[Year]],Table1[Wealthier_Winner],1,Table1[Significantly_Wealthier],TRUE)/Table25[[#This Row],[Significantly_Wealthier_Count]]</f>
        <v>0.45945945945945948</v>
      </c>
      <c r="E40" s="11">
        <f>COUNTIFS(Table1[year],Table25[[#This Row],[Year]],Table1[Wealthier_Winner],0,Table1[Significantly_Wealthier],TRUE)/Table25[[#This Row],[Significantly_Wealthier_Count]]</f>
        <v>0.29729729729729731</v>
      </c>
      <c r="F40" s="11">
        <f>COUNTIFS(Table1[year],Table25[[#This Row],[Year]],Table1[Wealthier_Winner],-1,Table1[Significantly_Wealthier],TRUE)/Table25[[#This Row],[Significantly_Wealthier_Count]]</f>
        <v>0.24324324324324326</v>
      </c>
      <c r="G40" s="12">
        <f>COUNTIFS(Table1[year],Table25[[#This Row],[Year]])</f>
        <v>46</v>
      </c>
      <c r="H40" s="11">
        <f>COUNTIFS(Table1[year],Table25[[#This Row],[Year]],Table1[Wealthier_Winner],1)/Table25[[#This Row],[Count]]</f>
        <v>0.5</v>
      </c>
      <c r="I40" s="11">
        <f>COUNTIFS(Table1[year],Table25[[#This Row],[Year]],Table1[Wealthier_Winner],0)/Table25[[#This Row],[Count]]</f>
        <v>0.2391304347826087</v>
      </c>
      <c r="J40" s="11">
        <f>COUNTIFS(Table1[year],Table25[[#This Row],[Year]],Table1[Wealthier_Winner],-1)/Table25[[#This Row],[Count]]</f>
        <v>0.2608695652173913</v>
      </c>
    </row>
    <row r="41" spans="1:10" x14ac:dyDescent="0.2">
      <c r="A41">
        <v>2008</v>
      </c>
      <c r="B41" s="8">
        <f>_xlfn.FLOOR.MATH(Table25[[#This Row],[Year]],10)</f>
        <v>2000</v>
      </c>
      <c r="C41" s="8">
        <f>COUNTIFS(Table1[year],Table25[[#This Row],[Year]],Table1[Significantly_Wealthier],TRUE)</f>
        <v>245</v>
      </c>
      <c r="D41" s="11">
        <f>COUNTIFS(Table1[year],Table25[[#This Row],[Year]],Table1[Wealthier_Winner],1,Table1[Significantly_Wealthier],TRUE)/Table25[[#This Row],[Significantly_Wealthier_Count]]</f>
        <v>0.59591836734693882</v>
      </c>
      <c r="E41" s="11">
        <f>COUNTIFS(Table1[year],Table25[[#This Row],[Year]],Table1[Wealthier_Winner],0,Table1[Significantly_Wealthier],TRUE)/Table25[[#This Row],[Significantly_Wealthier_Count]]</f>
        <v>0.19591836734693877</v>
      </c>
      <c r="F41" s="11">
        <f>COUNTIFS(Table1[year],Table25[[#This Row],[Year]],Table1[Wealthier_Winner],-1,Table1[Significantly_Wealthier],TRUE)/Table25[[#This Row],[Significantly_Wealthier_Count]]</f>
        <v>0.20816326530612245</v>
      </c>
      <c r="G41" s="12">
        <f>COUNTIFS(Table1[year],Table25[[#This Row],[Year]])</f>
        <v>323</v>
      </c>
      <c r="H41" s="11">
        <f>COUNTIFS(Table1[year],Table25[[#This Row],[Year]],Table1[Wealthier_Winner],1)/Table25[[#This Row],[Count]]</f>
        <v>0.56037151702786381</v>
      </c>
      <c r="I41" s="11">
        <f>COUNTIFS(Table1[year],Table25[[#This Row],[Year]],Table1[Wealthier_Winner],0)/Table25[[#This Row],[Count]]</f>
        <v>0.19814241486068113</v>
      </c>
      <c r="J41" s="11">
        <f>COUNTIFS(Table1[year],Table25[[#This Row],[Year]],Table1[Wealthier_Winner],-1)/Table25[[#This Row],[Count]]</f>
        <v>0.24148606811145512</v>
      </c>
    </row>
    <row r="42" spans="1:10" x14ac:dyDescent="0.2">
      <c r="A42">
        <v>2009</v>
      </c>
      <c r="B42" s="8">
        <f>_xlfn.FLOOR.MATH(Table25[[#This Row],[Year]],10)</f>
        <v>2000</v>
      </c>
      <c r="C42" s="8">
        <f>COUNTIFS(Table1[year],Table25[[#This Row],[Year]],Table1[Significantly_Wealthier],TRUE)</f>
        <v>219</v>
      </c>
      <c r="D42" s="11">
        <f>COUNTIFS(Table1[year],Table25[[#This Row],[Year]],Table1[Wealthier_Winner],1,Table1[Significantly_Wealthier],TRUE)/Table25[[#This Row],[Significantly_Wealthier_Count]]</f>
        <v>0.58447488584474883</v>
      </c>
      <c r="E42" s="11">
        <f>COUNTIFS(Table1[year],Table25[[#This Row],[Year]],Table1[Wealthier_Winner],0,Table1[Significantly_Wealthier],TRUE)/Table25[[#This Row],[Significantly_Wealthier_Count]]</f>
        <v>0.21461187214611871</v>
      </c>
      <c r="F42" s="11">
        <f>COUNTIFS(Table1[year],Table25[[#This Row],[Year]],Table1[Wealthier_Winner],-1,Table1[Significantly_Wealthier],TRUE)/Table25[[#This Row],[Significantly_Wealthier_Count]]</f>
        <v>0.20091324200913241</v>
      </c>
      <c r="G42" s="12">
        <f>COUNTIFS(Table1[year],Table25[[#This Row],[Year]])</f>
        <v>281</v>
      </c>
      <c r="H42" s="11">
        <f>COUNTIFS(Table1[year],Table25[[#This Row],[Year]],Table1[Wealthier_Winner],1)/Table25[[#This Row],[Count]]</f>
        <v>0.56939501779359436</v>
      </c>
      <c r="I42" s="11">
        <f>COUNTIFS(Table1[year],Table25[[#This Row],[Year]],Table1[Wealthier_Winner],0)/Table25[[#This Row],[Count]]</f>
        <v>0.20284697508896798</v>
      </c>
      <c r="J42" s="11">
        <f>COUNTIFS(Table1[year],Table25[[#This Row],[Year]],Table1[Wealthier_Winner],-1)/Table25[[#This Row],[Count]]</f>
        <v>0.22775800711743771</v>
      </c>
    </row>
    <row r="43" spans="1:10" x14ac:dyDescent="0.2">
      <c r="A43">
        <v>2010</v>
      </c>
      <c r="B43" s="8">
        <f>_xlfn.FLOOR.MATH(Table25[[#This Row],[Year]],10)</f>
        <v>2010</v>
      </c>
      <c r="C43" s="8">
        <f>COUNTIFS(Table1[year],Table25[[#This Row],[Year]],Table1[Significantly_Wealthier],TRUE)</f>
        <v>48</v>
      </c>
      <c r="D43" s="11">
        <f>COUNTIFS(Table1[year],Table25[[#This Row],[Year]],Table1[Wealthier_Winner],1,Table1[Significantly_Wealthier],TRUE)/Table25[[#This Row],[Significantly_Wealthier_Count]]</f>
        <v>0.41666666666666669</v>
      </c>
      <c r="E43" s="11">
        <f>COUNTIFS(Table1[year],Table25[[#This Row],[Year]],Table1[Wealthier_Winner],0,Table1[Significantly_Wealthier],TRUE)/Table25[[#This Row],[Significantly_Wealthier_Count]]</f>
        <v>0.27083333333333331</v>
      </c>
      <c r="F43" s="11">
        <f>COUNTIFS(Table1[year],Table25[[#This Row],[Year]],Table1[Wealthier_Winner],-1,Table1[Significantly_Wealthier],TRUE)/Table25[[#This Row],[Significantly_Wealthier_Count]]</f>
        <v>0.3125</v>
      </c>
      <c r="G43" s="12">
        <f>COUNTIFS(Table1[year],Table25[[#This Row],[Year]])</f>
        <v>55</v>
      </c>
      <c r="H43" s="11">
        <f>COUNTIFS(Table1[year],Table25[[#This Row],[Year]],Table1[Wealthier_Winner],1)/Table25[[#This Row],[Count]]</f>
        <v>0.43636363636363634</v>
      </c>
      <c r="I43" s="11">
        <f>COUNTIFS(Table1[year],Table25[[#This Row],[Year]],Table1[Wealthier_Winner],0)/Table25[[#This Row],[Count]]</f>
        <v>0.25454545454545452</v>
      </c>
      <c r="J43" s="11">
        <f>COUNTIFS(Table1[year],Table25[[#This Row],[Year]],Table1[Wealthier_Winner],-1)/Table25[[#This Row],[Count]]</f>
        <v>0.30909090909090908</v>
      </c>
    </row>
    <row r="44" spans="1:10" x14ac:dyDescent="0.2">
      <c r="A44">
        <v>2011</v>
      </c>
      <c r="B44" s="8">
        <f>_xlfn.FLOOR.MATH(Table25[[#This Row],[Year]],10)</f>
        <v>2010</v>
      </c>
      <c r="C44" s="8">
        <f>COUNTIFS(Table1[year],Table25[[#This Row],[Year]],Table1[Significantly_Wealthier],TRUE)</f>
        <v>108</v>
      </c>
      <c r="D44" s="11">
        <f>COUNTIFS(Table1[year],Table25[[#This Row],[Year]],Table1[Wealthier_Winner],1,Table1[Significantly_Wealthier],TRUE)/Table25[[#This Row],[Significantly_Wealthier_Count]]</f>
        <v>0.56481481481481477</v>
      </c>
      <c r="E44" s="11">
        <f>COUNTIFS(Table1[year],Table25[[#This Row],[Year]],Table1[Wealthier_Winner],0,Table1[Significantly_Wealthier],TRUE)/Table25[[#This Row],[Significantly_Wealthier_Count]]</f>
        <v>0.15740740740740741</v>
      </c>
      <c r="F44" s="11">
        <f>COUNTIFS(Table1[year],Table25[[#This Row],[Year]],Table1[Wealthier_Winner],-1,Table1[Significantly_Wealthier],TRUE)/Table25[[#This Row],[Significantly_Wealthier_Count]]</f>
        <v>0.27777777777777779</v>
      </c>
      <c r="G44" s="12">
        <f>COUNTIFS(Table1[year],Table25[[#This Row],[Year]])</f>
        <v>145</v>
      </c>
      <c r="H44" s="11">
        <f>COUNTIFS(Table1[year],Table25[[#This Row],[Year]],Table1[Wealthier_Winner],1)/Table25[[#This Row],[Count]]</f>
        <v>0.52413793103448281</v>
      </c>
      <c r="I44" s="11">
        <f>COUNTIFS(Table1[year],Table25[[#This Row],[Year]],Table1[Wealthier_Winner],0)/Table25[[#This Row],[Count]]</f>
        <v>0.1793103448275862</v>
      </c>
      <c r="J44" s="11">
        <f>COUNTIFS(Table1[year],Table25[[#This Row],[Year]],Table1[Wealthier_Winner],-1)/Table25[[#This Row],[Count]]</f>
        <v>0.29655172413793102</v>
      </c>
    </row>
    <row r="45" spans="1:10" x14ac:dyDescent="0.2">
      <c r="A45">
        <v>2012</v>
      </c>
      <c r="B45" s="8">
        <f>_xlfn.FLOOR.MATH(Table25[[#This Row],[Year]],10)</f>
        <v>2010</v>
      </c>
      <c r="C45" s="8">
        <f>COUNTIFS(Table1[year],Table25[[#This Row],[Year]],Table1[Significantly_Wealthier],TRUE)</f>
        <v>174</v>
      </c>
      <c r="D45" s="11">
        <f>COUNTIFS(Table1[year],Table25[[#This Row],[Year]],Table1[Wealthier_Winner],1,Table1[Significantly_Wealthier],TRUE)/Table25[[#This Row],[Significantly_Wealthier_Count]]</f>
        <v>0.60919540229885061</v>
      </c>
      <c r="E45" s="11">
        <f>COUNTIFS(Table1[year],Table25[[#This Row],[Year]],Table1[Wealthier_Winner],0,Table1[Significantly_Wealthier],TRUE)/Table25[[#This Row],[Significantly_Wealthier_Count]]</f>
        <v>0.21839080459770116</v>
      </c>
      <c r="F45" s="11">
        <f>COUNTIFS(Table1[year],Table25[[#This Row],[Year]],Table1[Wealthier_Winner],-1,Table1[Significantly_Wealthier],TRUE)/Table25[[#This Row],[Significantly_Wealthier_Count]]</f>
        <v>0.17241379310344829</v>
      </c>
      <c r="G45" s="12">
        <f>COUNTIFS(Table1[year],Table25[[#This Row],[Year]])</f>
        <v>200</v>
      </c>
      <c r="H45" s="11">
        <f>COUNTIFS(Table1[year],Table25[[#This Row],[Year]],Table1[Wealthier_Winner],1)/Table25[[#This Row],[Count]]</f>
        <v>0.56999999999999995</v>
      </c>
      <c r="I45" s="11">
        <f>COUNTIFS(Table1[year],Table25[[#This Row],[Year]],Table1[Wealthier_Winner],0)/Table25[[#This Row],[Count]]</f>
        <v>0.23</v>
      </c>
      <c r="J45" s="11">
        <f>COUNTIFS(Table1[year],Table25[[#This Row],[Year]],Table1[Wealthier_Winner],-1)/Table25[[#This Row],[Count]]</f>
        <v>0.2</v>
      </c>
    </row>
    <row r="46" spans="1:10" x14ac:dyDescent="0.2">
      <c r="A46">
        <v>2013</v>
      </c>
      <c r="B46" s="8">
        <f>_xlfn.FLOOR.MATH(Table25[[#This Row],[Year]],10)</f>
        <v>2010</v>
      </c>
      <c r="C46" s="8">
        <f>COUNTIFS(Table1[year],Table25[[#This Row],[Year]],Table1[Significantly_Wealthier],TRUE)</f>
        <v>229</v>
      </c>
      <c r="D46" s="11">
        <f>COUNTIFS(Table1[year],Table25[[#This Row],[Year]],Table1[Wealthier_Winner],1,Table1[Significantly_Wealthier],TRUE)/Table25[[#This Row],[Significantly_Wealthier_Count]]</f>
        <v>0.6026200873362445</v>
      </c>
      <c r="E46" s="11">
        <f>COUNTIFS(Table1[year],Table25[[#This Row],[Year]],Table1[Wealthier_Winner],0,Table1[Significantly_Wealthier],TRUE)/Table25[[#This Row],[Significantly_Wealthier_Count]]</f>
        <v>0.2183406113537118</v>
      </c>
      <c r="F46" s="11">
        <f>COUNTIFS(Table1[year],Table25[[#This Row],[Year]],Table1[Wealthier_Winner],-1,Table1[Significantly_Wealthier],TRUE)/Table25[[#This Row],[Significantly_Wealthier_Count]]</f>
        <v>0.17903930131004367</v>
      </c>
      <c r="G46" s="12">
        <f>COUNTIFS(Table1[year],Table25[[#This Row],[Year]])</f>
        <v>282</v>
      </c>
      <c r="H46" s="11">
        <f>COUNTIFS(Table1[year],Table25[[#This Row],[Year]],Table1[Wealthier_Winner],1)/Table25[[#This Row],[Count]]</f>
        <v>0.57092198581560283</v>
      </c>
      <c r="I46" s="11">
        <f>COUNTIFS(Table1[year],Table25[[#This Row],[Year]],Table1[Wealthier_Winner],0)/Table25[[#This Row],[Count]]</f>
        <v>0.24468085106382978</v>
      </c>
      <c r="J46" s="11">
        <f>COUNTIFS(Table1[year],Table25[[#This Row],[Year]],Table1[Wealthier_Winner],-1)/Table25[[#This Row],[Count]]</f>
        <v>0.18439716312056736</v>
      </c>
    </row>
    <row r="47" spans="1:10" x14ac:dyDescent="0.2">
      <c r="A47">
        <v>2014</v>
      </c>
      <c r="B47" s="8">
        <f>_xlfn.FLOOR.MATH(Table25[[#This Row],[Year]],10)</f>
        <v>2010</v>
      </c>
      <c r="C47" s="8">
        <f>COUNTIFS(Table1[year],Table25[[#This Row],[Year]],Table1[Significantly_Wealthier],TRUE)</f>
        <v>43</v>
      </c>
      <c r="D47" s="11">
        <f>COUNTIFS(Table1[year],Table25[[#This Row],[Year]],Table1[Wealthier_Winner],1,Table1[Significantly_Wealthier],TRUE)/Table25[[#This Row],[Significantly_Wealthier_Count]]</f>
        <v>0.48837209302325579</v>
      </c>
      <c r="E47" s="11">
        <f>COUNTIFS(Table1[year],Table25[[#This Row],[Year]],Table1[Wealthier_Winner],0,Table1[Significantly_Wealthier],TRUE)/Table25[[#This Row],[Significantly_Wealthier_Count]]</f>
        <v>0.20930232558139536</v>
      </c>
      <c r="F47" s="11">
        <f>COUNTIFS(Table1[year],Table25[[#This Row],[Year]],Table1[Wealthier_Winner],-1,Table1[Significantly_Wealthier],TRUE)/Table25[[#This Row],[Significantly_Wealthier_Count]]</f>
        <v>0.30232558139534882</v>
      </c>
      <c r="G47" s="12">
        <f>COUNTIFS(Table1[year],Table25[[#This Row],[Year]])</f>
        <v>61</v>
      </c>
      <c r="H47" s="11">
        <f>COUNTIFS(Table1[year],Table25[[#This Row],[Year]],Table1[Wealthier_Winner],1)/Table25[[#This Row],[Count]]</f>
        <v>0.42622950819672129</v>
      </c>
      <c r="I47" s="11">
        <f>COUNTIFS(Table1[year],Table25[[#This Row],[Year]],Table1[Wealthier_Winner],0)/Table25[[#This Row],[Count]]</f>
        <v>0.21311475409836064</v>
      </c>
      <c r="J47" s="11">
        <f>COUNTIFS(Table1[year],Table25[[#This Row],[Year]],Table1[Wealthier_Winner],-1)/Table25[[#This Row],[Count]]</f>
        <v>0.36065573770491804</v>
      </c>
    </row>
    <row r="48" spans="1:10" x14ac:dyDescent="0.2">
      <c r="A48">
        <v>2015</v>
      </c>
      <c r="B48" s="8">
        <f>_xlfn.FLOOR.MATH(Table25[[#This Row],[Year]],10)</f>
        <v>2010</v>
      </c>
      <c r="C48" s="8">
        <f>COUNTIFS(Table1[year],Table25[[#This Row],[Year]],Table1[Significantly_Wealthier],TRUE)</f>
        <v>132</v>
      </c>
      <c r="D48" s="11">
        <f>COUNTIFS(Table1[year],Table25[[#This Row],[Year]],Table1[Wealthier_Winner],1,Table1[Significantly_Wealthier],TRUE)/Table25[[#This Row],[Significantly_Wealthier_Count]]</f>
        <v>0.59090909090909094</v>
      </c>
      <c r="E48" s="11">
        <f>COUNTIFS(Table1[year],Table25[[#This Row],[Year]],Table1[Wealthier_Winner],0,Table1[Significantly_Wealthier],TRUE)/Table25[[#This Row],[Significantly_Wealthier_Count]]</f>
        <v>0.16666666666666666</v>
      </c>
      <c r="F48" s="11">
        <f>COUNTIFS(Table1[year],Table25[[#This Row],[Year]],Table1[Wealthier_Winner],-1,Table1[Significantly_Wealthier],TRUE)/Table25[[#This Row],[Significantly_Wealthier_Count]]</f>
        <v>0.24242424242424243</v>
      </c>
      <c r="G48" s="12">
        <f>COUNTIFS(Table1[year],Table25[[#This Row],[Year]])</f>
        <v>181</v>
      </c>
      <c r="H48" s="11">
        <f>COUNTIFS(Table1[year],Table25[[#This Row],[Year]],Table1[Wealthier_Winner],1)/Table25[[#This Row],[Count]]</f>
        <v>0.58563535911602205</v>
      </c>
      <c r="I48" s="11">
        <f>COUNTIFS(Table1[year],Table25[[#This Row],[Year]],Table1[Wealthier_Winner],0)/Table25[[#This Row],[Count]]</f>
        <v>0.143646408839779</v>
      </c>
      <c r="J48" s="11">
        <f>COUNTIFS(Table1[year],Table25[[#This Row],[Year]],Table1[Wealthier_Winner],-1)/Table25[[#This Row],[Count]]</f>
        <v>0.27071823204419887</v>
      </c>
    </row>
    <row r="49" spans="1:10" x14ac:dyDescent="0.2">
      <c r="A49">
        <v>2016</v>
      </c>
      <c r="B49" s="8">
        <f>_xlfn.FLOOR.MATH(Table25[[#This Row],[Year]],10)</f>
        <v>2010</v>
      </c>
      <c r="C49" s="8">
        <f>COUNTIFS(Table1[year],Table25[[#This Row],[Year]],Table1[Significantly_Wealthier],TRUE)</f>
        <v>159</v>
      </c>
      <c r="D49" s="11">
        <f>COUNTIFS(Table1[year],Table25[[#This Row],[Year]],Table1[Wealthier_Winner],1,Table1[Significantly_Wealthier],TRUE)/Table25[[#This Row],[Significantly_Wealthier_Count]]</f>
        <v>0.660377358490566</v>
      </c>
      <c r="E49" s="11">
        <f>COUNTIFS(Table1[year],Table25[[#This Row],[Year]],Table1[Wealthier_Winner],0,Table1[Significantly_Wealthier],TRUE)/Table25[[#This Row],[Significantly_Wealthier_Count]]</f>
        <v>0.18238993710691823</v>
      </c>
      <c r="F49" s="11">
        <f>COUNTIFS(Table1[year],Table25[[#This Row],[Year]],Table1[Wealthier_Winner],-1,Table1[Significantly_Wealthier],TRUE)/Table25[[#This Row],[Significantly_Wealthier_Count]]</f>
        <v>0.15723270440251572</v>
      </c>
      <c r="G49" s="12">
        <f>COUNTIFS(Table1[year],Table25[[#This Row],[Year]])</f>
        <v>202</v>
      </c>
      <c r="H49" s="11">
        <f>COUNTIFS(Table1[year],Table25[[#This Row],[Year]],Table1[Wealthier_Winner],1)/Table25[[#This Row],[Count]]</f>
        <v>0.57425742574257421</v>
      </c>
      <c r="I49" s="11">
        <f>COUNTIFS(Table1[year],Table25[[#This Row],[Year]],Table1[Wealthier_Winner],0)/Table25[[#This Row],[Count]]</f>
        <v>0.21782178217821782</v>
      </c>
      <c r="J49" s="11">
        <f>COUNTIFS(Table1[year],Table25[[#This Row],[Year]],Table1[Wealthier_Winner],-1)/Table25[[#This Row],[Count]]</f>
        <v>0.20792079207920791</v>
      </c>
    </row>
    <row r="50" spans="1:10" x14ac:dyDescent="0.2">
      <c r="A50">
        <v>2017</v>
      </c>
      <c r="B50" s="8">
        <f>_xlfn.FLOOR.MATH(Table25[[#This Row],[Year]],10)</f>
        <v>2010</v>
      </c>
      <c r="C50" s="8">
        <f>COUNTIFS(Table1[year],Table25[[#This Row],[Year]],Table1[Significantly_Wealthier],TRUE)</f>
        <v>192</v>
      </c>
      <c r="D50" s="11">
        <f>COUNTIFS(Table1[year],Table25[[#This Row],[Year]],Table1[Wealthier_Winner],1,Table1[Significantly_Wealthier],TRUE)/Table25[[#This Row],[Significantly_Wealthier_Count]]</f>
        <v>0.59895833333333337</v>
      </c>
      <c r="E50" s="11">
        <f>COUNTIFS(Table1[year],Table25[[#This Row],[Year]],Table1[Wealthier_Winner],0,Table1[Significantly_Wealthier],TRUE)/Table25[[#This Row],[Significantly_Wealthier_Count]]</f>
        <v>0.1875</v>
      </c>
      <c r="F50" s="11">
        <f>COUNTIFS(Table1[year],Table25[[#This Row],[Year]],Table1[Wealthier_Winner],-1,Table1[Significantly_Wealthier],TRUE)/Table25[[#This Row],[Significantly_Wealthier_Count]]</f>
        <v>0.21354166666666666</v>
      </c>
      <c r="G50" s="12">
        <f>COUNTIFS(Table1[year],Table25[[#This Row],[Year]])</f>
        <v>240</v>
      </c>
      <c r="H50" s="11">
        <f>COUNTIFS(Table1[year],Table25[[#This Row],[Year]],Table1[Wealthier_Winner],1)/Table25[[#This Row],[Count]]</f>
        <v>0.5541666666666667</v>
      </c>
      <c r="I50" s="11">
        <f>COUNTIFS(Table1[year],Table25[[#This Row],[Year]],Table1[Wealthier_Winner],0)/Table25[[#This Row],[Count]]</f>
        <v>0.23333333333333334</v>
      </c>
      <c r="J50" s="11">
        <f>COUNTIFS(Table1[year],Table25[[#This Row],[Year]],Table1[Wealthier_Winner],-1)/Table25[[#This Row],[Count]]</f>
        <v>0.21249999999999999</v>
      </c>
    </row>
    <row r="51" spans="1:10" x14ac:dyDescent="0.2">
      <c r="A51">
        <v>2018</v>
      </c>
      <c r="B51" s="8">
        <f>_xlfn.FLOOR.MATH(Table25[[#This Row],[Year]],10)</f>
        <v>2010</v>
      </c>
      <c r="C51" s="8">
        <f>COUNTIFS(Table1[year],Table25[[#This Row],[Year]],Table1[Significantly_Wealthier],TRUE)</f>
        <v>51</v>
      </c>
      <c r="D51" s="11">
        <f>COUNTIFS(Table1[year],Table25[[#This Row],[Year]],Table1[Wealthier_Winner],1,Table1[Significantly_Wealthier],TRUE)/Table25[[#This Row],[Significantly_Wealthier_Count]]</f>
        <v>0.43137254901960786</v>
      </c>
      <c r="E51" s="11">
        <f>COUNTIFS(Table1[year],Table25[[#This Row],[Year]],Table1[Wealthier_Winner],0,Table1[Significantly_Wealthier],TRUE)/Table25[[#This Row],[Significantly_Wealthier_Count]]</f>
        <v>0.21568627450980393</v>
      </c>
      <c r="F51" s="11">
        <f>COUNTIFS(Table1[year],Table25[[#This Row],[Year]],Table1[Wealthier_Winner],-1,Table1[Significantly_Wealthier],TRUE)/Table25[[#This Row],[Significantly_Wealthier_Count]]</f>
        <v>0.35294117647058826</v>
      </c>
      <c r="G51" s="12">
        <f>COUNTIFS(Table1[year],Table25[[#This Row],[Year]])</f>
        <v>64</v>
      </c>
      <c r="H51" s="11">
        <f>COUNTIFS(Table1[year],Table25[[#This Row],[Year]],Table1[Wealthier_Winner],1)/Table25[[#This Row],[Count]]</f>
        <v>0.4375</v>
      </c>
      <c r="I51" s="11">
        <f>COUNTIFS(Table1[year],Table25[[#This Row],[Year]],Table1[Wealthier_Winner],0)/Table25[[#This Row],[Count]]</f>
        <v>0.203125</v>
      </c>
      <c r="J51" s="11">
        <f>COUNTIFS(Table1[year],Table25[[#This Row],[Year]],Table1[Wealthier_Winner],-1)/Table25[[#This Row],[Count]]</f>
        <v>0.359375</v>
      </c>
    </row>
    <row r="52" spans="1:10" x14ac:dyDescent="0.2">
      <c r="A52">
        <v>2019</v>
      </c>
      <c r="B52" s="8">
        <f>_xlfn.FLOOR.MATH(Table25[[#This Row],[Year]],10)</f>
        <v>2010</v>
      </c>
      <c r="C52" s="8">
        <f>COUNTIFS(Table1[year],Table25[[#This Row],[Year]],Table1[Significantly_Wealthier],TRUE)</f>
        <v>63</v>
      </c>
      <c r="D52" s="11">
        <f>COUNTIFS(Table1[year],Table25[[#This Row],[Year]],Table1[Wealthier_Winner],1,Table1[Significantly_Wealthier],TRUE)/Table25[[#This Row],[Significantly_Wealthier_Count]]</f>
        <v>0.49206349206349204</v>
      </c>
      <c r="E52" s="11">
        <f>COUNTIFS(Table1[year],Table25[[#This Row],[Year]],Table1[Wealthier_Winner],0,Table1[Significantly_Wealthier],TRUE)/Table25[[#This Row],[Significantly_Wealthier_Count]]</f>
        <v>0.20634920634920634</v>
      </c>
      <c r="F52" s="11">
        <f>COUNTIFS(Table1[year],Table25[[#This Row],[Year]],Table1[Wealthier_Winner],-1,Table1[Significantly_Wealthier],TRUE)/Table25[[#This Row],[Significantly_Wealthier_Count]]</f>
        <v>0.30158730158730157</v>
      </c>
      <c r="G52" s="12">
        <f>COUNTIFS(Table1[year],Table25[[#This Row],[Year]])</f>
        <v>87</v>
      </c>
      <c r="H52" s="11">
        <f>COUNTIFS(Table1[year],Table25[[#This Row],[Year]],Table1[Wealthier_Winner],1)/Table25[[#This Row],[Count]]</f>
        <v>0.44827586206896552</v>
      </c>
      <c r="I52" s="11">
        <f>COUNTIFS(Table1[year],Table25[[#This Row],[Year]],Table1[Wealthier_Winner],0)/Table25[[#This Row],[Count]]</f>
        <v>0.19540229885057472</v>
      </c>
      <c r="J52" s="11">
        <f>COUNTIFS(Table1[year],Table25[[#This Row],[Year]],Table1[Wealthier_Winner],-1)/Table25[[#This Row],[Count]]</f>
        <v>0.35632183908045978</v>
      </c>
    </row>
    <row r="53" spans="1:10" x14ac:dyDescent="0.2">
      <c r="A53">
        <v>2020</v>
      </c>
      <c r="B53" s="8">
        <f>_xlfn.FLOOR.MATH(Table25[[#This Row],[Year]],10)</f>
        <v>2020</v>
      </c>
      <c r="C53" s="8">
        <f>COUNTIFS(Table1[year],Table25[[#This Row],[Year]],Table1[Significantly_Wealthier],TRUE)</f>
        <v>15</v>
      </c>
      <c r="D53" s="11">
        <f>COUNTIFS(Table1[year],Table25[[#This Row],[Year]],Table1[Wealthier_Winner],1,Table1[Significantly_Wealthier],TRUE)/Table25[[#This Row],[Significantly_Wealthier_Count]]</f>
        <v>0.53333333333333333</v>
      </c>
      <c r="E53" s="11">
        <f>COUNTIFS(Table1[year],Table25[[#This Row],[Year]],Table1[Wealthier_Winner],0,Table1[Significantly_Wealthier],TRUE)/Table25[[#This Row],[Significantly_Wealthier_Count]]</f>
        <v>0.13333333333333333</v>
      </c>
      <c r="F53" s="11">
        <f>COUNTIFS(Table1[year],Table25[[#This Row],[Year]],Table1[Wealthier_Winner],-1,Table1[Significantly_Wealthier],TRUE)/Table25[[#This Row],[Significantly_Wealthier_Count]]</f>
        <v>0.33333333333333331</v>
      </c>
      <c r="G53" s="12">
        <f>COUNTIFS(Table1[year],Table25[[#This Row],[Year]])</f>
        <v>21</v>
      </c>
      <c r="H53" s="11">
        <f>COUNTIFS(Table1[year],Table25[[#This Row],[Year]],Table1[Wealthier_Winner],1)/Table25[[#This Row],[Count]]</f>
        <v>0.52380952380952384</v>
      </c>
      <c r="I53" s="11">
        <f>COUNTIFS(Table1[year],Table25[[#This Row],[Year]],Table1[Wealthier_Winner],0)/Table25[[#This Row],[Count]]</f>
        <v>0.19047619047619047</v>
      </c>
      <c r="J53" s="11">
        <f>COUNTIFS(Table1[year],Table25[[#This Row],[Year]],Table1[Wealthier_Winner],-1)/Table25[[#This Row],[Count]]</f>
        <v>0.2857142857142857</v>
      </c>
    </row>
    <row r="54" spans="1:10" x14ac:dyDescent="0.2">
      <c r="A54">
        <v>2021</v>
      </c>
      <c r="B54" s="8">
        <f>_xlfn.FLOOR.MATH(Table25[[#This Row],[Year]],10)</f>
        <v>2020</v>
      </c>
      <c r="C54" s="8">
        <f>COUNTIFS(Table1[year],Table25[[#This Row],[Year]],Table1[Significantly_Wealthier],TRUE)</f>
        <v>360</v>
      </c>
      <c r="D54" s="11">
        <f>COUNTIFS(Table1[year],Table25[[#This Row],[Year]],Table1[Wealthier_Winner],1,Table1[Significantly_Wealthier],TRUE)/Table25[[#This Row],[Significantly_Wealthier_Count]]</f>
        <v>0.67222222222222228</v>
      </c>
      <c r="E54" s="11">
        <f>COUNTIFS(Table1[year],Table25[[#This Row],[Year]],Table1[Wealthier_Winner],0,Table1[Significantly_Wealthier],TRUE)/Table25[[#This Row],[Significantly_Wealthier_Count]]</f>
        <v>0.21111111111111111</v>
      </c>
      <c r="F54" s="11">
        <f>COUNTIFS(Table1[year],Table25[[#This Row],[Year]],Table1[Wealthier_Winner],-1,Table1[Significantly_Wealthier],TRUE)/Table25[[#This Row],[Significantly_Wealthier_Count]]</f>
        <v>0.11666666666666667</v>
      </c>
      <c r="G54" s="12">
        <f>COUNTIFS(Table1[year],Table25[[#This Row],[Year]])</f>
        <v>462</v>
      </c>
      <c r="H54" s="11">
        <f>COUNTIFS(Table1[year],Table25[[#This Row],[Year]],Table1[Wealthier_Winner],1)/Table25[[#This Row],[Count]]</f>
        <v>0.62121212121212122</v>
      </c>
      <c r="I54" s="11">
        <f>COUNTIFS(Table1[year],Table25[[#This Row],[Year]],Table1[Wealthier_Winner],0)/Table25[[#This Row],[Count]]</f>
        <v>0.21428571428571427</v>
      </c>
      <c r="J54" s="11">
        <f>COUNTIFS(Table1[year],Table25[[#This Row],[Year]],Table1[Wealthier_Winner],-1)/Table25[[#This Row],[Count]]</f>
        <v>0.16450216450216451</v>
      </c>
    </row>
    <row r="55" spans="1:10" x14ac:dyDescent="0.2">
      <c r="A55">
        <v>2022</v>
      </c>
      <c r="B55" s="8">
        <f>_xlfn.FLOOR.MATH(Table25[[#This Row],[Year]],10)</f>
        <v>2020</v>
      </c>
      <c r="C55" s="8">
        <f>COUNTIFS(Table1[year],Table25[[#This Row],[Year]],Table1[Significantly_Wealthier],TRUE)</f>
        <v>115</v>
      </c>
      <c r="D55" s="11">
        <f>COUNTIFS(Table1[year],Table25[[#This Row],[Year]],Table1[Wealthier_Winner],1,Table1[Significantly_Wealthier],TRUE)/Table25[[#This Row],[Significantly_Wealthier_Count]]</f>
        <v>0.53913043478260869</v>
      </c>
      <c r="E55" s="11">
        <f>COUNTIFS(Table1[year],Table25[[#This Row],[Year]],Table1[Wealthier_Winner],0,Table1[Significantly_Wealthier],TRUE)/Table25[[#This Row],[Significantly_Wealthier_Count]]</f>
        <v>0.20869565217391303</v>
      </c>
      <c r="F55" s="11">
        <f>COUNTIFS(Table1[year],Table25[[#This Row],[Year]],Table1[Wealthier_Winner],-1,Table1[Significantly_Wealthier],TRUE)/Table25[[#This Row],[Significantly_Wealthier_Count]]</f>
        <v>0.25217391304347825</v>
      </c>
      <c r="G55" s="12">
        <f>COUNTIFS(Table1[year],Table25[[#This Row],[Year]])</f>
        <v>147</v>
      </c>
      <c r="H55" s="11">
        <f>COUNTIFS(Table1[year],Table25[[#This Row],[Year]],Table1[Wealthier_Winner],1)/Table25[[#This Row],[Count]]</f>
        <v>0.51020408163265307</v>
      </c>
      <c r="I55" s="11">
        <f>COUNTIFS(Table1[year],Table25[[#This Row],[Year]],Table1[Wealthier_Winner],0)/Table25[[#This Row],[Count]]</f>
        <v>0.19727891156462585</v>
      </c>
      <c r="J55" s="11">
        <f>COUNTIFS(Table1[year],Table25[[#This Row],[Year]],Table1[Wealthier_Winner],-1)/Table25[[#This Row],[Count]]</f>
        <v>0.29251700680272108</v>
      </c>
    </row>
    <row r="56" spans="1:10" x14ac:dyDescent="0.2">
      <c r="A56">
        <v>2023</v>
      </c>
      <c r="B56" s="8">
        <f>_xlfn.FLOOR.MATH(Table25[[#This Row],[Year]],10)</f>
        <v>2020</v>
      </c>
      <c r="C56" s="8">
        <f>COUNTIFS(Table1[year],Table25[[#This Row],[Year]],Table1[Significantly_Wealthier],TRUE)</f>
        <v>74</v>
      </c>
      <c r="D56" s="11">
        <f>COUNTIFS(Table1[year],Table25[[#This Row],[Year]],Table1[Wealthier_Winner],1,Table1[Significantly_Wealthier],TRUE)/Table25[[#This Row],[Significantly_Wealthier_Count]]</f>
        <v>0.47297297297297297</v>
      </c>
      <c r="E56" s="11">
        <f>COUNTIFS(Table1[year],Table25[[#This Row],[Year]],Table1[Wealthier_Winner],0,Table1[Significantly_Wealthier],TRUE)/Table25[[#This Row],[Significantly_Wealthier_Count]]</f>
        <v>0.29729729729729731</v>
      </c>
      <c r="F56" s="11">
        <f>COUNTIFS(Table1[year],Table25[[#This Row],[Year]],Table1[Wealthier_Winner],-1,Table1[Significantly_Wealthier],TRUE)/Table25[[#This Row],[Significantly_Wealthier_Count]]</f>
        <v>0.22972972972972974</v>
      </c>
      <c r="G56" s="12">
        <f>COUNTIFS(Table1[year],Table25[[#This Row],[Year]])</f>
        <v>95</v>
      </c>
      <c r="H56" s="11">
        <f>COUNTIFS(Table1[year],Table25[[#This Row],[Year]],Table1[Wealthier_Winner],1)/Table25[[#This Row],[Count]]</f>
        <v>0.45263157894736844</v>
      </c>
      <c r="I56" s="11">
        <f>COUNTIFS(Table1[year],Table25[[#This Row],[Year]],Table1[Wealthier_Winner],0)/Table25[[#This Row],[Count]]</f>
        <v>0.26315789473684209</v>
      </c>
      <c r="J56" s="11">
        <f>COUNTIFS(Table1[year],Table25[[#This Row],[Year]],Table1[Wealthier_Winner],-1)/Table25[[#This Row],[Count]]</f>
        <v>0.28421052631578947</v>
      </c>
    </row>
    <row r="57" spans="1:10" x14ac:dyDescent="0.2">
      <c r="A57">
        <v>2024</v>
      </c>
      <c r="B57" s="8">
        <f>_xlfn.FLOOR.MATH(Table25[[#This Row],[Year]],10)</f>
        <v>2020</v>
      </c>
      <c r="C57" s="8">
        <f>COUNTIFS(Table1[year],Table25[[#This Row],[Year]],Table1[Significantly_Wealthier],TRUE)</f>
        <v>117</v>
      </c>
      <c r="D57" s="11">
        <f>COUNTIFS(Table1[year],Table25[[#This Row],[Year]],Table1[Wealthier_Winner],1,Table1[Significantly_Wealthier],TRUE)/Table25[[#This Row],[Significantly_Wealthier_Count]]</f>
        <v>0.52991452991452992</v>
      </c>
      <c r="E57" s="11">
        <f>COUNTIFS(Table1[year],Table25[[#This Row],[Year]],Table1[Wealthier_Winner],0,Table1[Significantly_Wealthier],TRUE)/Table25[[#This Row],[Significantly_Wealthier_Count]]</f>
        <v>0.23076923076923078</v>
      </c>
      <c r="F57" s="11">
        <f>COUNTIFS(Table1[year],Table25[[#This Row],[Year]],Table1[Wealthier_Winner],-1,Table1[Significantly_Wealthier],TRUE)/Table25[[#This Row],[Significantly_Wealthier_Count]]</f>
        <v>0.23931623931623933</v>
      </c>
      <c r="G57" s="12">
        <f>COUNTIFS(Table1[year],Table25[[#This Row],[Year]])</f>
        <v>153</v>
      </c>
      <c r="H57" s="11">
        <f>COUNTIFS(Table1[year],Table25[[#This Row],[Year]],Table1[Wealthier_Winner],1)/Table25[[#This Row],[Count]]</f>
        <v>0.49019607843137253</v>
      </c>
      <c r="I57" s="11">
        <f>COUNTIFS(Table1[year],Table25[[#This Row],[Year]],Table1[Wealthier_Winner],0)/Table25[[#This Row],[Count]]</f>
        <v>0.26797385620915032</v>
      </c>
      <c r="J57" s="11">
        <f>COUNTIFS(Table1[year],Table25[[#This Row],[Year]],Table1[Wealthier_Winner],-1)/Table25[[#This Row],[Count]]</f>
        <v>0.24183006535947713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1A8B-79E1-49AB-BA87-66D4EB82B823}">
  <dimension ref="A1:I8"/>
  <sheetViews>
    <sheetView workbookViewId="0">
      <selection activeCell="F3" sqref="F3"/>
    </sheetView>
  </sheetViews>
  <sheetFormatPr baseColWidth="10" defaultColWidth="8.83203125" defaultRowHeight="15" x14ac:dyDescent="0.2"/>
  <cols>
    <col min="4" max="4" width="19.5" customWidth="1"/>
    <col min="5" max="5" width="11.1640625" customWidth="1"/>
    <col min="6" max="6" width="20.5" customWidth="1"/>
  </cols>
  <sheetData>
    <row r="1" spans="1:9" x14ac:dyDescent="0.2">
      <c r="A1" t="s">
        <v>208</v>
      </c>
      <c r="B1" t="s">
        <v>219</v>
      </c>
      <c r="C1" t="s">
        <v>216</v>
      </c>
      <c r="D1" t="s">
        <v>217</v>
      </c>
      <c r="E1" t="s">
        <v>218</v>
      </c>
      <c r="F1" t="s">
        <v>202</v>
      </c>
      <c r="G1" t="s">
        <v>203</v>
      </c>
      <c r="H1" t="s">
        <v>204</v>
      </c>
      <c r="I1" t="s">
        <v>205</v>
      </c>
    </row>
    <row r="2" spans="1:9" x14ac:dyDescent="0.2">
      <c r="A2">
        <v>1960</v>
      </c>
      <c r="B2">
        <f>COUNTIFS(Table1[decade],Table2[[#This Row],[Decade]],Table1[Significantly_Wealthier],TRUE)</f>
        <v>179</v>
      </c>
      <c r="C2" s="4">
        <f>COUNTIFS(Table1[decade],Table2[[#This Row],[Decade]],Table1[Wealthier_Winner],1,Table1[Significantly_Wealthier],TRUE)/Table2[[#This Row],[Significantly_Wealthier_Count]]</f>
        <v>0.52513966480446927</v>
      </c>
      <c r="D2" s="4">
        <f>COUNTIFS(Table1[decade],Table2[[#This Row],[Decade]],Table1[Wealthier_Winner],0,Table1[Significantly_Wealthier],TRUE)/Table2[[#This Row],[Significantly_Wealthier_Count]]</f>
        <v>0.22346368715083798</v>
      </c>
      <c r="E2" s="4">
        <f>COUNTIFS(Table1[decade],Table2[[#This Row],[Decade]],Table1[Wealthier_Winner],-1,Table1[Significantly_Wealthier],TRUE)/Table2[[#This Row],[Significantly_Wealthier_Count]]</f>
        <v>0.25139664804469275</v>
      </c>
      <c r="F2">
        <f>COUNTIFS(Table1[decade],Table2[[#This Row],[Decade]])</f>
        <v>245</v>
      </c>
      <c r="G2" s="4">
        <f>COUNTIFS(Table1[decade],Table2[[#This Row],[Decade]],Table1[Wealthier_Winner],1)/Table2[[#This Row],[Count]]</f>
        <v>0.47755102040816327</v>
      </c>
      <c r="H2" s="4">
        <f>COUNTIFS(Table1[decade],Table2[[#This Row],[Decade]],Table1[Wealthier_Winner],0)/Table2[[#This Row],[Count]]</f>
        <v>0.20816326530612245</v>
      </c>
      <c r="I2" s="4">
        <f>COUNTIFS(Table1[decade],Table2[[#This Row],[Decade]],Table1[Wealthier_Winner],-1)/Table2[[#This Row],[Count]]</f>
        <v>0.31428571428571428</v>
      </c>
    </row>
    <row r="3" spans="1:9" x14ac:dyDescent="0.2">
      <c r="A3" s="8">
        <v>1970</v>
      </c>
      <c r="B3">
        <f>COUNTIFS(Table1[decade],Table2[[#This Row],[Decade]],Table1[Significantly_Wealthier],TRUE)</f>
        <v>217</v>
      </c>
      <c r="C3" s="4">
        <f>COUNTIFS(Table1[decade],Table2[[#This Row],[Decade]],Table1[Wealthier_Winner],1,Table1[Significantly_Wealthier],TRUE)/Table2[[#This Row],[Significantly_Wealthier_Count]]</f>
        <v>0.57603686635944695</v>
      </c>
      <c r="D3" s="4">
        <f>COUNTIFS(Table1[decade],Table2[[#This Row],[Decade]],Table1[Wealthier_Winner],0,Table1[Significantly_Wealthier],TRUE)/Table2[[#This Row],[Significantly_Wealthier_Count]]</f>
        <v>0.2304147465437788</v>
      </c>
      <c r="E3" s="4">
        <f>COUNTIFS(Table1[decade],Table2[[#This Row],[Decade]],Table1[Wealthier_Winner],-1,Table1[Significantly_Wealthier],TRUE)/Table2[[#This Row],[Significantly_Wealthier_Count]]</f>
        <v>0.19354838709677419</v>
      </c>
      <c r="F3">
        <f>COUNTIFS(Table1[decade],Table2[[#This Row],[Decade]])</f>
        <v>299</v>
      </c>
      <c r="G3" s="4">
        <f>COUNTIFS(Table1[decade],Table2[[#This Row],[Decade]],Table1[Wealthier_Winner],1)/Table2[[#This Row],[Count]]</f>
        <v>0.53846153846153844</v>
      </c>
      <c r="H3" s="4">
        <f>COUNTIFS(Table1[decade],Table2[[#This Row],[Decade]],Table1[Wealthier_Winner],0)/Table2[[#This Row],[Count]]</f>
        <v>0.22742474916387959</v>
      </c>
      <c r="I3" s="4">
        <f>COUNTIFS(Table1[decade],Table2[[#This Row],[Decade]],Table1[Wealthier_Winner],-1)/Table2[[#This Row],[Count]]</f>
        <v>0.23411371237458195</v>
      </c>
    </row>
    <row r="4" spans="1:9" x14ac:dyDescent="0.2">
      <c r="A4" s="8">
        <v>1980</v>
      </c>
      <c r="B4">
        <f>COUNTIFS(Table1[decade],Table2[[#This Row],[Decade]],Table1[Significantly_Wealthier],TRUE)</f>
        <v>434</v>
      </c>
      <c r="C4" s="4">
        <f>COUNTIFS(Table1[decade],Table2[[#This Row],[Decade]],Table1[Wealthier_Winner],1,Table1[Significantly_Wealthier],TRUE)/Table2[[#This Row],[Significantly_Wealthier_Count]]</f>
        <v>0.55990783410138245</v>
      </c>
      <c r="D4" s="4">
        <f>COUNTIFS(Table1[decade],Table2[[#This Row],[Decade]],Table1[Wealthier_Winner],0,Table1[Significantly_Wealthier],TRUE)/Table2[[#This Row],[Significantly_Wealthier_Count]]</f>
        <v>0.22119815668202766</v>
      </c>
      <c r="E4" s="4">
        <f>COUNTIFS(Table1[decade],Table2[[#This Row],[Decade]],Table1[Wealthier_Winner],-1,Table1[Significantly_Wealthier],TRUE)/Table2[[#This Row],[Significantly_Wealthier_Count]]</f>
        <v>0.21889400921658986</v>
      </c>
      <c r="F4">
        <f>COUNTIFS(Table1[decade],Table2[[#This Row],[Decade]])</f>
        <v>560</v>
      </c>
      <c r="G4" s="4">
        <f>COUNTIFS(Table1[decade],Table2[[#This Row],[Decade]],Table1[Wealthier_Winner],1)/Table2[[#This Row],[Count]]</f>
        <v>0.52857142857142858</v>
      </c>
      <c r="H4" s="4">
        <f>COUNTIFS(Table1[decade],Table2[[#This Row],[Decade]],Table1[Wealthier_Winner],0)/Table2[[#This Row],[Count]]</f>
        <v>0.22678571428571428</v>
      </c>
      <c r="I4" s="4">
        <f>COUNTIFS(Table1[decade],Table2[[#This Row],[Decade]],Table1[Wealthier_Winner],-1)/Table2[[#This Row],[Count]]</f>
        <v>0.24464285714285713</v>
      </c>
    </row>
    <row r="5" spans="1:9" x14ac:dyDescent="0.2">
      <c r="A5" s="8">
        <v>1990</v>
      </c>
      <c r="B5">
        <f>COUNTIFS(Table1[decade],Table2[[#This Row],[Decade]],Table1[Significantly_Wealthier],TRUE)</f>
        <v>775</v>
      </c>
      <c r="C5" s="4">
        <f>COUNTIFS(Table1[decade],Table2[[#This Row],[Decade]],Table1[Wealthier_Winner],1,Table1[Significantly_Wealthier],TRUE)/Table2[[#This Row],[Significantly_Wealthier_Count]]</f>
        <v>0.56774193548387097</v>
      </c>
      <c r="D5" s="4">
        <f>COUNTIFS(Table1[decade],Table2[[#This Row],[Decade]],Table1[Wealthier_Winner],0,Table1[Significantly_Wealthier],TRUE)/Table2[[#This Row],[Significantly_Wealthier_Count]]</f>
        <v>0.19225806451612903</v>
      </c>
      <c r="E5" s="4">
        <f>COUNTIFS(Table1[decade],Table2[[#This Row],[Decade]],Table1[Wealthier_Winner],-1,Table1[Significantly_Wealthier],TRUE)/Table2[[#This Row],[Significantly_Wealthier_Count]]</f>
        <v>0.24</v>
      </c>
      <c r="F5">
        <f>COUNTIFS(Table1[decade],Table2[[#This Row],[Decade]])</f>
        <v>970</v>
      </c>
      <c r="G5" s="4">
        <f>COUNTIFS(Table1[decade],Table2[[#This Row],[Decade]],Table1[Wealthier_Winner],1)/Table2[[#This Row],[Count]]</f>
        <v>0.53608247422680411</v>
      </c>
      <c r="H5" s="4">
        <f>COUNTIFS(Table1[decade],Table2[[#This Row],[Decade]],Table1[Wealthier_Winner],0)/Table2[[#This Row],[Count]]</f>
        <v>0.20824742268041238</v>
      </c>
      <c r="I5" s="4">
        <f>COUNTIFS(Table1[decade],Table2[[#This Row],[Decade]],Table1[Wealthier_Winner],-1)/Table2[[#This Row],[Count]]</f>
        <v>0.25567010309278349</v>
      </c>
    </row>
    <row r="6" spans="1:9" x14ac:dyDescent="0.2">
      <c r="A6" s="8">
        <v>2000</v>
      </c>
      <c r="B6">
        <f>COUNTIFS(Table1[decade],Table2[[#This Row],[Decade]],Table1[Significantly_Wealthier],TRUE)</f>
        <v>1509</v>
      </c>
      <c r="C6" s="4">
        <f>COUNTIFS(Table1[decade],Table2[[#This Row],[Decade]],Table1[Wealthier_Winner],1,Table1[Significantly_Wealthier],TRUE)/Table2[[#This Row],[Significantly_Wealthier_Count]]</f>
        <v>0.57322730284956924</v>
      </c>
      <c r="D6" s="4">
        <f>COUNTIFS(Table1[decade],Table2[[#This Row],[Decade]],Table1[Wealthier_Winner],0,Table1[Significantly_Wealthier],TRUE)/Table2[[#This Row],[Significantly_Wealthier_Count]]</f>
        <v>0.22001325381047052</v>
      </c>
      <c r="E6" s="4">
        <f>COUNTIFS(Table1[decade],Table2[[#This Row],[Decade]],Table1[Wealthier_Winner],-1,Table1[Significantly_Wealthier],TRUE)/Table2[[#This Row],[Significantly_Wealthier_Count]]</f>
        <v>0.20675944333996024</v>
      </c>
      <c r="F6">
        <f>COUNTIFS(Table1[decade],Table2[[#This Row],[Decade]])</f>
        <v>1941</v>
      </c>
      <c r="G6" s="4">
        <f>COUNTIFS(Table1[decade],Table2[[#This Row],[Decade]],Table1[Wealthier_Winner],1)/Table2[[#This Row],[Count]]</f>
        <v>0.54147346728490464</v>
      </c>
      <c r="H6" s="4">
        <f>COUNTIFS(Table1[decade],Table2[[#This Row],[Decade]],Table1[Wealthier_Winner],0)/Table2[[#This Row],[Count]]</f>
        <v>0.22102009273570325</v>
      </c>
      <c r="I6" s="4">
        <f>COUNTIFS(Table1[decade],Table2[[#This Row],[Decade]],Table1[Wealthier_Winner],-1)/Table2[[#This Row],[Count]]</f>
        <v>0.23750643997939205</v>
      </c>
    </row>
    <row r="7" spans="1:9" x14ac:dyDescent="0.2">
      <c r="A7" s="8">
        <v>2010</v>
      </c>
      <c r="B7">
        <f>COUNTIFS(Table1[decade],Table2[[#This Row],[Decade]],Table1[Significantly_Wealthier],TRUE)</f>
        <v>1199</v>
      </c>
      <c r="C7" s="4">
        <f>COUNTIFS(Table1[decade],Table2[[#This Row],[Decade]],Table1[Wealthier_Winner],1,Table1[Significantly_Wealthier],TRUE)/Table2[[#This Row],[Significantly_Wealthier_Count]]</f>
        <v>0.58131776480400332</v>
      </c>
      <c r="D7" s="4">
        <f>COUNTIFS(Table1[decade],Table2[[#This Row],[Decade]],Table1[Wealthier_Winner],0,Table1[Significantly_Wealthier],TRUE)/Table2[[#This Row],[Significantly_Wealthier_Count]]</f>
        <v>0.19849874895746455</v>
      </c>
      <c r="E7" s="4">
        <f>COUNTIFS(Table1[decade],Table2[[#This Row],[Decade]],Table1[Wealthier_Winner],-1,Table1[Significantly_Wealthier],TRUE)/Table2[[#This Row],[Significantly_Wealthier_Count]]</f>
        <v>0.22018348623853212</v>
      </c>
      <c r="F7">
        <f>COUNTIFS(Table1[decade],Table2[[#This Row],[Decade]])</f>
        <v>1517</v>
      </c>
      <c r="G7" s="4">
        <f>COUNTIFS(Table1[decade],Table2[[#This Row],[Decade]],Table1[Wealthier_Winner],1)/Table2[[#This Row],[Count]]</f>
        <v>0.54251812788398157</v>
      </c>
      <c r="H7" s="4">
        <f>COUNTIFS(Table1[decade],Table2[[#This Row],[Decade]],Table1[Wealthier_Winner],0)/Table2[[#This Row],[Count]]</f>
        <v>0.21357943309162822</v>
      </c>
      <c r="I7" s="4">
        <f>COUNTIFS(Table1[decade],Table2[[#This Row],[Decade]],Table1[Wealthier_Winner],-1)/Table2[[#This Row],[Count]]</f>
        <v>0.24390243902439024</v>
      </c>
    </row>
    <row r="8" spans="1:9" x14ac:dyDescent="0.2">
      <c r="A8" s="8">
        <v>2020</v>
      </c>
      <c r="B8">
        <f>COUNTIFS(Table1[decade],Table2[[#This Row],[Decade]],Table1[Significantly_Wealthier],TRUE)</f>
        <v>681</v>
      </c>
      <c r="C8" s="4">
        <f>COUNTIFS(Table1[decade],Table2[[#This Row],[Decade]],Table1[Wealthier_Winner],1,Table1[Significantly_Wealthier],TRUE)/Table2[[#This Row],[Significantly_Wealthier_Count]]</f>
        <v>0.60058737151248165</v>
      </c>
      <c r="D8" s="4">
        <f>COUNTIFS(Table1[decade],Table2[[#This Row],[Decade]],Table1[Wealthier_Winner],0,Table1[Significantly_Wealthier],TRUE)/Table2[[#This Row],[Significantly_Wealthier_Count]]</f>
        <v>0.22173274596182085</v>
      </c>
      <c r="E8" s="4">
        <f>COUNTIFS(Table1[decade],Table2[[#This Row],[Decade]],Table1[Wealthier_Winner],-1,Table1[Significantly_Wealthier],TRUE)/Table2[[#This Row],[Significantly_Wealthier_Count]]</f>
        <v>0.1776798825256975</v>
      </c>
      <c r="F8">
        <f>COUNTIFS(Table1[decade],Table2[[#This Row],[Decade]])</f>
        <v>878</v>
      </c>
      <c r="G8" s="4">
        <f>COUNTIFS(Table1[decade],Table2[[#This Row],[Decade]],Table1[Wealthier_Winner],1)/Table2[[#This Row],[Count]]</f>
        <v>0.55922551252847386</v>
      </c>
      <c r="H8" s="4">
        <f>COUNTIFS(Table1[decade],Table2[[#This Row],[Decade]],Table1[Wealthier_Winner],0)/Table2[[#This Row],[Count]]</f>
        <v>0.2255125284738041</v>
      </c>
      <c r="I8" s="4">
        <f>COUNTIFS(Table1[decade],Table2[[#This Row],[Decade]],Table1[Wealthier_Winner],-1)/Table2[[#This Row],[Count]]</f>
        <v>0.2152619589977221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C690-5155-45F0-BFF2-218CBE2366D4}">
  <dimension ref="A3:C11"/>
  <sheetViews>
    <sheetView workbookViewId="0">
      <selection activeCell="P11" sqref="P11"/>
    </sheetView>
  </sheetViews>
  <sheetFormatPr baseColWidth="10" defaultColWidth="8.83203125" defaultRowHeight="15" x14ac:dyDescent="0.2"/>
  <cols>
    <col min="1" max="1" width="12.1640625" bestFit="1" customWidth="1"/>
    <col min="2" max="2" width="28.83203125" bestFit="1" customWidth="1"/>
    <col min="3" max="3" width="29.1640625" bestFit="1" customWidth="1"/>
    <col min="4" max="4" width="11.1640625" bestFit="1" customWidth="1"/>
  </cols>
  <sheetData>
    <row r="3" spans="1:3" x14ac:dyDescent="0.2">
      <c r="A3" s="3" t="s">
        <v>198</v>
      </c>
      <c r="B3" t="s">
        <v>894</v>
      </c>
      <c r="C3" t="s">
        <v>895</v>
      </c>
    </row>
    <row r="4" spans="1:3" x14ac:dyDescent="0.2">
      <c r="A4" s="5">
        <v>1960</v>
      </c>
      <c r="B4" s="6">
        <v>0.25139664804469275</v>
      </c>
      <c r="C4" s="6">
        <v>0.52513966480446927</v>
      </c>
    </row>
    <row r="5" spans="1:3" x14ac:dyDescent="0.2">
      <c r="A5" s="5">
        <v>1970</v>
      </c>
      <c r="B5" s="6">
        <v>0.19354838709677419</v>
      </c>
      <c r="C5" s="6">
        <v>0.57603686635944695</v>
      </c>
    </row>
    <row r="6" spans="1:3" x14ac:dyDescent="0.2">
      <c r="A6" s="5">
        <v>1980</v>
      </c>
      <c r="B6" s="6">
        <v>0.21889400921658986</v>
      </c>
      <c r="C6" s="6">
        <v>0.55990783410138245</v>
      </c>
    </row>
    <row r="7" spans="1:3" x14ac:dyDescent="0.2">
      <c r="A7" s="5">
        <v>1990</v>
      </c>
      <c r="B7" s="6">
        <v>0.24</v>
      </c>
      <c r="C7" s="6">
        <v>0.56774193548387097</v>
      </c>
    </row>
    <row r="8" spans="1:3" x14ac:dyDescent="0.2">
      <c r="A8" s="5">
        <v>2000</v>
      </c>
      <c r="B8" s="6">
        <v>0.20675944333996024</v>
      </c>
      <c r="C8" s="6">
        <v>0.57322730284956924</v>
      </c>
    </row>
    <row r="9" spans="1:3" x14ac:dyDescent="0.2">
      <c r="A9" s="5">
        <v>2010</v>
      </c>
      <c r="B9" s="6">
        <v>0.22018348623853212</v>
      </c>
      <c r="C9" s="6">
        <v>0.58131776480400332</v>
      </c>
    </row>
    <row r="10" spans="1:3" x14ac:dyDescent="0.2">
      <c r="A10" s="5">
        <v>2020</v>
      </c>
      <c r="B10" s="6">
        <v>0.1776798825256975</v>
      </c>
      <c r="C10" s="6">
        <v>0.60058737151248165</v>
      </c>
    </row>
    <row r="11" spans="1:3" x14ac:dyDescent="0.2">
      <c r="A11" s="5" t="s">
        <v>199</v>
      </c>
      <c r="B11" s="6">
        <v>0.2154945509231781</v>
      </c>
      <c r="C11" s="6">
        <v>0.56913696284503201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2A47-CFB6-426E-8F2E-2BF6F33B8CD4}">
  <dimension ref="A3:D11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12.1640625" bestFit="1" customWidth="1"/>
    <col min="2" max="2" width="39.83203125" bestFit="1" customWidth="1"/>
    <col min="3" max="3" width="38.6640625" bestFit="1" customWidth="1"/>
    <col min="4" max="4" width="39.5" bestFit="1" customWidth="1"/>
  </cols>
  <sheetData>
    <row r="3" spans="1:4" x14ac:dyDescent="0.2">
      <c r="A3" s="3" t="s">
        <v>198</v>
      </c>
      <c r="B3" t="s">
        <v>220</v>
      </c>
      <c r="C3" t="s">
        <v>222</v>
      </c>
      <c r="D3" t="s">
        <v>221</v>
      </c>
    </row>
    <row r="4" spans="1:4" x14ac:dyDescent="0.2">
      <c r="A4" s="5">
        <v>1960</v>
      </c>
      <c r="B4" s="6">
        <v>0.25139664804469275</v>
      </c>
      <c r="C4" s="6">
        <v>0.22346368715083798</v>
      </c>
      <c r="D4" s="6">
        <v>0.52513966480446927</v>
      </c>
    </row>
    <row r="5" spans="1:4" x14ac:dyDescent="0.2">
      <c r="A5" s="5">
        <v>1970</v>
      </c>
      <c r="B5" s="6">
        <v>0.19354838709677419</v>
      </c>
      <c r="C5" s="6">
        <v>0.2304147465437788</v>
      </c>
      <c r="D5" s="6">
        <v>0.57603686635944695</v>
      </c>
    </row>
    <row r="6" spans="1:4" x14ac:dyDescent="0.2">
      <c r="A6" s="5">
        <v>1980</v>
      </c>
      <c r="B6" s="6">
        <v>0.21889400921658986</v>
      </c>
      <c r="C6" s="6">
        <v>0.22119815668202766</v>
      </c>
      <c r="D6" s="6">
        <v>0.55990783410138245</v>
      </c>
    </row>
    <row r="7" spans="1:4" x14ac:dyDescent="0.2">
      <c r="A7" s="5">
        <v>1990</v>
      </c>
      <c r="B7" s="6">
        <v>0.24</v>
      </c>
      <c r="C7" s="6">
        <v>0.19225806451612903</v>
      </c>
      <c r="D7" s="6">
        <v>0.56774193548387097</v>
      </c>
    </row>
    <row r="8" spans="1:4" x14ac:dyDescent="0.2">
      <c r="A8" s="5">
        <v>2000</v>
      </c>
      <c r="B8" s="6">
        <v>0.20675944333996024</v>
      </c>
      <c r="C8" s="6">
        <v>0.22001325381047052</v>
      </c>
      <c r="D8" s="6">
        <v>0.57322730284956924</v>
      </c>
    </row>
    <row r="9" spans="1:4" x14ac:dyDescent="0.2">
      <c r="A9" s="5">
        <v>2010</v>
      </c>
      <c r="B9" s="6">
        <v>0.22018348623853212</v>
      </c>
      <c r="C9" s="6">
        <v>0.19849874895746455</v>
      </c>
      <c r="D9" s="6">
        <v>0.58131776480400332</v>
      </c>
    </row>
    <row r="10" spans="1:4" x14ac:dyDescent="0.2">
      <c r="A10" s="5">
        <v>2020</v>
      </c>
      <c r="B10" s="6">
        <v>0.1776798825256975</v>
      </c>
      <c r="C10" s="6">
        <v>0.22173274596182085</v>
      </c>
      <c r="D10" s="6">
        <v>0.60058737151248165</v>
      </c>
    </row>
    <row r="11" spans="1:4" x14ac:dyDescent="0.2">
      <c r="A11" s="5" t="s">
        <v>199</v>
      </c>
      <c r="B11" s="6">
        <v>0.2154945509231781</v>
      </c>
      <c r="C11" s="6">
        <v>0.21536848623178992</v>
      </c>
      <c r="D11" s="6">
        <v>0.56913696284503201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25C2-C7D4-4196-B20A-1D2CFEE97DBF}">
  <dimension ref="A1:A2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206</v>
      </c>
    </row>
    <row r="2" spans="1:1" x14ac:dyDescent="0.2">
      <c r="A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DataPivot</vt:lpstr>
      <vt:lpstr>Summary (2)</vt:lpstr>
      <vt:lpstr>DecadeSummary</vt:lpstr>
      <vt:lpstr>SignificantlyPivot</vt:lpstr>
      <vt:lpstr>SignificantlyPivot2</vt:lpstr>
      <vt:lpstr>Works Cited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Conti</cp:lastModifiedBy>
  <dcterms:created xsi:type="dcterms:W3CDTF">2026-06-05T17:36:36Z</dcterms:created>
  <dcterms:modified xsi:type="dcterms:W3CDTF">2026-06-07T11:04:59Z</dcterms:modified>
</cp:coreProperties>
</file>